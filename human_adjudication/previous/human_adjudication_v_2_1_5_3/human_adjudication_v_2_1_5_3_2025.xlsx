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tables/table13.xml" ContentType="application/vnd.openxmlformats-officedocument.spreadsheetml.table+xml"/>
  <Override PartName="/xl/worksheets/sheet18.xml" ContentType="application/vnd.openxmlformats-officedocument.spreadsheetml.worksheet+xml"/>
  <Override PartName="/xl/tables/table14.xml" ContentType="application/vnd.openxmlformats-officedocument.spreadsheetml.table+xml"/>
  <Override PartName="/xl/worksheets/sheet19.xml" ContentType="application/vnd.openxmlformats-officedocument.spreadsheetml.worksheet+xml"/>
  <Override PartName="/xl/tables/table15.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tables/table16.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ables/table17.xml" ContentType="application/vnd.openxmlformats-officedocument.spreadsheetml.table+xml"/>
  <Override PartName="/xl/worksheets/sheet25.xml" ContentType="application/vnd.openxmlformats-officedocument.spreadsheetml.worksheet+xml"/>
  <Override PartName="/xl/tables/table18.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ffaed8073b40ce" /></Relationships>
</file>

<file path=xl/workbook.xml><?xml version="1.0" encoding="utf-8"?>
<x:workbook xmlns:x="http://schemas.openxmlformats.org/spreadsheetml/2006/main">
  <x:sheets>
    <x:sheet xmlns:r="http://schemas.openxmlformats.org/officeDocument/2006/relationships" name="Start" sheetId="1" r:id="R67ad4520c4ea4a7a"/>
    <x:sheet xmlns:r="http://schemas.openxmlformats.org/officeDocument/2006/relationships" name="Setup" sheetId="2" r:id="Rc2619ee3acc44d45"/>
    <x:sheet xmlns:r="http://schemas.openxmlformats.org/officeDocument/2006/relationships" name="Checks" sheetId="3" r:id="R1023f01f28b24223"/>
    <x:sheet xmlns:r="http://schemas.openxmlformats.org/officeDocument/2006/relationships" name="Papers" sheetId="4" r:id="R1d1fde22f3934c74"/>
    <x:sheet xmlns:r="http://schemas.openxmlformats.org/officeDocument/2006/relationships" name="C_jama.2024.24764" sheetId="5" r:id="Rcb277375e2b24284"/>
    <x:sheet xmlns:r="http://schemas.openxmlformats.org/officeDocument/2006/relationships" name="C_jama.2024.27643" sheetId="6" r:id="Rc59abe44f358493b"/>
    <x:sheet xmlns:r="http://schemas.openxmlformats.org/officeDocument/2006/relationships" name="C_jama.2025.11178" sheetId="7" r:id="R2446202cf202460e"/>
    <x:sheet xmlns:r="http://schemas.openxmlformats.org/officeDocument/2006/relationships" name="C_jama.2025.15185" sheetId="8" r:id="R8a7bbf9042e244b7"/>
    <x:sheet xmlns:r="http://schemas.openxmlformats.org/officeDocument/2006/relationships" name="C_jama.2025.15440" sheetId="9" r:id="Rddca90f2adc1450d"/>
    <x:sheet xmlns:r="http://schemas.openxmlformats.org/officeDocument/2006/relationships" name="C_jama.2025.16450" sheetId="10" r:id="Rdc263cb6ace245db"/>
    <x:sheet xmlns:r="http://schemas.openxmlformats.org/officeDocument/2006/relationships" name="C_jama.2025.19563" sheetId="11" r:id="Re10daa2d243c4198"/>
    <x:sheet xmlns:r="http://schemas.openxmlformats.org/officeDocument/2006/relationships" name="C_jama.2025.19843" sheetId="12" r:id="R33af5a71612b4723"/>
    <x:sheet xmlns:r="http://schemas.openxmlformats.org/officeDocument/2006/relationships" name="C_jama.2025.20765" sheetId="13" r:id="Rb65b83225fb84fca"/>
    <x:sheet xmlns:r="http://schemas.openxmlformats.org/officeDocument/2006/relationships" name="C_jama.2025.24175" sheetId="14" r:id="R22a527115b0d4a53"/>
    <x:sheet xmlns:r="http://schemas.openxmlformats.org/officeDocument/2006/relationships" name="C_jama.2025.4390" sheetId="15" r:id="R20a1e9a9792f4858"/>
    <x:sheet xmlns:r="http://schemas.openxmlformats.org/officeDocument/2006/relationships" name="C_jama.2025.7583" sheetId="16" r:id="Rec5e2756eb1e48e6"/>
    <x:sheet xmlns:r="http://schemas.openxmlformats.org/officeDocument/2006/relationships" name="C_jama.2025.7710" sheetId="17" r:id="Rd122f04d91a64484"/>
    <x:sheet xmlns:r="http://schemas.openxmlformats.org/officeDocument/2006/relationships" name="C_jama.2025.9110" sheetId="18" r:id="R4ab51c409c6044d1"/>
    <x:sheet xmlns:r="http://schemas.openxmlformats.org/officeDocument/2006/relationships" name="C_jama.2025.9663" sheetId="19" r:id="R0a98763d41e844ec"/>
    <x:sheet xmlns:r="http://schemas.openxmlformats.org/officeDocument/2006/relationships" name="Primary_snapshot" sheetId="20" r:id="R12dfc1732d9e4404"/>
    <x:sheet xmlns:r="http://schemas.openxmlformats.org/officeDocument/2006/relationships" name="Decisions" sheetId="21" r:id="Rdc3ca35fae4f4983"/>
    <x:sheet xmlns:r="http://schemas.openxmlformats.org/officeDocument/2006/relationships" name="Paper_counts" sheetId="22" r:id="Rd57d7fe16657493e"/>
    <x:sheet xmlns:r="http://schemas.openxmlformats.org/officeDocument/2006/relationships" name="Protocol_plan_table" sheetId="23" r:id="Reb6d59f88930436c"/>
    <x:sheet xmlns:r="http://schemas.openxmlformats.org/officeDocument/2006/relationships" name="Candidates" sheetId="24" r:id="R521d9952af6d45a1"/>
    <x:sheet xmlns:r="http://schemas.openxmlformats.org/officeDocument/2006/relationships" name="Evidence" sheetId="25" r:id="R5f252a35bbae4267"/>
    <x:sheet xmlns:r="http://schemas.openxmlformats.org/officeDocument/2006/relationships" name="Links" sheetId="26" r:id="R9d69cdb8f9524410"/>
    <x:sheet xmlns:r="http://schemas.openxmlformats.org/officeDocument/2006/relationships" name="Relations" sheetId="27" r:id="R8a0d2c3a5c6a4f8a"/>
    <x:sheet xmlns:r="http://schemas.openxmlformats.org/officeDocument/2006/relationships" name="Codebook" sheetId="28" r:id="Re1724d2a7aaf4bf0"/>
    <x:sheet xmlns:r="http://schemas.openxmlformats.org/officeDocument/2006/relationships" name="Manifest" sheetId="29" r:id="R3e8ab2b9aeb3468a"/>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wrapText="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3"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105">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fae77dd9aa4972" /><Relationship Type="http://schemas.openxmlformats.org/officeDocument/2006/relationships/theme" Target="/xl/theme/theme1.xml" Id="R5b4288ddc67946e1" /><Relationship Type="http://schemas.microsoft.com/office/2022/11/relationships/FeaturePropertyBag" Target="/xl/featurePropertyBag/featurePropertyBag.xml" Id="R50b239dff09e4e66" /><Relationship Type="http://schemas.openxmlformats.org/officeDocument/2006/relationships/sharedStrings" Target="/xl/sharedStrings.xml" Id="Refe6c571b88243fa" /><Relationship Type="http://schemas.openxmlformats.org/officeDocument/2006/relationships/worksheet" Target="/xl/worksheets/sheet1.xml" Id="R67ad4520c4ea4a7a" /><Relationship Type="http://schemas.openxmlformats.org/officeDocument/2006/relationships/worksheet" Target="/xl/worksheets/sheet2.xml" Id="Rc2619ee3acc44d45" /><Relationship Type="http://schemas.openxmlformats.org/officeDocument/2006/relationships/worksheet" Target="/xl/worksheets/sheet3.xml" Id="R1023f01f28b24223" /><Relationship Type="http://schemas.openxmlformats.org/officeDocument/2006/relationships/worksheet" Target="/xl/worksheets/sheet4.xml" Id="R1d1fde22f3934c74" /><Relationship Type="http://schemas.openxmlformats.org/officeDocument/2006/relationships/worksheet" Target="/xl/worksheets/sheet5.xml" Id="Rcb277375e2b24284" /><Relationship Type="http://schemas.openxmlformats.org/officeDocument/2006/relationships/worksheet" Target="/xl/worksheets/sheet6.xml" Id="Rc59abe44f358493b" /><Relationship Type="http://schemas.openxmlformats.org/officeDocument/2006/relationships/worksheet" Target="/xl/worksheets/sheet7.xml" Id="R2446202cf202460e" /><Relationship Type="http://schemas.openxmlformats.org/officeDocument/2006/relationships/worksheet" Target="/xl/worksheets/sheet8.xml" Id="R8a7bbf9042e244b7" /><Relationship Type="http://schemas.openxmlformats.org/officeDocument/2006/relationships/worksheet" Target="/xl/worksheets/sheet9.xml" Id="Rddca90f2adc1450d" /><Relationship Type="http://schemas.openxmlformats.org/officeDocument/2006/relationships/worksheet" Target="/xl/worksheets/sheet10.xml" Id="Rdc263cb6ace245db" /><Relationship Type="http://schemas.openxmlformats.org/officeDocument/2006/relationships/worksheet" Target="/xl/worksheets/sheet11.xml" Id="Re10daa2d243c4198" /><Relationship Type="http://schemas.openxmlformats.org/officeDocument/2006/relationships/worksheet" Target="/xl/worksheets/sheet12.xml" Id="R33af5a71612b4723" /><Relationship Type="http://schemas.openxmlformats.org/officeDocument/2006/relationships/worksheet" Target="/xl/worksheets/sheet13.xml" Id="Rb65b83225fb84fca" /><Relationship Type="http://schemas.openxmlformats.org/officeDocument/2006/relationships/worksheet" Target="/xl/worksheets/sheet14.xml" Id="R22a527115b0d4a53" /><Relationship Type="http://schemas.openxmlformats.org/officeDocument/2006/relationships/worksheet" Target="/xl/worksheets/sheet15.xml" Id="R20a1e9a9792f4858" /><Relationship Type="http://schemas.openxmlformats.org/officeDocument/2006/relationships/worksheet" Target="/xl/worksheets/sheet16.xml" Id="Rec5e2756eb1e48e6" /><Relationship Type="http://schemas.openxmlformats.org/officeDocument/2006/relationships/worksheet" Target="/xl/worksheets/sheet17.xml" Id="Rd122f04d91a64484" /><Relationship Type="http://schemas.openxmlformats.org/officeDocument/2006/relationships/worksheet" Target="/xl/worksheets/sheet18.xml" Id="R4ab51c409c6044d1" /><Relationship Type="http://schemas.openxmlformats.org/officeDocument/2006/relationships/worksheet" Target="/xl/worksheets/sheet19.xml" Id="R0a98763d41e844ec" /><Relationship Type="http://schemas.openxmlformats.org/officeDocument/2006/relationships/worksheet" Target="/xl/worksheets/sheet20.xml" Id="R12dfc1732d9e4404" /><Relationship Type="http://schemas.openxmlformats.org/officeDocument/2006/relationships/worksheet" Target="/xl/worksheets/sheet21.xml" Id="Rdc3ca35fae4f4983" /><Relationship Type="http://schemas.openxmlformats.org/officeDocument/2006/relationships/worksheet" Target="/xl/worksheets/sheet22.xml" Id="Rd57d7fe16657493e" /><Relationship Type="http://schemas.openxmlformats.org/officeDocument/2006/relationships/worksheet" Target="/xl/worksheets/sheet23.xml" Id="Reb6d59f88930436c" /><Relationship Type="http://schemas.openxmlformats.org/officeDocument/2006/relationships/worksheet" Target="/xl/worksheets/sheet24.xml" Id="R521d9952af6d45a1" /><Relationship Type="http://schemas.openxmlformats.org/officeDocument/2006/relationships/worksheet" Target="/xl/worksheets/sheet25.xml" Id="R5f252a35bbae4267" /><Relationship Type="http://schemas.openxmlformats.org/officeDocument/2006/relationships/worksheet" Target="/xl/worksheets/sheet26.xml" Id="R9d69cdb8f9524410" /><Relationship Type="http://schemas.openxmlformats.org/officeDocument/2006/relationships/worksheet" Target="/xl/worksheets/sheet27.xml" Id="R8a0d2c3a5c6a4f8a" /><Relationship Type="http://schemas.openxmlformats.org/officeDocument/2006/relationships/worksheet" Target="/xl/worksheets/sheet28.xml" Id="Re1724d2a7aaf4bf0" /><Relationship Type="http://schemas.openxmlformats.org/officeDocument/2006/relationships/worksheet" Target="/xl/worksheets/sheet29.xml" Id="R3e8ab2b9aeb3468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3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13"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3"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11"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2"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1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1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4" name="ReviewTable14" displayName="ReviewTable14"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2.xml><?xml version="1.0" encoding="utf-8"?>
<x:table xmlns:x="http://schemas.openxmlformats.org/spreadsheetml/2006/main" id="15" name="ReviewTable15" displayName="ReviewTable15"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3.xml><?xml version="1.0" encoding="utf-8"?>
<x:table xmlns:x="http://schemas.openxmlformats.org/spreadsheetml/2006/main" id="16" name="ReviewTable16" displayName="ReviewTable16" ref="A1:R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4.xml><?xml version="1.0" encoding="utf-8"?>
<x:table xmlns:x="http://schemas.openxmlformats.org/spreadsheetml/2006/main" id="17" name="ReviewTable17" displayName="ReviewTable17"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5.xml><?xml version="1.0" encoding="utf-8"?>
<x:table xmlns:x="http://schemas.openxmlformats.org/spreadsheetml/2006/main" id="18" name="ReviewTable18" displayName="ReviewTable18"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6.xml><?xml version="1.0" encoding="utf-8"?>
<x:table xmlns:x="http://schemas.openxmlformats.org/spreadsheetml/2006/main" id="1" name="ReviewTable1" displayName="ReviewTable1" ref="A1:AD132"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7.xml><?xml version="1.0" encoding="utf-8"?>
<x:table xmlns:x="http://schemas.openxmlformats.org/spreadsheetml/2006/main" id="2" name="ReviewTable2" displayName="ReviewTable2" ref="A1:AB132"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8.xml><?xml version="1.0" encoding="utf-8"?>
<x:table xmlns:x="http://schemas.openxmlformats.org/spreadsheetml/2006/main" id="3" name="ReviewTable3" displayName="ReviewTable3" ref="A1:D525"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66284be525ae410c" /></Relationships>
</file>

<file path=xl/worksheets/_rels/sheet6.xml.rels>&#65279;<?xml version="1.0" encoding="utf-8"?><Relationships xmlns="http://schemas.openxmlformats.org/package/2006/relationships"><Relationship Type="http://schemas.openxmlformats.org/officeDocument/2006/relationships/table" Target="/xl/tables/table2.xml" Id="Rb4139c281cdf4ea1" /></Relationships>
</file>

<file path=xl/worksheets/_rels/sheet7.xml.rels>&#65279;<?xml version="1.0" encoding="utf-8"?><Relationships xmlns="http://schemas.openxmlformats.org/package/2006/relationships"><Relationship Type="http://schemas.openxmlformats.org/officeDocument/2006/relationships/table" Target="/xl/tables/table3.xml" Id="Ra1f6d0665d1d4d59" /></Relationships>
</file>

<file path=xl/worksheets/_rels/sheet8.xml.rels>&#65279;<?xml version="1.0" encoding="utf-8"?><Relationships xmlns="http://schemas.openxmlformats.org/package/2006/relationships"><Relationship Type="http://schemas.openxmlformats.org/officeDocument/2006/relationships/table" Target="/xl/tables/table4.xml" Id="R5ebd286f69864767" /></Relationships>
</file>

<file path=xl/worksheets/_rels/sheet9.xml.rels>&#65279;<?xml version="1.0" encoding="utf-8"?><Relationships xmlns="http://schemas.openxmlformats.org/package/2006/relationships"><Relationship Type="http://schemas.openxmlformats.org/officeDocument/2006/relationships/table" Target="/xl/tables/table5.xml" Id="Rd224d9d18d6d4b8e" /></Relationships>
</file>

<file path=xl/worksheets/_rels/sheet10.xml.rels>&#65279;<?xml version="1.0" encoding="utf-8"?><Relationships xmlns="http://schemas.openxmlformats.org/package/2006/relationships"><Relationship Type="http://schemas.openxmlformats.org/officeDocument/2006/relationships/table" Target="/xl/tables/table6.xml" Id="Re8c82cc3c45e4d5b" /></Relationships>
</file>

<file path=xl/worksheets/_rels/sheet11.xml.rels>&#65279;<?xml version="1.0" encoding="utf-8"?><Relationships xmlns="http://schemas.openxmlformats.org/package/2006/relationships"><Relationship Type="http://schemas.openxmlformats.org/officeDocument/2006/relationships/table" Target="/xl/tables/table7.xml" Id="Rf96d79ffbcf241a5" /></Relationships>
</file>

<file path=xl/worksheets/_rels/sheet12.xml.rels>&#65279;<?xml version="1.0" encoding="utf-8"?><Relationships xmlns="http://schemas.openxmlformats.org/package/2006/relationships"><Relationship Type="http://schemas.openxmlformats.org/officeDocument/2006/relationships/table" Target="/xl/tables/table8.xml" Id="R91a82a907cfb458d" /></Relationships>
</file>

<file path=xl/worksheets/_rels/sheet13.xml.rels>&#65279;<?xml version="1.0" encoding="utf-8"?><Relationships xmlns="http://schemas.openxmlformats.org/package/2006/relationships"><Relationship Type="http://schemas.openxmlformats.org/officeDocument/2006/relationships/table" Target="/xl/tables/table9.xml" Id="Rd1c62269bf224642" /></Relationships>
</file>

<file path=xl/worksheets/_rels/sheet14.xml.rels>&#65279;<?xml version="1.0" encoding="utf-8"?><Relationships xmlns="http://schemas.openxmlformats.org/package/2006/relationships"><Relationship Type="http://schemas.openxmlformats.org/officeDocument/2006/relationships/table" Target="/xl/tables/table10.xml" Id="Rba7e59c3db604cdc" /></Relationships>
</file>

<file path=xl/worksheets/_rels/sheet15.xml.rels>&#65279;<?xml version="1.0" encoding="utf-8"?><Relationships xmlns="http://schemas.openxmlformats.org/package/2006/relationships"><Relationship Type="http://schemas.openxmlformats.org/officeDocument/2006/relationships/table" Target="/xl/tables/table11.xml" Id="R152a6fcfcffc4171" /></Relationships>
</file>

<file path=xl/worksheets/_rels/sheet16.xml.rels>&#65279;<?xml version="1.0" encoding="utf-8"?><Relationships xmlns="http://schemas.openxmlformats.org/package/2006/relationships"><Relationship Type="http://schemas.openxmlformats.org/officeDocument/2006/relationships/table" Target="/xl/tables/table12.xml" Id="Rde7f52e08ed34d32" /></Relationships>
</file>

<file path=xl/worksheets/_rels/sheet17.xml.rels>&#65279;<?xml version="1.0" encoding="utf-8"?><Relationships xmlns="http://schemas.openxmlformats.org/package/2006/relationships"><Relationship Type="http://schemas.openxmlformats.org/officeDocument/2006/relationships/table" Target="/xl/tables/table13.xml" Id="R3b71329de0b44a06" /></Relationships>
</file>

<file path=xl/worksheets/_rels/sheet18.xml.rels>&#65279;<?xml version="1.0" encoding="utf-8"?><Relationships xmlns="http://schemas.openxmlformats.org/package/2006/relationships"><Relationship Type="http://schemas.openxmlformats.org/officeDocument/2006/relationships/table" Target="/xl/tables/table14.xml" Id="R55f171c4c38048b3" /></Relationships>
</file>

<file path=xl/worksheets/_rels/sheet19.xml.rels>&#65279;<?xml version="1.0" encoding="utf-8"?><Relationships xmlns="http://schemas.openxmlformats.org/package/2006/relationships"><Relationship Type="http://schemas.openxmlformats.org/officeDocument/2006/relationships/table" Target="/xl/tables/table15.xml" Id="R6468f4c96a464ee8" /></Relationships>
</file>

<file path=xl/worksheets/_rels/sheet21.xml.rels>&#65279;<?xml version="1.0" encoding="utf-8"?><Relationships xmlns="http://schemas.openxmlformats.org/package/2006/relationships"><Relationship Type="http://schemas.openxmlformats.org/officeDocument/2006/relationships/table" Target="/xl/tables/table16.xml" Id="R35b8bdaf899f42a2" /></Relationships>
</file>

<file path=xl/worksheets/_rels/sheet24.xml.rels>&#65279;<?xml version="1.0" encoding="utf-8"?><Relationships xmlns="http://schemas.openxmlformats.org/package/2006/relationships"><Relationship Type="http://schemas.openxmlformats.org/officeDocument/2006/relationships/table" Target="/xl/tables/table17.xml" Id="Re6b5a76b022d46c9" /></Relationships>
</file>

<file path=xl/worksheets/_rels/sheet25.xml.rels>&#65279;<?xml version="1.0" encoding="utf-8"?><Relationships xmlns="http://schemas.openxmlformats.org/package/2006/relationships"><Relationship Type="http://schemas.openxmlformats.org/officeDocument/2006/relationships/table" Target="/xl/tables/table18.xml" Id="R4ffbd736a939418f"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v.2.1.5.3 | 2025 | Excel-only review | 131 candidates | No locks, macros or scripts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A1:L132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row>
    <x:row r="3" ht="40" customHeight="1">
      <x:c r="A3" s="3" t="str">
        <x:v>primaryReviewerName</x:v>
      </x:c>
      <x:c r="B3" s="7" t="str"/>
    </x:row>
    <x:row r="4" ht="40" customHeight="1">
      <x:c r="A4" s="6" t="str">
        <x:v>checkerId</x:v>
      </x:c>
      <x:c r="B4" s="7" t="str"/>
    </x:row>
    <x:row r="5" ht="40" customHeight="1">
      <x:c r="A5" s="3" t="str">
        <x:v>checkerName</x:v>
      </x:c>
      <x:c r="B5" s="7" t="str"/>
    </x:row>
    <x:row r="6" ht="40" customHeight="1">
      <x:c r="A6" s="6" t="str">
        <x:v>stage</x:v>
      </x:c>
      <x:c r="B6" s="7" t="str">
        <x:v>primary</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primary</x:v>
      </x:c>
    </x:row>
    <x:row r="3" ht="44" customHeight="1">
      <x:c r="A3" s="3" t="str">
        <x:v>Candidates</x:v>
      </x:c>
      <x:c r="B3" s="3" t="n">
        <x:v>131</x:v>
      </x:c>
    </x:row>
    <x:row r="4" ht="44" customHeight="1">
      <x:c r="A4" s="6" t="str">
        <x:v>Primary ready rows</x:v>
      </x:c>
      <x:c r="B4" s="6" t="n">
        <x:f>COUNTIF(Decisions!G2:G132,"PRIMARY READY")</x:f>
        <x:v>0</x:v>
      </x:c>
    </x:row>
    <x:row r="5" ht="44" customHeight="1">
      <x:c r="A5" s="3" t="str">
        <x:v>Final ready rows</x:v>
      </x:c>
      <x:c r="B5" s="3" t="n">
        <x:f>COUNTIF(Decisions!G2:G132,"FINAL READY")</x:f>
        <x:v>0</x:v>
      </x:c>
    </x:row>
    <x:row r="6" ht="44" customHeight="1">
      <x:c r="A6" s="6" t="str">
        <x:v>Other / unfinished rows</x:v>
      </x:c>
      <x:c r="B6" s="6" t="n">
        <x:f>B3-B4-B5</x:f>
        <x:v>131</x:v>
      </x:c>
    </x:row>
    <x:row r="7" ht="44" customHeight="1">
      <x:c r="A7" s="3" t="str">
        <x:v>Workflow status</x:v>
      </x:c>
      <x:c r="B7" s="3" t="str">
        <x:f>IF(AND(B2="primary",B4=B3),"PRIMARY READY",IF(AND(B2="checker",B5=B3),"FINAL READY","ACTION NEEDED"))</x:f>
        <x:v>ACTION NEEDED</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Open Decisions; filter status for rows needing action. Return to the matching C_ sheet.</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jama.2024.24764</x:v>
      </x:c>
      <x:c r="B2" s="6" t="str">
        <x:v>C_jama.2024.24764</x:v>
      </x:c>
      <x:c r="C2" s="6" t="n">
        <x:v>8</x:v>
      </x:c>
    </x:row>
    <x:row r="3" ht="36" customHeight="1">
      <x:c r="A3" s="3" t="str">
        <x:v>jama.2024.27643</x:v>
      </x:c>
      <x:c r="B3" s="3" t="str">
        <x:v>C_jama.2024.27643</x:v>
      </x:c>
      <x:c r="C3" s="3" t="n">
        <x:v>8</x:v>
      </x:c>
    </x:row>
    <x:row r="4" ht="36" customHeight="1">
      <x:c r="A4" s="6" t="str">
        <x:v>jama.2025.11178</x:v>
      </x:c>
      <x:c r="B4" s="6" t="str">
        <x:v>C_jama.2025.11178</x:v>
      </x:c>
      <x:c r="C4" s="6" t="n">
        <x:v>37</x:v>
      </x:c>
    </x:row>
    <x:row r="5" ht="36" customHeight="1">
      <x:c r="A5" s="3" t="str">
        <x:v>jama.2025.15185</x:v>
      </x:c>
      <x:c r="B5" s="3" t="str">
        <x:v>C_jama.2025.15185</x:v>
      </x:c>
      <x:c r="C5" s="3" t="n">
        <x:v>12</x:v>
      </x:c>
    </x:row>
    <x:row r="6" ht="36" customHeight="1">
      <x:c r="A6" s="6" t="str">
        <x:v>jama.2025.15440</x:v>
      </x:c>
      <x:c r="B6" s="6" t="str">
        <x:v>C_jama.2025.15440</x:v>
      </x:c>
      <x:c r="C6" s="6" t="n">
        <x:v>2</x:v>
      </x:c>
    </x:row>
    <x:row r="7" ht="36" customHeight="1">
      <x:c r="A7" s="3" t="str">
        <x:v>jama.2025.16450</x:v>
      </x:c>
      <x:c r="B7" s="3" t="str">
        <x:v>C_jama.2025.16450</x:v>
      </x:c>
      <x:c r="C7" s="3" t="n">
        <x:v>10</x:v>
      </x:c>
    </x:row>
    <x:row r="8" ht="36" customHeight="1">
      <x:c r="A8" s="6" t="str">
        <x:v>jama.2025.19563</x:v>
      </x:c>
      <x:c r="B8" s="6" t="str">
        <x:v>C_jama.2025.19563</x:v>
      </x:c>
      <x:c r="C8" s="6" t="n">
        <x:v>7</x:v>
      </x:c>
    </x:row>
    <x:row r="9" ht="36" customHeight="1">
      <x:c r="A9" s="3" t="str">
        <x:v>jama.2025.19843</x:v>
      </x:c>
      <x:c r="B9" s="3" t="str">
        <x:v>C_jama.2025.19843</x:v>
      </x:c>
      <x:c r="C9" s="3" t="n">
        <x:v>1</x:v>
      </x:c>
    </x:row>
    <x:row r="10" ht="36" customHeight="1">
      <x:c r="A10" s="6" t="str">
        <x:v>jama.2025.20765</x:v>
      </x:c>
      <x:c r="B10" s="6" t="str">
        <x:v>C_jama.2025.20765</x:v>
      </x:c>
      <x:c r="C10" s="6" t="n">
        <x:v>13</x:v>
      </x:c>
    </x:row>
    <x:row r="11" ht="36" customHeight="1">
      <x:c r="A11" s="3" t="str">
        <x:v>jama.2025.24175</x:v>
      </x:c>
      <x:c r="B11" s="3" t="str">
        <x:v>C_jama.2025.24175</x:v>
      </x:c>
      <x:c r="C11" s="3" t="n">
        <x:v>14</x:v>
      </x:c>
    </x:row>
    <x:row r="12" ht="36" customHeight="1">
      <x:c r="A12" s="6" t="str">
        <x:v>jama.2025.4390</x:v>
      </x:c>
      <x:c r="B12" s="6" t="str">
        <x:v>C_jama.2025.4390</x:v>
      </x:c>
      <x:c r="C12" s="6" t="n">
        <x:v>3</x:v>
      </x:c>
    </x:row>
    <x:row r="13" ht="36" customHeight="1">
      <x:c r="A13" s="3" t="str">
        <x:v>jama.2025.7583</x:v>
      </x:c>
      <x:c r="B13" s="3" t="str">
        <x:v>C_jama.2025.7583</x:v>
      </x:c>
      <x:c r="C13" s="3" t="n">
        <x:v>3</x:v>
      </x:c>
    </x:row>
    <x:row r="14" ht="36" customHeight="1">
      <x:c r="A14" s="6" t="str">
        <x:v>jama.2025.7710</x:v>
      </x:c>
      <x:c r="B14" s="6" t="str">
        <x:v>C_jama.2025.7710</x:v>
      </x:c>
      <x:c r="C14" s="6" t="n">
        <x:v>4</x:v>
      </x:c>
    </x:row>
    <x:row r="15" ht="36" customHeight="1">
      <x:c r="A15" s="3" t="str">
        <x:v>jama.2025.9110</x:v>
      </x:c>
      <x:c r="B15" s="3" t="str">
        <x:v>C_jama.2025.9110</x:v>
      </x:c>
      <x:c r="C15" s="3" t="n">
        <x:v>6</x:v>
      </x:c>
    </x:row>
    <x:row r="16" ht="36" customHeight="1">
      <x:c r="A16" s="6" t="str">
        <x:v>jama.2025.9663</x:v>
      </x:c>
      <x:c r="B16" s="6" t="str">
        <x:v>C_jama.2025.9663</x:v>
      </x:c>
      <x:c r="C16" s="6" t="n">
        <x:v>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2025::jama.2024.24764::C001</x:v>
      </x:c>
      <x:c r="B2" s="6" t="str">
        <x:v>Smoking percentages use a different denominator from the printed smoking totals</x:v>
      </x:c>
      <x:c r="C2" s="6" t="str">
        <x:v>jama_atherton_2025_oi_240145_1741627844.85412.pdf — PDF p. 5, Table 1</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2025::jama.2024.24764::C002</x:v>
      </x:c>
      <x:c r="B3" s="3" t="str">
        <x:v>Operating-surgeon level totals exceed participant denominators without a multi-response qualifier</x:v>
      </x:c>
      <x:c r="C3" s="3" t="str">
        <x:v>jama_atherton_2025_oi_240145_1741627844.85412.pdf — PDF p. 7, Table 2</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2025::jama.2024.24764::C003</x:v>
      </x:c>
      <x:c r="B4" s="6" t="str">
        <x:v>Fascia-closing surgeon level totals exceed participant denominators without a multi-response qualifier</x:v>
      </x:c>
      <x:c r="C4" s="6" t="str">
        <x:v>jama_atherton_2025_oi_240145_1741627844.85412.pdf — PDF p. 7, Table 2 continuation</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2025::jama.2024.24764::C004</x:v>
      </x:c>
      <x:c r="B5" s="3" t="str">
        <x:v>Skin-closing surgeon level totals exceed participant denominators without a multi-response qualifier</x:v>
      </x:c>
      <x:c r="C5" s="3" t="str">
        <x:v>jama_atherton_2025_oi_240145_1741627844.85412.pdf — PDF p. 7, Table 2 continuation</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2025::jama.2024.24764::C005</x:v>
      </x:c>
      <x:c r="B6" s="6" t="str">
        <x:v>Control-arm mortality differs between participant flow and 30-day safety reporting</x:v>
      </x:c>
      <x:c r="C6" s="6" t="str">
        <x:v>jama_atherton_2025_oi_240145_1741627844.85412.pdf — PDF p. 3, Figure 1; PDF p. 6, safety narrative; PDF p. 8, Table 3</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2025::jama.2024.24764::C006</x:v>
      </x:c>
      <x:c r="B7" s="3" t="str">
        <x:v>Longitudinal quality-of-life covariance specification differs between SAP and final article</x:v>
      </x:c>
      <x:c r="C7" s="3" t="str">
        <x:v>joi240145supp1_prod_1741627844.87412.pdf — PDF p. 26, SAP; jama_atherton_2025_oi_240145_1741627844.85412.pdf — PDF p. 4, Statistical Analysis</x:v>
      </x:c>
      <x:c r="D7" s="7" t="str"/>
      <x:c r="E7" s="7" t="str">
        <x:v>protocol_report</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v>not_applicable</x:v>
      </x:c>
      <x:c r="L7" s="13" t="str">
        <x:f>IF(AND(OR(D7="retain",D7=""),E7="protocol_report"),"","not_applicable")</x:f>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2025::jama.2024.24764::C007</x:v>
      </x:c>
      <x:c r="B8" s="6" t="str">
        <x:v>Length-of-stay effect measure and model differ between SAP/protocol and final article</x:v>
      </x:c>
      <x:c r="C8" s="6" t="str">
        <x:v>joi240145supp1_prod_1741627844.87412.pdf — PDF p. 25, SAP; joi240145supp4_prod_1741627844.90412.pdf — PDF p. 39, protocol; jama_atherton_2025_oi_240145_1741627844.85412.pdf — PDF p. 4; PDF p. 8, Table 3</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2025::jama.2024.24764::C008</x:v>
      </x:c>
      <x:c r="B9" s="3" t="str">
        <x:v>Australia-inclusive length-of-stay result differs from the stated UK-only analysis population</x:v>
      </x:c>
      <x:c r="C9" s="3" t="str">
        <x:v>joi240145supp1_prod_1741627844.87412.pdf — PDF p. 18, SAP endpoint; PDF p. 25, SAP population; joi240145supp4_prod_1741627844.90412.pdf — PDF p. 24, protocol; jama_atherton_2025_oi_240145_1741627844.85412.pdf — PDF p. 1, abstract; PDF p. 8, Table 3</x:v>
      </x:c>
      <x:c r="D9" s="7" t="str"/>
      <x:c r="E9" s="7" t="str">
        <x:v>protocol_report</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IF(Setup!$B$6="primary","",IFERROR(IF(INDEX('Primary_snapshot'!$L$2:$L$132,MATCH(A9,'Primary_snapshot'!$A$2:$A$132,0))="","",INDEX('Primary_snapshot'!$L$2:$L$132,MATCH(A9,'Primary_snapshot'!$A$2:$A$132,0))),"SNAPSHOT MISSING"))</x:f>
      </x:c>
      <x:c r="N9" s="7" t="str"/>
      <x:c r="O9" s="7" t="str"/>
      <x:c r="P9" s="7" t="str"/>
      <x:c r="Q9" s="7" t="str"/>
      <x:c r="R9" s="13" t="str"/>
    </x:row>
  </x:sheetData>
  <x:conditionalFormatting sqref="G2:G9">
    <x:cfRule type="expression" dxfId="0" priority="1">
      <x:formula>AND(G2&lt;&gt;"PRIMARY READY",G2&lt;&gt;"FINAL READY")</x:formula>
    </x:cfRule>
  </x:conditionalFormatting>
  <x:conditionalFormatting sqref="N2:Q9">
    <x:cfRule type="expression" dxfId="1" priority="2">
      <x:formula>Setup!$B$6="primary"</x:formula>
    </x:cfRule>
  </x:conditionalFormatting>
  <x:conditionalFormatting sqref="H2:H9">
    <x:cfRule type="expression" dxfId="2" priority="3">
      <x:formula>NOT(AND(OR($D2="retain",$D2=""),$E2="statistical_results"))</x:formula>
    </x:cfRule>
  </x:conditionalFormatting>
  <x:conditionalFormatting sqref="I2:I9">
    <x:cfRule type="expression" dxfId="3" priority="4">
      <x:formula>NOT(AND(OR($D2="retain",$D2=""),$E2="statistical_results"))</x:formula>
    </x:cfRule>
  </x:conditionalFormatting>
  <x:conditionalFormatting sqref="J2:J9">
    <x:cfRule type="expression" dxfId="4" priority="5">
      <x:formula>NOT(AND(OR($D2="retain",$D2=""),$E2="statistical_results"))</x:formula>
    </x:cfRule>
  </x:conditionalFormatting>
  <x:conditionalFormatting sqref="K2:K9">
    <x:cfRule type="expression" dxfId="5" priority="6">
      <x:formula>NOT(AND(OR($D2="retain",$D2=""),OR($E2="report_internal_inconsistency",$E2="plan_material")))</x:formula>
    </x:cfRule>
  </x:conditionalFormatting>
  <x:conditionalFormatting sqref="L2:L9">
    <x:cfRule type="expression" dxfId="6"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66284be525ae410c"/>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2025::jama.2024.27643::C001</x:v>
      </x:c>
      <x:c r="B2" s="6" t="str">
        <x:v>Shared-placebo race missingness does not reconcile with the printed denominator</x:v>
      </x:c>
      <x:c r="C2" s="6" t="str">
        <x:v>jama_berry_2025_oi_240158_1742927563.7361.pdf — Table 1 and footnote b, PDF p. 6</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2025::jama.2024.27643::C002</x:v>
      </x:c>
      <x:c r="B3" s="3" t="str">
        <x:v>SVC values have incompatible monthly-rate and 24-week-change labels</x:v>
      </x:c>
      <x:c r="C3" s="3" t="str">
        <x:v>jama_berry_2025_oi_240158_1742927563.7361.pdf — Secondary Efficacy Outcomes, PDF p. 4; joi240158supp3_prod_1742927563.7911.pdf — eTable 3A, PDF p. 16</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2025::jama.2024.27643::C003</x:v>
      </x:c>
      <x:c r="B4" s="6" t="str">
        <x:v>Shared-placebo ALSFRS-R credible-interval endpoints differ for the cited primary model</x:v>
      </x:c>
      <x:c r="C4" s="6" t="str">
        <x:v>jama_berry_2025_oi_240158_1742927563.7361.pdf — Primary Efficacy Outcome, PDF p. 4; joi240158supp3_prod_1742927563.7911.pdf — eTable 2, PDF p. 15</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2025::jama.2024.27643::C004</x:v>
      </x:c>
      <x:c r="B5" s="3" t="str">
        <x:v>Pooled-active ALSFRS-R credible-interval endpoints differ for the cited primary model</x:v>
      </x:c>
      <x:c r="C5" s="3" t="str">
        <x:v>jama_berry_2025_oi_240158_1742927563.7361.pdf — Primary Efficacy Outcome, PDF p. 4; joi240158supp3_prod_1742927563.7911.pdf — eTable 2, PDF p. 15</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2025::jama.2024.27643::C005</x:v>
      </x:c>
      <x:c r="B6" s="6" t="str">
        <x:v>Bayesian mortality event rates differ between article text and cited eTable 2</x:v>
      </x:c>
      <x:c r="C6" s="6" t="str">
        <x:v>jama_berry_2025_oi_240158_1742927563.7361.pdf — Primary Efficacy Outcome, PDF p. 4; joi240158supp3_prod_1742927563.7911.pdf — eTable 2, PDF p. 15</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2025::jama.2024.27643::C006</x:v>
      </x:c>
      <x:c r="B7" s="3" t="str">
        <x:v>Plasma NfL confidence intervals differ across Figure 3, narrative, and eTable 3B</x:v>
      </x:c>
      <x:c r="C7" s="3" t="str">
        <x:v>jama_berry_2025_oi_240158_1742927563.7361.pdf — Figure 3 and Biomarker Analyses, PDF p. 8; joi240158supp3_prod_1742927563.7911.pdf — eTable 3B, PDF p. 17</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2025::jama.2024.27643::C007</x:v>
      </x:c>
      <x:c r="B8" s="6" t="str">
        <x:v>Serum NfL regimen-only values and contrast differ across displays</x:v>
      </x:c>
      <x:c r="C8" s="6" t="str">
        <x:v>jama_berry_2025_oi_240158_1742927563.7361.pdf — Figure 3 and Biomarker Analyses, PDF p. 8; joi240158supp3_prod_1742927563.7911.pdf — eTable 3B, PDF p. 17</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2025::jama.2024.27643::C008</x:v>
      </x:c>
      <x:c r="B9" s="3" t="str">
        <x:v>Discussion total of 13 events conflicts with the 14 events displayed in Table 2</x:v>
      </x:c>
      <x:c r="C9" s="3" t="str">
        <x:v>jama_berry_2025_oi_240158_1742927563.7361.pdf — Table 2, PDF p. 7; jama_berry_2025_oi_240158_1742927563.7361.pdf — Discussion, PDF p. 9</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IF(Setup!$B$6="primary","",IFERROR(IF(INDEX('Primary_snapshot'!$L$2:$L$132,MATCH(A9,'Primary_snapshot'!$A$2:$A$132,0))="","",INDEX('Primary_snapshot'!$L$2:$L$132,MATCH(A9,'Primary_snapshot'!$A$2:$A$132,0))),"SNAPSHOT MISSING"))</x:f>
      </x:c>
      <x:c r="N9" s="7" t="str"/>
      <x:c r="O9" s="7" t="str"/>
      <x:c r="P9" s="7" t="str"/>
      <x:c r="Q9" s="7" t="str"/>
      <x:c r="R9" s="13" t="str"/>
    </x:row>
  </x:sheetData>
  <x:conditionalFormatting sqref="G2:G9">
    <x:cfRule type="expression" dxfId="7" priority="1">
      <x:formula>AND(G2&lt;&gt;"PRIMARY READY",G2&lt;&gt;"FINAL READY")</x:formula>
    </x:cfRule>
  </x:conditionalFormatting>
  <x:conditionalFormatting sqref="N2:Q9">
    <x:cfRule type="expression" dxfId="8" priority="2">
      <x:formula>Setup!$B$6="primary"</x:formula>
    </x:cfRule>
  </x:conditionalFormatting>
  <x:conditionalFormatting sqref="H2:H9">
    <x:cfRule type="expression" dxfId="9" priority="3">
      <x:formula>NOT(AND(OR($D2="retain",$D2=""),$E2="statistical_results"))</x:formula>
    </x:cfRule>
  </x:conditionalFormatting>
  <x:conditionalFormatting sqref="I2:I9">
    <x:cfRule type="expression" dxfId="10" priority="4">
      <x:formula>NOT(AND(OR($D2="retain",$D2=""),$E2="statistical_results"))</x:formula>
    </x:cfRule>
  </x:conditionalFormatting>
  <x:conditionalFormatting sqref="J2:J9">
    <x:cfRule type="expression" dxfId="11" priority="5">
      <x:formula>NOT(AND(OR($D2="retain",$D2=""),$E2="statistical_results"))</x:formula>
    </x:cfRule>
  </x:conditionalFormatting>
  <x:conditionalFormatting sqref="K2:K9">
    <x:cfRule type="expression" dxfId="12" priority="6">
      <x:formula>NOT(AND(OR($D2="retain",$D2=""),OR($E2="report_internal_inconsistency",$E2="plan_material")))</x:formula>
    </x:cfRule>
  </x:conditionalFormatting>
  <x:conditionalFormatting sqref="L2:L9">
    <x:cfRule type="expression" dxfId="13"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b4139c281cdf4ea1"/>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2025::jama.2025.11178::C001</x:v>
      </x:c>
      <x:c r="B2" s="6" t="str">
        <x:v>Conditional Figure 1 further-ineligibility component subtotal gap</x:v>
      </x:c>
      <x:c r="C2" s="6" t="str">
        <x:v>main article — PDF p. 5, Figure 1, “4481 Ineligible.”</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IDs",IF(OR(COUNTIF($A$2:$A$38,A2)&lt;&gt;1,COUNTIF(Decisions!$C$2:$C$132,A2)&lt;&gt;1),"CHECK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2025::jama.2025.11178::C002</x:v>
      </x:c>
      <x:c r="B3" s="3" t="str">
        <x:v>Overall eTable 1 follow-up-pattern partition</x:v>
      </x:c>
      <x:c r="C3" s="3" t="str">
        <x:v>results supplement — PDF p. 7, eTable 1, Overall column.</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IDs",IF(OR(COUNTIF($A$2:$A$38,A3)&lt;&gt;1,COUNTIF(Decisions!$C$2:$C$132,A3)&lt;&gt;1),"CHECK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2025::jama.2025.11178::C003</x:v>
      </x:c>
      <x:c r="B4" s="6" t="str">
        <x:v>painTRAINER eTable 1 follow-up-pattern partition</x:v>
      </x:c>
      <x:c r="C4" s="6" t="str">
        <x:v>results supplement — PDF p. 7, eTable 1, painTRAINER column.</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IDs",IF(OR(COUNTIF($A$2:$A$38,A4)&lt;&gt;1,COUNTIF(Decisions!$C$2:$C$132,A4)&lt;&gt;1),"CHECK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2025::jama.2025.11178::C004</x:v>
      </x:c>
      <x:c r="B5" s="3" t="str">
        <x:v>Health Coach eTable 1 follow-up-pattern partition</x:v>
      </x:c>
      <x:c r="C5" s="3" t="str">
        <x:v>results supplement — PDF p. 7, eTable 1, Health Coach column.</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IDs",IF(OR(COUNTIF($A$2:$A$38,A5)&lt;&gt;1,COUNTIF(Decisions!$C$2:$C$132,A5)&lt;&gt;1),"CHECK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2025::jama.2025.11178::C005</x:v>
      </x:c>
      <x:c r="B6" s="6" t="str">
        <x:v>Workbook current-depression percentage incompatible with its count</x:v>
      </x:c>
      <x:c r="C6" s="6" t="str">
        <x:v>workbook, worksheet eTable 3, cells A82:E83 and E2:E3.</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IDs",IF(OR(COUNTIF($A$2:$A$38,A6)&lt;&gt;1,COUNTIF(Decisions!$C$2:$C$132,A6)&lt;&gt;1),"CHECK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2025::jama.2025.11178::C006</x:v>
      </x:c>
      <x:c r="B7" s="3" t="str">
        <x:v>Workbook social-role cutoff labeled as mean (SD)</x:v>
      </x:c>
      <x:c r="C7" s="3" t="str">
        <x:v>workbook, worksheet eTable 3, cells A103:E104.</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IDs",IF(OR(COUNTIF($A$2:$A$38,A7)&lt;&gt;1,COUNTIF(Decisions!$C$2:$C$132,A7)&lt;&gt;1),"CHECK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2025::jama.2025.11178::C007</x:v>
      </x:c>
      <x:c r="B8" s="6" t="str">
        <x:v>Workbook physical-function cutoff labeled as mean (SD)</x:v>
      </x:c>
      <x:c r="C8" s="6" t="str">
        <x:v>workbook, worksheet eTable 3, cells A106:E107.</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IDs",IF(OR(COUNTIF($A$2:$A$38,A8)&lt;&gt;1,COUNTIF(Decisions!$C$2:$C$132,A8)&lt;&gt;1),"CHECK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2025::jama.2025.11178::C008</x:v>
      </x:c>
      <x:c r="B9" s="3" t="str">
        <x:v>Pain-severity 12-month painTRAINER SMD outside printed CI</x:v>
      </x:c>
      <x:c r="C9" s="3" t="str">
        <x:v>main article — PDF p. 10, Table 3, pain severity 12 months, painTRAINER vs usual care plus SMD.</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IDs",IF(OR(COUNTIF($A$2:$A$38,A9)&lt;&gt;1,COUNTIF(Decisions!$C$2:$C$132,A9)&lt;&gt;1),"CHECK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IF(Setup!$B$6="primary","",IFERROR(IF(INDEX('Primary_snapshot'!$L$2:$L$132,MATCH(A9,'Primary_snapshot'!$A$2:$A$132,0))="","",INDEX('Primary_snapshot'!$L$2:$L$132,MATCH(A9,'Primary_snapshot'!$A$2:$A$132,0))),"SNAPSHOT MISSING"))</x:f>
      </x:c>
      <x:c r="N9" s="7" t="str"/>
      <x:c r="O9" s="7" t="str"/>
      <x:c r="P9" s="7" t="str"/>
      <x:c r="Q9" s="7" t="str"/>
      <x:c r="R9" s="13" t="str"/>
    </x:row>
    <x:row r="10" ht="92" customHeight="1">
      <x:c r="A10" s="6" t="str">
        <x:v>2025::jama.2025.11178::C009</x:v>
      </x:c>
      <x:c r="B10" s="6" t="str">
        <x:v>Pain-severity 12-month Health Coach SMD outside printed CI</x:v>
      </x:c>
      <x:c r="C10" s="6" t="str">
        <x:v>main article — PDF p. 10, Table 3, pain severity 12 months, Health Coach vs usual care plus SMD.</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IDs",IF(OR(COUNTIF($A$2:$A$38,A10)&lt;&gt;1,COUNTIF(Decisions!$C$2:$C$132,A10)&lt;&gt;1),"CHECK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$132,A10)&lt;&gt;1,INDEX('Primary_snapshot'!$J$2:$J$132,MATCH(A10,'Primary_snapshot'!$A$2:$A$132,0))&lt;&gt;"primary_done",INDEX('Primary_snapshot'!$K$2:$K$132,MATCH(A10,'Primary_snapshot'!$A$2:$A$132,0))&lt;&gt;Setup!$B$2,INDEX('Primary_snapshot'!$B$2:$B$132,MATCH(A10,'Primary_snapshot'!$A$2:$A$132,0))="NOT FROZEN",INDEX('Primary_snapshot'!$C$2:$C$132,MATCH(A10,'Primary_snapshot'!$A$2:$A$132,0))="NOT FROZEN",INDEX('Primary_snapshot'!$D$2:$D$132,MATCH(A10,'Primary_snapshot'!$A$2:$A$132,0))="NOT FROZEN",INDEX('Primary_snapshot'!$E$2:$E$132,MATCH(A10,'Primary_snapshot'!$A$2:$A$132,0))="NOT FROZEN",INDEX('Primary_snapshot'!$F$2:$F$132,MATCH(A10,'Primary_snapshot'!$A$2:$A$132,0))="NOT FROZEN",INDEX('Primary_snapshot'!$G$2:$G$132,MATCH(A10,'Primary_snapshot'!$A$2:$A$132,0))="NOT FROZEN",INDEX('Primary_snapshot'!$H$2:$H$132,MATCH(A10,'Primary_snapshot'!$A$2:$A$132,0))="NOT FROZEN",INDEX('Primary_snapshot'!$I$2:$I$132,MATCH(A10,'Primary_snapshot'!$A$2:$A$132,0))="NOT FROZEN",INDEX('Primary_snapshot'!$J$2:$J$132,MATCH(A10,'Primary_snapshot'!$A$2:$A$132,0))="NOT FROZEN",INDEX('Primary_snapshot'!$K$2:$K$132,MATCH(A10,'Primary_snapshot'!$A$2:$A$132,0))="NOT FROZEN",INDEX('Primary_snapshot'!$L$2:$L$132,MATCH(A10,'Primary_snapshot'!$A$2:$A$132,0))="NOT FROZEN"),"FREEZE SNAPSHOT",IF(NOT(OR(N10="agree",N10="agree_clarification",N10="disagree",N10="unable")),"CHECKER RESULT NEEDED",IF(AND(N10&lt;&gt;"agree",LEN(TRIM(O10))=0),"COMMENT NEEDED",IF(AND(N10="agree",NOT(AND(IF(D10="","",D10)=IF(INDEX('Primary_snapshot'!$B$2:$B$132,MATCH(A10,'Primary_snapshot'!$A$2:$A$132,0))="","",INDEX('Primary_snapshot'!$B$2:$B$132,MATCH(A10,'Primary_snapshot'!$A$2:$A$132,0))),IF(E10="","",E10)=IF(INDEX('Primary_snapshot'!$C$2:$C$132,MATCH(A10,'Primary_snapshot'!$A$2:$A$132,0))="","",INDEX('Primary_snapshot'!$C$2:$C$132,MATCH(A10,'Primary_snapshot'!$A$2:$A$132,0))),IF(AND(D10="retain",E10="statistical_results"),IF(H10="","",H10),"not_applicable")=IF(INDEX('Primary_snapshot'!$D$2:$D$132,MATCH(A10,'Primary_snapshot'!$A$2:$A$132,0))="","",INDEX('Primary_snapshot'!$D$2:$D$132,MATCH(A10,'Primary_snapshot'!$A$2:$A$132,0))),IF(AND(D10="retain",E10="statistical_results"),IF(I10="","",I10),"not_applicable")=IF(INDEX('Primary_snapshot'!$E$2:$E$132,MATCH(A10,'Primary_snapshot'!$A$2:$A$132,0))="","",INDEX('Primary_snapshot'!$E$2:$E$132,MATCH(A10,'Primary_snapshot'!$A$2:$A$132,0))),IF(AND(D10="retain",E10="statistical_results"),IF(J10="","",J10),"not_applicable")=IF(INDEX('Primary_snapshot'!$F$2:$F$132,MATCH(A10,'Primary_snapshot'!$A$2:$A$132,0))="","",INDEX('Primary_snapshot'!$F$2:$F$132,MATCH(A10,'Primary_snapshot'!$A$2:$A$132,0))),IF(AND(D10="retain",OR(E10="report_internal_inconsistency",E10="plan_material")),IF(K10="","",K10),"not_applicable")=IF(INDEX('Primary_snapshot'!$G$2:$G$132,MATCH(A10,'Primary_snapshot'!$A$2:$A$132,0))="","",INDEX('Primary_snapshot'!$G$2:$G$132,MATCH(A10,'Primary_snapshot'!$A$2:$A$132,0))),IF(AND(D10="retain",E10="protocol_report"),IF(L10="","",L10),"not_applicable")=IF(INDEX('Primary_snapshot'!$H$2:$H$132,MATCH(A10,'Primary_snapshot'!$A$2:$A$132,0))="","",INDEX('Primary_snapshot'!$H$2:$H$132,MATCH(A10,'Primary_snapshot'!$A$2:$A$132,0))),IF(R10="","",R10)=IF(INDEX('Primary_snapshot'!$I$2:$I$132,MATCH(A10,'Primary_snapshot'!$A$2:$A$132,0))="","",INDEX('Primary_snapshot'!$I$2:$I$132,MATCH(A10,'Primary_snapshot'!$A$2:$A$132,0)))))),"AGREE BUT CHANGED",IF(AND(P10&lt;&gt;"",NOT(OR(P10="pending",P10="resolved"))),"CHECK RESOLUTION",IF(OR(AND(OR(D10="discuss",INDEX('Primary_snapshot'!$B$2:$B$132,MATCH(A10,'Primary_snapshot'!$A$2:$A$132,0))="discuss",N10="disagree",N10="unable"),P10&lt;&gt;"resolved"),D10="discuss"),"DISCUSS",IF(AND(P10="resolved",LEN(TRIM(Q10))=0),"RESOLUTION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IF(Setup!$B$6="primary","",IFERROR(IF(INDEX('Primary_snapshot'!$L$2:$L$132,MATCH(A10,'Primary_snapshot'!$A$2:$A$132,0))="","",INDEX('Primary_snapshot'!$L$2:$L$132,MATCH(A10,'Primary_snapshot'!$A$2:$A$132,0))),"SNAPSHOT MISSING"))</x:f>
      </x:c>
      <x:c r="N10" s="7" t="str"/>
      <x:c r="O10" s="7" t="str"/>
      <x:c r="P10" s="7" t="str"/>
      <x:c r="Q10" s="7" t="str"/>
      <x:c r="R10" s="13" t="str"/>
    </x:row>
    <x:row r="11" ht="92" customHeight="1">
      <x:c r="A11" s="3" t="str">
        <x:v>2025::jama.2025.11178::C010</x:v>
      </x:c>
      <x:c r="B11" s="3" t="str">
        <x:v>Pain-intensity 12-month Health Coach SMD outside printed CI</x:v>
      </x:c>
      <x:c r="C11" s="3" t="str">
        <x:v>main article — PDF p. 10, Table 3, pain intensity 12 months, Health Coach vs usual care plus SMD.</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IDs",IF(OR(COUNTIF($A$2:$A$38,A11)&lt;&gt;1,COUNTIF(Decisions!$C$2:$C$132,A11)&lt;&gt;1),"CHECK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$132,A11)&lt;&gt;1,INDEX('Primary_snapshot'!$J$2:$J$132,MATCH(A11,'Primary_snapshot'!$A$2:$A$132,0))&lt;&gt;"primary_done",INDEX('Primary_snapshot'!$K$2:$K$132,MATCH(A11,'Primary_snapshot'!$A$2:$A$132,0))&lt;&gt;Setup!$B$2,INDEX('Primary_snapshot'!$B$2:$B$132,MATCH(A11,'Primary_snapshot'!$A$2:$A$132,0))="NOT FROZEN",INDEX('Primary_snapshot'!$C$2:$C$132,MATCH(A11,'Primary_snapshot'!$A$2:$A$132,0))="NOT FROZEN",INDEX('Primary_snapshot'!$D$2:$D$132,MATCH(A11,'Primary_snapshot'!$A$2:$A$132,0))="NOT FROZEN",INDEX('Primary_snapshot'!$E$2:$E$132,MATCH(A11,'Primary_snapshot'!$A$2:$A$132,0))="NOT FROZEN",INDEX('Primary_snapshot'!$F$2:$F$132,MATCH(A11,'Primary_snapshot'!$A$2:$A$132,0))="NOT FROZEN",INDEX('Primary_snapshot'!$G$2:$G$132,MATCH(A11,'Primary_snapshot'!$A$2:$A$132,0))="NOT FROZEN",INDEX('Primary_snapshot'!$H$2:$H$132,MATCH(A11,'Primary_snapshot'!$A$2:$A$132,0))="NOT FROZEN",INDEX('Primary_snapshot'!$I$2:$I$132,MATCH(A11,'Primary_snapshot'!$A$2:$A$132,0))="NOT FROZEN",INDEX('Primary_snapshot'!$J$2:$J$132,MATCH(A11,'Primary_snapshot'!$A$2:$A$132,0))="NOT FROZEN",INDEX('Primary_snapshot'!$K$2:$K$132,MATCH(A11,'Primary_snapshot'!$A$2:$A$132,0))="NOT FROZEN",INDEX('Primary_snapshot'!$L$2:$L$132,MATCH(A11,'Primary_snapshot'!$A$2:$A$132,0))="NOT FROZEN"),"FREEZE SNAPSHOT",IF(NOT(OR(N11="agree",N11="agree_clarification",N11="disagree",N11="unable")),"CHECKER RESULT NEEDED",IF(AND(N11&lt;&gt;"agree",LEN(TRIM(O11))=0),"COMMENT NEEDED",IF(AND(N11="agree",NOT(AND(IF(D11="","",D11)=IF(INDEX('Primary_snapshot'!$B$2:$B$132,MATCH(A11,'Primary_snapshot'!$A$2:$A$132,0))="","",INDEX('Primary_snapshot'!$B$2:$B$132,MATCH(A11,'Primary_snapshot'!$A$2:$A$132,0))),IF(E11="","",E11)=IF(INDEX('Primary_snapshot'!$C$2:$C$132,MATCH(A11,'Primary_snapshot'!$A$2:$A$132,0))="","",INDEX('Primary_snapshot'!$C$2:$C$132,MATCH(A11,'Primary_snapshot'!$A$2:$A$132,0))),IF(AND(D11="retain",E11="statistical_results"),IF(H11="","",H11),"not_applicable")=IF(INDEX('Primary_snapshot'!$D$2:$D$132,MATCH(A11,'Primary_snapshot'!$A$2:$A$132,0))="","",INDEX('Primary_snapshot'!$D$2:$D$132,MATCH(A11,'Primary_snapshot'!$A$2:$A$132,0))),IF(AND(D11="retain",E11="statistical_results"),IF(I11="","",I11),"not_applicable")=IF(INDEX('Primary_snapshot'!$E$2:$E$132,MATCH(A11,'Primary_snapshot'!$A$2:$A$132,0))="","",INDEX('Primary_snapshot'!$E$2:$E$132,MATCH(A11,'Primary_snapshot'!$A$2:$A$132,0))),IF(AND(D11="retain",E11="statistical_results"),IF(J11="","",J11),"not_applicable")=IF(INDEX('Primary_snapshot'!$F$2:$F$132,MATCH(A11,'Primary_snapshot'!$A$2:$A$132,0))="","",INDEX('Primary_snapshot'!$F$2:$F$132,MATCH(A11,'Primary_snapshot'!$A$2:$A$132,0))),IF(AND(D11="retain",OR(E11="report_internal_inconsistency",E11="plan_material")),IF(K11="","",K11),"not_applicable")=IF(INDEX('Primary_snapshot'!$G$2:$G$132,MATCH(A11,'Primary_snapshot'!$A$2:$A$132,0))="","",INDEX('Primary_snapshot'!$G$2:$G$132,MATCH(A11,'Primary_snapshot'!$A$2:$A$132,0))),IF(AND(D11="retain",E11="protocol_report"),IF(L11="","",L11),"not_applicable")=IF(INDEX('Primary_snapshot'!$H$2:$H$132,MATCH(A11,'Primary_snapshot'!$A$2:$A$132,0))="","",INDEX('Primary_snapshot'!$H$2:$H$132,MATCH(A11,'Primary_snapshot'!$A$2:$A$132,0))),IF(R11="","",R11)=IF(INDEX('Primary_snapshot'!$I$2:$I$132,MATCH(A11,'Primary_snapshot'!$A$2:$A$132,0))="","",INDEX('Primary_snapshot'!$I$2:$I$132,MATCH(A11,'Primary_snapshot'!$A$2:$A$132,0)))))),"AGREE BUT CHANGED",IF(AND(P11&lt;&gt;"",NOT(OR(P11="pending",P11="resolved"))),"CHECK RESOLUTION",IF(OR(AND(OR(D11="discuss",INDEX('Primary_snapshot'!$B$2:$B$132,MATCH(A11,'Primary_snapshot'!$A$2:$A$132,0))="discuss",N11="disagree",N11="unable"),P11&lt;&gt;"resolved"),D11="discuss"),"DISCUSS",IF(AND(P11="resolved",LEN(TRIM(Q11))=0),"RESOLUTION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IF(Setup!$B$6="primary","",IFERROR(IF(INDEX('Primary_snapshot'!$L$2:$L$132,MATCH(A11,'Primary_snapshot'!$A$2:$A$132,0))="","",INDEX('Primary_snapshot'!$L$2:$L$132,MATCH(A11,'Primary_snapshot'!$A$2:$A$132,0))),"SNAPSHOT MISSING"))</x:f>
      </x:c>
      <x:c r="N11" s="7" t="str"/>
      <x:c r="O11" s="7" t="str"/>
      <x:c r="P11" s="7" t="str"/>
      <x:c r="Q11" s="7" t="str"/>
      <x:c r="R11" s="13" t="str"/>
    </x:row>
    <x:row r="12" ht="92" customHeight="1">
      <x:c r="A12" s="6" t="str">
        <x:v>2025::jama.2025.11178::C011</x:v>
      </x:c>
      <x:c r="B12" s="6" t="str">
        <x:v>Pain-interference 12-month painTRAINER SMD outside printed CI</x:v>
      </x:c>
      <x:c r="C12" s="6" t="str">
        <x:v>main article — PDF p. 10, Table 3, interference 12 months, painTRAINER vs usual care plus SMD.</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IDs",IF(OR(COUNTIF($A$2:$A$38,A12)&lt;&gt;1,COUNTIF(Decisions!$C$2:$C$132,A12)&lt;&gt;1),"CHECK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$132,A12)&lt;&gt;1,INDEX('Primary_snapshot'!$J$2:$J$132,MATCH(A12,'Primary_snapshot'!$A$2:$A$132,0))&lt;&gt;"primary_done",INDEX('Primary_snapshot'!$K$2:$K$132,MATCH(A12,'Primary_snapshot'!$A$2:$A$132,0))&lt;&gt;Setup!$B$2,INDEX('Primary_snapshot'!$B$2:$B$132,MATCH(A12,'Primary_snapshot'!$A$2:$A$132,0))="NOT FROZEN",INDEX('Primary_snapshot'!$C$2:$C$132,MATCH(A12,'Primary_snapshot'!$A$2:$A$132,0))="NOT FROZEN",INDEX('Primary_snapshot'!$D$2:$D$132,MATCH(A12,'Primary_snapshot'!$A$2:$A$132,0))="NOT FROZEN",INDEX('Primary_snapshot'!$E$2:$E$132,MATCH(A12,'Primary_snapshot'!$A$2:$A$132,0))="NOT FROZEN",INDEX('Primary_snapshot'!$F$2:$F$132,MATCH(A12,'Primary_snapshot'!$A$2:$A$132,0))="NOT FROZEN",INDEX('Primary_snapshot'!$G$2:$G$132,MATCH(A12,'Primary_snapshot'!$A$2:$A$132,0))="NOT FROZEN",INDEX('Primary_snapshot'!$H$2:$H$132,MATCH(A12,'Primary_snapshot'!$A$2:$A$132,0))="NOT FROZEN",INDEX('Primary_snapshot'!$I$2:$I$132,MATCH(A12,'Primary_snapshot'!$A$2:$A$132,0))="NOT FROZEN",INDEX('Primary_snapshot'!$J$2:$J$132,MATCH(A12,'Primary_snapshot'!$A$2:$A$132,0))="NOT FROZEN",INDEX('Primary_snapshot'!$K$2:$K$132,MATCH(A12,'Primary_snapshot'!$A$2:$A$132,0))="NOT FROZEN",INDEX('Primary_snapshot'!$L$2:$L$132,MATCH(A12,'Primary_snapshot'!$A$2:$A$132,0))="NOT FROZEN"),"FREEZE SNAPSHOT",IF(NOT(OR(N12="agree",N12="agree_clarification",N12="disagree",N12="unable")),"CHECKER RESULT NEEDED",IF(AND(N12&lt;&gt;"agree",LEN(TRIM(O12))=0),"COMMENT NEEDED",IF(AND(N12="agree",NOT(AND(IF(D12="","",D12)=IF(INDEX('Primary_snapshot'!$B$2:$B$132,MATCH(A12,'Primary_snapshot'!$A$2:$A$132,0))="","",INDEX('Primary_snapshot'!$B$2:$B$132,MATCH(A12,'Primary_snapshot'!$A$2:$A$132,0))),IF(E12="","",E12)=IF(INDEX('Primary_snapshot'!$C$2:$C$132,MATCH(A12,'Primary_snapshot'!$A$2:$A$132,0))="","",INDEX('Primary_snapshot'!$C$2:$C$132,MATCH(A12,'Primary_snapshot'!$A$2:$A$132,0))),IF(AND(D12="retain",E12="statistical_results"),IF(H12="","",H12),"not_applicable")=IF(INDEX('Primary_snapshot'!$D$2:$D$132,MATCH(A12,'Primary_snapshot'!$A$2:$A$132,0))="","",INDEX('Primary_snapshot'!$D$2:$D$132,MATCH(A12,'Primary_snapshot'!$A$2:$A$132,0))),IF(AND(D12="retain",E12="statistical_results"),IF(I12="","",I12),"not_applicable")=IF(INDEX('Primary_snapshot'!$E$2:$E$132,MATCH(A12,'Primary_snapshot'!$A$2:$A$132,0))="","",INDEX('Primary_snapshot'!$E$2:$E$132,MATCH(A12,'Primary_snapshot'!$A$2:$A$132,0))),IF(AND(D12="retain",E12="statistical_results"),IF(J12="","",J12),"not_applicable")=IF(INDEX('Primary_snapshot'!$F$2:$F$132,MATCH(A12,'Primary_snapshot'!$A$2:$A$132,0))="","",INDEX('Primary_snapshot'!$F$2:$F$132,MATCH(A12,'Primary_snapshot'!$A$2:$A$132,0))),IF(AND(D12="retain",OR(E12="report_internal_inconsistency",E12="plan_material")),IF(K12="","",K12),"not_applicable")=IF(INDEX('Primary_snapshot'!$G$2:$G$132,MATCH(A12,'Primary_snapshot'!$A$2:$A$132,0))="","",INDEX('Primary_snapshot'!$G$2:$G$132,MATCH(A12,'Primary_snapshot'!$A$2:$A$132,0))),IF(AND(D12="retain",E12="protocol_report"),IF(L12="","",L12),"not_applicable")=IF(INDEX('Primary_snapshot'!$H$2:$H$132,MATCH(A12,'Primary_snapshot'!$A$2:$A$132,0))="","",INDEX('Primary_snapshot'!$H$2:$H$132,MATCH(A12,'Primary_snapshot'!$A$2:$A$132,0))),IF(R12="","",R12)=IF(INDEX('Primary_snapshot'!$I$2:$I$132,MATCH(A12,'Primary_snapshot'!$A$2:$A$132,0))="","",INDEX('Primary_snapshot'!$I$2:$I$132,MATCH(A12,'Primary_snapshot'!$A$2:$A$132,0)))))),"AGREE BUT CHANGED",IF(AND(P12&lt;&gt;"",NOT(OR(P12="pending",P12="resolved"))),"CHECK RESOLUTION",IF(OR(AND(OR(D12="discuss",INDEX('Primary_snapshot'!$B$2:$B$132,MATCH(A12,'Primary_snapshot'!$A$2:$A$132,0))="discuss",N12="disagree",N12="unable"),P12&lt;&gt;"resolved"),D12="discuss"),"DISCUSS",IF(AND(P12="resolved",LEN(TRIM(Q12))=0),"RESOLUTION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IF(Setup!$B$6="primary","",IFERROR(IF(INDEX('Primary_snapshot'!$L$2:$L$132,MATCH(A12,'Primary_snapshot'!$A$2:$A$132,0))="","",INDEX('Primary_snapshot'!$L$2:$L$132,MATCH(A12,'Primary_snapshot'!$A$2:$A$132,0))),"SNAPSHOT MISSING"))</x:f>
      </x:c>
      <x:c r="N12" s="7" t="str"/>
      <x:c r="O12" s="7" t="str"/>
      <x:c r="P12" s="7" t="str"/>
      <x:c r="Q12" s="7" t="str"/>
      <x:c r="R12" s="13" t="str"/>
    </x:row>
    <x:row r="13" ht="92" customHeight="1">
      <x:c r="A13" s="3" t="str">
        <x:v>2025::jama.2025.11178::C012</x:v>
      </x:c>
      <x:c r="B13" s="3" t="str">
        <x:v>Pain-interference 12-month Health Coach SMD outside printed CI</x:v>
      </x:c>
      <x:c r="C13" s="3" t="str">
        <x:v>main article — PDF p. 10, Table 3, interference 12 months, Health Coach vs usual care plus SMD.</x:v>
      </x:c>
      <x:c r="D13" s="7" t="str"/>
      <x:c r="E13" s="7" t="str">
        <x:v>statistical_results</x:v>
      </x:c>
      <x:c r="F13" s="7" t="str">
        <x:v>no</x:v>
      </x:c>
      <x:c r="G13" s="3" t="str">
        <x:f>IFERROR(IF(NOT(OR(Setup!$B$6="primary",Setup!$B$6="checker")),"CHECK STAGE",IF(OR(LEN(TRIM(Setup!$B$2))=0,Setup!$B$2&lt;&gt;TRIM(Setup!$B$2),AND(Setup!$B$6="checker",OR(LEN(TRIM(Setup!$B$4))=0,Setup!$B$4&lt;&gt;TRIM(Setup!$B$4),LOWER(TRIM(Setup!$B$4))=LOWER(TRIM(Setup!$B$2))))),"CHECK REVIEWER IDs",IF(OR(COUNTIF($A$2:$A$38,A13)&lt;&gt;1,COUNTIF(Decisions!$C$2:$C$132,A13)&lt;&gt;1),"CHECK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$132,A13)&lt;&gt;1,INDEX('Primary_snapshot'!$J$2:$J$132,MATCH(A13,'Primary_snapshot'!$A$2:$A$132,0))&lt;&gt;"primary_done",INDEX('Primary_snapshot'!$K$2:$K$132,MATCH(A13,'Primary_snapshot'!$A$2:$A$132,0))&lt;&gt;Setup!$B$2,INDEX('Primary_snapshot'!$B$2:$B$132,MATCH(A13,'Primary_snapshot'!$A$2:$A$132,0))="NOT FROZEN",INDEX('Primary_snapshot'!$C$2:$C$132,MATCH(A13,'Primary_snapshot'!$A$2:$A$132,0))="NOT FROZEN",INDEX('Primary_snapshot'!$D$2:$D$132,MATCH(A13,'Primary_snapshot'!$A$2:$A$132,0))="NOT FROZEN",INDEX('Primary_snapshot'!$E$2:$E$132,MATCH(A13,'Primary_snapshot'!$A$2:$A$132,0))="NOT FROZEN",INDEX('Primary_snapshot'!$F$2:$F$132,MATCH(A13,'Primary_snapshot'!$A$2:$A$132,0))="NOT FROZEN",INDEX('Primary_snapshot'!$G$2:$G$132,MATCH(A13,'Primary_snapshot'!$A$2:$A$132,0))="NOT FROZEN",INDEX('Primary_snapshot'!$H$2:$H$132,MATCH(A13,'Primary_snapshot'!$A$2:$A$132,0))="NOT FROZEN",INDEX('Primary_snapshot'!$I$2:$I$132,MATCH(A13,'Primary_snapshot'!$A$2:$A$132,0))="NOT FROZEN",INDEX('Primary_snapshot'!$J$2:$J$132,MATCH(A13,'Primary_snapshot'!$A$2:$A$132,0))="NOT FROZEN",INDEX('Primary_snapshot'!$K$2:$K$132,MATCH(A13,'Primary_snapshot'!$A$2:$A$132,0))="NOT FROZEN",INDEX('Primary_snapshot'!$L$2:$L$132,MATCH(A13,'Primary_snapshot'!$A$2:$A$132,0))="NOT FROZEN"),"FREEZE SNAPSHOT",IF(NOT(OR(N13="agree",N13="agree_clarification",N13="disagree",N13="unable")),"CHECKER RESULT NEEDED",IF(AND(N13&lt;&gt;"agree",LEN(TRIM(O13))=0),"COMMENT NEEDED",IF(AND(N13="agree",NOT(AND(IF(D13="","",D13)=IF(INDEX('Primary_snapshot'!$B$2:$B$132,MATCH(A13,'Primary_snapshot'!$A$2:$A$132,0))="","",INDEX('Primary_snapshot'!$B$2:$B$132,MATCH(A13,'Primary_snapshot'!$A$2:$A$132,0))),IF(E13="","",E13)=IF(INDEX('Primary_snapshot'!$C$2:$C$132,MATCH(A13,'Primary_snapshot'!$A$2:$A$132,0))="","",INDEX('Primary_snapshot'!$C$2:$C$132,MATCH(A13,'Primary_snapshot'!$A$2:$A$132,0))),IF(AND(D13="retain",E13="statistical_results"),IF(H13="","",H13),"not_applicable")=IF(INDEX('Primary_snapshot'!$D$2:$D$132,MATCH(A13,'Primary_snapshot'!$A$2:$A$132,0))="","",INDEX('Primary_snapshot'!$D$2:$D$132,MATCH(A13,'Primary_snapshot'!$A$2:$A$132,0))),IF(AND(D13="retain",E13="statistical_results"),IF(I13="","",I13),"not_applicable")=IF(INDEX('Primary_snapshot'!$E$2:$E$132,MATCH(A13,'Primary_snapshot'!$A$2:$A$132,0))="","",INDEX('Primary_snapshot'!$E$2:$E$132,MATCH(A13,'Primary_snapshot'!$A$2:$A$132,0))),IF(AND(D13="retain",E13="statistical_results"),IF(J13="","",J13),"not_applicable")=IF(INDEX('Primary_snapshot'!$F$2:$F$132,MATCH(A13,'Primary_snapshot'!$A$2:$A$132,0))="","",INDEX('Primary_snapshot'!$F$2:$F$132,MATCH(A13,'Primary_snapshot'!$A$2:$A$132,0))),IF(AND(D13="retain",OR(E13="report_internal_inconsistency",E13="plan_material")),IF(K13="","",K13),"not_applicable")=IF(INDEX('Primary_snapshot'!$G$2:$G$132,MATCH(A13,'Primary_snapshot'!$A$2:$A$132,0))="","",INDEX('Primary_snapshot'!$G$2:$G$132,MATCH(A13,'Primary_snapshot'!$A$2:$A$132,0))),IF(AND(D13="retain",E13="protocol_report"),IF(L13="","",L13),"not_applicable")=IF(INDEX('Primary_snapshot'!$H$2:$H$132,MATCH(A13,'Primary_snapshot'!$A$2:$A$132,0))="","",INDEX('Primary_snapshot'!$H$2:$H$132,MATCH(A13,'Primary_snapshot'!$A$2:$A$132,0))),IF(R13="","",R13)=IF(INDEX('Primary_snapshot'!$I$2:$I$132,MATCH(A13,'Primary_snapshot'!$A$2:$A$132,0))="","",INDEX('Primary_snapshot'!$I$2:$I$132,MATCH(A13,'Primary_snapshot'!$A$2:$A$132,0)))))),"AGREE BUT CHANGED",IF(AND(P13&lt;&gt;"",NOT(OR(P13="pending",P13="resolved"))),"CHECK RESOLUTION",IF(OR(AND(OR(D13="discuss",INDEX('Primary_snapshot'!$B$2:$B$132,MATCH(A13,'Primary_snapshot'!$A$2:$A$132,0))="discuss",N13="disagree",N13="unable"),P13&lt;&gt;"resolved"),D13="discuss"),"DISCUSS",IF(AND(P13="resolved",LEN(TRIM(Q13))=0),"RESOLUTION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c>
      <x:c r="I13" s="7" t="str">
        <x:f>IF(AND(OR(D13="retain",D13=""),E13="statistical_results"),"","not_applicable")</x:f>
      </x:c>
      <x:c r="J13" s="13" t="str">
        <x:f>IF(AND(OR(D13="retain",D13=""),E13="statistical_results"),"","not_applicable")</x:f>
      </x:c>
      <x:c r="K13" s="7" t="str">
        <x:f>IF(AND(OR(D13="retain",D13=""),OR(E13="report_internal_inconsistency",E13="plan_material")),"","not_applicable")</x:f>
        <x:v>not_applicable</x:v>
      </x:c>
      <x:c r="L13" s="13" t="str">
        <x:f>IF(AND(OR(D13="retain",D13=""),E13="protocol_report"),"","not_applicable")</x:f>
        <x:v>not_applicable</x:v>
      </x:c>
      <x:c r="M13" s="3" t="str">
        <x:f>IF(Setup!$B$6="primary","",IFERROR(IF(INDEX('Primary_snapshot'!$L$2:$L$132,MATCH(A13,'Primary_snapshot'!$A$2:$A$132,0))="","",INDEX('Primary_snapshot'!$L$2:$L$132,MATCH(A13,'Primary_snapshot'!$A$2:$A$132,0))),"SNAPSHOT MISSING"))</x:f>
      </x:c>
      <x:c r="N13" s="7" t="str"/>
      <x:c r="O13" s="7" t="str"/>
      <x:c r="P13" s="7" t="str"/>
      <x:c r="Q13" s="7" t="str"/>
      <x:c r="R13" s="13" t="str"/>
    </x:row>
    <x:row r="14" ht="92" customHeight="1">
      <x:c r="A14" s="6" t="str">
        <x:v>2025::jama.2025.11178::C013</x:v>
      </x:c>
      <x:c r="B14" s="6" t="str">
        <x:v>Social-role 3-month painTRAINER SMD endpoints reversed</x:v>
      </x:c>
      <x:c r="C14" s="6" t="str">
        <x:v>main article — PDF p. 10, Table 3, social role, 3 months, painTRAINER vs usual care plus SMD.</x:v>
      </x:c>
      <x:c r="D14" s="7" t="str"/>
      <x:c r="E14" s="7" t="str">
        <x:v>statistical_results</x:v>
      </x:c>
      <x:c r="F14" s="7" t="str">
        <x:v>no</x:v>
      </x:c>
      <x:c r="G14" s="6" t="str">
        <x:f>IFERROR(IF(NOT(OR(Setup!$B$6="primary",Setup!$B$6="checker")),"CHECK STAGE",IF(OR(LEN(TRIM(Setup!$B$2))=0,Setup!$B$2&lt;&gt;TRIM(Setup!$B$2),AND(Setup!$B$6="checker",OR(LEN(TRIM(Setup!$B$4))=0,Setup!$B$4&lt;&gt;TRIM(Setup!$B$4),LOWER(TRIM(Setup!$B$4))=LOWER(TRIM(Setup!$B$2))))),"CHECK REVIEWER IDs",IF(OR(COUNTIF($A$2:$A$38,A14)&lt;&gt;1,COUNTIF(Decisions!$C$2:$C$132,A14)&lt;&gt;1),"CHECK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$132,A14)&lt;&gt;1,INDEX('Primary_snapshot'!$J$2:$J$132,MATCH(A14,'Primary_snapshot'!$A$2:$A$132,0))&lt;&gt;"primary_done",INDEX('Primary_snapshot'!$K$2:$K$132,MATCH(A14,'Primary_snapshot'!$A$2:$A$132,0))&lt;&gt;Setup!$B$2,INDEX('Primary_snapshot'!$B$2:$B$132,MATCH(A14,'Primary_snapshot'!$A$2:$A$132,0))="NOT FROZEN",INDEX('Primary_snapshot'!$C$2:$C$132,MATCH(A14,'Primary_snapshot'!$A$2:$A$132,0))="NOT FROZEN",INDEX('Primary_snapshot'!$D$2:$D$132,MATCH(A14,'Primary_snapshot'!$A$2:$A$132,0))="NOT FROZEN",INDEX('Primary_snapshot'!$E$2:$E$132,MATCH(A14,'Primary_snapshot'!$A$2:$A$132,0))="NOT FROZEN",INDEX('Primary_snapshot'!$F$2:$F$132,MATCH(A14,'Primary_snapshot'!$A$2:$A$132,0))="NOT FROZEN",INDEX('Primary_snapshot'!$G$2:$G$132,MATCH(A14,'Primary_snapshot'!$A$2:$A$132,0))="NOT FROZEN",INDEX('Primary_snapshot'!$H$2:$H$132,MATCH(A14,'Primary_snapshot'!$A$2:$A$132,0))="NOT FROZEN",INDEX('Primary_snapshot'!$I$2:$I$132,MATCH(A14,'Primary_snapshot'!$A$2:$A$132,0))="NOT FROZEN",INDEX('Primary_snapshot'!$J$2:$J$132,MATCH(A14,'Primary_snapshot'!$A$2:$A$132,0))="NOT FROZEN",INDEX('Primary_snapshot'!$K$2:$K$132,MATCH(A14,'Primary_snapshot'!$A$2:$A$132,0))="NOT FROZEN",INDEX('Primary_snapshot'!$L$2:$L$132,MATCH(A14,'Primary_snapshot'!$A$2:$A$132,0))="NOT FROZEN"),"FREEZE SNAPSHOT",IF(NOT(OR(N14="agree",N14="agree_clarification",N14="disagree",N14="unable")),"CHECKER RESULT NEEDED",IF(AND(N14&lt;&gt;"agree",LEN(TRIM(O14))=0),"COMMENT NEEDED",IF(AND(N14="agree",NOT(AND(IF(D14="","",D14)=IF(INDEX('Primary_snapshot'!$B$2:$B$132,MATCH(A14,'Primary_snapshot'!$A$2:$A$132,0))="","",INDEX('Primary_snapshot'!$B$2:$B$132,MATCH(A14,'Primary_snapshot'!$A$2:$A$132,0))),IF(E14="","",E14)=IF(INDEX('Primary_snapshot'!$C$2:$C$132,MATCH(A14,'Primary_snapshot'!$A$2:$A$132,0))="","",INDEX('Primary_snapshot'!$C$2:$C$132,MATCH(A14,'Primary_snapshot'!$A$2:$A$132,0))),IF(AND(D14="retain",E14="statistical_results"),IF(H14="","",H14),"not_applicable")=IF(INDEX('Primary_snapshot'!$D$2:$D$132,MATCH(A14,'Primary_snapshot'!$A$2:$A$132,0))="","",INDEX('Primary_snapshot'!$D$2:$D$132,MATCH(A14,'Primary_snapshot'!$A$2:$A$132,0))),IF(AND(D14="retain",E14="statistical_results"),IF(I14="","",I14),"not_applicable")=IF(INDEX('Primary_snapshot'!$E$2:$E$132,MATCH(A14,'Primary_snapshot'!$A$2:$A$132,0))="","",INDEX('Primary_snapshot'!$E$2:$E$132,MATCH(A14,'Primary_snapshot'!$A$2:$A$132,0))),IF(AND(D14="retain",E14="statistical_results"),IF(J14="","",J14),"not_applicable")=IF(INDEX('Primary_snapshot'!$F$2:$F$132,MATCH(A14,'Primary_snapshot'!$A$2:$A$132,0))="","",INDEX('Primary_snapshot'!$F$2:$F$132,MATCH(A14,'Primary_snapshot'!$A$2:$A$132,0))),IF(AND(D14="retain",OR(E14="report_internal_inconsistency",E14="plan_material")),IF(K14="","",K14),"not_applicable")=IF(INDEX('Primary_snapshot'!$G$2:$G$132,MATCH(A14,'Primary_snapshot'!$A$2:$A$132,0))="","",INDEX('Primary_snapshot'!$G$2:$G$132,MATCH(A14,'Primary_snapshot'!$A$2:$A$132,0))),IF(AND(D14="retain",E14="protocol_report"),IF(L14="","",L14),"not_applicable")=IF(INDEX('Primary_snapshot'!$H$2:$H$132,MATCH(A14,'Primary_snapshot'!$A$2:$A$132,0))="","",INDEX('Primary_snapshot'!$H$2:$H$132,MATCH(A14,'Primary_snapshot'!$A$2:$A$132,0))),IF(R14="","",R14)=IF(INDEX('Primary_snapshot'!$I$2:$I$132,MATCH(A14,'Primary_snapshot'!$A$2:$A$132,0))="","",INDEX('Primary_snapshot'!$I$2:$I$132,MATCH(A14,'Primary_snapshot'!$A$2:$A$132,0)))))),"AGREE BUT CHANGED",IF(AND(P14&lt;&gt;"",NOT(OR(P14="pending",P14="resolved"))),"CHECK RESOLUTION",IF(OR(AND(OR(D14="discuss",INDEX('Primary_snapshot'!$B$2:$B$132,MATCH(A14,'Primary_snapshot'!$A$2:$A$132,0))="discuss",N14="disagree",N14="unable"),P14&lt;&gt;"resolved"),D14="discuss"),"DISCUSS",IF(AND(P14="resolved",LEN(TRIM(Q14))=0),"RESOLUTION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c>
      <x:c r="I14" s="7" t="str">
        <x:f>IF(AND(OR(D14="retain",D14=""),E14="statistical_results"),"","not_applicable")</x:f>
      </x:c>
      <x:c r="J14" s="13" t="str">
        <x:f>IF(AND(OR(D14="retain",D14=""),E14="statistical_results"),"","not_applicable")</x:f>
      </x:c>
      <x:c r="K14" s="7" t="str">
        <x:f>IF(AND(OR(D14="retain",D14=""),OR(E14="report_internal_inconsistency",E14="plan_material")),"","not_applicable")</x:f>
        <x:v>not_applicable</x:v>
      </x:c>
      <x:c r="L14" s="13" t="str">
        <x:f>IF(AND(OR(D14="retain",D14=""),E14="protocol_report"),"","not_applicable")</x:f>
        <x:v>not_applicable</x:v>
      </x:c>
      <x:c r="M14" s="6" t="str">
        <x:f>IF(Setup!$B$6="primary","",IFERROR(IF(INDEX('Primary_snapshot'!$L$2:$L$132,MATCH(A14,'Primary_snapshot'!$A$2:$A$132,0))="","",INDEX('Primary_snapshot'!$L$2:$L$132,MATCH(A14,'Primary_snapshot'!$A$2:$A$132,0))),"SNAPSHOT MISSING"))</x:f>
      </x:c>
      <x:c r="N14" s="7" t="str"/>
      <x:c r="O14" s="7" t="str"/>
      <x:c r="P14" s="7" t="str"/>
      <x:c r="Q14" s="7" t="str"/>
      <x:c r="R14" s="13" t="str"/>
    </x:row>
    <x:row r="15" ht="92" customHeight="1">
      <x:c r="A15" s="3" t="str">
        <x:v>2025::jama.2025.11178::C014</x:v>
      </x:c>
      <x:c r="B15" s="3" t="str">
        <x:v>Social-role 3-month Health Coach SMD endpoints reversed</x:v>
      </x:c>
      <x:c r="C15" s="3" t="str">
        <x:v>main article — PDF p. 10, Table 3, social role, 3 months, Health Coach vs usual care plus SMD.</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IDs",IF(OR(COUNTIF($A$2:$A$38,A15)&lt;&gt;1,COUNTIF(Decisions!$C$2:$C$132,A15)&lt;&gt;1),"CHECK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$132,A15)&lt;&gt;1,INDEX('Primary_snapshot'!$J$2:$J$132,MATCH(A15,'Primary_snapshot'!$A$2:$A$132,0))&lt;&gt;"primary_done",INDEX('Primary_snapshot'!$K$2:$K$132,MATCH(A15,'Primary_snapshot'!$A$2:$A$132,0))&lt;&gt;Setup!$B$2,INDEX('Primary_snapshot'!$B$2:$B$132,MATCH(A15,'Primary_snapshot'!$A$2:$A$132,0))="NOT FROZEN",INDEX('Primary_snapshot'!$C$2:$C$132,MATCH(A15,'Primary_snapshot'!$A$2:$A$132,0))="NOT FROZEN",INDEX('Primary_snapshot'!$D$2:$D$132,MATCH(A15,'Primary_snapshot'!$A$2:$A$132,0))="NOT FROZEN",INDEX('Primary_snapshot'!$E$2:$E$132,MATCH(A15,'Primary_snapshot'!$A$2:$A$132,0))="NOT FROZEN",INDEX('Primary_snapshot'!$F$2:$F$132,MATCH(A15,'Primary_snapshot'!$A$2:$A$132,0))="NOT FROZEN",INDEX('Primary_snapshot'!$G$2:$G$132,MATCH(A15,'Primary_snapshot'!$A$2:$A$132,0))="NOT FROZEN",INDEX('Primary_snapshot'!$H$2:$H$132,MATCH(A15,'Primary_snapshot'!$A$2:$A$132,0))="NOT FROZEN",INDEX('Primary_snapshot'!$I$2:$I$132,MATCH(A15,'Primary_snapshot'!$A$2:$A$132,0))="NOT FROZEN",INDEX('Primary_snapshot'!$J$2:$J$132,MATCH(A15,'Primary_snapshot'!$A$2:$A$132,0))="NOT FROZEN",INDEX('Primary_snapshot'!$K$2:$K$132,MATCH(A15,'Primary_snapshot'!$A$2:$A$132,0))="NOT FROZEN",INDEX('Primary_snapshot'!$L$2:$L$132,MATCH(A15,'Primary_snapshot'!$A$2:$A$132,0))="NOT FROZEN"),"FREEZE SNAPSHOT",IF(NOT(OR(N15="agree",N15="agree_clarification",N15="disagree",N15="unable")),"CHECKER RESULT NEEDED",IF(AND(N15&lt;&gt;"agree",LEN(TRIM(O15))=0),"COMMENT NEEDED",IF(AND(N15="agree",NOT(AND(IF(D15="","",D15)=IF(INDEX('Primary_snapshot'!$B$2:$B$132,MATCH(A15,'Primary_snapshot'!$A$2:$A$132,0))="","",INDEX('Primary_snapshot'!$B$2:$B$132,MATCH(A15,'Primary_snapshot'!$A$2:$A$132,0))),IF(E15="","",E15)=IF(INDEX('Primary_snapshot'!$C$2:$C$132,MATCH(A15,'Primary_snapshot'!$A$2:$A$132,0))="","",INDEX('Primary_snapshot'!$C$2:$C$132,MATCH(A15,'Primary_snapshot'!$A$2:$A$132,0))),IF(AND(D15="retain",E15="statistical_results"),IF(H15="","",H15),"not_applicable")=IF(INDEX('Primary_snapshot'!$D$2:$D$132,MATCH(A15,'Primary_snapshot'!$A$2:$A$132,0))="","",INDEX('Primary_snapshot'!$D$2:$D$132,MATCH(A15,'Primary_snapshot'!$A$2:$A$132,0))),IF(AND(D15="retain",E15="statistical_results"),IF(I15="","",I15),"not_applicable")=IF(INDEX('Primary_snapshot'!$E$2:$E$132,MATCH(A15,'Primary_snapshot'!$A$2:$A$132,0))="","",INDEX('Primary_snapshot'!$E$2:$E$132,MATCH(A15,'Primary_snapshot'!$A$2:$A$132,0))),IF(AND(D15="retain",E15="statistical_results"),IF(J15="","",J15),"not_applicable")=IF(INDEX('Primary_snapshot'!$F$2:$F$132,MATCH(A15,'Primary_snapshot'!$A$2:$A$132,0))="","",INDEX('Primary_snapshot'!$F$2:$F$132,MATCH(A15,'Primary_snapshot'!$A$2:$A$132,0))),IF(AND(D15="retain",OR(E15="report_internal_inconsistency",E15="plan_material")),IF(K15="","",K15),"not_applicable")=IF(INDEX('Primary_snapshot'!$G$2:$G$132,MATCH(A15,'Primary_snapshot'!$A$2:$A$132,0))="","",INDEX('Primary_snapshot'!$G$2:$G$132,MATCH(A15,'Primary_snapshot'!$A$2:$A$132,0))),IF(AND(D15="retain",E15="protocol_report"),IF(L15="","",L15),"not_applicable")=IF(INDEX('Primary_snapshot'!$H$2:$H$132,MATCH(A15,'Primary_snapshot'!$A$2:$A$132,0))="","",INDEX('Primary_snapshot'!$H$2:$H$132,MATCH(A15,'Primary_snapshot'!$A$2:$A$132,0))),IF(R15="","",R15)=IF(INDEX('Primary_snapshot'!$I$2:$I$132,MATCH(A15,'Primary_snapshot'!$A$2:$A$132,0))="","",INDEX('Primary_snapshot'!$I$2:$I$132,MATCH(A15,'Primary_snapshot'!$A$2:$A$132,0)))))),"AGREE BUT CHANGED",IF(AND(P15&lt;&gt;"",NOT(OR(P15="pending",P15="resolved"))),"CHECK RESOLUTION",IF(OR(AND(OR(D15="discuss",INDEX('Primary_snapshot'!$B$2:$B$132,MATCH(A15,'Primary_snapshot'!$A$2:$A$132,0))="discuss",N15="disagree",N15="unable"),P15&lt;&gt;"resolved"),D15="discuss"),"DISCUSS",IF(AND(P15="resolved",LEN(TRIM(Q15))=0),"RESOLUTION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IF(Setup!$B$6="primary","",IFERROR(IF(INDEX('Primary_snapshot'!$L$2:$L$132,MATCH(A15,'Primary_snapshot'!$A$2:$A$132,0))="","",INDEX('Primary_snapshot'!$L$2:$L$132,MATCH(A15,'Primary_snapshot'!$A$2:$A$132,0))),"SNAPSHOT MISSING"))</x:f>
      </x:c>
      <x:c r="N15" s="7" t="str"/>
      <x:c r="O15" s="7" t="str"/>
      <x:c r="P15" s="7" t="str"/>
      <x:c r="Q15" s="7" t="str"/>
      <x:c r="R15" s="13" t="str"/>
    </x:row>
    <x:row r="16" ht="92" customHeight="1">
      <x:c r="A16" s="6" t="str">
        <x:v>2025::jama.2025.11178::C015</x:v>
      </x:c>
      <x:c r="B16" s="6" t="str">
        <x:v>Social-role 3-month Health Coach versus painTRAINER SMD endpoints reversed</x:v>
      </x:c>
      <x:c r="C16" s="6" t="str">
        <x:v>main article — PDF p. 10, Table 3, social role, 3 months, Health Coach vs painTRAINER SMD.</x:v>
      </x:c>
      <x:c r="D16" s="7" t="str"/>
      <x:c r="E16" s="7" t="str">
        <x:v>statistical_results</x:v>
      </x:c>
      <x:c r="F16" s="7" t="str">
        <x:v>no</x:v>
      </x:c>
      <x:c r="G16" s="6" t="str">
        <x:f>IFERROR(IF(NOT(OR(Setup!$B$6="primary",Setup!$B$6="checker")),"CHECK STAGE",IF(OR(LEN(TRIM(Setup!$B$2))=0,Setup!$B$2&lt;&gt;TRIM(Setup!$B$2),AND(Setup!$B$6="checker",OR(LEN(TRIM(Setup!$B$4))=0,Setup!$B$4&lt;&gt;TRIM(Setup!$B$4),LOWER(TRIM(Setup!$B$4))=LOWER(TRIM(Setup!$B$2))))),"CHECK REVIEWER IDs",IF(OR(COUNTIF($A$2:$A$38,A16)&lt;&gt;1,COUNTIF(Decisions!$C$2:$C$132,A16)&lt;&gt;1),"CHECK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$132,A16)&lt;&gt;1,INDEX('Primary_snapshot'!$J$2:$J$132,MATCH(A16,'Primary_snapshot'!$A$2:$A$132,0))&lt;&gt;"primary_done",INDEX('Primary_snapshot'!$K$2:$K$132,MATCH(A16,'Primary_snapshot'!$A$2:$A$132,0))&lt;&gt;Setup!$B$2,INDEX('Primary_snapshot'!$B$2:$B$132,MATCH(A16,'Primary_snapshot'!$A$2:$A$132,0))="NOT FROZEN",INDEX('Primary_snapshot'!$C$2:$C$132,MATCH(A16,'Primary_snapshot'!$A$2:$A$132,0))="NOT FROZEN",INDEX('Primary_snapshot'!$D$2:$D$132,MATCH(A16,'Primary_snapshot'!$A$2:$A$132,0))="NOT FROZEN",INDEX('Primary_snapshot'!$E$2:$E$132,MATCH(A16,'Primary_snapshot'!$A$2:$A$132,0))="NOT FROZEN",INDEX('Primary_snapshot'!$F$2:$F$132,MATCH(A16,'Primary_snapshot'!$A$2:$A$132,0))="NOT FROZEN",INDEX('Primary_snapshot'!$G$2:$G$132,MATCH(A16,'Primary_snapshot'!$A$2:$A$132,0))="NOT FROZEN",INDEX('Primary_snapshot'!$H$2:$H$132,MATCH(A16,'Primary_snapshot'!$A$2:$A$132,0))="NOT FROZEN",INDEX('Primary_snapshot'!$I$2:$I$132,MATCH(A16,'Primary_snapshot'!$A$2:$A$132,0))="NOT FROZEN",INDEX('Primary_snapshot'!$J$2:$J$132,MATCH(A16,'Primary_snapshot'!$A$2:$A$132,0))="NOT FROZEN",INDEX('Primary_snapshot'!$K$2:$K$132,MATCH(A16,'Primary_snapshot'!$A$2:$A$132,0))="NOT FROZEN",INDEX('Primary_snapshot'!$L$2:$L$132,MATCH(A16,'Primary_snapshot'!$A$2:$A$132,0))="NOT FROZEN"),"FREEZE SNAPSHOT",IF(NOT(OR(N16="agree",N16="agree_clarification",N16="disagree",N16="unable")),"CHECKER RESULT NEEDED",IF(AND(N16&lt;&gt;"agree",LEN(TRIM(O16))=0),"COMMENT NEEDED",IF(AND(N16="agree",NOT(AND(IF(D16="","",D16)=IF(INDEX('Primary_snapshot'!$B$2:$B$132,MATCH(A16,'Primary_snapshot'!$A$2:$A$132,0))="","",INDEX('Primary_snapshot'!$B$2:$B$132,MATCH(A16,'Primary_snapshot'!$A$2:$A$132,0))),IF(E16="","",E16)=IF(INDEX('Primary_snapshot'!$C$2:$C$132,MATCH(A16,'Primary_snapshot'!$A$2:$A$132,0))="","",INDEX('Primary_snapshot'!$C$2:$C$132,MATCH(A16,'Primary_snapshot'!$A$2:$A$132,0))),IF(AND(D16="retain",E16="statistical_results"),IF(H16="","",H16),"not_applicable")=IF(INDEX('Primary_snapshot'!$D$2:$D$132,MATCH(A16,'Primary_snapshot'!$A$2:$A$132,0))="","",INDEX('Primary_snapshot'!$D$2:$D$132,MATCH(A16,'Primary_snapshot'!$A$2:$A$132,0))),IF(AND(D16="retain",E16="statistical_results"),IF(I16="","",I16),"not_applicable")=IF(INDEX('Primary_snapshot'!$E$2:$E$132,MATCH(A16,'Primary_snapshot'!$A$2:$A$132,0))="","",INDEX('Primary_snapshot'!$E$2:$E$132,MATCH(A16,'Primary_snapshot'!$A$2:$A$132,0))),IF(AND(D16="retain",E16="statistical_results"),IF(J16="","",J16),"not_applicable")=IF(INDEX('Primary_snapshot'!$F$2:$F$132,MATCH(A16,'Primary_snapshot'!$A$2:$A$132,0))="","",INDEX('Primary_snapshot'!$F$2:$F$132,MATCH(A16,'Primary_snapshot'!$A$2:$A$132,0))),IF(AND(D16="retain",OR(E16="report_internal_inconsistency",E16="plan_material")),IF(K16="","",K16),"not_applicable")=IF(INDEX('Primary_snapshot'!$G$2:$G$132,MATCH(A16,'Primary_snapshot'!$A$2:$A$132,0))="","",INDEX('Primary_snapshot'!$G$2:$G$132,MATCH(A16,'Primary_snapshot'!$A$2:$A$132,0))),IF(AND(D16="retain",E16="protocol_report"),IF(L16="","",L16),"not_applicable")=IF(INDEX('Primary_snapshot'!$H$2:$H$132,MATCH(A16,'Primary_snapshot'!$A$2:$A$132,0))="","",INDEX('Primary_snapshot'!$H$2:$H$132,MATCH(A16,'Primary_snapshot'!$A$2:$A$132,0))),IF(R16="","",R16)=IF(INDEX('Primary_snapshot'!$I$2:$I$132,MATCH(A16,'Primary_snapshot'!$A$2:$A$132,0))="","",INDEX('Primary_snapshot'!$I$2:$I$132,MATCH(A16,'Primary_snapshot'!$A$2:$A$132,0)))))),"AGREE BUT CHANGED",IF(AND(P16&lt;&gt;"",NOT(OR(P16="pending",P16="resolved"))),"CHECK RESOLUTION",IF(OR(AND(OR(D16="discuss",INDEX('Primary_snapshot'!$B$2:$B$132,MATCH(A16,'Primary_snapshot'!$A$2:$A$132,0))="discuss",N16="disagree",N16="unable"),P16&lt;&gt;"resolved"),D16="discuss"),"DISCUSS",IF(AND(P16="resolved",LEN(TRIM(Q16))=0),"RESOLUTION NOTE NEEDED",IF(F16&lt;&gt;"checker_done","CHECKER DRAFT","FINAL READY")))))))))))))),"CHECK KEY / SNAPSHOT")</x:f>
        <x:v>CHECK REVIEWER IDs</x:v>
      </x:c>
      <x:c r="H16" s="7" t="str">
        <x:f>IF(AND(OR(D16="retain",D16=""),E16="statistical_results"),"","not_applicable")</x:f>
      </x:c>
      <x:c r="I16" s="7" t="str">
        <x:f>IF(AND(OR(D16="retain",D16=""),E16="statistical_results"),"","not_applicable")</x:f>
      </x:c>
      <x:c r="J16" s="13" t="str">
        <x:f>IF(AND(OR(D16="retain",D16=""),E16="statistical_results"),"","not_applicable")</x:f>
      </x:c>
      <x:c r="K16" s="7" t="str">
        <x:f>IF(AND(OR(D16="retain",D16=""),OR(E16="report_internal_inconsistency",E16="plan_material")),"","not_applicable")</x:f>
        <x:v>not_applicable</x:v>
      </x:c>
      <x:c r="L16" s="13" t="str">
        <x:f>IF(AND(OR(D16="retain",D16=""),E16="protocol_report"),"","not_applicable")</x:f>
        <x:v>not_applicable</x:v>
      </x:c>
      <x:c r="M16" s="6" t="str">
        <x:f>IF(Setup!$B$6="primary","",IFERROR(IF(INDEX('Primary_snapshot'!$L$2:$L$132,MATCH(A16,'Primary_snapshot'!$A$2:$A$132,0))="","",INDEX('Primary_snapshot'!$L$2:$L$132,MATCH(A16,'Primary_snapshot'!$A$2:$A$132,0))),"SNAPSHOT MISSING"))</x:f>
      </x:c>
      <x:c r="N16" s="7" t="str"/>
      <x:c r="O16" s="7" t="str"/>
      <x:c r="P16" s="7" t="str"/>
      <x:c r="Q16" s="7" t="str"/>
      <x:c r="R16" s="13" t="str"/>
    </x:row>
    <x:row r="17" ht="92" customHeight="1">
      <x:c r="A17" s="3" t="str">
        <x:v>2025::jama.2025.11178::C016</x:v>
      </x:c>
      <x:c r="B17" s="3" t="str">
        <x:v>Social-role 6-month painTRAINER SMD endpoints reversed</x:v>
      </x:c>
      <x:c r="C17" s="3" t="str">
        <x:v>main article — PDF p. 10, Table 3, social role, 6 months, painTRAINER vs usual care plus SMD.</x:v>
      </x:c>
      <x:c r="D17" s="7" t="str"/>
      <x:c r="E17" s="7" t="str">
        <x:v>statistical_results</x:v>
      </x:c>
      <x:c r="F17" s="7" t="str">
        <x:v>no</x:v>
      </x:c>
      <x:c r="G17" s="3" t="str">
        <x:f>IFERROR(IF(NOT(OR(Setup!$B$6="primary",Setup!$B$6="checker")),"CHECK STAGE",IF(OR(LEN(TRIM(Setup!$B$2))=0,Setup!$B$2&lt;&gt;TRIM(Setup!$B$2),AND(Setup!$B$6="checker",OR(LEN(TRIM(Setup!$B$4))=0,Setup!$B$4&lt;&gt;TRIM(Setup!$B$4),LOWER(TRIM(Setup!$B$4))=LOWER(TRIM(Setup!$B$2))))),"CHECK REVIEWER IDs",IF(OR(COUNTIF($A$2:$A$38,A17)&lt;&gt;1,COUNTIF(Decisions!$C$2:$C$132,A17)&lt;&gt;1),"CHECK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$132,A17)&lt;&gt;1,INDEX('Primary_snapshot'!$J$2:$J$132,MATCH(A17,'Primary_snapshot'!$A$2:$A$132,0))&lt;&gt;"primary_done",INDEX('Primary_snapshot'!$K$2:$K$132,MATCH(A17,'Primary_snapshot'!$A$2:$A$132,0))&lt;&gt;Setup!$B$2,INDEX('Primary_snapshot'!$B$2:$B$132,MATCH(A17,'Primary_snapshot'!$A$2:$A$132,0))="NOT FROZEN",INDEX('Primary_snapshot'!$C$2:$C$132,MATCH(A17,'Primary_snapshot'!$A$2:$A$132,0))="NOT FROZEN",INDEX('Primary_snapshot'!$D$2:$D$132,MATCH(A17,'Primary_snapshot'!$A$2:$A$132,0))="NOT FROZEN",INDEX('Primary_snapshot'!$E$2:$E$132,MATCH(A17,'Primary_snapshot'!$A$2:$A$132,0))="NOT FROZEN",INDEX('Primary_snapshot'!$F$2:$F$132,MATCH(A17,'Primary_snapshot'!$A$2:$A$132,0))="NOT FROZEN",INDEX('Primary_snapshot'!$G$2:$G$132,MATCH(A17,'Primary_snapshot'!$A$2:$A$132,0))="NOT FROZEN",INDEX('Primary_snapshot'!$H$2:$H$132,MATCH(A17,'Primary_snapshot'!$A$2:$A$132,0))="NOT FROZEN",INDEX('Primary_snapshot'!$I$2:$I$132,MATCH(A17,'Primary_snapshot'!$A$2:$A$132,0))="NOT FROZEN",INDEX('Primary_snapshot'!$J$2:$J$132,MATCH(A17,'Primary_snapshot'!$A$2:$A$132,0))="NOT FROZEN",INDEX('Primary_snapshot'!$K$2:$K$132,MATCH(A17,'Primary_snapshot'!$A$2:$A$132,0))="NOT FROZEN",INDEX('Primary_snapshot'!$L$2:$L$132,MATCH(A17,'Primary_snapshot'!$A$2:$A$132,0))="NOT FROZEN"),"FREEZE SNAPSHOT",IF(NOT(OR(N17="agree",N17="agree_clarification",N17="disagree",N17="unable")),"CHECKER RESULT NEEDED",IF(AND(N17&lt;&gt;"agree",LEN(TRIM(O17))=0),"COMMENT NEEDED",IF(AND(N17="agree",NOT(AND(IF(D17="","",D17)=IF(INDEX('Primary_snapshot'!$B$2:$B$132,MATCH(A17,'Primary_snapshot'!$A$2:$A$132,0))="","",INDEX('Primary_snapshot'!$B$2:$B$132,MATCH(A17,'Primary_snapshot'!$A$2:$A$132,0))),IF(E17="","",E17)=IF(INDEX('Primary_snapshot'!$C$2:$C$132,MATCH(A17,'Primary_snapshot'!$A$2:$A$132,0))="","",INDEX('Primary_snapshot'!$C$2:$C$132,MATCH(A17,'Primary_snapshot'!$A$2:$A$132,0))),IF(AND(D17="retain",E17="statistical_results"),IF(H17="","",H17),"not_applicable")=IF(INDEX('Primary_snapshot'!$D$2:$D$132,MATCH(A17,'Primary_snapshot'!$A$2:$A$132,0))="","",INDEX('Primary_snapshot'!$D$2:$D$132,MATCH(A17,'Primary_snapshot'!$A$2:$A$132,0))),IF(AND(D17="retain",E17="statistical_results"),IF(I17="","",I17),"not_applicable")=IF(INDEX('Primary_snapshot'!$E$2:$E$132,MATCH(A17,'Primary_snapshot'!$A$2:$A$132,0))="","",INDEX('Primary_snapshot'!$E$2:$E$132,MATCH(A17,'Primary_snapshot'!$A$2:$A$132,0))),IF(AND(D17="retain",E17="statistical_results"),IF(J17="","",J17),"not_applicable")=IF(INDEX('Primary_snapshot'!$F$2:$F$132,MATCH(A17,'Primary_snapshot'!$A$2:$A$132,0))="","",INDEX('Primary_snapshot'!$F$2:$F$132,MATCH(A17,'Primary_snapshot'!$A$2:$A$132,0))),IF(AND(D17="retain",OR(E17="report_internal_inconsistency",E17="plan_material")),IF(K17="","",K17),"not_applicable")=IF(INDEX('Primary_snapshot'!$G$2:$G$132,MATCH(A17,'Primary_snapshot'!$A$2:$A$132,0))="","",INDEX('Primary_snapshot'!$G$2:$G$132,MATCH(A17,'Primary_snapshot'!$A$2:$A$132,0))),IF(AND(D17="retain",E17="protocol_report"),IF(L17="","",L17),"not_applicable")=IF(INDEX('Primary_snapshot'!$H$2:$H$132,MATCH(A17,'Primary_snapshot'!$A$2:$A$132,0))="","",INDEX('Primary_snapshot'!$H$2:$H$132,MATCH(A17,'Primary_snapshot'!$A$2:$A$132,0))),IF(R17="","",R17)=IF(INDEX('Primary_snapshot'!$I$2:$I$132,MATCH(A17,'Primary_snapshot'!$A$2:$A$132,0))="","",INDEX('Primary_snapshot'!$I$2:$I$132,MATCH(A17,'Primary_snapshot'!$A$2:$A$132,0)))))),"AGREE BUT CHANGED",IF(AND(P17&lt;&gt;"",NOT(OR(P17="pending",P17="resolved"))),"CHECK RESOLUTION",IF(OR(AND(OR(D17="discuss",INDEX('Primary_snapshot'!$B$2:$B$132,MATCH(A17,'Primary_snapshot'!$A$2:$A$132,0))="discuss",N17="disagree",N17="unable"),P17&lt;&gt;"resolved"),D17="discuss"),"DISCUSS",IF(AND(P17="resolved",LEN(TRIM(Q17))=0),"RESOLUTION NOTE NEEDED",IF(F17&lt;&gt;"checker_done","CHECKER DRAFT","FINAL READY")))))))))))))),"CHECK KEY / SNAPSHOT")</x:f>
        <x:v>CHECK REVIEWER IDs</x:v>
      </x:c>
      <x:c r="H17" s="7" t="str">
        <x:f>IF(AND(OR(D17="retain",D17=""),E17="statistical_results"),"","not_applicable")</x:f>
      </x:c>
      <x:c r="I17" s="7" t="str">
        <x:f>IF(AND(OR(D17="retain",D17=""),E17="statistical_results"),"","not_applicable")</x:f>
      </x:c>
      <x:c r="J17" s="13" t="str">
        <x:f>IF(AND(OR(D17="retain",D17=""),E17="statistical_results"),"","not_applicable")</x:f>
      </x:c>
      <x:c r="K17" s="7" t="str">
        <x:f>IF(AND(OR(D17="retain",D17=""),OR(E17="report_internal_inconsistency",E17="plan_material")),"","not_applicable")</x:f>
        <x:v>not_applicable</x:v>
      </x:c>
      <x:c r="L17" s="13" t="str">
        <x:f>IF(AND(OR(D17="retain",D17=""),E17="protocol_report"),"","not_applicable")</x:f>
        <x:v>not_applicable</x:v>
      </x:c>
      <x:c r="M17" s="3" t="str">
        <x:f>IF(Setup!$B$6="primary","",IFERROR(IF(INDEX('Primary_snapshot'!$L$2:$L$132,MATCH(A17,'Primary_snapshot'!$A$2:$A$132,0))="","",INDEX('Primary_snapshot'!$L$2:$L$132,MATCH(A17,'Primary_snapshot'!$A$2:$A$132,0))),"SNAPSHOT MISSING"))</x:f>
      </x:c>
      <x:c r="N17" s="7" t="str"/>
      <x:c r="O17" s="7" t="str"/>
      <x:c r="P17" s="7" t="str"/>
      <x:c r="Q17" s="7" t="str"/>
      <x:c r="R17" s="13" t="str"/>
    </x:row>
    <x:row r="18" ht="92" customHeight="1">
      <x:c r="A18" s="6" t="str">
        <x:v>2025::jama.2025.11178::C017</x:v>
      </x:c>
      <x:c r="B18" s="6" t="str">
        <x:v>Social-role 6-month Health Coach SMD endpoints reversed</x:v>
      </x:c>
      <x:c r="C18" s="6" t="str">
        <x:v>main article — PDF p. 10, Table 3, social role, 6 months, Health Coach vs usual care plus SMD.</x:v>
      </x:c>
      <x:c r="D18" s="7" t="str"/>
      <x:c r="E18" s="7" t="str">
        <x:v>statistical_results</x:v>
      </x:c>
      <x:c r="F18" s="7" t="str">
        <x:v>no</x:v>
      </x:c>
      <x:c r="G18" s="6" t="str">
        <x:f>IFERROR(IF(NOT(OR(Setup!$B$6="primary",Setup!$B$6="checker")),"CHECK STAGE",IF(OR(LEN(TRIM(Setup!$B$2))=0,Setup!$B$2&lt;&gt;TRIM(Setup!$B$2),AND(Setup!$B$6="checker",OR(LEN(TRIM(Setup!$B$4))=0,Setup!$B$4&lt;&gt;TRIM(Setup!$B$4),LOWER(TRIM(Setup!$B$4))=LOWER(TRIM(Setup!$B$2))))),"CHECK REVIEWER IDs",IF(OR(COUNTIF($A$2:$A$38,A18)&lt;&gt;1,COUNTIF(Decisions!$C$2:$C$132,A18)&lt;&gt;1),"CHECK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FIELDS",IF(Setup!$B$6="primary",IF(OR(N18&lt;&gt;"",O18&lt;&gt;"",P18&lt;&gt;"",Q18&lt;&gt;""),"CLEAR CHECKER FIELDS",IF(OR(Setup!$B$4&lt;&gt;"",Setup!$B$5&lt;&gt;""),"CLEAR CHECKER ID",IF(F18&lt;&gt;"primary_done","PRIMARY DRAFT","PRIMARY READY"))),IF(OR(COUNTIF(Primary_snapshot!$A$2:$A$132,A18)&lt;&gt;1,INDEX('Primary_snapshot'!$J$2:$J$132,MATCH(A18,'Primary_snapshot'!$A$2:$A$132,0))&lt;&gt;"primary_done",INDEX('Primary_snapshot'!$K$2:$K$132,MATCH(A18,'Primary_snapshot'!$A$2:$A$132,0))&lt;&gt;Setup!$B$2,INDEX('Primary_snapshot'!$B$2:$B$132,MATCH(A18,'Primary_snapshot'!$A$2:$A$132,0))="NOT FROZEN",INDEX('Primary_snapshot'!$C$2:$C$132,MATCH(A18,'Primary_snapshot'!$A$2:$A$132,0))="NOT FROZEN",INDEX('Primary_snapshot'!$D$2:$D$132,MATCH(A18,'Primary_snapshot'!$A$2:$A$132,0))="NOT FROZEN",INDEX('Primary_snapshot'!$E$2:$E$132,MATCH(A18,'Primary_snapshot'!$A$2:$A$132,0))="NOT FROZEN",INDEX('Primary_snapshot'!$F$2:$F$132,MATCH(A18,'Primary_snapshot'!$A$2:$A$132,0))="NOT FROZEN",INDEX('Primary_snapshot'!$G$2:$G$132,MATCH(A18,'Primary_snapshot'!$A$2:$A$132,0))="NOT FROZEN",INDEX('Primary_snapshot'!$H$2:$H$132,MATCH(A18,'Primary_snapshot'!$A$2:$A$132,0))="NOT FROZEN",INDEX('Primary_snapshot'!$I$2:$I$132,MATCH(A18,'Primary_snapshot'!$A$2:$A$132,0))="NOT FROZEN",INDEX('Primary_snapshot'!$J$2:$J$132,MATCH(A18,'Primary_snapshot'!$A$2:$A$132,0))="NOT FROZEN",INDEX('Primary_snapshot'!$K$2:$K$132,MATCH(A18,'Primary_snapshot'!$A$2:$A$132,0))="NOT FROZEN",INDEX('Primary_snapshot'!$L$2:$L$132,MATCH(A18,'Primary_snapshot'!$A$2:$A$132,0))="NOT FROZEN"),"FREEZE SNAPSHOT",IF(NOT(OR(N18="agree",N18="agree_clarification",N18="disagree",N18="unable")),"CHECKER RESULT NEEDED",IF(AND(N18&lt;&gt;"agree",LEN(TRIM(O18))=0),"COMMENT NEEDED",IF(AND(N18="agree",NOT(AND(IF(D18="","",D18)=IF(INDEX('Primary_snapshot'!$B$2:$B$132,MATCH(A18,'Primary_snapshot'!$A$2:$A$132,0))="","",INDEX('Primary_snapshot'!$B$2:$B$132,MATCH(A18,'Primary_snapshot'!$A$2:$A$132,0))),IF(E18="","",E18)=IF(INDEX('Primary_snapshot'!$C$2:$C$132,MATCH(A18,'Primary_snapshot'!$A$2:$A$132,0))="","",INDEX('Primary_snapshot'!$C$2:$C$132,MATCH(A18,'Primary_snapshot'!$A$2:$A$132,0))),IF(AND(D18="retain",E18="statistical_results"),IF(H18="","",H18),"not_applicable")=IF(INDEX('Primary_snapshot'!$D$2:$D$132,MATCH(A18,'Primary_snapshot'!$A$2:$A$132,0))="","",INDEX('Primary_snapshot'!$D$2:$D$132,MATCH(A18,'Primary_snapshot'!$A$2:$A$132,0))),IF(AND(D18="retain",E18="statistical_results"),IF(I18="","",I18),"not_applicable")=IF(INDEX('Primary_snapshot'!$E$2:$E$132,MATCH(A18,'Primary_snapshot'!$A$2:$A$132,0))="","",INDEX('Primary_snapshot'!$E$2:$E$132,MATCH(A18,'Primary_snapshot'!$A$2:$A$132,0))),IF(AND(D18="retain",E18="statistical_results"),IF(J18="","",J18),"not_applicable")=IF(INDEX('Primary_snapshot'!$F$2:$F$132,MATCH(A18,'Primary_snapshot'!$A$2:$A$132,0))="","",INDEX('Primary_snapshot'!$F$2:$F$132,MATCH(A18,'Primary_snapshot'!$A$2:$A$132,0))),IF(AND(D18="retain",OR(E18="report_internal_inconsistency",E18="plan_material")),IF(K18="","",K18),"not_applicable")=IF(INDEX('Primary_snapshot'!$G$2:$G$132,MATCH(A18,'Primary_snapshot'!$A$2:$A$132,0))="","",INDEX('Primary_snapshot'!$G$2:$G$132,MATCH(A18,'Primary_snapshot'!$A$2:$A$132,0))),IF(AND(D18="retain",E18="protocol_report"),IF(L18="","",L18),"not_applicable")=IF(INDEX('Primary_snapshot'!$H$2:$H$132,MATCH(A18,'Primary_snapshot'!$A$2:$A$132,0))="","",INDEX('Primary_snapshot'!$H$2:$H$132,MATCH(A18,'Primary_snapshot'!$A$2:$A$132,0))),IF(R18="","",R18)=IF(INDEX('Primary_snapshot'!$I$2:$I$132,MATCH(A18,'Primary_snapshot'!$A$2:$A$132,0))="","",INDEX('Primary_snapshot'!$I$2:$I$132,MATCH(A18,'Primary_snapshot'!$A$2:$A$132,0)))))),"AGREE BUT CHANGED",IF(AND(P18&lt;&gt;"",NOT(OR(P18="pending",P18="resolved"))),"CHECK RESOLUTION",IF(OR(AND(OR(D18="discuss",INDEX('Primary_snapshot'!$B$2:$B$132,MATCH(A18,'Primary_snapshot'!$A$2:$A$132,0))="discuss",N18="disagree",N18="unable"),P18&lt;&gt;"resolved"),D18="discuss"),"DISCUSS",IF(AND(P18="resolved",LEN(TRIM(Q18))=0),"RESOLUTION NOTE NEEDED",IF(F18&lt;&gt;"checker_done","CHECKER DRAFT","FINAL READY")))))))))))))),"CHECK KEY / SNAPSHOT")</x:f>
        <x:v>CHECK REVIEWER IDs</x:v>
      </x:c>
      <x:c r="H18" s="7" t="str">
        <x:f>IF(AND(OR(D18="retain",D18=""),E18="statistical_results"),"","not_applicable")</x:f>
      </x:c>
      <x:c r="I18" s="7" t="str">
        <x:f>IF(AND(OR(D18="retain",D18=""),E18="statistical_results"),"","not_applicable")</x:f>
      </x:c>
      <x:c r="J18" s="13" t="str">
        <x:f>IF(AND(OR(D18="retain",D18=""),E18="statistical_results"),"","not_applicable")</x:f>
      </x:c>
      <x:c r="K18" s="7" t="str">
        <x:f>IF(AND(OR(D18="retain",D18=""),OR(E18="report_internal_inconsistency",E18="plan_material")),"","not_applicable")</x:f>
        <x:v>not_applicable</x:v>
      </x:c>
      <x:c r="L18" s="13" t="str">
        <x:f>IF(AND(OR(D18="retain",D18=""),E18="protocol_report"),"","not_applicable")</x:f>
        <x:v>not_applicable</x:v>
      </x:c>
      <x:c r="M18" s="6" t="str">
        <x:f>IF(Setup!$B$6="primary","",IFERROR(IF(INDEX('Primary_snapshot'!$L$2:$L$132,MATCH(A18,'Primary_snapshot'!$A$2:$A$132,0))="","",INDEX('Primary_snapshot'!$L$2:$L$132,MATCH(A18,'Primary_snapshot'!$A$2:$A$132,0))),"SNAPSHOT MISSING"))</x:f>
      </x:c>
      <x:c r="N18" s="7" t="str"/>
      <x:c r="O18" s="7" t="str"/>
      <x:c r="P18" s="7" t="str"/>
      <x:c r="Q18" s="7" t="str"/>
      <x:c r="R18" s="13" t="str"/>
    </x:row>
    <x:row r="19" ht="92" customHeight="1">
      <x:c r="A19" s="3" t="str">
        <x:v>2025::jama.2025.11178::C018</x:v>
      </x:c>
      <x:c r="B19" s="3" t="str">
        <x:v>Social-role 6-month Health Coach versus painTRAINER SMD endpoints reversed</x:v>
      </x:c>
      <x:c r="C19" s="3" t="str">
        <x:v>main article — PDF p. 10, Table 3, social role, 6 months, Health Coach vs painTRAINER SMD.</x:v>
      </x:c>
      <x:c r="D19" s="7" t="str"/>
      <x:c r="E19" s="7" t="str">
        <x:v>statistical_results</x:v>
      </x:c>
      <x:c r="F19" s="7" t="str">
        <x:v>no</x:v>
      </x:c>
      <x:c r="G19" s="3" t="str">
        <x:f>IFERROR(IF(NOT(OR(Setup!$B$6="primary",Setup!$B$6="checker")),"CHECK STAGE",IF(OR(LEN(TRIM(Setup!$B$2))=0,Setup!$B$2&lt;&gt;TRIM(Setup!$B$2),AND(Setup!$B$6="checker",OR(LEN(TRIM(Setup!$B$4))=0,Setup!$B$4&lt;&gt;TRIM(Setup!$B$4),LOWER(TRIM(Setup!$B$4))=LOWER(TRIM(Setup!$B$2))))),"CHECK REVIEWER IDs",IF(OR(COUNTIF($A$2:$A$38,A19)&lt;&gt;1,COUNTIF(Decisions!$C$2:$C$132,A19)&lt;&gt;1),"CHECK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FIELDS",IF(Setup!$B$6="primary",IF(OR(N19&lt;&gt;"",O19&lt;&gt;"",P19&lt;&gt;"",Q19&lt;&gt;""),"CLEAR CHECKER FIELDS",IF(OR(Setup!$B$4&lt;&gt;"",Setup!$B$5&lt;&gt;""),"CLEAR CHECKER ID",IF(F19&lt;&gt;"primary_done","PRIMARY DRAFT","PRIMARY READY"))),IF(OR(COUNTIF(Primary_snapshot!$A$2:$A$132,A19)&lt;&gt;1,INDEX('Primary_snapshot'!$J$2:$J$132,MATCH(A19,'Primary_snapshot'!$A$2:$A$132,0))&lt;&gt;"primary_done",INDEX('Primary_snapshot'!$K$2:$K$132,MATCH(A19,'Primary_snapshot'!$A$2:$A$132,0))&lt;&gt;Setup!$B$2,INDEX('Primary_snapshot'!$B$2:$B$132,MATCH(A19,'Primary_snapshot'!$A$2:$A$132,0))="NOT FROZEN",INDEX('Primary_snapshot'!$C$2:$C$132,MATCH(A19,'Primary_snapshot'!$A$2:$A$132,0))="NOT FROZEN",INDEX('Primary_snapshot'!$D$2:$D$132,MATCH(A19,'Primary_snapshot'!$A$2:$A$132,0))="NOT FROZEN",INDEX('Primary_snapshot'!$E$2:$E$132,MATCH(A19,'Primary_snapshot'!$A$2:$A$132,0))="NOT FROZEN",INDEX('Primary_snapshot'!$F$2:$F$132,MATCH(A19,'Primary_snapshot'!$A$2:$A$132,0))="NOT FROZEN",INDEX('Primary_snapshot'!$G$2:$G$132,MATCH(A19,'Primary_snapshot'!$A$2:$A$132,0))="NOT FROZEN",INDEX('Primary_snapshot'!$H$2:$H$132,MATCH(A19,'Primary_snapshot'!$A$2:$A$132,0))="NOT FROZEN",INDEX('Primary_snapshot'!$I$2:$I$132,MATCH(A19,'Primary_snapshot'!$A$2:$A$132,0))="NOT FROZEN",INDEX('Primary_snapshot'!$J$2:$J$132,MATCH(A19,'Primary_snapshot'!$A$2:$A$132,0))="NOT FROZEN",INDEX('Primary_snapshot'!$K$2:$K$132,MATCH(A19,'Primary_snapshot'!$A$2:$A$132,0))="NOT FROZEN",INDEX('Primary_snapshot'!$L$2:$L$132,MATCH(A19,'Primary_snapshot'!$A$2:$A$132,0))="NOT FROZEN"),"FREEZE SNAPSHOT",IF(NOT(OR(N19="agree",N19="agree_clarification",N19="disagree",N19="unable")),"CHECKER RESULT NEEDED",IF(AND(N19&lt;&gt;"agree",LEN(TRIM(O19))=0),"COMMENT NEEDED",IF(AND(N19="agree",NOT(AND(IF(D19="","",D19)=IF(INDEX('Primary_snapshot'!$B$2:$B$132,MATCH(A19,'Primary_snapshot'!$A$2:$A$132,0))="","",INDEX('Primary_snapshot'!$B$2:$B$132,MATCH(A19,'Primary_snapshot'!$A$2:$A$132,0))),IF(E19="","",E19)=IF(INDEX('Primary_snapshot'!$C$2:$C$132,MATCH(A19,'Primary_snapshot'!$A$2:$A$132,0))="","",INDEX('Primary_snapshot'!$C$2:$C$132,MATCH(A19,'Primary_snapshot'!$A$2:$A$132,0))),IF(AND(D19="retain",E19="statistical_results"),IF(H19="","",H19),"not_applicable")=IF(INDEX('Primary_snapshot'!$D$2:$D$132,MATCH(A19,'Primary_snapshot'!$A$2:$A$132,0))="","",INDEX('Primary_snapshot'!$D$2:$D$132,MATCH(A19,'Primary_snapshot'!$A$2:$A$132,0))),IF(AND(D19="retain",E19="statistical_results"),IF(I19="","",I19),"not_applicable")=IF(INDEX('Primary_snapshot'!$E$2:$E$132,MATCH(A19,'Primary_snapshot'!$A$2:$A$132,0))="","",INDEX('Primary_snapshot'!$E$2:$E$132,MATCH(A19,'Primary_snapshot'!$A$2:$A$132,0))),IF(AND(D19="retain",E19="statistical_results"),IF(J19="","",J19),"not_applicable")=IF(INDEX('Primary_snapshot'!$F$2:$F$132,MATCH(A19,'Primary_snapshot'!$A$2:$A$132,0))="","",INDEX('Primary_snapshot'!$F$2:$F$132,MATCH(A19,'Primary_snapshot'!$A$2:$A$132,0))),IF(AND(D19="retain",OR(E19="report_internal_inconsistency",E19="plan_material")),IF(K19="","",K19),"not_applicable")=IF(INDEX('Primary_snapshot'!$G$2:$G$132,MATCH(A19,'Primary_snapshot'!$A$2:$A$132,0))="","",INDEX('Primary_snapshot'!$G$2:$G$132,MATCH(A19,'Primary_snapshot'!$A$2:$A$132,0))),IF(AND(D19="retain",E19="protocol_report"),IF(L19="","",L19),"not_applicable")=IF(INDEX('Primary_snapshot'!$H$2:$H$132,MATCH(A19,'Primary_snapshot'!$A$2:$A$132,0))="","",INDEX('Primary_snapshot'!$H$2:$H$132,MATCH(A19,'Primary_snapshot'!$A$2:$A$132,0))),IF(R19="","",R19)=IF(INDEX('Primary_snapshot'!$I$2:$I$132,MATCH(A19,'Primary_snapshot'!$A$2:$A$132,0))="","",INDEX('Primary_snapshot'!$I$2:$I$132,MATCH(A19,'Primary_snapshot'!$A$2:$A$132,0)))))),"AGREE BUT CHANGED",IF(AND(P19&lt;&gt;"",NOT(OR(P19="pending",P19="resolved"))),"CHECK RESOLUTION",IF(OR(AND(OR(D19="discuss",INDEX('Primary_snapshot'!$B$2:$B$132,MATCH(A19,'Primary_snapshot'!$A$2:$A$132,0))="discuss",N19="disagree",N19="unable"),P19&lt;&gt;"resolved"),D19="discuss"),"DISCUSS",IF(AND(P19="resolved",LEN(TRIM(Q19))=0),"RESOLUTION NOTE NEEDED",IF(F19&lt;&gt;"checker_done","CHECKER DRAFT","FINAL READY")))))))))))))),"CHECK KEY / SNAPSHOT")</x:f>
        <x:v>CHECK REVIEWER IDs</x:v>
      </x:c>
      <x:c r="H19" s="7" t="str">
        <x:f>IF(AND(OR(D19="retain",D19=""),E19="statistical_results"),"","not_applicable")</x:f>
      </x:c>
      <x:c r="I19" s="7" t="str">
        <x:f>IF(AND(OR(D19="retain",D19=""),E19="statistical_results"),"","not_applicable")</x:f>
      </x:c>
      <x:c r="J19" s="13" t="str">
        <x:f>IF(AND(OR(D19="retain",D19=""),E19="statistical_results"),"","not_applicable")</x:f>
      </x:c>
      <x:c r="K19" s="7" t="str">
        <x:f>IF(AND(OR(D19="retain",D19=""),OR(E19="report_internal_inconsistency",E19="plan_material")),"","not_applicable")</x:f>
        <x:v>not_applicable</x:v>
      </x:c>
      <x:c r="L19" s="13" t="str">
        <x:f>IF(AND(OR(D19="retain",D19=""),E19="protocol_report"),"","not_applicable")</x:f>
        <x:v>not_applicable</x:v>
      </x:c>
      <x:c r="M19" s="3" t="str">
        <x:f>IF(Setup!$B$6="primary","",IFERROR(IF(INDEX('Primary_snapshot'!$L$2:$L$132,MATCH(A19,'Primary_snapshot'!$A$2:$A$132,0))="","",INDEX('Primary_snapshot'!$L$2:$L$132,MATCH(A19,'Primary_snapshot'!$A$2:$A$132,0))),"SNAPSHOT MISSING"))</x:f>
      </x:c>
      <x:c r="N19" s="7" t="str"/>
      <x:c r="O19" s="7" t="str"/>
      <x:c r="P19" s="7" t="str"/>
      <x:c r="Q19" s="7" t="str"/>
      <x:c r="R19" s="13" t="str"/>
    </x:row>
    <x:row r="20" ht="92" customHeight="1">
      <x:c r="A20" s="6" t="str">
        <x:v>2025::jama.2025.11178::C019</x:v>
      </x:c>
      <x:c r="B20" s="6" t="str">
        <x:v>Social-role 12-month painTRAINER SMD endpoints reversed</x:v>
      </x:c>
      <x:c r="C20" s="6" t="str">
        <x:v>main article — PDF p. 10, Table 3, social role, 12 months, painTRAINER vs usual care plus SMD.</x:v>
      </x:c>
      <x:c r="D20" s="7" t="str"/>
      <x:c r="E20" s="7" t="str">
        <x:v>statistical_results</x:v>
      </x:c>
      <x:c r="F20" s="7" t="str">
        <x:v>no</x:v>
      </x:c>
      <x:c r="G20" s="6" t="str">
        <x:f>IFERROR(IF(NOT(OR(Setup!$B$6="primary",Setup!$B$6="checker")),"CHECK STAGE",IF(OR(LEN(TRIM(Setup!$B$2))=0,Setup!$B$2&lt;&gt;TRIM(Setup!$B$2),AND(Setup!$B$6="checker",OR(LEN(TRIM(Setup!$B$4))=0,Setup!$B$4&lt;&gt;TRIM(Setup!$B$4),LOWER(TRIM(Setup!$B$4))=LOWER(TRIM(Setup!$B$2))))),"CHECK REVIEWER IDs",IF(OR(COUNTIF($A$2:$A$38,A20)&lt;&gt;1,COUNTIF(Decisions!$C$2:$C$132,A20)&lt;&gt;1),"CHECK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FIELDS",IF(Setup!$B$6="primary",IF(OR(N20&lt;&gt;"",O20&lt;&gt;"",P20&lt;&gt;"",Q20&lt;&gt;""),"CLEAR CHECKER FIELDS",IF(OR(Setup!$B$4&lt;&gt;"",Setup!$B$5&lt;&gt;""),"CLEAR CHECKER ID",IF(F20&lt;&gt;"primary_done","PRIMARY DRAFT","PRIMARY READY"))),IF(OR(COUNTIF(Primary_snapshot!$A$2:$A$132,A20)&lt;&gt;1,INDEX('Primary_snapshot'!$J$2:$J$132,MATCH(A20,'Primary_snapshot'!$A$2:$A$132,0))&lt;&gt;"primary_done",INDEX('Primary_snapshot'!$K$2:$K$132,MATCH(A20,'Primary_snapshot'!$A$2:$A$132,0))&lt;&gt;Setup!$B$2,INDEX('Primary_snapshot'!$B$2:$B$132,MATCH(A20,'Primary_snapshot'!$A$2:$A$132,0))="NOT FROZEN",INDEX('Primary_snapshot'!$C$2:$C$132,MATCH(A20,'Primary_snapshot'!$A$2:$A$132,0))="NOT FROZEN",INDEX('Primary_snapshot'!$D$2:$D$132,MATCH(A20,'Primary_snapshot'!$A$2:$A$132,0))="NOT FROZEN",INDEX('Primary_snapshot'!$E$2:$E$132,MATCH(A20,'Primary_snapshot'!$A$2:$A$132,0))="NOT FROZEN",INDEX('Primary_snapshot'!$F$2:$F$132,MATCH(A20,'Primary_snapshot'!$A$2:$A$132,0))="NOT FROZEN",INDEX('Primary_snapshot'!$G$2:$G$132,MATCH(A20,'Primary_snapshot'!$A$2:$A$132,0))="NOT FROZEN",INDEX('Primary_snapshot'!$H$2:$H$132,MATCH(A20,'Primary_snapshot'!$A$2:$A$132,0))="NOT FROZEN",INDEX('Primary_snapshot'!$I$2:$I$132,MATCH(A20,'Primary_snapshot'!$A$2:$A$132,0))="NOT FROZEN",INDEX('Primary_snapshot'!$J$2:$J$132,MATCH(A20,'Primary_snapshot'!$A$2:$A$132,0))="NOT FROZEN",INDEX('Primary_snapshot'!$K$2:$K$132,MATCH(A20,'Primary_snapshot'!$A$2:$A$132,0))="NOT FROZEN",INDEX('Primary_snapshot'!$L$2:$L$132,MATCH(A20,'Primary_snapshot'!$A$2:$A$132,0))="NOT FROZEN"),"FREEZE SNAPSHOT",IF(NOT(OR(N20="agree",N20="agree_clarification",N20="disagree",N20="unable")),"CHECKER RESULT NEEDED",IF(AND(N20&lt;&gt;"agree",LEN(TRIM(O20))=0),"COMMENT NEEDED",IF(AND(N20="agree",NOT(AND(IF(D20="","",D20)=IF(INDEX('Primary_snapshot'!$B$2:$B$132,MATCH(A20,'Primary_snapshot'!$A$2:$A$132,0))="","",INDEX('Primary_snapshot'!$B$2:$B$132,MATCH(A20,'Primary_snapshot'!$A$2:$A$132,0))),IF(E20="","",E20)=IF(INDEX('Primary_snapshot'!$C$2:$C$132,MATCH(A20,'Primary_snapshot'!$A$2:$A$132,0))="","",INDEX('Primary_snapshot'!$C$2:$C$132,MATCH(A20,'Primary_snapshot'!$A$2:$A$132,0))),IF(AND(D20="retain",E20="statistical_results"),IF(H20="","",H20),"not_applicable")=IF(INDEX('Primary_snapshot'!$D$2:$D$132,MATCH(A20,'Primary_snapshot'!$A$2:$A$132,0))="","",INDEX('Primary_snapshot'!$D$2:$D$132,MATCH(A20,'Primary_snapshot'!$A$2:$A$132,0))),IF(AND(D20="retain",E20="statistical_results"),IF(I20="","",I20),"not_applicable")=IF(INDEX('Primary_snapshot'!$E$2:$E$132,MATCH(A20,'Primary_snapshot'!$A$2:$A$132,0))="","",INDEX('Primary_snapshot'!$E$2:$E$132,MATCH(A20,'Primary_snapshot'!$A$2:$A$132,0))),IF(AND(D20="retain",E20="statistical_results"),IF(J20="","",J20),"not_applicable")=IF(INDEX('Primary_snapshot'!$F$2:$F$132,MATCH(A20,'Primary_snapshot'!$A$2:$A$132,0))="","",INDEX('Primary_snapshot'!$F$2:$F$132,MATCH(A20,'Primary_snapshot'!$A$2:$A$132,0))),IF(AND(D20="retain",OR(E20="report_internal_inconsistency",E20="plan_material")),IF(K20="","",K20),"not_applicable")=IF(INDEX('Primary_snapshot'!$G$2:$G$132,MATCH(A20,'Primary_snapshot'!$A$2:$A$132,0))="","",INDEX('Primary_snapshot'!$G$2:$G$132,MATCH(A20,'Primary_snapshot'!$A$2:$A$132,0))),IF(AND(D20="retain",E20="protocol_report"),IF(L20="","",L20),"not_applicable")=IF(INDEX('Primary_snapshot'!$H$2:$H$132,MATCH(A20,'Primary_snapshot'!$A$2:$A$132,0))="","",INDEX('Primary_snapshot'!$H$2:$H$132,MATCH(A20,'Primary_snapshot'!$A$2:$A$132,0))),IF(R20="","",R20)=IF(INDEX('Primary_snapshot'!$I$2:$I$132,MATCH(A20,'Primary_snapshot'!$A$2:$A$132,0))="","",INDEX('Primary_snapshot'!$I$2:$I$132,MATCH(A20,'Primary_snapshot'!$A$2:$A$132,0)))))),"AGREE BUT CHANGED",IF(AND(P20&lt;&gt;"",NOT(OR(P20="pending",P20="resolved"))),"CHECK RESOLUTION",IF(OR(AND(OR(D20="discuss",INDEX('Primary_snapshot'!$B$2:$B$132,MATCH(A20,'Primary_snapshot'!$A$2:$A$132,0))="discuss",N20="disagree",N20="unable"),P20&lt;&gt;"resolved"),D20="discuss"),"DISCUSS",IF(AND(P20="resolved",LEN(TRIM(Q20))=0),"RESOLUTION NOTE NEEDED",IF(F20&lt;&gt;"checker_done","CHECKER DRAFT","FINAL READY")))))))))))))),"CHECK KEY / SNAPSHOT")</x:f>
        <x:v>CHECK REVIEWER IDs</x:v>
      </x:c>
      <x:c r="H20" s="7" t="str">
        <x:f>IF(AND(OR(D20="retain",D20=""),E20="statistical_results"),"","not_applicable")</x:f>
      </x:c>
      <x:c r="I20" s="7" t="str">
        <x:f>IF(AND(OR(D20="retain",D20=""),E20="statistical_results"),"","not_applicable")</x:f>
      </x:c>
      <x:c r="J20" s="13" t="str">
        <x:f>IF(AND(OR(D20="retain",D20=""),E20="statistical_results"),"","not_applicable")</x:f>
      </x:c>
      <x:c r="K20" s="7" t="str">
        <x:f>IF(AND(OR(D20="retain",D20=""),OR(E20="report_internal_inconsistency",E20="plan_material")),"","not_applicable")</x:f>
        <x:v>not_applicable</x:v>
      </x:c>
      <x:c r="L20" s="13" t="str">
        <x:f>IF(AND(OR(D20="retain",D20=""),E20="protocol_report"),"","not_applicable")</x:f>
        <x:v>not_applicable</x:v>
      </x:c>
      <x:c r="M20" s="6" t="str">
        <x:f>IF(Setup!$B$6="primary","",IFERROR(IF(INDEX('Primary_snapshot'!$L$2:$L$132,MATCH(A20,'Primary_snapshot'!$A$2:$A$132,0))="","",INDEX('Primary_snapshot'!$L$2:$L$132,MATCH(A20,'Primary_snapshot'!$A$2:$A$132,0))),"SNAPSHOT MISSING"))</x:f>
      </x:c>
      <x:c r="N20" s="7" t="str"/>
      <x:c r="O20" s="7" t="str"/>
      <x:c r="P20" s="7" t="str"/>
      <x:c r="Q20" s="7" t="str"/>
      <x:c r="R20" s="13" t="str"/>
    </x:row>
    <x:row r="21" ht="92" customHeight="1">
      <x:c r="A21" s="3" t="str">
        <x:v>2025::jama.2025.11178::C020</x:v>
      </x:c>
      <x:c r="B21" s="3" t="str">
        <x:v>Social-role 12-month Health Coach SMD endpoints reversed</x:v>
      </x:c>
      <x:c r="C21" s="3" t="str">
        <x:v>main article — PDF p. 10, Table 3, social role, 12 months, Health Coach vs usual care plus SMD.</x:v>
      </x:c>
      <x:c r="D21" s="7" t="str"/>
      <x:c r="E21" s="7" t="str">
        <x:v>statistical_results</x:v>
      </x:c>
      <x:c r="F21" s="7" t="str">
        <x:v>no</x:v>
      </x:c>
      <x:c r="G21" s="3" t="str">
        <x:f>IFERROR(IF(NOT(OR(Setup!$B$6="primary",Setup!$B$6="checker")),"CHECK STAGE",IF(OR(LEN(TRIM(Setup!$B$2))=0,Setup!$B$2&lt;&gt;TRIM(Setup!$B$2),AND(Setup!$B$6="checker",OR(LEN(TRIM(Setup!$B$4))=0,Setup!$B$4&lt;&gt;TRIM(Setup!$B$4),LOWER(TRIM(Setup!$B$4))=LOWER(TRIM(Setup!$B$2))))),"CHECK REVIEWER IDs",IF(OR(COUNTIF($A$2:$A$38,A21)&lt;&gt;1,COUNTIF(Decisions!$C$2:$C$132,A21)&lt;&gt;1),"CHECK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FIELDS",IF(Setup!$B$6="primary",IF(OR(N21&lt;&gt;"",O21&lt;&gt;"",P21&lt;&gt;"",Q21&lt;&gt;""),"CLEAR CHECKER FIELDS",IF(OR(Setup!$B$4&lt;&gt;"",Setup!$B$5&lt;&gt;""),"CLEAR CHECKER ID",IF(F21&lt;&gt;"primary_done","PRIMARY DRAFT","PRIMARY READY"))),IF(OR(COUNTIF(Primary_snapshot!$A$2:$A$132,A21)&lt;&gt;1,INDEX('Primary_snapshot'!$J$2:$J$132,MATCH(A21,'Primary_snapshot'!$A$2:$A$132,0))&lt;&gt;"primary_done",INDEX('Primary_snapshot'!$K$2:$K$132,MATCH(A21,'Primary_snapshot'!$A$2:$A$132,0))&lt;&gt;Setup!$B$2,INDEX('Primary_snapshot'!$B$2:$B$132,MATCH(A21,'Primary_snapshot'!$A$2:$A$132,0))="NOT FROZEN",INDEX('Primary_snapshot'!$C$2:$C$132,MATCH(A21,'Primary_snapshot'!$A$2:$A$132,0))="NOT FROZEN",INDEX('Primary_snapshot'!$D$2:$D$132,MATCH(A21,'Primary_snapshot'!$A$2:$A$132,0))="NOT FROZEN",INDEX('Primary_snapshot'!$E$2:$E$132,MATCH(A21,'Primary_snapshot'!$A$2:$A$132,0))="NOT FROZEN",INDEX('Primary_snapshot'!$F$2:$F$132,MATCH(A21,'Primary_snapshot'!$A$2:$A$132,0))="NOT FROZEN",INDEX('Primary_snapshot'!$G$2:$G$132,MATCH(A21,'Primary_snapshot'!$A$2:$A$132,0))="NOT FROZEN",INDEX('Primary_snapshot'!$H$2:$H$132,MATCH(A21,'Primary_snapshot'!$A$2:$A$132,0))="NOT FROZEN",INDEX('Primary_snapshot'!$I$2:$I$132,MATCH(A21,'Primary_snapshot'!$A$2:$A$132,0))="NOT FROZEN",INDEX('Primary_snapshot'!$J$2:$J$132,MATCH(A21,'Primary_snapshot'!$A$2:$A$132,0))="NOT FROZEN",INDEX('Primary_snapshot'!$K$2:$K$132,MATCH(A21,'Primary_snapshot'!$A$2:$A$132,0))="NOT FROZEN",INDEX('Primary_snapshot'!$L$2:$L$132,MATCH(A21,'Primary_snapshot'!$A$2:$A$132,0))="NOT FROZEN"),"FREEZE SNAPSHOT",IF(NOT(OR(N21="agree",N21="agree_clarification",N21="disagree",N21="unable")),"CHECKER RESULT NEEDED",IF(AND(N21&lt;&gt;"agree",LEN(TRIM(O21))=0),"COMMENT NEEDED",IF(AND(N21="agree",NOT(AND(IF(D21="","",D21)=IF(INDEX('Primary_snapshot'!$B$2:$B$132,MATCH(A21,'Primary_snapshot'!$A$2:$A$132,0))="","",INDEX('Primary_snapshot'!$B$2:$B$132,MATCH(A21,'Primary_snapshot'!$A$2:$A$132,0))),IF(E21="","",E21)=IF(INDEX('Primary_snapshot'!$C$2:$C$132,MATCH(A21,'Primary_snapshot'!$A$2:$A$132,0))="","",INDEX('Primary_snapshot'!$C$2:$C$132,MATCH(A21,'Primary_snapshot'!$A$2:$A$132,0))),IF(AND(D21="retain",E21="statistical_results"),IF(H21="","",H21),"not_applicable")=IF(INDEX('Primary_snapshot'!$D$2:$D$132,MATCH(A21,'Primary_snapshot'!$A$2:$A$132,0))="","",INDEX('Primary_snapshot'!$D$2:$D$132,MATCH(A21,'Primary_snapshot'!$A$2:$A$132,0))),IF(AND(D21="retain",E21="statistical_results"),IF(I21="","",I21),"not_applicable")=IF(INDEX('Primary_snapshot'!$E$2:$E$132,MATCH(A21,'Primary_snapshot'!$A$2:$A$132,0))="","",INDEX('Primary_snapshot'!$E$2:$E$132,MATCH(A21,'Primary_snapshot'!$A$2:$A$132,0))),IF(AND(D21="retain",E21="statistical_results"),IF(J21="","",J21),"not_applicable")=IF(INDEX('Primary_snapshot'!$F$2:$F$132,MATCH(A21,'Primary_snapshot'!$A$2:$A$132,0))="","",INDEX('Primary_snapshot'!$F$2:$F$132,MATCH(A21,'Primary_snapshot'!$A$2:$A$132,0))),IF(AND(D21="retain",OR(E21="report_internal_inconsistency",E21="plan_material")),IF(K21="","",K21),"not_applicable")=IF(INDEX('Primary_snapshot'!$G$2:$G$132,MATCH(A21,'Primary_snapshot'!$A$2:$A$132,0))="","",INDEX('Primary_snapshot'!$G$2:$G$132,MATCH(A21,'Primary_snapshot'!$A$2:$A$132,0))),IF(AND(D21="retain",E21="protocol_report"),IF(L21="","",L21),"not_applicable")=IF(INDEX('Primary_snapshot'!$H$2:$H$132,MATCH(A21,'Primary_snapshot'!$A$2:$A$132,0))="","",INDEX('Primary_snapshot'!$H$2:$H$132,MATCH(A21,'Primary_snapshot'!$A$2:$A$132,0))),IF(R21="","",R21)=IF(INDEX('Primary_snapshot'!$I$2:$I$132,MATCH(A21,'Primary_snapshot'!$A$2:$A$132,0))="","",INDEX('Primary_snapshot'!$I$2:$I$132,MATCH(A21,'Primary_snapshot'!$A$2:$A$132,0)))))),"AGREE BUT CHANGED",IF(AND(P21&lt;&gt;"",NOT(OR(P21="pending",P21="resolved"))),"CHECK RESOLUTION",IF(OR(AND(OR(D21="discuss",INDEX('Primary_snapshot'!$B$2:$B$132,MATCH(A21,'Primary_snapshot'!$A$2:$A$132,0))="discuss",N21="disagree",N21="unable"),P21&lt;&gt;"resolved"),D21="discuss"),"DISCUSS",IF(AND(P21="resolved",LEN(TRIM(Q21))=0),"RESOLUTION NOTE NEEDED",IF(F21&lt;&gt;"checker_done","CHECKER DRAFT","FINAL READY")))))))))))))),"CHECK KEY / SNAPSHOT")</x:f>
        <x:v>CHECK REVIEWER IDs</x:v>
      </x:c>
      <x:c r="H21" s="7" t="str">
        <x:f>IF(AND(OR(D21="retain",D21=""),E21="statistical_results"),"","not_applicable")</x:f>
      </x:c>
      <x:c r="I21" s="7" t="str">
        <x:f>IF(AND(OR(D21="retain",D21=""),E21="statistical_results"),"","not_applicable")</x:f>
      </x:c>
      <x:c r="J21" s="13" t="str">
        <x:f>IF(AND(OR(D21="retain",D21=""),E21="statistical_results"),"","not_applicable")</x:f>
      </x:c>
      <x:c r="K21" s="7" t="str">
        <x:f>IF(AND(OR(D21="retain",D21=""),OR(E21="report_internal_inconsistency",E21="plan_material")),"","not_applicable")</x:f>
        <x:v>not_applicable</x:v>
      </x:c>
      <x:c r="L21" s="13" t="str">
        <x:f>IF(AND(OR(D21="retain",D21=""),E21="protocol_report"),"","not_applicable")</x:f>
        <x:v>not_applicable</x:v>
      </x:c>
      <x:c r="M21" s="3" t="str">
        <x:f>IF(Setup!$B$6="primary","",IFERROR(IF(INDEX('Primary_snapshot'!$L$2:$L$132,MATCH(A21,'Primary_snapshot'!$A$2:$A$132,0))="","",INDEX('Primary_snapshot'!$L$2:$L$132,MATCH(A21,'Primary_snapshot'!$A$2:$A$132,0))),"SNAPSHOT MISSING"))</x:f>
      </x:c>
      <x:c r="N21" s="7" t="str"/>
      <x:c r="O21" s="7" t="str"/>
      <x:c r="P21" s="7" t="str"/>
      <x:c r="Q21" s="7" t="str"/>
      <x:c r="R21" s="13" t="str"/>
    </x:row>
    <x:row r="22" ht="92" customHeight="1">
      <x:c r="A22" s="6" t="str">
        <x:v>2025::jama.2025.11178::C021</x:v>
      </x:c>
      <x:c r="B22" s="6" t="str">
        <x:v>Social-role 12-month Health Coach versus painTRAINER SMD endpoints reversed</x:v>
      </x:c>
      <x:c r="C22" s="6" t="str">
        <x:v>main article — PDF p. 10, Table 3, social role, 12 months, Health Coach vs painTRAINER SMD.</x:v>
      </x:c>
      <x:c r="D22" s="7" t="str"/>
      <x:c r="E22" s="7" t="str">
        <x:v>statistical_results</x:v>
      </x:c>
      <x:c r="F22" s="7" t="str">
        <x:v>no</x:v>
      </x:c>
      <x:c r="G22" s="6" t="str">
        <x:f>IFERROR(IF(NOT(OR(Setup!$B$6="primary",Setup!$B$6="checker")),"CHECK STAGE",IF(OR(LEN(TRIM(Setup!$B$2))=0,Setup!$B$2&lt;&gt;TRIM(Setup!$B$2),AND(Setup!$B$6="checker",OR(LEN(TRIM(Setup!$B$4))=0,Setup!$B$4&lt;&gt;TRIM(Setup!$B$4),LOWER(TRIM(Setup!$B$4))=LOWER(TRIM(Setup!$B$2))))),"CHECK REVIEWER IDs",IF(OR(COUNTIF($A$2:$A$38,A22)&lt;&gt;1,COUNTIF(Decisions!$C$2:$C$132,A22)&lt;&gt;1),"CHECK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FIELDS",IF(Setup!$B$6="primary",IF(OR(N22&lt;&gt;"",O22&lt;&gt;"",P22&lt;&gt;"",Q22&lt;&gt;""),"CLEAR CHECKER FIELDS",IF(OR(Setup!$B$4&lt;&gt;"",Setup!$B$5&lt;&gt;""),"CLEAR CHECKER ID",IF(F22&lt;&gt;"primary_done","PRIMARY DRAFT","PRIMARY READY"))),IF(OR(COUNTIF(Primary_snapshot!$A$2:$A$132,A22)&lt;&gt;1,INDEX('Primary_snapshot'!$J$2:$J$132,MATCH(A22,'Primary_snapshot'!$A$2:$A$132,0))&lt;&gt;"primary_done",INDEX('Primary_snapshot'!$K$2:$K$132,MATCH(A22,'Primary_snapshot'!$A$2:$A$132,0))&lt;&gt;Setup!$B$2,INDEX('Primary_snapshot'!$B$2:$B$132,MATCH(A22,'Primary_snapshot'!$A$2:$A$132,0))="NOT FROZEN",INDEX('Primary_snapshot'!$C$2:$C$132,MATCH(A22,'Primary_snapshot'!$A$2:$A$132,0))="NOT FROZEN",INDEX('Primary_snapshot'!$D$2:$D$132,MATCH(A22,'Primary_snapshot'!$A$2:$A$132,0))="NOT FROZEN",INDEX('Primary_snapshot'!$E$2:$E$132,MATCH(A22,'Primary_snapshot'!$A$2:$A$132,0))="NOT FROZEN",INDEX('Primary_snapshot'!$F$2:$F$132,MATCH(A22,'Primary_snapshot'!$A$2:$A$132,0))="NOT FROZEN",INDEX('Primary_snapshot'!$G$2:$G$132,MATCH(A22,'Primary_snapshot'!$A$2:$A$132,0))="NOT FROZEN",INDEX('Primary_snapshot'!$H$2:$H$132,MATCH(A22,'Primary_snapshot'!$A$2:$A$132,0))="NOT FROZEN",INDEX('Primary_snapshot'!$I$2:$I$132,MATCH(A22,'Primary_snapshot'!$A$2:$A$132,0))="NOT FROZEN",INDEX('Primary_snapshot'!$J$2:$J$132,MATCH(A22,'Primary_snapshot'!$A$2:$A$132,0))="NOT FROZEN",INDEX('Primary_snapshot'!$K$2:$K$132,MATCH(A22,'Primary_snapshot'!$A$2:$A$132,0))="NOT FROZEN",INDEX('Primary_snapshot'!$L$2:$L$132,MATCH(A22,'Primary_snapshot'!$A$2:$A$132,0))="NOT FROZEN"),"FREEZE SNAPSHOT",IF(NOT(OR(N22="agree",N22="agree_clarification",N22="disagree",N22="unable")),"CHECKER RESULT NEEDED",IF(AND(N22&lt;&gt;"agree",LEN(TRIM(O22))=0),"COMMENT NEEDED",IF(AND(N22="agree",NOT(AND(IF(D22="","",D22)=IF(INDEX('Primary_snapshot'!$B$2:$B$132,MATCH(A22,'Primary_snapshot'!$A$2:$A$132,0))="","",INDEX('Primary_snapshot'!$B$2:$B$132,MATCH(A22,'Primary_snapshot'!$A$2:$A$132,0))),IF(E22="","",E22)=IF(INDEX('Primary_snapshot'!$C$2:$C$132,MATCH(A22,'Primary_snapshot'!$A$2:$A$132,0))="","",INDEX('Primary_snapshot'!$C$2:$C$132,MATCH(A22,'Primary_snapshot'!$A$2:$A$132,0))),IF(AND(D22="retain",E22="statistical_results"),IF(H22="","",H22),"not_applicable")=IF(INDEX('Primary_snapshot'!$D$2:$D$132,MATCH(A22,'Primary_snapshot'!$A$2:$A$132,0))="","",INDEX('Primary_snapshot'!$D$2:$D$132,MATCH(A22,'Primary_snapshot'!$A$2:$A$132,0))),IF(AND(D22="retain",E22="statistical_results"),IF(I22="","",I22),"not_applicable")=IF(INDEX('Primary_snapshot'!$E$2:$E$132,MATCH(A22,'Primary_snapshot'!$A$2:$A$132,0))="","",INDEX('Primary_snapshot'!$E$2:$E$132,MATCH(A22,'Primary_snapshot'!$A$2:$A$132,0))),IF(AND(D22="retain",E22="statistical_results"),IF(J22="","",J22),"not_applicable")=IF(INDEX('Primary_snapshot'!$F$2:$F$132,MATCH(A22,'Primary_snapshot'!$A$2:$A$132,0))="","",INDEX('Primary_snapshot'!$F$2:$F$132,MATCH(A22,'Primary_snapshot'!$A$2:$A$132,0))),IF(AND(D22="retain",OR(E22="report_internal_inconsistency",E22="plan_material")),IF(K22="","",K22),"not_applicable")=IF(INDEX('Primary_snapshot'!$G$2:$G$132,MATCH(A22,'Primary_snapshot'!$A$2:$A$132,0))="","",INDEX('Primary_snapshot'!$G$2:$G$132,MATCH(A22,'Primary_snapshot'!$A$2:$A$132,0))),IF(AND(D22="retain",E22="protocol_report"),IF(L22="","",L22),"not_applicable")=IF(INDEX('Primary_snapshot'!$H$2:$H$132,MATCH(A22,'Primary_snapshot'!$A$2:$A$132,0))="","",INDEX('Primary_snapshot'!$H$2:$H$132,MATCH(A22,'Primary_snapshot'!$A$2:$A$132,0))),IF(R22="","",R22)=IF(INDEX('Primary_snapshot'!$I$2:$I$132,MATCH(A22,'Primary_snapshot'!$A$2:$A$132,0))="","",INDEX('Primary_snapshot'!$I$2:$I$132,MATCH(A22,'Primary_snapshot'!$A$2:$A$132,0)))))),"AGREE BUT CHANGED",IF(AND(P22&lt;&gt;"",NOT(OR(P22="pending",P22="resolved"))),"CHECK RESOLUTION",IF(OR(AND(OR(D22="discuss",INDEX('Primary_snapshot'!$B$2:$B$132,MATCH(A22,'Primary_snapshot'!$A$2:$A$132,0))="discuss",N22="disagree",N22="unable"),P22&lt;&gt;"resolved"),D22="discuss"),"DISCUSS",IF(AND(P22="resolved",LEN(TRIM(Q22))=0),"RESOLUTION NOTE NEEDED",IF(F22&lt;&gt;"checker_done","CHECKER DRAFT","FINAL READY")))))))))))))),"CHECK KEY / SNAPSHOT")</x:f>
        <x:v>CHECK REVIEWER IDs</x:v>
      </x:c>
      <x:c r="H22" s="7" t="str">
        <x:f>IF(AND(OR(D22="retain",D22=""),E22="statistical_results"),"","not_applicable")</x:f>
      </x:c>
      <x:c r="I22" s="7" t="str">
        <x:f>IF(AND(OR(D22="retain",D22=""),E22="statistical_results"),"","not_applicable")</x:f>
      </x:c>
      <x:c r="J22" s="13" t="str">
        <x:f>IF(AND(OR(D22="retain",D22=""),E22="statistical_results"),"","not_applicable")</x:f>
      </x:c>
      <x:c r="K22" s="7" t="str">
        <x:f>IF(AND(OR(D22="retain",D22=""),OR(E22="report_internal_inconsistency",E22="plan_material")),"","not_applicable")</x:f>
        <x:v>not_applicable</x:v>
      </x:c>
      <x:c r="L22" s="13" t="str">
        <x:f>IF(AND(OR(D22="retain",D22=""),E22="protocol_report"),"","not_applicable")</x:f>
        <x:v>not_applicable</x:v>
      </x:c>
      <x:c r="M22" s="6" t="str">
        <x:f>IF(Setup!$B$6="primary","",IFERROR(IF(INDEX('Primary_snapshot'!$L$2:$L$132,MATCH(A22,'Primary_snapshot'!$A$2:$A$132,0))="","",INDEX('Primary_snapshot'!$L$2:$L$132,MATCH(A22,'Primary_snapshot'!$A$2:$A$132,0))),"SNAPSHOT MISSING"))</x:f>
      </x:c>
      <x:c r="N22" s="7" t="str"/>
      <x:c r="O22" s="7" t="str"/>
      <x:c r="P22" s="7" t="str"/>
      <x:c r="Q22" s="7" t="str"/>
      <x:c r="R22" s="13" t="str"/>
    </x:row>
    <x:row r="23" ht="92" customHeight="1">
      <x:c r="A23" s="3" t="str">
        <x:v>2025::jama.2025.11178::C022</x:v>
      </x:c>
      <x:c r="B23" s="3" t="str">
        <x:v>Physical-function 3-month painTRAINER SMD endpoints reversed</x:v>
      </x:c>
      <x:c r="C23" s="3" t="str">
        <x:v>main article — PDF p. 10, Table 3, physical function, 3 months, painTRAINER vs usual care plus SMD.</x:v>
      </x:c>
      <x:c r="D23" s="7" t="str"/>
      <x:c r="E23" s="7" t="str">
        <x:v>statistical_results</x:v>
      </x:c>
      <x:c r="F23" s="7" t="str">
        <x:v>no</x:v>
      </x:c>
      <x:c r="G23" s="3" t="str">
        <x:f>IFERROR(IF(NOT(OR(Setup!$B$6="primary",Setup!$B$6="checker")),"CHECK STAGE",IF(OR(LEN(TRIM(Setup!$B$2))=0,Setup!$B$2&lt;&gt;TRIM(Setup!$B$2),AND(Setup!$B$6="checker",OR(LEN(TRIM(Setup!$B$4))=0,Setup!$B$4&lt;&gt;TRIM(Setup!$B$4),LOWER(TRIM(Setup!$B$4))=LOWER(TRIM(Setup!$B$2))))),"CHECK REVIEWER IDs",IF(OR(COUNTIF($A$2:$A$38,A23)&lt;&gt;1,COUNTIF(Decisions!$C$2:$C$132,A23)&lt;&gt;1),"CHECK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FIELDS",IF(Setup!$B$6="primary",IF(OR(N23&lt;&gt;"",O23&lt;&gt;"",P23&lt;&gt;"",Q23&lt;&gt;""),"CLEAR CHECKER FIELDS",IF(OR(Setup!$B$4&lt;&gt;"",Setup!$B$5&lt;&gt;""),"CLEAR CHECKER ID",IF(F23&lt;&gt;"primary_done","PRIMARY DRAFT","PRIMARY READY"))),IF(OR(COUNTIF(Primary_snapshot!$A$2:$A$132,A23)&lt;&gt;1,INDEX('Primary_snapshot'!$J$2:$J$132,MATCH(A23,'Primary_snapshot'!$A$2:$A$132,0))&lt;&gt;"primary_done",INDEX('Primary_snapshot'!$K$2:$K$132,MATCH(A23,'Primary_snapshot'!$A$2:$A$132,0))&lt;&gt;Setup!$B$2,INDEX('Primary_snapshot'!$B$2:$B$132,MATCH(A23,'Primary_snapshot'!$A$2:$A$132,0))="NOT FROZEN",INDEX('Primary_snapshot'!$C$2:$C$132,MATCH(A23,'Primary_snapshot'!$A$2:$A$132,0))="NOT FROZEN",INDEX('Primary_snapshot'!$D$2:$D$132,MATCH(A23,'Primary_snapshot'!$A$2:$A$132,0))="NOT FROZEN",INDEX('Primary_snapshot'!$E$2:$E$132,MATCH(A23,'Primary_snapshot'!$A$2:$A$132,0))="NOT FROZEN",INDEX('Primary_snapshot'!$F$2:$F$132,MATCH(A23,'Primary_snapshot'!$A$2:$A$132,0))="NOT FROZEN",INDEX('Primary_snapshot'!$G$2:$G$132,MATCH(A23,'Primary_snapshot'!$A$2:$A$132,0))="NOT FROZEN",INDEX('Primary_snapshot'!$H$2:$H$132,MATCH(A23,'Primary_snapshot'!$A$2:$A$132,0))="NOT FROZEN",INDEX('Primary_snapshot'!$I$2:$I$132,MATCH(A23,'Primary_snapshot'!$A$2:$A$132,0))="NOT FROZEN",INDEX('Primary_snapshot'!$J$2:$J$132,MATCH(A23,'Primary_snapshot'!$A$2:$A$132,0))="NOT FROZEN",INDEX('Primary_snapshot'!$K$2:$K$132,MATCH(A23,'Primary_snapshot'!$A$2:$A$132,0))="NOT FROZEN",INDEX('Primary_snapshot'!$L$2:$L$132,MATCH(A23,'Primary_snapshot'!$A$2:$A$132,0))="NOT FROZEN"),"FREEZE SNAPSHOT",IF(NOT(OR(N23="agree",N23="agree_clarification",N23="disagree",N23="unable")),"CHECKER RESULT NEEDED",IF(AND(N23&lt;&gt;"agree",LEN(TRIM(O23))=0),"COMMENT NEEDED",IF(AND(N23="agree",NOT(AND(IF(D23="","",D23)=IF(INDEX('Primary_snapshot'!$B$2:$B$132,MATCH(A23,'Primary_snapshot'!$A$2:$A$132,0))="","",INDEX('Primary_snapshot'!$B$2:$B$132,MATCH(A23,'Primary_snapshot'!$A$2:$A$132,0))),IF(E23="","",E23)=IF(INDEX('Primary_snapshot'!$C$2:$C$132,MATCH(A23,'Primary_snapshot'!$A$2:$A$132,0))="","",INDEX('Primary_snapshot'!$C$2:$C$132,MATCH(A23,'Primary_snapshot'!$A$2:$A$132,0))),IF(AND(D23="retain",E23="statistical_results"),IF(H23="","",H23),"not_applicable")=IF(INDEX('Primary_snapshot'!$D$2:$D$132,MATCH(A23,'Primary_snapshot'!$A$2:$A$132,0))="","",INDEX('Primary_snapshot'!$D$2:$D$132,MATCH(A23,'Primary_snapshot'!$A$2:$A$132,0))),IF(AND(D23="retain",E23="statistical_results"),IF(I23="","",I23),"not_applicable")=IF(INDEX('Primary_snapshot'!$E$2:$E$132,MATCH(A23,'Primary_snapshot'!$A$2:$A$132,0))="","",INDEX('Primary_snapshot'!$E$2:$E$132,MATCH(A23,'Primary_snapshot'!$A$2:$A$132,0))),IF(AND(D23="retain",E23="statistical_results"),IF(J23="","",J23),"not_applicable")=IF(INDEX('Primary_snapshot'!$F$2:$F$132,MATCH(A23,'Primary_snapshot'!$A$2:$A$132,0))="","",INDEX('Primary_snapshot'!$F$2:$F$132,MATCH(A23,'Primary_snapshot'!$A$2:$A$132,0))),IF(AND(D23="retain",OR(E23="report_internal_inconsistency",E23="plan_material")),IF(K23="","",K23),"not_applicable")=IF(INDEX('Primary_snapshot'!$G$2:$G$132,MATCH(A23,'Primary_snapshot'!$A$2:$A$132,0))="","",INDEX('Primary_snapshot'!$G$2:$G$132,MATCH(A23,'Primary_snapshot'!$A$2:$A$132,0))),IF(AND(D23="retain",E23="protocol_report"),IF(L23="","",L23),"not_applicable")=IF(INDEX('Primary_snapshot'!$H$2:$H$132,MATCH(A23,'Primary_snapshot'!$A$2:$A$132,0))="","",INDEX('Primary_snapshot'!$H$2:$H$132,MATCH(A23,'Primary_snapshot'!$A$2:$A$132,0))),IF(R23="","",R23)=IF(INDEX('Primary_snapshot'!$I$2:$I$132,MATCH(A23,'Primary_snapshot'!$A$2:$A$132,0))="","",INDEX('Primary_snapshot'!$I$2:$I$132,MATCH(A23,'Primary_snapshot'!$A$2:$A$132,0)))))),"AGREE BUT CHANGED",IF(AND(P23&lt;&gt;"",NOT(OR(P23="pending",P23="resolved"))),"CHECK RESOLUTION",IF(OR(AND(OR(D23="discuss",INDEX('Primary_snapshot'!$B$2:$B$132,MATCH(A23,'Primary_snapshot'!$A$2:$A$132,0))="discuss",N23="disagree",N23="unable"),P23&lt;&gt;"resolved"),D23="discuss"),"DISCUSS",IF(AND(P23="resolved",LEN(TRIM(Q23))=0),"RESOLUTION NOTE NEEDED",IF(F23&lt;&gt;"checker_done","CHECKER DRAFT","FINAL READY")))))))))))))),"CHECK KEY / SNAPSHOT")</x:f>
        <x:v>CHECK REVIEWER IDs</x:v>
      </x:c>
      <x:c r="H23" s="7" t="str">
        <x:f>IF(AND(OR(D23="retain",D23=""),E23="statistical_results"),"","not_applicable")</x:f>
      </x:c>
      <x:c r="I23" s="7" t="str">
        <x:f>IF(AND(OR(D23="retain",D23=""),E23="statistical_results"),"","not_applicable")</x:f>
      </x:c>
      <x:c r="J23" s="13" t="str">
        <x:f>IF(AND(OR(D23="retain",D23=""),E23="statistical_results"),"","not_applicable")</x:f>
      </x:c>
      <x:c r="K23" s="7" t="str">
        <x:f>IF(AND(OR(D23="retain",D23=""),OR(E23="report_internal_inconsistency",E23="plan_material")),"","not_applicable")</x:f>
        <x:v>not_applicable</x:v>
      </x:c>
      <x:c r="L23" s="13" t="str">
        <x:f>IF(AND(OR(D23="retain",D23=""),E23="protocol_report"),"","not_applicable")</x:f>
        <x:v>not_applicable</x:v>
      </x:c>
      <x:c r="M23" s="3" t="str">
        <x:f>IF(Setup!$B$6="primary","",IFERROR(IF(INDEX('Primary_snapshot'!$L$2:$L$132,MATCH(A23,'Primary_snapshot'!$A$2:$A$132,0))="","",INDEX('Primary_snapshot'!$L$2:$L$132,MATCH(A23,'Primary_snapshot'!$A$2:$A$132,0))),"SNAPSHOT MISSING"))</x:f>
      </x:c>
      <x:c r="N23" s="7" t="str"/>
      <x:c r="O23" s="7" t="str"/>
      <x:c r="P23" s="7" t="str"/>
      <x:c r="Q23" s="7" t="str"/>
      <x:c r="R23" s="13" t="str"/>
    </x:row>
    <x:row r="24" ht="92" customHeight="1">
      <x:c r="A24" s="6" t="str">
        <x:v>2025::jama.2025.11178::C023</x:v>
      </x:c>
      <x:c r="B24" s="6" t="str">
        <x:v>Physical-function 3-month Health Coach SMD endpoints reversed</x:v>
      </x:c>
      <x:c r="C24" s="6" t="str">
        <x:v>main article — PDF p. 10, Table 3, physical function, 3 months, Health Coach vs usual care plus SMD.</x:v>
      </x:c>
      <x:c r="D24" s="7" t="str"/>
      <x:c r="E24" s="7" t="str">
        <x:v>statistical_results</x:v>
      </x:c>
      <x:c r="F24" s="7" t="str">
        <x:v>no</x:v>
      </x:c>
      <x:c r="G24" s="6" t="str">
        <x:f>IFERROR(IF(NOT(OR(Setup!$B$6="primary",Setup!$B$6="checker")),"CHECK STAGE",IF(OR(LEN(TRIM(Setup!$B$2))=0,Setup!$B$2&lt;&gt;TRIM(Setup!$B$2),AND(Setup!$B$6="checker",OR(LEN(TRIM(Setup!$B$4))=0,Setup!$B$4&lt;&gt;TRIM(Setup!$B$4),LOWER(TRIM(Setup!$B$4))=LOWER(TRIM(Setup!$B$2))))),"CHECK REVIEWER IDs",IF(OR(COUNTIF($A$2:$A$38,A24)&lt;&gt;1,COUNTIF(Decisions!$C$2:$C$132,A24)&lt;&gt;1),"CHECK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FIELDS",IF(Setup!$B$6="primary",IF(OR(N24&lt;&gt;"",O24&lt;&gt;"",P24&lt;&gt;"",Q24&lt;&gt;""),"CLEAR CHECKER FIELDS",IF(OR(Setup!$B$4&lt;&gt;"",Setup!$B$5&lt;&gt;""),"CLEAR CHECKER ID",IF(F24&lt;&gt;"primary_done","PRIMARY DRAFT","PRIMARY READY"))),IF(OR(COUNTIF(Primary_snapshot!$A$2:$A$132,A24)&lt;&gt;1,INDEX('Primary_snapshot'!$J$2:$J$132,MATCH(A24,'Primary_snapshot'!$A$2:$A$132,0))&lt;&gt;"primary_done",INDEX('Primary_snapshot'!$K$2:$K$132,MATCH(A24,'Primary_snapshot'!$A$2:$A$132,0))&lt;&gt;Setup!$B$2,INDEX('Primary_snapshot'!$B$2:$B$132,MATCH(A24,'Primary_snapshot'!$A$2:$A$132,0))="NOT FROZEN",INDEX('Primary_snapshot'!$C$2:$C$132,MATCH(A24,'Primary_snapshot'!$A$2:$A$132,0))="NOT FROZEN",INDEX('Primary_snapshot'!$D$2:$D$132,MATCH(A24,'Primary_snapshot'!$A$2:$A$132,0))="NOT FROZEN",INDEX('Primary_snapshot'!$E$2:$E$132,MATCH(A24,'Primary_snapshot'!$A$2:$A$132,0))="NOT FROZEN",INDEX('Primary_snapshot'!$F$2:$F$132,MATCH(A24,'Primary_snapshot'!$A$2:$A$132,0))="NOT FROZEN",INDEX('Primary_snapshot'!$G$2:$G$132,MATCH(A24,'Primary_snapshot'!$A$2:$A$132,0))="NOT FROZEN",INDEX('Primary_snapshot'!$H$2:$H$132,MATCH(A24,'Primary_snapshot'!$A$2:$A$132,0))="NOT FROZEN",INDEX('Primary_snapshot'!$I$2:$I$132,MATCH(A24,'Primary_snapshot'!$A$2:$A$132,0))="NOT FROZEN",INDEX('Primary_snapshot'!$J$2:$J$132,MATCH(A24,'Primary_snapshot'!$A$2:$A$132,0))="NOT FROZEN",INDEX('Primary_snapshot'!$K$2:$K$132,MATCH(A24,'Primary_snapshot'!$A$2:$A$132,0))="NOT FROZEN",INDEX('Primary_snapshot'!$L$2:$L$132,MATCH(A24,'Primary_snapshot'!$A$2:$A$132,0))="NOT FROZEN"),"FREEZE SNAPSHOT",IF(NOT(OR(N24="agree",N24="agree_clarification",N24="disagree",N24="unable")),"CHECKER RESULT NEEDED",IF(AND(N24&lt;&gt;"agree",LEN(TRIM(O24))=0),"COMMENT NEEDED",IF(AND(N24="agree",NOT(AND(IF(D24="","",D24)=IF(INDEX('Primary_snapshot'!$B$2:$B$132,MATCH(A24,'Primary_snapshot'!$A$2:$A$132,0))="","",INDEX('Primary_snapshot'!$B$2:$B$132,MATCH(A24,'Primary_snapshot'!$A$2:$A$132,0))),IF(E24="","",E24)=IF(INDEX('Primary_snapshot'!$C$2:$C$132,MATCH(A24,'Primary_snapshot'!$A$2:$A$132,0))="","",INDEX('Primary_snapshot'!$C$2:$C$132,MATCH(A24,'Primary_snapshot'!$A$2:$A$132,0))),IF(AND(D24="retain",E24="statistical_results"),IF(H24="","",H24),"not_applicable")=IF(INDEX('Primary_snapshot'!$D$2:$D$132,MATCH(A24,'Primary_snapshot'!$A$2:$A$132,0))="","",INDEX('Primary_snapshot'!$D$2:$D$132,MATCH(A24,'Primary_snapshot'!$A$2:$A$132,0))),IF(AND(D24="retain",E24="statistical_results"),IF(I24="","",I24),"not_applicable")=IF(INDEX('Primary_snapshot'!$E$2:$E$132,MATCH(A24,'Primary_snapshot'!$A$2:$A$132,0))="","",INDEX('Primary_snapshot'!$E$2:$E$132,MATCH(A24,'Primary_snapshot'!$A$2:$A$132,0))),IF(AND(D24="retain",E24="statistical_results"),IF(J24="","",J24),"not_applicable")=IF(INDEX('Primary_snapshot'!$F$2:$F$132,MATCH(A24,'Primary_snapshot'!$A$2:$A$132,0))="","",INDEX('Primary_snapshot'!$F$2:$F$132,MATCH(A24,'Primary_snapshot'!$A$2:$A$132,0))),IF(AND(D24="retain",OR(E24="report_internal_inconsistency",E24="plan_material")),IF(K24="","",K24),"not_applicable")=IF(INDEX('Primary_snapshot'!$G$2:$G$132,MATCH(A24,'Primary_snapshot'!$A$2:$A$132,0))="","",INDEX('Primary_snapshot'!$G$2:$G$132,MATCH(A24,'Primary_snapshot'!$A$2:$A$132,0))),IF(AND(D24="retain",E24="protocol_report"),IF(L24="","",L24),"not_applicable")=IF(INDEX('Primary_snapshot'!$H$2:$H$132,MATCH(A24,'Primary_snapshot'!$A$2:$A$132,0))="","",INDEX('Primary_snapshot'!$H$2:$H$132,MATCH(A24,'Primary_snapshot'!$A$2:$A$132,0))),IF(R24="","",R24)=IF(INDEX('Primary_snapshot'!$I$2:$I$132,MATCH(A24,'Primary_snapshot'!$A$2:$A$132,0))="","",INDEX('Primary_snapshot'!$I$2:$I$132,MATCH(A24,'Primary_snapshot'!$A$2:$A$132,0)))))),"AGREE BUT CHANGED",IF(AND(P24&lt;&gt;"",NOT(OR(P24="pending",P24="resolved"))),"CHECK RESOLUTION",IF(OR(AND(OR(D24="discuss",INDEX('Primary_snapshot'!$B$2:$B$132,MATCH(A24,'Primary_snapshot'!$A$2:$A$132,0))="discuss",N24="disagree",N24="unable"),P24&lt;&gt;"resolved"),D24="discuss"),"DISCUSS",IF(AND(P24="resolved",LEN(TRIM(Q24))=0),"RESOLUTION NOTE NEEDED",IF(F24&lt;&gt;"checker_done","CHECKER DRAFT","FINAL READY")))))))))))))),"CHECK KEY / SNAPSHOT")</x:f>
        <x:v>CHECK REVIEWER IDs</x:v>
      </x:c>
      <x:c r="H24" s="7" t="str">
        <x:f>IF(AND(OR(D24="retain",D24=""),E24="statistical_results"),"","not_applicable")</x:f>
      </x:c>
      <x:c r="I24" s="7" t="str">
        <x:f>IF(AND(OR(D24="retain",D24=""),E24="statistical_results"),"","not_applicable")</x:f>
      </x:c>
      <x:c r="J24" s="13" t="str">
        <x:f>IF(AND(OR(D24="retain",D24=""),E24="statistical_results"),"","not_applicable")</x:f>
      </x:c>
      <x:c r="K24" s="7" t="str">
        <x:f>IF(AND(OR(D24="retain",D24=""),OR(E24="report_internal_inconsistency",E24="plan_material")),"","not_applicable")</x:f>
        <x:v>not_applicable</x:v>
      </x:c>
      <x:c r="L24" s="13" t="str">
        <x:f>IF(AND(OR(D24="retain",D24=""),E24="protocol_report"),"","not_applicable")</x:f>
        <x:v>not_applicable</x:v>
      </x:c>
      <x:c r="M24" s="6" t="str">
        <x:f>IF(Setup!$B$6="primary","",IFERROR(IF(INDEX('Primary_snapshot'!$L$2:$L$132,MATCH(A24,'Primary_snapshot'!$A$2:$A$132,0))="","",INDEX('Primary_snapshot'!$L$2:$L$132,MATCH(A24,'Primary_snapshot'!$A$2:$A$132,0))),"SNAPSHOT MISSING"))</x:f>
      </x:c>
      <x:c r="N24" s="7" t="str"/>
      <x:c r="O24" s="7" t="str"/>
      <x:c r="P24" s="7" t="str"/>
      <x:c r="Q24" s="7" t="str"/>
      <x:c r="R24" s="13" t="str"/>
    </x:row>
    <x:row r="25" ht="92" customHeight="1">
      <x:c r="A25" s="3" t="str">
        <x:v>2025::jama.2025.11178::C024</x:v>
      </x:c>
      <x:c r="B25" s="3" t="str">
        <x:v>Physical-function 3-month Health Coach versus painTRAINER SMD endpoints reversed</x:v>
      </x:c>
      <x:c r="C25" s="3" t="str">
        <x:v>main article — PDF p. 10, Table 3, physical function, 3 months, Health Coach vs painTRAINER SMD.</x:v>
      </x:c>
      <x:c r="D25" s="7" t="str"/>
      <x:c r="E25" s="7" t="str">
        <x:v>statistical_results</x:v>
      </x:c>
      <x:c r="F25" s="7" t="str">
        <x:v>no</x:v>
      </x:c>
      <x:c r="G25" s="3" t="str">
        <x:f>IFERROR(IF(NOT(OR(Setup!$B$6="primary",Setup!$B$6="checker")),"CHECK STAGE",IF(OR(LEN(TRIM(Setup!$B$2))=0,Setup!$B$2&lt;&gt;TRIM(Setup!$B$2),AND(Setup!$B$6="checker",OR(LEN(TRIM(Setup!$B$4))=0,Setup!$B$4&lt;&gt;TRIM(Setup!$B$4),LOWER(TRIM(Setup!$B$4))=LOWER(TRIM(Setup!$B$2))))),"CHECK REVIEWER IDs",IF(OR(COUNTIF($A$2:$A$38,A25)&lt;&gt;1,COUNTIF(Decisions!$C$2:$C$132,A25)&lt;&gt;1),"CHECK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FIELDS",IF(Setup!$B$6="primary",IF(OR(N25&lt;&gt;"",O25&lt;&gt;"",P25&lt;&gt;"",Q25&lt;&gt;""),"CLEAR CHECKER FIELDS",IF(OR(Setup!$B$4&lt;&gt;"",Setup!$B$5&lt;&gt;""),"CLEAR CHECKER ID",IF(F25&lt;&gt;"primary_done","PRIMARY DRAFT","PRIMARY READY"))),IF(OR(COUNTIF(Primary_snapshot!$A$2:$A$132,A25)&lt;&gt;1,INDEX('Primary_snapshot'!$J$2:$J$132,MATCH(A25,'Primary_snapshot'!$A$2:$A$132,0))&lt;&gt;"primary_done",INDEX('Primary_snapshot'!$K$2:$K$132,MATCH(A25,'Primary_snapshot'!$A$2:$A$132,0))&lt;&gt;Setup!$B$2,INDEX('Primary_snapshot'!$B$2:$B$132,MATCH(A25,'Primary_snapshot'!$A$2:$A$132,0))="NOT FROZEN",INDEX('Primary_snapshot'!$C$2:$C$132,MATCH(A25,'Primary_snapshot'!$A$2:$A$132,0))="NOT FROZEN",INDEX('Primary_snapshot'!$D$2:$D$132,MATCH(A25,'Primary_snapshot'!$A$2:$A$132,0))="NOT FROZEN",INDEX('Primary_snapshot'!$E$2:$E$132,MATCH(A25,'Primary_snapshot'!$A$2:$A$132,0))="NOT FROZEN",INDEX('Primary_snapshot'!$F$2:$F$132,MATCH(A25,'Primary_snapshot'!$A$2:$A$132,0))="NOT FROZEN",INDEX('Primary_snapshot'!$G$2:$G$132,MATCH(A25,'Primary_snapshot'!$A$2:$A$132,0))="NOT FROZEN",INDEX('Primary_snapshot'!$H$2:$H$132,MATCH(A25,'Primary_snapshot'!$A$2:$A$132,0))="NOT FROZEN",INDEX('Primary_snapshot'!$I$2:$I$132,MATCH(A25,'Primary_snapshot'!$A$2:$A$132,0))="NOT FROZEN",INDEX('Primary_snapshot'!$J$2:$J$132,MATCH(A25,'Primary_snapshot'!$A$2:$A$132,0))="NOT FROZEN",INDEX('Primary_snapshot'!$K$2:$K$132,MATCH(A25,'Primary_snapshot'!$A$2:$A$132,0))="NOT FROZEN",INDEX('Primary_snapshot'!$L$2:$L$132,MATCH(A25,'Primary_snapshot'!$A$2:$A$132,0))="NOT FROZEN"),"FREEZE SNAPSHOT",IF(NOT(OR(N25="agree",N25="agree_clarification",N25="disagree",N25="unable")),"CHECKER RESULT NEEDED",IF(AND(N25&lt;&gt;"agree",LEN(TRIM(O25))=0),"COMMENT NEEDED",IF(AND(N25="agree",NOT(AND(IF(D25="","",D25)=IF(INDEX('Primary_snapshot'!$B$2:$B$132,MATCH(A25,'Primary_snapshot'!$A$2:$A$132,0))="","",INDEX('Primary_snapshot'!$B$2:$B$132,MATCH(A25,'Primary_snapshot'!$A$2:$A$132,0))),IF(E25="","",E25)=IF(INDEX('Primary_snapshot'!$C$2:$C$132,MATCH(A25,'Primary_snapshot'!$A$2:$A$132,0))="","",INDEX('Primary_snapshot'!$C$2:$C$132,MATCH(A25,'Primary_snapshot'!$A$2:$A$132,0))),IF(AND(D25="retain",E25="statistical_results"),IF(H25="","",H25),"not_applicable")=IF(INDEX('Primary_snapshot'!$D$2:$D$132,MATCH(A25,'Primary_snapshot'!$A$2:$A$132,0))="","",INDEX('Primary_snapshot'!$D$2:$D$132,MATCH(A25,'Primary_snapshot'!$A$2:$A$132,0))),IF(AND(D25="retain",E25="statistical_results"),IF(I25="","",I25),"not_applicable")=IF(INDEX('Primary_snapshot'!$E$2:$E$132,MATCH(A25,'Primary_snapshot'!$A$2:$A$132,0))="","",INDEX('Primary_snapshot'!$E$2:$E$132,MATCH(A25,'Primary_snapshot'!$A$2:$A$132,0))),IF(AND(D25="retain",E25="statistical_results"),IF(J25="","",J25),"not_applicable")=IF(INDEX('Primary_snapshot'!$F$2:$F$132,MATCH(A25,'Primary_snapshot'!$A$2:$A$132,0))="","",INDEX('Primary_snapshot'!$F$2:$F$132,MATCH(A25,'Primary_snapshot'!$A$2:$A$132,0))),IF(AND(D25="retain",OR(E25="report_internal_inconsistency",E25="plan_material")),IF(K25="","",K25),"not_applicable")=IF(INDEX('Primary_snapshot'!$G$2:$G$132,MATCH(A25,'Primary_snapshot'!$A$2:$A$132,0))="","",INDEX('Primary_snapshot'!$G$2:$G$132,MATCH(A25,'Primary_snapshot'!$A$2:$A$132,0))),IF(AND(D25="retain",E25="protocol_report"),IF(L25="","",L25),"not_applicable")=IF(INDEX('Primary_snapshot'!$H$2:$H$132,MATCH(A25,'Primary_snapshot'!$A$2:$A$132,0))="","",INDEX('Primary_snapshot'!$H$2:$H$132,MATCH(A25,'Primary_snapshot'!$A$2:$A$132,0))),IF(R25="","",R25)=IF(INDEX('Primary_snapshot'!$I$2:$I$132,MATCH(A25,'Primary_snapshot'!$A$2:$A$132,0))="","",INDEX('Primary_snapshot'!$I$2:$I$132,MATCH(A25,'Primary_snapshot'!$A$2:$A$132,0)))))),"AGREE BUT CHANGED",IF(AND(P25&lt;&gt;"",NOT(OR(P25="pending",P25="resolved"))),"CHECK RESOLUTION",IF(OR(AND(OR(D25="discuss",INDEX('Primary_snapshot'!$B$2:$B$132,MATCH(A25,'Primary_snapshot'!$A$2:$A$132,0))="discuss",N25="disagree",N25="unable"),P25&lt;&gt;"resolved"),D25="discuss"),"DISCUSS",IF(AND(P25="resolved",LEN(TRIM(Q25))=0),"RESOLUTION NOTE NEEDED",IF(F25&lt;&gt;"checker_done","CHECKER DRAFT","FINAL READY")))))))))))))),"CHECK KEY / SNAPSHOT")</x:f>
        <x:v>CHECK REVIEWER IDs</x:v>
      </x:c>
      <x:c r="H25" s="7" t="str">
        <x:f>IF(AND(OR(D25="retain",D25=""),E25="statistical_results"),"","not_applicable")</x:f>
      </x:c>
      <x:c r="I25" s="7" t="str">
        <x:f>IF(AND(OR(D25="retain",D25=""),E25="statistical_results"),"","not_applicable")</x:f>
      </x:c>
      <x:c r="J25" s="13" t="str">
        <x:f>IF(AND(OR(D25="retain",D25=""),E25="statistical_results"),"","not_applicable")</x:f>
      </x:c>
      <x:c r="K25" s="7" t="str">
        <x:f>IF(AND(OR(D25="retain",D25=""),OR(E25="report_internal_inconsistency",E25="plan_material")),"","not_applicable")</x:f>
        <x:v>not_applicable</x:v>
      </x:c>
      <x:c r="L25" s="13" t="str">
        <x:f>IF(AND(OR(D25="retain",D25=""),E25="protocol_report"),"","not_applicable")</x:f>
        <x:v>not_applicable</x:v>
      </x:c>
      <x:c r="M25" s="3" t="str">
        <x:f>IF(Setup!$B$6="primary","",IFERROR(IF(INDEX('Primary_snapshot'!$L$2:$L$132,MATCH(A25,'Primary_snapshot'!$A$2:$A$132,0))="","",INDEX('Primary_snapshot'!$L$2:$L$132,MATCH(A25,'Primary_snapshot'!$A$2:$A$132,0))),"SNAPSHOT MISSING"))</x:f>
      </x:c>
      <x:c r="N25" s="7" t="str"/>
      <x:c r="O25" s="7" t="str"/>
      <x:c r="P25" s="7" t="str"/>
      <x:c r="Q25" s="7" t="str"/>
      <x:c r="R25" s="13" t="str"/>
    </x:row>
    <x:row r="26" ht="92" customHeight="1">
      <x:c r="A26" s="6" t="str">
        <x:v>2025::jama.2025.11178::C025</x:v>
      </x:c>
      <x:c r="B26" s="6" t="str">
        <x:v>Physical-function 6-month painTRAINER SMD endpoints reversed and exclude estimate</x:v>
      </x:c>
      <x:c r="C26" s="6" t="str">
        <x:v>main article — PDF p. 10, Table 3, physical function, 6 months, painTRAINER vs usual care plus SMD.</x:v>
      </x:c>
      <x:c r="D26" s="7" t="str"/>
      <x:c r="E26" s="7" t="str">
        <x:v>statistical_results</x:v>
      </x:c>
      <x:c r="F26" s="7" t="str">
        <x:v>no</x:v>
      </x:c>
      <x:c r="G26" s="6" t="str">
        <x:f>IFERROR(IF(NOT(OR(Setup!$B$6="primary",Setup!$B$6="checker")),"CHECK STAGE",IF(OR(LEN(TRIM(Setup!$B$2))=0,Setup!$B$2&lt;&gt;TRIM(Setup!$B$2),AND(Setup!$B$6="checker",OR(LEN(TRIM(Setup!$B$4))=0,Setup!$B$4&lt;&gt;TRIM(Setup!$B$4),LOWER(TRIM(Setup!$B$4))=LOWER(TRIM(Setup!$B$2))))),"CHECK REVIEWER IDs",IF(OR(COUNTIF($A$2:$A$38,A26)&lt;&gt;1,COUNTIF(Decisions!$C$2:$C$132,A26)&lt;&gt;1),"CHECK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FIELDS",IF(Setup!$B$6="primary",IF(OR(N26&lt;&gt;"",O26&lt;&gt;"",P26&lt;&gt;"",Q26&lt;&gt;""),"CLEAR CHECKER FIELDS",IF(OR(Setup!$B$4&lt;&gt;"",Setup!$B$5&lt;&gt;""),"CLEAR CHECKER ID",IF(F26&lt;&gt;"primary_done","PRIMARY DRAFT","PRIMARY READY"))),IF(OR(COUNTIF(Primary_snapshot!$A$2:$A$132,A26)&lt;&gt;1,INDEX('Primary_snapshot'!$J$2:$J$132,MATCH(A26,'Primary_snapshot'!$A$2:$A$132,0))&lt;&gt;"primary_done",INDEX('Primary_snapshot'!$K$2:$K$132,MATCH(A26,'Primary_snapshot'!$A$2:$A$132,0))&lt;&gt;Setup!$B$2,INDEX('Primary_snapshot'!$B$2:$B$132,MATCH(A26,'Primary_snapshot'!$A$2:$A$132,0))="NOT FROZEN",INDEX('Primary_snapshot'!$C$2:$C$132,MATCH(A26,'Primary_snapshot'!$A$2:$A$132,0))="NOT FROZEN",INDEX('Primary_snapshot'!$D$2:$D$132,MATCH(A26,'Primary_snapshot'!$A$2:$A$132,0))="NOT FROZEN",INDEX('Primary_snapshot'!$E$2:$E$132,MATCH(A26,'Primary_snapshot'!$A$2:$A$132,0))="NOT FROZEN",INDEX('Primary_snapshot'!$F$2:$F$132,MATCH(A26,'Primary_snapshot'!$A$2:$A$132,0))="NOT FROZEN",INDEX('Primary_snapshot'!$G$2:$G$132,MATCH(A26,'Primary_snapshot'!$A$2:$A$132,0))="NOT FROZEN",INDEX('Primary_snapshot'!$H$2:$H$132,MATCH(A26,'Primary_snapshot'!$A$2:$A$132,0))="NOT FROZEN",INDEX('Primary_snapshot'!$I$2:$I$132,MATCH(A26,'Primary_snapshot'!$A$2:$A$132,0))="NOT FROZEN",INDEX('Primary_snapshot'!$J$2:$J$132,MATCH(A26,'Primary_snapshot'!$A$2:$A$132,0))="NOT FROZEN",INDEX('Primary_snapshot'!$K$2:$K$132,MATCH(A26,'Primary_snapshot'!$A$2:$A$132,0))="NOT FROZEN",INDEX('Primary_snapshot'!$L$2:$L$132,MATCH(A26,'Primary_snapshot'!$A$2:$A$132,0))="NOT FROZEN"),"FREEZE SNAPSHOT",IF(NOT(OR(N26="agree",N26="agree_clarification",N26="disagree",N26="unable")),"CHECKER RESULT NEEDED",IF(AND(N26&lt;&gt;"agree",LEN(TRIM(O26))=0),"COMMENT NEEDED",IF(AND(N26="agree",NOT(AND(IF(D26="","",D26)=IF(INDEX('Primary_snapshot'!$B$2:$B$132,MATCH(A26,'Primary_snapshot'!$A$2:$A$132,0))="","",INDEX('Primary_snapshot'!$B$2:$B$132,MATCH(A26,'Primary_snapshot'!$A$2:$A$132,0))),IF(E26="","",E26)=IF(INDEX('Primary_snapshot'!$C$2:$C$132,MATCH(A26,'Primary_snapshot'!$A$2:$A$132,0))="","",INDEX('Primary_snapshot'!$C$2:$C$132,MATCH(A26,'Primary_snapshot'!$A$2:$A$132,0))),IF(AND(D26="retain",E26="statistical_results"),IF(H26="","",H26),"not_applicable")=IF(INDEX('Primary_snapshot'!$D$2:$D$132,MATCH(A26,'Primary_snapshot'!$A$2:$A$132,0))="","",INDEX('Primary_snapshot'!$D$2:$D$132,MATCH(A26,'Primary_snapshot'!$A$2:$A$132,0))),IF(AND(D26="retain",E26="statistical_results"),IF(I26="","",I26),"not_applicable")=IF(INDEX('Primary_snapshot'!$E$2:$E$132,MATCH(A26,'Primary_snapshot'!$A$2:$A$132,0))="","",INDEX('Primary_snapshot'!$E$2:$E$132,MATCH(A26,'Primary_snapshot'!$A$2:$A$132,0))),IF(AND(D26="retain",E26="statistical_results"),IF(J26="","",J26),"not_applicable")=IF(INDEX('Primary_snapshot'!$F$2:$F$132,MATCH(A26,'Primary_snapshot'!$A$2:$A$132,0))="","",INDEX('Primary_snapshot'!$F$2:$F$132,MATCH(A26,'Primary_snapshot'!$A$2:$A$132,0))),IF(AND(D26="retain",OR(E26="report_internal_inconsistency",E26="plan_material")),IF(K26="","",K26),"not_applicable")=IF(INDEX('Primary_snapshot'!$G$2:$G$132,MATCH(A26,'Primary_snapshot'!$A$2:$A$132,0))="","",INDEX('Primary_snapshot'!$G$2:$G$132,MATCH(A26,'Primary_snapshot'!$A$2:$A$132,0))),IF(AND(D26="retain",E26="protocol_report"),IF(L26="","",L26),"not_applicable")=IF(INDEX('Primary_snapshot'!$H$2:$H$132,MATCH(A26,'Primary_snapshot'!$A$2:$A$132,0))="","",INDEX('Primary_snapshot'!$H$2:$H$132,MATCH(A26,'Primary_snapshot'!$A$2:$A$132,0))),IF(R26="","",R26)=IF(INDEX('Primary_snapshot'!$I$2:$I$132,MATCH(A26,'Primary_snapshot'!$A$2:$A$132,0))="","",INDEX('Primary_snapshot'!$I$2:$I$132,MATCH(A26,'Primary_snapshot'!$A$2:$A$132,0)))))),"AGREE BUT CHANGED",IF(AND(P26&lt;&gt;"",NOT(OR(P26="pending",P26="resolved"))),"CHECK RESOLUTION",IF(OR(AND(OR(D26="discuss",INDEX('Primary_snapshot'!$B$2:$B$132,MATCH(A26,'Primary_snapshot'!$A$2:$A$132,0))="discuss",N26="disagree",N26="unable"),P26&lt;&gt;"resolved"),D26="discuss"),"DISCUSS",IF(AND(P26="resolved",LEN(TRIM(Q26))=0),"RESOLUTION NOTE NEEDED",IF(F26&lt;&gt;"checker_done","CHECKER DRAFT","FINAL READY")))))))))))))),"CHECK KEY / SNAPSHOT")</x:f>
        <x:v>CHECK REVIEWER IDs</x:v>
      </x:c>
      <x:c r="H26" s="7" t="str">
        <x:f>IF(AND(OR(D26="retain",D26=""),E26="statistical_results"),"","not_applicable")</x:f>
      </x:c>
      <x:c r="I26" s="7" t="str">
        <x:f>IF(AND(OR(D26="retain",D26=""),E26="statistical_results"),"","not_applicable")</x:f>
      </x:c>
      <x:c r="J26" s="13" t="str">
        <x:f>IF(AND(OR(D26="retain",D26=""),E26="statistical_results"),"","not_applicable")</x:f>
      </x:c>
      <x:c r="K26" s="7" t="str">
        <x:f>IF(AND(OR(D26="retain",D26=""),OR(E26="report_internal_inconsistency",E26="plan_material")),"","not_applicable")</x:f>
        <x:v>not_applicable</x:v>
      </x:c>
      <x:c r="L26" s="13" t="str">
        <x:f>IF(AND(OR(D26="retain",D26=""),E26="protocol_report"),"","not_applicable")</x:f>
        <x:v>not_applicable</x:v>
      </x:c>
      <x:c r="M26" s="6" t="str">
        <x:f>IF(Setup!$B$6="primary","",IFERROR(IF(INDEX('Primary_snapshot'!$L$2:$L$132,MATCH(A26,'Primary_snapshot'!$A$2:$A$132,0))="","",INDEX('Primary_snapshot'!$L$2:$L$132,MATCH(A26,'Primary_snapshot'!$A$2:$A$132,0))),"SNAPSHOT MISSING"))</x:f>
      </x:c>
      <x:c r="N26" s="7" t="str"/>
      <x:c r="O26" s="7" t="str"/>
      <x:c r="P26" s="7" t="str"/>
      <x:c r="Q26" s="7" t="str"/>
      <x:c r="R26" s="13" t="str"/>
    </x:row>
    <x:row r="27" ht="92" customHeight="1">
      <x:c r="A27" s="3" t="str">
        <x:v>2025::jama.2025.11178::C026</x:v>
      </x:c>
      <x:c r="B27" s="3" t="str">
        <x:v>Physical-function 6-month Health Coach SMD endpoints reversed</x:v>
      </x:c>
      <x:c r="C27" s="3" t="str">
        <x:v>main article — PDF p. 10, Table 3, physical function, 6 months, Health Coach vs usual care plus SMD.</x:v>
      </x:c>
      <x:c r="D27" s="7" t="str"/>
      <x:c r="E27" s="7" t="str">
        <x:v>statistical_results</x:v>
      </x:c>
      <x:c r="F27" s="7" t="str">
        <x:v>no</x:v>
      </x:c>
      <x:c r="G27" s="3" t="str">
        <x:f>IFERROR(IF(NOT(OR(Setup!$B$6="primary",Setup!$B$6="checker")),"CHECK STAGE",IF(OR(LEN(TRIM(Setup!$B$2))=0,Setup!$B$2&lt;&gt;TRIM(Setup!$B$2),AND(Setup!$B$6="checker",OR(LEN(TRIM(Setup!$B$4))=0,Setup!$B$4&lt;&gt;TRIM(Setup!$B$4),LOWER(TRIM(Setup!$B$4))=LOWER(TRIM(Setup!$B$2))))),"CHECK REVIEWER IDs",IF(OR(COUNTIF($A$2:$A$38,A27)&lt;&gt;1,COUNTIF(Decisions!$C$2:$C$132,A27)&lt;&gt;1),"CHECK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FIELDS",IF(Setup!$B$6="primary",IF(OR(N27&lt;&gt;"",O27&lt;&gt;"",P27&lt;&gt;"",Q27&lt;&gt;""),"CLEAR CHECKER FIELDS",IF(OR(Setup!$B$4&lt;&gt;"",Setup!$B$5&lt;&gt;""),"CLEAR CHECKER ID",IF(F27&lt;&gt;"primary_done","PRIMARY DRAFT","PRIMARY READY"))),IF(OR(COUNTIF(Primary_snapshot!$A$2:$A$132,A27)&lt;&gt;1,INDEX('Primary_snapshot'!$J$2:$J$132,MATCH(A27,'Primary_snapshot'!$A$2:$A$132,0))&lt;&gt;"primary_done",INDEX('Primary_snapshot'!$K$2:$K$132,MATCH(A27,'Primary_snapshot'!$A$2:$A$132,0))&lt;&gt;Setup!$B$2,INDEX('Primary_snapshot'!$B$2:$B$132,MATCH(A27,'Primary_snapshot'!$A$2:$A$132,0))="NOT FROZEN",INDEX('Primary_snapshot'!$C$2:$C$132,MATCH(A27,'Primary_snapshot'!$A$2:$A$132,0))="NOT FROZEN",INDEX('Primary_snapshot'!$D$2:$D$132,MATCH(A27,'Primary_snapshot'!$A$2:$A$132,0))="NOT FROZEN",INDEX('Primary_snapshot'!$E$2:$E$132,MATCH(A27,'Primary_snapshot'!$A$2:$A$132,0))="NOT FROZEN",INDEX('Primary_snapshot'!$F$2:$F$132,MATCH(A27,'Primary_snapshot'!$A$2:$A$132,0))="NOT FROZEN",INDEX('Primary_snapshot'!$G$2:$G$132,MATCH(A27,'Primary_snapshot'!$A$2:$A$132,0))="NOT FROZEN",INDEX('Primary_snapshot'!$H$2:$H$132,MATCH(A27,'Primary_snapshot'!$A$2:$A$132,0))="NOT FROZEN",INDEX('Primary_snapshot'!$I$2:$I$132,MATCH(A27,'Primary_snapshot'!$A$2:$A$132,0))="NOT FROZEN",INDEX('Primary_snapshot'!$J$2:$J$132,MATCH(A27,'Primary_snapshot'!$A$2:$A$132,0))="NOT FROZEN",INDEX('Primary_snapshot'!$K$2:$K$132,MATCH(A27,'Primary_snapshot'!$A$2:$A$132,0))="NOT FROZEN",INDEX('Primary_snapshot'!$L$2:$L$132,MATCH(A27,'Primary_snapshot'!$A$2:$A$132,0))="NOT FROZEN"),"FREEZE SNAPSHOT",IF(NOT(OR(N27="agree",N27="agree_clarification",N27="disagree",N27="unable")),"CHECKER RESULT NEEDED",IF(AND(N27&lt;&gt;"agree",LEN(TRIM(O27))=0),"COMMENT NEEDED",IF(AND(N27="agree",NOT(AND(IF(D27="","",D27)=IF(INDEX('Primary_snapshot'!$B$2:$B$132,MATCH(A27,'Primary_snapshot'!$A$2:$A$132,0))="","",INDEX('Primary_snapshot'!$B$2:$B$132,MATCH(A27,'Primary_snapshot'!$A$2:$A$132,0))),IF(E27="","",E27)=IF(INDEX('Primary_snapshot'!$C$2:$C$132,MATCH(A27,'Primary_snapshot'!$A$2:$A$132,0))="","",INDEX('Primary_snapshot'!$C$2:$C$132,MATCH(A27,'Primary_snapshot'!$A$2:$A$132,0))),IF(AND(D27="retain",E27="statistical_results"),IF(H27="","",H27),"not_applicable")=IF(INDEX('Primary_snapshot'!$D$2:$D$132,MATCH(A27,'Primary_snapshot'!$A$2:$A$132,0))="","",INDEX('Primary_snapshot'!$D$2:$D$132,MATCH(A27,'Primary_snapshot'!$A$2:$A$132,0))),IF(AND(D27="retain",E27="statistical_results"),IF(I27="","",I27),"not_applicable")=IF(INDEX('Primary_snapshot'!$E$2:$E$132,MATCH(A27,'Primary_snapshot'!$A$2:$A$132,0))="","",INDEX('Primary_snapshot'!$E$2:$E$132,MATCH(A27,'Primary_snapshot'!$A$2:$A$132,0))),IF(AND(D27="retain",E27="statistical_results"),IF(J27="","",J27),"not_applicable")=IF(INDEX('Primary_snapshot'!$F$2:$F$132,MATCH(A27,'Primary_snapshot'!$A$2:$A$132,0))="","",INDEX('Primary_snapshot'!$F$2:$F$132,MATCH(A27,'Primary_snapshot'!$A$2:$A$132,0))),IF(AND(D27="retain",OR(E27="report_internal_inconsistency",E27="plan_material")),IF(K27="","",K27),"not_applicable")=IF(INDEX('Primary_snapshot'!$G$2:$G$132,MATCH(A27,'Primary_snapshot'!$A$2:$A$132,0))="","",INDEX('Primary_snapshot'!$G$2:$G$132,MATCH(A27,'Primary_snapshot'!$A$2:$A$132,0))),IF(AND(D27="retain",E27="protocol_report"),IF(L27="","",L27),"not_applicable")=IF(INDEX('Primary_snapshot'!$H$2:$H$132,MATCH(A27,'Primary_snapshot'!$A$2:$A$132,0))="","",INDEX('Primary_snapshot'!$H$2:$H$132,MATCH(A27,'Primary_snapshot'!$A$2:$A$132,0))),IF(R27="","",R27)=IF(INDEX('Primary_snapshot'!$I$2:$I$132,MATCH(A27,'Primary_snapshot'!$A$2:$A$132,0))="","",INDEX('Primary_snapshot'!$I$2:$I$132,MATCH(A27,'Primary_snapshot'!$A$2:$A$132,0)))))),"AGREE BUT CHANGED",IF(AND(P27&lt;&gt;"",NOT(OR(P27="pending",P27="resolved"))),"CHECK RESOLUTION",IF(OR(AND(OR(D27="discuss",INDEX('Primary_snapshot'!$B$2:$B$132,MATCH(A27,'Primary_snapshot'!$A$2:$A$132,0))="discuss",N27="disagree",N27="unable"),P27&lt;&gt;"resolved"),D27="discuss"),"DISCUSS",IF(AND(P27="resolved",LEN(TRIM(Q27))=0),"RESOLUTION NOTE NEEDED",IF(F27&lt;&gt;"checker_done","CHECKER DRAFT","FINAL READY")))))))))))))),"CHECK KEY / SNAPSHOT")</x:f>
        <x:v>CHECK REVIEWER IDs</x:v>
      </x:c>
      <x:c r="H27" s="7" t="str">
        <x:f>IF(AND(OR(D27="retain",D27=""),E27="statistical_results"),"","not_applicable")</x:f>
      </x:c>
      <x:c r="I27" s="7" t="str">
        <x:f>IF(AND(OR(D27="retain",D27=""),E27="statistical_results"),"","not_applicable")</x:f>
      </x:c>
      <x:c r="J27" s="13" t="str">
        <x:f>IF(AND(OR(D27="retain",D27=""),E27="statistical_results"),"","not_applicable")</x:f>
      </x:c>
      <x:c r="K27" s="7" t="str">
        <x:f>IF(AND(OR(D27="retain",D27=""),OR(E27="report_internal_inconsistency",E27="plan_material")),"","not_applicable")</x:f>
        <x:v>not_applicable</x:v>
      </x:c>
      <x:c r="L27" s="13" t="str">
        <x:f>IF(AND(OR(D27="retain",D27=""),E27="protocol_report"),"","not_applicable")</x:f>
        <x:v>not_applicable</x:v>
      </x:c>
      <x:c r="M27" s="3" t="str">
        <x:f>IF(Setup!$B$6="primary","",IFERROR(IF(INDEX('Primary_snapshot'!$L$2:$L$132,MATCH(A27,'Primary_snapshot'!$A$2:$A$132,0))="","",INDEX('Primary_snapshot'!$L$2:$L$132,MATCH(A27,'Primary_snapshot'!$A$2:$A$132,0))),"SNAPSHOT MISSING"))</x:f>
      </x:c>
      <x:c r="N27" s="7" t="str"/>
      <x:c r="O27" s="7" t="str"/>
      <x:c r="P27" s="7" t="str"/>
      <x:c r="Q27" s="7" t="str"/>
      <x:c r="R27" s="13" t="str"/>
    </x:row>
    <x:row r="28" ht="92" customHeight="1">
      <x:c r="A28" s="6" t="str">
        <x:v>2025::jama.2025.11178::C027</x:v>
      </x:c>
      <x:c r="B28" s="6" t="str">
        <x:v>Physical-function 6-month Health Coach versus painTRAINER SMD endpoints reversed and exclude estimate</x:v>
      </x:c>
      <x:c r="C28" s="6" t="str">
        <x:v>main article — PDF p. 10, Table 3, physical function, 6 months, Health Coach vs painTRAINER SMD.</x:v>
      </x:c>
      <x:c r="D28" s="7" t="str"/>
      <x:c r="E28" s="7" t="str">
        <x:v>statistical_results</x:v>
      </x:c>
      <x:c r="F28" s="7" t="str">
        <x:v>no</x:v>
      </x:c>
      <x:c r="G28" s="6" t="str">
        <x:f>IFERROR(IF(NOT(OR(Setup!$B$6="primary",Setup!$B$6="checker")),"CHECK STAGE",IF(OR(LEN(TRIM(Setup!$B$2))=0,Setup!$B$2&lt;&gt;TRIM(Setup!$B$2),AND(Setup!$B$6="checker",OR(LEN(TRIM(Setup!$B$4))=0,Setup!$B$4&lt;&gt;TRIM(Setup!$B$4),LOWER(TRIM(Setup!$B$4))=LOWER(TRIM(Setup!$B$2))))),"CHECK REVIEWER IDs",IF(OR(COUNTIF($A$2:$A$38,A28)&lt;&gt;1,COUNTIF(Decisions!$C$2:$C$132,A28)&lt;&gt;1),"CHECK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FIELDS",IF(Setup!$B$6="primary",IF(OR(N28&lt;&gt;"",O28&lt;&gt;"",P28&lt;&gt;"",Q28&lt;&gt;""),"CLEAR CHECKER FIELDS",IF(OR(Setup!$B$4&lt;&gt;"",Setup!$B$5&lt;&gt;""),"CLEAR CHECKER ID",IF(F28&lt;&gt;"primary_done","PRIMARY DRAFT","PRIMARY READY"))),IF(OR(COUNTIF(Primary_snapshot!$A$2:$A$132,A28)&lt;&gt;1,INDEX('Primary_snapshot'!$J$2:$J$132,MATCH(A28,'Primary_snapshot'!$A$2:$A$132,0))&lt;&gt;"primary_done",INDEX('Primary_snapshot'!$K$2:$K$132,MATCH(A28,'Primary_snapshot'!$A$2:$A$132,0))&lt;&gt;Setup!$B$2,INDEX('Primary_snapshot'!$B$2:$B$132,MATCH(A28,'Primary_snapshot'!$A$2:$A$132,0))="NOT FROZEN",INDEX('Primary_snapshot'!$C$2:$C$132,MATCH(A28,'Primary_snapshot'!$A$2:$A$132,0))="NOT FROZEN",INDEX('Primary_snapshot'!$D$2:$D$132,MATCH(A28,'Primary_snapshot'!$A$2:$A$132,0))="NOT FROZEN",INDEX('Primary_snapshot'!$E$2:$E$132,MATCH(A28,'Primary_snapshot'!$A$2:$A$132,0))="NOT FROZEN",INDEX('Primary_snapshot'!$F$2:$F$132,MATCH(A28,'Primary_snapshot'!$A$2:$A$132,0))="NOT FROZEN",INDEX('Primary_snapshot'!$G$2:$G$132,MATCH(A28,'Primary_snapshot'!$A$2:$A$132,0))="NOT FROZEN",INDEX('Primary_snapshot'!$H$2:$H$132,MATCH(A28,'Primary_snapshot'!$A$2:$A$132,0))="NOT FROZEN",INDEX('Primary_snapshot'!$I$2:$I$132,MATCH(A28,'Primary_snapshot'!$A$2:$A$132,0))="NOT FROZEN",INDEX('Primary_snapshot'!$J$2:$J$132,MATCH(A28,'Primary_snapshot'!$A$2:$A$132,0))="NOT FROZEN",INDEX('Primary_snapshot'!$K$2:$K$132,MATCH(A28,'Primary_snapshot'!$A$2:$A$132,0))="NOT FROZEN",INDEX('Primary_snapshot'!$L$2:$L$132,MATCH(A28,'Primary_snapshot'!$A$2:$A$132,0))="NOT FROZEN"),"FREEZE SNAPSHOT",IF(NOT(OR(N28="agree",N28="agree_clarification",N28="disagree",N28="unable")),"CHECKER RESULT NEEDED",IF(AND(N28&lt;&gt;"agree",LEN(TRIM(O28))=0),"COMMENT NEEDED",IF(AND(N28="agree",NOT(AND(IF(D28="","",D28)=IF(INDEX('Primary_snapshot'!$B$2:$B$132,MATCH(A28,'Primary_snapshot'!$A$2:$A$132,0))="","",INDEX('Primary_snapshot'!$B$2:$B$132,MATCH(A28,'Primary_snapshot'!$A$2:$A$132,0))),IF(E28="","",E28)=IF(INDEX('Primary_snapshot'!$C$2:$C$132,MATCH(A28,'Primary_snapshot'!$A$2:$A$132,0))="","",INDEX('Primary_snapshot'!$C$2:$C$132,MATCH(A28,'Primary_snapshot'!$A$2:$A$132,0))),IF(AND(D28="retain",E28="statistical_results"),IF(H28="","",H28),"not_applicable")=IF(INDEX('Primary_snapshot'!$D$2:$D$132,MATCH(A28,'Primary_snapshot'!$A$2:$A$132,0))="","",INDEX('Primary_snapshot'!$D$2:$D$132,MATCH(A28,'Primary_snapshot'!$A$2:$A$132,0))),IF(AND(D28="retain",E28="statistical_results"),IF(I28="","",I28),"not_applicable")=IF(INDEX('Primary_snapshot'!$E$2:$E$132,MATCH(A28,'Primary_snapshot'!$A$2:$A$132,0))="","",INDEX('Primary_snapshot'!$E$2:$E$132,MATCH(A28,'Primary_snapshot'!$A$2:$A$132,0))),IF(AND(D28="retain",E28="statistical_results"),IF(J28="","",J28),"not_applicable")=IF(INDEX('Primary_snapshot'!$F$2:$F$132,MATCH(A28,'Primary_snapshot'!$A$2:$A$132,0))="","",INDEX('Primary_snapshot'!$F$2:$F$132,MATCH(A28,'Primary_snapshot'!$A$2:$A$132,0))),IF(AND(D28="retain",OR(E28="report_internal_inconsistency",E28="plan_material")),IF(K28="","",K28),"not_applicable")=IF(INDEX('Primary_snapshot'!$G$2:$G$132,MATCH(A28,'Primary_snapshot'!$A$2:$A$132,0))="","",INDEX('Primary_snapshot'!$G$2:$G$132,MATCH(A28,'Primary_snapshot'!$A$2:$A$132,0))),IF(AND(D28="retain",E28="protocol_report"),IF(L28="","",L28),"not_applicable")=IF(INDEX('Primary_snapshot'!$H$2:$H$132,MATCH(A28,'Primary_snapshot'!$A$2:$A$132,0))="","",INDEX('Primary_snapshot'!$H$2:$H$132,MATCH(A28,'Primary_snapshot'!$A$2:$A$132,0))),IF(R28="","",R28)=IF(INDEX('Primary_snapshot'!$I$2:$I$132,MATCH(A28,'Primary_snapshot'!$A$2:$A$132,0))="","",INDEX('Primary_snapshot'!$I$2:$I$132,MATCH(A28,'Primary_snapshot'!$A$2:$A$132,0)))))),"AGREE BUT CHANGED",IF(AND(P28&lt;&gt;"",NOT(OR(P28="pending",P28="resolved"))),"CHECK RESOLUTION",IF(OR(AND(OR(D28="discuss",INDEX('Primary_snapshot'!$B$2:$B$132,MATCH(A28,'Primary_snapshot'!$A$2:$A$132,0))="discuss",N28="disagree",N28="unable"),P28&lt;&gt;"resolved"),D28="discuss"),"DISCUSS",IF(AND(P28="resolved",LEN(TRIM(Q28))=0),"RESOLUTION NOTE NEEDED",IF(F28&lt;&gt;"checker_done","CHECKER DRAFT","FINAL READY")))))))))))))),"CHECK KEY / SNAPSHOT")</x:f>
        <x:v>CHECK REVIEWER IDs</x:v>
      </x:c>
      <x:c r="H28" s="7" t="str">
        <x:f>IF(AND(OR(D28="retain",D28=""),E28="statistical_results"),"","not_applicable")</x:f>
      </x:c>
      <x:c r="I28" s="7" t="str">
        <x:f>IF(AND(OR(D28="retain",D28=""),E28="statistical_results"),"","not_applicable")</x:f>
      </x:c>
      <x:c r="J28" s="13" t="str">
        <x:f>IF(AND(OR(D28="retain",D28=""),E28="statistical_results"),"","not_applicable")</x:f>
      </x:c>
      <x:c r="K28" s="7" t="str">
        <x:f>IF(AND(OR(D28="retain",D28=""),OR(E28="report_internal_inconsistency",E28="plan_material")),"","not_applicable")</x:f>
        <x:v>not_applicable</x:v>
      </x:c>
      <x:c r="L28" s="13" t="str">
        <x:f>IF(AND(OR(D28="retain",D28=""),E28="protocol_report"),"","not_applicable")</x:f>
        <x:v>not_applicable</x:v>
      </x:c>
      <x:c r="M28" s="6" t="str">
        <x:f>IF(Setup!$B$6="primary","",IFERROR(IF(INDEX('Primary_snapshot'!$L$2:$L$132,MATCH(A28,'Primary_snapshot'!$A$2:$A$132,0))="","",INDEX('Primary_snapshot'!$L$2:$L$132,MATCH(A28,'Primary_snapshot'!$A$2:$A$132,0))),"SNAPSHOT MISSING"))</x:f>
      </x:c>
      <x:c r="N28" s="7" t="str"/>
      <x:c r="O28" s="7" t="str"/>
      <x:c r="P28" s="7" t="str"/>
      <x:c r="Q28" s="7" t="str"/>
      <x:c r="R28" s="13" t="str"/>
    </x:row>
    <x:row r="29" ht="92" customHeight="1">
      <x:c r="A29" s="3" t="str">
        <x:v>2025::jama.2025.11178::C028</x:v>
      </x:c>
      <x:c r="B29" s="3" t="str">
        <x:v>Physical-function 12-month painTRAINER SMD endpoints reversed and exclude estimate</x:v>
      </x:c>
      <x:c r="C29" s="3" t="str">
        <x:v>main article — PDF p. 10, Table 3, physical function, 12 months, painTRAINER vs usual care plus SMD.</x:v>
      </x:c>
      <x:c r="D29" s="7" t="str"/>
      <x:c r="E29" s="7" t="str">
        <x:v>statistical_results</x:v>
      </x:c>
      <x:c r="F29" s="7" t="str">
        <x:v>no</x:v>
      </x:c>
      <x:c r="G29" s="3" t="str">
        <x:f>IFERROR(IF(NOT(OR(Setup!$B$6="primary",Setup!$B$6="checker")),"CHECK STAGE",IF(OR(LEN(TRIM(Setup!$B$2))=0,Setup!$B$2&lt;&gt;TRIM(Setup!$B$2),AND(Setup!$B$6="checker",OR(LEN(TRIM(Setup!$B$4))=0,Setup!$B$4&lt;&gt;TRIM(Setup!$B$4),LOWER(TRIM(Setup!$B$4))=LOWER(TRIM(Setup!$B$2))))),"CHECK REVIEWER IDs",IF(OR(COUNTIF($A$2:$A$38,A29)&lt;&gt;1,COUNTIF(Decisions!$C$2:$C$132,A29)&lt;&gt;1),"CHECK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FIELDS",IF(Setup!$B$6="primary",IF(OR(N29&lt;&gt;"",O29&lt;&gt;"",P29&lt;&gt;"",Q29&lt;&gt;""),"CLEAR CHECKER FIELDS",IF(OR(Setup!$B$4&lt;&gt;"",Setup!$B$5&lt;&gt;""),"CLEAR CHECKER ID",IF(F29&lt;&gt;"primary_done","PRIMARY DRAFT","PRIMARY READY"))),IF(OR(COUNTIF(Primary_snapshot!$A$2:$A$132,A29)&lt;&gt;1,INDEX('Primary_snapshot'!$J$2:$J$132,MATCH(A29,'Primary_snapshot'!$A$2:$A$132,0))&lt;&gt;"primary_done",INDEX('Primary_snapshot'!$K$2:$K$132,MATCH(A29,'Primary_snapshot'!$A$2:$A$132,0))&lt;&gt;Setup!$B$2,INDEX('Primary_snapshot'!$B$2:$B$132,MATCH(A29,'Primary_snapshot'!$A$2:$A$132,0))="NOT FROZEN",INDEX('Primary_snapshot'!$C$2:$C$132,MATCH(A29,'Primary_snapshot'!$A$2:$A$132,0))="NOT FROZEN",INDEX('Primary_snapshot'!$D$2:$D$132,MATCH(A29,'Primary_snapshot'!$A$2:$A$132,0))="NOT FROZEN",INDEX('Primary_snapshot'!$E$2:$E$132,MATCH(A29,'Primary_snapshot'!$A$2:$A$132,0))="NOT FROZEN",INDEX('Primary_snapshot'!$F$2:$F$132,MATCH(A29,'Primary_snapshot'!$A$2:$A$132,0))="NOT FROZEN",INDEX('Primary_snapshot'!$G$2:$G$132,MATCH(A29,'Primary_snapshot'!$A$2:$A$132,0))="NOT FROZEN",INDEX('Primary_snapshot'!$H$2:$H$132,MATCH(A29,'Primary_snapshot'!$A$2:$A$132,0))="NOT FROZEN",INDEX('Primary_snapshot'!$I$2:$I$132,MATCH(A29,'Primary_snapshot'!$A$2:$A$132,0))="NOT FROZEN",INDEX('Primary_snapshot'!$J$2:$J$132,MATCH(A29,'Primary_snapshot'!$A$2:$A$132,0))="NOT FROZEN",INDEX('Primary_snapshot'!$K$2:$K$132,MATCH(A29,'Primary_snapshot'!$A$2:$A$132,0))="NOT FROZEN",INDEX('Primary_snapshot'!$L$2:$L$132,MATCH(A29,'Primary_snapshot'!$A$2:$A$132,0))="NOT FROZEN"),"FREEZE SNAPSHOT",IF(NOT(OR(N29="agree",N29="agree_clarification",N29="disagree",N29="unable")),"CHECKER RESULT NEEDED",IF(AND(N29&lt;&gt;"agree",LEN(TRIM(O29))=0),"COMMENT NEEDED",IF(AND(N29="agree",NOT(AND(IF(D29="","",D29)=IF(INDEX('Primary_snapshot'!$B$2:$B$132,MATCH(A29,'Primary_snapshot'!$A$2:$A$132,0))="","",INDEX('Primary_snapshot'!$B$2:$B$132,MATCH(A29,'Primary_snapshot'!$A$2:$A$132,0))),IF(E29="","",E29)=IF(INDEX('Primary_snapshot'!$C$2:$C$132,MATCH(A29,'Primary_snapshot'!$A$2:$A$132,0))="","",INDEX('Primary_snapshot'!$C$2:$C$132,MATCH(A29,'Primary_snapshot'!$A$2:$A$132,0))),IF(AND(D29="retain",E29="statistical_results"),IF(H29="","",H29),"not_applicable")=IF(INDEX('Primary_snapshot'!$D$2:$D$132,MATCH(A29,'Primary_snapshot'!$A$2:$A$132,0))="","",INDEX('Primary_snapshot'!$D$2:$D$132,MATCH(A29,'Primary_snapshot'!$A$2:$A$132,0))),IF(AND(D29="retain",E29="statistical_results"),IF(I29="","",I29),"not_applicable")=IF(INDEX('Primary_snapshot'!$E$2:$E$132,MATCH(A29,'Primary_snapshot'!$A$2:$A$132,0))="","",INDEX('Primary_snapshot'!$E$2:$E$132,MATCH(A29,'Primary_snapshot'!$A$2:$A$132,0))),IF(AND(D29="retain",E29="statistical_results"),IF(J29="","",J29),"not_applicable")=IF(INDEX('Primary_snapshot'!$F$2:$F$132,MATCH(A29,'Primary_snapshot'!$A$2:$A$132,0))="","",INDEX('Primary_snapshot'!$F$2:$F$132,MATCH(A29,'Primary_snapshot'!$A$2:$A$132,0))),IF(AND(D29="retain",OR(E29="report_internal_inconsistency",E29="plan_material")),IF(K29="","",K29),"not_applicable")=IF(INDEX('Primary_snapshot'!$G$2:$G$132,MATCH(A29,'Primary_snapshot'!$A$2:$A$132,0))="","",INDEX('Primary_snapshot'!$G$2:$G$132,MATCH(A29,'Primary_snapshot'!$A$2:$A$132,0))),IF(AND(D29="retain",E29="protocol_report"),IF(L29="","",L29),"not_applicable")=IF(INDEX('Primary_snapshot'!$H$2:$H$132,MATCH(A29,'Primary_snapshot'!$A$2:$A$132,0))="","",INDEX('Primary_snapshot'!$H$2:$H$132,MATCH(A29,'Primary_snapshot'!$A$2:$A$132,0))),IF(R29="","",R29)=IF(INDEX('Primary_snapshot'!$I$2:$I$132,MATCH(A29,'Primary_snapshot'!$A$2:$A$132,0))="","",INDEX('Primary_snapshot'!$I$2:$I$132,MATCH(A29,'Primary_snapshot'!$A$2:$A$132,0)))))),"AGREE BUT CHANGED",IF(AND(P29&lt;&gt;"",NOT(OR(P29="pending",P29="resolved"))),"CHECK RESOLUTION",IF(OR(AND(OR(D29="discuss",INDEX('Primary_snapshot'!$B$2:$B$132,MATCH(A29,'Primary_snapshot'!$A$2:$A$132,0))="discuss",N29="disagree",N29="unable"),P29&lt;&gt;"resolved"),D29="discuss"),"DISCUSS",IF(AND(P29="resolved",LEN(TRIM(Q29))=0),"RESOLUTION NOTE NEEDED",IF(F29&lt;&gt;"checker_done","CHECKER DRAFT","FINAL READY")))))))))))))),"CHECK KEY / SNAPSHOT")</x:f>
        <x:v>CHECK REVIEWER IDs</x:v>
      </x:c>
      <x:c r="H29" s="7" t="str">
        <x:f>IF(AND(OR(D29="retain",D29=""),E29="statistical_results"),"","not_applicable")</x:f>
      </x:c>
      <x:c r="I29" s="7" t="str">
        <x:f>IF(AND(OR(D29="retain",D29=""),E29="statistical_results"),"","not_applicable")</x:f>
      </x:c>
      <x:c r="J29" s="13" t="str">
        <x:f>IF(AND(OR(D29="retain",D29=""),E29="statistical_results"),"","not_applicable")</x:f>
      </x:c>
      <x:c r="K29" s="7" t="str">
        <x:f>IF(AND(OR(D29="retain",D29=""),OR(E29="report_internal_inconsistency",E29="plan_material")),"","not_applicable")</x:f>
        <x:v>not_applicable</x:v>
      </x:c>
      <x:c r="L29" s="13" t="str">
        <x:f>IF(AND(OR(D29="retain",D29=""),E29="protocol_report"),"","not_applicable")</x:f>
        <x:v>not_applicable</x:v>
      </x:c>
      <x:c r="M29" s="3" t="str">
        <x:f>IF(Setup!$B$6="primary","",IFERROR(IF(INDEX('Primary_snapshot'!$L$2:$L$132,MATCH(A29,'Primary_snapshot'!$A$2:$A$132,0))="","",INDEX('Primary_snapshot'!$L$2:$L$132,MATCH(A29,'Primary_snapshot'!$A$2:$A$132,0))),"SNAPSHOT MISSING"))</x:f>
      </x:c>
      <x:c r="N29" s="7" t="str"/>
      <x:c r="O29" s="7" t="str"/>
      <x:c r="P29" s="7" t="str"/>
      <x:c r="Q29" s="7" t="str"/>
      <x:c r="R29" s="13" t="str"/>
    </x:row>
    <x:row r="30" ht="92" customHeight="1">
      <x:c r="A30" s="6" t="str">
        <x:v>2025::jama.2025.11178::C029</x:v>
      </x:c>
      <x:c r="B30" s="6" t="str">
        <x:v>Physical-function 12-month Health Coach SMD endpoints reversed and exclude estimate</x:v>
      </x:c>
      <x:c r="C30" s="6" t="str">
        <x:v>main article — PDF p. 10, Table 3, physical function, 12 months, Health Coach vs usual care plus SMD.</x:v>
      </x:c>
      <x:c r="D30" s="7" t="str"/>
      <x:c r="E30" s="7" t="str">
        <x:v>statistical_results</x:v>
      </x:c>
      <x:c r="F30" s="7" t="str">
        <x:v>no</x:v>
      </x:c>
      <x:c r="G30" s="6" t="str">
        <x:f>IFERROR(IF(NOT(OR(Setup!$B$6="primary",Setup!$B$6="checker")),"CHECK STAGE",IF(OR(LEN(TRIM(Setup!$B$2))=0,Setup!$B$2&lt;&gt;TRIM(Setup!$B$2),AND(Setup!$B$6="checker",OR(LEN(TRIM(Setup!$B$4))=0,Setup!$B$4&lt;&gt;TRIM(Setup!$B$4),LOWER(TRIM(Setup!$B$4))=LOWER(TRIM(Setup!$B$2))))),"CHECK REVIEWER IDs",IF(OR(COUNTIF($A$2:$A$38,A30)&lt;&gt;1,COUNTIF(Decisions!$C$2:$C$132,A30)&lt;&gt;1),"CHECK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FIELDS",IF(Setup!$B$6="primary",IF(OR(N30&lt;&gt;"",O30&lt;&gt;"",P30&lt;&gt;"",Q30&lt;&gt;""),"CLEAR CHECKER FIELDS",IF(OR(Setup!$B$4&lt;&gt;"",Setup!$B$5&lt;&gt;""),"CLEAR CHECKER ID",IF(F30&lt;&gt;"primary_done","PRIMARY DRAFT","PRIMARY READY"))),IF(OR(COUNTIF(Primary_snapshot!$A$2:$A$132,A30)&lt;&gt;1,INDEX('Primary_snapshot'!$J$2:$J$132,MATCH(A30,'Primary_snapshot'!$A$2:$A$132,0))&lt;&gt;"primary_done",INDEX('Primary_snapshot'!$K$2:$K$132,MATCH(A30,'Primary_snapshot'!$A$2:$A$132,0))&lt;&gt;Setup!$B$2,INDEX('Primary_snapshot'!$B$2:$B$132,MATCH(A30,'Primary_snapshot'!$A$2:$A$132,0))="NOT FROZEN",INDEX('Primary_snapshot'!$C$2:$C$132,MATCH(A30,'Primary_snapshot'!$A$2:$A$132,0))="NOT FROZEN",INDEX('Primary_snapshot'!$D$2:$D$132,MATCH(A30,'Primary_snapshot'!$A$2:$A$132,0))="NOT FROZEN",INDEX('Primary_snapshot'!$E$2:$E$132,MATCH(A30,'Primary_snapshot'!$A$2:$A$132,0))="NOT FROZEN",INDEX('Primary_snapshot'!$F$2:$F$132,MATCH(A30,'Primary_snapshot'!$A$2:$A$132,0))="NOT FROZEN",INDEX('Primary_snapshot'!$G$2:$G$132,MATCH(A30,'Primary_snapshot'!$A$2:$A$132,0))="NOT FROZEN",INDEX('Primary_snapshot'!$H$2:$H$132,MATCH(A30,'Primary_snapshot'!$A$2:$A$132,0))="NOT FROZEN",INDEX('Primary_snapshot'!$I$2:$I$132,MATCH(A30,'Primary_snapshot'!$A$2:$A$132,0))="NOT FROZEN",INDEX('Primary_snapshot'!$J$2:$J$132,MATCH(A30,'Primary_snapshot'!$A$2:$A$132,0))="NOT FROZEN",INDEX('Primary_snapshot'!$K$2:$K$132,MATCH(A30,'Primary_snapshot'!$A$2:$A$132,0))="NOT FROZEN",INDEX('Primary_snapshot'!$L$2:$L$132,MATCH(A30,'Primary_snapshot'!$A$2:$A$132,0))="NOT FROZEN"),"FREEZE SNAPSHOT",IF(NOT(OR(N30="agree",N30="agree_clarification",N30="disagree",N30="unable")),"CHECKER RESULT NEEDED",IF(AND(N30&lt;&gt;"agree",LEN(TRIM(O30))=0),"COMMENT NEEDED",IF(AND(N30="agree",NOT(AND(IF(D30="","",D30)=IF(INDEX('Primary_snapshot'!$B$2:$B$132,MATCH(A30,'Primary_snapshot'!$A$2:$A$132,0))="","",INDEX('Primary_snapshot'!$B$2:$B$132,MATCH(A30,'Primary_snapshot'!$A$2:$A$132,0))),IF(E30="","",E30)=IF(INDEX('Primary_snapshot'!$C$2:$C$132,MATCH(A30,'Primary_snapshot'!$A$2:$A$132,0))="","",INDEX('Primary_snapshot'!$C$2:$C$132,MATCH(A30,'Primary_snapshot'!$A$2:$A$132,0))),IF(AND(D30="retain",E30="statistical_results"),IF(H30="","",H30),"not_applicable")=IF(INDEX('Primary_snapshot'!$D$2:$D$132,MATCH(A30,'Primary_snapshot'!$A$2:$A$132,0))="","",INDEX('Primary_snapshot'!$D$2:$D$132,MATCH(A30,'Primary_snapshot'!$A$2:$A$132,0))),IF(AND(D30="retain",E30="statistical_results"),IF(I30="","",I30),"not_applicable")=IF(INDEX('Primary_snapshot'!$E$2:$E$132,MATCH(A30,'Primary_snapshot'!$A$2:$A$132,0))="","",INDEX('Primary_snapshot'!$E$2:$E$132,MATCH(A30,'Primary_snapshot'!$A$2:$A$132,0))),IF(AND(D30="retain",E30="statistical_results"),IF(J30="","",J30),"not_applicable")=IF(INDEX('Primary_snapshot'!$F$2:$F$132,MATCH(A30,'Primary_snapshot'!$A$2:$A$132,0))="","",INDEX('Primary_snapshot'!$F$2:$F$132,MATCH(A30,'Primary_snapshot'!$A$2:$A$132,0))),IF(AND(D30="retain",OR(E30="report_internal_inconsistency",E30="plan_material")),IF(K30="","",K30),"not_applicable")=IF(INDEX('Primary_snapshot'!$G$2:$G$132,MATCH(A30,'Primary_snapshot'!$A$2:$A$132,0))="","",INDEX('Primary_snapshot'!$G$2:$G$132,MATCH(A30,'Primary_snapshot'!$A$2:$A$132,0))),IF(AND(D30="retain",E30="protocol_report"),IF(L30="","",L30),"not_applicable")=IF(INDEX('Primary_snapshot'!$H$2:$H$132,MATCH(A30,'Primary_snapshot'!$A$2:$A$132,0))="","",INDEX('Primary_snapshot'!$H$2:$H$132,MATCH(A30,'Primary_snapshot'!$A$2:$A$132,0))),IF(R30="","",R30)=IF(INDEX('Primary_snapshot'!$I$2:$I$132,MATCH(A30,'Primary_snapshot'!$A$2:$A$132,0))="","",INDEX('Primary_snapshot'!$I$2:$I$132,MATCH(A30,'Primary_snapshot'!$A$2:$A$132,0)))))),"AGREE BUT CHANGED",IF(AND(P30&lt;&gt;"",NOT(OR(P30="pending",P30="resolved"))),"CHECK RESOLUTION",IF(OR(AND(OR(D30="discuss",INDEX('Primary_snapshot'!$B$2:$B$132,MATCH(A30,'Primary_snapshot'!$A$2:$A$132,0))="discuss",N30="disagree",N30="unable"),P30&lt;&gt;"resolved"),D30="discuss"),"DISCUSS",IF(AND(P30="resolved",LEN(TRIM(Q30))=0),"RESOLUTION NOTE NEEDED",IF(F30&lt;&gt;"checker_done","CHECKER DRAFT","FINAL READY")))))))))))))),"CHECK KEY / SNAPSHOT")</x:f>
        <x:v>CHECK REVIEWER IDs</x:v>
      </x:c>
      <x:c r="H30" s="7" t="str">
        <x:f>IF(AND(OR(D30="retain",D30=""),E30="statistical_results"),"","not_applicable")</x:f>
      </x:c>
      <x:c r="I30" s="7" t="str">
        <x:f>IF(AND(OR(D30="retain",D30=""),E30="statistical_results"),"","not_applicable")</x:f>
      </x:c>
      <x:c r="J30" s="13" t="str">
        <x:f>IF(AND(OR(D30="retain",D30=""),E30="statistical_results"),"","not_applicable")</x:f>
      </x:c>
      <x:c r="K30" s="7" t="str">
        <x:f>IF(AND(OR(D30="retain",D30=""),OR(E30="report_internal_inconsistency",E30="plan_material")),"","not_applicable")</x:f>
        <x:v>not_applicable</x:v>
      </x:c>
      <x:c r="L30" s="13" t="str">
        <x:f>IF(AND(OR(D30="retain",D30=""),E30="protocol_report"),"","not_applicable")</x:f>
        <x:v>not_applicable</x:v>
      </x:c>
      <x:c r="M30" s="6" t="str">
        <x:f>IF(Setup!$B$6="primary","",IFERROR(IF(INDEX('Primary_snapshot'!$L$2:$L$132,MATCH(A30,'Primary_snapshot'!$A$2:$A$132,0))="","",INDEX('Primary_snapshot'!$L$2:$L$132,MATCH(A30,'Primary_snapshot'!$A$2:$A$132,0))),"SNAPSHOT MISSING"))</x:f>
      </x:c>
      <x:c r="N30" s="7" t="str"/>
      <x:c r="O30" s="7" t="str"/>
      <x:c r="P30" s="7" t="str"/>
      <x:c r="Q30" s="7" t="str"/>
      <x:c r="R30" s="13" t="str"/>
    </x:row>
    <x:row r="31" ht="92" customHeight="1">
      <x:c r="A31" s="3" t="str">
        <x:v>2025::jama.2025.11178::C030</x:v>
      </x:c>
      <x:c r="B31" s="3" t="str">
        <x:v>Physical-function 12-month Health Coach versus painTRAINER SMD endpoints reversed and exclude estimate</x:v>
      </x:c>
      <x:c r="C31" s="3" t="str">
        <x:v>main article — PDF p. 10, Table 3, physical function, 12 months, Health Coach vs painTRAINER SMD.</x:v>
      </x:c>
      <x:c r="D31" s="7" t="str"/>
      <x:c r="E31" s="7" t="str">
        <x:v>statistical_results</x:v>
      </x:c>
      <x:c r="F31" s="7" t="str">
        <x:v>no</x:v>
      </x:c>
      <x:c r="G31" s="3" t="str">
        <x:f>IFERROR(IF(NOT(OR(Setup!$B$6="primary",Setup!$B$6="checker")),"CHECK STAGE",IF(OR(LEN(TRIM(Setup!$B$2))=0,Setup!$B$2&lt;&gt;TRIM(Setup!$B$2),AND(Setup!$B$6="checker",OR(LEN(TRIM(Setup!$B$4))=0,Setup!$B$4&lt;&gt;TRIM(Setup!$B$4),LOWER(TRIM(Setup!$B$4))=LOWER(TRIM(Setup!$B$2))))),"CHECK REVIEWER IDs",IF(OR(COUNTIF($A$2:$A$38,A31)&lt;&gt;1,COUNTIF(Decisions!$C$2:$C$132,A31)&lt;&gt;1),"CHECK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FIELDS",IF(Setup!$B$6="primary",IF(OR(N31&lt;&gt;"",O31&lt;&gt;"",P31&lt;&gt;"",Q31&lt;&gt;""),"CLEAR CHECKER FIELDS",IF(OR(Setup!$B$4&lt;&gt;"",Setup!$B$5&lt;&gt;""),"CLEAR CHECKER ID",IF(F31&lt;&gt;"primary_done","PRIMARY DRAFT","PRIMARY READY"))),IF(OR(COUNTIF(Primary_snapshot!$A$2:$A$132,A31)&lt;&gt;1,INDEX('Primary_snapshot'!$J$2:$J$132,MATCH(A31,'Primary_snapshot'!$A$2:$A$132,0))&lt;&gt;"primary_done",INDEX('Primary_snapshot'!$K$2:$K$132,MATCH(A31,'Primary_snapshot'!$A$2:$A$132,0))&lt;&gt;Setup!$B$2,INDEX('Primary_snapshot'!$B$2:$B$132,MATCH(A31,'Primary_snapshot'!$A$2:$A$132,0))="NOT FROZEN",INDEX('Primary_snapshot'!$C$2:$C$132,MATCH(A31,'Primary_snapshot'!$A$2:$A$132,0))="NOT FROZEN",INDEX('Primary_snapshot'!$D$2:$D$132,MATCH(A31,'Primary_snapshot'!$A$2:$A$132,0))="NOT FROZEN",INDEX('Primary_snapshot'!$E$2:$E$132,MATCH(A31,'Primary_snapshot'!$A$2:$A$132,0))="NOT FROZEN",INDEX('Primary_snapshot'!$F$2:$F$132,MATCH(A31,'Primary_snapshot'!$A$2:$A$132,0))="NOT FROZEN",INDEX('Primary_snapshot'!$G$2:$G$132,MATCH(A31,'Primary_snapshot'!$A$2:$A$132,0))="NOT FROZEN",INDEX('Primary_snapshot'!$H$2:$H$132,MATCH(A31,'Primary_snapshot'!$A$2:$A$132,0))="NOT FROZEN",INDEX('Primary_snapshot'!$I$2:$I$132,MATCH(A31,'Primary_snapshot'!$A$2:$A$132,0))="NOT FROZEN",INDEX('Primary_snapshot'!$J$2:$J$132,MATCH(A31,'Primary_snapshot'!$A$2:$A$132,0))="NOT FROZEN",INDEX('Primary_snapshot'!$K$2:$K$132,MATCH(A31,'Primary_snapshot'!$A$2:$A$132,0))="NOT FROZEN",INDEX('Primary_snapshot'!$L$2:$L$132,MATCH(A31,'Primary_snapshot'!$A$2:$A$132,0))="NOT FROZEN"),"FREEZE SNAPSHOT",IF(NOT(OR(N31="agree",N31="agree_clarification",N31="disagree",N31="unable")),"CHECKER RESULT NEEDED",IF(AND(N31&lt;&gt;"agree",LEN(TRIM(O31))=0),"COMMENT NEEDED",IF(AND(N31="agree",NOT(AND(IF(D31="","",D31)=IF(INDEX('Primary_snapshot'!$B$2:$B$132,MATCH(A31,'Primary_snapshot'!$A$2:$A$132,0))="","",INDEX('Primary_snapshot'!$B$2:$B$132,MATCH(A31,'Primary_snapshot'!$A$2:$A$132,0))),IF(E31="","",E31)=IF(INDEX('Primary_snapshot'!$C$2:$C$132,MATCH(A31,'Primary_snapshot'!$A$2:$A$132,0))="","",INDEX('Primary_snapshot'!$C$2:$C$132,MATCH(A31,'Primary_snapshot'!$A$2:$A$132,0))),IF(AND(D31="retain",E31="statistical_results"),IF(H31="","",H31),"not_applicable")=IF(INDEX('Primary_snapshot'!$D$2:$D$132,MATCH(A31,'Primary_snapshot'!$A$2:$A$132,0))="","",INDEX('Primary_snapshot'!$D$2:$D$132,MATCH(A31,'Primary_snapshot'!$A$2:$A$132,0))),IF(AND(D31="retain",E31="statistical_results"),IF(I31="","",I31),"not_applicable")=IF(INDEX('Primary_snapshot'!$E$2:$E$132,MATCH(A31,'Primary_snapshot'!$A$2:$A$132,0))="","",INDEX('Primary_snapshot'!$E$2:$E$132,MATCH(A31,'Primary_snapshot'!$A$2:$A$132,0))),IF(AND(D31="retain",E31="statistical_results"),IF(J31="","",J31),"not_applicable")=IF(INDEX('Primary_snapshot'!$F$2:$F$132,MATCH(A31,'Primary_snapshot'!$A$2:$A$132,0))="","",INDEX('Primary_snapshot'!$F$2:$F$132,MATCH(A31,'Primary_snapshot'!$A$2:$A$132,0))),IF(AND(D31="retain",OR(E31="report_internal_inconsistency",E31="plan_material")),IF(K31="","",K31),"not_applicable")=IF(INDEX('Primary_snapshot'!$G$2:$G$132,MATCH(A31,'Primary_snapshot'!$A$2:$A$132,0))="","",INDEX('Primary_snapshot'!$G$2:$G$132,MATCH(A31,'Primary_snapshot'!$A$2:$A$132,0))),IF(AND(D31="retain",E31="protocol_report"),IF(L31="","",L31),"not_applicable")=IF(INDEX('Primary_snapshot'!$H$2:$H$132,MATCH(A31,'Primary_snapshot'!$A$2:$A$132,0))="","",INDEX('Primary_snapshot'!$H$2:$H$132,MATCH(A31,'Primary_snapshot'!$A$2:$A$132,0))),IF(R31="","",R31)=IF(INDEX('Primary_snapshot'!$I$2:$I$132,MATCH(A31,'Primary_snapshot'!$A$2:$A$132,0))="","",INDEX('Primary_snapshot'!$I$2:$I$132,MATCH(A31,'Primary_snapshot'!$A$2:$A$132,0)))))),"AGREE BUT CHANGED",IF(AND(P31&lt;&gt;"",NOT(OR(P31="pending",P31="resolved"))),"CHECK RESOLUTION",IF(OR(AND(OR(D31="discuss",INDEX('Primary_snapshot'!$B$2:$B$132,MATCH(A31,'Primary_snapshot'!$A$2:$A$132,0))="discuss",N31="disagree",N31="unable"),P31&lt;&gt;"resolved"),D31="discuss"),"DISCUSS",IF(AND(P31="resolved",LEN(TRIM(Q31))=0),"RESOLUTION NOTE NEEDED",IF(F31&lt;&gt;"checker_done","CHECKER DRAFT","FINAL READY")))))))))))))),"CHECK KEY / SNAPSHOT")</x:f>
        <x:v>CHECK REVIEWER IDs</x:v>
      </x:c>
      <x:c r="H31" s="7" t="str">
        <x:f>IF(AND(OR(D31="retain",D31=""),E31="statistical_results"),"","not_applicable")</x:f>
      </x:c>
      <x:c r="I31" s="7" t="str">
        <x:f>IF(AND(OR(D31="retain",D31=""),E31="statistical_results"),"","not_applicable")</x:f>
      </x:c>
      <x:c r="J31" s="13" t="str">
        <x:f>IF(AND(OR(D31="retain",D31=""),E31="statistical_results"),"","not_applicable")</x:f>
      </x:c>
      <x:c r="K31" s="7" t="str">
        <x:f>IF(AND(OR(D31="retain",D31=""),OR(E31="report_internal_inconsistency",E31="plan_material")),"","not_applicable")</x:f>
        <x:v>not_applicable</x:v>
      </x:c>
      <x:c r="L31" s="13" t="str">
        <x:f>IF(AND(OR(D31="retain",D31=""),E31="protocol_report"),"","not_applicable")</x:f>
        <x:v>not_applicable</x:v>
      </x:c>
      <x:c r="M31" s="3" t="str">
        <x:f>IF(Setup!$B$6="primary","",IFERROR(IF(INDEX('Primary_snapshot'!$L$2:$L$132,MATCH(A31,'Primary_snapshot'!$A$2:$A$132,0))="","",INDEX('Primary_snapshot'!$L$2:$L$132,MATCH(A31,'Primary_snapshot'!$A$2:$A$132,0))),"SNAPSHOT MISSING"))</x:f>
      </x:c>
      <x:c r="N31" s="7" t="str"/>
      <x:c r="O31" s="7" t="str"/>
      <x:c r="P31" s="7" t="str"/>
      <x:c r="Q31" s="7" t="str"/>
      <x:c r="R31" s="13" t="str"/>
    </x:row>
    <x:row r="32" ht="92" customHeight="1">
      <x:c r="A32" s="6" t="str">
        <x:v>2025::jama.2025.11178::C031</x:v>
      </x:c>
      <x:c r="B32" s="6" t="str">
        <x:v>PGIC-pain 12-month painTRAINER SMD outside printed CI</x:v>
      </x:c>
      <x:c r="C32" s="6" t="str">
        <x:v>main article — PDF p. 11, Table 3, PGIC-pain, 12 months, painTRAINER vs usual care plus SMD.</x:v>
      </x:c>
      <x:c r="D32" s="7" t="str"/>
      <x:c r="E32" s="7" t="str">
        <x:v>statistical_results</x:v>
      </x:c>
      <x:c r="F32" s="7" t="str">
        <x:v>no</x:v>
      </x:c>
      <x:c r="G32" s="6" t="str">
        <x:f>IFERROR(IF(NOT(OR(Setup!$B$6="primary",Setup!$B$6="checker")),"CHECK STAGE",IF(OR(LEN(TRIM(Setup!$B$2))=0,Setup!$B$2&lt;&gt;TRIM(Setup!$B$2),AND(Setup!$B$6="checker",OR(LEN(TRIM(Setup!$B$4))=0,Setup!$B$4&lt;&gt;TRIM(Setup!$B$4),LOWER(TRIM(Setup!$B$4))=LOWER(TRIM(Setup!$B$2))))),"CHECK REVIEWER IDs",IF(OR(COUNTIF($A$2:$A$38,A32)&lt;&gt;1,COUNTIF(Decisions!$C$2:$C$132,A32)&lt;&gt;1),"CHECK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FIELDS",IF(Setup!$B$6="primary",IF(OR(N32&lt;&gt;"",O32&lt;&gt;"",P32&lt;&gt;"",Q32&lt;&gt;""),"CLEAR CHECKER FIELDS",IF(OR(Setup!$B$4&lt;&gt;"",Setup!$B$5&lt;&gt;""),"CLEAR CHECKER ID",IF(F32&lt;&gt;"primary_done","PRIMARY DRAFT","PRIMARY READY"))),IF(OR(COUNTIF(Primary_snapshot!$A$2:$A$132,A32)&lt;&gt;1,INDEX('Primary_snapshot'!$J$2:$J$132,MATCH(A32,'Primary_snapshot'!$A$2:$A$132,0))&lt;&gt;"primary_done",INDEX('Primary_snapshot'!$K$2:$K$132,MATCH(A32,'Primary_snapshot'!$A$2:$A$132,0))&lt;&gt;Setup!$B$2,INDEX('Primary_snapshot'!$B$2:$B$132,MATCH(A32,'Primary_snapshot'!$A$2:$A$132,0))="NOT FROZEN",INDEX('Primary_snapshot'!$C$2:$C$132,MATCH(A32,'Primary_snapshot'!$A$2:$A$132,0))="NOT FROZEN",INDEX('Primary_snapshot'!$D$2:$D$132,MATCH(A32,'Primary_snapshot'!$A$2:$A$132,0))="NOT FROZEN",INDEX('Primary_snapshot'!$E$2:$E$132,MATCH(A32,'Primary_snapshot'!$A$2:$A$132,0))="NOT FROZEN",INDEX('Primary_snapshot'!$F$2:$F$132,MATCH(A32,'Primary_snapshot'!$A$2:$A$132,0))="NOT FROZEN",INDEX('Primary_snapshot'!$G$2:$G$132,MATCH(A32,'Primary_snapshot'!$A$2:$A$132,0))="NOT FROZEN",INDEX('Primary_snapshot'!$H$2:$H$132,MATCH(A32,'Primary_snapshot'!$A$2:$A$132,0))="NOT FROZEN",INDEX('Primary_snapshot'!$I$2:$I$132,MATCH(A32,'Primary_snapshot'!$A$2:$A$132,0))="NOT FROZEN",INDEX('Primary_snapshot'!$J$2:$J$132,MATCH(A32,'Primary_snapshot'!$A$2:$A$132,0))="NOT FROZEN",INDEX('Primary_snapshot'!$K$2:$K$132,MATCH(A32,'Primary_snapshot'!$A$2:$A$132,0))="NOT FROZEN",INDEX('Primary_snapshot'!$L$2:$L$132,MATCH(A32,'Primary_snapshot'!$A$2:$A$132,0))="NOT FROZEN"),"FREEZE SNAPSHOT",IF(NOT(OR(N32="agree",N32="agree_clarification",N32="disagree",N32="unable")),"CHECKER RESULT NEEDED",IF(AND(N32&lt;&gt;"agree",LEN(TRIM(O32))=0),"COMMENT NEEDED",IF(AND(N32="agree",NOT(AND(IF(D32="","",D32)=IF(INDEX('Primary_snapshot'!$B$2:$B$132,MATCH(A32,'Primary_snapshot'!$A$2:$A$132,0))="","",INDEX('Primary_snapshot'!$B$2:$B$132,MATCH(A32,'Primary_snapshot'!$A$2:$A$132,0))),IF(E32="","",E32)=IF(INDEX('Primary_snapshot'!$C$2:$C$132,MATCH(A32,'Primary_snapshot'!$A$2:$A$132,0))="","",INDEX('Primary_snapshot'!$C$2:$C$132,MATCH(A32,'Primary_snapshot'!$A$2:$A$132,0))),IF(AND(D32="retain",E32="statistical_results"),IF(H32="","",H32),"not_applicable")=IF(INDEX('Primary_snapshot'!$D$2:$D$132,MATCH(A32,'Primary_snapshot'!$A$2:$A$132,0))="","",INDEX('Primary_snapshot'!$D$2:$D$132,MATCH(A32,'Primary_snapshot'!$A$2:$A$132,0))),IF(AND(D32="retain",E32="statistical_results"),IF(I32="","",I32),"not_applicable")=IF(INDEX('Primary_snapshot'!$E$2:$E$132,MATCH(A32,'Primary_snapshot'!$A$2:$A$132,0))="","",INDEX('Primary_snapshot'!$E$2:$E$132,MATCH(A32,'Primary_snapshot'!$A$2:$A$132,0))),IF(AND(D32="retain",E32="statistical_results"),IF(J32="","",J32),"not_applicable")=IF(INDEX('Primary_snapshot'!$F$2:$F$132,MATCH(A32,'Primary_snapshot'!$A$2:$A$132,0))="","",INDEX('Primary_snapshot'!$F$2:$F$132,MATCH(A32,'Primary_snapshot'!$A$2:$A$132,0))),IF(AND(D32="retain",OR(E32="report_internal_inconsistency",E32="plan_material")),IF(K32="","",K32),"not_applicable")=IF(INDEX('Primary_snapshot'!$G$2:$G$132,MATCH(A32,'Primary_snapshot'!$A$2:$A$132,0))="","",INDEX('Primary_snapshot'!$G$2:$G$132,MATCH(A32,'Primary_snapshot'!$A$2:$A$132,0))),IF(AND(D32="retain",E32="protocol_report"),IF(L32="","",L32),"not_applicable")=IF(INDEX('Primary_snapshot'!$H$2:$H$132,MATCH(A32,'Primary_snapshot'!$A$2:$A$132,0))="","",INDEX('Primary_snapshot'!$H$2:$H$132,MATCH(A32,'Primary_snapshot'!$A$2:$A$132,0))),IF(R32="","",R32)=IF(INDEX('Primary_snapshot'!$I$2:$I$132,MATCH(A32,'Primary_snapshot'!$A$2:$A$132,0))="","",INDEX('Primary_snapshot'!$I$2:$I$132,MATCH(A32,'Primary_snapshot'!$A$2:$A$132,0)))))),"AGREE BUT CHANGED",IF(AND(P32&lt;&gt;"",NOT(OR(P32="pending",P32="resolved"))),"CHECK RESOLUTION",IF(OR(AND(OR(D32="discuss",INDEX('Primary_snapshot'!$B$2:$B$132,MATCH(A32,'Primary_snapshot'!$A$2:$A$132,0))="discuss",N32="disagree",N32="unable"),P32&lt;&gt;"resolved"),D32="discuss"),"DISCUSS",IF(AND(P32="resolved",LEN(TRIM(Q32))=0),"RESOLUTION NOTE NEEDED",IF(F32&lt;&gt;"checker_done","CHECKER DRAFT","FINAL READY")))))))))))))),"CHECK KEY / SNAPSHOT")</x:f>
        <x:v>CHECK REVIEWER IDs</x:v>
      </x:c>
      <x:c r="H32" s="7" t="str">
        <x:f>IF(AND(OR(D32="retain",D32=""),E32="statistical_results"),"","not_applicable")</x:f>
      </x:c>
      <x:c r="I32" s="7" t="str">
        <x:f>IF(AND(OR(D32="retain",D32=""),E32="statistical_results"),"","not_applicable")</x:f>
      </x:c>
      <x:c r="J32" s="13" t="str">
        <x:f>IF(AND(OR(D32="retain",D32=""),E32="statistical_results"),"","not_applicable")</x:f>
      </x:c>
      <x:c r="K32" s="7" t="str">
        <x:f>IF(AND(OR(D32="retain",D32=""),OR(E32="report_internal_inconsistency",E32="plan_material")),"","not_applicable")</x:f>
        <x:v>not_applicable</x:v>
      </x:c>
      <x:c r="L32" s="13" t="str">
        <x:f>IF(AND(OR(D32="retain",D32=""),E32="protocol_report"),"","not_applicable")</x:f>
        <x:v>not_applicable</x:v>
      </x:c>
      <x:c r="M32" s="6" t="str">
        <x:f>IF(Setup!$B$6="primary","",IFERROR(IF(INDEX('Primary_snapshot'!$L$2:$L$132,MATCH(A32,'Primary_snapshot'!$A$2:$A$132,0))="","",INDEX('Primary_snapshot'!$L$2:$L$132,MATCH(A32,'Primary_snapshot'!$A$2:$A$132,0))),"SNAPSHOT MISSING"))</x:f>
      </x:c>
      <x:c r="N32" s="7" t="str"/>
      <x:c r="O32" s="7" t="str"/>
      <x:c r="P32" s="7" t="str"/>
      <x:c r="Q32" s="7" t="str"/>
      <x:c r="R32" s="13" t="str"/>
    </x:row>
    <x:row r="33" ht="92" customHeight="1">
      <x:c r="A33" s="3" t="str">
        <x:v>2025::jama.2025.11178::C032</x:v>
      </x:c>
      <x:c r="B33" s="3" t="str">
        <x:v>PGIC-pain 12-month Health Coach SMD outside printed CI</x:v>
      </x:c>
      <x:c r="C33" s="3" t="str">
        <x:v>main article — PDF p. 11, Table 3, PGIC-pain, 12 months, Health Coach vs usual care plus SMD.</x:v>
      </x:c>
      <x:c r="D33" s="7" t="str"/>
      <x:c r="E33" s="7" t="str">
        <x:v>statistical_results</x:v>
      </x:c>
      <x:c r="F33" s="7" t="str">
        <x:v>no</x:v>
      </x:c>
      <x:c r="G33" s="3" t="str">
        <x:f>IFERROR(IF(NOT(OR(Setup!$B$6="primary",Setup!$B$6="checker")),"CHECK STAGE",IF(OR(LEN(TRIM(Setup!$B$2))=0,Setup!$B$2&lt;&gt;TRIM(Setup!$B$2),AND(Setup!$B$6="checker",OR(LEN(TRIM(Setup!$B$4))=0,Setup!$B$4&lt;&gt;TRIM(Setup!$B$4),LOWER(TRIM(Setup!$B$4))=LOWER(TRIM(Setup!$B$2))))),"CHECK REVIEWER IDs",IF(OR(COUNTIF($A$2:$A$38,A33)&lt;&gt;1,COUNTIF(Decisions!$C$2:$C$132,A33)&lt;&gt;1),"CHECK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FIELDS",IF(Setup!$B$6="primary",IF(OR(N33&lt;&gt;"",O33&lt;&gt;"",P33&lt;&gt;"",Q33&lt;&gt;""),"CLEAR CHECKER FIELDS",IF(OR(Setup!$B$4&lt;&gt;"",Setup!$B$5&lt;&gt;""),"CLEAR CHECKER ID",IF(F33&lt;&gt;"primary_done","PRIMARY DRAFT","PRIMARY READY"))),IF(OR(COUNTIF(Primary_snapshot!$A$2:$A$132,A33)&lt;&gt;1,INDEX('Primary_snapshot'!$J$2:$J$132,MATCH(A33,'Primary_snapshot'!$A$2:$A$132,0))&lt;&gt;"primary_done",INDEX('Primary_snapshot'!$K$2:$K$132,MATCH(A33,'Primary_snapshot'!$A$2:$A$132,0))&lt;&gt;Setup!$B$2,INDEX('Primary_snapshot'!$B$2:$B$132,MATCH(A33,'Primary_snapshot'!$A$2:$A$132,0))="NOT FROZEN",INDEX('Primary_snapshot'!$C$2:$C$132,MATCH(A33,'Primary_snapshot'!$A$2:$A$132,0))="NOT FROZEN",INDEX('Primary_snapshot'!$D$2:$D$132,MATCH(A33,'Primary_snapshot'!$A$2:$A$132,0))="NOT FROZEN",INDEX('Primary_snapshot'!$E$2:$E$132,MATCH(A33,'Primary_snapshot'!$A$2:$A$132,0))="NOT FROZEN",INDEX('Primary_snapshot'!$F$2:$F$132,MATCH(A33,'Primary_snapshot'!$A$2:$A$132,0))="NOT FROZEN",INDEX('Primary_snapshot'!$G$2:$G$132,MATCH(A33,'Primary_snapshot'!$A$2:$A$132,0))="NOT FROZEN",INDEX('Primary_snapshot'!$H$2:$H$132,MATCH(A33,'Primary_snapshot'!$A$2:$A$132,0))="NOT FROZEN",INDEX('Primary_snapshot'!$I$2:$I$132,MATCH(A33,'Primary_snapshot'!$A$2:$A$132,0))="NOT FROZEN",INDEX('Primary_snapshot'!$J$2:$J$132,MATCH(A33,'Primary_snapshot'!$A$2:$A$132,0))="NOT FROZEN",INDEX('Primary_snapshot'!$K$2:$K$132,MATCH(A33,'Primary_snapshot'!$A$2:$A$132,0))="NOT FROZEN",INDEX('Primary_snapshot'!$L$2:$L$132,MATCH(A33,'Primary_snapshot'!$A$2:$A$132,0))="NOT FROZEN"),"FREEZE SNAPSHOT",IF(NOT(OR(N33="agree",N33="agree_clarification",N33="disagree",N33="unable")),"CHECKER RESULT NEEDED",IF(AND(N33&lt;&gt;"agree",LEN(TRIM(O33))=0),"COMMENT NEEDED",IF(AND(N33="agree",NOT(AND(IF(D33="","",D33)=IF(INDEX('Primary_snapshot'!$B$2:$B$132,MATCH(A33,'Primary_snapshot'!$A$2:$A$132,0))="","",INDEX('Primary_snapshot'!$B$2:$B$132,MATCH(A33,'Primary_snapshot'!$A$2:$A$132,0))),IF(E33="","",E33)=IF(INDEX('Primary_snapshot'!$C$2:$C$132,MATCH(A33,'Primary_snapshot'!$A$2:$A$132,0))="","",INDEX('Primary_snapshot'!$C$2:$C$132,MATCH(A33,'Primary_snapshot'!$A$2:$A$132,0))),IF(AND(D33="retain",E33="statistical_results"),IF(H33="","",H33),"not_applicable")=IF(INDEX('Primary_snapshot'!$D$2:$D$132,MATCH(A33,'Primary_snapshot'!$A$2:$A$132,0))="","",INDEX('Primary_snapshot'!$D$2:$D$132,MATCH(A33,'Primary_snapshot'!$A$2:$A$132,0))),IF(AND(D33="retain",E33="statistical_results"),IF(I33="","",I33),"not_applicable")=IF(INDEX('Primary_snapshot'!$E$2:$E$132,MATCH(A33,'Primary_snapshot'!$A$2:$A$132,0))="","",INDEX('Primary_snapshot'!$E$2:$E$132,MATCH(A33,'Primary_snapshot'!$A$2:$A$132,0))),IF(AND(D33="retain",E33="statistical_results"),IF(J33="","",J33),"not_applicable")=IF(INDEX('Primary_snapshot'!$F$2:$F$132,MATCH(A33,'Primary_snapshot'!$A$2:$A$132,0))="","",INDEX('Primary_snapshot'!$F$2:$F$132,MATCH(A33,'Primary_snapshot'!$A$2:$A$132,0))),IF(AND(D33="retain",OR(E33="report_internal_inconsistency",E33="plan_material")),IF(K33="","",K33),"not_applicable")=IF(INDEX('Primary_snapshot'!$G$2:$G$132,MATCH(A33,'Primary_snapshot'!$A$2:$A$132,0))="","",INDEX('Primary_snapshot'!$G$2:$G$132,MATCH(A33,'Primary_snapshot'!$A$2:$A$132,0))),IF(AND(D33="retain",E33="protocol_report"),IF(L33="","",L33),"not_applicable")=IF(INDEX('Primary_snapshot'!$H$2:$H$132,MATCH(A33,'Primary_snapshot'!$A$2:$A$132,0))="","",INDEX('Primary_snapshot'!$H$2:$H$132,MATCH(A33,'Primary_snapshot'!$A$2:$A$132,0))),IF(R33="","",R33)=IF(INDEX('Primary_snapshot'!$I$2:$I$132,MATCH(A33,'Primary_snapshot'!$A$2:$A$132,0))="","",INDEX('Primary_snapshot'!$I$2:$I$132,MATCH(A33,'Primary_snapshot'!$A$2:$A$132,0)))))),"AGREE BUT CHANGED",IF(AND(P33&lt;&gt;"",NOT(OR(P33="pending",P33="resolved"))),"CHECK RESOLUTION",IF(OR(AND(OR(D33="discuss",INDEX('Primary_snapshot'!$B$2:$B$132,MATCH(A33,'Primary_snapshot'!$A$2:$A$132,0))="discuss",N33="disagree",N33="unable"),P33&lt;&gt;"resolved"),D33="discuss"),"DISCUSS",IF(AND(P33="resolved",LEN(TRIM(Q33))=0),"RESOLUTION NOTE NEEDED",IF(F33&lt;&gt;"checker_done","CHECKER DRAFT","FINAL READY")))))))))))))),"CHECK KEY / SNAPSHOT")</x:f>
        <x:v>CHECK REVIEWER IDs</x:v>
      </x:c>
      <x:c r="H33" s="7" t="str">
        <x:f>IF(AND(OR(D33="retain",D33=""),E33="statistical_results"),"","not_applicable")</x:f>
      </x:c>
      <x:c r="I33" s="7" t="str">
        <x:f>IF(AND(OR(D33="retain",D33=""),E33="statistical_results"),"","not_applicable")</x:f>
      </x:c>
      <x:c r="J33" s="13" t="str">
        <x:f>IF(AND(OR(D33="retain",D33=""),E33="statistical_results"),"","not_applicable")</x:f>
      </x:c>
      <x:c r="K33" s="7" t="str">
        <x:f>IF(AND(OR(D33="retain",D33=""),OR(E33="report_internal_inconsistency",E33="plan_material")),"","not_applicable")</x:f>
        <x:v>not_applicable</x:v>
      </x:c>
      <x:c r="L33" s="13" t="str">
        <x:f>IF(AND(OR(D33="retain",D33=""),E33="protocol_report"),"","not_applicable")</x:f>
        <x:v>not_applicable</x:v>
      </x:c>
      <x:c r="M33" s="3" t="str">
        <x:f>IF(Setup!$B$6="primary","",IFERROR(IF(INDEX('Primary_snapshot'!$L$2:$L$132,MATCH(A33,'Primary_snapshot'!$A$2:$A$132,0))="","",INDEX('Primary_snapshot'!$L$2:$L$132,MATCH(A33,'Primary_snapshot'!$A$2:$A$132,0))),"SNAPSHOT MISSING"))</x:f>
      </x:c>
      <x:c r="N33" s="7" t="str"/>
      <x:c r="O33" s="7" t="str"/>
      <x:c r="P33" s="7" t="str"/>
      <x:c r="Q33" s="7" t="str"/>
      <x:c r="R33" s="13" t="str"/>
    </x:row>
    <x:row r="34" ht="92" customHeight="1">
      <x:c r="A34" s="6" t="str">
        <x:v>2025::jama.2025.11178::C033</x:v>
      </x:c>
      <x:c r="B34" s="6" t="str">
        <x:v>PGIC-pain 12-month Health Coach versus painTRAINER SMD outside printed CI</x:v>
      </x:c>
      <x:c r="C34" s="6" t="str">
        <x:v>main article — PDF p. 11, Table 3, PGIC-pain, 12 months, Health Coach vs painTRAINER SMD.</x:v>
      </x:c>
      <x:c r="D34" s="7" t="str"/>
      <x:c r="E34" s="7" t="str">
        <x:v>statistical_results</x:v>
      </x:c>
      <x:c r="F34" s="7" t="str">
        <x:v>no</x:v>
      </x:c>
      <x:c r="G34" s="6" t="str">
        <x:f>IFERROR(IF(NOT(OR(Setup!$B$6="primary",Setup!$B$6="checker")),"CHECK STAGE",IF(OR(LEN(TRIM(Setup!$B$2))=0,Setup!$B$2&lt;&gt;TRIM(Setup!$B$2),AND(Setup!$B$6="checker",OR(LEN(TRIM(Setup!$B$4))=0,Setup!$B$4&lt;&gt;TRIM(Setup!$B$4),LOWER(TRIM(Setup!$B$4))=LOWER(TRIM(Setup!$B$2))))),"CHECK REVIEWER IDs",IF(OR(COUNTIF($A$2:$A$38,A34)&lt;&gt;1,COUNTIF(Decisions!$C$2:$C$132,A34)&lt;&gt;1),"CHECK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FIELDS",IF(Setup!$B$6="primary",IF(OR(N34&lt;&gt;"",O34&lt;&gt;"",P34&lt;&gt;"",Q34&lt;&gt;""),"CLEAR CHECKER FIELDS",IF(OR(Setup!$B$4&lt;&gt;"",Setup!$B$5&lt;&gt;""),"CLEAR CHECKER ID",IF(F34&lt;&gt;"primary_done","PRIMARY DRAFT","PRIMARY READY"))),IF(OR(COUNTIF(Primary_snapshot!$A$2:$A$132,A34)&lt;&gt;1,INDEX('Primary_snapshot'!$J$2:$J$132,MATCH(A34,'Primary_snapshot'!$A$2:$A$132,0))&lt;&gt;"primary_done",INDEX('Primary_snapshot'!$K$2:$K$132,MATCH(A34,'Primary_snapshot'!$A$2:$A$132,0))&lt;&gt;Setup!$B$2,INDEX('Primary_snapshot'!$B$2:$B$132,MATCH(A34,'Primary_snapshot'!$A$2:$A$132,0))="NOT FROZEN",INDEX('Primary_snapshot'!$C$2:$C$132,MATCH(A34,'Primary_snapshot'!$A$2:$A$132,0))="NOT FROZEN",INDEX('Primary_snapshot'!$D$2:$D$132,MATCH(A34,'Primary_snapshot'!$A$2:$A$132,0))="NOT FROZEN",INDEX('Primary_snapshot'!$E$2:$E$132,MATCH(A34,'Primary_snapshot'!$A$2:$A$132,0))="NOT FROZEN",INDEX('Primary_snapshot'!$F$2:$F$132,MATCH(A34,'Primary_snapshot'!$A$2:$A$132,0))="NOT FROZEN",INDEX('Primary_snapshot'!$G$2:$G$132,MATCH(A34,'Primary_snapshot'!$A$2:$A$132,0))="NOT FROZEN",INDEX('Primary_snapshot'!$H$2:$H$132,MATCH(A34,'Primary_snapshot'!$A$2:$A$132,0))="NOT FROZEN",INDEX('Primary_snapshot'!$I$2:$I$132,MATCH(A34,'Primary_snapshot'!$A$2:$A$132,0))="NOT FROZEN",INDEX('Primary_snapshot'!$J$2:$J$132,MATCH(A34,'Primary_snapshot'!$A$2:$A$132,0))="NOT FROZEN",INDEX('Primary_snapshot'!$K$2:$K$132,MATCH(A34,'Primary_snapshot'!$A$2:$A$132,0))="NOT FROZEN",INDEX('Primary_snapshot'!$L$2:$L$132,MATCH(A34,'Primary_snapshot'!$A$2:$A$132,0))="NOT FROZEN"),"FREEZE SNAPSHOT",IF(NOT(OR(N34="agree",N34="agree_clarification",N34="disagree",N34="unable")),"CHECKER RESULT NEEDED",IF(AND(N34&lt;&gt;"agree",LEN(TRIM(O34))=0),"COMMENT NEEDED",IF(AND(N34="agree",NOT(AND(IF(D34="","",D34)=IF(INDEX('Primary_snapshot'!$B$2:$B$132,MATCH(A34,'Primary_snapshot'!$A$2:$A$132,0))="","",INDEX('Primary_snapshot'!$B$2:$B$132,MATCH(A34,'Primary_snapshot'!$A$2:$A$132,0))),IF(E34="","",E34)=IF(INDEX('Primary_snapshot'!$C$2:$C$132,MATCH(A34,'Primary_snapshot'!$A$2:$A$132,0))="","",INDEX('Primary_snapshot'!$C$2:$C$132,MATCH(A34,'Primary_snapshot'!$A$2:$A$132,0))),IF(AND(D34="retain",E34="statistical_results"),IF(H34="","",H34),"not_applicable")=IF(INDEX('Primary_snapshot'!$D$2:$D$132,MATCH(A34,'Primary_snapshot'!$A$2:$A$132,0))="","",INDEX('Primary_snapshot'!$D$2:$D$132,MATCH(A34,'Primary_snapshot'!$A$2:$A$132,0))),IF(AND(D34="retain",E34="statistical_results"),IF(I34="","",I34),"not_applicable")=IF(INDEX('Primary_snapshot'!$E$2:$E$132,MATCH(A34,'Primary_snapshot'!$A$2:$A$132,0))="","",INDEX('Primary_snapshot'!$E$2:$E$132,MATCH(A34,'Primary_snapshot'!$A$2:$A$132,0))),IF(AND(D34="retain",E34="statistical_results"),IF(J34="","",J34),"not_applicable")=IF(INDEX('Primary_snapshot'!$F$2:$F$132,MATCH(A34,'Primary_snapshot'!$A$2:$A$132,0))="","",INDEX('Primary_snapshot'!$F$2:$F$132,MATCH(A34,'Primary_snapshot'!$A$2:$A$132,0))),IF(AND(D34="retain",OR(E34="report_internal_inconsistency",E34="plan_material")),IF(K34="","",K34),"not_applicable")=IF(INDEX('Primary_snapshot'!$G$2:$G$132,MATCH(A34,'Primary_snapshot'!$A$2:$A$132,0))="","",INDEX('Primary_snapshot'!$G$2:$G$132,MATCH(A34,'Primary_snapshot'!$A$2:$A$132,0))),IF(AND(D34="retain",E34="protocol_report"),IF(L34="","",L34),"not_applicable")=IF(INDEX('Primary_snapshot'!$H$2:$H$132,MATCH(A34,'Primary_snapshot'!$A$2:$A$132,0))="","",INDEX('Primary_snapshot'!$H$2:$H$132,MATCH(A34,'Primary_snapshot'!$A$2:$A$132,0))),IF(R34="","",R34)=IF(INDEX('Primary_snapshot'!$I$2:$I$132,MATCH(A34,'Primary_snapshot'!$A$2:$A$132,0))="","",INDEX('Primary_snapshot'!$I$2:$I$132,MATCH(A34,'Primary_snapshot'!$A$2:$A$132,0)))))),"AGREE BUT CHANGED",IF(AND(P34&lt;&gt;"",NOT(OR(P34="pending",P34="resolved"))),"CHECK RESOLUTION",IF(OR(AND(OR(D34="discuss",INDEX('Primary_snapshot'!$B$2:$B$132,MATCH(A34,'Primary_snapshot'!$A$2:$A$132,0))="discuss",N34="disagree",N34="unable"),P34&lt;&gt;"resolved"),D34="discuss"),"DISCUSS",IF(AND(P34="resolved",LEN(TRIM(Q34))=0),"RESOLUTION NOTE NEEDED",IF(F34&lt;&gt;"checker_done","CHECKER DRAFT","FINAL READY")))))))))))))),"CHECK KEY / SNAPSHOT")</x:f>
        <x:v>CHECK REVIEWER IDs</x:v>
      </x:c>
      <x:c r="H34" s="7" t="str">
        <x:f>IF(AND(OR(D34="retain",D34=""),E34="statistical_results"),"","not_applicable")</x:f>
      </x:c>
      <x:c r="I34" s="7" t="str">
        <x:f>IF(AND(OR(D34="retain",D34=""),E34="statistical_results"),"","not_applicable")</x:f>
      </x:c>
      <x:c r="J34" s="13" t="str">
        <x:f>IF(AND(OR(D34="retain",D34=""),E34="statistical_results"),"","not_applicable")</x:f>
      </x:c>
      <x:c r="K34" s="7" t="str">
        <x:f>IF(AND(OR(D34="retain",D34=""),OR(E34="report_internal_inconsistency",E34="plan_material")),"","not_applicable")</x:f>
        <x:v>not_applicable</x:v>
      </x:c>
      <x:c r="L34" s="13" t="str">
        <x:f>IF(AND(OR(D34="retain",D34=""),E34="protocol_report"),"","not_applicable")</x:f>
        <x:v>not_applicable</x:v>
      </x:c>
      <x:c r="M34" s="6" t="str">
        <x:f>IF(Setup!$B$6="primary","",IFERROR(IF(INDEX('Primary_snapshot'!$L$2:$L$132,MATCH(A34,'Primary_snapshot'!$A$2:$A$132,0))="","",INDEX('Primary_snapshot'!$L$2:$L$132,MATCH(A34,'Primary_snapshot'!$A$2:$A$132,0))),"SNAPSHOT MISSING"))</x:f>
      </x:c>
      <x:c r="N34" s="7" t="str"/>
      <x:c r="O34" s="7" t="str"/>
      <x:c r="P34" s="7" t="str"/>
      <x:c r="Q34" s="7" t="str"/>
      <x:c r="R34" s="13" t="str"/>
    </x:row>
    <x:row r="35" ht="92" customHeight="1">
      <x:c r="A35" s="3" t="str">
        <x:v>2025::jama.2025.11178::C034</x:v>
      </x:c>
      <x:c r="B35" s="3" t="str">
        <x:v>Female total differs across sources if the printed derivations are intended to match</x:v>
      </x:c>
      <x:c r="C35" s="3" t="str">
        <x:v>main article — PDF p. 1, Abstract; main article — PDF p. 6, Table 1; workbook, worksheet eTable 3, cells A11:B11.</x:v>
      </x:c>
      <x:c r="D35" s="7" t="str"/>
      <x:c r="E35" s="7" t="str">
        <x:v>report_internal_inconsistency</x:v>
      </x:c>
      <x:c r="F35" s="7" t="str">
        <x:v>no</x:v>
      </x:c>
      <x:c r="G35" s="3" t="str">
        <x:f>IFERROR(IF(NOT(OR(Setup!$B$6="primary",Setup!$B$6="checker")),"CHECK STAGE",IF(OR(LEN(TRIM(Setup!$B$2))=0,Setup!$B$2&lt;&gt;TRIM(Setup!$B$2),AND(Setup!$B$6="checker",OR(LEN(TRIM(Setup!$B$4))=0,Setup!$B$4&lt;&gt;TRIM(Setup!$B$4),LOWER(TRIM(Setup!$B$4))=LOWER(TRIM(Setup!$B$2))))),"CHECK REVIEWER IDs",IF(OR(COUNTIF($A$2:$A$38,A35)&lt;&gt;1,COUNTIF(Decisions!$C$2:$C$132,A35)&lt;&gt;1),"CHECK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FIELDS",IF(Setup!$B$6="primary",IF(OR(N35&lt;&gt;"",O35&lt;&gt;"",P35&lt;&gt;"",Q35&lt;&gt;""),"CLEAR CHECKER FIELDS",IF(OR(Setup!$B$4&lt;&gt;"",Setup!$B$5&lt;&gt;""),"CLEAR CHECKER ID",IF(F35&lt;&gt;"primary_done","PRIMARY DRAFT","PRIMARY READY"))),IF(OR(COUNTIF(Primary_snapshot!$A$2:$A$132,A35)&lt;&gt;1,INDEX('Primary_snapshot'!$J$2:$J$132,MATCH(A35,'Primary_snapshot'!$A$2:$A$132,0))&lt;&gt;"primary_done",INDEX('Primary_snapshot'!$K$2:$K$132,MATCH(A35,'Primary_snapshot'!$A$2:$A$132,0))&lt;&gt;Setup!$B$2,INDEX('Primary_snapshot'!$B$2:$B$132,MATCH(A35,'Primary_snapshot'!$A$2:$A$132,0))="NOT FROZEN",INDEX('Primary_snapshot'!$C$2:$C$132,MATCH(A35,'Primary_snapshot'!$A$2:$A$132,0))="NOT FROZEN",INDEX('Primary_snapshot'!$D$2:$D$132,MATCH(A35,'Primary_snapshot'!$A$2:$A$132,0))="NOT FROZEN",INDEX('Primary_snapshot'!$E$2:$E$132,MATCH(A35,'Primary_snapshot'!$A$2:$A$132,0))="NOT FROZEN",INDEX('Primary_snapshot'!$F$2:$F$132,MATCH(A35,'Primary_snapshot'!$A$2:$A$132,0))="NOT FROZEN",INDEX('Primary_snapshot'!$G$2:$G$132,MATCH(A35,'Primary_snapshot'!$A$2:$A$132,0))="NOT FROZEN",INDEX('Primary_snapshot'!$H$2:$H$132,MATCH(A35,'Primary_snapshot'!$A$2:$A$132,0))="NOT FROZEN",INDEX('Primary_snapshot'!$I$2:$I$132,MATCH(A35,'Primary_snapshot'!$A$2:$A$132,0))="NOT FROZEN",INDEX('Primary_snapshot'!$J$2:$J$132,MATCH(A35,'Primary_snapshot'!$A$2:$A$132,0))="NOT FROZEN",INDEX('Primary_snapshot'!$K$2:$K$132,MATCH(A35,'Primary_snapshot'!$A$2:$A$132,0))="NOT FROZEN",INDEX('Primary_snapshot'!$L$2:$L$132,MATCH(A35,'Primary_snapshot'!$A$2:$A$132,0))="NOT FROZEN"),"FREEZE SNAPSHOT",IF(NOT(OR(N35="agree",N35="agree_clarification",N35="disagree",N35="unable")),"CHECKER RESULT NEEDED",IF(AND(N35&lt;&gt;"agree",LEN(TRIM(O35))=0),"COMMENT NEEDED",IF(AND(N35="agree",NOT(AND(IF(D35="","",D35)=IF(INDEX('Primary_snapshot'!$B$2:$B$132,MATCH(A35,'Primary_snapshot'!$A$2:$A$132,0))="","",INDEX('Primary_snapshot'!$B$2:$B$132,MATCH(A35,'Primary_snapshot'!$A$2:$A$132,0))),IF(E35="","",E35)=IF(INDEX('Primary_snapshot'!$C$2:$C$132,MATCH(A35,'Primary_snapshot'!$A$2:$A$132,0))="","",INDEX('Primary_snapshot'!$C$2:$C$132,MATCH(A35,'Primary_snapshot'!$A$2:$A$132,0))),IF(AND(D35="retain",E35="statistical_results"),IF(H35="","",H35),"not_applicable")=IF(INDEX('Primary_snapshot'!$D$2:$D$132,MATCH(A35,'Primary_snapshot'!$A$2:$A$132,0))="","",INDEX('Primary_snapshot'!$D$2:$D$132,MATCH(A35,'Primary_snapshot'!$A$2:$A$132,0))),IF(AND(D35="retain",E35="statistical_results"),IF(I35="","",I35),"not_applicable")=IF(INDEX('Primary_snapshot'!$E$2:$E$132,MATCH(A35,'Primary_snapshot'!$A$2:$A$132,0))="","",INDEX('Primary_snapshot'!$E$2:$E$132,MATCH(A35,'Primary_snapshot'!$A$2:$A$132,0))),IF(AND(D35="retain",E35="statistical_results"),IF(J35="","",J35),"not_applicable")=IF(INDEX('Primary_snapshot'!$F$2:$F$132,MATCH(A35,'Primary_snapshot'!$A$2:$A$132,0))="","",INDEX('Primary_snapshot'!$F$2:$F$132,MATCH(A35,'Primary_snapshot'!$A$2:$A$132,0))),IF(AND(D35="retain",OR(E35="report_internal_inconsistency",E35="plan_material")),IF(K35="","",K35),"not_applicable")=IF(INDEX('Primary_snapshot'!$G$2:$G$132,MATCH(A35,'Primary_snapshot'!$A$2:$A$132,0))="","",INDEX('Primary_snapshot'!$G$2:$G$132,MATCH(A35,'Primary_snapshot'!$A$2:$A$132,0))),IF(AND(D35="retain",E35="protocol_report"),IF(L35="","",L35),"not_applicable")=IF(INDEX('Primary_snapshot'!$H$2:$H$132,MATCH(A35,'Primary_snapshot'!$A$2:$A$132,0))="","",INDEX('Primary_snapshot'!$H$2:$H$132,MATCH(A35,'Primary_snapshot'!$A$2:$A$132,0))),IF(R35="","",R35)=IF(INDEX('Primary_snapshot'!$I$2:$I$132,MATCH(A35,'Primary_snapshot'!$A$2:$A$132,0))="","",INDEX('Primary_snapshot'!$I$2:$I$132,MATCH(A35,'Primary_snapshot'!$A$2:$A$132,0)))))),"AGREE BUT CHANGED",IF(AND(P35&lt;&gt;"",NOT(OR(P35="pending",P35="resolved"))),"CHECK RESOLUTION",IF(OR(AND(OR(D35="discuss",INDEX('Primary_snapshot'!$B$2:$B$132,MATCH(A35,'Primary_snapshot'!$A$2:$A$132,0))="discuss",N35="disagree",N35="unable"),P35&lt;&gt;"resolved"),D35="discuss"),"DISCUSS",IF(AND(P35="resolved",LEN(TRIM(Q35))=0),"RESOLUTION NOTE NEEDED",IF(F35&lt;&gt;"checker_done","CHECKER DRAFT","FINAL READY")))))))))))))),"CHECK KEY / SNAPSHOT")</x:f>
        <x:v>CHECK REVIEWER IDs</x:v>
      </x:c>
      <x:c r="H35" s="7" t="str">
        <x:f>IF(AND(OR(D35="retain",D35=""),E35="statistical_results"),"","not_applicable")</x:f>
        <x:v>not_applicable</x:v>
      </x:c>
      <x:c r="I35" s="7" t="str">
        <x:f>IF(AND(OR(D35="retain",D35=""),E35="statistical_results"),"","not_applicable")</x:f>
        <x:v>not_applicable</x:v>
      </x:c>
      <x:c r="J35" s="13" t="str">
        <x:f>IF(AND(OR(D35="retain",D35=""),E35="statistical_results"),"","not_applicable")</x:f>
        <x:v>not_applicable</x:v>
      </x:c>
      <x:c r="K35" s="7" t="str">
        <x:f>IF(AND(OR(D35="retain",D35=""),OR(E35="report_internal_inconsistency",E35="plan_material")),"","not_applicable")</x:f>
      </x:c>
      <x:c r="L35" s="13" t="str">
        <x:f>IF(AND(OR(D35="retain",D35=""),E35="protocol_report"),"","not_applicable")</x:f>
        <x:v>not_applicable</x:v>
      </x:c>
      <x:c r="M35" s="3" t="str">
        <x:f>IF(Setup!$B$6="primary","",IFERROR(IF(INDEX('Primary_snapshot'!$L$2:$L$132,MATCH(A35,'Primary_snapshot'!$A$2:$A$132,0))="","",INDEX('Primary_snapshot'!$L$2:$L$132,MATCH(A35,'Primary_snapshot'!$A$2:$A$132,0))),"SNAPSHOT MISSING"))</x:f>
      </x:c>
      <x:c r="N35" s="7" t="str"/>
      <x:c r="O35" s="7" t="str"/>
      <x:c r="P35" s="7" t="str"/>
      <x:c r="Q35" s="7" t="str"/>
      <x:c r="R35" s="13" t="str"/>
    </x:row>
    <x:row r="36" ht="92" customHeight="1">
      <x:c r="A36" s="6" t="str">
        <x:v>2025::jama.2025.11178::C035</x:v>
      </x:c>
      <x:c r="B36" s="6" t="str">
        <x:v>Narrative current-depression percentage differs from Table 1/workbook record</x:v>
      </x:c>
      <x:c r="C36" s="6" t="str">
        <x:v>main article — PDF p. 4, Results; main article — PDF p. 6, Table 1; workbook, worksheet eTable 3, cells A82:B82.</x:v>
      </x:c>
      <x:c r="D36" s="7" t="str"/>
      <x:c r="E36" s="7" t="str">
        <x:v>report_internal_inconsistency</x:v>
      </x:c>
      <x:c r="F36" s="7" t="str">
        <x:v>no</x:v>
      </x:c>
      <x:c r="G36" s="6" t="str">
        <x:f>IFERROR(IF(NOT(OR(Setup!$B$6="primary",Setup!$B$6="checker")),"CHECK STAGE",IF(OR(LEN(TRIM(Setup!$B$2))=0,Setup!$B$2&lt;&gt;TRIM(Setup!$B$2),AND(Setup!$B$6="checker",OR(LEN(TRIM(Setup!$B$4))=0,Setup!$B$4&lt;&gt;TRIM(Setup!$B$4),LOWER(TRIM(Setup!$B$4))=LOWER(TRIM(Setup!$B$2))))),"CHECK REVIEWER IDs",IF(OR(COUNTIF($A$2:$A$38,A36)&lt;&gt;1,COUNTIF(Decisions!$C$2:$C$132,A36)&lt;&gt;1),"CHECK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FIELDS",IF(Setup!$B$6="primary",IF(OR(N36&lt;&gt;"",O36&lt;&gt;"",P36&lt;&gt;"",Q36&lt;&gt;""),"CLEAR CHECKER FIELDS",IF(OR(Setup!$B$4&lt;&gt;"",Setup!$B$5&lt;&gt;""),"CLEAR CHECKER ID",IF(F36&lt;&gt;"primary_done","PRIMARY DRAFT","PRIMARY READY"))),IF(OR(COUNTIF(Primary_snapshot!$A$2:$A$132,A36)&lt;&gt;1,INDEX('Primary_snapshot'!$J$2:$J$132,MATCH(A36,'Primary_snapshot'!$A$2:$A$132,0))&lt;&gt;"primary_done",INDEX('Primary_snapshot'!$K$2:$K$132,MATCH(A36,'Primary_snapshot'!$A$2:$A$132,0))&lt;&gt;Setup!$B$2,INDEX('Primary_snapshot'!$B$2:$B$132,MATCH(A36,'Primary_snapshot'!$A$2:$A$132,0))="NOT FROZEN",INDEX('Primary_snapshot'!$C$2:$C$132,MATCH(A36,'Primary_snapshot'!$A$2:$A$132,0))="NOT FROZEN",INDEX('Primary_snapshot'!$D$2:$D$132,MATCH(A36,'Primary_snapshot'!$A$2:$A$132,0))="NOT FROZEN",INDEX('Primary_snapshot'!$E$2:$E$132,MATCH(A36,'Primary_snapshot'!$A$2:$A$132,0))="NOT FROZEN",INDEX('Primary_snapshot'!$F$2:$F$132,MATCH(A36,'Primary_snapshot'!$A$2:$A$132,0))="NOT FROZEN",INDEX('Primary_snapshot'!$G$2:$G$132,MATCH(A36,'Primary_snapshot'!$A$2:$A$132,0))="NOT FROZEN",INDEX('Primary_snapshot'!$H$2:$H$132,MATCH(A36,'Primary_snapshot'!$A$2:$A$132,0))="NOT FROZEN",INDEX('Primary_snapshot'!$I$2:$I$132,MATCH(A36,'Primary_snapshot'!$A$2:$A$132,0))="NOT FROZEN",INDEX('Primary_snapshot'!$J$2:$J$132,MATCH(A36,'Primary_snapshot'!$A$2:$A$132,0))="NOT FROZEN",INDEX('Primary_snapshot'!$K$2:$K$132,MATCH(A36,'Primary_snapshot'!$A$2:$A$132,0))="NOT FROZEN",INDEX('Primary_snapshot'!$L$2:$L$132,MATCH(A36,'Primary_snapshot'!$A$2:$A$132,0))="NOT FROZEN"),"FREEZE SNAPSHOT",IF(NOT(OR(N36="agree",N36="agree_clarification",N36="disagree",N36="unable")),"CHECKER RESULT NEEDED",IF(AND(N36&lt;&gt;"agree",LEN(TRIM(O36))=0),"COMMENT NEEDED",IF(AND(N36="agree",NOT(AND(IF(D36="","",D36)=IF(INDEX('Primary_snapshot'!$B$2:$B$132,MATCH(A36,'Primary_snapshot'!$A$2:$A$132,0))="","",INDEX('Primary_snapshot'!$B$2:$B$132,MATCH(A36,'Primary_snapshot'!$A$2:$A$132,0))),IF(E36="","",E36)=IF(INDEX('Primary_snapshot'!$C$2:$C$132,MATCH(A36,'Primary_snapshot'!$A$2:$A$132,0))="","",INDEX('Primary_snapshot'!$C$2:$C$132,MATCH(A36,'Primary_snapshot'!$A$2:$A$132,0))),IF(AND(D36="retain",E36="statistical_results"),IF(H36="","",H36),"not_applicable")=IF(INDEX('Primary_snapshot'!$D$2:$D$132,MATCH(A36,'Primary_snapshot'!$A$2:$A$132,0))="","",INDEX('Primary_snapshot'!$D$2:$D$132,MATCH(A36,'Primary_snapshot'!$A$2:$A$132,0))),IF(AND(D36="retain",E36="statistical_results"),IF(I36="","",I36),"not_applicable")=IF(INDEX('Primary_snapshot'!$E$2:$E$132,MATCH(A36,'Primary_snapshot'!$A$2:$A$132,0))="","",INDEX('Primary_snapshot'!$E$2:$E$132,MATCH(A36,'Primary_snapshot'!$A$2:$A$132,0))),IF(AND(D36="retain",E36="statistical_results"),IF(J36="","",J36),"not_applicable")=IF(INDEX('Primary_snapshot'!$F$2:$F$132,MATCH(A36,'Primary_snapshot'!$A$2:$A$132,0))="","",INDEX('Primary_snapshot'!$F$2:$F$132,MATCH(A36,'Primary_snapshot'!$A$2:$A$132,0))),IF(AND(D36="retain",OR(E36="report_internal_inconsistency",E36="plan_material")),IF(K36="","",K36),"not_applicable")=IF(INDEX('Primary_snapshot'!$G$2:$G$132,MATCH(A36,'Primary_snapshot'!$A$2:$A$132,0))="","",INDEX('Primary_snapshot'!$G$2:$G$132,MATCH(A36,'Primary_snapshot'!$A$2:$A$132,0))),IF(AND(D36="retain",E36="protocol_report"),IF(L36="","",L36),"not_applicable")=IF(INDEX('Primary_snapshot'!$H$2:$H$132,MATCH(A36,'Primary_snapshot'!$A$2:$A$132,0))="","",INDEX('Primary_snapshot'!$H$2:$H$132,MATCH(A36,'Primary_snapshot'!$A$2:$A$132,0))),IF(R36="","",R36)=IF(INDEX('Primary_snapshot'!$I$2:$I$132,MATCH(A36,'Primary_snapshot'!$A$2:$A$132,0))="","",INDEX('Primary_snapshot'!$I$2:$I$132,MATCH(A36,'Primary_snapshot'!$A$2:$A$132,0)))))),"AGREE BUT CHANGED",IF(AND(P36&lt;&gt;"",NOT(OR(P36="pending",P36="resolved"))),"CHECK RESOLUTION",IF(OR(AND(OR(D36="discuss",INDEX('Primary_snapshot'!$B$2:$B$132,MATCH(A36,'Primary_snapshot'!$A$2:$A$132,0))="discuss",N36="disagree",N36="unable"),P36&lt;&gt;"resolved"),D36="discuss"),"DISCUSS",IF(AND(P36="resolved",LEN(TRIM(Q36))=0),"RESOLUTION NOTE NEEDED",IF(F36&lt;&gt;"checker_done","CHECKER DRAFT","FINAL READY")))))))))))))),"CHECK KEY / SNAPSHOT")</x:f>
        <x:v>CHECK REVIEWER IDs</x:v>
      </x:c>
      <x:c r="H36" s="7" t="str">
        <x:f>IF(AND(OR(D36="retain",D36=""),E36="statistical_results"),"","not_applicable")</x:f>
        <x:v>not_applicable</x:v>
      </x:c>
      <x:c r="I36" s="7" t="str">
        <x:f>IF(AND(OR(D36="retain",D36=""),E36="statistical_results"),"","not_applicable")</x:f>
        <x:v>not_applicable</x:v>
      </x:c>
      <x:c r="J36" s="13" t="str">
        <x:f>IF(AND(OR(D36="retain",D36=""),E36="statistical_results"),"","not_applicable")</x:f>
        <x:v>not_applicable</x:v>
      </x:c>
      <x:c r="K36" s="7" t="str">
        <x:f>IF(AND(OR(D36="retain",D36=""),OR(E36="report_internal_inconsistency",E36="plan_material")),"","not_applicable")</x:f>
      </x:c>
      <x:c r="L36" s="13" t="str">
        <x:f>IF(AND(OR(D36="retain",D36=""),E36="protocol_report"),"","not_applicable")</x:f>
        <x:v>not_applicable</x:v>
      </x:c>
      <x:c r="M36" s="6" t="str">
        <x:f>IF(Setup!$B$6="primary","",IFERROR(IF(INDEX('Primary_snapshot'!$L$2:$L$132,MATCH(A36,'Primary_snapshot'!$A$2:$A$132,0))="","",INDEX('Primary_snapshot'!$L$2:$L$132,MATCH(A36,'Primary_snapshot'!$A$2:$A$132,0))),"SNAPSHOT MISSING"))</x:f>
      </x:c>
      <x:c r="N36" s="7" t="str"/>
      <x:c r="O36" s="7" t="str"/>
      <x:c r="P36" s="7" t="str"/>
      <x:c r="Q36" s="7" t="str"/>
      <x:c r="R36" s="13" t="str"/>
    </x:row>
    <x:row r="37" ht="92" customHeight="1">
      <x:c r="A37" s="3" t="str">
        <x:v>2025::jama.2025.11178::C036</x:v>
      </x:c>
      <x:c r="B37" s="3" t="str">
        <x:v>painTRAINER 3-month pain-severity SMD differs between narrative and Table 3</x:v>
      </x:c>
      <x:c r="C37" s="3" t="str">
        <x:v>main article — PDF p. 7, Secondary Outcomes; main article — PDF p. 10, Table 3.</x:v>
      </x:c>
      <x:c r="D37" s="7" t="str"/>
      <x:c r="E37" s="7" t="str">
        <x:v>report_internal_inconsistency</x:v>
      </x:c>
      <x:c r="F37" s="7" t="str">
        <x:v>no</x:v>
      </x:c>
      <x:c r="G37" s="3" t="str">
        <x:f>IFERROR(IF(NOT(OR(Setup!$B$6="primary",Setup!$B$6="checker")),"CHECK STAGE",IF(OR(LEN(TRIM(Setup!$B$2))=0,Setup!$B$2&lt;&gt;TRIM(Setup!$B$2),AND(Setup!$B$6="checker",OR(LEN(TRIM(Setup!$B$4))=0,Setup!$B$4&lt;&gt;TRIM(Setup!$B$4),LOWER(TRIM(Setup!$B$4))=LOWER(TRIM(Setup!$B$2))))),"CHECK REVIEWER IDs",IF(OR(COUNTIF($A$2:$A$38,A37)&lt;&gt;1,COUNTIF(Decisions!$C$2:$C$132,A37)&lt;&gt;1),"CHECK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FIELDS",IF(Setup!$B$6="primary",IF(OR(N37&lt;&gt;"",O37&lt;&gt;"",P37&lt;&gt;"",Q37&lt;&gt;""),"CLEAR CHECKER FIELDS",IF(OR(Setup!$B$4&lt;&gt;"",Setup!$B$5&lt;&gt;""),"CLEAR CHECKER ID",IF(F37&lt;&gt;"primary_done","PRIMARY DRAFT","PRIMARY READY"))),IF(OR(COUNTIF(Primary_snapshot!$A$2:$A$132,A37)&lt;&gt;1,INDEX('Primary_snapshot'!$J$2:$J$132,MATCH(A37,'Primary_snapshot'!$A$2:$A$132,0))&lt;&gt;"primary_done",INDEX('Primary_snapshot'!$K$2:$K$132,MATCH(A37,'Primary_snapshot'!$A$2:$A$132,0))&lt;&gt;Setup!$B$2,INDEX('Primary_snapshot'!$B$2:$B$132,MATCH(A37,'Primary_snapshot'!$A$2:$A$132,0))="NOT FROZEN",INDEX('Primary_snapshot'!$C$2:$C$132,MATCH(A37,'Primary_snapshot'!$A$2:$A$132,0))="NOT FROZEN",INDEX('Primary_snapshot'!$D$2:$D$132,MATCH(A37,'Primary_snapshot'!$A$2:$A$132,0))="NOT FROZEN",INDEX('Primary_snapshot'!$E$2:$E$132,MATCH(A37,'Primary_snapshot'!$A$2:$A$132,0))="NOT FROZEN",INDEX('Primary_snapshot'!$F$2:$F$132,MATCH(A37,'Primary_snapshot'!$A$2:$A$132,0))="NOT FROZEN",INDEX('Primary_snapshot'!$G$2:$G$132,MATCH(A37,'Primary_snapshot'!$A$2:$A$132,0))="NOT FROZEN",INDEX('Primary_snapshot'!$H$2:$H$132,MATCH(A37,'Primary_snapshot'!$A$2:$A$132,0))="NOT FROZEN",INDEX('Primary_snapshot'!$I$2:$I$132,MATCH(A37,'Primary_snapshot'!$A$2:$A$132,0))="NOT FROZEN",INDEX('Primary_snapshot'!$J$2:$J$132,MATCH(A37,'Primary_snapshot'!$A$2:$A$132,0))="NOT FROZEN",INDEX('Primary_snapshot'!$K$2:$K$132,MATCH(A37,'Primary_snapshot'!$A$2:$A$132,0))="NOT FROZEN",INDEX('Primary_snapshot'!$L$2:$L$132,MATCH(A37,'Primary_snapshot'!$A$2:$A$132,0))="NOT FROZEN"),"FREEZE SNAPSHOT",IF(NOT(OR(N37="agree",N37="agree_clarification",N37="disagree",N37="unable")),"CHECKER RESULT NEEDED",IF(AND(N37&lt;&gt;"agree",LEN(TRIM(O37))=0),"COMMENT NEEDED",IF(AND(N37="agree",NOT(AND(IF(D37="","",D37)=IF(INDEX('Primary_snapshot'!$B$2:$B$132,MATCH(A37,'Primary_snapshot'!$A$2:$A$132,0))="","",INDEX('Primary_snapshot'!$B$2:$B$132,MATCH(A37,'Primary_snapshot'!$A$2:$A$132,0))),IF(E37="","",E37)=IF(INDEX('Primary_snapshot'!$C$2:$C$132,MATCH(A37,'Primary_snapshot'!$A$2:$A$132,0))="","",INDEX('Primary_snapshot'!$C$2:$C$132,MATCH(A37,'Primary_snapshot'!$A$2:$A$132,0))),IF(AND(D37="retain",E37="statistical_results"),IF(H37="","",H37),"not_applicable")=IF(INDEX('Primary_snapshot'!$D$2:$D$132,MATCH(A37,'Primary_snapshot'!$A$2:$A$132,0))="","",INDEX('Primary_snapshot'!$D$2:$D$132,MATCH(A37,'Primary_snapshot'!$A$2:$A$132,0))),IF(AND(D37="retain",E37="statistical_results"),IF(I37="","",I37),"not_applicable")=IF(INDEX('Primary_snapshot'!$E$2:$E$132,MATCH(A37,'Primary_snapshot'!$A$2:$A$132,0))="","",INDEX('Primary_snapshot'!$E$2:$E$132,MATCH(A37,'Primary_snapshot'!$A$2:$A$132,0))),IF(AND(D37="retain",E37="statistical_results"),IF(J37="","",J37),"not_applicable")=IF(INDEX('Primary_snapshot'!$F$2:$F$132,MATCH(A37,'Primary_snapshot'!$A$2:$A$132,0))="","",INDEX('Primary_snapshot'!$F$2:$F$132,MATCH(A37,'Primary_snapshot'!$A$2:$A$132,0))),IF(AND(D37="retain",OR(E37="report_internal_inconsistency",E37="plan_material")),IF(K37="","",K37),"not_applicable")=IF(INDEX('Primary_snapshot'!$G$2:$G$132,MATCH(A37,'Primary_snapshot'!$A$2:$A$132,0))="","",INDEX('Primary_snapshot'!$G$2:$G$132,MATCH(A37,'Primary_snapshot'!$A$2:$A$132,0))),IF(AND(D37="retain",E37="protocol_report"),IF(L37="","",L37),"not_applicable")=IF(INDEX('Primary_snapshot'!$H$2:$H$132,MATCH(A37,'Primary_snapshot'!$A$2:$A$132,0))="","",INDEX('Primary_snapshot'!$H$2:$H$132,MATCH(A37,'Primary_snapshot'!$A$2:$A$132,0))),IF(R37="","",R37)=IF(INDEX('Primary_snapshot'!$I$2:$I$132,MATCH(A37,'Primary_snapshot'!$A$2:$A$132,0))="","",INDEX('Primary_snapshot'!$I$2:$I$132,MATCH(A37,'Primary_snapshot'!$A$2:$A$132,0)))))),"AGREE BUT CHANGED",IF(AND(P37&lt;&gt;"",NOT(OR(P37="pending",P37="resolved"))),"CHECK RESOLUTION",IF(OR(AND(OR(D37="discuss",INDEX('Primary_snapshot'!$B$2:$B$132,MATCH(A37,'Primary_snapshot'!$A$2:$A$132,0))="discuss",N37="disagree",N37="unable"),P37&lt;&gt;"resolved"),D37="discuss"),"DISCUSS",IF(AND(P37="resolved",LEN(TRIM(Q37))=0),"RESOLUTION NOTE NEEDED",IF(F37&lt;&gt;"checker_done","CHECKER DRAFT","FINAL READY")))))))))))))),"CHECK KEY / SNAPSHOT")</x:f>
        <x:v>CHECK REVIEWER IDs</x:v>
      </x:c>
      <x:c r="H37" s="7" t="str">
        <x:f>IF(AND(OR(D37="retain",D37=""),E37="statistical_results"),"","not_applicable")</x:f>
        <x:v>not_applicable</x:v>
      </x:c>
      <x:c r="I37" s="7" t="str">
        <x:f>IF(AND(OR(D37="retain",D37=""),E37="statistical_results"),"","not_applicable")</x:f>
        <x:v>not_applicable</x:v>
      </x:c>
      <x:c r="J37" s="13" t="str">
        <x:f>IF(AND(OR(D37="retain",D37=""),E37="statistical_results"),"","not_applicable")</x:f>
        <x:v>not_applicable</x:v>
      </x:c>
      <x:c r="K37" s="7" t="str">
        <x:f>IF(AND(OR(D37="retain",D37=""),OR(E37="report_internal_inconsistency",E37="plan_material")),"","not_applicable")</x:f>
      </x:c>
      <x:c r="L37" s="13" t="str">
        <x:f>IF(AND(OR(D37="retain",D37=""),E37="protocol_report"),"","not_applicable")</x:f>
        <x:v>not_applicable</x:v>
      </x:c>
      <x:c r="M37" s="3" t="str">
        <x:f>IF(Setup!$B$6="primary","",IFERROR(IF(INDEX('Primary_snapshot'!$L$2:$L$132,MATCH(A37,'Primary_snapshot'!$A$2:$A$132,0))="","",INDEX('Primary_snapshot'!$L$2:$L$132,MATCH(A37,'Primary_snapshot'!$A$2:$A$132,0))),"SNAPSHOT MISSING"))</x:f>
      </x:c>
      <x:c r="N37" s="7" t="str"/>
      <x:c r="O37" s="7" t="str"/>
      <x:c r="P37" s="7" t="str"/>
      <x:c r="Q37" s="7" t="str"/>
      <x:c r="R37" s="13" t="str"/>
    </x:row>
    <x:row r="38" ht="92" customHeight="1">
      <x:c r="A38" s="6" t="str">
        <x:v>2025::jama.2025.11178::C037</x:v>
      </x:c>
      <x:c r="B38" s="6" t="str">
        <x:v>Health Coach 3-month pain-severity SMD differs between narrative and Table 3</x:v>
      </x:c>
      <x:c r="C38" s="6" t="str">
        <x:v>main article — PDF p. 7, Secondary Outcomes; main article — PDF p. 10, Table 3.</x:v>
      </x:c>
      <x:c r="D38" s="7" t="str"/>
      <x:c r="E38" s="7" t="str">
        <x:v>report_internal_inconsistency</x:v>
      </x:c>
      <x:c r="F38" s="7" t="str">
        <x:v>no</x:v>
      </x:c>
      <x:c r="G38" s="6" t="str">
        <x:f>IFERROR(IF(NOT(OR(Setup!$B$6="primary",Setup!$B$6="checker")),"CHECK STAGE",IF(OR(LEN(TRIM(Setup!$B$2))=0,Setup!$B$2&lt;&gt;TRIM(Setup!$B$2),AND(Setup!$B$6="checker",OR(LEN(TRIM(Setup!$B$4))=0,Setup!$B$4&lt;&gt;TRIM(Setup!$B$4),LOWER(TRIM(Setup!$B$4))=LOWER(TRIM(Setup!$B$2))))),"CHECK REVIEWER IDs",IF(OR(COUNTIF($A$2:$A$38,A38)&lt;&gt;1,COUNTIF(Decisions!$C$2:$C$132,A38)&lt;&gt;1),"CHECK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FIELDS",IF(Setup!$B$6="primary",IF(OR(N38&lt;&gt;"",O38&lt;&gt;"",P38&lt;&gt;"",Q38&lt;&gt;""),"CLEAR CHECKER FIELDS",IF(OR(Setup!$B$4&lt;&gt;"",Setup!$B$5&lt;&gt;""),"CLEAR CHECKER ID",IF(F38&lt;&gt;"primary_done","PRIMARY DRAFT","PRIMARY READY"))),IF(OR(COUNTIF(Primary_snapshot!$A$2:$A$132,A38)&lt;&gt;1,INDEX('Primary_snapshot'!$J$2:$J$132,MATCH(A38,'Primary_snapshot'!$A$2:$A$132,0))&lt;&gt;"primary_done",INDEX('Primary_snapshot'!$K$2:$K$132,MATCH(A38,'Primary_snapshot'!$A$2:$A$132,0))&lt;&gt;Setup!$B$2,INDEX('Primary_snapshot'!$B$2:$B$132,MATCH(A38,'Primary_snapshot'!$A$2:$A$132,0))="NOT FROZEN",INDEX('Primary_snapshot'!$C$2:$C$132,MATCH(A38,'Primary_snapshot'!$A$2:$A$132,0))="NOT FROZEN",INDEX('Primary_snapshot'!$D$2:$D$132,MATCH(A38,'Primary_snapshot'!$A$2:$A$132,0))="NOT FROZEN",INDEX('Primary_snapshot'!$E$2:$E$132,MATCH(A38,'Primary_snapshot'!$A$2:$A$132,0))="NOT FROZEN",INDEX('Primary_snapshot'!$F$2:$F$132,MATCH(A38,'Primary_snapshot'!$A$2:$A$132,0))="NOT FROZEN",INDEX('Primary_snapshot'!$G$2:$G$132,MATCH(A38,'Primary_snapshot'!$A$2:$A$132,0))="NOT FROZEN",INDEX('Primary_snapshot'!$H$2:$H$132,MATCH(A38,'Primary_snapshot'!$A$2:$A$132,0))="NOT FROZEN",INDEX('Primary_snapshot'!$I$2:$I$132,MATCH(A38,'Primary_snapshot'!$A$2:$A$132,0))="NOT FROZEN",INDEX('Primary_snapshot'!$J$2:$J$132,MATCH(A38,'Primary_snapshot'!$A$2:$A$132,0))="NOT FROZEN",INDEX('Primary_snapshot'!$K$2:$K$132,MATCH(A38,'Primary_snapshot'!$A$2:$A$132,0))="NOT FROZEN",INDEX('Primary_snapshot'!$L$2:$L$132,MATCH(A38,'Primary_snapshot'!$A$2:$A$132,0))="NOT FROZEN"),"FREEZE SNAPSHOT",IF(NOT(OR(N38="agree",N38="agree_clarification",N38="disagree",N38="unable")),"CHECKER RESULT NEEDED",IF(AND(N38&lt;&gt;"agree",LEN(TRIM(O38))=0),"COMMENT NEEDED",IF(AND(N38="agree",NOT(AND(IF(D38="","",D38)=IF(INDEX('Primary_snapshot'!$B$2:$B$132,MATCH(A38,'Primary_snapshot'!$A$2:$A$132,0))="","",INDEX('Primary_snapshot'!$B$2:$B$132,MATCH(A38,'Primary_snapshot'!$A$2:$A$132,0))),IF(E38="","",E38)=IF(INDEX('Primary_snapshot'!$C$2:$C$132,MATCH(A38,'Primary_snapshot'!$A$2:$A$132,0))="","",INDEX('Primary_snapshot'!$C$2:$C$132,MATCH(A38,'Primary_snapshot'!$A$2:$A$132,0))),IF(AND(D38="retain",E38="statistical_results"),IF(H38="","",H38),"not_applicable")=IF(INDEX('Primary_snapshot'!$D$2:$D$132,MATCH(A38,'Primary_snapshot'!$A$2:$A$132,0))="","",INDEX('Primary_snapshot'!$D$2:$D$132,MATCH(A38,'Primary_snapshot'!$A$2:$A$132,0))),IF(AND(D38="retain",E38="statistical_results"),IF(I38="","",I38),"not_applicable")=IF(INDEX('Primary_snapshot'!$E$2:$E$132,MATCH(A38,'Primary_snapshot'!$A$2:$A$132,0))="","",INDEX('Primary_snapshot'!$E$2:$E$132,MATCH(A38,'Primary_snapshot'!$A$2:$A$132,0))),IF(AND(D38="retain",E38="statistical_results"),IF(J38="","",J38),"not_applicable")=IF(INDEX('Primary_snapshot'!$F$2:$F$132,MATCH(A38,'Primary_snapshot'!$A$2:$A$132,0))="","",INDEX('Primary_snapshot'!$F$2:$F$132,MATCH(A38,'Primary_snapshot'!$A$2:$A$132,0))),IF(AND(D38="retain",OR(E38="report_internal_inconsistency",E38="plan_material")),IF(K38="","",K38),"not_applicable")=IF(INDEX('Primary_snapshot'!$G$2:$G$132,MATCH(A38,'Primary_snapshot'!$A$2:$A$132,0))="","",INDEX('Primary_snapshot'!$G$2:$G$132,MATCH(A38,'Primary_snapshot'!$A$2:$A$132,0))),IF(AND(D38="retain",E38="protocol_report"),IF(L38="","",L38),"not_applicable")=IF(INDEX('Primary_snapshot'!$H$2:$H$132,MATCH(A38,'Primary_snapshot'!$A$2:$A$132,0))="","",INDEX('Primary_snapshot'!$H$2:$H$132,MATCH(A38,'Primary_snapshot'!$A$2:$A$132,0))),IF(R38="","",R38)=IF(INDEX('Primary_snapshot'!$I$2:$I$132,MATCH(A38,'Primary_snapshot'!$A$2:$A$132,0))="","",INDEX('Primary_snapshot'!$I$2:$I$132,MATCH(A38,'Primary_snapshot'!$A$2:$A$132,0)))))),"AGREE BUT CHANGED",IF(AND(P38&lt;&gt;"",NOT(OR(P38="pending",P38="resolved"))),"CHECK RESOLUTION",IF(OR(AND(OR(D38="discuss",INDEX('Primary_snapshot'!$B$2:$B$132,MATCH(A38,'Primary_snapshot'!$A$2:$A$132,0))="discuss",N38="disagree",N38="unable"),P38&lt;&gt;"resolved"),D38="discuss"),"DISCUSS",IF(AND(P38="resolved",LEN(TRIM(Q38))=0),"RESOLUTION NOTE NEEDED",IF(F38&lt;&gt;"checker_done","CHECKER DRAFT","FINAL READY")))))))))))))),"CHECK KEY / SNAPSHOT")</x:f>
        <x:v>CHECK REVIEWER IDs</x:v>
      </x:c>
      <x:c r="H38" s="7" t="str">
        <x:f>IF(AND(OR(D38="retain",D38=""),E38="statistical_results"),"","not_applicable")</x:f>
        <x:v>not_applicable</x:v>
      </x:c>
      <x:c r="I38" s="7" t="str">
        <x:f>IF(AND(OR(D38="retain",D38=""),E38="statistical_results"),"","not_applicable")</x:f>
        <x:v>not_applicable</x:v>
      </x:c>
      <x:c r="J38" s="13" t="str">
        <x:f>IF(AND(OR(D38="retain",D38=""),E38="statistical_results"),"","not_applicable")</x:f>
        <x:v>not_applicable</x:v>
      </x:c>
      <x:c r="K38" s="7" t="str">
        <x:f>IF(AND(OR(D38="retain",D38=""),OR(E38="report_internal_inconsistency",E38="plan_material")),"","not_applicable")</x:f>
      </x:c>
      <x:c r="L38" s="13" t="str">
        <x:f>IF(AND(OR(D38="retain",D38=""),E38="protocol_report"),"","not_applicable")</x:f>
        <x:v>not_applicable</x:v>
      </x:c>
      <x:c r="M38" s="6" t="str">
        <x:f>IF(Setup!$B$6="primary","",IFERROR(IF(INDEX('Primary_snapshot'!$L$2:$L$132,MATCH(A38,'Primary_snapshot'!$A$2:$A$132,0))="","",INDEX('Primary_snapshot'!$L$2:$L$132,MATCH(A38,'Primary_snapshot'!$A$2:$A$132,0))),"SNAPSHOT MISSING"))</x:f>
      </x:c>
      <x:c r="N38" s="7" t="str"/>
      <x:c r="O38" s="7" t="str"/>
      <x:c r="P38" s="7" t="str"/>
      <x:c r="Q38" s="7" t="str"/>
      <x:c r="R38" s="13" t="str"/>
    </x:row>
  </x:sheetData>
  <x:conditionalFormatting sqref="G2:G38">
    <x:cfRule type="expression" dxfId="14" priority="1">
      <x:formula>AND(G2&lt;&gt;"PRIMARY READY",G2&lt;&gt;"FINAL READY")</x:formula>
    </x:cfRule>
  </x:conditionalFormatting>
  <x:conditionalFormatting sqref="N2:Q38">
    <x:cfRule type="expression" dxfId="15" priority="2">
      <x:formula>Setup!$B$6="primary"</x:formula>
    </x:cfRule>
  </x:conditionalFormatting>
  <x:conditionalFormatting sqref="H2:H38">
    <x:cfRule type="expression" dxfId="16" priority="3">
      <x:formula>NOT(AND(OR($D2="retain",$D2=""),$E2="statistical_results"))</x:formula>
    </x:cfRule>
  </x:conditionalFormatting>
  <x:conditionalFormatting sqref="I2:I38">
    <x:cfRule type="expression" dxfId="17" priority="4">
      <x:formula>NOT(AND(OR($D2="retain",$D2=""),$E2="statistical_results"))</x:formula>
    </x:cfRule>
  </x:conditionalFormatting>
  <x:conditionalFormatting sqref="J2:J38">
    <x:cfRule type="expression" dxfId="18" priority="5">
      <x:formula>NOT(AND(OR($D2="retain",$D2=""),$E2="statistical_results"))</x:formula>
    </x:cfRule>
  </x:conditionalFormatting>
  <x:conditionalFormatting sqref="K2:K38">
    <x:cfRule type="expression" dxfId="19" priority="6">
      <x:formula>NOT(AND(OR($D2="retain",$D2=""),OR($E2="report_internal_inconsistency",$E2="plan_material")))</x:formula>
    </x:cfRule>
  </x:conditionalFormatting>
  <x:conditionalFormatting sqref="L2:L38">
    <x:cfRule type="expression" dxfId="20" priority="7">
      <x:formula>NOT(AND(OR($D2="retain",$D2=""),$E2="protocol_report"))</x:formula>
    </x:cfRule>
  </x:conditionalFormatting>
  <x:dataValidations count="10">
    <x:dataValidation type="list" sqref="D2:D38">
      <x:formula1>"retain,exclude,discuss"</x:formula1>
    </x:dataValidation>
    <x:dataValidation type="list" sqref="E2:E38">
      <x:formula1>"statistical_results,report_internal_inconsistency,plan_material,protocol_report"</x:formula1>
    </x:dataValidation>
    <x:dataValidation type="list" sqref="F2:F38">
      <x:formula1>"no,primary_done,checker_done"</x:formula1>
    </x:dataValidation>
    <x:dataValidation type="list" sqref="H2:H38">
      <x:formula1>"confirmed_issue,probable_issue,not_issue,indeterminate,not_applicable"</x:formula1>
    </x:dataValidation>
    <x:dataValidation type="list" sqref="I2:I38">
      <x:formula1>"substantive,minor_presentation,indeterminate,not_applicable"</x:formula1>
    </x:dataValidation>
    <x:dataValidation type="list" sqref="J2:J38">
      <x:formula1>"direct,possible,unlikely,unknown,not_applicable"</x:formula1>
    </x:dataValidation>
    <x:dataValidation type="list" sqref="K2:K38">
      <x:formula1>"substantive_inconsistency,minor_presentation,non_inconsistency,indeterminate,not_applicable"</x:formula1>
    </x:dataValidation>
    <x:dataValidation type="list" sqref="L2:L38">
      <x:formula1>"substantive_difference,minor_presentation,version_timing,non_inconsistency,indeterminate,not_applicable"</x:formula1>
    </x:dataValidation>
    <x:dataValidation type="list" sqref="N2:N38">
      <x:formula1>"agree,agree_clarification,disagree,unable"</x:formula1>
    </x:dataValidation>
    <x:dataValidation type="list" sqref="P2:P38">
      <x:formula1>"pending,resolved"</x:formula1>
    </x:dataValidation>
  </x:dataValidations>
  <x:pageMargins left="0.7" right="0.7" top="0.75" bottom="0.75" header="0.3" footer="0.3"/>
  <x:tableParts count="1">
    <x:tablePart xmlns:r="http://schemas.openxmlformats.org/officeDocument/2006/relationships" r:id="Ra1f6d0665d1d4d59"/>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2025::jama.2025.15185::C001</x:v>
      </x:c>
      <x:c r="B2" s="6" t="str">
        <x:v>Baseline index-stroke type counts differ across baseline tables</x:v>
      </x:c>
      <x:c r="C2" s="6" t="str">
        <x:v>DOC-001, main article — PDF p. 4, Table 1; DOC-004, Supplement 3 — PDF p. 10 and PDF p. 11, eTable 1.</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IDs",IF(OR(COUNTIF($A$2:$A$13,A2)&lt;&gt;1,COUNTIF(Decisions!$C$2:$C$132,A2)&lt;&gt;1),"CHECK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2025::jama.2025.15185::C002</x:v>
      </x:c>
      <x:c r="B3" s="3" t="str">
        <x:v>Baseline NIHSS statistic and label do not reconcile across tables</x:v>
      </x:c>
      <x:c r="C3" s="3" t="str">
        <x:v>DOC-001, main article — PDF p. 4, Table 1, and PDF p. 5, Results; DOC-004, Supplement 3 — PDF p. 11, eTable 1.</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IDs",IF(OR(COUNTIF($A$2:$A$13,A3)&lt;&gt;1,COUNTIF(Decisions!$C$2:$C$132,A3)&lt;&gt;1),"CHECK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2025::jama.2025.15185::C003</x:v>
      </x:c>
      <x:c r="B4" s="6" t="str">
        <x:v>Time from stroke onset to randomization differs across baseline tables</x:v>
      </x:c>
      <x:c r="C4" s="6" t="str">
        <x:v>DOC-001, main article — PDF p. 4, Table 1; DOC-004, Supplement 3 — PDF p. 11, eTable 1.</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IDs",IF(OR(COUNTIF($A$2:$A$13,A4)&lt;&gt;1,COUNTIF(Decisions!$C$2:$C$132,A4)&lt;&gt;1),"CHECK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2025::jama.2025.15185::C004</x:v>
      </x:c>
      <x:c r="B5" s="3" t="str">
        <x:v>Estimand 4 confidence-interval upper endpoint differs within eTable 2</x:v>
      </x:c>
      <x:c r="C5" s="3" t="str">
        <x:v>DOC-004, Supplement 3 — PDF p. 12, eTable 2 narrative; PDF p. 13, Estimand 4 row.</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IDs",IF(OR(COUNTIF($A$2:$A$13,A5)&lt;&gt;1,COUNTIF(Decisions!$C$2:$C$132,A5)&lt;&gt;1),"CHECK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2025::jama.2025.15185::C005</x:v>
      </x:c>
      <x:c r="B6" s="6" t="str">
        <x:v>Levodopa PROMIS-29 descriptive mean differs between main text and eTable 4</x:v>
      </x:c>
      <x:c r="C6" s="6" t="str">
        <x:v>DOC-001, main article — PDF p. 6, Secondary Outcomes; DOC-004, Supplement 3 — PDF p. 15, eTable 4.</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IDs",IF(OR(COUNTIF($A$2:$A$13,A6)&lt;&gt;1,COUNTIF(Decisions!$C$2:$C$132,A6)&lt;&gt;1),"CHECK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2025::jama.2025.15185::C006</x:v>
      </x:c>
      <x:c r="B7" s="3" t="str">
        <x:v>PROMIS-10 descriptive means differ between main text and eTable 4</x:v>
      </x:c>
      <x:c r="C7" s="3" t="str">
        <x:v>DOC-001, main article — PDF p. 6, Secondary Outcomes; DOC-004, Supplement 3 — PDF p. 15, eTable 4.</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IDs",IF(OR(COUNTIF($A$2:$A$13,A7)&lt;&gt;1,COUNTIF(Decisions!$C$2:$C$132,A7)&lt;&gt;1),"CHECK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2025::jama.2025.15185::C007</x:v>
      </x:c>
      <x:c r="B8" s="6" t="str">
        <x:v>Placebo five-week FMA standard deviation differs from eTable 4</x:v>
      </x:c>
      <x:c r="C8" s="6" t="str">
        <x:v>DOC-001, main article — PDF p. 6, Secondary Outcomes; DOC-004, Supplement 3 — PDF p. 15, eTable 4.</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IDs",IF(OR(COUNTIF($A$2:$A$13,A8)&lt;&gt;1,COUNTIF(Decisions!$C$2:$C$132,A8)&lt;&gt;1),"CHECK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2025::jama.2025.15185::C008</x:v>
      </x:c>
      <x:c r="B9" s="3" t="str">
        <x:v>Placebo PRAI no-improvement numerator differs between main text and eTable 4</x:v>
      </x:c>
      <x:c r="C9" s="3" t="str">
        <x:v>DOC-001, main article — PDF p. 6, Secondary Outcomes; DOC-004, Supplement 3 — PDF p. 15, eTable 4.</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IDs",IF(OR(COUNTIF($A$2:$A$13,A9)&lt;&gt;1,COUNTIF(Decisions!$C$2:$C$132,A9)&lt;&gt;1),"CHECK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IF(Setup!$B$6="primary","",IFERROR(IF(INDEX('Primary_snapshot'!$L$2:$L$132,MATCH(A9,'Primary_snapshot'!$A$2:$A$132,0))="","",INDEX('Primary_snapshot'!$L$2:$L$132,MATCH(A9,'Primary_snapshot'!$A$2:$A$132,0))),"SNAPSHOT MISSING"))</x:f>
      </x:c>
      <x:c r="N9" s="7" t="str"/>
      <x:c r="O9" s="7" t="str"/>
      <x:c r="P9" s="7" t="str"/>
      <x:c r="Q9" s="7" t="str"/>
      <x:c r="R9" s="13" t="str"/>
    </x:row>
    <x:row r="10" ht="92" customHeight="1">
      <x:c r="A10" s="6" t="str">
        <x:v>2025::jama.2025.15185::C009</x:v>
      </x:c>
      <x:c r="B10" s="6" t="str">
        <x:v>eTable 6 overall adverse-event total is one below arms and category sums</x:v>
      </x:c>
      <x:c r="C10" s="6" t="str">
        <x:v>DOC-001, main article — PDF p. 6, Table 2 and narrative, and PDF p. 7; DOC-004, Supplement 3 — PDF p. 17, eTable 6.</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IDs",IF(OR(COUNTIF($A$2:$A$13,A10)&lt;&gt;1,COUNTIF(Decisions!$C$2:$C$132,A10)&lt;&gt;1),"CHECK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$132,A10)&lt;&gt;1,INDEX('Primary_snapshot'!$J$2:$J$132,MATCH(A10,'Primary_snapshot'!$A$2:$A$132,0))&lt;&gt;"primary_done",INDEX('Primary_snapshot'!$K$2:$K$132,MATCH(A10,'Primary_snapshot'!$A$2:$A$132,0))&lt;&gt;Setup!$B$2,INDEX('Primary_snapshot'!$B$2:$B$132,MATCH(A10,'Primary_snapshot'!$A$2:$A$132,0))="NOT FROZEN",INDEX('Primary_snapshot'!$C$2:$C$132,MATCH(A10,'Primary_snapshot'!$A$2:$A$132,0))="NOT FROZEN",INDEX('Primary_snapshot'!$D$2:$D$132,MATCH(A10,'Primary_snapshot'!$A$2:$A$132,0))="NOT FROZEN",INDEX('Primary_snapshot'!$E$2:$E$132,MATCH(A10,'Primary_snapshot'!$A$2:$A$132,0))="NOT FROZEN",INDEX('Primary_snapshot'!$F$2:$F$132,MATCH(A10,'Primary_snapshot'!$A$2:$A$132,0))="NOT FROZEN",INDEX('Primary_snapshot'!$G$2:$G$132,MATCH(A10,'Primary_snapshot'!$A$2:$A$132,0))="NOT FROZEN",INDEX('Primary_snapshot'!$H$2:$H$132,MATCH(A10,'Primary_snapshot'!$A$2:$A$132,0))="NOT FROZEN",INDEX('Primary_snapshot'!$I$2:$I$132,MATCH(A10,'Primary_snapshot'!$A$2:$A$132,0))="NOT FROZEN",INDEX('Primary_snapshot'!$J$2:$J$132,MATCH(A10,'Primary_snapshot'!$A$2:$A$132,0))="NOT FROZEN",INDEX('Primary_snapshot'!$K$2:$K$132,MATCH(A10,'Primary_snapshot'!$A$2:$A$132,0))="NOT FROZEN",INDEX('Primary_snapshot'!$L$2:$L$132,MATCH(A10,'Primary_snapshot'!$A$2:$A$132,0))="NOT FROZEN"),"FREEZE SNAPSHOT",IF(NOT(OR(N10="agree",N10="agree_clarification",N10="disagree",N10="unable")),"CHECKER RESULT NEEDED",IF(AND(N10&lt;&gt;"agree",LEN(TRIM(O10))=0),"COMMENT NEEDED",IF(AND(N10="agree",NOT(AND(IF(D10="","",D10)=IF(INDEX('Primary_snapshot'!$B$2:$B$132,MATCH(A10,'Primary_snapshot'!$A$2:$A$132,0))="","",INDEX('Primary_snapshot'!$B$2:$B$132,MATCH(A10,'Primary_snapshot'!$A$2:$A$132,0))),IF(E10="","",E10)=IF(INDEX('Primary_snapshot'!$C$2:$C$132,MATCH(A10,'Primary_snapshot'!$A$2:$A$132,0))="","",INDEX('Primary_snapshot'!$C$2:$C$132,MATCH(A10,'Primary_snapshot'!$A$2:$A$132,0))),IF(AND(D10="retain",E10="statistical_results"),IF(H10="","",H10),"not_applicable")=IF(INDEX('Primary_snapshot'!$D$2:$D$132,MATCH(A10,'Primary_snapshot'!$A$2:$A$132,0))="","",INDEX('Primary_snapshot'!$D$2:$D$132,MATCH(A10,'Primary_snapshot'!$A$2:$A$132,0))),IF(AND(D10="retain",E10="statistical_results"),IF(I10="","",I10),"not_applicable")=IF(INDEX('Primary_snapshot'!$E$2:$E$132,MATCH(A10,'Primary_snapshot'!$A$2:$A$132,0))="","",INDEX('Primary_snapshot'!$E$2:$E$132,MATCH(A10,'Primary_snapshot'!$A$2:$A$132,0))),IF(AND(D10="retain",E10="statistical_results"),IF(J10="","",J10),"not_applicable")=IF(INDEX('Primary_snapshot'!$F$2:$F$132,MATCH(A10,'Primary_snapshot'!$A$2:$A$132,0))="","",INDEX('Primary_snapshot'!$F$2:$F$132,MATCH(A10,'Primary_snapshot'!$A$2:$A$132,0))),IF(AND(D10="retain",OR(E10="report_internal_inconsistency",E10="plan_material")),IF(K10="","",K10),"not_applicable")=IF(INDEX('Primary_snapshot'!$G$2:$G$132,MATCH(A10,'Primary_snapshot'!$A$2:$A$132,0))="","",INDEX('Primary_snapshot'!$G$2:$G$132,MATCH(A10,'Primary_snapshot'!$A$2:$A$132,0))),IF(AND(D10="retain",E10="protocol_report"),IF(L10="","",L10),"not_applicable")=IF(INDEX('Primary_snapshot'!$H$2:$H$132,MATCH(A10,'Primary_snapshot'!$A$2:$A$132,0))="","",INDEX('Primary_snapshot'!$H$2:$H$132,MATCH(A10,'Primary_snapshot'!$A$2:$A$132,0))),IF(R10="","",R10)=IF(INDEX('Primary_snapshot'!$I$2:$I$132,MATCH(A10,'Primary_snapshot'!$A$2:$A$132,0))="","",INDEX('Primary_snapshot'!$I$2:$I$132,MATCH(A10,'Primary_snapshot'!$A$2:$A$132,0)))))),"AGREE BUT CHANGED",IF(AND(P10&lt;&gt;"",NOT(OR(P10="pending",P10="resolved"))),"CHECK RESOLUTION",IF(OR(AND(OR(D10="discuss",INDEX('Primary_snapshot'!$B$2:$B$132,MATCH(A10,'Primary_snapshot'!$A$2:$A$132,0))="discuss",N10="disagree",N10="unable"),P10&lt;&gt;"resolved"),D10="discuss"),"DISCUSS",IF(AND(P10="resolved",LEN(TRIM(Q10))=0),"RESOLUTION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IF(Setup!$B$6="primary","",IFERROR(IF(INDEX('Primary_snapshot'!$L$2:$L$132,MATCH(A10,'Primary_snapshot'!$A$2:$A$132,0))="","",INDEX('Primary_snapshot'!$L$2:$L$132,MATCH(A10,'Primary_snapshot'!$A$2:$A$132,0))),"SNAPSHOT MISSING"))</x:f>
      </x:c>
      <x:c r="N10" s="7" t="str"/>
      <x:c r="O10" s="7" t="str"/>
      <x:c r="P10" s="7" t="str"/>
      <x:c r="Q10" s="7" t="str"/>
      <x:c r="R10" s="13" t="str"/>
    </x:row>
    <x:row r="11" ht="92" customHeight="1">
      <x:c r="A11" s="3" t="str">
        <x:v>2025::jama.2025.15185::C010</x:v>
      </x:c>
      <x:c r="B11" s="3" t="str">
        <x:v>eFigure 4 switches locally from FMA to FMMA without qualification</x:v>
      </x:c>
      <x:c r="C11" s="3" t="str">
        <x:v>DOC-004, Supplement 3 — PDF p. 23, eFigure 4; DOC-003, Supplement 2 — PDF p. 2, SAP objective; DOC-001, main article — PDF p. 1, PDF p. 3, and PDF p. 6.</x:v>
      </x:c>
      <x:c r="D11" s="7" t="str"/>
      <x:c r="E11" s="7" t="str">
        <x:v>report_internal_inconsistency</x:v>
      </x:c>
      <x:c r="F11" s="7" t="str">
        <x:v>no</x:v>
      </x:c>
      <x:c r="G11" s="3" t="str">
        <x:f>IFERROR(IF(NOT(OR(Setup!$B$6="primary",Setup!$B$6="checker")),"CHECK STAGE",IF(OR(LEN(TRIM(Setup!$B$2))=0,Setup!$B$2&lt;&gt;TRIM(Setup!$B$2),AND(Setup!$B$6="checker",OR(LEN(TRIM(Setup!$B$4))=0,Setup!$B$4&lt;&gt;TRIM(Setup!$B$4),LOWER(TRIM(Setup!$B$4))=LOWER(TRIM(Setup!$B$2))))),"CHECK REVIEWER IDs",IF(OR(COUNTIF($A$2:$A$13,A11)&lt;&gt;1,COUNTIF(Decisions!$C$2:$C$132,A11)&lt;&gt;1),"CHECK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$132,A11)&lt;&gt;1,INDEX('Primary_snapshot'!$J$2:$J$132,MATCH(A11,'Primary_snapshot'!$A$2:$A$132,0))&lt;&gt;"primary_done",INDEX('Primary_snapshot'!$K$2:$K$132,MATCH(A11,'Primary_snapshot'!$A$2:$A$132,0))&lt;&gt;Setup!$B$2,INDEX('Primary_snapshot'!$B$2:$B$132,MATCH(A11,'Primary_snapshot'!$A$2:$A$132,0))="NOT FROZEN",INDEX('Primary_snapshot'!$C$2:$C$132,MATCH(A11,'Primary_snapshot'!$A$2:$A$132,0))="NOT FROZEN",INDEX('Primary_snapshot'!$D$2:$D$132,MATCH(A11,'Primary_snapshot'!$A$2:$A$132,0))="NOT FROZEN",INDEX('Primary_snapshot'!$E$2:$E$132,MATCH(A11,'Primary_snapshot'!$A$2:$A$132,0))="NOT FROZEN",INDEX('Primary_snapshot'!$F$2:$F$132,MATCH(A11,'Primary_snapshot'!$A$2:$A$132,0))="NOT FROZEN",INDEX('Primary_snapshot'!$G$2:$G$132,MATCH(A11,'Primary_snapshot'!$A$2:$A$132,0))="NOT FROZEN",INDEX('Primary_snapshot'!$H$2:$H$132,MATCH(A11,'Primary_snapshot'!$A$2:$A$132,0))="NOT FROZEN",INDEX('Primary_snapshot'!$I$2:$I$132,MATCH(A11,'Primary_snapshot'!$A$2:$A$132,0))="NOT FROZEN",INDEX('Primary_snapshot'!$J$2:$J$132,MATCH(A11,'Primary_snapshot'!$A$2:$A$132,0))="NOT FROZEN",INDEX('Primary_snapshot'!$K$2:$K$132,MATCH(A11,'Primary_snapshot'!$A$2:$A$132,0))="NOT FROZEN",INDEX('Primary_snapshot'!$L$2:$L$132,MATCH(A11,'Primary_snapshot'!$A$2:$A$132,0))="NOT FROZEN"),"FREEZE SNAPSHOT",IF(NOT(OR(N11="agree",N11="agree_clarification",N11="disagree",N11="unable")),"CHECKER RESULT NEEDED",IF(AND(N11&lt;&gt;"agree",LEN(TRIM(O11))=0),"COMMENT NEEDED",IF(AND(N11="agree",NOT(AND(IF(D11="","",D11)=IF(INDEX('Primary_snapshot'!$B$2:$B$132,MATCH(A11,'Primary_snapshot'!$A$2:$A$132,0))="","",INDEX('Primary_snapshot'!$B$2:$B$132,MATCH(A11,'Primary_snapshot'!$A$2:$A$132,0))),IF(E11="","",E11)=IF(INDEX('Primary_snapshot'!$C$2:$C$132,MATCH(A11,'Primary_snapshot'!$A$2:$A$132,0))="","",INDEX('Primary_snapshot'!$C$2:$C$132,MATCH(A11,'Primary_snapshot'!$A$2:$A$132,0))),IF(AND(D11="retain",E11="statistical_results"),IF(H11="","",H11),"not_applicable")=IF(INDEX('Primary_snapshot'!$D$2:$D$132,MATCH(A11,'Primary_snapshot'!$A$2:$A$132,0))="","",INDEX('Primary_snapshot'!$D$2:$D$132,MATCH(A11,'Primary_snapshot'!$A$2:$A$132,0))),IF(AND(D11="retain",E11="statistical_results"),IF(I11="","",I11),"not_applicable")=IF(INDEX('Primary_snapshot'!$E$2:$E$132,MATCH(A11,'Primary_snapshot'!$A$2:$A$132,0))="","",INDEX('Primary_snapshot'!$E$2:$E$132,MATCH(A11,'Primary_snapshot'!$A$2:$A$132,0))),IF(AND(D11="retain",E11="statistical_results"),IF(J11="","",J11),"not_applicable")=IF(INDEX('Primary_snapshot'!$F$2:$F$132,MATCH(A11,'Primary_snapshot'!$A$2:$A$132,0))="","",INDEX('Primary_snapshot'!$F$2:$F$132,MATCH(A11,'Primary_snapshot'!$A$2:$A$132,0))),IF(AND(D11="retain",OR(E11="report_internal_inconsistency",E11="plan_material")),IF(K11="","",K11),"not_applicable")=IF(INDEX('Primary_snapshot'!$G$2:$G$132,MATCH(A11,'Primary_snapshot'!$A$2:$A$132,0))="","",INDEX('Primary_snapshot'!$G$2:$G$132,MATCH(A11,'Primary_snapshot'!$A$2:$A$132,0))),IF(AND(D11="retain",E11="protocol_report"),IF(L11="","",L11),"not_applicable")=IF(INDEX('Primary_snapshot'!$H$2:$H$132,MATCH(A11,'Primary_snapshot'!$A$2:$A$132,0))="","",INDEX('Primary_snapshot'!$H$2:$H$132,MATCH(A11,'Primary_snapshot'!$A$2:$A$132,0))),IF(R11="","",R11)=IF(INDEX('Primary_snapshot'!$I$2:$I$132,MATCH(A11,'Primary_snapshot'!$A$2:$A$132,0))="","",INDEX('Primary_snapshot'!$I$2:$I$132,MATCH(A11,'Primary_snapshot'!$A$2:$A$132,0)))))),"AGREE BUT CHANGED",IF(AND(P11&lt;&gt;"",NOT(OR(P11="pending",P11="resolved"))),"CHECK RESOLUTION",IF(OR(AND(OR(D11="discuss",INDEX('Primary_snapshot'!$B$2:$B$132,MATCH(A11,'Primary_snapshot'!$A$2:$A$132,0))="discuss",N11="disagree",N11="unable"),P11&lt;&gt;"resolved"),D11="discuss"),"DISCUSS",IF(AND(P11="resolved",LEN(TRIM(Q11))=0),"RESOLUTION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IF(Setup!$B$6="primary","",IFERROR(IF(INDEX('Primary_snapshot'!$L$2:$L$132,MATCH(A11,'Primary_snapshot'!$A$2:$A$132,0))="","",INDEX('Primary_snapshot'!$L$2:$L$132,MATCH(A11,'Primary_snapshot'!$A$2:$A$132,0))),"SNAPSHOT MISSING"))</x:f>
      </x:c>
      <x:c r="N11" s="7" t="str"/>
      <x:c r="O11" s="7" t="str"/>
      <x:c r="P11" s="7" t="str"/>
      <x:c r="Q11" s="7" t="str"/>
      <x:c r="R11" s="13" t="str"/>
    </x:row>
    <x:row r="12" ht="92" customHeight="1">
      <x:c r="A12" s="6" t="str">
        <x:v>2025::jama.2025.15185::C011</x:v>
      </x:c>
      <x:c r="B12" s="6" t="str">
        <x:v>Estimand 4 win ratio appears under an FMA mean-difference column heading</x:v>
      </x:c>
      <x:c r="C12" s="6" t="str">
        <x:v>DOC-004, Supplement 3 — PDF p. 13, eTable 2 column heading and Estimand 4 row.</x:v>
      </x:c>
      <x:c r="D12" s="7" t="str"/>
      <x:c r="E12" s="7" t="str">
        <x:v>report_internal_inconsistency</x:v>
      </x:c>
      <x:c r="F12" s="7" t="str">
        <x:v>no</x:v>
      </x:c>
      <x:c r="G12" s="6" t="str">
        <x:f>IFERROR(IF(NOT(OR(Setup!$B$6="primary",Setup!$B$6="checker")),"CHECK STAGE",IF(OR(LEN(TRIM(Setup!$B$2))=0,Setup!$B$2&lt;&gt;TRIM(Setup!$B$2),AND(Setup!$B$6="checker",OR(LEN(TRIM(Setup!$B$4))=0,Setup!$B$4&lt;&gt;TRIM(Setup!$B$4),LOWER(TRIM(Setup!$B$4))=LOWER(TRIM(Setup!$B$2))))),"CHECK REVIEWER IDs",IF(OR(COUNTIF($A$2:$A$13,A12)&lt;&gt;1,COUNTIF(Decisions!$C$2:$C$132,A12)&lt;&gt;1),"CHECK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$132,A12)&lt;&gt;1,INDEX('Primary_snapshot'!$J$2:$J$132,MATCH(A12,'Primary_snapshot'!$A$2:$A$132,0))&lt;&gt;"primary_done",INDEX('Primary_snapshot'!$K$2:$K$132,MATCH(A12,'Primary_snapshot'!$A$2:$A$132,0))&lt;&gt;Setup!$B$2,INDEX('Primary_snapshot'!$B$2:$B$132,MATCH(A12,'Primary_snapshot'!$A$2:$A$132,0))="NOT FROZEN",INDEX('Primary_snapshot'!$C$2:$C$132,MATCH(A12,'Primary_snapshot'!$A$2:$A$132,0))="NOT FROZEN",INDEX('Primary_snapshot'!$D$2:$D$132,MATCH(A12,'Primary_snapshot'!$A$2:$A$132,0))="NOT FROZEN",INDEX('Primary_snapshot'!$E$2:$E$132,MATCH(A12,'Primary_snapshot'!$A$2:$A$132,0))="NOT FROZEN",INDEX('Primary_snapshot'!$F$2:$F$132,MATCH(A12,'Primary_snapshot'!$A$2:$A$132,0))="NOT FROZEN",INDEX('Primary_snapshot'!$G$2:$G$132,MATCH(A12,'Primary_snapshot'!$A$2:$A$132,0))="NOT FROZEN",INDEX('Primary_snapshot'!$H$2:$H$132,MATCH(A12,'Primary_snapshot'!$A$2:$A$132,0))="NOT FROZEN",INDEX('Primary_snapshot'!$I$2:$I$132,MATCH(A12,'Primary_snapshot'!$A$2:$A$132,0))="NOT FROZEN",INDEX('Primary_snapshot'!$J$2:$J$132,MATCH(A12,'Primary_snapshot'!$A$2:$A$132,0))="NOT FROZEN",INDEX('Primary_snapshot'!$K$2:$K$132,MATCH(A12,'Primary_snapshot'!$A$2:$A$132,0))="NOT FROZEN",INDEX('Primary_snapshot'!$L$2:$L$132,MATCH(A12,'Primary_snapshot'!$A$2:$A$132,0))="NOT FROZEN"),"FREEZE SNAPSHOT",IF(NOT(OR(N12="agree",N12="agree_clarification",N12="disagree",N12="unable")),"CHECKER RESULT NEEDED",IF(AND(N12&lt;&gt;"agree",LEN(TRIM(O12))=0),"COMMENT NEEDED",IF(AND(N12="agree",NOT(AND(IF(D12="","",D12)=IF(INDEX('Primary_snapshot'!$B$2:$B$132,MATCH(A12,'Primary_snapshot'!$A$2:$A$132,0))="","",INDEX('Primary_snapshot'!$B$2:$B$132,MATCH(A12,'Primary_snapshot'!$A$2:$A$132,0))),IF(E12="","",E12)=IF(INDEX('Primary_snapshot'!$C$2:$C$132,MATCH(A12,'Primary_snapshot'!$A$2:$A$132,0))="","",INDEX('Primary_snapshot'!$C$2:$C$132,MATCH(A12,'Primary_snapshot'!$A$2:$A$132,0))),IF(AND(D12="retain",E12="statistical_results"),IF(H12="","",H12),"not_applicable")=IF(INDEX('Primary_snapshot'!$D$2:$D$132,MATCH(A12,'Primary_snapshot'!$A$2:$A$132,0))="","",INDEX('Primary_snapshot'!$D$2:$D$132,MATCH(A12,'Primary_snapshot'!$A$2:$A$132,0))),IF(AND(D12="retain",E12="statistical_results"),IF(I12="","",I12),"not_applicable")=IF(INDEX('Primary_snapshot'!$E$2:$E$132,MATCH(A12,'Primary_snapshot'!$A$2:$A$132,0))="","",INDEX('Primary_snapshot'!$E$2:$E$132,MATCH(A12,'Primary_snapshot'!$A$2:$A$132,0))),IF(AND(D12="retain",E12="statistical_results"),IF(J12="","",J12),"not_applicable")=IF(INDEX('Primary_snapshot'!$F$2:$F$132,MATCH(A12,'Primary_snapshot'!$A$2:$A$132,0))="","",INDEX('Primary_snapshot'!$F$2:$F$132,MATCH(A12,'Primary_snapshot'!$A$2:$A$132,0))),IF(AND(D12="retain",OR(E12="report_internal_inconsistency",E12="plan_material")),IF(K12="","",K12),"not_applicable")=IF(INDEX('Primary_snapshot'!$G$2:$G$132,MATCH(A12,'Primary_snapshot'!$A$2:$A$132,0))="","",INDEX('Primary_snapshot'!$G$2:$G$132,MATCH(A12,'Primary_snapshot'!$A$2:$A$132,0))),IF(AND(D12="retain",E12="protocol_report"),IF(L12="","",L12),"not_applicable")=IF(INDEX('Primary_snapshot'!$H$2:$H$132,MATCH(A12,'Primary_snapshot'!$A$2:$A$132,0))="","",INDEX('Primary_snapshot'!$H$2:$H$132,MATCH(A12,'Primary_snapshot'!$A$2:$A$132,0))),IF(R12="","",R12)=IF(INDEX('Primary_snapshot'!$I$2:$I$132,MATCH(A12,'Primary_snapshot'!$A$2:$A$132,0))="","",INDEX('Primary_snapshot'!$I$2:$I$132,MATCH(A12,'Primary_snapshot'!$A$2:$A$132,0)))))),"AGREE BUT CHANGED",IF(AND(P12&lt;&gt;"",NOT(OR(P12="pending",P12="resolved"))),"CHECK RESOLUTION",IF(OR(AND(OR(D12="discuss",INDEX('Primary_snapshot'!$B$2:$B$132,MATCH(A12,'Primary_snapshot'!$A$2:$A$132,0))="discuss",N12="disagree",N12="unable"),P12&lt;&gt;"resolved"),D12="discuss"),"DISCUSS",IF(AND(P12="resolved",LEN(TRIM(Q12))=0),"RESOLUTION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c>
      <x:c r="L12" s="13" t="str">
        <x:f>IF(AND(OR(D12="retain",D12=""),E12="protocol_report"),"","not_applicable")</x:f>
        <x:v>not_applicable</x:v>
      </x:c>
      <x:c r="M12" s="6" t="str">
        <x:f>IF(Setup!$B$6="primary","",IFERROR(IF(INDEX('Primary_snapshot'!$L$2:$L$132,MATCH(A12,'Primary_snapshot'!$A$2:$A$132,0))="","",INDEX('Primary_snapshot'!$L$2:$L$132,MATCH(A12,'Primary_snapshot'!$A$2:$A$132,0))),"SNAPSHOT MISSING"))</x:f>
      </x:c>
      <x:c r="N12" s="7" t="str"/>
      <x:c r="O12" s="7" t="str"/>
      <x:c r="P12" s="7" t="str"/>
      <x:c r="Q12" s="7" t="str"/>
      <x:c r="R12" s="13" t="str"/>
    </x:row>
    <x:row r="13" ht="92" customHeight="1">
      <x:c r="A13" s="3" t="str">
        <x:v>2025::jama.2025.15185::C012</x:v>
      </x:c>
      <x:c r="B13" s="3" t="str">
        <x:v>Estimand 4 is called an odds ratio in prose and a win ratio in the table</x:v>
      </x:c>
      <x:c r="C13" s="3" t="str">
        <x:v>DOC-004, Supplement 3 — PDF p. 12, eTable 2 narrative; PDF p. 13, Estimand 4 row.</x:v>
      </x:c>
      <x:c r="D13" s="7" t="str"/>
      <x:c r="E13" s="7" t="str">
        <x:v>report_internal_inconsistency</x:v>
      </x:c>
      <x:c r="F13" s="7" t="str">
        <x:v>no</x:v>
      </x:c>
      <x:c r="G13" s="3" t="str">
        <x:f>IFERROR(IF(NOT(OR(Setup!$B$6="primary",Setup!$B$6="checker")),"CHECK STAGE",IF(OR(LEN(TRIM(Setup!$B$2))=0,Setup!$B$2&lt;&gt;TRIM(Setup!$B$2),AND(Setup!$B$6="checker",OR(LEN(TRIM(Setup!$B$4))=0,Setup!$B$4&lt;&gt;TRIM(Setup!$B$4),LOWER(TRIM(Setup!$B$4))=LOWER(TRIM(Setup!$B$2))))),"CHECK REVIEWER IDs",IF(OR(COUNTIF($A$2:$A$13,A13)&lt;&gt;1,COUNTIF(Decisions!$C$2:$C$132,A13)&lt;&gt;1),"CHECK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$132,A13)&lt;&gt;1,INDEX('Primary_snapshot'!$J$2:$J$132,MATCH(A13,'Primary_snapshot'!$A$2:$A$132,0))&lt;&gt;"primary_done",INDEX('Primary_snapshot'!$K$2:$K$132,MATCH(A13,'Primary_snapshot'!$A$2:$A$132,0))&lt;&gt;Setup!$B$2,INDEX('Primary_snapshot'!$B$2:$B$132,MATCH(A13,'Primary_snapshot'!$A$2:$A$132,0))="NOT FROZEN",INDEX('Primary_snapshot'!$C$2:$C$132,MATCH(A13,'Primary_snapshot'!$A$2:$A$132,0))="NOT FROZEN",INDEX('Primary_snapshot'!$D$2:$D$132,MATCH(A13,'Primary_snapshot'!$A$2:$A$132,0))="NOT FROZEN",INDEX('Primary_snapshot'!$E$2:$E$132,MATCH(A13,'Primary_snapshot'!$A$2:$A$132,0))="NOT FROZEN",INDEX('Primary_snapshot'!$F$2:$F$132,MATCH(A13,'Primary_snapshot'!$A$2:$A$132,0))="NOT FROZEN",INDEX('Primary_snapshot'!$G$2:$G$132,MATCH(A13,'Primary_snapshot'!$A$2:$A$132,0))="NOT FROZEN",INDEX('Primary_snapshot'!$H$2:$H$132,MATCH(A13,'Primary_snapshot'!$A$2:$A$132,0))="NOT FROZEN",INDEX('Primary_snapshot'!$I$2:$I$132,MATCH(A13,'Primary_snapshot'!$A$2:$A$132,0))="NOT FROZEN",INDEX('Primary_snapshot'!$J$2:$J$132,MATCH(A13,'Primary_snapshot'!$A$2:$A$132,0))="NOT FROZEN",INDEX('Primary_snapshot'!$K$2:$K$132,MATCH(A13,'Primary_snapshot'!$A$2:$A$132,0))="NOT FROZEN",INDEX('Primary_snapshot'!$L$2:$L$132,MATCH(A13,'Primary_snapshot'!$A$2:$A$132,0))="NOT FROZEN"),"FREEZE SNAPSHOT",IF(NOT(OR(N13="agree",N13="agree_clarification",N13="disagree",N13="unable")),"CHECKER RESULT NEEDED",IF(AND(N13&lt;&gt;"agree",LEN(TRIM(O13))=0),"COMMENT NEEDED",IF(AND(N13="agree",NOT(AND(IF(D13="","",D13)=IF(INDEX('Primary_snapshot'!$B$2:$B$132,MATCH(A13,'Primary_snapshot'!$A$2:$A$132,0))="","",INDEX('Primary_snapshot'!$B$2:$B$132,MATCH(A13,'Primary_snapshot'!$A$2:$A$132,0))),IF(E13="","",E13)=IF(INDEX('Primary_snapshot'!$C$2:$C$132,MATCH(A13,'Primary_snapshot'!$A$2:$A$132,0))="","",INDEX('Primary_snapshot'!$C$2:$C$132,MATCH(A13,'Primary_snapshot'!$A$2:$A$132,0))),IF(AND(D13="retain",E13="statistical_results"),IF(H13="","",H13),"not_applicable")=IF(INDEX('Primary_snapshot'!$D$2:$D$132,MATCH(A13,'Primary_snapshot'!$A$2:$A$132,0))="","",INDEX('Primary_snapshot'!$D$2:$D$132,MATCH(A13,'Primary_snapshot'!$A$2:$A$132,0))),IF(AND(D13="retain",E13="statistical_results"),IF(I13="","",I13),"not_applicable")=IF(INDEX('Primary_snapshot'!$E$2:$E$132,MATCH(A13,'Primary_snapshot'!$A$2:$A$132,0))="","",INDEX('Primary_snapshot'!$E$2:$E$132,MATCH(A13,'Primary_snapshot'!$A$2:$A$132,0))),IF(AND(D13="retain",E13="statistical_results"),IF(J13="","",J13),"not_applicable")=IF(INDEX('Primary_snapshot'!$F$2:$F$132,MATCH(A13,'Primary_snapshot'!$A$2:$A$132,0))="","",INDEX('Primary_snapshot'!$F$2:$F$132,MATCH(A13,'Primary_snapshot'!$A$2:$A$132,0))),IF(AND(D13="retain",OR(E13="report_internal_inconsistency",E13="plan_material")),IF(K13="","",K13),"not_applicable")=IF(INDEX('Primary_snapshot'!$G$2:$G$132,MATCH(A13,'Primary_snapshot'!$A$2:$A$132,0))="","",INDEX('Primary_snapshot'!$G$2:$G$132,MATCH(A13,'Primary_snapshot'!$A$2:$A$132,0))),IF(AND(D13="retain",E13="protocol_report"),IF(L13="","",L13),"not_applicable")=IF(INDEX('Primary_snapshot'!$H$2:$H$132,MATCH(A13,'Primary_snapshot'!$A$2:$A$132,0))="","",INDEX('Primary_snapshot'!$H$2:$H$132,MATCH(A13,'Primary_snapshot'!$A$2:$A$132,0))),IF(R13="","",R13)=IF(INDEX('Primary_snapshot'!$I$2:$I$132,MATCH(A13,'Primary_snapshot'!$A$2:$A$132,0))="","",INDEX('Primary_snapshot'!$I$2:$I$132,MATCH(A13,'Primary_snapshot'!$A$2:$A$132,0)))))),"AGREE BUT CHANGED",IF(AND(P13&lt;&gt;"",NOT(OR(P13="pending",P13="resolved"))),"CHECK RESOLUTION",IF(OR(AND(OR(D13="discuss",INDEX('Primary_snapshot'!$B$2:$B$132,MATCH(A13,'Primary_snapshot'!$A$2:$A$132,0))="discuss",N13="disagree",N13="unable"),P13&lt;&gt;"resolved"),D13="discuss"),"DISCUSS",IF(AND(P13="resolved",LEN(TRIM(Q13))=0),"RESOLUTION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c>
      <x:c r="L13" s="13" t="str">
        <x:f>IF(AND(OR(D13="retain",D13=""),E13="protocol_report"),"","not_applicable")</x:f>
        <x:v>not_applicable</x:v>
      </x:c>
      <x:c r="M13" s="3" t="str">
        <x:f>IF(Setup!$B$6="primary","",IFERROR(IF(INDEX('Primary_snapshot'!$L$2:$L$132,MATCH(A13,'Primary_snapshot'!$A$2:$A$132,0))="","",INDEX('Primary_snapshot'!$L$2:$L$132,MATCH(A13,'Primary_snapshot'!$A$2:$A$132,0))),"SNAPSHOT MISSING"))</x:f>
      </x:c>
      <x:c r="N13" s="7" t="str"/>
      <x:c r="O13" s="7" t="str"/>
      <x:c r="P13" s="7" t="str"/>
      <x:c r="Q13" s="7" t="str"/>
      <x:c r="R13" s="13" t="str"/>
    </x:row>
  </x:sheetData>
  <x:conditionalFormatting sqref="G2:G13">
    <x:cfRule type="expression" dxfId="21" priority="1">
      <x:formula>AND(G2&lt;&gt;"PRIMARY READY",G2&lt;&gt;"FINAL READY")</x:formula>
    </x:cfRule>
  </x:conditionalFormatting>
  <x:conditionalFormatting sqref="N2:Q13">
    <x:cfRule type="expression" dxfId="22" priority="2">
      <x:formula>Setup!$B$6="primary"</x:formula>
    </x:cfRule>
  </x:conditionalFormatting>
  <x:conditionalFormatting sqref="H2:H13">
    <x:cfRule type="expression" dxfId="23" priority="3">
      <x:formula>NOT(AND(OR($D2="retain",$D2=""),$E2="statistical_results"))</x:formula>
    </x:cfRule>
  </x:conditionalFormatting>
  <x:conditionalFormatting sqref="I2:I13">
    <x:cfRule type="expression" dxfId="24" priority="4">
      <x:formula>NOT(AND(OR($D2="retain",$D2=""),$E2="statistical_results"))</x:formula>
    </x:cfRule>
  </x:conditionalFormatting>
  <x:conditionalFormatting sqref="J2:J13">
    <x:cfRule type="expression" dxfId="25" priority="5">
      <x:formula>NOT(AND(OR($D2="retain",$D2=""),$E2="statistical_results"))</x:formula>
    </x:cfRule>
  </x:conditionalFormatting>
  <x:conditionalFormatting sqref="K2:K13">
    <x:cfRule type="expression" dxfId="26" priority="6">
      <x:formula>NOT(AND(OR($D2="retain",$D2=""),OR($E2="report_internal_inconsistency",$E2="plan_material")))</x:formula>
    </x:cfRule>
  </x:conditionalFormatting>
  <x:conditionalFormatting sqref="L2:L13">
    <x:cfRule type="expression" dxfId="27" priority="7">
      <x:formula>NOT(AND(OR($D2="retain",$D2=""),$E2="protocol_report"))</x:formula>
    </x:cfRule>
  </x:conditionalFormatting>
  <x:dataValidations count="10">
    <x:dataValidation type="list" sqref="D2:D13">
      <x:formula1>"retain,exclude,discuss"</x:formula1>
    </x:dataValidation>
    <x:dataValidation type="list" sqref="E2:E13">
      <x:formula1>"statistical_results,report_internal_inconsistency,plan_material,protocol_report"</x:formula1>
    </x:dataValidation>
    <x:dataValidation type="list" sqref="F2:F13">
      <x:formula1>"no,primary_done,checker_done"</x:formula1>
    </x:dataValidation>
    <x:dataValidation type="list" sqref="H2:H13">
      <x:formula1>"confirmed_issue,probable_issue,not_issue,indeterminate,not_applicable"</x:formula1>
    </x:dataValidation>
    <x:dataValidation type="list" sqref="I2:I13">
      <x:formula1>"substantive,minor_presentation,indeterminate,not_applicable"</x:formula1>
    </x:dataValidation>
    <x:dataValidation type="list" sqref="J2:J13">
      <x:formula1>"direct,possible,unlikely,unknown,not_applicable"</x:formula1>
    </x:dataValidation>
    <x:dataValidation type="list" sqref="K2:K13">
      <x:formula1>"substantive_inconsistency,minor_presentation,non_inconsistency,indeterminate,not_applicable"</x:formula1>
    </x:dataValidation>
    <x:dataValidation type="list" sqref="L2:L13">
      <x:formula1>"substantive_difference,minor_presentation,version_timing,non_inconsistency,indeterminate,not_applicable"</x:formula1>
    </x:dataValidation>
    <x:dataValidation type="list" sqref="N2:N13">
      <x:formula1>"agree,agree_clarification,disagree,unable"</x:formula1>
    </x:dataValidation>
    <x:dataValidation type="list" sqref="P2:P13">
      <x:formula1>"pending,resolved"</x:formula1>
    </x:dataValidation>
  </x:dataValidations>
  <x:pageMargins left="0.7" right="0.7" top="0.75" bottom="0.75" header="0.3" footer="0.3"/>
  <x:tableParts count="1">
    <x:tablePart xmlns:r="http://schemas.openxmlformats.org/officeDocument/2006/relationships" r:id="R5ebd286f69864767"/>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2025::jama.2025.15440::C001</x:v>
      </x:c>
      <x:c r="B2" s="6" t="str">
        <x:v>Conflicting confidence intervals for the matched any-stroke rate ratio</x:v>
      </x:c>
      <x:c r="C2" s="6" t="str">
        <x:v>DOC-001: jama_wijesurendra_2025_oi_250068_1760999665.28362.pdf — PDF p. 1 (abstract); PDF p. 5 (results narrative); and PDF p. 7 (Figure 4B).</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IDs",IF(OR(COUNTIF($A$2:$A$3,A2)&lt;&gt;1,COUNTIF(Decisions!$C$2:$C$132,A2)&lt;&gt;1),"CHECK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2025::jama.2025.15440::C002</x:v>
      </x:c>
      <x:c r="B3" s="3" t="str">
        <x:v>Stroke subtype counts do not partition the displayed any-stroke count in the patch group</x:v>
      </x:c>
      <x:c r="C3" s="3" t="str">
        <x:v>DOC-001: jama_wijesurendra_2025_oi_250068_1760999665.28362.pdf — PDF p. 7, Figure 4B rows Presumed ischemic stroke, Hemorrhagic stroke, and Any stroke, including its caption/footnote. The matching any-stroke total also appears on PDF p. 5 and PDF p. 1.</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IDs",IF(OR(COUNTIF($A$2:$A$3,A3)&lt;&gt;1,COUNTIF(Decisions!$C$2:$C$132,A3)&lt;&gt;1),"CHECK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sheetData>
  <x:conditionalFormatting sqref="G2:G3">
    <x:cfRule type="expression" dxfId="28" priority="1">
      <x:formula>AND(G2&lt;&gt;"PRIMARY READY",G2&lt;&gt;"FINAL READY")</x:formula>
    </x:cfRule>
  </x:conditionalFormatting>
  <x:conditionalFormatting sqref="N2:Q3">
    <x:cfRule type="expression" dxfId="29" priority="2">
      <x:formula>Setup!$B$6="primary"</x:formula>
    </x:cfRule>
  </x:conditionalFormatting>
  <x:conditionalFormatting sqref="H2:H3">
    <x:cfRule type="expression" dxfId="30" priority="3">
      <x:formula>NOT(AND(OR($D2="retain",$D2=""),$E2="statistical_results"))</x:formula>
    </x:cfRule>
  </x:conditionalFormatting>
  <x:conditionalFormatting sqref="I2:I3">
    <x:cfRule type="expression" dxfId="31" priority="4">
      <x:formula>NOT(AND(OR($D2="retain",$D2=""),$E2="statistical_results"))</x:formula>
    </x:cfRule>
  </x:conditionalFormatting>
  <x:conditionalFormatting sqref="J2:J3">
    <x:cfRule type="expression" dxfId="32" priority="5">
      <x:formula>NOT(AND(OR($D2="retain",$D2=""),$E2="statistical_results"))</x:formula>
    </x:cfRule>
  </x:conditionalFormatting>
  <x:conditionalFormatting sqref="K2:K3">
    <x:cfRule type="expression" dxfId="33" priority="6">
      <x:formula>NOT(AND(OR($D2="retain",$D2=""),OR($E2="report_internal_inconsistency",$E2="plan_material")))</x:formula>
    </x:cfRule>
  </x:conditionalFormatting>
  <x:conditionalFormatting sqref="L2:L3">
    <x:cfRule type="expression" dxfId="34" priority="7">
      <x:formula>NOT(AND(OR($D2="retain",$D2=""),$E2="protocol_report"))</x:formula>
    </x:cfRule>
  </x:conditionalFormatting>
  <x:dataValidations count="10">
    <x:dataValidation type="list" sqref="D2:D3">
      <x:formula1>"retain,exclude,discuss"</x:formula1>
    </x:dataValidation>
    <x:dataValidation type="list" sqref="E2:E3">
      <x:formula1>"statistical_results,report_internal_inconsistency,plan_material,protocol_report"</x:formula1>
    </x:dataValidation>
    <x:dataValidation type="list" sqref="F2:F3">
      <x:formula1>"no,primary_done,checker_done"</x:formula1>
    </x:dataValidation>
    <x:dataValidation type="list" sqref="H2:H3">
      <x:formula1>"confirmed_issue,probable_issue,not_issue,indeterminate,not_applicable"</x:formula1>
    </x:dataValidation>
    <x:dataValidation type="list" sqref="I2:I3">
      <x:formula1>"substantive,minor_presentation,indeterminate,not_applicable"</x:formula1>
    </x:dataValidation>
    <x:dataValidation type="list" sqref="J2:J3">
      <x:formula1>"direct,possible,unlikely,unknown,not_applicable"</x:formula1>
    </x:dataValidation>
    <x:dataValidation type="list" sqref="K2:K3">
      <x:formula1>"substantive_inconsistency,minor_presentation,non_inconsistency,indeterminate,not_applicable"</x:formula1>
    </x:dataValidation>
    <x:dataValidation type="list" sqref="L2:L3">
      <x:formula1>"substantive_difference,minor_presentation,version_timing,non_inconsistency,indeterminate,not_applicable"</x:formula1>
    </x:dataValidation>
    <x:dataValidation type="list" sqref="N2:N3">
      <x:formula1>"agree,agree_clarification,disagree,unable"</x:formula1>
    </x:dataValidation>
    <x:dataValidation type="list" sqref="P2:P3">
      <x:formula1>"pending,resolved"</x:formula1>
    </x:dataValidation>
  </x:dataValidations>
  <x:pageMargins left="0.7" right="0.7" top="0.75" bottom="0.75" header="0.3" footer="0.3"/>
  <x:tableParts count="1">
    <x:tablePart xmlns:r="http://schemas.openxmlformats.org/officeDocument/2006/relationships" r:id="Rd224d9d18d6d4b8e"/>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2025::jama.2025.16450::C001</x:v>
      </x:c>
      <x:c r="B2" s="6" t="str">
        <x:v>eTable 4 expands RR as risk difference although the table reports relative risk</x:v>
      </x:c>
      <x:c r="C2" s="6" t="str">
        <x:v>DOC-005 results supplement — PDF p. 7 (eTable 4 header and PDA row); results supplement — PDF p. 8 (abbreviations and binary-outcome model text).</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IDs",IF(OR(COUNTIF($A$2:$A$11,A2)&lt;&gt;1,COUNTIF(Decisions!$C$2:$C$132,A2)&lt;&gt;1),"CHECK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2025::jama.2025.16450::C002</x:v>
      </x:c>
      <x:c r="B3" s="3" t="str">
        <x:v>Registered eligibility-bound discrepancy is not reproduced on direct-source recheck</x:v>
      </x:c>
      <x:c r="C3" s="3" t="str">
        <x:v>DOC-002 protocol — PDF p. 4; DOC-003 manual — PDF p. 7; DOC-004 SAP — PDF p. 8 and SAP — PDF p. 15; DOC-001 main article — PDF p. 2.</x:v>
      </x:c>
      <x:c r="D3" s="7" t="str"/>
      <x:c r="E3" s="7" t="str">
        <x:v>protocol_report</x:v>
      </x:c>
      <x:c r="F3" s="7" t="str">
        <x:v>no</x:v>
      </x:c>
      <x:c r="G3" s="3" t="str">
        <x:f>IFERROR(IF(NOT(OR(Setup!$B$6="primary",Setup!$B$6="checker")),"CHECK STAGE",IF(OR(LEN(TRIM(Setup!$B$2))=0,Setup!$B$2&lt;&gt;TRIM(Setup!$B$2),AND(Setup!$B$6="checker",OR(LEN(TRIM(Setup!$B$4))=0,Setup!$B$4&lt;&gt;TRIM(Setup!$B$4),LOWER(TRIM(Setup!$B$4))=LOWER(TRIM(Setup!$B$2))))),"CHECK REVIEWER IDs",IF(OR(COUNTIF($A$2:$A$11,A3)&lt;&gt;1,COUNTIF(Decisions!$C$2:$C$132,A3)&lt;&gt;1),"CHECK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2025::jama.2025.16450::C003</x:v>
      </x:c>
      <x:c r="B4" s="6" t="str">
        <x:v>Registered first-dose discrepancy is not reproduced on direct-source recheck</x:v>
      </x:c>
      <x:c r="C4" s="6" t="str">
        <x:v>DOC-002 protocol — PDF p. 4; DOC-003 manual — PDF p. 7 and manual — PDF p. 12; DOC-004 SAP — PDF p. 8; DOC-001 main article — PDF p. 2; DOC-005 results supplement — PDF p. 4.</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IDs",IF(OR(COUNTIF($A$2:$A$11,A4)&lt;&gt;1,COUNTIF(Decisions!$C$2:$C$132,A4)&lt;&gt;1),"CHECK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2025::jama.2025.16450::C004</x:v>
      </x:c>
      <x:c r="B5" s="3" t="str">
        <x:v>Severe-NDI GMFCS cutoff differs between the manual and SAP</x:v>
      </x:c>
      <x:c r="C5" s="3" t="str">
        <x:v>DOC-003 manual — PDF p. 14 and manual — PDF p. 16; DOC-004 SAP — PDF p. 10 and SAP — PDF p. 33.</x:v>
      </x:c>
      <x:c r="D5" s="7" t="str"/>
      <x:c r="E5" s="7" t="str">
        <x:v>plan_material</x:v>
      </x:c>
      <x:c r="F5" s="7" t="str">
        <x:v>no</x:v>
      </x:c>
      <x:c r="G5" s="3" t="str">
        <x:f>IFERROR(IF(NOT(OR(Setup!$B$6="primary",Setup!$B$6="checker")),"CHECK STAGE",IF(OR(LEN(TRIM(Setup!$B$2))=0,Setup!$B$2&lt;&gt;TRIM(Setup!$B$2),AND(Setup!$B$6="checker",OR(LEN(TRIM(Setup!$B$4))=0,Setup!$B$4&lt;&gt;TRIM(Setup!$B$4),LOWER(TRIM(Setup!$B$4))=LOWER(TRIM(Setup!$B$2))))),"CHECK REVIEWER IDs",IF(OR(COUNTIF($A$2:$A$11,A5)&lt;&gt;1,COUNTIF(Decisions!$C$2:$C$132,A5)&lt;&gt;1),"CHECK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2025::jama.2025.16450::C005</x:v>
      </x:c>
      <x:c r="B6" s="6" t="str">
        <x:v>Registered severe-NDI instrument-edition discrepancy is not reproduced on direct-source recheck</x:v>
      </x:c>
      <x:c r="C6" s="6" t="str">
        <x:v>DOC-003 manual — PDF p. 14 and manual — PDF p. 16; DOC-004 SAP — PDF p. 10, SAP — PDF p. 33, and SAP — PDF p. 34.</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IDs",IF(OR(COUNTIF($A$2:$A$11,A6)&lt;&gt;1,COUNTIF(Decisions!$C$2:$C$132,A6)&lt;&gt;1),"CHECK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2025::jama.2025.16450::C006</x:v>
      </x:c>
      <x:c r="B7" s="3" t="str">
        <x:v>Registered first-interim-alpha discrepancy is not reproduced on direct-source recheck</x:v>
      </x:c>
      <x:c r="C7" s="3" t="str">
        <x:v>DOC-002 protocol — PDF p. 29; DOC-004 SAP — PDF p. 26.</x:v>
      </x:c>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IDs",IF(OR(COUNTIF($A$2:$A$11,A7)&lt;&gt;1,COUNTIF(Decisions!$C$2:$C$132,A7)&lt;&gt;1),"CHECK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2025::jama.2025.16450::C007</x:v>
      </x:c>
      <x:c r="B8" s="6" t="str">
        <x:v>Final primary-analysis alpha differs between the article and prospective documents</x:v>
      </x:c>
      <x:c r="C8" s="6" t="str">
        <x:v>DOC-001 main article — PDF p. 3 and main article — PDF p. 7; DOC-002 protocol — PDF p. 29; DOC-004 SAP — PDF p. 26.</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IDs",IF(OR(COUNTIF($A$2:$A$11,A8)&lt;&gt;1,COUNTIF(Decisions!$C$2:$C$132,A8)&lt;&gt;1),"CHECK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2025::jama.2025.16450::C008</x:v>
      </x:c>
      <x:c r="B9" s="3" t="str">
        <x:v>Trial center count differs between final and prospective documents</x:v>
      </x:c>
      <x:c r="C9" s="3" t="str">
        <x:v>DOC-001 main article — PDF p. 1; DOC-002 protocol — PDF p. 29; DOC-004 SAP — PDF p. 8.</x:v>
      </x:c>
      <x:c r="D9" s="7" t="str"/>
      <x:c r="E9" s="7" t="str">
        <x:v>protocol_report</x:v>
      </x:c>
      <x:c r="F9" s="7" t="str">
        <x:v>no</x:v>
      </x:c>
      <x:c r="G9" s="3" t="str">
        <x:f>IFERROR(IF(NOT(OR(Setup!$B$6="primary",Setup!$B$6="checker")),"CHECK STAGE",IF(OR(LEN(TRIM(Setup!$B$2))=0,Setup!$B$2&lt;&gt;TRIM(Setup!$B$2),AND(Setup!$B$6="checker",OR(LEN(TRIM(Setup!$B$4))=0,Setup!$B$4&lt;&gt;TRIM(Setup!$B$4),LOWER(TRIM(Setup!$B$4))=LOWER(TRIM(Setup!$B$2))))),"CHECK REVIEWER IDs",IF(OR(COUNTIF($A$2:$A$11,A9)&lt;&gt;1,COUNTIF(Decisions!$C$2:$C$132,A9)&lt;&gt;1),"CHECK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IF(Setup!$B$6="primary","",IFERROR(IF(INDEX('Primary_snapshot'!$L$2:$L$132,MATCH(A9,'Primary_snapshot'!$A$2:$A$132,0))="","",INDEX('Primary_snapshot'!$L$2:$L$132,MATCH(A9,'Primary_snapshot'!$A$2:$A$132,0))),"SNAPSHOT MISSING"))</x:f>
      </x:c>
      <x:c r="N9" s="7" t="str"/>
      <x:c r="O9" s="7" t="str"/>
      <x:c r="P9" s="7" t="str"/>
      <x:c r="Q9" s="7" t="str"/>
      <x:c r="R9" s="13" t="str"/>
    </x:row>
    <x:row r="10" ht="92" customHeight="1">
      <x:c r="A10" s="6" t="str">
        <x:v>2025::jama.2025.16450::C009</x:v>
      </x:c>
      <x:c r="B10" s="6" t="str">
        <x:v>Table 3 RR label conflicts with a stated common-OR approximation</x:v>
      </x:c>
      <x:c r="C10" s="6" t="str">
        <x:v>DOC-001 main article — PDF p. 8 (Table 3 additional open-label surfactant row and footnote g).</x:v>
      </x:c>
      <x:c r="D10" s="7" t="str"/>
      <x:c r="E10" s="7" t="str">
        <x:v>report_internal_inconsistency</x:v>
      </x:c>
      <x:c r="F10" s="7" t="str">
        <x:v>no</x:v>
      </x:c>
      <x:c r="G10" s="6" t="str">
        <x:f>IFERROR(IF(NOT(OR(Setup!$B$6="primary",Setup!$B$6="checker")),"CHECK STAGE",IF(OR(LEN(TRIM(Setup!$B$2))=0,Setup!$B$2&lt;&gt;TRIM(Setup!$B$2),AND(Setup!$B$6="checker",OR(LEN(TRIM(Setup!$B$4))=0,Setup!$B$4&lt;&gt;TRIM(Setup!$B$4),LOWER(TRIM(Setup!$B$4))=LOWER(TRIM(Setup!$B$2))))),"CHECK REVIEWER IDs",IF(OR(COUNTIF($A$2:$A$11,A10)&lt;&gt;1,COUNTIF(Decisions!$C$2:$C$132,A10)&lt;&gt;1),"CHECK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$132,A10)&lt;&gt;1,INDEX('Primary_snapshot'!$J$2:$J$132,MATCH(A10,'Primary_snapshot'!$A$2:$A$132,0))&lt;&gt;"primary_done",INDEX('Primary_snapshot'!$K$2:$K$132,MATCH(A10,'Primary_snapshot'!$A$2:$A$132,0))&lt;&gt;Setup!$B$2,INDEX('Primary_snapshot'!$B$2:$B$132,MATCH(A10,'Primary_snapshot'!$A$2:$A$132,0))="NOT FROZEN",INDEX('Primary_snapshot'!$C$2:$C$132,MATCH(A10,'Primary_snapshot'!$A$2:$A$132,0))="NOT FROZEN",INDEX('Primary_snapshot'!$D$2:$D$132,MATCH(A10,'Primary_snapshot'!$A$2:$A$132,0))="NOT FROZEN",INDEX('Primary_snapshot'!$E$2:$E$132,MATCH(A10,'Primary_snapshot'!$A$2:$A$132,0))="NOT FROZEN",INDEX('Primary_snapshot'!$F$2:$F$132,MATCH(A10,'Primary_snapshot'!$A$2:$A$132,0))="NOT FROZEN",INDEX('Primary_snapshot'!$G$2:$G$132,MATCH(A10,'Primary_snapshot'!$A$2:$A$132,0))="NOT FROZEN",INDEX('Primary_snapshot'!$H$2:$H$132,MATCH(A10,'Primary_snapshot'!$A$2:$A$132,0))="NOT FROZEN",INDEX('Primary_snapshot'!$I$2:$I$132,MATCH(A10,'Primary_snapshot'!$A$2:$A$132,0))="NOT FROZEN",INDEX('Primary_snapshot'!$J$2:$J$132,MATCH(A10,'Primary_snapshot'!$A$2:$A$132,0))="NOT FROZEN",INDEX('Primary_snapshot'!$K$2:$K$132,MATCH(A10,'Primary_snapshot'!$A$2:$A$132,0))="NOT FROZEN",INDEX('Primary_snapshot'!$L$2:$L$132,MATCH(A10,'Primary_snapshot'!$A$2:$A$132,0))="NOT FROZEN"),"FREEZE SNAPSHOT",IF(NOT(OR(N10="agree",N10="agree_clarification",N10="disagree",N10="unable")),"CHECKER RESULT NEEDED",IF(AND(N10&lt;&gt;"agree",LEN(TRIM(O10))=0),"COMMENT NEEDED",IF(AND(N10="agree",NOT(AND(IF(D10="","",D10)=IF(INDEX('Primary_snapshot'!$B$2:$B$132,MATCH(A10,'Primary_snapshot'!$A$2:$A$132,0))="","",INDEX('Primary_snapshot'!$B$2:$B$132,MATCH(A10,'Primary_snapshot'!$A$2:$A$132,0))),IF(E10="","",E10)=IF(INDEX('Primary_snapshot'!$C$2:$C$132,MATCH(A10,'Primary_snapshot'!$A$2:$A$132,0))="","",INDEX('Primary_snapshot'!$C$2:$C$132,MATCH(A10,'Primary_snapshot'!$A$2:$A$132,0))),IF(AND(D10="retain",E10="statistical_results"),IF(H10="","",H10),"not_applicable")=IF(INDEX('Primary_snapshot'!$D$2:$D$132,MATCH(A10,'Primary_snapshot'!$A$2:$A$132,0))="","",INDEX('Primary_snapshot'!$D$2:$D$132,MATCH(A10,'Primary_snapshot'!$A$2:$A$132,0))),IF(AND(D10="retain",E10="statistical_results"),IF(I10="","",I10),"not_applicable")=IF(INDEX('Primary_snapshot'!$E$2:$E$132,MATCH(A10,'Primary_snapshot'!$A$2:$A$132,0))="","",INDEX('Primary_snapshot'!$E$2:$E$132,MATCH(A10,'Primary_snapshot'!$A$2:$A$132,0))),IF(AND(D10="retain",E10="statistical_results"),IF(J10="","",J10),"not_applicable")=IF(INDEX('Primary_snapshot'!$F$2:$F$132,MATCH(A10,'Primary_snapshot'!$A$2:$A$132,0))="","",INDEX('Primary_snapshot'!$F$2:$F$132,MATCH(A10,'Primary_snapshot'!$A$2:$A$132,0))),IF(AND(D10="retain",OR(E10="report_internal_inconsistency",E10="plan_material")),IF(K10="","",K10),"not_applicable")=IF(INDEX('Primary_snapshot'!$G$2:$G$132,MATCH(A10,'Primary_snapshot'!$A$2:$A$132,0))="","",INDEX('Primary_snapshot'!$G$2:$G$132,MATCH(A10,'Primary_snapshot'!$A$2:$A$132,0))),IF(AND(D10="retain",E10="protocol_report"),IF(L10="","",L10),"not_applicable")=IF(INDEX('Primary_snapshot'!$H$2:$H$132,MATCH(A10,'Primary_snapshot'!$A$2:$A$132,0))="","",INDEX('Primary_snapshot'!$H$2:$H$132,MATCH(A10,'Primary_snapshot'!$A$2:$A$132,0))),IF(R10="","",R10)=IF(INDEX('Primary_snapshot'!$I$2:$I$132,MATCH(A10,'Primary_snapshot'!$A$2:$A$132,0))="","",INDEX('Primary_snapshot'!$I$2:$I$132,MATCH(A10,'Primary_snapshot'!$A$2:$A$132,0)))))),"AGREE BUT CHANGED",IF(AND(P10&lt;&gt;"",NOT(OR(P10="pending",P10="resolved"))),"CHECK RESOLUTION",IF(OR(AND(OR(D10="discuss",INDEX('Primary_snapshot'!$B$2:$B$132,MATCH(A10,'Primary_snapshot'!$A$2:$A$132,0))="discuss",N10="disagree",N10="unable"),P10&lt;&gt;"resolved"),D10="discuss"),"DISCUSS",IF(AND(P10="resolved",LEN(TRIM(Q10))=0),"RESOLUTION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IF(Setup!$B$6="primary","",IFERROR(IF(INDEX('Primary_snapshot'!$L$2:$L$132,MATCH(A10,'Primary_snapshot'!$A$2:$A$132,0))="","",INDEX('Primary_snapshot'!$L$2:$L$132,MATCH(A10,'Primary_snapshot'!$A$2:$A$132,0))),"SNAPSHOT MISSING"))</x:f>
      </x:c>
      <x:c r="N10" s="7" t="str"/>
      <x:c r="O10" s="7" t="str"/>
      <x:c r="P10" s="7" t="str"/>
      <x:c r="Q10" s="7" t="str"/>
      <x:c r="R10" s="13" t="str"/>
    </x:row>
    <x:row r="11" ht="92" customHeight="1">
      <x:c r="A11" s="3" t="str">
        <x:v>2025::jama.2025.16450::C010</x:v>
      </x:c>
      <x:c r="B11" s="3" t="str">
        <x:v>eTable 3 relative-risk header conflicts with odds-ratio approximation footnote</x:v>
      </x:c>
      <x:c r="C11" s="3" t="str">
        <x:v>DOC-005 results supplement — PDF p. 5 and results supplement — PDF p. 6 (eTable 3 header and footnote b).</x:v>
      </x:c>
      <x:c r="D11" s="7" t="str"/>
      <x:c r="E11" s="7" t="str">
        <x:v>report_internal_inconsistency</x:v>
      </x:c>
      <x:c r="F11" s="7" t="str">
        <x:v>no</x:v>
      </x:c>
      <x:c r="G11" s="3" t="str">
        <x:f>IFERROR(IF(NOT(OR(Setup!$B$6="primary",Setup!$B$6="checker")),"CHECK STAGE",IF(OR(LEN(TRIM(Setup!$B$2))=0,Setup!$B$2&lt;&gt;TRIM(Setup!$B$2),AND(Setup!$B$6="checker",OR(LEN(TRIM(Setup!$B$4))=0,Setup!$B$4&lt;&gt;TRIM(Setup!$B$4),LOWER(TRIM(Setup!$B$4))=LOWER(TRIM(Setup!$B$2))))),"CHECK REVIEWER IDs",IF(OR(COUNTIF($A$2:$A$11,A11)&lt;&gt;1,COUNTIF(Decisions!$C$2:$C$132,A11)&lt;&gt;1),"CHECK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$132,A11)&lt;&gt;1,INDEX('Primary_snapshot'!$J$2:$J$132,MATCH(A11,'Primary_snapshot'!$A$2:$A$132,0))&lt;&gt;"primary_done",INDEX('Primary_snapshot'!$K$2:$K$132,MATCH(A11,'Primary_snapshot'!$A$2:$A$132,0))&lt;&gt;Setup!$B$2,INDEX('Primary_snapshot'!$B$2:$B$132,MATCH(A11,'Primary_snapshot'!$A$2:$A$132,0))="NOT FROZEN",INDEX('Primary_snapshot'!$C$2:$C$132,MATCH(A11,'Primary_snapshot'!$A$2:$A$132,0))="NOT FROZEN",INDEX('Primary_snapshot'!$D$2:$D$132,MATCH(A11,'Primary_snapshot'!$A$2:$A$132,0))="NOT FROZEN",INDEX('Primary_snapshot'!$E$2:$E$132,MATCH(A11,'Primary_snapshot'!$A$2:$A$132,0))="NOT FROZEN",INDEX('Primary_snapshot'!$F$2:$F$132,MATCH(A11,'Primary_snapshot'!$A$2:$A$132,0))="NOT FROZEN",INDEX('Primary_snapshot'!$G$2:$G$132,MATCH(A11,'Primary_snapshot'!$A$2:$A$132,0))="NOT FROZEN",INDEX('Primary_snapshot'!$H$2:$H$132,MATCH(A11,'Primary_snapshot'!$A$2:$A$132,0))="NOT FROZEN",INDEX('Primary_snapshot'!$I$2:$I$132,MATCH(A11,'Primary_snapshot'!$A$2:$A$132,0))="NOT FROZEN",INDEX('Primary_snapshot'!$J$2:$J$132,MATCH(A11,'Primary_snapshot'!$A$2:$A$132,0))="NOT FROZEN",INDEX('Primary_snapshot'!$K$2:$K$132,MATCH(A11,'Primary_snapshot'!$A$2:$A$132,0))="NOT FROZEN",INDEX('Primary_snapshot'!$L$2:$L$132,MATCH(A11,'Primary_snapshot'!$A$2:$A$132,0))="NOT FROZEN"),"FREEZE SNAPSHOT",IF(NOT(OR(N11="agree",N11="agree_clarification",N11="disagree",N11="unable")),"CHECKER RESULT NEEDED",IF(AND(N11&lt;&gt;"agree",LEN(TRIM(O11))=0),"COMMENT NEEDED",IF(AND(N11="agree",NOT(AND(IF(D11="","",D11)=IF(INDEX('Primary_snapshot'!$B$2:$B$132,MATCH(A11,'Primary_snapshot'!$A$2:$A$132,0))="","",INDEX('Primary_snapshot'!$B$2:$B$132,MATCH(A11,'Primary_snapshot'!$A$2:$A$132,0))),IF(E11="","",E11)=IF(INDEX('Primary_snapshot'!$C$2:$C$132,MATCH(A11,'Primary_snapshot'!$A$2:$A$132,0))="","",INDEX('Primary_snapshot'!$C$2:$C$132,MATCH(A11,'Primary_snapshot'!$A$2:$A$132,0))),IF(AND(D11="retain",E11="statistical_results"),IF(H11="","",H11),"not_applicable")=IF(INDEX('Primary_snapshot'!$D$2:$D$132,MATCH(A11,'Primary_snapshot'!$A$2:$A$132,0))="","",INDEX('Primary_snapshot'!$D$2:$D$132,MATCH(A11,'Primary_snapshot'!$A$2:$A$132,0))),IF(AND(D11="retain",E11="statistical_results"),IF(I11="","",I11),"not_applicable")=IF(INDEX('Primary_snapshot'!$E$2:$E$132,MATCH(A11,'Primary_snapshot'!$A$2:$A$132,0))="","",INDEX('Primary_snapshot'!$E$2:$E$132,MATCH(A11,'Primary_snapshot'!$A$2:$A$132,0))),IF(AND(D11="retain",E11="statistical_results"),IF(J11="","",J11),"not_applicable")=IF(INDEX('Primary_snapshot'!$F$2:$F$132,MATCH(A11,'Primary_snapshot'!$A$2:$A$132,0))="","",INDEX('Primary_snapshot'!$F$2:$F$132,MATCH(A11,'Primary_snapshot'!$A$2:$A$132,0))),IF(AND(D11="retain",OR(E11="report_internal_inconsistency",E11="plan_material")),IF(K11="","",K11),"not_applicable")=IF(INDEX('Primary_snapshot'!$G$2:$G$132,MATCH(A11,'Primary_snapshot'!$A$2:$A$132,0))="","",INDEX('Primary_snapshot'!$G$2:$G$132,MATCH(A11,'Primary_snapshot'!$A$2:$A$132,0))),IF(AND(D11="retain",E11="protocol_report"),IF(L11="","",L11),"not_applicable")=IF(INDEX('Primary_snapshot'!$H$2:$H$132,MATCH(A11,'Primary_snapshot'!$A$2:$A$132,0))="","",INDEX('Primary_snapshot'!$H$2:$H$132,MATCH(A11,'Primary_snapshot'!$A$2:$A$132,0))),IF(R11="","",R11)=IF(INDEX('Primary_snapshot'!$I$2:$I$132,MATCH(A11,'Primary_snapshot'!$A$2:$A$132,0))="","",INDEX('Primary_snapshot'!$I$2:$I$132,MATCH(A11,'Primary_snapshot'!$A$2:$A$132,0)))))),"AGREE BUT CHANGED",IF(AND(P11&lt;&gt;"",NOT(OR(P11="pending",P11="resolved"))),"CHECK RESOLUTION",IF(OR(AND(OR(D11="discuss",INDEX('Primary_snapshot'!$B$2:$B$132,MATCH(A11,'Primary_snapshot'!$A$2:$A$132,0))="discuss",N11="disagree",N11="unable"),P11&lt;&gt;"resolved"),D11="discuss"),"DISCUSS",IF(AND(P11="resolved",LEN(TRIM(Q11))=0),"RESOLUTION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IF(Setup!$B$6="primary","",IFERROR(IF(INDEX('Primary_snapshot'!$L$2:$L$132,MATCH(A11,'Primary_snapshot'!$A$2:$A$132,0))="","",INDEX('Primary_snapshot'!$L$2:$L$132,MATCH(A11,'Primary_snapshot'!$A$2:$A$132,0))),"SNAPSHOT MISSING"))</x:f>
      </x:c>
      <x:c r="N11" s="7" t="str"/>
      <x:c r="O11" s="7" t="str"/>
      <x:c r="P11" s="7" t="str"/>
      <x:c r="Q11" s="7" t="str"/>
      <x:c r="R11" s="13" t="str"/>
    </x:row>
  </x:sheetData>
  <x:conditionalFormatting sqref="G2:G11">
    <x:cfRule type="expression" dxfId="35" priority="1">
      <x:formula>AND(G2&lt;&gt;"PRIMARY READY",G2&lt;&gt;"FINAL READY")</x:formula>
    </x:cfRule>
  </x:conditionalFormatting>
  <x:conditionalFormatting sqref="N2:Q11">
    <x:cfRule type="expression" dxfId="36" priority="2">
      <x:formula>Setup!$B$6="primary"</x:formula>
    </x:cfRule>
  </x:conditionalFormatting>
  <x:conditionalFormatting sqref="H2:H11">
    <x:cfRule type="expression" dxfId="37" priority="3">
      <x:formula>NOT(AND(OR($D2="retain",$D2=""),$E2="statistical_results"))</x:formula>
    </x:cfRule>
  </x:conditionalFormatting>
  <x:conditionalFormatting sqref="I2:I11">
    <x:cfRule type="expression" dxfId="38" priority="4">
      <x:formula>NOT(AND(OR($D2="retain",$D2=""),$E2="statistical_results"))</x:formula>
    </x:cfRule>
  </x:conditionalFormatting>
  <x:conditionalFormatting sqref="J2:J11">
    <x:cfRule type="expression" dxfId="39" priority="5">
      <x:formula>NOT(AND(OR($D2="retain",$D2=""),$E2="statistical_results"))</x:formula>
    </x:cfRule>
  </x:conditionalFormatting>
  <x:conditionalFormatting sqref="K2:K11">
    <x:cfRule type="expression" dxfId="40" priority="6">
      <x:formula>NOT(AND(OR($D2="retain",$D2=""),OR($E2="report_internal_inconsistency",$E2="plan_material")))</x:formula>
    </x:cfRule>
  </x:conditionalFormatting>
  <x:conditionalFormatting sqref="L2:L11">
    <x:cfRule type="expression" dxfId="41" priority="7">
      <x:formula>NOT(AND(OR($D2="retain",$D2=""),$E2="protocol_report"))</x:formula>
    </x:cfRule>
  </x:conditionalFormatting>
  <x:dataValidations count="10">
    <x:dataValidation type="list" sqref="D2:D11">
      <x:formula1>"retain,exclude,discuss"</x:formula1>
    </x:dataValidation>
    <x:dataValidation type="list" sqref="E2:E11">
      <x:formula1>"statistical_results,report_internal_inconsistency,plan_material,protocol_report"</x:formula1>
    </x:dataValidation>
    <x:dataValidation type="list" sqref="F2:F11">
      <x:formula1>"no,primary_done,checker_done"</x:formula1>
    </x:dataValidation>
    <x:dataValidation type="list" sqref="H2:H11">
      <x:formula1>"confirmed_issue,probable_issue,not_issue,indeterminate,not_applicable"</x:formula1>
    </x:dataValidation>
    <x:dataValidation type="list" sqref="I2:I11">
      <x:formula1>"substantive,minor_presentation,indeterminate,not_applicable"</x:formula1>
    </x:dataValidation>
    <x:dataValidation type="list" sqref="J2:J11">
      <x:formula1>"direct,possible,unlikely,unknown,not_applicable"</x:formula1>
    </x:dataValidation>
    <x:dataValidation type="list" sqref="K2:K11">
      <x:formula1>"substantive_inconsistency,minor_presentation,non_inconsistency,indeterminate,not_applicable"</x:formula1>
    </x:dataValidation>
    <x:dataValidation type="list" sqref="L2:L11">
      <x:formula1>"substantive_difference,minor_presentation,version_timing,non_inconsistency,indeterminate,not_applicable"</x:formula1>
    </x:dataValidation>
    <x:dataValidation type="list" sqref="N2:N11">
      <x:formula1>"agree,agree_clarification,disagree,unable"</x:formula1>
    </x:dataValidation>
    <x:dataValidation type="list" sqref="P2:P11">
      <x:formula1>"pending,resolved"</x:formula1>
    </x:dataValidation>
  </x:dataValidations>
  <x:pageMargins left="0.7" right="0.7" top="0.75" bottom="0.75" header="0.3" footer="0.3"/>
  <x:tableParts count="1">
    <x:tablePart xmlns:r="http://schemas.openxmlformats.org/officeDocument/2006/relationships" r:id="Re8c82cc3c45e4d5b"/>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2025::jama.2025.19563::C001</x:v>
      </x:c>
      <x:c r="B2" s="6" t="str">
        <x:v>Protocol and reported primary endpoint differ on the diabetes-range A1C failure condition</x:v>
      </x:c>
      <x:c r="C2" s="6" t="str">
        <x:v>DOC-002 protocol — PDF p. 15; DOC-001 main article — PDF p. 4; DOC-003 supplement — PDF p. 30 (explicit global-failure clause); DOC-003 supplement — PDF p. 56 (15-participant table).</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IDs",IF(OR(COUNTIF($A$2:$A$8,A2)&lt;&gt;1,COUNTIF(Decisions!$C$2:$C$132,A2)&lt;&gt;1),"CHECK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2025::jama.2025.19563::C002</x:v>
      </x:c>
      <x:c r="B3" s="3" t="str">
        <x:v>312 listed 12-month A1C measurements versus 313 participants with A1C available</x:v>
      </x:c>
      <x:c r="C3" s="3" t="str">
        <x:v>DOC-003 supplement — PDF p. 8; DOC-001 main article — PDF p. 4; DOC-001 main article — PDF p. 5; DOC-003 supplement — PDF p. 50.</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IDs",IF(OR(COUNTIF($A$2:$A$8,A3)&lt;&gt;1,COUNTIF(Decisions!$C$2:$C$132,A3)&lt;&gt;1),"CHECK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2025::jama.2025.19563::C003</x:v>
      </x:c>
      <x:c r="B4" s="6" t="str">
        <x:v>Figure 3 labels BMI values in kg/m² as “weight”</x:v>
      </x:c>
      <x:c r="C4" s="6" t="str">
        <x:v>DOC-001 main article — PDF p. 8; DOC-001 main article — PDF p. 6; DOC-003 supplement — PDF p. 53.</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IDs",IF(OR(COUNTIF($A$2:$A$8,A4)&lt;&gt;1,COUNTIF(Decisions!$C$2:$C$132,A4)&lt;&gt;1),"CHECK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2025::jama.2025.19563::C004</x:v>
      </x:c>
      <x:c r="B5" s="3" t="str">
        <x:v>eTables 5-7 leave the comparator scope of a repeated age P value ambiguous</x:v>
      </x:c>
      <x:c r="C5" s="3" t="str">
        <x:v>DOC-003 supplement — PDF p. 39; DOC-003 supplement — PDF p. 43; DOC-003 supplement — PDF p. 45; DOC-003 supplement — PDF p. 47; DOC-001 main article — PDF p. 6.</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IDs",IF(OR(COUNTIF($A$2:$A$8,A5)&lt;&gt;1,COUNTIF(Decisions!$C$2:$C$132,A5)&lt;&gt;1),"CHECK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2025::jama.2025.19563::C005</x:v>
      </x:c>
      <x:c r="B6" s="6" t="str">
        <x:v>eTable 7 pairs “no statistically significant” with p&lt;0.05</x:v>
      </x:c>
      <x:c r="C6" s="6" t="str">
        <x:v>DOC-003 supplement — PDF p. 46; DOC-003 supplement — PDF p. 47.</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IDs",IF(OR(COUNTIF($A$2:$A$8,A6)&lt;&gt;1,COUNTIF(Decisions!$C$2:$C$132,A6)&lt;&gt;1),"CHECK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2025::jama.2025.19563::C006</x:v>
      </x:c>
      <x:c r="B7" s="3" t="str">
        <x:v>eTable 10b labels one comparison as both chi-squared and Wilcoxon rank-sum</x:v>
      </x:c>
      <x:c r="C7" s="3" t="str">
        <x:v>DOC-003 supplement — PDF p. 29; DOC-003 supplement — PDF p. 52.</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IDs",IF(OR(COUNTIF($A$2:$A$8,A7)&lt;&gt;1,COUNTIF(Decisions!$C$2:$C$132,A7)&lt;&gt;1),"CHECK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2025::jama.2025.19563::C007</x:v>
      </x:c>
      <x:c r="B8" s="6" t="str">
        <x:v>MICE pooled percentages and printed risk difference have incompatible signs</x:v>
      </x:c>
      <x:c r="C8" s="6" t="str">
        <x:v>DOC-003 supplement — PDF p. 30; DOC-003 supplement — PDF p. 59.</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IDs",IF(OR(COUNTIF($A$2:$A$8,A8)&lt;&gt;1,COUNTIF(Decisions!$C$2:$C$132,A8)&lt;&gt;1),"CHECK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sheetData>
  <x:conditionalFormatting sqref="G2:G8">
    <x:cfRule type="expression" dxfId="42" priority="1">
      <x:formula>AND(G2&lt;&gt;"PRIMARY READY",G2&lt;&gt;"FINAL READY")</x:formula>
    </x:cfRule>
  </x:conditionalFormatting>
  <x:conditionalFormatting sqref="N2:Q8">
    <x:cfRule type="expression" dxfId="43" priority="2">
      <x:formula>Setup!$B$6="primary"</x:formula>
    </x:cfRule>
  </x:conditionalFormatting>
  <x:conditionalFormatting sqref="H2:H8">
    <x:cfRule type="expression" dxfId="44" priority="3">
      <x:formula>NOT(AND(OR($D2="retain",$D2=""),$E2="statistical_results"))</x:formula>
    </x:cfRule>
  </x:conditionalFormatting>
  <x:conditionalFormatting sqref="I2:I8">
    <x:cfRule type="expression" dxfId="45" priority="4">
      <x:formula>NOT(AND(OR($D2="retain",$D2=""),$E2="statistical_results"))</x:formula>
    </x:cfRule>
  </x:conditionalFormatting>
  <x:conditionalFormatting sqref="J2:J8">
    <x:cfRule type="expression" dxfId="46" priority="5">
      <x:formula>NOT(AND(OR($D2="retain",$D2=""),$E2="statistical_results"))</x:formula>
    </x:cfRule>
  </x:conditionalFormatting>
  <x:conditionalFormatting sqref="K2:K8">
    <x:cfRule type="expression" dxfId="47" priority="6">
      <x:formula>NOT(AND(OR($D2="retain",$D2=""),OR($E2="report_internal_inconsistency",$E2="plan_material")))</x:formula>
    </x:cfRule>
  </x:conditionalFormatting>
  <x:conditionalFormatting sqref="L2:L8">
    <x:cfRule type="expression" dxfId="48"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f96d79ffbcf241a5"/>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2025::jama.2025.19843::C001</x:v>
      </x:c>
      <x:c r="B2" s="6" t="str">
        <x:v>Conflicting printed P values for matched day-60 mortality result</x:v>
      </x:c>
      <x:c r="C2" s="6" t="str">
        <x:v>DOC-001 — PDF p. 1 (abstract); DOC-001 — PDF p. 3 (statistical methods); DOC-001 — PDF p. 4 (Results and eFigure 2 cross-reference); DOC-003 — PDF p. 7 (planned mortality analysis); and DOC-004 — PDF p. 11 (Supplement 3 eFigure 2).</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IDs",IF(OR(COUNTIF($A$2:$A$2,A2)&lt;&gt;1,COUNTIF(Decisions!$C$2:$C$132,A2)&lt;&gt;1),"CHECK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sheetData>
  <x:conditionalFormatting sqref="G2:G2">
    <x:cfRule type="expression" dxfId="49" priority="1">
      <x:formula>AND(G2&lt;&gt;"PRIMARY READY",G2&lt;&gt;"FINAL READY")</x:formula>
    </x:cfRule>
  </x:conditionalFormatting>
  <x:conditionalFormatting sqref="N2:Q2">
    <x:cfRule type="expression" dxfId="50" priority="2">
      <x:formula>Setup!$B$6="primary"</x:formula>
    </x:cfRule>
  </x:conditionalFormatting>
  <x:conditionalFormatting sqref="H2:H2">
    <x:cfRule type="expression" dxfId="51" priority="3">
      <x:formula>NOT(AND(OR($D2="retain",$D2=""),$E2="statistical_results"))</x:formula>
    </x:cfRule>
  </x:conditionalFormatting>
  <x:conditionalFormatting sqref="I2:I2">
    <x:cfRule type="expression" dxfId="52" priority="4">
      <x:formula>NOT(AND(OR($D2="retain",$D2=""),$E2="statistical_results"))</x:formula>
    </x:cfRule>
  </x:conditionalFormatting>
  <x:conditionalFormatting sqref="J2:J2">
    <x:cfRule type="expression" dxfId="53" priority="5">
      <x:formula>NOT(AND(OR($D2="retain",$D2=""),$E2="statistical_results"))</x:formula>
    </x:cfRule>
  </x:conditionalFormatting>
  <x:conditionalFormatting sqref="K2:K2">
    <x:cfRule type="expression" dxfId="54" priority="6">
      <x:formula>NOT(AND(OR($D2="retain",$D2=""),OR($E2="report_internal_inconsistency",$E2="plan_material")))</x:formula>
    </x:cfRule>
  </x:conditionalFormatting>
  <x:conditionalFormatting sqref="L2:L2">
    <x:cfRule type="expression" dxfId="55" priority="7">
      <x:formula>NOT(AND(OR($D2="retain",$D2=""),$E2="protocol_report"))</x:formula>
    </x:cfRule>
  </x:conditionalFormatting>
  <x:dataValidations count="10">
    <x:dataValidation type="list" sqref="D2">
      <x:formula1>"retain,exclude,discuss"</x:formula1>
    </x:dataValidation>
    <x:dataValidation type="list" sqref="E2">
      <x:formula1>"statistical_results,report_internal_inconsistency,plan_material,protocol_report"</x:formula1>
    </x:dataValidation>
    <x:dataValidation type="list" sqref="F2">
      <x:formula1>"no,primary_done,checker_done"</x:formula1>
    </x:dataValidation>
    <x:dataValidation type="list" sqref="H2">
      <x:formula1>"confirmed_issue,probable_issue,not_issue,indeterminate,not_applicable"</x:formula1>
    </x:dataValidation>
    <x:dataValidation type="list" sqref="I2">
      <x:formula1>"substantive,minor_presentation,indeterminate,not_applicable"</x:formula1>
    </x:dataValidation>
    <x:dataValidation type="list" sqref="J2">
      <x:formula1>"direct,possible,unlikely,unknown,not_applicable"</x:formula1>
    </x:dataValidation>
    <x:dataValidation type="list" sqref="K2">
      <x:formula1>"substantive_inconsistency,minor_presentation,non_inconsistency,indeterminate,not_applicable"</x:formula1>
    </x:dataValidation>
    <x:dataValidation type="list" sqref="L2">
      <x:formula1>"substantive_difference,minor_presentation,version_timing,non_inconsistency,indeterminate,not_applicable"</x:formula1>
    </x:dataValidation>
    <x:dataValidation type="list" sqref="N2">
      <x:formula1>"agree,agree_clarification,disagree,unable"</x:formula1>
    </x:dataValidation>
    <x:dataValidation type="list" sqref="P2">
      <x:formula1>"pending,resolved"</x:formula1>
    </x:dataValidation>
  </x:dataValidations>
  <x:pageMargins left="0.7" right="0.7" top="0.75" bottom="0.75" header="0.3" footer="0.3"/>
  <x:tableParts count="1">
    <x:tablePart xmlns:r="http://schemas.openxmlformats.org/officeDocument/2006/relationships" r:id="R91a82a907cfb458d"/>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2025::jama.2025.20765::C001</x:v>
      </x:c>
      <x:c r="B2" s="6" t="str">
        <x:v>Adjusted self-reported abstinence interval endpoint printed as 42</x:v>
      </x:c>
      <x:c r="C2" s="6" t="str">
        <x:v>DOC-001 main article — PDF p. 6, Table 2, continuous abstinence, self-reported only (ITT), adjusted RR.</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IDs",IF(OR(COUNTIF($A$2:$A$14,A2)&lt;&gt;1,COUNTIF(Decisions!$C$2:$C$132,A2)&lt;&gt;1),"CHECK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2025::jama.2025.20765::C002</x:v>
      </x:c>
      <x:c r="B3" s="3" t="str">
        <x:v>Discussion labels the all-cause death percentage as TB deaths</x:v>
      </x:c>
      <x:c r="C3" s="3" t="str">
        <x:v>DOC-001 main article — PDF p. 8, Discussion; PDF p. 5 and PDF p. 6, Results/Table 2; DOC-003 Supplement 2 — PDF p. 6, eTable 4.</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IDs",IF(OR(COUNTIF($A$2:$A$14,A3)&lt;&gt;1,COUNTIF(Decisions!$C$2:$C$132,A3)&lt;&gt;1),"CHECK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2025::jama.2025.20765::C003</x:v>
      </x:c>
      <x:c r="B4" s="6" t="str">
        <x:v>178-message total conflicts with its printed frequency schedule</x:v>
      </x:c>
      <x:c r="C4" s="6" t="str">
        <x:v>DOC-002 Supplement 1 — PDF p. 16.</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IDs",IF(OR(COUNTIF($A$2:$A$14,A4)&lt;&gt;1,COUNTIF(Decisions!$C$2:$C$132,A4)&lt;&gt;1),"CHECK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2025::jama.2025.20765::C004</x:v>
      </x:c>
      <x:c r="B5" s="3" t="str">
        <x:v>Repeated 2,384-participant plan names 44 and 48 facilities</x:v>
      </x:c>
      <x:c r="C5" s="3" t="str">
        <x:v>DOC-002 Supplement 1 — PDF p. 10 and PDF p. 26.</x:v>
      </x:c>
      <x:c r="D5" s="7" t="str"/>
      <x:c r="E5" s="7" t="str">
        <x:v>plan_material</x:v>
      </x:c>
      <x:c r="F5" s="7" t="str">
        <x:v>no</x:v>
      </x:c>
      <x:c r="G5" s="3" t="str">
        <x:f>IFERROR(IF(NOT(OR(Setup!$B$6="primary",Setup!$B$6="checker")),"CHECK STAGE",IF(OR(LEN(TRIM(Setup!$B$2))=0,Setup!$B$2&lt;&gt;TRIM(Setup!$B$2),AND(Setup!$B$6="checker",OR(LEN(TRIM(Setup!$B$4))=0,Setup!$B$4&lt;&gt;TRIM(Setup!$B$4),LOWER(TRIM(Setup!$B$4))=LOWER(TRIM(Setup!$B$2))))),"CHECK REVIEWER IDs",IF(OR(COUNTIF($A$2:$A$14,A5)&lt;&gt;1,COUNTIF(Decisions!$C$2:$C$132,A5)&lt;&gt;1),"CHECK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2025::jama.2025.20765::C005</x:v>
      </x:c>
      <x:c r="B6" s="6" t="str">
        <x:v>134-message total conflicts with its printed frequency schedule</x:v>
      </x:c>
      <x:c r="C6" s="6" t="str">
        <x:v>DOC-002 Supplement 1 — PDF p. 53.</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IDs",IF(OR(COUNTIF($A$2:$A$14,A6)&lt;&gt;1,COUNTIF(Decisions!$C$2:$C$132,A6)&lt;&gt;1),"CHECK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2025::jama.2025.20765::C006</x:v>
      </x:c>
      <x:c r="B7" s="3" t="str">
        <x:v>TAM sampling header conflicts with contemporaneous narrative and equations</x:v>
      </x:c>
      <x:c r="C7" s="3" t="str">
        <x:v>DOC-002 Supplement 1 — PDF p. 55.</x:v>
      </x:c>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IDs",IF(OR(COUNTIF($A$2:$A$14,A7)&lt;&gt;1,COUNTIF(Decisions!$C$2:$C$132,A7)&lt;&gt;1),"CHECK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2025::jama.2025.20765::C007</x:v>
      </x:c>
      <x:c r="B8" s="6" t="str">
        <x:v>Later 2,716-participant plan gives 48 clinics versus a 63-site diagram</x:v>
      </x:c>
      <x:c r="C8" s="6" t="str">
        <x:v>DOC-002 Supplement 1 — PDF p. 48, PDF p. 51, PDF p. 52, and PDF p. 62.</x:v>
      </x:c>
      <x:c r="D8" s="7" t="str"/>
      <x:c r="E8" s="7" t="str">
        <x:v>plan_material</x:v>
      </x:c>
      <x:c r="F8" s="7" t="str">
        <x:v>no</x:v>
      </x:c>
      <x:c r="G8" s="6" t="str">
        <x:f>IFERROR(IF(NOT(OR(Setup!$B$6="primary",Setup!$B$6="checker")),"CHECK STAGE",IF(OR(LEN(TRIM(Setup!$B$2))=0,Setup!$B$2&lt;&gt;TRIM(Setup!$B$2),AND(Setup!$B$6="checker",OR(LEN(TRIM(Setup!$B$4))=0,Setup!$B$4&lt;&gt;TRIM(Setup!$B$4),LOWER(TRIM(Setup!$B$4))=LOWER(TRIM(Setup!$B$2))))),"CHECK REVIEWER IDs",IF(OR(COUNTIF($A$2:$A$14,A8)&lt;&gt;1,COUNTIF(Decisions!$C$2:$C$132,A8)&lt;&gt;1),"CHECK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2025::jama.2025.20765::C008</x:v>
      </x:c>
      <x:c r="B9" s="3" t="str">
        <x:v>Phase-4 design-effect equality does not reproduce from printed inputs</x:v>
      </x:c>
      <x:c r="C9" s="3" t="str">
        <x:v>DOC-002 Supplement 1 — PDF p. 64.</x:v>
      </x:c>
      <x:c r="D9" s="7" t="str"/>
      <x:c r="E9" s="7" t="str">
        <x:v>plan_material</x:v>
      </x:c>
      <x:c r="F9" s="7" t="str">
        <x:v>no</x:v>
      </x:c>
      <x:c r="G9" s="3" t="str">
        <x:f>IFERROR(IF(NOT(OR(Setup!$B$6="primary",Setup!$B$6="checker")),"CHECK STAGE",IF(OR(LEN(TRIM(Setup!$B$2))=0,Setup!$B$2&lt;&gt;TRIM(Setup!$B$2),AND(Setup!$B$6="checker",OR(LEN(TRIM(Setup!$B$4))=0,Setup!$B$4&lt;&gt;TRIM(Setup!$B$4),LOWER(TRIM(Setup!$B$4))=LOWER(TRIM(Setup!$B$2))))),"CHECK REVIEWER IDs",IF(OR(COUNTIF($A$2:$A$14,A9)&lt;&gt;1,COUNTIF(Decisions!$C$2:$C$132,A9)&lt;&gt;1),"CHECK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IF(Setup!$B$6="primary","",IFERROR(IF(INDEX('Primary_snapshot'!$L$2:$L$132,MATCH(A9,'Primary_snapshot'!$A$2:$A$132,0))="","",INDEX('Primary_snapshot'!$L$2:$L$132,MATCH(A9,'Primary_snapshot'!$A$2:$A$132,0))),"SNAPSHOT MISSING"))</x:f>
      </x:c>
      <x:c r="N9" s="7" t="str"/>
      <x:c r="O9" s="7" t="str"/>
      <x:c r="P9" s="7" t="str"/>
      <x:c r="Q9" s="7" t="str"/>
      <x:c r="R9" s="13" t="str"/>
    </x:row>
    <x:row r="10" ht="92" customHeight="1">
      <x:c r="A10" s="6" t="str">
        <x:v>2025::jama.2025.20765::C009</x:v>
      </x:c>
      <x:c r="B10" s="6" t="str">
        <x:v>Phase-4 diagram is labelled Phase 3/Superiority</x:v>
      </x:c>
      <x:c r="C10" s="6" t="str">
        <x:v>DOC-002 Supplement 1 — PDF p. 64.</x:v>
      </x:c>
      <x:c r="D10" s="7" t="str"/>
      <x:c r="E10" s="7" t="str">
        <x:v>plan_material</x:v>
      </x:c>
      <x:c r="F10" s="7" t="str">
        <x:v>no</x:v>
      </x:c>
      <x:c r="G10" s="6" t="str">
        <x:f>IFERROR(IF(NOT(OR(Setup!$B$6="primary",Setup!$B$6="checker")),"CHECK STAGE",IF(OR(LEN(TRIM(Setup!$B$2))=0,Setup!$B$2&lt;&gt;TRIM(Setup!$B$2),AND(Setup!$B$6="checker",OR(LEN(TRIM(Setup!$B$4))=0,Setup!$B$4&lt;&gt;TRIM(Setup!$B$4),LOWER(TRIM(Setup!$B$4))=LOWER(TRIM(Setup!$B$2))))),"CHECK REVIEWER IDs",IF(OR(COUNTIF($A$2:$A$14,A10)&lt;&gt;1,COUNTIF(Decisions!$C$2:$C$132,A10)&lt;&gt;1),"CHECK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$132,A10)&lt;&gt;1,INDEX('Primary_snapshot'!$J$2:$J$132,MATCH(A10,'Primary_snapshot'!$A$2:$A$132,0))&lt;&gt;"primary_done",INDEX('Primary_snapshot'!$K$2:$K$132,MATCH(A10,'Primary_snapshot'!$A$2:$A$132,0))&lt;&gt;Setup!$B$2,INDEX('Primary_snapshot'!$B$2:$B$132,MATCH(A10,'Primary_snapshot'!$A$2:$A$132,0))="NOT FROZEN",INDEX('Primary_snapshot'!$C$2:$C$132,MATCH(A10,'Primary_snapshot'!$A$2:$A$132,0))="NOT FROZEN",INDEX('Primary_snapshot'!$D$2:$D$132,MATCH(A10,'Primary_snapshot'!$A$2:$A$132,0))="NOT FROZEN",INDEX('Primary_snapshot'!$E$2:$E$132,MATCH(A10,'Primary_snapshot'!$A$2:$A$132,0))="NOT FROZEN",INDEX('Primary_snapshot'!$F$2:$F$132,MATCH(A10,'Primary_snapshot'!$A$2:$A$132,0))="NOT FROZEN",INDEX('Primary_snapshot'!$G$2:$G$132,MATCH(A10,'Primary_snapshot'!$A$2:$A$132,0))="NOT FROZEN",INDEX('Primary_snapshot'!$H$2:$H$132,MATCH(A10,'Primary_snapshot'!$A$2:$A$132,0))="NOT FROZEN",INDEX('Primary_snapshot'!$I$2:$I$132,MATCH(A10,'Primary_snapshot'!$A$2:$A$132,0))="NOT FROZEN",INDEX('Primary_snapshot'!$J$2:$J$132,MATCH(A10,'Primary_snapshot'!$A$2:$A$132,0))="NOT FROZEN",INDEX('Primary_snapshot'!$K$2:$K$132,MATCH(A10,'Primary_snapshot'!$A$2:$A$132,0))="NOT FROZEN",INDEX('Primary_snapshot'!$L$2:$L$132,MATCH(A10,'Primary_snapshot'!$A$2:$A$132,0))="NOT FROZEN"),"FREEZE SNAPSHOT",IF(NOT(OR(N10="agree",N10="agree_clarification",N10="disagree",N10="unable")),"CHECKER RESULT NEEDED",IF(AND(N10&lt;&gt;"agree",LEN(TRIM(O10))=0),"COMMENT NEEDED",IF(AND(N10="agree",NOT(AND(IF(D10="","",D10)=IF(INDEX('Primary_snapshot'!$B$2:$B$132,MATCH(A10,'Primary_snapshot'!$A$2:$A$132,0))="","",INDEX('Primary_snapshot'!$B$2:$B$132,MATCH(A10,'Primary_snapshot'!$A$2:$A$132,0))),IF(E10="","",E10)=IF(INDEX('Primary_snapshot'!$C$2:$C$132,MATCH(A10,'Primary_snapshot'!$A$2:$A$132,0))="","",INDEX('Primary_snapshot'!$C$2:$C$132,MATCH(A10,'Primary_snapshot'!$A$2:$A$132,0))),IF(AND(D10="retain",E10="statistical_results"),IF(H10="","",H10),"not_applicable")=IF(INDEX('Primary_snapshot'!$D$2:$D$132,MATCH(A10,'Primary_snapshot'!$A$2:$A$132,0))="","",INDEX('Primary_snapshot'!$D$2:$D$132,MATCH(A10,'Primary_snapshot'!$A$2:$A$132,0))),IF(AND(D10="retain",E10="statistical_results"),IF(I10="","",I10),"not_applicable")=IF(INDEX('Primary_snapshot'!$E$2:$E$132,MATCH(A10,'Primary_snapshot'!$A$2:$A$132,0))="","",INDEX('Primary_snapshot'!$E$2:$E$132,MATCH(A10,'Primary_snapshot'!$A$2:$A$132,0))),IF(AND(D10="retain",E10="statistical_results"),IF(J10="","",J10),"not_applicable")=IF(INDEX('Primary_snapshot'!$F$2:$F$132,MATCH(A10,'Primary_snapshot'!$A$2:$A$132,0))="","",INDEX('Primary_snapshot'!$F$2:$F$132,MATCH(A10,'Primary_snapshot'!$A$2:$A$132,0))),IF(AND(D10="retain",OR(E10="report_internal_inconsistency",E10="plan_material")),IF(K10="","",K10),"not_applicable")=IF(INDEX('Primary_snapshot'!$G$2:$G$132,MATCH(A10,'Primary_snapshot'!$A$2:$A$132,0))="","",INDEX('Primary_snapshot'!$G$2:$G$132,MATCH(A10,'Primary_snapshot'!$A$2:$A$132,0))),IF(AND(D10="retain",E10="protocol_report"),IF(L10="","",L10),"not_applicable")=IF(INDEX('Primary_snapshot'!$H$2:$H$132,MATCH(A10,'Primary_snapshot'!$A$2:$A$132,0))="","",INDEX('Primary_snapshot'!$H$2:$H$132,MATCH(A10,'Primary_snapshot'!$A$2:$A$132,0))),IF(R10="","",R10)=IF(INDEX('Primary_snapshot'!$I$2:$I$132,MATCH(A10,'Primary_snapshot'!$A$2:$A$132,0))="","",INDEX('Primary_snapshot'!$I$2:$I$132,MATCH(A10,'Primary_snapshot'!$A$2:$A$132,0)))))),"AGREE BUT CHANGED",IF(AND(P10&lt;&gt;"",NOT(OR(P10="pending",P10="resolved"))),"CHECK RESOLUTION",IF(OR(AND(OR(D10="discuss",INDEX('Primary_snapshot'!$B$2:$B$132,MATCH(A10,'Primary_snapshot'!$A$2:$A$132,0))="discuss",N10="disagree",N10="unable"),P10&lt;&gt;"resolved"),D10="discuss"),"DISCUSS",IF(AND(P10="resolved",LEN(TRIM(Q10))=0),"RESOLUTION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IF(Setup!$B$6="primary","",IFERROR(IF(INDEX('Primary_snapshot'!$L$2:$L$132,MATCH(A10,'Primary_snapshot'!$A$2:$A$132,0))="","",INDEX('Primary_snapshot'!$L$2:$L$132,MATCH(A10,'Primary_snapshot'!$A$2:$A$132,0))),"SNAPSHOT MISSING"))</x:f>
      </x:c>
      <x:c r="N10" s="7" t="str"/>
      <x:c r="O10" s="7" t="str"/>
      <x:c r="P10" s="7" t="str"/>
      <x:c r="Q10" s="7" t="str"/>
      <x:c r="R10" s="13" t="str"/>
    </x:row>
    <x:row r="11" ht="92" customHeight="1">
      <x:c r="A11" s="3" t="str">
        <x:v>2025::jama.2025.20765::C010</x:v>
      </x:c>
      <x:c r="B11" s="3" t="str">
        <x:v>Phase-3 design-effect display gives undocumented 1,080 effective sample size</x:v>
      </x:c>
      <x:c r="C11" s="3" t="str">
        <x:v>DOC-002 Supplement 1 — PDF p. 63 and PDF p. 83.</x:v>
      </x:c>
      <x:c r="D11" s="7" t="str"/>
      <x:c r="E11" s="7" t="str">
        <x:v>plan_material</x:v>
      </x:c>
      <x:c r="F11" s="7" t="str">
        <x:v>no</x:v>
      </x:c>
      <x:c r="G11" s="3" t="str">
        <x:f>IFERROR(IF(NOT(OR(Setup!$B$6="primary",Setup!$B$6="checker")),"CHECK STAGE",IF(OR(LEN(TRIM(Setup!$B$2))=0,Setup!$B$2&lt;&gt;TRIM(Setup!$B$2),AND(Setup!$B$6="checker",OR(LEN(TRIM(Setup!$B$4))=0,Setup!$B$4&lt;&gt;TRIM(Setup!$B$4),LOWER(TRIM(Setup!$B$4))=LOWER(TRIM(Setup!$B$2))))),"CHECK REVIEWER IDs",IF(OR(COUNTIF($A$2:$A$14,A11)&lt;&gt;1,COUNTIF(Decisions!$C$2:$C$132,A11)&lt;&gt;1),"CHECK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$132,A11)&lt;&gt;1,INDEX('Primary_snapshot'!$J$2:$J$132,MATCH(A11,'Primary_snapshot'!$A$2:$A$132,0))&lt;&gt;"primary_done",INDEX('Primary_snapshot'!$K$2:$K$132,MATCH(A11,'Primary_snapshot'!$A$2:$A$132,0))&lt;&gt;Setup!$B$2,INDEX('Primary_snapshot'!$B$2:$B$132,MATCH(A11,'Primary_snapshot'!$A$2:$A$132,0))="NOT FROZEN",INDEX('Primary_snapshot'!$C$2:$C$132,MATCH(A11,'Primary_snapshot'!$A$2:$A$132,0))="NOT FROZEN",INDEX('Primary_snapshot'!$D$2:$D$132,MATCH(A11,'Primary_snapshot'!$A$2:$A$132,0))="NOT FROZEN",INDEX('Primary_snapshot'!$E$2:$E$132,MATCH(A11,'Primary_snapshot'!$A$2:$A$132,0))="NOT FROZEN",INDEX('Primary_snapshot'!$F$2:$F$132,MATCH(A11,'Primary_snapshot'!$A$2:$A$132,0))="NOT FROZEN",INDEX('Primary_snapshot'!$G$2:$G$132,MATCH(A11,'Primary_snapshot'!$A$2:$A$132,0))="NOT FROZEN",INDEX('Primary_snapshot'!$H$2:$H$132,MATCH(A11,'Primary_snapshot'!$A$2:$A$132,0))="NOT FROZEN",INDEX('Primary_snapshot'!$I$2:$I$132,MATCH(A11,'Primary_snapshot'!$A$2:$A$132,0))="NOT FROZEN",INDEX('Primary_snapshot'!$J$2:$J$132,MATCH(A11,'Primary_snapshot'!$A$2:$A$132,0))="NOT FROZEN",INDEX('Primary_snapshot'!$K$2:$K$132,MATCH(A11,'Primary_snapshot'!$A$2:$A$132,0))="NOT FROZEN",INDEX('Primary_snapshot'!$L$2:$L$132,MATCH(A11,'Primary_snapshot'!$A$2:$A$132,0))="NOT FROZEN"),"FREEZE SNAPSHOT",IF(NOT(OR(N11="agree",N11="agree_clarification",N11="disagree",N11="unable")),"CHECKER RESULT NEEDED",IF(AND(N11&lt;&gt;"agree",LEN(TRIM(O11))=0),"COMMENT NEEDED",IF(AND(N11="agree",NOT(AND(IF(D11="","",D11)=IF(INDEX('Primary_snapshot'!$B$2:$B$132,MATCH(A11,'Primary_snapshot'!$A$2:$A$132,0))="","",INDEX('Primary_snapshot'!$B$2:$B$132,MATCH(A11,'Primary_snapshot'!$A$2:$A$132,0))),IF(E11="","",E11)=IF(INDEX('Primary_snapshot'!$C$2:$C$132,MATCH(A11,'Primary_snapshot'!$A$2:$A$132,0))="","",INDEX('Primary_snapshot'!$C$2:$C$132,MATCH(A11,'Primary_snapshot'!$A$2:$A$132,0))),IF(AND(D11="retain",E11="statistical_results"),IF(H11="","",H11),"not_applicable")=IF(INDEX('Primary_snapshot'!$D$2:$D$132,MATCH(A11,'Primary_snapshot'!$A$2:$A$132,0))="","",INDEX('Primary_snapshot'!$D$2:$D$132,MATCH(A11,'Primary_snapshot'!$A$2:$A$132,0))),IF(AND(D11="retain",E11="statistical_results"),IF(I11="","",I11),"not_applicable")=IF(INDEX('Primary_snapshot'!$E$2:$E$132,MATCH(A11,'Primary_snapshot'!$A$2:$A$132,0))="","",INDEX('Primary_snapshot'!$E$2:$E$132,MATCH(A11,'Primary_snapshot'!$A$2:$A$132,0))),IF(AND(D11="retain",E11="statistical_results"),IF(J11="","",J11),"not_applicable")=IF(INDEX('Primary_snapshot'!$F$2:$F$132,MATCH(A11,'Primary_snapshot'!$A$2:$A$132,0))="","",INDEX('Primary_snapshot'!$F$2:$F$132,MATCH(A11,'Primary_snapshot'!$A$2:$A$132,0))),IF(AND(D11="retain",OR(E11="report_internal_inconsistency",E11="plan_material")),IF(K11="","",K11),"not_applicable")=IF(INDEX('Primary_snapshot'!$G$2:$G$132,MATCH(A11,'Primary_snapshot'!$A$2:$A$132,0))="","",INDEX('Primary_snapshot'!$G$2:$G$132,MATCH(A11,'Primary_snapshot'!$A$2:$A$132,0))),IF(AND(D11="retain",E11="protocol_report"),IF(L11="","",L11),"not_applicable")=IF(INDEX('Primary_snapshot'!$H$2:$H$132,MATCH(A11,'Primary_snapshot'!$A$2:$A$132,0))="","",INDEX('Primary_snapshot'!$H$2:$H$132,MATCH(A11,'Primary_snapshot'!$A$2:$A$132,0))),IF(R11="","",R11)=IF(INDEX('Primary_snapshot'!$I$2:$I$132,MATCH(A11,'Primary_snapshot'!$A$2:$A$132,0))="","",INDEX('Primary_snapshot'!$I$2:$I$132,MATCH(A11,'Primary_snapshot'!$A$2:$A$132,0)))))),"AGREE BUT CHANGED",IF(AND(P11&lt;&gt;"",NOT(OR(P11="pending",P11="resolved"))),"CHECK RESOLUTION",IF(OR(AND(OR(D11="discuss",INDEX('Primary_snapshot'!$B$2:$B$132,MATCH(A11,'Primary_snapshot'!$A$2:$A$132,0))="discuss",N11="disagree",N11="unable"),P11&lt;&gt;"resolved"),D11="discuss"),"DISCUSS",IF(AND(P11="resolved",LEN(TRIM(Q11))=0),"RESOLUTION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IF(Setup!$B$6="primary","",IFERROR(IF(INDEX('Primary_snapshot'!$L$2:$L$132,MATCH(A11,'Primary_snapshot'!$A$2:$A$132,0))="","",INDEX('Primary_snapshot'!$L$2:$L$132,MATCH(A11,'Primary_snapshot'!$A$2:$A$132,0))),"SNAPSHOT MISSING"))</x:f>
      </x:c>
      <x:c r="N11" s="7" t="str"/>
      <x:c r="O11" s="7" t="str"/>
      <x:c r="P11" s="7" t="str"/>
      <x:c r="Q11" s="7" t="str"/>
      <x:c r="R11" s="13" t="str"/>
    </x:row>
    <x:row r="12" ht="92" customHeight="1">
      <x:c r="A12" s="6" t="str">
        <x:v>2025::jama.2025.20765::C011</x:v>
      </x:c>
      <x:c r="B12" s="6" t="str">
        <x:v>MPSS score range conflicts with stated item scale</x:v>
      </x:c>
      <x:c r="C12" s="6" t="str">
        <x:v>DOC-002 Supplement 1 — PDF p. 85.</x:v>
      </x:c>
      <x:c r="D12" s="7" t="str"/>
      <x:c r="E12" s="7" t="str">
        <x:v>plan_material</x:v>
      </x:c>
      <x:c r="F12" s="7" t="str">
        <x:v>no</x:v>
      </x:c>
      <x:c r="G12" s="6" t="str">
        <x:f>IFERROR(IF(NOT(OR(Setup!$B$6="primary",Setup!$B$6="checker")),"CHECK STAGE",IF(OR(LEN(TRIM(Setup!$B$2))=0,Setup!$B$2&lt;&gt;TRIM(Setup!$B$2),AND(Setup!$B$6="checker",OR(LEN(TRIM(Setup!$B$4))=0,Setup!$B$4&lt;&gt;TRIM(Setup!$B$4),LOWER(TRIM(Setup!$B$4))=LOWER(TRIM(Setup!$B$2))))),"CHECK REVIEWER IDs",IF(OR(COUNTIF($A$2:$A$14,A12)&lt;&gt;1,COUNTIF(Decisions!$C$2:$C$132,A12)&lt;&gt;1),"CHECK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$132,A12)&lt;&gt;1,INDEX('Primary_snapshot'!$J$2:$J$132,MATCH(A12,'Primary_snapshot'!$A$2:$A$132,0))&lt;&gt;"primary_done",INDEX('Primary_snapshot'!$K$2:$K$132,MATCH(A12,'Primary_snapshot'!$A$2:$A$132,0))&lt;&gt;Setup!$B$2,INDEX('Primary_snapshot'!$B$2:$B$132,MATCH(A12,'Primary_snapshot'!$A$2:$A$132,0))="NOT FROZEN",INDEX('Primary_snapshot'!$C$2:$C$132,MATCH(A12,'Primary_snapshot'!$A$2:$A$132,0))="NOT FROZEN",INDEX('Primary_snapshot'!$D$2:$D$132,MATCH(A12,'Primary_snapshot'!$A$2:$A$132,0))="NOT FROZEN",INDEX('Primary_snapshot'!$E$2:$E$132,MATCH(A12,'Primary_snapshot'!$A$2:$A$132,0))="NOT FROZEN",INDEX('Primary_snapshot'!$F$2:$F$132,MATCH(A12,'Primary_snapshot'!$A$2:$A$132,0))="NOT FROZEN",INDEX('Primary_snapshot'!$G$2:$G$132,MATCH(A12,'Primary_snapshot'!$A$2:$A$132,0))="NOT FROZEN",INDEX('Primary_snapshot'!$H$2:$H$132,MATCH(A12,'Primary_snapshot'!$A$2:$A$132,0))="NOT FROZEN",INDEX('Primary_snapshot'!$I$2:$I$132,MATCH(A12,'Primary_snapshot'!$A$2:$A$132,0))="NOT FROZEN",INDEX('Primary_snapshot'!$J$2:$J$132,MATCH(A12,'Primary_snapshot'!$A$2:$A$132,0))="NOT FROZEN",INDEX('Primary_snapshot'!$K$2:$K$132,MATCH(A12,'Primary_snapshot'!$A$2:$A$132,0))="NOT FROZEN",INDEX('Primary_snapshot'!$L$2:$L$132,MATCH(A12,'Primary_snapshot'!$A$2:$A$132,0))="NOT FROZEN"),"FREEZE SNAPSHOT",IF(NOT(OR(N12="agree",N12="agree_clarification",N12="disagree",N12="unable")),"CHECKER RESULT NEEDED",IF(AND(N12&lt;&gt;"agree",LEN(TRIM(O12))=0),"COMMENT NEEDED",IF(AND(N12="agree",NOT(AND(IF(D12="","",D12)=IF(INDEX('Primary_snapshot'!$B$2:$B$132,MATCH(A12,'Primary_snapshot'!$A$2:$A$132,0))="","",INDEX('Primary_snapshot'!$B$2:$B$132,MATCH(A12,'Primary_snapshot'!$A$2:$A$132,0))),IF(E12="","",E12)=IF(INDEX('Primary_snapshot'!$C$2:$C$132,MATCH(A12,'Primary_snapshot'!$A$2:$A$132,0))="","",INDEX('Primary_snapshot'!$C$2:$C$132,MATCH(A12,'Primary_snapshot'!$A$2:$A$132,0))),IF(AND(D12="retain",E12="statistical_results"),IF(H12="","",H12),"not_applicable")=IF(INDEX('Primary_snapshot'!$D$2:$D$132,MATCH(A12,'Primary_snapshot'!$A$2:$A$132,0))="","",INDEX('Primary_snapshot'!$D$2:$D$132,MATCH(A12,'Primary_snapshot'!$A$2:$A$132,0))),IF(AND(D12="retain",E12="statistical_results"),IF(I12="","",I12),"not_applicable")=IF(INDEX('Primary_snapshot'!$E$2:$E$132,MATCH(A12,'Primary_snapshot'!$A$2:$A$132,0))="","",INDEX('Primary_snapshot'!$E$2:$E$132,MATCH(A12,'Primary_snapshot'!$A$2:$A$132,0))),IF(AND(D12="retain",E12="statistical_results"),IF(J12="","",J12),"not_applicable")=IF(INDEX('Primary_snapshot'!$F$2:$F$132,MATCH(A12,'Primary_snapshot'!$A$2:$A$132,0))="","",INDEX('Primary_snapshot'!$F$2:$F$132,MATCH(A12,'Primary_snapshot'!$A$2:$A$132,0))),IF(AND(D12="retain",OR(E12="report_internal_inconsistency",E12="plan_material")),IF(K12="","",K12),"not_applicable")=IF(INDEX('Primary_snapshot'!$G$2:$G$132,MATCH(A12,'Primary_snapshot'!$A$2:$A$132,0))="","",INDEX('Primary_snapshot'!$G$2:$G$132,MATCH(A12,'Primary_snapshot'!$A$2:$A$132,0))),IF(AND(D12="retain",E12="protocol_report"),IF(L12="","",L12),"not_applicable")=IF(INDEX('Primary_snapshot'!$H$2:$H$132,MATCH(A12,'Primary_snapshot'!$A$2:$A$132,0))="","",INDEX('Primary_snapshot'!$H$2:$H$132,MATCH(A12,'Primary_snapshot'!$A$2:$A$132,0))),IF(R12="","",R12)=IF(INDEX('Primary_snapshot'!$I$2:$I$132,MATCH(A12,'Primary_snapshot'!$A$2:$A$132,0))="","",INDEX('Primary_snapshot'!$I$2:$I$132,MATCH(A12,'Primary_snapshot'!$A$2:$A$132,0)))))),"AGREE BUT CHANGED",IF(AND(P12&lt;&gt;"",NOT(OR(P12="pending",P12="resolved"))),"CHECK RESOLUTION",IF(OR(AND(OR(D12="discuss",INDEX('Primary_snapshot'!$B$2:$B$132,MATCH(A12,'Primary_snapshot'!$A$2:$A$132,0))="discuss",N12="disagree",N12="unable"),P12&lt;&gt;"resolved"),D12="discuss"),"DISCUSS",IF(AND(P12="resolved",LEN(TRIM(Q12))=0),"RESOLUTION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c>
      <x:c r="L12" s="13" t="str">
        <x:f>IF(AND(OR(D12="retain",D12=""),E12="protocol_report"),"","not_applicable")</x:f>
        <x:v>not_applicable</x:v>
      </x:c>
      <x:c r="M12" s="6" t="str">
        <x:f>IF(Setup!$B$6="primary","",IFERROR(IF(INDEX('Primary_snapshot'!$L$2:$L$132,MATCH(A12,'Primary_snapshot'!$A$2:$A$132,0))="","",INDEX('Primary_snapshot'!$L$2:$L$132,MATCH(A12,'Primary_snapshot'!$A$2:$A$132,0))),"SNAPSHOT MISSING"))</x:f>
      </x:c>
      <x:c r="N12" s="7" t="str"/>
      <x:c r="O12" s="7" t="str"/>
      <x:c r="P12" s="7" t="str"/>
      <x:c r="Q12" s="7" t="str"/>
      <x:c r="R12" s="13" t="str"/>
    </x:row>
    <x:row r="13" ht="92" customHeight="1">
      <x:c r="A13" s="3" t="str">
        <x:v>2025::jama.2025.20765::C012</x:v>
      </x:c>
      <x:c r="B13" s="3" t="str">
        <x:v>Site 2008 death count and percentage lack a compatible supplied denominator</x:v>
      </x:c>
      <x:c r="C13" s="3" t="str">
        <x:v>DOC-003 Supplement 2 — PDF p. 8, eTable 5; PDF p. 9, eTable 6.</x:v>
      </x:c>
      <x:c r="D13" s="7" t="str"/>
      <x:c r="E13" s="7" t="str">
        <x:v>statistical_results</x:v>
      </x:c>
      <x:c r="F13" s="7" t="str">
        <x:v>no</x:v>
      </x:c>
      <x:c r="G13" s="3" t="str">
        <x:f>IFERROR(IF(NOT(OR(Setup!$B$6="primary",Setup!$B$6="checker")),"CHECK STAGE",IF(OR(LEN(TRIM(Setup!$B$2))=0,Setup!$B$2&lt;&gt;TRIM(Setup!$B$2),AND(Setup!$B$6="checker",OR(LEN(TRIM(Setup!$B$4))=0,Setup!$B$4&lt;&gt;TRIM(Setup!$B$4),LOWER(TRIM(Setup!$B$4))=LOWER(TRIM(Setup!$B$2))))),"CHECK REVIEWER IDs",IF(OR(COUNTIF($A$2:$A$14,A13)&lt;&gt;1,COUNTIF(Decisions!$C$2:$C$132,A13)&lt;&gt;1),"CHECK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$132,A13)&lt;&gt;1,INDEX('Primary_snapshot'!$J$2:$J$132,MATCH(A13,'Primary_snapshot'!$A$2:$A$132,0))&lt;&gt;"primary_done",INDEX('Primary_snapshot'!$K$2:$K$132,MATCH(A13,'Primary_snapshot'!$A$2:$A$132,0))&lt;&gt;Setup!$B$2,INDEX('Primary_snapshot'!$B$2:$B$132,MATCH(A13,'Primary_snapshot'!$A$2:$A$132,0))="NOT FROZEN",INDEX('Primary_snapshot'!$C$2:$C$132,MATCH(A13,'Primary_snapshot'!$A$2:$A$132,0))="NOT FROZEN",INDEX('Primary_snapshot'!$D$2:$D$132,MATCH(A13,'Primary_snapshot'!$A$2:$A$132,0))="NOT FROZEN",INDEX('Primary_snapshot'!$E$2:$E$132,MATCH(A13,'Primary_snapshot'!$A$2:$A$132,0))="NOT FROZEN",INDEX('Primary_snapshot'!$F$2:$F$132,MATCH(A13,'Primary_snapshot'!$A$2:$A$132,0))="NOT FROZEN",INDEX('Primary_snapshot'!$G$2:$G$132,MATCH(A13,'Primary_snapshot'!$A$2:$A$132,0))="NOT FROZEN",INDEX('Primary_snapshot'!$H$2:$H$132,MATCH(A13,'Primary_snapshot'!$A$2:$A$132,0))="NOT FROZEN",INDEX('Primary_snapshot'!$I$2:$I$132,MATCH(A13,'Primary_snapshot'!$A$2:$A$132,0))="NOT FROZEN",INDEX('Primary_snapshot'!$J$2:$J$132,MATCH(A13,'Primary_snapshot'!$A$2:$A$132,0))="NOT FROZEN",INDEX('Primary_snapshot'!$K$2:$K$132,MATCH(A13,'Primary_snapshot'!$A$2:$A$132,0))="NOT FROZEN",INDEX('Primary_snapshot'!$L$2:$L$132,MATCH(A13,'Primary_snapshot'!$A$2:$A$132,0))="NOT FROZEN"),"FREEZE SNAPSHOT",IF(NOT(OR(N13="agree",N13="agree_clarification",N13="disagree",N13="unable")),"CHECKER RESULT NEEDED",IF(AND(N13&lt;&gt;"agree",LEN(TRIM(O13))=0),"COMMENT NEEDED",IF(AND(N13="agree",NOT(AND(IF(D13="","",D13)=IF(INDEX('Primary_snapshot'!$B$2:$B$132,MATCH(A13,'Primary_snapshot'!$A$2:$A$132,0))="","",INDEX('Primary_snapshot'!$B$2:$B$132,MATCH(A13,'Primary_snapshot'!$A$2:$A$132,0))),IF(E13="","",E13)=IF(INDEX('Primary_snapshot'!$C$2:$C$132,MATCH(A13,'Primary_snapshot'!$A$2:$A$132,0))="","",INDEX('Primary_snapshot'!$C$2:$C$132,MATCH(A13,'Primary_snapshot'!$A$2:$A$132,0))),IF(AND(D13="retain",E13="statistical_results"),IF(H13="","",H13),"not_applicable")=IF(INDEX('Primary_snapshot'!$D$2:$D$132,MATCH(A13,'Primary_snapshot'!$A$2:$A$132,0))="","",INDEX('Primary_snapshot'!$D$2:$D$132,MATCH(A13,'Primary_snapshot'!$A$2:$A$132,0))),IF(AND(D13="retain",E13="statistical_results"),IF(I13="","",I13),"not_applicable")=IF(INDEX('Primary_snapshot'!$E$2:$E$132,MATCH(A13,'Primary_snapshot'!$A$2:$A$132,0))="","",INDEX('Primary_snapshot'!$E$2:$E$132,MATCH(A13,'Primary_snapshot'!$A$2:$A$132,0))),IF(AND(D13="retain",E13="statistical_results"),IF(J13="","",J13),"not_applicable")=IF(INDEX('Primary_snapshot'!$F$2:$F$132,MATCH(A13,'Primary_snapshot'!$A$2:$A$132,0))="","",INDEX('Primary_snapshot'!$F$2:$F$132,MATCH(A13,'Primary_snapshot'!$A$2:$A$132,0))),IF(AND(D13="retain",OR(E13="report_internal_inconsistency",E13="plan_material")),IF(K13="","",K13),"not_applicable")=IF(INDEX('Primary_snapshot'!$G$2:$G$132,MATCH(A13,'Primary_snapshot'!$A$2:$A$132,0))="","",INDEX('Primary_snapshot'!$G$2:$G$132,MATCH(A13,'Primary_snapshot'!$A$2:$A$132,0))),IF(AND(D13="retain",E13="protocol_report"),IF(L13="","",L13),"not_applicable")=IF(INDEX('Primary_snapshot'!$H$2:$H$132,MATCH(A13,'Primary_snapshot'!$A$2:$A$132,0))="","",INDEX('Primary_snapshot'!$H$2:$H$132,MATCH(A13,'Primary_snapshot'!$A$2:$A$132,0))),IF(R13="","",R13)=IF(INDEX('Primary_snapshot'!$I$2:$I$132,MATCH(A13,'Primary_snapshot'!$A$2:$A$132,0))="","",INDEX('Primary_snapshot'!$I$2:$I$132,MATCH(A13,'Primary_snapshot'!$A$2:$A$132,0)))))),"AGREE BUT CHANGED",IF(AND(P13&lt;&gt;"",NOT(OR(P13="pending",P13="resolved"))),"CHECK RESOLUTION",IF(OR(AND(OR(D13="discuss",INDEX('Primary_snapshot'!$B$2:$B$132,MATCH(A13,'Primary_snapshot'!$A$2:$A$132,0))="discuss",N13="disagree",N13="unable"),P13&lt;&gt;"resolved"),D13="discuss"),"DISCUSS",IF(AND(P13="resolved",LEN(TRIM(Q13))=0),"RESOLUTION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c>
      <x:c r="I13" s="7" t="str">
        <x:f>IF(AND(OR(D13="retain",D13=""),E13="statistical_results"),"","not_applicable")</x:f>
      </x:c>
      <x:c r="J13" s="13" t="str">
        <x:f>IF(AND(OR(D13="retain",D13=""),E13="statistical_results"),"","not_applicable")</x:f>
      </x:c>
      <x:c r="K13" s="7" t="str">
        <x:f>IF(AND(OR(D13="retain",D13=""),OR(E13="report_internal_inconsistency",E13="plan_material")),"","not_applicable")</x:f>
        <x:v>not_applicable</x:v>
      </x:c>
      <x:c r="L13" s="13" t="str">
        <x:f>IF(AND(OR(D13="retain",D13=""),E13="protocol_report"),"","not_applicable")</x:f>
        <x:v>not_applicable</x:v>
      </x:c>
      <x:c r="M13" s="3" t="str">
        <x:f>IF(Setup!$B$6="primary","",IFERROR(IF(INDEX('Primary_snapshot'!$L$2:$L$132,MATCH(A13,'Primary_snapshot'!$A$2:$A$132,0))="","",INDEX('Primary_snapshot'!$L$2:$L$132,MATCH(A13,'Primary_snapshot'!$A$2:$A$132,0))),"SNAPSHOT MISSING"))</x:f>
      </x:c>
      <x:c r="N13" s="7" t="str"/>
      <x:c r="O13" s="7" t="str"/>
      <x:c r="P13" s="7" t="str"/>
      <x:c r="Q13" s="7" t="str"/>
      <x:c r="R13" s="13" t="str"/>
    </x:row>
    <x:row r="14" ht="92" customHeight="1">
      <x:c r="A14" s="6" t="str">
        <x:v>2025::jama.2025.20765::C013</x:v>
      </x:c>
      <x:c r="B14" s="6" t="str">
        <x:v>Protocol message dose changes from 178 to 134 without supplied reconciliation</x:v>
      </x:c>
      <x:c r="C14" s="6" t="str">
        <x:v>DOC-002 Supplement 1 — PDF p. 16, PDF p. 53, PDF p. 80, and PDF p. 101 through PDF p. 109; DOC-001 main article — PDF p. 3.</x:v>
      </x:c>
      <x:c r="D14" s="7" t="str"/>
      <x:c r="E14" s="7" t="str">
        <x:v>protocol_report</x:v>
      </x:c>
      <x:c r="F14" s="7" t="str">
        <x:v>no</x:v>
      </x:c>
      <x:c r="G14" s="6" t="str">
        <x:f>IFERROR(IF(NOT(OR(Setup!$B$6="primary",Setup!$B$6="checker")),"CHECK STAGE",IF(OR(LEN(TRIM(Setup!$B$2))=0,Setup!$B$2&lt;&gt;TRIM(Setup!$B$2),AND(Setup!$B$6="checker",OR(LEN(TRIM(Setup!$B$4))=0,Setup!$B$4&lt;&gt;TRIM(Setup!$B$4),LOWER(TRIM(Setup!$B$4))=LOWER(TRIM(Setup!$B$2))))),"CHECK REVIEWER IDs",IF(OR(COUNTIF($A$2:$A$14,A14)&lt;&gt;1,COUNTIF(Decisions!$C$2:$C$132,A14)&lt;&gt;1),"CHECK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$132,A14)&lt;&gt;1,INDEX('Primary_snapshot'!$J$2:$J$132,MATCH(A14,'Primary_snapshot'!$A$2:$A$132,0))&lt;&gt;"primary_done",INDEX('Primary_snapshot'!$K$2:$K$132,MATCH(A14,'Primary_snapshot'!$A$2:$A$132,0))&lt;&gt;Setup!$B$2,INDEX('Primary_snapshot'!$B$2:$B$132,MATCH(A14,'Primary_snapshot'!$A$2:$A$132,0))="NOT FROZEN",INDEX('Primary_snapshot'!$C$2:$C$132,MATCH(A14,'Primary_snapshot'!$A$2:$A$132,0))="NOT FROZEN",INDEX('Primary_snapshot'!$D$2:$D$132,MATCH(A14,'Primary_snapshot'!$A$2:$A$132,0))="NOT FROZEN",INDEX('Primary_snapshot'!$E$2:$E$132,MATCH(A14,'Primary_snapshot'!$A$2:$A$132,0))="NOT FROZEN",INDEX('Primary_snapshot'!$F$2:$F$132,MATCH(A14,'Primary_snapshot'!$A$2:$A$132,0))="NOT FROZEN",INDEX('Primary_snapshot'!$G$2:$G$132,MATCH(A14,'Primary_snapshot'!$A$2:$A$132,0))="NOT FROZEN",INDEX('Primary_snapshot'!$H$2:$H$132,MATCH(A14,'Primary_snapshot'!$A$2:$A$132,0))="NOT FROZEN",INDEX('Primary_snapshot'!$I$2:$I$132,MATCH(A14,'Primary_snapshot'!$A$2:$A$132,0))="NOT FROZEN",INDEX('Primary_snapshot'!$J$2:$J$132,MATCH(A14,'Primary_snapshot'!$A$2:$A$132,0))="NOT FROZEN",INDEX('Primary_snapshot'!$K$2:$K$132,MATCH(A14,'Primary_snapshot'!$A$2:$A$132,0))="NOT FROZEN",INDEX('Primary_snapshot'!$L$2:$L$132,MATCH(A14,'Primary_snapshot'!$A$2:$A$132,0))="NOT FROZEN"),"FREEZE SNAPSHOT",IF(NOT(OR(N14="agree",N14="agree_clarification",N14="disagree",N14="unable")),"CHECKER RESULT NEEDED",IF(AND(N14&lt;&gt;"agree",LEN(TRIM(O14))=0),"COMMENT NEEDED",IF(AND(N14="agree",NOT(AND(IF(D14="","",D14)=IF(INDEX('Primary_snapshot'!$B$2:$B$132,MATCH(A14,'Primary_snapshot'!$A$2:$A$132,0))="","",INDEX('Primary_snapshot'!$B$2:$B$132,MATCH(A14,'Primary_snapshot'!$A$2:$A$132,0))),IF(E14="","",E14)=IF(INDEX('Primary_snapshot'!$C$2:$C$132,MATCH(A14,'Primary_snapshot'!$A$2:$A$132,0))="","",INDEX('Primary_snapshot'!$C$2:$C$132,MATCH(A14,'Primary_snapshot'!$A$2:$A$132,0))),IF(AND(D14="retain",E14="statistical_results"),IF(H14="","",H14),"not_applicable")=IF(INDEX('Primary_snapshot'!$D$2:$D$132,MATCH(A14,'Primary_snapshot'!$A$2:$A$132,0))="","",INDEX('Primary_snapshot'!$D$2:$D$132,MATCH(A14,'Primary_snapshot'!$A$2:$A$132,0))),IF(AND(D14="retain",E14="statistical_results"),IF(I14="","",I14),"not_applicable")=IF(INDEX('Primary_snapshot'!$E$2:$E$132,MATCH(A14,'Primary_snapshot'!$A$2:$A$132,0))="","",INDEX('Primary_snapshot'!$E$2:$E$132,MATCH(A14,'Primary_snapshot'!$A$2:$A$132,0))),IF(AND(D14="retain",E14="statistical_results"),IF(J14="","",J14),"not_applicable")=IF(INDEX('Primary_snapshot'!$F$2:$F$132,MATCH(A14,'Primary_snapshot'!$A$2:$A$132,0))="","",INDEX('Primary_snapshot'!$F$2:$F$132,MATCH(A14,'Primary_snapshot'!$A$2:$A$132,0))),IF(AND(D14="retain",OR(E14="report_internal_inconsistency",E14="plan_material")),IF(K14="","",K14),"not_applicable")=IF(INDEX('Primary_snapshot'!$G$2:$G$132,MATCH(A14,'Primary_snapshot'!$A$2:$A$132,0))="","",INDEX('Primary_snapshot'!$G$2:$G$132,MATCH(A14,'Primary_snapshot'!$A$2:$A$132,0))),IF(AND(D14="retain",E14="protocol_report"),IF(L14="","",L14),"not_applicable")=IF(INDEX('Primary_snapshot'!$H$2:$H$132,MATCH(A14,'Primary_snapshot'!$A$2:$A$132,0))="","",INDEX('Primary_snapshot'!$H$2:$H$132,MATCH(A14,'Primary_snapshot'!$A$2:$A$132,0))),IF(R14="","",R14)=IF(INDEX('Primary_snapshot'!$I$2:$I$132,MATCH(A14,'Primary_snapshot'!$A$2:$A$132,0))="","",INDEX('Primary_snapshot'!$I$2:$I$132,MATCH(A14,'Primary_snapshot'!$A$2:$A$132,0)))))),"AGREE BUT CHANGED",IF(AND(P14&lt;&gt;"",NOT(OR(P14="pending",P14="resolved"))),"CHECK RESOLUTION",IF(OR(AND(OR(D14="discuss",INDEX('Primary_snapshot'!$B$2:$B$132,MATCH(A14,'Primary_snapshot'!$A$2:$A$132,0))="discuss",N14="disagree",N14="unable"),P14&lt;&gt;"resolved"),D14="discuss"),"DISCUSS",IF(AND(P14="resolved",LEN(TRIM(Q14))=0),"RESOLUTION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v>not_applicable</x:v>
      </x:c>
      <x:c r="I14" s="7" t="str">
        <x:f>IF(AND(OR(D14="retain",D14=""),E14="statistical_results"),"","not_applicable")</x:f>
        <x:v>not_applicable</x:v>
      </x:c>
      <x:c r="J14" s="13" t="str">
        <x:f>IF(AND(OR(D14="retain",D14=""),E14="statistical_results"),"","not_applicable")</x:f>
        <x:v>not_applicable</x:v>
      </x:c>
      <x:c r="K14" s="7" t="str">
        <x:f>IF(AND(OR(D14="retain",D14=""),OR(E14="report_internal_inconsistency",E14="plan_material")),"","not_applicable")</x:f>
        <x:v>not_applicable</x:v>
      </x:c>
      <x:c r="L14" s="13" t="str">
        <x:f>IF(AND(OR(D14="retain",D14=""),E14="protocol_report"),"","not_applicable")</x:f>
      </x:c>
      <x:c r="M14" s="6" t="str">
        <x:f>IF(Setup!$B$6="primary","",IFERROR(IF(INDEX('Primary_snapshot'!$L$2:$L$132,MATCH(A14,'Primary_snapshot'!$A$2:$A$132,0))="","",INDEX('Primary_snapshot'!$L$2:$L$132,MATCH(A14,'Primary_snapshot'!$A$2:$A$132,0))),"SNAPSHOT MISSING"))</x:f>
      </x:c>
      <x:c r="N14" s="7" t="str"/>
      <x:c r="O14" s="7" t="str"/>
      <x:c r="P14" s="7" t="str"/>
      <x:c r="Q14" s="7" t="str"/>
      <x:c r="R14" s="13" t="str"/>
    </x:row>
  </x:sheetData>
  <x:conditionalFormatting sqref="G2:G14">
    <x:cfRule type="expression" dxfId="56" priority="1">
      <x:formula>AND(G2&lt;&gt;"PRIMARY READY",G2&lt;&gt;"FINAL READY")</x:formula>
    </x:cfRule>
  </x:conditionalFormatting>
  <x:conditionalFormatting sqref="N2:Q14">
    <x:cfRule type="expression" dxfId="57" priority="2">
      <x:formula>Setup!$B$6="primary"</x:formula>
    </x:cfRule>
  </x:conditionalFormatting>
  <x:conditionalFormatting sqref="H2:H14">
    <x:cfRule type="expression" dxfId="58" priority="3">
      <x:formula>NOT(AND(OR($D2="retain",$D2=""),$E2="statistical_results"))</x:formula>
    </x:cfRule>
  </x:conditionalFormatting>
  <x:conditionalFormatting sqref="I2:I14">
    <x:cfRule type="expression" dxfId="59" priority="4">
      <x:formula>NOT(AND(OR($D2="retain",$D2=""),$E2="statistical_results"))</x:formula>
    </x:cfRule>
  </x:conditionalFormatting>
  <x:conditionalFormatting sqref="J2:J14">
    <x:cfRule type="expression" dxfId="60" priority="5">
      <x:formula>NOT(AND(OR($D2="retain",$D2=""),$E2="statistical_results"))</x:formula>
    </x:cfRule>
  </x:conditionalFormatting>
  <x:conditionalFormatting sqref="K2:K14">
    <x:cfRule type="expression" dxfId="61" priority="6">
      <x:formula>NOT(AND(OR($D2="retain",$D2=""),OR($E2="report_internal_inconsistency",$E2="plan_material")))</x:formula>
    </x:cfRule>
  </x:conditionalFormatting>
  <x:conditionalFormatting sqref="L2:L14">
    <x:cfRule type="expression" dxfId="62" priority="7">
      <x:formula>NOT(AND(OR($D2="retain",$D2=""),$E2="protocol_report"))</x:formula>
    </x:cfRule>
  </x:conditionalFormatting>
  <x:dataValidations count="10">
    <x:dataValidation type="list" sqref="D2:D14">
      <x:formula1>"retain,exclude,discuss"</x:formula1>
    </x:dataValidation>
    <x:dataValidation type="list" sqref="E2:E14">
      <x:formula1>"statistical_results,report_internal_inconsistency,plan_material,protocol_report"</x:formula1>
    </x:dataValidation>
    <x:dataValidation type="list" sqref="F2:F14">
      <x:formula1>"no,primary_done,checker_done"</x:formula1>
    </x:dataValidation>
    <x:dataValidation type="list" sqref="H2:H14">
      <x:formula1>"confirmed_issue,probable_issue,not_issue,indeterminate,not_applicable"</x:formula1>
    </x:dataValidation>
    <x:dataValidation type="list" sqref="I2:I14">
      <x:formula1>"substantive,minor_presentation,indeterminate,not_applicable"</x:formula1>
    </x:dataValidation>
    <x:dataValidation type="list" sqref="J2:J14">
      <x:formula1>"direct,possible,unlikely,unknown,not_applicable"</x:formula1>
    </x:dataValidation>
    <x:dataValidation type="list" sqref="K2:K14">
      <x:formula1>"substantive_inconsistency,minor_presentation,non_inconsistency,indeterminate,not_applicable"</x:formula1>
    </x:dataValidation>
    <x:dataValidation type="list" sqref="L2:L14">
      <x:formula1>"substantive_difference,minor_presentation,version_timing,non_inconsistency,indeterminate,not_applicable"</x:formula1>
    </x:dataValidation>
    <x:dataValidation type="list" sqref="N2:N14">
      <x:formula1>"agree,agree_clarification,disagree,unable"</x:formula1>
    </x:dataValidation>
    <x:dataValidation type="list" sqref="P2:P14">
      <x:formula1>"pending,resolved"</x:formula1>
    </x:dataValidation>
  </x:dataValidations>
  <x:pageMargins left="0.7" right="0.7" top="0.75" bottom="0.75" header="0.3" footer="0.3"/>
  <x:tableParts count="1">
    <x:tablePart xmlns:r="http://schemas.openxmlformats.org/officeDocument/2006/relationships" r:id="Rd1c62269bf224642"/>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2025::jama.2025.24175::C001</x:v>
      </x:c>
      <x:c r="B2" s="6" t="str">
        <x:v>Day-15 SOFA responder numerator differs between Table 2 and narrative</x:v>
      </x:c>
      <x:c r="C2" s="6" t="str">
        <x:v>DOC-001 Table 2, PDF p. 6; DOC-001 Results narrative, PDF p. 7.</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IDs",IF(OR(COUNTIF($A$2:$A$15,A2)&lt;&gt;1,COUNTIF(Decisions!$C$2:$C$132,A2)&lt;&gt;1),"CHECK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2025::jama.2025.24175::C002</x:v>
      </x:c>
      <x:c r="B3" s="3" t="str">
        <x:v>Protocol and report IFN-gamma dose comparison</x:v>
      </x:c>
      <x:c r="C3" s="3" t="str">
        <x:v>DOC-002 protocol, PDF p. 6; DOC-001 regimen, PDF p. 2.</x:v>
      </x:c>
      <x:c r="D3" s="7" t="str"/>
      <x:c r="E3" s="7" t="str">
        <x:v>protocol_report</x:v>
      </x:c>
      <x:c r="F3" s="7" t="str">
        <x:v>no</x:v>
      </x:c>
      <x:c r="G3" s="3" t="str">
        <x:f>IFERROR(IF(NOT(OR(Setup!$B$6="primary",Setup!$B$6="checker")),"CHECK STAGE",IF(OR(LEN(TRIM(Setup!$B$2))=0,Setup!$B$2&lt;&gt;TRIM(Setup!$B$2),AND(Setup!$B$6="checker",OR(LEN(TRIM(Setup!$B$4))=0,Setup!$B$4&lt;&gt;TRIM(Setup!$B$4),LOWER(TRIM(Setup!$B$4))=LOWER(TRIM(Setup!$B$2))))),"CHECK REVIEWER IDs",IF(OR(COUNTIF($A$2:$A$15,A3)&lt;&gt;1,COUNTIF(Decisions!$C$2:$C$132,A3)&lt;&gt;1),"CHECK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2025::jama.2025.24175::C003</x:v>
      </x:c>
      <x:c r="B4" s="6" t="str">
        <x:v>Primary responder cutoff comparison</x:v>
      </x:c>
      <x:c r="C4" s="6" t="str">
        <x:v>DOC-002 protocol, PDF p. 7; DOC-001 report, PDF p. 1; DOC-002 SAP, PDF p. 66.</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IDs",IF(OR(COUNTIF($A$2:$A$15,A4)&lt;&gt;1,COUNTIF(Decisions!$C$2:$C$132,A4)&lt;&gt;1),"CHECK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2025::jama.2025.24175::C004</x:v>
      </x:c>
      <x:c r="B5" s="3" t="str">
        <x:v>Immunoparalysis entry-classification threshold comparison</x:v>
      </x:c>
      <x:c r="C5" s="3" t="str">
        <x:v>DOC-002 protocol, PDF p. 9; DOC-003 eMethods, PDF p. 13; DOC-002 SAP reversal definition, PDF p. 69.</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IDs",IF(OR(COUNTIF($A$2:$A$15,A5)&lt;&gt;1,COUNTIF(Decisions!$C$2:$C$132,A5)&lt;&gt;1),"CHECK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2025::jama.2025.24175::C005</x:v>
      </x:c>
      <x:c r="B6" s="6" t="str">
        <x:v>Protocol sample-size, dropout, and total-target arithmetic</x:v>
      </x:c>
      <x:c r="C6" s="6" t="str">
        <x:v>DOC-002 protocol, PDF p. 25 and PDF p. 26.</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IDs",IF(OR(COUNTIF($A$2:$A$15,A6)&lt;&gt;1,COUNTIF(Decisions!$C$2:$C$132,A6)&lt;&gt;1),"CHECK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2025::jama.2025.24175::C006</x:v>
      </x:c>
      <x:c r="B7" s="3" t="str">
        <x:v>Historical-trial narrative and flow diagram death counts</x:v>
      </x:c>
      <x:c r="C7" s="3" t="str">
        <x:v>DOC-002 narrative, PDF p. 41; DOC-002 Figure 1, PDF p. 50.</x:v>
      </x:c>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IDs",IF(OR(COUNTIF($A$2:$A$15,A7)&lt;&gt;1,COUNTIF(Decisions!$C$2:$C$132,A7)&lt;&gt;1),"CHECK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row r="8" ht="92" customHeight="1">
      <x:c r="A8" s="6" t="str">
        <x:v>2025::jama.2025.24175::C007</x:v>
      </x:c>
      <x:c r="B8" s="6" t="str">
        <x:v>APACHE II Table 2 P value versus displayed t-test inputs</x:v>
      </x:c>
      <x:c r="C8" s="6" t="str">
        <x:v>DOC-002 Table 2, PDF p. 48.</x:v>
      </x:c>
      <x:c r="D8" s="7" t="str"/>
      <x:c r="E8" s="7" t="str">
        <x:v>plan_material</x:v>
      </x:c>
      <x:c r="F8" s="7" t="str">
        <x:v>no</x:v>
      </x:c>
      <x:c r="G8" s="6" t="str">
        <x:f>IFERROR(IF(NOT(OR(Setup!$B$6="primary",Setup!$B$6="checker")),"CHECK STAGE",IF(OR(LEN(TRIM(Setup!$B$2))=0,Setup!$B$2&lt;&gt;TRIM(Setup!$B$2),AND(Setup!$B$6="checker",OR(LEN(TRIM(Setup!$B$4))=0,Setup!$B$4&lt;&gt;TRIM(Setup!$B$4),LOWER(TRIM(Setup!$B$4))=LOWER(TRIM(Setup!$B$2))))),"CHECK REVIEWER IDs",IF(OR(COUNTIF($A$2:$A$15,A8)&lt;&gt;1,COUNTIF(Decisions!$C$2:$C$132,A8)&lt;&gt;1),"CHECK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$132,A8)&lt;&gt;1,INDEX('Primary_snapshot'!$J$2:$J$132,MATCH(A8,'Primary_snapshot'!$A$2:$A$132,0))&lt;&gt;"primary_done",INDEX('Primary_snapshot'!$K$2:$K$132,MATCH(A8,'Primary_snapshot'!$A$2:$A$132,0))&lt;&gt;Setup!$B$2,INDEX('Primary_snapshot'!$B$2:$B$132,MATCH(A8,'Primary_snapshot'!$A$2:$A$132,0))="NOT FROZEN",INDEX('Primary_snapshot'!$C$2:$C$132,MATCH(A8,'Primary_snapshot'!$A$2:$A$132,0))="NOT FROZEN",INDEX('Primary_snapshot'!$D$2:$D$132,MATCH(A8,'Primary_snapshot'!$A$2:$A$132,0))="NOT FROZEN",INDEX('Primary_snapshot'!$E$2:$E$132,MATCH(A8,'Primary_snapshot'!$A$2:$A$132,0))="NOT FROZEN",INDEX('Primary_snapshot'!$F$2:$F$132,MATCH(A8,'Primary_snapshot'!$A$2:$A$132,0))="NOT FROZEN",INDEX('Primary_snapshot'!$G$2:$G$132,MATCH(A8,'Primary_snapshot'!$A$2:$A$132,0))="NOT FROZEN",INDEX('Primary_snapshot'!$H$2:$H$132,MATCH(A8,'Primary_snapshot'!$A$2:$A$132,0))="NOT FROZEN",INDEX('Primary_snapshot'!$I$2:$I$132,MATCH(A8,'Primary_snapshot'!$A$2:$A$132,0))="NOT FROZEN",INDEX('Primary_snapshot'!$J$2:$J$132,MATCH(A8,'Primary_snapshot'!$A$2:$A$132,0))="NOT FROZEN",INDEX('Primary_snapshot'!$K$2:$K$132,MATCH(A8,'Primary_snapshot'!$A$2:$A$132,0))="NOT FROZEN",INDEX('Primary_snapshot'!$L$2:$L$132,MATCH(A8,'Primary_snapshot'!$A$2:$A$132,0))="NOT FROZEN"),"FREEZE SNAPSHOT",IF(NOT(OR(N8="agree",N8="agree_clarification",N8="disagree",N8="unable")),"CHECKER RESULT NEEDED",IF(AND(N8&lt;&gt;"agree",LEN(TRIM(O8))=0),"COMMENT NEEDED",IF(AND(N8="agree",NOT(AND(IF(D8="","",D8)=IF(INDEX('Primary_snapshot'!$B$2:$B$132,MATCH(A8,'Primary_snapshot'!$A$2:$A$132,0))="","",INDEX('Primary_snapshot'!$B$2:$B$132,MATCH(A8,'Primary_snapshot'!$A$2:$A$132,0))),IF(E8="","",E8)=IF(INDEX('Primary_snapshot'!$C$2:$C$132,MATCH(A8,'Primary_snapshot'!$A$2:$A$132,0))="","",INDEX('Primary_snapshot'!$C$2:$C$132,MATCH(A8,'Primary_snapshot'!$A$2:$A$132,0))),IF(AND(D8="retain",E8="statistical_results"),IF(H8="","",H8),"not_applicable")=IF(INDEX('Primary_snapshot'!$D$2:$D$132,MATCH(A8,'Primary_snapshot'!$A$2:$A$132,0))="","",INDEX('Primary_snapshot'!$D$2:$D$132,MATCH(A8,'Primary_snapshot'!$A$2:$A$132,0))),IF(AND(D8="retain",E8="statistical_results"),IF(I8="","",I8),"not_applicable")=IF(INDEX('Primary_snapshot'!$E$2:$E$132,MATCH(A8,'Primary_snapshot'!$A$2:$A$132,0))="","",INDEX('Primary_snapshot'!$E$2:$E$132,MATCH(A8,'Primary_snapshot'!$A$2:$A$132,0))),IF(AND(D8="retain",E8="statistical_results"),IF(J8="","",J8),"not_applicable")=IF(INDEX('Primary_snapshot'!$F$2:$F$132,MATCH(A8,'Primary_snapshot'!$A$2:$A$132,0))="","",INDEX('Primary_snapshot'!$F$2:$F$132,MATCH(A8,'Primary_snapshot'!$A$2:$A$132,0))),IF(AND(D8="retain",OR(E8="report_internal_inconsistency",E8="plan_material")),IF(K8="","",K8),"not_applicable")=IF(INDEX('Primary_snapshot'!$G$2:$G$132,MATCH(A8,'Primary_snapshot'!$A$2:$A$132,0))="","",INDEX('Primary_snapshot'!$G$2:$G$132,MATCH(A8,'Primary_snapshot'!$A$2:$A$132,0))),IF(AND(D8="retain",E8="protocol_report"),IF(L8="","",L8),"not_applicable")=IF(INDEX('Primary_snapshot'!$H$2:$H$132,MATCH(A8,'Primary_snapshot'!$A$2:$A$132,0))="","",INDEX('Primary_snapshot'!$H$2:$H$132,MATCH(A8,'Primary_snapshot'!$A$2:$A$132,0))),IF(R8="","",R8)=IF(INDEX('Primary_snapshot'!$I$2:$I$132,MATCH(A8,'Primary_snapshot'!$A$2:$A$132,0))="","",INDEX('Primary_snapshot'!$I$2:$I$132,MATCH(A8,'Primary_snapshot'!$A$2:$A$132,0)))))),"AGREE BUT CHANGED",IF(AND(P8&lt;&gt;"",NOT(OR(P8="pending",P8="resolved"))),"CHECK RESOLUTION",IF(OR(AND(OR(D8="discuss",INDEX('Primary_snapshot'!$B$2:$B$132,MATCH(A8,'Primary_snapshot'!$A$2:$A$132,0))="discuss",N8="disagree",N8="unable"),P8&lt;&gt;"resolved"),D8="discuss"),"DISCUSS",IF(AND(P8="resolved",LEN(TRIM(Q8))=0),"RESOLUTION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IF(Setup!$B$6="primary","",IFERROR(IF(INDEX('Primary_snapshot'!$L$2:$L$132,MATCH(A8,'Primary_snapshot'!$A$2:$A$132,0))="","",INDEX('Primary_snapshot'!$L$2:$L$132,MATCH(A8,'Primary_snapshot'!$A$2:$A$132,0))),"SNAPSHOT MISSING"))</x:f>
      </x:c>
      <x:c r="N8" s="7" t="str"/>
      <x:c r="O8" s="7" t="str"/>
      <x:c r="P8" s="7" t="str"/>
      <x:c r="Q8" s="7" t="str"/>
      <x:c r="R8" s="13" t="str"/>
    </x:row>
    <x:row r="9" ht="92" customHeight="1">
      <x:c r="A9" s="3" t="str">
        <x:v>2025::jama.2025.24175::C008</x:v>
      </x:c>
      <x:c r="B9" s="3" t="str">
        <x:v>Figure 1 septic-shock classification children exceed their parent total</x:v>
      </x:c>
      <x:c r="C9" s="3" t="str">
        <x:v>DOC-002 Figure 1, PDF p. 50.</x:v>
      </x:c>
      <x:c r="D9" s="7" t="str"/>
      <x:c r="E9" s="7" t="str">
        <x:v>plan_material</x:v>
      </x:c>
      <x:c r="F9" s="7" t="str">
        <x:v>no</x:v>
      </x:c>
      <x:c r="G9" s="3" t="str">
        <x:f>IFERROR(IF(NOT(OR(Setup!$B$6="primary",Setup!$B$6="checker")),"CHECK STAGE",IF(OR(LEN(TRIM(Setup!$B$2))=0,Setup!$B$2&lt;&gt;TRIM(Setup!$B$2),AND(Setup!$B$6="checker",OR(LEN(TRIM(Setup!$B$4))=0,Setup!$B$4&lt;&gt;TRIM(Setup!$B$4),LOWER(TRIM(Setup!$B$4))=LOWER(TRIM(Setup!$B$2))))),"CHECK REVIEWER IDs",IF(OR(COUNTIF($A$2:$A$15,A9)&lt;&gt;1,COUNTIF(Decisions!$C$2:$C$132,A9)&lt;&gt;1),"CHECK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$132,A9)&lt;&gt;1,INDEX('Primary_snapshot'!$J$2:$J$132,MATCH(A9,'Primary_snapshot'!$A$2:$A$132,0))&lt;&gt;"primary_done",INDEX('Primary_snapshot'!$K$2:$K$132,MATCH(A9,'Primary_snapshot'!$A$2:$A$132,0))&lt;&gt;Setup!$B$2,INDEX('Primary_snapshot'!$B$2:$B$132,MATCH(A9,'Primary_snapshot'!$A$2:$A$132,0))="NOT FROZEN",INDEX('Primary_snapshot'!$C$2:$C$132,MATCH(A9,'Primary_snapshot'!$A$2:$A$132,0))="NOT FROZEN",INDEX('Primary_snapshot'!$D$2:$D$132,MATCH(A9,'Primary_snapshot'!$A$2:$A$132,0))="NOT FROZEN",INDEX('Primary_snapshot'!$E$2:$E$132,MATCH(A9,'Primary_snapshot'!$A$2:$A$132,0))="NOT FROZEN",INDEX('Primary_snapshot'!$F$2:$F$132,MATCH(A9,'Primary_snapshot'!$A$2:$A$132,0))="NOT FROZEN",INDEX('Primary_snapshot'!$G$2:$G$132,MATCH(A9,'Primary_snapshot'!$A$2:$A$132,0))="NOT FROZEN",INDEX('Primary_snapshot'!$H$2:$H$132,MATCH(A9,'Primary_snapshot'!$A$2:$A$132,0))="NOT FROZEN",INDEX('Primary_snapshot'!$I$2:$I$132,MATCH(A9,'Primary_snapshot'!$A$2:$A$132,0))="NOT FROZEN",INDEX('Primary_snapshot'!$J$2:$J$132,MATCH(A9,'Primary_snapshot'!$A$2:$A$132,0))="NOT FROZEN",INDEX('Primary_snapshot'!$K$2:$K$132,MATCH(A9,'Primary_snapshot'!$A$2:$A$132,0))="NOT FROZEN",INDEX('Primary_snapshot'!$L$2:$L$132,MATCH(A9,'Primary_snapshot'!$A$2:$A$132,0))="NOT FROZEN"),"FREEZE SNAPSHOT",IF(NOT(OR(N9="agree",N9="agree_clarification",N9="disagree",N9="unable")),"CHECKER RESULT NEEDED",IF(AND(N9&lt;&gt;"agree",LEN(TRIM(O9))=0),"COMMENT NEEDED",IF(AND(N9="agree",NOT(AND(IF(D9="","",D9)=IF(INDEX('Primary_snapshot'!$B$2:$B$132,MATCH(A9,'Primary_snapshot'!$A$2:$A$132,0))="","",INDEX('Primary_snapshot'!$B$2:$B$132,MATCH(A9,'Primary_snapshot'!$A$2:$A$132,0))),IF(E9="","",E9)=IF(INDEX('Primary_snapshot'!$C$2:$C$132,MATCH(A9,'Primary_snapshot'!$A$2:$A$132,0))="","",INDEX('Primary_snapshot'!$C$2:$C$132,MATCH(A9,'Primary_snapshot'!$A$2:$A$132,0))),IF(AND(D9="retain",E9="statistical_results"),IF(H9="","",H9),"not_applicable")=IF(INDEX('Primary_snapshot'!$D$2:$D$132,MATCH(A9,'Primary_snapshot'!$A$2:$A$132,0))="","",INDEX('Primary_snapshot'!$D$2:$D$132,MATCH(A9,'Primary_snapshot'!$A$2:$A$132,0))),IF(AND(D9="retain",E9="statistical_results"),IF(I9="","",I9),"not_applicable")=IF(INDEX('Primary_snapshot'!$E$2:$E$132,MATCH(A9,'Primary_snapshot'!$A$2:$A$132,0))="","",INDEX('Primary_snapshot'!$E$2:$E$132,MATCH(A9,'Primary_snapshot'!$A$2:$A$132,0))),IF(AND(D9="retain",E9="statistical_results"),IF(J9="","",J9),"not_applicable")=IF(INDEX('Primary_snapshot'!$F$2:$F$132,MATCH(A9,'Primary_snapshot'!$A$2:$A$132,0))="","",INDEX('Primary_snapshot'!$F$2:$F$132,MATCH(A9,'Primary_snapshot'!$A$2:$A$132,0))),IF(AND(D9="retain",OR(E9="report_internal_inconsistency",E9="plan_material")),IF(K9="","",K9),"not_applicable")=IF(INDEX('Primary_snapshot'!$G$2:$G$132,MATCH(A9,'Primary_snapshot'!$A$2:$A$132,0))="","",INDEX('Primary_snapshot'!$G$2:$G$132,MATCH(A9,'Primary_snapshot'!$A$2:$A$132,0))),IF(AND(D9="retain",E9="protocol_report"),IF(L9="","",L9),"not_applicable")=IF(INDEX('Primary_snapshot'!$H$2:$H$132,MATCH(A9,'Primary_snapshot'!$A$2:$A$132,0))="","",INDEX('Primary_snapshot'!$H$2:$H$132,MATCH(A9,'Primary_snapshot'!$A$2:$A$132,0))),IF(R9="","",R9)=IF(INDEX('Primary_snapshot'!$I$2:$I$132,MATCH(A9,'Primary_snapshot'!$A$2:$A$132,0))="","",INDEX('Primary_snapshot'!$I$2:$I$132,MATCH(A9,'Primary_snapshot'!$A$2:$A$132,0)))))),"AGREE BUT CHANGED",IF(AND(P9&lt;&gt;"",NOT(OR(P9="pending",P9="resolved"))),"CHECK RESOLUTION",IF(OR(AND(OR(D9="discuss",INDEX('Primary_snapshot'!$B$2:$B$132,MATCH(A9,'Primary_snapshot'!$A$2:$A$132,0))="discuss",N9="disagree",N9="unable"),P9&lt;&gt;"resolved"),D9="discuss"),"DISCUSS",IF(AND(P9="resolved",LEN(TRIM(Q9))=0),"RESOLUTION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IF(Setup!$B$6="primary","",IFERROR(IF(INDEX('Primary_snapshot'!$L$2:$L$132,MATCH(A9,'Primary_snapshot'!$A$2:$A$132,0))="","",INDEX('Primary_snapshot'!$L$2:$L$132,MATCH(A9,'Primary_snapshot'!$A$2:$A$132,0))),"SNAPSHOT MISSING"))</x:f>
      </x:c>
      <x:c r="N9" s="7" t="str"/>
      <x:c r="O9" s="7" t="str"/>
      <x:c r="P9" s="7" t="str"/>
      <x:c r="Q9" s="7" t="str"/>
      <x:c r="R9" s="13" t="str"/>
    </x:row>
    <x:row r="10" ht="92" customHeight="1">
      <x:c r="A10" s="6" t="str">
        <x:v>2025::jama.2025.24175::C009</x:v>
      </x:c>
      <x:c r="B10" s="6" t="str">
        <x:v>ImmunoSep study-site totals across report, protocol, and SAP</x:v>
      </x:c>
      <x:c r="C10" s="6" t="str">
        <x:v>DOC-001 report, PDF p. 2; DOC-002 protocol, PDF p. 10; DOC-002 SAP, PDF p. 65; PDF p. 67.</x:v>
      </x:c>
      <x:c r="D10" s="7" t="str"/>
      <x:c r="E10" s="7" t="str">
        <x:v>protocol_report</x:v>
      </x:c>
      <x:c r="F10" s="7" t="str">
        <x:v>no</x:v>
      </x:c>
      <x:c r="G10" s="6" t="str">
        <x:f>IFERROR(IF(NOT(OR(Setup!$B$6="primary",Setup!$B$6="checker")),"CHECK STAGE",IF(OR(LEN(TRIM(Setup!$B$2))=0,Setup!$B$2&lt;&gt;TRIM(Setup!$B$2),AND(Setup!$B$6="checker",OR(LEN(TRIM(Setup!$B$4))=0,Setup!$B$4&lt;&gt;TRIM(Setup!$B$4),LOWER(TRIM(Setup!$B$4))=LOWER(TRIM(Setup!$B$2))))),"CHECK REVIEWER IDs",IF(OR(COUNTIF($A$2:$A$15,A10)&lt;&gt;1,COUNTIF(Decisions!$C$2:$C$132,A10)&lt;&gt;1),"CHECK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$132,A10)&lt;&gt;1,INDEX('Primary_snapshot'!$J$2:$J$132,MATCH(A10,'Primary_snapshot'!$A$2:$A$132,0))&lt;&gt;"primary_done",INDEX('Primary_snapshot'!$K$2:$K$132,MATCH(A10,'Primary_snapshot'!$A$2:$A$132,0))&lt;&gt;Setup!$B$2,INDEX('Primary_snapshot'!$B$2:$B$132,MATCH(A10,'Primary_snapshot'!$A$2:$A$132,0))="NOT FROZEN",INDEX('Primary_snapshot'!$C$2:$C$132,MATCH(A10,'Primary_snapshot'!$A$2:$A$132,0))="NOT FROZEN",INDEX('Primary_snapshot'!$D$2:$D$132,MATCH(A10,'Primary_snapshot'!$A$2:$A$132,0))="NOT FROZEN",INDEX('Primary_snapshot'!$E$2:$E$132,MATCH(A10,'Primary_snapshot'!$A$2:$A$132,0))="NOT FROZEN",INDEX('Primary_snapshot'!$F$2:$F$132,MATCH(A10,'Primary_snapshot'!$A$2:$A$132,0))="NOT FROZEN",INDEX('Primary_snapshot'!$G$2:$G$132,MATCH(A10,'Primary_snapshot'!$A$2:$A$132,0))="NOT FROZEN",INDEX('Primary_snapshot'!$H$2:$H$132,MATCH(A10,'Primary_snapshot'!$A$2:$A$132,0))="NOT FROZEN",INDEX('Primary_snapshot'!$I$2:$I$132,MATCH(A10,'Primary_snapshot'!$A$2:$A$132,0))="NOT FROZEN",INDEX('Primary_snapshot'!$J$2:$J$132,MATCH(A10,'Primary_snapshot'!$A$2:$A$132,0))="NOT FROZEN",INDEX('Primary_snapshot'!$K$2:$K$132,MATCH(A10,'Primary_snapshot'!$A$2:$A$132,0))="NOT FROZEN",INDEX('Primary_snapshot'!$L$2:$L$132,MATCH(A10,'Primary_snapshot'!$A$2:$A$132,0))="NOT FROZEN"),"FREEZE SNAPSHOT",IF(NOT(OR(N10="agree",N10="agree_clarification",N10="disagree",N10="unable")),"CHECKER RESULT NEEDED",IF(AND(N10&lt;&gt;"agree",LEN(TRIM(O10))=0),"COMMENT NEEDED",IF(AND(N10="agree",NOT(AND(IF(D10="","",D10)=IF(INDEX('Primary_snapshot'!$B$2:$B$132,MATCH(A10,'Primary_snapshot'!$A$2:$A$132,0))="","",INDEX('Primary_snapshot'!$B$2:$B$132,MATCH(A10,'Primary_snapshot'!$A$2:$A$132,0))),IF(E10="","",E10)=IF(INDEX('Primary_snapshot'!$C$2:$C$132,MATCH(A10,'Primary_snapshot'!$A$2:$A$132,0))="","",INDEX('Primary_snapshot'!$C$2:$C$132,MATCH(A10,'Primary_snapshot'!$A$2:$A$132,0))),IF(AND(D10="retain",E10="statistical_results"),IF(H10="","",H10),"not_applicable")=IF(INDEX('Primary_snapshot'!$D$2:$D$132,MATCH(A10,'Primary_snapshot'!$A$2:$A$132,0))="","",INDEX('Primary_snapshot'!$D$2:$D$132,MATCH(A10,'Primary_snapshot'!$A$2:$A$132,0))),IF(AND(D10="retain",E10="statistical_results"),IF(I10="","",I10),"not_applicable")=IF(INDEX('Primary_snapshot'!$E$2:$E$132,MATCH(A10,'Primary_snapshot'!$A$2:$A$132,0))="","",INDEX('Primary_snapshot'!$E$2:$E$132,MATCH(A10,'Primary_snapshot'!$A$2:$A$132,0))),IF(AND(D10="retain",E10="statistical_results"),IF(J10="","",J10),"not_applicable")=IF(INDEX('Primary_snapshot'!$F$2:$F$132,MATCH(A10,'Primary_snapshot'!$A$2:$A$132,0))="","",INDEX('Primary_snapshot'!$F$2:$F$132,MATCH(A10,'Primary_snapshot'!$A$2:$A$132,0))),IF(AND(D10="retain",OR(E10="report_internal_inconsistency",E10="plan_material")),IF(K10="","",K10),"not_applicable")=IF(INDEX('Primary_snapshot'!$G$2:$G$132,MATCH(A10,'Primary_snapshot'!$A$2:$A$132,0))="","",INDEX('Primary_snapshot'!$G$2:$G$132,MATCH(A10,'Primary_snapshot'!$A$2:$A$132,0))),IF(AND(D10="retain",E10="protocol_report"),IF(L10="","",L10),"not_applicable")=IF(INDEX('Primary_snapshot'!$H$2:$H$132,MATCH(A10,'Primary_snapshot'!$A$2:$A$132,0))="","",INDEX('Primary_snapshot'!$H$2:$H$132,MATCH(A10,'Primary_snapshot'!$A$2:$A$132,0))),IF(R10="","",R10)=IF(INDEX('Primary_snapshot'!$I$2:$I$132,MATCH(A10,'Primary_snapshot'!$A$2:$A$132,0))="","",INDEX('Primary_snapshot'!$I$2:$I$132,MATCH(A10,'Primary_snapshot'!$A$2:$A$132,0)))))),"AGREE BUT CHANGED",IF(AND(P10&lt;&gt;"",NOT(OR(P10="pending",P10="resolved"))),"CHECK RESOLUTION",IF(OR(AND(OR(D10="discuss",INDEX('Primary_snapshot'!$B$2:$B$132,MATCH(A10,'Primary_snapshot'!$A$2:$A$132,0))="discuss",N10="disagree",N10="unable"),P10&lt;&gt;"resolved"),D10="discuss"),"DISCUSS",IF(AND(P10="resolved",LEN(TRIM(Q10))=0),"RESOLUTION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v>not_applicable</x:v>
      </x:c>
      <x:c r="L10" s="13" t="str">
        <x:f>IF(AND(OR(D10="retain",D10=""),E10="protocol_report"),"","not_applicable")</x:f>
      </x:c>
      <x:c r="M10" s="6" t="str">
        <x:f>IF(Setup!$B$6="primary","",IFERROR(IF(INDEX('Primary_snapshot'!$L$2:$L$132,MATCH(A10,'Primary_snapshot'!$A$2:$A$132,0))="","",INDEX('Primary_snapshot'!$L$2:$L$132,MATCH(A10,'Primary_snapshot'!$A$2:$A$132,0))),"SNAPSHOT MISSING"))</x:f>
      </x:c>
      <x:c r="N10" s="7" t="str"/>
      <x:c r="O10" s="7" t="str"/>
      <x:c r="P10" s="7" t="str"/>
      <x:c r="Q10" s="7" t="str"/>
      <x:c r="R10" s="13" t="str"/>
    </x:row>
    <x:row r="11" ht="92" customHeight="1">
      <x:c r="A11" s="3" t="str">
        <x:v>2025::jama.2025.24175::C010</x:v>
      </x:c>
      <x:c r="B11" s="3" t="str">
        <x:v>Figure 2C relative-risk label versus displayed association</x:v>
      </x:c>
      <x:c r="C11" s="3" t="str">
        <x:v>DOC-002 Figure 2C, PDF p. 51; DOC-002 Figure 3, PDF p. 52.</x:v>
      </x:c>
      <x:c r="D11" s="7" t="str"/>
      <x:c r="E11" s="7" t="str">
        <x:v>plan_material</x:v>
      </x:c>
      <x:c r="F11" s="7" t="str">
        <x:v>no</x:v>
      </x:c>
      <x:c r="G11" s="3" t="str">
        <x:f>IFERROR(IF(NOT(OR(Setup!$B$6="primary",Setup!$B$6="checker")),"CHECK STAGE",IF(OR(LEN(TRIM(Setup!$B$2))=0,Setup!$B$2&lt;&gt;TRIM(Setup!$B$2),AND(Setup!$B$6="checker",OR(LEN(TRIM(Setup!$B$4))=0,Setup!$B$4&lt;&gt;TRIM(Setup!$B$4),LOWER(TRIM(Setup!$B$4))=LOWER(TRIM(Setup!$B$2))))),"CHECK REVIEWER IDs",IF(OR(COUNTIF($A$2:$A$15,A11)&lt;&gt;1,COUNTIF(Decisions!$C$2:$C$132,A11)&lt;&gt;1),"CHECK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$132,A11)&lt;&gt;1,INDEX('Primary_snapshot'!$J$2:$J$132,MATCH(A11,'Primary_snapshot'!$A$2:$A$132,0))&lt;&gt;"primary_done",INDEX('Primary_snapshot'!$K$2:$K$132,MATCH(A11,'Primary_snapshot'!$A$2:$A$132,0))&lt;&gt;Setup!$B$2,INDEX('Primary_snapshot'!$B$2:$B$132,MATCH(A11,'Primary_snapshot'!$A$2:$A$132,0))="NOT FROZEN",INDEX('Primary_snapshot'!$C$2:$C$132,MATCH(A11,'Primary_snapshot'!$A$2:$A$132,0))="NOT FROZEN",INDEX('Primary_snapshot'!$D$2:$D$132,MATCH(A11,'Primary_snapshot'!$A$2:$A$132,0))="NOT FROZEN",INDEX('Primary_snapshot'!$E$2:$E$132,MATCH(A11,'Primary_snapshot'!$A$2:$A$132,0))="NOT FROZEN",INDEX('Primary_snapshot'!$F$2:$F$132,MATCH(A11,'Primary_snapshot'!$A$2:$A$132,0))="NOT FROZEN",INDEX('Primary_snapshot'!$G$2:$G$132,MATCH(A11,'Primary_snapshot'!$A$2:$A$132,0))="NOT FROZEN",INDEX('Primary_snapshot'!$H$2:$H$132,MATCH(A11,'Primary_snapshot'!$A$2:$A$132,0))="NOT FROZEN",INDEX('Primary_snapshot'!$I$2:$I$132,MATCH(A11,'Primary_snapshot'!$A$2:$A$132,0))="NOT FROZEN",INDEX('Primary_snapshot'!$J$2:$J$132,MATCH(A11,'Primary_snapshot'!$A$2:$A$132,0))="NOT FROZEN",INDEX('Primary_snapshot'!$K$2:$K$132,MATCH(A11,'Primary_snapshot'!$A$2:$A$132,0))="NOT FROZEN",INDEX('Primary_snapshot'!$L$2:$L$132,MATCH(A11,'Primary_snapshot'!$A$2:$A$132,0))="NOT FROZEN"),"FREEZE SNAPSHOT",IF(NOT(OR(N11="agree",N11="agree_clarification",N11="disagree",N11="unable")),"CHECKER RESULT NEEDED",IF(AND(N11&lt;&gt;"agree",LEN(TRIM(O11))=0),"COMMENT NEEDED",IF(AND(N11="agree",NOT(AND(IF(D11="","",D11)=IF(INDEX('Primary_snapshot'!$B$2:$B$132,MATCH(A11,'Primary_snapshot'!$A$2:$A$132,0))="","",INDEX('Primary_snapshot'!$B$2:$B$132,MATCH(A11,'Primary_snapshot'!$A$2:$A$132,0))),IF(E11="","",E11)=IF(INDEX('Primary_snapshot'!$C$2:$C$132,MATCH(A11,'Primary_snapshot'!$A$2:$A$132,0))="","",INDEX('Primary_snapshot'!$C$2:$C$132,MATCH(A11,'Primary_snapshot'!$A$2:$A$132,0))),IF(AND(D11="retain",E11="statistical_results"),IF(H11="","",H11),"not_applicable")=IF(INDEX('Primary_snapshot'!$D$2:$D$132,MATCH(A11,'Primary_snapshot'!$A$2:$A$132,0))="","",INDEX('Primary_snapshot'!$D$2:$D$132,MATCH(A11,'Primary_snapshot'!$A$2:$A$132,0))),IF(AND(D11="retain",E11="statistical_results"),IF(I11="","",I11),"not_applicable")=IF(INDEX('Primary_snapshot'!$E$2:$E$132,MATCH(A11,'Primary_snapshot'!$A$2:$A$132,0))="","",INDEX('Primary_snapshot'!$E$2:$E$132,MATCH(A11,'Primary_snapshot'!$A$2:$A$132,0))),IF(AND(D11="retain",E11="statistical_results"),IF(J11="","",J11),"not_applicable")=IF(INDEX('Primary_snapshot'!$F$2:$F$132,MATCH(A11,'Primary_snapshot'!$A$2:$A$132,0))="","",INDEX('Primary_snapshot'!$F$2:$F$132,MATCH(A11,'Primary_snapshot'!$A$2:$A$132,0))),IF(AND(D11="retain",OR(E11="report_internal_inconsistency",E11="plan_material")),IF(K11="","",K11),"not_applicable")=IF(INDEX('Primary_snapshot'!$G$2:$G$132,MATCH(A11,'Primary_snapshot'!$A$2:$A$132,0))="","",INDEX('Primary_snapshot'!$G$2:$G$132,MATCH(A11,'Primary_snapshot'!$A$2:$A$132,0))),IF(AND(D11="retain",E11="protocol_report"),IF(L11="","",L11),"not_applicable")=IF(INDEX('Primary_snapshot'!$H$2:$H$132,MATCH(A11,'Primary_snapshot'!$A$2:$A$132,0))="","",INDEX('Primary_snapshot'!$H$2:$H$132,MATCH(A11,'Primary_snapshot'!$A$2:$A$132,0))),IF(R11="","",R11)=IF(INDEX('Primary_snapshot'!$I$2:$I$132,MATCH(A11,'Primary_snapshot'!$A$2:$A$132,0))="","",INDEX('Primary_snapshot'!$I$2:$I$132,MATCH(A11,'Primary_snapshot'!$A$2:$A$132,0)))))),"AGREE BUT CHANGED",IF(AND(P11&lt;&gt;"",NOT(OR(P11="pending",P11="resolved"))),"CHECK RESOLUTION",IF(OR(AND(OR(D11="discuss",INDEX('Primary_snapshot'!$B$2:$B$132,MATCH(A11,'Primary_snapshot'!$A$2:$A$132,0))="discuss",N11="disagree",N11="unable"),P11&lt;&gt;"resolved"),D11="discuss"),"DISCUSS",IF(AND(P11="resolved",LEN(TRIM(Q11))=0),"RESOLUTION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IF(Setup!$B$6="primary","",IFERROR(IF(INDEX('Primary_snapshot'!$L$2:$L$132,MATCH(A11,'Primary_snapshot'!$A$2:$A$132,0))="","",INDEX('Primary_snapshot'!$L$2:$L$132,MATCH(A11,'Primary_snapshot'!$A$2:$A$132,0))),"SNAPSHOT MISSING"))</x:f>
      </x:c>
      <x:c r="N11" s="7" t="str"/>
      <x:c r="O11" s="7" t="str"/>
      <x:c r="P11" s="7" t="str"/>
      <x:c r="Q11" s="7" t="str"/>
      <x:c r="R11" s="13" t="str"/>
    </x:row>
    <x:row r="12" ht="92" customHeight="1">
      <x:c r="A12" s="6" t="str">
        <x:v>2025::jama.2025.24175::C011</x:v>
      </x:c>
      <x:c r="B12" s="6" t="str">
        <x:v>eTable 10 SII day-15 OR versus counts, CI, and P value</x:v>
      </x:c>
      <x:c r="C12" s="6" t="str">
        <x:v>DOC-003 eTable 10, PDF p. 22.</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IDs",IF(OR(COUNTIF($A$2:$A$15,A12)&lt;&gt;1,COUNTIF(Decisions!$C$2:$C$132,A12)&lt;&gt;1),"CHECK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$132,A12)&lt;&gt;1,INDEX('Primary_snapshot'!$J$2:$J$132,MATCH(A12,'Primary_snapshot'!$A$2:$A$132,0))&lt;&gt;"primary_done",INDEX('Primary_snapshot'!$K$2:$K$132,MATCH(A12,'Primary_snapshot'!$A$2:$A$132,0))&lt;&gt;Setup!$B$2,INDEX('Primary_snapshot'!$B$2:$B$132,MATCH(A12,'Primary_snapshot'!$A$2:$A$132,0))="NOT FROZEN",INDEX('Primary_snapshot'!$C$2:$C$132,MATCH(A12,'Primary_snapshot'!$A$2:$A$132,0))="NOT FROZEN",INDEX('Primary_snapshot'!$D$2:$D$132,MATCH(A12,'Primary_snapshot'!$A$2:$A$132,0))="NOT FROZEN",INDEX('Primary_snapshot'!$E$2:$E$132,MATCH(A12,'Primary_snapshot'!$A$2:$A$132,0))="NOT FROZEN",INDEX('Primary_snapshot'!$F$2:$F$132,MATCH(A12,'Primary_snapshot'!$A$2:$A$132,0))="NOT FROZEN",INDEX('Primary_snapshot'!$G$2:$G$132,MATCH(A12,'Primary_snapshot'!$A$2:$A$132,0))="NOT FROZEN",INDEX('Primary_snapshot'!$H$2:$H$132,MATCH(A12,'Primary_snapshot'!$A$2:$A$132,0))="NOT FROZEN",INDEX('Primary_snapshot'!$I$2:$I$132,MATCH(A12,'Primary_snapshot'!$A$2:$A$132,0))="NOT FROZEN",INDEX('Primary_snapshot'!$J$2:$J$132,MATCH(A12,'Primary_snapshot'!$A$2:$A$132,0))="NOT FROZEN",INDEX('Primary_snapshot'!$K$2:$K$132,MATCH(A12,'Primary_snapshot'!$A$2:$A$132,0))="NOT FROZEN",INDEX('Primary_snapshot'!$L$2:$L$132,MATCH(A12,'Primary_snapshot'!$A$2:$A$132,0))="NOT FROZEN"),"FREEZE SNAPSHOT",IF(NOT(OR(N12="agree",N12="agree_clarification",N12="disagree",N12="unable")),"CHECKER RESULT NEEDED",IF(AND(N12&lt;&gt;"agree",LEN(TRIM(O12))=0),"COMMENT NEEDED",IF(AND(N12="agree",NOT(AND(IF(D12="","",D12)=IF(INDEX('Primary_snapshot'!$B$2:$B$132,MATCH(A12,'Primary_snapshot'!$A$2:$A$132,0))="","",INDEX('Primary_snapshot'!$B$2:$B$132,MATCH(A12,'Primary_snapshot'!$A$2:$A$132,0))),IF(E12="","",E12)=IF(INDEX('Primary_snapshot'!$C$2:$C$132,MATCH(A12,'Primary_snapshot'!$A$2:$A$132,0))="","",INDEX('Primary_snapshot'!$C$2:$C$132,MATCH(A12,'Primary_snapshot'!$A$2:$A$132,0))),IF(AND(D12="retain",E12="statistical_results"),IF(H12="","",H12),"not_applicable")=IF(INDEX('Primary_snapshot'!$D$2:$D$132,MATCH(A12,'Primary_snapshot'!$A$2:$A$132,0))="","",INDEX('Primary_snapshot'!$D$2:$D$132,MATCH(A12,'Primary_snapshot'!$A$2:$A$132,0))),IF(AND(D12="retain",E12="statistical_results"),IF(I12="","",I12),"not_applicable")=IF(INDEX('Primary_snapshot'!$E$2:$E$132,MATCH(A12,'Primary_snapshot'!$A$2:$A$132,0))="","",INDEX('Primary_snapshot'!$E$2:$E$132,MATCH(A12,'Primary_snapshot'!$A$2:$A$132,0))),IF(AND(D12="retain",E12="statistical_results"),IF(J12="","",J12),"not_applicable")=IF(INDEX('Primary_snapshot'!$F$2:$F$132,MATCH(A12,'Primary_snapshot'!$A$2:$A$132,0))="","",INDEX('Primary_snapshot'!$F$2:$F$132,MATCH(A12,'Primary_snapshot'!$A$2:$A$132,0))),IF(AND(D12="retain",OR(E12="report_internal_inconsistency",E12="plan_material")),IF(K12="","",K12),"not_applicable")=IF(INDEX('Primary_snapshot'!$G$2:$G$132,MATCH(A12,'Primary_snapshot'!$A$2:$A$132,0))="","",INDEX('Primary_snapshot'!$G$2:$G$132,MATCH(A12,'Primary_snapshot'!$A$2:$A$132,0))),IF(AND(D12="retain",E12="protocol_report"),IF(L12="","",L12),"not_applicable")=IF(INDEX('Primary_snapshot'!$H$2:$H$132,MATCH(A12,'Primary_snapshot'!$A$2:$A$132,0))="","",INDEX('Primary_snapshot'!$H$2:$H$132,MATCH(A12,'Primary_snapshot'!$A$2:$A$132,0))),IF(R12="","",R12)=IF(INDEX('Primary_snapshot'!$I$2:$I$132,MATCH(A12,'Primary_snapshot'!$A$2:$A$132,0))="","",INDEX('Primary_snapshot'!$I$2:$I$132,MATCH(A12,'Primary_snapshot'!$A$2:$A$132,0)))))),"AGREE BUT CHANGED",IF(AND(P12&lt;&gt;"",NOT(OR(P12="pending",P12="resolved"))),"CHECK RESOLUTION",IF(OR(AND(OR(D12="discuss",INDEX('Primary_snapshot'!$B$2:$B$132,MATCH(A12,'Primary_snapshot'!$A$2:$A$132,0))="discuss",N12="disagree",N12="unable"),P12&lt;&gt;"resolved"),D12="discuss"),"DISCUSS",IF(AND(P12="resolved",LEN(TRIM(Q12))=0),"RESOLUTION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IF(Setup!$B$6="primary","",IFERROR(IF(INDEX('Primary_snapshot'!$L$2:$L$132,MATCH(A12,'Primary_snapshot'!$A$2:$A$132,0))="","",INDEX('Primary_snapshot'!$L$2:$L$132,MATCH(A12,'Primary_snapshot'!$A$2:$A$132,0))),"SNAPSHOT MISSING"))</x:f>
      </x:c>
      <x:c r="N12" s="7" t="str"/>
      <x:c r="O12" s="7" t="str"/>
      <x:c r="P12" s="7" t="str"/>
      <x:c r="Q12" s="7" t="str"/>
      <x:c r="R12" s="13" t="str"/>
    </x:row>
    <x:row r="13" ht="92" customHeight="1">
      <x:c r="A13" s="3" t="str">
        <x:v>2025::jama.2025.24175::C012</x:v>
      </x:c>
      <x:c r="B13" s="3" t="str">
        <x:v>eFigure 8B repeats eFigure 7B interaction results under a different outcome caption</x:v>
      </x:c>
      <x:c r="C13" s="3" t="str">
        <x:v>DOC-003 eFigure 7B, PDF p. 51; DOC-003 eFigure 8B, PDF p. 52.</x:v>
      </x:c>
      <x:c r="D13" s="7" t="str"/>
      <x:c r="E13" s="7" t="str">
        <x:v>report_internal_inconsistency</x:v>
      </x:c>
      <x:c r="F13" s="7" t="str">
        <x:v>no</x:v>
      </x:c>
      <x:c r="G13" s="3" t="str">
        <x:f>IFERROR(IF(NOT(OR(Setup!$B$6="primary",Setup!$B$6="checker")),"CHECK STAGE",IF(OR(LEN(TRIM(Setup!$B$2))=0,Setup!$B$2&lt;&gt;TRIM(Setup!$B$2),AND(Setup!$B$6="checker",OR(LEN(TRIM(Setup!$B$4))=0,Setup!$B$4&lt;&gt;TRIM(Setup!$B$4),LOWER(TRIM(Setup!$B$4))=LOWER(TRIM(Setup!$B$2))))),"CHECK REVIEWER IDs",IF(OR(COUNTIF($A$2:$A$15,A13)&lt;&gt;1,COUNTIF(Decisions!$C$2:$C$132,A13)&lt;&gt;1),"CHECK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$132,A13)&lt;&gt;1,INDEX('Primary_snapshot'!$J$2:$J$132,MATCH(A13,'Primary_snapshot'!$A$2:$A$132,0))&lt;&gt;"primary_done",INDEX('Primary_snapshot'!$K$2:$K$132,MATCH(A13,'Primary_snapshot'!$A$2:$A$132,0))&lt;&gt;Setup!$B$2,INDEX('Primary_snapshot'!$B$2:$B$132,MATCH(A13,'Primary_snapshot'!$A$2:$A$132,0))="NOT FROZEN",INDEX('Primary_snapshot'!$C$2:$C$132,MATCH(A13,'Primary_snapshot'!$A$2:$A$132,0))="NOT FROZEN",INDEX('Primary_snapshot'!$D$2:$D$132,MATCH(A13,'Primary_snapshot'!$A$2:$A$132,0))="NOT FROZEN",INDEX('Primary_snapshot'!$E$2:$E$132,MATCH(A13,'Primary_snapshot'!$A$2:$A$132,0))="NOT FROZEN",INDEX('Primary_snapshot'!$F$2:$F$132,MATCH(A13,'Primary_snapshot'!$A$2:$A$132,0))="NOT FROZEN",INDEX('Primary_snapshot'!$G$2:$G$132,MATCH(A13,'Primary_snapshot'!$A$2:$A$132,0))="NOT FROZEN",INDEX('Primary_snapshot'!$H$2:$H$132,MATCH(A13,'Primary_snapshot'!$A$2:$A$132,0))="NOT FROZEN",INDEX('Primary_snapshot'!$I$2:$I$132,MATCH(A13,'Primary_snapshot'!$A$2:$A$132,0))="NOT FROZEN",INDEX('Primary_snapshot'!$J$2:$J$132,MATCH(A13,'Primary_snapshot'!$A$2:$A$132,0))="NOT FROZEN",INDEX('Primary_snapshot'!$K$2:$K$132,MATCH(A13,'Primary_snapshot'!$A$2:$A$132,0))="NOT FROZEN",INDEX('Primary_snapshot'!$L$2:$L$132,MATCH(A13,'Primary_snapshot'!$A$2:$A$132,0))="NOT FROZEN"),"FREEZE SNAPSHOT",IF(NOT(OR(N13="agree",N13="agree_clarification",N13="disagree",N13="unable")),"CHECKER RESULT NEEDED",IF(AND(N13&lt;&gt;"agree",LEN(TRIM(O13))=0),"COMMENT NEEDED",IF(AND(N13="agree",NOT(AND(IF(D13="","",D13)=IF(INDEX('Primary_snapshot'!$B$2:$B$132,MATCH(A13,'Primary_snapshot'!$A$2:$A$132,0))="","",INDEX('Primary_snapshot'!$B$2:$B$132,MATCH(A13,'Primary_snapshot'!$A$2:$A$132,0))),IF(E13="","",E13)=IF(INDEX('Primary_snapshot'!$C$2:$C$132,MATCH(A13,'Primary_snapshot'!$A$2:$A$132,0))="","",INDEX('Primary_snapshot'!$C$2:$C$132,MATCH(A13,'Primary_snapshot'!$A$2:$A$132,0))),IF(AND(D13="retain",E13="statistical_results"),IF(H13="","",H13),"not_applicable")=IF(INDEX('Primary_snapshot'!$D$2:$D$132,MATCH(A13,'Primary_snapshot'!$A$2:$A$132,0))="","",INDEX('Primary_snapshot'!$D$2:$D$132,MATCH(A13,'Primary_snapshot'!$A$2:$A$132,0))),IF(AND(D13="retain",E13="statistical_results"),IF(I13="","",I13),"not_applicable")=IF(INDEX('Primary_snapshot'!$E$2:$E$132,MATCH(A13,'Primary_snapshot'!$A$2:$A$132,0))="","",INDEX('Primary_snapshot'!$E$2:$E$132,MATCH(A13,'Primary_snapshot'!$A$2:$A$132,0))),IF(AND(D13="retain",E13="statistical_results"),IF(J13="","",J13),"not_applicable")=IF(INDEX('Primary_snapshot'!$F$2:$F$132,MATCH(A13,'Primary_snapshot'!$A$2:$A$132,0))="","",INDEX('Primary_snapshot'!$F$2:$F$132,MATCH(A13,'Primary_snapshot'!$A$2:$A$132,0))),IF(AND(D13="retain",OR(E13="report_internal_inconsistency",E13="plan_material")),IF(K13="","",K13),"not_applicable")=IF(INDEX('Primary_snapshot'!$G$2:$G$132,MATCH(A13,'Primary_snapshot'!$A$2:$A$132,0))="","",INDEX('Primary_snapshot'!$G$2:$G$132,MATCH(A13,'Primary_snapshot'!$A$2:$A$132,0))),IF(AND(D13="retain",E13="protocol_report"),IF(L13="","",L13),"not_applicable")=IF(INDEX('Primary_snapshot'!$H$2:$H$132,MATCH(A13,'Primary_snapshot'!$A$2:$A$132,0))="","",INDEX('Primary_snapshot'!$H$2:$H$132,MATCH(A13,'Primary_snapshot'!$A$2:$A$132,0))),IF(R13="","",R13)=IF(INDEX('Primary_snapshot'!$I$2:$I$132,MATCH(A13,'Primary_snapshot'!$A$2:$A$132,0))="","",INDEX('Primary_snapshot'!$I$2:$I$132,MATCH(A13,'Primary_snapshot'!$A$2:$A$132,0)))))),"AGREE BUT CHANGED",IF(AND(P13&lt;&gt;"",NOT(OR(P13="pending",P13="resolved"))),"CHECK RESOLUTION",IF(OR(AND(OR(D13="discuss",INDEX('Primary_snapshot'!$B$2:$B$132,MATCH(A13,'Primary_snapshot'!$A$2:$A$132,0))="discuss",N13="disagree",N13="unable"),P13&lt;&gt;"resolved"),D13="discuss"),"DISCUSS",IF(AND(P13="resolved",LEN(TRIM(Q13))=0),"RESOLUTION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c>
      <x:c r="L13" s="13" t="str">
        <x:f>IF(AND(OR(D13="retain",D13=""),E13="protocol_report"),"","not_applicable")</x:f>
        <x:v>not_applicable</x:v>
      </x:c>
      <x:c r="M13" s="3" t="str">
        <x:f>IF(Setup!$B$6="primary","",IFERROR(IF(INDEX('Primary_snapshot'!$L$2:$L$132,MATCH(A13,'Primary_snapshot'!$A$2:$A$132,0))="","",INDEX('Primary_snapshot'!$L$2:$L$132,MATCH(A13,'Primary_snapshot'!$A$2:$A$132,0))),"SNAPSHOT MISSING"))</x:f>
      </x:c>
      <x:c r="N13" s="7" t="str"/>
      <x:c r="O13" s="7" t="str"/>
      <x:c r="P13" s="7" t="str"/>
      <x:c r="Q13" s="7" t="str"/>
      <x:c r="R13" s="13" t="str"/>
    </x:row>
    <x:row r="14" ht="92" customHeight="1">
      <x:c r="A14" s="6" t="str">
        <x:v>2025::jama.2025.24175::C013</x:v>
      </x:c>
      <x:c r="B14" s="6" t="str">
        <x:v>eFigure 9B APACHE interaction point estimate outside its CI</x:v>
      </x:c>
      <x:c r="C14" s="6" t="str">
        <x:v>DOC-003 eFigure 9B, PDF p. 53.</x:v>
      </x:c>
      <x:c r="D14" s="7" t="str"/>
      <x:c r="E14" s="7" t="str">
        <x:v>statistical_results</x:v>
      </x:c>
      <x:c r="F14" s="7" t="str">
        <x:v>no</x:v>
      </x:c>
      <x:c r="G14" s="6" t="str">
        <x:f>IFERROR(IF(NOT(OR(Setup!$B$6="primary",Setup!$B$6="checker")),"CHECK STAGE",IF(OR(LEN(TRIM(Setup!$B$2))=0,Setup!$B$2&lt;&gt;TRIM(Setup!$B$2),AND(Setup!$B$6="checker",OR(LEN(TRIM(Setup!$B$4))=0,Setup!$B$4&lt;&gt;TRIM(Setup!$B$4),LOWER(TRIM(Setup!$B$4))=LOWER(TRIM(Setup!$B$2))))),"CHECK REVIEWER IDs",IF(OR(COUNTIF($A$2:$A$15,A14)&lt;&gt;1,COUNTIF(Decisions!$C$2:$C$132,A14)&lt;&gt;1),"CHECK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$132,A14)&lt;&gt;1,INDEX('Primary_snapshot'!$J$2:$J$132,MATCH(A14,'Primary_snapshot'!$A$2:$A$132,0))&lt;&gt;"primary_done",INDEX('Primary_snapshot'!$K$2:$K$132,MATCH(A14,'Primary_snapshot'!$A$2:$A$132,0))&lt;&gt;Setup!$B$2,INDEX('Primary_snapshot'!$B$2:$B$132,MATCH(A14,'Primary_snapshot'!$A$2:$A$132,0))="NOT FROZEN",INDEX('Primary_snapshot'!$C$2:$C$132,MATCH(A14,'Primary_snapshot'!$A$2:$A$132,0))="NOT FROZEN",INDEX('Primary_snapshot'!$D$2:$D$132,MATCH(A14,'Primary_snapshot'!$A$2:$A$132,0))="NOT FROZEN",INDEX('Primary_snapshot'!$E$2:$E$132,MATCH(A14,'Primary_snapshot'!$A$2:$A$132,0))="NOT FROZEN",INDEX('Primary_snapshot'!$F$2:$F$132,MATCH(A14,'Primary_snapshot'!$A$2:$A$132,0))="NOT FROZEN",INDEX('Primary_snapshot'!$G$2:$G$132,MATCH(A14,'Primary_snapshot'!$A$2:$A$132,0))="NOT FROZEN",INDEX('Primary_snapshot'!$H$2:$H$132,MATCH(A14,'Primary_snapshot'!$A$2:$A$132,0))="NOT FROZEN",INDEX('Primary_snapshot'!$I$2:$I$132,MATCH(A14,'Primary_snapshot'!$A$2:$A$132,0))="NOT FROZEN",INDEX('Primary_snapshot'!$J$2:$J$132,MATCH(A14,'Primary_snapshot'!$A$2:$A$132,0))="NOT FROZEN",INDEX('Primary_snapshot'!$K$2:$K$132,MATCH(A14,'Primary_snapshot'!$A$2:$A$132,0))="NOT FROZEN",INDEX('Primary_snapshot'!$L$2:$L$132,MATCH(A14,'Primary_snapshot'!$A$2:$A$132,0))="NOT FROZEN"),"FREEZE SNAPSHOT",IF(NOT(OR(N14="agree",N14="agree_clarification",N14="disagree",N14="unable")),"CHECKER RESULT NEEDED",IF(AND(N14&lt;&gt;"agree",LEN(TRIM(O14))=0),"COMMENT NEEDED",IF(AND(N14="agree",NOT(AND(IF(D14="","",D14)=IF(INDEX('Primary_snapshot'!$B$2:$B$132,MATCH(A14,'Primary_snapshot'!$A$2:$A$132,0))="","",INDEX('Primary_snapshot'!$B$2:$B$132,MATCH(A14,'Primary_snapshot'!$A$2:$A$132,0))),IF(E14="","",E14)=IF(INDEX('Primary_snapshot'!$C$2:$C$132,MATCH(A14,'Primary_snapshot'!$A$2:$A$132,0))="","",INDEX('Primary_snapshot'!$C$2:$C$132,MATCH(A14,'Primary_snapshot'!$A$2:$A$132,0))),IF(AND(D14="retain",E14="statistical_results"),IF(H14="","",H14),"not_applicable")=IF(INDEX('Primary_snapshot'!$D$2:$D$132,MATCH(A14,'Primary_snapshot'!$A$2:$A$132,0))="","",INDEX('Primary_snapshot'!$D$2:$D$132,MATCH(A14,'Primary_snapshot'!$A$2:$A$132,0))),IF(AND(D14="retain",E14="statistical_results"),IF(I14="","",I14),"not_applicable")=IF(INDEX('Primary_snapshot'!$E$2:$E$132,MATCH(A14,'Primary_snapshot'!$A$2:$A$132,0))="","",INDEX('Primary_snapshot'!$E$2:$E$132,MATCH(A14,'Primary_snapshot'!$A$2:$A$132,0))),IF(AND(D14="retain",E14="statistical_results"),IF(J14="","",J14),"not_applicable")=IF(INDEX('Primary_snapshot'!$F$2:$F$132,MATCH(A14,'Primary_snapshot'!$A$2:$A$132,0))="","",INDEX('Primary_snapshot'!$F$2:$F$132,MATCH(A14,'Primary_snapshot'!$A$2:$A$132,0))),IF(AND(D14="retain",OR(E14="report_internal_inconsistency",E14="plan_material")),IF(K14="","",K14),"not_applicable")=IF(INDEX('Primary_snapshot'!$G$2:$G$132,MATCH(A14,'Primary_snapshot'!$A$2:$A$132,0))="","",INDEX('Primary_snapshot'!$G$2:$G$132,MATCH(A14,'Primary_snapshot'!$A$2:$A$132,0))),IF(AND(D14="retain",E14="protocol_report"),IF(L14="","",L14),"not_applicable")=IF(INDEX('Primary_snapshot'!$H$2:$H$132,MATCH(A14,'Primary_snapshot'!$A$2:$A$132,0))="","",INDEX('Primary_snapshot'!$H$2:$H$132,MATCH(A14,'Primary_snapshot'!$A$2:$A$132,0))),IF(R14="","",R14)=IF(INDEX('Primary_snapshot'!$I$2:$I$132,MATCH(A14,'Primary_snapshot'!$A$2:$A$132,0))="","",INDEX('Primary_snapshot'!$I$2:$I$132,MATCH(A14,'Primary_snapshot'!$A$2:$A$132,0)))))),"AGREE BUT CHANGED",IF(AND(P14&lt;&gt;"",NOT(OR(P14="pending",P14="resolved"))),"CHECK RESOLUTION",IF(OR(AND(OR(D14="discuss",INDEX('Primary_snapshot'!$B$2:$B$132,MATCH(A14,'Primary_snapshot'!$A$2:$A$132,0))="discuss",N14="disagree",N14="unable"),P14&lt;&gt;"resolved"),D14="discuss"),"DISCUSS",IF(AND(P14="resolved",LEN(TRIM(Q14))=0),"RESOLUTION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c>
      <x:c r="I14" s="7" t="str">
        <x:f>IF(AND(OR(D14="retain",D14=""),E14="statistical_results"),"","not_applicable")</x:f>
      </x:c>
      <x:c r="J14" s="13" t="str">
        <x:f>IF(AND(OR(D14="retain",D14=""),E14="statistical_results"),"","not_applicable")</x:f>
      </x:c>
      <x:c r="K14" s="7" t="str">
        <x:f>IF(AND(OR(D14="retain",D14=""),OR(E14="report_internal_inconsistency",E14="plan_material")),"","not_applicable")</x:f>
        <x:v>not_applicable</x:v>
      </x:c>
      <x:c r="L14" s="13" t="str">
        <x:f>IF(AND(OR(D14="retain",D14=""),E14="protocol_report"),"","not_applicable")</x:f>
        <x:v>not_applicable</x:v>
      </x:c>
      <x:c r="M14" s="6" t="str">
        <x:f>IF(Setup!$B$6="primary","",IFERROR(IF(INDEX('Primary_snapshot'!$L$2:$L$132,MATCH(A14,'Primary_snapshot'!$A$2:$A$132,0))="","",INDEX('Primary_snapshot'!$L$2:$L$132,MATCH(A14,'Primary_snapshot'!$A$2:$A$132,0))),"SNAPSHOT MISSING"))</x:f>
      </x:c>
      <x:c r="N14" s="7" t="str"/>
      <x:c r="O14" s="7" t="str"/>
      <x:c r="P14" s="7" t="str"/>
      <x:c r="Q14" s="7" t="str"/>
      <x:c r="R14" s="13" t="str"/>
    </x:row>
    <x:row r="15" ht="92" customHeight="1">
      <x:c r="A15" s="3" t="str">
        <x:v>2025::jama.2025.24175::C014</x:v>
      </x:c>
      <x:c r="B15" s="3" t="str">
        <x:v>Historical mortality-pair registration</x:v>
      </x:c>
      <x:c r="C15" s="3" t="str">
        <x:v>DOC-002 actual mortality sentence, PDF p. 41; Discussion, PDF p. 42; Table 2, PDF p. 48; Figure 1, PDF p. 50.</x:v>
      </x:c>
      <x:c r="D15" s="7" t="str"/>
      <x:c r="E15" s="7" t="str">
        <x:v>plan_material</x:v>
      </x:c>
      <x:c r="F15" s="7" t="str">
        <x:v>no</x:v>
      </x:c>
      <x:c r="G15" s="3" t="str">
        <x:f>IFERROR(IF(NOT(OR(Setup!$B$6="primary",Setup!$B$6="checker")),"CHECK STAGE",IF(OR(LEN(TRIM(Setup!$B$2))=0,Setup!$B$2&lt;&gt;TRIM(Setup!$B$2),AND(Setup!$B$6="checker",OR(LEN(TRIM(Setup!$B$4))=0,Setup!$B$4&lt;&gt;TRIM(Setup!$B$4),LOWER(TRIM(Setup!$B$4))=LOWER(TRIM(Setup!$B$2))))),"CHECK REVIEWER IDs",IF(OR(COUNTIF($A$2:$A$15,A15)&lt;&gt;1,COUNTIF(Decisions!$C$2:$C$132,A15)&lt;&gt;1),"CHECK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$132,A15)&lt;&gt;1,INDEX('Primary_snapshot'!$J$2:$J$132,MATCH(A15,'Primary_snapshot'!$A$2:$A$132,0))&lt;&gt;"primary_done",INDEX('Primary_snapshot'!$K$2:$K$132,MATCH(A15,'Primary_snapshot'!$A$2:$A$132,0))&lt;&gt;Setup!$B$2,INDEX('Primary_snapshot'!$B$2:$B$132,MATCH(A15,'Primary_snapshot'!$A$2:$A$132,0))="NOT FROZEN",INDEX('Primary_snapshot'!$C$2:$C$132,MATCH(A15,'Primary_snapshot'!$A$2:$A$132,0))="NOT FROZEN",INDEX('Primary_snapshot'!$D$2:$D$132,MATCH(A15,'Primary_snapshot'!$A$2:$A$132,0))="NOT FROZEN",INDEX('Primary_snapshot'!$E$2:$E$132,MATCH(A15,'Primary_snapshot'!$A$2:$A$132,0))="NOT FROZEN",INDEX('Primary_snapshot'!$F$2:$F$132,MATCH(A15,'Primary_snapshot'!$A$2:$A$132,0))="NOT FROZEN",INDEX('Primary_snapshot'!$G$2:$G$132,MATCH(A15,'Primary_snapshot'!$A$2:$A$132,0))="NOT FROZEN",INDEX('Primary_snapshot'!$H$2:$H$132,MATCH(A15,'Primary_snapshot'!$A$2:$A$132,0))="NOT FROZEN",INDEX('Primary_snapshot'!$I$2:$I$132,MATCH(A15,'Primary_snapshot'!$A$2:$A$132,0))="NOT FROZEN",INDEX('Primary_snapshot'!$J$2:$J$132,MATCH(A15,'Primary_snapshot'!$A$2:$A$132,0))="NOT FROZEN",INDEX('Primary_snapshot'!$K$2:$K$132,MATCH(A15,'Primary_snapshot'!$A$2:$A$132,0))="NOT FROZEN",INDEX('Primary_snapshot'!$L$2:$L$132,MATCH(A15,'Primary_snapshot'!$A$2:$A$132,0))="NOT FROZEN"),"FREEZE SNAPSHOT",IF(NOT(OR(N15="agree",N15="agree_clarification",N15="disagree",N15="unable")),"CHECKER RESULT NEEDED",IF(AND(N15&lt;&gt;"agree",LEN(TRIM(O15))=0),"COMMENT NEEDED",IF(AND(N15="agree",NOT(AND(IF(D15="","",D15)=IF(INDEX('Primary_snapshot'!$B$2:$B$132,MATCH(A15,'Primary_snapshot'!$A$2:$A$132,0))="","",INDEX('Primary_snapshot'!$B$2:$B$132,MATCH(A15,'Primary_snapshot'!$A$2:$A$132,0))),IF(E15="","",E15)=IF(INDEX('Primary_snapshot'!$C$2:$C$132,MATCH(A15,'Primary_snapshot'!$A$2:$A$132,0))="","",INDEX('Primary_snapshot'!$C$2:$C$132,MATCH(A15,'Primary_snapshot'!$A$2:$A$132,0))),IF(AND(D15="retain",E15="statistical_results"),IF(H15="","",H15),"not_applicable")=IF(INDEX('Primary_snapshot'!$D$2:$D$132,MATCH(A15,'Primary_snapshot'!$A$2:$A$132,0))="","",INDEX('Primary_snapshot'!$D$2:$D$132,MATCH(A15,'Primary_snapshot'!$A$2:$A$132,0))),IF(AND(D15="retain",E15="statistical_results"),IF(I15="","",I15),"not_applicable")=IF(INDEX('Primary_snapshot'!$E$2:$E$132,MATCH(A15,'Primary_snapshot'!$A$2:$A$132,0))="","",INDEX('Primary_snapshot'!$E$2:$E$132,MATCH(A15,'Primary_snapshot'!$A$2:$A$132,0))),IF(AND(D15="retain",E15="statistical_results"),IF(J15="","",J15),"not_applicable")=IF(INDEX('Primary_snapshot'!$F$2:$F$132,MATCH(A15,'Primary_snapshot'!$A$2:$A$132,0))="","",INDEX('Primary_snapshot'!$F$2:$F$132,MATCH(A15,'Primary_snapshot'!$A$2:$A$132,0))),IF(AND(D15="retain",OR(E15="report_internal_inconsistency",E15="plan_material")),IF(K15="","",K15),"not_applicable")=IF(INDEX('Primary_snapshot'!$G$2:$G$132,MATCH(A15,'Primary_snapshot'!$A$2:$A$132,0))="","",INDEX('Primary_snapshot'!$G$2:$G$132,MATCH(A15,'Primary_snapshot'!$A$2:$A$132,0))),IF(AND(D15="retain",E15="protocol_report"),IF(L15="","",L15),"not_applicable")=IF(INDEX('Primary_snapshot'!$H$2:$H$132,MATCH(A15,'Primary_snapshot'!$A$2:$A$132,0))="","",INDEX('Primary_snapshot'!$H$2:$H$132,MATCH(A15,'Primary_snapshot'!$A$2:$A$132,0))),IF(R15="","",R15)=IF(INDEX('Primary_snapshot'!$I$2:$I$132,MATCH(A15,'Primary_snapshot'!$A$2:$A$132,0))="","",INDEX('Primary_snapshot'!$I$2:$I$132,MATCH(A15,'Primary_snapshot'!$A$2:$A$132,0)))))),"AGREE BUT CHANGED",IF(AND(P15&lt;&gt;"",NOT(OR(P15="pending",P15="resolved"))),"CHECK RESOLUTION",IF(OR(AND(OR(D15="discuss",INDEX('Primary_snapshot'!$B$2:$B$132,MATCH(A15,'Primary_snapshot'!$A$2:$A$132,0))="discuss",N15="disagree",N15="unable"),P15&lt;&gt;"resolved"),D15="discuss"),"DISCUSS",IF(AND(P15="resolved",LEN(TRIM(Q15))=0),"RESOLUTION NOTE NEEDED",IF(F15&lt;&gt;"checker_done","CHECKER DRAFT","FINAL READY")))))))))))))),"CHECK KEY / SNAPSHOT")</x:f>
        <x:v>CHECK REVIEWER IDs</x:v>
      </x:c>
      <x:c r="H15" s="7" t="str">
        <x:f>IF(AND(OR(D15="retain",D15=""),E15="statistical_results"),"","not_applicable")</x:f>
        <x:v>not_applicable</x:v>
      </x:c>
      <x:c r="I15" s="7" t="str">
        <x:f>IF(AND(OR(D15="retain",D15=""),E15="statistical_results"),"","not_applicable")</x:f>
        <x:v>not_applicable</x:v>
      </x:c>
      <x:c r="J15" s="13" t="str">
        <x:f>IF(AND(OR(D15="retain",D15=""),E15="statistical_results"),"","not_applicable")</x:f>
        <x:v>not_applicable</x:v>
      </x:c>
      <x:c r="K15" s="7" t="str">
        <x:f>IF(AND(OR(D15="retain",D15=""),OR(E15="report_internal_inconsistency",E15="plan_material")),"","not_applicable")</x:f>
      </x:c>
      <x:c r="L15" s="13" t="str">
        <x:f>IF(AND(OR(D15="retain",D15=""),E15="protocol_report"),"","not_applicable")</x:f>
        <x:v>not_applicable</x:v>
      </x:c>
      <x:c r="M15" s="3" t="str">
        <x:f>IF(Setup!$B$6="primary","",IFERROR(IF(INDEX('Primary_snapshot'!$L$2:$L$132,MATCH(A15,'Primary_snapshot'!$A$2:$A$132,0))="","",INDEX('Primary_snapshot'!$L$2:$L$132,MATCH(A15,'Primary_snapshot'!$A$2:$A$132,0))),"SNAPSHOT MISSING"))</x:f>
      </x:c>
      <x:c r="N15" s="7" t="str"/>
      <x:c r="O15" s="7" t="str"/>
      <x:c r="P15" s="7" t="str"/>
      <x:c r="Q15" s="7" t="str"/>
      <x:c r="R15" s="13" t="str"/>
    </x:row>
  </x:sheetData>
  <x:conditionalFormatting sqref="G2:G15">
    <x:cfRule type="expression" dxfId="63" priority="1">
      <x:formula>AND(G2&lt;&gt;"PRIMARY READY",G2&lt;&gt;"FINAL READY")</x:formula>
    </x:cfRule>
  </x:conditionalFormatting>
  <x:conditionalFormatting sqref="N2:Q15">
    <x:cfRule type="expression" dxfId="64" priority="2">
      <x:formula>Setup!$B$6="primary"</x:formula>
    </x:cfRule>
  </x:conditionalFormatting>
  <x:conditionalFormatting sqref="H2:H15">
    <x:cfRule type="expression" dxfId="65" priority="3">
      <x:formula>NOT(AND(OR($D2="retain",$D2=""),$E2="statistical_results"))</x:formula>
    </x:cfRule>
  </x:conditionalFormatting>
  <x:conditionalFormatting sqref="I2:I15">
    <x:cfRule type="expression" dxfId="66" priority="4">
      <x:formula>NOT(AND(OR($D2="retain",$D2=""),$E2="statistical_results"))</x:formula>
    </x:cfRule>
  </x:conditionalFormatting>
  <x:conditionalFormatting sqref="J2:J15">
    <x:cfRule type="expression" dxfId="67" priority="5">
      <x:formula>NOT(AND(OR($D2="retain",$D2=""),$E2="statistical_results"))</x:formula>
    </x:cfRule>
  </x:conditionalFormatting>
  <x:conditionalFormatting sqref="K2:K15">
    <x:cfRule type="expression" dxfId="68" priority="6">
      <x:formula>NOT(AND(OR($D2="retain",$D2=""),OR($E2="report_internal_inconsistency",$E2="plan_material")))</x:formula>
    </x:cfRule>
  </x:conditionalFormatting>
  <x:conditionalFormatting sqref="L2:L15">
    <x:cfRule type="expression" dxfId="69" priority="7">
      <x:formula>NOT(AND(OR($D2="retain",$D2=""),$E2="protocol_report"))</x:formula>
    </x:cfRule>
  </x:conditionalFormatting>
  <x:dataValidations count="10">
    <x:dataValidation type="list" sqref="D2:D15">
      <x:formula1>"retain,exclude,discuss"</x:formula1>
    </x:dataValidation>
    <x:dataValidation type="list" sqref="E2:E15">
      <x:formula1>"statistical_results,report_internal_inconsistency,plan_material,protocol_report"</x:formula1>
    </x:dataValidation>
    <x:dataValidation type="list" sqref="F2:F15">
      <x:formula1>"no,primary_done,checker_done"</x:formula1>
    </x:dataValidation>
    <x:dataValidation type="list" sqref="H2:H15">
      <x:formula1>"confirmed_issue,probable_issue,not_issue,indeterminate,not_applicable"</x:formula1>
    </x:dataValidation>
    <x:dataValidation type="list" sqref="I2:I15">
      <x:formula1>"substantive,minor_presentation,indeterminate,not_applicable"</x:formula1>
    </x:dataValidation>
    <x:dataValidation type="list" sqref="J2:J15">
      <x:formula1>"direct,possible,unlikely,unknown,not_applicable"</x:formula1>
    </x:dataValidation>
    <x:dataValidation type="list" sqref="K2:K15">
      <x:formula1>"substantive_inconsistency,minor_presentation,non_inconsistency,indeterminate,not_applicable"</x:formula1>
    </x:dataValidation>
    <x:dataValidation type="list" sqref="L2:L15">
      <x:formula1>"substantive_difference,minor_presentation,version_timing,non_inconsistency,indeterminate,not_applicable"</x:formula1>
    </x:dataValidation>
    <x:dataValidation type="list" sqref="N2:N15">
      <x:formula1>"agree,agree_clarification,disagree,unable"</x:formula1>
    </x:dataValidation>
    <x:dataValidation type="list" sqref="P2:P15">
      <x:formula1>"pending,resolved"</x:formula1>
    </x:dataValidation>
  </x:dataValidations>
  <x:pageMargins left="0.7" right="0.7" top="0.75" bottom="0.75" header="0.3" footer="0.3"/>
  <x:tableParts count="1">
    <x:tablePart xmlns:r="http://schemas.openxmlformats.org/officeDocument/2006/relationships" r:id="Rba7e59c3db604cdc"/>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2025::jama.2025.4390::C001</x:v>
      </x:c>
      <x:c r="B2" s="6" t="str">
        <x:v>Figure 3 all-patient rate-column conflict with the matched primary-outcome rate</x:v>
      </x:c>
      <x:c r="C2" s="6" t="str">
        <x:v>jama_garrison_2025_oi_250019_1749674951.29054.pdf — Figure 3, PDF p. 9; jama_garrison_2025_oi_250019_1749674951.29054.pdf — Table 2, PDF p. 8; main article abstract, PDF p. 1; primary-outcome narrative, PDF p. 6.</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2025::jama.2025.4390::C002</x:v>
      </x:c>
      <x:c r="B3" s="3" t="str">
        <x:v>Bedtime-diuretic six-month timing count triplets differ between eFigure 4 and eTable 6</x:v>
      </x:c>
      <x:c r="C3" s="3" t="str">
        <x:v>joi250019supp3_prod_1749674951.30054.pdf — eFigure 4, PDF p. 26; joi250019supp3_prod_1749674951.30054.pdf — eTable 6, PDF p. 42 (table begins on PDF p. 41).</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2025::jama.2025.4390::C003</x:v>
      </x:c>
      <x:c r="B4" s="6" t="str">
        <x:v>eTable 5 Other ethnicity row duplicates White/Caucasian values and exceeds randomized Other totals</x:v>
      </x:c>
      <x:c r="C4" s="6" t="str">
        <x:v>joi250019supp3_prod_1749674951.30054.pdf — eTable 5, PDF p. 37; joi250019supp3_prod_1749674951.30054.pdf — eTable 3, PDF p. 29.</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sheetData>
  <x:conditionalFormatting sqref="G2:G4">
    <x:cfRule type="expression" dxfId="70" priority="1">
      <x:formula>AND(G2&lt;&gt;"PRIMARY READY",G2&lt;&gt;"FINAL READY")</x:formula>
    </x:cfRule>
  </x:conditionalFormatting>
  <x:conditionalFormatting sqref="N2:Q4">
    <x:cfRule type="expression" dxfId="71" priority="2">
      <x:formula>Setup!$B$6="primary"</x:formula>
    </x:cfRule>
  </x:conditionalFormatting>
  <x:conditionalFormatting sqref="H2:H4">
    <x:cfRule type="expression" dxfId="72" priority="3">
      <x:formula>NOT(AND(OR($D2="retain",$D2=""),$E2="statistical_results"))</x:formula>
    </x:cfRule>
  </x:conditionalFormatting>
  <x:conditionalFormatting sqref="I2:I4">
    <x:cfRule type="expression" dxfId="73" priority="4">
      <x:formula>NOT(AND(OR($D2="retain",$D2=""),$E2="statistical_results"))</x:formula>
    </x:cfRule>
  </x:conditionalFormatting>
  <x:conditionalFormatting sqref="J2:J4">
    <x:cfRule type="expression" dxfId="74" priority="5">
      <x:formula>NOT(AND(OR($D2="retain",$D2=""),$E2="statistical_results"))</x:formula>
    </x:cfRule>
  </x:conditionalFormatting>
  <x:conditionalFormatting sqref="K2:K4">
    <x:cfRule type="expression" dxfId="75" priority="6">
      <x:formula>NOT(AND(OR($D2="retain",$D2=""),OR($E2="report_internal_inconsistency",$E2="plan_material")))</x:formula>
    </x:cfRule>
  </x:conditionalFormatting>
  <x:conditionalFormatting sqref="L2:L4">
    <x:cfRule type="expression" dxfId="76"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152a6fcfcffc4171"/>
  </x:tableParts>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2025::jama.2025.7583::C001</x:v>
      </x:c>
      <x:c r="B2" s="6" t="str">
        <x:v>Primary-endpoint midline-shift boundary differs across matched supplied sources</x:v>
      </x:c>
      <x:c r="C2" s="6" t="str">
        <x:v>Main article — PDF p. 3; protocol — PDF p. 7; protocol — PDF p. 16; results supplement — PDF p. 15; SAP — PDF p. 3.</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2025::jama.2025.7583::C002</x:v>
      </x:c>
      <x:c r="B3" s="3" t="str">
        <x:v>Printed sample-size attrition allowance does not reconcile with the printed target</x:v>
      </x:c>
      <x:c r="C3" s="3" t="str">
        <x:v>Protocol — PDF p. 50; SAP — PDF p. 4; SAP — PDF p. 5; main article — PDF p. 3.</x:v>
      </x:c>
      <x:c r="D3" s="7" t="str"/>
      <x:c r="E3" s="7" t="str">
        <x:v>plan_material</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2025::jama.2025.7583::C003</x:v>
      </x:c>
      <x:c r="B4" s="6" t="str">
        <x:v>Standard-care surgery-type counts exceed their shared printed denominator</x:v>
      </x:c>
      <x:c r="C4" s="6" t="str">
        <x:v>Main article — PDF p. 5, Table 1, Treatment rows.</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sheetData>
  <x:conditionalFormatting sqref="G2:G4">
    <x:cfRule type="expression" dxfId="77" priority="1">
      <x:formula>AND(G2&lt;&gt;"PRIMARY READY",G2&lt;&gt;"FINAL READY")</x:formula>
    </x:cfRule>
  </x:conditionalFormatting>
  <x:conditionalFormatting sqref="N2:Q4">
    <x:cfRule type="expression" dxfId="78" priority="2">
      <x:formula>Setup!$B$6="primary"</x:formula>
    </x:cfRule>
  </x:conditionalFormatting>
  <x:conditionalFormatting sqref="H2:H4">
    <x:cfRule type="expression" dxfId="79" priority="3">
      <x:formula>NOT(AND(OR($D2="retain",$D2=""),$E2="statistical_results"))</x:formula>
    </x:cfRule>
  </x:conditionalFormatting>
  <x:conditionalFormatting sqref="I2:I4">
    <x:cfRule type="expression" dxfId="80" priority="4">
      <x:formula>NOT(AND(OR($D2="retain",$D2=""),$E2="statistical_results"))</x:formula>
    </x:cfRule>
  </x:conditionalFormatting>
  <x:conditionalFormatting sqref="J2:J4">
    <x:cfRule type="expression" dxfId="81" priority="5">
      <x:formula>NOT(AND(OR($D2="retain",$D2=""),$E2="statistical_results"))</x:formula>
    </x:cfRule>
  </x:conditionalFormatting>
  <x:conditionalFormatting sqref="K2:K4">
    <x:cfRule type="expression" dxfId="82" priority="6">
      <x:formula>NOT(AND(OR($D2="retain",$D2=""),OR($E2="report_internal_inconsistency",$E2="plan_material")))</x:formula>
    </x:cfRule>
  </x:conditionalFormatting>
  <x:conditionalFormatting sqref="L2:L4">
    <x:cfRule type="expression" dxfId="83"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de7f52e08ed34d32"/>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2025::jama.2025.7710::C001</x:v>
      </x:c>
      <x:c r="B2" s="6" t="str">
        <x:v>Conflicting economic price-year labels within the protocol</x:v>
      </x:c>
      <x:c r="C2" s="6" t="str">
        <x:v>joi250034supp1_prod_1750956984.09018.pdf — PDF p. 16, section 7.2.3; joi250034supp1_prod_1750956984.09018.pdf — PDF p. 17, section 8.2.</x:v>
      </x:c>
      <x:c r="D2" s="7" t="str"/>
      <x:c r="E2" s="7" t="str">
        <x:v>plan_material</x:v>
      </x:c>
      <x:c r="F2" s="7" t="str">
        <x:v>no</x:v>
      </x:c>
      <x:c r="G2" s="6" t="str">
        <x:f>IFERROR(IF(NOT(OR(Setup!$B$6="primary",Setup!$B$6="checker")),"CHECK STAGE",IF(OR(LEN(TRIM(Setup!$B$2))=0,Setup!$B$2&lt;&gt;TRIM(Setup!$B$2),AND(Setup!$B$6="checker",OR(LEN(TRIM(Setup!$B$4))=0,Setup!$B$4&lt;&gt;TRIM(Setup!$B$4),LOWER(TRIM(Setup!$B$4))=LOWER(TRIM(Setup!$B$2))))),"CHECK REVIEWER IDs",IF(OR(COUNTIF($A$2:$A$5,A2)&lt;&gt;1,COUNTIF(Decisions!$C$2:$C$132,A2)&lt;&gt;1),"CHECK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2025::jama.2025.7710::C002</x:v>
      </x:c>
      <x:c r="B3" s="3" t="str">
        <x:v>Primary-composite counting rationale does not reconcile with the displayed endpoint list</x:v>
      </x:c>
      <x:c r="C3" s="3" t="str">
        <x:v>joi250034supp1_prod_1750956984.09018.pdf — PDF p. 15, section 7.1; joi250034supp1_prod_1750956984.09018.pdf — PDF p. 16, section 7.2.1.</x:v>
      </x:c>
      <x:c r="D3" s="7" t="str"/>
      <x:c r="E3" s="7" t="str">
        <x:v>plan_material</x:v>
      </x:c>
      <x:c r="F3" s="7" t="str">
        <x:v>no</x:v>
      </x:c>
      <x:c r="G3" s="3" t="str">
        <x:f>IFERROR(IF(NOT(OR(Setup!$B$6="primary",Setup!$B$6="checker")),"CHECK STAGE",IF(OR(LEN(TRIM(Setup!$B$2))=0,Setup!$B$2&lt;&gt;TRIM(Setup!$B$2),AND(Setup!$B$6="checker",OR(LEN(TRIM(Setup!$B$4))=0,Setup!$B$4&lt;&gt;TRIM(Setup!$B$4),LOWER(TRIM(Setup!$B$4))=LOWER(TRIM(Setup!$B$2))))),"CHECK REVIEWER IDs",IF(OR(COUNTIF($A$2:$A$5,A3)&lt;&gt;1,COUNTIF(Decisions!$C$2:$C$132,A3)&lt;&gt;1),"CHECK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2025::jama.2025.7710::C003</x:v>
      </x:c>
      <x:c r="B4" s="6" t="str">
        <x:v>Economic comparator label conflicts with the detailed trial comparison</x:v>
      </x:c>
      <x:c r="C4" s="6" t="str">
        <x:v>joi250034supp1_prod_1750956984.09018.pdf — PDF p. 5, synopsis and schema; joi250034supp1_prod_1750956984.09018.pdf — PDF p. 16, section 7.2.3; joi250034supp1_prod_1750956984.09018.pdf — PDF p. 17, section 8.2.</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IDs",IF(OR(COUNTIF($A$2:$A$5,A4)&lt;&gt;1,COUNTIF(Decisions!$C$2:$C$132,A4)&lt;&gt;1),"CHECK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2025::jama.2025.7710::C004</x:v>
      </x:c>
      <x:c r="B5" s="3" t="str">
        <x:v>Reported no-adjustment statement conflicts with the supplied multiplicity plan</x:v>
      </x:c>
      <x:c r="C5" s="3" t="str">
        <x:v>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IDs",IF(OR(COUNTIF($A$2:$A$5,A5)&lt;&gt;1,COUNTIF(Decisions!$C$2:$C$132,A5)&lt;&gt;1),"CHECK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IF(Setup!$B$6="primary","",IFERROR(IF(INDEX('Primary_snapshot'!$L$2:$L$132,MATCH(A5,'Primary_snapshot'!$A$2:$A$132,0))="","",INDEX('Primary_snapshot'!$L$2:$L$132,MATCH(A5,'Primary_snapshot'!$A$2:$A$132,0))),"SNAPSHOT MISSING"))</x:f>
      </x:c>
      <x:c r="N5" s="7" t="str"/>
      <x:c r="O5" s="7" t="str"/>
      <x:c r="P5" s="7" t="str"/>
      <x:c r="Q5" s="7" t="str"/>
      <x:c r="R5" s="13" t="str"/>
    </x:row>
  </x:sheetData>
  <x:conditionalFormatting sqref="G2:G5">
    <x:cfRule type="expression" dxfId="84" priority="1">
      <x:formula>AND(G2&lt;&gt;"PRIMARY READY",G2&lt;&gt;"FINAL READY")</x:formula>
    </x:cfRule>
  </x:conditionalFormatting>
  <x:conditionalFormatting sqref="N2:Q5">
    <x:cfRule type="expression" dxfId="85" priority="2">
      <x:formula>Setup!$B$6="primary"</x:formula>
    </x:cfRule>
  </x:conditionalFormatting>
  <x:conditionalFormatting sqref="H2:H5">
    <x:cfRule type="expression" dxfId="86" priority="3">
      <x:formula>NOT(AND(OR($D2="retain",$D2=""),$E2="statistical_results"))</x:formula>
    </x:cfRule>
  </x:conditionalFormatting>
  <x:conditionalFormatting sqref="I2:I5">
    <x:cfRule type="expression" dxfId="87" priority="4">
      <x:formula>NOT(AND(OR($D2="retain",$D2=""),$E2="statistical_results"))</x:formula>
    </x:cfRule>
  </x:conditionalFormatting>
  <x:conditionalFormatting sqref="J2:J5">
    <x:cfRule type="expression" dxfId="88" priority="5">
      <x:formula>NOT(AND(OR($D2="retain",$D2=""),$E2="statistical_results"))</x:formula>
    </x:cfRule>
  </x:conditionalFormatting>
  <x:conditionalFormatting sqref="K2:K5">
    <x:cfRule type="expression" dxfId="89" priority="6">
      <x:formula>NOT(AND(OR($D2="retain",$D2=""),OR($E2="report_internal_inconsistency",$E2="plan_material")))</x:formula>
    </x:cfRule>
  </x:conditionalFormatting>
  <x:conditionalFormatting sqref="L2:L5">
    <x:cfRule type="expression" dxfId="90" priority="7">
      <x:formula>NOT(AND(OR($D2="retain",$D2=""),$E2="protocol_report"))</x:formula>
    </x:cfRule>
  </x:conditionalFormatting>
  <x:dataValidations count="10">
    <x:dataValidation type="list" sqref="D2:D5">
      <x:formula1>"retain,exclude,discuss"</x:formula1>
    </x:dataValidation>
    <x:dataValidation type="list" sqref="E2:E5">
      <x:formula1>"statistical_results,report_internal_inconsistency,plan_material,protocol_report"</x:formula1>
    </x:dataValidation>
    <x:dataValidation type="list" sqref="F2:F5">
      <x:formula1>"no,primary_done,checker_done"</x:formula1>
    </x:dataValidation>
    <x:dataValidation type="list" sqref="H2:H5">
      <x:formula1>"confirmed_issue,probable_issue,not_issue,indeterminate,not_applicable"</x:formula1>
    </x:dataValidation>
    <x:dataValidation type="list" sqref="I2:I5">
      <x:formula1>"substantive,minor_presentation,indeterminate,not_applicable"</x:formula1>
    </x:dataValidation>
    <x:dataValidation type="list" sqref="J2:J5">
      <x:formula1>"direct,possible,unlikely,unknown,not_applicable"</x:formula1>
    </x:dataValidation>
    <x:dataValidation type="list" sqref="K2:K5">
      <x:formula1>"substantive_inconsistency,minor_presentation,non_inconsistency,indeterminate,not_applicable"</x:formula1>
    </x:dataValidation>
    <x:dataValidation type="list" sqref="L2:L5">
      <x:formula1>"substantive_difference,minor_presentation,version_timing,non_inconsistency,indeterminate,not_applicable"</x:formula1>
    </x:dataValidation>
    <x:dataValidation type="list" sqref="N2:N5">
      <x:formula1>"agree,agree_clarification,disagree,unable"</x:formula1>
    </x:dataValidation>
    <x:dataValidation type="list" sqref="P2:P5">
      <x:formula1>"pending,resolved"</x:formula1>
    </x:dataValidation>
  </x:dataValidations>
  <x:pageMargins left="0.7" right="0.7" top="0.75" bottom="0.75" header="0.3" footer="0.3"/>
  <x:tableParts count="1">
    <x:tablePart xmlns:r="http://schemas.openxmlformats.org/officeDocument/2006/relationships" r:id="R3b71329de0b44a06"/>
  </x:tableParts>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2025::jama.2025.9110::C001</x:v>
      </x:c>
      <x:c r="B2" s="6" t="str">
        <x:v>Invasive-ventilation descriptive summary is labeled mean (SD) but displays two endpoints</x:v>
      </x:c>
      <x:c r="C2" s="6" t="str">
        <x:v>Main article — PDF p. 7, Table 2, Duration of invasive ventilation, mean (SD), h; main article — PDF p. 1; Results Supplement — PDF p. 18, eTable 10.</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IDs",IF(OR(COUNTIF($A$2:$A$7,A2)&lt;&gt;1,COUNTIF(Decisions!$C$2:$C$132,A2)&lt;&gt;1),"CHECK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2025::jama.2025.9110::C002</x:v>
      </x:c>
      <x:c r="B3" s="3" t="str">
        <x:v>eTable 10 uses a comma in one one-decimal survival percentage</x:v>
      </x:c>
      <x:c r="C3" s="3" t="str">
        <x:v>Results Supplement — PDF p. 18, eTable 10, Alive at day 90 [n (%)], Period 2 usual protein (4 units, n = 530).</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IDs",IF(OR(COUNTIF($A$2:$A$7,A3)&lt;&gt;1,COUNTIF(Decisions!$C$2:$C$132,A3)&lt;&gt;1),"CHECK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2025::jama.2025.9110::C003</x:v>
      </x:c>
      <x:c r="B4" s="6" t="str">
        <x:v>Bayesian quantile row is labeled mean (SD) despite its associated median estimand and two-endpoint group displays</x:v>
      </x:c>
      <x:c r="C4" s="6" t="str">
        <x:v>Main article — PDF p. 7, Table 2; Results Supplement — PDF p. 5, secondary analyses; Results Supplement — PDF p. 27, eFigure 6.</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IDs",IF(OR(COUNTIF($A$2:$A$7,A4)&lt;&gt;1,COUNTIF(Decisions!$C$2:$C$132,A4)&lt;&gt;1),"CHECK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row r="5" ht="92" customHeight="1">
      <x:c r="A5" s="3" t="str">
        <x:v>2025::jama.2025.9110::C004</x:v>
      </x:c>
      <x:c r="B5" s="3" t="str">
        <x:v>Discussion describes the matched day-10 urea summaries as means while Results reports medians (IQR)</x:v>
      </x:c>
      <x:c r="C5" s="3" t="str">
        <x:v>Main article Results — PDF p. 5, Biochemical Outcomes; main article Discussion — PDF p. 8.</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IDs",IF(OR(COUNTIF($A$2:$A$7,A5)&lt;&gt;1,COUNTIF(Decisions!$C$2:$C$132,A5)&lt;&gt;1),"CHECK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$132,A5)&lt;&gt;1,INDEX('Primary_snapshot'!$J$2:$J$132,MATCH(A5,'Primary_snapshot'!$A$2:$A$132,0))&lt;&gt;"primary_done",INDEX('Primary_snapshot'!$K$2:$K$132,MATCH(A5,'Primary_snapshot'!$A$2:$A$132,0))&lt;&gt;Setup!$B$2,INDEX('Primary_snapshot'!$B$2:$B$132,MATCH(A5,'Primary_snapshot'!$A$2:$A$132,0))="NOT FROZEN",INDEX('Primary_snapshot'!$C$2:$C$132,MATCH(A5,'Primary_snapshot'!$A$2:$A$132,0))="NOT FROZEN",INDEX('Primary_snapshot'!$D$2:$D$132,MATCH(A5,'Primary_snapshot'!$A$2:$A$132,0))="NOT FROZEN",INDEX('Primary_snapshot'!$E$2:$E$132,MATCH(A5,'Primary_snapshot'!$A$2:$A$132,0))="NOT FROZEN",INDEX('Primary_snapshot'!$F$2:$F$132,MATCH(A5,'Primary_snapshot'!$A$2:$A$132,0))="NOT FROZEN",INDEX('Primary_snapshot'!$G$2:$G$132,MATCH(A5,'Primary_snapshot'!$A$2:$A$132,0))="NOT FROZEN",INDEX('Primary_snapshot'!$H$2:$H$132,MATCH(A5,'Primary_snapshot'!$A$2:$A$132,0))="NOT FROZEN",INDEX('Primary_snapshot'!$I$2:$I$132,MATCH(A5,'Primary_snapshot'!$A$2:$A$132,0))="NOT FROZEN",INDEX('Primary_snapshot'!$J$2:$J$132,MATCH(A5,'Primary_snapshot'!$A$2:$A$132,0))="NOT FROZEN",INDEX('Primary_snapshot'!$K$2:$K$132,MATCH(A5,'Primary_snapshot'!$A$2:$A$132,0))="NOT FROZEN",INDEX('Primary_snapshot'!$L$2:$L$132,MATCH(A5,'Primary_snapshot'!$A$2:$A$132,0))="NOT FROZEN"),"FREEZE SNAPSHOT",IF(NOT(OR(N5="agree",N5="agree_clarification",N5="disagree",N5="unable")),"CHECKER RESULT NEEDED",IF(AND(N5&lt;&gt;"agree",LEN(TRIM(O5))=0),"COMMENT NEEDED",IF(AND(N5="agree",NOT(AND(IF(D5="","",D5)=IF(INDEX('Primary_snapshot'!$B$2:$B$132,MATCH(A5,'Primary_snapshot'!$A$2:$A$132,0))="","",INDEX('Primary_snapshot'!$B$2:$B$132,MATCH(A5,'Primary_snapshot'!$A$2:$A$132,0))),IF(E5="","",E5)=IF(INDEX('Primary_snapshot'!$C$2:$C$132,MATCH(A5,'Primary_snapshot'!$A$2:$A$132,0))="","",INDEX('Primary_snapshot'!$C$2:$C$132,MATCH(A5,'Primary_snapshot'!$A$2:$A$132,0))),IF(AND(D5="retain",E5="statistical_results"),IF(H5="","",H5),"not_applicable")=IF(INDEX('Primary_snapshot'!$D$2:$D$132,MATCH(A5,'Primary_snapshot'!$A$2:$A$132,0))="","",INDEX('Primary_snapshot'!$D$2:$D$132,MATCH(A5,'Primary_snapshot'!$A$2:$A$132,0))),IF(AND(D5="retain",E5="statistical_results"),IF(I5="","",I5),"not_applicable")=IF(INDEX('Primary_snapshot'!$E$2:$E$132,MATCH(A5,'Primary_snapshot'!$A$2:$A$132,0))="","",INDEX('Primary_snapshot'!$E$2:$E$132,MATCH(A5,'Primary_snapshot'!$A$2:$A$132,0))),IF(AND(D5="retain",E5="statistical_results"),IF(J5="","",J5),"not_applicable")=IF(INDEX('Primary_snapshot'!$F$2:$F$132,MATCH(A5,'Primary_snapshot'!$A$2:$A$132,0))="","",INDEX('Primary_snapshot'!$F$2:$F$132,MATCH(A5,'Primary_snapshot'!$A$2:$A$132,0))),IF(AND(D5="retain",OR(E5="report_internal_inconsistency",E5="plan_material")),IF(K5="","",K5),"not_applicable")=IF(INDEX('Primary_snapshot'!$G$2:$G$132,MATCH(A5,'Primary_snapshot'!$A$2:$A$132,0))="","",INDEX('Primary_snapshot'!$G$2:$G$132,MATCH(A5,'Primary_snapshot'!$A$2:$A$132,0))),IF(AND(D5="retain",E5="protocol_report"),IF(L5="","",L5),"not_applicable")=IF(INDEX('Primary_snapshot'!$H$2:$H$132,MATCH(A5,'Primary_snapshot'!$A$2:$A$132,0))="","",INDEX('Primary_snapshot'!$H$2:$H$132,MATCH(A5,'Primary_snapshot'!$A$2:$A$132,0))),IF(R5="","",R5)=IF(INDEX('Primary_snapshot'!$I$2:$I$132,MATCH(A5,'Primary_snapshot'!$A$2:$A$132,0))="","",INDEX('Primary_snapshot'!$I$2:$I$132,MATCH(A5,'Primary_snapshot'!$A$2:$A$132,0)))))),"AGREE BUT CHANGED",IF(AND(P5&lt;&gt;"",NOT(OR(P5="pending",P5="resolved"))),"CHECK RESOLUTION",IF(OR(AND(OR(D5="discuss",INDEX('Primary_snapshot'!$B$2:$B$132,MATCH(A5,'Primary_snapshot'!$A$2:$A$132,0))="discuss",N5="disagree",N5="unable"),P5&lt;&gt;"resolved"),D5="discuss"),"DISCUSS",IF(AND(P5="resolved",LEN(TRIM(Q5))=0),"RESOLUTION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IF(Setup!$B$6="primary","",IFERROR(IF(INDEX('Primary_snapshot'!$L$2:$L$132,MATCH(A5,'Primary_snapshot'!$A$2:$A$132,0))="","",INDEX('Primary_snapshot'!$L$2:$L$132,MATCH(A5,'Primary_snapshot'!$A$2:$A$132,0))),"SNAPSHOT MISSING"))</x:f>
      </x:c>
      <x:c r="N5" s="7" t="str"/>
      <x:c r="O5" s="7" t="str"/>
      <x:c r="P5" s="7" t="str"/>
      <x:c r="Q5" s="7" t="str"/>
      <x:c r="R5" s="13" t="str"/>
    </x:row>
    <x:row r="6" ht="92" customHeight="1">
      <x:c r="A6" s="6" t="str">
        <x:v>2025::jama.2025.9110::C005</x:v>
      </x:c>
      <x:c r="B6" s="6" t="str">
        <x:v>eTable 10 tracheostomy row switches percent-sign notation across period cells</x:v>
      </x:c>
      <x:c r="C6" s="6" t="str">
        <x:v>Results Supplement — PDF p. 18, eTable 10, Tracheostomy in ICU [n (%)].</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IDs",IF(OR(COUNTIF($A$2:$A$7,A6)&lt;&gt;1,COUNTIF(Decisions!$C$2:$C$132,A6)&lt;&gt;1),"CHECK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$132,A6)&lt;&gt;1,INDEX('Primary_snapshot'!$J$2:$J$132,MATCH(A6,'Primary_snapshot'!$A$2:$A$132,0))&lt;&gt;"primary_done",INDEX('Primary_snapshot'!$K$2:$K$132,MATCH(A6,'Primary_snapshot'!$A$2:$A$132,0))&lt;&gt;Setup!$B$2,INDEX('Primary_snapshot'!$B$2:$B$132,MATCH(A6,'Primary_snapshot'!$A$2:$A$132,0))="NOT FROZEN",INDEX('Primary_snapshot'!$C$2:$C$132,MATCH(A6,'Primary_snapshot'!$A$2:$A$132,0))="NOT FROZEN",INDEX('Primary_snapshot'!$D$2:$D$132,MATCH(A6,'Primary_snapshot'!$A$2:$A$132,0))="NOT FROZEN",INDEX('Primary_snapshot'!$E$2:$E$132,MATCH(A6,'Primary_snapshot'!$A$2:$A$132,0))="NOT FROZEN",INDEX('Primary_snapshot'!$F$2:$F$132,MATCH(A6,'Primary_snapshot'!$A$2:$A$132,0))="NOT FROZEN",INDEX('Primary_snapshot'!$G$2:$G$132,MATCH(A6,'Primary_snapshot'!$A$2:$A$132,0))="NOT FROZEN",INDEX('Primary_snapshot'!$H$2:$H$132,MATCH(A6,'Primary_snapshot'!$A$2:$A$132,0))="NOT FROZEN",INDEX('Primary_snapshot'!$I$2:$I$132,MATCH(A6,'Primary_snapshot'!$A$2:$A$132,0))="NOT FROZEN",INDEX('Primary_snapshot'!$J$2:$J$132,MATCH(A6,'Primary_snapshot'!$A$2:$A$132,0))="NOT FROZEN",INDEX('Primary_snapshot'!$K$2:$K$132,MATCH(A6,'Primary_snapshot'!$A$2:$A$132,0))="NOT FROZEN",INDEX('Primary_snapshot'!$L$2:$L$132,MATCH(A6,'Primary_snapshot'!$A$2:$A$132,0))="NOT FROZEN"),"FREEZE SNAPSHOT",IF(NOT(OR(N6="agree",N6="agree_clarification",N6="disagree",N6="unable")),"CHECKER RESULT NEEDED",IF(AND(N6&lt;&gt;"agree",LEN(TRIM(O6))=0),"COMMENT NEEDED",IF(AND(N6="agree",NOT(AND(IF(D6="","",D6)=IF(INDEX('Primary_snapshot'!$B$2:$B$132,MATCH(A6,'Primary_snapshot'!$A$2:$A$132,0))="","",INDEX('Primary_snapshot'!$B$2:$B$132,MATCH(A6,'Primary_snapshot'!$A$2:$A$132,0))),IF(E6="","",E6)=IF(INDEX('Primary_snapshot'!$C$2:$C$132,MATCH(A6,'Primary_snapshot'!$A$2:$A$132,0))="","",INDEX('Primary_snapshot'!$C$2:$C$132,MATCH(A6,'Primary_snapshot'!$A$2:$A$132,0))),IF(AND(D6="retain",E6="statistical_results"),IF(H6="","",H6),"not_applicable")=IF(INDEX('Primary_snapshot'!$D$2:$D$132,MATCH(A6,'Primary_snapshot'!$A$2:$A$132,0))="","",INDEX('Primary_snapshot'!$D$2:$D$132,MATCH(A6,'Primary_snapshot'!$A$2:$A$132,0))),IF(AND(D6="retain",E6="statistical_results"),IF(I6="","",I6),"not_applicable")=IF(INDEX('Primary_snapshot'!$E$2:$E$132,MATCH(A6,'Primary_snapshot'!$A$2:$A$132,0))="","",INDEX('Primary_snapshot'!$E$2:$E$132,MATCH(A6,'Primary_snapshot'!$A$2:$A$132,0))),IF(AND(D6="retain",E6="statistical_results"),IF(J6="","",J6),"not_applicable")=IF(INDEX('Primary_snapshot'!$F$2:$F$132,MATCH(A6,'Primary_snapshot'!$A$2:$A$132,0))="","",INDEX('Primary_snapshot'!$F$2:$F$132,MATCH(A6,'Primary_snapshot'!$A$2:$A$132,0))),IF(AND(D6="retain",OR(E6="report_internal_inconsistency",E6="plan_material")),IF(K6="","",K6),"not_applicable")=IF(INDEX('Primary_snapshot'!$G$2:$G$132,MATCH(A6,'Primary_snapshot'!$A$2:$A$132,0))="","",INDEX('Primary_snapshot'!$G$2:$G$132,MATCH(A6,'Primary_snapshot'!$A$2:$A$132,0))),IF(AND(D6="retain",E6="protocol_report"),IF(L6="","",L6),"not_applicable")=IF(INDEX('Primary_snapshot'!$H$2:$H$132,MATCH(A6,'Primary_snapshot'!$A$2:$A$132,0))="","",INDEX('Primary_snapshot'!$H$2:$H$132,MATCH(A6,'Primary_snapshot'!$A$2:$A$132,0))),IF(R6="","",R6)=IF(INDEX('Primary_snapshot'!$I$2:$I$132,MATCH(A6,'Primary_snapshot'!$A$2:$A$132,0))="","",INDEX('Primary_snapshot'!$I$2:$I$132,MATCH(A6,'Primary_snapshot'!$A$2:$A$132,0)))))),"AGREE BUT CHANGED",IF(AND(P6&lt;&gt;"",NOT(OR(P6="pending",P6="resolved"))),"CHECK RESOLUTION",IF(OR(AND(OR(D6="discuss",INDEX('Primary_snapshot'!$B$2:$B$132,MATCH(A6,'Primary_snapshot'!$A$2:$A$132,0))="discuss",N6="disagree",N6="unable"),P6&lt;&gt;"resolved"),D6="discuss"),"DISCUSS",IF(AND(P6="resolved",LEN(TRIM(Q6))=0),"RESOLUTION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IF(Setup!$B$6="primary","",IFERROR(IF(INDEX('Primary_snapshot'!$L$2:$L$132,MATCH(A6,'Primary_snapshot'!$A$2:$A$132,0))="","",INDEX('Primary_snapshot'!$L$2:$L$132,MATCH(A6,'Primary_snapshot'!$A$2:$A$132,0))),"SNAPSHOT MISSING"))</x:f>
      </x:c>
      <x:c r="N6" s="7" t="str"/>
      <x:c r="O6" s="7" t="str"/>
      <x:c r="P6" s="7" t="str"/>
      <x:c r="Q6" s="7" t="str"/>
      <x:c r="R6" s="13" t="str"/>
    </x:row>
    <x:row r="7" ht="92" customHeight="1">
      <x:c r="A7" s="3" t="str">
        <x:v>2025::jama.2025.9110::C006</x:v>
      </x:c>
      <x:c r="B7" s="3" t="str">
        <x:v>eTable 10 new-KRT row switches percent-sign notation across period cells</x:v>
      </x:c>
      <x:c r="C7" s="3" t="str">
        <x:v>Results Supplement — PDF p. 18, eTable 10, New kidney replacement therapy commenced during index ICU admission after commencing trial enteral nutrition [n (%)].</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IDs",IF(OR(COUNTIF($A$2:$A$7,A7)&lt;&gt;1,COUNTIF(Decisions!$C$2:$C$132,A7)&lt;&gt;1),"CHECK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$132,A7)&lt;&gt;1,INDEX('Primary_snapshot'!$J$2:$J$132,MATCH(A7,'Primary_snapshot'!$A$2:$A$132,0))&lt;&gt;"primary_done",INDEX('Primary_snapshot'!$K$2:$K$132,MATCH(A7,'Primary_snapshot'!$A$2:$A$132,0))&lt;&gt;Setup!$B$2,INDEX('Primary_snapshot'!$B$2:$B$132,MATCH(A7,'Primary_snapshot'!$A$2:$A$132,0))="NOT FROZEN",INDEX('Primary_snapshot'!$C$2:$C$132,MATCH(A7,'Primary_snapshot'!$A$2:$A$132,0))="NOT FROZEN",INDEX('Primary_snapshot'!$D$2:$D$132,MATCH(A7,'Primary_snapshot'!$A$2:$A$132,0))="NOT FROZEN",INDEX('Primary_snapshot'!$E$2:$E$132,MATCH(A7,'Primary_snapshot'!$A$2:$A$132,0))="NOT FROZEN",INDEX('Primary_snapshot'!$F$2:$F$132,MATCH(A7,'Primary_snapshot'!$A$2:$A$132,0))="NOT FROZEN",INDEX('Primary_snapshot'!$G$2:$G$132,MATCH(A7,'Primary_snapshot'!$A$2:$A$132,0))="NOT FROZEN",INDEX('Primary_snapshot'!$H$2:$H$132,MATCH(A7,'Primary_snapshot'!$A$2:$A$132,0))="NOT FROZEN",INDEX('Primary_snapshot'!$I$2:$I$132,MATCH(A7,'Primary_snapshot'!$A$2:$A$132,0))="NOT FROZEN",INDEX('Primary_snapshot'!$J$2:$J$132,MATCH(A7,'Primary_snapshot'!$A$2:$A$132,0))="NOT FROZEN",INDEX('Primary_snapshot'!$K$2:$K$132,MATCH(A7,'Primary_snapshot'!$A$2:$A$132,0))="NOT FROZEN",INDEX('Primary_snapshot'!$L$2:$L$132,MATCH(A7,'Primary_snapshot'!$A$2:$A$132,0))="NOT FROZEN"),"FREEZE SNAPSHOT",IF(NOT(OR(N7="agree",N7="agree_clarification",N7="disagree",N7="unable")),"CHECKER RESULT NEEDED",IF(AND(N7&lt;&gt;"agree",LEN(TRIM(O7))=0),"COMMENT NEEDED",IF(AND(N7="agree",NOT(AND(IF(D7="","",D7)=IF(INDEX('Primary_snapshot'!$B$2:$B$132,MATCH(A7,'Primary_snapshot'!$A$2:$A$132,0))="","",INDEX('Primary_snapshot'!$B$2:$B$132,MATCH(A7,'Primary_snapshot'!$A$2:$A$132,0))),IF(E7="","",E7)=IF(INDEX('Primary_snapshot'!$C$2:$C$132,MATCH(A7,'Primary_snapshot'!$A$2:$A$132,0))="","",INDEX('Primary_snapshot'!$C$2:$C$132,MATCH(A7,'Primary_snapshot'!$A$2:$A$132,0))),IF(AND(D7="retain",E7="statistical_results"),IF(H7="","",H7),"not_applicable")=IF(INDEX('Primary_snapshot'!$D$2:$D$132,MATCH(A7,'Primary_snapshot'!$A$2:$A$132,0))="","",INDEX('Primary_snapshot'!$D$2:$D$132,MATCH(A7,'Primary_snapshot'!$A$2:$A$132,0))),IF(AND(D7="retain",E7="statistical_results"),IF(I7="","",I7),"not_applicable")=IF(INDEX('Primary_snapshot'!$E$2:$E$132,MATCH(A7,'Primary_snapshot'!$A$2:$A$132,0))="","",INDEX('Primary_snapshot'!$E$2:$E$132,MATCH(A7,'Primary_snapshot'!$A$2:$A$132,0))),IF(AND(D7="retain",E7="statistical_results"),IF(J7="","",J7),"not_applicable")=IF(INDEX('Primary_snapshot'!$F$2:$F$132,MATCH(A7,'Primary_snapshot'!$A$2:$A$132,0))="","",INDEX('Primary_snapshot'!$F$2:$F$132,MATCH(A7,'Primary_snapshot'!$A$2:$A$132,0))),IF(AND(D7="retain",OR(E7="report_internal_inconsistency",E7="plan_material")),IF(K7="","",K7),"not_applicable")=IF(INDEX('Primary_snapshot'!$G$2:$G$132,MATCH(A7,'Primary_snapshot'!$A$2:$A$132,0))="","",INDEX('Primary_snapshot'!$G$2:$G$132,MATCH(A7,'Primary_snapshot'!$A$2:$A$132,0))),IF(AND(D7="retain",E7="protocol_report"),IF(L7="","",L7),"not_applicable")=IF(INDEX('Primary_snapshot'!$H$2:$H$132,MATCH(A7,'Primary_snapshot'!$A$2:$A$132,0))="","",INDEX('Primary_snapshot'!$H$2:$H$132,MATCH(A7,'Primary_snapshot'!$A$2:$A$132,0))),IF(R7="","",R7)=IF(INDEX('Primary_snapshot'!$I$2:$I$132,MATCH(A7,'Primary_snapshot'!$A$2:$A$132,0))="","",INDEX('Primary_snapshot'!$I$2:$I$132,MATCH(A7,'Primary_snapshot'!$A$2:$A$132,0)))))),"AGREE BUT CHANGED",IF(AND(P7&lt;&gt;"",NOT(OR(P7="pending",P7="resolved"))),"CHECK RESOLUTION",IF(OR(AND(OR(D7="discuss",INDEX('Primary_snapshot'!$B$2:$B$132,MATCH(A7,'Primary_snapshot'!$A$2:$A$132,0))="discuss",N7="disagree",N7="unable"),P7&lt;&gt;"resolved"),D7="discuss"),"DISCUSS",IF(AND(P7="resolved",LEN(TRIM(Q7))=0),"RESOLUTION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IF(Setup!$B$6="primary","",IFERROR(IF(INDEX('Primary_snapshot'!$L$2:$L$132,MATCH(A7,'Primary_snapshot'!$A$2:$A$132,0))="","",INDEX('Primary_snapshot'!$L$2:$L$132,MATCH(A7,'Primary_snapshot'!$A$2:$A$132,0))),"SNAPSHOT MISSING"))</x:f>
      </x:c>
      <x:c r="N7" s="7" t="str"/>
      <x:c r="O7" s="7" t="str"/>
      <x:c r="P7" s="7" t="str"/>
      <x:c r="Q7" s="7" t="str"/>
      <x:c r="R7" s="13" t="str"/>
    </x:row>
  </x:sheetData>
  <x:conditionalFormatting sqref="G2:G7">
    <x:cfRule type="expression" dxfId="91" priority="1">
      <x:formula>AND(G2&lt;&gt;"PRIMARY READY",G2&lt;&gt;"FINAL READY")</x:formula>
    </x:cfRule>
  </x:conditionalFormatting>
  <x:conditionalFormatting sqref="N2:Q7">
    <x:cfRule type="expression" dxfId="92" priority="2">
      <x:formula>Setup!$B$6="primary"</x:formula>
    </x:cfRule>
  </x:conditionalFormatting>
  <x:conditionalFormatting sqref="H2:H7">
    <x:cfRule type="expression" dxfId="93" priority="3">
      <x:formula>NOT(AND(OR($D2="retain",$D2=""),$E2="statistical_results"))</x:formula>
    </x:cfRule>
  </x:conditionalFormatting>
  <x:conditionalFormatting sqref="I2:I7">
    <x:cfRule type="expression" dxfId="94" priority="4">
      <x:formula>NOT(AND(OR($D2="retain",$D2=""),$E2="statistical_results"))</x:formula>
    </x:cfRule>
  </x:conditionalFormatting>
  <x:conditionalFormatting sqref="J2:J7">
    <x:cfRule type="expression" dxfId="95" priority="5">
      <x:formula>NOT(AND(OR($D2="retain",$D2=""),$E2="statistical_results"))</x:formula>
    </x:cfRule>
  </x:conditionalFormatting>
  <x:conditionalFormatting sqref="K2:K7">
    <x:cfRule type="expression" dxfId="96" priority="6">
      <x:formula>NOT(AND(OR($D2="retain",$D2=""),OR($E2="report_internal_inconsistency",$E2="plan_material")))</x:formula>
    </x:cfRule>
  </x:conditionalFormatting>
  <x:conditionalFormatting sqref="L2:L7">
    <x:cfRule type="expression" dxfId="97"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55f171c4c38048b3"/>
  </x:tableParts>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2025::jama.2025.9663::C001</x:v>
      </x:c>
      <x:c r="B2" s="6" t="str">
        <x:v>Extraneous pressure unit after the usual-group SpO2 summary</x:v>
      </x:c>
      <x:c r="C2" s="6" t="str">
        <x:v>DOC-001, jama_martin_2025_oi_250042_1753377747.91025.pdf — PDF p. 6 (printed article p. 403), Oxygen Exposure paragraph; comparator DOC-003, joi250042supp2_prod_1753377747.93025.pdf — PDF p. 21, eTable 5.</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IDs",IF(OR(COUNTIF($A$2:$A$4,A2)&lt;&gt;1,COUNTIF(Decisions!$C$2:$C$132,A2)&lt;&gt;1),"CHECK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$132,A2)&lt;&gt;1,INDEX('Primary_snapshot'!$J$2:$J$132,MATCH(A2,'Primary_snapshot'!$A$2:$A$132,0))&lt;&gt;"primary_done",INDEX('Primary_snapshot'!$K$2:$K$132,MATCH(A2,'Primary_snapshot'!$A$2:$A$132,0))&lt;&gt;Setup!$B$2,INDEX('Primary_snapshot'!$B$2:$B$132,MATCH(A2,'Primary_snapshot'!$A$2:$A$132,0))="NOT FROZEN",INDEX('Primary_snapshot'!$C$2:$C$132,MATCH(A2,'Primary_snapshot'!$A$2:$A$132,0))="NOT FROZEN",INDEX('Primary_snapshot'!$D$2:$D$132,MATCH(A2,'Primary_snapshot'!$A$2:$A$132,0))="NOT FROZEN",INDEX('Primary_snapshot'!$E$2:$E$132,MATCH(A2,'Primary_snapshot'!$A$2:$A$132,0))="NOT FROZEN",INDEX('Primary_snapshot'!$F$2:$F$132,MATCH(A2,'Primary_snapshot'!$A$2:$A$132,0))="NOT FROZEN",INDEX('Primary_snapshot'!$G$2:$G$132,MATCH(A2,'Primary_snapshot'!$A$2:$A$132,0))="NOT FROZEN",INDEX('Primary_snapshot'!$H$2:$H$132,MATCH(A2,'Primary_snapshot'!$A$2:$A$132,0))="NOT FROZEN",INDEX('Primary_snapshot'!$I$2:$I$132,MATCH(A2,'Primary_snapshot'!$A$2:$A$132,0))="NOT FROZEN",INDEX('Primary_snapshot'!$J$2:$J$132,MATCH(A2,'Primary_snapshot'!$A$2:$A$132,0))="NOT FROZEN",INDEX('Primary_snapshot'!$K$2:$K$132,MATCH(A2,'Primary_snapshot'!$A$2:$A$132,0))="NOT FROZEN",INDEX('Primary_snapshot'!$L$2:$L$132,MATCH(A2,'Primary_snapshot'!$A$2:$A$132,0))="NOT FROZEN"),"FREEZE SNAPSHOT",IF(NOT(OR(N2="agree",N2="agree_clarification",N2="disagree",N2="unable")),"CHECKER RESULT NEEDED",IF(AND(N2&lt;&gt;"agree",LEN(TRIM(O2))=0),"COMMENT NEEDED",IF(AND(N2="agree",NOT(AND(IF(D2="","",D2)=IF(INDEX('Primary_snapshot'!$B$2:$B$132,MATCH(A2,'Primary_snapshot'!$A$2:$A$132,0))="","",INDEX('Primary_snapshot'!$B$2:$B$132,MATCH(A2,'Primary_snapshot'!$A$2:$A$132,0))),IF(E2="","",E2)=IF(INDEX('Primary_snapshot'!$C$2:$C$132,MATCH(A2,'Primary_snapshot'!$A$2:$A$132,0))="","",INDEX('Primary_snapshot'!$C$2:$C$132,MATCH(A2,'Primary_snapshot'!$A$2:$A$132,0))),IF(AND(D2="retain",E2="statistical_results"),IF(H2="","",H2),"not_applicable")=IF(INDEX('Primary_snapshot'!$D$2:$D$132,MATCH(A2,'Primary_snapshot'!$A$2:$A$132,0))="","",INDEX('Primary_snapshot'!$D$2:$D$132,MATCH(A2,'Primary_snapshot'!$A$2:$A$132,0))),IF(AND(D2="retain",E2="statistical_results"),IF(I2="","",I2),"not_applicable")=IF(INDEX('Primary_snapshot'!$E$2:$E$132,MATCH(A2,'Primary_snapshot'!$A$2:$A$132,0))="","",INDEX('Primary_snapshot'!$E$2:$E$132,MATCH(A2,'Primary_snapshot'!$A$2:$A$132,0))),IF(AND(D2="retain",E2="statistical_results"),IF(J2="","",J2),"not_applicable")=IF(INDEX('Primary_snapshot'!$F$2:$F$132,MATCH(A2,'Primary_snapshot'!$A$2:$A$132,0))="","",INDEX('Primary_snapshot'!$F$2:$F$132,MATCH(A2,'Primary_snapshot'!$A$2:$A$132,0))),IF(AND(D2="retain",OR(E2="report_internal_inconsistency",E2="plan_material")),IF(K2="","",K2),"not_applicable")=IF(INDEX('Primary_snapshot'!$G$2:$G$132,MATCH(A2,'Primary_snapshot'!$A$2:$A$132,0))="","",INDEX('Primary_snapshot'!$G$2:$G$132,MATCH(A2,'Primary_snapshot'!$A$2:$A$132,0))),IF(AND(D2="retain",E2="protocol_report"),IF(L2="","",L2),"not_applicable")=IF(INDEX('Primary_snapshot'!$H$2:$H$132,MATCH(A2,'Primary_snapshot'!$A$2:$A$132,0))="","",INDEX('Primary_snapshot'!$H$2:$H$132,MATCH(A2,'Primary_snapshot'!$A$2:$A$132,0))),IF(R2="","",R2)=IF(INDEX('Primary_snapshot'!$I$2:$I$132,MATCH(A2,'Primary_snapshot'!$A$2:$A$132,0))="","",INDEX('Primary_snapshot'!$I$2:$I$132,MATCH(A2,'Primary_snapshot'!$A$2:$A$132,0)))))),"AGREE BUT CHANGED",IF(AND(P2&lt;&gt;"",NOT(OR(P2="pending",P2="resolved"))),"CHECK RESOLUTION",IF(OR(AND(OR(D2="discuss",INDEX('Primary_snapshot'!$B$2:$B$132,MATCH(A2,'Primary_snapshot'!$A$2:$A$132,0))="discuss",N2="disagree",N2="unable"),P2&lt;&gt;"resolved"),D2="discuss"),"DISCUSS",IF(AND(P2="resolved",LEN(TRIM(Q2))=0),"RESOLUTION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IF(Setup!$B$6="primary","",IFERROR(IF(INDEX('Primary_snapshot'!$L$2:$L$132,MATCH(A2,'Primary_snapshot'!$A$2:$A$132,0))="","",INDEX('Primary_snapshot'!$L$2:$L$132,MATCH(A2,'Primary_snapshot'!$A$2:$A$132,0))),"SNAPSHOT MISSING"))</x:f>
      </x:c>
      <x:c r="N2" s="7" t="str"/>
      <x:c r="O2" s="7" t="str"/>
      <x:c r="P2" s="7" t="str"/>
      <x:c r="Q2" s="7" t="str"/>
      <x:c r="R2" s="13" t="str"/>
    </x:row>
    <x:row r="3" ht="92" customHeight="1">
      <x:c r="A3" s="3" t="str">
        <x:v>2025::jama.2025.9663::C002</x:v>
      </x:c>
      <x:c r="B3" s="3" t="str">
        <x:v>Results-supplement contents page does not identify actual eTables 1-4</x:v>
      </x:c>
      <x:c r="C3" s="3" t="str">
        <x:v>DOC-003, joi250042supp2_prod_1753377747.93025.pdf — PDF p. 1, contents; actual eTable 1 — PDF p. 15, eTable 2 — PDF p. 17, eTable 3 — PDF p. 18, and eTable 4 — PDF p. 19.</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IDs",IF(OR(COUNTIF($A$2:$A$4,A3)&lt;&gt;1,COUNTIF(Decisions!$C$2:$C$132,A3)&lt;&gt;1),"CHECK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$132,A3)&lt;&gt;1,INDEX('Primary_snapshot'!$J$2:$J$132,MATCH(A3,'Primary_snapshot'!$A$2:$A$132,0))&lt;&gt;"primary_done",INDEX('Primary_snapshot'!$K$2:$K$132,MATCH(A3,'Primary_snapshot'!$A$2:$A$132,0))&lt;&gt;Setup!$B$2,INDEX('Primary_snapshot'!$B$2:$B$132,MATCH(A3,'Primary_snapshot'!$A$2:$A$132,0))="NOT FROZEN",INDEX('Primary_snapshot'!$C$2:$C$132,MATCH(A3,'Primary_snapshot'!$A$2:$A$132,0))="NOT FROZEN",INDEX('Primary_snapshot'!$D$2:$D$132,MATCH(A3,'Primary_snapshot'!$A$2:$A$132,0))="NOT FROZEN",INDEX('Primary_snapshot'!$E$2:$E$132,MATCH(A3,'Primary_snapshot'!$A$2:$A$132,0))="NOT FROZEN",INDEX('Primary_snapshot'!$F$2:$F$132,MATCH(A3,'Primary_snapshot'!$A$2:$A$132,0))="NOT FROZEN",INDEX('Primary_snapshot'!$G$2:$G$132,MATCH(A3,'Primary_snapshot'!$A$2:$A$132,0))="NOT FROZEN",INDEX('Primary_snapshot'!$H$2:$H$132,MATCH(A3,'Primary_snapshot'!$A$2:$A$132,0))="NOT FROZEN",INDEX('Primary_snapshot'!$I$2:$I$132,MATCH(A3,'Primary_snapshot'!$A$2:$A$132,0))="NOT FROZEN",INDEX('Primary_snapshot'!$J$2:$J$132,MATCH(A3,'Primary_snapshot'!$A$2:$A$132,0))="NOT FROZEN",INDEX('Primary_snapshot'!$K$2:$K$132,MATCH(A3,'Primary_snapshot'!$A$2:$A$132,0))="NOT FROZEN",INDEX('Primary_snapshot'!$L$2:$L$132,MATCH(A3,'Primary_snapshot'!$A$2:$A$132,0))="NOT FROZEN"),"FREEZE SNAPSHOT",IF(NOT(OR(N3="agree",N3="agree_clarification",N3="disagree",N3="unable")),"CHECKER RESULT NEEDED",IF(AND(N3&lt;&gt;"agree",LEN(TRIM(O3))=0),"COMMENT NEEDED",IF(AND(N3="agree",NOT(AND(IF(D3="","",D3)=IF(INDEX('Primary_snapshot'!$B$2:$B$132,MATCH(A3,'Primary_snapshot'!$A$2:$A$132,0))="","",INDEX('Primary_snapshot'!$B$2:$B$132,MATCH(A3,'Primary_snapshot'!$A$2:$A$132,0))),IF(E3="","",E3)=IF(INDEX('Primary_snapshot'!$C$2:$C$132,MATCH(A3,'Primary_snapshot'!$A$2:$A$132,0))="","",INDEX('Primary_snapshot'!$C$2:$C$132,MATCH(A3,'Primary_snapshot'!$A$2:$A$132,0))),IF(AND(D3="retain",E3="statistical_results"),IF(H3="","",H3),"not_applicable")=IF(INDEX('Primary_snapshot'!$D$2:$D$132,MATCH(A3,'Primary_snapshot'!$A$2:$A$132,0))="","",INDEX('Primary_snapshot'!$D$2:$D$132,MATCH(A3,'Primary_snapshot'!$A$2:$A$132,0))),IF(AND(D3="retain",E3="statistical_results"),IF(I3="","",I3),"not_applicable")=IF(INDEX('Primary_snapshot'!$E$2:$E$132,MATCH(A3,'Primary_snapshot'!$A$2:$A$132,0))="","",INDEX('Primary_snapshot'!$E$2:$E$132,MATCH(A3,'Primary_snapshot'!$A$2:$A$132,0))),IF(AND(D3="retain",E3="statistical_results"),IF(J3="","",J3),"not_applicable")=IF(INDEX('Primary_snapshot'!$F$2:$F$132,MATCH(A3,'Primary_snapshot'!$A$2:$A$132,0))="","",INDEX('Primary_snapshot'!$F$2:$F$132,MATCH(A3,'Primary_snapshot'!$A$2:$A$132,0))),IF(AND(D3="retain",OR(E3="report_internal_inconsistency",E3="plan_material")),IF(K3="","",K3),"not_applicable")=IF(INDEX('Primary_snapshot'!$G$2:$G$132,MATCH(A3,'Primary_snapshot'!$A$2:$A$132,0))="","",INDEX('Primary_snapshot'!$G$2:$G$132,MATCH(A3,'Primary_snapshot'!$A$2:$A$132,0))),IF(AND(D3="retain",E3="protocol_report"),IF(L3="","",L3),"not_applicable")=IF(INDEX('Primary_snapshot'!$H$2:$H$132,MATCH(A3,'Primary_snapshot'!$A$2:$A$132,0))="","",INDEX('Primary_snapshot'!$H$2:$H$132,MATCH(A3,'Primary_snapshot'!$A$2:$A$132,0))),IF(R3="","",R3)=IF(INDEX('Primary_snapshot'!$I$2:$I$132,MATCH(A3,'Primary_snapshot'!$A$2:$A$132,0))="","",INDEX('Primary_snapshot'!$I$2:$I$132,MATCH(A3,'Primary_snapshot'!$A$2:$A$132,0)))))),"AGREE BUT CHANGED",IF(AND(P3&lt;&gt;"",NOT(OR(P3="pending",P3="resolved"))),"CHECK RESOLUTION",IF(OR(AND(OR(D3="discuss",INDEX('Primary_snapshot'!$B$2:$B$132,MATCH(A3,'Primary_snapshot'!$A$2:$A$132,0))="discuss",N3="disagree",N3="unable"),P3&lt;&gt;"resolved"),D3="discuss"),"DISCUSS",IF(AND(P3="resolved",LEN(TRIM(Q3))=0),"RESOLUTION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IF(Setup!$B$6="primary","",IFERROR(IF(INDEX('Primary_snapshot'!$L$2:$L$132,MATCH(A3,'Primary_snapshot'!$A$2:$A$132,0))="","",INDEX('Primary_snapshot'!$L$2:$L$132,MATCH(A3,'Primary_snapshot'!$A$2:$A$132,0))),"SNAPSHOT MISSING"))</x:f>
      </x:c>
      <x:c r="N3" s="7" t="str"/>
      <x:c r="O3" s="7" t="str"/>
      <x:c r="P3" s="7" t="str"/>
      <x:c r="Q3" s="7" t="str"/>
      <x:c r="R3" s="13" t="str"/>
    </x:row>
    <x:row r="4" ht="92" customHeight="1">
      <x:c r="A4" s="6" t="str">
        <x:v>2025::jama.2025.9663::C003</x:v>
      </x:c>
      <x:c r="B4" s="6" t="str">
        <x:v>Final SAP contains an unresolved reference after quantitative separation/adherence rules</x:v>
      </x:c>
      <x:c r="C4" s="6" t="str">
        <x:v>DOC-002, joi250042supp1_prod_1753377747.92525.pdf — PDF p. 118 (SAP p. 8), section 2.5 and Table 1, immediately after the separation/adherence definition.</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IDs",IF(OR(COUNTIF($A$2:$A$4,A4)&lt;&gt;1,COUNTIF(Decisions!$C$2:$C$132,A4)&lt;&gt;1),"CHECK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$132,A4)&lt;&gt;1,INDEX('Primary_snapshot'!$J$2:$J$132,MATCH(A4,'Primary_snapshot'!$A$2:$A$132,0))&lt;&gt;"primary_done",INDEX('Primary_snapshot'!$K$2:$K$132,MATCH(A4,'Primary_snapshot'!$A$2:$A$132,0))&lt;&gt;Setup!$B$2,INDEX('Primary_snapshot'!$B$2:$B$132,MATCH(A4,'Primary_snapshot'!$A$2:$A$132,0))="NOT FROZEN",INDEX('Primary_snapshot'!$C$2:$C$132,MATCH(A4,'Primary_snapshot'!$A$2:$A$132,0))="NOT FROZEN",INDEX('Primary_snapshot'!$D$2:$D$132,MATCH(A4,'Primary_snapshot'!$A$2:$A$132,0))="NOT FROZEN",INDEX('Primary_snapshot'!$E$2:$E$132,MATCH(A4,'Primary_snapshot'!$A$2:$A$132,0))="NOT FROZEN",INDEX('Primary_snapshot'!$F$2:$F$132,MATCH(A4,'Primary_snapshot'!$A$2:$A$132,0))="NOT FROZEN",INDEX('Primary_snapshot'!$G$2:$G$132,MATCH(A4,'Primary_snapshot'!$A$2:$A$132,0))="NOT FROZEN",INDEX('Primary_snapshot'!$H$2:$H$132,MATCH(A4,'Primary_snapshot'!$A$2:$A$132,0))="NOT FROZEN",INDEX('Primary_snapshot'!$I$2:$I$132,MATCH(A4,'Primary_snapshot'!$A$2:$A$132,0))="NOT FROZEN",INDEX('Primary_snapshot'!$J$2:$J$132,MATCH(A4,'Primary_snapshot'!$A$2:$A$132,0))="NOT FROZEN",INDEX('Primary_snapshot'!$K$2:$K$132,MATCH(A4,'Primary_snapshot'!$A$2:$A$132,0))="NOT FROZEN",INDEX('Primary_snapshot'!$L$2:$L$132,MATCH(A4,'Primary_snapshot'!$A$2:$A$132,0))="NOT FROZEN"),"FREEZE SNAPSHOT",IF(NOT(OR(N4="agree",N4="agree_clarification",N4="disagree",N4="unable")),"CHECKER RESULT NEEDED",IF(AND(N4&lt;&gt;"agree",LEN(TRIM(O4))=0),"COMMENT NEEDED",IF(AND(N4="agree",NOT(AND(IF(D4="","",D4)=IF(INDEX('Primary_snapshot'!$B$2:$B$132,MATCH(A4,'Primary_snapshot'!$A$2:$A$132,0))="","",INDEX('Primary_snapshot'!$B$2:$B$132,MATCH(A4,'Primary_snapshot'!$A$2:$A$132,0))),IF(E4="","",E4)=IF(INDEX('Primary_snapshot'!$C$2:$C$132,MATCH(A4,'Primary_snapshot'!$A$2:$A$132,0))="","",INDEX('Primary_snapshot'!$C$2:$C$132,MATCH(A4,'Primary_snapshot'!$A$2:$A$132,0))),IF(AND(D4="retain",E4="statistical_results"),IF(H4="","",H4),"not_applicable")=IF(INDEX('Primary_snapshot'!$D$2:$D$132,MATCH(A4,'Primary_snapshot'!$A$2:$A$132,0))="","",INDEX('Primary_snapshot'!$D$2:$D$132,MATCH(A4,'Primary_snapshot'!$A$2:$A$132,0))),IF(AND(D4="retain",E4="statistical_results"),IF(I4="","",I4),"not_applicable")=IF(INDEX('Primary_snapshot'!$E$2:$E$132,MATCH(A4,'Primary_snapshot'!$A$2:$A$132,0))="","",INDEX('Primary_snapshot'!$E$2:$E$132,MATCH(A4,'Primary_snapshot'!$A$2:$A$132,0))),IF(AND(D4="retain",E4="statistical_results"),IF(J4="","",J4),"not_applicable")=IF(INDEX('Primary_snapshot'!$F$2:$F$132,MATCH(A4,'Primary_snapshot'!$A$2:$A$132,0))="","",INDEX('Primary_snapshot'!$F$2:$F$132,MATCH(A4,'Primary_snapshot'!$A$2:$A$132,0))),IF(AND(D4="retain",OR(E4="report_internal_inconsistency",E4="plan_material")),IF(K4="","",K4),"not_applicable")=IF(INDEX('Primary_snapshot'!$G$2:$G$132,MATCH(A4,'Primary_snapshot'!$A$2:$A$132,0))="","",INDEX('Primary_snapshot'!$G$2:$G$132,MATCH(A4,'Primary_snapshot'!$A$2:$A$132,0))),IF(AND(D4="retain",E4="protocol_report"),IF(L4="","",L4),"not_applicable")=IF(INDEX('Primary_snapshot'!$H$2:$H$132,MATCH(A4,'Primary_snapshot'!$A$2:$A$132,0))="","",INDEX('Primary_snapshot'!$H$2:$H$132,MATCH(A4,'Primary_snapshot'!$A$2:$A$132,0))),IF(R4="","",R4)=IF(INDEX('Primary_snapshot'!$I$2:$I$132,MATCH(A4,'Primary_snapshot'!$A$2:$A$132,0))="","",INDEX('Primary_snapshot'!$I$2:$I$132,MATCH(A4,'Primary_snapshot'!$A$2:$A$132,0)))))),"AGREE BUT CHANGED",IF(AND(P4&lt;&gt;"",NOT(OR(P4="pending",P4="resolved"))),"CHECK RESOLUTION",IF(OR(AND(OR(D4="discuss",INDEX('Primary_snapshot'!$B$2:$B$132,MATCH(A4,'Primary_snapshot'!$A$2:$A$132,0))="discuss",N4="disagree",N4="unable"),P4&lt;&gt;"resolved"),D4="discuss"),"DISCUSS",IF(AND(P4="resolved",LEN(TRIM(Q4))=0),"RESOLUTION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IF(Setup!$B$6="primary","",IFERROR(IF(INDEX('Primary_snapshot'!$L$2:$L$132,MATCH(A4,'Primary_snapshot'!$A$2:$A$132,0))="","",INDEX('Primary_snapshot'!$L$2:$L$132,MATCH(A4,'Primary_snapshot'!$A$2:$A$132,0))),"SNAPSHOT MISSING"))</x:f>
      </x:c>
      <x:c r="N4" s="7" t="str"/>
      <x:c r="O4" s="7" t="str"/>
      <x:c r="P4" s="7" t="str"/>
      <x:c r="Q4" s="7" t="str"/>
      <x:c r="R4" s="13" t="str"/>
    </x:row>
  </x:sheetData>
  <x:conditionalFormatting sqref="G2:G4">
    <x:cfRule type="expression" dxfId="98" priority="1">
      <x:formula>AND(G2&lt;&gt;"PRIMARY READY",G2&lt;&gt;"FINAL READY")</x:formula>
    </x:cfRule>
  </x:conditionalFormatting>
  <x:conditionalFormatting sqref="N2:Q4">
    <x:cfRule type="expression" dxfId="99" priority="2">
      <x:formula>Setup!$B$6="primary"</x:formula>
    </x:cfRule>
  </x:conditionalFormatting>
  <x:conditionalFormatting sqref="H2:H4">
    <x:cfRule type="expression" dxfId="100" priority="3">
      <x:formula>NOT(AND(OR($D2="retain",$D2=""),$E2="statistical_results"))</x:formula>
    </x:cfRule>
  </x:conditionalFormatting>
  <x:conditionalFormatting sqref="I2:I4">
    <x:cfRule type="expression" dxfId="101" priority="4">
      <x:formula>NOT(AND(OR($D2="retain",$D2=""),$E2="statistical_results"))</x:formula>
    </x:cfRule>
  </x:conditionalFormatting>
  <x:conditionalFormatting sqref="J2:J4">
    <x:cfRule type="expression" dxfId="102" priority="5">
      <x:formula>NOT(AND(OR($D2="retain",$D2=""),$E2="statistical_results"))</x:formula>
    </x:cfRule>
  </x:conditionalFormatting>
  <x:conditionalFormatting sqref="K2:K4">
    <x:cfRule type="expression" dxfId="103" priority="6">
      <x:formula>NOT(AND(OR($D2="retain",$D2=""),OR($E2="report_internal_inconsistency",$E2="plan_material")))</x:formula>
    </x:cfRule>
  </x:conditionalFormatting>
  <x:conditionalFormatting sqref="L2:L4">
    <x:cfRule type="expression" dxfId="104"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6468f4c96a464ee8"/>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f>IF(Setup!$B$6="primary","2025::jama.2024.24764::C001","NOT FROZEN")</x:f>
        <x:v>2025::jama.2024.24764::C001</x:v>
      </x:c>
      <x:c r="B2" s="6" t="str">
        <x:f>IF(Setup!$B$6="primary",IF(INDEX('C_jama.2024.24764'!$D$2:$D$9,MATCH("2025::jama.2024.24764::C001",'C_jama.2024.24764'!$A$2:$A$9,0))="","",INDEX('C_jama.2024.24764'!$D$2:$D$9,MATCH("2025::jama.2024.24764::C001",'C_jama.2024.24764'!$A$2:$A$9,0))),"NOT FROZEN")</x:f>
      </x:c>
      <x:c r="C2" s="6" t="str">
        <x:f>IF(Setup!$B$6="primary",IF(INDEX('C_jama.2024.24764'!$E$2:$E$9,MATCH("2025::jama.2024.24764::C001",'C_jama.2024.24764'!$A$2:$A$9,0))="","",INDEX('C_jama.2024.24764'!$E$2:$E$9,MATCH("2025::jama.2024.24764::C001",'C_jama.2024.24764'!$A$2:$A$9,0))),"NOT FROZEN")</x:f>
        <x:v>statistical_results</x:v>
      </x:c>
      <x:c r="D2" s="6" t="str">
        <x:f>IF(Setup!$B$6="primary",IF(AND(INDEX('C_jama.2024.24764'!$D$2:$D$9,MATCH("2025::jama.2024.24764::C001",'C_jama.2024.24764'!$A$2:$A$9,0))="retain",INDEX('C_jama.2024.24764'!$E$2:$E$9,MATCH("2025::jama.2024.24764::C001",'C_jama.2024.24764'!$A$2:$A$9,0))="statistical_results"),IF(INDEX('C_jama.2024.24764'!$H$2:$H$9,MATCH("2025::jama.2024.24764::C001",'C_jama.2024.24764'!$A$2:$A$9,0))="","",INDEX('C_jama.2024.24764'!$H$2:$H$9,MATCH("2025::jama.2024.24764::C001",'C_jama.2024.24764'!$A$2:$A$9,0))),"not_applicable"),"NOT FROZEN")</x:f>
        <x:v>not_applicable</x:v>
      </x:c>
      <x:c r="E2" s="6" t="str">
        <x:f>IF(Setup!$B$6="primary",IF(AND(INDEX('C_jama.2024.24764'!$D$2:$D$9,MATCH("2025::jama.2024.24764::C001",'C_jama.2024.24764'!$A$2:$A$9,0))="retain",INDEX('C_jama.2024.24764'!$E$2:$E$9,MATCH("2025::jama.2024.24764::C001",'C_jama.2024.24764'!$A$2:$A$9,0))="statistical_results"),IF(INDEX('C_jama.2024.24764'!$I$2:$I$9,MATCH("2025::jama.2024.24764::C001",'C_jama.2024.24764'!$A$2:$A$9,0))="","",INDEX('C_jama.2024.24764'!$I$2:$I$9,MATCH("2025::jama.2024.24764::C001",'C_jama.2024.24764'!$A$2:$A$9,0))),"not_applicable"),"NOT FROZEN")</x:f>
        <x:v>not_applicable</x:v>
      </x:c>
      <x:c r="F2" s="6" t="str">
        <x:f>IF(Setup!$B$6="primary",IF(AND(INDEX('C_jama.2024.24764'!$D$2:$D$9,MATCH("2025::jama.2024.24764::C001",'C_jama.2024.24764'!$A$2:$A$9,0))="retain",INDEX('C_jama.2024.24764'!$E$2:$E$9,MATCH("2025::jama.2024.24764::C001",'C_jama.2024.24764'!$A$2:$A$9,0))="statistical_results"),IF(INDEX('C_jama.2024.24764'!$J$2:$J$9,MATCH("2025::jama.2024.24764::C001",'C_jama.2024.24764'!$A$2:$A$9,0))="","",INDEX('C_jama.2024.24764'!$J$2:$J$9,MATCH("2025::jama.2024.24764::C001",'C_jama.2024.24764'!$A$2:$A$9,0))),"not_applicable"),"NOT FROZEN")</x:f>
        <x:v>not_applicable</x:v>
      </x:c>
      <x:c r="G2" s="6" t="str">
        <x:f>IF(Setup!$B$6="primary",IF(AND(INDEX('C_jama.2024.24764'!$D$2:$D$9,MATCH("2025::jama.2024.24764::C001",'C_jama.2024.24764'!$A$2:$A$9,0))="retain",OR(INDEX('C_jama.2024.24764'!$E$2:$E$9,MATCH("2025::jama.2024.24764::C001",'C_jama.2024.24764'!$A$2:$A$9,0))="report_internal_inconsistency",INDEX('C_jama.2024.24764'!$E$2:$E$9,MATCH("2025::jama.2024.24764::C001",'C_jama.2024.24764'!$A$2:$A$9,0))="plan_material")),IF(INDEX('C_jama.2024.24764'!$K$2:$K$9,MATCH("2025::jama.2024.24764::C001",'C_jama.2024.24764'!$A$2:$A$9,0))="","",INDEX('C_jama.2024.24764'!$K$2:$K$9,MATCH("2025::jama.2024.24764::C001",'C_jama.2024.24764'!$A$2:$A$9,0))),"not_applicable"),"NOT FROZEN")</x:f>
        <x:v>not_applicable</x:v>
      </x:c>
      <x:c r="H2" s="6" t="str">
        <x:f>IF(Setup!$B$6="primary",IF(AND(INDEX('C_jama.2024.24764'!$D$2:$D$9,MATCH("2025::jama.2024.24764::C001",'C_jama.2024.24764'!$A$2:$A$9,0))="retain",INDEX('C_jama.2024.24764'!$E$2:$E$9,MATCH("2025::jama.2024.24764::C001",'C_jama.2024.24764'!$A$2:$A$9,0))="protocol_report"),IF(INDEX('C_jama.2024.24764'!$L$2:$L$9,MATCH("2025::jama.2024.24764::C001",'C_jama.2024.24764'!$A$2:$A$9,0))="","",INDEX('C_jama.2024.24764'!$L$2:$L$9,MATCH("2025::jama.2024.24764::C001",'C_jama.2024.24764'!$A$2:$A$9,0))),"not_applicable"),"NOT FROZEN")</x:f>
        <x:v>not_applicable</x:v>
      </x:c>
      <x:c r="I2" s="6" t="str">
        <x:f>IF(Setup!$B$6="primary",IF(INDEX('C_jama.2024.24764'!$R$2:$R$9,MATCH("2025::jama.2024.24764::C001",'C_jama.2024.24764'!$A$2:$A$9,0))="","",INDEX('C_jama.2024.24764'!$R$2:$R$9,MATCH("2025::jama.2024.24764::C001",'C_jama.2024.24764'!$A$2:$A$9,0))),"NOT FROZEN")</x:f>
      </x:c>
      <x:c r="J2" s="6" t="str">
        <x:f>IF(Setup!$B$6="primary",INDEX('C_jama.2024.24764'!$F$2:$F$9,MATCH("2025::jama.2024.24764::C001",'C_jama.2024.24764'!$A$2:$A$9,0)),"NOT FROZEN")</x:f>
        <x:v>no</x:v>
      </x:c>
      <x:c r="K2" s="6" t="str">
        <x:f>IF(Setup!$B$6="primary",Setup!$B$2,"NOT FROZEN")</x:f>
      </x:c>
      <x:c r="L2" s="6" t="str">
        <x:f>IF(Setup!$B$6="primary",IF(OR(B2="",B2="not_applicable"),"","Disposition: "&amp;B2&amp;CHAR(10))&amp;IF(OR(C2="",C2="not_applicable"),"","Review domain: "&amp;C2&amp;CHAR(10))&amp;IF(OR(D2="",D2="not_applicable"),"","Statistcal_or_numerical issue: "&amp;D2&amp;CHAR(10))&amp;IF(OR(E2="",E2="not_applicable"),"","Substantiveness: "&amp;E2&amp;CHAR(10))&amp;IF(OR(F2="",F2="not_applicable"),"","Downstream impact: "&amp;F2&amp;CHAR(10))&amp;IF(OR(G2="",G2="not_applicable"),"","Report-internal or planning-material inconsistency: "&amp;G2&amp;CHAR(10))&amp;IF(OR(H2="",H2="not_applicable"),"","Protocol interpretation: "&amp;H2&amp;CHAR(10))&amp;IF(OR(I2="",I2="not_applicable"),"","Notes (optional): "&amp;I2&amp;CHAR(10)),"NOT FROZEN")</x:f>
        <x:v>Review domain: statistical_results
</x:v>
      </x:c>
    </x:row>
    <x:row r="3" ht="70" customHeight="1">
      <x:c r="A3" s="3" t="str">
        <x:f>IF(Setup!$B$6="primary","2025::jama.2024.24764::C002","NOT FROZEN")</x:f>
        <x:v>2025::jama.2024.24764::C002</x:v>
      </x:c>
      <x:c r="B3" s="3" t="str">
        <x:f>IF(Setup!$B$6="primary",IF(INDEX('C_jama.2024.24764'!$D$2:$D$9,MATCH("2025::jama.2024.24764::C002",'C_jama.2024.24764'!$A$2:$A$9,0))="","",INDEX('C_jama.2024.24764'!$D$2:$D$9,MATCH("2025::jama.2024.24764::C002",'C_jama.2024.24764'!$A$2:$A$9,0))),"NOT FROZEN")</x:f>
      </x:c>
      <x:c r="C3" s="3" t="str">
        <x:f>IF(Setup!$B$6="primary",IF(INDEX('C_jama.2024.24764'!$E$2:$E$9,MATCH("2025::jama.2024.24764::C002",'C_jama.2024.24764'!$A$2:$A$9,0))="","",INDEX('C_jama.2024.24764'!$E$2:$E$9,MATCH("2025::jama.2024.24764::C002",'C_jama.2024.24764'!$A$2:$A$9,0))),"NOT FROZEN")</x:f>
        <x:v>statistical_results</x:v>
      </x:c>
      <x:c r="D3" s="3" t="str">
        <x:f>IF(Setup!$B$6="primary",IF(AND(INDEX('C_jama.2024.24764'!$D$2:$D$9,MATCH("2025::jama.2024.24764::C002",'C_jama.2024.24764'!$A$2:$A$9,0))="retain",INDEX('C_jama.2024.24764'!$E$2:$E$9,MATCH("2025::jama.2024.24764::C002",'C_jama.2024.24764'!$A$2:$A$9,0))="statistical_results"),IF(INDEX('C_jama.2024.24764'!$H$2:$H$9,MATCH("2025::jama.2024.24764::C002",'C_jama.2024.24764'!$A$2:$A$9,0))="","",INDEX('C_jama.2024.24764'!$H$2:$H$9,MATCH("2025::jama.2024.24764::C002",'C_jama.2024.24764'!$A$2:$A$9,0))),"not_applicable"),"NOT FROZEN")</x:f>
        <x:v>not_applicable</x:v>
      </x:c>
      <x:c r="E3" s="3" t="str">
        <x:f>IF(Setup!$B$6="primary",IF(AND(INDEX('C_jama.2024.24764'!$D$2:$D$9,MATCH("2025::jama.2024.24764::C002",'C_jama.2024.24764'!$A$2:$A$9,0))="retain",INDEX('C_jama.2024.24764'!$E$2:$E$9,MATCH("2025::jama.2024.24764::C002",'C_jama.2024.24764'!$A$2:$A$9,0))="statistical_results"),IF(INDEX('C_jama.2024.24764'!$I$2:$I$9,MATCH("2025::jama.2024.24764::C002",'C_jama.2024.24764'!$A$2:$A$9,0))="","",INDEX('C_jama.2024.24764'!$I$2:$I$9,MATCH("2025::jama.2024.24764::C002",'C_jama.2024.24764'!$A$2:$A$9,0))),"not_applicable"),"NOT FROZEN")</x:f>
        <x:v>not_applicable</x:v>
      </x:c>
      <x:c r="F3" s="3" t="str">
        <x:f>IF(Setup!$B$6="primary",IF(AND(INDEX('C_jama.2024.24764'!$D$2:$D$9,MATCH("2025::jama.2024.24764::C002",'C_jama.2024.24764'!$A$2:$A$9,0))="retain",INDEX('C_jama.2024.24764'!$E$2:$E$9,MATCH("2025::jama.2024.24764::C002",'C_jama.2024.24764'!$A$2:$A$9,0))="statistical_results"),IF(INDEX('C_jama.2024.24764'!$J$2:$J$9,MATCH("2025::jama.2024.24764::C002",'C_jama.2024.24764'!$A$2:$A$9,0))="","",INDEX('C_jama.2024.24764'!$J$2:$J$9,MATCH("2025::jama.2024.24764::C002",'C_jama.2024.24764'!$A$2:$A$9,0))),"not_applicable"),"NOT FROZEN")</x:f>
        <x:v>not_applicable</x:v>
      </x:c>
      <x:c r="G3" s="3" t="str">
        <x:f>IF(Setup!$B$6="primary",IF(AND(INDEX('C_jama.2024.24764'!$D$2:$D$9,MATCH("2025::jama.2024.24764::C002",'C_jama.2024.24764'!$A$2:$A$9,0))="retain",OR(INDEX('C_jama.2024.24764'!$E$2:$E$9,MATCH("2025::jama.2024.24764::C002",'C_jama.2024.24764'!$A$2:$A$9,0))="report_internal_inconsistency",INDEX('C_jama.2024.24764'!$E$2:$E$9,MATCH("2025::jama.2024.24764::C002",'C_jama.2024.24764'!$A$2:$A$9,0))="plan_material")),IF(INDEX('C_jama.2024.24764'!$K$2:$K$9,MATCH("2025::jama.2024.24764::C002",'C_jama.2024.24764'!$A$2:$A$9,0))="","",INDEX('C_jama.2024.24764'!$K$2:$K$9,MATCH("2025::jama.2024.24764::C002",'C_jama.2024.24764'!$A$2:$A$9,0))),"not_applicable"),"NOT FROZEN")</x:f>
        <x:v>not_applicable</x:v>
      </x:c>
      <x:c r="H3" s="3" t="str">
        <x:f>IF(Setup!$B$6="primary",IF(AND(INDEX('C_jama.2024.24764'!$D$2:$D$9,MATCH("2025::jama.2024.24764::C002",'C_jama.2024.24764'!$A$2:$A$9,0))="retain",INDEX('C_jama.2024.24764'!$E$2:$E$9,MATCH("2025::jama.2024.24764::C002",'C_jama.2024.24764'!$A$2:$A$9,0))="protocol_report"),IF(INDEX('C_jama.2024.24764'!$L$2:$L$9,MATCH("2025::jama.2024.24764::C002",'C_jama.2024.24764'!$A$2:$A$9,0))="","",INDEX('C_jama.2024.24764'!$L$2:$L$9,MATCH("2025::jama.2024.24764::C002",'C_jama.2024.24764'!$A$2:$A$9,0))),"not_applicable"),"NOT FROZEN")</x:f>
        <x:v>not_applicable</x:v>
      </x:c>
      <x:c r="I3" s="3" t="str">
        <x:f>IF(Setup!$B$6="primary",IF(INDEX('C_jama.2024.24764'!$R$2:$R$9,MATCH("2025::jama.2024.24764::C002",'C_jama.2024.24764'!$A$2:$A$9,0))="","",INDEX('C_jama.2024.24764'!$R$2:$R$9,MATCH("2025::jama.2024.24764::C002",'C_jama.2024.24764'!$A$2:$A$9,0))),"NOT FROZEN")</x:f>
      </x:c>
      <x:c r="J3" s="3" t="str">
        <x:f>IF(Setup!$B$6="primary",INDEX('C_jama.2024.24764'!$F$2:$F$9,MATCH("2025::jama.2024.24764::C002",'C_jama.2024.24764'!$A$2:$A$9,0)),"NOT FROZEN")</x:f>
        <x:v>no</x:v>
      </x:c>
      <x:c r="K3" s="3" t="str">
        <x:f>IF(Setup!$B$6="primary",Setup!$B$2,"NOT FROZEN")</x:f>
      </x:c>
      <x:c r="L3" s="3" t="str">
        <x:f>IF(Setup!$B$6="primary",IF(OR(B3="",B3="not_applicable"),"","Disposition: "&amp;B3&amp;CHAR(10))&amp;IF(OR(C3="",C3="not_applicable"),"","Review domain: "&amp;C3&amp;CHAR(10))&amp;IF(OR(D3="",D3="not_applicable"),"","Statistcal_or_numerical issue: "&amp;D3&amp;CHAR(10))&amp;IF(OR(E3="",E3="not_applicable"),"","Substantiveness: "&amp;E3&amp;CHAR(10))&amp;IF(OR(F3="",F3="not_applicable"),"","Downstream impact: "&amp;F3&amp;CHAR(10))&amp;IF(OR(G3="",G3="not_applicable"),"","Report-internal or planning-material inconsistency: "&amp;G3&amp;CHAR(10))&amp;IF(OR(H3="",H3="not_applicable"),"","Protocol interpretation: "&amp;H3&amp;CHAR(10))&amp;IF(OR(I3="",I3="not_applicable"),"","Notes (optional): "&amp;I3&amp;CHAR(10)),"NOT FROZEN")</x:f>
        <x:v>Review domain: statistical_results
</x:v>
      </x:c>
    </x:row>
    <x:row r="4" ht="70" customHeight="1">
      <x:c r="A4" s="6" t="str">
        <x:f>IF(Setup!$B$6="primary","2025::jama.2024.24764::C003","NOT FROZEN")</x:f>
        <x:v>2025::jama.2024.24764::C003</x:v>
      </x:c>
      <x:c r="B4" s="6" t="str">
        <x:f>IF(Setup!$B$6="primary",IF(INDEX('C_jama.2024.24764'!$D$2:$D$9,MATCH("2025::jama.2024.24764::C003",'C_jama.2024.24764'!$A$2:$A$9,0))="","",INDEX('C_jama.2024.24764'!$D$2:$D$9,MATCH("2025::jama.2024.24764::C003",'C_jama.2024.24764'!$A$2:$A$9,0))),"NOT FROZEN")</x:f>
      </x:c>
      <x:c r="C4" s="6" t="str">
        <x:f>IF(Setup!$B$6="primary",IF(INDEX('C_jama.2024.24764'!$E$2:$E$9,MATCH("2025::jama.2024.24764::C003",'C_jama.2024.24764'!$A$2:$A$9,0))="","",INDEX('C_jama.2024.24764'!$E$2:$E$9,MATCH("2025::jama.2024.24764::C003",'C_jama.2024.24764'!$A$2:$A$9,0))),"NOT FROZEN")</x:f>
        <x:v>statistical_results</x:v>
      </x:c>
      <x:c r="D4" s="6" t="str">
        <x:f>IF(Setup!$B$6="primary",IF(AND(INDEX('C_jama.2024.24764'!$D$2:$D$9,MATCH("2025::jama.2024.24764::C003",'C_jama.2024.24764'!$A$2:$A$9,0))="retain",INDEX('C_jama.2024.24764'!$E$2:$E$9,MATCH("2025::jama.2024.24764::C003",'C_jama.2024.24764'!$A$2:$A$9,0))="statistical_results"),IF(INDEX('C_jama.2024.24764'!$H$2:$H$9,MATCH("2025::jama.2024.24764::C003",'C_jama.2024.24764'!$A$2:$A$9,0))="","",INDEX('C_jama.2024.24764'!$H$2:$H$9,MATCH("2025::jama.2024.24764::C003",'C_jama.2024.24764'!$A$2:$A$9,0))),"not_applicable"),"NOT FROZEN")</x:f>
        <x:v>not_applicable</x:v>
      </x:c>
      <x:c r="E4" s="6" t="str">
        <x:f>IF(Setup!$B$6="primary",IF(AND(INDEX('C_jama.2024.24764'!$D$2:$D$9,MATCH("2025::jama.2024.24764::C003",'C_jama.2024.24764'!$A$2:$A$9,0))="retain",INDEX('C_jama.2024.24764'!$E$2:$E$9,MATCH("2025::jama.2024.24764::C003",'C_jama.2024.24764'!$A$2:$A$9,0))="statistical_results"),IF(INDEX('C_jama.2024.24764'!$I$2:$I$9,MATCH("2025::jama.2024.24764::C003",'C_jama.2024.24764'!$A$2:$A$9,0))="","",INDEX('C_jama.2024.24764'!$I$2:$I$9,MATCH("2025::jama.2024.24764::C003",'C_jama.2024.24764'!$A$2:$A$9,0))),"not_applicable"),"NOT FROZEN")</x:f>
        <x:v>not_applicable</x:v>
      </x:c>
      <x:c r="F4" s="6" t="str">
        <x:f>IF(Setup!$B$6="primary",IF(AND(INDEX('C_jama.2024.24764'!$D$2:$D$9,MATCH("2025::jama.2024.24764::C003",'C_jama.2024.24764'!$A$2:$A$9,0))="retain",INDEX('C_jama.2024.24764'!$E$2:$E$9,MATCH("2025::jama.2024.24764::C003",'C_jama.2024.24764'!$A$2:$A$9,0))="statistical_results"),IF(INDEX('C_jama.2024.24764'!$J$2:$J$9,MATCH("2025::jama.2024.24764::C003",'C_jama.2024.24764'!$A$2:$A$9,0))="","",INDEX('C_jama.2024.24764'!$J$2:$J$9,MATCH("2025::jama.2024.24764::C003",'C_jama.2024.24764'!$A$2:$A$9,0))),"not_applicable"),"NOT FROZEN")</x:f>
        <x:v>not_applicable</x:v>
      </x:c>
      <x:c r="G4" s="6" t="str">
        <x:f>IF(Setup!$B$6="primary",IF(AND(INDEX('C_jama.2024.24764'!$D$2:$D$9,MATCH("2025::jama.2024.24764::C003",'C_jama.2024.24764'!$A$2:$A$9,0))="retain",OR(INDEX('C_jama.2024.24764'!$E$2:$E$9,MATCH("2025::jama.2024.24764::C003",'C_jama.2024.24764'!$A$2:$A$9,0))="report_internal_inconsistency",INDEX('C_jama.2024.24764'!$E$2:$E$9,MATCH("2025::jama.2024.24764::C003",'C_jama.2024.24764'!$A$2:$A$9,0))="plan_material")),IF(INDEX('C_jama.2024.24764'!$K$2:$K$9,MATCH("2025::jama.2024.24764::C003",'C_jama.2024.24764'!$A$2:$A$9,0))="","",INDEX('C_jama.2024.24764'!$K$2:$K$9,MATCH("2025::jama.2024.24764::C003",'C_jama.2024.24764'!$A$2:$A$9,0))),"not_applicable"),"NOT FROZEN")</x:f>
        <x:v>not_applicable</x:v>
      </x:c>
      <x:c r="H4" s="6" t="str">
        <x:f>IF(Setup!$B$6="primary",IF(AND(INDEX('C_jama.2024.24764'!$D$2:$D$9,MATCH("2025::jama.2024.24764::C003",'C_jama.2024.24764'!$A$2:$A$9,0))="retain",INDEX('C_jama.2024.24764'!$E$2:$E$9,MATCH("2025::jama.2024.24764::C003",'C_jama.2024.24764'!$A$2:$A$9,0))="protocol_report"),IF(INDEX('C_jama.2024.24764'!$L$2:$L$9,MATCH("2025::jama.2024.24764::C003",'C_jama.2024.24764'!$A$2:$A$9,0))="","",INDEX('C_jama.2024.24764'!$L$2:$L$9,MATCH("2025::jama.2024.24764::C003",'C_jama.2024.24764'!$A$2:$A$9,0))),"not_applicable"),"NOT FROZEN")</x:f>
        <x:v>not_applicable</x:v>
      </x:c>
      <x:c r="I4" s="6" t="str">
        <x:f>IF(Setup!$B$6="primary",IF(INDEX('C_jama.2024.24764'!$R$2:$R$9,MATCH("2025::jama.2024.24764::C003",'C_jama.2024.24764'!$A$2:$A$9,0))="","",INDEX('C_jama.2024.24764'!$R$2:$R$9,MATCH("2025::jama.2024.24764::C003",'C_jama.2024.24764'!$A$2:$A$9,0))),"NOT FROZEN")</x:f>
      </x:c>
      <x:c r="J4" s="6" t="str">
        <x:f>IF(Setup!$B$6="primary",INDEX('C_jama.2024.24764'!$F$2:$F$9,MATCH("2025::jama.2024.24764::C003",'C_jama.2024.24764'!$A$2:$A$9,0)),"NOT FROZEN")</x:f>
        <x:v>no</x:v>
      </x:c>
      <x:c r="K4" s="6" t="str">
        <x:f>IF(Setup!$B$6="primary",Setup!$B$2,"NOT FROZEN")</x:f>
      </x:c>
      <x:c r="L4" s="6" t="str">
        <x:f>IF(Setup!$B$6="primary",IF(OR(B4="",B4="not_applicable"),"","Disposition: "&amp;B4&amp;CHAR(10))&amp;IF(OR(C4="",C4="not_applicable"),"","Review domain: "&amp;C4&amp;CHAR(10))&amp;IF(OR(D4="",D4="not_applicable"),"","Statistcal_or_numerical issue: "&amp;D4&amp;CHAR(10))&amp;IF(OR(E4="",E4="not_applicable"),"","Substantiveness: "&amp;E4&amp;CHAR(10))&amp;IF(OR(F4="",F4="not_applicable"),"","Downstream impact: "&amp;F4&amp;CHAR(10))&amp;IF(OR(G4="",G4="not_applicable"),"","Report-internal or planning-material inconsistency: "&amp;G4&amp;CHAR(10))&amp;IF(OR(H4="",H4="not_applicable"),"","Protocol interpretation: "&amp;H4&amp;CHAR(10))&amp;IF(OR(I4="",I4="not_applicable"),"","Notes (optional): "&amp;I4&amp;CHAR(10)),"NOT FROZEN")</x:f>
        <x:v>Review domain: statistical_results
</x:v>
      </x:c>
    </x:row>
    <x:row r="5" ht="70" customHeight="1">
      <x:c r="A5" s="3" t="str">
        <x:f>IF(Setup!$B$6="primary","2025::jama.2024.24764::C004","NOT FROZEN")</x:f>
        <x:v>2025::jama.2024.24764::C004</x:v>
      </x:c>
      <x:c r="B5" s="3" t="str">
        <x:f>IF(Setup!$B$6="primary",IF(INDEX('C_jama.2024.24764'!$D$2:$D$9,MATCH("2025::jama.2024.24764::C004",'C_jama.2024.24764'!$A$2:$A$9,0))="","",INDEX('C_jama.2024.24764'!$D$2:$D$9,MATCH("2025::jama.2024.24764::C004",'C_jama.2024.24764'!$A$2:$A$9,0))),"NOT FROZEN")</x:f>
      </x:c>
      <x:c r="C5" s="3" t="str">
        <x:f>IF(Setup!$B$6="primary",IF(INDEX('C_jama.2024.24764'!$E$2:$E$9,MATCH("2025::jama.2024.24764::C004",'C_jama.2024.24764'!$A$2:$A$9,0))="","",INDEX('C_jama.2024.24764'!$E$2:$E$9,MATCH("2025::jama.2024.24764::C004",'C_jama.2024.24764'!$A$2:$A$9,0))),"NOT FROZEN")</x:f>
        <x:v>statistical_results</x:v>
      </x:c>
      <x:c r="D5" s="3" t="str">
        <x:f>IF(Setup!$B$6="primary",IF(AND(INDEX('C_jama.2024.24764'!$D$2:$D$9,MATCH("2025::jama.2024.24764::C004",'C_jama.2024.24764'!$A$2:$A$9,0))="retain",INDEX('C_jama.2024.24764'!$E$2:$E$9,MATCH("2025::jama.2024.24764::C004",'C_jama.2024.24764'!$A$2:$A$9,0))="statistical_results"),IF(INDEX('C_jama.2024.24764'!$H$2:$H$9,MATCH("2025::jama.2024.24764::C004",'C_jama.2024.24764'!$A$2:$A$9,0))="","",INDEX('C_jama.2024.24764'!$H$2:$H$9,MATCH("2025::jama.2024.24764::C004",'C_jama.2024.24764'!$A$2:$A$9,0))),"not_applicable"),"NOT FROZEN")</x:f>
        <x:v>not_applicable</x:v>
      </x:c>
      <x:c r="E5" s="3" t="str">
        <x:f>IF(Setup!$B$6="primary",IF(AND(INDEX('C_jama.2024.24764'!$D$2:$D$9,MATCH("2025::jama.2024.24764::C004",'C_jama.2024.24764'!$A$2:$A$9,0))="retain",INDEX('C_jama.2024.24764'!$E$2:$E$9,MATCH("2025::jama.2024.24764::C004",'C_jama.2024.24764'!$A$2:$A$9,0))="statistical_results"),IF(INDEX('C_jama.2024.24764'!$I$2:$I$9,MATCH("2025::jama.2024.24764::C004",'C_jama.2024.24764'!$A$2:$A$9,0))="","",INDEX('C_jama.2024.24764'!$I$2:$I$9,MATCH("2025::jama.2024.24764::C004",'C_jama.2024.24764'!$A$2:$A$9,0))),"not_applicable"),"NOT FROZEN")</x:f>
        <x:v>not_applicable</x:v>
      </x:c>
      <x:c r="F5" s="3" t="str">
        <x:f>IF(Setup!$B$6="primary",IF(AND(INDEX('C_jama.2024.24764'!$D$2:$D$9,MATCH("2025::jama.2024.24764::C004",'C_jama.2024.24764'!$A$2:$A$9,0))="retain",INDEX('C_jama.2024.24764'!$E$2:$E$9,MATCH("2025::jama.2024.24764::C004",'C_jama.2024.24764'!$A$2:$A$9,0))="statistical_results"),IF(INDEX('C_jama.2024.24764'!$J$2:$J$9,MATCH("2025::jama.2024.24764::C004",'C_jama.2024.24764'!$A$2:$A$9,0))="","",INDEX('C_jama.2024.24764'!$J$2:$J$9,MATCH("2025::jama.2024.24764::C004",'C_jama.2024.24764'!$A$2:$A$9,0))),"not_applicable"),"NOT FROZEN")</x:f>
        <x:v>not_applicable</x:v>
      </x:c>
      <x:c r="G5" s="3" t="str">
        <x:f>IF(Setup!$B$6="primary",IF(AND(INDEX('C_jama.2024.24764'!$D$2:$D$9,MATCH("2025::jama.2024.24764::C004",'C_jama.2024.24764'!$A$2:$A$9,0))="retain",OR(INDEX('C_jama.2024.24764'!$E$2:$E$9,MATCH("2025::jama.2024.24764::C004",'C_jama.2024.24764'!$A$2:$A$9,0))="report_internal_inconsistency",INDEX('C_jama.2024.24764'!$E$2:$E$9,MATCH("2025::jama.2024.24764::C004",'C_jama.2024.24764'!$A$2:$A$9,0))="plan_material")),IF(INDEX('C_jama.2024.24764'!$K$2:$K$9,MATCH("2025::jama.2024.24764::C004",'C_jama.2024.24764'!$A$2:$A$9,0))="","",INDEX('C_jama.2024.24764'!$K$2:$K$9,MATCH("2025::jama.2024.24764::C004",'C_jama.2024.24764'!$A$2:$A$9,0))),"not_applicable"),"NOT FROZEN")</x:f>
        <x:v>not_applicable</x:v>
      </x:c>
      <x:c r="H5" s="3" t="str">
        <x:f>IF(Setup!$B$6="primary",IF(AND(INDEX('C_jama.2024.24764'!$D$2:$D$9,MATCH("2025::jama.2024.24764::C004",'C_jama.2024.24764'!$A$2:$A$9,0))="retain",INDEX('C_jama.2024.24764'!$E$2:$E$9,MATCH("2025::jama.2024.24764::C004",'C_jama.2024.24764'!$A$2:$A$9,0))="protocol_report"),IF(INDEX('C_jama.2024.24764'!$L$2:$L$9,MATCH("2025::jama.2024.24764::C004",'C_jama.2024.24764'!$A$2:$A$9,0))="","",INDEX('C_jama.2024.24764'!$L$2:$L$9,MATCH("2025::jama.2024.24764::C004",'C_jama.2024.24764'!$A$2:$A$9,0))),"not_applicable"),"NOT FROZEN")</x:f>
        <x:v>not_applicable</x:v>
      </x:c>
      <x:c r="I5" s="3" t="str">
        <x:f>IF(Setup!$B$6="primary",IF(INDEX('C_jama.2024.24764'!$R$2:$R$9,MATCH("2025::jama.2024.24764::C004",'C_jama.2024.24764'!$A$2:$A$9,0))="","",INDEX('C_jama.2024.24764'!$R$2:$R$9,MATCH("2025::jama.2024.24764::C004",'C_jama.2024.24764'!$A$2:$A$9,0))),"NOT FROZEN")</x:f>
      </x:c>
      <x:c r="J5" s="3" t="str">
        <x:f>IF(Setup!$B$6="primary",INDEX('C_jama.2024.24764'!$F$2:$F$9,MATCH("2025::jama.2024.24764::C004",'C_jama.2024.24764'!$A$2:$A$9,0)),"NOT FROZEN")</x:f>
        <x:v>no</x:v>
      </x:c>
      <x:c r="K5" s="3" t="str">
        <x:f>IF(Setup!$B$6="primary",Setup!$B$2,"NOT FROZEN")</x:f>
      </x:c>
      <x:c r="L5" s="3" t="str">
        <x:f>IF(Setup!$B$6="primary",IF(OR(B5="",B5="not_applicable"),"","Disposition: "&amp;B5&amp;CHAR(10))&amp;IF(OR(C5="",C5="not_applicable"),"","Review domain: "&amp;C5&amp;CHAR(10))&amp;IF(OR(D5="",D5="not_applicable"),"","Statistcal_or_numerical issue: "&amp;D5&amp;CHAR(10))&amp;IF(OR(E5="",E5="not_applicable"),"","Substantiveness: "&amp;E5&amp;CHAR(10))&amp;IF(OR(F5="",F5="not_applicable"),"","Downstream impact: "&amp;F5&amp;CHAR(10))&amp;IF(OR(G5="",G5="not_applicable"),"","Report-internal or planning-material inconsistency: "&amp;G5&amp;CHAR(10))&amp;IF(OR(H5="",H5="not_applicable"),"","Protocol interpretation: "&amp;H5&amp;CHAR(10))&amp;IF(OR(I5="",I5="not_applicable"),"","Notes (optional): "&amp;I5&amp;CHAR(10)),"NOT FROZEN")</x:f>
        <x:v>Review domain: statistical_results
</x:v>
      </x:c>
    </x:row>
    <x:row r="6" ht="70" customHeight="1">
      <x:c r="A6" s="6" t="str">
        <x:f>IF(Setup!$B$6="primary","2025::jama.2024.24764::C005","NOT FROZEN")</x:f>
        <x:v>2025::jama.2024.24764::C005</x:v>
      </x:c>
      <x:c r="B6" s="6" t="str">
        <x:f>IF(Setup!$B$6="primary",IF(INDEX('C_jama.2024.24764'!$D$2:$D$9,MATCH("2025::jama.2024.24764::C005",'C_jama.2024.24764'!$A$2:$A$9,0))="","",INDEX('C_jama.2024.24764'!$D$2:$D$9,MATCH("2025::jama.2024.24764::C005",'C_jama.2024.24764'!$A$2:$A$9,0))),"NOT FROZEN")</x:f>
      </x:c>
      <x:c r="C6" s="6" t="str">
        <x:f>IF(Setup!$B$6="primary",IF(INDEX('C_jama.2024.24764'!$E$2:$E$9,MATCH("2025::jama.2024.24764::C005",'C_jama.2024.24764'!$A$2:$A$9,0))="","",INDEX('C_jama.2024.24764'!$E$2:$E$9,MATCH("2025::jama.2024.24764::C005",'C_jama.2024.24764'!$A$2:$A$9,0))),"NOT FROZEN")</x:f>
        <x:v>report_internal_inconsistency</x:v>
      </x:c>
      <x:c r="D6" s="6" t="str">
        <x:f>IF(Setup!$B$6="primary",IF(AND(INDEX('C_jama.2024.24764'!$D$2:$D$9,MATCH("2025::jama.2024.24764::C005",'C_jama.2024.24764'!$A$2:$A$9,0))="retain",INDEX('C_jama.2024.24764'!$E$2:$E$9,MATCH("2025::jama.2024.24764::C005",'C_jama.2024.24764'!$A$2:$A$9,0))="statistical_results"),IF(INDEX('C_jama.2024.24764'!$H$2:$H$9,MATCH("2025::jama.2024.24764::C005",'C_jama.2024.24764'!$A$2:$A$9,0))="","",INDEX('C_jama.2024.24764'!$H$2:$H$9,MATCH("2025::jama.2024.24764::C005",'C_jama.2024.24764'!$A$2:$A$9,0))),"not_applicable"),"NOT FROZEN")</x:f>
        <x:v>not_applicable</x:v>
      </x:c>
      <x:c r="E6" s="6" t="str">
        <x:f>IF(Setup!$B$6="primary",IF(AND(INDEX('C_jama.2024.24764'!$D$2:$D$9,MATCH("2025::jama.2024.24764::C005",'C_jama.2024.24764'!$A$2:$A$9,0))="retain",INDEX('C_jama.2024.24764'!$E$2:$E$9,MATCH("2025::jama.2024.24764::C005",'C_jama.2024.24764'!$A$2:$A$9,0))="statistical_results"),IF(INDEX('C_jama.2024.24764'!$I$2:$I$9,MATCH("2025::jama.2024.24764::C005",'C_jama.2024.24764'!$A$2:$A$9,0))="","",INDEX('C_jama.2024.24764'!$I$2:$I$9,MATCH("2025::jama.2024.24764::C005",'C_jama.2024.24764'!$A$2:$A$9,0))),"not_applicable"),"NOT FROZEN")</x:f>
        <x:v>not_applicable</x:v>
      </x:c>
      <x:c r="F6" s="6" t="str">
        <x:f>IF(Setup!$B$6="primary",IF(AND(INDEX('C_jama.2024.24764'!$D$2:$D$9,MATCH("2025::jama.2024.24764::C005",'C_jama.2024.24764'!$A$2:$A$9,0))="retain",INDEX('C_jama.2024.24764'!$E$2:$E$9,MATCH("2025::jama.2024.24764::C005",'C_jama.2024.24764'!$A$2:$A$9,0))="statistical_results"),IF(INDEX('C_jama.2024.24764'!$J$2:$J$9,MATCH("2025::jama.2024.24764::C005",'C_jama.2024.24764'!$A$2:$A$9,0))="","",INDEX('C_jama.2024.24764'!$J$2:$J$9,MATCH("2025::jama.2024.24764::C005",'C_jama.2024.24764'!$A$2:$A$9,0))),"not_applicable"),"NOT FROZEN")</x:f>
        <x:v>not_applicable</x:v>
      </x:c>
      <x:c r="G6" s="6" t="str">
        <x:f>IF(Setup!$B$6="primary",IF(AND(INDEX('C_jama.2024.24764'!$D$2:$D$9,MATCH("2025::jama.2024.24764::C005",'C_jama.2024.24764'!$A$2:$A$9,0))="retain",OR(INDEX('C_jama.2024.24764'!$E$2:$E$9,MATCH("2025::jama.2024.24764::C005",'C_jama.2024.24764'!$A$2:$A$9,0))="report_internal_inconsistency",INDEX('C_jama.2024.24764'!$E$2:$E$9,MATCH("2025::jama.2024.24764::C005",'C_jama.2024.24764'!$A$2:$A$9,0))="plan_material")),IF(INDEX('C_jama.2024.24764'!$K$2:$K$9,MATCH("2025::jama.2024.24764::C005",'C_jama.2024.24764'!$A$2:$A$9,0))="","",INDEX('C_jama.2024.24764'!$K$2:$K$9,MATCH("2025::jama.2024.24764::C005",'C_jama.2024.24764'!$A$2:$A$9,0))),"not_applicable"),"NOT FROZEN")</x:f>
        <x:v>not_applicable</x:v>
      </x:c>
      <x:c r="H6" s="6" t="str">
        <x:f>IF(Setup!$B$6="primary",IF(AND(INDEX('C_jama.2024.24764'!$D$2:$D$9,MATCH("2025::jama.2024.24764::C005",'C_jama.2024.24764'!$A$2:$A$9,0))="retain",INDEX('C_jama.2024.24764'!$E$2:$E$9,MATCH("2025::jama.2024.24764::C005",'C_jama.2024.24764'!$A$2:$A$9,0))="protocol_report"),IF(INDEX('C_jama.2024.24764'!$L$2:$L$9,MATCH("2025::jama.2024.24764::C005",'C_jama.2024.24764'!$A$2:$A$9,0))="","",INDEX('C_jama.2024.24764'!$L$2:$L$9,MATCH("2025::jama.2024.24764::C005",'C_jama.2024.24764'!$A$2:$A$9,0))),"not_applicable"),"NOT FROZEN")</x:f>
        <x:v>not_applicable</x:v>
      </x:c>
      <x:c r="I6" s="6" t="str">
        <x:f>IF(Setup!$B$6="primary",IF(INDEX('C_jama.2024.24764'!$R$2:$R$9,MATCH("2025::jama.2024.24764::C005",'C_jama.2024.24764'!$A$2:$A$9,0))="","",INDEX('C_jama.2024.24764'!$R$2:$R$9,MATCH("2025::jama.2024.24764::C005",'C_jama.2024.24764'!$A$2:$A$9,0))),"NOT FROZEN")</x:f>
      </x:c>
      <x:c r="J6" s="6" t="str">
        <x:f>IF(Setup!$B$6="primary",INDEX('C_jama.2024.24764'!$F$2:$F$9,MATCH("2025::jama.2024.24764::C005",'C_jama.2024.24764'!$A$2:$A$9,0)),"NOT FROZEN")</x:f>
        <x:v>no</x:v>
      </x:c>
      <x:c r="K6" s="6" t="str">
        <x:f>IF(Setup!$B$6="primary",Setup!$B$2,"NOT FROZEN")</x:f>
      </x:c>
      <x:c r="L6" s="6" t="str">
        <x:f>IF(Setup!$B$6="primary",IF(OR(B6="",B6="not_applicable"),"","Disposition: "&amp;B6&amp;CHAR(10))&amp;IF(OR(C6="",C6="not_applicable"),"","Review domain: "&amp;C6&amp;CHAR(10))&amp;IF(OR(D6="",D6="not_applicable"),"","Statistcal_or_numerical issue: "&amp;D6&amp;CHAR(10))&amp;IF(OR(E6="",E6="not_applicable"),"","Substantiveness: "&amp;E6&amp;CHAR(10))&amp;IF(OR(F6="",F6="not_applicable"),"","Downstream impact: "&amp;F6&amp;CHAR(10))&amp;IF(OR(G6="",G6="not_applicable"),"","Report-internal or planning-material inconsistency: "&amp;G6&amp;CHAR(10))&amp;IF(OR(H6="",H6="not_applicable"),"","Protocol interpretation: "&amp;H6&amp;CHAR(10))&amp;IF(OR(I6="",I6="not_applicable"),"","Notes (optional): "&amp;I6&amp;CHAR(10)),"NOT FROZEN")</x:f>
        <x:v>Review domain: report_internal_inconsistency
</x:v>
      </x:c>
    </x:row>
    <x:row r="7" ht="70" customHeight="1">
      <x:c r="A7" s="3" t="str">
        <x:f>IF(Setup!$B$6="primary","2025::jama.2024.24764::C006","NOT FROZEN")</x:f>
        <x:v>2025::jama.2024.24764::C006</x:v>
      </x:c>
      <x:c r="B7" s="3" t="str">
        <x:f>IF(Setup!$B$6="primary",IF(INDEX('C_jama.2024.24764'!$D$2:$D$9,MATCH("2025::jama.2024.24764::C006",'C_jama.2024.24764'!$A$2:$A$9,0))="","",INDEX('C_jama.2024.24764'!$D$2:$D$9,MATCH("2025::jama.2024.24764::C006",'C_jama.2024.24764'!$A$2:$A$9,0))),"NOT FROZEN")</x:f>
      </x:c>
      <x:c r="C7" s="3" t="str">
        <x:f>IF(Setup!$B$6="primary",IF(INDEX('C_jama.2024.24764'!$E$2:$E$9,MATCH("2025::jama.2024.24764::C006",'C_jama.2024.24764'!$A$2:$A$9,0))="","",INDEX('C_jama.2024.24764'!$E$2:$E$9,MATCH("2025::jama.2024.24764::C006",'C_jama.2024.24764'!$A$2:$A$9,0))),"NOT FROZEN")</x:f>
        <x:v>protocol_report</x:v>
      </x:c>
      <x:c r="D7" s="3" t="str">
        <x:f>IF(Setup!$B$6="primary",IF(AND(INDEX('C_jama.2024.24764'!$D$2:$D$9,MATCH("2025::jama.2024.24764::C006",'C_jama.2024.24764'!$A$2:$A$9,0))="retain",INDEX('C_jama.2024.24764'!$E$2:$E$9,MATCH("2025::jama.2024.24764::C006",'C_jama.2024.24764'!$A$2:$A$9,0))="statistical_results"),IF(INDEX('C_jama.2024.24764'!$H$2:$H$9,MATCH("2025::jama.2024.24764::C006",'C_jama.2024.24764'!$A$2:$A$9,0))="","",INDEX('C_jama.2024.24764'!$H$2:$H$9,MATCH("2025::jama.2024.24764::C006",'C_jama.2024.24764'!$A$2:$A$9,0))),"not_applicable"),"NOT FROZEN")</x:f>
        <x:v>not_applicable</x:v>
      </x:c>
      <x:c r="E7" s="3" t="str">
        <x:f>IF(Setup!$B$6="primary",IF(AND(INDEX('C_jama.2024.24764'!$D$2:$D$9,MATCH("2025::jama.2024.24764::C006",'C_jama.2024.24764'!$A$2:$A$9,0))="retain",INDEX('C_jama.2024.24764'!$E$2:$E$9,MATCH("2025::jama.2024.24764::C006",'C_jama.2024.24764'!$A$2:$A$9,0))="statistical_results"),IF(INDEX('C_jama.2024.24764'!$I$2:$I$9,MATCH("2025::jama.2024.24764::C006",'C_jama.2024.24764'!$A$2:$A$9,0))="","",INDEX('C_jama.2024.24764'!$I$2:$I$9,MATCH("2025::jama.2024.24764::C006",'C_jama.2024.24764'!$A$2:$A$9,0))),"not_applicable"),"NOT FROZEN")</x:f>
        <x:v>not_applicable</x:v>
      </x:c>
      <x:c r="F7" s="3" t="str">
        <x:f>IF(Setup!$B$6="primary",IF(AND(INDEX('C_jama.2024.24764'!$D$2:$D$9,MATCH("2025::jama.2024.24764::C006",'C_jama.2024.24764'!$A$2:$A$9,0))="retain",INDEX('C_jama.2024.24764'!$E$2:$E$9,MATCH("2025::jama.2024.24764::C006",'C_jama.2024.24764'!$A$2:$A$9,0))="statistical_results"),IF(INDEX('C_jama.2024.24764'!$J$2:$J$9,MATCH("2025::jama.2024.24764::C006",'C_jama.2024.24764'!$A$2:$A$9,0))="","",INDEX('C_jama.2024.24764'!$J$2:$J$9,MATCH("2025::jama.2024.24764::C006",'C_jama.2024.24764'!$A$2:$A$9,0))),"not_applicable"),"NOT FROZEN")</x:f>
        <x:v>not_applicable</x:v>
      </x:c>
      <x:c r="G7" s="3" t="str">
        <x:f>IF(Setup!$B$6="primary",IF(AND(INDEX('C_jama.2024.24764'!$D$2:$D$9,MATCH("2025::jama.2024.24764::C006",'C_jama.2024.24764'!$A$2:$A$9,0))="retain",OR(INDEX('C_jama.2024.24764'!$E$2:$E$9,MATCH("2025::jama.2024.24764::C006",'C_jama.2024.24764'!$A$2:$A$9,0))="report_internal_inconsistency",INDEX('C_jama.2024.24764'!$E$2:$E$9,MATCH("2025::jama.2024.24764::C006",'C_jama.2024.24764'!$A$2:$A$9,0))="plan_material")),IF(INDEX('C_jama.2024.24764'!$K$2:$K$9,MATCH("2025::jama.2024.24764::C006",'C_jama.2024.24764'!$A$2:$A$9,0))="","",INDEX('C_jama.2024.24764'!$K$2:$K$9,MATCH("2025::jama.2024.24764::C006",'C_jama.2024.24764'!$A$2:$A$9,0))),"not_applicable"),"NOT FROZEN")</x:f>
        <x:v>not_applicable</x:v>
      </x:c>
      <x:c r="H7" s="3" t="str">
        <x:f>IF(Setup!$B$6="primary",IF(AND(INDEX('C_jama.2024.24764'!$D$2:$D$9,MATCH("2025::jama.2024.24764::C006",'C_jama.2024.24764'!$A$2:$A$9,0))="retain",INDEX('C_jama.2024.24764'!$E$2:$E$9,MATCH("2025::jama.2024.24764::C006",'C_jama.2024.24764'!$A$2:$A$9,0))="protocol_report"),IF(INDEX('C_jama.2024.24764'!$L$2:$L$9,MATCH("2025::jama.2024.24764::C006",'C_jama.2024.24764'!$A$2:$A$9,0))="","",INDEX('C_jama.2024.24764'!$L$2:$L$9,MATCH("2025::jama.2024.24764::C006",'C_jama.2024.24764'!$A$2:$A$9,0))),"not_applicable"),"NOT FROZEN")</x:f>
        <x:v>not_applicable</x:v>
      </x:c>
      <x:c r="I7" s="3" t="str">
        <x:f>IF(Setup!$B$6="primary",IF(INDEX('C_jama.2024.24764'!$R$2:$R$9,MATCH("2025::jama.2024.24764::C006",'C_jama.2024.24764'!$A$2:$A$9,0))="","",INDEX('C_jama.2024.24764'!$R$2:$R$9,MATCH("2025::jama.2024.24764::C006",'C_jama.2024.24764'!$A$2:$A$9,0))),"NOT FROZEN")</x:f>
      </x:c>
      <x:c r="J7" s="3" t="str">
        <x:f>IF(Setup!$B$6="primary",INDEX('C_jama.2024.24764'!$F$2:$F$9,MATCH("2025::jama.2024.24764::C006",'C_jama.2024.24764'!$A$2:$A$9,0)),"NOT FROZEN")</x:f>
        <x:v>no</x:v>
      </x:c>
      <x:c r="K7" s="3" t="str">
        <x:f>IF(Setup!$B$6="primary",Setup!$B$2,"NOT FROZEN")</x:f>
      </x:c>
      <x:c r="L7" s="3" t="str">
        <x:f>IF(Setup!$B$6="primary",IF(OR(B7="",B7="not_applicable"),"","Disposition: "&amp;B7&amp;CHAR(10))&amp;IF(OR(C7="",C7="not_applicable"),"","Review domain: "&amp;C7&amp;CHAR(10))&amp;IF(OR(D7="",D7="not_applicable"),"","Statistcal_or_numerical issue: "&amp;D7&amp;CHAR(10))&amp;IF(OR(E7="",E7="not_applicable"),"","Substantiveness: "&amp;E7&amp;CHAR(10))&amp;IF(OR(F7="",F7="not_applicable"),"","Downstream impact: "&amp;F7&amp;CHAR(10))&amp;IF(OR(G7="",G7="not_applicable"),"","Report-internal or planning-material inconsistency: "&amp;G7&amp;CHAR(10))&amp;IF(OR(H7="",H7="not_applicable"),"","Protocol interpretation: "&amp;H7&amp;CHAR(10))&amp;IF(OR(I7="",I7="not_applicable"),"","Notes (optional): "&amp;I7&amp;CHAR(10)),"NOT FROZEN")</x:f>
        <x:v>Review domain: protocol_report
</x:v>
      </x:c>
    </x:row>
    <x:row r="8" ht="70" customHeight="1">
      <x:c r="A8" s="6" t="str">
        <x:f>IF(Setup!$B$6="primary","2025::jama.2024.24764::C007","NOT FROZEN")</x:f>
        <x:v>2025::jama.2024.24764::C007</x:v>
      </x:c>
      <x:c r="B8" s="6" t="str">
        <x:f>IF(Setup!$B$6="primary",IF(INDEX('C_jama.2024.24764'!$D$2:$D$9,MATCH("2025::jama.2024.24764::C007",'C_jama.2024.24764'!$A$2:$A$9,0))="","",INDEX('C_jama.2024.24764'!$D$2:$D$9,MATCH("2025::jama.2024.24764::C007",'C_jama.2024.24764'!$A$2:$A$9,0))),"NOT FROZEN")</x:f>
      </x:c>
      <x:c r="C8" s="6" t="str">
        <x:f>IF(Setup!$B$6="primary",IF(INDEX('C_jama.2024.24764'!$E$2:$E$9,MATCH("2025::jama.2024.24764::C007",'C_jama.2024.24764'!$A$2:$A$9,0))="","",INDEX('C_jama.2024.24764'!$E$2:$E$9,MATCH("2025::jama.2024.24764::C007",'C_jama.2024.24764'!$A$2:$A$9,0))),"NOT FROZEN")</x:f>
        <x:v>protocol_report</x:v>
      </x:c>
      <x:c r="D8" s="6" t="str">
        <x:f>IF(Setup!$B$6="primary",IF(AND(INDEX('C_jama.2024.24764'!$D$2:$D$9,MATCH("2025::jama.2024.24764::C007",'C_jama.2024.24764'!$A$2:$A$9,0))="retain",INDEX('C_jama.2024.24764'!$E$2:$E$9,MATCH("2025::jama.2024.24764::C007",'C_jama.2024.24764'!$A$2:$A$9,0))="statistical_results"),IF(INDEX('C_jama.2024.24764'!$H$2:$H$9,MATCH("2025::jama.2024.24764::C007",'C_jama.2024.24764'!$A$2:$A$9,0))="","",INDEX('C_jama.2024.24764'!$H$2:$H$9,MATCH("2025::jama.2024.24764::C007",'C_jama.2024.24764'!$A$2:$A$9,0))),"not_applicable"),"NOT FROZEN")</x:f>
        <x:v>not_applicable</x:v>
      </x:c>
      <x:c r="E8" s="6" t="str">
        <x:f>IF(Setup!$B$6="primary",IF(AND(INDEX('C_jama.2024.24764'!$D$2:$D$9,MATCH("2025::jama.2024.24764::C007",'C_jama.2024.24764'!$A$2:$A$9,0))="retain",INDEX('C_jama.2024.24764'!$E$2:$E$9,MATCH("2025::jama.2024.24764::C007",'C_jama.2024.24764'!$A$2:$A$9,0))="statistical_results"),IF(INDEX('C_jama.2024.24764'!$I$2:$I$9,MATCH("2025::jama.2024.24764::C007",'C_jama.2024.24764'!$A$2:$A$9,0))="","",INDEX('C_jama.2024.24764'!$I$2:$I$9,MATCH("2025::jama.2024.24764::C007",'C_jama.2024.24764'!$A$2:$A$9,0))),"not_applicable"),"NOT FROZEN")</x:f>
        <x:v>not_applicable</x:v>
      </x:c>
      <x:c r="F8" s="6" t="str">
        <x:f>IF(Setup!$B$6="primary",IF(AND(INDEX('C_jama.2024.24764'!$D$2:$D$9,MATCH("2025::jama.2024.24764::C007",'C_jama.2024.24764'!$A$2:$A$9,0))="retain",INDEX('C_jama.2024.24764'!$E$2:$E$9,MATCH("2025::jama.2024.24764::C007",'C_jama.2024.24764'!$A$2:$A$9,0))="statistical_results"),IF(INDEX('C_jama.2024.24764'!$J$2:$J$9,MATCH("2025::jama.2024.24764::C007",'C_jama.2024.24764'!$A$2:$A$9,0))="","",INDEX('C_jama.2024.24764'!$J$2:$J$9,MATCH("2025::jama.2024.24764::C007",'C_jama.2024.24764'!$A$2:$A$9,0))),"not_applicable"),"NOT FROZEN")</x:f>
        <x:v>not_applicable</x:v>
      </x:c>
      <x:c r="G8" s="6" t="str">
        <x:f>IF(Setup!$B$6="primary",IF(AND(INDEX('C_jama.2024.24764'!$D$2:$D$9,MATCH("2025::jama.2024.24764::C007",'C_jama.2024.24764'!$A$2:$A$9,0))="retain",OR(INDEX('C_jama.2024.24764'!$E$2:$E$9,MATCH("2025::jama.2024.24764::C007",'C_jama.2024.24764'!$A$2:$A$9,0))="report_internal_inconsistency",INDEX('C_jama.2024.24764'!$E$2:$E$9,MATCH("2025::jama.2024.24764::C007",'C_jama.2024.24764'!$A$2:$A$9,0))="plan_material")),IF(INDEX('C_jama.2024.24764'!$K$2:$K$9,MATCH("2025::jama.2024.24764::C007",'C_jama.2024.24764'!$A$2:$A$9,0))="","",INDEX('C_jama.2024.24764'!$K$2:$K$9,MATCH("2025::jama.2024.24764::C007",'C_jama.2024.24764'!$A$2:$A$9,0))),"not_applicable"),"NOT FROZEN")</x:f>
        <x:v>not_applicable</x:v>
      </x:c>
      <x:c r="H8" s="6" t="str">
        <x:f>IF(Setup!$B$6="primary",IF(AND(INDEX('C_jama.2024.24764'!$D$2:$D$9,MATCH("2025::jama.2024.24764::C007",'C_jama.2024.24764'!$A$2:$A$9,0))="retain",INDEX('C_jama.2024.24764'!$E$2:$E$9,MATCH("2025::jama.2024.24764::C007",'C_jama.2024.24764'!$A$2:$A$9,0))="protocol_report"),IF(INDEX('C_jama.2024.24764'!$L$2:$L$9,MATCH("2025::jama.2024.24764::C007",'C_jama.2024.24764'!$A$2:$A$9,0))="","",INDEX('C_jama.2024.24764'!$L$2:$L$9,MATCH("2025::jama.2024.24764::C007",'C_jama.2024.24764'!$A$2:$A$9,0))),"not_applicable"),"NOT FROZEN")</x:f>
        <x:v>not_applicable</x:v>
      </x:c>
      <x:c r="I8" s="6" t="str">
        <x:f>IF(Setup!$B$6="primary",IF(INDEX('C_jama.2024.24764'!$R$2:$R$9,MATCH("2025::jama.2024.24764::C007",'C_jama.2024.24764'!$A$2:$A$9,0))="","",INDEX('C_jama.2024.24764'!$R$2:$R$9,MATCH("2025::jama.2024.24764::C007",'C_jama.2024.24764'!$A$2:$A$9,0))),"NOT FROZEN")</x:f>
      </x:c>
      <x:c r="J8" s="6" t="str">
        <x:f>IF(Setup!$B$6="primary",INDEX('C_jama.2024.24764'!$F$2:$F$9,MATCH("2025::jama.2024.24764::C007",'C_jama.2024.24764'!$A$2:$A$9,0)),"NOT FROZEN")</x:f>
        <x:v>no</x:v>
      </x:c>
      <x:c r="K8" s="6" t="str">
        <x:f>IF(Setup!$B$6="primary",Setup!$B$2,"NOT FROZEN")</x:f>
      </x:c>
      <x:c r="L8" s="6" t="str">
        <x:f>IF(Setup!$B$6="primary",IF(OR(B8="",B8="not_applicable"),"","Disposition: "&amp;B8&amp;CHAR(10))&amp;IF(OR(C8="",C8="not_applicable"),"","Review domain: "&amp;C8&amp;CHAR(10))&amp;IF(OR(D8="",D8="not_applicable"),"","Statistcal_or_numerical issue: "&amp;D8&amp;CHAR(10))&amp;IF(OR(E8="",E8="not_applicable"),"","Substantiveness: "&amp;E8&amp;CHAR(10))&amp;IF(OR(F8="",F8="not_applicable"),"","Downstream impact: "&amp;F8&amp;CHAR(10))&amp;IF(OR(G8="",G8="not_applicable"),"","Report-internal or planning-material inconsistency: "&amp;G8&amp;CHAR(10))&amp;IF(OR(H8="",H8="not_applicable"),"","Protocol interpretation: "&amp;H8&amp;CHAR(10))&amp;IF(OR(I8="",I8="not_applicable"),"","Notes (optional): "&amp;I8&amp;CHAR(10)),"NOT FROZEN")</x:f>
        <x:v>Review domain: protocol_report
</x:v>
      </x:c>
    </x:row>
    <x:row r="9" ht="70" customHeight="1">
      <x:c r="A9" s="3" t="str">
        <x:f>IF(Setup!$B$6="primary","2025::jama.2024.24764::C008","NOT FROZEN")</x:f>
        <x:v>2025::jama.2024.24764::C008</x:v>
      </x:c>
      <x:c r="B9" s="3" t="str">
        <x:f>IF(Setup!$B$6="primary",IF(INDEX('C_jama.2024.24764'!$D$2:$D$9,MATCH("2025::jama.2024.24764::C008",'C_jama.2024.24764'!$A$2:$A$9,0))="","",INDEX('C_jama.2024.24764'!$D$2:$D$9,MATCH("2025::jama.2024.24764::C008",'C_jama.2024.24764'!$A$2:$A$9,0))),"NOT FROZEN")</x:f>
      </x:c>
      <x:c r="C9" s="3" t="str">
        <x:f>IF(Setup!$B$6="primary",IF(INDEX('C_jama.2024.24764'!$E$2:$E$9,MATCH("2025::jama.2024.24764::C008",'C_jama.2024.24764'!$A$2:$A$9,0))="","",INDEX('C_jama.2024.24764'!$E$2:$E$9,MATCH("2025::jama.2024.24764::C008",'C_jama.2024.24764'!$A$2:$A$9,0))),"NOT FROZEN")</x:f>
        <x:v>protocol_report</x:v>
      </x:c>
      <x:c r="D9" s="3" t="str">
        <x:f>IF(Setup!$B$6="primary",IF(AND(INDEX('C_jama.2024.24764'!$D$2:$D$9,MATCH("2025::jama.2024.24764::C008",'C_jama.2024.24764'!$A$2:$A$9,0))="retain",INDEX('C_jama.2024.24764'!$E$2:$E$9,MATCH("2025::jama.2024.24764::C008",'C_jama.2024.24764'!$A$2:$A$9,0))="statistical_results"),IF(INDEX('C_jama.2024.24764'!$H$2:$H$9,MATCH("2025::jama.2024.24764::C008",'C_jama.2024.24764'!$A$2:$A$9,0))="","",INDEX('C_jama.2024.24764'!$H$2:$H$9,MATCH("2025::jama.2024.24764::C008",'C_jama.2024.24764'!$A$2:$A$9,0))),"not_applicable"),"NOT FROZEN")</x:f>
        <x:v>not_applicable</x:v>
      </x:c>
      <x:c r="E9" s="3" t="str">
        <x:f>IF(Setup!$B$6="primary",IF(AND(INDEX('C_jama.2024.24764'!$D$2:$D$9,MATCH("2025::jama.2024.24764::C008",'C_jama.2024.24764'!$A$2:$A$9,0))="retain",INDEX('C_jama.2024.24764'!$E$2:$E$9,MATCH("2025::jama.2024.24764::C008",'C_jama.2024.24764'!$A$2:$A$9,0))="statistical_results"),IF(INDEX('C_jama.2024.24764'!$I$2:$I$9,MATCH("2025::jama.2024.24764::C008",'C_jama.2024.24764'!$A$2:$A$9,0))="","",INDEX('C_jama.2024.24764'!$I$2:$I$9,MATCH("2025::jama.2024.24764::C008",'C_jama.2024.24764'!$A$2:$A$9,0))),"not_applicable"),"NOT FROZEN")</x:f>
        <x:v>not_applicable</x:v>
      </x:c>
      <x:c r="F9" s="3" t="str">
        <x:f>IF(Setup!$B$6="primary",IF(AND(INDEX('C_jama.2024.24764'!$D$2:$D$9,MATCH("2025::jama.2024.24764::C008",'C_jama.2024.24764'!$A$2:$A$9,0))="retain",INDEX('C_jama.2024.24764'!$E$2:$E$9,MATCH("2025::jama.2024.24764::C008",'C_jama.2024.24764'!$A$2:$A$9,0))="statistical_results"),IF(INDEX('C_jama.2024.24764'!$J$2:$J$9,MATCH("2025::jama.2024.24764::C008",'C_jama.2024.24764'!$A$2:$A$9,0))="","",INDEX('C_jama.2024.24764'!$J$2:$J$9,MATCH("2025::jama.2024.24764::C008",'C_jama.2024.24764'!$A$2:$A$9,0))),"not_applicable"),"NOT FROZEN")</x:f>
        <x:v>not_applicable</x:v>
      </x:c>
      <x:c r="G9" s="3" t="str">
        <x:f>IF(Setup!$B$6="primary",IF(AND(INDEX('C_jama.2024.24764'!$D$2:$D$9,MATCH("2025::jama.2024.24764::C008",'C_jama.2024.24764'!$A$2:$A$9,0))="retain",OR(INDEX('C_jama.2024.24764'!$E$2:$E$9,MATCH("2025::jama.2024.24764::C008",'C_jama.2024.24764'!$A$2:$A$9,0))="report_internal_inconsistency",INDEX('C_jama.2024.24764'!$E$2:$E$9,MATCH("2025::jama.2024.24764::C008",'C_jama.2024.24764'!$A$2:$A$9,0))="plan_material")),IF(INDEX('C_jama.2024.24764'!$K$2:$K$9,MATCH("2025::jama.2024.24764::C008",'C_jama.2024.24764'!$A$2:$A$9,0))="","",INDEX('C_jama.2024.24764'!$K$2:$K$9,MATCH("2025::jama.2024.24764::C008",'C_jama.2024.24764'!$A$2:$A$9,0))),"not_applicable"),"NOT FROZEN")</x:f>
        <x:v>not_applicable</x:v>
      </x:c>
      <x:c r="H9" s="3" t="str">
        <x:f>IF(Setup!$B$6="primary",IF(AND(INDEX('C_jama.2024.24764'!$D$2:$D$9,MATCH("2025::jama.2024.24764::C008",'C_jama.2024.24764'!$A$2:$A$9,0))="retain",INDEX('C_jama.2024.24764'!$E$2:$E$9,MATCH("2025::jama.2024.24764::C008",'C_jama.2024.24764'!$A$2:$A$9,0))="protocol_report"),IF(INDEX('C_jama.2024.24764'!$L$2:$L$9,MATCH("2025::jama.2024.24764::C008",'C_jama.2024.24764'!$A$2:$A$9,0))="","",INDEX('C_jama.2024.24764'!$L$2:$L$9,MATCH("2025::jama.2024.24764::C008",'C_jama.2024.24764'!$A$2:$A$9,0))),"not_applicable"),"NOT FROZEN")</x:f>
        <x:v>not_applicable</x:v>
      </x:c>
      <x:c r="I9" s="3" t="str">
        <x:f>IF(Setup!$B$6="primary",IF(INDEX('C_jama.2024.24764'!$R$2:$R$9,MATCH("2025::jama.2024.24764::C008",'C_jama.2024.24764'!$A$2:$A$9,0))="","",INDEX('C_jama.2024.24764'!$R$2:$R$9,MATCH("2025::jama.2024.24764::C008",'C_jama.2024.24764'!$A$2:$A$9,0))),"NOT FROZEN")</x:f>
      </x:c>
      <x:c r="J9" s="3" t="str">
        <x:f>IF(Setup!$B$6="primary",INDEX('C_jama.2024.24764'!$F$2:$F$9,MATCH("2025::jama.2024.24764::C008",'C_jama.2024.24764'!$A$2:$A$9,0)),"NOT FROZEN")</x:f>
        <x:v>no</x:v>
      </x:c>
      <x:c r="K9" s="3" t="str">
        <x:f>IF(Setup!$B$6="primary",Setup!$B$2,"NOT FROZEN")</x:f>
      </x:c>
      <x:c r="L9" s="3" t="str">
        <x:f>IF(Setup!$B$6="primary",IF(OR(B9="",B9="not_applicable"),"","Disposition: "&amp;B9&amp;CHAR(10))&amp;IF(OR(C9="",C9="not_applicable"),"","Review domain: "&amp;C9&amp;CHAR(10))&amp;IF(OR(D9="",D9="not_applicable"),"","Statistcal_or_numerical issue: "&amp;D9&amp;CHAR(10))&amp;IF(OR(E9="",E9="not_applicable"),"","Substantiveness: "&amp;E9&amp;CHAR(10))&amp;IF(OR(F9="",F9="not_applicable"),"","Downstream impact: "&amp;F9&amp;CHAR(10))&amp;IF(OR(G9="",G9="not_applicable"),"","Report-internal or planning-material inconsistency: "&amp;G9&amp;CHAR(10))&amp;IF(OR(H9="",H9="not_applicable"),"","Protocol interpretation: "&amp;H9&amp;CHAR(10))&amp;IF(OR(I9="",I9="not_applicable"),"","Notes (optional): "&amp;I9&amp;CHAR(10)),"NOT FROZEN")</x:f>
        <x:v>Review domain: protocol_report
</x:v>
      </x:c>
    </x:row>
    <x:row r="10" ht="70" customHeight="1">
      <x:c r="A10" s="6" t="str">
        <x:f>IF(Setup!$B$6="primary","2025::jama.2024.27643::C001","NOT FROZEN")</x:f>
        <x:v>2025::jama.2024.27643::C001</x:v>
      </x:c>
      <x:c r="B10" s="6" t="str">
        <x:f>IF(Setup!$B$6="primary",IF(INDEX('C_jama.2024.27643'!$D$2:$D$9,MATCH("2025::jama.2024.27643::C001",'C_jama.2024.27643'!$A$2:$A$9,0))="","",INDEX('C_jama.2024.27643'!$D$2:$D$9,MATCH("2025::jama.2024.27643::C001",'C_jama.2024.27643'!$A$2:$A$9,0))),"NOT FROZEN")</x:f>
      </x:c>
      <x:c r="C10" s="6" t="str">
        <x:f>IF(Setup!$B$6="primary",IF(INDEX('C_jama.2024.27643'!$E$2:$E$9,MATCH("2025::jama.2024.27643::C001",'C_jama.2024.27643'!$A$2:$A$9,0))="","",INDEX('C_jama.2024.27643'!$E$2:$E$9,MATCH("2025::jama.2024.27643::C001",'C_jama.2024.27643'!$A$2:$A$9,0))),"NOT FROZEN")</x:f>
        <x:v>statistical_results</x:v>
      </x:c>
      <x:c r="D10" s="6" t="str">
        <x:f>IF(Setup!$B$6="primary",IF(AND(INDEX('C_jama.2024.27643'!$D$2:$D$9,MATCH("2025::jama.2024.27643::C001",'C_jama.2024.27643'!$A$2:$A$9,0))="retain",INDEX('C_jama.2024.27643'!$E$2:$E$9,MATCH("2025::jama.2024.27643::C001",'C_jama.2024.27643'!$A$2:$A$9,0))="statistical_results"),IF(INDEX('C_jama.2024.27643'!$H$2:$H$9,MATCH("2025::jama.2024.27643::C001",'C_jama.2024.27643'!$A$2:$A$9,0))="","",INDEX('C_jama.2024.27643'!$H$2:$H$9,MATCH("2025::jama.2024.27643::C001",'C_jama.2024.27643'!$A$2:$A$9,0))),"not_applicable"),"NOT FROZEN")</x:f>
        <x:v>not_applicable</x:v>
      </x:c>
      <x:c r="E10" s="6" t="str">
        <x:f>IF(Setup!$B$6="primary",IF(AND(INDEX('C_jama.2024.27643'!$D$2:$D$9,MATCH("2025::jama.2024.27643::C001",'C_jama.2024.27643'!$A$2:$A$9,0))="retain",INDEX('C_jama.2024.27643'!$E$2:$E$9,MATCH("2025::jama.2024.27643::C001",'C_jama.2024.27643'!$A$2:$A$9,0))="statistical_results"),IF(INDEX('C_jama.2024.27643'!$I$2:$I$9,MATCH("2025::jama.2024.27643::C001",'C_jama.2024.27643'!$A$2:$A$9,0))="","",INDEX('C_jama.2024.27643'!$I$2:$I$9,MATCH("2025::jama.2024.27643::C001",'C_jama.2024.27643'!$A$2:$A$9,0))),"not_applicable"),"NOT FROZEN")</x:f>
        <x:v>not_applicable</x:v>
      </x:c>
      <x:c r="F10" s="6" t="str">
        <x:f>IF(Setup!$B$6="primary",IF(AND(INDEX('C_jama.2024.27643'!$D$2:$D$9,MATCH("2025::jama.2024.27643::C001",'C_jama.2024.27643'!$A$2:$A$9,0))="retain",INDEX('C_jama.2024.27643'!$E$2:$E$9,MATCH("2025::jama.2024.27643::C001",'C_jama.2024.27643'!$A$2:$A$9,0))="statistical_results"),IF(INDEX('C_jama.2024.27643'!$J$2:$J$9,MATCH("2025::jama.2024.27643::C001",'C_jama.2024.27643'!$A$2:$A$9,0))="","",INDEX('C_jama.2024.27643'!$J$2:$J$9,MATCH("2025::jama.2024.27643::C001",'C_jama.2024.27643'!$A$2:$A$9,0))),"not_applicable"),"NOT FROZEN")</x:f>
        <x:v>not_applicable</x:v>
      </x:c>
      <x:c r="G10" s="6" t="str">
        <x:f>IF(Setup!$B$6="primary",IF(AND(INDEX('C_jama.2024.27643'!$D$2:$D$9,MATCH("2025::jama.2024.27643::C001",'C_jama.2024.27643'!$A$2:$A$9,0))="retain",OR(INDEX('C_jama.2024.27643'!$E$2:$E$9,MATCH("2025::jama.2024.27643::C001",'C_jama.2024.27643'!$A$2:$A$9,0))="report_internal_inconsistency",INDEX('C_jama.2024.27643'!$E$2:$E$9,MATCH("2025::jama.2024.27643::C001",'C_jama.2024.27643'!$A$2:$A$9,0))="plan_material")),IF(INDEX('C_jama.2024.27643'!$K$2:$K$9,MATCH("2025::jama.2024.27643::C001",'C_jama.2024.27643'!$A$2:$A$9,0))="","",INDEX('C_jama.2024.27643'!$K$2:$K$9,MATCH("2025::jama.2024.27643::C001",'C_jama.2024.27643'!$A$2:$A$9,0))),"not_applicable"),"NOT FROZEN")</x:f>
        <x:v>not_applicable</x:v>
      </x:c>
      <x:c r="H10" s="6" t="str">
        <x:f>IF(Setup!$B$6="primary",IF(AND(INDEX('C_jama.2024.27643'!$D$2:$D$9,MATCH("2025::jama.2024.27643::C001",'C_jama.2024.27643'!$A$2:$A$9,0))="retain",INDEX('C_jama.2024.27643'!$E$2:$E$9,MATCH("2025::jama.2024.27643::C001",'C_jama.2024.27643'!$A$2:$A$9,0))="protocol_report"),IF(INDEX('C_jama.2024.27643'!$L$2:$L$9,MATCH("2025::jama.2024.27643::C001",'C_jama.2024.27643'!$A$2:$A$9,0))="","",INDEX('C_jama.2024.27643'!$L$2:$L$9,MATCH("2025::jama.2024.27643::C001",'C_jama.2024.27643'!$A$2:$A$9,0))),"not_applicable"),"NOT FROZEN")</x:f>
        <x:v>not_applicable</x:v>
      </x:c>
      <x:c r="I10" s="6" t="str">
        <x:f>IF(Setup!$B$6="primary",IF(INDEX('C_jama.2024.27643'!$R$2:$R$9,MATCH("2025::jama.2024.27643::C001",'C_jama.2024.27643'!$A$2:$A$9,0))="","",INDEX('C_jama.2024.27643'!$R$2:$R$9,MATCH("2025::jama.2024.27643::C001",'C_jama.2024.27643'!$A$2:$A$9,0))),"NOT FROZEN")</x:f>
      </x:c>
      <x:c r="J10" s="6" t="str">
        <x:f>IF(Setup!$B$6="primary",INDEX('C_jama.2024.27643'!$F$2:$F$9,MATCH("2025::jama.2024.27643::C001",'C_jama.2024.27643'!$A$2:$A$9,0)),"NOT FROZEN")</x:f>
        <x:v>no</x:v>
      </x:c>
      <x:c r="K10" s="6" t="str">
        <x:f>IF(Setup!$B$6="primary",Setup!$B$2,"NOT FROZEN")</x:f>
      </x:c>
      <x:c r="L10" s="6" t="str">
        <x:f>IF(Setup!$B$6="primary",IF(OR(B10="",B10="not_applicable"),"","Disposition: "&amp;B10&amp;CHAR(10))&amp;IF(OR(C10="",C10="not_applicable"),"","Review domain: "&amp;C10&amp;CHAR(10))&amp;IF(OR(D10="",D10="not_applicable"),"","Statistcal_or_numerical issue: "&amp;D10&amp;CHAR(10))&amp;IF(OR(E10="",E10="not_applicable"),"","Substantiveness: "&amp;E10&amp;CHAR(10))&amp;IF(OR(F10="",F10="not_applicable"),"","Downstream impact: "&amp;F10&amp;CHAR(10))&amp;IF(OR(G10="",G10="not_applicable"),"","Report-internal or planning-material inconsistency: "&amp;G10&amp;CHAR(10))&amp;IF(OR(H10="",H10="not_applicable"),"","Protocol interpretation: "&amp;H10&amp;CHAR(10))&amp;IF(OR(I10="",I10="not_applicable"),"","Notes (optional): "&amp;I10&amp;CHAR(10)),"NOT FROZEN")</x:f>
        <x:v>Review domain: statistical_results
</x:v>
      </x:c>
    </x:row>
    <x:row r="11" ht="70" customHeight="1">
      <x:c r="A11" s="3" t="str">
        <x:f>IF(Setup!$B$6="primary","2025::jama.2024.27643::C002","NOT FROZEN")</x:f>
        <x:v>2025::jama.2024.27643::C002</x:v>
      </x:c>
      <x:c r="B11" s="3" t="str">
        <x:f>IF(Setup!$B$6="primary",IF(INDEX('C_jama.2024.27643'!$D$2:$D$9,MATCH("2025::jama.2024.27643::C002",'C_jama.2024.27643'!$A$2:$A$9,0))="","",INDEX('C_jama.2024.27643'!$D$2:$D$9,MATCH("2025::jama.2024.27643::C002",'C_jama.2024.27643'!$A$2:$A$9,0))),"NOT FROZEN")</x:f>
      </x:c>
      <x:c r="C11" s="3" t="str">
        <x:f>IF(Setup!$B$6="primary",IF(INDEX('C_jama.2024.27643'!$E$2:$E$9,MATCH("2025::jama.2024.27643::C002",'C_jama.2024.27643'!$A$2:$A$9,0))="","",INDEX('C_jama.2024.27643'!$E$2:$E$9,MATCH("2025::jama.2024.27643::C002",'C_jama.2024.27643'!$A$2:$A$9,0))),"NOT FROZEN")</x:f>
        <x:v>report_internal_inconsistency</x:v>
      </x:c>
      <x:c r="D11" s="3" t="str">
        <x:f>IF(Setup!$B$6="primary",IF(AND(INDEX('C_jama.2024.27643'!$D$2:$D$9,MATCH("2025::jama.2024.27643::C002",'C_jama.2024.27643'!$A$2:$A$9,0))="retain",INDEX('C_jama.2024.27643'!$E$2:$E$9,MATCH("2025::jama.2024.27643::C002",'C_jama.2024.27643'!$A$2:$A$9,0))="statistical_results"),IF(INDEX('C_jama.2024.27643'!$H$2:$H$9,MATCH("2025::jama.2024.27643::C002",'C_jama.2024.27643'!$A$2:$A$9,0))="","",INDEX('C_jama.2024.27643'!$H$2:$H$9,MATCH("2025::jama.2024.27643::C002",'C_jama.2024.27643'!$A$2:$A$9,0))),"not_applicable"),"NOT FROZEN")</x:f>
        <x:v>not_applicable</x:v>
      </x:c>
      <x:c r="E11" s="3" t="str">
        <x:f>IF(Setup!$B$6="primary",IF(AND(INDEX('C_jama.2024.27643'!$D$2:$D$9,MATCH("2025::jama.2024.27643::C002",'C_jama.2024.27643'!$A$2:$A$9,0))="retain",INDEX('C_jama.2024.27643'!$E$2:$E$9,MATCH("2025::jama.2024.27643::C002",'C_jama.2024.27643'!$A$2:$A$9,0))="statistical_results"),IF(INDEX('C_jama.2024.27643'!$I$2:$I$9,MATCH("2025::jama.2024.27643::C002",'C_jama.2024.27643'!$A$2:$A$9,0))="","",INDEX('C_jama.2024.27643'!$I$2:$I$9,MATCH("2025::jama.2024.27643::C002",'C_jama.2024.27643'!$A$2:$A$9,0))),"not_applicable"),"NOT FROZEN")</x:f>
        <x:v>not_applicable</x:v>
      </x:c>
      <x:c r="F11" s="3" t="str">
        <x:f>IF(Setup!$B$6="primary",IF(AND(INDEX('C_jama.2024.27643'!$D$2:$D$9,MATCH("2025::jama.2024.27643::C002",'C_jama.2024.27643'!$A$2:$A$9,0))="retain",INDEX('C_jama.2024.27643'!$E$2:$E$9,MATCH("2025::jama.2024.27643::C002",'C_jama.2024.27643'!$A$2:$A$9,0))="statistical_results"),IF(INDEX('C_jama.2024.27643'!$J$2:$J$9,MATCH("2025::jama.2024.27643::C002",'C_jama.2024.27643'!$A$2:$A$9,0))="","",INDEX('C_jama.2024.27643'!$J$2:$J$9,MATCH("2025::jama.2024.27643::C002",'C_jama.2024.27643'!$A$2:$A$9,0))),"not_applicable"),"NOT FROZEN")</x:f>
        <x:v>not_applicable</x:v>
      </x:c>
      <x:c r="G11" s="3" t="str">
        <x:f>IF(Setup!$B$6="primary",IF(AND(INDEX('C_jama.2024.27643'!$D$2:$D$9,MATCH("2025::jama.2024.27643::C002",'C_jama.2024.27643'!$A$2:$A$9,0))="retain",OR(INDEX('C_jama.2024.27643'!$E$2:$E$9,MATCH("2025::jama.2024.27643::C002",'C_jama.2024.27643'!$A$2:$A$9,0))="report_internal_inconsistency",INDEX('C_jama.2024.27643'!$E$2:$E$9,MATCH("2025::jama.2024.27643::C002",'C_jama.2024.27643'!$A$2:$A$9,0))="plan_material")),IF(INDEX('C_jama.2024.27643'!$K$2:$K$9,MATCH("2025::jama.2024.27643::C002",'C_jama.2024.27643'!$A$2:$A$9,0))="","",INDEX('C_jama.2024.27643'!$K$2:$K$9,MATCH("2025::jama.2024.27643::C002",'C_jama.2024.27643'!$A$2:$A$9,0))),"not_applicable"),"NOT FROZEN")</x:f>
        <x:v>not_applicable</x:v>
      </x:c>
      <x:c r="H11" s="3" t="str">
        <x:f>IF(Setup!$B$6="primary",IF(AND(INDEX('C_jama.2024.27643'!$D$2:$D$9,MATCH("2025::jama.2024.27643::C002",'C_jama.2024.27643'!$A$2:$A$9,0))="retain",INDEX('C_jama.2024.27643'!$E$2:$E$9,MATCH("2025::jama.2024.27643::C002",'C_jama.2024.27643'!$A$2:$A$9,0))="protocol_report"),IF(INDEX('C_jama.2024.27643'!$L$2:$L$9,MATCH("2025::jama.2024.27643::C002",'C_jama.2024.27643'!$A$2:$A$9,0))="","",INDEX('C_jama.2024.27643'!$L$2:$L$9,MATCH("2025::jama.2024.27643::C002",'C_jama.2024.27643'!$A$2:$A$9,0))),"not_applicable"),"NOT FROZEN")</x:f>
        <x:v>not_applicable</x:v>
      </x:c>
      <x:c r="I11" s="3" t="str">
        <x:f>IF(Setup!$B$6="primary",IF(INDEX('C_jama.2024.27643'!$R$2:$R$9,MATCH("2025::jama.2024.27643::C002",'C_jama.2024.27643'!$A$2:$A$9,0))="","",INDEX('C_jama.2024.27643'!$R$2:$R$9,MATCH("2025::jama.2024.27643::C002",'C_jama.2024.27643'!$A$2:$A$9,0))),"NOT FROZEN")</x:f>
      </x:c>
      <x:c r="J11" s="3" t="str">
        <x:f>IF(Setup!$B$6="primary",INDEX('C_jama.2024.27643'!$F$2:$F$9,MATCH("2025::jama.2024.27643::C002",'C_jama.2024.27643'!$A$2:$A$9,0)),"NOT FROZEN")</x:f>
        <x:v>no</x:v>
      </x:c>
      <x:c r="K11" s="3" t="str">
        <x:f>IF(Setup!$B$6="primary",Setup!$B$2,"NOT FROZEN")</x:f>
      </x:c>
      <x:c r="L11" s="3" t="str">
        <x:f>IF(Setup!$B$6="primary",IF(OR(B11="",B11="not_applicable"),"","Disposition: "&amp;B11&amp;CHAR(10))&amp;IF(OR(C11="",C11="not_applicable"),"","Review domain: "&amp;C11&amp;CHAR(10))&amp;IF(OR(D11="",D11="not_applicable"),"","Statistcal_or_numerical issue: "&amp;D11&amp;CHAR(10))&amp;IF(OR(E11="",E11="not_applicable"),"","Substantiveness: "&amp;E11&amp;CHAR(10))&amp;IF(OR(F11="",F11="not_applicable"),"","Downstream impact: "&amp;F11&amp;CHAR(10))&amp;IF(OR(G11="",G11="not_applicable"),"","Report-internal or planning-material inconsistency: "&amp;G11&amp;CHAR(10))&amp;IF(OR(H11="",H11="not_applicable"),"","Protocol interpretation: "&amp;H11&amp;CHAR(10))&amp;IF(OR(I11="",I11="not_applicable"),"","Notes (optional): "&amp;I11&amp;CHAR(10)),"NOT FROZEN")</x:f>
        <x:v>Review domain: report_internal_inconsistency
</x:v>
      </x:c>
    </x:row>
    <x:row r="12" ht="70" customHeight="1">
      <x:c r="A12" s="6" t="str">
        <x:f>IF(Setup!$B$6="primary","2025::jama.2024.27643::C003","NOT FROZEN")</x:f>
        <x:v>2025::jama.2024.27643::C003</x:v>
      </x:c>
      <x:c r="B12" s="6" t="str">
        <x:f>IF(Setup!$B$6="primary",IF(INDEX('C_jama.2024.27643'!$D$2:$D$9,MATCH("2025::jama.2024.27643::C003",'C_jama.2024.27643'!$A$2:$A$9,0))="","",INDEX('C_jama.2024.27643'!$D$2:$D$9,MATCH("2025::jama.2024.27643::C003",'C_jama.2024.27643'!$A$2:$A$9,0))),"NOT FROZEN")</x:f>
      </x:c>
      <x:c r="C12" s="6" t="str">
        <x:f>IF(Setup!$B$6="primary",IF(INDEX('C_jama.2024.27643'!$E$2:$E$9,MATCH("2025::jama.2024.27643::C003",'C_jama.2024.27643'!$A$2:$A$9,0))="","",INDEX('C_jama.2024.27643'!$E$2:$E$9,MATCH("2025::jama.2024.27643::C003",'C_jama.2024.27643'!$A$2:$A$9,0))),"NOT FROZEN")</x:f>
        <x:v>report_internal_inconsistency</x:v>
      </x:c>
      <x:c r="D12" s="6" t="str">
        <x:f>IF(Setup!$B$6="primary",IF(AND(INDEX('C_jama.2024.27643'!$D$2:$D$9,MATCH("2025::jama.2024.27643::C003",'C_jama.2024.27643'!$A$2:$A$9,0))="retain",INDEX('C_jama.2024.27643'!$E$2:$E$9,MATCH("2025::jama.2024.27643::C003",'C_jama.2024.27643'!$A$2:$A$9,0))="statistical_results"),IF(INDEX('C_jama.2024.27643'!$H$2:$H$9,MATCH("2025::jama.2024.27643::C003",'C_jama.2024.27643'!$A$2:$A$9,0))="","",INDEX('C_jama.2024.27643'!$H$2:$H$9,MATCH("2025::jama.2024.27643::C003",'C_jama.2024.27643'!$A$2:$A$9,0))),"not_applicable"),"NOT FROZEN")</x:f>
        <x:v>not_applicable</x:v>
      </x:c>
      <x:c r="E12" s="6" t="str">
        <x:f>IF(Setup!$B$6="primary",IF(AND(INDEX('C_jama.2024.27643'!$D$2:$D$9,MATCH("2025::jama.2024.27643::C003",'C_jama.2024.27643'!$A$2:$A$9,0))="retain",INDEX('C_jama.2024.27643'!$E$2:$E$9,MATCH("2025::jama.2024.27643::C003",'C_jama.2024.27643'!$A$2:$A$9,0))="statistical_results"),IF(INDEX('C_jama.2024.27643'!$I$2:$I$9,MATCH("2025::jama.2024.27643::C003",'C_jama.2024.27643'!$A$2:$A$9,0))="","",INDEX('C_jama.2024.27643'!$I$2:$I$9,MATCH("2025::jama.2024.27643::C003",'C_jama.2024.27643'!$A$2:$A$9,0))),"not_applicable"),"NOT FROZEN")</x:f>
        <x:v>not_applicable</x:v>
      </x:c>
      <x:c r="F12" s="6" t="str">
        <x:f>IF(Setup!$B$6="primary",IF(AND(INDEX('C_jama.2024.27643'!$D$2:$D$9,MATCH("2025::jama.2024.27643::C003",'C_jama.2024.27643'!$A$2:$A$9,0))="retain",INDEX('C_jama.2024.27643'!$E$2:$E$9,MATCH("2025::jama.2024.27643::C003",'C_jama.2024.27643'!$A$2:$A$9,0))="statistical_results"),IF(INDEX('C_jama.2024.27643'!$J$2:$J$9,MATCH("2025::jama.2024.27643::C003",'C_jama.2024.27643'!$A$2:$A$9,0))="","",INDEX('C_jama.2024.27643'!$J$2:$J$9,MATCH("2025::jama.2024.27643::C003",'C_jama.2024.27643'!$A$2:$A$9,0))),"not_applicable"),"NOT FROZEN")</x:f>
        <x:v>not_applicable</x:v>
      </x:c>
      <x:c r="G12" s="6" t="str">
        <x:f>IF(Setup!$B$6="primary",IF(AND(INDEX('C_jama.2024.27643'!$D$2:$D$9,MATCH("2025::jama.2024.27643::C003",'C_jama.2024.27643'!$A$2:$A$9,0))="retain",OR(INDEX('C_jama.2024.27643'!$E$2:$E$9,MATCH("2025::jama.2024.27643::C003",'C_jama.2024.27643'!$A$2:$A$9,0))="report_internal_inconsistency",INDEX('C_jama.2024.27643'!$E$2:$E$9,MATCH("2025::jama.2024.27643::C003",'C_jama.2024.27643'!$A$2:$A$9,0))="plan_material")),IF(INDEX('C_jama.2024.27643'!$K$2:$K$9,MATCH("2025::jama.2024.27643::C003",'C_jama.2024.27643'!$A$2:$A$9,0))="","",INDEX('C_jama.2024.27643'!$K$2:$K$9,MATCH("2025::jama.2024.27643::C003",'C_jama.2024.27643'!$A$2:$A$9,0))),"not_applicable"),"NOT FROZEN")</x:f>
        <x:v>not_applicable</x:v>
      </x:c>
      <x:c r="H12" s="6" t="str">
        <x:f>IF(Setup!$B$6="primary",IF(AND(INDEX('C_jama.2024.27643'!$D$2:$D$9,MATCH("2025::jama.2024.27643::C003",'C_jama.2024.27643'!$A$2:$A$9,0))="retain",INDEX('C_jama.2024.27643'!$E$2:$E$9,MATCH("2025::jama.2024.27643::C003",'C_jama.2024.27643'!$A$2:$A$9,0))="protocol_report"),IF(INDEX('C_jama.2024.27643'!$L$2:$L$9,MATCH("2025::jama.2024.27643::C003",'C_jama.2024.27643'!$A$2:$A$9,0))="","",INDEX('C_jama.2024.27643'!$L$2:$L$9,MATCH("2025::jama.2024.27643::C003",'C_jama.2024.27643'!$A$2:$A$9,0))),"not_applicable"),"NOT FROZEN")</x:f>
        <x:v>not_applicable</x:v>
      </x:c>
      <x:c r="I12" s="6" t="str">
        <x:f>IF(Setup!$B$6="primary",IF(INDEX('C_jama.2024.27643'!$R$2:$R$9,MATCH("2025::jama.2024.27643::C003",'C_jama.2024.27643'!$A$2:$A$9,0))="","",INDEX('C_jama.2024.27643'!$R$2:$R$9,MATCH("2025::jama.2024.27643::C003",'C_jama.2024.27643'!$A$2:$A$9,0))),"NOT FROZEN")</x:f>
      </x:c>
      <x:c r="J12" s="6" t="str">
        <x:f>IF(Setup!$B$6="primary",INDEX('C_jama.2024.27643'!$F$2:$F$9,MATCH("2025::jama.2024.27643::C003",'C_jama.2024.27643'!$A$2:$A$9,0)),"NOT FROZEN")</x:f>
        <x:v>no</x:v>
      </x:c>
      <x:c r="K12" s="6" t="str">
        <x:f>IF(Setup!$B$6="primary",Setup!$B$2,"NOT FROZEN")</x:f>
      </x:c>
      <x:c r="L12" s="6" t="str">
        <x:f>IF(Setup!$B$6="primary",IF(OR(B12="",B12="not_applicable"),"","Disposition: "&amp;B12&amp;CHAR(10))&amp;IF(OR(C12="",C12="not_applicable"),"","Review domain: "&amp;C12&amp;CHAR(10))&amp;IF(OR(D12="",D12="not_applicable"),"","Statistcal_or_numerical issue: "&amp;D12&amp;CHAR(10))&amp;IF(OR(E12="",E12="not_applicable"),"","Substantiveness: "&amp;E12&amp;CHAR(10))&amp;IF(OR(F12="",F12="not_applicable"),"","Downstream impact: "&amp;F12&amp;CHAR(10))&amp;IF(OR(G12="",G12="not_applicable"),"","Report-internal or planning-material inconsistency: "&amp;G12&amp;CHAR(10))&amp;IF(OR(H12="",H12="not_applicable"),"","Protocol interpretation: "&amp;H12&amp;CHAR(10))&amp;IF(OR(I12="",I12="not_applicable"),"","Notes (optional): "&amp;I12&amp;CHAR(10)),"NOT FROZEN")</x:f>
        <x:v>Review domain: report_internal_inconsistency
</x:v>
      </x:c>
    </x:row>
    <x:row r="13" ht="70" customHeight="1">
      <x:c r="A13" s="3" t="str">
        <x:f>IF(Setup!$B$6="primary","2025::jama.2024.27643::C004","NOT FROZEN")</x:f>
        <x:v>2025::jama.2024.27643::C004</x:v>
      </x:c>
      <x:c r="B13" s="3" t="str">
        <x:f>IF(Setup!$B$6="primary",IF(INDEX('C_jama.2024.27643'!$D$2:$D$9,MATCH("2025::jama.2024.27643::C004",'C_jama.2024.27643'!$A$2:$A$9,0))="","",INDEX('C_jama.2024.27643'!$D$2:$D$9,MATCH("2025::jama.2024.27643::C004",'C_jama.2024.27643'!$A$2:$A$9,0))),"NOT FROZEN")</x:f>
      </x:c>
      <x:c r="C13" s="3" t="str">
        <x:f>IF(Setup!$B$6="primary",IF(INDEX('C_jama.2024.27643'!$E$2:$E$9,MATCH("2025::jama.2024.27643::C004",'C_jama.2024.27643'!$A$2:$A$9,0))="","",INDEX('C_jama.2024.27643'!$E$2:$E$9,MATCH("2025::jama.2024.27643::C004",'C_jama.2024.27643'!$A$2:$A$9,0))),"NOT FROZEN")</x:f>
        <x:v>report_internal_inconsistency</x:v>
      </x:c>
      <x:c r="D13" s="3" t="str">
        <x:f>IF(Setup!$B$6="primary",IF(AND(INDEX('C_jama.2024.27643'!$D$2:$D$9,MATCH("2025::jama.2024.27643::C004",'C_jama.2024.27643'!$A$2:$A$9,0))="retain",INDEX('C_jama.2024.27643'!$E$2:$E$9,MATCH("2025::jama.2024.27643::C004",'C_jama.2024.27643'!$A$2:$A$9,0))="statistical_results"),IF(INDEX('C_jama.2024.27643'!$H$2:$H$9,MATCH("2025::jama.2024.27643::C004",'C_jama.2024.27643'!$A$2:$A$9,0))="","",INDEX('C_jama.2024.27643'!$H$2:$H$9,MATCH("2025::jama.2024.27643::C004",'C_jama.2024.27643'!$A$2:$A$9,0))),"not_applicable"),"NOT FROZEN")</x:f>
        <x:v>not_applicable</x:v>
      </x:c>
      <x:c r="E13" s="3" t="str">
        <x:f>IF(Setup!$B$6="primary",IF(AND(INDEX('C_jama.2024.27643'!$D$2:$D$9,MATCH("2025::jama.2024.27643::C004",'C_jama.2024.27643'!$A$2:$A$9,0))="retain",INDEX('C_jama.2024.27643'!$E$2:$E$9,MATCH("2025::jama.2024.27643::C004",'C_jama.2024.27643'!$A$2:$A$9,0))="statistical_results"),IF(INDEX('C_jama.2024.27643'!$I$2:$I$9,MATCH("2025::jama.2024.27643::C004",'C_jama.2024.27643'!$A$2:$A$9,0))="","",INDEX('C_jama.2024.27643'!$I$2:$I$9,MATCH("2025::jama.2024.27643::C004",'C_jama.2024.27643'!$A$2:$A$9,0))),"not_applicable"),"NOT FROZEN")</x:f>
        <x:v>not_applicable</x:v>
      </x:c>
      <x:c r="F13" s="3" t="str">
        <x:f>IF(Setup!$B$6="primary",IF(AND(INDEX('C_jama.2024.27643'!$D$2:$D$9,MATCH("2025::jama.2024.27643::C004",'C_jama.2024.27643'!$A$2:$A$9,0))="retain",INDEX('C_jama.2024.27643'!$E$2:$E$9,MATCH("2025::jama.2024.27643::C004",'C_jama.2024.27643'!$A$2:$A$9,0))="statistical_results"),IF(INDEX('C_jama.2024.27643'!$J$2:$J$9,MATCH("2025::jama.2024.27643::C004",'C_jama.2024.27643'!$A$2:$A$9,0))="","",INDEX('C_jama.2024.27643'!$J$2:$J$9,MATCH("2025::jama.2024.27643::C004",'C_jama.2024.27643'!$A$2:$A$9,0))),"not_applicable"),"NOT FROZEN")</x:f>
        <x:v>not_applicable</x:v>
      </x:c>
      <x:c r="G13" s="3" t="str">
        <x:f>IF(Setup!$B$6="primary",IF(AND(INDEX('C_jama.2024.27643'!$D$2:$D$9,MATCH("2025::jama.2024.27643::C004",'C_jama.2024.27643'!$A$2:$A$9,0))="retain",OR(INDEX('C_jama.2024.27643'!$E$2:$E$9,MATCH("2025::jama.2024.27643::C004",'C_jama.2024.27643'!$A$2:$A$9,0))="report_internal_inconsistency",INDEX('C_jama.2024.27643'!$E$2:$E$9,MATCH("2025::jama.2024.27643::C004",'C_jama.2024.27643'!$A$2:$A$9,0))="plan_material")),IF(INDEX('C_jama.2024.27643'!$K$2:$K$9,MATCH("2025::jama.2024.27643::C004",'C_jama.2024.27643'!$A$2:$A$9,0))="","",INDEX('C_jama.2024.27643'!$K$2:$K$9,MATCH("2025::jama.2024.27643::C004",'C_jama.2024.27643'!$A$2:$A$9,0))),"not_applicable"),"NOT FROZEN")</x:f>
        <x:v>not_applicable</x:v>
      </x:c>
      <x:c r="H13" s="3" t="str">
        <x:f>IF(Setup!$B$6="primary",IF(AND(INDEX('C_jama.2024.27643'!$D$2:$D$9,MATCH("2025::jama.2024.27643::C004",'C_jama.2024.27643'!$A$2:$A$9,0))="retain",INDEX('C_jama.2024.27643'!$E$2:$E$9,MATCH("2025::jama.2024.27643::C004",'C_jama.2024.27643'!$A$2:$A$9,0))="protocol_report"),IF(INDEX('C_jama.2024.27643'!$L$2:$L$9,MATCH("2025::jama.2024.27643::C004",'C_jama.2024.27643'!$A$2:$A$9,0))="","",INDEX('C_jama.2024.27643'!$L$2:$L$9,MATCH("2025::jama.2024.27643::C004",'C_jama.2024.27643'!$A$2:$A$9,0))),"not_applicable"),"NOT FROZEN")</x:f>
        <x:v>not_applicable</x:v>
      </x:c>
      <x:c r="I13" s="3" t="str">
        <x:f>IF(Setup!$B$6="primary",IF(INDEX('C_jama.2024.27643'!$R$2:$R$9,MATCH("2025::jama.2024.27643::C004",'C_jama.2024.27643'!$A$2:$A$9,0))="","",INDEX('C_jama.2024.27643'!$R$2:$R$9,MATCH("2025::jama.2024.27643::C004",'C_jama.2024.27643'!$A$2:$A$9,0))),"NOT FROZEN")</x:f>
      </x:c>
      <x:c r="J13" s="3" t="str">
        <x:f>IF(Setup!$B$6="primary",INDEX('C_jama.2024.27643'!$F$2:$F$9,MATCH("2025::jama.2024.27643::C004",'C_jama.2024.27643'!$A$2:$A$9,0)),"NOT FROZEN")</x:f>
        <x:v>no</x:v>
      </x:c>
      <x:c r="K13" s="3" t="str">
        <x:f>IF(Setup!$B$6="primary",Setup!$B$2,"NOT FROZEN")</x:f>
      </x:c>
      <x:c r="L13" s="3" t="str">
        <x:f>IF(Setup!$B$6="primary",IF(OR(B13="",B13="not_applicable"),"","Disposition: "&amp;B13&amp;CHAR(10))&amp;IF(OR(C13="",C13="not_applicable"),"","Review domain: "&amp;C13&amp;CHAR(10))&amp;IF(OR(D13="",D13="not_applicable"),"","Statistcal_or_numerical issue: "&amp;D13&amp;CHAR(10))&amp;IF(OR(E13="",E13="not_applicable"),"","Substantiveness: "&amp;E13&amp;CHAR(10))&amp;IF(OR(F13="",F13="not_applicable"),"","Downstream impact: "&amp;F13&amp;CHAR(10))&amp;IF(OR(G13="",G13="not_applicable"),"","Report-internal or planning-material inconsistency: "&amp;G13&amp;CHAR(10))&amp;IF(OR(H13="",H13="not_applicable"),"","Protocol interpretation: "&amp;H13&amp;CHAR(10))&amp;IF(OR(I13="",I13="not_applicable"),"","Notes (optional): "&amp;I13&amp;CHAR(10)),"NOT FROZEN")</x:f>
        <x:v>Review domain: report_internal_inconsistency
</x:v>
      </x:c>
    </x:row>
    <x:row r="14" ht="70" customHeight="1">
      <x:c r="A14" s="6" t="str">
        <x:f>IF(Setup!$B$6="primary","2025::jama.2024.27643::C005","NOT FROZEN")</x:f>
        <x:v>2025::jama.2024.27643::C005</x:v>
      </x:c>
      <x:c r="B14" s="6" t="str">
        <x:f>IF(Setup!$B$6="primary",IF(INDEX('C_jama.2024.27643'!$D$2:$D$9,MATCH("2025::jama.2024.27643::C005",'C_jama.2024.27643'!$A$2:$A$9,0))="","",INDEX('C_jama.2024.27643'!$D$2:$D$9,MATCH("2025::jama.2024.27643::C005",'C_jama.2024.27643'!$A$2:$A$9,0))),"NOT FROZEN")</x:f>
      </x:c>
      <x:c r="C14" s="6" t="str">
        <x:f>IF(Setup!$B$6="primary",IF(INDEX('C_jama.2024.27643'!$E$2:$E$9,MATCH("2025::jama.2024.27643::C005",'C_jama.2024.27643'!$A$2:$A$9,0))="","",INDEX('C_jama.2024.27643'!$E$2:$E$9,MATCH("2025::jama.2024.27643::C005",'C_jama.2024.27643'!$A$2:$A$9,0))),"NOT FROZEN")</x:f>
        <x:v>report_internal_inconsistency</x:v>
      </x:c>
      <x:c r="D14" s="6" t="str">
        <x:f>IF(Setup!$B$6="primary",IF(AND(INDEX('C_jama.2024.27643'!$D$2:$D$9,MATCH("2025::jama.2024.27643::C005",'C_jama.2024.27643'!$A$2:$A$9,0))="retain",INDEX('C_jama.2024.27643'!$E$2:$E$9,MATCH("2025::jama.2024.27643::C005",'C_jama.2024.27643'!$A$2:$A$9,0))="statistical_results"),IF(INDEX('C_jama.2024.27643'!$H$2:$H$9,MATCH("2025::jama.2024.27643::C005",'C_jama.2024.27643'!$A$2:$A$9,0))="","",INDEX('C_jama.2024.27643'!$H$2:$H$9,MATCH("2025::jama.2024.27643::C005",'C_jama.2024.27643'!$A$2:$A$9,0))),"not_applicable"),"NOT FROZEN")</x:f>
        <x:v>not_applicable</x:v>
      </x:c>
      <x:c r="E14" s="6" t="str">
        <x:f>IF(Setup!$B$6="primary",IF(AND(INDEX('C_jama.2024.27643'!$D$2:$D$9,MATCH("2025::jama.2024.27643::C005",'C_jama.2024.27643'!$A$2:$A$9,0))="retain",INDEX('C_jama.2024.27643'!$E$2:$E$9,MATCH("2025::jama.2024.27643::C005",'C_jama.2024.27643'!$A$2:$A$9,0))="statistical_results"),IF(INDEX('C_jama.2024.27643'!$I$2:$I$9,MATCH("2025::jama.2024.27643::C005",'C_jama.2024.27643'!$A$2:$A$9,0))="","",INDEX('C_jama.2024.27643'!$I$2:$I$9,MATCH("2025::jama.2024.27643::C005",'C_jama.2024.27643'!$A$2:$A$9,0))),"not_applicable"),"NOT FROZEN")</x:f>
        <x:v>not_applicable</x:v>
      </x:c>
      <x:c r="F14" s="6" t="str">
        <x:f>IF(Setup!$B$6="primary",IF(AND(INDEX('C_jama.2024.27643'!$D$2:$D$9,MATCH("2025::jama.2024.27643::C005",'C_jama.2024.27643'!$A$2:$A$9,0))="retain",INDEX('C_jama.2024.27643'!$E$2:$E$9,MATCH("2025::jama.2024.27643::C005",'C_jama.2024.27643'!$A$2:$A$9,0))="statistical_results"),IF(INDEX('C_jama.2024.27643'!$J$2:$J$9,MATCH("2025::jama.2024.27643::C005",'C_jama.2024.27643'!$A$2:$A$9,0))="","",INDEX('C_jama.2024.27643'!$J$2:$J$9,MATCH("2025::jama.2024.27643::C005",'C_jama.2024.27643'!$A$2:$A$9,0))),"not_applicable"),"NOT FROZEN")</x:f>
        <x:v>not_applicable</x:v>
      </x:c>
      <x:c r="G14" s="6" t="str">
        <x:f>IF(Setup!$B$6="primary",IF(AND(INDEX('C_jama.2024.27643'!$D$2:$D$9,MATCH("2025::jama.2024.27643::C005",'C_jama.2024.27643'!$A$2:$A$9,0))="retain",OR(INDEX('C_jama.2024.27643'!$E$2:$E$9,MATCH("2025::jama.2024.27643::C005",'C_jama.2024.27643'!$A$2:$A$9,0))="report_internal_inconsistency",INDEX('C_jama.2024.27643'!$E$2:$E$9,MATCH("2025::jama.2024.27643::C005",'C_jama.2024.27643'!$A$2:$A$9,0))="plan_material")),IF(INDEX('C_jama.2024.27643'!$K$2:$K$9,MATCH("2025::jama.2024.27643::C005",'C_jama.2024.27643'!$A$2:$A$9,0))="","",INDEX('C_jama.2024.27643'!$K$2:$K$9,MATCH("2025::jama.2024.27643::C005",'C_jama.2024.27643'!$A$2:$A$9,0))),"not_applicable"),"NOT FROZEN")</x:f>
        <x:v>not_applicable</x:v>
      </x:c>
      <x:c r="H14" s="6" t="str">
        <x:f>IF(Setup!$B$6="primary",IF(AND(INDEX('C_jama.2024.27643'!$D$2:$D$9,MATCH("2025::jama.2024.27643::C005",'C_jama.2024.27643'!$A$2:$A$9,0))="retain",INDEX('C_jama.2024.27643'!$E$2:$E$9,MATCH("2025::jama.2024.27643::C005",'C_jama.2024.27643'!$A$2:$A$9,0))="protocol_report"),IF(INDEX('C_jama.2024.27643'!$L$2:$L$9,MATCH("2025::jama.2024.27643::C005",'C_jama.2024.27643'!$A$2:$A$9,0))="","",INDEX('C_jama.2024.27643'!$L$2:$L$9,MATCH("2025::jama.2024.27643::C005",'C_jama.2024.27643'!$A$2:$A$9,0))),"not_applicable"),"NOT FROZEN")</x:f>
        <x:v>not_applicable</x:v>
      </x:c>
      <x:c r="I14" s="6" t="str">
        <x:f>IF(Setup!$B$6="primary",IF(INDEX('C_jama.2024.27643'!$R$2:$R$9,MATCH("2025::jama.2024.27643::C005",'C_jama.2024.27643'!$A$2:$A$9,0))="","",INDEX('C_jama.2024.27643'!$R$2:$R$9,MATCH("2025::jama.2024.27643::C005",'C_jama.2024.27643'!$A$2:$A$9,0))),"NOT FROZEN")</x:f>
      </x:c>
      <x:c r="J14" s="6" t="str">
        <x:f>IF(Setup!$B$6="primary",INDEX('C_jama.2024.27643'!$F$2:$F$9,MATCH("2025::jama.2024.27643::C005",'C_jama.2024.27643'!$A$2:$A$9,0)),"NOT FROZEN")</x:f>
        <x:v>no</x:v>
      </x:c>
      <x:c r="K14" s="6" t="str">
        <x:f>IF(Setup!$B$6="primary",Setup!$B$2,"NOT FROZEN")</x:f>
      </x:c>
      <x:c r="L14" s="6" t="str">
        <x:f>IF(Setup!$B$6="primary",IF(OR(B14="",B14="not_applicable"),"","Disposition: "&amp;B14&amp;CHAR(10))&amp;IF(OR(C14="",C14="not_applicable"),"","Review domain: "&amp;C14&amp;CHAR(10))&amp;IF(OR(D14="",D14="not_applicable"),"","Statistcal_or_numerical issue: "&amp;D14&amp;CHAR(10))&amp;IF(OR(E14="",E14="not_applicable"),"","Substantiveness: "&amp;E14&amp;CHAR(10))&amp;IF(OR(F14="",F14="not_applicable"),"","Downstream impact: "&amp;F14&amp;CHAR(10))&amp;IF(OR(G14="",G14="not_applicable"),"","Report-internal or planning-material inconsistency: "&amp;G14&amp;CHAR(10))&amp;IF(OR(H14="",H14="not_applicable"),"","Protocol interpretation: "&amp;H14&amp;CHAR(10))&amp;IF(OR(I14="",I14="not_applicable"),"","Notes (optional): "&amp;I14&amp;CHAR(10)),"NOT FROZEN")</x:f>
        <x:v>Review domain: report_internal_inconsistency
</x:v>
      </x:c>
    </x:row>
    <x:row r="15" ht="70" customHeight="1">
      <x:c r="A15" s="3" t="str">
        <x:f>IF(Setup!$B$6="primary","2025::jama.2024.27643::C006","NOT FROZEN")</x:f>
        <x:v>2025::jama.2024.27643::C006</x:v>
      </x:c>
      <x:c r="B15" s="3" t="str">
        <x:f>IF(Setup!$B$6="primary",IF(INDEX('C_jama.2024.27643'!$D$2:$D$9,MATCH("2025::jama.2024.27643::C006",'C_jama.2024.27643'!$A$2:$A$9,0))="","",INDEX('C_jama.2024.27643'!$D$2:$D$9,MATCH("2025::jama.2024.27643::C006",'C_jama.2024.27643'!$A$2:$A$9,0))),"NOT FROZEN")</x:f>
      </x:c>
      <x:c r="C15" s="3" t="str">
        <x:f>IF(Setup!$B$6="primary",IF(INDEX('C_jama.2024.27643'!$E$2:$E$9,MATCH("2025::jama.2024.27643::C006",'C_jama.2024.27643'!$A$2:$A$9,0))="","",INDEX('C_jama.2024.27643'!$E$2:$E$9,MATCH("2025::jama.2024.27643::C006",'C_jama.2024.27643'!$A$2:$A$9,0))),"NOT FROZEN")</x:f>
        <x:v>report_internal_inconsistency</x:v>
      </x:c>
      <x:c r="D15" s="3" t="str">
        <x:f>IF(Setup!$B$6="primary",IF(AND(INDEX('C_jama.2024.27643'!$D$2:$D$9,MATCH("2025::jama.2024.27643::C006",'C_jama.2024.27643'!$A$2:$A$9,0))="retain",INDEX('C_jama.2024.27643'!$E$2:$E$9,MATCH("2025::jama.2024.27643::C006",'C_jama.2024.27643'!$A$2:$A$9,0))="statistical_results"),IF(INDEX('C_jama.2024.27643'!$H$2:$H$9,MATCH("2025::jama.2024.27643::C006",'C_jama.2024.27643'!$A$2:$A$9,0))="","",INDEX('C_jama.2024.27643'!$H$2:$H$9,MATCH("2025::jama.2024.27643::C006",'C_jama.2024.27643'!$A$2:$A$9,0))),"not_applicable"),"NOT FROZEN")</x:f>
        <x:v>not_applicable</x:v>
      </x:c>
      <x:c r="E15" s="3" t="str">
        <x:f>IF(Setup!$B$6="primary",IF(AND(INDEX('C_jama.2024.27643'!$D$2:$D$9,MATCH("2025::jama.2024.27643::C006",'C_jama.2024.27643'!$A$2:$A$9,0))="retain",INDEX('C_jama.2024.27643'!$E$2:$E$9,MATCH("2025::jama.2024.27643::C006",'C_jama.2024.27643'!$A$2:$A$9,0))="statistical_results"),IF(INDEX('C_jama.2024.27643'!$I$2:$I$9,MATCH("2025::jama.2024.27643::C006",'C_jama.2024.27643'!$A$2:$A$9,0))="","",INDEX('C_jama.2024.27643'!$I$2:$I$9,MATCH("2025::jama.2024.27643::C006",'C_jama.2024.27643'!$A$2:$A$9,0))),"not_applicable"),"NOT FROZEN")</x:f>
        <x:v>not_applicable</x:v>
      </x:c>
      <x:c r="F15" s="3" t="str">
        <x:f>IF(Setup!$B$6="primary",IF(AND(INDEX('C_jama.2024.27643'!$D$2:$D$9,MATCH("2025::jama.2024.27643::C006",'C_jama.2024.27643'!$A$2:$A$9,0))="retain",INDEX('C_jama.2024.27643'!$E$2:$E$9,MATCH("2025::jama.2024.27643::C006",'C_jama.2024.27643'!$A$2:$A$9,0))="statistical_results"),IF(INDEX('C_jama.2024.27643'!$J$2:$J$9,MATCH("2025::jama.2024.27643::C006",'C_jama.2024.27643'!$A$2:$A$9,0))="","",INDEX('C_jama.2024.27643'!$J$2:$J$9,MATCH("2025::jama.2024.27643::C006",'C_jama.2024.27643'!$A$2:$A$9,0))),"not_applicable"),"NOT FROZEN")</x:f>
        <x:v>not_applicable</x:v>
      </x:c>
      <x:c r="G15" s="3" t="str">
        <x:f>IF(Setup!$B$6="primary",IF(AND(INDEX('C_jama.2024.27643'!$D$2:$D$9,MATCH("2025::jama.2024.27643::C006",'C_jama.2024.27643'!$A$2:$A$9,0))="retain",OR(INDEX('C_jama.2024.27643'!$E$2:$E$9,MATCH("2025::jama.2024.27643::C006",'C_jama.2024.27643'!$A$2:$A$9,0))="report_internal_inconsistency",INDEX('C_jama.2024.27643'!$E$2:$E$9,MATCH("2025::jama.2024.27643::C006",'C_jama.2024.27643'!$A$2:$A$9,0))="plan_material")),IF(INDEX('C_jama.2024.27643'!$K$2:$K$9,MATCH("2025::jama.2024.27643::C006",'C_jama.2024.27643'!$A$2:$A$9,0))="","",INDEX('C_jama.2024.27643'!$K$2:$K$9,MATCH("2025::jama.2024.27643::C006",'C_jama.2024.27643'!$A$2:$A$9,0))),"not_applicable"),"NOT FROZEN")</x:f>
        <x:v>not_applicable</x:v>
      </x:c>
      <x:c r="H15" s="3" t="str">
        <x:f>IF(Setup!$B$6="primary",IF(AND(INDEX('C_jama.2024.27643'!$D$2:$D$9,MATCH("2025::jama.2024.27643::C006",'C_jama.2024.27643'!$A$2:$A$9,0))="retain",INDEX('C_jama.2024.27643'!$E$2:$E$9,MATCH("2025::jama.2024.27643::C006",'C_jama.2024.27643'!$A$2:$A$9,0))="protocol_report"),IF(INDEX('C_jama.2024.27643'!$L$2:$L$9,MATCH("2025::jama.2024.27643::C006",'C_jama.2024.27643'!$A$2:$A$9,0))="","",INDEX('C_jama.2024.27643'!$L$2:$L$9,MATCH("2025::jama.2024.27643::C006",'C_jama.2024.27643'!$A$2:$A$9,0))),"not_applicable"),"NOT FROZEN")</x:f>
        <x:v>not_applicable</x:v>
      </x:c>
      <x:c r="I15" s="3" t="str">
        <x:f>IF(Setup!$B$6="primary",IF(INDEX('C_jama.2024.27643'!$R$2:$R$9,MATCH("2025::jama.2024.27643::C006",'C_jama.2024.27643'!$A$2:$A$9,0))="","",INDEX('C_jama.2024.27643'!$R$2:$R$9,MATCH("2025::jama.2024.27643::C006",'C_jama.2024.27643'!$A$2:$A$9,0))),"NOT FROZEN")</x:f>
      </x:c>
      <x:c r="J15" s="3" t="str">
        <x:f>IF(Setup!$B$6="primary",INDEX('C_jama.2024.27643'!$F$2:$F$9,MATCH("2025::jama.2024.27643::C006",'C_jama.2024.27643'!$A$2:$A$9,0)),"NOT FROZEN")</x:f>
        <x:v>no</x:v>
      </x:c>
      <x:c r="K15" s="3" t="str">
        <x:f>IF(Setup!$B$6="primary",Setup!$B$2,"NOT FROZEN")</x:f>
      </x:c>
      <x:c r="L15" s="3" t="str">
        <x:f>IF(Setup!$B$6="primary",IF(OR(B15="",B15="not_applicable"),"","Disposition: "&amp;B15&amp;CHAR(10))&amp;IF(OR(C15="",C15="not_applicable"),"","Review domain: "&amp;C15&amp;CHAR(10))&amp;IF(OR(D15="",D15="not_applicable"),"","Statistcal_or_numerical issue: "&amp;D15&amp;CHAR(10))&amp;IF(OR(E15="",E15="not_applicable"),"","Substantiveness: "&amp;E15&amp;CHAR(10))&amp;IF(OR(F15="",F15="not_applicable"),"","Downstream impact: "&amp;F15&amp;CHAR(10))&amp;IF(OR(G15="",G15="not_applicable"),"","Report-internal or planning-material inconsistency: "&amp;G15&amp;CHAR(10))&amp;IF(OR(H15="",H15="not_applicable"),"","Protocol interpretation: "&amp;H15&amp;CHAR(10))&amp;IF(OR(I15="",I15="not_applicable"),"","Notes (optional): "&amp;I15&amp;CHAR(10)),"NOT FROZEN")</x:f>
        <x:v>Review domain: report_internal_inconsistency
</x:v>
      </x:c>
    </x:row>
    <x:row r="16" ht="70" customHeight="1">
      <x:c r="A16" s="6" t="str">
        <x:f>IF(Setup!$B$6="primary","2025::jama.2024.27643::C007","NOT FROZEN")</x:f>
        <x:v>2025::jama.2024.27643::C007</x:v>
      </x:c>
      <x:c r="B16" s="6" t="str">
        <x:f>IF(Setup!$B$6="primary",IF(INDEX('C_jama.2024.27643'!$D$2:$D$9,MATCH("2025::jama.2024.27643::C007",'C_jama.2024.27643'!$A$2:$A$9,0))="","",INDEX('C_jama.2024.27643'!$D$2:$D$9,MATCH("2025::jama.2024.27643::C007",'C_jama.2024.27643'!$A$2:$A$9,0))),"NOT FROZEN")</x:f>
      </x:c>
      <x:c r="C16" s="6" t="str">
        <x:f>IF(Setup!$B$6="primary",IF(INDEX('C_jama.2024.27643'!$E$2:$E$9,MATCH("2025::jama.2024.27643::C007",'C_jama.2024.27643'!$A$2:$A$9,0))="","",INDEX('C_jama.2024.27643'!$E$2:$E$9,MATCH("2025::jama.2024.27643::C007",'C_jama.2024.27643'!$A$2:$A$9,0))),"NOT FROZEN")</x:f>
        <x:v>report_internal_inconsistency</x:v>
      </x:c>
      <x:c r="D16" s="6" t="str">
        <x:f>IF(Setup!$B$6="primary",IF(AND(INDEX('C_jama.2024.27643'!$D$2:$D$9,MATCH("2025::jama.2024.27643::C007",'C_jama.2024.27643'!$A$2:$A$9,0))="retain",INDEX('C_jama.2024.27643'!$E$2:$E$9,MATCH("2025::jama.2024.27643::C007",'C_jama.2024.27643'!$A$2:$A$9,0))="statistical_results"),IF(INDEX('C_jama.2024.27643'!$H$2:$H$9,MATCH("2025::jama.2024.27643::C007",'C_jama.2024.27643'!$A$2:$A$9,0))="","",INDEX('C_jama.2024.27643'!$H$2:$H$9,MATCH("2025::jama.2024.27643::C007",'C_jama.2024.27643'!$A$2:$A$9,0))),"not_applicable"),"NOT FROZEN")</x:f>
        <x:v>not_applicable</x:v>
      </x:c>
      <x:c r="E16" s="6" t="str">
        <x:f>IF(Setup!$B$6="primary",IF(AND(INDEX('C_jama.2024.27643'!$D$2:$D$9,MATCH("2025::jama.2024.27643::C007",'C_jama.2024.27643'!$A$2:$A$9,0))="retain",INDEX('C_jama.2024.27643'!$E$2:$E$9,MATCH("2025::jama.2024.27643::C007",'C_jama.2024.27643'!$A$2:$A$9,0))="statistical_results"),IF(INDEX('C_jama.2024.27643'!$I$2:$I$9,MATCH("2025::jama.2024.27643::C007",'C_jama.2024.27643'!$A$2:$A$9,0))="","",INDEX('C_jama.2024.27643'!$I$2:$I$9,MATCH("2025::jama.2024.27643::C007",'C_jama.2024.27643'!$A$2:$A$9,0))),"not_applicable"),"NOT FROZEN")</x:f>
        <x:v>not_applicable</x:v>
      </x:c>
      <x:c r="F16" s="6" t="str">
        <x:f>IF(Setup!$B$6="primary",IF(AND(INDEX('C_jama.2024.27643'!$D$2:$D$9,MATCH("2025::jama.2024.27643::C007",'C_jama.2024.27643'!$A$2:$A$9,0))="retain",INDEX('C_jama.2024.27643'!$E$2:$E$9,MATCH("2025::jama.2024.27643::C007",'C_jama.2024.27643'!$A$2:$A$9,0))="statistical_results"),IF(INDEX('C_jama.2024.27643'!$J$2:$J$9,MATCH("2025::jama.2024.27643::C007",'C_jama.2024.27643'!$A$2:$A$9,0))="","",INDEX('C_jama.2024.27643'!$J$2:$J$9,MATCH("2025::jama.2024.27643::C007",'C_jama.2024.27643'!$A$2:$A$9,0))),"not_applicable"),"NOT FROZEN")</x:f>
        <x:v>not_applicable</x:v>
      </x:c>
      <x:c r="G16" s="6" t="str">
        <x:f>IF(Setup!$B$6="primary",IF(AND(INDEX('C_jama.2024.27643'!$D$2:$D$9,MATCH("2025::jama.2024.27643::C007",'C_jama.2024.27643'!$A$2:$A$9,0))="retain",OR(INDEX('C_jama.2024.27643'!$E$2:$E$9,MATCH("2025::jama.2024.27643::C007",'C_jama.2024.27643'!$A$2:$A$9,0))="report_internal_inconsistency",INDEX('C_jama.2024.27643'!$E$2:$E$9,MATCH("2025::jama.2024.27643::C007",'C_jama.2024.27643'!$A$2:$A$9,0))="plan_material")),IF(INDEX('C_jama.2024.27643'!$K$2:$K$9,MATCH("2025::jama.2024.27643::C007",'C_jama.2024.27643'!$A$2:$A$9,0))="","",INDEX('C_jama.2024.27643'!$K$2:$K$9,MATCH("2025::jama.2024.27643::C007",'C_jama.2024.27643'!$A$2:$A$9,0))),"not_applicable"),"NOT FROZEN")</x:f>
        <x:v>not_applicable</x:v>
      </x:c>
      <x:c r="H16" s="6" t="str">
        <x:f>IF(Setup!$B$6="primary",IF(AND(INDEX('C_jama.2024.27643'!$D$2:$D$9,MATCH("2025::jama.2024.27643::C007",'C_jama.2024.27643'!$A$2:$A$9,0))="retain",INDEX('C_jama.2024.27643'!$E$2:$E$9,MATCH("2025::jama.2024.27643::C007",'C_jama.2024.27643'!$A$2:$A$9,0))="protocol_report"),IF(INDEX('C_jama.2024.27643'!$L$2:$L$9,MATCH("2025::jama.2024.27643::C007",'C_jama.2024.27643'!$A$2:$A$9,0))="","",INDEX('C_jama.2024.27643'!$L$2:$L$9,MATCH("2025::jama.2024.27643::C007",'C_jama.2024.27643'!$A$2:$A$9,0))),"not_applicable"),"NOT FROZEN")</x:f>
        <x:v>not_applicable</x:v>
      </x:c>
      <x:c r="I16" s="6" t="str">
        <x:f>IF(Setup!$B$6="primary",IF(INDEX('C_jama.2024.27643'!$R$2:$R$9,MATCH("2025::jama.2024.27643::C007",'C_jama.2024.27643'!$A$2:$A$9,0))="","",INDEX('C_jama.2024.27643'!$R$2:$R$9,MATCH("2025::jama.2024.27643::C007",'C_jama.2024.27643'!$A$2:$A$9,0))),"NOT FROZEN")</x:f>
      </x:c>
      <x:c r="J16" s="6" t="str">
        <x:f>IF(Setup!$B$6="primary",INDEX('C_jama.2024.27643'!$F$2:$F$9,MATCH("2025::jama.2024.27643::C007",'C_jama.2024.27643'!$A$2:$A$9,0)),"NOT FROZEN")</x:f>
        <x:v>no</x:v>
      </x:c>
      <x:c r="K16" s="6" t="str">
        <x:f>IF(Setup!$B$6="primary",Setup!$B$2,"NOT FROZEN")</x:f>
      </x:c>
      <x:c r="L16" s="6" t="str">
        <x:f>IF(Setup!$B$6="primary",IF(OR(B16="",B16="not_applicable"),"","Disposition: "&amp;B16&amp;CHAR(10))&amp;IF(OR(C16="",C16="not_applicable"),"","Review domain: "&amp;C16&amp;CHAR(10))&amp;IF(OR(D16="",D16="not_applicable"),"","Statistcal_or_numerical issue: "&amp;D16&amp;CHAR(10))&amp;IF(OR(E16="",E16="not_applicable"),"","Substantiveness: "&amp;E16&amp;CHAR(10))&amp;IF(OR(F16="",F16="not_applicable"),"","Downstream impact: "&amp;F16&amp;CHAR(10))&amp;IF(OR(G16="",G16="not_applicable"),"","Report-internal or planning-material inconsistency: "&amp;G16&amp;CHAR(10))&amp;IF(OR(H16="",H16="not_applicable"),"","Protocol interpretation: "&amp;H16&amp;CHAR(10))&amp;IF(OR(I16="",I16="not_applicable"),"","Notes (optional): "&amp;I16&amp;CHAR(10)),"NOT FROZEN")</x:f>
        <x:v>Review domain: report_internal_inconsistency
</x:v>
      </x:c>
    </x:row>
    <x:row r="17" ht="70" customHeight="1">
      <x:c r="A17" s="3" t="str">
        <x:f>IF(Setup!$B$6="primary","2025::jama.2024.27643::C008","NOT FROZEN")</x:f>
        <x:v>2025::jama.2024.27643::C008</x:v>
      </x:c>
      <x:c r="B17" s="3" t="str">
        <x:f>IF(Setup!$B$6="primary",IF(INDEX('C_jama.2024.27643'!$D$2:$D$9,MATCH("2025::jama.2024.27643::C008",'C_jama.2024.27643'!$A$2:$A$9,0))="","",INDEX('C_jama.2024.27643'!$D$2:$D$9,MATCH("2025::jama.2024.27643::C008",'C_jama.2024.27643'!$A$2:$A$9,0))),"NOT FROZEN")</x:f>
      </x:c>
      <x:c r="C17" s="3" t="str">
        <x:f>IF(Setup!$B$6="primary",IF(INDEX('C_jama.2024.27643'!$E$2:$E$9,MATCH("2025::jama.2024.27643::C008",'C_jama.2024.27643'!$A$2:$A$9,0))="","",INDEX('C_jama.2024.27643'!$E$2:$E$9,MATCH("2025::jama.2024.27643::C008",'C_jama.2024.27643'!$A$2:$A$9,0))),"NOT FROZEN")</x:f>
        <x:v>statistical_results</x:v>
      </x:c>
      <x:c r="D17" s="3" t="str">
        <x:f>IF(Setup!$B$6="primary",IF(AND(INDEX('C_jama.2024.27643'!$D$2:$D$9,MATCH("2025::jama.2024.27643::C008",'C_jama.2024.27643'!$A$2:$A$9,0))="retain",INDEX('C_jama.2024.27643'!$E$2:$E$9,MATCH("2025::jama.2024.27643::C008",'C_jama.2024.27643'!$A$2:$A$9,0))="statistical_results"),IF(INDEX('C_jama.2024.27643'!$H$2:$H$9,MATCH("2025::jama.2024.27643::C008",'C_jama.2024.27643'!$A$2:$A$9,0))="","",INDEX('C_jama.2024.27643'!$H$2:$H$9,MATCH("2025::jama.2024.27643::C008",'C_jama.2024.27643'!$A$2:$A$9,0))),"not_applicable"),"NOT FROZEN")</x:f>
        <x:v>not_applicable</x:v>
      </x:c>
      <x:c r="E17" s="3" t="str">
        <x:f>IF(Setup!$B$6="primary",IF(AND(INDEX('C_jama.2024.27643'!$D$2:$D$9,MATCH("2025::jama.2024.27643::C008",'C_jama.2024.27643'!$A$2:$A$9,0))="retain",INDEX('C_jama.2024.27643'!$E$2:$E$9,MATCH("2025::jama.2024.27643::C008",'C_jama.2024.27643'!$A$2:$A$9,0))="statistical_results"),IF(INDEX('C_jama.2024.27643'!$I$2:$I$9,MATCH("2025::jama.2024.27643::C008",'C_jama.2024.27643'!$A$2:$A$9,0))="","",INDEX('C_jama.2024.27643'!$I$2:$I$9,MATCH("2025::jama.2024.27643::C008",'C_jama.2024.27643'!$A$2:$A$9,0))),"not_applicable"),"NOT FROZEN")</x:f>
        <x:v>not_applicable</x:v>
      </x:c>
      <x:c r="F17" s="3" t="str">
        <x:f>IF(Setup!$B$6="primary",IF(AND(INDEX('C_jama.2024.27643'!$D$2:$D$9,MATCH("2025::jama.2024.27643::C008",'C_jama.2024.27643'!$A$2:$A$9,0))="retain",INDEX('C_jama.2024.27643'!$E$2:$E$9,MATCH("2025::jama.2024.27643::C008",'C_jama.2024.27643'!$A$2:$A$9,0))="statistical_results"),IF(INDEX('C_jama.2024.27643'!$J$2:$J$9,MATCH("2025::jama.2024.27643::C008",'C_jama.2024.27643'!$A$2:$A$9,0))="","",INDEX('C_jama.2024.27643'!$J$2:$J$9,MATCH("2025::jama.2024.27643::C008",'C_jama.2024.27643'!$A$2:$A$9,0))),"not_applicable"),"NOT FROZEN")</x:f>
        <x:v>not_applicable</x:v>
      </x:c>
      <x:c r="G17" s="3" t="str">
        <x:f>IF(Setup!$B$6="primary",IF(AND(INDEX('C_jama.2024.27643'!$D$2:$D$9,MATCH("2025::jama.2024.27643::C008",'C_jama.2024.27643'!$A$2:$A$9,0))="retain",OR(INDEX('C_jama.2024.27643'!$E$2:$E$9,MATCH("2025::jama.2024.27643::C008",'C_jama.2024.27643'!$A$2:$A$9,0))="report_internal_inconsistency",INDEX('C_jama.2024.27643'!$E$2:$E$9,MATCH("2025::jama.2024.27643::C008",'C_jama.2024.27643'!$A$2:$A$9,0))="plan_material")),IF(INDEX('C_jama.2024.27643'!$K$2:$K$9,MATCH("2025::jama.2024.27643::C008",'C_jama.2024.27643'!$A$2:$A$9,0))="","",INDEX('C_jama.2024.27643'!$K$2:$K$9,MATCH("2025::jama.2024.27643::C008",'C_jama.2024.27643'!$A$2:$A$9,0))),"not_applicable"),"NOT FROZEN")</x:f>
        <x:v>not_applicable</x:v>
      </x:c>
      <x:c r="H17" s="3" t="str">
        <x:f>IF(Setup!$B$6="primary",IF(AND(INDEX('C_jama.2024.27643'!$D$2:$D$9,MATCH("2025::jama.2024.27643::C008",'C_jama.2024.27643'!$A$2:$A$9,0))="retain",INDEX('C_jama.2024.27643'!$E$2:$E$9,MATCH("2025::jama.2024.27643::C008",'C_jama.2024.27643'!$A$2:$A$9,0))="protocol_report"),IF(INDEX('C_jama.2024.27643'!$L$2:$L$9,MATCH("2025::jama.2024.27643::C008",'C_jama.2024.27643'!$A$2:$A$9,0))="","",INDEX('C_jama.2024.27643'!$L$2:$L$9,MATCH("2025::jama.2024.27643::C008",'C_jama.2024.27643'!$A$2:$A$9,0))),"not_applicable"),"NOT FROZEN")</x:f>
        <x:v>not_applicable</x:v>
      </x:c>
      <x:c r="I17" s="3" t="str">
        <x:f>IF(Setup!$B$6="primary",IF(INDEX('C_jama.2024.27643'!$R$2:$R$9,MATCH("2025::jama.2024.27643::C008",'C_jama.2024.27643'!$A$2:$A$9,0))="","",INDEX('C_jama.2024.27643'!$R$2:$R$9,MATCH("2025::jama.2024.27643::C008",'C_jama.2024.27643'!$A$2:$A$9,0))),"NOT FROZEN")</x:f>
      </x:c>
      <x:c r="J17" s="3" t="str">
        <x:f>IF(Setup!$B$6="primary",INDEX('C_jama.2024.27643'!$F$2:$F$9,MATCH("2025::jama.2024.27643::C008",'C_jama.2024.27643'!$A$2:$A$9,0)),"NOT FROZEN")</x:f>
        <x:v>no</x:v>
      </x:c>
      <x:c r="K17" s="3" t="str">
        <x:f>IF(Setup!$B$6="primary",Setup!$B$2,"NOT FROZEN")</x:f>
      </x:c>
      <x:c r="L17" s="3" t="str">
        <x:f>IF(Setup!$B$6="primary",IF(OR(B17="",B17="not_applicable"),"","Disposition: "&amp;B17&amp;CHAR(10))&amp;IF(OR(C17="",C17="not_applicable"),"","Review domain: "&amp;C17&amp;CHAR(10))&amp;IF(OR(D17="",D17="not_applicable"),"","Statistcal_or_numerical issue: "&amp;D17&amp;CHAR(10))&amp;IF(OR(E17="",E17="not_applicable"),"","Substantiveness: "&amp;E17&amp;CHAR(10))&amp;IF(OR(F17="",F17="not_applicable"),"","Downstream impact: "&amp;F17&amp;CHAR(10))&amp;IF(OR(G17="",G17="not_applicable"),"","Report-internal or planning-material inconsistency: "&amp;G17&amp;CHAR(10))&amp;IF(OR(H17="",H17="not_applicable"),"","Protocol interpretation: "&amp;H17&amp;CHAR(10))&amp;IF(OR(I17="",I17="not_applicable"),"","Notes (optional): "&amp;I17&amp;CHAR(10)),"NOT FROZEN")</x:f>
        <x:v>Review domain: statistical_results
</x:v>
      </x:c>
    </x:row>
    <x:row r="18" ht="70" customHeight="1">
      <x:c r="A18" s="6" t="str">
        <x:f>IF(Setup!$B$6="primary","2025::jama.2025.11178::C001","NOT FROZEN")</x:f>
        <x:v>2025::jama.2025.11178::C001</x:v>
      </x:c>
      <x:c r="B18" s="6" t="str">
        <x:f>IF(Setup!$B$6="primary",IF(INDEX('C_jama.2025.11178'!$D$2:$D$38,MATCH("2025::jama.2025.11178::C001",'C_jama.2025.11178'!$A$2:$A$38,0))="","",INDEX('C_jama.2025.11178'!$D$2:$D$38,MATCH("2025::jama.2025.11178::C001",'C_jama.2025.11178'!$A$2:$A$38,0))),"NOT FROZEN")</x:f>
      </x:c>
      <x:c r="C18" s="6" t="str">
        <x:f>IF(Setup!$B$6="primary",IF(INDEX('C_jama.2025.11178'!$E$2:$E$38,MATCH("2025::jama.2025.11178::C001",'C_jama.2025.11178'!$A$2:$A$38,0))="","",INDEX('C_jama.2025.11178'!$E$2:$E$38,MATCH("2025::jama.2025.11178::C001",'C_jama.2025.11178'!$A$2:$A$38,0))),"NOT FROZEN")</x:f>
        <x:v>statistical_results</x:v>
      </x:c>
      <x:c r="D18" s="6" t="str">
        <x:f>IF(Setup!$B$6="primary",IF(AND(INDEX('C_jama.2025.11178'!$D$2:$D$38,MATCH("2025::jama.2025.11178::C001",'C_jama.2025.11178'!$A$2:$A$38,0))="retain",INDEX('C_jama.2025.11178'!$E$2:$E$38,MATCH("2025::jama.2025.11178::C001",'C_jama.2025.11178'!$A$2:$A$38,0))="statistical_results"),IF(INDEX('C_jama.2025.11178'!$H$2:$H$38,MATCH("2025::jama.2025.11178::C001",'C_jama.2025.11178'!$A$2:$A$38,0))="","",INDEX('C_jama.2025.11178'!$H$2:$H$38,MATCH("2025::jama.2025.11178::C001",'C_jama.2025.11178'!$A$2:$A$38,0))),"not_applicable"),"NOT FROZEN")</x:f>
        <x:v>not_applicable</x:v>
      </x:c>
      <x:c r="E18" s="6" t="str">
        <x:f>IF(Setup!$B$6="primary",IF(AND(INDEX('C_jama.2025.11178'!$D$2:$D$38,MATCH("2025::jama.2025.11178::C001",'C_jama.2025.11178'!$A$2:$A$38,0))="retain",INDEX('C_jama.2025.11178'!$E$2:$E$38,MATCH("2025::jama.2025.11178::C001",'C_jama.2025.11178'!$A$2:$A$38,0))="statistical_results"),IF(INDEX('C_jama.2025.11178'!$I$2:$I$38,MATCH("2025::jama.2025.11178::C001",'C_jama.2025.11178'!$A$2:$A$38,0))="","",INDEX('C_jama.2025.11178'!$I$2:$I$38,MATCH("2025::jama.2025.11178::C001",'C_jama.2025.11178'!$A$2:$A$38,0))),"not_applicable"),"NOT FROZEN")</x:f>
        <x:v>not_applicable</x:v>
      </x:c>
      <x:c r="F18" s="6" t="str">
        <x:f>IF(Setup!$B$6="primary",IF(AND(INDEX('C_jama.2025.11178'!$D$2:$D$38,MATCH("2025::jama.2025.11178::C001",'C_jama.2025.11178'!$A$2:$A$38,0))="retain",INDEX('C_jama.2025.11178'!$E$2:$E$38,MATCH("2025::jama.2025.11178::C001",'C_jama.2025.11178'!$A$2:$A$38,0))="statistical_results"),IF(INDEX('C_jama.2025.11178'!$J$2:$J$38,MATCH("2025::jama.2025.11178::C001",'C_jama.2025.11178'!$A$2:$A$38,0))="","",INDEX('C_jama.2025.11178'!$J$2:$J$38,MATCH("2025::jama.2025.11178::C001",'C_jama.2025.11178'!$A$2:$A$38,0))),"not_applicable"),"NOT FROZEN")</x:f>
        <x:v>not_applicable</x:v>
      </x:c>
      <x:c r="G18" s="6" t="str">
        <x:f>IF(Setup!$B$6="primary",IF(AND(INDEX('C_jama.2025.11178'!$D$2:$D$38,MATCH("2025::jama.2025.11178::C001",'C_jama.2025.11178'!$A$2:$A$38,0))="retain",OR(INDEX('C_jama.2025.11178'!$E$2:$E$38,MATCH("2025::jama.2025.11178::C001",'C_jama.2025.11178'!$A$2:$A$38,0))="report_internal_inconsistency",INDEX('C_jama.2025.11178'!$E$2:$E$38,MATCH("2025::jama.2025.11178::C001",'C_jama.2025.11178'!$A$2:$A$38,0))="plan_material")),IF(INDEX('C_jama.2025.11178'!$K$2:$K$38,MATCH("2025::jama.2025.11178::C001",'C_jama.2025.11178'!$A$2:$A$38,0))="","",INDEX('C_jama.2025.11178'!$K$2:$K$38,MATCH("2025::jama.2025.11178::C001",'C_jama.2025.11178'!$A$2:$A$38,0))),"not_applicable"),"NOT FROZEN")</x:f>
        <x:v>not_applicable</x:v>
      </x:c>
      <x:c r="H18" s="6" t="str">
        <x:f>IF(Setup!$B$6="primary",IF(AND(INDEX('C_jama.2025.11178'!$D$2:$D$38,MATCH("2025::jama.2025.11178::C001",'C_jama.2025.11178'!$A$2:$A$38,0))="retain",INDEX('C_jama.2025.11178'!$E$2:$E$38,MATCH("2025::jama.2025.11178::C001",'C_jama.2025.11178'!$A$2:$A$38,0))="protocol_report"),IF(INDEX('C_jama.2025.11178'!$L$2:$L$38,MATCH("2025::jama.2025.11178::C001",'C_jama.2025.11178'!$A$2:$A$38,0))="","",INDEX('C_jama.2025.11178'!$L$2:$L$38,MATCH("2025::jama.2025.11178::C001",'C_jama.2025.11178'!$A$2:$A$38,0))),"not_applicable"),"NOT FROZEN")</x:f>
        <x:v>not_applicable</x:v>
      </x:c>
      <x:c r="I18" s="6" t="str">
        <x:f>IF(Setup!$B$6="primary",IF(INDEX('C_jama.2025.11178'!$R$2:$R$38,MATCH("2025::jama.2025.11178::C001",'C_jama.2025.11178'!$A$2:$A$38,0))="","",INDEX('C_jama.2025.11178'!$R$2:$R$38,MATCH("2025::jama.2025.11178::C001",'C_jama.2025.11178'!$A$2:$A$38,0))),"NOT FROZEN")</x:f>
      </x:c>
      <x:c r="J18" s="6" t="str">
        <x:f>IF(Setup!$B$6="primary",INDEX('C_jama.2025.11178'!$F$2:$F$38,MATCH("2025::jama.2025.11178::C001",'C_jama.2025.11178'!$A$2:$A$38,0)),"NOT FROZEN")</x:f>
        <x:v>no</x:v>
      </x:c>
      <x:c r="K18" s="6" t="str">
        <x:f>IF(Setup!$B$6="primary",Setup!$B$2,"NOT FROZEN")</x:f>
      </x:c>
      <x:c r="L18" s="6" t="str">
        <x:f>IF(Setup!$B$6="primary",IF(OR(B18="",B18="not_applicable"),"","Disposition: "&amp;B18&amp;CHAR(10))&amp;IF(OR(C18="",C18="not_applicable"),"","Review domain: "&amp;C18&amp;CHAR(10))&amp;IF(OR(D18="",D18="not_applicable"),"","Statistcal_or_numerical issue: "&amp;D18&amp;CHAR(10))&amp;IF(OR(E18="",E18="not_applicable"),"","Substantiveness: "&amp;E18&amp;CHAR(10))&amp;IF(OR(F18="",F18="not_applicable"),"","Downstream impact: "&amp;F18&amp;CHAR(10))&amp;IF(OR(G18="",G18="not_applicable"),"","Report-internal or planning-material inconsistency: "&amp;G18&amp;CHAR(10))&amp;IF(OR(H18="",H18="not_applicable"),"","Protocol interpretation: "&amp;H18&amp;CHAR(10))&amp;IF(OR(I18="",I18="not_applicable"),"","Notes (optional): "&amp;I18&amp;CHAR(10)),"NOT FROZEN")</x:f>
        <x:v>Review domain: statistical_results
</x:v>
      </x:c>
    </x:row>
    <x:row r="19" ht="70" customHeight="1">
      <x:c r="A19" s="3" t="str">
        <x:f>IF(Setup!$B$6="primary","2025::jama.2025.11178::C002","NOT FROZEN")</x:f>
        <x:v>2025::jama.2025.11178::C002</x:v>
      </x:c>
      <x:c r="B19" s="3" t="str">
        <x:f>IF(Setup!$B$6="primary",IF(INDEX('C_jama.2025.11178'!$D$2:$D$38,MATCH("2025::jama.2025.11178::C002",'C_jama.2025.11178'!$A$2:$A$38,0))="","",INDEX('C_jama.2025.11178'!$D$2:$D$38,MATCH("2025::jama.2025.11178::C002",'C_jama.2025.11178'!$A$2:$A$38,0))),"NOT FROZEN")</x:f>
      </x:c>
      <x:c r="C19" s="3" t="str">
        <x:f>IF(Setup!$B$6="primary",IF(INDEX('C_jama.2025.11178'!$E$2:$E$38,MATCH("2025::jama.2025.11178::C002",'C_jama.2025.11178'!$A$2:$A$38,0))="","",INDEX('C_jama.2025.11178'!$E$2:$E$38,MATCH("2025::jama.2025.11178::C002",'C_jama.2025.11178'!$A$2:$A$38,0))),"NOT FROZEN")</x:f>
        <x:v>statistical_results</x:v>
      </x:c>
      <x:c r="D19" s="3" t="str">
        <x:f>IF(Setup!$B$6="primary",IF(AND(INDEX('C_jama.2025.11178'!$D$2:$D$38,MATCH("2025::jama.2025.11178::C002",'C_jama.2025.11178'!$A$2:$A$38,0))="retain",INDEX('C_jama.2025.11178'!$E$2:$E$38,MATCH("2025::jama.2025.11178::C002",'C_jama.2025.11178'!$A$2:$A$38,0))="statistical_results"),IF(INDEX('C_jama.2025.11178'!$H$2:$H$38,MATCH("2025::jama.2025.11178::C002",'C_jama.2025.11178'!$A$2:$A$38,0))="","",INDEX('C_jama.2025.11178'!$H$2:$H$38,MATCH("2025::jama.2025.11178::C002",'C_jama.2025.11178'!$A$2:$A$38,0))),"not_applicable"),"NOT FROZEN")</x:f>
        <x:v>not_applicable</x:v>
      </x:c>
      <x:c r="E19" s="3" t="str">
        <x:f>IF(Setup!$B$6="primary",IF(AND(INDEX('C_jama.2025.11178'!$D$2:$D$38,MATCH("2025::jama.2025.11178::C002",'C_jama.2025.11178'!$A$2:$A$38,0))="retain",INDEX('C_jama.2025.11178'!$E$2:$E$38,MATCH("2025::jama.2025.11178::C002",'C_jama.2025.11178'!$A$2:$A$38,0))="statistical_results"),IF(INDEX('C_jama.2025.11178'!$I$2:$I$38,MATCH("2025::jama.2025.11178::C002",'C_jama.2025.11178'!$A$2:$A$38,0))="","",INDEX('C_jama.2025.11178'!$I$2:$I$38,MATCH("2025::jama.2025.11178::C002",'C_jama.2025.11178'!$A$2:$A$38,0))),"not_applicable"),"NOT FROZEN")</x:f>
        <x:v>not_applicable</x:v>
      </x:c>
      <x:c r="F19" s="3" t="str">
        <x:f>IF(Setup!$B$6="primary",IF(AND(INDEX('C_jama.2025.11178'!$D$2:$D$38,MATCH("2025::jama.2025.11178::C002",'C_jama.2025.11178'!$A$2:$A$38,0))="retain",INDEX('C_jama.2025.11178'!$E$2:$E$38,MATCH("2025::jama.2025.11178::C002",'C_jama.2025.11178'!$A$2:$A$38,0))="statistical_results"),IF(INDEX('C_jama.2025.11178'!$J$2:$J$38,MATCH("2025::jama.2025.11178::C002",'C_jama.2025.11178'!$A$2:$A$38,0))="","",INDEX('C_jama.2025.11178'!$J$2:$J$38,MATCH("2025::jama.2025.11178::C002",'C_jama.2025.11178'!$A$2:$A$38,0))),"not_applicable"),"NOT FROZEN")</x:f>
        <x:v>not_applicable</x:v>
      </x:c>
      <x:c r="G19" s="3" t="str">
        <x:f>IF(Setup!$B$6="primary",IF(AND(INDEX('C_jama.2025.11178'!$D$2:$D$38,MATCH("2025::jama.2025.11178::C002",'C_jama.2025.11178'!$A$2:$A$38,0))="retain",OR(INDEX('C_jama.2025.11178'!$E$2:$E$38,MATCH("2025::jama.2025.11178::C002",'C_jama.2025.11178'!$A$2:$A$38,0))="report_internal_inconsistency",INDEX('C_jama.2025.11178'!$E$2:$E$38,MATCH("2025::jama.2025.11178::C002",'C_jama.2025.11178'!$A$2:$A$38,0))="plan_material")),IF(INDEX('C_jama.2025.11178'!$K$2:$K$38,MATCH("2025::jama.2025.11178::C002",'C_jama.2025.11178'!$A$2:$A$38,0))="","",INDEX('C_jama.2025.11178'!$K$2:$K$38,MATCH("2025::jama.2025.11178::C002",'C_jama.2025.11178'!$A$2:$A$38,0))),"not_applicable"),"NOT FROZEN")</x:f>
        <x:v>not_applicable</x:v>
      </x:c>
      <x:c r="H19" s="3" t="str">
        <x:f>IF(Setup!$B$6="primary",IF(AND(INDEX('C_jama.2025.11178'!$D$2:$D$38,MATCH("2025::jama.2025.11178::C002",'C_jama.2025.11178'!$A$2:$A$38,0))="retain",INDEX('C_jama.2025.11178'!$E$2:$E$38,MATCH("2025::jama.2025.11178::C002",'C_jama.2025.11178'!$A$2:$A$38,0))="protocol_report"),IF(INDEX('C_jama.2025.11178'!$L$2:$L$38,MATCH("2025::jama.2025.11178::C002",'C_jama.2025.11178'!$A$2:$A$38,0))="","",INDEX('C_jama.2025.11178'!$L$2:$L$38,MATCH("2025::jama.2025.11178::C002",'C_jama.2025.11178'!$A$2:$A$38,0))),"not_applicable"),"NOT FROZEN")</x:f>
        <x:v>not_applicable</x:v>
      </x:c>
      <x:c r="I19" s="3" t="str">
        <x:f>IF(Setup!$B$6="primary",IF(INDEX('C_jama.2025.11178'!$R$2:$R$38,MATCH("2025::jama.2025.11178::C002",'C_jama.2025.11178'!$A$2:$A$38,0))="","",INDEX('C_jama.2025.11178'!$R$2:$R$38,MATCH("2025::jama.2025.11178::C002",'C_jama.2025.11178'!$A$2:$A$38,0))),"NOT FROZEN")</x:f>
      </x:c>
      <x:c r="J19" s="3" t="str">
        <x:f>IF(Setup!$B$6="primary",INDEX('C_jama.2025.11178'!$F$2:$F$38,MATCH("2025::jama.2025.11178::C002",'C_jama.2025.11178'!$A$2:$A$38,0)),"NOT FROZEN")</x:f>
        <x:v>no</x:v>
      </x:c>
      <x:c r="K19" s="3" t="str">
        <x:f>IF(Setup!$B$6="primary",Setup!$B$2,"NOT FROZEN")</x:f>
      </x:c>
      <x:c r="L19" s="3" t="str">
        <x:f>IF(Setup!$B$6="primary",IF(OR(B19="",B19="not_applicable"),"","Disposition: "&amp;B19&amp;CHAR(10))&amp;IF(OR(C19="",C19="not_applicable"),"","Review domain: "&amp;C19&amp;CHAR(10))&amp;IF(OR(D19="",D19="not_applicable"),"","Statistcal_or_numerical issue: "&amp;D19&amp;CHAR(10))&amp;IF(OR(E19="",E19="not_applicable"),"","Substantiveness: "&amp;E19&amp;CHAR(10))&amp;IF(OR(F19="",F19="not_applicable"),"","Downstream impact: "&amp;F19&amp;CHAR(10))&amp;IF(OR(G19="",G19="not_applicable"),"","Report-internal or planning-material inconsistency: "&amp;G19&amp;CHAR(10))&amp;IF(OR(H19="",H19="not_applicable"),"","Protocol interpretation: "&amp;H19&amp;CHAR(10))&amp;IF(OR(I19="",I19="not_applicable"),"","Notes (optional): "&amp;I19&amp;CHAR(10)),"NOT FROZEN")</x:f>
        <x:v>Review domain: statistical_results
</x:v>
      </x:c>
    </x:row>
    <x:row r="20" ht="70" customHeight="1">
      <x:c r="A20" s="6" t="str">
        <x:f>IF(Setup!$B$6="primary","2025::jama.2025.11178::C003","NOT FROZEN")</x:f>
        <x:v>2025::jama.2025.11178::C003</x:v>
      </x:c>
      <x:c r="B20" s="6" t="str">
        <x:f>IF(Setup!$B$6="primary",IF(INDEX('C_jama.2025.11178'!$D$2:$D$38,MATCH("2025::jama.2025.11178::C003",'C_jama.2025.11178'!$A$2:$A$38,0))="","",INDEX('C_jama.2025.11178'!$D$2:$D$38,MATCH("2025::jama.2025.11178::C003",'C_jama.2025.11178'!$A$2:$A$38,0))),"NOT FROZEN")</x:f>
      </x:c>
      <x:c r="C20" s="6" t="str">
        <x:f>IF(Setup!$B$6="primary",IF(INDEX('C_jama.2025.11178'!$E$2:$E$38,MATCH("2025::jama.2025.11178::C003",'C_jama.2025.11178'!$A$2:$A$38,0))="","",INDEX('C_jama.2025.11178'!$E$2:$E$38,MATCH("2025::jama.2025.11178::C003",'C_jama.2025.11178'!$A$2:$A$38,0))),"NOT FROZEN")</x:f>
        <x:v>statistical_results</x:v>
      </x:c>
      <x:c r="D20" s="6" t="str">
        <x:f>IF(Setup!$B$6="primary",IF(AND(INDEX('C_jama.2025.11178'!$D$2:$D$38,MATCH("2025::jama.2025.11178::C003",'C_jama.2025.11178'!$A$2:$A$38,0))="retain",INDEX('C_jama.2025.11178'!$E$2:$E$38,MATCH("2025::jama.2025.11178::C003",'C_jama.2025.11178'!$A$2:$A$38,0))="statistical_results"),IF(INDEX('C_jama.2025.11178'!$H$2:$H$38,MATCH("2025::jama.2025.11178::C003",'C_jama.2025.11178'!$A$2:$A$38,0))="","",INDEX('C_jama.2025.11178'!$H$2:$H$38,MATCH("2025::jama.2025.11178::C003",'C_jama.2025.11178'!$A$2:$A$38,0))),"not_applicable"),"NOT FROZEN")</x:f>
        <x:v>not_applicable</x:v>
      </x:c>
      <x:c r="E20" s="6" t="str">
        <x:f>IF(Setup!$B$6="primary",IF(AND(INDEX('C_jama.2025.11178'!$D$2:$D$38,MATCH("2025::jama.2025.11178::C003",'C_jama.2025.11178'!$A$2:$A$38,0))="retain",INDEX('C_jama.2025.11178'!$E$2:$E$38,MATCH("2025::jama.2025.11178::C003",'C_jama.2025.11178'!$A$2:$A$38,0))="statistical_results"),IF(INDEX('C_jama.2025.11178'!$I$2:$I$38,MATCH("2025::jama.2025.11178::C003",'C_jama.2025.11178'!$A$2:$A$38,0))="","",INDEX('C_jama.2025.11178'!$I$2:$I$38,MATCH("2025::jama.2025.11178::C003",'C_jama.2025.11178'!$A$2:$A$38,0))),"not_applicable"),"NOT FROZEN")</x:f>
        <x:v>not_applicable</x:v>
      </x:c>
      <x:c r="F20" s="6" t="str">
        <x:f>IF(Setup!$B$6="primary",IF(AND(INDEX('C_jama.2025.11178'!$D$2:$D$38,MATCH("2025::jama.2025.11178::C003",'C_jama.2025.11178'!$A$2:$A$38,0))="retain",INDEX('C_jama.2025.11178'!$E$2:$E$38,MATCH("2025::jama.2025.11178::C003",'C_jama.2025.11178'!$A$2:$A$38,0))="statistical_results"),IF(INDEX('C_jama.2025.11178'!$J$2:$J$38,MATCH("2025::jama.2025.11178::C003",'C_jama.2025.11178'!$A$2:$A$38,0))="","",INDEX('C_jama.2025.11178'!$J$2:$J$38,MATCH("2025::jama.2025.11178::C003",'C_jama.2025.11178'!$A$2:$A$38,0))),"not_applicable"),"NOT FROZEN")</x:f>
        <x:v>not_applicable</x:v>
      </x:c>
      <x:c r="G20" s="6" t="str">
        <x:f>IF(Setup!$B$6="primary",IF(AND(INDEX('C_jama.2025.11178'!$D$2:$D$38,MATCH("2025::jama.2025.11178::C003",'C_jama.2025.11178'!$A$2:$A$38,0))="retain",OR(INDEX('C_jama.2025.11178'!$E$2:$E$38,MATCH("2025::jama.2025.11178::C003",'C_jama.2025.11178'!$A$2:$A$38,0))="report_internal_inconsistency",INDEX('C_jama.2025.11178'!$E$2:$E$38,MATCH("2025::jama.2025.11178::C003",'C_jama.2025.11178'!$A$2:$A$38,0))="plan_material")),IF(INDEX('C_jama.2025.11178'!$K$2:$K$38,MATCH("2025::jama.2025.11178::C003",'C_jama.2025.11178'!$A$2:$A$38,0))="","",INDEX('C_jama.2025.11178'!$K$2:$K$38,MATCH("2025::jama.2025.11178::C003",'C_jama.2025.11178'!$A$2:$A$38,0))),"not_applicable"),"NOT FROZEN")</x:f>
        <x:v>not_applicable</x:v>
      </x:c>
      <x:c r="H20" s="6" t="str">
        <x:f>IF(Setup!$B$6="primary",IF(AND(INDEX('C_jama.2025.11178'!$D$2:$D$38,MATCH("2025::jama.2025.11178::C003",'C_jama.2025.11178'!$A$2:$A$38,0))="retain",INDEX('C_jama.2025.11178'!$E$2:$E$38,MATCH("2025::jama.2025.11178::C003",'C_jama.2025.11178'!$A$2:$A$38,0))="protocol_report"),IF(INDEX('C_jama.2025.11178'!$L$2:$L$38,MATCH("2025::jama.2025.11178::C003",'C_jama.2025.11178'!$A$2:$A$38,0))="","",INDEX('C_jama.2025.11178'!$L$2:$L$38,MATCH("2025::jama.2025.11178::C003",'C_jama.2025.11178'!$A$2:$A$38,0))),"not_applicable"),"NOT FROZEN")</x:f>
        <x:v>not_applicable</x:v>
      </x:c>
      <x:c r="I20" s="6" t="str">
        <x:f>IF(Setup!$B$6="primary",IF(INDEX('C_jama.2025.11178'!$R$2:$R$38,MATCH("2025::jama.2025.11178::C003",'C_jama.2025.11178'!$A$2:$A$38,0))="","",INDEX('C_jama.2025.11178'!$R$2:$R$38,MATCH("2025::jama.2025.11178::C003",'C_jama.2025.11178'!$A$2:$A$38,0))),"NOT FROZEN")</x:f>
      </x:c>
      <x:c r="J20" s="6" t="str">
        <x:f>IF(Setup!$B$6="primary",INDEX('C_jama.2025.11178'!$F$2:$F$38,MATCH("2025::jama.2025.11178::C003",'C_jama.2025.11178'!$A$2:$A$38,0)),"NOT FROZEN")</x:f>
        <x:v>no</x:v>
      </x:c>
      <x:c r="K20" s="6" t="str">
        <x:f>IF(Setup!$B$6="primary",Setup!$B$2,"NOT FROZEN")</x:f>
      </x:c>
      <x:c r="L20" s="6" t="str">
        <x:f>IF(Setup!$B$6="primary",IF(OR(B20="",B20="not_applicable"),"","Disposition: "&amp;B20&amp;CHAR(10))&amp;IF(OR(C20="",C20="not_applicable"),"","Review domain: "&amp;C20&amp;CHAR(10))&amp;IF(OR(D20="",D20="not_applicable"),"","Statistcal_or_numerical issue: "&amp;D20&amp;CHAR(10))&amp;IF(OR(E20="",E20="not_applicable"),"","Substantiveness: "&amp;E20&amp;CHAR(10))&amp;IF(OR(F20="",F20="not_applicable"),"","Downstream impact: "&amp;F20&amp;CHAR(10))&amp;IF(OR(G20="",G20="not_applicable"),"","Report-internal or planning-material inconsistency: "&amp;G20&amp;CHAR(10))&amp;IF(OR(H20="",H20="not_applicable"),"","Protocol interpretation: "&amp;H20&amp;CHAR(10))&amp;IF(OR(I20="",I20="not_applicable"),"","Notes (optional): "&amp;I20&amp;CHAR(10)),"NOT FROZEN")</x:f>
        <x:v>Review domain: statistical_results
</x:v>
      </x:c>
    </x:row>
    <x:row r="21" ht="70" customHeight="1">
      <x:c r="A21" s="3" t="str">
        <x:f>IF(Setup!$B$6="primary","2025::jama.2025.11178::C004","NOT FROZEN")</x:f>
        <x:v>2025::jama.2025.11178::C004</x:v>
      </x:c>
      <x:c r="B21" s="3" t="str">
        <x:f>IF(Setup!$B$6="primary",IF(INDEX('C_jama.2025.11178'!$D$2:$D$38,MATCH("2025::jama.2025.11178::C004",'C_jama.2025.11178'!$A$2:$A$38,0))="","",INDEX('C_jama.2025.11178'!$D$2:$D$38,MATCH("2025::jama.2025.11178::C004",'C_jama.2025.11178'!$A$2:$A$38,0))),"NOT FROZEN")</x:f>
      </x:c>
      <x:c r="C21" s="3" t="str">
        <x:f>IF(Setup!$B$6="primary",IF(INDEX('C_jama.2025.11178'!$E$2:$E$38,MATCH("2025::jama.2025.11178::C004",'C_jama.2025.11178'!$A$2:$A$38,0))="","",INDEX('C_jama.2025.11178'!$E$2:$E$38,MATCH("2025::jama.2025.11178::C004",'C_jama.2025.11178'!$A$2:$A$38,0))),"NOT FROZEN")</x:f>
        <x:v>statistical_results</x:v>
      </x:c>
      <x:c r="D21" s="3" t="str">
        <x:f>IF(Setup!$B$6="primary",IF(AND(INDEX('C_jama.2025.11178'!$D$2:$D$38,MATCH("2025::jama.2025.11178::C004",'C_jama.2025.11178'!$A$2:$A$38,0))="retain",INDEX('C_jama.2025.11178'!$E$2:$E$38,MATCH("2025::jama.2025.11178::C004",'C_jama.2025.11178'!$A$2:$A$38,0))="statistical_results"),IF(INDEX('C_jama.2025.11178'!$H$2:$H$38,MATCH("2025::jama.2025.11178::C004",'C_jama.2025.11178'!$A$2:$A$38,0))="","",INDEX('C_jama.2025.11178'!$H$2:$H$38,MATCH("2025::jama.2025.11178::C004",'C_jama.2025.11178'!$A$2:$A$38,0))),"not_applicable"),"NOT FROZEN")</x:f>
        <x:v>not_applicable</x:v>
      </x:c>
      <x:c r="E21" s="3" t="str">
        <x:f>IF(Setup!$B$6="primary",IF(AND(INDEX('C_jama.2025.11178'!$D$2:$D$38,MATCH("2025::jama.2025.11178::C004",'C_jama.2025.11178'!$A$2:$A$38,0))="retain",INDEX('C_jama.2025.11178'!$E$2:$E$38,MATCH("2025::jama.2025.11178::C004",'C_jama.2025.11178'!$A$2:$A$38,0))="statistical_results"),IF(INDEX('C_jama.2025.11178'!$I$2:$I$38,MATCH("2025::jama.2025.11178::C004",'C_jama.2025.11178'!$A$2:$A$38,0))="","",INDEX('C_jama.2025.11178'!$I$2:$I$38,MATCH("2025::jama.2025.11178::C004",'C_jama.2025.11178'!$A$2:$A$38,0))),"not_applicable"),"NOT FROZEN")</x:f>
        <x:v>not_applicable</x:v>
      </x:c>
      <x:c r="F21" s="3" t="str">
        <x:f>IF(Setup!$B$6="primary",IF(AND(INDEX('C_jama.2025.11178'!$D$2:$D$38,MATCH("2025::jama.2025.11178::C004",'C_jama.2025.11178'!$A$2:$A$38,0))="retain",INDEX('C_jama.2025.11178'!$E$2:$E$38,MATCH("2025::jama.2025.11178::C004",'C_jama.2025.11178'!$A$2:$A$38,0))="statistical_results"),IF(INDEX('C_jama.2025.11178'!$J$2:$J$38,MATCH("2025::jama.2025.11178::C004",'C_jama.2025.11178'!$A$2:$A$38,0))="","",INDEX('C_jama.2025.11178'!$J$2:$J$38,MATCH("2025::jama.2025.11178::C004",'C_jama.2025.11178'!$A$2:$A$38,0))),"not_applicable"),"NOT FROZEN")</x:f>
        <x:v>not_applicable</x:v>
      </x:c>
      <x:c r="G21" s="3" t="str">
        <x:f>IF(Setup!$B$6="primary",IF(AND(INDEX('C_jama.2025.11178'!$D$2:$D$38,MATCH("2025::jama.2025.11178::C004",'C_jama.2025.11178'!$A$2:$A$38,0))="retain",OR(INDEX('C_jama.2025.11178'!$E$2:$E$38,MATCH("2025::jama.2025.11178::C004",'C_jama.2025.11178'!$A$2:$A$38,0))="report_internal_inconsistency",INDEX('C_jama.2025.11178'!$E$2:$E$38,MATCH("2025::jama.2025.11178::C004",'C_jama.2025.11178'!$A$2:$A$38,0))="plan_material")),IF(INDEX('C_jama.2025.11178'!$K$2:$K$38,MATCH("2025::jama.2025.11178::C004",'C_jama.2025.11178'!$A$2:$A$38,0))="","",INDEX('C_jama.2025.11178'!$K$2:$K$38,MATCH("2025::jama.2025.11178::C004",'C_jama.2025.11178'!$A$2:$A$38,0))),"not_applicable"),"NOT FROZEN")</x:f>
        <x:v>not_applicable</x:v>
      </x:c>
      <x:c r="H21" s="3" t="str">
        <x:f>IF(Setup!$B$6="primary",IF(AND(INDEX('C_jama.2025.11178'!$D$2:$D$38,MATCH("2025::jama.2025.11178::C004",'C_jama.2025.11178'!$A$2:$A$38,0))="retain",INDEX('C_jama.2025.11178'!$E$2:$E$38,MATCH("2025::jama.2025.11178::C004",'C_jama.2025.11178'!$A$2:$A$38,0))="protocol_report"),IF(INDEX('C_jama.2025.11178'!$L$2:$L$38,MATCH("2025::jama.2025.11178::C004",'C_jama.2025.11178'!$A$2:$A$38,0))="","",INDEX('C_jama.2025.11178'!$L$2:$L$38,MATCH("2025::jama.2025.11178::C004",'C_jama.2025.11178'!$A$2:$A$38,0))),"not_applicable"),"NOT FROZEN")</x:f>
        <x:v>not_applicable</x:v>
      </x:c>
      <x:c r="I21" s="3" t="str">
        <x:f>IF(Setup!$B$6="primary",IF(INDEX('C_jama.2025.11178'!$R$2:$R$38,MATCH("2025::jama.2025.11178::C004",'C_jama.2025.11178'!$A$2:$A$38,0))="","",INDEX('C_jama.2025.11178'!$R$2:$R$38,MATCH("2025::jama.2025.11178::C004",'C_jama.2025.11178'!$A$2:$A$38,0))),"NOT FROZEN")</x:f>
      </x:c>
      <x:c r="J21" s="3" t="str">
        <x:f>IF(Setup!$B$6="primary",INDEX('C_jama.2025.11178'!$F$2:$F$38,MATCH("2025::jama.2025.11178::C004",'C_jama.2025.11178'!$A$2:$A$38,0)),"NOT FROZEN")</x:f>
        <x:v>no</x:v>
      </x:c>
      <x:c r="K21" s="3" t="str">
        <x:f>IF(Setup!$B$6="primary",Setup!$B$2,"NOT FROZEN")</x:f>
      </x:c>
      <x:c r="L21" s="3" t="str">
        <x:f>IF(Setup!$B$6="primary",IF(OR(B21="",B21="not_applicable"),"","Disposition: "&amp;B21&amp;CHAR(10))&amp;IF(OR(C21="",C21="not_applicable"),"","Review domain: "&amp;C21&amp;CHAR(10))&amp;IF(OR(D21="",D21="not_applicable"),"","Statistcal_or_numerical issue: "&amp;D21&amp;CHAR(10))&amp;IF(OR(E21="",E21="not_applicable"),"","Substantiveness: "&amp;E21&amp;CHAR(10))&amp;IF(OR(F21="",F21="not_applicable"),"","Downstream impact: "&amp;F21&amp;CHAR(10))&amp;IF(OR(G21="",G21="not_applicable"),"","Report-internal or planning-material inconsistency: "&amp;G21&amp;CHAR(10))&amp;IF(OR(H21="",H21="not_applicable"),"","Protocol interpretation: "&amp;H21&amp;CHAR(10))&amp;IF(OR(I21="",I21="not_applicable"),"","Notes (optional): "&amp;I21&amp;CHAR(10)),"NOT FROZEN")</x:f>
        <x:v>Review domain: statistical_results
</x:v>
      </x:c>
    </x:row>
    <x:row r="22" ht="70" customHeight="1">
      <x:c r="A22" s="6" t="str">
        <x:f>IF(Setup!$B$6="primary","2025::jama.2025.11178::C005","NOT FROZEN")</x:f>
        <x:v>2025::jama.2025.11178::C005</x:v>
      </x:c>
      <x:c r="B22" s="6" t="str">
        <x:f>IF(Setup!$B$6="primary",IF(INDEX('C_jama.2025.11178'!$D$2:$D$38,MATCH("2025::jama.2025.11178::C005",'C_jama.2025.11178'!$A$2:$A$38,0))="","",INDEX('C_jama.2025.11178'!$D$2:$D$38,MATCH("2025::jama.2025.11178::C005",'C_jama.2025.11178'!$A$2:$A$38,0))),"NOT FROZEN")</x:f>
      </x:c>
      <x:c r="C22" s="6" t="str">
        <x:f>IF(Setup!$B$6="primary",IF(INDEX('C_jama.2025.11178'!$E$2:$E$38,MATCH("2025::jama.2025.11178::C005",'C_jama.2025.11178'!$A$2:$A$38,0))="","",INDEX('C_jama.2025.11178'!$E$2:$E$38,MATCH("2025::jama.2025.11178::C005",'C_jama.2025.11178'!$A$2:$A$38,0))),"NOT FROZEN")</x:f>
        <x:v>statistical_results</x:v>
      </x:c>
      <x:c r="D22" s="6" t="str">
        <x:f>IF(Setup!$B$6="primary",IF(AND(INDEX('C_jama.2025.11178'!$D$2:$D$38,MATCH("2025::jama.2025.11178::C005",'C_jama.2025.11178'!$A$2:$A$38,0))="retain",INDEX('C_jama.2025.11178'!$E$2:$E$38,MATCH("2025::jama.2025.11178::C005",'C_jama.2025.11178'!$A$2:$A$38,0))="statistical_results"),IF(INDEX('C_jama.2025.11178'!$H$2:$H$38,MATCH("2025::jama.2025.11178::C005",'C_jama.2025.11178'!$A$2:$A$38,0))="","",INDEX('C_jama.2025.11178'!$H$2:$H$38,MATCH("2025::jama.2025.11178::C005",'C_jama.2025.11178'!$A$2:$A$38,0))),"not_applicable"),"NOT FROZEN")</x:f>
        <x:v>not_applicable</x:v>
      </x:c>
      <x:c r="E22" s="6" t="str">
        <x:f>IF(Setup!$B$6="primary",IF(AND(INDEX('C_jama.2025.11178'!$D$2:$D$38,MATCH("2025::jama.2025.11178::C005",'C_jama.2025.11178'!$A$2:$A$38,0))="retain",INDEX('C_jama.2025.11178'!$E$2:$E$38,MATCH("2025::jama.2025.11178::C005",'C_jama.2025.11178'!$A$2:$A$38,0))="statistical_results"),IF(INDEX('C_jama.2025.11178'!$I$2:$I$38,MATCH("2025::jama.2025.11178::C005",'C_jama.2025.11178'!$A$2:$A$38,0))="","",INDEX('C_jama.2025.11178'!$I$2:$I$38,MATCH("2025::jama.2025.11178::C005",'C_jama.2025.11178'!$A$2:$A$38,0))),"not_applicable"),"NOT FROZEN")</x:f>
        <x:v>not_applicable</x:v>
      </x:c>
      <x:c r="F22" s="6" t="str">
        <x:f>IF(Setup!$B$6="primary",IF(AND(INDEX('C_jama.2025.11178'!$D$2:$D$38,MATCH("2025::jama.2025.11178::C005",'C_jama.2025.11178'!$A$2:$A$38,0))="retain",INDEX('C_jama.2025.11178'!$E$2:$E$38,MATCH("2025::jama.2025.11178::C005",'C_jama.2025.11178'!$A$2:$A$38,0))="statistical_results"),IF(INDEX('C_jama.2025.11178'!$J$2:$J$38,MATCH("2025::jama.2025.11178::C005",'C_jama.2025.11178'!$A$2:$A$38,0))="","",INDEX('C_jama.2025.11178'!$J$2:$J$38,MATCH("2025::jama.2025.11178::C005",'C_jama.2025.11178'!$A$2:$A$38,0))),"not_applicable"),"NOT FROZEN")</x:f>
        <x:v>not_applicable</x:v>
      </x:c>
      <x:c r="G22" s="6" t="str">
        <x:f>IF(Setup!$B$6="primary",IF(AND(INDEX('C_jama.2025.11178'!$D$2:$D$38,MATCH("2025::jama.2025.11178::C005",'C_jama.2025.11178'!$A$2:$A$38,0))="retain",OR(INDEX('C_jama.2025.11178'!$E$2:$E$38,MATCH("2025::jama.2025.11178::C005",'C_jama.2025.11178'!$A$2:$A$38,0))="report_internal_inconsistency",INDEX('C_jama.2025.11178'!$E$2:$E$38,MATCH("2025::jama.2025.11178::C005",'C_jama.2025.11178'!$A$2:$A$38,0))="plan_material")),IF(INDEX('C_jama.2025.11178'!$K$2:$K$38,MATCH("2025::jama.2025.11178::C005",'C_jama.2025.11178'!$A$2:$A$38,0))="","",INDEX('C_jama.2025.11178'!$K$2:$K$38,MATCH("2025::jama.2025.11178::C005",'C_jama.2025.11178'!$A$2:$A$38,0))),"not_applicable"),"NOT FROZEN")</x:f>
        <x:v>not_applicable</x:v>
      </x:c>
      <x:c r="H22" s="6" t="str">
        <x:f>IF(Setup!$B$6="primary",IF(AND(INDEX('C_jama.2025.11178'!$D$2:$D$38,MATCH("2025::jama.2025.11178::C005",'C_jama.2025.11178'!$A$2:$A$38,0))="retain",INDEX('C_jama.2025.11178'!$E$2:$E$38,MATCH("2025::jama.2025.11178::C005",'C_jama.2025.11178'!$A$2:$A$38,0))="protocol_report"),IF(INDEX('C_jama.2025.11178'!$L$2:$L$38,MATCH("2025::jama.2025.11178::C005",'C_jama.2025.11178'!$A$2:$A$38,0))="","",INDEX('C_jama.2025.11178'!$L$2:$L$38,MATCH("2025::jama.2025.11178::C005",'C_jama.2025.11178'!$A$2:$A$38,0))),"not_applicable"),"NOT FROZEN")</x:f>
        <x:v>not_applicable</x:v>
      </x:c>
      <x:c r="I22" s="6" t="str">
        <x:f>IF(Setup!$B$6="primary",IF(INDEX('C_jama.2025.11178'!$R$2:$R$38,MATCH("2025::jama.2025.11178::C005",'C_jama.2025.11178'!$A$2:$A$38,0))="","",INDEX('C_jama.2025.11178'!$R$2:$R$38,MATCH("2025::jama.2025.11178::C005",'C_jama.2025.11178'!$A$2:$A$38,0))),"NOT FROZEN")</x:f>
      </x:c>
      <x:c r="J22" s="6" t="str">
        <x:f>IF(Setup!$B$6="primary",INDEX('C_jama.2025.11178'!$F$2:$F$38,MATCH("2025::jama.2025.11178::C005",'C_jama.2025.11178'!$A$2:$A$38,0)),"NOT FROZEN")</x:f>
        <x:v>no</x:v>
      </x:c>
      <x:c r="K22" s="6" t="str">
        <x:f>IF(Setup!$B$6="primary",Setup!$B$2,"NOT FROZEN")</x:f>
      </x:c>
      <x:c r="L22" s="6" t="str">
        <x:f>IF(Setup!$B$6="primary",IF(OR(B22="",B22="not_applicable"),"","Disposition: "&amp;B22&amp;CHAR(10))&amp;IF(OR(C22="",C22="not_applicable"),"","Review domain: "&amp;C22&amp;CHAR(10))&amp;IF(OR(D22="",D22="not_applicable"),"","Statistcal_or_numerical issue: "&amp;D22&amp;CHAR(10))&amp;IF(OR(E22="",E22="not_applicable"),"","Substantiveness: "&amp;E22&amp;CHAR(10))&amp;IF(OR(F22="",F22="not_applicable"),"","Downstream impact: "&amp;F22&amp;CHAR(10))&amp;IF(OR(G22="",G22="not_applicable"),"","Report-internal or planning-material inconsistency: "&amp;G22&amp;CHAR(10))&amp;IF(OR(H22="",H22="not_applicable"),"","Protocol interpretation: "&amp;H22&amp;CHAR(10))&amp;IF(OR(I22="",I22="not_applicable"),"","Notes (optional): "&amp;I22&amp;CHAR(10)),"NOT FROZEN")</x:f>
        <x:v>Review domain: statistical_results
</x:v>
      </x:c>
    </x:row>
    <x:row r="23" ht="70" customHeight="1">
      <x:c r="A23" s="3" t="str">
        <x:f>IF(Setup!$B$6="primary","2025::jama.2025.11178::C006","NOT FROZEN")</x:f>
        <x:v>2025::jama.2025.11178::C006</x:v>
      </x:c>
      <x:c r="B23" s="3" t="str">
        <x:f>IF(Setup!$B$6="primary",IF(INDEX('C_jama.2025.11178'!$D$2:$D$38,MATCH("2025::jama.2025.11178::C006",'C_jama.2025.11178'!$A$2:$A$38,0))="","",INDEX('C_jama.2025.11178'!$D$2:$D$38,MATCH("2025::jama.2025.11178::C006",'C_jama.2025.11178'!$A$2:$A$38,0))),"NOT FROZEN")</x:f>
      </x:c>
      <x:c r="C23" s="3" t="str">
        <x:f>IF(Setup!$B$6="primary",IF(INDEX('C_jama.2025.11178'!$E$2:$E$38,MATCH("2025::jama.2025.11178::C006",'C_jama.2025.11178'!$A$2:$A$38,0))="","",INDEX('C_jama.2025.11178'!$E$2:$E$38,MATCH("2025::jama.2025.11178::C006",'C_jama.2025.11178'!$A$2:$A$38,0))),"NOT FROZEN")</x:f>
        <x:v>report_internal_inconsistency</x:v>
      </x:c>
      <x:c r="D23" s="3" t="str">
        <x:f>IF(Setup!$B$6="primary",IF(AND(INDEX('C_jama.2025.11178'!$D$2:$D$38,MATCH("2025::jama.2025.11178::C006",'C_jama.2025.11178'!$A$2:$A$38,0))="retain",INDEX('C_jama.2025.11178'!$E$2:$E$38,MATCH("2025::jama.2025.11178::C006",'C_jama.2025.11178'!$A$2:$A$38,0))="statistical_results"),IF(INDEX('C_jama.2025.11178'!$H$2:$H$38,MATCH("2025::jama.2025.11178::C006",'C_jama.2025.11178'!$A$2:$A$38,0))="","",INDEX('C_jama.2025.11178'!$H$2:$H$38,MATCH("2025::jama.2025.11178::C006",'C_jama.2025.11178'!$A$2:$A$38,0))),"not_applicable"),"NOT FROZEN")</x:f>
        <x:v>not_applicable</x:v>
      </x:c>
      <x:c r="E23" s="3" t="str">
        <x:f>IF(Setup!$B$6="primary",IF(AND(INDEX('C_jama.2025.11178'!$D$2:$D$38,MATCH("2025::jama.2025.11178::C006",'C_jama.2025.11178'!$A$2:$A$38,0))="retain",INDEX('C_jama.2025.11178'!$E$2:$E$38,MATCH("2025::jama.2025.11178::C006",'C_jama.2025.11178'!$A$2:$A$38,0))="statistical_results"),IF(INDEX('C_jama.2025.11178'!$I$2:$I$38,MATCH("2025::jama.2025.11178::C006",'C_jama.2025.11178'!$A$2:$A$38,0))="","",INDEX('C_jama.2025.11178'!$I$2:$I$38,MATCH("2025::jama.2025.11178::C006",'C_jama.2025.11178'!$A$2:$A$38,0))),"not_applicable"),"NOT FROZEN")</x:f>
        <x:v>not_applicable</x:v>
      </x:c>
      <x:c r="F23" s="3" t="str">
        <x:f>IF(Setup!$B$6="primary",IF(AND(INDEX('C_jama.2025.11178'!$D$2:$D$38,MATCH("2025::jama.2025.11178::C006",'C_jama.2025.11178'!$A$2:$A$38,0))="retain",INDEX('C_jama.2025.11178'!$E$2:$E$38,MATCH("2025::jama.2025.11178::C006",'C_jama.2025.11178'!$A$2:$A$38,0))="statistical_results"),IF(INDEX('C_jama.2025.11178'!$J$2:$J$38,MATCH("2025::jama.2025.11178::C006",'C_jama.2025.11178'!$A$2:$A$38,0))="","",INDEX('C_jama.2025.11178'!$J$2:$J$38,MATCH("2025::jama.2025.11178::C006",'C_jama.2025.11178'!$A$2:$A$38,0))),"not_applicable"),"NOT FROZEN")</x:f>
        <x:v>not_applicable</x:v>
      </x:c>
      <x:c r="G23" s="3" t="str">
        <x:f>IF(Setup!$B$6="primary",IF(AND(INDEX('C_jama.2025.11178'!$D$2:$D$38,MATCH("2025::jama.2025.11178::C006",'C_jama.2025.11178'!$A$2:$A$38,0))="retain",OR(INDEX('C_jama.2025.11178'!$E$2:$E$38,MATCH("2025::jama.2025.11178::C006",'C_jama.2025.11178'!$A$2:$A$38,0))="report_internal_inconsistency",INDEX('C_jama.2025.11178'!$E$2:$E$38,MATCH("2025::jama.2025.11178::C006",'C_jama.2025.11178'!$A$2:$A$38,0))="plan_material")),IF(INDEX('C_jama.2025.11178'!$K$2:$K$38,MATCH("2025::jama.2025.11178::C006",'C_jama.2025.11178'!$A$2:$A$38,0))="","",INDEX('C_jama.2025.11178'!$K$2:$K$38,MATCH("2025::jama.2025.11178::C006",'C_jama.2025.11178'!$A$2:$A$38,0))),"not_applicable"),"NOT FROZEN")</x:f>
        <x:v>not_applicable</x:v>
      </x:c>
      <x:c r="H23" s="3" t="str">
        <x:f>IF(Setup!$B$6="primary",IF(AND(INDEX('C_jama.2025.11178'!$D$2:$D$38,MATCH("2025::jama.2025.11178::C006",'C_jama.2025.11178'!$A$2:$A$38,0))="retain",INDEX('C_jama.2025.11178'!$E$2:$E$38,MATCH("2025::jama.2025.11178::C006",'C_jama.2025.11178'!$A$2:$A$38,0))="protocol_report"),IF(INDEX('C_jama.2025.11178'!$L$2:$L$38,MATCH("2025::jama.2025.11178::C006",'C_jama.2025.11178'!$A$2:$A$38,0))="","",INDEX('C_jama.2025.11178'!$L$2:$L$38,MATCH("2025::jama.2025.11178::C006",'C_jama.2025.11178'!$A$2:$A$38,0))),"not_applicable"),"NOT FROZEN")</x:f>
        <x:v>not_applicable</x:v>
      </x:c>
      <x:c r="I23" s="3" t="str">
        <x:f>IF(Setup!$B$6="primary",IF(INDEX('C_jama.2025.11178'!$R$2:$R$38,MATCH("2025::jama.2025.11178::C006",'C_jama.2025.11178'!$A$2:$A$38,0))="","",INDEX('C_jama.2025.11178'!$R$2:$R$38,MATCH("2025::jama.2025.11178::C006",'C_jama.2025.11178'!$A$2:$A$38,0))),"NOT FROZEN")</x:f>
      </x:c>
      <x:c r="J23" s="3" t="str">
        <x:f>IF(Setup!$B$6="primary",INDEX('C_jama.2025.11178'!$F$2:$F$38,MATCH("2025::jama.2025.11178::C006",'C_jama.2025.11178'!$A$2:$A$38,0)),"NOT FROZEN")</x:f>
        <x:v>no</x:v>
      </x:c>
      <x:c r="K23" s="3" t="str">
        <x:f>IF(Setup!$B$6="primary",Setup!$B$2,"NOT FROZEN")</x:f>
      </x:c>
      <x:c r="L23" s="3" t="str">
        <x:f>IF(Setup!$B$6="primary",IF(OR(B23="",B23="not_applicable"),"","Disposition: "&amp;B23&amp;CHAR(10))&amp;IF(OR(C23="",C23="not_applicable"),"","Review domain: "&amp;C23&amp;CHAR(10))&amp;IF(OR(D23="",D23="not_applicable"),"","Statistcal_or_numerical issue: "&amp;D23&amp;CHAR(10))&amp;IF(OR(E23="",E23="not_applicable"),"","Substantiveness: "&amp;E23&amp;CHAR(10))&amp;IF(OR(F23="",F23="not_applicable"),"","Downstream impact: "&amp;F23&amp;CHAR(10))&amp;IF(OR(G23="",G23="not_applicable"),"","Report-internal or planning-material inconsistency: "&amp;G23&amp;CHAR(10))&amp;IF(OR(H23="",H23="not_applicable"),"","Protocol interpretation: "&amp;H23&amp;CHAR(10))&amp;IF(OR(I23="",I23="not_applicable"),"","Notes (optional): "&amp;I23&amp;CHAR(10)),"NOT FROZEN")</x:f>
        <x:v>Review domain: report_internal_inconsistency
</x:v>
      </x:c>
    </x:row>
    <x:row r="24" ht="70" customHeight="1">
      <x:c r="A24" s="6" t="str">
        <x:f>IF(Setup!$B$6="primary","2025::jama.2025.11178::C007","NOT FROZEN")</x:f>
        <x:v>2025::jama.2025.11178::C007</x:v>
      </x:c>
      <x:c r="B24" s="6" t="str">
        <x:f>IF(Setup!$B$6="primary",IF(INDEX('C_jama.2025.11178'!$D$2:$D$38,MATCH("2025::jama.2025.11178::C007",'C_jama.2025.11178'!$A$2:$A$38,0))="","",INDEX('C_jama.2025.11178'!$D$2:$D$38,MATCH("2025::jama.2025.11178::C007",'C_jama.2025.11178'!$A$2:$A$38,0))),"NOT FROZEN")</x:f>
      </x:c>
      <x:c r="C24" s="6" t="str">
        <x:f>IF(Setup!$B$6="primary",IF(INDEX('C_jama.2025.11178'!$E$2:$E$38,MATCH("2025::jama.2025.11178::C007",'C_jama.2025.11178'!$A$2:$A$38,0))="","",INDEX('C_jama.2025.11178'!$E$2:$E$38,MATCH("2025::jama.2025.11178::C007",'C_jama.2025.11178'!$A$2:$A$38,0))),"NOT FROZEN")</x:f>
        <x:v>report_internal_inconsistency</x:v>
      </x:c>
      <x:c r="D24" s="6" t="str">
        <x:f>IF(Setup!$B$6="primary",IF(AND(INDEX('C_jama.2025.11178'!$D$2:$D$38,MATCH("2025::jama.2025.11178::C007",'C_jama.2025.11178'!$A$2:$A$38,0))="retain",INDEX('C_jama.2025.11178'!$E$2:$E$38,MATCH("2025::jama.2025.11178::C007",'C_jama.2025.11178'!$A$2:$A$38,0))="statistical_results"),IF(INDEX('C_jama.2025.11178'!$H$2:$H$38,MATCH("2025::jama.2025.11178::C007",'C_jama.2025.11178'!$A$2:$A$38,0))="","",INDEX('C_jama.2025.11178'!$H$2:$H$38,MATCH("2025::jama.2025.11178::C007",'C_jama.2025.11178'!$A$2:$A$38,0))),"not_applicable"),"NOT FROZEN")</x:f>
        <x:v>not_applicable</x:v>
      </x:c>
      <x:c r="E24" s="6" t="str">
        <x:f>IF(Setup!$B$6="primary",IF(AND(INDEX('C_jama.2025.11178'!$D$2:$D$38,MATCH("2025::jama.2025.11178::C007",'C_jama.2025.11178'!$A$2:$A$38,0))="retain",INDEX('C_jama.2025.11178'!$E$2:$E$38,MATCH("2025::jama.2025.11178::C007",'C_jama.2025.11178'!$A$2:$A$38,0))="statistical_results"),IF(INDEX('C_jama.2025.11178'!$I$2:$I$38,MATCH("2025::jama.2025.11178::C007",'C_jama.2025.11178'!$A$2:$A$38,0))="","",INDEX('C_jama.2025.11178'!$I$2:$I$38,MATCH("2025::jama.2025.11178::C007",'C_jama.2025.11178'!$A$2:$A$38,0))),"not_applicable"),"NOT FROZEN")</x:f>
        <x:v>not_applicable</x:v>
      </x:c>
      <x:c r="F24" s="6" t="str">
        <x:f>IF(Setup!$B$6="primary",IF(AND(INDEX('C_jama.2025.11178'!$D$2:$D$38,MATCH("2025::jama.2025.11178::C007",'C_jama.2025.11178'!$A$2:$A$38,0))="retain",INDEX('C_jama.2025.11178'!$E$2:$E$38,MATCH("2025::jama.2025.11178::C007",'C_jama.2025.11178'!$A$2:$A$38,0))="statistical_results"),IF(INDEX('C_jama.2025.11178'!$J$2:$J$38,MATCH("2025::jama.2025.11178::C007",'C_jama.2025.11178'!$A$2:$A$38,0))="","",INDEX('C_jama.2025.11178'!$J$2:$J$38,MATCH("2025::jama.2025.11178::C007",'C_jama.2025.11178'!$A$2:$A$38,0))),"not_applicable"),"NOT FROZEN")</x:f>
        <x:v>not_applicable</x:v>
      </x:c>
      <x:c r="G24" s="6" t="str">
        <x:f>IF(Setup!$B$6="primary",IF(AND(INDEX('C_jama.2025.11178'!$D$2:$D$38,MATCH("2025::jama.2025.11178::C007",'C_jama.2025.11178'!$A$2:$A$38,0))="retain",OR(INDEX('C_jama.2025.11178'!$E$2:$E$38,MATCH("2025::jama.2025.11178::C007",'C_jama.2025.11178'!$A$2:$A$38,0))="report_internal_inconsistency",INDEX('C_jama.2025.11178'!$E$2:$E$38,MATCH("2025::jama.2025.11178::C007",'C_jama.2025.11178'!$A$2:$A$38,0))="plan_material")),IF(INDEX('C_jama.2025.11178'!$K$2:$K$38,MATCH("2025::jama.2025.11178::C007",'C_jama.2025.11178'!$A$2:$A$38,0))="","",INDEX('C_jama.2025.11178'!$K$2:$K$38,MATCH("2025::jama.2025.11178::C007",'C_jama.2025.11178'!$A$2:$A$38,0))),"not_applicable"),"NOT FROZEN")</x:f>
        <x:v>not_applicable</x:v>
      </x:c>
      <x:c r="H24" s="6" t="str">
        <x:f>IF(Setup!$B$6="primary",IF(AND(INDEX('C_jama.2025.11178'!$D$2:$D$38,MATCH("2025::jama.2025.11178::C007",'C_jama.2025.11178'!$A$2:$A$38,0))="retain",INDEX('C_jama.2025.11178'!$E$2:$E$38,MATCH("2025::jama.2025.11178::C007",'C_jama.2025.11178'!$A$2:$A$38,0))="protocol_report"),IF(INDEX('C_jama.2025.11178'!$L$2:$L$38,MATCH("2025::jama.2025.11178::C007",'C_jama.2025.11178'!$A$2:$A$38,0))="","",INDEX('C_jama.2025.11178'!$L$2:$L$38,MATCH("2025::jama.2025.11178::C007",'C_jama.2025.11178'!$A$2:$A$38,0))),"not_applicable"),"NOT FROZEN")</x:f>
        <x:v>not_applicable</x:v>
      </x:c>
      <x:c r="I24" s="6" t="str">
        <x:f>IF(Setup!$B$6="primary",IF(INDEX('C_jama.2025.11178'!$R$2:$R$38,MATCH("2025::jama.2025.11178::C007",'C_jama.2025.11178'!$A$2:$A$38,0))="","",INDEX('C_jama.2025.11178'!$R$2:$R$38,MATCH("2025::jama.2025.11178::C007",'C_jama.2025.11178'!$A$2:$A$38,0))),"NOT FROZEN")</x:f>
      </x:c>
      <x:c r="J24" s="6" t="str">
        <x:f>IF(Setup!$B$6="primary",INDEX('C_jama.2025.11178'!$F$2:$F$38,MATCH("2025::jama.2025.11178::C007",'C_jama.2025.11178'!$A$2:$A$38,0)),"NOT FROZEN")</x:f>
        <x:v>no</x:v>
      </x:c>
      <x:c r="K24" s="6" t="str">
        <x:f>IF(Setup!$B$6="primary",Setup!$B$2,"NOT FROZEN")</x:f>
      </x:c>
      <x:c r="L24" s="6" t="str">
        <x:f>IF(Setup!$B$6="primary",IF(OR(B24="",B24="not_applicable"),"","Disposition: "&amp;B24&amp;CHAR(10))&amp;IF(OR(C24="",C24="not_applicable"),"","Review domain: "&amp;C24&amp;CHAR(10))&amp;IF(OR(D24="",D24="not_applicable"),"","Statistcal_or_numerical issue: "&amp;D24&amp;CHAR(10))&amp;IF(OR(E24="",E24="not_applicable"),"","Substantiveness: "&amp;E24&amp;CHAR(10))&amp;IF(OR(F24="",F24="not_applicable"),"","Downstream impact: "&amp;F24&amp;CHAR(10))&amp;IF(OR(G24="",G24="not_applicable"),"","Report-internal or planning-material inconsistency: "&amp;G24&amp;CHAR(10))&amp;IF(OR(H24="",H24="not_applicable"),"","Protocol interpretation: "&amp;H24&amp;CHAR(10))&amp;IF(OR(I24="",I24="not_applicable"),"","Notes (optional): "&amp;I24&amp;CHAR(10)),"NOT FROZEN")</x:f>
        <x:v>Review domain: report_internal_inconsistency
</x:v>
      </x:c>
    </x:row>
    <x:row r="25" ht="70" customHeight="1">
      <x:c r="A25" s="3" t="str">
        <x:f>IF(Setup!$B$6="primary","2025::jama.2025.11178::C008","NOT FROZEN")</x:f>
        <x:v>2025::jama.2025.11178::C008</x:v>
      </x:c>
      <x:c r="B25" s="3" t="str">
        <x:f>IF(Setup!$B$6="primary",IF(INDEX('C_jama.2025.11178'!$D$2:$D$38,MATCH("2025::jama.2025.11178::C008",'C_jama.2025.11178'!$A$2:$A$38,0))="","",INDEX('C_jama.2025.11178'!$D$2:$D$38,MATCH("2025::jama.2025.11178::C008",'C_jama.2025.11178'!$A$2:$A$38,0))),"NOT FROZEN")</x:f>
      </x:c>
      <x:c r="C25" s="3" t="str">
        <x:f>IF(Setup!$B$6="primary",IF(INDEX('C_jama.2025.11178'!$E$2:$E$38,MATCH("2025::jama.2025.11178::C008",'C_jama.2025.11178'!$A$2:$A$38,0))="","",INDEX('C_jama.2025.11178'!$E$2:$E$38,MATCH("2025::jama.2025.11178::C008",'C_jama.2025.11178'!$A$2:$A$38,0))),"NOT FROZEN")</x:f>
        <x:v>statistical_results</x:v>
      </x:c>
      <x:c r="D25" s="3" t="str">
        <x:f>IF(Setup!$B$6="primary",IF(AND(INDEX('C_jama.2025.11178'!$D$2:$D$38,MATCH("2025::jama.2025.11178::C008",'C_jama.2025.11178'!$A$2:$A$38,0))="retain",INDEX('C_jama.2025.11178'!$E$2:$E$38,MATCH("2025::jama.2025.11178::C008",'C_jama.2025.11178'!$A$2:$A$38,0))="statistical_results"),IF(INDEX('C_jama.2025.11178'!$H$2:$H$38,MATCH("2025::jama.2025.11178::C008",'C_jama.2025.11178'!$A$2:$A$38,0))="","",INDEX('C_jama.2025.11178'!$H$2:$H$38,MATCH("2025::jama.2025.11178::C008",'C_jama.2025.11178'!$A$2:$A$38,0))),"not_applicable"),"NOT FROZEN")</x:f>
        <x:v>not_applicable</x:v>
      </x:c>
      <x:c r="E25" s="3" t="str">
        <x:f>IF(Setup!$B$6="primary",IF(AND(INDEX('C_jama.2025.11178'!$D$2:$D$38,MATCH("2025::jama.2025.11178::C008",'C_jama.2025.11178'!$A$2:$A$38,0))="retain",INDEX('C_jama.2025.11178'!$E$2:$E$38,MATCH("2025::jama.2025.11178::C008",'C_jama.2025.11178'!$A$2:$A$38,0))="statistical_results"),IF(INDEX('C_jama.2025.11178'!$I$2:$I$38,MATCH("2025::jama.2025.11178::C008",'C_jama.2025.11178'!$A$2:$A$38,0))="","",INDEX('C_jama.2025.11178'!$I$2:$I$38,MATCH("2025::jama.2025.11178::C008",'C_jama.2025.11178'!$A$2:$A$38,0))),"not_applicable"),"NOT FROZEN")</x:f>
        <x:v>not_applicable</x:v>
      </x:c>
      <x:c r="F25" s="3" t="str">
        <x:f>IF(Setup!$B$6="primary",IF(AND(INDEX('C_jama.2025.11178'!$D$2:$D$38,MATCH("2025::jama.2025.11178::C008",'C_jama.2025.11178'!$A$2:$A$38,0))="retain",INDEX('C_jama.2025.11178'!$E$2:$E$38,MATCH("2025::jama.2025.11178::C008",'C_jama.2025.11178'!$A$2:$A$38,0))="statistical_results"),IF(INDEX('C_jama.2025.11178'!$J$2:$J$38,MATCH("2025::jama.2025.11178::C008",'C_jama.2025.11178'!$A$2:$A$38,0))="","",INDEX('C_jama.2025.11178'!$J$2:$J$38,MATCH("2025::jama.2025.11178::C008",'C_jama.2025.11178'!$A$2:$A$38,0))),"not_applicable"),"NOT FROZEN")</x:f>
        <x:v>not_applicable</x:v>
      </x:c>
      <x:c r="G25" s="3" t="str">
        <x:f>IF(Setup!$B$6="primary",IF(AND(INDEX('C_jama.2025.11178'!$D$2:$D$38,MATCH("2025::jama.2025.11178::C008",'C_jama.2025.11178'!$A$2:$A$38,0))="retain",OR(INDEX('C_jama.2025.11178'!$E$2:$E$38,MATCH("2025::jama.2025.11178::C008",'C_jama.2025.11178'!$A$2:$A$38,0))="report_internal_inconsistency",INDEX('C_jama.2025.11178'!$E$2:$E$38,MATCH("2025::jama.2025.11178::C008",'C_jama.2025.11178'!$A$2:$A$38,0))="plan_material")),IF(INDEX('C_jama.2025.11178'!$K$2:$K$38,MATCH("2025::jama.2025.11178::C008",'C_jama.2025.11178'!$A$2:$A$38,0))="","",INDEX('C_jama.2025.11178'!$K$2:$K$38,MATCH("2025::jama.2025.11178::C008",'C_jama.2025.11178'!$A$2:$A$38,0))),"not_applicable"),"NOT FROZEN")</x:f>
        <x:v>not_applicable</x:v>
      </x:c>
      <x:c r="H25" s="3" t="str">
        <x:f>IF(Setup!$B$6="primary",IF(AND(INDEX('C_jama.2025.11178'!$D$2:$D$38,MATCH("2025::jama.2025.11178::C008",'C_jama.2025.11178'!$A$2:$A$38,0))="retain",INDEX('C_jama.2025.11178'!$E$2:$E$38,MATCH("2025::jama.2025.11178::C008",'C_jama.2025.11178'!$A$2:$A$38,0))="protocol_report"),IF(INDEX('C_jama.2025.11178'!$L$2:$L$38,MATCH("2025::jama.2025.11178::C008",'C_jama.2025.11178'!$A$2:$A$38,0))="","",INDEX('C_jama.2025.11178'!$L$2:$L$38,MATCH("2025::jama.2025.11178::C008",'C_jama.2025.11178'!$A$2:$A$38,0))),"not_applicable"),"NOT FROZEN")</x:f>
        <x:v>not_applicable</x:v>
      </x:c>
      <x:c r="I25" s="3" t="str">
        <x:f>IF(Setup!$B$6="primary",IF(INDEX('C_jama.2025.11178'!$R$2:$R$38,MATCH("2025::jama.2025.11178::C008",'C_jama.2025.11178'!$A$2:$A$38,0))="","",INDEX('C_jama.2025.11178'!$R$2:$R$38,MATCH("2025::jama.2025.11178::C008",'C_jama.2025.11178'!$A$2:$A$38,0))),"NOT FROZEN")</x:f>
      </x:c>
      <x:c r="J25" s="3" t="str">
        <x:f>IF(Setup!$B$6="primary",INDEX('C_jama.2025.11178'!$F$2:$F$38,MATCH("2025::jama.2025.11178::C008",'C_jama.2025.11178'!$A$2:$A$38,0)),"NOT FROZEN")</x:f>
        <x:v>no</x:v>
      </x:c>
      <x:c r="K25" s="3" t="str">
        <x:f>IF(Setup!$B$6="primary",Setup!$B$2,"NOT FROZEN")</x:f>
      </x:c>
      <x:c r="L25" s="3" t="str">
        <x:f>IF(Setup!$B$6="primary",IF(OR(B25="",B25="not_applicable"),"","Disposition: "&amp;B25&amp;CHAR(10))&amp;IF(OR(C25="",C25="not_applicable"),"","Review domain: "&amp;C25&amp;CHAR(10))&amp;IF(OR(D25="",D25="not_applicable"),"","Statistcal_or_numerical issue: "&amp;D25&amp;CHAR(10))&amp;IF(OR(E25="",E25="not_applicable"),"","Substantiveness: "&amp;E25&amp;CHAR(10))&amp;IF(OR(F25="",F25="not_applicable"),"","Downstream impact: "&amp;F25&amp;CHAR(10))&amp;IF(OR(G25="",G25="not_applicable"),"","Report-internal or planning-material inconsistency: "&amp;G25&amp;CHAR(10))&amp;IF(OR(H25="",H25="not_applicable"),"","Protocol interpretation: "&amp;H25&amp;CHAR(10))&amp;IF(OR(I25="",I25="not_applicable"),"","Notes (optional): "&amp;I25&amp;CHAR(10)),"NOT FROZEN")</x:f>
        <x:v>Review domain: statistical_results
</x:v>
      </x:c>
    </x:row>
    <x:row r="26" ht="70" customHeight="1">
      <x:c r="A26" s="6" t="str">
        <x:f>IF(Setup!$B$6="primary","2025::jama.2025.11178::C009","NOT FROZEN")</x:f>
        <x:v>2025::jama.2025.11178::C009</x:v>
      </x:c>
      <x:c r="B26" s="6" t="str">
        <x:f>IF(Setup!$B$6="primary",IF(INDEX('C_jama.2025.11178'!$D$2:$D$38,MATCH("2025::jama.2025.11178::C009",'C_jama.2025.11178'!$A$2:$A$38,0))="","",INDEX('C_jama.2025.11178'!$D$2:$D$38,MATCH("2025::jama.2025.11178::C009",'C_jama.2025.11178'!$A$2:$A$38,0))),"NOT FROZEN")</x:f>
      </x:c>
      <x:c r="C26" s="6" t="str">
        <x:f>IF(Setup!$B$6="primary",IF(INDEX('C_jama.2025.11178'!$E$2:$E$38,MATCH("2025::jama.2025.11178::C009",'C_jama.2025.11178'!$A$2:$A$38,0))="","",INDEX('C_jama.2025.11178'!$E$2:$E$38,MATCH("2025::jama.2025.11178::C009",'C_jama.2025.11178'!$A$2:$A$38,0))),"NOT FROZEN")</x:f>
        <x:v>statistical_results</x:v>
      </x:c>
      <x:c r="D26" s="6" t="str">
        <x:f>IF(Setup!$B$6="primary",IF(AND(INDEX('C_jama.2025.11178'!$D$2:$D$38,MATCH("2025::jama.2025.11178::C009",'C_jama.2025.11178'!$A$2:$A$38,0))="retain",INDEX('C_jama.2025.11178'!$E$2:$E$38,MATCH("2025::jama.2025.11178::C009",'C_jama.2025.11178'!$A$2:$A$38,0))="statistical_results"),IF(INDEX('C_jama.2025.11178'!$H$2:$H$38,MATCH("2025::jama.2025.11178::C009",'C_jama.2025.11178'!$A$2:$A$38,0))="","",INDEX('C_jama.2025.11178'!$H$2:$H$38,MATCH("2025::jama.2025.11178::C009",'C_jama.2025.11178'!$A$2:$A$38,0))),"not_applicable"),"NOT FROZEN")</x:f>
        <x:v>not_applicable</x:v>
      </x:c>
      <x:c r="E26" s="6" t="str">
        <x:f>IF(Setup!$B$6="primary",IF(AND(INDEX('C_jama.2025.11178'!$D$2:$D$38,MATCH("2025::jama.2025.11178::C009",'C_jama.2025.11178'!$A$2:$A$38,0))="retain",INDEX('C_jama.2025.11178'!$E$2:$E$38,MATCH("2025::jama.2025.11178::C009",'C_jama.2025.11178'!$A$2:$A$38,0))="statistical_results"),IF(INDEX('C_jama.2025.11178'!$I$2:$I$38,MATCH("2025::jama.2025.11178::C009",'C_jama.2025.11178'!$A$2:$A$38,0))="","",INDEX('C_jama.2025.11178'!$I$2:$I$38,MATCH("2025::jama.2025.11178::C009",'C_jama.2025.11178'!$A$2:$A$38,0))),"not_applicable"),"NOT FROZEN")</x:f>
        <x:v>not_applicable</x:v>
      </x:c>
      <x:c r="F26" s="6" t="str">
        <x:f>IF(Setup!$B$6="primary",IF(AND(INDEX('C_jama.2025.11178'!$D$2:$D$38,MATCH("2025::jama.2025.11178::C009",'C_jama.2025.11178'!$A$2:$A$38,0))="retain",INDEX('C_jama.2025.11178'!$E$2:$E$38,MATCH("2025::jama.2025.11178::C009",'C_jama.2025.11178'!$A$2:$A$38,0))="statistical_results"),IF(INDEX('C_jama.2025.11178'!$J$2:$J$38,MATCH("2025::jama.2025.11178::C009",'C_jama.2025.11178'!$A$2:$A$38,0))="","",INDEX('C_jama.2025.11178'!$J$2:$J$38,MATCH("2025::jama.2025.11178::C009",'C_jama.2025.11178'!$A$2:$A$38,0))),"not_applicable"),"NOT FROZEN")</x:f>
        <x:v>not_applicable</x:v>
      </x:c>
      <x:c r="G26" s="6" t="str">
        <x:f>IF(Setup!$B$6="primary",IF(AND(INDEX('C_jama.2025.11178'!$D$2:$D$38,MATCH("2025::jama.2025.11178::C009",'C_jama.2025.11178'!$A$2:$A$38,0))="retain",OR(INDEX('C_jama.2025.11178'!$E$2:$E$38,MATCH("2025::jama.2025.11178::C009",'C_jama.2025.11178'!$A$2:$A$38,0))="report_internal_inconsistency",INDEX('C_jama.2025.11178'!$E$2:$E$38,MATCH("2025::jama.2025.11178::C009",'C_jama.2025.11178'!$A$2:$A$38,0))="plan_material")),IF(INDEX('C_jama.2025.11178'!$K$2:$K$38,MATCH("2025::jama.2025.11178::C009",'C_jama.2025.11178'!$A$2:$A$38,0))="","",INDEX('C_jama.2025.11178'!$K$2:$K$38,MATCH("2025::jama.2025.11178::C009",'C_jama.2025.11178'!$A$2:$A$38,0))),"not_applicable"),"NOT FROZEN")</x:f>
        <x:v>not_applicable</x:v>
      </x:c>
      <x:c r="H26" s="6" t="str">
        <x:f>IF(Setup!$B$6="primary",IF(AND(INDEX('C_jama.2025.11178'!$D$2:$D$38,MATCH("2025::jama.2025.11178::C009",'C_jama.2025.11178'!$A$2:$A$38,0))="retain",INDEX('C_jama.2025.11178'!$E$2:$E$38,MATCH("2025::jama.2025.11178::C009",'C_jama.2025.11178'!$A$2:$A$38,0))="protocol_report"),IF(INDEX('C_jama.2025.11178'!$L$2:$L$38,MATCH("2025::jama.2025.11178::C009",'C_jama.2025.11178'!$A$2:$A$38,0))="","",INDEX('C_jama.2025.11178'!$L$2:$L$38,MATCH("2025::jama.2025.11178::C009",'C_jama.2025.11178'!$A$2:$A$38,0))),"not_applicable"),"NOT FROZEN")</x:f>
        <x:v>not_applicable</x:v>
      </x:c>
      <x:c r="I26" s="6" t="str">
        <x:f>IF(Setup!$B$6="primary",IF(INDEX('C_jama.2025.11178'!$R$2:$R$38,MATCH("2025::jama.2025.11178::C009",'C_jama.2025.11178'!$A$2:$A$38,0))="","",INDEX('C_jama.2025.11178'!$R$2:$R$38,MATCH("2025::jama.2025.11178::C009",'C_jama.2025.11178'!$A$2:$A$38,0))),"NOT FROZEN")</x:f>
      </x:c>
      <x:c r="J26" s="6" t="str">
        <x:f>IF(Setup!$B$6="primary",INDEX('C_jama.2025.11178'!$F$2:$F$38,MATCH("2025::jama.2025.11178::C009",'C_jama.2025.11178'!$A$2:$A$38,0)),"NOT FROZEN")</x:f>
        <x:v>no</x:v>
      </x:c>
      <x:c r="K26" s="6" t="str">
        <x:f>IF(Setup!$B$6="primary",Setup!$B$2,"NOT FROZEN")</x:f>
      </x:c>
      <x:c r="L26" s="6" t="str">
        <x:f>IF(Setup!$B$6="primary",IF(OR(B26="",B26="not_applicable"),"","Disposition: "&amp;B26&amp;CHAR(10))&amp;IF(OR(C26="",C26="not_applicable"),"","Review domain: "&amp;C26&amp;CHAR(10))&amp;IF(OR(D26="",D26="not_applicable"),"","Statistcal_or_numerical issue: "&amp;D26&amp;CHAR(10))&amp;IF(OR(E26="",E26="not_applicable"),"","Substantiveness: "&amp;E26&amp;CHAR(10))&amp;IF(OR(F26="",F26="not_applicable"),"","Downstream impact: "&amp;F26&amp;CHAR(10))&amp;IF(OR(G26="",G26="not_applicable"),"","Report-internal or planning-material inconsistency: "&amp;G26&amp;CHAR(10))&amp;IF(OR(H26="",H26="not_applicable"),"","Protocol interpretation: "&amp;H26&amp;CHAR(10))&amp;IF(OR(I26="",I26="not_applicable"),"","Notes (optional): "&amp;I26&amp;CHAR(10)),"NOT FROZEN")</x:f>
        <x:v>Review domain: statistical_results
</x:v>
      </x:c>
    </x:row>
    <x:row r="27" ht="70" customHeight="1">
      <x:c r="A27" s="3" t="str">
        <x:f>IF(Setup!$B$6="primary","2025::jama.2025.11178::C010","NOT FROZEN")</x:f>
        <x:v>2025::jama.2025.11178::C010</x:v>
      </x:c>
      <x:c r="B27" s="3" t="str">
        <x:f>IF(Setup!$B$6="primary",IF(INDEX('C_jama.2025.11178'!$D$2:$D$38,MATCH("2025::jama.2025.11178::C010",'C_jama.2025.11178'!$A$2:$A$38,0))="","",INDEX('C_jama.2025.11178'!$D$2:$D$38,MATCH("2025::jama.2025.11178::C010",'C_jama.2025.11178'!$A$2:$A$38,0))),"NOT FROZEN")</x:f>
      </x:c>
      <x:c r="C27" s="3" t="str">
        <x:f>IF(Setup!$B$6="primary",IF(INDEX('C_jama.2025.11178'!$E$2:$E$38,MATCH("2025::jama.2025.11178::C010",'C_jama.2025.11178'!$A$2:$A$38,0))="","",INDEX('C_jama.2025.11178'!$E$2:$E$38,MATCH("2025::jama.2025.11178::C010",'C_jama.2025.11178'!$A$2:$A$38,0))),"NOT FROZEN")</x:f>
        <x:v>statistical_results</x:v>
      </x:c>
      <x:c r="D27" s="3" t="str">
        <x:f>IF(Setup!$B$6="primary",IF(AND(INDEX('C_jama.2025.11178'!$D$2:$D$38,MATCH("2025::jama.2025.11178::C010",'C_jama.2025.11178'!$A$2:$A$38,0))="retain",INDEX('C_jama.2025.11178'!$E$2:$E$38,MATCH("2025::jama.2025.11178::C010",'C_jama.2025.11178'!$A$2:$A$38,0))="statistical_results"),IF(INDEX('C_jama.2025.11178'!$H$2:$H$38,MATCH("2025::jama.2025.11178::C010",'C_jama.2025.11178'!$A$2:$A$38,0))="","",INDEX('C_jama.2025.11178'!$H$2:$H$38,MATCH("2025::jama.2025.11178::C010",'C_jama.2025.11178'!$A$2:$A$38,0))),"not_applicable"),"NOT FROZEN")</x:f>
        <x:v>not_applicable</x:v>
      </x:c>
      <x:c r="E27" s="3" t="str">
        <x:f>IF(Setup!$B$6="primary",IF(AND(INDEX('C_jama.2025.11178'!$D$2:$D$38,MATCH("2025::jama.2025.11178::C010",'C_jama.2025.11178'!$A$2:$A$38,0))="retain",INDEX('C_jama.2025.11178'!$E$2:$E$38,MATCH("2025::jama.2025.11178::C010",'C_jama.2025.11178'!$A$2:$A$38,0))="statistical_results"),IF(INDEX('C_jama.2025.11178'!$I$2:$I$38,MATCH("2025::jama.2025.11178::C010",'C_jama.2025.11178'!$A$2:$A$38,0))="","",INDEX('C_jama.2025.11178'!$I$2:$I$38,MATCH("2025::jama.2025.11178::C010",'C_jama.2025.11178'!$A$2:$A$38,0))),"not_applicable"),"NOT FROZEN")</x:f>
        <x:v>not_applicable</x:v>
      </x:c>
      <x:c r="F27" s="3" t="str">
        <x:f>IF(Setup!$B$6="primary",IF(AND(INDEX('C_jama.2025.11178'!$D$2:$D$38,MATCH("2025::jama.2025.11178::C010",'C_jama.2025.11178'!$A$2:$A$38,0))="retain",INDEX('C_jama.2025.11178'!$E$2:$E$38,MATCH("2025::jama.2025.11178::C010",'C_jama.2025.11178'!$A$2:$A$38,0))="statistical_results"),IF(INDEX('C_jama.2025.11178'!$J$2:$J$38,MATCH("2025::jama.2025.11178::C010",'C_jama.2025.11178'!$A$2:$A$38,0))="","",INDEX('C_jama.2025.11178'!$J$2:$J$38,MATCH("2025::jama.2025.11178::C010",'C_jama.2025.11178'!$A$2:$A$38,0))),"not_applicable"),"NOT FROZEN")</x:f>
        <x:v>not_applicable</x:v>
      </x:c>
      <x:c r="G27" s="3" t="str">
        <x:f>IF(Setup!$B$6="primary",IF(AND(INDEX('C_jama.2025.11178'!$D$2:$D$38,MATCH("2025::jama.2025.11178::C010",'C_jama.2025.11178'!$A$2:$A$38,0))="retain",OR(INDEX('C_jama.2025.11178'!$E$2:$E$38,MATCH("2025::jama.2025.11178::C010",'C_jama.2025.11178'!$A$2:$A$38,0))="report_internal_inconsistency",INDEX('C_jama.2025.11178'!$E$2:$E$38,MATCH("2025::jama.2025.11178::C010",'C_jama.2025.11178'!$A$2:$A$38,0))="plan_material")),IF(INDEX('C_jama.2025.11178'!$K$2:$K$38,MATCH("2025::jama.2025.11178::C010",'C_jama.2025.11178'!$A$2:$A$38,0))="","",INDEX('C_jama.2025.11178'!$K$2:$K$38,MATCH("2025::jama.2025.11178::C010",'C_jama.2025.11178'!$A$2:$A$38,0))),"not_applicable"),"NOT FROZEN")</x:f>
        <x:v>not_applicable</x:v>
      </x:c>
      <x:c r="H27" s="3" t="str">
        <x:f>IF(Setup!$B$6="primary",IF(AND(INDEX('C_jama.2025.11178'!$D$2:$D$38,MATCH("2025::jama.2025.11178::C010",'C_jama.2025.11178'!$A$2:$A$38,0))="retain",INDEX('C_jama.2025.11178'!$E$2:$E$38,MATCH("2025::jama.2025.11178::C010",'C_jama.2025.11178'!$A$2:$A$38,0))="protocol_report"),IF(INDEX('C_jama.2025.11178'!$L$2:$L$38,MATCH("2025::jama.2025.11178::C010",'C_jama.2025.11178'!$A$2:$A$38,0))="","",INDEX('C_jama.2025.11178'!$L$2:$L$38,MATCH("2025::jama.2025.11178::C010",'C_jama.2025.11178'!$A$2:$A$38,0))),"not_applicable"),"NOT FROZEN")</x:f>
        <x:v>not_applicable</x:v>
      </x:c>
      <x:c r="I27" s="3" t="str">
        <x:f>IF(Setup!$B$6="primary",IF(INDEX('C_jama.2025.11178'!$R$2:$R$38,MATCH("2025::jama.2025.11178::C010",'C_jama.2025.11178'!$A$2:$A$38,0))="","",INDEX('C_jama.2025.11178'!$R$2:$R$38,MATCH("2025::jama.2025.11178::C010",'C_jama.2025.11178'!$A$2:$A$38,0))),"NOT FROZEN")</x:f>
      </x:c>
      <x:c r="J27" s="3" t="str">
        <x:f>IF(Setup!$B$6="primary",INDEX('C_jama.2025.11178'!$F$2:$F$38,MATCH("2025::jama.2025.11178::C010",'C_jama.2025.11178'!$A$2:$A$38,0)),"NOT FROZEN")</x:f>
        <x:v>no</x:v>
      </x:c>
      <x:c r="K27" s="3" t="str">
        <x:f>IF(Setup!$B$6="primary",Setup!$B$2,"NOT FROZEN")</x:f>
      </x:c>
      <x:c r="L27" s="3" t="str">
        <x:f>IF(Setup!$B$6="primary",IF(OR(B27="",B27="not_applicable"),"","Disposition: "&amp;B27&amp;CHAR(10))&amp;IF(OR(C27="",C27="not_applicable"),"","Review domain: "&amp;C27&amp;CHAR(10))&amp;IF(OR(D27="",D27="not_applicable"),"","Statistcal_or_numerical issue: "&amp;D27&amp;CHAR(10))&amp;IF(OR(E27="",E27="not_applicable"),"","Substantiveness: "&amp;E27&amp;CHAR(10))&amp;IF(OR(F27="",F27="not_applicable"),"","Downstream impact: "&amp;F27&amp;CHAR(10))&amp;IF(OR(G27="",G27="not_applicable"),"","Report-internal or planning-material inconsistency: "&amp;G27&amp;CHAR(10))&amp;IF(OR(H27="",H27="not_applicable"),"","Protocol interpretation: "&amp;H27&amp;CHAR(10))&amp;IF(OR(I27="",I27="not_applicable"),"","Notes (optional): "&amp;I27&amp;CHAR(10)),"NOT FROZEN")</x:f>
        <x:v>Review domain: statistical_results
</x:v>
      </x:c>
    </x:row>
    <x:row r="28" ht="70" customHeight="1">
      <x:c r="A28" s="6" t="str">
        <x:f>IF(Setup!$B$6="primary","2025::jama.2025.11178::C011","NOT FROZEN")</x:f>
        <x:v>2025::jama.2025.11178::C011</x:v>
      </x:c>
      <x:c r="B28" s="6" t="str">
        <x:f>IF(Setup!$B$6="primary",IF(INDEX('C_jama.2025.11178'!$D$2:$D$38,MATCH("2025::jama.2025.11178::C011",'C_jama.2025.11178'!$A$2:$A$38,0))="","",INDEX('C_jama.2025.11178'!$D$2:$D$38,MATCH("2025::jama.2025.11178::C011",'C_jama.2025.11178'!$A$2:$A$38,0))),"NOT FROZEN")</x:f>
      </x:c>
      <x:c r="C28" s="6" t="str">
        <x:f>IF(Setup!$B$6="primary",IF(INDEX('C_jama.2025.11178'!$E$2:$E$38,MATCH("2025::jama.2025.11178::C011",'C_jama.2025.11178'!$A$2:$A$38,0))="","",INDEX('C_jama.2025.11178'!$E$2:$E$38,MATCH("2025::jama.2025.11178::C011",'C_jama.2025.11178'!$A$2:$A$38,0))),"NOT FROZEN")</x:f>
        <x:v>statistical_results</x:v>
      </x:c>
      <x:c r="D28" s="6" t="str">
        <x:f>IF(Setup!$B$6="primary",IF(AND(INDEX('C_jama.2025.11178'!$D$2:$D$38,MATCH("2025::jama.2025.11178::C011",'C_jama.2025.11178'!$A$2:$A$38,0))="retain",INDEX('C_jama.2025.11178'!$E$2:$E$38,MATCH("2025::jama.2025.11178::C011",'C_jama.2025.11178'!$A$2:$A$38,0))="statistical_results"),IF(INDEX('C_jama.2025.11178'!$H$2:$H$38,MATCH("2025::jama.2025.11178::C011",'C_jama.2025.11178'!$A$2:$A$38,0))="","",INDEX('C_jama.2025.11178'!$H$2:$H$38,MATCH("2025::jama.2025.11178::C011",'C_jama.2025.11178'!$A$2:$A$38,0))),"not_applicable"),"NOT FROZEN")</x:f>
        <x:v>not_applicable</x:v>
      </x:c>
      <x:c r="E28" s="6" t="str">
        <x:f>IF(Setup!$B$6="primary",IF(AND(INDEX('C_jama.2025.11178'!$D$2:$D$38,MATCH("2025::jama.2025.11178::C011",'C_jama.2025.11178'!$A$2:$A$38,0))="retain",INDEX('C_jama.2025.11178'!$E$2:$E$38,MATCH("2025::jama.2025.11178::C011",'C_jama.2025.11178'!$A$2:$A$38,0))="statistical_results"),IF(INDEX('C_jama.2025.11178'!$I$2:$I$38,MATCH("2025::jama.2025.11178::C011",'C_jama.2025.11178'!$A$2:$A$38,0))="","",INDEX('C_jama.2025.11178'!$I$2:$I$38,MATCH("2025::jama.2025.11178::C011",'C_jama.2025.11178'!$A$2:$A$38,0))),"not_applicable"),"NOT FROZEN")</x:f>
        <x:v>not_applicable</x:v>
      </x:c>
      <x:c r="F28" s="6" t="str">
        <x:f>IF(Setup!$B$6="primary",IF(AND(INDEX('C_jama.2025.11178'!$D$2:$D$38,MATCH("2025::jama.2025.11178::C011",'C_jama.2025.11178'!$A$2:$A$38,0))="retain",INDEX('C_jama.2025.11178'!$E$2:$E$38,MATCH("2025::jama.2025.11178::C011",'C_jama.2025.11178'!$A$2:$A$38,0))="statistical_results"),IF(INDEX('C_jama.2025.11178'!$J$2:$J$38,MATCH("2025::jama.2025.11178::C011",'C_jama.2025.11178'!$A$2:$A$38,0))="","",INDEX('C_jama.2025.11178'!$J$2:$J$38,MATCH("2025::jama.2025.11178::C011",'C_jama.2025.11178'!$A$2:$A$38,0))),"not_applicable"),"NOT FROZEN")</x:f>
        <x:v>not_applicable</x:v>
      </x:c>
      <x:c r="G28" s="6" t="str">
        <x:f>IF(Setup!$B$6="primary",IF(AND(INDEX('C_jama.2025.11178'!$D$2:$D$38,MATCH("2025::jama.2025.11178::C011",'C_jama.2025.11178'!$A$2:$A$38,0))="retain",OR(INDEX('C_jama.2025.11178'!$E$2:$E$38,MATCH("2025::jama.2025.11178::C011",'C_jama.2025.11178'!$A$2:$A$38,0))="report_internal_inconsistency",INDEX('C_jama.2025.11178'!$E$2:$E$38,MATCH("2025::jama.2025.11178::C011",'C_jama.2025.11178'!$A$2:$A$38,0))="plan_material")),IF(INDEX('C_jama.2025.11178'!$K$2:$K$38,MATCH("2025::jama.2025.11178::C011",'C_jama.2025.11178'!$A$2:$A$38,0))="","",INDEX('C_jama.2025.11178'!$K$2:$K$38,MATCH("2025::jama.2025.11178::C011",'C_jama.2025.11178'!$A$2:$A$38,0))),"not_applicable"),"NOT FROZEN")</x:f>
        <x:v>not_applicable</x:v>
      </x:c>
      <x:c r="H28" s="6" t="str">
        <x:f>IF(Setup!$B$6="primary",IF(AND(INDEX('C_jama.2025.11178'!$D$2:$D$38,MATCH("2025::jama.2025.11178::C011",'C_jama.2025.11178'!$A$2:$A$38,0))="retain",INDEX('C_jama.2025.11178'!$E$2:$E$38,MATCH("2025::jama.2025.11178::C011",'C_jama.2025.11178'!$A$2:$A$38,0))="protocol_report"),IF(INDEX('C_jama.2025.11178'!$L$2:$L$38,MATCH("2025::jama.2025.11178::C011",'C_jama.2025.11178'!$A$2:$A$38,0))="","",INDEX('C_jama.2025.11178'!$L$2:$L$38,MATCH("2025::jama.2025.11178::C011",'C_jama.2025.11178'!$A$2:$A$38,0))),"not_applicable"),"NOT FROZEN")</x:f>
        <x:v>not_applicable</x:v>
      </x:c>
      <x:c r="I28" s="6" t="str">
        <x:f>IF(Setup!$B$6="primary",IF(INDEX('C_jama.2025.11178'!$R$2:$R$38,MATCH("2025::jama.2025.11178::C011",'C_jama.2025.11178'!$A$2:$A$38,0))="","",INDEX('C_jama.2025.11178'!$R$2:$R$38,MATCH("2025::jama.2025.11178::C011",'C_jama.2025.11178'!$A$2:$A$38,0))),"NOT FROZEN")</x:f>
      </x:c>
      <x:c r="J28" s="6" t="str">
        <x:f>IF(Setup!$B$6="primary",INDEX('C_jama.2025.11178'!$F$2:$F$38,MATCH("2025::jama.2025.11178::C011",'C_jama.2025.11178'!$A$2:$A$38,0)),"NOT FROZEN")</x:f>
        <x:v>no</x:v>
      </x:c>
      <x:c r="K28" s="6" t="str">
        <x:f>IF(Setup!$B$6="primary",Setup!$B$2,"NOT FROZEN")</x:f>
      </x:c>
      <x:c r="L28" s="6" t="str">
        <x:f>IF(Setup!$B$6="primary",IF(OR(B28="",B28="not_applicable"),"","Disposition: "&amp;B28&amp;CHAR(10))&amp;IF(OR(C28="",C28="not_applicable"),"","Review domain: "&amp;C28&amp;CHAR(10))&amp;IF(OR(D28="",D28="not_applicable"),"","Statistcal_or_numerical issue: "&amp;D28&amp;CHAR(10))&amp;IF(OR(E28="",E28="not_applicable"),"","Substantiveness: "&amp;E28&amp;CHAR(10))&amp;IF(OR(F28="",F28="not_applicable"),"","Downstream impact: "&amp;F28&amp;CHAR(10))&amp;IF(OR(G28="",G28="not_applicable"),"","Report-internal or planning-material inconsistency: "&amp;G28&amp;CHAR(10))&amp;IF(OR(H28="",H28="not_applicable"),"","Protocol interpretation: "&amp;H28&amp;CHAR(10))&amp;IF(OR(I28="",I28="not_applicable"),"","Notes (optional): "&amp;I28&amp;CHAR(10)),"NOT FROZEN")</x:f>
        <x:v>Review domain: statistical_results
</x:v>
      </x:c>
    </x:row>
    <x:row r="29" ht="70" customHeight="1">
      <x:c r="A29" s="3" t="str">
        <x:f>IF(Setup!$B$6="primary","2025::jama.2025.11178::C012","NOT FROZEN")</x:f>
        <x:v>2025::jama.2025.11178::C012</x:v>
      </x:c>
      <x:c r="B29" s="3" t="str">
        <x:f>IF(Setup!$B$6="primary",IF(INDEX('C_jama.2025.11178'!$D$2:$D$38,MATCH("2025::jama.2025.11178::C012",'C_jama.2025.11178'!$A$2:$A$38,0))="","",INDEX('C_jama.2025.11178'!$D$2:$D$38,MATCH("2025::jama.2025.11178::C012",'C_jama.2025.11178'!$A$2:$A$38,0))),"NOT FROZEN")</x:f>
      </x:c>
      <x:c r="C29" s="3" t="str">
        <x:f>IF(Setup!$B$6="primary",IF(INDEX('C_jama.2025.11178'!$E$2:$E$38,MATCH("2025::jama.2025.11178::C012",'C_jama.2025.11178'!$A$2:$A$38,0))="","",INDEX('C_jama.2025.11178'!$E$2:$E$38,MATCH("2025::jama.2025.11178::C012",'C_jama.2025.11178'!$A$2:$A$38,0))),"NOT FROZEN")</x:f>
        <x:v>statistical_results</x:v>
      </x:c>
      <x:c r="D29" s="3" t="str">
        <x:f>IF(Setup!$B$6="primary",IF(AND(INDEX('C_jama.2025.11178'!$D$2:$D$38,MATCH("2025::jama.2025.11178::C012",'C_jama.2025.11178'!$A$2:$A$38,0))="retain",INDEX('C_jama.2025.11178'!$E$2:$E$38,MATCH("2025::jama.2025.11178::C012",'C_jama.2025.11178'!$A$2:$A$38,0))="statistical_results"),IF(INDEX('C_jama.2025.11178'!$H$2:$H$38,MATCH("2025::jama.2025.11178::C012",'C_jama.2025.11178'!$A$2:$A$38,0))="","",INDEX('C_jama.2025.11178'!$H$2:$H$38,MATCH("2025::jama.2025.11178::C012",'C_jama.2025.11178'!$A$2:$A$38,0))),"not_applicable"),"NOT FROZEN")</x:f>
        <x:v>not_applicable</x:v>
      </x:c>
      <x:c r="E29" s="3" t="str">
        <x:f>IF(Setup!$B$6="primary",IF(AND(INDEX('C_jama.2025.11178'!$D$2:$D$38,MATCH("2025::jama.2025.11178::C012",'C_jama.2025.11178'!$A$2:$A$38,0))="retain",INDEX('C_jama.2025.11178'!$E$2:$E$38,MATCH("2025::jama.2025.11178::C012",'C_jama.2025.11178'!$A$2:$A$38,0))="statistical_results"),IF(INDEX('C_jama.2025.11178'!$I$2:$I$38,MATCH("2025::jama.2025.11178::C012",'C_jama.2025.11178'!$A$2:$A$38,0))="","",INDEX('C_jama.2025.11178'!$I$2:$I$38,MATCH("2025::jama.2025.11178::C012",'C_jama.2025.11178'!$A$2:$A$38,0))),"not_applicable"),"NOT FROZEN")</x:f>
        <x:v>not_applicable</x:v>
      </x:c>
      <x:c r="F29" s="3" t="str">
        <x:f>IF(Setup!$B$6="primary",IF(AND(INDEX('C_jama.2025.11178'!$D$2:$D$38,MATCH("2025::jama.2025.11178::C012",'C_jama.2025.11178'!$A$2:$A$38,0))="retain",INDEX('C_jama.2025.11178'!$E$2:$E$38,MATCH("2025::jama.2025.11178::C012",'C_jama.2025.11178'!$A$2:$A$38,0))="statistical_results"),IF(INDEX('C_jama.2025.11178'!$J$2:$J$38,MATCH("2025::jama.2025.11178::C012",'C_jama.2025.11178'!$A$2:$A$38,0))="","",INDEX('C_jama.2025.11178'!$J$2:$J$38,MATCH("2025::jama.2025.11178::C012",'C_jama.2025.11178'!$A$2:$A$38,0))),"not_applicable"),"NOT FROZEN")</x:f>
        <x:v>not_applicable</x:v>
      </x:c>
      <x:c r="G29" s="3" t="str">
        <x:f>IF(Setup!$B$6="primary",IF(AND(INDEX('C_jama.2025.11178'!$D$2:$D$38,MATCH("2025::jama.2025.11178::C012",'C_jama.2025.11178'!$A$2:$A$38,0))="retain",OR(INDEX('C_jama.2025.11178'!$E$2:$E$38,MATCH("2025::jama.2025.11178::C012",'C_jama.2025.11178'!$A$2:$A$38,0))="report_internal_inconsistency",INDEX('C_jama.2025.11178'!$E$2:$E$38,MATCH("2025::jama.2025.11178::C012",'C_jama.2025.11178'!$A$2:$A$38,0))="plan_material")),IF(INDEX('C_jama.2025.11178'!$K$2:$K$38,MATCH("2025::jama.2025.11178::C012",'C_jama.2025.11178'!$A$2:$A$38,0))="","",INDEX('C_jama.2025.11178'!$K$2:$K$38,MATCH("2025::jama.2025.11178::C012",'C_jama.2025.11178'!$A$2:$A$38,0))),"not_applicable"),"NOT FROZEN")</x:f>
        <x:v>not_applicable</x:v>
      </x:c>
      <x:c r="H29" s="3" t="str">
        <x:f>IF(Setup!$B$6="primary",IF(AND(INDEX('C_jama.2025.11178'!$D$2:$D$38,MATCH("2025::jama.2025.11178::C012",'C_jama.2025.11178'!$A$2:$A$38,0))="retain",INDEX('C_jama.2025.11178'!$E$2:$E$38,MATCH("2025::jama.2025.11178::C012",'C_jama.2025.11178'!$A$2:$A$38,0))="protocol_report"),IF(INDEX('C_jama.2025.11178'!$L$2:$L$38,MATCH("2025::jama.2025.11178::C012",'C_jama.2025.11178'!$A$2:$A$38,0))="","",INDEX('C_jama.2025.11178'!$L$2:$L$38,MATCH("2025::jama.2025.11178::C012",'C_jama.2025.11178'!$A$2:$A$38,0))),"not_applicable"),"NOT FROZEN")</x:f>
        <x:v>not_applicable</x:v>
      </x:c>
      <x:c r="I29" s="3" t="str">
        <x:f>IF(Setup!$B$6="primary",IF(INDEX('C_jama.2025.11178'!$R$2:$R$38,MATCH("2025::jama.2025.11178::C012",'C_jama.2025.11178'!$A$2:$A$38,0))="","",INDEX('C_jama.2025.11178'!$R$2:$R$38,MATCH("2025::jama.2025.11178::C012",'C_jama.2025.11178'!$A$2:$A$38,0))),"NOT FROZEN")</x:f>
      </x:c>
      <x:c r="J29" s="3" t="str">
        <x:f>IF(Setup!$B$6="primary",INDEX('C_jama.2025.11178'!$F$2:$F$38,MATCH("2025::jama.2025.11178::C012",'C_jama.2025.11178'!$A$2:$A$38,0)),"NOT FROZEN")</x:f>
        <x:v>no</x:v>
      </x:c>
      <x:c r="K29" s="3" t="str">
        <x:f>IF(Setup!$B$6="primary",Setup!$B$2,"NOT FROZEN")</x:f>
      </x:c>
      <x:c r="L29" s="3" t="str">
        <x:f>IF(Setup!$B$6="primary",IF(OR(B29="",B29="not_applicable"),"","Disposition: "&amp;B29&amp;CHAR(10))&amp;IF(OR(C29="",C29="not_applicable"),"","Review domain: "&amp;C29&amp;CHAR(10))&amp;IF(OR(D29="",D29="not_applicable"),"","Statistcal_or_numerical issue: "&amp;D29&amp;CHAR(10))&amp;IF(OR(E29="",E29="not_applicable"),"","Substantiveness: "&amp;E29&amp;CHAR(10))&amp;IF(OR(F29="",F29="not_applicable"),"","Downstream impact: "&amp;F29&amp;CHAR(10))&amp;IF(OR(G29="",G29="not_applicable"),"","Report-internal or planning-material inconsistency: "&amp;G29&amp;CHAR(10))&amp;IF(OR(H29="",H29="not_applicable"),"","Protocol interpretation: "&amp;H29&amp;CHAR(10))&amp;IF(OR(I29="",I29="not_applicable"),"","Notes (optional): "&amp;I29&amp;CHAR(10)),"NOT FROZEN")</x:f>
        <x:v>Review domain: statistical_results
</x:v>
      </x:c>
    </x:row>
    <x:row r="30" ht="70" customHeight="1">
      <x:c r="A30" s="6" t="str">
        <x:f>IF(Setup!$B$6="primary","2025::jama.2025.11178::C013","NOT FROZEN")</x:f>
        <x:v>2025::jama.2025.11178::C013</x:v>
      </x:c>
      <x:c r="B30" s="6" t="str">
        <x:f>IF(Setup!$B$6="primary",IF(INDEX('C_jama.2025.11178'!$D$2:$D$38,MATCH("2025::jama.2025.11178::C013",'C_jama.2025.11178'!$A$2:$A$38,0))="","",INDEX('C_jama.2025.11178'!$D$2:$D$38,MATCH("2025::jama.2025.11178::C013",'C_jama.2025.11178'!$A$2:$A$38,0))),"NOT FROZEN")</x:f>
      </x:c>
      <x:c r="C30" s="6" t="str">
        <x:f>IF(Setup!$B$6="primary",IF(INDEX('C_jama.2025.11178'!$E$2:$E$38,MATCH("2025::jama.2025.11178::C013",'C_jama.2025.11178'!$A$2:$A$38,0))="","",INDEX('C_jama.2025.11178'!$E$2:$E$38,MATCH("2025::jama.2025.11178::C013",'C_jama.2025.11178'!$A$2:$A$38,0))),"NOT FROZEN")</x:f>
        <x:v>statistical_results</x:v>
      </x:c>
      <x:c r="D30" s="6" t="str">
        <x:f>IF(Setup!$B$6="primary",IF(AND(INDEX('C_jama.2025.11178'!$D$2:$D$38,MATCH("2025::jama.2025.11178::C013",'C_jama.2025.11178'!$A$2:$A$38,0))="retain",INDEX('C_jama.2025.11178'!$E$2:$E$38,MATCH("2025::jama.2025.11178::C013",'C_jama.2025.11178'!$A$2:$A$38,0))="statistical_results"),IF(INDEX('C_jama.2025.11178'!$H$2:$H$38,MATCH("2025::jama.2025.11178::C013",'C_jama.2025.11178'!$A$2:$A$38,0))="","",INDEX('C_jama.2025.11178'!$H$2:$H$38,MATCH("2025::jama.2025.11178::C013",'C_jama.2025.11178'!$A$2:$A$38,0))),"not_applicable"),"NOT FROZEN")</x:f>
        <x:v>not_applicable</x:v>
      </x:c>
      <x:c r="E30" s="6" t="str">
        <x:f>IF(Setup!$B$6="primary",IF(AND(INDEX('C_jama.2025.11178'!$D$2:$D$38,MATCH("2025::jama.2025.11178::C013",'C_jama.2025.11178'!$A$2:$A$38,0))="retain",INDEX('C_jama.2025.11178'!$E$2:$E$38,MATCH("2025::jama.2025.11178::C013",'C_jama.2025.11178'!$A$2:$A$38,0))="statistical_results"),IF(INDEX('C_jama.2025.11178'!$I$2:$I$38,MATCH("2025::jama.2025.11178::C013",'C_jama.2025.11178'!$A$2:$A$38,0))="","",INDEX('C_jama.2025.11178'!$I$2:$I$38,MATCH("2025::jama.2025.11178::C013",'C_jama.2025.11178'!$A$2:$A$38,0))),"not_applicable"),"NOT FROZEN")</x:f>
        <x:v>not_applicable</x:v>
      </x:c>
      <x:c r="F30" s="6" t="str">
        <x:f>IF(Setup!$B$6="primary",IF(AND(INDEX('C_jama.2025.11178'!$D$2:$D$38,MATCH("2025::jama.2025.11178::C013",'C_jama.2025.11178'!$A$2:$A$38,0))="retain",INDEX('C_jama.2025.11178'!$E$2:$E$38,MATCH("2025::jama.2025.11178::C013",'C_jama.2025.11178'!$A$2:$A$38,0))="statistical_results"),IF(INDEX('C_jama.2025.11178'!$J$2:$J$38,MATCH("2025::jama.2025.11178::C013",'C_jama.2025.11178'!$A$2:$A$38,0))="","",INDEX('C_jama.2025.11178'!$J$2:$J$38,MATCH("2025::jama.2025.11178::C013",'C_jama.2025.11178'!$A$2:$A$38,0))),"not_applicable"),"NOT FROZEN")</x:f>
        <x:v>not_applicable</x:v>
      </x:c>
      <x:c r="G30" s="6" t="str">
        <x:f>IF(Setup!$B$6="primary",IF(AND(INDEX('C_jama.2025.11178'!$D$2:$D$38,MATCH("2025::jama.2025.11178::C013",'C_jama.2025.11178'!$A$2:$A$38,0))="retain",OR(INDEX('C_jama.2025.11178'!$E$2:$E$38,MATCH("2025::jama.2025.11178::C013",'C_jama.2025.11178'!$A$2:$A$38,0))="report_internal_inconsistency",INDEX('C_jama.2025.11178'!$E$2:$E$38,MATCH("2025::jama.2025.11178::C013",'C_jama.2025.11178'!$A$2:$A$38,0))="plan_material")),IF(INDEX('C_jama.2025.11178'!$K$2:$K$38,MATCH("2025::jama.2025.11178::C013",'C_jama.2025.11178'!$A$2:$A$38,0))="","",INDEX('C_jama.2025.11178'!$K$2:$K$38,MATCH("2025::jama.2025.11178::C013",'C_jama.2025.11178'!$A$2:$A$38,0))),"not_applicable"),"NOT FROZEN")</x:f>
        <x:v>not_applicable</x:v>
      </x:c>
      <x:c r="H30" s="6" t="str">
        <x:f>IF(Setup!$B$6="primary",IF(AND(INDEX('C_jama.2025.11178'!$D$2:$D$38,MATCH("2025::jama.2025.11178::C013",'C_jama.2025.11178'!$A$2:$A$38,0))="retain",INDEX('C_jama.2025.11178'!$E$2:$E$38,MATCH("2025::jama.2025.11178::C013",'C_jama.2025.11178'!$A$2:$A$38,0))="protocol_report"),IF(INDEX('C_jama.2025.11178'!$L$2:$L$38,MATCH("2025::jama.2025.11178::C013",'C_jama.2025.11178'!$A$2:$A$38,0))="","",INDEX('C_jama.2025.11178'!$L$2:$L$38,MATCH("2025::jama.2025.11178::C013",'C_jama.2025.11178'!$A$2:$A$38,0))),"not_applicable"),"NOT FROZEN")</x:f>
        <x:v>not_applicable</x:v>
      </x:c>
      <x:c r="I30" s="6" t="str">
        <x:f>IF(Setup!$B$6="primary",IF(INDEX('C_jama.2025.11178'!$R$2:$R$38,MATCH("2025::jama.2025.11178::C013",'C_jama.2025.11178'!$A$2:$A$38,0))="","",INDEX('C_jama.2025.11178'!$R$2:$R$38,MATCH("2025::jama.2025.11178::C013",'C_jama.2025.11178'!$A$2:$A$38,0))),"NOT FROZEN")</x:f>
      </x:c>
      <x:c r="J30" s="6" t="str">
        <x:f>IF(Setup!$B$6="primary",INDEX('C_jama.2025.11178'!$F$2:$F$38,MATCH("2025::jama.2025.11178::C013",'C_jama.2025.11178'!$A$2:$A$38,0)),"NOT FROZEN")</x:f>
        <x:v>no</x:v>
      </x:c>
      <x:c r="K30" s="6" t="str">
        <x:f>IF(Setup!$B$6="primary",Setup!$B$2,"NOT FROZEN")</x:f>
      </x:c>
      <x:c r="L30" s="6" t="str">
        <x:f>IF(Setup!$B$6="primary",IF(OR(B30="",B30="not_applicable"),"","Disposition: "&amp;B30&amp;CHAR(10))&amp;IF(OR(C30="",C30="not_applicable"),"","Review domain: "&amp;C30&amp;CHAR(10))&amp;IF(OR(D30="",D30="not_applicable"),"","Statistcal_or_numerical issue: "&amp;D30&amp;CHAR(10))&amp;IF(OR(E30="",E30="not_applicable"),"","Substantiveness: "&amp;E30&amp;CHAR(10))&amp;IF(OR(F30="",F30="not_applicable"),"","Downstream impact: "&amp;F30&amp;CHAR(10))&amp;IF(OR(G30="",G30="not_applicable"),"","Report-internal or planning-material inconsistency: "&amp;G30&amp;CHAR(10))&amp;IF(OR(H30="",H30="not_applicable"),"","Protocol interpretation: "&amp;H30&amp;CHAR(10))&amp;IF(OR(I30="",I30="not_applicable"),"","Notes (optional): "&amp;I30&amp;CHAR(10)),"NOT FROZEN")</x:f>
        <x:v>Review domain: statistical_results
</x:v>
      </x:c>
    </x:row>
    <x:row r="31" ht="70" customHeight="1">
      <x:c r="A31" s="3" t="str">
        <x:f>IF(Setup!$B$6="primary","2025::jama.2025.11178::C014","NOT FROZEN")</x:f>
        <x:v>2025::jama.2025.11178::C014</x:v>
      </x:c>
      <x:c r="B31" s="3" t="str">
        <x:f>IF(Setup!$B$6="primary",IF(INDEX('C_jama.2025.11178'!$D$2:$D$38,MATCH("2025::jama.2025.11178::C014",'C_jama.2025.11178'!$A$2:$A$38,0))="","",INDEX('C_jama.2025.11178'!$D$2:$D$38,MATCH("2025::jama.2025.11178::C014",'C_jama.2025.11178'!$A$2:$A$38,0))),"NOT FROZEN")</x:f>
      </x:c>
      <x:c r="C31" s="3" t="str">
        <x:f>IF(Setup!$B$6="primary",IF(INDEX('C_jama.2025.11178'!$E$2:$E$38,MATCH("2025::jama.2025.11178::C014",'C_jama.2025.11178'!$A$2:$A$38,0))="","",INDEX('C_jama.2025.11178'!$E$2:$E$38,MATCH("2025::jama.2025.11178::C014",'C_jama.2025.11178'!$A$2:$A$38,0))),"NOT FROZEN")</x:f>
        <x:v>statistical_results</x:v>
      </x:c>
      <x:c r="D31" s="3" t="str">
        <x:f>IF(Setup!$B$6="primary",IF(AND(INDEX('C_jama.2025.11178'!$D$2:$D$38,MATCH("2025::jama.2025.11178::C014",'C_jama.2025.11178'!$A$2:$A$38,0))="retain",INDEX('C_jama.2025.11178'!$E$2:$E$38,MATCH("2025::jama.2025.11178::C014",'C_jama.2025.11178'!$A$2:$A$38,0))="statistical_results"),IF(INDEX('C_jama.2025.11178'!$H$2:$H$38,MATCH("2025::jama.2025.11178::C014",'C_jama.2025.11178'!$A$2:$A$38,0))="","",INDEX('C_jama.2025.11178'!$H$2:$H$38,MATCH("2025::jama.2025.11178::C014",'C_jama.2025.11178'!$A$2:$A$38,0))),"not_applicable"),"NOT FROZEN")</x:f>
        <x:v>not_applicable</x:v>
      </x:c>
      <x:c r="E31" s="3" t="str">
        <x:f>IF(Setup!$B$6="primary",IF(AND(INDEX('C_jama.2025.11178'!$D$2:$D$38,MATCH("2025::jama.2025.11178::C014",'C_jama.2025.11178'!$A$2:$A$38,0))="retain",INDEX('C_jama.2025.11178'!$E$2:$E$38,MATCH("2025::jama.2025.11178::C014",'C_jama.2025.11178'!$A$2:$A$38,0))="statistical_results"),IF(INDEX('C_jama.2025.11178'!$I$2:$I$38,MATCH("2025::jama.2025.11178::C014",'C_jama.2025.11178'!$A$2:$A$38,0))="","",INDEX('C_jama.2025.11178'!$I$2:$I$38,MATCH("2025::jama.2025.11178::C014",'C_jama.2025.11178'!$A$2:$A$38,0))),"not_applicable"),"NOT FROZEN")</x:f>
        <x:v>not_applicable</x:v>
      </x:c>
      <x:c r="F31" s="3" t="str">
        <x:f>IF(Setup!$B$6="primary",IF(AND(INDEX('C_jama.2025.11178'!$D$2:$D$38,MATCH("2025::jama.2025.11178::C014",'C_jama.2025.11178'!$A$2:$A$38,0))="retain",INDEX('C_jama.2025.11178'!$E$2:$E$38,MATCH("2025::jama.2025.11178::C014",'C_jama.2025.11178'!$A$2:$A$38,0))="statistical_results"),IF(INDEX('C_jama.2025.11178'!$J$2:$J$38,MATCH("2025::jama.2025.11178::C014",'C_jama.2025.11178'!$A$2:$A$38,0))="","",INDEX('C_jama.2025.11178'!$J$2:$J$38,MATCH("2025::jama.2025.11178::C014",'C_jama.2025.11178'!$A$2:$A$38,0))),"not_applicable"),"NOT FROZEN")</x:f>
        <x:v>not_applicable</x:v>
      </x:c>
      <x:c r="G31" s="3" t="str">
        <x:f>IF(Setup!$B$6="primary",IF(AND(INDEX('C_jama.2025.11178'!$D$2:$D$38,MATCH("2025::jama.2025.11178::C014",'C_jama.2025.11178'!$A$2:$A$38,0))="retain",OR(INDEX('C_jama.2025.11178'!$E$2:$E$38,MATCH("2025::jama.2025.11178::C014",'C_jama.2025.11178'!$A$2:$A$38,0))="report_internal_inconsistency",INDEX('C_jama.2025.11178'!$E$2:$E$38,MATCH("2025::jama.2025.11178::C014",'C_jama.2025.11178'!$A$2:$A$38,0))="plan_material")),IF(INDEX('C_jama.2025.11178'!$K$2:$K$38,MATCH("2025::jama.2025.11178::C014",'C_jama.2025.11178'!$A$2:$A$38,0))="","",INDEX('C_jama.2025.11178'!$K$2:$K$38,MATCH("2025::jama.2025.11178::C014",'C_jama.2025.11178'!$A$2:$A$38,0))),"not_applicable"),"NOT FROZEN")</x:f>
        <x:v>not_applicable</x:v>
      </x:c>
      <x:c r="H31" s="3" t="str">
        <x:f>IF(Setup!$B$6="primary",IF(AND(INDEX('C_jama.2025.11178'!$D$2:$D$38,MATCH("2025::jama.2025.11178::C014",'C_jama.2025.11178'!$A$2:$A$38,0))="retain",INDEX('C_jama.2025.11178'!$E$2:$E$38,MATCH("2025::jama.2025.11178::C014",'C_jama.2025.11178'!$A$2:$A$38,0))="protocol_report"),IF(INDEX('C_jama.2025.11178'!$L$2:$L$38,MATCH("2025::jama.2025.11178::C014",'C_jama.2025.11178'!$A$2:$A$38,0))="","",INDEX('C_jama.2025.11178'!$L$2:$L$38,MATCH("2025::jama.2025.11178::C014",'C_jama.2025.11178'!$A$2:$A$38,0))),"not_applicable"),"NOT FROZEN")</x:f>
        <x:v>not_applicable</x:v>
      </x:c>
      <x:c r="I31" s="3" t="str">
        <x:f>IF(Setup!$B$6="primary",IF(INDEX('C_jama.2025.11178'!$R$2:$R$38,MATCH("2025::jama.2025.11178::C014",'C_jama.2025.11178'!$A$2:$A$38,0))="","",INDEX('C_jama.2025.11178'!$R$2:$R$38,MATCH("2025::jama.2025.11178::C014",'C_jama.2025.11178'!$A$2:$A$38,0))),"NOT FROZEN")</x:f>
      </x:c>
      <x:c r="J31" s="3" t="str">
        <x:f>IF(Setup!$B$6="primary",INDEX('C_jama.2025.11178'!$F$2:$F$38,MATCH("2025::jama.2025.11178::C014",'C_jama.2025.11178'!$A$2:$A$38,0)),"NOT FROZEN")</x:f>
        <x:v>no</x:v>
      </x:c>
      <x:c r="K31" s="3" t="str">
        <x:f>IF(Setup!$B$6="primary",Setup!$B$2,"NOT FROZEN")</x:f>
      </x:c>
      <x:c r="L31" s="3" t="str">
        <x:f>IF(Setup!$B$6="primary",IF(OR(B31="",B31="not_applicable"),"","Disposition: "&amp;B31&amp;CHAR(10))&amp;IF(OR(C31="",C31="not_applicable"),"","Review domain: "&amp;C31&amp;CHAR(10))&amp;IF(OR(D31="",D31="not_applicable"),"","Statistcal_or_numerical issue: "&amp;D31&amp;CHAR(10))&amp;IF(OR(E31="",E31="not_applicable"),"","Substantiveness: "&amp;E31&amp;CHAR(10))&amp;IF(OR(F31="",F31="not_applicable"),"","Downstream impact: "&amp;F31&amp;CHAR(10))&amp;IF(OR(G31="",G31="not_applicable"),"","Report-internal or planning-material inconsistency: "&amp;G31&amp;CHAR(10))&amp;IF(OR(H31="",H31="not_applicable"),"","Protocol interpretation: "&amp;H31&amp;CHAR(10))&amp;IF(OR(I31="",I31="not_applicable"),"","Notes (optional): "&amp;I31&amp;CHAR(10)),"NOT FROZEN")</x:f>
        <x:v>Review domain: statistical_results
</x:v>
      </x:c>
    </x:row>
    <x:row r="32" ht="70" customHeight="1">
      <x:c r="A32" s="6" t="str">
        <x:f>IF(Setup!$B$6="primary","2025::jama.2025.11178::C015","NOT FROZEN")</x:f>
        <x:v>2025::jama.2025.11178::C015</x:v>
      </x:c>
      <x:c r="B32" s="6" t="str">
        <x:f>IF(Setup!$B$6="primary",IF(INDEX('C_jama.2025.11178'!$D$2:$D$38,MATCH("2025::jama.2025.11178::C015",'C_jama.2025.11178'!$A$2:$A$38,0))="","",INDEX('C_jama.2025.11178'!$D$2:$D$38,MATCH("2025::jama.2025.11178::C015",'C_jama.2025.11178'!$A$2:$A$38,0))),"NOT FROZEN")</x:f>
      </x:c>
      <x:c r="C32" s="6" t="str">
        <x:f>IF(Setup!$B$6="primary",IF(INDEX('C_jama.2025.11178'!$E$2:$E$38,MATCH("2025::jama.2025.11178::C015",'C_jama.2025.11178'!$A$2:$A$38,0))="","",INDEX('C_jama.2025.11178'!$E$2:$E$38,MATCH("2025::jama.2025.11178::C015",'C_jama.2025.11178'!$A$2:$A$38,0))),"NOT FROZEN")</x:f>
        <x:v>statistical_results</x:v>
      </x:c>
      <x:c r="D32" s="6" t="str">
        <x:f>IF(Setup!$B$6="primary",IF(AND(INDEX('C_jama.2025.11178'!$D$2:$D$38,MATCH("2025::jama.2025.11178::C015",'C_jama.2025.11178'!$A$2:$A$38,0))="retain",INDEX('C_jama.2025.11178'!$E$2:$E$38,MATCH("2025::jama.2025.11178::C015",'C_jama.2025.11178'!$A$2:$A$38,0))="statistical_results"),IF(INDEX('C_jama.2025.11178'!$H$2:$H$38,MATCH("2025::jama.2025.11178::C015",'C_jama.2025.11178'!$A$2:$A$38,0))="","",INDEX('C_jama.2025.11178'!$H$2:$H$38,MATCH("2025::jama.2025.11178::C015",'C_jama.2025.11178'!$A$2:$A$38,0))),"not_applicable"),"NOT FROZEN")</x:f>
        <x:v>not_applicable</x:v>
      </x:c>
      <x:c r="E32" s="6" t="str">
        <x:f>IF(Setup!$B$6="primary",IF(AND(INDEX('C_jama.2025.11178'!$D$2:$D$38,MATCH("2025::jama.2025.11178::C015",'C_jama.2025.11178'!$A$2:$A$38,0))="retain",INDEX('C_jama.2025.11178'!$E$2:$E$38,MATCH("2025::jama.2025.11178::C015",'C_jama.2025.11178'!$A$2:$A$38,0))="statistical_results"),IF(INDEX('C_jama.2025.11178'!$I$2:$I$38,MATCH("2025::jama.2025.11178::C015",'C_jama.2025.11178'!$A$2:$A$38,0))="","",INDEX('C_jama.2025.11178'!$I$2:$I$38,MATCH("2025::jama.2025.11178::C015",'C_jama.2025.11178'!$A$2:$A$38,0))),"not_applicable"),"NOT FROZEN")</x:f>
        <x:v>not_applicable</x:v>
      </x:c>
      <x:c r="F32" s="6" t="str">
        <x:f>IF(Setup!$B$6="primary",IF(AND(INDEX('C_jama.2025.11178'!$D$2:$D$38,MATCH("2025::jama.2025.11178::C015",'C_jama.2025.11178'!$A$2:$A$38,0))="retain",INDEX('C_jama.2025.11178'!$E$2:$E$38,MATCH("2025::jama.2025.11178::C015",'C_jama.2025.11178'!$A$2:$A$38,0))="statistical_results"),IF(INDEX('C_jama.2025.11178'!$J$2:$J$38,MATCH("2025::jama.2025.11178::C015",'C_jama.2025.11178'!$A$2:$A$38,0))="","",INDEX('C_jama.2025.11178'!$J$2:$J$38,MATCH("2025::jama.2025.11178::C015",'C_jama.2025.11178'!$A$2:$A$38,0))),"not_applicable"),"NOT FROZEN")</x:f>
        <x:v>not_applicable</x:v>
      </x:c>
      <x:c r="G32" s="6" t="str">
        <x:f>IF(Setup!$B$6="primary",IF(AND(INDEX('C_jama.2025.11178'!$D$2:$D$38,MATCH("2025::jama.2025.11178::C015",'C_jama.2025.11178'!$A$2:$A$38,0))="retain",OR(INDEX('C_jama.2025.11178'!$E$2:$E$38,MATCH("2025::jama.2025.11178::C015",'C_jama.2025.11178'!$A$2:$A$38,0))="report_internal_inconsistency",INDEX('C_jama.2025.11178'!$E$2:$E$38,MATCH("2025::jama.2025.11178::C015",'C_jama.2025.11178'!$A$2:$A$38,0))="plan_material")),IF(INDEX('C_jama.2025.11178'!$K$2:$K$38,MATCH("2025::jama.2025.11178::C015",'C_jama.2025.11178'!$A$2:$A$38,0))="","",INDEX('C_jama.2025.11178'!$K$2:$K$38,MATCH("2025::jama.2025.11178::C015",'C_jama.2025.11178'!$A$2:$A$38,0))),"not_applicable"),"NOT FROZEN")</x:f>
        <x:v>not_applicable</x:v>
      </x:c>
      <x:c r="H32" s="6" t="str">
        <x:f>IF(Setup!$B$6="primary",IF(AND(INDEX('C_jama.2025.11178'!$D$2:$D$38,MATCH("2025::jama.2025.11178::C015",'C_jama.2025.11178'!$A$2:$A$38,0))="retain",INDEX('C_jama.2025.11178'!$E$2:$E$38,MATCH("2025::jama.2025.11178::C015",'C_jama.2025.11178'!$A$2:$A$38,0))="protocol_report"),IF(INDEX('C_jama.2025.11178'!$L$2:$L$38,MATCH("2025::jama.2025.11178::C015",'C_jama.2025.11178'!$A$2:$A$38,0))="","",INDEX('C_jama.2025.11178'!$L$2:$L$38,MATCH("2025::jama.2025.11178::C015",'C_jama.2025.11178'!$A$2:$A$38,0))),"not_applicable"),"NOT FROZEN")</x:f>
        <x:v>not_applicable</x:v>
      </x:c>
      <x:c r="I32" s="6" t="str">
        <x:f>IF(Setup!$B$6="primary",IF(INDEX('C_jama.2025.11178'!$R$2:$R$38,MATCH("2025::jama.2025.11178::C015",'C_jama.2025.11178'!$A$2:$A$38,0))="","",INDEX('C_jama.2025.11178'!$R$2:$R$38,MATCH("2025::jama.2025.11178::C015",'C_jama.2025.11178'!$A$2:$A$38,0))),"NOT FROZEN")</x:f>
      </x:c>
      <x:c r="J32" s="6" t="str">
        <x:f>IF(Setup!$B$6="primary",INDEX('C_jama.2025.11178'!$F$2:$F$38,MATCH("2025::jama.2025.11178::C015",'C_jama.2025.11178'!$A$2:$A$38,0)),"NOT FROZEN")</x:f>
        <x:v>no</x:v>
      </x:c>
      <x:c r="K32" s="6" t="str">
        <x:f>IF(Setup!$B$6="primary",Setup!$B$2,"NOT FROZEN")</x:f>
      </x:c>
      <x:c r="L32" s="6" t="str">
        <x:f>IF(Setup!$B$6="primary",IF(OR(B32="",B32="not_applicable"),"","Disposition: "&amp;B32&amp;CHAR(10))&amp;IF(OR(C32="",C32="not_applicable"),"","Review domain: "&amp;C32&amp;CHAR(10))&amp;IF(OR(D32="",D32="not_applicable"),"","Statistcal_or_numerical issue: "&amp;D32&amp;CHAR(10))&amp;IF(OR(E32="",E32="not_applicable"),"","Substantiveness: "&amp;E32&amp;CHAR(10))&amp;IF(OR(F32="",F32="not_applicable"),"","Downstream impact: "&amp;F32&amp;CHAR(10))&amp;IF(OR(G32="",G32="not_applicable"),"","Report-internal or planning-material inconsistency: "&amp;G32&amp;CHAR(10))&amp;IF(OR(H32="",H32="not_applicable"),"","Protocol interpretation: "&amp;H32&amp;CHAR(10))&amp;IF(OR(I32="",I32="not_applicable"),"","Notes (optional): "&amp;I32&amp;CHAR(10)),"NOT FROZEN")</x:f>
        <x:v>Review domain: statistical_results
</x:v>
      </x:c>
    </x:row>
    <x:row r="33" ht="70" customHeight="1">
      <x:c r="A33" s="3" t="str">
        <x:f>IF(Setup!$B$6="primary","2025::jama.2025.11178::C016","NOT FROZEN")</x:f>
        <x:v>2025::jama.2025.11178::C016</x:v>
      </x:c>
      <x:c r="B33" s="3" t="str">
        <x:f>IF(Setup!$B$6="primary",IF(INDEX('C_jama.2025.11178'!$D$2:$D$38,MATCH("2025::jama.2025.11178::C016",'C_jama.2025.11178'!$A$2:$A$38,0))="","",INDEX('C_jama.2025.11178'!$D$2:$D$38,MATCH("2025::jama.2025.11178::C016",'C_jama.2025.11178'!$A$2:$A$38,0))),"NOT FROZEN")</x:f>
      </x:c>
      <x:c r="C33" s="3" t="str">
        <x:f>IF(Setup!$B$6="primary",IF(INDEX('C_jama.2025.11178'!$E$2:$E$38,MATCH("2025::jama.2025.11178::C016",'C_jama.2025.11178'!$A$2:$A$38,0))="","",INDEX('C_jama.2025.11178'!$E$2:$E$38,MATCH("2025::jama.2025.11178::C016",'C_jama.2025.11178'!$A$2:$A$38,0))),"NOT FROZEN")</x:f>
        <x:v>statistical_results</x:v>
      </x:c>
      <x:c r="D33" s="3" t="str">
        <x:f>IF(Setup!$B$6="primary",IF(AND(INDEX('C_jama.2025.11178'!$D$2:$D$38,MATCH("2025::jama.2025.11178::C016",'C_jama.2025.11178'!$A$2:$A$38,0))="retain",INDEX('C_jama.2025.11178'!$E$2:$E$38,MATCH("2025::jama.2025.11178::C016",'C_jama.2025.11178'!$A$2:$A$38,0))="statistical_results"),IF(INDEX('C_jama.2025.11178'!$H$2:$H$38,MATCH("2025::jama.2025.11178::C016",'C_jama.2025.11178'!$A$2:$A$38,0))="","",INDEX('C_jama.2025.11178'!$H$2:$H$38,MATCH("2025::jama.2025.11178::C016",'C_jama.2025.11178'!$A$2:$A$38,0))),"not_applicable"),"NOT FROZEN")</x:f>
        <x:v>not_applicable</x:v>
      </x:c>
      <x:c r="E33" s="3" t="str">
        <x:f>IF(Setup!$B$6="primary",IF(AND(INDEX('C_jama.2025.11178'!$D$2:$D$38,MATCH("2025::jama.2025.11178::C016",'C_jama.2025.11178'!$A$2:$A$38,0))="retain",INDEX('C_jama.2025.11178'!$E$2:$E$38,MATCH("2025::jama.2025.11178::C016",'C_jama.2025.11178'!$A$2:$A$38,0))="statistical_results"),IF(INDEX('C_jama.2025.11178'!$I$2:$I$38,MATCH("2025::jama.2025.11178::C016",'C_jama.2025.11178'!$A$2:$A$38,0))="","",INDEX('C_jama.2025.11178'!$I$2:$I$38,MATCH("2025::jama.2025.11178::C016",'C_jama.2025.11178'!$A$2:$A$38,0))),"not_applicable"),"NOT FROZEN")</x:f>
        <x:v>not_applicable</x:v>
      </x:c>
      <x:c r="F33" s="3" t="str">
        <x:f>IF(Setup!$B$6="primary",IF(AND(INDEX('C_jama.2025.11178'!$D$2:$D$38,MATCH("2025::jama.2025.11178::C016",'C_jama.2025.11178'!$A$2:$A$38,0))="retain",INDEX('C_jama.2025.11178'!$E$2:$E$38,MATCH("2025::jama.2025.11178::C016",'C_jama.2025.11178'!$A$2:$A$38,0))="statistical_results"),IF(INDEX('C_jama.2025.11178'!$J$2:$J$38,MATCH("2025::jama.2025.11178::C016",'C_jama.2025.11178'!$A$2:$A$38,0))="","",INDEX('C_jama.2025.11178'!$J$2:$J$38,MATCH("2025::jama.2025.11178::C016",'C_jama.2025.11178'!$A$2:$A$38,0))),"not_applicable"),"NOT FROZEN")</x:f>
        <x:v>not_applicable</x:v>
      </x:c>
      <x:c r="G33" s="3" t="str">
        <x:f>IF(Setup!$B$6="primary",IF(AND(INDEX('C_jama.2025.11178'!$D$2:$D$38,MATCH("2025::jama.2025.11178::C016",'C_jama.2025.11178'!$A$2:$A$38,0))="retain",OR(INDEX('C_jama.2025.11178'!$E$2:$E$38,MATCH("2025::jama.2025.11178::C016",'C_jama.2025.11178'!$A$2:$A$38,0))="report_internal_inconsistency",INDEX('C_jama.2025.11178'!$E$2:$E$38,MATCH("2025::jama.2025.11178::C016",'C_jama.2025.11178'!$A$2:$A$38,0))="plan_material")),IF(INDEX('C_jama.2025.11178'!$K$2:$K$38,MATCH("2025::jama.2025.11178::C016",'C_jama.2025.11178'!$A$2:$A$38,0))="","",INDEX('C_jama.2025.11178'!$K$2:$K$38,MATCH("2025::jama.2025.11178::C016",'C_jama.2025.11178'!$A$2:$A$38,0))),"not_applicable"),"NOT FROZEN")</x:f>
        <x:v>not_applicable</x:v>
      </x:c>
      <x:c r="H33" s="3" t="str">
        <x:f>IF(Setup!$B$6="primary",IF(AND(INDEX('C_jama.2025.11178'!$D$2:$D$38,MATCH("2025::jama.2025.11178::C016",'C_jama.2025.11178'!$A$2:$A$38,0))="retain",INDEX('C_jama.2025.11178'!$E$2:$E$38,MATCH("2025::jama.2025.11178::C016",'C_jama.2025.11178'!$A$2:$A$38,0))="protocol_report"),IF(INDEX('C_jama.2025.11178'!$L$2:$L$38,MATCH("2025::jama.2025.11178::C016",'C_jama.2025.11178'!$A$2:$A$38,0))="","",INDEX('C_jama.2025.11178'!$L$2:$L$38,MATCH("2025::jama.2025.11178::C016",'C_jama.2025.11178'!$A$2:$A$38,0))),"not_applicable"),"NOT FROZEN")</x:f>
        <x:v>not_applicable</x:v>
      </x:c>
      <x:c r="I33" s="3" t="str">
        <x:f>IF(Setup!$B$6="primary",IF(INDEX('C_jama.2025.11178'!$R$2:$R$38,MATCH("2025::jama.2025.11178::C016",'C_jama.2025.11178'!$A$2:$A$38,0))="","",INDEX('C_jama.2025.11178'!$R$2:$R$38,MATCH("2025::jama.2025.11178::C016",'C_jama.2025.11178'!$A$2:$A$38,0))),"NOT FROZEN")</x:f>
      </x:c>
      <x:c r="J33" s="3" t="str">
        <x:f>IF(Setup!$B$6="primary",INDEX('C_jama.2025.11178'!$F$2:$F$38,MATCH("2025::jama.2025.11178::C016",'C_jama.2025.11178'!$A$2:$A$38,0)),"NOT FROZEN")</x:f>
        <x:v>no</x:v>
      </x:c>
      <x:c r="K33" s="3" t="str">
        <x:f>IF(Setup!$B$6="primary",Setup!$B$2,"NOT FROZEN")</x:f>
      </x:c>
      <x:c r="L33" s="3" t="str">
        <x:f>IF(Setup!$B$6="primary",IF(OR(B33="",B33="not_applicable"),"","Disposition: "&amp;B33&amp;CHAR(10))&amp;IF(OR(C33="",C33="not_applicable"),"","Review domain: "&amp;C33&amp;CHAR(10))&amp;IF(OR(D33="",D33="not_applicable"),"","Statistcal_or_numerical issue: "&amp;D33&amp;CHAR(10))&amp;IF(OR(E33="",E33="not_applicable"),"","Substantiveness: "&amp;E33&amp;CHAR(10))&amp;IF(OR(F33="",F33="not_applicable"),"","Downstream impact: "&amp;F33&amp;CHAR(10))&amp;IF(OR(G33="",G33="not_applicable"),"","Report-internal or planning-material inconsistency: "&amp;G33&amp;CHAR(10))&amp;IF(OR(H33="",H33="not_applicable"),"","Protocol interpretation: "&amp;H33&amp;CHAR(10))&amp;IF(OR(I33="",I33="not_applicable"),"","Notes (optional): "&amp;I33&amp;CHAR(10)),"NOT FROZEN")</x:f>
        <x:v>Review domain: statistical_results
</x:v>
      </x:c>
    </x:row>
    <x:row r="34" ht="70" customHeight="1">
      <x:c r="A34" s="6" t="str">
        <x:f>IF(Setup!$B$6="primary","2025::jama.2025.11178::C017","NOT FROZEN")</x:f>
        <x:v>2025::jama.2025.11178::C017</x:v>
      </x:c>
      <x:c r="B34" s="6" t="str">
        <x:f>IF(Setup!$B$6="primary",IF(INDEX('C_jama.2025.11178'!$D$2:$D$38,MATCH("2025::jama.2025.11178::C017",'C_jama.2025.11178'!$A$2:$A$38,0))="","",INDEX('C_jama.2025.11178'!$D$2:$D$38,MATCH("2025::jama.2025.11178::C017",'C_jama.2025.11178'!$A$2:$A$38,0))),"NOT FROZEN")</x:f>
      </x:c>
      <x:c r="C34" s="6" t="str">
        <x:f>IF(Setup!$B$6="primary",IF(INDEX('C_jama.2025.11178'!$E$2:$E$38,MATCH("2025::jama.2025.11178::C017",'C_jama.2025.11178'!$A$2:$A$38,0))="","",INDEX('C_jama.2025.11178'!$E$2:$E$38,MATCH("2025::jama.2025.11178::C017",'C_jama.2025.11178'!$A$2:$A$38,0))),"NOT FROZEN")</x:f>
        <x:v>statistical_results</x:v>
      </x:c>
      <x:c r="D34" s="6" t="str">
        <x:f>IF(Setup!$B$6="primary",IF(AND(INDEX('C_jama.2025.11178'!$D$2:$D$38,MATCH("2025::jama.2025.11178::C017",'C_jama.2025.11178'!$A$2:$A$38,0))="retain",INDEX('C_jama.2025.11178'!$E$2:$E$38,MATCH("2025::jama.2025.11178::C017",'C_jama.2025.11178'!$A$2:$A$38,0))="statistical_results"),IF(INDEX('C_jama.2025.11178'!$H$2:$H$38,MATCH("2025::jama.2025.11178::C017",'C_jama.2025.11178'!$A$2:$A$38,0))="","",INDEX('C_jama.2025.11178'!$H$2:$H$38,MATCH("2025::jama.2025.11178::C017",'C_jama.2025.11178'!$A$2:$A$38,0))),"not_applicable"),"NOT FROZEN")</x:f>
        <x:v>not_applicable</x:v>
      </x:c>
      <x:c r="E34" s="6" t="str">
        <x:f>IF(Setup!$B$6="primary",IF(AND(INDEX('C_jama.2025.11178'!$D$2:$D$38,MATCH("2025::jama.2025.11178::C017",'C_jama.2025.11178'!$A$2:$A$38,0))="retain",INDEX('C_jama.2025.11178'!$E$2:$E$38,MATCH("2025::jama.2025.11178::C017",'C_jama.2025.11178'!$A$2:$A$38,0))="statistical_results"),IF(INDEX('C_jama.2025.11178'!$I$2:$I$38,MATCH("2025::jama.2025.11178::C017",'C_jama.2025.11178'!$A$2:$A$38,0))="","",INDEX('C_jama.2025.11178'!$I$2:$I$38,MATCH("2025::jama.2025.11178::C017",'C_jama.2025.11178'!$A$2:$A$38,0))),"not_applicable"),"NOT FROZEN")</x:f>
        <x:v>not_applicable</x:v>
      </x:c>
      <x:c r="F34" s="6" t="str">
        <x:f>IF(Setup!$B$6="primary",IF(AND(INDEX('C_jama.2025.11178'!$D$2:$D$38,MATCH("2025::jama.2025.11178::C017",'C_jama.2025.11178'!$A$2:$A$38,0))="retain",INDEX('C_jama.2025.11178'!$E$2:$E$38,MATCH("2025::jama.2025.11178::C017",'C_jama.2025.11178'!$A$2:$A$38,0))="statistical_results"),IF(INDEX('C_jama.2025.11178'!$J$2:$J$38,MATCH("2025::jama.2025.11178::C017",'C_jama.2025.11178'!$A$2:$A$38,0))="","",INDEX('C_jama.2025.11178'!$J$2:$J$38,MATCH("2025::jama.2025.11178::C017",'C_jama.2025.11178'!$A$2:$A$38,0))),"not_applicable"),"NOT FROZEN")</x:f>
        <x:v>not_applicable</x:v>
      </x:c>
      <x:c r="G34" s="6" t="str">
        <x:f>IF(Setup!$B$6="primary",IF(AND(INDEX('C_jama.2025.11178'!$D$2:$D$38,MATCH("2025::jama.2025.11178::C017",'C_jama.2025.11178'!$A$2:$A$38,0))="retain",OR(INDEX('C_jama.2025.11178'!$E$2:$E$38,MATCH("2025::jama.2025.11178::C017",'C_jama.2025.11178'!$A$2:$A$38,0))="report_internal_inconsistency",INDEX('C_jama.2025.11178'!$E$2:$E$38,MATCH("2025::jama.2025.11178::C017",'C_jama.2025.11178'!$A$2:$A$38,0))="plan_material")),IF(INDEX('C_jama.2025.11178'!$K$2:$K$38,MATCH("2025::jama.2025.11178::C017",'C_jama.2025.11178'!$A$2:$A$38,0))="","",INDEX('C_jama.2025.11178'!$K$2:$K$38,MATCH("2025::jama.2025.11178::C017",'C_jama.2025.11178'!$A$2:$A$38,0))),"not_applicable"),"NOT FROZEN")</x:f>
        <x:v>not_applicable</x:v>
      </x:c>
      <x:c r="H34" s="6" t="str">
        <x:f>IF(Setup!$B$6="primary",IF(AND(INDEX('C_jama.2025.11178'!$D$2:$D$38,MATCH("2025::jama.2025.11178::C017",'C_jama.2025.11178'!$A$2:$A$38,0))="retain",INDEX('C_jama.2025.11178'!$E$2:$E$38,MATCH("2025::jama.2025.11178::C017",'C_jama.2025.11178'!$A$2:$A$38,0))="protocol_report"),IF(INDEX('C_jama.2025.11178'!$L$2:$L$38,MATCH("2025::jama.2025.11178::C017",'C_jama.2025.11178'!$A$2:$A$38,0))="","",INDEX('C_jama.2025.11178'!$L$2:$L$38,MATCH("2025::jama.2025.11178::C017",'C_jama.2025.11178'!$A$2:$A$38,0))),"not_applicable"),"NOT FROZEN")</x:f>
        <x:v>not_applicable</x:v>
      </x:c>
      <x:c r="I34" s="6" t="str">
        <x:f>IF(Setup!$B$6="primary",IF(INDEX('C_jama.2025.11178'!$R$2:$R$38,MATCH("2025::jama.2025.11178::C017",'C_jama.2025.11178'!$A$2:$A$38,0))="","",INDEX('C_jama.2025.11178'!$R$2:$R$38,MATCH("2025::jama.2025.11178::C017",'C_jama.2025.11178'!$A$2:$A$38,0))),"NOT FROZEN")</x:f>
      </x:c>
      <x:c r="J34" s="6" t="str">
        <x:f>IF(Setup!$B$6="primary",INDEX('C_jama.2025.11178'!$F$2:$F$38,MATCH("2025::jama.2025.11178::C017",'C_jama.2025.11178'!$A$2:$A$38,0)),"NOT FROZEN")</x:f>
        <x:v>no</x:v>
      </x:c>
      <x:c r="K34" s="6" t="str">
        <x:f>IF(Setup!$B$6="primary",Setup!$B$2,"NOT FROZEN")</x:f>
      </x:c>
      <x:c r="L34" s="6" t="str">
        <x:f>IF(Setup!$B$6="primary",IF(OR(B34="",B34="not_applicable"),"","Disposition: "&amp;B34&amp;CHAR(10))&amp;IF(OR(C34="",C34="not_applicable"),"","Review domain: "&amp;C34&amp;CHAR(10))&amp;IF(OR(D34="",D34="not_applicable"),"","Statistcal_or_numerical issue: "&amp;D34&amp;CHAR(10))&amp;IF(OR(E34="",E34="not_applicable"),"","Substantiveness: "&amp;E34&amp;CHAR(10))&amp;IF(OR(F34="",F34="not_applicable"),"","Downstream impact: "&amp;F34&amp;CHAR(10))&amp;IF(OR(G34="",G34="not_applicable"),"","Report-internal or planning-material inconsistency: "&amp;G34&amp;CHAR(10))&amp;IF(OR(H34="",H34="not_applicable"),"","Protocol interpretation: "&amp;H34&amp;CHAR(10))&amp;IF(OR(I34="",I34="not_applicable"),"","Notes (optional): "&amp;I34&amp;CHAR(10)),"NOT FROZEN")</x:f>
        <x:v>Review domain: statistical_results
</x:v>
      </x:c>
    </x:row>
    <x:row r="35" ht="70" customHeight="1">
      <x:c r="A35" s="3" t="str">
        <x:f>IF(Setup!$B$6="primary","2025::jama.2025.11178::C018","NOT FROZEN")</x:f>
        <x:v>2025::jama.2025.11178::C018</x:v>
      </x:c>
      <x:c r="B35" s="3" t="str">
        <x:f>IF(Setup!$B$6="primary",IF(INDEX('C_jama.2025.11178'!$D$2:$D$38,MATCH("2025::jama.2025.11178::C018",'C_jama.2025.11178'!$A$2:$A$38,0))="","",INDEX('C_jama.2025.11178'!$D$2:$D$38,MATCH("2025::jama.2025.11178::C018",'C_jama.2025.11178'!$A$2:$A$38,0))),"NOT FROZEN")</x:f>
      </x:c>
      <x:c r="C35" s="3" t="str">
        <x:f>IF(Setup!$B$6="primary",IF(INDEX('C_jama.2025.11178'!$E$2:$E$38,MATCH("2025::jama.2025.11178::C018",'C_jama.2025.11178'!$A$2:$A$38,0))="","",INDEX('C_jama.2025.11178'!$E$2:$E$38,MATCH("2025::jama.2025.11178::C018",'C_jama.2025.11178'!$A$2:$A$38,0))),"NOT FROZEN")</x:f>
        <x:v>statistical_results</x:v>
      </x:c>
      <x:c r="D35" s="3" t="str">
        <x:f>IF(Setup!$B$6="primary",IF(AND(INDEX('C_jama.2025.11178'!$D$2:$D$38,MATCH("2025::jama.2025.11178::C018",'C_jama.2025.11178'!$A$2:$A$38,0))="retain",INDEX('C_jama.2025.11178'!$E$2:$E$38,MATCH("2025::jama.2025.11178::C018",'C_jama.2025.11178'!$A$2:$A$38,0))="statistical_results"),IF(INDEX('C_jama.2025.11178'!$H$2:$H$38,MATCH("2025::jama.2025.11178::C018",'C_jama.2025.11178'!$A$2:$A$38,0))="","",INDEX('C_jama.2025.11178'!$H$2:$H$38,MATCH("2025::jama.2025.11178::C018",'C_jama.2025.11178'!$A$2:$A$38,0))),"not_applicable"),"NOT FROZEN")</x:f>
        <x:v>not_applicable</x:v>
      </x:c>
      <x:c r="E35" s="3" t="str">
        <x:f>IF(Setup!$B$6="primary",IF(AND(INDEX('C_jama.2025.11178'!$D$2:$D$38,MATCH("2025::jama.2025.11178::C018",'C_jama.2025.11178'!$A$2:$A$38,0))="retain",INDEX('C_jama.2025.11178'!$E$2:$E$38,MATCH("2025::jama.2025.11178::C018",'C_jama.2025.11178'!$A$2:$A$38,0))="statistical_results"),IF(INDEX('C_jama.2025.11178'!$I$2:$I$38,MATCH("2025::jama.2025.11178::C018",'C_jama.2025.11178'!$A$2:$A$38,0))="","",INDEX('C_jama.2025.11178'!$I$2:$I$38,MATCH("2025::jama.2025.11178::C018",'C_jama.2025.11178'!$A$2:$A$38,0))),"not_applicable"),"NOT FROZEN")</x:f>
        <x:v>not_applicable</x:v>
      </x:c>
      <x:c r="F35" s="3" t="str">
        <x:f>IF(Setup!$B$6="primary",IF(AND(INDEX('C_jama.2025.11178'!$D$2:$D$38,MATCH("2025::jama.2025.11178::C018",'C_jama.2025.11178'!$A$2:$A$38,0))="retain",INDEX('C_jama.2025.11178'!$E$2:$E$38,MATCH("2025::jama.2025.11178::C018",'C_jama.2025.11178'!$A$2:$A$38,0))="statistical_results"),IF(INDEX('C_jama.2025.11178'!$J$2:$J$38,MATCH("2025::jama.2025.11178::C018",'C_jama.2025.11178'!$A$2:$A$38,0))="","",INDEX('C_jama.2025.11178'!$J$2:$J$38,MATCH("2025::jama.2025.11178::C018",'C_jama.2025.11178'!$A$2:$A$38,0))),"not_applicable"),"NOT FROZEN")</x:f>
        <x:v>not_applicable</x:v>
      </x:c>
      <x:c r="G35" s="3" t="str">
        <x:f>IF(Setup!$B$6="primary",IF(AND(INDEX('C_jama.2025.11178'!$D$2:$D$38,MATCH("2025::jama.2025.11178::C018",'C_jama.2025.11178'!$A$2:$A$38,0))="retain",OR(INDEX('C_jama.2025.11178'!$E$2:$E$38,MATCH("2025::jama.2025.11178::C018",'C_jama.2025.11178'!$A$2:$A$38,0))="report_internal_inconsistency",INDEX('C_jama.2025.11178'!$E$2:$E$38,MATCH("2025::jama.2025.11178::C018",'C_jama.2025.11178'!$A$2:$A$38,0))="plan_material")),IF(INDEX('C_jama.2025.11178'!$K$2:$K$38,MATCH("2025::jama.2025.11178::C018",'C_jama.2025.11178'!$A$2:$A$38,0))="","",INDEX('C_jama.2025.11178'!$K$2:$K$38,MATCH("2025::jama.2025.11178::C018",'C_jama.2025.11178'!$A$2:$A$38,0))),"not_applicable"),"NOT FROZEN")</x:f>
        <x:v>not_applicable</x:v>
      </x:c>
      <x:c r="H35" s="3" t="str">
        <x:f>IF(Setup!$B$6="primary",IF(AND(INDEX('C_jama.2025.11178'!$D$2:$D$38,MATCH("2025::jama.2025.11178::C018",'C_jama.2025.11178'!$A$2:$A$38,0))="retain",INDEX('C_jama.2025.11178'!$E$2:$E$38,MATCH("2025::jama.2025.11178::C018",'C_jama.2025.11178'!$A$2:$A$38,0))="protocol_report"),IF(INDEX('C_jama.2025.11178'!$L$2:$L$38,MATCH("2025::jama.2025.11178::C018",'C_jama.2025.11178'!$A$2:$A$38,0))="","",INDEX('C_jama.2025.11178'!$L$2:$L$38,MATCH("2025::jama.2025.11178::C018",'C_jama.2025.11178'!$A$2:$A$38,0))),"not_applicable"),"NOT FROZEN")</x:f>
        <x:v>not_applicable</x:v>
      </x:c>
      <x:c r="I35" s="3" t="str">
        <x:f>IF(Setup!$B$6="primary",IF(INDEX('C_jama.2025.11178'!$R$2:$R$38,MATCH("2025::jama.2025.11178::C018",'C_jama.2025.11178'!$A$2:$A$38,0))="","",INDEX('C_jama.2025.11178'!$R$2:$R$38,MATCH("2025::jama.2025.11178::C018",'C_jama.2025.11178'!$A$2:$A$38,0))),"NOT FROZEN")</x:f>
      </x:c>
      <x:c r="J35" s="3" t="str">
        <x:f>IF(Setup!$B$6="primary",INDEX('C_jama.2025.11178'!$F$2:$F$38,MATCH("2025::jama.2025.11178::C018",'C_jama.2025.11178'!$A$2:$A$38,0)),"NOT FROZEN")</x:f>
        <x:v>no</x:v>
      </x:c>
      <x:c r="K35" s="3" t="str">
        <x:f>IF(Setup!$B$6="primary",Setup!$B$2,"NOT FROZEN")</x:f>
      </x:c>
      <x:c r="L35" s="3" t="str">
        <x:f>IF(Setup!$B$6="primary",IF(OR(B35="",B35="not_applicable"),"","Disposition: "&amp;B35&amp;CHAR(10))&amp;IF(OR(C35="",C35="not_applicable"),"","Review domain: "&amp;C35&amp;CHAR(10))&amp;IF(OR(D35="",D35="not_applicable"),"","Statistcal_or_numerical issue: "&amp;D35&amp;CHAR(10))&amp;IF(OR(E35="",E35="not_applicable"),"","Substantiveness: "&amp;E35&amp;CHAR(10))&amp;IF(OR(F35="",F35="not_applicable"),"","Downstream impact: "&amp;F35&amp;CHAR(10))&amp;IF(OR(G35="",G35="not_applicable"),"","Report-internal or planning-material inconsistency: "&amp;G35&amp;CHAR(10))&amp;IF(OR(H35="",H35="not_applicable"),"","Protocol interpretation: "&amp;H35&amp;CHAR(10))&amp;IF(OR(I35="",I35="not_applicable"),"","Notes (optional): "&amp;I35&amp;CHAR(10)),"NOT FROZEN")</x:f>
        <x:v>Review domain: statistical_results
</x:v>
      </x:c>
    </x:row>
    <x:row r="36" ht="70" customHeight="1">
      <x:c r="A36" s="6" t="str">
        <x:f>IF(Setup!$B$6="primary","2025::jama.2025.11178::C019","NOT FROZEN")</x:f>
        <x:v>2025::jama.2025.11178::C019</x:v>
      </x:c>
      <x:c r="B36" s="6" t="str">
        <x:f>IF(Setup!$B$6="primary",IF(INDEX('C_jama.2025.11178'!$D$2:$D$38,MATCH("2025::jama.2025.11178::C019",'C_jama.2025.11178'!$A$2:$A$38,0))="","",INDEX('C_jama.2025.11178'!$D$2:$D$38,MATCH("2025::jama.2025.11178::C019",'C_jama.2025.11178'!$A$2:$A$38,0))),"NOT FROZEN")</x:f>
      </x:c>
      <x:c r="C36" s="6" t="str">
        <x:f>IF(Setup!$B$6="primary",IF(INDEX('C_jama.2025.11178'!$E$2:$E$38,MATCH("2025::jama.2025.11178::C019",'C_jama.2025.11178'!$A$2:$A$38,0))="","",INDEX('C_jama.2025.11178'!$E$2:$E$38,MATCH("2025::jama.2025.11178::C019",'C_jama.2025.11178'!$A$2:$A$38,0))),"NOT FROZEN")</x:f>
        <x:v>statistical_results</x:v>
      </x:c>
      <x:c r="D36" s="6" t="str">
        <x:f>IF(Setup!$B$6="primary",IF(AND(INDEX('C_jama.2025.11178'!$D$2:$D$38,MATCH("2025::jama.2025.11178::C019",'C_jama.2025.11178'!$A$2:$A$38,0))="retain",INDEX('C_jama.2025.11178'!$E$2:$E$38,MATCH("2025::jama.2025.11178::C019",'C_jama.2025.11178'!$A$2:$A$38,0))="statistical_results"),IF(INDEX('C_jama.2025.11178'!$H$2:$H$38,MATCH("2025::jama.2025.11178::C019",'C_jama.2025.11178'!$A$2:$A$38,0))="","",INDEX('C_jama.2025.11178'!$H$2:$H$38,MATCH("2025::jama.2025.11178::C019",'C_jama.2025.11178'!$A$2:$A$38,0))),"not_applicable"),"NOT FROZEN")</x:f>
        <x:v>not_applicable</x:v>
      </x:c>
      <x:c r="E36" s="6" t="str">
        <x:f>IF(Setup!$B$6="primary",IF(AND(INDEX('C_jama.2025.11178'!$D$2:$D$38,MATCH("2025::jama.2025.11178::C019",'C_jama.2025.11178'!$A$2:$A$38,0))="retain",INDEX('C_jama.2025.11178'!$E$2:$E$38,MATCH("2025::jama.2025.11178::C019",'C_jama.2025.11178'!$A$2:$A$38,0))="statistical_results"),IF(INDEX('C_jama.2025.11178'!$I$2:$I$38,MATCH("2025::jama.2025.11178::C019",'C_jama.2025.11178'!$A$2:$A$38,0))="","",INDEX('C_jama.2025.11178'!$I$2:$I$38,MATCH("2025::jama.2025.11178::C019",'C_jama.2025.11178'!$A$2:$A$38,0))),"not_applicable"),"NOT FROZEN")</x:f>
        <x:v>not_applicable</x:v>
      </x:c>
      <x:c r="F36" s="6" t="str">
        <x:f>IF(Setup!$B$6="primary",IF(AND(INDEX('C_jama.2025.11178'!$D$2:$D$38,MATCH("2025::jama.2025.11178::C019",'C_jama.2025.11178'!$A$2:$A$38,0))="retain",INDEX('C_jama.2025.11178'!$E$2:$E$38,MATCH("2025::jama.2025.11178::C019",'C_jama.2025.11178'!$A$2:$A$38,0))="statistical_results"),IF(INDEX('C_jama.2025.11178'!$J$2:$J$38,MATCH("2025::jama.2025.11178::C019",'C_jama.2025.11178'!$A$2:$A$38,0))="","",INDEX('C_jama.2025.11178'!$J$2:$J$38,MATCH("2025::jama.2025.11178::C019",'C_jama.2025.11178'!$A$2:$A$38,0))),"not_applicable"),"NOT FROZEN")</x:f>
        <x:v>not_applicable</x:v>
      </x:c>
      <x:c r="G36" s="6" t="str">
        <x:f>IF(Setup!$B$6="primary",IF(AND(INDEX('C_jama.2025.11178'!$D$2:$D$38,MATCH("2025::jama.2025.11178::C019",'C_jama.2025.11178'!$A$2:$A$38,0))="retain",OR(INDEX('C_jama.2025.11178'!$E$2:$E$38,MATCH("2025::jama.2025.11178::C019",'C_jama.2025.11178'!$A$2:$A$38,0))="report_internal_inconsistency",INDEX('C_jama.2025.11178'!$E$2:$E$38,MATCH("2025::jama.2025.11178::C019",'C_jama.2025.11178'!$A$2:$A$38,0))="plan_material")),IF(INDEX('C_jama.2025.11178'!$K$2:$K$38,MATCH("2025::jama.2025.11178::C019",'C_jama.2025.11178'!$A$2:$A$38,0))="","",INDEX('C_jama.2025.11178'!$K$2:$K$38,MATCH("2025::jama.2025.11178::C019",'C_jama.2025.11178'!$A$2:$A$38,0))),"not_applicable"),"NOT FROZEN")</x:f>
        <x:v>not_applicable</x:v>
      </x:c>
      <x:c r="H36" s="6" t="str">
        <x:f>IF(Setup!$B$6="primary",IF(AND(INDEX('C_jama.2025.11178'!$D$2:$D$38,MATCH("2025::jama.2025.11178::C019",'C_jama.2025.11178'!$A$2:$A$38,0))="retain",INDEX('C_jama.2025.11178'!$E$2:$E$38,MATCH("2025::jama.2025.11178::C019",'C_jama.2025.11178'!$A$2:$A$38,0))="protocol_report"),IF(INDEX('C_jama.2025.11178'!$L$2:$L$38,MATCH("2025::jama.2025.11178::C019",'C_jama.2025.11178'!$A$2:$A$38,0))="","",INDEX('C_jama.2025.11178'!$L$2:$L$38,MATCH("2025::jama.2025.11178::C019",'C_jama.2025.11178'!$A$2:$A$38,0))),"not_applicable"),"NOT FROZEN")</x:f>
        <x:v>not_applicable</x:v>
      </x:c>
      <x:c r="I36" s="6" t="str">
        <x:f>IF(Setup!$B$6="primary",IF(INDEX('C_jama.2025.11178'!$R$2:$R$38,MATCH("2025::jama.2025.11178::C019",'C_jama.2025.11178'!$A$2:$A$38,0))="","",INDEX('C_jama.2025.11178'!$R$2:$R$38,MATCH("2025::jama.2025.11178::C019",'C_jama.2025.11178'!$A$2:$A$38,0))),"NOT FROZEN")</x:f>
      </x:c>
      <x:c r="J36" s="6" t="str">
        <x:f>IF(Setup!$B$6="primary",INDEX('C_jama.2025.11178'!$F$2:$F$38,MATCH("2025::jama.2025.11178::C019",'C_jama.2025.11178'!$A$2:$A$38,0)),"NOT FROZEN")</x:f>
        <x:v>no</x:v>
      </x:c>
      <x:c r="K36" s="6" t="str">
        <x:f>IF(Setup!$B$6="primary",Setup!$B$2,"NOT FROZEN")</x:f>
      </x:c>
      <x:c r="L36" s="6" t="str">
        <x:f>IF(Setup!$B$6="primary",IF(OR(B36="",B36="not_applicable"),"","Disposition: "&amp;B36&amp;CHAR(10))&amp;IF(OR(C36="",C36="not_applicable"),"","Review domain: "&amp;C36&amp;CHAR(10))&amp;IF(OR(D36="",D36="not_applicable"),"","Statistcal_or_numerical issue: "&amp;D36&amp;CHAR(10))&amp;IF(OR(E36="",E36="not_applicable"),"","Substantiveness: "&amp;E36&amp;CHAR(10))&amp;IF(OR(F36="",F36="not_applicable"),"","Downstream impact: "&amp;F36&amp;CHAR(10))&amp;IF(OR(G36="",G36="not_applicable"),"","Report-internal or planning-material inconsistency: "&amp;G36&amp;CHAR(10))&amp;IF(OR(H36="",H36="not_applicable"),"","Protocol interpretation: "&amp;H36&amp;CHAR(10))&amp;IF(OR(I36="",I36="not_applicable"),"","Notes (optional): "&amp;I36&amp;CHAR(10)),"NOT FROZEN")</x:f>
        <x:v>Review domain: statistical_results
</x:v>
      </x:c>
    </x:row>
    <x:row r="37" ht="70" customHeight="1">
      <x:c r="A37" s="3" t="str">
        <x:f>IF(Setup!$B$6="primary","2025::jama.2025.11178::C020","NOT FROZEN")</x:f>
        <x:v>2025::jama.2025.11178::C020</x:v>
      </x:c>
      <x:c r="B37" s="3" t="str">
        <x:f>IF(Setup!$B$6="primary",IF(INDEX('C_jama.2025.11178'!$D$2:$D$38,MATCH("2025::jama.2025.11178::C020",'C_jama.2025.11178'!$A$2:$A$38,0))="","",INDEX('C_jama.2025.11178'!$D$2:$D$38,MATCH("2025::jama.2025.11178::C020",'C_jama.2025.11178'!$A$2:$A$38,0))),"NOT FROZEN")</x:f>
      </x:c>
      <x:c r="C37" s="3" t="str">
        <x:f>IF(Setup!$B$6="primary",IF(INDEX('C_jama.2025.11178'!$E$2:$E$38,MATCH("2025::jama.2025.11178::C020",'C_jama.2025.11178'!$A$2:$A$38,0))="","",INDEX('C_jama.2025.11178'!$E$2:$E$38,MATCH("2025::jama.2025.11178::C020",'C_jama.2025.11178'!$A$2:$A$38,0))),"NOT FROZEN")</x:f>
        <x:v>statistical_results</x:v>
      </x:c>
      <x:c r="D37" s="3" t="str">
        <x:f>IF(Setup!$B$6="primary",IF(AND(INDEX('C_jama.2025.11178'!$D$2:$D$38,MATCH("2025::jama.2025.11178::C020",'C_jama.2025.11178'!$A$2:$A$38,0))="retain",INDEX('C_jama.2025.11178'!$E$2:$E$38,MATCH("2025::jama.2025.11178::C020",'C_jama.2025.11178'!$A$2:$A$38,0))="statistical_results"),IF(INDEX('C_jama.2025.11178'!$H$2:$H$38,MATCH("2025::jama.2025.11178::C020",'C_jama.2025.11178'!$A$2:$A$38,0))="","",INDEX('C_jama.2025.11178'!$H$2:$H$38,MATCH("2025::jama.2025.11178::C020",'C_jama.2025.11178'!$A$2:$A$38,0))),"not_applicable"),"NOT FROZEN")</x:f>
        <x:v>not_applicable</x:v>
      </x:c>
      <x:c r="E37" s="3" t="str">
        <x:f>IF(Setup!$B$6="primary",IF(AND(INDEX('C_jama.2025.11178'!$D$2:$D$38,MATCH("2025::jama.2025.11178::C020",'C_jama.2025.11178'!$A$2:$A$38,0))="retain",INDEX('C_jama.2025.11178'!$E$2:$E$38,MATCH("2025::jama.2025.11178::C020",'C_jama.2025.11178'!$A$2:$A$38,0))="statistical_results"),IF(INDEX('C_jama.2025.11178'!$I$2:$I$38,MATCH("2025::jama.2025.11178::C020",'C_jama.2025.11178'!$A$2:$A$38,0))="","",INDEX('C_jama.2025.11178'!$I$2:$I$38,MATCH("2025::jama.2025.11178::C020",'C_jama.2025.11178'!$A$2:$A$38,0))),"not_applicable"),"NOT FROZEN")</x:f>
        <x:v>not_applicable</x:v>
      </x:c>
      <x:c r="F37" s="3" t="str">
        <x:f>IF(Setup!$B$6="primary",IF(AND(INDEX('C_jama.2025.11178'!$D$2:$D$38,MATCH("2025::jama.2025.11178::C020",'C_jama.2025.11178'!$A$2:$A$38,0))="retain",INDEX('C_jama.2025.11178'!$E$2:$E$38,MATCH("2025::jama.2025.11178::C020",'C_jama.2025.11178'!$A$2:$A$38,0))="statistical_results"),IF(INDEX('C_jama.2025.11178'!$J$2:$J$38,MATCH("2025::jama.2025.11178::C020",'C_jama.2025.11178'!$A$2:$A$38,0))="","",INDEX('C_jama.2025.11178'!$J$2:$J$38,MATCH("2025::jama.2025.11178::C020",'C_jama.2025.11178'!$A$2:$A$38,0))),"not_applicable"),"NOT FROZEN")</x:f>
        <x:v>not_applicable</x:v>
      </x:c>
      <x:c r="G37" s="3" t="str">
        <x:f>IF(Setup!$B$6="primary",IF(AND(INDEX('C_jama.2025.11178'!$D$2:$D$38,MATCH("2025::jama.2025.11178::C020",'C_jama.2025.11178'!$A$2:$A$38,0))="retain",OR(INDEX('C_jama.2025.11178'!$E$2:$E$38,MATCH("2025::jama.2025.11178::C020",'C_jama.2025.11178'!$A$2:$A$38,0))="report_internal_inconsistency",INDEX('C_jama.2025.11178'!$E$2:$E$38,MATCH("2025::jama.2025.11178::C020",'C_jama.2025.11178'!$A$2:$A$38,0))="plan_material")),IF(INDEX('C_jama.2025.11178'!$K$2:$K$38,MATCH("2025::jama.2025.11178::C020",'C_jama.2025.11178'!$A$2:$A$38,0))="","",INDEX('C_jama.2025.11178'!$K$2:$K$38,MATCH("2025::jama.2025.11178::C020",'C_jama.2025.11178'!$A$2:$A$38,0))),"not_applicable"),"NOT FROZEN")</x:f>
        <x:v>not_applicable</x:v>
      </x:c>
      <x:c r="H37" s="3" t="str">
        <x:f>IF(Setup!$B$6="primary",IF(AND(INDEX('C_jama.2025.11178'!$D$2:$D$38,MATCH("2025::jama.2025.11178::C020",'C_jama.2025.11178'!$A$2:$A$38,0))="retain",INDEX('C_jama.2025.11178'!$E$2:$E$38,MATCH("2025::jama.2025.11178::C020",'C_jama.2025.11178'!$A$2:$A$38,0))="protocol_report"),IF(INDEX('C_jama.2025.11178'!$L$2:$L$38,MATCH("2025::jama.2025.11178::C020",'C_jama.2025.11178'!$A$2:$A$38,0))="","",INDEX('C_jama.2025.11178'!$L$2:$L$38,MATCH("2025::jama.2025.11178::C020",'C_jama.2025.11178'!$A$2:$A$38,0))),"not_applicable"),"NOT FROZEN")</x:f>
        <x:v>not_applicable</x:v>
      </x:c>
      <x:c r="I37" s="3" t="str">
        <x:f>IF(Setup!$B$6="primary",IF(INDEX('C_jama.2025.11178'!$R$2:$R$38,MATCH("2025::jama.2025.11178::C020",'C_jama.2025.11178'!$A$2:$A$38,0))="","",INDEX('C_jama.2025.11178'!$R$2:$R$38,MATCH("2025::jama.2025.11178::C020",'C_jama.2025.11178'!$A$2:$A$38,0))),"NOT FROZEN")</x:f>
      </x:c>
      <x:c r="J37" s="3" t="str">
        <x:f>IF(Setup!$B$6="primary",INDEX('C_jama.2025.11178'!$F$2:$F$38,MATCH("2025::jama.2025.11178::C020",'C_jama.2025.11178'!$A$2:$A$38,0)),"NOT FROZEN")</x:f>
        <x:v>no</x:v>
      </x:c>
      <x:c r="K37" s="3" t="str">
        <x:f>IF(Setup!$B$6="primary",Setup!$B$2,"NOT FROZEN")</x:f>
      </x:c>
      <x:c r="L37" s="3" t="str">
        <x:f>IF(Setup!$B$6="primary",IF(OR(B37="",B37="not_applicable"),"","Disposition: "&amp;B37&amp;CHAR(10))&amp;IF(OR(C37="",C37="not_applicable"),"","Review domain: "&amp;C37&amp;CHAR(10))&amp;IF(OR(D37="",D37="not_applicable"),"","Statistcal_or_numerical issue: "&amp;D37&amp;CHAR(10))&amp;IF(OR(E37="",E37="not_applicable"),"","Substantiveness: "&amp;E37&amp;CHAR(10))&amp;IF(OR(F37="",F37="not_applicable"),"","Downstream impact: "&amp;F37&amp;CHAR(10))&amp;IF(OR(G37="",G37="not_applicable"),"","Report-internal or planning-material inconsistency: "&amp;G37&amp;CHAR(10))&amp;IF(OR(H37="",H37="not_applicable"),"","Protocol interpretation: "&amp;H37&amp;CHAR(10))&amp;IF(OR(I37="",I37="not_applicable"),"","Notes (optional): "&amp;I37&amp;CHAR(10)),"NOT FROZEN")</x:f>
        <x:v>Review domain: statistical_results
</x:v>
      </x:c>
    </x:row>
    <x:row r="38" ht="70" customHeight="1">
      <x:c r="A38" s="6" t="str">
        <x:f>IF(Setup!$B$6="primary","2025::jama.2025.11178::C021","NOT FROZEN")</x:f>
        <x:v>2025::jama.2025.11178::C021</x:v>
      </x:c>
      <x:c r="B38" s="6" t="str">
        <x:f>IF(Setup!$B$6="primary",IF(INDEX('C_jama.2025.11178'!$D$2:$D$38,MATCH("2025::jama.2025.11178::C021",'C_jama.2025.11178'!$A$2:$A$38,0))="","",INDEX('C_jama.2025.11178'!$D$2:$D$38,MATCH("2025::jama.2025.11178::C021",'C_jama.2025.11178'!$A$2:$A$38,0))),"NOT FROZEN")</x:f>
      </x:c>
      <x:c r="C38" s="6" t="str">
        <x:f>IF(Setup!$B$6="primary",IF(INDEX('C_jama.2025.11178'!$E$2:$E$38,MATCH("2025::jama.2025.11178::C021",'C_jama.2025.11178'!$A$2:$A$38,0))="","",INDEX('C_jama.2025.11178'!$E$2:$E$38,MATCH("2025::jama.2025.11178::C021",'C_jama.2025.11178'!$A$2:$A$38,0))),"NOT FROZEN")</x:f>
        <x:v>statistical_results</x:v>
      </x:c>
      <x:c r="D38" s="6" t="str">
        <x:f>IF(Setup!$B$6="primary",IF(AND(INDEX('C_jama.2025.11178'!$D$2:$D$38,MATCH("2025::jama.2025.11178::C021",'C_jama.2025.11178'!$A$2:$A$38,0))="retain",INDEX('C_jama.2025.11178'!$E$2:$E$38,MATCH("2025::jama.2025.11178::C021",'C_jama.2025.11178'!$A$2:$A$38,0))="statistical_results"),IF(INDEX('C_jama.2025.11178'!$H$2:$H$38,MATCH("2025::jama.2025.11178::C021",'C_jama.2025.11178'!$A$2:$A$38,0))="","",INDEX('C_jama.2025.11178'!$H$2:$H$38,MATCH("2025::jama.2025.11178::C021",'C_jama.2025.11178'!$A$2:$A$38,0))),"not_applicable"),"NOT FROZEN")</x:f>
        <x:v>not_applicable</x:v>
      </x:c>
      <x:c r="E38" s="6" t="str">
        <x:f>IF(Setup!$B$6="primary",IF(AND(INDEX('C_jama.2025.11178'!$D$2:$D$38,MATCH("2025::jama.2025.11178::C021",'C_jama.2025.11178'!$A$2:$A$38,0))="retain",INDEX('C_jama.2025.11178'!$E$2:$E$38,MATCH("2025::jama.2025.11178::C021",'C_jama.2025.11178'!$A$2:$A$38,0))="statistical_results"),IF(INDEX('C_jama.2025.11178'!$I$2:$I$38,MATCH("2025::jama.2025.11178::C021",'C_jama.2025.11178'!$A$2:$A$38,0))="","",INDEX('C_jama.2025.11178'!$I$2:$I$38,MATCH("2025::jama.2025.11178::C021",'C_jama.2025.11178'!$A$2:$A$38,0))),"not_applicable"),"NOT FROZEN")</x:f>
        <x:v>not_applicable</x:v>
      </x:c>
      <x:c r="F38" s="6" t="str">
        <x:f>IF(Setup!$B$6="primary",IF(AND(INDEX('C_jama.2025.11178'!$D$2:$D$38,MATCH("2025::jama.2025.11178::C021",'C_jama.2025.11178'!$A$2:$A$38,0))="retain",INDEX('C_jama.2025.11178'!$E$2:$E$38,MATCH("2025::jama.2025.11178::C021",'C_jama.2025.11178'!$A$2:$A$38,0))="statistical_results"),IF(INDEX('C_jama.2025.11178'!$J$2:$J$38,MATCH("2025::jama.2025.11178::C021",'C_jama.2025.11178'!$A$2:$A$38,0))="","",INDEX('C_jama.2025.11178'!$J$2:$J$38,MATCH("2025::jama.2025.11178::C021",'C_jama.2025.11178'!$A$2:$A$38,0))),"not_applicable"),"NOT FROZEN")</x:f>
        <x:v>not_applicable</x:v>
      </x:c>
      <x:c r="G38" s="6" t="str">
        <x:f>IF(Setup!$B$6="primary",IF(AND(INDEX('C_jama.2025.11178'!$D$2:$D$38,MATCH("2025::jama.2025.11178::C021",'C_jama.2025.11178'!$A$2:$A$38,0))="retain",OR(INDEX('C_jama.2025.11178'!$E$2:$E$38,MATCH("2025::jama.2025.11178::C021",'C_jama.2025.11178'!$A$2:$A$38,0))="report_internal_inconsistency",INDEX('C_jama.2025.11178'!$E$2:$E$38,MATCH("2025::jama.2025.11178::C021",'C_jama.2025.11178'!$A$2:$A$38,0))="plan_material")),IF(INDEX('C_jama.2025.11178'!$K$2:$K$38,MATCH("2025::jama.2025.11178::C021",'C_jama.2025.11178'!$A$2:$A$38,0))="","",INDEX('C_jama.2025.11178'!$K$2:$K$38,MATCH("2025::jama.2025.11178::C021",'C_jama.2025.11178'!$A$2:$A$38,0))),"not_applicable"),"NOT FROZEN")</x:f>
        <x:v>not_applicable</x:v>
      </x:c>
      <x:c r="H38" s="6" t="str">
        <x:f>IF(Setup!$B$6="primary",IF(AND(INDEX('C_jama.2025.11178'!$D$2:$D$38,MATCH("2025::jama.2025.11178::C021",'C_jama.2025.11178'!$A$2:$A$38,0))="retain",INDEX('C_jama.2025.11178'!$E$2:$E$38,MATCH("2025::jama.2025.11178::C021",'C_jama.2025.11178'!$A$2:$A$38,0))="protocol_report"),IF(INDEX('C_jama.2025.11178'!$L$2:$L$38,MATCH("2025::jama.2025.11178::C021",'C_jama.2025.11178'!$A$2:$A$38,0))="","",INDEX('C_jama.2025.11178'!$L$2:$L$38,MATCH("2025::jama.2025.11178::C021",'C_jama.2025.11178'!$A$2:$A$38,0))),"not_applicable"),"NOT FROZEN")</x:f>
        <x:v>not_applicable</x:v>
      </x:c>
      <x:c r="I38" s="6" t="str">
        <x:f>IF(Setup!$B$6="primary",IF(INDEX('C_jama.2025.11178'!$R$2:$R$38,MATCH("2025::jama.2025.11178::C021",'C_jama.2025.11178'!$A$2:$A$38,0))="","",INDEX('C_jama.2025.11178'!$R$2:$R$38,MATCH("2025::jama.2025.11178::C021",'C_jama.2025.11178'!$A$2:$A$38,0))),"NOT FROZEN")</x:f>
      </x:c>
      <x:c r="J38" s="6" t="str">
        <x:f>IF(Setup!$B$6="primary",INDEX('C_jama.2025.11178'!$F$2:$F$38,MATCH("2025::jama.2025.11178::C021",'C_jama.2025.11178'!$A$2:$A$38,0)),"NOT FROZEN")</x:f>
        <x:v>no</x:v>
      </x:c>
      <x:c r="K38" s="6" t="str">
        <x:f>IF(Setup!$B$6="primary",Setup!$B$2,"NOT FROZEN")</x:f>
      </x:c>
      <x:c r="L38" s="6" t="str">
        <x:f>IF(Setup!$B$6="primary",IF(OR(B38="",B38="not_applicable"),"","Disposition: "&amp;B38&amp;CHAR(10))&amp;IF(OR(C38="",C38="not_applicable"),"","Review domain: "&amp;C38&amp;CHAR(10))&amp;IF(OR(D38="",D38="not_applicable"),"","Statistcal_or_numerical issue: "&amp;D38&amp;CHAR(10))&amp;IF(OR(E38="",E38="not_applicable"),"","Substantiveness: "&amp;E38&amp;CHAR(10))&amp;IF(OR(F38="",F38="not_applicable"),"","Downstream impact: "&amp;F38&amp;CHAR(10))&amp;IF(OR(G38="",G38="not_applicable"),"","Report-internal or planning-material inconsistency: "&amp;G38&amp;CHAR(10))&amp;IF(OR(H38="",H38="not_applicable"),"","Protocol interpretation: "&amp;H38&amp;CHAR(10))&amp;IF(OR(I38="",I38="not_applicable"),"","Notes (optional): "&amp;I38&amp;CHAR(10)),"NOT FROZEN")</x:f>
        <x:v>Review domain: statistical_results
</x:v>
      </x:c>
    </x:row>
    <x:row r="39" ht="70" customHeight="1">
      <x:c r="A39" s="3" t="str">
        <x:f>IF(Setup!$B$6="primary","2025::jama.2025.11178::C022","NOT FROZEN")</x:f>
        <x:v>2025::jama.2025.11178::C022</x:v>
      </x:c>
      <x:c r="B39" s="3" t="str">
        <x:f>IF(Setup!$B$6="primary",IF(INDEX('C_jama.2025.11178'!$D$2:$D$38,MATCH("2025::jama.2025.11178::C022",'C_jama.2025.11178'!$A$2:$A$38,0))="","",INDEX('C_jama.2025.11178'!$D$2:$D$38,MATCH("2025::jama.2025.11178::C022",'C_jama.2025.11178'!$A$2:$A$38,0))),"NOT FROZEN")</x:f>
      </x:c>
      <x:c r="C39" s="3" t="str">
        <x:f>IF(Setup!$B$6="primary",IF(INDEX('C_jama.2025.11178'!$E$2:$E$38,MATCH("2025::jama.2025.11178::C022",'C_jama.2025.11178'!$A$2:$A$38,0))="","",INDEX('C_jama.2025.11178'!$E$2:$E$38,MATCH("2025::jama.2025.11178::C022",'C_jama.2025.11178'!$A$2:$A$38,0))),"NOT FROZEN")</x:f>
        <x:v>statistical_results</x:v>
      </x:c>
      <x:c r="D39" s="3" t="str">
        <x:f>IF(Setup!$B$6="primary",IF(AND(INDEX('C_jama.2025.11178'!$D$2:$D$38,MATCH("2025::jama.2025.11178::C022",'C_jama.2025.11178'!$A$2:$A$38,0))="retain",INDEX('C_jama.2025.11178'!$E$2:$E$38,MATCH("2025::jama.2025.11178::C022",'C_jama.2025.11178'!$A$2:$A$38,0))="statistical_results"),IF(INDEX('C_jama.2025.11178'!$H$2:$H$38,MATCH("2025::jama.2025.11178::C022",'C_jama.2025.11178'!$A$2:$A$38,0))="","",INDEX('C_jama.2025.11178'!$H$2:$H$38,MATCH("2025::jama.2025.11178::C022",'C_jama.2025.11178'!$A$2:$A$38,0))),"not_applicable"),"NOT FROZEN")</x:f>
        <x:v>not_applicable</x:v>
      </x:c>
      <x:c r="E39" s="3" t="str">
        <x:f>IF(Setup!$B$6="primary",IF(AND(INDEX('C_jama.2025.11178'!$D$2:$D$38,MATCH("2025::jama.2025.11178::C022",'C_jama.2025.11178'!$A$2:$A$38,0))="retain",INDEX('C_jama.2025.11178'!$E$2:$E$38,MATCH("2025::jama.2025.11178::C022",'C_jama.2025.11178'!$A$2:$A$38,0))="statistical_results"),IF(INDEX('C_jama.2025.11178'!$I$2:$I$38,MATCH("2025::jama.2025.11178::C022",'C_jama.2025.11178'!$A$2:$A$38,0))="","",INDEX('C_jama.2025.11178'!$I$2:$I$38,MATCH("2025::jama.2025.11178::C022",'C_jama.2025.11178'!$A$2:$A$38,0))),"not_applicable"),"NOT FROZEN")</x:f>
        <x:v>not_applicable</x:v>
      </x:c>
      <x:c r="F39" s="3" t="str">
        <x:f>IF(Setup!$B$6="primary",IF(AND(INDEX('C_jama.2025.11178'!$D$2:$D$38,MATCH("2025::jama.2025.11178::C022",'C_jama.2025.11178'!$A$2:$A$38,0))="retain",INDEX('C_jama.2025.11178'!$E$2:$E$38,MATCH("2025::jama.2025.11178::C022",'C_jama.2025.11178'!$A$2:$A$38,0))="statistical_results"),IF(INDEX('C_jama.2025.11178'!$J$2:$J$38,MATCH("2025::jama.2025.11178::C022",'C_jama.2025.11178'!$A$2:$A$38,0))="","",INDEX('C_jama.2025.11178'!$J$2:$J$38,MATCH("2025::jama.2025.11178::C022",'C_jama.2025.11178'!$A$2:$A$38,0))),"not_applicable"),"NOT FROZEN")</x:f>
        <x:v>not_applicable</x:v>
      </x:c>
      <x:c r="G39" s="3" t="str">
        <x:f>IF(Setup!$B$6="primary",IF(AND(INDEX('C_jama.2025.11178'!$D$2:$D$38,MATCH("2025::jama.2025.11178::C022",'C_jama.2025.11178'!$A$2:$A$38,0))="retain",OR(INDEX('C_jama.2025.11178'!$E$2:$E$38,MATCH("2025::jama.2025.11178::C022",'C_jama.2025.11178'!$A$2:$A$38,0))="report_internal_inconsistency",INDEX('C_jama.2025.11178'!$E$2:$E$38,MATCH("2025::jama.2025.11178::C022",'C_jama.2025.11178'!$A$2:$A$38,0))="plan_material")),IF(INDEX('C_jama.2025.11178'!$K$2:$K$38,MATCH("2025::jama.2025.11178::C022",'C_jama.2025.11178'!$A$2:$A$38,0))="","",INDEX('C_jama.2025.11178'!$K$2:$K$38,MATCH("2025::jama.2025.11178::C022",'C_jama.2025.11178'!$A$2:$A$38,0))),"not_applicable"),"NOT FROZEN")</x:f>
        <x:v>not_applicable</x:v>
      </x:c>
      <x:c r="H39" s="3" t="str">
        <x:f>IF(Setup!$B$6="primary",IF(AND(INDEX('C_jama.2025.11178'!$D$2:$D$38,MATCH("2025::jama.2025.11178::C022",'C_jama.2025.11178'!$A$2:$A$38,0))="retain",INDEX('C_jama.2025.11178'!$E$2:$E$38,MATCH("2025::jama.2025.11178::C022",'C_jama.2025.11178'!$A$2:$A$38,0))="protocol_report"),IF(INDEX('C_jama.2025.11178'!$L$2:$L$38,MATCH("2025::jama.2025.11178::C022",'C_jama.2025.11178'!$A$2:$A$38,0))="","",INDEX('C_jama.2025.11178'!$L$2:$L$38,MATCH("2025::jama.2025.11178::C022",'C_jama.2025.11178'!$A$2:$A$38,0))),"not_applicable"),"NOT FROZEN")</x:f>
        <x:v>not_applicable</x:v>
      </x:c>
      <x:c r="I39" s="3" t="str">
        <x:f>IF(Setup!$B$6="primary",IF(INDEX('C_jama.2025.11178'!$R$2:$R$38,MATCH("2025::jama.2025.11178::C022",'C_jama.2025.11178'!$A$2:$A$38,0))="","",INDEX('C_jama.2025.11178'!$R$2:$R$38,MATCH("2025::jama.2025.11178::C022",'C_jama.2025.11178'!$A$2:$A$38,0))),"NOT FROZEN")</x:f>
      </x:c>
      <x:c r="J39" s="3" t="str">
        <x:f>IF(Setup!$B$6="primary",INDEX('C_jama.2025.11178'!$F$2:$F$38,MATCH("2025::jama.2025.11178::C022",'C_jama.2025.11178'!$A$2:$A$38,0)),"NOT FROZEN")</x:f>
        <x:v>no</x:v>
      </x:c>
      <x:c r="K39" s="3" t="str">
        <x:f>IF(Setup!$B$6="primary",Setup!$B$2,"NOT FROZEN")</x:f>
      </x:c>
      <x:c r="L39" s="3" t="str">
        <x:f>IF(Setup!$B$6="primary",IF(OR(B39="",B39="not_applicable"),"","Disposition: "&amp;B39&amp;CHAR(10))&amp;IF(OR(C39="",C39="not_applicable"),"","Review domain: "&amp;C39&amp;CHAR(10))&amp;IF(OR(D39="",D39="not_applicable"),"","Statistcal_or_numerical issue: "&amp;D39&amp;CHAR(10))&amp;IF(OR(E39="",E39="not_applicable"),"","Substantiveness: "&amp;E39&amp;CHAR(10))&amp;IF(OR(F39="",F39="not_applicable"),"","Downstream impact: "&amp;F39&amp;CHAR(10))&amp;IF(OR(G39="",G39="not_applicable"),"","Report-internal or planning-material inconsistency: "&amp;G39&amp;CHAR(10))&amp;IF(OR(H39="",H39="not_applicable"),"","Protocol interpretation: "&amp;H39&amp;CHAR(10))&amp;IF(OR(I39="",I39="not_applicable"),"","Notes (optional): "&amp;I39&amp;CHAR(10)),"NOT FROZEN")</x:f>
        <x:v>Review domain: statistical_results
</x:v>
      </x:c>
    </x:row>
    <x:row r="40" ht="70" customHeight="1">
      <x:c r="A40" s="6" t="str">
        <x:f>IF(Setup!$B$6="primary","2025::jama.2025.11178::C023","NOT FROZEN")</x:f>
        <x:v>2025::jama.2025.11178::C023</x:v>
      </x:c>
      <x:c r="B40" s="6" t="str">
        <x:f>IF(Setup!$B$6="primary",IF(INDEX('C_jama.2025.11178'!$D$2:$D$38,MATCH("2025::jama.2025.11178::C023",'C_jama.2025.11178'!$A$2:$A$38,0))="","",INDEX('C_jama.2025.11178'!$D$2:$D$38,MATCH("2025::jama.2025.11178::C023",'C_jama.2025.11178'!$A$2:$A$38,0))),"NOT FROZEN")</x:f>
      </x:c>
      <x:c r="C40" s="6" t="str">
        <x:f>IF(Setup!$B$6="primary",IF(INDEX('C_jama.2025.11178'!$E$2:$E$38,MATCH("2025::jama.2025.11178::C023",'C_jama.2025.11178'!$A$2:$A$38,0))="","",INDEX('C_jama.2025.11178'!$E$2:$E$38,MATCH("2025::jama.2025.11178::C023",'C_jama.2025.11178'!$A$2:$A$38,0))),"NOT FROZEN")</x:f>
        <x:v>statistical_results</x:v>
      </x:c>
      <x:c r="D40" s="6" t="str">
        <x:f>IF(Setup!$B$6="primary",IF(AND(INDEX('C_jama.2025.11178'!$D$2:$D$38,MATCH("2025::jama.2025.11178::C023",'C_jama.2025.11178'!$A$2:$A$38,0))="retain",INDEX('C_jama.2025.11178'!$E$2:$E$38,MATCH("2025::jama.2025.11178::C023",'C_jama.2025.11178'!$A$2:$A$38,0))="statistical_results"),IF(INDEX('C_jama.2025.11178'!$H$2:$H$38,MATCH("2025::jama.2025.11178::C023",'C_jama.2025.11178'!$A$2:$A$38,0))="","",INDEX('C_jama.2025.11178'!$H$2:$H$38,MATCH("2025::jama.2025.11178::C023",'C_jama.2025.11178'!$A$2:$A$38,0))),"not_applicable"),"NOT FROZEN")</x:f>
        <x:v>not_applicable</x:v>
      </x:c>
      <x:c r="E40" s="6" t="str">
        <x:f>IF(Setup!$B$6="primary",IF(AND(INDEX('C_jama.2025.11178'!$D$2:$D$38,MATCH("2025::jama.2025.11178::C023",'C_jama.2025.11178'!$A$2:$A$38,0))="retain",INDEX('C_jama.2025.11178'!$E$2:$E$38,MATCH("2025::jama.2025.11178::C023",'C_jama.2025.11178'!$A$2:$A$38,0))="statistical_results"),IF(INDEX('C_jama.2025.11178'!$I$2:$I$38,MATCH("2025::jama.2025.11178::C023",'C_jama.2025.11178'!$A$2:$A$38,0))="","",INDEX('C_jama.2025.11178'!$I$2:$I$38,MATCH("2025::jama.2025.11178::C023",'C_jama.2025.11178'!$A$2:$A$38,0))),"not_applicable"),"NOT FROZEN")</x:f>
        <x:v>not_applicable</x:v>
      </x:c>
      <x:c r="F40" s="6" t="str">
        <x:f>IF(Setup!$B$6="primary",IF(AND(INDEX('C_jama.2025.11178'!$D$2:$D$38,MATCH("2025::jama.2025.11178::C023",'C_jama.2025.11178'!$A$2:$A$38,0))="retain",INDEX('C_jama.2025.11178'!$E$2:$E$38,MATCH("2025::jama.2025.11178::C023",'C_jama.2025.11178'!$A$2:$A$38,0))="statistical_results"),IF(INDEX('C_jama.2025.11178'!$J$2:$J$38,MATCH("2025::jama.2025.11178::C023",'C_jama.2025.11178'!$A$2:$A$38,0))="","",INDEX('C_jama.2025.11178'!$J$2:$J$38,MATCH("2025::jama.2025.11178::C023",'C_jama.2025.11178'!$A$2:$A$38,0))),"not_applicable"),"NOT FROZEN")</x:f>
        <x:v>not_applicable</x:v>
      </x:c>
      <x:c r="G40" s="6" t="str">
        <x:f>IF(Setup!$B$6="primary",IF(AND(INDEX('C_jama.2025.11178'!$D$2:$D$38,MATCH("2025::jama.2025.11178::C023",'C_jama.2025.11178'!$A$2:$A$38,0))="retain",OR(INDEX('C_jama.2025.11178'!$E$2:$E$38,MATCH("2025::jama.2025.11178::C023",'C_jama.2025.11178'!$A$2:$A$38,0))="report_internal_inconsistency",INDEX('C_jama.2025.11178'!$E$2:$E$38,MATCH("2025::jama.2025.11178::C023",'C_jama.2025.11178'!$A$2:$A$38,0))="plan_material")),IF(INDEX('C_jama.2025.11178'!$K$2:$K$38,MATCH("2025::jama.2025.11178::C023",'C_jama.2025.11178'!$A$2:$A$38,0))="","",INDEX('C_jama.2025.11178'!$K$2:$K$38,MATCH("2025::jama.2025.11178::C023",'C_jama.2025.11178'!$A$2:$A$38,0))),"not_applicable"),"NOT FROZEN")</x:f>
        <x:v>not_applicable</x:v>
      </x:c>
      <x:c r="H40" s="6" t="str">
        <x:f>IF(Setup!$B$6="primary",IF(AND(INDEX('C_jama.2025.11178'!$D$2:$D$38,MATCH("2025::jama.2025.11178::C023",'C_jama.2025.11178'!$A$2:$A$38,0))="retain",INDEX('C_jama.2025.11178'!$E$2:$E$38,MATCH("2025::jama.2025.11178::C023",'C_jama.2025.11178'!$A$2:$A$38,0))="protocol_report"),IF(INDEX('C_jama.2025.11178'!$L$2:$L$38,MATCH("2025::jama.2025.11178::C023",'C_jama.2025.11178'!$A$2:$A$38,0))="","",INDEX('C_jama.2025.11178'!$L$2:$L$38,MATCH("2025::jama.2025.11178::C023",'C_jama.2025.11178'!$A$2:$A$38,0))),"not_applicable"),"NOT FROZEN")</x:f>
        <x:v>not_applicable</x:v>
      </x:c>
      <x:c r="I40" s="6" t="str">
        <x:f>IF(Setup!$B$6="primary",IF(INDEX('C_jama.2025.11178'!$R$2:$R$38,MATCH("2025::jama.2025.11178::C023",'C_jama.2025.11178'!$A$2:$A$38,0))="","",INDEX('C_jama.2025.11178'!$R$2:$R$38,MATCH("2025::jama.2025.11178::C023",'C_jama.2025.11178'!$A$2:$A$38,0))),"NOT FROZEN")</x:f>
      </x:c>
      <x:c r="J40" s="6" t="str">
        <x:f>IF(Setup!$B$6="primary",INDEX('C_jama.2025.11178'!$F$2:$F$38,MATCH("2025::jama.2025.11178::C023",'C_jama.2025.11178'!$A$2:$A$38,0)),"NOT FROZEN")</x:f>
        <x:v>no</x:v>
      </x:c>
      <x:c r="K40" s="6" t="str">
        <x:f>IF(Setup!$B$6="primary",Setup!$B$2,"NOT FROZEN")</x:f>
      </x:c>
      <x:c r="L40" s="6" t="str">
        <x:f>IF(Setup!$B$6="primary",IF(OR(B40="",B40="not_applicable"),"","Disposition: "&amp;B40&amp;CHAR(10))&amp;IF(OR(C40="",C40="not_applicable"),"","Review domain: "&amp;C40&amp;CHAR(10))&amp;IF(OR(D40="",D40="not_applicable"),"","Statistcal_or_numerical issue: "&amp;D40&amp;CHAR(10))&amp;IF(OR(E40="",E40="not_applicable"),"","Substantiveness: "&amp;E40&amp;CHAR(10))&amp;IF(OR(F40="",F40="not_applicable"),"","Downstream impact: "&amp;F40&amp;CHAR(10))&amp;IF(OR(G40="",G40="not_applicable"),"","Report-internal or planning-material inconsistency: "&amp;G40&amp;CHAR(10))&amp;IF(OR(H40="",H40="not_applicable"),"","Protocol interpretation: "&amp;H40&amp;CHAR(10))&amp;IF(OR(I40="",I40="not_applicable"),"","Notes (optional): "&amp;I40&amp;CHAR(10)),"NOT FROZEN")</x:f>
        <x:v>Review domain: statistical_results
</x:v>
      </x:c>
    </x:row>
    <x:row r="41" ht="70" customHeight="1">
      <x:c r="A41" s="3" t="str">
        <x:f>IF(Setup!$B$6="primary","2025::jama.2025.11178::C024","NOT FROZEN")</x:f>
        <x:v>2025::jama.2025.11178::C024</x:v>
      </x:c>
      <x:c r="B41" s="3" t="str">
        <x:f>IF(Setup!$B$6="primary",IF(INDEX('C_jama.2025.11178'!$D$2:$D$38,MATCH("2025::jama.2025.11178::C024",'C_jama.2025.11178'!$A$2:$A$38,0))="","",INDEX('C_jama.2025.11178'!$D$2:$D$38,MATCH("2025::jama.2025.11178::C024",'C_jama.2025.11178'!$A$2:$A$38,0))),"NOT FROZEN")</x:f>
      </x:c>
      <x:c r="C41" s="3" t="str">
        <x:f>IF(Setup!$B$6="primary",IF(INDEX('C_jama.2025.11178'!$E$2:$E$38,MATCH("2025::jama.2025.11178::C024",'C_jama.2025.11178'!$A$2:$A$38,0))="","",INDEX('C_jama.2025.11178'!$E$2:$E$38,MATCH("2025::jama.2025.11178::C024",'C_jama.2025.11178'!$A$2:$A$38,0))),"NOT FROZEN")</x:f>
        <x:v>statistical_results</x:v>
      </x:c>
      <x:c r="D41" s="3" t="str">
        <x:f>IF(Setup!$B$6="primary",IF(AND(INDEX('C_jama.2025.11178'!$D$2:$D$38,MATCH("2025::jama.2025.11178::C024",'C_jama.2025.11178'!$A$2:$A$38,0))="retain",INDEX('C_jama.2025.11178'!$E$2:$E$38,MATCH("2025::jama.2025.11178::C024",'C_jama.2025.11178'!$A$2:$A$38,0))="statistical_results"),IF(INDEX('C_jama.2025.11178'!$H$2:$H$38,MATCH("2025::jama.2025.11178::C024",'C_jama.2025.11178'!$A$2:$A$38,0))="","",INDEX('C_jama.2025.11178'!$H$2:$H$38,MATCH("2025::jama.2025.11178::C024",'C_jama.2025.11178'!$A$2:$A$38,0))),"not_applicable"),"NOT FROZEN")</x:f>
        <x:v>not_applicable</x:v>
      </x:c>
      <x:c r="E41" s="3" t="str">
        <x:f>IF(Setup!$B$6="primary",IF(AND(INDEX('C_jama.2025.11178'!$D$2:$D$38,MATCH("2025::jama.2025.11178::C024",'C_jama.2025.11178'!$A$2:$A$38,0))="retain",INDEX('C_jama.2025.11178'!$E$2:$E$38,MATCH("2025::jama.2025.11178::C024",'C_jama.2025.11178'!$A$2:$A$38,0))="statistical_results"),IF(INDEX('C_jama.2025.11178'!$I$2:$I$38,MATCH("2025::jama.2025.11178::C024",'C_jama.2025.11178'!$A$2:$A$38,0))="","",INDEX('C_jama.2025.11178'!$I$2:$I$38,MATCH("2025::jama.2025.11178::C024",'C_jama.2025.11178'!$A$2:$A$38,0))),"not_applicable"),"NOT FROZEN")</x:f>
        <x:v>not_applicable</x:v>
      </x:c>
      <x:c r="F41" s="3" t="str">
        <x:f>IF(Setup!$B$6="primary",IF(AND(INDEX('C_jama.2025.11178'!$D$2:$D$38,MATCH("2025::jama.2025.11178::C024",'C_jama.2025.11178'!$A$2:$A$38,0))="retain",INDEX('C_jama.2025.11178'!$E$2:$E$38,MATCH("2025::jama.2025.11178::C024",'C_jama.2025.11178'!$A$2:$A$38,0))="statistical_results"),IF(INDEX('C_jama.2025.11178'!$J$2:$J$38,MATCH("2025::jama.2025.11178::C024",'C_jama.2025.11178'!$A$2:$A$38,0))="","",INDEX('C_jama.2025.11178'!$J$2:$J$38,MATCH("2025::jama.2025.11178::C024",'C_jama.2025.11178'!$A$2:$A$38,0))),"not_applicable"),"NOT FROZEN")</x:f>
        <x:v>not_applicable</x:v>
      </x:c>
      <x:c r="G41" s="3" t="str">
        <x:f>IF(Setup!$B$6="primary",IF(AND(INDEX('C_jama.2025.11178'!$D$2:$D$38,MATCH("2025::jama.2025.11178::C024",'C_jama.2025.11178'!$A$2:$A$38,0))="retain",OR(INDEX('C_jama.2025.11178'!$E$2:$E$38,MATCH("2025::jama.2025.11178::C024",'C_jama.2025.11178'!$A$2:$A$38,0))="report_internal_inconsistency",INDEX('C_jama.2025.11178'!$E$2:$E$38,MATCH("2025::jama.2025.11178::C024",'C_jama.2025.11178'!$A$2:$A$38,0))="plan_material")),IF(INDEX('C_jama.2025.11178'!$K$2:$K$38,MATCH("2025::jama.2025.11178::C024",'C_jama.2025.11178'!$A$2:$A$38,0))="","",INDEX('C_jama.2025.11178'!$K$2:$K$38,MATCH("2025::jama.2025.11178::C024",'C_jama.2025.11178'!$A$2:$A$38,0))),"not_applicable"),"NOT FROZEN")</x:f>
        <x:v>not_applicable</x:v>
      </x:c>
      <x:c r="H41" s="3" t="str">
        <x:f>IF(Setup!$B$6="primary",IF(AND(INDEX('C_jama.2025.11178'!$D$2:$D$38,MATCH("2025::jama.2025.11178::C024",'C_jama.2025.11178'!$A$2:$A$38,0))="retain",INDEX('C_jama.2025.11178'!$E$2:$E$38,MATCH("2025::jama.2025.11178::C024",'C_jama.2025.11178'!$A$2:$A$38,0))="protocol_report"),IF(INDEX('C_jama.2025.11178'!$L$2:$L$38,MATCH("2025::jama.2025.11178::C024",'C_jama.2025.11178'!$A$2:$A$38,0))="","",INDEX('C_jama.2025.11178'!$L$2:$L$38,MATCH("2025::jama.2025.11178::C024",'C_jama.2025.11178'!$A$2:$A$38,0))),"not_applicable"),"NOT FROZEN")</x:f>
        <x:v>not_applicable</x:v>
      </x:c>
      <x:c r="I41" s="3" t="str">
        <x:f>IF(Setup!$B$6="primary",IF(INDEX('C_jama.2025.11178'!$R$2:$R$38,MATCH("2025::jama.2025.11178::C024",'C_jama.2025.11178'!$A$2:$A$38,0))="","",INDEX('C_jama.2025.11178'!$R$2:$R$38,MATCH("2025::jama.2025.11178::C024",'C_jama.2025.11178'!$A$2:$A$38,0))),"NOT FROZEN")</x:f>
      </x:c>
      <x:c r="J41" s="3" t="str">
        <x:f>IF(Setup!$B$6="primary",INDEX('C_jama.2025.11178'!$F$2:$F$38,MATCH("2025::jama.2025.11178::C024",'C_jama.2025.11178'!$A$2:$A$38,0)),"NOT FROZEN")</x:f>
        <x:v>no</x:v>
      </x:c>
      <x:c r="K41" s="3" t="str">
        <x:f>IF(Setup!$B$6="primary",Setup!$B$2,"NOT FROZEN")</x:f>
      </x:c>
      <x:c r="L41" s="3" t="str">
        <x:f>IF(Setup!$B$6="primary",IF(OR(B41="",B41="not_applicable"),"","Disposition: "&amp;B41&amp;CHAR(10))&amp;IF(OR(C41="",C41="not_applicable"),"","Review domain: "&amp;C41&amp;CHAR(10))&amp;IF(OR(D41="",D41="not_applicable"),"","Statistcal_or_numerical issue: "&amp;D41&amp;CHAR(10))&amp;IF(OR(E41="",E41="not_applicable"),"","Substantiveness: "&amp;E41&amp;CHAR(10))&amp;IF(OR(F41="",F41="not_applicable"),"","Downstream impact: "&amp;F41&amp;CHAR(10))&amp;IF(OR(G41="",G41="not_applicable"),"","Report-internal or planning-material inconsistency: "&amp;G41&amp;CHAR(10))&amp;IF(OR(H41="",H41="not_applicable"),"","Protocol interpretation: "&amp;H41&amp;CHAR(10))&amp;IF(OR(I41="",I41="not_applicable"),"","Notes (optional): "&amp;I41&amp;CHAR(10)),"NOT FROZEN")</x:f>
        <x:v>Review domain: statistical_results
</x:v>
      </x:c>
    </x:row>
    <x:row r="42" ht="70" customHeight="1">
      <x:c r="A42" s="6" t="str">
        <x:f>IF(Setup!$B$6="primary","2025::jama.2025.11178::C025","NOT FROZEN")</x:f>
        <x:v>2025::jama.2025.11178::C025</x:v>
      </x:c>
      <x:c r="B42" s="6" t="str">
        <x:f>IF(Setup!$B$6="primary",IF(INDEX('C_jama.2025.11178'!$D$2:$D$38,MATCH("2025::jama.2025.11178::C025",'C_jama.2025.11178'!$A$2:$A$38,0))="","",INDEX('C_jama.2025.11178'!$D$2:$D$38,MATCH("2025::jama.2025.11178::C025",'C_jama.2025.11178'!$A$2:$A$38,0))),"NOT FROZEN")</x:f>
      </x:c>
      <x:c r="C42" s="6" t="str">
        <x:f>IF(Setup!$B$6="primary",IF(INDEX('C_jama.2025.11178'!$E$2:$E$38,MATCH("2025::jama.2025.11178::C025",'C_jama.2025.11178'!$A$2:$A$38,0))="","",INDEX('C_jama.2025.11178'!$E$2:$E$38,MATCH("2025::jama.2025.11178::C025",'C_jama.2025.11178'!$A$2:$A$38,0))),"NOT FROZEN")</x:f>
        <x:v>statistical_results</x:v>
      </x:c>
      <x:c r="D42" s="6" t="str">
        <x:f>IF(Setup!$B$6="primary",IF(AND(INDEX('C_jama.2025.11178'!$D$2:$D$38,MATCH("2025::jama.2025.11178::C025",'C_jama.2025.11178'!$A$2:$A$38,0))="retain",INDEX('C_jama.2025.11178'!$E$2:$E$38,MATCH("2025::jama.2025.11178::C025",'C_jama.2025.11178'!$A$2:$A$38,0))="statistical_results"),IF(INDEX('C_jama.2025.11178'!$H$2:$H$38,MATCH("2025::jama.2025.11178::C025",'C_jama.2025.11178'!$A$2:$A$38,0))="","",INDEX('C_jama.2025.11178'!$H$2:$H$38,MATCH("2025::jama.2025.11178::C025",'C_jama.2025.11178'!$A$2:$A$38,0))),"not_applicable"),"NOT FROZEN")</x:f>
        <x:v>not_applicable</x:v>
      </x:c>
      <x:c r="E42" s="6" t="str">
        <x:f>IF(Setup!$B$6="primary",IF(AND(INDEX('C_jama.2025.11178'!$D$2:$D$38,MATCH("2025::jama.2025.11178::C025",'C_jama.2025.11178'!$A$2:$A$38,0))="retain",INDEX('C_jama.2025.11178'!$E$2:$E$38,MATCH("2025::jama.2025.11178::C025",'C_jama.2025.11178'!$A$2:$A$38,0))="statistical_results"),IF(INDEX('C_jama.2025.11178'!$I$2:$I$38,MATCH("2025::jama.2025.11178::C025",'C_jama.2025.11178'!$A$2:$A$38,0))="","",INDEX('C_jama.2025.11178'!$I$2:$I$38,MATCH("2025::jama.2025.11178::C025",'C_jama.2025.11178'!$A$2:$A$38,0))),"not_applicable"),"NOT FROZEN")</x:f>
        <x:v>not_applicable</x:v>
      </x:c>
      <x:c r="F42" s="6" t="str">
        <x:f>IF(Setup!$B$6="primary",IF(AND(INDEX('C_jama.2025.11178'!$D$2:$D$38,MATCH("2025::jama.2025.11178::C025",'C_jama.2025.11178'!$A$2:$A$38,0))="retain",INDEX('C_jama.2025.11178'!$E$2:$E$38,MATCH("2025::jama.2025.11178::C025",'C_jama.2025.11178'!$A$2:$A$38,0))="statistical_results"),IF(INDEX('C_jama.2025.11178'!$J$2:$J$38,MATCH("2025::jama.2025.11178::C025",'C_jama.2025.11178'!$A$2:$A$38,0))="","",INDEX('C_jama.2025.11178'!$J$2:$J$38,MATCH("2025::jama.2025.11178::C025",'C_jama.2025.11178'!$A$2:$A$38,0))),"not_applicable"),"NOT FROZEN")</x:f>
        <x:v>not_applicable</x:v>
      </x:c>
      <x:c r="G42" s="6" t="str">
        <x:f>IF(Setup!$B$6="primary",IF(AND(INDEX('C_jama.2025.11178'!$D$2:$D$38,MATCH("2025::jama.2025.11178::C025",'C_jama.2025.11178'!$A$2:$A$38,0))="retain",OR(INDEX('C_jama.2025.11178'!$E$2:$E$38,MATCH("2025::jama.2025.11178::C025",'C_jama.2025.11178'!$A$2:$A$38,0))="report_internal_inconsistency",INDEX('C_jama.2025.11178'!$E$2:$E$38,MATCH("2025::jama.2025.11178::C025",'C_jama.2025.11178'!$A$2:$A$38,0))="plan_material")),IF(INDEX('C_jama.2025.11178'!$K$2:$K$38,MATCH("2025::jama.2025.11178::C025",'C_jama.2025.11178'!$A$2:$A$38,0))="","",INDEX('C_jama.2025.11178'!$K$2:$K$38,MATCH("2025::jama.2025.11178::C025",'C_jama.2025.11178'!$A$2:$A$38,0))),"not_applicable"),"NOT FROZEN")</x:f>
        <x:v>not_applicable</x:v>
      </x:c>
      <x:c r="H42" s="6" t="str">
        <x:f>IF(Setup!$B$6="primary",IF(AND(INDEX('C_jama.2025.11178'!$D$2:$D$38,MATCH("2025::jama.2025.11178::C025",'C_jama.2025.11178'!$A$2:$A$38,0))="retain",INDEX('C_jama.2025.11178'!$E$2:$E$38,MATCH("2025::jama.2025.11178::C025",'C_jama.2025.11178'!$A$2:$A$38,0))="protocol_report"),IF(INDEX('C_jama.2025.11178'!$L$2:$L$38,MATCH("2025::jama.2025.11178::C025",'C_jama.2025.11178'!$A$2:$A$38,0))="","",INDEX('C_jama.2025.11178'!$L$2:$L$38,MATCH("2025::jama.2025.11178::C025",'C_jama.2025.11178'!$A$2:$A$38,0))),"not_applicable"),"NOT FROZEN")</x:f>
        <x:v>not_applicable</x:v>
      </x:c>
      <x:c r="I42" s="6" t="str">
        <x:f>IF(Setup!$B$6="primary",IF(INDEX('C_jama.2025.11178'!$R$2:$R$38,MATCH("2025::jama.2025.11178::C025",'C_jama.2025.11178'!$A$2:$A$38,0))="","",INDEX('C_jama.2025.11178'!$R$2:$R$38,MATCH("2025::jama.2025.11178::C025",'C_jama.2025.11178'!$A$2:$A$38,0))),"NOT FROZEN")</x:f>
      </x:c>
      <x:c r="J42" s="6" t="str">
        <x:f>IF(Setup!$B$6="primary",INDEX('C_jama.2025.11178'!$F$2:$F$38,MATCH("2025::jama.2025.11178::C025",'C_jama.2025.11178'!$A$2:$A$38,0)),"NOT FROZEN")</x:f>
        <x:v>no</x:v>
      </x:c>
      <x:c r="K42" s="6" t="str">
        <x:f>IF(Setup!$B$6="primary",Setup!$B$2,"NOT FROZEN")</x:f>
      </x:c>
      <x:c r="L42" s="6" t="str">
        <x:f>IF(Setup!$B$6="primary",IF(OR(B42="",B42="not_applicable"),"","Disposition: "&amp;B42&amp;CHAR(10))&amp;IF(OR(C42="",C42="not_applicable"),"","Review domain: "&amp;C42&amp;CHAR(10))&amp;IF(OR(D42="",D42="not_applicable"),"","Statistcal_or_numerical issue: "&amp;D42&amp;CHAR(10))&amp;IF(OR(E42="",E42="not_applicable"),"","Substantiveness: "&amp;E42&amp;CHAR(10))&amp;IF(OR(F42="",F42="not_applicable"),"","Downstream impact: "&amp;F42&amp;CHAR(10))&amp;IF(OR(G42="",G42="not_applicable"),"","Report-internal or planning-material inconsistency: "&amp;G42&amp;CHAR(10))&amp;IF(OR(H42="",H42="not_applicable"),"","Protocol interpretation: "&amp;H42&amp;CHAR(10))&amp;IF(OR(I42="",I42="not_applicable"),"","Notes (optional): "&amp;I42&amp;CHAR(10)),"NOT FROZEN")</x:f>
        <x:v>Review domain: statistical_results
</x:v>
      </x:c>
    </x:row>
    <x:row r="43" ht="70" customHeight="1">
      <x:c r="A43" s="3" t="str">
        <x:f>IF(Setup!$B$6="primary","2025::jama.2025.11178::C026","NOT FROZEN")</x:f>
        <x:v>2025::jama.2025.11178::C026</x:v>
      </x:c>
      <x:c r="B43" s="3" t="str">
        <x:f>IF(Setup!$B$6="primary",IF(INDEX('C_jama.2025.11178'!$D$2:$D$38,MATCH("2025::jama.2025.11178::C026",'C_jama.2025.11178'!$A$2:$A$38,0))="","",INDEX('C_jama.2025.11178'!$D$2:$D$38,MATCH("2025::jama.2025.11178::C026",'C_jama.2025.11178'!$A$2:$A$38,0))),"NOT FROZEN")</x:f>
      </x:c>
      <x:c r="C43" s="3" t="str">
        <x:f>IF(Setup!$B$6="primary",IF(INDEX('C_jama.2025.11178'!$E$2:$E$38,MATCH("2025::jama.2025.11178::C026",'C_jama.2025.11178'!$A$2:$A$38,0))="","",INDEX('C_jama.2025.11178'!$E$2:$E$38,MATCH("2025::jama.2025.11178::C026",'C_jama.2025.11178'!$A$2:$A$38,0))),"NOT FROZEN")</x:f>
        <x:v>statistical_results</x:v>
      </x:c>
      <x:c r="D43" s="3" t="str">
        <x:f>IF(Setup!$B$6="primary",IF(AND(INDEX('C_jama.2025.11178'!$D$2:$D$38,MATCH("2025::jama.2025.11178::C026",'C_jama.2025.11178'!$A$2:$A$38,0))="retain",INDEX('C_jama.2025.11178'!$E$2:$E$38,MATCH("2025::jama.2025.11178::C026",'C_jama.2025.11178'!$A$2:$A$38,0))="statistical_results"),IF(INDEX('C_jama.2025.11178'!$H$2:$H$38,MATCH("2025::jama.2025.11178::C026",'C_jama.2025.11178'!$A$2:$A$38,0))="","",INDEX('C_jama.2025.11178'!$H$2:$H$38,MATCH("2025::jama.2025.11178::C026",'C_jama.2025.11178'!$A$2:$A$38,0))),"not_applicable"),"NOT FROZEN")</x:f>
        <x:v>not_applicable</x:v>
      </x:c>
      <x:c r="E43" s="3" t="str">
        <x:f>IF(Setup!$B$6="primary",IF(AND(INDEX('C_jama.2025.11178'!$D$2:$D$38,MATCH("2025::jama.2025.11178::C026",'C_jama.2025.11178'!$A$2:$A$38,0))="retain",INDEX('C_jama.2025.11178'!$E$2:$E$38,MATCH("2025::jama.2025.11178::C026",'C_jama.2025.11178'!$A$2:$A$38,0))="statistical_results"),IF(INDEX('C_jama.2025.11178'!$I$2:$I$38,MATCH("2025::jama.2025.11178::C026",'C_jama.2025.11178'!$A$2:$A$38,0))="","",INDEX('C_jama.2025.11178'!$I$2:$I$38,MATCH("2025::jama.2025.11178::C026",'C_jama.2025.11178'!$A$2:$A$38,0))),"not_applicable"),"NOT FROZEN")</x:f>
        <x:v>not_applicable</x:v>
      </x:c>
      <x:c r="F43" s="3" t="str">
        <x:f>IF(Setup!$B$6="primary",IF(AND(INDEX('C_jama.2025.11178'!$D$2:$D$38,MATCH("2025::jama.2025.11178::C026",'C_jama.2025.11178'!$A$2:$A$38,0))="retain",INDEX('C_jama.2025.11178'!$E$2:$E$38,MATCH("2025::jama.2025.11178::C026",'C_jama.2025.11178'!$A$2:$A$38,0))="statistical_results"),IF(INDEX('C_jama.2025.11178'!$J$2:$J$38,MATCH("2025::jama.2025.11178::C026",'C_jama.2025.11178'!$A$2:$A$38,0))="","",INDEX('C_jama.2025.11178'!$J$2:$J$38,MATCH("2025::jama.2025.11178::C026",'C_jama.2025.11178'!$A$2:$A$38,0))),"not_applicable"),"NOT FROZEN")</x:f>
        <x:v>not_applicable</x:v>
      </x:c>
      <x:c r="G43" s="3" t="str">
        <x:f>IF(Setup!$B$6="primary",IF(AND(INDEX('C_jama.2025.11178'!$D$2:$D$38,MATCH("2025::jama.2025.11178::C026",'C_jama.2025.11178'!$A$2:$A$38,0))="retain",OR(INDEX('C_jama.2025.11178'!$E$2:$E$38,MATCH("2025::jama.2025.11178::C026",'C_jama.2025.11178'!$A$2:$A$38,0))="report_internal_inconsistency",INDEX('C_jama.2025.11178'!$E$2:$E$38,MATCH("2025::jama.2025.11178::C026",'C_jama.2025.11178'!$A$2:$A$38,0))="plan_material")),IF(INDEX('C_jama.2025.11178'!$K$2:$K$38,MATCH("2025::jama.2025.11178::C026",'C_jama.2025.11178'!$A$2:$A$38,0))="","",INDEX('C_jama.2025.11178'!$K$2:$K$38,MATCH("2025::jama.2025.11178::C026",'C_jama.2025.11178'!$A$2:$A$38,0))),"not_applicable"),"NOT FROZEN")</x:f>
        <x:v>not_applicable</x:v>
      </x:c>
      <x:c r="H43" s="3" t="str">
        <x:f>IF(Setup!$B$6="primary",IF(AND(INDEX('C_jama.2025.11178'!$D$2:$D$38,MATCH("2025::jama.2025.11178::C026",'C_jama.2025.11178'!$A$2:$A$38,0))="retain",INDEX('C_jama.2025.11178'!$E$2:$E$38,MATCH("2025::jama.2025.11178::C026",'C_jama.2025.11178'!$A$2:$A$38,0))="protocol_report"),IF(INDEX('C_jama.2025.11178'!$L$2:$L$38,MATCH("2025::jama.2025.11178::C026",'C_jama.2025.11178'!$A$2:$A$38,0))="","",INDEX('C_jama.2025.11178'!$L$2:$L$38,MATCH("2025::jama.2025.11178::C026",'C_jama.2025.11178'!$A$2:$A$38,0))),"not_applicable"),"NOT FROZEN")</x:f>
        <x:v>not_applicable</x:v>
      </x:c>
      <x:c r="I43" s="3" t="str">
        <x:f>IF(Setup!$B$6="primary",IF(INDEX('C_jama.2025.11178'!$R$2:$R$38,MATCH("2025::jama.2025.11178::C026",'C_jama.2025.11178'!$A$2:$A$38,0))="","",INDEX('C_jama.2025.11178'!$R$2:$R$38,MATCH("2025::jama.2025.11178::C026",'C_jama.2025.11178'!$A$2:$A$38,0))),"NOT FROZEN")</x:f>
      </x:c>
      <x:c r="J43" s="3" t="str">
        <x:f>IF(Setup!$B$6="primary",INDEX('C_jama.2025.11178'!$F$2:$F$38,MATCH("2025::jama.2025.11178::C026",'C_jama.2025.11178'!$A$2:$A$38,0)),"NOT FROZEN")</x:f>
        <x:v>no</x:v>
      </x:c>
      <x:c r="K43" s="3" t="str">
        <x:f>IF(Setup!$B$6="primary",Setup!$B$2,"NOT FROZEN")</x:f>
      </x:c>
      <x:c r="L43" s="3" t="str">
        <x:f>IF(Setup!$B$6="primary",IF(OR(B43="",B43="not_applicable"),"","Disposition: "&amp;B43&amp;CHAR(10))&amp;IF(OR(C43="",C43="not_applicable"),"","Review domain: "&amp;C43&amp;CHAR(10))&amp;IF(OR(D43="",D43="not_applicable"),"","Statistcal_or_numerical issue: "&amp;D43&amp;CHAR(10))&amp;IF(OR(E43="",E43="not_applicable"),"","Substantiveness: "&amp;E43&amp;CHAR(10))&amp;IF(OR(F43="",F43="not_applicable"),"","Downstream impact: "&amp;F43&amp;CHAR(10))&amp;IF(OR(G43="",G43="not_applicable"),"","Report-internal or planning-material inconsistency: "&amp;G43&amp;CHAR(10))&amp;IF(OR(H43="",H43="not_applicable"),"","Protocol interpretation: "&amp;H43&amp;CHAR(10))&amp;IF(OR(I43="",I43="not_applicable"),"","Notes (optional): "&amp;I43&amp;CHAR(10)),"NOT FROZEN")</x:f>
        <x:v>Review domain: statistical_results
</x:v>
      </x:c>
    </x:row>
    <x:row r="44" ht="70" customHeight="1">
      <x:c r="A44" s="6" t="str">
        <x:f>IF(Setup!$B$6="primary","2025::jama.2025.11178::C027","NOT FROZEN")</x:f>
        <x:v>2025::jama.2025.11178::C027</x:v>
      </x:c>
      <x:c r="B44" s="6" t="str">
        <x:f>IF(Setup!$B$6="primary",IF(INDEX('C_jama.2025.11178'!$D$2:$D$38,MATCH("2025::jama.2025.11178::C027",'C_jama.2025.11178'!$A$2:$A$38,0))="","",INDEX('C_jama.2025.11178'!$D$2:$D$38,MATCH("2025::jama.2025.11178::C027",'C_jama.2025.11178'!$A$2:$A$38,0))),"NOT FROZEN")</x:f>
      </x:c>
      <x:c r="C44" s="6" t="str">
        <x:f>IF(Setup!$B$6="primary",IF(INDEX('C_jama.2025.11178'!$E$2:$E$38,MATCH("2025::jama.2025.11178::C027",'C_jama.2025.11178'!$A$2:$A$38,0))="","",INDEX('C_jama.2025.11178'!$E$2:$E$38,MATCH("2025::jama.2025.11178::C027",'C_jama.2025.11178'!$A$2:$A$38,0))),"NOT FROZEN")</x:f>
        <x:v>statistical_results</x:v>
      </x:c>
      <x:c r="D44" s="6" t="str">
        <x:f>IF(Setup!$B$6="primary",IF(AND(INDEX('C_jama.2025.11178'!$D$2:$D$38,MATCH("2025::jama.2025.11178::C027",'C_jama.2025.11178'!$A$2:$A$38,0))="retain",INDEX('C_jama.2025.11178'!$E$2:$E$38,MATCH("2025::jama.2025.11178::C027",'C_jama.2025.11178'!$A$2:$A$38,0))="statistical_results"),IF(INDEX('C_jama.2025.11178'!$H$2:$H$38,MATCH("2025::jama.2025.11178::C027",'C_jama.2025.11178'!$A$2:$A$38,0))="","",INDEX('C_jama.2025.11178'!$H$2:$H$38,MATCH("2025::jama.2025.11178::C027",'C_jama.2025.11178'!$A$2:$A$38,0))),"not_applicable"),"NOT FROZEN")</x:f>
        <x:v>not_applicable</x:v>
      </x:c>
      <x:c r="E44" s="6" t="str">
        <x:f>IF(Setup!$B$6="primary",IF(AND(INDEX('C_jama.2025.11178'!$D$2:$D$38,MATCH("2025::jama.2025.11178::C027",'C_jama.2025.11178'!$A$2:$A$38,0))="retain",INDEX('C_jama.2025.11178'!$E$2:$E$38,MATCH("2025::jama.2025.11178::C027",'C_jama.2025.11178'!$A$2:$A$38,0))="statistical_results"),IF(INDEX('C_jama.2025.11178'!$I$2:$I$38,MATCH("2025::jama.2025.11178::C027",'C_jama.2025.11178'!$A$2:$A$38,0))="","",INDEX('C_jama.2025.11178'!$I$2:$I$38,MATCH("2025::jama.2025.11178::C027",'C_jama.2025.11178'!$A$2:$A$38,0))),"not_applicable"),"NOT FROZEN")</x:f>
        <x:v>not_applicable</x:v>
      </x:c>
      <x:c r="F44" s="6" t="str">
        <x:f>IF(Setup!$B$6="primary",IF(AND(INDEX('C_jama.2025.11178'!$D$2:$D$38,MATCH("2025::jama.2025.11178::C027",'C_jama.2025.11178'!$A$2:$A$38,0))="retain",INDEX('C_jama.2025.11178'!$E$2:$E$38,MATCH("2025::jama.2025.11178::C027",'C_jama.2025.11178'!$A$2:$A$38,0))="statistical_results"),IF(INDEX('C_jama.2025.11178'!$J$2:$J$38,MATCH("2025::jama.2025.11178::C027",'C_jama.2025.11178'!$A$2:$A$38,0))="","",INDEX('C_jama.2025.11178'!$J$2:$J$38,MATCH("2025::jama.2025.11178::C027",'C_jama.2025.11178'!$A$2:$A$38,0))),"not_applicable"),"NOT FROZEN")</x:f>
        <x:v>not_applicable</x:v>
      </x:c>
      <x:c r="G44" s="6" t="str">
        <x:f>IF(Setup!$B$6="primary",IF(AND(INDEX('C_jama.2025.11178'!$D$2:$D$38,MATCH("2025::jama.2025.11178::C027",'C_jama.2025.11178'!$A$2:$A$38,0))="retain",OR(INDEX('C_jama.2025.11178'!$E$2:$E$38,MATCH("2025::jama.2025.11178::C027",'C_jama.2025.11178'!$A$2:$A$38,0))="report_internal_inconsistency",INDEX('C_jama.2025.11178'!$E$2:$E$38,MATCH("2025::jama.2025.11178::C027",'C_jama.2025.11178'!$A$2:$A$38,0))="plan_material")),IF(INDEX('C_jama.2025.11178'!$K$2:$K$38,MATCH("2025::jama.2025.11178::C027",'C_jama.2025.11178'!$A$2:$A$38,0))="","",INDEX('C_jama.2025.11178'!$K$2:$K$38,MATCH("2025::jama.2025.11178::C027",'C_jama.2025.11178'!$A$2:$A$38,0))),"not_applicable"),"NOT FROZEN")</x:f>
        <x:v>not_applicable</x:v>
      </x:c>
      <x:c r="H44" s="6" t="str">
        <x:f>IF(Setup!$B$6="primary",IF(AND(INDEX('C_jama.2025.11178'!$D$2:$D$38,MATCH("2025::jama.2025.11178::C027",'C_jama.2025.11178'!$A$2:$A$38,0))="retain",INDEX('C_jama.2025.11178'!$E$2:$E$38,MATCH("2025::jama.2025.11178::C027",'C_jama.2025.11178'!$A$2:$A$38,0))="protocol_report"),IF(INDEX('C_jama.2025.11178'!$L$2:$L$38,MATCH("2025::jama.2025.11178::C027",'C_jama.2025.11178'!$A$2:$A$38,0))="","",INDEX('C_jama.2025.11178'!$L$2:$L$38,MATCH("2025::jama.2025.11178::C027",'C_jama.2025.11178'!$A$2:$A$38,0))),"not_applicable"),"NOT FROZEN")</x:f>
        <x:v>not_applicable</x:v>
      </x:c>
      <x:c r="I44" s="6" t="str">
        <x:f>IF(Setup!$B$6="primary",IF(INDEX('C_jama.2025.11178'!$R$2:$R$38,MATCH("2025::jama.2025.11178::C027",'C_jama.2025.11178'!$A$2:$A$38,0))="","",INDEX('C_jama.2025.11178'!$R$2:$R$38,MATCH("2025::jama.2025.11178::C027",'C_jama.2025.11178'!$A$2:$A$38,0))),"NOT FROZEN")</x:f>
      </x:c>
      <x:c r="J44" s="6" t="str">
        <x:f>IF(Setup!$B$6="primary",INDEX('C_jama.2025.11178'!$F$2:$F$38,MATCH("2025::jama.2025.11178::C027",'C_jama.2025.11178'!$A$2:$A$38,0)),"NOT FROZEN")</x:f>
        <x:v>no</x:v>
      </x:c>
      <x:c r="K44" s="6" t="str">
        <x:f>IF(Setup!$B$6="primary",Setup!$B$2,"NOT FROZEN")</x:f>
      </x:c>
      <x:c r="L44" s="6" t="str">
        <x:f>IF(Setup!$B$6="primary",IF(OR(B44="",B44="not_applicable"),"","Disposition: "&amp;B44&amp;CHAR(10))&amp;IF(OR(C44="",C44="not_applicable"),"","Review domain: "&amp;C44&amp;CHAR(10))&amp;IF(OR(D44="",D44="not_applicable"),"","Statistcal_or_numerical issue: "&amp;D44&amp;CHAR(10))&amp;IF(OR(E44="",E44="not_applicable"),"","Substantiveness: "&amp;E44&amp;CHAR(10))&amp;IF(OR(F44="",F44="not_applicable"),"","Downstream impact: "&amp;F44&amp;CHAR(10))&amp;IF(OR(G44="",G44="not_applicable"),"","Report-internal or planning-material inconsistency: "&amp;G44&amp;CHAR(10))&amp;IF(OR(H44="",H44="not_applicable"),"","Protocol interpretation: "&amp;H44&amp;CHAR(10))&amp;IF(OR(I44="",I44="not_applicable"),"","Notes (optional): "&amp;I44&amp;CHAR(10)),"NOT FROZEN")</x:f>
        <x:v>Review domain: statistical_results
</x:v>
      </x:c>
    </x:row>
    <x:row r="45" ht="70" customHeight="1">
      <x:c r="A45" s="3" t="str">
        <x:f>IF(Setup!$B$6="primary","2025::jama.2025.11178::C028","NOT FROZEN")</x:f>
        <x:v>2025::jama.2025.11178::C028</x:v>
      </x:c>
      <x:c r="B45" s="3" t="str">
        <x:f>IF(Setup!$B$6="primary",IF(INDEX('C_jama.2025.11178'!$D$2:$D$38,MATCH("2025::jama.2025.11178::C028",'C_jama.2025.11178'!$A$2:$A$38,0))="","",INDEX('C_jama.2025.11178'!$D$2:$D$38,MATCH("2025::jama.2025.11178::C028",'C_jama.2025.11178'!$A$2:$A$38,0))),"NOT FROZEN")</x:f>
      </x:c>
      <x:c r="C45" s="3" t="str">
        <x:f>IF(Setup!$B$6="primary",IF(INDEX('C_jama.2025.11178'!$E$2:$E$38,MATCH("2025::jama.2025.11178::C028",'C_jama.2025.11178'!$A$2:$A$38,0))="","",INDEX('C_jama.2025.11178'!$E$2:$E$38,MATCH("2025::jama.2025.11178::C028",'C_jama.2025.11178'!$A$2:$A$38,0))),"NOT FROZEN")</x:f>
        <x:v>statistical_results</x:v>
      </x:c>
      <x:c r="D45" s="3" t="str">
        <x:f>IF(Setup!$B$6="primary",IF(AND(INDEX('C_jama.2025.11178'!$D$2:$D$38,MATCH("2025::jama.2025.11178::C028",'C_jama.2025.11178'!$A$2:$A$38,0))="retain",INDEX('C_jama.2025.11178'!$E$2:$E$38,MATCH("2025::jama.2025.11178::C028",'C_jama.2025.11178'!$A$2:$A$38,0))="statistical_results"),IF(INDEX('C_jama.2025.11178'!$H$2:$H$38,MATCH("2025::jama.2025.11178::C028",'C_jama.2025.11178'!$A$2:$A$38,0))="","",INDEX('C_jama.2025.11178'!$H$2:$H$38,MATCH("2025::jama.2025.11178::C028",'C_jama.2025.11178'!$A$2:$A$38,0))),"not_applicable"),"NOT FROZEN")</x:f>
        <x:v>not_applicable</x:v>
      </x:c>
      <x:c r="E45" s="3" t="str">
        <x:f>IF(Setup!$B$6="primary",IF(AND(INDEX('C_jama.2025.11178'!$D$2:$D$38,MATCH("2025::jama.2025.11178::C028",'C_jama.2025.11178'!$A$2:$A$38,0))="retain",INDEX('C_jama.2025.11178'!$E$2:$E$38,MATCH("2025::jama.2025.11178::C028",'C_jama.2025.11178'!$A$2:$A$38,0))="statistical_results"),IF(INDEX('C_jama.2025.11178'!$I$2:$I$38,MATCH("2025::jama.2025.11178::C028",'C_jama.2025.11178'!$A$2:$A$38,0))="","",INDEX('C_jama.2025.11178'!$I$2:$I$38,MATCH("2025::jama.2025.11178::C028",'C_jama.2025.11178'!$A$2:$A$38,0))),"not_applicable"),"NOT FROZEN")</x:f>
        <x:v>not_applicable</x:v>
      </x:c>
      <x:c r="F45" s="3" t="str">
        <x:f>IF(Setup!$B$6="primary",IF(AND(INDEX('C_jama.2025.11178'!$D$2:$D$38,MATCH("2025::jama.2025.11178::C028",'C_jama.2025.11178'!$A$2:$A$38,0))="retain",INDEX('C_jama.2025.11178'!$E$2:$E$38,MATCH("2025::jama.2025.11178::C028",'C_jama.2025.11178'!$A$2:$A$38,0))="statistical_results"),IF(INDEX('C_jama.2025.11178'!$J$2:$J$38,MATCH("2025::jama.2025.11178::C028",'C_jama.2025.11178'!$A$2:$A$38,0))="","",INDEX('C_jama.2025.11178'!$J$2:$J$38,MATCH("2025::jama.2025.11178::C028",'C_jama.2025.11178'!$A$2:$A$38,0))),"not_applicable"),"NOT FROZEN")</x:f>
        <x:v>not_applicable</x:v>
      </x:c>
      <x:c r="G45" s="3" t="str">
        <x:f>IF(Setup!$B$6="primary",IF(AND(INDEX('C_jama.2025.11178'!$D$2:$D$38,MATCH("2025::jama.2025.11178::C028",'C_jama.2025.11178'!$A$2:$A$38,0))="retain",OR(INDEX('C_jama.2025.11178'!$E$2:$E$38,MATCH("2025::jama.2025.11178::C028",'C_jama.2025.11178'!$A$2:$A$38,0))="report_internal_inconsistency",INDEX('C_jama.2025.11178'!$E$2:$E$38,MATCH("2025::jama.2025.11178::C028",'C_jama.2025.11178'!$A$2:$A$38,0))="plan_material")),IF(INDEX('C_jama.2025.11178'!$K$2:$K$38,MATCH("2025::jama.2025.11178::C028",'C_jama.2025.11178'!$A$2:$A$38,0))="","",INDEX('C_jama.2025.11178'!$K$2:$K$38,MATCH("2025::jama.2025.11178::C028",'C_jama.2025.11178'!$A$2:$A$38,0))),"not_applicable"),"NOT FROZEN")</x:f>
        <x:v>not_applicable</x:v>
      </x:c>
      <x:c r="H45" s="3" t="str">
        <x:f>IF(Setup!$B$6="primary",IF(AND(INDEX('C_jama.2025.11178'!$D$2:$D$38,MATCH("2025::jama.2025.11178::C028",'C_jama.2025.11178'!$A$2:$A$38,0))="retain",INDEX('C_jama.2025.11178'!$E$2:$E$38,MATCH("2025::jama.2025.11178::C028",'C_jama.2025.11178'!$A$2:$A$38,0))="protocol_report"),IF(INDEX('C_jama.2025.11178'!$L$2:$L$38,MATCH("2025::jama.2025.11178::C028",'C_jama.2025.11178'!$A$2:$A$38,0))="","",INDEX('C_jama.2025.11178'!$L$2:$L$38,MATCH("2025::jama.2025.11178::C028",'C_jama.2025.11178'!$A$2:$A$38,0))),"not_applicable"),"NOT FROZEN")</x:f>
        <x:v>not_applicable</x:v>
      </x:c>
      <x:c r="I45" s="3" t="str">
        <x:f>IF(Setup!$B$6="primary",IF(INDEX('C_jama.2025.11178'!$R$2:$R$38,MATCH("2025::jama.2025.11178::C028",'C_jama.2025.11178'!$A$2:$A$38,0))="","",INDEX('C_jama.2025.11178'!$R$2:$R$38,MATCH("2025::jama.2025.11178::C028",'C_jama.2025.11178'!$A$2:$A$38,0))),"NOT FROZEN")</x:f>
      </x:c>
      <x:c r="J45" s="3" t="str">
        <x:f>IF(Setup!$B$6="primary",INDEX('C_jama.2025.11178'!$F$2:$F$38,MATCH("2025::jama.2025.11178::C028",'C_jama.2025.11178'!$A$2:$A$38,0)),"NOT FROZEN")</x:f>
        <x:v>no</x:v>
      </x:c>
      <x:c r="K45" s="3" t="str">
        <x:f>IF(Setup!$B$6="primary",Setup!$B$2,"NOT FROZEN")</x:f>
      </x:c>
      <x:c r="L45" s="3" t="str">
        <x:f>IF(Setup!$B$6="primary",IF(OR(B45="",B45="not_applicable"),"","Disposition: "&amp;B45&amp;CHAR(10))&amp;IF(OR(C45="",C45="not_applicable"),"","Review domain: "&amp;C45&amp;CHAR(10))&amp;IF(OR(D45="",D45="not_applicable"),"","Statistcal_or_numerical issue: "&amp;D45&amp;CHAR(10))&amp;IF(OR(E45="",E45="not_applicable"),"","Substantiveness: "&amp;E45&amp;CHAR(10))&amp;IF(OR(F45="",F45="not_applicable"),"","Downstream impact: "&amp;F45&amp;CHAR(10))&amp;IF(OR(G45="",G45="not_applicable"),"","Report-internal or planning-material inconsistency: "&amp;G45&amp;CHAR(10))&amp;IF(OR(H45="",H45="not_applicable"),"","Protocol interpretation: "&amp;H45&amp;CHAR(10))&amp;IF(OR(I45="",I45="not_applicable"),"","Notes (optional): "&amp;I45&amp;CHAR(10)),"NOT FROZEN")</x:f>
        <x:v>Review domain: statistical_results
</x:v>
      </x:c>
    </x:row>
    <x:row r="46" ht="70" customHeight="1">
      <x:c r="A46" s="6" t="str">
        <x:f>IF(Setup!$B$6="primary","2025::jama.2025.11178::C029","NOT FROZEN")</x:f>
        <x:v>2025::jama.2025.11178::C029</x:v>
      </x:c>
      <x:c r="B46" s="6" t="str">
        <x:f>IF(Setup!$B$6="primary",IF(INDEX('C_jama.2025.11178'!$D$2:$D$38,MATCH("2025::jama.2025.11178::C029",'C_jama.2025.11178'!$A$2:$A$38,0))="","",INDEX('C_jama.2025.11178'!$D$2:$D$38,MATCH("2025::jama.2025.11178::C029",'C_jama.2025.11178'!$A$2:$A$38,0))),"NOT FROZEN")</x:f>
      </x:c>
      <x:c r="C46" s="6" t="str">
        <x:f>IF(Setup!$B$6="primary",IF(INDEX('C_jama.2025.11178'!$E$2:$E$38,MATCH("2025::jama.2025.11178::C029",'C_jama.2025.11178'!$A$2:$A$38,0))="","",INDEX('C_jama.2025.11178'!$E$2:$E$38,MATCH("2025::jama.2025.11178::C029",'C_jama.2025.11178'!$A$2:$A$38,0))),"NOT FROZEN")</x:f>
        <x:v>statistical_results</x:v>
      </x:c>
      <x:c r="D46" s="6" t="str">
        <x:f>IF(Setup!$B$6="primary",IF(AND(INDEX('C_jama.2025.11178'!$D$2:$D$38,MATCH("2025::jama.2025.11178::C029",'C_jama.2025.11178'!$A$2:$A$38,0))="retain",INDEX('C_jama.2025.11178'!$E$2:$E$38,MATCH("2025::jama.2025.11178::C029",'C_jama.2025.11178'!$A$2:$A$38,0))="statistical_results"),IF(INDEX('C_jama.2025.11178'!$H$2:$H$38,MATCH("2025::jama.2025.11178::C029",'C_jama.2025.11178'!$A$2:$A$38,0))="","",INDEX('C_jama.2025.11178'!$H$2:$H$38,MATCH("2025::jama.2025.11178::C029",'C_jama.2025.11178'!$A$2:$A$38,0))),"not_applicable"),"NOT FROZEN")</x:f>
        <x:v>not_applicable</x:v>
      </x:c>
      <x:c r="E46" s="6" t="str">
        <x:f>IF(Setup!$B$6="primary",IF(AND(INDEX('C_jama.2025.11178'!$D$2:$D$38,MATCH("2025::jama.2025.11178::C029",'C_jama.2025.11178'!$A$2:$A$38,0))="retain",INDEX('C_jama.2025.11178'!$E$2:$E$38,MATCH("2025::jama.2025.11178::C029",'C_jama.2025.11178'!$A$2:$A$38,0))="statistical_results"),IF(INDEX('C_jama.2025.11178'!$I$2:$I$38,MATCH("2025::jama.2025.11178::C029",'C_jama.2025.11178'!$A$2:$A$38,0))="","",INDEX('C_jama.2025.11178'!$I$2:$I$38,MATCH("2025::jama.2025.11178::C029",'C_jama.2025.11178'!$A$2:$A$38,0))),"not_applicable"),"NOT FROZEN")</x:f>
        <x:v>not_applicable</x:v>
      </x:c>
      <x:c r="F46" s="6" t="str">
        <x:f>IF(Setup!$B$6="primary",IF(AND(INDEX('C_jama.2025.11178'!$D$2:$D$38,MATCH("2025::jama.2025.11178::C029",'C_jama.2025.11178'!$A$2:$A$38,0))="retain",INDEX('C_jama.2025.11178'!$E$2:$E$38,MATCH("2025::jama.2025.11178::C029",'C_jama.2025.11178'!$A$2:$A$38,0))="statistical_results"),IF(INDEX('C_jama.2025.11178'!$J$2:$J$38,MATCH("2025::jama.2025.11178::C029",'C_jama.2025.11178'!$A$2:$A$38,0))="","",INDEX('C_jama.2025.11178'!$J$2:$J$38,MATCH("2025::jama.2025.11178::C029",'C_jama.2025.11178'!$A$2:$A$38,0))),"not_applicable"),"NOT FROZEN")</x:f>
        <x:v>not_applicable</x:v>
      </x:c>
      <x:c r="G46" s="6" t="str">
        <x:f>IF(Setup!$B$6="primary",IF(AND(INDEX('C_jama.2025.11178'!$D$2:$D$38,MATCH("2025::jama.2025.11178::C029",'C_jama.2025.11178'!$A$2:$A$38,0))="retain",OR(INDEX('C_jama.2025.11178'!$E$2:$E$38,MATCH("2025::jama.2025.11178::C029",'C_jama.2025.11178'!$A$2:$A$38,0))="report_internal_inconsistency",INDEX('C_jama.2025.11178'!$E$2:$E$38,MATCH("2025::jama.2025.11178::C029",'C_jama.2025.11178'!$A$2:$A$38,0))="plan_material")),IF(INDEX('C_jama.2025.11178'!$K$2:$K$38,MATCH("2025::jama.2025.11178::C029",'C_jama.2025.11178'!$A$2:$A$38,0))="","",INDEX('C_jama.2025.11178'!$K$2:$K$38,MATCH("2025::jama.2025.11178::C029",'C_jama.2025.11178'!$A$2:$A$38,0))),"not_applicable"),"NOT FROZEN")</x:f>
        <x:v>not_applicable</x:v>
      </x:c>
      <x:c r="H46" s="6" t="str">
        <x:f>IF(Setup!$B$6="primary",IF(AND(INDEX('C_jama.2025.11178'!$D$2:$D$38,MATCH("2025::jama.2025.11178::C029",'C_jama.2025.11178'!$A$2:$A$38,0))="retain",INDEX('C_jama.2025.11178'!$E$2:$E$38,MATCH("2025::jama.2025.11178::C029",'C_jama.2025.11178'!$A$2:$A$38,0))="protocol_report"),IF(INDEX('C_jama.2025.11178'!$L$2:$L$38,MATCH("2025::jama.2025.11178::C029",'C_jama.2025.11178'!$A$2:$A$38,0))="","",INDEX('C_jama.2025.11178'!$L$2:$L$38,MATCH("2025::jama.2025.11178::C029",'C_jama.2025.11178'!$A$2:$A$38,0))),"not_applicable"),"NOT FROZEN")</x:f>
        <x:v>not_applicable</x:v>
      </x:c>
      <x:c r="I46" s="6" t="str">
        <x:f>IF(Setup!$B$6="primary",IF(INDEX('C_jama.2025.11178'!$R$2:$R$38,MATCH("2025::jama.2025.11178::C029",'C_jama.2025.11178'!$A$2:$A$38,0))="","",INDEX('C_jama.2025.11178'!$R$2:$R$38,MATCH("2025::jama.2025.11178::C029",'C_jama.2025.11178'!$A$2:$A$38,0))),"NOT FROZEN")</x:f>
      </x:c>
      <x:c r="J46" s="6" t="str">
        <x:f>IF(Setup!$B$6="primary",INDEX('C_jama.2025.11178'!$F$2:$F$38,MATCH("2025::jama.2025.11178::C029",'C_jama.2025.11178'!$A$2:$A$38,0)),"NOT FROZEN")</x:f>
        <x:v>no</x:v>
      </x:c>
      <x:c r="K46" s="6" t="str">
        <x:f>IF(Setup!$B$6="primary",Setup!$B$2,"NOT FROZEN")</x:f>
      </x:c>
      <x:c r="L46" s="6" t="str">
        <x:f>IF(Setup!$B$6="primary",IF(OR(B46="",B46="not_applicable"),"","Disposition: "&amp;B46&amp;CHAR(10))&amp;IF(OR(C46="",C46="not_applicable"),"","Review domain: "&amp;C46&amp;CHAR(10))&amp;IF(OR(D46="",D46="not_applicable"),"","Statistcal_or_numerical issue: "&amp;D46&amp;CHAR(10))&amp;IF(OR(E46="",E46="not_applicable"),"","Substantiveness: "&amp;E46&amp;CHAR(10))&amp;IF(OR(F46="",F46="not_applicable"),"","Downstream impact: "&amp;F46&amp;CHAR(10))&amp;IF(OR(G46="",G46="not_applicable"),"","Report-internal or planning-material inconsistency: "&amp;G46&amp;CHAR(10))&amp;IF(OR(H46="",H46="not_applicable"),"","Protocol interpretation: "&amp;H46&amp;CHAR(10))&amp;IF(OR(I46="",I46="not_applicable"),"","Notes (optional): "&amp;I46&amp;CHAR(10)),"NOT FROZEN")</x:f>
        <x:v>Review domain: statistical_results
</x:v>
      </x:c>
    </x:row>
    <x:row r="47" ht="70" customHeight="1">
      <x:c r="A47" s="3" t="str">
        <x:f>IF(Setup!$B$6="primary","2025::jama.2025.11178::C030","NOT FROZEN")</x:f>
        <x:v>2025::jama.2025.11178::C030</x:v>
      </x:c>
      <x:c r="B47" s="3" t="str">
        <x:f>IF(Setup!$B$6="primary",IF(INDEX('C_jama.2025.11178'!$D$2:$D$38,MATCH("2025::jama.2025.11178::C030",'C_jama.2025.11178'!$A$2:$A$38,0))="","",INDEX('C_jama.2025.11178'!$D$2:$D$38,MATCH("2025::jama.2025.11178::C030",'C_jama.2025.11178'!$A$2:$A$38,0))),"NOT FROZEN")</x:f>
      </x:c>
      <x:c r="C47" s="3" t="str">
        <x:f>IF(Setup!$B$6="primary",IF(INDEX('C_jama.2025.11178'!$E$2:$E$38,MATCH("2025::jama.2025.11178::C030",'C_jama.2025.11178'!$A$2:$A$38,0))="","",INDEX('C_jama.2025.11178'!$E$2:$E$38,MATCH("2025::jama.2025.11178::C030",'C_jama.2025.11178'!$A$2:$A$38,0))),"NOT FROZEN")</x:f>
        <x:v>statistical_results</x:v>
      </x:c>
      <x:c r="D47" s="3" t="str">
        <x:f>IF(Setup!$B$6="primary",IF(AND(INDEX('C_jama.2025.11178'!$D$2:$D$38,MATCH("2025::jama.2025.11178::C030",'C_jama.2025.11178'!$A$2:$A$38,0))="retain",INDEX('C_jama.2025.11178'!$E$2:$E$38,MATCH("2025::jama.2025.11178::C030",'C_jama.2025.11178'!$A$2:$A$38,0))="statistical_results"),IF(INDEX('C_jama.2025.11178'!$H$2:$H$38,MATCH("2025::jama.2025.11178::C030",'C_jama.2025.11178'!$A$2:$A$38,0))="","",INDEX('C_jama.2025.11178'!$H$2:$H$38,MATCH("2025::jama.2025.11178::C030",'C_jama.2025.11178'!$A$2:$A$38,0))),"not_applicable"),"NOT FROZEN")</x:f>
        <x:v>not_applicable</x:v>
      </x:c>
      <x:c r="E47" s="3" t="str">
        <x:f>IF(Setup!$B$6="primary",IF(AND(INDEX('C_jama.2025.11178'!$D$2:$D$38,MATCH("2025::jama.2025.11178::C030",'C_jama.2025.11178'!$A$2:$A$38,0))="retain",INDEX('C_jama.2025.11178'!$E$2:$E$38,MATCH("2025::jama.2025.11178::C030",'C_jama.2025.11178'!$A$2:$A$38,0))="statistical_results"),IF(INDEX('C_jama.2025.11178'!$I$2:$I$38,MATCH("2025::jama.2025.11178::C030",'C_jama.2025.11178'!$A$2:$A$38,0))="","",INDEX('C_jama.2025.11178'!$I$2:$I$38,MATCH("2025::jama.2025.11178::C030",'C_jama.2025.11178'!$A$2:$A$38,0))),"not_applicable"),"NOT FROZEN")</x:f>
        <x:v>not_applicable</x:v>
      </x:c>
      <x:c r="F47" s="3" t="str">
        <x:f>IF(Setup!$B$6="primary",IF(AND(INDEX('C_jama.2025.11178'!$D$2:$D$38,MATCH("2025::jama.2025.11178::C030",'C_jama.2025.11178'!$A$2:$A$38,0))="retain",INDEX('C_jama.2025.11178'!$E$2:$E$38,MATCH("2025::jama.2025.11178::C030",'C_jama.2025.11178'!$A$2:$A$38,0))="statistical_results"),IF(INDEX('C_jama.2025.11178'!$J$2:$J$38,MATCH("2025::jama.2025.11178::C030",'C_jama.2025.11178'!$A$2:$A$38,0))="","",INDEX('C_jama.2025.11178'!$J$2:$J$38,MATCH("2025::jama.2025.11178::C030",'C_jama.2025.11178'!$A$2:$A$38,0))),"not_applicable"),"NOT FROZEN")</x:f>
        <x:v>not_applicable</x:v>
      </x:c>
      <x:c r="G47" s="3" t="str">
        <x:f>IF(Setup!$B$6="primary",IF(AND(INDEX('C_jama.2025.11178'!$D$2:$D$38,MATCH("2025::jama.2025.11178::C030",'C_jama.2025.11178'!$A$2:$A$38,0))="retain",OR(INDEX('C_jama.2025.11178'!$E$2:$E$38,MATCH("2025::jama.2025.11178::C030",'C_jama.2025.11178'!$A$2:$A$38,0))="report_internal_inconsistency",INDEX('C_jama.2025.11178'!$E$2:$E$38,MATCH("2025::jama.2025.11178::C030",'C_jama.2025.11178'!$A$2:$A$38,0))="plan_material")),IF(INDEX('C_jama.2025.11178'!$K$2:$K$38,MATCH("2025::jama.2025.11178::C030",'C_jama.2025.11178'!$A$2:$A$38,0))="","",INDEX('C_jama.2025.11178'!$K$2:$K$38,MATCH("2025::jama.2025.11178::C030",'C_jama.2025.11178'!$A$2:$A$38,0))),"not_applicable"),"NOT FROZEN")</x:f>
        <x:v>not_applicable</x:v>
      </x:c>
      <x:c r="H47" s="3" t="str">
        <x:f>IF(Setup!$B$6="primary",IF(AND(INDEX('C_jama.2025.11178'!$D$2:$D$38,MATCH("2025::jama.2025.11178::C030",'C_jama.2025.11178'!$A$2:$A$38,0))="retain",INDEX('C_jama.2025.11178'!$E$2:$E$38,MATCH("2025::jama.2025.11178::C030",'C_jama.2025.11178'!$A$2:$A$38,0))="protocol_report"),IF(INDEX('C_jama.2025.11178'!$L$2:$L$38,MATCH("2025::jama.2025.11178::C030",'C_jama.2025.11178'!$A$2:$A$38,0))="","",INDEX('C_jama.2025.11178'!$L$2:$L$38,MATCH("2025::jama.2025.11178::C030",'C_jama.2025.11178'!$A$2:$A$38,0))),"not_applicable"),"NOT FROZEN")</x:f>
        <x:v>not_applicable</x:v>
      </x:c>
      <x:c r="I47" s="3" t="str">
        <x:f>IF(Setup!$B$6="primary",IF(INDEX('C_jama.2025.11178'!$R$2:$R$38,MATCH("2025::jama.2025.11178::C030",'C_jama.2025.11178'!$A$2:$A$38,0))="","",INDEX('C_jama.2025.11178'!$R$2:$R$38,MATCH("2025::jama.2025.11178::C030",'C_jama.2025.11178'!$A$2:$A$38,0))),"NOT FROZEN")</x:f>
      </x:c>
      <x:c r="J47" s="3" t="str">
        <x:f>IF(Setup!$B$6="primary",INDEX('C_jama.2025.11178'!$F$2:$F$38,MATCH("2025::jama.2025.11178::C030",'C_jama.2025.11178'!$A$2:$A$38,0)),"NOT FROZEN")</x:f>
        <x:v>no</x:v>
      </x:c>
      <x:c r="K47" s="3" t="str">
        <x:f>IF(Setup!$B$6="primary",Setup!$B$2,"NOT FROZEN")</x:f>
      </x:c>
      <x:c r="L47" s="3" t="str">
        <x:f>IF(Setup!$B$6="primary",IF(OR(B47="",B47="not_applicable"),"","Disposition: "&amp;B47&amp;CHAR(10))&amp;IF(OR(C47="",C47="not_applicable"),"","Review domain: "&amp;C47&amp;CHAR(10))&amp;IF(OR(D47="",D47="not_applicable"),"","Statistcal_or_numerical issue: "&amp;D47&amp;CHAR(10))&amp;IF(OR(E47="",E47="not_applicable"),"","Substantiveness: "&amp;E47&amp;CHAR(10))&amp;IF(OR(F47="",F47="not_applicable"),"","Downstream impact: "&amp;F47&amp;CHAR(10))&amp;IF(OR(G47="",G47="not_applicable"),"","Report-internal or planning-material inconsistency: "&amp;G47&amp;CHAR(10))&amp;IF(OR(H47="",H47="not_applicable"),"","Protocol interpretation: "&amp;H47&amp;CHAR(10))&amp;IF(OR(I47="",I47="not_applicable"),"","Notes (optional): "&amp;I47&amp;CHAR(10)),"NOT FROZEN")</x:f>
        <x:v>Review domain: statistical_results
</x:v>
      </x:c>
    </x:row>
    <x:row r="48" ht="70" customHeight="1">
      <x:c r="A48" s="6" t="str">
        <x:f>IF(Setup!$B$6="primary","2025::jama.2025.11178::C031","NOT FROZEN")</x:f>
        <x:v>2025::jama.2025.11178::C031</x:v>
      </x:c>
      <x:c r="B48" s="6" t="str">
        <x:f>IF(Setup!$B$6="primary",IF(INDEX('C_jama.2025.11178'!$D$2:$D$38,MATCH("2025::jama.2025.11178::C031",'C_jama.2025.11178'!$A$2:$A$38,0))="","",INDEX('C_jama.2025.11178'!$D$2:$D$38,MATCH("2025::jama.2025.11178::C031",'C_jama.2025.11178'!$A$2:$A$38,0))),"NOT FROZEN")</x:f>
      </x:c>
      <x:c r="C48" s="6" t="str">
        <x:f>IF(Setup!$B$6="primary",IF(INDEX('C_jama.2025.11178'!$E$2:$E$38,MATCH("2025::jama.2025.11178::C031",'C_jama.2025.11178'!$A$2:$A$38,0))="","",INDEX('C_jama.2025.11178'!$E$2:$E$38,MATCH("2025::jama.2025.11178::C031",'C_jama.2025.11178'!$A$2:$A$38,0))),"NOT FROZEN")</x:f>
        <x:v>statistical_results</x:v>
      </x:c>
      <x:c r="D48" s="6" t="str">
        <x:f>IF(Setup!$B$6="primary",IF(AND(INDEX('C_jama.2025.11178'!$D$2:$D$38,MATCH("2025::jama.2025.11178::C031",'C_jama.2025.11178'!$A$2:$A$38,0))="retain",INDEX('C_jama.2025.11178'!$E$2:$E$38,MATCH("2025::jama.2025.11178::C031",'C_jama.2025.11178'!$A$2:$A$38,0))="statistical_results"),IF(INDEX('C_jama.2025.11178'!$H$2:$H$38,MATCH("2025::jama.2025.11178::C031",'C_jama.2025.11178'!$A$2:$A$38,0))="","",INDEX('C_jama.2025.11178'!$H$2:$H$38,MATCH("2025::jama.2025.11178::C031",'C_jama.2025.11178'!$A$2:$A$38,0))),"not_applicable"),"NOT FROZEN")</x:f>
        <x:v>not_applicable</x:v>
      </x:c>
      <x:c r="E48" s="6" t="str">
        <x:f>IF(Setup!$B$6="primary",IF(AND(INDEX('C_jama.2025.11178'!$D$2:$D$38,MATCH("2025::jama.2025.11178::C031",'C_jama.2025.11178'!$A$2:$A$38,0))="retain",INDEX('C_jama.2025.11178'!$E$2:$E$38,MATCH("2025::jama.2025.11178::C031",'C_jama.2025.11178'!$A$2:$A$38,0))="statistical_results"),IF(INDEX('C_jama.2025.11178'!$I$2:$I$38,MATCH("2025::jama.2025.11178::C031",'C_jama.2025.11178'!$A$2:$A$38,0))="","",INDEX('C_jama.2025.11178'!$I$2:$I$38,MATCH("2025::jama.2025.11178::C031",'C_jama.2025.11178'!$A$2:$A$38,0))),"not_applicable"),"NOT FROZEN")</x:f>
        <x:v>not_applicable</x:v>
      </x:c>
      <x:c r="F48" s="6" t="str">
        <x:f>IF(Setup!$B$6="primary",IF(AND(INDEX('C_jama.2025.11178'!$D$2:$D$38,MATCH("2025::jama.2025.11178::C031",'C_jama.2025.11178'!$A$2:$A$38,0))="retain",INDEX('C_jama.2025.11178'!$E$2:$E$38,MATCH("2025::jama.2025.11178::C031",'C_jama.2025.11178'!$A$2:$A$38,0))="statistical_results"),IF(INDEX('C_jama.2025.11178'!$J$2:$J$38,MATCH("2025::jama.2025.11178::C031",'C_jama.2025.11178'!$A$2:$A$38,0))="","",INDEX('C_jama.2025.11178'!$J$2:$J$38,MATCH("2025::jama.2025.11178::C031",'C_jama.2025.11178'!$A$2:$A$38,0))),"not_applicable"),"NOT FROZEN")</x:f>
        <x:v>not_applicable</x:v>
      </x:c>
      <x:c r="G48" s="6" t="str">
        <x:f>IF(Setup!$B$6="primary",IF(AND(INDEX('C_jama.2025.11178'!$D$2:$D$38,MATCH("2025::jama.2025.11178::C031",'C_jama.2025.11178'!$A$2:$A$38,0))="retain",OR(INDEX('C_jama.2025.11178'!$E$2:$E$38,MATCH("2025::jama.2025.11178::C031",'C_jama.2025.11178'!$A$2:$A$38,0))="report_internal_inconsistency",INDEX('C_jama.2025.11178'!$E$2:$E$38,MATCH("2025::jama.2025.11178::C031",'C_jama.2025.11178'!$A$2:$A$38,0))="plan_material")),IF(INDEX('C_jama.2025.11178'!$K$2:$K$38,MATCH("2025::jama.2025.11178::C031",'C_jama.2025.11178'!$A$2:$A$38,0))="","",INDEX('C_jama.2025.11178'!$K$2:$K$38,MATCH("2025::jama.2025.11178::C031",'C_jama.2025.11178'!$A$2:$A$38,0))),"not_applicable"),"NOT FROZEN")</x:f>
        <x:v>not_applicable</x:v>
      </x:c>
      <x:c r="H48" s="6" t="str">
        <x:f>IF(Setup!$B$6="primary",IF(AND(INDEX('C_jama.2025.11178'!$D$2:$D$38,MATCH("2025::jama.2025.11178::C031",'C_jama.2025.11178'!$A$2:$A$38,0))="retain",INDEX('C_jama.2025.11178'!$E$2:$E$38,MATCH("2025::jama.2025.11178::C031",'C_jama.2025.11178'!$A$2:$A$38,0))="protocol_report"),IF(INDEX('C_jama.2025.11178'!$L$2:$L$38,MATCH("2025::jama.2025.11178::C031",'C_jama.2025.11178'!$A$2:$A$38,0))="","",INDEX('C_jama.2025.11178'!$L$2:$L$38,MATCH("2025::jama.2025.11178::C031",'C_jama.2025.11178'!$A$2:$A$38,0))),"not_applicable"),"NOT FROZEN")</x:f>
        <x:v>not_applicable</x:v>
      </x:c>
      <x:c r="I48" s="6" t="str">
        <x:f>IF(Setup!$B$6="primary",IF(INDEX('C_jama.2025.11178'!$R$2:$R$38,MATCH("2025::jama.2025.11178::C031",'C_jama.2025.11178'!$A$2:$A$38,0))="","",INDEX('C_jama.2025.11178'!$R$2:$R$38,MATCH("2025::jama.2025.11178::C031",'C_jama.2025.11178'!$A$2:$A$38,0))),"NOT FROZEN")</x:f>
      </x:c>
      <x:c r="J48" s="6" t="str">
        <x:f>IF(Setup!$B$6="primary",INDEX('C_jama.2025.11178'!$F$2:$F$38,MATCH("2025::jama.2025.11178::C031",'C_jama.2025.11178'!$A$2:$A$38,0)),"NOT FROZEN")</x:f>
        <x:v>no</x:v>
      </x:c>
      <x:c r="K48" s="6" t="str">
        <x:f>IF(Setup!$B$6="primary",Setup!$B$2,"NOT FROZEN")</x:f>
      </x:c>
      <x:c r="L48" s="6" t="str">
        <x:f>IF(Setup!$B$6="primary",IF(OR(B48="",B48="not_applicable"),"","Disposition: "&amp;B48&amp;CHAR(10))&amp;IF(OR(C48="",C48="not_applicable"),"","Review domain: "&amp;C48&amp;CHAR(10))&amp;IF(OR(D48="",D48="not_applicable"),"","Statistcal_or_numerical issue: "&amp;D48&amp;CHAR(10))&amp;IF(OR(E48="",E48="not_applicable"),"","Substantiveness: "&amp;E48&amp;CHAR(10))&amp;IF(OR(F48="",F48="not_applicable"),"","Downstream impact: "&amp;F48&amp;CHAR(10))&amp;IF(OR(G48="",G48="not_applicable"),"","Report-internal or planning-material inconsistency: "&amp;G48&amp;CHAR(10))&amp;IF(OR(H48="",H48="not_applicable"),"","Protocol interpretation: "&amp;H48&amp;CHAR(10))&amp;IF(OR(I48="",I48="not_applicable"),"","Notes (optional): "&amp;I48&amp;CHAR(10)),"NOT FROZEN")</x:f>
        <x:v>Review domain: statistical_results
</x:v>
      </x:c>
    </x:row>
    <x:row r="49" ht="70" customHeight="1">
      <x:c r="A49" s="3" t="str">
        <x:f>IF(Setup!$B$6="primary","2025::jama.2025.11178::C032","NOT FROZEN")</x:f>
        <x:v>2025::jama.2025.11178::C032</x:v>
      </x:c>
      <x:c r="B49" s="3" t="str">
        <x:f>IF(Setup!$B$6="primary",IF(INDEX('C_jama.2025.11178'!$D$2:$D$38,MATCH("2025::jama.2025.11178::C032",'C_jama.2025.11178'!$A$2:$A$38,0))="","",INDEX('C_jama.2025.11178'!$D$2:$D$38,MATCH("2025::jama.2025.11178::C032",'C_jama.2025.11178'!$A$2:$A$38,0))),"NOT FROZEN")</x:f>
      </x:c>
      <x:c r="C49" s="3" t="str">
        <x:f>IF(Setup!$B$6="primary",IF(INDEX('C_jama.2025.11178'!$E$2:$E$38,MATCH("2025::jama.2025.11178::C032",'C_jama.2025.11178'!$A$2:$A$38,0))="","",INDEX('C_jama.2025.11178'!$E$2:$E$38,MATCH("2025::jama.2025.11178::C032",'C_jama.2025.11178'!$A$2:$A$38,0))),"NOT FROZEN")</x:f>
        <x:v>statistical_results</x:v>
      </x:c>
      <x:c r="D49" s="3" t="str">
        <x:f>IF(Setup!$B$6="primary",IF(AND(INDEX('C_jama.2025.11178'!$D$2:$D$38,MATCH("2025::jama.2025.11178::C032",'C_jama.2025.11178'!$A$2:$A$38,0))="retain",INDEX('C_jama.2025.11178'!$E$2:$E$38,MATCH("2025::jama.2025.11178::C032",'C_jama.2025.11178'!$A$2:$A$38,0))="statistical_results"),IF(INDEX('C_jama.2025.11178'!$H$2:$H$38,MATCH("2025::jama.2025.11178::C032",'C_jama.2025.11178'!$A$2:$A$38,0))="","",INDEX('C_jama.2025.11178'!$H$2:$H$38,MATCH("2025::jama.2025.11178::C032",'C_jama.2025.11178'!$A$2:$A$38,0))),"not_applicable"),"NOT FROZEN")</x:f>
        <x:v>not_applicable</x:v>
      </x:c>
      <x:c r="E49" s="3" t="str">
        <x:f>IF(Setup!$B$6="primary",IF(AND(INDEX('C_jama.2025.11178'!$D$2:$D$38,MATCH("2025::jama.2025.11178::C032",'C_jama.2025.11178'!$A$2:$A$38,0))="retain",INDEX('C_jama.2025.11178'!$E$2:$E$38,MATCH("2025::jama.2025.11178::C032",'C_jama.2025.11178'!$A$2:$A$38,0))="statistical_results"),IF(INDEX('C_jama.2025.11178'!$I$2:$I$38,MATCH("2025::jama.2025.11178::C032",'C_jama.2025.11178'!$A$2:$A$38,0))="","",INDEX('C_jama.2025.11178'!$I$2:$I$38,MATCH("2025::jama.2025.11178::C032",'C_jama.2025.11178'!$A$2:$A$38,0))),"not_applicable"),"NOT FROZEN")</x:f>
        <x:v>not_applicable</x:v>
      </x:c>
      <x:c r="F49" s="3" t="str">
        <x:f>IF(Setup!$B$6="primary",IF(AND(INDEX('C_jama.2025.11178'!$D$2:$D$38,MATCH("2025::jama.2025.11178::C032",'C_jama.2025.11178'!$A$2:$A$38,0))="retain",INDEX('C_jama.2025.11178'!$E$2:$E$38,MATCH("2025::jama.2025.11178::C032",'C_jama.2025.11178'!$A$2:$A$38,0))="statistical_results"),IF(INDEX('C_jama.2025.11178'!$J$2:$J$38,MATCH("2025::jama.2025.11178::C032",'C_jama.2025.11178'!$A$2:$A$38,0))="","",INDEX('C_jama.2025.11178'!$J$2:$J$38,MATCH("2025::jama.2025.11178::C032",'C_jama.2025.11178'!$A$2:$A$38,0))),"not_applicable"),"NOT FROZEN")</x:f>
        <x:v>not_applicable</x:v>
      </x:c>
      <x:c r="G49" s="3" t="str">
        <x:f>IF(Setup!$B$6="primary",IF(AND(INDEX('C_jama.2025.11178'!$D$2:$D$38,MATCH("2025::jama.2025.11178::C032",'C_jama.2025.11178'!$A$2:$A$38,0))="retain",OR(INDEX('C_jama.2025.11178'!$E$2:$E$38,MATCH("2025::jama.2025.11178::C032",'C_jama.2025.11178'!$A$2:$A$38,0))="report_internal_inconsistency",INDEX('C_jama.2025.11178'!$E$2:$E$38,MATCH("2025::jama.2025.11178::C032",'C_jama.2025.11178'!$A$2:$A$38,0))="plan_material")),IF(INDEX('C_jama.2025.11178'!$K$2:$K$38,MATCH("2025::jama.2025.11178::C032",'C_jama.2025.11178'!$A$2:$A$38,0))="","",INDEX('C_jama.2025.11178'!$K$2:$K$38,MATCH("2025::jama.2025.11178::C032",'C_jama.2025.11178'!$A$2:$A$38,0))),"not_applicable"),"NOT FROZEN")</x:f>
        <x:v>not_applicable</x:v>
      </x:c>
      <x:c r="H49" s="3" t="str">
        <x:f>IF(Setup!$B$6="primary",IF(AND(INDEX('C_jama.2025.11178'!$D$2:$D$38,MATCH("2025::jama.2025.11178::C032",'C_jama.2025.11178'!$A$2:$A$38,0))="retain",INDEX('C_jama.2025.11178'!$E$2:$E$38,MATCH("2025::jama.2025.11178::C032",'C_jama.2025.11178'!$A$2:$A$38,0))="protocol_report"),IF(INDEX('C_jama.2025.11178'!$L$2:$L$38,MATCH("2025::jama.2025.11178::C032",'C_jama.2025.11178'!$A$2:$A$38,0))="","",INDEX('C_jama.2025.11178'!$L$2:$L$38,MATCH("2025::jama.2025.11178::C032",'C_jama.2025.11178'!$A$2:$A$38,0))),"not_applicable"),"NOT FROZEN")</x:f>
        <x:v>not_applicable</x:v>
      </x:c>
      <x:c r="I49" s="3" t="str">
        <x:f>IF(Setup!$B$6="primary",IF(INDEX('C_jama.2025.11178'!$R$2:$R$38,MATCH("2025::jama.2025.11178::C032",'C_jama.2025.11178'!$A$2:$A$38,0))="","",INDEX('C_jama.2025.11178'!$R$2:$R$38,MATCH("2025::jama.2025.11178::C032",'C_jama.2025.11178'!$A$2:$A$38,0))),"NOT FROZEN")</x:f>
      </x:c>
      <x:c r="J49" s="3" t="str">
        <x:f>IF(Setup!$B$6="primary",INDEX('C_jama.2025.11178'!$F$2:$F$38,MATCH("2025::jama.2025.11178::C032",'C_jama.2025.11178'!$A$2:$A$38,0)),"NOT FROZEN")</x:f>
        <x:v>no</x:v>
      </x:c>
      <x:c r="K49" s="3" t="str">
        <x:f>IF(Setup!$B$6="primary",Setup!$B$2,"NOT FROZEN")</x:f>
      </x:c>
      <x:c r="L49" s="3" t="str">
        <x:f>IF(Setup!$B$6="primary",IF(OR(B49="",B49="not_applicable"),"","Disposition: "&amp;B49&amp;CHAR(10))&amp;IF(OR(C49="",C49="not_applicable"),"","Review domain: "&amp;C49&amp;CHAR(10))&amp;IF(OR(D49="",D49="not_applicable"),"","Statistcal_or_numerical issue: "&amp;D49&amp;CHAR(10))&amp;IF(OR(E49="",E49="not_applicable"),"","Substantiveness: "&amp;E49&amp;CHAR(10))&amp;IF(OR(F49="",F49="not_applicable"),"","Downstream impact: "&amp;F49&amp;CHAR(10))&amp;IF(OR(G49="",G49="not_applicable"),"","Report-internal or planning-material inconsistency: "&amp;G49&amp;CHAR(10))&amp;IF(OR(H49="",H49="not_applicable"),"","Protocol interpretation: "&amp;H49&amp;CHAR(10))&amp;IF(OR(I49="",I49="not_applicable"),"","Notes (optional): "&amp;I49&amp;CHAR(10)),"NOT FROZEN")</x:f>
        <x:v>Review domain: statistical_results
</x:v>
      </x:c>
    </x:row>
    <x:row r="50" ht="70" customHeight="1">
      <x:c r="A50" s="6" t="str">
        <x:f>IF(Setup!$B$6="primary","2025::jama.2025.11178::C033","NOT FROZEN")</x:f>
        <x:v>2025::jama.2025.11178::C033</x:v>
      </x:c>
      <x:c r="B50" s="6" t="str">
        <x:f>IF(Setup!$B$6="primary",IF(INDEX('C_jama.2025.11178'!$D$2:$D$38,MATCH("2025::jama.2025.11178::C033",'C_jama.2025.11178'!$A$2:$A$38,0))="","",INDEX('C_jama.2025.11178'!$D$2:$D$38,MATCH("2025::jama.2025.11178::C033",'C_jama.2025.11178'!$A$2:$A$38,0))),"NOT FROZEN")</x:f>
      </x:c>
      <x:c r="C50" s="6" t="str">
        <x:f>IF(Setup!$B$6="primary",IF(INDEX('C_jama.2025.11178'!$E$2:$E$38,MATCH("2025::jama.2025.11178::C033",'C_jama.2025.11178'!$A$2:$A$38,0))="","",INDEX('C_jama.2025.11178'!$E$2:$E$38,MATCH("2025::jama.2025.11178::C033",'C_jama.2025.11178'!$A$2:$A$38,0))),"NOT FROZEN")</x:f>
        <x:v>statistical_results</x:v>
      </x:c>
      <x:c r="D50" s="6" t="str">
        <x:f>IF(Setup!$B$6="primary",IF(AND(INDEX('C_jama.2025.11178'!$D$2:$D$38,MATCH("2025::jama.2025.11178::C033",'C_jama.2025.11178'!$A$2:$A$38,0))="retain",INDEX('C_jama.2025.11178'!$E$2:$E$38,MATCH("2025::jama.2025.11178::C033",'C_jama.2025.11178'!$A$2:$A$38,0))="statistical_results"),IF(INDEX('C_jama.2025.11178'!$H$2:$H$38,MATCH("2025::jama.2025.11178::C033",'C_jama.2025.11178'!$A$2:$A$38,0))="","",INDEX('C_jama.2025.11178'!$H$2:$H$38,MATCH("2025::jama.2025.11178::C033",'C_jama.2025.11178'!$A$2:$A$38,0))),"not_applicable"),"NOT FROZEN")</x:f>
        <x:v>not_applicable</x:v>
      </x:c>
      <x:c r="E50" s="6" t="str">
        <x:f>IF(Setup!$B$6="primary",IF(AND(INDEX('C_jama.2025.11178'!$D$2:$D$38,MATCH("2025::jama.2025.11178::C033",'C_jama.2025.11178'!$A$2:$A$38,0))="retain",INDEX('C_jama.2025.11178'!$E$2:$E$38,MATCH("2025::jama.2025.11178::C033",'C_jama.2025.11178'!$A$2:$A$38,0))="statistical_results"),IF(INDEX('C_jama.2025.11178'!$I$2:$I$38,MATCH("2025::jama.2025.11178::C033",'C_jama.2025.11178'!$A$2:$A$38,0))="","",INDEX('C_jama.2025.11178'!$I$2:$I$38,MATCH("2025::jama.2025.11178::C033",'C_jama.2025.11178'!$A$2:$A$38,0))),"not_applicable"),"NOT FROZEN")</x:f>
        <x:v>not_applicable</x:v>
      </x:c>
      <x:c r="F50" s="6" t="str">
        <x:f>IF(Setup!$B$6="primary",IF(AND(INDEX('C_jama.2025.11178'!$D$2:$D$38,MATCH("2025::jama.2025.11178::C033",'C_jama.2025.11178'!$A$2:$A$38,0))="retain",INDEX('C_jama.2025.11178'!$E$2:$E$38,MATCH("2025::jama.2025.11178::C033",'C_jama.2025.11178'!$A$2:$A$38,0))="statistical_results"),IF(INDEX('C_jama.2025.11178'!$J$2:$J$38,MATCH("2025::jama.2025.11178::C033",'C_jama.2025.11178'!$A$2:$A$38,0))="","",INDEX('C_jama.2025.11178'!$J$2:$J$38,MATCH("2025::jama.2025.11178::C033",'C_jama.2025.11178'!$A$2:$A$38,0))),"not_applicable"),"NOT FROZEN")</x:f>
        <x:v>not_applicable</x:v>
      </x:c>
      <x:c r="G50" s="6" t="str">
        <x:f>IF(Setup!$B$6="primary",IF(AND(INDEX('C_jama.2025.11178'!$D$2:$D$38,MATCH("2025::jama.2025.11178::C033",'C_jama.2025.11178'!$A$2:$A$38,0))="retain",OR(INDEX('C_jama.2025.11178'!$E$2:$E$38,MATCH("2025::jama.2025.11178::C033",'C_jama.2025.11178'!$A$2:$A$38,0))="report_internal_inconsistency",INDEX('C_jama.2025.11178'!$E$2:$E$38,MATCH("2025::jama.2025.11178::C033",'C_jama.2025.11178'!$A$2:$A$38,0))="plan_material")),IF(INDEX('C_jama.2025.11178'!$K$2:$K$38,MATCH("2025::jama.2025.11178::C033",'C_jama.2025.11178'!$A$2:$A$38,0))="","",INDEX('C_jama.2025.11178'!$K$2:$K$38,MATCH("2025::jama.2025.11178::C033",'C_jama.2025.11178'!$A$2:$A$38,0))),"not_applicable"),"NOT FROZEN")</x:f>
        <x:v>not_applicable</x:v>
      </x:c>
      <x:c r="H50" s="6" t="str">
        <x:f>IF(Setup!$B$6="primary",IF(AND(INDEX('C_jama.2025.11178'!$D$2:$D$38,MATCH("2025::jama.2025.11178::C033",'C_jama.2025.11178'!$A$2:$A$38,0))="retain",INDEX('C_jama.2025.11178'!$E$2:$E$38,MATCH("2025::jama.2025.11178::C033",'C_jama.2025.11178'!$A$2:$A$38,0))="protocol_report"),IF(INDEX('C_jama.2025.11178'!$L$2:$L$38,MATCH("2025::jama.2025.11178::C033",'C_jama.2025.11178'!$A$2:$A$38,0))="","",INDEX('C_jama.2025.11178'!$L$2:$L$38,MATCH("2025::jama.2025.11178::C033",'C_jama.2025.11178'!$A$2:$A$38,0))),"not_applicable"),"NOT FROZEN")</x:f>
        <x:v>not_applicable</x:v>
      </x:c>
      <x:c r="I50" s="6" t="str">
        <x:f>IF(Setup!$B$6="primary",IF(INDEX('C_jama.2025.11178'!$R$2:$R$38,MATCH("2025::jama.2025.11178::C033",'C_jama.2025.11178'!$A$2:$A$38,0))="","",INDEX('C_jama.2025.11178'!$R$2:$R$38,MATCH("2025::jama.2025.11178::C033",'C_jama.2025.11178'!$A$2:$A$38,0))),"NOT FROZEN")</x:f>
      </x:c>
      <x:c r="J50" s="6" t="str">
        <x:f>IF(Setup!$B$6="primary",INDEX('C_jama.2025.11178'!$F$2:$F$38,MATCH("2025::jama.2025.11178::C033",'C_jama.2025.11178'!$A$2:$A$38,0)),"NOT FROZEN")</x:f>
        <x:v>no</x:v>
      </x:c>
      <x:c r="K50" s="6" t="str">
        <x:f>IF(Setup!$B$6="primary",Setup!$B$2,"NOT FROZEN")</x:f>
      </x:c>
      <x:c r="L50" s="6" t="str">
        <x:f>IF(Setup!$B$6="primary",IF(OR(B50="",B50="not_applicable"),"","Disposition: "&amp;B50&amp;CHAR(10))&amp;IF(OR(C50="",C50="not_applicable"),"","Review domain: "&amp;C50&amp;CHAR(10))&amp;IF(OR(D50="",D50="not_applicable"),"","Statistcal_or_numerical issue: "&amp;D50&amp;CHAR(10))&amp;IF(OR(E50="",E50="not_applicable"),"","Substantiveness: "&amp;E50&amp;CHAR(10))&amp;IF(OR(F50="",F50="not_applicable"),"","Downstream impact: "&amp;F50&amp;CHAR(10))&amp;IF(OR(G50="",G50="not_applicable"),"","Report-internal or planning-material inconsistency: "&amp;G50&amp;CHAR(10))&amp;IF(OR(H50="",H50="not_applicable"),"","Protocol interpretation: "&amp;H50&amp;CHAR(10))&amp;IF(OR(I50="",I50="not_applicable"),"","Notes (optional): "&amp;I50&amp;CHAR(10)),"NOT FROZEN")</x:f>
        <x:v>Review domain: statistical_results
</x:v>
      </x:c>
    </x:row>
    <x:row r="51" ht="70" customHeight="1">
      <x:c r="A51" s="3" t="str">
        <x:f>IF(Setup!$B$6="primary","2025::jama.2025.11178::C034","NOT FROZEN")</x:f>
        <x:v>2025::jama.2025.11178::C034</x:v>
      </x:c>
      <x:c r="B51" s="3" t="str">
        <x:f>IF(Setup!$B$6="primary",IF(INDEX('C_jama.2025.11178'!$D$2:$D$38,MATCH("2025::jama.2025.11178::C034",'C_jama.2025.11178'!$A$2:$A$38,0))="","",INDEX('C_jama.2025.11178'!$D$2:$D$38,MATCH("2025::jama.2025.11178::C034",'C_jama.2025.11178'!$A$2:$A$38,0))),"NOT FROZEN")</x:f>
      </x:c>
      <x:c r="C51" s="3" t="str">
        <x:f>IF(Setup!$B$6="primary",IF(INDEX('C_jama.2025.11178'!$E$2:$E$38,MATCH("2025::jama.2025.11178::C034",'C_jama.2025.11178'!$A$2:$A$38,0))="","",INDEX('C_jama.2025.11178'!$E$2:$E$38,MATCH("2025::jama.2025.11178::C034",'C_jama.2025.11178'!$A$2:$A$38,0))),"NOT FROZEN")</x:f>
        <x:v>report_internal_inconsistency</x:v>
      </x:c>
      <x:c r="D51" s="3" t="str">
        <x:f>IF(Setup!$B$6="primary",IF(AND(INDEX('C_jama.2025.11178'!$D$2:$D$38,MATCH("2025::jama.2025.11178::C034",'C_jama.2025.11178'!$A$2:$A$38,0))="retain",INDEX('C_jama.2025.11178'!$E$2:$E$38,MATCH("2025::jama.2025.11178::C034",'C_jama.2025.11178'!$A$2:$A$38,0))="statistical_results"),IF(INDEX('C_jama.2025.11178'!$H$2:$H$38,MATCH("2025::jama.2025.11178::C034",'C_jama.2025.11178'!$A$2:$A$38,0))="","",INDEX('C_jama.2025.11178'!$H$2:$H$38,MATCH("2025::jama.2025.11178::C034",'C_jama.2025.11178'!$A$2:$A$38,0))),"not_applicable"),"NOT FROZEN")</x:f>
        <x:v>not_applicable</x:v>
      </x:c>
      <x:c r="E51" s="3" t="str">
        <x:f>IF(Setup!$B$6="primary",IF(AND(INDEX('C_jama.2025.11178'!$D$2:$D$38,MATCH("2025::jama.2025.11178::C034",'C_jama.2025.11178'!$A$2:$A$38,0))="retain",INDEX('C_jama.2025.11178'!$E$2:$E$38,MATCH("2025::jama.2025.11178::C034",'C_jama.2025.11178'!$A$2:$A$38,0))="statistical_results"),IF(INDEX('C_jama.2025.11178'!$I$2:$I$38,MATCH("2025::jama.2025.11178::C034",'C_jama.2025.11178'!$A$2:$A$38,0))="","",INDEX('C_jama.2025.11178'!$I$2:$I$38,MATCH("2025::jama.2025.11178::C034",'C_jama.2025.11178'!$A$2:$A$38,0))),"not_applicable"),"NOT FROZEN")</x:f>
        <x:v>not_applicable</x:v>
      </x:c>
      <x:c r="F51" s="3" t="str">
        <x:f>IF(Setup!$B$6="primary",IF(AND(INDEX('C_jama.2025.11178'!$D$2:$D$38,MATCH("2025::jama.2025.11178::C034",'C_jama.2025.11178'!$A$2:$A$38,0))="retain",INDEX('C_jama.2025.11178'!$E$2:$E$38,MATCH("2025::jama.2025.11178::C034",'C_jama.2025.11178'!$A$2:$A$38,0))="statistical_results"),IF(INDEX('C_jama.2025.11178'!$J$2:$J$38,MATCH("2025::jama.2025.11178::C034",'C_jama.2025.11178'!$A$2:$A$38,0))="","",INDEX('C_jama.2025.11178'!$J$2:$J$38,MATCH("2025::jama.2025.11178::C034",'C_jama.2025.11178'!$A$2:$A$38,0))),"not_applicable"),"NOT FROZEN")</x:f>
        <x:v>not_applicable</x:v>
      </x:c>
      <x:c r="G51" s="3" t="str">
        <x:f>IF(Setup!$B$6="primary",IF(AND(INDEX('C_jama.2025.11178'!$D$2:$D$38,MATCH("2025::jama.2025.11178::C034",'C_jama.2025.11178'!$A$2:$A$38,0))="retain",OR(INDEX('C_jama.2025.11178'!$E$2:$E$38,MATCH("2025::jama.2025.11178::C034",'C_jama.2025.11178'!$A$2:$A$38,0))="report_internal_inconsistency",INDEX('C_jama.2025.11178'!$E$2:$E$38,MATCH("2025::jama.2025.11178::C034",'C_jama.2025.11178'!$A$2:$A$38,0))="plan_material")),IF(INDEX('C_jama.2025.11178'!$K$2:$K$38,MATCH("2025::jama.2025.11178::C034",'C_jama.2025.11178'!$A$2:$A$38,0))="","",INDEX('C_jama.2025.11178'!$K$2:$K$38,MATCH("2025::jama.2025.11178::C034",'C_jama.2025.11178'!$A$2:$A$38,0))),"not_applicable"),"NOT FROZEN")</x:f>
        <x:v>not_applicable</x:v>
      </x:c>
      <x:c r="H51" s="3" t="str">
        <x:f>IF(Setup!$B$6="primary",IF(AND(INDEX('C_jama.2025.11178'!$D$2:$D$38,MATCH("2025::jama.2025.11178::C034",'C_jama.2025.11178'!$A$2:$A$38,0))="retain",INDEX('C_jama.2025.11178'!$E$2:$E$38,MATCH("2025::jama.2025.11178::C034",'C_jama.2025.11178'!$A$2:$A$38,0))="protocol_report"),IF(INDEX('C_jama.2025.11178'!$L$2:$L$38,MATCH("2025::jama.2025.11178::C034",'C_jama.2025.11178'!$A$2:$A$38,0))="","",INDEX('C_jama.2025.11178'!$L$2:$L$38,MATCH("2025::jama.2025.11178::C034",'C_jama.2025.11178'!$A$2:$A$38,0))),"not_applicable"),"NOT FROZEN")</x:f>
        <x:v>not_applicable</x:v>
      </x:c>
      <x:c r="I51" s="3" t="str">
        <x:f>IF(Setup!$B$6="primary",IF(INDEX('C_jama.2025.11178'!$R$2:$R$38,MATCH("2025::jama.2025.11178::C034",'C_jama.2025.11178'!$A$2:$A$38,0))="","",INDEX('C_jama.2025.11178'!$R$2:$R$38,MATCH("2025::jama.2025.11178::C034",'C_jama.2025.11178'!$A$2:$A$38,0))),"NOT FROZEN")</x:f>
      </x:c>
      <x:c r="J51" s="3" t="str">
        <x:f>IF(Setup!$B$6="primary",INDEX('C_jama.2025.11178'!$F$2:$F$38,MATCH("2025::jama.2025.11178::C034",'C_jama.2025.11178'!$A$2:$A$38,0)),"NOT FROZEN")</x:f>
        <x:v>no</x:v>
      </x:c>
      <x:c r="K51" s="3" t="str">
        <x:f>IF(Setup!$B$6="primary",Setup!$B$2,"NOT FROZEN")</x:f>
      </x:c>
      <x:c r="L51" s="3" t="str">
        <x:f>IF(Setup!$B$6="primary",IF(OR(B51="",B51="not_applicable"),"","Disposition: "&amp;B51&amp;CHAR(10))&amp;IF(OR(C51="",C51="not_applicable"),"","Review domain: "&amp;C51&amp;CHAR(10))&amp;IF(OR(D51="",D51="not_applicable"),"","Statistcal_or_numerical issue: "&amp;D51&amp;CHAR(10))&amp;IF(OR(E51="",E51="not_applicable"),"","Substantiveness: "&amp;E51&amp;CHAR(10))&amp;IF(OR(F51="",F51="not_applicable"),"","Downstream impact: "&amp;F51&amp;CHAR(10))&amp;IF(OR(G51="",G51="not_applicable"),"","Report-internal or planning-material inconsistency: "&amp;G51&amp;CHAR(10))&amp;IF(OR(H51="",H51="not_applicable"),"","Protocol interpretation: "&amp;H51&amp;CHAR(10))&amp;IF(OR(I51="",I51="not_applicable"),"","Notes (optional): "&amp;I51&amp;CHAR(10)),"NOT FROZEN")</x:f>
        <x:v>Review domain: report_internal_inconsistency
</x:v>
      </x:c>
    </x:row>
    <x:row r="52" ht="70" customHeight="1">
      <x:c r="A52" s="6" t="str">
        <x:f>IF(Setup!$B$6="primary","2025::jama.2025.11178::C035","NOT FROZEN")</x:f>
        <x:v>2025::jama.2025.11178::C035</x:v>
      </x:c>
      <x:c r="B52" s="6" t="str">
        <x:f>IF(Setup!$B$6="primary",IF(INDEX('C_jama.2025.11178'!$D$2:$D$38,MATCH("2025::jama.2025.11178::C035",'C_jama.2025.11178'!$A$2:$A$38,0))="","",INDEX('C_jama.2025.11178'!$D$2:$D$38,MATCH("2025::jama.2025.11178::C035",'C_jama.2025.11178'!$A$2:$A$38,0))),"NOT FROZEN")</x:f>
      </x:c>
      <x:c r="C52" s="6" t="str">
        <x:f>IF(Setup!$B$6="primary",IF(INDEX('C_jama.2025.11178'!$E$2:$E$38,MATCH("2025::jama.2025.11178::C035",'C_jama.2025.11178'!$A$2:$A$38,0))="","",INDEX('C_jama.2025.11178'!$E$2:$E$38,MATCH("2025::jama.2025.11178::C035",'C_jama.2025.11178'!$A$2:$A$38,0))),"NOT FROZEN")</x:f>
        <x:v>report_internal_inconsistency</x:v>
      </x:c>
      <x:c r="D52" s="6" t="str">
        <x:f>IF(Setup!$B$6="primary",IF(AND(INDEX('C_jama.2025.11178'!$D$2:$D$38,MATCH("2025::jama.2025.11178::C035",'C_jama.2025.11178'!$A$2:$A$38,0))="retain",INDEX('C_jama.2025.11178'!$E$2:$E$38,MATCH("2025::jama.2025.11178::C035",'C_jama.2025.11178'!$A$2:$A$38,0))="statistical_results"),IF(INDEX('C_jama.2025.11178'!$H$2:$H$38,MATCH("2025::jama.2025.11178::C035",'C_jama.2025.11178'!$A$2:$A$38,0))="","",INDEX('C_jama.2025.11178'!$H$2:$H$38,MATCH("2025::jama.2025.11178::C035",'C_jama.2025.11178'!$A$2:$A$38,0))),"not_applicable"),"NOT FROZEN")</x:f>
        <x:v>not_applicable</x:v>
      </x:c>
      <x:c r="E52" s="6" t="str">
        <x:f>IF(Setup!$B$6="primary",IF(AND(INDEX('C_jama.2025.11178'!$D$2:$D$38,MATCH("2025::jama.2025.11178::C035",'C_jama.2025.11178'!$A$2:$A$38,0))="retain",INDEX('C_jama.2025.11178'!$E$2:$E$38,MATCH("2025::jama.2025.11178::C035",'C_jama.2025.11178'!$A$2:$A$38,0))="statistical_results"),IF(INDEX('C_jama.2025.11178'!$I$2:$I$38,MATCH("2025::jama.2025.11178::C035",'C_jama.2025.11178'!$A$2:$A$38,0))="","",INDEX('C_jama.2025.11178'!$I$2:$I$38,MATCH("2025::jama.2025.11178::C035",'C_jama.2025.11178'!$A$2:$A$38,0))),"not_applicable"),"NOT FROZEN")</x:f>
        <x:v>not_applicable</x:v>
      </x:c>
      <x:c r="F52" s="6" t="str">
        <x:f>IF(Setup!$B$6="primary",IF(AND(INDEX('C_jama.2025.11178'!$D$2:$D$38,MATCH("2025::jama.2025.11178::C035",'C_jama.2025.11178'!$A$2:$A$38,0))="retain",INDEX('C_jama.2025.11178'!$E$2:$E$38,MATCH("2025::jama.2025.11178::C035",'C_jama.2025.11178'!$A$2:$A$38,0))="statistical_results"),IF(INDEX('C_jama.2025.11178'!$J$2:$J$38,MATCH("2025::jama.2025.11178::C035",'C_jama.2025.11178'!$A$2:$A$38,0))="","",INDEX('C_jama.2025.11178'!$J$2:$J$38,MATCH("2025::jama.2025.11178::C035",'C_jama.2025.11178'!$A$2:$A$38,0))),"not_applicable"),"NOT FROZEN")</x:f>
        <x:v>not_applicable</x:v>
      </x:c>
      <x:c r="G52" s="6" t="str">
        <x:f>IF(Setup!$B$6="primary",IF(AND(INDEX('C_jama.2025.11178'!$D$2:$D$38,MATCH("2025::jama.2025.11178::C035",'C_jama.2025.11178'!$A$2:$A$38,0))="retain",OR(INDEX('C_jama.2025.11178'!$E$2:$E$38,MATCH("2025::jama.2025.11178::C035",'C_jama.2025.11178'!$A$2:$A$38,0))="report_internal_inconsistency",INDEX('C_jama.2025.11178'!$E$2:$E$38,MATCH("2025::jama.2025.11178::C035",'C_jama.2025.11178'!$A$2:$A$38,0))="plan_material")),IF(INDEX('C_jama.2025.11178'!$K$2:$K$38,MATCH("2025::jama.2025.11178::C035",'C_jama.2025.11178'!$A$2:$A$38,0))="","",INDEX('C_jama.2025.11178'!$K$2:$K$38,MATCH("2025::jama.2025.11178::C035",'C_jama.2025.11178'!$A$2:$A$38,0))),"not_applicable"),"NOT FROZEN")</x:f>
        <x:v>not_applicable</x:v>
      </x:c>
      <x:c r="H52" s="6" t="str">
        <x:f>IF(Setup!$B$6="primary",IF(AND(INDEX('C_jama.2025.11178'!$D$2:$D$38,MATCH("2025::jama.2025.11178::C035",'C_jama.2025.11178'!$A$2:$A$38,0))="retain",INDEX('C_jama.2025.11178'!$E$2:$E$38,MATCH("2025::jama.2025.11178::C035",'C_jama.2025.11178'!$A$2:$A$38,0))="protocol_report"),IF(INDEX('C_jama.2025.11178'!$L$2:$L$38,MATCH("2025::jama.2025.11178::C035",'C_jama.2025.11178'!$A$2:$A$38,0))="","",INDEX('C_jama.2025.11178'!$L$2:$L$38,MATCH("2025::jama.2025.11178::C035",'C_jama.2025.11178'!$A$2:$A$38,0))),"not_applicable"),"NOT FROZEN")</x:f>
        <x:v>not_applicable</x:v>
      </x:c>
      <x:c r="I52" s="6" t="str">
        <x:f>IF(Setup!$B$6="primary",IF(INDEX('C_jama.2025.11178'!$R$2:$R$38,MATCH("2025::jama.2025.11178::C035",'C_jama.2025.11178'!$A$2:$A$38,0))="","",INDEX('C_jama.2025.11178'!$R$2:$R$38,MATCH("2025::jama.2025.11178::C035",'C_jama.2025.11178'!$A$2:$A$38,0))),"NOT FROZEN")</x:f>
      </x:c>
      <x:c r="J52" s="6" t="str">
        <x:f>IF(Setup!$B$6="primary",INDEX('C_jama.2025.11178'!$F$2:$F$38,MATCH("2025::jama.2025.11178::C035",'C_jama.2025.11178'!$A$2:$A$38,0)),"NOT FROZEN")</x:f>
        <x:v>no</x:v>
      </x:c>
      <x:c r="K52" s="6" t="str">
        <x:f>IF(Setup!$B$6="primary",Setup!$B$2,"NOT FROZEN")</x:f>
      </x:c>
      <x:c r="L52" s="6" t="str">
        <x:f>IF(Setup!$B$6="primary",IF(OR(B52="",B52="not_applicable"),"","Disposition: "&amp;B52&amp;CHAR(10))&amp;IF(OR(C52="",C52="not_applicable"),"","Review domain: "&amp;C52&amp;CHAR(10))&amp;IF(OR(D52="",D52="not_applicable"),"","Statistcal_or_numerical issue: "&amp;D52&amp;CHAR(10))&amp;IF(OR(E52="",E52="not_applicable"),"","Substantiveness: "&amp;E52&amp;CHAR(10))&amp;IF(OR(F52="",F52="not_applicable"),"","Downstream impact: "&amp;F52&amp;CHAR(10))&amp;IF(OR(G52="",G52="not_applicable"),"","Report-internal or planning-material inconsistency: "&amp;G52&amp;CHAR(10))&amp;IF(OR(H52="",H52="not_applicable"),"","Protocol interpretation: "&amp;H52&amp;CHAR(10))&amp;IF(OR(I52="",I52="not_applicable"),"","Notes (optional): "&amp;I52&amp;CHAR(10)),"NOT FROZEN")</x:f>
        <x:v>Review domain: report_internal_inconsistency
</x:v>
      </x:c>
    </x:row>
    <x:row r="53" ht="70" customHeight="1">
      <x:c r="A53" s="3" t="str">
        <x:f>IF(Setup!$B$6="primary","2025::jama.2025.11178::C036","NOT FROZEN")</x:f>
        <x:v>2025::jama.2025.11178::C036</x:v>
      </x:c>
      <x:c r="B53" s="3" t="str">
        <x:f>IF(Setup!$B$6="primary",IF(INDEX('C_jama.2025.11178'!$D$2:$D$38,MATCH("2025::jama.2025.11178::C036",'C_jama.2025.11178'!$A$2:$A$38,0))="","",INDEX('C_jama.2025.11178'!$D$2:$D$38,MATCH("2025::jama.2025.11178::C036",'C_jama.2025.11178'!$A$2:$A$38,0))),"NOT FROZEN")</x:f>
      </x:c>
      <x:c r="C53" s="3" t="str">
        <x:f>IF(Setup!$B$6="primary",IF(INDEX('C_jama.2025.11178'!$E$2:$E$38,MATCH("2025::jama.2025.11178::C036",'C_jama.2025.11178'!$A$2:$A$38,0))="","",INDEX('C_jama.2025.11178'!$E$2:$E$38,MATCH("2025::jama.2025.11178::C036",'C_jama.2025.11178'!$A$2:$A$38,0))),"NOT FROZEN")</x:f>
        <x:v>report_internal_inconsistency</x:v>
      </x:c>
      <x:c r="D53" s="3" t="str">
        <x:f>IF(Setup!$B$6="primary",IF(AND(INDEX('C_jama.2025.11178'!$D$2:$D$38,MATCH("2025::jama.2025.11178::C036",'C_jama.2025.11178'!$A$2:$A$38,0))="retain",INDEX('C_jama.2025.11178'!$E$2:$E$38,MATCH("2025::jama.2025.11178::C036",'C_jama.2025.11178'!$A$2:$A$38,0))="statistical_results"),IF(INDEX('C_jama.2025.11178'!$H$2:$H$38,MATCH("2025::jama.2025.11178::C036",'C_jama.2025.11178'!$A$2:$A$38,0))="","",INDEX('C_jama.2025.11178'!$H$2:$H$38,MATCH("2025::jama.2025.11178::C036",'C_jama.2025.11178'!$A$2:$A$38,0))),"not_applicable"),"NOT FROZEN")</x:f>
        <x:v>not_applicable</x:v>
      </x:c>
      <x:c r="E53" s="3" t="str">
        <x:f>IF(Setup!$B$6="primary",IF(AND(INDEX('C_jama.2025.11178'!$D$2:$D$38,MATCH("2025::jama.2025.11178::C036",'C_jama.2025.11178'!$A$2:$A$38,0))="retain",INDEX('C_jama.2025.11178'!$E$2:$E$38,MATCH("2025::jama.2025.11178::C036",'C_jama.2025.11178'!$A$2:$A$38,0))="statistical_results"),IF(INDEX('C_jama.2025.11178'!$I$2:$I$38,MATCH("2025::jama.2025.11178::C036",'C_jama.2025.11178'!$A$2:$A$38,0))="","",INDEX('C_jama.2025.11178'!$I$2:$I$38,MATCH("2025::jama.2025.11178::C036",'C_jama.2025.11178'!$A$2:$A$38,0))),"not_applicable"),"NOT FROZEN")</x:f>
        <x:v>not_applicable</x:v>
      </x:c>
      <x:c r="F53" s="3" t="str">
        <x:f>IF(Setup!$B$6="primary",IF(AND(INDEX('C_jama.2025.11178'!$D$2:$D$38,MATCH("2025::jama.2025.11178::C036",'C_jama.2025.11178'!$A$2:$A$38,0))="retain",INDEX('C_jama.2025.11178'!$E$2:$E$38,MATCH("2025::jama.2025.11178::C036",'C_jama.2025.11178'!$A$2:$A$38,0))="statistical_results"),IF(INDEX('C_jama.2025.11178'!$J$2:$J$38,MATCH("2025::jama.2025.11178::C036",'C_jama.2025.11178'!$A$2:$A$38,0))="","",INDEX('C_jama.2025.11178'!$J$2:$J$38,MATCH("2025::jama.2025.11178::C036",'C_jama.2025.11178'!$A$2:$A$38,0))),"not_applicable"),"NOT FROZEN")</x:f>
        <x:v>not_applicable</x:v>
      </x:c>
      <x:c r="G53" s="3" t="str">
        <x:f>IF(Setup!$B$6="primary",IF(AND(INDEX('C_jama.2025.11178'!$D$2:$D$38,MATCH("2025::jama.2025.11178::C036",'C_jama.2025.11178'!$A$2:$A$38,0))="retain",OR(INDEX('C_jama.2025.11178'!$E$2:$E$38,MATCH("2025::jama.2025.11178::C036",'C_jama.2025.11178'!$A$2:$A$38,0))="report_internal_inconsistency",INDEX('C_jama.2025.11178'!$E$2:$E$38,MATCH("2025::jama.2025.11178::C036",'C_jama.2025.11178'!$A$2:$A$38,0))="plan_material")),IF(INDEX('C_jama.2025.11178'!$K$2:$K$38,MATCH("2025::jama.2025.11178::C036",'C_jama.2025.11178'!$A$2:$A$38,0))="","",INDEX('C_jama.2025.11178'!$K$2:$K$38,MATCH("2025::jama.2025.11178::C036",'C_jama.2025.11178'!$A$2:$A$38,0))),"not_applicable"),"NOT FROZEN")</x:f>
        <x:v>not_applicable</x:v>
      </x:c>
      <x:c r="H53" s="3" t="str">
        <x:f>IF(Setup!$B$6="primary",IF(AND(INDEX('C_jama.2025.11178'!$D$2:$D$38,MATCH("2025::jama.2025.11178::C036",'C_jama.2025.11178'!$A$2:$A$38,0))="retain",INDEX('C_jama.2025.11178'!$E$2:$E$38,MATCH("2025::jama.2025.11178::C036",'C_jama.2025.11178'!$A$2:$A$38,0))="protocol_report"),IF(INDEX('C_jama.2025.11178'!$L$2:$L$38,MATCH("2025::jama.2025.11178::C036",'C_jama.2025.11178'!$A$2:$A$38,0))="","",INDEX('C_jama.2025.11178'!$L$2:$L$38,MATCH("2025::jama.2025.11178::C036",'C_jama.2025.11178'!$A$2:$A$38,0))),"not_applicable"),"NOT FROZEN")</x:f>
        <x:v>not_applicable</x:v>
      </x:c>
      <x:c r="I53" s="3" t="str">
        <x:f>IF(Setup!$B$6="primary",IF(INDEX('C_jama.2025.11178'!$R$2:$R$38,MATCH("2025::jama.2025.11178::C036",'C_jama.2025.11178'!$A$2:$A$38,0))="","",INDEX('C_jama.2025.11178'!$R$2:$R$38,MATCH("2025::jama.2025.11178::C036",'C_jama.2025.11178'!$A$2:$A$38,0))),"NOT FROZEN")</x:f>
      </x:c>
      <x:c r="J53" s="3" t="str">
        <x:f>IF(Setup!$B$6="primary",INDEX('C_jama.2025.11178'!$F$2:$F$38,MATCH("2025::jama.2025.11178::C036",'C_jama.2025.11178'!$A$2:$A$38,0)),"NOT FROZEN")</x:f>
        <x:v>no</x:v>
      </x:c>
      <x:c r="K53" s="3" t="str">
        <x:f>IF(Setup!$B$6="primary",Setup!$B$2,"NOT FROZEN")</x:f>
      </x:c>
      <x:c r="L53" s="3" t="str">
        <x:f>IF(Setup!$B$6="primary",IF(OR(B53="",B53="not_applicable"),"","Disposition: "&amp;B53&amp;CHAR(10))&amp;IF(OR(C53="",C53="not_applicable"),"","Review domain: "&amp;C53&amp;CHAR(10))&amp;IF(OR(D53="",D53="not_applicable"),"","Statistcal_or_numerical issue: "&amp;D53&amp;CHAR(10))&amp;IF(OR(E53="",E53="not_applicable"),"","Substantiveness: "&amp;E53&amp;CHAR(10))&amp;IF(OR(F53="",F53="not_applicable"),"","Downstream impact: "&amp;F53&amp;CHAR(10))&amp;IF(OR(G53="",G53="not_applicable"),"","Report-internal or planning-material inconsistency: "&amp;G53&amp;CHAR(10))&amp;IF(OR(H53="",H53="not_applicable"),"","Protocol interpretation: "&amp;H53&amp;CHAR(10))&amp;IF(OR(I53="",I53="not_applicable"),"","Notes (optional): "&amp;I53&amp;CHAR(10)),"NOT FROZEN")</x:f>
        <x:v>Review domain: report_internal_inconsistency
</x:v>
      </x:c>
    </x:row>
    <x:row r="54" ht="70" customHeight="1">
      <x:c r="A54" s="6" t="str">
        <x:f>IF(Setup!$B$6="primary","2025::jama.2025.11178::C037","NOT FROZEN")</x:f>
        <x:v>2025::jama.2025.11178::C037</x:v>
      </x:c>
      <x:c r="B54" s="6" t="str">
        <x:f>IF(Setup!$B$6="primary",IF(INDEX('C_jama.2025.11178'!$D$2:$D$38,MATCH("2025::jama.2025.11178::C037",'C_jama.2025.11178'!$A$2:$A$38,0))="","",INDEX('C_jama.2025.11178'!$D$2:$D$38,MATCH("2025::jama.2025.11178::C037",'C_jama.2025.11178'!$A$2:$A$38,0))),"NOT FROZEN")</x:f>
      </x:c>
      <x:c r="C54" s="6" t="str">
        <x:f>IF(Setup!$B$6="primary",IF(INDEX('C_jama.2025.11178'!$E$2:$E$38,MATCH("2025::jama.2025.11178::C037",'C_jama.2025.11178'!$A$2:$A$38,0))="","",INDEX('C_jama.2025.11178'!$E$2:$E$38,MATCH("2025::jama.2025.11178::C037",'C_jama.2025.11178'!$A$2:$A$38,0))),"NOT FROZEN")</x:f>
        <x:v>report_internal_inconsistency</x:v>
      </x:c>
      <x:c r="D54" s="6" t="str">
        <x:f>IF(Setup!$B$6="primary",IF(AND(INDEX('C_jama.2025.11178'!$D$2:$D$38,MATCH("2025::jama.2025.11178::C037",'C_jama.2025.11178'!$A$2:$A$38,0))="retain",INDEX('C_jama.2025.11178'!$E$2:$E$38,MATCH("2025::jama.2025.11178::C037",'C_jama.2025.11178'!$A$2:$A$38,0))="statistical_results"),IF(INDEX('C_jama.2025.11178'!$H$2:$H$38,MATCH("2025::jama.2025.11178::C037",'C_jama.2025.11178'!$A$2:$A$38,0))="","",INDEX('C_jama.2025.11178'!$H$2:$H$38,MATCH("2025::jama.2025.11178::C037",'C_jama.2025.11178'!$A$2:$A$38,0))),"not_applicable"),"NOT FROZEN")</x:f>
        <x:v>not_applicable</x:v>
      </x:c>
      <x:c r="E54" s="6" t="str">
        <x:f>IF(Setup!$B$6="primary",IF(AND(INDEX('C_jama.2025.11178'!$D$2:$D$38,MATCH("2025::jama.2025.11178::C037",'C_jama.2025.11178'!$A$2:$A$38,0))="retain",INDEX('C_jama.2025.11178'!$E$2:$E$38,MATCH("2025::jama.2025.11178::C037",'C_jama.2025.11178'!$A$2:$A$38,0))="statistical_results"),IF(INDEX('C_jama.2025.11178'!$I$2:$I$38,MATCH("2025::jama.2025.11178::C037",'C_jama.2025.11178'!$A$2:$A$38,0))="","",INDEX('C_jama.2025.11178'!$I$2:$I$38,MATCH("2025::jama.2025.11178::C037",'C_jama.2025.11178'!$A$2:$A$38,0))),"not_applicable"),"NOT FROZEN")</x:f>
        <x:v>not_applicable</x:v>
      </x:c>
      <x:c r="F54" s="6" t="str">
        <x:f>IF(Setup!$B$6="primary",IF(AND(INDEX('C_jama.2025.11178'!$D$2:$D$38,MATCH("2025::jama.2025.11178::C037",'C_jama.2025.11178'!$A$2:$A$38,0))="retain",INDEX('C_jama.2025.11178'!$E$2:$E$38,MATCH("2025::jama.2025.11178::C037",'C_jama.2025.11178'!$A$2:$A$38,0))="statistical_results"),IF(INDEX('C_jama.2025.11178'!$J$2:$J$38,MATCH("2025::jama.2025.11178::C037",'C_jama.2025.11178'!$A$2:$A$38,0))="","",INDEX('C_jama.2025.11178'!$J$2:$J$38,MATCH("2025::jama.2025.11178::C037",'C_jama.2025.11178'!$A$2:$A$38,0))),"not_applicable"),"NOT FROZEN")</x:f>
        <x:v>not_applicable</x:v>
      </x:c>
      <x:c r="G54" s="6" t="str">
        <x:f>IF(Setup!$B$6="primary",IF(AND(INDEX('C_jama.2025.11178'!$D$2:$D$38,MATCH("2025::jama.2025.11178::C037",'C_jama.2025.11178'!$A$2:$A$38,0))="retain",OR(INDEX('C_jama.2025.11178'!$E$2:$E$38,MATCH("2025::jama.2025.11178::C037",'C_jama.2025.11178'!$A$2:$A$38,0))="report_internal_inconsistency",INDEX('C_jama.2025.11178'!$E$2:$E$38,MATCH("2025::jama.2025.11178::C037",'C_jama.2025.11178'!$A$2:$A$38,0))="plan_material")),IF(INDEX('C_jama.2025.11178'!$K$2:$K$38,MATCH("2025::jama.2025.11178::C037",'C_jama.2025.11178'!$A$2:$A$38,0))="","",INDEX('C_jama.2025.11178'!$K$2:$K$38,MATCH("2025::jama.2025.11178::C037",'C_jama.2025.11178'!$A$2:$A$38,0))),"not_applicable"),"NOT FROZEN")</x:f>
        <x:v>not_applicable</x:v>
      </x:c>
      <x:c r="H54" s="6" t="str">
        <x:f>IF(Setup!$B$6="primary",IF(AND(INDEX('C_jama.2025.11178'!$D$2:$D$38,MATCH("2025::jama.2025.11178::C037",'C_jama.2025.11178'!$A$2:$A$38,0))="retain",INDEX('C_jama.2025.11178'!$E$2:$E$38,MATCH("2025::jama.2025.11178::C037",'C_jama.2025.11178'!$A$2:$A$38,0))="protocol_report"),IF(INDEX('C_jama.2025.11178'!$L$2:$L$38,MATCH("2025::jama.2025.11178::C037",'C_jama.2025.11178'!$A$2:$A$38,0))="","",INDEX('C_jama.2025.11178'!$L$2:$L$38,MATCH("2025::jama.2025.11178::C037",'C_jama.2025.11178'!$A$2:$A$38,0))),"not_applicable"),"NOT FROZEN")</x:f>
        <x:v>not_applicable</x:v>
      </x:c>
      <x:c r="I54" s="6" t="str">
        <x:f>IF(Setup!$B$6="primary",IF(INDEX('C_jama.2025.11178'!$R$2:$R$38,MATCH("2025::jama.2025.11178::C037",'C_jama.2025.11178'!$A$2:$A$38,0))="","",INDEX('C_jama.2025.11178'!$R$2:$R$38,MATCH("2025::jama.2025.11178::C037",'C_jama.2025.11178'!$A$2:$A$38,0))),"NOT FROZEN")</x:f>
      </x:c>
      <x:c r="J54" s="6" t="str">
        <x:f>IF(Setup!$B$6="primary",INDEX('C_jama.2025.11178'!$F$2:$F$38,MATCH("2025::jama.2025.11178::C037",'C_jama.2025.11178'!$A$2:$A$38,0)),"NOT FROZEN")</x:f>
        <x:v>no</x:v>
      </x:c>
      <x:c r="K54" s="6" t="str">
        <x:f>IF(Setup!$B$6="primary",Setup!$B$2,"NOT FROZEN")</x:f>
      </x:c>
      <x:c r="L54" s="6" t="str">
        <x:f>IF(Setup!$B$6="primary",IF(OR(B54="",B54="not_applicable"),"","Disposition: "&amp;B54&amp;CHAR(10))&amp;IF(OR(C54="",C54="not_applicable"),"","Review domain: "&amp;C54&amp;CHAR(10))&amp;IF(OR(D54="",D54="not_applicable"),"","Statistcal_or_numerical issue: "&amp;D54&amp;CHAR(10))&amp;IF(OR(E54="",E54="not_applicable"),"","Substantiveness: "&amp;E54&amp;CHAR(10))&amp;IF(OR(F54="",F54="not_applicable"),"","Downstream impact: "&amp;F54&amp;CHAR(10))&amp;IF(OR(G54="",G54="not_applicable"),"","Report-internal or planning-material inconsistency: "&amp;G54&amp;CHAR(10))&amp;IF(OR(H54="",H54="not_applicable"),"","Protocol interpretation: "&amp;H54&amp;CHAR(10))&amp;IF(OR(I54="",I54="not_applicable"),"","Notes (optional): "&amp;I54&amp;CHAR(10)),"NOT FROZEN")</x:f>
        <x:v>Review domain: report_internal_inconsistency
</x:v>
      </x:c>
    </x:row>
    <x:row r="55" ht="70" customHeight="1">
      <x:c r="A55" s="3" t="str">
        <x:f>IF(Setup!$B$6="primary","2025::jama.2025.15185::C001","NOT FROZEN")</x:f>
        <x:v>2025::jama.2025.15185::C001</x:v>
      </x:c>
      <x:c r="B55" s="3" t="str">
        <x:f>IF(Setup!$B$6="primary",IF(INDEX('C_jama.2025.15185'!$D$2:$D$13,MATCH("2025::jama.2025.15185::C001",'C_jama.2025.15185'!$A$2:$A$13,0))="","",INDEX('C_jama.2025.15185'!$D$2:$D$13,MATCH("2025::jama.2025.15185::C001",'C_jama.2025.15185'!$A$2:$A$13,0))),"NOT FROZEN")</x:f>
      </x:c>
      <x:c r="C55" s="3" t="str">
        <x:f>IF(Setup!$B$6="primary",IF(INDEX('C_jama.2025.15185'!$E$2:$E$13,MATCH("2025::jama.2025.15185::C001",'C_jama.2025.15185'!$A$2:$A$13,0))="","",INDEX('C_jama.2025.15185'!$E$2:$E$13,MATCH("2025::jama.2025.15185::C001",'C_jama.2025.15185'!$A$2:$A$13,0))),"NOT FROZEN")</x:f>
        <x:v>report_internal_inconsistency</x:v>
      </x:c>
      <x:c r="D55" s="3" t="str">
        <x:f>IF(Setup!$B$6="primary",IF(AND(INDEX('C_jama.2025.15185'!$D$2:$D$13,MATCH("2025::jama.2025.15185::C001",'C_jama.2025.15185'!$A$2:$A$13,0))="retain",INDEX('C_jama.2025.15185'!$E$2:$E$13,MATCH("2025::jama.2025.15185::C001",'C_jama.2025.15185'!$A$2:$A$13,0))="statistical_results"),IF(INDEX('C_jama.2025.15185'!$H$2:$H$13,MATCH("2025::jama.2025.15185::C001",'C_jama.2025.15185'!$A$2:$A$13,0))="","",INDEX('C_jama.2025.15185'!$H$2:$H$13,MATCH("2025::jama.2025.15185::C001",'C_jama.2025.15185'!$A$2:$A$13,0))),"not_applicable"),"NOT FROZEN")</x:f>
        <x:v>not_applicable</x:v>
      </x:c>
      <x:c r="E55" s="3" t="str">
        <x:f>IF(Setup!$B$6="primary",IF(AND(INDEX('C_jama.2025.15185'!$D$2:$D$13,MATCH("2025::jama.2025.15185::C001",'C_jama.2025.15185'!$A$2:$A$13,0))="retain",INDEX('C_jama.2025.15185'!$E$2:$E$13,MATCH("2025::jama.2025.15185::C001",'C_jama.2025.15185'!$A$2:$A$13,0))="statistical_results"),IF(INDEX('C_jama.2025.15185'!$I$2:$I$13,MATCH("2025::jama.2025.15185::C001",'C_jama.2025.15185'!$A$2:$A$13,0))="","",INDEX('C_jama.2025.15185'!$I$2:$I$13,MATCH("2025::jama.2025.15185::C001",'C_jama.2025.15185'!$A$2:$A$13,0))),"not_applicable"),"NOT FROZEN")</x:f>
        <x:v>not_applicable</x:v>
      </x:c>
      <x:c r="F55" s="3" t="str">
        <x:f>IF(Setup!$B$6="primary",IF(AND(INDEX('C_jama.2025.15185'!$D$2:$D$13,MATCH("2025::jama.2025.15185::C001",'C_jama.2025.15185'!$A$2:$A$13,0))="retain",INDEX('C_jama.2025.15185'!$E$2:$E$13,MATCH("2025::jama.2025.15185::C001",'C_jama.2025.15185'!$A$2:$A$13,0))="statistical_results"),IF(INDEX('C_jama.2025.15185'!$J$2:$J$13,MATCH("2025::jama.2025.15185::C001",'C_jama.2025.15185'!$A$2:$A$13,0))="","",INDEX('C_jama.2025.15185'!$J$2:$J$13,MATCH("2025::jama.2025.15185::C001",'C_jama.2025.15185'!$A$2:$A$13,0))),"not_applicable"),"NOT FROZEN")</x:f>
        <x:v>not_applicable</x:v>
      </x:c>
      <x:c r="G55" s="3" t="str">
        <x:f>IF(Setup!$B$6="primary",IF(AND(INDEX('C_jama.2025.15185'!$D$2:$D$13,MATCH("2025::jama.2025.15185::C001",'C_jama.2025.15185'!$A$2:$A$13,0))="retain",OR(INDEX('C_jama.2025.15185'!$E$2:$E$13,MATCH("2025::jama.2025.15185::C001",'C_jama.2025.15185'!$A$2:$A$13,0))="report_internal_inconsistency",INDEX('C_jama.2025.15185'!$E$2:$E$13,MATCH("2025::jama.2025.15185::C001",'C_jama.2025.15185'!$A$2:$A$13,0))="plan_material")),IF(INDEX('C_jama.2025.15185'!$K$2:$K$13,MATCH("2025::jama.2025.15185::C001",'C_jama.2025.15185'!$A$2:$A$13,0))="","",INDEX('C_jama.2025.15185'!$K$2:$K$13,MATCH("2025::jama.2025.15185::C001",'C_jama.2025.15185'!$A$2:$A$13,0))),"not_applicable"),"NOT FROZEN")</x:f>
        <x:v>not_applicable</x:v>
      </x:c>
      <x:c r="H55" s="3" t="str">
        <x:f>IF(Setup!$B$6="primary",IF(AND(INDEX('C_jama.2025.15185'!$D$2:$D$13,MATCH("2025::jama.2025.15185::C001",'C_jama.2025.15185'!$A$2:$A$13,0))="retain",INDEX('C_jama.2025.15185'!$E$2:$E$13,MATCH("2025::jama.2025.15185::C001",'C_jama.2025.15185'!$A$2:$A$13,0))="protocol_report"),IF(INDEX('C_jama.2025.15185'!$L$2:$L$13,MATCH("2025::jama.2025.15185::C001",'C_jama.2025.15185'!$A$2:$A$13,0))="","",INDEX('C_jama.2025.15185'!$L$2:$L$13,MATCH("2025::jama.2025.15185::C001",'C_jama.2025.15185'!$A$2:$A$13,0))),"not_applicable"),"NOT FROZEN")</x:f>
        <x:v>not_applicable</x:v>
      </x:c>
      <x:c r="I55" s="3" t="str">
        <x:f>IF(Setup!$B$6="primary",IF(INDEX('C_jama.2025.15185'!$R$2:$R$13,MATCH("2025::jama.2025.15185::C001",'C_jama.2025.15185'!$A$2:$A$13,0))="","",INDEX('C_jama.2025.15185'!$R$2:$R$13,MATCH("2025::jama.2025.15185::C001",'C_jama.2025.15185'!$A$2:$A$13,0))),"NOT FROZEN")</x:f>
      </x:c>
      <x:c r="J55" s="3" t="str">
        <x:f>IF(Setup!$B$6="primary",INDEX('C_jama.2025.15185'!$F$2:$F$13,MATCH("2025::jama.2025.15185::C001",'C_jama.2025.15185'!$A$2:$A$13,0)),"NOT FROZEN")</x:f>
        <x:v>no</x:v>
      </x:c>
      <x:c r="K55" s="3" t="str">
        <x:f>IF(Setup!$B$6="primary",Setup!$B$2,"NOT FROZEN")</x:f>
      </x:c>
      <x:c r="L55" s="3" t="str">
        <x:f>IF(Setup!$B$6="primary",IF(OR(B55="",B55="not_applicable"),"","Disposition: "&amp;B55&amp;CHAR(10))&amp;IF(OR(C55="",C55="not_applicable"),"","Review domain: "&amp;C55&amp;CHAR(10))&amp;IF(OR(D55="",D55="not_applicable"),"","Statistcal_or_numerical issue: "&amp;D55&amp;CHAR(10))&amp;IF(OR(E55="",E55="not_applicable"),"","Substantiveness: "&amp;E55&amp;CHAR(10))&amp;IF(OR(F55="",F55="not_applicable"),"","Downstream impact: "&amp;F55&amp;CHAR(10))&amp;IF(OR(G55="",G55="not_applicable"),"","Report-internal or planning-material inconsistency: "&amp;G55&amp;CHAR(10))&amp;IF(OR(H55="",H55="not_applicable"),"","Protocol interpretation: "&amp;H55&amp;CHAR(10))&amp;IF(OR(I55="",I55="not_applicable"),"","Notes (optional): "&amp;I55&amp;CHAR(10)),"NOT FROZEN")</x:f>
        <x:v>Review domain: report_internal_inconsistency
</x:v>
      </x:c>
    </x:row>
    <x:row r="56" ht="70" customHeight="1">
      <x:c r="A56" s="6" t="str">
        <x:f>IF(Setup!$B$6="primary","2025::jama.2025.15185::C002","NOT FROZEN")</x:f>
        <x:v>2025::jama.2025.15185::C002</x:v>
      </x:c>
      <x:c r="B56" s="6" t="str">
        <x:f>IF(Setup!$B$6="primary",IF(INDEX('C_jama.2025.15185'!$D$2:$D$13,MATCH("2025::jama.2025.15185::C002",'C_jama.2025.15185'!$A$2:$A$13,0))="","",INDEX('C_jama.2025.15185'!$D$2:$D$13,MATCH("2025::jama.2025.15185::C002",'C_jama.2025.15185'!$A$2:$A$13,0))),"NOT FROZEN")</x:f>
      </x:c>
      <x:c r="C56" s="6" t="str">
        <x:f>IF(Setup!$B$6="primary",IF(INDEX('C_jama.2025.15185'!$E$2:$E$13,MATCH("2025::jama.2025.15185::C002",'C_jama.2025.15185'!$A$2:$A$13,0))="","",INDEX('C_jama.2025.15185'!$E$2:$E$13,MATCH("2025::jama.2025.15185::C002",'C_jama.2025.15185'!$A$2:$A$13,0))),"NOT FROZEN")</x:f>
        <x:v>report_internal_inconsistency</x:v>
      </x:c>
      <x:c r="D56" s="6" t="str">
        <x:f>IF(Setup!$B$6="primary",IF(AND(INDEX('C_jama.2025.15185'!$D$2:$D$13,MATCH("2025::jama.2025.15185::C002",'C_jama.2025.15185'!$A$2:$A$13,0))="retain",INDEX('C_jama.2025.15185'!$E$2:$E$13,MATCH("2025::jama.2025.15185::C002",'C_jama.2025.15185'!$A$2:$A$13,0))="statistical_results"),IF(INDEX('C_jama.2025.15185'!$H$2:$H$13,MATCH("2025::jama.2025.15185::C002",'C_jama.2025.15185'!$A$2:$A$13,0))="","",INDEX('C_jama.2025.15185'!$H$2:$H$13,MATCH("2025::jama.2025.15185::C002",'C_jama.2025.15185'!$A$2:$A$13,0))),"not_applicable"),"NOT FROZEN")</x:f>
        <x:v>not_applicable</x:v>
      </x:c>
      <x:c r="E56" s="6" t="str">
        <x:f>IF(Setup!$B$6="primary",IF(AND(INDEX('C_jama.2025.15185'!$D$2:$D$13,MATCH("2025::jama.2025.15185::C002",'C_jama.2025.15185'!$A$2:$A$13,0))="retain",INDEX('C_jama.2025.15185'!$E$2:$E$13,MATCH("2025::jama.2025.15185::C002",'C_jama.2025.15185'!$A$2:$A$13,0))="statistical_results"),IF(INDEX('C_jama.2025.15185'!$I$2:$I$13,MATCH("2025::jama.2025.15185::C002",'C_jama.2025.15185'!$A$2:$A$13,0))="","",INDEX('C_jama.2025.15185'!$I$2:$I$13,MATCH("2025::jama.2025.15185::C002",'C_jama.2025.15185'!$A$2:$A$13,0))),"not_applicable"),"NOT FROZEN")</x:f>
        <x:v>not_applicable</x:v>
      </x:c>
      <x:c r="F56" s="6" t="str">
        <x:f>IF(Setup!$B$6="primary",IF(AND(INDEX('C_jama.2025.15185'!$D$2:$D$13,MATCH("2025::jama.2025.15185::C002",'C_jama.2025.15185'!$A$2:$A$13,0))="retain",INDEX('C_jama.2025.15185'!$E$2:$E$13,MATCH("2025::jama.2025.15185::C002",'C_jama.2025.15185'!$A$2:$A$13,0))="statistical_results"),IF(INDEX('C_jama.2025.15185'!$J$2:$J$13,MATCH("2025::jama.2025.15185::C002",'C_jama.2025.15185'!$A$2:$A$13,0))="","",INDEX('C_jama.2025.15185'!$J$2:$J$13,MATCH("2025::jama.2025.15185::C002",'C_jama.2025.15185'!$A$2:$A$13,0))),"not_applicable"),"NOT FROZEN")</x:f>
        <x:v>not_applicable</x:v>
      </x:c>
      <x:c r="G56" s="6" t="str">
        <x:f>IF(Setup!$B$6="primary",IF(AND(INDEX('C_jama.2025.15185'!$D$2:$D$13,MATCH("2025::jama.2025.15185::C002",'C_jama.2025.15185'!$A$2:$A$13,0))="retain",OR(INDEX('C_jama.2025.15185'!$E$2:$E$13,MATCH("2025::jama.2025.15185::C002",'C_jama.2025.15185'!$A$2:$A$13,0))="report_internal_inconsistency",INDEX('C_jama.2025.15185'!$E$2:$E$13,MATCH("2025::jama.2025.15185::C002",'C_jama.2025.15185'!$A$2:$A$13,0))="plan_material")),IF(INDEX('C_jama.2025.15185'!$K$2:$K$13,MATCH("2025::jama.2025.15185::C002",'C_jama.2025.15185'!$A$2:$A$13,0))="","",INDEX('C_jama.2025.15185'!$K$2:$K$13,MATCH("2025::jama.2025.15185::C002",'C_jama.2025.15185'!$A$2:$A$13,0))),"not_applicable"),"NOT FROZEN")</x:f>
        <x:v>not_applicable</x:v>
      </x:c>
      <x:c r="H56" s="6" t="str">
        <x:f>IF(Setup!$B$6="primary",IF(AND(INDEX('C_jama.2025.15185'!$D$2:$D$13,MATCH("2025::jama.2025.15185::C002",'C_jama.2025.15185'!$A$2:$A$13,0))="retain",INDEX('C_jama.2025.15185'!$E$2:$E$13,MATCH("2025::jama.2025.15185::C002",'C_jama.2025.15185'!$A$2:$A$13,0))="protocol_report"),IF(INDEX('C_jama.2025.15185'!$L$2:$L$13,MATCH("2025::jama.2025.15185::C002",'C_jama.2025.15185'!$A$2:$A$13,0))="","",INDEX('C_jama.2025.15185'!$L$2:$L$13,MATCH("2025::jama.2025.15185::C002",'C_jama.2025.15185'!$A$2:$A$13,0))),"not_applicable"),"NOT FROZEN")</x:f>
        <x:v>not_applicable</x:v>
      </x:c>
      <x:c r="I56" s="6" t="str">
        <x:f>IF(Setup!$B$6="primary",IF(INDEX('C_jama.2025.15185'!$R$2:$R$13,MATCH("2025::jama.2025.15185::C002",'C_jama.2025.15185'!$A$2:$A$13,0))="","",INDEX('C_jama.2025.15185'!$R$2:$R$13,MATCH("2025::jama.2025.15185::C002",'C_jama.2025.15185'!$A$2:$A$13,0))),"NOT FROZEN")</x:f>
      </x:c>
      <x:c r="J56" s="6" t="str">
        <x:f>IF(Setup!$B$6="primary",INDEX('C_jama.2025.15185'!$F$2:$F$13,MATCH("2025::jama.2025.15185::C002",'C_jama.2025.15185'!$A$2:$A$13,0)),"NOT FROZEN")</x:f>
        <x:v>no</x:v>
      </x:c>
      <x:c r="K56" s="6" t="str">
        <x:f>IF(Setup!$B$6="primary",Setup!$B$2,"NOT FROZEN")</x:f>
      </x:c>
      <x:c r="L56" s="6" t="str">
        <x:f>IF(Setup!$B$6="primary",IF(OR(B56="",B56="not_applicable"),"","Disposition: "&amp;B56&amp;CHAR(10))&amp;IF(OR(C56="",C56="not_applicable"),"","Review domain: "&amp;C56&amp;CHAR(10))&amp;IF(OR(D56="",D56="not_applicable"),"","Statistcal_or_numerical issue: "&amp;D56&amp;CHAR(10))&amp;IF(OR(E56="",E56="not_applicable"),"","Substantiveness: "&amp;E56&amp;CHAR(10))&amp;IF(OR(F56="",F56="not_applicable"),"","Downstream impact: "&amp;F56&amp;CHAR(10))&amp;IF(OR(G56="",G56="not_applicable"),"","Report-internal or planning-material inconsistency: "&amp;G56&amp;CHAR(10))&amp;IF(OR(H56="",H56="not_applicable"),"","Protocol interpretation: "&amp;H56&amp;CHAR(10))&amp;IF(OR(I56="",I56="not_applicable"),"","Notes (optional): "&amp;I56&amp;CHAR(10)),"NOT FROZEN")</x:f>
        <x:v>Review domain: report_internal_inconsistency
</x:v>
      </x:c>
    </x:row>
    <x:row r="57" ht="70" customHeight="1">
      <x:c r="A57" s="3" t="str">
        <x:f>IF(Setup!$B$6="primary","2025::jama.2025.15185::C003","NOT FROZEN")</x:f>
        <x:v>2025::jama.2025.15185::C003</x:v>
      </x:c>
      <x:c r="B57" s="3" t="str">
        <x:f>IF(Setup!$B$6="primary",IF(INDEX('C_jama.2025.15185'!$D$2:$D$13,MATCH("2025::jama.2025.15185::C003",'C_jama.2025.15185'!$A$2:$A$13,0))="","",INDEX('C_jama.2025.15185'!$D$2:$D$13,MATCH("2025::jama.2025.15185::C003",'C_jama.2025.15185'!$A$2:$A$13,0))),"NOT FROZEN")</x:f>
      </x:c>
      <x:c r="C57" s="3" t="str">
        <x:f>IF(Setup!$B$6="primary",IF(INDEX('C_jama.2025.15185'!$E$2:$E$13,MATCH("2025::jama.2025.15185::C003",'C_jama.2025.15185'!$A$2:$A$13,0))="","",INDEX('C_jama.2025.15185'!$E$2:$E$13,MATCH("2025::jama.2025.15185::C003",'C_jama.2025.15185'!$A$2:$A$13,0))),"NOT FROZEN")</x:f>
        <x:v>report_internal_inconsistency</x:v>
      </x:c>
      <x:c r="D57" s="3" t="str">
        <x:f>IF(Setup!$B$6="primary",IF(AND(INDEX('C_jama.2025.15185'!$D$2:$D$13,MATCH("2025::jama.2025.15185::C003",'C_jama.2025.15185'!$A$2:$A$13,0))="retain",INDEX('C_jama.2025.15185'!$E$2:$E$13,MATCH("2025::jama.2025.15185::C003",'C_jama.2025.15185'!$A$2:$A$13,0))="statistical_results"),IF(INDEX('C_jama.2025.15185'!$H$2:$H$13,MATCH("2025::jama.2025.15185::C003",'C_jama.2025.15185'!$A$2:$A$13,0))="","",INDEX('C_jama.2025.15185'!$H$2:$H$13,MATCH("2025::jama.2025.15185::C003",'C_jama.2025.15185'!$A$2:$A$13,0))),"not_applicable"),"NOT FROZEN")</x:f>
        <x:v>not_applicable</x:v>
      </x:c>
      <x:c r="E57" s="3" t="str">
        <x:f>IF(Setup!$B$6="primary",IF(AND(INDEX('C_jama.2025.15185'!$D$2:$D$13,MATCH("2025::jama.2025.15185::C003",'C_jama.2025.15185'!$A$2:$A$13,0))="retain",INDEX('C_jama.2025.15185'!$E$2:$E$13,MATCH("2025::jama.2025.15185::C003",'C_jama.2025.15185'!$A$2:$A$13,0))="statistical_results"),IF(INDEX('C_jama.2025.15185'!$I$2:$I$13,MATCH("2025::jama.2025.15185::C003",'C_jama.2025.15185'!$A$2:$A$13,0))="","",INDEX('C_jama.2025.15185'!$I$2:$I$13,MATCH("2025::jama.2025.15185::C003",'C_jama.2025.15185'!$A$2:$A$13,0))),"not_applicable"),"NOT FROZEN")</x:f>
        <x:v>not_applicable</x:v>
      </x:c>
      <x:c r="F57" s="3" t="str">
        <x:f>IF(Setup!$B$6="primary",IF(AND(INDEX('C_jama.2025.15185'!$D$2:$D$13,MATCH("2025::jama.2025.15185::C003",'C_jama.2025.15185'!$A$2:$A$13,0))="retain",INDEX('C_jama.2025.15185'!$E$2:$E$13,MATCH("2025::jama.2025.15185::C003",'C_jama.2025.15185'!$A$2:$A$13,0))="statistical_results"),IF(INDEX('C_jama.2025.15185'!$J$2:$J$13,MATCH("2025::jama.2025.15185::C003",'C_jama.2025.15185'!$A$2:$A$13,0))="","",INDEX('C_jama.2025.15185'!$J$2:$J$13,MATCH("2025::jama.2025.15185::C003",'C_jama.2025.15185'!$A$2:$A$13,0))),"not_applicable"),"NOT FROZEN")</x:f>
        <x:v>not_applicable</x:v>
      </x:c>
      <x:c r="G57" s="3" t="str">
        <x:f>IF(Setup!$B$6="primary",IF(AND(INDEX('C_jama.2025.15185'!$D$2:$D$13,MATCH("2025::jama.2025.15185::C003",'C_jama.2025.15185'!$A$2:$A$13,0))="retain",OR(INDEX('C_jama.2025.15185'!$E$2:$E$13,MATCH("2025::jama.2025.15185::C003",'C_jama.2025.15185'!$A$2:$A$13,0))="report_internal_inconsistency",INDEX('C_jama.2025.15185'!$E$2:$E$13,MATCH("2025::jama.2025.15185::C003",'C_jama.2025.15185'!$A$2:$A$13,0))="plan_material")),IF(INDEX('C_jama.2025.15185'!$K$2:$K$13,MATCH("2025::jama.2025.15185::C003",'C_jama.2025.15185'!$A$2:$A$13,0))="","",INDEX('C_jama.2025.15185'!$K$2:$K$13,MATCH("2025::jama.2025.15185::C003",'C_jama.2025.15185'!$A$2:$A$13,0))),"not_applicable"),"NOT FROZEN")</x:f>
        <x:v>not_applicable</x:v>
      </x:c>
      <x:c r="H57" s="3" t="str">
        <x:f>IF(Setup!$B$6="primary",IF(AND(INDEX('C_jama.2025.15185'!$D$2:$D$13,MATCH("2025::jama.2025.15185::C003",'C_jama.2025.15185'!$A$2:$A$13,0))="retain",INDEX('C_jama.2025.15185'!$E$2:$E$13,MATCH("2025::jama.2025.15185::C003",'C_jama.2025.15185'!$A$2:$A$13,0))="protocol_report"),IF(INDEX('C_jama.2025.15185'!$L$2:$L$13,MATCH("2025::jama.2025.15185::C003",'C_jama.2025.15185'!$A$2:$A$13,0))="","",INDEX('C_jama.2025.15185'!$L$2:$L$13,MATCH("2025::jama.2025.15185::C003",'C_jama.2025.15185'!$A$2:$A$13,0))),"not_applicable"),"NOT FROZEN")</x:f>
        <x:v>not_applicable</x:v>
      </x:c>
      <x:c r="I57" s="3" t="str">
        <x:f>IF(Setup!$B$6="primary",IF(INDEX('C_jama.2025.15185'!$R$2:$R$13,MATCH("2025::jama.2025.15185::C003",'C_jama.2025.15185'!$A$2:$A$13,0))="","",INDEX('C_jama.2025.15185'!$R$2:$R$13,MATCH("2025::jama.2025.15185::C003",'C_jama.2025.15185'!$A$2:$A$13,0))),"NOT FROZEN")</x:f>
      </x:c>
      <x:c r="J57" s="3" t="str">
        <x:f>IF(Setup!$B$6="primary",INDEX('C_jama.2025.15185'!$F$2:$F$13,MATCH("2025::jama.2025.15185::C003",'C_jama.2025.15185'!$A$2:$A$13,0)),"NOT FROZEN")</x:f>
        <x:v>no</x:v>
      </x:c>
      <x:c r="K57" s="3" t="str">
        <x:f>IF(Setup!$B$6="primary",Setup!$B$2,"NOT FROZEN")</x:f>
      </x:c>
      <x:c r="L57" s="3" t="str">
        <x:f>IF(Setup!$B$6="primary",IF(OR(B57="",B57="not_applicable"),"","Disposition: "&amp;B57&amp;CHAR(10))&amp;IF(OR(C57="",C57="not_applicable"),"","Review domain: "&amp;C57&amp;CHAR(10))&amp;IF(OR(D57="",D57="not_applicable"),"","Statistcal_or_numerical issue: "&amp;D57&amp;CHAR(10))&amp;IF(OR(E57="",E57="not_applicable"),"","Substantiveness: "&amp;E57&amp;CHAR(10))&amp;IF(OR(F57="",F57="not_applicable"),"","Downstream impact: "&amp;F57&amp;CHAR(10))&amp;IF(OR(G57="",G57="not_applicable"),"","Report-internal or planning-material inconsistency: "&amp;G57&amp;CHAR(10))&amp;IF(OR(H57="",H57="not_applicable"),"","Protocol interpretation: "&amp;H57&amp;CHAR(10))&amp;IF(OR(I57="",I57="not_applicable"),"","Notes (optional): "&amp;I57&amp;CHAR(10)),"NOT FROZEN")</x:f>
        <x:v>Review domain: report_internal_inconsistency
</x:v>
      </x:c>
    </x:row>
    <x:row r="58" ht="70" customHeight="1">
      <x:c r="A58" s="6" t="str">
        <x:f>IF(Setup!$B$6="primary","2025::jama.2025.15185::C004","NOT FROZEN")</x:f>
        <x:v>2025::jama.2025.15185::C004</x:v>
      </x:c>
      <x:c r="B58" s="6" t="str">
        <x:f>IF(Setup!$B$6="primary",IF(INDEX('C_jama.2025.15185'!$D$2:$D$13,MATCH("2025::jama.2025.15185::C004",'C_jama.2025.15185'!$A$2:$A$13,0))="","",INDEX('C_jama.2025.15185'!$D$2:$D$13,MATCH("2025::jama.2025.15185::C004",'C_jama.2025.15185'!$A$2:$A$13,0))),"NOT FROZEN")</x:f>
      </x:c>
      <x:c r="C58" s="6" t="str">
        <x:f>IF(Setup!$B$6="primary",IF(INDEX('C_jama.2025.15185'!$E$2:$E$13,MATCH("2025::jama.2025.15185::C004",'C_jama.2025.15185'!$A$2:$A$13,0))="","",INDEX('C_jama.2025.15185'!$E$2:$E$13,MATCH("2025::jama.2025.15185::C004",'C_jama.2025.15185'!$A$2:$A$13,0))),"NOT FROZEN")</x:f>
        <x:v>statistical_results</x:v>
      </x:c>
      <x:c r="D58" s="6" t="str">
        <x:f>IF(Setup!$B$6="primary",IF(AND(INDEX('C_jama.2025.15185'!$D$2:$D$13,MATCH("2025::jama.2025.15185::C004",'C_jama.2025.15185'!$A$2:$A$13,0))="retain",INDEX('C_jama.2025.15185'!$E$2:$E$13,MATCH("2025::jama.2025.15185::C004",'C_jama.2025.15185'!$A$2:$A$13,0))="statistical_results"),IF(INDEX('C_jama.2025.15185'!$H$2:$H$13,MATCH("2025::jama.2025.15185::C004",'C_jama.2025.15185'!$A$2:$A$13,0))="","",INDEX('C_jama.2025.15185'!$H$2:$H$13,MATCH("2025::jama.2025.15185::C004",'C_jama.2025.15185'!$A$2:$A$13,0))),"not_applicable"),"NOT FROZEN")</x:f>
        <x:v>not_applicable</x:v>
      </x:c>
      <x:c r="E58" s="6" t="str">
        <x:f>IF(Setup!$B$6="primary",IF(AND(INDEX('C_jama.2025.15185'!$D$2:$D$13,MATCH("2025::jama.2025.15185::C004",'C_jama.2025.15185'!$A$2:$A$13,0))="retain",INDEX('C_jama.2025.15185'!$E$2:$E$13,MATCH("2025::jama.2025.15185::C004",'C_jama.2025.15185'!$A$2:$A$13,0))="statistical_results"),IF(INDEX('C_jama.2025.15185'!$I$2:$I$13,MATCH("2025::jama.2025.15185::C004",'C_jama.2025.15185'!$A$2:$A$13,0))="","",INDEX('C_jama.2025.15185'!$I$2:$I$13,MATCH("2025::jama.2025.15185::C004",'C_jama.2025.15185'!$A$2:$A$13,0))),"not_applicable"),"NOT FROZEN")</x:f>
        <x:v>not_applicable</x:v>
      </x:c>
      <x:c r="F58" s="6" t="str">
        <x:f>IF(Setup!$B$6="primary",IF(AND(INDEX('C_jama.2025.15185'!$D$2:$D$13,MATCH("2025::jama.2025.15185::C004",'C_jama.2025.15185'!$A$2:$A$13,0))="retain",INDEX('C_jama.2025.15185'!$E$2:$E$13,MATCH("2025::jama.2025.15185::C004",'C_jama.2025.15185'!$A$2:$A$13,0))="statistical_results"),IF(INDEX('C_jama.2025.15185'!$J$2:$J$13,MATCH("2025::jama.2025.15185::C004",'C_jama.2025.15185'!$A$2:$A$13,0))="","",INDEX('C_jama.2025.15185'!$J$2:$J$13,MATCH("2025::jama.2025.15185::C004",'C_jama.2025.15185'!$A$2:$A$13,0))),"not_applicable"),"NOT FROZEN")</x:f>
        <x:v>not_applicable</x:v>
      </x:c>
      <x:c r="G58" s="6" t="str">
        <x:f>IF(Setup!$B$6="primary",IF(AND(INDEX('C_jama.2025.15185'!$D$2:$D$13,MATCH("2025::jama.2025.15185::C004",'C_jama.2025.15185'!$A$2:$A$13,0))="retain",OR(INDEX('C_jama.2025.15185'!$E$2:$E$13,MATCH("2025::jama.2025.15185::C004",'C_jama.2025.15185'!$A$2:$A$13,0))="report_internal_inconsistency",INDEX('C_jama.2025.15185'!$E$2:$E$13,MATCH("2025::jama.2025.15185::C004",'C_jama.2025.15185'!$A$2:$A$13,0))="plan_material")),IF(INDEX('C_jama.2025.15185'!$K$2:$K$13,MATCH("2025::jama.2025.15185::C004",'C_jama.2025.15185'!$A$2:$A$13,0))="","",INDEX('C_jama.2025.15185'!$K$2:$K$13,MATCH("2025::jama.2025.15185::C004",'C_jama.2025.15185'!$A$2:$A$13,0))),"not_applicable"),"NOT FROZEN")</x:f>
        <x:v>not_applicable</x:v>
      </x:c>
      <x:c r="H58" s="6" t="str">
        <x:f>IF(Setup!$B$6="primary",IF(AND(INDEX('C_jama.2025.15185'!$D$2:$D$13,MATCH("2025::jama.2025.15185::C004",'C_jama.2025.15185'!$A$2:$A$13,0))="retain",INDEX('C_jama.2025.15185'!$E$2:$E$13,MATCH("2025::jama.2025.15185::C004",'C_jama.2025.15185'!$A$2:$A$13,0))="protocol_report"),IF(INDEX('C_jama.2025.15185'!$L$2:$L$13,MATCH("2025::jama.2025.15185::C004",'C_jama.2025.15185'!$A$2:$A$13,0))="","",INDEX('C_jama.2025.15185'!$L$2:$L$13,MATCH("2025::jama.2025.15185::C004",'C_jama.2025.15185'!$A$2:$A$13,0))),"not_applicable"),"NOT FROZEN")</x:f>
        <x:v>not_applicable</x:v>
      </x:c>
      <x:c r="I58" s="6" t="str">
        <x:f>IF(Setup!$B$6="primary",IF(INDEX('C_jama.2025.15185'!$R$2:$R$13,MATCH("2025::jama.2025.15185::C004",'C_jama.2025.15185'!$A$2:$A$13,0))="","",INDEX('C_jama.2025.15185'!$R$2:$R$13,MATCH("2025::jama.2025.15185::C004",'C_jama.2025.15185'!$A$2:$A$13,0))),"NOT FROZEN")</x:f>
      </x:c>
      <x:c r="J58" s="6" t="str">
        <x:f>IF(Setup!$B$6="primary",INDEX('C_jama.2025.15185'!$F$2:$F$13,MATCH("2025::jama.2025.15185::C004",'C_jama.2025.15185'!$A$2:$A$13,0)),"NOT FROZEN")</x:f>
        <x:v>no</x:v>
      </x:c>
      <x:c r="K58" s="6" t="str">
        <x:f>IF(Setup!$B$6="primary",Setup!$B$2,"NOT FROZEN")</x:f>
      </x:c>
      <x:c r="L58" s="6" t="str">
        <x:f>IF(Setup!$B$6="primary",IF(OR(B58="",B58="not_applicable"),"","Disposition: "&amp;B58&amp;CHAR(10))&amp;IF(OR(C58="",C58="not_applicable"),"","Review domain: "&amp;C58&amp;CHAR(10))&amp;IF(OR(D58="",D58="not_applicable"),"","Statistcal_or_numerical issue: "&amp;D58&amp;CHAR(10))&amp;IF(OR(E58="",E58="not_applicable"),"","Substantiveness: "&amp;E58&amp;CHAR(10))&amp;IF(OR(F58="",F58="not_applicable"),"","Downstream impact: "&amp;F58&amp;CHAR(10))&amp;IF(OR(G58="",G58="not_applicable"),"","Report-internal or planning-material inconsistency: "&amp;G58&amp;CHAR(10))&amp;IF(OR(H58="",H58="not_applicable"),"","Protocol interpretation: "&amp;H58&amp;CHAR(10))&amp;IF(OR(I58="",I58="not_applicable"),"","Notes (optional): "&amp;I58&amp;CHAR(10)),"NOT FROZEN")</x:f>
        <x:v>Review domain: statistical_results
</x:v>
      </x:c>
    </x:row>
    <x:row r="59" ht="70" customHeight="1">
      <x:c r="A59" s="3" t="str">
        <x:f>IF(Setup!$B$6="primary","2025::jama.2025.15185::C005","NOT FROZEN")</x:f>
        <x:v>2025::jama.2025.15185::C005</x:v>
      </x:c>
      <x:c r="B59" s="3" t="str">
        <x:f>IF(Setup!$B$6="primary",IF(INDEX('C_jama.2025.15185'!$D$2:$D$13,MATCH("2025::jama.2025.15185::C005",'C_jama.2025.15185'!$A$2:$A$13,0))="","",INDEX('C_jama.2025.15185'!$D$2:$D$13,MATCH("2025::jama.2025.15185::C005",'C_jama.2025.15185'!$A$2:$A$13,0))),"NOT FROZEN")</x:f>
      </x:c>
      <x:c r="C59" s="3" t="str">
        <x:f>IF(Setup!$B$6="primary",IF(INDEX('C_jama.2025.15185'!$E$2:$E$13,MATCH("2025::jama.2025.15185::C005",'C_jama.2025.15185'!$A$2:$A$13,0))="","",INDEX('C_jama.2025.15185'!$E$2:$E$13,MATCH("2025::jama.2025.15185::C005",'C_jama.2025.15185'!$A$2:$A$13,0))),"NOT FROZEN")</x:f>
        <x:v>report_internal_inconsistency</x:v>
      </x:c>
      <x:c r="D59" s="3" t="str">
        <x:f>IF(Setup!$B$6="primary",IF(AND(INDEX('C_jama.2025.15185'!$D$2:$D$13,MATCH("2025::jama.2025.15185::C005",'C_jama.2025.15185'!$A$2:$A$13,0))="retain",INDEX('C_jama.2025.15185'!$E$2:$E$13,MATCH("2025::jama.2025.15185::C005",'C_jama.2025.15185'!$A$2:$A$13,0))="statistical_results"),IF(INDEX('C_jama.2025.15185'!$H$2:$H$13,MATCH("2025::jama.2025.15185::C005",'C_jama.2025.15185'!$A$2:$A$13,0))="","",INDEX('C_jama.2025.15185'!$H$2:$H$13,MATCH("2025::jama.2025.15185::C005",'C_jama.2025.15185'!$A$2:$A$13,0))),"not_applicable"),"NOT FROZEN")</x:f>
        <x:v>not_applicable</x:v>
      </x:c>
      <x:c r="E59" s="3" t="str">
        <x:f>IF(Setup!$B$6="primary",IF(AND(INDEX('C_jama.2025.15185'!$D$2:$D$13,MATCH("2025::jama.2025.15185::C005",'C_jama.2025.15185'!$A$2:$A$13,0))="retain",INDEX('C_jama.2025.15185'!$E$2:$E$13,MATCH("2025::jama.2025.15185::C005",'C_jama.2025.15185'!$A$2:$A$13,0))="statistical_results"),IF(INDEX('C_jama.2025.15185'!$I$2:$I$13,MATCH("2025::jama.2025.15185::C005",'C_jama.2025.15185'!$A$2:$A$13,0))="","",INDEX('C_jama.2025.15185'!$I$2:$I$13,MATCH("2025::jama.2025.15185::C005",'C_jama.2025.15185'!$A$2:$A$13,0))),"not_applicable"),"NOT FROZEN")</x:f>
        <x:v>not_applicable</x:v>
      </x:c>
      <x:c r="F59" s="3" t="str">
        <x:f>IF(Setup!$B$6="primary",IF(AND(INDEX('C_jama.2025.15185'!$D$2:$D$13,MATCH("2025::jama.2025.15185::C005",'C_jama.2025.15185'!$A$2:$A$13,0))="retain",INDEX('C_jama.2025.15185'!$E$2:$E$13,MATCH("2025::jama.2025.15185::C005",'C_jama.2025.15185'!$A$2:$A$13,0))="statistical_results"),IF(INDEX('C_jama.2025.15185'!$J$2:$J$13,MATCH("2025::jama.2025.15185::C005",'C_jama.2025.15185'!$A$2:$A$13,0))="","",INDEX('C_jama.2025.15185'!$J$2:$J$13,MATCH("2025::jama.2025.15185::C005",'C_jama.2025.15185'!$A$2:$A$13,0))),"not_applicable"),"NOT FROZEN")</x:f>
        <x:v>not_applicable</x:v>
      </x:c>
      <x:c r="G59" s="3" t="str">
        <x:f>IF(Setup!$B$6="primary",IF(AND(INDEX('C_jama.2025.15185'!$D$2:$D$13,MATCH("2025::jama.2025.15185::C005",'C_jama.2025.15185'!$A$2:$A$13,0))="retain",OR(INDEX('C_jama.2025.15185'!$E$2:$E$13,MATCH("2025::jama.2025.15185::C005",'C_jama.2025.15185'!$A$2:$A$13,0))="report_internal_inconsistency",INDEX('C_jama.2025.15185'!$E$2:$E$13,MATCH("2025::jama.2025.15185::C005",'C_jama.2025.15185'!$A$2:$A$13,0))="plan_material")),IF(INDEX('C_jama.2025.15185'!$K$2:$K$13,MATCH("2025::jama.2025.15185::C005",'C_jama.2025.15185'!$A$2:$A$13,0))="","",INDEX('C_jama.2025.15185'!$K$2:$K$13,MATCH("2025::jama.2025.15185::C005",'C_jama.2025.15185'!$A$2:$A$13,0))),"not_applicable"),"NOT FROZEN")</x:f>
        <x:v>not_applicable</x:v>
      </x:c>
      <x:c r="H59" s="3" t="str">
        <x:f>IF(Setup!$B$6="primary",IF(AND(INDEX('C_jama.2025.15185'!$D$2:$D$13,MATCH("2025::jama.2025.15185::C005",'C_jama.2025.15185'!$A$2:$A$13,0))="retain",INDEX('C_jama.2025.15185'!$E$2:$E$13,MATCH("2025::jama.2025.15185::C005",'C_jama.2025.15185'!$A$2:$A$13,0))="protocol_report"),IF(INDEX('C_jama.2025.15185'!$L$2:$L$13,MATCH("2025::jama.2025.15185::C005",'C_jama.2025.15185'!$A$2:$A$13,0))="","",INDEX('C_jama.2025.15185'!$L$2:$L$13,MATCH("2025::jama.2025.15185::C005",'C_jama.2025.15185'!$A$2:$A$13,0))),"not_applicable"),"NOT FROZEN")</x:f>
        <x:v>not_applicable</x:v>
      </x:c>
      <x:c r="I59" s="3" t="str">
        <x:f>IF(Setup!$B$6="primary",IF(INDEX('C_jama.2025.15185'!$R$2:$R$13,MATCH("2025::jama.2025.15185::C005",'C_jama.2025.15185'!$A$2:$A$13,0))="","",INDEX('C_jama.2025.15185'!$R$2:$R$13,MATCH("2025::jama.2025.15185::C005",'C_jama.2025.15185'!$A$2:$A$13,0))),"NOT FROZEN")</x:f>
      </x:c>
      <x:c r="J59" s="3" t="str">
        <x:f>IF(Setup!$B$6="primary",INDEX('C_jama.2025.15185'!$F$2:$F$13,MATCH("2025::jama.2025.15185::C005",'C_jama.2025.15185'!$A$2:$A$13,0)),"NOT FROZEN")</x:f>
        <x:v>no</x:v>
      </x:c>
      <x:c r="K59" s="3" t="str">
        <x:f>IF(Setup!$B$6="primary",Setup!$B$2,"NOT FROZEN")</x:f>
      </x:c>
      <x:c r="L59" s="3" t="str">
        <x:f>IF(Setup!$B$6="primary",IF(OR(B59="",B59="not_applicable"),"","Disposition: "&amp;B59&amp;CHAR(10))&amp;IF(OR(C59="",C59="not_applicable"),"","Review domain: "&amp;C59&amp;CHAR(10))&amp;IF(OR(D59="",D59="not_applicable"),"","Statistcal_or_numerical issue: "&amp;D59&amp;CHAR(10))&amp;IF(OR(E59="",E59="not_applicable"),"","Substantiveness: "&amp;E59&amp;CHAR(10))&amp;IF(OR(F59="",F59="not_applicable"),"","Downstream impact: "&amp;F59&amp;CHAR(10))&amp;IF(OR(G59="",G59="not_applicable"),"","Report-internal or planning-material inconsistency: "&amp;G59&amp;CHAR(10))&amp;IF(OR(H59="",H59="not_applicable"),"","Protocol interpretation: "&amp;H59&amp;CHAR(10))&amp;IF(OR(I59="",I59="not_applicable"),"","Notes (optional): "&amp;I59&amp;CHAR(10)),"NOT FROZEN")</x:f>
        <x:v>Review domain: report_internal_inconsistency
</x:v>
      </x:c>
    </x:row>
    <x:row r="60" ht="70" customHeight="1">
      <x:c r="A60" s="6" t="str">
        <x:f>IF(Setup!$B$6="primary","2025::jama.2025.15185::C006","NOT FROZEN")</x:f>
        <x:v>2025::jama.2025.15185::C006</x:v>
      </x:c>
      <x:c r="B60" s="6" t="str">
        <x:f>IF(Setup!$B$6="primary",IF(INDEX('C_jama.2025.15185'!$D$2:$D$13,MATCH("2025::jama.2025.15185::C006",'C_jama.2025.15185'!$A$2:$A$13,0))="","",INDEX('C_jama.2025.15185'!$D$2:$D$13,MATCH("2025::jama.2025.15185::C006",'C_jama.2025.15185'!$A$2:$A$13,0))),"NOT FROZEN")</x:f>
      </x:c>
      <x:c r="C60" s="6" t="str">
        <x:f>IF(Setup!$B$6="primary",IF(INDEX('C_jama.2025.15185'!$E$2:$E$13,MATCH("2025::jama.2025.15185::C006",'C_jama.2025.15185'!$A$2:$A$13,0))="","",INDEX('C_jama.2025.15185'!$E$2:$E$13,MATCH("2025::jama.2025.15185::C006",'C_jama.2025.15185'!$A$2:$A$13,0))),"NOT FROZEN")</x:f>
        <x:v>report_internal_inconsistency</x:v>
      </x:c>
      <x:c r="D60" s="6" t="str">
        <x:f>IF(Setup!$B$6="primary",IF(AND(INDEX('C_jama.2025.15185'!$D$2:$D$13,MATCH("2025::jama.2025.15185::C006",'C_jama.2025.15185'!$A$2:$A$13,0))="retain",INDEX('C_jama.2025.15185'!$E$2:$E$13,MATCH("2025::jama.2025.15185::C006",'C_jama.2025.15185'!$A$2:$A$13,0))="statistical_results"),IF(INDEX('C_jama.2025.15185'!$H$2:$H$13,MATCH("2025::jama.2025.15185::C006",'C_jama.2025.15185'!$A$2:$A$13,0))="","",INDEX('C_jama.2025.15185'!$H$2:$H$13,MATCH("2025::jama.2025.15185::C006",'C_jama.2025.15185'!$A$2:$A$13,0))),"not_applicable"),"NOT FROZEN")</x:f>
        <x:v>not_applicable</x:v>
      </x:c>
      <x:c r="E60" s="6" t="str">
        <x:f>IF(Setup!$B$6="primary",IF(AND(INDEX('C_jama.2025.15185'!$D$2:$D$13,MATCH("2025::jama.2025.15185::C006",'C_jama.2025.15185'!$A$2:$A$13,0))="retain",INDEX('C_jama.2025.15185'!$E$2:$E$13,MATCH("2025::jama.2025.15185::C006",'C_jama.2025.15185'!$A$2:$A$13,0))="statistical_results"),IF(INDEX('C_jama.2025.15185'!$I$2:$I$13,MATCH("2025::jama.2025.15185::C006",'C_jama.2025.15185'!$A$2:$A$13,0))="","",INDEX('C_jama.2025.15185'!$I$2:$I$13,MATCH("2025::jama.2025.15185::C006",'C_jama.2025.15185'!$A$2:$A$13,0))),"not_applicable"),"NOT FROZEN")</x:f>
        <x:v>not_applicable</x:v>
      </x:c>
      <x:c r="F60" s="6" t="str">
        <x:f>IF(Setup!$B$6="primary",IF(AND(INDEX('C_jama.2025.15185'!$D$2:$D$13,MATCH("2025::jama.2025.15185::C006",'C_jama.2025.15185'!$A$2:$A$13,0))="retain",INDEX('C_jama.2025.15185'!$E$2:$E$13,MATCH("2025::jama.2025.15185::C006",'C_jama.2025.15185'!$A$2:$A$13,0))="statistical_results"),IF(INDEX('C_jama.2025.15185'!$J$2:$J$13,MATCH("2025::jama.2025.15185::C006",'C_jama.2025.15185'!$A$2:$A$13,0))="","",INDEX('C_jama.2025.15185'!$J$2:$J$13,MATCH("2025::jama.2025.15185::C006",'C_jama.2025.15185'!$A$2:$A$13,0))),"not_applicable"),"NOT FROZEN")</x:f>
        <x:v>not_applicable</x:v>
      </x:c>
      <x:c r="G60" s="6" t="str">
        <x:f>IF(Setup!$B$6="primary",IF(AND(INDEX('C_jama.2025.15185'!$D$2:$D$13,MATCH("2025::jama.2025.15185::C006",'C_jama.2025.15185'!$A$2:$A$13,0))="retain",OR(INDEX('C_jama.2025.15185'!$E$2:$E$13,MATCH("2025::jama.2025.15185::C006",'C_jama.2025.15185'!$A$2:$A$13,0))="report_internal_inconsistency",INDEX('C_jama.2025.15185'!$E$2:$E$13,MATCH("2025::jama.2025.15185::C006",'C_jama.2025.15185'!$A$2:$A$13,0))="plan_material")),IF(INDEX('C_jama.2025.15185'!$K$2:$K$13,MATCH("2025::jama.2025.15185::C006",'C_jama.2025.15185'!$A$2:$A$13,0))="","",INDEX('C_jama.2025.15185'!$K$2:$K$13,MATCH("2025::jama.2025.15185::C006",'C_jama.2025.15185'!$A$2:$A$13,0))),"not_applicable"),"NOT FROZEN")</x:f>
        <x:v>not_applicable</x:v>
      </x:c>
      <x:c r="H60" s="6" t="str">
        <x:f>IF(Setup!$B$6="primary",IF(AND(INDEX('C_jama.2025.15185'!$D$2:$D$13,MATCH("2025::jama.2025.15185::C006",'C_jama.2025.15185'!$A$2:$A$13,0))="retain",INDEX('C_jama.2025.15185'!$E$2:$E$13,MATCH("2025::jama.2025.15185::C006",'C_jama.2025.15185'!$A$2:$A$13,0))="protocol_report"),IF(INDEX('C_jama.2025.15185'!$L$2:$L$13,MATCH("2025::jama.2025.15185::C006",'C_jama.2025.15185'!$A$2:$A$13,0))="","",INDEX('C_jama.2025.15185'!$L$2:$L$13,MATCH("2025::jama.2025.15185::C006",'C_jama.2025.15185'!$A$2:$A$13,0))),"not_applicable"),"NOT FROZEN")</x:f>
        <x:v>not_applicable</x:v>
      </x:c>
      <x:c r="I60" s="6" t="str">
        <x:f>IF(Setup!$B$6="primary",IF(INDEX('C_jama.2025.15185'!$R$2:$R$13,MATCH("2025::jama.2025.15185::C006",'C_jama.2025.15185'!$A$2:$A$13,0))="","",INDEX('C_jama.2025.15185'!$R$2:$R$13,MATCH("2025::jama.2025.15185::C006",'C_jama.2025.15185'!$A$2:$A$13,0))),"NOT FROZEN")</x:f>
      </x:c>
      <x:c r="J60" s="6" t="str">
        <x:f>IF(Setup!$B$6="primary",INDEX('C_jama.2025.15185'!$F$2:$F$13,MATCH("2025::jama.2025.15185::C006",'C_jama.2025.15185'!$A$2:$A$13,0)),"NOT FROZEN")</x:f>
        <x:v>no</x:v>
      </x:c>
      <x:c r="K60" s="6" t="str">
        <x:f>IF(Setup!$B$6="primary",Setup!$B$2,"NOT FROZEN")</x:f>
      </x:c>
      <x:c r="L60" s="6" t="str">
        <x:f>IF(Setup!$B$6="primary",IF(OR(B60="",B60="not_applicable"),"","Disposition: "&amp;B60&amp;CHAR(10))&amp;IF(OR(C60="",C60="not_applicable"),"","Review domain: "&amp;C60&amp;CHAR(10))&amp;IF(OR(D60="",D60="not_applicable"),"","Statistcal_or_numerical issue: "&amp;D60&amp;CHAR(10))&amp;IF(OR(E60="",E60="not_applicable"),"","Substantiveness: "&amp;E60&amp;CHAR(10))&amp;IF(OR(F60="",F60="not_applicable"),"","Downstream impact: "&amp;F60&amp;CHAR(10))&amp;IF(OR(G60="",G60="not_applicable"),"","Report-internal or planning-material inconsistency: "&amp;G60&amp;CHAR(10))&amp;IF(OR(H60="",H60="not_applicable"),"","Protocol interpretation: "&amp;H60&amp;CHAR(10))&amp;IF(OR(I60="",I60="not_applicable"),"","Notes (optional): "&amp;I60&amp;CHAR(10)),"NOT FROZEN")</x:f>
        <x:v>Review domain: report_internal_inconsistency
</x:v>
      </x:c>
    </x:row>
    <x:row r="61" ht="70" customHeight="1">
      <x:c r="A61" s="3" t="str">
        <x:f>IF(Setup!$B$6="primary","2025::jama.2025.15185::C007","NOT FROZEN")</x:f>
        <x:v>2025::jama.2025.15185::C007</x:v>
      </x:c>
      <x:c r="B61" s="3" t="str">
        <x:f>IF(Setup!$B$6="primary",IF(INDEX('C_jama.2025.15185'!$D$2:$D$13,MATCH("2025::jama.2025.15185::C007",'C_jama.2025.15185'!$A$2:$A$13,0))="","",INDEX('C_jama.2025.15185'!$D$2:$D$13,MATCH("2025::jama.2025.15185::C007",'C_jama.2025.15185'!$A$2:$A$13,0))),"NOT FROZEN")</x:f>
      </x:c>
      <x:c r="C61" s="3" t="str">
        <x:f>IF(Setup!$B$6="primary",IF(INDEX('C_jama.2025.15185'!$E$2:$E$13,MATCH("2025::jama.2025.15185::C007",'C_jama.2025.15185'!$A$2:$A$13,0))="","",INDEX('C_jama.2025.15185'!$E$2:$E$13,MATCH("2025::jama.2025.15185::C007",'C_jama.2025.15185'!$A$2:$A$13,0))),"NOT FROZEN")</x:f>
        <x:v>report_internal_inconsistency</x:v>
      </x:c>
      <x:c r="D61" s="3" t="str">
        <x:f>IF(Setup!$B$6="primary",IF(AND(INDEX('C_jama.2025.15185'!$D$2:$D$13,MATCH("2025::jama.2025.15185::C007",'C_jama.2025.15185'!$A$2:$A$13,0))="retain",INDEX('C_jama.2025.15185'!$E$2:$E$13,MATCH("2025::jama.2025.15185::C007",'C_jama.2025.15185'!$A$2:$A$13,0))="statistical_results"),IF(INDEX('C_jama.2025.15185'!$H$2:$H$13,MATCH("2025::jama.2025.15185::C007",'C_jama.2025.15185'!$A$2:$A$13,0))="","",INDEX('C_jama.2025.15185'!$H$2:$H$13,MATCH("2025::jama.2025.15185::C007",'C_jama.2025.15185'!$A$2:$A$13,0))),"not_applicable"),"NOT FROZEN")</x:f>
        <x:v>not_applicable</x:v>
      </x:c>
      <x:c r="E61" s="3" t="str">
        <x:f>IF(Setup!$B$6="primary",IF(AND(INDEX('C_jama.2025.15185'!$D$2:$D$13,MATCH("2025::jama.2025.15185::C007",'C_jama.2025.15185'!$A$2:$A$13,0))="retain",INDEX('C_jama.2025.15185'!$E$2:$E$13,MATCH("2025::jama.2025.15185::C007",'C_jama.2025.15185'!$A$2:$A$13,0))="statistical_results"),IF(INDEX('C_jama.2025.15185'!$I$2:$I$13,MATCH("2025::jama.2025.15185::C007",'C_jama.2025.15185'!$A$2:$A$13,0))="","",INDEX('C_jama.2025.15185'!$I$2:$I$13,MATCH("2025::jama.2025.15185::C007",'C_jama.2025.15185'!$A$2:$A$13,0))),"not_applicable"),"NOT FROZEN")</x:f>
        <x:v>not_applicable</x:v>
      </x:c>
      <x:c r="F61" s="3" t="str">
        <x:f>IF(Setup!$B$6="primary",IF(AND(INDEX('C_jama.2025.15185'!$D$2:$D$13,MATCH("2025::jama.2025.15185::C007",'C_jama.2025.15185'!$A$2:$A$13,0))="retain",INDEX('C_jama.2025.15185'!$E$2:$E$13,MATCH("2025::jama.2025.15185::C007",'C_jama.2025.15185'!$A$2:$A$13,0))="statistical_results"),IF(INDEX('C_jama.2025.15185'!$J$2:$J$13,MATCH("2025::jama.2025.15185::C007",'C_jama.2025.15185'!$A$2:$A$13,0))="","",INDEX('C_jama.2025.15185'!$J$2:$J$13,MATCH("2025::jama.2025.15185::C007",'C_jama.2025.15185'!$A$2:$A$13,0))),"not_applicable"),"NOT FROZEN")</x:f>
        <x:v>not_applicable</x:v>
      </x:c>
      <x:c r="G61" s="3" t="str">
        <x:f>IF(Setup!$B$6="primary",IF(AND(INDEX('C_jama.2025.15185'!$D$2:$D$13,MATCH("2025::jama.2025.15185::C007",'C_jama.2025.15185'!$A$2:$A$13,0))="retain",OR(INDEX('C_jama.2025.15185'!$E$2:$E$13,MATCH("2025::jama.2025.15185::C007",'C_jama.2025.15185'!$A$2:$A$13,0))="report_internal_inconsistency",INDEX('C_jama.2025.15185'!$E$2:$E$13,MATCH("2025::jama.2025.15185::C007",'C_jama.2025.15185'!$A$2:$A$13,0))="plan_material")),IF(INDEX('C_jama.2025.15185'!$K$2:$K$13,MATCH("2025::jama.2025.15185::C007",'C_jama.2025.15185'!$A$2:$A$13,0))="","",INDEX('C_jama.2025.15185'!$K$2:$K$13,MATCH("2025::jama.2025.15185::C007",'C_jama.2025.15185'!$A$2:$A$13,0))),"not_applicable"),"NOT FROZEN")</x:f>
        <x:v>not_applicable</x:v>
      </x:c>
      <x:c r="H61" s="3" t="str">
        <x:f>IF(Setup!$B$6="primary",IF(AND(INDEX('C_jama.2025.15185'!$D$2:$D$13,MATCH("2025::jama.2025.15185::C007",'C_jama.2025.15185'!$A$2:$A$13,0))="retain",INDEX('C_jama.2025.15185'!$E$2:$E$13,MATCH("2025::jama.2025.15185::C007",'C_jama.2025.15185'!$A$2:$A$13,0))="protocol_report"),IF(INDEX('C_jama.2025.15185'!$L$2:$L$13,MATCH("2025::jama.2025.15185::C007",'C_jama.2025.15185'!$A$2:$A$13,0))="","",INDEX('C_jama.2025.15185'!$L$2:$L$13,MATCH("2025::jama.2025.15185::C007",'C_jama.2025.15185'!$A$2:$A$13,0))),"not_applicable"),"NOT FROZEN")</x:f>
        <x:v>not_applicable</x:v>
      </x:c>
      <x:c r="I61" s="3" t="str">
        <x:f>IF(Setup!$B$6="primary",IF(INDEX('C_jama.2025.15185'!$R$2:$R$13,MATCH("2025::jama.2025.15185::C007",'C_jama.2025.15185'!$A$2:$A$13,0))="","",INDEX('C_jama.2025.15185'!$R$2:$R$13,MATCH("2025::jama.2025.15185::C007",'C_jama.2025.15185'!$A$2:$A$13,0))),"NOT FROZEN")</x:f>
      </x:c>
      <x:c r="J61" s="3" t="str">
        <x:f>IF(Setup!$B$6="primary",INDEX('C_jama.2025.15185'!$F$2:$F$13,MATCH("2025::jama.2025.15185::C007",'C_jama.2025.15185'!$A$2:$A$13,0)),"NOT FROZEN")</x:f>
        <x:v>no</x:v>
      </x:c>
      <x:c r="K61" s="3" t="str">
        <x:f>IF(Setup!$B$6="primary",Setup!$B$2,"NOT FROZEN")</x:f>
      </x:c>
      <x:c r="L61" s="3" t="str">
        <x:f>IF(Setup!$B$6="primary",IF(OR(B61="",B61="not_applicable"),"","Disposition: "&amp;B61&amp;CHAR(10))&amp;IF(OR(C61="",C61="not_applicable"),"","Review domain: "&amp;C61&amp;CHAR(10))&amp;IF(OR(D61="",D61="not_applicable"),"","Statistcal_or_numerical issue: "&amp;D61&amp;CHAR(10))&amp;IF(OR(E61="",E61="not_applicable"),"","Substantiveness: "&amp;E61&amp;CHAR(10))&amp;IF(OR(F61="",F61="not_applicable"),"","Downstream impact: "&amp;F61&amp;CHAR(10))&amp;IF(OR(G61="",G61="not_applicable"),"","Report-internal or planning-material inconsistency: "&amp;G61&amp;CHAR(10))&amp;IF(OR(H61="",H61="not_applicable"),"","Protocol interpretation: "&amp;H61&amp;CHAR(10))&amp;IF(OR(I61="",I61="not_applicable"),"","Notes (optional): "&amp;I61&amp;CHAR(10)),"NOT FROZEN")</x:f>
        <x:v>Review domain: report_internal_inconsistency
</x:v>
      </x:c>
    </x:row>
    <x:row r="62" ht="70" customHeight="1">
      <x:c r="A62" s="6" t="str">
        <x:f>IF(Setup!$B$6="primary","2025::jama.2025.15185::C008","NOT FROZEN")</x:f>
        <x:v>2025::jama.2025.15185::C008</x:v>
      </x:c>
      <x:c r="B62" s="6" t="str">
        <x:f>IF(Setup!$B$6="primary",IF(INDEX('C_jama.2025.15185'!$D$2:$D$13,MATCH("2025::jama.2025.15185::C008",'C_jama.2025.15185'!$A$2:$A$13,0))="","",INDEX('C_jama.2025.15185'!$D$2:$D$13,MATCH("2025::jama.2025.15185::C008",'C_jama.2025.15185'!$A$2:$A$13,0))),"NOT FROZEN")</x:f>
      </x:c>
      <x:c r="C62" s="6" t="str">
        <x:f>IF(Setup!$B$6="primary",IF(INDEX('C_jama.2025.15185'!$E$2:$E$13,MATCH("2025::jama.2025.15185::C008",'C_jama.2025.15185'!$A$2:$A$13,0))="","",INDEX('C_jama.2025.15185'!$E$2:$E$13,MATCH("2025::jama.2025.15185::C008",'C_jama.2025.15185'!$A$2:$A$13,0))),"NOT FROZEN")</x:f>
        <x:v>report_internal_inconsistency</x:v>
      </x:c>
      <x:c r="D62" s="6" t="str">
        <x:f>IF(Setup!$B$6="primary",IF(AND(INDEX('C_jama.2025.15185'!$D$2:$D$13,MATCH("2025::jama.2025.15185::C008",'C_jama.2025.15185'!$A$2:$A$13,0))="retain",INDEX('C_jama.2025.15185'!$E$2:$E$13,MATCH("2025::jama.2025.15185::C008",'C_jama.2025.15185'!$A$2:$A$13,0))="statistical_results"),IF(INDEX('C_jama.2025.15185'!$H$2:$H$13,MATCH("2025::jama.2025.15185::C008",'C_jama.2025.15185'!$A$2:$A$13,0))="","",INDEX('C_jama.2025.15185'!$H$2:$H$13,MATCH("2025::jama.2025.15185::C008",'C_jama.2025.15185'!$A$2:$A$13,0))),"not_applicable"),"NOT FROZEN")</x:f>
        <x:v>not_applicable</x:v>
      </x:c>
      <x:c r="E62" s="6" t="str">
        <x:f>IF(Setup!$B$6="primary",IF(AND(INDEX('C_jama.2025.15185'!$D$2:$D$13,MATCH("2025::jama.2025.15185::C008",'C_jama.2025.15185'!$A$2:$A$13,0))="retain",INDEX('C_jama.2025.15185'!$E$2:$E$13,MATCH("2025::jama.2025.15185::C008",'C_jama.2025.15185'!$A$2:$A$13,0))="statistical_results"),IF(INDEX('C_jama.2025.15185'!$I$2:$I$13,MATCH("2025::jama.2025.15185::C008",'C_jama.2025.15185'!$A$2:$A$13,0))="","",INDEX('C_jama.2025.15185'!$I$2:$I$13,MATCH("2025::jama.2025.15185::C008",'C_jama.2025.15185'!$A$2:$A$13,0))),"not_applicable"),"NOT FROZEN")</x:f>
        <x:v>not_applicable</x:v>
      </x:c>
      <x:c r="F62" s="6" t="str">
        <x:f>IF(Setup!$B$6="primary",IF(AND(INDEX('C_jama.2025.15185'!$D$2:$D$13,MATCH("2025::jama.2025.15185::C008",'C_jama.2025.15185'!$A$2:$A$13,0))="retain",INDEX('C_jama.2025.15185'!$E$2:$E$13,MATCH("2025::jama.2025.15185::C008",'C_jama.2025.15185'!$A$2:$A$13,0))="statistical_results"),IF(INDEX('C_jama.2025.15185'!$J$2:$J$13,MATCH("2025::jama.2025.15185::C008",'C_jama.2025.15185'!$A$2:$A$13,0))="","",INDEX('C_jama.2025.15185'!$J$2:$J$13,MATCH("2025::jama.2025.15185::C008",'C_jama.2025.15185'!$A$2:$A$13,0))),"not_applicable"),"NOT FROZEN")</x:f>
        <x:v>not_applicable</x:v>
      </x:c>
      <x:c r="G62" s="6" t="str">
        <x:f>IF(Setup!$B$6="primary",IF(AND(INDEX('C_jama.2025.15185'!$D$2:$D$13,MATCH("2025::jama.2025.15185::C008",'C_jama.2025.15185'!$A$2:$A$13,0))="retain",OR(INDEX('C_jama.2025.15185'!$E$2:$E$13,MATCH("2025::jama.2025.15185::C008",'C_jama.2025.15185'!$A$2:$A$13,0))="report_internal_inconsistency",INDEX('C_jama.2025.15185'!$E$2:$E$13,MATCH("2025::jama.2025.15185::C008",'C_jama.2025.15185'!$A$2:$A$13,0))="plan_material")),IF(INDEX('C_jama.2025.15185'!$K$2:$K$13,MATCH("2025::jama.2025.15185::C008",'C_jama.2025.15185'!$A$2:$A$13,0))="","",INDEX('C_jama.2025.15185'!$K$2:$K$13,MATCH("2025::jama.2025.15185::C008",'C_jama.2025.15185'!$A$2:$A$13,0))),"not_applicable"),"NOT FROZEN")</x:f>
        <x:v>not_applicable</x:v>
      </x:c>
      <x:c r="H62" s="6" t="str">
        <x:f>IF(Setup!$B$6="primary",IF(AND(INDEX('C_jama.2025.15185'!$D$2:$D$13,MATCH("2025::jama.2025.15185::C008",'C_jama.2025.15185'!$A$2:$A$13,0))="retain",INDEX('C_jama.2025.15185'!$E$2:$E$13,MATCH("2025::jama.2025.15185::C008",'C_jama.2025.15185'!$A$2:$A$13,0))="protocol_report"),IF(INDEX('C_jama.2025.15185'!$L$2:$L$13,MATCH("2025::jama.2025.15185::C008",'C_jama.2025.15185'!$A$2:$A$13,0))="","",INDEX('C_jama.2025.15185'!$L$2:$L$13,MATCH("2025::jama.2025.15185::C008",'C_jama.2025.15185'!$A$2:$A$13,0))),"not_applicable"),"NOT FROZEN")</x:f>
        <x:v>not_applicable</x:v>
      </x:c>
      <x:c r="I62" s="6" t="str">
        <x:f>IF(Setup!$B$6="primary",IF(INDEX('C_jama.2025.15185'!$R$2:$R$13,MATCH("2025::jama.2025.15185::C008",'C_jama.2025.15185'!$A$2:$A$13,0))="","",INDEX('C_jama.2025.15185'!$R$2:$R$13,MATCH("2025::jama.2025.15185::C008",'C_jama.2025.15185'!$A$2:$A$13,0))),"NOT FROZEN")</x:f>
      </x:c>
      <x:c r="J62" s="6" t="str">
        <x:f>IF(Setup!$B$6="primary",INDEX('C_jama.2025.15185'!$F$2:$F$13,MATCH("2025::jama.2025.15185::C008",'C_jama.2025.15185'!$A$2:$A$13,0)),"NOT FROZEN")</x:f>
        <x:v>no</x:v>
      </x:c>
      <x:c r="K62" s="6" t="str">
        <x:f>IF(Setup!$B$6="primary",Setup!$B$2,"NOT FROZEN")</x:f>
      </x:c>
      <x:c r="L62" s="6" t="str">
        <x:f>IF(Setup!$B$6="primary",IF(OR(B62="",B62="not_applicable"),"","Disposition: "&amp;B62&amp;CHAR(10))&amp;IF(OR(C62="",C62="not_applicable"),"","Review domain: "&amp;C62&amp;CHAR(10))&amp;IF(OR(D62="",D62="not_applicable"),"","Statistcal_or_numerical issue: "&amp;D62&amp;CHAR(10))&amp;IF(OR(E62="",E62="not_applicable"),"","Substantiveness: "&amp;E62&amp;CHAR(10))&amp;IF(OR(F62="",F62="not_applicable"),"","Downstream impact: "&amp;F62&amp;CHAR(10))&amp;IF(OR(G62="",G62="not_applicable"),"","Report-internal or planning-material inconsistency: "&amp;G62&amp;CHAR(10))&amp;IF(OR(H62="",H62="not_applicable"),"","Protocol interpretation: "&amp;H62&amp;CHAR(10))&amp;IF(OR(I62="",I62="not_applicable"),"","Notes (optional): "&amp;I62&amp;CHAR(10)),"NOT FROZEN")</x:f>
        <x:v>Review domain: report_internal_inconsistency
</x:v>
      </x:c>
    </x:row>
    <x:row r="63" ht="70" customHeight="1">
      <x:c r="A63" s="3" t="str">
        <x:f>IF(Setup!$B$6="primary","2025::jama.2025.15185::C009","NOT FROZEN")</x:f>
        <x:v>2025::jama.2025.15185::C009</x:v>
      </x:c>
      <x:c r="B63" s="3" t="str">
        <x:f>IF(Setup!$B$6="primary",IF(INDEX('C_jama.2025.15185'!$D$2:$D$13,MATCH("2025::jama.2025.15185::C009",'C_jama.2025.15185'!$A$2:$A$13,0))="","",INDEX('C_jama.2025.15185'!$D$2:$D$13,MATCH("2025::jama.2025.15185::C009",'C_jama.2025.15185'!$A$2:$A$13,0))),"NOT FROZEN")</x:f>
      </x:c>
      <x:c r="C63" s="3" t="str">
        <x:f>IF(Setup!$B$6="primary",IF(INDEX('C_jama.2025.15185'!$E$2:$E$13,MATCH("2025::jama.2025.15185::C009",'C_jama.2025.15185'!$A$2:$A$13,0))="","",INDEX('C_jama.2025.15185'!$E$2:$E$13,MATCH("2025::jama.2025.15185::C009",'C_jama.2025.15185'!$A$2:$A$13,0))),"NOT FROZEN")</x:f>
        <x:v>statistical_results</x:v>
      </x:c>
      <x:c r="D63" s="3" t="str">
        <x:f>IF(Setup!$B$6="primary",IF(AND(INDEX('C_jama.2025.15185'!$D$2:$D$13,MATCH("2025::jama.2025.15185::C009",'C_jama.2025.15185'!$A$2:$A$13,0))="retain",INDEX('C_jama.2025.15185'!$E$2:$E$13,MATCH("2025::jama.2025.15185::C009",'C_jama.2025.15185'!$A$2:$A$13,0))="statistical_results"),IF(INDEX('C_jama.2025.15185'!$H$2:$H$13,MATCH("2025::jama.2025.15185::C009",'C_jama.2025.15185'!$A$2:$A$13,0))="","",INDEX('C_jama.2025.15185'!$H$2:$H$13,MATCH("2025::jama.2025.15185::C009",'C_jama.2025.15185'!$A$2:$A$13,0))),"not_applicable"),"NOT FROZEN")</x:f>
        <x:v>not_applicable</x:v>
      </x:c>
      <x:c r="E63" s="3" t="str">
        <x:f>IF(Setup!$B$6="primary",IF(AND(INDEX('C_jama.2025.15185'!$D$2:$D$13,MATCH("2025::jama.2025.15185::C009",'C_jama.2025.15185'!$A$2:$A$13,0))="retain",INDEX('C_jama.2025.15185'!$E$2:$E$13,MATCH("2025::jama.2025.15185::C009",'C_jama.2025.15185'!$A$2:$A$13,0))="statistical_results"),IF(INDEX('C_jama.2025.15185'!$I$2:$I$13,MATCH("2025::jama.2025.15185::C009",'C_jama.2025.15185'!$A$2:$A$13,0))="","",INDEX('C_jama.2025.15185'!$I$2:$I$13,MATCH("2025::jama.2025.15185::C009",'C_jama.2025.15185'!$A$2:$A$13,0))),"not_applicable"),"NOT FROZEN")</x:f>
        <x:v>not_applicable</x:v>
      </x:c>
      <x:c r="F63" s="3" t="str">
        <x:f>IF(Setup!$B$6="primary",IF(AND(INDEX('C_jama.2025.15185'!$D$2:$D$13,MATCH("2025::jama.2025.15185::C009",'C_jama.2025.15185'!$A$2:$A$13,0))="retain",INDEX('C_jama.2025.15185'!$E$2:$E$13,MATCH("2025::jama.2025.15185::C009",'C_jama.2025.15185'!$A$2:$A$13,0))="statistical_results"),IF(INDEX('C_jama.2025.15185'!$J$2:$J$13,MATCH("2025::jama.2025.15185::C009",'C_jama.2025.15185'!$A$2:$A$13,0))="","",INDEX('C_jama.2025.15185'!$J$2:$J$13,MATCH("2025::jama.2025.15185::C009",'C_jama.2025.15185'!$A$2:$A$13,0))),"not_applicable"),"NOT FROZEN")</x:f>
        <x:v>not_applicable</x:v>
      </x:c>
      <x:c r="G63" s="3" t="str">
        <x:f>IF(Setup!$B$6="primary",IF(AND(INDEX('C_jama.2025.15185'!$D$2:$D$13,MATCH("2025::jama.2025.15185::C009",'C_jama.2025.15185'!$A$2:$A$13,0))="retain",OR(INDEX('C_jama.2025.15185'!$E$2:$E$13,MATCH("2025::jama.2025.15185::C009",'C_jama.2025.15185'!$A$2:$A$13,0))="report_internal_inconsistency",INDEX('C_jama.2025.15185'!$E$2:$E$13,MATCH("2025::jama.2025.15185::C009",'C_jama.2025.15185'!$A$2:$A$13,0))="plan_material")),IF(INDEX('C_jama.2025.15185'!$K$2:$K$13,MATCH("2025::jama.2025.15185::C009",'C_jama.2025.15185'!$A$2:$A$13,0))="","",INDEX('C_jama.2025.15185'!$K$2:$K$13,MATCH("2025::jama.2025.15185::C009",'C_jama.2025.15185'!$A$2:$A$13,0))),"not_applicable"),"NOT FROZEN")</x:f>
        <x:v>not_applicable</x:v>
      </x:c>
      <x:c r="H63" s="3" t="str">
        <x:f>IF(Setup!$B$6="primary",IF(AND(INDEX('C_jama.2025.15185'!$D$2:$D$13,MATCH("2025::jama.2025.15185::C009",'C_jama.2025.15185'!$A$2:$A$13,0))="retain",INDEX('C_jama.2025.15185'!$E$2:$E$13,MATCH("2025::jama.2025.15185::C009",'C_jama.2025.15185'!$A$2:$A$13,0))="protocol_report"),IF(INDEX('C_jama.2025.15185'!$L$2:$L$13,MATCH("2025::jama.2025.15185::C009",'C_jama.2025.15185'!$A$2:$A$13,0))="","",INDEX('C_jama.2025.15185'!$L$2:$L$13,MATCH("2025::jama.2025.15185::C009",'C_jama.2025.15185'!$A$2:$A$13,0))),"not_applicable"),"NOT FROZEN")</x:f>
        <x:v>not_applicable</x:v>
      </x:c>
      <x:c r="I63" s="3" t="str">
        <x:f>IF(Setup!$B$6="primary",IF(INDEX('C_jama.2025.15185'!$R$2:$R$13,MATCH("2025::jama.2025.15185::C009",'C_jama.2025.15185'!$A$2:$A$13,0))="","",INDEX('C_jama.2025.15185'!$R$2:$R$13,MATCH("2025::jama.2025.15185::C009",'C_jama.2025.15185'!$A$2:$A$13,0))),"NOT FROZEN")</x:f>
      </x:c>
      <x:c r="J63" s="3" t="str">
        <x:f>IF(Setup!$B$6="primary",INDEX('C_jama.2025.15185'!$F$2:$F$13,MATCH("2025::jama.2025.15185::C009",'C_jama.2025.15185'!$A$2:$A$13,0)),"NOT FROZEN")</x:f>
        <x:v>no</x:v>
      </x:c>
      <x:c r="K63" s="3" t="str">
        <x:f>IF(Setup!$B$6="primary",Setup!$B$2,"NOT FROZEN")</x:f>
      </x:c>
      <x:c r="L63" s="3" t="str">
        <x:f>IF(Setup!$B$6="primary",IF(OR(B63="",B63="not_applicable"),"","Disposition: "&amp;B63&amp;CHAR(10))&amp;IF(OR(C63="",C63="not_applicable"),"","Review domain: "&amp;C63&amp;CHAR(10))&amp;IF(OR(D63="",D63="not_applicable"),"","Statistcal_or_numerical issue: "&amp;D63&amp;CHAR(10))&amp;IF(OR(E63="",E63="not_applicable"),"","Substantiveness: "&amp;E63&amp;CHAR(10))&amp;IF(OR(F63="",F63="not_applicable"),"","Downstream impact: "&amp;F63&amp;CHAR(10))&amp;IF(OR(G63="",G63="not_applicable"),"","Report-internal or planning-material inconsistency: "&amp;G63&amp;CHAR(10))&amp;IF(OR(H63="",H63="not_applicable"),"","Protocol interpretation: "&amp;H63&amp;CHAR(10))&amp;IF(OR(I63="",I63="not_applicable"),"","Notes (optional): "&amp;I63&amp;CHAR(10)),"NOT FROZEN")</x:f>
        <x:v>Review domain: statistical_results
</x:v>
      </x:c>
    </x:row>
    <x:row r="64" ht="70" customHeight="1">
      <x:c r="A64" s="6" t="str">
        <x:f>IF(Setup!$B$6="primary","2025::jama.2025.15185::C010","NOT FROZEN")</x:f>
        <x:v>2025::jama.2025.15185::C010</x:v>
      </x:c>
      <x:c r="B64" s="6" t="str">
        <x:f>IF(Setup!$B$6="primary",IF(INDEX('C_jama.2025.15185'!$D$2:$D$13,MATCH("2025::jama.2025.15185::C010",'C_jama.2025.15185'!$A$2:$A$13,0))="","",INDEX('C_jama.2025.15185'!$D$2:$D$13,MATCH("2025::jama.2025.15185::C010",'C_jama.2025.15185'!$A$2:$A$13,0))),"NOT FROZEN")</x:f>
      </x:c>
      <x:c r="C64" s="6" t="str">
        <x:f>IF(Setup!$B$6="primary",IF(INDEX('C_jama.2025.15185'!$E$2:$E$13,MATCH("2025::jama.2025.15185::C010",'C_jama.2025.15185'!$A$2:$A$13,0))="","",INDEX('C_jama.2025.15185'!$E$2:$E$13,MATCH("2025::jama.2025.15185::C010",'C_jama.2025.15185'!$A$2:$A$13,0))),"NOT FROZEN")</x:f>
        <x:v>report_internal_inconsistency</x:v>
      </x:c>
      <x:c r="D64" s="6" t="str">
        <x:f>IF(Setup!$B$6="primary",IF(AND(INDEX('C_jama.2025.15185'!$D$2:$D$13,MATCH("2025::jama.2025.15185::C010",'C_jama.2025.15185'!$A$2:$A$13,0))="retain",INDEX('C_jama.2025.15185'!$E$2:$E$13,MATCH("2025::jama.2025.15185::C010",'C_jama.2025.15185'!$A$2:$A$13,0))="statistical_results"),IF(INDEX('C_jama.2025.15185'!$H$2:$H$13,MATCH("2025::jama.2025.15185::C010",'C_jama.2025.15185'!$A$2:$A$13,0))="","",INDEX('C_jama.2025.15185'!$H$2:$H$13,MATCH("2025::jama.2025.15185::C010",'C_jama.2025.15185'!$A$2:$A$13,0))),"not_applicable"),"NOT FROZEN")</x:f>
        <x:v>not_applicable</x:v>
      </x:c>
      <x:c r="E64" s="6" t="str">
        <x:f>IF(Setup!$B$6="primary",IF(AND(INDEX('C_jama.2025.15185'!$D$2:$D$13,MATCH("2025::jama.2025.15185::C010",'C_jama.2025.15185'!$A$2:$A$13,0))="retain",INDEX('C_jama.2025.15185'!$E$2:$E$13,MATCH("2025::jama.2025.15185::C010",'C_jama.2025.15185'!$A$2:$A$13,0))="statistical_results"),IF(INDEX('C_jama.2025.15185'!$I$2:$I$13,MATCH("2025::jama.2025.15185::C010",'C_jama.2025.15185'!$A$2:$A$13,0))="","",INDEX('C_jama.2025.15185'!$I$2:$I$13,MATCH("2025::jama.2025.15185::C010",'C_jama.2025.15185'!$A$2:$A$13,0))),"not_applicable"),"NOT FROZEN")</x:f>
        <x:v>not_applicable</x:v>
      </x:c>
      <x:c r="F64" s="6" t="str">
        <x:f>IF(Setup!$B$6="primary",IF(AND(INDEX('C_jama.2025.15185'!$D$2:$D$13,MATCH("2025::jama.2025.15185::C010",'C_jama.2025.15185'!$A$2:$A$13,0))="retain",INDEX('C_jama.2025.15185'!$E$2:$E$13,MATCH("2025::jama.2025.15185::C010",'C_jama.2025.15185'!$A$2:$A$13,0))="statistical_results"),IF(INDEX('C_jama.2025.15185'!$J$2:$J$13,MATCH("2025::jama.2025.15185::C010",'C_jama.2025.15185'!$A$2:$A$13,0))="","",INDEX('C_jama.2025.15185'!$J$2:$J$13,MATCH("2025::jama.2025.15185::C010",'C_jama.2025.15185'!$A$2:$A$13,0))),"not_applicable"),"NOT FROZEN")</x:f>
        <x:v>not_applicable</x:v>
      </x:c>
      <x:c r="G64" s="6" t="str">
        <x:f>IF(Setup!$B$6="primary",IF(AND(INDEX('C_jama.2025.15185'!$D$2:$D$13,MATCH("2025::jama.2025.15185::C010",'C_jama.2025.15185'!$A$2:$A$13,0))="retain",OR(INDEX('C_jama.2025.15185'!$E$2:$E$13,MATCH("2025::jama.2025.15185::C010",'C_jama.2025.15185'!$A$2:$A$13,0))="report_internal_inconsistency",INDEX('C_jama.2025.15185'!$E$2:$E$13,MATCH("2025::jama.2025.15185::C010",'C_jama.2025.15185'!$A$2:$A$13,0))="plan_material")),IF(INDEX('C_jama.2025.15185'!$K$2:$K$13,MATCH("2025::jama.2025.15185::C010",'C_jama.2025.15185'!$A$2:$A$13,0))="","",INDEX('C_jama.2025.15185'!$K$2:$K$13,MATCH("2025::jama.2025.15185::C010",'C_jama.2025.15185'!$A$2:$A$13,0))),"not_applicable"),"NOT FROZEN")</x:f>
        <x:v>not_applicable</x:v>
      </x:c>
      <x:c r="H64" s="6" t="str">
        <x:f>IF(Setup!$B$6="primary",IF(AND(INDEX('C_jama.2025.15185'!$D$2:$D$13,MATCH("2025::jama.2025.15185::C010",'C_jama.2025.15185'!$A$2:$A$13,0))="retain",INDEX('C_jama.2025.15185'!$E$2:$E$13,MATCH("2025::jama.2025.15185::C010",'C_jama.2025.15185'!$A$2:$A$13,0))="protocol_report"),IF(INDEX('C_jama.2025.15185'!$L$2:$L$13,MATCH("2025::jama.2025.15185::C010",'C_jama.2025.15185'!$A$2:$A$13,0))="","",INDEX('C_jama.2025.15185'!$L$2:$L$13,MATCH("2025::jama.2025.15185::C010",'C_jama.2025.15185'!$A$2:$A$13,0))),"not_applicable"),"NOT FROZEN")</x:f>
        <x:v>not_applicable</x:v>
      </x:c>
      <x:c r="I64" s="6" t="str">
        <x:f>IF(Setup!$B$6="primary",IF(INDEX('C_jama.2025.15185'!$R$2:$R$13,MATCH("2025::jama.2025.15185::C010",'C_jama.2025.15185'!$A$2:$A$13,0))="","",INDEX('C_jama.2025.15185'!$R$2:$R$13,MATCH("2025::jama.2025.15185::C010",'C_jama.2025.15185'!$A$2:$A$13,0))),"NOT FROZEN")</x:f>
      </x:c>
      <x:c r="J64" s="6" t="str">
        <x:f>IF(Setup!$B$6="primary",INDEX('C_jama.2025.15185'!$F$2:$F$13,MATCH("2025::jama.2025.15185::C010",'C_jama.2025.15185'!$A$2:$A$13,0)),"NOT FROZEN")</x:f>
        <x:v>no</x:v>
      </x:c>
      <x:c r="K64" s="6" t="str">
        <x:f>IF(Setup!$B$6="primary",Setup!$B$2,"NOT FROZEN")</x:f>
      </x:c>
      <x:c r="L64" s="6" t="str">
        <x:f>IF(Setup!$B$6="primary",IF(OR(B64="",B64="not_applicable"),"","Disposition: "&amp;B64&amp;CHAR(10))&amp;IF(OR(C64="",C64="not_applicable"),"","Review domain: "&amp;C64&amp;CHAR(10))&amp;IF(OR(D64="",D64="not_applicable"),"","Statistcal_or_numerical issue: "&amp;D64&amp;CHAR(10))&amp;IF(OR(E64="",E64="not_applicable"),"","Substantiveness: "&amp;E64&amp;CHAR(10))&amp;IF(OR(F64="",F64="not_applicable"),"","Downstream impact: "&amp;F64&amp;CHAR(10))&amp;IF(OR(G64="",G64="not_applicable"),"","Report-internal or planning-material inconsistency: "&amp;G64&amp;CHAR(10))&amp;IF(OR(H64="",H64="not_applicable"),"","Protocol interpretation: "&amp;H64&amp;CHAR(10))&amp;IF(OR(I64="",I64="not_applicable"),"","Notes (optional): "&amp;I64&amp;CHAR(10)),"NOT FROZEN")</x:f>
        <x:v>Review domain: report_internal_inconsistency
</x:v>
      </x:c>
    </x:row>
    <x:row r="65" ht="70" customHeight="1">
      <x:c r="A65" s="3" t="str">
        <x:f>IF(Setup!$B$6="primary","2025::jama.2025.15185::C011","NOT FROZEN")</x:f>
        <x:v>2025::jama.2025.15185::C011</x:v>
      </x:c>
      <x:c r="B65" s="3" t="str">
        <x:f>IF(Setup!$B$6="primary",IF(INDEX('C_jama.2025.15185'!$D$2:$D$13,MATCH("2025::jama.2025.15185::C011",'C_jama.2025.15185'!$A$2:$A$13,0))="","",INDEX('C_jama.2025.15185'!$D$2:$D$13,MATCH("2025::jama.2025.15185::C011",'C_jama.2025.15185'!$A$2:$A$13,0))),"NOT FROZEN")</x:f>
      </x:c>
      <x:c r="C65" s="3" t="str">
        <x:f>IF(Setup!$B$6="primary",IF(INDEX('C_jama.2025.15185'!$E$2:$E$13,MATCH("2025::jama.2025.15185::C011",'C_jama.2025.15185'!$A$2:$A$13,0))="","",INDEX('C_jama.2025.15185'!$E$2:$E$13,MATCH("2025::jama.2025.15185::C011",'C_jama.2025.15185'!$A$2:$A$13,0))),"NOT FROZEN")</x:f>
        <x:v>report_internal_inconsistency</x:v>
      </x:c>
      <x:c r="D65" s="3" t="str">
        <x:f>IF(Setup!$B$6="primary",IF(AND(INDEX('C_jama.2025.15185'!$D$2:$D$13,MATCH("2025::jama.2025.15185::C011",'C_jama.2025.15185'!$A$2:$A$13,0))="retain",INDEX('C_jama.2025.15185'!$E$2:$E$13,MATCH("2025::jama.2025.15185::C011",'C_jama.2025.15185'!$A$2:$A$13,0))="statistical_results"),IF(INDEX('C_jama.2025.15185'!$H$2:$H$13,MATCH("2025::jama.2025.15185::C011",'C_jama.2025.15185'!$A$2:$A$13,0))="","",INDEX('C_jama.2025.15185'!$H$2:$H$13,MATCH("2025::jama.2025.15185::C011",'C_jama.2025.15185'!$A$2:$A$13,0))),"not_applicable"),"NOT FROZEN")</x:f>
        <x:v>not_applicable</x:v>
      </x:c>
      <x:c r="E65" s="3" t="str">
        <x:f>IF(Setup!$B$6="primary",IF(AND(INDEX('C_jama.2025.15185'!$D$2:$D$13,MATCH("2025::jama.2025.15185::C011",'C_jama.2025.15185'!$A$2:$A$13,0))="retain",INDEX('C_jama.2025.15185'!$E$2:$E$13,MATCH("2025::jama.2025.15185::C011",'C_jama.2025.15185'!$A$2:$A$13,0))="statistical_results"),IF(INDEX('C_jama.2025.15185'!$I$2:$I$13,MATCH("2025::jama.2025.15185::C011",'C_jama.2025.15185'!$A$2:$A$13,0))="","",INDEX('C_jama.2025.15185'!$I$2:$I$13,MATCH("2025::jama.2025.15185::C011",'C_jama.2025.15185'!$A$2:$A$13,0))),"not_applicable"),"NOT FROZEN")</x:f>
        <x:v>not_applicable</x:v>
      </x:c>
      <x:c r="F65" s="3" t="str">
        <x:f>IF(Setup!$B$6="primary",IF(AND(INDEX('C_jama.2025.15185'!$D$2:$D$13,MATCH("2025::jama.2025.15185::C011",'C_jama.2025.15185'!$A$2:$A$13,0))="retain",INDEX('C_jama.2025.15185'!$E$2:$E$13,MATCH("2025::jama.2025.15185::C011",'C_jama.2025.15185'!$A$2:$A$13,0))="statistical_results"),IF(INDEX('C_jama.2025.15185'!$J$2:$J$13,MATCH("2025::jama.2025.15185::C011",'C_jama.2025.15185'!$A$2:$A$13,0))="","",INDEX('C_jama.2025.15185'!$J$2:$J$13,MATCH("2025::jama.2025.15185::C011",'C_jama.2025.15185'!$A$2:$A$13,0))),"not_applicable"),"NOT FROZEN")</x:f>
        <x:v>not_applicable</x:v>
      </x:c>
      <x:c r="G65" s="3" t="str">
        <x:f>IF(Setup!$B$6="primary",IF(AND(INDEX('C_jama.2025.15185'!$D$2:$D$13,MATCH("2025::jama.2025.15185::C011",'C_jama.2025.15185'!$A$2:$A$13,0))="retain",OR(INDEX('C_jama.2025.15185'!$E$2:$E$13,MATCH("2025::jama.2025.15185::C011",'C_jama.2025.15185'!$A$2:$A$13,0))="report_internal_inconsistency",INDEX('C_jama.2025.15185'!$E$2:$E$13,MATCH("2025::jama.2025.15185::C011",'C_jama.2025.15185'!$A$2:$A$13,0))="plan_material")),IF(INDEX('C_jama.2025.15185'!$K$2:$K$13,MATCH("2025::jama.2025.15185::C011",'C_jama.2025.15185'!$A$2:$A$13,0))="","",INDEX('C_jama.2025.15185'!$K$2:$K$13,MATCH("2025::jama.2025.15185::C011",'C_jama.2025.15185'!$A$2:$A$13,0))),"not_applicable"),"NOT FROZEN")</x:f>
        <x:v>not_applicable</x:v>
      </x:c>
      <x:c r="H65" s="3" t="str">
        <x:f>IF(Setup!$B$6="primary",IF(AND(INDEX('C_jama.2025.15185'!$D$2:$D$13,MATCH("2025::jama.2025.15185::C011",'C_jama.2025.15185'!$A$2:$A$13,0))="retain",INDEX('C_jama.2025.15185'!$E$2:$E$13,MATCH("2025::jama.2025.15185::C011",'C_jama.2025.15185'!$A$2:$A$13,0))="protocol_report"),IF(INDEX('C_jama.2025.15185'!$L$2:$L$13,MATCH("2025::jama.2025.15185::C011",'C_jama.2025.15185'!$A$2:$A$13,0))="","",INDEX('C_jama.2025.15185'!$L$2:$L$13,MATCH("2025::jama.2025.15185::C011",'C_jama.2025.15185'!$A$2:$A$13,0))),"not_applicable"),"NOT FROZEN")</x:f>
        <x:v>not_applicable</x:v>
      </x:c>
      <x:c r="I65" s="3" t="str">
        <x:f>IF(Setup!$B$6="primary",IF(INDEX('C_jama.2025.15185'!$R$2:$R$13,MATCH("2025::jama.2025.15185::C011",'C_jama.2025.15185'!$A$2:$A$13,0))="","",INDEX('C_jama.2025.15185'!$R$2:$R$13,MATCH("2025::jama.2025.15185::C011",'C_jama.2025.15185'!$A$2:$A$13,0))),"NOT FROZEN")</x:f>
      </x:c>
      <x:c r="J65" s="3" t="str">
        <x:f>IF(Setup!$B$6="primary",INDEX('C_jama.2025.15185'!$F$2:$F$13,MATCH("2025::jama.2025.15185::C011",'C_jama.2025.15185'!$A$2:$A$13,0)),"NOT FROZEN")</x:f>
        <x:v>no</x:v>
      </x:c>
      <x:c r="K65" s="3" t="str">
        <x:f>IF(Setup!$B$6="primary",Setup!$B$2,"NOT FROZEN")</x:f>
      </x:c>
      <x:c r="L65" s="3" t="str">
        <x:f>IF(Setup!$B$6="primary",IF(OR(B65="",B65="not_applicable"),"","Disposition: "&amp;B65&amp;CHAR(10))&amp;IF(OR(C65="",C65="not_applicable"),"","Review domain: "&amp;C65&amp;CHAR(10))&amp;IF(OR(D65="",D65="not_applicable"),"","Statistcal_or_numerical issue: "&amp;D65&amp;CHAR(10))&amp;IF(OR(E65="",E65="not_applicable"),"","Substantiveness: "&amp;E65&amp;CHAR(10))&amp;IF(OR(F65="",F65="not_applicable"),"","Downstream impact: "&amp;F65&amp;CHAR(10))&amp;IF(OR(G65="",G65="not_applicable"),"","Report-internal or planning-material inconsistency: "&amp;G65&amp;CHAR(10))&amp;IF(OR(H65="",H65="not_applicable"),"","Protocol interpretation: "&amp;H65&amp;CHAR(10))&amp;IF(OR(I65="",I65="not_applicable"),"","Notes (optional): "&amp;I65&amp;CHAR(10)),"NOT FROZEN")</x:f>
        <x:v>Review domain: report_internal_inconsistency
</x:v>
      </x:c>
    </x:row>
    <x:row r="66" ht="70" customHeight="1">
      <x:c r="A66" s="6" t="str">
        <x:f>IF(Setup!$B$6="primary","2025::jama.2025.15185::C012","NOT FROZEN")</x:f>
        <x:v>2025::jama.2025.15185::C012</x:v>
      </x:c>
      <x:c r="B66" s="6" t="str">
        <x:f>IF(Setup!$B$6="primary",IF(INDEX('C_jama.2025.15185'!$D$2:$D$13,MATCH("2025::jama.2025.15185::C012",'C_jama.2025.15185'!$A$2:$A$13,0))="","",INDEX('C_jama.2025.15185'!$D$2:$D$13,MATCH("2025::jama.2025.15185::C012",'C_jama.2025.15185'!$A$2:$A$13,0))),"NOT FROZEN")</x:f>
      </x:c>
      <x:c r="C66" s="6" t="str">
        <x:f>IF(Setup!$B$6="primary",IF(INDEX('C_jama.2025.15185'!$E$2:$E$13,MATCH("2025::jama.2025.15185::C012",'C_jama.2025.15185'!$A$2:$A$13,0))="","",INDEX('C_jama.2025.15185'!$E$2:$E$13,MATCH("2025::jama.2025.15185::C012",'C_jama.2025.15185'!$A$2:$A$13,0))),"NOT FROZEN")</x:f>
        <x:v>report_internal_inconsistency</x:v>
      </x:c>
      <x:c r="D66" s="6" t="str">
        <x:f>IF(Setup!$B$6="primary",IF(AND(INDEX('C_jama.2025.15185'!$D$2:$D$13,MATCH("2025::jama.2025.15185::C012",'C_jama.2025.15185'!$A$2:$A$13,0))="retain",INDEX('C_jama.2025.15185'!$E$2:$E$13,MATCH("2025::jama.2025.15185::C012",'C_jama.2025.15185'!$A$2:$A$13,0))="statistical_results"),IF(INDEX('C_jama.2025.15185'!$H$2:$H$13,MATCH("2025::jama.2025.15185::C012",'C_jama.2025.15185'!$A$2:$A$13,0))="","",INDEX('C_jama.2025.15185'!$H$2:$H$13,MATCH("2025::jama.2025.15185::C012",'C_jama.2025.15185'!$A$2:$A$13,0))),"not_applicable"),"NOT FROZEN")</x:f>
        <x:v>not_applicable</x:v>
      </x:c>
      <x:c r="E66" s="6" t="str">
        <x:f>IF(Setup!$B$6="primary",IF(AND(INDEX('C_jama.2025.15185'!$D$2:$D$13,MATCH("2025::jama.2025.15185::C012",'C_jama.2025.15185'!$A$2:$A$13,0))="retain",INDEX('C_jama.2025.15185'!$E$2:$E$13,MATCH("2025::jama.2025.15185::C012",'C_jama.2025.15185'!$A$2:$A$13,0))="statistical_results"),IF(INDEX('C_jama.2025.15185'!$I$2:$I$13,MATCH("2025::jama.2025.15185::C012",'C_jama.2025.15185'!$A$2:$A$13,0))="","",INDEX('C_jama.2025.15185'!$I$2:$I$13,MATCH("2025::jama.2025.15185::C012",'C_jama.2025.15185'!$A$2:$A$13,0))),"not_applicable"),"NOT FROZEN")</x:f>
        <x:v>not_applicable</x:v>
      </x:c>
      <x:c r="F66" s="6" t="str">
        <x:f>IF(Setup!$B$6="primary",IF(AND(INDEX('C_jama.2025.15185'!$D$2:$D$13,MATCH("2025::jama.2025.15185::C012",'C_jama.2025.15185'!$A$2:$A$13,0))="retain",INDEX('C_jama.2025.15185'!$E$2:$E$13,MATCH("2025::jama.2025.15185::C012",'C_jama.2025.15185'!$A$2:$A$13,0))="statistical_results"),IF(INDEX('C_jama.2025.15185'!$J$2:$J$13,MATCH("2025::jama.2025.15185::C012",'C_jama.2025.15185'!$A$2:$A$13,0))="","",INDEX('C_jama.2025.15185'!$J$2:$J$13,MATCH("2025::jama.2025.15185::C012",'C_jama.2025.15185'!$A$2:$A$13,0))),"not_applicable"),"NOT FROZEN")</x:f>
        <x:v>not_applicable</x:v>
      </x:c>
      <x:c r="G66" s="6" t="str">
        <x:f>IF(Setup!$B$6="primary",IF(AND(INDEX('C_jama.2025.15185'!$D$2:$D$13,MATCH("2025::jama.2025.15185::C012",'C_jama.2025.15185'!$A$2:$A$13,0))="retain",OR(INDEX('C_jama.2025.15185'!$E$2:$E$13,MATCH("2025::jama.2025.15185::C012",'C_jama.2025.15185'!$A$2:$A$13,0))="report_internal_inconsistency",INDEX('C_jama.2025.15185'!$E$2:$E$13,MATCH("2025::jama.2025.15185::C012",'C_jama.2025.15185'!$A$2:$A$13,0))="plan_material")),IF(INDEX('C_jama.2025.15185'!$K$2:$K$13,MATCH("2025::jama.2025.15185::C012",'C_jama.2025.15185'!$A$2:$A$13,0))="","",INDEX('C_jama.2025.15185'!$K$2:$K$13,MATCH("2025::jama.2025.15185::C012",'C_jama.2025.15185'!$A$2:$A$13,0))),"not_applicable"),"NOT FROZEN")</x:f>
        <x:v>not_applicable</x:v>
      </x:c>
      <x:c r="H66" s="6" t="str">
        <x:f>IF(Setup!$B$6="primary",IF(AND(INDEX('C_jama.2025.15185'!$D$2:$D$13,MATCH("2025::jama.2025.15185::C012",'C_jama.2025.15185'!$A$2:$A$13,0))="retain",INDEX('C_jama.2025.15185'!$E$2:$E$13,MATCH("2025::jama.2025.15185::C012",'C_jama.2025.15185'!$A$2:$A$13,0))="protocol_report"),IF(INDEX('C_jama.2025.15185'!$L$2:$L$13,MATCH("2025::jama.2025.15185::C012",'C_jama.2025.15185'!$A$2:$A$13,0))="","",INDEX('C_jama.2025.15185'!$L$2:$L$13,MATCH("2025::jama.2025.15185::C012",'C_jama.2025.15185'!$A$2:$A$13,0))),"not_applicable"),"NOT FROZEN")</x:f>
        <x:v>not_applicable</x:v>
      </x:c>
      <x:c r="I66" s="6" t="str">
        <x:f>IF(Setup!$B$6="primary",IF(INDEX('C_jama.2025.15185'!$R$2:$R$13,MATCH("2025::jama.2025.15185::C012",'C_jama.2025.15185'!$A$2:$A$13,0))="","",INDEX('C_jama.2025.15185'!$R$2:$R$13,MATCH("2025::jama.2025.15185::C012",'C_jama.2025.15185'!$A$2:$A$13,0))),"NOT FROZEN")</x:f>
      </x:c>
      <x:c r="J66" s="6" t="str">
        <x:f>IF(Setup!$B$6="primary",INDEX('C_jama.2025.15185'!$F$2:$F$13,MATCH("2025::jama.2025.15185::C012",'C_jama.2025.15185'!$A$2:$A$13,0)),"NOT FROZEN")</x:f>
        <x:v>no</x:v>
      </x:c>
      <x:c r="K66" s="6" t="str">
        <x:f>IF(Setup!$B$6="primary",Setup!$B$2,"NOT FROZEN")</x:f>
      </x:c>
      <x:c r="L66" s="6" t="str">
        <x:f>IF(Setup!$B$6="primary",IF(OR(B66="",B66="not_applicable"),"","Disposition: "&amp;B66&amp;CHAR(10))&amp;IF(OR(C66="",C66="not_applicable"),"","Review domain: "&amp;C66&amp;CHAR(10))&amp;IF(OR(D66="",D66="not_applicable"),"","Statistcal_or_numerical issue: "&amp;D66&amp;CHAR(10))&amp;IF(OR(E66="",E66="not_applicable"),"","Substantiveness: "&amp;E66&amp;CHAR(10))&amp;IF(OR(F66="",F66="not_applicable"),"","Downstream impact: "&amp;F66&amp;CHAR(10))&amp;IF(OR(G66="",G66="not_applicable"),"","Report-internal or planning-material inconsistency: "&amp;G66&amp;CHAR(10))&amp;IF(OR(H66="",H66="not_applicable"),"","Protocol interpretation: "&amp;H66&amp;CHAR(10))&amp;IF(OR(I66="",I66="not_applicable"),"","Notes (optional): "&amp;I66&amp;CHAR(10)),"NOT FROZEN")</x:f>
        <x:v>Review domain: report_internal_inconsistency
</x:v>
      </x:c>
    </x:row>
    <x:row r="67" ht="70" customHeight="1">
      <x:c r="A67" s="3" t="str">
        <x:f>IF(Setup!$B$6="primary","2025::jama.2025.15440::C001","NOT FROZEN")</x:f>
        <x:v>2025::jama.2025.15440::C001</x:v>
      </x:c>
      <x:c r="B67" s="3" t="str">
        <x:f>IF(Setup!$B$6="primary",IF(INDEX('C_jama.2025.15440'!$D$2:$D$3,MATCH("2025::jama.2025.15440::C001",'C_jama.2025.15440'!$A$2:$A$3,0))="","",INDEX('C_jama.2025.15440'!$D$2:$D$3,MATCH("2025::jama.2025.15440::C001",'C_jama.2025.15440'!$A$2:$A$3,0))),"NOT FROZEN")</x:f>
      </x:c>
      <x:c r="C67" s="3" t="str">
        <x:f>IF(Setup!$B$6="primary",IF(INDEX('C_jama.2025.15440'!$E$2:$E$3,MATCH("2025::jama.2025.15440::C001",'C_jama.2025.15440'!$A$2:$A$3,0))="","",INDEX('C_jama.2025.15440'!$E$2:$E$3,MATCH("2025::jama.2025.15440::C001",'C_jama.2025.15440'!$A$2:$A$3,0))),"NOT FROZEN")</x:f>
        <x:v>report_internal_inconsistency</x:v>
      </x:c>
      <x:c r="D67" s="3" t="str">
        <x:f>IF(Setup!$B$6="primary",IF(AND(INDEX('C_jama.2025.15440'!$D$2:$D$3,MATCH("2025::jama.2025.15440::C001",'C_jama.2025.15440'!$A$2:$A$3,0))="retain",INDEX('C_jama.2025.15440'!$E$2:$E$3,MATCH("2025::jama.2025.15440::C001",'C_jama.2025.15440'!$A$2:$A$3,0))="statistical_results"),IF(INDEX('C_jama.2025.15440'!$H$2:$H$3,MATCH("2025::jama.2025.15440::C001",'C_jama.2025.15440'!$A$2:$A$3,0))="","",INDEX('C_jama.2025.15440'!$H$2:$H$3,MATCH("2025::jama.2025.15440::C001",'C_jama.2025.15440'!$A$2:$A$3,0))),"not_applicable"),"NOT FROZEN")</x:f>
        <x:v>not_applicable</x:v>
      </x:c>
      <x:c r="E67" s="3" t="str">
        <x:f>IF(Setup!$B$6="primary",IF(AND(INDEX('C_jama.2025.15440'!$D$2:$D$3,MATCH("2025::jama.2025.15440::C001",'C_jama.2025.15440'!$A$2:$A$3,0))="retain",INDEX('C_jama.2025.15440'!$E$2:$E$3,MATCH("2025::jama.2025.15440::C001",'C_jama.2025.15440'!$A$2:$A$3,0))="statistical_results"),IF(INDEX('C_jama.2025.15440'!$I$2:$I$3,MATCH("2025::jama.2025.15440::C001",'C_jama.2025.15440'!$A$2:$A$3,0))="","",INDEX('C_jama.2025.15440'!$I$2:$I$3,MATCH("2025::jama.2025.15440::C001",'C_jama.2025.15440'!$A$2:$A$3,0))),"not_applicable"),"NOT FROZEN")</x:f>
        <x:v>not_applicable</x:v>
      </x:c>
      <x:c r="F67" s="3" t="str">
        <x:f>IF(Setup!$B$6="primary",IF(AND(INDEX('C_jama.2025.15440'!$D$2:$D$3,MATCH("2025::jama.2025.15440::C001",'C_jama.2025.15440'!$A$2:$A$3,0))="retain",INDEX('C_jama.2025.15440'!$E$2:$E$3,MATCH("2025::jama.2025.15440::C001",'C_jama.2025.15440'!$A$2:$A$3,0))="statistical_results"),IF(INDEX('C_jama.2025.15440'!$J$2:$J$3,MATCH("2025::jama.2025.15440::C001",'C_jama.2025.15440'!$A$2:$A$3,0))="","",INDEX('C_jama.2025.15440'!$J$2:$J$3,MATCH("2025::jama.2025.15440::C001",'C_jama.2025.15440'!$A$2:$A$3,0))),"not_applicable"),"NOT FROZEN")</x:f>
        <x:v>not_applicable</x:v>
      </x:c>
      <x:c r="G67" s="3" t="str">
        <x:f>IF(Setup!$B$6="primary",IF(AND(INDEX('C_jama.2025.15440'!$D$2:$D$3,MATCH("2025::jama.2025.15440::C001",'C_jama.2025.15440'!$A$2:$A$3,0))="retain",OR(INDEX('C_jama.2025.15440'!$E$2:$E$3,MATCH("2025::jama.2025.15440::C001",'C_jama.2025.15440'!$A$2:$A$3,0))="report_internal_inconsistency",INDEX('C_jama.2025.15440'!$E$2:$E$3,MATCH("2025::jama.2025.15440::C001",'C_jama.2025.15440'!$A$2:$A$3,0))="plan_material")),IF(INDEX('C_jama.2025.15440'!$K$2:$K$3,MATCH("2025::jama.2025.15440::C001",'C_jama.2025.15440'!$A$2:$A$3,0))="","",INDEX('C_jama.2025.15440'!$K$2:$K$3,MATCH("2025::jama.2025.15440::C001",'C_jama.2025.15440'!$A$2:$A$3,0))),"not_applicable"),"NOT FROZEN")</x:f>
        <x:v>not_applicable</x:v>
      </x:c>
      <x:c r="H67" s="3" t="str">
        <x:f>IF(Setup!$B$6="primary",IF(AND(INDEX('C_jama.2025.15440'!$D$2:$D$3,MATCH("2025::jama.2025.15440::C001",'C_jama.2025.15440'!$A$2:$A$3,0))="retain",INDEX('C_jama.2025.15440'!$E$2:$E$3,MATCH("2025::jama.2025.15440::C001",'C_jama.2025.15440'!$A$2:$A$3,0))="protocol_report"),IF(INDEX('C_jama.2025.15440'!$L$2:$L$3,MATCH("2025::jama.2025.15440::C001",'C_jama.2025.15440'!$A$2:$A$3,0))="","",INDEX('C_jama.2025.15440'!$L$2:$L$3,MATCH("2025::jama.2025.15440::C001",'C_jama.2025.15440'!$A$2:$A$3,0))),"not_applicable"),"NOT FROZEN")</x:f>
        <x:v>not_applicable</x:v>
      </x:c>
      <x:c r="I67" s="3" t="str">
        <x:f>IF(Setup!$B$6="primary",IF(INDEX('C_jama.2025.15440'!$R$2:$R$3,MATCH("2025::jama.2025.15440::C001",'C_jama.2025.15440'!$A$2:$A$3,0))="","",INDEX('C_jama.2025.15440'!$R$2:$R$3,MATCH("2025::jama.2025.15440::C001",'C_jama.2025.15440'!$A$2:$A$3,0))),"NOT FROZEN")</x:f>
      </x:c>
      <x:c r="J67" s="3" t="str">
        <x:f>IF(Setup!$B$6="primary",INDEX('C_jama.2025.15440'!$F$2:$F$3,MATCH("2025::jama.2025.15440::C001",'C_jama.2025.15440'!$A$2:$A$3,0)),"NOT FROZEN")</x:f>
        <x:v>no</x:v>
      </x:c>
      <x:c r="K67" s="3" t="str">
        <x:f>IF(Setup!$B$6="primary",Setup!$B$2,"NOT FROZEN")</x:f>
      </x:c>
      <x:c r="L67" s="3" t="str">
        <x:f>IF(Setup!$B$6="primary",IF(OR(B67="",B67="not_applicable"),"","Disposition: "&amp;B67&amp;CHAR(10))&amp;IF(OR(C67="",C67="not_applicable"),"","Review domain: "&amp;C67&amp;CHAR(10))&amp;IF(OR(D67="",D67="not_applicable"),"","Statistcal_or_numerical issue: "&amp;D67&amp;CHAR(10))&amp;IF(OR(E67="",E67="not_applicable"),"","Substantiveness: "&amp;E67&amp;CHAR(10))&amp;IF(OR(F67="",F67="not_applicable"),"","Downstream impact: "&amp;F67&amp;CHAR(10))&amp;IF(OR(G67="",G67="not_applicable"),"","Report-internal or planning-material inconsistency: "&amp;G67&amp;CHAR(10))&amp;IF(OR(H67="",H67="not_applicable"),"","Protocol interpretation: "&amp;H67&amp;CHAR(10))&amp;IF(OR(I67="",I67="not_applicable"),"","Notes (optional): "&amp;I67&amp;CHAR(10)),"NOT FROZEN")</x:f>
        <x:v>Review domain: report_internal_inconsistency
</x:v>
      </x:c>
    </x:row>
    <x:row r="68" ht="70" customHeight="1">
      <x:c r="A68" s="6" t="str">
        <x:f>IF(Setup!$B$6="primary","2025::jama.2025.15440::C002","NOT FROZEN")</x:f>
        <x:v>2025::jama.2025.15440::C002</x:v>
      </x:c>
      <x:c r="B68" s="6" t="str">
        <x:f>IF(Setup!$B$6="primary",IF(INDEX('C_jama.2025.15440'!$D$2:$D$3,MATCH("2025::jama.2025.15440::C002",'C_jama.2025.15440'!$A$2:$A$3,0))="","",INDEX('C_jama.2025.15440'!$D$2:$D$3,MATCH("2025::jama.2025.15440::C002",'C_jama.2025.15440'!$A$2:$A$3,0))),"NOT FROZEN")</x:f>
      </x:c>
      <x:c r="C68" s="6" t="str">
        <x:f>IF(Setup!$B$6="primary",IF(INDEX('C_jama.2025.15440'!$E$2:$E$3,MATCH("2025::jama.2025.15440::C002",'C_jama.2025.15440'!$A$2:$A$3,0))="","",INDEX('C_jama.2025.15440'!$E$2:$E$3,MATCH("2025::jama.2025.15440::C002",'C_jama.2025.15440'!$A$2:$A$3,0))),"NOT FROZEN")</x:f>
        <x:v>statistical_results</x:v>
      </x:c>
      <x:c r="D68" s="6" t="str">
        <x:f>IF(Setup!$B$6="primary",IF(AND(INDEX('C_jama.2025.15440'!$D$2:$D$3,MATCH("2025::jama.2025.15440::C002",'C_jama.2025.15440'!$A$2:$A$3,0))="retain",INDEX('C_jama.2025.15440'!$E$2:$E$3,MATCH("2025::jama.2025.15440::C002",'C_jama.2025.15440'!$A$2:$A$3,0))="statistical_results"),IF(INDEX('C_jama.2025.15440'!$H$2:$H$3,MATCH("2025::jama.2025.15440::C002",'C_jama.2025.15440'!$A$2:$A$3,0))="","",INDEX('C_jama.2025.15440'!$H$2:$H$3,MATCH("2025::jama.2025.15440::C002",'C_jama.2025.15440'!$A$2:$A$3,0))),"not_applicable"),"NOT FROZEN")</x:f>
        <x:v>not_applicable</x:v>
      </x:c>
      <x:c r="E68" s="6" t="str">
        <x:f>IF(Setup!$B$6="primary",IF(AND(INDEX('C_jama.2025.15440'!$D$2:$D$3,MATCH("2025::jama.2025.15440::C002",'C_jama.2025.15440'!$A$2:$A$3,0))="retain",INDEX('C_jama.2025.15440'!$E$2:$E$3,MATCH("2025::jama.2025.15440::C002",'C_jama.2025.15440'!$A$2:$A$3,0))="statistical_results"),IF(INDEX('C_jama.2025.15440'!$I$2:$I$3,MATCH("2025::jama.2025.15440::C002",'C_jama.2025.15440'!$A$2:$A$3,0))="","",INDEX('C_jama.2025.15440'!$I$2:$I$3,MATCH("2025::jama.2025.15440::C002",'C_jama.2025.15440'!$A$2:$A$3,0))),"not_applicable"),"NOT FROZEN")</x:f>
        <x:v>not_applicable</x:v>
      </x:c>
      <x:c r="F68" s="6" t="str">
        <x:f>IF(Setup!$B$6="primary",IF(AND(INDEX('C_jama.2025.15440'!$D$2:$D$3,MATCH("2025::jama.2025.15440::C002",'C_jama.2025.15440'!$A$2:$A$3,0))="retain",INDEX('C_jama.2025.15440'!$E$2:$E$3,MATCH("2025::jama.2025.15440::C002",'C_jama.2025.15440'!$A$2:$A$3,0))="statistical_results"),IF(INDEX('C_jama.2025.15440'!$J$2:$J$3,MATCH("2025::jama.2025.15440::C002",'C_jama.2025.15440'!$A$2:$A$3,0))="","",INDEX('C_jama.2025.15440'!$J$2:$J$3,MATCH("2025::jama.2025.15440::C002",'C_jama.2025.15440'!$A$2:$A$3,0))),"not_applicable"),"NOT FROZEN")</x:f>
        <x:v>not_applicable</x:v>
      </x:c>
      <x:c r="G68" s="6" t="str">
        <x:f>IF(Setup!$B$6="primary",IF(AND(INDEX('C_jama.2025.15440'!$D$2:$D$3,MATCH("2025::jama.2025.15440::C002",'C_jama.2025.15440'!$A$2:$A$3,0))="retain",OR(INDEX('C_jama.2025.15440'!$E$2:$E$3,MATCH("2025::jama.2025.15440::C002",'C_jama.2025.15440'!$A$2:$A$3,0))="report_internal_inconsistency",INDEX('C_jama.2025.15440'!$E$2:$E$3,MATCH("2025::jama.2025.15440::C002",'C_jama.2025.15440'!$A$2:$A$3,0))="plan_material")),IF(INDEX('C_jama.2025.15440'!$K$2:$K$3,MATCH("2025::jama.2025.15440::C002",'C_jama.2025.15440'!$A$2:$A$3,0))="","",INDEX('C_jama.2025.15440'!$K$2:$K$3,MATCH("2025::jama.2025.15440::C002",'C_jama.2025.15440'!$A$2:$A$3,0))),"not_applicable"),"NOT FROZEN")</x:f>
        <x:v>not_applicable</x:v>
      </x:c>
      <x:c r="H68" s="6" t="str">
        <x:f>IF(Setup!$B$6="primary",IF(AND(INDEX('C_jama.2025.15440'!$D$2:$D$3,MATCH("2025::jama.2025.15440::C002",'C_jama.2025.15440'!$A$2:$A$3,0))="retain",INDEX('C_jama.2025.15440'!$E$2:$E$3,MATCH("2025::jama.2025.15440::C002",'C_jama.2025.15440'!$A$2:$A$3,0))="protocol_report"),IF(INDEX('C_jama.2025.15440'!$L$2:$L$3,MATCH("2025::jama.2025.15440::C002",'C_jama.2025.15440'!$A$2:$A$3,0))="","",INDEX('C_jama.2025.15440'!$L$2:$L$3,MATCH("2025::jama.2025.15440::C002",'C_jama.2025.15440'!$A$2:$A$3,0))),"not_applicable"),"NOT FROZEN")</x:f>
        <x:v>not_applicable</x:v>
      </x:c>
      <x:c r="I68" s="6" t="str">
        <x:f>IF(Setup!$B$6="primary",IF(INDEX('C_jama.2025.15440'!$R$2:$R$3,MATCH("2025::jama.2025.15440::C002",'C_jama.2025.15440'!$A$2:$A$3,0))="","",INDEX('C_jama.2025.15440'!$R$2:$R$3,MATCH("2025::jama.2025.15440::C002",'C_jama.2025.15440'!$A$2:$A$3,0))),"NOT FROZEN")</x:f>
      </x:c>
      <x:c r="J68" s="6" t="str">
        <x:f>IF(Setup!$B$6="primary",INDEX('C_jama.2025.15440'!$F$2:$F$3,MATCH("2025::jama.2025.15440::C002",'C_jama.2025.15440'!$A$2:$A$3,0)),"NOT FROZEN")</x:f>
        <x:v>no</x:v>
      </x:c>
      <x:c r="K68" s="6" t="str">
        <x:f>IF(Setup!$B$6="primary",Setup!$B$2,"NOT FROZEN")</x:f>
      </x:c>
      <x:c r="L68" s="6" t="str">
        <x:f>IF(Setup!$B$6="primary",IF(OR(B68="",B68="not_applicable"),"","Disposition: "&amp;B68&amp;CHAR(10))&amp;IF(OR(C68="",C68="not_applicable"),"","Review domain: "&amp;C68&amp;CHAR(10))&amp;IF(OR(D68="",D68="not_applicable"),"","Statistcal_or_numerical issue: "&amp;D68&amp;CHAR(10))&amp;IF(OR(E68="",E68="not_applicable"),"","Substantiveness: "&amp;E68&amp;CHAR(10))&amp;IF(OR(F68="",F68="not_applicable"),"","Downstream impact: "&amp;F68&amp;CHAR(10))&amp;IF(OR(G68="",G68="not_applicable"),"","Report-internal or planning-material inconsistency: "&amp;G68&amp;CHAR(10))&amp;IF(OR(H68="",H68="not_applicable"),"","Protocol interpretation: "&amp;H68&amp;CHAR(10))&amp;IF(OR(I68="",I68="not_applicable"),"","Notes (optional): "&amp;I68&amp;CHAR(10)),"NOT FROZEN")</x:f>
        <x:v>Review domain: statistical_results
</x:v>
      </x:c>
    </x:row>
    <x:row r="69" ht="70" customHeight="1">
      <x:c r="A69" s="3" t="str">
        <x:f>IF(Setup!$B$6="primary","2025::jama.2025.16450::C001","NOT FROZEN")</x:f>
        <x:v>2025::jama.2025.16450::C001</x:v>
      </x:c>
      <x:c r="B69" s="3" t="str">
        <x:f>IF(Setup!$B$6="primary",IF(INDEX('C_jama.2025.16450'!$D$2:$D$11,MATCH("2025::jama.2025.16450::C001",'C_jama.2025.16450'!$A$2:$A$11,0))="","",INDEX('C_jama.2025.16450'!$D$2:$D$11,MATCH("2025::jama.2025.16450::C001",'C_jama.2025.16450'!$A$2:$A$11,0))),"NOT FROZEN")</x:f>
      </x:c>
      <x:c r="C69" s="3" t="str">
        <x:f>IF(Setup!$B$6="primary",IF(INDEX('C_jama.2025.16450'!$E$2:$E$11,MATCH("2025::jama.2025.16450::C001",'C_jama.2025.16450'!$A$2:$A$11,0))="","",INDEX('C_jama.2025.16450'!$E$2:$E$11,MATCH("2025::jama.2025.16450::C001",'C_jama.2025.16450'!$A$2:$A$11,0))),"NOT FROZEN")</x:f>
        <x:v>report_internal_inconsistency</x:v>
      </x:c>
      <x:c r="D69" s="3" t="str">
        <x:f>IF(Setup!$B$6="primary",IF(AND(INDEX('C_jama.2025.16450'!$D$2:$D$11,MATCH("2025::jama.2025.16450::C001",'C_jama.2025.16450'!$A$2:$A$11,0))="retain",INDEX('C_jama.2025.16450'!$E$2:$E$11,MATCH("2025::jama.2025.16450::C001",'C_jama.2025.16450'!$A$2:$A$11,0))="statistical_results"),IF(INDEX('C_jama.2025.16450'!$H$2:$H$11,MATCH("2025::jama.2025.16450::C001",'C_jama.2025.16450'!$A$2:$A$11,0))="","",INDEX('C_jama.2025.16450'!$H$2:$H$11,MATCH("2025::jama.2025.16450::C001",'C_jama.2025.16450'!$A$2:$A$11,0))),"not_applicable"),"NOT FROZEN")</x:f>
        <x:v>not_applicable</x:v>
      </x:c>
      <x:c r="E69" s="3" t="str">
        <x:f>IF(Setup!$B$6="primary",IF(AND(INDEX('C_jama.2025.16450'!$D$2:$D$11,MATCH("2025::jama.2025.16450::C001",'C_jama.2025.16450'!$A$2:$A$11,0))="retain",INDEX('C_jama.2025.16450'!$E$2:$E$11,MATCH("2025::jama.2025.16450::C001",'C_jama.2025.16450'!$A$2:$A$11,0))="statistical_results"),IF(INDEX('C_jama.2025.16450'!$I$2:$I$11,MATCH("2025::jama.2025.16450::C001",'C_jama.2025.16450'!$A$2:$A$11,0))="","",INDEX('C_jama.2025.16450'!$I$2:$I$11,MATCH("2025::jama.2025.16450::C001",'C_jama.2025.16450'!$A$2:$A$11,0))),"not_applicable"),"NOT FROZEN")</x:f>
        <x:v>not_applicable</x:v>
      </x:c>
      <x:c r="F69" s="3" t="str">
        <x:f>IF(Setup!$B$6="primary",IF(AND(INDEX('C_jama.2025.16450'!$D$2:$D$11,MATCH("2025::jama.2025.16450::C001",'C_jama.2025.16450'!$A$2:$A$11,0))="retain",INDEX('C_jama.2025.16450'!$E$2:$E$11,MATCH("2025::jama.2025.16450::C001",'C_jama.2025.16450'!$A$2:$A$11,0))="statistical_results"),IF(INDEX('C_jama.2025.16450'!$J$2:$J$11,MATCH("2025::jama.2025.16450::C001",'C_jama.2025.16450'!$A$2:$A$11,0))="","",INDEX('C_jama.2025.16450'!$J$2:$J$11,MATCH("2025::jama.2025.16450::C001",'C_jama.2025.16450'!$A$2:$A$11,0))),"not_applicable"),"NOT FROZEN")</x:f>
        <x:v>not_applicable</x:v>
      </x:c>
      <x:c r="G69" s="3" t="str">
        <x:f>IF(Setup!$B$6="primary",IF(AND(INDEX('C_jama.2025.16450'!$D$2:$D$11,MATCH("2025::jama.2025.16450::C001",'C_jama.2025.16450'!$A$2:$A$11,0))="retain",OR(INDEX('C_jama.2025.16450'!$E$2:$E$11,MATCH("2025::jama.2025.16450::C001",'C_jama.2025.16450'!$A$2:$A$11,0))="report_internal_inconsistency",INDEX('C_jama.2025.16450'!$E$2:$E$11,MATCH("2025::jama.2025.16450::C001",'C_jama.2025.16450'!$A$2:$A$11,0))="plan_material")),IF(INDEX('C_jama.2025.16450'!$K$2:$K$11,MATCH("2025::jama.2025.16450::C001",'C_jama.2025.16450'!$A$2:$A$11,0))="","",INDEX('C_jama.2025.16450'!$K$2:$K$11,MATCH("2025::jama.2025.16450::C001",'C_jama.2025.16450'!$A$2:$A$11,0))),"not_applicable"),"NOT FROZEN")</x:f>
        <x:v>not_applicable</x:v>
      </x:c>
      <x:c r="H69" s="3" t="str">
        <x:f>IF(Setup!$B$6="primary",IF(AND(INDEX('C_jama.2025.16450'!$D$2:$D$11,MATCH("2025::jama.2025.16450::C001",'C_jama.2025.16450'!$A$2:$A$11,0))="retain",INDEX('C_jama.2025.16450'!$E$2:$E$11,MATCH("2025::jama.2025.16450::C001",'C_jama.2025.16450'!$A$2:$A$11,0))="protocol_report"),IF(INDEX('C_jama.2025.16450'!$L$2:$L$11,MATCH("2025::jama.2025.16450::C001",'C_jama.2025.16450'!$A$2:$A$11,0))="","",INDEX('C_jama.2025.16450'!$L$2:$L$11,MATCH("2025::jama.2025.16450::C001",'C_jama.2025.16450'!$A$2:$A$11,0))),"not_applicable"),"NOT FROZEN")</x:f>
        <x:v>not_applicable</x:v>
      </x:c>
      <x:c r="I69" s="3" t="str">
        <x:f>IF(Setup!$B$6="primary",IF(INDEX('C_jama.2025.16450'!$R$2:$R$11,MATCH("2025::jama.2025.16450::C001",'C_jama.2025.16450'!$A$2:$A$11,0))="","",INDEX('C_jama.2025.16450'!$R$2:$R$11,MATCH("2025::jama.2025.16450::C001",'C_jama.2025.16450'!$A$2:$A$11,0))),"NOT FROZEN")</x:f>
      </x:c>
      <x:c r="J69" s="3" t="str">
        <x:f>IF(Setup!$B$6="primary",INDEX('C_jama.2025.16450'!$F$2:$F$11,MATCH("2025::jama.2025.16450::C001",'C_jama.2025.16450'!$A$2:$A$11,0)),"NOT FROZEN")</x:f>
        <x:v>no</x:v>
      </x:c>
      <x:c r="K69" s="3" t="str">
        <x:f>IF(Setup!$B$6="primary",Setup!$B$2,"NOT FROZEN")</x:f>
      </x:c>
      <x:c r="L69" s="3" t="str">
        <x:f>IF(Setup!$B$6="primary",IF(OR(B69="",B69="not_applicable"),"","Disposition: "&amp;B69&amp;CHAR(10))&amp;IF(OR(C69="",C69="not_applicable"),"","Review domain: "&amp;C69&amp;CHAR(10))&amp;IF(OR(D69="",D69="not_applicable"),"","Statistcal_or_numerical issue: "&amp;D69&amp;CHAR(10))&amp;IF(OR(E69="",E69="not_applicable"),"","Substantiveness: "&amp;E69&amp;CHAR(10))&amp;IF(OR(F69="",F69="not_applicable"),"","Downstream impact: "&amp;F69&amp;CHAR(10))&amp;IF(OR(G69="",G69="not_applicable"),"","Report-internal or planning-material inconsistency: "&amp;G69&amp;CHAR(10))&amp;IF(OR(H69="",H69="not_applicable"),"","Protocol interpretation: "&amp;H69&amp;CHAR(10))&amp;IF(OR(I69="",I69="not_applicable"),"","Notes (optional): "&amp;I69&amp;CHAR(10)),"NOT FROZEN")</x:f>
        <x:v>Review domain: report_internal_inconsistency
</x:v>
      </x:c>
    </x:row>
    <x:row r="70" ht="70" customHeight="1">
      <x:c r="A70" s="6" t="str">
        <x:f>IF(Setup!$B$6="primary","2025::jama.2025.16450::C002","NOT FROZEN")</x:f>
        <x:v>2025::jama.2025.16450::C002</x:v>
      </x:c>
      <x:c r="B70" s="6" t="str">
        <x:f>IF(Setup!$B$6="primary",IF(INDEX('C_jama.2025.16450'!$D$2:$D$11,MATCH("2025::jama.2025.16450::C002",'C_jama.2025.16450'!$A$2:$A$11,0))="","",INDEX('C_jama.2025.16450'!$D$2:$D$11,MATCH("2025::jama.2025.16450::C002",'C_jama.2025.16450'!$A$2:$A$11,0))),"NOT FROZEN")</x:f>
      </x:c>
      <x:c r="C70" s="6" t="str">
        <x:f>IF(Setup!$B$6="primary",IF(INDEX('C_jama.2025.16450'!$E$2:$E$11,MATCH("2025::jama.2025.16450::C002",'C_jama.2025.16450'!$A$2:$A$11,0))="","",INDEX('C_jama.2025.16450'!$E$2:$E$11,MATCH("2025::jama.2025.16450::C002",'C_jama.2025.16450'!$A$2:$A$11,0))),"NOT FROZEN")</x:f>
        <x:v>protocol_report</x:v>
      </x:c>
      <x:c r="D70" s="6" t="str">
        <x:f>IF(Setup!$B$6="primary",IF(AND(INDEX('C_jama.2025.16450'!$D$2:$D$11,MATCH("2025::jama.2025.16450::C002",'C_jama.2025.16450'!$A$2:$A$11,0))="retain",INDEX('C_jama.2025.16450'!$E$2:$E$11,MATCH("2025::jama.2025.16450::C002",'C_jama.2025.16450'!$A$2:$A$11,0))="statistical_results"),IF(INDEX('C_jama.2025.16450'!$H$2:$H$11,MATCH("2025::jama.2025.16450::C002",'C_jama.2025.16450'!$A$2:$A$11,0))="","",INDEX('C_jama.2025.16450'!$H$2:$H$11,MATCH("2025::jama.2025.16450::C002",'C_jama.2025.16450'!$A$2:$A$11,0))),"not_applicable"),"NOT FROZEN")</x:f>
        <x:v>not_applicable</x:v>
      </x:c>
      <x:c r="E70" s="6" t="str">
        <x:f>IF(Setup!$B$6="primary",IF(AND(INDEX('C_jama.2025.16450'!$D$2:$D$11,MATCH("2025::jama.2025.16450::C002",'C_jama.2025.16450'!$A$2:$A$11,0))="retain",INDEX('C_jama.2025.16450'!$E$2:$E$11,MATCH("2025::jama.2025.16450::C002",'C_jama.2025.16450'!$A$2:$A$11,0))="statistical_results"),IF(INDEX('C_jama.2025.16450'!$I$2:$I$11,MATCH("2025::jama.2025.16450::C002",'C_jama.2025.16450'!$A$2:$A$11,0))="","",INDEX('C_jama.2025.16450'!$I$2:$I$11,MATCH("2025::jama.2025.16450::C002",'C_jama.2025.16450'!$A$2:$A$11,0))),"not_applicable"),"NOT FROZEN")</x:f>
        <x:v>not_applicable</x:v>
      </x:c>
      <x:c r="F70" s="6" t="str">
        <x:f>IF(Setup!$B$6="primary",IF(AND(INDEX('C_jama.2025.16450'!$D$2:$D$11,MATCH("2025::jama.2025.16450::C002",'C_jama.2025.16450'!$A$2:$A$11,0))="retain",INDEX('C_jama.2025.16450'!$E$2:$E$11,MATCH("2025::jama.2025.16450::C002",'C_jama.2025.16450'!$A$2:$A$11,0))="statistical_results"),IF(INDEX('C_jama.2025.16450'!$J$2:$J$11,MATCH("2025::jama.2025.16450::C002",'C_jama.2025.16450'!$A$2:$A$11,0))="","",INDEX('C_jama.2025.16450'!$J$2:$J$11,MATCH("2025::jama.2025.16450::C002",'C_jama.2025.16450'!$A$2:$A$11,0))),"not_applicable"),"NOT FROZEN")</x:f>
        <x:v>not_applicable</x:v>
      </x:c>
      <x:c r="G70" s="6" t="str">
        <x:f>IF(Setup!$B$6="primary",IF(AND(INDEX('C_jama.2025.16450'!$D$2:$D$11,MATCH("2025::jama.2025.16450::C002",'C_jama.2025.16450'!$A$2:$A$11,0))="retain",OR(INDEX('C_jama.2025.16450'!$E$2:$E$11,MATCH("2025::jama.2025.16450::C002",'C_jama.2025.16450'!$A$2:$A$11,0))="report_internal_inconsistency",INDEX('C_jama.2025.16450'!$E$2:$E$11,MATCH("2025::jama.2025.16450::C002",'C_jama.2025.16450'!$A$2:$A$11,0))="plan_material")),IF(INDEX('C_jama.2025.16450'!$K$2:$K$11,MATCH("2025::jama.2025.16450::C002",'C_jama.2025.16450'!$A$2:$A$11,0))="","",INDEX('C_jama.2025.16450'!$K$2:$K$11,MATCH("2025::jama.2025.16450::C002",'C_jama.2025.16450'!$A$2:$A$11,0))),"not_applicable"),"NOT FROZEN")</x:f>
        <x:v>not_applicable</x:v>
      </x:c>
      <x:c r="H70" s="6" t="str">
        <x:f>IF(Setup!$B$6="primary",IF(AND(INDEX('C_jama.2025.16450'!$D$2:$D$11,MATCH("2025::jama.2025.16450::C002",'C_jama.2025.16450'!$A$2:$A$11,0))="retain",INDEX('C_jama.2025.16450'!$E$2:$E$11,MATCH("2025::jama.2025.16450::C002",'C_jama.2025.16450'!$A$2:$A$11,0))="protocol_report"),IF(INDEX('C_jama.2025.16450'!$L$2:$L$11,MATCH("2025::jama.2025.16450::C002",'C_jama.2025.16450'!$A$2:$A$11,0))="","",INDEX('C_jama.2025.16450'!$L$2:$L$11,MATCH("2025::jama.2025.16450::C002",'C_jama.2025.16450'!$A$2:$A$11,0))),"not_applicable"),"NOT FROZEN")</x:f>
        <x:v>not_applicable</x:v>
      </x:c>
      <x:c r="I70" s="6" t="str">
        <x:f>IF(Setup!$B$6="primary",IF(INDEX('C_jama.2025.16450'!$R$2:$R$11,MATCH("2025::jama.2025.16450::C002",'C_jama.2025.16450'!$A$2:$A$11,0))="","",INDEX('C_jama.2025.16450'!$R$2:$R$11,MATCH("2025::jama.2025.16450::C002",'C_jama.2025.16450'!$A$2:$A$11,0))),"NOT FROZEN")</x:f>
      </x:c>
      <x:c r="J70" s="6" t="str">
        <x:f>IF(Setup!$B$6="primary",INDEX('C_jama.2025.16450'!$F$2:$F$11,MATCH("2025::jama.2025.16450::C002",'C_jama.2025.16450'!$A$2:$A$11,0)),"NOT FROZEN")</x:f>
        <x:v>no</x:v>
      </x:c>
      <x:c r="K70" s="6" t="str">
        <x:f>IF(Setup!$B$6="primary",Setup!$B$2,"NOT FROZEN")</x:f>
      </x:c>
      <x:c r="L70" s="6" t="str">
        <x:f>IF(Setup!$B$6="primary",IF(OR(B70="",B70="not_applicable"),"","Disposition: "&amp;B70&amp;CHAR(10))&amp;IF(OR(C70="",C70="not_applicable"),"","Review domain: "&amp;C70&amp;CHAR(10))&amp;IF(OR(D70="",D70="not_applicable"),"","Statistcal_or_numerical issue: "&amp;D70&amp;CHAR(10))&amp;IF(OR(E70="",E70="not_applicable"),"","Substantiveness: "&amp;E70&amp;CHAR(10))&amp;IF(OR(F70="",F70="not_applicable"),"","Downstream impact: "&amp;F70&amp;CHAR(10))&amp;IF(OR(G70="",G70="not_applicable"),"","Report-internal or planning-material inconsistency: "&amp;G70&amp;CHAR(10))&amp;IF(OR(H70="",H70="not_applicable"),"","Protocol interpretation: "&amp;H70&amp;CHAR(10))&amp;IF(OR(I70="",I70="not_applicable"),"","Notes (optional): "&amp;I70&amp;CHAR(10)),"NOT FROZEN")</x:f>
        <x:v>Review domain: protocol_report
</x:v>
      </x:c>
    </x:row>
    <x:row r="71" ht="70" customHeight="1">
      <x:c r="A71" s="3" t="str">
        <x:f>IF(Setup!$B$6="primary","2025::jama.2025.16450::C003","NOT FROZEN")</x:f>
        <x:v>2025::jama.2025.16450::C003</x:v>
      </x:c>
      <x:c r="B71" s="3" t="str">
        <x:f>IF(Setup!$B$6="primary",IF(INDEX('C_jama.2025.16450'!$D$2:$D$11,MATCH("2025::jama.2025.16450::C003",'C_jama.2025.16450'!$A$2:$A$11,0))="","",INDEX('C_jama.2025.16450'!$D$2:$D$11,MATCH("2025::jama.2025.16450::C003",'C_jama.2025.16450'!$A$2:$A$11,0))),"NOT FROZEN")</x:f>
      </x:c>
      <x:c r="C71" s="3" t="str">
        <x:f>IF(Setup!$B$6="primary",IF(INDEX('C_jama.2025.16450'!$E$2:$E$11,MATCH("2025::jama.2025.16450::C003",'C_jama.2025.16450'!$A$2:$A$11,0))="","",INDEX('C_jama.2025.16450'!$E$2:$E$11,MATCH("2025::jama.2025.16450::C003",'C_jama.2025.16450'!$A$2:$A$11,0))),"NOT FROZEN")</x:f>
        <x:v>protocol_report</x:v>
      </x:c>
      <x:c r="D71" s="3" t="str">
        <x:f>IF(Setup!$B$6="primary",IF(AND(INDEX('C_jama.2025.16450'!$D$2:$D$11,MATCH("2025::jama.2025.16450::C003",'C_jama.2025.16450'!$A$2:$A$11,0))="retain",INDEX('C_jama.2025.16450'!$E$2:$E$11,MATCH("2025::jama.2025.16450::C003",'C_jama.2025.16450'!$A$2:$A$11,0))="statistical_results"),IF(INDEX('C_jama.2025.16450'!$H$2:$H$11,MATCH("2025::jama.2025.16450::C003",'C_jama.2025.16450'!$A$2:$A$11,0))="","",INDEX('C_jama.2025.16450'!$H$2:$H$11,MATCH("2025::jama.2025.16450::C003",'C_jama.2025.16450'!$A$2:$A$11,0))),"not_applicable"),"NOT FROZEN")</x:f>
        <x:v>not_applicable</x:v>
      </x:c>
      <x:c r="E71" s="3" t="str">
        <x:f>IF(Setup!$B$6="primary",IF(AND(INDEX('C_jama.2025.16450'!$D$2:$D$11,MATCH("2025::jama.2025.16450::C003",'C_jama.2025.16450'!$A$2:$A$11,0))="retain",INDEX('C_jama.2025.16450'!$E$2:$E$11,MATCH("2025::jama.2025.16450::C003",'C_jama.2025.16450'!$A$2:$A$11,0))="statistical_results"),IF(INDEX('C_jama.2025.16450'!$I$2:$I$11,MATCH("2025::jama.2025.16450::C003",'C_jama.2025.16450'!$A$2:$A$11,0))="","",INDEX('C_jama.2025.16450'!$I$2:$I$11,MATCH("2025::jama.2025.16450::C003",'C_jama.2025.16450'!$A$2:$A$11,0))),"not_applicable"),"NOT FROZEN")</x:f>
        <x:v>not_applicable</x:v>
      </x:c>
      <x:c r="F71" s="3" t="str">
        <x:f>IF(Setup!$B$6="primary",IF(AND(INDEX('C_jama.2025.16450'!$D$2:$D$11,MATCH("2025::jama.2025.16450::C003",'C_jama.2025.16450'!$A$2:$A$11,0))="retain",INDEX('C_jama.2025.16450'!$E$2:$E$11,MATCH("2025::jama.2025.16450::C003",'C_jama.2025.16450'!$A$2:$A$11,0))="statistical_results"),IF(INDEX('C_jama.2025.16450'!$J$2:$J$11,MATCH("2025::jama.2025.16450::C003",'C_jama.2025.16450'!$A$2:$A$11,0))="","",INDEX('C_jama.2025.16450'!$J$2:$J$11,MATCH("2025::jama.2025.16450::C003",'C_jama.2025.16450'!$A$2:$A$11,0))),"not_applicable"),"NOT FROZEN")</x:f>
        <x:v>not_applicable</x:v>
      </x:c>
      <x:c r="G71" s="3" t="str">
        <x:f>IF(Setup!$B$6="primary",IF(AND(INDEX('C_jama.2025.16450'!$D$2:$D$11,MATCH("2025::jama.2025.16450::C003",'C_jama.2025.16450'!$A$2:$A$11,0))="retain",OR(INDEX('C_jama.2025.16450'!$E$2:$E$11,MATCH("2025::jama.2025.16450::C003",'C_jama.2025.16450'!$A$2:$A$11,0))="report_internal_inconsistency",INDEX('C_jama.2025.16450'!$E$2:$E$11,MATCH("2025::jama.2025.16450::C003",'C_jama.2025.16450'!$A$2:$A$11,0))="plan_material")),IF(INDEX('C_jama.2025.16450'!$K$2:$K$11,MATCH("2025::jama.2025.16450::C003",'C_jama.2025.16450'!$A$2:$A$11,0))="","",INDEX('C_jama.2025.16450'!$K$2:$K$11,MATCH("2025::jama.2025.16450::C003",'C_jama.2025.16450'!$A$2:$A$11,0))),"not_applicable"),"NOT FROZEN")</x:f>
        <x:v>not_applicable</x:v>
      </x:c>
      <x:c r="H71" s="3" t="str">
        <x:f>IF(Setup!$B$6="primary",IF(AND(INDEX('C_jama.2025.16450'!$D$2:$D$11,MATCH("2025::jama.2025.16450::C003",'C_jama.2025.16450'!$A$2:$A$11,0))="retain",INDEX('C_jama.2025.16450'!$E$2:$E$11,MATCH("2025::jama.2025.16450::C003",'C_jama.2025.16450'!$A$2:$A$11,0))="protocol_report"),IF(INDEX('C_jama.2025.16450'!$L$2:$L$11,MATCH("2025::jama.2025.16450::C003",'C_jama.2025.16450'!$A$2:$A$11,0))="","",INDEX('C_jama.2025.16450'!$L$2:$L$11,MATCH("2025::jama.2025.16450::C003",'C_jama.2025.16450'!$A$2:$A$11,0))),"not_applicable"),"NOT FROZEN")</x:f>
        <x:v>not_applicable</x:v>
      </x:c>
      <x:c r="I71" s="3" t="str">
        <x:f>IF(Setup!$B$6="primary",IF(INDEX('C_jama.2025.16450'!$R$2:$R$11,MATCH("2025::jama.2025.16450::C003",'C_jama.2025.16450'!$A$2:$A$11,0))="","",INDEX('C_jama.2025.16450'!$R$2:$R$11,MATCH("2025::jama.2025.16450::C003",'C_jama.2025.16450'!$A$2:$A$11,0))),"NOT FROZEN")</x:f>
      </x:c>
      <x:c r="J71" s="3" t="str">
        <x:f>IF(Setup!$B$6="primary",INDEX('C_jama.2025.16450'!$F$2:$F$11,MATCH("2025::jama.2025.16450::C003",'C_jama.2025.16450'!$A$2:$A$11,0)),"NOT FROZEN")</x:f>
        <x:v>no</x:v>
      </x:c>
      <x:c r="K71" s="3" t="str">
        <x:f>IF(Setup!$B$6="primary",Setup!$B$2,"NOT FROZEN")</x:f>
      </x:c>
      <x:c r="L71" s="3" t="str">
        <x:f>IF(Setup!$B$6="primary",IF(OR(B71="",B71="not_applicable"),"","Disposition: "&amp;B71&amp;CHAR(10))&amp;IF(OR(C71="",C71="not_applicable"),"","Review domain: "&amp;C71&amp;CHAR(10))&amp;IF(OR(D71="",D71="not_applicable"),"","Statistcal_or_numerical issue: "&amp;D71&amp;CHAR(10))&amp;IF(OR(E71="",E71="not_applicable"),"","Substantiveness: "&amp;E71&amp;CHAR(10))&amp;IF(OR(F71="",F71="not_applicable"),"","Downstream impact: "&amp;F71&amp;CHAR(10))&amp;IF(OR(G71="",G71="not_applicable"),"","Report-internal or planning-material inconsistency: "&amp;G71&amp;CHAR(10))&amp;IF(OR(H71="",H71="not_applicable"),"","Protocol interpretation: "&amp;H71&amp;CHAR(10))&amp;IF(OR(I71="",I71="not_applicable"),"","Notes (optional): "&amp;I71&amp;CHAR(10)),"NOT FROZEN")</x:f>
        <x:v>Review domain: protocol_report
</x:v>
      </x:c>
    </x:row>
    <x:row r="72" ht="70" customHeight="1">
      <x:c r="A72" s="6" t="str">
        <x:f>IF(Setup!$B$6="primary","2025::jama.2025.16450::C004","NOT FROZEN")</x:f>
        <x:v>2025::jama.2025.16450::C004</x:v>
      </x:c>
      <x:c r="B72" s="6" t="str">
        <x:f>IF(Setup!$B$6="primary",IF(INDEX('C_jama.2025.16450'!$D$2:$D$11,MATCH("2025::jama.2025.16450::C004",'C_jama.2025.16450'!$A$2:$A$11,0))="","",INDEX('C_jama.2025.16450'!$D$2:$D$11,MATCH("2025::jama.2025.16450::C004",'C_jama.2025.16450'!$A$2:$A$11,0))),"NOT FROZEN")</x:f>
      </x:c>
      <x:c r="C72" s="6" t="str">
        <x:f>IF(Setup!$B$6="primary",IF(INDEX('C_jama.2025.16450'!$E$2:$E$11,MATCH("2025::jama.2025.16450::C004",'C_jama.2025.16450'!$A$2:$A$11,0))="","",INDEX('C_jama.2025.16450'!$E$2:$E$11,MATCH("2025::jama.2025.16450::C004",'C_jama.2025.16450'!$A$2:$A$11,0))),"NOT FROZEN")</x:f>
        <x:v>plan_material</x:v>
      </x:c>
      <x:c r="D72" s="6" t="str">
        <x:f>IF(Setup!$B$6="primary",IF(AND(INDEX('C_jama.2025.16450'!$D$2:$D$11,MATCH("2025::jama.2025.16450::C004",'C_jama.2025.16450'!$A$2:$A$11,0))="retain",INDEX('C_jama.2025.16450'!$E$2:$E$11,MATCH("2025::jama.2025.16450::C004",'C_jama.2025.16450'!$A$2:$A$11,0))="statistical_results"),IF(INDEX('C_jama.2025.16450'!$H$2:$H$11,MATCH("2025::jama.2025.16450::C004",'C_jama.2025.16450'!$A$2:$A$11,0))="","",INDEX('C_jama.2025.16450'!$H$2:$H$11,MATCH("2025::jama.2025.16450::C004",'C_jama.2025.16450'!$A$2:$A$11,0))),"not_applicable"),"NOT FROZEN")</x:f>
        <x:v>not_applicable</x:v>
      </x:c>
      <x:c r="E72" s="6" t="str">
        <x:f>IF(Setup!$B$6="primary",IF(AND(INDEX('C_jama.2025.16450'!$D$2:$D$11,MATCH("2025::jama.2025.16450::C004",'C_jama.2025.16450'!$A$2:$A$11,0))="retain",INDEX('C_jama.2025.16450'!$E$2:$E$11,MATCH("2025::jama.2025.16450::C004",'C_jama.2025.16450'!$A$2:$A$11,0))="statistical_results"),IF(INDEX('C_jama.2025.16450'!$I$2:$I$11,MATCH("2025::jama.2025.16450::C004",'C_jama.2025.16450'!$A$2:$A$11,0))="","",INDEX('C_jama.2025.16450'!$I$2:$I$11,MATCH("2025::jama.2025.16450::C004",'C_jama.2025.16450'!$A$2:$A$11,0))),"not_applicable"),"NOT FROZEN")</x:f>
        <x:v>not_applicable</x:v>
      </x:c>
      <x:c r="F72" s="6" t="str">
        <x:f>IF(Setup!$B$6="primary",IF(AND(INDEX('C_jama.2025.16450'!$D$2:$D$11,MATCH("2025::jama.2025.16450::C004",'C_jama.2025.16450'!$A$2:$A$11,0))="retain",INDEX('C_jama.2025.16450'!$E$2:$E$11,MATCH("2025::jama.2025.16450::C004",'C_jama.2025.16450'!$A$2:$A$11,0))="statistical_results"),IF(INDEX('C_jama.2025.16450'!$J$2:$J$11,MATCH("2025::jama.2025.16450::C004",'C_jama.2025.16450'!$A$2:$A$11,0))="","",INDEX('C_jama.2025.16450'!$J$2:$J$11,MATCH("2025::jama.2025.16450::C004",'C_jama.2025.16450'!$A$2:$A$11,0))),"not_applicable"),"NOT FROZEN")</x:f>
        <x:v>not_applicable</x:v>
      </x:c>
      <x:c r="G72" s="6" t="str">
        <x:f>IF(Setup!$B$6="primary",IF(AND(INDEX('C_jama.2025.16450'!$D$2:$D$11,MATCH("2025::jama.2025.16450::C004",'C_jama.2025.16450'!$A$2:$A$11,0))="retain",OR(INDEX('C_jama.2025.16450'!$E$2:$E$11,MATCH("2025::jama.2025.16450::C004",'C_jama.2025.16450'!$A$2:$A$11,0))="report_internal_inconsistency",INDEX('C_jama.2025.16450'!$E$2:$E$11,MATCH("2025::jama.2025.16450::C004",'C_jama.2025.16450'!$A$2:$A$11,0))="plan_material")),IF(INDEX('C_jama.2025.16450'!$K$2:$K$11,MATCH("2025::jama.2025.16450::C004",'C_jama.2025.16450'!$A$2:$A$11,0))="","",INDEX('C_jama.2025.16450'!$K$2:$K$11,MATCH("2025::jama.2025.16450::C004",'C_jama.2025.16450'!$A$2:$A$11,0))),"not_applicable"),"NOT FROZEN")</x:f>
        <x:v>not_applicable</x:v>
      </x:c>
      <x:c r="H72" s="6" t="str">
        <x:f>IF(Setup!$B$6="primary",IF(AND(INDEX('C_jama.2025.16450'!$D$2:$D$11,MATCH("2025::jama.2025.16450::C004",'C_jama.2025.16450'!$A$2:$A$11,0))="retain",INDEX('C_jama.2025.16450'!$E$2:$E$11,MATCH("2025::jama.2025.16450::C004",'C_jama.2025.16450'!$A$2:$A$11,0))="protocol_report"),IF(INDEX('C_jama.2025.16450'!$L$2:$L$11,MATCH("2025::jama.2025.16450::C004",'C_jama.2025.16450'!$A$2:$A$11,0))="","",INDEX('C_jama.2025.16450'!$L$2:$L$11,MATCH("2025::jama.2025.16450::C004",'C_jama.2025.16450'!$A$2:$A$11,0))),"not_applicable"),"NOT FROZEN")</x:f>
        <x:v>not_applicable</x:v>
      </x:c>
      <x:c r="I72" s="6" t="str">
        <x:f>IF(Setup!$B$6="primary",IF(INDEX('C_jama.2025.16450'!$R$2:$R$11,MATCH("2025::jama.2025.16450::C004",'C_jama.2025.16450'!$A$2:$A$11,0))="","",INDEX('C_jama.2025.16450'!$R$2:$R$11,MATCH("2025::jama.2025.16450::C004",'C_jama.2025.16450'!$A$2:$A$11,0))),"NOT FROZEN")</x:f>
      </x:c>
      <x:c r="J72" s="6" t="str">
        <x:f>IF(Setup!$B$6="primary",INDEX('C_jama.2025.16450'!$F$2:$F$11,MATCH("2025::jama.2025.16450::C004",'C_jama.2025.16450'!$A$2:$A$11,0)),"NOT FROZEN")</x:f>
        <x:v>no</x:v>
      </x:c>
      <x:c r="K72" s="6" t="str">
        <x:f>IF(Setup!$B$6="primary",Setup!$B$2,"NOT FROZEN")</x:f>
      </x:c>
      <x:c r="L72" s="6" t="str">
        <x:f>IF(Setup!$B$6="primary",IF(OR(B72="",B72="not_applicable"),"","Disposition: "&amp;B72&amp;CHAR(10))&amp;IF(OR(C72="",C72="not_applicable"),"","Review domain: "&amp;C72&amp;CHAR(10))&amp;IF(OR(D72="",D72="not_applicable"),"","Statistcal_or_numerical issue: "&amp;D72&amp;CHAR(10))&amp;IF(OR(E72="",E72="not_applicable"),"","Substantiveness: "&amp;E72&amp;CHAR(10))&amp;IF(OR(F72="",F72="not_applicable"),"","Downstream impact: "&amp;F72&amp;CHAR(10))&amp;IF(OR(G72="",G72="not_applicable"),"","Report-internal or planning-material inconsistency: "&amp;G72&amp;CHAR(10))&amp;IF(OR(H72="",H72="not_applicable"),"","Protocol interpretation: "&amp;H72&amp;CHAR(10))&amp;IF(OR(I72="",I72="not_applicable"),"","Notes (optional): "&amp;I72&amp;CHAR(10)),"NOT FROZEN")</x:f>
        <x:v>Review domain: plan_material
</x:v>
      </x:c>
    </x:row>
    <x:row r="73" ht="70" customHeight="1">
      <x:c r="A73" s="3" t="str">
        <x:f>IF(Setup!$B$6="primary","2025::jama.2025.16450::C005","NOT FROZEN")</x:f>
        <x:v>2025::jama.2025.16450::C005</x:v>
      </x:c>
      <x:c r="B73" s="3" t="str">
        <x:f>IF(Setup!$B$6="primary",IF(INDEX('C_jama.2025.16450'!$D$2:$D$11,MATCH("2025::jama.2025.16450::C005",'C_jama.2025.16450'!$A$2:$A$11,0))="","",INDEX('C_jama.2025.16450'!$D$2:$D$11,MATCH("2025::jama.2025.16450::C005",'C_jama.2025.16450'!$A$2:$A$11,0))),"NOT FROZEN")</x:f>
      </x:c>
      <x:c r="C73" s="3" t="str">
        <x:f>IF(Setup!$B$6="primary",IF(INDEX('C_jama.2025.16450'!$E$2:$E$11,MATCH("2025::jama.2025.16450::C005",'C_jama.2025.16450'!$A$2:$A$11,0))="","",INDEX('C_jama.2025.16450'!$E$2:$E$11,MATCH("2025::jama.2025.16450::C005",'C_jama.2025.16450'!$A$2:$A$11,0))),"NOT FROZEN")</x:f>
        <x:v>plan_material</x:v>
      </x:c>
      <x:c r="D73" s="3" t="str">
        <x:f>IF(Setup!$B$6="primary",IF(AND(INDEX('C_jama.2025.16450'!$D$2:$D$11,MATCH("2025::jama.2025.16450::C005",'C_jama.2025.16450'!$A$2:$A$11,0))="retain",INDEX('C_jama.2025.16450'!$E$2:$E$11,MATCH("2025::jama.2025.16450::C005",'C_jama.2025.16450'!$A$2:$A$11,0))="statistical_results"),IF(INDEX('C_jama.2025.16450'!$H$2:$H$11,MATCH("2025::jama.2025.16450::C005",'C_jama.2025.16450'!$A$2:$A$11,0))="","",INDEX('C_jama.2025.16450'!$H$2:$H$11,MATCH("2025::jama.2025.16450::C005",'C_jama.2025.16450'!$A$2:$A$11,0))),"not_applicable"),"NOT FROZEN")</x:f>
        <x:v>not_applicable</x:v>
      </x:c>
      <x:c r="E73" s="3" t="str">
        <x:f>IF(Setup!$B$6="primary",IF(AND(INDEX('C_jama.2025.16450'!$D$2:$D$11,MATCH("2025::jama.2025.16450::C005",'C_jama.2025.16450'!$A$2:$A$11,0))="retain",INDEX('C_jama.2025.16450'!$E$2:$E$11,MATCH("2025::jama.2025.16450::C005",'C_jama.2025.16450'!$A$2:$A$11,0))="statistical_results"),IF(INDEX('C_jama.2025.16450'!$I$2:$I$11,MATCH("2025::jama.2025.16450::C005",'C_jama.2025.16450'!$A$2:$A$11,0))="","",INDEX('C_jama.2025.16450'!$I$2:$I$11,MATCH("2025::jama.2025.16450::C005",'C_jama.2025.16450'!$A$2:$A$11,0))),"not_applicable"),"NOT FROZEN")</x:f>
        <x:v>not_applicable</x:v>
      </x:c>
      <x:c r="F73" s="3" t="str">
        <x:f>IF(Setup!$B$6="primary",IF(AND(INDEX('C_jama.2025.16450'!$D$2:$D$11,MATCH("2025::jama.2025.16450::C005",'C_jama.2025.16450'!$A$2:$A$11,0))="retain",INDEX('C_jama.2025.16450'!$E$2:$E$11,MATCH("2025::jama.2025.16450::C005",'C_jama.2025.16450'!$A$2:$A$11,0))="statistical_results"),IF(INDEX('C_jama.2025.16450'!$J$2:$J$11,MATCH("2025::jama.2025.16450::C005",'C_jama.2025.16450'!$A$2:$A$11,0))="","",INDEX('C_jama.2025.16450'!$J$2:$J$11,MATCH("2025::jama.2025.16450::C005",'C_jama.2025.16450'!$A$2:$A$11,0))),"not_applicable"),"NOT FROZEN")</x:f>
        <x:v>not_applicable</x:v>
      </x:c>
      <x:c r="G73" s="3" t="str">
        <x:f>IF(Setup!$B$6="primary",IF(AND(INDEX('C_jama.2025.16450'!$D$2:$D$11,MATCH("2025::jama.2025.16450::C005",'C_jama.2025.16450'!$A$2:$A$11,0))="retain",OR(INDEX('C_jama.2025.16450'!$E$2:$E$11,MATCH("2025::jama.2025.16450::C005",'C_jama.2025.16450'!$A$2:$A$11,0))="report_internal_inconsistency",INDEX('C_jama.2025.16450'!$E$2:$E$11,MATCH("2025::jama.2025.16450::C005",'C_jama.2025.16450'!$A$2:$A$11,0))="plan_material")),IF(INDEX('C_jama.2025.16450'!$K$2:$K$11,MATCH("2025::jama.2025.16450::C005",'C_jama.2025.16450'!$A$2:$A$11,0))="","",INDEX('C_jama.2025.16450'!$K$2:$K$11,MATCH("2025::jama.2025.16450::C005",'C_jama.2025.16450'!$A$2:$A$11,0))),"not_applicable"),"NOT FROZEN")</x:f>
        <x:v>not_applicable</x:v>
      </x:c>
      <x:c r="H73" s="3" t="str">
        <x:f>IF(Setup!$B$6="primary",IF(AND(INDEX('C_jama.2025.16450'!$D$2:$D$11,MATCH("2025::jama.2025.16450::C005",'C_jama.2025.16450'!$A$2:$A$11,0))="retain",INDEX('C_jama.2025.16450'!$E$2:$E$11,MATCH("2025::jama.2025.16450::C005",'C_jama.2025.16450'!$A$2:$A$11,0))="protocol_report"),IF(INDEX('C_jama.2025.16450'!$L$2:$L$11,MATCH("2025::jama.2025.16450::C005",'C_jama.2025.16450'!$A$2:$A$11,0))="","",INDEX('C_jama.2025.16450'!$L$2:$L$11,MATCH("2025::jama.2025.16450::C005",'C_jama.2025.16450'!$A$2:$A$11,0))),"not_applicable"),"NOT FROZEN")</x:f>
        <x:v>not_applicable</x:v>
      </x:c>
      <x:c r="I73" s="3" t="str">
        <x:f>IF(Setup!$B$6="primary",IF(INDEX('C_jama.2025.16450'!$R$2:$R$11,MATCH("2025::jama.2025.16450::C005",'C_jama.2025.16450'!$A$2:$A$11,0))="","",INDEX('C_jama.2025.16450'!$R$2:$R$11,MATCH("2025::jama.2025.16450::C005",'C_jama.2025.16450'!$A$2:$A$11,0))),"NOT FROZEN")</x:f>
      </x:c>
      <x:c r="J73" s="3" t="str">
        <x:f>IF(Setup!$B$6="primary",INDEX('C_jama.2025.16450'!$F$2:$F$11,MATCH("2025::jama.2025.16450::C005",'C_jama.2025.16450'!$A$2:$A$11,0)),"NOT FROZEN")</x:f>
        <x:v>no</x:v>
      </x:c>
      <x:c r="K73" s="3" t="str">
        <x:f>IF(Setup!$B$6="primary",Setup!$B$2,"NOT FROZEN")</x:f>
      </x:c>
      <x:c r="L73" s="3" t="str">
        <x:f>IF(Setup!$B$6="primary",IF(OR(B73="",B73="not_applicable"),"","Disposition: "&amp;B73&amp;CHAR(10))&amp;IF(OR(C73="",C73="not_applicable"),"","Review domain: "&amp;C73&amp;CHAR(10))&amp;IF(OR(D73="",D73="not_applicable"),"","Statistcal_or_numerical issue: "&amp;D73&amp;CHAR(10))&amp;IF(OR(E73="",E73="not_applicable"),"","Substantiveness: "&amp;E73&amp;CHAR(10))&amp;IF(OR(F73="",F73="not_applicable"),"","Downstream impact: "&amp;F73&amp;CHAR(10))&amp;IF(OR(G73="",G73="not_applicable"),"","Report-internal or planning-material inconsistency: "&amp;G73&amp;CHAR(10))&amp;IF(OR(H73="",H73="not_applicable"),"","Protocol interpretation: "&amp;H73&amp;CHAR(10))&amp;IF(OR(I73="",I73="not_applicable"),"","Notes (optional): "&amp;I73&amp;CHAR(10)),"NOT FROZEN")</x:f>
        <x:v>Review domain: plan_material
</x:v>
      </x:c>
    </x:row>
    <x:row r="74" ht="70" customHeight="1">
      <x:c r="A74" s="6" t="str">
        <x:f>IF(Setup!$B$6="primary","2025::jama.2025.16450::C006","NOT FROZEN")</x:f>
        <x:v>2025::jama.2025.16450::C006</x:v>
      </x:c>
      <x:c r="B74" s="6" t="str">
        <x:f>IF(Setup!$B$6="primary",IF(INDEX('C_jama.2025.16450'!$D$2:$D$11,MATCH("2025::jama.2025.16450::C006",'C_jama.2025.16450'!$A$2:$A$11,0))="","",INDEX('C_jama.2025.16450'!$D$2:$D$11,MATCH("2025::jama.2025.16450::C006",'C_jama.2025.16450'!$A$2:$A$11,0))),"NOT FROZEN")</x:f>
      </x:c>
      <x:c r="C74" s="6" t="str">
        <x:f>IF(Setup!$B$6="primary",IF(INDEX('C_jama.2025.16450'!$E$2:$E$11,MATCH("2025::jama.2025.16450::C006",'C_jama.2025.16450'!$A$2:$A$11,0))="","",INDEX('C_jama.2025.16450'!$E$2:$E$11,MATCH("2025::jama.2025.16450::C006",'C_jama.2025.16450'!$A$2:$A$11,0))),"NOT FROZEN")</x:f>
        <x:v>plan_material</x:v>
      </x:c>
      <x:c r="D74" s="6" t="str">
        <x:f>IF(Setup!$B$6="primary",IF(AND(INDEX('C_jama.2025.16450'!$D$2:$D$11,MATCH("2025::jama.2025.16450::C006",'C_jama.2025.16450'!$A$2:$A$11,0))="retain",INDEX('C_jama.2025.16450'!$E$2:$E$11,MATCH("2025::jama.2025.16450::C006",'C_jama.2025.16450'!$A$2:$A$11,0))="statistical_results"),IF(INDEX('C_jama.2025.16450'!$H$2:$H$11,MATCH("2025::jama.2025.16450::C006",'C_jama.2025.16450'!$A$2:$A$11,0))="","",INDEX('C_jama.2025.16450'!$H$2:$H$11,MATCH("2025::jama.2025.16450::C006",'C_jama.2025.16450'!$A$2:$A$11,0))),"not_applicable"),"NOT FROZEN")</x:f>
        <x:v>not_applicable</x:v>
      </x:c>
      <x:c r="E74" s="6" t="str">
        <x:f>IF(Setup!$B$6="primary",IF(AND(INDEX('C_jama.2025.16450'!$D$2:$D$11,MATCH("2025::jama.2025.16450::C006",'C_jama.2025.16450'!$A$2:$A$11,0))="retain",INDEX('C_jama.2025.16450'!$E$2:$E$11,MATCH("2025::jama.2025.16450::C006",'C_jama.2025.16450'!$A$2:$A$11,0))="statistical_results"),IF(INDEX('C_jama.2025.16450'!$I$2:$I$11,MATCH("2025::jama.2025.16450::C006",'C_jama.2025.16450'!$A$2:$A$11,0))="","",INDEX('C_jama.2025.16450'!$I$2:$I$11,MATCH("2025::jama.2025.16450::C006",'C_jama.2025.16450'!$A$2:$A$11,0))),"not_applicable"),"NOT FROZEN")</x:f>
        <x:v>not_applicable</x:v>
      </x:c>
      <x:c r="F74" s="6" t="str">
        <x:f>IF(Setup!$B$6="primary",IF(AND(INDEX('C_jama.2025.16450'!$D$2:$D$11,MATCH("2025::jama.2025.16450::C006",'C_jama.2025.16450'!$A$2:$A$11,0))="retain",INDEX('C_jama.2025.16450'!$E$2:$E$11,MATCH("2025::jama.2025.16450::C006",'C_jama.2025.16450'!$A$2:$A$11,0))="statistical_results"),IF(INDEX('C_jama.2025.16450'!$J$2:$J$11,MATCH("2025::jama.2025.16450::C006",'C_jama.2025.16450'!$A$2:$A$11,0))="","",INDEX('C_jama.2025.16450'!$J$2:$J$11,MATCH("2025::jama.2025.16450::C006",'C_jama.2025.16450'!$A$2:$A$11,0))),"not_applicable"),"NOT FROZEN")</x:f>
        <x:v>not_applicable</x:v>
      </x:c>
      <x:c r="G74" s="6" t="str">
        <x:f>IF(Setup!$B$6="primary",IF(AND(INDEX('C_jama.2025.16450'!$D$2:$D$11,MATCH("2025::jama.2025.16450::C006",'C_jama.2025.16450'!$A$2:$A$11,0))="retain",OR(INDEX('C_jama.2025.16450'!$E$2:$E$11,MATCH("2025::jama.2025.16450::C006",'C_jama.2025.16450'!$A$2:$A$11,0))="report_internal_inconsistency",INDEX('C_jama.2025.16450'!$E$2:$E$11,MATCH("2025::jama.2025.16450::C006",'C_jama.2025.16450'!$A$2:$A$11,0))="plan_material")),IF(INDEX('C_jama.2025.16450'!$K$2:$K$11,MATCH("2025::jama.2025.16450::C006",'C_jama.2025.16450'!$A$2:$A$11,0))="","",INDEX('C_jama.2025.16450'!$K$2:$K$11,MATCH("2025::jama.2025.16450::C006",'C_jama.2025.16450'!$A$2:$A$11,0))),"not_applicable"),"NOT FROZEN")</x:f>
        <x:v>not_applicable</x:v>
      </x:c>
      <x:c r="H74" s="6" t="str">
        <x:f>IF(Setup!$B$6="primary",IF(AND(INDEX('C_jama.2025.16450'!$D$2:$D$11,MATCH("2025::jama.2025.16450::C006",'C_jama.2025.16450'!$A$2:$A$11,0))="retain",INDEX('C_jama.2025.16450'!$E$2:$E$11,MATCH("2025::jama.2025.16450::C006",'C_jama.2025.16450'!$A$2:$A$11,0))="protocol_report"),IF(INDEX('C_jama.2025.16450'!$L$2:$L$11,MATCH("2025::jama.2025.16450::C006",'C_jama.2025.16450'!$A$2:$A$11,0))="","",INDEX('C_jama.2025.16450'!$L$2:$L$11,MATCH("2025::jama.2025.16450::C006",'C_jama.2025.16450'!$A$2:$A$11,0))),"not_applicable"),"NOT FROZEN")</x:f>
        <x:v>not_applicable</x:v>
      </x:c>
      <x:c r="I74" s="6" t="str">
        <x:f>IF(Setup!$B$6="primary",IF(INDEX('C_jama.2025.16450'!$R$2:$R$11,MATCH("2025::jama.2025.16450::C006",'C_jama.2025.16450'!$A$2:$A$11,0))="","",INDEX('C_jama.2025.16450'!$R$2:$R$11,MATCH("2025::jama.2025.16450::C006",'C_jama.2025.16450'!$A$2:$A$11,0))),"NOT FROZEN")</x:f>
      </x:c>
      <x:c r="J74" s="6" t="str">
        <x:f>IF(Setup!$B$6="primary",INDEX('C_jama.2025.16450'!$F$2:$F$11,MATCH("2025::jama.2025.16450::C006",'C_jama.2025.16450'!$A$2:$A$11,0)),"NOT FROZEN")</x:f>
        <x:v>no</x:v>
      </x:c>
      <x:c r="K74" s="6" t="str">
        <x:f>IF(Setup!$B$6="primary",Setup!$B$2,"NOT FROZEN")</x:f>
      </x:c>
      <x:c r="L74" s="6" t="str">
        <x:f>IF(Setup!$B$6="primary",IF(OR(B74="",B74="not_applicable"),"","Disposition: "&amp;B74&amp;CHAR(10))&amp;IF(OR(C74="",C74="not_applicable"),"","Review domain: "&amp;C74&amp;CHAR(10))&amp;IF(OR(D74="",D74="not_applicable"),"","Statistcal_or_numerical issue: "&amp;D74&amp;CHAR(10))&amp;IF(OR(E74="",E74="not_applicable"),"","Substantiveness: "&amp;E74&amp;CHAR(10))&amp;IF(OR(F74="",F74="not_applicable"),"","Downstream impact: "&amp;F74&amp;CHAR(10))&amp;IF(OR(G74="",G74="not_applicable"),"","Report-internal or planning-material inconsistency: "&amp;G74&amp;CHAR(10))&amp;IF(OR(H74="",H74="not_applicable"),"","Protocol interpretation: "&amp;H74&amp;CHAR(10))&amp;IF(OR(I74="",I74="not_applicable"),"","Notes (optional): "&amp;I74&amp;CHAR(10)),"NOT FROZEN")</x:f>
        <x:v>Review domain: plan_material
</x:v>
      </x:c>
    </x:row>
    <x:row r="75" ht="70" customHeight="1">
      <x:c r="A75" s="3" t="str">
        <x:f>IF(Setup!$B$6="primary","2025::jama.2025.16450::C007","NOT FROZEN")</x:f>
        <x:v>2025::jama.2025.16450::C007</x:v>
      </x:c>
      <x:c r="B75" s="3" t="str">
        <x:f>IF(Setup!$B$6="primary",IF(INDEX('C_jama.2025.16450'!$D$2:$D$11,MATCH("2025::jama.2025.16450::C007",'C_jama.2025.16450'!$A$2:$A$11,0))="","",INDEX('C_jama.2025.16450'!$D$2:$D$11,MATCH("2025::jama.2025.16450::C007",'C_jama.2025.16450'!$A$2:$A$11,0))),"NOT FROZEN")</x:f>
      </x:c>
      <x:c r="C75" s="3" t="str">
        <x:f>IF(Setup!$B$6="primary",IF(INDEX('C_jama.2025.16450'!$E$2:$E$11,MATCH("2025::jama.2025.16450::C007",'C_jama.2025.16450'!$A$2:$A$11,0))="","",INDEX('C_jama.2025.16450'!$E$2:$E$11,MATCH("2025::jama.2025.16450::C007",'C_jama.2025.16450'!$A$2:$A$11,0))),"NOT FROZEN")</x:f>
        <x:v>protocol_report</x:v>
      </x:c>
      <x:c r="D75" s="3" t="str">
        <x:f>IF(Setup!$B$6="primary",IF(AND(INDEX('C_jama.2025.16450'!$D$2:$D$11,MATCH("2025::jama.2025.16450::C007",'C_jama.2025.16450'!$A$2:$A$11,0))="retain",INDEX('C_jama.2025.16450'!$E$2:$E$11,MATCH("2025::jama.2025.16450::C007",'C_jama.2025.16450'!$A$2:$A$11,0))="statistical_results"),IF(INDEX('C_jama.2025.16450'!$H$2:$H$11,MATCH("2025::jama.2025.16450::C007",'C_jama.2025.16450'!$A$2:$A$11,0))="","",INDEX('C_jama.2025.16450'!$H$2:$H$11,MATCH("2025::jama.2025.16450::C007",'C_jama.2025.16450'!$A$2:$A$11,0))),"not_applicable"),"NOT FROZEN")</x:f>
        <x:v>not_applicable</x:v>
      </x:c>
      <x:c r="E75" s="3" t="str">
        <x:f>IF(Setup!$B$6="primary",IF(AND(INDEX('C_jama.2025.16450'!$D$2:$D$11,MATCH("2025::jama.2025.16450::C007",'C_jama.2025.16450'!$A$2:$A$11,0))="retain",INDEX('C_jama.2025.16450'!$E$2:$E$11,MATCH("2025::jama.2025.16450::C007",'C_jama.2025.16450'!$A$2:$A$11,0))="statistical_results"),IF(INDEX('C_jama.2025.16450'!$I$2:$I$11,MATCH("2025::jama.2025.16450::C007",'C_jama.2025.16450'!$A$2:$A$11,0))="","",INDEX('C_jama.2025.16450'!$I$2:$I$11,MATCH("2025::jama.2025.16450::C007",'C_jama.2025.16450'!$A$2:$A$11,0))),"not_applicable"),"NOT FROZEN")</x:f>
        <x:v>not_applicable</x:v>
      </x:c>
      <x:c r="F75" s="3" t="str">
        <x:f>IF(Setup!$B$6="primary",IF(AND(INDEX('C_jama.2025.16450'!$D$2:$D$11,MATCH("2025::jama.2025.16450::C007",'C_jama.2025.16450'!$A$2:$A$11,0))="retain",INDEX('C_jama.2025.16450'!$E$2:$E$11,MATCH("2025::jama.2025.16450::C007",'C_jama.2025.16450'!$A$2:$A$11,0))="statistical_results"),IF(INDEX('C_jama.2025.16450'!$J$2:$J$11,MATCH("2025::jama.2025.16450::C007",'C_jama.2025.16450'!$A$2:$A$11,0))="","",INDEX('C_jama.2025.16450'!$J$2:$J$11,MATCH("2025::jama.2025.16450::C007",'C_jama.2025.16450'!$A$2:$A$11,0))),"not_applicable"),"NOT FROZEN")</x:f>
        <x:v>not_applicable</x:v>
      </x:c>
      <x:c r="G75" s="3" t="str">
        <x:f>IF(Setup!$B$6="primary",IF(AND(INDEX('C_jama.2025.16450'!$D$2:$D$11,MATCH("2025::jama.2025.16450::C007",'C_jama.2025.16450'!$A$2:$A$11,0))="retain",OR(INDEX('C_jama.2025.16450'!$E$2:$E$11,MATCH("2025::jama.2025.16450::C007",'C_jama.2025.16450'!$A$2:$A$11,0))="report_internal_inconsistency",INDEX('C_jama.2025.16450'!$E$2:$E$11,MATCH("2025::jama.2025.16450::C007",'C_jama.2025.16450'!$A$2:$A$11,0))="plan_material")),IF(INDEX('C_jama.2025.16450'!$K$2:$K$11,MATCH("2025::jama.2025.16450::C007",'C_jama.2025.16450'!$A$2:$A$11,0))="","",INDEX('C_jama.2025.16450'!$K$2:$K$11,MATCH("2025::jama.2025.16450::C007",'C_jama.2025.16450'!$A$2:$A$11,0))),"not_applicable"),"NOT FROZEN")</x:f>
        <x:v>not_applicable</x:v>
      </x:c>
      <x:c r="H75" s="3" t="str">
        <x:f>IF(Setup!$B$6="primary",IF(AND(INDEX('C_jama.2025.16450'!$D$2:$D$11,MATCH("2025::jama.2025.16450::C007",'C_jama.2025.16450'!$A$2:$A$11,0))="retain",INDEX('C_jama.2025.16450'!$E$2:$E$11,MATCH("2025::jama.2025.16450::C007",'C_jama.2025.16450'!$A$2:$A$11,0))="protocol_report"),IF(INDEX('C_jama.2025.16450'!$L$2:$L$11,MATCH("2025::jama.2025.16450::C007",'C_jama.2025.16450'!$A$2:$A$11,0))="","",INDEX('C_jama.2025.16450'!$L$2:$L$11,MATCH("2025::jama.2025.16450::C007",'C_jama.2025.16450'!$A$2:$A$11,0))),"not_applicable"),"NOT FROZEN")</x:f>
        <x:v>not_applicable</x:v>
      </x:c>
      <x:c r="I75" s="3" t="str">
        <x:f>IF(Setup!$B$6="primary",IF(INDEX('C_jama.2025.16450'!$R$2:$R$11,MATCH("2025::jama.2025.16450::C007",'C_jama.2025.16450'!$A$2:$A$11,0))="","",INDEX('C_jama.2025.16450'!$R$2:$R$11,MATCH("2025::jama.2025.16450::C007",'C_jama.2025.16450'!$A$2:$A$11,0))),"NOT FROZEN")</x:f>
      </x:c>
      <x:c r="J75" s="3" t="str">
        <x:f>IF(Setup!$B$6="primary",INDEX('C_jama.2025.16450'!$F$2:$F$11,MATCH("2025::jama.2025.16450::C007",'C_jama.2025.16450'!$A$2:$A$11,0)),"NOT FROZEN")</x:f>
        <x:v>no</x:v>
      </x:c>
      <x:c r="K75" s="3" t="str">
        <x:f>IF(Setup!$B$6="primary",Setup!$B$2,"NOT FROZEN")</x:f>
      </x:c>
      <x:c r="L75" s="3" t="str">
        <x:f>IF(Setup!$B$6="primary",IF(OR(B75="",B75="not_applicable"),"","Disposition: "&amp;B75&amp;CHAR(10))&amp;IF(OR(C75="",C75="not_applicable"),"","Review domain: "&amp;C75&amp;CHAR(10))&amp;IF(OR(D75="",D75="not_applicable"),"","Statistcal_or_numerical issue: "&amp;D75&amp;CHAR(10))&amp;IF(OR(E75="",E75="not_applicable"),"","Substantiveness: "&amp;E75&amp;CHAR(10))&amp;IF(OR(F75="",F75="not_applicable"),"","Downstream impact: "&amp;F75&amp;CHAR(10))&amp;IF(OR(G75="",G75="not_applicable"),"","Report-internal or planning-material inconsistency: "&amp;G75&amp;CHAR(10))&amp;IF(OR(H75="",H75="not_applicable"),"","Protocol interpretation: "&amp;H75&amp;CHAR(10))&amp;IF(OR(I75="",I75="not_applicable"),"","Notes (optional): "&amp;I75&amp;CHAR(10)),"NOT FROZEN")</x:f>
        <x:v>Review domain: protocol_report
</x:v>
      </x:c>
    </x:row>
    <x:row r="76" ht="70" customHeight="1">
      <x:c r="A76" s="6" t="str">
        <x:f>IF(Setup!$B$6="primary","2025::jama.2025.16450::C008","NOT FROZEN")</x:f>
        <x:v>2025::jama.2025.16450::C008</x:v>
      </x:c>
      <x:c r="B76" s="6" t="str">
        <x:f>IF(Setup!$B$6="primary",IF(INDEX('C_jama.2025.16450'!$D$2:$D$11,MATCH("2025::jama.2025.16450::C008",'C_jama.2025.16450'!$A$2:$A$11,0))="","",INDEX('C_jama.2025.16450'!$D$2:$D$11,MATCH("2025::jama.2025.16450::C008",'C_jama.2025.16450'!$A$2:$A$11,0))),"NOT FROZEN")</x:f>
      </x:c>
      <x:c r="C76" s="6" t="str">
        <x:f>IF(Setup!$B$6="primary",IF(INDEX('C_jama.2025.16450'!$E$2:$E$11,MATCH("2025::jama.2025.16450::C008",'C_jama.2025.16450'!$A$2:$A$11,0))="","",INDEX('C_jama.2025.16450'!$E$2:$E$11,MATCH("2025::jama.2025.16450::C008",'C_jama.2025.16450'!$A$2:$A$11,0))),"NOT FROZEN")</x:f>
        <x:v>protocol_report</x:v>
      </x:c>
      <x:c r="D76" s="6" t="str">
        <x:f>IF(Setup!$B$6="primary",IF(AND(INDEX('C_jama.2025.16450'!$D$2:$D$11,MATCH("2025::jama.2025.16450::C008",'C_jama.2025.16450'!$A$2:$A$11,0))="retain",INDEX('C_jama.2025.16450'!$E$2:$E$11,MATCH("2025::jama.2025.16450::C008",'C_jama.2025.16450'!$A$2:$A$11,0))="statistical_results"),IF(INDEX('C_jama.2025.16450'!$H$2:$H$11,MATCH("2025::jama.2025.16450::C008",'C_jama.2025.16450'!$A$2:$A$11,0))="","",INDEX('C_jama.2025.16450'!$H$2:$H$11,MATCH("2025::jama.2025.16450::C008",'C_jama.2025.16450'!$A$2:$A$11,0))),"not_applicable"),"NOT FROZEN")</x:f>
        <x:v>not_applicable</x:v>
      </x:c>
      <x:c r="E76" s="6" t="str">
        <x:f>IF(Setup!$B$6="primary",IF(AND(INDEX('C_jama.2025.16450'!$D$2:$D$11,MATCH("2025::jama.2025.16450::C008",'C_jama.2025.16450'!$A$2:$A$11,0))="retain",INDEX('C_jama.2025.16450'!$E$2:$E$11,MATCH("2025::jama.2025.16450::C008",'C_jama.2025.16450'!$A$2:$A$11,0))="statistical_results"),IF(INDEX('C_jama.2025.16450'!$I$2:$I$11,MATCH("2025::jama.2025.16450::C008",'C_jama.2025.16450'!$A$2:$A$11,0))="","",INDEX('C_jama.2025.16450'!$I$2:$I$11,MATCH("2025::jama.2025.16450::C008",'C_jama.2025.16450'!$A$2:$A$11,0))),"not_applicable"),"NOT FROZEN")</x:f>
        <x:v>not_applicable</x:v>
      </x:c>
      <x:c r="F76" s="6" t="str">
        <x:f>IF(Setup!$B$6="primary",IF(AND(INDEX('C_jama.2025.16450'!$D$2:$D$11,MATCH("2025::jama.2025.16450::C008",'C_jama.2025.16450'!$A$2:$A$11,0))="retain",INDEX('C_jama.2025.16450'!$E$2:$E$11,MATCH("2025::jama.2025.16450::C008",'C_jama.2025.16450'!$A$2:$A$11,0))="statistical_results"),IF(INDEX('C_jama.2025.16450'!$J$2:$J$11,MATCH("2025::jama.2025.16450::C008",'C_jama.2025.16450'!$A$2:$A$11,0))="","",INDEX('C_jama.2025.16450'!$J$2:$J$11,MATCH("2025::jama.2025.16450::C008",'C_jama.2025.16450'!$A$2:$A$11,0))),"not_applicable"),"NOT FROZEN")</x:f>
        <x:v>not_applicable</x:v>
      </x:c>
      <x:c r="G76" s="6" t="str">
        <x:f>IF(Setup!$B$6="primary",IF(AND(INDEX('C_jama.2025.16450'!$D$2:$D$11,MATCH("2025::jama.2025.16450::C008",'C_jama.2025.16450'!$A$2:$A$11,0))="retain",OR(INDEX('C_jama.2025.16450'!$E$2:$E$11,MATCH("2025::jama.2025.16450::C008",'C_jama.2025.16450'!$A$2:$A$11,0))="report_internal_inconsistency",INDEX('C_jama.2025.16450'!$E$2:$E$11,MATCH("2025::jama.2025.16450::C008",'C_jama.2025.16450'!$A$2:$A$11,0))="plan_material")),IF(INDEX('C_jama.2025.16450'!$K$2:$K$11,MATCH("2025::jama.2025.16450::C008",'C_jama.2025.16450'!$A$2:$A$11,0))="","",INDEX('C_jama.2025.16450'!$K$2:$K$11,MATCH("2025::jama.2025.16450::C008",'C_jama.2025.16450'!$A$2:$A$11,0))),"not_applicable"),"NOT FROZEN")</x:f>
        <x:v>not_applicable</x:v>
      </x:c>
      <x:c r="H76" s="6" t="str">
        <x:f>IF(Setup!$B$6="primary",IF(AND(INDEX('C_jama.2025.16450'!$D$2:$D$11,MATCH("2025::jama.2025.16450::C008",'C_jama.2025.16450'!$A$2:$A$11,0))="retain",INDEX('C_jama.2025.16450'!$E$2:$E$11,MATCH("2025::jama.2025.16450::C008",'C_jama.2025.16450'!$A$2:$A$11,0))="protocol_report"),IF(INDEX('C_jama.2025.16450'!$L$2:$L$11,MATCH("2025::jama.2025.16450::C008",'C_jama.2025.16450'!$A$2:$A$11,0))="","",INDEX('C_jama.2025.16450'!$L$2:$L$11,MATCH("2025::jama.2025.16450::C008",'C_jama.2025.16450'!$A$2:$A$11,0))),"not_applicable"),"NOT FROZEN")</x:f>
        <x:v>not_applicable</x:v>
      </x:c>
      <x:c r="I76" s="6" t="str">
        <x:f>IF(Setup!$B$6="primary",IF(INDEX('C_jama.2025.16450'!$R$2:$R$11,MATCH("2025::jama.2025.16450::C008",'C_jama.2025.16450'!$A$2:$A$11,0))="","",INDEX('C_jama.2025.16450'!$R$2:$R$11,MATCH("2025::jama.2025.16450::C008",'C_jama.2025.16450'!$A$2:$A$11,0))),"NOT FROZEN")</x:f>
      </x:c>
      <x:c r="J76" s="6" t="str">
        <x:f>IF(Setup!$B$6="primary",INDEX('C_jama.2025.16450'!$F$2:$F$11,MATCH("2025::jama.2025.16450::C008",'C_jama.2025.16450'!$A$2:$A$11,0)),"NOT FROZEN")</x:f>
        <x:v>no</x:v>
      </x:c>
      <x:c r="K76" s="6" t="str">
        <x:f>IF(Setup!$B$6="primary",Setup!$B$2,"NOT FROZEN")</x:f>
      </x:c>
      <x:c r="L76" s="6" t="str">
        <x:f>IF(Setup!$B$6="primary",IF(OR(B76="",B76="not_applicable"),"","Disposition: "&amp;B76&amp;CHAR(10))&amp;IF(OR(C76="",C76="not_applicable"),"","Review domain: "&amp;C76&amp;CHAR(10))&amp;IF(OR(D76="",D76="not_applicable"),"","Statistcal_or_numerical issue: "&amp;D76&amp;CHAR(10))&amp;IF(OR(E76="",E76="not_applicable"),"","Substantiveness: "&amp;E76&amp;CHAR(10))&amp;IF(OR(F76="",F76="not_applicable"),"","Downstream impact: "&amp;F76&amp;CHAR(10))&amp;IF(OR(G76="",G76="not_applicable"),"","Report-internal or planning-material inconsistency: "&amp;G76&amp;CHAR(10))&amp;IF(OR(H76="",H76="not_applicable"),"","Protocol interpretation: "&amp;H76&amp;CHAR(10))&amp;IF(OR(I76="",I76="not_applicable"),"","Notes (optional): "&amp;I76&amp;CHAR(10)),"NOT FROZEN")</x:f>
        <x:v>Review domain: protocol_report
</x:v>
      </x:c>
    </x:row>
    <x:row r="77" ht="70" customHeight="1">
      <x:c r="A77" s="3" t="str">
        <x:f>IF(Setup!$B$6="primary","2025::jama.2025.16450::C009","NOT FROZEN")</x:f>
        <x:v>2025::jama.2025.16450::C009</x:v>
      </x:c>
      <x:c r="B77" s="3" t="str">
        <x:f>IF(Setup!$B$6="primary",IF(INDEX('C_jama.2025.16450'!$D$2:$D$11,MATCH("2025::jama.2025.16450::C009",'C_jama.2025.16450'!$A$2:$A$11,0))="","",INDEX('C_jama.2025.16450'!$D$2:$D$11,MATCH("2025::jama.2025.16450::C009",'C_jama.2025.16450'!$A$2:$A$11,0))),"NOT FROZEN")</x:f>
      </x:c>
      <x:c r="C77" s="3" t="str">
        <x:f>IF(Setup!$B$6="primary",IF(INDEX('C_jama.2025.16450'!$E$2:$E$11,MATCH("2025::jama.2025.16450::C009",'C_jama.2025.16450'!$A$2:$A$11,0))="","",INDEX('C_jama.2025.16450'!$E$2:$E$11,MATCH("2025::jama.2025.16450::C009",'C_jama.2025.16450'!$A$2:$A$11,0))),"NOT FROZEN")</x:f>
        <x:v>report_internal_inconsistency</x:v>
      </x:c>
      <x:c r="D77" s="3" t="str">
        <x:f>IF(Setup!$B$6="primary",IF(AND(INDEX('C_jama.2025.16450'!$D$2:$D$11,MATCH("2025::jama.2025.16450::C009",'C_jama.2025.16450'!$A$2:$A$11,0))="retain",INDEX('C_jama.2025.16450'!$E$2:$E$11,MATCH("2025::jama.2025.16450::C009",'C_jama.2025.16450'!$A$2:$A$11,0))="statistical_results"),IF(INDEX('C_jama.2025.16450'!$H$2:$H$11,MATCH("2025::jama.2025.16450::C009",'C_jama.2025.16450'!$A$2:$A$11,0))="","",INDEX('C_jama.2025.16450'!$H$2:$H$11,MATCH("2025::jama.2025.16450::C009",'C_jama.2025.16450'!$A$2:$A$11,0))),"not_applicable"),"NOT FROZEN")</x:f>
        <x:v>not_applicable</x:v>
      </x:c>
      <x:c r="E77" s="3" t="str">
        <x:f>IF(Setup!$B$6="primary",IF(AND(INDEX('C_jama.2025.16450'!$D$2:$D$11,MATCH("2025::jama.2025.16450::C009",'C_jama.2025.16450'!$A$2:$A$11,0))="retain",INDEX('C_jama.2025.16450'!$E$2:$E$11,MATCH("2025::jama.2025.16450::C009",'C_jama.2025.16450'!$A$2:$A$11,0))="statistical_results"),IF(INDEX('C_jama.2025.16450'!$I$2:$I$11,MATCH("2025::jama.2025.16450::C009",'C_jama.2025.16450'!$A$2:$A$11,0))="","",INDEX('C_jama.2025.16450'!$I$2:$I$11,MATCH("2025::jama.2025.16450::C009",'C_jama.2025.16450'!$A$2:$A$11,0))),"not_applicable"),"NOT FROZEN")</x:f>
        <x:v>not_applicable</x:v>
      </x:c>
      <x:c r="F77" s="3" t="str">
        <x:f>IF(Setup!$B$6="primary",IF(AND(INDEX('C_jama.2025.16450'!$D$2:$D$11,MATCH("2025::jama.2025.16450::C009",'C_jama.2025.16450'!$A$2:$A$11,0))="retain",INDEX('C_jama.2025.16450'!$E$2:$E$11,MATCH("2025::jama.2025.16450::C009",'C_jama.2025.16450'!$A$2:$A$11,0))="statistical_results"),IF(INDEX('C_jama.2025.16450'!$J$2:$J$11,MATCH("2025::jama.2025.16450::C009",'C_jama.2025.16450'!$A$2:$A$11,0))="","",INDEX('C_jama.2025.16450'!$J$2:$J$11,MATCH("2025::jama.2025.16450::C009",'C_jama.2025.16450'!$A$2:$A$11,0))),"not_applicable"),"NOT FROZEN")</x:f>
        <x:v>not_applicable</x:v>
      </x:c>
      <x:c r="G77" s="3" t="str">
        <x:f>IF(Setup!$B$6="primary",IF(AND(INDEX('C_jama.2025.16450'!$D$2:$D$11,MATCH("2025::jama.2025.16450::C009",'C_jama.2025.16450'!$A$2:$A$11,0))="retain",OR(INDEX('C_jama.2025.16450'!$E$2:$E$11,MATCH("2025::jama.2025.16450::C009",'C_jama.2025.16450'!$A$2:$A$11,0))="report_internal_inconsistency",INDEX('C_jama.2025.16450'!$E$2:$E$11,MATCH("2025::jama.2025.16450::C009",'C_jama.2025.16450'!$A$2:$A$11,0))="plan_material")),IF(INDEX('C_jama.2025.16450'!$K$2:$K$11,MATCH("2025::jama.2025.16450::C009",'C_jama.2025.16450'!$A$2:$A$11,0))="","",INDEX('C_jama.2025.16450'!$K$2:$K$11,MATCH("2025::jama.2025.16450::C009",'C_jama.2025.16450'!$A$2:$A$11,0))),"not_applicable"),"NOT FROZEN")</x:f>
        <x:v>not_applicable</x:v>
      </x:c>
      <x:c r="H77" s="3" t="str">
        <x:f>IF(Setup!$B$6="primary",IF(AND(INDEX('C_jama.2025.16450'!$D$2:$D$11,MATCH("2025::jama.2025.16450::C009",'C_jama.2025.16450'!$A$2:$A$11,0))="retain",INDEX('C_jama.2025.16450'!$E$2:$E$11,MATCH("2025::jama.2025.16450::C009",'C_jama.2025.16450'!$A$2:$A$11,0))="protocol_report"),IF(INDEX('C_jama.2025.16450'!$L$2:$L$11,MATCH("2025::jama.2025.16450::C009",'C_jama.2025.16450'!$A$2:$A$11,0))="","",INDEX('C_jama.2025.16450'!$L$2:$L$11,MATCH("2025::jama.2025.16450::C009",'C_jama.2025.16450'!$A$2:$A$11,0))),"not_applicable"),"NOT FROZEN")</x:f>
        <x:v>not_applicable</x:v>
      </x:c>
      <x:c r="I77" s="3" t="str">
        <x:f>IF(Setup!$B$6="primary",IF(INDEX('C_jama.2025.16450'!$R$2:$R$11,MATCH("2025::jama.2025.16450::C009",'C_jama.2025.16450'!$A$2:$A$11,0))="","",INDEX('C_jama.2025.16450'!$R$2:$R$11,MATCH("2025::jama.2025.16450::C009",'C_jama.2025.16450'!$A$2:$A$11,0))),"NOT FROZEN")</x:f>
      </x:c>
      <x:c r="J77" s="3" t="str">
        <x:f>IF(Setup!$B$6="primary",INDEX('C_jama.2025.16450'!$F$2:$F$11,MATCH("2025::jama.2025.16450::C009",'C_jama.2025.16450'!$A$2:$A$11,0)),"NOT FROZEN")</x:f>
        <x:v>no</x:v>
      </x:c>
      <x:c r="K77" s="3" t="str">
        <x:f>IF(Setup!$B$6="primary",Setup!$B$2,"NOT FROZEN")</x:f>
      </x:c>
      <x:c r="L77" s="3" t="str">
        <x:f>IF(Setup!$B$6="primary",IF(OR(B77="",B77="not_applicable"),"","Disposition: "&amp;B77&amp;CHAR(10))&amp;IF(OR(C77="",C77="not_applicable"),"","Review domain: "&amp;C77&amp;CHAR(10))&amp;IF(OR(D77="",D77="not_applicable"),"","Statistcal_or_numerical issue: "&amp;D77&amp;CHAR(10))&amp;IF(OR(E77="",E77="not_applicable"),"","Substantiveness: "&amp;E77&amp;CHAR(10))&amp;IF(OR(F77="",F77="not_applicable"),"","Downstream impact: "&amp;F77&amp;CHAR(10))&amp;IF(OR(G77="",G77="not_applicable"),"","Report-internal or planning-material inconsistency: "&amp;G77&amp;CHAR(10))&amp;IF(OR(H77="",H77="not_applicable"),"","Protocol interpretation: "&amp;H77&amp;CHAR(10))&amp;IF(OR(I77="",I77="not_applicable"),"","Notes (optional): "&amp;I77&amp;CHAR(10)),"NOT FROZEN")</x:f>
        <x:v>Review domain: report_internal_inconsistency
</x:v>
      </x:c>
    </x:row>
    <x:row r="78" ht="70" customHeight="1">
      <x:c r="A78" s="6" t="str">
        <x:f>IF(Setup!$B$6="primary","2025::jama.2025.16450::C010","NOT FROZEN")</x:f>
        <x:v>2025::jama.2025.16450::C010</x:v>
      </x:c>
      <x:c r="B78" s="6" t="str">
        <x:f>IF(Setup!$B$6="primary",IF(INDEX('C_jama.2025.16450'!$D$2:$D$11,MATCH("2025::jama.2025.16450::C010",'C_jama.2025.16450'!$A$2:$A$11,0))="","",INDEX('C_jama.2025.16450'!$D$2:$D$11,MATCH("2025::jama.2025.16450::C010",'C_jama.2025.16450'!$A$2:$A$11,0))),"NOT FROZEN")</x:f>
      </x:c>
      <x:c r="C78" s="6" t="str">
        <x:f>IF(Setup!$B$6="primary",IF(INDEX('C_jama.2025.16450'!$E$2:$E$11,MATCH("2025::jama.2025.16450::C010",'C_jama.2025.16450'!$A$2:$A$11,0))="","",INDEX('C_jama.2025.16450'!$E$2:$E$11,MATCH("2025::jama.2025.16450::C010",'C_jama.2025.16450'!$A$2:$A$11,0))),"NOT FROZEN")</x:f>
        <x:v>report_internal_inconsistency</x:v>
      </x:c>
      <x:c r="D78" s="6" t="str">
        <x:f>IF(Setup!$B$6="primary",IF(AND(INDEX('C_jama.2025.16450'!$D$2:$D$11,MATCH("2025::jama.2025.16450::C010",'C_jama.2025.16450'!$A$2:$A$11,0))="retain",INDEX('C_jama.2025.16450'!$E$2:$E$11,MATCH("2025::jama.2025.16450::C010",'C_jama.2025.16450'!$A$2:$A$11,0))="statistical_results"),IF(INDEX('C_jama.2025.16450'!$H$2:$H$11,MATCH("2025::jama.2025.16450::C010",'C_jama.2025.16450'!$A$2:$A$11,0))="","",INDEX('C_jama.2025.16450'!$H$2:$H$11,MATCH("2025::jama.2025.16450::C010",'C_jama.2025.16450'!$A$2:$A$11,0))),"not_applicable"),"NOT FROZEN")</x:f>
        <x:v>not_applicable</x:v>
      </x:c>
      <x:c r="E78" s="6" t="str">
        <x:f>IF(Setup!$B$6="primary",IF(AND(INDEX('C_jama.2025.16450'!$D$2:$D$11,MATCH("2025::jama.2025.16450::C010",'C_jama.2025.16450'!$A$2:$A$11,0))="retain",INDEX('C_jama.2025.16450'!$E$2:$E$11,MATCH("2025::jama.2025.16450::C010",'C_jama.2025.16450'!$A$2:$A$11,0))="statistical_results"),IF(INDEX('C_jama.2025.16450'!$I$2:$I$11,MATCH("2025::jama.2025.16450::C010",'C_jama.2025.16450'!$A$2:$A$11,0))="","",INDEX('C_jama.2025.16450'!$I$2:$I$11,MATCH("2025::jama.2025.16450::C010",'C_jama.2025.16450'!$A$2:$A$11,0))),"not_applicable"),"NOT FROZEN")</x:f>
        <x:v>not_applicable</x:v>
      </x:c>
      <x:c r="F78" s="6" t="str">
        <x:f>IF(Setup!$B$6="primary",IF(AND(INDEX('C_jama.2025.16450'!$D$2:$D$11,MATCH("2025::jama.2025.16450::C010",'C_jama.2025.16450'!$A$2:$A$11,0))="retain",INDEX('C_jama.2025.16450'!$E$2:$E$11,MATCH("2025::jama.2025.16450::C010",'C_jama.2025.16450'!$A$2:$A$11,0))="statistical_results"),IF(INDEX('C_jama.2025.16450'!$J$2:$J$11,MATCH("2025::jama.2025.16450::C010",'C_jama.2025.16450'!$A$2:$A$11,0))="","",INDEX('C_jama.2025.16450'!$J$2:$J$11,MATCH("2025::jama.2025.16450::C010",'C_jama.2025.16450'!$A$2:$A$11,0))),"not_applicable"),"NOT FROZEN")</x:f>
        <x:v>not_applicable</x:v>
      </x:c>
      <x:c r="G78" s="6" t="str">
        <x:f>IF(Setup!$B$6="primary",IF(AND(INDEX('C_jama.2025.16450'!$D$2:$D$11,MATCH("2025::jama.2025.16450::C010",'C_jama.2025.16450'!$A$2:$A$11,0))="retain",OR(INDEX('C_jama.2025.16450'!$E$2:$E$11,MATCH("2025::jama.2025.16450::C010",'C_jama.2025.16450'!$A$2:$A$11,0))="report_internal_inconsistency",INDEX('C_jama.2025.16450'!$E$2:$E$11,MATCH("2025::jama.2025.16450::C010",'C_jama.2025.16450'!$A$2:$A$11,0))="plan_material")),IF(INDEX('C_jama.2025.16450'!$K$2:$K$11,MATCH("2025::jama.2025.16450::C010",'C_jama.2025.16450'!$A$2:$A$11,0))="","",INDEX('C_jama.2025.16450'!$K$2:$K$11,MATCH("2025::jama.2025.16450::C010",'C_jama.2025.16450'!$A$2:$A$11,0))),"not_applicable"),"NOT FROZEN")</x:f>
        <x:v>not_applicable</x:v>
      </x:c>
      <x:c r="H78" s="6" t="str">
        <x:f>IF(Setup!$B$6="primary",IF(AND(INDEX('C_jama.2025.16450'!$D$2:$D$11,MATCH("2025::jama.2025.16450::C010",'C_jama.2025.16450'!$A$2:$A$11,0))="retain",INDEX('C_jama.2025.16450'!$E$2:$E$11,MATCH("2025::jama.2025.16450::C010",'C_jama.2025.16450'!$A$2:$A$11,0))="protocol_report"),IF(INDEX('C_jama.2025.16450'!$L$2:$L$11,MATCH("2025::jama.2025.16450::C010",'C_jama.2025.16450'!$A$2:$A$11,0))="","",INDEX('C_jama.2025.16450'!$L$2:$L$11,MATCH("2025::jama.2025.16450::C010",'C_jama.2025.16450'!$A$2:$A$11,0))),"not_applicable"),"NOT FROZEN")</x:f>
        <x:v>not_applicable</x:v>
      </x:c>
      <x:c r="I78" s="6" t="str">
        <x:f>IF(Setup!$B$6="primary",IF(INDEX('C_jama.2025.16450'!$R$2:$R$11,MATCH("2025::jama.2025.16450::C010",'C_jama.2025.16450'!$A$2:$A$11,0))="","",INDEX('C_jama.2025.16450'!$R$2:$R$11,MATCH("2025::jama.2025.16450::C010",'C_jama.2025.16450'!$A$2:$A$11,0))),"NOT FROZEN")</x:f>
      </x:c>
      <x:c r="J78" s="6" t="str">
        <x:f>IF(Setup!$B$6="primary",INDEX('C_jama.2025.16450'!$F$2:$F$11,MATCH("2025::jama.2025.16450::C010",'C_jama.2025.16450'!$A$2:$A$11,0)),"NOT FROZEN")</x:f>
        <x:v>no</x:v>
      </x:c>
      <x:c r="K78" s="6" t="str">
        <x:f>IF(Setup!$B$6="primary",Setup!$B$2,"NOT FROZEN")</x:f>
      </x:c>
      <x:c r="L78" s="6" t="str">
        <x:f>IF(Setup!$B$6="primary",IF(OR(B78="",B78="not_applicable"),"","Disposition: "&amp;B78&amp;CHAR(10))&amp;IF(OR(C78="",C78="not_applicable"),"","Review domain: "&amp;C78&amp;CHAR(10))&amp;IF(OR(D78="",D78="not_applicable"),"","Statistcal_or_numerical issue: "&amp;D78&amp;CHAR(10))&amp;IF(OR(E78="",E78="not_applicable"),"","Substantiveness: "&amp;E78&amp;CHAR(10))&amp;IF(OR(F78="",F78="not_applicable"),"","Downstream impact: "&amp;F78&amp;CHAR(10))&amp;IF(OR(G78="",G78="not_applicable"),"","Report-internal or planning-material inconsistency: "&amp;G78&amp;CHAR(10))&amp;IF(OR(H78="",H78="not_applicable"),"","Protocol interpretation: "&amp;H78&amp;CHAR(10))&amp;IF(OR(I78="",I78="not_applicable"),"","Notes (optional): "&amp;I78&amp;CHAR(10)),"NOT FROZEN")</x:f>
        <x:v>Review domain: report_internal_inconsistency
</x:v>
      </x:c>
    </x:row>
    <x:row r="79" ht="70" customHeight="1">
      <x:c r="A79" s="3" t="str">
        <x:f>IF(Setup!$B$6="primary","2025::jama.2025.19563::C001","NOT FROZEN")</x:f>
        <x:v>2025::jama.2025.19563::C001</x:v>
      </x:c>
      <x:c r="B79" s="3" t="str">
        <x:f>IF(Setup!$B$6="primary",IF(INDEX('C_jama.2025.19563'!$D$2:$D$8,MATCH("2025::jama.2025.19563::C001",'C_jama.2025.19563'!$A$2:$A$8,0))="","",INDEX('C_jama.2025.19563'!$D$2:$D$8,MATCH("2025::jama.2025.19563::C001",'C_jama.2025.19563'!$A$2:$A$8,0))),"NOT FROZEN")</x:f>
      </x:c>
      <x:c r="C79" s="3" t="str">
        <x:f>IF(Setup!$B$6="primary",IF(INDEX('C_jama.2025.19563'!$E$2:$E$8,MATCH("2025::jama.2025.19563::C001",'C_jama.2025.19563'!$A$2:$A$8,0))="","",INDEX('C_jama.2025.19563'!$E$2:$E$8,MATCH("2025::jama.2025.19563::C001",'C_jama.2025.19563'!$A$2:$A$8,0))),"NOT FROZEN")</x:f>
        <x:v>protocol_report</x:v>
      </x:c>
      <x:c r="D79" s="3" t="str">
        <x:f>IF(Setup!$B$6="primary",IF(AND(INDEX('C_jama.2025.19563'!$D$2:$D$8,MATCH("2025::jama.2025.19563::C001",'C_jama.2025.19563'!$A$2:$A$8,0))="retain",INDEX('C_jama.2025.19563'!$E$2:$E$8,MATCH("2025::jama.2025.19563::C001",'C_jama.2025.19563'!$A$2:$A$8,0))="statistical_results"),IF(INDEX('C_jama.2025.19563'!$H$2:$H$8,MATCH("2025::jama.2025.19563::C001",'C_jama.2025.19563'!$A$2:$A$8,0))="","",INDEX('C_jama.2025.19563'!$H$2:$H$8,MATCH("2025::jama.2025.19563::C001",'C_jama.2025.19563'!$A$2:$A$8,0))),"not_applicable"),"NOT FROZEN")</x:f>
        <x:v>not_applicable</x:v>
      </x:c>
      <x:c r="E79" s="3" t="str">
        <x:f>IF(Setup!$B$6="primary",IF(AND(INDEX('C_jama.2025.19563'!$D$2:$D$8,MATCH("2025::jama.2025.19563::C001",'C_jama.2025.19563'!$A$2:$A$8,0))="retain",INDEX('C_jama.2025.19563'!$E$2:$E$8,MATCH("2025::jama.2025.19563::C001",'C_jama.2025.19563'!$A$2:$A$8,0))="statistical_results"),IF(INDEX('C_jama.2025.19563'!$I$2:$I$8,MATCH("2025::jama.2025.19563::C001",'C_jama.2025.19563'!$A$2:$A$8,0))="","",INDEX('C_jama.2025.19563'!$I$2:$I$8,MATCH("2025::jama.2025.19563::C001",'C_jama.2025.19563'!$A$2:$A$8,0))),"not_applicable"),"NOT FROZEN")</x:f>
        <x:v>not_applicable</x:v>
      </x:c>
      <x:c r="F79" s="3" t="str">
        <x:f>IF(Setup!$B$6="primary",IF(AND(INDEX('C_jama.2025.19563'!$D$2:$D$8,MATCH("2025::jama.2025.19563::C001",'C_jama.2025.19563'!$A$2:$A$8,0))="retain",INDEX('C_jama.2025.19563'!$E$2:$E$8,MATCH("2025::jama.2025.19563::C001",'C_jama.2025.19563'!$A$2:$A$8,0))="statistical_results"),IF(INDEX('C_jama.2025.19563'!$J$2:$J$8,MATCH("2025::jama.2025.19563::C001",'C_jama.2025.19563'!$A$2:$A$8,0))="","",INDEX('C_jama.2025.19563'!$J$2:$J$8,MATCH("2025::jama.2025.19563::C001",'C_jama.2025.19563'!$A$2:$A$8,0))),"not_applicable"),"NOT FROZEN")</x:f>
        <x:v>not_applicable</x:v>
      </x:c>
      <x:c r="G79" s="3" t="str">
        <x:f>IF(Setup!$B$6="primary",IF(AND(INDEX('C_jama.2025.19563'!$D$2:$D$8,MATCH("2025::jama.2025.19563::C001",'C_jama.2025.19563'!$A$2:$A$8,0))="retain",OR(INDEX('C_jama.2025.19563'!$E$2:$E$8,MATCH("2025::jama.2025.19563::C001",'C_jama.2025.19563'!$A$2:$A$8,0))="report_internal_inconsistency",INDEX('C_jama.2025.19563'!$E$2:$E$8,MATCH("2025::jama.2025.19563::C001",'C_jama.2025.19563'!$A$2:$A$8,0))="plan_material")),IF(INDEX('C_jama.2025.19563'!$K$2:$K$8,MATCH("2025::jama.2025.19563::C001",'C_jama.2025.19563'!$A$2:$A$8,0))="","",INDEX('C_jama.2025.19563'!$K$2:$K$8,MATCH("2025::jama.2025.19563::C001",'C_jama.2025.19563'!$A$2:$A$8,0))),"not_applicable"),"NOT FROZEN")</x:f>
        <x:v>not_applicable</x:v>
      </x:c>
      <x:c r="H79" s="3" t="str">
        <x:f>IF(Setup!$B$6="primary",IF(AND(INDEX('C_jama.2025.19563'!$D$2:$D$8,MATCH("2025::jama.2025.19563::C001",'C_jama.2025.19563'!$A$2:$A$8,0))="retain",INDEX('C_jama.2025.19563'!$E$2:$E$8,MATCH("2025::jama.2025.19563::C001",'C_jama.2025.19563'!$A$2:$A$8,0))="protocol_report"),IF(INDEX('C_jama.2025.19563'!$L$2:$L$8,MATCH("2025::jama.2025.19563::C001",'C_jama.2025.19563'!$A$2:$A$8,0))="","",INDEX('C_jama.2025.19563'!$L$2:$L$8,MATCH("2025::jama.2025.19563::C001",'C_jama.2025.19563'!$A$2:$A$8,0))),"not_applicable"),"NOT FROZEN")</x:f>
        <x:v>not_applicable</x:v>
      </x:c>
      <x:c r="I79" s="3" t="str">
        <x:f>IF(Setup!$B$6="primary",IF(INDEX('C_jama.2025.19563'!$R$2:$R$8,MATCH("2025::jama.2025.19563::C001",'C_jama.2025.19563'!$A$2:$A$8,0))="","",INDEX('C_jama.2025.19563'!$R$2:$R$8,MATCH("2025::jama.2025.19563::C001",'C_jama.2025.19563'!$A$2:$A$8,0))),"NOT FROZEN")</x:f>
      </x:c>
      <x:c r="J79" s="3" t="str">
        <x:f>IF(Setup!$B$6="primary",INDEX('C_jama.2025.19563'!$F$2:$F$8,MATCH("2025::jama.2025.19563::C001",'C_jama.2025.19563'!$A$2:$A$8,0)),"NOT FROZEN")</x:f>
        <x:v>no</x:v>
      </x:c>
      <x:c r="K79" s="3" t="str">
        <x:f>IF(Setup!$B$6="primary",Setup!$B$2,"NOT FROZEN")</x:f>
      </x:c>
      <x:c r="L79" s="3" t="str">
        <x:f>IF(Setup!$B$6="primary",IF(OR(B79="",B79="not_applicable"),"","Disposition: "&amp;B79&amp;CHAR(10))&amp;IF(OR(C79="",C79="not_applicable"),"","Review domain: "&amp;C79&amp;CHAR(10))&amp;IF(OR(D79="",D79="not_applicable"),"","Statistcal_or_numerical issue: "&amp;D79&amp;CHAR(10))&amp;IF(OR(E79="",E79="not_applicable"),"","Substantiveness: "&amp;E79&amp;CHAR(10))&amp;IF(OR(F79="",F79="not_applicable"),"","Downstream impact: "&amp;F79&amp;CHAR(10))&amp;IF(OR(G79="",G79="not_applicable"),"","Report-internal or planning-material inconsistency: "&amp;G79&amp;CHAR(10))&amp;IF(OR(H79="",H79="not_applicable"),"","Protocol interpretation: "&amp;H79&amp;CHAR(10))&amp;IF(OR(I79="",I79="not_applicable"),"","Notes (optional): "&amp;I79&amp;CHAR(10)),"NOT FROZEN")</x:f>
        <x:v>Review domain: protocol_report
</x:v>
      </x:c>
    </x:row>
    <x:row r="80" ht="70" customHeight="1">
      <x:c r="A80" s="6" t="str">
        <x:f>IF(Setup!$B$6="primary","2025::jama.2025.19563::C002","NOT FROZEN")</x:f>
        <x:v>2025::jama.2025.19563::C002</x:v>
      </x:c>
      <x:c r="B80" s="6" t="str">
        <x:f>IF(Setup!$B$6="primary",IF(INDEX('C_jama.2025.19563'!$D$2:$D$8,MATCH("2025::jama.2025.19563::C002",'C_jama.2025.19563'!$A$2:$A$8,0))="","",INDEX('C_jama.2025.19563'!$D$2:$D$8,MATCH("2025::jama.2025.19563::C002",'C_jama.2025.19563'!$A$2:$A$8,0))),"NOT FROZEN")</x:f>
      </x:c>
      <x:c r="C80" s="6" t="str">
        <x:f>IF(Setup!$B$6="primary",IF(INDEX('C_jama.2025.19563'!$E$2:$E$8,MATCH("2025::jama.2025.19563::C002",'C_jama.2025.19563'!$A$2:$A$8,0))="","",INDEX('C_jama.2025.19563'!$E$2:$E$8,MATCH("2025::jama.2025.19563::C002",'C_jama.2025.19563'!$A$2:$A$8,0))),"NOT FROZEN")</x:f>
        <x:v>statistical_results</x:v>
      </x:c>
      <x:c r="D80" s="6" t="str">
        <x:f>IF(Setup!$B$6="primary",IF(AND(INDEX('C_jama.2025.19563'!$D$2:$D$8,MATCH("2025::jama.2025.19563::C002",'C_jama.2025.19563'!$A$2:$A$8,0))="retain",INDEX('C_jama.2025.19563'!$E$2:$E$8,MATCH("2025::jama.2025.19563::C002",'C_jama.2025.19563'!$A$2:$A$8,0))="statistical_results"),IF(INDEX('C_jama.2025.19563'!$H$2:$H$8,MATCH("2025::jama.2025.19563::C002",'C_jama.2025.19563'!$A$2:$A$8,0))="","",INDEX('C_jama.2025.19563'!$H$2:$H$8,MATCH("2025::jama.2025.19563::C002",'C_jama.2025.19563'!$A$2:$A$8,0))),"not_applicable"),"NOT FROZEN")</x:f>
        <x:v>not_applicable</x:v>
      </x:c>
      <x:c r="E80" s="6" t="str">
        <x:f>IF(Setup!$B$6="primary",IF(AND(INDEX('C_jama.2025.19563'!$D$2:$D$8,MATCH("2025::jama.2025.19563::C002",'C_jama.2025.19563'!$A$2:$A$8,0))="retain",INDEX('C_jama.2025.19563'!$E$2:$E$8,MATCH("2025::jama.2025.19563::C002",'C_jama.2025.19563'!$A$2:$A$8,0))="statistical_results"),IF(INDEX('C_jama.2025.19563'!$I$2:$I$8,MATCH("2025::jama.2025.19563::C002",'C_jama.2025.19563'!$A$2:$A$8,0))="","",INDEX('C_jama.2025.19563'!$I$2:$I$8,MATCH("2025::jama.2025.19563::C002",'C_jama.2025.19563'!$A$2:$A$8,0))),"not_applicable"),"NOT FROZEN")</x:f>
        <x:v>not_applicable</x:v>
      </x:c>
      <x:c r="F80" s="6" t="str">
        <x:f>IF(Setup!$B$6="primary",IF(AND(INDEX('C_jama.2025.19563'!$D$2:$D$8,MATCH("2025::jama.2025.19563::C002",'C_jama.2025.19563'!$A$2:$A$8,0))="retain",INDEX('C_jama.2025.19563'!$E$2:$E$8,MATCH("2025::jama.2025.19563::C002",'C_jama.2025.19563'!$A$2:$A$8,0))="statistical_results"),IF(INDEX('C_jama.2025.19563'!$J$2:$J$8,MATCH("2025::jama.2025.19563::C002",'C_jama.2025.19563'!$A$2:$A$8,0))="","",INDEX('C_jama.2025.19563'!$J$2:$J$8,MATCH("2025::jama.2025.19563::C002",'C_jama.2025.19563'!$A$2:$A$8,0))),"not_applicable"),"NOT FROZEN")</x:f>
        <x:v>not_applicable</x:v>
      </x:c>
      <x:c r="G80" s="6" t="str">
        <x:f>IF(Setup!$B$6="primary",IF(AND(INDEX('C_jama.2025.19563'!$D$2:$D$8,MATCH("2025::jama.2025.19563::C002",'C_jama.2025.19563'!$A$2:$A$8,0))="retain",OR(INDEX('C_jama.2025.19563'!$E$2:$E$8,MATCH("2025::jama.2025.19563::C002",'C_jama.2025.19563'!$A$2:$A$8,0))="report_internal_inconsistency",INDEX('C_jama.2025.19563'!$E$2:$E$8,MATCH("2025::jama.2025.19563::C002",'C_jama.2025.19563'!$A$2:$A$8,0))="plan_material")),IF(INDEX('C_jama.2025.19563'!$K$2:$K$8,MATCH("2025::jama.2025.19563::C002",'C_jama.2025.19563'!$A$2:$A$8,0))="","",INDEX('C_jama.2025.19563'!$K$2:$K$8,MATCH("2025::jama.2025.19563::C002",'C_jama.2025.19563'!$A$2:$A$8,0))),"not_applicable"),"NOT FROZEN")</x:f>
        <x:v>not_applicable</x:v>
      </x:c>
      <x:c r="H80" s="6" t="str">
        <x:f>IF(Setup!$B$6="primary",IF(AND(INDEX('C_jama.2025.19563'!$D$2:$D$8,MATCH("2025::jama.2025.19563::C002",'C_jama.2025.19563'!$A$2:$A$8,0))="retain",INDEX('C_jama.2025.19563'!$E$2:$E$8,MATCH("2025::jama.2025.19563::C002",'C_jama.2025.19563'!$A$2:$A$8,0))="protocol_report"),IF(INDEX('C_jama.2025.19563'!$L$2:$L$8,MATCH("2025::jama.2025.19563::C002",'C_jama.2025.19563'!$A$2:$A$8,0))="","",INDEX('C_jama.2025.19563'!$L$2:$L$8,MATCH("2025::jama.2025.19563::C002",'C_jama.2025.19563'!$A$2:$A$8,0))),"not_applicable"),"NOT FROZEN")</x:f>
        <x:v>not_applicable</x:v>
      </x:c>
      <x:c r="I80" s="6" t="str">
        <x:f>IF(Setup!$B$6="primary",IF(INDEX('C_jama.2025.19563'!$R$2:$R$8,MATCH("2025::jama.2025.19563::C002",'C_jama.2025.19563'!$A$2:$A$8,0))="","",INDEX('C_jama.2025.19563'!$R$2:$R$8,MATCH("2025::jama.2025.19563::C002",'C_jama.2025.19563'!$A$2:$A$8,0))),"NOT FROZEN")</x:f>
      </x:c>
      <x:c r="J80" s="6" t="str">
        <x:f>IF(Setup!$B$6="primary",INDEX('C_jama.2025.19563'!$F$2:$F$8,MATCH("2025::jama.2025.19563::C002",'C_jama.2025.19563'!$A$2:$A$8,0)),"NOT FROZEN")</x:f>
        <x:v>no</x:v>
      </x:c>
      <x:c r="K80" s="6" t="str">
        <x:f>IF(Setup!$B$6="primary",Setup!$B$2,"NOT FROZEN")</x:f>
      </x:c>
      <x:c r="L80" s="6" t="str">
        <x:f>IF(Setup!$B$6="primary",IF(OR(B80="",B80="not_applicable"),"","Disposition: "&amp;B80&amp;CHAR(10))&amp;IF(OR(C80="",C80="not_applicable"),"","Review domain: "&amp;C80&amp;CHAR(10))&amp;IF(OR(D80="",D80="not_applicable"),"","Statistcal_or_numerical issue: "&amp;D80&amp;CHAR(10))&amp;IF(OR(E80="",E80="not_applicable"),"","Substantiveness: "&amp;E80&amp;CHAR(10))&amp;IF(OR(F80="",F80="not_applicable"),"","Downstream impact: "&amp;F80&amp;CHAR(10))&amp;IF(OR(G80="",G80="not_applicable"),"","Report-internal or planning-material inconsistency: "&amp;G80&amp;CHAR(10))&amp;IF(OR(H80="",H80="not_applicable"),"","Protocol interpretation: "&amp;H80&amp;CHAR(10))&amp;IF(OR(I80="",I80="not_applicable"),"","Notes (optional): "&amp;I80&amp;CHAR(10)),"NOT FROZEN")</x:f>
        <x:v>Review domain: statistical_results
</x:v>
      </x:c>
    </x:row>
    <x:row r="81" ht="70" customHeight="1">
      <x:c r="A81" s="3" t="str">
        <x:f>IF(Setup!$B$6="primary","2025::jama.2025.19563::C003","NOT FROZEN")</x:f>
        <x:v>2025::jama.2025.19563::C003</x:v>
      </x:c>
      <x:c r="B81" s="3" t="str">
        <x:f>IF(Setup!$B$6="primary",IF(INDEX('C_jama.2025.19563'!$D$2:$D$8,MATCH("2025::jama.2025.19563::C003",'C_jama.2025.19563'!$A$2:$A$8,0))="","",INDEX('C_jama.2025.19563'!$D$2:$D$8,MATCH("2025::jama.2025.19563::C003",'C_jama.2025.19563'!$A$2:$A$8,0))),"NOT FROZEN")</x:f>
      </x:c>
      <x:c r="C81" s="3" t="str">
        <x:f>IF(Setup!$B$6="primary",IF(INDEX('C_jama.2025.19563'!$E$2:$E$8,MATCH("2025::jama.2025.19563::C003",'C_jama.2025.19563'!$A$2:$A$8,0))="","",INDEX('C_jama.2025.19563'!$E$2:$E$8,MATCH("2025::jama.2025.19563::C003",'C_jama.2025.19563'!$A$2:$A$8,0))),"NOT FROZEN")</x:f>
        <x:v>report_internal_inconsistency</x:v>
      </x:c>
      <x:c r="D81" s="3" t="str">
        <x:f>IF(Setup!$B$6="primary",IF(AND(INDEX('C_jama.2025.19563'!$D$2:$D$8,MATCH("2025::jama.2025.19563::C003",'C_jama.2025.19563'!$A$2:$A$8,0))="retain",INDEX('C_jama.2025.19563'!$E$2:$E$8,MATCH("2025::jama.2025.19563::C003",'C_jama.2025.19563'!$A$2:$A$8,0))="statistical_results"),IF(INDEX('C_jama.2025.19563'!$H$2:$H$8,MATCH("2025::jama.2025.19563::C003",'C_jama.2025.19563'!$A$2:$A$8,0))="","",INDEX('C_jama.2025.19563'!$H$2:$H$8,MATCH("2025::jama.2025.19563::C003",'C_jama.2025.19563'!$A$2:$A$8,0))),"not_applicable"),"NOT FROZEN")</x:f>
        <x:v>not_applicable</x:v>
      </x:c>
      <x:c r="E81" s="3" t="str">
        <x:f>IF(Setup!$B$6="primary",IF(AND(INDEX('C_jama.2025.19563'!$D$2:$D$8,MATCH("2025::jama.2025.19563::C003",'C_jama.2025.19563'!$A$2:$A$8,0))="retain",INDEX('C_jama.2025.19563'!$E$2:$E$8,MATCH("2025::jama.2025.19563::C003",'C_jama.2025.19563'!$A$2:$A$8,0))="statistical_results"),IF(INDEX('C_jama.2025.19563'!$I$2:$I$8,MATCH("2025::jama.2025.19563::C003",'C_jama.2025.19563'!$A$2:$A$8,0))="","",INDEX('C_jama.2025.19563'!$I$2:$I$8,MATCH("2025::jama.2025.19563::C003",'C_jama.2025.19563'!$A$2:$A$8,0))),"not_applicable"),"NOT FROZEN")</x:f>
        <x:v>not_applicable</x:v>
      </x:c>
      <x:c r="F81" s="3" t="str">
        <x:f>IF(Setup!$B$6="primary",IF(AND(INDEX('C_jama.2025.19563'!$D$2:$D$8,MATCH("2025::jama.2025.19563::C003",'C_jama.2025.19563'!$A$2:$A$8,0))="retain",INDEX('C_jama.2025.19563'!$E$2:$E$8,MATCH("2025::jama.2025.19563::C003",'C_jama.2025.19563'!$A$2:$A$8,0))="statistical_results"),IF(INDEX('C_jama.2025.19563'!$J$2:$J$8,MATCH("2025::jama.2025.19563::C003",'C_jama.2025.19563'!$A$2:$A$8,0))="","",INDEX('C_jama.2025.19563'!$J$2:$J$8,MATCH("2025::jama.2025.19563::C003",'C_jama.2025.19563'!$A$2:$A$8,0))),"not_applicable"),"NOT FROZEN")</x:f>
        <x:v>not_applicable</x:v>
      </x:c>
      <x:c r="G81" s="3" t="str">
        <x:f>IF(Setup!$B$6="primary",IF(AND(INDEX('C_jama.2025.19563'!$D$2:$D$8,MATCH("2025::jama.2025.19563::C003",'C_jama.2025.19563'!$A$2:$A$8,0))="retain",OR(INDEX('C_jama.2025.19563'!$E$2:$E$8,MATCH("2025::jama.2025.19563::C003",'C_jama.2025.19563'!$A$2:$A$8,0))="report_internal_inconsistency",INDEX('C_jama.2025.19563'!$E$2:$E$8,MATCH("2025::jama.2025.19563::C003",'C_jama.2025.19563'!$A$2:$A$8,0))="plan_material")),IF(INDEX('C_jama.2025.19563'!$K$2:$K$8,MATCH("2025::jama.2025.19563::C003",'C_jama.2025.19563'!$A$2:$A$8,0))="","",INDEX('C_jama.2025.19563'!$K$2:$K$8,MATCH("2025::jama.2025.19563::C003",'C_jama.2025.19563'!$A$2:$A$8,0))),"not_applicable"),"NOT FROZEN")</x:f>
        <x:v>not_applicable</x:v>
      </x:c>
      <x:c r="H81" s="3" t="str">
        <x:f>IF(Setup!$B$6="primary",IF(AND(INDEX('C_jama.2025.19563'!$D$2:$D$8,MATCH("2025::jama.2025.19563::C003",'C_jama.2025.19563'!$A$2:$A$8,0))="retain",INDEX('C_jama.2025.19563'!$E$2:$E$8,MATCH("2025::jama.2025.19563::C003",'C_jama.2025.19563'!$A$2:$A$8,0))="protocol_report"),IF(INDEX('C_jama.2025.19563'!$L$2:$L$8,MATCH("2025::jama.2025.19563::C003",'C_jama.2025.19563'!$A$2:$A$8,0))="","",INDEX('C_jama.2025.19563'!$L$2:$L$8,MATCH("2025::jama.2025.19563::C003",'C_jama.2025.19563'!$A$2:$A$8,0))),"not_applicable"),"NOT FROZEN")</x:f>
        <x:v>not_applicable</x:v>
      </x:c>
      <x:c r="I81" s="3" t="str">
        <x:f>IF(Setup!$B$6="primary",IF(INDEX('C_jama.2025.19563'!$R$2:$R$8,MATCH("2025::jama.2025.19563::C003",'C_jama.2025.19563'!$A$2:$A$8,0))="","",INDEX('C_jama.2025.19563'!$R$2:$R$8,MATCH("2025::jama.2025.19563::C003",'C_jama.2025.19563'!$A$2:$A$8,0))),"NOT FROZEN")</x:f>
      </x:c>
      <x:c r="J81" s="3" t="str">
        <x:f>IF(Setup!$B$6="primary",INDEX('C_jama.2025.19563'!$F$2:$F$8,MATCH("2025::jama.2025.19563::C003",'C_jama.2025.19563'!$A$2:$A$8,0)),"NOT FROZEN")</x:f>
        <x:v>no</x:v>
      </x:c>
      <x:c r="K81" s="3" t="str">
        <x:f>IF(Setup!$B$6="primary",Setup!$B$2,"NOT FROZEN")</x:f>
      </x:c>
      <x:c r="L81" s="3" t="str">
        <x:f>IF(Setup!$B$6="primary",IF(OR(B81="",B81="not_applicable"),"","Disposition: "&amp;B81&amp;CHAR(10))&amp;IF(OR(C81="",C81="not_applicable"),"","Review domain: "&amp;C81&amp;CHAR(10))&amp;IF(OR(D81="",D81="not_applicable"),"","Statistcal_or_numerical issue: "&amp;D81&amp;CHAR(10))&amp;IF(OR(E81="",E81="not_applicable"),"","Substantiveness: "&amp;E81&amp;CHAR(10))&amp;IF(OR(F81="",F81="not_applicable"),"","Downstream impact: "&amp;F81&amp;CHAR(10))&amp;IF(OR(G81="",G81="not_applicable"),"","Report-internal or planning-material inconsistency: "&amp;G81&amp;CHAR(10))&amp;IF(OR(H81="",H81="not_applicable"),"","Protocol interpretation: "&amp;H81&amp;CHAR(10))&amp;IF(OR(I81="",I81="not_applicable"),"","Notes (optional): "&amp;I81&amp;CHAR(10)),"NOT FROZEN")</x:f>
        <x:v>Review domain: report_internal_inconsistency
</x:v>
      </x:c>
    </x:row>
    <x:row r="82" ht="70" customHeight="1">
      <x:c r="A82" s="6" t="str">
        <x:f>IF(Setup!$B$6="primary","2025::jama.2025.19563::C004","NOT FROZEN")</x:f>
        <x:v>2025::jama.2025.19563::C004</x:v>
      </x:c>
      <x:c r="B82" s="6" t="str">
        <x:f>IF(Setup!$B$6="primary",IF(INDEX('C_jama.2025.19563'!$D$2:$D$8,MATCH("2025::jama.2025.19563::C004",'C_jama.2025.19563'!$A$2:$A$8,0))="","",INDEX('C_jama.2025.19563'!$D$2:$D$8,MATCH("2025::jama.2025.19563::C004",'C_jama.2025.19563'!$A$2:$A$8,0))),"NOT FROZEN")</x:f>
      </x:c>
      <x:c r="C82" s="6" t="str">
        <x:f>IF(Setup!$B$6="primary",IF(INDEX('C_jama.2025.19563'!$E$2:$E$8,MATCH("2025::jama.2025.19563::C004",'C_jama.2025.19563'!$A$2:$A$8,0))="","",INDEX('C_jama.2025.19563'!$E$2:$E$8,MATCH("2025::jama.2025.19563::C004",'C_jama.2025.19563'!$A$2:$A$8,0))),"NOT FROZEN")</x:f>
        <x:v>report_internal_inconsistency</x:v>
      </x:c>
      <x:c r="D82" s="6" t="str">
        <x:f>IF(Setup!$B$6="primary",IF(AND(INDEX('C_jama.2025.19563'!$D$2:$D$8,MATCH("2025::jama.2025.19563::C004",'C_jama.2025.19563'!$A$2:$A$8,0))="retain",INDEX('C_jama.2025.19563'!$E$2:$E$8,MATCH("2025::jama.2025.19563::C004",'C_jama.2025.19563'!$A$2:$A$8,0))="statistical_results"),IF(INDEX('C_jama.2025.19563'!$H$2:$H$8,MATCH("2025::jama.2025.19563::C004",'C_jama.2025.19563'!$A$2:$A$8,0))="","",INDEX('C_jama.2025.19563'!$H$2:$H$8,MATCH("2025::jama.2025.19563::C004",'C_jama.2025.19563'!$A$2:$A$8,0))),"not_applicable"),"NOT FROZEN")</x:f>
        <x:v>not_applicable</x:v>
      </x:c>
      <x:c r="E82" s="6" t="str">
        <x:f>IF(Setup!$B$6="primary",IF(AND(INDEX('C_jama.2025.19563'!$D$2:$D$8,MATCH("2025::jama.2025.19563::C004",'C_jama.2025.19563'!$A$2:$A$8,0))="retain",INDEX('C_jama.2025.19563'!$E$2:$E$8,MATCH("2025::jama.2025.19563::C004",'C_jama.2025.19563'!$A$2:$A$8,0))="statistical_results"),IF(INDEX('C_jama.2025.19563'!$I$2:$I$8,MATCH("2025::jama.2025.19563::C004",'C_jama.2025.19563'!$A$2:$A$8,0))="","",INDEX('C_jama.2025.19563'!$I$2:$I$8,MATCH("2025::jama.2025.19563::C004",'C_jama.2025.19563'!$A$2:$A$8,0))),"not_applicable"),"NOT FROZEN")</x:f>
        <x:v>not_applicable</x:v>
      </x:c>
      <x:c r="F82" s="6" t="str">
        <x:f>IF(Setup!$B$6="primary",IF(AND(INDEX('C_jama.2025.19563'!$D$2:$D$8,MATCH("2025::jama.2025.19563::C004",'C_jama.2025.19563'!$A$2:$A$8,0))="retain",INDEX('C_jama.2025.19563'!$E$2:$E$8,MATCH("2025::jama.2025.19563::C004",'C_jama.2025.19563'!$A$2:$A$8,0))="statistical_results"),IF(INDEX('C_jama.2025.19563'!$J$2:$J$8,MATCH("2025::jama.2025.19563::C004",'C_jama.2025.19563'!$A$2:$A$8,0))="","",INDEX('C_jama.2025.19563'!$J$2:$J$8,MATCH("2025::jama.2025.19563::C004",'C_jama.2025.19563'!$A$2:$A$8,0))),"not_applicable"),"NOT FROZEN")</x:f>
        <x:v>not_applicable</x:v>
      </x:c>
      <x:c r="G82" s="6" t="str">
        <x:f>IF(Setup!$B$6="primary",IF(AND(INDEX('C_jama.2025.19563'!$D$2:$D$8,MATCH("2025::jama.2025.19563::C004",'C_jama.2025.19563'!$A$2:$A$8,0))="retain",OR(INDEX('C_jama.2025.19563'!$E$2:$E$8,MATCH("2025::jama.2025.19563::C004",'C_jama.2025.19563'!$A$2:$A$8,0))="report_internal_inconsistency",INDEX('C_jama.2025.19563'!$E$2:$E$8,MATCH("2025::jama.2025.19563::C004",'C_jama.2025.19563'!$A$2:$A$8,0))="plan_material")),IF(INDEX('C_jama.2025.19563'!$K$2:$K$8,MATCH("2025::jama.2025.19563::C004",'C_jama.2025.19563'!$A$2:$A$8,0))="","",INDEX('C_jama.2025.19563'!$K$2:$K$8,MATCH("2025::jama.2025.19563::C004",'C_jama.2025.19563'!$A$2:$A$8,0))),"not_applicable"),"NOT FROZEN")</x:f>
        <x:v>not_applicable</x:v>
      </x:c>
      <x:c r="H82" s="6" t="str">
        <x:f>IF(Setup!$B$6="primary",IF(AND(INDEX('C_jama.2025.19563'!$D$2:$D$8,MATCH("2025::jama.2025.19563::C004",'C_jama.2025.19563'!$A$2:$A$8,0))="retain",INDEX('C_jama.2025.19563'!$E$2:$E$8,MATCH("2025::jama.2025.19563::C004",'C_jama.2025.19563'!$A$2:$A$8,0))="protocol_report"),IF(INDEX('C_jama.2025.19563'!$L$2:$L$8,MATCH("2025::jama.2025.19563::C004",'C_jama.2025.19563'!$A$2:$A$8,0))="","",INDEX('C_jama.2025.19563'!$L$2:$L$8,MATCH("2025::jama.2025.19563::C004",'C_jama.2025.19563'!$A$2:$A$8,0))),"not_applicable"),"NOT FROZEN")</x:f>
        <x:v>not_applicable</x:v>
      </x:c>
      <x:c r="I82" s="6" t="str">
        <x:f>IF(Setup!$B$6="primary",IF(INDEX('C_jama.2025.19563'!$R$2:$R$8,MATCH("2025::jama.2025.19563::C004",'C_jama.2025.19563'!$A$2:$A$8,0))="","",INDEX('C_jama.2025.19563'!$R$2:$R$8,MATCH("2025::jama.2025.19563::C004",'C_jama.2025.19563'!$A$2:$A$8,0))),"NOT FROZEN")</x:f>
      </x:c>
      <x:c r="J82" s="6" t="str">
        <x:f>IF(Setup!$B$6="primary",INDEX('C_jama.2025.19563'!$F$2:$F$8,MATCH("2025::jama.2025.19563::C004",'C_jama.2025.19563'!$A$2:$A$8,0)),"NOT FROZEN")</x:f>
        <x:v>no</x:v>
      </x:c>
      <x:c r="K82" s="6" t="str">
        <x:f>IF(Setup!$B$6="primary",Setup!$B$2,"NOT FROZEN")</x:f>
      </x:c>
      <x:c r="L82" s="6" t="str">
        <x:f>IF(Setup!$B$6="primary",IF(OR(B82="",B82="not_applicable"),"","Disposition: "&amp;B82&amp;CHAR(10))&amp;IF(OR(C82="",C82="not_applicable"),"","Review domain: "&amp;C82&amp;CHAR(10))&amp;IF(OR(D82="",D82="not_applicable"),"","Statistcal_or_numerical issue: "&amp;D82&amp;CHAR(10))&amp;IF(OR(E82="",E82="not_applicable"),"","Substantiveness: "&amp;E82&amp;CHAR(10))&amp;IF(OR(F82="",F82="not_applicable"),"","Downstream impact: "&amp;F82&amp;CHAR(10))&amp;IF(OR(G82="",G82="not_applicable"),"","Report-internal or planning-material inconsistency: "&amp;G82&amp;CHAR(10))&amp;IF(OR(H82="",H82="not_applicable"),"","Protocol interpretation: "&amp;H82&amp;CHAR(10))&amp;IF(OR(I82="",I82="not_applicable"),"","Notes (optional): "&amp;I82&amp;CHAR(10)),"NOT FROZEN")</x:f>
        <x:v>Review domain: report_internal_inconsistency
</x:v>
      </x:c>
    </x:row>
    <x:row r="83" ht="70" customHeight="1">
      <x:c r="A83" s="3" t="str">
        <x:f>IF(Setup!$B$6="primary","2025::jama.2025.19563::C005","NOT FROZEN")</x:f>
        <x:v>2025::jama.2025.19563::C005</x:v>
      </x:c>
      <x:c r="B83" s="3" t="str">
        <x:f>IF(Setup!$B$6="primary",IF(INDEX('C_jama.2025.19563'!$D$2:$D$8,MATCH("2025::jama.2025.19563::C005",'C_jama.2025.19563'!$A$2:$A$8,0))="","",INDEX('C_jama.2025.19563'!$D$2:$D$8,MATCH("2025::jama.2025.19563::C005",'C_jama.2025.19563'!$A$2:$A$8,0))),"NOT FROZEN")</x:f>
      </x:c>
      <x:c r="C83" s="3" t="str">
        <x:f>IF(Setup!$B$6="primary",IF(INDEX('C_jama.2025.19563'!$E$2:$E$8,MATCH("2025::jama.2025.19563::C005",'C_jama.2025.19563'!$A$2:$A$8,0))="","",INDEX('C_jama.2025.19563'!$E$2:$E$8,MATCH("2025::jama.2025.19563::C005",'C_jama.2025.19563'!$A$2:$A$8,0))),"NOT FROZEN")</x:f>
        <x:v>statistical_results</x:v>
      </x:c>
      <x:c r="D83" s="3" t="str">
        <x:f>IF(Setup!$B$6="primary",IF(AND(INDEX('C_jama.2025.19563'!$D$2:$D$8,MATCH("2025::jama.2025.19563::C005",'C_jama.2025.19563'!$A$2:$A$8,0))="retain",INDEX('C_jama.2025.19563'!$E$2:$E$8,MATCH("2025::jama.2025.19563::C005",'C_jama.2025.19563'!$A$2:$A$8,0))="statistical_results"),IF(INDEX('C_jama.2025.19563'!$H$2:$H$8,MATCH("2025::jama.2025.19563::C005",'C_jama.2025.19563'!$A$2:$A$8,0))="","",INDEX('C_jama.2025.19563'!$H$2:$H$8,MATCH("2025::jama.2025.19563::C005",'C_jama.2025.19563'!$A$2:$A$8,0))),"not_applicable"),"NOT FROZEN")</x:f>
        <x:v>not_applicable</x:v>
      </x:c>
      <x:c r="E83" s="3" t="str">
        <x:f>IF(Setup!$B$6="primary",IF(AND(INDEX('C_jama.2025.19563'!$D$2:$D$8,MATCH("2025::jama.2025.19563::C005",'C_jama.2025.19563'!$A$2:$A$8,0))="retain",INDEX('C_jama.2025.19563'!$E$2:$E$8,MATCH("2025::jama.2025.19563::C005",'C_jama.2025.19563'!$A$2:$A$8,0))="statistical_results"),IF(INDEX('C_jama.2025.19563'!$I$2:$I$8,MATCH("2025::jama.2025.19563::C005",'C_jama.2025.19563'!$A$2:$A$8,0))="","",INDEX('C_jama.2025.19563'!$I$2:$I$8,MATCH("2025::jama.2025.19563::C005",'C_jama.2025.19563'!$A$2:$A$8,0))),"not_applicable"),"NOT FROZEN")</x:f>
        <x:v>not_applicable</x:v>
      </x:c>
      <x:c r="F83" s="3" t="str">
        <x:f>IF(Setup!$B$6="primary",IF(AND(INDEX('C_jama.2025.19563'!$D$2:$D$8,MATCH("2025::jama.2025.19563::C005",'C_jama.2025.19563'!$A$2:$A$8,0))="retain",INDEX('C_jama.2025.19563'!$E$2:$E$8,MATCH("2025::jama.2025.19563::C005",'C_jama.2025.19563'!$A$2:$A$8,0))="statistical_results"),IF(INDEX('C_jama.2025.19563'!$J$2:$J$8,MATCH("2025::jama.2025.19563::C005",'C_jama.2025.19563'!$A$2:$A$8,0))="","",INDEX('C_jama.2025.19563'!$J$2:$J$8,MATCH("2025::jama.2025.19563::C005",'C_jama.2025.19563'!$A$2:$A$8,0))),"not_applicable"),"NOT FROZEN")</x:f>
        <x:v>not_applicable</x:v>
      </x:c>
      <x:c r="G83" s="3" t="str">
        <x:f>IF(Setup!$B$6="primary",IF(AND(INDEX('C_jama.2025.19563'!$D$2:$D$8,MATCH("2025::jama.2025.19563::C005",'C_jama.2025.19563'!$A$2:$A$8,0))="retain",OR(INDEX('C_jama.2025.19563'!$E$2:$E$8,MATCH("2025::jama.2025.19563::C005",'C_jama.2025.19563'!$A$2:$A$8,0))="report_internal_inconsistency",INDEX('C_jama.2025.19563'!$E$2:$E$8,MATCH("2025::jama.2025.19563::C005",'C_jama.2025.19563'!$A$2:$A$8,0))="plan_material")),IF(INDEX('C_jama.2025.19563'!$K$2:$K$8,MATCH("2025::jama.2025.19563::C005",'C_jama.2025.19563'!$A$2:$A$8,0))="","",INDEX('C_jama.2025.19563'!$K$2:$K$8,MATCH("2025::jama.2025.19563::C005",'C_jama.2025.19563'!$A$2:$A$8,0))),"not_applicable"),"NOT FROZEN")</x:f>
        <x:v>not_applicable</x:v>
      </x:c>
      <x:c r="H83" s="3" t="str">
        <x:f>IF(Setup!$B$6="primary",IF(AND(INDEX('C_jama.2025.19563'!$D$2:$D$8,MATCH("2025::jama.2025.19563::C005",'C_jama.2025.19563'!$A$2:$A$8,0))="retain",INDEX('C_jama.2025.19563'!$E$2:$E$8,MATCH("2025::jama.2025.19563::C005",'C_jama.2025.19563'!$A$2:$A$8,0))="protocol_report"),IF(INDEX('C_jama.2025.19563'!$L$2:$L$8,MATCH("2025::jama.2025.19563::C005",'C_jama.2025.19563'!$A$2:$A$8,0))="","",INDEX('C_jama.2025.19563'!$L$2:$L$8,MATCH("2025::jama.2025.19563::C005",'C_jama.2025.19563'!$A$2:$A$8,0))),"not_applicable"),"NOT FROZEN")</x:f>
        <x:v>not_applicable</x:v>
      </x:c>
      <x:c r="I83" s="3" t="str">
        <x:f>IF(Setup!$B$6="primary",IF(INDEX('C_jama.2025.19563'!$R$2:$R$8,MATCH("2025::jama.2025.19563::C005",'C_jama.2025.19563'!$A$2:$A$8,0))="","",INDEX('C_jama.2025.19563'!$R$2:$R$8,MATCH("2025::jama.2025.19563::C005",'C_jama.2025.19563'!$A$2:$A$8,0))),"NOT FROZEN")</x:f>
      </x:c>
      <x:c r="J83" s="3" t="str">
        <x:f>IF(Setup!$B$6="primary",INDEX('C_jama.2025.19563'!$F$2:$F$8,MATCH("2025::jama.2025.19563::C005",'C_jama.2025.19563'!$A$2:$A$8,0)),"NOT FROZEN")</x:f>
        <x:v>no</x:v>
      </x:c>
      <x:c r="K83" s="3" t="str">
        <x:f>IF(Setup!$B$6="primary",Setup!$B$2,"NOT FROZEN")</x:f>
      </x:c>
      <x:c r="L83" s="3" t="str">
        <x:f>IF(Setup!$B$6="primary",IF(OR(B83="",B83="not_applicable"),"","Disposition: "&amp;B83&amp;CHAR(10))&amp;IF(OR(C83="",C83="not_applicable"),"","Review domain: "&amp;C83&amp;CHAR(10))&amp;IF(OR(D83="",D83="not_applicable"),"","Statistcal_or_numerical issue: "&amp;D83&amp;CHAR(10))&amp;IF(OR(E83="",E83="not_applicable"),"","Substantiveness: "&amp;E83&amp;CHAR(10))&amp;IF(OR(F83="",F83="not_applicable"),"","Downstream impact: "&amp;F83&amp;CHAR(10))&amp;IF(OR(G83="",G83="not_applicable"),"","Report-internal or planning-material inconsistency: "&amp;G83&amp;CHAR(10))&amp;IF(OR(H83="",H83="not_applicable"),"","Protocol interpretation: "&amp;H83&amp;CHAR(10))&amp;IF(OR(I83="",I83="not_applicable"),"","Notes (optional): "&amp;I83&amp;CHAR(10)),"NOT FROZEN")</x:f>
        <x:v>Review domain: statistical_results
</x:v>
      </x:c>
    </x:row>
    <x:row r="84" ht="70" customHeight="1">
      <x:c r="A84" s="6" t="str">
        <x:f>IF(Setup!$B$6="primary","2025::jama.2025.19563::C006","NOT FROZEN")</x:f>
        <x:v>2025::jama.2025.19563::C006</x:v>
      </x:c>
      <x:c r="B84" s="6" t="str">
        <x:f>IF(Setup!$B$6="primary",IF(INDEX('C_jama.2025.19563'!$D$2:$D$8,MATCH("2025::jama.2025.19563::C006",'C_jama.2025.19563'!$A$2:$A$8,0))="","",INDEX('C_jama.2025.19563'!$D$2:$D$8,MATCH("2025::jama.2025.19563::C006",'C_jama.2025.19563'!$A$2:$A$8,0))),"NOT FROZEN")</x:f>
      </x:c>
      <x:c r="C84" s="6" t="str">
        <x:f>IF(Setup!$B$6="primary",IF(INDEX('C_jama.2025.19563'!$E$2:$E$8,MATCH("2025::jama.2025.19563::C006",'C_jama.2025.19563'!$A$2:$A$8,0))="","",INDEX('C_jama.2025.19563'!$E$2:$E$8,MATCH("2025::jama.2025.19563::C006",'C_jama.2025.19563'!$A$2:$A$8,0))),"NOT FROZEN")</x:f>
        <x:v>statistical_results</x:v>
      </x:c>
      <x:c r="D84" s="6" t="str">
        <x:f>IF(Setup!$B$6="primary",IF(AND(INDEX('C_jama.2025.19563'!$D$2:$D$8,MATCH("2025::jama.2025.19563::C006",'C_jama.2025.19563'!$A$2:$A$8,0))="retain",INDEX('C_jama.2025.19563'!$E$2:$E$8,MATCH("2025::jama.2025.19563::C006",'C_jama.2025.19563'!$A$2:$A$8,0))="statistical_results"),IF(INDEX('C_jama.2025.19563'!$H$2:$H$8,MATCH("2025::jama.2025.19563::C006",'C_jama.2025.19563'!$A$2:$A$8,0))="","",INDEX('C_jama.2025.19563'!$H$2:$H$8,MATCH("2025::jama.2025.19563::C006",'C_jama.2025.19563'!$A$2:$A$8,0))),"not_applicable"),"NOT FROZEN")</x:f>
        <x:v>not_applicable</x:v>
      </x:c>
      <x:c r="E84" s="6" t="str">
        <x:f>IF(Setup!$B$6="primary",IF(AND(INDEX('C_jama.2025.19563'!$D$2:$D$8,MATCH("2025::jama.2025.19563::C006",'C_jama.2025.19563'!$A$2:$A$8,0))="retain",INDEX('C_jama.2025.19563'!$E$2:$E$8,MATCH("2025::jama.2025.19563::C006",'C_jama.2025.19563'!$A$2:$A$8,0))="statistical_results"),IF(INDEX('C_jama.2025.19563'!$I$2:$I$8,MATCH("2025::jama.2025.19563::C006",'C_jama.2025.19563'!$A$2:$A$8,0))="","",INDEX('C_jama.2025.19563'!$I$2:$I$8,MATCH("2025::jama.2025.19563::C006",'C_jama.2025.19563'!$A$2:$A$8,0))),"not_applicable"),"NOT FROZEN")</x:f>
        <x:v>not_applicable</x:v>
      </x:c>
      <x:c r="F84" s="6" t="str">
        <x:f>IF(Setup!$B$6="primary",IF(AND(INDEX('C_jama.2025.19563'!$D$2:$D$8,MATCH("2025::jama.2025.19563::C006",'C_jama.2025.19563'!$A$2:$A$8,0))="retain",INDEX('C_jama.2025.19563'!$E$2:$E$8,MATCH("2025::jama.2025.19563::C006",'C_jama.2025.19563'!$A$2:$A$8,0))="statistical_results"),IF(INDEX('C_jama.2025.19563'!$J$2:$J$8,MATCH("2025::jama.2025.19563::C006",'C_jama.2025.19563'!$A$2:$A$8,0))="","",INDEX('C_jama.2025.19563'!$J$2:$J$8,MATCH("2025::jama.2025.19563::C006",'C_jama.2025.19563'!$A$2:$A$8,0))),"not_applicable"),"NOT FROZEN")</x:f>
        <x:v>not_applicable</x:v>
      </x:c>
      <x:c r="G84" s="6" t="str">
        <x:f>IF(Setup!$B$6="primary",IF(AND(INDEX('C_jama.2025.19563'!$D$2:$D$8,MATCH("2025::jama.2025.19563::C006",'C_jama.2025.19563'!$A$2:$A$8,0))="retain",OR(INDEX('C_jama.2025.19563'!$E$2:$E$8,MATCH("2025::jama.2025.19563::C006",'C_jama.2025.19563'!$A$2:$A$8,0))="report_internal_inconsistency",INDEX('C_jama.2025.19563'!$E$2:$E$8,MATCH("2025::jama.2025.19563::C006",'C_jama.2025.19563'!$A$2:$A$8,0))="plan_material")),IF(INDEX('C_jama.2025.19563'!$K$2:$K$8,MATCH("2025::jama.2025.19563::C006",'C_jama.2025.19563'!$A$2:$A$8,0))="","",INDEX('C_jama.2025.19563'!$K$2:$K$8,MATCH("2025::jama.2025.19563::C006",'C_jama.2025.19563'!$A$2:$A$8,0))),"not_applicable"),"NOT FROZEN")</x:f>
        <x:v>not_applicable</x:v>
      </x:c>
      <x:c r="H84" s="6" t="str">
        <x:f>IF(Setup!$B$6="primary",IF(AND(INDEX('C_jama.2025.19563'!$D$2:$D$8,MATCH("2025::jama.2025.19563::C006",'C_jama.2025.19563'!$A$2:$A$8,0))="retain",INDEX('C_jama.2025.19563'!$E$2:$E$8,MATCH("2025::jama.2025.19563::C006",'C_jama.2025.19563'!$A$2:$A$8,0))="protocol_report"),IF(INDEX('C_jama.2025.19563'!$L$2:$L$8,MATCH("2025::jama.2025.19563::C006",'C_jama.2025.19563'!$A$2:$A$8,0))="","",INDEX('C_jama.2025.19563'!$L$2:$L$8,MATCH("2025::jama.2025.19563::C006",'C_jama.2025.19563'!$A$2:$A$8,0))),"not_applicable"),"NOT FROZEN")</x:f>
        <x:v>not_applicable</x:v>
      </x:c>
      <x:c r="I84" s="6" t="str">
        <x:f>IF(Setup!$B$6="primary",IF(INDEX('C_jama.2025.19563'!$R$2:$R$8,MATCH("2025::jama.2025.19563::C006",'C_jama.2025.19563'!$A$2:$A$8,0))="","",INDEX('C_jama.2025.19563'!$R$2:$R$8,MATCH("2025::jama.2025.19563::C006",'C_jama.2025.19563'!$A$2:$A$8,0))),"NOT FROZEN")</x:f>
      </x:c>
      <x:c r="J84" s="6" t="str">
        <x:f>IF(Setup!$B$6="primary",INDEX('C_jama.2025.19563'!$F$2:$F$8,MATCH("2025::jama.2025.19563::C006",'C_jama.2025.19563'!$A$2:$A$8,0)),"NOT FROZEN")</x:f>
        <x:v>no</x:v>
      </x:c>
      <x:c r="K84" s="6" t="str">
        <x:f>IF(Setup!$B$6="primary",Setup!$B$2,"NOT FROZEN")</x:f>
      </x:c>
      <x:c r="L84" s="6" t="str">
        <x:f>IF(Setup!$B$6="primary",IF(OR(B84="",B84="not_applicable"),"","Disposition: "&amp;B84&amp;CHAR(10))&amp;IF(OR(C84="",C84="not_applicable"),"","Review domain: "&amp;C84&amp;CHAR(10))&amp;IF(OR(D84="",D84="not_applicable"),"","Statistcal_or_numerical issue: "&amp;D84&amp;CHAR(10))&amp;IF(OR(E84="",E84="not_applicable"),"","Substantiveness: "&amp;E84&amp;CHAR(10))&amp;IF(OR(F84="",F84="not_applicable"),"","Downstream impact: "&amp;F84&amp;CHAR(10))&amp;IF(OR(G84="",G84="not_applicable"),"","Report-internal or planning-material inconsistency: "&amp;G84&amp;CHAR(10))&amp;IF(OR(H84="",H84="not_applicable"),"","Protocol interpretation: "&amp;H84&amp;CHAR(10))&amp;IF(OR(I84="",I84="not_applicable"),"","Notes (optional): "&amp;I84&amp;CHAR(10)),"NOT FROZEN")</x:f>
        <x:v>Review domain: statistical_results
</x:v>
      </x:c>
    </x:row>
    <x:row r="85" ht="70" customHeight="1">
      <x:c r="A85" s="3" t="str">
        <x:f>IF(Setup!$B$6="primary","2025::jama.2025.19563::C007","NOT FROZEN")</x:f>
        <x:v>2025::jama.2025.19563::C007</x:v>
      </x:c>
      <x:c r="B85" s="3" t="str">
        <x:f>IF(Setup!$B$6="primary",IF(INDEX('C_jama.2025.19563'!$D$2:$D$8,MATCH("2025::jama.2025.19563::C007",'C_jama.2025.19563'!$A$2:$A$8,0))="","",INDEX('C_jama.2025.19563'!$D$2:$D$8,MATCH("2025::jama.2025.19563::C007",'C_jama.2025.19563'!$A$2:$A$8,0))),"NOT FROZEN")</x:f>
      </x:c>
      <x:c r="C85" s="3" t="str">
        <x:f>IF(Setup!$B$6="primary",IF(INDEX('C_jama.2025.19563'!$E$2:$E$8,MATCH("2025::jama.2025.19563::C007",'C_jama.2025.19563'!$A$2:$A$8,0))="","",INDEX('C_jama.2025.19563'!$E$2:$E$8,MATCH("2025::jama.2025.19563::C007",'C_jama.2025.19563'!$A$2:$A$8,0))),"NOT FROZEN")</x:f>
        <x:v>statistical_results</x:v>
      </x:c>
      <x:c r="D85" s="3" t="str">
        <x:f>IF(Setup!$B$6="primary",IF(AND(INDEX('C_jama.2025.19563'!$D$2:$D$8,MATCH("2025::jama.2025.19563::C007",'C_jama.2025.19563'!$A$2:$A$8,0))="retain",INDEX('C_jama.2025.19563'!$E$2:$E$8,MATCH("2025::jama.2025.19563::C007",'C_jama.2025.19563'!$A$2:$A$8,0))="statistical_results"),IF(INDEX('C_jama.2025.19563'!$H$2:$H$8,MATCH("2025::jama.2025.19563::C007",'C_jama.2025.19563'!$A$2:$A$8,0))="","",INDEX('C_jama.2025.19563'!$H$2:$H$8,MATCH("2025::jama.2025.19563::C007",'C_jama.2025.19563'!$A$2:$A$8,0))),"not_applicable"),"NOT FROZEN")</x:f>
        <x:v>not_applicable</x:v>
      </x:c>
      <x:c r="E85" s="3" t="str">
        <x:f>IF(Setup!$B$6="primary",IF(AND(INDEX('C_jama.2025.19563'!$D$2:$D$8,MATCH("2025::jama.2025.19563::C007",'C_jama.2025.19563'!$A$2:$A$8,0))="retain",INDEX('C_jama.2025.19563'!$E$2:$E$8,MATCH("2025::jama.2025.19563::C007",'C_jama.2025.19563'!$A$2:$A$8,0))="statistical_results"),IF(INDEX('C_jama.2025.19563'!$I$2:$I$8,MATCH("2025::jama.2025.19563::C007",'C_jama.2025.19563'!$A$2:$A$8,0))="","",INDEX('C_jama.2025.19563'!$I$2:$I$8,MATCH("2025::jama.2025.19563::C007",'C_jama.2025.19563'!$A$2:$A$8,0))),"not_applicable"),"NOT FROZEN")</x:f>
        <x:v>not_applicable</x:v>
      </x:c>
      <x:c r="F85" s="3" t="str">
        <x:f>IF(Setup!$B$6="primary",IF(AND(INDEX('C_jama.2025.19563'!$D$2:$D$8,MATCH("2025::jama.2025.19563::C007",'C_jama.2025.19563'!$A$2:$A$8,0))="retain",INDEX('C_jama.2025.19563'!$E$2:$E$8,MATCH("2025::jama.2025.19563::C007",'C_jama.2025.19563'!$A$2:$A$8,0))="statistical_results"),IF(INDEX('C_jama.2025.19563'!$J$2:$J$8,MATCH("2025::jama.2025.19563::C007",'C_jama.2025.19563'!$A$2:$A$8,0))="","",INDEX('C_jama.2025.19563'!$J$2:$J$8,MATCH("2025::jama.2025.19563::C007",'C_jama.2025.19563'!$A$2:$A$8,0))),"not_applicable"),"NOT FROZEN")</x:f>
        <x:v>not_applicable</x:v>
      </x:c>
      <x:c r="G85" s="3" t="str">
        <x:f>IF(Setup!$B$6="primary",IF(AND(INDEX('C_jama.2025.19563'!$D$2:$D$8,MATCH("2025::jama.2025.19563::C007",'C_jama.2025.19563'!$A$2:$A$8,0))="retain",OR(INDEX('C_jama.2025.19563'!$E$2:$E$8,MATCH("2025::jama.2025.19563::C007",'C_jama.2025.19563'!$A$2:$A$8,0))="report_internal_inconsistency",INDEX('C_jama.2025.19563'!$E$2:$E$8,MATCH("2025::jama.2025.19563::C007",'C_jama.2025.19563'!$A$2:$A$8,0))="plan_material")),IF(INDEX('C_jama.2025.19563'!$K$2:$K$8,MATCH("2025::jama.2025.19563::C007",'C_jama.2025.19563'!$A$2:$A$8,0))="","",INDEX('C_jama.2025.19563'!$K$2:$K$8,MATCH("2025::jama.2025.19563::C007",'C_jama.2025.19563'!$A$2:$A$8,0))),"not_applicable"),"NOT FROZEN")</x:f>
        <x:v>not_applicable</x:v>
      </x:c>
      <x:c r="H85" s="3" t="str">
        <x:f>IF(Setup!$B$6="primary",IF(AND(INDEX('C_jama.2025.19563'!$D$2:$D$8,MATCH("2025::jama.2025.19563::C007",'C_jama.2025.19563'!$A$2:$A$8,0))="retain",INDEX('C_jama.2025.19563'!$E$2:$E$8,MATCH("2025::jama.2025.19563::C007",'C_jama.2025.19563'!$A$2:$A$8,0))="protocol_report"),IF(INDEX('C_jama.2025.19563'!$L$2:$L$8,MATCH("2025::jama.2025.19563::C007",'C_jama.2025.19563'!$A$2:$A$8,0))="","",INDEX('C_jama.2025.19563'!$L$2:$L$8,MATCH("2025::jama.2025.19563::C007",'C_jama.2025.19563'!$A$2:$A$8,0))),"not_applicable"),"NOT FROZEN")</x:f>
        <x:v>not_applicable</x:v>
      </x:c>
      <x:c r="I85" s="3" t="str">
        <x:f>IF(Setup!$B$6="primary",IF(INDEX('C_jama.2025.19563'!$R$2:$R$8,MATCH("2025::jama.2025.19563::C007",'C_jama.2025.19563'!$A$2:$A$8,0))="","",INDEX('C_jama.2025.19563'!$R$2:$R$8,MATCH("2025::jama.2025.19563::C007",'C_jama.2025.19563'!$A$2:$A$8,0))),"NOT FROZEN")</x:f>
      </x:c>
      <x:c r="J85" s="3" t="str">
        <x:f>IF(Setup!$B$6="primary",INDEX('C_jama.2025.19563'!$F$2:$F$8,MATCH("2025::jama.2025.19563::C007",'C_jama.2025.19563'!$A$2:$A$8,0)),"NOT FROZEN")</x:f>
        <x:v>no</x:v>
      </x:c>
      <x:c r="K85" s="3" t="str">
        <x:f>IF(Setup!$B$6="primary",Setup!$B$2,"NOT FROZEN")</x:f>
      </x:c>
      <x:c r="L85" s="3" t="str">
        <x:f>IF(Setup!$B$6="primary",IF(OR(B85="",B85="not_applicable"),"","Disposition: "&amp;B85&amp;CHAR(10))&amp;IF(OR(C85="",C85="not_applicable"),"","Review domain: "&amp;C85&amp;CHAR(10))&amp;IF(OR(D85="",D85="not_applicable"),"","Statistcal_or_numerical issue: "&amp;D85&amp;CHAR(10))&amp;IF(OR(E85="",E85="not_applicable"),"","Substantiveness: "&amp;E85&amp;CHAR(10))&amp;IF(OR(F85="",F85="not_applicable"),"","Downstream impact: "&amp;F85&amp;CHAR(10))&amp;IF(OR(G85="",G85="not_applicable"),"","Report-internal or planning-material inconsistency: "&amp;G85&amp;CHAR(10))&amp;IF(OR(H85="",H85="not_applicable"),"","Protocol interpretation: "&amp;H85&amp;CHAR(10))&amp;IF(OR(I85="",I85="not_applicable"),"","Notes (optional): "&amp;I85&amp;CHAR(10)),"NOT FROZEN")</x:f>
        <x:v>Review domain: statistical_results
</x:v>
      </x:c>
    </x:row>
    <x:row r="86" ht="70" customHeight="1">
      <x:c r="A86" s="6" t="str">
        <x:f>IF(Setup!$B$6="primary","2025::jama.2025.19843::C001","NOT FROZEN")</x:f>
        <x:v>2025::jama.2025.19843::C001</x:v>
      </x:c>
      <x:c r="B86" s="6" t="str">
        <x:f>IF(Setup!$B$6="primary",IF(IF("2025::jama.2025.19843::C001"='C_jama.2025.19843'!$A$2,'C_jama.2025.19843'!$D$2,NA())="","",IF("2025::jama.2025.19843::C001"='C_jama.2025.19843'!$A$2,'C_jama.2025.19843'!$D$2,NA())),"NOT FROZEN")</x:f>
      </x:c>
      <x:c r="C86" s="6" t="str">
        <x:f>IF(Setup!$B$6="primary",IF(IF("2025::jama.2025.19843::C001"='C_jama.2025.19843'!$A$2,'C_jama.2025.19843'!$E$2,NA())="","",IF("2025::jama.2025.19843::C001"='C_jama.2025.19843'!$A$2,'C_jama.2025.19843'!$E$2,NA())),"NOT FROZEN")</x:f>
        <x:v>report_internal_inconsistency</x:v>
      </x:c>
      <x:c r="D86" s="6" t="str">
        <x:f>IF(Setup!$B$6="primary",IF(AND(IF("2025::jama.2025.19843::C001"='C_jama.2025.19843'!$A$2,'C_jama.2025.19843'!$D$2,NA())="retain",IF("2025::jama.2025.19843::C001"='C_jama.2025.19843'!$A$2,'C_jama.2025.19843'!$E$2,NA())="statistical_results"),IF(IF("2025::jama.2025.19843::C001"='C_jama.2025.19843'!$A$2,'C_jama.2025.19843'!$H$2,NA())="","",IF("2025::jama.2025.19843::C001"='C_jama.2025.19843'!$A$2,'C_jama.2025.19843'!$H$2,NA())),"not_applicable"),"NOT FROZEN")</x:f>
        <x:v>not_applicable</x:v>
      </x:c>
      <x:c r="E86" s="6" t="str">
        <x:f>IF(Setup!$B$6="primary",IF(AND(IF("2025::jama.2025.19843::C001"='C_jama.2025.19843'!$A$2,'C_jama.2025.19843'!$D$2,NA())="retain",IF("2025::jama.2025.19843::C001"='C_jama.2025.19843'!$A$2,'C_jama.2025.19843'!$E$2,NA())="statistical_results"),IF(IF("2025::jama.2025.19843::C001"='C_jama.2025.19843'!$A$2,'C_jama.2025.19843'!$I$2,NA())="","",IF("2025::jama.2025.19843::C001"='C_jama.2025.19843'!$A$2,'C_jama.2025.19843'!$I$2,NA())),"not_applicable"),"NOT FROZEN")</x:f>
        <x:v>not_applicable</x:v>
      </x:c>
      <x:c r="F86" s="6" t="str">
        <x:f>IF(Setup!$B$6="primary",IF(AND(IF("2025::jama.2025.19843::C001"='C_jama.2025.19843'!$A$2,'C_jama.2025.19843'!$D$2,NA())="retain",IF("2025::jama.2025.19843::C001"='C_jama.2025.19843'!$A$2,'C_jama.2025.19843'!$E$2,NA())="statistical_results"),IF(IF("2025::jama.2025.19843::C001"='C_jama.2025.19843'!$A$2,'C_jama.2025.19843'!$J$2,NA())="","",IF("2025::jama.2025.19843::C001"='C_jama.2025.19843'!$A$2,'C_jama.2025.19843'!$J$2,NA())),"not_applicable"),"NOT FROZEN")</x:f>
        <x:v>not_applicable</x:v>
      </x:c>
      <x:c r="G86" s="6" t="str">
        <x:f>IF(Setup!$B$6="primary",IF(AND(IF("2025::jama.2025.19843::C001"='C_jama.2025.19843'!$A$2,'C_jama.2025.19843'!$D$2,NA())="retain",OR(IF("2025::jama.2025.19843::C001"='C_jama.2025.19843'!$A$2,'C_jama.2025.19843'!$E$2,NA())="report_internal_inconsistency",IF("2025::jama.2025.19843::C001"='C_jama.2025.19843'!$A$2,'C_jama.2025.19843'!$E$2,NA())="plan_material")),IF(IF("2025::jama.2025.19843::C001"='C_jama.2025.19843'!$A$2,'C_jama.2025.19843'!$K$2,NA())="","",IF("2025::jama.2025.19843::C001"='C_jama.2025.19843'!$A$2,'C_jama.2025.19843'!$K$2,NA())),"not_applicable"),"NOT FROZEN")</x:f>
        <x:v>not_applicable</x:v>
      </x:c>
      <x:c r="H86" s="6" t="str">
        <x:f>IF(Setup!$B$6="primary",IF(AND(IF("2025::jama.2025.19843::C001"='C_jama.2025.19843'!$A$2,'C_jama.2025.19843'!$D$2,NA())="retain",IF("2025::jama.2025.19843::C001"='C_jama.2025.19843'!$A$2,'C_jama.2025.19843'!$E$2,NA())="protocol_report"),IF(IF("2025::jama.2025.19843::C001"='C_jama.2025.19843'!$A$2,'C_jama.2025.19843'!$L$2,NA())="","",IF("2025::jama.2025.19843::C001"='C_jama.2025.19843'!$A$2,'C_jama.2025.19843'!$L$2,NA())),"not_applicable"),"NOT FROZEN")</x:f>
        <x:v>not_applicable</x:v>
      </x:c>
      <x:c r="I86" s="6" t="str">
        <x:f>IF(Setup!$B$6="primary",IF(IF("2025::jama.2025.19843::C001"='C_jama.2025.19843'!$A$2,'C_jama.2025.19843'!$R$2,NA())="","",IF("2025::jama.2025.19843::C001"='C_jama.2025.19843'!$A$2,'C_jama.2025.19843'!$R$2,NA())),"NOT FROZEN")</x:f>
      </x:c>
      <x:c r="J86" s="6" t="str">
        <x:f>IF(Setup!$B$6="primary",IF("2025::jama.2025.19843::C001"='C_jama.2025.19843'!$A$2,'C_jama.2025.19843'!$F$2,NA()),"NOT FROZEN")</x:f>
        <x:v>no</x:v>
      </x:c>
      <x:c r="K86" s="6" t="str">
        <x:f>IF(Setup!$B$6="primary",Setup!$B$2,"NOT FROZEN")</x:f>
      </x:c>
      <x:c r="L86" s="6" t="str">
        <x:f>IF(Setup!$B$6="primary",IF(OR(B86="",B86="not_applicable"),"","Disposition: "&amp;B86&amp;CHAR(10))&amp;IF(OR(C86="",C86="not_applicable"),"","Review domain: "&amp;C86&amp;CHAR(10))&amp;IF(OR(D86="",D86="not_applicable"),"","Statistcal_or_numerical issue: "&amp;D86&amp;CHAR(10))&amp;IF(OR(E86="",E86="not_applicable"),"","Substantiveness: "&amp;E86&amp;CHAR(10))&amp;IF(OR(F86="",F86="not_applicable"),"","Downstream impact: "&amp;F86&amp;CHAR(10))&amp;IF(OR(G86="",G86="not_applicable"),"","Report-internal or planning-material inconsistency: "&amp;G86&amp;CHAR(10))&amp;IF(OR(H86="",H86="not_applicable"),"","Protocol interpretation: "&amp;H86&amp;CHAR(10))&amp;IF(OR(I86="",I86="not_applicable"),"","Notes (optional): "&amp;I86&amp;CHAR(10)),"NOT FROZEN")</x:f>
        <x:v>Review domain: report_internal_inconsistency
</x:v>
      </x:c>
    </x:row>
    <x:row r="87" ht="70" customHeight="1">
      <x:c r="A87" s="3" t="str">
        <x:f>IF(Setup!$B$6="primary","2025::jama.2025.20765::C001","NOT FROZEN")</x:f>
        <x:v>2025::jama.2025.20765::C001</x:v>
      </x:c>
      <x:c r="B87" s="3" t="str">
        <x:f>IF(Setup!$B$6="primary",IF(INDEX('C_jama.2025.20765'!$D$2:$D$14,MATCH("2025::jama.2025.20765::C001",'C_jama.2025.20765'!$A$2:$A$14,0))="","",INDEX('C_jama.2025.20765'!$D$2:$D$14,MATCH("2025::jama.2025.20765::C001",'C_jama.2025.20765'!$A$2:$A$14,0))),"NOT FROZEN")</x:f>
      </x:c>
      <x:c r="C87" s="3" t="str">
        <x:f>IF(Setup!$B$6="primary",IF(INDEX('C_jama.2025.20765'!$E$2:$E$14,MATCH("2025::jama.2025.20765::C001",'C_jama.2025.20765'!$A$2:$A$14,0))="","",INDEX('C_jama.2025.20765'!$E$2:$E$14,MATCH("2025::jama.2025.20765::C001",'C_jama.2025.20765'!$A$2:$A$14,0))),"NOT FROZEN")</x:f>
        <x:v>statistical_results</x:v>
      </x:c>
      <x:c r="D87" s="3" t="str">
        <x:f>IF(Setup!$B$6="primary",IF(AND(INDEX('C_jama.2025.20765'!$D$2:$D$14,MATCH("2025::jama.2025.20765::C001",'C_jama.2025.20765'!$A$2:$A$14,0))="retain",INDEX('C_jama.2025.20765'!$E$2:$E$14,MATCH("2025::jama.2025.20765::C001",'C_jama.2025.20765'!$A$2:$A$14,0))="statistical_results"),IF(INDEX('C_jama.2025.20765'!$H$2:$H$14,MATCH("2025::jama.2025.20765::C001",'C_jama.2025.20765'!$A$2:$A$14,0))="","",INDEX('C_jama.2025.20765'!$H$2:$H$14,MATCH("2025::jama.2025.20765::C001",'C_jama.2025.20765'!$A$2:$A$14,0))),"not_applicable"),"NOT FROZEN")</x:f>
        <x:v>not_applicable</x:v>
      </x:c>
      <x:c r="E87" s="3" t="str">
        <x:f>IF(Setup!$B$6="primary",IF(AND(INDEX('C_jama.2025.20765'!$D$2:$D$14,MATCH("2025::jama.2025.20765::C001",'C_jama.2025.20765'!$A$2:$A$14,0))="retain",INDEX('C_jama.2025.20765'!$E$2:$E$14,MATCH("2025::jama.2025.20765::C001",'C_jama.2025.20765'!$A$2:$A$14,0))="statistical_results"),IF(INDEX('C_jama.2025.20765'!$I$2:$I$14,MATCH("2025::jama.2025.20765::C001",'C_jama.2025.20765'!$A$2:$A$14,0))="","",INDEX('C_jama.2025.20765'!$I$2:$I$14,MATCH("2025::jama.2025.20765::C001",'C_jama.2025.20765'!$A$2:$A$14,0))),"not_applicable"),"NOT FROZEN")</x:f>
        <x:v>not_applicable</x:v>
      </x:c>
      <x:c r="F87" s="3" t="str">
        <x:f>IF(Setup!$B$6="primary",IF(AND(INDEX('C_jama.2025.20765'!$D$2:$D$14,MATCH("2025::jama.2025.20765::C001",'C_jama.2025.20765'!$A$2:$A$14,0))="retain",INDEX('C_jama.2025.20765'!$E$2:$E$14,MATCH("2025::jama.2025.20765::C001",'C_jama.2025.20765'!$A$2:$A$14,0))="statistical_results"),IF(INDEX('C_jama.2025.20765'!$J$2:$J$14,MATCH("2025::jama.2025.20765::C001",'C_jama.2025.20765'!$A$2:$A$14,0))="","",INDEX('C_jama.2025.20765'!$J$2:$J$14,MATCH("2025::jama.2025.20765::C001",'C_jama.2025.20765'!$A$2:$A$14,0))),"not_applicable"),"NOT FROZEN")</x:f>
        <x:v>not_applicable</x:v>
      </x:c>
      <x:c r="G87" s="3" t="str">
        <x:f>IF(Setup!$B$6="primary",IF(AND(INDEX('C_jama.2025.20765'!$D$2:$D$14,MATCH("2025::jama.2025.20765::C001",'C_jama.2025.20765'!$A$2:$A$14,0))="retain",OR(INDEX('C_jama.2025.20765'!$E$2:$E$14,MATCH("2025::jama.2025.20765::C001",'C_jama.2025.20765'!$A$2:$A$14,0))="report_internal_inconsistency",INDEX('C_jama.2025.20765'!$E$2:$E$14,MATCH("2025::jama.2025.20765::C001",'C_jama.2025.20765'!$A$2:$A$14,0))="plan_material")),IF(INDEX('C_jama.2025.20765'!$K$2:$K$14,MATCH("2025::jama.2025.20765::C001",'C_jama.2025.20765'!$A$2:$A$14,0))="","",INDEX('C_jama.2025.20765'!$K$2:$K$14,MATCH("2025::jama.2025.20765::C001",'C_jama.2025.20765'!$A$2:$A$14,0))),"not_applicable"),"NOT FROZEN")</x:f>
        <x:v>not_applicable</x:v>
      </x:c>
      <x:c r="H87" s="3" t="str">
        <x:f>IF(Setup!$B$6="primary",IF(AND(INDEX('C_jama.2025.20765'!$D$2:$D$14,MATCH("2025::jama.2025.20765::C001",'C_jama.2025.20765'!$A$2:$A$14,0))="retain",INDEX('C_jama.2025.20765'!$E$2:$E$14,MATCH("2025::jama.2025.20765::C001",'C_jama.2025.20765'!$A$2:$A$14,0))="protocol_report"),IF(INDEX('C_jama.2025.20765'!$L$2:$L$14,MATCH("2025::jama.2025.20765::C001",'C_jama.2025.20765'!$A$2:$A$14,0))="","",INDEX('C_jama.2025.20765'!$L$2:$L$14,MATCH("2025::jama.2025.20765::C001",'C_jama.2025.20765'!$A$2:$A$14,0))),"not_applicable"),"NOT FROZEN")</x:f>
        <x:v>not_applicable</x:v>
      </x:c>
      <x:c r="I87" s="3" t="str">
        <x:f>IF(Setup!$B$6="primary",IF(INDEX('C_jama.2025.20765'!$R$2:$R$14,MATCH("2025::jama.2025.20765::C001",'C_jama.2025.20765'!$A$2:$A$14,0))="","",INDEX('C_jama.2025.20765'!$R$2:$R$14,MATCH("2025::jama.2025.20765::C001",'C_jama.2025.20765'!$A$2:$A$14,0))),"NOT FROZEN")</x:f>
      </x:c>
      <x:c r="J87" s="3" t="str">
        <x:f>IF(Setup!$B$6="primary",INDEX('C_jama.2025.20765'!$F$2:$F$14,MATCH("2025::jama.2025.20765::C001",'C_jama.2025.20765'!$A$2:$A$14,0)),"NOT FROZEN")</x:f>
        <x:v>no</x:v>
      </x:c>
      <x:c r="K87" s="3" t="str">
        <x:f>IF(Setup!$B$6="primary",Setup!$B$2,"NOT FROZEN")</x:f>
      </x:c>
      <x:c r="L87" s="3" t="str">
        <x:f>IF(Setup!$B$6="primary",IF(OR(B87="",B87="not_applicable"),"","Disposition: "&amp;B87&amp;CHAR(10))&amp;IF(OR(C87="",C87="not_applicable"),"","Review domain: "&amp;C87&amp;CHAR(10))&amp;IF(OR(D87="",D87="not_applicable"),"","Statistcal_or_numerical issue: "&amp;D87&amp;CHAR(10))&amp;IF(OR(E87="",E87="not_applicable"),"","Substantiveness: "&amp;E87&amp;CHAR(10))&amp;IF(OR(F87="",F87="not_applicable"),"","Downstream impact: "&amp;F87&amp;CHAR(10))&amp;IF(OR(G87="",G87="not_applicable"),"","Report-internal or planning-material inconsistency: "&amp;G87&amp;CHAR(10))&amp;IF(OR(H87="",H87="not_applicable"),"","Protocol interpretation: "&amp;H87&amp;CHAR(10))&amp;IF(OR(I87="",I87="not_applicable"),"","Notes (optional): "&amp;I87&amp;CHAR(10)),"NOT FROZEN")</x:f>
        <x:v>Review domain: statistical_results
</x:v>
      </x:c>
    </x:row>
    <x:row r="88" ht="70" customHeight="1">
      <x:c r="A88" s="6" t="str">
        <x:f>IF(Setup!$B$6="primary","2025::jama.2025.20765::C002","NOT FROZEN")</x:f>
        <x:v>2025::jama.2025.20765::C002</x:v>
      </x:c>
      <x:c r="B88" s="6" t="str">
        <x:f>IF(Setup!$B$6="primary",IF(INDEX('C_jama.2025.20765'!$D$2:$D$14,MATCH("2025::jama.2025.20765::C002",'C_jama.2025.20765'!$A$2:$A$14,0))="","",INDEX('C_jama.2025.20765'!$D$2:$D$14,MATCH("2025::jama.2025.20765::C002",'C_jama.2025.20765'!$A$2:$A$14,0))),"NOT FROZEN")</x:f>
      </x:c>
      <x:c r="C88" s="6" t="str">
        <x:f>IF(Setup!$B$6="primary",IF(INDEX('C_jama.2025.20765'!$E$2:$E$14,MATCH("2025::jama.2025.20765::C002",'C_jama.2025.20765'!$A$2:$A$14,0))="","",INDEX('C_jama.2025.20765'!$E$2:$E$14,MATCH("2025::jama.2025.20765::C002",'C_jama.2025.20765'!$A$2:$A$14,0))),"NOT FROZEN")</x:f>
        <x:v>report_internal_inconsistency</x:v>
      </x:c>
      <x:c r="D88" s="6" t="str">
        <x:f>IF(Setup!$B$6="primary",IF(AND(INDEX('C_jama.2025.20765'!$D$2:$D$14,MATCH("2025::jama.2025.20765::C002",'C_jama.2025.20765'!$A$2:$A$14,0))="retain",INDEX('C_jama.2025.20765'!$E$2:$E$14,MATCH("2025::jama.2025.20765::C002",'C_jama.2025.20765'!$A$2:$A$14,0))="statistical_results"),IF(INDEX('C_jama.2025.20765'!$H$2:$H$14,MATCH("2025::jama.2025.20765::C002",'C_jama.2025.20765'!$A$2:$A$14,0))="","",INDEX('C_jama.2025.20765'!$H$2:$H$14,MATCH("2025::jama.2025.20765::C002",'C_jama.2025.20765'!$A$2:$A$14,0))),"not_applicable"),"NOT FROZEN")</x:f>
        <x:v>not_applicable</x:v>
      </x:c>
      <x:c r="E88" s="6" t="str">
        <x:f>IF(Setup!$B$6="primary",IF(AND(INDEX('C_jama.2025.20765'!$D$2:$D$14,MATCH("2025::jama.2025.20765::C002",'C_jama.2025.20765'!$A$2:$A$14,0))="retain",INDEX('C_jama.2025.20765'!$E$2:$E$14,MATCH("2025::jama.2025.20765::C002",'C_jama.2025.20765'!$A$2:$A$14,0))="statistical_results"),IF(INDEX('C_jama.2025.20765'!$I$2:$I$14,MATCH("2025::jama.2025.20765::C002",'C_jama.2025.20765'!$A$2:$A$14,0))="","",INDEX('C_jama.2025.20765'!$I$2:$I$14,MATCH("2025::jama.2025.20765::C002",'C_jama.2025.20765'!$A$2:$A$14,0))),"not_applicable"),"NOT FROZEN")</x:f>
        <x:v>not_applicable</x:v>
      </x:c>
      <x:c r="F88" s="6" t="str">
        <x:f>IF(Setup!$B$6="primary",IF(AND(INDEX('C_jama.2025.20765'!$D$2:$D$14,MATCH("2025::jama.2025.20765::C002",'C_jama.2025.20765'!$A$2:$A$14,0))="retain",INDEX('C_jama.2025.20765'!$E$2:$E$14,MATCH("2025::jama.2025.20765::C002",'C_jama.2025.20765'!$A$2:$A$14,0))="statistical_results"),IF(INDEX('C_jama.2025.20765'!$J$2:$J$14,MATCH("2025::jama.2025.20765::C002",'C_jama.2025.20765'!$A$2:$A$14,0))="","",INDEX('C_jama.2025.20765'!$J$2:$J$14,MATCH("2025::jama.2025.20765::C002",'C_jama.2025.20765'!$A$2:$A$14,0))),"not_applicable"),"NOT FROZEN")</x:f>
        <x:v>not_applicable</x:v>
      </x:c>
      <x:c r="G88" s="6" t="str">
        <x:f>IF(Setup!$B$6="primary",IF(AND(INDEX('C_jama.2025.20765'!$D$2:$D$14,MATCH("2025::jama.2025.20765::C002",'C_jama.2025.20765'!$A$2:$A$14,0))="retain",OR(INDEX('C_jama.2025.20765'!$E$2:$E$14,MATCH("2025::jama.2025.20765::C002",'C_jama.2025.20765'!$A$2:$A$14,0))="report_internal_inconsistency",INDEX('C_jama.2025.20765'!$E$2:$E$14,MATCH("2025::jama.2025.20765::C002",'C_jama.2025.20765'!$A$2:$A$14,0))="plan_material")),IF(INDEX('C_jama.2025.20765'!$K$2:$K$14,MATCH("2025::jama.2025.20765::C002",'C_jama.2025.20765'!$A$2:$A$14,0))="","",INDEX('C_jama.2025.20765'!$K$2:$K$14,MATCH("2025::jama.2025.20765::C002",'C_jama.2025.20765'!$A$2:$A$14,0))),"not_applicable"),"NOT FROZEN")</x:f>
        <x:v>not_applicable</x:v>
      </x:c>
      <x:c r="H88" s="6" t="str">
        <x:f>IF(Setup!$B$6="primary",IF(AND(INDEX('C_jama.2025.20765'!$D$2:$D$14,MATCH("2025::jama.2025.20765::C002",'C_jama.2025.20765'!$A$2:$A$14,0))="retain",INDEX('C_jama.2025.20765'!$E$2:$E$14,MATCH("2025::jama.2025.20765::C002",'C_jama.2025.20765'!$A$2:$A$14,0))="protocol_report"),IF(INDEX('C_jama.2025.20765'!$L$2:$L$14,MATCH("2025::jama.2025.20765::C002",'C_jama.2025.20765'!$A$2:$A$14,0))="","",INDEX('C_jama.2025.20765'!$L$2:$L$14,MATCH("2025::jama.2025.20765::C002",'C_jama.2025.20765'!$A$2:$A$14,0))),"not_applicable"),"NOT FROZEN")</x:f>
        <x:v>not_applicable</x:v>
      </x:c>
      <x:c r="I88" s="6" t="str">
        <x:f>IF(Setup!$B$6="primary",IF(INDEX('C_jama.2025.20765'!$R$2:$R$14,MATCH("2025::jama.2025.20765::C002",'C_jama.2025.20765'!$A$2:$A$14,0))="","",INDEX('C_jama.2025.20765'!$R$2:$R$14,MATCH("2025::jama.2025.20765::C002",'C_jama.2025.20765'!$A$2:$A$14,0))),"NOT FROZEN")</x:f>
      </x:c>
      <x:c r="J88" s="6" t="str">
        <x:f>IF(Setup!$B$6="primary",INDEX('C_jama.2025.20765'!$F$2:$F$14,MATCH("2025::jama.2025.20765::C002",'C_jama.2025.20765'!$A$2:$A$14,0)),"NOT FROZEN")</x:f>
        <x:v>no</x:v>
      </x:c>
      <x:c r="K88" s="6" t="str">
        <x:f>IF(Setup!$B$6="primary",Setup!$B$2,"NOT FROZEN")</x:f>
      </x:c>
      <x:c r="L88" s="6" t="str">
        <x:f>IF(Setup!$B$6="primary",IF(OR(B88="",B88="not_applicable"),"","Disposition: "&amp;B88&amp;CHAR(10))&amp;IF(OR(C88="",C88="not_applicable"),"","Review domain: "&amp;C88&amp;CHAR(10))&amp;IF(OR(D88="",D88="not_applicable"),"","Statistcal_or_numerical issue: "&amp;D88&amp;CHAR(10))&amp;IF(OR(E88="",E88="not_applicable"),"","Substantiveness: "&amp;E88&amp;CHAR(10))&amp;IF(OR(F88="",F88="not_applicable"),"","Downstream impact: "&amp;F88&amp;CHAR(10))&amp;IF(OR(G88="",G88="not_applicable"),"","Report-internal or planning-material inconsistency: "&amp;G88&amp;CHAR(10))&amp;IF(OR(H88="",H88="not_applicable"),"","Protocol interpretation: "&amp;H88&amp;CHAR(10))&amp;IF(OR(I88="",I88="not_applicable"),"","Notes (optional): "&amp;I88&amp;CHAR(10)),"NOT FROZEN")</x:f>
        <x:v>Review domain: report_internal_inconsistency
</x:v>
      </x:c>
    </x:row>
    <x:row r="89" ht="70" customHeight="1">
      <x:c r="A89" s="3" t="str">
        <x:f>IF(Setup!$B$6="primary","2025::jama.2025.20765::C003","NOT FROZEN")</x:f>
        <x:v>2025::jama.2025.20765::C003</x:v>
      </x:c>
      <x:c r="B89" s="3" t="str">
        <x:f>IF(Setup!$B$6="primary",IF(INDEX('C_jama.2025.20765'!$D$2:$D$14,MATCH("2025::jama.2025.20765::C003",'C_jama.2025.20765'!$A$2:$A$14,0))="","",INDEX('C_jama.2025.20765'!$D$2:$D$14,MATCH("2025::jama.2025.20765::C003",'C_jama.2025.20765'!$A$2:$A$14,0))),"NOT FROZEN")</x:f>
      </x:c>
      <x:c r="C89" s="3" t="str">
        <x:f>IF(Setup!$B$6="primary",IF(INDEX('C_jama.2025.20765'!$E$2:$E$14,MATCH("2025::jama.2025.20765::C003",'C_jama.2025.20765'!$A$2:$A$14,0))="","",INDEX('C_jama.2025.20765'!$E$2:$E$14,MATCH("2025::jama.2025.20765::C003",'C_jama.2025.20765'!$A$2:$A$14,0))),"NOT FROZEN")</x:f>
        <x:v>plan_material</x:v>
      </x:c>
      <x:c r="D89" s="3" t="str">
        <x:f>IF(Setup!$B$6="primary",IF(AND(INDEX('C_jama.2025.20765'!$D$2:$D$14,MATCH("2025::jama.2025.20765::C003",'C_jama.2025.20765'!$A$2:$A$14,0))="retain",INDEX('C_jama.2025.20765'!$E$2:$E$14,MATCH("2025::jama.2025.20765::C003",'C_jama.2025.20765'!$A$2:$A$14,0))="statistical_results"),IF(INDEX('C_jama.2025.20765'!$H$2:$H$14,MATCH("2025::jama.2025.20765::C003",'C_jama.2025.20765'!$A$2:$A$14,0))="","",INDEX('C_jama.2025.20765'!$H$2:$H$14,MATCH("2025::jama.2025.20765::C003",'C_jama.2025.20765'!$A$2:$A$14,0))),"not_applicable"),"NOT FROZEN")</x:f>
        <x:v>not_applicable</x:v>
      </x:c>
      <x:c r="E89" s="3" t="str">
        <x:f>IF(Setup!$B$6="primary",IF(AND(INDEX('C_jama.2025.20765'!$D$2:$D$14,MATCH("2025::jama.2025.20765::C003",'C_jama.2025.20765'!$A$2:$A$14,0))="retain",INDEX('C_jama.2025.20765'!$E$2:$E$14,MATCH("2025::jama.2025.20765::C003",'C_jama.2025.20765'!$A$2:$A$14,0))="statistical_results"),IF(INDEX('C_jama.2025.20765'!$I$2:$I$14,MATCH("2025::jama.2025.20765::C003",'C_jama.2025.20765'!$A$2:$A$14,0))="","",INDEX('C_jama.2025.20765'!$I$2:$I$14,MATCH("2025::jama.2025.20765::C003",'C_jama.2025.20765'!$A$2:$A$14,0))),"not_applicable"),"NOT FROZEN")</x:f>
        <x:v>not_applicable</x:v>
      </x:c>
      <x:c r="F89" s="3" t="str">
        <x:f>IF(Setup!$B$6="primary",IF(AND(INDEX('C_jama.2025.20765'!$D$2:$D$14,MATCH("2025::jama.2025.20765::C003",'C_jama.2025.20765'!$A$2:$A$14,0))="retain",INDEX('C_jama.2025.20765'!$E$2:$E$14,MATCH("2025::jama.2025.20765::C003",'C_jama.2025.20765'!$A$2:$A$14,0))="statistical_results"),IF(INDEX('C_jama.2025.20765'!$J$2:$J$14,MATCH("2025::jama.2025.20765::C003",'C_jama.2025.20765'!$A$2:$A$14,0))="","",INDEX('C_jama.2025.20765'!$J$2:$J$14,MATCH("2025::jama.2025.20765::C003",'C_jama.2025.20765'!$A$2:$A$14,0))),"not_applicable"),"NOT FROZEN")</x:f>
        <x:v>not_applicable</x:v>
      </x:c>
      <x:c r="G89" s="3" t="str">
        <x:f>IF(Setup!$B$6="primary",IF(AND(INDEX('C_jama.2025.20765'!$D$2:$D$14,MATCH("2025::jama.2025.20765::C003",'C_jama.2025.20765'!$A$2:$A$14,0))="retain",OR(INDEX('C_jama.2025.20765'!$E$2:$E$14,MATCH("2025::jama.2025.20765::C003",'C_jama.2025.20765'!$A$2:$A$14,0))="report_internal_inconsistency",INDEX('C_jama.2025.20765'!$E$2:$E$14,MATCH("2025::jama.2025.20765::C003",'C_jama.2025.20765'!$A$2:$A$14,0))="plan_material")),IF(INDEX('C_jama.2025.20765'!$K$2:$K$14,MATCH("2025::jama.2025.20765::C003",'C_jama.2025.20765'!$A$2:$A$14,0))="","",INDEX('C_jama.2025.20765'!$K$2:$K$14,MATCH("2025::jama.2025.20765::C003",'C_jama.2025.20765'!$A$2:$A$14,0))),"not_applicable"),"NOT FROZEN")</x:f>
        <x:v>not_applicable</x:v>
      </x:c>
      <x:c r="H89" s="3" t="str">
        <x:f>IF(Setup!$B$6="primary",IF(AND(INDEX('C_jama.2025.20765'!$D$2:$D$14,MATCH("2025::jama.2025.20765::C003",'C_jama.2025.20765'!$A$2:$A$14,0))="retain",INDEX('C_jama.2025.20765'!$E$2:$E$14,MATCH("2025::jama.2025.20765::C003",'C_jama.2025.20765'!$A$2:$A$14,0))="protocol_report"),IF(INDEX('C_jama.2025.20765'!$L$2:$L$14,MATCH("2025::jama.2025.20765::C003",'C_jama.2025.20765'!$A$2:$A$14,0))="","",INDEX('C_jama.2025.20765'!$L$2:$L$14,MATCH("2025::jama.2025.20765::C003",'C_jama.2025.20765'!$A$2:$A$14,0))),"not_applicable"),"NOT FROZEN")</x:f>
        <x:v>not_applicable</x:v>
      </x:c>
      <x:c r="I89" s="3" t="str">
        <x:f>IF(Setup!$B$6="primary",IF(INDEX('C_jama.2025.20765'!$R$2:$R$14,MATCH("2025::jama.2025.20765::C003",'C_jama.2025.20765'!$A$2:$A$14,0))="","",INDEX('C_jama.2025.20765'!$R$2:$R$14,MATCH("2025::jama.2025.20765::C003",'C_jama.2025.20765'!$A$2:$A$14,0))),"NOT FROZEN")</x:f>
      </x:c>
      <x:c r="J89" s="3" t="str">
        <x:f>IF(Setup!$B$6="primary",INDEX('C_jama.2025.20765'!$F$2:$F$14,MATCH("2025::jama.2025.20765::C003",'C_jama.2025.20765'!$A$2:$A$14,0)),"NOT FROZEN")</x:f>
        <x:v>no</x:v>
      </x:c>
      <x:c r="K89" s="3" t="str">
        <x:f>IF(Setup!$B$6="primary",Setup!$B$2,"NOT FROZEN")</x:f>
      </x:c>
      <x:c r="L89" s="3" t="str">
        <x:f>IF(Setup!$B$6="primary",IF(OR(B89="",B89="not_applicable"),"","Disposition: "&amp;B89&amp;CHAR(10))&amp;IF(OR(C89="",C89="not_applicable"),"","Review domain: "&amp;C89&amp;CHAR(10))&amp;IF(OR(D89="",D89="not_applicable"),"","Statistcal_or_numerical issue: "&amp;D89&amp;CHAR(10))&amp;IF(OR(E89="",E89="not_applicable"),"","Substantiveness: "&amp;E89&amp;CHAR(10))&amp;IF(OR(F89="",F89="not_applicable"),"","Downstream impact: "&amp;F89&amp;CHAR(10))&amp;IF(OR(G89="",G89="not_applicable"),"","Report-internal or planning-material inconsistency: "&amp;G89&amp;CHAR(10))&amp;IF(OR(H89="",H89="not_applicable"),"","Protocol interpretation: "&amp;H89&amp;CHAR(10))&amp;IF(OR(I89="",I89="not_applicable"),"","Notes (optional): "&amp;I89&amp;CHAR(10)),"NOT FROZEN")</x:f>
        <x:v>Review domain: plan_material
</x:v>
      </x:c>
    </x:row>
    <x:row r="90" ht="70" customHeight="1">
      <x:c r="A90" s="6" t="str">
        <x:f>IF(Setup!$B$6="primary","2025::jama.2025.20765::C004","NOT FROZEN")</x:f>
        <x:v>2025::jama.2025.20765::C004</x:v>
      </x:c>
      <x:c r="B90" s="6" t="str">
        <x:f>IF(Setup!$B$6="primary",IF(INDEX('C_jama.2025.20765'!$D$2:$D$14,MATCH("2025::jama.2025.20765::C004",'C_jama.2025.20765'!$A$2:$A$14,0))="","",INDEX('C_jama.2025.20765'!$D$2:$D$14,MATCH("2025::jama.2025.20765::C004",'C_jama.2025.20765'!$A$2:$A$14,0))),"NOT FROZEN")</x:f>
      </x:c>
      <x:c r="C90" s="6" t="str">
        <x:f>IF(Setup!$B$6="primary",IF(INDEX('C_jama.2025.20765'!$E$2:$E$14,MATCH("2025::jama.2025.20765::C004",'C_jama.2025.20765'!$A$2:$A$14,0))="","",INDEX('C_jama.2025.20765'!$E$2:$E$14,MATCH("2025::jama.2025.20765::C004",'C_jama.2025.20765'!$A$2:$A$14,0))),"NOT FROZEN")</x:f>
        <x:v>plan_material</x:v>
      </x:c>
      <x:c r="D90" s="6" t="str">
        <x:f>IF(Setup!$B$6="primary",IF(AND(INDEX('C_jama.2025.20765'!$D$2:$D$14,MATCH("2025::jama.2025.20765::C004",'C_jama.2025.20765'!$A$2:$A$14,0))="retain",INDEX('C_jama.2025.20765'!$E$2:$E$14,MATCH("2025::jama.2025.20765::C004",'C_jama.2025.20765'!$A$2:$A$14,0))="statistical_results"),IF(INDEX('C_jama.2025.20765'!$H$2:$H$14,MATCH("2025::jama.2025.20765::C004",'C_jama.2025.20765'!$A$2:$A$14,0))="","",INDEX('C_jama.2025.20765'!$H$2:$H$14,MATCH("2025::jama.2025.20765::C004",'C_jama.2025.20765'!$A$2:$A$14,0))),"not_applicable"),"NOT FROZEN")</x:f>
        <x:v>not_applicable</x:v>
      </x:c>
      <x:c r="E90" s="6" t="str">
        <x:f>IF(Setup!$B$6="primary",IF(AND(INDEX('C_jama.2025.20765'!$D$2:$D$14,MATCH("2025::jama.2025.20765::C004",'C_jama.2025.20765'!$A$2:$A$14,0))="retain",INDEX('C_jama.2025.20765'!$E$2:$E$14,MATCH("2025::jama.2025.20765::C004",'C_jama.2025.20765'!$A$2:$A$14,0))="statistical_results"),IF(INDEX('C_jama.2025.20765'!$I$2:$I$14,MATCH("2025::jama.2025.20765::C004",'C_jama.2025.20765'!$A$2:$A$14,0))="","",INDEX('C_jama.2025.20765'!$I$2:$I$14,MATCH("2025::jama.2025.20765::C004",'C_jama.2025.20765'!$A$2:$A$14,0))),"not_applicable"),"NOT FROZEN")</x:f>
        <x:v>not_applicable</x:v>
      </x:c>
      <x:c r="F90" s="6" t="str">
        <x:f>IF(Setup!$B$6="primary",IF(AND(INDEX('C_jama.2025.20765'!$D$2:$D$14,MATCH("2025::jama.2025.20765::C004",'C_jama.2025.20765'!$A$2:$A$14,0))="retain",INDEX('C_jama.2025.20765'!$E$2:$E$14,MATCH("2025::jama.2025.20765::C004",'C_jama.2025.20765'!$A$2:$A$14,0))="statistical_results"),IF(INDEX('C_jama.2025.20765'!$J$2:$J$14,MATCH("2025::jama.2025.20765::C004",'C_jama.2025.20765'!$A$2:$A$14,0))="","",INDEX('C_jama.2025.20765'!$J$2:$J$14,MATCH("2025::jama.2025.20765::C004",'C_jama.2025.20765'!$A$2:$A$14,0))),"not_applicable"),"NOT FROZEN")</x:f>
        <x:v>not_applicable</x:v>
      </x:c>
      <x:c r="G90" s="6" t="str">
        <x:f>IF(Setup!$B$6="primary",IF(AND(INDEX('C_jama.2025.20765'!$D$2:$D$14,MATCH("2025::jama.2025.20765::C004",'C_jama.2025.20765'!$A$2:$A$14,0))="retain",OR(INDEX('C_jama.2025.20765'!$E$2:$E$14,MATCH("2025::jama.2025.20765::C004",'C_jama.2025.20765'!$A$2:$A$14,0))="report_internal_inconsistency",INDEX('C_jama.2025.20765'!$E$2:$E$14,MATCH("2025::jama.2025.20765::C004",'C_jama.2025.20765'!$A$2:$A$14,0))="plan_material")),IF(INDEX('C_jama.2025.20765'!$K$2:$K$14,MATCH("2025::jama.2025.20765::C004",'C_jama.2025.20765'!$A$2:$A$14,0))="","",INDEX('C_jama.2025.20765'!$K$2:$K$14,MATCH("2025::jama.2025.20765::C004",'C_jama.2025.20765'!$A$2:$A$14,0))),"not_applicable"),"NOT FROZEN")</x:f>
        <x:v>not_applicable</x:v>
      </x:c>
      <x:c r="H90" s="6" t="str">
        <x:f>IF(Setup!$B$6="primary",IF(AND(INDEX('C_jama.2025.20765'!$D$2:$D$14,MATCH("2025::jama.2025.20765::C004",'C_jama.2025.20765'!$A$2:$A$14,0))="retain",INDEX('C_jama.2025.20765'!$E$2:$E$14,MATCH("2025::jama.2025.20765::C004",'C_jama.2025.20765'!$A$2:$A$14,0))="protocol_report"),IF(INDEX('C_jama.2025.20765'!$L$2:$L$14,MATCH("2025::jama.2025.20765::C004",'C_jama.2025.20765'!$A$2:$A$14,0))="","",INDEX('C_jama.2025.20765'!$L$2:$L$14,MATCH("2025::jama.2025.20765::C004",'C_jama.2025.20765'!$A$2:$A$14,0))),"not_applicable"),"NOT FROZEN")</x:f>
        <x:v>not_applicable</x:v>
      </x:c>
      <x:c r="I90" s="6" t="str">
        <x:f>IF(Setup!$B$6="primary",IF(INDEX('C_jama.2025.20765'!$R$2:$R$14,MATCH("2025::jama.2025.20765::C004",'C_jama.2025.20765'!$A$2:$A$14,0))="","",INDEX('C_jama.2025.20765'!$R$2:$R$14,MATCH("2025::jama.2025.20765::C004",'C_jama.2025.20765'!$A$2:$A$14,0))),"NOT FROZEN")</x:f>
      </x:c>
      <x:c r="J90" s="6" t="str">
        <x:f>IF(Setup!$B$6="primary",INDEX('C_jama.2025.20765'!$F$2:$F$14,MATCH("2025::jama.2025.20765::C004",'C_jama.2025.20765'!$A$2:$A$14,0)),"NOT FROZEN")</x:f>
        <x:v>no</x:v>
      </x:c>
      <x:c r="K90" s="6" t="str">
        <x:f>IF(Setup!$B$6="primary",Setup!$B$2,"NOT FROZEN")</x:f>
      </x:c>
      <x:c r="L90" s="6" t="str">
        <x:f>IF(Setup!$B$6="primary",IF(OR(B90="",B90="not_applicable"),"","Disposition: "&amp;B90&amp;CHAR(10))&amp;IF(OR(C90="",C90="not_applicable"),"","Review domain: "&amp;C90&amp;CHAR(10))&amp;IF(OR(D90="",D90="not_applicable"),"","Statistcal_or_numerical issue: "&amp;D90&amp;CHAR(10))&amp;IF(OR(E90="",E90="not_applicable"),"","Substantiveness: "&amp;E90&amp;CHAR(10))&amp;IF(OR(F90="",F90="not_applicable"),"","Downstream impact: "&amp;F90&amp;CHAR(10))&amp;IF(OR(G90="",G90="not_applicable"),"","Report-internal or planning-material inconsistency: "&amp;G90&amp;CHAR(10))&amp;IF(OR(H90="",H90="not_applicable"),"","Protocol interpretation: "&amp;H90&amp;CHAR(10))&amp;IF(OR(I90="",I90="not_applicable"),"","Notes (optional): "&amp;I90&amp;CHAR(10)),"NOT FROZEN")</x:f>
        <x:v>Review domain: plan_material
</x:v>
      </x:c>
    </x:row>
    <x:row r="91" ht="70" customHeight="1">
      <x:c r="A91" s="3" t="str">
        <x:f>IF(Setup!$B$6="primary","2025::jama.2025.20765::C005","NOT FROZEN")</x:f>
        <x:v>2025::jama.2025.20765::C005</x:v>
      </x:c>
      <x:c r="B91" s="3" t="str">
        <x:f>IF(Setup!$B$6="primary",IF(INDEX('C_jama.2025.20765'!$D$2:$D$14,MATCH("2025::jama.2025.20765::C005",'C_jama.2025.20765'!$A$2:$A$14,0))="","",INDEX('C_jama.2025.20765'!$D$2:$D$14,MATCH("2025::jama.2025.20765::C005",'C_jama.2025.20765'!$A$2:$A$14,0))),"NOT FROZEN")</x:f>
      </x:c>
      <x:c r="C91" s="3" t="str">
        <x:f>IF(Setup!$B$6="primary",IF(INDEX('C_jama.2025.20765'!$E$2:$E$14,MATCH("2025::jama.2025.20765::C005",'C_jama.2025.20765'!$A$2:$A$14,0))="","",INDEX('C_jama.2025.20765'!$E$2:$E$14,MATCH("2025::jama.2025.20765::C005",'C_jama.2025.20765'!$A$2:$A$14,0))),"NOT FROZEN")</x:f>
        <x:v>plan_material</x:v>
      </x:c>
      <x:c r="D91" s="3" t="str">
        <x:f>IF(Setup!$B$6="primary",IF(AND(INDEX('C_jama.2025.20765'!$D$2:$D$14,MATCH("2025::jama.2025.20765::C005",'C_jama.2025.20765'!$A$2:$A$14,0))="retain",INDEX('C_jama.2025.20765'!$E$2:$E$14,MATCH("2025::jama.2025.20765::C005",'C_jama.2025.20765'!$A$2:$A$14,0))="statistical_results"),IF(INDEX('C_jama.2025.20765'!$H$2:$H$14,MATCH("2025::jama.2025.20765::C005",'C_jama.2025.20765'!$A$2:$A$14,0))="","",INDEX('C_jama.2025.20765'!$H$2:$H$14,MATCH("2025::jama.2025.20765::C005",'C_jama.2025.20765'!$A$2:$A$14,0))),"not_applicable"),"NOT FROZEN")</x:f>
        <x:v>not_applicable</x:v>
      </x:c>
      <x:c r="E91" s="3" t="str">
        <x:f>IF(Setup!$B$6="primary",IF(AND(INDEX('C_jama.2025.20765'!$D$2:$D$14,MATCH("2025::jama.2025.20765::C005",'C_jama.2025.20765'!$A$2:$A$14,0))="retain",INDEX('C_jama.2025.20765'!$E$2:$E$14,MATCH("2025::jama.2025.20765::C005",'C_jama.2025.20765'!$A$2:$A$14,0))="statistical_results"),IF(INDEX('C_jama.2025.20765'!$I$2:$I$14,MATCH("2025::jama.2025.20765::C005",'C_jama.2025.20765'!$A$2:$A$14,0))="","",INDEX('C_jama.2025.20765'!$I$2:$I$14,MATCH("2025::jama.2025.20765::C005",'C_jama.2025.20765'!$A$2:$A$14,0))),"not_applicable"),"NOT FROZEN")</x:f>
        <x:v>not_applicable</x:v>
      </x:c>
      <x:c r="F91" s="3" t="str">
        <x:f>IF(Setup!$B$6="primary",IF(AND(INDEX('C_jama.2025.20765'!$D$2:$D$14,MATCH("2025::jama.2025.20765::C005",'C_jama.2025.20765'!$A$2:$A$14,0))="retain",INDEX('C_jama.2025.20765'!$E$2:$E$14,MATCH("2025::jama.2025.20765::C005",'C_jama.2025.20765'!$A$2:$A$14,0))="statistical_results"),IF(INDEX('C_jama.2025.20765'!$J$2:$J$14,MATCH("2025::jama.2025.20765::C005",'C_jama.2025.20765'!$A$2:$A$14,0))="","",INDEX('C_jama.2025.20765'!$J$2:$J$14,MATCH("2025::jama.2025.20765::C005",'C_jama.2025.20765'!$A$2:$A$14,0))),"not_applicable"),"NOT FROZEN")</x:f>
        <x:v>not_applicable</x:v>
      </x:c>
      <x:c r="G91" s="3" t="str">
        <x:f>IF(Setup!$B$6="primary",IF(AND(INDEX('C_jama.2025.20765'!$D$2:$D$14,MATCH("2025::jama.2025.20765::C005",'C_jama.2025.20765'!$A$2:$A$14,0))="retain",OR(INDEX('C_jama.2025.20765'!$E$2:$E$14,MATCH("2025::jama.2025.20765::C005",'C_jama.2025.20765'!$A$2:$A$14,0))="report_internal_inconsistency",INDEX('C_jama.2025.20765'!$E$2:$E$14,MATCH("2025::jama.2025.20765::C005",'C_jama.2025.20765'!$A$2:$A$14,0))="plan_material")),IF(INDEX('C_jama.2025.20765'!$K$2:$K$14,MATCH("2025::jama.2025.20765::C005",'C_jama.2025.20765'!$A$2:$A$14,0))="","",INDEX('C_jama.2025.20765'!$K$2:$K$14,MATCH("2025::jama.2025.20765::C005",'C_jama.2025.20765'!$A$2:$A$14,0))),"not_applicable"),"NOT FROZEN")</x:f>
        <x:v>not_applicable</x:v>
      </x:c>
      <x:c r="H91" s="3" t="str">
        <x:f>IF(Setup!$B$6="primary",IF(AND(INDEX('C_jama.2025.20765'!$D$2:$D$14,MATCH("2025::jama.2025.20765::C005",'C_jama.2025.20765'!$A$2:$A$14,0))="retain",INDEX('C_jama.2025.20765'!$E$2:$E$14,MATCH("2025::jama.2025.20765::C005",'C_jama.2025.20765'!$A$2:$A$14,0))="protocol_report"),IF(INDEX('C_jama.2025.20765'!$L$2:$L$14,MATCH("2025::jama.2025.20765::C005",'C_jama.2025.20765'!$A$2:$A$14,0))="","",INDEX('C_jama.2025.20765'!$L$2:$L$14,MATCH("2025::jama.2025.20765::C005",'C_jama.2025.20765'!$A$2:$A$14,0))),"not_applicable"),"NOT FROZEN")</x:f>
        <x:v>not_applicable</x:v>
      </x:c>
      <x:c r="I91" s="3" t="str">
        <x:f>IF(Setup!$B$6="primary",IF(INDEX('C_jama.2025.20765'!$R$2:$R$14,MATCH("2025::jama.2025.20765::C005",'C_jama.2025.20765'!$A$2:$A$14,0))="","",INDEX('C_jama.2025.20765'!$R$2:$R$14,MATCH("2025::jama.2025.20765::C005",'C_jama.2025.20765'!$A$2:$A$14,0))),"NOT FROZEN")</x:f>
      </x:c>
      <x:c r="J91" s="3" t="str">
        <x:f>IF(Setup!$B$6="primary",INDEX('C_jama.2025.20765'!$F$2:$F$14,MATCH("2025::jama.2025.20765::C005",'C_jama.2025.20765'!$A$2:$A$14,0)),"NOT FROZEN")</x:f>
        <x:v>no</x:v>
      </x:c>
      <x:c r="K91" s="3" t="str">
        <x:f>IF(Setup!$B$6="primary",Setup!$B$2,"NOT FROZEN")</x:f>
      </x:c>
      <x:c r="L91" s="3" t="str">
        <x:f>IF(Setup!$B$6="primary",IF(OR(B91="",B91="not_applicable"),"","Disposition: "&amp;B91&amp;CHAR(10))&amp;IF(OR(C91="",C91="not_applicable"),"","Review domain: "&amp;C91&amp;CHAR(10))&amp;IF(OR(D91="",D91="not_applicable"),"","Statistcal_or_numerical issue: "&amp;D91&amp;CHAR(10))&amp;IF(OR(E91="",E91="not_applicable"),"","Substantiveness: "&amp;E91&amp;CHAR(10))&amp;IF(OR(F91="",F91="not_applicable"),"","Downstream impact: "&amp;F91&amp;CHAR(10))&amp;IF(OR(G91="",G91="not_applicable"),"","Report-internal or planning-material inconsistency: "&amp;G91&amp;CHAR(10))&amp;IF(OR(H91="",H91="not_applicable"),"","Protocol interpretation: "&amp;H91&amp;CHAR(10))&amp;IF(OR(I91="",I91="not_applicable"),"","Notes (optional): "&amp;I91&amp;CHAR(10)),"NOT FROZEN")</x:f>
        <x:v>Review domain: plan_material
</x:v>
      </x:c>
    </x:row>
    <x:row r="92" ht="70" customHeight="1">
      <x:c r="A92" s="6" t="str">
        <x:f>IF(Setup!$B$6="primary","2025::jama.2025.20765::C006","NOT FROZEN")</x:f>
        <x:v>2025::jama.2025.20765::C006</x:v>
      </x:c>
      <x:c r="B92" s="6" t="str">
        <x:f>IF(Setup!$B$6="primary",IF(INDEX('C_jama.2025.20765'!$D$2:$D$14,MATCH("2025::jama.2025.20765::C006",'C_jama.2025.20765'!$A$2:$A$14,0))="","",INDEX('C_jama.2025.20765'!$D$2:$D$14,MATCH("2025::jama.2025.20765::C006",'C_jama.2025.20765'!$A$2:$A$14,0))),"NOT FROZEN")</x:f>
      </x:c>
      <x:c r="C92" s="6" t="str">
        <x:f>IF(Setup!$B$6="primary",IF(INDEX('C_jama.2025.20765'!$E$2:$E$14,MATCH("2025::jama.2025.20765::C006",'C_jama.2025.20765'!$A$2:$A$14,0))="","",INDEX('C_jama.2025.20765'!$E$2:$E$14,MATCH("2025::jama.2025.20765::C006",'C_jama.2025.20765'!$A$2:$A$14,0))),"NOT FROZEN")</x:f>
        <x:v>plan_material</x:v>
      </x:c>
      <x:c r="D92" s="6" t="str">
        <x:f>IF(Setup!$B$6="primary",IF(AND(INDEX('C_jama.2025.20765'!$D$2:$D$14,MATCH("2025::jama.2025.20765::C006",'C_jama.2025.20765'!$A$2:$A$14,0))="retain",INDEX('C_jama.2025.20765'!$E$2:$E$14,MATCH("2025::jama.2025.20765::C006",'C_jama.2025.20765'!$A$2:$A$14,0))="statistical_results"),IF(INDEX('C_jama.2025.20765'!$H$2:$H$14,MATCH("2025::jama.2025.20765::C006",'C_jama.2025.20765'!$A$2:$A$14,0))="","",INDEX('C_jama.2025.20765'!$H$2:$H$14,MATCH("2025::jama.2025.20765::C006",'C_jama.2025.20765'!$A$2:$A$14,0))),"not_applicable"),"NOT FROZEN")</x:f>
        <x:v>not_applicable</x:v>
      </x:c>
      <x:c r="E92" s="6" t="str">
        <x:f>IF(Setup!$B$6="primary",IF(AND(INDEX('C_jama.2025.20765'!$D$2:$D$14,MATCH("2025::jama.2025.20765::C006",'C_jama.2025.20765'!$A$2:$A$14,0))="retain",INDEX('C_jama.2025.20765'!$E$2:$E$14,MATCH("2025::jama.2025.20765::C006",'C_jama.2025.20765'!$A$2:$A$14,0))="statistical_results"),IF(INDEX('C_jama.2025.20765'!$I$2:$I$14,MATCH("2025::jama.2025.20765::C006",'C_jama.2025.20765'!$A$2:$A$14,0))="","",INDEX('C_jama.2025.20765'!$I$2:$I$14,MATCH("2025::jama.2025.20765::C006",'C_jama.2025.20765'!$A$2:$A$14,0))),"not_applicable"),"NOT FROZEN")</x:f>
        <x:v>not_applicable</x:v>
      </x:c>
      <x:c r="F92" s="6" t="str">
        <x:f>IF(Setup!$B$6="primary",IF(AND(INDEX('C_jama.2025.20765'!$D$2:$D$14,MATCH("2025::jama.2025.20765::C006",'C_jama.2025.20765'!$A$2:$A$14,0))="retain",INDEX('C_jama.2025.20765'!$E$2:$E$14,MATCH("2025::jama.2025.20765::C006",'C_jama.2025.20765'!$A$2:$A$14,0))="statistical_results"),IF(INDEX('C_jama.2025.20765'!$J$2:$J$14,MATCH("2025::jama.2025.20765::C006",'C_jama.2025.20765'!$A$2:$A$14,0))="","",INDEX('C_jama.2025.20765'!$J$2:$J$14,MATCH("2025::jama.2025.20765::C006",'C_jama.2025.20765'!$A$2:$A$14,0))),"not_applicable"),"NOT FROZEN")</x:f>
        <x:v>not_applicable</x:v>
      </x:c>
      <x:c r="G92" s="6" t="str">
        <x:f>IF(Setup!$B$6="primary",IF(AND(INDEX('C_jama.2025.20765'!$D$2:$D$14,MATCH("2025::jama.2025.20765::C006",'C_jama.2025.20765'!$A$2:$A$14,0))="retain",OR(INDEX('C_jama.2025.20765'!$E$2:$E$14,MATCH("2025::jama.2025.20765::C006",'C_jama.2025.20765'!$A$2:$A$14,0))="report_internal_inconsistency",INDEX('C_jama.2025.20765'!$E$2:$E$14,MATCH("2025::jama.2025.20765::C006",'C_jama.2025.20765'!$A$2:$A$14,0))="plan_material")),IF(INDEX('C_jama.2025.20765'!$K$2:$K$14,MATCH("2025::jama.2025.20765::C006",'C_jama.2025.20765'!$A$2:$A$14,0))="","",INDEX('C_jama.2025.20765'!$K$2:$K$14,MATCH("2025::jama.2025.20765::C006",'C_jama.2025.20765'!$A$2:$A$14,0))),"not_applicable"),"NOT FROZEN")</x:f>
        <x:v>not_applicable</x:v>
      </x:c>
      <x:c r="H92" s="6" t="str">
        <x:f>IF(Setup!$B$6="primary",IF(AND(INDEX('C_jama.2025.20765'!$D$2:$D$14,MATCH("2025::jama.2025.20765::C006",'C_jama.2025.20765'!$A$2:$A$14,0))="retain",INDEX('C_jama.2025.20765'!$E$2:$E$14,MATCH("2025::jama.2025.20765::C006",'C_jama.2025.20765'!$A$2:$A$14,0))="protocol_report"),IF(INDEX('C_jama.2025.20765'!$L$2:$L$14,MATCH("2025::jama.2025.20765::C006",'C_jama.2025.20765'!$A$2:$A$14,0))="","",INDEX('C_jama.2025.20765'!$L$2:$L$14,MATCH("2025::jama.2025.20765::C006",'C_jama.2025.20765'!$A$2:$A$14,0))),"not_applicable"),"NOT FROZEN")</x:f>
        <x:v>not_applicable</x:v>
      </x:c>
      <x:c r="I92" s="6" t="str">
        <x:f>IF(Setup!$B$6="primary",IF(INDEX('C_jama.2025.20765'!$R$2:$R$14,MATCH("2025::jama.2025.20765::C006",'C_jama.2025.20765'!$A$2:$A$14,0))="","",INDEX('C_jama.2025.20765'!$R$2:$R$14,MATCH("2025::jama.2025.20765::C006",'C_jama.2025.20765'!$A$2:$A$14,0))),"NOT FROZEN")</x:f>
      </x:c>
      <x:c r="J92" s="6" t="str">
        <x:f>IF(Setup!$B$6="primary",INDEX('C_jama.2025.20765'!$F$2:$F$14,MATCH("2025::jama.2025.20765::C006",'C_jama.2025.20765'!$A$2:$A$14,0)),"NOT FROZEN")</x:f>
        <x:v>no</x:v>
      </x:c>
      <x:c r="K92" s="6" t="str">
        <x:f>IF(Setup!$B$6="primary",Setup!$B$2,"NOT FROZEN")</x:f>
      </x:c>
      <x:c r="L92" s="6" t="str">
        <x:f>IF(Setup!$B$6="primary",IF(OR(B92="",B92="not_applicable"),"","Disposition: "&amp;B92&amp;CHAR(10))&amp;IF(OR(C92="",C92="not_applicable"),"","Review domain: "&amp;C92&amp;CHAR(10))&amp;IF(OR(D92="",D92="not_applicable"),"","Statistcal_or_numerical issue: "&amp;D92&amp;CHAR(10))&amp;IF(OR(E92="",E92="not_applicable"),"","Substantiveness: "&amp;E92&amp;CHAR(10))&amp;IF(OR(F92="",F92="not_applicable"),"","Downstream impact: "&amp;F92&amp;CHAR(10))&amp;IF(OR(G92="",G92="not_applicable"),"","Report-internal or planning-material inconsistency: "&amp;G92&amp;CHAR(10))&amp;IF(OR(H92="",H92="not_applicable"),"","Protocol interpretation: "&amp;H92&amp;CHAR(10))&amp;IF(OR(I92="",I92="not_applicable"),"","Notes (optional): "&amp;I92&amp;CHAR(10)),"NOT FROZEN")</x:f>
        <x:v>Review domain: plan_material
</x:v>
      </x:c>
    </x:row>
    <x:row r="93" ht="70" customHeight="1">
      <x:c r="A93" s="3" t="str">
        <x:f>IF(Setup!$B$6="primary","2025::jama.2025.20765::C007","NOT FROZEN")</x:f>
        <x:v>2025::jama.2025.20765::C007</x:v>
      </x:c>
      <x:c r="B93" s="3" t="str">
        <x:f>IF(Setup!$B$6="primary",IF(INDEX('C_jama.2025.20765'!$D$2:$D$14,MATCH("2025::jama.2025.20765::C007",'C_jama.2025.20765'!$A$2:$A$14,0))="","",INDEX('C_jama.2025.20765'!$D$2:$D$14,MATCH("2025::jama.2025.20765::C007",'C_jama.2025.20765'!$A$2:$A$14,0))),"NOT FROZEN")</x:f>
      </x:c>
      <x:c r="C93" s="3" t="str">
        <x:f>IF(Setup!$B$6="primary",IF(INDEX('C_jama.2025.20765'!$E$2:$E$14,MATCH("2025::jama.2025.20765::C007",'C_jama.2025.20765'!$A$2:$A$14,0))="","",INDEX('C_jama.2025.20765'!$E$2:$E$14,MATCH("2025::jama.2025.20765::C007",'C_jama.2025.20765'!$A$2:$A$14,0))),"NOT FROZEN")</x:f>
        <x:v>plan_material</x:v>
      </x:c>
      <x:c r="D93" s="3" t="str">
        <x:f>IF(Setup!$B$6="primary",IF(AND(INDEX('C_jama.2025.20765'!$D$2:$D$14,MATCH("2025::jama.2025.20765::C007",'C_jama.2025.20765'!$A$2:$A$14,0))="retain",INDEX('C_jama.2025.20765'!$E$2:$E$14,MATCH("2025::jama.2025.20765::C007",'C_jama.2025.20765'!$A$2:$A$14,0))="statistical_results"),IF(INDEX('C_jama.2025.20765'!$H$2:$H$14,MATCH("2025::jama.2025.20765::C007",'C_jama.2025.20765'!$A$2:$A$14,0))="","",INDEX('C_jama.2025.20765'!$H$2:$H$14,MATCH("2025::jama.2025.20765::C007",'C_jama.2025.20765'!$A$2:$A$14,0))),"not_applicable"),"NOT FROZEN")</x:f>
        <x:v>not_applicable</x:v>
      </x:c>
      <x:c r="E93" s="3" t="str">
        <x:f>IF(Setup!$B$6="primary",IF(AND(INDEX('C_jama.2025.20765'!$D$2:$D$14,MATCH("2025::jama.2025.20765::C007",'C_jama.2025.20765'!$A$2:$A$14,0))="retain",INDEX('C_jama.2025.20765'!$E$2:$E$14,MATCH("2025::jama.2025.20765::C007",'C_jama.2025.20765'!$A$2:$A$14,0))="statistical_results"),IF(INDEX('C_jama.2025.20765'!$I$2:$I$14,MATCH("2025::jama.2025.20765::C007",'C_jama.2025.20765'!$A$2:$A$14,0))="","",INDEX('C_jama.2025.20765'!$I$2:$I$14,MATCH("2025::jama.2025.20765::C007",'C_jama.2025.20765'!$A$2:$A$14,0))),"not_applicable"),"NOT FROZEN")</x:f>
        <x:v>not_applicable</x:v>
      </x:c>
      <x:c r="F93" s="3" t="str">
        <x:f>IF(Setup!$B$6="primary",IF(AND(INDEX('C_jama.2025.20765'!$D$2:$D$14,MATCH("2025::jama.2025.20765::C007",'C_jama.2025.20765'!$A$2:$A$14,0))="retain",INDEX('C_jama.2025.20765'!$E$2:$E$14,MATCH("2025::jama.2025.20765::C007",'C_jama.2025.20765'!$A$2:$A$14,0))="statistical_results"),IF(INDEX('C_jama.2025.20765'!$J$2:$J$14,MATCH("2025::jama.2025.20765::C007",'C_jama.2025.20765'!$A$2:$A$14,0))="","",INDEX('C_jama.2025.20765'!$J$2:$J$14,MATCH("2025::jama.2025.20765::C007",'C_jama.2025.20765'!$A$2:$A$14,0))),"not_applicable"),"NOT FROZEN")</x:f>
        <x:v>not_applicable</x:v>
      </x:c>
      <x:c r="G93" s="3" t="str">
        <x:f>IF(Setup!$B$6="primary",IF(AND(INDEX('C_jama.2025.20765'!$D$2:$D$14,MATCH("2025::jama.2025.20765::C007",'C_jama.2025.20765'!$A$2:$A$14,0))="retain",OR(INDEX('C_jama.2025.20765'!$E$2:$E$14,MATCH("2025::jama.2025.20765::C007",'C_jama.2025.20765'!$A$2:$A$14,0))="report_internal_inconsistency",INDEX('C_jama.2025.20765'!$E$2:$E$14,MATCH("2025::jama.2025.20765::C007",'C_jama.2025.20765'!$A$2:$A$14,0))="plan_material")),IF(INDEX('C_jama.2025.20765'!$K$2:$K$14,MATCH("2025::jama.2025.20765::C007",'C_jama.2025.20765'!$A$2:$A$14,0))="","",INDEX('C_jama.2025.20765'!$K$2:$K$14,MATCH("2025::jama.2025.20765::C007",'C_jama.2025.20765'!$A$2:$A$14,0))),"not_applicable"),"NOT FROZEN")</x:f>
        <x:v>not_applicable</x:v>
      </x:c>
      <x:c r="H93" s="3" t="str">
        <x:f>IF(Setup!$B$6="primary",IF(AND(INDEX('C_jama.2025.20765'!$D$2:$D$14,MATCH("2025::jama.2025.20765::C007",'C_jama.2025.20765'!$A$2:$A$14,0))="retain",INDEX('C_jama.2025.20765'!$E$2:$E$14,MATCH("2025::jama.2025.20765::C007",'C_jama.2025.20765'!$A$2:$A$14,0))="protocol_report"),IF(INDEX('C_jama.2025.20765'!$L$2:$L$14,MATCH("2025::jama.2025.20765::C007",'C_jama.2025.20765'!$A$2:$A$14,0))="","",INDEX('C_jama.2025.20765'!$L$2:$L$14,MATCH("2025::jama.2025.20765::C007",'C_jama.2025.20765'!$A$2:$A$14,0))),"not_applicable"),"NOT FROZEN")</x:f>
        <x:v>not_applicable</x:v>
      </x:c>
      <x:c r="I93" s="3" t="str">
        <x:f>IF(Setup!$B$6="primary",IF(INDEX('C_jama.2025.20765'!$R$2:$R$14,MATCH("2025::jama.2025.20765::C007",'C_jama.2025.20765'!$A$2:$A$14,0))="","",INDEX('C_jama.2025.20765'!$R$2:$R$14,MATCH("2025::jama.2025.20765::C007",'C_jama.2025.20765'!$A$2:$A$14,0))),"NOT FROZEN")</x:f>
      </x:c>
      <x:c r="J93" s="3" t="str">
        <x:f>IF(Setup!$B$6="primary",INDEX('C_jama.2025.20765'!$F$2:$F$14,MATCH("2025::jama.2025.20765::C007",'C_jama.2025.20765'!$A$2:$A$14,0)),"NOT FROZEN")</x:f>
        <x:v>no</x:v>
      </x:c>
      <x:c r="K93" s="3" t="str">
        <x:f>IF(Setup!$B$6="primary",Setup!$B$2,"NOT FROZEN")</x:f>
      </x:c>
      <x:c r="L93" s="3" t="str">
        <x:f>IF(Setup!$B$6="primary",IF(OR(B93="",B93="not_applicable"),"","Disposition: "&amp;B93&amp;CHAR(10))&amp;IF(OR(C93="",C93="not_applicable"),"","Review domain: "&amp;C93&amp;CHAR(10))&amp;IF(OR(D93="",D93="not_applicable"),"","Statistcal_or_numerical issue: "&amp;D93&amp;CHAR(10))&amp;IF(OR(E93="",E93="not_applicable"),"","Substantiveness: "&amp;E93&amp;CHAR(10))&amp;IF(OR(F93="",F93="not_applicable"),"","Downstream impact: "&amp;F93&amp;CHAR(10))&amp;IF(OR(G93="",G93="not_applicable"),"","Report-internal or planning-material inconsistency: "&amp;G93&amp;CHAR(10))&amp;IF(OR(H93="",H93="not_applicable"),"","Protocol interpretation: "&amp;H93&amp;CHAR(10))&amp;IF(OR(I93="",I93="not_applicable"),"","Notes (optional): "&amp;I93&amp;CHAR(10)),"NOT FROZEN")</x:f>
        <x:v>Review domain: plan_material
</x:v>
      </x:c>
    </x:row>
    <x:row r="94" ht="70" customHeight="1">
      <x:c r="A94" s="6" t="str">
        <x:f>IF(Setup!$B$6="primary","2025::jama.2025.20765::C008","NOT FROZEN")</x:f>
        <x:v>2025::jama.2025.20765::C008</x:v>
      </x:c>
      <x:c r="B94" s="6" t="str">
        <x:f>IF(Setup!$B$6="primary",IF(INDEX('C_jama.2025.20765'!$D$2:$D$14,MATCH("2025::jama.2025.20765::C008",'C_jama.2025.20765'!$A$2:$A$14,0))="","",INDEX('C_jama.2025.20765'!$D$2:$D$14,MATCH("2025::jama.2025.20765::C008",'C_jama.2025.20765'!$A$2:$A$14,0))),"NOT FROZEN")</x:f>
      </x:c>
      <x:c r="C94" s="6" t="str">
        <x:f>IF(Setup!$B$6="primary",IF(INDEX('C_jama.2025.20765'!$E$2:$E$14,MATCH("2025::jama.2025.20765::C008",'C_jama.2025.20765'!$A$2:$A$14,0))="","",INDEX('C_jama.2025.20765'!$E$2:$E$14,MATCH("2025::jama.2025.20765::C008",'C_jama.2025.20765'!$A$2:$A$14,0))),"NOT FROZEN")</x:f>
        <x:v>plan_material</x:v>
      </x:c>
      <x:c r="D94" s="6" t="str">
        <x:f>IF(Setup!$B$6="primary",IF(AND(INDEX('C_jama.2025.20765'!$D$2:$D$14,MATCH("2025::jama.2025.20765::C008",'C_jama.2025.20765'!$A$2:$A$14,0))="retain",INDEX('C_jama.2025.20765'!$E$2:$E$14,MATCH("2025::jama.2025.20765::C008",'C_jama.2025.20765'!$A$2:$A$14,0))="statistical_results"),IF(INDEX('C_jama.2025.20765'!$H$2:$H$14,MATCH("2025::jama.2025.20765::C008",'C_jama.2025.20765'!$A$2:$A$14,0))="","",INDEX('C_jama.2025.20765'!$H$2:$H$14,MATCH("2025::jama.2025.20765::C008",'C_jama.2025.20765'!$A$2:$A$14,0))),"not_applicable"),"NOT FROZEN")</x:f>
        <x:v>not_applicable</x:v>
      </x:c>
      <x:c r="E94" s="6" t="str">
        <x:f>IF(Setup!$B$6="primary",IF(AND(INDEX('C_jama.2025.20765'!$D$2:$D$14,MATCH("2025::jama.2025.20765::C008",'C_jama.2025.20765'!$A$2:$A$14,0))="retain",INDEX('C_jama.2025.20765'!$E$2:$E$14,MATCH("2025::jama.2025.20765::C008",'C_jama.2025.20765'!$A$2:$A$14,0))="statistical_results"),IF(INDEX('C_jama.2025.20765'!$I$2:$I$14,MATCH("2025::jama.2025.20765::C008",'C_jama.2025.20765'!$A$2:$A$14,0))="","",INDEX('C_jama.2025.20765'!$I$2:$I$14,MATCH("2025::jama.2025.20765::C008",'C_jama.2025.20765'!$A$2:$A$14,0))),"not_applicable"),"NOT FROZEN")</x:f>
        <x:v>not_applicable</x:v>
      </x:c>
      <x:c r="F94" s="6" t="str">
        <x:f>IF(Setup!$B$6="primary",IF(AND(INDEX('C_jama.2025.20765'!$D$2:$D$14,MATCH("2025::jama.2025.20765::C008",'C_jama.2025.20765'!$A$2:$A$14,0))="retain",INDEX('C_jama.2025.20765'!$E$2:$E$14,MATCH("2025::jama.2025.20765::C008",'C_jama.2025.20765'!$A$2:$A$14,0))="statistical_results"),IF(INDEX('C_jama.2025.20765'!$J$2:$J$14,MATCH("2025::jama.2025.20765::C008",'C_jama.2025.20765'!$A$2:$A$14,0))="","",INDEX('C_jama.2025.20765'!$J$2:$J$14,MATCH("2025::jama.2025.20765::C008",'C_jama.2025.20765'!$A$2:$A$14,0))),"not_applicable"),"NOT FROZEN")</x:f>
        <x:v>not_applicable</x:v>
      </x:c>
      <x:c r="G94" s="6" t="str">
        <x:f>IF(Setup!$B$6="primary",IF(AND(INDEX('C_jama.2025.20765'!$D$2:$D$14,MATCH("2025::jama.2025.20765::C008",'C_jama.2025.20765'!$A$2:$A$14,0))="retain",OR(INDEX('C_jama.2025.20765'!$E$2:$E$14,MATCH("2025::jama.2025.20765::C008",'C_jama.2025.20765'!$A$2:$A$14,0))="report_internal_inconsistency",INDEX('C_jama.2025.20765'!$E$2:$E$14,MATCH("2025::jama.2025.20765::C008",'C_jama.2025.20765'!$A$2:$A$14,0))="plan_material")),IF(INDEX('C_jama.2025.20765'!$K$2:$K$14,MATCH("2025::jama.2025.20765::C008",'C_jama.2025.20765'!$A$2:$A$14,0))="","",INDEX('C_jama.2025.20765'!$K$2:$K$14,MATCH("2025::jama.2025.20765::C008",'C_jama.2025.20765'!$A$2:$A$14,0))),"not_applicable"),"NOT FROZEN")</x:f>
        <x:v>not_applicable</x:v>
      </x:c>
      <x:c r="H94" s="6" t="str">
        <x:f>IF(Setup!$B$6="primary",IF(AND(INDEX('C_jama.2025.20765'!$D$2:$D$14,MATCH("2025::jama.2025.20765::C008",'C_jama.2025.20765'!$A$2:$A$14,0))="retain",INDEX('C_jama.2025.20765'!$E$2:$E$14,MATCH("2025::jama.2025.20765::C008",'C_jama.2025.20765'!$A$2:$A$14,0))="protocol_report"),IF(INDEX('C_jama.2025.20765'!$L$2:$L$14,MATCH("2025::jama.2025.20765::C008",'C_jama.2025.20765'!$A$2:$A$14,0))="","",INDEX('C_jama.2025.20765'!$L$2:$L$14,MATCH("2025::jama.2025.20765::C008",'C_jama.2025.20765'!$A$2:$A$14,0))),"not_applicable"),"NOT FROZEN")</x:f>
        <x:v>not_applicable</x:v>
      </x:c>
      <x:c r="I94" s="6" t="str">
        <x:f>IF(Setup!$B$6="primary",IF(INDEX('C_jama.2025.20765'!$R$2:$R$14,MATCH("2025::jama.2025.20765::C008",'C_jama.2025.20765'!$A$2:$A$14,0))="","",INDEX('C_jama.2025.20765'!$R$2:$R$14,MATCH("2025::jama.2025.20765::C008",'C_jama.2025.20765'!$A$2:$A$14,0))),"NOT FROZEN")</x:f>
      </x:c>
      <x:c r="J94" s="6" t="str">
        <x:f>IF(Setup!$B$6="primary",INDEX('C_jama.2025.20765'!$F$2:$F$14,MATCH("2025::jama.2025.20765::C008",'C_jama.2025.20765'!$A$2:$A$14,0)),"NOT FROZEN")</x:f>
        <x:v>no</x:v>
      </x:c>
      <x:c r="K94" s="6" t="str">
        <x:f>IF(Setup!$B$6="primary",Setup!$B$2,"NOT FROZEN")</x:f>
      </x:c>
      <x:c r="L94" s="6" t="str">
        <x:f>IF(Setup!$B$6="primary",IF(OR(B94="",B94="not_applicable"),"","Disposition: "&amp;B94&amp;CHAR(10))&amp;IF(OR(C94="",C94="not_applicable"),"","Review domain: "&amp;C94&amp;CHAR(10))&amp;IF(OR(D94="",D94="not_applicable"),"","Statistcal_or_numerical issue: "&amp;D94&amp;CHAR(10))&amp;IF(OR(E94="",E94="not_applicable"),"","Substantiveness: "&amp;E94&amp;CHAR(10))&amp;IF(OR(F94="",F94="not_applicable"),"","Downstream impact: "&amp;F94&amp;CHAR(10))&amp;IF(OR(G94="",G94="not_applicable"),"","Report-internal or planning-material inconsistency: "&amp;G94&amp;CHAR(10))&amp;IF(OR(H94="",H94="not_applicable"),"","Protocol interpretation: "&amp;H94&amp;CHAR(10))&amp;IF(OR(I94="",I94="not_applicable"),"","Notes (optional): "&amp;I94&amp;CHAR(10)),"NOT FROZEN")</x:f>
        <x:v>Review domain: plan_material
</x:v>
      </x:c>
    </x:row>
    <x:row r="95" ht="70" customHeight="1">
      <x:c r="A95" s="3" t="str">
        <x:f>IF(Setup!$B$6="primary","2025::jama.2025.20765::C009","NOT FROZEN")</x:f>
        <x:v>2025::jama.2025.20765::C009</x:v>
      </x:c>
      <x:c r="B95" s="3" t="str">
        <x:f>IF(Setup!$B$6="primary",IF(INDEX('C_jama.2025.20765'!$D$2:$D$14,MATCH("2025::jama.2025.20765::C009",'C_jama.2025.20765'!$A$2:$A$14,0))="","",INDEX('C_jama.2025.20765'!$D$2:$D$14,MATCH("2025::jama.2025.20765::C009",'C_jama.2025.20765'!$A$2:$A$14,0))),"NOT FROZEN")</x:f>
      </x:c>
      <x:c r="C95" s="3" t="str">
        <x:f>IF(Setup!$B$6="primary",IF(INDEX('C_jama.2025.20765'!$E$2:$E$14,MATCH("2025::jama.2025.20765::C009",'C_jama.2025.20765'!$A$2:$A$14,0))="","",INDEX('C_jama.2025.20765'!$E$2:$E$14,MATCH("2025::jama.2025.20765::C009",'C_jama.2025.20765'!$A$2:$A$14,0))),"NOT FROZEN")</x:f>
        <x:v>plan_material</x:v>
      </x:c>
      <x:c r="D95" s="3" t="str">
        <x:f>IF(Setup!$B$6="primary",IF(AND(INDEX('C_jama.2025.20765'!$D$2:$D$14,MATCH("2025::jama.2025.20765::C009",'C_jama.2025.20765'!$A$2:$A$14,0))="retain",INDEX('C_jama.2025.20765'!$E$2:$E$14,MATCH("2025::jama.2025.20765::C009",'C_jama.2025.20765'!$A$2:$A$14,0))="statistical_results"),IF(INDEX('C_jama.2025.20765'!$H$2:$H$14,MATCH("2025::jama.2025.20765::C009",'C_jama.2025.20765'!$A$2:$A$14,0))="","",INDEX('C_jama.2025.20765'!$H$2:$H$14,MATCH("2025::jama.2025.20765::C009",'C_jama.2025.20765'!$A$2:$A$14,0))),"not_applicable"),"NOT FROZEN")</x:f>
        <x:v>not_applicable</x:v>
      </x:c>
      <x:c r="E95" s="3" t="str">
        <x:f>IF(Setup!$B$6="primary",IF(AND(INDEX('C_jama.2025.20765'!$D$2:$D$14,MATCH("2025::jama.2025.20765::C009",'C_jama.2025.20765'!$A$2:$A$14,0))="retain",INDEX('C_jama.2025.20765'!$E$2:$E$14,MATCH("2025::jama.2025.20765::C009",'C_jama.2025.20765'!$A$2:$A$14,0))="statistical_results"),IF(INDEX('C_jama.2025.20765'!$I$2:$I$14,MATCH("2025::jama.2025.20765::C009",'C_jama.2025.20765'!$A$2:$A$14,0))="","",INDEX('C_jama.2025.20765'!$I$2:$I$14,MATCH("2025::jama.2025.20765::C009",'C_jama.2025.20765'!$A$2:$A$14,0))),"not_applicable"),"NOT FROZEN")</x:f>
        <x:v>not_applicable</x:v>
      </x:c>
      <x:c r="F95" s="3" t="str">
        <x:f>IF(Setup!$B$6="primary",IF(AND(INDEX('C_jama.2025.20765'!$D$2:$D$14,MATCH("2025::jama.2025.20765::C009",'C_jama.2025.20765'!$A$2:$A$14,0))="retain",INDEX('C_jama.2025.20765'!$E$2:$E$14,MATCH("2025::jama.2025.20765::C009",'C_jama.2025.20765'!$A$2:$A$14,0))="statistical_results"),IF(INDEX('C_jama.2025.20765'!$J$2:$J$14,MATCH("2025::jama.2025.20765::C009",'C_jama.2025.20765'!$A$2:$A$14,0))="","",INDEX('C_jama.2025.20765'!$J$2:$J$14,MATCH("2025::jama.2025.20765::C009",'C_jama.2025.20765'!$A$2:$A$14,0))),"not_applicable"),"NOT FROZEN")</x:f>
        <x:v>not_applicable</x:v>
      </x:c>
      <x:c r="G95" s="3" t="str">
        <x:f>IF(Setup!$B$6="primary",IF(AND(INDEX('C_jama.2025.20765'!$D$2:$D$14,MATCH("2025::jama.2025.20765::C009",'C_jama.2025.20765'!$A$2:$A$14,0))="retain",OR(INDEX('C_jama.2025.20765'!$E$2:$E$14,MATCH("2025::jama.2025.20765::C009",'C_jama.2025.20765'!$A$2:$A$14,0))="report_internal_inconsistency",INDEX('C_jama.2025.20765'!$E$2:$E$14,MATCH("2025::jama.2025.20765::C009",'C_jama.2025.20765'!$A$2:$A$14,0))="plan_material")),IF(INDEX('C_jama.2025.20765'!$K$2:$K$14,MATCH("2025::jama.2025.20765::C009",'C_jama.2025.20765'!$A$2:$A$14,0))="","",INDEX('C_jama.2025.20765'!$K$2:$K$14,MATCH("2025::jama.2025.20765::C009",'C_jama.2025.20765'!$A$2:$A$14,0))),"not_applicable"),"NOT FROZEN")</x:f>
        <x:v>not_applicable</x:v>
      </x:c>
      <x:c r="H95" s="3" t="str">
        <x:f>IF(Setup!$B$6="primary",IF(AND(INDEX('C_jama.2025.20765'!$D$2:$D$14,MATCH("2025::jama.2025.20765::C009",'C_jama.2025.20765'!$A$2:$A$14,0))="retain",INDEX('C_jama.2025.20765'!$E$2:$E$14,MATCH("2025::jama.2025.20765::C009",'C_jama.2025.20765'!$A$2:$A$14,0))="protocol_report"),IF(INDEX('C_jama.2025.20765'!$L$2:$L$14,MATCH("2025::jama.2025.20765::C009",'C_jama.2025.20765'!$A$2:$A$14,0))="","",INDEX('C_jama.2025.20765'!$L$2:$L$14,MATCH("2025::jama.2025.20765::C009",'C_jama.2025.20765'!$A$2:$A$14,0))),"not_applicable"),"NOT FROZEN")</x:f>
        <x:v>not_applicable</x:v>
      </x:c>
      <x:c r="I95" s="3" t="str">
        <x:f>IF(Setup!$B$6="primary",IF(INDEX('C_jama.2025.20765'!$R$2:$R$14,MATCH("2025::jama.2025.20765::C009",'C_jama.2025.20765'!$A$2:$A$14,0))="","",INDEX('C_jama.2025.20765'!$R$2:$R$14,MATCH("2025::jama.2025.20765::C009",'C_jama.2025.20765'!$A$2:$A$14,0))),"NOT FROZEN")</x:f>
      </x:c>
      <x:c r="J95" s="3" t="str">
        <x:f>IF(Setup!$B$6="primary",INDEX('C_jama.2025.20765'!$F$2:$F$14,MATCH("2025::jama.2025.20765::C009",'C_jama.2025.20765'!$A$2:$A$14,0)),"NOT FROZEN")</x:f>
        <x:v>no</x:v>
      </x:c>
      <x:c r="K95" s="3" t="str">
        <x:f>IF(Setup!$B$6="primary",Setup!$B$2,"NOT FROZEN")</x:f>
      </x:c>
      <x:c r="L95" s="3" t="str">
        <x:f>IF(Setup!$B$6="primary",IF(OR(B95="",B95="not_applicable"),"","Disposition: "&amp;B95&amp;CHAR(10))&amp;IF(OR(C95="",C95="not_applicable"),"","Review domain: "&amp;C95&amp;CHAR(10))&amp;IF(OR(D95="",D95="not_applicable"),"","Statistcal_or_numerical issue: "&amp;D95&amp;CHAR(10))&amp;IF(OR(E95="",E95="not_applicable"),"","Substantiveness: "&amp;E95&amp;CHAR(10))&amp;IF(OR(F95="",F95="not_applicable"),"","Downstream impact: "&amp;F95&amp;CHAR(10))&amp;IF(OR(G95="",G95="not_applicable"),"","Report-internal or planning-material inconsistency: "&amp;G95&amp;CHAR(10))&amp;IF(OR(H95="",H95="not_applicable"),"","Protocol interpretation: "&amp;H95&amp;CHAR(10))&amp;IF(OR(I95="",I95="not_applicable"),"","Notes (optional): "&amp;I95&amp;CHAR(10)),"NOT FROZEN")</x:f>
        <x:v>Review domain: plan_material
</x:v>
      </x:c>
    </x:row>
    <x:row r="96" ht="70" customHeight="1">
      <x:c r="A96" s="6" t="str">
        <x:f>IF(Setup!$B$6="primary","2025::jama.2025.20765::C010","NOT FROZEN")</x:f>
        <x:v>2025::jama.2025.20765::C010</x:v>
      </x:c>
      <x:c r="B96" s="6" t="str">
        <x:f>IF(Setup!$B$6="primary",IF(INDEX('C_jama.2025.20765'!$D$2:$D$14,MATCH("2025::jama.2025.20765::C010",'C_jama.2025.20765'!$A$2:$A$14,0))="","",INDEX('C_jama.2025.20765'!$D$2:$D$14,MATCH("2025::jama.2025.20765::C010",'C_jama.2025.20765'!$A$2:$A$14,0))),"NOT FROZEN")</x:f>
      </x:c>
      <x:c r="C96" s="6" t="str">
        <x:f>IF(Setup!$B$6="primary",IF(INDEX('C_jama.2025.20765'!$E$2:$E$14,MATCH("2025::jama.2025.20765::C010",'C_jama.2025.20765'!$A$2:$A$14,0))="","",INDEX('C_jama.2025.20765'!$E$2:$E$14,MATCH("2025::jama.2025.20765::C010",'C_jama.2025.20765'!$A$2:$A$14,0))),"NOT FROZEN")</x:f>
        <x:v>plan_material</x:v>
      </x:c>
      <x:c r="D96" s="6" t="str">
        <x:f>IF(Setup!$B$6="primary",IF(AND(INDEX('C_jama.2025.20765'!$D$2:$D$14,MATCH("2025::jama.2025.20765::C010",'C_jama.2025.20765'!$A$2:$A$14,0))="retain",INDEX('C_jama.2025.20765'!$E$2:$E$14,MATCH("2025::jama.2025.20765::C010",'C_jama.2025.20765'!$A$2:$A$14,0))="statistical_results"),IF(INDEX('C_jama.2025.20765'!$H$2:$H$14,MATCH("2025::jama.2025.20765::C010",'C_jama.2025.20765'!$A$2:$A$14,0))="","",INDEX('C_jama.2025.20765'!$H$2:$H$14,MATCH("2025::jama.2025.20765::C010",'C_jama.2025.20765'!$A$2:$A$14,0))),"not_applicable"),"NOT FROZEN")</x:f>
        <x:v>not_applicable</x:v>
      </x:c>
      <x:c r="E96" s="6" t="str">
        <x:f>IF(Setup!$B$6="primary",IF(AND(INDEX('C_jama.2025.20765'!$D$2:$D$14,MATCH("2025::jama.2025.20765::C010",'C_jama.2025.20765'!$A$2:$A$14,0))="retain",INDEX('C_jama.2025.20765'!$E$2:$E$14,MATCH("2025::jama.2025.20765::C010",'C_jama.2025.20765'!$A$2:$A$14,0))="statistical_results"),IF(INDEX('C_jama.2025.20765'!$I$2:$I$14,MATCH("2025::jama.2025.20765::C010",'C_jama.2025.20765'!$A$2:$A$14,0))="","",INDEX('C_jama.2025.20765'!$I$2:$I$14,MATCH("2025::jama.2025.20765::C010",'C_jama.2025.20765'!$A$2:$A$14,0))),"not_applicable"),"NOT FROZEN")</x:f>
        <x:v>not_applicable</x:v>
      </x:c>
      <x:c r="F96" s="6" t="str">
        <x:f>IF(Setup!$B$6="primary",IF(AND(INDEX('C_jama.2025.20765'!$D$2:$D$14,MATCH("2025::jama.2025.20765::C010",'C_jama.2025.20765'!$A$2:$A$14,0))="retain",INDEX('C_jama.2025.20765'!$E$2:$E$14,MATCH("2025::jama.2025.20765::C010",'C_jama.2025.20765'!$A$2:$A$14,0))="statistical_results"),IF(INDEX('C_jama.2025.20765'!$J$2:$J$14,MATCH("2025::jama.2025.20765::C010",'C_jama.2025.20765'!$A$2:$A$14,0))="","",INDEX('C_jama.2025.20765'!$J$2:$J$14,MATCH("2025::jama.2025.20765::C010",'C_jama.2025.20765'!$A$2:$A$14,0))),"not_applicable"),"NOT FROZEN")</x:f>
        <x:v>not_applicable</x:v>
      </x:c>
      <x:c r="G96" s="6" t="str">
        <x:f>IF(Setup!$B$6="primary",IF(AND(INDEX('C_jama.2025.20765'!$D$2:$D$14,MATCH("2025::jama.2025.20765::C010",'C_jama.2025.20765'!$A$2:$A$14,0))="retain",OR(INDEX('C_jama.2025.20765'!$E$2:$E$14,MATCH("2025::jama.2025.20765::C010",'C_jama.2025.20765'!$A$2:$A$14,0))="report_internal_inconsistency",INDEX('C_jama.2025.20765'!$E$2:$E$14,MATCH("2025::jama.2025.20765::C010",'C_jama.2025.20765'!$A$2:$A$14,0))="plan_material")),IF(INDEX('C_jama.2025.20765'!$K$2:$K$14,MATCH("2025::jama.2025.20765::C010",'C_jama.2025.20765'!$A$2:$A$14,0))="","",INDEX('C_jama.2025.20765'!$K$2:$K$14,MATCH("2025::jama.2025.20765::C010",'C_jama.2025.20765'!$A$2:$A$14,0))),"not_applicable"),"NOT FROZEN")</x:f>
        <x:v>not_applicable</x:v>
      </x:c>
      <x:c r="H96" s="6" t="str">
        <x:f>IF(Setup!$B$6="primary",IF(AND(INDEX('C_jama.2025.20765'!$D$2:$D$14,MATCH("2025::jama.2025.20765::C010",'C_jama.2025.20765'!$A$2:$A$14,0))="retain",INDEX('C_jama.2025.20765'!$E$2:$E$14,MATCH("2025::jama.2025.20765::C010",'C_jama.2025.20765'!$A$2:$A$14,0))="protocol_report"),IF(INDEX('C_jama.2025.20765'!$L$2:$L$14,MATCH("2025::jama.2025.20765::C010",'C_jama.2025.20765'!$A$2:$A$14,0))="","",INDEX('C_jama.2025.20765'!$L$2:$L$14,MATCH("2025::jama.2025.20765::C010",'C_jama.2025.20765'!$A$2:$A$14,0))),"not_applicable"),"NOT FROZEN")</x:f>
        <x:v>not_applicable</x:v>
      </x:c>
      <x:c r="I96" s="6" t="str">
        <x:f>IF(Setup!$B$6="primary",IF(INDEX('C_jama.2025.20765'!$R$2:$R$14,MATCH("2025::jama.2025.20765::C010",'C_jama.2025.20765'!$A$2:$A$14,0))="","",INDEX('C_jama.2025.20765'!$R$2:$R$14,MATCH("2025::jama.2025.20765::C010",'C_jama.2025.20765'!$A$2:$A$14,0))),"NOT FROZEN")</x:f>
      </x:c>
      <x:c r="J96" s="6" t="str">
        <x:f>IF(Setup!$B$6="primary",INDEX('C_jama.2025.20765'!$F$2:$F$14,MATCH("2025::jama.2025.20765::C010",'C_jama.2025.20765'!$A$2:$A$14,0)),"NOT FROZEN")</x:f>
        <x:v>no</x:v>
      </x:c>
      <x:c r="K96" s="6" t="str">
        <x:f>IF(Setup!$B$6="primary",Setup!$B$2,"NOT FROZEN")</x:f>
      </x:c>
      <x:c r="L96" s="6" t="str">
        <x:f>IF(Setup!$B$6="primary",IF(OR(B96="",B96="not_applicable"),"","Disposition: "&amp;B96&amp;CHAR(10))&amp;IF(OR(C96="",C96="not_applicable"),"","Review domain: "&amp;C96&amp;CHAR(10))&amp;IF(OR(D96="",D96="not_applicable"),"","Statistcal_or_numerical issue: "&amp;D96&amp;CHAR(10))&amp;IF(OR(E96="",E96="not_applicable"),"","Substantiveness: "&amp;E96&amp;CHAR(10))&amp;IF(OR(F96="",F96="not_applicable"),"","Downstream impact: "&amp;F96&amp;CHAR(10))&amp;IF(OR(G96="",G96="not_applicable"),"","Report-internal or planning-material inconsistency: "&amp;G96&amp;CHAR(10))&amp;IF(OR(H96="",H96="not_applicable"),"","Protocol interpretation: "&amp;H96&amp;CHAR(10))&amp;IF(OR(I96="",I96="not_applicable"),"","Notes (optional): "&amp;I96&amp;CHAR(10)),"NOT FROZEN")</x:f>
        <x:v>Review domain: plan_material
</x:v>
      </x:c>
    </x:row>
    <x:row r="97" ht="70" customHeight="1">
      <x:c r="A97" s="3" t="str">
        <x:f>IF(Setup!$B$6="primary","2025::jama.2025.20765::C011","NOT FROZEN")</x:f>
        <x:v>2025::jama.2025.20765::C011</x:v>
      </x:c>
      <x:c r="B97" s="3" t="str">
        <x:f>IF(Setup!$B$6="primary",IF(INDEX('C_jama.2025.20765'!$D$2:$D$14,MATCH("2025::jama.2025.20765::C011",'C_jama.2025.20765'!$A$2:$A$14,0))="","",INDEX('C_jama.2025.20765'!$D$2:$D$14,MATCH("2025::jama.2025.20765::C011",'C_jama.2025.20765'!$A$2:$A$14,0))),"NOT FROZEN")</x:f>
      </x:c>
      <x:c r="C97" s="3" t="str">
        <x:f>IF(Setup!$B$6="primary",IF(INDEX('C_jama.2025.20765'!$E$2:$E$14,MATCH("2025::jama.2025.20765::C011",'C_jama.2025.20765'!$A$2:$A$14,0))="","",INDEX('C_jama.2025.20765'!$E$2:$E$14,MATCH("2025::jama.2025.20765::C011",'C_jama.2025.20765'!$A$2:$A$14,0))),"NOT FROZEN")</x:f>
        <x:v>plan_material</x:v>
      </x:c>
      <x:c r="D97" s="3" t="str">
        <x:f>IF(Setup!$B$6="primary",IF(AND(INDEX('C_jama.2025.20765'!$D$2:$D$14,MATCH("2025::jama.2025.20765::C011",'C_jama.2025.20765'!$A$2:$A$14,0))="retain",INDEX('C_jama.2025.20765'!$E$2:$E$14,MATCH("2025::jama.2025.20765::C011",'C_jama.2025.20765'!$A$2:$A$14,0))="statistical_results"),IF(INDEX('C_jama.2025.20765'!$H$2:$H$14,MATCH("2025::jama.2025.20765::C011",'C_jama.2025.20765'!$A$2:$A$14,0))="","",INDEX('C_jama.2025.20765'!$H$2:$H$14,MATCH("2025::jama.2025.20765::C011",'C_jama.2025.20765'!$A$2:$A$14,0))),"not_applicable"),"NOT FROZEN")</x:f>
        <x:v>not_applicable</x:v>
      </x:c>
      <x:c r="E97" s="3" t="str">
        <x:f>IF(Setup!$B$6="primary",IF(AND(INDEX('C_jama.2025.20765'!$D$2:$D$14,MATCH("2025::jama.2025.20765::C011",'C_jama.2025.20765'!$A$2:$A$14,0))="retain",INDEX('C_jama.2025.20765'!$E$2:$E$14,MATCH("2025::jama.2025.20765::C011",'C_jama.2025.20765'!$A$2:$A$14,0))="statistical_results"),IF(INDEX('C_jama.2025.20765'!$I$2:$I$14,MATCH("2025::jama.2025.20765::C011",'C_jama.2025.20765'!$A$2:$A$14,0))="","",INDEX('C_jama.2025.20765'!$I$2:$I$14,MATCH("2025::jama.2025.20765::C011",'C_jama.2025.20765'!$A$2:$A$14,0))),"not_applicable"),"NOT FROZEN")</x:f>
        <x:v>not_applicable</x:v>
      </x:c>
      <x:c r="F97" s="3" t="str">
        <x:f>IF(Setup!$B$6="primary",IF(AND(INDEX('C_jama.2025.20765'!$D$2:$D$14,MATCH("2025::jama.2025.20765::C011",'C_jama.2025.20765'!$A$2:$A$14,0))="retain",INDEX('C_jama.2025.20765'!$E$2:$E$14,MATCH("2025::jama.2025.20765::C011",'C_jama.2025.20765'!$A$2:$A$14,0))="statistical_results"),IF(INDEX('C_jama.2025.20765'!$J$2:$J$14,MATCH("2025::jama.2025.20765::C011",'C_jama.2025.20765'!$A$2:$A$14,0))="","",INDEX('C_jama.2025.20765'!$J$2:$J$14,MATCH("2025::jama.2025.20765::C011",'C_jama.2025.20765'!$A$2:$A$14,0))),"not_applicable"),"NOT FROZEN")</x:f>
        <x:v>not_applicable</x:v>
      </x:c>
      <x:c r="G97" s="3" t="str">
        <x:f>IF(Setup!$B$6="primary",IF(AND(INDEX('C_jama.2025.20765'!$D$2:$D$14,MATCH("2025::jama.2025.20765::C011",'C_jama.2025.20765'!$A$2:$A$14,0))="retain",OR(INDEX('C_jama.2025.20765'!$E$2:$E$14,MATCH("2025::jama.2025.20765::C011",'C_jama.2025.20765'!$A$2:$A$14,0))="report_internal_inconsistency",INDEX('C_jama.2025.20765'!$E$2:$E$14,MATCH("2025::jama.2025.20765::C011",'C_jama.2025.20765'!$A$2:$A$14,0))="plan_material")),IF(INDEX('C_jama.2025.20765'!$K$2:$K$14,MATCH("2025::jama.2025.20765::C011",'C_jama.2025.20765'!$A$2:$A$14,0))="","",INDEX('C_jama.2025.20765'!$K$2:$K$14,MATCH("2025::jama.2025.20765::C011",'C_jama.2025.20765'!$A$2:$A$14,0))),"not_applicable"),"NOT FROZEN")</x:f>
        <x:v>not_applicable</x:v>
      </x:c>
      <x:c r="H97" s="3" t="str">
        <x:f>IF(Setup!$B$6="primary",IF(AND(INDEX('C_jama.2025.20765'!$D$2:$D$14,MATCH("2025::jama.2025.20765::C011",'C_jama.2025.20765'!$A$2:$A$14,0))="retain",INDEX('C_jama.2025.20765'!$E$2:$E$14,MATCH("2025::jama.2025.20765::C011",'C_jama.2025.20765'!$A$2:$A$14,0))="protocol_report"),IF(INDEX('C_jama.2025.20765'!$L$2:$L$14,MATCH("2025::jama.2025.20765::C011",'C_jama.2025.20765'!$A$2:$A$14,0))="","",INDEX('C_jama.2025.20765'!$L$2:$L$14,MATCH("2025::jama.2025.20765::C011",'C_jama.2025.20765'!$A$2:$A$14,0))),"not_applicable"),"NOT FROZEN")</x:f>
        <x:v>not_applicable</x:v>
      </x:c>
      <x:c r="I97" s="3" t="str">
        <x:f>IF(Setup!$B$6="primary",IF(INDEX('C_jama.2025.20765'!$R$2:$R$14,MATCH("2025::jama.2025.20765::C011",'C_jama.2025.20765'!$A$2:$A$14,0))="","",INDEX('C_jama.2025.20765'!$R$2:$R$14,MATCH("2025::jama.2025.20765::C011",'C_jama.2025.20765'!$A$2:$A$14,0))),"NOT FROZEN")</x:f>
      </x:c>
      <x:c r="J97" s="3" t="str">
        <x:f>IF(Setup!$B$6="primary",INDEX('C_jama.2025.20765'!$F$2:$F$14,MATCH("2025::jama.2025.20765::C011",'C_jama.2025.20765'!$A$2:$A$14,0)),"NOT FROZEN")</x:f>
        <x:v>no</x:v>
      </x:c>
      <x:c r="K97" s="3" t="str">
        <x:f>IF(Setup!$B$6="primary",Setup!$B$2,"NOT FROZEN")</x:f>
      </x:c>
      <x:c r="L97" s="3" t="str">
        <x:f>IF(Setup!$B$6="primary",IF(OR(B97="",B97="not_applicable"),"","Disposition: "&amp;B97&amp;CHAR(10))&amp;IF(OR(C97="",C97="not_applicable"),"","Review domain: "&amp;C97&amp;CHAR(10))&amp;IF(OR(D97="",D97="not_applicable"),"","Statistcal_or_numerical issue: "&amp;D97&amp;CHAR(10))&amp;IF(OR(E97="",E97="not_applicable"),"","Substantiveness: "&amp;E97&amp;CHAR(10))&amp;IF(OR(F97="",F97="not_applicable"),"","Downstream impact: "&amp;F97&amp;CHAR(10))&amp;IF(OR(G97="",G97="not_applicable"),"","Report-internal or planning-material inconsistency: "&amp;G97&amp;CHAR(10))&amp;IF(OR(H97="",H97="not_applicable"),"","Protocol interpretation: "&amp;H97&amp;CHAR(10))&amp;IF(OR(I97="",I97="not_applicable"),"","Notes (optional): "&amp;I97&amp;CHAR(10)),"NOT FROZEN")</x:f>
        <x:v>Review domain: plan_material
</x:v>
      </x:c>
    </x:row>
    <x:row r="98" ht="70" customHeight="1">
      <x:c r="A98" s="6" t="str">
        <x:f>IF(Setup!$B$6="primary","2025::jama.2025.20765::C012","NOT FROZEN")</x:f>
        <x:v>2025::jama.2025.20765::C012</x:v>
      </x:c>
      <x:c r="B98" s="6" t="str">
        <x:f>IF(Setup!$B$6="primary",IF(INDEX('C_jama.2025.20765'!$D$2:$D$14,MATCH("2025::jama.2025.20765::C012",'C_jama.2025.20765'!$A$2:$A$14,0))="","",INDEX('C_jama.2025.20765'!$D$2:$D$14,MATCH("2025::jama.2025.20765::C012",'C_jama.2025.20765'!$A$2:$A$14,0))),"NOT FROZEN")</x:f>
      </x:c>
      <x:c r="C98" s="6" t="str">
        <x:f>IF(Setup!$B$6="primary",IF(INDEX('C_jama.2025.20765'!$E$2:$E$14,MATCH("2025::jama.2025.20765::C012",'C_jama.2025.20765'!$A$2:$A$14,0))="","",INDEX('C_jama.2025.20765'!$E$2:$E$14,MATCH("2025::jama.2025.20765::C012",'C_jama.2025.20765'!$A$2:$A$14,0))),"NOT FROZEN")</x:f>
        <x:v>statistical_results</x:v>
      </x:c>
      <x:c r="D98" s="6" t="str">
        <x:f>IF(Setup!$B$6="primary",IF(AND(INDEX('C_jama.2025.20765'!$D$2:$D$14,MATCH("2025::jama.2025.20765::C012",'C_jama.2025.20765'!$A$2:$A$14,0))="retain",INDEX('C_jama.2025.20765'!$E$2:$E$14,MATCH("2025::jama.2025.20765::C012",'C_jama.2025.20765'!$A$2:$A$14,0))="statistical_results"),IF(INDEX('C_jama.2025.20765'!$H$2:$H$14,MATCH("2025::jama.2025.20765::C012",'C_jama.2025.20765'!$A$2:$A$14,0))="","",INDEX('C_jama.2025.20765'!$H$2:$H$14,MATCH("2025::jama.2025.20765::C012",'C_jama.2025.20765'!$A$2:$A$14,0))),"not_applicable"),"NOT FROZEN")</x:f>
        <x:v>not_applicable</x:v>
      </x:c>
      <x:c r="E98" s="6" t="str">
        <x:f>IF(Setup!$B$6="primary",IF(AND(INDEX('C_jama.2025.20765'!$D$2:$D$14,MATCH("2025::jama.2025.20765::C012",'C_jama.2025.20765'!$A$2:$A$14,0))="retain",INDEX('C_jama.2025.20765'!$E$2:$E$14,MATCH("2025::jama.2025.20765::C012",'C_jama.2025.20765'!$A$2:$A$14,0))="statistical_results"),IF(INDEX('C_jama.2025.20765'!$I$2:$I$14,MATCH("2025::jama.2025.20765::C012",'C_jama.2025.20765'!$A$2:$A$14,0))="","",INDEX('C_jama.2025.20765'!$I$2:$I$14,MATCH("2025::jama.2025.20765::C012",'C_jama.2025.20765'!$A$2:$A$14,0))),"not_applicable"),"NOT FROZEN")</x:f>
        <x:v>not_applicable</x:v>
      </x:c>
      <x:c r="F98" s="6" t="str">
        <x:f>IF(Setup!$B$6="primary",IF(AND(INDEX('C_jama.2025.20765'!$D$2:$D$14,MATCH("2025::jama.2025.20765::C012",'C_jama.2025.20765'!$A$2:$A$14,0))="retain",INDEX('C_jama.2025.20765'!$E$2:$E$14,MATCH("2025::jama.2025.20765::C012",'C_jama.2025.20765'!$A$2:$A$14,0))="statistical_results"),IF(INDEX('C_jama.2025.20765'!$J$2:$J$14,MATCH("2025::jama.2025.20765::C012",'C_jama.2025.20765'!$A$2:$A$14,0))="","",INDEX('C_jama.2025.20765'!$J$2:$J$14,MATCH("2025::jama.2025.20765::C012",'C_jama.2025.20765'!$A$2:$A$14,0))),"not_applicable"),"NOT FROZEN")</x:f>
        <x:v>not_applicable</x:v>
      </x:c>
      <x:c r="G98" s="6" t="str">
        <x:f>IF(Setup!$B$6="primary",IF(AND(INDEX('C_jama.2025.20765'!$D$2:$D$14,MATCH("2025::jama.2025.20765::C012",'C_jama.2025.20765'!$A$2:$A$14,0))="retain",OR(INDEX('C_jama.2025.20765'!$E$2:$E$14,MATCH("2025::jama.2025.20765::C012",'C_jama.2025.20765'!$A$2:$A$14,0))="report_internal_inconsistency",INDEX('C_jama.2025.20765'!$E$2:$E$14,MATCH("2025::jama.2025.20765::C012",'C_jama.2025.20765'!$A$2:$A$14,0))="plan_material")),IF(INDEX('C_jama.2025.20765'!$K$2:$K$14,MATCH("2025::jama.2025.20765::C012",'C_jama.2025.20765'!$A$2:$A$14,0))="","",INDEX('C_jama.2025.20765'!$K$2:$K$14,MATCH("2025::jama.2025.20765::C012",'C_jama.2025.20765'!$A$2:$A$14,0))),"not_applicable"),"NOT FROZEN")</x:f>
        <x:v>not_applicable</x:v>
      </x:c>
      <x:c r="H98" s="6" t="str">
        <x:f>IF(Setup!$B$6="primary",IF(AND(INDEX('C_jama.2025.20765'!$D$2:$D$14,MATCH("2025::jama.2025.20765::C012",'C_jama.2025.20765'!$A$2:$A$14,0))="retain",INDEX('C_jama.2025.20765'!$E$2:$E$14,MATCH("2025::jama.2025.20765::C012",'C_jama.2025.20765'!$A$2:$A$14,0))="protocol_report"),IF(INDEX('C_jama.2025.20765'!$L$2:$L$14,MATCH("2025::jama.2025.20765::C012",'C_jama.2025.20765'!$A$2:$A$14,0))="","",INDEX('C_jama.2025.20765'!$L$2:$L$14,MATCH("2025::jama.2025.20765::C012",'C_jama.2025.20765'!$A$2:$A$14,0))),"not_applicable"),"NOT FROZEN")</x:f>
        <x:v>not_applicable</x:v>
      </x:c>
      <x:c r="I98" s="6" t="str">
        <x:f>IF(Setup!$B$6="primary",IF(INDEX('C_jama.2025.20765'!$R$2:$R$14,MATCH("2025::jama.2025.20765::C012",'C_jama.2025.20765'!$A$2:$A$14,0))="","",INDEX('C_jama.2025.20765'!$R$2:$R$14,MATCH("2025::jama.2025.20765::C012",'C_jama.2025.20765'!$A$2:$A$14,0))),"NOT FROZEN")</x:f>
      </x:c>
      <x:c r="J98" s="6" t="str">
        <x:f>IF(Setup!$B$6="primary",INDEX('C_jama.2025.20765'!$F$2:$F$14,MATCH("2025::jama.2025.20765::C012",'C_jama.2025.20765'!$A$2:$A$14,0)),"NOT FROZEN")</x:f>
        <x:v>no</x:v>
      </x:c>
      <x:c r="K98" s="6" t="str">
        <x:f>IF(Setup!$B$6="primary",Setup!$B$2,"NOT FROZEN")</x:f>
      </x:c>
      <x:c r="L98" s="6" t="str">
        <x:f>IF(Setup!$B$6="primary",IF(OR(B98="",B98="not_applicable"),"","Disposition: "&amp;B98&amp;CHAR(10))&amp;IF(OR(C98="",C98="not_applicable"),"","Review domain: "&amp;C98&amp;CHAR(10))&amp;IF(OR(D98="",D98="not_applicable"),"","Statistcal_or_numerical issue: "&amp;D98&amp;CHAR(10))&amp;IF(OR(E98="",E98="not_applicable"),"","Substantiveness: "&amp;E98&amp;CHAR(10))&amp;IF(OR(F98="",F98="not_applicable"),"","Downstream impact: "&amp;F98&amp;CHAR(10))&amp;IF(OR(G98="",G98="not_applicable"),"","Report-internal or planning-material inconsistency: "&amp;G98&amp;CHAR(10))&amp;IF(OR(H98="",H98="not_applicable"),"","Protocol interpretation: "&amp;H98&amp;CHAR(10))&amp;IF(OR(I98="",I98="not_applicable"),"","Notes (optional): "&amp;I98&amp;CHAR(10)),"NOT FROZEN")</x:f>
        <x:v>Review domain: statistical_results
</x:v>
      </x:c>
    </x:row>
    <x:row r="99" ht="70" customHeight="1">
      <x:c r="A99" s="3" t="str">
        <x:f>IF(Setup!$B$6="primary","2025::jama.2025.20765::C013","NOT FROZEN")</x:f>
        <x:v>2025::jama.2025.20765::C013</x:v>
      </x:c>
      <x:c r="B99" s="3" t="str">
        <x:f>IF(Setup!$B$6="primary",IF(INDEX('C_jama.2025.20765'!$D$2:$D$14,MATCH("2025::jama.2025.20765::C013",'C_jama.2025.20765'!$A$2:$A$14,0))="","",INDEX('C_jama.2025.20765'!$D$2:$D$14,MATCH("2025::jama.2025.20765::C013",'C_jama.2025.20765'!$A$2:$A$14,0))),"NOT FROZEN")</x:f>
      </x:c>
      <x:c r="C99" s="3" t="str">
        <x:f>IF(Setup!$B$6="primary",IF(INDEX('C_jama.2025.20765'!$E$2:$E$14,MATCH("2025::jama.2025.20765::C013",'C_jama.2025.20765'!$A$2:$A$14,0))="","",INDEX('C_jama.2025.20765'!$E$2:$E$14,MATCH("2025::jama.2025.20765::C013",'C_jama.2025.20765'!$A$2:$A$14,0))),"NOT FROZEN")</x:f>
        <x:v>protocol_report</x:v>
      </x:c>
      <x:c r="D99" s="3" t="str">
        <x:f>IF(Setup!$B$6="primary",IF(AND(INDEX('C_jama.2025.20765'!$D$2:$D$14,MATCH("2025::jama.2025.20765::C013",'C_jama.2025.20765'!$A$2:$A$14,0))="retain",INDEX('C_jama.2025.20765'!$E$2:$E$14,MATCH("2025::jama.2025.20765::C013",'C_jama.2025.20765'!$A$2:$A$14,0))="statistical_results"),IF(INDEX('C_jama.2025.20765'!$H$2:$H$14,MATCH("2025::jama.2025.20765::C013",'C_jama.2025.20765'!$A$2:$A$14,0))="","",INDEX('C_jama.2025.20765'!$H$2:$H$14,MATCH("2025::jama.2025.20765::C013",'C_jama.2025.20765'!$A$2:$A$14,0))),"not_applicable"),"NOT FROZEN")</x:f>
        <x:v>not_applicable</x:v>
      </x:c>
      <x:c r="E99" s="3" t="str">
        <x:f>IF(Setup!$B$6="primary",IF(AND(INDEX('C_jama.2025.20765'!$D$2:$D$14,MATCH("2025::jama.2025.20765::C013",'C_jama.2025.20765'!$A$2:$A$14,0))="retain",INDEX('C_jama.2025.20765'!$E$2:$E$14,MATCH("2025::jama.2025.20765::C013",'C_jama.2025.20765'!$A$2:$A$14,0))="statistical_results"),IF(INDEX('C_jama.2025.20765'!$I$2:$I$14,MATCH("2025::jama.2025.20765::C013",'C_jama.2025.20765'!$A$2:$A$14,0))="","",INDEX('C_jama.2025.20765'!$I$2:$I$14,MATCH("2025::jama.2025.20765::C013",'C_jama.2025.20765'!$A$2:$A$14,0))),"not_applicable"),"NOT FROZEN")</x:f>
        <x:v>not_applicable</x:v>
      </x:c>
      <x:c r="F99" s="3" t="str">
        <x:f>IF(Setup!$B$6="primary",IF(AND(INDEX('C_jama.2025.20765'!$D$2:$D$14,MATCH("2025::jama.2025.20765::C013",'C_jama.2025.20765'!$A$2:$A$14,0))="retain",INDEX('C_jama.2025.20765'!$E$2:$E$14,MATCH("2025::jama.2025.20765::C013",'C_jama.2025.20765'!$A$2:$A$14,0))="statistical_results"),IF(INDEX('C_jama.2025.20765'!$J$2:$J$14,MATCH("2025::jama.2025.20765::C013",'C_jama.2025.20765'!$A$2:$A$14,0))="","",INDEX('C_jama.2025.20765'!$J$2:$J$14,MATCH("2025::jama.2025.20765::C013",'C_jama.2025.20765'!$A$2:$A$14,0))),"not_applicable"),"NOT FROZEN")</x:f>
        <x:v>not_applicable</x:v>
      </x:c>
      <x:c r="G99" s="3" t="str">
        <x:f>IF(Setup!$B$6="primary",IF(AND(INDEX('C_jama.2025.20765'!$D$2:$D$14,MATCH("2025::jama.2025.20765::C013",'C_jama.2025.20765'!$A$2:$A$14,0))="retain",OR(INDEX('C_jama.2025.20765'!$E$2:$E$14,MATCH("2025::jama.2025.20765::C013",'C_jama.2025.20765'!$A$2:$A$14,0))="report_internal_inconsistency",INDEX('C_jama.2025.20765'!$E$2:$E$14,MATCH("2025::jama.2025.20765::C013",'C_jama.2025.20765'!$A$2:$A$14,0))="plan_material")),IF(INDEX('C_jama.2025.20765'!$K$2:$K$14,MATCH("2025::jama.2025.20765::C013",'C_jama.2025.20765'!$A$2:$A$14,0))="","",INDEX('C_jama.2025.20765'!$K$2:$K$14,MATCH("2025::jama.2025.20765::C013",'C_jama.2025.20765'!$A$2:$A$14,0))),"not_applicable"),"NOT FROZEN")</x:f>
        <x:v>not_applicable</x:v>
      </x:c>
      <x:c r="H99" s="3" t="str">
        <x:f>IF(Setup!$B$6="primary",IF(AND(INDEX('C_jama.2025.20765'!$D$2:$D$14,MATCH("2025::jama.2025.20765::C013",'C_jama.2025.20765'!$A$2:$A$14,0))="retain",INDEX('C_jama.2025.20765'!$E$2:$E$14,MATCH("2025::jama.2025.20765::C013",'C_jama.2025.20765'!$A$2:$A$14,0))="protocol_report"),IF(INDEX('C_jama.2025.20765'!$L$2:$L$14,MATCH("2025::jama.2025.20765::C013",'C_jama.2025.20765'!$A$2:$A$14,0))="","",INDEX('C_jama.2025.20765'!$L$2:$L$14,MATCH("2025::jama.2025.20765::C013",'C_jama.2025.20765'!$A$2:$A$14,0))),"not_applicable"),"NOT FROZEN")</x:f>
        <x:v>not_applicable</x:v>
      </x:c>
      <x:c r="I99" s="3" t="str">
        <x:f>IF(Setup!$B$6="primary",IF(INDEX('C_jama.2025.20765'!$R$2:$R$14,MATCH("2025::jama.2025.20765::C013",'C_jama.2025.20765'!$A$2:$A$14,0))="","",INDEX('C_jama.2025.20765'!$R$2:$R$14,MATCH("2025::jama.2025.20765::C013",'C_jama.2025.20765'!$A$2:$A$14,0))),"NOT FROZEN")</x:f>
      </x:c>
      <x:c r="J99" s="3" t="str">
        <x:f>IF(Setup!$B$6="primary",INDEX('C_jama.2025.20765'!$F$2:$F$14,MATCH("2025::jama.2025.20765::C013",'C_jama.2025.20765'!$A$2:$A$14,0)),"NOT FROZEN")</x:f>
        <x:v>no</x:v>
      </x:c>
      <x:c r="K99" s="3" t="str">
        <x:f>IF(Setup!$B$6="primary",Setup!$B$2,"NOT FROZEN")</x:f>
      </x:c>
      <x:c r="L99" s="3" t="str">
        <x:f>IF(Setup!$B$6="primary",IF(OR(B99="",B99="not_applicable"),"","Disposition: "&amp;B99&amp;CHAR(10))&amp;IF(OR(C99="",C99="not_applicable"),"","Review domain: "&amp;C99&amp;CHAR(10))&amp;IF(OR(D99="",D99="not_applicable"),"","Statistcal_or_numerical issue: "&amp;D99&amp;CHAR(10))&amp;IF(OR(E99="",E99="not_applicable"),"","Substantiveness: "&amp;E99&amp;CHAR(10))&amp;IF(OR(F99="",F99="not_applicable"),"","Downstream impact: "&amp;F99&amp;CHAR(10))&amp;IF(OR(G99="",G99="not_applicable"),"","Report-internal or planning-material inconsistency: "&amp;G99&amp;CHAR(10))&amp;IF(OR(H99="",H99="not_applicable"),"","Protocol interpretation: "&amp;H99&amp;CHAR(10))&amp;IF(OR(I99="",I99="not_applicable"),"","Notes (optional): "&amp;I99&amp;CHAR(10)),"NOT FROZEN")</x:f>
        <x:v>Review domain: protocol_report
</x:v>
      </x:c>
    </x:row>
    <x:row r="100" ht="70" customHeight="1">
      <x:c r="A100" s="6" t="str">
        <x:f>IF(Setup!$B$6="primary","2025::jama.2025.24175::C001","NOT FROZEN")</x:f>
        <x:v>2025::jama.2025.24175::C001</x:v>
      </x:c>
      <x:c r="B100" s="6" t="str">
        <x:f>IF(Setup!$B$6="primary",IF(INDEX('C_jama.2025.24175'!$D$2:$D$15,MATCH("2025::jama.2025.24175::C001",'C_jama.2025.24175'!$A$2:$A$15,0))="","",INDEX('C_jama.2025.24175'!$D$2:$D$15,MATCH("2025::jama.2025.24175::C001",'C_jama.2025.24175'!$A$2:$A$15,0))),"NOT FROZEN")</x:f>
      </x:c>
      <x:c r="C100" s="6" t="str">
        <x:f>IF(Setup!$B$6="primary",IF(INDEX('C_jama.2025.24175'!$E$2:$E$15,MATCH("2025::jama.2025.24175::C001",'C_jama.2025.24175'!$A$2:$A$15,0))="","",INDEX('C_jama.2025.24175'!$E$2:$E$15,MATCH("2025::jama.2025.24175::C001",'C_jama.2025.24175'!$A$2:$A$15,0))),"NOT FROZEN")</x:f>
        <x:v>report_internal_inconsistency</x:v>
      </x:c>
      <x:c r="D100" s="6" t="str">
        <x:f>IF(Setup!$B$6="primary",IF(AND(INDEX('C_jama.2025.24175'!$D$2:$D$15,MATCH("2025::jama.2025.24175::C001",'C_jama.2025.24175'!$A$2:$A$15,0))="retain",INDEX('C_jama.2025.24175'!$E$2:$E$15,MATCH("2025::jama.2025.24175::C001",'C_jama.2025.24175'!$A$2:$A$15,0))="statistical_results"),IF(INDEX('C_jama.2025.24175'!$H$2:$H$15,MATCH("2025::jama.2025.24175::C001",'C_jama.2025.24175'!$A$2:$A$15,0))="","",INDEX('C_jama.2025.24175'!$H$2:$H$15,MATCH("2025::jama.2025.24175::C001",'C_jama.2025.24175'!$A$2:$A$15,0))),"not_applicable"),"NOT FROZEN")</x:f>
        <x:v>not_applicable</x:v>
      </x:c>
      <x:c r="E100" s="6" t="str">
        <x:f>IF(Setup!$B$6="primary",IF(AND(INDEX('C_jama.2025.24175'!$D$2:$D$15,MATCH("2025::jama.2025.24175::C001",'C_jama.2025.24175'!$A$2:$A$15,0))="retain",INDEX('C_jama.2025.24175'!$E$2:$E$15,MATCH("2025::jama.2025.24175::C001",'C_jama.2025.24175'!$A$2:$A$15,0))="statistical_results"),IF(INDEX('C_jama.2025.24175'!$I$2:$I$15,MATCH("2025::jama.2025.24175::C001",'C_jama.2025.24175'!$A$2:$A$15,0))="","",INDEX('C_jama.2025.24175'!$I$2:$I$15,MATCH("2025::jama.2025.24175::C001",'C_jama.2025.24175'!$A$2:$A$15,0))),"not_applicable"),"NOT FROZEN")</x:f>
        <x:v>not_applicable</x:v>
      </x:c>
      <x:c r="F100" s="6" t="str">
        <x:f>IF(Setup!$B$6="primary",IF(AND(INDEX('C_jama.2025.24175'!$D$2:$D$15,MATCH("2025::jama.2025.24175::C001",'C_jama.2025.24175'!$A$2:$A$15,0))="retain",INDEX('C_jama.2025.24175'!$E$2:$E$15,MATCH("2025::jama.2025.24175::C001",'C_jama.2025.24175'!$A$2:$A$15,0))="statistical_results"),IF(INDEX('C_jama.2025.24175'!$J$2:$J$15,MATCH("2025::jama.2025.24175::C001",'C_jama.2025.24175'!$A$2:$A$15,0))="","",INDEX('C_jama.2025.24175'!$J$2:$J$15,MATCH("2025::jama.2025.24175::C001",'C_jama.2025.24175'!$A$2:$A$15,0))),"not_applicable"),"NOT FROZEN")</x:f>
        <x:v>not_applicable</x:v>
      </x:c>
      <x:c r="G100" s="6" t="str">
        <x:f>IF(Setup!$B$6="primary",IF(AND(INDEX('C_jama.2025.24175'!$D$2:$D$15,MATCH("2025::jama.2025.24175::C001",'C_jama.2025.24175'!$A$2:$A$15,0))="retain",OR(INDEX('C_jama.2025.24175'!$E$2:$E$15,MATCH("2025::jama.2025.24175::C001",'C_jama.2025.24175'!$A$2:$A$15,0))="report_internal_inconsistency",INDEX('C_jama.2025.24175'!$E$2:$E$15,MATCH("2025::jama.2025.24175::C001",'C_jama.2025.24175'!$A$2:$A$15,0))="plan_material")),IF(INDEX('C_jama.2025.24175'!$K$2:$K$15,MATCH("2025::jama.2025.24175::C001",'C_jama.2025.24175'!$A$2:$A$15,0))="","",INDEX('C_jama.2025.24175'!$K$2:$K$15,MATCH("2025::jama.2025.24175::C001",'C_jama.2025.24175'!$A$2:$A$15,0))),"not_applicable"),"NOT FROZEN")</x:f>
        <x:v>not_applicable</x:v>
      </x:c>
      <x:c r="H100" s="6" t="str">
        <x:f>IF(Setup!$B$6="primary",IF(AND(INDEX('C_jama.2025.24175'!$D$2:$D$15,MATCH("2025::jama.2025.24175::C001",'C_jama.2025.24175'!$A$2:$A$15,0))="retain",INDEX('C_jama.2025.24175'!$E$2:$E$15,MATCH("2025::jama.2025.24175::C001",'C_jama.2025.24175'!$A$2:$A$15,0))="protocol_report"),IF(INDEX('C_jama.2025.24175'!$L$2:$L$15,MATCH("2025::jama.2025.24175::C001",'C_jama.2025.24175'!$A$2:$A$15,0))="","",INDEX('C_jama.2025.24175'!$L$2:$L$15,MATCH("2025::jama.2025.24175::C001",'C_jama.2025.24175'!$A$2:$A$15,0))),"not_applicable"),"NOT FROZEN")</x:f>
        <x:v>not_applicable</x:v>
      </x:c>
      <x:c r="I100" s="6" t="str">
        <x:f>IF(Setup!$B$6="primary",IF(INDEX('C_jama.2025.24175'!$R$2:$R$15,MATCH("2025::jama.2025.24175::C001",'C_jama.2025.24175'!$A$2:$A$15,0))="","",INDEX('C_jama.2025.24175'!$R$2:$R$15,MATCH("2025::jama.2025.24175::C001",'C_jama.2025.24175'!$A$2:$A$15,0))),"NOT FROZEN")</x:f>
      </x:c>
      <x:c r="J100" s="6" t="str">
        <x:f>IF(Setup!$B$6="primary",INDEX('C_jama.2025.24175'!$F$2:$F$15,MATCH("2025::jama.2025.24175::C001",'C_jama.2025.24175'!$A$2:$A$15,0)),"NOT FROZEN")</x:f>
        <x:v>no</x:v>
      </x:c>
      <x:c r="K100" s="6" t="str">
        <x:f>IF(Setup!$B$6="primary",Setup!$B$2,"NOT FROZEN")</x:f>
      </x:c>
      <x:c r="L100" s="6" t="str">
        <x:f>IF(Setup!$B$6="primary",IF(OR(B100="",B100="not_applicable"),"","Disposition: "&amp;B100&amp;CHAR(10))&amp;IF(OR(C100="",C100="not_applicable"),"","Review domain: "&amp;C100&amp;CHAR(10))&amp;IF(OR(D100="",D100="not_applicable"),"","Statistcal_or_numerical issue: "&amp;D100&amp;CHAR(10))&amp;IF(OR(E100="",E100="not_applicable"),"","Substantiveness: "&amp;E100&amp;CHAR(10))&amp;IF(OR(F100="",F100="not_applicable"),"","Downstream impact: "&amp;F100&amp;CHAR(10))&amp;IF(OR(G100="",G100="not_applicable"),"","Report-internal or planning-material inconsistency: "&amp;G100&amp;CHAR(10))&amp;IF(OR(H100="",H100="not_applicable"),"","Protocol interpretation: "&amp;H100&amp;CHAR(10))&amp;IF(OR(I100="",I100="not_applicable"),"","Notes (optional): "&amp;I100&amp;CHAR(10)),"NOT FROZEN")</x:f>
        <x:v>Review domain: report_internal_inconsistency
</x:v>
      </x:c>
    </x:row>
    <x:row r="101" ht="70" customHeight="1">
      <x:c r="A101" s="3" t="str">
        <x:f>IF(Setup!$B$6="primary","2025::jama.2025.24175::C002","NOT FROZEN")</x:f>
        <x:v>2025::jama.2025.24175::C002</x:v>
      </x:c>
      <x:c r="B101" s="3" t="str">
        <x:f>IF(Setup!$B$6="primary",IF(INDEX('C_jama.2025.24175'!$D$2:$D$15,MATCH("2025::jama.2025.24175::C002",'C_jama.2025.24175'!$A$2:$A$15,0))="","",INDEX('C_jama.2025.24175'!$D$2:$D$15,MATCH("2025::jama.2025.24175::C002",'C_jama.2025.24175'!$A$2:$A$15,0))),"NOT FROZEN")</x:f>
      </x:c>
      <x:c r="C101" s="3" t="str">
        <x:f>IF(Setup!$B$6="primary",IF(INDEX('C_jama.2025.24175'!$E$2:$E$15,MATCH("2025::jama.2025.24175::C002",'C_jama.2025.24175'!$A$2:$A$15,0))="","",INDEX('C_jama.2025.24175'!$E$2:$E$15,MATCH("2025::jama.2025.24175::C002",'C_jama.2025.24175'!$A$2:$A$15,0))),"NOT FROZEN")</x:f>
        <x:v>protocol_report</x:v>
      </x:c>
      <x:c r="D101" s="3" t="str">
        <x:f>IF(Setup!$B$6="primary",IF(AND(INDEX('C_jama.2025.24175'!$D$2:$D$15,MATCH("2025::jama.2025.24175::C002",'C_jama.2025.24175'!$A$2:$A$15,0))="retain",INDEX('C_jama.2025.24175'!$E$2:$E$15,MATCH("2025::jama.2025.24175::C002",'C_jama.2025.24175'!$A$2:$A$15,0))="statistical_results"),IF(INDEX('C_jama.2025.24175'!$H$2:$H$15,MATCH("2025::jama.2025.24175::C002",'C_jama.2025.24175'!$A$2:$A$15,0))="","",INDEX('C_jama.2025.24175'!$H$2:$H$15,MATCH("2025::jama.2025.24175::C002",'C_jama.2025.24175'!$A$2:$A$15,0))),"not_applicable"),"NOT FROZEN")</x:f>
        <x:v>not_applicable</x:v>
      </x:c>
      <x:c r="E101" s="3" t="str">
        <x:f>IF(Setup!$B$6="primary",IF(AND(INDEX('C_jama.2025.24175'!$D$2:$D$15,MATCH("2025::jama.2025.24175::C002",'C_jama.2025.24175'!$A$2:$A$15,0))="retain",INDEX('C_jama.2025.24175'!$E$2:$E$15,MATCH("2025::jama.2025.24175::C002",'C_jama.2025.24175'!$A$2:$A$15,0))="statistical_results"),IF(INDEX('C_jama.2025.24175'!$I$2:$I$15,MATCH("2025::jama.2025.24175::C002",'C_jama.2025.24175'!$A$2:$A$15,0))="","",INDEX('C_jama.2025.24175'!$I$2:$I$15,MATCH("2025::jama.2025.24175::C002",'C_jama.2025.24175'!$A$2:$A$15,0))),"not_applicable"),"NOT FROZEN")</x:f>
        <x:v>not_applicable</x:v>
      </x:c>
      <x:c r="F101" s="3" t="str">
        <x:f>IF(Setup!$B$6="primary",IF(AND(INDEX('C_jama.2025.24175'!$D$2:$D$15,MATCH("2025::jama.2025.24175::C002",'C_jama.2025.24175'!$A$2:$A$15,0))="retain",INDEX('C_jama.2025.24175'!$E$2:$E$15,MATCH("2025::jama.2025.24175::C002",'C_jama.2025.24175'!$A$2:$A$15,0))="statistical_results"),IF(INDEX('C_jama.2025.24175'!$J$2:$J$15,MATCH("2025::jama.2025.24175::C002",'C_jama.2025.24175'!$A$2:$A$15,0))="","",INDEX('C_jama.2025.24175'!$J$2:$J$15,MATCH("2025::jama.2025.24175::C002",'C_jama.2025.24175'!$A$2:$A$15,0))),"not_applicable"),"NOT FROZEN")</x:f>
        <x:v>not_applicable</x:v>
      </x:c>
      <x:c r="G101" s="3" t="str">
        <x:f>IF(Setup!$B$6="primary",IF(AND(INDEX('C_jama.2025.24175'!$D$2:$D$15,MATCH("2025::jama.2025.24175::C002",'C_jama.2025.24175'!$A$2:$A$15,0))="retain",OR(INDEX('C_jama.2025.24175'!$E$2:$E$15,MATCH("2025::jama.2025.24175::C002",'C_jama.2025.24175'!$A$2:$A$15,0))="report_internal_inconsistency",INDEX('C_jama.2025.24175'!$E$2:$E$15,MATCH("2025::jama.2025.24175::C002",'C_jama.2025.24175'!$A$2:$A$15,0))="plan_material")),IF(INDEX('C_jama.2025.24175'!$K$2:$K$15,MATCH("2025::jama.2025.24175::C002",'C_jama.2025.24175'!$A$2:$A$15,0))="","",INDEX('C_jama.2025.24175'!$K$2:$K$15,MATCH("2025::jama.2025.24175::C002",'C_jama.2025.24175'!$A$2:$A$15,0))),"not_applicable"),"NOT FROZEN")</x:f>
        <x:v>not_applicable</x:v>
      </x:c>
      <x:c r="H101" s="3" t="str">
        <x:f>IF(Setup!$B$6="primary",IF(AND(INDEX('C_jama.2025.24175'!$D$2:$D$15,MATCH("2025::jama.2025.24175::C002",'C_jama.2025.24175'!$A$2:$A$15,0))="retain",INDEX('C_jama.2025.24175'!$E$2:$E$15,MATCH("2025::jama.2025.24175::C002",'C_jama.2025.24175'!$A$2:$A$15,0))="protocol_report"),IF(INDEX('C_jama.2025.24175'!$L$2:$L$15,MATCH("2025::jama.2025.24175::C002",'C_jama.2025.24175'!$A$2:$A$15,0))="","",INDEX('C_jama.2025.24175'!$L$2:$L$15,MATCH("2025::jama.2025.24175::C002",'C_jama.2025.24175'!$A$2:$A$15,0))),"not_applicable"),"NOT FROZEN")</x:f>
        <x:v>not_applicable</x:v>
      </x:c>
      <x:c r="I101" s="3" t="str">
        <x:f>IF(Setup!$B$6="primary",IF(INDEX('C_jama.2025.24175'!$R$2:$R$15,MATCH("2025::jama.2025.24175::C002",'C_jama.2025.24175'!$A$2:$A$15,0))="","",INDEX('C_jama.2025.24175'!$R$2:$R$15,MATCH("2025::jama.2025.24175::C002",'C_jama.2025.24175'!$A$2:$A$15,0))),"NOT FROZEN")</x:f>
      </x:c>
      <x:c r="J101" s="3" t="str">
        <x:f>IF(Setup!$B$6="primary",INDEX('C_jama.2025.24175'!$F$2:$F$15,MATCH("2025::jama.2025.24175::C002",'C_jama.2025.24175'!$A$2:$A$15,0)),"NOT FROZEN")</x:f>
        <x:v>no</x:v>
      </x:c>
      <x:c r="K101" s="3" t="str">
        <x:f>IF(Setup!$B$6="primary",Setup!$B$2,"NOT FROZEN")</x:f>
      </x:c>
      <x:c r="L101" s="3" t="str">
        <x:f>IF(Setup!$B$6="primary",IF(OR(B101="",B101="not_applicable"),"","Disposition: "&amp;B101&amp;CHAR(10))&amp;IF(OR(C101="",C101="not_applicable"),"","Review domain: "&amp;C101&amp;CHAR(10))&amp;IF(OR(D101="",D101="not_applicable"),"","Statistcal_or_numerical issue: "&amp;D101&amp;CHAR(10))&amp;IF(OR(E101="",E101="not_applicable"),"","Substantiveness: "&amp;E101&amp;CHAR(10))&amp;IF(OR(F101="",F101="not_applicable"),"","Downstream impact: "&amp;F101&amp;CHAR(10))&amp;IF(OR(G101="",G101="not_applicable"),"","Report-internal or planning-material inconsistency: "&amp;G101&amp;CHAR(10))&amp;IF(OR(H101="",H101="not_applicable"),"","Protocol interpretation: "&amp;H101&amp;CHAR(10))&amp;IF(OR(I101="",I101="not_applicable"),"","Notes (optional): "&amp;I101&amp;CHAR(10)),"NOT FROZEN")</x:f>
        <x:v>Review domain: protocol_report
</x:v>
      </x:c>
    </x:row>
    <x:row r="102" ht="70" customHeight="1">
      <x:c r="A102" s="6" t="str">
        <x:f>IF(Setup!$B$6="primary","2025::jama.2025.24175::C003","NOT FROZEN")</x:f>
        <x:v>2025::jama.2025.24175::C003</x:v>
      </x:c>
      <x:c r="B102" s="6" t="str">
        <x:f>IF(Setup!$B$6="primary",IF(INDEX('C_jama.2025.24175'!$D$2:$D$15,MATCH("2025::jama.2025.24175::C003",'C_jama.2025.24175'!$A$2:$A$15,0))="","",INDEX('C_jama.2025.24175'!$D$2:$D$15,MATCH("2025::jama.2025.24175::C003",'C_jama.2025.24175'!$A$2:$A$15,0))),"NOT FROZEN")</x:f>
      </x:c>
      <x:c r="C102" s="6" t="str">
        <x:f>IF(Setup!$B$6="primary",IF(INDEX('C_jama.2025.24175'!$E$2:$E$15,MATCH("2025::jama.2025.24175::C003",'C_jama.2025.24175'!$A$2:$A$15,0))="","",INDEX('C_jama.2025.24175'!$E$2:$E$15,MATCH("2025::jama.2025.24175::C003",'C_jama.2025.24175'!$A$2:$A$15,0))),"NOT FROZEN")</x:f>
        <x:v>protocol_report</x:v>
      </x:c>
      <x:c r="D102" s="6" t="str">
        <x:f>IF(Setup!$B$6="primary",IF(AND(INDEX('C_jama.2025.24175'!$D$2:$D$15,MATCH("2025::jama.2025.24175::C003",'C_jama.2025.24175'!$A$2:$A$15,0))="retain",INDEX('C_jama.2025.24175'!$E$2:$E$15,MATCH("2025::jama.2025.24175::C003",'C_jama.2025.24175'!$A$2:$A$15,0))="statistical_results"),IF(INDEX('C_jama.2025.24175'!$H$2:$H$15,MATCH("2025::jama.2025.24175::C003",'C_jama.2025.24175'!$A$2:$A$15,0))="","",INDEX('C_jama.2025.24175'!$H$2:$H$15,MATCH("2025::jama.2025.24175::C003",'C_jama.2025.24175'!$A$2:$A$15,0))),"not_applicable"),"NOT FROZEN")</x:f>
        <x:v>not_applicable</x:v>
      </x:c>
      <x:c r="E102" s="6" t="str">
        <x:f>IF(Setup!$B$6="primary",IF(AND(INDEX('C_jama.2025.24175'!$D$2:$D$15,MATCH("2025::jama.2025.24175::C003",'C_jama.2025.24175'!$A$2:$A$15,0))="retain",INDEX('C_jama.2025.24175'!$E$2:$E$15,MATCH("2025::jama.2025.24175::C003",'C_jama.2025.24175'!$A$2:$A$15,0))="statistical_results"),IF(INDEX('C_jama.2025.24175'!$I$2:$I$15,MATCH("2025::jama.2025.24175::C003",'C_jama.2025.24175'!$A$2:$A$15,0))="","",INDEX('C_jama.2025.24175'!$I$2:$I$15,MATCH("2025::jama.2025.24175::C003",'C_jama.2025.24175'!$A$2:$A$15,0))),"not_applicable"),"NOT FROZEN")</x:f>
        <x:v>not_applicable</x:v>
      </x:c>
      <x:c r="F102" s="6" t="str">
        <x:f>IF(Setup!$B$6="primary",IF(AND(INDEX('C_jama.2025.24175'!$D$2:$D$15,MATCH("2025::jama.2025.24175::C003",'C_jama.2025.24175'!$A$2:$A$15,0))="retain",INDEX('C_jama.2025.24175'!$E$2:$E$15,MATCH("2025::jama.2025.24175::C003",'C_jama.2025.24175'!$A$2:$A$15,0))="statistical_results"),IF(INDEX('C_jama.2025.24175'!$J$2:$J$15,MATCH("2025::jama.2025.24175::C003",'C_jama.2025.24175'!$A$2:$A$15,0))="","",INDEX('C_jama.2025.24175'!$J$2:$J$15,MATCH("2025::jama.2025.24175::C003",'C_jama.2025.24175'!$A$2:$A$15,0))),"not_applicable"),"NOT FROZEN")</x:f>
        <x:v>not_applicable</x:v>
      </x:c>
      <x:c r="G102" s="6" t="str">
        <x:f>IF(Setup!$B$6="primary",IF(AND(INDEX('C_jama.2025.24175'!$D$2:$D$15,MATCH("2025::jama.2025.24175::C003",'C_jama.2025.24175'!$A$2:$A$15,0))="retain",OR(INDEX('C_jama.2025.24175'!$E$2:$E$15,MATCH("2025::jama.2025.24175::C003",'C_jama.2025.24175'!$A$2:$A$15,0))="report_internal_inconsistency",INDEX('C_jama.2025.24175'!$E$2:$E$15,MATCH("2025::jama.2025.24175::C003",'C_jama.2025.24175'!$A$2:$A$15,0))="plan_material")),IF(INDEX('C_jama.2025.24175'!$K$2:$K$15,MATCH("2025::jama.2025.24175::C003",'C_jama.2025.24175'!$A$2:$A$15,0))="","",INDEX('C_jama.2025.24175'!$K$2:$K$15,MATCH("2025::jama.2025.24175::C003",'C_jama.2025.24175'!$A$2:$A$15,0))),"not_applicable"),"NOT FROZEN")</x:f>
        <x:v>not_applicable</x:v>
      </x:c>
      <x:c r="H102" s="6" t="str">
        <x:f>IF(Setup!$B$6="primary",IF(AND(INDEX('C_jama.2025.24175'!$D$2:$D$15,MATCH("2025::jama.2025.24175::C003",'C_jama.2025.24175'!$A$2:$A$15,0))="retain",INDEX('C_jama.2025.24175'!$E$2:$E$15,MATCH("2025::jama.2025.24175::C003",'C_jama.2025.24175'!$A$2:$A$15,0))="protocol_report"),IF(INDEX('C_jama.2025.24175'!$L$2:$L$15,MATCH("2025::jama.2025.24175::C003",'C_jama.2025.24175'!$A$2:$A$15,0))="","",INDEX('C_jama.2025.24175'!$L$2:$L$15,MATCH("2025::jama.2025.24175::C003",'C_jama.2025.24175'!$A$2:$A$15,0))),"not_applicable"),"NOT FROZEN")</x:f>
        <x:v>not_applicable</x:v>
      </x:c>
      <x:c r="I102" s="6" t="str">
        <x:f>IF(Setup!$B$6="primary",IF(INDEX('C_jama.2025.24175'!$R$2:$R$15,MATCH("2025::jama.2025.24175::C003",'C_jama.2025.24175'!$A$2:$A$15,0))="","",INDEX('C_jama.2025.24175'!$R$2:$R$15,MATCH("2025::jama.2025.24175::C003",'C_jama.2025.24175'!$A$2:$A$15,0))),"NOT FROZEN")</x:f>
      </x:c>
      <x:c r="J102" s="6" t="str">
        <x:f>IF(Setup!$B$6="primary",INDEX('C_jama.2025.24175'!$F$2:$F$15,MATCH("2025::jama.2025.24175::C003",'C_jama.2025.24175'!$A$2:$A$15,0)),"NOT FROZEN")</x:f>
        <x:v>no</x:v>
      </x:c>
      <x:c r="K102" s="6" t="str">
        <x:f>IF(Setup!$B$6="primary",Setup!$B$2,"NOT FROZEN")</x:f>
      </x:c>
      <x:c r="L102" s="6" t="str">
        <x:f>IF(Setup!$B$6="primary",IF(OR(B102="",B102="not_applicable"),"","Disposition: "&amp;B102&amp;CHAR(10))&amp;IF(OR(C102="",C102="not_applicable"),"","Review domain: "&amp;C102&amp;CHAR(10))&amp;IF(OR(D102="",D102="not_applicable"),"","Statistcal_or_numerical issue: "&amp;D102&amp;CHAR(10))&amp;IF(OR(E102="",E102="not_applicable"),"","Substantiveness: "&amp;E102&amp;CHAR(10))&amp;IF(OR(F102="",F102="not_applicable"),"","Downstream impact: "&amp;F102&amp;CHAR(10))&amp;IF(OR(G102="",G102="not_applicable"),"","Report-internal or planning-material inconsistency: "&amp;G102&amp;CHAR(10))&amp;IF(OR(H102="",H102="not_applicable"),"","Protocol interpretation: "&amp;H102&amp;CHAR(10))&amp;IF(OR(I102="",I102="not_applicable"),"","Notes (optional): "&amp;I102&amp;CHAR(10)),"NOT FROZEN")</x:f>
        <x:v>Review domain: protocol_report
</x:v>
      </x:c>
    </x:row>
    <x:row r="103" ht="70" customHeight="1">
      <x:c r="A103" s="3" t="str">
        <x:f>IF(Setup!$B$6="primary","2025::jama.2025.24175::C004","NOT FROZEN")</x:f>
        <x:v>2025::jama.2025.24175::C004</x:v>
      </x:c>
      <x:c r="B103" s="3" t="str">
        <x:f>IF(Setup!$B$6="primary",IF(INDEX('C_jama.2025.24175'!$D$2:$D$15,MATCH("2025::jama.2025.24175::C004",'C_jama.2025.24175'!$A$2:$A$15,0))="","",INDEX('C_jama.2025.24175'!$D$2:$D$15,MATCH("2025::jama.2025.24175::C004",'C_jama.2025.24175'!$A$2:$A$15,0))),"NOT FROZEN")</x:f>
      </x:c>
      <x:c r="C103" s="3" t="str">
        <x:f>IF(Setup!$B$6="primary",IF(INDEX('C_jama.2025.24175'!$E$2:$E$15,MATCH("2025::jama.2025.24175::C004",'C_jama.2025.24175'!$A$2:$A$15,0))="","",INDEX('C_jama.2025.24175'!$E$2:$E$15,MATCH("2025::jama.2025.24175::C004",'C_jama.2025.24175'!$A$2:$A$15,0))),"NOT FROZEN")</x:f>
        <x:v>protocol_report</x:v>
      </x:c>
      <x:c r="D103" s="3" t="str">
        <x:f>IF(Setup!$B$6="primary",IF(AND(INDEX('C_jama.2025.24175'!$D$2:$D$15,MATCH("2025::jama.2025.24175::C004",'C_jama.2025.24175'!$A$2:$A$15,0))="retain",INDEX('C_jama.2025.24175'!$E$2:$E$15,MATCH("2025::jama.2025.24175::C004",'C_jama.2025.24175'!$A$2:$A$15,0))="statistical_results"),IF(INDEX('C_jama.2025.24175'!$H$2:$H$15,MATCH("2025::jama.2025.24175::C004",'C_jama.2025.24175'!$A$2:$A$15,0))="","",INDEX('C_jama.2025.24175'!$H$2:$H$15,MATCH("2025::jama.2025.24175::C004",'C_jama.2025.24175'!$A$2:$A$15,0))),"not_applicable"),"NOT FROZEN")</x:f>
        <x:v>not_applicable</x:v>
      </x:c>
      <x:c r="E103" s="3" t="str">
        <x:f>IF(Setup!$B$6="primary",IF(AND(INDEX('C_jama.2025.24175'!$D$2:$D$15,MATCH("2025::jama.2025.24175::C004",'C_jama.2025.24175'!$A$2:$A$15,0))="retain",INDEX('C_jama.2025.24175'!$E$2:$E$15,MATCH("2025::jama.2025.24175::C004",'C_jama.2025.24175'!$A$2:$A$15,0))="statistical_results"),IF(INDEX('C_jama.2025.24175'!$I$2:$I$15,MATCH("2025::jama.2025.24175::C004",'C_jama.2025.24175'!$A$2:$A$15,0))="","",INDEX('C_jama.2025.24175'!$I$2:$I$15,MATCH("2025::jama.2025.24175::C004",'C_jama.2025.24175'!$A$2:$A$15,0))),"not_applicable"),"NOT FROZEN")</x:f>
        <x:v>not_applicable</x:v>
      </x:c>
      <x:c r="F103" s="3" t="str">
        <x:f>IF(Setup!$B$6="primary",IF(AND(INDEX('C_jama.2025.24175'!$D$2:$D$15,MATCH("2025::jama.2025.24175::C004",'C_jama.2025.24175'!$A$2:$A$15,0))="retain",INDEX('C_jama.2025.24175'!$E$2:$E$15,MATCH("2025::jama.2025.24175::C004",'C_jama.2025.24175'!$A$2:$A$15,0))="statistical_results"),IF(INDEX('C_jama.2025.24175'!$J$2:$J$15,MATCH("2025::jama.2025.24175::C004",'C_jama.2025.24175'!$A$2:$A$15,0))="","",INDEX('C_jama.2025.24175'!$J$2:$J$15,MATCH("2025::jama.2025.24175::C004",'C_jama.2025.24175'!$A$2:$A$15,0))),"not_applicable"),"NOT FROZEN")</x:f>
        <x:v>not_applicable</x:v>
      </x:c>
      <x:c r="G103" s="3" t="str">
        <x:f>IF(Setup!$B$6="primary",IF(AND(INDEX('C_jama.2025.24175'!$D$2:$D$15,MATCH("2025::jama.2025.24175::C004",'C_jama.2025.24175'!$A$2:$A$15,0))="retain",OR(INDEX('C_jama.2025.24175'!$E$2:$E$15,MATCH("2025::jama.2025.24175::C004",'C_jama.2025.24175'!$A$2:$A$15,0))="report_internal_inconsistency",INDEX('C_jama.2025.24175'!$E$2:$E$15,MATCH("2025::jama.2025.24175::C004",'C_jama.2025.24175'!$A$2:$A$15,0))="plan_material")),IF(INDEX('C_jama.2025.24175'!$K$2:$K$15,MATCH("2025::jama.2025.24175::C004",'C_jama.2025.24175'!$A$2:$A$15,0))="","",INDEX('C_jama.2025.24175'!$K$2:$K$15,MATCH("2025::jama.2025.24175::C004",'C_jama.2025.24175'!$A$2:$A$15,0))),"not_applicable"),"NOT FROZEN")</x:f>
        <x:v>not_applicable</x:v>
      </x:c>
      <x:c r="H103" s="3" t="str">
        <x:f>IF(Setup!$B$6="primary",IF(AND(INDEX('C_jama.2025.24175'!$D$2:$D$15,MATCH("2025::jama.2025.24175::C004",'C_jama.2025.24175'!$A$2:$A$15,0))="retain",INDEX('C_jama.2025.24175'!$E$2:$E$15,MATCH("2025::jama.2025.24175::C004",'C_jama.2025.24175'!$A$2:$A$15,0))="protocol_report"),IF(INDEX('C_jama.2025.24175'!$L$2:$L$15,MATCH("2025::jama.2025.24175::C004",'C_jama.2025.24175'!$A$2:$A$15,0))="","",INDEX('C_jama.2025.24175'!$L$2:$L$15,MATCH("2025::jama.2025.24175::C004",'C_jama.2025.24175'!$A$2:$A$15,0))),"not_applicable"),"NOT FROZEN")</x:f>
        <x:v>not_applicable</x:v>
      </x:c>
      <x:c r="I103" s="3" t="str">
        <x:f>IF(Setup!$B$6="primary",IF(INDEX('C_jama.2025.24175'!$R$2:$R$15,MATCH("2025::jama.2025.24175::C004",'C_jama.2025.24175'!$A$2:$A$15,0))="","",INDEX('C_jama.2025.24175'!$R$2:$R$15,MATCH("2025::jama.2025.24175::C004",'C_jama.2025.24175'!$A$2:$A$15,0))),"NOT FROZEN")</x:f>
      </x:c>
      <x:c r="J103" s="3" t="str">
        <x:f>IF(Setup!$B$6="primary",INDEX('C_jama.2025.24175'!$F$2:$F$15,MATCH("2025::jama.2025.24175::C004",'C_jama.2025.24175'!$A$2:$A$15,0)),"NOT FROZEN")</x:f>
        <x:v>no</x:v>
      </x:c>
      <x:c r="K103" s="3" t="str">
        <x:f>IF(Setup!$B$6="primary",Setup!$B$2,"NOT FROZEN")</x:f>
      </x:c>
      <x:c r="L103" s="3" t="str">
        <x:f>IF(Setup!$B$6="primary",IF(OR(B103="",B103="not_applicable"),"","Disposition: "&amp;B103&amp;CHAR(10))&amp;IF(OR(C103="",C103="not_applicable"),"","Review domain: "&amp;C103&amp;CHAR(10))&amp;IF(OR(D103="",D103="not_applicable"),"","Statistcal_or_numerical issue: "&amp;D103&amp;CHAR(10))&amp;IF(OR(E103="",E103="not_applicable"),"","Substantiveness: "&amp;E103&amp;CHAR(10))&amp;IF(OR(F103="",F103="not_applicable"),"","Downstream impact: "&amp;F103&amp;CHAR(10))&amp;IF(OR(G103="",G103="not_applicable"),"","Report-internal or planning-material inconsistency: "&amp;G103&amp;CHAR(10))&amp;IF(OR(H103="",H103="not_applicable"),"","Protocol interpretation: "&amp;H103&amp;CHAR(10))&amp;IF(OR(I103="",I103="not_applicable"),"","Notes (optional): "&amp;I103&amp;CHAR(10)),"NOT FROZEN")</x:f>
        <x:v>Review domain: protocol_report
</x:v>
      </x:c>
    </x:row>
    <x:row r="104" ht="70" customHeight="1">
      <x:c r="A104" s="6" t="str">
        <x:f>IF(Setup!$B$6="primary","2025::jama.2025.24175::C005","NOT FROZEN")</x:f>
        <x:v>2025::jama.2025.24175::C005</x:v>
      </x:c>
      <x:c r="B104" s="6" t="str">
        <x:f>IF(Setup!$B$6="primary",IF(INDEX('C_jama.2025.24175'!$D$2:$D$15,MATCH("2025::jama.2025.24175::C005",'C_jama.2025.24175'!$A$2:$A$15,0))="","",INDEX('C_jama.2025.24175'!$D$2:$D$15,MATCH("2025::jama.2025.24175::C005",'C_jama.2025.24175'!$A$2:$A$15,0))),"NOT FROZEN")</x:f>
      </x:c>
      <x:c r="C104" s="6" t="str">
        <x:f>IF(Setup!$B$6="primary",IF(INDEX('C_jama.2025.24175'!$E$2:$E$15,MATCH("2025::jama.2025.24175::C005",'C_jama.2025.24175'!$A$2:$A$15,0))="","",INDEX('C_jama.2025.24175'!$E$2:$E$15,MATCH("2025::jama.2025.24175::C005",'C_jama.2025.24175'!$A$2:$A$15,0))),"NOT FROZEN")</x:f>
        <x:v>plan_material</x:v>
      </x:c>
      <x:c r="D104" s="6" t="str">
        <x:f>IF(Setup!$B$6="primary",IF(AND(INDEX('C_jama.2025.24175'!$D$2:$D$15,MATCH("2025::jama.2025.24175::C005",'C_jama.2025.24175'!$A$2:$A$15,0))="retain",INDEX('C_jama.2025.24175'!$E$2:$E$15,MATCH("2025::jama.2025.24175::C005",'C_jama.2025.24175'!$A$2:$A$15,0))="statistical_results"),IF(INDEX('C_jama.2025.24175'!$H$2:$H$15,MATCH("2025::jama.2025.24175::C005",'C_jama.2025.24175'!$A$2:$A$15,0))="","",INDEX('C_jama.2025.24175'!$H$2:$H$15,MATCH("2025::jama.2025.24175::C005",'C_jama.2025.24175'!$A$2:$A$15,0))),"not_applicable"),"NOT FROZEN")</x:f>
        <x:v>not_applicable</x:v>
      </x:c>
      <x:c r="E104" s="6" t="str">
        <x:f>IF(Setup!$B$6="primary",IF(AND(INDEX('C_jama.2025.24175'!$D$2:$D$15,MATCH("2025::jama.2025.24175::C005",'C_jama.2025.24175'!$A$2:$A$15,0))="retain",INDEX('C_jama.2025.24175'!$E$2:$E$15,MATCH("2025::jama.2025.24175::C005",'C_jama.2025.24175'!$A$2:$A$15,0))="statistical_results"),IF(INDEX('C_jama.2025.24175'!$I$2:$I$15,MATCH("2025::jama.2025.24175::C005",'C_jama.2025.24175'!$A$2:$A$15,0))="","",INDEX('C_jama.2025.24175'!$I$2:$I$15,MATCH("2025::jama.2025.24175::C005",'C_jama.2025.24175'!$A$2:$A$15,0))),"not_applicable"),"NOT FROZEN")</x:f>
        <x:v>not_applicable</x:v>
      </x:c>
      <x:c r="F104" s="6" t="str">
        <x:f>IF(Setup!$B$6="primary",IF(AND(INDEX('C_jama.2025.24175'!$D$2:$D$15,MATCH("2025::jama.2025.24175::C005",'C_jama.2025.24175'!$A$2:$A$15,0))="retain",INDEX('C_jama.2025.24175'!$E$2:$E$15,MATCH("2025::jama.2025.24175::C005",'C_jama.2025.24175'!$A$2:$A$15,0))="statistical_results"),IF(INDEX('C_jama.2025.24175'!$J$2:$J$15,MATCH("2025::jama.2025.24175::C005",'C_jama.2025.24175'!$A$2:$A$15,0))="","",INDEX('C_jama.2025.24175'!$J$2:$J$15,MATCH("2025::jama.2025.24175::C005",'C_jama.2025.24175'!$A$2:$A$15,0))),"not_applicable"),"NOT FROZEN")</x:f>
        <x:v>not_applicable</x:v>
      </x:c>
      <x:c r="G104" s="6" t="str">
        <x:f>IF(Setup!$B$6="primary",IF(AND(INDEX('C_jama.2025.24175'!$D$2:$D$15,MATCH("2025::jama.2025.24175::C005",'C_jama.2025.24175'!$A$2:$A$15,0))="retain",OR(INDEX('C_jama.2025.24175'!$E$2:$E$15,MATCH("2025::jama.2025.24175::C005",'C_jama.2025.24175'!$A$2:$A$15,0))="report_internal_inconsistency",INDEX('C_jama.2025.24175'!$E$2:$E$15,MATCH("2025::jama.2025.24175::C005",'C_jama.2025.24175'!$A$2:$A$15,0))="plan_material")),IF(INDEX('C_jama.2025.24175'!$K$2:$K$15,MATCH("2025::jama.2025.24175::C005",'C_jama.2025.24175'!$A$2:$A$15,0))="","",INDEX('C_jama.2025.24175'!$K$2:$K$15,MATCH("2025::jama.2025.24175::C005",'C_jama.2025.24175'!$A$2:$A$15,0))),"not_applicable"),"NOT FROZEN")</x:f>
        <x:v>not_applicable</x:v>
      </x:c>
      <x:c r="H104" s="6" t="str">
        <x:f>IF(Setup!$B$6="primary",IF(AND(INDEX('C_jama.2025.24175'!$D$2:$D$15,MATCH("2025::jama.2025.24175::C005",'C_jama.2025.24175'!$A$2:$A$15,0))="retain",INDEX('C_jama.2025.24175'!$E$2:$E$15,MATCH("2025::jama.2025.24175::C005",'C_jama.2025.24175'!$A$2:$A$15,0))="protocol_report"),IF(INDEX('C_jama.2025.24175'!$L$2:$L$15,MATCH("2025::jama.2025.24175::C005",'C_jama.2025.24175'!$A$2:$A$15,0))="","",INDEX('C_jama.2025.24175'!$L$2:$L$15,MATCH("2025::jama.2025.24175::C005",'C_jama.2025.24175'!$A$2:$A$15,0))),"not_applicable"),"NOT FROZEN")</x:f>
        <x:v>not_applicable</x:v>
      </x:c>
      <x:c r="I104" s="6" t="str">
        <x:f>IF(Setup!$B$6="primary",IF(INDEX('C_jama.2025.24175'!$R$2:$R$15,MATCH("2025::jama.2025.24175::C005",'C_jama.2025.24175'!$A$2:$A$15,0))="","",INDEX('C_jama.2025.24175'!$R$2:$R$15,MATCH("2025::jama.2025.24175::C005",'C_jama.2025.24175'!$A$2:$A$15,0))),"NOT FROZEN")</x:f>
      </x:c>
      <x:c r="J104" s="6" t="str">
        <x:f>IF(Setup!$B$6="primary",INDEX('C_jama.2025.24175'!$F$2:$F$15,MATCH("2025::jama.2025.24175::C005",'C_jama.2025.24175'!$A$2:$A$15,0)),"NOT FROZEN")</x:f>
        <x:v>no</x:v>
      </x:c>
      <x:c r="K104" s="6" t="str">
        <x:f>IF(Setup!$B$6="primary",Setup!$B$2,"NOT FROZEN")</x:f>
      </x:c>
      <x:c r="L104" s="6" t="str">
        <x:f>IF(Setup!$B$6="primary",IF(OR(B104="",B104="not_applicable"),"","Disposition: "&amp;B104&amp;CHAR(10))&amp;IF(OR(C104="",C104="not_applicable"),"","Review domain: "&amp;C104&amp;CHAR(10))&amp;IF(OR(D104="",D104="not_applicable"),"","Statistcal_or_numerical issue: "&amp;D104&amp;CHAR(10))&amp;IF(OR(E104="",E104="not_applicable"),"","Substantiveness: "&amp;E104&amp;CHAR(10))&amp;IF(OR(F104="",F104="not_applicable"),"","Downstream impact: "&amp;F104&amp;CHAR(10))&amp;IF(OR(G104="",G104="not_applicable"),"","Report-internal or planning-material inconsistency: "&amp;G104&amp;CHAR(10))&amp;IF(OR(H104="",H104="not_applicable"),"","Protocol interpretation: "&amp;H104&amp;CHAR(10))&amp;IF(OR(I104="",I104="not_applicable"),"","Notes (optional): "&amp;I104&amp;CHAR(10)),"NOT FROZEN")</x:f>
        <x:v>Review domain: plan_material
</x:v>
      </x:c>
    </x:row>
    <x:row r="105" ht="70" customHeight="1">
      <x:c r="A105" s="3" t="str">
        <x:f>IF(Setup!$B$6="primary","2025::jama.2025.24175::C006","NOT FROZEN")</x:f>
        <x:v>2025::jama.2025.24175::C006</x:v>
      </x:c>
      <x:c r="B105" s="3" t="str">
        <x:f>IF(Setup!$B$6="primary",IF(INDEX('C_jama.2025.24175'!$D$2:$D$15,MATCH("2025::jama.2025.24175::C006",'C_jama.2025.24175'!$A$2:$A$15,0))="","",INDEX('C_jama.2025.24175'!$D$2:$D$15,MATCH("2025::jama.2025.24175::C006",'C_jama.2025.24175'!$A$2:$A$15,0))),"NOT FROZEN")</x:f>
      </x:c>
      <x:c r="C105" s="3" t="str">
        <x:f>IF(Setup!$B$6="primary",IF(INDEX('C_jama.2025.24175'!$E$2:$E$15,MATCH("2025::jama.2025.24175::C006",'C_jama.2025.24175'!$A$2:$A$15,0))="","",INDEX('C_jama.2025.24175'!$E$2:$E$15,MATCH("2025::jama.2025.24175::C006",'C_jama.2025.24175'!$A$2:$A$15,0))),"NOT FROZEN")</x:f>
        <x:v>plan_material</x:v>
      </x:c>
      <x:c r="D105" s="3" t="str">
        <x:f>IF(Setup!$B$6="primary",IF(AND(INDEX('C_jama.2025.24175'!$D$2:$D$15,MATCH("2025::jama.2025.24175::C006",'C_jama.2025.24175'!$A$2:$A$15,0))="retain",INDEX('C_jama.2025.24175'!$E$2:$E$15,MATCH("2025::jama.2025.24175::C006",'C_jama.2025.24175'!$A$2:$A$15,0))="statistical_results"),IF(INDEX('C_jama.2025.24175'!$H$2:$H$15,MATCH("2025::jama.2025.24175::C006",'C_jama.2025.24175'!$A$2:$A$15,0))="","",INDEX('C_jama.2025.24175'!$H$2:$H$15,MATCH("2025::jama.2025.24175::C006",'C_jama.2025.24175'!$A$2:$A$15,0))),"not_applicable"),"NOT FROZEN")</x:f>
        <x:v>not_applicable</x:v>
      </x:c>
      <x:c r="E105" s="3" t="str">
        <x:f>IF(Setup!$B$6="primary",IF(AND(INDEX('C_jama.2025.24175'!$D$2:$D$15,MATCH("2025::jama.2025.24175::C006",'C_jama.2025.24175'!$A$2:$A$15,0))="retain",INDEX('C_jama.2025.24175'!$E$2:$E$15,MATCH("2025::jama.2025.24175::C006",'C_jama.2025.24175'!$A$2:$A$15,0))="statistical_results"),IF(INDEX('C_jama.2025.24175'!$I$2:$I$15,MATCH("2025::jama.2025.24175::C006",'C_jama.2025.24175'!$A$2:$A$15,0))="","",INDEX('C_jama.2025.24175'!$I$2:$I$15,MATCH("2025::jama.2025.24175::C006",'C_jama.2025.24175'!$A$2:$A$15,0))),"not_applicable"),"NOT FROZEN")</x:f>
        <x:v>not_applicable</x:v>
      </x:c>
      <x:c r="F105" s="3" t="str">
        <x:f>IF(Setup!$B$6="primary",IF(AND(INDEX('C_jama.2025.24175'!$D$2:$D$15,MATCH("2025::jama.2025.24175::C006",'C_jama.2025.24175'!$A$2:$A$15,0))="retain",INDEX('C_jama.2025.24175'!$E$2:$E$15,MATCH("2025::jama.2025.24175::C006",'C_jama.2025.24175'!$A$2:$A$15,0))="statistical_results"),IF(INDEX('C_jama.2025.24175'!$J$2:$J$15,MATCH("2025::jama.2025.24175::C006",'C_jama.2025.24175'!$A$2:$A$15,0))="","",INDEX('C_jama.2025.24175'!$J$2:$J$15,MATCH("2025::jama.2025.24175::C006",'C_jama.2025.24175'!$A$2:$A$15,0))),"not_applicable"),"NOT FROZEN")</x:f>
        <x:v>not_applicable</x:v>
      </x:c>
      <x:c r="G105" s="3" t="str">
        <x:f>IF(Setup!$B$6="primary",IF(AND(INDEX('C_jama.2025.24175'!$D$2:$D$15,MATCH("2025::jama.2025.24175::C006",'C_jama.2025.24175'!$A$2:$A$15,0))="retain",OR(INDEX('C_jama.2025.24175'!$E$2:$E$15,MATCH("2025::jama.2025.24175::C006",'C_jama.2025.24175'!$A$2:$A$15,0))="report_internal_inconsistency",INDEX('C_jama.2025.24175'!$E$2:$E$15,MATCH("2025::jama.2025.24175::C006",'C_jama.2025.24175'!$A$2:$A$15,0))="plan_material")),IF(INDEX('C_jama.2025.24175'!$K$2:$K$15,MATCH("2025::jama.2025.24175::C006",'C_jama.2025.24175'!$A$2:$A$15,0))="","",INDEX('C_jama.2025.24175'!$K$2:$K$15,MATCH("2025::jama.2025.24175::C006",'C_jama.2025.24175'!$A$2:$A$15,0))),"not_applicable"),"NOT FROZEN")</x:f>
        <x:v>not_applicable</x:v>
      </x:c>
      <x:c r="H105" s="3" t="str">
        <x:f>IF(Setup!$B$6="primary",IF(AND(INDEX('C_jama.2025.24175'!$D$2:$D$15,MATCH("2025::jama.2025.24175::C006",'C_jama.2025.24175'!$A$2:$A$15,0))="retain",INDEX('C_jama.2025.24175'!$E$2:$E$15,MATCH("2025::jama.2025.24175::C006",'C_jama.2025.24175'!$A$2:$A$15,0))="protocol_report"),IF(INDEX('C_jama.2025.24175'!$L$2:$L$15,MATCH("2025::jama.2025.24175::C006",'C_jama.2025.24175'!$A$2:$A$15,0))="","",INDEX('C_jama.2025.24175'!$L$2:$L$15,MATCH("2025::jama.2025.24175::C006",'C_jama.2025.24175'!$A$2:$A$15,0))),"not_applicable"),"NOT FROZEN")</x:f>
        <x:v>not_applicable</x:v>
      </x:c>
      <x:c r="I105" s="3" t="str">
        <x:f>IF(Setup!$B$6="primary",IF(INDEX('C_jama.2025.24175'!$R$2:$R$15,MATCH("2025::jama.2025.24175::C006",'C_jama.2025.24175'!$A$2:$A$15,0))="","",INDEX('C_jama.2025.24175'!$R$2:$R$15,MATCH("2025::jama.2025.24175::C006",'C_jama.2025.24175'!$A$2:$A$15,0))),"NOT FROZEN")</x:f>
      </x:c>
      <x:c r="J105" s="3" t="str">
        <x:f>IF(Setup!$B$6="primary",INDEX('C_jama.2025.24175'!$F$2:$F$15,MATCH("2025::jama.2025.24175::C006",'C_jama.2025.24175'!$A$2:$A$15,0)),"NOT FROZEN")</x:f>
        <x:v>no</x:v>
      </x:c>
      <x:c r="K105" s="3" t="str">
        <x:f>IF(Setup!$B$6="primary",Setup!$B$2,"NOT FROZEN")</x:f>
      </x:c>
      <x:c r="L105" s="3" t="str">
        <x:f>IF(Setup!$B$6="primary",IF(OR(B105="",B105="not_applicable"),"","Disposition: "&amp;B105&amp;CHAR(10))&amp;IF(OR(C105="",C105="not_applicable"),"","Review domain: "&amp;C105&amp;CHAR(10))&amp;IF(OR(D105="",D105="not_applicable"),"","Statistcal_or_numerical issue: "&amp;D105&amp;CHAR(10))&amp;IF(OR(E105="",E105="not_applicable"),"","Substantiveness: "&amp;E105&amp;CHAR(10))&amp;IF(OR(F105="",F105="not_applicable"),"","Downstream impact: "&amp;F105&amp;CHAR(10))&amp;IF(OR(G105="",G105="not_applicable"),"","Report-internal or planning-material inconsistency: "&amp;G105&amp;CHAR(10))&amp;IF(OR(H105="",H105="not_applicable"),"","Protocol interpretation: "&amp;H105&amp;CHAR(10))&amp;IF(OR(I105="",I105="not_applicable"),"","Notes (optional): "&amp;I105&amp;CHAR(10)),"NOT FROZEN")</x:f>
        <x:v>Review domain: plan_material
</x:v>
      </x:c>
    </x:row>
    <x:row r="106" ht="70" customHeight="1">
      <x:c r="A106" s="6" t="str">
        <x:f>IF(Setup!$B$6="primary","2025::jama.2025.24175::C007","NOT FROZEN")</x:f>
        <x:v>2025::jama.2025.24175::C007</x:v>
      </x:c>
      <x:c r="B106" s="6" t="str">
        <x:f>IF(Setup!$B$6="primary",IF(INDEX('C_jama.2025.24175'!$D$2:$D$15,MATCH("2025::jama.2025.24175::C007",'C_jama.2025.24175'!$A$2:$A$15,0))="","",INDEX('C_jama.2025.24175'!$D$2:$D$15,MATCH("2025::jama.2025.24175::C007",'C_jama.2025.24175'!$A$2:$A$15,0))),"NOT FROZEN")</x:f>
      </x:c>
      <x:c r="C106" s="6" t="str">
        <x:f>IF(Setup!$B$6="primary",IF(INDEX('C_jama.2025.24175'!$E$2:$E$15,MATCH("2025::jama.2025.24175::C007",'C_jama.2025.24175'!$A$2:$A$15,0))="","",INDEX('C_jama.2025.24175'!$E$2:$E$15,MATCH("2025::jama.2025.24175::C007",'C_jama.2025.24175'!$A$2:$A$15,0))),"NOT FROZEN")</x:f>
        <x:v>plan_material</x:v>
      </x:c>
      <x:c r="D106" s="6" t="str">
        <x:f>IF(Setup!$B$6="primary",IF(AND(INDEX('C_jama.2025.24175'!$D$2:$D$15,MATCH("2025::jama.2025.24175::C007",'C_jama.2025.24175'!$A$2:$A$15,0))="retain",INDEX('C_jama.2025.24175'!$E$2:$E$15,MATCH("2025::jama.2025.24175::C007",'C_jama.2025.24175'!$A$2:$A$15,0))="statistical_results"),IF(INDEX('C_jama.2025.24175'!$H$2:$H$15,MATCH("2025::jama.2025.24175::C007",'C_jama.2025.24175'!$A$2:$A$15,0))="","",INDEX('C_jama.2025.24175'!$H$2:$H$15,MATCH("2025::jama.2025.24175::C007",'C_jama.2025.24175'!$A$2:$A$15,0))),"not_applicable"),"NOT FROZEN")</x:f>
        <x:v>not_applicable</x:v>
      </x:c>
      <x:c r="E106" s="6" t="str">
        <x:f>IF(Setup!$B$6="primary",IF(AND(INDEX('C_jama.2025.24175'!$D$2:$D$15,MATCH("2025::jama.2025.24175::C007",'C_jama.2025.24175'!$A$2:$A$15,0))="retain",INDEX('C_jama.2025.24175'!$E$2:$E$15,MATCH("2025::jama.2025.24175::C007",'C_jama.2025.24175'!$A$2:$A$15,0))="statistical_results"),IF(INDEX('C_jama.2025.24175'!$I$2:$I$15,MATCH("2025::jama.2025.24175::C007",'C_jama.2025.24175'!$A$2:$A$15,0))="","",INDEX('C_jama.2025.24175'!$I$2:$I$15,MATCH("2025::jama.2025.24175::C007",'C_jama.2025.24175'!$A$2:$A$15,0))),"not_applicable"),"NOT FROZEN")</x:f>
        <x:v>not_applicable</x:v>
      </x:c>
      <x:c r="F106" s="6" t="str">
        <x:f>IF(Setup!$B$6="primary",IF(AND(INDEX('C_jama.2025.24175'!$D$2:$D$15,MATCH("2025::jama.2025.24175::C007",'C_jama.2025.24175'!$A$2:$A$15,0))="retain",INDEX('C_jama.2025.24175'!$E$2:$E$15,MATCH("2025::jama.2025.24175::C007",'C_jama.2025.24175'!$A$2:$A$15,0))="statistical_results"),IF(INDEX('C_jama.2025.24175'!$J$2:$J$15,MATCH("2025::jama.2025.24175::C007",'C_jama.2025.24175'!$A$2:$A$15,0))="","",INDEX('C_jama.2025.24175'!$J$2:$J$15,MATCH("2025::jama.2025.24175::C007",'C_jama.2025.24175'!$A$2:$A$15,0))),"not_applicable"),"NOT FROZEN")</x:f>
        <x:v>not_applicable</x:v>
      </x:c>
      <x:c r="G106" s="6" t="str">
        <x:f>IF(Setup!$B$6="primary",IF(AND(INDEX('C_jama.2025.24175'!$D$2:$D$15,MATCH("2025::jama.2025.24175::C007",'C_jama.2025.24175'!$A$2:$A$15,0))="retain",OR(INDEX('C_jama.2025.24175'!$E$2:$E$15,MATCH("2025::jama.2025.24175::C007",'C_jama.2025.24175'!$A$2:$A$15,0))="report_internal_inconsistency",INDEX('C_jama.2025.24175'!$E$2:$E$15,MATCH("2025::jama.2025.24175::C007",'C_jama.2025.24175'!$A$2:$A$15,0))="plan_material")),IF(INDEX('C_jama.2025.24175'!$K$2:$K$15,MATCH("2025::jama.2025.24175::C007",'C_jama.2025.24175'!$A$2:$A$15,0))="","",INDEX('C_jama.2025.24175'!$K$2:$K$15,MATCH("2025::jama.2025.24175::C007",'C_jama.2025.24175'!$A$2:$A$15,0))),"not_applicable"),"NOT FROZEN")</x:f>
        <x:v>not_applicable</x:v>
      </x:c>
      <x:c r="H106" s="6" t="str">
        <x:f>IF(Setup!$B$6="primary",IF(AND(INDEX('C_jama.2025.24175'!$D$2:$D$15,MATCH("2025::jama.2025.24175::C007",'C_jama.2025.24175'!$A$2:$A$15,0))="retain",INDEX('C_jama.2025.24175'!$E$2:$E$15,MATCH("2025::jama.2025.24175::C007",'C_jama.2025.24175'!$A$2:$A$15,0))="protocol_report"),IF(INDEX('C_jama.2025.24175'!$L$2:$L$15,MATCH("2025::jama.2025.24175::C007",'C_jama.2025.24175'!$A$2:$A$15,0))="","",INDEX('C_jama.2025.24175'!$L$2:$L$15,MATCH("2025::jama.2025.24175::C007",'C_jama.2025.24175'!$A$2:$A$15,0))),"not_applicable"),"NOT FROZEN")</x:f>
        <x:v>not_applicable</x:v>
      </x:c>
      <x:c r="I106" s="6" t="str">
        <x:f>IF(Setup!$B$6="primary",IF(INDEX('C_jama.2025.24175'!$R$2:$R$15,MATCH("2025::jama.2025.24175::C007",'C_jama.2025.24175'!$A$2:$A$15,0))="","",INDEX('C_jama.2025.24175'!$R$2:$R$15,MATCH("2025::jama.2025.24175::C007",'C_jama.2025.24175'!$A$2:$A$15,0))),"NOT FROZEN")</x:f>
      </x:c>
      <x:c r="J106" s="6" t="str">
        <x:f>IF(Setup!$B$6="primary",INDEX('C_jama.2025.24175'!$F$2:$F$15,MATCH("2025::jama.2025.24175::C007",'C_jama.2025.24175'!$A$2:$A$15,0)),"NOT FROZEN")</x:f>
        <x:v>no</x:v>
      </x:c>
      <x:c r="K106" s="6" t="str">
        <x:f>IF(Setup!$B$6="primary",Setup!$B$2,"NOT FROZEN")</x:f>
      </x:c>
      <x:c r="L106" s="6" t="str">
        <x:f>IF(Setup!$B$6="primary",IF(OR(B106="",B106="not_applicable"),"","Disposition: "&amp;B106&amp;CHAR(10))&amp;IF(OR(C106="",C106="not_applicable"),"","Review domain: "&amp;C106&amp;CHAR(10))&amp;IF(OR(D106="",D106="not_applicable"),"","Statistcal_or_numerical issue: "&amp;D106&amp;CHAR(10))&amp;IF(OR(E106="",E106="not_applicable"),"","Substantiveness: "&amp;E106&amp;CHAR(10))&amp;IF(OR(F106="",F106="not_applicable"),"","Downstream impact: "&amp;F106&amp;CHAR(10))&amp;IF(OR(G106="",G106="not_applicable"),"","Report-internal or planning-material inconsistency: "&amp;G106&amp;CHAR(10))&amp;IF(OR(H106="",H106="not_applicable"),"","Protocol interpretation: "&amp;H106&amp;CHAR(10))&amp;IF(OR(I106="",I106="not_applicable"),"","Notes (optional): "&amp;I106&amp;CHAR(10)),"NOT FROZEN")</x:f>
        <x:v>Review domain: plan_material
</x:v>
      </x:c>
    </x:row>
    <x:row r="107" ht="70" customHeight="1">
      <x:c r="A107" s="3" t="str">
        <x:f>IF(Setup!$B$6="primary","2025::jama.2025.24175::C008","NOT FROZEN")</x:f>
        <x:v>2025::jama.2025.24175::C008</x:v>
      </x:c>
      <x:c r="B107" s="3" t="str">
        <x:f>IF(Setup!$B$6="primary",IF(INDEX('C_jama.2025.24175'!$D$2:$D$15,MATCH("2025::jama.2025.24175::C008",'C_jama.2025.24175'!$A$2:$A$15,0))="","",INDEX('C_jama.2025.24175'!$D$2:$D$15,MATCH("2025::jama.2025.24175::C008",'C_jama.2025.24175'!$A$2:$A$15,0))),"NOT FROZEN")</x:f>
      </x:c>
      <x:c r="C107" s="3" t="str">
        <x:f>IF(Setup!$B$6="primary",IF(INDEX('C_jama.2025.24175'!$E$2:$E$15,MATCH("2025::jama.2025.24175::C008",'C_jama.2025.24175'!$A$2:$A$15,0))="","",INDEX('C_jama.2025.24175'!$E$2:$E$15,MATCH("2025::jama.2025.24175::C008",'C_jama.2025.24175'!$A$2:$A$15,0))),"NOT FROZEN")</x:f>
        <x:v>plan_material</x:v>
      </x:c>
      <x:c r="D107" s="3" t="str">
        <x:f>IF(Setup!$B$6="primary",IF(AND(INDEX('C_jama.2025.24175'!$D$2:$D$15,MATCH("2025::jama.2025.24175::C008",'C_jama.2025.24175'!$A$2:$A$15,0))="retain",INDEX('C_jama.2025.24175'!$E$2:$E$15,MATCH("2025::jama.2025.24175::C008",'C_jama.2025.24175'!$A$2:$A$15,0))="statistical_results"),IF(INDEX('C_jama.2025.24175'!$H$2:$H$15,MATCH("2025::jama.2025.24175::C008",'C_jama.2025.24175'!$A$2:$A$15,0))="","",INDEX('C_jama.2025.24175'!$H$2:$H$15,MATCH("2025::jama.2025.24175::C008",'C_jama.2025.24175'!$A$2:$A$15,0))),"not_applicable"),"NOT FROZEN")</x:f>
        <x:v>not_applicable</x:v>
      </x:c>
      <x:c r="E107" s="3" t="str">
        <x:f>IF(Setup!$B$6="primary",IF(AND(INDEX('C_jama.2025.24175'!$D$2:$D$15,MATCH("2025::jama.2025.24175::C008",'C_jama.2025.24175'!$A$2:$A$15,0))="retain",INDEX('C_jama.2025.24175'!$E$2:$E$15,MATCH("2025::jama.2025.24175::C008",'C_jama.2025.24175'!$A$2:$A$15,0))="statistical_results"),IF(INDEX('C_jama.2025.24175'!$I$2:$I$15,MATCH("2025::jama.2025.24175::C008",'C_jama.2025.24175'!$A$2:$A$15,0))="","",INDEX('C_jama.2025.24175'!$I$2:$I$15,MATCH("2025::jama.2025.24175::C008",'C_jama.2025.24175'!$A$2:$A$15,0))),"not_applicable"),"NOT FROZEN")</x:f>
        <x:v>not_applicable</x:v>
      </x:c>
      <x:c r="F107" s="3" t="str">
        <x:f>IF(Setup!$B$6="primary",IF(AND(INDEX('C_jama.2025.24175'!$D$2:$D$15,MATCH("2025::jama.2025.24175::C008",'C_jama.2025.24175'!$A$2:$A$15,0))="retain",INDEX('C_jama.2025.24175'!$E$2:$E$15,MATCH("2025::jama.2025.24175::C008",'C_jama.2025.24175'!$A$2:$A$15,0))="statistical_results"),IF(INDEX('C_jama.2025.24175'!$J$2:$J$15,MATCH("2025::jama.2025.24175::C008",'C_jama.2025.24175'!$A$2:$A$15,0))="","",INDEX('C_jama.2025.24175'!$J$2:$J$15,MATCH("2025::jama.2025.24175::C008",'C_jama.2025.24175'!$A$2:$A$15,0))),"not_applicable"),"NOT FROZEN")</x:f>
        <x:v>not_applicable</x:v>
      </x:c>
      <x:c r="G107" s="3" t="str">
        <x:f>IF(Setup!$B$6="primary",IF(AND(INDEX('C_jama.2025.24175'!$D$2:$D$15,MATCH("2025::jama.2025.24175::C008",'C_jama.2025.24175'!$A$2:$A$15,0))="retain",OR(INDEX('C_jama.2025.24175'!$E$2:$E$15,MATCH("2025::jama.2025.24175::C008",'C_jama.2025.24175'!$A$2:$A$15,0))="report_internal_inconsistency",INDEX('C_jama.2025.24175'!$E$2:$E$15,MATCH("2025::jama.2025.24175::C008",'C_jama.2025.24175'!$A$2:$A$15,0))="plan_material")),IF(INDEX('C_jama.2025.24175'!$K$2:$K$15,MATCH("2025::jama.2025.24175::C008",'C_jama.2025.24175'!$A$2:$A$15,0))="","",INDEX('C_jama.2025.24175'!$K$2:$K$15,MATCH("2025::jama.2025.24175::C008",'C_jama.2025.24175'!$A$2:$A$15,0))),"not_applicable"),"NOT FROZEN")</x:f>
        <x:v>not_applicable</x:v>
      </x:c>
      <x:c r="H107" s="3" t="str">
        <x:f>IF(Setup!$B$6="primary",IF(AND(INDEX('C_jama.2025.24175'!$D$2:$D$15,MATCH("2025::jama.2025.24175::C008",'C_jama.2025.24175'!$A$2:$A$15,0))="retain",INDEX('C_jama.2025.24175'!$E$2:$E$15,MATCH("2025::jama.2025.24175::C008",'C_jama.2025.24175'!$A$2:$A$15,0))="protocol_report"),IF(INDEX('C_jama.2025.24175'!$L$2:$L$15,MATCH("2025::jama.2025.24175::C008",'C_jama.2025.24175'!$A$2:$A$15,0))="","",INDEX('C_jama.2025.24175'!$L$2:$L$15,MATCH("2025::jama.2025.24175::C008",'C_jama.2025.24175'!$A$2:$A$15,0))),"not_applicable"),"NOT FROZEN")</x:f>
        <x:v>not_applicable</x:v>
      </x:c>
      <x:c r="I107" s="3" t="str">
        <x:f>IF(Setup!$B$6="primary",IF(INDEX('C_jama.2025.24175'!$R$2:$R$15,MATCH("2025::jama.2025.24175::C008",'C_jama.2025.24175'!$A$2:$A$15,0))="","",INDEX('C_jama.2025.24175'!$R$2:$R$15,MATCH("2025::jama.2025.24175::C008",'C_jama.2025.24175'!$A$2:$A$15,0))),"NOT FROZEN")</x:f>
      </x:c>
      <x:c r="J107" s="3" t="str">
        <x:f>IF(Setup!$B$6="primary",INDEX('C_jama.2025.24175'!$F$2:$F$15,MATCH("2025::jama.2025.24175::C008",'C_jama.2025.24175'!$A$2:$A$15,0)),"NOT FROZEN")</x:f>
        <x:v>no</x:v>
      </x:c>
      <x:c r="K107" s="3" t="str">
        <x:f>IF(Setup!$B$6="primary",Setup!$B$2,"NOT FROZEN")</x:f>
      </x:c>
      <x:c r="L107" s="3" t="str">
        <x:f>IF(Setup!$B$6="primary",IF(OR(B107="",B107="not_applicable"),"","Disposition: "&amp;B107&amp;CHAR(10))&amp;IF(OR(C107="",C107="not_applicable"),"","Review domain: "&amp;C107&amp;CHAR(10))&amp;IF(OR(D107="",D107="not_applicable"),"","Statistcal_or_numerical issue: "&amp;D107&amp;CHAR(10))&amp;IF(OR(E107="",E107="not_applicable"),"","Substantiveness: "&amp;E107&amp;CHAR(10))&amp;IF(OR(F107="",F107="not_applicable"),"","Downstream impact: "&amp;F107&amp;CHAR(10))&amp;IF(OR(G107="",G107="not_applicable"),"","Report-internal or planning-material inconsistency: "&amp;G107&amp;CHAR(10))&amp;IF(OR(H107="",H107="not_applicable"),"","Protocol interpretation: "&amp;H107&amp;CHAR(10))&amp;IF(OR(I107="",I107="not_applicable"),"","Notes (optional): "&amp;I107&amp;CHAR(10)),"NOT FROZEN")</x:f>
        <x:v>Review domain: plan_material
</x:v>
      </x:c>
    </x:row>
    <x:row r="108" ht="70" customHeight="1">
      <x:c r="A108" s="6" t="str">
        <x:f>IF(Setup!$B$6="primary","2025::jama.2025.24175::C009","NOT FROZEN")</x:f>
        <x:v>2025::jama.2025.24175::C009</x:v>
      </x:c>
      <x:c r="B108" s="6" t="str">
        <x:f>IF(Setup!$B$6="primary",IF(INDEX('C_jama.2025.24175'!$D$2:$D$15,MATCH("2025::jama.2025.24175::C009",'C_jama.2025.24175'!$A$2:$A$15,0))="","",INDEX('C_jama.2025.24175'!$D$2:$D$15,MATCH("2025::jama.2025.24175::C009",'C_jama.2025.24175'!$A$2:$A$15,0))),"NOT FROZEN")</x:f>
      </x:c>
      <x:c r="C108" s="6" t="str">
        <x:f>IF(Setup!$B$6="primary",IF(INDEX('C_jama.2025.24175'!$E$2:$E$15,MATCH("2025::jama.2025.24175::C009",'C_jama.2025.24175'!$A$2:$A$15,0))="","",INDEX('C_jama.2025.24175'!$E$2:$E$15,MATCH("2025::jama.2025.24175::C009",'C_jama.2025.24175'!$A$2:$A$15,0))),"NOT FROZEN")</x:f>
        <x:v>protocol_report</x:v>
      </x:c>
      <x:c r="D108" s="6" t="str">
        <x:f>IF(Setup!$B$6="primary",IF(AND(INDEX('C_jama.2025.24175'!$D$2:$D$15,MATCH("2025::jama.2025.24175::C009",'C_jama.2025.24175'!$A$2:$A$15,0))="retain",INDEX('C_jama.2025.24175'!$E$2:$E$15,MATCH("2025::jama.2025.24175::C009",'C_jama.2025.24175'!$A$2:$A$15,0))="statistical_results"),IF(INDEX('C_jama.2025.24175'!$H$2:$H$15,MATCH("2025::jama.2025.24175::C009",'C_jama.2025.24175'!$A$2:$A$15,0))="","",INDEX('C_jama.2025.24175'!$H$2:$H$15,MATCH("2025::jama.2025.24175::C009",'C_jama.2025.24175'!$A$2:$A$15,0))),"not_applicable"),"NOT FROZEN")</x:f>
        <x:v>not_applicable</x:v>
      </x:c>
      <x:c r="E108" s="6" t="str">
        <x:f>IF(Setup!$B$6="primary",IF(AND(INDEX('C_jama.2025.24175'!$D$2:$D$15,MATCH("2025::jama.2025.24175::C009",'C_jama.2025.24175'!$A$2:$A$15,0))="retain",INDEX('C_jama.2025.24175'!$E$2:$E$15,MATCH("2025::jama.2025.24175::C009",'C_jama.2025.24175'!$A$2:$A$15,0))="statistical_results"),IF(INDEX('C_jama.2025.24175'!$I$2:$I$15,MATCH("2025::jama.2025.24175::C009",'C_jama.2025.24175'!$A$2:$A$15,0))="","",INDEX('C_jama.2025.24175'!$I$2:$I$15,MATCH("2025::jama.2025.24175::C009",'C_jama.2025.24175'!$A$2:$A$15,0))),"not_applicable"),"NOT FROZEN")</x:f>
        <x:v>not_applicable</x:v>
      </x:c>
      <x:c r="F108" s="6" t="str">
        <x:f>IF(Setup!$B$6="primary",IF(AND(INDEX('C_jama.2025.24175'!$D$2:$D$15,MATCH("2025::jama.2025.24175::C009",'C_jama.2025.24175'!$A$2:$A$15,0))="retain",INDEX('C_jama.2025.24175'!$E$2:$E$15,MATCH("2025::jama.2025.24175::C009",'C_jama.2025.24175'!$A$2:$A$15,0))="statistical_results"),IF(INDEX('C_jama.2025.24175'!$J$2:$J$15,MATCH("2025::jama.2025.24175::C009",'C_jama.2025.24175'!$A$2:$A$15,0))="","",INDEX('C_jama.2025.24175'!$J$2:$J$15,MATCH("2025::jama.2025.24175::C009",'C_jama.2025.24175'!$A$2:$A$15,0))),"not_applicable"),"NOT FROZEN")</x:f>
        <x:v>not_applicable</x:v>
      </x:c>
      <x:c r="G108" s="6" t="str">
        <x:f>IF(Setup!$B$6="primary",IF(AND(INDEX('C_jama.2025.24175'!$D$2:$D$15,MATCH("2025::jama.2025.24175::C009",'C_jama.2025.24175'!$A$2:$A$15,0))="retain",OR(INDEX('C_jama.2025.24175'!$E$2:$E$15,MATCH("2025::jama.2025.24175::C009",'C_jama.2025.24175'!$A$2:$A$15,0))="report_internal_inconsistency",INDEX('C_jama.2025.24175'!$E$2:$E$15,MATCH("2025::jama.2025.24175::C009",'C_jama.2025.24175'!$A$2:$A$15,0))="plan_material")),IF(INDEX('C_jama.2025.24175'!$K$2:$K$15,MATCH("2025::jama.2025.24175::C009",'C_jama.2025.24175'!$A$2:$A$15,0))="","",INDEX('C_jama.2025.24175'!$K$2:$K$15,MATCH("2025::jama.2025.24175::C009",'C_jama.2025.24175'!$A$2:$A$15,0))),"not_applicable"),"NOT FROZEN")</x:f>
        <x:v>not_applicable</x:v>
      </x:c>
      <x:c r="H108" s="6" t="str">
        <x:f>IF(Setup!$B$6="primary",IF(AND(INDEX('C_jama.2025.24175'!$D$2:$D$15,MATCH("2025::jama.2025.24175::C009",'C_jama.2025.24175'!$A$2:$A$15,0))="retain",INDEX('C_jama.2025.24175'!$E$2:$E$15,MATCH("2025::jama.2025.24175::C009",'C_jama.2025.24175'!$A$2:$A$15,0))="protocol_report"),IF(INDEX('C_jama.2025.24175'!$L$2:$L$15,MATCH("2025::jama.2025.24175::C009",'C_jama.2025.24175'!$A$2:$A$15,0))="","",INDEX('C_jama.2025.24175'!$L$2:$L$15,MATCH("2025::jama.2025.24175::C009",'C_jama.2025.24175'!$A$2:$A$15,0))),"not_applicable"),"NOT FROZEN")</x:f>
        <x:v>not_applicable</x:v>
      </x:c>
      <x:c r="I108" s="6" t="str">
        <x:f>IF(Setup!$B$6="primary",IF(INDEX('C_jama.2025.24175'!$R$2:$R$15,MATCH("2025::jama.2025.24175::C009",'C_jama.2025.24175'!$A$2:$A$15,0))="","",INDEX('C_jama.2025.24175'!$R$2:$R$15,MATCH("2025::jama.2025.24175::C009",'C_jama.2025.24175'!$A$2:$A$15,0))),"NOT FROZEN")</x:f>
      </x:c>
      <x:c r="J108" s="6" t="str">
        <x:f>IF(Setup!$B$6="primary",INDEX('C_jama.2025.24175'!$F$2:$F$15,MATCH("2025::jama.2025.24175::C009",'C_jama.2025.24175'!$A$2:$A$15,0)),"NOT FROZEN")</x:f>
        <x:v>no</x:v>
      </x:c>
      <x:c r="K108" s="6" t="str">
        <x:f>IF(Setup!$B$6="primary",Setup!$B$2,"NOT FROZEN")</x:f>
      </x:c>
      <x:c r="L108" s="6" t="str">
        <x:f>IF(Setup!$B$6="primary",IF(OR(B108="",B108="not_applicable"),"","Disposition: "&amp;B108&amp;CHAR(10))&amp;IF(OR(C108="",C108="not_applicable"),"","Review domain: "&amp;C108&amp;CHAR(10))&amp;IF(OR(D108="",D108="not_applicable"),"","Statistcal_or_numerical issue: "&amp;D108&amp;CHAR(10))&amp;IF(OR(E108="",E108="not_applicable"),"","Substantiveness: "&amp;E108&amp;CHAR(10))&amp;IF(OR(F108="",F108="not_applicable"),"","Downstream impact: "&amp;F108&amp;CHAR(10))&amp;IF(OR(G108="",G108="not_applicable"),"","Report-internal or planning-material inconsistency: "&amp;G108&amp;CHAR(10))&amp;IF(OR(H108="",H108="not_applicable"),"","Protocol interpretation: "&amp;H108&amp;CHAR(10))&amp;IF(OR(I108="",I108="not_applicable"),"","Notes (optional): "&amp;I108&amp;CHAR(10)),"NOT FROZEN")</x:f>
        <x:v>Review domain: protocol_report
</x:v>
      </x:c>
    </x:row>
    <x:row r="109" ht="70" customHeight="1">
      <x:c r="A109" s="3" t="str">
        <x:f>IF(Setup!$B$6="primary","2025::jama.2025.24175::C010","NOT FROZEN")</x:f>
        <x:v>2025::jama.2025.24175::C010</x:v>
      </x:c>
      <x:c r="B109" s="3" t="str">
        <x:f>IF(Setup!$B$6="primary",IF(INDEX('C_jama.2025.24175'!$D$2:$D$15,MATCH("2025::jama.2025.24175::C010",'C_jama.2025.24175'!$A$2:$A$15,0))="","",INDEX('C_jama.2025.24175'!$D$2:$D$15,MATCH("2025::jama.2025.24175::C010",'C_jama.2025.24175'!$A$2:$A$15,0))),"NOT FROZEN")</x:f>
      </x:c>
      <x:c r="C109" s="3" t="str">
        <x:f>IF(Setup!$B$6="primary",IF(INDEX('C_jama.2025.24175'!$E$2:$E$15,MATCH("2025::jama.2025.24175::C010",'C_jama.2025.24175'!$A$2:$A$15,0))="","",INDEX('C_jama.2025.24175'!$E$2:$E$15,MATCH("2025::jama.2025.24175::C010",'C_jama.2025.24175'!$A$2:$A$15,0))),"NOT FROZEN")</x:f>
        <x:v>plan_material</x:v>
      </x:c>
      <x:c r="D109" s="3" t="str">
        <x:f>IF(Setup!$B$6="primary",IF(AND(INDEX('C_jama.2025.24175'!$D$2:$D$15,MATCH("2025::jama.2025.24175::C010",'C_jama.2025.24175'!$A$2:$A$15,0))="retain",INDEX('C_jama.2025.24175'!$E$2:$E$15,MATCH("2025::jama.2025.24175::C010",'C_jama.2025.24175'!$A$2:$A$15,0))="statistical_results"),IF(INDEX('C_jama.2025.24175'!$H$2:$H$15,MATCH("2025::jama.2025.24175::C010",'C_jama.2025.24175'!$A$2:$A$15,0))="","",INDEX('C_jama.2025.24175'!$H$2:$H$15,MATCH("2025::jama.2025.24175::C010",'C_jama.2025.24175'!$A$2:$A$15,0))),"not_applicable"),"NOT FROZEN")</x:f>
        <x:v>not_applicable</x:v>
      </x:c>
      <x:c r="E109" s="3" t="str">
        <x:f>IF(Setup!$B$6="primary",IF(AND(INDEX('C_jama.2025.24175'!$D$2:$D$15,MATCH("2025::jama.2025.24175::C010",'C_jama.2025.24175'!$A$2:$A$15,0))="retain",INDEX('C_jama.2025.24175'!$E$2:$E$15,MATCH("2025::jama.2025.24175::C010",'C_jama.2025.24175'!$A$2:$A$15,0))="statistical_results"),IF(INDEX('C_jama.2025.24175'!$I$2:$I$15,MATCH("2025::jama.2025.24175::C010",'C_jama.2025.24175'!$A$2:$A$15,0))="","",INDEX('C_jama.2025.24175'!$I$2:$I$15,MATCH("2025::jama.2025.24175::C010",'C_jama.2025.24175'!$A$2:$A$15,0))),"not_applicable"),"NOT FROZEN")</x:f>
        <x:v>not_applicable</x:v>
      </x:c>
      <x:c r="F109" s="3" t="str">
        <x:f>IF(Setup!$B$6="primary",IF(AND(INDEX('C_jama.2025.24175'!$D$2:$D$15,MATCH("2025::jama.2025.24175::C010",'C_jama.2025.24175'!$A$2:$A$15,0))="retain",INDEX('C_jama.2025.24175'!$E$2:$E$15,MATCH("2025::jama.2025.24175::C010",'C_jama.2025.24175'!$A$2:$A$15,0))="statistical_results"),IF(INDEX('C_jama.2025.24175'!$J$2:$J$15,MATCH("2025::jama.2025.24175::C010",'C_jama.2025.24175'!$A$2:$A$15,0))="","",INDEX('C_jama.2025.24175'!$J$2:$J$15,MATCH("2025::jama.2025.24175::C010",'C_jama.2025.24175'!$A$2:$A$15,0))),"not_applicable"),"NOT FROZEN")</x:f>
        <x:v>not_applicable</x:v>
      </x:c>
      <x:c r="G109" s="3" t="str">
        <x:f>IF(Setup!$B$6="primary",IF(AND(INDEX('C_jama.2025.24175'!$D$2:$D$15,MATCH("2025::jama.2025.24175::C010",'C_jama.2025.24175'!$A$2:$A$15,0))="retain",OR(INDEX('C_jama.2025.24175'!$E$2:$E$15,MATCH("2025::jama.2025.24175::C010",'C_jama.2025.24175'!$A$2:$A$15,0))="report_internal_inconsistency",INDEX('C_jama.2025.24175'!$E$2:$E$15,MATCH("2025::jama.2025.24175::C010",'C_jama.2025.24175'!$A$2:$A$15,0))="plan_material")),IF(INDEX('C_jama.2025.24175'!$K$2:$K$15,MATCH("2025::jama.2025.24175::C010",'C_jama.2025.24175'!$A$2:$A$15,0))="","",INDEX('C_jama.2025.24175'!$K$2:$K$15,MATCH("2025::jama.2025.24175::C010",'C_jama.2025.24175'!$A$2:$A$15,0))),"not_applicable"),"NOT FROZEN")</x:f>
        <x:v>not_applicable</x:v>
      </x:c>
      <x:c r="H109" s="3" t="str">
        <x:f>IF(Setup!$B$6="primary",IF(AND(INDEX('C_jama.2025.24175'!$D$2:$D$15,MATCH("2025::jama.2025.24175::C010",'C_jama.2025.24175'!$A$2:$A$15,0))="retain",INDEX('C_jama.2025.24175'!$E$2:$E$15,MATCH("2025::jama.2025.24175::C010",'C_jama.2025.24175'!$A$2:$A$15,0))="protocol_report"),IF(INDEX('C_jama.2025.24175'!$L$2:$L$15,MATCH("2025::jama.2025.24175::C010",'C_jama.2025.24175'!$A$2:$A$15,0))="","",INDEX('C_jama.2025.24175'!$L$2:$L$15,MATCH("2025::jama.2025.24175::C010",'C_jama.2025.24175'!$A$2:$A$15,0))),"not_applicable"),"NOT FROZEN")</x:f>
        <x:v>not_applicable</x:v>
      </x:c>
      <x:c r="I109" s="3" t="str">
        <x:f>IF(Setup!$B$6="primary",IF(INDEX('C_jama.2025.24175'!$R$2:$R$15,MATCH("2025::jama.2025.24175::C010",'C_jama.2025.24175'!$A$2:$A$15,0))="","",INDEX('C_jama.2025.24175'!$R$2:$R$15,MATCH("2025::jama.2025.24175::C010",'C_jama.2025.24175'!$A$2:$A$15,0))),"NOT FROZEN")</x:f>
      </x:c>
      <x:c r="J109" s="3" t="str">
        <x:f>IF(Setup!$B$6="primary",INDEX('C_jama.2025.24175'!$F$2:$F$15,MATCH("2025::jama.2025.24175::C010",'C_jama.2025.24175'!$A$2:$A$15,0)),"NOT FROZEN")</x:f>
        <x:v>no</x:v>
      </x:c>
      <x:c r="K109" s="3" t="str">
        <x:f>IF(Setup!$B$6="primary",Setup!$B$2,"NOT FROZEN")</x:f>
      </x:c>
      <x:c r="L109" s="3" t="str">
        <x:f>IF(Setup!$B$6="primary",IF(OR(B109="",B109="not_applicable"),"","Disposition: "&amp;B109&amp;CHAR(10))&amp;IF(OR(C109="",C109="not_applicable"),"","Review domain: "&amp;C109&amp;CHAR(10))&amp;IF(OR(D109="",D109="not_applicable"),"","Statistcal_or_numerical issue: "&amp;D109&amp;CHAR(10))&amp;IF(OR(E109="",E109="not_applicable"),"","Substantiveness: "&amp;E109&amp;CHAR(10))&amp;IF(OR(F109="",F109="not_applicable"),"","Downstream impact: "&amp;F109&amp;CHAR(10))&amp;IF(OR(G109="",G109="not_applicable"),"","Report-internal or planning-material inconsistency: "&amp;G109&amp;CHAR(10))&amp;IF(OR(H109="",H109="not_applicable"),"","Protocol interpretation: "&amp;H109&amp;CHAR(10))&amp;IF(OR(I109="",I109="not_applicable"),"","Notes (optional): "&amp;I109&amp;CHAR(10)),"NOT FROZEN")</x:f>
        <x:v>Review domain: plan_material
</x:v>
      </x:c>
    </x:row>
    <x:row r="110" ht="70" customHeight="1">
      <x:c r="A110" s="6" t="str">
        <x:f>IF(Setup!$B$6="primary","2025::jama.2025.24175::C011","NOT FROZEN")</x:f>
        <x:v>2025::jama.2025.24175::C011</x:v>
      </x:c>
      <x:c r="B110" s="6" t="str">
        <x:f>IF(Setup!$B$6="primary",IF(INDEX('C_jama.2025.24175'!$D$2:$D$15,MATCH("2025::jama.2025.24175::C011",'C_jama.2025.24175'!$A$2:$A$15,0))="","",INDEX('C_jama.2025.24175'!$D$2:$D$15,MATCH("2025::jama.2025.24175::C011",'C_jama.2025.24175'!$A$2:$A$15,0))),"NOT FROZEN")</x:f>
      </x:c>
      <x:c r="C110" s="6" t="str">
        <x:f>IF(Setup!$B$6="primary",IF(INDEX('C_jama.2025.24175'!$E$2:$E$15,MATCH("2025::jama.2025.24175::C011",'C_jama.2025.24175'!$A$2:$A$15,0))="","",INDEX('C_jama.2025.24175'!$E$2:$E$15,MATCH("2025::jama.2025.24175::C011",'C_jama.2025.24175'!$A$2:$A$15,0))),"NOT FROZEN")</x:f>
        <x:v>statistical_results</x:v>
      </x:c>
      <x:c r="D110" s="6" t="str">
        <x:f>IF(Setup!$B$6="primary",IF(AND(INDEX('C_jama.2025.24175'!$D$2:$D$15,MATCH("2025::jama.2025.24175::C011",'C_jama.2025.24175'!$A$2:$A$15,0))="retain",INDEX('C_jama.2025.24175'!$E$2:$E$15,MATCH("2025::jama.2025.24175::C011",'C_jama.2025.24175'!$A$2:$A$15,0))="statistical_results"),IF(INDEX('C_jama.2025.24175'!$H$2:$H$15,MATCH("2025::jama.2025.24175::C011",'C_jama.2025.24175'!$A$2:$A$15,0))="","",INDEX('C_jama.2025.24175'!$H$2:$H$15,MATCH("2025::jama.2025.24175::C011",'C_jama.2025.24175'!$A$2:$A$15,0))),"not_applicable"),"NOT FROZEN")</x:f>
        <x:v>not_applicable</x:v>
      </x:c>
      <x:c r="E110" s="6" t="str">
        <x:f>IF(Setup!$B$6="primary",IF(AND(INDEX('C_jama.2025.24175'!$D$2:$D$15,MATCH("2025::jama.2025.24175::C011",'C_jama.2025.24175'!$A$2:$A$15,0))="retain",INDEX('C_jama.2025.24175'!$E$2:$E$15,MATCH("2025::jama.2025.24175::C011",'C_jama.2025.24175'!$A$2:$A$15,0))="statistical_results"),IF(INDEX('C_jama.2025.24175'!$I$2:$I$15,MATCH("2025::jama.2025.24175::C011",'C_jama.2025.24175'!$A$2:$A$15,0))="","",INDEX('C_jama.2025.24175'!$I$2:$I$15,MATCH("2025::jama.2025.24175::C011",'C_jama.2025.24175'!$A$2:$A$15,0))),"not_applicable"),"NOT FROZEN")</x:f>
        <x:v>not_applicable</x:v>
      </x:c>
      <x:c r="F110" s="6" t="str">
        <x:f>IF(Setup!$B$6="primary",IF(AND(INDEX('C_jama.2025.24175'!$D$2:$D$15,MATCH("2025::jama.2025.24175::C011",'C_jama.2025.24175'!$A$2:$A$15,0))="retain",INDEX('C_jama.2025.24175'!$E$2:$E$15,MATCH("2025::jama.2025.24175::C011",'C_jama.2025.24175'!$A$2:$A$15,0))="statistical_results"),IF(INDEX('C_jama.2025.24175'!$J$2:$J$15,MATCH("2025::jama.2025.24175::C011",'C_jama.2025.24175'!$A$2:$A$15,0))="","",INDEX('C_jama.2025.24175'!$J$2:$J$15,MATCH("2025::jama.2025.24175::C011",'C_jama.2025.24175'!$A$2:$A$15,0))),"not_applicable"),"NOT FROZEN")</x:f>
        <x:v>not_applicable</x:v>
      </x:c>
      <x:c r="G110" s="6" t="str">
        <x:f>IF(Setup!$B$6="primary",IF(AND(INDEX('C_jama.2025.24175'!$D$2:$D$15,MATCH("2025::jama.2025.24175::C011",'C_jama.2025.24175'!$A$2:$A$15,0))="retain",OR(INDEX('C_jama.2025.24175'!$E$2:$E$15,MATCH("2025::jama.2025.24175::C011",'C_jama.2025.24175'!$A$2:$A$15,0))="report_internal_inconsistency",INDEX('C_jama.2025.24175'!$E$2:$E$15,MATCH("2025::jama.2025.24175::C011",'C_jama.2025.24175'!$A$2:$A$15,0))="plan_material")),IF(INDEX('C_jama.2025.24175'!$K$2:$K$15,MATCH("2025::jama.2025.24175::C011",'C_jama.2025.24175'!$A$2:$A$15,0))="","",INDEX('C_jama.2025.24175'!$K$2:$K$15,MATCH("2025::jama.2025.24175::C011",'C_jama.2025.24175'!$A$2:$A$15,0))),"not_applicable"),"NOT FROZEN")</x:f>
        <x:v>not_applicable</x:v>
      </x:c>
      <x:c r="H110" s="6" t="str">
        <x:f>IF(Setup!$B$6="primary",IF(AND(INDEX('C_jama.2025.24175'!$D$2:$D$15,MATCH("2025::jama.2025.24175::C011",'C_jama.2025.24175'!$A$2:$A$15,0))="retain",INDEX('C_jama.2025.24175'!$E$2:$E$15,MATCH("2025::jama.2025.24175::C011",'C_jama.2025.24175'!$A$2:$A$15,0))="protocol_report"),IF(INDEX('C_jama.2025.24175'!$L$2:$L$15,MATCH("2025::jama.2025.24175::C011",'C_jama.2025.24175'!$A$2:$A$15,0))="","",INDEX('C_jama.2025.24175'!$L$2:$L$15,MATCH("2025::jama.2025.24175::C011",'C_jama.2025.24175'!$A$2:$A$15,0))),"not_applicable"),"NOT FROZEN")</x:f>
        <x:v>not_applicable</x:v>
      </x:c>
      <x:c r="I110" s="6" t="str">
        <x:f>IF(Setup!$B$6="primary",IF(INDEX('C_jama.2025.24175'!$R$2:$R$15,MATCH("2025::jama.2025.24175::C011",'C_jama.2025.24175'!$A$2:$A$15,0))="","",INDEX('C_jama.2025.24175'!$R$2:$R$15,MATCH("2025::jama.2025.24175::C011",'C_jama.2025.24175'!$A$2:$A$15,0))),"NOT FROZEN")</x:f>
      </x:c>
      <x:c r="J110" s="6" t="str">
        <x:f>IF(Setup!$B$6="primary",INDEX('C_jama.2025.24175'!$F$2:$F$15,MATCH("2025::jama.2025.24175::C011",'C_jama.2025.24175'!$A$2:$A$15,0)),"NOT FROZEN")</x:f>
        <x:v>no</x:v>
      </x:c>
      <x:c r="K110" s="6" t="str">
        <x:f>IF(Setup!$B$6="primary",Setup!$B$2,"NOT FROZEN")</x:f>
      </x:c>
      <x:c r="L110" s="6" t="str">
        <x:f>IF(Setup!$B$6="primary",IF(OR(B110="",B110="not_applicable"),"","Disposition: "&amp;B110&amp;CHAR(10))&amp;IF(OR(C110="",C110="not_applicable"),"","Review domain: "&amp;C110&amp;CHAR(10))&amp;IF(OR(D110="",D110="not_applicable"),"","Statistcal_or_numerical issue: "&amp;D110&amp;CHAR(10))&amp;IF(OR(E110="",E110="not_applicable"),"","Substantiveness: "&amp;E110&amp;CHAR(10))&amp;IF(OR(F110="",F110="not_applicable"),"","Downstream impact: "&amp;F110&amp;CHAR(10))&amp;IF(OR(G110="",G110="not_applicable"),"","Report-internal or planning-material inconsistency: "&amp;G110&amp;CHAR(10))&amp;IF(OR(H110="",H110="not_applicable"),"","Protocol interpretation: "&amp;H110&amp;CHAR(10))&amp;IF(OR(I110="",I110="not_applicable"),"","Notes (optional): "&amp;I110&amp;CHAR(10)),"NOT FROZEN")</x:f>
        <x:v>Review domain: statistical_results
</x:v>
      </x:c>
    </x:row>
    <x:row r="111" ht="70" customHeight="1">
      <x:c r="A111" s="3" t="str">
        <x:f>IF(Setup!$B$6="primary","2025::jama.2025.24175::C012","NOT FROZEN")</x:f>
        <x:v>2025::jama.2025.24175::C012</x:v>
      </x:c>
      <x:c r="B111" s="3" t="str">
        <x:f>IF(Setup!$B$6="primary",IF(INDEX('C_jama.2025.24175'!$D$2:$D$15,MATCH("2025::jama.2025.24175::C012",'C_jama.2025.24175'!$A$2:$A$15,0))="","",INDEX('C_jama.2025.24175'!$D$2:$D$15,MATCH("2025::jama.2025.24175::C012",'C_jama.2025.24175'!$A$2:$A$15,0))),"NOT FROZEN")</x:f>
      </x:c>
      <x:c r="C111" s="3" t="str">
        <x:f>IF(Setup!$B$6="primary",IF(INDEX('C_jama.2025.24175'!$E$2:$E$15,MATCH("2025::jama.2025.24175::C012",'C_jama.2025.24175'!$A$2:$A$15,0))="","",INDEX('C_jama.2025.24175'!$E$2:$E$15,MATCH("2025::jama.2025.24175::C012",'C_jama.2025.24175'!$A$2:$A$15,0))),"NOT FROZEN")</x:f>
        <x:v>report_internal_inconsistency</x:v>
      </x:c>
      <x:c r="D111" s="3" t="str">
        <x:f>IF(Setup!$B$6="primary",IF(AND(INDEX('C_jama.2025.24175'!$D$2:$D$15,MATCH("2025::jama.2025.24175::C012",'C_jama.2025.24175'!$A$2:$A$15,0))="retain",INDEX('C_jama.2025.24175'!$E$2:$E$15,MATCH("2025::jama.2025.24175::C012",'C_jama.2025.24175'!$A$2:$A$15,0))="statistical_results"),IF(INDEX('C_jama.2025.24175'!$H$2:$H$15,MATCH("2025::jama.2025.24175::C012",'C_jama.2025.24175'!$A$2:$A$15,0))="","",INDEX('C_jama.2025.24175'!$H$2:$H$15,MATCH("2025::jama.2025.24175::C012",'C_jama.2025.24175'!$A$2:$A$15,0))),"not_applicable"),"NOT FROZEN")</x:f>
        <x:v>not_applicable</x:v>
      </x:c>
      <x:c r="E111" s="3" t="str">
        <x:f>IF(Setup!$B$6="primary",IF(AND(INDEX('C_jama.2025.24175'!$D$2:$D$15,MATCH("2025::jama.2025.24175::C012",'C_jama.2025.24175'!$A$2:$A$15,0))="retain",INDEX('C_jama.2025.24175'!$E$2:$E$15,MATCH("2025::jama.2025.24175::C012",'C_jama.2025.24175'!$A$2:$A$15,0))="statistical_results"),IF(INDEX('C_jama.2025.24175'!$I$2:$I$15,MATCH("2025::jama.2025.24175::C012",'C_jama.2025.24175'!$A$2:$A$15,0))="","",INDEX('C_jama.2025.24175'!$I$2:$I$15,MATCH("2025::jama.2025.24175::C012",'C_jama.2025.24175'!$A$2:$A$15,0))),"not_applicable"),"NOT FROZEN")</x:f>
        <x:v>not_applicable</x:v>
      </x:c>
      <x:c r="F111" s="3" t="str">
        <x:f>IF(Setup!$B$6="primary",IF(AND(INDEX('C_jama.2025.24175'!$D$2:$D$15,MATCH("2025::jama.2025.24175::C012",'C_jama.2025.24175'!$A$2:$A$15,0))="retain",INDEX('C_jama.2025.24175'!$E$2:$E$15,MATCH("2025::jama.2025.24175::C012",'C_jama.2025.24175'!$A$2:$A$15,0))="statistical_results"),IF(INDEX('C_jama.2025.24175'!$J$2:$J$15,MATCH("2025::jama.2025.24175::C012",'C_jama.2025.24175'!$A$2:$A$15,0))="","",INDEX('C_jama.2025.24175'!$J$2:$J$15,MATCH("2025::jama.2025.24175::C012",'C_jama.2025.24175'!$A$2:$A$15,0))),"not_applicable"),"NOT FROZEN")</x:f>
        <x:v>not_applicable</x:v>
      </x:c>
      <x:c r="G111" s="3" t="str">
        <x:f>IF(Setup!$B$6="primary",IF(AND(INDEX('C_jama.2025.24175'!$D$2:$D$15,MATCH("2025::jama.2025.24175::C012",'C_jama.2025.24175'!$A$2:$A$15,0))="retain",OR(INDEX('C_jama.2025.24175'!$E$2:$E$15,MATCH("2025::jama.2025.24175::C012",'C_jama.2025.24175'!$A$2:$A$15,0))="report_internal_inconsistency",INDEX('C_jama.2025.24175'!$E$2:$E$15,MATCH("2025::jama.2025.24175::C012",'C_jama.2025.24175'!$A$2:$A$15,0))="plan_material")),IF(INDEX('C_jama.2025.24175'!$K$2:$K$15,MATCH("2025::jama.2025.24175::C012",'C_jama.2025.24175'!$A$2:$A$15,0))="","",INDEX('C_jama.2025.24175'!$K$2:$K$15,MATCH("2025::jama.2025.24175::C012",'C_jama.2025.24175'!$A$2:$A$15,0))),"not_applicable"),"NOT FROZEN")</x:f>
        <x:v>not_applicable</x:v>
      </x:c>
      <x:c r="H111" s="3" t="str">
        <x:f>IF(Setup!$B$6="primary",IF(AND(INDEX('C_jama.2025.24175'!$D$2:$D$15,MATCH("2025::jama.2025.24175::C012",'C_jama.2025.24175'!$A$2:$A$15,0))="retain",INDEX('C_jama.2025.24175'!$E$2:$E$15,MATCH("2025::jama.2025.24175::C012",'C_jama.2025.24175'!$A$2:$A$15,0))="protocol_report"),IF(INDEX('C_jama.2025.24175'!$L$2:$L$15,MATCH("2025::jama.2025.24175::C012",'C_jama.2025.24175'!$A$2:$A$15,0))="","",INDEX('C_jama.2025.24175'!$L$2:$L$15,MATCH("2025::jama.2025.24175::C012",'C_jama.2025.24175'!$A$2:$A$15,0))),"not_applicable"),"NOT FROZEN")</x:f>
        <x:v>not_applicable</x:v>
      </x:c>
      <x:c r="I111" s="3" t="str">
        <x:f>IF(Setup!$B$6="primary",IF(INDEX('C_jama.2025.24175'!$R$2:$R$15,MATCH("2025::jama.2025.24175::C012",'C_jama.2025.24175'!$A$2:$A$15,0))="","",INDEX('C_jama.2025.24175'!$R$2:$R$15,MATCH("2025::jama.2025.24175::C012",'C_jama.2025.24175'!$A$2:$A$15,0))),"NOT FROZEN")</x:f>
      </x:c>
      <x:c r="J111" s="3" t="str">
        <x:f>IF(Setup!$B$6="primary",INDEX('C_jama.2025.24175'!$F$2:$F$15,MATCH("2025::jama.2025.24175::C012",'C_jama.2025.24175'!$A$2:$A$15,0)),"NOT FROZEN")</x:f>
        <x:v>no</x:v>
      </x:c>
      <x:c r="K111" s="3" t="str">
        <x:f>IF(Setup!$B$6="primary",Setup!$B$2,"NOT FROZEN")</x:f>
      </x:c>
      <x:c r="L111" s="3" t="str">
        <x:f>IF(Setup!$B$6="primary",IF(OR(B111="",B111="not_applicable"),"","Disposition: "&amp;B111&amp;CHAR(10))&amp;IF(OR(C111="",C111="not_applicable"),"","Review domain: "&amp;C111&amp;CHAR(10))&amp;IF(OR(D111="",D111="not_applicable"),"","Statistcal_or_numerical issue: "&amp;D111&amp;CHAR(10))&amp;IF(OR(E111="",E111="not_applicable"),"","Substantiveness: "&amp;E111&amp;CHAR(10))&amp;IF(OR(F111="",F111="not_applicable"),"","Downstream impact: "&amp;F111&amp;CHAR(10))&amp;IF(OR(G111="",G111="not_applicable"),"","Report-internal or planning-material inconsistency: "&amp;G111&amp;CHAR(10))&amp;IF(OR(H111="",H111="not_applicable"),"","Protocol interpretation: "&amp;H111&amp;CHAR(10))&amp;IF(OR(I111="",I111="not_applicable"),"","Notes (optional): "&amp;I111&amp;CHAR(10)),"NOT FROZEN")</x:f>
        <x:v>Review domain: report_internal_inconsistency
</x:v>
      </x:c>
    </x:row>
    <x:row r="112" ht="70" customHeight="1">
      <x:c r="A112" s="6" t="str">
        <x:f>IF(Setup!$B$6="primary","2025::jama.2025.24175::C013","NOT FROZEN")</x:f>
        <x:v>2025::jama.2025.24175::C013</x:v>
      </x:c>
      <x:c r="B112" s="6" t="str">
        <x:f>IF(Setup!$B$6="primary",IF(INDEX('C_jama.2025.24175'!$D$2:$D$15,MATCH("2025::jama.2025.24175::C013",'C_jama.2025.24175'!$A$2:$A$15,0))="","",INDEX('C_jama.2025.24175'!$D$2:$D$15,MATCH("2025::jama.2025.24175::C013",'C_jama.2025.24175'!$A$2:$A$15,0))),"NOT FROZEN")</x:f>
      </x:c>
      <x:c r="C112" s="6" t="str">
        <x:f>IF(Setup!$B$6="primary",IF(INDEX('C_jama.2025.24175'!$E$2:$E$15,MATCH("2025::jama.2025.24175::C013",'C_jama.2025.24175'!$A$2:$A$15,0))="","",INDEX('C_jama.2025.24175'!$E$2:$E$15,MATCH("2025::jama.2025.24175::C013",'C_jama.2025.24175'!$A$2:$A$15,0))),"NOT FROZEN")</x:f>
        <x:v>statistical_results</x:v>
      </x:c>
      <x:c r="D112" s="6" t="str">
        <x:f>IF(Setup!$B$6="primary",IF(AND(INDEX('C_jama.2025.24175'!$D$2:$D$15,MATCH("2025::jama.2025.24175::C013",'C_jama.2025.24175'!$A$2:$A$15,0))="retain",INDEX('C_jama.2025.24175'!$E$2:$E$15,MATCH("2025::jama.2025.24175::C013",'C_jama.2025.24175'!$A$2:$A$15,0))="statistical_results"),IF(INDEX('C_jama.2025.24175'!$H$2:$H$15,MATCH("2025::jama.2025.24175::C013",'C_jama.2025.24175'!$A$2:$A$15,0))="","",INDEX('C_jama.2025.24175'!$H$2:$H$15,MATCH("2025::jama.2025.24175::C013",'C_jama.2025.24175'!$A$2:$A$15,0))),"not_applicable"),"NOT FROZEN")</x:f>
        <x:v>not_applicable</x:v>
      </x:c>
      <x:c r="E112" s="6" t="str">
        <x:f>IF(Setup!$B$6="primary",IF(AND(INDEX('C_jama.2025.24175'!$D$2:$D$15,MATCH("2025::jama.2025.24175::C013",'C_jama.2025.24175'!$A$2:$A$15,0))="retain",INDEX('C_jama.2025.24175'!$E$2:$E$15,MATCH("2025::jama.2025.24175::C013",'C_jama.2025.24175'!$A$2:$A$15,0))="statistical_results"),IF(INDEX('C_jama.2025.24175'!$I$2:$I$15,MATCH("2025::jama.2025.24175::C013",'C_jama.2025.24175'!$A$2:$A$15,0))="","",INDEX('C_jama.2025.24175'!$I$2:$I$15,MATCH("2025::jama.2025.24175::C013",'C_jama.2025.24175'!$A$2:$A$15,0))),"not_applicable"),"NOT FROZEN")</x:f>
        <x:v>not_applicable</x:v>
      </x:c>
      <x:c r="F112" s="6" t="str">
        <x:f>IF(Setup!$B$6="primary",IF(AND(INDEX('C_jama.2025.24175'!$D$2:$D$15,MATCH("2025::jama.2025.24175::C013",'C_jama.2025.24175'!$A$2:$A$15,0))="retain",INDEX('C_jama.2025.24175'!$E$2:$E$15,MATCH("2025::jama.2025.24175::C013",'C_jama.2025.24175'!$A$2:$A$15,0))="statistical_results"),IF(INDEX('C_jama.2025.24175'!$J$2:$J$15,MATCH("2025::jama.2025.24175::C013",'C_jama.2025.24175'!$A$2:$A$15,0))="","",INDEX('C_jama.2025.24175'!$J$2:$J$15,MATCH("2025::jama.2025.24175::C013",'C_jama.2025.24175'!$A$2:$A$15,0))),"not_applicable"),"NOT FROZEN")</x:f>
        <x:v>not_applicable</x:v>
      </x:c>
      <x:c r="G112" s="6" t="str">
        <x:f>IF(Setup!$B$6="primary",IF(AND(INDEX('C_jama.2025.24175'!$D$2:$D$15,MATCH("2025::jama.2025.24175::C013",'C_jama.2025.24175'!$A$2:$A$15,0))="retain",OR(INDEX('C_jama.2025.24175'!$E$2:$E$15,MATCH("2025::jama.2025.24175::C013",'C_jama.2025.24175'!$A$2:$A$15,0))="report_internal_inconsistency",INDEX('C_jama.2025.24175'!$E$2:$E$15,MATCH("2025::jama.2025.24175::C013",'C_jama.2025.24175'!$A$2:$A$15,0))="plan_material")),IF(INDEX('C_jama.2025.24175'!$K$2:$K$15,MATCH("2025::jama.2025.24175::C013",'C_jama.2025.24175'!$A$2:$A$15,0))="","",INDEX('C_jama.2025.24175'!$K$2:$K$15,MATCH("2025::jama.2025.24175::C013",'C_jama.2025.24175'!$A$2:$A$15,0))),"not_applicable"),"NOT FROZEN")</x:f>
        <x:v>not_applicable</x:v>
      </x:c>
      <x:c r="H112" s="6" t="str">
        <x:f>IF(Setup!$B$6="primary",IF(AND(INDEX('C_jama.2025.24175'!$D$2:$D$15,MATCH("2025::jama.2025.24175::C013",'C_jama.2025.24175'!$A$2:$A$15,0))="retain",INDEX('C_jama.2025.24175'!$E$2:$E$15,MATCH("2025::jama.2025.24175::C013",'C_jama.2025.24175'!$A$2:$A$15,0))="protocol_report"),IF(INDEX('C_jama.2025.24175'!$L$2:$L$15,MATCH("2025::jama.2025.24175::C013",'C_jama.2025.24175'!$A$2:$A$15,0))="","",INDEX('C_jama.2025.24175'!$L$2:$L$15,MATCH("2025::jama.2025.24175::C013",'C_jama.2025.24175'!$A$2:$A$15,0))),"not_applicable"),"NOT FROZEN")</x:f>
        <x:v>not_applicable</x:v>
      </x:c>
      <x:c r="I112" s="6" t="str">
        <x:f>IF(Setup!$B$6="primary",IF(INDEX('C_jama.2025.24175'!$R$2:$R$15,MATCH("2025::jama.2025.24175::C013",'C_jama.2025.24175'!$A$2:$A$15,0))="","",INDEX('C_jama.2025.24175'!$R$2:$R$15,MATCH("2025::jama.2025.24175::C013",'C_jama.2025.24175'!$A$2:$A$15,0))),"NOT FROZEN")</x:f>
      </x:c>
      <x:c r="J112" s="6" t="str">
        <x:f>IF(Setup!$B$6="primary",INDEX('C_jama.2025.24175'!$F$2:$F$15,MATCH("2025::jama.2025.24175::C013",'C_jama.2025.24175'!$A$2:$A$15,0)),"NOT FROZEN")</x:f>
        <x:v>no</x:v>
      </x:c>
      <x:c r="K112" s="6" t="str">
        <x:f>IF(Setup!$B$6="primary",Setup!$B$2,"NOT FROZEN")</x:f>
      </x:c>
      <x:c r="L112" s="6" t="str">
        <x:f>IF(Setup!$B$6="primary",IF(OR(B112="",B112="not_applicable"),"","Disposition: "&amp;B112&amp;CHAR(10))&amp;IF(OR(C112="",C112="not_applicable"),"","Review domain: "&amp;C112&amp;CHAR(10))&amp;IF(OR(D112="",D112="not_applicable"),"","Statistcal_or_numerical issue: "&amp;D112&amp;CHAR(10))&amp;IF(OR(E112="",E112="not_applicable"),"","Substantiveness: "&amp;E112&amp;CHAR(10))&amp;IF(OR(F112="",F112="not_applicable"),"","Downstream impact: "&amp;F112&amp;CHAR(10))&amp;IF(OR(G112="",G112="not_applicable"),"","Report-internal or planning-material inconsistency: "&amp;G112&amp;CHAR(10))&amp;IF(OR(H112="",H112="not_applicable"),"","Protocol interpretation: "&amp;H112&amp;CHAR(10))&amp;IF(OR(I112="",I112="not_applicable"),"","Notes (optional): "&amp;I112&amp;CHAR(10)),"NOT FROZEN")</x:f>
        <x:v>Review domain: statistical_results
</x:v>
      </x:c>
    </x:row>
    <x:row r="113" ht="70" customHeight="1">
      <x:c r="A113" s="3" t="str">
        <x:f>IF(Setup!$B$6="primary","2025::jama.2025.24175::C014","NOT FROZEN")</x:f>
        <x:v>2025::jama.2025.24175::C014</x:v>
      </x:c>
      <x:c r="B113" s="3" t="str">
        <x:f>IF(Setup!$B$6="primary",IF(INDEX('C_jama.2025.24175'!$D$2:$D$15,MATCH("2025::jama.2025.24175::C014",'C_jama.2025.24175'!$A$2:$A$15,0))="","",INDEX('C_jama.2025.24175'!$D$2:$D$15,MATCH("2025::jama.2025.24175::C014",'C_jama.2025.24175'!$A$2:$A$15,0))),"NOT FROZEN")</x:f>
      </x:c>
      <x:c r="C113" s="3" t="str">
        <x:f>IF(Setup!$B$6="primary",IF(INDEX('C_jama.2025.24175'!$E$2:$E$15,MATCH("2025::jama.2025.24175::C014",'C_jama.2025.24175'!$A$2:$A$15,0))="","",INDEX('C_jama.2025.24175'!$E$2:$E$15,MATCH("2025::jama.2025.24175::C014",'C_jama.2025.24175'!$A$2:$A$15,0))),"NOT FROZEN")</x:f>
        <x:v>plan_material</x:v>
      </x:c>
      <x:c r="D113" s="3" t="str">
        <x:f>IF(Setup!$B$6="primary",IF(AND(INDEX('C_jama.2025.24175'!$D$2:$D$15,MATCH("2025::jama.2025.24175::C014",'C_jama.2025.24175'!$A$2:$A$15,0))="retain",INDEX('C_jama.2025.24175'!$E$2:$E$15,MATCH("2025::jama.2025.24175::C014",'C_jama.2025.24175'!$A$2:$A$15,0))="statistical_results"),IF(INDEX('C_jama.2025.24175'!$H$2:$H$15,MATCH("2025::jama.2025.24175::C014",'C_jama.2025.24175'!$A$2:$A$15,0))="","",INDEX('C_jama.2025.24175'!$H$2:$H$15,MATCH("2025::jama.2025.24175::C014",'C_jama.2025.24175'!$A$2:$A$15,0))),"not_applicable"),"NOT FROZEN")</x:f>
        <x:v>not_applicable</x:v>
      </x:c>
      <x:c r="E113" s="3" t="str">
        <x:f>IF(Setup!$B$6="primary",IF(AND(INDEX('C_jama.2025.24175'!$D$2:$D$15,MATCH("2025::jama.2025.24175::C014",'C_jama.2025.24175'!$A$2:$A$15,0))="retain",INDEX('C_jama.2025.24175'!$E$2:$E$15,MATCH("2025::jama.2025.24175::C014",'C_jama.2025.24175'!$A$2:$A$15,0))="statistical_results"),IF(INDEX('C_jama.2025.24175'!$I$2:$I$15,MATCH("2025::jama.2025.24175::C014",'C_jama.2025.24175'!$A$2:$A$15,0))="","",INDEX('C_jama.2025.24175'!$I$2:$I$15,MATCH("2025::jama.2025.24175::C014",'C_jama.2025.24175'!$A$2:$A$15,0))),"not_applicable"),"NOT FROZEN")</x:f>
        <x:v>not_applicable</x:v>
      </x:c>
      <x:c r="F113" s="3" t="str">
        <x:f>IF(Setup!$B$6="primary",IF(AND(INDEX('C_jama.2025.24175'!$D$2:$D$15,MATCH("2025::jama.2025.24175::C014",'C_jama.2025.24175'!$A$2:$A$15,0))="retain",INDEX('C_jama.2025.24175'!$E$2:$E$15,MATCH("2025::jama.2025.24175::C014",'C_jama.2025.24175'!$A$2:$A$15,0))="statistical_results"),IF(INDEX('C_jama.2025.24175'!$J$2:$J$15,MATCH("2025::jama.2025.24175::C014",'C_jama.2025.24175'!$A$2:$A$15,0))="","",INDEX('C_jama.2025.24175'!$J$2:$J$15,MATCH("2025::jama.2025.24175::C014",'C_jama.2025.24175'!$A$2:$A$15,0))),"not_applicable"),"NOT FROZEN")</x:f>
        <x:v>not_applicable</x:v>
      </x:c>
      <x:c r="G113" s="3" t="str">
        <x:f>IF(Setup!$B$6="primary",IF(AND(INDEX('C_jama.2025.24175'!$D$2:$D$15,MATCH("2025::jama.2025.24175::C014",'C_jama.2025.24175'!$A$2:$A$15,0))="retain",OR(INDEX('C_jama.2025.24175'!$E$2:$E$15,MATCH("2025::jama.2025.24175::C014",'C_jama.2025.24175'!$A$2:$A$15,0))="report_internal_inconsistency",INDEX('C_jama.2025.24175'!$E$2:$E$15,MATCH("2025::jama.2025.24175::C014",'C_jama.2025.24175'!$A$2:$A$15,0))="plan_material")),IF(INDEX('C_jama.2025.24175'!$K$2:$K$15,MATCH("2025::jama.2025.24175::C014",'C_jama.2025.24175'!$A$2:$A$15,0))="","",INDEX('C_jama.2025.24175'!$K$2:$K$15,MATCH("2025::jama.2025.24175::C014",'C_jama.2025.24175'!$A$2:$A$15,0))),"not_applicable"),"NOT FROZEN")</x:f>
        <x:v>not_applicable</x:v>
      </x:c>
      <x:c r="H113" s="3" t="str">
        <x:f>IF(Setup!$B$6="primary",IF(AND(INDEX('C_jama.2025.24175'!$D$2:$D$15,MATCH("2025::jama.2025.24175::C014",'C_jama.2025.24175'!$A$2:$A$15,0))="retain",INDEX('C_jama.2025.24175'!$E$2:$E$15,MATCH("2025::jama.2025.24175::C014",'C_jama.2025.24175'!$A$2:$A$15,0))="protocol_report"),IF(INDEX('C_jama.2025.24175'!$L$2:$L$15,MATCH("2025::jama.2025.24175::C014",'C_jama.2025.24175'!$A$2:$A$15,0))="","",INDEX('C_jama.2025.24175'!$L$2:$L$15,MATCH("2025::jama.2025.24175::C014",'C_jama.2025.24175'!$A$2:$A$15,0))),"not_applicable"),"NOT FROZEN")</x:f>
        <x:v>not_applicable</x:v>
      </x:c>
      <x:c r="I113" s="3" t="str">
        <x:f>IF(Setup!$B$6="primary",IF(INDEX('C_jama.2025.24175'!$R$2:$R$15,MATCH("2025::jama.2025.24175::C014",'C_jama.2025.24175'!$A$2:$A$15,0))="","",INDEX('C_jama.2025.24175'!$R$2:$R$15,MATCH("2025::jama.2025.24175::C014",'C_jama.2025.24175'!$A$2:$A$15,0))),"NOT FROZEN")</x:f>
      </x:c>
      <x:c r="J113" s="3" t="str">
        <x:f>IF(Setup!$B$6="primary",INDEX('C_jama.2025.24175'!$F$2:$F$15,MATCH("2025::jama.2025.24175::C014",'C_jama.2025.24175'!$A$2:$A$15,0)),"NOT FROZEN")</x:f>
        <x:v>no</x:v>
      </x:c>
      <x:c r="K113" s="3" t="str">
        <x:f>IF(Setup!$B$6="primary",Setup!$B$2,"NOT FROZEN")</x:f>
      </x:c>
      <x:c r="L113" s="3" t="str">
        <x:f>IF(Setup!$B$6="primary",IF(OR(B113="",B113="not_applicable"),"","Disposition: "&amp;B113&amp;CHAR(10))&amp;IF(OR(C113="",C113="not_applicable"),"","Review domain: "&amp;C113&amp;CHAR(10))&amp;IF(OR(D113="",D113="not_applicable"),"","Statistcal_or_numerical issue: "&amp;D113&amp;CHAR(10))&amp;IF(OR(E113="",E113="not_applicable"),"","Substantiveness: "&amp;E113&amp;CHAR(10))&amp;IF(OR(F113="",F113="not_applicable"),"","Downstream impact: "&amp;F113&amp;CHAR(10))&amp;IF(OR(G113="",G113="not_applicable"),"","Report-internal or planning-material inconsistency: "&amp;G113&amp;CHAR(10))&amp;IF(OR(H113="",H113="not_applicable"),"","Protocol interpretation: "&amp;H113&amp;CHAR(10))&amp;IF(OR(I113="",I113="not_applicable"),"","Notes (optional): "&amp;I113&amp;CHAR(10)),"NOT FROZEN")</x:f>
        <x:v>Review domain: plan_material
</x:v>
      </x:c>
    </x:row>
    <x:row r="114" ht="70" customHeight="1">
      <x:c r="A114" s="6" t="str">
        <x:f>IF(Setup!$B$6="primary","2025::jama.2025.4390::C001","NOT FROZEN")</x:f>
        <x:v>2025::jama.2025.4390::C001</x:v>
      </x:c>
      <x:c r="B114" s="6" t="str">
        <x:f>IF(Setup!$B$6="primary",IF(INDEX('C_jama.2025.4390'!$D$2:$D$4,MATCH("2025::jama.2025.4390::C001",'C_jama.2025.4390'!$A$2:$A$4,0))="","",INDEX('C_jama.2025.4390'!$D$2:$D$4,MATCH("2025::jama.2025.4390::C001",'C_jama.2025.4390'!$A$2:$A$4,0))),"NOT FROZEN")</x:f>
      </x:c>
      <x:c r="C114" s="6" t="str">
        <x:f>IF(Setup!$B$6="primary",IF(INDEX('C_jama.2025.4390'!$E$2:$E$4,MATCH("2025::jama.2025.4390::C001",'C_jama.2025.4390'!$A$2:$A$4,0))="","",INDEX('C_jama.2025.4390'!$E$2:$E$4,MATCH("2025::jama.2025.4390::C001",'C_jama.2025.4390'!$A$2:$A$4,0))),"NOT FROZEN")</x:f>
        <x:v>report_internal_inconsistency</x:v>
      </x:c>
      <x:c r="D114" s="6" t="str">
        <x:f>IF(Setup!$B$6="primary",IF(AND(INDEX('C_jama.2025.4390'!$D$2:$D$4,MATCH("2025::jama.2025.4390::C001",'C_jama.2025.4390'!$A$2:$A$4,0))="retain",INDEX('C_jama.2025.4390'!$E$2:$E$4,MATCH("2025::jama.2025.4390::C001",'C_jama.2025.4390'!$A$2:$A$4,0))="statistical_results"),IF(INDEX('C_jama.2025.4390'!$H$2:$H$4,MATCH("2025::jama.2025.4390::C001",'C_jama.2025.4390'!$A$2:$A$4,0))="","",INDEX('C_jama.2025.4390'!$H$2:$H$4,MATCH("2025::jama.2025.4390::C001",'C_jama.2025.4390'!$A$2:$A$4,0))),"not_applicable"),"NOT FROZEN")</x:f>
        <x:v>not_applicable</x:v>
      </x:c>
      <x:c r="E114" s="6" t="str">
        <x:f>IF(Setup!$B$6="primary",IF(AND(INDEX('C_jama.2025.4390'!$D$2:$D$4,MATCH("2025::jama.2025.4390::C001",'C_jama.2025.4390'!$A$2:$A$4,0))="retain",INDEX('C_jama.2025.4390'!$E$2:$E$4,MATCH("2025::jama.2025.4390::C001",'C_jama.2025.4390'!$A$2:$A$4,0))="statistical_results"),IF(INDEX('C_jama.2025.4390'!$I$2:$I$4,MATCH("2025::jama.2025.4390::C001",'C_jama.2025.4390'!$A$2:$A$4,0))="","",INDEX('C_jama.2025.4390'!$I$2:$I$4,MATCH("2025::jama.2025.4390::C001",'C_jama.2025.4390'!$A$2:$A$4,0))),"not_applicable"),"NOT FROZEN")</x:f>
        <x:v>not_applicable</x:v>
      </x:c>
      <x:c r="F114" s="6" t="str">
        <x:f>IF(Setup!$B$6="primary",IF(AND(INDEX('C_jama.2025.4390'!$D$2:$D$4,MATCH("2025::jama.2025.4390::C001",'C_jama.2025.4390'!$A$2:$A$4,0))="retain",INDEX('C_jama.2025.4390'!$E$2:$E$4,MATCH("2025::jama.2025.4390::C001",'C_jama.2025.4390'!$A$2:$A$4,0))="statistical_results"),IF(INDEX('C_jama.2025.4390'!$J$2:$J$4,MATCH("2025::jama.2025.4390::C001",'C_jama.2025.4390'!$A$2:$A$4,0))="","",INDEX('C_jama.2025.4390'!$J$2:$J$4,MATCH("2025::jama.2025.4390::C001",'C_jama.2025.4390'!$A$2:$A$4,0))),"not_applicable"),"NOT FROZEN")</x:f>
        <x:v>not_applicable</x:v>
      </x:c>
      <x:c r="G114" s="6" t="str">
        <x:f>IF(Setup!$B$6="primary",IF(AND(INDEX('C_jama.2025.4390'!$D$2:$D$4,MATCH("2025::jama.2025.4390::C001",'C_jama.2025.4390'!$A$2:$A$4,0))="retain",OR(INDEX('C_jama.2025.4390'!$E$2:$E$4,MATCH("2025::jama.2025.4390::C001",'C_jama.2025.4390'!$A$2:$A$4,0))="report_internal_inconsistency",INDEX('C_jama.2025.4390'!$E$2:$E$4,MATCH("2025::jama.2025.4390::C001",'C_jama.2025.4390'!$A$2:$A$4,0))="plan_material")),IF(INDEX('C_jama.2025.4390'!$K$2:$K$4,MATCH("2025::jama.2025.4390::C001",'C_jama.2025.4390'!$A$2:$A$4,0))="","",INDEX('C_jama.2025.4390'!$K$2:$K$4,MATCH("2025::jama.2025.4390::C001",'C_jama.2025.4390'!$A$2:$A$4,0))),"not_applicable"),"NOT FROZEN")</x:f>
        <x:v>not_applicable</x:v>
      </x:c>
      <x:c r="H114" s="6" t="str">
        <x:f>IF(Setup!$B$6="primary",IF(AND(INDEX('C_jama.2025.4390'!$D$2:$D$4,MATCH("2025::jama.2025.4390::C001",'C_jama.2025.4390'!$A$2:$A$4,0))="retain",INDEX('C_jama.2025.4390'!$E$2:$E$4,MATCH("2025::jama.2025.4390::C001",'C_jama.2025.4390'!$A$2:$A$4,0))="protocol_report"),IF(INDEX('C_jama.2025.4390'!$L$2:$L$4,MATCH("2025::jama.2025.4390::C001",'C_jama.2025.4390'!$A$2:$A$4,0))="","",INDEX('C_jama.2025.4390'!$L$2:$L$4,MATCH("2025::jama.2025.4390::C001",'C_jama.2025.4390'!$A$2:$A$4,0))),"not_applicable"),"NOT FROZEN")</x:f>
        <x:v>not_applicable</x:v>
      </x:c>
      <x:c r="I114" s="6" t="str">
        <x:f>IF(Setup!$B$6="primary",IF(INDEX('C_jama.2025.4390'!$R$2:$R$4,MATCH("2025::jama.2025.4390::C001",'C_jama.2025.4390'!$A$2:$A$4,0))="","",INDEX('C_jama.2025.4390'!$R$2:$R$4,MATCH("2025::jama.2025.4390::C001",'C_jama.2025.4390'!$A$2:$A$4,0))),"NOT FROZEN")</x:f>
      </x:c>
      <x:c r="J114" s="6" t="str">
        <x:f>IF(Setup!$B$6="primary",INDEX('C_jama.2025.4390'!$F$2:$F$4,MATCH("2025::jama.2025.4390::C001",'C_jama.2025.4390'!$A$2:$A$4,0)),"NOT FROZEN")</x:f>
        <x:v>no</x:v>
      </x:c>
      <x:c r="K114" s="6" t="str">
        <x:f>IF(Setup!$B$6="primary",Setup!$B$2,"NOT FROZEN")</x:f>
      </x:c>
      <x:c r="L114" s="6" t="str">
        <x:f>IF(Setup!$B$6="primary",IF(OR(B114="",B114="not_applicable"),"","Disposition: "&amp;B114&amp;CHAR(10))&amp;IF(OR(C114="",C114="not_applicable"),"","Review domain: "&amp;C114&amp;CHAR(10))&amp;IF(OR(D114="",D114="not_applicable"),"","Statistcal_or_numerical issue: "&amp;D114&amp;CHAR(10))&amp;IF(OR(E114="",E114="not_applicable"),"","Substantiveness: "&amp;E114&amp;CHAR(10))&amp;IF(OR(F114="",F114="not_applicable"),"","Downstream impact: "&amp;F114&amp;CHAR(10))&amp;IF(OR(G114="",G114="not_applicable"),"","Report-internal or planning-material inconsistency: "&amp;G114&amp;CHAR(10))&amp;IF(OR(H114="",H114="not_applicable"),"","Protocol interpretation: "&amp;H114&amp;CHAR(10))&amp;IF(OR(I114="",I114="not_applicable"),"","Notes (optional): "&amp;I114&amp;CHAR(10)),"NOT FROZEN")</x:f>
        <x:v>Review domain: report_internal_inconsistency
</x:v>
      </x:c>
    </x:row>
    <x:row r="115" ht="70" customHeight="1">
      <x:c r="A115" s="3" t="str">
        <x:f>IF(Setup!$B$6="primary","2025::jama.2025.4390::C002","NOT FROZEN")</x:f>
        <x:v>2025::jama.2025.4390::C002</x:v>
      </x:c>
      <x:c r="B115" s="3" t="str">
        <x:f>IF(Setup!$B$6="primary",IF(INDEX('C_jama.2025.4390'!$D$2:$D$4,MATCH("2025::jama.2025.4390::C002",'C_jama.2025.4390'!$A$2:$A$4,0))="","",INDEX('C_jama.2025.4390'!$D$2:$D$4,MATCH("2025::jama.2025.4390::C002",'C_jama.2025.4390'!$A$2:$A$4,0))),"NOT FROZEN")</x:f>
      </x:c>
      <x:c r="C115" s="3" t="str">
        <x:f>IF(Setup!$B$6="primary",IF(INDEX('C_jama.2025.4390'!$E$2:$E$4,MATCH("2025::jama.2025.4390::C002",'C_jama.2025.4390'!$A$2:$A$4,0))="","",INDEX('C_jama.2025.4390'!$E$2:$E$4,MATCH("2025::jama.2025.4390::C002",'C_jama.2025.4390'!$A$2:$A$4,0))),"NOT FROZEN")</x:f>
        <x:v>report_internal_inconsistency</x:v>
      </x:c>
      <x:c r="D115" s="3" t="str">
        <x:f>IF(Setup!$B$6="primary",IF(AND(INDEX('C_jama.2025.4390'!$D$2:$D$4,MATCH("2025::jama.2025.4390::C002",'C_jama.2025.4390'!$A$2:$A$4,0))="retain",INDEX('C_jama.2025.4390'!$E$2:$E$4,MATCH("2025::jama.2025.4390::C002",'C_jama.2025.4390'!$A$2:$A$4,0))="statistical_results"),IF(INDEX('C_jama.2025.4390'!$H$2:$H$4,MATCH("2025::jama.2025.4390::C002",'C_jama.2025.4390'!$A$2:$A$4,0))="","",INDEX('C_jama.2025.4390'!$H$2:$H$4,MATCH("2025::jama.2025.4390::C002",'C_jama.2025.4390'!$A$2:$A$4,0))),"not_applicable"),"NOT FROZEN")</x:f>
        <x:v>not_applicable</x:v>
      </x:c>
      <x:c r="E115" s="3" t="str">
        <x:f>IF(Setup!$B$6="primary",IF(AND(INDEX('C_jama.2025.4390'!$D$2:$D$4,MATCH("2025::jama.2025.4390::C002",'C_jama.2025.4390'!$A$2:$A$4,0))="retain",INDEX('C_jama.2025.4390'!$E$2:$E$4,MATCH("2025::jama.2025.4390::C002",'C_jama.2025.4390'!$A$2:$A$4,0))="statistical_results"),IF(INDEX('C_jama.2025.4390'!$I$2:$I$4,MATCH("2025::jama.2025.4390::C002",'C_jama.2025.4390'!$A$2:$A$4,0))="","",INDEX('C_jama.2025.4390'!$I$2:$I$4,MATCH("2025::jama.2025.4390::C002",'C_jama.2025.4390'!$A$2:$A$4,0))),"not_applicable"),"NOT FROZEN")</x:f>
        <x:v>not_applicable</x:v>
      </x:c>
      <x:c r="F115" s="3" t="str">
        <x:f>IF(Setup!$B$6="primary",IF(AND(INDEX('C_jama.2025.4390'!$D$2:$D$4,MATCH("2025::jama.2025.4390::C002",'C_jama.2025.4390'!$A$2:$A$4,0))="retain",INDEX('C_jama.2025.4390'!$E$2:$E$4,MATCH("2025::jama.2025.4390::C002",'C_jama.2025.4390'!$A$2:$A$4,0))="statistical_results"),IF(INDEX('C_jama.2025.4390'!$J$2:$J$4,MATCH("2025::jama.2025.4390::C002",'C_jama.2025.4390'!$A$2:$A$4,0))="","",INDEX('C_jama.2025.4390'!$J$2:$J$4,MATCH("2025::jama.2025.4390::C002",'C_jama.2025.4390'!$A$2:$A$4,0))),"not_applicable"),"NOT FROZEN")</x:f>
        <x:v>not_applicable</x:v>
      </x:c>
      <x:c r="G115" s="3" t="str">
        <x:f>IF(Setup!$B$6="primary",IF(AND(INDEX('C_jama.2025.4390'!$D$2:$D$4,MATCH("2025::jama.2025.4390::C002",'C_jama.2025.4390'!$A$2:$A$4,0))="retain",OR(INDEX('C_jama.2025.4390'!$E$2:$E$4,MATCH("2025::jama.2025.4390::C002",'C_jama.2025.4390'!$A$2:$A$4,0))="report_internal_inconsistency",INDEX('C_jama.2025.4390'!$E$2:$E$4,MATCH("2025::jama.2025.4390::C002",'C_jama.2025.4390'!$A$2:$A$4,0))="plan_material")),IF(INDEX('C_jama.2025.4390'!$K$2:$K$4,MATCH("2025::jama.2025.4390::C002",'C_jama.2025.4390'!$A$2:$A$4,0))="","",INDEX('C_jama.2025.4390'!$K$2:$K$4,MATCH("2025::jama.2025.4390::C002",'C_jama.2025.4390'!$A$2:$A$4,0))),"not_applicable"),"NOT FROZEN")</x:f>
        <x:v>not_applicable</x:v>
      </x:c>
      <x:c r="H115" s="3" t="str">
        <x:f>IF(Setup!$B$6="primary",IF(AND(INDEX('C_jama.2025.4390'!$D$2:$D$4,MATCH("2025::jama.2025.4390::C002",'C_jama.2025.4390'!$A$2:$A$4,0))="retain",INDEX('C_jama.2025.4390'!$E$2:$E$4,MATCH("2025::jama.2025.4390::C002",'C_jama.2025.4390'!$A$2:$A$4,0))="protocol_report"),IF(INDEX('C_jama.2025.4390'!$L$2:$L$4,MATCH("2025::jama.2025.4390::C002",'C_jama.2025.4390'!$A$2:$A$4,0))="","",INDEX('C_jama.2025.4390'!$L$2:$L$4,MATCH("2025::jama.2025.4390::C002",'C_jama.2025.4390'!$A$2:$A$4,0))),"not_applicable"),"NOT FROZEN")</x:f>
        <x:v>not_applicable</x:v>
      </x:c>
      <x:c r="I115" s="3" t="str">
        <x:f>IF(Setup!$B$6="primary",IF(INDEX('C_jama.2025.4390'!$R$2:$R$4,MATCH("2025::jama.2025.4390::C002",'C_jama.2025.4390'!$A$2:$A$4,0))="","",INDEX('C_jama.2025.4390'!$R$2:$R$4,MATCH("2025::jama.2025.4390::C002",'C_jama.2025.4390'!$A$2:$A$4,0))),"NOT FROZEN")</x:f>
      </x:c>
      <x:c r="J115" s="3" t="str">
        <x:f>IF(Setup!$B$6="primary",INDEX('C_jama.2025.4390'!$F$2:$F$4,MATCH("2025::jama.2025.4390::C002",'C_jama.2025.4390'!$A$2:$A$4,0)),"NOT FROZEN")</x:f>
        <x:v>no</x:v>
      </x:c>
      <x:c r="K115" s="3" t="str">
        <x:f>IF(Setup!$B$6="primary",Setup!$B$2,"NOT FROZEN")</x:f>
      </x:c>
      <x:c r="L115" s="3" t="str">
        <x:f>IF(Setup!$B$6="primary",IF(OR(B115="",B115="not_applicable"),"","Disposition: "&amp;B115&amp;CHAR(10))&amp;IF(OR(C115="",C115="not_applicable"),"","Review domain: "&amp;C115&amp;CHAR(10))&amp;IF(OR(D115="",D115="not_applicable"),"","Statistcal_or_numerical issue: "&amp;D115&amp;CHAR(10))&amp;IF(OR(E115="",E115="not_applicable"),"","Substantiveness: "&amp;E115&amp;CHAR(10))&amp;IF(OR(F115="",F115="not_applicable"),"","Downstream impact: "&amp;F115&amp;CHAR(10))&amp;IF(OR(G115="",G115="not_applicable"),"","Report-internal or planning-material inconsistency: "&amp;G115&amp;CHAR(10))&amp;IF(OR(H115="",H115="not_applicable"),"","Protocol interpretation: "&amp;H115&amp;CHAR(10))&amp;IF(OR(I115="",I115="not_applicable"),"","Notes (optional): "&amp;I115&amp;CHAR(10)),"NOT FROZEN")</x:f>
        <x:v>Review domain: report_internal_inconsistency
</x:v>
      </x:c>
    </x:row>
    <x:row r="116" ht="70" customHeight="1">
      <x:c r="A116" s="6" t="str">
        <x:f>IF(Setup!$B$6="primary","2025::jama.2025.4390::C003","NOT FROZEN")</x:f>
        <x:v>2025::jama.2025.4390::C003</x:v>
      </x:c>
      <x:c r="B116" s="6" t="str">
        <x:f>IF(Setup!$B$6="primary",IF(INDEX('C_jama.2025.4390'!$D$2:$D$4,MATCH("2025::jama.2025.4390::C003",'C_jama.2025.4390'!$A$2:$A$4,0))="","",INDEX('C_jama.2025.4390'!$D$2:$D$4,MATCH("2025::jama.2025.4390::C003",'C_jama.2025.4390'!$A$2:$A$4,0))),"NOT FROZEN")</x:f>
      </x:c>
      <x:c r="C116" s="6" t="str">
        <x:f>IF(Setup!$B$6="primary",IF(INDEX('C_jama.2025.4390'!$E$2:$E$4,MATCH("2025::jama.2025.4390::C003",'C_jama.2025.4390'!$A$2:$A$4,0))="","",INDEX('C_jama.2025.4390'!$E$2:$E$4,MATCH("2025::jama.2025.4390::C003",'C_jama.2025.4390'!$A$2:$A$4,0))),"NOT FROZEN")</x:f>
        <x:v>statistical_results</x:v>
      </x:c>
      <x:c r="D116" s="6" t="str">
        <x:f>IF(Setup!$B$6="primary",IF(AND(INDEX('C_jama.2025.4390'!$D$2:$D$4,MATCH("2025::jama.2025.4390::C003",'C_jama.2025.4390'!$A$2:$A$4,0))="retain",INDEX('C_jama.2025.4390'!$E$2:$E$4,MATCH("2025::jama.2025.4390::C003",'C_jama.2025.4390'!$A$2:$A$4,0))="statistical_results"),IF(INDEX('C_jama.2025.4390'!$H$2:$H$4,MATCH("2025::jama.2025.4390::C003",'C_jama.2025.4390'!$A$2:$A$4,0))="","",INDEX('C_jama.2025.4390'!$H$2:$H$4,MATCH("2025::jama.2025.4390::C003",'C_jama.2025.4390'!$A$2:$A$4,0))),"not_applicable"),"NOT FROZEN")</x:f>
        <x:v>not_applicable</x:v>
      </x:c>
      <x:c r="E116" s="6" t="str">
        <x:f>IF(Setup!$B$6="primary",IF(AND(INDEX('C_jama.2025.4390'!$D$2:$D$4,MATCH("2025::jama.2025.4390::C003",'C_jama.2025.4390'!$A$2:$A$4,0))="retain",INDEX('C_jama.2025.4390'!$E$2:$E$4,MATCH("2025::jama.2025.4390::C003",'C_jama.2025.4390'!$A$2:$A$4,0))="statistical_results"),IF(INDEX('C_jama.2025.4390'!$I$2:$I$4,MATCH("2025::jama.2025.4390::C003",'C_jama.2025.4390'!$A$2:$A$4,0))="","",INDEX('C_jama.2025.4390'!$I$2:$I$4,MATCH("2025::jama.2025.4390::C003",'C_jama.2025.4390'!$A$2:$A$4,0))),"not_applicable"),"NOT FROZEN")</x:f>
        <x:v>not_applicable</x:v>
      </x:c>
      <x:c r="F116" s="6" t="str">
        <x:f>IF(Setup!$B$6="primary",IF(AND(INDEX('C_jama.2025.4390'!$D$2:$D$4,MATCH("2025::jama.2025.4390::C003",'C_jama.2025.4390'!$A$2:$A$4,0))="retain",INDEX('C_jama.2025.4390'!$E$2:$E$4,MATCH("2025::jama.2025.4390::C003",'C_jama.2025.4390'!$A$2:$A$4,0))="statistical_results"),IF(INDEX('C_jama.2025.4390'!$J$2:$J$4,MATCH("2025::jama.2025.4390::C003",'C_jama.2025.4390'!$A$2:$A$4,0))="","",INDEX('C_jama.2025.4390'!$J$2:$J$4,MATCH("2025::jama.2025.4390::C003",'C_jama.2025.4390'!$A$2:$A$4,0))),"not_applicable"),"NOT FROZEN")</x:f>
        <x:v>not_applicable</x:v>
      </x:c>
      <x:c r="G116" s="6" t="str">
        <x:f>IF(Setup!$B$6="primary",IF(AND(INDEX('C_jama.2025.4390'!$D$2:$D$4,MATCH("2025::jama.2025.4390::C003",'C_jama.2025.4390'!$A$2:$A$4,0))="retain",OR(INDEX('C_jama.2025.4390'!$E$2:$E$4,MATCH("2025::jama.2025.4390::C003",'C_jama.2025.4390'!$A$2:$A$4,0))="report_internal_inconsistency",INDEX('C_jama.2025.4390'!$E$2:$E$4,MATCH("2025::jama.2025.4390::C003",'C_jama.2025.4390'!$A$2:$A$4,0))="plan_material")),IF(INDEX('C_jama.2025.4390'!$K$2:$K$4,MATCH("2025::jama.2025.4390::C003",'C_jama.2025.4390'!$A$2:$A$4,0))="","",INDEX('C_jama.2025.4390'!$K$2:$K$4,MATCH("2025::jama.2025.4390::C003",'C_jama.2025.4390'!$A$2:$A$4,0))),"not_applicable"),"NOT FROZEN")</x:f>
        <x:v>not_applicable</x:v>
      </x:c>
      <x:c r="H116" s="6" t="str">
        <x:f>IF(Setup!$B$6="primary",IF(AND(INDEX('C_jama.2025.4390'!$D$2:$D$4,MATCH("2025::jama.2025.4390::C003",'C_jama.2025.4390'!$A$2:$A$4,0))="retain",INDEX('C_jama.2025.4390'!$E$2:$E$4,MATCH("2025::jama.2025.4390::C003",'C_jama.2025.4390'!$A$2:$A$4,0))="protocol_report"),IF(INDEX('C_jama.2025.4390'!$L$2:$L$4,MATCH("2025::jama.2025.4390::C003",'C_jama.2025.4390'!$A$2:$A$4,0))="","",INDEX('C_jama.2025.4390'!$L$2:$L$4,MATCH("2025::jama.2025.4390::C003",'C_jama.2025.4390'!$A$2:$A$4,0))),"not_applicable"),"NOT FROZEN")</x:f>
        <x:v>not_applicable</x:v>
      </x:c>
      <x:c r="I116" s="6" t="str">
        <x:f>IF(Setup!$B$6="primary",IF(INDEX('C_jama.2025.4390'!$R$2:$R$4,MATCH("2025::jama.2025.4390::C003",'C_jama.2025.4390'!$A$2:$A$4,0))="","",INDEX('C_jama.2025.4390'!$R$2:$R$4,MATCH("2025::jama.2025.4390::C003",'C_jama.2025.4390'!$A$2:$A$4,0))),"NOT FROZEN")</x:f>
      </x:c>
      <x:c r="J116" s="6" t="str">
        <x:f>IF(Setup!$B$6="primary",INDEX('C_jama.2025.4390'!$F$2:$F$4,MATCH("2025::jama.2025.4390::C003",'C_jama.2025.4390'!$A$2:$A$4,0)),"NOT FROZEN")</x:f>
        <x:v>no</x:v>
      </x:c>
      <x:c r="K116" s="6" t="str">
        <x:f>IF(Setup!$B$6="primary",Setup!$B$2,"NOT FROZEN")</x:f>
      </x:c>
      <x:c r="L116" s="6" t="str">
        <x:f>IF(Setup!$B$6="primary",IF(OR(B116="",B116="not_applicable"),"","Disposition: "&amp;B116&amp;CHAR(10))&amp;IF(OR(C116="",C116="not_applicable"),"","Review domain: "&amp;C116&amp;CHAR(10))&amp;IF(OR(D116="",D116="not_applicable"),"","Statistcal_or_numerical issue: "&amp;D116&amp;CHAR(10))&amp;IF(OR(E116="",E116="not_applicable"),"","Substantiveness: "&amp;E116&amp;CHAR(10))&amp;IF(OR(F116="",F116="not_applicable"),"","Downstream impact: "&amp;F116&amp;CHAR(10))&amp;IF(OR(G116="",G116="not_applicable"),"","Report-internal or planning-material inconsistency: "&amp;G116&amp;CHAR(10))&amp;IF(OR(H116="",H116="not_applicable"),"","Protocol interpretation: "&amp;H116&amp;CHAR(10))&amp;IF(OR(I116="",I116="not_applicable"),"","Notes (optional): "&amp;I116&amp;CHAR(10)),"NOT FROZEN")</x:f>
        <x:v>Review domain: statistical_results
</x:v>
      </x:c>
    </x:row>
    <x:row r="117" ht="70" customHeight="1">
      <x:c r="A117" s="3" t="str">
        <x:f>IF(Setup!$B$6="primary","2025::jama.2025.7583::C001","NOT FROZEN")</x:f>
        <x:v>2025::jama.2025.7583::C001</x:v>
      </x:c>
      <x:c r="B117" s="3" t="str">
        <x:f>IF(Setup!$B$6="primary",IF(INDEX('C_jama.2025.7583'!$D$2:$D$4,MATCH("2025::jama.2025.7583::C001",'C_jama.2025.7583'!$A$2:$A$4,0))="","",INDEX('C_jama.2025.7583'!$D$2:$D$4,MATCH("2025::jama.2025.7583::C001",'C_jama.2025.7583'!$A$2:$A$4,0))),"NOT FROZEN")</x:f>
      </x:c>
      <x:c r="C117" s="3" t="str">
        <x:f>IF(Setup!$B$6="primary",IF(INDEX('C_jama.2025.7583'!$E$2:$E$4,MATCH("2025::jama.2025.7583::C001",'C_jama.2025.7583'!$A$2:$A$4,0))="","",INDEX('C_jama.2025.7583'!$E$2:$E$4,MATCH("2025::jama.2025.7583::C001",'C_jama.2025.7583'!$A$2:$A$4,0))),"NOT FROZEN")</x:f>
        <x:v>protocol_report</x:v>
      </x:c>
      <x:c r="D117" s="3" t="str">
        <x:f>IF(Setup!$B$6="primary",IF(AND(INDEX('C_jama.2025.7583'!$D$2:$D$4,MATCH("2025::jama.2025.7583::C001",'C_jama.2025.7583'!$A$2:$A$4,0))="retain",INDEX('C_jama.2025.7583'!$E$2:$E$4,MATCH("2025::jama.2025.7583::C001",'C_jama.2025.7583'!$A$2:$A$4,0))="statistical_results"),IF(INDEX('C_jama.2025.7583'!$H$2:$H$4,MATCH("2025::jama.2025.7583::C001",'C_jama.2025.7583'!$A$2:$A$4,0))="","",INDEX('C_jama.2025.7583'!$H$2:$H$4,MATCH("2025::jama.2025.7583::C001",'C_jama.2025.7583'!$A$2:$A$4,0))),"not_applicable"),"NOT FROZEN")</x:f>
        <x:v>not_applicable</x:v>
      </x:c>
      <x:c r="E117" s="3" t="str">
        <x:f>IF(Setup!$B$6="primary",IF(AND(INDEX('C_jama.2025.7583'!$D$2:$D$4,MATCH("2025::jama.2025.7583::C001",'C_jama.2025.7583'!$A$2:$A$4,0))="retain",INDEX('C_jama.2025.7583'!$E$2:$E$4,MATCH("2025::jama.2025.7583::C001",'C_jama.2025.7583'!$A$2:$A$4,0))="statistical_results"),IF(INDEX('C_jama.2025.7583'!$I$2:$I$4,MATCH("2025::jama.2025.7583::C001",'C_jama.2025.7583'!$A$2:$A$4,0))="","",INDEX('C_jama.2025.7583'!$I$2:$I$4,MATCH("2025::jama.2025.7583::C001",'C_jama.2025.7583'!$A$2:$A$4,0))),"not_applicable"),"NOT FROZEN")</x:f>
        <x:v>not_applicable</x:v>
      </x:c>
      <x:c r="F117" s="3" t="str">
        <x:f>IF(Setup!$B$6="primary",IF(AND(INDEX('C_jama.2025.7583'!$D$2:$D$4,MATCH("2025::jama.2025.7583::C001",'C_jama.2025.7583'!$A$2:$A$4,0))="retain",INDEX('C_jama.2025.7583'!$E$2:$E$4,MATCH("2025::jama.2025.7583::C001",'C_jama.2025.7583'!$A$2:$A$4,0))="statistical_results"),IF(INDEX('C_jama.2025.7583'!$J$2:$J$4,MATCH("2025::jama.2025.7583::C001",'C_jama.2025.7583'!$A$2:$A$4,0))="","",INDEX('C_jama.2025.7583'!$J$2:$J$4,MATCH("2025::jama.2025.7583::C001",'C_jama.2025.7583'!$A$2:$A$4,0))),"not_applicable"),"NOT FROZEN")</x:f>
        <x:v>not_applicable</x:v>
      </x:c>
      <x:c r="G117" s="3" t="str">
        <x:f>IF(Setup!$B$6="primary",IF(AND(INDEX('C_jama.2025.7583'!$D$2:$D$4,MATCH("2025::jama.2025.7583::C001",'C_jama.2025.7583'!$A$2:$A$4,0))="retain",OR(INDEX('C_jama.2025.7583'!$E$2:$E$4,MATCH("2025::jama.2025.7583::C001",'C_jama.2025.7583'!$A$2:$A$4,0))="report_internal_inconsistency",INDEX('C_jama.2025.7583'!$E$2:$E$4,MATCH("2025::jama.2025.7583::C001",'C_jama.2025.7583'!$A$2:$A$4,0))="plan_material")),IF(INDEX('C_jama.2025.7583'!$K$2:$K$4,MATCH("2025::jama.2025.7583::C001",'C_jama.2025.7583'!$A$2:$A$4,0))="","",INDEX('C_jama.2025.7583'!$K$2:$K$4,MATCH("2025::jama.2025.7583::C001",'C_jama.2025.7583'!$A$2:$A$4,0))),"not_applicable"),"NOT FROZEN")</x:f>
        <x:v>not_applicable</x:v>
      </x:c>
      <x:c r="H117" s="3" t="str">
        <x:f>IF(Setup!$B$6="primary",IF(AND(INDEX('C_jama.2025.7583'!$D$2:$D$4,MATCH("2025::jama.2025.7583::C001",'C_jama.2025.7583'!$A$2:$A$4,0))="retain",INDEX('C_jama.2025.7583'!$E$2:$E$4,MATCH("2025::jama.2025.7583::C001",'C_jama.2025.7583'!$A$2:$A$4,0))="protocol_report"),IF(INDEX('C_jama.2025.7583'!$L$2:$L$4,MATCH("2025::jama.2025.7583::C001",'C_jama.2025.7583'!$A$2:$A$4,0))="","",INDEX('C_jama.2025.7583'!$L$2:$L$4,MATCH("2025::jama.2025.7583::C001",'C_jama.2025.7583'!$A$2:$A$4,0))),"not_applicable"),"NOT FROZEN")</x:f>
        <x:v>not_applicable</x:v>
      </x:c>
      <x:c r="I117" s="3" t="str">
        <x:f>IF(Setup!$B$6="primary",IF(INDEX('C_jama.2025.7583'!$R$2:$R$4,MATCH("2025::jama.2025.7583::C001",'C_jama.2025.7583'!$A$2:$A$4,0))="","",INDEX('C_jama.2025.7583'!$R$2:$R$4,MATCH("2025::jama.2025.7583::C001",'C_jama.2025.7583'!$A$2:$A$4,0))),"NOT FROZEN")</x:f>
      </x:c>
      <x:c r="J117" s="3" t="str">
        <x:f>IF(Setup!$B$6="primary",INDEX('C_jama.2025.7583'!$F$2:$F$4,MATCH("2025::jama.2025.7583::C001",'C_jama.2025.7583'!$A$2:$A$4,0)),"NOT FROZEN")</x:f>
        <x:v>no</x:v>
      </x:c>
      <x:c r="K117" s="3" t="str">
        <x:f>IF(Setup!$B$6="primary",Setup!$B$2,"NOT FROZEN")</x:f>
      </x:c>
      <x:c r="L117" s="3" t="str">
        <x:f>IF(Setup!$B$6="primary",IF(OR(B117="",B117="not_applicable"),"","Disposition: "&amp;B117&amp;CHAR(10))&amp;IF(OR(C117="",C117="not_applicable"),"","Review domain: "&amp;C117&amp;CHAR(10))&amp;IF(OR(D117="",D117="not_applicable"),"","Statistcal_or_numerical issue: "&amp;D117&amp;CHAR(10))&amp;IF(OR(E117="",E117="not_applicable"),"","Substantiveness: "&amp;E117&amp;CHAR(10))&amp;IF(OR(F117="",F117="not_applicable"),"","Downstream impact: "&amp;F117&amp;CHAR(10))&amp;IF(OR(G117="",G117="not_applicable"),"","Report-internal or planning-material inconsistency: "&amp;G117&amp;CHAR(10))&amp;IF(OR(H117="",H117="not_applicable"),"","Protocol interpretation: "&amp;H117&amp;CHAR(10))&amp;IF(OR(I117="",I117="not_applicable"),"","Notes (optional): "&amp;I117&amp;CHAR(10)),"NOT FROZEN")</x:f>
        <x:v>Review domain: protocol_report
</x:v>
      </x:c>
    </x:row>
    <x:row r="118" ht="70" customHeight="1">
      <x:c r="A118" s="6" t="str">
        <x:f>IF(Setup!$B$6="primary","2025::jama.2025.7583::C002","NOT FROZEN")</x:f>
        <x:v>2025::jama.2025.7583::C002</x:v>
      </x:c>
      <x:c r="B118" s="6" t="str">
        <x:f>IF(Setup!$B$6="primary",IF(INDEX('C_jama.2025.7583'!$D$2:$D$4,MATCH("2025::jama.2025.7583::C002",'C_jama.2025.7583'!$A$2:$A$4,0))="","",INDEX('C_jama.2025.7583'!$D$2:$D$4,MATCH("2025::jama.2025.7583::C002",'C_jama.2025.7583'!$A$2:$A$4,0))),"NOT FROZEN")</x:f>
      </x:c>
      <x:c r="C118" s="6" t="str">
        <x:f>IF(Setup!$B$6="primary",IF(INDEX('C_jama.2025.7583'!$E$2:$E$4,MATCH("2025::jama.2025.7583::C002",'C_jama.2025.7583'!$A$2:$A$4,0))="","",INDEX('C_jama.2025.7583'!$E$2:$E$4,MATCH("2025::jama.2025.7583::C002",'C_jama.2025.7583'!$A$2:$A$4,0))),"NOT FROZEN")</x:f>
        <x:v>plan_material</x:v>
      </x:c>
      <x:c r="D118" s="6" t="str">
        <x:f>IF(Setup!$B$6="primary",IF(AND(INDEX('C_jama.2025.7583'!$D$2:$D$4,MATCH("2025::jama.2025.7583::C002",'C_jama.2025.7583'!$A$2:$A$4,0))="retain",INDEX('C_jama.2025.7583'!$E$2:$E$4,MATCH("2025::jama.2025.7583::C002",'C_jama.2025.7583'!$A$2:$A$4,0))="statistical_results"),IF(INDEX('C_jama.2025.7583'!$H$2:$H$4,MATCH("2025::jama.2025.7583::C002",'C_jama.2025.7583'!$A$2:$A$4,0))="","",INDEX('C_jama.2025.7583'!$H$2:$H$4,MATCH("2025::jama.2025.7583::C002",'C_jama.2025.7583'!$A$2:$A$4,0))),"not_applicable"),"NOT FROZEN")</x:f>
        <x:v>not_applicable</x:v>
      </x:c>
      <x:c r="E118" s="6" t="str">
        <x:f>IF(Setup!$B$6="primary",IF(AND(INDEX('C_jama.2025.7583'!$D$2:$D$4,MATCH("2025::jama.2025.7583::C002",'C_jama.2025.7583'!$A$2:$A$4,0))="retain",INDEX('C_jama.2025.7583'!$E$2:$E$4,MATCH("2025::jama.2025.7583::C002",'C_jama.2025.7583'!$A$2:$A$4,0))="statistical_results"),IF(INDEX('C_jama.2025.7583'!$I$2:$I$4,MATCH("2025::jama.2025.7583::C002",'C_jama.2025.7583'!$A$2:$A$4,0))="","",INDEX('C_jama.2025.7583'!$I$2:$I$4,MATCH("2025::jama.2025.7583::C002",'C_jama.2025.7583'!$A$2:$A$4,0))),"not_applicable"),"NOT FROZEN")</x:f>
        <x:v>not_applicable</x:v>
      </x:c>
      <x:c r="F118" s="6" t="str">
        <x:f>IF(Setup!$B$6="primary",IF(AND(INDEX('C_jama.2025.7583'!$D$2:$D$4,MATCH("2025::jama.2025.7583::C002",'C_jama.2025.7583'!$A$2:$A$4,0))="retain",INDEX('C_jama.2025.7583'!$E$2:$E$4,MATCH("2025::jama.2025.7583::C002",'C_jama.2025.7583'!$A$2:$A$4,0))="statistical_results"),IF(INDEX('C_jama.2025.7583'!$J$2:$J$4,MATCH("2025::jama.2025.7583::C002",'C_jama.2025.7583'!$A$2:$A$4,0))="","",INDEX('C_jama.2025.7583'!$J$2:$J$4,MATCH("2025::jama.2025.7583::C002",'C_jama.2025.7583'!$A$2:$A$4,0))),"not_applicable"),"NOT FROZEN")</x:f>
        <x:v>not_applicable</x:v>
      </x:c>
      <x:c r="G118" s="6" t="str">
        <x:f>IF(Setup!$B$6="primary",IF(AND(INDEX('C_jama.2025.7583'!$D$2:$D$4,MATCH("2025::jama.2025.7583::C002",'C_jama.2025.7583'!$A$2:$A$4,0))="retain",OR(INDEX('C_jama.2025.7583'!$E$2:$E$4,MATCH("2025::jama.2025.7583::C002",'C_jama.2025.7583'!$A$2:$A$4,0))="report_internal_inconsistency",INDEX('C_jama.2025.7583'!$E$2:$E$4,MATCH("2025::jama.2025.7583::C002",'C_jama.2025.7583'!$A$2:$A$4,0))="plan_material")),IF(INDEX('C_jama.2025.7583'!$K$2:$K$4,MATCH("2025::jama.2025.7583::C002",'C_jama.2025.7583'!$A$2:$A$4,0))="","",INDEX('C_jama.2025.7583'!$K$2:$K$4,MATCH("2025::jama.2025.7583::C002",'C_jama.2025.7583'!$A$2:$A$4,0))),"not_applicable"),"NOT FROZEN")</x:f>
        <x:v>not_applicable</x:v>
      </x:c>
      <x:c r="H118" s="6" t="str">
        <x:f>IF(Setup!$B$6="primary",IF(AND(INDEX('C_jama.2025.7583'!$D$2:$D$4,MATCH("2025::jama.2025.7583::C002",'C_jama.2025.7583'!$A$2:$A$4,0))="retain",INDEX('C_jama.2025.7583'!$E$2:$E$4,MATCH("2025::jama.2025.7583::C002",'C_jama.2025.7583'!$A$2:$A$4,0))="protocol_report"),IF(INDEX('C_jama.2025.7583'!$L$2:$L$4,MATCH("2025::jama.2025.7583::C002",'C_jama.2025.7583'!$A$2:$A$4,0))="","",INDEX('C_jama.2025.7583'!$L$2:$L$4,MATCH("2025::jama.2025.7583::C002",'C_jama.2025.7583'!$A$2:$A$4,0))),"not_applicable"),"NOT FROZEN")</x:f>
        <x:v>not_applicable</x:v>
      </x:c>
      <x:c r="I118" s="6" t="str">
        <x:f>IF(Setup!$B$6="primary",IF(INDEX('C_jama.2025.7583'!$R$2:$R$4,MATCH("2025::jama.2025.7583::C002",'C_jama.2025.7583'!$A$2:$A$4,0))="","",INDEX('C_jama.2025.7583'!$R$2:$R$4,MATCH("2025::jama.2025.7583::C002",'C_jama.2025.7583'!$A$2:$A$4,0))),"NOT FROZEN")</x:f>
      </x:c>
      <x:c r="J118" s="6" t="str">
        <x:f>IF(Setup!$B$6="primary",INDEX('C_jama.2025.7583'!$F$2:$F$4,MATCH("2025::jama.2025.7583::C002",'C_jama.2025.7583'!$A$2:$A$4,0)),"NOT FROZEN")</x:f>
        <x:v>no</x:v>
      </x:c>
      <x:c r="K118" s="6" t="str">
        <x:f>IF(Setup!$B$6="primary",Setup!$B$2,"NOT FROZEN")</x:f>
      </x:c>
      <x:c r="L118" s="6" t="str">
        <x:f>IF(Setup!$B$6="primary",IF(OR(B118="",B118="not_applicable"),"","Disposition: "&amp;B118&amp;CHAR(10))&amp;IF(OR(C118="",C118="not_applicable"),"","Review domain: "&amp;C118&amp;CHAR(10))&amp;IF(OR(D118="",D118="not_applicable"),"","Statistcal_or_numerical issue: "&amp;D118&amp;CHAR(10))&amp;IF(OR(E118="",E118="not_applicable"),"","Substantiveness: "&amp;E118&amp;CHAR(10))&amp;IF(OR(F118="",F118="not_applicable"),"","Downstream impact: "&amp;F118&amp;CHAR(10))&amp;IF(OR(G118="",G118="not_applicable"),"","Report-internal or planning-material inconsistency: "&amp;G118&amp;CHAR(10))&amp;IF(OR(H118="",H118="not_applicable"),"","Protocol interpretation: "&amp;H118&amp;CHAR(10))&amp;IF(OR(I118="",I118="not_applicable"),"","Notes (optional): "&amp;I118&amp;CHAR(10)),"NOT FROZEN")</x:f>
        <x:v>Review domain: plan_material
</x:v>
      </x:c>
    </x:row>
    <x:row r="119" ht="70" customHeight="1">
      <x:c r="A119" s="3" t="str">
        <x:f>IF(Setup!$B$6="primary","2025::jama.2025.7583::C003","NOT FROZEN")</x:f>
        <x:v>2025::jama.2025.7583::C003</x:v>
      </x:c>
      <x:c r="B119" s="3" t="str">
        <x:f>IF(Setup!$B$6="primary",IF(INDEX('C_jama.2025.7583'!$D$2:$D$4,MATCH("2025::jama.2025.7583::C003",'C_jama.2025.7583'!$A$2:$A$4,0))="","",INDEX('C_jama.2025.7583'!$D$2:$D$4,MATCH("2025::jama.2025.7583::C003",'C_jama.2025.7583'!$A$2:$A$4,0))),"NOT FROZEN")</x:f>
      </x:c>
      <x:c r="C119" s="3" t="str">
        <x:f>IF(Setup!$B$6="primary",IF(INDEX('C_jama.2025.7583'!$E$2:$E$4,MATCH("2025::jama.2025.7583::C003",'C_jama.2025.7583'!$A$2:$A$4,0))="","",INDEX('C_jama.2025.7583'!$E$2:$E$4,MATCH("2025::jama.2025.7583::C003",'C_jama.2025.7583'!$A$2:$A$4,0))),"NOT FROZEN")</x:f>
        <x:v>statistical_results</x:v>
      </x:c>
      <x:c r="D119" s="3" t="str">
        <x:f>IF(Setup!$B$6="primary",IF(AND(INDEX('C_jama.2025.7583'!$D$2:$D$4,MATCH("2025::jama.2025.7583::C003",'C_jama.2025.7583'!$A$2:$A$4,0))="retain",INDEX('C_jama.2025.7583'!$E$2:$E$4,MATCH("2025::jama.2025.7583::C003",'C_jama.2025.7583'!$A$2:$A$4,0))="statistical_results"),IF(INDEX('C_jama.2025.7583'!$H$2:$H$4,MATCH("2025::jama.2025.7583::C003",'C_jama.2025.7583'!$A$2:$A$4,0))="","",INDEX('C_jama.2025.7583'!$H$2:$H$4,MATCH("2025::jama.2025.7583::C003",'C_jama.2025.7583'!$A$2:$A$4,0))),"not_applicable"),"NOT FROZEN")</x:f>
        <x:v>not_applicable</x:v>
      </x:c>
      <x:c r="E119" s="3" t="str">
        <x:f>IF(Setup!$B$6="primary",IF(AND(INDEX('C_jama.2025.7583'!$D$2:$D$4,MATCH("2025::jama.2025.7583::C003",'C_jama.2025.7583'!$A$2:$A$4,0))="retain",INDEX('C_jama.2025.7583'!$E$2:$E$4,MATCH("2025::jama.2025.7583::C003",'C_jama.2025.7583'!$A$2:$A$4,0))="statistical_results"),IF(INDEX('C_jama.2025.7583'!$I$2:$I$4,MATCH("2025::jama.2025.7583::C003",'C_jama.2025.7583'!$A$2:$A$4,0))="","",INDEX('C_jama.2025.7583'!$I$2:$I$4,MATCH("2025::jama.2025.7583::C003",'C_jama.2025.7583'!$A$2:$A$4,0))),"not_applicable"),"NOT FROZEN")</x:f>
        <x:v>not_applicable</x:v>
      </x:c>
      <x:c r="F119" s="3" t="str">
        <x:f>IF(Setup!$B$6="primary",IF(AND(INDEX('C_jama.2025.7583'!$D$2:$D$4,MATCH("2025::jama.2025.7583::C003",'C_jama.2025.7583'!$A$2:$A$4,0))="retain",INDEX('C_jama.2025.7583'!$E$2:$E$4,MATCH("2025::jama.2025.7583::C003",'C_jama.2025.7583'!$A$2:$A$4,0))="statistical_results"),IF(INDEX('C_jama.2025.7583'!$J$2:$J$4,MATCH("2025::jama.2025.7583::C003",'C_jama.2025.7583'!$A$2:$A$4,0))="","",INDEX('C_jama.2025.7583'!$J$2:$J$4,MATCH("2025::jama.2025.7583::C003",'C_jama.2025.7583'!$A$2:$A$4,0))),"not_applicable"),"NOT FROZEN")</x:f>
        <x:v>not_applicable</x:v>
      </x:c>
      <x:c r="G119" s="3" t="str">
        <x:f>IF(Setup!$B$6="primary",IF(AND(INDEX('C_jama.2025.7583'!$D$2:$D$4,MATCH("2025::jama.2025.7583::C003",'C_jama.2025.7583'!$A$2:$A$4,0))="retain",OR(INDEX('C_jama.2025.7583'!$E$2:$E$4,MATCH("2025::jama.2025.7583::C003",'C_jama.2025.7583'!$A$2:$A$4,0))="report_internal_inconsistency",INDEX('C_jama.2025.7583'!$E$2:$E$4,MATCH("2025::jama.2025.7583::C003",'C_jama.2025.7583'!$A$2:$A$4,0))="plan_material")),IF(INDEX('C_jama.2025.7583'!$K$2:$K$4,MATCH("2025::jama.2025.7583::C003",'C_jama.2025.7583'!$A$2:$A$4,0))="","",INDEX('C_jama.2025.7583'!$K$2:$K$4,MATCH("2025::jama.2025.7583::C003",'C_jama.2025.7583'!$A$2:$A$4,0))),"not_applicable"),"NOT FROZEN")</x:f>
        <x:v>not_applicable</x:v>
      </x:c>
      <x:c r="H119" s="3" t="str">
        <x:f>IF(Setup!$B$6="primary",IF(AND(INDEX('C_jama.2025.7583'!$D$2:$D$4,MATCH("2025::jama.2025.7583::C003",'C_jama.2025.7583'!$A$2:$A$4,0))="retain",INDEX('C_jama.2025.7583'!$E$2:$E$4,MATCH("2025::jama.2025.7583::C003",'C_jama.2025.7583'!$A$2:$A$4,0))="protocol_report"),IF(INDEX('C_jama.2025.7583'!$L$2:$L$4,MATCH("2025::jama.2025.7583::C003",'C_jama.2025.7583'!$A$2:$A$4,0))="","",INDEX('C_jama.2025.7583'!$L$2:$L$4,MATCH("2025::jama.2025.7583::C003",'C_jama.2025.7583'!$A$2:$A$4,0))),"not_applicable"),"NOT FROZEN")</x:f>
        <x:v>not_applicable</x:v>
      </x:c>
      <x:c r="I119" s="3" t="str">
        <x:f>IF(Setup!$B$6="primary",IF(INDEX('C_jama.2025.7583'!$R$2:$R$4,MATCH("2025::jama.2025.7583::C003",'C_jama.2025.7583'!$A$2:$A$4,0))="","",INDEX('C_jama.2025.7583'!$R$2:$R$4,MATCH("2025::jama.2025.7583::C003",'C_jama.2025.7583'!$A$2:$A$4,0))),"NOT FROZEN")</x:f>
      </x:c>
      <x:c r="J119" s="3" t="str">
        <x:f>IF(Setup!$B$6="primary",INDEX('C_jama.2025.7583'!$F$2:$F$4,MATCH("2025::jama.2025.7583::C003",'C_jama.2025.7583'!$A$2:$A$4,0)),"NOT FROZEN")</x:f>
        <x:v>no</x:v>
      </x:c>
      <x:c r="K119" s="3" t="str">
        <x:f>IF(Setup!$B$6="primary",Setup!$B$2,"NOT FROZEN")</x:f>
      </x:c>
      <x:c r="L119" s="3" t="str">
        <x:f>IF(Setup!$B$6="primary",IF(OR(B119="",B119="not_applicable"),"","Disposition: "&amp;B119&amp;CHAR(10))&amp;IF(OR(C119="",C119="not_applicable"),"","Review domain: "&amp;C119&amp;CHAR(10))&amp;IF(OR(D119="",D119="not_applicable"),"","Statistcal_or_numerical issue: "&amp;D119&amp;CHAR(10))&amp;IF(OR(E119="",E119="not_applicable"),"","Substantiveness: "&amp;E119&amp;CHAR(10))&amp;IF(OR(F119="",F119="not_applicable"),"","Downstream impact: "&amp;F119&amp;CHAR(10))&amp;IF(OR(G119="",G119="not_applicable"),"","Report-internal or planning-material inconsistency: "&amp;G119&amp;CHAR(10))&amp;IF(OR(H119="",H119="not_applicable"),"","Protocol interpretation: "&amp;H119&amp;CHAR(10))&amp;IF(OR(I119="",I119="not_applicable"),"","Notes (optional): "&amp;I119&amp;CHAR(10)),"NOT FROZEN")</x:f>
        <x:v>Review domain: statistical_results
</x:v>
      </x:c>
    </x:row>
    <x:row r="120" ht="70" customHeight="1">
      <x:c r="A120" s="6" t="str">
        <x:f>IF(Setup!$B$6="primary","2025::jama.2025.7710::C001","NOT FROZEN")</x:f>
        <x:v>2025::jama.2025.7710::C001</x:v>
      </x:c>
      <x:c r="B120" s="6" t="str">
        <x:f>IF(Setup!$B$6="primary",IF(INDEX('C_jama.2025.7710'!$D$2:$D$5,MATCH("2025::jama.2025.7710::C001",'C_jama.2025.7710'!$A$2:$A$5,0))="","",INDEX('C_jama.2025.7710'!$D$2:$D$5,MATCH("2025::jama.2025.7710::C001",'C_jama.2025.7710'!$A$2:$A$5,0))),"NOT FROZEN")</x:f>
      </x:c>
      <x:c r="C120" s="6" t="str">
        <x:f>IF(Setup!$B$6="primary",IF(INDEX('C_jama.2025.7710'!$E$2:$E$5,MATCH("2025::jama.2025.7710::C001",'C_jama.2025.7710'!$A$2:$A$5,0))="","",INDEX('C_jama.2025.7710'!$E$2:$E$5,MATCH("2025::jama.2025.7710::C001",'C_jama.2025.7710'!$A$2:$A$5,0))),"NOT FROZEN")</x:f>
        <x:v>plan_material</x:v>
      </x:c>
      <x:c r="D120" s="6" t="str">
        <x:f>IF(Setup!$B$6="primary",IF(AND(INDEX('C_jama.2025.7710'!$D$2:$D$5,MATCH("2025::jama.2025.7710::C001",'C_jama.2025.7710'!$A$2:$A$5,0))="retain",INDEX('C_jama.2025.7710'!$E$2:$E$5,MATCH("2025::jama.2025.7710::C001",'C_jama.2025.7710'!$A$2:$A$5,0))="statistical_results"),IF(INDEX('C_jama.2025.7710'!$H$2:$H$5,MATCH("2025::jama.2025.7710::C001",'C_jama.2025.7710'!$A$2:$A$5,0))="","",INDEX('C_jama.2025.7710'!$H$2:$H$5,MATCH("2025::jama.2025.7710::C001",'C_jama.2025.7710'!$A$2:$A$5,0))),"not_applicable"),"NOT FROZEN")</x:f>
        <x:v>not_applicable</x:v>
      </x:c>
      <x:c r="E120" s="6" t="str">
        <x:f>IF(Setup!$B$6="primary",IF(AND(INDEX('C_jama.2025.7710'!$D$2:$D$5,MATCH("2025::jama.2025.7710::C001",'C_jama.2025.7710'!$A$2:$A$5,0))="retain",INDEX('C_jama.2025.7710'!$E$2:$E$5,MATCH("2025::jama.2025.7710::C001",'C_jama.2025.7710'!$A$2:$A$5,0))="statistical_results"),IF(INDEX('C_jama.2025.7710'!$I$2:$I$5,MATCH("2025::jama.2025.7710::C001",'C_jama.2025.7710'!$A$2:$A$5,0))="","",INDEX('C_jama.2025.7710'!$I$2:$I$5,MATCH("2025::jama.2025.7710::C001",'C_jama.2025.7710'!$A$2:$A$5,0))),"not_applicable"),"NOT FROZEN")</x:f>
        <x:v>not_applicable</x:v>
      </x:c>
      <x:c r="F120" s="6" t="str">
        <x:f>IF(Setup!$B$6="primary",IF(AND(INDEX('C_jama.2025.7710'!$D$2:$D$5,MATCH("2025::jama.2025.7710::C001",'C_jama.2025.7710'!$A$2:$A$5,0))="retain",INDEX('C_jama.2025.7710'!$E$2:$E$5,MATCH("2025::jama.2025.7710::C001",'C_jama.2025.7710'!$A$2:$A$5,0))="statistical_results"),IF(INDEX('C_jama.2025.7710'!$J$2:$J$5,MATCH("2025::jama.2025.7710::C001",'C_jama.2025.7710'!$A$2:$A$5,0))="","",INDEX('C_jama.2025.7710'!$J$2:$J$5,MATCH("2025::jama.2025.7710::C001",'C_jama.2025.7710'!$A$2:$A$5,0))),"not_applicable"),"NOT FROZEN")</x:f>
        <x:v>not_applicable</x:v>
      </x:c>
      <x:c r="G120" s="6" t="str">
        <x:f>IF(Setup!$B$6="primary",IF(AND(INDEX('C_jama.2025.7710'!$D$2:$D$5,MATCH("2025::jama.2025.7710::C001",'C_jama.2025.7710'!$A$2:$A$5,0))="retain",OR(INDEX('C_jama.2025.7710'!$E$2:$E$5,MATCH("2025::jama.2025.7710::C001",'C_jama.2025.7710'!$A$2:$A$5,0))="report_internal_inconsistency",INDEX('C_jama.2025.7710'!$E$2:$E$5,MATCH("2025::jama.2025.7710::C001",'C_jama.2025.7710'!$A$2:$A$5,0))="plan_material")),IF(INDEX('C_jama.2025.7710'!$K$2:$K$5,MATCH("2025::jama.2025.7710::C001",'C_jama.2025.7710'!$A$2:$A$5,0))="","",INDEX('C_jama.2025.7710'!$K$2:$K$5,MATCH("2025::jama.2025.7710::C001",'C_jama.2025.7710'!$A$2:$A$5,0))),"not_applicable"),"NOT FROZEN")</x:f>
        <x:v>not_applicable</x:v>
      </x:c>
      <x:c r="H120" s="6" t="str">
        <x:f>IF(Setup!$B$6="primary",IF(AND(INDEX('C_jama.2025.7710'!$D$2:$D$5,MATCH("2025::jama.2025.7710::C001",'C_jama.2025.7710'!$A$2:$A$5,0))="retain",INDEX('C_jama.2025.7710'!$E$2:$E$5,MATCH("2025::jama.2025.7710::C001",'C_jama.2025.7710'!$A$2:$A$5,0))="protocol_report"),IF(INDEX('C_jama.2025.7710'!$L$2:$L$5,MATCH("2025::jama.2025.7710::C001",'C_jama.2025.7710'!$A$2:$A$5,0))="","",INDEX('C_jama.2025.7710'!$L$2:$L$5,MATCH("2025::jama.2025.7710::C001",'C_jama.2025.7710'!$A$2:$A$5,0))),"not_applicable"),"NOT FROZEN")</x:f>
        <x:v>not_applicable</x:v>
      </x:c>
      <x:c r="I120" s="6" t="str">
        <x:f>IF(Setup!$B$6="primary",IF(INDEX('C_jama.2025.7710'!$R$2:$R$5,MATCH("2025::jama.2025.7710::C001",'C_jama.2025.7710'!$A$2:$A$5,0))="","",INDEX('C_jama.2025.7710'!$R$2:$R$5,MATCH("2025::jama.2025.7710::C001",'C_jama.2025.7710'!$A$2:$A$5,0))),"NOT FROZEN")</x:f>
      </x:c>
      <x:c r="J120" s="6" t="str">
        <x:f>IF(Setup!$B$6="primary",INDEX('C_jama.2025.7710'!$F$2:$F$5,MATCH("2025::jama.2025.7710::C001",'C_jama.2025.7710'!$A$2:$A$5,0)),"NOT FROZEN")</x:f>
        <x:v>no</x:v>
      </x:c>
      <x:c r="K120" s="6" t="str">
        <x:f>IF(Setup!$B$6="primary",Setup!$B$2,"NOT FROZEN")</x:f>
      </x:c>
      <x:c r="L120" s="6" t="str">
        <x:f>IF(Setup!$B$6="primary",IF(OR(B120="",B120="not_applicable"),"","Disposition: "&amp;B120&amp;CHAR(10))&amp;IF(OR(C120="",C120="not_applicable"),"","Review domain: "&amp;C120&amp;CHAR(10))&amp;IF(OR(D120="",D120="not_applicable"),"","Statistcal_or_numerical issue: "&amp;D120&amp;CHAR(10))&amp;IF(OR(E120="",E120="not_applicable"),"","Substantiveness: "&amp;E120&amp;CHAR(10))&amp;IF(OR(F120="",F120="not_applicable"),"","Downstream impact: "&amp;F120&amp;CHAR(10))&amp;IF(OR(G120="",G120="not_applicable"),"","Report-internal or planning-material inconsistency: "&amp;G120&amp;CHAR(10))&amp;IF(OR(H120="",H120="not_applicable"),"","Protocol interpretation: "&amp;H120&amp;CHAR(10))&amp;IF(OR(I120="",I120="not_applicable"),"","Notes (optional): "&amp;I120&amp;CHAR(10)),"NOT FROZEN")</x:f>
        <x:v>Review domain: plan_material
</x:v>
      </x:c>
    </x:row>
    <x:row r="121" ht="70" customHeight="1">
      <x:c r="A121" s="3" t="str">
        <x:f>IF(Setup!$B$6="primary","2025::jama.2025.7710::C002","NOT FROZEN")</x:f>
        <x:v>2025::jama.2025.7710::C002</x:v>
      </x:c>
      <x:c r="B121" s="3" t="str">
        <x:f>IF(Setup!$B$6="primary",IF(INDEX('C_jama.2025.7710'!$D$2:$D$5,MATCH("2025::jama.2025.7710::C002",'C_jama.2025.7710'!$A$2:$A$5,0))="","",INDEX('C_jama.2025.7710'!$D$2:$D$5,MATCH("2025::jama.2025.7710::C002",'C_jama.2025.7710'!$A$2:$A$5,0))),"NOT FROZEN")</x:f>
      </x:c>
      <x:c r="C121" s="3" t="str">
        <x:f>IF(Setup!$B$6="primary",IF(INDEX('C_jama.2025.7710'!$E$2:$E$5,MATCH("2025::jama.2025.7710::C002",'C_jama.2025.7710'!$A$2:$A$5,0))="","",INDEX('C_jama.2025.7710'!$E$2:$E$5,MATCH("2025::jama.2025.7710::C002",'C_jama.2025.7710'!$A$2:$A$5,0))),"NOT FROZEN")</x:f>
        <x:v>plan_material</x:v>
      </x:c>
      <x:c r="D121" s="3" t="str">
        <x:f>IF(Setup!$B$6="primary",IF(AND(INDEX('C_jama.2025.7710'!$D$2:$D$5,MATCH("2025::jama.2025.7710::C002",'C_jama.2025.7710'!$A$2:$A$5,0))="retain",INDEX('C_jama.2025.7710'!$E$2:$E$5,MATCH("2025::jama.2025.7710::C002",'C_jama.2025.7710'!$A$2:$A$5,0))="statistical_results"),IF(INDEX('C_jama.2025.7710'!$H$2:$H$5,MATCH("2025::jama.2025.7710::C002",'C_jama.2025.7710'!$A$2:$A$5,0))="","",INDEX('C_jama.2025.7710'!$H$2:$H$5,MATCH("2025::jama.2025.7710::C002",'C_jama.2025.7710'!$A$2:$A$5,0))),"not_applicable"),"NOT FROZEN")</x:f>
        <x:v>not_applicable</x:v>
      </x:c>
      <x:c r="E121" s="3" t="str">
        <x:f>IF(Setup!$B$6="primary",IF(AND(INDEX('C_jama.2025.7710'!$D$2:$D$5,MATCH("2025::jama.2025.7710::C002",'C_jama.2025.7710'!$A$2:$A$5,0))="retain",INDEX('C_jama.2025.7710'!$E$2:$E$5,MATCH("2025::jama.2025.7710::C002",'C_jama.2025.7710'!$A$2:$A$5,0))="statistical_results"),IF(INDEX('C_jama.2025.7710'!$I$2:$I$5,MATCH("2025::jama.2025.7710::C002",'C_jama.2025.7710'!$A$2:$A$5,0))="","",INDEX('C_jama.2025.7710'!$I$2:$I$5,MATCH("2025::jama.2025.7710::C002",'C_jama.2025.7710'!$A$2:$A$5,0))),"not_applicable"),"NOT FROZEN")</x:f>
        <x:v>not_applicable</x:v>
      </x:c>
      <x:c r="F121" s="3" t="str">
        <x:f>IF(Setup!$B$6="primary",IF(AND(INDEX('C_jama.2025.7710'!$D$2:$D$5,MATCH("2025::jama.2025.7710::C002",'C_jama.2025.7710'!$A$2:$A$5,0))="retain",INDEX('C_jama.2025.7710'!$E$2:$E$5,MATCH("2025::jama.2025.7710::C002",'C_jama.2025.7710'!$A$2:$A$5,0))="statistical_results"),IF(INDEX('C_jama.2025.7710'!$J$2:$J$5,MATCH("2025::jama.2025.7710::C002",'C_jama.2025.7710'!$A$2:$A$5,0))="","",INDEX('C_jama.2025.7710'!$J$2:$J$5,MATCH("2025::jama.2025.7710::C002",'C_jama.2025.7710'!$A$2:$A$5,0))),"not_applicable"),"NOT FROZEN")</x:f>
        <x:v>not_applicable</x:v>
      </x:c>
      <x:c r="G121" s="3" t="str">
        <x:f>IF(Setup!$B$6="primary",IF(AND(INDEX('C_jama.2025.7710'!$D$2:$D$5,MATCH("2025::jama.2025.7710::C002",'C_jama.2025.7710'!$A$2:$A$5,0))="retain",OR(INDEX('C_jama.2025.7710'!$E$2:$E$5,MATCH("2025::jama.2025.7710::C002",'C_jama.2025.7710'!$A$2:$A$5,0))="report_internal_inconsistency",INDEX('C_jama.2025.7710'!$E$2:$E$5,MATCH("2025::jama.2025.7710::C002",'C_jama.2025.7710'!$A$2:$A$5,0))="plan_material")),IF(INDEX('C_jama.2025.7710'!$K$2:$K$5,MATCH("2025::jama.2025.7710::C002",'C_jama.2025.7710'!$A$2:$A$5,0))="","",INDEX('C_jama.2025.7710'!$K$2:$K$5,MATCH("2025::jama.2025.7710::C002",'C_jama.2025.7710'!$A$2:$A$5,0))),"not_applicable"),"NOT FROZEN")</x:f>
        <x:v>not_applicable</x:v>
      </x:c>
      <x:c r="H121" s="3" t="str">
        <x:f>IF(Setup!$B$6="primary",IF(AND(INDEX('C_jama.2025.7710'!$D$2:$D$5,MATCH("2025::jama.2025.7710::C002",'C_jama.2025.7710'!$A$2:$A$5,0))="retain",INDEX('C_jama.2025.7710'!$E$2:$E$5,MATCH("2025::jama.2025.7710::C002",'C_jama.2025.7710'!$A$2:$A$5,0))="protocol_report"),IF(INDEX('C_jama.2025.7710'!$L$2:$L$5,MATCH("2025::jama.2025.7710::C002",'C_jama.2025.7710'!$A$2:$A$5,0))="","",INDEX('C_jama.2025.7710'!$L$2:$L$5,MATCH("2025::jama.2025.7710::C002",'C_jama.2025.7710'!$A$2:$A$5,0))),"not_applicable"),"NOT FROZEN")</x:f>
        <x:v>not_applicable</x:v>
      </x:c>
      <x:c r="I121" s="3" t="str">
        <x:f>IF(Setup!$B$6="primary",IF(INDEX('C_jama.2025.7710'!$R$2:$R$5,MATCH("2025::jama.2025.7710::C002",'C_jama.2025.7710'!$A$2:$A$5,0))="","",INDEX('C_jama.2025.7710'!$R$2:$R$5,MATCH("2025::jama.2025.7710::C002",'C_jama.2025.7710'!$A$2:$A$5,0))),"NOT FROZEN")</x:f>
      </x:c>
      <x:c r="J121" s="3" t="str">
        <x:f>IF(Setup!$B$6="primary",INDEX('C_jama.2025.7710'!$F$2:$F$5,MATCH("2025::jama.2025.7710::C002",'C_jama.2025.7710'!$A$2:$A$5,0)),"NOT FROZEN")</x:f>
        <x:v>no</x:v>
      </x:c>
      <x:c r="K121" s="3" t="str">
        <x:f>IF(Setup!$B$6="primary",Setup!$B$2,"NOT FROZEN")</x:f>
      </x:c>
      <x:c r="L121" s="3" t="str">
        <x:f>IF(Setup!$B$6="primary",IF(OR(B121="",B121="not_applicable"),"","Disposition: "&amp;B121&amp;CHAR(10))&amp;IF(OR(C121="",C121="not_applicable"),"","Review domain: "&amp;C121&amp;CHAR(10))&amp;IF(OR(D121="",D121="not_applicable"),"","Statistcal_or_numerical issue: "&amp;D121&amp;CHAR(10))&amp;IF(OR(E121="",E121="not_applicable"),"","Substantiveness: "&amp;E121&amp;CHAR(10))&amp;IF(OR(F121="",F121="not_applicable"),"","Downstream impact: "&amp;F121&amp;CHAR(10))&amp;IF(OR(G121="",G121="not_applicable"),"","Report-internal or planning-material inconsistency: "&amp;G121&amp;CHAR(10))&amp;IF(OR(H121="",H121="not_applicable"),"","Protocol interpretation: "&amp;H121&amp;CHAR(10))&amp;IF(OR(I121="",I121="not_applicable"),"","Notes (optional): "&amp;I121&amp;CHAR(10)),"NOT FROZEN")</x:f>
        <x:v>Review domain: plan_material
</x:v>
      </x:c>
    </x:row>
    <x:row r="122" ht="70" customHeight="1">
      <x:c r="A122" s="6" t="str">
        <x:f>IF(Setup!$B$6="primary","2025::jama.2025.7710::C003","NOT FROZEN")</x:f>
        <x:v>2025::jama.2025.7710::C003</x:v>
      </x:c>
      <x:c r="B122" s="6" t="str">
        <x:f>IF(Setup!$B$6="primary",IF(INDEX('C_jama.2025.7710'!$D$2:$D$5,MATCH("2025::jama.2025.7710::C003",'C_jama.2025.7710'!$A$2:$A$5,0))="","",INDEX('C_jama.2025.7710'!$D$2:$D$5,MATCH("2025::jama.2025.7710::C003",'C_jama.2025.7710'!$A$2:$A$5,0))),"NOT FROZEN")</x:f>
      </x:c>
      <x:c r="C122" s="6" t="str">
        <x:f>IF(Setup!$B$6="primary",IF(INDEX('C_jama.2025.7710'!$E$2:$E$5,MATCH("2025::jama.2025.7710::C003",'C_jama.2025.7710'!$A$2:$A$5,0))="","",INDEX('C_jama.2025.7710'!$E$2:$E$5,MATCH("2025::jama.2025.7710::C003",'C_jama.2025.7710'!$A$2:$A$5,0))),"NOT FROZEN")</x:f>
        <x:v>plan_material</x:v>
      </x:c>
      <x:c r="D122" s="6" t="str">
        <x:f>IF(Setup!$B$6="primary",IF(AND(INDEX('C_jama.2025.7710'!$D$2:$D$5,MATCH("2025::jama.2025.7710::C003",'C_jama.2025.7710'!$A$2:$A$5,0))="retain",INDEX('C_jama.2025.7710'!$E$2:$E$5,MATCH("2025::jama.2025.7710::C003",'C_jama.2025.7710'!$A$2:$A$5,0))="statistical_results"),IF(INDEX('C_jama.2025.7710'!$H$2:$H$5,MATCH("2025::jama.2025.7710::C003",'C_jama.2025.7710'!$A$2:$A$5,0))="","",INDEX('C_jama.2025.7710'!$H$2:$H$5,MATCH("2025::jama.2025.7710::C003",'C_jama.2025.7710'!$A$2:$A$5,0))),"not_applicable"),"NOT FROZEN")</x:f>
        <x:v>not_applicable</x:v>
      </x:c>
      <x:c r="E122" s="6" t="str">
        <x:f>IF(Setup!$B$6="primary",IF(AND(INDEX('C_jama.2025.7710'!$D$2:$D$5,MATCH("2025::jama.2025.7710::C003",'C_jama.2025.7710'!$A$2:$A$5,0))="retain",INDEX('C_jama.2025.7710'!$E$2:$E$5,MATCH("2025::jama.2025.7710::C003",'C_jama.2025.7710'!$A$2:$A$5,0))="statistical_results"),IF(INDEX('C_jama.2025.7710'!$I$2:$I$5,MATCH("2025::jama.2025.7710::C003",'C_jama.2025.7710'!$A$2:$A$5,0))="","",INDEX('C_jama.2025.7710'!$I$2:$I$5,MATCH("2025::jama.2025.7710::C003",'C_jama.2025.7710'!$A$2:$A$5,0))),"not_applicable"),"NOT FROZEN")</x:f>
        <x:v>not_applicable</x:v>
      </x:c>
      <x:c r="F122" s="6" t="str">
        <x:f>IF(Setup!$B$6="primary",IF(AND(INDEX('C_jama.2025.7710'!$D$2:$D$5,MATCH("2025::jama.2025.7710::C003",'C_jama.2025.7710'!$A$2:$A$5,0))="retain",INDEX('C_jama.2025.7710'!$E$2:$E$5,MATCH("2025::jama.2025.7710::C003",'C_jama.2025.7710'!$A$2:$A$5,0))="statistical_results"),IF(INDEX('C_jama.2025.7710'!$J$2:$J$5,MATCH("2025::jama.2025.7710::C003",'C_jama.2025.7710'!$A$2:$A$5,0))="","",INDEX('C_jama.2025.7710'!$J$2:$J$5,MATCH("2025::jama.2025.7710::C003",'C_jama.2025.7710'!$A$2:$A$5,0))),"not_applicable"),"NOT FROZEN")</x:f>
        <x:v>not_applicable</x:v>
      </x:c>
      <x:c r="G122" s="6" t="str">
        <x:f>IF(Setup!$B$6="primary",IF(AND(INDEX('C_jama.2025.7710'!$D$2:$D$5,MATCH("2025::jama.2025.7710::C003",'C_jama.2025.7710'!$A$2:$A$5,0))="retain",OR(INDEX('C_jama.2025.7710'!$E$2:$E$5,MATCH("2025::jama.2025.7710::C003",'C_jama.2025.7710'!$A$2:$A$5,0))="report_internal_inconsistency",INDEX('C_jama.2025.7710'!$E$2:$E$5,MATCH("2025::jama.2025.7710::C003",'C_jama.2025.7710'!$A$2:$A$5,0))="plan_material")),IF(INDEX('C_jama.2025.7710'!$K$2:$K$5,MATCH("2025::jama.2025.7710::C003",'C_jama.2025.7710'!$A$2:$A$5,0))="","",INDEX('C_jama.2025.7710'!$K$2:$K$5,MATCH("2025::jama.2025.7710::C003",'C_jama.2025.7710'!$A$2:$A$5,0))),"not_applicable"),"NOT FROZEN")</x:f>
        <x:v>not_applicable</x:v>
      </x:c>
      <x:c r="H122" s="6" t="str">
        <x:f>IF(Setup!$B$6="primary",IF(AND(INDEX('C_jama.2025.7710'!$D$2:$D$5,MATCH("2025::jama.2025.7710::C003",'C_jama.2025.7710'!$A$2:$A$5,0))="retain",INDEX('C_jama.2025.7710'!$E$2:$E$5,MATCH("2025::jama.2025.7710::C003",'C_jama.2025.7710'!$A$2:$A$5,0))="protocol_report"),IF(INDEX('C_jama.2025.7710'!$L$2:$L$5,MATCH("2025::jama.2025.7710::C003",'C_jama.2025.7710'!$A$2:$A$5,0))="","",INDEX('C_jama.2025.7710'!$L$2:$L$5,MATCH("2025::jama.2025.7710::C003",'C_jama.2025.7710'!$A$2:$A$5,0))),"not_applicable"),"NOT FROZEN")</x:f>
        <x:v>not_applicable</x:v>
      </x:c>
      <x:c r="I122" s="6" t="str">
        <x:f>IF(Setup!$B$6="primary",IF(INDEX('C_jama.2025.7710'!$R$2:$R$5,MATCH("2025::jama.2025.7710::C003",'C_jama.2025.7710'!$A$2:$A$5,0))="","",INDEX('C_jama.2025.7710'!$R$2:$R$5,MATCH("2025::jama.2025.7710::C003",'C_jama.2025.7710'!$A$2:$A$5,0))),"NOT FROZEN")</x:f>
      </x:c>
      <x:c r="J122" s="6" t="str">
        <x:f>IF(Setup!$B$6="primary",INDEX('C_jama.2025.7710'!$F$2:$F$5,MATCH("2025::jama.2025.7710::C003",'C_jama.2025.7710'!$A$2:$A$5,0)),"NOT FROZEN")</x:f>
        <x:v>no</x:v>
      </x:c>
      <x:c r="K122" s="6" t="str">
        <x:f>IF(Setup!$B$6="primary",Setup!$B$2,"NOT FROZEN")</x:f>
      </x:c>
      <x:c r="L122" s="6" t="str">
        <x:f>IF(Setup!$B$6="primary",IF(OR(B122="",B122="not_applicable"),"","Disposition: "&amp;B122&amp;CHAR(10))&amp;IF(OR(C122="",C122="not_applicable"),"","Review domain: "&amp;C122&amp;CHAR(10))&amp;IF(OR(D122="",D122="not_applicable"),"","Statistcal_or_numerical issue: "&amp;D122&amp;CHAR(10))&amp;IF(OR(E122="",E122="not_applicable"),"","Substantiveness: "&amp;E122&amp;CHAR(10))&amp;IF(OR(F122="",F122="not_applicable"),"","Downstream impact: "&amp;F122&amp;CHAR(10))&amp;IF(OR(G122="",G122="not_applicable"),"","Report-internal or planning-material inconsistency: "&amp;G122&amp;CHAR(10))&amp;IF(OR(H122="",H122="not_applicable"),"","Protocol interpretation: "&amp;H122&amp;CHAR(10))&amp;IF(OR(I122="",I122="not_applicable"),"","Notes (optional): "&amp;I122&amp;CHAR(10)),"NOT FROZEN")</x:f>
        <x:v>Review domain: plan_material
</x:v>
      </x:c>
    </x:row>
    <x:row r="123" ht="70" customHeight="1">
      <x:c r="A123" s="3" t="str">
        <x:f>IF(Setup!$B$6="primary","2025::jama.2025.7710::C004","NOT FROZEN")</x:f>
        <x:v>2025::jama.2025.7710::C004</x:v>
      </x:c>
      <x:c r="B123" s="3" t="str">
        <x:f>IF(Setup!$B$6="primary",IF(INDEX('C_jama.2025.7710'!$D$2:$D$5,MATCH("2025::jama.2025.7710::C004",'C_jama.2025.7710'!$A$2:$A$5,0))="","",INDEX('C_jama.2025.7710'!$D$2:$D$5,MATCH("2025::jama.2025.7710::C004",'C_jama.2025.7710'!$A$2:$A$5,0))),"NOT FROZEN")</x:f>
      </x:c>
      <x:c r="C123" s="3" t="str">
        <x:f>IF(Setup!$B$6="primary",IF(INDEX('C_jama.2025.7710'!$E$2:$E$5,MATCH("2025::jama.2025.7710::C004",'C_jama.2025.7710'!$A$2:$A$5,0))="","",INDEX('C_jama.2025.7710'!$E$2:$E$5,MATCH("2025::jama.2025.7710::C004",'C_jama.2025.7710'!$A$2:$A$5,0))),"NOT FROZEN")</x:f>
        <x:v>protocol_report</x:v>
      </x:c>
      <x:c r="D123" s="3" t="str">
        <x:f>IF(Setup!$B$6="primary",IF(AND(INDEX('C_jama.2025.7710'!$D$2:$D$5,MATCH("2025::jama.2025.7710::C004",'C_jama.2025.7710'!$A$2:$A$5,0))="retain",INDEX('C_jama.2025.7710'!$E$2:$E$5,MATCH("2025::jama.2025.7710::C004",'C_jama.2025.7710'!$A$2:$A$5,0))="statistical_results"),IF(INDEX('C_jama.2025.7710'!$H$2:$H$5,MATCH("2025::jama.2025.7710::C004",'C_jama.2025.7710'!$A$2:$A$5,0))="","",INDEX('C_jama.2025.7710'!$H$2:$H$5,MATCH("2025::jama.2025.7710::C004",'C_jama.2025.7710'!$A$2:$A$5,0))),"not_applicable"),"NOT FROZEN")</x:f>
        <x:v>not_applicable</x:v>
      </x:c>
      <x:c r="E123" s="3" t="str">
        <x:f>IF(Setup!$B$6="primary",IF(AND(INDEX('C_jama.2025.7710'!$D$2:$D$5,MATCH("2025::jama.2025.7710::C004",'C_jama.2025.7710'!$A$2:$A$5,0))="retain",INDEX('C_jama.2025.7710'!$E$2:$E$5,MATCH("2025::jama.2025.7710::C004",'C_jama.2025.7710'!$A$2:$A$5,0))="statistical_results"),IF(INDEX('C_jama.2025.7710'!$I$2:$I$5,MATCH("2025::jama.2025.7710::C004",'C_jama.2025.7710'!$A$2:$A$5,0))="","",INDEX('C_jama.2025.7710'!$I$2:$I$5,MATCH("2025::jama.2025.7710::C004",'C_jama.2025.7710'!$A$2:$A$5,0))),"not_applicable"),"NOT FROZEN")</x:f>
        <x:v>not_applicable</x:v>
      </x:c>
      <x:c r="F123" s="3" t="str">
        <x:f>IF(Setup!$B$6="primary",IF(AND(INDEX('C_jama.2025.7710'!$D$2:$D$5,MATCH("2025::jama.2025.7710::C004",'C_jama.2025.7710'!$A$2:$A$5,0))="retain",INDEX('C_jama.2025.7710'!$E$2:$E$5,MATCH("2025::jama.2025.7710::C004",'C_jama.2025.7710'!$A$2:$A$5,0))="statistical_results"),IF(INDEX('C_jama.2025.7710'!$J$2:$J$5,MATCH("2025::jama.2025.7710::C004",'C_jama.2025.7710'!$A$2:$A$5,0))="","",INDEX('C_jama.2025.7710'!$J$2:$J$5,MATCH("2025::jama.2025.7710::C004",'C_jama.2025.7710'!$A$2:$A$5,0))),"not_applicable"),"NOT FROZEN")</x:f>
        <x:v>not_applicable</x:v>
      </x:c>
      <x:c r="G123" s="3" t="str">
        <x:f>IF(Setup!$B$6="primary",IF(AND(INDEX('C_jama.2025.7710'!$D$2:$D$5,MATCH("2025::jama.2025.7710::C004",'C_jama.2025.7710'!$A$2:$A$5,0))="retain",OR(INDEX('C_jama.2025.7710'!$E$2:$E$5,MATCH("2025::jama.2025.7710::C004",'C_jama.2025.7710'!$A$2:$A$5,0))="report_internal_inconsistency",INDEX('C_jama.2025.7710'!$E$2:$E$5,MATCH("2025::jama.2025.7710::C004",'C_jama.2025.7710'!$A$2:$A$5,0))="plan_material")),IF(INDEX('C_jama.2025.7710'!$K$2:$K$5,MATCH("2025::jama.2025.7710::C004",'C_jama.2025.7710'!$A$2:$A$5,0))="","",INDEX('C_jama.2025.7710'!$K$2:$K$5,MATCH("2025::jama.2025.7710::C004",'C_jama.2025.7710'!$A$2:$A$5,0))),"not_applicable"),"NOT FROZEN")</x:f>
        <x:v>not_applicable</x:v>
      </x:c>
      <x:c r="H123" s="3" t="str">
        <x:f>IF(Setup!$B$6="primary",IF(AND(INDEX('C_jama.2025.7710'!$D$2:$D$5,MATCH("2025::jama.2025.7710::C004",'C_jama.2025.7710'!$A$2:$A$5,0))="retain",INDEX('C_jama.2025.7710'!$E$2:$E$5,MATCH("2025::jama.2025.7710::C004",'C_jama.2025.7710'!$A$2:$A$5,0))="protocol_report"),IF(INDEX('C_jama.2025.7710'!$L$2:$L$5,MATCH("2025::jama.2025.7710::C004",'C_jama.2025.7710'!$A$2:$A$5,0))="","",INDEX('C_jama.2025.7710'!$L$2:$L$5,MATCH("2025::jama.2025.7710::C004",'C_jama.2025.7710'!$A$2:$A$5,0))),"not_applicable"),"NOT FROZEN")</x:f>
        <x:v>not_applicable</x:v>
      </x:c>
      <x:c r="I123" s="3" t="str">
        <x:f>IF(Setup!$B$6="primary",IF(INDEX('C_jama.2025.7710'!$R$2:$R$5,MATCH("2025::jama.2025.7710::C004",'C_jama.2025.7710'!$A$2:$A$5,0))="","",INDEX('C_jama.2025.7710'!$R$2:$R$5,MATCH("2025::jama.2025.7710::C004",'C_jama.2025.7710'!$A$2:$A$5,0))),"NOT FROZEN")</x:f>
      </x:c>
      <x:c r="J123" s="3" t="str">
        <x:f>IF(Setup!$B$6="primary",INDEX('C_jama.2025.7710'!$F$2:$F$5,MATCH("2025::jama.2025.7710::C004",'C_jama.2025.7710'!$A$2:$A$5,0)),"NOT FROZEN")</x:f>
        <x:v>no</x:v>
      </x:c>
      <x:c r="K123" s="3" t="str">
        <x:f>IF(Setup!$B$6="primary",Setup!$B$2,"NOT FROZEN")</x:f>
      </x:c>
      <x:c r="L123" s="3" t="str">
        <x:f>IF(Setup!$B$6="primary",IF(OR(B123="",B123="not_applicable"),"","Disposition: "&amp;B123&amp;CHAR(10))&amp;IF(OR(C123="",C123="not_applicable"),"","Review domain: "&amp;C123&amp;CHAR(10))&amp;IF(OR(D123="",D123="not_applicable"),"","Statistcal_or_numerical issue: "&amp;D123&amp;CHAR(10))&amp;IF(OR(E123="",E123="not_applicable"),"","Substantiveness: "&amp;E123&amp;CHAR(10))&amp;IF(OR(F123="",F123="not_applicable"),"","Downstream impact: "&amp;F123&amp;CHAR(10))&amp;IF(OR(G123="",G123="not_applicable"),"","Report-internal or planning-material inconsistency: "&amp;G123&amp;CHAR(10))&amp;IF(OR(H123="",H123="not_applicable"),"","Protocol interpretation: "&amp;H123&amp;CHAR(10))&amp;IF(OR(I123="",I123="not_applicable"),"","Notes (optional): "&amp;I123&amp;CHAR(10)),"NOT FROZEN")</x:f>
        <x:v>Review domain: protocol_report
</x:v>
      </x:c>
    </x:row>
    <x:row r="124" ht="70" customHeight="1">
      <x:c r="A124" s="6" t="str">
        <x:f>IF(Setup!$B$6="primary","2025::jama.2025.9110::C001","NOT FROZEN")</x:f>
        <x:v>2025::jama.2025.9110::C001</x:v>
      </x:c>
      <x:c r="B124" s="6" t="str">
        <x:f>IF(Setup!$B$6="primary",IF(INDEX('C_jama.2025.9110'!$D$2:$D$7,MATCH("2025::jama.2025.9110::C001",'C_jama.2025.9110'!$A$2:$A$7,0))="","",INDEX('C_jama.2025.9110'!$D$2:$D$7,MATCH("2025::jama.2025.9110::C001",'C_jama.2025.9110'!$A$2:$A$7,0))),"NOT FROZEN")</x:f>
      </x:c>
      <x:c r="C124" s="6" t="str">
        <x:f>IF(Setup!$B$6="primary",IF(INDEX('C_jama.2025.9110'!$E$2:$E$7,MATCH("2025::jama.2025.9110::C001",'C_jama.2025.9110'!$A$2:$A$7,0))="","",INDEX('C_jama.2025.9110'!$E$2:$E$7,MATCH("2025::jama.2025.9110::C001",'C_jama.2025.9110'!$A$2:$A$7,0))),"NOT FROZEN")</x:f>
        <x:v>report_internal_inconsistency</x:v>
      </x:c>
      <x:c r="D124" s="6" t="str">
        <x:f>IF(Setup!$B$6="primary",IF(AND(INDEX('C_jama.2025.9110'!$D$2:$D$7,MATCH("2025::jama.2025.9110::C001",'C_jama.2025.9110'!$A$2:$A$7,0))="retain",INDEX('C_jama.2025.9110'!$E$2:$E$7,MATCH("2025::jama.2025.9110::C001",'C_jama.2025.9110'!$A$2:$A$7,0))="statistical_results"),IF(INDEX('C_jama.2025.9110'!$H$2:$H$7,MATCH("2025::jama.2025.9110::C001",'C_jama.2025.9110'!$A$2:$A$7,0))="","",INDEX('C_jama.2025.9110'!$H$2:$H$7,MATCH("2025::jama.2025.9110::C001",'C_jama.2025.9110'!$A$2:$A$7,0))),"not_applicable"),"NOT FROZEN")</x:f>
        <x:v>not_applicable</x:v>
      </x:c>
      <x:c r="E124" s="6" t="str">
        <x:f>IF(Setup!$B$6="primary",IF(AND(INDEX('C_jama.2025.9110'!$D$2:$D$7,MATCH("2025::jama.2025.9110::C001",'C_jama.2025.9110'!$A$2:$A$7,0))="retain",INDEX('C_jama.2025.9110'!$E$2:$E$7,MATCH("2025::jama.2025.9110::C001",'C_jama.2025.9110'!$A$2:$A$7,0))="statistical_results"),IF(INDEX('C_jama.2025.9110'!$I$2:$I$7,MATCH("2025::jama.2025.9110::C001",'C_jama.2025.9110'!$A$2:$A$7,0))="","",INDEX('C_jama.2025.9110'!$I$2:$I$7,MATCH("2025::jama.2025.9110::C001",'C_jama.2025.9110'!$A$2:$A$7,0))),"not_applicable"),"NOT FROZEN")</x:f>
        <x:v>not_applicable</x:v>
      </x:c>
      <x:c r="F124" s="6" t="str">
        <x:f>IF(Setup!$B$6="primary",IF(AND(INDEX('C_jama.2025.9110'!$D$2:$D$7,MATCH("2025::jama.2025.9110::C001",'C_jama.2025.9110'!$A$2:$A$7,0))="retain",INDEX('C_jama.2025.9110'!$E$2:$E$7,MATCH("2025::jama.2025.9110::C001",'C_jama.2025.9110'!$A$2:$A$7,0))="statistical_results"),IF(INDEX('C_jama.2025.9110'!$J$2:$J$7,MATCH("2025::jama.2025.9110::C001",'C_jama.2025.9110'!$A$2:$A$7,0))="","",INDEX('C_jama.2025.9110'!$J$2:$J$7,MATCH("2025::jama.2025.9110::C001",'C_jama.2025.9110'!$A$2:$A$7,0))),"not_applicable"),"NOT FROZEN")</x:f>
        <x:v>not_applicable</x:v>
      </x:c>
      <x:c r="G124" s="6" t="str">
        <x:f>IF(Setup!$B$6="primary",IF(AND(INDEX('C_jama.2025.9110'!$D$2:$D$7,MATCH("2025::jama.2025.9110::C001",'C_jama.2025.9110'!$A$2:$A$7,0))="retain",OR(INDEX('C_jama.2025.9110'!$E$2:$E$7,MATCH("2025::jama.2025.9110::C001",'C_jama.2025.9110'!$A$2:$A$7,0))="report_internal_inconsistency",INDEX('C_jama.2025.9110'!$E$2:$E$7,MATCH("2025::jama.2025.9110::C001",'C_jama.2025.9110'!$A$2:$A$7,0))="plan_material")),IF(INDEX('C_jama.2025.9110'!$K$2:$K$7,MATCH("2025::jama.2025.9110::C001",'C_jama.2025.9110'!$A$2:$A$7,0))="","",INDEX('C_jama.2025.9110'!$K$2:$K$7,MATCH("2025::jama.2025.9110::C001",'C_jama.2025.9110'!$A$2:$A$7,0))),"not_applicable"),"NOT FROZEN")</x:f>
        <x:v>not_applicable</x:v>
      </x:c>
      <x:c r="H124" s="6" t="str">
        <x:f>IF(Setup!$B$6="primary",IF(AND(INDEX('C_jama.2025.9110'!$D$2:$D$7,MATCH("2025::jama.2025.9110::C001",'C_jama.2025.9110'!$A$2:$A$7,0))="retain",INDEX('C_jama.2025.9110'!$E$2:$E$7,MATCH("2025::jama.2025.9110::C001",'C_jama.2025.9110'!$A$2:$A$7,0))="protocol_report"),IF(INDEX('C_jama.2025.9110'!$L$2:$L$7,MATCH("2025::jama.2025.9110::C001",'C_jama.2025.9110'!$A$2:$A$7,0))="","",INDEX('C_jama.2025.9110'!$L$2:$L$7,MATCH("2025::jama.2025.9110::C001",'C_jama.2025.9110'!$A$2:$A$7,0))),"not_applicable"),"NOT FROZEN")</x:f>
        <x:v>not_applicable</x:v>
      </x:c>
      <x:c r="I124" s="6" t="str">
        <x:f>IF(Setup!$B$6="primary",IF(INDEX('C_jama.2025.9110'!$R$2:$R$7,MATCH("2025::jama.2025.9110::C001",'C_jama.2025.9110'!$A$2:$A$7,0))="","",INDEX('C_jama.2025.9110'!$R$2:$R$7,MATCH("2025::jama.2025.9110::C001",'C_jama.2025.9110'!$A$2:$A$7,0))),"NOT FROZEN")</x:f>
      </x:c>
      <x:c r="J124" s="6" t="str">
        <x:f>IF(Setup!$B$6="primary",INDEX('C_jama.2025.9110'!$F$2:$F$7,MATCH("2025::jama.2025.9110::C001",'C_jama.2025.9110'!$A$2:$A$7,0)),"NOT FROZEN")</x:f>
        <x:v>no</x:v>
      </x:c>
      <x:c r="K124" s="6" t="str">
        <x:f>IF(Setup!$B$6="primary",Setup!$B$2,"NOT FROZEN")</x:f>
      </x:c>
      <x:c r="L124" s="6" t="str">
        <x:f>IF(Setup!$B$6="primary",IF(OR(B124="",B124="not_applicable"),"","Disposition: "&amp;B124&amp;CHAR(10))&amp;IF(OR(C124="",C124="not_applicable"),"","Review domain: "&amp;C124&amp;CHAR(10))&amp;IF(OR(D124="",D124="not_applicable"),"","Statistcal_or_numerical issue: "&amp;D124&amp;CHAR(10))&amp;IF(OR(E124="",E124="not_applicable"),"","Substantiveness: "&amp;E124&amp;CHAR(10))&amp;IF(OR(F124="",F124="not_applicable"),"","Downstream impact: "&amp;F124&amp;CHAR(10))&amp;IF(OR(G124="",G124="not_applicable"),"","Report-internal or planning-material inconsistency: "&amp;G124&amp;CHAR(10))&amp;IF(OR(H124="",H124="not_applicable"),"","Protocol interpretation: "&amp;H124&amp;CHAR(10))&amp;IF(OR(I124="",I124="not_applicable"),"","Notes (optional): "&amp;I124&amp;CHAR(10)),"NOT FROZEN")</x:f>
        <x:v>Review domain: report_internal_inconsistency
</x:v>
      </x:c>
    </x:row>
    <x:row r="125" ht="70" customHeight="1">
      <x:c r="A125" s="3" t="str">
        <x:f>IF(Setup!$B$6="primary","2025::jama.2025.9110::C002","NOT FROZEN")</x:f>
        <x:v>2025::jama.2025.9110::C002</x:v>
      </x:c>
      <x:c r="B125" s="3" t="str">
        <x:f>IF(Setup!$B$6="primary",IF(INDEX('C_jama.2025.9110'!$D$2:$D$7,MATCH("2025::jama.2025.9110::C002",'C_jama.2025.9110'!$A$2:$A$7,0))="","",INDEX('C_jama.2025.9110'!$D$2:$D$7,MATCH("2025::jama.2025.9110::C002",'C_jama.2025.9110'!$A$2:$A$7,0))),"NOT FROZEN")</x:f>
      </x:c>
      <x:c r="C125" s="3" t="str">
        <x:f>IF(Setup!$B$6="primary",IF(INDEX('C_jama.2025.9110'!$E$2:$E$7,MATCH("2025::jama.2025.9110::C002",'C_jama.2025.9110'!$A$2:$A$7,0))="","",INDEX('C_jama.2025.9110'!$E$2:$E$7,MATCH("2025::jama.2025.9110::C002",'C_jama.2025.9110'!$A$2:$A$7,0))),"NOT FROZEN")</x:f>
        <x:v>report_internal_inconsistency</x:v>
      </x:c>
      <x:c r="D125" s="3" t="str">
        <x:f>IF(Setup!$B$6="primary",IF(AND(INDEX('C_jama.2025.9110'!$D$2:$D$7,MATCH("2025::jama.2025.9110::C002",'C_jama.2025.9110'!$A$2:$A$7,0))="retain",INDEX('C_jama.2025.9110'!$E$2:$E$7,MATCH("2025::jama.2025.9110::C002",'C_jama.2025.9110'!$A$2:$A$7,0))="statistical_results"),IF(INDEX('C_jama.2025.9110'!$H$2:$H$7,MATCH("2025::jama.2025.9110::C002",'C_jama.2025.9110'!$A$2:$A$7,0))="","",INDEX('C_jama.2025.9110'!$H$2:$H$7,MATCH("2025::jama.2025.9110::C002",'C_jama.2025.9110'!$A$2:$A$7,0))),"not_applicable"),"NOT FROZEN")</x:f>
        <x:v>not_applicable</x:v>
      </x:c>
      <x:c r="E125" s="3" t="str">
        <x:f>IF(Setup!$B$6="primary",IF(AND(INDEX('C_jama.2025.9110'!$D$2:$D$7,MATCH("2025::jama.2025.9110::C002",'C_jama.2025.9110'!$A$2:$A$7,0))="retain",INDEX('C_jama.2025.9110'!$E$2:$E$7,MATCH("2025::jama.2025.9110::C002",'C_jama.2025.9110'!$A$2:$A$7,0))="statistical_results"),IF(INDEX('C_jama.2025.9110'!$I$2:$I$7,MATCH("2025::jama.2025.9110::C002",'C_jama.2025.9110'!$A$2:$A$7,0))="","",INDEX('C_jama.2025.9110'!$I$2:$I$7,MATCH("2025::jama.2025.9110::C002",'C_jama.2025.9110'!$A$2:$A$7,0))),"not_applicable"),"NOT FROZEN")</x:f>
        <x:v>not_applicable</x:v>
      </x:c>
      <x:c r="F125" s="3" t="str">
        <x:f>IF(Setup!$B$6="primary",IF(AND(INDEX('C_jama.2025.9110'!$D$2:$D$7,MATCH("2025::jama.2025.9110::C002",'C_jama.2025.9110'!$A$2:$A$7,0))="retain",INDEX('C_jama.2025.9110'!$E$2:$E$7,MATCH("2025::jama.2025.9110::C002",'C_jama.2025.9110'!$A$2:$A$7,0))="statistical_results"),IF(INDEX('C_jama.2025.9110'!$J$2:$J$7,MATCH("2025::jama.2025.9110::C002",'C_jama.2025.9110'!$A$2:$A$7,0))="","",INDEX('C_jama.2025.9110'!$J$2:$J$7,MATCH("2025::jama.2025.9110::C002",'C_jama.2025.9110'!$A$2:$A$7,0))),"not_applicable"),"NOT FROZEN")</x:f>
        <x:v>not_applicable</x:v>
      </x:c>
      <x:c r="G125" s="3" t="str">
        <x:f>IF(Setup!$B$6="primary",IF(AND(INDEX('C_jama.2025.9110'!$D$2:$D$7,MATCH("2025::jama.2025.9110::C002",'C_jama.2025.9110'!$A$2:$A$7,0))="retain",OR(INDEX('C_jama.2025.9110'!$E$2:$E$7,MATCH("2025::jama.2025.9110::C002",'C_jama.2025.9110'!$A$2:$A$7,0))="report_internal_inconsistency",INDEX('C_jama.2025.9110'!$E$2:$E$7,MATCH("2025::jama.2025.9110::C002",'C_jama.2025.9110'!$A$2:$A$7,0))="plan_material")),IF(INDEX('C_jama.2025.9110'!$K$2:$K$7,MATCH("2025::jama.2025.9110::C002",'C_jama.2025.9110'!$A$2:$A$7,0))="","",INDEX('C_jama.2025.9110'!$K$2:$K$7,MATCH("2025::jama.2025.9110::C002",'C_jama.2025.9110'!$A$2:$A$7,0))),"not_applicable"),"NOT FROZEN")</x:f>
        <x:v>not_applicable</x:v>
      </x:c>
      <x:c r="H125" s="3" t="str">
        <x:f>IF(Setup!$B$6="primary",IF(AND(INDEX('C_jama.2025.9110'!$D$2:$D$7,MATCH("2025::jama.2025.9110::C002",'C_jama.2025.9110'!$A$2:$A$7,0))="retain",INDEX('C_jama.2025.9110'!$E$2:$E$7,MATCH("2025::jama.2025.9110::C002",'C_jama.2025.9110'!$A$2:$A$7,0))="protocol_report"),IF(INDEX('C_jama.2025.9110'!$L$2:$L$7,MATCH("2025::jama.2025.9110::C002",'C_jama.2025.9110'!$A$2:$A$7,0))="","",INDEX('C_jama.2025.9110'!$L$2:$L$7,MATCH("2025::jama.2025.9110::C002",'C_jama.2025.9110'!$A$2:$A$7,0))),"not_applicable"),"NOT FROZEN")</x:f>
        <x:v>not_applicable</x:v>
      </x:c>
      <x:c r="I125" s="3" t="str">
        <x:f>IF(Setup!$B$6="primary",IF(INDEX('C_jama.2025.9110'!$R$2:$R$7,MATCH("2025::jama.2025.9110::C002",'C_jama.2025.9110'!$A$2:$A$7,0))="","",INDEX('C_jama.2025.9110'!$R$2:$R$7,MATCH("2025::jama.2025.9110::C002",'C_jama.2025.9110'!$A$2:$A$7,0))),"NOT FROZEN")</x:f>
      </x:c>
      <x:c r="J125" s="3" t="str">
        <x:f>IF(Setup!$B$6="primary",INDEX('C_jama.2025.9110'!$F$2:$F$7,MATCH("2025::jama.2025.9110::C002",'C_jama.2025.9110'!$A$2:$A$7,0)),"NOT FROZEN")</x:f>
        <x:v>no</x:v>
      </x:c>
      <x:c r="K125" s="3" t="str">
        <x:f>IF(Setup!$B$6="primary",Setup!$B$2,"NOT FROZEN")</x:f>
      </x:c>
      <x:c r="L125" s="3" t="str">
        <x:f>IF(Setup!$B$6="primary",IF(OR(B125="",B125="not_applicable"),"","Disposition: "&amp;B125&amp;CHAR(10))&amp;IF(OR(C125="",C125="not_applicable"),"","Review domain: "&amp;C125&amp;CHAR(10))&amp;IF(OR(D125="",D125="not_applicable"),"","Statistcal_or_numerical issue: "&amp;D125&amp;CHAR(10))&amp;IF(OR(E125="",E125="not_applicable"),"","Substantiveness: "&amp;E125&amp;CHAR(10))&amp;IF(OR(F125="",F125="not_applicable"),"","Downstream impact: "&amp;F125&amp;CHAR(10))&amp;IF(OR(G125="",G125="not_applicable"),"","Report-internal or planning-material inconsistency: "&amp;G125&amp;CHAR(10))&amp;IF(OR(H125="",H125="not_applicable"),"","Protocol interpretation: "&amp;H125&amp;CHAR(10))&amp;IF(OR(I125="",I125="not_applicable"),"","Notes (optional): "&amp;I125&amp;CHAR(10)),"NOT FROZEN")</x:f>
        <x:v>Review domain: report_internal_inconsistency
</x:v>
      </x:c>
    </x:row>
    <x:row r="126" ht="70" customHeight="1">
      <x:c r="A126" s="6" t="str">
        <x:f>IF(Setup!$B$6="primary","2025::jama.2025.9110::C003","NOT FROZEN")</x:f>
        <x:v>2025::jama.2025.9110::C003</x:v>
      </x:c>
      <x:c r="B126" s="6" t="str">
        <x:f>IF(Setup!$B$6="primary",IF(INDEX('C_jama.2025.9110'!$D$2:$D$7,MATCH("2025::jama.2025.9110::C003",'C_jama.2025.9110'!$A$2:$A$7,0))="","",INDEX('C_jama.2025.9110'!$D$2:$D$7,MATCH("2025::jama.2025.9110::C003",'C_jama.2025.9110'!$A$2:$A$7,0))),"NOT FROZEN")</x:f>
      </x:c>
      <x:c r="C126" s="6" t="str">
        <x:f>IF(Setup!$B$6="primary",IF(INDEX('C_jama.2025.9110'!$E$2:$E$7,MATCH("2025::jama.2025.9110::C003",'C_jama.2025.9110'!$A$2:$A$7,0))="","",INDEX('C_jama.2025.9110'!$E$2:$E$7,MATCH("2025::jama.2025.9110::C003",'C_jama.2025.9110'!$A$2:$A$7,0))),"NOT FROZEN")</x:f>
        <x:v>report_internal_inconsistency</x:v>
      </x:c>
      <x:c r="D126" s="6" t="str">
        <x:f>IF(Setup!$B$6="primary",IF(AND(INDEX('C_jama.2025.9110'!$D$2:$D$7,MATCH("2025::jama.2025.9110::C003",'C_jama.2025.9110'!$A$2:$A$7,0))="retain",INDEX('C_jama.2025.9110'!$E$2:$E$7,MATCH("2025::jama.2025.9110::C003",'C_jama.2025.9110'!$A$2:$A$7,0))="statistical_results"),IF(INDEX('C_jama.2025.9110'!$H$2:$H$7,MATCH("2025::jama.2025.9110::C003",'C_jama.2025.9110'!$A$2:$A$7,0))="","",INDEX('C_jama.2025.9110'!$H$2:$H$7,MATCH("2025::jama.2025.9110::C003",'C_jama.2025.9110'!$A$2:$A$7,0))),"not_applicable"),"NOT FROZEN")</x:f>
        <x:v>not_applicable</x:v>
      </x:c>
      <x:c r="E126" s="6" t="str">
        <x:f>IF(Setup!$B$6="primary",IF(AND(INDEX('C_jama.2025.9110'!$D$2:$D$7,MATCH("2025::jama.2025.9110::C003",'C_jama.2025.9110'!$A$2:$A$7,0))="retain",INDEX('C_jama.2025.9110'!$E$2:$E$7,MATCH("2025::jama.2025.9110::C003",'C_jama.2025.9110'!$A$2:$A$7,0))="statistical_results"),IF(INDEX('C_jama.2025.9110'!$I$2:$I$7,MATCH("2025::jama.2025.9110::C003",'C_jama.2025.9110'!$A$2:$A$7,0))="","",INDEX('C_jama.2025.9110'!$I$2:$I$7,MATCH("2025::jama.2025.9110::C003",'C_jama.2025.9110'!$A$2:$A$7,0))),"not_applicable"),"NOT FROZEN")</x:f>
        <x:v>not_applicable</x:v>
      </x:c>
      <x:c r="F126" s="6" t="str">
        <x:f>IF(Setup!$B$6="primary",IF(AND(INDEX('C_jama.2025.9110'!$D$2:$D$7,MATCH("2025::jama.2025.9110::C003",'C_jama.2025.9110'!$A$2:$A$7,0))="retain",INDEX('C_jama.2025.9110'!$E$2:$E$7,MATCH("2025::jama.2025.9110::C003",'C_jama.2025.9110'!$A$2:$A$7,0))="statistical_results"),IF(INDEX('C_jama.2025.9110'!$J$2:$J$7,MATCH("2025::jama.2025.9110::C003",'C_jama.2025.9110'!$A$2:$A$7,0))="","",INDEX('C_jama.2025.9110'!$J$2:$J$7,MATCH("2025::jama.2025.9110::C003",'C_jama.2025.9110'!$A$2:$A$7,0))),"not_applicable"),"NOT FROZEN")</x:f>
        <x:v>not_applicable</x:v>
      </x:c>
      <x:c r="G126" s="6" t="str">
        <x:f>IF(Setup!$B$6="primary",IF(AND(INDEX('C_jama.2025.9110'!$D$2:$D$7,MATCH("2025::jama.2025.9110::C003",'C_jama.2025.9110'!$A$2:$A$7,0))="retain",OR(INDEX('C_jama.2025.9110'!$E$2:$E$7,MATCH("2025::jama.2025.9110::C003",'C_jama.2025.9110'!$A$2:$A$7,0))="report_internal_inconsistency",INDEX('C_jama.2025.9110'!$E$2:$E$7,MATCH("2025::jama.2025.9110::C003",'C_jama.2025.9110'!$A$2:$A$7,0))="plan_material")),IF(INDEX('C_jama.2025.9110'!$K$2:$K$7,MATCH("2025::jama.2025.9110::C003",'C_jama.2025.9110'!$A$2:$A$7,0))="","",INDEX('C_jama.2025.9110'!$K$2:$K$7,MATCH("2025::jama.2025.9110::C003",'C_jama.2025.9110'!$A$2:$A$7,0))),"not_applicable"),"NOT FROZEN")</x:f>
        <x:v>not_applicable</x:v>
      </x:c>
      <x:c r="H126" s="6" t="str">
        <x:f>IF(Setup!$B$6="primary",IF(AND(INDEX('C_jama.2025.9110'!$D$2:$D$7,MATCH("2025::jama.2025.9110::C003",'C_jama.2025.9110'!$A$2:$A$7,0))="retain",INDEX('C_jama.2025.9110'!$E$2:$E$7,MATCH("2025::jama.2025.9110::C003",'C_jama.2025.9110'!$A$2:$A$7,0))="protocol_report"),IF(INDEX('C_jama.2025.9110'!$L$2:$L$7,MATCH("2025::jama.2025.9110::C003",'C_jama.2025.9110'!$A$2:$A$7,0))="","",INDEX('C_jama.2025.9110'!$L$2:$L$7,MATCH("2025::jama.2025.9110::C003",'C_jama.2025.9110'!$A$2:$A$7,0))),"not_applicable"),"NOT FROZEN")</x:f>
        <x:v>not_applicable</x:v>
      </x:c>
      <x:c r="I126" s="6" t="str">
        <x:f>IF(Setup!$B$6="primary",IF(INDEX('C_jama.2025.9110'!$R$2:$R$7,MATCH("2025::jama.2025.9110::C003",'C_jama.2025.9110'!$A$2:$A$7,0))="","",INDEX('C_jama.2025.9110'!$R$2:$R$7,MATCH("2025::jama.2025.9110::C003",'C_jama.2025.9110'!$A$2:$A$7,0))),"NOT FROZEN")</x:f>
      </x:c>
      <x:c r="J126" s="6" t="str">
        <x:f>IF(Setup!$B$6="primary",INDEX('C_jama.2025.9110'!$F$2:$F$7,MATCH("2025::jama.2025.9110::C003",'C_jama.2025.9110'!$A$2:$A$7,0)),"NOT FROZEN")</x:f>
        <x:v>no</x:v>
      </x:c>
      <x:c r="K126" s="6" t="str">
        <x:f>IF(Setup!$B$6="primary",Setup!$B$2,"NOT FROZEN")</x:f>
      </x:c>
      <x:c r="L126" s="6" t="str">
        <x:f>IF(Setup!$B$6="primary",IF(OR(B126="",B126="not_applicable"),"","Disposition: "&amp;B126&amp;CHAR(10))&amp;IF(OR(C126="",C126="not_applicable"),"","Review domain: "&amp;C126&amp;CHAR(10))&amp;IF(OR(D126="",D126="not_applicable"),"","Statistcal_or_numerical issue: "&amp;D126&amp;CHAR(10))&amp;IF(OR(E126="",E126="not_applicable"),"","Substantiveness: "&amp;E126&amp;CHAR(10))&amp;IF(OR(F126="",F126="not_applicable"),"","Downstream impact: "&amp;F126&amp;CHAR(10))&amp;IF(OR(G126="",G126="not_applicable"),"","Report-internal or planning-material inconsistency: "&amp;G126&amp;CHAR(10))&amp;IF(OR(H126="",H126="not_applicable"),"","Protocol interpretation: "&amp;H126&amp;CHAR(10))&amp;IF(OR(I126="",I126="not_applicable"),"","Notes (optional): "&amp;I126&amp;CHAR(10)),"NOT FROZEN")</x:f>
        <x:v>Review domain: report_internal_inconsistency
</x:v>
      </x:c>
    </x:row>
    <x:row r="127" ht="70" customHeight="1">
      <x:c r="A127" s="3" t="str">
        <x:f>IF(Setup!$B$6="primary","2025::jama.2025.9110::C004","NOT FROZEN")</x:f>
        <x:v>2025::jama.2025.9110::C004</x:v>
      </x:c>
      <x:c r="B127" s="3" t="str">
        <x:f>IF(Setup!$B$6="primary",IF(INDEX('C_jama.2025.9110'!$D$2:$D$7,MATCH("2025::jama.2025.9110::C004",'C_jama.2025.9110'!$A$2:$A$7,0))="","",INDEX('C_jama.2025.9110'!$D$2:$D$7,MATCH("2025::jama.2025.9110::C004",'C_jama.2025.9110'!$A$2:$A$7,0))),"NOT FROZEN")</x:f>
      </x:c>
      <x:c r="C127" s="3" t="str">
        <x:f>IF(Setup!$B$6="primary",IF(INDEX('C_jama.2025.9110'!$E$2:$E$7,MATCH("2025::jama.2025.9110::C004",'C_jama.2025.9110'!$A$2:$A$7,0))="","",INDEX('C_jama.2025.9110'!$E$2:$E$7,MATCH("2025::jama.2025.9110::C004",'C_jama.2025.9110'!$A$2:$A$7,0))),"NOT FROZEN")</x:f>
        <x:v>report_internal_inconsistency</x:v>
      </x:c>
      <x:c r="D127" s="3" t="str">
        <x:f>IF(Setup!$B$6="primary",IF(AND(INDEX('C_jama.2025.9110'!$D$2:$D$7,MATCH("2025::jama.2025.9110::C004",'C_jama.2025.9110'!$A$2:$A$7,0))="retain",INDEX('C_jama.2025.9110'!$E$2:$E$7,MATCH("2025::jama.2025.9110::C004",'C_jama.2025.9110'!$A$2:$A$7,0))="statistical_results"),IF(INDEX('C_jama.2025.9110'!$H$2:$H$7,MATCH("2025::jama.2025.9110::C004",'C_jama.2025.9110'!$A$2:$A$7,0))="","",INDEX('C_jama.2025.9110'!$H$2:$H$7,MATCH("2025::jama.2025.9110::C004",'C_jama.2025.9110'!$A$2:$A$7,0))),"not_applicable"),"NOT FROZEN")</x:f>
        <x:v>not_applicable</x:v>
      </x:c>
      <x:c r="E127" s="3" t="str">
        <x:f>IF(Setup!$B$6="primary",IF(AND(INDEX('C_jama.2025.9110'!$D$2:$D$7,MATCH("2025::jama.2025.9110::C004",'C_jama.2025.9110'!$A$2:$A$7,0))="retain",INDEX('C_jama.2025.9110'!$E$2:$E$7,MATCH("2025::jama.2025.9110::C004",'C_jama.2025.9110'!$A$2:$A$7,0))="statistical_results"),IF(INDEX('C_jama.2025.9110'!$I$2:$I$7,MATCH("2025::jama.2025.9110::C004",'C_jama.2025.9110'!$A$2:$A$7,0))="","",INDEX('C_jama.2025.9110'!$I$2:$I$7,MATCH("2025::jama.2025.9110::C004",'C_jama.2025.9110'!$A$2:$A$7,0))),"not_applicable"),"NOT FROZEN")</x:f>
        <x:v>not_applicable</x:v>
      </x:c>
      <x:c r="F127" s="3" t="str">
        <x:f>IF(Setup!$B$6="primary",IF(AND(INDEX('C_jama.2025.9110'!$D$2:$D$7,MATCH("2025::jama.2025.9110::C004",'C_jama.2025.9110'!$A$2:$A$7,0))="retain",INDEX('C_jama.2025.9110'!$E$2:$E$7,MATCH("2025::jama.2025.9110::C004",'C_jama.2025.9110'!$A$2:$A$7,0))="statistical_results"),IF(INDEX('C_jama.2025.9110'!$J$2:$J$7,MATCH("2025::jama.2025.9110::C004",'C_jama.2025.9110'!$A$2:$A$7,0))="","",INDEX('C_jama.2025.9110'!$J$2:$J$7,MATCH("2025::jama.2025.9110::C004",'C_jama.2025.9110'!$A$2:$A$7,0))),"not_applicable"),"NOT FROZEN")</x:f>
        <x:v>not_applicable</x:v>
      </x:c>
      <x:c r="G127" s="3" t="str">
        <x:f>IF(Setup!$B$6="primary",IF(AND(INDEX('C_jama.2025.9110'!$D$2:$D$7,MATCH("2025::jama.2025.9110::C004",'C_jama.2025.9110'!$A$2:$A$7,0))="retain",OR(INDEX('C_jama.2025.9110'!$E$2:$E$7,MATCH("2025::jama.2025.9110::C004",'C_jama.2025.9110'!$A$2:$A$7,0))="report_internal_inconsistency",INDEX('C_jama.2025.9110'!$E$2:$E$7,MATCH("2025::jama.2025.9110::C004",'C_jama.2025.9110'!$A$2:$A$7,0))="plan_material")),IF(INDEX('C_jama.2025.9110'!$K$2:$K$7,MATCH("2025::jama.2025.9110::C004",'C_jama.2025.9110'!$A$2:$A$7,0))="","",INDEX('C_jama.2025.9110'!$K$2:$K$7,MATCH("2025::jama.2025.9110::C004",'C_jama.2025.9110'!$A$2:$A$7,0))),"not_applicable"),"NOT FROZEN")</x:f>
        <x:v>not_applicable</x:v>
      </x:c>
      <x:c r="H127" s="3" t="str">
        <x:f>IF(Setup!$B$6="primary",IF(AND(INDEX('C_jama.2025.9110'!$D$2:$D$7,MATCH("2025::jama.2025.9110::C004",'C_jama.2025.9110'!$A$2:$A$7,0))="retain",INDEX('C_jama.2025.9110'!$E$2:$E$7,MATCH("2025::jama.2025.9110::C004",'C_jama.2025.9110'!$A$2:$A$7,0))="protocol_report"),IF(INDEX('C_jama.2025.9110'!$L$2:$L$7,MATCH("2025::jama.2025.9110::C004",'C_jama.2025.9110'!$A$2:$A$7,0))="","",INDEX('C_jama.2025.9110'!$L$2:$L$7,MATCH("2025::jama.2025.9110::C004",'C_jama.2025.9110'!$A$2:$A$7,0))),"not_applicable"),"NOT FROZEN")</x:f>
        <x:v>not_applicable</x:v>
      </x:c>
      <x:c r="I127" s="3" t="str">
        <x:f>IF(Setup!$B$6="primary",IF(INDEX('C_jama.2025.9110'!$R$2:$R$7,MATCH("2025::jama.2025.9110::C004",'C_jama.2025.9110'!$A$2:$A$7,0))="","",INDEX('C_jama.2025.9110'!$R$2:$R$7,MATCH("2025::jama.2025.9110::C004",'C_jama.2025.9110'!$A$2:$A$7,0))),"NOT FROZEN")</x:f>
      </x:c>
      <x:c r="J127" s="3" t="str">
        <x:f>IF(Setup!$B$6="primary",INDEX('C_jama.2025.9110'!$F$2:$F$7,MATCH("2025::jama.2025.9110::C004",'C_jama.2025.9110'!$A$2:$A$7,0)),"NOT FROZEN")</x:f>
        <x:v>no</x:v>
      </x:c>
      <x:c r="K127" s="3" t="str">
        <x:f>IF(Setup!$B$6="primary",Setup!$B$2,"NOT FROZEN")</x:f>
      </x:c>
      <x:c r="L127" s="3" t="str">
        <x:f>IF(Setup!$B$6="primary",IF(OR(B127="",B127="not_applicable"),"","Disposition: "&amp;B127&amp;CHAR(10))&amp;IF(OR(C127="",C127="not_applicable"),"","Review domain: "&amp;C127&amp;CHAR(10))&amp;IF(OR(D127="",D127="not_applicable"),"","Statistcal_or_numerical issue: "&amp;D127&amp;CHAR(10))&amp;IF(OR(E127="",E127="not_applicable"),"","Substantiveness: "&amp;E127&amp;CHAR(10))&amp;IF(OR(F127="",F127="not_applicable"),"","Downstream impact: "&amp;F127&amp;CHAR(10))&amp;IF(OR(G127="",G127="not_applicable"),"","Report-internal or planning-material inconsistency: "&amp;G127&amp;CHAR(10))&amp;IF(OR(H127="",H127="not_applicable"),"","Protocol interpretation: "&amp;H127&amp;CHAR(10))&amp;IF(OR(I127="",I127="not_applicable"),"","Notes (optional): "&amp;I127&amp;CHAR(10)),"NOT FROZEN")</x:f>
        <x:v>Review domain: report_internal_inconsistency
</x:v>
      </x:c>
    </x:row>
    <x:row r="128" ht="70" customHeight="1">
      <x:c r="A128" s="6" t="str">
        <x:f>IF(Setup!$B$6="primary","2025::jama.2025.9110::C005","NOT FROZEN")</x:f>
        <x:v>2025::jama.2025.9110::C005</x:v>
      </x:c>
      <x:c r="B128" s="6" t="str">
        <x:f>IF(Setup!$B$6="primary",IF(INDEX('C_jama.2025.9110'!$D$2:$D$7,MATCH("2025::jama.2025.9110::C005",'C_jama.2025.9110'!$A$2:$A$7,0))="","",INDEX('C_jama.2025.9110'!$D$2:$D$7,MATCH("2025::jama.2025.9110::C005",'C_jama.2025.9110'!$A$2:$A$7,0))),"NOT FROZEN")</x:f>
      </x:c>
      <x:c r="C128" s="6" t="str">
        <x:f>IF(Setup!$B$6="primary",IF(INDEX('C_jama.2025.9110'!$E$2:$E$7,MATCH("2025::jama.2025.9110::C005",'C_jama.2025.9110'!$A$2:$A$7,0))="","",INDEX('C_jama.2025.9110'!$E$2:$E$7,MATCH("2025::jama.2025.9110::C005",'C_jama.2025.9110'!$A$2:$A$7,0))),"NOT FROZEN")</x:f>
        <x:v>report_internal_inconsistency</x:v>
      </x:c>
      <x:c r="D128" s="6" t="str">
        <x:f>IF(Setup!$B$6="primary",IF(AND(INDEX('C_jama.2025.9110'!$D$2:$D$7,MATCH("2025::jama.2025.9110::C005",'C_jama.2025.9110'!$A$2:$A$7,0))="retain",INDEX('C_jama.2025.9110'!$E$2:$E$7,MATCH("2025::jama.2025.9110::C005",'C_jama.2025.9110'!$A$2:$A$7,0))="statistical_results"),IF(INDEX('C_jama.2025.9110'!$H$2:$H$7,MATCH("2025::jama.2025.9110::C005",'C_jama.2025.9110'!$A$2:$A$7,0))="","",INDEX('C_jama.2025.9110'!$H$2:$H$7,MATCH("2025::jama.2025.9110::C005",'C_jama.2025.9110'!$A$2:$A$7,0))),"not_applicable"),"NOT FROZEN")</x:f>
        <x:v>not_applicable</x:v>
      </x:c>
      <x:c r="E128" s="6" t="str">
        <x:f>IF(Setup!$B$6="primary",IF(AND(INDEX('C_jama.2025.9110'!$D$2:$D$7,MATCH("2025::jama.2025.9110::C005",'C_jama.2025.9110'!$A$2:$A$7,0))="retain",INDEX('C_jama.2025.9110'!$E$2:$E$7,MATCH("2025::jama.2025.9110::C005",'C_jama.2025.9110'!$A$2:$A$7,0))="statistical_results"),IF(INDEX('C_jama.2025.9110'!$I$2:$I$7,MATCH("2025::jama.2025.9110::C005",'C_jama.2025.9110'!$A$2:$A$7,0))="","",INDEX('C_jama.2025.9110'!$I$2:$I$7,MATCH("2025::jama.2025.9110::C005",'C_jama.2025.9110'!$A$2:$A$7,0))),"not_applicable"),"NOT FROZEN")</x:f>
        <x:v>not_applicable</x:v>
      </x:c>
      <x:c r="F128" s="6" t="str">
        <x:f>IF(Setup!$B$6="primary",IF(AND(INDEX('C_jama.2025.9110'!$D$2:$D$7,MATCH("2025::jama.2025.9110::C005",'C_jama.2025.9110'!$A$2:$A$7,0))="retain",INDEX('C_jama.2025.9110'!$E$2:$E$7,MATCH("2025::jama.2025.9110::C005",'C_jama.2025.9110'!$A$2:$A$7,0))="statistical_results"),IF(INDEX('C_jama.2025.9110'!$J$2:$J$7,MATCH("2025::jama.2025.9110::C005",'C_jama.2025.9110'!$A$2:$A$7,0))="","",INDEX('C_jama.2025.9110'!$J$2:$J$7,MATCH("2025::jama.2025.9110::C005",'C_jama.2025.9110'!$A$2:$A$7,0))),"not_applicable"),"NOT FROZEN")</x:f>
        <x:v>not_applicable</x:v>
      </x:c>
      <x:c r="G128" s="6" t="str">
        <x:f>IF(Setup!$B$6="primary",IF(AND(INDEX('C_jama.2025.9110'!$D$2:$D$7,MATCH("2025::jama.2025.9110::C005",'C_jama.2025.9110'!$A$2:$A$7,0))="retain",OR(INDEX('C_jama.2025.9110'!$E$2:$E$7,MATCH("2025::jama.2025.9110::C005",'C_jama.2025.9110'!$A$2:$A$7,0))="report_internal_inconsistency",INDEX('C_jama.2025.9110'!$E$2:$E$7,MATCH("2025::jama.2025.9110::C005",'C_jama.2025.9110'!$A$2:$A$7,0))="plan_material")),IF(INDEX('C_jama.2025.9110'!$K$2:$K$7,MATCH("2025::jama.2025.9110::C005",'C_jama.2025.9110'!$A$2:$A$7,0))="","",INDEX('C_jama.2025.9110'!$K$2:$K$7,MATCH("2025::jama.2025.9110::C005",'C_jama.2025.9110'!$A$2:$A$7,0))),"not_applicable"),"NOT FROZEN")</x:f>
        <x:v>not_applicable</x:v>
      </x:c>
      <x:c r="H128" s="6" t="str">
        <x:f>IF(Setup!$B$6="primary",IF(AND(INDEX('C_jama.2025.9110'!$D$2:$D$7,MATCH("2025::jama.2025.9110::C005",'C_jama.2025.9110'!$A$2:$A$7,0))="retain",INDEX('C_jama.2025.9110'!$E$2:$E$7,MATCH("2025::jama.2025.9110::C005",'C_jama.2025.9110'!$A$2:$A$7,0))="protocol_report"),IF(INDEX('C_jama.2025.9110'!$L$2:$L$7,MATCH("2025::jama.2025.9110::C005",'C_jama.2025.9110'!$A$2:$A$7,0))="","",INDEX('C_jama.2025.9110'!$L$2:$L$7,MATCH("2025::jama.2025.9110::C005",'C_jama.2025.9110'!$A$2:$A$7,0))),"not_applicable"),"NOT FROZEN")</x:f>
        <x:v>not_applicable</x:v>
      </x:c>
      <x:c r="I128" s="6" t="str">
        <x:f>IF(Setup!$B$6="primary",IF(INDEX('C_jama.2025.9110'!$R$2:$R$7,MATCH("2025::jama.2025.9110::C005",'C_jama.2025.9110'!$A$2:$A$7,0))="","",INDEX('C_jama.2025.9110'!$R$2:$R$7,MATCH("2025::jama.2025.9110::C005",'C_jama.2025.9110'!$A$2:$A$7,0))),"NOT FROZEN")</x:f>
      </x:c>
      <x:c r="J128" s="6" t="str">
        <x:f>IF(Setup!$B$6="primary",INDEX('C_jama.2025.9110'!$F$2:$F$7,MATCH("2025::jama.2025.9110::C005",'C_jama.2025.9110'!$A$2:$A$7,0)),"NOT FROZEN")</x:f>
        <x:v>no</x:v>
      </x:c>
      <x:c r="K128" s="6" t="str">
        <x:f>IF(Setup!$B$6="primary",Setup!$B$2,"NOT FROZEN")</x:f>
      </x:c>
      <x:c r="L128" s="6" t="str">
        <x:f>IF(Setup!$B$6="primary",IF(OR(B128="",B128="not_applicable"),"","Disposition: "&amp;B128&amp;CHAR(10))&amp;IF(OR(C128="",C128="not_applicable"),"","Review domain: "&amp;C128&amp;CHAR(10))&amp;IF(OR(D128="",D128="not_applicable"),"","Statistcal_or_numerical issue: "&amp;D128&amp;CHAR(10))&amp;IF(OR(E128="",E128="not_applicable"),"","Substantiveness: "&amp;E128&amp;CHAR(10))&amp;IF(OR(F128="",F128="not_applicable"),"","Downstream impact: "&amp;F128&amp;CHAR(10))&amp;IF(OR(G128="",G128="not_applicable"),"","Report-internal or planning-material inconsistency: "&amp;G128&amp;CHAR(10))&amp;IF(OR(H128="",H128="not_applicable"),"","Protocol interpretation: "&amp;H128&amp;CHAR(10))&amp;IF(OR(I128="",I128="not_applicable"),"","Notes (optional): "&amp;I128&amp;CHAR(10)),"NOT FROZEN")</x:f>
        <x:v>Review domain: report_internal_inconsistency
</x:v>
      </x:c>
    </x:row>
    <x:row r="129" ht="70" customHeight="1">
      <x:c r="A129" s="3" t="str">
        <x:f>IF(Setup!$B$6="primary","2025::jama.2025.9110::C006","NOT FROZEN")</x:f>
        <x:v>2025::jama.2025.9110::C006</x:v>
      </x:c>
      <x:c r="B129" s="3" t="str">
        <x:f>IF(Setup!$B$6="primary",IF(INDEX('C_jama.2025.9110'!$D$2:$D$7,MATCH("2025::jama.2025.9110::C006",'C_jama.2025.9110'!$A$2:$A$7,0))="","",INDEX('C_jama.2025.9110'!$D$2:$D$7,MATCH("2025::jama.2025.9110::C006",'C_jama.2025.9110'!$A$2:$A$7,0))),"NOT FROZEN")</x:f>
      </x:c>
      <x:c r="C129" s="3" t="str">
        <x:f>IF(Setup!$B$6="primary",IF(INDEX('C_jama.2025.9110'!$E$2:$E$7,MATCH("2025::jama.2025.9110::C006",'C_jama.2025.9110'!$A$2:$A$7,0))="","",INDEX('C_jama.2025.9110'!$E$2:$E$7,MATCH("2025::jama.2025.9110::C006",'C_jama.2025.9110'!$A$2:$A$7,0))),"NOT FROZEN")</x:f>
        <x:v>report_internal_inconsistency</x:v>
      </x:c>
      <x:c r="D129" s="3" t="str">
        <x:f>IF(Setup!$B$6="primary",IF(AND(INDEX('C_jama.2025.9110'!$D$2:$D$7,MATCH("2025::jama.2025.9110::C006",'C_jama.2025.9110'!$A$2:$A$7,0))="retain",INDEX('C_jama.2025.9110'!$E$2:$E$7,MATCH("2025::jama.2025.9110::C006",'C_jama.2025.9110'!$A$2:$A$7,0))="statistical_results"),IF(INDEX('C_jama.2025.9110'!$H$2:$H$7,MATCH("2025::jama.2025.9110::C006",'C_jama.2025.9110'!$A$2:$A$7,0))="","",INDEX('C_jama.2025.9110'!$H$2:$H$7,MATCH("2025::jama.2025.9110::C006",'C_jama.2025.9110'!$A$2:$A$7,0))),"not_applicable"),"NOT FROZEN")</x:f>
        <x:v>not_applicable</x:v>
      </x:c>
      <x:c r="E129" s="3" t="str">
        <x:f>IF(Setup!$B$6="primary",IF(AND(INDEX('C_jama.2025.9110'!$D$2:$D$7,MATCH("2025::jama.2025.9110::C006",'C_jama.2025.9110'!$A$2:$A$7,0))="retain",INDEX('C_jama.2025.9110'!$E$2:$E$7,MATCH("2025::jama.2025.9110::C006",'C_jama.2025.9110'!$A$2:$A$7,0))="statistical_results"),IF(INDEX('C_jama.2025.9110'!$I$2:$I$7,MATCH("2025::jama.2025.9110::C006",'C_jama.2025.9110'!$A$2:$A$7,0))="","",INDEX('C_jama.2025.9110'!$I$2:$I$7,MATCH("2025::jama.2025.9110::C006",'C_jama.2025.9110'!$A$2:$A$7,0))),"not_applicable"),"NOT FROZEN")</x:f>
        <x:v>not_applicable</x:v>
      </x:c>
      <x:c r="F129" s="3" t="str">
        <x:f>IF(Setup!$B$6="primary",IF(AND(INDEX('C_jama.2025.9110'!$D$2:$D$7,MATCH("2025::jama.2025.9110::C006",'C_jama.2025.9110'!$A$2:$A$7,0))="retain",INDEX('C_jama.2025.9110'!$E$2:$E$7,MATCH("2025::jama.2025.9110::C006",'C_jama.2025.9110'!$A$2:$A$7,0))="statistical_results"),IF(INDEX('C_jama.2025.9110'!$J$2:$J$7,MATCH("2025::jama.2025.9110::C006",'C_jama.2025.9110'!$A$2:$A$7,0))="","",INDEX('C_jama.2025.9110'!$J$2:$J$7,MATCH("2025::jama.2025.9110::C006",'C_jama.2025.9110'!$A$2:$A$7,0))),"not_applicable"),"NOT FROZEN")</x:f>
        <x:v>not_applicable</x:v>
      </x:c>
      <x:c r="G129" s="3" t="str">
        <x:f>IF(Setup!$B$6="primary",IF(AND(INDEX('C_jama.2025.9110'!$D$2:$D$7,MATCH("2025::jama.2025.9110::C006",'C_jama.2025.9110'!$A$2:$A$7,0))="retain",OR(INDEX('C_jama.2025.9110'!$E$2:$E$7,MATCH("2025::jama.2025.9110::C006",'C_jama.2025.9110'!$A$2:$A$7,0))="report_internal_inconsistency",INDEX('C_jama.2025.9110'!$E$2:$E$7,MATCH("2025::jama.2025.9110::C006",'C_jama.2025.9110'!$A$2:$A$7,0))="plan_material")),IF(INDEX('C_jama.2025.9110'!$K$2:$K$7,MATCH("2025::jama.2025.9110::C006",'C_jama.2025.9110'!$A$2:$A$7,0))="","",INDEX('C_jama.2025.9110'!$K$2:$K$7,MATCH("2025::jama.2025.9110::C006",'C_jama.2025.9110'!$A$2:$A$7,0))),"not_applicable"),"NOT FROZEN")</x:f>
        <x:v>not_applicable</x:v>
      </x:c>
      <x:c r="H129" s="3" t="str">
        <x:f>IF(Setup!$B$6="primary",IF(AND(INDEX('C_jama.2025.9110'!$D$2:$D$7,MATCH("2025::jama.2025.9110::C006",'C_jama.2025.9110'!$A$2:$A$7,0))="retain",INDEX('C_jama.2025.9110'!$E$2:$E$7,MATCH("2025::jama.2025.9110::C006",'C_jama.2025.9110'!$A$2:$A$7,0))="protocol_report"),IF(INDEX('C_jama.2025.9110'!$L$2:$L$7,MATCH("2025::jama.2025.9110::C006",'C_jama.2025.9110'!$A$2:$A$7,0))="","",INDEX('C_jama.2025.9110'!$L$2:$L$7,MATCH("2025::jama.2025.9110::C006",'C_jama.2025.9110'!$A$2:$A$7,0))),"not_applicable"),"NOT FROZEN")</x:f>
        <x:v>not_applicable</x:v>
      </x:c>
      <x:c r="I129" s="3" t="str">
        <x:f>IF(Setup!$B$6="primary",IF(INDEX('C_jama.2025.9110'!$R$2:$R$7,MATCH("2025::jama.2025.9110::C006",'C_jama.2025.9110'!$A$2:$A$7,0))="","",INDEX('C_jama.2025.9110'!$R$2:$R$7,MATCH("2025::jama.2025.9110::C006",'C_jama.2025.9110'!$A$2:$A$7,0))),"NOT FROZEN")</x:f>
      </x:c>
      <x:c r="J129" s="3" t="str">
        <x:f>IF(Setup!$B$6="primary",INDEX('C_jama.2025.9110'!$F$2:$F$7,MATCH("2025::jama.2025.9110::C006",'C_jama.2025.9110'!$A$2:$A$7,0)),"NOT FROZEN")</x:f>
        <x:v>no</x:v>
      </x:c>
      <x:c r="K129" s="3" t="str">
        <x:f>IF(Setup!$B$6="primary",Setup!$B$2,"NOT FROZEN")</x:f>
      </x:c>
      <x:c r="L129" s="3" t="str">
        <x:f>IF(Setup!$B$6="primary",IF(OR(B129="",B129="not_applicable"),"","Disposition: "&amp;B129&amp;CHAR(10))&amp;IF(OR(C129="",C129="not_applicable"),"","Review domain: "&amp;C129&amp;CHAR(10))&amp;IF(OR(D129="",D129="not_applicable"),"","Statistcal_or_numerical issue: "&amp;D129&amp;CHAR(10))&amp;IF(OR(E129="",E129="not_applicable"),"","Substantiveness: "&amp;E129&amp;CHAR(10))&amp;IF(OR(F129="",F129="not_applicable"),"","Downstream impact: "&amp;F129&amp;CHAR(10))&amp;IF(OR(G129="",G129="not_applicable"),"","Report-internal or planning-material inconsistency: "&amp;G129&amp;CHAR(10))&amp;IF(OR(H129="",H129="not_applicable"),"","Protocol interpretation: "&amp;H129&amp;CHAR(10))&amp;IF(OR(I129="",I129="not_applicable"),"","Notes (optional): "&amp;I129&amp;CHAR(10)),"NOT FROZEN")</x:f>
        <x:v>Review domain: report_internal_inconsistency
</x:v>
      </x:c>
    </x:row>
    <x:row r="130" ht="70" customHeight="1">
      <x:c r="A130" s="6" t="str">
        <x:f>IF(Setup!$B$6="primary","2025::jama.2025.9663::C001","NOT FROZEN")</x:f>
        <x:v>2025::jama.2025.9663::C001</x:v>
      </x:c>
      <x:c r="B130" s="6" t="str">
        <x:f>IF(Setup!$B$6="primary",IF(INDEX('C_jama.2025.9663'!$D$2:$D$4,MATCH("2025::jama.2025.9663::C001",'C_jama.2025.9663'!$A$2:$A$4,0))="","",INDEX('C_jama.2025.9663'!$D$2:$D$4,MATCH("2025::jama.2025.9663::C001",'C_jama.2025.9663'!$A$2:$A$4,0))),"NOT FROZEN")</x:f>
      </x:c>
      <x:c r="C130" s="6" t="str">
        <x:f>IF(Setup!$B$6="primary",IF(INDEX('C_jama.2025.9663'!$E$2:$E$4,MATCH("2025::jama.2025.9663::C001",'C_jama.2025.9663'!$A$2:$A$4,0))="","",INDEX('C_jama.2025.9663'!$E$2:$E$4,MATCH("2025::jama.2025.9663::C001",'C_jama.2025.9663'!$A$2:$A$4,0))),"NOT FROZEN")</x:f>
        <x:v>report_internal_inconsistency</x:v>
      </x:c>
      <x:c r="D130" s="6" t="str">
        <x:f>IF(Setup!$B$6="primary",IF(AND(INDEX('C_jama.2025.9663'!$D$2:$D$4,MATCH("2025::jama.2025.9663::C001",'C_jama.2025.9663'!$A$2:$A$4,0))="retain",INDEX('C_jama.2025.9663'!$E$2:$E$4,MATCH("2025::jama.2025.9663::C001",'C_jama.2025.9663'!$A$2:$A$4,0))="statistical_results"),IF(INDEX('C_jama.2025.9663'!$H$2:$H$4,MATCH("2025::jama.2025.9663::C001",'C_jama.2025.9663'!$A$2:$A$4,0))="","",INDEX('C_jama.2025.9663'!$H$2:$H$4,MATCH("2025::jama.2025.9663::C001",'C_jama.2025.9663'!$A$2:$A$4,0))),"not_applicable"),"NOT FROZEN")</x:f>
        <x:v>not_applicable</x:v>
      </x:c>
      <x:c r="E130" s="6" t="str">
        <x:f>IF(Setup!$B$6="primary",IF(AND(INDEX('C_jama.2025.9663'!$D$2:$D$4,MATCH("2025::jama.2025.9663::C001",'C_jama.2025.9663'!$A$2:$A$4,0))="retain",INDEX('C_jama.2025.9663'!$E$2:$E$4,MATCH("2025::jama.2025.9663::C001",'C_jama.2025.9663'!$A$2:$A$4,0))="statistical_results"),IF(INDEX('C_jama.2025.9663'!$I$2:$I$4,MATCH("2025::jama.2025.9663::C001",'C_jama.2025.9663'!$A$2:$A$4,0))="","",INDEX('C_jama.2025.9663'!$I$2:$I$4,MATCH("2025::jama.2025.9663::C001",'C_jama.2025.9663'!$A$2:$A$4,0))),"not_applicable"),"NOT FROZEN")</x:f>
        <x:v>not_applicable</x:v>
      </x:c>
      <x:c r="F130" s="6" t="str">
        <x:f>IF(Setup!$B$6="primary",IF(AND(INDEX('C_jama.2025.9663'!$D$2:$D$4,MATCH("2025::jama.2025.9663::C001",'C_jama.2025.9663'!$A$2:$A$4,0))="retain",INDEX('C_jama.2025.9663'!$E$2:$E$4,MATCH("2025::jama.2025.9663::C001",'C_jama.2025.9663'!$A$2:$A$4,0))="statistical_results"),IF(INDEX('C_jama.2025.9663'!$J$2:$J$4,MATCH("2025::jama.2025.9663::C001",'C_jama.2025.9663'!$A$2:$A$4,0))="","",INDEX('C_jama.2025.9663'!$J$2:$J$4,MATCH("2025::jama.2025.9663::C001",'C_jama.2025.9663'!$A$2:$A$4,0))),"not_applicable"),"NOT FROZEN")</x:f>
        <x:v>not_applicable</x:v>
      </x:c>
      <x:c r="G130" s="6" t="str">
        <x:f>IF(Setup!$B$6="primary",IF(AND(INDEX('C_jama.2025.9663'!$D$2:$D$4,MATCH("2025::jama.2025.9663::C001",'C_jama.2025.9663'!$A$2:$A$4,0))="retain",OR(INDEX('C_jama.2025.9663'!$E$2:$E$4,MATCH("2025::jama.2025.9663::C001",'C_jama.2025.9663'!$A$2:$A$4,0))="report_internal_inconsistency",INDEX('C_jama.2025.9663'!$E$2:$E$4,MATCH("2025::jama.2025.9663::C001",'C_jama.2025.9663'!$A$2:$A$4,0))="plan_material")),IF(INDEX('C_jama.2025.9663'!$K$2:$K$4,MATCH("2025::jama.2025.9663::C001",'C_jama.2025.9663'!$A$2:$A$4,0))="","",INDEX('C_jama.2025.9663'!$K$2:$K$4,MATCH("2025::jama.2025.9663::C001",'C_jama.2025.9663'!$A$2:$A$4,0))),"not_applicable"),"NOT FROZEN")</x:f>
        <x:v>not_applicable</x:v>
      </x:c>
      <x:c r="H130" s="6" t="str">
        <x:f>IF(Setup!$B$6="primary",IF(AND(INDEX('C_jama.2025.9663'!$D$2:$D$4,MATCH("2025::jama.2025.9663::C001",'C_jama.2025.9663'!$A$2:$A$4,0))="retain",INDEX('C_jama.2025.9663'!$E$2:$E$4,MATCH("2025::jama.2025.9663::C001",'C_jama.2025.9663'!$A$2:$A$4,0))="protocol_report"),IF(INDEX('C_jama.2025.9663'!$L$2:$L$4,MATCH("2025::jama.2025.9663::C001",'C_jama.2025.9663'!$A$2:$A$4,0))="","",INDEX('C_jama.2025.9663'!$L$2:$L$4,MATCH("2025::jama.2025.9663::C001",'C_jama.2025.9663'!$A$2:$A$4,0))),"not_applicable"),"NOT FROZEN")</x:f>
        <x:v>not_applicable</x:v>
      </x:c>
      <x:c r="I130" s="6" t="str">
        <x:f>IF(Setup!$B$6="primary",IF(INDEX('C_jama.2025.9663'!$R$2:$R$4,MATCH("2025::jama.2025.9663::C001",'C_jama.2025.9663'!$A$2:$A$4,0))="","",INDEX('C_jama.2025.9663'!$R$2:$R$4,MATCH("2025::jama.2025.9663::C001",'C_jama.2025.9663'!$A$2:$A$4,0))),"NOT FROZEN")</x:f>
      </x:c>
      <x:c r="J130" s="6" t="str">
        <x:f>IF(Setup!$B$6="primary",INDEX('C_jama.2025.9663'!$F$2:$F$4,MATCH("2025::jama.2025.9663::C001",'C_jama.2025.9663'!$A$2:$A$4,0)),"NOT FROZEN")</x:f>
        <x:v>no</x:v>
      </x:c>
      <x:c r="K130" s="6" t="str">
        <x:f>IF(Setup!$B$6="primary",Setup!$B$2,"NOT FROZEN")</x:f>
      </x:c>
      <x:c r="L130" s="6" t="str">
        <x:f>IF(Setup!$B$6="primary",IF(OR(B130="",B130="not_applicable"),"","Disposition: "&amp;B130&amp;CHAR(10))&amp;IF(OR(C130="",C130="not_applicable"),"","Review domain: "&amp;C130&amp;CHAR(10))&amp;IF(OR(D130="",D130="not_applicable"),"","Statistcal_or_numerical issue: "&amp;D130&amp;CHAR(10))&amp;IF(OR(E130="",E130="not_applicable"),"","Substantiveness: "&amp;E130&amp;CHAR(10))&amp;IF(OR(F130="",F130="not_applicable"),"","Downstream impact: "&amp;F130&amp;CHAR(10))&amp;IF(OR(G130="",G130="not_applicable"),"","Report-internal or planning-material inconsistency: "&amp;G130&amp;CHAR(10))&amp;IF(OR(H130="",H130="not_applicable"),"","Protocol interpretation: "&amp;H130&amp;CHAR(10))&amp;IF(OR(I130="",I130="not_applicable"),"","Notes (optional): "&amp;I130&amp;CHAR(10)),"NOT FROZEN")</x:f>
        <x:v>Review domain: report_internal_inconsistency
</x:v>
      </x:c>
    </x:row>
    <x:row r="131" ht="70" customHeight="1">
      <x:c r="A131" s="3" t="str">
        <x:f>IF(Setup!$B$6="primary","2025::jama.2025.9663::C002","NOT FROZEN")</x:f>
        <x:v>2025::jama.2025.9663::C002</x:v>
      </x:c>
      <x:c r="B131" s="3" t="str">
        <x:f>IF(Setup!$B$6="primary",IF(INDEX('C_jama.2025.9663'!$D$2:$D$4,MATCH("2025::jama.2025.9663::C002",'C_jama.2025.9663'!$A$2:$A$4,0))="","",INDEX('C_jama.2025.9663'!$D$2:$D$4,MATCH("2025::jama.2025.9663::C002",'C_jama.2025.9663'!$A$2:$A$4,0))),"NOT FROZEN")</x:f>
      </x:c>
      <x:c r="C131" s="3" t="str">
        <x:f>IF(Setup!$B$6="primary",IF(INDEX('C_jama.2025.9663'!$E$2:$E$4,MATCH("2025::jama.2025.9663::C002",'C_jama.2025.9663'!$A$2:$A$4,0))="","",INDEX('C_jama.2025.9663'!$E$2:$E$4,MATCH("2025::jama.2025.9663::C002",'C_jama.2025.9663'!$A$2:$A$4,0))),"NOT FROZEN")</x:f>
        <x:v>report_internal_inconsistency</x:v>
      </x:c>
      <x:c r="D131" s="3" t="str">
        <x:f>IF(Setup!$B$6="primary",IF(AND(INDEX('C_jama.2025.9663'!$D$2:$D$4,MATCH("2025::jama.2025.9663::C002",'C_jama.2025.9663'!$A$2:$A$4,0))="retain",INDEX('C_jama.2025.9663'!$E$2:$E$4,MATCH("2025::jama.2025.9663::C002",'C_jama.2025.9663'!$A$2:$A$4,0))="statistical_results"),IF(INDEX('C_jama.2025.9663'!$H$2:$H$4,MATCH("2025::jama.2025.9663::C002",'C_jama.2025.9663'!$A$2:$A$4,0))="","",INDEX('C_jama.2025.9663'!$H$2:$H$4,MATCH("2025::jama.2025.9663::C002",'C_jama.2025.9663'!$A$2:$A$4,0))),"not_applicable"),"NOT FROZEN")</x:f>
        <x:v>not_applicable</x:v>
      </x:c>
      <x:c r="E131" s="3" t="str">
        <x:f>IF(Setup!$B$6="primary",IF(AND(INDEX('C_jama.2025.9663'!$D$2:$D$4,MATCH("2025::jama.2025.9663::C002",'C_jama.2025.9663'!$A$2:$A$4,0))="retain",INDEX('C_jama.2025.9663'!$E$2:$E$4,MATCH("2025::jama.2025.9663::C002",'C_jama.2025.9663'!$A$2:$A$4,0))="statistical_results"),IF(INDEX('C_jama.2025.9663'!$I$2:$I$4,MATCH("2025::jama.2025.9663::C002",'C_jama.2025.9663'!$A$2:$A$4,0))="","",INDEX('C_jama.2025.9663'!$I$2:$I$4,MATCH("2025::jama.2025.9663::C002",'C_jama.2025.9663'!$A$2:$A$4,0))),"not_applicable"),"NOT FROZEN")</x:f>
        <x:v>not_applicable</x:v>
      </x:c>
      <x:c r="F131" s="3" t="str">
        <x:f>IF(Setup!$B$6="primary",IF(AND(INDEX('C_jama.2025.9663'!$D$2:$D$4,MATCH("2025::jama.2025.9663::C002",'C_jama.2025.9663'!$A$2:$A$4,0))="retain",INDEX('C_jama.2025.9663'!$E$2:$E$4,MATCH("2025::jama.2025.9663::C002",'C_jama.2025.9663'!$A$2:$A$4,0))="statistical_results"),IF(INDEX('C_jama.2025.9663'!$J$2:$J$4,MATCH("2025::jama.2025.9663::C002",'C_jama.2025.9663'!$A$2:$A$4,0))="","",INDEX('C_jama.2025.9663'!$J$2:$J$4,MATCH("2025::jama.2025.9663::C002",'C_jama.2025.9663'!$A$2:$A$4,0))),"not_applicable"),"NOT FROZEN")</x:f>
        <x:v>not_applicable</x:v>
      </x:c>
      <x:c r="G131" s="3" t="str">
        <x:f>IF(Setup!$B$6="primary",IF(AND(INDEX('C_jama.2025.9663'!$D$2:$D$4,MATCH("2025::jama.2025.9663::C002",'C_jama.2025.9663'!$A$2:$A$4,0))="retain",OR(INDEX('C_jama.2025.9663'!$E$2:$E$4,MATCH("2025::jama.2025.9663::C002",'C_jama.2025.9663'!$A$2:$A$4,0))="report_internal_inconsistency",INDEX('C_jama.2025.9663'!$E$2:$E$4,MATCH("2025::jama.2025.9663::C002",'C_jama.2025.9663'!$A$2:$A$4,0))="plan_material")),IF(INDEX('C_jama.2025.9663'!$K$2:$K$4,MATCH("2025::jama.2025.9663::C002",'C_jama.2025.9663'!$A$2:$A$4,0))="","",INDEX('C_jama.2025.9663'!$K$2:$K$4,MATCH("2025::jama.2025.9663::C002",'C_jama.2025.9663'!$A$2:$A$4,0))),"not_applicable"),"NOT FROZEN")</x:f>
        <x:v>not_applicable</x:v>
      </x:c>
      <x:c r="H131" s="3" t="str">
        <x:f>IF(Setup!$B$6="primary",IF(AND(INDEX('C_jama.2025.9663'!$D$2:$D$4,MATCH("2025::jama.2025.9663::C002",'C_jama.2025.9663'!$A$2:$A$4,0))="retain",INDEX('C_jama.2025.9663'!$E$2:$E$4,MATCH("2025::jama.2025.9663::C002",'C_jama.2025.9663'!$A$2:$A$4,0))="protocol_report"),IF(INDEX('C_jama.2025.9663'!$L$2:$L$4,MATCH("2025::jama.2025.9663::C002",'C_jama.2025.9663'!$A$2:$A$4,0))="","",INDEX('C_jama.2025.9663'!$L$2:$L$4,MATCH("2025::jama.2025.9663::C002",'C_jama.2025.9663'!$A$2:$A$4,0))),"not_applicable"),"NOT FROZEN")</x:f>
        <x:v>not_applicable</x:v>
      </x:c>
      <x:c r="I131" s="3" t="str">
        <x:f>IF(Setup!$B$6="primary",IF(INDEX('C_jama.2025.9663'!$R$2:$R$4,MATCH("2025::jama.2025.9663::C002",'C_jama.2025.9663'!$A$2:$A$4,0))="","",INDEX('C_jama.2025.9663'!$R$2:$R$4,MATCH("2025::jama.2025.9663::C002",'C_jama.2025.9663'!$A$2:$A$4,0))),"NOT FROZEN")</x:f>
      </x:c>
      <x:c r="J131" s="3" t="str">
        <x:f>IF(Setup!$B$6="primary",INDEX('C_jama.2025.9663'!$F$2:$F$4,MATCH("2025::jama.2025.9663::C002",'C_jama.2025.9663'!$A$2:$A$4,0)),"NOT FROZEN")</x:f>
        <x:v>no</x:v>
      </x:c>
      <x:c r="K131" s="3" t="str">
        <x:f>IF(Setup!$B$6="primary",Setup!$B$2,"NOT FROZEN")</x:f>
      </x:c>
      <x:c r="L131" s="3" t="str">
        <x:f>IF(Setup!$B$6="primary",IF(OR(B131="",B131="not_applicable"),"","Disposition: "&amp;B131&amp;CHAR(10))&amp;IF(OR(C131="",C131="not_applicable"),"","Review domain: "&amp;C131&amp;CHAR(10))&amp;IF(OR(D131="",D131="not_applicable"),"","Statistcal_or_numerical issue: "&amp;D131&amp;CHAR(10))&amp;IF(OR(E131="",E131="not_applicable"),"","Substantiveness: "&amp;E131&amp;CHAR(10))&amp;IF(OR(F131="",F131="not_applicable"),"","Downstream impact: "&amp;F131&amp;CHAR(10))&amp;IF(OR(G131="",G131="not_applicable"),"","Report-internal or planning-material inconsistency: "&amp;G131&amp;CHAR(10))&amp;IF(OR(H131="",H131="not_applicable"),"","Protocol interpretation: "&amp;H131&amp;CHAR(10))&amp;IF(OR(I131="",I131="not_applicable"),"","Notes (optional): "&amp;I131&amp;CHAR(10)),"NOT FROZEN")</x:f>
        <x:v>Review domain: report_internal_inconsistency
</x:v>
      </x:c>
    </x:row>
    <x:row r="132" ht="70" customHeight="1">
      <x:c r="A132" s="6" t="str">
        <x:f>IF(Setup!$B$6="primary","2025::jama.2025.9663::C003","NOT FROZEN")</x:f>
        <x:v>2025::jama.2025.9663::C003</x:v>
      </x:c>
      <x:c r="B132" s="6" t="str">
        <x:f>IF(Setup!$B$6="primary",IF(INDEX('C_jama.2025.9663'!$D$2:$D$4,MATCH("2025::jama.2025.9663::C003",'C_jama.2025.9663'!$A$2:$A$4,0))="","",INDEX('C_jama.2025.9663'!$D$2:$D$4,MATCH("2025::jama.2025.9663::C003",'C_jama.2025.9663'!$A$2:$A$4,0))),"NOT FROZEN")</x:f>
      </x:c>
      <x:c r="C132" s="6" t="str">
        <x:f>IF(Setup!$B$6="primary",IF(INDEX('C_jama.2025.9663'!$E$2:$E$4,MATCH("2025::jama.2025.9663::C003",'C_jama.2025.9663'!$A$2:$A$4,0))="","",INDEX('C_jama.2025.9663'!$E$2:$E$4,MATCH("2025::jama.2025.9663::C003",'C_jama.2025.9663'!$A$2:$A$4,0))),"NOT FROZEN")</x:f>
        <x:v>plan_material</x:v>
      </x:c>
      <x:c r="D132" s="6" t="str">
        <x:f>IF(Setup!$B$6="primary",IF(AND(INDEX('C_jama.2025.9663'!$D$2:$D$4,MATCH("2025::jama.2025.9663::C003",'C_jama.2025.9663'!$A$2:$A$4,0))="retain",INDEX('C_jama.2025.9663'!$E$2:$E$4,MATCH("2025::jama.2025.9663::C003",'C_jama.2025.9663'!$A$2:$A$4,0))="statistical_results"),IF(INDEX('C_jama.2025.9663'!$H$2:$H$4,MATCH("2025::jama.2025.9663::C003",'C_jama.2025.9663'!$A$2:$A$4,0))="","",INDEX('C_jama.2025.9663'!$H$2:$H$4,MATCH("2025::jama.2025.9663::C003",'C_jama.2025.9663'!$A$2:$A$4,0))),"not_applicable"),"NOT FROZEN")</x:f>
        <x:v>not_applicable</x:v>
      </x:c>
      <x:c r="E132" s="6" t="str">
        <x:f>IF(Setup!$B$6="primary",IF(AND(INDEX('C_jama.2025.9663'!$D$2:$D$4,MATCH("2025::jama.2025.9663::C003",'C_jama.2025.9663'!$A$2:$A$4,0))="retain",INDEX('C_jama.2025.9663'!$E$2:$E$4,MATCH("2025::jama.2025.9663::C003",'C_jama.2025.9663'!$A$2:$A$4,0))="statistical_results"),IF(INDEX('C_jama.2025.9663'!$I$2:$I$4,MATCH("2025::jama.2025.9663::C003",'C_jama.2025.9663'!$A$2:$A$4,0))="","",INDEX('C_jama.2025.9663'!$I$2:$I$4,MATCH("2025::jama.2025.9663::C003",'C_jama.2025.9663'!$A$2:$A$4,0))),"not_applicable"),"NOT FROZEN")</x:f>
        <x:v>not_applicable</x:v>
      </x:c>
      <x:c r="F132" s="6" t="str">
        <x:f>IF(Setup!$B$6="primary",IF(AND(INDEX('C_jama.2025.9663'!$D$2:$D$4,MATCH("2025::jama.2025.9663::C003",'C_jama.2025.9663'!$A$2:$A$4,0))="retain",INDEX('C_jama.2025.9663'!$E$2:$E$4,MATCH("2025::jama.2025.9663::C003",'C_jama.2025.9663'!$A$2:$A$4,0))="statistical_results"),IF(INDEX('C_jama.2025.9663'!$J$2:$J$4,MATCH("2025::jama.2025.9663::C003",'C_jama.2025.9663'!$A$2:$A$4,0))="","",INDEX('C_jama.2025.9663'!$J$2:$J$4,MATCH("2025::jama.2025.9663::C003",'C_jama.2025.9663'!$A$2:$A$4,0))),"not_applicable"),"NOT FROZEN")</x:f>
        <x:v>not_applicable</x:v>
      </x:c>
      <x:c r="G132" s="6" t="str">
        <x:f>IF(Setup!$B$6="primary",IF(AND(INDEX('C_jama.2025.9663'!$D$2:$D$4,MATCH("2025::jama.2025.9663::C003",'C_jama.2025.9663'!$A$2:$A$4,0))="retain",OR(INDEX('C_jama.2025.9663'!$E$2:$E$4,MATCH("2025::jama.2025.9663::C003",'C_jama.2025.9663'!$A$2:$A$4,0))="report_internal_inconsistency",INDEX('C_jama.2025.9663'!$E$2:$E$4,MATCH("2025::jama.2025.9663::C003",'C_jama.2025.9663'!$A$2:$A$4,0))="plan_material")),IF(INDEX('C_jama.2025.9663'!$K$2:$K$4,MATCH("2025::jama.2025.9663::C003",'C_jama.2025.9663'!$A$2:$A$4,0))="","",INDEX('C_jama.2025.9663'!$K$2:$K$4,MATCH("2025::jama.2025.9663::C003",'C_jama.2025.9663'!$A$2:$A$4,0))),"not_applicable"),"NOT FROZEN")</x:f>
        <x:v>not_applicable</x:v>
      </x:c>
      <x:c r="H132" s="6" t="str">
        <x:f>IF(Setup!$B$6="primary",IF(AND(INDEX('C_jama.2025.9663'!$D$2:$D$4,MATCH("2025::jama.2025.9663::C003",'C_jama.2025.9663'!$A$2:$A$4,0))="retain",INDEX('C_jama.2025.9663'!$E$2:$E$4,MATCH("2025::jama.2025.9663::C003",'C_jama.2025.9663'!$A$2:$A$4,0))="protocol_report"),IF(INDEX('C_jama.2025.9663'!$L$2:$L$4,MATCH("2025::jama.2025.9663::C003",'C_jama.2025.9663'!$A$2:$A$4,0))="","",INDEX('C_jama.2025.9663'!$L$2:$L$4,MATCH("2025::jama.2025.9663::C003",'C_jama.2025.9663'!$A$2:$A$4,0))),"not_applicable"),"NOT FROZEN")</x:f>
        <x:v>not_applicable</x:v>
      </x:c>
      <x:c r="I132" s="6" t="str">
        <x:f>IF(Setup!$B$6="primary",IF(INDEX('C_jama.2025.9663'!$R$2:$R$4,MATCH("2025::jama.2025.9663::C003",'C_jama.2025.9663'!$A$2:$A$4,0))="","",INDEX('C_jama.2025.9663'!$R$2:$R$4,MATCH("2025::jama.2025.9663::C003",'C_jama.2025.9663'!$A$2:$A$4,0))),"NOT FROZEN")</x:f>
      </x:c>
      <x:c r="J132" s="6" t="str">
        <x:f>IF(Setup!$B$6="primary",INDEX('C_jama.2025.9663'!$F$2:$F$4,MATCH("2025::jama.2025.9663::C003",'C_jama.2025.9663'!$A$2:$A$4,0)),"NOT FROZEN")</x:f>
        <x:v>no</x:v>
      </x:c>
      <x:c r="K132" s="6" t="str">
        <x:f>IF(Setup!$B$6="primary",Setup!$B$2,"NOT FROZEN")</x:f>
      </x:c>
      <x:c r="L132" s="6" t="str">
        <x:f>IF(Setup!$B$6="primary",IF(OR(B132="",B132="not_applicable"),"","Disposition: "&amp;B132&amp;CHAR(10))&amp;IF(OR(C132="",C132="not_applicable"),"","Review domain: "&amp;C132&amp;CHAR(10))&amp;IF(OR(D132="",D132="not_applicable"),"","Statistcal_or_numerical issue: "&amp;D132&amp;CHAR(10))&amp;IF(OR(E132="",E132="not_applicable"),"","Substantiveness: "&amp;E132&amp;CHAR(10))&amp;IF(OR(F132="",F132="not_applicable"),"","Downstream impact: "&amp;F132&amp;CHAR(10))&amp;IF(OR(G132="",G132="not_applicable"),"","Report-internal or planning-material inconsistency: "&amp;G132&amp;CHAR(10))&amp;IF(OR(H132="",H132="not_applicable"),"","Protocol interpretation: "&amp;H132&amp;CHAR(10))&amp;IF(OR(I132="",I132="not_applicable"),"","Notes (optional): "&amp;I132&amp;CHAR(10)),"NOT FROZEN")</x:f>
        <x:v>Review domain: plan_material
</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2025</x:v>
      </x:c>
      <x:c r="B2" s="6" t="str">
        <x:v>jama.2024.24764</x:v>
      </x:c>
      <x:c r="C2" s="6" t="str">
        <x:v>2025::jama.2024.24764::C001</x:v>
      </x:c>
      <x:c r="D2" s="6" t="str">
        <x:v>S_W</x:v>
      </x:c>
      <x:c r="E2" s="6" t="n">
        <x:f>Setup!$B$2</x:f>
        <x:v>0</x:v>
      </x:c>
      <x:c r="F2" s="6" t="str">
        <x:f>IF(Setup!$B$4="","",Setup!$B$4)</x:f>
      </x:c>
      <x:c r="G2" s="6" t="str">
        <x:f>IFERROR(INDEX('C_jama.2024.24764'!$G$2:$G$9,MATCH("2025::jama.2024.24764::C001",'C_jama.2024.24764'!$A$2:$A$9,0)),"CHECK KEY")</x:f>
        <x:v>CHECK REVIEWER IDs</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statistical_results</x:v>
      </x:c>
      <x:c r="K2" s="6" t="str">
        <x:f>IF(Setup!$B$6="primary","",IFERROR(IF(INDEX('Primary_snapshot'!$B$2:$B$132,MATCH(C2,'Primary_snapshot'!$A$2:$A$132,0))="","",INDEX('Primary_snapshot'!$B$2:$B$132,MATCH(C2,'Primary_snapshot'!$A$2:$A$132,0))),"SNAPSHOT MISSING"))</x:f>
      </x:c>
      <x:c r="L2" s="6" t="str">
        <x:f>IF(Setup!$B$6="primary","",IFERROR(IF(INDEX('Primary_snapshot'!$C$2:$C$132,MATCH(C2,'Primary_snapshot'!$A$2:$A$132,0))="","",INDEX('Primary_snapshot'!$C$2:$C$132,MATCH(C2,'Primary_snapshot'!$A$2:$A$132,0))),"SNAPSHOT MISSING"))</x:f>
      </x:c>
      <x:c r="M2" s="6" t="str">
        <x:f>IF(Setup!$B$6="primary","",IFERROR(IF(INDEX('Primary_snapshot'!$D$2:$D$132,MATCH(C2,'Primary_snapshot'!$A$2:$A$132,0))="","",INDEX('Primary_snapshot'!$D$2:$D$132,MATCH(C2,'Primary_snapshot'!$A$2:$A$132,0))),"SNAPSHOT MISSING"))</x:f>
      </x:c>
      <x:c r="N2" s="6" t="str">
        <x:f>IF(Setup!$B$6="primary","",IFERROR(IF(INDEX('Primary_snapshot'!$E$2:$E$132,MATCH(C2,'Primary_snapshot'!$A$2:$A$132,0))="","",INDEX('Primary_snapshot'!$E$2:$E$132,MATCH(C2,'Primary_snapshot'!$A$2:$A$132,0))),"SNAPSHOT MISSING"))</x:f>
      </x:c>
      <x:c r="O2" s="6" t="str">
        <x:f>IF(Setup!$B$6="primary","",IFERROR(IF(INDEX('Primary_snapshot'!$F$2:$F$132,MATCH(C2,'Primary_snapshot'!$A$2:$A$132,0))="","",INDEX('Primary_snapshot'!$F$2:$F$132,MATCH(C2,'Primary_snapshot'!$A$2:$A$132,0))),"SNAPSHOT MISSING"))</x:f>
      </x:c>
      <x:c r="P2" s="6" t="str">
        <x:f>IF(Setup!$B$6="primary","",IFERROR(IF(INDEX('Primary_snapshot'!$G$2:$G$132,MATCH(C2,'Primary_snapshot'!$A$2:$A$132,0))="","",INDEX('Primary_snapshot'!$G$2:$G$132,MATCH(C2,'Primary_snapshot'!$A$2:$A$132,0))),"SNAPSHOT MISSING"))</x:f>
      </x:c>
      <x:c r="Q2" s="6" t="str">
        <x:f>IF(Setup!$B$6="primary","",IFERROR(IF(INDEX('Primary_snapshot'!$H$2:$H$132,MATCH(C2,'Primary_snapshot'!$A$2:$A$132,0))="","",INDEX('Primary_snapshot'!$H$2:$H$132,MATCH(C2,'Primary_snapshot'!$A$2:$A$132,0))),"SNAPSHOT MISSING"))</x:f>
      </x:c>
      <x:c r="R2" s="6" t="str">
        <x:f>IF(Setup!$B$6="primary","",IFERROR(IF(INDEX('Primary_snapshot'!$I$2:$I$132,MATCH(C2,'Primary_snapshot'!$A$2:$A$132,0))="","",INDEX('Primary_snapshot'!$I$2:$I$132,MATCH(C2,'Primary_snapshot'!$A$2:$A$132,0))),"SNAPSHOT MISSING"))</x:f>
      </x:c>
      <x:c r="S2" s="6" t="str">
        <x:f>IF(INDEX('C_jama.2024.24764'!$D$2:$D$9,MATCH("2025::jama.2024.24764::C001",'C_jama.2024.24764'!$A$2:$A$9,0))="","",INDEX('C_jama.2024.24764'!$D$2:$D$9,MATCH("2025::jama.2024.24764::C001",'C_jama.2024.24764'!$A$2:$A$9,0)))</x:f>
      </x:c>
      <x:c r="T2" s="6" t="str">
        <x:f>IF(INDEX('C_jama.2024.24764'!$E$2:$E$9,MATCH("2025::jama.2024.24764::C001",'C_jama.2024.24764'!$A$2:$A$9,0))="","",INDEX('C_jama.2024.24764'!$E$2:$E$9,MATCH("2025::jama.2024.24764::C001",'C_jama.2024.24764'!$A$2:$A$9,0)))</x:f>
        <x:v>statistical_results</x:v>
      </x:c>
      <x:c r="U2" s="6" t="str">
        <x:f>IF(AND(INDEX('C_jama.2024.24764'!$D$2:$D$9,MATCH("2025::jama.2024.24764::C001",'C_jama.2024.24764'!$A$2:$A$9,0))="retain",INDEX('C_jama.2024.24764'!$E$2:$E$9,MATCH("2025::jama.2024.24764::C001",'C_jama.2024.24764'!$A$2:$A$9,0))="statistical_results"),IF(INDEX('C_jama.2024.24764'!$H$2:$H$9,MATCH("2025::jama.2024.24764::C001",'C_jama.2024.24764'!$A$2:$A$9,0))="","",INDEX('C_jama.2024.24764'!$H$2:$H$9,MATCH("2025::jama.2024.24764::C001",'C_jama.2024.24764'!$A$2:$A$9,0))),"not_applicable")</x:f>
        <x:v>not_applicable</x:v>
      </x:c>
      <x:c r="V2" s="6" t="str">
        <x:f>IF(AND(INDEX('C_jama.2024.24764'!$D$2:$D$9,MATCH("2025::jama.2024.24764::C001",'C_jama.2024.24764'!$A$2:$A$9,0))="retain",INDEX('C_jama.2024.24764'!$E$2:$E$9,MATCH("2025::jama.2024.24764::C001",'C_jama.2024.24764'!$A$2:$A$9,0))="statistical_results"),IF(INDEX('C_jama.2024.24764'!$I$2:$I$9,MATCH("2025::jama.2024.24764::C001",'C_jama.2024.24764'!$A$2:$A$9,0))="","",INDEX('C_jama.2024.24764'!$I$2:$I$9,MATCH("2025::jama.2024.24764::C001",'C_jama.2024.24764'!$A$2:$A$9,0))),"not_applicable")</x:f>
        <x:v>not_applicable</x:v>
      </x:c>
      <x:c r="W2" s="6" t="str">
        <x:f>IF(AND(INDEX('C_jama.2024.24764'!$D$2:$D$9,MATCH("2025::jama.2024.24764::C001",'C_jama.2024.24764'!$A$2:$A$9,0))="retain",INDEX('C_jama.2024.24764'!$E$2:$E$9,MATCH("2025::jama.2024.24764::C001",'C_jama.2024.24764'!$A$2:$A$9,0))="statistical_results"),IF(INDEX('C_jama.2024.24764'!$J$2:$J$9,MATCH("2025::jama.2024.24764::C001",'C_jama.2024.24764'!$A$2:$A$9,0))="","",INDEX('C_jama.2024.24764'!$J$2:$J$9,MATCH("2025::jama.2024.24764::C001",'C_jama.2024.24764'!$A$2:$A$9,0))),"not_applicable")</x:f>
        <x:v>not_applicable</x:v>
      </x:c>
      <x:c r="X2" s="6" t="str">
        <x:f>IF(AND(INDEX('C_jama.2024.24764'!$D$2:$D$9,MATCH("2025::jama.2024.24764::C001",'C_jama.2024.24764'!$A$2:$A$9,0))="retain",OR(INDEX('C_jama.2024.24764'!$E$2:$E$9,MATCH("2025::jama.2024.24764::C001",'C_jama.2024.24764'!$A$2:$A$9,0))="report_internal_inconsistency",INDEX('C_jama.2024.24764'!$E$2:$E$9,MATCH("2025::jama.2024.24764::C001",'C_jama.2024.24764'!$A$2:$A$9,0))="plan_material")),IF(INDEX('C_jama.2024.24764'!$K$2:$K$9,MATCH("2025::jama.2024.24764::C001",'C_jama.2024.24764'!$A$2:$A$9,0))="","",INDEX('C_jama.2024.24764'!$K$2:$K$9,MATCH("2025::jama.2024.24764::C001",'C_jama.2024.24764'!$A$2:$A$9,0))),"not_applicable")</x:f>
        <x:v>not_applicable</x:v>
      </x:c>
      <x:c r="Y2" s="6" t="str">
        <x:f>IF(AND(INDEX('C_jama.2024.24764'!$D$2:$D$9,MATCH("2025::jama.2024.24764::C001",'C_jama.2024.24764'!$A$2:$A$9,0))="retain",INDEX('C_jama.2024.24764'!$E$2:$E$9,MATCH("2025::jama.2024.24764::C001",'C_jama.2024.24764'!$A$2:$A$9,0))="protocol_report"),IF(INDEX('C_jama.2024.24764'!$L$2:$L$9,MATCH("2025::jama.2024.24764::C001",'C_jama.2024.24764'!$A$2:$A$9,0))="","",INDEX('C_jama.2024.24764'!$L$2:$L$9,MATCH("2025::jama.2024.24764::C001",'C_jama.2024.24764'!$A$2:$A$9,0))),"not_applicable")</x:f>
        <x:v>not_applicable</x:v>
      </x:c>
      <x:c r="Z2" s="6" t="str">
        <x:f>IF(INDEX('C_jama.2024.24764'!$R$2:$R$9,MATCH("2025::jama.2024.24764::C001",'C_jama.2024.24764'!$A$2:$A$9,0))="","",INDEX('C_jama.2024.24764'!$R$2:$R$9,MATCH("2025::jama.2024.24764::C001",'C_jama.2024.24764'!$A$2:$A$9,0)))</x:f>
      </x:c>
      <x:c r="AA2" s="6" t="str">
        <x:f>IF(INDEX('C_jama.2024.24764'!$N$2:$N$9,MATCH("2025::jama.2024.24764::C001",'C_jama.2024.24764'!$A$2:$A$9,0))="","",INDEX('C_jama.2024.24764'!$N$2:$N$9,MATCH("2025::jama.2024.24764::C001",'C_jama.2024.24764'!$A$2:$A$9,0)))</x:f>
      </x:c>
      <x:c r="AB2" s="6" t="str">
        <x:f>IF(INDEX('C_jama.2024.24764'!$O$2:$O$9,MATCH("2025::jama.2024.24764::C001",'C_jama.2024.24764'!$A$2:$A$9,0))="","",INDEX('C_jama.2024.24764'!$O$2:$O$9,MATCH("2025::jama.2024.24764::C001",'C_jama.2024.24764'!$A$2:$A$9,0)))</x:f>
      </x:c>
      <x:c r="AC2" s="6" t="str">
        <x:f>IF(INDEX('C_jama.2024.24764'!$P$2:$P$9,MATCH("2025::jama.2024.24764::C001",'C_jama.2024.24764'!$A$2:$A$9,0))="","",INDEX('C_jama.2024.24764'!$P$2:$P$9,MATCH("2025::jama.2024.24764::C001",'C_jama.2024.24764'!$A$2:$A$9,0)))</x:f>
      </x:c>
      <x:c r="AD2" s="6" t="str">
        <x:f>IF(INDEX('C_jama.2024.24764'!$Q$2:$Q$9,MATCH("2025::jama.2024.24764::C001",'C_jama.2024.24764'!$A$2:$A$9,0))="","",INDEX('C_jama.2024.24764'!$Q$2:$Q$9,MATCH("2025::jama.2024.24764::C001",'C_jama.2024.24764'!$A$2:$A$9,0)))</x:f>
      </x:c>
    </x:row>
    <x:row r="3" ht="65" customHeight="1">
      <x:c r="A3" s="3" t="n">
        <x:v>2025</x:v>
      </x:c>
      <x:c r="B3" s="3" t="str">
        <x:v>jama.2024.24764</x:v>
      </x:c>
      <x:c r="C3" s="3" t="str">
        <x:v>2025::jama.2024.24764::C002</x:v>
      </x:c>
      <x:c r="D3" s="3" t="str">
        <x:v>S_W</x:v>
      </x:c>
      <x:c r="E3" s="3" t="n">
        <x:f>Setup!$B$2</x:f>
        <x:v>0</x:v>
      </x:c>
      <x:c r="F3" s="3" t="str">
        <x:f>IF(Setup!$B$4="","",Setup!$B$4)</x:f>
      </x:c>
      <x:c r="G3" s="3" t="str">
        <x:f>IFERROR(INDEX('C_jama.2024.24764'!$G$2:$G$9,MATCH("2025::jama.2024.24764::C002",'C_jama.2024.24764'!$A$2:$A$9,0)),"CHECK KEY")</x:f>
        <x:v>CHECK REVIEWER IDs</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statistical_results</x:v>
      </x:c>
      <x:c r="K3" s="3" t="str">
        <x:f>IF(Setup!$B$6="primary","",IFERROR(IF(INDEX('Primary_snapshot'!$B$2:$B$132,MATCH(C3,'Primary_snapshot'!$A$2:$A$132,0))="","",INDEX('Primary_snapshot'!$B$2:$B$132,MATCH(C3,'Primary_snapshot'!$A$2:$A$132,0))),"SNAPSHOT MISSING"))</x:f>
      </x:c>
      <x:c r="L3" s="3" t="str">
        <x:f>IF(Setup!$B$6="primary","",IFERROR(IF(INDEX('Primary_snapshot'!$C$2:$C$132,MATCH(C3,'Primary_snapshot'!$A$2:$A$132,0))="","",INDEX('Primary_snapshot'!$C$2:$C$132,MATCH(C3,'Primary_snapshot'!$A$2:$A$132,0))),"SNAPSHOT MISSING"))</x:f>
      </x:c>
      <x:c r="M3" s="3" t="str">
        <x:f>IF(Setup!$B$6="primary","",IFERROR(IF(INDEX('Primary_snapshot'!$D$2:$D$132,MATCH(C3,'Primary_snapshot'!$A$2:$A$132,0))="","",INDEX('Primary_snapshot'!$D$2:$D$132,MATCH(C3,'Primary_snapshot'!$A$2:$A$132,0))),"SNAPSHOT MISSING"))</x:f>
      </x:c>
      <x:c r="N3" s="3" t="str">
        <x:f>IF(Setup!$B$6="primary","",IFERROR(IF(INDEX('Primary_snapshot'!$E$2:$E$132,MATCH(C3,'Primary_snapshot'!$A$2:$A$132,0))="","",INDEX('Primary_snapshot'!$E$2:$E$132,MATCH(C3,'Primary_snapshot'!$A$2:$A$132,0))),"SNAPSHOT MISSING"))</x:f>
      </x:c>
      <x:c r="O3" s="3" t="str">
        <x:f>IF(Setup!$B$6="primary","",IFERROR(IF(INDEX('Primary_snapshot'!$F$2:$F$132,MATCH(C3,'Primary_snapshot'!$A$2:$A$132,0))="","",INDEX('Primary_snapshot'!$F$2:$F$132,MATCH(C3,'Primary_snapshot'!$A$2:$A$132,0))),"SNAPSHOT MISSING"))</x:f>
      </x:c>
      <x:c r="P3" s="3" t="str">
        <x:f>IF(Setup!$B$6="primary","",IFERROR(IF(INDEX('Primary_snapshot'!$G$2:$G$132,MATCH(C3,'Primary_snapshot'!$A$2:$A$132,0))="","",INDEX('Primary_snapshot'!$G$2:$G$132,MATCH(C3,'Primary_snapshot'!$A$2:$A$132,0))),"SNAPSHOT MISSING"))</x:f>
      </x:c>
      <x:c r="Q3" s="3" t="str">
        <x:f>IF(Setup!$B$6="primary","",IFERROR(IF(INDEX('Primary_snapshot'!$H$2:$H$132,MATCH(C3,'Primary_snapshot'!$A$2:$A$132,0))="","",INDEX('Primary_snapshot'!$H$2:$H$132,MATCH(C3,'Primary_snapshot'!$A$2:$A$132,0))),"SNAPSHOT MISSING"))</x:f>
      </x:c>
      <x:c r="R3" s="3" t="str">
        <x:f>IF(Setup!$B$6="primary","",IFERROR(IF(INDEX('Primary_snapshot'!$I$2:$I$132,MATCH(C3,'Primary_snapshot'!$A$2:$A$132,0))="","",INDEX('Primary_snapshot'!$I$2:$I$132,MATCH(C3,'Primary_snapshot'!$A$2:$A$132,0))),"SNAPSHOT MISSING"))</x:f>
      </x:c>
      <x:c r="S3" s="3" t="str">
        <x:f>IF(INDEX('C_jama.2024.24764'!$D$2:$D$9,MATCH("2025::jama.2024.24764::C002",'C_jama.2024.24764'!$A$2:$A$9,0))="","",INDEX('C_jama.2024.24764'!$D$2:$D$9,MATCH("2025::jama.2024.24764::C002",'C_jama.2024.24764'!$A$2:$A$9,0)))</x:f>
      </x:c>
      <x:c r="T3" s="3" t="str">
        <x:f>IF(INDEX('C_jama.2024.24764'!$E$2:$E$9,MATCH("2025::jama.2024.24764::C002",'C_jama.2024.24764'!$A$2:$A$9,0))="","",INDEX('C_jama.2024.24764'!$E$2:$E$9,MATCH("2025::jama.2024.24764::C002",'C_jama.2024.24764'!$A$2:$A$9,0)))</x:f>
        <x:v>statistical_results</x:v>
      </x:c>
      <x:c r="U3" s="3" t="str">
        <x:f>IF(AND(INDEX('C_jama.2024.24764'!$D$2:$D$9,MATCH("2025::jama.2024.24764::C002",'C_jama.2024.24764'!$A$2:$A$9,0))="retain",INDEX('C_jama.2024.24764'!$E$2:$E$9,MATCH("2025::jama.2024.24764::C002",'C_jama.2024.24764'!$A$2:$A$9,0))="statistical_results"),IF(INDEX('C_jama.2024.24764'!$H$2:$H$9,MATCH("2025::jama.2024.24764::C002",'C_jama.2024.24764'!$A$2:$A$9,0))="","",INDEX('C_jama.2024.24764'!$H$2:$H$9,MATCH("2025::jama.2024.24764::C002",'C_jama.2024.24764'!$A$2:$A$9,0))),"not_applicable")</x:f>
        <x:v>not_applicable</x:v>
      </x:c>
      <x:c r="V3" s="3" t="str">
        <x:f>IF(AND(INDEX('C_jama.2024.24764'!$D$2:$D$9,MATCH("2025::jama.2024.24764::C002",'C_jama.2024.24764'!$A$2:$A$9,0))="retain",INDEX('C_jama.2024.24764'!$E$2:$E$9,MATCH("2025::jama.2024.24764::C002",'C_jama.2024.24764'!$A$2:$A$9,0))="statistical_results"),IF(INDEX('C_jama.2024.24764'!$I$2:$I$9,MATCH("2025::jama.2024.24764::C002",'C_jama.2024.24764'!$A$2:$A$9,0))="","",INDEX('C_jama.2024.24764'!$I$2:$I$9,MATCH("2025::jama.2024.24764::C002",'C_jama.2024.24764'!$A$2:$A$9,0))),"not_applicable")</x:f>
        <x:v>not_applicable</x:v>
      </x:c>
      <x:c r="W3" s="3" t="str">
        <x:f>IF(AND(INDEX('C_jama.2024.24764'!$D$2:$D$9,MATCH("2025::jama.2024.24764::C002",'C_jama.2024.24764'!$A$2:$A$9,0))="retain",INDEX('C_jama.2024.24764'!$E$2:$E$9,MATCH("2025::jama.2024.24764::C002",'C_jama.2024.24764'!$A$2:$A$9,0))="statistical_results"),IF(INDEX('C_jama.2024.24764'!$J$2:$J$9,MATCH("2025::jama.2024.24764::C002",'C_jama.2024.24764'!$A$2:$A$9,0))="","",INDEX('C_jama.2024.24764'!$J$2:$J$9,MATCH("2025::jama.2024.24764::C002",'C_jama.2024.24764'!$A$2:$A$9,0))),"not_applicable")</x:f>
        <x:v>not_applicable</x:v>
      </x:c>
      <x:c r="X3" s="3" t="str">
        <x:f>IF(AND(INDEX('C_jama.2024.24764'!$D$2:$D$9,MATCH("2025::jama.2024.24764::C002",'C_jama.2024.24764'!$A$2:$A$9,0))="retain",OR(INDEX('C_jama.2024.24764'!$E$2:$E$9,MATCH("2025::jama.2024.24764::C002",'C_jama.2024.24764'!$A$2:$A$9,0))="report_internal_inconsistency",INDEX('C_jama.2024.24764'!$E$2:$E$9,MATCH("2025::jama.2024.24764::C002",'C_jama.2024.24764'!$A$2:$A$9,0))="plan_material")),IF(INDEX('C_jama.2024.24764'!$K$2:$K$9,MATCH("2025::jama.2024.24764::C002",'C_jama.2024.24764'!$A$2:$A$9,0))="","",INDEX('C_jama.2024.24764'!$K$2:$K$9,MATCH("2025::jama.2024.24764::C002",'C_jama.2024.24764'!$A$2:$A$9,0))),"not_applicable")</x:f>
        <x:v>not_applicable</x:v>
      </x:c>
      <x:c r="Y3" s="3" t="str">
        <x:f>IF(AND(INDEX('C_jama.2024.24764'!$D$2:$D$9,MATCH("2025::jama.2024.24764::C002",'C_jama.2024.24764'!$A$2:$A$9,0))="retain",INDEX('C_jama.2024.24764'!$E$2:$E$9,MATCH("2025::jama.2024.24764::C002",'C_jama.2024.24764'!$A$2:$A$9,0))="protocol_report"),IF(INDEX('C_jama.2024.24764'!$L$2:$L$9,MATCH("2025::jama.2024.24764::C002",'C_jama.2024.24764'!$A$2:$A$9,0))="","",INDEX('C_jama.2024.24764'!$L$2:$L$9,MATCH("2025::jama.2024.24764::C002",'C_jama.2024.24764'!$A$2:$A$9,0))),"not_applicable")</x:f>
        <x:v>not_applicable</x:v>
      </x:c>
      <x:c r="Z3" s="3" t="str">
        <x:f>IF(INDEX('C_jama.2024.24764'!$R$2:$R$9,MATCH("2025::jama.2024.24764::C002",'C_jama.2024.24764'!$A$2:$A$9,0))="","",INDEX('C_jama.2024.24764'!$R$2:$R$9,MATCH("2025::jama.2024.24764::C002",'C_jama.2024.24764'!$A$2:$A$9,0)))</x:f>
      </x:c>
      <x:c r="AA3" s="3" t="str">
        <x:f>IF(INDEX('C_jama.2024.24764'!$N$2:$N$9,MATCH("2025::jama.2024.24764::C002",'C_jama.2024.24764'!$A$2:$A$9,0))="","",INDEX('C_jama.2024.24764'!$N$2:$N$9,MATCH("2025::jama.2024.24764::C002",'C_jama.2024.24764'!$A$2:$A$9,0)))</x:f>
      </x:c>
      <x:c r="AB3" s="3" t="str">
        <x:f>IF(INDEX('C_jama.2024.24764'!$O$2:$O$9,MATCH("2025::jama.2024.24764::C002",'C_jama.2024.24764'!$A$2:$A$9,0))="","",INDEX('C_jama.2024.24764'!$O$2:$O$9,MATCH("2025::jama.2024.24764::C002",'C_jama.2024.24764'!$A$2:$A$9,0)))</x:f>
      </x:c>
      <x:c r="AC3" s="3" t="str">
        <x:f>IF(INDEX('C_jama.2024.24764'!$P$2:$P$9,MATCH("2025::jama.2024.24764::C002",'C_jama.2024.24764'!$A$2:$A$9,0))="","",INDEX('C_jama.2024.24764'!$P$2:$P$9,MATCH("2025::jama.2024.24764::C002",'C_jama.2024.24764'!$A$2:$A$9,0)))</x:f>
      </x:c>
      <x:c r="AD3" s="3" t="str">
        <x:f>IF(INDEX('C_jama.2024.24764'!$Q$2:$Q$9,MATCH("2025::jama.2024.24764::C002",'C_jama.2024.24764'!$A$2:$A$9,0))="","",INDEX('C_jama.2024.24764'!$Q$2:$Q$9,MATCH("2025::jama.2024.24764::C002",'C_jama.2024.24764'!$A$2:$A$9,0)))</x:f>
      </x:c>
    </x:row>
    <x:row r="4" ht="65" customHeight="1">
      <x:c r="A4" s="6" t="n">
        <x:v>2025</x:v>
      </x:c>
      <x:c r="B4" s="6" t="str">
        <x:v>jama.2024.24764</x:v>
      </x:c>
      <x:c r="C4" s="6" t="str">
        <x:v>2025::jama.2024.24764::C003</x:v>
      </x:c>
      <x:c r="D4" s="6" t="str">
        <x:v>S_W</x:v>
      </x:c>
      <x:c r="E4" s="6" t="n">
        <x:f>Setup!$B$2</x:f>
        <x:v>0</x:v>
      </x:c>
      <x:c r="F4" s="6" t="str">
        <x:f>IF(Setup!$B$4="","",Setup!$B$4)</x:f>
      </x:c>
      <x:c r="G4" s="6" t="str">
        <x:f>IFERROR(INDEX('C_jama.2024.24764'!$G$2:$G$9,MATCH("2025::jama.2024.24764::C003",'C_jama.2024.24764'!$A$2:$A$9,0)),"CHECK KEY")</x:f>
        <x:v>CHECK REVIEWER IDs</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statistical_results</x:v>
      </x:c>
      <x:c r="K4" s="6" t="str">
        <x:f>IF(Setup!$B$6="primary","",IFERROR(IF(INDEX('Primary_snapshot'!$B$2:$B$132,MATCH(C4,'Primary_snapshot'!$A$2:$A$132,0))="","",INDEX('Primary_snapshot'!$B$2:$B$132,MATCH(C4,'Primary_snapshot'!$A$2:$A$132,0))),"SNAPSHOT MISSING"))</x:f>
      </x:c>
      <x:c r="L4" s="6" t="str">
        <x:f>IF(Setup!$B$6="primary","",IFERROR(IF(INDEX('Primary_snapshot'!$C$2:$C$132,MATCH(C4,'Primary_snapshot'!$A$2:$A$132,0))="","",INDEX('Primary_snapshot'!$C$2:$C$132,MATCH(C4,'Primary_snapshot'!$A$2:$A$132,0))),"SNAPSHOT MISSING"))</x:f>
      </x:c>
      <x:c r="M4" s="6" t="str">
        <x:f>IF(Setup!$B$6="primary","",IFERROR(IF(INDEX('Primary_snapshot'!$D$2:$D$132,MATCH(C4,'Primary_snapshot'!$A$2:$A$132,0))="","",INDEX('Primary_snapshot'!$D$2:$D$132,MATCH(C4,'Primary_snapshot'!$A$2:$A$132,0))),"SNAPSHOT MISSING"))</x:f>
      </x:c>
      <x:c r="N4" s="6" t="str">
        <x:f>IF(Setup!$B$6="primary","",IFERROR(IF(INDEX('Primary_snapshot'!$E$2:$E$132,MATCH(C4,'Primary_snapshot'!$A$2:$A$132,0))="","",INDEX('Primary_snapshot'!$E$2:$E$132,MATCH(C4,'Primary_snapshot'!$A$2:$A$132,0))),"SNAPSHOT MISSING"))</x:f>
      </x:c>
      <x:c r="O4" s="6" t="str">
        <x:f>IF(Setup!$B$6="primary","",IFERROR(IF(INDEX('Primary_snapshot'!$F$2:$F$132,MATCH(C4,'Primary_snapshot'!$A$2:$A$132,0))="","",INDEX('Primary_snapshot'!$F$2:$F$132,MATCH(C4,'Primary_snapshot'!$A$2:$A$132,0))),"SNAPSHOT MISSING"))</x:f>
      </x:c>
      <x:c r="P4" s="6" t="str">
        <x:f>IF(Setup!$B$6="primary","",IFERROR(IF(INDEX('Primary_snapshot'!$G$2:$G$132,MATCH(C4,'Primary_snapshot'!$A$2:$A$132,0))="","",INDEX('Primary_snapshot'!$G$2:$G$132,MATCH(C4,'Primary_snapshot'!$A$2:$A$132,0))),"SNAPSHOT MISSING"))</x:f>
      </x:c>
      <x:c r="Q4" s="6" t="str">
        <x:f>IF(Setup!$B$6="primary","",IFERROR(IF(INDEX('Primary_snapshot'!$H$2:$H$132,MATCH(C4,'Primary_snapshot'!$A$2:$A$132,0))="","",INDEX('Primary_snapshot'!$H$2:$H$132,MATCH(C4,'Primary_snapshot'!$A$2:$A$132,0))),"SNAPSHOT MISSING"))</x:f>
      </x:c>
      <x:c r="R4" s="6" t="str">
        <x:f>IF(Setup!$B$6="primary","",IFERROR(IF(INDEX('Primary_snapshot'!$I$2:$I$132,MATCH(C4,'Primary_snapshot'!$A$2:$A$132,0))="","",INDEX('Primary_snapshot'!$I$2:$I$132,MATCH(C4,'Primary_snapshot'!$A$2:$A$132,0))),"SNAPSHOT MISSING"))</x:f>
      </x:c>
      <x:c r="S4" s="6" t="str">
        <x:f>IF(INDEX('C_jama.2024.24764'!$D$2:$D$9,MATCH("2025::jama.2024.24764::C003",'C_jama.2024.24764'!$A$2:$A$9,0))="","",INDEX('C_jama.2024.24764'!$D$2:$D$9,MATCH("2025::jama.2024.24764::C003",'C_jama.2024.24764'!$A$2:$A$9,0)))</x:f>
      </x:c>
      <x:c r="T4" s="6" t="str">
        <x:f>IF(INDEX('C_jama.2024.24764'!$E$2:$E$9,MATCH("2025::jama.2024.24764::C003",'C_jama.2024.24764'!$A$2:$A$9,0))="","",INDEX('C_jama.2024.24764'!$E$2:$E$9,MATCH("2025::jama.2024.24764::C003",'C_jama.2024.24764'!$A$2:$A$9,0)))</x:f>
        <x:v>statistical_results</x:v>
      </x:c>
      <x:c r="U4" s="6" t="str">
        <x:f>IF(AND(INDEX('C_jama.2024.24764'!$D$2:$D$9,MATCH("2025::jama.2024.24764::C003",'C_jama.2024.24764'!$A$2:$A$9,0))="retain",INDEX('C_jama.2024.24764'!$E$2:$E$9,MATCH("2025::jama.2024.24764::C003",'C_jama.2024.24764'!$A$2:$A$9,0))="statistical_results"),IF(INDEX('C_jama.2024.24764'!$H$2:$H$9,MATCH("2025::jama.2024.24764::C003",'C_jama.2024.24764'!$A$2:$A$9,0))="","",INDEX('C_jama.2024.24764'!$H$2:$H$9,MATCH("2025::jama.2024.24764::C003",'C_jama.2024.24764'!$A$2:$A$9,0))),"not_applicable")</x:f>
        <x:v>not_applicable</x:v>
      </x:c>
      <x:c r="V4" s="6" t="str">
        <x:f>IF(AND(INDEX('C_jama.2024.24764'!$D$2:$D$9,MATCH("2025::jama.2024.24764::C003",'C_jama.2024.24764'!$A$2:$A$9,0))="retain",INDEX('C_jama.2024.24764'!$E$2:$E$9,MATCH("2025::jama.2024.24764::C003",'C_jama.2024.24764'!$A$2:$A$9,0))="statistical_results"),IF(INDEX('C_jama.2024.24764'!$I$2:$I$9,MATCH("2025::jama.2024.24764::C003",'C_jama.2024.24764'!$A$2:$A$9,0))="","",INDEX('C_jama.2024.24764'!$I$2:$I$9,MATCH("2025::jama.2024.24764::C003",'C_jama.2024.24764'!$A$2:$A$9,0))),"not_applicable")</x:f>
        <x:v>not_applicable</x:v>
      </x:c>
      <x:c r="W4" s="6" t="str">
        <x:f>IF(AND(INDEX('C_jama.2024.24764'!$D$2:$D$9,MATCH("2025::jama.2024.24764::C003",'C_jama.2024.24764'!$A$2:$A$9,0))="retain",INDEX('C_jama.2024.24764'!$E$2:$E$9,MATCH("2025::jama.2024.24764::C003",'C_jama.2024.24764'!$A$2:$A$9,0))="statistical_results"),IF(INDEX('C_jama.2024.24764'!$J$2:$J$9,MATCH("2025::jama.2024.24764::C003",'C_jama.2024.24764'!$A$2:$A$9,0))="","",INDEX('C_jama.2024.24764'!$J$2:$J$9,MATCH("2025::jama.2024.24764::C003",'C_jama.2024.24764'!$A$2:$A$9,0))),"not_applicable")</x:f>
        <x:v>not_applicable</x:v>
      </x:c>
      <x:c r="X4" s="6" t="str">
        <x:f>IF(AND(INDEX('C_jama.2024.24764'!$D$2:$D$9,MATCH("2025::jama.2024.24764::C003",'C_jama.2024.24764'!$A$2:$A$9,0))="retain",OR(INDEX('C_jama.2024.24764'!$E$2:$E$9,MATCH("2025::jama.2024.24764::C003",'C_jama.2024.24764'!$A$2:$A$9,0))="report_internal_inconsistency",INDEX('C_jama.2024.24764'!$E$2:$E$9,MATCH("2025::jama.2024.24764::C003",'C_jama.2024.24764'!$A$2:$A$9,0))="plan_material")),IF(INDEX('C_jama.2024.24764'!$K$2:$K$9,MATCH("2025::jama.2024.24764::C003",'C_jama.2024.24764'!$A$2:$A$9,0))="","",INDEX('C_jama.2024.24764'!$K$2:$K$9,MATCH("2025::jama.2024.24764::C003",'C_jama.2024.24764'!$A$2:$A$9,0))),"not_applicable")</x:f>
        <x:v>not_applicable</x:v>
      </x:c>
      <x:c r="Y4" s="6" t="str">
        <x:f>IF(AND(INDEX('C_jama.2024.24764'!$D$2:$D$9,MATCH("2025::jama.2024.24764::C003",'C_jama.2024.24764'!$A$2:$A$9,0))="retain",INDEX('C_jama.2024.24764'!$E$2:$E$9,MATCH("2025::jama.2024.24764::C003",'C_jama.2024.24764'!$A$2:$A$9,0))="protocol_report"),IF(INDEX('C_jama.2024.24764'!$L$2:$L$9,MATCH("2025::jama.2024.24764::C003",'C_jama.2024.24764'!$A$2:$A$9,0))="","",INDEX('C_jama.2024.24764'!$L$2:$L$9,MATCH("2025::jama.2024.24764::C003",'C_jama.2024.24764'!$A$2:$A$9,0))),"not_applicable")</x:f>
        <x:v>not_applicable</x:v>
      </x:c>
      <x:c r="Z4" s="6" t="str">
        <x:f>IF(INDEX('C_jama.2024.24764'!$R$2:$R$9,MATCH("2025::jama.2024.24764::C003",'C_jama.2024.24764'!$A$2:$A$9,0))="","",INDEX('C_jama.2024.24764'!$R$2:$R$9,MATCH("2025::jama.2024.24764::C003",'C_jama.2024.24764'!$A$2:$A$9,0)))</x:f>
      </x:c>
      <x:c r="AA4" s="6" t="str">
        <x:f>IF(INDEX('C_jama.2024.24764'!$N$2:$N$9,MATCH("2025::jama.2024.24764::C003",'C_jama.2024.24764'!$A$2:$A$9,0))="","",INDEX('C_jama.2024.24764'!$N$2:$N$9,MATCH("2025::jama.2024.24764::C003",'C_jama.2024.24764'!$A$2:$A$9,0)))</x:f>
      </x:c>
      <x:c r="AB4" s="6" t="str">
        <x:f>IF(INDEX('C_jama.2024.24764'!$O$2:$O$9,MATCH("2025::jama.2024.24764::C003",'C_jama.2024.24764'!$A$2:$A$9,0))="","",INDEX('C_jama.2024.24764'!$O$2:$O$9,MATCH("2025::jama.2024.24764::C003",'C_jama.2024.24764'!$A$2:$A$9,0)))</x:f>
      </x:c>
      <x:c r="AC4" s="6" t="str">
        <x:f>IF(INDEX('C_jama.2024.24764'!$P$2:$P$9,MATCH("2025::jama.2024.24764::C003",'C_jama.2024.24764'!$A$2:$A$9,0))="","",INDEX('C_jama.2024.24764'!$P$2:$P$9,MATCH("2025::jama.2024.24764::C003",'C_jama.2024.24764'!$A$2:$A$9,0)))</x:f>
      </x:c>
      <x:c r="AD4" s="6" t="str">
        <x:f>IF(INDEX('C_jama.2024.24764'!$Q$2:$Q$9,MATCH("2025::jama.2024.24764::C003",'C_jama.2024.24764'!$A$2:$A$9,0))="","",INDEX('C_jama.2024.24764'!$Q$2:$Q$9,MATCH("2025::jama.2024.24764::C003",'C_jama.2024.24764'!$A$2:$A$9,0)))</x:f>
      </x:c>
    </x:row>
    <x:row r="5" ht="65" customHeight="1">
      <x:c r="A5" s="3" t="n">
        <x:v>2025</x:v>
      </x:c>
      <x:c r="B5" s="3" t="str">
        <x:v>jama.2024.24764</x:v>
      </x:c>
      <x:c r="C5" s="3" t="str">
        <x:v>2025::jama.2024.24764::C004</x:v>
      </x:c>
      <x:c r="D5" s="3" t="str">
        <x:v>S_W</x:v>
      </x:c>
      <x:c r="E5" s="3" t="n">
        <x:f>Setup!$B$2</x:f>
        <x:v>0</x:v>
      </x:c>
      <x:c r="F5" s="3" t="str">
        <x:f>IF(Setup!$B$4="","",Setup!$B$4)</x:f>
      </x:c>
      <x:c r="G5" s="3" t="str">
        <x:f>IFERROR(INDEX('C_jama.2024.24764'!$G$2:$G$9,MATCH("2025::jama.2024.24764::C004",'C_jama.2024.24764'!$A$2:$A$9,0)),"CHECK KEY")</x:f>
        <x:v>CHECK REVIEWER IDs</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statistical_results</x:v>
      </x:c>
      <x:c r="K5" s="3" t="str">
        <x:f>IF(Setup!$B$6="primary","",IFERROR(IF(INDEX('Primary_snapshot'!$B$2:$B$132,MATCH(C5,'Primary_snapshot'!$A$2:$A$132,0))="","",INDEX('Primary_snapshot'!$B$2:$B$132,MATCH(C5,'Primary_snapshot'!$A$2:$A$132,0))),"SNAPSHOT MISSING"))</x:f>
      </x:c>
      <x:c r="L5" s="3" t="str">
        <x:f>IF(Setup!$B$6="primary","",IFERROR(IF(INDEX('Primary_snapshot'!$C$2:$C$132,MATCH(C5,'Primary_snapshot'!$A$2:$A$132,0))="","",INDEX('Primary_snapshot'!$C$2:$C$132,MATCH(C5,'Primary_snapshot'!$A$2:$A$132,0))),"SNAPSHOT MISSING"))</x:f>
      </x:c>
      <x:c r="M5" s="3" t="str">
        <x:f>IF(Setup!$B$6="primary","",IFERROR(IF(INDEX('Primary_snapshot'!$D$2:$D$132,MATCH(C5,'Primary_snapshot'!$A$2:$A$132,0))="","",INDEX('Primary_snapshot'!$D$2:$D$132,MATCH(C5,'Primary_snapshot'!$A$2:$A$132,0))),"SNAPSHOT MISSING"))</x:f>
      </x:c>
      <x:c r="N5" s="3" t="str">
        <x:f>IF(Setup!$B$6="primary","",IFERROR(IF(INDEX('Primary_snapshot'!$E$2:$E$132,MATCH(C5,'Primary_snapshot'!$A$2:$A$132,0))="","",INDEX('Primary_snapshot'!$E$2:$E$132,MATCH(C5,'Primary_snapshot'!$A$2:$A$132,0))),"SNAPSHOT MISSING"))</x:f>
      </x:c>
      <x:c r="O5" s="3" t="str">
        <x:f>IF(Setup!$B$6="primary","",IFERROR(IF(INDEX('Primary_snapshot'!$F$2:$F$132,MATCH(C5,'Primary_snapshot'!$A$2:$A$132,0))="","",INDEX('Primary_snapshot'!$F$2:$F$132,MATCH(C5,'Primary_snapshot'!$A$2:$A$132,0))),"SNAPSHOT MISSING"))</x:f>
      </x:c>
      <x:c r="P5" s="3" t="str">
        <x:f>IF(Setup!$B$6="primary","",IFERROR(IF(INDEX('Primary_snapshot'!$G$2:$G$132,MATCH(C5,'Primary_snapshot'!$A$2:$A$132,0))="","",INDEX('Primary_snapshot'!$G$2:$G$132,MATCH(C5,'Primary_snapshot'!$A$2:$A$132,0))),"SNAPSHOT MISSING"))</x:f>
      </x:c>
      <x:c r="Q5" s="3" t="str">
        <x:f>IF(Setup!$B$6="primary","",IFERROR(IF(INDEX('Primary_snapshot'!$H$2:$H$132,MATCH(C5,'Primary_snapshot'!$A$2:$A$132,0))="","",INDEX('Primary_snapshot'!$H$2:$H$132,MATCH(C5,'Primary_snapshot'!$A$2:$A$132,0))),"SNAPSHOT MISSING"))</x:f>
      </x:c>
      <x:c r="R5" s="3" t="str">
        <x:f>IF(Setup!$B$6="primary","",IFERROR(IF(INDEX('Primary_snapshot'!$I$2:$I$132,MATCH(C5,'Primary_snapshot'!$A$2:$A$132,0))="","",INDEX('Primary_snapshot'!$I$2:$I$132,MATCH(C5,'Primary_snapshot'!$A$2:$A$132,0))),"SNAPSHOT MISSING"))</x:f>
      </x:c>
      <x:c r="S5" s="3" t="str">
        <x:f>IF(INDEX('C_jama.2024.24764'!$D$2:$D$9,MATCH("2025::jama.2024.24764::C004",'C_jama.2024.24764'!$A$2:$A$9,0))="","",INDEX('C_jama.2024.24764'!$D$2:$D$9,MATCH("2025::jama.2024.24764::C004",'C_jama.2024.24764'!$A$2:$A$9,0)))</x:f>
      </x:c>
      <x:c r="T5" s="3" t="str">
        <x:f>IF(INDEX('C_jama.2024.24764'!$E$2:$E$9,MATCH("2025::jama.2024.24764::C004",'C_jama.2024.24764'!$A$2:$A$9,0))="","",INDEX('C_jama.2024.24764'!$E$2:$E$9,MATCH("2025::jama.2024.24764::C004",'C_jama.2024.24764'!$A$2:$A$9,0)))</x:f>
        <x:v>statistical_results</x:v>
      </x:c>
      <x:c r="U5" s="3" t="str">
        <x:f>IF(AND(INDEX('C_jama.2024.24764'!$D$2:$D$9,MATCH("2025::jama.2024.24764::C004",'C_jama.2024.24764'!$A$2:$A$9,0))="retain",INDEX('C_jama.2024.24764'!$E$2:$E$9,MATCH("2025::jama.2024.24764::C004",'C_jama.2024.24764'!$A$2:$A$9,0))="statistical_results"),IF(INDEX('C_jama.2024.24764'!$H$2:$H$9,MATCH("2025::jama.2024.24764::C004",'C_jama.2024.24764'!$A$2:$A$9,0))="","",INDEX('C_jama.2024.24764'!$H$2:$H$9,MATCH("2025::jama.2024.24764::C004",'C_jama.2024.24764'!$A$2:$A$9,0))),"not_applicable")</x:f>
        <x:v>not_applicable</x:v>
      </x:c>
      <x:c r="V5" s="3" t="str">
        <x:f>IF(AND(INDEX('C_jama.2024.24764'!$D$2:$D$9,MATCH("2025::jama.2024.24764::C004",'C_jama.2024.24764'!$A$2:$A$9,0))="retain",INDEX('C_jama.2024.24764'!$E$2:$E$9,MATCH("2025::jama.2024.24764::C004",'C_jama.2024.24764'!$A$2:$A$9,0))="statistical_results"),IF(INDEX('C_jama.2024.24764'!$I$2:$I$9,MATCH("2025::jama.2024.24764::C004",'C_jama.2024.24764'!$A$2:$A$9,0))="","",INDEX('C_jama.2024.24764'!$I$2:$I$9,MATCH("2025::jama.2024.24764::C004",'C_jama.2024.24764'!$A$2:$A$9,0))),"not_applicable")</x:f>
        <x:v>not_applicable</x:v>
      </x:c>
      <x:c r="W5" s="3" t="str">
        <x:f>IF(AND(INDEX('C_jama.2024.24764'!$D$2:$D$9,MATCH("2025::jama.2024.24764::C004",'C_jama.2024.24764'!$A$2:$A$9,0))="retain",INDEX('C_jama.2024.24764'!$E$2:$E$9,MATCH("2025::jama.2024.24764::C004",'C_jama.2024.24764'!$A$2:$A$9,0))="statistical_results"),IF(INDEX('C_jama.2024.24764'!$J$2:$J$9,MATCH("2025::jama.2024.24764::C004",'C_jama.2024.24764'!$A$2:$A$9,0))="","",INDEX('C_jama.2024.24764'!$J$2:$J$9,MATCH("2025::jama.2024.24764::C004",'C_jama.2024.24764'!$A$2:$A$9,0))),"not_applicable")</x:f>
        <x:v>not_applicable</x:v>
      </x:c>
      <x:c r="X5" s="3" t="str">
        <x:f>IF(AND(INDEX('C_jama.2024.24764'!$D$2:$D$9,MATCH("2025::jama.2024.24764::C004",'C_jama.2024.24764'!$A$2:$A$9,0))="retain",OR(INDEX('C_jama.2024.24764'!$E$2:$E$9,MATCH("2025::jama.2024.24764::C004",'C_jama.2024.24764'!$A$2:$A$9,0))="report_internal_inconsistency",INDEX('C_jama.2024.24764'!$E$2:$E$9,MATCH("2025::jama.2024.24764::C004",'C_jama.2024.24764'!$A$2:$A$9,0))="plan_material")),IF(INDEX('C_jama.2024.24764'!$K$2:$K$9,MATCH("2025::jama.2024.24764::C004",'C_jama.2024.24764'!$A$2:$A$9,0))="","",INDEX('C_jama.2024.24764'!$K$2:$K$9,MATCH("2025::jama.2024.24764::C004",'C_jama.2024.24764'!$A$2:$A$9,0))),"not_applicable")</x:f>
        <x:v>not_applicable</x:v>
      </x:c>
      <x:c r="Y5" s="3" t="str">
        <x:f>IF(AND(INDEX('C_jama.2024.24764'!$D$2:$D$9,MATCH("2025::jama.2024.24764::C004",'C_jama.2024.24764'!$A$2:$A$9,0))="retain",INDEX('C_jama.2024.24764'!$E$2:$E$9,MATCH("2025::jama.2024.24764::C004",'C_jama.2024.24764'!$A$2:$A$9,0))="protocol_report"),IF(INDEX('C_jama.2024.24764'!$L$2:$L$9,MATCH("2025::jama.2024.24764::C004",'C_jama.2024.24764'!$A$2:$A$9,0))="","",INDEX('C_jama.2024.24764'!$L$2:$L$9,MATCH("2025::jama.2024.24764::C004",'C_jama.2024.24764'!$A$2:$A$9,0))),"not_applicable")</x:f>
        <x:v>not_applicable</x:v>
      </x:c>
      <x:c r="Z5" s="3" t="str">
        <x:f>IF(INDEX('C_jama.2024.24764'!$R$2:$R$9,MATCH("2025::jama.2024.24764::C004",'C_jama.2024.24764'!$A$2:$A$9,0))="","",INDEX('C_jama.2024.24764'!$R$2:$R$9,MATCH("2025::jama.2024.24764::C004",'C_jama.2024.24764'!$A$2:$A$9,0)))</x:f>
      </x:c>
      <x:c r="AA5" s="3" t="str">
        <x:f>IF(INDEX('C_jama.2024.24764'!$N$2:$N$9,MATCH("2025::jama.2024.24764::C004",'C_jama.2024.24764'!$A$2:$A$9,0))="","",INDEX('C_jama.2024.24764'!$N$2:$N$9,MATCH("2025::jama.2024.24764::C004",'C_jama.2024.24764'!$A$2:$A$9,0)))</x:f>
      </x:c>
      <x:c r="AB5" s="3" t="str">
        <x:f>IF(INDEX('C_jama.2024.24764'!$O$2:$O$9,MATCH("2025::jama.2024.24764::C004",'C_jama.2024.24764'!$A$2:$A$9,0))="","",INDEX('C_jama.2024.24764'!$O$2:$O$9,MATCH("2025::jama.2024.24764::C004",'C_jama.2024.24764'!$A$2:$A$9,0)))</x:f>
      </x:c>
      <x:c r="AC5" s="3" t="str">
        <x:f>IF(INDEX('C_jama.2024.24764'!$P$2:$P$9,MATCH("2025::jama.2024.24764::C004",'C_jama.2024.24764'!$A$2:$A$9,0))="","",INDEX('C_jama.2024.24764'!$P$2:$P$9,MATCH("2025::jama.2024.24764::C004",'C_jama.2024.24764'!$A$2:$A$9,0)))</x:f>
      </x:c>
      <x:c r="AD5" s="3" t="str">
        <x:f>IF(INDEX('C_jama.2024.24764'!$Q$2:$Q$9,MATCH("2025::jama.2024.24764::C004",'C_jama.2024.24764'!$A$2:$A$9,0))="","",INDEX('C_jama.2024.24764'!$Q$2:$Q$9,MATCH("2025::jama.2024.24764::C004",'C_jama.2024.24764'!$A$2:$A$9,0)))</x:f>
      </x:c>
    </x:row>
    <x:row r="6" ht="65" customHeight="1">
      <x:c r="A6" s="6" t="n">
        <x:v>2025</x:v>
      </x:c>
      <x:c r="B6" s="6" t="str">
        <x:v>jama.2024.24764</x:v>
      </x:c>
      <x:c r="C6" s="6" t="str">
        <x:v>2025::jama.2024.24764::C005</x:v>
      </x:c>
      <x:c r="D6" s="6" t="str">
        <x:v>S_W</x:v>
      </x:c>
      <x:c r="E6" s="6" t="n">
        <x:f>Setup!$B$2</x:f>
        <x:v>0</x:v>
      </x:c>
      <x:c r="F6" s="6" t="str">
        <x:f>IF(Setup!$B$4="","",Setup!$B$4)</x:f>
      </x:c>
      <x:c r="G6" s="6" t="str">
        <x:f>IFERROR(INDEX('C_jama.2024.24764'!$G$2:$G$9,MATCH("2025::jama.2024.24764::C005",'C_jama.2024.24764'!$A$2:$A$9,0)),"CHECK KEY")</x:f>
        <x:v>CHECK REVIEWER IDs</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report_internal_inconsistency</x:v>
      </x:c>
      <x:c r="K6" s="6" t="str">
        <x:f>IF(Setup!$B$6="primary","",IFERROR(IF(INDEX('Primary_snapshot'!$B$2:$B$132,MATCH(C6,'Primary_snapshot'!$A$2:$A$132,0))="","",INDEX('Primary_snapshot'!$B$2:$B$132,MATCH(C6,'Primary_snapshot'!$A$2:$A$132,0))),"SNAPSHOT MISSING"))</x:f>
      </x:c>
      <x:c r="L6" s="6" t="str">
        <x:f>IF(Setup!$B$6="primary","",IFERROR(IF(INDEX('Primary_snapshot'!$C$2:$C$132,MATCH(C6,'Primary_snapshot'!$A$2:$A$132,0))="","",INDEX('Primary_snapshot'!$C$2:$C$132,MATCH(C6,'Primary_snapshot'!$A$2:$A$132,0))),"SNAPSHOT MISSING"))</x:f>
      </x:c>
      <x:c r="M6" s="6" t="str">
        <x:f>IF(Setup!$B$6="primary","",IFERROR(IF(INDEX('Primary_snapshot'!$D$2:$D$132,MATCH(C6,'Primary_snapshot'!$A$2:$A$132,0))="","",INDEX('Primary_snapshot'!$D$2:$D$132,MATCH(C6,'Primary_snapshot'!$A$2:$A$132,0))),"SNAPSHOT MISSING"))</x:f>
      </x:c>
      <x:c r="N6" s="6" t="str">
        <x:f>IF(Setup!$B$6="primary","",IFERROR(IF(INDEX('Primary_snapshot'!$E$2:$E$132,MATCH(C6,'Primary_snapshot'!$A$2:$A$132,0))="","",INDEX('Primary_snapshot'!$E$2:$E$132,MATCH(C6,'Primary_snapshot'!$A$2:$A$132,0))),"SNAPSHOT MISSING"))</x:f>
      </x:c>
      <x:c r="O6" s="6" t="str">
        <x:f>IF(Setup!$B$6="primary","",IFERROR(IF(INDEX('Primary_snapshot'!$F$2:$F$132,MATCH(C6,'Primary_snapshot'!$A$2:$A$132,0))="","",INDEX('Primary_snapshot'!$F$2:$F$132,MATCH(C6,'Primary_snapshot'!$A$2:$A$132,0))),"SNAPSHOT MISSING"))</x:f>
      </x:c>
      <x:c r="P6" s="6" t="str">
        <x:f>IF(Setup!$B$6="primary","",IFERROR(IF(INDEX('Primary_snapshot'!$G$2:$G$132,MATCH(C6,'Primary_snapshot'!$A$2:$A$132,0))="","",INDEX('Primary_snapshot'!$G$2:$G$132,MATCH(C6,'Primary_snapshot'!$A$2:$A$132,0))),"SNAPSHOT MISSING"))</x:f>
      </x:c>
      <x:c r="Q6" s="6" t="str">
        <x:f>IF(Setup!$B$6="primary","",IFERROR(IF(INDEX('Primary_snapshot'!$H$2:$H$132,MATCH(C6,'Primary_snapshot'!$A$2:$A$132,0))="","",INDEX('Primary_snapshot'!$H$2:$H$132,MATCH(C6,'Primary_snapshot'!$A$2:$A$132,0))),"SNAPSHOT MISSING"))</x:f>
      </x:c>
      <x:c r="R6" s="6" t="str">
        <x:f>IF(Setup!$B$6="primary","",IFERROR(IF(INDEX('Primary_snapshot'!$I$2:$I$132,MATCH(C6,'Primary_snapshot'!$A$2:$A$132,0))="","",INDEX('Primary_snapshot'!$I$2:$I$132,MATCH(C6,'Primary_snapshot'!$A$2:$A$132,0))),"SNAPSHOT MISSING"))</x:f>
      </x:c>
      <x:c r="S6" s="6" t="str">
        <x:f>IF(INDEX('C_jama.2024.24764'!$D$2:$D$9,MATCH("2025::jama.2024.24764::C005",'C_jama.2024.24764'!$A$2:$A$9,0))="","",INDEX('C_jama.2024.24764'!$D$2:$D$9,MATCH("2025::jama.2024.24764::C005",'C_jama.2024.24764'!$A$2:$A$9,0)))</x:f>
      </x:c>
      <x:c r="T6" s="6" t="str">
        <x:f>IF(INDEX('C_jama.2024.24764'!$E$2:$E$9,MATCH("2025::jama.2024.24764::C005",'C_jama.2024.24764'!$A$2:$A$9,0))="","",INDEX('C_jama.2024.24764'!$E$2:$E$9,MATCH("2025::jama.2024.24764::C005",'C_jama.2024.24764'!$A$2:$A$9,0)))</x:f>
        <x:v>report_internal_inconsistency</x:v>
      </x:c>
      <x:c r="U6" s="6" t="str">
        <x:f>IF(AND(INDEX('C_jama.2024.24764'!$D$2:$D$9,MATCH("2025::jama.2024.24764::C005",'C_jama.2024.24764'!$A$2:$A$9,0))="retain",INDEX('C_jama.2024.24764'!$E$2:$E$9,MATCH("2025::jama.2024.24764::C005",'C_jama.2024.24764'!$A$2:$A$9,0))="statistical_results"),IF(INDEX('C_jama.2024.24764'!$H$2:$H$9,MATCH("2025::jama.2024.24764::C005",'C_jama.2024.24764'!$A$2:$A$9,0))="","",INDEX('C_jama.2024.24764'!$H$2:$H$9,MATCH("2025::jama.2024.24764::C005",'C_jama.2024.24764'!$A$2:$A$9,0))),"not_applicable")</x:f>
        <x:v>not_applicable</x:v>
      </x:c>
      <x:c r="V6" s="6" t="str">
        <x:f>IF(AND(INDEX('C_jama.2024.24764'!$D$2:$D$9,MATCH("2025::jama.2024.24764::C005",'C_jama.2024.24764'!$A$2:$A$9,0))="retain",INDEX('C_jama.2024.24764'!$E$2:$E$9,MATCH("2025::jama.2024.24764::C005",'C_jama.2024.24764'!$A$2:$A$9,0))="statistical_results"),IF(INDEX('C_jama.2024.24764'!$I$2:$I$9,MATCH("2025::jama.2024.24764::C005",'C_jama.2024.24764'!$A$2:$A$9,0))="","",INDEX('C_jama.2024.24764'!$I$2:$I$9,MATCH("2025::jama.2024.24764::C005",'C_jama.2024.24764'!$A$2:$A$9,0))),"not_applicable")</x:f>
        <x:v>not_applicable</x:v>
      </x:c>
      <x:c r="W6" s="6" t="str">
        <x:f>IF(AND(INDEX('C_jama.2024.24764'!$D$2:$D$9,MATCH("2025::jama.2024.24764::C005",'C_jama.2024.24764'!$A$2:$A$9,0))="retain",INDEX('C_jama.2024.24764'!$E$2:$E$9,MATCH("2025::jama.2024.24764::C005",'C_jama.2024.24764'!$A$2:$A$9,0))="statistical_results"),IF(INDEX('C_jama.2024.24764'!$J$2:$J$9,MATCH("2025::jama.2024.24764::C005",'C_jama.2024.24764'!$A$2:$A$9,0))="","",INDEX('C_jama.2024.24764'!$J$2:$J$9,MATCH("2025::jama.2024.24764::C005",'C_jama.2024.24764'!$A$2:$A$9,0))),"not_applicable")</x:f>
        <x:v>not_applicable</x:v>
      </x:c>
      <x:c r="X6" s="6" t="str">
        <x:f>IF(AND(INDEX('C_jama.2024.24764'!$D$2:$D$9,MATCH("2025::jama.2024.24764::C005",'C_jama.2024.24764'!$A$2:$A$9,0))="retain",OR(INDEX('C_jama.2024.24764'!$E$2:$E$9,MATCH("2025::jama.2024.24764::C005",'C_jama.2024.24764'!$A$2:$A$9,0))="report_internal_inconsistency",INDEX('C_jama.2024.24764'!$E$2:$E$9,MATCH("2025::jama.2024.24764::C005",'C_jama.2024.24764'!$A$2:$A$9,0))="plan_material")),IF(INDEX('C_jama.2024.24764'!$K$2:$K$9,MATCH("2025::jama.2024.24764::C005",'C_jama.2024.24764'!$A$2:$A$9,0))="","",INDEX('C_jama.2024.24764'!$K$2:$K$9,MATCH("2025::jama.2024.24764::C005",'C_jama.2024.24764'!$A$2:$A$9,0))),"not_applicable")</x:f>
        <x:v>not_applicable</x:v>
      </x:c>
      <x:c r="Y6" s="6" t="str">
        <x:f>IF(AND(INDEX('C_jama.2024.24764'!$D$2:$D$9,MATCH("2025::jama.2024.24764::C005",'C_jama.2024.24764'!$A$2:$A$9,0))="retain",INDEX('C_jama.2024.24764'!$E$2:$E$9,MATCH("2025::jama.2024.24764::C005",'C_jama.2024.24764'!$A$2:$A$9,0))="protocol_report"),IF(INDEX('C_jama.2024.24764'!$L$2:$L$9,MATCH("2025::jama.2024.24764::C005",'C_jama.2024.24764'!$A$2:$A$9,0))="","",INDEX('C_jama.2024.24764'!$L$2:$L$9,MATCH("2025::jama.2024.24764::C005",'C_jama.2024.24764'!$A$2:$A$9,0))),"not_applicable")</x:f>
        <x:v>not_applicable</x:v>
      </x:c>
      <x:c r="Z6" s="6" t="str">
        <x:f>IF(INDEX('C_jama.2024.24764'!$R$2:$R$9,MATCH("2025::jama.2024.24764::C005",'C_jama.2024.24764'!$A$2:$A$9,0))="","",INDEX('C_jama.2024.24764'!$R$2:$R$9,MATCH("2025::jama.2024.24764::C005",'C_jama.2024.24764'!$A$2:$A$9,0)))</x:f>
      </x:c>
      <x:c r="AA6" s="6" t="str">
        <x:f>IF(INDEX('C_jama.2024.24764'!$N$2:$N$9,MATCH("2025::jama.2024.24764::C005",'C_jama.2024.24764'!$A$2:$A$9,0))="","",INDEX('C_jama.2024.24764'!$N$2:$N$9,MATCH("2025::jama.2024.24764::C005",'C_jama.2024.24764'!$A$2:$A$9,0)))</x:f>
      </x:c>
      <x:c r="AB6" s="6" t="str">
        <x:f>IF(INDEX('C_jama.2024.24764'!$O$2:$O$9,MATCH("2025::jama.2024.24764::C005",'C_jama.2024.24764'!$A$2:$A$9,0))="","",INDEX('C_jama.2024.24764'!$O$2:$O$9,MATCH("2025::jama.2024.24764::C005",'C_jama.2024.24764'!$A$2:$A$9,0)))</x:f>
      </x:c>
      <x:c r="AC6" s="6" t="str">
        <x:f>IF(INDEX('C_jama.2024.24764'!$P$2:$P$9,MATCH("2025::jama.2024.24764::C005",'C_jama.2024.24764'!$A$2:$A$9,0))="","",INDEX('C_jama.2024.24764'!$P$2:$P$9,MATCH("2025::jama.2024.24764::C005",'C_jama.2024.24764'!$A$2:$A$9,0)))</x:f>
      </x:c>
      <x:c r="AD6" s="6" t="str">
        <x:f>IF(INDEX('C_jama.2024.24764'!$Q$2:$Q$9,MATCH("2025::jama.2024.24764::C005",'C_jama.2024.24764'!$A$2:$A$9,0))="","",INDEX('C_jama.2024.24764'!$Q$2:$Q$9,MATCH("2025::jama.2024.24764::C005",'C_jama.2024.24764'!$A$2:$A$9,0)))</x:f>
      </x:c>
    </x:row>
    <x:row r="7" ht="65" customHeight="1">
      <x:c r="A7" s="3" t="n">
        <x:v>2025</x:v>
      </x:c>
      <x:c r="B7" s="3" t="str">
        <x:v>jama.2024.24764</x:v>
      </x:c>
      <x:c r="C7" s="3" t="str">
        <x:v>2025::jama.2024.24764::C006</x:v>
      </x:c>
      <x:c r="D7" s="3" t="str">
        <x:v>P_R</x:v>
      </x:c>
      <x:c r="E7" s="3" t="n">
        <x:f>Setup!$B$2</x:f>
        <x:v>0</x:v>
      </x:c>
      <x:c r="F7" s="3" t="str">
        <x:f>IF(Setup!$B$4="","",Setup!$B$4)</x:f>
      </x:c>
      <x:c r="G7" s="3" t="str">
        <x:f>IFERROR(INDEX('C_jama.2024.24764'!$G$2:$G$9,MATCH("2025::jama.2024.24764::C006",'C_jama.2024.24764'!$A$2:$A$9,0)),"CHECK KEY")</x:f>
        <x:v>CHECK REVIEWER IDs</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protocol_report</x:v>
      </x:c>
      <x:c r="K7" s="3" t="str">
        <x:f>IF(Setup!$B$6="primary","",IFERROR(IF(INDEX('Primary_snapshot'!$B$2:$B$132,MATCH(C7,'Primary_snapshot'!$A$2:$A$132,0))="","",INDEX('Primary_snapshot'!$B$2:$B$132,MATCH(C7,'Primary_snapshot'!$A$2:$A$132,0))),"SNAPSHOT MISSING"))</x:f>
      </x:c>
      <x:c r="L7" s="3" t="str">
        <x:f>IF(Setup!$B$6="primary","",IFERROR(IF(INDEX('Primary_snapshot'!$C$2:$C$132,MATCH(C7,'Primary_snapshot'!$A$2:$A$132,0))="","",INDEX('Primary_snapshot'!$C$2:$C$132,MATCH(C7,'Primary_snapshot'!$A$2:$A$132,0))),"SNAPSHOT MISSING"))</x:f>
      </x:c>
      <x:c r="M7" s="3" t="str">
        <x:f>IF(Setup!$B$6="primary","",IFERROR(IF(INDEX('Primary_snapshot'!$D$2:$D$132,MATCH(C7,'Primary_snapshot'!$A$2:$A$132,0))="","",INDEX('Primary_snapshot'!$D$2:$D$132,MATCH(C7,'Primary_snapshot'!$A$2:$A$132,0))),"SNAPSHOT MISSING"))</x:f>
      </x:c>
      <x:c r="N7" s="3" t="str">
        <x:f>IF(Setup!$B$6="primary","",IFERROR(IF(INDEX('Primary_snapshot'!$E$2:$E$132,MATCH(C7,'Primary_snapshot'!$A$2:$A$132,0))="","",INDEX('Primary_snapshot'!$E$2:$E$132,MATCH(C7,'Primary_snapshot'!$A$2:$A$132,0))),"SNAPSHOT MISSING"))</x:f>
      </x:c>
      <x:c r="O7" s="3" t="str">
        <x:f>IF(Setup!$B$6="primary","",IFERROR(IF(INDEX('Primary_snapshot'!$F$2:$F$132,MATCH(C7,'Primary_snapshot'!$A$2:$A$132,0))="","",INDEX('Primary_snapshot'!$F$2:$F$132,MATCH(C7,'Primary_snapshot'!$A$2:$A$132,0))),"SNAPSHOT MISSING"))</x:f>
      </x:c>
      <x:c r="P7" s="3" t="str">
        <x:f>IF(Setup!$B$6="primary","",IFERROR(IF(INDEX('Primary_snapshot'!$G$2:$G$132,MATCH(C7,'Primary_snapshot'!$A$2:$A$132,0))="","",INDEX('Primary_snapshot'!$G$2:$G$132,MATCH(C7,'Primary_snapshot'!$A$2:$A$132,0))),"SNAPSHOT MISSING"))</x:f>
      </x:c>
      <x:c r="Q7" s="3" t="str">
        <x:f>IF(Setup!$B$6="primary","",IFERROR(IF(INDEX('Primary_snapshot'!$H$2:$H$132,MATCH(C7,'Primary_snapshot'!$A$2:$A$132,0))="","",INDEX('Primary_snapshot'!$H$2:$H$132,MATCH(C7,'Primary_snapshot'!$A$2:$A$132,0))),"SNAPSHOT MISSING"))</x:f>
      </x:c>
      <x:c r="R7" s="3" t="str">
        <x:f>IF(Setup!$B$6="primary","",IFERROR(IF(INDEX('Primary_snapshot'!$I$2:$I$132,MATCH(C7,'Primary_snapshot'!$A$2:$A$132,0))="","",INDEX('Primary_snapshot'!$I$2:$I$132,MATCH(C7,'Primary_snapshot'!$A$2:$A$132,0))),"SNAPSHOT MISSING"))</x:f>
      </x:c>
      <x:c r="S7" s="3" t="str">
        <x:f>IF(INDEX('C_jama.2024.24764'!$D$2:$D$9,MATCH("2025::jama.2024.24764::C006",'C_jama.2024.24764'!$A$2:$A$9,0))="","",INDEX('C_jama.2024.24764'!$D$2:$D$9,MATCH("2025::jama.2024.24764::C006",'C_jama.2024.24764'!$A$2:$A$9,0)))</x:f>
      </x:c>
      <x:c r="T7" s="3" t="str">
        <x:f>IF(INDEX('C_jama.2024.24764'!$E$2:$E$9,MATCH("2025::jama.2024.24764::C006",'C_jama.2024.24764'!$A$2:$A$9,0))="","",INDEX('C_jama.2024.24764'!$E$2:$E$9,MATCH("2025::jama.2024.24764::C006",'C_jama.2024.24764'!$A$2:$A$9,0)))</x:f>
        <x:v>protocol_report</x:v>
      </x:c>
      <x:c r="U7" s="3" t="str">
        <x:f>IF(AND(INDEX('C_jama.2024.24764'!$D$2:$D$9,MATCH("2025::jama.2024.24764::C006",'C_jama.2024.24764'!$A$2:$A$9,0))="retain",INDEX('C_jama.2024.24764'!$E$2:$E$9,MATCH("2025::jama.2024.24764::C006",'C_jama.2024.24764'!$A$2:$A$9,0))="statistical_results"),IF(INDEX('C_jama.2024.24764'!$H$2:$H$9,MATCH("2025::jama.2024.24764::C006",'C_jama.2024.24764'!$A$2:$A$9,0))="","",INDEX('C_jama.2024.24764'!$H$2:$H$9,MATCH("2025::jama.2024.24764::C006",'C_jama.2024.24764'!$A$2:$A$9,0))),"not_applicable")</x:f>
        <x:v>not_applicable</x:v>
      </x:c>
      <x:c r="V7" s="3" t="str">
        <x:f>IF(AND(INDEX('C_jama.2024.24764'!$D$2:$D$9,MATCH("2025::jama.2024.24764::C006",'C_jama.2024.24764'!$A$2:$A$9,0))="retain",INDEX('C_jama.2024.24764'!$E$2:$E$9,MATCH("2025::jama.2024.24764::C006",'C_jama.2024.24764'!$A$2:$A$9,0))="statistical_results"),IF(INDEX('C_jama.2024.24764'!$I$2:$I$9,MATCH("2025::jama.2024.24764::C006",'C_jama.2024.24764'!$A$2:$A$9,0))="","",INDEX('C_jama.2024.24764'!$I$2:$I$9,MATCH("2025::jama.2024.24764::C006",'C_jama.2024.24764'!$A$2:$A$9,0))),"not_applicable")</x:f>
        <x:v>not_applicable</x:v>
      </x:c>
      <x:c r="W7" s="3" t="str">
        <x:f>IF(AND(INDEX('C_jama.2024.24764'!$D$2:$D$9,MATCH("2025::jama.2024.24764::C006",'C_jama.2024.24764'!$A$2:$A$9,0))="retain",INDEX('C_jama.2024.24764'!$E$2:$E$9,MATCH("2025::jama.2024.24764::C006",'C_jama.2024.24764'!$A$2:$A$9,0))="statistical_results"),IF(INDEX('C_jama.2024.24764'!$J$2:$J$9,MATCH("2025::jama.2024.24764::C006",'C_jama.2024.24764'!$A$2:$A$9,0))="","",INDEX('C_jama.2024.24764'!$J$2:$J$9,MATCH("2025::jama.2024.24764::C006",'C_jama.2024.24764'!$A$2:$A$9,0))),"not_applicable")</x:f>
        <x:v>not_applicable</x:v>
      </x:c>
      <x:c r="X7" s="3" t="str">
        <x:f>IF(AND(INDEX('C_jama.2024.24764'!$D$2:$D$9,MATCH("2025::jama.2024.24764::C006",'C_jama.2024.24764'!$A$2:$A$9,0))="retain",OR(INDEX('C_jama.2024.24764'!$E$2:$E$9,MATCH("2025::jama.2024.24764::C006",'C_jama.2024.24764'!$A$2:$A$9,0))="report_internal_inconsistency",INDEX('C_jama.2024.24764'!$E$2:$E$9,MATCH("2025::jama.2024.24764::C006",'C_jama.2024.24764'!$A$2:$A$9,0))="plan_material")),IF(INDEX('C_jama.2024.24764'!$K$2:$K$9,MATCH("2025::jama.2024.24764::C006",'C_jama.2024.24764'!$A$2:$A$9,0))="","",INDEX('C_jama.2024.24764'!$K$2:$K$9,MATCH("2025::jama.2024.24764::C006",'C_jama.2024.24764'!$A$2:$A$9,0))),"not_applicable")</x:f>
        <x:v>not_applicable</x:v>
      </x:c>
      <x:c r="Y7" s="3" t="str">
        <x:f>IF(AND(INDEX('C_jama.2024.24764'!$D$2:$D$9,MATCH("2025::jama.2024.24764::C006",'C_jama.2024.24764'!$A$2:$A$9,0))="retain",INDEX('C_jama.2024.24764'!$E$2:$E$9,MATCH("2025::jama.2024.24764::C006",'C_jama.2024.24764'!$A$2:$A$9,0))="protocol_report"),IF(INDEX('C_jama.2024.24764'!$L$2:$L$9,MATCH("2025::jama.2024.24764::C006",'C_jama.2024.24764'!$A$2:$A$9,0))="","",INDEX('C_jama.2024.24764'!$L$2:$L$9,MATCH("2025::jama.2024.24764::C006",'C_jama.2024.24764'!$A$2:$A$9,0))),"not_applicable")</x:f>
        <x:v>not_applicable</x:v>
      </x:c>
      <x:c r="Z7" s="3" t="str">
        <x:f>IF(INDEX('C_jama.2024.24764'!$R$2:$R$9,MATCH("2025::jama.2024.24764::C006",'C_jama.2024.24764'!$A$2:$A$9,0))="","",INDEX('C_jama.2024.24764'!$R$2:$R$9,MATCH("2025::jama.2024.24764::C006",'C_jama.2024.24764'!$A$2:$A$9,0)))</x:f>
      </x:c>
      <x:c r="AA7" s="3" t="str">
        <x:f>IF(INDEX('C_jama.2024.24764'!$N$2:$N$9,MATCH("2025::jama.2024.24764::C006",'C_jama.2024.24764'!$A$2:$A$9,0))="","",INDEX('C_jama.2024.24764'!$N$2:$N$9,MATCH("2025::jama.2024.24764::C006",'C_jama.2024.24764'!$A$2:$A$9,0)))</x:f>
      </x:c>
      <x:c r="AB7" s="3" t="str">
        <x:f>IF(INDEX('C_jama.2024.24764'!$O$2:$O$9,MATCH("2025::jama.2024.24764::C006",'C_jama.2024.24764'!$A$2:$A$9,0))="","",INDEX('C_jama.2024.24764'!$O$2:$O$9,MATCH("2025::jama.2024.24764::C006",'C_jama.2024.24764'!$A$2:$A$9,0)))</x:f>
      </x:c>
      <x:c r="AC7" s="3" t="str">
        <x:f>IF(INDEX('C_jama.2024.24764'!$P$2:$P$9,MATCH("2025::jama.2024.24764::C006",'C_jama.2024.24764'!$A$2:$A$9,0))="","",INDEX('C_jama.2024.24764'!$P$2:$P$9,MATCH("2025::jama.2024.24764::C006",'C_jama.2024.24764'!$A$2:$A$9,0)))</x:f>
      </x:c>
      <x:c r="AD7" s="3" t="str">
        <x:f>IF(INDEX('C_jama.2024.24764'!$Q$2:$Q$9,MATCH("2025::jama.2024.24764::C006",'C_jama.2024.24764'!$A$2:$A$9,0))="","",INDEX('C_jama.2024.24764'!$Q$2:$Q$9,MATCH("2025::jama.2024.24764::C006",'C_jama.2024.24764'!$A$2:$A$9,0)))</x:f>
      </x:c>
    </x:row>
    <x:row r="8" ht="65" customHeight="1">
      <x:c r="A8" s="6" t="n">
        <x:v>2025</x:v>
      </x:c>
      <x:c r="B8" s="6" t="str">
        <x:v>jama.2024.24764</x:v>
      </x:c>
      <x:c r="C8" s="6" t="str">
        <x:v>2025::jama.2024.24764::C007</x:v>
      </x:c>
      <x:c r="D8" s="6" t="str">
        <x:v>P_R</x:v>
      </x:c>
      <x:c r="E8" s="6" t="n">
        <x:f>Setup!$B$2</x:f>
        <x:v>0</x:v>
      </x:c>
      <x:c r="F8" s="6" t="str">
        <x:f>IF(Setup!$B$4="","",Setup!$B$4)</x:f>
      </x:c>
      <x:c r="G8" s="6" t="str">
        <x:f>IFERROR(INDEX('C_jama.2024.24764'!$G$2:$G$9,MATCH("2025::jama.2024.24764::C007",'C_jama.2024.24764'!$A$2:$A$9,0)),"CHECK KEY")</x:f>
        <x:v>CHECK REVIEWER IDs</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protocol_report</x:v>
      </x:c>
      <x:c r="K8" s="6" t="str">
        <x:f>IF(Setup!$B$6="primary","",IFERROR(IF(INDEX('Primary_snapshot'!$B$2:$B$132,MATCH(C8,'Primary_snapshot'!$A$2:$A$132,0))="","",INDEX('Primary_snapshot'!$B$2:$B$132,MATCH(C8,'Primary_snapshot'!$A$2:$A$132,0))),"SNAPSHOT MISSING"))</x:f>
      </x:c>
      <x:c r="L8" s="6" t="str">
        <x:f>IF(Setup!$B$6="primary","",IFERROR(IF(INDEX('Primary_snapshot'!$C$2:$C$132,MATCH(C8,'Primary_snapshot'!$A$2:$A$132,0))="","",INDEX('Primary_snapshot'!$C$2:$C$132,MATCH(C8,'Primary_snapshot'!$A$2:$A$132,0))),"SNAPSHOT MISSING"))</x:f>
      </x:c>
      <x:c r="M8" s="6" t="str">
        <x:f>IF(Setup!$B$6="primary","",IFERROR(IF(INDEX('Primary_snapshot'!$D$2:$D$132,MATCH(C8,'Primary_snapshot'!$A$2:$A$132,0))="","",INDEX('Primary_snapshot'!$D$2:$D$132,MATCH(C8,'Primary_snapshot'!$A$2:$A$132,0))),"SNAPSHOT MISSING"))</x:f>
      </x:c>
      <x:c r="N8" s="6" t="str">
        <x:f>IF(Setup!$B$6="primary","",IFERROR(IF(INDEX('Primary_snapshot'!$E$2:$E$132,MATCH(C8,'Primary_snapshot'!$A$2:$A$132,0))="","",INDEX('Primary_snapshot'!$E$2:$E$132,MATCH(C8,'Primary_snapshot'!$A$2:$A$132,0))),"SNAPSHOT MISSING"))</x:f>
      </x:c>
      <x:c r="O8" s="6" t="str">
        <x:f>IF(Setup!$B$6="primary","",IFERROR(IF(INDEX('Primary_snapshot'!$F$2:$F$132,MATCH(C8,'Primary_snapshot'!$A$2:$A$132,0))="","",INDEX('Primary_snapshot'!$F$2:$F$132,MATCH(C8,'Primary_snapshot'!$A$2:$A$132,0))),"SNAPSHOT MISSING"))</x:f>
      </x:c>
      <x:c r="P8" s="6" t="str">
        <x:f>IF(Setup!$B$6="primary","",IFERROR(IF(INDEX('Primary_snapshot'!$G$2:$G$132,MATCH(C8,'Primary_snapshot'!$A$2:$A$132,0))="","",INDEX('Primary_snapshot'!$G$2:$G$132,MATCH(C8,'Primary_snapshot'!$A$2:$A$132,0))),"SNAPSHOT MISSING"))</x:f>
      </x:c>
      <x:c r="Q8" s="6" t="str">
        <x:f>IF(Setup!$B$6="primary","",IFERROR(IF(INDEX('Primary_snapshot'!$H$2:$H$132,MATCH(C8,'Primary_snapshot'!$A$2:$A$132,0))="","",INDEX('Primary_snapshot'!$H$2:$H$132,MATCH(C8,'Primary_snapshot'!$A$2:$A$132,0))),"SNAPSHOT MISSING"))</x:f>
      </x:c>
      <x:c r="R8" s="6" t="str">
        <x:f>IF(Setup!$B$6="primary","",IFERROR(IF(INDEX('Primary_snapshot'!$I$2:$I$132,MATCH(C8,'Primary_snapshot'!$A$2:$A$132,0))="","",INDEX('Primary_snapshot'!$I$2:$I$132,MATCH(C8,'Primary_snapshot'!$A$2:$A$132,0))),"SNAPSHOT MISSING"))</x:f>
      </x:c>
      <x:c r="S8" s="6" t="str">
        <x:f>IF(INDEX('C_jama.2024.24764'!$D$2:$D$9,MATCH("2025::jama.2024.24764::C007",'C_jama.2024.24764'!$A$2:$A$9,0))="","",INDEX('C_jama.2024.24764'!$D$2:$D$9,MATCH("2025::jama.2024.24764::C007",'C_jama.2024.24764'!$A$2:$A$9,0)))</x:f>
      </x:c>
      <x:c r="T8" s="6" t="str">
        <x:f>IF(INDEX('C_jama.2024.24764'!$E$2:$E$9,MATCH("2025::jama.2024.24764::C007",'C_jama.2024.24764'!$A$2:$A$9,0))="","",INDEX('C_jama.2024.24764'!$E$2:$E$9,MATCH("2025::jama.2024.24764::C007",'C_jama.2024.24764'!$A$2:$A$9,0)))</x:f>
        <x:v>protocol_report</x:v>
      </x:c>
      <x:c r="U8" s="6" t="str">
        <x:f>IF(AND(INDEX('C_jama.2024.24764'!$D$2:$D$9,MATCH("2025::jama.2024.24764::C007",'C_jama.2024.24764'!$A$2:$A$9,0))="retain",INDEX('C_jama.2024.24764'!$E$2:$E$9,MATCH("2025::jama.2024.24764::C007",'C_jama.2024.24764'!$A$2:$A$9,0))="statistical_results"),IF(INDEX('C_jama.2024.24764'!$H$2:$H$9,MATCH("2025::jama.2024.24764::C007",'C_jama.2024.24764'!$A$2:$A$9,0))="","",INDEX('C_jama.2024.24764'!$H$2:$H$9,MATCH("2025::jama.2024.24764::C007",'C_jama.2024.24764'!$A$2:$A$9,0))),"not_applicable")</x:f>
        <x:v>not_applicable</x:v>
      </x:c>
      <x:c r="V8" s="6" t="str">
        <x:f>IF(AND(INDEX('C_jama.2024.24764'!$D$2:$D$9,MATCH("2025::jama.2024.24764::C007",'C_jama.2024.24764'!$A$2:$A$9,0))="retain",INDEX('C_jama.2024.24764'!$E$2:$E$9,MATCH("2025::jama.2024.24764::C007",'C_jama.2024.24764'!$A$2:$A$9,0))="statistical_results"),IF(INDEX('C_jama.2024.24764'!$I$2:$I$9,MATCH("2025::jama.2024.24764::C007",'C_jama.2024.24764'!$A$2:$A$9,0))="","",INDEX('C_jama.2024.24764'!$I$2:$I$9,MATCH("2025::jama.2024.24764::C007",'C_jama.2024.24764'!$A$2:$A$9,0))),"not_applicable")</x:f>
        <x:v>not_applicable</x:v>
      </x:c>
      <x:c r="W8" s="6" t="str">
        <x:f>IF(AND(INDEX('C_jama.2024.24764'!$D$2:$D$9,MATCH("2025::jama.2024.24764::C007",'C_jama.2024.24764'!$A$2:$A$9,0))="retain",INDEX('C_jama.2024.24764'!$E$2:$E$9,MATCH("2025::jama.2024.24764::C007",'C_jama.2024.24764'!$A$2:$A$9,0))="statistical_results"),IF(INDEX('C_jama.2024.24764'!$J$2:$J$9,MATCH("2025::jama.2024.24764::C007",'C_jama.2024.24764'!$A$2:$A$9,0))="","",INDEX('C_jama.2024.24764'!$J$2:$J$9,MATCH("2025::jama.2024.24764::C007",'C_jama.2024.24764'!$A$2:$A$9,0))),"not_applicable")</x:f>
        <x:v>not_applicable</x:v>
      </x:c>
      <x:c r="X8" s="6" t="str">
        <x:f>IF(AND(INDEX('C_jama.2024.24764'!$D$2:$D$9,MATCH("2025::jama.2024.24764::C007",'C_jama.2024.24764'!$A$2:$A$9,0))="retain",OR(INDEX('C_jama.2024.24764'!$E$2:$E$9,MATCH("2025::jama.2024.24764::C007",'C_jama.2024.24764'!$A$2:$A$9,0))="report_internal_inconsistency",INDEX('C_jama.2024.24764'!$E$2:$E$9,MATCH("2025::jama.2024.24764::C007",'C_jama.2024.24764'!$A$2:$A$9,0))="plan_material")),IF(INDEX('C_jama.2024.24764'!$K$2:$K$9,MATCH("2025::jama.2024.24764::C007",'C_jama.2024.24764'!$A$2:$A$9,0))="","",INDEX('C_jama.2024.24764'!$K$2:$K$9,MATCH("2025::jama.2024.24764::C007",'C_jama.2024.24764'!$A$2:$A$9,0))),"not_applicable")</x:f>
        <x:v>not_applicable</x:v>
      </x:c>
      <x:c r="Y8" s="6" t="str">
        <x:f>IF(AND(INDEX('C_jama.2024.24764'!$D$2:$D$9,MATCH("2025::jama.2024.24764::C007",'C_jama.2024.24764'!$A$2:$A$9,0))="retain",INDEX('C_jama.2024.24764'!$E$2:$E$9,MATCH("2025::jama.2024.24764::C007",'C_jama.2024.24764'!$A$2:$A$9,0))="protocol_report"),IF(INDEX('C_jama.2024.24764'!$L$2:$L$9,MATCH("2025::jama.2024.24764::C007",'C_jama.2024.24764'!$A$2:$A$9,0))="","",INDEX('C_jama.2024.24764'!$L$2:$L$9,MATCH("2025::jama.2024.24764::C007",'C_jama.2024.24764'!$A$2:$A$9,0))),"not_applicable")</x:f>
        <x:v>not_applicable</x:v>
      </x:c>
      <x:c r="Z8" s="6" t="str">
        <x:f>IF(INDEX('C_jama.2024.24764'!$R$2:$R$9,MATCH("2025::jama.2024.24764::C007",'C_jama.2024.24764'!$A$2:$A$9,0))="","",INDEX('C_jama.2024.24764'!$R$2:$R$9,MATCH("2025::jama.2024.24764::C007",'C_jama.2024.24764'!$A$2:$A$9,0)))</x:f>
      </x:c>
      <x:c r="AA8" s="6" t="str">
        <x:f>IF(INDEX('C_jama.2024.24764'!$N$2:$N$9,MATCH("2025::jama.2024.24764::C007",'C_jama.2024.24764'!$A$2:$A$9,0))="","",INDEX('C_jama.2024.24764'!$N$2:$N$9,MATCH("2025::jama.2024.24764::C007",'C_jama.2024.24764'!$A$2:$A$9,0)))</x:f>
      </x:c>
      <x:c r="AB8" s="6" t="str">
        <x:f>IF(INDEX('C_jama.2024.24764'!$O$2:$O$9,MATCH("2025::jama.2024.24764::C007",'C_jama.2024.24764'!$A$2:$A$9,0))="","",INDEX('C_jama.2024.24764'!$O$2:$O$9,MATCH("2025::jama.2024.24764::C007",'C_jama.2024.24764'!$A$2:$A$9,0)))</x:f>
      </x:c>
      <x:c r="AC8" s="6" t="str">
        <x:f>IF(INDEX('C_jama.2024.24764'!$P$2:$P$9,MATCH("2025::jama.2024.24764::C007",'C_jama.2024.24764'!$A$2:$A$9,0))="","",INDEX('C_jama.2024.24764'!$P$2:$P$9,MATCH("2025::jama.2024.24764::C007",'C_jama.2024.24764'!$A$2:$A$9,0)))</x:f>
      </x:c>
      <x:c r="AD8" s="6" t="str">
        <x:f>IF(INDEX('C_jama.2024.24764'!$Q$2:$Q$9,MATCH("2025::jama.2024.24764::C007",'C_jama.2024.24764'!$A$2:$A$9,0))="","",INDEX('C_jama.2024.24764'!$Q$2:$Q$9,MATCH("2025::jama.2024.24764::C007",'C_jama.2024.24764'!$A$2:$A$9,0)))</x:f>
      </x:c>
    </x:row>
    <x:row r="9" ht="65" customHeight="1">
      <x:c r="A9" s="3" t="n">
        <x:v>2025</x:v>
      </x:c>
      <x:c r="B9" s="3" t="str">
        <x:v>jama.2024.24764</x:v>
      </x:c>
      <x:c r="C9" s="3" t="str">
        <x:v>2025::jama.2024.24764::C008</x:v>
      </x:c>
      <x:c r="D9" s="3" t="str">
        <x:v>P_R</x:v>
      </x:c>
      <x:c r="E9" s="3" t="n">
        <x:f>Setup!$B$2</x:f>
        <x:v>0</x:v>
      </x:c>
      <x:c r="F9" s="3" t="str">
        <x:f>IF(Setup!$B$4="","",Setup!$B$4)</x:f>
      </x:c>
      <x:c r="G9" s="3" t="str">
        <x:f>IFERROR(INDEX('C_jama.2024.24764'!$G$2:$G$9,MATCH("2025::jama.2024.24764::C008",'C_jama.2024.24764'!$A$2:$A$9,0)),"CHECK KEY")</x:f>
        <x:v>CHECK REVIEWER IDs</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protocol_report</x:v>
      </x:c>
      <x:c r="K9" s="3" t="str">
        <x:f>IF(Setup!$B$6="primary","",IFERROR(IF(INDEX('Primary_snapshot'!$B$2:$B$132,MATCH(C9,'Primary_snapshot'!$A$2:$A$132,0))="","",INDEX('Primary_snapshot'!$B$2:$B$132,MATCH(C9,'Primary_snapshot'!$A$2:$A$132,0))),"SNAPSHOT MISSING"))</x:f>
      </x:c>
      <x:c r="L9" s="3" t="str">
        <x:f>IF(Setup!$B$6="primary","",IFERROR(IF(INDEX('Primary_snapshot'!$C$2:$C$132,MATCH(C9,'Primary_snapshot'!$A$2:$A$132,0))="","",INDEX('Primary_snapshot'!$C$2:$C$132,MATCH(C9,'Primary_snapshot'!$A$2:$A$132,0))),"SNAPSHOT MISSING"))</x:f>
      </x:c>
      <x:c r="M9" s="3" t="str">
        <x:f>IF(Setup!$B$6="primary","",IFERROR(IF(INDEX('Primary_snapshot'!$D$2:$D$132,MATCH(C9,'Primary_snapshot'!$A$2:$A$132,0))="","",INDEX('Primary_snapshot'!$D$2:$D$132,MATCH(C9,'Primary_snapshot'!$A$2:$A$132,0))),"SNAPSHOT MISSING"))</x:f>
      </x:c>
      <x:c r="N9" s="3" t="str">
        <x:f>IF(Setup!$B$6="primary","",IFERROR(IF(INDEX('Primary_snapshot'!$E$2:$E$132,MATCH(C9,'Primary_snapshot'!$A$2:$A$132,0))="","",INDEX('Primary_snapshot'!$E$2:$E$132,MATCH(C9,'Primary_snapshot'!$A$2:$A$132,0))),"SNAPSHOT MISSING"))</x:f>
      </x:c>
      <x:c r="O9" s="3" t="str">
        <x:f>IF(Setup!$B$6="primary","",IFERROR(IF(INDEX('Primary_snapshot'!$F$2:$F$132,MATCH(C9,'Primary_snapshot'!$A$2:$A$132,0))="","",INDEX('Primary_snapshot'!$F$2:$F$132,MATCH(C9,'Primary_snapshot'!$A$2:$A$132,0))),"SNAPSHOT MISSING"))</x:f>
      </x:c>
      <x:c r="P9" s="3" t="str">
        <x:f>IF(Setup!$B$6="primary","",IFERROR(IF(INDEX('Primary_snapshot'!$G$2:$G$132,MATCH(C9,'Primary_snapshot'!$A$2:$A$132,0))="","",INDEX('Primary_snapshot'!$G$2:$G$132,MATCH(C9,'Primary_snapshot'!$A$2:$A$132,0))),"SNAPSHOT MISSING"))</x:f>
      </x:c>
      <x:c r="Q9" s="3" t="str">
        <x:f>IF(Setup!$B$6="primary","",IFERROR(IF(INDEX('Primary_snapshot'!$H$2:$H$132,MATCH(C9,'Primary_snapshot'!$A$2:$A$132,0))="","",INDEX('Primary_snapshot'!$H$2:$H$132,MATCH(C9,'Primary_snapshot'!$A$2:$A$132,0))),"SNAPSHOT MISSING"))</x:f>
      </x:c>
      <x:c r="R9" s="3" t="str">
        <x:f>IF(Setup!$B$6="primary","",IFERROR(IF(INDEX('Primary_snapshot'!$I$2:$I$132,MATCH(C9,'Primary_snapshot'!$A$2:$A$132,0))="","",INDEX('Primary_snapshot'!$I$2:$I$132,MATCH(C9,'Primary_snapshot'!$A$2:$A$132,0))),"SNAPSHOT MISSING"))</x:f>
      </x:c>
      <x:c r="S9" s="3" t="str">
        <x:f>IF(INDEX('C_jama.2024.24764'!$D$2:$D$9,MATCH("2025::jama.2024.24764::C008",'C_jama.2024.24764'!$A$2:$A$9,0))="","",INDEX('C_jama.2024.24764'!$D$2:$D$9,MATCH("2025::jama.2024.24764::C008",'C_jama.2024.24764'!$A$2:$A$9,0)))</x:f>
      </x:c>
      <x:c r="T9" s="3" t="str">
        <x:f>IF(INDEX('C_jama.2024.24764'!$E$2:$E$9,MATCH("2025::jama.2024.24764::C008",'C_jama.2024.24764'!$A$2:$A$9,0))="","",INDEX('C_jama.2024.24764'!$E$2:$E$9,MATCH("2025::jama.2024.24764::C008",'C_jama.2024.24764'!$A$2:$A$9,0)))</x:f>
        <x:v>protocol_report</x:v>
      </x:c>
      <x:c r="U9" s="3" t="str">
        <x:f>IF(AND(INDEX('C_jama.2024.24764'!$D$2:$D$9,MATCH("2025::jama.2024.24764::C008",'C_jama.2024.24764'!$A$2:$A$9,0))="retain",INDEX('C_jama.2024.24764'!$E$2:$E$9,MATCH("2025::jama.2024.24764::C008",'C_jama.2024.24764'!$A$2:$A$9,0))="statistical_results"),IF(INDEX('C_jama.2024.24764'!$H$2:$H$9,MATCH("2025::jama.2024.24764::C008",'C_jama.2024.24764'!$A$2:$A$9,0))="","",INDEX('C_jama.2024.24764'!$H$2:$H$9,MATCH("2025::jama.2024.24764::C008",'C_jama.2024.24764'!$A$2:$A$9,0))),"not_applicable")</x:f>
        <x:v>not_applicable</x:v>
      </x:c>
      <x:c r="V9" s="3" t="str">
        <x:f>IF(AND(INDEX('C_jama.2024.24764'!$D$2:$D$9,MATCH("2025::jama.2024.24764::C008",'C_jama.2024.24764'!$A$2:$A$9,0))="retain",INDEX('C_jama.2024.24764'!$E$2:$E$9,MATCH("2025::jama.2024.24764::C008",'C_jama.2024.24764'!$A$2:$A$9,0))="statistical_results"),IF(INDEX('C_jama.2024.24764'!$I$2:$I$9,MATCH("2025::jama.2024.24764::C008",'C_jama.2024.24764'!$A$2:$A$9,0))="","",INDEX('C_jama.2024.24764'!$I$2:$I$9,MATCH("2025::jama.2024.24764::C008",'C_jama.2024.24764'!$A$2:$A$9,0))),"not_applicable")</x:f>
        <x:v>not_applicable</x:v>
      </x:c>
      <x:c r="W9" s="3" t="str">
        <x:f>IF(AND(INDEX('C_jama.2024.24764'!$D$2:$D$9,MATCH("2025::jama.2024.24764::C008",'C_jama.2024.24764'!$A$2:$A$9,0))="retain",INDEX('C_jama.2024.24764'!$E$2:$E$9,MATCH("2025::jama.2024.24764::C008",'C_jama.2024.24764'!$A$2:$A$9,0))="statistical_results"),IF(INDEX('C_jama.2024.24764'!$J$2:$J$9,MATCH("2025::jama.2024.24764::C008",'C_jama.2024.24764'!$A$2:$A$9,0))="","",INDEX('C_jama.2024.24764'!$J$2:$J$9,MATCH("2025::jama.2024.24764::C008",'C_jama.2024.24764'!$A$2:$A$9,0))),"not_applicable")</x:f>
        <x:v>not_applicable</x:v>
      </x:c>
      <x:c r="X9" s="3" t="str">
        <x:f>IF(AND(INDEX('C_jama.2024.24764'!$D$2:$D$9,MATCH("2025::jama.2024.24764::C008",'C_jama.2024.24764'!$A$2:$A$9,0))="retain",OR(INDEX('C_jama.2024.24764'!$E$2:$E$9,MATCH("2025::jama.2024.24764::C008",'C_jama.2024.24764'!$A$2:$A$9,0))="report_internal_inconsistency",INDEX('C_jama.2024.24764'!$E$2:$E$9,MATCH("2025::jama.2024.24764::C008",'C_jama.2024.24764'!$A$2:$A$9,0))="plan_material")),IF(INDEX('C_jama.2024.24764'!$K$2:$K$9,MATCH("2025::jama.2024.24764::C008",'C_jama.2024.24764'!$A$2:$A$9,0))="","",INDEX('C_jama.2024.24764'!$K$2:$K$9,MATCH("2025::jama.2024.24764::C008",'C_jama.2024.24764'!$A$2:$A$9,0))),"not_applicable")</x:f>
        <x:v>not_applicable</x:v>
      </x:c>
      <x:c r="Y9" s="3" t="str">
        <x:f>IF(AND(INDEX('C_jama.2024.24764'!$D$2:$D$9,MATCH("2025::jama.2024.24764::C008",'C_jama.2024.24764'!$A$2:$A$9,0))="retain",INDEX('C_jama.2024.24764'!$E$2:$E$9,MATCH("2025::jama.2024.24764::C008",'C_jama.2024.24764'!$A$2:$A$9,0))="protocol_report"),IF(INDEX('C_jama.2024.24764'!$L$2:$L$9,MATCH("2025::jama.2024.24764::C008",'C_jama.2024.24764'!$A$2:$A$9,0))="","",INDEX('C_jama.2024.24764'!$L$2:$L$9,MATCH("2025::jama.2024.24764::C008",'C_jama.2024.24764'!$A$2:$A$9,0))),"not_applicable")</x:f>
        <x:v>not_applicable</x:v>
      </x:c>
      <x:c r="Z9" s="3" t="str">
        <x:f>IF(INDEX('C_jama.2024.24764'!$R$2:$R$9,MATCH("2025::jama.2024.24764::C008",'C_jama.2024.24764'!$A$2:$A$9,0))="","",INDEX('C_jama.2024.24764'!$R$2:$R$9,MATCH("2025::jama.2024.24764::C008",'C_jama.2024.24764'!$A$2:$A$9,0)))</x:f>
      </x:c>
      <x:c r="AA9" s="3" t="str">
        <x:f>IF(INDEX('C_jama.2024.24764'!$N$2:$N$9,MATCH("2025::jama.2024.24764::C008",'C_jama.2024.24764'!$A$2:$A$9,0))="","",INDEX('C_jama.2024.24764'!$N$2:$N$9,MATCH("2025::jama.2024.24764::C008",'C_jama.2024.24764'!$A$2:$A$9,0)))</x:f>
      </x:c>
      <x:c r="AB9" s="3" t="str">
        <x:f>IF(INDEX('C_jama.2024.24764'!$O$2:$O$9,MATCH("2025::jama.2024.24764::C008",'C_jama.2024.24764'!$A$2:$A$9,0))="","",INDEX('C_jama.2024.24764'!$O$2:$O$9,MATCH("2025::jama.2024.24764::C008",'C_jama.2024.24764'!$A$2:$A$9,0)))</x:f>
      </x:c>
      <x:c r="AC9" s="3" t="str">
        <x:f>IF(INDEX('C_jama.2024.24764'!$P$2:$P$9,MATCH("2025::jama.2024.24764::C008",'C_jama.2024.24764'!$A$2:$A$9,0))="","",INDEX('C_jama.2024.24764'!$P$2:$P$9,MATCH("2025::jama.2024.24764::C008",'C_jama.2024.24764'!$A$2:$A$9,0)))</x:f>
      </x:c>
      <x:c r="AD9" s="3" t="str">
        <x:f>IF(INDEX('C_jama.2024.24764'!$Q$2:$Q$9,MATCH("2025::jama.2024.24764::C008",'C_jama.2024.24764'!$A$2:$A$9,0))="","",INDEX('C_jama.2024.24764'!$Q$2:$Q$9,MATCH("2025::jama.2024.24764::C008",'C_jama.2024.24764'!$A$2:$A$9,0)))</x:f>
      </x:c>
    </x:row>
    <x:row r="10" ht="65" customHeight="1">
      <x:c r="A10" s="6" t="n">
        <x:v>2025</x:v>
      </x:c>
      <x:c r="B10" s="6" t="str">
        <x:v>jama.2024.27643</x:v>
      </x:c>
      <x:c r="C10" s="6" t="str">
        <x:v>2025::jama.2024.27643::C001</x:v>
      </x:c>
      <x:c r="D10" s="6" t="str">
        <x:v>S_W</x:v>
      </x:c>
      <x:c r="E10" s="6" t="n">
        <x:f>Setup!$B$2</x:f>
        <x:v>0</x:v>
      </x:c>
      <x:c r="F10" s="6" t="str">
        <x:f>IF(Setup!$B$4="","",Setup!$B$4)</x:f>
      </x:c>
      <x:c r="G10" s="6" t="str">
        <x:f>IFERROR(INDEX('C_jama.2024.27643'!$G$2:$G$9,MATCH("2025::jama.2024.27643::C001",'C_jama.2024.27643'!$A$2:$A$9,0)),"CHECK KEY")</x:f>
        <x:v>CHECK REVIEWER IDs</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statistical_results</x:v>
      </x:c>
      <x:c r="K10" s="6" t="str">
        <x:f>IF(Setup!$B$6="primary","",IFERROR(IF(INDEX('Primary_snapshot'!$B$2:$B$132,MATCH(C10,'Primary_snapshot'!$A$2:$A$132,0))="","",INDEX('Primary_snapshot'!$B$2:$B$132,MATCH(C10,'Primary_snapshot'!$A$2:$A$132,0))),"SNAPSHOT MISSING"))</x:f>
      </x:c>
      <x:c r="L10" s="6" t="str">
        <x:f>IF(Setup!$B$6="primary","",IFERROR(IF(INDEX('Primary_snapshot'!$C$2:$C$132,MATCH(C10,'Primary_snapshot'!$A$2:$A$132,0))="","",INDEX('Primary_snapshot'!$C$2:$C$132,MATCH(C10,'Primary_snapshot'!$A$2:$A$132,0))),"SNAPSHOT MISSING"))</x:f>
      </x:c>
      <x:c r="M10" s="6" t="str">
        <x:f>IF(Setup!$B$6="primary","",IFERROR(IF(INDEX('Primary_snapshot'!$D$2:$D$132,MATCH(C10,'Primary_snapshot'!$A$2:$A$132,0))="","",INDEX('Primary_snapshot'!$D$2:$D$132,MATCH(C10,'Primary_snapshot'!$A$2:$A$132,0))),"SNAPSHOT MISSING"))</x:f>
      </x:c>
      <x:c r="N10" s="6" t="str">
        <x:f>IF(Setup!$B$6="primary","",IFERROR(IF(INDEX('Primary_snapshot'!$E$2:$E$132,MATCH(C10,'Primary_snapshot'!$A$2:$A$132,0))="","",INDEX('Primary_snapshot'!$E$2:$E$132,MATCH(C10,'Primary_snapshot'!$A$2:$A$132,0))),"SNAPSHOT MISSING"))</x:f>
      </x:c>
      <x:c r="O10" s="6" t="str">
        <x:f>IF(Setup!$B$6="primary","",IFERROR(IF(INDEX('Primary_snapshot'!$F$2:$F$132,MATCH(C10,'Primary_snapshot'!$A$2:$A$132,0))="","",INDEX('Primary_snapshot'!$F$2:$F$132,MATCH(C10,'Primary_snapshot'!$A$2:$A$132,0))),"SNAPSHOT MISSING"))</x:f>
      </x:c>
      <x:c r="P10" s="6" t="str">
        <x:f>IF(Setup!$B$6="primary","",IFERROR(IF(INDEX('Primary_snapshot'!$G$2:$G$132,MATCH(C10,'Primary_snapshot'!$A$2:$A$132,0))="","",INDEX('Primary_snapshot'!$G$2:$G$132,MATCH(C10,'Primary_snapshot'!$A$2:$A$132,0))),"SNAPSHOT MISSING"))</x:f>
      </x:c>
      <x:c r="Q10" s="6" t="str">
        <x:f>IF(Setup!$B$6="primary","",IFERROR(IF(INDEX('Primary_snapshot'!$H$2:$H$132,MATCH(C10,'Primary_snapshot'!$A$2:$A$132,0))="","",INDEX('Primary_snapshot'!$H$2:$H$132,MATCH(C10,'Primary_snapshot'!$A$2:$A$132,0))),"SNAPSHOT MISSING"))</x:f>
      </x:c>
      <x:c r="R10" s="6" t="str">
        <x:f>IF(Setup!$B$6="primary","",IFERROR(IF(INDEX('Primary_snapshot'!$I$2:$I$132,MATCH(C10,'Primary_snapshot'!$A$2:$A$132,0))="","",INDEX('Primary_snapshot'!$I$2:$I$132,MATCH(C10,'Primary_snapshot'!$A$2:$A$132,0))),"SNAPSHOT MISSING"))</x:f>
      </x:c>
      <x:c r="S10" s="6" t="str">
        <x:f>IF(INDEX('C_jama.2024.27643'!$D$2:$D$9,MATCH("2025::jama.2024.27643::C001",'C_jama.2024.27643'!$A$2:$A$9,0))="","",INDEX('C_jama.2024.27643'!$D$2:$D$9,MATCH("2025::jama.2024.27643::C001",'C_jama.2024.27643'!$A$2:$A$9,0)))</x:f>
      </x:c>
      <x:c r="T10" s="6" t="str">
        <x:f>IF(INDEX('C_jama.2024.27643'!$E$2:$E$9,MATCH("2025::jama.2024.27643::C001",'C_jama.2024.27643'!$A$2:$A$9,0))="","",INDEX('C_jama.2024.27643'!$E$2:$E$9,MATCH("2025::jama.2024.27643::C001",'C_jama.2024.27643'!$A$2:$A$9,0)))</x:f>
        <x:v>statistical_results</x:v>
      </x:c>
      <x:c r="U10" s="6" t="str">
        <x:f>IF(AND(INDEX('C_jama.2024.27643'!$D$2:$D$9,MATCH("2025::jama.2024.27643::C001",'C_jama.2024.27643'!$A$2:$A$9,0))="retain",INDEX('C_jama.2024.27643'!$E$2:$E$9,MATCH("2025::jama.2024.27643::C001",'C_jama.2024.27643'!$A$2:$A$9,0))="statistical_results"),IF(INDEX('C_jama.2024.27643'!$H$2:$H$9,MATCH("2025::jama.2024.27643::C001",'C_jama.2024.27643'!$A$2:$A$9,0))="","",INDEX('C_jama.2024.27643'!$H$2:$H$9,MATCH("2025::jama.2024.27643::C001",'C_jama.2024.27643'!$A$2:$A$9,0))),"not_applicable")</x:f>
        <x:v>not_applicable</x:v>
      </x:c>
      <x:c r="V10" s="6" t="str">
        <x:f>IF(AND(INDEX('C_jama.2024.27643'!$D$2:$D$9,MATCH("2025::jama.2024.27643::C001",'C_jama.2024.27643'!$A$2:$A$9,0))="retain",INDEX('C_jama.2024.27643'!$E$2:$E$9,MATCH("2025::jama.2024.27643::C001",'C_jama.2024.27643'!$A$2:$A$9,0))="statistical_results"),IF(INDEX('C_jama.2024.27643'!$I$2:$I$9,MATCH("2025::jama.2024.27643::C001",'C_jama.2024.27643'!$A$2:$A$9,0))="","",INDEX('C_jama.2024.27643'!$I$2:$I$9,MATCH("2025::jama.2024.27643::C001",'C_jama.2024.27643'!$A$2:$A$9,0))),"not_applicable")</x:f>
        <x:v>not_applicable</x:v>
      </x:c>
      <x:c r="W10" s="6" t="str">
        <x:f>IF(AND(INDEX('C_jama.2024.27643'!$D$2:$D$9,MATCH("2025::jama.2024.27643::C001",'C_jama.2024.27643'!$A$2:$A$9,0))="retain",INDEX('C_jama.2024.27643'!$E$2:$E$9,MATCH("2025::jama.2024.27643::C001",'C_jama.2024.27643'!$A$2:$A$9,0))="statistical_results"),IF(INDEX('C_jama.2024.27643'!$J$2:$J$9,MATCH("2025::jama.2024.27643::C001",'C_jama.2024.27643'!$A$2:$A$9,0))="","",INDEX('C_jama.2024.27643'!$J$2:$J$9,MATCH("2025::jama.2024.27643::C001",'C_jama.2024.27643'!$A$2:$A$9,0))),"not_applicable")</x:f>
        <x:v>not_applicable</x:v>
      </x:c>
      <x:c r="X10" s="6" t="str">
        <x:f>IF(AND(INDEX('C_jama.2024.27643'!$D$2:$D$9,MATCH("2025::jama.2024.27643::C001",'C_jama.2024.27643'!$A$2:$A$9,0))="retain",OR(INDEX('C_jama.2024.27643'!$E$2:$E$9,MATCH("2025::jama.2024.27643::C001",'C_jama.2024.27643'!$A$2:$A$9,0))="report_internal_inconsistency",INDEX('C_jama.2024.27643'!$E$2:$E$9,MATCH("2025::jama.2024.27643::C001",'C_jama.2024.27643'!$A$2:$A$9,0))="plan_material")),IF(INDEX('C_jama.2024.27643'!$K$2:$K$9,MATCH("2025::jama.2024.27643::C001",'C_jama.2024.27643'!$A$2:$A$9,0))="","",INDEX('C_jama.2024.27643'!$K$2:$K$9,MATCH("2025::jama.2024.27643::C001",'C_jama.2024.27643'!$A$2:$A$9,0))),"not_applicable")</x:f>
        <x:v>not_applicable</x:v>
      </x:c>
      <x:c r="Y10" s="6" t="str">
        <x:f>IF(AND(INDEX('C_jama.2024.27643'!$D$2:$D$9,MATCH("2025::jama.2024.27643::C001",'C_jama.2024.27643'!$A$2:$A$9,0))="retain",INDEX('C_jama.2024.27643'!$E$2:$E$9,MATCH("2025::jama.2024.27643::C001",'C_jama.2024.27643'!$A$2:$A$9,0))="protocol_report"),IF(INDEX('C_jama.2024.27643'!$L$2:$L$9,MATCH("2025::jama.2024.27643::C001",'C_jama.2024.27643'!$A$2:$A$9,0))="","",INDEX('C_jama.2024.27643'!$L$2:$L$9,MATCH("2025::jama.2024.27643::C001",'C_jama.2024.27643'!$A$2:$A$9,0))),"not_applicable")</x:f>
        <x:v>not_applicable</x:v>
      </x:c>
      <x:c r="Z10" s="6" t="str">
        <x:f>IF(INDEX('C_jama.2024.27643'!$R$2:$R$9,MATCH("2025::jama.2024.27643::C001",'C_jama.2024.27643'!$A$2:$A$9,0))="","",INDEX('C_jama.2024.27643'!$R$2:$R$9,MATCH("2025::jama.2024.27643::C001",'C_jama.2024.27643'!$A$2:$A$9,0)))</x:f>
      </x:c>
      <x:c r="AA10" s="6" t="str">
        <x:f>IF(INDEX('C_jama.2024.27643'!$N$2:$N$9,MATCH("2025::jama.2024.27643::C001",'C_jama.2024.27643'!$A$2:$A$9,0))="","",INDEX('C_jama.2024.27643'!$N$2:$N$9,MATCH("2025::jama.2024.27643::C001",'C_jama.2024.27643'!$A$2:$A$9,0)))</x:f>
      </x:c>
      <x:c r="AB10" s="6" t="str">
        <x:f>IF(INDEX('C_jama.2024.27643'!$O$2:$O$9,MATCH("2025::jama.2024.27643::C001",'C_jama.2024.27643'!$A$2:$A$9,0))="","",INDEX('C_jama.2024.27643'!$O$2:$O$9,MATCH("2025::jama.2024.27643::C001",'C_jama.2024.27643'!$A$2:$A$9,0)))</x:f>
      </x:c>
      <x:c r="AC10" s="6" t="str">
        <x:f>IF(INDEX('C_jama.2024.27643'!$P$2:$P$9,MATCH("2025::jama.2024.27643::C001",'C_jama.2024.27643'!$A$2:$A$9,0))="","",INDEX('C_jama.2024.27643'!$P$2:$P$9,MATCH("2025::jama.2024.27643::C001",'C_jama.2024.27643'!$A$2:$A$9,0)))</x:f>
      </x:c>
      <x:c r="AD10" s="6" t="str">
        <x:f>IF(INDEX('C_jama.2024.27643'!$Q$2:$Q$9,MATCH("2025::jama.2024.27643::C001",'C_jama.2024.27643'!$A$2:$A$9,0))="","",INDEX('C_jama.2024.27643'!$Q$2:$Q$9,MATCH("2025::jama.2024.27643::C001",'C_jama.2024.27643'!$A$2:$A$9,0)))</x:f>
      </x:c>
    </x:row>
    <x:row r="11" ht="65" customHeight="1">
      <x:c r="A11" s="3" t="n">
        <x:v>2025</x:v>
      </x:c>
      <x:c r="B11" s="3" t="str">
        <x:v>jama.2024.27643</x:v>
      </x:c>
      <x:c r="C11" s="3" t="str">
        <x:v>2025::jama.2024.27643::C002</x:v>
      </x:c>
      <x:c r="D11" s="3" t="str">
        <x:v>S_C</x:v>
      </x:c>
      <x:c r="E11" s="3" t="n">
        <x:f>Setup!$B$2</x:f>
        <x:v>0</x:v>
      </x:c>
      <x:c r="F11" s="3" t="str">
        <x:f>IF(Setup!$B$4="","",Setup!$B$4)</x:f>
      </x:c>
      <x:c r="G11" s="3" t="str">
        <x:f>IFERROR(INDEX('C_jama.2024.27643'!$G$2:$G$9,MATCH("2025::jama.2024.27643::C002",'C_jama.2024.27643'!$A$2:$A$9,0)),"CHECK KEY")</x:f>
        <x:v>CHECK REVIEWER IDs</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report_internal_inconsistency</x:v>
      </x:c>
      <x:c r="K11" s="3" t="str">
        <x:f>IF(Setup!$B$6="primary","",IFERROR(IF(INDEX('Primary_snapshot'!$B$2:$B$132,MATCH(C11,'Primary_snapshot'!$A$2:$A$132,0))="","",INDEX('Primary_snapshot'!$B$2:$B$132,MATCH(C11,'Primary_snapshot'!$A$2:$A$132,0))),"SNAPSHOT MISSING"))</x:f>
      </x:c>
      <x:c r="L11" s="3" t="str">
        <x:f>IF(Setup!$B$6="primary","",IFERROR(IF(INDEX('Primary_snapshot'!$C$2:$C$132,MATCH(C11,'Primary_snapshot'!$A$2:$A$132,0))="","",INDEX('Primary_snapshot'!$C$2:$C$132,MATCH(C11,'Primary_snapshot'!$A$2:$A$132,0))),"SNAPSHOT MISSING"))</x:f>
      </x:c>
      <x:c r="M11" s="3" t="str">
        <x:f>IF(Setup!$B$6="primary","",IFERROR(IF(INDEX('Primary_snapshot'!$D$2:$D$132,MATCH(C11,'Primary_snapshot'!$A$2:$A$132,0))="","",INDEX('Primary_snapshot'!$D$2:$D$132,MATCH(C11,'Primary_snapshot'!$A$2:$A$132,0))),"SNAPSHOT MISSING"))</x:f>
      </x:c>
      <x:c r="N11" s="3" t="str">
        <x:f>IF(Setup!$B$6="primary","",IFERROR(IF(INDEX('Primary_snapshot'!$E$2:$E$132,MATCH(C11,'Primary_snapshot'!$A$2:$A$132,0))="","",INDEX('Primary_snapshot'!$E$2:$E$132,MATCH(C11,'Primary_snapshot'!$A$2:$A$132,0))),"SNAPSHOT MISSING"))</x:f>
      </x:c>
      <x:c r="O11" s="3" t="str">
        <x:f>IF(Setup!$B$6="primary","",IFERROR(IF(INDEX('Primary_snapshot'!$F$2:$F$132,MATCH(C11,'Primary_snapshot'!$A$2:$A$132,0))="","",INDEX('Primary_snapshot'!$F$2:$F$132,MATCH(C11,'Primary_snapshot'!$A$2:$A$132,0))),"SNAPSHOT MISSING"))</x:f>
      </x:c>
      <x:c r="P11" s="3" t="str">
        <x:f>IF(Setup!$B$6="primary","",IFERROR(IF(INDEX('Primary_snapshot'!$G$2:$G$132,MATCH(C11,'Primary_snapshot'!$A$2:$A$132,0))="","",INDEX('Primary_snapshot'!$G$2:$G$132,MATCH(C11,'Primary_snapshot'!$A$2:$A$132,0))),"SNAPSHOT MISSING"))</x:f>
      </x:c>
      <x:c r="Q11" s="3" t="str">
        <x:f>IF(Setup!$B$6="primary","",IFERROR(IF(INDEX('Primary_snapshot'!$H$2:$H$132,MATCH(C11,'Primary_snapshot'!$A$2:$A$132,0))="","",INDEX('Primary_snapshot'!$H$2:$H$132,MATCH(C11,'Primary_snapshot'!$A$2:$A$132,0))),"SNAPSHOT MISSING"))</x:f>
      </x:c>
      <x:c r="R11" s="3" t="str">
        <x:f>IF(Setup!$B$6="primary","",IFERROR(IF(INDEX('Primary_snapshot'!$I$2:$I$132,MATCH(C11,'Primary_snapshot'!$A$2:$A$132,0))="","",INDEX('Primary_snapshot'!$I$2:$I$132,MATCH(C11,'Primary_snapshot'!$A$2:$A$132,0))),"SNAPSHOT MISSING"))</x:f>
      </x:c>
      <x:c r="S11" s="3" t="str">
        <x:f>IF(INDEX('C_jama.2024.27643'!$D$2:$D$9,MATCH("2025::jama.2024.27643::C002",'C_jama.2024.27643'!$A$2:$A$9,0))="","",INDEX('C_jama.2024.27643'!$D$2:$D$9,MATCH("2025::jama.2024.27643::C002",'C_jama.2024.27643'!$A$2:$A$9,0)))</x:f>
      </x:c>
      <x:c r="T11" s="3" t="str">
        <x:f>IF(INDEX('C_jama.2024.27643'!$E$2:$E$9,MATCH("2025::jama.2024.27643::C002",'C_jama.2024.27643'!$A$2:$A$9,0))="","",INDEX('C_jama.2024.27643'!$E$2:$E$9,MATCH("2025::jama.2024.27643::C002",'C_jama.2024.27643'!$A$2:$A$9,0)))</x:f>
        <x:v>report_internal_inconsistency</x:v>
      </x:c>
      <x:c r="U11" s="3" t="str">
        <x:f>IF(AND(INDEX('C_jama.2024.27643'!$D$2:$D$9,MATCH("2025::jama.2024.27643::C002",'C_jama.2024.27643'!$A$2:$A$9,0))="retain",INDEX('C_jama.2024.27643'!$E$2:$E$9,MATCH("2025::jama.2024.27643::C002",'C_jama.2024.27643'!$A$2:$A$9,0))="statistical_results"),IF(INDEX('C_jama.2024.27643'!$H$2:$H$9,MATCH("2025::jama.2024.27643::C002",'C_jama.2024.27643'!$A$2:$A$9,0))="","",INDEX('C_jama.2024.27643'!$H$2:$H$9,MATCH("2025::jama.2024.27643::C002",'C_jama.2024.27643'!$A$2:$A$9,0))),"not_applicable")</x:f>
        <x:v>not_applicable</x:v>
      </x:c>
      <x:c r="V11" s="3" t="str">
        <x:f>IF(AND(INDEX('C_jama.2024.27643'!$D$2:$D$9,MATCH("2025::jama.2024.27643::C002",'C_jama.2024.27643'!$A$2:$A$9,0))="retain",INDEX('C_jama.2024.27643'!$E$2:$E$9,MATCH("2025::jama.2024.27643::C002",'C_jama.2024.27643'!$A$2:$A$9,0))="statistical_results"),IF(INDEX('C_jama.2024.27643'!$I$2:$I$9,MATCH("2025::jama.2024.27643::C002",'C_jama.2024.27643'!$A$2:$A$9,0))="","",INDEX('C_jama.2024.27643'!$I$2:$I$9,MATCH("2025::jama.2024.27643::C002",'C_jama.2024.27643'!$A$2:$A$9,0))),"not_applicable")</x:f>
        <x:v>not_applicable</x:v>
      </x:c>
      <x:c r="W11" s="3" t="str">
        <x:f>IF(AND(INDEX('C_jama.2024.27643'!$D$2:$D$9,MATCH("2025::jama.2024.27643::C002",'C_jama.2024.27643'!$A$2:$A$9,0))="retain",INDEX('C_jama.2024.27643'!$E$2:$E$9,MATCH("2025::jama.2024.27643::C002",'C_jama.2024.27643'!$A$2:$A$9,0))="statistical_results"),IF(INDEX('C_jama.2024.27643'!$J$2:$J$9,MATCH("2025::jama.2024.27643::C002",'C_jama.2024.27643'!$A$2:$A$9,0))="","",INDEX('C_jama.2024.27643'!$J$2:$J$9,MATCH("2025::jama.2024.27643::C002",'C_jama.2024.27643'!$A$2:$A$9,0))),"not_applicable")</x:f>
        <x:v>not_applicable</x:v>
      </x:c>
      <x:c r="X11" s="3" t="str">
        <x:f>IF(AND(INDEX('C_jama.2024.27643'!$D$2:$D$9,MATCH("2025::jama.2024.27643::C002",'C_jama.2024.27643'!$A$2:$A$9,0))="retain",OR(INDEX('C_jama.2024.27643'!$E$2:$E$9,MATCH("2025::jama.2024.27643::C002",'C_jama.2024.27643'!$A$2:$A$9,0))="report_internal_inconsistency",INDEX('C_jama.2024.27643'!$E$2:$E$9,MATCH("2025::jama.2024.27643::C002",'C_jama.2024.27643'!$A$2:$A$9,0))="plan_material")),IF(INDEX('C_jama.2024.27643'!$K$2:$K$9,MATCH("2025::jama.2024.27643::C002",'C_jama.2024.27643'!$A$2:$A$9,0))="","",INDEX('C_jama.2024.27643'!$K$2:$K$9,MATCH("2025::jama.2024.27643::C002",'C_jama.2024.27643'!$A$2:$A$9,0))),"not_applicable")</x:f>
        <x:v>not_applicable</x:v>
      </x:c>
      <x:c r="Y11" s="3" t="str">
        <x:f>IF(AND(INDEX('C_jama.2024.27643'!$D$2:$D$9,MATCH("2025::jama.2024.27643::C002",'C_jama.2024.27643'!$A$2:$A$9,0))="retain",INDEX('C_jama.2024.27643'!$E$2:$E$9,MATCH("2025::jama.2024.27643::C002",'C_jama.2024.27643'!$A$2:$A$9,0))="protocol_report"),IF(INDEX('C_jama.2024.27643'!$L$2:$L$9,MATCH("2025::jama.2024.27643::C002",'C_jama.2024.27643'!$A$2:$A$9,0))="","",INDEX('C_jama.2024.27643'!$L$2:$L$9,MATCH("2025::jama.2024.27643::C002",'C_jama.2024.27643'!$A$2:$A$9,0))),"not_applicable")</x:f>
        <x:v>not_applicable</x:v>
      </x:c>
      <x:c r="Z11" s="3" t="str">
        <x:f>IF(INDEX('C_jama.2024.27643'!$R$2:$R$9,MATCH("2025::jama.2024.27643::C002",'C_jama.2024.27643'!$A$2:$A$9,0))="","",INDEX('C_jama.2024.27643'!$R$2:$R$9,MATCH("2025::jama.2024.27643::C002",'C_jama.2024.27643'!$A$2:$A$9,0)))</x:f>
      </x:c>
      <x:c r="AA11" s="3" t="str">
        <x:f>IF(INDEX('C_jama.2024.27643'!$N$2:$N$9,MATCH("2025::jama.2024.27643::C002",'C_jama.2024.27643'!$A$2:$A$9,0))="","",INDEX('C_jama.2024.27643'!$N$2:$N$9,MATCH("2025::jama.2024.27643::C002",'C_jama.2024.27643'!$A$2:$A$9,0)))</x:f>
      </x:c>
      <x:c r="AB11" s="3" t="str">
        <x:f>IF(INDEX('C_jama.2024.27643'!$O$2:$O$9,MATCH("2025::jama.2024.27643::C002",'C_jama.2024.27643'!$A$2:$A$9,0))="","",INDEX('C_jama.2024.27643'!$O$2:$O$9,MATCH("2025::jama.2024.27643::C002",'C_jama.2024.27643'!$A$2:$A$9,0)))</x:f>
      </x:c>
      <x:c r="AC11" s="3" t="str">
        <x:f>IF(INDEX('C_jama.2024.27643'!$P$2:$P$9,MATCH("2025::jama.2024.27643::C002",'C_jama.2024.27643'!$A$2:$A$9,0))="","",INDEX('C_jama.2024.27643'!$P$2:$P$9,MATCH("2025::jama.2024.27643::C002",'C_jama.2024.27643'!$A$2:$A$9,0)))</x:f>
      </x:c>
      <x:c r="AD11" s="3" t="str">
        <x:f>IF(INDEX('C_jama.2024.27643'!$Q$2:$Q$9,MATCH("2025::jama.2024.27643::C002",'C_jama.2024.27643'!$A$2:$A$9,0))="","",INDEX('C_jama.2024.27643'!$Q$2:$Q$9,MATCH("2025::jama.2024.27643::C002",'C_jama.2024.27643'!$A$2:$A$9,0)))</x:f>
      </x:c>
    </x:row>
    <x:row r="12" ht="65" customHeight="1">
      <x:c r="A12" s="6" t="n">
        <x:v>2025</x:v>
      </x:c>
      <x:c r="B12" s="6" t="str">
        <x:v>jama.2024.27643</x:v>
      </x:c>
      <x:c r="C12" s="6" t="str">
        <x:v>2025::jama.2024.27643::C003</x:v>
      </x:c>
      <x:c r="D12" s="6" t="str">
        <x:v>S_C</x:v>
      </x:c>
      <x:c r="E12" s="6" t="n">
        <x:f>Setup!$B$2</x:f>
        <x:v>0</x:v>
      </x:c>
      <x:c r="F12" s="6" t="str">
        <x:f>IF(Setup!$B$4="","",Setup!$B$4)</x:f>
      </x:c>
      <x:c r="G12" s="6" t="str">
        <x:f>IFERROR(INDEX('C_jama.2024.27643'!$G$2:$G$9,MATCH("2025::jama.2024.27643::C003",'C_jama.2024.27643'!$A$2:$A$9,0)),"CHECK KEY")</x:f>
        <x:v>CHECK REVIEWER IDs</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report_internal_inconsistency</x:v>
      </x:c>
      <x:c r="K12" s="6" t="str">
        <x:f>IF(Setup!$B$6="primary","",IFERROR(IF(INDEX('Primary_snapshot'!$B$2:$B$132,MATCH(C12,'Primary_snapshot'!$A$2:$A$132,0))="","",INDEX('Primary_snapshot'!$B$2:$B$132,MATCH(C12,'Primary_snapshot'!$A$2:$A$132,0))),"SNAPSHOT MISSING"))</x:f>
      </x:c>
      <x:c r="L12" s="6" t="str">
        <x:f>IF(Setup!$B$6="primary","",IFERROR(IF(INDEX('Primary_snapshot'!$C$2:$C$132,MATCH(C12,'Primary_snapshot'!$A$2:$A$132,0))="","",INDEX('Primary_snapshot'!$C$2:$C$132,MATCH(C12,'Primary_snapshot'!$A$2:$A$132,0))),"SNAPSHOT MISSING"))</x:f>
      </x:c>
      <x:c r="M12" s="6" t="str">
        <x:f>IF(Setup!$B$6="primary","",IFERROR(IF(INDEX('Primary_snapshot'!$D$2:$D$132,MATCH(C12,'Primary_snapshot'!$A$2:$A$132,0))="","",INDEX('Primary_snapshot'!$D$2:$D$132,MATCH(C12,'Primary_snapshot'!$A$2:$A$132,0))),"SNAPSHOT MISSING"))</x:f>
      </x:c>
      <x:c r="N12" s="6" t="str">
        <x:f>IF(Setup!$B$6="primary","",IFERROR(IF(INDEX('Primary_snapshot'!$E$2:$E$132,MATCH(C12,'Primary_snapshot'!$A$2:$A$132,0))="","",INDEX('Primary_snapshot'!$E$2:$E$132,MATCH(C12,'Primary_snapshot'!$A$2:$A$132,0))),"SNAPSHOT MISSING"))</x:f>
      </x:c>
      <x:c r="O12" s="6" t="str">
        <x:f>IF(Setup!$B$6="primary","",IFERROR(IF(INDEX('Primary_snapshot'!$F$2:$F$132,MATCH(C12,'Primary_snapshot'!$A$2:$A$132,0))="","",INDEX('Primary_snapshot'!$F$2:$F$132,MATCH(C12,'Primary_snapshot'!$A$2:$A$132,0))),"SNAPSHOT MISSING"))</x:f>
      </x:c>
      <x:c r="P12" s="6" t="str">
        <x:f>IF(Setup!$B$6="primary","",IFERROR(IF(INDEX('Primary_snapshot'!$G$2:$G$132,MATCH(C12,'Primary_snapshot'!$A$2:$A$132,0))="","",INDEX('Primary_snapshot'!$G$2:$G$132,MATCH(C12,'Primary_snapshot'!$A$2:$A$132,0))),"SNAPSHOT MISSING"))</x:f>
      </x:c>
      <x:c r="Q12" s="6" t="str">
        <x:f>IF(Setup!$B$6="primary","",IFERROR(IF(INDEX('Primary_snapshot'!$H$2:$H$132,MATCH(C12,'Primary_snapshot'!$A$2:$A$132,0))="","",INDEX('Primary_snapshot'!$H$2:$H$132,MATCH(C12,'Primary_snapshot'!$A$2:$A$132,0))),"SNAPSHOT MISSING"))</x:f>
      </x:c>
      <x:c r="R12" s="6" t="str">
        <x:f>IF(Setup!$B$6="primary","",IFERROR(IF(INDEX('Primary_snapshot'!$I$2:$I$132,MATCH(C12,'Primary_snapshot'!$A$2:$A$132,0))="","",INDEX('Primary_snapshot'!$I$2:$I$132,MATCH(C12,'Primary_snapshot'!$A$2:$A$132,0))),"SNAPSHOT MISSING"))</x:f>
      </x:c>
      <x:c r="S12" s="6" t="str">
        <x:f>IF(INDEX('C_jama.2024.27643'!$D$2:$D$9,MATCH("2025::jama.2024.27643::C003",'C_jama.2024.27643'!$A$2:$A$9,0))="","",INDEX('C_jama.2024.27643'!$D$2:$D$9,MATCH("2025::jama.2024.27643::C003",'C_jama.2024.27643'!$A$2:$A$9,0)))</x:f>
      </x:c>
      <x:c r="T12" s="6" t="str">
        <x:f>IF(INDEX('C_jama.2024.27643'!$E$2:$E$9,MATCH("2025::jama.2024.27643::C003",'C_jama.2024.27643'!$A$2:$A$9,0))="","",INDEX('C_jama.2024.27643'!$E$2:$E$9,MATCH("2025::jama.2024.27643::C003",'C_jama.2024.27643'!$A$2:$A$9,0)))</x:f>
        <x:v>report_internal_inconsistency</x:v>
      </x:c>
      <x:c r="U12" s="6" t="str">
        <x:f>IF(AND(INDEX('C_jama.2024.27643'!$D$2:$D$9,MATCH("2025::jama.2024.27643::C003",'C_jama.2024.27643'!$A$2:$A$9,0))="retain",INDEX('C_jama.2024.27643'!$E$2:$E$9,MATCH("2025::jama.2024.27643::C003",'C_jama.2024.27643'!$A$2:$A$9,0))="statistical_results"),IF(INDEX('C_jama.2024.27643'!$H$2:$H$9,MATCH("2025::jama.2024.27643::C003",'C_jama.2024.27643'!$A$2:$A$9,0))="","",INDEX('C_jama.2024.27643'!$H$2:$H$9,MATCH("2025::jama.2024.27643::C003",'C_jama.2024.27643'!$A$2:$A$9,0))),"not_applicable")</x:f>
        <x:v>not_applicable</x:v>
      </x:c>
      <x:c r="V12" s="6" t="str">
        <x:f>IF(AND(INDEX('C_jama.2024.27643'!$D$2:$D$9,MATCH("2025::jama.2024.27643::C003",'C_jama.2024.27643'!$A$2:$A$9,0))="retain",INDEX('C_jama.2024.27643'!$E$2:$E$9,MATCH("2025::jama.2024.27643::C003",'C_jama.2024.27643'!$A$2:$A$9,0))="statistical_results"),IF(INDEX('C_jama.2024.27643'!$I$2:$I$9,MATCH("2025::jama.2024.27643::C003",'C_jama.2024.27643'!$A$2:$A$9,0))="","",INDEX('C_jama.2024.27643'!$I$2:$I$9,MATCH("2025::jama.2024.27643::C003",'C_jama.2024.27643'!$A$2:$A$9,0))),"not_applicable")</x:f>
        <x:v>not_applicable</x:v>
      </x:c>
      <x:c r="W12" s="6" t="str">
        <x:f>IF(AND(INDEX('C_jama.2024.27643'!$D$2:$D$9,MATCH("2025::jama.2024.27643::C003",'C_jama.2024.27643'!$A$2:$A$9,0))="retain",INDEX('C_jama.2024.27643'!$E$2:$E$9,MATCH("2025::jama.2024.27643::C003",'C_jama.2024.27643'!$A$2:$A$9,0))="statistical_results"),IF(INDEX('C_jama.2024.27643'!$J$2:$J$9,MATCH("2025::jama.2024.27643::C003",'C_jama.2024.27643'!$A$2:$A$9,0))="","",INDEX('C_jama.2024.27643'!$J$2:$J$9,MATCH("2025::jama.2024.27643::C003",'C_jama.2024.27643'!$A$2:$A$9,0))),"not_applicable")</x:f>
        <x:v>not_applicable</x:v>
      </x:c>
      <x:c r="X12" s="6" t="str">
        <x:f>IF(AND(INDEX('C_jama.2024.27643'!$D$2:$D$9,MATCH("2025::jama.2024.27643::C003",'C_jama.2024.27643'!$A$2:$A$9,0))="retain",OR(INDEX('C_jama.2024.27643'!$E$2:$E$9,MATCH("2025::jama.2024.27643::C003",'C_jama.2024.27643'!$A$2:$A$9,0))="report_internal_inconsistency",INDEX('C_jama.2024.27643'!$E$2:$E$9,MATCH("2025::jama.2024.27643::C003",'C_jama.2024.27643'!$A$2:$A$9,0))="plan_material")),IF(INDEX('C_jama.2024.27643'!$K$2:$K$9,MATCH("2025::jama.2024.27643::C003",'C_jama.2024.27643'!$A$2:$A$9,0))="","",INDEX('C_jama.2024.27643'!$K$2:$K$9,MATCH("2025::jama.2024.27643::C003",'C_jama.2024.27643'!$A$2:$A$9,0))),"not_applicable")</x:f>
        <x:v>not_applicable</x:v>
      </x:c>
      <x:c r="Y12" s="6" t="str">
        <x:f>IF(AND(INDEX('C_jama.2024.27643'!$D$2:$D$9,MATCH("2025::jama.2024.27643::C003",'C_jama.2024.27643'!$A$2:$A$9,0))="retain",INDEX('C_jama.2024.27643'!$E$2:$E$9,MATCH("2025::jama.2024.27643::C003",'C_jama.2024.27643'!$A$2:$A$9,0))="protocol_report"),IF(INDEX('C_jama.2024.27643'!$L$2:$L$9,MATCH("2025::jama.2024.27643::C003",'C_jama.2024.27643'!$A$2:$A$9,0))="","",INDEX('C_jama.2024.27643'!$L$2:$L$9,MATCH("2025::jama.2024.27643::C003",'C_jama.2024.27643'!$A$2:$A$9,0))),"not_applicable")</x:f>
        <x:v>not_applicable</x:v>
      </x:c>
      <x:c r="Z12" s="6" t="str">
        <x:f>IF(INDEX('C_jama.2024.27643'!$R$2:$R$9,MATCH("2025::jama.2024.27643::C003",'C_jama.2024.27643'!$A$2:$A$9,0))="","",INDEX('C_jama.2024.27643'!$R$2:$R$9,MATCH("2025::jama.2024.27643::C003",'C_jama.2024.27643'!$A$2:$A$9,0)))</x:f>
      </x:c>
      <x:c r="AA12" s="6" t="str">
        <x:f>IF(INDEX('C_jama.2024.27643'!$N$2:$N$9,MATCH("2025::jama.2024.27643::C003",'C_jama.2024.27643'!$A$2:$A$9,0))="","",INDEX('C_jama.2024.27643'!$N$2:$N$9,MATCH("2025::jama.2024.27643::C003",'C_jama.2024.27643'!$A$2:$A$9,0)))</x:f>
      </x:c>
      <x:c r="AB12" s="6" t="str">
        <x:f>IF(INDEX('C_jama.2024.27643'!$O$2:$O$9,MATCH("2025::jama.2024.27643::C003",'C_jama.2024.27643'!$A$2:$A$9,0))="","",INDEX('C_jama.2024.27643'!$O$2:$O$9,MATCH("2025::jama.2024.27643::C003",'C_jama.2024.27643'!$A$2:$A$9,0)))</x:f>
      </x:c>
      <x:c r="AC12" s="6" t="str">
        <x:f>IF(INDEX('C_jama.2024.27643'!$P$2:$P$9,MATCH("2025::jama.2024.27643::C003",'C_jama.2024.27643'!$A$2:$A$9,0))="","",INDEX('C_jama.2024.27643'!$P$2:$P$9,MATCH("2025::jama.2024.27643::C003",'C_jama.2024.27643'!$A$2:$A$9,0)))</x:f>
      </x:c>
      <x:c r="AD12" s="6" t="str">
        <x:f>IF(INDEX('C_jama.2024.27643'!$Q$2:$Q$9,MATCH("2025::jama.2024.27643::C003",'C_jama.2024.27643'!$A$2:$A$9,0))="","",INDEX('C_jama.2024.27643'!$Q$2:$Q$9,MATCH("2025::jama.2024.27643::C003",'C_jama.2024.27643'!$A$2:$A$9,0)))</x:f>
      </x:c>
    </x:row>
    <x:row r="13" ht="65" customHeight="1">
      <x:c r="A13" s="3" t="n">
        <x:v>2025</x:v>
      </x:c>
      <x:c r="B13" s="3" t="str">
        <x:v>jama.2024.27643</x:v>
      </x:c>
      <x:c r="C13" s="3" t="str">
        <x:v>2025::jama.2024.27643::C004</x:v>
      </x:c>
      <x:c r="D13" s="3" t="str">
        <x:v>S_C</x:v>
      </x:c>
      <x:c r="E13" s="3" t="n">
        <x:f>Setup!$B$2</x:f>
        <x:v>0</x:v>
      </x:c>
      <x:c r="F13" s="3" t="str">
        <x:f>IF(Setup!$B$4="","",Setup!$B$4)</x:f>
      </x:c>
      <x:c r="G13" s="3" t="str">
        <x:f>IFERROR(INDEX('C_jama.2024.27643'!$G$2:$G$9,MATCH("2025::jama.2024.27643::C004",'C_jama.2024.27643'!$A$2:$A$9,0)),"CHECK KEY")</x:f>
        <x:v>CHECK REVIEWER IDs</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report_internal_inconsistency</x:v>
      </x:c>
      <x:c r="K13" s="3" t="str">
        <x:f>IF(Setup!$B$6="primary","",IFERROR(IF(INDEX('Primary_snapshot'!$B$2:$B$132,MATCH(C13,'Primary_snapshot'!$A$2:$A$132,0))="","",INDEX('Primary_snapshot'!$B$2:$B$132,MATCH(C13,'Primary_snapshot'!$A$2:$A$132,0))),"SNAPSHOT MISSING"))</x:f>
      </x:c>
      <x:c r="L13" s="3" t="str">
        <x:f>IF(Setup!$B$6="primary","",IFERROR(IF(INDEX('Primary_snapshot'!$C$2:$C$132,MATCH(C13,'Primary_snapshot'!$A$2:$A$132,0))="","",INDEX('Primary_snapshot'!$C$2:$C$132,MATCH(C13,'Primary_snapshot'!$A$2:$A$132,0))),"SNAPSHOT MISSING"))</x:f>
      </x:c>
      <x:c r="M13" s="3" t="str">
        <x:f>IF(Setup!$B$6="primary","",IFERROR(IF(INDEX('Primary_snapshot'!$D$2:$D$132,MATCH(C13,'Primary_snapshot'!$A$2:$A$132,0))="","",INDEX('Primary_snapshot'!$D$2:$D$132,MATCH(C13,'Primary_snapshot'!$A$2:$A$132,0))),"SNAPSHOT MISSING"))</x:f>
      </x:c>
      <x:c r="N13" s="3" t="str">
        <x:f>IF(Setup!$B$6="primary","",IFERROR(IF(INDEX('Primary_snapshot'!$E$2:$E$132,MATCH(C13,'Primary_snapshot'!$A$2:$A$132,0))="","",INDEX('Primary_snapshot'!$E$2:$E$132,MATCH(C13,'Primary_snapshot'!$A$2:$A$132,0))),"SNAPSHOT MISSING"))</x:f>
      </x:c>
      <x:c r="O13" s="3" t="str">
        <x:f>IF(Setup!$B$6="primary","",IFERROR(IF(INDEX('Primary_snapshot'!$F$2:$F$132,MATCH(C13,'Primary_snapshot'!$A$2:$A$132,0))="","",INDEX('Primary_snapshot'!$F$2:$F$132,MATCH(C13,'Primary_snapshot'!$A$2:$A$132,0))),"SNAPSHOT MISSING"))</x:f>
      </x:c>
      <x:c r="P13" s="3" t="str">
        <x:f>IF(Setup!$B$6="primary","",IFERROR(IF(INDEX('Primary_snapshot'!$G$2:$G$132,MATCH(C13,'Primary_snapshot'!$A$2:$A$132,0))="","",INDEX('Primary_snapshot'!$G$2:$G$132,MATCH(C13,'Primary_snapshot'!$A$2:$A$132,0))),"SNAPSHOT MISSING"))</x:f>
      </x:c>
      <x:c r="Q13" s="3" t="str">
        <x:f>IF(Setup!$B$6="primary","",IFERROR(IF(INDEX('Primary_snapshot'!$H$2:$H$132,MATCH(C13,'Primary_snapshot'!$A$2:$A$132,0))="","",INDEX('Primary_snapshot'!$H$2:$H$132,MATCH(C13,'Primary_snapshot'!$A$2:$A$132,0))),"SNAPSHOT MISSING"))</x:f>
      </x:c>
      <x:c r="R13" s="3" t="str">
        <x:f>IF(Setup!$B$6="primary","",IFERROR(IF(INDEX('Primary_snapshot'!$I$2:$I$132,MATCH(C13,'Primary_snapshot'!$A$2:$A$132,0))="","",INDEX('Primary_snapshot'!$I$2:$I$132,MATCH(C13,'Primary_snapshot'!$A$2:$A$132,0))),"SNAPSHOT MISSING"))</x:f>
      </x:c>
      <x:c r="S13" s="3" t="str">
        <x:f>IF(INDEX('C_jama.2024.27643'!$D$2:$D$9,MATCH("2025::jama.2024.27643::C004",'C_jama.2024.27643'!$A$2:$A$9,0))="","",INDEX('C_jama.2024.27643'!$D$2:$D$9,MATCH("2025::jama.2024.27643::C004",'C_jama.2024.27643'!$A$2:$A$9,0)))</x:f>
      </x:c>
      <x:c r="T13" s="3" t="str">
        <x:f>IF(INDEX('C_jama.2024.27643'!$E$2:$E$9,MATCH("2025::jama.2024.27643::C004",'C_jama.2024.27643'!$A$2:$A$9,0))="","",INDEX('C_jama.2024.27643'!$E$2:$E$9,MATCH("2025::jama.2024.27643::C004",'C_jama.2024.27643'!$A$2:$A$9,0)))</x:f>
        <x:v>report_internal_inconsistency</x:v>
      </x:c>
      <x:c r="U13" s="3" t="str">
        <x:f>IF(AND(INDEX('C_jama.2024.27643'!$D$2:$D$9,MATCH("2025::jama.2024.27643::C004",'C_jama.2024.27643'!$A$2:$A$9,0))="retain",INDEX('C_jama.2024.27643'!$E$2:$E$9,MATCH("2025::jama.2024.27643::C004",'C_jama.2024.27643'!$A$2:$A$9,0))="statistical_results"),IF(INDEX('C_jama.2024.27643'!$H$2:$H$9,MATCH("2025::jama.2024.27643::C004",'C_jama.2024.27643'!$A$2:$A$9,0))="","",INDEX('C_jama.2024.27643'!$H$2:$H$9,MATCH("2025::jama.2024.27643::C004",'C_jama.2024.27643'!$A$2:$A$9,0))),"not_applicable")</x:f>
        <x:v>not_applicable</x:v>
      </x:c>
      <x:c r="V13" s="3" t="str">
        <x:f>IF(AND(INDEX('C_jama.2024.27643'!$D$2:$D$9,MATCH("2025::jama.2024.27643::C004",'C_jama.2024.27643'!$A$2:$A$9,0))="retain",INDEX('C_jama.2024.27643'!$E$2:$E$9,MATCH("2025::jama.2024.27643::C004",'C_jama.2024.27643'!$A$2:$A$9,0))="statistical_results"),IF(INDEX('C_jama.2024.27643'!$I$2:$I$9,MATCH("2025::jama.2024.27643::C004",'C_jama.2024.27643'!$A$2:$A$9,0))="","",INDEX('C_jama.2024.27643'!$I$2:$I$9,MATCH("2025::jama.2024.27643::C004",'C_jama.2024.27643'!$A$2:$A$9,0))),"not_applicable")</x:f>
        <x:v>not_applicable</x:v>
      </x:c>
      <x:c r="W13" s="3" t="str">
        <x:f>IF(AND(INDEX('C_jama.2024.27643'!$D$2:$D$9,MATCH("2025::jama.2024.27643::C004",'C_jama.2024.27643'!$A$2:$A$9,0))="retain",INDEX('C_jama.2024.27643'!$E$2:$E$9,MATCH("2025::jama.2024.27643::C004",'C_jama.2024.27643'!$A$2:$A$9,0))="statistical_results"),IF(INDEX('C_jama.2024.27643'!$J$2:$J$9,MATCH("2025::jama.2024.27643::C004",'C_jama.2024.27643'!$A$2:$A$9,0))="","",INDEX('C_jama.2024.27643'!$J$2:$J$9,MATCH("2025::jama.2024.27643::C004",'C_jama.2024.27643'!$A$2:$A$9,0))),"not_applicable")</x:f>
        <x:v>not_applicable</x:v>
      </x:c>
      <x:c r="X13" s="3" t="str">
        <x:f>IF(AND(INDEX('C_jama.2024.27643'!$D$2:$D$9,MATCH("2025::jama.2024.27643::C004",'C_jama.2024.27643'!$A$2:$A$9,0))="retain",OR(INDEX('C_jama.2024.27643'!$E$2:$E$9,MATCH("2025::jama.2024.27643::C004",'C_jama.2024.27643'!$A$2:$A$9,0))="report_internal_inconsistency",INDEX('C_jama.2024.27643'!$E$2:$E$9,MATCH("2025::jama.2024.27643::C004",'C_jama.2024.27643'!$A$2:$A$9,0))="plan_material")),IF(INDEX('C_jama.2024.27643'!$K$2:$K$9,MATCH("2025::jama.2024.27643::C004",'C_jama.2024.27643'!$A$2:$A$9,0))="","",INDEX('C_jama.2024.27643'!$K$2:$K$9,MATCH("2025::jama.2024.27643::C004",'C_jama.2024.27643'!$A$2:$A$9,0))),"not_applicable")</x:f>
        <x:v>not_applicable</x:v>
      </x:c>
      <x:c r="Y13" s="3" t="str">
        <x:f>IF(AND(INDEX('C_jama.2024.27643'!$D$2:$D$9,MATCH("2025::jama.2024.27643::C004",'C_jama.2024.27643'!$A$2:$A$9,0))="retain",INDEX('C_jama.2024.27643'!$E$2:$E$9,MATCH("2025::jama.2024.27643::C004",'C_jama.2024.27643'!$A$2:$A$9,0))="protocol_report"),IF(INDEX('C_jama.2024.27643'!$L$2:$L$9,MATCH("2025::jama.2024.27643::C004",'C_jama.2024.27643'!$A$2:$A$9,0))="","",INDEX('C_jama.2024.27643'!$L$2:$L$9,MATCH("2025::jama.2024.27643::C004",'C_jama.2024.27643'!$A$2:$A$9,0))),"not_applicable")</x:f>
        <x:v>not_applicable</x:v>
      </x:c>
      <x:c r="Z13" s="3" t="str">
        <x:f>IF(INDEX('C_jama.2024.27643'!$R$2:$R$9,MATCH("2025::jama.2024.27643::C004",'C_jama.2024.27643'!$A$2:$A$9,0))="","",INDEX('C_jama.2024.27643'!$R$2:$R$9,MATCH("2025::jama.2024.27643::C004",'C_jama.2024.27643'!$A$2:$A$9,0)))</x:f>
      </x:c>
      <x:c r="AA13" s="3" t="str">
        <x:f>IF(INDEX('C_jama.2024.27643'!$N$2:$N$9,MATCH("2025::jama.2024.27643::C004",'C_jama.2024.27643'!$A$2:$A$9,0))="","",INDEX('C_jama.2024.27643'!$N$2:$N$9,MATCH("2025::jama.2024.27643::C004",'C_jama.2024.27643'!$A$2:$A$9,0)))</x:f>
      </x:c>
      <x:c r="AB13" s="3" t="str">
        <x:f>IF(INDEX('C_jama.2024.27643'!$O$2:$O$9,MATCH("2025::jama.2024.27643::C004",'C_jama.2024.27643'!$A$2:$A$9,0))="","",INDEX('C_jama.2024.27643'!$O$2:$O$9,MATCH("2025::jama.2024.27643::C004",'C_jama.2024.27643'!$A$2:$A$9,0)))</x:f>
      </x:c>
      <x:c r="AC13" s="3" t="str">
        <x:f>IF(INDEX('C_jama.2024.27643'!$P$2:$P$9,MATCH("2025::jama.2024.27643::C004",'C_jama.2024.27643'!$A$2:$A$9,0))="","",INDEX('C_jama.2024.27643'!$P$2:$P$9,MATCH("2025::jama.2024.27643::C004",'C_jama.2024.27643'!$A$2:$A$9,0)))</x:f>
      </x:c>
      <x:c r="AD13" s="3" t="str">
        <x:f>IF(INDEX('C_jama.2024.27643'!$Q$2:$Q$9,MATCH("2025::jama.2024.27643::C004",'C_jama.2024.27643'!$A$2:$A$9,0))="","",INDEX('C_jama.2024.27643'!$Q$2:$Q$9,MATCH("2025::jama.2024.27643::C004",'C_jama.2024.27643'!$A$2:$A$9,0)))</x:f>
      </x:c>
    </x:row>
    <x:row r="14" ht="65" customHeight="1">
      <x:c r="A14" s="6" t="n">
        <x:v>2025</x:v>
      </x:c>
      <x:c r="B14" s="6" t="str">
        <x:v>jama.2024.27643</x:v>
      </x:c>
      <x:c r="C14" s="6" t="str">
        <x:v>2025::jama.2024.27643::C005</x:v>
      </x:c>
      <x:c r="D14" s="6" t="str">
        <x:v>S_C</x:v>
      </x:c>
      <x:c r="E14" s="6" t="n">
        <x:f>Setup!$B$2</x:f>
        <x:v>0</x:v>
      </x:c>
      <x:c r="F14" s="6" t="str">
        <x:f>IF(Setup!$B$4="","",Setup!$B$4)</x:f>
      </x:c>
      <x:c r="G14" s="6" t="str">
        <x:f>IFERROR(INDEX('C_jama.2024.27643'!$G$2:$G$9,MATCH("2025::jama.2024.27643::C005",'C_jama.2024.27643'!$A$2:$A$9,0)),"CHECK KEY")</x:f>
        <x:v>CHECK REVIEWER IDs</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report_internal_inconsistency</x:v>
      </x:c>
      <x:c r="K14" s="6" t="str">
        <x:f>IF(Setup!$B$6="primary","",IFERROR(IF(INDEX('Primary_snapshot'!$B$2:$B$132,MATCH(C14,'Primary_snapshot'!$A$2:$A$132,0))="","",INDEX('Primary_snapshot'!$B$2:$B$132,MATCH(C14,'Primary_snapshot'!$A$2:$A$132,0))),"SNAPSHOT MISSING"))</x:f>
      </x:c>
      <x:c r="L14" s="6" t="str">
        <x:f>IF(Setup!$B$6="primary","",IFERROR(IF(INDEX('Primary_snapshot'!$C$2:$C$132,MATCH(C14,'Primary_snapshot'!$A$2:$A$132,0))="","",INDEX('Primary_snapshot'!$C$2:$C$132,MATCH(C14,'Primary_snapshot'!$A$2:$A$132,0))),"SNAPSHOT MISSING"))</x:f>
      </x:c>
      <x:c r="M14" s="6" t="str">
        <x:f>IF(Setup!$B$6="primary","",IFERROR(IF(INDEX('Primary_snapshot'!$D$2:$D$132,MATCH(C14,'Primary_snapshot'!$A$2:$A$132,0))="","",INDEX('Primary_snapshot'!$D$2:$D$132,MATCH(C14,'Primary_snapshot'!$A$2:$A$132,0))),"SNAPSHOT MISSING"))</x:f>
      </x:c>
      <x:c r="N14" s="6" t="str">
        <x:f>IF(Setup!$B$6="primary","",IFERROR(IF(INDEX('Primary_snapshot'!$E$2:$E$132,MATCH(C14,'Primary_snapshot'!$A$2:$A$132,0))="","",INDEX('Primary_snapshot'!$E$2:$E$132,MATCH(C14,'Primary_snapshot'!$A$2:$A$132,0))),"SNAPSHOT MISSING"))</x:f>
      </x:c>
      <x:c r="O14" s="6" t="str">
        <x:f>IF(Setup!$B$6="primary","",IFERROR(IF(INDEX('Primary_snapshot'!$F$2:$F$132,MATCH(C14,'Primary_snapshot'!$A$2:$A$132,0))="","",INDEX('Primary_snapshot'!$F$2:$F$132,MATCH(C14,'Primary_snapshot'!$A$2:$A$132,0))),"SNAPSHOT MISSING"))</x:f>
      </x:c>
      <x:c r="P14" s="6" t="str">
        <x:f>IF(Setup!$B$6="primary","",IFERROR(IF(INDEX('Primary_snapshot'!$G$2:$G$132,MATCH(C14,'Primary_snapshot'!$A$2:$A$132,0))="","",INDEX('Primary_snapshot'!$G$2:$G$132,MATCH(C14,'Primary_snapshot'!$A$2:$A$132,0))),"SNAPSHOT MISSING"))</x:f>
      </x:c>
      <x:c r="Q14" s="6" t="str">
        <x:f>IF(Setup!$B$6="primary","",IFERROR(IF(INDEX('Primary_snapshot'!$H$2:$H$132,MATCH(C14,'Primary_snapshot'!$A$2:$A$132,0))="","",INDEX('Primary_snapshot'!$H$2:$H$132,MATCH(C14,'Primary_snapshot'!$A$2:$A$132,0))),"SNAPSHOT MISSING"))</x:f>
      </x:c>
      <x:c r="R14" s="6" t="str">
        <x:f>IF(Setup!$B$6="primary","",IFERROR(IF(INDEX('Primary_snapshot'!$I$2:$I$132,MATCH(C14,'Primary_snapshot'!$A$2:$A$132,0))="","",INDEX('Primary_snapshot'!$I$2:$I$132,MATCH(C14,'Primary_snapshot'!$A$2:$A$132,0))),"SNAPSHOT MISSING"))</x:f>
      </x:c>
      <x:c r="S14" s="6" t="str">
        <x:f>IF(INDEX('C_jama.2024.27643'!$D$2:$D$9,MATCH("2025::jama.2024.27643::C005",'C_jama.2024.27643'!$A$2:$A$9,0))="","",INDEX('C_jama.2024.27643'!$D$2:$D$9,MATCH("2025::jama.2024.27643::C005",'C_jama.2024.27643'!$A$2:$A$9,0)))</x:f>
      </x:c>
      <x:c r="T14" s="6" t="str">
        <x:f>IF(INDEX('C_jama.2024.27643'!$E$2:$E$9,MATCH("2025::jama.2024.27643::C005",'C_jama.2024.27643'!$A$2:$A$9,0))="","",INDEX('C_jama.2024.27643'!$E$2:$E$9,MATCH("2025::jama.2024.27643::C005",'C_jama.2024.27643'!$A$2:$A$9,0)))</x:f>
        <x:v>report_internal_inconsistency</x:v>
      </x:c>
      <x:c r="U14" s="6" t="str">
        <x:f>IF(AND(INDEX('C_jama.2024.27643'!$D$2:$D$9,MATCH("2025::jama.2024.27643::C005",'C_jama.2024.27643'!$A$2:$A$9,0))="retain",INDEX('C_jama.2024.27643'!$E$2:$E$9,MATCH("2025::jama.2024.27643::C005",'C_jama.2024.27643'!$A$2:$A$9,0))="statistical_results"),IF(INDEX('C_jama.2024.27643'!$H$2:$H$9,MATCH("2025::jama.2024.27643::C005",'C_jama.2024.27643'!$A$2:$A$9,0))="","",INDEX('C_jama.2024.27643'!$H$2:$H$9,MATCH("2025::jama.2024.27643::C005",'C_jama.2024.27643'!$A$2:$A$9,0))),"not_applicable")</x:f>
        <x:v>not_applicable</x:v>
      </x:c>
      <x:c r="V14" s="6" t="str">
        <x:f>IF(AND(INDEX('C_jama.2024.27643'!$D$2:$D$9,MATCH("2025::jama.2024.27643::C005",'C_jama.2024.27643'!$A$2:$A$9,0))="retain",INDEX('C_jama.2024.27643'!$E$2:$E$9,MATCH("2025::jama.2024.27643::C005",'C_jama.2024.27643'!$A$2:$A$9,0))="statistical_results"),IF(INDEX('C_jama.2024.27643'!$I$2:$I$9,MATCH("2025::jama.2024.27643::C005",'C_jama.2024.27643'!$A$2:$A$9,0))="","",INDEX('C_jama.2024.27643'!$I$2:$I$9,MATCH("2025::jama.2024.27643::C005",'C_jama.2024.27643'!$A$2:$A$9,0))),"not_applicable")</x:f>
        <x:v>not_applicable</x:v>
      </x:c>
      <x:c r="W14" s="6" t="str">
        <x:f>IF(AND(INDEX('C_jama.2024.27643'!$D$2:$D$9,MATCH("2025::jama.2024.27643::C005",'C_jama.2024.27643'!$A$2:$A$9,0))="retain",INDEX('C_jama.2024.27643'!$E$2:$E$9,MATCH("2025::jama.2024.27643::C005",'C_jama.2024.27643'!$A$2:$A$9,0))="statistical_results"),IF(INDEX('C_jama.2024.27643'!$J$2:$J$9,MATCH("2025::jama.2024.27643::C005",'C_jama.2024.27643'!$A$2:$A$9,0))="","",INDEX('C_jama.2024.27643'!$J$2:$J$9,MATCH("2025::jama.2024.27643::C005",'C_jama.2024.27643'!$A$2:$A$9,0))),"not_applicable")</x:f>
        <x:v>not_applicable</x:v>
      </x:c>
      <x:c r="X14" s="6" t="str">
        <x:f>IF(AND(INDEX('C_jama.2024.27643'!$D$2:$D$9,MATCH("2025::jama.2024.27643::C005",'C_jama.2024.27643'!$A$2:$A$9,0))="retain",OR(INDEX('C_jama.2024.27643'!$E$2:$E$9,MATCH("2025::jama.2024.27643::C005",'C_jama.2024.27643'!$A$2:$A$9,0))="report_internal_inconsistency",INDEX('C_jama.2024.27643'!$E$2:$E$9,MATCH("2025::jama.2024.27643::C005",'C_jama.2024.27643'!$A$2:$A$9,0))="plan_material")),IF(INDEX('C_jama.2024.27643'!$K$2:$K$9,MATCH("2025::jama.2024.27643::C005",'C_jama.2024.27643'!$A$2:$A$9,0))="","",INDEX('C_jama.2024.27643'!$K$2:$K$9,MATCH("2025::jama.2024.27643::C005",'C_jama.2024.27643'!$A$2:$A$9,0))),"not_applicable")</x:f>
        <x:v>not_applicable</x:v>
      </x:c>
      <x:c r="Y14" s="6" t="str">
        <x:f>IF(AND(INDEX('C_jama.2024.27643'!$D$2:$D$9,MATCH("2025::jama.2024.27643::C005",'C_jama.2024.27643'!$A$2:$A$9,0))="retain",INDEX('C_jama.2024.27643'!$E$2:$E$9,MATCH("2025::jama.2024.27643::C005",'C_jama.2024.27643'!$A$2:$A$9,0))="protocol_report"),IF(INDEX('C_jama.2024.27643'!$L$2:$L$9,MATCH("2025::jama.2024.27643::C005",'C_jama.2024.27643'!$A$2:$A$9,0))="","",INDEX('C_jama.2024.27643'!$L$2:$L$9,MATCH("2025::jama.2024.27643::C005",'C_jama.2024.27643'!$A$2:$A$9,0))),"not_applicable")</x:f>
        <x:v>not_applicable</x:v>
      </x:c>
      <x:c r="Z14" s="6" t="str">
        <x:f>IF(INDEX('C_jama.2024.27643'!$R$2:$R$9,MATCH("2025::jama.2024.27643::C005",'C_jama.2024.27643'!$A$2:$A$9,0))="","",INDEX('C_jama.2024.27643'!$R$2:$R$9,MATCH("2025::jama.2024.27643::C005",'C_jama.2024.27643'!$A$2:$A$9,0)))</x:f>
      </x:c>
      <x:c r="AA14" s="6" t="str">
        <x:f>IF(INDEX('C_jama.2024.27643'!$N$2:$N$9,MATCH("2025::jama.2024.27643::C005",'C_jama.2024.27643'!$A$2:$A$9,0))="","",INDEX('C_jama.2024.27643'!$N$2:$N$9,MATCH("2025::jama.2024.27643::C005",'C_jama.2024.27643'!$A$2:$A$9,0)))</x:f>
      </x:c>
      <x:c r="AB14" s="6" t="str">
        <x:f>IF(INDEX('C_jama.2024.27643'!$O$2:$O$9,MATCH("2025::jama.2024.27643::C005",'C_jama.2024.27643'!$A$2:$A$9,0))="","",INDEX('C_jama.2024.27643'!$O$2:$O$9,MATCH("2025::jama.2024.27643::C005",'C_jama.2024.27643'!$A$2:$A$9,0)))</x:f>
      </x:c>
      <x:c r="AC14" s="6" t="str">
        <x:f>IF(INDEX('C_jama.2024.27643'!$P$2:$P$9,MATCH("2025::jama.2024.27643::C005",'C_jama.2024.27643'!$A$2:$A$9,0))="","",INDEX('C_jama.2024.27643'!$P$2:$P$9,MATCH("2025::jama.2024.27643::C005",'C_jama.2024.27643'!$A$2:$A$9,0)))</x:f>
      </x:c>
      <x:c r="AD14" s="6" t="str">
        <x:f>IF(INDEX('C_jama.2024.27643'!$Q$2:$Q$9,MATCH("2025::jama.2024.27643::C005",'C_jama.2024.27643'!$A$2:$A$9,0))="","",INDEX('C_jama.2024.27643'!$Q$2:$Q$9,MATCH("2025::jama.2024.27643::C005",'C_jama.2024.27643'!$A$2:$A$9,0)))</x:f>
      </x:c>
    </x:row>
    <x:row r="15" ht="65" customHeight="1">
      <x:c r="A15" s="3" t="n">
        <x:v>2025</x:v>
      </x:c>
      <x:c r="B15" s="3" t="str">
        <x:v>jama.2024.27643</x:v>
      </x:c>
      <x:c r="C15" s="3" t="str">
        <x:v>2025::jama.2024.27643::C006</x:v>
      </x:c>
      <x:c r="D15" s="3" t="str">
        <x:v>S_C</x:v>
      </x:c>
      <x:c r="E15" s="3" t="n">
        <x:f>Setup!$B$2</x:f>
        <x:v>0</x:v>
      </x:c>
      <x:c r="F15" s="3" t="str">
        <x:f>IF(Setup!$B$4="","",Setup!$B$4)</x:f>
      </x:c>
      <x:c r="G15" s="3" t="str">
        <x:f>IFERROR(INDEX('C_jama.2024.27643'!$G$2:$G$9,MATCH("2025::jama.2024.27643::C006",'C_jama.2024.27643'!$A$2:$A$9,0)),"CHECK KEY")</x:f>
        <x:v>CHECK REVIEWER IDs</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retain</x:v>
      </x:c>
      <x:c r="J15" s="3" t="str">
        <x:v>report_internal_inconsistency</x:v>
      </x:c>
      <x:c r="K15" s="3" t="str">
        <x:f>IF(Setup!$B$6="primary","",IFERROR(IF(INDEX('Primary_snapshot'!$B$2:$B$132,MATCH(C15,'Primary_snapshot'!$A$2:$A$132,0))="","",INDEX('Primary_snapshot'!$B$2:$B$132,MATCH(C15,'Primary_snapshot'!$A$2:$A$132,0))),"SNAPSHOT MISSING"))</x:f>
      </x:c>
      <x:c r="L15" s="3" t="str">
        <x:f>IF(Setup!$B$6="primary","",IFERROR(IF(INDEX('Primary_snapshot'!$C$2:$C$132,MATCH(C15,'Primary_snapshot'!$A$2:$A$132,0))="","",INDEX('Primary_snapshot'!$C$2:$C$132,MATCH(C15,'Primary_snapshot'!$A$2:$A$132,0))),"SNAPSHOT MISSING"))</x:f>
      </x:c>
      <x:c r="M15" s="3" t="str">
        <x:f>IF(Setup!$B$6="primary","",IFERROR(IF(INDEX('Primary_snapshot'!$D$2:$D$132,MATCH(C15,'Primary_snapshot'!$A$2:$A$132,0))="","",INDEX('Primary_snapshot'!$D$2:$D$132,MATCH(C15,'Primary_snapshot'!$A$2:$A$132,0))),"SNAPSHOT MISSING"))</x:f>
      </x:c>
      <x:c r="N15" s="3" t="str">
        <x:f>IF(Setup!$B$6="primary","",IFERROR(IF(INDEX('Primary_snapshot'!$E$2:$E$132,MATCH(C15,'Primary_snapshot'!$A$2:$A$132,0))="","",INDEX('Primary_snapshot'!$E$2:$E$132,MATCH(C15,'Primary_snapshot'!$A$2:$A$132,0))),"SNAPSHOT MISSING"))</x:f>
      </x:c>
      <x:c r="O15" s="3" t="str">
        <x:f>IF(Setup!$B$6="primary","",IFERROR(IF(INDEX('Primary_snapshot'!$F$2:$F$132,MATCH(C15,'Primary_snapshot'!$A$2:$A$132,0))="","",INDEX('Primary_snapshot'!$F$2:$F$132,MATCH(C15,'Primary_snapshot'!$A$2:$A$132,0))),"SNAPSHOT MISSING"))</x:f>
      </x:c>
      <x:c r="P15" s="3" t="str">
        <x:f>IF(Setup!$B$6="primary","",IFERROR(IF(INDEX('Primary_snapshot'!$G$2:$G$132,MATCH(C15,'Primary_snapshot'!$A$2:$A$132,0))="","",INDEX('Primary_snapshot'!$G$2:$G$132,MATCH(C15,'Primary_snapshot'!$A$2:$A$132,0))),"SNAPSHOT MISSING"))</x:f>
      </x:c>
      <x:c r="Q15" s="3" t="str">
        <x:f>IF(Setup!$B$6="primary","",IFERROR(IF(INDEX('Primary_snapshot'!$H$2:$H$132,MATCH(C15,'Primary_snapshot'!$A$2:$A$132,0))="","",INDEX('Primary_snapshot'!$H$2:$H$132,MATCH(C15,'Primary_snapshot'!$A$2:$A$132,0))),"SNAPSHOT MISSING"))</x:f>
      </x:c>
      <x:c r="R15" s="3" t="str">
        <x:f>IF(Setup!$B$6="primary","",IFERROR(IF(INDEX('Primary_snapshot'!$I$2:$I$132,MATCH(C15,'Primary_snapshot'!$A$2:$A$132,0))="","",INDEX('Primary_snapshot'!$I$2:$I$132,MATCH(C15,'Primary_snapshot'!$A$2:$A$132,0))),"SNAPSHOT MISSING"))</x:f>
      </x:c>
      <x:c r="S15" s="3" t="str">
        <x:f>IF(INDEX('C_jama.2024.27643'!$D$2:$D$9,MATCH("2025::jama.2024.27643::C006",'C_jama.2024.27643'!$A$2:$A$9,0))="","",INDEX('C_jama.2024.27643'!$D$2:$D$9,MATCH("2025::jama.2024.27643::C006",'C_jama.2024.27643'!$A$2:$A$9,0)))</x:f>
      </x:c>
      <x:c r="T15" s="3" t="str">
        <x:f>IF(INDEX('C_jama.2024.27643'!$E$2:$E$9,MATCH("2025::jama.2024.27643::C006",'C_jama.2024.27643'!$A$2:$A$9,0))="","",INDEX('C_jama.2024.27643'!$E$2:$E$9,MATCH("2025::jama.2024.27643::C006",'C_jama.2024.27643'!$A$2:$A$9,0)))</x:f>
        <x:v>report_internal_inconsistency</x:v>
      </x:c>
      <x:c r="U15" s="3" t="str">
        <x:f>IF(AND(INDEX('C_jama.2024.27643'!$D$2:$D$9,MATCH("2025::jama.2024.27643::C006",'C_jama.2024.27643'!$A$2:$A$9,0))="retain",INDEX('C_jama.2024.27643'!$E$2:$E$9,MATCH("2025::jama.2024.27643::C006",'C_jama.2024.27643'!$A$2:$A$9,0))="statistical_results"),IF(INDEX('C_jama.2024.27643'!$H$2:$H$9,MATCH("2025::jama.2024.27643::C006",'C_jama.2024.27643'!$A$2:$A$9,0))="","",INDEX('C_jama.2024.27643'!$H$2:$H$9,MATCH("2025::jama.2024.27643::C006",'C_jama.2024.27643'!$A$2:$A$9,0))),"not_applicable")</x:f>
        <x:v>not_applicable</x:v>
      </x:c>
      <x:c r="V15" s="3" t="str">
        <x:f>IF(AND(INDEX('C_jama.2024.27643'!$D$2:$D$9,MATCH("2025::jama.2024.27643::C006",'C_jama.2024.27643'!$A$2:$A$9,0))="retain",INDEX('C_jama.2024.27643'!$E$2:$E$9,MATCH("2025::jama.2024.27643::C006",'C_jama.2024.27643'!$A$2:$A$9,0))="statistical_results"),IF(INDEX('C_jama.2024.27643'!$I$2:$I$9,MATCH("2025::jama.2024.27643::C006",'C_jama.2024.27643'!$A$2:$A$9,0))="","",INDEX('C_jama.2024.27643'!$I$2:$I$9,MATCH("2025::jama.2024.27643::C006",'C_jama.2024.27643'!$A$2:$A$9,0))),"not_applicable")</x:f>
        <x:v>not_applicable</x:v>
      </x:c>
      <x:c r="W15" s="3" t="str">
        <x:f>IF(AND(INDEX('C_jama.2024.27643'!$D$2:$D$9,MATCH("2025::jama.2024.27643::C006",'C_jama.2024.27643'!$A$2:$A$9,0))="retain",INDEX('C_jama.2024.27643'!$E$2:$E$9,MATCH("2025::jama.2024.27643::C006",'C_jama.2024.27643'!$A$2:$A$9,0))="statistical_results"),IF(INDEX('C_jama.2024.27643'!$J$2:$J$9,MATCH("2025::jama.2024.27643::C006",'C_jama.2024.27643'!$A$2:$A$9,0))="","",INDEX('C_jama.2024.27643'!$J$2:$J$9,MATCH("2025::jama.2024.27643::C006",'C_jama.2024.27643'!$A$2:$A$9,0))),"not_applicable")</x:f>
        <x:v>not_applicable</x:v>
      </x:c>
      <x:c r="X15" s="3" t="str">
        <x:f>IF(AND(INDEX('C_jama.2024.27643'!$D$2:$D$9,MATCH("2025::jama.2024.27643::C006",'C_jama.2024.27643'!$A$2:$A$9,0))="retain",OR(INDEX('C_jama.2024.27643'!$E$2:$E$9,MATCH("2025::jama.2024.27643::C006",'C_jama.2024.27643'!$A$2:$A$9,0))="report_internal_inconsistency",INDEX('C_jama.2024.27643'!$E$2:$E$9,MATCH("2025::jama.2024.27643::C006",'C_jama.2024.27643'!$A$2:$A$9,0))="plan_material")),IF(INDEX('C_jama.2024.27643'!$K$2:$K$9,MATCH("2025::jama.2024.27643::C006",'C_jama.2024.27643'!$A$2:$A$9,0))="","",INDEX('C_jama.2024.27643'!$K$2:$K$9,MATCH("2025::jama.2024.27643::C006",'C_jama.2024.27643'!$A$2:$A$9,0))),"not_applicable")</x:f>
        <x:v>not_applicable</x:v>
      </x:c>
      <x:c r="Y15" s="3" t="str">
        <x:f>IF(AND(INDEX('C_jama.2024.27643'!$D$2:$D$9,MATCH("2025::jama.2024.27643::C006",'C_jama.2024.27643'!$A$2:$A$9,0))="retain",INDEX('C_jama.2024.27643'!$E$2:$E$9,MATCH("2025::jama.2024.27643::C006",'C_jama.2024.27643'!$A$2:$A$9,0))="protocol_report"),IF(INDEX('C_jama.2024.27643'!$L$2:$L$9,MATCH("2025::jama.2024.27643::C006",'C_jama.2024.27643'!$A$2:$A$9,0))="","",INDEX('C_jama.2024.27643'!$L$2:$L$9,MATCH("2025::jama.2024.27643::C006",'C_jama.2024.27643'!$A$2:$A$9,0))),"not_applicable")</x:f>
        <x:v>not_applicable</x:v>
      </x:c>
      <x:c r="Z15" s="3" t="str">
        <x:f>IF(INDEX('C_jama.2024.27643'!$R$2:$R$9,MATCH("2025::jama.2024.27643::C006",'C_jama.2024.27643'!$A$2:$A$9,0))="","",INDEX('C_jama.2024.27643'!$R$2:$R$9,MATCH("2025::jama.2024.27643::C006",'C_jama.2024.27643'!$A$2:$A$9,0)))</x:f>
      </x:c>
      <x:c r="AA15" s="3" t="str">
        <x:f>IF(INDEX('C_jama.2024.27643'!$N$2:$N$9,MATCH("2025::jama.2024.27643::C006",'C_jama.2024.27643'!$A$2:$A$9,0))="","",INDEX('C_jama.2024.27643'!$N$2:$N$9,MATCH("2025::jama.2024.27643::C006",'C_jama.2024.27643'!$A$2:$A$9,0)))</x:f>
      </x:c>
      <x:c r="AB15" s="3" t="str">
        <x:f>IF(INDEX('C_jama.2024.27643'!$O$2:$O$9,MATCH("2025::jama.2024.27643::C006",'C_jama.2024.27643'!$A$2:$A$9,0))="","",INDEX('C_jama.2024.27643'!$O$2:$O$9,MATCH("2025::jama.2024.27643::C006",'C_jama.2024.27643'!$A$2:$A$9,0)))</x:f>
      </x:c>
      <x:c r="AC15" s="3" t="str">
        <x:f>IF(INDEX('C_jama.2024.27643'!$P$2:$P$9,MATCH("2025::jama.2024.27643::C006",'C_jama.2024.27643'!$A$2:$A$9,0))="","",INDEX('C_jama.2024.27643'!$P$2:$P$9,MATCH("2025::jama.2024.27643::C006",'C_jama.2024.27643'!$A$2:$A$9,0)))</x:f>
      </x:c>
      <x:c r="AD15" s="3" t="str">
        <x:f>IF(INDEX('C_jama.2024.27643'!$Q$2:$Q$9,MATCH("2025::jama.2024.27643::C006",'C_jama.2024.27643'!$A$2:$A$9,0))="","",INDEX('C_jama.2024.27643'!$Q$2:$Q$9,MATCH("2025::jama.2024.27643::C006",'C_jama.2024.27643'!$A$2:$A$9,0)))</x:f>
      </x:c>
    </x:row>
    <x:row r="16" ht="65" customHeight="1">
      <x:c r="A16" s="6" t="n">
        <x:v>2025</x:v>
      </x:c>
      <x:c r="B16" s="6" t="str">
        <x:v>jama.2024.27643</x:v>
      </x:c>
      <x:c r="C16" s="6" t="str">
        <x:v>2025::jama.2024.27643::C007</x:v>
      </x:c>
      <x:c r="D16" s="6" t="str">
        <x:v>S_C</x:v>
      </x:c>
      <x:c r="E16" s="6" t="n">
        <x:f>Setup!$B$2</x:f>
        <x:v>0</x:v>
      </x:c>
      <x:c r="F16" s="6" t="str">
        <x:f>IF(Setup!$B$4="","",Setup!$B$4)</x:f>
      </x:c>
      <x:c r="G16" s="6" t="str">
        <x:f>IFERROR(INDEX('C_jama.2024.27643'!$G$2:$G$9,MATCH("2025::jama.2024.27643::C007",'C_jama.2024.27643'!$A$2:$A$9,0)),"CHECK KEY")</x:f>
        <x:v>CHECK REVIEWER IDs</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report_internal_inconsistency</x:v>
      </x:c>
      <x:c r="K16" s="6" t="str">
        <x:f>IF(Setup!$B$6="primary","",IFERROR(IF(INDEX('Primary_snapshot'!$B$2:$B$132,MATCH(C16,'Primary_snapshot'!$A$2:$A$132,0))="","",INDEX('Primary_snapshot'!$B$2:$B$132,MATCH(C16,'Primary_snapshot'!$A$2:$A$132,0))),"SNAPSHOT MISSING"))</x:f>
      </x:c>
      <x:c r="L16" s="6" t="str">
        <x:f>IF(Setup!$B$6="primary","",IFERROR(IF(INDEX('Primary_snapshot'!$C$2:$C$132,MATCH(C16,'Primary_snapshot'!$A$2:$A$132,0))="","",INDEX('Primary_snapshot'!$C$2:$C$132,MATCH(C16,'Primary_snapshot'!$A$2:$A$132,0))),"SNAPSHOT MISSING"))</x:f>
      </x:c>
      <x:c r="M16" s="6" t="str">
        <x:f>IF(Setup!$B$6="primary","",IFERROR(IF(INDEX('Primary_snapshot'!$D$2:$D$132,MATCH(C16,'Primary_snapshot'!$A$2:$A$132,0))="","",INDEX('Primary_snapshot'!$D$2:$D$132,MATCH(C16,'Primary_snapshot'!$A$2:$A$132,0))),"SNAPSHOT MISSING"))</x:f>
      </x:c>
      <x:c r="N16" s="6" t="str">
        <x:f>IF(Setup!$B$6="primary","",IFERROR(IF(INDEX('Primary_snapshot'!$E$2:$E$132,MATCH(C16,'Primary_snapshot'!$A$2:$A$132,0))="","",INDEX('Primary_snapshot'!$E$2:$E$132,MATCH(C16,'Primary_snapshot'!$A$2:$A$132,0))),"SNAPSHOT MISSING"))</x:f>
      </x:c>
      <x:c r="O16" s="6" t="str">
        <x:f>IF(Setup!$B$6="primary","",IFERROR(IF(INDEX('Primary_snapshot'!$F$2:$F$132,MATCH(C16,'Primary_snapshot'!$A$2:$A$132,0))="","",INDEX('Primary_snapshot'!$F$2:$F$132,MATCH(C16,'Primary_snapshot'!$A$2:$A$132,0))),"SNAPSHOT MISSING"))</x:f>
      </x:c>
      <x:c r="P16" s="6" t="str">
        <x:f>IF(Setup!$B$6="primary","",IFERROR(IF(INDEX('Primary_snapshot'!$G$2:$G$132,MATCH(C16,'Primary_snapshot'!$A$2:$A$132,0))="","",INDEX('Primary_snapshot'!$G$2:$G$132,MATCH(C16,'Primary_snapshot'!$A$2:$A$132,0))),"SNAPSHOT MISSING"))</x:f>
      </x:c>
      <x:c r="Q16" s="6" t="str">
        <x:f>IF(Setup!$B$6="primary","",IFERROR(IF(INDEX('Primary_snapshot'!$H$2:$H$132,MATCH(C16,'Primary_snapshot'!$A$2:$A$132,0))="","",INDEX('Primary_snapshot'!$H$2:$H$132,MATCH(C16,'Primary_snapshot'!$A$2:$A$132,0))),"SNAPSHOT MISSING"))</x:f>
      </x:c>
      <x:c r="R16" s="6" t="str">
        <x:f>IF(Setup!$B$6="primary","",IFERROR(IF(INDEX('Primary_snapshot'!$I$2:$I$132,MATCH(C16,'Primary_snapshot'!$A$2:$A$132,0))="","",INDEX('Primary_snapshot'!$I$2:$I$132,MATCH(C16,'Primary_snapshot'!$A$2:$A$132,0))),"SNAPSHOT MISSING"))</x:f>
      </x:c>
      <x:c r="S16" s="6" t="str">
        <x:f>IF(INDEX('C_jama.2024.27643'!$D$2:$D$9,MATCH("2025::jama.2024.27643::C007",'C_jama.2024.27643'!$A$2:$A$9,0))="","",INDEX('C_jama.2024.27643'!$D$2:$D$9,MATCH("2025::jama.2024.27643::C007",'C_jama.2024.27643'!$A$2:$A$9,0)))</x:f>
      </x:c>
      <x:c r="T16" s="6" t="str">
        <x:f>IF(INDEX('C_jama.2024.27643'!$E$2:$E$9,MATCH("2025::jama.2024.27643::C007",'C_jama.2024.27643'!$A$2:$A$9,0))="","",INDEX('C_jama.2024.27643'!$E$2:$E$9,MATCH("2025::jama.2024.27643::C007",'C_jama.2024.27643'!$A$2:$A$9,0)))</x:f>
        <x:v>report_internal_inconsistency</x:v>
      </x:c>
      <x:c r="U16" s="6" t="str">
        <x:f>IF(AND(INDEX('C_jama.2024.27643'!$D$2:$D$9,MATCH("2025::jama.2024.27643::C007",'C_jama.2024.27643'!$A$2:$A$9,0))="retain",INDEX('C_jama.2024.27643'!$E$2:$E$9,MATCH("2025::jama.2024.27643::C007",'C_jama.2024.27643'!$A$2:$A$9,0))="statistical_results"),IF(INDEX('C_jama.2024.27643'!$H$2:$H$9,MATCH("2025::jama.2024.27643::C007",'C_jama.2024.27643'!$A$2:$A$9,0))="","",INDEX('C_jama.2024.27643'!$H$2:$H$9,MATCH("2025::jama.2024.27643::C007",'C_jama.2024.27643'!$A$2:$A$9,0))),"not_applicable")</x:f>
        <x:v>not_applicable</x:v>
      </x:c>
      <x:c r="V16" s="6" t="str">
        <x:f>IF(AND(INDEX('C_jama.2024.27643'!$D$2:$D$9,MATCH("2025::jama.2024.27643::C007",'C_jama.2024.27643'!$A$2:$A$9,0))="retain",INDEX('C_jama.2024.27643'!$E$2:$E$9,MATCH("2025::jama.2024.27643::C007",'C_jama.2024.27643'!$A$2:$A$9,0))="statistical_results"),IF(INDEX('C_jama.2024.27643'!$I$2:$I$9,MATCH("2025::jama.2024.27643::C007",'C_jama.2024.27643'!$A$2:$A$9,0))="","",INDEX('C_jama.2024.27643'!$I$2:$I$9,MATCH("2025::jama.2024.27643::C007",'C_jama.2024.27643'!$A$2:$A$9,0))),"not_applicable")</x:f>
        <x:v>not_applicable</x:v>
      </x:c>
      <x:c r="W16" s="6" t="str">
        <x:f>IF(AND(INDEX('C_jama.2024.27643'!$D$2:$D$9,MATCH("2025::jama.2024.27643::C007",'C_jama.2024.27643'!$A$2:$A$9,0))="retain",INDEX('C_jama.2024.27643'!$E$2:$E$9,MATCH("2025::jama.2024.27643::C007",'C_jama.2024.27643'!$A$2:$A$9,0))="statistical_results"),IF(INDEX('C_jama.2024.27643'!$J$2:$J$9,MATCH("2025::jama.2024.27643::C007",'C_jama.2024.27643'!$A$2:$A$9,0))="","",INDEX('C_jama.2024.27643'!$J$2:$J$9,MATCH("2025::jama.2024.27643::C007",'C_jama.2024.27643'!$A$2:$A$9,0))),"not_applicable")</x:f>
        <x:v>not_applicable</x:v>
      </x:c>
      <x:c r="X16" s="6" t="str">
        <x:f>IF(AND(INDEX('C_jama.2024.27643'!$D$2:$D$9,MATCH("2025::jama.2024.27643::C007",'C_jama.2024.27643'!$A$2:$A$9,0))="retain",OR(INDEX('C_jama.2024.27643'!$E$2:$E$9,MATCH("2025::jama.2024.27643::C007",'C_jama.2024.27643'!$A$2:$A$9,0))="report_internal_inconsistency",INDEX('C_jama.2024.27643'!$E$2:$E$9,MATCH("2025::jama.2024.27643::C007",'C_jama.2024.27643'!$A$2:$A$9,0))="plan_material")),IF(INDEX('C_jama.2024.27643'!$K$2:$K$9,MATCH("2025::jama.2024.27643::C007",'C_jama.2024.27643'!$A$2:$A$9,0))="","",INDEX('C_jama.2024.27643'!$K$2:$K$9,MATCH("2025::jama.2024.27643::C007",'C_jama.2024.27643'!$A$2:$A$9,0))),"not_applicable")</x:f>
        <x:v>not_applicable</x:v>
      </x:c>
      <x:c r="Y16" s="6" t="str">
        <x:f>IF(AND(INDEX('C_jama.2024.27643'!$D$2:$D$9,MATCH("2025::jama.2024.27643::C007",'C_jama.2024.27643'!$A$2:$A$9,0))="retain",INDEX('C_jama.2024.27643'!$E$2:$E$9,MATCH("2025::jama.2024.27643::C007",'C_jama.2024.27643'!$A$2:$A$9,0))="protocol_report"),IF(INDEX('C_jama.2024.27643'!$L$2:$L$9,MATCH("2025::jama.2024.27643::C007",'C_jama.2024.27643'!$A$2:$A$9,0))="","",INDEX('C_jama.2024.27643'!$L$2:$L$9,MATCH("2025::jama.2024.27643::C007",'C_jama.2024.27643'!$A$2:$A$9,0))),"not_applicable")</x:f>
        <x:v>not_applicable</x:v>
      </x:c>
      <x:c r="Z16" s="6" t="str">
        <x:f>IF(INDEX('C_jama.2024.27643'!$R$2:$R$9,MATCH("2025::jama.2024.27643::C007",'C_jama.2024.27643'!$A$2:$A$9,0))="","",INDEX('C_jama.2024.27643'!$R$2:$R$9,MATCH("2025::jama.2024.27643::C007",'C_jama.2024.27643'!$A$2:$A$9,0)))</x:f>
      </x:c>
      <x:c r="AA16" s="6" t="str">
        <x:f>IF(INDEX('C_jama.2024.27643'!$N$2:$N$9,MATCH("2025::jama.2024.27643::C007",'C_jama.2024.27643'!$A$2:$A$9,0))="","",INDEX('C_jama.2024.27643'!$N$2:$N$9,MATCH("2025::jama.2024.27643::C007",'C_jama.2024.27643'!$A$2:$A$9,0)))</x:f>
      </x:c>
      <x:c r="AB16" s="6" t="str">
        <x:f>IF(INDEX('C_jama.2024.27643'!$O$2:$O$9,MATCH("2025::jama.2024.27643::C007",'C_jama.2024.27643'!$A$2:$A$9,0))="","",INDEX('C_jama.2024.27643'!$O$2:$O$9,MATCH("2025::jama.2024.27643::C007",'C_jama.2024.27643'!$A$2:$A$9,0)))</x:f>
      </x:c>
      <x:c r="AC16" s="6" t="str">
        <x:f>IF(INDEX('C_jama.2024.27643'!$P$2:$P$9,MATCH("2025::jama.2024.27643::C007",'C_jama.2024.27643'!$A$2:$A$9,0))="","",INDEX('C_jama.2024.27643'!$P$2:$P$9,MATCH("2025::jama.2024.27643::C007",'C_jama.2024.27643'!$A$2:$A$9,0)))</x:f>
      </x:c>
      <x:c r="AD16" s="6" t="str">
        <x:f>IF(INDEX('C_jama.2024.27643'!$Q$2:$Q$9,MATCH("2025::jama.2024.27643::C007",'C_jama.2024.27643'!$A$2:$A$9,0))="","",INDEX('C_jama.2024.27643'!$Q$2:$Q$9,MATCH("2025::jama.2024.27643::C007",'C_jama.2024.27643'!$A$2:$A$9,0)))</x:f>
      </x:c>
    </x:row>
    <x:row r="17" ht="65" customHeight="1">
      <x:c r="A17" s="3" t="n">
        <x:v>2025</x:v>
      </x:c>
      <x:c r="B17" s="3" t="str">
        <x:v>jama.2024.27643</x:v>
      </x:c>
      <x:c r="C17" s="3" t="str">
        <x:v>2025::jama.2024.27643::C008</x:v>
      </x:c>
      <x:c r="D17" s="3" t="str">
        <x:v>S_W</x:v>
      </x:c>
      <x:c r="E17" s="3" t="n">
        <x:f>Setup!$B$2</x:f>
        <x:v>0</x:v>
      </x:c>
      <x:c r="F17" s="3" t="str">
        <x:f>IF(Setup!$B$4="","",Setup!$B$4)</x:f>
      </x:c>
      <x:c r="G17" s="3" t="str">
        <x:f>IFERROR(INDEX('C_jama.2024.27643'!$G$2:$G$9,MATCH("2025::jama.2024.27643::C008",'C_jama.2024.27643'!$A$2:$A$9,0)),"CHECK KEY")</x:f>
        <x:v>CHECK REVIEWER IDs</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statistical_results</x:v>
      </x:c>
      <x:c r="K17" s="3" t="str">
        <x:f>IF(Setup!$B$6="primary","",IFERROR(IF(INDEX('Primary_snapshot'!$B$2:$B$132,MATCH(C17,'Primary_snapshot'!$A$2:$A$132,0))="","",INDEX('Primary_snapshot'!$B$2:$B$132,MATCH(C17,'Primary_snapshot'!$A$2:$A$132,0))),"SNAPSHOT MISSING"))</x:f>
      </x:c>
      <x:c r="L17" s="3" t="str">
        <x:f>IF(Setup!$B$6="primary","",IFERROR(IF(INDEX('Primary_snapshot'!$C$2:$C$132,MATCH(C17,'Primary_snapshot'!$A$2:$A$132,0))="","",INDEX('Primary_snapshot'!$C$2:$C$132,MATCH(C17,'Primary_snapshot'!$A$2:$A$132,0))),"SNAPSHOT MISSING"))</x:f>
      </x:c>
      <x:c r="M17" s="3" t="str">
        <x:f>IF(Setup!$B$6="primary","",IFERROR(IF(INDEX('Primary_snapshot'!$D$2:$D$132,MATCH(C17,'Primary_snapshot'!$A$2:$A$132,0))="","",INDEX('Primary_snapshot'!$D$2:$D$132,MATCH(C17,'Primary_snapshot'!$A$2:$A$132,0))),"SNAPSHOT MISSING"))</x:f>
      </x:c>
      <x:c r="N17" s="3" t="str">
        <x:f>IF(Setup!$B$6="primary","",IFERROR(IF(INDEX('Primary_snapshot'!$E$2:$E$132,MATCH(C17,'Primary_snapshot'!$A$2:$A$132,0))="","",INDEX('Primary_snapshot'!$E$2:$E$132,MATCH(C17,'Primary_snapshot'!$A$2:$A$132,0))),"SNAPSHOT MISSING"))</x:f>
      </x:c>
      <x:c r="O17" s="3" t="str">
        <x:f>IF(Setup!$B$6="primary","",IFERROR(IF(INDEX('Primary_snapshot'!$F$2:$F$132,MATCH(C17,'Primary_snapshot'!$A$2:$A$132,0))="","",INDEX('Primary_snapshot'!$F$2:$F$132,MATCH(C17,'Primary_snapshot'!$A$2:$A$132,0))),"SNAPSHOT MISSING"))</x:f>
      </x:c>
      <x:c r="P17" s="3" t="str">
        <x:f>IF(Setup!$B$6="primary","",IFERROR(IF(INDEX('Primary_snapshot'!$G$2:$G$132,MATCH(C17,'Primary_snapshot'!$A$2:$A$132,0))="","",INDEX('Primary_snapshot'!$G$2:$G$132,MATCH(C17,'Primary_snapshot'!$A$2:$A$132,0))),"SNAPSHOT MISSING"))</x:f>
      </x:c>
      <x:c r="Q17" s="3" t="str">
        <x:f>IF(Setup!$B$6="primary","",IFERROR(IF(INDEX('Primary_snapshot'!$H$2:$H$132,MATCH(C17,'Primary_snapshot'!$A$2:$A$132,0))="","",INDEX('Primary_snapshot'!$H$2:$H$132,MATCH(C17,'Primary_snapshot'!$A$2:$A$132,0))),"SNAPSHOT MISSING"))</x:f>
      </x:c>
      <x:c r="R17" s="3" t="str">
        <x:f>IF(Setup!$B$6="primary","",IFERROR(IF(INDEX('Primary_snapshot'!$I$2:$I$132,MATCH(C17,'Primary_snapshot'!$A$2:$A$132,0))="","",INDEX('Primary_snapshot'!$I$2:$I$132,MATCH(C17,'Primary_snapshot'!$A$2:$A$132,0))),"SNAPSHOT MISSING"))</x:f>
      </x:c>
      <x:c r="S17" s="3" t="str">
        <x:f>IF(INDEX('C_jama.2024.27643'!$D$2:$D$9,MATCH("2025::jama.2024.27643::C008",'C_jama.2024.27643'!$A$2:$A$9,0))="","",INDEX('C_jama.2024.27643'!$D$2:$D$9,MATCH("2025::jama.2024.27643::C008",'C_jama.2024.27643'!$A$2:$A$9,0)))</x:f>
      </x:c>
      <x:c r="T17" s="3" t="str">
        <x:f>IF(INDEX('C_jama.2024.27643'!$E$2:$E$9,MATCH("2025::jama.2024.27643::C008",'C_jama.2024.27643'!$A$2:$A$9,0))="","",INDEX('C_jama.2024.27643'!$E$2:$E$9,MATCH("2025::jama.2024.27643::C008",'C_jama.2024.27643'!$A$2:$A$9,0)))</x:f>
        <x:v>statistical_results</x:v>
      </x:c>
      <x:c r="U17" s="3" t="str">
        <x:f>IF(AND(INDEX('C_jama.2024.27643'!$D$2:$D$9,MATCH("2025::jama.2024.27643::C008",'C_jama.2024.27643'!$A$2:$A$9,0))="retain",INDEX('C_jama.2024.27643'!$E$2:$E$9,MATCH("2025::jama.2024.27643::C008",'C_jama.2024.27643'!$A$2:$A$9,0))="statistical_results"),IF(INDEX('C_jama.2024.27643'!$H$2:$H$9,MATCH("2025::jama.2024.27643::C008",'C_jama.2024.27643'!$A$2:$A$9,0))="","",INDEX('C_jama.2024.27643'!$H$2:$H$9,MATCH("2025::jama.2024.27643::C008",'C_jama.2024.27643'!$A$2:$A$9,0))),"not_applicable")</x:f>
        <x:v>not_applicable</x:v>
      </x:c>
      <x:c r="V17" s="3" t="str">
        <x:f>IF(AND(INDEX('C_jama.2024.27643'!$D$2:$D$9,MATCH("2025::jama.2024.27643::C008",'C_jama.2024.27643'!$A$2:$A$9,0))="retain",INDEX('C_jama.2024.27643'!$E$2:$E$9,MATCH("2025::jama.2024.27643::C008",'C_jama.2024.27643'!$A$2:$A$9,0))="statistical_results"),IF(INDEX('C_jama.2024.27643'!$I$2:$I$9,MATCH("2025::jama.2024.27643::C008",'C_jama.2024.27643'!$A$2:$A$9,0))="","",INDEX('C_jama.2024.27643'!$I$2:$I$9,MATCH("2025::jama.2024.27643::C008",'C_jama.2024.27643'!$A$2:$A$9,0))),"not_applicable")</x:f>
        <x:v>not_applicable</x:v>
      </x:c>
      <x:c r="W17" s="3" t="str">
        <x:f>IF(AND(INDEX('C_jama.2024.27643'!$D$2:$D$9,MATCH("2025::jama.2024.27643::C008",'C_jama.2024.27643'!$A$2:$A$9,0))="retain",INDEX('C_jama.2024.27643'!$E$2:$E$9,MATCH("2025::jama.2024.27643::C008",'C_jama.2024.27643'!$A$2:$A$9,0))="statistical_results"),IF(INDEX('C_jama.2024.27643'!$J$2:$J$9,MATCH("2025::jama.2024.27643::C008",'C_jama.2024.27643'!$A$2:$A$9,0))="","",INDEX('C_jama.2024.27643'!$J$2:$J$9,MATCH("2025::jama.2024.27643::C008",'C_jama.2024.27643'!$A$2:$A$9,0))),"not_applicable")</x:f>
        <x:v>not_applicable</x:v>
      </x:c>
      <x:c r="X17" s="3" t="str">
        <x:f>IF(AND(INDEX('C_jama.2024.27643'!$D$2:$D$9,MATCH("2025::jama.2024.27643::C008",'C_jama.2024.27643'!$A$2:$A$9,0))="retain",OR(INDEX('C_jama.2024.27643'!$E$2:$E$9,MATCH("2025::jama.2024.27643::C008",'C_jama.2024.27643'!$A$2:$A$9,0))="report_internal_inconsistency",INDEX('C_jama.2024.27643'!$E$2:$E$9,MATCH("2025::jama.2024.27643::C008",'C_jama.2024.27643'!$A$2:$A$9,0))="plan_material")),IF(INDEX('C_jama.2024.27643'!$K$2:$K$9,MATCH("2025::jama.2024.27643::C008",'C_jama.2024.27643'!$A$2:$A$9,0))="","",INDEX('C_jama.2024.27643'!$K$2:$K$9,MATCH("2025::jama.2024.27643::C008",'C_jama.2024.27643'!$A$2:$A$9,0))),"not_applicable")</x:f>
        <x:v>not_applicable</x:v>
      </x:c>
      <x:c r="Y17" s="3" t="str">
        <x:f>IF(AND(INDEX('C_jama.2024.27643'!$D$2:$D$9,MATCH("2025::jama.2024.27643::C008",'C_jama.2024.27643'!$A$2:$A$9,0))="retain",INDEX('C_jama.2024.27643'!$E$2:$E$9,MATCH("2025::jama.2024.27643::C008",'C_jama.2024.27643'!$A$2:$A$9,0))="protocol_report"),IF(INDEX('C_jama.2024.27643'!$L$2:$L$9,MATCH("2025::jama.2024.27643::C008",'C_jama.2024.27643'!$A$2:$A$9,0))="","",INDEX('C_jama.2024.27643'!$L$2:$L$9,MATCH("2025::jama.2024.27643::C008",'C_jama.2024.27643'!$A$2:$A$9,0))),"not_applicable")</x:f>
        <x:v>not_applicable</x:v>
      </x:c>
      <x:c r="Z17" s="3" t="str">
        <x:f>IF(INDEX('C_jama.2024.27643'!$R$2:$R$9,MATCH("2025::jama.2024.27643::C008",'C_jama.2024.27643'!$A$2:$A$9,0))="","",INDEX('C_jama.2024.27643'!$R$2:$R$9,MATCH("2025::jama.2024.27643::C008",'C_jama.2024.27643'!$A$2:$A$9,0)))</x:f>
      </x:c>
      <x:c r="AA17" s="3" t="str">
        <x:f>IF(INDEX('C_jama.2024.27643'!$N$2:$N$9,MATCH("2025::jama.2024.27643::C008",'C_jama.2024.27643'!$A$2:$A$9,0))="","",INDEX('C_jama.2024.27643'!$N$2:$N$9,MATCH("2025::jama.2024.27643::C008",'C_jama.2024.27643'!$A$2:$A$9,0)))</x:f>
      </x:c>
      <x:c r="AB17" s="3" t="str">
        <x:f>IF(INDEX('C_jama.2024.27643'!$O$2:$O$9,MATCH("2025::jama.2024.27643::C008",'C_jama.2024.27643'!$A$2:$A$9,0))="","",INDEX('C_jama.2024.27643'!$O$2:$O$9,MATCH("2025::jama.2024.27643::C008",'C_jama.2024.27643'!$A$2:$A$9,0)))</x:f>
      </x:c>
      <x:c r="AC17" s="3" t="str">
        <x:f>IF(INDEX('C_jama.2024.27643'!$P$2:$P$9,MATCH("2025::jama.2024.27643::C008",'C_jama.2024.27643'!$A$2:$A$9,0))="","",INDEX('C_jama.2024.27643'!$P$2:$P$9,MATCH("2025::jama.2024.27643::C008",'C_jama.2024.27643'!$A$2:$A$9,0)))</x:f>
      </x:c>
      <x:c r="AD17" s="3" t="str">
        <x:f>IF(INDEX('C_jama.2024.27643'!$Q$2:$Q$9,MATCH("2025::jama.2024.27643::C008",'C_jama.2024.27643'!$A$2:$A$9,0))="","",INDEX('C_jama.2024.27643'!$Q$2:$Q$9,MATCH("2025::jama.2024.27643::C008",'C_jama.2024.27643'!$A$2:$A$9,0)))</x:f>
      </x:c>
    </x:row>
    <x:row r="18" ht="65" customHeight="1">
      <x:c r="A18" s="6" t="n">
        <x:v>2025</x:v>
      </x:c>
      <x:c r="B18" s="6" t="str">
        <x:v>jama.2025.11178</x:v>
      </x:c>
      <x:c r="C18" s="6" t="str">
        <x:v>2025::jama.2025.11178::C001</x:v>
      </x:c>
      <x:c r="D18" s="6" t="str">
        <x:v>S_W</x:v>
      </x:c>
      <x:c r="E18" s="6" t="n">
        <x:f>Setup!$B$2</x:f>
        <x:v>0</x:v>
      </x:c>
      <x:c r="F18" s="6" t="str">
        <x:f>IF(Setup!$B$4="","",Setup!$B$4)</x:f>
      </x:c>
      <x:c r="G18" s="6" t="str">
        <x:f>IFERROR(INDEX('C_jama.2025.11178'!$G$2:$G$38,MATCH("2025::jama.2025.11178::C001",'C_jama.2025.11178'!$A$2:$A$38,0)),"CHECK KEY")</x:f>
        <x:v>CHECK REVIEWER IDs</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statistical_results</x:v>
      </x:c>
      <x:c r="K18" s="6" t="str">
        <x:f>IF(Setup!$B$6="primary","",IFERROR(IF(INDEX('Primary_snapshot'!$B$2:$B$132,MATCH(C18,'Primary_snapshot'!$A$2:$A$132,0))="","",INDEX('Primary_snapshot'!$B$2:$B$132,MATCH(C18,'Primary_snapshot'!$A$2:$A$132,0))),"SNAPSHOT MISSING"))</x:f>
      </x:c>
      <x:c r="L18" s="6" t="str">
        <x:f>IF(Setup!$B$6="primary","",IFERROR(IF(INDEX('Primary_snapshot'!$C$2:$C$132,MATCH(C18,'Primary_snapshot'!$A$2:$A$132,0))="","",INDEX('Primary_snapshot'!$C$2:$C$132,MATCH(C18,'Primary_snapshot'!$A$2:$A$132,0))),"SNAPSHOT MISSING"))</x:f>
      </x:c>
      <x:c r="M18" s="6" t="str">
        <x:f>IF(Setup!$B$6="primary","",IFERROR(IF(INDEX('Primary_snapshot'!$D$2:$D$132,MATCH(C18,'Primary_snapshot'!$A$2:$A$132,0))="","",INDEX('Primary_snapshot'!$D$2:$D$132,MATCH(C18,'Primary_snapshot'!$A$2:$A$132,0))),"SNAPSHOT MISSING"))</x:f>
      </x:c>
      <x:c r="N18" s="6" t="str">
        <x:f>IF(Setup!$B$6="primary","",IFERROR(IF(INDEX('Primary_snapshot'!$E$2:$E$132,MATCH(C18,'Primary_snapshot'!$A$2:$A$132,0))="","",INDEX('Primary_snapshot'!$E$2:$E$132,MATCH(C18,'Primary_snapshot'!$A$2:$A$132,0))),"SNAPSHOT MISSING"))</x:f>
      </x:c>
      <x:c r="O18" s="6" t="str">
        <x:f>IF(Setup!$B$6="primary","",IFERROR(IF(INDEX('Primary_snapshot'!$F$2:$F$132,MATCH(C18,'Primary_snapshot'!$A$2:$A$132,0))="","",INDEX('Primary_snapshot'!$F$2:$F$132,MATCH(C18,'Primary_snapshot'!$A$2:$A$132,0))),"SNAPSHOT MISSING"))</x:f>
      </x:c>
      <x:c r="P18" s="6" t="str">
        <x:f>IF(Setup!$B$6="primary","",IFERROR(IF(INDEX('Primary_snapshot'!$G$2:$G$132,MATCH(C18,'Primary_snapshot'!$A$2:$A$132,0))="","",INDEX('Primary_snapshot'!$G$2:$G$132,MATCH(C18,'Primary_snapshot'!$A$2:$A$132,0))),"SNAPSHOT MISSING"))</x:f>
      </x:c>
      <x:c r="Q18" s="6" t="str">
        <x:f>IF(Setup!$B$6="primary","",IFERROR(IF(INDEX('Primary_snapshot'!$H$2:$H$132,MATCH(C18,'Primary_snapshot'!$A$2:$A$132,0))="","",INDEX('Primary_snapshot'!$H$2:$H$132,MATCH(C18,'Primary_snapshot'!$A$2:$A$132,0))),"SNAPSHOT MISSING"))</x:f>
      </x:c>
      <x:c r="R18" s="6" t="str">
        <x:f>IF(Setup!$B$6="primary","",IFERROR(IF(INDEX('Primary_snapshot'!$I$2:$I$132,MATCH(C18,'Primary_snapshot'!$A$2:$A$132,0))="","",INDEX('Primary_snapshot'!$I$2:$I$132,MATCH(C18,'Primary_snapshot'!$A$2:$A$132,0))),"SNAPSHOT MISSING"))</x:f>
      </x:c>
      <x:c r="S18" s="6" t="str">
        <x:f>IF(INDEX('C_jama.2025.11178'!$D$2:$D$38,MATCH("2025::jama.2025.11178::C001",'C_jama.2025.11178'!$A$2:$A$38,0))="","",INDEX('C_jama.2025.11178'!$D$2:$D$38,MATCH("2025::jama.2025.11178::C001",'C_jama.2025.11178'!$A$2:$A$38,0)))</x:f>
      </x:c>
      <x:c r="T18" s="6" t="str">
        <x:f>IF(INDEX('C_jama.2025.11178'!$E$2:$E$38,MATCH("2025::jama.2025.11178::C001",'C_jama.2025.11178'!$A$2:$A$38,0))="","",INDEX('C_jama.2025.11178'!$E$2:$E$38,MATCH("2025::jama.2025.11178::C001",'C_jama.2025.11178'!$A$2:$A$38,0)))</x:f>
        <x:v>statistical_results</x:v>
      </x:c>
      <x:c r="U18" s="6" t="str">
        <x:f>IF(AND(INDEX('C_jama.2025.11178'!$D$2:$D$38,MATCH("2025::jama.2025.11178::C001",'C_jama.2025.11178'!$A$2:$A$38,0))="retain",INDEX('C_jama.2025.11178'!$E$2:$E$38,MATCH("2025::jama.2025.11178::C001",'C_jama.2025.11178'!$A$2:$A$38,0))="statistical_results"),IF(INDEX('C_jama.2025.11178'!$H$2:$H$38,MATCH("2025::jama.2025.11178::C001",'C_jama.2025.11178'!$A$2:$A$38,0))="","",INDEX('C_jama.2025.11178'!$H$2:$H$38,MATCH("2025::jama.2025.11178::C001",'C_jama.2025.11178'!$A$2:$A$38,0))),"not_applicable")</x:f>
        <x:v>not_applicable</x:v>
      </x:c>
      <x:c r="V18" s="6" t="str">
        <x:f>IF(AND(INDEX('C_jama.2025.11178'!$D$2:$D$38,MATCH("2025::jama.2025.11178::C001",'C_jama.2025.11178'!$A$2:$A$38,0))="retain",INDEX('C_jama.2025.11178'!$E$2:$E$38,MATCH("2025::jama.2025.11178::C001",'C_jama.2025.11178'!$A$2:$A$38,0))="statistical_results"),IF(INDEX('C_jama.2025.11178'!$I$2:$I$38,MATCH("2025::jama.2025.11178::C001",'C_jama.2025.11178'!$A$2:$A$38,0))="","",INDEX('C_jama.2025.11178'!$I$2:$I$38,MATCH("2025::jama.2025.11178::C001",'C_jama.2025.11178'!$A$2:$A$38,0))),"not_applicable")</x:f>
        <x:v>not_applicable</x:v>
      </x:c>
      <x:c r="W18" s="6" t="str">
        <x:f>IF(AND(INDEX('C_jama.2025.11178'!$D$2:$D$38,MATCH("2025::jama.2025.11178::C001",'C_jama.2025.11178'!$A$2:$A$38,0))="retain",INDEX('C_jama.2025.11178'!$E$2:$E$38,MATCH("2025::jama.2025.11178::C001",'C_jama.2025.11178'!$A$2:$A$38,0))="statistical_results"),IF(INDEX('C_jama.2025.11178'!$J$2:$J$38,MATCH("2025::jama.2025.11178::C001",'C_jama.2025.11178'!$A$2:$A$38,0))="","",INDEX('C_jama.2025.11178'!$J$2:$J$38,MATCH("2025::jama.2025.11178::C001",'C_jama.2025.11178'!$A$2:$A$38,0))),"not_applicable")</x:f>
        <x:v>not_applicable</x:v>
      </x:c>
      <x:c r="X18" s="6" t="str">
        <x:f>IF(AND(INDEX('C_jama.2025.11178'!$D$2:$D$38,MATCH("2025::jama.2025.11178::C001",'C_jama.2025.11178'!$A$2:$A$38,0))="retain",OR(INDEX('C_jama.2025.11178'!$E$2:$E$38,MATCH("2025::jama.2025.11178::C001",'C_jama.2025.11178'!$A$2:$A$38,0))="report_internal_inconsistency",INDEX('C_jama.2025.11178'!$E$2:$E$38,MATCH("2025::jama.2025.11178::C001",'C_jama.2025.11178'!$A$2:$A$38,0))="plan_material")),IF(INDEX('C_jama.2025.11178'!$K$2:$K$38,MATCH("2025::jama.2025.11178::C001",'C_jama.2025.11178'!$A$2:$A$38,0))="","",INDEX('C_jama.2025.11178'!$K$2:$K$38,MATCH("2025::jama.2025.11178::C001",'C_jama.2025.11178'!$A$2:$A$38,0))),"not_applicable")</x:f>
        <x:v>not_applicable</x:v>
      </x:c>
      <x:c r="Y18" s="6" t="str">
        <x:f>IF(AND(INDEX('C_jama.2025.11178'!$D$2:$D$38,MATCH("2025::jama.2025.11178::C001",'C_jama.2025.11178'!$A$2:$A$38,0))="retain",INDEX('C_jama.2025.11178'!$E$2:$E$38,MATCH("2025::jama.2025.11178::C001",'C_jama.2025.11178'!$A$2:$A$38,0))="protocol_report"),IF(INDEX('C_jama.2025.11178'!$L$2:$L$38,MATCH("2025::jama.2025.11178::C001",'C_jama.2025.11178'!$A$2:$A$38,0))="","",INDEX('C_jama.2025.11178'!$L$2:$L$38,MATCH("2025::jama.2025.11178::C001",'C_jama.2025.11178'!$A$2:$A$38,0))),"not_applicable")</x:f>
        <x:v>not_applicable</x:v>
      </x:c>
      <x:c r="Z18" s="6" t="str">
        <x:f>IF(INDEX('C_jama.2025.11178'!$R$2:$R$38,MATCH("2025::jama.2025.11178::C001",'C_jama.2025.11178'!$A$2:$A$38,0))="","",INDEX('C_jama.2025.11178'!$R$2:$R$38,MATCH("2025::jama.2025.11178::C001",'C_jama.2025.11178'!$A$2:$A$38,0)))</x:f>
      </x:c>
      <x:c r="AA18" s="6" t="str">
        <x:f>IF(INDEX('C_jama.2025.11178'!$N$2:$N$38,MATCH("2025::jama.2025.11178::C001",'C_jama.2025.11178'!$A$2:$A$38,0))="","",INDEX('C_jama.2025.11178'!$N$2:$N$38,MATCH("2025::jama.2025.11178::C001",'C_jama.2025.11178'!$A$2:$A$38,0)))</x:f>
      </x:c>
      <x:c r="AB18" s="6" t="str">
        <x:f>IF(INDEX('C_jama.2025.11178'!$O$2:$O$38,MATCH("2025::jama.2025.11178::C001",'C_jama.2025.11178'!$A$2:$A$38,0))="","",INDEX('C_jama.2025.11178'!$O$2:$O$38,MATCH("2025::jama.2025.11178::C001",'C_jama.2025.11178'!$A$2:$A$38,0)))</x:f>
      </x:c>
      <x:c r="AC18" s="6" t="str">
        <x:f>IF(INDEX('C_jama.2025.11178'!$P$2:$P$38,MATCH("2025::jama.2025.11178::C001",'C_jama.2025.11178'!$A$2:$A$38,0))="","",INDEX('C_jama.2025.11178'!$P$2:$P$38,MATCH("2025::jama.2025.11178::C001",'C_jama.2025.11178'!$A$2:$A$38,0)))</x:f>
      </x:c>
      <x:c r="AD18" s="6" t="str">
        <x:f>IF(INDEX('C_jama.2025.11178'!$Q$2:$Q$38,MATCH("2025::jama.2025.11178::C001",'C_jama.2025.11178'!$A$2:$A$38,0))="","",INDEX('C_jama.2025.11178'!$Q$2:$Q$38,MATCH("2025::jama.2025.11178::C001",'C_jama.2025.11178'!$A$2:$A$38,0)))</x:f>
      </x:c>
    </x:row>
    <x:row r="19" ht="65" customHeight="1">
      <x:c r="A19" s="3" t="n">
        <x:v>2025</x:v>
      </x:c>
      <x:c r="B19" s="3" t="str">
        <x:v>jama.2025.11178</x:v>
      </x:c>
      <x:c r="C19" s="3" t="str">
        <x:v>2025::jama.2025.11178::C002</x:v>
      </x:c>
      <x:c r="D19" s="3" t="str">
        <x:v>S_W</x:v>
      </x:c>
      <x:c r="E19" s="3" t="n">
        <x:f>Setup!$B$2</x:f>
        <x:v>0</x:v>
      </x:c>
      <x:c r="F19" s="3" t="str">
        <x:f>IF(Setup!$B$4="","",Setup!$B$4)</x:f>
      </x:c>
      <x:c r="G19" s="3" t="str">
        <x:f>IFERROR(INDEX('C_jama.2025.11178'!$G$2:$G$38,MATCH("2025::jama.2025.11178::C002",'C_jama.2025.11178'!$A$2:$A$38,0)),"CHECK KEY")</x:f>
        <x:v>CHECK REVIEWER IDs</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statistical_results</x:v>
      </x:c>
      <x:c r="K19" s="3" t="str">
        <x:f>IF(Setup!$B$6="primary","",IFERROR(IF(INDEX('Primary_snapshot'!$B$2:$B$132,MATCH(C19,'Primary_snapshot'!$A$2:$A$132,0))="","",INDEX('Primary_snapshot'!$B$2:$B$132,MATCH(C19,'Primary_snapshot'!$A$2:$A$132,0))),"SNAPSHOT MISSING"))</x:f>
      </x:c>
      <x:c r="L19" s="3" t="str">
        <x:f>IF(Setup!$B$6="primary","",IFERROR(IF(INDEX('Primary_snapshot'!$C$2:$C$132,MATCH(C19,'Primary_snapshot'!$A$2:$A$132,0))="","",INDEX('Primary_snapshot'!$C$2:$C$132,MATCH(C19,'Primary_snapshot'!$A$2:$A$132,0))),"SNAPSHOT MISSING"))</x:f>
      </x:c>
      <x:c r="M19" s="3" t="str">
        <x:f>IF(Setup!$B$6="primary","",IFERROR(IF(INDEX('Primary_snapshot'!$D$2:$D$132,MATCH(C19,'Primary_snapshot'!$A$2:$A$132,0))="","",INDEX('Primary_snapshot'!$D$2:$D$132,MATCH(C19,'Primary_snapshot'!$A$2:$A$132,0))),"SNAPSHOT MISSING"))</x:f>
      </x:c>
      <x:c r="N19" s="3" t="str">
        <x:f>IF(Setup!$B$6="primary","",IFERROR(IF(INDEX('Primary_snapshot'!$E$2:$E$132,MATCH(C19,'Primary_snapshot'!$A$2:$A$132,0))="","",INDEX('Primary_snapshot'!$E$2:$E$132,MATCH(C19,'Primary_snapshot'!$A$2:$A$132,0))),"SNAPSHOT MISSING"))</x:f>
      </x:c>
      <x:c r="O19" s="3" t="str">
        <x:f>IF(Setup!$B$6="primary","",IFERROR(IF(INDEX('Primary_snapshot'!$F$2:$F$132,MATCH(C19,'Primary_snapshot'!$A$2:$A$132,0))="","",INDEX('Primary_snapshot'!$F$2:$F$132,MATCH(C19,'Primary_snapshot'!$A$2:$A$132,0))),"SNAPSHOT MISSING"))</x:f>
      </x:c>
      <x:c r="P19" s="3" t="str">
        <x:f>IF(Setup!$B$6="primary","",IFERROR(IF(INDEX('Primary_snapshot'!$G$2:$G$132,MATCH(C19,'Primary_snapshot'!$A$2:$A$132,0))="","",INDEX('Primary_snapshot'!$G$2:$G$132,MATCH(C19,'Primary_snapshot'!$A$2:$A$132,0))),"SNAPSHOT MISSING"))</x:f>
      </x:c>
      <x:c r="Q19" s="3" t="str">
        <x:f>IF(Setup!$B$6="primary","",IFERROR(IF(INDEX('Primary_snapshot'!$H$2:$H$132,MATCH(C19,'Primary_snapshot'!$A$2:$A$132,0))="","",INDEX('Primary_snapshot'!$H$2:$H$132,MATCH(C19,'Primary_snapshot'!$A$2:$A$132,0))),"SNAPSHOT MISSING"))</x:f>
      </x:c>
      <x:c r="R19" s="3" t="str">
        <x:f>IF(Setup!$B$6="primary","",IFERROR(IF(INDEX('Primary_snapshot'!$I$2:$I$132,MATCH(C19,'Primary_snapshot'!$A$2:$A$132,0))="","",INDEX('Primary_snapshot'!$I$2:$I$132,MATCH(C19,'Primary_snapshot'!$A$2:$A$132,0))),"SNAPSHOT MISSING"))</x:f>
      </x:c>
      <x:c r="S19" s="3" t="str">
        <x:f>IF(INDEX('C_jama.2025.11178'!$D$2:$D$38,MATCH("2025::jama.2025.11178::C002",'C_jama.2025.11178'!$A$2:$A$38,0))="","",INDEX('C_jama.2025.11178'!$D$2:$D$38,MATCH("2025::jama.2025.11178::C002",'C_jama.2025.11178'!$A$2:$A$38,0)))</x:f>
      </x:c>
      <x:c r="T19" s="3" t="str">
        <x:f>IF(INDEX('C_jama.2025.11178'!$E$2:$E$38,MATCH("2025::jama.2025.11178::C002",'C_jama.2025.11178'!$A$2:$A$38,0))="","",INDEX('C_jama.2025.11178'!$E$2:$E$38,MATCH("2025::jama.2025.11178::C002",'C_jama.2025.11178'!$A$2:$A$38,0)))</x:f>
        <x:v>statistical_results</x:v>
      </x:c>
      <x:c r="U19" s="3" t="str">
        <x:f>IF(AND(INDEX('C_jama.2025.11178'!$D$2:$D$38,MATCH("2025::jama.2025.11178::C002",'C_jama.2025.11178'!$A$2:$A$38,0))="retain",INDEX('C_jama.2025.11178'!$E$2:$E$38,MATCH("2025::jama.2025.11178::C002",'C_jama.2025.11178'!$A$2:$A$38,0))="statistical_results"),IF(INDEX('C_jama.2025.11178'!$H$2:$H$38,MATCH("2025::jama.2025.11178::C002",'C_jama.2025.11178'!$A$2:$A$38,0))="","",INDEX('C_jama.2025.11178'!$H$2:$H$38,MATCH("2025::jama.2025.11178::C002",'C_jama.2025.11178'!$A$2:$A$38,0))),"not_applicable")</x:f>
        <x:v>not_applicable</x:v>
      </x:c>
      <x:c r="V19" s="3" t="str">
        <x:f>IF(AND(INDEX('C_jama.2025.11178'!$D$2:$D$38,MATCH("2025::jama.2025.11178::C002",'C_jama.2025.11178'!$A$2:$A$38,0))="retain",INDEX('C_jama.2025.11178'!$E$2:$E$38,MATCH("2025::jama.2025.11178::C002",'C_jama.2025.11178'!$A$2:$A$38,0))="statistical_results"),IF(INDEX('C_jama.2025.11178'!$I$2:$I$38,MATCH("2025::jama.2025.11178::C002",'C_jama.2025.11178'!$A$2:$A$38,0))="","",INDEX('C_jama.2025.11178'!$I$2:$I$38,MATCH("2025::jama.2025.11178::C002",'C_jama.2025.11178'!$A$2:$A$38,0))),"not_applicable")</x:f>
        <x:v>not_applicable</x:v>
      </x:c>
      <x:c r="W19" s="3" t="str">
        <x:f>IF(AND(INDEX('C_jama.2025.11178'!$D$2:$D$38,MATCH("2025::jama.2025.11178::C002",'C_jama.2025.11178'!$A$2:$A$38,0))="retain",INDEX('C_jama.2025.11178'!$E$2:$E$38,MATCH("2025::jama.2025.11178::C002",'C_jama.2025.11178'!$A$2:$A$38,0))="statistical_results"),IF(INDEX('C_jama.2025.11178'!$J$2:$J$38,MATCH("2025::jama.2025.11178::C002",'C_jama.2025.11178'!$A$2:$A$38,0))="","",INDEX('C_jama.2025.11178'!$J$2:$J$38,MATCH("2025::jama.2025.11178::C002",'C_jama.2025.11178'!$A$2:$A$38,0))),"not_applicable")</x:f>
        <x:v>not_applicable</x:v>
      </x:c>
      <x:c r="X19" s="3" t="str">
        <x:f>IF(AND(INDEX('C_jama.2025.11178'!$D$2:$D$38,MATCH("2025::jama.2025.11178::C002",'C_jama.2025.11178'!$A$2:$A$38,0))="retain",OR(INDEX('C_jama.2025.11178'!$E$2:$E$38,MATCH("2025::jama.2025.11178::C002",'C_jama.2025.11178'!$A$2:$A$38,0))="report_internal_inconsistency",INDEX('C_jama.2025.11178'!$E$2:$E$38,MATCH("2025::jama.2025.11178::C002",'C_jama.2025.11178'!$A$2:$A$38,0))="plan_material")),IF(INDEX('C_jama.2025.11178'!$K$2:$K$38,MATCH("2025::jama.2025.11178::C002",'C_jama.2025.11178'!$A$2:$A$38,0))="","",INDEX('C_jama.2025.11178'!$K$2:$K$38,MATCH("2025::jama.2025.11178::C002",'C_jama.2025.11178'!$A$2:$A$38,0))),"not_applicable")</x:f>
        <x:v>not_applicable</x:v>
      </x:c>
      <x:c r="Y19" s="3" t="str">
        <x:f>IF(AND(INDEX('C_jama.2025.11178'!$D$2:$D$38,MATCH("2025::jama.2025.11178::C002",'C_jama.2025.11178'!$A$2:$A$38,0))="retain",INDEX('C_jama.2025.11178'!$E$2:$E$38,MATCH("2025::jama.2025.11178::C002",'C_jama.2025.11178'!$A$2:$A$38,0))="protocol_report"),IF(INDEX('C_jama.2025.11178'!$L$2:$L$38,MATCH("2025::jama.2025.11178::C002",'C_jama.2025.11178'!$A$2:$A$38,0))="","",INDEX('C_jama.2025.11178'!$L$2:$L$38,MATCH("2025::jama.2025.11178::C002",'C_jama.2025.11178'!$A$2:$A$38,0))),"not_applicable")</x:f>
        <x:v>not_applicable</x:v>
      </x:c>
      <x:c r="Z19" s="3" t="str">
        <x:f>IF(INDEX('C_jama.2025.11178'!$R$2:$R$38,MATCH("2025::jama.2025.11178::C002",'C_jama.2025.11178'!$A$2:$A$38,0))="","",INDEX('C_jama.2025.11178'!$R$2:$R$38,MATCH("2025::jama.2025.11178::C002",'C_jama.2025.11178'!$A$2:$A$38,0)))</x:f>
      </x:c>
      <x:c r="AA19" s="3" t="str">
        <x:f>IF(INDEX('C_jama.2025.11178'!$N$2:$N$38,MATCH("2025::jama.2025.11178::C002",'C_jama.2025.11178'!$A$2:$A$38,0))="","",INDEX('C_jama.2025.11178'!$N$2:$N$38,MATCH("2025::jama.2025.11178::C002",'C_jama.2025.11178'!$A$2:$A$38,0)))</x:f>
      </x:c>
      <x:c r="AB19" s="3" t="str">
        <x:f>IF(INDEX('C_jama.2025.11178'!$O$2:$O$38,MATCH("2025::jama.2025.11178::C002",'C_jama.2025.11178'!$A$2:$A$38,0))="","",INDEX('C_jama.2025.11178'!$O$2:$O$38,MATCH("2025::jama.2025.11178::C002",'C_jama.2025.11178'!$A$2:$A$38,0)))</x:f>
      </x:c>
      <x:c r="AC19" s="3" t="str">
        <x:f>IF(INDEX('C_jama.2025.11178'!$P$2:$P$38,MATCH("2025::jama.2025.11178::C002",'C_jama.2025.11178'!$A$2:$A$38,0))="","",INDEX('C_jama.2025.11178'!$P$2:$P$38,MATCH("2025::jama.2025.11178::C002",'C_jama.2025.11178'!$A$2:$A$38,0)))</x:f>
      </x:c>
      <x:c r="AD19" s="3" t="str">
        <x:f>IF(INDEX('C_jama.2025.11178'!$Q$2:$Q$38,MATCH("2025::jama.2025.11178::C002",'C_jama.2025.11178'!$A$2:$A$38,0))="","",INDEX('C_jama.2025.11178'!$Q$2:$Q$38,MATCH("2025::jama.2025.11178::C002",'C_jama.2025.11178'!$A$2:$A$38,0)))</x:f>
      </x:c>
    </x:row>
    <x:row r="20" ht="65" customHeight="1">
      <x:c r="A20" s="6" t="n">
        <x:v>2025</x:v>
      </x:c>
      <x:c r="B20" s="6" t="str">
        <x:v>jama.2025.11178</x:v>
      </x:c>
      <x:c r="C20" s="6" t="str">
        <x:v>2025::jama.2025.11178::C003</x:v>
      </x:c>
      <x:c r="D20" s="6" t="str">
        <x:v>S_W</x:v>
      </x:c>
      <x:c r="E20" s="6" t="n">
        <x:f>Setup!$B$2</x:f>
        <x:v>0</x:v>
      </x:c>
      <x:c r="F20" s="6" t="str">
        <x:f>IF(Setup!$B$4="","",Setup!$B$4)</x:f>
      </x:c>
      <x:c r="G20" s="6" t="str">
        <x:f>IFERROR(INDEX('C_jama.2025.11178'!$G$2:$G$38,MATCH("2025::jama.2025.11178::C003",'C_jama.2025.11178'!$A$2:$A$38,0)),"CHECK KEY")</x:f>
        <x:v>CHECK REVIEWER IDs</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statistical_results</x:v>
      </x:c>
      <x:c r="K20" s="6" t="str">
        <x:f>IF(Setup!$B$6="primary","",IFERROR(IF(INDEX('Primary_snapshot'!$B$2:$B$132,MATCH(C20,'Primary_snapshot'!$A$2:$A$132,0))="","",INDEX('Primary_snapshot'!$B$2:$B$132,MATCH(C20,'Primary_snapshot'!$A$2:$A$132,0))),"SNAPSHOT MISSING"))</x:f>
      </x:c>
      <x:c r="L20" s="6" t="str">
        <x:f>IF(Setup!$B$6="primary","",IFERROR(IF(INDEX('Primary_snapshot'!$C$2:$C$132,MATCH(C20,'Primary_snapshot'!$A$2:$A$132,0))="","",INDEX('Primary_snapshot'!$C$2:$C$132,MATCH(C20,'Primary_snapshot'!$A$2:$A$132,0))),"SNAPSHOT MISSING"))</x:f>
      </x:c>
      <x:c r="M20" s="6" t="str">
        <x:f>IF(Setup!$B$6="primary","",IFERROR(IF(INDEX('Primary_snapshot'!$D$2:$D$132,MATCH(C20,'Primary_snapshot'!$A$2:$A$132,0))="","",INDEX('Primary_snapshot'!$D$2:$D$132,MATCH(C20,'Primary_snapshot'!$A$2:$A$132,0))),"SNAPSHOT MISSING"))</x:f>
      </x:c>
      <x:c r="N20" s="6" t="str">
        <x:f>IF(Setup!$B$6="primary","",IFERROR(IF(INDEX('Primary_snapshot'!$E$2:$E$132,MATCH(C20,'Primary_snapshot'!$A$2:$A$132,0))="","",INDEX('Primary_snapshot'!$E$2:$E$132,MATCH(C20,'Primary_snapshot'!$A$2:$A$132,0))),"SNAPSHOT MISSING"))</x:f>
      </x:c>
      <x:c r="O20" s="6" t="str">
        <x:f>IF(Setup!$B$6="primary","",IFERROR(IF(INDEX('Primary_snapshot'!$F$2:$F$132,MATCH(C20,'Primary_snapshot'!$A$2:$A$132,0))="","",INDEX('Primary_snapshot'!$F$2:$F$132,MATCH(C20,'Primary_snapshot'!$A$2:$A$132,0))),"SNAPSHOT MISSING"))</x:f>
      </x:c>
      <x:c r="P20" s="6" t="str">
        <x:f>IF(Setup!$B$6="primary","",IFERROR(IF(INDEX('Primary_snapshot'!$G$2:$G$132,MATCH(C20,'Primary_snapshot'!$A$2:$A$132,0))="","",INDEX('Primary_snapshot'!$G$2:$G$132,MATCH(C20,'Primary_snapshot'!$A$2:$A$132,0))),"SNAPSHOT MISSING"))</x:f>
      </x:c>
      <x:c r="Q20" s="6" t="str">
        <x:f>IF(Setup!$B$6="primary","",IFERROR(IF(INDEX('Primary_snapshot'!$H$2:$H$132,MATCH(C20,'Primary_snapshot'!$A$2:$A$132,0))="","",INDEX('Primary_snapshot'!$H$2:$H$132,MATCH(C20,'Primary_snapshot'!$A$2:$A$132,0))),"SNAPSHOT MISSING"))</x:f>
      </x:c>
      <x:c r="R20" s="6" t="str">
        <x:f>IF(Setup!$B$6="primary","",IFERROR(IF(INDEX('Primary_snapshot'!$I$2:$I$132,MATCH(C20,'Primary_snapshot'!$A$2:$A$132,0))="","",INDEX('Primary_snapshot'!$I$2:$I$132,MATCH(C20,'Primary_snapshot'!$A$2:$A$132,0))),"SNAPSHOT MISSING"))</x:f>
      </x:c>
      <x:c r="S20" s="6" t="str">
        <x:f>IF(INDEX('C_jama.2025.11178'!$D$2:$D$38,MATCH("2025::jama.2025.11178::C003",'C_jama.2025.11178'!$A$2:$A$38,0))="","",INDEX('C_jama.2025.11178'!$D$2:$D$38,MATCH("2025::jama.2025.11178::C003",'C_jama.2025.11178'!$A$2:$A$38,0)))</x:f>
      </x:c>
      <x:c r="T20" s="6" t="str">
        <x:f>IF(INDEX('C_jama.2025.11178'!$E$2:$E$38,MATCH("2025::jama.2025.11178::C003",'C_jama.2025.11178'!$A$2:$A$38,0))="","",INDEX('C_jama.2025.11178'!$E$2:$E$38,MATCH("2025::jama.2025.11178::C003",'C_jama.2025.11178'!$A$2:$A$38,0)))</x:f>
        <x:v>statistical_results</x:v>
      </x:c>
      <x:c r="U20" s="6" t="str">
        <x:f>IF(AND(INDEX('C_jama.2025.11178'!$D$2:$D$38,MATCH("2025::jama.2025.11178::C003",'C_jama.2025.11178'!$A$2:$A$38,0))="retain",INDEX('C_jama.2025.11178'!$E$2:$E$38,MATCH("2025::jama.2025.11178::C003",'C_jama.2025.11178'!$A$2:$A$38,0))="statistical_results"),IF(INDEX('C_jama.2025.11178'!$H$2:$H$38,MATCH("2025::jama.2025.11178::C003",'C_jama.2025.11178'!$A$2:$A$38,0))="","",INDEX('C_jama.2025.11178'!$H$2:$H$38,MATCH("2025::jama.2025.11178::C003",'C_jama.2025.11178'!$A$2:$A$38,0))),"not_applicable")</x:f>
        <x:v>not_applicable</x:v>
      </x:c>
      <x:c r="V20" s="6" t="str">
        <x:f>IF(AND(INDEX('C_jama.2025.11178'!$D$2:$D$38,MATCH("2025::jama.2025.11178::C003",'C_jama.2025.11178'!$A$2:$A$38,0))="retain",INDEX('C_jama.2025.11178'!$E$2:$E$38,MATCH("2025::jama.2025.11178::C003",'C_jama.2025.11178'!$A$2:$A$38,0))="statistical_results"),IF(INDEX('C_jama.2025.11178'!$I$2:$I$38,MATCH("2025::jama.2025.11178::C003",'C_jama.2025.11178'!$A$2:$A$38,0))="","",INDEX('C_jama.2025.11178'!$I$2:$I$38,MATCH("2025::jama.2025.11178::C003",'C_jama.2025.11178'!$A$2:$A$38,0))),"not_applicable")</x:f>
        <x:v>not_applicable</x:v>
      </x:c>
      <x:c r="W20" s="6" t="str">
        <x:f>IF(AND(INDEX('C_jama.2025.11178'!$D$2:$D$38,MATCH("2025::jama.2025.11178::C003",'C_jama.2025.11178'!$A$2:$A$38,0))="retain",INDEX('C_jama.2025.11178'!$E$2:$E$38,MATCH("2025::jama.2025.11178::C003",'C_jama.2025.11178'!$A$2:$A$38,0))="statistical_results"),IF(INDEX('C_jama.2025.11178'!$J$2:$J$38,MATCH("2025::jama.2025.11178::C003",'C_jama.2025.11178'!$A$2:$A$38,0))="","",INDEX('C_jama.2025.11178'!$J$2:$J$38,MATCH("2025::jama.2025.11178::C003",'C_jama.2025.11178'!$A$2:$A$38,0))),"not_applicable")</x:f>
        <x:v>not_applicable</x:v>
      </x:c>
      <x:c r="X20" s="6" t="str">
        <x:f>IF(AND(INDEX('C_jama.2025.11178'!$D$2:$D$38,MATCH("2025::jama.2025.11178::C003",'C_jama.2025.11178'!$A$2:$A$38,0))="retain",OR(INDEX('C_jama.2025.11178'!$E$2:$E$38,MATCH("2025::jama.2025.11178::C003",'C_jama.2025.11178'!$A$2:$A$38,0))="report_internal_inconsistency",INDEX('C_jama.2025.11178'!$E$2:$E$38,MATCH("2025::jama.2025.11178::C003",'C_jama.2025.11178'!$A$2:$A$38,0))="plan_material")),IF(INDEX('C_jama.2025.11178'!$K$2:$K$38,MATCH("2025::jama.2025.11178::C003",'C_jama.2025.11178'!$A$2:$A$38,0))="","",INDEX('C_jama.2025.11178'!$K$2:$K$38,MATCH("2025::jama.2025.11178::C003",'C_jama.2025.11178'!$A$2:$A$38,0))),"not_applicable")</x:f>
        <x:v>not_applicable</x:v>
      </x:c>
      <x:c r="Y20" s="6" t="str">
        <x:f>IF(AND(INDEX('C_jama.2025.11178'!$D$2:$D$38,MATCH("2025::jama.2025.11178::C003",'C_jama.2025.11178'!$A$2:$A$38,0))="retain",INDEX('C_jama.2025.11178'!$E$2:$E$38,MATCH("2025::jama.2025.11178::C003",'C_jama.2025.11178'!$A$2:$A$38,0))="protocol_report"),IF(INDEX('C_jama.2025.11178'!$L$2:$L$38,MATCH("2025::jama.2025.11178::C003",'C_jama.2025.11178'!$A$2:$A$38,0))="","",INDEX('C_jama.2025.11178'!$L$2:$L$38,MATCH("2025::jama.2025.11178::C003",'C_jama.2025.11178'!$A$2:$A$38,0))),"not_applicable")</x:f>
        <x:v>not_applicable</x:v>
      </x:c>
      <x:c r="Z20" s="6" t="str">
        <x:f>IF(INDEX('C_jama.2025.11178'!$R$2:$R$38,MATCH("2025::jama.2025.11178::C003",'C_jama.2025.11178'!$A$2:$A$38,0))="","",INDEX('C_jama.2025.11178'!$R$2:$R$38,MATCH("2025::jama.2025.11178::C003",'C_jama.2025.11178'!$A$2:$A$38,0)))</x:f>
      </x:c>
      <x:c r="AA20" s="6" t="str">
        <x:f>IF(INDEX('C_jama.2025.11178'!$N$2:$N$38,MATCH("2025::jama.2025.11178::C003",'C_jama.2025.11178'!$A$2:$A$38,0))="","",INDEX('C_jama.2025.11178'!$N$2:$N$38,MATCH("2025::jama.2025.11178::C003",'C_jama.2025.11178'!$A$2:$A$38,0)))</x:f>
      </x:c>
      <x:c r="AB20" s="6" t="str">
        <x:f>IF(INDEX('C_jama.2025.11178'!$O$2:$O$38,MATCH("2025::jama.2025.11178::C003",'C_jama.2025.11178'!$A$2:$A$38,0))="","",INDEX('C_jama.2025.11178'!$O$2:$O$38,MATCH("2025::jama.2025.11178::C003",'C_jama.2025.11178'!$A$2:$A$38,0)))</x:f>
      </x:c>
      <x:c r="AC20" s="6" t="str">
        <x:f>IF(INDEX('C_jama.2025.11178'!$P$2:$P$38,MATCH("2025::jama.2025.11178::C003",'C_jama.2025.11178'!$A$2:$A$38,0))="","",INDEX('C_jama.2025.11178'!$P$2:$P$38,MATCH("2025::jama.2025.11178::C003",'C_jama.2025.11178'!$A$2:$A$38,0)))</x:f>
      </x:c>
      <x:c r="AD20" s="6" t="str">
        <x:f>IF(INDEX('C_jama.2025.11178'!$Q$2:$Q$38,MATCH("2025::jama.2025.11178::C003",'C_jama.2025.11178'!$A$2:$A$38,0))="","",INDEX('C_jama.2025.11178'!$Q$2:$Q$38,MATCH("2025::jama.2025.11178::C003",'C_jama.2025.11178'!$A$2:$A$38,0)))</x:f>
      </x:c>
    </x:row>
    <x:row r="21" ht="65" customHeight="1">
      <x:c r="A21" s="3" t="n">
        <x:v>2025</x:v>
      </x:c>
      <x:c r="B21" s="3" t="str">
        <x:v>jama.2025.11178</x:v>
      </x:c>
      <x:c r="C21" s="3" t="str">
        <x:v>2025::jama.2025.11178::C004</x:v>
      </x:c>
      <x:c r="D21" s="3" t="str">
        <x:v>S_W</x:v>
      </x:c>
      <x:c r="E21" s="3" t="n">
        <x:f>Setup!$B$2</x:f>
        <x:v>0</x:v>
      </x:c>
      <x:c r="F21" s="3" t="str">
        <x:f>IF(Setup!$B$4="","",Setup!$B$4)</x:f>
      </x:c>
      <x:c r="G21" s="3" t="str">
        <x:f>IFERROR(INDEX('C_jama.2025.11178'!$G$2:$G$38,MATCH("2025::jama.2025.11178::C004",'C_jama.2025.11178'!$A$2:$A$38,0)),"CHECK KEY")</x:f>
        <x:v>CHECK REVIEWER IDs</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statistical_results</x:v>
      </x:c>
      <x:c r="K21" s="3" t="str">
        <x:f>IF(Setup!$B$6="primary","",IFERROR(IF(INDEX('Primary_snapshot'!$B$2:$B$132,MATCH(C21,'Primary_snapshot'!$A$2:$A$132,0))="","",INDEX('Primary_snapshot'!$B$2:$B$132,MATCH(C21,'Primary_snapshot'!$A$2:$A$132,0))),"SNAPSHOT MISSING"))</x:f>
      </x:c>
      <x:c r="L21" s="3" t="str">
        <x:f>IF(Setup!$B$6="primary","",IFERROR(IF(INDEX('Primary_snapshot'!$C$2:$C$132,MATCH(C21,'Primary_snapshot'!$A$2:$A$132,0))="","",INDEX('Primary_snapshot'!$C$2:$C$132,MATCH(C21,'Primary_snapshot'!$A$2:$A$132,0))),"SNAPSHOT MISSING"))</x:f>
      </x:c>
      <x:c r="M21" s="3" t="str">
        <x:f>IF(Setup!$B$6="primary","",IFERROR(IF(INDEX('Primary_snapshot'!$D$2:$D$132,MATCH(C21,'Primary_snapshot'!$A$2:$A$132,0))="","",INDEX('Primary_snapshot'!$D$2:$D$132,MATCH(C21,'Primary_snapshot'!$A$2:$A$132,0))),"SNAPSHOT MISSING"))</x:f>
      </x:c>
      <x:c r="N21" s="3" t="str">
        <x:f>IF(Setup!$B$6="primary","",IFERROR(IF(INDEX('Primary_snapshot'!$E$2:$E$132,MATCH(C21,'Primary_snapshot'!$A$2:$A$132,0))="","",INDEX('Primary_snapshot'!$E$2:$E$132,MATCH(C21,'Primary_snapshot'!$A$2:$A$132,0))),"SNAPSHOT MISSING"))</x:f>
      </x:c>
      <x:c r="O21" s="3" t="str">
        <x:f>IF(Setup!$B$6="primary","",IFERROR(IF(INDEX('Primary_snapshot'!$F$2:$F$132,MATCH(C21,'Primary_snapshot'!$A$2:$A$132,0))="","",INDEX('Primary_snapshot'!$F$2:$F$132,MATCH(C21,'Primary_snapshot'!$A$2:$A$132,0))),"SNAPSHOT MISSING"))</x:f>
      </x:c>
      <x:c r="P21" s="3" t="str">
        <x:f>IF(Setup!$B$6="primary","",IFERROR(IF(INDEX('Primary_snapshot'!$G$2:$G$132,MATCH(C21,'Primary_snapshot'!$A$2:$A$132,0))="","",INDEX('Primary_snapshot'!$G$2:$G$132,MATCH(C21,'Primary_snapshot'!$A$2:$A$132,0))),"SNAPSHOT MISSING"))</x:f>
      </x:c>
      <x:c r="Q21" s="3" t="str">
        <x:f>IF(Setup!$B$6="primary","",IFERROR(IF(INDEX('Primary_snapshot'!$H$2:$H$132,MATCH(C21,'Primary_snapshot'!$A$2:$A$132,0))="","",INDEX('Primary_snapshot'!$H$2:$H$132,MATCH(C21,'Primary_snapshot'!$A$2:$A$132,0))),"SNAPSHOT MISSING"))</x:f>
      </x:c>
      <x:c r="R21" s="3" t="str">
        <x:f>IF(Setup!$B$6="primary","",IFERROR(IF(INDEX('Primary_snapshot'!$I$2:$I$132,MATCH(C21,'Primary_snapshot'!$A$2:$A$132,0))="","",INDEX('Primary_snapshot'!$I$2:$I$132,MATCH(C21,'Primary_snapshot'!$A$2:$A$132,0))),"SNAPSHOT MISSING"))</x:f>
      </x:c>
      <x:c r="S21" s="3" t="str">
        <x:f>IF(INDEX('C_jama.2025.11178'!$D$2:$D$38,MATCH("2025::jama.2025.11178::C004",'C_jama.2025.11178'!$A$2:$A$38,0))="","",INDEX('C_jama.2025.11178'!$D$2:$D$38,MATCH("2025::jama.2025.11178::C004",'C_jama.2025.11178'!$A$2:$A$38,0)))</x:f>
      </x:c>
      <x:c r="T21" s="3" t="str">
        <x:f>IF(INDEX('C_jama.2025.11178'!$E$2:$E$38,MATCH("2025::jama.2025.11178::C004",'C_jama.2025.11178'!$A$2:$A$38,0))="","",INDEX('C_jama.2025.11178'!$E$2:$E$38,MATCH("2025::jama.2025.11178::C004",'C_jama.2025.11178'!$A$2:$A$38,0)))</x:f>
        <x:v>statistical_results</x:v>
      </x:c>
      <x:c r="U21" s="3" t="str">
        <x:f>IF(AND(INDEX('C_jama.2025.11178'!$D$2:$D$38,MATCH("2025::jama.2025.11178::C004",'C_jama.2025.11178'!$A$2:$A$38,0))="retain",INDEX('C_jama.2025.11178'!$E$2:$E$38,MATCH("2025::jama.2025.11178::C004",'C_jama.2025.11178'!$A$2:$A$38,0))="statistical_results"),IF(INDEX('C_jama.2025.11178'!$H$2:$H$38,MATCH("2025::jama.2025.11178::C004",'C_jama.2025.11178'!$A$2:$A$38,0))="","",INDEX('C_jama.2025.11178'!$H$2:$H$38,MATCH("2025::jama.2025.11178::C004",'C_jama.2025.11178'!$A$2:$A$38,0))),"not_applicable")</x:f>
        <x:v>not_applicable</x:v>
      </x:c>
      <x:c r="V21" s="3" t="str">
        <x:f>IF(AND(INDEX('C_jama.2025.11178'!$D$2:$D$38,MATCH("2025::jama.2025.11178::C004",'C_jama.2025.11178'!$A$2:$A$38,0))="retain",INDEX('C_jama.2025.11178'!$E$2:$E$38,MATCH("2025::jama.2025.11178::C004",'C_jama.2025.11178'!$A$2:$A$38,0))="statistical_results"),IF(INDEX('C_jama.2025.11178'!$I$2:$I$38,MATCH("2025::jama.2025.11178::C004",'C_jama.2025.11178'!$A$2:$A$38,0))="","",INDEX('C_jama.2025.11178'!$I$2:$I$38,MATCH("2025::jama.2025.11178::C004",'C_jama.2025.11178'!$A$2:$A$38,0))),"not_applicable")</x:f>
        <x:v>not_applicable</x:v>
      </x:c>
      <x:c r="W21" s="3" t="str">
        <x:f>IF(AND(INDEX('C_jama.2025.11178'!$D$2:$D$38,MATCH("2025::jama.2025.11178::C004",'C_jama.2025.11178'!$A$2:$A$38,0))="retain",INDEX('C_jama.2025.11178'!$E$2:$E$38,MATCH("2025::jama.2025.11178::C004",'C_jama.2025.11178'!$A$2:$A$38,0))="statistical_results"),IF(INDEX('C_jama.2025.11178'!$J$2:$J$38,MATCH("2025::jama.2025.11178::C004",'C_jama.2025.11178'!$A$2:$A$38,0))="","",INDEX('C_jama.2025.11178'!$J$2:$J$38,MATCH("2025::jama.2025.11178::C004",'C_jama.2025.11178'!$A$2:$A$38,0))),"not_applicable")</x:f>
        <x:v>not_applicable</x:v>
      </x:c>
      <x:c r="X21" s="3" t="str">
        <x:f>IF(AND(INDEX('C_jama.2025.11178'!$D$2:$D$38,MATCH("2025::jama.2025.11178::C004",'C_jama.2025.11178'!$A$2:$A$38,0))="retain",OR(INDEX('C_jama.2025.11178'!$E$2:$E$38,MATCH("2025::jama.2025.11178::C004",'C_jama.2025.11178'!$A$2:$A$38,0))="report_internal_inconsistency",INDEX('C_jama.2025.11178'!$E$2:$E$38,MATCH("2025::jama.2025.11178::C004",'C_jama.2025.11178'!$A$2:$A$38,0))="plan_material")),IF(INDEX('C_jama.2025.11178'!$K$2:$K$38,MATCH("2025::jama.2025.11178::C004",'C_jama.2025.11178'!$A$2:$A$38,0))="","",INDEX('C_jama.2025.11178'!$K$2:$K$38,MATCH("2025::jama.2025.11178::C004",'C_jama.2025.11178'!$A$2:$A$38,0))),"not_applicable")</x:f>
        <x:v>not_applicable</x:v>
      </x:c>
      <x:c r="Y21" s="3" t="str">
        <x:f>IF(AND(INDEX('C_jama.2025.11178'!$D$2:$D$38,MATCH("2025::jama.2025.11178::C004",'C_jama.2025.11178'!$A$2:$A$38,0))="retain",INDEX('C_jama.2025.11178'!$E$2:$E$38,MATCH("2025::jama.2025.11178::C004",'C_jama.2025.11178'!$A$2:$A$38,0))="protocol_report"),IF(INDEX('C_jama.2025.11178'!$L$2:$L$38,MATCH("2025::jama.2025.11178::C004",'C_jama.2025.11178'!$A$2:$A$38,0))="","",INDEX('C_jama.2025.11178'!$L$2:$L$38,MATCH("2025::jama.2025.11178::C004",'C_jama.2025.11178'!$A$2:$A$38,0))),"not_applicable")</x:f>
        <x:v>not_applicable</x:v>
      </x:c>
      <x:c r="Z21" s="3" t="str">
        <x:f>IF(INDEX('C_jama.2025.11178'!$R$2:$R$38,MATCH("2025::jama.2025.11178::C004",'C_jama.2025.11178'!$A$2:$A$38,0))="","",INDEX('C_jama.2025.11178'!$R$2:$R$38,MATCH("2025::jama.2025.11178::C004",'C_jama.2025.11178'!$A$2:$A$38,0)))</x:f>
      </x:c>
      <x:c r="AA21" s="3" t="str">
        <x:f>IF(INDEX('C_jama.2025.11178'!$N$2:$N$38,MATCH("2025::jama.2025.11178::C004",'C_jama.2025.11178'!$A$2:$A$38,0))="","",INDEX('C_jama.2025.11178'!$N$2:$N$38,MATCH("2025::jama.2025.11178::C004",'C_jama.2025.11178'!$A$2:$A$38,0)))</x:f>
      </x:c>
      <x:c r="AB21" s="3" t="str">
        <x:f>IF(INDEX('C_jama.2025.11178'!$O$2:$O$38,MATCH("2025::jama.2025.11178::C004",'C_jama.2025.11178'!$A$2:$A$38,0))="","",INDEX('C_jama.2025.11178'!$O$2:$O$38,MATCH("2025::jama.2025.11178::C004",'C_jama.2025.11178'!$A$2:$A$38,0)))</x:f>
      </x:c>
      <x:c r="AC21" s="3" t="str">
        <x:f>IF(INDEX('C_jama.2025.11178'!$P$2:$P$38,MATCH("2025::jama.2025.11178::C004",'C_jama.2025.11178'!$A$2:$A$38,0))="","",INDEX('C_jama.2025.11178'!$P$2:$P$38,MATCH("2025::jama.2025.11178::C004",'C_jama.2025.11178'!$A$2:$A$38,0)))</x:f>
      </x:c>
      <x:c r="AD21" s="3" t="str">
        <x:f>IF(INDEX('C_jama.2025.11178'!$Q$2:$Q$38,MATCH("2025::jama.2025.11178::C004",'C_jama.2025.11178'!$A$2:$A$38,0))="","",INDEX('C_jama.2025.11178'!$Q$2:$Q$38,MATCH("2025::jama.2025.11178::C004",'C_jama.2025.11178'!$A$2:$A$38,0)))</x:f>
      </x:c>
    </x:row>
    <x:row r="22" ht="65" customHeight="1">
      <x:c r="A22" s="6" t="n">
        <x:v>2025</x:v>
      </x:c>
      <x:c r="B22" s="6" t="str">
        <x:v>jama.2025.11178</x:v>
      </x:c>
      <x:c r="C22" s="6" t="str">
        <x:v>2025::jama.2025.11178::C005</x:v>
      </x:c>
      <x:c r="D22" s="6" t="str">
        <x:v>S_W</x:v>
      </x:c>
      <x:c r="E22" s="6" t="n">
        <x:f>Setup!$B$2</x:f>
        <x:v>0</x:v>
      </x:c>
      <x:c r="F22" s="6" t="str">
        <x:f>IF(Setup!$B$4="","",Setup!$B$4)</x:f>
      </x:c>
      <x:c r="G22" s="6" t="str">
        <x:f>IFERROR(INDEX('C_jama.2025.11178'!$G$2:$G$38,MATCH("2025::jama.2025.11178::C005",'C_jama.2025.11178'!$A$2:$A$38,0)),"CHECK KEY")</x:f>
        <x:v>CHECK REVIEWER IDs</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statistical_results</x:v>
      </x:c>
      <x:c r="K22" s="6" t="str">
        <x:f>IF(Setup!$B$6="primary","",IFERROR(IF(INDEX('Primary_snapshot'!$B$2:$B$132,MATCH(C22,'Primary_snapshot'!$A$2:$A$132,0))="","",INDEX('Primary_snapshot'!$B$2:$B$132,MATCH(C22,'Primary_snapshot'!$A$2:$A$132,0))),"SNAPSHOT MISSING"))</x:f>
      </x:c>
      <x:c r="L22" s="6" t="str">
        <x:f>IF(Setup!$B$6="primary","",IFERROR(IF(INDEX('Primary_snapshot'!$C$2:$C$132,MATCH(C22,'Primary_snapshot'!$A$2:$A$132,0))="","",INDEX('Primary_snapshot'!$C$2:$C$132,MATCH(C22,'Primary_snapshot'!$A$2:$A$132,0))),"SNAPSHOT MISSING"))</x:f>
      </x:c>
      <x:c r="M22" s="6" t="str">
        <x:f>IF(Setup!$B$6="primary","",IFERROR(IF(INDEX('Primary_snapshot'!$D$2:$D$132,MATCH(C22,'Primary_snapshot'!$A$2:$A$132,0))="","",INDEX('Primary_snapshot'!$D$2:$D$132,MATCH(C22,'Primary_snapshot'!$A$2:$A$132,0))),"SNAPSHOT MISSING"))</x:f>
      </x:c>
      <x:c r="N22" s="6" t="str">
        <x:f>IF(Setup!$B$6="primary","",IFERROR(IF(INDEX('Primary_snapshot'!$E$2:$E$132,MATCH(C22,'Primary_snapshot'!$A$2:$A$132,0))="","",INDEX('Primary_snapshot'!$E$2:$E$132,MATCH(C22,'Primary_snapshot'!$A$2:$A$132,0))),"SNAPSHOT MISSING"))</x:f>
      </x:c>
      <x:c r="O22" s="6" t="str">
        <x:f>IF(Setup!$B$6="primary","",IFERROR(IF(INDEX('Primary_snapshot'!$F$2:$F$132,MATCH(C22,'Primary_snapshot'!$A$2:$A$132,0))="","",INDEX('Primary_snapshot'!$F$2:$F$132,MATCH(C22,'Primary_snapshot'!$A$2:$A$132,0))),"SNAPSHOT MISSING"))</x:f>
      </x:c>
      <x:c r="P22" s="6" t="str">
        <x:f>IF(Setup!$B$6="primary","",IFERROR(IF(INDEX('Primary_snapshot'!$G$2:$G$132,MATCH(C22,'Primary_snapshot'!$A$2:$A$132,0))="","",INDEX('Primary_snapshot'!$G$2:$G$132,MATCH(C22,'Primary_snapshot'!$A$2:$A$132,0))),"SNAPSHOT MISSING"))</x:f>
      </x:c>
      <x:c r="Q22" s="6" t="str">
        <x:f>IF(Setup!$B$6="primary","",IFERROR(IF(INDEX('Primary_snapshot'!$H$2:$H$132,MATCH(C22,'Primary_snapshot'!$A$2:$A$132,0))="","",INDEX('Primary_snapshot'!$H$2:$H$132,MATCH(C22,'Primary_snapshot'!$A$2:$A$132,0))),"SNAPSHOT MISSING"))</x:f>
      </x:c>
      <x:c r="R22" s="6" t="str">
        <x:f>IF(Setup!$B$6="primary","",IFERROR(IF(INDEX('Primary_snapshot'!$I$2:$I$132,MATCH(C22,'Primary_snapshot'!$A$2:$A$132,0))="","",INDEX('Primary_snapshot'!$I$2:$I$132,MATCH(C22,'Primary_snapshot'!$A$2:$A$132,0))),"SNAPSHOT MISSING"))</x:f>
      </x:c>
      <x:c r="S22" s="6" t="str">
        <x:f>IF(INDEX('C_jama.2025.11178'!$D$2:$D$38,MATCH("2025::jama.2025.11178::C005",'C_jama.2025.11178'!$A$2:$A$38,0))="","",INDEX('C_jama.2025.11178'!$D$2:$D$38,MATCH("2025::jama.2025.11178::C005",'C_jama.2025.11178'!$A$2:$A$38,0)))</x:f>
      </x:c>
      <x:c r="T22" s="6" t="str">
        <x:f>IF(INDEX('C_jama.2025.11178'!$E$2:$E$38,MATCH("2025::jama.2025.11178::C005",'C_jama.2025.11178'!$A$2:$A$38,0))="","",INDEX('C_jama.2025.11178'!$E$2:$E$38,MATCH("2025::jama.2025.11178::C005",'C_jama.2025.11178'!$A$2:$A$38,0)))</x:f>
        <x:v>statistical_results</x:v>
      </x:c>
      <x:c r="U22" s="6" t="str">
        <x:f>IF(AND(INDEX('C_jama.2025.11178'!$D$2:$D$38,MATCH("2025::jama.2025.11178::C005",'C_jama.2025.11178'!$A$2:$A$38,0))="retain",INDEX('C_jama.2025.11178'!$E$2:$E$38,MATCH("2025::jama.2025.11178::C005",'C_jama.2025.11178'!$A$2:$A$38,0))="statistical_results"),IF(INDEX('C_jama.2025.11178'!$H$2:$H$38,MATCH("2025::jama.2025.11178::C005",'C_jama.2025.11178'!$A$2:$A$38,0))="","",INDEX('C_jama.2025.11178'!$H$2:$H$38,MATCH("2025::jama.2025.11178::C005",'C_jama.2025.11178'!$A$2:$A$38,0))),"not_applicable")</x:f>
        <x:v>not_applicable</x:v>
      </x:c>
      <x:c r="V22" s="6" t="str">
        <x:f>IF(AND(INDEX('C_jama.2025.11178'!$D$2:$D$38,MATCH("2025::jama.2025.11178::C005",'C_jama.2025.11178'!$A$2:$A$38,0))="retain",INDEX('C_jama.2025.11178'!$E$2:$E$38,MATCH("2025::jama.2025.11178::C005",'C_jama.2025.11178'!$A$2:$A$38,0))="statistical_results"),IF(INDEX('C_jama.2025.11178'!$I$2:$I$38,MATCH("2025::jama.2025.11178::C005",'C_jama.2025.11178'!$A$2:$A$38,0))="","",INDEX('C_jama.2025.11178'!$I$2:$I$38,MATCH("2025::jama.2025.11178::C005",'C_jama.2025.11178'!$A$2:$A$38,0))),"not_applicable")</x:f>
        <x:v>not_applicable</x:v>
      </x:c>
      <x:c r="W22" s="6" t="str">
        <x:f>IF(AND(INDEX('C_jama.2025.11178'!$D$2:$D$38,MATCH("2025::jama.2025.11178::C005",'C_jama.2025.11178'!$A$2:$A$38,0))="retain",INDEX('C_jama.2025.11178'!$E$2:$E$38,MATCH("2025::jama.2025.11178::C005",'C_jama.2025.11178'!$A$2:$A$38,0))="statistical_results"),IF(INDEX('C_jama.2025.11178'!$J$2:$J$38,MATCH("2025::jama.2025.11178::C005",'C_jama.2025.11178'!$A$2:$A$38,0))="","",INDEX('C_jama.2025.11178'!$J$2:$J$38,MATCH("2025::jama.2025.11178::C005",'C_jama.2025.11178'!$A$2:$A$38,0))),"not_applicable")</x:f>
        <x:v>not_applicable</x:v>
      </x:c>
      <x:c r="X22" s="6" t="str">
        <x:f>IF(AND(INDEX('C_jama.2025.11178'!$D$2:$D$38,MATCH("2025::jama.2025.11178::C005",'C_jama.2025.11178'!$A$2:$A$38,0))="retain",OR(INDEX('C_jama.2025.11178'!$E$2:$E$38,MATCH("2025::jama.2025.11178::C005",'C_jama.2025.11178'!$A$2:$A$38,0))="report_internal_inconsistency",INDEX('C_jama.2025.11178'!$E$2:$E$38,MATCH("2025::jama.2025.11178::C005",'C_jama.2025.11178'!$A$2:$A$38,0))="plan_material")),IF(INDEX('C_jama.2025.11178'!$K$2:$K$38,MATCH("2025::jama.2025.11178::C005",'C_jama.2025.11178'!$A$2:$A$38,0))="","",INDEX('C_jama.2025.11178'!$K$2:$K$38,MATCH("2025::jama.2025.11178::C005",'C_jama.2025.11178'!$A$2:$A$38,0))),"not_applicable")</x:f>
        <x:v>not_applicable</x:v>
      </x:c>
      <x:c r="Y22" s="6" t="str">
        <x:f>IF(AND(INDEX('C_jama.2025.11178'!$D$2:$D$38,MATCH("2025::jama.2025.11178::C005",'C_jama.2025.11178'!$A$2:$A$38,0))="retain",INDEX('C_jama.2025.11178'!$E$2:$E$38,MATCH("2025::jama.2025.11178::C005",'C_jama.2025.11178'!$A$2:$A$38,0))="protocol_report"),IF(INDEX('C_jama.2025.11178'!$L$2:$L$38,MATCH("2025::jama.2025.11178::C005",'C_jama.2025.11178'!$A$2:$A$38,0))="","",INDEX('C_jama.2025.11178'!$L$2:$L$38,MATCH("2025::jama.2025.11178::C005",'C_jama.2025.11178'!$A$2:$A$38,0))),"not_applicable")</x:f>
        <x:v>not_applicable</x:v>
      </x:c>
      <x:c r="Z22" s="6" t="str">
        <x:f>IF(INDEX('C_jama.2025.11178'!$R$2:$R$38,MATCH("2025::jama.2025.11178::C005",'C_jama.2025.11178'!$A$2:$A$38,0))="","",INDEX('C_jama.2025.11178'!$R$2:$R$38,MATCH("2025::jama.2025.11178::C005",'C_jama.2025.11178'!$A$2:$A$38,0)))</x:f>
      </x:c>
      <x:c r="AA22" s="6" t="str">
        <x:f>IF(INDEX('C_jama.2025.11178'!$N$2:$N$38,MATCH("2025::jama.2025.11178::C005",'C_jama.2025.11178'!$A$2:$A$38,0))="","",INDEX('C_jama.2025.11178'!$N$2:$N$38,MATCH("2025::jama.2025.11178::C005",'C_jama.2025.11178'!$A$2:$A$38,0)))</x:f>
      </x:c>
      <x:c r="AB22" s="6" t="str">
        <x:f>IF(INDEX('C_jama.2025.11178'!$O$2:$O$38,MATCH("2025::jama.2025.11178::C005",'C_jama.2025.11178'!$A$2:$A$38,0))="","",INDEX('C_jama.2025.11178'!$O$2:$O$38,MATCH("2025::jama.2025.11178::C005",'C_jama.2025.11178'!$A$2:$A$38,0)))</x:f>
      </x:c>
      <x:c r="AC22" s="6" t="str">
        <x:f>IF(INDEX('C_jama.2025.11178'!$P$2:$P$38,MATCH("2025::jama.2025.11178::C005",'C_jama.2025.11178'!$A$2:$A$38,0))="","",INDEX('C_jama.2025.11178'!$P$2:$P$38,MATCH("2025::jama.2025.11178::C005",'C_jama.2025.11178'!$A$2:$A$38,0)))</x:f>
      </x:c>
      <x:c r="AD22" s="6" t="str">
        <x:f>IF(INDEX('C_jama.2025.11178'!$Q$2:$Q$38,MATCH("2025::jama.2025.11178::C005",'C_jama.2025.11178'!$A$2:$A$38,0))="","",INDEX('C_jama.2025.11178'!$Q$2:$Q$38,MATCH("2025::jama.2025.11178::C005",'C_jama.2025.11178'!$A$2:$A$38,0)))</x:f>
      </x:c>
    </x:row>
    <x:row r="23" ht="65" customHeight="1">
      <x:c r="A23" s="3" t="n">
        <x:v>2025</x:v>
      </x:c>
      <x:c r="B23" s="3" t="str">
        <x:v>jama.2025.11178</x:v>
      </x:c>
      <x:c r="C23" s="3" t="str">
        <x:v>2025::jama.2025.11178::C006</x:v>
      </x:c>
      <x:c r="D23" s="3" t="str">
        <x:v>S_W</x:v>
      </x:c>
      <x:c r="E23" s="3" t="n">
        <x:f>Setup!$B$2</x:f>
        <x:v>0</x:v>
      </x:c>
      <x:c r="F23" s="3" t="str">
        <x:f>IF(Setup!$B$4="","",Setup!$B$4)</x:f>
      </x:c>
      <x:c r="G23" s="3" t="str">
        <x:f>IFERROR(INDEX('C_jama.2025.11178'!$G$2:$G$38,MATCH("2025::jama.2025.11178::C006",'C_jama.2025.11178'!$A$2:$A$38,0)),"CHECK KEY")</x:f>
        <x:v>CHECK REVIEWER IDs</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report_internal_inconsistency</x:v>
      </x:c>
      <x:c r="K23" s="3" t="str">
        <x:f>IF(Setup!$B$6="primary","",IFERROR(IF(INDEX('Primary_snapshot'!$B$2:$B$132,MATCH(C23,'Primary_snapshot'!$A$2:$A$132,0))="","",INDEX('Primary_snapshot'!$B$2:$B$132,MATCH(C23,'Primary_snapshot'!$A$2:$A$132,0))),"SNAPSHOT MISSING"))</x:f>
      </x:c>
      <x:c r="L23" s="3" t="str">
        <x:f>IF(Setup!$B$6="primary","",IFERROR(IF(INDEX('Primary_snapshot'!$C$2:$C$132,MATCH(C23,'Primary_snapshot'!$A$2:$A$132,0))="","",INDEX('Primary_snapshot'!$C$2:$C$132,MATCH(C23,'Primary_snapshot'!$A$2:$A$132,0))),"SNAPSHOT MISSING"))</x:f>
      </x:c>
      <x:c r="M23" s="3" t="str">
        <x:f>IF(Setup!$B$6="primary","",IFERROR(IF(INDEX('Primary_snapshot'!$D$2:$D$132,MATCH(C23,'Primary_snapshot'!$A$2:$A$132,0))="","",INDEX('Primary_snapshot'!$D$2:$D$132,MATCH(C23,'Primary_snapshot'!$A$2:$A$132,0))),"SNAPSHOT MISSING"))</x:f>
      </x:c>
      <x:c r="N23" s="3" t="str">
        <x:f>IF(Setup!$B$6="primary","",IFERROR(IF(INDEX('Primary_snapshot'!$E$2:$E$132,MATCH(C23,'Primary_snapshot'!$A$2:$A$132,0))="","",INDEX('Primary_snapshot'!$E$2:$E$132,MATCH(C23,'Primary_snapshot'!$A$2:$A$132,0))),"SNAPSHOT MISSING"))</x:f>
      </x:c>
      <x:c r="O23" s="3" t="str">
        <x:f>IF(Setup!$B$6="primary","",IFERROR(IF(INDEX('Primary_snapshot'!$F$2:$F$132,MATCH(C23,'Primary_snapshot'!$A$2:$A$132,0))="","",INDEX('Primary_snapshot'!$F$2:$F$132,MATCH(C23,'Primary_snapshot'!$A$2:$A$132,0))),"SNAPSHOT MISSING"))</x:f>
      </x:c>
      <x:c r="P23" s="3" t="str">
        <x:f>IF(Setup!$B$6="primary","",IFERROR(IF(INDEX('Primary_snapshot'!$G$2:$G$132,MATCH(C23,'Primary_snapshot'!$A$2:$A$132,0))="","",INDEX('Primary_snapshot'!$G$2:$G$132,MATCH(C23,'Primary_snapshot'!$A$2:$A$132,0))),"SNAPSHOT MISSING"))</x:f>
      </x:c>
      <x:c r="Q23" s="3" t="str">
        <x:f>IF(Setup!$B$6="primary","",IFERROR(IF(INDEX('Primary_snapshot'!$H$2:$H$132,MATCH(C23,'Primary_snapshot'!$A$2:$A$132,0))="","",INDEX('Primary_snapshot'!$H$2:$H$132,MATCH(C23,'Primary_snapshot'!$A$2:$A$132,0))),"SNAPSHOT MISSING"))</x:f>
      </x:c>
      <x:c r="R23" s="3" t="str">
        <x:f>IF(Setup!$B$6="primary","",IFERROR(IF(INDEX('Primary_snapshot'!$I$2:$I$132,MATCH(C23,'Primary_snapshot'!$A$2:$A$132,0))="","",INDEX('Primary_snapshot'!$I$2:$I$132,MATCH(C23,'Primary_snapshot'!$A$2:$A$132,0))),"SNAPSHOT MISSING"))</x:f>
      </x:c>
      <x:c r="S23" s="3" t="str">
        <x:f>IF(INDEX('C_jama.2025.11178'!$D$2:$D$38,MATCH("2025::jama.2025.11178::C006",'C_jama.2025.11178'!$A$2:$A$38,0))="","",INDEX('C_jama.2025.11178'!$D$2:$D$38,MATCH("2025::jama.2025.11178::C006",'C_jama.2025.11178'!$A$2:$A$38,0)))</x:f>
      </x:c>
      <x:c r="T23" s="3" t="str">
        <x:f>IF(INDEX('C_jama.2025.11178'!$E$2:$E$38,MATCH("2025::jama.2025.11178::C006",'C_jama.2025.11178'!$A$2:$A$38,0))="","",INDEX('C_jama.2025.11178'!$E$2:$E$38,MATCH("2025::jama.2025.11178::C006",'C_jama.2025.11178'!$A$2:$A$38,0)))</x:f>
        <x:v>report_internal_inconsistency</x:v>
      </x:c>
      <x:c r="U23" s="3" t="str">
        <x:f>IF(AND(INDEX('C_jama.2025.11178'!$D$2:$D$38,MATCH("2025::jama.2025.11178::C006",'C_jama.2025.11178'!$A$2:$A$38,0))="retain",INDEX('C_jama.2025.11178'!$E$2:$E$38,MATCH("2025::jama.2025.11178::C006",'C_jama.2025.11178'!$A$2:$A$38,0))="statistical_results"),IF(INDEX('C_jama.2025.11178'!$H$2:$H$38,MATCH("2025::jama.2025.11178::C006",'C_jama.2025.11178'!$A$2:$A$38,0))="","",INDEX('C_jama.2025.11178'!$H$2:$H$38,MATCH("2025::jama.2025.11178::C006",'C_jama.2025.11178'!$A$2:$A$38,0))),"not_applicable")</x:f>
        <x:v>not_applicable</x:v>
      </x:c>
      <x:c r="V23" s="3" t="str">
        <x:f>IF(AND(INDEX('C_jama.2025.11178'!$D$2:$D$38,MATCH("2025::jama.2025.11178::C006",'C_jama.2025.11178'!$A$2:$A$38,0))="retain",INDEX('C_jama.2025.11178'!$E$2:$E$38,MATCH("2025::jama.2025.11178::C006",'C_jama.2025.11178'!$A$2:$A$38,0))="statistical_results"),IF(INDEX('C_jama.2025.11178'!$I$2:$I$38,MATCH("2025::jama.2025.11178::C006",'C_jama.2025.11178'!$A$2:$A$38,0))="","",INDEX('C_jama.2025.11178'!$I$2:$I$38,MATCH("2025::jama.2025.11178::C006",'C_jama.2025.11178'!$A$2:$A$38,0))),"not_applicable")</x:f>
        <x:v>not_applicable</x:v>
      </x:c>
      <x:c r="W23" s="3" t="str">
        <x:f>IF(AND(INDEX('C_jama.2025.11178'!$D$2:$D$38,MATCH("2025::jama.2025.11178::C006",'C_jama.2025.11178'!$A$2:$A$38,0))="retain",INDEX('C_jama.2025.11178'!$E$2:$E$38,MATCH("2025::jama.2025.11178::C006",'C_jama.2025.11178'!$A$2:$A$38,0))="statistical_results"),IF(INDEX('C_jama.2025.11178'!$J$2:$J$38,MATCH("2025::jama.2025.11178::C006",'C_jama.2025.11178'!$A$2:$A$38,0))="","",INDEX('C_jama.2025.11178'!$J$2:$J$38,MATCH("2025::jama.2025.11178::C006",'C_jama.2025.11178'!$A$2:$A$38,0))),"not_applicable")</x:f>
        <x:v>not_applicable</x:v>
      </x:c>
      <x:c r="X23" s="3" t="str">
        <x:f>IF(AND(INDEX('C_jama.2025.11178'!$D$2:$D$38,MATCH("2025::jama.2025.11178::C006",'C_jama.2025.11178'!$A$2:$A$38,0))="retain",OR(INDEX('C_jama.2025.11178'!$E$2:$E$38,MATCH("2025::jama.2025.11178::C006",'C_jama.2025.11178'!$A$2:$A$38,0))="report_internal_inconsistency",INDEX('C_jama.2025.11178'!$E$2:$E$38,MATCH("2025::jama.2025.11178::C006",'C_jama.2025.11178'!$A$2:$A$38,0))="plan_material")),IF(INDEX('C_jama.2025.11178'!$K$2:$K$38,MATCH("2025::jama.2025.11178::C006",'C_jama.2025.11178'!$A$2:$A$38,0))="","",INDEX('C_jama.2025.11178'!$K$2:$K$38,MATCH("2025::jama.2025.11178::C006",'C_jama.2025.11178'!$A$2:$A$38,0))),"not_applicable")</x:f>
        <x:v>not_applicable</x:v>
      </x:c>
      <x:c r="Y23" s="3" t="str">
        <x:f>IF(AND(INDEX('C_jama.2025.11178'!$D$2:$D$38,MATCH("2025::jama.2025.11178::C006",'C_jama.2025.11178'!$A$2:$A$38,0))="retain",INDEX('C_jama.2025.11178'!$E$2:$E$38,MATCH("2025::jama.2025.11178::C006",'C_jama.2025.11178'!$A$2:$A$38,0))="protocol_report"),IF(INDEX('C_jama.2025.11178'!$L$2:$L$38,MATCH("2025::jama.2025.11178::C006",'C_jama.2025.11178'!$A$2:$A$38,0))="","",INDEX('C_jama.2025.11178'!$L$2:$L$38,MATCH("2025::jama.2025.11178::C006",'C_jama.2025.11178'!$A$2:$A$38,0))),"not_applicable")</x:f>
        <x:v>not_applicable</x:v>
      </x:c>
      <x:c r="Z23" s="3" t="str">
        <x:f>IF(INDEX('C_jama.2025.11178'!$R$2:$R$38,MATCH("2025::jama.2025.11178::C006",'C_jama.2025.11178'!$A$2:$A$38,0))="","",INDEX('C_jama.2025.11178'!$R$2:$R$38,MATCH("2025::jama.2025.11178::C006",'C_jama.2025.11178'!$A$2:$A$38,0)))</x:f>
      </x:c>
      <x:c r="AA23" s="3" t="str">
        <x:f>IF(INDEX('C_jama.2025.11178'!$N$2:$N$38,MATCH("2025::jama.2025.11178::C006",'C_jama.2025.11178'!$A$2:$A$38,0))="","",INDEX('C_jama.2025.11178'!$N$2:$N$38,MATCH("2025::jama.2025.11178::C006",'C_jama.2025.11178'!$A$2:$A$38,0)))</x:f>
      </x:c>
      <x:c r="AB23" s="3" t="str">
        <x:f>IF(INDEX('C_jama.2025.11178'!$O$2:$O$38,MATCH("2025::jama.2025.11178::C006",'C_jama.2025.11178'!$A$2:$A$38,0))="","",INDEX('C_jama.2025.11178'!$O$2:$O$38,MATCH("2025::jama.2025.11178::C006",'C_jama.2025.11178'!$A$2:$A$38,0)))</x:f>
      </x:c>
      <x:c r="AC23" s="3" t="str">
        <x:f>IF(INDEX('C_jama.2025.11178'!$P$2:$P$38,MATCH("2025::jama.2025.11178::C006",'C_jama.2025.11178'!$A$2:$A$38,0))="","",INDEX('C_jama.2025.11178'!$P$2:$P$38,MATCH("2025::jama.2025.11178::C006",'C_jama.2025.11178'!$A$2:$A$38,0)))</x:f>
      </x:c>
      <x:c r="AD23" s="3" t="str">
        <x:f>IF(INDEX('C_jama.2025.11178'!$Q$2:$Q$38,MATCH("2025::jama.2025.11178::C006",'C_jama.2025.11178'!$A$2:$A$38,0))="","",INDEX('C_jama.2025.11178'!$Q$2:$Q$38,MATCH("2025::jama.2025.11178::C006",'C_jama.2025.11178'!$A$2:$A$38,0)))</x:f>
      </x:c>
    </x:row>
    <x:row r="24" ht="65" customHeight="1">
      <x:c r="A24" s="6" t="n">
        <x:v>2025</x:v>
      </x:c>
      <x:c r="B24" s="6" t="str">
        <x:v>jama.2025.11178</x:v>
      </x:c>
      <x:c r="C24" s="6" t="str">
        <x:v>2025::jama.2025.11178::C007</x:v>
      </x:c>
      <x:c r="D24" s="6" t="str">
        <x:v>S_W</x:v>
      </x:c>
      <x:c r="E24" s="6" t="n">
        <x:f>Setup!$B$2</x:f>
        <x:v>0</x:v>
      </x:c>
      <x:c r="F24" s="6" t="str">
        <x:f>IF(Setup!$B$4="","",Setup!$B$4)</x:f>
      </x:c>
      <x:c r="G24" s="6" t="str">
        <x:f>IFERROR(INDEX('C_jama.2025.11178'!$G$2:$G$38,MATCH("2025::jama.2025.11178::C007",'C_jama.2025.11178'!$A$2:$A$38,0)),"CHECK KEY")</x:f>
        <x:v>CHECK REVIEWER IDs</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report_internal_inconsistency</x:v>
      </x:c>
      <x:c r="K24" s="6" t="str">
        <x:f>IF(Setup!$B$6="primary","",IFERROR(IF(INDEX('Primary_snapshot'!$B$2:$B$132,MATCH(C24,'Primary_snapshot'!$A$2:$A$132,0))="","",INDEX('Primary_snapshot'!$B$2:$B$132,MATCH(C24,'Primary_snapshot'!$A$2:$A$132,0))),"SNAPSHOT MISSING"))</x:f>
      </x:c>
      <x:c r="L24" s="6" t="str">
        <x:f>IF(Setup!$B$6="primary","",IFERROR(IF(INDEX('Primary_snapshot'!$C$2:$C$132,MATCH(C24,'Primary_snapshot'!$A$2:$A$132,0))="","",INDEX('Primary_snapshot'!$C$2:$C$132,MATCH(C24,'Primary_snapshot'!$A$2:$A$132,0))),"SNAPSHOT MISSING"))</x:f>
      </x:c>
      <x:c r="M24" s="6" t="str">
        <x:f>IF(Setup!$B$6="primary","",IFERROR(IF(INDEX('Primary_snapshot'!$D$2:$D$132,MATCH(C24,'Primary_snapshot'!$A$2:$A$132,0))="","",INDEX('Primary_snapshot'!$D$2:$D$132,MATCH(C24,'Primary_snapshot'!$A$2:$A$132,0))),"SNAPSHOT MISSING"))</x:f>
      </x:c>
      <x:c r="N24" s="6" t="str">
        <x:f>IF(Setup!$B$6="primary","",IFERROR(IF(INDEX('Primary_snapshot'!$E$2:$E$132,MATCH(C24,'Primary_snapshot'!$A$2:$A$132,0))="","",INDEX('Primary_snapshot'!$E$2:$E$132,MATCH(C24,'Primary_snapshot'!$A$2:$A$132,0))),"SNAPSHOT MISSING"))</x:f>
      </x:c>
      <x:c r="O24" s="6" t="str">
        <x:f>IF(Setup!$B$6="primary","",IFERROR(IF(INDEX('Primary_snapshot'!$F$2:$F$132,MATCH(C24,'Primary_snapshot'!$A$2:$A$132,0))="","",INDEX('Primary_snapshot'!$F$2:$F$132,MATCH(C24,'Primary_snapshot'!$A$2:$A$132,0))),"SNAPSHOT MISSING"))</x:f>
      </x:c>
      <x:c r="P24" s="6" t="str">
        <x:f>IF(Setup!$B$6="primary","",IFERROR(IF(INDEX('Primary_snapshot'!$G$2:$G$132,MATCH(C24,'Primary_snapshot'!$A$2:$A$132,0))="","",INDEX('Primary_snapshot'!$G$2:$G$132,MATCH(C24,'Primary_snapshot'!$A$2:$A$132,0))),"SNAPSHOT MISSING"))</x:f>
      </x:c>
      <x:c r="Q24" s="6" t="str">
        <x:f>IF(Setup!$B$6="primary","",IFERROR(IF(INDEX('Primary_snapshot'!$H$2:$H$132,MATCH(C24,'Primary_snapshot'!$A$2:$A$132,0))="","",INDEX('Primary_snapshot'!$H$2:$H$132,MATCH(C24,'Primary_snapshot'!$A$2:$A$132,0))),"SNAPSHOT MISSING"))</x:f>
      </x:c>
      <x:c r="R24" s="6" t="str">
        <x:f>IF(Setup!$B$6="primary","",IFERROR(IF(INDEX('Primary_snapshot'!$I$2:$I$132,MATCH(C24,'Primary_snapshot'!$A$2:$A$132,0))="","",INDEX('Primary_snapshot'!$I$2:$I$132,MATCH(C24,'Primary_snapshot'!$A$2:$A$132,0))),"SNAPSHOT MISSING"))</x:f>
      </x:c>
      <x:c r="S24" s="6" t="str">
        <x:f>IF(INDEX('C_jama.2025.11178'!$D$2:$D$38,MATCH("2025::jama.2025.11178::C007",'C_jama.2025.11178'!$A$2:$A$38,0))="","",INDEX('C_jama.2025.11178'!$D$2:$D$38,MATCH("2025::jama.2025.11178::C007",'C_jama.2025.11178'!$A$2:$A$38,0)))</x:f>
      </x:c>
      <x:c r="T24" s="6" t="str">
        <x:f>IF(INDEX('C_jama.2025.11178'!$E$2:$E$38,MATCH("2025::jama.2025.11178::C007",'C_jama.2025.11178'!$A$2:$A$38,0))="","",INDEX('C_jama.2025.11178'!$E$2:$E$38,MATCH("2025::jama.2025.11178::C007",'C_jama.2025.11178'!$A$2:$A$38,0)))</x:f>
        <x:v>report_internal_inconsistency</x:v>
      </x:c>
      <x:c r="U24" s="6" t="str">
        <x:f>IF(AND(INDEX('C_jama.2025.11178'!$D$2:$D$38,MATCH("2025::jama.2025.11178::C007",'C_jama.2025.11178'!$A$2:$A$38,0))="retain",INDEX('C_jama.2025.11178'!$E$2:$E$38,MATCH("2025::jama.2025.11178::C007",'C_jama.2025.11178'!$A$2:$A$38,0))="statistical_results"),IF(INDEX('C_jama.2025.11178'!$H$2:$H$38,MATCH("2025::jama.2025.11178::C007",'C_jama.2025.11178'!$A$2:$A$38,0))="","",INDEX('C_jama.2025.11178'!$H$2:$H$38,MATCH("2025::jama.2025.11178::C007",'C_jama.2025.11178'!$A$2:$A$38,0))),"not_applicable")</x:f>
        <x:v>not_applicable</x:v>
      </x:c>
      <x:c r="V24" s="6" t="str">
        <x:f>IF(AND(INDEX('C_jama.2025.11178'!$D$2:$D$38,MATCH("2025::jama.2025.11178::C007",'C_jama.2025.11178'!$A$2:$A$38,0))="retain",INDEX('C_jama.2025.11178'!$E$2:$E$38,MATCH("2025::jama.2025.11178::C007",'C_jama.2025.11178'!$A$2:$A$38,0))="statistical_results"),IF(INDEX('C_jama.2025.11178'!$I$2:$I$38,MATCH("2025::jama.2025.11178::C007",'C_jama.2025.11178'!$A$2:$A$38,0))="","",INDEX('C_jama.2025.11178'!$I$2:$I$38,MATCH("2025::jama.2025.11178::C007",'C_jama.2025.11178'!$A$2:$A$38,0))),"not_applicable")</x:f>
        <x:v>not_applicable</x:v>
      </x:c>
      <x:c r="W24" s="6" t="str">
        <x:f>IF(AND(INDEX('C_jama.2025.11178'!$D$2:$D$38,MATCH("2025::jama.2025.11178::C007",'C_jama.2025.11178'!$A$2:$A$38,0))="retain",INDEX('C_jama.2025.11178'!$E$2:$E$38,MATCH("2025::jama.2025.11178::C007",'C_jama.2025.11178'!$A$2:$A$38,0))="statistical_results"),IF(INDEX('C_jama.2025.11178'!$J$2:$J$38,MATCH("2025::jama.2025.11178::C007",'C_jama.2025.11178'!$A$2:$A$38,0))="","",INDEX('C_jama.2025.11178'!$J$2:$J$38,MATCH("2025::jama.2025.11178::C007",'C_jama.2025.11178'!$A$2:$A$38,0))),"not_applicable")</x:f>
        <x:v>not_applicable</x:v>
      </x:c>
      <x:c r="X24" s="6" t="str">
        <x:f>IF(AND(INDEX('C_jama.2025.11178'!$D$2:$D$38,MATCH("2025::jama.2025.11178::C007",'C_jama.2025.11178'!$A$2:$A$38,0))="retain",OR(INDEX('C_jama.2025.11178'!$E$2:$E$38,MATCH("2025::jama.2025.11178::C007",'C_jama.2025.11178'!$A$2:$A$38,0))="report_internal_inconsistency",INDEX('C_jama.2025.11178'!$E$2:$E$38,MATCH("2025::jama.2025.11178::C007",'C_jama.2025.11178'!$A$2:$A$38,0))="plan_material")),IF(INDEX('C_jama.2025.11178'!$K$2:$K$38,MATCH("2025::jama.2025.11178::C007",'C_jama.2025.11178'!$A$2:$A$38,0))="","",INDEX('C_jama.2025.11178'!$K$2:$K$38,MATCH("2025::jama.2025.11178::C007",'C_jama.2025.11178'!$A$2:$A$38,0))),"not_applicable")</x:f>
        <x:v>not_applicable</x:v>
      </x:c>
      <x:c r="Y24" s="6" t="str">
        <x:f>IF(AND(INDEX('C_jama.2025.11178'!$D$2:$D$38,MATCH("2025::jama.2025.11178::C007",'C_jama.2025.11178'!$A$2:$A$38,0))="retain",INDEX('C_jama.2025.11178'!$E$2:$E$38,MATCH("2025::jama.2025.11178::C007",'C_jama.2025.11178'!$A$2:$A$38,0))="protocol_report"),IF(INDEX('C_jama.2025.11178'!$L$2:$L$38,MATCH("2025::jama.2025.11178::C007",'C_jama.2025.11178'!$A$2:$A$38,0))="","",INDEX('C_jama.2025.11178'!$L$2:$L$38,MATCH("2025::jama.2025.11178::C007",'C_jama.2025.11178'!$A$2:$A$38,0))),"not_applicable")</x:f>
        <x:v>not_applicable</x:v>
      </x:c>
      <x:c r="Z24" s="6" t="str">
        <x:f>IF(INDEX('C_jama.2025.11178'!$R$2:$R$38,MATCH("2025::jama.2025.11178::C007",'C_jama.2025.11178'!$A$2:$A$38,0))="","",INDEX('C_jama.2025.11178'!$R$2:$R$38,MATCH("2025::jama.2025.11178::C007",'C_jama.2025.11178'!$A$2:$A$38,0)))</x:f>
      </x:c>
      <x:c r="AA24" s="6" t="str">
        <x:f>IF(INDEX('C_jama.2025.11178'!$N$2:$N$38,MATCH("2025::jama.2025.11178::C007",'C_jama.2025.11178'!$A$2:$A$38,0))="","",INDEX('C_jama.2025.11178'!$N$2:$N$38,MATCH("2025::jama.2025.11178::C007",'C_jama.2025.11178'!$A$2:$A$38,0)))</x:f>
      </x:c>
      <x:c r="AB24" s="6" t="str">
        <x:f>IF(INDEX('C_jama.2025.11178'!$O$2:$O$38,MATCH("2025::jama.2025.11178::C007",'C_jama.2025.11178'!$A$2:$A$38,0))="","",INDEX('C_jama.2025.11178'!$O$2:$O$38,MATCH("2025::jama.2025.11178::C007",'C_jama.2025.11178'!$A$2:$A$38,0)))</x:f>
      </x:c>
      <x:c r="AC24" s="6" t="str">
        <x:f>IF(INDEX('C_jama.2025.11178'!$P$2:$P$38,MATCH("2025::jama.2025.11178::C007",'C_jama.2025.11178'!$A$2:$A$38,0))="","",INDEX('C_jama.2025.11178'!$P$2:$P$38,MATCH("2025::jama.2025.11178::C007",'C_jama.2025.11178'!$A$2:$A$38,0)))</x:f>
      </x:c>
      <x:c r="AD24" s="6" t="str">
        <x:f>IF(INDEX('C_jama.2025.11178'!$Q$2:$Q$38,MATCH("2025::jama.2025.11178::C007",'C_jama.2025.11178'!$A$2:$A$38,0))="","",INDEX('C_jama.2025.11178'!$Q$2:$Q$38,MATCH("2025::jama.2025.11178::C007",'C_jama.2025.11178'!$A$2:$A$38,0)))</x:f>
      </x:c>
    </x:row>
    <x:row r="25" ht="65" customHeight="1">
      <x:c r="A25" s="3" t="n">
        <x:v>2025</x:v>
      </x:c>
      <x:c r="B25" s="3" t="str">
        <x:v>jama.2025.11178</x:v>
      </x:c>
      <x:c r="C25" s="3" t="str">
        <x:v>2025::jama.2025.11178::C008</x:v>
      </x:c>
      <x:c r="D25" s="3" t="str">
        <x:v>S_W</x:v>
      </x:c>
      <x:c r="E25" s="3" t="n">
        <x:f>Setup!$B$2</x:f>
        <x:v>0</x:v>
      </x:c>
      <x:c r="F25" s="3" t="str">
        <x:f>IF(Setup!$B$4="","",Setup!$B$4)</x:f>
      </x:c>
      <x:c r="G25" s="3" t="str">
        <x:f>IFERROR(INDEX('C_jama.2025.11178'!$G$2:$G$38,MATCH("2025::jama.2025.11178::C008",'C_jama.2025.11178'!$A$2:$A$38,0)),"CHECK KEY")</x:f>
        <x:v>CHECK REVIEWER IDs</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statistical_results</x:v>
      </x:c>
      <x:c r="K25" s="3" t="str">
        <x:f>IF(Setup!$B$6="primary","",IFERROR(IF(INDEX('Primary_snapshot'!$B$2:$B$132,MATCH(C25,'Primary_snapshot'!$A$2:$A$132,0))="","",INDEX('Primary_snapshot'!$B$2:$B$132,MATCH(C25,'Primary_snapshot'!$A$2:$A$132,0))),"SNAPSHOT MISSING"))</x:f>
      </x:c>
      <x:c r="L25" s="3" t="str">
        <x:f>IF(Setup!$B$6="primary","",IFERROR(IF(INDEX('Primary_snapshot'!$C$2:$C$132,MATCH(C25,'Primary_snapshot'!$A$2:$A$132,0))="","",INDEX('Primary_snapshot'!$C$2:$C$132,MATCH(C25,'Primary_snapshot'!$A$2:$A$132,0))),"SNAPSHOT MISSING"))</x:f>
      </x:c>
      <x:c r="M25" s="3" t="str">
        <x:f>IF(Setup!$B$6="primary","",IFERROR(IF(INDEX('Primary_snapshot'!$D$2:$D$132,MATCH(C25,'Primary_snapshot'!$A$2:$A$132,0))="","",INDEX('Primary_snapshot'!$D$2:$D$132,MATCH(C25,'Primary_snapshot'!$A$2:$A$132,0))),"SNAPSHOT MISSING"))</x:f>
      </x:c>
      <x:c r="N25" s="3" t="str">
        <x:f>IF(Setup!$B$6="primary","",IFERROR(IF(INDEX('Primary_snapshot'!$E$2:$E$132,MATCH(C25,'Primary_snapshot'!$A$2:$A$132,0))="","",INDEX('Primary_snapshot'!$E$2:$E$132,MATCH(C25,'Primary_snapshot'!$A$2:$A$132,0))),"SNAPSHOT MISSING"))</x:f>
      </x:c>
      <x:c r="O25" s="3" t="str">
        <x:f>IF(Setup!$B$6="primary","",IFERROR(IF(INDEX('Primary_snapshot'!$F$2:$F$132,MATCH(C25,'Primary_snapshot'!$A$2:$A$132,0))="","",INDEX('Primary_snapshot'!$F$2:$F$132,MATCH(C25,'Primary_snapshot'!$A$2:$A$132,0))),"SNAPSHOT MISSING"))</x:f>
      </x:c>
      <x:c r="P25" s="3" t="str">
        <x:f>IF(Setup!$B$6="primary","",IFERROR(IF(INDEX('Primary_snapshot'!$G$2:$G$132,MATCH(C25,'Primary_snapshot'!$A$2:$A$132,0))="","",INDEX('Primary_snapshot'!$G$2:$G$132,MATCH(C25,'Primary_snapshot'!$A$2:$A$132,0))),"SNAPSHOT MISSING"))</x:f>
      </x:c>
      <x:c r="Q25" s="3" t="str">
        <x:f>IF(Setup!$B$6="primary","",IFERROR(IF(INDEX('Primary_snapshot'!$H$2:$H$132,MATCH(C25,'Primary_snapshot'!$A$2:$A$132,0))="","",INDEX('Primary_snapshot'!$H$2:$H$132,MATCH(C25,'Primary_snapshot'!$A$2:$A$132,0))),"SNAPSHOT MISSING"))</x:f>
      </x:c>
      <x:c r="R25" s="3" t="str">
        <x:f>IF(Setup!$B$6="primary","",IFERROR(IF(INDEX('Primary_snapshot'!$I$2:$I$132,MATCH(C25,'Primary_snapshot'!$A$2:$A$132,0))="","",INDEX('Primary_snapshot'!$I$2:$I$132,MATCH(C25,'Primary_snapshot'!$A$2:$A$132,0))),"SNAPSHOT MISSING"))</x:f>
      </x:c>
      <x:c r="S25" s="3" t="str">
        <x:f>IF(INDEX('C_jama.2025.11178'!$D$2:$D$38,MATCH("2025::jama.2025.11178::C008",'C_jama.2025.11178'!$A$2:$A$38,0))="","",INDEX('C_jama.2025.11178'!$D$2:$D$38,MATCH("2025::jama.2025.11178::C008",'C_jama.2025.11178'!$A$2:$A$38,0)))</x:f>
      </x:c>
      <x:c r="T25" s="3" t="str">
        <x:f>IF(INDEX('C_jama.2025.11178'!$E$2:$E$38,MATCH("2025::jama.2025.11178::C008",'C_jama.2025.11178'!$A$2:$A$38,0))="","",INDEX('C_jama.2025.11178'!$E$2:$E$38,MATCH("2025::jama.2025.11178::C008",'C_jama.2025.11178'!$A$2:$A$38,0)))</x:f>
        <x:v>statistical_results</x:v>
      </x:c>
      <x:c r="U25" s="3" t="str">
        <x:f>IF(AND(INDEX('C_jama.2025.11178'!$D$2:$D$38,MATCH("2025::jama.2025.11178::C008",'C_jama.2025.11178'!$A$2:$A$38,0))="retain",INDEX('C_jama.2025.11178'!$E$2:$E$38,MATCH("2025::jama.2025.11178::C008",'C_jama.2025.11178'!$A$2:$A$38,0))="statistical_results"),IF(INDEX('C_jama.2025.11178'!$H$2:$H$38,MATCH("2025::jama.2025.11178::C008",'C_jama.2025.11178'!$A$2:$A$38,0))="","",INDEX('C_jama.2025.11178'!$H$2:$H$38,MATCH("2025::jama.2025.11178::C008",'C_jama.2025.11178'!$A$2:$A$38,0))),"not_applicable")</x:f>
        <x:v>not_applicable</x:v>
      </x:c>
      <x:c r="V25" s="3" t="str">
        <x:f>IF(AND(INDEX('C_jama.2025.11178'!$D$2:$D$38,MATCH("2025::jama.2025.11178::C008",'C_jama.2025.11178'!$A$2:$A$38,0))="retain",INDEX('C_jama.2025.11178'!$E$2:$E$38,MATCH("2025::jama.2025.11178::C008",'C_jama.2025.11178'!$A$2:$A$38,0))="statistical_results"),IF(INDEX('C_jama.2025.11178'!$I$2:$I$38,MATCH("2025::jama.2025.11178::C008",'C_jama.2025.11178'!$A$2:$A$38,0))="","",INDEX('C_jama.2025.11178'!$I$2:$I$38,MATCH("2025::jama.2025.11178::C008",'C_jama.2025.11178'!$A$2:$A$38,0))),"not_applicable")</x:f>
        <x:v>not_applicable</x:v>
      </x:c>
      <x:c r="W25" s="3" t="str">
        <x:f>IF(AND(INDEX('C_jama.2025.11178'!$D$2:$D$38,MATCH("2025::jama.2025.11178::C008",'C_jama.2025.11178'!$A$2:$A$38,0))="retain",INDEX('C_jama.2025.11178'!$E$2:$E$38,MATCH("2025::jama.2025.11178::C008",'C_jama.2025.11178'!$A$2:$A$38,0))="statistical_results"),IF(INDEX('C_jama.2025.11178'!$J$2:$J$38,MATCH("2025::jama.2025.11178::C008",'C_jama.2025.11178'!$A$2:$A$38,0))="","",INDEX('C_jama.2025.11178'!$J$2:$J$38,MATCH("2025::jama.2025.11178::C008",'C_jama.2025.11178'!$A$2:$A$38,0))),"not_applicable")</x:f>
        <x:v>not_applicable</x:v>
      </x:c>
      <x:c r="X25" s="3" t="str">
        <x:f>IF(AND(INDEX('C_jama.2025.11178'!$D$2:$D$38,MATCH("2025::jama.2025.11178::C008",'C_jama.2025.11178'!$A$2:$A$38,0))="retain",OR(INDEX('C_jama.2025.11178'!$E$2:$E$38,MATCH("2025::jama.2025.11178::C008",'C_jama.2025.11178'!$A$2:$A$38,0))="report_internal_inconsistency",INDEX('C_jama.2025.11178'!$E$2:$E$38,MATCH("2025::jama.2025.11178::C008",'C_jama.2025.11178'!$A$2:$A$38,0))="plan_material")),IF(INDEX('C_jama.2025.11178'!$K$2:$K$38,MATCH("2025::jama.2025.11178::C008",'C_jama.2025.11178'!$A$2:$A$38,0))="","",INDEX('C_jama.2025.11178'!$K$2:$K$38,MATCH("2025::jama.2025.11178::C008",'C_jama.2025.11178'!$A$2:$A$38,0))),"not_applicable")</x:f>
        <x:v>not_applicable</x:v>
      </x:c>
      <x:c r="Y25" s="3" t="str">
        <x:f>IF(AND(INDEX('C_jama.2025.11178'!$D$2:$D$38,MATCH("2025::jama.2025.11178::C008",'C_jama.2025.11178'!$A$2:$A$38,0))="retain",INDEX('C_jama.2025.11178'!$E$2:$E$38,MATCH("2025::jama.2025.11178::C008",'C_jama.2025.11178'!$A$2:$A$38,0))="protocol_report"),IF(INDEX('C_jama.2025.11178'!$L$2:$L$38,MATCH("2025::jama.2025.11178::C008",'C_jama.2025.11178'!$A$2:$A$38,0))="","",INDEX('C_jama.2025.11178'!$L$2:$L$38,MATCH("2025::jama.2025.11178::C008",'C_jama.2025.11178'!$A$2:$A$38,0))),"not_applicable")</x:f>
        <x:v>not_applicable</x:v>
      </x:c>
      <x:c r="Z25" s="3" t="str">
        <x:f>IF(INDEX('C_jama.2025.11178'!$R$2:$R$38,MATCH("2025::jama.2025.11178::C008",'C_jama.2025.11178'!$A$2:$A$38,0))="","",INDEX('C_jama.2025.11178'!$R$2:$R$38,MATCH("2025::jama.2025.11178::C008",'C_jama.2025.11178'!$A$2:$A$38,0)))</x:f>
      </x:c>
      <x:c r="AA25" s="3" t="str">
        <x:f>IF(INDEX('C_jama.2025.11178'!$N$2:$N$38,MATCH("2025::jama.2025.11178::C008",'C_jama.2025.11178'!$A$2:$A$38,0))="","",INDEX('C_jama.2025.11178'!$N$2:$N$38,MATCH("2025::jama.2025.11178::C008",'C_jama.2025.11178'!$A$2:$A$38,0)))</x:f>
      </x:c>
      <x:c r="AB25" s="3" t="str">
        <x:f>IF(INDEX('C_jama.2025.11178'!$O$2:$O$38,MATCH("2025::jama.2025.11178::C008",'C_jama.2025.11178'!$A$2:$A$38,0))="","",INDEX('C_jama.2025.11178'!$O$2:$O$38,MATCH("2025::jama.2025.11178::C008",'C_jama.2025.11178'!$A$2:$A$38,0)))</x:f>
      </x:c>
      <x:c r="AC25" s="3" t="str">
        <x:f>IF(INDEX('C_jama.2025.11178'!$P$2:$P$38,MATCH("2025::jama.2025.11178::C008",'C_jama.2025.11178'!$A$2:$A$38,0))="","",INDEX('C_jama.2025.11178'!$P$2:$P$38,MATCH("2025::jama.2025.11178::C008",'C_jama.2025.11178'!$A$2:$A$38,0)))</x:f>
      </x:c>
      <x:c r="AD25" s="3" t="str">
        <x:f>IF(INDEX('C_jama.2025.11178'!$Q$2:$Q$38,MATCH("2025::jama.2025.11178::C008",'C_jama.2025.11178'!$A$2:$A$38,0))="","",INDEX('C_jama.2025.11178'!$Q$2:$Q$38,MATCH("2025::jama.2025.11178::C008",'C_jama.2025.11178'!$A$2:$A$38,0)))</x:f>
      </x:c>
    </x:row>
    <x:row r="26" ht="65" customHeight="1">
      <x:c r="A26" s="6" t="n">
        <x:v>2025</x:v>
      </x:c>
      <x:c r="B26" s="6" t="str">
        <x:v>jama.2025.11178</x:v>
      </x:c>
      <x:c r="C26" s="6" t="str">
        <x:v>2025::jama.2025.11178::C009</x:v>
      </x:c>
      <x:c r="D26" s="6" t="str">
        <x:v>S_W</x:v>
      </x:c>
      <x:c r="E26" s="6" t="n">
        <x:f>Setup!$B$2</x:f>
        <x:v>0</x:v>
      </x:c>
      <x:c r="F26" s="6" t="str">
        <x:f>IF(Setup!$B$4="","",Setup!$B$4)</x:f>
      </x:c>
      <x:c r="G26" s="6" t="str">
        <x:f>IFERROR(INDEX('C_jama.2025.11178'!$G$2:$G$38,MATCH("2025::jama.2025.11178::C009",'C_jama.2025.11178'!$A$2:$A$38,0)),"CHECK KEY")</x:f>
        <x:v>CHECK REVIEWER IDs</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IF(Setup!$B$6="primary","",IFERROR(IF(INDEX('Primary_snapshot'!$B$2:$B$132,MATCH(C26,'Primary_snapshot'!$A$2:$A$132,0))="","",INDEX('Primary_snapshot'!$B$2:$B$132,MATCH(C26,'Primary_snapshot'!$A$2:$A$132,0))),"SNAPSHOT MISSING"))</x:f>
      </x:c>
      <x:c r="L26" s="6" t="str">
        <x:f>IF(Setup!$B$6="primary","",IFERROR(IF(INDEX('Primary_snapshot'!$C$2:$C$132,MATCH(C26,'Primary_snapshot'!$A$2:$A$132,0))="","",INDEX('Primary_snapshot'!$C$2:$C$132,MATCH(C26,'Primary_snapshot'!$A$2:$A$132,0))),"SNAPSHOT MISSING"))</x:f>
      </x:c>
      <x:c r="M26" s="6" t="str">
        <x:f>IF(Setup!$B$6="primary","",IFERROR(IF(INDEX('Primary_snapshot'!$D$2:$D$132,MATCH(C26,'Primary_snapshot'!$A$2:$A$132,0))="","",INDEX('Primary_snapshot'!$D$2:$D$132,MATCH(C26,'Primary_snapshot'!$A$2:$A$132,0))),"SNAPSHOT MISSING"))</x:f>
      </x:c>
      <x:c r="N26" s="6" t="str">
        <x:f>IF(Setup!$B$6="primary","",IFERROR(IF(INDEX('Primary_snapshot'!$E$2:$E$132,MATCH(C26,'Primary_snapshot'!$A$2:$A$132,0))="","",INDEX('Primary_snapshot'!$E$2:$E$132,MATCH(C26,'Primary_snapshot'!$A$2:$A$132,0))),"SNAPSHOT MISSING"))</x:f>
      </x:c>
      <x:c r="O26" s="6" t="str">
        <x:f>IF(Setup!$B$6="primary","",IFERROR(IF(INDEX('Primary_snapshot'!$F$2:$F$132,MATCH(C26,'Primary_snapshot'!$A$2:$A$132,0))="","",INDEX('Primary_snapshot'!$F$2:$F$132,MATCH(C26,'Primary_snapshot'!$A$2:$A$132,0))),"SNAPSHOT MISSING"))</x:f>
      </x:c>
      <x:c r="P26" s="6" t="str">
        <x:f>IF(Setup!$B$6="primary","",IFERROR(IF(INDEX('Primary_snapshot'!$G$2:$G$132,MATCH(C26,'Primary_snapshot'!$A$2:$A$132,0))="","",INDEX('Primary_snapshot'!$G$2:$G$132,MATCH(C26,'Primary_snapshot'!$A$2:$A$132,0))),"SNAPSHOT MISSING"))</x:f>
      </x:c>
      <x:c r="Q26" s="6" t="str">
        <x:f>IF(Setup!$B$6="primary","",IFERROR(IF(INDEX('Primary_snapshot'!$H$2:$H$132,MATCH(C26,'Primary_snapshot'!$A$2:$A$132,0))="","",INDEX('Primary_snapshot'!$H$2:$H$132,MATCH(C26,'Primary_snapshot'!$A$2:$A$132,0))),"SNAPSHOT MISSING"))</x:f>
      </x:c>
      <x:c r="R26" s="6" t="str">
        <x:f>IF(Setup!$B$6="primary","",IFERROR(IF(INDEX('Primary_snapshot'!$I$2:$I$132,MATCH(C26,'Primary_snapshot'!$A$2:$A$132,0))="","",INDEX('Primary_snapshot'!$I$2:$I$132,MATCH(C26,'Primary_snapshot'!$A$2:$A$132,0))),"SNAPSHOT MISSING"))</x:f>
      </x:c>
      <x:c r="S26" s="6" t="str">
        <x:f>IF(INDEX('C_jama.2025.11178'!$D$2:$D$38,MATCH("2025::jama.2025.11178::C009",'C_jama.2025.11178'!$A$2:$A$38,0))="","",INDEX('C_jama.2025.11178'!$D$2:$D$38,MATCH("2025::jama.2025.11178::C009",'C_jama.2025.11178'!$A$2:$A$38,0)))</x:f>
      </x:c>
      <x:c r="T26" s="6" t="str">
        <x:f>IF(INDEX('C_jama.2025.11178'!$E$2:$E$38,MATCH("2025::jama.2025.11178::C009",'C_jama.2025.11178'!$A$2:$A$38,0))="","",INDEX('C_jama.2025.11178'!$E$2:$E$38,MATCH("2025::jama.2025.11178::C009",'C_jama.2025.11178'!$A$2:$A$38,0)))</x:f>
        <x:v>statistical_results</x:v>
      </x:c>
      <x:c r="U26" s="6" t="str">
        <x:f>IF(AND(INDEX('C_jama.2025.11178'!$D$2:$D$38,MATCH("2025::jama.2025.11178::C009",'C_jama.2025.11178'!$A$2:$A$38,0))="retain",INDEX('C_jama.2025.11178'!$E$2:$E$38,MATCH("2025::jama.2025.11178::C009",'C_jama.2025.11178'!$A$2:$A$38,0))="statistical_results"),IF(INDEX('C_jama.2025.11178'!$H$2:$H$38,MATCH("2025::jama.2025.11178::C009",'C_jama.2025.11178'!$A$2:$A$38,0))="","",INDEX('C_jama.2025.11178'!$H$2:$H$38,MATCH("2025::jama.2025.11178::C009",'C_jama.2025.11178'!$A$2:$A$38,0))),"not_applicable")</x:f>
        <x:v>not_applicable</x:v>
      </x:c>
      <x:c r="V26" s="6" t="str">
        <x:f>IF(AND(INDEX('C_jama.2025.11178'!$D$2:$D$38,MATCH("2025::jama.2025.11178::C009",'C_jama.2025.11178'!$A$2:$A$38,0))="retain",INDEX('C_jama.2025.11178'!$E$2:$E$38,MATCH("2025::jama.2025.11178::C009",'C_jama.2025.11178'!$A$2:$A$38,0))="statistical_results"),IF(INDEX('C_jama.2025.11178'!$I$2:$I$38,MATCH("2025::jama.2025.11178::C009",'C_jama.2025.11178'!$A$2:$A$38,0))="","",INDEX('C_jama.2025.11178'!$I$2:$I$38,MATCH("2025::jama.2025.11178::C009",'C_jama.2025.11178'!$A$2:$A$38,0))),"not_applicable")</x:f>
        <x:v>not_applicable</x:v>
      </x:c>
      <x:c r="W26" s="6" t="str">
        <x:f>IF(AND(INDEX('C_jama.2025.11178'!$D$2:$D$38,MATCH("2025::jama.2025.11178::C009",'C_jama.2025.11178'!$A$2:$A$38,0))="retain",INDEX('C_jama.2025.11178'!$E$2:$E$38,MATCH("2025::jama.2025.11178::C009",'C_jama.2025.11178'!$A$2:$A$38,0))="statistical_results"),IF(INDEX('C_jama.2025.11178'!$J$2:$J$38,MATCH("2025::jama.2025.11178::C009",'C_jama.2025.11178'!$A$2:$A$38,0))="","",INDEX('C_jama.2025.11178'!$J$2:$J$38,MATCH("2025::jama.2025.11178::C009",'C_jama.2025.11178'!$A$2:$A$38,0))),"not_applicable")</x:f>
        <x:v>not_applicable</x:v>
      </x:c>
      <x:c r="X26" s="6" t="str">
        <x:f>IF(AND(INDEX('C_jama.2025.11178'!$D$2:$D$38,MATCH("2025::jama.2025.11178::C009",'C_jama.2025.11178'!$A$2:$A$38,0))="retain",OR(INDEX('C_jama.2025.11178'!$E$2:$E$38,MATCH("2025::jama.2025.11178::C009",'C_jama.2025.11178'!$A$2:$A$38,0))="report_internal_inconsistency",INDEX('C_jama.2025.11178'!$E$2:$E$38,MATCH("2025::jama.2025.11178::C009",'C_jama.2025.11178'!$A$2:$A$38,0))="plan_material")),IF(INDEX('C_jama.2025.11178'!$K$2:$K$38,MATCH("2025::jama.2025.11178::C009",'C_jama.2025.11178'!$A$2:$A$38,0))="","",INDEX('C_jama.2025.11178'!$K$2:$K$38,MATCH("2025::jama.2025.11178::C009",'C_jama.2025.11178'!$A$2:$A$38,0))),"not_applicable")</x:f>
        <x:v>not_applicable</x:v>
      </x:c>
      <x:c r="Y26" s="6" t="str">
        <x:f>IF(AND(INDEX('C_jama.2025.11178'!$D$2:$D$38,MATCH("2025::jama.2025.11178::C009",'C_jama.2025.11178'!$A$2:$A$38,0))="retain",INDEX('C_jama.2025.11178'!$E$2:$E$38,MATCH("2025::jama.2025.11178::C009",'C_jama.2025.11178'!$A$2:$A$38,0))="protocol_report"),IF(INDEX('C_jama.2025.11178'!$L$2:$L$38,MATCH("2025::jama.2025.11178::C009",'C_jama.2025.11178'!$A$2:$A$38,0))="","",INDEX('C_jama.2025.11178'!$L$2:$L$38,MATCH("2025::jama.2025.11178::C009",'C_jama.2025.11178'!$A$2:$A$38,0))),"not_applicable")</x:f>
        <x:v>not_applicable</x:v>
      </x:c>
      <x:c r="Z26" s="6" t="str">
        <x:f>IF(INDEX('C_jama.2025.11178'!$R$2:$R$38,MATCH("2025::jama.2025.11178::C009",'C_jama.2025.11178'!$A$2:$A$38,0))="","",INDEX('C_jama.2025.11178'!$R$2:$R$38,MATCH("2025::jama.2025.11178::C009",'C_jama.2025.11178'!$A$2:$A$38,0)))</x:f>
      </x:c>
      <x:c r="AA26" s="6" t="str">
        <x:f>IF(INDEX('C_jama.2025.11178'!$N$2:$N$38,MATCH("2025::jama.2025.11178::C009",'C_jama.2025.11178'!$A$2:$A$38,0))="","",INDEX('C_jama.2025.11178'!$N$2:$N$38,MATCH("2025::jama.2025.11178::C009",'C_jama.2025.11178'!$A$2:$A$38,0)))</x:f>
      </x:c>
      <x:c r="AB26" s="6" t="str">
        <x:f>IF(INDEX('C_jama.2025.11178'!$O$2:$O$38,MATCH("2025::jama.2025.11178::C009",'C_jama.2025.11178'!$A$2:$A$38,0))="","",INDEX('C_jama.2025.11178'!$O$2:$O$38,MATCH("2025::jama.2025.11178::C009",'C_jama.2025.11178'!$A$2:$A$38,0)))</x:f>
      </x:c>
      <x:c r="AC26" s="6" t="str">
        <x:f>IF(INDEX('C_jama.2025.11178'!$P$2:$P$38,MATCH("2025::jama.2025.11178::C009",'C_jama.2025.11178'!$A$2:$A$38,0))="","",INDEX('C_jama.2025.11178'!$P$2:$P$38,MATCH("2025::jama.2025.11178::C009",'C_jama.2025.11178'!$A$2:$A$38,0)))</x:f>
      </x:c>
      <x:c r="AD26" s="6" t="str">
        <x:f>IF(INDEX('C_jama.2025.11178'!$Q$2:$Q$38,MATCH("2025::jama.2025.11178::C009",'C_jama.2025.11178'!$A$2:$A$38,0))="","",INDEX('C_jama.2025.11178'!$Q$2:$Q$38,MATCH("2025::jama.2025.11178::C009",'C_jama.2025.11178'!$A$2:$A$38,0)))</x:f>
      </x:c>
    </x:row>
    <x:row r="27" ht="65" customHeight="1">
      <x:c r="A27" s="3" t="n">
        <x:v>2025</x:v>
      </x:c>
      <x:c r="B27" s="3" t="str">
        <x:v>jama.2025.11178</x:v>
      </x:c>
      <x:c r="C27" s="3" t="str">
        <x:v>2025::jama.2025.11178::C010</x:v>
      </x:c>
      <x:c r="D27" s="3" t="str">
        <x:v>S_W</x:v>
      </x:c>
      <x:c r="E27" s="3" t="n">
        <x:f>Setup!$B$2</x:f>
        <x:v>0</x:v>
      </x:c>
      <x:c r="F27" s="3" t="str">
        <x:f>IF(Setup!$B$4="","",Setup!$B$4)</x:f>
      </x:c>
      <x:c r="G27" s="3" t="str">
        <x:f>IFERROR(INDEX('C_jama.2025.11178'!$G$2:$G$38,MATCH("2025::jama.2025.11178::C010",'C_jama.2025.11178'!$A$2:$A$38,0)),"CHECK KEY")</x:f>
        <x:v>CHECK REVIEWER IDs</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statistical_results</x:v>
      </x:c>
      <x:c r="K27" s="3" t="str">
        <x:f>IF(Setup!$B$6="primary","",IFERROR(IF(INDEX('Primary_snapshot'!$B$2:$B$132,MATCH(C27,'Primary_snapshot'!$A$2:$A$132,0))="","",INDEX('Primary_snapshot'!$B$2:$B$132,MATCH(C27,'Primary_snapshot'!$A$2:$A$132,0))),"SNAPSHOT MISSING"))</x:f>
      </x:c>
      <x:c r="L27" s="3" t="str">
        <x:f>IF(Setup!$B$6="primary","",IFERROR(IF(INDEX('Primary_snapshot'!$C$2:$C$132,MATCH(C27,'Primary_snapshot'!$A$2:$A$132,0))="","",INDEX('Primary_snapshot'!$C$2:$C$132,MATCH(C27,'Primary_snapshot'!$A$2:$A$132,0))),"SNAPSHOT MISSING"))</x:f>
      </x:c>
      <x:c r="M27" s="3" t="str">
        <x:f>IF(Setup!$B$6="primary","",IFERROR(IF(INDEX('Primary_snapshot'!$D$2:$D$132,MATCH(C27,'Primary_snapshot'!$A$2:$A$132,0))="","",INDEX('Primary_snapshot'!$D$2:$D$132,MATCH(C27,'Primary_snapshot'!$A$2:$A$132,0))),"SNAPSHOT MISSING"))</x:f>
      </x:c>
      <x:c r="N27" s="3" t="str">
        <x:f>IF(Setup!$B$6="primary","",IFERROR(IF(INDEX('Primary_snapshot'!$E$2:$E$132,MATCH(C27,'Primary_snapshot'!$A$2:$A$132,0))="","",INDEX('Primary_snapshot'!$E$2:$E$132,MATCH(C27,'Primary_snapshot'!$A$2:$A$132,0))),"SNAPSHOT MISSING"))</x:f>
      </x:c>
      <x:c r="O27" s="3" t="str">
        <x:f>IF(Setup!$B$6="primary","",IFERROR(IF(INDEX('Primary_snapshot'!$F$2:$F$132,MATCH(C27,'Primary_snapshot'!$A$2:$A$132,0))="","",INDEX('Primary_snapshot'!$F$2:$F$132,MATCH(C27,'Primary_snapshot'!$A$2:$A$132,0))),"SNAPSHOT MISSING"))</x:f>
      </x:c>
      <x:c r="P27" s="3" t="str">
        <x:f>IF(Setup!$B$6="primary","",IFERROR(IF(INDEX('Primary_snapshot'!$G$2:$G$132,MATCH(C27,'Primary_snapshot'!$A$2:$A$132,0))="","",INDEX('Primary_snapshot'!$G$2:$G$132,MATCH(C27,'Primary_snapshot'!$A$2:$A$132,0))),"SNAPSHOT MISSING"))</x:f>
      </x:c>
      <x:c r="Q27" s="3" t="str">
        <x:f>IF(Setup!$B$6="primary","",IFERROR(IF(INDEX('Primary_snapshot'!$H$2:$H$132,MATCH(C27,'Primary_snapshot'!$A$2:$A$132,0))="","",INDEX('Primary_snapshot'!$H$2:$H$132,MATCH(C27,'Primary_snapshot'!$A$2:$A$132,0))),"SNAPSHOT MISSING"))</x:f>
      </x:c>
      <x:c r="R27" s="3" t="str">
        <x:f>IF(Setup!$B$6="primary","",IFERROR(IF(INDEX('Primary_snapshot'!$I$2:$I$132,MATCH(C27,'Primary_snapshot'!$A$2:$A$132,0))="","",INDEX('Primary_snapshot'!$I$2:$I$132,MATCH(C27,'Primary_snapshot'!$A$2:$A$132,0))),"SNAPSHOT MISSING"))</x:f>
      </x:c>
      <x:c r="S27" s="3" t="str">
        <x:f>IF(INDEX('C_jama.2025.11178'!$D$2:$D$38,MATCH("2025::jama.2025.11178::C010",'C_jama.2025.11178'!$A$2:$A$38,0))="","",INDEX('C_jama.2025.11178'!$D$2:$D$38,MATCH("2025::jama.2025.11178::C010",'C_jama.2025.11178'!$A$2:$A$38,0)))</x:f>
      </x:c>
      <x:c r="T27" s="3" t="str">
        <x:f>IF(INDEX('C_jama.2025.11178'!$E$2:$E$38,MATCH("2025::jama.2025.11178::C010",'C_jama.2025.11178'!$A$2:$A$38,0))="","",INDEX('C_jama.2025.11178'!$E$2:$E$38,MATCH("2025::jama.2025.11178::C010",'C_jama.2025.11178'!$A$2:$A$38,0)))</x:f>
        <x:v>statistical_results</x:v>
      </x:c>
      <x:c r="U27" s="3" t="str">
        <x:f>IF(AND(INDEX('C_jama.2025.11178'!$D$2:$D$38,MATCH("2025::jama.2025.11178::C010",'C_jama.2025.11178'!$A$2:$A$38,0))="retain",INDEX('C_jama.2025.11178'!$E$2:$E$38,MATCH("2025::jama.2025.11178::C010",'C_jama.2025.11178'!$A$2:$A$38,0))="statistical_results"),IF(INDEX('C_jama.2025.11178'!$H$2:$H$38,MATCH("2025::jama.2025.11178::C010",'C_jama.2025.11178'!$A$2:$A$38,0))="","",INDEX('C_jama.2025.11178'!$H$2:$H$38,MATCH("2025::jama.2025.11178::C010",'C_jama.2025.11178'!$A$2:$A$38,0))),"not_applicable")</x:f>
        <x:v>not_applicable</x:v>
      </x:c>
      <x:c r="V27" s="3" t="str">
        <x:f>IF(AND(INDEX('C_jama.2025.11178'!$D$2:$D$38,MATCH("2025::jama.2025.11178::C010",'C_jama.2025.11178'!$A$2:$A$38,0))="retain",INDEX('C_jama.2025.11178'!$E$2:$E$38,MATCH("2025::jama.2025.11178::C010",'C_jama.2025.11178'!$A$2:$A$38,0))="statistical_results"),IF(INDEX('C_jama.2025.11178'!$I$2:$I$38,MATCH("2025::jama.2025.11178::C010",'C_jama.2025.11178'!$A$2:$A$38,0))="","",INDEX('C_jama.2025.11178'!$I$2:$I$38,MATCH("2025::jama.2025.11178::C010",'C_jama.2025.11178'!$A$2:$A$38,0))),"not_applicable")</x:f>
        <x:v>not_applicable</x:v>
      </x:c>
      <x:c r="W27" s="3" t="str">
        <x:f>IF(AND(INDEX('C_jama.2025.11178'!$D$2:$D$38,MATCH("2025::jama.2025.11178::C010",'C_jama.2025.11178'!$A$2:$A$38,0))="retain",INDEX('C_jama.2025.11178'!$E$2:$E$38,MATCH("2025::jama.2025.11178::C010",'C_jama.2025.11178'!$A$2:$A$38,0))="statistical_results"),IF(INDEX('C_jama.2025.11178'!$J$2:$J$38,MATCH("2025::jama.2025.11178::C010",'C_jama.2025.11178'!$A$2:$A$38,0))="","",INDEX('C_jama.2025.11178'!$J$2:$J$38,MATCH("2025::jama.2025.11178::C010",'C_jama.2025.11178'!$A$2:$A$38,0))),"not_applicable")</x:f>
        <x:v>not_applicable</x:v>
      </x:c>
      <x:c r="X27" s="3" t="str">
        <x:f>IF(AND(INDEX('C_jama.2025.11178'!$D$2:$D$38,MATCH("2025::jama.2025.11178::C010",'C_jama.2025.11178'!$A$2:$A$38,0))="retain",OR(INDEX('C_jama.2025.11178'!$E$2:$E$38,MATCH("2025::jama.2025.11178::C010",'C_jama.2025.11178'!$A$2:$A$38,0))="report_internal_inconsistency",INDEX('C_jama.2025.11178'!$E$2:$E$38,MATCH("2025::jama.2025.11178::C010",'C_jama.2025.11178'!$A$2:$A$38,0))="plan_material")),IF(INDEX('C_jama.2025.11178'!$K$2:$K$38,MATCH("2025::jama.2025.11178::C010",'C_jama.2025.11178'!$A$2:$A$38,0))="","",INDEX('C_jama.2025.11178'!$K$2:$K$38,MATCH("2025::jama.2025.11178::C010",'C_jama.2025.11178'!$A$2:$A$38,0))),"not_applicable")</x:f>
        <x:v>not_applicable</x:v>
      </x:c>
      <x:c r="Y27" s="3" t="str">
        <x:f>IF(AND(INDEX('C_jama.2025.11178'!$D$2:$D$38,MATCH("2025::jama.2025.11178::C010",'C_jama.2025.11178'!$A$2:$A$38,0))="retain",INDEX('C_jama.2025.11178'!$E$2:$E$38,MATCH("2025::jama.2025.11178::C010",'C_jama.2025.11178'!$A$2:$A$38,0))="protocol_report"),IF(INDEX('C_jama.2025.11178'!$L$2:$L$38,MATCH("2025::jama.2025.11178::C010",'C_jama.2025.11178'!$A$2:$A$38,0))="","",INDEX('C_jama.2025.11178'!$L$2:$L$38,MATCH("2025::jama.2025.11178::C010",'C_jama.2025.11178'!$A$2:$A$38,0))),"not_applicable")</x:f>
        <x:v>not_applicable</x:v>
      </x:c>
      <x:c r="Z27" s="3" t="str">
        <x:f>IF(INDEX('C_jama.2025.11178'!$R$2:$R$38,MATCH("2025::jama.2025.11178::C010",'C_jama.2025.11178'!$A$2:$A$38,0))="","",INDEX('C_jama.2025.11178'!$R$2:$R$38,MATCH("2025::jama.2025.11178::C010",'C_jama.2025.11178'!$A$2:$A$38,0)))</x:f>
      </x:c>
      <x:c r="AA27" s="3" t="str">
        <x:f>IF(INDEX('C_jama.2025.11178'!$N$2:$N$38,MATCH("2025::jama.2025.11178::C010",'C_jama.2025.11178'!$A$2:$A$38,0))="","",INDEX('C_jama.2025.11178'!$N$2:$N$38,MATCH("2025::jama.2025.11178::C010",'C_jama.2025.11178'!$A$2:$A$38,0)))</x:f>
      </x:c>
      <x:c r="AB27" s="3" t="str">
        <x:f>IF(INDEX('C_jama.2025.11178'!$O$2:$O$38,MATCH("2025::jama.2025.11178::C010",'C_jama.2025.11178'!$A$2:$A$38,0))="","",INDEX('C_jama.2025.11178'!$O$2:$O$38,MATCH("2025::jama.2025.11178::C010",'C_jama.2025.11178'!$A$2:$A$38,0)))</x:f>
      </x:c>
      <x:c r="AC27" s="3" t="str">
        <x:f>IF(INDEX('C_jama.2025.11178'!$P$2:$P$38,MATCH("2025::jama.2025.11178::C010",'C_jama.2025.11178'!$A$2:$A$38,0))="","",INDEX('C_jama.2025.11178'!$P$2:$P$38,MATCH("2025::jama.2025.11178::C010",'C_jama.2025.11178'!$A$2:$A$38,0)))</x:f>
      </x:c>
      <x:c r="AD27" s="3" t="str">
        <x:f>IF(INDEX('C_jama.2025.11178'!$Q$2:$Q$38,MATCH("2025::jama.2025.11178::C010",'C_jama.2025.11178'!$A$2:$A$38,0))="","",INDEX('C_jama.2025.11178'!$Q$2:$Q$38,MATCH("2025::jama.2025.11178::C010",'C_jama.2025.11178'!$A$2:$A$38,0)))</x:f>
      </x:c>
    </x:row>
    <x:row r="28" ht="65" customHeight="1">
      <x:c r="A28" s="6" t="n">
        <x:v>2025</x:v>
      </x:c>
      <x:c r="B28" s="6" t="str">
        <x:v>jama.2025.11178</x:v>
      </x:c>
      <x:c r="C28" s="6" t="str">
        <x:v>2025::jama.2025.11178::C011</x:v>
      </x:c>
      <x:c r="D28" s="6" t="str">
        <x:v>S_W</x:v>
      </x:c>
      <x:c r="E28" s="6" t="n">
        <x:f>Setup!$B$2</x:f>
        <x:v>0</x:v>
      </x:c>
      <x:c r="F28" s="6" t="str">
        <x:f>IF(Setup!$B$4="","",Setup!$B$4)</x:f>
      </x:c>
      <x:c r="G28" s="6" t="str">
        <x:f>IFERROR(INDEX('C_jama.2025.11178'!$G$2:$G$38,MATCH("2025::jama.2025.11178::C011",'C_jama.2025.11178'!$A$2:$A$38,0)),"CHECK KEY")</x:f>
        <x:v>CHECK REVIEWER IDs</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statistical_results</x:v>
      </x:c>
      <x:c r="K28" s="6" t="str">
        <x:f>IF(Setup!$B$6="primary","",IFERROR(IF(INDEX('Primary_snapshot'!$B$2:$B$132,MATCH(C28,'Primary_snapshot'!$A$2:$A$132,0))="","",INDEX('Primary_snapshot'!$B$2:$B$132,MATCH(C28,'Primary_snapshot'!$A$2:$A$132,0))),"SNAPSHOT MISSING"))</x:f>
      </x:c>
      <x:c r="L28" s="6" t="str">
        <x:f>IF(Setup!$B$6="primary","",IFERROR(IF(INDEX('Primary_snapshot'!$C$2:$C$132,MATCH(C28,'Primary_snapshot'!$A$2:$A$132,0))="","",INDEX('Primary_snapshot'!$C$2:$C$132,MATCH(C28,'Primary_snapshot'!$A$2:$A$132,0))),"SNAPSHOT MISSING"))</x:f>
      </x:c>
      <x:c r="M28" s="6" t="str">
        <x:f>IF(Setup!$B$6="primary","",IFERROR(IF(INDEX('Primary_snapshot'!$D$2:$D$132,MATCH(C28,'Primary_snapshot'!$A$2:$A$132,0))="","",INDEX('Primary_snapshot'!$D$2:$D$132,MATCH(C28,'Primary_snapshot'!$A$2:$A$132,0))),"SNAPSHOT MISSING"))</x:f>
      </x:c>
      <x:c r="N28" s="6" t="str">
        <x:f>IF(Setup!$B$6="primary","",IFERROR(IF(INDEX('Primary_snapshot'!$E$2:$E$132,MATCH(C28,'Primary_snapshot'!$A$2:$A$132,0))="","",INDEX('Primary_snapshot'!$E$2:$E$132,MATCH(C28,'Primary_snapshot'!$A$2:$A$132,0))),"SNAPSHOT MISSING"))</x:f>
      </x:c>
      <x:c r="O28" s="6" t="str">
        <x:f>IF(Setup!$B$6="primary","",IFERROR(IF(INDEX('Primary_snapshot'!$F$2:$F$132,MATCH(C28,'Primary_snapshot'!$A$2:$A$132,0))="","",INDEX('Primary_snapshot'!$F$2:$F$132,MATCH(C28,'Primary_snapshot'!$A$2:$A$132,0))),"SNAPSHOT MISSING"))</x:f>
      </x:c>
      <x:c r="P28" s="6" t="str">
        <x:f>IF(Setup!$B$6="primary","",IFERROR(IF(INDEX('Primary_snapshot'!$G$2:$G$132,MATCH(C28,'Primary_snapshot'!$A$2:$A$132,0))="","",INDEX('Primary_snapshot'!$G$2:$G$132,MATCH(C28,'Primary_snapshot'!$A$2:$A$132,0))),"SNAPSHOT MISSING"))</x:f>
      </x:c>
      <x:c r="Q28" s="6" t="str">
        <x:f>IF(Setup!$B$6="primary","",IFERROR(IF(INDEX('Primary_snapshot'!$H$2:$H$132,MATCH(C28,'Primary_snapshot'!$A$2:$A$132,0))="","",INDEX('Primary_snapshot'!$H$2:$H$132,MATCH(C28,'Primary_snapshot'!$A$2:$A$132,0))),"SNAPSHOT MISSING"))</x:f>
      </x:c>
      <x:c r="R28" s="6" t="str">
        <x:f>IF(Setup!$B$6="primary","",IFERROR(IF(INDEX('Primary_snapshot'!$I$2:$I$132,MATCH(C28,'Primary_snapshot'!$A$2:$A$132,0))="","",INDEX('Primary_snapshot'!$I$2:$I$132,MATCH(C28,'Primary_snapshot'!$A$2:$A$132,0))),"SNAPSHOT MISSING"))</x:f>
      </x:c>
      <x:c r="S28" s="6" t="str">
        <x:f>IF(INDEX('C_jama.2025.11178'!$D$2:$D$38,MATCH("2025::jama.2025.11178::C011",'C_jama.2025.11178'!$A$2:$A$38,0))="","",INDEX('C_jama.2025.11178'!$D$2:$D$38,MATCH("2025::jama.2025.11178::C011",'C_jama.2025.11178'!$A$2:$A$38,0)))</x:f>
      </x:c>
      <x:c r="T28" s="6" t="str">
        <x:f>IF(INDEX('C_jama.2025.11178'!$E$2:$E$38,MATCH("2025::jama.2025.11178::C011",'C_jama.2025.11178'!$A$2:$A$38,0))="","",INDEX('C_jama.2025.11178'!$E$2:$E$38,MATCH("2025::jama.2025.11178::C011",'C_jama.2025.11178'!$A$2:$A$38,0)))</x:f>
        <x:v>statistical_results</x:v>
      </x:c>
      <x:c r="U28" s="6" t="str">
        <x:f>IF(AND(INDEX('C_jama.2025.11178'!$D$2:$D$38,MATCH("2025::jama.2025.11178::C011",'C_jama.2025.11178'!$A$2:$A$38,0))="retain",INDEX('C_jama.2025.11178'!$E$2:$E$38,MATCH("2025::jama.2025.11178::C011",'C_jama.2025.11178'!$A$2:$A$38,0))="statistical_results"),IF(INDEX('C_jama.2025.11178'!$H$2:$H$38,MATCH("2025::jama.2025.11178::C011",'C_jama.2025.11178'!$A$2:$A$38,0))="","",INDEX('C_jama.2025.11178'!$H$2:$H$38,MATCH("2025::jama.2025.11178::C011",'C_jama.2025.11178'!$A$2:$A$38,0))),"not_applicable")</x:f>
        <x:v>not_applicable</x:v>
      </x:c>
      <x:c r="V28" s="6" t="str">
        <x:f>IF(AND(INDEX('C_jama.2025.11178'!$D$2:$D$38,MATCH("2025::jama.2025.11178::C011",'C_jama.2025.11178'!$A$2:$A$38,0))="retain",INDEX('C_jama.2025.11178'!$E$2:$E$38,MATCH("2025::jama.2025.11178::C011",'C_jama.2025.11178'!$A$2:$A$38,0))="statistical_results"),IF(INDEX('C_jama.2025.11178'!$I$2:$I$38,MATCH("2025::jama.2025.11178::C011",'C_jama.2025.11178'!$A$2:$A$38,0))="","",INDEX('C_jama.2025.11178'!$I$2:$I$38,MATCH("2025::jama.2025.11178::C011",'C_jama.2025.11178'!$A$2:$A$38,0))),"not_applicable")</x:f>
        <x:v>not_applicable</x:v>
      </x:c>
      <x:c r="W28" s="6" t="str">
        <x:f>IF(AND(INDEX('C_jama.2025.11178'!$D$2:$D$38,MATCH("2025::jama.2025.11178::C011",'C_jama.2025.11178'!$A$2:$A$38,0))="retain",INDEX('C_jama.2025.11178'!$E$2:$E$38,MATCH("2025::jama.2025.11178::C011",'C_jama.2025.11178'!$A$2:$A$38,0))="statistical_results"),IF(INDEX('C_jama.2025.11178'!$J$2:$J$38,MATCH("2025::jama.2025.11178::C011",'C_jama.2025.11178'!$A$2:$A$38,0))="","",INDEX('C_jama.2025.11178'!$J$2:$J$38,MATCH("2025::jama.2025.11178::C011",'C_jama.2025.11178'!$A$2:$A$38,0))),"not_applicable")</x:f>
        <x:v>not_applicable</x:v>
      </x:c>
      <x:c r="X28" s="6" t="str">
        <x:f>IF(AND(INDEX('C_jama.2025.11178'!$D$2:$D$38,MATCH("2025::jama.2025.11178::C011",'C_jama.2025.11178'!$A$2:$A$38,0))="retain",OR(INDEX('C_jama.2025.11178'!$E$2:$E$38,MATCH("2025::jama.2025.11178::C011",'C_jama.2025.11178'!$A$2:$A$38,0))="report_internal_inconsistency",INDEX('C_jama.2025.11178'!$E$2:$E$38,MATCH("2025::jama.2025.11178::C011",'C_jama.2025.11178'!$A$2:$A$38,0))="plan_material")),IF(INDEX('C_jama.2025.11178'!$K$2:$K$38,MATCH("2025::jama.2025.11178::C011",'C_jama.2025.11178'!$A$2:$A$38,0))="","",INDEX('C_jama.2025.11178'!$K$2:$K$38,MATCH("2025::jama.2025.11178::C011",'C_jama.2025.11178'!$A$2:$A$38,0))),"not_applicable")</x:f>
        <x:v>not_applicable</x:v>
      </x:c>
      <x:c r="Y28" s="6" t="str">
        <x:f>IF(AND(INDEX('C_jama.2025.11178'!$D$2:$D$38,MATCH("2025::jama.2025.11178::C011",'C_jama.2025.11178'!$A$2:$A$38,0))="retain",INDEX('C_jama.2025.11178'!$E$2:$E$38,MATCH("2025::jama.2025.11178::C011",'C_jama.2025.11178'!$A$2:$A$38,0))="protocol_report"),IF(INDEX('C_jama.2025.11178'!$L$2:$L$38,MATCH("2025::jama.2025.11178::C011",'C_jama.2025.11178'!$A$2:$A$38,0))="","",INDEX('C_jama.2025.11178'!$L$2:$L$38,MATCH("2025::jama.2025.11178::C011",'C_jama.2025.11178'!$A$2:$A$38,0))),"not_applicable")</x:f>
        <x:v>not_applicable</x:v>
      </x:c>
      <x:c r="Z28" s="6" t="str">
        <x:f>IF(INDEX('C_jama.2025.11178'!$R$2:$R$38,MATCH("2025::jama.2025.11178::C011",'C_jama.2025.11178'!$A$2:$A$38,0))="","",INDEX('C_jama.2025.11178'!$R$2:$R$38,MATCH("2025::jama.2025.11178::C011",'C_jama.2025.11178'!$A$2:$A$38,0)))</x:f>
      </x:c>
      <x:c r="AA28" s="6" t="str">
        <x:f>IF(INDEX('C_jama.2025.11178'!$N$2:$N$38,MATCH("2025::jama.2025.11178::C011",'C_jama.2025.11178'!$A$2:$A$38,0))="","",INDEX('C_jama.2025.11178'!$N$2:$N$38,MATCH("2025::jama.2025.11178::C011",'C_jama.2025.11178'!$A$2:$A$38,0)))</x:f>
      </x:c>
      <x:c r="AB28" s="6" t="str">
        <x:f>IF(INDEX('C_jama.2025.11178'!$O$2:$O$38,MATCH("2025::jama.2025.11178::C011",'C_jama.2025.11178'!$A$2:$A$38,0))="","",INDEX('C_jama.2025.11178'!$O$2:$O$38,MATCH("2025::jama.2025.11178::C011",'C_jama.2025.11178'!$A$2:$A$38,0)))</x:f>
      </x:c>
      <x:c r="AC28" s="6" t="str">
        <x:f>IF(INDEX('C_jama.2025.11178'!$P$2:$P$38,MATCH("2025::jama.2025.11178::C011",'C_jama.2025.11178'!$A$2:$A$38,0))="","",INDEX('C_jama.2025.11178'!$P$2:$P$38,MATCH("2025::jama.2025.11178::C011",'C_jama.2025.11178'!$A$2:$A$38,0)))</x:f>
      </x:c>
      <x:c r="AD28" s="6" t="str">
        <x:f>IF(INDEX('C_jama.2025.11178'!$Q$2:$Q$38,MATCH("2025::jama.2025.11178::C011",'C_jama.2025.11178'!$A$2:$A$38,0))="","",INDEX('C_jama.2025.11178'!$Q$2:$Q$38,MATCH("2025::jama.2025.11178::C011",'C_jama.2025.11178'!$A$2:$A$38,0)))</x:f>
      </x:c>
    </x:row>
    <x:row r="29" ht="65" customHeight="1">
      <x:c r="A29" s="3" t="n">
        <x:v>2025</x:v>
      </x:c>
      <x:c r="B29" s="3" t="str">
        <x:v>jama.2025.11178</x:v>
      </x:c>
      <x:c r="C29" s="3" t="str">
        <x:v>2025::jama.2025.11178::C012</x:v>
      </x:c>
      <x:c r="D29" s="3" t="str">
        <x:v>S_W</x:v>
      </x:c>
      <x:c r="E29" s="3" t="n">
        <x:f>Setup!$B$2</x:f>
        <x:v>0</x:v>
      </x:c>
      <x:c r="F29" s="3" t="str">
        <x:f>IF(Setup!$B$4="","",Setup!$B$4)</x:f>
      </x:c>
      <x:c r="G29" s="3" t="str">
        <x:f>IFERROR(INDEX('C_jama.2025.11178'!$G$2:$G$38,MATCH("2025::jama.2025.11178::C012",'C_jama.2025.11178'!$A$2:$A$38,0)),"CHECK KEY")</x:f>
        <x:v>CHECK REVIEWER IDs</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statistical_results</x:v>
      </x:c>
      <x:c r="K29" s="3" t="str">
        <x:f>IF(Setup!$B$6="primary","",IFERROR(IF(INDEX('Primary_snapshot'!$B$2:$B$132,MATCH(C29,'Primary_snapshot'!$A$2:$A$132,0))="","",INDEX('Primary_snapshot'!$B$2:$B$132,MATCH(C29,'Primary_snapshot'!$A$2:$A$132,0))),"SNAPSHOT MISSING"))</x:f>
      </x:c>
      <x:c r="L29" s="3" t="str">
        <x:f>IF(Setup!$B$6="primary","",IFERROR(IF(INDEX('Primary_snapshot'!$C$2:$C$132,MATCH(C29,'Primary_snapshot'!$A$2:$A$132,0))="","",INDEX('Primary_snapshot'!$C$2:$C$132,MATCH(C29,'Primary_snapshot'!$A$2:$A$132,0))),"SNAPSHOT MISSING"))</x:f>
      </x:c>
      <x:c r="M29" s="3" t="str">
        <x:f>IF(Setup!$B$6="primary","",IFERROR(IF(INDEX('Primary_snapshot'!$D$2:$D$132,MATCH(C29,'Primary_snapshot'!$A$2:$A$132,0))="","",INDEX('Primary_snapshot'!$D$2:$D$132,MATCH(C29,'Primary_snapshot'!$A$2:$A$132,0))),"SNAPSHOT MISSING"))</x:f>
      </x:c>
      <x:c r="N29" s="3" t="str">
        <x:f>IF(Setup!$B$6="primary","",IFERROR(IF(INDEX('Primary_snapshot'!$E$2:$E$132,MATCH(C29,'Primary_snapshot'!$A$2:$A$132,0))="","",INDEX('Primary_snapshot'!$E$2:$E$132,MATCH(C29,'Primary_snapshot'!$A$2:$A$132,0))),"SNAPSHOT MISSING"))</x:f>
      </x:c>
      <x:c r="O29" s="3" t="str">
        <x:f>IF(Setup!$B$6="primary","",IFERROR(IF(INDEX('Primary_snapshot'!$F$2:$F$132,MATCH(C29,'Primary_snapshot'!$A$2:$A$132,0))="","",INDEX('Primary_snapshot'!$F$2:$F$132,MATCH(C29,'Primary_snapshot'!$A$2:$A$132,0))),"SNAPSHOT MISSING"))</x:f>
      </x:c>
      <x:c r="P29" s="3" t="str">
        <x:f>IF(Setup!$B$6="primary","",IFERROR(IF(INDEX('Primary_snapshot'!$G$2:$G$132,MATCH(C29,'Primary_snapshot'!$A$2:$A$132,0))="","",INDEX('Primary_snapshot'!$G$2:$G$132,MATCH(C29,'Primary_snapshot'!$A$2:$A$132,0))),"SNAPSHOT MISSING"))</x:f>
      </x:c>
      <x:c r="Q29" s="3" t="str">
        <x:f>IF(Setup!$B$6="primary","",IFERROR(IF(INDEX('Primary_snapshot'!$H$2:$H$132,MATCH(C29,'Primary_snapshot'!$A$2:$A$132,0))="","",INDEX('Primary_snapshot'!$H$2:$H$132,MATCH(C29,'Primary_snapshot'!$A$2:$A$132,0))),"SNAPSHOT MISSING"))</x:f>
      </x:c>
      <x:c r="R29" s="3" t="str">
        <x:f>IF(Setup!$B$6="primary","",IFERROR(IF(INDEX('Primary_snapshot'!$I$2:$I$132,MATCH(C29,'Primary_snapshot'!$A$2:$A$132,0))="","",INDEX('Primary_snapshot'!$I$2:$I$132,MATCH(C29,'Primary_snapshot'!$A$2:$A$132,0))),"SNAPSHOT MISSING"))</x:f>
      </x:c>
      <x:c r="S29" s="3" t="str">
        <x:f>IF(INDEX('C_jama.2025.11178'!$D$2:$D$38,MATCH("2025::jama.2025.11178::C012",'C_jama.2025.11178'!$A$2:$A$38,0))="","",INDEX('C_jama.2025.11178'!$D$2:$D$38,MATCH("2025::jama.2025.11178::C012",'C_jama.2025.11178'!$A$2:$A$38,0)))</x:f>
      </x:c>
      <x:c r="T29" s="3" t="str">
        <x:f>IF(INDEX('C_jama.2025.11178'!$E$2:$E$38,MATCH("2025::jama.2025.11178::C012",'C_jama.2025.11178'!$A$2:$A$38,0))="","",INDEX('C_jama.2025.11178'!$E$2:$E$38,MATCH("2025::jama.2025.11178::C012",'C_jama.2025.11178'!$A$2:$A$38,0)))</x:f>
        <x:v>statistical_results</x:v>
      </x:c>
      <x:c r="U29" s="3" t="str">
        <x:f>IF(AND(INDEX('C_jama.2025.11178'!$D$2:$D$38,MATCH("2025::jama.2025.11178::C012",'C_jama.2025.11178'!$A$2:$A$38,0))="retain",INDEX('C_jama.2025.11178'!$E$2:$E$38,MATCH("2025::jama.2025.11178::C012",'C_jama.2025.11178'!$A$2:$A$38,0))="statistical_results"),IF(INDEX('C_jama.2025.11178'!$H$2:$H$38,MATCH("2025::jama.2025.11178::C012",'C_jama.2025.11178'!$A$2:$A$38,0))="","",INDEX('C_jama.2025.11178'!$H$2:$H$38,MATCH("2025::jama.2025.11178::C012",'C_jama.2025.11178'!$A$2:$A$38,0))),"not_applicable")</x:f>
        <x:v>not_applicable</x:v>
      </x:c>
      <x:c r="V29" s="3" t="str">
        <x:f>IF(AND(INDEX('C_jama.2025.11178'!$D$2:$D$38,MATCH("2025::jama.2025.11178::C012",'C_jama.2025.11178'!$A$2:$A$38,0))="retain",INDEX('C_jama.2025.11178'!$E$2:$E$38,MATCH("2025::jama.2025.11178::C012",'C_jama.2025.11178'!$A$2:$A$38,0))="statistical_results"),IF(INDEX('C_jama.2025.11178'!$I$2:$I$38,MATCH("2025::jama.2025.11178::C012",'C_jama.2025.11178'!$A$2:$A$38,0))="","",INDEX('C_jama.2025.11178'!$I$2:$I$38,MATCH("2025::jama.2025.11178::C012",'C_jama.2025.11178'!$A$2:$A$38,0))),"not_applicable")</x:f>
        <x:v>not_applicable</x:v>
      </x:c>
      <x:c r="W29" s="3" t="str">
        <x:f>IF(AND(INDEX('C_jama.2025.11178'!$D$2:$D$38,MATCH("2025::jama.2025.11178::C012",'C_jama.2025.11178'!$A$2:$A$38,0))="retain",INDEX('C_jama.2025.11178'!$E$2:$E$38,MATCH("2025::jama.2025.11178::C012",'C_jama.2025.11178'!$A$2:$A$38,0))="statistical_results"),IF(INDEX('C_jama.2025.11178'!$J$2:$J$38,MATCH("2025::jama.2025.11178::C012",'C_jama.2025.11178'!$A$2:$A$38,0))="","",INDEX('C_jama.2025.11178'!$J$2:$J$38,MATCH("2025::jama.2025.11178::C012",'C_jama.2025.11178'!$A$2:$A$38,0))),"not_applicable")</x:f>
        <x:v>not_applicable</x:v>
      </x:c>
      <x:c r="X29" s="3" t="str">
        <x:f>IF(AND(INDEX('C_jama.2025.11178'!$D$2:$D$38,MATCH("2025::jama.2025.11178::C012",'C_jama.2025.11178'!$A$2:$A$38,0))="retain",OR(INDEX('C_jama.2025.11178'!$E$2:$E$38,MATCH("2025::jama.2025.11178::C012",'C_jama.2025.11178'!$A$2:$A$38,0))="report_internal_inconsistency",INDEX('C_jama.2025.11178'!$E$2:$E$38,MATCH("2025::jama.2025.11178::C012",'C_jama.2025.11178'!$A$2:$A$38,0))="plan_material")),IF(INDEX('C_jama.2025.11178'!$K$2:$K$38,MATCH("2025::jama.2025.11178::C012",'C_jama.2025.11178'!$A$2:$A$38,0))="","",INDEX('C_jama.2025.11178'!$K$2:$K$38,MATCH("2025::jama.2025.11178::C012",'C_jama.2025.11178'!$A$2:$A$38,0))),"not_applicable")</x:f>
        <x:v>not_applicable</x:v>
      </x:c>
      <x:c r="Y29" s="3" t="str">
        <x:f>IF(AND(INDEX('C_jama.2025.11178'!$D$2:$D$38,MATCH("2025::jama.2025.11178::C012",'C_jama.2025.11178'!$A$2:$A$38,0))="retain",INDEX('C_jama.2025.11178'!$E$2:$E$38,MATCH("2025::jama.2025.11178::C012",'C_jama.2025.11178'!$A$2:$A$38,0))="protocol_report"),IF(INDEX('C_jama.2025.11178'!$L$2:$L$38,MATCH("2025::jama.2025.11178::C012",'C_jama.2025.11178'!$A$2:$A$38,0))="","",INDEX('C_jama.2025.11178'!$L$2:$L$38,MATCH("2025::jama.2025.11178::C012",'C_jama.2025.11178'!$A$2:$A$38,0))),"not_applicable")</x:f>
        <x:v>not_applicable</x:v>
      </x:c>
      <x:c r="Z29" s="3" t="str">
        <x:f>IF(INDEX('C_jama.2025.11178'!$R$2:$R$38,MATCH("2025::jama.2025.11178::C012",'C_jama.2025.11178'!$A$2:$A$38,0))="","",INDEX('C_jama.2025.11178'!$R$2:$R$38,MATCH("2025::jama.2025.11178::C012",'C_jama.2025.11178'!$A$2:$A$38,0)))</x:f>
      </x:c>
      <x:c r="AA29" s="3" t="str">
        <x:f>IF(INDEX('C_jama.2025.11178'!$N$2:$N$38,MATCH("2025::jama.2025.11178::C012",'C_jama.2025.11178'!$A$2:$A$38,0))="","",INDEX('C_jama.2025.11178'!$N$2:$N$38,MATCH("2025::jama.2025.11178::C012",'C_jama.2025.11178'!$A$2:$A$38,0)))</x:f>
      </x:c>
      <x:c r="AB29" s="3" t="str">
        <x:f>IF(INDEX('C_jama.2025.11178'!$O$2:$O$38,MATCH("2025::jama.2025.11178::C012",'C_jama.2025.11178'!$A$2:$A$38,0))="","",INDEX('C_jama.2025.11178'!$O$2:$O$38,MATCH("2025::jama.2025.11178::C012",'C_jama.2025.11178'!$A$2:$A$38,0)))</x:f>
      </x:c>
      <x:c r="AC29" s="3" t="str">
        <x:f>IF(INDEX('C_jama.2025.11178'!$P$2:$P$38,MATCH("2025::jama.2025.11178::C012",'C_jama.2025.11178'!$A$2:$A$38,0))="","",INDEX('C_jama.2025.11178'!$P$2:$P$38,MATCH("2025::jama.2025.11178::C012",'C_jama.2025.11178'!$A$2:$A$38,0)))</x:f>
      </x:c>
      <x:c r="AD29" s="3" t="str">
        <x:f>IF(INDEX('C_jama.2025.11178'!$Q$2:$Q$38,MATCH("2025::jama.2025.11178::C012",'C_jama.2025.11178'!$A$2:$A$38,0))="","",INDEX('C_jama.2025.11178'!$Q$2:$Q$38,MATCH("2025::jama.2025.11178::C012",'C_jama.2025.11178'!$A$2:$A$38,0)))</x:f>
      </x:c>
    </x:row>
    <x:row r="30" ht="65" customHeight="1">
      <x:c r="A30" s="6" t="n">
        <x:v>2025</x:v>
      </x:c>
      <x:c r="B30" s="6" t="str">
        <x:v>jama.2025.11178</x:v>
      </x:c>
      <x:c r="C30" s="6" t="str">
        <x:v>2025::jama.2025.11178::C013</x:v>
      </x:c>
      <x:c r="D30" s="6" t="str">
        <x:v>S_W</x:v>
      </x:c>
      <x:c r="E30" s="6" t="n">
        <x:f>Setup!$B$2</x:f>
        <x:v>0</x:v>
      </x:c>
      <x:c r="F30" s="6" t="str">
        <x:f>IF(Setup!$B$4="","",Setup!$B$4)</x:f>
      </x:c>
      <x:c r="G30" s="6" t="str">
        <x:f>IFERROR(INDEX('C_jama.2025.11178'!$G$2:$G$38,MATCH("2025::jama.2025.11178::C013",'C_jama.2025.11178'!$A$2:$A$38,0)),"CHECK KEY")</x:f>
        <x:v>CHECK REVIEWER IDs</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retain</x:v>
      </x:c>
      <x:c r="J30" s="6" t="str">
        <x:v>statistical_results</x:v>
      </x:c>
      <x:c r="K30" s="6" t="str">
        <x:f>IF(Setup!$B$6="primary","",IFERROR(IF(INDEX('Primary_snapshot'!$B$2:$B$132,MATCH(C30,'Primary_snapshot'!$A$2:$A$132,0))="","",INDEX('Primary_snapshot'!$B$2:$B$132,MATCH(C30,'Primary_snapshot'!$A$2:$A$132,0))),"SNAPSHOT MISSING"))</x:f>
      </x:c>
      <x:c r="L30" s="6" t="str">
        <x:f>IF(Setup!$B$6="primary","",IFERROR(IF(INDEX('Primary_snapshot'!$C$2:$C$132,MATCH(C30,'Primary_snapshot'!$A$2:$A$132,0))="","",INDEX('Primary_snapshot'!$C$2:$C$132,MATCH(C30,'Primary_snapshot'!$A$2:$A$132,0))),"SNAPSHOT MISSING"))</x:f>
      </x:c>
      <x:c r="M30" s="6" t="str">
        <x:f>IF(Setup!$B$6="primary","",IFERROR(IF(INDEX('Primary_snapshot'!$D$2:$D$132,MATCH(C30,'Primary_snapshot'!$A$2:$A$132,0))="","",INDEX('Primary_snapshot'!$D$2:$D$132,MATCH(C30,'Primary_snapshot'!$A$2:$A$132,0))),"SNAPSHOT MISSING"))</x:f>
      </x:c>
      <x:c r="N30" s="6" t="str">
        <x:f>IF(Setup!$B$6="primary","",IFERROR(IF(INDEX('Primary_snapshot'!$E$2:$E$132,MATCH(C30,'Primary_snapshot'!$A$2:$A$132,0))="","",INDEX('Primary_snapshot'!$E$2:$E$132,MATCH(C30,'Primary_snapshot'!$A$2:$A$132,0))),"SNAPSHOT MISSING"))</x:f>
      </x:c>
      <x:c r="O30" s="6" t="str">
        <x:f>IF(Setup!$B$6="primary","",IFERROR(IF(INDEX('Primary_snapshot'!$F$2:$F$132,MATCH(C30,'Primary_snapshot'!$A$2:$A$132,0))="","",INDEX('Primary_snapshot'!$F$2:$F$132,MATCH(C30,'Primary_snapshot'!$A$2:$A$132,0))),"SNAPSHOT MISSING"))</x:f>
      </x:c>
      <x:c r="P30" s="6" t="str">
        <x:f>IF(Setup!$B$6="primary","",IFERROR(IF(INDEX('Primary_snapshot'!$G$2:$G$132,MATCH(C30,'Primary_snapshot'!$A$2:$A$132,0))="","",INDEX('Primary_snapshot'!$G$2:$G$132,MATCH(C30,'Primary_snapshot'!$A$2:$A$132,0))),"SNAPSHOT MISSING"))</x:f>
      </x:c>
      <x:c r="Q30" s="6" t="str">
        <x:f>IF(Setup!$B$6="primary","",IFERROR(IF(INDEX('Primary_snapshot'!$H$2:$H$132,MATCH(C30,'Primary_snapshot'!$A$2:$A$132,0))="","",INDEX('Primary_snapshot'!$H$2:$H$132,MATCH(C30,'Primary_snapshot'!$A$2:$A$132,0))),"SNAPSHOT MISSING"))</x:f>
      </x:c>
      <x:c r="R30" s="6" t="str">
        <x:f>IF(Setup!$B$6="primary","",IFERROR(IF(INDEX('Primary_snapshot'!$I$2:$I$132,MATCH(C30,'Primary_snapshot'!$A$2:$A$132,0))="","",INDEX('Primary_snapshot'!$I$2:$I$132,MATCH(C30,'Primary_snapshot'!$A$2:$A$132,0))),"SNAPSHOT MISSING"))</x:f>
      </x:c>
      <x:c r="S30" s="6" t="str">
        <x:f>IF(INDEX('C_jama.2025.11178'!$D$2:$D$38,MATCH("2025::jama.2025.11178::C013",'C_jama.2025.11178'!$A$2:$A$38,0))="","",INDEX('C_jama.2025.11178'!$D$2:$D$38,MATCH("2025::jama.2025.11178::C013",'C_jama.2025.11178'!$A$2:$A$38,0)))</x:f>
      </x:c>
      <x:c r="T30" s="6" t="str">
        <x:f>IF(INDEX('C_jama.2025.11178'!$E$2:$E$38,MATCH("2025::jama.2025.11178::C013",'C_jama.2025.11178'!$A$2:$A$38,0))="","",INDEX('C_jama.2025.11178'!$E$2:$E$38,MATCH("2025::jama.2025.11178::C013",'C_jama.2025.11178'!$A$2:$A$38,0)))</x:f>
        <x:v>statistical_results</x:v>
      </x:c>
      <x:c r="U30" s="6" t="str">
        <x:f>IF(AND(INDEX('C_jama.2025.11178'!$D$2:$D$38,MATCH("2025::jama.2025.11178::C013",'C_jama.2025.11178'!$A$2:$A$38,0))="retain",INDEX('C_jama.2025.11178'!$E$2:$E$38,MATCH("2025::jama.2025.11178::C013",'C_jama.2025.11178'!$A$2:$A$38,0))="statistical_results"),IF(INDEX('C_jama.2025.11178'!$H$2:$H$38,MATCH("2025::jama.2025.11178::C013",'C_jama.2025.11178'!$A$2:$A$38,0))="","",INDEX('C_jama.2025.11178'!$H$2:$H$38,MATCH("2025::jama.2025.11178::C013",'C_jama.2025.11178'!$A$2:$A$38,0))),"not_applicable")</x:f>
        <x:v>not_applicable</x:v>
      </x:c>
      <x:c r="V30" s="6" t="str">
        <x:f>IF(AND(INDEX('C_jama.2025.11178'!$D$2:$D$38,MATCH("2025::jama.2025.11178::C013",'C_jama.2025.11178'!$A$2:$A$38,0))="retain",INDEX('C_jama.2025.11178'!$E$2:$E$38,MATCH("2025::jama.2025.11178::C013",'C_jama.2025.11178'!$A$2:$A$38,0))="statistical_results"),IF(INDEX('C_jama.2025.11178'!$I$2:$I$38,MATCH("2025::jama.2025.11178::C013",'C_jama.2025.11178'!$A$2:$A$38,0))="","",INDEX('C_jama.2025.11178'!$I$2:$I$38,MATCH("2025::jama.2025.11178::C013",'C_jama.2025.11178'!$A$2:$A$38,0))),"not_applicable")</x:f>
        <x:v>not_applicable</x:v>
      </x:c>
      <x:c r="W30" s="6" t="str">
        <x:f>IF(AND(INDEX('C_jama.2025.11178'!$D$2:$D$38,MATCH("2025::jama.2025.11178::C013",'C_jama.2025.11178'!$A$2:$A$38,0))="retain",INDEX('C_jama.2025.11178'!$E$2:$E$38,MATCH("2025::jama.2025.11178::C013",'C_jama.2025.11178'!$A$2:$A$38,0))="statistical_results"),IF(INDEX('C_jama.2025.11178'!$J$2:$J$38,MATCH("2025::jama.2025.11178::C013",'C_jama.2025.11178'!$A$2:$A$38,0))="","",INDEX('C_jama.2025.11178'!$J$2:$J$38,MATCH("2025::jama.2025.11178::C013",'C_jama.2025.11178'!$A$2:$A$38,0))),"not_applicable")</x:f>
        <x:v>not_applicable</x:v>
      </x:c>
      <x:c r="X30" s="6" t="str">
        <x:f>IF(AND(INDEX('C_jama.2025.11178'!$D$2:$D$38,MATCH("2025::jama.2025.11178::C013",'C_jama.2025.11178'!$A$2:$A$38,0))="retain",OR(INDEX('C_jama.2025.11178'!$E$2:$E$38,MATCH("2025::jama.2025.11178::C013",'C_jama.2025.11178'!$A$2:$A$38,0))="report_internal_inconsistency",INDEX('C_jama.2025.11178'!$E$2:$E$38,MATCH("2025::jama.2025.11178::C013",'C_jama.2025.11178'!$A$2:$A$38,0))="plan_material")),IF(INDEX('C_jama.2025.11178'!$K$2:$K$38,MATCH("2025::jama.2025.11178::C013",'C_jama.2025.11178'!$A$2:$A$38,0))="","",INDEX('C_jama.2025.11178'!$K$2:$K$38,MATCH("2025::jama.2025.11178::C013",'C_jama.2025.11178'!$A$2:$A$38,0))),"not_applicable")</x:f>
        <x:v>not_applicable</x:v>
      </x:c>
      <x:c r="Y30" s="6" t="str">
        <x:f>IF(AND(INDEX('C_jama.2025.11178'!$D$2:$D$38,MATCH("2025::jama.2025.11178::C013",'C_jama.2025.11178'!$A$2:$A$38,0))="retain",INDEX('C_jama.2025.11178'!$E$2:$E$38,MATCH("2025::jama.2025.11178::C013",'C_jama.2025.11178'!$A$2:$A$38,0))="protocol_report"),IF(INDEX('C_jama.2025.11178'!$L$2:$L$38,MATCH("2025::jama.2025.11178::C013",'C_jama.2025.11178'!$A$2:$A$38,0))="","",INDEX('C_jama.2025.11178'!$L$2:$L$38,MATCH("2025::jama.2025.11178::C013",'C_jama.2025.11178'!$A$2:$A$38,0))),"not_applicable")</x:f>
        <x:v>not_applicable</x:v>
      </x:c>
      <x:c r="Z30" s="6" t="str">
        <x:f>IF(INDEX('C_jama.2025.11178'!$R$2:$R$38,MATCH("2025::jama.2025.11178::C013",'C_jama.2025.11178'!$A$2:$A$38,0))="","",INDEX('C_jama.2025.11178'!$R$2:$R$38,MATCH("2025::jama.2025.11178::C013",'C_jama.2025.11178'!$A$2:$A$38,0)))</x:f>
      </x:c>
      <x:c r="AA30" s="6" t="str">
        <x:f>IF(INDEX('C_jama.2025.11178'!$N$2:$N$38,MATCH("2025::jama.2025.11178::C013",'C_jama.2025.11178'!$A$2:$A$38,0))="","",INDEX('C_jama.2025.11178'!$N$2:$N$38,MATCH("2025::jama.2025.11178::C013",'C_jama.2025.11178'!$A$2:$A$38,0)))</x:f>
      </x:c>
      <x:c r="AB30" s="6" t="str">
        <x:f>IF(INDEX('C_jama.2025.11178'!$O$2:$O$38,MATCH("2025::jama.2025.11178::C013",'C_jama.2025.11178'!$A$2:$A$38,0))="","",INDEX('C_jama.2025.11178'!$O$2:$O$38,MATCH("2025::jama.2025.11178::C013",'C_jama.2025.11178'!$A$2:$A$38,0)))</x:f>
      </x:c>
      <x:c r="AC30" s="6" t="str">
        <x:f>IF(INDEX('C_jama.2025.11178'!$P$2:$P$38,MATCH("2025::jama.2025.11178::C013",'C_jama.2025.11178'!$A$2:$A$38,0))="","",INDEX('C_jama.2025.11178'!$P$2:$P$38,MATCH("2025::jama.2025.11178::C013",'C_jama.2025.11178'!$A$2:$A$38,0)))</x:f>
      </x:c>
      <x:c r="AD30" s="6" t="str">
        <x:f>IF(INDEX('C_jama.2025.11178'!$Q$2:$Q$38,MATCH("2025::jama.2025.11178::C013",'C_jama.2025.11178'!$A$2:$A$38,0))="","",INDEX('C_jama.2025.11178'!$Q$2:$Q$38,MATCH("2025::jama.2025.11178::C013",'C_jama.2025.11178'!$A$2:$A$38,0)))</x:f>
      </x:c>
    </x:row>
    <x:row r="31" ht="65" customHeight="1">
      <x:c r="A31" s="3" t="n">
        <x:v>2025</x:v>
      </x:c>
      <x:c r="B31" s="3" t="str">
        <x:v>jama.2025.11178</x:v>
      </x:c>
      <x:c r="C31" s="3" t="str">
        <x:v>2025::jama.2025.11178::C014</x:v>
      </x:c>
      <x:c r="D31" s="3" t="str">
        <x:v>S_W</x:v>
      </x:c>
      <x:c r="E31" s="3" t="n">
        <x:f>Setup!$B$2</x:f>
        <x:v>0</x:v>
      </x:c>
      <x:c r="F31" s="3" t="str">
        <x:f>IF(Setup!$B$4="","",Setup!$B$4)</x:f>
      </x:c>
      <x:c r="G31" s="3" t="str">
        <x:f>IFERROR(INDEX('C_jama.2025.11178'!$G$2:$G$38,MATCH("2025::jama.2025.11178::C014",'C_jama.2025.11178'!$A$2:$A$38,0)),"CHECK KEY")</x:f>
        <x:v>CHECK REVIEWER IDs</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statistical_results</x:v>
      </x:c>
      <x:c r="K31" s="3" t="str">
        <x:f>IF(Setup!$B$6="primary","",IFERROR(IF(INDEX('Primary_snapshot'!$B$2:$B$132,MATCH(C31,'Primary_snapshot'!$A$2:$A$132,0))="","",INDEX('Primary_snapshot'!$B$2:$B$132,MATCH(C31,'Primary_snapshot'!$A$2:$A$132,0))),"SNAPSHOT MISSING"))</x:f>
      </x:c>
      <x:c r="L31" s="3" t="str">
        <x:f>IF(Setup!$B$6="primary","",IFERROR(IF(INDEX('Primary_snapshot'!$C$2:$C$132,MATCH(C31,'Primary_snapshot'!$A$2:$A$132,0))="","",INDEX('Primary_snapshot'!$C$2:$C$132,MATCH(C31,'Primary_snapshot'!$A$2:$A$132,0))),"SNAPSHOT MISSING"))</x:f>
      </x:c>
      <x:c r="M31" s="3" t="str">
        <x:f>IF(Setup!$B$6="primary","",IFERROR(IF(INDEX('Primary_snapshot'!$D$2:$D$132,MATCH(C31,'Primary_snapshot'!$A$2:$A$132,0))="","",INDEX('Primary_snapshot'!$D$2:$D$132,MATCH(C31,'Primary_snapshot'!$A$2:$A$132,0))),"SNAPSHOT MISSING"))</x:f>
      </x:c>
      <x:c r="N31" s="3" t="str">
        <x:f>IF(Setup!$B$6="primary","",IFERROR(IF(INDEX('Primary_snapshot'!$E$2:$E$132,MATCH(C31,'Primary_snapshot'!$A$2:$A$132,0))="","",INDEX('Primary_snapshot'!$E$2:$E$132,MATCH(C31,'Primary_snapshot'!$A$2:$A$132,0))),"SNAPSHOT MISSING"))</x:f>
      </x:c>
      <x:c r="O31" s="3" t="str">
        <x:f>IF(Setup!$B$6="primary","",IFERROR(IF(INDEX('Primary_snapshot'!$F$2:$F$132,MATCH(C31,'Primary_snapshot'!$A$2:$A$132,0))="","",INDEX('Primary_snapshot'!$F$2:$F$132,MATCH(C31,'Primary_snapshot'!$A$2:$A$132,0))),"SNAPSHOT MISSING"))</x:f>
      </x:c>
      <x:c r="P31" s="3" t="str">
        <x:f>IF(Setup!$B$6="primary","",IFERROR(IF(INDEX('Primary_snapshot'!$G$2:$G$132,MATCH(C31,'Primary_snapshot'!$A$2:$A$132,0))="","",INDEX('Primary_snapshot'!$G$2:$G$132,MATCH(C31,'Primary_snapshot'!$A$2:$A$132,0))),"SNAPSHOT MISSING"))</x:f>
      </x:c>
      <x:c r="Q31" s="3" t="str">
        <x:f>IF(Setup!$B$6="primary","",IFERROR(IF(INDEX('Primary_snapshot'!$H$2:$H$132,MATCH(C31,'Primary_snapshot'!$A$2:$A$132,0))="","",INDEX('Primary_snapshot'!$H$2:$H$132,MATCH(C31,'Primary_snapshot'!$A$2:$A$132,0))),"SNAPSHOT MISSING"))</x:f>
      </x:c>
      <x:c r="R31" s="3" t="str">
        <x:f>IF(Setup!$B$6="primary","",IFERROR(IF(INDEX('Primary_snapshot'!$I$2:$I$132,MATCH(C31,'Primary_snapshot'!$A$2:$A$132,0))="","",INDEX('Primary_snapshot'!$I$2:$I$132,MATCH(C31,'Primary_snapshot'!$A$2:$A$132,0))),"SNAPSHOT MISSING"))</x:f>
      </x:c>
      <x:c r="S31" s="3" t="str">
        <x:f>IF(INDEX('C_jama.2025.11178'!$D$2:$D$38,MATCH("2025::jama.2025.11178::C014",'C_jama.2025.11178'!$A$2:$A$38,0))="","",INDEX('C_jama.2025.11178'!$D$2:$D$38,MATCH("2025::jama.2025.11178::C014",'C_jama.2025.11178'!$A$2:$A$38,0)))</x:f>
      </x:c>
      <x:c r="T31" s="3" t="str">
        <x:f>IF(INDEX('C_jama.2025.11178'!$E$2:$E$38,MATCH("2025::jama.2025.11178::C014",'C_jama.2025.11178'!$A$2:$A$38,0))="","",INDEX('C_jama.2025.11178'!$E$2:$E$38,MATCH("2025::jama.2025.11178::C014",'C_jama.2025.11178'!$A$2:$A$38,0)))</x:f>
        <x:v>statistical_results</x:v>
      </x:c>
      <x:c r="U31" s="3" t="str">
        <x:f>IF(AND(INDEX('C_jama.2025.11178'!$D$2:$D$38,MATCH("2025::jama.2025.11178::C014",'C_jama.2025.11178'!$A$2:$A$38,0))="retain",INDEX('C_jama.2025.11178'!$E$2:$E$38,MATCH("2025::jama.2025.11178::C014",'C_jama.2025.11178'!$A$2:$A$38,0))="statistical_results"),IF(INDEX('C_jama.2025.11178'!$H$2:$H$38,MATCH("2025::jama.2025.11178::C014",'C_jama.2025.11178'!$A$2:$A$38,0))="","",INDEX('C_jama.2025.11178'!$H$2:$H$38,MATCH("2025::jama.2025.11178::C014",'C_jama.2025.11178'!$A$2:$A$38,0))),"not_applicable")</x:f>
        <x:v>not_applicable</x:v>
      </x:c>
      <x:c r="V31" s="3" t="str">
        <x:f>IF(AND(INDEX('C_jama.2025.11178'!$D$2:$D$38,MATCH("2025::jama.2025.11178::C014",'C_jama.2025.11178'!$A$2:$A$38,0))="retain",INDEX('C_jama.2025.11178'!$E$2:$E$38,MATCH("2025::jama.2025.11178::C014",'C_jama.2025.11178'!$A$2:$A$38,0))="statistical_results"),IF(INDEX('C_jama.2025.11178'!$I$2:$I$38,MATCH("2025::jama.2025.11178::C014",'C_jama.2025.11178'!$A$2:$A$38,0))="","",INDEX('C_jama.2025.11178'!$I$2:$I$38,MATCH("2025::jama.2025.11178::C014",'C_jama.2025.11178'!$A$2:$A$38,0))),"not_applicable")</x:f>
        <x:v>not_applicable</x:v>
      </x:c>
      <x:c r="W31" s="3" t="str">
        <x:f>IF(AND(INDEX('C_jama.2025.11178'!$D$2:$D$38,MATCH("2025::jama.2025.11178::C014",'C_jama.2025.11178'!$A$2:$A$38,0))="retain",INDEX('C_jama.2025.11178'!$E$2:$E$38,MATCH("2025::jama.2025.11178::C014",'C_jama.2025.11178'!$A$2:$A$38,0))="statistical_results"),IF(INDEX('C_jama.2025.11178'!$J$2:$J$38,MATCH("2025::jama.2025.11178::C014",'C_jama.2025.11178'!$A$2:$A$38,0))="","",INDEX('C_jama.2025.11178'!$J$2:$J$38,MATCH("2025::jama.2025.11178::C014",'C_jama.2025.11178'!$A$2:$A$38,0))),"not_applicable")</x:f>
        <x:v>not_applicable</x:v>
      </x:c>
      <x:c r="X31" s="3" t="str">
        <x:f>IF(AND(INDEX('C_jama.2025.11178'!$D$2:$D$38,MATCH("2025::jama.2025.11178::C014",'C_jama.2025.11178'!$A$2:$A$38,0))="retain",OR(INDEX('C_jama.2025.11178'!$E$2:$E$38,MATCH("2025::jama.2025.11178::C014",'C_jama.2025.11178'!$A$2:$A$38,0))="report_internal_inconsistency",INDEX('C_jama.2025.11178'!$E$2:$E$38,MATCH("2025::jama.2025.11178::C014",'C_jama.2025.11178'!$A$2:$A$38,0))="plan_material")),IF(INDEX('C_jama.2025.11178'!$K$2:$K$38,MATCH("2025::jama.2025.11178::C014",'C_jama.2025.11178'!$A$2:$A$38,0))="","",INDEX('C_jama.2025.11178'!$K$2:$K$38,MATCH("2025::jama.2025.11178::C014",'C_jama.2025.11178'!$A$2:$A$38,0))),"not_applicable")</x:f>
        <x:v>not_applicable</x:v>
      </x:c>
      <x:c r="Y31" s="3" t="str">
        <x:f>IF(AND(INDEX('C_jama.2025.11178'!$D$2:$D$38,MATCH("2025::jama.2025.11178::C014",'C_jama.2025.11178'!$A$2:$A$38,0))="retain",INDEX('C_jama.2025.11178'!$E$2:$E$38,MATCH("2025::jama.2025.11178::C014",'C_jama.2025.11178'!$A$2:$A$38,0))="protocol_report"),IF(INDEX('C_jama.2025.11178'!$L$2:$L$38,MATCH("2025::jama.2025.11178::C014",'C_jama.2025.11178'!$A$2:$A$38,0))="","",INDEX('C_jama.2025.11178'!$L$2:$L$38,MATCH("2025::jama.2025.11178::C014",'C_jama.2025.11178'!$A$2:$A$38,0))),"not_applicable")</x:f>
        <x:v>not_applicable</x:v>
      </x:c>
      <x:c r="Z31" s="3" t="str">
        <x:f>IF(INDEX('C_jama.2025.11178'!$R$2:$R$38,MATCH("2025::jama.2025.11178::C014",'C_jama.2025.11178'!$A$2:$A$38,0))="","",INDEX('C_jama.2025.11178'!$R$2:$R$38,MATCH("2025::jama.2025.11178::C014",'C_jama.2025.11178'!$A$2:$A$38,0)))</x:f>
      </x:c>
      <x:c r="AA31" s="3" t="str">
        <x:f>IF(INDEX('C_jama.2025.11178'!$N$2:$N$38,MATCH("2025::jama.2025.11178::C014",'C_jama.2025.11178'!$A$2:$A$38,0))="","",INDEX('C_jama.2025.11178'!$N$2:$N$38,MATCH("2025::jama.2025.11178::C014",'C_jama.2025.11178'!$A$2:$A$38,0)))</x:f>
      </x:c>
      <x:c r="AB31" s="3" t="str">
        <x:f>IF(INDEX('C_jama.2025.11178'!$O$2:$O$38,MATCH("2025::jama.2025.11178::C014",'C_jama.2025.11178'!$A$2:$A$38,0))="","",INDEX('C_jama.2025.11178'!$O$2:$O$38,MATCH("2025::jama.2025.11178::C014",'C_jama.2025.11178'!$A$2:$A$38,0)))</x:f>
      </x:c>
      <x:c r="AC31" s="3" t="str">
        <x:f>IF(INDEX('C_jama.2025.11178'!$P$2:$P$38,MATCH("2025::jama.2025.11178::C014",'C_jama.2025.11178'!$A$2:$A$38,0))="","",INDEX('C_jama.2025.11178'!$P$2:$P$38,MATCH("2025::jama.2025.11178::C014",'C_jama.2025.11178'!$A$2:$A$38,0)))</x:f>
      </x:c>
      <x:c r="AD31" s="3" t="str">
        <x:f>IF(INDEX('C_jama.2025.11178'!$Q$2:$Q$38,MATCH("2025::jama.2025.11178::C014",'C_jama.2025.11178'!$A$2:$A$38,0))="","",INDEX('C_jama.2025.11178'!$Q$2:$Q$38,MATCH("2025::jama.2025.11178::C014",'C_jama.2025.11178'!$A$2:$A$38,0)))</x:f>
      </x:c>
    </x:row>
    <x:row r="32" ht="65" customHeight="1">
      <x:c r="A32" s="6" t="n">
        <x:v>2025</x:v>
      </x:c>
      <x:c r="B32" s="6" t="str">
        <x:v>jama.2025.11178</x:v>
      </x:c>
      <x:c r="C32" s="6" t="str">
        <x:v>2025::jama.2025.11178::C015</x:v>
      </x:c>
      <x:c r="D32" s="6" t="str">
        <x:v>S_W</x:v>
      </x:c>
      <x:c r="E32" s="6" t="n">
        <x:f>Setup!$B$2</x:f>
        <x:v>0</x:v>
      </x:c>
      <x:c r="F32" s="6" t="str">
        <x:f>IF(Setup!$B$4="","",Setup!$B$4)</x:f>
      </x:c>
      <x:c r="G32" s="6" t="str">
        <x:f>IFERROR(INDEX('C_jama.2025.11178'!$G$2:$G$38,MATCH("2025::jama.2025.11178::C015",'C_jama.2025.11178'!$A$2:$A$38,0)),"CHECK KEY")</x:f>
        <x:v>CHECK REVIEWER IDs</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statistical_results</x:v>
      </x:c>
      <x:c r="K32" s="6" t="str">
        <x:f>IF(Setup!$B$6="primary","",IFERROR(IF(INDEX('Primary_snapshot'!$B$2:$B$132,MATCH(C32,'Primary_snapshot'!$A$2:$A$132,0))="","",INDEX('Primary_snapshot'!$B$2:$B$132,MATCH(C32,'Primary_snapshot'!$A$2:$A$132,0))),"SNAPSHOT MISSING"))</x:f>
      </x:c>
      <x:c r="L32" s="6" t="str">
        <x:f>IF(Setup!$B$6="primary","",IFERROR(IF(INDEX('Primary_snapshot'!$C$2:$C$132,MATCH(C32,'Primary_snapshot'!$A$2:$A$132,0))="","",INDEX('Primary_snapshot'!$C$2:$C$132,MATCH(C32,'Primary_snapshot'!$A$2:$A$132,0))),"SNAPSHOT MISSING"))</x:f>
      </x:c>
      <x:c r="M32" s="6" t="str">
        <x:f>IF(Setup!$B$6="primary","",IFERROR(IF(INDEX('Primary_snapshot'!$D$2:$D$132,MATCH(C32,'Primary_snapshot'!$A$2:$A$132,0))="","",INDEX('Primary_snapshot'!$D$2:$D$132,MATCH(C32,'Primary_snapshot'!$A$2:$A$132,0))),"SNAPSHOT MISSING"))</x:f>
      </x:c>
      <x:c r="N32" s="6" t="str">
        <x:f>IF(Setup!$B$6="primary","",IFERROR(IF(INDEX('Primary_snapshot'!$E$2:$E$132,MATCH(C32,'Primary_snapshot'!$A$2:$A$132,0))="","",INDEX('Primary_snapshot'!$E$2:$E$132,MATCH(C32,'Primary_snapshot'!$A$2:$A$132,0))),"SNAPSHOT MISSING"))</x:f>
      </x:c>
      <x:c r="O32" s="6" t="str">
        <x:f>IF(Setup!$B$6="primary","",IFERROR(IF(INDEX('Primary_snapshot'!$F$2:$F$132,MATCH(C32,'Primary_snapshot'!$A$2:$A$132,0))="","",INDEX('Primary_snapshot'!$F$2:$F$132,MATCH(C32,'Primary_snapshot'!$A$2:$A$132,0))),"SNAPSHOT MISSING"))</x:f>
      </x:c>
      <x:c r="P32" s="6" t="str">
        <x:f>IF(Setup!$B$6="primary","",IFERROR(IF(INDEX('Primary_snapshot'!$G$2:$G$132,MATCH(C32,'Primary_snapshot'!$A$2:$A$132,0))="","",INDEX('Primary_snapshot'!$G$2:$G$132,MATCH(C32,'Primary_snapshot'!$A$2:$A$132,0))),"SNAPSHOT MISSING"))</x:f>
      </x:c>
      <x:c r="Q32" s="6" t="str">
        <x:f>IF(Setup!$B$6="primary","",IFERROR(IF(INDEX('Primary_snapshot'!$H$2:$H$132,MATCH(C32,'Primary_snapshot'!$A$2:$A$132,0))="","",INDEX('Primary_snapshot'!$H$2:$H$132,MATCH(C32,'Primary_snapshot'!$A$2:$A$132,0))),"SNAPSHOT MISSING"))</x:f>
      </x:c>
      <x:c r="R32" s="6" t="str">
        <x:f>IF(Setup!$B$6="primary","",IFERROR(IF(INDEX('Primary_snapshot'!$I$2:$I$132,MATCH(C32,'Primary_snapshot'!$A$2:$A$132,0))="","",INDEX('Primary_snapshot'!$I$2:$I$132,MATCH(C32,'Primary_snapshot'!$A$2:$A$132,0))),"SNAPSHOT MISSING"))</x:f>
      </x:c>
      <x:c r="S32" s="6" t="str">
        <x:f>IF(INDEX('C_jama.2025.11178'!$D$2:$D$38,MATCH("2025::jama.2025.11178::C015",'C_jama.2025.11178'!$A$2:$A$38,0))="","",INDEX('C_jama.2025.11178'!$D$2:$D$38,MATCH("2025::jama.2025.11178::C015",'C_jama.2025.11178'!$A$2:$A$38,0)))</x:f>
      </x:c>
      <x:c r="T32" s="6" t="str">
        <x:f>IF(INDEX('C_jama.2025.11178'!$E$2:$E$38,MATCH("2025::jama.2025.11178::C015",'C_jama.2025.11178'!$A$2:$A$38,0))="","",INDEX('C_jama.2025.11178'!$E$2:$E$38,MATCH("2025::jama.2025.11178::C015",'C_jama.2025.11178'!$A$2:$A$38,0)))</x:f>
        <x:v>statistical_results</x:v>
      </x:c>
      <x:c r="U32" s="6" t="str">
        <x:f>IF(AND(INDEX('C_jama.2025.11178'!$D$2:$D$38,MATCH("2025::jama.2025.11178::C015",'C_jama.2025.11178'!$A$2:$A$38,0))="retain",INDEX('C_jama.2025.11178'!$E$2:$E$38,MATCH("2025::jama.2025.11178::C015",'C_jama.2025.11178'!$A$2:$A$38,0))="statistical_results"),IF(INDEX('C_jama.2025.11178'!$H$2:$H$38,MATCH("2025::jama.2025.11178::C015",'C_jama.2025.11178'!$A$2:$A$38,0))="","",INDEX('C_jama.2025.11178'!$H$2:$H$38,MATCH("2025::jama.2025.11178::C015",'C_jama.2025.11178'!$A$2:$A$38,0))),"not_applicable")</x:f>
        <x:v>not_applicable</x:v>
      </x:c>
      <x:c r="V32" s="6" t="str">
        <x:f>IF(AND(INDEX('C_jama.2025.11178'!$D$2:$D$38,MATCH("2025::jama.2025.11178::C015",'C_jama.2025.11178'!$A$2:$A$38,0))="retain",INDEX('C_jama.2025.11178'!$E$2:$E$38,MATCH("2025::jama.2025.11178::C015",'C_jama.2025.11178'!$A$2:$A$38,0))="statistical_results"),IF(INDEX('C_jama.2025.11178'!$I$2:$I$38,MATCH("2025::jama.2025.11178::C015",'C_jama.2025.11178'!$A$2:$A$38,0))="","",INDEX('C_jama.2025.11178'!$I$2:$I$38,MATCH("2025::jama.2025.11178::C015",'C_jama.2025.11178'!$A$2:$A$38,0))),"not_applicable")</x:f>
        <x:v>not_applicable</x:v>
      </x:c>
      <x:c r="W32" s="6" t="str">
        <x:f>IF(AND(INDEX('C_jama.2025.11178'!$D$2:$D$38,MATCH("2025::jama.2025.11178::C015",'C_jama.2025.11178'!$A$2:$A$38,0))="retain",INDEX('C_jama.2025.11178'!$E$2:$E$38,MATCH("2025::jama.2025.11178::C015",'C_jama.2025.11178'!$A$2:$A$38,0))="statistical_results"),IF(INDEX('C_jama.2025.11178'!$J$2:$J$38,MATCH("2025::jama.2025.11178::C015",'C_jama.2025.11178'!$A$2:$A$38,0))="","",INDEX('C_jama.2025.11178'!$J$2:$J$38,MATCH("2025::jama.2025.11178::C015",'C_jama.2025.11178'!$A$2:$A$38,0))),"not_applicable")</x:f>
        <x:v>not_applicable</x:v>
      </x:c>
      <x:c r="X32" s="6" t="str">
        <x:f>IF(AND(INDEX('C_jama.2025.11178'!$D$2:$D$38,MATCH("2025::jama.2025.11178::C015",'C_jama.2025.11178'!$A$2:$A$38,0))="retain",OR(INDEX('C_jama.2025.11178'!$E$2:$E$38,MATCH("2025::jama.2025.11178::C015",'C_jama.2025.11178'!$A$2:$A$38,0))="report_internal_inconsistency",INDEX('C_jama.2025.11178'!$E$2:$E$38,MATCH("2025::jama.2025.11178::C015",'C_jama.2025.11178'!$A$2:$A$38,0))="plan_material")),IF(INDEX('C_jama.2025.11178'!$K$2:$K$38,MATCH("2025::jama.2025.11178::C015",'C_jama.2025.11178'!$A$2:$A$38,0))="","",INDEX('C_jama.2025.11178'!$K$2:$K$38,MATCH("2025::jama.2025.11178::C015",'C_jama.2025.11178'!$A$2:$A$38,0))),"not_applicable")</x:f>
        <x:v>not_applicable</x:v>
      </x:c>
      <x:c r="Y32" s="6" t="str">
        <x:f>IF(AND(INDEX('C_jama.2025.11178'!$D$2:$D$38,MATCH("2025::jama.2025.11178::C015",'C_jama.2025.11178'!$A$2:$A$38,0))="retain",INDEX('C_jama.2025.11178'!$E$2:$E$38,MATCH("2025::jama.2025.11178::C015",'C_jama.2025.11178'!$A$2:$A$38,0))="protocol_report"),IF(INDEX('C_jama.2025.11178'!$L$2:$L$38,MATCH("2025::jama.2025.11178::C015",'C_jama.2025.11178'!$A$2:$A$38,0))="","",INDEX('C_jama.2025.11178'!$L$2:$L$38,MATCH("2025::jama.2025.11178::C015",'C_jama.2025.11178'!$A$2:$A$38,0))),"not_applicable")</x:f>
        <x:v>not_applicable</x:v>
      </x:c>
      <x:c r="Z32" s="6" t="str">
        <x:f>IF(INDEX('C_jama.2025.11178'!$R$2:$R$38,MATCH("2025::jama.2025.11178::C015",'C_jama.2025.11178'!$A$2:$A$38,0))="","",INDEX('C_jama.2025.11178'!$R$2:$R$38,MATCH("2025::jama.2025.11178::C015",'C_jama.2025.11178'!$A$2:$A$38,0)))</x:f>
      </x:c>
      <x:c r="AA32" s="6" t="str">
        <x:f>IF(INDEX('C_jama.2025.11178'!$N$2:$N$38,MATCH("2025::jama.2025.11178::C015",'C_jama.2025.11178'!$A$2:$A$38,0))="","",INDEX('C_jama.2025.11178'!$N$2:$N$38,MATCH("2025::jama.2025.11178::C015",'C_jama.2025.11178'!$A$2:$A$38,0)))</x:f>
      </x:c>
      <x:c r="AB32" s="6" t="str">
        <x:f>IF(INDEX('C_jama.2025.11178'!$O$2:$O$38,MATCH("2025::jama.2025.11178::C015",'C_jama.2025.11178'!$A$2:$A$38,0))="","",INDEX('C_jama.2025.11178'!$O$2:$O$38,MATCH("2025::jama.2025.11178::C015",'C_jama.2025.11178'!$A$2:$A$38,0)))</x:f>
      </x:c>
      <x:c r="AC32" s="6" t="str">
        <x:f>IF(INDEX('C_jama.2025.11178'!$P$2:$P$38,MATCH("2025::jama.2025.11178::C015",'C_jama.2025.11178'!$A$2:$A$38,0))="","",INDEX('C_jama.2025.11178'!$P$2:$P$38,MATCH("2025::jama.2025.11178::C015",'C_jama.2025.11178'!$A$2:$A$38,0)))</x:f>
      </x:c>
      <x:c r="AD32" s="6" t="str">
        <x:f>IF(INDEX('C_jama.2025.11178'!$Q$2:$Q$38,MATCH("2025::jama.2025.11178::C015",'C_jama.2025.11178'!$A$2:$A$38,0))="","",INDEX('C_jama.2025.11178'!$Q$2:$Q$38,MATCH("2025::jama.2025.11178::C015",'C_jama.2025.11178'!$A$2:$A$38,0)))</x:f>
      </x:c>
    </x:row>
    <x:row r="33" ht="65" customHeight="1">
      <x:c r="A33" s="3" t="n">
        <x:v>2025</x:v>
      </x:c>
      <x:c r="B33" s="3" t="str">
        <x:v>jama.2025.11178</x:v>
      </x:c>
      <x:c r="C33" s="3" t="str">
        <x:v>2025::jama.2025.11178::C016</x:v>
      </x:c>
      <x:c r="D33" s="3" t="str">
        <x:v>S_W</x:v>
      </x:c>
      <x:c r="E33" s="3" t="n">
        <x:f>Setup!$B$2</x:f>
        <x:v>0</x:v>
      </x:c>
      <x:c r="F33" s="3" t="str">
        <x:f>IF(Setup!$B$4="","",Setup!$B$4)</x:f>
      </x:c>
      <x:c r="G33" s="3" t="str">
        <x:f>IFERROR(INDEX('C_jama.2025.11178'!$G$2:$G$38,MATCH("2025::jama.2025.11178::C016",'C_jama.2025.11178'!$A$2:$A$38,0)),"CHECK KEY")</x:f>
        <x:v>CHECK REVIEWER IDs</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statistical_results</x:v>
      </x:c>
      <x:c r="K33" s="3" t="str">
        <x:f>IF(Setup!$B$6="primary","",IFERROR(IF(INDEX('Primary_snapshot'!$B$2:$B$132,MATCH(C33,'Primary_snapshot'!$A$2:$A$132,0))="","",INDEX('Primary_snapshot'!$B$2:$B$132,MATCH(C33,'Primary_snapshot'!$A$2:$A$132,0))),"SNAPSHOT MISSING"))</x:f>
      </x:c>
      <x:c r="L33" s="3" t="str">
        <x:f>IF(Setup!$B$6="primary","",IFERROR(IF(INDEX('Primary_snapshot'!$C$2:$C$132,MATCH(C33,'Primary_snapshot'!$A$2:$A$132,0))="","",INDEX('Primary_snapshot'!$C$2:$C$132,MATCH(C33,'Primary_snapshot'!$A$2:$A$132,0))),"SNAPSHOT MISSING"))</x:f>
      </x:c>
      <x:c r="M33" s="3" t="str">
        <x:f>IF(Setup!$B$6="primary","",IFERROR(IF(INDEX('Primary_snapshot'!$D$2:$D$132,MATCH(C33,'Primary_snapshot'!$A$2:$A$132,0))="","",INDEX('Primary_snapshot'!$D$2:$D$132,MATCH(C33,'Primary_snapshot'!$A$2:$A$132,0))),"SNAPSHOT MISSING"))</x:f>
      </x:c>
      <x:c r="N33" s="3" t="str">
        <x:f>IF(Setup!$B$6="primary","",IFERROR(IF(INDEX('Primary_snapshot'!$E$2:$E$132,MATCH(C33,'Primary_snapshot'!$A$2:$A$132,0))="","",INDEX('Primary_snapshot'!$E$2:$E$132,MATCH(C33,'Primary_snapshot'!$A$2:$A$132,0))),"SNAPSHOT MISSING"))</x:f>
      </x:c>
      <x:c r="O33" s="3" t="str">
        <x:f>IF(Setup!$B$6="primary","",IFERROR(IF(INDEX('Primary_snapshot'!$F$2:$F$132,MATCH(C33,'Primary_snapshot'!$A$2:$A$132,0))="","",INDEX('Primary_snapshot'!$F$2:$F$132,MATCH(C33,'Primary_snapshot'!$A$2:$A$132,0))),"SNAPSHOT MISSING"))</x:f>
      </x:c>
      <x:c r="P33" s="3" t="str">
        <x:f>IF(Setup!$B$6="primary","",IFERROR(IF(INDEX('Primary_snapshot'!$G$2:$G$132,MATCH(C33,'Primary_snapshot'!$A$2:$A$132,0))="","",INDEX('Primary_snapshot'!$G$2:$G$132,MATCH(C33,'Primary_snapshot'!$A$2:$A$132,0))),"SNAPSHOT MISSING"))</x:f>
      </x:c>
      <x:c r="Q33" s="3" t="str">
        <x:f>IF(Setup!$B$6="primary","",IFERROR(IF(INDEX('Primary_snapshot'!$H$2:$H$132,MATCH(C33,'Primary_snapshot'!$A$2:$A$132,0))="","",INDEX('Primary_snapshot'!$H$2:$H$132,MATCH(C33,'Primary_snapshot'!$A$2:$A$132,0))),"SNAPSHOT MISSING"))</x:f>
      </x:c>
      <x:c r="R33" s="3" t="str">
        <x:f>IF(Setup!$B$6="primary","",IFERROR(IF(INDEX('Primary_snapshot'!$I$2:$I$132,MATCH(C33,'Primary_snapshot'!$A$2:$A$132,0))="","",INDEX('Primary_snapshot'!$I$2:$I$132,MATCH(C33,'Primary_snapshot'!$A$2:$A$132,0))),"SNAPSHOT MISSING"))</x:f>
      </x:c>
      <x:c r="S33" s="3" t="str">
        <x:f>IF(INDEX('C_jama.2025.11178'!$D$2:$D$38,MATCH("2025::jama.2025.11178::C016",'C_jama.2025.11178'!$A$2:$A$38,0))="","",INDEX('C_jama.2025.11178'!$D$2:$D$38,MATCH("2025::jama.2025.11178::C016",'C_jama.2025.11178'!$A$2:$A$38,0)))</x:f>
      </x:c>
      <x:c r="T33" s="3" t="str">
        <x:f>IF(INDEX('C_jama.2025.11178'!$E$2:$E$38,MATCH("2025::jama.2025.11178::C016",'C_jama.2025.11178'!$A$2:$A$38,0))="","",INDEX('C_jama.2025.11178'!$E$2:$E$38,MATCH("2025::jama.2025.11178::C016",'C_jama.2025.11178'!$A$2:$A$38,0)))</x:f>
        <x:v>statistical_results</x:v>
      </x:c>
      <x:c r="U33" s="3" t="str">
        <x:f>IF(AND(INDEX('C_jama.2025.11178'!$D$2:$D$38,MATCH("2025::jama.2025.11178::C016",'C_jama.2025.11178'!$A$2:$A$38,0))="retain",INDEX('C_jama.2025.11178'!$E$2:$E$38,MATCH("2025::jama.2025.11178::C016",'C_jama.2025.11178'!$A$2:$A$38,0))="statistical_results"),IF(INDEX('C_jama.2025.11178'!$H$2:$H$38,MATCH("2025::jama.2025.11178::C016",'C_jama.2025.11178'!$A$2:$A$38,0))="","",INDEX('C_jama.2025.11178'!$H$2:$H$38,MATCH("2025::jama.2025.11178::C016",'C_jama.2025.11178'!$A$2:$A$38,0))),"not_applicable")</x:f>
        <x:v>not_applicable</x:v>
      </x:c>
      <x:c r="V33" s="3" t="str">
        <x:f>IF(AND(INDEX('C_jama.2025.11178'!$D$2:$D$38,MATCH("2025::jama.2025.11178::C016",'C_jama.2025.11178'!$A$2:$A$38,0))="retain",INDEX('C_jama.2025.11178'!$E$2:$E$38,MATCH("2025::jama.2025.11178::C016",'C_jama.2025.11178'!$A$2:$A$38,0))="statistical_results"),IF(INDEX('C_jama.2025.11178'!$I$2:$I$38,MATCH("2025::jama.2025.11178::C016",'C_jama.2025.11178'!$A$2:$A$38,0))="","",INDEX('C_jama.2025.11178'!$I$2:$I$38,MATCH("2025::jama.2025.11178::C016",'C_jama.2025.11178'!$A$2:$A$38,0))),"not_applicable")</x:f>
        <x:v>not_applicable</x:v>
      </x:c>
      <x:c r="W33" s="3" t="str">
        <x:f>IF(AND(INDEX('C_jama.2025.11178'!$D$2:$D$38,MATCH("2025::jama.2025.11178::C016",'C_jama.2025.11178'!$A$2:$A$38,0))="retain",INDEX('C_jama.2025.11178'!$E$2:$E$38,MATCH("2025::jama.2025.11178::C016",'C_jama.2025.11178'!$A$2:$A$38,0))="statistical_results"),IF(INDEX('C_jama.2025.11178'!$J$2:$J$38,MATCH("2025::jama.2025.11178::C016",'C_jama.2025.11178'!$A$2:$A$38,0))="","",INDEX('C_jama.2025.11178'!$J$2:$J$38,MATCH("2025::jama.2025.11178::C016",'C_jama.2025.11178'!$A$2:$A$38,0))),"not_applicable")</x:f>
        <x:v>not_applicable</x:v>
      </x:c>
      <x:c r="X33" s="3" t="str">
        <x:f>IF(AND(INDEX('C_jama.2025.11178'!$D$2:$D$38,MATCH("2025::jama.2025.11178::C016",'C_jama.2025.11178'!$A$2:$A$38,0))="retain",OR(INDEX('C_jama.2025.11178'!$E$2:$E$38,MATCH("2025::jama.2025.11178::C016",'C_jama.2025.11178'!$A$2:$A$38,0))="report_internal_inconsistency",INDEX('C_jama.2025.11178'!$E$2:$E$38,MATCH("2025::jama.2025.11178::C016",'C_jama.2025.11178'!$A$2:$A$38,0))="plan_material")),IF(INDEX('C_jama.2025.11178'!$K$2:$K$38,MATCH("2025::jama.2025.11178::C016",'C_jama.2025.11178'!$A$2:$A$38,0))="","",INDEX('C_jama.2025.11178'!$K$2:$K$38,MATCH("2025::jama.2025.11178::C016",'C_jama.2025.11178'!$A$2:$A$38,0))),"not_applicable")</x:f>
        <x:v>not_applicable</x:v>
      </x:c>
      <x:c r="Y33" s="3" t="str">
        <x:f>IF(AND(INDEX('C_jama.2025.11178'!$D$2:$D$38,MATCH("2025::jama.2025.11178::C016",'C_jama.2025.11178'!$A$2:$A$38,0))="retain",INDEX('C_jama.2025.11178'!$E$2:$E$38,MATCH("2025::jama.2025.11178::C016",'C_jama.2025.11178'!$A$2:$A$38,0))="protocol_report"),IF(INDEX('C_jama.2025.11178'!$L$2:$L$38,MATCH("2025::jama.2025.11178::C016",'C_jama.2025.11178'!$A$2:$A$38,0))="","",INDEX('C_jama.2025.11178'!$L$2:$L$38,MATCH("2025::jama.2025.11178::C016",'C_jama.2025.11178'!$A$2:$A$38,0))),"not_applicable")</x:f>
        <x:v>not_applicable</x:v>
      </x:c>
      <x:c r="Z33" s="3" t="str">
        <x:f>IF(INDEX('C_jama.2025.11178'!$R$2:$R$38,MATCH("2025::jama.2025.11178::C016",'C_jama.2025.11178'!$A$2:$A$38,0))="","",INDEX('C_jama.2025.11178'!$R$2:$R$38,MATCH("2025::jama.2025.11178::C016",'C_jama.2025.11178'!$A$2:$A$38,0)))</x:f>
      </x:c>
      <x:c r="AA33" s="3" t="str">
        <x:f>IF(INDEX('C_jama.2025.11178'!$N$2:$N$38,MATCH("2025::jama.2025.11178::C016",'C_jama.2025.11178'!$A$2:$A$38,0))="","",INDEX('C_jama.2025.11178'!$N$2:$N$38,MATCH("2025::jama.2025.11178::C016",'C_jama.2025.11178'!$A$2:$A$38,0)))</x:f>
      </x:c>
      <x:c r="AB33" s="3" t="str">
        <x:f>IF(INDEX('C_jama.2025.11178'!$O$2:$O$38,MATCH("2025::jama.2025.11178::C016",'C_jama.2025.11178'!$A$2:$A$38,0))="","",INDEX('C_jama.2025.11178'!$O$2:$O$38,MATCH("2025::jama.2025.11178::C016",'C_jama.2025.11178'!$A$2:$A$38,0)))</x:f>
      </x:c>
      <x:c r="AC33" s="3" t="str">
        <x:f>IF(INDEX('C_jama.2025.11178'!$P$2:$P$38,MATCH("2025::jama.2025.11178::C016",'C_jama.2025.11178'!$A$2:$A$38,0))="","",INDEX('C_jama.2025.11178'!$P$2:$P$38,MATCH("2025::jama.2025.11178::C016",'C_jama.2025.11178'!$A$2:$A$38,0)))</x:f>
      </x:c>
      <x:c r="AD33" s="3" t="str">
        <x:f>IF(INDEX('C_jama.2025.11178'!$Q$2:$Q$38,MATCH("2025::jama.2025.11178::C016",'C_jama.2025.11178'!$A$2:$A$38,0))="","",INDEX('C_jama.2025.11178'!$Q$2:$Q$38,MATCH("2025::jama.2025.11178::C016",'C_jama.2025.11178'!$A$2:$A$38,0)))</x:f>
      </x:c>
    </x:row>
    <x:row r="34" ht="65" customHeight="1">
      <x:c r="A34" s="6" t="n">
        <x:v>2025</x:v>
      </x:c>
      <x:c r="B34" s="6" t="str">
        <x:v>jama.2025.11178</x:v>
      </x:c>
      <x:c r="C34" s="6" t="str">
        <x:v>2025::jama.2025.11178::C017</x:v>
      </x:c>
      <x:c r="D34" s="6" t="str">
        <x:v>S_W</x:v>
      </x:c>
      <x:c r="E34" s="6" t="n">
        <x:f>Setup!$B$2</x:f>
        <x:v>0</x:v>
      </x:c>
      <x:c r="F34" s="6" t="str">
        <x:f>IF(Setup!$B$4="","",Setup!$B$4)</x:f>
      </x:c>
      <x:c r="G34" s="6" t="str">
        <x:f>IFERROR(INDEX('C_jama.2025.11178'!$G$2:$G$38,MATCH("2025::jama.2025.11178::C017",'C_jama.2025.11178'!$A$2:$A$38,0)),"CHECK KEY")</x:f>
        <x:v>CHECK REVIEWER IDs</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statistical_results</x:v>
      </x:c>
      <x:c r="K34" s="6" t="str">
        <x:f>IF(Setup!$B$6="primary","",IFERROR(IF(INDEX('Primary_snapshot'!$B$2:$B$132,MATCH(C34,'Primary_snapshot'!$A$2:$A$132,0))="","",INDEX('Primary_snapshot'!$B$2:$B$132,MATCH(C34,'Primary_snapshot'!$A$2:$A$132,0))),"SNAPSHOT MISSING"))</x:f>
      </x:c>
      <x:c r="L34" s="6" t="str">
        <x:f>IF(Setup!$B$6="primary","",IFERROR(IF(INDEX('Primary_snapshot'!$C$2:$C$132,MATCH(C34,'Primary_snapshot'!$A$2:$A$132,0))="","",INDEX('Primary_snapshot'!$C$2:$C$132,MATCH(C34,'Primary_snapshot'!$A$2:$A$132,0))),"SNAPSHOT MISSING"))</x:f>
      </x:c>
      <x:c r="M34" s="6" t="str">
        <x:f>IF(Setup!$B$6="primary","",IFERROR(IF(INDEX('Primary_snapshot'!$D$2:$D$132,MATCH(C34,'Primary_snapshot'!$A$2:$A$132,0))="","",INDEX('Primary_snapshot'!$D$2:$D$132,MATCH(C34,'Primary_snapshot'!$A$2:$A$132,0))),"SNAPSHOT MISSING"))</x:f>
      </x:c>
      <x:c r="N34" s="6" t="str">
        <x:f>IF(Setup!$B$6="primary","",IFERROR(IF(INDEX('Primary_snapshot'!$E$2:$E$132,MATCH(C34,'Primary_snapshot'!$A$2:$A$132,0))="","",INDEX('Primary_snapshot'!$E$2:$E$132,MATCH(C34,'Primary_snapshot'!$A$2:$A$132,0))),"SNAPSHOT MISSING"))</x:f>
      </x:c>
      <x:c r="O34" s="6" t="str">
        <x:f>IF(Setup!$B$6="primary","",IFERROR(IF(INDEX('Primary_snapshot'!$F$2:$F$132,MATCH(C34,'Primary_snapshot'!$A$2:$A$132,0))="","",INDEX('Primary_snapshot'!$F$2:$F$132,MATCH(C34,'Primary_snapshot'!$A$2:$A$132,0))),"SNAPSHOT MISSING"))</x:f>
      </x:c>
      <x:c r="P34" s="6" t="str">
        <x:f>IF(Setup!$B$6="primary","",IFERROR(IF(INDEX('Primary_snapshot'!$G$2:$G$132,MATCH(C34,'Primary_snapshot'!$A$2:$A$132,0))="","",INDEX('Primary_snapshot'!$G$2:$G$132,MATCH(C34,'Primary_snapshot'!$A$2:$A$132,0))),"SNAPSHOT MISSING"))</x:f>
      </x:c>
      <x:c r="Q34" s="6" t="str">
        <x:f>IF(Setup!$B$6="primary","",IFERROR(IF(INDEX('Primary_snapshot'!$H$2:$H$132,MATCH(C34,'Primary_snapshot'!$A$2:$A$132,0))="","",INDEX('Primary_snapshot'!$H$2:$H$132,MATCH(C34,'Primary_snapshot'!$A$2:$A$132,0))),"SNAPSHOT MISSING"))</x:f>
      </x:c>
      <x:c r="R34" s="6" t="str">
        <x:f>IF(Setup!$B$6="primary","",IFERROR(IF(INDEX('Primary_snapshot'!$I$2:$I$132,MATCH(C34,'Primary_snapshot'!$A$2:$A$132,0))="","",INDEX('Primary_snapshot'!$I$2:$I$132,MATCH(C34,'Primary_snapshot'!$A$2:$A$132,0))),"SNAPSHOT MISSING"))</x:f>
      </x:c>
      <x:c r="S34" s="6" t="str">
        <x:f>IF(INDEX('C_jama.2025.11178'!$D$2:$D$38,MATCH("2025::jama.2025.11178::C017",'C_jama.2025.11178'!$A$2:$A$38,0))="","",INDEX('C_jama.2025.11178'!$D$2:$D$38,MATCH("2025::jama.2025.11178::C017",'C_jama.2025.11178'!$A$2:$A$38,0)))</x:f>
      </x:c>
      <x:c r="T34" s="6" t="str">
        <x:f>IF(INDEX('C_jama.2025.11178'!$E$2:$E$38,MATCH("2025::jama.2025.11178::C017",'C_jama.2025.11178'!$A$2:$A$38,0))="","",INDEX('C_jama.2025.11178'!$E$2:$E$38,MATCH("2025::jama.2025.11178::C017",'C_jama.2025.11178'!$A$2:$A$38,0)))</x:f>
        <x:v>statistical_results</x:v>
      </x:c>
      <x:c r="U34" s="6" t="str">
        <x:f>IF(AND(INDEX('C_jama.2025.11178'!$D$2:$D$38,MATCH("2025::jama.2025.11178::C017",'C_jama.2025.11178'!$A$2:$A$38,0))="retain",INDEX('C_jama.2025.11178'!$E$2:$E$38,MATCH("2025::jama.2025.11178::C017",'C_jama.2025.11178'!$A$2:$A$38,0))="statistical_results"),IF(INDEX('C_jama.2025.11178'!$H$2:$H$38,MATCH("2025::jama.2025.11178::C017",'C_jama.2025.11178'!$A$2:$A$38,0))="","",INDEX('C_jama.2025.11178'!$H$2:$H$38,MATCH("2025::jama.2025.11178::C017",'C_jama.2025.11178'!$A$2:$A$38,0))),"not_applicable")</x:f>
        <x:v>not_applicable</x:v>
      </x:c>
      <x:c r="V34" s="6" t="str">
        <x:f>IF(AND(INDEX('C_jama.2025.11178'!$D$2:$D$38,MATCH("2025::jama.2025.11178::C017",'C_jama.2025.11178'!$A$2:$A$38,0))="retain",INDEX('C_jama.2025.11178'!$E$2:$E$38,MATCH("2025::jama.2025.11178::C017",'C_jama.2025.11178'!$A$2:$A$38,0))="statistical_results"),IF(INDEX('C_jama.2025.11178'!$I$2:$I$38,MATCH("2025::jama.2025.11178::C017",'C_jama.2025.11178'!$A$2:$A$38,0))="","",INDEX('C_jama.2025.11178'!$I$2:$I$38,MATCH("2025::jama.2025.11178::C017",'C_jama.2025.11178'!$A$2:$A$38,0))),"not_applicable")</x:f>
        <x:v>not_applicable</x:v>
      </x:c>
      <x:c r="W34" s="6" t="str">
        <x:f>IF(AND(INDEX('C_jama.2025.11178'!$D$2:$D$38,MATCH("2025::jama.2025.11178::C017",'C_jama.2025.11178'!$A$2:$A$38,0))="retain",INDEX('C_jama.2025.11178'!$E$2:$E$38,MATCH("2025::jama.2025.11178::C017",'C_jama.2025.11178'!$A$2:$A$38,0))="statistical_results"),IF(INDEX('C_jama.2025.11178'!$J$2:$J$38,MATCH("2025::jama.2025.11178::C017",'C_jama.2025.11178'!$A$2:$A$38,0))="","",INDEX('C_jama.2025.11178'!$J$2:$J$38,MATCH("2025::jama.2025.11178::C017",'C_jama.2025.11178'!$A$2:$A$38,0))),"not_applicable")</x:f>
        <x:v>not_applicable</x:v>
      </x:c>
      <x:c r="X34" s="6" t="str">
        <x:f>IF(AND(INDEX('C_jama.2025.11178'!$D$2:$D$38,MATCH("2025::jama.2025.11178::C017",'C_jama.2025.11178'!$A$2:$A$38,0))="retain",OR(INDEX('C_jama.2025.11178'!$E$2:$E$38,MATCH("2025::jama.2025.11178::C017",'C_jama.2025.11178'!$A$2:$A$38,0))="report_internal_inconsistency",INDEX('C_jama.2025.11178'!$E$2:$E$38,MATCH("2025::jama.2025.11178::C017",'C_jama.2025.11178'!$A$2:$A$38,0))="plan_material")),IF(INDEX('C_jama.2025.11178'!$K$2:$K$38,MATCH("2025::jama.2025.11178::C017",'C_jama.2025.11178'!$A$2:$A$38,0))="","",INDEX('C_jama.2025.11178'!$K$2:$K$38,MATCH("2025::jama.2025.11178::C017",'C_jama.2025.11178'!$A$2:$A$38,0))),"not_applicable")</x:f>
        <x:v>not_applicable</x:v>
      </x:c>
      <x:c r="Y34" s="6" t="str">
        <x:f>IF(AND(INDEX('C_jama.2025.11178'!$D$2:$D$38,MATCH("2025::jama.2025.11178::C017",'C_jama.2025.11178'!$A$2:$A$38,0))="retain",INDEX('C_jama.2025.11178'!$E$2:$E$38,MATCH("2025::jama.2025.11178::C017",'C_jama.2025.11178'!$A$2:$A$38,0))="protocol_report"),IF(INDEX('C_jama.2025.11178'!$L$2:$L$38,MATCH("2025::jama.2025.11178::C017",'C_jama.2025.11178'!$A$2:$A$38,0))="","",INDEX('C_jama.2025.11178'!$L$2:$L$38,MATCH("2025::jama.2025.11178::C017",'C_jama.2025.11178'!$A$2:$A$38,0))),"not_applicable")</x:f>
        <x:v>not_applicable</x:v>
      </x:c>
      <x:c r="Z34" s="6" t="str">
        <x:f>IF(INDEX('C_jama.2025.11178'!$R$2:$R$38,MATCH("2025::jama.2025.11178::C017",'C_jama.2025.11178'!$A$2:$A$38,0))="","",INDEX('C_jama.2025.11178'!$R$2:$R$38,MATCH("2025::jama.2025.11178::C017",'C_jama.2025.11178'!$A$2:$A$38,0)))</x:f>
      </x:c>
      <x:c r="AA34" s="6" t="str">
        <x:f>IF(INDEX('C_jama.2025.11178'!$N$2:$N$38,MATCH("2025::jama.2025.11178::C017",'C_jama.2025.11178'!$A$2:$A$38,0))="","",INDEX('C_jama.2025.11178'!$N$2:$N$38,MATCH("2025::jama.2025.11178::C017",'C_jama.2025.11178'!$A$2:$A$38,0)))</x:f>
      </x:c>
      <x:c r="AB34" s="6" t="str">
        <x:f>IF(INDEX('C_jama.2025.11178'!$O$2:$O$38,MATCH("2025::jama.2025.11178::C017",'C_jama.2025.11178'!$A$2:$A$38,0))="","",INDEX('C_jama.2025.11178'!$O$2:$O$38,MATCH("2025::jama.2025.11178::C017",'C_jama.2025.11178'!$A$2:$A$38,0)))</x:f>
      </x:c>
      <x:c r="AC34" s="6" t="str">
        <x:f>IF(INDEX('C_jama.2025.11178'!$P$2:$P$38,MATCH("2025::jama.2025.11178::C017",'C_jama.2025.11178'!$A$2:$A$38,0))="","",INDEX('C_jama.2025.11178'!$P$2:$P$38,MATCH("2025::jama.2025.11178::C017",'C_jama.2025.11178'!$A$2:$A$38,0)))</x:f>
      </x:c>
      <x:c r="AD34" s="6" t="str">
        <x:f>IF(INDEX('C_jama.2025.11178'!$Q$2:$Q$38,MATCH("2025::jama.2025.11178::C017",'C_jama.2025.11178'!$A$2:$A$38,0))="","",INDEX('C_jama.2025.11178'!$Q$2:$Q$38,MATCH("2025::jama.2025.11178::C017",'C_jama.2025.11178'!$A$2:$A$38,0)))</x:f>
      </x:c>
    </x:row>
    <x:row r="35" ht="65" customHeight="1">
      <x:c r="A35" s="3" t="n">
        <x:v>2025</x:v>
      </x:c>
      <x:c r="B35" s="3" t="str">
        <x:v>jama.2025.11178</x:v>
      </x:c>
      <x:c r="C35" s="3" t="str">
        <x:v>2025::jama.2025.11178::C018</x:v>
      </x:c>
      <x:c r="D35" s="3" t="str">
        <x:v>S_W</x:v>
      </x:c>
      <x:c r="E35" s="3" t="n">
        <x:f>Setup!$B$2</x:f>
        <x:v>0</x:v>
      </x:c>
      <x:c r="F35" s="3" t="str">
        <x:f>IF(Setup!$B$4="","",Setup!$B$4)</x:f>
      </x:c>
      <x:c r="G35" s="3" t="str">
        <x:f>IFERROR(INDEX('C_jama.2025.11178'!$G$2:$G$38,MATCH("2025::jama.2025.11178::C018",'C_jama.2025.11178'!$A$2:$A$38,0)),"CHECK KEY")</x:f>
        <x:v>CHECK REVIEWER IDs</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statistical_results</x:v>
      </x:c>
      <x:c r="K35" s="3" t="str">
        <x:f>IF(Setup!$B$6="primary","",IFERROR(IF(INDEX('Primary_snapshot'!$B$2:$B$132,MATCH(C35,'Primary_snapshot'!$A$2:$A$132,0))="","",INDEX('Primary_snapshot'!$B$2:$B$132,MATCH(C35,'Primary_snapshot'!$A$2:$A$132,0))),"SNAPSHOT MISSING"))</x:f>
      </x:c>
      <x:c r="L35" s="3" t="str">
        <x:f>IF(Setup!$B$6="primary","",IFERROR(IF(INDEX('Primary_snapshot'!$C$2:$C$132,MATCH(C35,'Primary_snapshot'!$A$2:$A$132,0))="","",INDEX('Primary_snapshot'!$C$2:$C$132,MATCH(C35,'Primary_snapshot'!$A$2:$A$132,0))),"SNAPSHOT MISSING"))</x:f>
      </x:c>
      <x:c r="M35" s="3" t="str">
        <x:f>IF(Setup!$B$6="primary","",IFERROR(IF(INDEX('Primary_snapshot'!$D$2:$D$132,MATCH(C35,'Primary_snapshot'!$A$2:$A$132,0))="","",INDEX('Primary_snapshot'!$D$2:$D$132,MATCH(C35,'Primary_snapshot'!$A$2:$A$132,0))),"SNAPSHOT MISSING"))</x:f>
      </x:c>
      <x:c r="N35" s="3" t="str">
        <x:f>IF(Setup!$B$6="primary","",IFERROR(IF(INDEX('Primary_snapshot'!$E$2:$E$132,MATCH(C35,'Primary_snapshot'!$A$2:$A$132,0))="","",INDEX('Primary_snapshot'!$E$2:$E$132,MATCH(C35,'Primary_snapshot'!$A$2:$A$132,0))),"SNAPSHOT MISSING"))</x:f>
      </x:c>
      <x:c r="O35" s="3" t="str">
        <x:f>IF(Setup!$B$6="primary","",IFERROR(IF(INDEX('Primary_snapshot'!$F$2:$F$132,MATCH(C35,'Primary_snapshot'!$A$2:$A$132,0))="","",INDEX('Primary_snapshot'!$F$2:$F$132,MATCH(C35,'Primary_snapshot'!$A$2:$A$132,0))),"SNAPSHOT MISSING"))</x:f>
      </x:c>
      <x:c r="P35" s="3" t="str">
        <x:f>IF(Setup!$B$6="primary","",IFERROR(IF(INDEX('Primary_snapshot'!$G$2:$G$132,MATCH(C35,'Primary_snapshot'!$A$2:$A$132,0))="","",INDEX('Primary_snapshot'!$G$2:$G$132,MATCH(C35,'Primary_snapshot'!$A$2:$A$132,0))),"SNAPSHOT MISSING"))</x:f>
      </x:c>
      <x:c r="Q35" s="3" t="str">
        <x:f>IF(Setup!$B$6="primary","",IFERROR(IF(INDEX('Primary_snapshot'!$H$2:$H$132,MATCH(C35,'Primary_snapshot'!$A$2:$A$132,0))="","",INDEX('Primary_snapshot'!$H$2:$H$132,MATCH(C35,'Primary_snapshot'!$A$2:$A$132,0))),"SNAPSHOT MISSING"))</x:f>
      </x:c>
      <x:c r="R35" s="3" t="str">
        <x:f>IF(Setup!$B$6="primary","",IFERROR(IF(INDEX('Primary_snapshot'!$I$2:$I$132,MATCH(C35,'Primary_snapshot'!$A$2:$A$132,0))="","",INDEX('Primary_snapshot'!$I$2:$I$132,MATCH(C35,'Primary_snapshot'!$A$2:$A$132,0))),"SNAPSHOT MISSING"))</x:f>
      </x:c>
      <x:c r="S35" s="3" t="str">
        <x:f>IF(INDEX('C_jama.2025.11178'!$D$2:$D$38,MATCH("2025::jama.2025.11178::C018",'C_jama.2025.11178'!$A$2:$A$38,0))="","",INDEX('C_jama.2025.11178'!$D$2:$D$38,MATCH("2025::jama.2025.11178::C018",'C_jama.2025.11178'!$A$2:$A$38,0)))</x:f>
      </x:c>
      <x:c r="T35" s="3" t="str">
        <x:f>IF(INDEX('C_jama.2025.11178'!$E$2:$E$38,MATCH("2025::jama.2025.11178::C018",'C_jama.2025.11178'!$A$2:$A$38,0))="","",INDEX('C_jama.2025.11178'!$E$2:$E$38,MATCH("2025::jama.2025.11178::C018",'C_jama.2025.11178'!$A$2:$A$38,0)))</x:f>
        <x:v>statistical_results</x:v>
      </x:c>
      <x:c r="U35" s="3" t="str">
        <x:f>IF(AND(INDEX('C_jama.2025.11178'!$D$2:$D$38,MATCH("2025::jama.2025.11178::C018",'C_jama.2025.11178'!$A$2:$A$38,0))="retain",INDEX('C_jama.2025.11178'!$E$2:$E$38,MATCH("2025::jama.2025.11178::C018",'C_jama.2025.11178'!$A$2:$A$38,0))="statistical_results"),IF(INDEX('C_jama.2025.11178'!$H$2:$H$38,MATCH("2025::jama.2025.11178::C018",'C_jama.2025.11178'!$A$2:$A$38,0))="","",INDEX('C_jama.2025.11178'!$H$2:$H$38,MATCH("2025::jama.2025.11178::C018",'C_jama.2025.11178'!$A$2:$A$38,0))),"not_applicable")</x:f>
        <x:v>not_applicable</x:v>
      </x:c>
      <x:c r="V35" s="3" t="str">
        <x:f>IF(AND(INDEX('C_jama.2025.11178'!$D$2:$D$38,MATCH("2025::jama.2025.11178::C018",'C_jama.2025.11178'!$A$2:$A$38,0))="retain",INDEX('C_jama.2025.11178'!$E$2:$E$38,MATCH("2025::jama.2025.11178::C018",'C_jama.2025.11178'!$A$2:$A$38,0))="statistical_results"),IF(INDEX('C_jama.2025.11178'!$I$2:$I$38,MATCH("2025::jama.2025.11178::C018",'C_jama.2025.11178'!$A$2:$A$38,0))="","",INDEX('C_jama.2025.11178'!$I$2:$I$38,MATCH("2025::jama.2025.11178::C018",'C_jama.2025.11178'!$A$2:$A$38,0))),"not_applicable")</x:f>
        <x:v>not_applicable</x:v>
      </x:c>
      <x:c r="W35" s="3" t="str">
        <x:f>IF(AND(INDEX('C_jama.2025.11178'!$D$2:$D$38,MATCH("2025::jama.2025.11178::C018",'C_jama.2025.11178'!$A$2:$A$38,0))="retain",INDEX('C_jama.2025.11178'!$E$2:$E$38,MATCH("2025::jama.2025.11178::C018",'C_jama.2025.11178'!$A$2:$A$38,0))="statistical_results"),IF(INDEX('C_jama.2025.11178'!$J$2:$J$38,MATCH("2025::jama.2025.11178::C018",'C_jama.2025.11178'!$A$2:$A$38,0))="","",INDEX('C_jama.2025.11178'!$J$2:$J$38,MATCH("2025::jama.2025.11178::C018",'C_jama.2025.11178'!$A$2:$A$38,0))),"not_applicable")</x:f>
        <x:v>not_applicable</x:v>
      </x:c>
      <x:c r="X35" s="3" t="str">
        <x:f>IF(AND(INDEX('C_jama.2025.11178'!$D$2:$D$38,MATCH("2025::jama.2025.11178::C018",'C_jama.2025.11178'!$A$2:$A$38,0))="retain",OR(INDEX('C_jama.2025.11178'!$E$2:$E$38,MATCH("2025::jama.2025.11178::C018",'C_jama.2025.11178'!$A$2:$A$38,0))="report_internal_inconsistency",INDEX('C_jama.2025.11178'!$E$2:$E$38,MATCH("2025::jama.2025.11178::C018",'C_jama.2025.11178'!$A$2:$A$38,0))="plan_material")),IF(INDEX('C_jama.2025.11178'!$K$2:$K$38,MATCH("2025::jama.2025.11178::C018",'C_jama.2025.11178'!$A$2:$A$38,0))="","",INDEX('C_jama.2025.11178'!$K$2:$K$38,MATCH("2025::jama.2025.11178::C018",'C_jama.2025.11178'!$A$2:$A$38,0))),"not_applicable")</x:f>
        <x:v>not_applicable</x:v>
      </x:c>
      <x:c r="Y35" s="3" t="str">
        <x:f>IF(AND(INDEX('C_jama.2025.11178'!$D$2:$D$38,MATCH("2025::jama.2025.11178::C018",'C_jama.2025.11178'!$A$2:$A$38,0))="retain",INDEX('C_jama.2025.11178'!$E$2:$E$38,MATCH("2025::jama.2025.11178::C018",'C_jama.2025.11178'!$A$2:$A$38,0))="protocol_report"),IF(INDEX('C_jama.2025.11178'!$L$2:$L$38,MATCH("2025::jama.2025.11178::C018",'C_jama.2025.11178'!$A$2:$A$38,0))="","",INDEX('C_jama.2025.11178'!$L$2:$L$38,MATCH("2025::jama.2025.11178::C018",'C_jama.2025.11178'!$A$2:$A$38,0))),"not_applicable")</x:f>
        <x:v>not_applicable</x:v>
      </x:c>
      <x:c r="Z35" s="3" t="str">
        <x:f>IF(INDEX('C_jama.2025.11178'!$R$2:$R$38,MATCH("2025::jama.2025.11178::C018",'C_jama.2025.11178'!$A$2:$A$38,0))="","",INDEX('C_jama.2025.11178'!$R$2:$R$38,MATCH("2025::jama.2025.11178::C018",'C_jama.2025.11178'!$A$2:$A$38,0)))</x:f>
      </x:c>
      <x:c r="AA35" s="3" t="str">
        <x:f>IF(INDEX('C_jama.2025.11178'!$N$2:$N$38,MATCH("2025::jama.2025.11178::C018",'C_jama.2025.11178'!$A$2:$A$38,0))="","",INDEX('C_jama.2025.11178'!$N$2:$N$38,MATCH("2025::jama.2025.11178::C018",'C_jama.2025.11178'!$A$2:$A$38,0)))</x:f>
      </x:c>
      <x:c r="AB35" s="3" t="str">
        <x:f>IF(INDEX('C_jama.2025.11178'!$O$2:$O$38,MATCH("2025::jama.2025.11178::C018",'C_jama.2025.11178'!$A$2:$A$38,0))="","",INDEX('C_jama.2025.11178'!$O$2:$O$38,MATCH("2025::jama.2025.11178::C018",'C_jama.2025.11178'!$A$2:$A$38,0)))</x:f>
      </x:c>
      <x:c r="AC35" s="3" t="str">
        <x:f>IF(INDEX('C_jama.2025.11178'!$P$2:$P$38,MATCH("2025::jama.2025.11178::C018",'C_jama.2025.11178'!$A$2:$A$38,0))="","",INDEX('C_jama.2025.11178'!$P$2:$P$38,MATCH("2025::jama.2025.11178::C018",'C_jama.2025.11178'!$A$2:$A$38,0)))</x:f>
      </x:c>
      <x:c r="AD35" s="3" t="str">
        <x:f>IF(INDEX('C_jama.2025.11178'!$Q$2:$Q$38,MATCH("2025::jama.2025.11178::C018",'C_jama.2025.11178'!$A$2:$A$38,0))="","",INDEX('C_jama.2025.11178'!$Q$2:$Q$38,MATCH("2025::jama.2025.11178::C018",'C_jama.2025.11178'!$A$2:$A$38,0)))</x:f>
      </x:c>
    </x:row>
    <x:row r="36" ht="65" customHeight="1">
      <x:c r="A36" s="6" t="n">
        <x:v>2025</x:v>
      </x:c>
      <x:c r="B36" s="6" t="str">
        <x:v>jama.2025.11178</x:v>
      </x:c>
      <x:c r="C36" s="6" t="str">
        <x:v>2025::jama.2025.11178::C019</x:v>
      </x:c>
      <x:c r="D36" s="6" t="str">
        <x:v>S_W</x:v>
      </x:c>
      <x:c r="E36" s="6" t="n">
        <x:f>Setup!$B$2</x:f>
        <x:v>0</x:v>
      </x:c>
      <x:c r="F36" s="6" t="str">
        <x:f>IF(Setup!$B$4="","",Setup!$B$4)</x:f>
      </x:c>
      <x:c r="G36" s="6" t="str">
        <x:f>IFERROR(INDEX('C_jama.2025.11178'!$G$2:$G$38,MATCH("2025::jama.2025.11178::C019",'C_jama.2025.11178'!$A$2:$A$38,0)),"CHECK KEY")</x:f>
        <x:v>CHECK REVIEWER IDs</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statistical_results</x:v>
      </x:c>
      <x:c r="K36" s="6" t="str">
        <x:f>IF(Setup!$B$6="primary","",IFERROR(IF(INDEX('Primary_snapshot'!$B$2:$B$132,MATCH(C36,'Primary_snapshot'!$A$2:$A$132,0))="","",INDEX('Primary_snapshot'!$B$2:$B$132,MATCH(C36,'Primary_snapshot'!$A$2:$A$132,0))),"SNAPSHOT MISSING"))</x:f>
      </x:c>
      <x:c r="L36" s="6" t="str">
        <x:f>IF(Setup!$B$6="primary","",IFERROR(IF(INDEX('Primary_snapshot'!$C$2:$C$132,MATCH(C36,'Primary_snapshot'!$A$2:$A$132,0))="","",INDEX('Primary_snapshot'!$C$2:$C$132,MATCH(C36,'Primary_snapshot'!$A$2:$A$132,0))),"SNAPSHOT MISSING"))</x:f>
      </x:c>
      <x:c r="M36" s="6" t="str">
        <x:f>IF(Setup!$B$6="primary","",IFERROR(IF(INDEX('Primary_snapshot'!$D$2:$D$132,MATCH(C36,'Primary_snapshot'!$A$2:$A$132,0))="","",INDEX('Primary_snapshot'!$D$2:$D$132,MATCH(C36,'Primary_snapshot'!$A$2:$A$132,0))),"SNAPSHOT MISSING"))</x:f>
      </x:c>
      <x:c r="N36" s="6" t="str">
        <x:f>IF(Setup!$B$6="primary","",IFERROR(IF(INDEX('Primary_snapshot'!$E$2:$E$132,MATCH(C36,'Primary_snapshot'!$A$2:$A$132,0))="","",INDEX('Primary_snapshot'!$E$2:$E$132,MATCH(C36,'Primary_snapshot'!$A$2:$A$132,0))),"SNAPSHOT MISSING"))</x:f>
      </x:c>
      <x:c r="O36" s="6" t="str">
        <x:f>IF(Setup!$B$6="primary","",IFERROR(IF(INDEX('Primary_snapshot'!$F$2:$F$132,MATCH(C36,'Primary_snapshot'!$A$2:$A$132,0))="","",INDEX('Primary_snapshot'!$F$2:$F$132,MATCH(C36,'Primary_snapshot'!$A$2:$A$132,0))),"SNAPSHOT MISSING"))</x:f>
      </x:c>
      <x:c r="P36" s="6" t="str">
        <x:f>IF(Setup!$B$6="primary","",IFERROR(IF(INDEX('Primary_snapshot'!$G$2:$G$132,MATCH(C36,'Primary_snapshot'!$A$2:$A$132,0))="","",INDEX('Primary_snapshot'!$G$2:$G$132,MATCH(C36,'Primary_snapshot'!$A$2:$A$132,0))),"SNAPSHOT MISSING"))</x:f>
      </x:c>
      <x:c r="Q36" s="6" t="str">
        <x:f>IF(Setup!$B$6="primary","",IFERROR(IF(INDEX('Primary_snapshot'!$H$2:$H$132,MATCH(C36,'Primary_snapshot'!$A$2:$A$132,0))="","",INDEX('Primary_snapshot'!$H$2:$H$132,MATCH(C36,'Primary_snapshot'!$A$2:$A$132,0))),"SNAPSHOT MISSING"))</x:f>
      </x:c>
      <x:c r="R36" s="6" t="str">
        <x:f>IF(Setup!$B$6="primary","",IFERROR(IF(INDEX('Primary_snapshot'!$I$2:$I$132,MATCH(C36,'Primary_snapshot'!$A$2:$A$132,0))="","",INDEX('Primary_snapshot'!$I$2:$I$132,MATCH(C36,'Primary_snapshot'!$A$2:$A$132,0))),"SNAPSHOT MISSING"))</x:f>
      </x:c>
      <x:c r="S36" s="6" t="str">
        <x:f>IF(INDEX('C_jama.2025.11178'!$D$2:$D$38,MATCH("2025::jama.2025.11178::C019",'C_jama.2025.11178'!$A$2:$A$38,0))="","",INDEX('C_jama.2025.11178'!$D$2:$D$38,MATCH("2025::jama.2025.11178::C019",'C_jama.2025.11178'!$A$2:$A$38,0)))</x:f>
      </x:c>
      <x:c r="T36" s="6" t="str">
        <x:f>IF(INDEX('C_jama.2025.11178'!$E$2:$E$38,MATCH("2025::jama.2025.11178::C019",'C_jama.2025.11178'!$A$2:$A$38,0))="","",INDEX('C_jama.2025.11178'!$E$2:$E$38,MATCH("2025::jama.2025.11178::C019",'C_jama.2025.11178'!$A$2:$A$38,0)))</x:f>
        <x:v>statistical_results</x:v>
      </x:c>
      <x:c r="U36" s="6" t="str">
        <x:f>IF(AND(INDEX('C_jama.2025.11178'!$D$2:$D$38,MATCH("2025::jama.2025.11178::C019",'C_jama.2025.11178'!$A$2:$A$38,0))="retain",INDEX('C_jama.2025.11178'!$E$2:$E$38,MATCH("2025::jama.2025.11178::C019",'C_jama.2025.11178'!$A$2:$A$38,0))="statistical_results"),IF(INDEX('C_jama.2025.11178'!$H$2:$H$38,MATCH("2025::jama.2025.11178::C019",'C_jama.2025.11178'!$A$2:$A$38,0))="","",INDEX('C_jama.2025.11178'!$H$2:$H$38,MATCH("2025::jama.2025.11178::C019",'C_jama.2025.11178'!$A$2:$A$38,0))),"not_applicable")</x:f>
        <x:v>not_applicable</x:v>
      </x:c>
      <x:c r="V36" s="6" t="str">
        <x:f>IF(AND(INDEX('C_jama.2025.11178'!$D$2:$D$38,MATCH("2025::jama.2025.11178::C019",'C_jama.2025.11178'!$A$2:$A$38,0))="retain",INDEX('C_jama.2025.11178'!$E$2:$E$38,MATCH("2025::jama.2025.11178::C019",'C_jama.2025.11178'!$A$2:$A$38,0))="statistical_results"),IF(INDEX('C_jama.2025.11178'!$I$2:$I$38,MATCH("2025::jama.2025.11178::C019",'C_jama.2025.11178'!$A$2:$A$38,0))="","",INDEX('C_jama.2025.11178'!$I$2:$I$38,MATCH("2025::jama.2025.11178::C019",'C_jama.2025.11178'!$A$2:$A$38,0))),"not_applicable")</x:f>
        <x:v>not_applicable</x:v>
      </x:c>
      <x:c r="W36" s="6" t="str">
        <x:f>IF(AND(INDEX('C_jama.2025.11178'!$D$2:$D$38,MATCH("2025::jama.2025.11178::C019",'C_jama.2025.11178'!$A$2:$A$38,0))="retain",INDEX('C_jama.2025.11178'!$E$2:$E$38,MATCH("2025::jama.2025.11178::C019",'C_jama.2025.11178'!$A$2:$A$38,0))="statistical_results"),IF(INDEX('C_jama.2025.11178'!$J$2:$J$38,MATCH("2025::jama.2025.11178::C019",'C_jama.2025.11178'!$A$2:$A$38,0))="","",INDEX('C_jama.2025.11178'!$J$2:$J$38,MATCH("2025::jama.2025.11178::C019",'C_jama.2025.11178'!$A$2:$A$38,0))),"not_applicable")</x:f>
        <x:v>not_applicable</x:v>
      </x:c>
      <x:c r="X36" s="6" t="str">
        <x:f>IF(AND(INDEX('C_jama.2025.11178'!$D$2:$D$38,MATCH("2025::jama.2025.11178::C019",'C_jama.2025.11178'!$A$2:$A$38,0))="retain",OR(INDEX('C_jama.2025.11178'!$E$2:$E$38,MATCH("2025::jama.2025.11178::C019",'C_jama.2025.11178'!$A$2:$A$38,0))="report_internal_inconsistency",INDEX('C_jama.2025.11178'!$E$2:$E$38,MATCH("2025::jama.2025.11178::C019",'C_jama.2025.11178'!$A$2:$A$38,0))="plan_material")),IF(INDEX('C_jama.2025.11178'!$K$2:$K$38,MATCH("2025::jama.2025.11178::C019",'C_jama.2025.11178'!$A$2:$A$38,0))="","",INDEX('C_jama.2025.11178'!$K$2:$K$38,MATCH("2025::jama.2025.11178::C019",'C_jama.2025.11178'!$A$2:$A$38,0))),"not_applicable")</x:f>
        <x:v>not_applicable</x:v>
      </x:c>
      <x:c r="Y36" s="6" t="str">
        <x:f>IF(AND(INDEX('C_jama.2025.11178'!$D$2:$D$38,MATCH("2025::jama.2025.11178::C019",'C_jama.2025.11178'!$A$2:$A$38,0))="retain",INDEX('C_jama.2025.11178'!$E$2:$E$38,MATCH("2025::jama.2025.11178::C019",'C_jama.2025.11178'!$A$2:$A$38,0))="protocol_report"),IF(INDEX('C_jama.2025.11178'!$L$2:$L$38,MATCH("2025::jama.2025.11178::C019",'C_jama.2025.11178'!$A$2:$A$38,0))="","",INDEX('C_jama.2025.11178'!$L$2:$L$38,MATCH("2025::jama.2025.11178::C019",'C_jama.2025.11178'!$A$2:$A$38,0))),"not_applicable")</x:f>
        <x:v>not_applicable</x:v>
      </x:c>
      <x:c r="Z36" s="6" t="str">
        <x:f>IF(INDEX('C_jama.2025.11178'!$R$2:$R$38,MATCH("2025::jama.2025.11178::C019",'C_jama.2025.11178'!$A$2:$A$38,0))="","",INDEX('C_jama.2025.11178'!$R$2:$R$38,MATCH("2025::jama.2025.11178::C019",'C_jama.2025.11178'!$A$2:$A$38,0)))</x:f>
      </x:c>
      <x:c r="AA36" s="6" t="str">
        <x:f>IF(INDEX('C_jama.2025.11178'!$N$2:$N$38,MATCH("2025::jama.2025.11178::C019",'C_jama.2025.11178'!$A$2:$A$38,0))="","",INDEX('C_jama.2025.11178'!$N$2:$N$38,MATCH("2025::jama.2025.11178::C019",'C_jama.2025.11178'!$A$2:$A$38,0)))</x:f>
      </x:c>
      <x:c r="AB36" s="6" t="str">
        <x:f>IF(INDEX('C_jama.2025.11178'!$O$2:$O$38,MATCH("2025::jama.2025.11178::C019",'C_jama.2025.11178'!$A$2:$A$38,0))="","",INDEX('C_jama.2025.11178'!$O$2:$O$38,MATCH("2025::jama.2025.11178::C019",'C_jama.2025.11178'!$A$2:$A$38,0)))</x:f>
      </x:c>
      <x:c r="AC36" s="6" t="str">
        <x:f>IF(INDEX('C_jama.2025.11178'!$P$2:$P$38,MATCH("2025::jama.2025.11178::C019",'C_jama.2025.11178'!$A$2:$A$38,0))="","",INDEX('C_jama.2025.11178'!$P$2:$P$38,MATCH("2025::jama.2025.11178::C019",'C_jama.2025.11178'!$A$2:$A$38,0)))</x:f>
      </x:c>
      <x:c r="AD36" s="6" t="str">
        <x:f>IF(INDEX('C_jama.2025.11178'!$Q$2:$Q$38,MATCH("2025::jama.2025.11178::C019",'C_jama.2025.11178'!$A$2:$A$38,0))="","",INDEX('C_jama.2025.11178'!$Q$2:$Q$38,MATCH("2025::jama.2025.11178::C019",'C_jama.2025.11178'!$A$2:$A$38,0)))</x:f>
      </x:c>
    </x:row>
    <x:row r="37" ht="65" customHeight="1">
      <x:c r="A37" s="3" t="n">
        <x:v>2025</x:v>
      </x:c>
      <x:c r="B37" s="3" t="str">
        <x:v>jama.2025.11178</x:v>
      </x:c>
      <x:c r="C37" s="3" t="str">
        <x:v>2025::jama.2025.11178::C020</x:v>
      </x:c>
      <x:c r="D37" s="3" t="str">
        <x:v>S_W</x:v>
      </x:c>
      <x:c r="E37" s="3" t="n">
        <x:f>Setup!$B$2</x:f>
        <x:v>0</x:v>
      </x:c>
      <x:c r="F37" s="3" t="str">
        <x:f>IF(Setup!$B$4="","",Setup!$B$4)</x:f>
      </x:c>
      <x:c r="G37" s="3" t="str">
        <x:f>IFERROR(INDEX('C_jama.2025.11178'!$G$2:$G$38,MATCH("2025::jama.2025.11178::C020",'C_jama.2025.11178'!$A$2:$A$38,0)),"CHECK KEY")</x:f>
        <x:v>CHECK REVIEWER IDs</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statistical_results</x:v>
      </x:c>
      <x:c r="K37" s="3" t="str">
        <x:f>IF(Setup!$B$6="primary","",IFERROR(IF(INDEX('Primary_snapshot'!$B$2:$B$132,MATCH(C37,'Primary_snapshot'!$A$2:$A$132,0))="","",INDEX('Primary_snapshot'!$B$2:$B$132,MATCH(C37,'Primary_snapshot'!$A$2:$A$132,0))),"SNAPSHOT MISSING"))</x:f>
      </x:c>
      <x:c r="L37" s="3" t="str">
        <x:f>IF(Setup!$B$6="primary","",IFERROR(IF(INDEX('Primary_snapshot'!$C$2:$C$132,MATCH(C37,'Primary_snapshot'!$A$2:$A$132,0))="","",INDEX('Primary_snapshot'!$C$2:$C$132,MATCH(C37,'Primary_snapshot'!$A$2:$A$132,0))),"SNAPSHOT MISSING"))</x:f>
      </x:c>
      <x:c r="M37" s="3" t="str">
        <x:f>IF(Setup!$B$6="primary","",IFERROR(IF(INDEX('Primary_snapshot'!$D$2:$D$132,MATCH(C37,'Primary_snapshot'!$A$2:$A$132,0))="","",INDEX('Primary_snapshot'!$D$2:$D$132,MATCH(C37,'Primary_snapshot'!$A$2:$A$132,0))),"SNAPSHOT MISSING"))</x:f>
      </x:c>
      <x:c r="N37" s="3" t="str">
        <x:f>IF(Setup!$B$6="primary","",IFERROR(IF(INDEX('Primary_snapshot'!$E$2:$E$132,MATCH(C37,'Primary_snapshot'!$A$2:$A$132,0))="","",INDEX('Primary_snapshot'!$E$2:$E$132,MATCH(C37,'Primary_snapshot'!$A$2:$A$132,0))),"SNAPSHOT MISSING"))</x:f>
      </x:c>
      <x:c r="O37" s="3" t="str">
        <x:f>IF(Setup!$B$6="primary","",IFERROR(IF(INDEX('Primary_snapshot'!$F$2:$F$132,MATCH(C37,'Primary_snapshot'!$A$2:$A$132,0))="","",INDEX('Primary_snapshot'!$F$2:$F$132,MATCH(C37,'Primary_snapshot'!$A$2:$A$132,0))),"SNAPSHOT MISSING"))</x:f>
      </x:c>
      <x:c r="P37" s="3" t="str">
        <x:f>IF(Setup!$B$6="primary","",IFERROR(IF(INDEX('Primary_snapshot'!$G$2:$G$132,MATCH(C37,'Primary_snapshot'!$A$2:$A$132,0))="","",INDEX('Primary_snapshot'!$G$2:$G$132,MATCH(C37,'Primary_snapshot'!$A$2:$A$132,0))),"SNAPSHOT MISSING"))</x:f>
      </x:c>
      <x:c r="Q37" s="3" t="str">
        <x:f>IF(Setup!$B$6="primary","",IFERROR(IF(INDEX('Primary_snapshot'!$H$2:$H$132,MATCH(C37,'Primary_snapshot'!$A$2:$A$132,0))="","",INDEX('Primary_snapshot'!$H$2:$H$132,MATCH(C37,'Primary_snapshot'!$A$2:$A$132,0))),"SNAPSHOT MISSING"))</x:f>
      </x:c>
      <x:c r="R37" s="3" t="str">
        <x:f>IF(Setup!$B$6="primary","",IFERROR(IF(INDEX('Primary_snapshot'!$I$2:$I$132,MATCH(C37,'Primary_snapshot'!$A$2:$A$132,0))="","",INDEX('Primary_snapshot'!$I$2:$I$132,MATCH(C37,'Primary_snapshot'!$A$2:$A$132,0))),"SNAPSHOT MISSING"))</x:f>
      </x:c>
      <x:c r="S37" s="3" t="str">
        <x:f>IF(INDEX('C_jama.2025.11178'!$D$2:$D$38,MATCH("2025::jama.2025.11178::C020",'C_jama.2025.11178'!$A$2:$A$38,0))="","",INDEX('C_jama.2025.11178'!$D$2:$D$38,MATCH("2025::jama.2025.11178::C020",'C_jama.2025.11178'!$A$2:$A$38,0)))</x:f>
      </x:c>
      <x:c r="T37" s="3" t="str">
        <x:f>IF(INDEX('C_jama.2025.11178'!$E$2:$E$38,MATCH("2025::jama.2025.11178::C020",'C_jama.2025.11178'!$A$2:$A$38,0))="","",INDEX('C_jama.2025.11178'!$E$2:$E$38,MATCH("2025::jama.2025.11178::C020",'C_jama.2025.11178'!$A$2:$A$38,0)))</x:f>
        <x:v>statistical_results</x:v>
      </x:c>
      <x:c r="U37" s="3" t="str">
        <x:f>IF(AND(INDEX('C_jama.2025.11178'!$D$2:$D$38,MATCH("2025::jama.2025.11178::C020",'C_jama.2025.11178'!$A$2:$A$38,0))="retain",INDEX('C_jama.2025.11178'!$E$2:$E$38,MATCH("2025::jama.2025.11178::C020",'C_jama.2025.11178'!$A$2:$A$38,0))="statistical_results"),IF(INDEX('C_jama.2025.11178'!$H$2:$H$38,MATCH("2025::jama.2025.11178::C020",'C_jama.2025.11178'!$A$2:$A$38,0))="","",INDEX('C_jama.2025.11178'!$H$2:$H$38,MATCH("2025::jama.2025.11178::C020",'C_jama.2025.11178'!$A$2:$A$38,0))),"not_applicable")</x:f>
        <x:v>not_applicable</x:v>
      </x:c>
      <x:c r="V37" s="3" t="str">
        <x:f>IF(AND(INDEX('C_jama.2025.11178'!$D$2:$D$38,MATCH("2025::jama.2025.11178::C020",'C_jama.2025.11178'!$A$2:$A$38,0))="retain",INDEX('C_jama.2025.11178'!$E$2:$E$38,MATCH("2025::jama.2025.11178::C020",'C_jama.2025.11178'!$A$2:$A$38,0))="statistical_results"),IF(INDEX('C_jama.2025.11178'!$I$2:$I$38,MATCH("2025::jama.2025.11178::C020",'C_jama.2025.11178'!$A$2:$A$38,0))="","",INDEX('C_jama.2025.11178'!$I$2:$I$38,MATCH("2025::jama.2025.11178::C020",'C_jama.2025.11178'!$A$2:$A$38,0))),"not_applicable")</x:f>
        <x:v>not_applicable</x:v>
      </x:c>
      <x:c r="W37" s="3" t="str">
        <x:f>IF(AND(INDEX('C_jama.2025.11178'!$D$2:$D$38,MATCH("2025::jama.2025.11178::C020",'C_jama.2025.11178'!$A$2:$A$38,0))="retain",INDEX('C_jama.2025.11178'!$E$2:$E$38,MATCH("2025::jama.2025.11178::C020",'C_jama.2025.11178'!$A$2:$A$38,0))="statistical_results"),IF(INDEX('C_jama.2025.11178'!$J$2:$J$38,MATCH("2025::jama.2025.11178::C020",'C_jama.2025.11178'!$A$2:$A$38,0))="","",INDEX('C_jama.2025.11178'!$J$2:$J$38,MATCH("2025::jama.2025.11178::C020",'C_jama.2025.11178'!$A$2:$A$38,0))),"not_applicable")</x:f>
        <x:v>not_applicable</x:v>
      </x:c>
      <x:c r="X37" s="3" t="str">
        <x:f>IF(AND(INDEX('C_jama.2025.11178'!$D$2:$D$38,MATCH("2025::jama.2025.11178::C020",'C_jama.2025.11178'!$A$2:$A$38,0))="retain",OR(INDEX('C_jama.2025.11178'!$E$2:$E$38,MATCH("2025::jama.2025.11178::C020",'C_jama.2025.11178'!$A$2:$A$38,0))="report_internal_inconsistency",INDEX('C_jama.2025.11178'!$E$2:$E$38,MATCH("2025::jama.2025.11178::C020",'C_jama.2025.11178'!$A$2:$A$38,0))="plan_material")),IF(INDEX('C_jama.2025.11178'!$K$2:$K$38,MATCH("2025::jama.2025.11178::C020",'C_jama.2025.11178'!$A$2:$A$38,0))="","",INDEX('C_jama.2025.11178'!$K$2:$K$38,MATCH("2025::jama.2025.11178::C020",'C_jama.2025.11178'!$A$2:$A$38,0))),"not_applicable")</x:f>
        <x:v>not_applicable</x:v>
      </x:c>
      <x:c r="Y37" s="3" t="str">
        <x:f>IF(AND(INDEX('C_jama.2025.11178'!$D$2:$D$38,MATCH("2025::jama.2025.11178::C020",'C_jama.2025.11178'!$A$2:$A$38,0))="retain",INDEX('C_jama.2025.11178'!$E$2:$E$38,MATCH("2025::jama.2025.11178::C020",'C_jama.2025.11178'!$A$2:$A$38,0))="protocol_report"),IF(INDEX('C_jama.2025.11178'!$L$2:$L$38,MATCH("2025::jama.2025.11178::C020",'C_jama.2025.11178'!$A$2:$A$38,0))="","",INDEX('C_jama.2025.11178'!$L$2:$L$38,MATCH("2025::jama.2025.11178::C020",'C_jama.2025.11178'!$A$2:$A$38,0))),"not_applicable")</x:f>
        <x:v>not_applicable</x:v>
      </x:c>
      <x:c r="Z37" s="3" t="str">
        <x:f>IF(INDEX('C_jama.2025.11178'!$R$2:$R$38,MATCH("2025::jama.2025.11178::C020",'C_jama.2025.11178'!$A$2:$A$38,0))="","",INDEX('C_jama.2025.11178'!$R$2:$R$38,MATCH("2025::jama.2025.11178::C020",'C_jama.2025.11178'!$A$2:$A$38,0)))</x:f>
      </x:c>
      <x:c r="AA37" s="3" t="str">
        <x:f>IF(INDEX('C_jama.2025.11178'!$N$2:$N$38,MATCH("2025::jama.2025.11178::C020",'C_jama.2025.11178'!$A$2:$A$38,0))="","",INDEX('C_jama.2025.11178'!$N$2:$N$38,MATCH("2025::jama.2025.11178::C020",'C_jama.2025.11178'!$A$2:$A$38,0)))</x:f>
      </x:c>
      <x:c r="AB37" s="3" t="str">
        <x:f>IF(INDEX('C_jama.2025.11178'!$O$2:$O$38,MATCH("2025::jama.2025.11178::C020",'C_jama.2025.11178'!$A$2:$A$38,0))="","",INDEX('C_jama.2025.11178'!$O$2:$O$38,MATCH("2025::jama.2025.11178::C020",'C_jama.2025.11178'!$A$2:$A$38,0)))</x:f>
      </x:c>
      <x:c r="AC37" s="3" t="str">
        <x:f>IF(INDEX('C_jama.2025.11178'!$P$2:$P$38,MATCH("2025::jama.2025.11178::C020",'C_jama.2025.11178'!$A$2:$A$38,0))="","",INDEX('C_jama.2025.11178'!$P$2:$P$38,MATCH("2025::jama.2025.11178::C020",'C_jama.2025.11178'!$A$2:$A$38,0)))</x:f>
      </x:c>
      <x:c r="AD37" s="3" t="str">
        <x:f>IF(INDEX('C_jama.2025.11178'!$Q$2:$Q$38,MATCH("2025::jama.2025.11178::C020",'C_jama.2025.11178'!$A$2:$A$38,0))="","",INDEX('C_jama.2025.11178'!$Q$2:$Q$38,MATCH("2025::jama.2025.11178::C020",'C_jama.2025.11178'!$A$2:$A$38,0)))</x:f>
      </x:c>
    </x:row>
    <x:row r="38" ht="65" customHeight="1">
      <x:c r="A38" s="6" t="n">
        <x:v>2025</x:v>
      </x:c>
      <x:c r="B38" s="6" t="str">
        <x:v>jama.2025.11178</x:v>
      </x:c>
      <x:c r="C38" s="6" t="str">
        <x:v>2025::jama.2025.11178::C021</x:v>
      </x:c>
      <x:c r="D38" s="6" t="str">
        <x:v>S_W</x:v>
      </x:c>
      <x:c r="E38" s="6" t="n">
        <x:f>Setup!$B$2</x:f>
        <x:v>0</x:v>
      </x:c>
      <x:c r="F38" s="6" t="str">
        <x:f>IF(Setup!$B$4="","",Setup!$B$4)</x:f>
      </x:c>
      <x:c r="G38" s="6" t="str">
        <x:f>IFERROR(INDEX('C_jama.2025.11178'!$G$2:$G$38,MATCH("2025::jama.2025.11178::C021",'C_jama.2025.11178'!$A$2:$A$38,0)),"CHECK KEY")</x:f>
        <x:v>CHECK REVIEWER IDs</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statistical_results</x:v>
      </x:c>
      <x:c r="K38" s="6" t="str">
        <x:f>IF(Setup!$B$6="primary","",IFERROR(IF(INDEX('Primary_snapshot'!$B$2:$B$132,MATCH(C38,'Primary_snapshot'!$A$2:$A$132,0))="","",INDEX('Primary_snapshot'!$B$2:$B$132,MATCH(C38,'Primary_snapshot'!$A$2:$A$132,0))),"SNAPSHOT MISSING"))</x:f>
      </x:c>
      <x:c r="L38" s="6" t="str">
        <x:f>IF(Setup!$B$6="primary","",IFERROR(IF(INDEX('Primary_snapshot'!$C$2:$C$132,MATCH(C38,'Primary_snapshot'!$A$2:$A$132,0))="","",INDEX('Primary_snapshot'!$C$2:$C$132,MATCH(C38,'Primary_snapshot'!$A$2:$A$132,0))),"SNAPSHOT MISSING"))</x:f>
      </x:c>
      <x:c r="M38" s="6" t="str">
        <x:f>IF(Setup!$B$6="primary","",IFERROR(IF(INDEX('Primary_snapshot'!$D$2:$D$132,MATCH(C38,'Primary_snapshot'!$A$2:$A$132,0))="","",INDEX('Primary_snapshot'!$D$2:$D$132,MATCH(C38,'Primary_snapshot'!$A$2:$A$132,0))),"SNAPSHOT MISSING"))</x:f>
      </x:c>
      <x:c r="N38" s="6" t="str">
        <x:f>IF(Setup!$B$6="primary","",IFERROR(IF(INDEX('Primary_snapshot'!$E$2:$E$132,MATCH(C38,'Primary_snapshot'!$A$2:$A$132,0))="","",INDEX('Primary_snapshot'!$E$2:$E$132,MATCH(C38,'Primary_snapshot'!$A$2:$A$132,0))),"SNAPSHOT MISSING"))</x:f>
      </x:c>
      <x:c r="O38" s="6" t="str">
        <x:f>IF(Setup!$B$6="primary","",IFERROR(IF(INDEX('Primary_snapshot'!$F$2:$F$132,MATCH(C38,'Primary_snapshot'!$A$2:$A$132,0))="","",INDEX('Primary_snapshot'!$F$2:$F$132,MATCH(C38,'Primary_snapshot'!$A$2:$A$132,0))),"SNAPSHOT MISSING"))</x:f>
      </x:c>
      <x:c r="P38" s="6" t="str">
        <x:f>IF(Setup!$B$6="primary","",IFERROR(IF(INDEX('Primary_snapshot'!$G$2:$G$132,MATCH(C38,'Primary_snapshot'!$A$2:$A$132,0))="","",INDEX('Primary_snapshot'!$G$2:$G$132,MATCH(C38,'Primary_snapshot'!$A$2:$A$132,0))),"SNAPSHOT MISSING"))</x:f>
      </x:c>
      <x:c r="Q38" s="6" t="str">
        <x:f>IF(Setup!$B$6="primary","",IFERROR(IF(INDEX('Primary_snapshot'!$H$2:$H$132,MATCH(C38,'Primary_snapshot'!$A$2:$A$132,0))="","",INDEX('Primary_snapshot'!$H$2:$H$132,MATCH(C38,'Primary_snapshot'!$A$2:$A$132,0))),"SNAPSHOT MISSING"))</x:f>
      </x:c>
      <x:c r="R38" s="6" t="str">
        <x:f>IF(Setup!$B$6="primary","",IFERROR(IF(INDEX('Primary_snapshot'!$I$2:$I$132,MATCH(C38,'Primary_snapshot'!$A$2:$A$132,0))="","",INDEX('Primary_snapshot'!$I$2:$I$132,MATCH(C38,'Primary_snapshot'!$A$2:$A$132,0))),"SNAPSHOT MISSING"))</x:f>
      </x:c>
      <x:c r="S38" s="6" t="str">
        <x:f>IF(INDEX('C_jama.2025.11178'!$D$2:$D$38,MATCH("2025::jama.2025.11178::C021",'C_jama.2025.11178'!$A$2:$A$38,0))="","",INDEX('C_jama.2025.11178'!$D$2:$D$38,MATCH("2025::jama.2025.11178::C021",'C_jama.2025.11178'!$A$2:$A$38,0)))</x:f>
      </x:c>
      <x:c r="T38" s="6" t="str">
        <x:f>IF(INDEX('C_jama.2025.11178'!$E$2:$E$38,MATCH("2025::jama.2025.11178::C021",'C_jama.2025.11178'!$A$2:$A$38,0))="","",INDEX('C_jama.2025.11178'!$E$2:$E$38,MATCH("2025::jama.2025.11178::C021",'C_jama.2025.11178'!$A$2:$A$38,0)))</x:f>
        <x:v>statistical_results</x:v>
      </x:c>
      <x:c r="U38" s="6" t="str">
        <x:f>IF(AND(INDEX('C_jama.2025.11178'!$D$2:$D$38,MATCH("2025::jama.2025.11178::C021",'C_jama.2025.11178'!$A$2:$A$38,0))="retain",INDEX('C_jama.2025.11178'!$E$2:$E$38,MATCH("2025::jama.2025.11178::C021",'C_jama.2025.11178'!$A$2:$A$38,0))="statistical_results"),IF(INDEX('C_jama.2025.11178'!$H$2:$H$38,MATCH("2025::jama.2025.11178::C021",'C_jama.2025.11178'!$A$2:$A$38,0))="","",INDEX('C_jama.2025.11178'!$H$2:$H$38,MATCH("2025::jama.2025.11178::C021",'C_jama.2025.11178'!$A$2:$A$38,0))),"not_applicable")</x:f>
        <x:v>not_applicable</x:v>
      </x:c>
      <x:c r="V38" s="6" t="str">
        <x:f>IF(AND(INDEX('C_jama.2025.11178'!$D$2:$D$38,MATCH("2025::jama.2025.11178::C021",'C_jama.2025.11178'!$A$2:$A$38,0))="retain",INDEX('C_jama.2025.11178'!$E$2:$E$38,MATCH("2025::jama.2025.11178::C021",'C_jama.2025.11178'!$A$2:$A$38,0))="statistical_results"),IF(INDEX('C_jama.2025.11178'!$I$2:$I$38,MATCH("2025::jama.2025.11178::C021",'C_jama.2025.11178'!$A$2:$A$38,0))="","",INDEX('C_jama.2025.11178'!$I$2:$I$38,MATCH("2025::jama.2025.11178::C021",'C_jama.2025.11178'!$A$2:$A$38,0))),"not_applicable")</x:f>
        <x:v>not_applicable</x:v>
      </x:c>
      <x:c r="W38" s="6" t="str">
        <x:f>IF(AND(INDEX('C_jama.2025.11178'!$D$2:$D$38,MATCH("2025::jama.2025.11178::C021",'C_jama.2025.11178'!$A$2:$A$38,0))="retain",INDEX('C_jama.2025.11178'!$E$2:$E$38,MATCH("2025::jama.2025.11178::C021",'C_jama.2025.11178'!$A$2:$A$38,0))="statistical_results"),IF(INDEX('C_jama.2025.11178'!$J$2:$J$38,MATCH("2025::jama.2025.11178::C021",'C_jama.2025.11178'!$A$2:$A$38,0))="","",INDEX('C_jama.2025.11178'!$J$2:$J$38,MATCH("2025::jama.2025.11178::C021",'C_jama.2025.11178'!$A$2:$A$38,0))),"not_applicable")</x:f>
        <x:v>not_applicable</x:v>
      </x:c>
      <x:c r="X38" s="6" t="str">
        <x:f>IF(AND(INDEX('C_jama.2025.11178'!$D$2:$D$38,MATCH("2025::jama.2025.11178::C021",'C_jama.2025.11178'!$A$2:$A$38,0))="retain",OR(INDEX('C_jama.2025.11178'!$E$2:$E$38,MATCH("2025::jama.2025.11178::C021",'C_jama.2025.11178'!$A$2:$A$38,0))="report_internal_inconsistency",INDEX('C_jama.2025.11178'!$E$2:$E$38,MATCH("2025::jama.2025.11178::C021",'C_jama.2025.11178'!$A$2:$A$38,0))="plan_material")),IF(INDEX('C_jama.2025.11178'!$K$2:$K$38,MATCH("2025::jama.2025.11178::C021",'C_jama.2025.11178'!$A$2:$A$38,0))="","",INDEX('C_jama.2025.11178'!$K$2:$K$38,MATCH("2025::jama.2025.11178::C021",'C_jama.2025.11178'!$A$2:$A$38,0))),"not_applicable")</x:f>
        <x:v>not_applicable</x:v>
      </x:c>
      <x:c r="Y38" s="6" t="str">
        <x:f>IF(AND(INDEX('C_jama.2025.11178'!$D$2:$D$38,MATCH("2025::jama.2025.11178::C021",'C_jama.2025.11178'!$A$2:$A$38,0))="retain",INDEX('C_jama.2025.11178'!$E$2:$E$38,MATCH("2025::jama.2025.11178::C021",'C_jama.2025.11178'!$A$2:$A$38,0))="protocol_report"),IF(INDEX('C_jama.2025.11178'!$L$2:$L$38,MATCH("2025::jama.2025.11178::C021",'C_jama.2025.11178'!$A$2:$A$38,0))="","",INDEX('C_jama.2025.11178'!$L$2:$L$38,MATCH("2025::jama.2025.11178::C021",'C_jama.2025.11178'!$A$2:$A$38,0))),"not_applicable")</x:f>
        <x:v>not_applicable</x:v>
      </x:c>
      <x:c r="Z38" s="6" t="str">
        <x:f>IF(INDEX('C_jama.2025.11178'!$R$2:$R$38,MATCH("2025::jama.2025.11178::C021",'C_jama.2025.11178'!$A$2:$A$38,0))="","",INDEX('C_jama.2025.11178'!$R$2:$R$38,MATCH("2025::jama.2025.11178::C021",'C_jama.2025.11178'!$A$2:$A$38,0)))</x:f>
      </x:c>
      <x:c r="AA38" s="6" t="str">
        <x:f>IF(INDEX('C_jama.2025.11178'!$N$2:$N$38,MATCH("2025::jama.2025.11178::C021",'C_jama.2025.11178'!$A$2:$A$38,0))="","",INDEX('C_jama.2025.11178'!$N$2:$N$38,MATCH("2025::jama.2025.11178::C021",'C_jama.2025.11178'!$A$2:$A$38,0)))</x:f>
      </x:c>
      <x:c r="AB38" s="6" t="str">
        <x:f>IF(INDEX('C_jama.2025.11178'!$O$2:$O$38,MATCH("2025::jama.2025.11178::C021",'C_jama.2025.11178'!$A$2:$A$38,0))="","",INDEX('C_jama.2025.11178'!$O$2:$O$38,MATCH("2025::jama.2025.11178::C021",'C_jama.2025.11178'!$A$2:$A$38,0)))</x:f>
      </x:c>
      <x:c r="AC38" s="6" t="str">
        <x:f>IF(INDEX('C_jama.2025.11178'!$P$2:$P$38,MATCH("2025::jama.2025.11178::C021",'C_jama.2025.11178'!$A$2:$A$38,0))="","",INDEX('C_jama.2025.11178'!$P$2:$P$38,MATCH("2025::jama.2025.11178::C021",'C_jama.2025.11178'!$A$2:$A$38,0)))</x:f>
      </x:c>
      <x:c r="AD38" s="6" t="str">
        <x:f>IF(INDEX('C_jama.2025.11178'!$Q$2:$Q$38,MATCH("2025::jama.2025.11178::C021",'C_jama.2025.11178'!$A$2:$A$38,0))="","",INDEX('C_jama.2025.11178'!$Q$2:$Q$38,MATCH("2025::jama.2025.11178::C021",'C_jama.2025.11178'!$A$2:$A$38,0)))</x:f>
      </x:c>
    </x:row>
    <x:row r="39" ht="65" customHeight="1">
      <x:c r="A39" s="3" t="n">
        <x:v>2025</x:v>
      </x:c>
      <x:c r="B39" s="3" t="str">
        <x:v>jama.2025.11178</x:v>
      </x:c>
      <x:c r="C39" s="3" t="str">
        <x:v>2025::jama.2025.11178::C022</x:v>
      </x:c>
      <x:c r="D39" s="3" t="str">
        <x:v>S_W</x:v>
      </x:c>
      <x:c r="E39" s="3" t="n">
        <x:f>Setup!$B$2</x:f>
        <x:v>0</x:v>
      </x:c>
      <x:c r="F39" s="3" t="str">
        <x:f>IF(Setup!$B$4="","",Setup!$B$4)</x:f>
      </x:c>
      <x:c r="G39" s="3" t="str">
        <x:f>IFERROR(INDEX('C_jama.2025.11178'!$G$2:$G$38,MATCH("2025::jama.2025.11178::C022",'C_jama.2025.11178'!$A$2:$A$38,0)),"CHECK KEY")</x:f>
        <x:v>CHECK REVIEWER IDs</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statistical_results</x:v>
      </x:c>
      <x:c r="K39" s="3" t="str">
        <x:f>IF(Setup!$B$6="primary","",IFERROR(IF(INDEX('Primary_snapshot'!$B$2:$B$132,MATCH(C39,'Primary_snapshot'!$A$2:$A$132,0))="","",INDEX('Primary_snapshot'!$B$2:$B$132,MATCH(C39,'Primary_snapshot'!$A$2:$A$132,0))),"SNAPSHOT MISSING"))</x:f>
      </x:c>
      <x:c r="L39" s="3" t="str">
        <x:f>IF(Setup!$B$6="primary","",IFERROR(IF(INDEX('Primary_snapshot'!$C$2:$C$132,MATCH(C39,'Primary_snapshot'!$A$2:$A$132,0))="","",INDEX('Primary_snapshot'!$C$2:$C$132,MATCH(C39,'Primary_snapshot'!$A$2:$A$132,0))),"SNAPSHOT MISSING"))</x:f>
      </x:c>
      <x:c r="M39" s="3" t="str">
        <x:f>IF(Setup!$B$6="primary","",IFERROR(IF(INDEX('Primary_snapshot'!$D$2:$D$132,MATCH(C39,'Primary_snapshot'!$A$2:$A$132,0))="","",INDEX('Primary_snapshot'!$D$2:$D$132,MATCH(C39,'Primary_snapshot'!$A$2:$A$132,0))),"SNAPSHOT MISSING"))</x:f>
      </x:c>
      <x:c r="N39" s="3" t="str">
        <x:f>IF(Setup!$B$6="primary","",IFERROR(IF(INDEX('Primary_snapshot'!$E$2:$E$132,MATCH(C39,'Primary_snapshot'!$A$2:$A$132,0))="","",INDEX('Primary_snapshot'!$E$2:$E$132,MATCH(C39,'Primary_snapshot'!$A$2:$A$132,0))),"SNAPSHOT MISSING"))</x:f>
      </x:c>
      <x:c r="O39" s="3" t="str">
        <x:f>IF(Setup!$B$6="primary","",IFERROR(IF(INDEX('Primary_snapshot'!$F$2:$F$132,MATCH(C39,'Primary_snapshot'!$A$2:$A$132,0))="","",INDEX('Primary_snapshot'!$F$2:$F$132,MATCH(C39,'Primary_snapshot'!$A$2:$A$132,0))),"SNAPSHOT MISSING"))</x:f>
      </x:c>
      <x:c r="P39" s="3" t="str">
        <x:f>IF(Setup!$B$6="primary","",IFERROR(IF(INDEX('Primary_snapshot'!$G$2:$G$132,MATCH(C39,'Primary_snapshot'!$A$2:$A$132,0))="","",INDEX('Primary_snapshot'!$G$2:$G$132,MATCH(C39,'Primary_snapshot'!$A$2:$A$132,0))),"SNAPSHOT MISSING"))</x:f>
      </x:c>
      <x:c r="Q39" s="3" t="str">
        <x:f>IF(Setup!$B$6="primary","",IFERROR(IF(INDEX('Primary_snapshot'!$H$2:$H$132,MATCH(C39,'Primary_snapshot'!$A$2:$A$132,0))="","",INDEX('Primary_snapshot'!$H$2:$H$132,MATCH(C39,'Primary_snapshot'!$A$2:$A$132,0))),"SNAPSHOT MISSING"))</x:f>
      </x:c>
      <x:c r="R39" s="3" t="str">
        <x:f>IF(Setup!$B$6="primary","",IFERROR(IF(INDEX('Primary_snapshot'!$I$2:$I$132,MATCH(C39,'Primary_snapshot'!$A$2:$A$132,0))="","",INDEX('Primary_snapshot'!$I$2:$I$132,MATCH(C39,'Primary_snapshot'!$A$2:$A$132,0))),"SNAPSHOT MISSING"))</x:f>
      </x:c>
      <x:c r="S39" s="3" t="str">
        <x:f>IF(INDEX('C_jama.2025.11178'!$D$2:$D$38,MATCH("2025::jama.2025.11178::C022",'C_jama.2025.11178'!$A$2:$A$38,0))="","",INDEX('C_jama.2025.11178'!$D$2:$D$38,MATCH("2025::jama.2025.11178::C022",'C_jama.2025.11178'!$A$2:$A$38,0)))</x:f>
      </x:c>
      <x:c r="T39" s="3" t="str">
        <x:f>IF(INDEX('C_jama.2025.11178'!$E$2:$E$38,MATCH("2025::jama.2025.11178::C022",'C_jama.2025.11178'!$A$2:$A$38,0))="","",INDEX('C_jama.2025.11178'!$E$2:$E$38,MATCH("2025::jama.2025.11178::C022",'C_jama.2025.11178'!$A$2:$A$38,0)))</x:f>
        <x:v>statistical_results</x:v>
      </x:c>
      <x:c r="U39" s="3" t="str">
        <x:f>IF(AND(INDEX('C_jama.2025.11178'!$D$2:$D$38,MATCH("2025::jama.2025.11178::C022",'C_jama.2025.11178'!$A$2:$A$38,0))="retain",INDEX('C_jama.2025.11178'!$E$2:$E$38,MATCH("2025::jama.2025.11178::C022",'C_jama.2025.11178'!$A$2:$A$38,0))="statistical_results"),IF(INDEX('C_jama.2025.11178'!$H$2:$H$38,MATCH("2025::jama.2025.11178::C022",'C_jama.2025.11178'!$A$2:$A$38,0))="","",INDEX('C_jama.2025.11178'!$H$2:$H$38,MATCH("2025::jama.2025.11178::C022",'C_jama.2025.11178'!$A$2:$A$38,0))),"not_applicable")</x:f>
        <x:v>not_applicable</x:v>
      </x:c>
      <x:c r="V39" s="3" t="str">
        <x:f>IF(AND(INDEX('C_jama.2025.11178'!$D$2:$D$38,MATCH("2025::jama.2025.11178::C022",'C_jama.2025.11178'!$A$2:$A$38,0))="retain",INDEX('C_jama.2025.11178'!$E$2:$E$38,MATCH("2025::jama.2025.11178::C022",'C_jama.2025.11178'!$A$2:$A$38,0))="statistical_results"),IF(INDEX('C_jama.2025.11178'!$I$2:$I$38,MATCH("2025::jama.2025.11178::C022",'C_jama.2025.11178'!$A$2:$A$38,0))="","",INDEX('C_jama.2025.11178'!$I$2:$I$38,MATCH("2025::jama.2025.11178::C022",'C_jama.2025.11178'!$A$2:$A$38,0))),"not_applicable")</x:f>
        <x:v>not_applicable</x:v>
      </x:c>
      <x:c r="W39" s="3" t="str">
        <x:f>IF(AND(INDEX('C_jama.2025.11178'!$D$2:$D$38,MATCH("2025::jama.2025.11178::C022",'C_jama.2025.11178'!$A$2:$A$38,0))="retain",INDEX('C_jama.2025.11178'!$E$2:$E$38,MATCH("2025::jama.2025.11178::C022",'C_jama.2025.11178'!$A$2:$A$38,0))="statistical_results"),IF(INDEX('C_jama.2025.11178'!$J$2:$J$38,MATCH("2025::jama.2025.11178::C022",'C_jama.2025.11178'!$A$2:$A$38,0))="","",INDEX('C_jama.2025.11178'!$J$2:$J$38,MATCH("2025::jama.2025.11178::C022",'C_jama.2025.11178'!$A$2:$A$38,0))),"not_applicable")</x:f>
        <x:v>not_applicable</x:v>
      </x:c>
      <x:c r="X39" s="3" t="str">
        <x:f>IF(AND(INDEX('C_jama.2025.11178'!$D$2:$D$38,MATCH("2025::jama.2025.11178::C022",'C_jama.2025.11178'!$A$2:$A$38,0))="retain",OR(INDEX('C_jama.2025.11178'!$E$2:$E$38,MATCH("2025::jama.2025.11178::C022",'C_jama.2025.11178'!$A$2:$A$38,0))="report_internal_inconsistency",INDEX('C_jama.2025.11178'!$E$2:$E$38,MATCH("2025::jama.2025.11178::C022",'C_jama.2025.11178'!$A$2:$A$38,0))="plan_material")),IF(INDEX('C_jama.2025.11178'!$K$2:$K$38,MATCH("2025::jama.2025.11178::C022",'C_jama.2025.11178'!$A$2:$A$38,0))="","",INDEX('C_jama.2025.11178'!$K$2:$K$38,MATCH("2025::jama.2025.11178::C022",'C_jama.2025.11178'!$A$2:$A$38,0))),"not_applicable")</x:f>
        <x:v>not_applicable</x:v>
      </x:c>
      <x:c r="Y39" s="3" t="str">
        <x:f>IF(AND(INDEX('C_jama.2025.11178'!$D$2:$D$38,MATCH("2025::jama.2025.11178::C022",'C_jama.2025.11178'!$A$2:$A$38,0))="retain",INDEX('C_jama.2025.11178'!$E$2:$E$38,MATCH("2025::jama.2025.11178::C022",'C_jama.2025.11178'!$A$2:$A$38,0))="protocol_report"),IF(INDEX('C_jama.2025.11178'!$L$2:$L$38,MATCH("2025::jama.2025.11178::C022",'C_jama.2025.11178'!$A$2:$A$38,0))="","",INDEX('C_jama.2025.11178'!$L$2:$L$38,MATCH("2025::jama.2025.11178::C022",'C_jama.2025.11178'!$A$2:$A$38,0))),"not_applicable")</x:f>
        <x:v>not_applicable</x:v>
      </x:c>
      <x:c r="Z39" s="3" t="str">
        <x:f>IF(INDEX('C_jama.2025.11178'!$R$2:$R$38,MATCH("2025::jama.2025.11178::C022",'C_jama.2025.11178'!$A$2:$A$38,0))="","",INDEX('C_jama.2025.11178'!$R$2:$R$38,MATCH("2025::jama.2025.11178::C022",'C_jama.2025.11178'!$A$2:$A$38,0)))</x:f>
      </x:c>
      <x:c r="AA39" s="3" t="str">
        <x:f>IF(INDEX('C_jama.2025.11178'!$N$2:$N$38,MATCH("2025::jama.2025.11178::C022",'C_jama.2025.11178'!$A$2:$A$38,0))="","",INDEX('C_jama.2025.11178'!$N$2:$N$38,MATCH("2025::jama.2025.11178::C022",'C_jama.2025.11178'!$A$2:$A$38,0)))</x:f>
      </x:c>
      <x:c r="AB39" s="3" t="str">
        <x:f>IF(INDEX('C_jama.2025.11178'!$O$2:$O$38,MATCH("2025::jama.2025.11178::C022",'C_jama.2025.11178'!$A$2:$A$38,0))="","",INDEX('C_jama.2025.11178'!$O$2:$O$38,MATCH("2025::jama.2025.11178::C022",'C_jama.2025.11178'!$A$2:$A$38,0)))</x:f>
      </x:c>
      <x:c r="AC39" s="3" t="str">
        <x:f>IF(INDEX('C_jama.2025.11178'!$P$2:$P$38,MATCH("2025::jama.2025.11178::C022",'C_jama.2025.11178'!$A$2:$A$38,0))="","",INDEX('C_jama.2025.11178'!$P$2:$P$38,MATCH("2025::jama.2025.11178::C022",'C_jama.2025.11178'!$A$2:$A$38,0)))</x:f>
      </x:c>
      <x:c r="AD39" s="3" t="str">
        <x:f>IF(INDEX('C_jama.2025.11178'!$Q$2:$Q$38,MATCH("2025::jama.2025.11178::C022",'C_jama.2025.11178'!$A$2:$A$38,0))="","",INDEX('C_jama.2025.11178'!$Q$2:$Q$38,MATCH("2025::jama.2025.11178::C022",'C_jama.2025.11178'!$A$2:$A$38,0)))</x:f>
      </x:c>
    </x:row>
    <x:row r="40" ht="65" customHeight="1">
      <x:c r="A40" s="6" t="n">
        <x:v>2025</x:v>
      </x:c>
      <x:c r="B40" s="6" t="str">
        <x:v>jama.2025.11178</x:v>
      </x:c>
      <x:c r="C40" s="6" t="str">
        <x:v>2025::jama.2025.11178::C023</x:v>
      </x:c>
      <x:c r="D40" s="6" t="str">
        <x:v>S_W</x:v>
      </x:c>
      <x:c r="E40" s="6" t="n">
        <x:f>Setup!$B$2</x:f>
        <x:v>0</x:v>
      </x:c>
      <x:c r="F40" s="6" t="str">
        <x:f>IF(Setup!$B$4="","",Setup!$B$4)</x:f>
      </x:c>
      <x:c r="G40" s="6" t="str">
        <x:f>IFERROR(INDEX('C_jama.2025.11178'!$G$2:$G$38,MATCH("2025::jama.2025.11178::C023",'C_jama.2025.11178'!$A$2:$A$38,0)),"CHECK KEY")</x:f>
        <x:v>CHECK REVIEWER IDs</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statistical_results</x:v>
      </x:c>
      <x:c r="K40" s="6" t="str">
        <x:f>IF(Setup!$B$6="primary","",IFERROR(IF(INDEX('Primary_snapshot'!$B$2:$B$132,MATCH(C40,'Primary_snapshot'!$A$2:$A$132,0))="","",INDEX('Primary_snapshot'!$B$2:$B$132,MATCH(C40,'Primary_snapshot'!$A$2:$A$132,0))),"SNAPSHOT MISSING"))</x:f>
      </x:c>
      <x:c r="L40" s="6" t="str">
        <x:f>IF(Setup!$B$6="primary","",IFERROR(IF(INDEX('Primary_snapshot'!$C$2:$C$132,MATCH(C40,'Primary_snapshot'!$A$2:$A$132,0))="","",INDEX('Primary_snapshot'!$C$2:$C$132,MATCH(C40,'Primary_snapshot'!$A$2:$A$132,0))),"SNAPSHOT MISSING"))</x:f>
      </x:c>
      <x:c r="M40" s="6" t="str">
        <x:f>IF(Setup!$B$6="primary","",IFERROR(IF(INDEX('Primary_snapshot'!$D$2:$D$132,MATCH(C40,'Primary_snapshot'!$A$2:$A$132,0))="","",INDEX('Primary_snapshot'!$D$2:$D$132,MATCH(C40,'Primary_snapshot'!$A$2:$A$132,0))),"SNAPSHOT MISSING"))</x:f>
      </x:c>
      <x:c r="N40" s="6" t="str">
        <x:f>IF(Setup!$B$6="primary","",IFERROR(IF(INDEX('Primary_snapshot'!$E$2:$E$132,MATCH(C40,'Primary_snapshot'!$A$2:$A$132,0))="","",INDEX('Primary_snapshot'!$E$2:$E$132,MATCH(C40,'Primary_snapshot'!$A$2:$A$132,0))),"SNAPSHOT MISSING"))</x:f>
      </x:c>
      <x:c r="O40" s="6" t="str">
        <x:f>IF(Setup!$B$6="primary","",IFERROR(IF(INDEX('Primary_snapshot'!$F$2:$F$132,MATCH(C40,'Primary_snapshot'!$A$2:$A$132,0))="","",INDEX('Primary_snapshot'!$F$2:$F$132,MATCH(C40,'Primary_snapshot'!$A$2:$A$132,0))),"SNAPSHOT MISSING"))</x:f>
      </x:c>
      <x:c r="P40" s="6" t="str">
        <x:f>IF(Setup!$B$6="primary","",IFERROR(IF(INDEX('Primary_snapshot'!$G$2:$G$132,MATCH(C40,'Primary_snapshot'!$A$2:$A$132,0))="","",INDEX('Primary_snapshot'!$G$2:$G$132,MATCH(C40,'Primary_snapshot'!$A$2:$A$132,0))),"SNAPSHOT MISSING"))</x:f>
      </x:c>
      <x:c r="Q40" s="6" t="str">
        <x:f>IF(Setup!$B$6="primary","",IFERROR(IF(INDEX('Primary_snapshot'!$H$2:$H$132,MATCH(C40,'Primary_snapshot'!$A$2:$A$132,0))="","",INDEX('Primary_snapshot'!$H$2:$H$132,MATCH(C40,'Primary_snapshot'!$A$2:$A$132,0))),"SNAPSHOT MISSING"))</x:f>
      </x:c>
      <x:c r="R40" s="6" t="str">
        <x:f>IF(Setup!$B$6="primary","",IFERROR(IF(INDEX('Primary_snapshot'!$I$2:$I$132,MATCH(C40,'Primary_snapshot'!$A$2:$A$132,0))="","",INDEX('Primary_snapshot'!$I$2:$I$132,MATCH(C40,'Primary_snapshot'!$A$2:$A$132,0))),"SNAPSHOT MISSING"))</x:f>
      </x:c>
      <x:c r="S40" s="6" t="str">
        <x:f>IF(INDEX('C_jama.2025.11178'!$D$2:$D$38,MATCH("2025::jama.2025.11178::C023",'C_jama.2025.11178'!$A$2:$A$38,0))="","",INDEX('C_jama.2025.11178'!$D$2:$D$38,MATCH("2025::jama.2025.11178::C023",'C_jama.2025.11178'!$A$2:$A$38,0)))</x:f>
      </x:c>
      <x:c r="T40" s="6" t="str">
        <x:f>IF(INDEX('C_jama.2025.11178'!$E$2:$E$38,MATCH("2025::jama.2025.11178::C023",'C_jama.2025.11178'!$A$2:$A$38,0))="","",INDEX('C_jama.2025.11178'!$E$2:$E$38,MATCH("2025::jama.2025.11178::C023",'C_jama.2025.11178'!$A$2:$A$38,0)))</x:f>
        <x:v>statistical_results</x:v>
      </x:c>
      <x:c r="U40" s="6" t="str">
        <x:f>IF(AND(INDEX('C_jama.2025.11178'!$D$2:$D$38,MATCH("2025::jama.2025.11178::C023",'C_jama.2025.11178'!$A$2:$A$38,0))="retain",INDEX('C_jama.2025.11178'!$E$2:$E$38,MATCH("2025::jama.2025.11178::C023",'C_jama.2025.11178'!$A$2:$A$38,0))="statistical_results"),IF(INDEX('C_jama.2025.11178'!$H$2:$H$38,MATCH("2025::jama.2025.11178::C023",'C_jama.2025.11178'!$A$2:$A$38,0))="","",INDEX('C_jama.2025.11178'!$H$2:$H$38,MATCH("2025::jama.2025.11178::C023",'C_jama.2025.11178'!$A$2:$A$38,0))),"not_applicable")</x:f>
        <x:v>not_applicable</x:v>
      </x:c>
      <x:c r="V40" s="6" t="str">
        <x:f>IF(AND(INDEX('C_jama.2025.11178'!$D$2:$D$38,MATCH("2025::jama.2025.11178::C023",'C_jama.2025.11178'!$A$2:$A$38,0))="retain",INDEX('C_jama.2025.11178'!$E$2:$E$38,MATCH("2025::jama.2025.11178::C023",'C_jama.2025.11178'!$A$2:$A$38,0))="statistical_results"),IF(INDEX('C_jama.2025.11178'!$I$2:$I$38,MATCH("2025::jama.2025.11178::C023",'C_jama.2025.11178'!$A$2:$A$38,0))="","",INDEX('C_jama.2025.11178'!$I$2:$I$38,MATCH("2025::jama.2025.11178::C023",'C_jama.2025.11178'!$A$2:$A$38,0))),"not_applicable")</x:f>
        <x:v>not_applicable</x:v>
      </x:c>
      <x:c r="W40" s="6" t="str">
        <x:f>IF(AND(INDEX('C_jama.2025.11178'!$D$2:$D$38,MATCH("2025::jama.2025.11178::C023",'C_jama.2025.11178'!$A$2:$A$38,0))="retain",INDEX('C_jama.2025.11178'!$E$2:$E$38,MATCH("2025::jama.2025.11178::C023",'C_jama.2025.11178'!$A$2:$A$38,0))="statistical_results"),IF(INDEX('C_jama.2025.11178'!$J$2:$J$38,MATCH("2025::jama.2025.11178::C023",'C_jama.2025.11178'!$A$2:$A$38,0))="","",INDEX('C_jama.2025.11178'!$J$2:$J$38,MATCH("2025::jama.2025.11178::C023",'C_jama.2025.11178'!$A$2:$A$38,0))),"not_applicable")</x:f>
        <x:v>not_applicable</x:v>
      </x:c>
      <x:c r="X40" s="6" t="str">
        <x:f>IF(AND(INDEX('C_jama.2025.11178'!$D$2:$D$38,MATCH("2025::jama.2025.11178::C023",'C_jama.2025.11178'!$A$2:$A$38,0))="retain",OR(INDEX('C_jama.2025.11178'!$E$2:$E$38,MATCH("2025::jama.2025.11178::C023",'C_jama.2025.11178'!$A$2:$A$38,0))="report_internal_inconsistency",INDEX('C_jama.2025.11178'!$E$2:$E$38,MATCH("2025::jama.2025.11178::C023",'C_jama.2025.11178'!$A$2:$A$38,0))="plan_material")),IF(INDEX('C_jama.2025.11178'!$K$2:$K$38,MATCH("2025::jama.2025.11178::C023",'C_jama.2025.11178'!$A$2:$A$38,0))="","",INDEX('C_jama.2025.11178'!$K$2:$K$38,MATCH("2025::jama.2025.11178::C023",'C_jama.2025.11178'!$A$2:$A$38,0))),"not_applicable")</x:f>
        <x:v>not_applicable</x:v>
      </x:c>
      <x:c r="Y40" s="6" t="str">
        <x:f>IF(AND(INDEX('C_jama.2025.11178'!$D$2:$D$38,MATCH("2025::jama.2025.11178::C023",'C_jama.2025.11178'!$A$2:$A$38,0))="retain",INDEX('C_jama.2025.11178'!$E$2:$E$38,MATCH("2025::jama.2025.11178::C023",'C_jama.2025.11178'!$A$2:$A$38,0))="protocol_report"),IF(INDEX('C_jama.2025.11178'!$L$2:$L$38,MATCH("2025::jama.2025.11178::C023",'C_jama.2025.11178'!$A$2:$A$38,0))="","",INDEX('C_jama.2025.11178'!$L$2:$L$38,MATCH("2025::jama.2025.11178::C023",'C_jama.2025.11178'!$A$2:$A$38,0))),"not_applicable")</x:f>
        <x:v>not_applicable</x:v>
      </x:c>
      <x:c r="Z40" s="6" t="str">
        <x:f>IF(INDEX('C_jama.2025.11178'!$R$2:$R$38,MATCH("2025::jama.2025.11178::C023",'C_jama.2025.11178'!$A$2:$A$38,0))="","",INDEX('C_jama.2025.11178'!$R$2:$R$38,MATCH("2025::jama.2025.11178::C023",'C_jama.2025.11178'!$A$2:$A$38,0)))</x:f>
      </x:c>
      <x:c r="AA40" s="6" t="str">
        <x:f>IF(INDEX('C_jama.2025.11178'!$N$2:$N$38,MATCH("2025::jama.2025.11178::C023",'C_jama.2025.11178'!$A$2:$A$38,0))="","",INDEX('C_jama.2025.11178'!$N$2:$N$38,MATCH("2025::jama.2025.11178::C023",'C_jama.2025.11178'!$A$2:$A$38,0)))</x:f>
      </x:c>
      <x:c r="AB40" s="6" t="str">
        <x:f>IF(INDEX('C_jama.2025.11178'!$O$2:$O$38,MATCH("2025::jama.2025.11178::C023",'C_jama.2025.11178'!$A$2:$A$38,0))="","",INDEX('C_jama.2025.11178'!$O$2:$O$38,MATCH("2025::jama.2025.11178::C023",'C_jama.2025.11178'!$A$2:$A$38,0)))</x:f>
      </x:c>
      <x:c r="AC40" s="6" t="str">
        <x:f>IF(INDEX('C_jama.2025.11178'!$P$2:$P$38,MATCH("2025::jama.2025.11178::C023",'C_jama.2025.11178'!$A$2:$A$38,0))="","",INDEX('C_jama.2025.11178'!$P$2:$P$38,MATCH("2025::jama.2025.11178::C023",'C_jama.2025.11178'!$A$2:$A$38,0)))</x:f>
      </x:c>
      <x:c r="AD40" s="6" t="str">
        <x:f>IF(INDEX('C_jama.2025.11178'!$Q$2:$Q$38,MATCH("2025::jama.2025.11178::C023",'C_jama.2025.11178'!$A$2:$A$38,0))="","",INDEX('C_jama.2025.11178'!$Q$2:$Q$38,MATCH("2025::jama.2025.11178::C023",'C_jama.2025.11178'!$A$2:$A$38,0)))</x:f>
      </x:c>
    </x:row>
    <x:row r="41" ht="65" customHeight="1">
      <x:c r="A41" s="3" t="n">
        <x:v>2025</x:v>
      </x:c>
      <x:c r="B41" s="3" t="str">
        <x:v>jama.2025.11178</x:v>
      </x:c>
      <x:c r="C41" s="3" t="str">
        <x:v>2025::jama.2025.11178::C024</x:v>
      </x:c>
      <x:c r="D41" s="3" t="str">
        <x:v>S_W</x:v>
      </x:c>
      <x:c r="E41" s="3" t="n">
        <x:f>Setup!$B$2</x:f>
        <x:v>0</x:v>
      </x:c>
      <x:c r="F41" s="3" t="str">
        <x:f>IF(Setup!$B$4="","",Setup!$B$4)</x:f>
      </x:c>
      <x:c r="G41" s="3" t="str">
        <x:f>IFERROR(INDEX('C_jama.2025.11178'!$G$2:$G$38,MATCH("2025::jama.2025.11178::C024",'C_jama.2025.11178'!$A$2:$A$38,0)),"CHECK KEY")</x:f>
        <x:v>CHECK REVIEWER IDs</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statistical_results</x:v>
      </x:c>
      <x:c r="K41" s="3" t="str">
        <x:f>IF(Setup!$B$6="primary","",IFERROR(IF(INDEX('Primary_snapshot'!$B$2:$B$132,MATCH(C41,'Primary_snapshot'!$A$2:$A$132,0))="","",INDEX('Primary_snapshot'!$B$2:$B$132,MATCH(C41,'Primary_snapshot'!$A$2:$A$132,0))),"SNAPSHOT MISSING"))</x:f>
      </x:c>
      <x:c r="L41" s="3" t="str">
        <x:f>IF(Setup!$B$6="primary","",IFERROR(IF(INDEX('Primary_snapshot'!$C$2:$C$132,MATCH(C41,'Primary_snapshot'!$A$2:$A$132,0))="","",INDEX('Primary_snapshot'!$C$2:$C$132,MATCH(C41,'Primary_snapshot'!$A$2:$A$132,0))),"SNAPSHOT MISSING"))</x:f>
      </x:c>
      <x:c r="M41" s="3" t="str">
        <x:f>IF(Setup!$B$6="primary","",IFERROR(IF(INDEX('Primary_snapshot'!$D$2:$D$132,MATCH(C41,'Primary_snapshot'!$A$2:$A$132,0))="","",INDEX('Primary_snapshot'!$D$2:$D$132,MATCH(C41,'Primary_snapshot'!$A$2:$A$132,0))),"SNAPSHOT MISSING"))</x:f>
      </x:c>
      <x:c r="N41" s="3" t="str">
        <x:f>IF(Setup!$B$6="primary","",IFERROR(IF(INDEX('Primary_snapshot'!$E$2:$E$132,MATCH(C41,'Primary_snapshot'!$A$2:$A$132,0))="","",INDEX('Primary_snapshot'!$E$2:$E$132,MATCH(C41,'Primary_snapshot'!$A$2:$A$132,0))),"SNAPSHOT MISSING"))</x:f>
      </x:c>
      <x:c r="O41" s="3" t="str">
        <x:f>IF(Setup!$B$6="primary","",IFERROR(IF(INDEX('Primary_snapshot'!$F$2:$F$132,MATCH(C41,'Primary_snapshot'!$A$2:$A$132,0))="","",INDEX('Primary_snapshot'!$F$2:$F$132,MATCH(C41,'Primary_snapshot'!$A$2:$A$132,0))),"SNAPSHOT MISSING"))</x:f>
      </x:c>
      <x:c r="P41" s="3" t="str">
        <x:f>IF(Setup!$B$6="primary","",IFERROR(IF(INDEX('Primary_snapshot'!$G$2:$G$132,MATCH(C41,'Primary_snapshot'!$A$2:$A$132,0))="","",INDEX('Primary_snapshot'!$G$2:$G$132,MATCH(C41,'Primary_snapshot'!$A$2:$A$132,0))),"SNAPSHOT MISSING"))</x:f>
      </x:c>
      <x:c r="Q41" s="3" t="str">
        <x:f>IF(Setup!$B$6="primary","",IFERROR(IF(INDEX('Primary_snapshot'!$H$2:$H$132,MATCH(C41,'Primary_snapshot'!$A$2:$A$132,0))="","",INDEX('Primary_snapshot'!$H$2:$H$132,MATCH(C41,'Primary_snapshot'!$A$2:$A$132,0))),"SNAPSHOT MISSING"))</x:f>
      </x:c>
      <x:c r="R41" s="3" t="str">
        <x:f>IF(Setup!$B$6="primary","",IFERROR(IF(INDEX('Primary_snapshot'!$I$2:$I$132,MATCH(C41,'Primary_snapshot'!$A$2:$A$132,0))="","",INDEX('Primary_snapshot'!$I$2:$I$132,MATCH(C41,'Primary_snapshot'!$A$2:$A$132,0))),"SNAPSHOT MISSING"))</x:f>
      </x:c>
      <x:c r="S41" s="3" t="str">
        <x:f>IF(INDEX('C_jama.2025.11178'!$D$2:$D$38,MATCH("2025::jama.2025.11178::C024",'C_jama.2025.11178'!$A$2:$A$38,0))="","",INDEX('C_jama.2025.11178'!$D$2:$D$38,MATCH("2025::jama.2025.11178::C024",'C_jama.2025.11178'!$A$2:$A$38,0)))</x:f>
      </x:c>
      <x:c r="T41" s="3" t="str">
        <x:f>IF(INDEX('C_jama.2025.11178'!$E$2:$E$38,MATCH("2025::jama.2025.11178::C024",'C_jama.2025.11178'!$A$2:$A$38,0))="","",INDEX('C_jama.2025.11178'!$E$2:$E$38,MATCH("2025::jama.2025.11178::C024",'C_jama.2025.11178'!$A$2:$A$38,0)))</x:f>
        <x:v>statistical_results</x:v>
      </x:c>
      <x:c r="U41" s="3" t="str">
        <x:f>IF(AND(INDEX('C_jama.2025.11178'!$D$2:$D$38,MATCH("2025::jama.2025.11178::C024",'C_jama.2025.11178'!$A$2:$A$38,0))="retain",INDEX('C_jama.2025.11178'!$E$2:$E$38,MATCH("2025::jama.2025.11178::C024",'C_jama.2025.11178'!$A$2:$A$38,0))="statistical_results"),IF(INDEX('C_jama.2025.11178'!$H$2:$H$38,MATCH("2025::jama.2025.11178::C024",'C_jama.2025.11178'!$A$2:$A$38,0))="","",INDEX('C_jama.2025.11178'!$H$2:$H$38,MATCH("2025::jama.2025.11178::C024",'C_jama.2025.11178'!$A$2:$A$38,0))),"not_applicable")</x:f>
        <x:v>not_applicable</x:v>
      </x:c>
      <x:c r="V41" s="3" t="str">
        <x:f>IF(AND(INDEX('C_jama.2025.11178'!$D$2:$D$38,MATCH("2025::jama.2025.11178::C024",'C_jama.2025.11178'!$A$2:$A$38,0))="retain",INDEX('C_jama.2025.11178'!$E$2:$E$38,MATCH("2025::jama.2025.11178::C024",'C_jama.2025.11178'!$A$2:$A$38,0))="statistical_results"),IF(INDEX('C_jama.2025.11178'!$I$2:$I$38,MATCH("2025::jama.2025.11178::C024",'C_jama.2025.11178'!$A$2:$A$38,0))="","",INDEX('C_jama.2025.11178'!$I$2:$I$38,MATCH("2025::jama.2025.11178::C024",'C_jama.2025.11178'!$A$2:$A$38,0))),"not_applicable")</x:f>
        <x:v>not_applicable</x:v>
      </x:c>
      <x:c r="W41" s="3" t="str">
        <x:f>IF(AND(INDEX('C_jama.2025.11178'!$D$2:$D$38,MATCH("2025::jama.2025.11178::C024",'C_jama.2025.11178'!$A$2:$A$38,0))="retain",INDEX('C_jama.2025.11178'!$E$2:$E$38,MATCH("2025::jama.2025.11178::C024",'C_jama.2025.11178'!$A$2:$A$38,0))="statistical_results"),IF(INDEX('C_jama.2025.11178'!$J$2:$J$38,MATCH("2025::jama.2025.11178::C024",'C_jama.2025.11178'!$A$2:$A$38,0))="","",INDEX('C_jama.2025.11178'!$J$2:$J$38,MATCH("2025::jama.2025.11178::C024",'C_jama.2025.11178'!$A$2:$A$38,0))),"not_applicable")</x:f>
        <x:v>not_applicable</x:v>
      </x:c>
      <x:c r="X41" s="3" t="str">
        <x:f>IF(AND(INDEX('C_jama.2025.11178'!$D$2:$D$38,MATCH("2025::jama.2025.11178::C024",'C_jama.2025.11178'!$A$2:$A$38,0))="retain",OR(INDEX('C_jama.2025.11178'!$E$2:$E$38,MATCH("2025::jama.2025.11178::C024",'C_jama.2025.11178'!$A$2:$A$38,0))="report_internal_inconsistency",INDEX('C_jama.2025.11178'!$E$2:$E$38,MATCH("2025::jama.2025.11178::C024",'C_jama.2025.11178'!$A$2:$A$38,0))="plan_material")),IF(INDEX('C_jama.2025.11178'!$K$2:$K$38,MATCH("2025::jama.2025.11178::C024",'C_jama.2025.11178'!$A$2:$A$38,0))="","",INDEX('C_jama.2025.11178'!$K$2:$K$38,MATCH("2025::jama.2025.11178::C024",'C_jama.2025.11178'!$A$2:$A$38,0))),"not_applicable")</x:f>
        <x:v>not_applicable</x:v>
      </x:c>
      <x:c r="Y41" s="3" t="str">
        <x:f>IF(AND(INDEX('C_jama.2025.11178'!$D$2:$D$38,MATCH("2025::jama.2025.11178::C024",'C_jama.2025.11178'!$A$2:$A$38,0))="retain",INDEX('C_jama.2025.11178'!$E$2:$E$38,MATCH("2025::jama.2025.11178::C024",'C_jama.2025.11178'!$A$2:$A$38,0))="protocol_report"),IF(INDEX('C_jama.2025.11178'!$L$2:$L$38,MATCH("2025::jama.2025.11178::C024",'C_jama.2025.11178'!$A$2:$A$38,0))="","",INDEX('C_jama.2025.11178'!$L$2:$L$38,MATCH("2025::jama.2025.11178::C024",'C_jama.2025.11178'!$A$2:$A$38,0))),"not_applicable")</x:f>
        <x:v>not_applicable</x:v>
      </x:c>
      <x:c r="Z41" s="3" t="str">
        <x:f>IF(INDEX('C_jama.2025.11178'!$R$2:$R$38,MATCH("2025::jama.2025.11178::C024",'C_jama.2025.11178'!$A$2:$A$38,0))="","",INDEX('C_jama.2025.11178'!$R$2:$R$38,MATCH("2025::jama.2025.11178::C024",'C_jama.2025.11178'!$A$2:$A$38,0)))</x:f>
      </x:c>
      <x:c r="AA41" s="3" t="str">
        <x:f>IF(INDEX('C_jama.2025.11178'!$N$2:$N$38,MATCH("2025::jama.2025.11178::C024",'C_jama.2025.11178'!$A$2:$A$38,0))="","",INDEX('C_jama.2025.11178'!$N$2:$N$38,MATCH("2025::jama.2025.11178::C024",'C_jama.2025.11178'!$A$2:$A$38,0)))</x:f>
      </x:c>
      <x:c r="AB41" s="3" t="str">
        <x:f>IF(INDEX('C_jama.2025.11178'!$O$2:$O$38,MATCH("2025::jama.2025.11178::C024",'C_jama.2025.11178'!$A$2:$A$38,0))="","",INDEX('C_jama.2025.11178'!$O$2:$O$38,MATCH("2025::jama.2025.11178::C024",'C_jama.2025.11178'!$A$2:$A$38,0)))</x:f>
      </x:c>
      <x:c r="AC41" s="3" t="str">
        <x:f>IF(INDEX('C_jama.2025.11178'!$P$2:$P$38,MATCH("2025::jama.2025.11178::C024",'C_jama.2025.11178'!$A$2:$A$38,0))="","",INDEX('C_jama.2025.11178'!$P$2:$P$38,MATCH("2025::jama.2025.11178::C024",'C_jama.2025.11178'!$A$2:$A$38,0)))</x:f>
      </x:c>
      <x:c r="AD41" s="3" t="str">
        <x:f>IF(INDEX('C_jama.2025.11178'!$Q$2:$Q$38,MATCH("2025::jama.2025.11178::C024",'C_jama.2025.11178'!$A$2:$A$38,0))="","",INDEX('C_jama.2025.11178'!$Q$2:$Q$38,MATCH("2025::jama.2025.11178::C024",'C_jama.2025.11178'!$A$2:$A$38,0)))</x:f>
      </x:c>
    </x:row>
    <x:row r="42" ht="65" customHeight="1">
      <x:c r="A42" s="6" t="n">
        <x:v>2025</x:v>
      </x:c>
      <x:c r="B42" s="6" t="str">
        <x:v>jama.2025.11178</x:v>
      </x:c>
      <x:c r="C42" s="6" t="str">
        <x:v>2025::jama.2025.11178::C025</x:v>
      </x:c>
      <x:c r="D42" s="6" t="str">
        <x:v>S_W</x:v>
      </x:c>
      <x:c r="E42" s="6" t="n">
        <x:f>Setup!$B$2</x:f>
        <x:v>0</x:v>
      </x:c>
      <x:c r="F42" s="6" t="str">
        <x:f>IF(Setup!$B$4="","",Setup!$B$4)</x:f>
      </x:c>
      <x:c r="G42" s="6" t="str">
        <x:f>IFERROR(INDEX('C_jama.2025.11178'!$G$2:$G$38,MATCH("2025::jama.2025.11178::C025",'C_jama.2025.11178'!$A$2:$A$38,0)),"CHECK KEY")</x:f>
        <x:v>CHECK REVIEWER IDs</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IF(Setup!$B$6="primary","",IFERROR(IF(INDEX('Primary_snapshot'!$B$2:$B$132,MATCH(C42,'Primary_snapshot'!$A$2:$A$132,0))="","",INDEX('Primary_snapshot'!$B$2:$B$132,MATCH(C42,'Primary_snapshot'!$A$2:$A$132,0))),"SNAPSHOT MISSING"))</x:f>
      </x:c>
      <x:c r="L42" s="6" t="str">
        <x:f>IF(Setup!$B$6="primary","",IFERROR(IF(INDEX('Primary_snapshot'!$C$2:$C$132,MATCH(C42,'Primary_snapshot'!$A$2:$A$132,0))="","",INDEX('Primary_snapshot'!$C$2:$C$132,MATCH(C42,'Primary_snapshot'!$A$2:$A$132,0))),"SNAPSHOT MISSING"))</x:f>
      </x:c>
      <x:c r="M42" s="6" t="str">
        <x:f>IF(Setup!$B$6="primary","",IFERROR(IF(INDEX('Primary_snapshot'!$D$2:$D$132,MATCH(C42,'Primary_snapshot'!$A$2:$A$132,0))="","",INDEX('Primary_snapshot'!$D$2:$D$132,MATCH(C42,'Primary_snapshot'!$A$2:$A$132,0))),"SNAPSHOT MISSING"))</x:f>
      </x:c>
      <x:c r="N42" s="6" t="str">
        <x:f>IF(Setup!$B$6="primary","",IFERROR(IF(INDEX('Primary_snapshot'!$E$2:$E$132,MATCH(C42,'Primary_snapshot'!$A$2:$A$132,0))="","",INDEX('Primary_snapshot'!$E$2:$E$132,MATCH(C42,'Primary_snapshot'!$A$2:$A$132,0))),"SNAPSHOT MISSING"))</x:f>
      </x:c>
      <x:c r="O42" s="6" t="str">
        <x:f>IF(Setup!$B$6="primary","",IFERROR(IF(INDEX('Primary_snapshot'!$F$2:$F$132,MATCH(C42,'Primary_snapshot'!$A$2:$A$132,0))="","",INDEX('Primary_snapshot'!$F$2:$F$132,MATCH(C42,'Primary_snapshot'!$A$2:$A$132,0))),"SNAPSHOT MISSING"))</x:f>
      </x:c>
      <x:c r="P42" s="6" t="str">
        <x:f>IF(Setup!$B$6="primary","",IFERROR(IF(INDEX('Primary_snapshot'!$G$2:$G$132,MATCH(C42,'Primary_snapshot'!$A$2:$A$132,0))="","",INDEX('Primary_snapshot'!$G$2:$G$132,MATCH(C42,'Primary_snapshot'!$A$2:$A$132,0))),"SNAPSHOT MISSING"))</x:f>
      </x:c>
      <x:c r="Q42" s="6" t="str">
        <x:f>IF(Setup!$B$6="primary","",IFERROR(IF(INDEX('Primary_snapshot'!$H$2:$H$132,MATCH(C42,'Primary_snapshot'!$A$2:$A$132,0))="","",INDEX('Primary_snapshot'!$H$2:$H$132,MATCH(C42,'Primary_snapshot'!$A$2:$A$132,0))),"SNAPSHOT MISSING"))</x:f>
      </x:c>
      <x:c r="R42" s="6" t="str">
        <x:f>IF(Setup!$B$6="primary","",IFERROR(IF(INDEX('Primary_snapshot'!$I$2:$I$132,MATCH(C42,'Primary_snapshot'!$A$2:$A$132,0))="","",INDEX('Primary_snapshot'!$I$2:$I$132,MATCH(C42,'Primary_snapshot'!$A$2:$A$132,0))),"SNAPSHOT MISSING"))</x:f>
      </x:c>
      <x:c r="S42" s="6" t="str">
        <x:f>IF(INDEX('C_jama.2025.11178'!$D$2:$D$38,MATCH("2025::jama.2025.11178::C025",'C_jama.2025.11178'!$A$2:$A$38,0))="","",INDEX('C_jama.2025.11178'!$D$2:$D$38,MATCH("2025::jama.2025.11178::C025",'C_jama.2025.11178'!$A$2:$A$38,0)))</x:f>
      </x:c>
      <x:c r="T42" s="6" t="str">
        <x:f>IF(INDEX('C_jama.2025.11178'!$E$2:$E$38,MATCH("2025::jama.2025.11178::C025",'C_jama.2025.11178'!$A$2:$A$38,0))="","",INDEX('C_jama.2025.11178'!$E$2:$E$38,MATCH("2025::jama.2025.11178::C025",'C_jama.2025.11178'!$A$2:$A$38,0)))</x:f>
        <x:v>statistical_results</x:v>
      </x:c>
      <x:c r="U42" s="6" t="str">
        <x:f>IF(AND(INDEX('C_jama.2025.11178'!$D$2:$D$38,MATCH("2025::jama.2025.11178::C025",'C_jama.2025.11178'!$A$2:$A$38,0))="retain",INDEX('C_jama.2025.11178'!$E$2:$E$38,MATCH("2025::jama.2025.11178::C025",'C_jama.2025.11178'!$A$2:$A$38,0))="statistical_results"),IF(INDEX('C_jama.2025.11178'!$H$2:$H$38,MATCH("2025::jama.2025.11178::C025",'C_jama.2025.11178'!$A$2:$A$38,0))="","",INDEX('C_jama.2025.11178'!$H$2:$H$38,MATCH("2025::jama.2025.11178::C025",'C_jama.2025.11178'!$A$2:$A$38,0))),"not_applicable")</x:f>
        <x:v>not_applicable</x:v>
      </x:c>
      <x:c r="V42" s="6" t="str">
        <x:f>IF(AND(INDEX('C_jama.2025.11178'!$D$2:$D$38,MATCH("2025::jama.2025.11178::C025",'C_jama.2025.11178'!$A$2:$A$38,0))="retain",INDEX('C_jama.2025.11178'!$E$2:$E$38,MATCH("2025::jama.2025.11178::C025",'C_jama.2025.11178'!$A$2:$A$38,0))="statistical_results"),IF(INDEX('C_jama.2025.11178'!$I$2:$I$38,MATCH("2025::jama.2025.11178::C025",'C_jama.2025.11178'!$A$2:$A$38,0))="","",INDEX('C_jama.2025.11178'!$I$2:$I$38,MATCH("2025::jama.2025.11178::C025",'C_jama.2025.11178'!$A$2:$A$38,0))),"not_applicable")</x:f>
        <x:v>not_applicable</x:v>
      </x:c>
      <x:c r="W42" s="6" t="str">
        <x:f>IF(AND(INDEX('C_jama.2025.11178'!$D$2:$D$38,MATCH("2025::jama.2025.11178::C025",'C_jama.2025.11178'!$A$2:$A$38,0))="retain",INDEX('C_jama.2025.11178'!$E$2:$E$38,MATCH("2025::jama.2025.11178::C025",'C_jama.2025.11178'!$A$2:$A$38,0))="statistical_results"),IF(INDEX('C_jama.2025.11178'!$J$2:$J$38,MATCH("2025::jama.2025.11178::C025",'C_jama.2025.11178'!$A$2:$A$38,0))="","",INDEX('C_jama.2025.11178'!$J$2:$J$38,MATCH("2025::jama.2025.11178::C025",'C_jama.2025.11178'!$A$2:$A$38,0))),"not_applicable")</x:f>
        <x:v>not_applicable</x:v>
      </x:c>
      <x:c r="X42" s="6" t="str">
        <x:f>IF(AND(INDEX('C_jama.2025.11178'!$D$2:$D$38,MATCH("2025::jama.2025.11178::C025",'C_jama.2025.11178'!$A$2:$A$38,0))="retain",OR(INDEX('C_jama.2025.11178'!$E$2:$E$38,MATCH("2025::jama.2025.11178::C025",'C_jama.2025.11178'!$A$2:$A$38,0))="report_internal_inconsistency",INDEX('C_jama.2025.11178'!$E$2:$E$38,MATCH("2025::jama.2025.11178::C025",'C_jama.2025.11178'!$A$2:$A$38,0))="plan_material")),IF(INDEX('C_jama.2025.11178'!$K$2:$K$38,MATCH("2025::jama.2025.11178::C025",'C_jama.2025.11178'!$A$2:$A$38,0))="","",INDEX('C_jama.2025.11178'!$K$2:$K$38,MATCH("2025::jama.2025.11178::C025",'C_jama.2025.11178'!$A$2:$A$38,0))),"not_applicable")</x:f>
        <x:v>not_applicable</x:v>
      </x:c>
      <x:c r="Y42" s="6" t="str">
        <x:f>IF(AND(INDEX('C_jama.2025.11178'!$D$2:$D$38,MATCH("2025::jama.2025.11178::C025",'C_jama.2025.11178'!$A$2:$A$38,0))="retain",INDEX('C_jama.2025.11178'!$E$2:$E$38,MATCH("2025::jama.2025.11178::C025",'C_jama.2025.11178'!$A$2:$A$38,0))="protocol_report"),IF(INDEX('C_jama.2025.11178'!$L$2:$L$38,MATCH("2025::jama.2025.11178::C025",'C_jama.2025.11178'!$A$2:$A$38,0))="","",INDEX('C_jama.2025.11178'!$L$2:$L$38,MATCH("2025::jama.2025.11178::C025",'C_jama.2025.11178'!$A$2:$A$38,0))),"not_applicable")</x:f>
        <x:v>not_applicable</x:v>
      </x:c>
      <x:c r="Z42" s="6" t="str">
        <x:f>IF(INDEX('C_jama.2025.11178'!$R$2:$R$38,MATCH("2025::jama.2025.11178::C025",'C_jama.2025.11178'!$A$2:$A$38,0))="","",INDEX('C_jama.2025.11178'!$R$2:$R$38,MATCH("2025::jama.2025.11178::C025",'C_jama.2025.11178'!$A$2:$A$38,0)))</x:f>
      </x:c>
      <x:c r="AA42" s="6" t="str">
        <x:f>IF(INDEX('C_jama.2025.11178'!$N$2:$N$38,MATCH("2025::jama.2025.11178::C025",'C_jama.2025.11178'!$A$2:$A$38,0))="","",INDEX('C_jama.2025.11178'!$N$2:$N$38,MATCH("2025::jama.2025.11178::C025",'C_jama.2025.11178'!$A$2:$A$38,0)))</x:f>
      </x:c>
      <x:c r="AB42" s="6" t="str">
        <x:f>IF(INDEX('C_jama.2025.11178'!$O$2:$O$38,MATCH("2025::jama.2025.11178::C025",'C_jama.2025.11178'!$A$2:$A$38,0))="","",INDEX('C_jama.2025.11178'!$O$2:$O$38,MATCH("2025::jama.2025.11178::C025",'C_jama.2025.11178'!$A$2:$A$38,0)))</x:f>
      </x:c>
      <x:c r="AC42" s="6" t="str">
        <x:f>IF(INDEX('C_jama.2025.11178'!$P$2:$P$38,MATCH("2025::jama.2025.11178::C025",'C_jama.2025.11178'!$A$2:$A$38,0))="","",INDEX('C_jama.2025.11178'!$P$2:$P$38,MATCH("2025::jama.2025.11178::C025",'C_jama.2025.11178'!$A$2:$A$38,0)))</x:f>
      </x:c>
      <x:c r="AD42" s="6" t="str">
        <x:f>IF(INDEX('C_jama.2025.11178'!$Q$2:$Q$38,MATCH("2025::jama.2025.11178::C025",'C_jama.2025.11178'!$A$2:$A$38,0))="","",INDEX('C_jama.2025.11178'!$Q$2:$Q$38,MATCH("2025::jama.2025.11178::C025",'C_jama.2025.11178'!$A$2:$A$38,0)))</x:f>
      </x:c>
    </x:row>
    <x:row r="43" ht="65" customHeight="1">
      <x:c r="A43" s="3" t="n">
        <x:v>2025</x:v>
      </x:c>
      <x:c r="B43" s="3" t="str">
        <x:v>jama.2025.11178</x:v>
      </x:c>
      <x:c r="C43" s="3" t="str">
        <x:v>2025::jama.2025.11178::C026</x:v>
      </x:c>
      <x:c r="D43" s="3" t="str">
        <x:v>S_W</x:v>
      </x:c>
      <x:c r="E43" s="3" t="n">
        <x:f>Setup!$B$2</x:f>
        <x:v>0</x:v>
      </x:c>
      <x:c r="F43" s="3" t="str">
        <x:f>IF(Setup!$B$4="","",Setup!$B$4)</x:f>
      </x:c>
      <x:c r="G43" s="3" t="str">
        <x:f>IFERROR(INDEX('C_jama.2025.11178'!$G$2:$G$38,MATCH("2025::jama.2025.11178::C026",'C_jama.2025.11178'!$A$2:$A$38,0)),"CHECK KEY")</x:f>
        <x:v>CHECK REVIEWER IDs</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statistical_results</x:v>
      </x:c>
      <x:c r="K43" s="3" t="str">
        <x:f>IF(Setup!$B$6="primary","",IFERROR(IF(INDEX('Primary_snapshot'!$B$2:$B$132,MATCH(C43,'Primary_snapshot'!$A$2:$A$132,0))="","",INDEX('Primary_snapshot'!$B$2:$B$132,MATCH(C43,'Primary_snapshot'!$A$2:$A$132,0))),"SNAPSHOT MISSING"))</x:f>
      </x:c>
      <x:c r="L43" s="3" t="str">
        <x:f>IF(Setup!$B$6="primary","",IFERROR(IF(INDEX('Primary_snapshot'!$C$2:$C$132,MATCH(C43,'Primary_snapshot'!$A$2:$A$132,0))="","",INDEX('Primary_snapshot'!$C$2:$C$132,MATCH(C43,'Primary_snapshot'!$A$2:$A$132,0))),"SNAPSHOT MISSING"))</x:f>
      </x:c>
      <x:c r="M43" s="3" t="str">
        <x:f>IF(Setup!$B$6="primary","",IFERROR(IF(INDEX('Primary_snapshot'!$D$2:$D$132,MATCH(C43,'Primary_snapshot'!$A$2:$A$132,0))="","",INDEX('Primary_snapshot'!$D$2:$D$132,MATCH(C43,'Primary_snapshot'!$A$2:$A$132,0))),"SNAPSHOT MISSING"))</x:f>
      </x:c>
      <x:c r="N43" s="3" t="str">
        <x:f>IF(Setup!$B$6="primary","",IFERROR(IF(INDEX('Primary_snapshot'!$E$2:$E$132,MATCH(C43,'Primary_snapshot'!$A$2:$A$132,0))="","",INDEX('Primary_snapshot'!$E$2:$E$132,MATCH(C43,'Primary_snapshot'!$A$2:$A$132,0))),"SNAPSHOT MISSING"))</x:f>
      </x:c>
      <x:c r="O43" s="3" t="str">
        <x:f>IF(Setup!$B$6="primary","",IFERROR(IF(INDEX('Primary_snapshot'!$F$2:$F$132,MATCH(C43,'Primary_snapshot'!$A$2:$A$132,0))="","",INDEX('Primary_snapshot'!$F$2:$F$132,MATCH(C43,'Primary_snapshot'!$A$2:$A$132,0))),"SNAPSHOT MISSING"))</x:f>
      </x:c>
      <x:c r="P43" s="3" t="str">
        <x:f>IF(Setup!$B$6="primary","",IFERROR(IF(INDEX('Primary_snapshot'!$G$2:$G$132,MATCH(C43,'Primary_snapshot'!$A$2:$A$132,0))="","",INDEX('Primary_snapshot'!$G$2:$G$132,MATCH(C43,'Primary_snapshot'!$A$2:$A$132,0))),"SNAPSHOT MISSING"))</x:f>
      </x:c>
      <x:c r="Q43" s="3" t="str">
        <x:f>IF(Setup!$B$6="primary","",IFERROR(IF(INDEX('Primary_snapshot'!$H$2:$H$132,MATCH(C43,'Primary_snapshot'!$A$2:$A$132,0))="","",INDEX('Primary_snapshot'!$H$2:$H$132,MATCH(C43,'Primary_snapshot'!$A$2:$A$132,0))),"SNAPSHOT MISSING"))</x:f>
      </x:c>
      <x:c r="R43" s="3" t="str">
        <x:f>IF(Setup!$B$6="primary","",IFERROR(IF(INDEX('Primary_snapshot'!$I$2:$I$132,MATCH(C43,'Primary_snapshot'!$A$2:$A$132,0))="","",INDEX('Primary_snapshot'!$I$2:$I$132,MATCH(C43,'Primary_snapshot'!$A$2:$A$132,0))),"SNAPSHOT MISSING"))</x:f>
      </x:c>
      <x:c r="S43" s="3" t="str">
        <x:f>IF(INDEX('C_jama.2025.11178'!$D$2:$D$38,MATCH("2025::jama.2025.11178::C026",'C_jama.2025.11178'!$A$2:$A$38,0))="","",INDEX('C_jama.2025.11178'!$D$2:$D$38,MATCH("2025::jama.2025.11178::C026",'C_jama.2025.11178'!$A$2:$A$38,0)))</x:f>
      </x:c>
      <x:c r="T43" s="3" t="str">
        <x:f>IF(INDEX('C_jama.2025.11178'!$E$2:$E$38,MATCH("2025::jama.2025.11178::C026",'C_jama.2025.11178'!$A$2:$A$38,0))="","",INDEX('C_jama.2025.11178'!$E$2:$E$38,MATCH("2025::jama.2025.11178::C026",'C_jama.2025.11178'!$A$2:$A$38,0)))</x:f>
        <x:v>statistical_results</x:v>
      </x:c>
      <x:c r="U43" s="3" t="str">
        <x:f>IF(AND(INDEX('C_jama.2025.11178'!$D$2:$D$38,MATCH("2025::jama.2025.11178::C026",'C_jama.2025.11178'!$A$2:$A$38,0))="retain",INDEX('C_jama.2025.11178'!$E$2:$E$38,MATCH("2025::jama.2025.11178::C026",'C_jama.2025.11178'!$A$2:$A$38,0))="statistical_results"),IF(INDEX('C_jama.2025.11178'!$H$2:$H$38,MATCH("2025::jama.2025.11178::C026",'C_jama.2025.11178'!$A$2:$A$38,0))="","",INDEX('C_jama.2025.11178'!$H$2:$H$38,MATCH("2025::jama.2025.11178::C026",'C_jama.2025.11178'!$A$2:$A$38,0))),"not_applicable")</x:f>
        <x:v>not_applicable</x:v>
      </x:c>
      <x:c r="V43" s="3" t="str">
        <x:f>IF(AND(INDEX('C_jama.2025.11178'!$D$2:$D$38,MATCH("2025::jama.2025.11178::C026",'C_jama.2025.11178'!$A$2:$A$38,0))="retain",INDEX('C_jama.2025.11178'!$E$2:$E$38,MATCH("2025::jama.2025.11178::C026",'C_jama.2025.11178'!$A$2:$A$38,0))="statistical_results"),IF(INDEX('C_jama.2025.11178'!$I$2:$I$38,MATCH("2025::jama.2025.11178::C026",'C_jama.2025.11178'!$A$2:$A$38,0))="","",INDEX('C_jama.2025.11178'!$I$2:$I$38,MATCH("2025::jama.2025.11178::C026",'C_jama.2025.11178'!$A$2:$A$38,0))),"not_applicable")</x:f>
        <x:v>not_applicable</x:v>
      </x:c>
      <x:c r="W43" s="3" t="str">
        <x:f>IF(AND(INDEX('C_jama.2025.11178'!$D$2:$D$38,MATCH("2025::jama.2025.11178::C026",'C_jama.2025.11178'!$A$2:$A$38,0))="retain",INDEX('C_jama.2025.11178'!$E$2:$E$38,MATCH("2025::jama.2025.11178::C026",'C_jama.2025.11178'!$A$2:$A$38,0))="statistical_results"),IF(INDEX('C_jama.2025.11178'!$J$2:$J$38,MATCH("2025::jama.2025.11178::C026",'C_jama.2025.11178'!$A$2:$A$38,0))="","",INDEX('C_jama.2025.11178'!$J$2:$J$38,MATCH("2025::jama.2025.11178::C026",'C_jama.2025.11178'!$A$2:$A$38,0))),"not_applicable")</x:f>
        <x:v>not_applicable</x:v>
      </x:c>
      <x:c r="X43" s="3" t="str">
        <x:f>IF(AND(INDEX('C_jama.2025.11178'!$D$2:$D$38,MATCH("2025::jama.2025.11178::C026",'C_jama.2025.11178'!$A$2:$A$38,0))="retain",OR(INDEX('C_jama.2025.11178'!$E$2:$E$38,MATCH("2025::jama.2025.11178::C026",'C_jama.2025.11178'!$A$2:$A$38,0))="report_internal_inconsistency",INDEX('C_jama.2025.11178'!$E$2:$E$38,MATCH("2025::jama.2025.11178::C026",'C_jama.2025.11178'!$A$2:$A$38,0))="plan_material")),IF(INDEX('C_jama.2025.11178'!$K$2:$K$38,MATCH("2025::jama.2025.11178::C026",'C_jama.2025.11178'!$A$2:$A$38,0))="","",INDEX('C_jama.2025.11178'!$K$2:$K$38,MATCH("2025::jama.2025.11178::C026",'C_jama.2025.11178'!$A$2:$A$38,0))),"not_applicable")</x:f>
        <x:v>not_applicable</x:v>
      </x:c>
      <x:c r="Y43" s="3" t="str">
        <x:f>IF(AND(INDEX('C_jama.2025.11178'!$D$2:$D$38,MATCH("2025::jama.2025.11178::C026",'C_jama.2025.11178'!$A$2:$A$38,0))="retain",INDEX('C_jama.2025.11178'!$E$2:$E$38,MATCH("2025::jama.2025.11178::C026",'C_jama.2025.11178'!$A$2:$A$38,0))="protocol_report"),IF(INDEX('C_jama.2025.11178'!$L$2:$L$38,MATCH("2025::jama.2025.11178::C026",'C_jama.2025.11178'!$A$2:$A$38,0))="","",INDEX('C_jama.2025.11178'!$L$2:$L$38,MATCH("2025::jama.2025.11178::C026",'C_jama.2025.11178'!$A$2:$A$38,0))),"not_applicable")</x:f>
        <x:v>not_applicable</x:v>
      </x:c>
      <x:c r="Z43" s="3" t="str">
        <x:f>IF(INDEX('C_jama.2025.11178'!$R$2:$R$38,MATCH("2025::jama.2025.11178::C026",'C_jama.2025.11178'!$A$2:$A$38,0))="","",INDEX('C_jama.2025.11178'!$R$2:$R$38,MATCH("2025::jama.2025.11178::C026",'C_jama.2025.11178'!$A$2:$A$38,0)))</x:f>
      </x:c>
      <x:c r="AA43" s="3" t="str">
        <x:f>IF(INDEX('C_jama.2025.11178'!$N$2:$N$38,MATCH("2025::jama.2025.11178::C026",'C_jama.2025.11178'!$A$2:$A$38,0))="","",INDEX('C_jama.2025.11178'!$N$2:$N$38,MATCH("2025::jama.2025.11178::C026",'C_jama.2025.11178'!$A$2:$A$38,0)))</x:f>
      </x:c>
      <x:c r="AB43" s="3" t="str">
        <x:f>IF(INDEX('C_jama.2025.11178'!$O$2:$O$38,MATCH("2025::jama.2025.11178::C026",'C_jama.2025.11178'!$A$2:$A$38,0))="","",INDEX('C_jama.2025.11178'!$O$2:$O$38,MATCH("2025::jama.2025.11178::C026",'C_jama.2025.11178'!$A$2:$A$38,0)))</x:f>
      </x:c>
      <x:c r="AC43" s="3" t="str">
        <x:f>IF(INDEX('C_jama.2025.11178'!$P$2:$P$38,MATCH("2025::jama.2025.11178::C026",'C_jama.2025.11178'!$A$2:$A$38,0))="","",INDEX('C_jama.2025.11178'!$P$2:$P$38,MATCH("2025::jama.2025.11178::C026",'C_jama.2025.11178'!$A$2:$A$38,0)))</x:f>
      </x:c>
      <x:c r="AD43" s="3" t="str">
        <x:f>IF(INDEX('C_jama.2025.11178'!$Q$2:$Q$38,MATCH("2025::jama.2025.11178::C026",'C_jama.2025.11178'!$A$2:$A$38,0))="","",INDEX('C_jama.2025.11178'!$Q$2:$Q$38,MATCH("2025::jama.2025.11178::C026",'C_jama.2025.11178'!$A$2:$A$38,0)))</x:f>
      </x:c>
    </x:row>
    <x:row r="44" ht="65" customHeight="1">
      <x:c r="A44" s="6" t="n">
        <x:v>2025</x:v>
      </x:c>
      <x:c r="B44" s="6" t="str">
        <x:v>jama.2025.11178</x:v>
      </x:c>
      <x:c r="C44" s="6" t="str">
        <x:v>2025::jama.2025.11178::C027</x:v>
      </x:c>
      <x:c r="D44" s="6" t="str">
        <x:v>S_W</x:v>
      </x:c>
      <x:c r="E44" s="6" t="n">
        <x:f>Setup!$B$2</x:f>
        <x:v>0</x:v>
      </x:c>
      <x:c r="F44" s="6" t="str">
        <x:f>IF(Setup!$B$4="","",Setup!$B$4)</x:f>
      </x:c>
      <x:c r="G44" s="6" t="str">
        <x:f>IFERROR(INDEX('C_jama.2025.11178'!$G$2:$G$38,MATCH("2025::jama.2025.11178::C027",'C_jama.2025.11178'!$A$2:$A$38,0)),"CHECK KEY")</x:f>
        <x:v>CHECK REVIEWER IDs</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statistical_results</x:v>
      </x:c>
      <x:c r="K44" s="6" t="str">
        <x:f>IF(Setup!$B$6="primary","",IFERROR(IF(INDEX('Primary_snapshot'!$B$2:$B$132,MATCH(C44,'Primary_snapshot'!$A$2:$A$132,0))="","",INDEX('Primary_snapshot'!$B$2:$B$132,MATCH(C44,'Primary_snapshot'!$A$2:$A$132,0))),"SNAPSHOT MISSING"))</x:f>
      </x:c>
      <x:c r="L44" s="6" t="str">
        <x:f>IF(Setup!$B$6="primary","",IFERROR(IF(INDEX('Primary_snapshot'!$C$2:$C$132,MATCH(C44,'Primary_snapshot'!$A$2:$A$132,0))="","",INDEX('Primary_snapshot'!$C$2:$C$132,MATCH(C44,'Primary_snapshot'!$A$2:$A$132,0))),"SNAPSHOT MISSING"))</x:f>
      </x:c>
      <x:c r="M44" s="6" t="str">
        <x:f>IF(Setup!$B$6="primary","",IFERROR(IF(INDEX('Primary_snapshot'!$D$2:$D$132,MATCH(C44,'Primary_snapshot'!$A$2:$A$132,0))="","",INDEX('Primary_snapshot'!$D$2:$D$132,MATCH(C44,'Primary_snapshot'!$A$2:$A$132,0))),"SNAPSHOT MISSING"))</x:f>
      </x:c>
      <x:c r="N44" s="6" t="str">
        <x:f>IF(Setup!$B$6="primary","",IFERROR(IF(INDEX('Primary_snapshot'!$E$2:$E$132,MATCH(C44,'Primary_snapshot'!$A$2:$A$132,0))="","",INDEX('Primary_snapshot'!$E$2:$E$132,MATCH(C44,'Primary_snapshot'!$A$2:$A$132,0))),"SNAPSHOT MISSING"))</x:f>
      </x:c>
      <x:c r="O44" s="6" t="str">
        <x:f>IF(Setup!$B$6="primary","",IFERROR(IF(INDEX('Primary_snapshot'!$F$2:$F$132,MATCH(C44,'Primary_snapshot'!$A$2:$A$132,0))="","",INDEX('Primary_snapshot'!$F$2:$F$132,MATCH(C44,'Primary_snapshot'!$A$2:$A$132,0))),"SNAPSHOT MISSING"))</x:f>
      </x:c>
      <x:c r="P44" s="6" t="str">
        <x:f>IF(Setup!$B$6="primary","",IFERROR(IF(INDEX('Primary_snapshot'!$G$2:$G$132,MATCH(C44,'Primary_snapshot'!$A$2:$A$132,0))="","",INDEX('Primary_snapshot'!$G$2:$G$132,MATCH(C44,'Primary_snapshot'!$A$2:$A$132,0))),"SNAPSHOT MISSING"))</x:f>
      </x:c>
      <x:c r="Q44" s="6" t="str">
        <x:f>IF(Setup!$B$6="primary","",IFERROR(IF(INDEX('Primary_snapshot'!$H$2:$H$132,MATCH(C44,'Primary_snapshot'!$A$2:$A$132,0))="","",INDEX('Primary_snapshot'!$H$2:$H$132,MATCH(C44,'Primary_snapshot'!$A$2:$A$132,0))),"SNAPSHOT MISSING"))</x:f>
      </x:c>
      <x:c r="R44" s="6" t="str">
        <x:f>IF(Setup!$B$6="primary","",IFERROR(IF(INDEX('Primary_snapshot'!$I$2:$I$132,MATCH(C44,'Primary_snapshot'!$A$2:$A$132,0))="","",INDEX('Primary_snapshot'!$I$2:$I$132,MATCH(C44,'Primary_snapshot'!$A$2:$A$132,0))),"SNAPSHOT MISSING"))</x:f>
      </x:c>
      <x:c r="S44" s="6" t="str">
        <x:f>IF(INDEX('C_jama.2025.11178'!$D$2:$D$38,MATCH("2025::jama.2025.11178::C027",'C_jama.2025.11178'!$A$2:$A$38,0))="","",INDEX('C_jama.2025.11178'!$D$2:$D$38,MATCH("2025::jama.2025.11178::C027",'C_jama.2025.11178'!$A$2:$A$38,0)))</x:f>
      </x:c>
      <x:c r="T44" s="6" t="str">
        <x:f>IF(INDEX('C_jama.2025.11178'!$E$2:$E$38,MATCH("2025::jama.2025.11178::C027",'C_jama.2025.11178'!$A$2:$A$38,0))="","",INDEX('C_jama.2025.11178'!$E$2:$E$38,MATCH("2025::jama.2025.11178::C027",'C_jama.2025.11178'!$A$2:$A$38,0)))</x:f>
        <x:v>statistical_results</x:v>
      </x:c>
      <x:c r="U44" s="6" t="str">
        <x:f>IF(AND(INDEX('C_jama.2025.11178'!$D$2:$D$38,MATCH("2025::jama.2025.11178::C027",'C_jama.2025.11178'!$A$2:$A$38,0))="retain",INDEX('C_jama.2025.11178'!$E$2:$E$38,MATCH("2025::jama.2025.11178::C027",'C_jama.2025.11178'!$A$2:$A$38,0))="statistical_results"),IF(INDEX('C_jama.2025.11178'!$H$2:$H$38,MATCH("2025::jama.2025.11178::C027",'C_jama.2025.11178'!$A$2:$A$38,0))="","",INDEX('C_jama.2025.11178'!$H$2:$H$38,MATCH("2025::jama.2025.11178::C027",'C_jama.2025.11178'!$A$2:$A$38,0))),"not_applicable")</x:f>
        <x:v>not_applicable</x:v>
      </x:c>
      <x:c r="V44" s="6" t="str">
        <x:f>IF(AND(INDEX('C_jama.2025.11178'!$D$2:$D$38,MATCH("2025::jama.2025.11178::C027",'C_jama.2025.11178'!$A$2:$A$38,0))="retain",INDEX('C_jama.2025.11178'!$E$2:$E$38,MATCH("2025::jama.2025.11178::C027",'C_jama.2025.11178'!$A$2:$A$38,0))="statistical_results"),IF(INDEX('C_jama.2025.11178'!$I$2:$I$38,MATCH("2025::jama.2025.11178::C027",'C_jama.2025.11178'!$A$2:$A$38,0))="","",INDEX('C_jama.2025.11178'!$I$2:$I$38,MATCH("2025::jama.2025.11178::C027",'C_jama.2025.11178'!$A$2:$A$38,0))),"not_applicable")</x:f>
        <x:v>not_applicable</x:v>
      </x:c>
      <x:c r="W44" s="6" t="str">
        <x:f>IF(AND(INDEX('C_jama.2025.11178'!$D$2:$D$38,MATCH("2025::jama.2025.11178::C027",'C_jama.2025.11178'!$A$2:$A$38,0))="retain",INDEX('C_jama.2025.11178'!$E$2:$E$38,MATCH("2025::jama.2025.11178::C027",'C_jama.2025.11178'!$A$2:$A$38,0))="statistical_results"),IF(INDEX('C_jama.2025.11178'!$J$2:$J$38,MATCH("2025::jama.2025.11178::C027",'C_jama.2025.11178'!$A$2:$A$38,0))="","",INDEX('C_jama.2025.11178'!$J$2:$J$38,MATCH("2025::jama.2025.11178::C027",'C_jama.2025.11178'!$A$2:$A$38,0))),"not_applicable")</x:f>
        <x:v>not_applicable</x:v>
      </x:c>
      <x:c r="X44" s="6" t="str">
        <x:f>IF(AND(INDEX('C_jama.2025.11178'!$D$2:$D$38,MATCH("2025::jama.2025.11178::C027",'C_jama.2025.11178'!$A$2:$A$38,0))="retain",OR(INDEX('C_jama.2025.11178'!$E$2:$E$38,MATCH("2025::jama.2025.11178::C027",'C_jama.2025.11178'!$A$2:$A$38,0))="report_internal_inconsistency",INDEX('C_jama.2025.11178'!$E$2:$E$38,MATCH("2025::jama.2025.11178::C027",'C_jama.2025.11178'!$A$2:$A$38,0))="plan_material")),IF(INDEX('C_jama.2025.11178'!$K$2:$K$38,MATCH("2025::jama.2025.11178::C027",'C_jama.2025.11178'!$A$2:$A$38,0))="","",INDEX('C_jama.2025.11178'!$K$2:$K$38,MATCH("2025::jama.2025.11178::C027",'C_jama.2025.11178'!$A$2:$A$38,0))),"not_applicable")</x:f>
        <x:v>not_applicable</x:v>
      </x:c>
      <x:c r="Y44" s="6" t="str">
        <x:f>IF(AND(INDEX('C_jama.2025.11178'!$D$2:$D$38,MATCH("2025::jama.2025.11178::C027",'C_jama.2025.11178'!$A$2:$A$38,0))="retain",INDEX('C_jama.2025.11178'!$E$2:$E$38,MATCH("2025::jama.2025.11178::C027",'C_jama.2025.11178'!$A$2:$A$38,0))="protocol_report"),IF(INDEX('C_jama.2025.11178'!$L$2:$L$38,MATCH("2025::jama.2025.11178::C027",'C_jama.2025.11178'!$A$2:$A$38,0))="","",INDEX('C_jama.2025.11178'!$L$2:$L$38,MATCH("2025::jama.2025.11178::C027",'C_jama.2025.11178'!$A$2:$A$38,0))),"not_applicable")</x:f>
        <x:v>not_applicable</x:v>
      </x:c>
      <x:c r="Z44" s="6" t="str">
        <x:f>IF(INDEX('C_jama.2025.11178'!$R$2:$R$38,MATCH("2025::jama.2025.11178::C027",'C_jama.2025.11178'!$A$2:$A$38,0))="","",INDEX('C_jama.2025.11178'!$R$2:$R$38,MATCH("2025::jama.2025.11178::C027",'C_jama.2025.11178'!$A$2:$A$38,0)))</x:f>
      </x:c>
      <x:c r="AA44" s="6" t="str">
        <x:f>IF(INDEX('C_jama.2025.11178'!$N$2:$N$38,MATCH("2025::jama.2025.11178::C027",'C_jama.2025.11178'!$A$2:$A$38,0))="","",INDEX('C_jama.2025.11178'!$N$2:$N$38,MATCH("2025::jama.2025.11178::C027",'C_jama.2025.11178'!$A$2:$A$38,0)))</x:f>
      </x:c>
      <x:c r="AB44" s="6" t="str">
        <x:f>IF(INDEX('C_jama.2025.11178'!$O$2:$O$38,MATCH("2025::jama.2025.11178::C027",'C_jama.2025.11178'!$A$2:$A$38,0))="","",INDEX('C_jama.2025.11178'!$O$2:$O$38,MATCH("2025::jama.2025.11178::C027",'C_jama.2025.11178'!$A$2:$A$38,0)))</x:f>
      </x:c>
      <x:c r="AC44" s="6" t="str">
        <x:f>IF(INDEX('C_jama.2025.11178'!$P$2:$P$38,MATCH("2025::jama.2025.11178::C027",'C_jama.2025.11178'!$A$2:$A$38,0))="","",INDEX('C_jama.2025.11178'!$P$2:$P$38,MATCH("2025::jama.2025.11178::C027",'C_jama.2025.11178'!$A$2:$A$38,0)))</x:f>
      </x:c>
      <x:c r="AD44" s="6" t="str">
        <x:f>IF(INDEX('C_jama.2025.11178'!$Q$2:$Q$38,MATCH("2025::jama.2025.11178::C027",'C_jama.2025.11178'!$A$2:$A$38,0))="","",INDEX('C_jama.2025.11178'!$Q$2:$Q$38,MATCH("2025::jama.2025.11178::C027",'C_jama.2025.11178'!$A$2:$A$38,0)))</x:f>
      </x:c>
    </x:row>
    <x:row r="45" ht="65" customHeight="1">
      <x:c r="A45" s="3" t="n">
        <x:v>2025</x:v>
      </x:c>
      <x:c r="B45" s="3" t="str">
        <x:v>jama.2025.11178</x:v>
      </x:c>
      <x:c r="C45" s="3" t="str">
        <x:v>2025::jama.2025.11178::C028</x:v>
      </x:c>
      <x:c r="D45" s="3" t="str">
        <x:v>S_W</x:v>
      </x:c>
      <x:c r="E45" s="3" t="n">
        <x:f>Setup!$B$2</x:f>
        <x:v>0</x:v>
      </x:c>
      <x:c r="F45" s="3" t="str">
        <x:f>IF(Setup!$B$4="","",Setup!$B$4)</x:f>
      </x:c>
      <x:c r="G45" s="3" t="str">
        <x:f>IFERROR(INDEX('C_jama.2025.11178'!$G$2:$G$38,MATCH("2025::jama.2025.11178::C028",'C_jama.2025.11178'!$A$2:$A$38,0)),"CHECK KEY")</x:f>
        <x:v>CHECK REVIEWER IDs</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statistical_results</x:v>
      </x:c>
      <x:c r="K45" s="3" t="str">
        <x:f>IF(Setup!$B$6="primary","",IFERROR(IF(INDEX('Primary_snapshot'!$B$2:$B$132,MATCH(C45,'Primary_snapshot'!$A$2:$A$132,0))="","",INDEX('Primary_snapshot'!$B$2:$B$132,MATCH(C45,'Primary_snapshot'!$A$2:$A$132,0))),"SNAPSHOT MISSING"))</x:f>
      </x:c>
      <x:c r="L45" s="3" t="str">
        <x:f>IF(Setup!$B$6="primary","",IFERROR(IF(INDEX('Primary_snapshot'!$C$2:$C$132,MATCH(C45,'Primary_snapshot'!$A$2:$A$132,0))="","",INDEX('Primary_snapshot'!$C$2:$C$132,MATCH(C45,'Primary_snapshot'!$A$2:$A$132,0))),"SNAPSHOT MISSING"))</x:f>
      </x:c>
      <x:c r="M45" s="3" t="str">
        <x:f>IF(Setup!$B$6="primary","",IFERROR(IF(INDEX('Primary_snapshot'!$D$2:$D$132,MATCH(C45,'Primary_snapshot'!$A$2:$A$132,0))="","",INDEX('Primary_snapshot'!$D$2:$D$132,MATCH(C45,'Primary_snapshot'!$A$2:$A$132,0))),"SNAPSHOT MISSING"))</x:f>
      </x:c>
      <x:c r="N45" s="3" t="str">
        <x:f>IF(Setup!$B$6="primary","",IFERROR(IF(INDEX('Primary_snapshot'!$E$2:$E$132,MATCH(C45,'Primary_snapshot'!$A$2:$A$132,0))="","",INDEX('Primary_snapshot'!$E$2:$E$132,MATCH(C45,'Primary_snapshot'!$A$2:$A$132,0))),"SNAPSHOT MISSING"))</x:f>
      </x:c>
      <x:c r="O45" s="3" t="str">
        <x:f>IF(Setup!$B$6="primary","",IFERROR(IF(INDEX('Primary_snapshot'!$F$2:$F$132,MATCH(C45,'Primary_snapshot'!$A$2:$A$132,0))="","",INDEX('Primary_snapshot'!$F$2:$F$132,MATCH(C45,'Primary_snapshot'!$A$2:$A$132,0))),"SNAPSHOT MISSING"))</x:f>
      </x:c>
      <x:c r="P45" s="3" t="str">
        <x:f>IF(Setup!$B$6="primary","",IFERROR(IF(INDEX('Primary_snapshot'!$G$2:$G$132,MATCH(C45,'Primary_snapshot'!$A$2:$A$132,0))="","",INDEX('Primary_snapshot'!$G$2:$G$132,MATCH(C45,'Primary_snapshot'!$A$2:$A$132,0))),"SNAPSHOT MISSING"))</x:f>
      </x:c>
      <x:c r="Q45" s="3" t="str">
        <x:f>IF(Setup!$B$6="primary","",IFERROR(IF(INDEX('Primary_snapshot'!$H$2:$H$132,MATCH(C45,'Primary_snapshot'!$A$2:$A$132,0))="","",INDEX('Primary_snapshot'!$H$2:$H$132,MATCH(C45,'Primary_snapshot'!$A$2:$A$132,0))),"SNAPSHOT MISSING"))</x:f>
      </x:c>
      <x:c r="R45" s="3" t="str">
        <x:f>IF(Setup!$B$6="primary","",IFERROR(IF(INDEX('Primary_snapshot'!$I$2:$I$132,MATCH(C45,'Primary_snapshot'!$A$2:$A$132,0))="","",INDEX('Primary_snapshot'!$I$2:$I$132,MATCH(C45,'Primary_snapshot'!$A$2:$A$132,0))),"SNAPSHOT MISSING"))</x:f>
      </x:c>
      <x:c r="S45" s="3" t="str">
        <x:f>IF(INDEX('C_jama.2025.11178'!$D$2:$D$38,MATCH("2025::jama.2025.11178::C028",'C_jama.2025.11178'!$A$2:$A$38,0))="","",INDEX('C_jama.2025.11178'!$D$2:$D$38,MATCH("2025::jama.2025.11178::C028",'C_jama.2025.11178'!$A$2:$A$38,0)))</x:f>
      </x:c>
      <x:c r="T45" s="3" t="str">
        <x:f>IF(INDEX('C_jama.2025.11178'!$E$2:$E$38,MATCH("2025::jama.2025.11178::C028",'C_jama.2025.11178'!$A$2:$A$38,0))="","",INDEX('C_jama.2025.11178'!$E$2:$E$38,MATCH("2025::jama.2025.11178::C028",'C_jama.2025.11178'!$A$2:$A$38,0)))</x:f>
        <x:v>statistical_results</x:v>
      </x:c>
      <x:c r="U45" s="3" t="str">
        <x:f>IF(AND(INDEX('C_jama.2025.11178'!$D$2:$D$38,MATCH("2025::jama.2025.11178::C028",'C_jama.2025.11178'!$A$2:$A$38,0))="retain",INDEX('C_jama.2025.11178'!$E$2:$E$38,MATCH("2025::jama.2025.11178::C028",'C_jama.2025.11178'!$A$2:$A$38,0))="statistical_results"),IF(INDEX('C_jama.2025.11178'!$H$2:$H$38,MATCH("2025::jama.2025.11178::C028",'C_jama.2025.11178'!$A$2:$A$38,0))="","",INDEX('C_jama.2025.11178'!$H$2:$H$38,MATCH("2025::jama.2025.11178::C028",'C_jama.2025.11178'!$A$2:$A$38,0))),"not_applicable")</x:f>
        <x:v>not_applicable</x:v>
      </x:c>
      <x:c r="V45" s="3" t="str">
        <x:f>IF(AND(INDEX('C_jama.2025.11178'!$D$2:$D$38,MATCH("2025::jama.2025.11178::C028",'C_jama.2025.11178'!$A$2:$A$38,0))="retain",INDEX('C_jama.2025.11178'!$E$2:$E$38,MATCH("2025::jama.2025.11178::C028",'C_jama.2025.11178'!$A$2:$A$38,0))="statistical_results"),IF(INDEX('C_jama.2025.11178'!$I$2:$I$38,MATCH("2025::jama.2025.11178::C028",'C_jama.2025.11178'!$A$2:$A$38,0))="","",INDEX('C_jama.2025.11178'!$I$2:$I$38,MATCH("2025::jama.2025.11178::C028",'C_jama.2025.11178'!$A$2:$A$38,0))),"not_applicable")</x:f>
        <x:v>not_applicable</x:v>
      </x:c>
      <x:c r="W45" s="3" t="str">
        <x:f>IF(AND(INDEX('C_jama.2025.11178'!$D$2:$D$38,MATCH("2025::jama.2025.11178::C028",'C_jama.2025.11178'!$A$2:$A$38,0))="retain",INDEX('C_jama.2025.11178'!$E$2:$E$38,MATCH("2025::jama.2025.11178::C028",'C_jama.2025.11178'!$A$2:$A$38,0))="statistical_results"),IF(INDEX('C_jama.2025.11178'!$J$2:$J$38,MATCH("2025::jama.2025.11178::C028",'C_jama.2025.11178'!$A$2:$A$38,0))="","",INDEX('C_jama.2025.11178'!$J$2:$J$38,MATCH("2025::jama.2025.11178::C028",'C_jama.2025.11178'!$A$2:$A$38,0))),"not_applicable")</x:f>
        <x:v>not_applicable</x:v>
      </x:c>
      <x:c r="X45" s="3" t="str">
        <x:f>IF(AND(INDEX('C_jama.2025.11178'!$D$2:$D$38,MATCH("2025::jama.2025.11178::C028",'C_jama.2025.11178'!$A$2:$A$38,0))="retain",OR(INDEX('C_jama.2025.11178'!$E$2:$E$38,MATCH("2025::jama.2025.11178::C028",'C_jama.2025.11178'!$A$2:$A$38,0))="report_internal_inconsistency",INDEX('C_jama.2025.11178'!$E$2:$E$38,MATCH("2025::jama.2025.11178::C028",'C_jama.2025.11178'!$A$2:$A$38,0))="plan_material")),IF(INDEX('C_jama.2025.11178'!$K$2:$K$38,MATCH("2025::jama.2025.11178::C028",'C_jama.2025.11178'!$A$2:$A$38,0))="","",INDEX('C_jama.2025.11178'!$K$2:$K$38,MATCH("2025::jama.2025.11178::C028",'C_jama.2025.11178'!$A$2:$A$38,0))),"not_applicable")</x:f>
        <x:v>not_applicable</x:v>
      </x:c>
      <x:c r="Y45" s="3" t="str">
        <x:f>IF(AND(INDEX('C_jama.2025.11178'!$D$2:$D$38,MATCH("2025::jama.2025.11178::C028",'C_jama.2025.11178'!$A$2:$A$38,0))="retain",INDEX('C_jama.2025.11178'!$E$2:$E$38,MATCH("2025::jama.2025.11178::C028",'C_jama.2025.11178'!$A$2:$A$38,0))="protocol_report"),IF(INDEX('C_jama.2025.11178'!$L$2:$L$38,MATCH("2025::jama.2025.11178::C028",'C_jama.2025.11178'!$A$2:$A$38,0))="","",INDEX('C_jama.2025.11178'!$L$2:$L$38,MATCH("2025::jama.2025.11178::C028",'C_jama.2025.11178'!$A$2:$A$38,0))),"not_applicable")</x:f>
        <x:v>not_applicable</x:v>
      </x:c>
      <x:c r="Z45" s="3" t="str">
        <x:f>IF(INDEX('C_jama.2025.11178'!$R$2:$R$38,MATCH("2025::jama.2025.11178::C028",'C_jama.2025.11178'!$A$2:$A$38,0))="","",INDEX('C_jama.2025.11178'!$R$2:$R$38,MATCH("2025::jama.2025.11178::C028",'C_jama.2025.11178'!$A$2:$A$38,0)))</x:f>
      </x:c>
      <x:c r="AA45" s="3" t="str">
        <x:f>IF(INDEX('C_jama.2025.11178'!$N$2:$N$38,MATCH("2025::jama.2025.11178::C028",'C_jama.2025.11178'!$A$2:$A$38,0))="","",INDEX('C_jama.2025.11178'!$N$2:$N$38,MATCH("2025::jama.2025.11178::C028",'C_jama.2025.11178'!$A$2:$A$38,0)))</x:f>
      </x:c>
      <x:c r="AB45" s="3" t="str">
        <x:f>IF(INDEX('C_jama.2025.11178'!$O$2:$O$38,MATCH("2025::jama.2025.11178::C028",'C_jama.2025.11178'!$A$2:$A$38,0))="","",INDEX('C_jama.2025.11178'!$O$2:$O$38,MATCH("2025::jama.2025.11178::C028",'C_jama.2025.11178'!$A$2:$A$38,0)))</x:f>
      </x:c>
      <x:c r="AC45" s="3" t="str">
        <x:f>IF(INDEX('C_jama.2025.11178'!$P$2:$P$38,MATCH("2025::jama.2025.11178::C028",'C_jama.2025.11178'!$A$2:$A$38,0))="","",INDEX('C_jama.2025.11178'!$P$2:$P$38,MATCH("2025::jama.2025.11178::C028",'C_jama.2025.11178'!$A$2:$A$38,0)))</x:f>
      </x:c>
      <x:c r="AD45" s="3" t="str">
        <x:f>IF(INDEX('C_jama.2025.11178'!$Q$2:$Q$38,MATCH("2025::jama.2025.11178::C028",'C_jama.2025.11178'!$A$2:$A$38,0))="","",INDEX('C_jama.2025.11178'!$Q$2:$Q$38,MATCH("2025::jama.2025.11178::C028",'C_jama.2025.11178'!$A$2:$A$38,0)))</x:f>
      </x:c>
    </x:row>
    <x:row r="46" ht="65" customHeight="1">
      <x:c r="A46" s="6" t="n">
        <x:v>2025</x:v>
      </x:c>
      <x:c r="B46" s="6" t="str">
        <x:v>jama.2025.11178</x:v>
      </x:c>
      <x:c r="C46" s="6" t="str">
        <x:v>2025::jama.2025.11178::C029</x:v>
      </x:c>
      <x:c r="D46" s="6" t="str">
        <x:v>S_W</x:v>
      </x:c>
      <x:c r="E46" s="6" t="n">
        <x:f>Setup!$B$2</x:f>
        <x:v>0</x:v>
      </x:c>
      <x:c r="F46" s="6" t="str">
        <x:f>IF(Setup!$B$4="","",Setup!$B$4)</x:f>
      </x:c>
      <x:c r="G46" s="6" t="str">
        <x:f>IFERROR(INDEX('C_jama.2025.11178'!$G$2:$G$38,MATCH("2025::jama.2025.11178::C029",'C_jama.2025.11178'!$A$2:$A$38,0)),"CHECK KEY")</x:f>
        <x:v>CHECK REVIEWER IDs</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statistical_results</x:v>
      </x:c>
      <x:c r="K46" s="6" t="str">
        <x:f>IF(Setup!$B$6="primary","",IFERROR(IF(INDEX('Primary_snapshot'!$B$2:$B$132,MATCH(C46,'Primary_snapshot'!$A$2:$A$132,0))="","",INDEX('Primary_snapshot'!$B$2:$B$132,MATCH(C46,'Primary_snapshot'!$A$2:$A$132,0))),"SNAPSHOT MISSING"))</x:f>
      </x:c>
      <x:c r="L46" s="6" t="str">
        <x:f>IF(Setup!$B$6="primary","",IFERROR(IF(INDEX('Primary_snapshot'!$C$2:$C$132,MATCH(C46,'Primary_snapshot'!$A$2:$A$132,0))="","",INDEX('Primary_snapshot'!$C$2:$C$132,MATCH(C46,'Primary_snapshot'!$A$2:$A$132,0))),"SNAPSHOT MISSING"))</x:f>
      </x:c>
      <x:c r="M46" s="6" t="str">
        <x:f>IF(Setup!$B$6="primary","",IFERROR(IF(INDEX('Primary_snapshot'!$D$2:$D$132,MATCH(C46,'Primary_snapshot'!$A$2:$A$132,0))="","",INDEX('Primary_snapshot'!$D$2:$D$132,MATCH(C46,'Primary_snapshot'!$A$2:$A$132,0))),"SNAPSHOT MISSING"))</x:f>
      </x:c>
      <x:c r="N46" s="6" t="str">
        <x:f>IF(Setup!$B$6="primary","",IFERROR(IF(INDEX('Primary_snapshot'!$E$2:$E$132,MATCH(C46,'Primary_snapshot'!$A$2:$A$132,0))="","",INDEX('Primary_snapshot'!$E$2:$E$132,MATCH(C46,'Primary_snapshot'!$A$2:$A$132,0))),"SNAPSHOT MISSING"))</x:f>
      </x:c>
      <x:c r="O46" s="6" t="str">
        <x:f>IF(Setup!$B$6="primary","",IFERROR(IF(INDEX('Primary_snapshot'!$F$2:$F$132,MATCH(C46,'Primary_snapshot'!$A$2:$A$132,0))="","",INDEX('Primary_snapshot'!$F$2:$F$132,MATCH(C46,'Primary_snapshot'!$A$2:$A$132,0))),"SNAPSHOT MISSING"))</x:f>
      </x:c>
      <x:c r="P46" s="6" t="str">
        <x:f>IF(Setup!$B$6="primary","",IFERROR(IF(INDEX('Primary_snapshot'!$G$2:$G$132,MATCH(C46,'Primary_snapshot'!$A$2:$A$132,0))="","",INDEX('Primary_snapshot'!$G$2:$G$132,MATCH(C46,'Primary_snapshot'!$A$2:$A$132,0))),"SNAPSHOT MISSING"))</x:f>
      </x:c>
      <x:c r="Q46" s="6" t="str">
        <x:f>IF(Setup!$B$6="primary","",IFERROR(IF(INDEX('Primary_snapshot'!$H$2:$H$132,MATCH(C46,'Primary_snapshot'!$A$2:$A$132,0))="","",INDEX('Primary_snapshot'!$H$2:$H$132,MATCH(C46,'Primary_snapshot'!$A$2:$A$132,0))),"SNAPSHOT MISSING"))</x:f>
      </x:c>
      <x:c r="R46" s="6" t="str">
        <x:f>IF(Setup!$B$6="primary","",IFERROR(IF(INDEX('Primary_snapshot'!$I$2:$I$132,MATCH(C46,'Primary_snapshot'!$A$2:$A$132,0))="","",INDEX('Primary_snapshot'!$I$2:$I$132,MATCH(C46,'Primary_snapshot'!$A$2:$A$132,0))),"SNAPSHOT MISSING"))</x:f>
      </x:c>
      <x:c r="S46" s="6" t="str">
        <x:f>IF(INDEX('C_jama.2025.11178'!$D$2:$D$38,MATCH("2025::jama.2025.11178::C029",'C_jama.2025.11178'!$A$2:$A$38,0))="","",INDEX('C_jama.2025.11178'!$D$2:$D$38,MATCH("2025::jama.2025.11178::C029",'C_jama.2025.11178'!$A$2:$A$38,0)))</x:f>
      </x:c>
      <x:c r="T46" s="6" t="str">
        <x:f>IF(INDEX('C_jama.2025.11178'!$E$2:$E$38,MATCH("2025::jama.2025.11178::C029",'C_jama.2025.11178'!$A$2:$A$38,0))="","",INDEX('C_jama.2025.11178'!$E$2:$E$38,MATCH("2025::jama.2025.11178::C029",'C_jama.2025.11178'!$A$2:$A$38,0)))</x:f>
        <x:v>statistical_results</x:v>
      </x:c>
      <x:c r="U46" s="6" t="str">
        <x:f>IF(AND(INDEX('C_jama.2025.11178'!$D$2:$D$38,MATCH("2025::jama.2025.11178::C029",'C_jama.2025.11178'!$A$2:$A$38,0))="retain",INDEX('C_jama.2025.11178'!$E$2:$E$38,MATCH("2025::jama.2025.11178::C029",'C_jama.2025.11178'!$A$2:$A$38,0))="statistical_results"),IF(INDEX('C_jama.2025.11178'!$H$2:$H$38,MATCH("2025::jama.2025.11178::C029",'C_jama.2025.11178'!$A$2:$A$38,0))="","",INDEX('C_jama.2025.11178'!$H$2:$H$38,MATCH("2025::jama.2025.11178::C029",'C_jama.2025.11178'!$A$2:$A$38,0))),"not_applicable")</x:f>
        <x:v>not_applicable</x:v>
      </x:c>
      <x:c r="V46" s="6" t="str">
        <x:f>IF(AND(INDEX('C_jama.2025.11178'!$D$2:$D$38,MATCH("2025::jama.2025.11178::C029",'C_jama.2025.11178'!$A$2:$A$38,0))="retain",INDEX('C_jama.2025.11178'!$E$2:$E$38,MATCH("2025::jama.2025.11178::C029",'C_jama.2025.11178'!$A$2:$A$38,0))="statistical_results"),IF(INDEX('C_jama.2025.11178'!$I$2:$I$38,MATCH("2025::jama.2025.11178::C029",'C_jama.2025.11178'!$A$2:$A$38,0))="","",INDEX('C_jama.2025.11178'!$I$2:$I$38,MATCH("2025::jama.2025.11178::C029",'C_jama.2025.11178'!$A$2:$A$38,0))),"not_applicable")</x:f>
        <x:v>not_applicable</x:v>
      </x:c>
      <x:c r="W46" s="6" t="str">
        <x:f>IF(AND(INDEX('C_jama.2025.11178'!$D$2:$D$38,MATCH("2025::jama.2025.11178::C029",'C_jama.2025.11178'!$A$2:$A$38,0))="retain",INDEX('C_jama.2025.11178'!$E$2:$E$38,MATCH("2025::jama.2025.11178::C029",'C_jama.2025.11178'!$A$2:$A$38,0))="statistical_results"),IF(INDEX('C_jama.2025.11178'!$J$2:$J$38,MATCH("2025::jama.2025.11178::C029",'C_jama.2025.11178'!$A$2:$A$38,0))="","",INDEX('C_jama.2025.11178'!$J$2:$J$38,MATCH("2025::jama.2025.11178::C029",'C_jama.2025.11178'!$A$2:$A$38,0))),"not_applicable")</x:f>
        <x:v>not_applicable</x:v>
      </x:c>
      <x:c r="X46" s="6" t="str">
        <x:f>IF(AND(INDEX('C_jama.2025.11178'!$D$2:$D$38,MATCH("2025::jama.2025.11178::C029",'C_jama.2025.11178'!$A$2:$A$38,0))="retain",OR(INDEX('C_jama.2025.11178'!$E$2:$E$38,MATCH("2025::jama.2025.11178::C029",'C_jama.2025.11178'!$A$2:$A$38,0))="report_internal_inconsistency",INDEX('C_jama.2025.11178'!$E$2:$E$38,MATCH("2025::jama.2025.11178::C029",'C_jama.2025.11178'!$A$2:$A$38,0))="plan_material")),IF(INDEX('C_jama.2025.11178'!$K$2:$K$38,MATCH("2025::jama.2025.11178::C029",'C_jama.2025.11178'!$A$2:$A$38,0))="","",INDEX('C_jama.2025.11178'!$K$2:$K$38,MATCH("2025::jama.2025.11178::C029",'C_jama.2025.11178'!$A$2:$A$38,0))),"not_applicable")</x:f>
        <x:v>not_applicable</x:v>
      </x:c>
      <x:c r="Y46" s="6" t="str">
        <x:f>IF(AND(INDEX('C_jama.2025.11178'!$D$2:$D$38,MATCH("2025::jama.2025.11178::C029",'C_jama.2025.11178'!$A$2:$A$38,0))="retain",INDEX('C_jama.2025.11178'!$E$2:$E$38,MATCH("2025::jama.2025.11178::C029",'C_jama.2025.11178'!$A$2:$A$38,0))="protocol_report"),IF(INDEX('C_jama.2025.11178'!$L$2:$L$38,MATCH("2025::jama.2025.11178::C029",'C_jama.2025.11178'!$A$2:$A$38,0))="","",INDEX('C_jama.2025.11178'!$L$2:$L$38,MATCH("2025::jama.2025.11178::C029",'C_jama.2025.11178'!$A$2:$A$38,0))),"not_applicable")</x:f>
        <x:v>not_applicable</x:v>
      </x:c>
      <x:c r="Z46" s="6" t="str">
        <x:f>IF(INDEX('C_jama.2025.11178'!$R$2:$R$38,MATCH("2025::jama.2025.11178::C029",'C_jama.2025.11178'!$A$2:$A$38,0))="","",INDEX('C_jama.2025.11178'!$R$2:$R$38,MATCH("2025::jama.2025.11178::C029",'C_jama.2025.11178'!$A$2:$A$38,0)))</x:f>
      </x:c>
      <x:c r="AA46" s="6" t="str">
        <x:f>IF(INDEX('C_jama.2025.11178'!$N$2:$N$38,MATCH("2025::jama.2025.11178::C029",'C_jama.2025.11178'!$A$2:$A$38,0))="","",INDEX('C_jama.2025.11178'!$N$2:$N$38,MATCH("2025::jama.2025.11178::C029",'C_jama.2025.11178'!$A$2:$A$38,0)))</x:f>
      </x:c>
      <x:c r="AB46" s="6" t="str">
        <x:f>IF(INDEX('C_jama.2025.11178'!$O$2:$O$38,MATCH("2025::jama.2025.11178::C029",'C_jama.2025.11178'!$A$2:$A$38,0))="","",INDEX('C_jama.2025.11178'!$O$2:$O$38,MATCH("2025::jama.2025.11178::C029",'C_jama.2025.11178'!$A$2:$A$38,0)))</x:f>
      </x:c>
      <x:c r="AC46" s="6" t="str">
        <x:f>IF(INDEX('C_jama.2025.11178'!$P$2:$P$38,MATCH("2025::jama.2025.11178::C029",'C_jama.2025.11178'!$A$2:$A$38,0))="","",INDEX('C_jama.2025.11178'!$P$2:$P$38,MATCH("2025::jama.2025.11178::C029",'C_jama.2025.11178'!$A$2:$A$38,0)))</x:f>
      </x:c>
      <x:c r="AD46" s="6" t="str">
        <x:f>IF(INDEX('C_jama.2025.11178'!$Q$2:$Q$38,MATCH("2025::jama.2025.11178::C029",'C_jama.2025.11178'!$A$2:$A$38,0))="","",INDEX('C_jama.2025.11178'!$Q$2:$Q$38,MATCH("2025::jama.2025.11178::C029",'C_jama.2025.11178'!$A$2:$A$38,0)))</x:f>
      </x:c>
    </x:row>
    <x:row r="47" ht="65" customHeight="1">
      <x:c r="A47" s="3" t="n">
        <x:v>2025</x:v>
      </x:c>
      <x:c r="B47" s="3" t="str">
        <x:v>jama.2025.11178</x:v>
      </x:c>
      <x:c r="C47" s="3" t="str">
        <x:v>2025::jama.2025.11178::C030</x:v>
      </x:c>
      <x:c r="D47" s="3" t="str">
        <x:v>S_W</x:v>
      </x:c>
      <x:c r="E47" s="3" t="n">
        <x:f>Setup!$B$2</x:f>
        <x:v>0</x:v>
      </x:c>
      <x:c r="F47" s="3" t="str">
        <x:f>IF(Setup!$B$4="","",Setup!$B$4)</x:f>
      </x:c>
      <x:c r="G47" s="3" t="str">
        <x:f>IFERROR(INDEX('C_jama.2025.11178'!$G$2:$G$38,MATCH("2025::jama.2025.11178::C030",'C_jama.2025.11178'!$A$2:$A$38,0)),"CHECK KEY")</x:f>
        <x:v>CHECK REVIEWER IDs</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statistical_results</x:v>
      </x:c>
      <x:c r="K47" s="3" t="str">
        <x:f>IF(Setup!$B$6="primary","",IFERROR(IF(INDEX('Primary_snapshot'!$B$2:$B$132,MATCH(C47,'Primary_snapshot'!$A$2:$A$132,0))="","",INDEX('Primary_snapshot'!$B$2:$B$132,MATCH(C47,'Primary_snapshot'!$A$2:$A$132,0))),"SNAPSHOT MISSING"))</x:f>
      </x:c>
      <x:c r="L47" s="3" t="str">
        <x:f>IF(Setup!$B$6="primary","",IFERROR(IF(INDEX('Primary_snapshot'!$C$2:$C$132,MATCH(C47,'Primary_snapshot'!$A$2:$A$132,0))="","",INDEX('Primary_snapshot'!$C$2:$C$132,MATCH(C47,'Primary_snapshot'!$A$2:$A$132,0))),"SNAPSHOT MISSING"))</x:f>
      </x:c>
      <x:c r="M47" s="3" t="str">
        <x:f>IF(Setup!$B$6="primary","",IFERROR(IF(INDEX('Primary_snapshot'!$D$2:$D$132,MATCH(C47,'Primary_snapshot'!$A$2:$A$132,0))="","",INDEX('Primary_snapshot'!$D$2:$D$132,MATCH(C47,'Primary_snapshot'!$A$2:$A$132,0))),"SNAPSHOT MISSING"))</x:f>
      </x:c>
      <x:c r="N47" s="3" t="str">
        <x:f>IF(Setup!$B$6="primary","",IFERROR(IF(INDEX('Primary_snapshot'!$E$2:$E$132,MATCH(C47,'Primary_snapshot'!$A$2:$A$132,0))="","",INDEX('Primary_snapshot'!$E$2:$E$132,MATCH(C47,'Primary_snapshot'!$A$2:$A$132,0))),"SNAPSHOT MISSING"))</x:f>
      </x:c>
      <x:c r="O47" s="3" t="str">
        <x:f>IF(Setup!$B$6="primary","",IFERROR(IF(INDEX('Primary_snapshot'!$F$2:$F$132,MATCH(C47,'Primary_snapshot'!$A$2:$A$132,0))="","",INDEX('Primary_snapshot'!$F$2:$F$132,MATCH(C47,'Primary_snapshot'!$A$2:$A$132,0))),"SNAPSHOT MISSING"))</x:f>
      </x:c>
      <x:c r="P47" s="3" t="str">
        <x:f>IF(Setup!$B$6="primary","",IFERROR(IF(INDEX('Primary_snapshot'!$G$2:$G$132,MATCH(C47,'Primary_snapshot'!$A$2:$A$132,0))="","",INDEX('Primary_snapshot'!$G$2:$G$132,MATCH(C47,'Primary_snapshot'!$A$2:$A$132,0))),"SNAPSHOT MISSING"))</x:f>
      </x:c>
      <x:c r="Q47" s="3" t="str">
        <x:f>IF(Setup!$B$6="primary","",IFERROR(IF(INDEX('Primary_snapshot'!$H$2:$H$132,MATCH(C47,'Primary_snapshot'!$A$2:$A$132,0))="","",INDEX('Primary_snapshot'!$H$2:$H$132,MATCH(C47,'Primary_snapshot'!$A$2:$A$132,0))),"SNAPSHOT MISSING"))</x:f>
      </x:c>
      <x:c r="R47" s="3" t="str">
        <x:f>IF(Setup!$B$6="primary","",IFERROR(IF(INDEX('Primary_snapshot'!$I$2:$I$132,MATCH(C47,'Primary_snapshot'!$A$2:$A$132,0))="","",INDEX('Primary_snapshot'!$I$2:$I$132,MATCH(C47,'Primary_snapshot'!$A$2:$A$132,0))),"SNAPSHOT MISSING"))</x:f>
      </x:c>
      <x:c r="S47" s="3" t="str">
        <x:f>IF(INDEX('C_jama.2025.11178'!$D$2:$D$38,MATCH("2025::jama.2025.11178::C030",'C_jama.2025.11178'!$A$2:$A$38,0))="","",INDEX('C_jama.2025.11178'!$D$2:$D$38,MATCH("2025::jama.2025.11178::C030",'C_jama.2025.11178'!$A$2:$A$38,0)))</x:f>
      </x:c>
      <x:c r="T47" s="3" t="str">
        <x:f>IF(INDEX('C_jama.2025.11178'!$E$2:$E$38,MATCH("2025::jama.2025.11178::C030",'C_jama.2025.11178'!$A$2:$A$38,0))="","",INDEX('C_jama.2025.11178'!$E$2:$E$38,MATCH("2025::jama.2025.11178::C030",'C_jama.2025.11178'!$A$2:$A$38,0)))</x:f>
        <x:v>statistical_results</x:v>
      </x:c>
      <x:c r="U47" s="3" t="str">
        <x:f>IF(AND(INDEX('C_jama.2025.11178'!$D$2:$D$38,MATCH("2025::jama.2025.11178::C030",'C_jama.2025.11178'!$A$2:$A$38,0))="retain",INDEX('C_jama.2025.11178'!$E$2:$E$38,MATCH("2025::jama.2025.11178::C030",'C_jama.2025.11178'!$A$2:$A$38,0))="statistical_results"),IF(INDEX('C_jama.2025.11178'!$H$2:$H$38,MATCH("2025::jama.2025.11178::C030",'C_jama.2025.11178'!$A$2:$A$38,0))="","",INDEX('C_jama.2025.11178'!$H$2:$H$38,MATCH("2025::jama.2025.11178::C030",'C_jama.2025.11178'!$A$2:$A$38,0))),"not_applicable")</x:f>
        <x:v>not_applicable</x:v>
      </x:c>
      <x:c r="V47" s="3" t="str">
        <x:f>IF(AND(INDEX('C_jama.2025.11178'!$D$2:$D$38,MATCH("2025::jama.2025.11178::C030",'C_jama.2025.11178'!$A$2:$A$38,0))="retain",INDEX('C_jama.2025.11178'!$E$2:$E$38,MATCH("2025::jama.2025.11178::C030",'C_jama.2025.11178'!$A$2:$A$38,0))="statistical_results"),IF(INDEX('C_jama.2025.11178'!$I$2:$I$38,MATCH("2025::jama.2025.11178::C030",'C_jama.2025.11178'!$A$2:$A$38,0))="","",INDEX('C_jama.2025.11178'!$I$2:$I$38,MATCH("2025::jama.2025.11178::C030",'C_jama.2025.11178'!$A$2:$A$38,0))),"not_applicable")</x:f>
        <x:v>not_applicable</x:v>
      </x:c>
      <x:c r="W47" s="3" t="str">
        <x:f>IF(AND(INDEX('C_jama.2025.11178'!$D$2:$D$38,MATCH("2025::jama.2025.11178::C030",'C_jama.2025.11178'!$A$2:$A$38,0))="retain",INDEX('C_jama.2025.11178'!$E$2:$E$38,MATCH("2025::jama.2025.11178::C030",'C_jama.2025.11178'!$A$2:$A$38,0))="statistical_results"),IF(INDEX('C_jama.2025.11178'!$J$2:$J$38,MATCH("2025::jama.2025.11178::C030",'C_jama.2025.11178'!$A$2:$A$38,0))="","",INDEX('C_jama.2025.11178'!$J$2:$J$38,MATCH("2025::jama.2025.11178::C030",'C_jama.2025.11178'!$A$2:$A$38,0))),"not_applicable")</x:f>
        <x:v>not_applicable</x:v>
      </x:c>
      <x:c r="X47" s="3" t="str">
        <x:f>IF(AND(INDEX('C_jama.2025.11178'!$D$2:$D$38,MATCH("2025::jama.2025.11178::C030",'C_jama.2025.11178'!$A$2:$A$38,0))="retain",OR(INDEX('C_jama.2025.11178'!$E$2:$E$38,MATCH("2025::jama.2025.11178::C030",'C_jama.2025.11178'!$A$2:$A$38,0))="report_internal_inconsistency",INDEX('C_jama.2025.11178'!$E$2:$E$38,MATCH("2025::jama.2025.11178::C030",'C_jama.2025.11178'!$A$2:$A$38,0))="plan_material")),IF(INDEX('C_jama.2025.11178'!$K$2:$K$38,MATCH("2025::jama.2025.11178::C030",'C_jama.2025.11178'!$A$2:$A$38,0))="","",INDEX('C_jama.2025.11178'!$K$2:$K$38,MATCH("2025::jama.2025.11178::C030",'C_jama.2025.11178'!$A$2:$A$38,0))),"not_applicable")</x:f>
        <x:v>not_applicable</x:v>
      </x:c>
      <x:c r="Y47" s="3" t="str">
        <x:f>IF(AND(INDEX('C_jama.2025.11178'!$D$2:$D$38,MATCH("2025::jama.2025.11178::C030",'C_jama.2025.11178'!$A$2:$A$38,0))="retain",INDEX('C_jama.2025.11178'!$E$2:$E$38,MATCH("2025::jama.2025.11178::C030",'C_jama.2025.11178'!$A$2:$A$38,0))="protocol_report"),IF(INDEX('C_jama.2025.11178'!$L$2:$L$38,MATCH("2025::jama.2025.11178::C030",'C_jama.2025.11178'!$A$2:$A$38,0))="","",INDEX('C_jama.2025.11178'!$L$2:$L$38,MATCH("2025::jama.2025.11178::C030",'C_jama.2025.11178'!$A$2:$A$38,0))),"not_applicable")</x:f>
        <x:v>not_applicable</x:v>
      </x:c>
      <x:c r="Z47" s="3" t="str">
        <x:f>IF(INDEX('C_jama.2025.11178'!$R$2:$R$38,MATCH("2025::jama.2025.11178::C030",'C_jama.2025.11178'!$A$2:$A$38,0))="","",INDEX('C_jama.2025.11178'!$R$2:$R$38,MATCH("2025::jama.2025.11178::C030",'C_jama.2025.11178'!$A$2:$A$38,0)))</x:f>
      </x:c>
      <x:c r="AA47" s="3" t="str">
        <x:f>IF(INDEX('C_jama.2025.11178'!$N$2:$N$38,MATCH("2025::jama.2025.11178::C030",'C_jama.2025.11178'!$A$2:$A$38,0))="","",INDEX('C_jama.2025.11178'!$N$2:$N$38,MATCH("2025::jama.2025.11178::C030",'C_jama.2025.11178'!$A$2:$A$38,0)))</x:f>
      </x:c>
      <x:c r="AB47" s="3" t="str">
        <x:f>IF(INDEX('C_jama.2025.11178'!$O$2:$O$38,MATCH("2025::jama.2025.11178::C030",'C_jama.2025.11178'!$A$2:$A$38,0))="","",INDEX('C_jama.2025.11178'!$O$2:$O$38,MATCH("2025::jama.2025.11178::C030",'C_jama.2025.11178'!$A$2:$A$38,0)))</x:f>
      </x:c>
      <x:c r="AC47" s="3" t="str">
        <x:f>IF(INDEX('C_jama.2025.11178'!$P$2:$P$38,MATCH("2025::jama.2025.11178::C030",'C_jama.2025.11178'!$A$2:$A$38,0))="","",INDEX('C_jama.2025.11178'!$P$2:$P$38,MATCH("2025::jama.2025.11178::C030",'C_jama.2025.11178'!$A$2:$A$38,0)))</x:f>
      </x:c>
      <x:c r="AD47" s="3" t="str">
        <x:f>IF(INDEX('C_jama.2025.11178'!$Q$2:$Q$38,MATCH("2025::jama.2025.11178::C030",'C_jama.2025.11178'!$A$2:$A$38,0))="","",INDEX('C_jama.2025.11178'!$Q$2:$Q$38,MATCH("2025::jama.2025.11178::C030",'C_jama.2025.11178'!$A$2:$A$38,0)))</x:f>
      </x:c>
    </x:row>
    <x:row r="48" ht="65" customHeight="1">
      <x:c r="A48" s="6" t="n">
        <x:v>2025</x:v>
      </x:c>
      <x:c r="B48" s="6" t="str">
        <x:v>jama.2025.11178</x:v>
      </x:c>
      <x:c r="C48" s="6" t="str">
        <x:v>2025::jama.2025.11178::C031</x:v>
      </x:c>
      <x:c r="D48" s="6" t="str">
        <x:v>S_W</x:v>
      </x:c>
      <x:c r="E48" s="6" t="n">
        <x:f>Setup!$B$2</x:f>
        <x:v>0</x:v>
      </x:c>
      <x:c r="F48" s="6" t="str">
        <x:f>IF(Setup!$B$4="","",Setup!$B$4)</x:f>
      </x:c>
      <x:c r="G48" s="6" t="str">
        <x:f>IFERROR(INDEX('C_jama.2025.11178'!$G$2:$G$38,MATCH("2025::jama.2025.11178::C031",'C_jama.2025.11178'!$A$2:$A$38,0)),"CHECK KEY")</x:f>
        <x:v>CHECK REVIEWER IDs</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statistical_results</x:v>
      </x:c>
      <x:c r="K48" s="6" t="str">
        <x:f>IF(Setup!$B$6="primary","",IFERROR(IF(INDEX('Primary_snapshot'!$B$2:$B$132,MATCH(C48,'Primary_snapshot'!$A$2:$A$132,0))="","",INDEX('Primary_snapshot'!$B$2:$B$132,MATCH(C48,'Primary_snapshot'!$A$2:$A$132,0))),"SNAPSHOT MISSING"))</x:f>
      </x:c>
      <x:c r="L48" s="6" t="str">
        <x:f>IF(Setup!$B$6="primary","",IFERROR(IF(INDEX('Primary_snapshot'!$C$2:$C$132,MATCH(C48,'Primary_snapshot'!$A$2:$A$132,0))="","",INDEX('Primary_snapshot'!$C$2:$C$132,MATCH(C48,'Primary_snapshot'!$A$2:$A$132,0))),"SNAPSHOT MISSING"))</x:f>
      </x:c>
      <x:c r="M48" s="6" t="str">
        <x:f>IF(Setup!$B$6="primary","",IFERROR(IF(INDEX('Primary_snapshot'!$D$2:$D$132,MATCH(C48,'Primary_snapshot'!$A$2:$A$132,0))="","",INDEX('Primary_snapshot'!$D$2:$D$132,MATCH(C48,'Primary_snapshot'!$A$2:$A$132,0))),"SNAPSHOT MISSING"))</x:f>
      </x:c>
      <x:c r="N48" s="6" t="str">
        <x:f>IF(Setup!$B$6="primary","",IFERROR(IF(INDEX('Primary_snapshot'!$E$2:$E$132,MATCH(C48,'Primary_snapshot'!$A$2:$A$132,0))="","",INDEX('Primary_snapshot'!$E$2:$E$132,MATCH(C48,'Primary_snapshot'!$A$2:$A$132,0))),"SNAPSHOT MISSING"))</x:f>
      </x:c>
      <x:c r="O48" s="6" t="str">
        <x:f>IF(Setup!$B$6="primary","",IFERROR(IF(INDEX('Primary_snapshot'!$F$2:$F$132,MATCH(C48,'Primary_snapshot'!$A$2:$A$132,0))="","",INDEX('Primary_snapshot'!$F$2:$F$132,MATCH(C48,'Primary_snapshot'!$A$2:$A$132,0))),"SNAPSHOT MISSING"))</x:f>
      </x:c>
      <x:c r="P48" s="6" t="str">
        <x:f>IF(Setup!$B$6="primary","",IFERROR(IF(INDEX('Primary_snapshot'!$G$2:$G$132,MATCH(C48,'Primary_snapshot'!$A$2:$A$132,0))="","",INDEX('Primary_snapshot'!$G$2:$G$132,MATCH(C48,'Primary_snapshot'!$A$2:$A$132,0))),"SNAPSHOT MISSING"))</x:f>
      </x:c>
      <x:c r="Q48" s="6" t="str">
        <x:f>IF(Setup!$B$6="primary","",IFERROR(IF(INDEX('Primary_snapshot'!$H$2:$H$132,MATCH(C48,'Primary_snapshot'!$A$2:$A$132,0))="","",INDEX('Primary_snapshot'!$H$2:$H$132,MATCH(C48,'Primary_snapshot'!$A$2:$A$132,0))),"SNAPSHOT MISSING"))</x:f>
      </x:c>
      <x:c r="R48" s="6" t="str">
        <x:f>IF(Setup!$B$6="primary","",IFERROR(IF(INDEX('Primary_snapshot'!$I$2:$I$132,MATCH(C48,'Primary_snapshot'!$A$2:$A$132,0))="","",INDEX('Primary_snapshot'!$I$2:$I$132,MATCH(C48,'Primary_snapshot'!$A$2:$A$132,0))),"SNAPSHOT MISSING"))</x:f>
      </x:c>
      <x:c r="S48" s="6" t="str">
        <x:f>IF(INDEX('C_jama.2025.11178'!$D$2:$D$38,MATCH("2025::jama.2025.11178::C031",'C_jama.2025.11178'!$A$2:$A$38,0))="","",INDEX('C_jama.2025.11178'!$D$2:$D$38,MATCH("2025::jama.2025.11178::C031",'C_jama.2025.11178'!$A$2:$A$38,0)))</x:f>
      </x:c>
      <x:c r="T48" s="6" t="str">
        <x:f>IF(INDEX('C_jama.2025.11178'!$E$2:$E$38,MATCH("2025::jama.2025.11178::C031",'C_jama.2025.11178'!$A$2:$A$38,0))="","",INDEX('C_jama.2025.11178'!$E$2:$E$38,MATCH("2025::jama.2025.11178::C031",'C_jama.2025.11178'!$A$2:$A$38,0)))</x:f>
        <x:v>statistical_results</x:v>
      </x:c>
      <x:c r="U48" s="6" t="str">
        <x:f>IF(AND(INDEX('C_jama.2025.11178'!$D$2:$D$38,MATCH("2025::jama.2025.11178::C031",'C_jama.2025.11178'!$A$2:$A$38,0))="retain",INDEX('C_jama.2025.11178'!$E$2:$E$38,MATCH("2025::jama.2025.11178::C031",'C_jama.2025.11178'!$A$2:$A$38,0))="statistical_results"),IF(INDEX('C_jama.2025.11178'!$H$2:$H$38,MATCH("2025::jama.2025.11178::C031",'C_jama.2025.11178'!$A$2:$A$38,0))="","",INDEX('C_jama.2025.11178'!$H$2:$H$38,MATCH("2025::jama.2025.11178::C031",'C_jama.2025.11178'!$A$2:$A$38,0))),"not_applicable")</x:f>
        <x:v>not_applicable</x:v>
      </x:c>
      <x:c r="V48" s="6" t="str">
        <x:f>IF(AND(INDEX('C_jama.2025.11178'!$D$2:$D$38,MATCH("2025::jama.2025.11178::C031",'C_jama.2025.11178'!$A$2:$A$38,0))="retain",INDEX('C_jama.2025.11178'!$E$2:$E$38,MATCH("2025::jama.2025.11178::C031",'C_jama.2025.11178'!$A$2:$A$38,0))="statistical_results"),IF(INDEX('C_jama.2025.11178'!$I$2:$I$38,MATCH("2025::jama.2025.11178::C031",'C_jama.2025.11178'!$A$2:$A$38,0))="","",INDEX('C_jama.2025.11178'!$I$2:$I$38,MATCH("2025::jama.2025.11178::C031",'C_jama.2025.11178'!$A$2:$A$38,0))),"not_applicable")</x:f>
        <x:v>not_applicable</x:v>
      </x:c>
      <x:c r="W48" s="6" t="str">
        <x:f>IF(AND(INDEX('C_jama.2025.11178'!$D$2:$D$38,MATCH("2025::jama.2025.11178::C031",'C_jama.2025.11178'!$A$2:$A$38,0))="retain",INDEX('C_jama.2025.11178'!$E$2:$E$38,MATCH("2025::jama.2025.11178::C031",'C_jama.2025.11178'!$A$2:$A$38,0))="statistical_results"),IF(INDEX('C_jama.2025.11178'!$J$2:$J$38,MATCH("2025::jama.2025.11178::C031",'C_jama.2025.11178'!$A$2:$A$38,0))="","",INDEX('C_jama.2025.11178'!$J$2:$J$38,MATCH("2025::jama.2025.11178::C031",'C_jama.2025.11178'!$A$2:$A$38,0))),"not_applicable")</x:f>
        <x:v>not_applicable</x:v>
      </x:c>
      <x:c r="X48" s="6" t="str">
        <x:f>IF(AND(INDEX('C_jama.2025.11178'!$D$2:$D$38,MATCH("2025::jama.2025.11178::C031",'C_jama.2025.11178'!$A$2:$A$38,0))="retain",OR(INDEX('C_jama.2025.11178'!$E$2:$E$38,MATCH("2025::jama.2025.11178::C031",'C_jama.2025.11178'!$A$2:$A$38,0))="report_internal_inconsistency",INDEX('C_jama.2025.11178'!$E$2:$E$38,MATCH("2025::jama.2025.11178::C031",'C_jama.2025.11178'!$A$2:$A$38,0))="plan_material")),IF(INDEX('C_jama.2025.11178'!$K$2:$K$38,MATCH("2025::jama.2025.11178::C031",'C_jama.2025.11178'!$A$2:$A$38,0))="","",INDEX('C_jama.2025.11178'!$K$2:$K$38,MATCH("2025::jama.2025.11178::C031",'C_jama.2025.11178'!$A$2:$A$38,0))),"not_applicable")</x:f>
        <x:v>not_applicable</x:v>
      </x:c>
      <x:c r="Y48" s="6" t="str">
        <x:f>IF(AND(INDEX('C_jama.2025.11178'!$D$2:$D$38,MATCH("2025::jama.2025.11178::C031",'C_jama.2025.11178'!$A$2:$A$38,0))="retain",INDEX('C_jama.2025.11178'!$E$2:$E$38,MATCH("2025::jama.2025.11178::C031",'C_jama.2025.11178'!$A$2:$A$38,0))="protocol_report"),IF(INDEX('C_jama.2025.11178'!$L$2:$L$38,MATCH("2025::jama.2025.11178::C031",'C_jama.2025.11178'!$A$2:$A$38,0))="","",INDEX('C_jama.2025.11178'!$L$2:$L$38,MATCH("2025::jama.2025.11178::C031",'C_jama.2025.11178'!$A$2:$A$38,0))),"not_applicable")</x:f>
        <x:v>not_applicable</x:v>
      </x:c>
      <x:c r="Z48" s="6" t="str">
        <x:f>IF(INDEX('C_jama.2025.11178'!$R$2:$R$38,MATCH("2025::jama.2025.11178::C031",'C_jama.2025.11178'!$A$2:$A$38,0))="","",INDEX('C_jama.2025.11178'!$R$2:$R$38,MATCH("2025::jama.2025.11178::C031",'C_jama.2025.11178'!$A$2:$A$38,0)))</x:f>
      </x:c>
      <x:c r="AA48" s="6" t="str">
        <x:f>IF(INDEX('C_jama.2025.11178'!$N$2:$N$38,MATCH("2025::jama.2025.11178::C031",'C_jama.2025.11178'!$A$2:$A$38,0))="","",INDEX('C_jama.2025.11178'!$N$2:$N$38,MATCH("2025::jama.2025.11178::C031",'C_jama.2025.11178'!$A$2:$A$38,0)))</x:f>
      </x:c>
      <x:c r="AB48" s="6" t="str">
        <x:f>IF(INDEX('C_jama.2025.11178'!$O$2:$O$38,MATCH("2025::jama.2025.11178::C031",'C_jama.2025.11178'!$A$2:$A$38,0))="","",INDEX('C_jama.2025.11178'!$O$2:$O$38,MATCH("2025::jama.2025.11178::C031",'C_jama.2025.11178'!$A$2:$A$38,0)))</x:f>
      </x:c>
      <x:c r="AC48" s="6" t="str">
        <x:f>IF(INDEX('C_jama.2025.11178'!$P$2:$P$38,MATCH("2025::jama.2025.11178::C031",'C_jama.2025.11178'!$A$2:$A$38,0))="","",INDEX('C_jama.2025.11178'!$P$2:$P$38,MATCH("2025::jama.2025.11178::C031",'C_jama.2025.11178'!$A$2:$A$38,0)))</x:f>
      </x:c>
      <x:c r="AD48" s="6" t="str">
        <x:f>IF(INDEX('C_jama.2025.11178'!$Q$2:$Q$38,MATCH("2025::jama.2025.11178::C031",'C_jama.2025.11178'!$A$2:$A$38,0))="","",INDEX('C_jama.2025.11178'!$Q$2:$Q$38,MATCH("2025::jama.2025.11178::C031",'C_jama.2025.11178'!$A$2:$A$38,0)))</x:f>
      </x:c>
    </x:row>
    <x:row r="49" ht="65" customHeight="1">
      <x:c r="A49" s="3" t="n">
        <x:v>2025</x:v>
      </x:c>
      <x:c r="B49" s="3" t="str">
        <x:v>jama.2025.11178</x:v>
      </x:c>
      <x:c r="C49" s="3" t="str">
        <x:v>2025::jama.2025.11178::C032</x:v>
      </x:c>
      <x:c r="D49" s="3" t="str">
        <x:v>S_W</x:v>
      </x:c>
      <x:c r="E49" s="3" t="n">
        <x:f>Setup!$B$2</x:f>
        <x:v>0</x:v>
      </x:c>
      <x:c r="F49" s="3" t="str">
        <x:f>IF(Setup!$B$4="","",Setup!$B$4)</x:f>
      </x:c>
      <x:c r="G49" s="3" t="str">
        <x:f>IFERROR(INDEX('C_jama.2025.11178'!$G$2:$G$38,MATCH("2025::jama.2025.11178::C032",'C_jama.2025.11178'!$A$2:$A$38,0)),"CHECK KEY")</x:f>
        <x:v>CHECK REVIEWER IDs</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statistical_results</x:v>
      </x:c>
      <x:c r="K49" s="3" t="str">
        <x:f>IF(Setup!$B$6="primary","",IFERROR(IF(INDEX('Primary_snapshot'!$B$2:$B$132,MATCH(C49,'Primary_snapshot'!$A$2:$A$132,0))="","",INDEX('Primary_snapshot'!$B$2:$B$132,MATCH(C49,'Primary_snapshot'!$A$2:$A$132,0))),"SNAPSHOT MISSING"))</x:f>
      </x:c>
      <x:c r="L49" s="3" t="str">
        <x:f>IF(Setup!$B$6="primary","",IFERROR(IF(INDEX('Primary_snapshot'!$C$2:$C$132,MATCH(C49,'Primary_snapshot'!$A$2:$A$132,0))="","",INDEX('Primary_snapshot'!$C$2:$C$132,MATCH(C49,'Primary_snapshot'!$A$2:$A$132,0))),"SNAPSHOT MISSING"))</x:f>
      </x:c>
      <x:c r="M49" s="3" t="str">
        <x:f>IF(Setup!$B$6="primary","",IFERROR(IF(INDEX('Primary_snapshot'!$D$2:$D$132,MATCH(C49,'Primary_snapshot'!$A$2:$A$132,0))="","",INDEX('Primary_snapshot'!$D$2:$D$132,MATCH(C49,'Primary_snapshot'!$A$2:$A$132,0))),"SNAPSHOT MISSING"))</x:f>
      </x:c>
      <x:c r="N49" s="3" t="str">
        <x:f>IF(Setup!$B$6="primary","",IFERROR(IF(INDEX('Primary_snapshot'!$E$2:$E$132,MATCH(C49,'Primary_snapshot'!$A$2:$A$132,0))="","",INDEX('Primary_snapshot'!$E$2:$E$132,MATCH(C49,'Primary_snapshot'!$A$2:$A$132,0))),"SNAPSHOT MISSING"))</x:f>
      </x:c>
      <x:c r="O49" s="3" t="str">
        <x:f>IF(Setup!$B$6="primary","",IFERROR(IF(INDEX('Primary_snapshot'!$F$2:$F$132,MATCH(C49,'Primary_snapshot'!$A$2:$A$132,0))="","",INDEX('Primary_snapshot'!$F$2:$F$132,MATCH(C49,'Primary_snapshot'!$A$2:$A$132,0))),"SNAPSHOT MISSING"))</x:f>
      </x:c>
      <x:c r="P49" s="3" t="str">
        <x:f>IF(Setup!$B$6="primary","",IFERROR(IF(INDEX('Primary_snapshot'!$G$2:$G$132,MATCH(C49,'Primary_snapshot'!$A$2:$A$132,0))="","",INDEX('Primary_snapshot'!$G$2:$G$132,MATCH(C49,'Primary_snapshot'!$A$2:$A$132,0))),"SNAPSHOT MISSING"))</x:f>
      </x:c>
      <x:c r="Q49" s="3" t="str">
        <x:f>IF(Setup!$B$6="primary","",IFERROR(IF(INDEX('Primary_snapshot'!$H$2:$H$132,MATCH(C49,'Primary_snapshot'!$A$2:$A$132,0))="","",INDEX('Primary_snapshot'!$H$2:$H$132,MATCH(C49,'Primary_snapshot'!$A$2:$A$132,0))),"SNAPSHOT MISSING"))</x:f>
      </x:c>
      <x:c r="R49" s="3" t="str">
        <x:f>IF(Setup!$B$6="primary","",IFERROR(IF(INDEX('Primary_snapshot'!$I$2:$I$132,MATCH(C49,'Primary_snapshot'!$A$2:$A$132,0))="","",INDEX('Primary_snapshot'!$I$2:$I$132,MATCH(C49,'Primary_snapshot'!$A$2:$A$132,0))),"SNAPSHOT MISSING"))</x:f>
      </x:c>
      <x:c r="S49" s="3" t="str">
        <x:f>IF(INDEX('C_jama.2025.11178'!$D$2:$D$38,MATCH("2025::jama.2025.11178::C032",'C_jama.2025.11178'!$A$2:$A$38,0))="","",INDEX('C_jama.2025.11178'!$D$2:$D$38,MATCH("2025::jama.2025.11178::C032",'C_jama.2025.11178'!$A$2:$A$38,0)))</x:f>
      </x:c>
      <x:c r="T49" s="3" t="str">
        <x:f>IF(INDEX('C_jama.2025.11178'!$E$2:$E$38,MATCH("2025::jama.2025.11178::C032",'C_jama.2025.11178'!$A$2:$A$38,0))="","",INDEX('C_jama.2025.11178'!$E$2:$E$38,MATCH("2025::jama.2025.11178::C032",'C_jama.2025.11178'!$A$2:$A$38,0)))</x:f>
        <x:v>statistical_results</x:v>
      </x:c>
      <x:c r="U49" s="3" t="str">
        <x:f>IF(AND(INDEX('C_jama.2025.11178'!$D$2:$D$38,MATCH("2025::jama.2025.11178::C032",'C_jama.2025.11178'!$A$2:$A$38,0))="retain",INDEX('C_jama.2025.11178'!$E$2:$E$38,MATCH("2025::jama.2025.11178::C032",'C_jama.2025.11178'!$A$2:$A$38,0))="statistical_results"),IF(INDEX('C_jama.2025.11178'!$H$2:$H$38,MATCH("2025::jama.2025.11178::C032",'C_jama.2025.11178'!$A$2:$A$38,0))="","",INDEX('C_jama.2025.11178'!$H$2:$H$38,MATCH("2025::jama.2025.11178::C032",'C_jama.2025.11178'!$A$2:$A$38,0))),"not_applicable")</x:f>
        <x:v>not_applicable</x:v>
      </x:c>
      <x:c r="V49" s="3" t="str">
        <x:f>IF(AND(INDEX('C_jama.2025.11178'!$D$2:$D$38,MATCH("2025::jama.2025.11178::C032",'C_jama.2025.11178'!$A$2:$A$38,0))="retain",INDEX('C_jama.2025.11178'!$E$2:$E$38,MATCH("2025::jama.2025.11178::C032",'C_jama.2025.11178'!$A$2:$A$38,0))="statistical_results"),IF(INDEX('C_jama.2025.11178'!$I$2:$I$38,MATCH("2025::jama.2025.11178::C032",'C_jama.2025.11178'!$A$2:$A$38,0))="","",INDEX('C_jama.2025.11178'!$I$2:$I$38,MATCH("2025::jama.2025.11178::C032",'C_jama.2025.11178'!$A$2:$A$38,0))),"not_applicable")</x:f>
        <x:v>not_applicable</x:v>
      </x:c>
      <x:c r="W49" s="3" t="str">
        <x:f>IF(AND(INDEX('C_jama.2025.11178'!$D$2:$D$38,MATCH("2025::jama.2025.11178::C032",'C_jama.2025.11178'!$A$2:$A$38,0))="retain",INDEX('C_jama.2025.11178'!$E$2:$E$38,MATCH("2025::jama.2025.11178::C032",'C_jama.2025.11178'!$A$2:$A$38,0))="statistical_results"),IF(INDEX('C_jama.2025.11178'!$J$2:$J$38,MATCH("2025::jama.2025.11178::C032",'C_jama.2025.11178'!$A$2:$A$38,0))="","",INDEX('C_jama.2025.11178'!$J$2:$J$38,MATCH("2025::jama.2025.11178::C032",'C_jama.2025.11178'!$A$2:$A$38,0))),"not_applicable")</x:f>
        <x:v>not_applicable</x:v>
      </x:c>
      <x:c r="X49" s="3" t="str">
        <x:f>IF(AND(INDEX('C_jama.2025.11178'!$D$2:$D$38,MATCH("2025::jama.2025.11178::C032",'C_jama.2025.11178'!$A$2:$A$38,0))="retain",OR(INDEX('C_jama.2025.11178'!$E$2:$E$38,MATCH("2025::jama.2025.11178::C032",'C_jama.2025.11178'!$A$2:$A$38,0))="report_internal_inconsistency",INDEX('C_jama.2025.11178'!$E$2:$E$38,MATCH("2025::jama.2025.11178::C032",'C_jama.2025.11178'!$A$2:$A$38,0))="plan_material")),IF(INDEX('C_jama.2025.11178'!$K$2:$K$38,MATCH("2025::jama.2025.11178::C032",'C_jama.2025.11178'!$A$2:$A$38,0))="","",INDEX('C_jama.2025.11178'!$K$2:$K$38,MATCH("2025::jama.2025.11178::C032",'C_jama.2025.11178'!$A$2:$A$38,0))),"not_applicable")</x:f>
        <x:v>not_applicable</x:v>
      </x:c>
      <x:c r="Y49" s="3" t="str">
        <x:f>IF(AND(INDEX('C_jama.2025.11178'!$D$2:$D$38,MATCH("2025::jama.2025.11178::C032",'C_jama.2025.11178'!$A$2:$A$38,0))="retain",INDEX('C_jama.2025.11178'!$E$2:$E$38,MATCH("2025::jama.2025.11178::C032",'C_jama.2025.11178'!$A$2:$A$38,0))="protocol_report"),IF(INDEX('C_jama.2025.11178'!$L$2:$L$38,MATCH("2025::jama.2025.11178::C032",'C_jama.2025.11178'!$A$2:$A$38,0))="","",INDEX('C_jama.2025.11178'!$L$2:$L$38,MATCH("2025::jama.2025.11178::C032",'C_jama.2025.11178'!$A$2:$A$38,0))),"not_applicable")</x:f>
        <x:v>not_applicable</x:v>
      </x:c>
      <x:c r="Z49" s="3" t="str">
        <x:f>IF(INDEX('C_jama.2025.11178'!$R$2:$R$38,MATCH("2025::jama.2025.11178::C032",'C_jama.2025.11178'!$A$2:$A$38,0))="","",INDEX('C_jama.2025.11178'!$R$2:$R$38,MATCH("2025::jama.2025.11178::C032",'C_jama.2025.11178'!$A$2:$A$38,0)))</x:f>
      </x:c>
      <x:c r="AA49" s="3" t="str">
        <x:f>IF(INDEX('C_jama.2025.11178'!$N$2:$N$38,MATCH("2025::jama.2025.11178::C032",'C_jama.2025.11178'!$A$2:$A$38,0))="","",INDEX('C_jama.2025.11178'!$N$2:$N$38,MATCH("2025::jama.2025.11178::C032",'C_jama.2025.11178'!$A$2:$A$38,0)))</x:f>
      </x:c>
      <x:c r="AB49" s="3" t="str">
        <x:f>IF(INDEX('C_jama.2025.11178'!$O$2:$O$38,MATCH("2025::jama.2025.11178::C032",'C_jama.2025.11178'!$A$2:$A$38,0))="","",INDEX('C_jama.2025.11178'!$O$2:$O$38,MATCH("2025::jama.2025.11178::C032",'C_jama.2025.11178'!$A$2:$A$38,0)))</x:f>
      </x:c>
      <x:c r="AC49" s="3" t="str">
        <x:f>IF(INDEX('C_jama.2025.11178'!$P$2:$P$38,MATCH("2025::jama.2025.11178::C032",'C_jama.2025.11178'!$A$2:$A$38,0))="","",INDEX('C_jama.2025.11178'!$P$2:$P$38,MATCH("2025::jama.2025.11178::C032",'C_jama.2025.11178'!$A$2:$A$38,0)))</x:f>
      </x:c>
      <x:c r="AD49" s="3" t="str">
        <x:f>IF(INDEX('C_jama.2025.11178'!$Q$2:$Q$38,MATCH("2025::jama.2025.11178::C032",'C_jama.2025.11178'!$A$2:$A$38,0))="","",INDEX('C_jama.2025.11178'!$Q$2:$Q$38,MATCH("2025::jama.2025.11178::C032",'C_jama.2025.11178'!$A$2:$A$38,0)))</x:f>
      </x:c>
    </x:row>
    <x:row r="50" ht="65" customHeight="1">
      <x:c r="A50" s="6" t="n">
        <x:v>2025</x:v>
      </x:c>
      <x:c r="B50" s="6" t="str">
        <x:v>jama.2025.11178</x:v>
      </x:c>
      <x:c r="C50" s="6" t="str">
        <x:v>2025::jama.2025.11178::C033</x:v>
      </x:c>
      <x:c r="D50" s="6" t="str">
        <x:v>S_W</x:v>
      </x:c>
      <x:c r="E50" s="6" t="n">
        <x:f>Setup!$B$2</x:f>
        <x:v>0</x:v>
      </x:c>
      <x:c r="F50" s="6" t="str">
        <x:f>IF(Setup!$B$4="","",Setup!$B$4)</x:f>
      </x:c>
      <x:c r="G50" s="6" t="str">
        <x:f>IFERROR(INDEX('C_jama.2025.11178'!$G$2:$G$38,MATCH("2025::jama.2025.11178::C033",'C_jama.2025.11178'!$A$2:$A$38,0)),"CHECK KEY")</x:f>
        <x:v>CHECK REVIEWER IDs</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statistical_results</x:v>
      </x:c>
      <x:c r="K50" s="6" t="str">
        <x:f>IF(Setup!$B$6="primary","",IFERROR(IF(INDEX('Primary_snapshot'!$B$2:$B$132,MATCH(C50,'Primary_snapshot'!$A$2:$A$132,0))="","",INDEX('Primary_snapshot'!$B$2:$B$132,MATCH(C50,'Primary_snapshot'!$A$2:$A$132,0))),"SNAPSHOT MISSING"))</x:f>
      </x:c>
      <x:c r="L50" s="6" t="str">
        <x:f>IF(Setup!$B$6="primary","",IFERROR(IF(INDEX('Primary_snapshot'!$C$2:$C$132,MATCH(C50,'Primary_snapshot'!$A$2:$A$132,0))="","",INDEX('Primary_snapshot'!$C$2:$C$132,MATCH(C50,'Primary_snapshot'!$A$2:$A$132,0))),"SNAPSHOT MISSING"))</x:f>
      </x:c>
      <x:c r="M50" s="6" t="str">
        <x:f>IF(Setup!$B$6="primary","",IFERROR(IF(INDEX('Primary_snapshot'!$D$2:$D$132,MATCH(C50,'Primary_snapshot'!$A$2:$A$132,0))="","",INDEX('Primary_snapshot'!$D$2:$D$132,MATCH(C50,'Primary_snapshot'!$A$2:$A$132,0))),"SNAPSHOT MISSING"))</x:f>
      </x:c>
      <x:c r="N50" s="6" t="str">
        <x:f>IF(Setup!$B$6="primary","",IFERROR(IF(INDEX('Primary_snapshot'!$E$2:$E$132,MATCH(C50,'Primary_snapshot'!$A$2:$A$132,0))="","",INDEX('Primary_snapshot'!$E$2:$E$132,MATCH(C50,'Primary_snapshot'!$A$2:$A$132,0))),"SNAPSHOT MISSING"))</x:f>
      </x:c>
      <x:c r="O50" s="6" t="str">
        <x:f>IF(Setup!$B$6="primary","",IFERROR(IF(INDEX('Primary_snapshot'!$F$2:$F$132,MATCH(C50,'Primary_snapshot'!$A$2:$A$132,0))="","",INDEX('Primary_snapshot'!$F$2:$F$132,MATCH(C50,'Primary_snapshot'!$A$2:$A$132,0))),"SNAPSHOT MISSING"))</x:f>
      </x:c>
      <x:c r="P50" s="6" t="str">
        <x:f>IF(Setup!$B$6="primary","",IFERROR(IF(INDEX('Primary_snapshot'!$G$2:$G$132,MATCH(C50,'Primary_snapshot'!$A$2:$A$132,0))="","",INDEX('Primary_snapshot'!$G$2:$G$132,MATCH(C50,'Primary_snapshot'!$A$2:$A$132,0))),"SNAPSHOT MISSING"))</x:f>
      </x:c>
      <x:c r="Q50" s="6" t="str">
        <x:f>IF(Setup!$B$6="primary","",IFERROR(IF(INDEX('Primary_snapshot'!$H$2:$H$132,MATCH(C50,'Primary_snapshot'!$A$2:$A$132,0))="","",INDEX('Primary_snapshot'!$H$2:$H$132,MATCH(C50,'Primary_snapshot'!$A$2:$A$132,0))),"SNAPSHOT MISSING"))</x:f>
      </x:c>
      <x:c r="R50" s="6" t="str">
        <x:f>IF(Setup!$B$6="primary","",IFERROR(IF(INDEX('Primary_snapshot'!$I$2:$I$132,MATCH(C50,'Primary_snapshot'!$A$2:$A$132,0))="","",INDEX('Primary_snapshot'!$I$2:$I$132,MATCH(C50,'Primary_snapshot'!$A$2:$A$132,0))),"SNAPSHOT MISSING"))</x:f>
      </x:c>
      <x:c r="S50" s="6" t="str">
        <x:f>IF(INDEX('C_jama.2025.11178'!$D$2:$D$38,MATCH("2025::jama.2025.11178::C033",'C_jama.2025.11178'!$A$2:$A$38,0))="","",INDEX('C_jama.2025.11178'!$D$2:$D$38,MATCH("2025::jama.2025.11178::C033",'C_jama.2025.11178'!$A$2:$A$38,0)))</x:f>
      </x:c>
      <x:c r="T50" s="6" t="str">
        <x:f>IF(INDEX('C_jama.2025.11178'!$E$2:$E$38,MATCH("2025::jama.2025.11178::C033",'C_jama.2025.11178'!$A$2:$A$38,0))="","",INDEX('C_jama.2025.11178'!$E$2:$E$38,MATCH("2025::jama.2025.11178::C033",'C_jama.2025.11178'!$A$2:$A$38,0)))</x:f>
        <x:v>statistical_results</x:v>
      </x:c>
      <x:c r="U50" s="6" t="str">
        <x:f>IF(AND(INDEX('C_jama.2025.11178'!$D$2:$D$38,MATCH("2025::jama.2025.11178::C033",'C_jama.2025.11178'!$A$2:$A$38,0))="retain",INDEX('C_jama.2025.11178'!$E$2:$E$38,MATCH("2025::jama.2025.11178::C033",'C_jama.2025.11178'!$A$2:$A$38,0))="statistical_results"),IF(INDEX('C_jama.2025.11178'!$H$2:$H$38,MATCH("2025::jama.2025.11178::C033",'C_jama.2025.11178'!$A$2:$A$38,0))="","",INDEX('C_jama.2025.11178'!$H$2:$H$38,MATCH("2025::jama.2025.11178::C033",'C_jama.2025.11178'!$A$2:$A$38,0))),"not_applicable")</x:f>
        <x:v>not_applicable</x:v>
      </x:c>
      <x:c r="V50" s="6" t="str">
        <x:f>IF(AND(INDEX('C_jama.2025.11178'!$D$2:$D$38,MATCH("2025::jama.2025.11178::C033",'C_jama.2025.11178'!$A$2:$A$38,0))="retain",INDEX('C_jama.2025.11178'!$E$2:$E$38,MATCH("2025::jama.2025.11178::C033",'C_jama.2025.11178'!$A$2:$A$38,0))="statistical_results"),IF(INDEX('C_jama.2025.11178'!$I$2:$I$38,MATCH("2025::jama.2025.11178::C033",'C_jama.2025.11178'!$A$2:$A$38,0))="","",INDEX('C_jama.2025.11178'!$I$2:$I$38,MATCH("2025::jama.2025.11178::C033",'C_jama.2025.11178'!$A$2:$A$38,0))),"not_applicable")</x:f>
        <x:v>not_applicable</x:v>
      </x:c>
      <x:c r="W50" s="6" t="str">
        <x:f>IF(AND(INDEX('C_jama.2025.11178'!$D$2:$D$38,MATCH("2025::jama.2025.11178::C033",'C_jama.2025.11178'!$A$2:$A$38,0))="retain",INDEX('C_jama.2025.11178'!$E$2:$E$38,MATCH("2025::jama.2025.11178::C033",'C_jama.2025.11178'!$A$2:$A$38,0))="statistical_results"),IF(INDEX('C_jama.2025.11178'!$J$2:$J$38,MATCH("2025::jama.2025.11178::C033",'C_jama.2025.11178'!$A$2:$A$38,0))="","",INDEX('C_jama.2025.11178'!$J$2:$J$38,MATCH("2025::jama.2025.11178::C033",'C_jama.2025.11178'!$A$2:$A$38,0))),"not_applicable")</x:f>
        <x:v>not_applicable</x:v>
      </x:c>
      <x:c r="X50" s="6" t="str">
        <x:f>IF(AND(INDEX('C_jama.2025.11178'!$D$2:$D$38,MATCH("2025::jama.2025.11178::C033",'C_jama.2025.11178'!$A$2:$A$38,0))="retain",OR(INDEX('C_jama.2025.11178'!$E$2:$E$38,MATCH("2025::jama.2025.11178::C033",'C_jama.2025.11178'!$A$2:$A$38,0))="report_internal_inconsistency",INDEX('C_jama.2025.11178'!$E$2:$E$38,MATCH("2025::jama.2025.11178::C033",'C_jama.2025.11178'!$A$2:$A$38,0))="plan_material")),IF(INDEX('C_jama.2025.11178'!$K$2:$K$38,MATCH("2025::jama.2025.11178::C033",'C_jama.2025.11178'!$A$2:$A$38,0))="","",INDEX('C_jama.2025.11178'!$K$2:$K$38,MATCH("2025::jama.2025.11178::C033",'C_jama.2025.11178'!$A$2:$A$38,0))),"not_applicable")</x:f>
        <x:v>not_applicable</x:v>
      </x:c>
      <x:c r="Y50" s="6" t="str">
        <x:f>IF(AND(INDEX('C_jama.2025.11178'!$D$2:$D$38,MATCH("2025::jama.2025.11178::C033",'C_jama.2025.11178'!$A$2:$A$38,0))="retain",INDEX('C_jama.2025.11178'!$E$2:$E$38,MATCH("2025::jama.2025.11178::C033",'C_jama.2025.11178'!$A$2:$A$38,0))="protocol_report"),IF(INDEX('C_jama.2025.11178'!$L$2:$L$38,MATCH("2025::jama.2025.11178::C033",'C_jama.2025.11178'!$A$2:$A$38,0))="","",INDEX('C_jama.2025.11178'!$L$2:$L$38,MATCH("2025::jama.2025.11178::C033",'C_jama.2025.11178'!$A$2:$A$38,0))),"not_applicable")</x:f>
        <x:v>not_applicable</x:v>
      </x:c>
      <x:c r="Z50" s="6" t="str">
        <x:f>IF(INDEX('C_jama.2025.11178'!$R$2:$R$38,MATCH("2025::jama.2025.11178::C033",'C_jama.2025.11178'!$A$2:$A$38,0))="","",INDEX('C_jama.2025.11178'!$R$2:$R$38,MATCH("2025::jama.2025.11178::C033",'C_jama.2025.11178'!$A$2:$A$38,0)))</x:f>
      </x:c>
      <x:c r="AA50" s="6" t="str">
        <x:f>IF(INDEX('C_jama.2025.11178'!$N$2:$N$38,MATCH("2025::jama.2025.11178::C033",'C_jama.2025.11178'!$A$2:$A$38,0))="","",INDEX('C_jama.2025.11178'!$N$2:$N$38,MATCH("2025::jama.2025.11178::C033",'C_jama.2025.11178'!$A$2:$A$38,0)))</x:f>
      </x:c>
      <x:c r="AB50" s="6" t="str">
        <x:f>IF(INDEX('C_jama.2025.11178'!$O$2:$O$38,MATCH("2025::jama.2025.11178::C033",'C_jama.2025.11178'!$A$2:$A$38,0))="","",INDEX('C_jama.2025.11178'!$O$2:$O$38,MATCH("2025::jama.2025.11178::C033",'C_jama.2025.11178'!$A$2:$A$38,0)))</x:f>
      </x:c>
      <x:c r="AC50" s="6" t="str">
        <x:f>IF(INDEX('C_jama.2025.11178'!$P$2:$P$38,MATCH("2025::jama.2025.11178::C033",'C_jama.2025.11178'!$A$2:$A$38,0))="","",INDEX('C_jama.2025.11178'!$P$2:$P$38,MATCH("2025::jama.2025.11178::C033",'C_jama.2025.11178'!$A$2:$A$38,0)))</x:f>
      </x:c>
      <x:c r="AD50" s="6" t="str">
        <x:f>IF(INDEX('C_jama.2025.11178'!$Q$2:$Q$38,MATCH("2025::jama.2025.11178::C033",'C_jama.2025.11178'!$A$2:$A$38,0))="","",INDEX('C_jama.2025.11178'!$Q$2:$Q$38,MATCH("2025::jama.2025.11178::C033",'C_jama.2025.11178'!$A$2:$A$38,0)))</x:f>
      </x:c>
    </x:row>
    <x:row r="51" ht="65" customHeight="1">
      <x:c r="A51" s="3" t="n">
        <x:v>2025</x:v>
      </x:c>
      <x:c r="B51" s="3" t="str">
        <x:v>jama.2025.11178</x:v>
      </x:c>
      <x:c r="C51" s="3" t="str">
        <x:v>2025::jama.2025.11178::C034</x:v>
      </x:c>
      <x:c r="D51" s="3" t="str">
        <x:v>S_C</x:v>
      </x:c>
      <x:c r="E51" s="3" t="n">
        <x:f>Setup!$B$2</x:f>
        <x:v>0</x:v>
      </x:c>
      <x:c r="F51" s="3" t="str">
        <x:f>IF(Setup!$B$4="","",Setup!$B$4)</x:f>
      </x:c>
      <x:c r="G51" s="3" t="str">
        <x:f>IFERROR(INDEX('C_jama.2025.11178'!$G$2:$G$38,MATCH("2025::jama.2025.11178::C034",'C_jama.2025.11178'!$A$2:$A$38,0)),"CHECK KEY")</x:f>
        <x:v>CHECK REVIEWER IDs</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report_internal_inconsistency</x:v>
      </x:c>
      <x:c r="K51" s="3" t="str">
        <x:f>IF(Setup!$B$6="primary","",IFERROR(IF(INDEX('Primary_snapshot'!$B$2:$B$132,MATCH(C51,'Primary_snapshot'!$A$2:$A$132,0))="","",INDEX('Primary_snapshot'!$B$2:$B$132,MATCH(C51,'Primary_snapshot'!$A$2:$A$132,0))),"SNAPSHOT MISSING"))</x:f>
      </x:c>
      <x:c r="L51" s="3" t="str">
        <x:f>IF(Setup!$B$6="primary","",IFERROR(IF(INDEX('Primary_snapshot'!$C$2:$C$132,MATCH(C51,'Primary_snapshot'!$A$2:$A$132,0))="","",INDEX('Primary_snapshot'!$C$2:$C$132,MATCH(C51,'Primary_snapshot'!$A$2:$A$132,0))),"SNAPSHOT MISSING"))</x:f>
      </x:c>
      <x:c r="M51" s="3" t="str">
        <x:f>IF(Setup!$B$6="primary","",IFERROR(IF(INDEX('Primary_snapshot'!$D$2:$D$132,MATCH(C51,'Primary_snapshot'!$A$2:$A$132,0))="","",INDEX('Primary_snapshot'!$D$2:$D$132,MATCH(C51,'Primary_snapshot'!$A$2:$A$132,0))),"SNAPSHOT MISSING"))</x:f>
      </x:c>
      <x:c r="N51" s="3" t="str">
        <x:f>IF(Setup!$B$6="primary","",IFERROR(IF(INDEX('Primary_snapshot'!$E$2:$E$132,MATCH(C51,'Primary_snapshot'!$A$2:$A$132,0))="","",INDEX('Primary_snapshot'!$E$2:$E$132,MATCH(C51,'Primary_snapshot'!$A$2:$A$132,0))),"SNAPSHOT MISSING"))</x:f>
      </x:c>
      <x:c r="O51" s="3" t="str">
        <x:f>IF(Setup!$B$6="primary","",IFERROR(IF(INDEX('Primary_snapshot'!$F$2:$F$132,MATCH(C51,'Primary_snapshot'!$A$2:$A$132,0))="","",INDEX('Primary_snapshot'!$F$2:$F$132,MATCH(C51,'Primary_snapshot'!$A$2:$A$132,0))),"SNAPSHOT MISSING"))</x:f>
      </x:c>
      <x:c r="P51" s="3" t="str">
        <x:f>IF(Setup!$B$6="primary","",IFERROR(IF(INDEX('Primary_snapshot'!$G$2:$G$132,MATCH(C51,'Primary_snapshot'!$A$2:$A$132,0))="","",INDEX('Primary_snapshot'!$G$2:$G$132,MATCH(C51,'Primary_snapshot'!$A$2:$A$132,0))),"SNAPSHOT MISSING"))</x:f>
      </x:c>
      <x:c r="Q51" s="3" t="str">
        <x:f>IF(Setup!$B$6="primary","",IFERROR(IF(INDEX('Primary_snapshot'!$H$2:$H$132,MATCH(C51,'Primary_snapshot'!$A$2:$A$132,0))="","",INDEX('Primary_snapshot'!$H$2:$H$132,MATCH(C51,'Primary_snapshot'!$A$2:$A$132,0))),"SNAPSHOT MISSING"))</x:f>
      </x:c>
      <x:c r="R51" s="3" t="str">
        <x:f>IF(Setup!$B$6="primary","",IFERROR(IF(INDEX('Primary_snapshot'!$I$2:$I$132,MATCH(C51,'Primary_snapshot'!$A$2:$A$132,0))="","",INDEX('Primary_snapshot'!$I$2:$I$132,MATCH(C51,'Primary_snapshot'!$A$2:$A$132,0))),"SNAPSHOT MISSING"))</x:f>
      </x:c>
      <x:c r="S51" s="3" t="str">
        <x:f>IF(INDEX('C_jama.2025.11178'!$D$2:$D$38,MATCH("2025::jama.2025.11178::C034",'C_jama.2025.11178'!$A$2:$A$38,0))="","",INDEX('C_jama.2025.11178'!$D$2:$D$38,MATCH("2025::jama.2025.11178::C034",'C_jama.2025.11178'!$A$2:$A$38,0)))</x:f>
      </x:c>
      <x:c r="T51" s="3" t="str">
        <x:f>IF(INDEX('C_jama.2025.11178'!$E$2:$E$38,MATCH("2025::jama.2025.11178::C034",'C_jama.2025.11178'!$A$2:$A$38,0))="","",INDEX('C_jama.2025.11178'!$E$2:$E$38,MATCH("2025::jama.2025.11178::C034",'C_jama.2025.11178'!$A$2:$A$38,0)))</x:f>
        <x:v>report_internal_inconsistency</x:v>
      </x:c>
      <x:c r="U51" s="3" t="str">
        <x:f>IF(AND(INDEX('C_jama.2025.11178'!$D$2:$D$38,MATCH("2025::jama.2025.11178::C034",'C_jama.2025.11178'!$A$2:$A$38,0))="retain",INDEX('C_jama.2025.11178'!$E$2:$E$38,MATCH("2025::jama.2025.11178::C034",'C_jama.2025.11178'!$A$2:$A$38,0))="statistical_results"),IF(INDEX('C_jama.2025.11178'!$H$2:$H$38,MATCH("2025::jama.2025.11178::C034",'C_jama.2025.11178'!$A$2:$A$38,0))="","",INDEX('C_jama.2025.11178'!$H$2:$H$38,MATCH("2025::jama.2025.11178::C034",'C_jama.2025.11178'!$A$2:$A$38,0))),"not_applicable")</x:f>
        <x:v>not_applicable</x:v>
      </x:c>
      <x:c r="V51" s="3" t="str">
        <x:f>IF(AND(INDEX('C_jama.2025.11178'!$D$2:$D$38,MATCH("2025::jama.2025.11178::C034",'C_jama.2025.11178'!$A$2:$A$38,0))="retain",INDEX('C_jama.2025.11178'!$E$2:$E$38,MATCH("2025::jama.2025.11178::C034",'C_jama.2025.11178'!$A$2:$A$38,0))="statistical_results"),IF(INDEX('C_jama.2025.11178'!$I$2:$I$38,MATCH("2025::jama.2025.11178::C034",'C_jama.2025.11178'!$A$2:$A$38,0))="","",INDEX('C_jama.2025.11178'!$I$2:$I$38,MATCH("2025::jama.2025.11178::C034",'C_jama.2025.11178'!$A$2:$A$38,0))),"not_applicable")</x:f>
        <x:v>not_applicable</x:v>
      </x:c>
      <x:c r="W51" s="3" t="str">
        <x:f>IF(AND(INDEX('C_jama.2025.11178'!$D$2:$D$38,MATCH("2025::jama.2025.11178::C034",'C_jama.2025.11178'!$A$2:$A$38,0))="retain",INDEX('C_jama.2025.11178'!$E$2:$E$38,MATCH("2025::jama.2025.11178::C034",'C_jama.2025.11178'!$A$2:$A$38,0))="statistical_results"),IF(INDEX('C_jama.2025.11178'!$J$2:$J$38,MATCH("2025::jama.2025.11178::C034",'C_jama.2025.11178'!$A$2:$A$38,0))="","",INDEX('C_jama.2025.11178'!$J$2:$J$38,MATCH("2025::jama.2025.11178::C034",'C_jama.2025.11178'!$A$2:$A$38,0))),"not_applicable")</x:f>
        <x:v>not_applicable</x:v>
      </x:c>
      <x:c r="X51" s="3" t="str">
        <x:f>IF(AND(INDEX('C_jama.2025.11178'!$D$2:$D$38,MATCH("2025::jama.2025.11178::C034",'C_jama.2025.11178'!$A$2:$A$38,0))="retain",OR(INDEX('C_jama.2025.11178'!$E$2:$E$38,MATCH("2025::jama.2025.11178::C034",'C_jama.2025.11178'!$A$2:$A$38,0))="report_internal_inconsistency",INDEX('C_jama.2025.11178'!$E$2:$E$38,MATCH("2025::jama.2025.11178::C034",'C_jama.2025.11178'!$A$2:$A$38,0))="plan_material")),IF(INDEX('C_jama.2025.11178'!$K$2:$K$38,MATCH("2025::jama.2025.11178::C034",'C_jama.2025.11178'!$A$2:$A$38,0))="","",INDEX('C_jama.2025.11178'!$K$2:$K$38,MATCH("2025::jama.2025.11178::C034",'C_jama.2025.11178'!$A$2:$A$38,0))),"not_applicable")</x:f>
        <x:v>not_applicable</x:v>
      </x:c>
      <x:c r="Y51" s="3" t="str">
        <x:f>IF(AND(INDEX('C_jama.2025.11178'!$D$2:$D$38,MATCH("2025::jama.2025.11178::C034",'C_jama.2025.11178'!$A$2:$A$38,0))="retain",INDEX('C_jama.2025.11178'!$E$2:$E$38,MATCH("2025::jama.2025.11178::C034",'C_jama.2025.11178'!$A$2:$A$38,0))="protocol_report"),IF(INDEX('C_jama.2025.11178'!$L$2:$L$38,MATCH("2025::jama.2025.11178::C034",'C_jama.2025.11178'!$A$2:$A$38,0))="","",INDEX('C_jama.2025.11178'!$L$2:$L$38,MATCH("2025::jama.2025.11178::C034",'C_jama.2025.11178'!$A$2:$A$38,0))),"not_applicable")</x:f>
        <x:v>not_applicable</x:v>
      </x:c>
      <x:c r="Z51" s="3" t="str">
        <x:f>IF(INDEX('C_jama.2025.11178'!$R$2:$R$38,MATCH("2025::jama.2025.11178::C034",'C_jama.2025.11178'!$A$2:$A$38,0))="","",INDEX('C_jama.2025.11178'!$R$2:$R$38,MATCH("2025::jama.2025.11178::C034",'C_jama.2025.11178'!$A$2:$A$38,0)))</x:f>
      </x:c>
      <x:c r="AA51" s="3" t="str">
        <x:f>IF(INDEX('C_jama.2025.11178'!$N$2:$N$38,MATCH("2025::jama.2025.11178::C034",'C_jama.2025.11178'!$A$2:$A$38,0))="","",INDEX('C_jama.2025.11178'!$N$2:$N$38,MATCH("2025::jama.2025.11178::C034",'C_jama.2025.11178'!$A$2:$A$38,0)))</x:f>
      </x:c>
      <x:c r="AB51" s="3" t="str">
        <x:f>IF(INDEX('C_jama.2025.11178'!$O$2:$O$38,MATCH("2025::jama.2025.11178::C034",'C_jama.2025.11178'!$A$2:$A$38,0))="","",INDEX('C_jama.2025.11178'!$O$2:$O$38,MATCH("2025::jama.2025.11178::C034",'C_jama.2025.11178'!$A$2:$A$38,0)))</x:f>
      </x:c>
      <x:c r="AC51" s="3" t="str">
        <x:f>IF(INDEX('C_jama.2025.11178'!$P$2:$P$38,MATCH("2025::jama.2025.11178::C034",'C_jama.2025.11178'!$A$2:$A$38,0))="","",INDEX('C_jama.2025.11178'!$P$2:$P$38,MATCH("2025::jama.2025.11178::C034",'C_jama.2025.11178'!$A$2:$A$38,0)))</x:f>
      </x:c>
      <x:c r="AD51" s="3" t="str">
        <x:f>IF(INDEX('C_jama.2025.11178'!$Q$2:$Q$38,MATCH("2025::jama.2025.11178::C034",'C_jama.2025.11178'!$A$2:$A$38,0))="","",INDEX('C_jama.2025.11178'!$Q$2:$Q$38,MATCH("2025::jama.2025.11178::C034",'C_jama.2025.11178'!$A$2:$A$38,0)))</x:f>
      </x:c>
    </x:row>
    <x:row r="52" ht="65" customHeight="1">
      <x:c r="A52" s="6" t="n">
        <x:v>2025</x:v>
      </x:c>
      <x:c r="B52" s="6" t="str">
        <x:v>jama.2025.11178</x:v>
      </x:c>
      <x:c r="C52" s="6" t="str">
        <x:v>2025::jama.2025.11178::C035</x:v>
      </x:c>
      <x:c r="D52" s="6" t="str">
        <x:v>S_C</x:v>
      </x:c>
      <x:c r="E52" s="6" t="n">
        <x:f>Setup!$B$2</x:f>
        <x:v>0</x:v>
      </x:c>
      <x:c r="F52" s="6" t="str">
        <x:f>IF(Setup!$B$4="","",Setup!$B$4)</x:f>
      </x:c>
      <x:c r="G52" s="6" t="str">
        <x:f>IFERROR(INDEX('C_jama.2025.11178'!$G$2:$G$38,MATCH("2025::jama.2025.11178::C035",'C_jama.2025.11178'!$A$2:$A$38,0)),"CHECK KEY")</x:f>
        <x:v>CHECK REVIEWER IDs</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report_internal_inconsistency</x:v>
      </x:c>
      <x:c r="K52" s="6" t="str">
        <x:f>IF(Setup!$B$6="primary","",IFERROR(IF(INDEX('Primary_snapshot'!$B$2:$B$132,MATCH(C52,'Primary_snapshot'!$A$2:$A$132,0))="","",INDEX('Primary_snapshot'!$B$2:$B$132,MATCH(C52,'Primary_snapshot'!$A$2:$A$132,0))),"SNAPSHOT MISSING"))</x:f>
      </x:c>
      <x:c r="L52" s="6" t="str">
        <x:f>IF(Setup!$B$6="primary","",IFERROR(IF(INDEX('Primary_snapshot'!$C$2:$C$132,MATCH(C52,'Primary_snapshot'!$A$2:$A$132,0))="","",INDEX('Primary_snapshot'!$C$2:$C$132,MATCH(C52,'Primary_snapshot'!$A$2:$A$132,0))),"SNAPSHOT MISSING"))</x:f>
      </x:c>
      <x:c r="M52" s="6" t="str">
        <x:f>IF(Setup!$B$6="primary","",IFERROR(IF(INDEX('Primary_snapshot'!$D$2:$D$132,MATCH(C52,'Primary_snapshot'!$A$2:$A$132,0))="","",INDEX('Primary_snapshot'!$D$2:$D$132,MATCH(C52,'Primary_snapshot'!$A$2:$A$132,0))),"SNAPSHOT MISSING"))</x:f>
      </x:c>
      <x:c r="N52" s="6" t="str">
        <x:f>IF(Setup!$B$6="primary","",IFERROR(IF(INDEX('Primary_snapshot'!$E$2:$E$132,MATCH(C52,'Primary_snapshot'!$A$2:$A$132,0))="","",INDEX('Primary_snapshot'!$E$2:$E$132,MATCH(C52,'Primary_snapshot'!$A$2:$A$132,0))),"SNAPSHOT MISSING"))</x:f>
      </x:c>
      <x:c r="O52" s="6" t="str">
        <x:f>IF(Setup!$B$6="primary","",IFERROR(IF(INDEX('Primary_snapshot'!$F$2:$F$132,MATCH(C52,'Primary_snapshot'!$A$2:$A$132,0))="","",INDEX('Primary_snapshot'!$F$2:$F$132,MATCH(C52,'Primary_snapshot'!$A$2:$A$132,0))),"SNAPSHOT MISSING"))</x:f>
      </x:c>
      <x:c r="P52" s="6" t="str">
        <x:f>IF(Setup!$B$6="primary","",IFERROR(IF(INDEX('Primary_snapshot'!$G$2:$G$132,MATCH(C52,'Primary_snapshot'!$A$2:$A$132,0))="","",INDEX('Primary_snapshot'!$G$2:$G$132,MATCH(C52,'Primary_snapshot'!$A$2:$A$132,0))),"SNAPSHOT MISSING"))</x:f>
      </x:c>
      <x:c r="Q52" s="6" t="str">
        <x:f>IF(Setup!$B$6="primary","",IFERROR(IF(INDEX('Primary_snapshot'!$H$2:$H$132,MATCH(C52,'Primary_snapshot'!$A$2:$A$132,0))="","",INDEX('Primary_snapshot'!$H$2:$H$132,MATCH(C52,'Primary_snapshot'!$A$2:$A$132,0))),"SNAPSHOT MISSING"))</x:f>
      </x:c>
      <x:c r="R52" s="6" t="str">
        <x:f>IF(Setup!$B$6="primary","",IFERROR(IF(INDEX('Primary_snapshot'!$I$2:$I$132,MATCH(C52,'Primary_snapshot'!$A$2:$A$132,0))="","",INDEX('Primary_snapshot'!$I$2:$I$132,MATCH(C52,'Primary_snapshot'!$A$2:$A$132,0))),"SNAPSHOT MISSING"))</x:f>
      </x:c>
      <x:c r="S52" s="6" t="str">
        <x:f>IF(INDEX('C_jama.2025.11178'!$D$2:$D$38,MATCH("2025::jama.2025.11178::C035",'C_jama.2025.11178'!$A$2:$A$38,0))="","",INDEX('C_jama.2025.11178'!$D$2:$D$38,MATCH("2025::jama.2025.11178::C035",'C_jama.2025.11178'!$A$2:$A$38,0)))</x:f>
      </x:c>
      <x:c r="T52" s="6" t="str">
        <x:f>IF(INDEX('C_jama.2025.11178'!$E$2:$E$38,MATCH("2025::jama.2025.11178::C035",'C_jama.2025.11178'!$A$2:$A$38,0))="","",INDEX('C_jama.2025.11178'!$E$2:$E$38,MATCH("2025::jama.2025.11178::C035",'C_jama.2025.11178'!$A$2:$A$38,0)))</x:f>
        <x:v>report_internal_inconsistency</x:v>
      </x:c>
      <x:c r="U52" s="6" t="str">
        <x:f>IF(AND(INDEX('C_jama.2025.11178'!$D$2:$D$38,MATCH("2025::jama.2025.11178::C035",'C_jama.2025.11178'!$A$2:$A$38,0))="retain",INDEX('C_jama.2025.11178'!$E$2:$E$38,MATCH("2025::jama.2025.11178::C035",'C_jama.2025.11178'!$A$2:$A$38,0))="statistical_results"),IF(INDEX('C_jama.2025.11178'!$H$2:$H$38,MATCH("2025::jama.2025.11178::C035",'C_jama.2025.11178'!$A$2:$A$38,0))="","",INDEX('C_jama.2025.11178'!$H$2:$H$38,MATCH("2025::jama.2025.11178::C035",'C_jama.2025.11178'!$A$2:$A$38,0))),"not_applicable")</x:f>
        <x:v>not_applicable</x:v>
      </x:c>
      <x:c r="V52" s="6" t="str">
        <x:f>IF(AND(INDEX('C_jama.2025.11178'!$D$2:$D$38,MATCH("2025::jama.2025.11178::C035",'C_jama.2025.11178'!$A$2:$A$38,0))="retain",INDEX('C_jama.2025.11178'!$E$2:$E$38,MATCH("2025::jama.2025.11178::C035",'C_jama.2025.11178'!$A$2:$A$38,0))="statistical_results"),IF(INDEX('C_jama.2025.11178'!$I$2:$I$38,MATCH("2025::jama.2025.11178::C035",'C_jama.2025.11178'!$A$2:$A$38,0))="","",INDEX('C_jama.2025.11178'!$I$2:$I$38,MATCH("2025::jama.2025.11178::C035",'C_jama.2025.11178'!$A$2:$A$38,0))),"not_applicable")</x:f>
        <x:v>not_applicable</x:v>
      </x:c>
      <x:c r="W52" s="6" t="str">
        <x:f>IF(AND(INDEX('C_jama.2025.11178'!$D$2:$D$38,MATCH("2025::jama.2025.11178::C035",'C_jama.2025.11178'!$A$2:$A$38,0))="retain",INDEX('C_jama.2025.11178'!$E$2:$E$38,MATCH("2025::jama.2025.11178::C035",'C_jama.2025.11178'!$A$2:$A$38,0))="statistical_results"),IF(INDEX('C_jama.2025.11178'!$J$2:$J$38,MATCH("2025::jama.2025.11178::C035",'C_jama.2025.11178'!$A$2:$A$38,0))="","",INDEX('C_jama.2025.11178'!$J$2:$J$38,MATCH("2025::jama.2025.11178::C035",'C_jama.2025.11178'!$A$2:$A$38,0))),"not_applicable")</x:f>
        <x:v>not_applicable</x:v>
      </x:c>
      <x:c r="X52" s="6" t="str">
        <x:f>IF(AND(INDEX('C_jama.2025.11178'!$D$2:$D$38,MATCH("2025::jama.2025.11178::C035",'C_jama.2025.11178'!$A$2:$A$38,0))="retain",OR(INDEX('C_jama.2025.11178'!$E$2:$E$38,MATCH("2025::jama.2025.11178::C035",'C_jama.2025.11178'!$A$2:$A$38,0))="report_internal_inconsistency",INDEX('C_jama.2025.11178'!$E$2:$E$38,MATCH("2025::jama.2025.11178::C035",'C_jama.2025.11178'!$A$2:$A$38,0))="plan_material")),IF(INDEX('C_jama.2025.11178'!$K$2:$K$38,MATCH("2025::jama.2025.11178::C035",'C_jama.2025.11178'!$A$2:$A$38,0))="","",INDEX('C_jama.2025.11178'!$K$2:$K$38,MATCH("2025::jama.2025.11178::C035",'C_jama.2025.11178'!$A$2:$A$38,0))),"not_applicable")</x:f>
        <x:v>not_applicable</x:v>
      </x:c>
      <x:c r="Y52" s="6" t="str">
        <x:f>IF(AND(INDEX('C_jama.2025.11178'!$D$2:$D$38,MATCH("2025::jama.2025.11178::C035",'C_jama.2025.11178'!$A$2:$A$38,0))="retain",INDEX('C_jama.2025.11178'!$E$2:$E$38,MATCH("2025::jama.2025.11178::C035",'C_jama.2025.11178'!$A$2:$A$38,0))="protocol_report"),IF(INDEX('C_jama.2025.11178'!$L$2:$L$38,MATCH("2025::jama.2025.11178::C035",'C_jama.2025.11178'!$A$2:$A$38,0))="","",INDEX('C_jama.2025.11178'!$L$2:$L$38,MATCH("2025::jama.2025.11178::C035",'C_jama.2025.11178'!$A$2:$A$38,0))),"not_applicable")</x:f>
        <x:v>not_applicable</x:v>
      </x:c>
      <x:c r="Z52" s="6" t="str">
        <x:f>IF(INDEX('C_jama.2025.11178'!$R$2:$R$38,MATCH("2025::jama.2025.11178::C035",'C_jama.2025.11178'!$A$2:$A$38,0))="","",INDEX('C_jama.2025.11178'!$R$2:$R$38,MATCH("2025::jama.2025.11178::C035",'C_jama.2025.11178'!$A$2:$A$38,0)))</x:f>
      </x:c>
      <x:c r="AA52" s="6" t="str">
        <x:f>IF(INDEX('C_jama.2025.11178'!$N$2:$N$38,MATCH("2025::jama.2025.11178::C035",'C_jama.2025.11178'!$A$2:$A$38,0))="","",INDEX('C_jama.2025.11178'!$N$2:$N$38,MATCH("2025::jama.2025.11178::C035",'C_jama.2025.11178'!$A$2:$A$38,0)))</x:f>
      </x:c>
      <x:c r="AB52" s="6" t="str">
        <x:f>IF(INDEX('C_jama.2025.11178'!$O$2:$O$38,MATCH("2025::jama.2025.11178::C035",'C_jama.2025.11178'!$A$2:$A$38,0))="","",INDEX('C_jama.2025.11178'!$O$2:$O$38,MATCH("2025::jama.2025.11178::C035",'C_jama.2025.11178'!$A$2:$A$38,0)))</x:f>
      </x:c>
      <x:c r="AC52" s="6" t="str">
        <x:f>IF(INDEX('C_jama.2025.11178'!$P$2:$P$38,MATCH("2025::jama.2025.11178::C035",'C_jama.2025.11178'!$A$2:$A$38,0))="","",INDEX('C_jama.2025.11178'!$P$2:$P$38,MATCH("2025::jama.2025.11178::C035",'C_jama.2025.11178'!$A$2:$A$38,0)))</x:f>
      </x:c>
      <x:c r="AD52" s="6" t="str">
        <x:f>IF(INDEX('C_jama.2025.11178'!$Q$2:$Q$38,MATCH("2025::jama.2025.11178::C035",'C_jama.2025.11178'!$A$2:$A$38,0))="","",INDEX('C_jama.2025.11178'!$Q$2:$Q$38,MATCH("2025::jama.2025.11178::C035",'C_jama.2025.11178'!$A$2:$A$38,0)))</x:f>
      </x:c>
    </x:row>
    <x:row r="53" ht="65" customHeight="1">
      <x:c r="A53" s="3" t="n">
        <x:v>2025</x:v>
      </x:c>
      <x:c r="B53" s="3" t="str">
        <x:v>jama.2025.11178</x:v>
      </x:c>
      <x:c r="C53" s="3" t="str">
        <x:v>2025::jama.2025.11178::C036</x:v>
      </x:c>
      <x:c r="D53" s="3" t="str">
        <x:v>S_W</x:v>
      </x:c>
      <x:c r="E53" s="3" t="n">
        <x:f>Setup!$B$2</x:f>
        <x:v>0</x:v>
      </x:c>
      <x:c r="F53" s="3" t="str">
        <x:f>IF(Setup!$B$4="","",Setup!$B$4)</x:f>
      </x:c>
      <x:c r="G53" s="3" t="str">
        <x:f>IFERROR(INDEX('C_jama.2025.11178'!$G$2:$G$38,MATCH("2025::jama.2025.11178::C036",'C_jama.2025.11178'!$A$2:$A$38,0)),"CHECK KEY")</x:f>
        <x:v>CHECK REVIEWER IDs</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report_internal_inconsistency</x:v>
      </x:c>
      <x:c r="K53" s="3" t="str">
        <x:f>IF(Setup!$B$6="primary","",IFERROR(IF(INDEX('Primary_snapshot'!$B$2:$B$132,MATCH(C53,'Primary_snapshot'!$A$2:$A$132,0))="","",INDEX('Primary_snapshot'!$B$2:$B$132,MATCH(C53,'Primary_snapshot'!$A$2:$A$132,0))),"SNAPSHOT MISSING"))</x:f>
      </x:c>
      <x:c r="L53" s="3" t="str">
        <x:f>IF(Setup!$B$6="primary","",IFERROR(IF(INDEX('Primary_snapshot'!$C$2:$C$132,MATCH(C53,'Primary_snapshot'!$A$2:$A$132,0))="","",INDEX('Primary_snapshot'!$C$2:$C$132,MATCH(C53,'Primary_snapshot'!$A$2:$A$132,0))),"SNAPSHOT MISSING"))</x:f>
      </x:c>
      <x:c r="M53" s="3" t="str">
        <x:f>IF(Setup!$B$6="primary","",IFERROR(IF(INDEX('Primary_snapshot'!$D$2:$D$132,MATCH(C53,'Primary_snapshot'!$A$2:$A$132,0))="","",INDEX('Primary_snapshot'!$D$2:$D$132,MATCH(C53,'Primary_snapshot'!$A$2:$A$132,0))),"SNAPSHOT MISSING"))</x:f>
      </x:c>
      <x:c r="N53" s="3" t="str">
        <x:f>IF(Setup!$B$6="primary","",IFERROR(IF(INDEX('Primary_snapshot'!$E$2:$E$132,MATCH(C53,'Primary_snapshot'!$A$2:$A$132,0))="","",INDEX('Primary_snapshot'!$E$2:$E$132,MATCH(C53,'Primary_snapshot'!$A$2:$A$132,0))),"SNAPSHOT MISSING"))</x:f>
      </x:c>
      <x:c r="O53" s="3" t="str">
        <x:f>IF(Setup!$B$6="primary","",IFERROR(IF(INDEX('Primary_snapshot'!$F$2:$F$132,MATCH(C53,'Primary_snapshot'!$A$2:$A$132,0))="","",INDEX('Primary_snapshot'!$F$2:$F$132,MATCH(C53,'Primary_snapshot'!$A$2:$A$132,0))),"SNAPSHOT MISSING"))</x:f>
      </x:c>
      <x:c r="P53" s="3" t="str">
        <x:f>IF(Setup!$B$6="primary","",IFERROR(IF(INDEX('Primary_snapshot'!$G$2:$G$132,MATCH(C53,'Primary_snapshot'!$A$2:$A$132,0))="","",INDEX('Primary_snapshot'!$G$2:$G$132,MATCH(C53,'Primary_snapshot'!$A$2:$A$132,0))),"SNAPSHOT MISSING"))</x:f>
      </x:c>
      <x:c r="Q53" s="3" t="str">
        <x:f>IF(Setup!$B$6="primary","",IFERROR(IF(INDEX('Primary_snapshot'!$H$2:$H$132,MATCH(C53,'Primary_snapshot'!$A$2:$A$132,0))="","",INDEX('Primary_snapshot'!$H$2:$H$132,MATCH(C53,'Primary_snapshot'!$A$2:$A$132,0))),"SNAPSHOT MISSING"))</x:f>
      </x:c>
      <x:c r="R53" s="3" t="str">
        <x:f>IF(Setup!$B$6="primary","",IFERROR(IF(INDEX('Primary_snapshot'!$I$2:$I$132,MATCH(C53,'Primary_snapshot'!$A$2:$A$132,0))="","",INDEX('Primary_snapshot'!$I$2:$I$132,MATCH(C53,'Primary_snapshot'!$A$2:$A$132,0))),"SNAPSHOT MISSING"))</x:f>
      </x:c>
      <x:c r="S53" s="3" t="str">
        <x:f>IF(INDEX('C_jama.2025.11178'!$D$2:$D$38,MATCH("2025::jama.2025.11178::C036",'C_jama.2025.11178'!$A$2:$A$38,0))="","",INDEX('C_jama.2025.11178'!$D$2:$D$38,MATCH("2025::jama.2025.11178::C036",'C_jama.2025.11178'!$A$2:$A$38,0)))</x:f>
      </x:c>
      <x:c r="T53" s="3" t="str">
        <x:f>IF(INDEX('C_jama.2025.11178'!$E$2:$E$38,MATCH("2025::jama.2025.11178::C036",'C_jama.2025.11178'!$A$2:$A$38,0))="","",INDEX('C_jama.2025.11178'!$E$2:$E$38,MATCH("2025::jama.2025.11178::C036",'C_jama.2025.11178'!$A$2:$A$38,0)))</x:f>
        <x:v>report_internal_inconsistency</x:v>
      </x:c>
      <x:c r="U53" s="3" t="str">
        <x:f>IF(AND(INDEX('C_jama.2025.11178'!$D$2:$D$38,MATCH("2025::jama.2025.11178::C036",'C_jama.2025.11178'!$A$2:$A$38,0))="retain",INDEX('C_jama.2025.11178'!$E$2:$E$38,MATCH("2025::jama.2025.11178::C036",'C_jama.2025.11178'!$A$2:$A$38,0))="statistical_results"),IF(INDEX('C_jama.2025.11178'!$H$2:$H$38,MATCH("2025::jama.2025.11178::C036",'C_jama.2025.11178'!$A$2:$A$38,0))="","",INDEX('C_jama.2025.11178'!$H$2:$H$38,MATCH("2025::jama.2025.11178::C036",'C_jama.2025.11178'!$A$2:$A$38,0))),"not_applicable")</x:f>
        <x:v>not_applicable</x:v>
      </x:c>
      <x:c r="V53" s="3" t="str">
        <x:f>IF(AND(INDEX('C_jama.2025.11178'!$D$2:$D$38,MATCH("2025::jama.2025.11178::C036",'C_jama.2025.11178'!$A$2:$A$38,0))="retain",INDEX('C_jama.2025.11178'!$E$2:$E$38,MATCH("2025::jama.2025.11178::C036",'C_jama.2025.11178'!$A$2:$A$38,0))="statistical_results"),IF(INDEX('C_jama.2025.11178'!$I$2:$I$38,MATCH("2025::jama.2025.11178::C036",'C_jama.2025.11178'!$A$2:$A$38,0))="","",INDEX('C_jama.2025.11178'!$I$2:$I$38,MATCH("2025::jama.2025.11178::C036",'C_jama.2025.11178'!$A$2:$A$38,0))),"not_applicable")</x:f>
        <x:v>not_applicable</x:v>
      </x:c>
      <x:c r="W53" s="3" t="str">
        <x:f>IF(AND(INDEX('C_jama.2025.11178'!$D$2:$D$38,MATCH("2025::jama.2025.11178::C036",'C_jama.2025.11178'!$A$2:$A$38,0))="retain",INDEX('C_jama.2025.11178'!$E$2:$E$38,MATCH("2025::jama.2025.11178::C036",'C_jama.2025.11178'!$A$2:$A$38,0))="statistical_results"),IF(INDEX('C_jama.2025.11178'!$J$2:$J$38,MATCH("2025::jama.2025.11178::C036",'C_jama.2025.11178'!$A$2:$A$38,0))="","",INDEX('C_jama.2025.11178'!$J$2:$J$38,MATCH("2025::jama.2025.11178::C036",'C_jama.2025.11178'!$A$2:$A$38,0))),"not_applicable")</x:f>
        <x:v>not_applicable</x:v>
      </x:c>
      <x:c r="X53" s="3" t="str">
        <x:f>IF(AND(INDEX('C_jama.2025.11178'!$D$2:$D$38,MATCH("2025::jama.2025.11178::C036",'C_jama.2025.11178'!$A$2:$A$38,0))="retain",OR(INDEX('C_jama.2025.11178'!$E$2:$E$38,MATCH("2025::jama.2025.11178::C036",'C_jama.2025.11178'!$A$2:$A$38,0))="report_internal_inconsistency",INDEX('C_jama.2025.11178'!$E$2:$E$38,MATCH("2025::jama.2025.11178::C036",'C_jama.2025.11178'!$A$2:$A$38,0))="plan_material")),IF(INDEX('C_jama.2025.11178'!$K$2:$K$38,MATCH("2025::jama.2025.11178::C036",'C_jama.2025.11178'!$A$2:$A$38,0))="","",INDEX('C_jama.2025.11178'!$K$2:$K$38,MATCH("2025::jama.2025.11178::C036",'C_jama.2025.11178'!$A$2:$A$38,0))),"not_applicable")</x:f>
        <x:v>not_applicable</x:v>
      </x:c>
      <x:c r="Y53" s="3" t="str">
        <x:f>IF(AND(INDEX('C_jama.2025.11178'!$D$2:$D$38,MATCH("2025::jama.2025.11178::C036",'C_jama.2025.11178'!$A$2:$A$38,0))="retain",INDEX('C_jama.2025.11178'!$E$2:$E$38,MATCH("2025::jama.2025.11178::C036",'C_jama.2025.11178'!$A$2:$A$38,0))="protocol_report"),IF(INDEX('C_jama.2025.11178'!$L$2:$L$38,MATCH("2025::jama.2025.11178::C036",'C_jama.2025.11178'!$A$2:$A$38,0))="","",INDEX('C_jama.2025.11178'!$L$2:$L$38,MATCH("2025::jama.2025.11178::C036",'C_jama.2025.11178'!$A$2:$A$38,0))),"not_applicable")</x:f>
        <x:v>not_applicable</x:v>
      </x:c>
      <x:c r="Z53" s="3" t="str">
        <x:f>IF(INDEX('C_jama.2025.11178'!$R$2:$R$38,MATCH("2025::jama.2025.11178::C036",'C_jama.2025.11178'!$A$2:$A$38,0))="","",INDEX('C_jama.2025.11178'!$R$2:$R$38,MATCH("2025::jama.2025.11178::C036",'C_jama.2025.11178'!$A$2:$A$38,0)))</x:f>
      </x:c>
      <x:c r="AA53" s="3" t="str">
        <x:f>IF(INDEX('C_jama.2025.11178'!$N$2:$N$38,MATCH("2025::jama.2025.11178::C036",'C_jama.2025.11178'!$A$2:$A$38,0))="","",INDEX('C_jama.2025.11178'!$N$2:$N$38,MATCH("2025::jama.2025.11178::C036",'C_jama.2025.11178'!$A$2:$A$38,0)))</x:f>
      </x:c>
      <x:c r="AB53" s="3" t="str">
        <x:f>IF(INDEX('C_jama.2025.11178'!$O$2:$O$38,MATCH("2025::jama.2025.11178::C036",'C_jama.2025.11178'!$A$2:$A$38,0))="","",INDEX('C_jama.2025.11178'!$O$2:$O$38,MATCH("2025::jama.2025.11178::C036",'C_jama.2025.11178'!$A$2:$A$38,0)))</x:f>
      </x:c>
      <x:c r="AC53" s="3" t="str">
        <x:f>IF(INDEX('C_jama.2025.11178'!$P$2:$P$38,MATCH("2025::jama.2025.11178::C036",'C_jama.2025.11178'!$A$2:$A$38,0))="","",INDEX('C_jama.2025.11178'!$P$2:$P$38,MATCH("2025::jama.2025.11178::C036",'C_jama.2025.11178'!$A$2:$A$38,0)))</x:f>
      </x:c>
      <x:c r="AD53" s="3" t="str">
        <x:f>IF(INDEX('C_jama.2025.11178'!$Q$2:$Q$38,MATCH("2025::jama.2025.11178::C036",'C_jama.2025.11178'!$A$2:$A$38,0))="","",INDEX('C_jama.2025.11178'!$Q$2:$Q$38,MATCH("2025::jama.2025.11178::C036",'C_jama.2025.11178'!$A$2:$A$38,0)))</x:f>
      </x:c>
    </x:row>
    <x:row r="54" ht="65" customHeight="1">
      <x:c r="A54" s="6" t="n">
        <x:v>2025</x:v>
      </x:c>
      <x:c r="B54" s="6" t="str">
        <x:v>jama.2025.11178</x:v>
      </x:c>
      <x:c r="C54" s="6" t="str">
        <x:v>2025::jama.2025.11178::C037</x:v>
      </x:c>
      <x:c r="D54" s="6" t="str">
        <x:v>S_W</x:v>
      </x:c>
      <x:c r="E54" s="6" t="n">
        <x:f>Setup!$B$2</x:f>
        <x:v>0</x:v>
      </x:c>
      <x:c r="F54" s="6" t="str">
        <x:f>IF(Setup!$B$4="","",Setup!$B$4)</x:f>
      </x:c>
      <x:c r="G54" s="6" t="str">
        <x:f>IFERROR(INDEX('C_jama.2025.11178'!$G$2:$G$38,MATCH("2025::jama.2025.11178::C037",'C_jama.2025.11178'!$A$2:$A$38,0)),"CHECK KEY")</x:f>
        <x:v>CHECK REVIEWER IDs</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report_internal_inconsistency</x:v>
      </x:c>
      <x:c r="K54" s="6" t="str">
        <x:f>IF(Setup!$B$6="primary","",IFERROR(IF(INDEX('Primary_snapshot'!$B$2:$B$132,MATCH(C54,'Primary_snapshot'!$A$2:$A$132,0))="","",INDEX('Primary_snapshot'!$B$2:$B$132,MATCH(C54,'Primary_snapshot'!$A$2:$A$132,0))),"SNAPSHOT MISSING"))</x:f>
      </x:c>
      <x:c r="L54" s="6" t="str">
        <x:f>IF(Setup!$B$6="primary","",IFERROR(IF(INDEX('Primary_snapshot'!$C$2:$C$132,MATCH(C54,'Primary_snapshot'!$A$2:$A$132,0))="","",INDEX('Primary_snapshot'!$C$2:$C$132,MATCH(C54,'Primary_snapshot'!$A$2:$A$132,0))),"SNAPSHOT MISSING"))</x:f>
      </x:c>
      <x:c r="M54" s="6" t="str">
        <x:f>IF(Setup!$B$6="primary","",IFERROR(IF(INDEX('Primary_snapshot'!$D$2:$D$132,MATCH(C54,'Primary_snapshot'!$A$2:$A$132,0))="","",INDEX('Primary_snapshot'!$D$2:$D$132,MATCH(C54,'Primary_snapshot'!$A$2:$A$132,0))),"SNAPSHOT MISSING"))</x:f>
      </x:c>
      <x:c r="N54" s="6" t="str">
        <x:f>IF(Setup!$B$6="primary","",IFERROR(IF(INDEX('Primary_snapshot'!$E$2:$E$132,MATCH(C54,'Primary_snapshot'!$A$2:$A$132,0))="","",INDEX('Primary_snapshot'!$E$2:$E$132,MATCH(C54,'Primary_snapshot'!$A$2:$A$132,0))),"SNAPSHOT MISSING"))</x:f>
      </x:c>
      <x:c r="O54" s="6" t="str">
        <x:f>IF(Setup!$B$6="primary","",IFERROR(IF(INDEX('Primary_snapshot'!$F$2:$F$132,MATCH(C54,'Primary_snapshot'!$A$2:$A$132,0))="","",INDEX('Primary_snapshot'!$F$2:$F$132,MATCH(C54,'Primary_snapshot'!$A$2:$A$132,0))),"SNAPSHOT MISSING"))</x:f>
      </x:c>
      <x:c r="P54" s="6" t="str">
        <x:f>IF(Setup!$B$6="primary","",IFERROR(IF(INDEX('Primary_snapshot'!$G$2:$G$132,MATCH(C54,'Primary_snapshot'!$A$2:$A$132,0))="","",INDEX('Primary_snapshot'!$G$2:$G$132,MATCH(C54,'Primary_snapshot'!$A$2:$A$132,0))),"SNAPSHOT MISSING"))</x:f>
      </x:c>
      <x:c r="Q54" s="6" t="str">
        <x:f>IF(Setup!$B$6="primary","",IFERROR(IF(INDEX('Primary_snapshot'!$H$2:$H$132,MATCH(C54,'Primary_snapshot'!$A$2:$A$132,0))="","",INDEX('Primary_snapshot'!$H$2:$H$132,MATCH(C54,'Primary_snapshot'!$A$2:$A$132,0))),"SNAPSHOT MISSING"))</x:f>
      </x:c>
      <x:c r="R54" s="6" t="str">
        <x:f>IF(Setup!$B$6="primary","",IFERROR(IF(INDEX('Primary_snapshot'!$I$2:$I$132,MATCH(C54,'Primary_snapshot'!$A$2:$A$132,0))="","",INDEX('Primary_snapshot'!$I$2:$I$132,MATCH(C54,'Primary_snapshot'!$A$2:$A$132,0))),"SNAPSHOT MISSING"))</x:f>
      </x:c>
      <x:c r="S54" s="6" t="str">
        <x:f>IF(INDEX('C_jama.2025.11178'!$D$2:$D$38,MATCH("2025::jama.2025.11178::C037",'C_jama.2025.11178'!$A$2:$A$38,0))="","",INDEX('C_jama.2025.11178'!$D$2:$D$38,MATCH("2025::jama.2025.11178::C037",'C_jama.2025.11178'!$A$2:$A$38,0)))</x:f>
      </x:c>
      <x:c r="T54" s="6" t="str">
        <x:f>IF(INDEX('C_jama.2025.11178'!$E$2:$E$38,MATCH("2025::jama.2025.11178::C037",'C_jama.2025.11178'!$A$2:$A$38,0))="","",INDEX('C_jama.2025.11178'!$E$2:$E$38,MATCH("2025::jama.2025.11178::C037",'C_jama.2025.11178'!$A$2:$A$38,0)))</x:f>
        <x:v>report_internal_inconsistency</x:v>
      </x:c>
      <x:c r="U54" s="6" t="str">
        <x:f>IF(AND(INDEX('C_jama.2025.11178'!$D$2:$D$38,MATCH("2025::jama.2025.11178::C037",'C_jama.2025.11178'!$A$2:$A$38,0))="retain",INDEX('C_jama.2025.11178'!$E$2:$E$38,MATCH("2025::jama.2025.11178::C037",'C_jama.2025.11178'!$A$2:$A$38,0))="statistical_results"),IF(INDEX('C_jama.2025.11178'!$H$2:$H$38,MATCH("2025::jama.2025.11178::C037",'C_jama.2025.11178'!$A$2:$A$38,0))="","",INDEX('C_jama.2025.11178'!$H$2:$H$38,MATCH("2025::jama.2025.11178::C037",'C_jama.2025.11178'!$A$2:$A$38,0))),"not_applicable")</x:f>
        <x:v>not_applicable</x:v>
      </x:c>
      <x:c r="V54" s="6" t="str">
        <x:f>IF(AND(INDEX('C_jama.2025.11178'!$D$2:$D$38,MATCH("2025::jama.2025.11178::C037",'C_jama.2025.11178'!$A$2:$A$38,0))="retain",INDEX('C_jama.2025.11178'!$E$2:$E$38,MATCH("2025::jama.2025.11178::C037",'C_jama.2025.11178'!$A$2:$A$38,0))="statistical_results"),IF(INDEX('C_jama.2025.11178'!$I$2:$I$38,MATCH("2025::jama.2025.11178::C037",'C_jama.2025.11178'!$A$2:$A$38,0))="","",INDEX('C_jama.2025.11178'!$I$2:$I$38,MATCH("2025::jama.2025.11178::C037",'C_jama.2025.11178'!$A$2:$A$38,0))),"not_applicable")</x:f>
        <x:v>not_applicable</x:v>
      </x:c>
      <x:c r="W54" s="6" t="str">
        <x:f>IF(AND(INDEX('C_jama.2025.11178'!$D$2:$D$38,MATCH("2025::jama.2025.11178::C037",'C_jama.2025.11178'!$A$2:$A$38,0))="retain",INDEX('C_jama.2025.11178'!$E$2:$E$38,MATCH("2025::jama.2025.11178::C037",'C_jama.2025.11178'!$A$2:$A$38,0))="statistical_results"),IF(INDEX('C_jama.2025.11178'!$J$2:$J$38,MATCH("2025::jama.2025.11178::C037",'C_jama.2025.11178'!$A$2:$A$38,0))="","",INDEX('C_jama.2025.11178'!$J$2:$J$38,MATCH("2025::jama.2025.11178::C037",'C_jama.2025.11178'!$A$2:$A$38,0))),"not_applicable")</x:f>
        <x:v>not_applicable</x:v>
      </x:c>
      <x:c r="X54" s="6" t="str">
        <x:f>IF(AND(INDEX('C_jama.2025.11178'!$D$2:$D$38,MATCH("2025::jama.2025.11178::C037",'C_jama.2025.11178'!$A$2:$A$38,0))="retain",OR(INDEX('C_jama.2025.11178'!$E$2:$E$38,MATCH("2025::jama.2025.11178::C037",'C_jama.2025.11178'!$A$2:$A$38,0))="report_internal_inconsistency",INDEX('C_jama.2025.11178'!$E$2:$E$38,MATCH("2025::jama.2025.11178::C037",'C_jama.2025.11178'!$A$2:$A$38,0))="plan_material")),IF(INDEX('C_jama.2025.11178'!$K$2:$K$38,MATCH("2025::jama.2025.11178::C037",'C_jama.2025.11178'!$A$2:$A$38,0))="","",INDEX('C_jama.2025.11178'!$K$2:$K$38,MATCH("2025::jama.2025.11178::C037",'C_jama.2025.11178'!$A$2:$A$38,0))),"not_applicable")</x:f>
        <x:v>not_applicable</x:v>
      </x:c>
      <x:c r="Y54" s="6" t="str">
        <x:f>IF(AND(INDEX('C_jama.2025.11178'!$D$2:$D$38,MATCH("2025::jama.2025.11178::C037",'C_jama.2025.11178'!$A$2:$A$38,0))="retain",INDEX('C_jama.2025.11178'!$E$2:$E$38,MATCH("2025::jama.2025.11178::C037",'C_jama.2025.11178'!$A$2:$A$38,0))="protocol_report"),IF(INDEX('C_jama.2025.11178'!$L$2:$L$38,MATCH("2025::jama.2025.11178::C037",'C_jama.2025.11178'!$A$2:$A$38,0))="","",INDEX('C_jama.2025.11178'!$L$2:$L$38,MATCH("2025::jama.2025.11178::C037",'C_jama.2025.11178'!$A$2:$A$38,0))),"not_applicable")</x:f>
        <x:v>not_applicable</x:v>
      </x:c>
      <x:c r="Z54" s="6" t="str">
        <x:f>IF(INDEX('C_jama.2025.11178'!$R$2:$R$38,MATCH("2025::jama.2025.11178::C037",'C_jama.2025.11178'!$A$2:$A$38,0))="","",INDEX('C_jama.2025.11178'!$R$2:$R$38,MATCH("2025::jama.2025.11178::C037",'C_jama.2025.11178'!$A$2:$A$38,0)))</x:f>
      </x:c>
      <x:c r="AA54" s="6" t="str">
        <x:f>IF(INDEX('C_jama.2025.11178'!$N$2:$N$38,MATCH("2025::jama.2025.11178::C037",'C_jama.2025.11178'!$A$2:$A$38,0))="","",INDEX('C_jama.2025.11178'!$N$2:$N$38,MATCH("2025::jama.2025.11178::C037",'C_jama.2025.11178'!$A$2:$A$38,0)))</x:f>
      </x:c>
      <x:c r="AB54" s="6" t="str">
        <x:f>IF(INDEX('C_jama.2025.11178'!$O$2:$O$38,MATCH("2025::jama.2025.11178::C037",'C_jama.2025.11178'!$A$2:$A$38,0))="","",INDEX('C_jama.2025.11178'!$O$2:$O$38,MATCH("2025::jama.2025.11178::C037",'C_jama.2025.11178'!$A$2:$A$38,0)))</x:f>
      </x:c>
      <x:c r="AC54" s="6" t="str">
        <x:f>IF(INDEX('C_jama.2025.11178'!$P$2:$P$38,MATCH("2025::jama.2025.11178::C037",'C_jama.2025.11178'!$A$2:$A$38,0))="","",INDEX('C_jama.2025.11178'!$P$2:$P$38,MATCH("2025::jama.2025.11178::C037",'C_jama.2025.11178'!$A$2:$A$38,0)))</x:f>
      </x:c>
      <x:c r="AD54" s="6" t="str">
        <x:f>IF(INDEX('C_jama.2025.11178'!$Q$2:$Q$38,MATCH("2025::jama.2025.11178::C037",'C_jama.2025.11178'!$A$2:$A$38,0))="","",INDEX('C_jama.2025.11178'!$Q$2:$Q$38,MATCH("2025::jama.2025.11178::C037",'C_jama.2025.11178'!$A$2:$A$38,0)))</x:f>
      </x:c>
    </x:row>
    <x:row r="55" ht="65" customHeight="1">
      <x:c r="A55" s="3" t="n">
        <x:v>2025</x:v>
      </x:c>
      <x:c r="B55" s="3" t="str">
        <x:v>jama.2025.15185</x:v>
      </x:c>
      <x:c r="C55" s="3" t="str">
        <x:v>2025::jama.2025.15185::C001</x:v>
      </x:c>
      <x:c r="D55" s="3" t="str">
        <x:v>S_C</x:v>
      </x:c>
      <x:c r="E55" s="3" t="n">
        <x:f>Setup!$B$2</x:f>
        <x:v>0</x:v>
      </x:c>
      <x:c r="F55" s="3" t="str">
        <x:f>IF(Setup!$B$4="","",Setup!$B$4)</x:f>
      </x:c>
      <x:c r="G55" s="3" t="str">
        <x:f>IFERROR(INDEX('C_jama.2025.15185'!$G$2:$G$13,MATCH("2025::jama.2025.15185::C001",'C_jama.2025.15185'!$A$2:$A$13,0)),"CHECK KEY")</x:f>
        <x:v>CHECK REVIEWER IDs</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report_internal_inconsistency</x:v>
      </x:c>
      <x:c r="K55" s="3" t="str">
        <x:f>IF(Setup!$B$6="primary","",IFERROR(IF(INDEX('Primary_snapshot'!$B$2:$B$132,MATCH(C55,'Primary_snapshot'!$A$2:$A$132,0))="","",INDEX('Primary_snapshot'!$B$2:$B$132,MATCH(C55,'Primary_snapshot'!$A$2:$A$132,0))),"SNAPSHOT MISSING"))</x:f>
      </x:c>
      <x:c r="L55" s="3" t="str">
        <x:f>IF(Setup!$B$6="primary","",IFERROR(IF(INDEX('Primary_snapshot'!$C$2:$C$132,MATCH(C55,'Primary_snapshot'!$A$2:$A$132,0))="","",INDEX('Primary_snapshot'!$C$2:$C$132,MATCH(C55,'Primary_snapshot'!$A$2:$A$132,0))),"SNAPSHOT MISSING"))</x:f>
      </x:c>
      <x:c r="M55" s="3" t="str">
        <x:f>IF(Setup!$B$6="primary","",IFERROR(IF(INDEX('Primary_snapshot'!$D$2:$D$132,MATCH(C55,'Primary_snapshot'!$A$2:$A$132,0))="","",INDEX('Primary_snapshot'!$D$2:$D$132,MATCH(C55,'Primary_snapshot'!$A$2:$A$132,0))),"SNAPSHOT MISSING"))</x:f>
      </x:c>
      <x:c r="N55" s="3" t="str">
        <x:f>IF(Setup!$B$6="primary","",IFERROR(IF(INDEX('Primary_snapshot'!$E$2:$E$132,MATCH(C55,'Primary_snapshot'!$A$2:$A$132,0))="","",INDEX('Primary_snapshot'!$E$2:$E$132,MATCH(C55,'Primary_snapshot'!$A$2:$A$132,0))),"SNAPSHOT MISSING"))</x:f>
      </x:c>
      <x:c r="O55" s="3" t="str">
        <x:f>IF(Setup!$B$6="primary","",IFERROR(IF(INDEX('Primary_snapshot'!$F$2:$F$132,MATCH(C55,'Primary_snapshot'!$A$2:$A$132,0))="","",INDEX('Primary_snapshot'!$F$2:$F$132,MATCH(C55,'Primary_snapshot'!$A$2:$A$132,0))),"SNAPSHOT MISSING"))</x:f>
      </x:c>
      <x:c r="P55" s="3" t="str">
        <x:f>IF(Setup!$B$6="primary","",IFERROR(IF(INDEX('Primary_snapshot'!$G$2:$G$132,MATCH(C55,'Primary_snapshot'!$A$2:$A$132,0))="","",INDEX('Primary_snapshot'!$G$2:$G$132,MATCH(C55,'Primary_snapshot'!$A$2:$A$132,0))),"SNAPSHOT MISSING"))</x:f>
      </x:c>
      <x:c r="Q55" s="3" t="str">
        <x:f>IF(Setup!$B$6="primary","",IFERROR(IF(INDEX('Primary_snapshot'!$H$2:$H$132,MATCH(C55,'Primary_snapshot'!$A$2:$A$132,0))="","",INDEX('Primary_snapshot'!$H$2:$H$132,MATCH(C55,'Primary_snapshot'!$A$2:$A$132,0))),"SNAPSHOT MISSING"))</x:f>
      </x:c>
      <x:c r="R55" s="3" t="str">
        <x:f>IF(Setup!$B$6="primary","",IFERROR(IF(INDEX('Primary_snapshot'!$I$2:$I$132,MATCH(C55,'Primary_snapshot'!$A$2:$A$132,0))="","",INDEX('Primary_snapshot'!$I$2:$I$132,MATCH(C55,'Primary_snapshot'!$A$2:$A$132,0))),"SNAPSHOT MISSING"))</x:f>
      </x:c>
      <x:c r="S55" s="3" t="str">
        <x:f>IF(INDEX('C_jama.2025.15185'!$D$2:$D$13,MATCH("2025::jama.2025.15185::C001",'C_jama.2025.15185'!$A$2:$A$13,0))="","",INDEX('C_jama.2025.15185'!$D$2:$D$13,MATCH("2025::jama.2025.15185::C001",'C_jama.2025.15185'!$A$2:$A$13,0)))</x:f>
      </x:c>
      <x:c r="T55" s="3" t="str">
        <x:f>IF(INDEX('C_jama.2025.15185'!$E$2:$E$13,MATCH("2025::jama.2025.15185::C001",'C_jama.2025.15185'!$A$2:$A$13,0))="","",INDEX('C_jama.2025.15185'!$E$2:$E$13,MATCH("2025::jama.2025.15185::C001",'C_jama.2025.15185'!$A$2:$A$13,0)))</x:f>
        <x:v>report_internal_inconsistency</x:v>
      </x:c>
      <x:c r="U55" s="3" t="str">
        <x:f>IF(AND(INDEX('C_jama.2025.15185'!$D$2:$D$13,MATCH("2025::jama.2025.15185::C001",'C_jama.2025.15185'!$A$2:$A$13,0))="retain",INDEX('C_jama.2025.15185'!$E$2:$E$13,MATCH("2025::jama.2025.15185::C001",'C_jama.2025.15185'!$A$2:$A$13,0))="statistical_results"),IF(INDEX('C_jama.2025.15185'!$H$2:$H$13,MATCH("2025::jama.2025.15185::C001",'C_jama.2025.15185'!$A$2:$A$13,0))="","",INDEX('C_jama.2025.15185'!$H$2:$H$13,MATCH("2025::jama.2025.15185::C001",'C_jama.2025.15185'!$A$2:$A$13,0))),"not_applicable")</x:f>
        <x:v>not_applicable</x:v>
      </x:c>
      <x:c r="V55" s="3" t="str">
        <x:f>IF(AND(INDEX('C_jama.2025.15185'!$D$2:$D$13,MATCH("2025::jama.2025.15185::C001",'C_jama.2025.15185'!$A$2:$A$13,0))="retain",INDEX('C_jama.2025.15185'!$E$2:$E$13,MATCH("2025::jama.2025.15185::C001",'C_jama.2025.15185'!$A$2:$A$13,0))="statistical_results"),IF(INDEX('C_jama.2025.15185'!$I$2:$I$13,MATCH("2025::jama.2025.15185::C001",'C_jama.2025.15185'!$A$2:$A$13,0))="","",INDEX('C_jama.2025.15185'!$I$2:$I$13,MATCH("2025::jama.2025.15185::C001",'C_jama.2025.15185'!$A$2:$A$13,0))),"not_applicable")</x:f>
        <x:v>not_applicable</x:v>
      </x:c>
      <x:c r="W55" s="3" t="str">
        <x:f>IF(AND(INDEX('C_jama.2025.15185'!$D$2:$D$13,MATCH("2025::jama.2025.15185::C001",'C_jama.2025.15185'!$A$2:$A$13,0))="retain",INDEX('C_jama.2025.15185'!$E$2:$E$13,MATCH("2025::jama.2025.15185::C001",'C_jama.2025.15185'!$A$2:$A$13,0))="statistical_results"),IF(INDEX('C_jama.2025.15185'!$J$2:$J$13,MATCH("2025::jama.2025.15185::C001",'C_jama.2025.15185'!$A$2:$A$13,0))="","",INDEX('C_jama.2025.15185'!$J$2:$J$13,MATCH("2025::jama.2025.15185::C001",'C_jama.2025.15185'!$A$2:$A$13,0))),"not_applicable")</x:f>
        <x:v>not_applicable</x:v>
      </x:c>
      <x:c r="X55" s="3" t="str">
        <x:f>IF(AND(INDEX('C_jama.2025.15185'!$D$2:$D$13,MATCH("2025::jama.2025.15185::C001",'C_jama.2025.15185'!$A$2:$A$13,0))="retain",OR(INDEX('C_jama.2025.15185'!$E$2:$E$13,MATCH("2025::jama.2025.15185::C001",'C_jama.2025.15185'!$A$2:$A$13,0))="report_internal_inconsistency",INDEX('C_jama.2025.15185'!$E$2:$E$13,MATCH("2025::jama.2025.15185::C001",'C_jama.2025.15185'!$A$2:$A$13,0))="plan_material")),IF(INDEX('C_jama.2025.15185'!$K$2:$K$13,MATCH("2025::jama.2025.15185::C001",'C_jama.2025.15185'!$A$2:$A$13,0))="","",INDEX('C_jama.2025.15185'!$K$2:$K$13,MATCH("2025::jama.2025.15185::C001",'C_jama.2025.15185'!$A$2:$A$13,0))),"not_applicable")</x:f>
        <x:v>not_applicable</x:v>
      </x:c>
      <x:c r="Y55" s="3" t="str">
        <x:f>IF(AND(INDEX('C_jama.2025.15185'!$D$2:$D$13,MATCH("2025::jama.2025.15185::C001",'C_jama.2025.15185'!$A$2:$A$13,0))="retain",INDEX('C_jama.2025.15185'!$E$2:$E$13,MATCH("2025::jama.2025.15185::C001",'C_jama.2025.15185'!$A$2:$A$13,0))="protocol_report"),IF(INDEX('C_jama.2025.15185'!$L$2:$L$13,MATCH("2025::jama.2025.15185::C001",'C_jama.2025.15185'!$A$2:$A$13,0))="","",INDEX('C_jama.2025.15185'!$L$2:$L$13,MATCH("2025::jama.2025.15185::C001",'C_jama.2025.15185'!$A$2:$A$13,0))),"not_applicable")</x:f>
        <x:v>not_applicable</x:v>
      </x:c>
      <x:c r="Z55" s="3" t="str">
        <x:f>IF(INDEX('C_jama.2025.15185'!$R$2:$R$13,MATCH("2025::jama.2025.15185::C001",'C_jama.2025.15185'!$A$2:$A$13,0))="","",INDEX('C_jama.2025.15185'!$R$2:$R$13,MATCH("2025::jama.2025.15185::C001",'C_jama.2025.15185'!$A$2:$A$13,0)))</x:f>
      </x:c>
      <x:c r="AA55" s="3" t="str">
        <x:f>IF(INDEX('C_jama.2025.15185'!$N$2:$N$13,MATCH("2025::jama.2025.15185::C001",'C_jama.2025.15185'!$A$2:$A$13,0))="","",INDEX('C_jama.2025.15185'!$N$2:$N$13,MATCH("2025::jama.2025.15185::C001",'C_jama.2025.15185'!$A$2:$A$13,0)))</x:f>
      </x:c>
      <x:c r="AB55" s="3" t="str">
        <x:f>IF(INDEX('C_jama.2025.15185'!$O$2:$O$13,MATCH("2025::jama.2025.15185::C001",'C_jama.2025.15185'!$A$2:$A$13,0))="","",INDEX('C_jama.2025.15185'!$O$2:$O$13,MATCH("2025::jama.2025.15185::C001",'C_jama.2025.15185'!$A$2:$A$13,0)))</x:f>
      </x:c>
      <x:c r="AC55" s="3" t="str">
        <x:f>IF(INDEX('C_jama.2025.15185'!$P$2:$P$13,MATCH("2025::jama.2025.15185::C001",'C_jama.2025.15185'!$A$2:$A$13,0))="","",INDEX('C_jama.2025.15185'!$P$2:$P$13,MATCH("2025::jama.2025.15185::C001",'C_jama.2025.15185'!$A$2:$A$13,0)))</x:f>
      </x:c>
      <x:c r="AD55" s="3" t="str">
        <x:f>IF(INDEX('C_jama.2025.15185'!$Q$2:$Q$13,MATCH("2025::jama.2025.15185::C001",'C_jama.2025.15185'!$A$2:$A$13,0))="","",INDEX('C_jama.2025.15185'!$Q$2:$Q$13,MATCH("2025::jama.2025.15185::C001",'C_jama.2025.15185'!$A$2:$A$13,0)))</x:f>
      </x:c>
    </x:row>
    <x:row r="56" ht="65" customHeight="1">
      <x:c r="A56" s="6" t="n">
        <x:v>2025</x:v>
      </x:c>
      <x:c r="B56" s="6" t="str">
        <x:v>jama.2025.15185</x:v>
      </x:c>
      <x:c r="C56" s="6" t="str">
        <x:v>2025::jama.2025.15185::C002</x:v>
      </x:c>
      <x:c r="D56" s="6" t="str">
        <x:v>S_C</x:v>
      </x:c>
      <x:c r="E56" s="6" t="n">
        <x:f>Setup!$B$2</x:f>
        <x:v>0</x:v>
      </x:c>
      <x:c r="F56" s="6" t="str">
        <x:f>IF(Setup!$B$4="","",Setup!$B$4)</x:f>
      </x:c>
      <x:c r="G56" s="6" t="str">
        <x:f>IFERROR(INDEX('C_jama.2025.15185'!$G$2:$G$13,MATCH("2025::jama.2025.15185::C002",'C_jama.2025.15185'!$A$2:$A$13,0)),"CHECK KEY")</x:f>
        <x:v>CHECK REVIEWER IDs</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report_internal_inconsistency</x:v>
      </x:c>
      <x:c r="K56" s="6" t="str">
        <x:f>IF(Setup!$B$6="primary","",IFERROR(IF(INDEX('Primary_snapshot'!$B$2:$B$132,MATCH(C56,'Primary_snapshot'!$A$2:$A$132,0))="","",INDEX('Primary_snapshot'!$B$2:$B$132,MATCH(C56,'Primary_snapshot'!$A$2:$A$132,0))),"SNAPSHOT MISSING"))</x:f>
      </x:c>
      <x:c r="L56" s="6" t="str">
        <x:f>IF(Setup!$B$6="primary","",IFERROR(IF(INDEX('Primary_snapshot'!$C$2:$C$132,MATCH(C56,'Primary_snapshot'!$A$2:$A$132,0))="","",INDEX('Primary_snapshot'!$C$2:$C$132,MATCH(C56,'Primary_snapshot'!$A$2:$A$132,0))),"SNAPSHOT MISSING"))</x:f>
      </x:c>
      <x:c r="M56" s="6" t="str">
        <x:f>IF(Setup!$B$6="primary","",IFERROR(IF(INDEX('Primary_snapshot'!$D$2:$D$132,MATCH(C56,'Primary_snapshot'!$A$2:$A$132,0))="","",INDEX('Primary_snapshot'!$D$2:$D$132,MATCH(C56,'Primary_snapshot'!$A$2:$A$132,0))),"SNAPSHOT MISSING"))</x:f>
      </x:c>
      <x:c r="N56" s="6" t="str">
        <x:f>IF(Setup!$B$6="primary","",IFERROR(IF(INDEX('Primary_snapshot'!$E$2:$E$132,MATCH(C56,'Primary_snapshot'!$A$2:$A$132,0))="","",INDEX('Primary_snapshot'!$E$2:$E$132,MATCH(C56,'Primary_snapshot'!$A$2:$A$132,0))),"SNAPSHOT MISSING"))</x:f>
      </x:c>
      <x:c r="O56" s="6" t="str">
        <x:f>IF(Setup!$B$6="primary","",IFERROR(IF(INDEX('Primary_snapshot'!$F$2:$F$132,MATCH(C56,'Primary_snapshot'!$A$2:$A$132,0))="","",INDEX('Primary_snapshot'!$F$2:$F$132,MATCH(C56,'Primary_snapshot'!$A$2:$A$132,0))),"SNAPSHOT MISSING"))</x:f>
      </x:c>
      <x:c r="P56" s="6" t="str">
        <x:f>IF(Setup!$B$6="primary","",IFERROR(IF(INDEX('Primary_snapshot'!$G$2:$G$132,MATCH(C56,'Primary_snapshot'!$A$2:$A$132,0))="","",INDEX('Primary_snapshot'!$G$2:$G$132,MATCH(C56,'Primary_snapshot'!$A$2:$A$132,0))),"SNAPSHOT MISSING"))</x:f>
      </x:c>
      <x:c r="Q56" s="6" t="str">
        <x:f>IF(Setup!$B$6="primary","",IFERROR(IF(INDEX('Primary_snapshot'!$H$2:$H$132,MATCH(C56,'Primary_snapshot'!$A$2:$A$132,0))="","",INDEX('Primary_snapshot'!$H$2:$H$132,MATCH(C56,'Primary_snapshot'!$A$2:$A$132,0))),"SNAPSHOT MISSING"))</x:f>
      </x:c>
      <x:c r="R56" s="6" t="str">
        <x:f>IF(Setup!$B$6="primary","",IFERROR(IF(INDEX('Primary_snapshot'!$I$2:$I$132,MATCH(C56,'Primary_snapshot'!$A$2:$A$132,0))="","",INDEX('Primary_snapshot'!$I$2:$I$132,MATCH(C56,'Primary_snapshot'!$A$2:$A$132,0))),"SNAPSHOT MISSING"))</x:f>
      </x:c>
      <x:c r="S56" s="6" t="str">
        <x:f>IF(INDEX('C_jama.2025.15185'!$D$2:$D$13,MATCH("2025::jama.2025.15185::C002",'C_jama.2025.15185'!$A$2:$A$13,0))="","",INDEX('C_jama.2025.15185'!$D$2:$D$13,MATCH("2025::jama.2025.15185::C002",'C_jama.2025.15185'!$A$2:$A$13,0)))</x:f>
      </x:c>
      <x:c r="T56" s="6" t="str">
        <x:f>IF(INDEX('C_jama.2025.15185'!$E$2:$E$13,MATCH("2025::jama.2025.15185::C002",'C_jama.2025.15185'!$A$2:$A$13,0))="","",INDEX('C_jama.2025.15185'!$E$2:$E$13,MATCH("2025::jama.2025.15185::C002",'C_jama.2025.15185'!$A$2:$A$13,0)))</x:f>
        <x:v>report_internal_inconsistency</x:v>
      </x:c>
      <x:c r="U56" s="6" t="str">
        <x:f>IF(AND(INDEX('C_jama.2025.15185'!$D$2:$D$13,MATCH("2025::jama.2025.15185::C002",'C_jama.2025.15185'!$A$2:$A$13,0))="retain",INDEX('C_jama.2025.15185'!$E$2:$E$13,MATCH("2025::jama.2025.15185::C002",'C_jama.2025.15185'!$A$2:$A$13,0))="statistical_results"),IF(INDEX('C_jama.2025.15185'!$H$2:$H$13,MATCH("2025::jama.2025.15185::C002",'C_jama.2025.15185'!$A$2:$A$13,0))="","",INDEX('C_jama.2025.15185'!$H$2:$H$13,MATCH("2025::jama.2025.15185::C002",'C_jama.2025.15185'!$A$2:$A$13,0))),"not_applicable")</x:f>
        <x:v>not_applicable</x:v>
      </x:c>
      <x:c r="V56" s="6" t="str">
        <x:f>IF(AND(INDEX('C_jama.2025.15185'!$D$2:$D$13,MATCH("2025::jama.2025.15185::C002",'C_jama.2025.15185'!$A$2:$A$13,0))="retain",INDEX('C_jama.2025.15185'!$E$2:$E$13,MATCH("2025::jama.2025.15185::C002",'C_jama.2025.15185'!$A$2:$A$13,0))="statistical_results"),IF(INDEX('C_jama.2025.15185'!$I$2:$I$13,MATCH("2025::jama.2025.15185::C002",'C_jama.2025.15185'!$A$2:$A$13,0))="","",INDEX('C_jama.2025.15185'!$I$2:$I$13,MATCH("2025::jama.2025.15185::C002",'C_jama.2025.15185'!$A$2:$A$13,0))),"not_applicable")</x:f>
        <x:v>not_applicable</x:v>
      </x:c>
      <x:c r="W56" s="6" t="str">
        <x:f>IF(AND(INDEX('C_jama.2025.15185'!$D$2:$D$13,MATCH("2025::jama.2025.15185::C002",'C_jama.2025.15185'!$A$2:$A$13,0))="retain",INDEX('C_jama.2025.15185'!$E$2:$E$13,MATCH("2025::jama.2025.15185::C002",'C_jama.2025.15185'!$A$2:$A$13,0))="statistical_results"),IF(INDEX('C_jama.2025.15185'!$J$2:$J$13,MATCH("2025::jama.2025.15185::C002",'C_jama.2025.15185'!$A$2:$A$13,0))="","",INDEX('C_jama.2025.15185'!$J$2:$J$13,MATCH("2025::jama.2025.15185::C002",'C_jama.2025.15185'!$A$2:$A$13,0))),"not_applicable")</x:f>
        <x:v>not_applicable</x:v>
      </x:c>
      <x:c r="X56" s="6" t="str">
        <x:f>IF(AND(INDEX('C_jama.2025.15185'!$D$2:$D$13,MATCH("2025::jama.2025.15185::C002",'C_jama.2025.15185'!$A$2:$A$13,0))="retain",OR(INDEX('C_jama.2025.15185'!$E$2:$E$13,MATCH("2025::jama.2025.15185::C002",'C_jama.2025.15185'!$A$2:$A$13,0))="report_internal_inconsistency",INDEX('C_jama.2025.15185'!$E$2:$E$13,MATCH("2025::jama.2025.15185::C002",'C_jama.2025.15185'!$A$2:$A$13,0))="plan_material")),IF(INDEX('C_jama.2025.15185'!$K$2:$K$13,MATCH("2025::jama.2025.15185::C002",'C_jama.2025.15185'!$A$2:$A$13,0))="","",INDEX('C_jama.2025.15185'!$K$2:$K$13,MATCH("2025::jama.2025.15185::C002",'C_jama.2025.15185'!$A$2:$A$13,0))),"not_applicable")</x:f>
        <x:v>not_applicable</x:v>
      </x:c>
      <x:c r="Y56" s="6" t="str">
        <x:f>IF(AND(INDEX('C_jama.2025.15185'!$D$2:$D$13,MATCH("2025::jama.2025.15185::C002",'C_jama.2025.15185'!$A$2:$A$13,0))="retain",INDEX('C_jama.2025.15185'!$E$2:$E$13,MATCH("2025::jama.2025.15185::C002",'C_jama.2025.15185'!$A$2:$A$13,0))="protocol_report"),IF(INDEX('C_jama.2025.15185'!$L$2:$L$13,MATCH("2025::jama.2025.15185::C002",'C_jama.2025.15185'!$A$2:$A$13,0))="","",INDEX('C_jama.2025.15185'!$L$2:$L$13,MATCH("2025::jama.2025.15185::C002",'C_jama.2025.15185'!$A$2:$A$13,0))),"not_applicable")</x:f>
        <x:v>not_applicable</x:v>
      </x:c>
      <x:c r="Z56" s="6" t="str">
        <x:f>IF(INDEX('C_jama.2025.15185'!$R$2:$R$13,MATCH("2025::jama.2025.15185::C002",'C_jama.2025.15185'!$A$2:$A$13,0))="","",INDEX('C_jama.2025.15185'!$R$2:$R$13,MATCH("2025::jama.2025.15185::C002",'C_jama.2025.15185'!$A$2:$A$13,0)))</x:f>
      </x:c>
      <x:c r="AA56" s="6" t="str">
        <x:f>IF(INDEX('C_jama.2025.15185'!$N$2:$N$13,MATCH("2025::jama.2025.15185::C002",'C_jama.2025.15185'!$A$2:$A$13,0))="","",INDEX('C_jama.2025.15185'!$N$2:$N$13,MATCH("2025::jama.2025.15185::C002",'C_jama.2025.15185'!$A$2:$A$13,0)))</x:f>
      </x:c>
      <x:c r="AB56" s="6" t="str">
        <x:f>IF(INDEX('C_jama.2025.15185'!$O$2:$O$13,MATCH("2025::jama.2025.15185::C002",'C_jama.2025.15185'!$A$2:$A$13,0))="","",INDEX('C_jama.2025.15185'!$O$2:$O$13,MATCH("2025::jama.2025.15185::C002",'C_jama.2025.15185'!$A$2:$A$13,0)))</x:f>
      </x:c>
      <x:c r="AC56" s="6" t="str">
        <x:f>IF(INDEX('C_jama.2025.15185'!$P$2:$P$13,MATCH("2025::jama.2025.15185::C002",'C_jama.2025.15185'!$A$2:$A$13,0))="","",INDEX('C_jama.2025.15185'!$P$2:$P$13,MATCH("2025::jama.2025.15185::C002",'C_jama.2025.15185'!$A$2:$A$13,0)))</x:f>
      </x:c>
      <x:c r="AD56" s="6" t="str">
        <x:f>IF(INDEX('C_jama.2025.15185'!$Q$2:$Q$13,MATCH("2025::jama.2025.15185::C002",'C_jama.2025.15185'!$A$2:$A$13,0))="","",INDEX('C_jama.2025.15185'!$Q$2:$Q$13,MATCH("2025::jama.2025.15185::C002",'C_jama.2025.15185'!$A$2:$A$13,0)))</x:f>
      </x:c>
    </x:row>
    <x:row r="57" ht="65" customHeight="1">
      <x:c r="A57" s="3" t="n">
        <x:v>2025</x:v>
      </x:c>
      <x:c r="B57" s="3" t="str">
        <x:v>jama.2025.15185</x:v>
      </x:c>
      <x:c r="C57" s="3" t="str">
        <x:v>2025::jama.2025.15185::C003</x:v>
      </x:c>
      <x:c r="D57" s="3" t="str">
        <x:v>S_C</x:v>
      </x:c>
      <x:c r="E57" s="3" t="n">
        <x:f>Setup!$B$2</x:f>
        <x:v>0</x:v>
      </x:c>
      <x:c r="F57" s="3" t="str">
        <x:f>IF(Setup!$B$4="","",Setup!$B$4)</x:f>
      </x:c>
      <x:c r="G57" s="3" t="str">
        <x:f>IFERROR(INDEX('C_jama.2025.15185'!$G$2:$G$13,MATCH("2025::jama.2025.15185::C003",'C_jama.2025.15185'!$A$2:$A$13,0)),"CHECK KEY")</x:f>
        <x:v>CHECK REVIEWER IDs</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report_internal_inconsistency</x:v>
      </x:c>
      <x:c r="K57" s="3" t="str">
        <x:f>IF(Setup!$B$6="primary","",IFERROR(IF(INDEX('Primary_snapshot'!$B$2:$B$132,MATCH(C57,'Primary_snapshot'!$A$2:$A$132,0))="","",INDEX('Primary_snapshot'!$B$2:$B$132,MATCH(C57,'Primary_snapshot'!$A$2:$A$132,0))),"SNAPSHOT MISSING"))</x:f>
      </x:c>
      <x:c r="L57" s="3" t="str">
        <x:f>IF(Setup!$B$6="primary","",IFERROR(IF(INDEX('Primary_snapshot'!$C$2:$C$132,MATCH(C57,'Primary_snapshot'!$A$2:$A$132,0))="","",INDEX('Primary_snapshot'!$C$2:$C$132,MATCH(C57,'Primary_snapshot'!$A$2:$A$132,0))),"SNAPSHOT MISSING"))</x:f>
      </x:c>
      <x:c r="M57" s="3" t="str">
        <x:f>IF(Setup!$B$6="primary","",IFERROR(IF(INDEX('Primary_snapshot'!$D$2:$D$132,MATCH(C57,'Primary_snapshot'!$A$2:$A$132,0))="","",INDEX('Primary_snapshot'!$D$2:$D$132,MATCH(C57,'Primary_snapshot'!$A$2:$A$132,0))),"SNAPSHOT MISSING"))</x:f>
      </x:c>
      <x:c r="N57" s="3" t="str">
        <x:f>IF(Setup!$B$6="primary","",IFERROR(IF(INDEX('Primary_snapshot'!$E$2:$E$132,MATCH(C57,'Primary_snapshot'!$A$2:$A$132,0))="","",INDEX('Primary_snapshot'!$E$2:$E$132,MATCH(C57,'Primary_snapshot'!$A$2:$A$132,0))),"SNAPSHOT MISSING"))</x:f>
      </x:c>
      <x:c r="O57" s="3" t="str">
        <x:f>IF(Setup!$B$6="primary","",IFERROR(IF(INDEX('Primary_snapshot'!$F$2:$F$132,MATCH(C57,'Primary_snapshot'!$A$2:$A$132,0))="","",INDEX('Primary_snapshot'!$F$2:$F$132,MATCH(C57,'Primary_snapshot'!$A$2:$A$132,0))),"SNAPSHOT MISSING"))</x:f>
      </x:c>
      <x:c r="P57" s="3" t="str">
        <x:f>IF(Setup!$B$6="primary","",IFERROR(IF(INDEX('Primary_snapshot'!$G$2:$G$132,MATCH(C57,'Primary_snapshot'!$A$2:$A$132,0))="","",INDEX('Primary_snapshot'!$G$2:$G$132,MATCH(C57,'Primary_snapshot'!$A$2:$A$132,0))),"SNAPSHOT MISSING"))</x:f>
      </x:c>
      <x:c r="Q57" s="3" t="str">
        <x:f>IF(Setup!$B$6="primary","",IFERROR(IF(INDEX('Primary_snapshot'!$H$2:$H$132,MATCH(C57,'Primary_snapshot'!$A$2:$A$132,0))="","",INDEX('Primary_snapshot'!$H$2:$H$132,MATCH(C57,'Primary_snapshot'!$A$2:$A$132,0))),"SNAPSHOT MISSING"))</x:f>
      </x:c>
      <x:c r="R57" s="3" t="str">
        <x:f>IF(Setup!$B$6="primary","",IFERROR(IF(INDEX('Primary_snapshot'!$I$2:$I$132,MATCH(C57,'Primary_snapshot'!$A$2:$A$132,0))="","",INDEX('Primary_snapshot'!$I$2:$I$132,MATCH(C57,'Primary_snapshot'!$A$2:$A$132,0))),"SNAPSHOT MISSING"))</x:f>
      </x:c>
      <x:c r="S57" s="3" t="str">
        <x:f>IF(INDEX('C_jama.2025.15185'!$D$2:$D$13,MATCH("2025::jama.2025.15185::C003",'C_jama.2025.15185'!$A$2:$A$13,0))="","",INDEX('C_jama.2025.15185'!$D$2:$D$13,MATCH("2025::jama.2025.15185::C003",'C_jama.2025.15185'!$A$2:$A$13,0)))</x:f>
      </x:c>
      <x:c r="T57" s="3" t="str">
        <x:f>IF(INDEX('C_jama.2025.15185'!$E$2:$E$13,MATCH("2025::jama.2025.15185::C003",'C_jama.2025.15185'!$A$2:$A$13,0))="","",INDEX('C_jama.2025.15185'!$E$2:$E$13,MATCH("2025::jama.2025.15185::C003",'C_jama.2025.15185'!$A$2:$A$13,0)))</x:f>
        <x:v>report_internal_inconsistency</x:v>
      </x:c>
      <x:c r="U57" s="3" t="str">
        <x:f>IF(AND(INDEX('C_jama.2025.15185'!$D$2:$D$13,MATCH("2025::jama.2025.15185::C003",'C_jama.2025.15185'!$A$2:$A$13,0))="retain",INDEX('C_jama.2025.15185'!$E$2:$E$13,MATCH("2025::jama.2025.15185::C003",'C_jama.2025.15185'!$A$2:$A$13,0))="statistical_results"),IF(INDEX('C_jama.2025.15185'!$H$2:$H$13,MATCH("2025::jama.2025.15185::C003",'C_jama.2025.15185'!$A$2:$A$13,0))="","",INDEX('C_jama.2025.15185'!$H$2:$H$13,MATCH("2025::jama.2025.15185::C003",'C_jama.2025.15185'!$A$2:$A$13,0))),"not_applicable")</x:f>
        <x:v>not_applicable</x:v>
      </x:c>
      <x:c r="V57" s="3" t="str">
        <x:f>IF(AND(INDEX('C_jama.2025.15185'!$D$2:$D$13,MATCH("2025::jama.2025.15185::C003",'C_jama.2025.15185'!$A$2:$A$13,0))="retain",INDEX('C_jama.2025.15185'!$E$2:$E$13,MATCH("2025::jama.2025.15185::C003",'C_jama.2025.15185'!$A$2:$A$13,0))="statistical_results"),IF(INDEX('C_jama.2025.15185'!$I$2:$I$13,MATCH("2025::jama.2025.15185::C003",'C_jama.2025.15185'!$A$2:$A$13,0))="","",INDEX('C_jama.2025.15185'!$I$2:$I$13,MATCH("2025::jama.2025.15185::C003",'C_jama.2025.15185'!$A$2:$A$13,0))),"not_applicable")</x:f>
        <x:v>not_applicable</x:v>
      </x:c>
      <x:c r="W57" s="3" t="str">
        <x:f>IF(AND(INDEX('C_jama.2025.15185'!$D$2:$D$13,MATCH("2025::jama.2025.15185::C003",'C_jama.2025.15185'!$A$2:$A$13,0))="retain",INDEX('C_jama.2025.15185'!$E$2:$E$13,MATCH("2025::jama.2025.15185::C003",'C_jama.2025.15185'!$A$2:$A$13,0))="statistical_results"),IF(INDEX('C_jama.2025.15185'!$J$2:$J$13,MATCH("2025::jama.2025.15185::C003",'C_jama.2025.15185'!$A$2:$A$13,0))="","",INDEX('C_jama.2025.15185'!$J$2:$J$13,MATCH("2025::jama.2025.15185::C003",'C_jama.2025.15185'!$A$2:$A$13,0))),"not_applicable")</x:f>
        <x:v>not_applicable</x:v>
      </x:c>
      <x:c r="X57" s="3" t="str">
        <x:f>IF(AND(INDEX('C_jama.2025.15185'!$D$2:$D$13,MATCH("2025::jama.2025.15185::C003",'C_jama.2025.15185'!$A$2:$A$13,0))="retain",OR(INDEX('C_jama.2025.15185'!$E$2:$E$13,MATCH("2025::jama.2025.15185::C003",'C_jama.2025.15185'!$A$2:$A$13,0))="report_internal_inconsistency",INDEX('C_jama.2025.15185'!$E$2:$E$13,MATCH("2025::jama.2025.15185::C003",'C_jama.2025.15185'!$A$2:$A$13,0))="plan_material")),IF(INDEX('C_jama.2025.15185'!$K$2:$K$13,MATCH("2025::jama.2025.15185::C003",'C_jama.2025.15185'!$A$2:$A$13,0))="","",INDEX('C_jama.2025.15185'!$K$2:$K$13,MATCH("2025::jama.2025.15185::C003",'C_jama.2025.15185'!$A$2:$A$13,0))),"not_applicable")</x:f>
        <x:v>not_applicable</x:v>
      </x:c>
      <x:c r="Y57" s="3" t="str">
        <x:f>IF(AND(INDEX('C_jama.2025.15185'!$D$2:$D$13,MATCH("2025::jama.2025.15185::C003",'C_jama.2025.15185'!$A$2:$A$13,0))="retain",INDEX('C_jama.2025.15185'!$E$2:$E$13,MATCH("2025::jama.2025.15185::C003",'C_jama.2025.15185'!$A$2:$A$13,0))="protocol_report"),IF(INDEX('C_jama.2025.15185'!$L$2:$L$13,MATCH("2025::jama.2025.15185::C003",'C_jama.2025.15185'!$A$2:$A$13,0))="","",INDEX('C_jama.2025.15185'!$L$2:$L$13,MATCH("2025::jama.2025.15185::C003",'C_jama.2025.15185'!$A$2:$A$13,0))),"not_applicable")</x:f>
        <x:v>not_applicable</x:v>
      </x:c>
      <x:c r="Z57" s="3" t="str">
        <x:f>IF(INDEX('C_jama.2025.15185'!$R$2:$R$13,MATCH("2025::jama.2025.15185::C003",'C_jama.2025.15185'!$A$2:$A$13,0))="","",INDEX('C_jama.2025.15185'!$R$2:$R$13,MATCH("2025::jama.2025.15185::C003",'C_jama.2025.15185'!$A$2:$A$13,0)))</x:f>
      </x:c>
      <x:c r="AA57" s="3" t="str">
        <x:f>IF(INDEX('C_jama.2025.15185'!$N$2:$N$13,MATCH("2025::jama.2025.15185::C003",'C_jama.2025.15185'!$A$2:$A$13,0))="","",INDEX('C_jama.2025.15185'!$N$2:$N$13,MATCH("2025::jama.2025.15185::C003",'C_jama.2025.15185'!$A$2:$A$13,0)))</x:f>
      </x:c>
      <x:c r="AB57" s="3" t="str">
        <x:f>IF(INDEX('C_jama.2025.15185'!$O$2:$O$13,MATCH("2025::jama.2025.15185::C003",'C_jama.2025.15185'!$A$2:$A$13,0))="","",INDEX('C_jama.2025.15185'!$O$2:$O$13,MATCH("2025::jama.2025.15185::C003",'C_jama.2025.15185'!$A$2:$A$13,0)))</x:f>
      </x:c>
      <x:c r="AC57" s="3" t="str">
        <x:f>IF(INDEX('C_jama.2025.15185'!$P$2:$P$13,MATCH("2025::jama.2025.15185::C003",'C_jama.2025.15185'!$A$2:$A$13,0))="","",INDEX('C_jama.2025.15185'!$P$2:$P$13,MATCH("2025::jama.2025.15185::C003",'C_jama.2025.15185'!$A$2:$A$13,0)))</x:f>
      </x:c>
      <x:c r="AD57" s="3" t="str">
        <x:f>IF(INDEX('C_jama.2025.15185'!$Q$2:$Q$13,MATCH("2025::jama.2025.15185::C003",'C_jama.2025.15185'!$A$2:$A$13,0))="","",INDEX('C_jama.2025.15185'!$Q$2:$Q$13,MATCH("2025::jama.2025.15185::C003",'C_jama.2025.15185'!$A$2:$A$13,0)))</x:f>
      </x:c>
    </x:row>
    <x:row r="58" ht="65" customHeight="1">
      <x:c r="A58" s="6" t="n">
        <x:v>2025</x:v>
      </x:c>
      <x:c r="B58" s="6" t="str">
        <x:v>jama.2025.15185</x:v>
      </x:c>
      <x:c r="C58" s="6" t="str">
        <x:v>2025::jama.2025.15185::C004</x:v>
      </x:c>
      <x:c r="D58" s="6" t="str">
        <x:v>S_W</x:v>
      </x:c>
      <x:c r="E58" s="6" t="n">
        <x:f>Setup!$B$2</x:f>
        <x:v>0</x:v>
      </x:c>
      <x:c r="F58" s="6" t="str">
        <x:f>IF(Setup!$B$4="","",Setup!$B$4)</x:f>
      </x:c>
      <x:c r="G58" s="6" t="str">
        <x:f>IFERROR(INDEX('C_jama.2025.15185'!$G$2:$G$13,MATCH("2025::jama.2025.15185::C004",'C_jama.2025.15185'!$A$2:$A$13,0)),"CHECK KEY")</x:f>
        <x:v>CHECK REVIEWER IDs</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statistical_results</x:v>
      </x:c>
      <x:c r="K58" s="6" t="str">
        <x:f>IF(Setup!$B$6="primary","",IFERROR(IF(INDEX('Primary_snapshot'!$B$2:$B$132,MATCH(C58,'Primary_snapshot'!$A$2:$A$132,0))="","",INDEX('Primary_snapshot'!$B$2:$B$132,MATCH(C58,'Primary_snapshot'!$A$2:$A$132,0))),"SNAPSHOT MISSING"))</x:f>
      </x:c>
      <x:c r="L58" s="6" t="str">
        <x:f>IF(Setup!$B$6="primary","",IFERROR(IF(INDEX('Primary_snapshot'!$C$2:$C$132,MATCH(C58,'Primary_snapshot'!$A$2:$A$132,0))="","",INDEX('Primary_snapshot'!$C$2:$C$132,MATCH(C58,'Primary_snapshot'!$A$2:$A$132,0))),"SNAPSHOT MISSING"))</x:f>
      </x:c>
      <x:c r="M58" s="6" t="str">
        <x:f>IF(Setup!$B$6="primary","",IFERROR(IF(INDEX('Primary_snapshot'!$D$2:$D$132,MATCH(C58,'Primary_snapshot'!$A$2:$A$132,0))="","",INDEX('Primary_snapshot'!$D$2:$D$132,MATCH(C58,'Primary_snapshot'!$A$2:$A$132,0))),"SNAPSHOT MISSING"))</x:f>
      </x:c>
      <x:c r="N58" s="6" t="str">
        <x:f>IF(Setup!$B$6="primary","",IFERROR(IF(INDEX('Primary_snapshot'!$E$2:$E$132,MATCH(C58,'Primary_snapshot'!$A$2:$A$132,0))="","",INDEX('Primary_snapshot'!$E$2:$E$132,MATCH(C58,'Primary_snapshot'!$A$2:$A$132,0))),"SNAPSHOT MISSING"))</x:f>
      </x:c>
      <x:c r="O58" s="6" t="str">
        <x:f>IF(Setup!$B$6="primary","",IFERROR(IF(INDEX('Primary_snapshot'!$F$2:$F$132,MATCH(C58,'Primary_snapshot'!$A$2:$A$132,0))="","",INDEX('Primary_snapshot'!$F$2:$F$132,MATCH(C58,'Primary_snapshot'!$A$2:$A$132,0))),"SNAPSHOT MISSING"))</x:f>
      </x:c>
      <x:c r="P58" s="6" t="str">
        <x:f>IF(Setup!$B$6="primary","",IFERROR(IF(INDEX('Primary_snapshot'!$G$2:$G$132,MATCH(C58,'Primary_snapshot'!$A$2:$A$132,0))="","",INDEX('Primary_snapshot'!$G$2:$G$132,MATCH(C58,'Primary_snapshot'!$A$2:$A$132,0))),"SNAPSHOT MISSING"))</x:f>
      </x:c>
      <x:c r="Q58" s="6" t="str">
        <x:f>IF(Setup!$B$6="primary","",IFERROR(IF(INDEX('Primary_snapshot'!$H$2:$H$132,MATCH(C58,'Primary_snapshot'!$A$2:$A$132,0))="","",INDEX('Primary_snapshot'!$H$2:$H$132,MATCH(C58,'Primary_snapshot'!$A$2:$A$132,0))),"SNAPSHOT MISSING"))</x:f>
      </x:c>
      <x:c r="R58" s="6" t="str">
        <x:f>IF(Setup!$B$6="primary","",IFERROR(IF(INDEX('Primary_snapshot'!$I$2:$I$132,MATCH(C58,'Primary_snapshot'!$A$2:$A$132,0))="","",INDEX('Primary_snapshot'!$I$2:$I$132,MATCH(C58,'Primary_snapshot'!$A$2:$A$132,0))),"SNAPSHOT MISSING"))</x:f>
      </x:c>
      <x:c r="S58" s="6" t="str">
        <x:f>IF(INDEX('C_jama.2025.15185'!$D$2:$D$13,MATCH("2025::jama.2025.15185::C004",'C_jama.2025.15185'!$A$2:$A$13,0))="","",INDEX('C_jama.2025.15185'!$D$2:$D$13,MATCH("2025::jama.2025.15185::C004",'C_jama.2025.15185'!$A$2:$A$13,0)))</x:f>
      </x:c>
      <x:c r="T58" s="6" t="str">
        <x:f>IF(INDEX('C_jama.2025.15185'!$E$2:$E$13,MATCH("2025::jama.2025.15185::C004",'C_jama.2025.15185'!$A$2:$A$13,0))="","",INDEX('C_jama.2025.15185'!$E$2:$E$13,MATCH("2025::jama.2025.15185::C004",'C_jama.2025.15185'!$A$2:$A$13,0)))</x:f>
        <x:v>statistical_results</x:v>
      </x:c>
      <x:c r="U58" s="6" t="str">
        <x:f>IF(AND(INDEX('C_jama.2025.15185'!$D$2:$D$13,MATCH("2025::jama.2025.15185::C004",'C_jama.2025.15185'!$A$2:$A$13,0))="retain",INDEX('C_jama.2025.15185'!$E$2:$E$13,MATCH("2025::jama.2025.15185::C004",'C_jama.2025.15185'!$A$2:$A$13,0))="statistical_results"),IF(INDEX('C_jama.2025.15185'!$H$2:$H$13,MATCH("2025::jama.2025.15185::C004",'C_jama.2025.15185'!$A$2:$A$13,0))="","",INDEX('C_jama.2025.15185'!$H$2:$H$13,MATCH("2025::jama.2025.15185::C004",'C_jama.2025.15185'!$A$2:$A$13,0))),"not_applicable")</x:f>
        <x:v>not_applicable</x:v>
      </x:c>
      <x:c r="V58" s="6" t="str">
        <x:f>IF(AND(INDEX('C_jama.2025.15185'!$D$2:$D$13,MATCH("2025::jama.2025.15185::C004",'C_jama.2025.15185'!$A$2:$A$13,0))="retain",INDEX('C_jama.2025.15185'!$E$2:$E$13,MATCH("2025::jama.2025.15185::C004",'C_jama.2025.15185'!$A$2:$A$13,0))="statistical_results"),IF(INDEX('C_jama.2025.15185'!$I$2:$I$13,MATCH("2025::jama.2025.15185::C004",'C_jama.2025.15185'!$A$2:$A$13,0))="","",INDEX('C_jama.2025.15185'!$I$2:$I$13,MATCH("2025::jama.2025.15185::C004",'C_jama.2025.15185'!$A$2:$A$13,0))),"not_applicable")</x:f>
        <x:v>not_applicable</x:v>
      </x:c>
      <x:c r="W58" s="6" t="str">
        <x:f>IF(AND(INDEX('C_jama.2025.15185'!$D$2:$D$13,MATCH("2025::jama.2025.15185::C004",'C_jama.2025.15185'!$A$2:$A$13,0))="retain",INDEX('C_jama.2025.15185'!$E$2:$E$13,MATCH("2025::jama.2025.15185::C004",'C_jama.2025.15185'!$A$2:$A$13,0))="statistical_results"),IF(INDEX('C_jama.2025.15185'!$J$2:$J$13,MATCH("2025::jama.2025.15185::C004",'C_jama.2025.15185'!$A$2:$A$13,0))="","",INDEX('C_jama.2025.15185'!$J$2:$J$13,MATCH("2025::jama.2025.15185::C004",'C_jama.2025.15185'!$A$2:$A$13,0))),"not_applicable")</x:f>
        <x:v>not_applicable</x:v>
      </x:c>
      <x:c r="X58" s="6" t="str">
        <x:f>IF(AND(INDEX('C_jama.2025.15185'!$D$2:$D$13,MATCH("2025::jama.2025.15185::C004",'C_jama.2025.15185'!$A$2:$A$13,0))="retain",OR(INDEX('C_jama.2025.15185'!$E$2:$E$13,MATCH("2025::jama.2025.15185::C004",'C_jama.2025.15185'!$A$2:$A$13,0))="report_internal_inconsistency",INDEX('C_jama.2025.15185'!$E$2:$E$13,MATCH("2025::jama.2025.15185::C004",'C_jama.2025.15185'!$A$2:$A$13,0))="plan_material")),IF(INDEX('C_jama.2025.15185'!$K$2:$K$13,MATCH("2025::jama.2025.15185::C004",'C_jama.2025.15185'!$A$2:$A$13,0))="","",INDEX('C_jama.2025.15185'!$K$2:$K$13,MATCH("2025::jama.2025.15185::C004",'C_jama.2025.15185'!$A$2:$A$13,0))),"not_applicable")</x:f>
        <x:v>not_applicable</x:v>
      </x:c>
      <x:c r="Y58" s="6" t="str">
        <x:f>IF(AND(INDEX('C_jama.2025.15185'!$D$2:$D$13,MATCH("2025::jama.2025.15185::C004",'C_jama.2025.15185'!$A$2:$A$13,0))="retain",INDEX('C_jama.2025.15185'!$E$2:$E$13,MATCH("2025::jama.2025.15185::C004",'C_jama.2025.15185'!$A$2:$A$13,0))="protocol_report"),IF(INDEX('C_jama.2025.15185'!$L$2:$L$13,MATCH("2025::jama.2025.15185::C004",'C_jama.2025.15185'!$A$2:$A$13,0))="","",INDEX('C_jama.2025.15185'!$L$2:$L$13,MATCH("2025::jama.2025.15185::C004",'C_jama.2025.15185'!$A$2:$A$13,0))),"not_applicable")</x:f>
        <x:v>not_applicable</x:v>
      </x:c>
      <x:c r="Z58" s="6" t="str">
        <x:f>IF(INDEX('C_jama.2025.15185'!$R$2:$R$13,MATCH("2025::jama.2025.15185::C004",'C_jama.2025.15185'!$A$2:$A$13,0))="","",INDEX('C_jama.2025.15185'!$R$2:$R$13,MATCH("2025::jama.2025.15185::C004",'C_jama.2025.15185'!$A$2:$A$13,0)))</x:f>
      </x:c>
      <x:c r="AA58" s="6" t="str">
        <x:f>IF(INDEX('C_jama.2025.15185'!$N$2:$N$13,MATCH("2025::jama.2025.15185::C004",'C_jama.2025.15185'!$A$2:$A$13,0))="","",INDEX('C_jama.2025.15185'!$N$2:$N$13,MATCH("2025::jama.2025.15185::C004",'C_jama.2025.15185'!$A$2:$A$13,0)))</x:f>
      </x:c>
      <x:c r="AB58" s="6" t="str">
        <x:f>IF(INDEX('C_jama.2025.15185'!$O$2:$O$13,MATCH("2025::jama.2025.15185::C004",'C_jama.2025.15185'!$A$2:$A$13,0))="","",INDEX('C_jama.2025.15185'!$O$2:$O$13,MATCH("2025::jama.2025.15185::C004",'C_jama.2025.15185'!$A$2:$A$13,0)))</x:f>
      </x:c>
      <x:c r="AC58" s="6" t="str">
        <x:f>IF(INDEX('C_jama.2025.15185'!$P$2:$P$13,MATCH("2025::jama.2025.15185::C004",'C_jama.2025.15185'!$A$2:$A$13,0))="","",INDEX('C_jama.2025.15185'!$P$2:$P$13,MATCH("2025::jama.2025.15185::C004",'C_jama.2025.15185'!$A$2:$A$13,0)))</x:f>
      </x:c>
      <x:c r="AD58" s="6" t="str">
        <x:f>IF(INDEX('C_jama.2025.15185'!$Q$2:$Q$13,MATCH("2025::jama.2025.15185::C004",'C_jama.2025.15185'!$A$2:$A$13,0))="","",INDEX('C_jama.2025.15185'!$Q$2:$Q$13,MATCH("2025::jama.2025.15185::C004",'C_jama.2025.15185'!$A$2:$A$13,0)))</x:f>
      </x:c>
    </x:row>
    <x:row r="59" ht="65" customHeight="1">
      <x:c r="A59" s="3" t="n">
        <x:v>2025</x:v>
      </x:c>
      <x:c r="B59" s="3" t="str">
        <x:v>jama.2025.15185</x:v>
      </x:c>
      <x:c r="C59" s="3" t="str">
        <x:v>2025::jama.2025.15185::C005</x:v>
      </x:c>
      <x:c r="D59" s="3" t="str">
        <x:v>S_C</x:v>
      </x:c>
      <x:c r="E59" s="3" t="n">
        <x:f>Setup!$B$2</x:f>
        <x:v>0</x:v>
      </x:c>
      <x:c r="F59" s="3" t="str">
        <x:f>IF(Setup!$B$4="","",Setup!$B$4)</x:f>
      </x:c>
      <x:c r="G59" s="3" t="str">
        <x:f>IFERROR(INDEX('C_jama.2025.15185'!$G$2:$G$13,MATCH("2025::jama.2025.15185::C005",'C_jama.2025.15185'!$A$2:$A$13,0)),"CHECK KEY")</x:f>
        <x:v>CHECK REVIEWER IDs</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report_internal_inconsistency</x:v>
      </x:c>
      <x:c r="K59" s="3" t="str">
        <x:f>IF(Setup!$B$6="primary","",IFERROR(IF(INDEX('Primary_snapshot'!$B$2:$B$132,MATCH(C59,'Primary_snapshot'!$A$2:$A$132,0))="","",INDEX('Primary_snapshot'!$B$2:$B$132,MATCH(C59,'Primary_snapshot'!$A$2:$A$132,0))),"SNAPSHOT MISSING"))</x:f>
      </x:c>
      <x:c r="L59" s="3" t="str">
        <x:f>IF(Setup!$B$6="primary","",IFERROR(IF(INDEX('Primary_snapshot'!$C$2:$C$132,MATCH(C59,'Primary_snapshot'!$A$2:$A$132,0))="","",INDEX('Primary_snapshot'!$C$2:$C$132,MATCH(C59,'Primary_snapshot'!$A$2:$A$132,0))),"SNAPSHOT MISSING"))</x:f>
      </x:c>
      <x:c r="M59" s="3" t="str">
        <x:f>IF(Setup!$B$6="primary","",IFERROR(IF(INDEX('Primary_snapshot'!$D$2:$D$132,MATCH(C59,'Primary_snapshot'!$A$2:$A$132,0))="","",INDEX('Primary_snapshot'!$D$2:$D$132,MATCH(C59,'Primary_snapshot'!$A$2:$A$132,0))),"SNAPSHOT MISSING"))</x:f>
      </x:c>
      <x:c r="N59" s="3" t="str">
        <x:f>IF(Setup!$B$6="primary","",IFERROR(IF(INDEX('Primary_snapshot'!$E$2:$E$132,MATCH(C59,'Primary_snapshot'!$A$2:$A$132,0))="","",INDEX('Primary_snapshot'!$E$2:$E$132,MATCH(C59,'Primary_snapshot'!$A$2:$A$132,0))),"SNAPSHOT MISSING"))</x:f>
      </x:c>
      <x:c r="O59" s="3" t="str">
        <x:f>IF(Setup!$B$6="primary","",IFERROR(IF(INDEX('Primary_snapshot'!$F$2:$F$132,MATCH(C59,'Primary_snapshot'!$A$2:$A$132,0))="","",INDEX('Primary_snapshot'!$F$2:$F$132,MATCH(C59,'Primary_snapshot'!$A$2:$A$132,0))),"SNAPSHOT MISSING"))</x:f>
      </x:c>
      <x:c r="P59" s="3" t="str">
        <x:f>IF(Setup!$B$6="primary","",IFERROR(IF(INDEX('Primary_snapshot'!$G$2:$G$132,MATCH(C59,'Primary_snapshot'!$A$2:$A$132,0))="","",INDEX('Primary_snapshot'!$G$2:$G$132,MATCH(C59,'Primary_snapshot'!$A$2:$A$132,0))),"SNAPSHOT MISSING"))</x:f>
      </x:c>
      <x:c r="Q59" s="3" t="str">
        <x:f>IF(Setup!$B$6="primary","",IFERROR(IF(INDEX('Primary_snapshot'!$H$2:$H$132,MATCH(C59,'Primary_snapshot'!$A$2:$A$132,0))="","",INDEX('Primary_snapshot'!$H$2:$H$132,MATCH(C59,'Primary_snapshot'!$A$2:$A$132,0))),"SNAPSHOT MISSING"))</x:f>
      </x:c>
      <x:c r="R59" s="3" t="str">
        <x:f>IF(Setup!$B$6="primary","",IFERROR(IF(INDEX('Primary_snapshot'!$I$2:$I$132,MATCH(C59,'Primary_snapshot'!$A$2:$A$132,0))="","",INDEX('Primary_snapshot'!$I$2:$I$132,MATCH(C59,'Primary_snapshot'!$A$2:$A$132,0))),"SNAPSHOT MISSING"))</x:f>
      </x:c>
      <x:c r="S59" s="3" t="str">
        <x:f>IF(INDEX('C_jama.2025.15185'!$D$2:$D$13,MATCH("2025::jama.2025.15185::C005",'C_jama.2025.15185'!$A$2:$A$13,0))="","",INDEX('C_jama.2025.15185'!$D$2:$D$13,MATCH("2025::jama.2025.15185::C005",'C_jama.2025.15185'!$A$2:$A$13,0)))</x:f>
      </x:c>
      <x:c r="T59" s="3" t="str">
        <x:f>IF(INDEX('C_jama.2025.15185'!$E$2:$E$13,MATCH("2025::jama.2025.15185::C005",'C_jama.2025.15185'!$A$2:$A$13,0))="","",INDEX('C_jama.2025.15185'!$E$2:$E$13,MATCH("2025::jama.2025.15185::C005",'C_jama.2025.15185'!$A$2:$A$13,0)))</x:f>
        <x:v>report_internal_inconsistency</x:v>
      </x:c>
      <x:c r="U59" s="3" t="str">
        <x:f>IF(AND(INDEX('C_jama.2025.15185'!$D$2:$D$13,MATCH("2025::jama.2025.15185::C005",'C_jama.2025.15185'!$A$2:$A$13,0))="retain",INDEX('C_jama.2025.15185'!$E$2:$E$13,MATCH("2025::jama.2025.15185::C005",'C_jama.2025.15185'!$A$2:$A$13,0))="statistical_results"),IF(INDEX('C_jama.2025.15185'!$H$2:$H$13,MATCH("2025::jama.2025.15185::C005",'C_jama.2025.15185'!$A$2:$A$13,0))="","",INDEX('C_jama.2025.15185'!$H$2:$H$13,MATCH("2025::jama.2025.15185::C005",'C_jama.2025.15185'!$A$2:$A$13,0))),"not_applicable")</x:f>
        <x:v>not_applicable</x:v>
      </x:c>
      <x:c r="V59" s="3" t="str">
        <x:f>IF(AND(INDEX('C_jama.2025.15185'!$D$2:$D$13,MATCH("2025::jama.2025.15185::C005",'C_jama.2025.15185'!$A$2:$A$13,0))="retain",INDEX('C_jama.2025.15185'!$E$2:$E$13,MATCH("2025::jama.2025.15185::C005",'C_jama.2025.15185'!$A$2:$A$13,0))="statistical_results"),IF(INDEX('C_jama.2025.15185'!$I$2:$I$13,MATCH("2025::jama.2025.15185::C005",'C_jama.2025.15185'!$A$2:$A$13,0))="","",INDEX('C_jama.2025.15185'!$I$2:$I$13,MATCH("2025::jama.2025.15185::C005",'C_jama.2025.15185'!$A$2:$A$13,0))),"not_applicable")</x:f>
        <x:v>not_applicable</x:v>
      </x:c>
      <x:c r="W59" s="3" t="str">
        <x:f>IF(AND(INDEX('C_jama.2025.15185'!$D$2:$D$13,MATCH("2025::jama.2025.15185::C005",'C_jama.2025.15185'!$A$2:$A$13,0))="retain",INDEX('C_jama.2025.15185'!$E$2:$E$13,MATCH("2025::jama.2025.15185::C005",'C_jama.2025.15185'!$A$2:$A$13,0))="statistical_results"),IF(INDEX('C_jama.2025.15185'!$J$2:$J$13,MATCH("2025::jama.2025.15185::C005",'C_jama.2025.15185'!$A$2:$A$13,0))="","",INDEX('C_jama.2025.15185'!$J$2:$J$13,MATCH("2025::jama.2025.15185::C005",'C_jama.2025.15185'!$A$2:$A$13,0))),"not_applicable")</x:f>
        <x:v>not_applicable</x:v>
      </x:c>
      <x:c r="X59" s="3" t="str">
        <x:f>IF(AND(INDEX('C_jama.2025.15185'!$D$2:$D$13,MATCH("2025::jama.2025.15185::C005",'C_jama.2025.15185'!$A$2:$A$13,0))="retain",OR(INDEX('C_jama.2025.15185'!$E$2:$E$13,MATCH("2025::jama.2025.15185::C005",'C_jama.2025.15185'!$A$2:$A$13,0))="report_internal_inconsistency",INDEX('C_jama.2025.15185'!$E$2:$E$13,MATCH("2025::jama.2025.15185::C005",'C_jama.2025.15185'!$A$2:$A$13,0))="plan_material")),IF(INDEX('C_jama.2025.15185'!$K$2:$K$13,MATCH("2025::jama.2025.15185::C005",'C_jama.2025.15185'!$A$2:$A$13,0))="","",INDEX('C_jama.2025.15185'!$K$2:$K$13,MATCH("2025::jama.2025.15185::C005",'C_jama.2025.15185'!$A$2:$A$13,0))),"not_applicable")</x:f>
        <x:v>not_applicable</x:v>
      </x:c>
      <x:c r="Y59" s="3" t="str">
        <x:f>IF(AND(INDEX('C_jama.2025.15185'!$D$2:$D$13,MATCH("2025::jama.2025.15185::C005",'C_jama.2025.15185'!$A$2:$A$13,0))="retain",INDEX('C_jama.2025.15185'!$E$2:$E$13,MATCH("2025::jama.2025.15185::C005",'C_jama.2025.15185'!$A$2:$A$13,0))="protocol_report"),IF(INDEX('C_jama.2025.15185'!$L$2:$L$13,MATCH("2025::jama.2025.15185::C005",'C_jama.2025.15185'!$A$2:$A$13,0))="","",INDEX('C_jama.2025.15185'!$L$2:$L$13,MATCH("2025::jama.2025.15185::C005",'C_jama.2025.15185'!$A$2:$A$13,0))),"not_applicable")</x:f>
        <x:v>not_applicable</x:v>
      </x:c>
      <x:c r="Z59" s="3" t="str">
        <x:f>IF(INDEX('C_jama.2025.15185'!$R$2:$R$13,MATCH("2025::jama.2025.15185::C005",'C_jama.2025.15185'!$A$2:$A$13,0))="","",INDEX('C_jama.2025.15185'!$R$2:$R$13,MATCH("2025::jama.2025.15185::C005",'C_jama.2025.15185'!$A$2:$A$13,0)))</x:f>
      </x:c>
      <x:c r="AA59" s="3" t="str">
        <x:f>IF(INDEX('C_jama.2025.15185'!$N$2:$N$13,MATCH("2025::jama.2025.15185::C005",'C_jama.2025.15185'!$A$2:$A$13,0))="","",INDEX('C_jama.2025.15185'!$N$2:$N$13,MATCH("2025::jama.2025.15185::C005",'C_jama.2025.15185'!$A$2:$A$13,0)))</x:f>
      </x:c>
      <x:c r="AB59" s="3" t="str">
        <x:f>IF(INDEX('C_jama.2025.15185'!$O$2:$O$13,MATCH("2025::jama.2025.15185::C005",'C_jama.2025.15185'!$A$2:$A$13,0))="","",INDEX('C_jama.2025.15185'!$O$2:$O$13,MATCH("2025::jama.2025.15185::C005",'C_jama.2025.15185'!$A$2:$A$13,0)))</x:f>
      </x:c>
      <x:c r="AC59" s="3" t="str">
        <x:f>IF(INDEX('C_jama.2025.15185'!$P$2:$P$13,MATCH("2025::jama.2025.15185::C005",'C_jama.2025.15185'!$A$2:$A$13,0))="","",INDEX('C_jama.2025.15185'!$P$2:$P$13,MATCH("2025::jama.2025.15185::C005",'C_jama.2025.15185'!$A$2:$A$13,0)))</x:f>
      </x:c>
      <x:c r="AD59" s="3" t="str">
        <x:f>IF(INDEX('C_jama.2025.15185'!$Q$2:$Q$13,MATCH("2025::jama.2025.15185::C005",'C_jama.2025.15185'!$A$2:$A$13,0))="","",INDEX('C_jama.2025.15185'!$Q$2:$Q$13,MATCH("2025::jama.2025.15185::C005",'C_jama.2025.15185'!$A$2:$A$13,0)))</x:f>
      </x:c>
    </x:row>
    <x:row r="60" ht="65" customHeight="1">
      <x:c r="A60" s="6" t="n">
        <x:v>2025</x:v>
      </x:c>
      <x:c r="B60" s="6" t="str">
        <x:v>jama.2025.15185</x:v>
      </x:c>
      <x:c r="C60" s="6" t="str">
        <x:v>2025::jama.2025.15185::C006</x:v>
      </x:c>
      <x:c r="D60" s="6" t="str">
        <x:v>S_C</x:v>
      </x:c>
      <x:c r="E60" s="6" t="n">
        <x:f>Setup!$B$2</x:f>
        <x:v>0</x:v>
      </x:c>
      <x:c r="F60" s="6" t="str">
        <x:f>IF(Setup!$B$4="","",Setup!$B$4)</x:f>
      </x:c>
      <x:c r="G60" s="6" t="str">
        <x:f>IFERROR(INDEX('C_jama.2025.15185'!$G$2:$G$13,MATCH("2025::jama.2025.15185::C006",'C_jama.2025.15185'!$A$2:$A$13,0)),"CHECK KEY")</x:f>
        <x:v>CHECK REVIEWER IDs</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report_internal_inconsistency</x:v>
      </x:c>
      <x:c r="K60" s="6" t="str">
        <x:f>IF(Setup!$B$6="primary","",IFERROR(IF(INDEX('Primary_snapshot'!$B$2:$B$132,MATCH(C60,'Primary_snapshot'!$A$2:$A$132,0))="","",INDEX('Primary_snapshot'!$B$2:$B$132,MATCH(C60,'Primary_snapshot'!$A$2:$A$132,0))),"SNAPSHOT MISSING"))</x:f>
      </x:c>
      <x:c r="L60" s="6" t="str">
        <x:f>IF(Setup!$B$6="primary","",IFERROR(IF(INDEX('Primary_snapshot'!$C$2:$C$132,MATCH(C60,'Primary_snapshot'!$A$2:$A$132,0))="","",INDEX('Primary_snapshot'!$C$2:$C$132,MATCH(C60,'Primary_snapshot'!$A$2:$A$132,0))),"SNAPSHOT MISSING"))</x:f>
      </x:c>
      <x:c r="M60" s="6" t="str">
        <x:f>IF(Setup!$B$6="primary","",IFERROR(IF(INDEX('Primary_snapshot'!$D$2:$D$132,MATCH(C60,'Primary_snapshot'!$A$2:$A$132,0))="","",INDEX('Primary_snapshot'!$D$2:$D$132,MATCH(C60,'Primary_snapshot'!$A$2:$A$132,0))),"SNAPSHOT MISSING"))</x:f>
      </x:c>
      <x:c r="N60" s="6" t="str">
        <x:f>IF(Setup!$B$6="primary","",IFERROR(IF(INDEX('Primary_snapshot'!$E$2:$E$132,MATCH(C60,'Primary_snapshot'!$A$2:$A$132,0))="","",INDEX('Primary_snapshot'!$E$2:$E$132,MATCH(C60,'Primary_snapshot'!$A$2:$A$132,0))),"SNAPSHOT MISSING"))</x:f>
      </x:c>
      <x:c r="O60" s="6" t="str">
        <x:f>IF(Setup!$B$6="primary","",IFERROR(IF(INDEX('Primary_snapshot'!$F$2:$F$132,MATCH(C60,'Primary_snapshot'!$A$2:$A$132,0))="","",INDEX('Primary_snapshot'!$F$2:$F$132,MATCH(C60,'Primary_snapshot'!$A$2:$A$132,0))),"SNAPSHOT MISSING"))</x:f>
      </x:c>
      <x:c r="P60" s="6" t="str">
        <x:f>IF(Setup!$B$6="primary","",IFERROR(IF(INDEX('Primary_snapshot'!$G$2:$G$132,MATCH(C60,'Primary_snapshot'!$A$2:$A$132,0))="","",INDEX('Primary_snapshot'!$G$2:$G$132,MATCH(C60,'Primary_snapshot'!$A$2:$A$132,0))),"SNAPSHOT MISSING"))</x:f>
      </x:c>
      <x:c r="Q60" s="6" t="str">
        <x:f>IF(Setup!$B$6="primary","",IFERROR(IF(INDEX('Primary_snapshot'!$H$2:$H$132,MATCH(C60,'Primary_snapshot'!$A$2:$A$132,0))="","",INDEX('Primary_snapshot'!$H$2:$H$132,MATCH(C60,'Primary_snapshot'!$A$2:$A$132,0))),"SNAPSHOT MISSING"))</x:f>
      </x:c>
      <x:c r="R60" s="6" t="str">
        <x:f>IF(Setup!$B$6="primary","",IFERROR(IF(INDEX('Primary_snapshot'!$I$2:$I$132,MATCH(C60,'Primary_snapshot'!$A$2:$A$132,0))="","",INDEX('Primary_snapshot'!$I$2:$I$132,MATCH(C60,'Primary_snapshot'!$A$2:$A$132,0))),"SNAPSHOT MISSING"))</x:f>
      </x:c>
      <x:c r="S60" s="6" t="str">
        <x:f>IF(INDEX('C_jama.2025.15185'!$D$2:$D$13,MATCH("2025::jama.2025.15185::C006",'C_jama.2025.15185'!$A$2:$A$13,0))="","",INDEX('C_jama.2025.15185'!$D$2:$D$13,MATCH("2025::jama.2025.15185::C006",'C_jama.2025.15185'!$A$2:$A$13,0)))</x:f>
      </x:c>
      <x:c r="T60" s="6" t="str">
        <x:f>IF(INDEX('C_jama.2025.15185'!$E$2:$E$13,MATCH("2025::jama.2025.15185::C006",'C_jama.2025.15185'!$A$2:$A$13,0))="","",INDEX('C_jama.2025.15185'!$E$2:$E$13,MATCH("2025::jama.2025.15185::C006",'C_jama.2025.15185'!$A$2:$A$13,0)))</x:f>
        <x:v>report_internal_inconsistency</x:v>
      </x:c>
      <x:c r="U60" s="6" t="str">
        <x:f>IF(AND(INDEX('C_jama.2025.15185'!$D$2:$D$13,MATCH("2025::jama.2025.15185::C006",'C_jama.2025.15185'!$A$2:$A$13,0))="retain",INDEX('C_jama.2025.15185'!$E$2:$E$13,MATCH("2025::jama.2025.15185::C006",'C_jama.2025.15185'!$A$2:$A$13,0))="statistical_results"),IF(INDEX('C_jama.2025.15185'!$H$2:$H$13,MATCH("2025::jama.2025.15185::C006",'C_jama.2025.15185'!$A$2:$A$13,0))="","",INDEX('C_jama.2025.15185'!$H$2:$H$13,MATCH("2025::jama.2025.15185::C006",'C_jama.2025.15185'!$A$2:$A$13,0))),"not_applicable")</x:f>
        <x:v>not_applicable</x:v>
      </x:c>
      <x:c r="V60" s="6" t="str">
        <x:f>IF(AND(INDEX('C_jama.2025.15185'!$D$2:$D$13,MATCH("2025::jama.2025.15185::C006",'C_jama.2025.15185'!$A$2:$A$13,0))="retain",INDEX('C_jama.2025.15185'!$E$2:$E$13,MATCH("2025::jama.2025.15185::C006",'C_jama.2025.15185'!$A$2:$A$13,0))="statistical_results"),IF(INDEX('C_jama.2025.15185'!$I$2:$I$13,MATCH("2025::jama.2025.15185::C006",'C_jama.2025.15185'!$A$2:$A$13,0))="","",INDEX('C_jama.2025.15185'!$I$2:$I$13,MATCH("2025::jama.2025.15185::C006",'C_jama.2025.15185'!$A$2:$A$13,0))),"not_applicable")</x:f>
        <x:v>not_applicable</x:v>
      </x:c>
      <x:c r="W60" s="6" t="str">
        <x:f>IF(AND(INDEX('C_jama.2025.15185'!$D$2:$D$13,MATCH("2025::jama.2025.15185::C006",'C_jama.2025.15185'!$A$2:$A$13,0))="retain",INDEX('C_jama.2025.15185'!$E$2:$E$13,MATCH("2025::jama.2025.15185::C006",'C_jama.2025.15185'!$A$2:$A$13,0))="statistical_results"),IF(INDEX('C_jama.2025.15185'!$J$2:$J$13,MATCH("2025::jama.2025.15185::C006",'C_jama.2025.15185'!$A$2:$A$13,0))="","",INDEX('C_jama.2025.15185'!$J$2:$J$13,MATCH("2025::jama.2025.15185::C006",'C_jama.2025.15185'!$A$2:$A$13,0))),"not_applicable")</x:f>
        <x:v>not_applicable</x:v>
      </x:c>
      <x:c r="X60" s="6" t="str">
        <x:f>IF(AND(INDEX('C_jama.2025.15185'!$D$2:$D$13,MATCH("2025::jama.2025.15185::C006",'C_jama.2025.15185'!$A$2:$A$13,0))="retain",OR(INDEX('C_jama.2025.15185'!$E$2:$E$13,MATCH("2025::jama.2025.15185::C006",'C_jama.2025.15185'!$A$2:$A$13,0))="report_internal_inconsistency",INDEX('C_jama.2025.15185'!$E$2:$E$13,MATCH("2025::jama.2025.15185::C006",'C_jama.2025.15185'!$A$2:$A$13,0))="plan_material")),IF(INDEX('C_jama.2025.15185'!$K$2:$K$13,MATCH("2025::jama.2025.15185::C006",'C_jama.2025.15185'!$A$2:$A$13,0))="","",INDEX('C_jama.2025.15185'!$K$2:$K$13,MATCH("2025::jama.2025.15185::C006",'C_jama.2025.15185'!$A$2:$A$13,0))),"not_applicable")</x:f>
        <x:v>not_applicable</x:v>
      </x:c>
      <x:c r="Y60" s="6" t="str">
        <x:f>IF(AND(INDEX('C_jama.2025.15185'!$D$2:$D$13,MATCH("2025::jama.2025.15185::C006",'C_jama.2025.15185'!$A$2:$A$13,0))="retain",INDEX('C_jama.2025.15185'!$E$2:$E$13,MATCH("2025::jama.2025.15185::C006",'C_jama.2025.15185'!$A$2:$A$13,0))="protocol_report"),IF(INDEX('C_jama.2025.15185'!$L$2:$L$13,MATCH("2025::jama.2025.15185::C006",'C_jama.2025.15185'!$A$2:$A$13,0))="","",INDEX('C_jama.2025.15185'!$L$2:$L$13,MATCH("2025::jama.2025.15185::C006",'C_jama.2025.15185'!$A$2:$A$13,0))),"not_applicable")</x:f>
        <x:v>not_applicable</x:v>
      </x:c>
      <x:c r="Z60" s="6" t="str">
        <x:f>IF(INDEX('C_jama.2025.15185'!$R$2:$R$13,MATCH("2025::jama.2025.15185::C006",'C_jama.2025.15185'!$A$2:$A$13,0))="","",INDEX('C_jama.2025.15185'!$R$2:$R$13,MATCH("2025::jama.2025.15185::C006",'C_jama.2025.15185'!$A$2:$A$13,0)))</x:f>
      </x:c>
      <x:c r="AA60" s="6" t="str">
        <x:f>IF(INDEX('C_jama.2025.15185'!$N$2:$N$13,MATCH("2025::jama.2025.15185::C006",'C_jama.2025.15185'!$A$2:$A$13,0))="","",INDEX('C_jama.2025.15185'!$N$2:$N$13,MATCH("2025::jama.2025.15185::C006",'C_jama.2025.15185'!$A$2:$A$13,0)))</x:f>
      </x:c>
      <x:c r="AB60" s="6" t="str">
        <x:f>IF(INDEX('C_jama.2025.15185'!$O$2:$O$13,MATCH("2025::jama.2025.15185::C006",'C_jama.2025.15185'!$A$2:$A$13,0))="","",INDEX('C_jama.2025.15185'!$O$2:$O$13,MATCH("2025::jama.2025.15185::C006",'C_jama.2025.15185'!$A$2:$A$13,0)))</x:f>
      </x:c>
      <x:c r="AC60" s="6" t="str">
        <x:f>IF(INDEX('C_jama.2025.15185'!$P$2:$P$13,MATCH("2025::jama.2025.15185::C006",'C_jama.2025.15185'!$A$2:$A$13,0))="","",INDEX('C_jama.2025.15185'!$P$2:$P$13,MATCH("2025::jama.2025.15185::C006",'C_jama.2025.15185'!$A$2:$A$13,0)))</x:f>
      </x:c>
      <x:c r="AD60" s="6" t="str">
        <x:f>IF(INDEX('C_jama.2025.15185'!$Q$2:$Q$13,MATCH("2025::jama.2025.15185::C006",'C_jama.2025.15185'!$A$2:$A$13,0))="","",INDEX('C_jama.2025.15185'!$Q$2:$Q$13,MATCH("2025::jama.2025.15185::C006",'C_jama.2025.15185'!$A$2:$A$13,0)))</x:f>
      </x:c>
    </x:row>
    <x:row r="61" ht="65" customHeight="1">
      <x:c r="A61" s="3" t="n">
        <x:v>2025</x:v>
      </x:c>
      <x:c r="B61" s="3" t="str">
        <x:v>jama.2025.15185</x:v>
      </x:c>
      <x:c r="C61" s="3" t="str">
        <x:v>2025::jama.2025.15185::C007</x:v>
      </x:c>
      <x:c r="D61" s="3" t="str">
        <x:v>S_C</x:v>
      </x:c>
      <x:c r="E61" s="3" t="n">
        <x:f>Setup!$B$2</x:f>
        <x:v>0</x:v>
      </x:c>
      <x:c r="F61" s="3" t="str">
        <x:f>IF(Setup!$B$4="","",Setup!$B$4)</x:f>
      </x:c>
      <x:c r="G61" s="3" t="str">
        <x:f>IFERROR(INDEX('C_jama.2025.15185'!$G$2:$G$13,MATCH("2025::jama.2025.15185::C007",'C_jama.2025.15185'!$A$2:$A$13,0)),"CHECK KEY")</x:f>
        <x:v>CHECK REVIEWER IDs</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report_internal_inconsistency</x:v>
      </x:c>
      <x:c r="K61" s="3" t="str">
        <x:f>IF(Setup!$B$6="primary","",IFERROR(IF(INDEX('Primary_snapshot'!$B$2:$B$132,MATCH(C61,'Primary_snapshot'!$A$2:$A$132,0))="","",INDEX('Primary_snapshot'!$B$2:$B$132,MATCH(C61,'Primary_snapshot'!$A$2:$A$132,0))),"SNAPSHOT MISSING"))</x:f>
      </x:c>
      <x:c r="L61" s="3" t="str">
        <x:f>IF(Setup!$B$6="primary","",IFERROR(IF(INDEX('Primary_snapshot'!$C$2:$C$132,MATCH(C61,'Primary_snapshot'!$A$2:$A$132,0))="","",INDEX('Primary_snapshot'!$C$2:$C$132,MATCH(C61,'Primary_snapshot'!$A$2:$A$132,0))),"SNAPSHOT MISSING"))</x:f>
      </x:c>
      <x:c r="M61" s="3" t="str">
        <x:f>IF(Setup!$B$6="primary","",IFERROR(IF(INDEX('Primary_snapshot'!$D$2:$D$132,MATCH(C61,'Primary_snapshot'!$A$2:$A$132,0))="","",INDEX('Primary_snapshot'!$D$2:$D$132,MATCH(C61,'Primary_snapshot'!$A$2:$A$132,0))),"SNAPSHOT MISSING"))</x:f>
      </x:c>
      <x:c r="N61" s="3" t="str">
        <x:f>IF(Setup!$B$6="primary","",IFERROR(IF(INDEX('Primary_snapshot'!$E$2:$E$132,MATCH(C61,'Primary_snapshot'!$A$2:$A$132,0))="","",INDEX('Primary_snapshot'!$E$2:$E$132,MATCH(C61,'Primary_snapshot'!$A$2:$A$132,0))),"SNAPSHOT MISSING"))</x:f>
      </x:c>
      <x:c r="O61" s="3" t="str">
        <x:f>IF(Setup!$B$6="primary","",IFERROR(IF(INDEX('Primary_snapshot'!$F$2:$F$132,MATCH(C61,'Primary_snapshot'!$A$2:$A$132,0))="","",INDEX('Primary_snapshot'!$F$2:$F$132,MATCH(C61,'Primary_snapshot'!$A$2:$A$132,0))),"SNAPSHOT MISSING"))</x:f>
      </x:c>
      <x:c r="P61" s="3" t="str">
        <x:f>IF(Setup!$B$6="primary","",IFERROR(IF(INDEX('Primary_snapshot'!$G$2:$G$132,MATCH(C61,'Primary_snapshot'!$A$2:$A$132,0))="","",INDEX('Primary_snapshot'!$G$2:$G$132,MATCH(C61,'Primary_snapshot'!$A$2:$A$132,0))),"SNAPSHOT MISSING"))</x:f>
      </x:c>
      <x:c r="Q61" s="3" t="str">
        <x:f>IF(Setup!$B$6="primary","",IFERROR(IF(INDEX('Primary_snapshot'!$H$2:$H$132,MATCH(C61,'Primary_snapshot'!$A$2:$A$132,0))="","",INDEX('Primary_snapshot'!$H$2:$H$132,MATCH(C61,'Primary_snapshot'!$A$2:$A$132,0))),"SNAPSHOT MISSING"))</x:f>
      </x:c>
      <x:c r="R61" s="3" t="str">
        <x:f>IF(Setup!$B$6="primary","",IFERROR(IF(INDEX('Primary_snapshot'!$I$2:$I$132,MATCH(C61,'Primary_snapshot'!$A$2:$A$132,0))="","",INDEX('Primary_snapshot'!$I$2:$I$132,MATCH(C61,'Primary_snapshot'!$A$2:$A$132,0))),"SNAPSHOT MISSING"))</x:f>
      </x:c>
      <x:c r="S61" s="3" t="str">
        <x:f>IF(INDEX('C_jama.2025.15185'!$D$2:$D$13,MATCH("2025::jama.2025.15185::C007",'C_jama.2025.15185'!$A$2:$A$13,0))="","",INDEX('C_jama.2025.15185'!$D$2:$D$13,MATCH("2025::jama.2025.15185::C007",'C_jama.2025.15185'!$A$2:$A$13,0)))</x:f>
      </x:c>
      <x:c r="T61" s="3" t="str">
        <x:f>IF(INDEX('C_jama.2025.15185'!$E$2:$E$13,MATCH("2025::jama.2025.15185::C007",'C_jama.2025.15185'!$A$2:$A$13,0))="","",INDEX('C_jama.2025.15185'!$E$2:$E$13,MATCH("2025::jama.2025.15185::C007",'C_jama.2025.15185'!$A$2:$A$13,0)))</x:f>
        <x:v>report_internal_inconsistency</x:v>
      </x:c>
      <x:c r="U61" s="3" t="str">
        <x:f>IF(AND(INDEX('C_jama.2025.15185'!$D$2:$D$13,MATCH("2025::jama.2025.15185::C007",'C_jama.2025.15185'!$A$2:$A$13,0))="retain",INDEX('C_jama.2025.15185'!$E$2:$E$13,MATCH("2025::jama.2025.15185::C007",'C_jama.2025.15185'!$A$2:$A$13,0))="statistical_results"),IF(INDEX('C_jama.2025.15185'!$H$2:$H$13,MATCH("2025::jama.2025.15185::C007",'C_jama.2025.15185'!$A$2:$A$13,0))="","",INDEX('C_jama.2025.15185'!$H$2:$H$13,MATCH("2025::jama.2025.15185::C007",'C_jama.2025.15185'!$A$2:$A$13,0))),"not_applicable")</x:f>
        <x:v>not_applicable</x:v>
      </x:c>
      <x:c r="V61" s="3" t="str">
        <x:f>IF(AND(INDEX('C_jama.2025.15185'!$D$2:$D$13,MATCH("2025::jama.2025.15185::C007",'C_jama.2025.15185'!$A$2:$A$13,0))="retain",INDEX('C_jama.2025.15185'!$E$2:$E$13,MATCH("2025::jama.2025.15185::C007",'C_jama.2025.15185'!$A$2:$A$13,0))="statistical_results"),IF(INDEX('C_jama.2025.15185'!$I$2:$I$13,MATCH("2025::jama.2025.15185::C007",'C_jama.2025.15185'!$A$2:$A$13,0))="","",INDEX('C_jama.2025.15185'!$I$2:$I$13,MATCH("2025::jama.2025.15185::C007",'C_jama.2025.15185'!$A$2:$A$13,0))),"not_applicable")</x:f>
        <x:v>not_applicable</x:v>
      </x:c>
      <x:c r="W61" s="3" t="str">
        <x:f>IF(AND(INDEX('C_jama.2025.15185'!$D$2:$D$13,MATCH("2025::jama.2025.15185::C007",'C_jama.2025.15185'!$A$2:$A$13,0))="retain",INDEX('C_jama.2025.15185'!$E$2:$E$13,MATCH("2025::jama.2025.15185::C007",'C_jama.2025.15185'!$A$2:$A$13,0))="statistical_results"),IF(INDEX('C_jama.2025.15185'!$J$2:$J$13,MATCH("2025::jama.2025.15185::C007",'C_jama.2025.15185'!$A$2:$A$13,0))="","",INDEX('C_jama.2025.15185'!$J$2:$J$13,MATCH("2025::jama.2025.15185::C007",'C_jama.2025.15185'!$A$2:$A$13,0))),"not_applicable")</x:f>
        <x:v>not_applicable</x:v>
      </x:c>
      <x:c r="X61" s="3" t="str">
        <x:f>IF(AND(INDEX('C_jama.2025.15185'!$D$2:$D$13,MATCH("2025::jama.2025.15185::C007",'C_jama.2025.15185'!$A$2:$A$13,0))="retain",OR(INDEX('C_jama.2025.15185'!$E$2:$E$13,MATCH("2025::jama.2025.15185::C007",'C_jama.2025.15185'!$A$2:$A$13,0))="report_internal_inconsistency",INDEX('C_jama.2025.15185'!$E$2:$E$13,MATCH("2025::jama.2025.15185::C007",'C_jama.2025.15185'!$A$2:$A$13,0))="plan_material")),IF(INDEX('C_jama.2025.15185'!$K$2:$K$13,MATCH("2025::jama.2025.15185::C007",'C_jama.2025.15185'!$A$2:$A$13,0))="","",INDEX('C_jama.2025.15185'!$K$2:$K$13,MATCH("2025::jama.2025.15185::C007",'C_jama.2025.15185'!$A$2:$A$13,0))),"not_applicable")</x:f>
        <x:v>not_applicable</x:v>
      </x:c>
      <x:c r="Y61" s="3" t="str">
        <x:f>IF(AND(INDEX('C_jama.2025.15185'!$D$2:$D$13,MATCH("2025::jama.2025.15185::C007",'C_jama.2025.15185'!$A$2:$A$13,0))="retain",INDEX('C_jama.2025.15185'!$E$2:$E$13,MATCH("2025::jama.2025.15185::C007",'C_jama.2025.15185'!$A$2:$A$13,0))="protocol_report"),IF(INDEX('C_jama.2025.15185'!$L$2:$L$13,MATCH("2025::jama.2025.15185::C007",'C_jama.2025.15185'!$A$2:$A$13,0))="","",INDEX('C_jama.2025.15185'!$L$2:$L$13,MATCH("2025::jama.2025.15185::C007",'C_jama.2025.15185'!$A$2:$A$13,0))),"not_applicable")</x:f>
        <x:v>not_applicable</x:v>
      </x:c>
      <x:c r="Z61" s="3" t="str">
        <x:f>IF(INDEX('C_jama.2025.15185'!$R$2:$R$13,MATCH("2025::jama.2025.15185::C007",'C_jama.2025.15185'!$A$2:$A$13,0))="","",INDEX('C_jama.2025.15185'!$R$2:$R$13,MATCH("2025::jama.2025.15185::C007",'C_jama.2025.15185'!$A$2:$A$13,0)))</x:f>
      </x:c>
      <x:c r="AA61" s="3" t="str">
        <x:f>IF(INDEX('C_jama.2025.15185'!$N$2:$N$13,MATCH("2025::jama.2025.15185::C007",'C_jama.2025.15185'!$A$2:$A$13,0))="","",INDEX('C_jama.2025.15185'!$N$2:$N$13,MATCH("2025::jama.2025.15185::C007",'C_jama.2025.15185'!$A$2:$A$13,0)))</x:f>
      </x:c>
      <x:c r="AB61" s="3" t="str">
        <x:f>IF(INDEX('C_jama.2025.15185'!$O$2:$O$13,MATCH("2025::jama.2025.15185::C007",'C_jama.2025.15185'!$A$2:$A$13,0))="","",INDEX('C_jama.2025.15185'!$O$2:$O$13,MATCH("2025::jama.2025.15185::C007",'C_jama.2025.15185'!$A$2:$A$13,0)))</x:f>
      </x:c>
      <x:c r="AC61" s="3" t="str">
        <x:f>IF(INDEX('C_jama.2025.15185'!$P$2:$P$13,MATCH("2025::jama.2025.15185::C007",'C_jama.2025.15185'!$A$2:$A$13,0))="","",INDEX('C_jama.2025.15185'!$P$2:$P$13,MATCH("2025::jama.2025.15185::C007",'C_jama.2025.15185'!$A$2:$A$13,0)))</x:f>
      </x:c>
      <x:c r="AD61" s="3" t="str">
        <x:f>IF(INDEX('C_jama.2025.15185'!$Q$2:$Q$13,MATCH("2025::jama.2025.15185::C007",'C_jama.2025.15185'!$A$2:$A$13,0))="","",INDEX('C_jama.2025.15185'!$Q$2:$Q$13,MATCH("2025::jama.2025.15185::C007",'C_jama.2025.15185'!$A$2:$A$13,0)))</x:f>
      </x:c>
    </x:row>
    <x:row r="62" ht="65" customHeight="1">
      <x:c r="A62" s="6" t="n">
        <x:v>2025</x:v>
      </x:c>
      <x:c r="B62" s="6" t="str">
        <x:v>jama.2025.15185</x:v>
      </x:c>
      <x:c r="C62" s="6" t="str">
        <x:v>2025::jama.2025.15185::C008</x:v>
      </x:c>
      <x:c r="D62" s="6" t="str">
        <x:v>S_C</x:v>
      </x:c>
      <x:c r="E62" s="6" t="n">
        <x:f>Setup!$B$2</x:f>
        <x:v>0</x:v>
      </x:c>
      <x:c r="F62" s="6" t="str">
        <x:f>IF(Setup!$B$4="","",Setup!$B$4)</x:f>
      </x:c>
      <x:c r="G62" s="6" t="str">
        <x:f>IFERROR(INDEX('C_jama.2025.15185'!$G$2:$G$13,MATCH("2025::jama.2025.15185::C008",'C_jama.2025.15185'!$A$2:$A$13,0)),"CHECK KEY")</x:f>
        <x:v>CHECK REVIEWER IDs</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report_internal_inconsistency</x:v>
      </x:c>
      <x:c r="K62" s="6" t="str">
        <x:f>IF(Setup!$B$6="primary","",IFERROR(IF(INDEX('Primary_snapshot'!$B$2:$B$132,MATCH(C62,'Primary_snapshot'!$A$2:$A$132,0))="","",INDEX('Primary_snapshot'!$B$2:$B$132,MATCH(C62,'Primary_snapshot'!$A$2:$A$132,0))),"SNAPSHOT MISSING"))</x:f>
      </x:c>
      <x:c r="L62" s="6" t="str">
        <x:f>IF(Setup!$B$6="primary","",IFERROR(IF(INDEX('Primary_snapshot'!$C$2:$C$132,MATCH(C62,'Primary_snapshot'!$A$2:$A$132,0))="","",INDEX('Primary_snapshot'!$C$2:$C$132,MATCH(C62,'Primary_snapshot'!$A$2:$A$132,0))),"SNAPSHOT MISSING"))</x:f>
      </x:c>
      <x:c r="M62" s="6" t="str">
        <x:f>IF(Setup!$B$6="primary","",IFERROR(IF(INDEX('Primary_snapshot'!$D$2:$D$132,MATCH(C62,'Primary_snapshot'!$A$2:$A$132,0))="","",INDEX('Primary_snapshot'!$D$2:$D$132,MATCH(C62,'Primary_snapshot'!$A$2:$A$132,0))),"SNAPSHOT MISSING"))</x:f>
      </x:c>
      <x:c r="N62" s="6" t="str">
        <x:f>IF(Setup!$B$6="primary","",IFERROR(IF(INDEX('Primary_snapshot'!$E$2:$E$132,MATCH(C62,'Primary_snapshot'!$A$2:$A$132,0))="","",INDEX('Primary_snapshot'!$E$2:$E$132,MATCH(C62,'Primary_snapshot'!$A$2:$A$132,0))),"SNAPSHOT MISSING"))</x:f>
      </x:c>
      <x:c r="O62" s="6" t="str">
        <x:f>IF(Setup!$B$6="primary","",IFERROR(IF(INDEX('Primary_snapshot'!$F$2:$F$132,MATCH(C62,'Primary_snapshot'!$A$2:$A$132,0))="","",INDEX('Primary_snapshot'!$F$2:$F$132,MATCH(C62,'Primary_snapshot'!$A$2:$A$132,0))),"SNAPSHOT MISSING"))</x:f>
      </x:c>
      <x:c r="P62" s="6" t="str">
        <x:f>IF(Setup!$B$6="primary","",IFERROR(IF(INDEX('Primary_snapshot'!$G$2:$G$132,MATCH(C62,'Primary_snapshot'!$A$2:$A$132,0))="","",INDEX('Primary_snapshot'!$G$2:$G$132,MATCH(C62,'Primary_snapshot'!$A$2:$A$132,0))),"SNAPSHOT MISSING"))</x:f>
      </x:c>
      <x:c r="Q62" s="6" t="str">
        <x:f>IF(Setup!$B$6="primary","",IFERROR(IF(INDEX('Primary_snapshot'!$H$2:$H$132,MATCH(C62,'Primary_snapshot'!$A$2:$A$132,0))="","",INDEX('Primary_snapshot'!$H$2:$H$132,MATCH(C62,'Primary_snapshot'!$A$2:$A$132,0))),"SNAPSHOT MISSING"))</x:f>
      </x:c>
      <x:c r="R62" s="6" t="str">
        <x:f>IF(Setup!$B$6="primary","",IFERROR(IF(INDEX('Primary_snapshot'!$I$2:$I$132,MATCH(C62,'Primary_snapshot'!$A$2:$A$132,0))="","",INDEX('Primary_snapshot'!$I$2:$I$132,MATCH(C62,'Primary_snapshot'!$A$2:$A$132,0))),"SNAPSHOT MISSING"))</x:f>
      </x:c>
      <x:c r="S62" s="6" t="str">
        <x:f>IF(INDEX('C_jama.2025.15185'!$D$2:$D$13,MATCH("2025::jama.2025.15185::C008",'C_jama.2025.15185'!$A$2:$A$13,0))="","",INDEX('C_jama.2025.15185'!$D$2:$D$13,MATCH("2025::jama.2025.15185::C008",'C_jama.2025.15185'!$A$2:$A$13,0)))</x:f>
      </x:c>
      <x:c r="T62" s="6" t="str">
        <x:f>IF(INDEX('C_jama.2025.15185'!$E$2:$E$13,MATCH("2025::jama.2025.15185::C008",'C_jama.2025.15185'!$A$2:$A$13,0))="","",INDEX('C_jama.2025.15185'!$E$2:$E$13,MATCH("2025::jama.2025.15185::C008",'C_jama.2025.15185'!$A$2:$A$13,0)))</x:f>
        <x:v>report_internal_inconsistency</x:v>
      </x:c>
      <x:c r="U62" s="6" t="str">
        <x:f>IF(AND(INDEX('C_jama.2025.15185'!$D$2:$D$13,MATCH("2025::jama.2025.15185::C008",'C_jama.2025.15185'!$A$2:$A$13,0))="retain",INDEX('C_jama.2025.15185'!$E$2:$E$13,MATCH("2025::jama.2025.15185::C008",'C_jama.2025.15185'!$A$2:$A$13,0))="statistical_results"),IF(INDEX('C_jama.2025.15185'!$H$2:$H$13,MATCH("2025::jama.2025.15185::C008",'C_jama.2025.15185'!$A$2:$A$13,0))="","",INDEX('C_jama.2025.15185'!$H$2:$H$13,MATCH("2025::jama.2025.15185::C008",'C_jama.2025.15185'!$A$2:$A$13,0))),"not_applicable")</x:f>
        <x:v>not_applicable</x:v>
      </x:c>
      <x:c r="V62" s="6" t="str">
        <x:f>IF(AND(INDEX('C_jama.2025.15185'!$D$2:$D$13,MATCH("2025::jama.2025.15185::C008",'C_jama.2025.15185'!$A$2:$A$13,0))="retain",INDEX('C_jama.2025.15185'!$E$2:$E$13,MATCH("2025::jama.2025.15185::C008",'C_jama.2025.15185'!$A$2:$A$13,0))="statistical_results"),IF(INDEX('C_jama.2025.15185'!$I$2:$I$13,MATCH("2025::jama.2025.15185::C008",'C_jama.2025.15185'!$A$2:$A$13,0))="","",INDEX('C_jama.2025.15185'!$I$2:$I$13,MATCH("2025::jama.2025.15185::C008",'C_jama.2025.15185'!$A$2:$A$13,0))),"not_applicable")</x:f>
        <x:v>not_applicable</x:v>
      </x:c>
      <x:c r="W62" s="6" t="str">
        <x:f>IF(AND(INDEX('C_jama.2025.15185'!$D$2:$D$13,MATCH("2025::jama.2025.15185::C008",'C_jama.2025.15185'!$A$2:$A$13,0))="retain",INDEX('C_jama.2025.15185'!$E$2:$E$13,MATCH("2025::jama.2025.15185::C008",'C_jama.2025.15185'!$A$2:$A$13,0))="statistical_results"),IF(INDEX('C_jama.2025.15185'!$J$2:$J$13,MATCH("2025::jama.2025.15185::C008",'C_jama.2025.15185'!$A$2:$A$13,0))="","",INDEX('C_jama.2025.15185'!$J$2:$J$13,MATCH("2025::jama.2025.15185::C008",'C_jama.2025.15185'!$A$2:$A$13,0))),"not_applicable")</x:f>
        <x:v>not_applicable</x:v>
      </x:c>
      <x:c r="X62" s="6" t="str">
        <x:f>IF(AND(INDEX('C_jama.2025.15185'!$D$2:$D$13,MATCH("2025::jama.2025.15185::C008",'C_jama.2025.15185'!$A$2:$A$13,0))="retain",OR(INDEX('C_jama.2025.15185'!$E$2:$E$13,MATCH("2025::jama.2025.15185::C008",'C_jama.2025.15185'!$A$2:$A$13,0))="report_internal_inconsistency",INDEX('C_jama.2025.15185'!$E$2:$E$13,MATCH("2025::jama.2025.15185::C008",'C_jama.2025.15185'!$A$2:$A$13,0))="plan_material")),IF(INDEX('C_jama.2025.15185'!$K$2:$K$13,MATCH("2025::jama.2025.15185::C008",'C_jama.2025.15185'!$A$2:$A$13,0))="","",INDEX('C_jama.2025.15185'!$K$2:$K$13,MATCH("2025::jama.2025.15185::C008",'C_jama.2025.15185'!$A$2:$A$13,0))),"not_applicable")</x:f>
        <x:v>not_applicable</x:v>
      </x:c>
      <x:c r="Y62" s="6" t="str">
        <x:f>IF(AND(INDEX('C_jama.2025.15185'!$D$2:$D$13,MATCH("2025::jama.2025.15185::C008",'C_jama.2025.15185'!$A$2:$A$13,0))="retain",INDEX('C_jama.2025.15185'!$E$2:$E$13,MATCH("2025::jama.2025.15185::C008",'C_jama.2025.15185'!$A$2:$A$13,0))="protocol_report"),IF(INDEX('C_jama.2025.15185'!$L$2:$L$13,MATCH("2025::jama.2025.15185::C008",'C_jama.2025.15185'!$A$2:$A$13,0))="","",INDEX('C_jama.2025.15185'!$L$2:$L$13,MATCH("2025::jama.2025.15185::C008",'C_jama.2025.15185'!$A$2:$A$13,0))),"not_applicable")</x:f>
        <x:v>not_applicable</x:v>
      </x:c>
      <x:c r="Z62" s="6" t="str">
        <x:f>IF(INDEX('C_jama.2025.15185'!$R$2:$R$13,MATCH("2025::jama.2025.15185::C008",'C_jama.2025.15185'!$A$2:$A$13,0))="","",INDEX('C_jama.2025.15185'!$R$2:$R$13,MATCH("2025::jama.2025.15185::C008",'C_jama.2025.15185'!$A$2:$A$13,0)))</x:f>
      </x:c>
      <x:c r="AA62" s="6" t="str">
        <x:f>IF(INDEX('C_jama.2025.15185'!$N$2:$N$13,MATCH("2025::jama.2025.15185::C008",'C_jama.2025.15185'!$A$2:$A$13,0))="","",INDEX('C_jama.2025.15185'!$N$2:$N$13,MATCH("2025::jama.2025.15185::C008",'C_jama.2025.15185'!$A$2:$A$13,0)))</x:f>
      </x:c>
      <x:c r="AB62" s="6" t="str">
        <x:f>IF(INDEX('C_jama.2025.15185'!$O$2:$O$13,MATCH("2025::jama.2025.15185::C008",'C_jama.2025.15185'!$A$2:$A$13,0))="","",INDEX('C_jama.2025.15185'!$O$2:$O$13,MATCH("2025::jama.2025.15185::C008",'C_jama.2025.15185'!$A$2:$A$13,0)))</x:f>
      </x:c>
      <x:c r="AC62" s="6" t="str">
        <x:f>IF(INDEX('C_jama.2025.15185'!$P$2:$P$13,MATCH("2025::jama.2025.15185::C008",'C_jama.2025.15185'!$A$2:$A$13,0))="","",INDEX('C_jama.2025.15185'!$P$2:$P$13,MATCH("2025::jama.2025.15185::C008",'C_jama.2025.15185'!$A$2:$A$13,0)))</x:f>
      </x:c>
      <x:c r="AD62" s="6" t="str">
        <x:f>IF(INDEX('C_jama.2025.15185'!$Q$2:$Q$13,MATCH("2025::jama.2025.15185::C008",'C_jama.2025.15185'!$A$2:$A$13,0))="","",INDEX('C_jama.2025.15185'!$Q$2:$Q$13,MATCH("2025::jama.2025.15185::C008",'C_jama.2025.15185'!$A$2:$A$13,0)))</x:f>
      </x:c>
    </x:row>
    <x:row r="63" ht="65" customHeight="1">
      <x:c r="A63" s="3" t="n">
        <x:v>2025</x:v>
      </x:c>
      <x:c r="B63" s="3" t="str">
        <x:v>jama.2025.15185</x:v>
      </x:c>
      <x:c r="C63" s="3" t="str">
        <x:v>2025::jama.2025.15185::C009</x:v>
      </x:c>
      <x:c r="D63" s="3" t="str">
        <x:v>S_W</x:v>
      </x:c>
      <x:c r="E63" s="3" t="n">
        <x:f>Setup!$B$2</x:f>
        <x:v>0</x:v>
      </x:c>
      <x:c r="F63" s="3" t="str">
        <x:f>IF(Setup!$B$4="","",Setup!$B$4)</x:f>
      </x:c>
      <x:c r="G63" s="3" t="str">
        <x:f>IFERROR(INDEX('C_jama.2025.15185'!$G$2:$G$13,MATCH("2025::jama.2025.15185::C009",'C_jama.2025.15185'!$A$2:$A$13,0)),"CHECK KEY")</x:f>
        <x:v>CHECK REVIEWER IDs</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statistical_results</x:v>
      </x:c>
      <x:c r="K63" s="3" t="str">
        <x:f>IF(Setup!$B$6="primary","",IFERROR(IF(INDEX('Primary_snapshot'!$B$2:$B$132,MATCH(C63,'Primary_snapshot'!$A$2:$A$132,0))="","",INDEX('Primary_snapshot'!$B$2:$B$132,MATCH(C63,'Primary_snapshot'!$A$2:$A$132,0))),"SNAPSHOT MISSING"))</x:f>
      </x:c>
      <x:c r="L63" s="3" t="str">
        <x:f>IF(Setup!$B$6="primary","",IFERROR(IF(INDEX('Primary_snapshot'!$C$2:$C$132,MATCH(C63,'Primary_snapshot'!$A$2:$A$132,0))="","",INDEX('Primary_snapshot'!$C$2:$C$132,MATCH(C63,'Primary_snapshot'!$A$2:$A$132,0))),"SNAPSHOT MISSING"))</x:f>
      </x:c>
      <x:c r="M63" s="3" t="str">
        <x:f>IF(Setup!$B$6="primary","",IFERROR(IF(INDEX('Primary_snapshot'!$D$2:$D$132,MATCH(C63,'Primary_snapshot'!$A$2:$A$132,0))="","",INDEX('Primary_snapshot'!$D$2:$D$132,MATCH(C63,'Primary_snapshot'!$A$2:$A$132,0))),"SNAPSHOT MISSING"))</x:f>
      </x:c>
      <x:c r="N63" s="3" t="str">
        <x:f>IF(Setup!$B$6="primary","",IFERROR(IF(INDEX('Primary_snapshot'!$E$2:$E$132,MATCH(C63,'Primary_snapshot'!$A$2:$A$132,0))="","",INDEX('Primary_snapshot'!$E$2:$E$132,MATCH(C63,'Primary_snapshot'!$A$2:$A$132,0))),"SNAPSHOT MISSING"))</x:f>
      </x:c>
      <x:c r="O63" s="3" t="str">
        <x:f>IF(Setup!$B$6="primary","",IFERROR(IF(INDEX('Primary_snapshot'!$F$2:$F$132,MATCH(C63,'Primary_snapshot'!$A$2:$A$132,0))="","",INDEX('Primary_snapshot'!$F$2:$F$132,MATCH(C63,'Primary_snapshot'!$A$2:$A$132,0))),"SNAPSHOT MISSING"))</x:f>
      </x:c>
      <x:c r="P63" s="3" t="str">
        <x:f>IF(Setup!$B$6="primary","",IFERROR(IF(INDEX('Primary_snapshot'!$G$2:$G$132,MATCH(C63,'Primary_snapshot'!$A$2:$A$132,0))="","",INDEX('Primary_snapshot'!$G$2:$G$132,MATCH(C63,'Primary_snapshot'!$A$2:$A$132,0))),"SNAPSHOT MISSING"))</x:f>
      </x:c>
      <x:c r="Q63" s="3" t="str">
        <x:f>IF(Setup!$B$6="primary","",IFERROR(IF(INDEX('Primary_snapshot'!$H$2:$H$132,MATCH(C63,'Primary_snapshot'!$A$2:$A$132,0))="","",INDEX('Primary_snapshot'!$H$2:$H$132,MATCH(C63,'Primary_snapshot'!$A$2:$A$132,0))),"SNAPSHOT MISSING"))</x:f>
      </x:c>
      <x:c r="R63" s="3" t="str">
        <x:f>IF(Setup!$B$6="primary","",IFERROR(IF(INDEX('Primary_snapshot'!$I$2:$I$132,MATCH(C63,'Primary_snapshot'!$A$2:$A$132,0))="","",INDEX('Primary_snapshot'!$I$2:$I$132,MATCH(C63,'Primary_snapshot'!$A$2:$A$132,0))),"SNAPSHOT MISSING"))</x:f>
      </x:c>
      <x:c r="S63" s="3" t="str">
        <x:f>IF(INDEX('C_jama.2025.15185'!$D$2:$D$13,MATCH("2025::jama.2025.15185::C009",'C_jama.2025.15185'!$A$2:$A$13,0))="","",INDEX('C_jama.2025.15185'!$D$2:$D$13,MATCH("2025::jama.2025.15185::C009",'C_jama.2025.15185'!$A$2:$A$13,0)))</x:f>
      </x:c>
      <x:c r="T63" s="3" t="str">
        <x:f>IF(INDEX('C_jama.2025.15185'!$E$2:$E$13,MATCH("2025::jama.2025.15185::C009",'C_jama.2025.15185'!$A$2:$A$13,0))="","",INDEX('C_jama.2025.15185'!$E$2:$E$13,MATCH("2025::jama.2025.15185::C009",'C_jama.2025.15185'!$A$2:$A$13,0)))</x:f>
        <x:v>statistical_results</x:v>
      </x:c>
      <x:c r="U63" s="3" t="str">
        <x:f>IF(AND(INDEX('C_jama.2025.15185'!$D$2:$D$13,MATCH("2025::jama.2025.15185::C009",'C_jama.2025.15185'!$A$2:$A$13,0))="retain",INDEX('C_jama.2025.15185'!$E$2:$E$13,MATCH("2025::jama.2025.15185::C009",'C_jama.2025.15185'!$A$2:$A$13,0))="statistical_results"),IF(INDEX('C_jama.2025.15185'!$H$2:$H$13,MATCH("2025::jama.2025.15185::C009",'C_jama.2025.15185'!$A$2:$A$13,0))="","",INDEX('C_jama.2025.15185'!$H$2:$H$13,MATCH("2025::jama.2025.15185::C009",'C_jama.2025.15185'!$A$2:$A$13,0))),"not_applicable")</x:f>
        <x:v>not_applicable</x:v>
      </x:c>
      <x:c r="V63" s="3" t="str">
        <x:f>IF(AND(INDEX('C_jama.2025.15185'!$D$2:$D$13,MATCH("2025::jama.2025.15185::C009",'C_jama.2025.15185'!$A$2:$A$13,0))="retain",INDEX('C_jama.2025.15185'!$E$2:$E$13,MATCH("2025::jama.2025.15185::C009",'C_jama.2025.15185'!$A$2:$A$13,0))="statistical_results"),IF(INDEX('C_jama.2025.15185'!$I$2:$I$13,MATCH("2025::jama.2025.15185::C009",'C_jama.2025.15185'!$A$2:$A$13,0))="","",INDEX('C_jama.2025.15185'!$I$2:$I$13,MATCH("2025::jama.2025.15185::C009",'C_jama.2025.15185'!$A$2:$A$13,0))),"not_applicable")</x:f>
        <x:v>not_applicable</x:v>
      </x:c>
      <x:c r="W63" s="3" t="str">
        <x:f>IF(AND(INDEX('C_jama.2025.15185'!$D$2:$D$13,MATCH("2025::jama.2025.15185::C009",'C_jama.2025.15185'!$A$2:$A$13,0))="retain",INDEX('C_jama.2025.15185'!$E$2:$E$13,MATCH("2025::jama.2025.15185::C009",'C_jama.2025.15185'!$A$2:$A$13,0))="statistical_results"),IF(INDEX('C_jama.2025.15185'!$J$2:$J$13,MATCH("2025::jama.2025.15185::C009",'C_jama.2025.15185'!$A$2:$A$13,0))="","",INDEX('C_jama.2025.15185'!$J$2:$J$13,MATCH("2025::jama.2025.15185::C009",'C_jama.2025.15185'!$A$2:$A$13,0))),"not_applicable")</x:f>
        <x:v>not_applicable</x:v>
      </x:c>
      <x:c r="X63" s="3" t="str">
        <x:f>IF(AND(INDEX('C_jama.2025.15185'!$D$2:$D$13,MATCH("2025::jama.2025.15185::C009",'C_jama.2025.15185'!$A$2:$A$13,0))="retain",OR(INDEX('C_jama.2025.15185'!$E$2:$E$13,MATCH("2025::jama.2025.15185::C009",'C_jama.2025.15185'!$A$2:$A$13,0))="report_internal_inconsistency",INDEX('C_jama.2025.15185'!$E$2:$E$13,MATCH("2025::jama.2025.15185::C009",'C_jama.2025.15185'!$A$2:$A$13,0))="plan_material")),IF(INDEX('C_jama.2025.15185'!$K$2:$K$13,MATCH("2025::jama.2025.15185::C009",'C_jama.2025.15185'!$A$2:$A$13,0))="","",INDEX('C_jama.2025.15185'!$K$2:$K$13,MATCH("2025::jama.2025.15185::C009",'C_jama.2025.15185'!$A$2:$A$13,0))),"not_applicable")</x:f>
        <x:v>not_applicable</x:v>
      </x:c>
      <x:c r="Y63" s="3" t="str">
        <x:f>IF(AND(INDEX('C_jama.2025.15185'!$D$2:$D$13,MATCH("2025::jama.2025.15185::C009",'C_jama.2025.15185'!$A$2:$A$13,0))="retain",INDEX('C_jama.2025.15185'!$E$2:$E$13,MATCH("2025::jama.2025.15185::C009",'C_jama.2025.15185'!$A$2:$A$13,0))="protocol_report"),IF(INDEX('C_jama.2025.15185'!$L$2:$L$13,MATCH("2025::jama.2025.15185::C009",'C_jama.2025.15185'!$A$2:$A$13,0))="","",INDEX('C_jama.2025.15185'!$L$2:$L$13,MATCH("2025::jama.2025.15185::C009",'C_jama.2025.15185'!$A$2:$A$13,0))),"not_applicable")</x:f>
        <x:v>not_applicable</x:v>
      </x:c>
      <x:c r="Z63" s="3" t="str">
        <x:f>IF(INDEX('C_jama.2025.15185'!$R$2:$R$13,MATCH("2025::jama.2025.15185::C009",'C_jama.2025.15185'!$A$2:$A$13,0))="","",INDEX('C_jama.2025.15185'!$R$2:$R$13,MATCH("2025::jama.2025.15185::C009",'C_jama.2025.15185'!$A$2:$A$13,0)))</x:f>
      </x:c>
      <x:c r="AA63" s="3" t="str">
        <x:f>IF(INDEX('C_jama.2025.15185'!$N$2:$N$13,MATCH("2025::jama.2025.15185::C009",'C_jama.2025.15185'!$A$2:$A$13,0))="","",INDEX('C_jama.2025.15185'!$N$2:$N$13,MATCH("2025::jama.2025.15185::C009",'C_jama.2025.15185'!$A$2:$A$13,0)))</x:f>
      </x:c>
      <x:c r="AB63" s="3" t="str">
        <x:f>IF(INDEX('C_jama.2025.15185'!$O$2:$O$13,MATCH("2025::jama.2025.15185::C009",'C_jama.2025.15185'!$A$2:$A$13,0))="","",INDEX('C_jama.2025.15185'!$O$2:$O$13,MATCH("2025::jama.2025.15185::C009",'C_jama.2025.15185'!$A$2:$A$13,0)))</x:f>
      </x:c>
      <x:c r="AC63" s="3" t="str">
        <x:f>IF(INDEX('C_jama.2025.15185'!$P$2:$P$13,MATCH("2025::jama.2025.15185::C009",'C_jama.2025.15185'!$A$2:$A$13,0))="","",INDEX('C_jama.2025.15185'!$P$2:$P$13,MATCH("2025::jama.2025.15185::C009",'C_jama.2025.15185'!$A$2:$A$13,0)))</x:f>
      </x:c>
      <x:c r="AD63" s="3" t="str">
        <x:f>IF(INDEX('C_jama.2025.15185'!$Q$2:$Q$13,MATCH("2025::jama.2025.15185::C009",'C_jama.2025.15185'!$A$2:$A$13,0))="","",INDEX('C_jama.2025.15185'!$Q$2:$Q$13,MATCH("2025::jama.2025.15185::C009",'C_jama.2025.15185'!$A$2:$A$13,0)))</x:f>
      </x:c>
    </x:row>
    <x:row r="64" ht="65" customHeight="1">
      <x:c r="A64" s="6" t="n">
        <x:v>2025</x:v>
      </x:c>
      <x:c r="B64" s="6" t="str">
        <x:v>jama.2025.15185</x:v>
      </x:c>
      <x:c r="C64" s="6" t="str">
        <x:v>2025::jama.2025.15185::C010</x:v>
      </x:c>
      <x:c r="D64" s="6" t="str">
        <x:v>S_W</x:v>
      </x:c>
      <x:c r="E64" s="6" t="n">
        <x:f>Setup!$B$2</x:f>
        <x:v>0</x:v>
      </x:c>
      <x:c r="F64" s="6" t="str">
        <x:f>IF(Setup!$B$4="","",Setup!$B$4)</x:f>
      </x:c>
      <x:c r="G64" s="6" t="str">
        <x:f>IFERROR(INDEX('C_jama.2025.15185'!$G$2:$G$13,MATCH("2025::jama.2025.15185::C010",'C_jama.2025.15185'!$A$2:$A$13,0)),"CHECK KEY")</x:f>
        <x:v>CHECK REVIEWER IDs</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report_internal_inconsistency</x:v>
      </x:c>
      <x:c r="K64" s="6" t="str">
        <x:f>IF(Setup!$B$6="primary","",IFERROR(IF(INDEX('Primary_snapshot'!$B$2:$B$132,MATCH(C64,'Primary_snapshot'!$A$2:$A$132,0))="","",INDEX('Primary_snapshot'!$B$2:$B$132,MATCH(C64,'Primary_snapshot'!$A$2:$A$132,0))),"SNAPSHOT MISSING"))</x:f>
      </x:c>
      <x:c r="L64" s="6" t="str">
        <x:f>IF(Setup!$B$6="primary","",IFERROR(IF(INDEX('Primary_snapshot'!$C$2:$C$132,MATCH(C64,'Primary_snapshot'!$A$2:$A$132,0))="","",INDEX('Primary_snapshot'!$C$2:$C$132,MATCH(C64,'Primary_snapshot'!$A$2:$A$132,0))),"SNAPSHOT MISSING"))</x:f>
      </x:c>
      <x:c r="M64" s="6" t="str">
        <x:f>IF(Setup!$B$6="primary","",IFERROR(IF(INDEX('Primary_snapshot'!$D$2:$D$132,MATCH(C64,'Primary_snapshot'!$A$2:$A$132,0))="","",INDEX('Primary_snapshot'!$D$2:$D$132,MATCH(C64,'Primary_snapshot'!$A$2:$A$132,0))),"SNAPSHOT MISSING"))</x:f>
      </x:c>
      <x:c r="N64" s="6" t="str">
        <x:f>IF(Setup!$B$6="primary","",IFERROR(IF(INDEX('Primary_snapshot'!$E$2:$E$132,MATCH(C64,'Primary_snapshot'!$A$2:$A$132,0))="","",INDEX('Primary_snapshot'!$E$2:$E$132,MATCH(C64,'Primary_snapshot'!$A$2:$A$132,0))),"SNAPSHOT MISSING"))</x:f>
      </x:c>
      <x:c r="O64" s="6" t="str">
        <x:f>IF(Setup!$B$6="primary","",IFERROR(IF(INDEX('Primary_snapshot'!$F$2:$F$132,MATCH(C64,'Primary_snapshot'!$A$2:$A$132,0))="","",INDEX('Primary_snapshot'!$F$2:$F$132,MATCH(C64,'Primary_snapshot'!$A$2:$A$132,0))),"SNAPSHOT MISSING"))</x:f>
      </x:c>
      <x:c r="P64" s="6" t="str">
        <x:f>IF(Setup!$B$6="primary","",IFERROR(IF(INDEX('Primary_snapshot'!$G$2:$G$132,MATCH(C64,'Primary_snapshot'!$A$2:$A$132,0))="","",INDEX('Primary_snapshot'!$G$2:$G$132,MATCH(C64,'Primary_snapshot'!$A$2:$A$132,0))),"SNAPSHOT MISSING"))</x:f>
      </x:c>
      <x:c r="Q64" s="6" t="str">
        <x:f>IF(Setup!$B$6="primary","",IFERROR(IF(INDEX('Primary_snapshot'!$H$2:$H$132,MATCH(C64,'Primary_snapshot'!$A$2:$A$132,0))="","",INDEX('Primary_snapshot'!$H$2:$H$132,MATCH(C64,'Primary_snapshot'!$A$2:$A$132,0))),"SNAPSHOT MISSING"))</x:f>
      </x:c>
      <x:c r="R64" s="6" t="str">
        <x:f>IF(Setup!$B$6="primary","",IFERROR(IF(INDEX('Primary_snapshot'!$I$2:$I$132,MATCH(C64,'Primary_snapshot'!$A$2:$A$132,0))="","",INDEX('Primary_snapshot'!$I$2:$I$132,MATCH(C64,'Primary_snapshot'!$A$2:$A$132,0))),"SNAPSHOT MISSING"))</x:f>
      </x:c>
      <x:c r="S64" s="6" t="str">
        <x:f>IF(INDEX('C_jama.2025.15185'!$D$2:$D$13,MATCH("2025::jama.2025.15185::C010",'C_jama.2025.15185'!$A$2:$A$13,0))="","",INDEX('C_jama.2025.15185'!$D$2:$D$13,MATCH("2025::jama.2025.15185::C010",'C_jama.2025.15185'!$A$2:$A$13,0)))</x:f>
      </x:c>
      <x:c r="T64" s="6" t="str">
        <x:f>IF(INDEX('C_jama.2025.15185'!$E$2:$E$13,MATCH("2025::jama.2025.15185::C010",'C_jama.2025.15185'!$A$2:$A$13,0))="","",INDEX('C_jama.2025.15185'!$E$2:$E$13,MATCH("2025::jama.2025.15185::C010",'C_jama.2025.15185'!$A$2:$A$13,0)))</x:f>
        <x:v>report_internal_inconsistency</x:v>
      </x:c>
      <x:c r="U64" s="6" t="str">
        <x:f>IF(AND(INDEX('C_jama.2025.15185'!$D$2:$D$13,MATCH("2025::jama.2025.15185::C010",'C_jama.2025.15185'!$A$2:$A$13,0))="retain",INDEX('C_jama.2025.15185'!$E$2:$E$13,MATCH("2025::jama.2025.15185::C010",'C_jama.2025.15185'!$A$2:$A$13,0))="statistical_results"),IF(INDEX('C_jama.2025.15185'!$H$2:$H$13,MATCH("2025::jama.2025.15185::C010",'C_jama.2025.15185'!$A$2:$A$13,0))="","",INDEX('C_jama.2025.15185'!$H$2:$H$13,MATCH("2025::jama.2025.15185::C010",'C_jama.2025.15185'!$A$2:$A$13,0))),"not_applicable")</x:f>
        <x:v>not_applicable</x:v>
      </x:c>
      <x:c r="V64" s="6" t="str">
        <x:f>IF(AND(INDEX('C_jama.2025.15185'!$D$2:$D$13,MATCH("2025::jama.2025.15185::C010",'C_jama.2025.15185'!$A$2:$A$13,0))="retain",INDEX('C_jama.2025.15185'!$E$2:$E$13,MATCH("2025::jama.2025.15185::C010",'C_jama.2025.15185'!$A$2:$A$13,0))="statistical_results"),IF(INDEX('C_jama.2025.15185'!$I$2:$I$13,MATCH("2025::jama.2025.15185::C010",'C_jama.2025.15185'!$A$2:$A$13,0))="","",INDEX('C_jama.2025.15185'!$I$2:$I$13,MATCH("2025::jama.2025.15185::C010",'C_jama.2025.15185'!$A$2:$A$13,0))),"not_applicable")</x:f>
        <x:v>not_applicable</x:v>
      </x:c>
      <x:c r="W64" s="6" t="str">
        <x:f>IF(AND(INDEX('C_jama.2025.15185'!$D$2:$D$13,MATCH("2025::jama.2025.15185::C010",'C_jama.2025.15185'!$A$2:$A$13,0))="retain",INDEX('C_jama.2025.15185'!$E$2:$E$13,MATCH("2025::jama.2025.15185::C010",'C_jama.2025.15185'!$A$2:$A$13,0))="statistical_results"),IF(INDEX('C_jama.2025.15185'!$J$2:$J$13,MATCH("2025::jama.2025.15185::C010",'C_jama.2025.15185'!$A$2:$A$13,0))="","",INDEX('C_jama.2025.15185'!$J$2:$J$13,MATCH("2025::jama.2025.15185::C010",'C_jama.2025.15185'!$A$2:$A$13,0))),"not_applicable")</x:f>
        <x:v>not_applicable</x:v>
      </x:c>
      <x:c r="X64" s="6" t="str">
        <x:f>IF(AND(INDEX('C_jama.2025.15185'!$D$2:$D$13,MATCH("2025::jama.2025.15185::C010",'C_jama.2025.15185'!$A$2:$A$13,0))="retain",OR(INDEX('C_jama.2025.15185'!$E$2:$E$13,MATCH("2025::jama.2025.15185::C010",'C_jama.2025.15185'!$A$2:$A$13,0))="report_internal_inconsistency",INDEX('C_jama.2025.15185'!$E$2:$E$13,MATCH("2025::jama.2025.15185::C010",'C_jama.2025.15185'!$A$2:$A$13,0))="plan_material")),IF(INDEX('C_jama.2025.15185'!$K$2:$K$13,MATCH("2025::jama.2025.15185::C010",'C_jama.2025.15185'!$A$2:$A$13,0))="","",INDEX('C_jama.2025.15185'!$K$2:$K$13,MATCH("2025::jama.2025.15185::C010",'C_jama.2025.15185'!$A$2:$A$13,0))),"not_applicable")</x:f>
        <x:v>not_applicable</x:v>
      </x:c>
      <x:c r="Y64" s="6" t="str">
        <x:f>IF(AND(INDEX('C_jama.2025.15185'!$D$2:$D$13,MATCH("2025::jama.2025.15185::C010",'C_jama.2025.15185'!$A$2:$A$13,0))="retain",INDEX('C_jama.2025.15185'!$E$2:$E$13,MATCH("2025::jama.2025.15185::C010",'C_jama.2025.15185'!$A$2:$A$13,0))="protocol_report"),IF(INDEX('C_jama.2025.15185'!$L$2:$L$13,MATCH("2025::jama.2025.15185::C010",'C_jama.2025.15185'!$A$2:$A$13,0))="","",INDEX('C_jama.2025.15185'!$L$2:$L$13,MATCH("2025::jama.2025.15185::C010",'C_jama.2025.15185'!$A$2:$A$13,0))),"not_applicable")</x:f>
        <x:v>not_applicable</x:v>
      </x:c>
      <x:c r="Z64" s="6" t="str">
        <x:f>IF(INDEX('C_jama.2025.15185'!$R$2:$R$13,MATCH("2025::jama.2025.15185::C010",'C_jama.2025.15185'!$A$2:$A$13,0))="","",INDEX('C_jama.2025.15185'!$R$2:$R$13,MATCH("2025::jama.2025.15185::C010",'C_jama.2025.15185'!$A$2:$A$13,0)))</x:f>
      </x:c>
      <x:c r="AA64" s="6" t="str">
        <x:f>IF(INDEX('C_jama.2025.15185'!$N$2:$N$13,MATCH("2025::jama.2025.15185::C010",'C_jama.2025.15185'!$A$2:$A$13,0))="","",INDEX('C_jama.2025.15185'!$N$2:$N$13,MATCH("2025::jama.2025.15185::C010",'C_jama.2025.15185'!$A$2:$A$13,0)))</x:f>
      </x:c>
      <x:c r="AB64" s="6" t="str">
        <x:f>IF(INDEX('C_jama.2025.15185'!$O$2:$O$13,MATCH("2025::jama.2025.15185::C010",'C_jama.2025.15185'!$A$2:$A$13,0))="","",INDEX('C_jama.2025.15185'!$O$2:$O$13,MATCH("2025::jama.2025.15185::C010",'C_jama.2025.15185'!$A$2:$A$13,0)))</x:f>
      </x:c>
      <x:c r="AC64" s="6" t="str">
        <x:f>IF(INDEX('C_jama.2025.15185'!$P$2:$P$13,MATCH("2025::jama.2025.15185::C010",'C_jama.2025.15185'!$A$2:$A$13,0))="","",INDEX('C_jama.2025.15185'!$P$2:$P$13,MATCH("2025::jama.2025.15185::C010",'C_jama.2025.15185'!$A$2:$A$13,0)))</x:f>
      </x:c>
      <x:c r="AD64" s="6" t="str">
        <x:f>IF(INDEX('C_jama.2025.15185'!$Q$2:$Q$13,MATCH("2025::jama.2025.15185::C010",'C_jama.2025.15185'!$A$2:$A$13,0))="","",INDEX('C_jama.2025.15185'!$Q$2:$Q$13,MATCH("2025::jama.2025.15185::C010",'C_jama.2025.15185'!$A$2:$A$13,0)))</x:f>
      </x:c>
    </x:row>
    <x:row r="65" ht="65" customHeight="1">
      <x:c r="A65" s="3" t="n">
        <x:v>2025</x:v>
      </x:c>
      <x:c r="B65" s="3" t="str">
        <x:v>jama.2025.15185</x:v>
      </x:c>
      <x:c r="C65" s="3" t="str">
        <x:v>2025::jama.2025.15185::C011</x:v>
      </x:c>
      <x:c r="D65" s="3" t="str">
        <x:v>S_W</x:v>
      </x:c>
      <x:c r="E65" s="3" t="n">
        <x:f>Setup!$B$2</x:f>
        <x:v>0</x:v>
      </x:c>
      <x:c r="F65" s="3" t="str">
        <x:f>IF(Setup!$B$4="","",Setup!$B$4)</x:f>
      </x:c>
      <x:c r="G65" s="3" t="str">
        <x:f>IFERROR(INDEX('C_jama.2025.15185'!$G$2:$G$13,MATCH("2025::jama.2025.15185::C011",'C_jama.2025.15185'!$A$2:$A$13,0)),"CHECK KEY")</x:f>
        <x:v>CHECK REVIEWER IDs</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report_internal_inconsistency</x:v>
      </x:c>
      <x:c r="K65" s="3" t="str">
        <x:f>IF(Setup!$B$6="primary","",IFERROR(IF(INDEX('Primary_snapshot'!$B$2:$B$132,MATCH(C65,'Primary_snapshot'!$A$2:$A$132,0))="","",INDEX('Primary_snapshot'!$B$2:$B$132,MATCH(C65,'Primary_snapshot'!$A$2:$A$132,0))),"SNAPSHOT MISSING"))</x:f>
      </x:c>
      <x:c r="L65" s="3" t="str">
        <x:f>IF(Setup!$B$6="primary","",IFERROR(IF(INDEX('Primary_snapshot'!$C$2:$C$132,MATCH(C65,'Primary_snapshot'!$A$2:$A$132,0))="","",INDEX('Primary_snapshot'!$C$2:$C$132,MATCH(C65,'Primary_snapshot'!$A$2:$A$132,0))),"SNAPSHOT MISSING"))</x:f>
      </x:c>
      <x:c r="M65" s="3" t="str">
        <x:f>IF(Setup!$B$6="primary","",IFERROR(IF(INDEX('Primary_snapshot'!$D$2:$D$132,MATCH(C65,'Primary_snapshot'!$A$2:$A$132,0))="","",INDEX('Primary_snapshot'!$D$2:$D$132,MATCH(C65,'Primary_snapshot'!$A$2:$A$132,0))),"SNAPSHOT MISSING"))</x:f>
      </x:c>
      <x:c r="N65" s="3" t="str">
        <x:f>IF(Setup!$B$6="primary","",IFERROR(IF(INDEX('Primary_snapshot'!$E$2:$E$132,MATCH(C65,'Primary_snapshot'!$A$2:$A$132,0))="","",INDEX('Primary_snapshot'!$E$2:$E$132,MATCH(C65,'Primary_snapshot'!$A$2:$A$132,0))),"SNAPSHOT MISSING"))</x:f>
      </x:c>
      <x:c r="O65" s="3" t="str">
        <x:f>IF(Setup!$B$6="primary","",IFERROR(IF(INDEX('Primary_snapshot'!$F$2:$F$132,MATCH(C65,'Primary_snapshot'!$A$2:$A$132,0))="","",INDEX('Primary_snapshot'!$F$2:$F$132,MATCH(C65,'Primary_snapshot'!$A$2:$A$132,0))),"SNAPSHOT MISSING"))</x:f>
      </x:c>
      <x:c r="P65" s="3" t="str">
        <x:f>IF(Setup!$B$6="primary","",IFERROR(IF(INDEX('Primary_snapshot'!$G$2:$G$132,MATCH(C65,'Primary_snapshot'!$A$2:$A$132,0))="","",INDEX('Primary_snapshot'!$G$2:$G$132,MATCH(C65,'Primary_snapshot'!$A$2:$A$132,0))),"SNAPSHOT MISSING"))</x:f>
      </x:c>
      <x:c r="Q65" s="3" t="str">
        <x:f>IF(Setup!$B$6="primary","",IFERROR(IF(INDEX('Primary_snapshot'!$H$2:$H$132,MATCH(C65,'Primary_snapshot'!$A$2:$A$132,0))="","",INDEX('Primary_snapshot'!$H$2:$H$132,MATCH(C65,'Primary_snapshot'!$A$2:$A$132,0))),"SNAPSHOT MISSING"))</x:f>
      </x:c>
      <x:c r="R65" s="3" t="str">
        <x:f>IF(Setup!$B$6="primary","",IFERROR(IF(INDEX('Primary_snapshot'!$I$2:$I$132,MATCH(C65,'Primary_snapshot'!$A$2:$A$132,0))="","",INDEX('Primary_snapshot'!$I$2:$I$132,MATCH(C65,'Primary_snapshot'!$A$2:$A$132,0))),"SNAPSHOT MISSING"))</x:f>
      </x:c>
      <x:c r="S65" s="3" t="str">
        <x:f>IF(INDEX('C_jama.2025.15185'!$D$2:$D$13,MATCH("2025::jama.2025.15185::C011",'C_jama.2025.15185'!$A$2:$A$13,0))="","",INDEX('C_jama.2025.15185'!$D$2:$D$13,MATCH("2025::jama.2025.15185::C011",'C_jama.2025.15185'!$A$2:$A$13,0)))</x:f>
      </x:c>
      <x:c r="T65" s="3" t="str">
        <x:f>IF(INDEX('C_jama.2025.15185'!$E$2:$E$13,MATCH("2025::jama.2025.15185::C011",'C_jama.2025.15185'!$A$2:$A$13,0))="","",INDEX('C_jama.2025.15185'!$E$2:$E$13,MATCH("2025::jama.2025.15185::C011",'C_jama.2025.15185'!$A$2:$A$13,0)))</x:f>
        <x:v>report_internal_inconsistency</x:v>
      </x:c>
      <x:c r="U65" s="3" t="str">
        <x:f>IF(AND(INDEX('C_jama.2025.15185'!$D$2:$D$13,MATCH("2025::jama.2025.15185::C011",'C_jama.2025.15185'!$A$2:$A$13,0))="retain",INDEX('C_jama.2025.15185'!$E$2:$E$13,MATCH("2025::jama.2025.15185::C011",'C_jama.2025.15185'!$A$2:$A$13,0))="statistical_results"),IF(INDEX('C_jama.2025.15185'!$H$2:$H$13,MATCH("2025::jama.2025.15185::C011",'C_jama.2025.15185'!$A$2:$A$13,0))="","",INDEX('C_jama.2025.15185'!$H$2:$H$13,MATCH("2025::jama.2025.15185::C011",'C_jama.2025.15185'!$A$2:$A$13,0))),"not_applicable")</x:f>
        <x:v>not_applicable</x:v>
      </x:c>
      <x:c r="V65" s="3" t="str">
        <x:f>IF(AND(INDEX('C_jama.2025.15185'!$D$2:$D$13,MATCH("2025::jama.2025.15185::C011",'C_jama.2025.15185'!$A$2:$A$13,0))="retain",INDEX('C_jama.2025.15185'!$E$2:$E$13,MATCH("2025::jama.2025.15185::C011",'C_jama.2025.15185'!$A$2:$A$13,0))="statistical_results"),IF(INDEX('C_jama.2025.15185'!$I$2:$I$13,MATCH("2025::jama.2025.15185::C011",'C_jama.2025.15185'!$A$2:$A$13,0))="","",INDEX('C_jama.2025.15185'!$I$2:$I$13,MATCH("2025::jama.2025.15185::C011",'C_jama.2025.15185'!$A$2:$A$13,0))),"not_applicable")</x:f>
        <x:v>not_applicable</x:v>
      </x:c>
      <x:c r="W65" s="3" t="str">
        <x:f>IF(AND(INDEX('C_jama.2025.15185'!$D$2:$D$13,MATCH("2025::jama.2025.15185::C011",'C_jama.2025.15185'!$A$2:$A$13,0))="retain",INDEX('C_jama.2025.15185'!$E$2:$E$13,MATCH("2025::jama.2025.15185::C011",'C_jama.2025.15185'!$A$2:$A$13,0))="statistical_results"),IF(INDEX('C_jama.2025.15185'!$J$2:$J$13,MATCH("2025::jama.2025.15185::C011",'C_jama.2025.15185'!$A$2:$A$13,0))="","",INDEX('C_jama.2025.15185'!$J$2:$J$13,MATCH("2025::jama.2025.15185::C011",'C_jama.2025.15185'!$A$2:$A$13,0))),"not_applicable")</x:f>
        <x:v>not_applicable</x:v>
      </x:c>
      <x:c r="X65" s="3" t="str">
        <x:f>IF(AND(INDEX('C_jama.2025.15185'!$D$2:$D$13,MATCH("2025::jama.2025.15185::C011",'C_jama.2025.15185'!$A$2:$A$13,0))="retain",OR(INDEX('C_jama.2025.15185'!$E$2:$E$13,MATCH("2025::jama.2025.15185::C011",'C_jama.2025.15185'!$A$2:$A$13,0))="report_internal_inconsistency",INDEX('C_jama.2025.15185'!$E$2:$E$13,MATCH("2025::jama.2025.15185::C011",'C_jama.2025.15185'!$A$2:$A$13,0))="plan_material")),IF(INDEX('C_jama.2025.15185'!$K$2:$K$13,MATCH("2025::jama.2025.15185::C011",'C_jama.2025.15185'!$A$2:$A$13,0))="","",INDEX('C_jama.2025.15185'!$K$2:$K$13,MATCH("2025::jama.2025.15185::C011",'C_jama.2025.15185'!$A$2:$A$13,0))),"not_applicable")</x:f>
        <x:v>not_applicable</x:v>
      </x:c>
      <x:c r="Y65" s="3" t="str">
        <x:f>IF(AND(INDEX('C_jama.2025.15185'!$D$2:$D$13,MATCH("2025::jama.2025.15185::C011",'C_jama.2025.15185'!$A$2:$A$13,0))="retain",INDEX('C_jama.2025.15185'!$E$2:$E$13,MATCH("2025::jama.2025.15185::C011",'C_jama.2025.15185'!$A$2:$A$13,0))="protocol_report"),IF(INDEX('C_jama.2025.15185'!$L$2:$L$13,MATCH("2025::jama.2025.15185::C011",'C_jama.2025.15185'!$A$2:$A$13,0))="","",INDEX('C_jama.2025.15185'!$L$2:$L$13,MATCH("2025::jama.2025.15185::C011",'C_jama.2025.15185'!$A$2:$A$13,0))),"not_applicable")</x:f>
        <x:v>not_applicable</x:v>
      </x:c>
      <x:c r="Z65" s="3" t="str">
        <x:f>IF(INDEX('C_jama.2025.15185'!$R$2:$R$13,MATCH("2025::jama.2025.15185::C011",'C_jama.2025.15185'!$A$2:$A$13,0))="","",INDEX('C_jama.2025.15185'!$R$2:$R$13,MATCH("2025::jama.2025.15185::C011",'C_jama.2025.15185'!$A$2:$A$13,0)))</x:f>
      </x:c>
      <x:c r="AA65" s="3" t="str">
        <x:f>IF(INDEX('C_jama.2025.15185'!$N$2:$N$13,MATCH("2025::jama.2025.15185::C011",'C_jama.2025.15185'!$A$2:$A$13,0))="","",INDEX('C_jama.2025.15185'!$N$2:$N$13,MATCH("2025::jama.2025.15185::C011",'C_jama.2025.15185'!$A$2:$A$13,0)))</x:f>
      </x:c>
      <x:c r="AB65" s="3" t="str">
        <x:f>IF(INDEX('C_jama.2025.15185'!$O$2:$O$13,MATCH("2025::jama.2025.15185::C011",'C_jama.2025.15185'!$A$2:$A$13,0))="","",INDEX('C_jama.2025.15185'!$O$2:$O$13,MATCH("2025::jama.2025.15185::C011",'C_jama.2025.15185'!$A$2:$A$13,0)))</x:f>
      </x:c>
      <x:c r="AC65" s="3" t="str">
        <x:f>IF(INDEX('C_jama.2025.15185'!$P$2:$P$13,MATCH("2025::jama.2025.15185::C011",'C_jama.2025.15185'!$A$2:$A$13,0))="","",INDEX('C_jama.2025.15185'!$P$2:$P$13,MATCH("2025::jama.2025.15185::C011",'C_jama.2025.15185'!$A$2:$A$13,0)))</x:f>
      </x:c>
      <x:c r="AD65" s="3" t="str">
        <x:f>IF(INDEX('C_jama.2025.15185'!$Q$2:$Q$13,MATCH("2025::jama.2025.15185::C011",'C_jama.2025.15185'!$A$2:$A$13,0))="","",INDEX('C_jama.2025.15185'!$Q$2:$Q$13,MATCH("2025::jama.2025.15185::C011",'C_jama.2025.15185'!$A$2:$A$13,0)))</x:f>
      </x:c>
    </x:row>
    <x:row r="66" ht="65" customHeight="1">
      <x:c r="A66" s="6" t="n">
        <x:v>2025</x:v>
      </x:c>
      <x:c r="B66" s="6" t="str">
        <x:v>jama.2025.15185</x:v>
      </x:c>
      <x:c r="C66" s="6" t="str">
        <x:v>2025::jama.2025.15185::C012</x:v>
      </x:c>
      <x:c r="D66" s="6" t="str">
        <x:v>S_W</x:v>
      </x:c>
      <x:c r="E66" s="6" t="n">
        <x:f>Setup!$B$2</x:f>
        <x:v>0</x:v>
      </x:c>
      <x:c r="F66" s="6" t="str">
        <x:f>IF(Setup!$B$4="","",Setup!$B$4)</x:f>
      </x:c>
      <x:c r="G66" s="6" t="str">
        <x:f>IFERROR(INDEX('C_jama.2025.15185'!$G$2:$G$13,MATCH("2025::jama.2025.15185::C012",'C_jama.2025.15185'!$A$2:$A$13,0)),"CHECK KEY")</x:f>
        <x:v>CHECK REVIEWER IDs</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report_internal_inconsistency</x:v>
      </x:c>
      <x:c r="K66" s="6" t="str">
        <x:f>IF(Setup!$B$6="primary","",IFERROR(IF(INDEX('Primary_snapshot'!$B$2:$B$132,MATCH(C66,'Primary_snapshot'!$A$2:$A$132,0))="","",INDEX('Primary_snapshot'!$B$2:$B$132,MATCH(C66,'Primary_snapshot'!$A$2:$A$132,0))),"SNAPSHOT MISSING"))</x:f>
      </x:c>
      <x:c r="L66" s="6" t="str">
        <x:f>IF(Setup!$B$6="primary","",IFERROR(IF(INDEX('Primary_snapshot'!$C$2:$C$132,MATCH(C66,'Primary_snapshot'!$A$2:$A$132,0))="","",INDEX('Primary_snapshot'!$C$2:$C$132,MATCH(C66,'Primary_snapshot'!$A$2:$A$132,0))),"SNAPSHOT MISSING"))</x:f>
      </x:c>
      <x:c r="M66" s="6" t="str">
        <x:f>IF(Setup!$B$6="primary","",IFERROR(IF(INDEX('Primary_snapshot'!$D$2:$D$132,MATCH(C66,'Primary_snapshot'!$A$2:$A$132,0))="","",INDEX('Primary_snapshot'!$D$2:$D$132,MATCH(C66,'Primary_snapshot'!$A$2:$A$132,0))),"SNAPSHOT MISSING"))</x:f>
      </x:c>
      <x:c r="N66" s="6" t="str">
        <x:f>IF(Setup!$B$6="primary","",IFERROR(IF(INDEX('Primary_snapshot'!$E$2:$E$132,MATCH(C66,'Primary_snapshot'!$A$2:$A$132,0))="","",INDEX('Primary_snapshot'!$E$2:$E$132,MATCH(C66,'Primary_snapshot'!$A$2:$A$132,0))),"SNAPSHOT MISSING"))</x:f>
      </x:c>
      <x:c r="O66" s="6" t="str">
        <x:f>IF(Setup!$B$6="primary","",IFERROR(IF(INDEX('Primary_snapshot'!$F$2:$F$132,MATCH(C66,'Primary_snapshot'!$A$2:$A$132,0))="","",INDEX('Primary_snapshot'!$F$2:$F$132,MATCH(C66,'Primary_snapshot'!$A$2:$A$132,0))),"SNAPSHOT MISSING"))</x:f>
      </x:c>
      <x:c r="P66" s="6" t="str">
        <x:f>IF(Setup!$B$6="primary","",IFERROR(IF(INDEX('Primary_snapshot'!$G$2:$G$132,MATCH(C66,'Primary_snapshot'!$A$2:$A$132,0))="","",INDEX('Primary_snapshot'!$G$2:$G$132,MATCH(C66,'Primary_snapshot'!$A$2:$A$132,0))),"SNAPSHOT MISSING"))</x:f>
      </x:c>
      <x:c r="Q66" s="6" t="str">
        <x:f>IF(Setup!$B$6="primary","",IFERROR(IF(INDEX('Primary_snapshot'!$H$2:$H$132,MATCH(C66,'Primary_snapshot'!$A$2:$A$132,0))="","",INDEX('Primary_snapshot'!$H$2:$H$132,MATCH(C66,'Primary_snapshot'!$A$2:$A$132,0))),"SNAPSHOT MISSING"))</x:f>
      </x:c>
      <x:c r="R66" s="6" t="str">
        <x:f>IF(Setup!$B$6="primary","",IFERROR(IF(INDEX('Primary_snapshot'!$I$2:$I$132,MATCH(C66,'Primary_snapshot'!$A$2:$A$132,0))="","",INDEX('Primary_snapshot'!$I$2:$I$132,MATCH(C66,'Primary_snapshot'!$A$2:$A$132,0))),"SNAPSHOT MISSING"))</x:f>
      </x:c>
      <x:c r="S66" s="6" t="str">
        <x:f>IF(INDEX('C_jama.2025.15185'!$D$2:$D$13,MATCH("2025::jama.2025.15185::C012",'C_jama.2025.15185'!$A$2:$A$13,0))="","",INDEX('C_jama.2025.15185'!$D$2:$D$13,MATCH("2025::jama.2025.15185::C012",'C_jama.2025.15185'!$A$2:$A$13,0)))</x:f>
      </x:c>
      <x:c r="T66" s="6" t="str">
        <x:f>IF(INDEX('C_jama.2025.15185'!$E$2:$E$13,MATCH("2025::jama.2025.15185::C012",'C_jama.2025.15185'!$A$2:$A$13,0))="","",INDEX('C_jama.2025.15185'!$E$2:$E$13,MATCH("2025::jama.2025.15185::C012",'C_jama.2025.15185'!$A$2:$A$13,0)))</x:f>
        <x:v>report_internal_inconsistency</x:v>
      </x:c>
      <x:c r="U66" s="6" t="str">
        <x:f>IF(AND(INDEX('C_jama.2025.15185'!$D$2:$D$13,MATCH("2025::jama.2025.15185::C012",'C_jama.2025.15185'!$A$2:$A$13,0))="retain",INDEX('C_jama.2025.15185'!$E$2:$E$13,MATCH("2025::jama.2025.15185::C012",'C_jama.2025.15185'!$A$2:$A$13,0))="statistical_results"),IF(INDEX('C_jama.2025.15185'!$H$2:$H$13,MATCH("2025::jama.2025.15185::C012",'C_jama.2025.15185'!$A$2:$A$13,0))="","",INDEX('C_jama.2025.15185'!$H$2:$H$13,MATCH("2025::jama.2025.15185::C012",'C_jama.2025.15185'!$A$2:$A$13,0))),"not_applicable")</x:f>
        <x:v>not_applicable</x:v>
      </x:c>
      <x:c r="V66" s="6" t="str">
        <x:f>IF(AND(INDEX('C_jama.2025.15185'!$D$2:$D$13,MATCH("2025::jama.2025.15185::C012",'C_jama.2025.15185'!$A$2:$A$13,0))="retain",INDEX('C_jama.2025.15185'!$E$2:$E$13,MATCH("2025::jama.2025.15185::C012",'C_jama.2025.15185'!$A$2:$A$13,0))="statistical_results"),IF(INDEX('C_jama.2025.15185'!$I$2:$I$13,MATCH("2025::jama.2025.15185::C012",'C_jama.2025.15185'!$A$2:$A$13,0))="","",INDEX('C_jama.2025.15185'!$I$2:$I$13,MATCH("2025::jama.2025.15185::C012",'C_jama.2025.15185'!$A$2:$A$13,0))),"not_applicable")</x:f>
        <x:v>not_applicable</x:v>
      </x:c>
      <x:c r="W66" s="6" t="str">
        <x:f>IF(AND(INDEX('C_jama.2025.15185'!$D$2:$D$13,MATCH("2025::jama.2025.15185::C012",'C_jama.2025.15185'!$A$2:$A$13,0))="retain",INDEX('C_jama.2025.15185'!$E$2:$E$13,MATCH("2025::jama.2025.15185::C012",'C_jama.2025.15185'!$A$2:$A$13,0))="statistical_results"),IF(INDEX('C_jama.2025.15185'!$J$2:$J$13,MATCH("2025::jama.2025.15185::C012",'C_jama.2025.15185'!$A$2:$A$13,0))="","",INDEX('C_jama.2025.15185'!$J$2:$J$13,MATCH("2025::jama.2025.15185::C012",'C_jama.2025.15185'!$A$2:$A$13,0))),"not_applicable")</x:f>
        <x:v>not_applicable</x:v>
      </x:c>
      <x:c r="X66" s="6" t="str">
        <x:f>IF(AND(INDEX('C_jama.2025.15185'!$D$2:$D$13,MATCH("2025::jama.2025.15185::C012",'C_jama.2025.15185'!$A$2:$A$13,0))="retain",OR(INDEX('C_jama.2025.15185'!$E$2:$E$13,MATCH("2025::jama.2025.15185::C012",'C_jama.2025.15185'!$A$2:$A$13,0))="report_internal_inconsistency",INDEX('C_jama.2025.15185'!$E$2:$E$13,MATCH("2025::jama.2025.15185::C012",'C_jama.2025.15185'!$A$2:$A$13,0))="plan_material")),IF(INDEX('C_jama.2025.15185'!$K$2:$K$13,MATCH("2025::jama.2025.15185::C012",'C_jama.2025.15185'!$A$2:$A$13,0))="","",INDEX('C_jama.2025.15185'!$K$2:$K$13,MATCH("2025::jama.2025.15185::C012",'C_jama.2025.15185'!$A$2:$A$13,0))),"not_applicable")</x:f>
        <x:v>not_applicable</x:v>
      </x:c>
      <x:c r="Y66" s="6" t="str">
        <x:f>IF(AND(INDEX('C_jama.2025.15185'!$D$2:$D$13,MATCH("2025::jama.2025.15185::C012",'C_jama.2025.15185'!$A$2:$A$13,0))="retain",INDEX('C_jama.2025.15185'!$E$2:$E$13,MATCH("2025::jama.2025.15185::C012",'C_jama.2025.15185'!$A$2:$A$13,0))="protocol_report"),IF(INDEX('C_jama.2025.15185'!$L$2:$L$13,MATCH("2025::jama.2025.15185::C012",'C_jama.2025.15185'!$A$2:$A$13,0))="","",INDEX('C_jama.2025.15185'!$L$2:$L$13,MATCH("2025::jama.2025.15185::C012",'C_jama.2025.15185'!$A$2:$A$13,0))),"not_applicable")</x:f>
        <x:v>not_applicable</x:v>
      </x:c>
      <x:c r="Z66" s="6" t="str">
        <x:f>IF(INDEX('C_jama.2025.15185'!$R$2:$R$13,MATCH("2025::jama.2025.15185::C012",'C_jama.2025.15185'!$A$2:$A$13,0))="","",INDEX('C_jama.2025.15185'!$R$2:$R$13,MATCH("2025::jama.2025.15185::C012",'C_jama.2025.15185'!$A$2:$A$13,0)))</x:f>
      </x:c>
      <x:c r="AA66" s="6" t="str">
        <x:f>IF(INDEX('C_jama.2025.15185'!$N$2:$N$13,MATCH("2025::jama.2025.15185::C012",'C_jama.2025.15185'!$A$2:$A$13,0))="","",INDEX('C_jama.2025.15185'!$N$2:$N$13,MATCH("2025::jama.2025.15185::C012",'C_jama.2025.15185'!$A$2:$A$13,0)))</x:f>
      </x:c>
      <x:c r="AB66" s="6" t="str">
        <x:f>IF(INDEX('C_jama.2025.15185'!$O$2:$O$13,MATCH("2025::jama.2025.15185::C012",'C_jama.2025.15185'!$A$2:$A$13,0))="","",INDEX('C_jama.2025.15185'!$O$2:$O$13,MATCH("2025::jama.2025.15185::C012",'C_jama.2025.15185'!$A$2:$A$13,0)))</x:f>
      </x:c>
      <x:c r="AC66" s="6" t="str">
        <x:f>IF(INDEX('C_jama.2025.15185'!$P$2:$P$13,MATCH("2025::jama.2025.15185::C012",'C_jama.2025.15185'!$A$2:$A$13,0))="","",INDEX('C_jama.2025.15185'!$P$2:$P$13,MATCH("2025::jama.2025.15185::C012",'C_jama.2025.15185'!$A$2:$A$13,0)))</x:f>
      </x:c>
      <x:c r="AD66" s="6" t="str">
        <x:f>IF(INDEX('C_jama.2025.15185'!$Q$2:$Q$13,MATCH("2025::jama.2025.15185::C012",'C_jama.2025.15185'!$A$2:$A$13,0))="","",INDEX('C_jama.2025.15185'!$Q$2:$Q$13,MATCH("2025::jama.2025.15185::C012",'C_jama.2025.15185'!$A$2:$A$13,0)))</x:f>
      </x:c>
    </x:row>
    <x:row r="67" ht="65" customHeight="1">
      <x:c r="A67" s="3" t="n">
        <x:v>2025</x:v>
      </x:c>
      <x:c r="B67" s="3" t="str">
        <x:v>jama.2025.15440</x:v>
      </x:c>
      <x:c r="C67" s="3" t="str">
        <x:v>2025::jama.2025.15440::C001</x:v>
      </x:c>
      <x:c r="D67" s="3" t="str">
        <x:v>S_W</x:v>
      </x:c>
      <x:c r="E67" s="3" t="n">
        <x:f>Setup!$B$2</x:f>
        <x:v>0</x:v>
      </x:c>
      <x:c r="F67" s="3" t="str">
        <x:f>IF(Setup!$B$4="","",Setup!$B$4)</x:f>
      </x:c>
      <x:c r="G67" s="3" t="str">
        <x:f>IFERROR(INDEX('C_jama.2025.15440'!$G$2:$G$3,MATCH("2025::jama.2025.15440::C001",'C_jama.2025.15440'!$A$2:$A$3,0)),"CHECK KEY")</x:f>
        <x:v>CHECK REVIEWER IDs</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report_internal_inconsistency</x:v>
      </x:c>
      <x:c r="K67" s="3" t="str">
        <x:f>IF(Setup!$B$6="primary","",IFERROR(IF(INDEX('Primary_snapshot'!$B$2:$B$132,MATCH(C67,'Primary_snapshot'!$A$2:$A$132,0))="","",INDEX('Primary_snapshot'!$B$2:$B$132,MATCH(C67,'Primary_snapshot'!$A$2:$A$132,0))),"SNAPSHOT MISSING"))</x:f>
      </x:c>
      <x:c r="L67" s="3" t="str">
        <x:f>IF(Setup!$B$6="primary","",IFERROR(IF(INDEX('Primary_snapshot'!$C$2:$C$132,MATCH(C67,'Primary_snapshot'!$A$2:$A$132,0))="","",INDEX('Primary_snapshot'!$C$2:$C$132,MATCH(C67,'Primary_snapshot'!$A$2:$A$132,0))),"SNAPSHOT MISSING"))</x:f>
      </x:c>
      <x:c r="M67" s="3" t="str">
        <x:f>IF(Setup!$B$6="primary","",IFERROR(IF(INDEX('Primary_snapshot'!$D$2:$D$132,MATCH(C67,'Primary_snapshot'!$A$2:$A$132,0))="","",INDEX('Primary_snapshot'!$D$2:$D$132,MATCH(C67,'Primary_snapshot'!$A$2:$A$132,0))),"SNAPSHOT MISSING"))</x:f>
      </x:c>
      <x:c r="N67" s="3" t="str">
        <x:f>IF(Setup!$B$6="primary","",IFERROR(IF(INDEX('Primary_snapshot'!$E$2:$E$132,MATCH(C67,'Primary_snapshot'!$A$2:$A$132,0))="","",INDEX('Primary_snapshot'!$E$2:$E$132,MATCH(C67,'Primary_snapshot'!$A$2:$A$132,0))),"SNAPSHOT MISSING"))</x:f>
      </x:c>
      <x:c r="O67" s="3" t="str">
        <x:f>IF(Setup!$B$6="primary","",IFERROR(IF(INDEX('Primary_snapshot'!$F$2:$F$132,MATCH(C67,'Primary_snapshot'!$A$2:$A$132,0))="","",INDEX('Primary_snapshot'!$F$2:$F$132,MATCH(C67,'Primary_snapshot'!$A$2:$A$132,0))),"SNAPSHOT MISSING"))</x:f>
      </x:c>
      <x:c r="P67" s="3" t="str">
        <x:f>IF(Setup!$B$6="primary","",IFERROR(IF(INDEX('Primary_snapshot'!$G$2:$G$132,MATCH(C67,'Primary_snapshot'!$A$2:$A$132,0))="","",INDEX('Primary_snapshot'!$G$2:$G$132,MATCH(C67,'Primary_snapshot'!$A$2:$A$132,0))),"SNAPSHOT MISSING"))</x:f>
      </x:c>
      <x:c r="Q67" s="3" t="str">
        <x:f>IF(Setup!$B$6="primary","",IFERROR(IF(INDEX('Primary_snapshot'!$H$2:$H$132,MATCH(C67,'Primary_snapshot'!$A$2:$A$132,0))="","",INDEX('Primary_snapshot'!$H$2:$H$132,MATCH(C67,'Primary_snapshot'!$A$2:$A$132,0))),"SNAPSHOT MISSING"))</x:f>
      </x:c>
      <x:c r="R67" s="3" t="str">
        <x:f>IF(Setup!$B$6="primary","",IFERROR(IF(INDEX('Primary_snapshot'!$I$2:$I$132,MATCH(C67,'Primary_snapshot'!$A$2:$A$132,0))="","",INDEX('Primary_snapshot'!$I$2:$I$132,MATCH(C67,'Primary_snapshot'!$A$2:$A$132,0))),"SNAPSHOT MISSING"))</x:f>
      </x:c>
      <x:c r="S67" s="3" t="str">
        <x:f>IF(INDEX('C_jama.2025.15440'!$D$2:$D$3,MATCH("2025::jama.2025.15440::C001",'C_jama.2025.15440'!$A$2:$A$3,0))="","",INDEX('C_jama.2025.15440'!$D$2:$D$3,MATCH("2025::jama.2025.15440::C001",'C_jama.2025.15440'!$A$2:$A$3,0)))</x:f>
      </x:c>
      <x:c r="T67" s="3" t="str">
        <x:f>IF(INDEX('C_jama.2025.15440'!$E$2:$E$3,MATCH("2025::jama.2025.15440::C001",'C_jama.2025.15440'!$A$2:$A$3,0))="","",INDEX('C_jama.2025.15440'!$E$2:$E$3,MATCH("2025::jama.2025.15440::C001",'C_jama.2025.15440'!$A$2:$A$3,0)))</x:f>
        <x:v>report_internal_inconsistency</x:v>
      </x:c>
      <x:c r="U67" s="3" t="str">
        <x:f>IF(AND(INDEX('C_jama.2025.15440'!$D$2:$D$3,MATCH("2025::jama.2025.15440::C001",'C_jama.2025.15440'!$A$2:$A$3,0))="retain",INDEX('C_jama.2025.15440'!$E$2:$E$3,MATCH("2025::jama.2025.15440::C001",'C_jama.2025.15440'!$A$2:$A$3,0))="statistical_results"),IF(INDEX('C_jama.2025.15440'!$H$2:$H$3,MATCH("2025::jama.2025.15440::C001",'C_jama.2025.15440'!$A$2:$A$3,0))="","",INDEX('C_jama.2025.15440'!$H$2:$H$3,MATCH("2025::jama.2025.15440::C001",'C_jama.2025.15440'!$A$2:$A$3,0))),"not_applicable")</x:f>
        <x:v>not_applicable</x:v>
      </x:c>
      <x:c r="V67" s="3" t="str">
        <x:f>IF(AND(INDEX('C_jama.2025.15440'!$D$2:$D$3,MATCH("2025::jama.2025.15440::C001",'C_jama.2025.15440'!$A$2:$A$3,0))="retain",INDEX('C_jama.2025.15440'!$E$2:$E$3,MATCH("2025::jama.2025.15440::C001",'C_jama.2025.15440'!$A$2:$A$3,0))="statistical_results"),IF(INDEX('C_jama.2025.15440'!$I$2:$I$3,MATCH("2025::jama.2025.15440::C001",'C_jama.2025.15440'!$A$2:$A$3,0))="","",INDEX('C_jama.2025.15440'!$I$2:$I$3,MATCH("2025::jama.2025.15440::C001",'C_jama.2025.15440'!$A$2:$A$3,0))),"not_applicable")</x:f>
        <x:v>not_applicable</x:v>
      </x:c>
      <x:c r="W67" s="3" t="str">
        <x:f>IF(AND(INDEX('C_jama.2025.15440'!$D$2:$D$3,MATCH("2025::jama.2025.15440::C001",'C_jama.2025.15440'!$A$2:$A$3,0))="retain",INDEX('C_jama.2025.15440'!$E$2:$E$3,MATCH("2025::jama.2025.15440::C001",'C_jama.2025.15440'!$A$2:$A$3,0))="statistical_results"),IF(INDEX('C_jama.2025.15440'!$J$2:$J$3,MATCH("2025::jama.2025.15440::C001",'C_jama.2025.15440'!$A$2:$A$3,0))="","",INDEX('C_jama.2025.15440'!$J$2:$J$3,MATCH("2025::jama.2025.15440::C001",'C_jama.2025.15440'!$A$2:$A$3,0))),"not_applicable")</x:f>
        <x:v>not_applicable</x:v>
      </x:c>
      <x:c r="X67" s="3" t="str">
        <x:f>IF(AND(INDEX('C_jama.2025.15440'!$D$2:$D$3,MATCH("2025::jama.2025.15440::C001",'C_jama.2025.15440'!$A$2:$A$3,0))="retain",OR(INDEX('C_jama.2025.15440'!$E$2:$E$3,MATCH("2025::jama.2025.15440::C001",'C_jama.2025.15440'!$A$2:$A$3,0))="report_internal_inconsistency",INDEX('C_jama.2025.15440'!$E$2:$E$3,MATCH("2025::jama.2025.15440::C001",'C_jama.2025.15440'!$A$2:$A$3,0))="plan_material")),IF(INDEX('C_jama.2025.15440'!$K$2:$K$3,MATCH("2025::jama.2025.15440::C001",'C_jama.2025.15440'!$A$2:$A$3,0))="","",INDEX('C_jama.2025.15440'!$K$2:$K$3,MATCH("2025::jama.2025.15440::C001",'C_jama.2025.15440'!$A$2:$A$3,0))),"not_applicable")</x:f>
        <x:v>not_applicable</x:v>
      </x:c>
      <x:c r="Y67" s="3" t="str">
        <x:f>IF(AND(INDEX('C_jama.2025.15440'!$D$2:$D$3,MATCH("2025::jama.2025.15440::C001",'C_jama.2025.15440'!$A$2:$A$3,0))="retain",INDEX('C_jama.2025.15440'!$E$2:$E$3,MATCH("2025::jama.2025.15440::C001",'C_jama.2025.15440'!$A$2:$A$3,0))="protocol_report"),IF(INDEX('C_jama.2025.15440'!$L$2:$L$3,MATCH("2025::jama.2025.15440::C001",'C_jama.2025.15440'!$A$2:$A$3,0))="","",INDEX('C_jama.2025.15440'!$L$2:$L$3,MATCH("2025::jama.2025.15440::C001",'C_jama.2025.15440'!$A$2:$A$3,0))),"not_applicable")</x:f>
        <x:v>not_applicable</x:v>
      </x:c>
      <x:c r="Z67" s="3" t="str">
        <x:f>IF(INDEX('C_jama.2025.15440'!$R$2:$R$3,MATCH("2025::jama.2025.15440::C001",'C_jama.2025.15440'!$A$2:$A$3,0))="","",INDEX('C_jama.2025.15440'!$R$2:$R$3,MATCH("2025::jama.2025.15440::C001",'C_jama.2025.15440'!$A$2:$A$3,0)))</x:f>
      </x:c>
      <x:c r="AA67" s="3" t="str">
        <x:f>IF(INDEX('C_jama.2025.15440'!$N$2:$N$3,MATCH("2025::jama.2025.15440::C001",'C_jama.2025.15440'!$A$2:$A$3,0))="","",INDEX('C_jama.2025.15440'!$N$2:$N$3,MATCH("2025::jama.2025.15440::C001",'C_jama.2025.15440'!$A$2:$A$3,0)))</x:f>
      </x:c>
      <x:c r="AB67" s="3" t="str">
        <x:f>IF(INDEX('C_jama.2025.15440'!$O$2:$O$3,MATCH("2025::jama.2025.15440::C001",'C_jama.2025.15440'!$A$2:$A$3,0))="","",INDEX('C_jama.2025.15440'!$O$2:$O$3,MATCH("2025::jama.2025.15440::C001",'C_jama.2025.15440'!$A$2:$A$3,0)))</x:f>
      </x:c>
      <x:c r="AC67" s="3" t="str">
        <x:f>IF(INDEX('C_jama.2025.15440'!$P$2:$P$3,MATCH("2025::jama.2025.15440::C001",'C_jama.2025.15440'!$A$2:$A$3,0))="","",INDEX('C_jama.2025.15440'!$P$2:$P$3,MATCH("2025::jama.2025.15440::C001",'C_jama.2025.15440'!$A$2:$A$3,0)))</x:f>
      </x:c>
      <x:c r="AD67" s="3" t="str">
        <x:f>IF(INDEX('C_jama.2025.15440'!$Q$2:$Q$3,MATCH("2025::jama.2025.15440::C001",'C_jama.2025.15440'!$A$2:$A$3,0))="","",INDEX('C_jama.2025.15440'!$Q$2:$Q$3,MATCH("2025::jama.2025.15440::C001",'C_jama.2025.15440'!$A$2:$A$3,0)))</x:f>
      </x:c>
    </x:row>
    <x:row r="68" ht="65" customHeight="1">
      <x:c r="A68" s="6" t="n">
        <x:v>2025</x:v>
      </x:c>
      <x:c r="B68" s="6" t="str">
        <x:v>jama.2025.15440</x:v>
      </x:c>
      <x:c r="C68" s="6" t="str">
        <x:v>2025::jama.2025.15440::C002</x:v>
      </x:c>
      <x:c r="D68" s="6" t="str">
        <x:v>S_W</x:v>
      </x:c>
      <x:c r="E68" s="6" t="n">
        <x:f>Setup!$B$2</x:f>
        <x:v>0</x:v>
      </x:c>
      <x:c r="F68" s="6" t="str">
        <x:f>IF(Setup!$B$4="","",Setup!$B$4)</x:f>
      </x:c>
      <x:c r="G68" s="6" t="str">
        <x:f>IFERROR(INDEX('C_jama.2025.15440'!$G$2:$G$3,MATCH("2025::jama.2025.15440::C002",'C_jama.2025.15440'!$A$2:$A$3,0)),"CHECK KEY")</x:f>
        <x:v>CHECK REVIEWER IDs</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statistical_results</x:v>
      </x:c>
      <x:c r="K68" s="6" t="str">
        <x:f>IF(Setup!$B$6="primary","",IFERROR(IF(INDEX('Primary_snapshot'!$B$2:$B$132,MATCH(C68,'Primary_snapshot'!$A$2:$A$132,0))="","",INDEX('Primary_snapshot'!$B$2:$B$132,MATCH(C68,'Primary_snapshot'!$A$2:$A$132,0))),"SNAPSHOT MISSING"))</x:f>
      </x:c>
      <x:c r="L68" s="6" t="str">
        <x:f>IF(Setup!$B$6="primary","",IFERROR(IF(INDEX('Primary_snapshot'!$C$2:$C$132,MATCH(C68,'Primary_snapshot'!$A$2:$A$132,0))="","",INDEX('Primary_snapshot'!$C$2:$C$132,MATCH(C68,'Primary_snapshot'!$A$2:$A$132,0))),"SNAPSHOT MISSING"))</x:f>
      </x:c>
      <x:c r="M68" s="6" t="str">
        <x:f>IF(Setup!$B$6="primary","",IFERROR(IF(INDEX('Primary_snapshot'!$D$2:$D$132,MATCH(C68,'Primary_snapshot'!$A$2:$A$132,0))="","",INDEX('Primary_snapshot'!$D$2:$D$132,MATCH(C68,'Primary_snapshot'!$A$2:$A$132,0))),"SNAPSHOT MISSING"))</x:f>
      </x:c>
      <x:c r="N68" s="6" t="str">
        <x:f>IF(Setup!$B$6="primary","",IFERROR(IF(INDEX('Primary_snapshot'!$E$2:$E$132,MATCH(C68,'Primary_snapshot'!$A$2:$A$132,0))="","",INDEX('Primary_snapshot'!$E$2:$E$132,MATCH(C68,'Primary_snapshot'!$A$2:$A$132,0))),"SNAPSHOT MISSING"))</x:f>
      </x:c>
      <x:c r="O68" s="6" t="str">
        <x:f>IF(Setup!$B$6="primary","",IFERROR(IF(INDEX('Primary_snapshot'!$F$2:$F$132,MATCH(C68,'Primary_snapshot'!$A$2:$A$132,0))="","",INDEX('Primary_snapshot'!$F$2:$F$132,MATCH(C68,'Primary_snapshot'!$A$2:$A$132,0))),"SNAPSHOT MISSING"))</x:f>
      </x:c>
      <x:c r="P68" s="6" t="str">
        <x:f>IF(Setup!$B$6="primary","",IFERROR(IF(INDEX('Primary_snapshot'!$G$2:$G$132,MATCH(C68,'Primary_snapshot'!$A$2:$A$132,0))="","",INDEX('Primary_snapshot'!$G$2:$G$132,MATCH(C68,'Primary_snapshot'!$A$2:$A$132,0))),"SNAPSHOT MISSING"))</x:f>
      </x:c>
      <x:c r="Q68" s="6" t="str">
        <x:f>IF(Setup!$B$6="primary","",IFERROR(IF(INDEX('Primary_snapshot'!$H$2:$H$132,MATCH(C68,'Primary_snapshot'!$A$2:$A$132,0))="","",INDEX('Primary_snapshot'!$H$2:$H$132,MATCH(C68,'Primary_snapshot'!$A$2:$A$132,0))),"SNAPSHOT MISSING"))</x:f>
      </x:c>
      <x:c r="R68" s="6" t="str">
        <x:f>IF(Setup!$B$6="primary","",IFERROR(IF(INDEX('Primary_snapshot'!$I$2:$I$132,MATCH(C68,'Primary_snapshot'!$A$2:$A$132,0))="","",INDEX('Primary_snapshot'!$I$2:$I$132,MATCH(C68,'Primary_snapshot'!$A$2:$A$132,0))),"SNAPSHOT MISSING"))</x:f>
      </x:c>
      <x:c r="S68" s="6" t="str">
        <x:f>IF(INDEX('C_jama.2025.15440'!$D$2:$D$3,MATCH("2025::jama.2025.15440::C002",'C_jama.2025.15440'!$A$2:$A$3,0))="","",INDEX('C_jama.2025.15440'!$D$2:$D$3,MATCH("2025::jama.2025.15440::C002",'C_jama.2025.15440'!$A$2:$A$3,0)))</x:f>
      </x:c>
      <x:c r="T68" s="6" t="str">
        <x:f>IF(INDEX('C_jama.2025.15440'!$E$2:$E$3,MATCH("2025::jama.2025.15440::C002",'C_jama.2025.15440'!$A$2:$A$3,0))="","",INDEX('C_jama.2025.15440'!$E$2:$E$3,MATCH("2025::jama.2025.15440::C002",'C_jama.2025.15440'!$A$2:$A$3,0)))</x:f>
        <x:v>statistical_results</x:v>
      </x:c>
      <x:c r="U68" s="6" t="str">
        <x:f>IF(AND(INDEX('C_jama.2025.15440'!$D$2:$D$3,MATCH("2025::jama.2025.15440::C002",'C_jama.2025.15440'!$A$2:$A$3,0))="retain",INDEX('C_jama.2025.15440'!$E$2:$E$3,MATCH("2025::jama.2025.15440::C002",'C_jama.2025.15440'!$A$2:$A$3,0))="statistical_results"),IF(INDEX('C_jama.2025.15440'!$H$2:$H$3,MATCH("2025::jama.2025.15440::C002",'C_jama.2025.15440'!$A$2:$A$3,0))="","",INDEX('C_jama.2025.15440'!$H$2:$H$3,MATCH("2025::jama.2025.15440::C002",'C_jama.2025.15440'!$A$2:$A$3,0))),"not_applicable")</x:f>
        <x:v>not_applicable</x:v>
      </x:c>
      <x:c r="V68" s="6" t="str">
        <x:f>IF(AND(INDEX('C_jama.2025.15440'!$D$2:$D$3,MATCH("2025::jama.2025.15440::C002",'C_jama.2025.15440'!$A$2:$A$3,0))="retain",INDEX('C_jama.2025.15440'!$E$2:$E$3,MATCH("2025::jama.2025.15440::C002",'C_jama.2025.15440'!$A$2:$A$3,0))="statistical_results"),IF(INDEX('C_jama.2025.15440'!$I$2:$I$3,MATCH("2025::jama.2025.15440::C002",'C_jama.2025.15440'!$A$2:$A$3,0))="","",INDEX('C_jama.2025.15440'!$I$2:$I$3,MATCH("2025::jama.2025.15440::C002",'C_jama.2025.15440'!$A$2:$A$3,0))),"not_applicable")</x:f>
        <x:v>not_applicable</x:v>
      </x:c>
      <x:c r="W68" s="6" t="str">
        <x:f>IF(AND(INDEX('C_jama.2025.15440'!$D$2:$D$3,MATCH("2025::jama.2025.15440::C002",'C_jama.2025.15440'!$A$2:$A$3,0))="retain",INDEX('C_jama.2025.15440'!$E$2:$E$3,MATCH("2025::jama.2025.15440::C002",'C_jama.2025.15440'!$A$2:$A$3,0))="statistical_results"),IF(INDEX('C_jama.2025.15440'!$J$2:$J$3,MATCH("2025::jama.2025.15440::C002",'C_jama.2025.15440'!$A$2:$A$3,0))="","",INDEX('C_jama.2025.15440'!$J$2:$J$3,MATCH("2025::jama.2025.15440::C002",'C_jama.2025.15440'!$A$2:$A$3,0))),"not_applicable")</x:f>
        <x:v>not_applicable</x:v>
      </x:c>
      <x:c r="X68" s="6" t="str">
        <x:f>IF(AND(INDEX('C_jama.2025.15440'!$D$2:$D$3,MATCH("2025::jama.2025.15440::C002",'C_jama.2025.15440'!$A$2:$A$3,0))="retain",OR(INDEX('C_jama.2025.15440'!$E$2:$E$3,MATCH("2025::jama.2025.15440::C002",'C_jama.2025.15440'!$A$2:$A$3,0))="report_internal_inconsistency",INDEX('C_jama.2025.15440'!$E$2:$E$3,MATCH("2025::jama.2025.15440::C002",'C_jama.2025.15440'!$A$2:$A$3,0))="plan_material")),IF(INDEX('C_jama.2025.15440'!$K$2:$K$3,MATCH("2025::jama.2025.15440::C002",'C_jama.2025.15440'!$A$2:$A$3,0))="","",INDEX('C_jama.2025.15440'!$K$2:$K$3,MATCH("2025::jama.2025.15440::C002",'C_jama.2025.15440'!$A$2:$A$3,0))),"not_applicable")</x:f>
        <x:v>not_applicable</x:v>
      </x:c>
      <x:c r="Y68" s="6" t="str">
        <x:f>IF(AND(INDEX('C_jama.2025.15440'!$D$2:$D$3,MATCH("2025::jama.2025.15440::C002",'C_jama.2025.15440'!$A$2:$A$3,0))="retain",INDEX('C_jama.2025.15440'!$E$2:$E$3,MATCH("2025::jama.2025.15440::C002",'C_jama.2025.15440'!$A$2:$A$3,0))="protocol_report"),IF(INDEX('C_jama.2025.15440'!$L$2:$L$3,MATCH("2025::jama.2025.15440::C002",'C_jama.2025.15440'!$A$2:$A$3,0))="","",INDEX('C_jama.2025.15440'!$L$2:$L$3,MATCH("2025::jama.2025.15440::C002",'C_jama.2025.15440'!$A$2:$A$3,0))),"not_applicable")</x:f>
        <x:v>not_applicable</x:v>
      </x:c>
      <x:c r="Z68" s="6" t="str">
        <x:f>IF(INDEX('C_jama.2025.15440'!$R$2:$R$3,MATCH("2025::jama.2025.15440::C002",'C_jama.2025.15440'!$A$2:$A$3,0))="","",INDEX('C_jama.2025.15440'!$R$2:$R$3,MATCH("2025::jama.2025.15440::C002",'C_jama.2025.15440'!$A$2:$A$3,0)))</x:f>
      </x:c>
      <x:c r="AA68" s="6" t="str">
        <x:f>IF(INDEX('C_jama.2025.15440'!$N$2:$N$3,MATCH("2025::jama.2025.15440::C002",'C_jama.2025.15440'!$A$2:$A$3,0))="","",INDEX('C_jama.2025.15440'!$N$2:$N$3,MATCH("2025::jama.2025.15440::C002",'C_jama.2025.15440'!$A$2:$A$3,0)))</x:f>
      </x:c>
      <x:c r="AB68" s="6" t="str">
        <x:f>IF(INDEX('C_jama.2025.15440'!$O$2:$O$3,MATCH("2025::jama.2025.15440::C002",'C_jama.2025.15440'!$A$2:$A$3,0))="","",INDEX('C_jama.2025.15440'!$O$2:$O$3,MATCH("2025::jama.2025.15440::C002",'C_jama.2025.15440'!$A$2:$A$3,0)))</x:f>
      </x:c>
      <x:c r="AC68" s="6" t="str">
        <x:f>IF(INDEX('C_jama.2025.15440'!$P$2:$P$3,MATCH("2025::jama.2025.15440::C002",'C_jama.2025.15440'!$A$2:$A$3,0))="","",INDEX('C_jama.2025.15440'!$P$2:$P$3,MATCH("2025::jama.2025.15440::C002",'C_jama.2025.15440'!$A$2:$A$3,0)))</x:f>
      </x:c>
      <x:c r="AD68" s="6" t="str">
        <x:f>IF(INDEX('C_jama.2025.15440'!$Q$2:$Q$3,MATCH("2025::jama.2025.15440::C002",'C_jama.2025.15440'!$A$2:$A$3,0))="","",INDEX('C_jama.2025.15440'!$Q$2:$Q$3,MATCH("2025::jama.2025.15440::C002",'C_jama.2025.15440'!$A$2:$A$3,0)))</x:f>
      </x:c>
    </x:row>
    <x:row r="69" ht="65" customHeight="1">
      <x:c r="A69" s="3" t="n">
        <x:v>2025</x:v>
      </x:c>
      <x:c r="B69" s="3" t="str">
        <x:v>jama.2025.16450</x:v>
      </x:c>
      <x:c r="C69" s="3" t="str">
        <x:v>2025::jama.2025.16450::C001</x:v>
      </x:c>
      <x:c r="D69" s="3" t="str">
        <x:v>S_W</x:v>
      </x:c>
      <x:c r="E69" s="3" t="n">
        <x:f>Setup!$B$2</x:f>
        <x:v>0</x:v>
      </x:c>
      <x:c r="F69" s="3" t="str">
        <x:f>IF(Setup!$B$4="","",Setup!$B$4)</x:f>
      </x:c>
      <x:c r="G69" s="3" t="str">
        <x:f>IFERROR(INDEX('C_jama.2025.16450'!$G$2:$G$11,MATCH("2025::jama.2025.16450::C001",'C_jama.2025.16450'!$A$2:$A$11,0)),"CHECK KEY")</x:f>
        <x:v>CHECK REVIEWER IDs</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report_internal_inconsistency</x:v>
      </x:c>
      <x:c r="K69" s="3" t="str">
        <x:f>IF(Setup!$B$6="primary","",IFERROR(IF(INDEX('Primary_snapshot'!$B$2:$B$132,MATCH(C69,'Primary_snapshot'!$A$2:$A$132,0))="","",INDEX('Primary_snapshot'!$B$2:$B$132,MATCH(C69,'Primary_snapshot'!$A$2:$A$132,0))),"SNAPSHOT MISSING"))</x:f>
      </x:c>
      <x:c r="L69" s="3" t="str">
        <x:f>IF(Setup!$B$6="primary","",IFERROR(IF(INDEX('Primary_snapshot'!$C$2:$C$132,MATCH(C69,'Primary_snapshot'!$A$2:$A$132,0))="","",INDEX('Primary_snapshot'!$C$2:$C$132,MATCH(C69,'Primary_snapshot'!$A$2:$A$132,0))),"SNAPSHOT MISSING"))</x:f>
      </x:c>
      <x:c r="M69" s="3" t="str">
        <x:f>IF(Setup!$B$6="primary","",IFERROR(IF(INDEX('Primary_snapshot'!$D$2:$D$132,MATCH(C69,'Primary_snapshot'!$A$2:$A$132,0))="","",INDEX('Primary_snapshot'!$D$2:$D$132,MATCH(C69,'Primary_snapshot'!$A$2:$A$132,0))),"SNAPSHOT MISSING"))</x:f>
      </x:c>
      <x:c r="N69" s="3" t="str">
        <x:f>IF(Setup!$B$6="primary","",IFERROR(IF(INDEX('Primary_snapshot'!$E$2:$E$132,MATCH(C69,'Primary_snapshot'!$A$2:$A$132,0))="","",INDEX('Primary_snapshot'!$E$2:$E$132,MATCH(C69,'Primary_snapshot'!$A$2:$A$132,0))),"SNAPSHOT MISSING"))</x:f>
      </x:c>
      <x:c r="O69" s="3" t="str">
        <x:f>IF(Setup!$B$6="primary","",IFERROR(IF(INDEX('Primary_snapshot'!$F$2:$F$132,MATCH(C69,'Primary_snapshot'!$A$2:$A$132,0))="","",INDEX('Primary_snapshot'!$F$2:$F$132,MATCH(C69,'Primary_snapshot'!$A$2:$A$132,0))),"SNAPSHOT MISSING"))</x:f>
      </x:c>
      <x:c r="P69" s="3" t="str">
        <x:f>IF(Setup!$B$6="primary","",IFERROR(IF(INDEX('Primary_snapshot'!$G$2:$G$132,MATCH(C69,'Primary_snapshot'!$A$2:$A$132,0))="","",INDEX('Primary_snapshot'!$G$2:$G$132,MATCH(C69,'Primary_snapshot'!$A$2:$A$132,0))),"SNAPSHOT MISSING"))</x:f>
      </x:c>
      <x:c r="Q69" s="3" t="str">
        <x:f>IF(Setup!$B$6="primary","",IFERROR(IF(INDEX('Primary_snapshot'!$H$2:$H$132,MATCH(C69,'Primary_snapshot'!$A$2:$A$132,0))="","",INDEX('Primary_snapshot'!$H$2:$H$132,MATCH(C69,'Primary_snapshot'!$A$2:$A$132,0))),"SNAPSHOT MISSING"))</x:f>
      </x:c>
      <x:c r="R69" s="3" t="str">
        <x:f>IF(Setup!$B$6="primary","",IFERROR(IF(INDEX('Primary_snapshot'!$I$2:$I$132,MATCH(C69,'Primary_snapshot'!$A$2:$A$132,0))="","",INDEX('Primary_snapshot'!$I$2:$I$132,MATCH(C69,'Primary_snapshot'!$A$2:$A$132,0))),"SNAPSHOT MISSING"))</x:f>
      </x:c>
      <x:c r="S69" s="3" t="str">
        <x:f>IF(INDEX('C_jama.2025.16450'!$D$2:$D$11,MATCH("2025::jama.2025.16450::C001",'C_jama.2025.16450'!$A$2:$A$11,0))="","",INDEX('C_jama.2025.16450'!$D$2:$D$11,MATCH("2025::jama.2025.16450::C001",'C_jama.2025.16450'!$A$2:$A$11,0)))</x:f>
      </x:c>
      <x:c r="T69" s="3" t="str">
        <x:f>IF(INDEX('C_jama.2025.16450'!$E$2:$E$11,MATCH("2025::jama.2025.16450::C001",'C_jama.2025.16450'!$A$2:$A$11,0))="","",INDEX('C_jama.2025.16450'!$E$2:$E$11,MATCH("2025::jama.2025.16450::C001",'C_jama.2025.16450'!$A$2:$A$11,0)))</x:f>
        <x:v>report_internal_inconsistency</x:v>
      </x:c>
      <x:c r="U69" s="3" t="str">
        <x:f>IF(AND(INDEX('C_jama.2025.16450'!$D$2:$D$11,MATCH("2025::jama.2025.16450::C001",'C_jama.2025.16450'!$A$2:$A$11,0))="retain",INDEX('C_jama.2025.16450'!$E$2:$E$11,MATCH("2025::jama.2025.16450::C001",'C_jama.2025.16450'!$A$2:$A$11,0))="statistical_results"),IF(INDEX('C_jama.2025.16450'!$H$2:$H$11,MATCH("2025::jama.2025.16450::C001",'C_jama.2025.16450'!$A$2:$A$11,0))="","",INDEX('C_jama.2025.16450'!$H$2:$H$11,MATCH("2025::jama.2025.16450::C001",'C_jama.2025.16450'!$A$2:$A$11,0))),"not_applicable")</x:f>
        <x:v>not_applicable</x:v>
      </x:c>
      <x:c r="V69" s="3" t="str">
        <x:f>IF(AND(INDEX('C_jama.2025.16450'!$D$2:$D$11,MATCH("2025::jama.2025.16450::C001",'C_jama.2025.16450'!$A$2:$A$11,0))="retain",INDEX('C_jama.2025.16450'!$E$2:$E$11,MATCH("2025::jama.2025.16450::C001",'C_jama.2025.16450'!$A$2:$A$11,0))="statistical_results"),IF(INDEX('C_jama.2025.16450'!$I$2:$I$11,MATCH("2025::jama.2025.16450::C001",'C_jama.2025.16450'!$A$2:$A$11,0))="","",INDEX('C_jama.2025.16450'!$I$2:$I$11,MATCH("2025::jama.2025.16450::C001",'C_jama.2025.16450'!$A$2:$A$11,0))),"not_applicable")</x:f>
        <x:v>not_applicable</x:v>
      </x:c>
      <x:c r="W69" s="3" t="str">
        <x:f>IF(AND(INDEX('C_jama.2025.16450'!$D$2:$D$11,MATCH("2025::jama.2025.16450::C001",'C_jama.2025.16450'!$A$2:$A$11,0))="retain",INDEX('C_jama.2025.16450'!$E$2:$E$11,MATCH("2025::jama.2025.16450::C001",'C_jama.2025.16450'!$A$2:$A$11,0))="statistical_results"),IF(INDEX('C_jama.2025.16450'!$J$2:$J$11,MATCH("2025::jama.2025.16450::C001",'C_jama.2025.16450'!$A$2:$A$11,0))="","",INDEX('C_jama.2025.16450'!$J$2:$J$11,MATCH("2025::jama.2025.16450::C001",'C_jama.2025.16450'!$A$2:$A$11,0))),"not_applicable")</x:f>
        <x:v>not_applicable</x:v>
      </x:c>
      <x:c r="X69" s="3" t="str">
        <x:f>IF(AND(INDEX('C_jama.2025.16450'!$D$2:$D$11,MATCH("2025::jama.2025.16450::C001",'C_jama.2025.16450'!$A$2:$A$11,0))="retain",OR(INDEX('C_jama.2025.16450'!$E$2:$E$11,MATCH("2025::jama.2025.16450::C001",'C_jama.2025.16450'!$A$2:$A$11,0))="report_internal_inconsistency",INDEX('C_jama.2025.16450'!$E$2:$E$11,MATCH("2025::jama.2025.16450::C001",'C_jama.2025.16450'!$A$2:$A$11,0))="plan_material")),IF(INDEX('C_jama.2025.16450'!$K$2:$K$11,MATCH("2025::jama.2025.16450::C001",'C_jama.2025.16450'!$A$2:$A$11,0))="","",INDEX('C_jama.2025.16450'!$K$2:$K$11,MATCH("2025::jama.2025.16450::C001",'C_jama.2025.16450'!$A$2:$A$11,0))),"not_applicable")</x:f>
        <x:v>not_applicable</x:v>
      </x:c>
      <x:c r="Y69" s="3" t="str">
        <x:f>IF(AND(INDEX('C_jama.2025.16450'!$D$2:$D$11,MATCH("2025::jama.2025.16450::C001",'C_jama.2025.16450'!$A$2:$A$11,0))="retain",INDEX('C_jama.2025.16450'!$E$2:$E$11,MATCH("2025::jama.2025.16450::C001",'C_jama.2025.16450'!$A$2:$A$11,0))="protocol_report"),IF(INDEX('C_jama.2025.16450'!$L$2:$L$11,MATCH("2025::jama.2025.16450::C001",'C_jama.2025.16450'!$A$2:$A$11,0))="","",INDEX('C_jama.2025.16450'!$L$2:$L$11,MATCH("2025::jama.2025.16450::C001",'C_jama.2025.16450'!$A$2:$A$11,0))),"not_applicable")</x:f>
        <x:v>not_applicable</x:v>
      </x:c>
      <x:c r="Z69" s="3" t="str">
        <x:f>IF(INDEX('C_jama.2025.16450'!$R$2:$R$11,MATCH("2025::jama.2025.16450::C001",'C_jama.2025.16450'!$A$2:$A$11,0))="","",INDEX('C_jama.2025.16450'!$R$2:$R$11,MATCH("2025::jama.2025.16450::C001",'C_jama.2025.16450'!$A$2:$A$11,0)))</x:f>
      </x:c>
      <x:c r="AA69" s="3" t="str">
        <x:f>IF(INDEX('C_jama.2025.16450'!$N$2:$N$11,MATCH("2025::jama.2025.16450::C001",'C_jama.2025.16450'!$A$2:$A$11,0))="","",INDEX('C_jama.2025.16450'!$N$2:$N$11,MATCH("2025::jama.2025.16450::C001",'C_jama.2025.16450'!$A$2:$A$11,0)))</x:f>
      </x:c>
      <x:c r="AB69" s="3" t="str">
        <x:f>IF(INDEX('C_jama.2025.16450'!$O$2:$O$11,MATCH("2025::jama.2025.16450::C001",'C_jama.2025.16450'!$A$2:$A$11,0))="","",INDEX('C_jama.2025.16450'!$O$2:$O$11,MATCH("2025::jama.2025.16450::C001",'C_jama.2025.16450'!$A$2:$A$11,0)))</x:f>
      </x:c>
      <x:c r="AC69" s="3" t="str">
        <x:f>IF(INDEX('C_jama.2025.16450'!$P$2:$P$11,MATCH("2025::jama.2025.16450::C001",'C_jama.2025.16450'!$A$2:$A$11,0))="","",INDEX('C_jama.2025.16450'!$P$2:$P$11,MATCH("2025::jama.2025.16450::C001",'C_jama.2025.16450'!$A$2:$A$11,0)))</x:f>
      </x:c>
      <x:c r="AD69" s="3" t="str">
        <x:f>IF(INDEX('C_jama.2025.16450'!$Q$2:$Q$11,MATCH("2025::jama.2025.16450::C001",'C_jama.2025.16450'!$A$2:$A$11,0))="","",INDEX('C_jama.2025.16450'!$Q$2:$Q$11,MATCH("2025::jama.2025.16450::C001",'C_jama.2025.16450'!$A$2:$A$11,0)))</x:f>
      </x:c>
    </x:row>
    <x:row r="70" ht="65" customHeight="1">
      <x:c r="A70" s="6" t="n">
        <x:v>2025</x:v>
      </x:c>
      <x:c r="B70" s="6" t="str">
        <x:v>jama.2025.16450</x:v>
      </x:c>
      <x:c r="C70" s="6" t="str">
        <x:v>2025::jama.2025.16450::C002</x:v>
      </x:c>
      <x:c r="D70" s="6" t="str">
        <x:v>P_R</x:v>
      </x:c>
      <x:c r="E70" s="6" t="n">
        <x:f>Setup!$B$2</x:f>
        <x:v>0</x:v>
      </x:c>
      <x:c r="F70" s="6" t="str">
        <x:f>IF(Setup!$B$4="","",Setup!$B$4)</x:f>
      </x:c>
      <x:c r="G70" s="6" t="str">
        <x:f>IFERROR(INDEX('C_jama.2025.16450'!$G$2:$G$11,MATCH("2025::jama.2025.16450::C002",'C_jama.2025.16450'!$A$2:$A$11,0)),"CHECK KEY")</x:f>
        <x:v>CHECK REVIEWER IDs</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exclude</x:v>
      </x:c>
      <x:c r="J70" s="6" t="str">
        <x:v>protocol_report</x:v>
      </x:c>
      <x:c r="K70" s="6" t="str">
        <x:f>IF(Setup!$B$6="primary","",IFERROR(IF(INDEX('Primary_snapshot'!$B$2:$B$132,MATCH(C70,'Primary_snapshot'!$A$2:$A$132,0))="","",INDEX('Primary_snapshot'!$B$2:$B$132,MATCH(C70,'Primary_snapshot'!$A$2:$A$132,0))),"SNAPSHOT MISSING"))</x:f>
      </x:c>
      <x:c r="L70" s="6" t="str">
        <x:f>IF(Setup!$B$6="primary","",IFERROR(IF(INDEX('Primary_snapshot'!$C$2:$C$132,MATCH(C70,'Primary_snapshot'!$A$2:$A$132,0))="","",INDEX('Primary_snapshot'!$C$2:$C$132,MATCH(C70,'Primary_snapshot'!$A$2:$A$132,0))),"SNAPSHOT MISSING"))</x:f>
      </x:c>
      <x:c r="M70" s="6" t="str">
        <x:f>IF(Setup!$B$6="primary","",IFERROR(IF(INDEX('Primary_snapshot'!$D$2:$D$132,MATCH(C70,'Primary_snapshot'!$A$2:$A$132,0))="","",INDEX('Primary_snapshot'!$D$2:$D$132,MATCH(C70,'Primary_snapshot'!$A$2:$A$132,0))),"SNAPSHOT MISSING"))</x:f>
      </x:c>
      <x:c r="N70" s="6" t="str">
        <x:f>IF(Setup!$B$6="primary","",IFERROR(IF(INDEX('Primary_snapshot'!$E$2:$E$132,MATCH(C70,'Primary_snapshot'!$A$2:$A$132,0))="","",INDEX('Primary_snapshot'!$E$2:$E$132,MATCH(C70,'Primary_snapshot'!$A$2:$A$132,0))),"SNAPSHOT MISSING"))</x:f>
      </x:c>
      <x:c r="O70" s="6" t="str">
        <x:f>IF(Setup!$B$6="primary","",IFERROR(IF(INDEX('Primary_snapshot'!$F$2:$F$132,MATCH(C70,'Primary_snapshot'!$A$2:$A$132,0))="","",INDEX('Primary_snapshot'!$F$2:$F$132,MATCH(C70,'Primary_snapshot'!$A$2:$A$132,0))),"SNAPSHOT MISSING"))</x:f>
      </x:c>
      <x:c r="P70" s="6" t="str">
        <x:f>IF(Setup!$B$6="primary","",IFERROR(IF(INDEX('Primary_snapshot'!$G$2:$G$132,MATCH(C70,'Primary_snapshot'!$A$2:$A$132,0))="","",INDEX('Primary_snapshot'!$G$2:$G$132,MATCH(C70,'Primary_snapshot'!$A$2:$A$132,0))),"SNAPSHOT MISSING"))</x:f>
      </x:c>
      <x:c r="Q70" s="6" t="str">
        <x:f>IF(Setup!$B$6="primary","",IFERROR(IF(INDEX('Primary_snapshot'!$H$2:$H$132,MATCH(C70,'Primary_snapshot'!$A$2:$A$132,0))="","",INDEX('Primary_snapshot'!$H$2:$H$132,MATCH(C70,'Primary_snapshot'!$A$2:$A$132,0))),"SNAPSHOT MISSING"))</x:f>
      </x:c>
      <x:c r="R70" s="6" t="str">
        <x:f>IF(Setup!$B$6="primary","",IFERROR(IF(INDEX('Primary_snapshot'!$I$2:$I$132,MATCH(C70,'Primary_snapshot'!$A$2:$A$132,0))="","",INDEX('Primary_snapshot'!$I$2:$I$132,MATCH(C70,'Primary_snapshot'!$A$2:$A$132,0))),"SNAPSHOT MISSING"))</x:f>
      </x:c>
      <x:c r="S70" s="6" t="str">
        <x:f>IF(INDEX('C_jama.2025.16450'!$D$2:$D$11,MATCH("2025::jama.2025.16450::C002",'C_jama.2025.16450'!$A$2:$A$11,0))="","",INDEX('C_jama.2025.16450'!$D$2:$D$11,MATCH("2025::jama.2025.16450::C002",'C_jama.2025.16450'!$A$2:$A$11,0)))</x:f>
      </x:c>
      <x:c r="T70" s="6" t="str">
        <x:f>IF(INDEX('C_jama.2025.16450'!$E$2:$E$11,MATCH("2025::jama.2025.16450::C002",'C_jama.2025.16450'!$A$2:$A$11,0))="","",INDEX('C_jama.2025.16450'!$E$2:$E$11,MATCH("2025::jama.2025.16450::C002",'C_jama.2025.16450'!$A$2:$A$11,0)))</x:f>
        <x:v>protocol_report</x:v>
      </x:c>
      <x:c r="U70" s="6" t="str">
        <x:f>IF(AND(INDEX('C_jama.2025.16450'!$D$2:$D$11,MATCH("2025::jama.2025.16450::C002",'C_jama.2025.16450'!$A$2:$A$11,0))="retain",INDEX('C_jama.2025.16450'!$E$2:$E$11,MATCH("2025::jama.2025.16450::C002",'C_jama.2025.16450'!$A$2:$A$11,0))="statistical_results"),IF(INDEX('C_jama.2025.16450'!$H$2:$H$11,MATCH("2025::jama.2025.16450::C002",'C_jama.2025.16450'!$A$2:$A$11,0))="","",INDEX('C_jama.2025.16450'!$H$2:$H$11,MATCH("2025::jama.2025.16450::C002",'C_jama.2025.16450'!$A$2:$A$11,0))),"not_applicable")</x:f>
        <x:v>not_applicable</x:v>
      </x:c>
      <x:c r="V70" s="6" t="str">
        <x:f>IF(AND(INDEX('C_jama.2025.16450'!$D$2:$D$11,MATCH("2025::jama.2025.16450::C002",'C_jama.2025.16450'!$A$2:$A$11,0))="retain",INDEX('C_jama.2025.16450'!$E$2:$E$11,MATCH("2025::jama.2025.16450::C002",'C_jama.2025.16450'!$A$2:$A$11,0))="statistical_results"),IF(INDEX('C_jama.2025.16450'!$I$2:$I$11,MATCH("2025::jama.2025.16450::C002",'C_jama.2025.16450'!$A$2:$A$11,0))="","",INDEX('C_jama.2025.16450'!$I$2:$I$11,MATCH("2025::jama.2025.16450::C002",'C_jama.2025.16450'!$A$2:$A$11,0))),"not_applicable")</x:f>
        <x:v>not_applicable</x:v>
      </x:c>
      <x:c r="W70" s="6" t="str">
        <x:f>IF(AND(INDEX('C_jama.2025.16450'!$D$2:$D$11,MATCH("2025::jama.2025.16450::C002",'C_jama.2025.16450'!$A$2:$A$11,0))="retain",INDEX('C_jama.2025.16450'!$E$2:$E$11,MATCH("2025::jama.2025.16450::C002",'C_jama.2025.16450'!$A$2:$A$11,0))="statistical_results"),IF(INDEX('C_jama.2025.16450'!$J$2:$J$11,MATCH("2025::jama.2025.16450::C002",'C_jama.2025.16450'!$A$2:$A$11,0))="","",INDEX('C_jama.2025.16450'!$J$2:$J$11,MATCH("2025::jama.2025.16450::C002",'C_jama.2025.16450'!$A$2:$A$11,0))),"not_applicable")</x:f>
        <x:v>not_applicable</x:v>
      </x:c>
      <x:c r="X70" s="6" t="str">
        <x:f>IF(AND(INDEX('C_jama.2025.16450'!$D$2:$D$11,MATCH("2025::jama.2025.16450::C002",'C_jama.2025.16450'!$A$2:$A$11,0))="retain",OR(INDEX('C_jama.2025.16450'!$E$2:$E$11,MATCH("2025::jama.2025.16450::C002",'C_jama.2025.16450'!$A$2:$A$11,0))="report_internal_inconsistency",INDEX('C_jama.2025.16450'!$E$2:$E$11,MATCH("2025::jama.2025.16450::C002",'C_jama.2025.16450'!$A$2:$A$11,0))="plan_material")),IF(INDEX('C_jama.2025.16450'!$K$2:$K$11,MATCH("2025::jama.2025.16450::C002",'C_jama.2025.16450'!$A$2:$A$11,0))="","",INDEX('C_jama.2025.16450'!$K$2:$K$11,MATCH("2025::jama.2025.16450::C002",'C_jama.2025.16450'!$A$2:$A$11,0))),"not_applicable")</x:f>
        <x:v>not_applicable</x:v>
      </x:c>
      <x:c r="Y70" s="6" t="str">
        <x:f>IF(AND(INDEX('C_jama.2025.16450'!$D$2:$D$11,MATCH("2025::jama.2025.16450::C002",'C_jama.2025.16450'!$A$2:$A$11,0))="retain",INDEX('C_jama.2025.16450'!$E$2:$E$11,MATCH("2025::jama.2025.16450::C002",'C_jama.2025.16450'!$A$2:$A$11,0))="protocol_report"),IF(INDEX('C_jama.2025.16450'!$L$2:$L$11,MATCH("2025::jama.2025.16450::C002",'C_jama.2025.16450'!$A$2:$A$11,0))="","",INDEX('C_jama.2025.16450'!$L$2:$L$11,MATCH("2025::jama.2025.16450::C002",'C_jama.2025.16450'!$A$2:$A$11,0))),"not_applicable")</x:f>
        <x:v>not_applicable</x:v>
      </x:c>
      <x:c r="Z70" s="6" t="str">
        <x:f>IF(INDEX('C_jama.2025.16450'!$R$2:$R$11,MATCH("2025::jama.2025.16450::C002",'C_jama.2025.16450'!$A$2:$A$11,0))="","",INDEX('C_jama.2025.16450'!$R$2:$R$11,MATCH("2025::jama.2025.16450::C002",'C_jama.2025.16450'!$A$2:$A$11,0)))</x:f>
      </x:c>
      <x:c r="AA70" s="6" t="str">
        <x:f>IF(INDEX('C_jama.2025.16450'!$N$2:$N$11,MATCH("2025::jama.2025.16450::C002",'C_jama.2025.16450'!$A$2:$A$11,0))="","",INDEX('C_jama.2025.16450'!$N$2:$N$11,MATCH("2025::jama.2025.16450::C002",'C_jama.2025.16450'!$A$2:$A$11,0)))</x:f>
      </x:c>
      <x:c r="AB70" s="6" t="str">
        <x:f>IF(INDEX('C_jama.2025.16450'!$O$2:$O$11,MATCH("2025::jama.2025.16450::C002",'C_jama.2025.16450'!$A$2:$A$11,0))="","",INDEX('C_jama.2025.16450'!$O$2:$O$11,MATCH("2025::jama.2025.16450::C002",'C_jama.2025.16450'!$A$2:$A$11,0)))</x:f>
      </x:c>
      <x:c r="AC70" s="6" t="str">
        <x:f>IF(INDEX('C_jama.2025.16450'!$P$2:$P$11,MATCH("2025::jama.2025.16450::C002",'C_jama.2025.16450'!$A$2:$A$11,0))="","",INDEX('C_jama.2025.16450'!$P$2:$P$11,MATCH("2025::jama.2025.16450::C002",'C_jama.2025.16450'!$A$2:$A$11,0)))</x:f>
      </x:c>
      <x:c r="AD70" s="6" t="str">
        <x:f>IF(INDEX('C_jama.2025.16450'!$Q$2:$Q$11,MATCH("2025::jama.2025.16450::C002",'C_jama.2025.16450'!$A$2:$A$11,0))="","",INDEX('C_jama.2025.16450'!$Q$2:$Q$11,MATCH("2025::jama.2025.16450::C002",'C_jama.2025.16450'!$A$2:$A$11,0)))</x:f>
      </x:c>
    </x:row>
    <x:row r="71" ht="65" customHeight="1">
      <x:c r="A71" s="3" t="n">
        <x:v>2025</x:v>
      </x:c>
      <x:c r="B71" s="3" t="str">
        <x:v>jama.2025.16450</x:v>
      </x:c>
      <x:c r="C71" s="3" t="str">
        <x:v>2025::jama.2025.16450::C003</x:v>
      </x:c>
      <x:c r="D71" s="3" t="str">
        <x:v>P_R</x:v>
      </x:c>
      <x:c r="E71" s="3" t="n">
        <x:f>Setup!$B$2</x:f>
        <x:v>0</x:v>
      </x:c>
      <x:c r="F71" s="3" t="str">
        <x:f>IF(Setup!$B$4="","",Setup!$B$4)</x:f>
      </x:c>
      <x:c r="G71" s="3" t="str">
        <x:f>IFERROR(INDEX('C_jama.2025.16450'!$G$2:$G$11,MATCH("2025::jama.2025.16450::C003",'C_jama.2025.16450'!$A$2:$A$11,0)),"CHECK KEY")</x:f>
        <x:v>CHECK REVIEWER IDs</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exclude</x:v>
      </x:c>
      <x:c r="J71" s="3" t="str">
        <x:v>protocol_report</x:v>
      </x:c>
      <x:c r="K71" s="3" t="str">
        <x:f>IF(Setup!$B$6="primary","",IFERROR(IF(INDEX('Primary_snapshot'!$B$2:$B$132,MATCH(C71,'Primary_snapshot'!$A$2:$A$132,0))="","",INDEX('Primary_snapshot'!$B$2:$B$132,MATCH(C71,'Primary_snapshot'!$A$2:$A$132,0))),"SNAPSHOT MISSING"))</x:f>
      </x:c>
      <x:c r="L71" s="3" t="str">
        <x:f>IF(Setup!$B$6="primary","",IFERROR(IF(INDEX('Primary_snapshot'!$C$2:$C$132,MATCH(C71,'Primary_snapshot'!$A$2:$A$132,0))="","",INDEX('Primary_snapshot'!$C$2:$C$132,MATCH(C71,'Primary_snapshot'!$A$2:$A$132,0))),"SNAPSHOT MISSING"))</x:f>
      </x:c>
      <x:c r="M71" s="3" t="str">
        <x:f>IF(Setup!$B$6="primary","",IFERROR(IF(INDEX('Primary_snapshot'!$D$2:$D$132,MATCH(C71,'Primary_snapshot'!$A$2:$A$132,0))="","",INDEX('Primary_snapshot'!$D$2:$D$132,MATCH(C71,'Primary_snapshot'!$A$2:$A$132,0))),"SNAPSHOT MISSING"))</x:f>
      </x:c>
      <x:c r="N71" s="3" t="str">
        <x:f>IF(Setup!$B$6="primary","",IFERROR(IF(INDEX('Primary_snapshot'!$E$2:$E$132,MATCH(C71,'Primary_snapshot'!$A$2:$A$132,0))="","",INDEX('Primary_snapshot'!$E$2:$E$132,MATCH(C71,'Primary_snapshot'!$A$2:$A$132,0))),"SNAPSHOT MISSING"))</x:f>
      </x:c>
      <x:c r="O71" s="3" t="str">
        <x:f>IF(Setup!$B$6="primary","",IFERROR(IF(INDEX('Primary_snapshot'!$F$2:$F$132,MATCH(C71,'Primary_snapshot'!$A$2:$A$132,0))="","",INDEX('Primary_snapshot'!$F$2:$F$132,MATCH(C71,'Primary_snapshot'!$A$2:$A$132,0))),"SNAPSHOT MISSING"))</x:f>
      </x:c>
      <x:c r="P71" s="3" t="str">
        <x:f>IF(Setup!$B$6="primary","",IFERROR(IF(INDEX('Primary_snapshot'!$G$2:$G$132,MATCH(C71,'Primary_snapshot'!$A$2:$A$132,0))="","",INDEX('Primary_snapshot'!$G$2:$G$132,MATCH(C71,'Primary_snapshot'!$A$2:$A$132,0))),"SNAPSHOT MISSING"))</x:f>
      </x:c>
      <x:c r="Q71" s="3" t="str">
        <x:f>IF(Setup!$B$6="primary","",IFERROR(IF(INDEX('Primary_snapshot'!$H$2:$H$132,MATCH(C71,'Primary_snapshot'!$A$2:$A$132,0))="","",INDEX('Primary_snapshot'!$H$2:$H$132,MATCH(C71,'Primary_snapshot'!$A$2:$A$132,0))),"SNAPSHOT MISSING"))</x:f>
      </x:c>
      <x:c r="R71" s="3" t="str">
        <x:f>IF(Setup!$B$6="primary","",IFERROR(IF(INDEX('Primary_snapshot'!$I$2:$I$132,MATCH(C71,'Primary_snapshot'!$A$2:$A$132,0))="","",INDEX('Primary_snapshot'!$I$2:$I$132,MATCH(C71,'Primary_snapshot'!$A$2:$A$132,0))),"SNAPSHOT MISSING"))</x:f>
      </x:c>
      <x:c r="S71" s="3" t="str">
        <x:f>IF(INDEX('C_jama.2025.16450'!$D$2:$D$11,MATCH("2025::jama.2025.16450::C003",'C_jama.2025.16450'!$A$2:$A$11,0))="","",INDEX('C_jama.2025.16450'!$D$2:$D$11,MATCH("2025::jama.2025.16450::C003",'C_jama.2025.16450'!$A$2:$A$11,0)))</x:f>
      </x:c>
      <x:c r="T71" s="3" t="str">
        <x:f>IF(INDEX('C_jama.2025.16450'!$E$2:$E$11,MATCH("2025::jama.2025.16450::C003",'C_jama.2025.16450'!$A$2:$A$11,0))="","",INDEX('C_jama.2025.16450'!$E$2:$E$11,MATCH("2025::jama.2025.16450::C003",'C_jama.2025.16450'!$A$2:$A$11,0)))</x:f>
        <x:v>protocol_report</x:v>
      </x:c>
      <x:c r="U71" s="3" t="str">
        <x:f>IF(AND(INDEX('C_jama.2025.16450'!$D$2:$D$11,MATCH("2025::jama.2025.16450::C003",'C_jama.2025.16450'!$A$2:$A$11,0))="retain",INDEX('C_jama.2025.16450'!$E$2:$E$11,MATCH("2025::jama.2025.16450::C003",'C_jama.2025.16450'!$A$2:$A$11,0))="statistical_results"),IF(INDEX('C_jama.2025.16450'!$H$2:$H$11,MATCH("2025::jama.2025.16450::C003",'C_jama.2025.16450'!$A$2:$A$11,0))="","",INDEX('C_jama.2025.16450'!$H$2:$H$11,MATCH("2025::jama.2025.16450::C003",'C_jama.2025.16450'!$A$2:$A$11,0))),"not_applicable")</x:f>
        <x:v>not_applicable</x:v>
      </x:c>
      <x:c r="V71" s="3" t="str">
        <x:f>IF(AND(INDEX('C_jama.2025.16450'!$D$2:$D$11,MATCH("2025::jama.2025.16450::C003",'C_jama.2025.16450'!$A$2:$A$11,0))="retain",INDEX('C_jama.2025.16450'!$E$2:$E$11,MATCH("2025::jama.2025.16450::C003",'C_jama.2025.16450'!$A$2:$A$11,0))="statistical_results"),IF(INDEX('C_jama.2025.16450'!$I$2:$I$11,MATCH("2025::jama.2025.16450::C003",'C_jama.2025.16450'!$A$2:$A$11,0))="","",INDEX('C_jama.2025.16450'!$I$2:$I$11,MATCH("2025::jama.2025.16450::C003",'C_jama.2025.16450'!$A$2:$A$11,0))),"not_applicable")</x:f>
        <x:v>not_applicable</x:v>
      </x:c>
      <x:c r="W71" s="3" t="str">
        <x:f>IF(AND(INDEX('C_jama.2025.16450'!$D$2:$D$11,MATCH("2025::jama.2025.16450::C003",'C_jama.2025.16450'!$A$2:$A$11,0))="retain",INDEX('C_jama.2025.16450'!$E$2:$E$11,MATCH("2025::jama.2025.16450::C003",'C_jama.2025.16450'!$A$2:$A$11,0))="statistical_results"),IF(INDEX('C_jama.2025.16450'!$J$2:$J$11,MATCH("2025::jama.2025.16450::C003",'C_jama.2025.16450'!$A$2:$A$11,0))="","",INDEX('C_jama.2025.16450'!$J$2:$J$11,MATCH("2025::jama.2025.16450::C003",'C_jama.2025.16450'!$A$2:$A$11,0))),"not_applicable")</x:f>
        <x:v>not_applicable</x:v>
      </x:c>
      <x:c r="X71" s="3" t="str">
        <x:f>IF(AND(INDEX('C_jama.2025.16450'!$D$2:$D$11,MATCH("2025::jama.2025.16450::C003",'C_jama.2025.16450'!$A$2:$A$11,0))="retain",OR(INDEX('C_jama.2025.16450'!$E$2:$E$11,MATCH("2025::jama.2025.16450::C003",'C_jama.2025.16450'!$A$2:$A$11,0))="report_internal_inconsistency",INDEX('C_jama.2025.16450'!$E$2:$E$11,MATCH("2025::jama.2025.16450::C003",'C_jama.2025.16450'!$A$2:$A$11,0))="plan_material")),IF(INDEX('C_jama.2025.16450'!$K$2:$K$11,MATCH("2025::jama.2025.16450::C003",'C_jama.2025.16450'!$A$2:$A$11,0))="","",INDEX('C_jama.2025.16450'!$K$2:$K$11,MATCH("2025::jama.2025.16450::C003",'C_jama.2025.16450'!$A$2:$A$11,0))),"not_applicable")</x:f>
        <x:v>not_applicable</x:v>
      </x:c>
      <x:c r="Y71" s="3" t="str">
        <x:f>IF(AND(INDEX('C_jama.2025.16450'!$D$2:$D$11,MATCH("2025::jama.2025.16450::C003",'C_jama.2025.16450'!$A$2:$A$11,0))="retain",INDEX('C_jama.2025.16450'!$E$2:$E$11,MATCH("2025::jama.2025.16450::C003",'C_jama.2025.16450'!$A$2:$A$11,0))="protocol_report"),IF(INDEX('C_jama.2025.16450'!$L$2:$L$11,MATCH("2025::jama.2025.16450::C003",'C_jama.2025.16450'!$A$2:$A$11,0))="","",INDEX('C_jama.2025.16450'!$L$2:$L$11,MATCH("2025::jama.2025.16450::C003",'C_jama.2025.16450'!$A$2:$A$11,0))),"not_applicable")</x:f>
        <x:v>not_applicable</x:v>
      </x:c>
      <x:c r="Z71" s="3" t="str">
        <x:f>IF(INDEX('C_jama.2025.16450'!$R$2:$R$11,MATCH("2025::jama.2025.16450::C003",'C_jama.2025.16450'!$A$2:$A$11,0))="","",INDEX('C_jama.2025.16450'!$R$2:$R$11,MATCH("2025::jama.2025.16450::C003",'C_jama.2025.16450'!$A$2:$A$11,0)))</x:f>
      </x:c>
      <x:c r="AA71" s="3" t="str">
        <x:f>IF(INDEX('C_jama.2025.16450'!$N$2:$N$11,MATCH("2025::jama.2025.16450::C003",'C_jama.2025.16450'!$A$2:$A$11,0))="","",INDEX('C_jama.2025.16450'!$N$2:$N$11,MATCH("2025::jama.2025.16450::C003",'C_jama.2025.16450'!$A$2:$A$11,0)))</x:f>
      </x:c>
      <x:c r="AB71" s="3" t="str">
        <x:f>IF(INDEX('C_jama.2025.16450'!$O$2:$O$11,MATCH("2025::jama.2025.16450::C003",'C_jama.2025.16450'!$A$2:$A$11,0))="","",INDEX('C_jama.2025.16450'!$O$2:$O$11,MATCH("2025::jama.2025.16450::C003",'C_jama.2025.16450'!$A$2:$A$11,0)))</x:f>
      </x:c>
      <x:c r="AC71" s="3" t="str">
        <x:f>IF(INDEX('C_jama.2025.16450'!$P$2:$P$11,MATCH("2025::jama.2025.16450::C003",'C_jama.2025.16450'!$A$2:$A$11,0))="","",INDEX('C_jama.2025.16450'!$P$2:$P$11,MATCH("2025::jama.2025.16450::C003",'C_jama.2025.16450'!$A$2:$A$11,0)))</x:f>
      </x:c>
      <x:c r="AD71" s="3" t="str">
        <x:f>IF(INDEX('C_jama.2025.16450'!$Q$2:$Q$11,MATCH("2025::jama.2025.16450::C003",'C_jama.2025.16450'!$A$2:$A$11,0))="","",INDEX('C_jama.2025.16450'!$Q$2:$Q$11,MATCH("2025::jama.2025.16450::C003",'C_jama.2025.16450'!$A$2:$A$11,0)))</x:f>
      </x:c>
    </x:row>
    <x:row r="72" ht="65" customHeight="1">
      <x:c r="A72" s="6" t="n">
        <x:v>2025</x:v>
      </x:c>
      <x:c r="B72" s="6" t="str">
        <x:v>jama.2025.16450</x:v>
      </x:c>
      <x:c r="C72" s="6" t="str">
        <x:v>2025::jama.2025.16450::C004</x:v>
      </x:c>
      <x:c r="D72" s="6" t="str">
        <x:v>P_P</x:v>
      </x:c>
      <x:c r="E72" s="6" t="n">
        <x:f>Setup!$B$2</x:f>
        <x:v>0</x:v>
      </x:c>
      <x:c r="F72" s="6" t="str">
        <x:f>IF(Setup!$B$4="","",Setup!$B$4)</x:f>
      </x:c>
      <x:c r="G72" s="6" t="str">
        <x:f>IFERROR(INDEX('C_jama.2025.16450'!$G$2:$G$11,MATCH("2025::jama.2025.16450::C004",'C_jama.2025.16450'!$A$2:$A$11,0)),"CHECK KEY")</x:f>
        <x:v>CHECK REVIEWER IDs</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plan_material</x:v>
      </x:c>
      <x:c r="K72" s="6" t="str">
        <x:f>IF(Setup!$B$6="primary","",IFERROR(IF(INDEX('Primary_snapshot'!$B$2:$B$132,MATCH(C72,'Primary_snapshot'!$A$2:$A$132,0))="","",INDEX('Primary_snapshot'!$B$2:$B$132,MATCH(C72,'Primary_snapshot'!$A$2:$A$132,0))),"SNAPSHOT MISSING"))</x:f>
      </x:c>
      <x:c r="L72" s="6" t="str">
        <x:f>IF(Setup!$B$6="primary","",IFERROR(IF(INDEX('Primary_snapshot'!$C$2:$C$132,MATCH(C72,'Primary_snapshot'!$A$2:$A$132,0))="","",INDEX('Primary_snapshot'!$C$2:$C$132,MATCH(C72,'Primary_snapshot'!$A$2:$A$132,0))),"SNAPSHOT MISSING"))</x:f>
      </x:c>
      <x:c r="M72" s="6" t="str">
        <x:f>IF(Setup!$B$6="primary","",IFERROR(IF(INDEX('Primary_snapshot'!$D$2:$D$132,MATCH(C72,'Primary_snapshot'!$A$2:$A$132,0))="","",INDEX('Primary_snapshot'!$D$2:$D$132,MATCH(C72,'Primary_snapshot'!$A$2:$A$132,0))),"SNAPSHOT MISSING"))</x:f>
      </x:c>
      <x:c r="N72" s="6" t="str">
        <x:f>IF(Setup!$B$6="primary","",IFERROR(IF(INDEX('Primary_snapshot'!$E$2:$E$132,MATCH(C72,'Primary_snapshot'!$A$2:$A$132,0))="","",INDEX('Primary_snapshot'!$E$2:$E$132,MATCH(C72,'Primary_snapshot'!$A$2:$A$132,0))),"SNAPSHOT MISSING"))</x:f>
      </x:c>
      <x:c r="O72" s="6" t="str">
        <x:f>IF(Setup!$B$6="primary","",IFERROR(IF(INDEX('Primary_snapshot'!$F$2:$F$132,MATCH(C72,'Primary_snapshot'!$A$2:$A$132,0))="","",INDEX('Primary_snapshot'!$F$2:$F$132,MATCH(C72,'Primary_snapshot'!$A$2:$A$132,0))),"SNAPSHOT MISSING"))</x:f>
      </x:c>
      <x:c r="P72" s="6" t="str">
        <x:f>IF(Setup!$B$6="primary","",IFERROR(IF(INDEX('Primary_snapshot'!$G$2:$G$132,MATCH(C72,'Primary_snapshot'!$A$2:$A$132,0))="","",INDEX('Primary_snapshot'!$G$2:$G$132,MATCH(C72,'Primary_snapshot'!$A$2:$A$132,0))),"SNAPSHOT MISSING"))</x:f>
      </x:c>
      <x:c r="Q72" s="6" t="str">
        <x:f>IF(Setup!$B$6="primary","",IFERROR(IF(INDEX('Primary_snapshot'!$H$2:$H$132,MATCH(C72,'Primary_snapshot'!$A$2:$A$132,0))="","",INDEX('Primary_snapshot'!$H$2:$H$132,MATCH(C72,'Primary_snapshot'!$A$2:$A$132,0))),"SNAPSHOT MISSING"))</x:f>
      </x:c>
      <x:c r="R72" s="6" t="str">
        <x:f>IF(Setup!$B$6="primary","",IFERROR(IF(INDEX('Primary_snapshot'!$I$2:$I$132,MATCH(C72,'Primary_snapshot'!$A$2:$A$132,0))="","",INDEX('Primary_snapshot'!$I$2:$I$132,MATCH(C72,'Primary_snapshot'!$A$2:$A$132,0))),"SNAPSHOT MISSING"))</x:f>
      </x:c>
      <x:c r="S72" s="6" t="str">
        <x:f>IF(INDEX('C_jama.2025.16450'!$D$2:$D$11,MATCH("2025::jama.2025.16450::C004",'C_jama.2025.16450'!$A$2:$A$11,0))="","",INDEX('C_jama.2025.16450'!$D$2:$D$11,MATCH("2025::jama.2025.16450::C004",'C_jama.2025.16450'!$A$2:$A$11,0)))</x:f>
      </x:c>
      <x:c r="T72" s="6" t="str">
        <x:f>IF(INDEX('C_jama.2025.16450'!$E$2:$E$11,MATCH("2025::jama.2025.16450::C004",'C_jama.2025.16450'!$A$2:$A$11,0))="","",INDEX('C_jama.2025.16450'!$E$2:$E$11,MATCH("2025::jama.2025.16450::C004",'C_jama.2025.16450'!$A$2:$A$11,0)))</x:f>
        <x:v>plan_material</x:v>
      </x:c>
      <x:c r="U72" s="6" t="str">
        <x:f>IF(AND(INDEX('C_jama.2025.16450'!$D$2:$D$11,MATCH("2025::jama.2025.16450::C004",'C_jama.2025.16450'!$A$2:$A$11,0))="retain",INDEX('C_jama.2025.16450'!$E$2:$E$11,MATCH("2025::jama.2025.16450::C004",'C_jama.2025.16450'!$A$2:$A$11,0))="statistical_results"),IF(INDEX('C_jama.2025.16450'!$H$2:$H$11,MATCH("2025::jama.2025.16450::C004",'C_jama.2025.16450'!$A$2:$A$11,0))="","",INDEX('C_jama.2025.16450'!$H$2:$H$11,MATCH("2025::jama.2025.16450::C004",'C_jama.2025.16450'!$A$2:$A$11,0))),"not_applicable")</x:f>
        <x:v>not_applicable</x:v>
      </x:c>
      <x:c r="V72" s="6" t="str">
        <x:f>IF(AND(INDEX('C_jama.2025.16450'!$D$2:$D$11,MATCH("2025::jama.2025.16450::C004",'C_jama.2025.16450'!$A$2:$A$11,0))="retain",INDEX('C_jama.2025.16450'!$E$2:$E$11,MATCH("2025::jama.2025.16450::C004",'C_jama.2025.16450'!$A$2:$A$11,0))="statistical_results"),IF(INDEX('C_jama.2025.16450'!$I$2:$I$11,MATCH("2025::jama.2025.16450::C004",'C_jama.2025.16450'!$A$2:$A$11,0))="","",INDEX('C_jama.2025.16450'!$I$2:$I$11,MATCH("2025::jama.2025.16450::C004",'C_jama.2025.16450'!$A$2:$A$11,0))),"not_applicable")</x:f>
        <x:v>not_applicable</x:v>
      </x:c>
      <x:c r="W72" s="6" t="str">
        <x:f>IF(AND(INDEX('C_jama.2025.16450'!$D$2:$D$11,MATCH("2025::jama.2025.16450::C004",'C_jama.2025.16450'!$A$2:$A$11,0))="retain",INDEX('C_jama.2025.16450'!$E$2:$E$11,MATCH("2025::jama.2025.16450::C004",'C_jama.2025.16450'!$A$2:$A$11,0))="statistical_results"),IF(INDEX('C_jama.2025.16450'!$J$2:$J$11,MATCH("2025::jama.2025.16450::C004",'C_jama.2025.16450'!$A$2:$A$11,0))="","",INDEX('C_jama.2025.16450'!$J$2:$J$11,MATCH("2025::jama.2025.16450::C004",'C_jama.2025.16450'!$A$2:$A$11,0))),"not_applicable")</x:f>
        <x:v>not_applicable</x:v>
      </x:c>
      <x:c r="X72" s="6" t="str">
        <x:f>IF(AND(INDEX('C_jama.2025.16450'!$D$2:$D$11,MATCH("2025::jama.2025.16450::C004",'C_jama.2025.16450'!$A$2:$A$11,0))="retain",OR(INDEX('C_jama.2025.16450'!$E$2:$E$11,MATCH("2025::jama.2025.16450::C004",'C_jama.2025.16450'!$A$2:$A$11,0))="report_internal_inconsistency",INDEX('C_jama.2025.16450'!$E$2:$E$11,MATCH("2025::jama.2025.16450::C004",'C_jama.2025.16450'!$A$2:$A$11,0))="plan_material")),IF(INDEX('C_jama.2025.16450'!$K$2:$K$11,MATCH("2025::jama.2025.16450::C004",'C_jama.2025.16450'!$A$2:$A$11,0))="","",INDEX('C_jama.2025.16450'!$K$2:$K$11,MATCH("2025::jama.2025.16450::C004",'C_jama.2025.16450'!$A$2:$A$11,0))),"not_applicable")</x:f>
        <x:v>not_applicable</x:v>
      </x:c>
      <x:c r="Y72" s="6" t="str">
        <x:f>IF(AND(INDEX('C_jama.2025.16450'!$D$2:$D$11,MATCH("2025::jama.2025.16450::C004",'C_jama.2025.16450'!$A$2:$A$11,0))="retain",INDEX('C_jama.2025.16450'!$E$2:$E$11,MATCH("2025::jama.2025.16450::C004",'C_jama.2025.16450'!$A$2:$A$11,0))="protocol_report"),IF(INDEX('C_jama.2025.16450'!$L$2:$L$11,MATCH("2025::jama.2025.16450::C004",'C_jama.2025.16450'!$A$2:$A$11,0))="","",INDEX('C_jama.2025.16450'!$L$2:$L$11,MATCH("2025::jama.2025.16450::C004",'C_jama.2025.16450'!$A$2:$A$11,0))),"not_applicable")</x:f>
        <x:v>not_applicable</x:v>
      </x:c>
      <x:c r="Z72" s="6" t="str">
        <x:f>IF(INDEX('C_jama.2025.16450'!$R$2:$R$11,MATCH("2025::jama.2025.16450::C004",'C_jama.2025.16450'!$A$2:$A$11,0))="","",INDEX('C_jama.2025.16450'!$R$2:$R$11,MATCH("2025::jama.2025.16450::C004",'C_jama.2025.16450'!$A$2:$A$11,0)))</x:f>
      </x:c>
      <x:c r="AA72" s="6" t="str">
        <x:f>IF(INDEX('C_jama.2025.16450'!$N$2:$N$11,MATCH("2025::jama.2025.16450::C004",'C_jama.2025.16450'!$A$2:$A$11,0))="","",INDEX('C_jama.2025.16450'!$N$2:$N$11,MATCH("2025::jama.2025.16450::C004",'C_jama.2025.16450'!$A$2:$A$11,0)))</x:f>
      </x:c>
      <x:c r="AB72" s="6" t="str">
        <x:f>IF(INDEX('C_jama.2025.16450'!$O$2:$O$11,MATCH("2025::jama.2025.16450::C004",'C_jama.2025.16450'!$A$2:$A$11,0))="","",INDEX('C_jama.2025.16450'!$O$2:$O$11,MATCH("2025::jama.2025.16450::C004",'C_jama.2025.16450'!$A$2:$A$11,0)))</x:f>
      </x:c>
      <x:c r="AC72" s="6" t="str">
        <x:f>IF(INDEX('C_jama.2025.16450'!$P$2:$P$11,MATCH("2025::jama.2025.16450::C004",'C_jama.2025.16450'!$A$2:$A$11,0))="","",INDEX('C_jama.2025.16450'!$P$2:$P$11,MATCH("2025::jama.2025.16450::C004",'C_jama.2025.16450'!$A$2:$A$11,0)))</x:f>
      </x:c>
      <x:c r="AD72" s="6" t="str">
        <x:f>IF(INDEX('C_jama.2025.16450'!$Q$2:$Q$11,MATCH("2025::jama.2025.16450::C004",'C_jama.2025.16450'!$A$2:$A$11,0))="","",INDEX('C_jama.2025.16450'!$Q$2:$Q$11,MATCH("2025::jama.2025.16450::C004",'C_jama.2025.16450'!$A$2:$A$11,0)))</x:f>
      </x:c>
    </x:row>
    <x:row r="73" ht="65" customHeight="1">
      <x:c r="A73" s="3" t="n">
        <x:v>2025</x:v>
      </x:c>
      <x:c r="B73" s="3" t="str">
        <x:v>jama.2025.16450</x:v>
      </x:c>
      <x:c r="C73" s="3" t="str">
        <x:v>2025::jama.2025.16450::C005</x:v>
      </x:c>
      <x:c r="D73" s="3" t="str">
        <x:v>P_P</x:v>
      </x:c>
      <x:c r="E73" s="3" t="n">
        <x:f>Setup!$B$2</x:f>
        <x:v>0</x:v>
      </x:c>
      <x:c r="F73" s="3" t="str">
        <x:f>IF(Setup!$B$4="","",Setup!$B$4)</x:f>
      </x:c>
      <x:c r="G73" s="3" t="str">
        <x:f>IFERROR(INDEX('C_jama.2025.16450'!$G$2:$G$11,MATCH("2025::jama.2025.16450::C005",'C_jama.2025.16450'!$A$2:$A$11,0)),"CHECK KEY")</x:f>
        <x:v>CHECK REVIEWER IDs</x:v>
      </x:c>
      <x:c r="H73" s="3" t="str">
        <x:f>IF(G73&lt;&gt;"FINAL READY","",IF(S73&lt;&gt;"retain","not_eligible",IF(D73="P_R","protocol_descriptive",IF(D73="P_P","plan_descriptive",IF(AND(T73="statistical_results",OR(U73="confirmed_issue",U73="probable_issue"),V73="substantive"),"primary_temporal",IF(AND(T73="report_internal_inconsistency",X73="substantive_inconsistency"),"secondary_temporal","not_eligible"))))))</x:f>
      </x:c>
      <x:c r="I73" s="3" t="str">
        <x:v>exclude</x:v>
      </x:c>
      <x:c r="J73" s="3" t="str">
        <x:v>plan_material</x:v>
      </x:c>
      <x:c r="K73" s="3" t="str">
        <x:f>IF(Setup!$B$6="primary","",IFERROR(IF(INDEX('Primary_snapshot'!$B$2:$B$132,MATCH(C73,'Primary_snapshot'!$A$2:$A$132,0))="","",INDEX('Primary_snapshot'!$B$2:$B$132,MATCH(C73,'Primary_snapshot'!$A$2:$A$132,0))),"SNAPSHOT MISSING"))</x:f>
      </x:c>
      <x:c r="L73" s="3" t="str">
        <x:f>IF(Setup!$B$6="primary","",IFERROR(IF(INDEX('Primary_snapshot'!$C$2:$C$132,MATCH(C73,'Primary_snapshot'!$A$2:$A$132,0))="","",INDEX('Primary_snapshot'!$C$2:$C$132,MATCH(C73,'Primary_snapshot'!$A$2:$A$132,0))),"SNAPSHOT MISSING"))</x:f>
      </x:c>
      <x:c r="M73" s="3" t="str">
        <x:f>IF(Setup!$B$6="primary","",IFERROR(IF(INDEX('Primary_snapshot'!$D$2:$D$132,MATCH(C73,'Primary_snapshot'!$A$2:$A$132,0))="","",INDEX('Primary_snapshot'!$D$2:$D$132,MATCH(C73,'Primary_snapshot'!$A$2:$A$132,0))),"SNAPSHOT MISSING"))</x:f>
      </x:c>
      <x:c r="N73" s="3" t="str">
        <x:f>IF(Setup!$B$6="primary","",IFERROR(IF(INDEX('Primary_snapshot'!$E$2:$E$132,MATCH(C73,'Primary_snapshot'!$A$2:$A$132,0))="","",INDEX('Primary_snapshot'!$E$2:$E$132,MATCH(C73,'Primary_snapshot'!$A$2:$A$132,0))),"SNAPSHOT MISSING"))</x:f>
      </x:c>
      <x:c r="O73" s="3" t="str">
        <x:f>IF(Setup!$B$6="primary","",IFERROR(IF(INDEX('Primary_snapshot'!$F$2:$F$132,MATCH(C73,'Primary_snapshot'!$A$2:$A$132,0))="","",INDEX('Primary_snapshot'!$F$2:$F$132,MATCH(C73,'Primary_snapshot'!$A$2:$A$132,0))),"SNAPSHOT MISSING"))</x:f>
      </x:c>
      <x:c r="P73" s="3" t="str">
        <x:f>IF(Setup!$B$6="primary","",IFERROR(IF(INDEX('Primary_snapshot'!$G$2:$G$132,MATCH(C73,'Primary_snapshot'!$A$2:$A$132,0))="","",INDEX('Primary_snapshot'!$G$2:$G$132,MATCH(C73,'Primary_snapshot'!$A$2:$A$132,0))),"SNAPSHOT MISSING"))</x:f>
      </x:c>
      <x:c r="Q73" s="3" t="str">
        <x:f>IF(Setup!$B$6="primary","",IFERROR(IF(INDEX('Primary_snapshot'!$H$2:$H$132,MATCH(C73,'Primary_snapshot'!$A$2:$A$132,0))="","",INDEX('Primary_snapshot'!$H$2:$H$132,MATCH(C73,'Primary_snapshot'!$A$2:$A$132,0))),"SNAPSHOT MISSING"))</x:f>
      </x:c>
      <x:c r="R73" s="3" t="str">
        <x:f>IF(Setup!$B$6="primary","",IFERROR(IF(INDEX('Primary_snapshot'!$I$2:$I$132,MATCH(C73,'Primary_snapshot'!$A$2:$A$132,0))="","",INDEX('Primary_snapshot'!$I$2:$I$132,MATCH(C73,'Primary_snapshot'!$A$2:$A$132,0))),"SNAPSHOT MISSING"))</x:f>
      </x:c>
      <x:c r="S73" s="3" t="str">
        <x:f>IF(INDEX('C_jama.2025.16450'!$D$2:$D$11,MATCH("2025::jama.2025.16450::C005",'C_jama.2025.16450'!$A$2:$A$11,0))="","",INDEX('C_jama.2025.16450'!$D$2:$D$11,MATCH("2025::jama.2025.16450::C005",'C_jama.2025.16450'!$A$2:$A$11,0)))</x:f>
      </x:c>
      <x:c r="T73" s="3" t="str">
        <x:f>IF(INDEX('C_jama.2025.16450'!$E$2:$E$11,MATCH("2025::jama.2025.16450::C005",'C_jama.2025.16450'!$A$2:$A$11,0))="","",INDEX('C_jama.2025.16450'!$E$2:$E$11,MATCH("2025::jama.2025.16450::C005",'C_jama.2025.16450'!$A$2:$A$11,0)))</x:f>
        <x:v>plan_material</x:v>
      </x:c>
      <x:c r="U73" s="3" t="str">
        <x:f>IF(AND(INDEX('C_jama.2025.16450'!$D$2:$D$11,MATCH("2025::jama.2025.16450::C005",'C_jama.2025.16450'!$A$2:$A$11,0))="retain",INDEX('C_jama.2025.16450'!$E$2:$E$11,MATCH("2025::jama.2025.16450::C005",'C_jama.2025.16450'!$A$2:$A$11,0))="statistical_results"),IF(INDEX('C_jama.2025.16450'!$H$2:$H$11,MATCH("2025::jama.2025.16450::C005",'C_jama.2025.16450'!$A$2:$A$11,0))="","",INDEX('C_jama.2025.16450'!$H$2:$H$11,MATCH("2025::jama.2025.16450::C005",'C_jama.2025.16450'!$A$2:$A$11,0))),"not_applicable")</x:f>
        <x:v>not_applicable</x:v>
      </x:c>
      <x:c r="V73" s="3" t="str">
        <x:f>IF(AND(INDEX('C_jama.2025.16450'!$D$2:$D$11,MATCH("2025::jama.2025.16450::C005",'C_jama.2025.16450'!$A$2:$A$11,0))="retain",INDEX('C_jama.2025.16450'!$E$2:$E$11,MATCH("2025::jama.2025.16450::C005",'C_jama.2025.16450'!$A$2:$A$11,0))="statistical_results"),IF(INDEX('C_jama.2025.16450'!$I$2:$I$11,MATCH("2025::jama.2025.16450::C005",'C_jama.2025.16450'!$A$2:$A$11,0))="","",INDEX('C_jama.2025.16450'!$I$2:$I$11,MATCH("2025::jama.2025.16450::C005",'C_jama.2025.16450'!$A$2:$A$11,0))),"not_applicable")</x:f>
        <x:v>not_applicable</x:v>
      </x:c>
      <x:c r="W73" s="3" t="str">
        <x:f>IF(AND(INDEX('C_jama.2025.16450'!$D$2:$D$11,MATCH("2025::jama.2025.16450::C005",'C_jama.2025.16450'!$A$2:$A$11,0))="retain",INDEX('C_jama.2025.16450'!$E$2:$E$11,MATCH("2025::jama.2025.16450::C005",'C_jama.2025.16450'!$A$2:$A$11,0))="statistical_results"),IF(INDEX('C_jama.2025.16450'!$J$2:$J$11,MATCH("2025::jama.2025.16450::C005",'C_jama.2025.16450'!$A$2:$A$11,0))="","",INDEX('C_jama.2025.16450'!$J$2:$J$11,MATCH("2025::jama.2025.16450::C005",'C_jama.2025.16450'!$A$2:$A$11,0))),"not_applicable")</x:f>
        <x:v>not_applicable</x:v>
      </x:c>
      <x:c r="X73" s="3" t="str">
        <x:f>IF(AND(INDEX('C_jama.2025.16450'!$D$2:$D$11,MATCH("2025::jama.2025.16450::C005",'C_jama.2025.16450'!$A$2:$A$11,0))="retain",OR(INDEX('C_jama.2025.16450'!$E$2:$E$11,MATCH("2025::jama.2025.16450::C005",'C_jama.2025.16450'!$A$2:$A$11,0))="report_internal_inconsistency",INDEX('C_jama.2025.16450'!$E$2:$E$11,MATCH("2025::jama.2025.16450::C005",'C_jama.2025.16450'!$A$2:$A$11,0))="plan_material")),IF(INDEX('C_jama.2025.16450'!$K$2:$K$11,MATCH("2025::jama.2025.16450::C005",'C_jama.2025.16450'!$A$2:$A$11,0))="","",INDEX('C_jama.2025.16450'!$K$2:$K$11,MATCH("2025::jama.2025.16450::C005",'C_jama.2025.16450'!$A$2:$A$11,0))),"not_applicable")</x:f>
        <x:v>not_applicable</x:v>
      </x:c>
      <x:c r="Y73" s="3" t="str">
        <x:f>IF(AND(INDEX('C_jama.2025.16450'!$D$2:$D$11,MATCH("2025::jama.2025.16450::C005",'C_jama.2025.16450'!$A$2:$A$11,0))="retain",INDEX('C_jama.2025.16450'!$E$2:$E$11,MATCH("2025::jama.2025.16450::C005",'C_jama.2025.16450'!$A$2:$A$11,0))="protocol_report"),IF(INDEX('C_jama.2025.16450'!$L$2:$L$11,MATCH("2025::jama.2025.16450::C005",'C_jama.2025.16450'!$A$2:$A$11,0))="","",INDEX('C_jama.2025.16450'!$L$2:$L$11,MATCH("2025::jama.2025.16450::C005",'C_jama.2025.16450'!$A$2:$A$11,0))),"not_applicable")</x:f>
        <x:v>not_applicable</x:v>
      </x:c>
      <x:c r="Z73" s="3" t="str">
        <x:f>IF(INDEX('C_jama.2025.16450'!$R$2:$R$11,MATCH("2025::jama.2025.16450::C005",'C_jama.2025.16450'!$A$2:$A$11,0))="","",INDEX('C_jama.2025.16450'!$R$2:$R$11,MATCH("2025::jama.2025.16450::C005",'C_jama.2025.16450'!$A$2:$A$11,0)))</x:f>
      </x:c>
      <x:c r="AA73" s="3" t="str">
        <x:f>IF(INDEX('C_jama.2025.16450'!$N$2:$N$11,MATCH("2025::jama.2025.16450::C005",'C_jama.2025.16450'!$A$2:$A$11,0))="","",INDEX('C_jama.2025.16450'!$N$2:$N$11,MATCH("2025::jama.2025.16450::C005",'C_jama.2025.16450'!$A$2:$A$11,0)))</x:f>
      </x:c>
      <x:c r="AB73" s="3" t="str">
        <x:f>IF(INDEX('C_jama.2025.16450'!$O$2:$O$11,MATCH("2025::jama.2025.16450::C005",'C_jama.2025.16450'!$A$2:$A$11,0))="","",INDEX('C_jama.2025.16450'!$O$2:$O$11,MATCH("2025::jama.2025.16450::C005",'C_jama.2025.16450'!$A$2:$A$11,0)))</x:f>
      </x:c>
      <x:c r="AC73" s="3" t="str">
        <x:f>IF(INDEX('C_jama.2025.16450'!$P$2:$P$11,MATCH("2025::jama.2025.16450::C005",'C_jama.2025.16450'!$A$2:$A$11,0))="","",INDEX('C_jama.2025.16450'!$P$2:$P$11,MATCH("2025::jama.2025.16450::C005",'C_jama.2025.16450'!$A$2:$A$11,0)))</x:f>
      </x:c>
      <x:c r="AD73" s="3" t="str">
        <x:f>IF(INDEX('C_jama.2025.16450'!$Q$2:$Q$11,MATCH("2025::jama.2025.16450::C005",'C_jama.2025.16450'!$A$2:$A$11,0))="","",INDEX('C_jama.2025.16450'!$Q$2:$Q$11,MATCH("2025::jama.2025.16450::C005",'C_jama.2025.16450'!$A$2:$A$11,0)))</x:f>
      </x:c>
    </x:row>
    <x:row r="74" ht="65" customHeight="1">
      <x:c r="A74" s="6" t="n">
        <x:v>2025</x:v>
      </x:c>
      <x:c r="B74" s="6" t="str">
        <x:v>jama.2025.16450</x:v>
      </x:c>
      <x:c r="C74" s="6" t="str">
        <x:v>2025::jama.2025.16450::C006</x:v>
      </x:c>
      <x:c r="D74" s="6" t="str">
        <x:v>P_P</x:v>
      </x:c>
      <x:c r="E74" s="6" t="n">
        <x:f>Setup!$B$2</x:f>
        <x:v>0</x:v>
      </x:c>
      <x:c r="F74" s="6" t="str">
        <x:f>IF(Setup!$B$4="","",Setup!$B$4)</x:f>
      </x:c>
      <x:c r="G74" s="6" t="str">
        <x:f>IFERROR(INDEX('C_jama.2025.16450'!$G$2:$G$11,MATCH("2025::jama.2025.16450::C006",'C_jama.2025.16450'!$A$2:$A$11,0)),"CHECK KEY")</x:f>
        <x:v>CHECK REVIEWER IDs</x:v>
      </x:c>
      <x:c r="H74" s="6" t="str">
        <x:f>IF(G74&lt;&gt;"FINAL READY","",IF(S74&lt;&gt;"retain","not_eligible",IF(D74="P_R","protocol_descriptive",IF(D74="P_P","plan_descriptive",IF(AND(T74="statistical_results",OR(U74="confirmed_issue",U74="probable_issue"),V74="substantive"),"primary_temporal",IF(AND(T74="report_internal_inconsistency",X74="substantive_inconsistency"),"secondary_temporal","not_eligible"))))))</x:f>
      </x:c>
      <x:c r="I74" s="6" t="str">
        <x:v>exclude</x:v>
      </x:c>
      <x:c r="J74" s="6" t="str">
        <x:v>plan_material</x:v>
      </x:c>
      <x:c r="K74" s="6" t="str">
        <x:f>IF(Setup!$B$6="primary","",IFERROR(IF(INDEX('Primary_snapshot'!$B$2:$B$132,MATCH(C74,'Primary_snapshot'!$A$2:$A$132,0))="","",INDEX('Primary_snapshot'!$B$2:$B$132,MATCH(C74,'Primary_snapshot'!$A$2:$A$132,0))),"SNAPSHOT MISSING"))</x:f>
      </x:c>
      <x:c r="L74" s="6" t="str">
        <x:f>IF(Setup!$B$6="primary","",IFERROR(IF(INDEX('Primary_snapshot'!$C$2:$C$132,MATCH(C74,'Primary_snapshot'!$A$2:$A$132,0))="","",INDEX('Primary_snapshot'!$C$2:$C$132,MATCH(C74,'Primary_snapshot'!$A$2:$A$132,0))),"SNAPSHOT MISSING"))</x:f>
      </x:c>
      <x:c r="M74" s="6" t="str">
        <x:f>IF(Setup!$B$6="primary","",IFERROR(IF(INDEX('Primary_snapshot'!$D$2:$D$132,MATCH(C74,'Primary_snapshot'!$A$2:$A$132,0))="","",INDEX('Primary_snapshot'!$D$2:$D$132,MATCH(C74,'Primary_snapshot'!$A$2:$A$132,0))),"SNAPSHOT MISSING"))</x:f>
      </x:c>
      <x:c r="N74" s="6" t="str">
        <x:f>IF(Setup!$B$6="primary","",IFERROR(IF(INDEX('Primary_snapshot'!$E$2:$E$132,MATCH(C74,'Primary_snapshot'!$A$2:$A$132,0))="","",INDEX('Primary_snapshot'!$E$2:$E$132,MATCH(C74,'Primary_snapshot'!$A$2:$A$132,0))),"SNAPSHOT MISSING"))</x:f>
      </x:c>
      <x:c r="O74" s="6" t="str">
        <x:f>IF(Setup!$B$6="primary","",IFERROR(IF(INDEX('Primary_snapshot'!$F$2:$F$132,MATCH(C74,'Primary_snapshot'!$A$2:$A$132,0))="","",INDEX('Primary_snapshot'!$F$2:$F$132,MATCH(C74,'Primary_snapshot'!$A$2:$A$132,0))),"SNAPSHOT MISSING"))</x:f>
      </x:c>
      <x:c r="P74" s="6" t="str">
        <x:f>IF(Setup!$B$6="primary","",IFERROR(IF(INDEX('Primary_snapshot'!$G$2:$G$132,MATCH(C74,'Primary_snapshot'!$A$2:$A$132,0))="","",INDEX('Primary_snapshot'!$G$2:$G$132,MATCH(C74,'Primary_snapshot'!$A$2:$A$132,0))),"SNAPSHOT MISSING"))</x:f>
      </x:c>
      <x:c r="Q74" s="6" t="str">
        <x:f>IF(Setup!$B$6="primary","",IFERROR(IF(INDEX('Primary_snapshot'!$H$2:$H$132,MATCH(C74,'Primary_snapshot'!$A$2:$A$132,0))="","",INDEX('Primary_snapshot'!$H$2:$H$132,MATCH(C74,'Primary_snapshot'!$A$2:$A$132,0))),"SNAPSHOT MISSING"))</x:f>
      </x:c>
      <x:c r="R74" s="6" t="str">
        <x:f>IF(Setup!$B$6="primary","",IFERROR(IF(INDEX('Primary_snapshot'!$I$2:$I$132,MATCH(C74,'Primary_snapshot'!$A$2:$A$132,0))="","",INDEX('Primary_snapshot'!$I$2:$I$132,MATCH(C74,'Primary_snapshot'!$A$2:$A$132,0))),"SNAPSHOT MISSING"))</x:f>
      </x:c>
      <x:c r="S74" s="6" t="str">
        <x:f>IF(INDEX('C_jama.2025.16450'!$D$2:$D$11,MATCH("2025::jama.2025.16450::C006",'C_jama.2025.16450'!$A$2:$A$11,0))="","",INDEX('C_jama.2025.16450'!$D$2:$D$11,MATCH("2025::jama.2025.16450::C006",'C_jama.2025.16450'!$A$2:$A$11,0)))</x:f>
      </x:c>
      <x:c r="T74" s="6" t="str">
        <x:f>IF(INDEX('C_jama.2025.16450'!$E$2:$E$11,MATCH("2025::jama.2025.16450::C006",'C_jama.2025.16450'!$A$2:$A$11,0))="","",INDEX('C_jama.2025.16450'!$E$2:$E$11,MATCH("2025::jama.2025.16450::C006",'C_jama.2025.16450'!$A$2:$A$11,0)))</x:f>
        <x:v>plan_material</x:v>
      </x:c>
      <x:c r="U74" s="6" t="str">
        <x:f>IF(AND(INDEX('C_jama.2025.16450'!$D$2:$D$11,MATCH("2025::jama.2025.16450::C006",'C_jama.2025.16450'!$A$2:$A$11,0))="retain",INDEX('C_jama.2025.16450'!$E$2:$E$11,MATCH("2025::jama.2025.16450::C006",'C_jama.2025.16450'!$A$2:$A$11,0))="statistical_results"),IF(INDEX('C_jama.2025.16450'!$H$2:$H$11,MATCH("2025::jama.2025.16450::C006",'C_jama.2025.16450'!$A$2:$A$11,0))="","",INDEX('C_jama.2025.16450'!$H$2:$H$11,MATCH("2025::jama.2025.16450::C006",'C_jama.2025.16450'!$A$2:$A$11,0))),"not_applicable")</x:f>
        <x:v>not_applicable</x:v>
      </x:c>
      <x:c r="V74" s="6" t="str">
        <x:f>IF(AND(INDEX('C_jama.2025.16450'!$D$2:$D$11,MATCH("2025::jama.2025.16450::C006",'C_jama.2025.16450'!$A$2:$A$11,0))="retain",INDEX('C_jama.2025.16450'!$E$2:$E$11,MATCH("2025::jama.2025.16450::C006",'C_jama.2025.16450'!$A$2:$A$11,0))="statistical_results"),IF(INDEX('C_jama.2025.16450'!$I$2:$I$11,MATCH("2025::jama.2025.16450::C006",'C_jama.2025.16450'!$A$2:$A$11,0))="","",INDEX('C_jama.2025.16450'!$I$2:$I$11,MATCH("2025::jama.2025.16450::C006",'C_jama.2025.16450'!$A$2:$A$11,0))),"not_applicable")</x:f>
        <x:v>not_applicable</x:v>
      </x:c>
      <x:c r="W74" s="6" t="str">
        <x:f>IF(AND(INDEX('C_jama.2025.16450'!$D$2:$D$11,MATCH("2025::jama.2025.16450::C006",'C_jama.2025.16450'!$A$2:$A$11,0))="retain",INDEX('C_jama.2025.16450'!$E$2:$E$11,MATCH("2025::jama.2025.16450::C006",'C_jama.2025.16450'!$A$2:$A$11,0))="statistical_results"),IF(INDEX('C_jama.2025.16450'!$J$2:$J$11,MATCH("2025::jama.2025.16450::C006",'C_jama.2025.16450'!$A$2:$A$11,0))="","",INDEX('C_jama.2025.16450'!$J$2:$J$11,MATCH("2025::jama.2025.16450::C006",'C_jama.2025.16450'!$A$2:$A$11,0))),"not_applicable")</x:f>
        <x:v>not_applicable</x:v>
      </x:c>
      <x:c r="X74" s="6" t="str">
        <x:f>IF(AND(INDEX('C_jama.2025.16450'!$D$2:$D$11,MATCH("2025::jama.2025.16450::C006",'C_jama.2025.16450'!$A$2:$A$11,0))="retain",OR(INDEX('C_jama.2025.16450'!$E$2:$E$11,MATCH("2025::jama.2025.16450::C006",'C_jama.2025.16450'!$A$2:$A$11,0))="report_internal_inconsistency",INDEX('C_jama.2025.16450'!$E$2:$E$11,MATCH("2025::jama.2025.16450::C006",'C_jama.2025.16450'!$A$2:$A$11,0))="plan_material")),IF(INDEX('C_jama.2025.16450'!$K$2:$K$11,MATCH("2025::jama.2025.16450::C006",'C_jama.2025.16450'!$A$2:$A$11,0))="","",INDEX('C_jama.2025.16450'!$K$2:$K$11,MATCH("2025::jama.2025.16450::C006",'C_jama.2025.16450'!$A$2:$A$11,0))),"not_applicable")</x:f>
        <x:v>not_applicable</x:v>
      </x:c>
      <x:c r="Y74" s="6" t="str">
        <x:f>IF(AND(INDEX('C_jama.2025.16450'!$D$2:$D$11,MATCH("2025::jama.2025.16450::C006",'C_jama.2025.16450'!$A$2:$A$11,0))="retain",INDEX('C_jama.2025.16450'!$E$2:$E$11,MATCH("2025::jama.2025.16450::C006",'C_jama.2025.16450'!$A$2:$A$11,0))="protocol_report"),IF(INDEX('C_jama.2025.16450'!$L$2:$L$11,MATCH("2025::jama.2025.16450::C006",'C_jama.2025.16450'!$A$2:$A$11,0))="","",INDEX('C_jama.2025.16450'!$L$2:$L$11,MATCH("2025::jama.2025.16450::C006",'C_jama.2025.16450'!$A$2:$A$11,0))),"not_applicable")</x:f>
        <x:v>not_applicable</x:v>
      </x:c>
      <x:c r="Z74" s="6" t="str">
        <x:f>IF(INDEX('C_jama.2025.16450'!$R$2:$R$11,MATCH("2025::jama.2025.16450::C006",'C_jama.2025.16450'!$A$2:$A$11,0))="","",INDEX('C_jama.2025.16450'!$R$2:$R$11,MATCH("2025::jama.2025.16450::C006",'C_jama.2025.16450'!$A$2:$A$11,0)))</x:f>
      </x:c>
      <x:c r="AA74" s="6" t="str">
        <x:f>IF(INDEX('C_jama.2025.16450'!$N$2:$N$11,MATCH("2025::jama.2025.16450::C006",'C_jama.2025.16450'!$A$2:$A$11,0))="","",INDEX('C_jama.2025.16450'!$N$2:$N$11,MATCH("2025::jama.2025.16450::C006",'C_jama.2025.16450'!$A$2:$A$11,0)))</x:f>
      </x:c>
      <x:c r="AB74" s="6" t="str">
        <x:f>IF(INDEX('C_jama.2025.16450'!$O$2:$O$11,MATCH("2025::jama.2025.16450::C006",'C_jama.2025.16450'!$A$2:$A$11,0))="","",INDEX('C_jama.2025.16450'!$O$2:$O$11,MATCH("2025::jama.2025.16450::C006",'C_jama.2025.16450'!$A$2:$A$11,0)))</x:f>
      </x:c>
      <x:c r="AC74" s="6" t="str">
        <x:f>IF(INDEX('C_jama.2025.16450'!$P$2:$P$11,MATCH("2025::jama.2025.16450::C006",'C_jama.2025.16450'!$A$2:$A$11,0))="","",INDEX('C_jama.2025.16450'!$P$2:$P$11,MATCH("2025::jama.2025.16450::C006",'C_jama.2025.16450'!$A$2:$A$11,0)))</x:f>
      </x:c>
      <x:c r="AD74" s="6" t="str">
        <x:f>IF(INDEX('C_jama.2025.16450'!$Q$2:$Q$11,MATCH("2025::jama.2025.16450::C006",'C_jama.2025.16450'!$A$2:$A$11,0))="","",INDEX('C_jama.2025.16450'!$Q$2:$Q$11,MATCH("2025::jama.2025.16450::C006",'C_jama.2025.16450'!$A$2:$A$11,0)))</x:f>
      </x:c>
    </x:row>
    <x:row r="75" ht="65" customHeight="1">
      <x:c r="A75" s="3" t="n">
        <x:v>2025</x:v>
      </x:c>
      <x:c r="B75" s="3" t="str">
        <x:v>jama.2025.16450</x:v>
      </x:c>
      <x:c r="C75" s="3" t="str">
        <x:v>2025::jama.2025.16450::C007</x:v>
      </x:c>
      <x:c r="D75" s="3" t="str">
        <x:v>P_R</x:v>
      </x:c>
      <x:c r="E75" s="3" t="n">
        <x:f>Setup!$B$2</x:f>
        <x:v>0</x:v>
      </x:c>
      <x:c r="F75" s="3" t="str">
        <x:f>IF(Setup!$B$4="","",Setup!$B$4)</x:f>
      </x:c>
      <x:c r="G75" s="3" t="str">
        <x:f>IFERROR(INDEX('C_jama.2025.16450'!$G$2:$G$11,MATCH("2025::jama.2025.16450::C007",'C_jama.2025.16450'!$A$2:$A$11,0)),"CHECK KEY")</x:f>
        <x:v>CHECK REVIEWER IDs</x:v>
      </x:c>
      <x:c r="H75" s="3" t="str">
        <x:f>IF(G75&lt;&gt;"FINAL READY","",IF(S75&lt;&gt;"retain","not_eligible",IF(D75="P_R","protocol_descriptive",IF(D75="P_P","plan_descriptive",IF(AND(T75="statistical_results",OR(U75="confirmed_issue",U75="probable_issue"),V75="substantive"),"primary_temporal",IF(AND(T75="report_internal_inconsistency",X75="substantive_inconsistency"),"secondary_temporal","not_eligible"))))))</x:f>
      </x:c>
      <x:c r="I75" s="3" t="str">
        <x:v>retain</x:v>
      </x:c>
      <x:c r="J75" s="3" t="str">
        <x:v>protocol_report</x:v>
      </x:c>
      <x:c r="K75" s="3" t="str">
        <x:f>IF(Setup!$B$6="primary","",IFERROR(IF(INDEX('Primary_snapshot'!$B$2:$B$132,MATCH(C75,'Primary_snapshot'!$A$2:$A$132,0))="","",INDEX('Primary_snapshot'!$B$2:$B$132,MATCH(C75,'Primary_snapshot'!$A$2:$A$132,0))),"SNAPSHOT MISSING"))</x:f>
      </x:c>
      <x:c r="L75" s="3" t="str">
        <x:f>IF(Setup!$B$6="primary","",IFERROR(IF(INDEX('Primary_snapshot'!$C$2:$C$132,MATCH(C75,'Primary_snapshot'!$A$2:$A$132,0))="","",INDEX('Primary_snapshot'!$C$2:$C$132,MATCH(C75,'Primary_snapshot'!$A$2:$A$132,0))),"SNAPSHOT MISSING"))</x:f>
      </x:c>
      <x:c r="M75" s="3" t="str">
        <x:f>IF(Setup!$B$6="primary","",IFERROR(IF(INDEX('Primary_snapshot'!$D$2:$D$132,MATCH(C75,'Primary_snapshot'!$A$2:$A$132,0))="","",INDEX('Primary_snapshot'!$D$2:$D$132,MATCH(C75,'Primary_snapshot'!$A$2:$A$132,0))),"SNAPSHOT MISSING"))</x:f>
      </x:c>
      <x:c r="N75" s="3" t="str">
        <x:f>IF(Setup!$B$6="primary","",IFERROR(IF(INDEX('Primary_snapshot'!$E$2:$E$132,MATCH(C75,'Primary_snapshot'!$A$2:$A$132,0))="","",INDEX('Primary_snapshot'!$E$2:$E$132,MATCH(C75,'Primary_snapshot'!$A$2:$A$132,0))),"SNAPSHOT MISSING"))</x:f>
      </x:c>
      <x:c r="O75" s="3" t="str">
        <x:f>IF(Setup!$B$6="primary","",IFERROR(IF(INDEX('Primary_snapshot'!$F$2:$F$132,MATCH(C75,'Primary_snapshot'!$A$2:$A$132,0))="","",INDEX('Primary_snapshot'!$F$2:$F$132,MATCH(C75,'Primary_snapshot'!$A$2:$A$132,0))),"SNAPSHOT MISSING"))</x:f>
      </x:c>
      <x:c r="P75" s="3" t="str">
        <x:f>IF(Setup!$B$6="primary","",IFERROR(IF(INDEX('Primary_snapshot'!$G$2:$G$132,MATCH(C75,'Primary_snapshot'!$A$2:$A$132,0))="","",INDEX('Primary_snapshot'!$G$2:$G$132,MATCH(C75,'Primary_snapshot'!$A$2:$A$132,0))),"SNAPSHOT MISSING"))</x:f>
      </x:c>
      <x:c r="Q75" s="3" t="str">
        <x:f>IF(Setup!$B$6="primary","",IFERROR(IF(INDEX('Primary_snapshot'!$H$2:$H$132,MATCH(C75,'Primary_snapshot'!$A$2:$A$132,0))="","",INDEX('Primary_snapshot'!$H$2:$H$132,MATCH(C75,'Primary_snapshot'!$A$2:$A$132,0))),"SNAPSHOT MISSING"))</x:f>
      </x:c>
      <x:c r="R75" s="3" t="str">
        <x:f>IF(Setup!$B$6="primary","",IFERROR(IF(INDEX('Primary_snapshot'!$I$2:$I$132,MATCH(C75,'Primary_snapshot'!$A$2:$A$132,0))="","",INDEX('Primary_snapshot'!$I$2:$I$132,MATCH(C75,'Primary_snapshot'!$A$2:$A$132,0))),"SNAPSHOT MISSING"))</x:f>
      </x:c>
      <x:c r="S75" s="3" t="str">
        <x:f>IF(INDEX('C_jama.2025.16450'!$D$2:$D$11,MATCH("2025::jama.2025.16450::C007",'C_jama.2025.16450'!$A$2:$A$11,0))="","",INDEX('C_jama.2025.16450'!$D$2:$D$11,MATCH("2025::jama.2025.16450::C007",'C_jama.2025.16450'!$A$2:$A$11,0)))</x:f>
      </x:c>
      <x:c r="T75" s="3" t="str">
        <x:f>IF(INDEX('C_jama.2025.16450'!$E$2:$E$11,MATCH("2025::jama.2025.16450::C007",'C_jama.2025.16450'!$A$2:$A$11,0))="","",INDEX('C_jama.2025.16450'!$E$2:$E$11,MATCH("2025::jama.2025.16450::C007",'C_jama.2025.16450'!$A$2:$A$11,0)))</x:f>
        <x:v>protocol_report</x:v>
      </x:c>
      <x:c r="U75" s="3" t="str">
        <x:f>IF(AND(INDEX('C_jama.2025.16450'!$D$2:$D$11,MATCH("2025::jama.2025.16450::C007",'C_jama.2025.16450'!$A$2:$A$11,0))="retain",INDEX('C_jama.2025.16450'!$E$2:$E$11,MATCH("2025::jama.2025.16450::C007",'C_jama.2025.16450'!$A$2:$A$11,0))="statistical_results"),IF(INDEX('C_jama.2025.16450'!$H$2:$H$11,MATCH("2025::jama.2025.16450::C007",'C_jama.2025.16450'!$A$2:$A$11,0))="","",INDEX('C_jama.2025.16450'!$H$2:$H$11,MATCH("2025::jama.2025.16450::C007",'C_jama.2025.16450'!$A$2:$A$11,0))),"not_applicable")</x:f>
        <x:v>not_applicable</x:v>
      </x:c>
      <x:c r="V75" s="3" t="str">
        <x:f>IF(AND(INDEX('C_jama.2025.16450'!$D$2:$D$11,MATCH("2025::jama.2025.16450::C007",'C_jama.2025.16450'!$A$2:$A$11,0))="retain",INDEX('C_jama.2025.16450'!$E$2:$E$11,MATCH("2025::jama.2025.16450::C007",'C_jama.2025.16450'!$A$2:$A$11,0))="statistical_results"),IF(INDEX('C_jama.2025.16450'!$I$2:$I$11,MATCH("2025::jama.2025.16450::C007",'C_jama.2025.16450'!$A$2:$A$11,0))="","",INDEX('C_jama.2025.16450'!$I$2:$I$11,MATCH("2025::jama.2025.16450::C007",'C_jama.2025.16450'!$A$2:$A$11,0))),"not_applicable")</x:f>
        <x:v>not_applicable</x:v>
      </x:c>
      <x:c r="W75" s="3" t="str">
        <x:f>IF(AND(INDEX('C_jama.2025.16450'!$D$2:$D$11,MATCH("2025::jama.2025.16450::C007",'C_jama.2025.16450'!$A$2:$A$11,0))="retain",INDEX('C_jama.2025.16450'!$E$2:$E$11,MATCH("2025::jama.2025.16450::C007",'C_jama.2025.16450'!$A$2:$A$11,0))="statistical_results"),IF(INDEX('C_jama.2025.16450'!$J$2:$J$11,MATCH("2025::jama.2025.16450::C007",'C_jama.2025.16450'!$A$2:$A$11,0))="","",INDEX('C_jama.2025.16450'!$J$2:$J$11,MATCH("2025::jama.2025.16450::C007",'C_jama.2025.16450'!$A$2:$A$11,0))),"not_applicable")</x:f>
        <x:v>not_applicable</x:v>
      </x:c>
      <x:c r="X75" s="3" t="str">
        <x:f>IF(AND(INDEX('C_jama.2025.16450'!$D$2:$D$11,MATCH("2025::jama.2025.16450::C007",'C_jama.2025.16450'!$A$2:$A$11,0))="retain",OR(INDEX('C_jama.2025.16450'!$E$2:$E$11,MATCH("2025::jama.2025.16450::C007",'C_jama.2025.16450'!$A$2:$A$11,0))="report_internal_inconsistency",INDEX('C_jama.2025.16450'!$E$2:$E$11,MATCH("2025::jama.2025.16450::C007",'C_jama.2025.16450'!$A$2:$A$11,0))="plan_material")),IF(INDEX('C_jama.2025.16450'!$K$2:$K$11,MATCH("2025::jama.2025.16450::C007",'C_jama.2025.16450'!$A$2:$A$11,0))="","",INDEX('C_jama.2025.16450'!$K$2:$K$11,MATCH("2025::jama.2025.16450::C007",'C_jama.2025.16450'!$A$2:$A$11,0))),"not_applicable")</x:f>
        <x:v>not_applicable</x:v>
      </x:c>
      <x:c r="Y75" s="3" t="str">
        <x:f>IF(AND(INDEX('C_jama.2025.16450'!$D$2:$D$11,MATCH("2025::jama.2025.16450::C007",'C_jama.2025.16450'!$A$2:$A$11,0))="retain",INDEX('C_jama.2025.16450'!$E$2:$E$11,MATCH("2025::jama.2025.16450::C007",'C_jama.2025.16450'!$A$2:$A$11,0))="protocol_report"),IF(INDEX('C_jama.2025.16450'!$L$2:$L$11,MATCH("2025::jama.2025.16450::C007",'C_jama.2025.16450'!$A$2:$A$11,0))="","",INDEX('C_jama.2025.16450'!$L$2:$L$11,MATCH("2025::jama.2025.16450::C007",'C_jama.2025.16450'!$A$2:$A$11,0))),"not_applicable")</x:f>
        <x:v>not_applicable</x:v>
      </x:c>
      <x:c r="Z75" s="3" t="str">
        <x:f>IF(INDEX('C_jama.2025.16450'!$R$2:$R$11,MATCH("2025::jama.2025.16450::C007",'C_jama.2025.16450'!$A$2:$A$11,0))="","",INDEX('C_jama.2025.16450'!$R$2:$R$11,MATCH("2025::jama.2025.16450::C007",'C_jama.2025.16450'!$A$2:$A$11,0)))</x:f>
      </x:c>
      <x:c r="AA75" s="3" t="str">
        <x:f>IF(INDEX('C_jama.2025.16450'!$N$2:$N$11,MATCH("2025::jama.2025.16450::C007",'C_jama.2025.16450'!$A$2:$A$11,0))="","",INDEX('C_jama.2025.16450'!$N$2:$N$11,MATCH("2025::jama.2025.16450::C007",'C_jama.2025.16450'!$A$2:$A$11,0)))</x:f>
      </x:c>
      <x:c r="AB75" s="3" t="str">
        <x:f>IF(INDEX('C_jama.2025.16450'!$O$2:$O$11,MATCH("2025::jama.2025.16450::C007",'C_jama.2025.16450'!$A$2:$A$11,0))="","",INDEX('C_jama.2025.16450'!$O$2:$O$11,MATCH("2025::jama.2025.16450::C007",'C_jama.2025.16450'!$A$2:$A$11,0)))</x:f>
      </x:c>
      <x:c r="AC75" s="3" t="str">
        <x:f>IF(INDEX('C_jama.2025.16450'!$P$2:$P$11,MATCH("2025::jama.2025.16450::C007",'C_jama.2025.16450'!$A$2:$A$11,0))="","",INDEX('C_jama.2025.16450'!$P$2:$P$11,MATCH("2025::jama.2025.16450::C007",'C_jama.2025.16450'!$A$2:$A$11,0)))</x:f>
      </x:c>
      <x:c r="AD75" s="3" t="str">
        <x:f>IF(INDEX('C_jama.2025.16450'!$Q$2:$Q$11,MATCH("2025::jama.2025.16450::C007",'C_jama.2025.16450'!$A$2:$A$11,0))="","",INDEX('C_jama.2025.16450'!$Q$2:$Q$11,MATCH("2025::jama.2025.16450::C007",'C_jama.2025.16450'!$A$2:$A$11,0)))</x:f>
      </x:c>
    </x:row>
    <x:row r="76" ht="65" customHeight="1">
      <x:c r="A76" s="6" t="n">
        <x:v>2025</x:v>
      </x:c>
      <x:c r="B76" s="6" t="str">
        <x:v>jama.2025.16450</x:v>
      </x:c>
      <x:c r="C76" s="6" t="str">
        <x:v>2025::jama.2025.16450::C008</x:v>
      </x:c>
      <x:c r="D76" s="6" t="str">
        <x:v>P_R</x:v>
      </x:c>
      <x:c r="E76" s="6" t="n">
        <x:f>Setup!$B$2</x:f>
        <x:v>0</x:v>
      </x:c>
      <x:c r="F76" s="6" t="str">
        <x:f>IF(Setup!$B$4="","",Setup!$B$4)</x:f>
      </x:c>
      <x:c r="G76" s="6" t="str">
        <x:f>IFERROR(INDEX('C_jama.2025.16450'!$G$2:$G$11,MATCH("2025::jama.2025.16450::C008",'C_jama.2025.16450'!$A$2:$A$11,0)),"CHECK KEY")</x:f>
        <x:v>CHECK REVIEWER IDs</x:v>
      </x:c>
      <x:c r="H76" s="6" t="str">
        <x:f>IF(G76&lt;&gt;"FINAL READY","",IF(S76&lt;&gt;"retain","not_eligible",IF(D76="P_R","protocol_descriptive",IF(D76="P_P","plan_descriptive",IF(AND(T76="statistical_results",OR(U76="confirmed_issue",U76="probable_issue"),V76="substantive"),"primary_temporal",IF(AND(T76="report_internal_inconsistency",X76="substantive_inconsistency"),"secondary_temporal","not_eligible"))))))</x:f>
      </x:c>
      <x:c r="I76" s="6" t="str">
        <x:v>retain</x:v>
      </x:c>
      <x:c r="J76" s="6" t="str">
        <x:v>protocol_report</x:v>
      </x:c>
      <x:c r="K76" s="6" t="str">
        <x:f>IF(Setup!$B$6="primary","",IFERROR(IF(INDEX('Primary_snapshot'!$B$2:$B$132,MATCH(C76,'Primary_snapshot'!$A$2:$A$132,0))="","",INDEX('Primary_snapshot'!$B$2:$B$132,MATCH(C76,'Primary_snapshot'!$A$2:$A$132,0))),"SNAPSHOT MISSING"))</x:f>
      </x:c>
      <x:c r="L76" s="6" t="str">
        <x:f>IF(Setup!$B$6="primary","",IFERROR(IF(INDEX('Primary_snapshot'!$C$2:$C$132,MATCH(C76,'Primary_snapshot'!$A$2:$A$132,0))="","",INDEX('Primary_snapshot'!$C$2:$C$132,MATCH(C76,'Primary_snapshot'!$A$2:$A$132,0))),"SNAPSHOT MISSING"))</x:f>
      </x:c>
      <x:c r="M76" s="6" t="str">
        <x:f>IF(Setup!$B$6="primary","",IFERROR(IF(INDEX('Primary_snapshot'!$D$2:$D$132,MATCH(C76,'Primary_snapshot'!$A$2:$A$132,0))="","",INDEX('Primary_snapshot'!$D$2:$D$132,MATCH(C76,'Primary_snapshot'!$A$2:$A$132,0))),"SNAPSHOT MISSING"))</x:f>
      </x:c>
      <x:c r="N76" s="6" t="str">
        <x:f>IF(Setup!$B$6="primary","",IFERROR(IF(INDEX('Primary_snapshot'!$E$2:$E$132,MATCH(C76,'Primary_snapshot'!$A$2:$A$132,0))="","",INDEX('Primary_snapshot'!$E$2:$E$132,MATCH(C76,'Primary_snapshot'!$A$2:$A$132,0))),"SNAPSHOT MISSING"))</x:f>
      </x:c>
      <x:c r="O76" s="6" t="str">
        <x:f>IF(Setup!$B$6="primary","",IFERROR(IF(INDEX('Primary_snapshot'!$F$2:$F$132,MATCH(C76,'Primary_snapshot'!$A$2:$A$132,0))="","",INDEX('Primary_snapshot'!$F$2:$F$132,MATCH(C76,'Primary_snapshot'!$A$2:$A$132,0))),"SNAPSHOT MISSING"))</x:f>
      </x:c>
      <x:c r="P76" s="6" t="str">
        <x:f>IF(Setup!$B$6="primary","",IFERROR(IF(INDEX('Primary_snapshot'!$G$2:$G$132,MATCH(C76,'Primary_snapshot'!$A$2:$A$132,0))="","",INDEX('Primary_snapshot'!$G$2:$G$132,MATCH(C76,'Primary_snapshot'!$A$2:$A$132,0))),"SNAPSHOT MISSING"))</x:f>
      </x:c>
      <x:c r="Q76" s="6" t="str">
        <x:f>IF(Setup!$B$6="primary","",IFERROR(IF(INDEX('Primary_snapshot'!$H$2:$H$132,MATCH(C76,'Primary_snapshot'!$A$2:$A$132,0))="","",INDEX('Primary_snapshot'!$H$2:$H$132,MATCH(C76,'Primary_snapshot'!$A$2:$A$132,0))),"SNAPSHOT MISSING"))</x:f>
      </x:c>
      <x:c r="R76" s="6" t="str">
        <x:f>IF(Setup!$B$6="primary","",IFERROR(IF(INDEX('Primary_snapshot'!$I$2:$I$132,MATCH(C76,'Primary_snapshot'!$A$2:$A$132,0))="","",INDEX('Primary_snapshot'!$I$2:$I$132,MATCH(C76,'Primary_snapshot'!$A$2:$A$132,0))),"SNAPSHOT MISSING"))</x:f>
      </x:c>
      <x:c r="S76" s="6" t="str">
        <x:f>IF(INDEX('C_jama.2025.16450'!$D$2:$D$11,MATCH("2025::jama.2025.16450::C008",'C_jama.2025.16450'!$A$2:$A$11,0))="","",INDEX('C_jama.2025.16450'!$D$2:$D$11,MATCH("2025::jama.2025.16450::C008",'C_jama.2025.16450'!$A$2:$A$11,0)))</x:f>
      </x:c>
      <x:c r="T76" s="6" t="str">
        <x:f>IF(INDEX('C_jama.2025.16450'!$E$2:$E$11,MATCH("2025::jama.2025.16450::C008",'C_jama.2025.16450'!$A$2:$A$11,0))="","",INDEX('C_jama.2025.16450'!$E$2:$E$11,MATCH("2025::jama.2025.16450::C008",'C_jama.2025.16450'!$A$2:$A$11,0)))</x:f>
        <x:v>protocol_report</x:v>
      </x:c>
      <x:c r="U76" s="6" t="str">
        <x:f>IF(AND(INDEX('C_jama.2025.16450'!$D$2:$D$11,MATCH("2025::jama.2025.16450::C008",'C_jama.2025.16450'!$A$2:$A$11,0))="retain",INDEX('C_jama.2025.16450'!$E$2:$E$11,MATCH("2025::jama.2025.16450::C008",'C_jama.2025.16450'!$A$2:$A$11,0))="statistical_results"),IF(INDEX('C_jama.2025.16450'!$H$2:$H$11,MATCH("2025::jama.2025.16450::C008",'C_jama.2025.16450'!$A$2:$A$11,0))="","",INDEX('C_jama.2025.16450'!$H$2:$H$11,MATCH("2025::jama.2025.16450::C008",'C_jama.2025.16450'!$A$2:$A$11,0))),"not_applicable")</x:f>
        <x:v>not_applicable</x:v>
      </x:c>
      <x:c r="V76" s="6" t="str">
        <x:f>IF(AND(INDEX('C_jama.2025.16450'!$D$2:$D$11,MATCH("2025::jama.2025.16450::C008",'C_jama.2025.16450'!$A$2:$A$11,0))="retain",INDEX('C_jama.2025.16450'!$E$2:$E$11,MATCH("2025::jama.2025.16450::C008",'C_jama.2025.16450'!$A$2:$A$11,0))="statistical_results"),IF(INDEX('C_jama.2025.16450'!$I$2:$I$11,MATCH("2025::jama.2025.16450::C008",'C_jama.2025.16450'!$A$2:$A$11,0))="","",INDEX('C_jama.2025.16450'!$I$2:$I$11,MATCH("2025::jama.2025.16450::C008",'C_jama.2025.16450'!$A$2:$A$11,0))),"not_applicable")</x:f>
        <x:v>not_applicable</x:v>
      </x:c>
      <x:c r="W76" s="6" t="str">
        <x:f>IF(AND(INDEX('C_jama.2025.16450'!$D$2:$D$11,MATCH("2025::jama.2025.16450::C008",'C_jama.2025.16450'!$A$2:$A$11,0))="retain",INDEX('C_jama.2025.16450'!$E$2:$E$11,MATCH("2025::jama.2025.16450::C008",'C_jama.2025.16450'!$A$2:$A$11,0))="statistical_results"),IF(INDEX('C_jama.2025.16450'!$J$2:$J$11,MATCH("2025::jama.2025.16450::C008",'C_jama.2025.16450'!$A$2:$A$11,0))="","",INDEX('C_jama.2025.16450'!$J$2:$J$11,MATCH("2025::jama.2025.16450::C008",'C_jama.2025.16450'!$A$2:$A$11,0))),"not_applicable")</x:f>
        <x:v>not_applicable</x:v>
      </x:c>
      <x:c r="X76" s="6" t="str">
        <x:f>IF(AND(INDEX('C_jama.2025.16450'!$D$2:$D$11,MATCH("2025::jama.2025.16450::C008",'C_jama.2025.16450'!$A$2:$A$11,0))="retain",OR(INDEX('C_jama.2025.16450'!$E$2:$E$11,MATCH("2025::jama.2025.16450::C008",'C_jama.2025.16450'!$A$2:$A$11,0))="report_internal_inconsistency",INDEX('C_jama.2025.16450'!$E$2:$E$11,MATCH("2025::jama.2025.16450::C008",'C_jama.2025.16450'!$A$2:$A$11,0))="plan_material")),IF(INDEX('C_jama.2025.16450'!$K$2:$K$11,MATCH("2025::jama.2025.16450::C008",'C_jama.2025.16450'!$A$2:$A$11,0))="","",INDEX('C_jama.2025.16450'!$K$2:$K$11,MATCH("2025::jama.2025.16450::C008",'C_jama.2025.16450'!$A$2:$A$11,0))),"not_applicable")</x:f>
        <x:v>not_applicable</x:v>
      </x:c>
      <x:c r="Y76" s="6" t="str">
        <x:f>IF(AND(INDEX('C_jama.2025.16450'!$D$2:$D$11,MATCH("2025::jama.2025.16450::C008",'C_jama.2025.16450'!$A$2:$A$11,0))="retain",INDEX('C_jama.2025.16450'!$E$2:$E$11,MATCH("2025::jama.2025.16450::C008",'C_jama.2025.16450'!$A$2:$A$11,0))="protocol_report"),IF(INDEX('C_jama.2025.16450'!$L$2:$L$11,MATCH("2025::jama.2025.16450::C008",'C_jama.2025.16450'!$A$2:$A$11,0))="","",INDEX('C_jama.2025.16450'!$L$2:$L$11,MATCH("2025::jama.2025.16450::C008",'C_jama.2025.16450'!$A$2:$A$11,0))),"not_applicable")</x:f>
        <x:v>not_applicable</x:v>
      </x:c>
      <x:c r="Z76" s="6" t="str">
        <x:f>IF(INDEX('C_jama.2025.16450'!$R$2:$R$11,MATCH("2025::jama.2025.16450::C008",'C_jama.2025.16450'!$A$2:$A$11,0))="","",INDEX('C_jama.2025.16450'!$R$2:$R$11,MATCH("2025::jama.2025.16450::C008",'C_jama.2025.16450'!$A$2:$A$11,0)))</x:f>
      </x:c>
      <x:c r="AA76" s="6" t="str">
        <x:f>IF(INDEX('C_jama.2025.16450'!$N$2:$N$11,MATCH("2025::jama.2025.16450::C008",'C_jama.2025.16450'!$A$2:$A$11,0))="","",INDEX('C_jama.2025.16450'!$N$2:$N$11,MATCH("2025::jama.2025.16450::C008",'C_jama.2025.16450'!$A$2:$A$11,0)))</x:f>
      </x:c>
      <x:c r="AB76" s="6" t="str">
        <x:f>IF(INDEX('C_jama.2025.16450'!$O$2:$O$11,MATCH("2025::jama.2025.16450::C008",'C_jama.2025.16450'!$A$2:$A$11,0))="","",INDEX('C_jama.2025.16450'!$O$2:$O$11,MATCH("2025::jama.2025.16450::C008",'C_jama.2025.16450'!$A$2:$A$11,0)))</x:f>
      </x:c>
      <x:c r="AC76" s="6" t="str">
        <x:f>IF(INDEX('C_jama.2025.16450'!$P$2:$P$11,MATCH("2025::jama.2025.16450::C008",'C_jama.2025.16450'!$A$2:$A$11,0))="","",INDEX('C_jama.2025.16450'!$P$2:$P$11,MATCH("2025::jama.2025.16450::C008",'C_jama.2025.16450'!$A$2:$A$11,0)))</x:f>
      </x:c>
      <x:c r="AD76" s="6" t="str">
        <x:f>IF(INDEX('C_jama.2025.16450'!$Q$2:$Q$11,MATCH("2025::jama.2025.16450::C008",'C_jama.2025.16450'!$A$2:$A$11,0))="","",INDEX('C_jama.2025.16450'!$Q$2:$Q$11,MATCH("2025::jama.2025.16450::C008",'C_jama.2025.16450'!$A$2:$A$11,0)))</x:f>
      </x:c>
    </x:row>
    <x:row r="77" ht="65" customHeight="1">
      <x:c r="A77" s="3" t="n">
        <x:v>2025</x:v>
      </x:c>
      <x:c r="B77" s="3" t="str">
        <x:v>jama.2025.16450</x:v>
      </x:c>
      <x:c r="C77" s="3" t="str">
        <x:v>2025::jama.2025.16450::C009</x:v>
      </x:c>
      <x:c r="D77" s="3" t="str">
        <x:v>S_W</x:v>
      </x:c>
      <x:c r="E77" s="3" t="n">
        <x:f>Setup!$B$2</x:f>
        <x:v>0</x:v>
      </x:c>
      <x:c r="F77" s="3" t="str">
        <x:f>IF(Setup!$B$4="","",Setup!$B$4)</x:f>
      </x:c>
      <x:c r="G77" s="3" t="str">
        <x:f>IFERROR(INDEX('C_jama.2025.16450'!$G$2:$G$11,MATCH("2025::jama.2025.16450::C009",'C_jama.2025.16450'!$A$2:$A$11,0)),"CHECK KEY")</x:f>
        <x:v>CHECK REVIEWER IDs</x:v>
      </x:c>
      <x:c r="H77" s="3" t="str">
        <x:f>IF(G77&lt;&gt;"FINAL READY","",IF(S77&lt;&gt;"retain","not_eligible",IF(D77="P_R","protocol_descriptive",IF(D77="P_P","plan_descriptive",IF(AND(T77="statistical_results",OR(U77="confirmed_issue",U77="probable_issue"),V77="substantive"),"primary_temporal",IF(AND(T77="report_internal_inconsistency",X77="substantive_inconsistency"),"secondary_temporal","not_eligible"))))))</x:f>
      </x:c>
      <x:c r="I77" s="3" t="str">
        <x:v>retain</x:v>
      </x:c>
      <x:c r="J77" s="3" t="str">
        <x:v>report_internal_inconsistency</x:v>
      </x:c>
      <x:c r="K77" s="3" t="str">
        <x:f>IF(Setup!$B$6="primary","",IFERROR(IF(INDEX('Primary_snapshot'!$B$2:$B$132,MATCH(C77,'Primary_snapshot'!$A$2:$A$132,0))="","",INDEX('Primary_snapshot'!$B$2:$B$132,MATCH(C77,'Primary_snapshot'!$A$2:$A$132,0))),"SNAPSHOT MISSING"))</x:f>
      </x:c>
      <x:c r="L77" s="3" t="str">
        <x:f>IF(Setup!$B$6="primary","",IFERROR(IF(INDEX('Primary_snapshot'!$C$2:$C$132,MATCH(C77,'Primary_snapshot'!$A$2:$A$132,0))="","",INDEX('Primary_snapshot'!$C$2:$C$132,MATCH(C77,'Primary_snapshot'!$A$2:$A$132,0))),"SNAPSHOT MISSING"))</x:f>
      </x:c>
      <x:c r="M77" s="3" t="str">
        <x:f>IF(Setup!$B$6="primary","",IFERROR(IF(INDEX('Primary_snapshot'!$D$2:$D$132,MATCH(C77,'Primary_snapshot'!$A$2:$A$132,0))="","",INDEX('Primary_snapshot'!$D$2:$D$132,MATCH(C77,'Primary_snapshot'!$A$2:$A$132,0))),"SNAPSHOT MISSING"))</x:f>
      </x:c>
      <x:c r="N77" s="3" t="str">
        <x:f>IF(Setup!$B$6="primary","",IFERROR(IF(INDEX('Primary_snapshot'!$E$2:$E$132,MATCH(C77,'Primary_snapshot'!$A$2:$A$132,0))="","",INDEX('Primary_snapshot'!$E$2:$E$132,MATCH(C77,'Primary_snapshot'!$A$2:$A$132,0))),"SNAPSHOT MISSING"))</x:f>
      </x:c>
      <x:c r="O77" s="3" t="str">
        <x:f>IF(Setup!$B$6="primary","",IFERROR(IF(INDEX('Primary_snapshot'!$F$2:$F$132,MATCH(C77,'Primary_snapshot'!$A$2:$A$132,0))="","",INDEX('Primary_snapshot'!$F$2:$F$132,MATCH(C77,'Primary_snapshot'!$A$2:$A$132,0))),"SNAPSHOT MISSING"))</x:f>
      </x:c>
      <x:c r="P77" s="3" t="str">
        <x:f>IF(Setup!$B$6="primary","",IFERROR(IF(INDEX('Primary_snapshot'!$G$2:$G$132,MATCH(C77,'Primary_snapshot'!$A$2:$A$132,0))="","",INDEX('Primary_snapshot'!$G$2:$G$132,MATCH(C77,'Primary_snapshot'!$A$2:$A$132,0))),"SNAPSHOT MISSING"))</x:f>
      </x:c>
      <x:c r="Q77" s="3" t="str">
        <x:f>IF(Setup!$B$6="primary","",IFERROR(IF(INDEX('Primary_snapshot'!$H$2:$H$132,MATCH(C77,'Primary_snapshot'!$A$2:$A$132,0))="","",INDEX('Primary_snapshot'!$H$2:$H$132,MATCH(C77,'Primary_snapshot'!$A$2:$A$132,0))),"SNAPSHOT MISSING"))</x:f>
      </x:c>
      <x:c r="R77" s="3" t="str">
        <x:f>IF(Setup!$B$6="primary","",IFERROR(IF(INDEX('Primary_snapshot'!$I$2:$I$132,MATCH(C77,'Primary_snapshot'!$A$2:$A$132,0))="","",INDEX('Primary_snapshot'!$I$2:$I$132,MATCH(C77,'Primary_snapshot'!$A$2:$A$132,0))),"SNAPSHOT MISSING"))</x:f>
      </x:c>
      <x:c r="S77" s="3" t="str">
        <x:f>IF(INDEX('C_jama.2025.16450'!$D$2:$D$11,MATCH("2025::jama.2025.16450::C009",'C_jama.2025.16450'!$A$2:$A$11,0))="","",INDEX('C_jama.2025.16450'!$D$2:$D$11,MATCH("2025::jama.2025.16450::C009",'C_jama.2025.16450'!$A$2:$A$11,0)))</x:f>
      </x:c>
      <x:c r="T77" s="3" t="str">
        <x:f>IF(INDEX('C_jama.2025.16450'!$E$2:$E$11,MATCH("2025::jama.2025.16450::C009",'C_jama.2025.16450'!$A$2:$A$11,0))="","",INDEX('C_jama.2025.16450'!$E$2:$E$11,MATCH("2025::jama.2025.16450::C009",'C_jama.2025.16450'!$A$2:$A$11,0)))</x:f>
        <x:v>report_internal_inconsistency</x:v>
      </x:c>
      <x:c r="U77" s="3" t="str">
        <x:f>IF(AND(INDEX('C_jama.2025.16450'!$D$2:$D$11,MATCH("2025::jama.2025.16450::C009",'C_jama.2025.16450'!$A$2:$A$11,0))="retain",INDEX('C_jama.2025.16450'!$E$2:$E$11,MATCH("2025::jama.2025.16450::C009",'C_jama.2025.16450'!$A$2:$A$11,0))="statistical_results"),IF(INDEX('C_jama.2025.16450'!$H$2:$H$11,MATCH("2025::jama.2025.16450::C009",'C_jama.2025.16450'!$A$2:$A$11,0))="","",INDEX('C_jama.2025.16450'!$H$2:$H$11,MATCH("2025::jama.2025.16450::C009",'C_jama.2025.16450'!$A$2:$A$11,0))),"not_applicable")</x:f>
        <x:v>not_applicable</x:v>
      </x:c>
      <x:c r="V77" s="3" t="str">
        <x:f>IF(AND(INDEX('C_jama.2025.16450'!$D$2:$D$11,MATCH("2025::jama.2025.16450::C009",'C_jama.2025.16450'!$A$2:$A$11,0))="retain",INDEX('C_jama.2025.16450'!$E$2:$E$11,MATCH("2025::jama.2025.16450::C009",'C_jama.2025.16450'!$A$2:$A$11,0))="statistical_results"),IF(INDEX('C_jama.2025.16450'!$I$2:$I$11,MATCH("2025::jama.2025.16450::C009",'C_jama.2025.16450'!$A$2:$A$11,0))="","",INDEX('C_jama.2025.16450'!$I$2:$I$11,MATCH("2025::jama.2025.16450::C009",'C_jama.2025.16450'!$A$2:$A$11,0))),"not_applicable")</x:f>
        <x:v>not_applicable</x:v>
      </x:c>
      <x:c r="W77" s="3" t="str">
        <x:f>IF(AND(INDEX('C_jama.2025.16450'!$D$2:$D$11,MATCH("2025::jama.2025.16450::C009",'C_jama.2025.16450'!$A$2:$A$11,0))="retain",INDEX('C_jama.2025.16450'!$E$2:$E$11,MATCH("2025::jama.2025.16450::C009",'C_jama.2025.16450'!$A$2:$A$11,0))="statistical_results"),IF(INDEX('C_jama.2025.16450'!$J$2:$J$11,MATCH("2025::jama.2025.16450::C009",'C_jama.2025.16450'!$A$2:$A$11,0))="","",INDEX('C_jama.2025.16450'!$J$2:$J$11,MATCH("2025::jama.2025.16450::C009",'C_jama.2025.16450'!$A$2:$A$11,0))),"not_applicable")</x:f>
        <x:v>not_applicable</x:v>
      </x:c>
      <x:c r="X77" s="3" t="str">
        <x:f>IF(AND(INDEX('C_jama.2025.16450'!$D$2:$D$11,MATCH("2025::jama.2025.16450::C009",'C_jama.2025.16450'!$A$2:$A$11,0))="retain",OR(INDEX('C_jama.2025.16450'!$E$2:$E$11,MATCH("2025::jama.2025.16450::C009",'C_jama.2025.16450'!$A$2:$A$11,0))="report_internal_inconsistency",INDEX('C_jama.2025.16450'!$E$2:$E$11,MATCH("2025::jama.2025.16450::C009",'C_jama.2025.16450'!$A$2:$A$11,0))="plan_material")),IF(INDEX('C_jama.2025.16450'!$K$2:$K$11,MATCH("2025::jama.2025.16450::C009",'C_jama.2025.16450'!$A$2:$A$11,0))="","",INDEX('C_jama.2025.16450'!$K$2:$K$11,MATCH("2025::jama.2025.16450::C009",'C_jama.2025.16450'!$A$2:$A$11,0))),"not_applicable")</x:f>
        <x:v>not_applicable</x:v>
      </x:c>
      <x:c r="Y77" s="3" t="str">
        <x:f>IF(AND(INDEX('C_jama.2025.16450'!$D$2:$D$11,MATCH("2025::jama.2025.16450::C009",'C_jama.2025.16450'!$A$2:$A$11,0))="retain",INDEX('C_jama.2025.16450'!$E$2:$E$11,MATCH("2025::jama.2025.16450::C009",'C_jama.2025.16450'!$A$2:$A$11,0))="protocol_report"),IF(INDEX('C_jama.2025.16450'!$L$2:$L$11,MATCH("2025::jama.2025.16450::C009",'C_jama.2025.16450'!$A$2:$A$11,0))="","",INDEX('C_jama.2025.16450'!$L$2:$L$11,MATCH("2025::jama.2025.16450::C009",'C_jama.2025.16450'!$A$2:$A$11,0))),"not_applicable")</x:f>
        <x:v>not_applicable</x:v>
      </x:c>
      <x:c r="Z77" s="3" t="str">
        <x:f>IF(INDEX('C_jama.2025.16450'!$R$2:$R$11,MATCH("2025::jama.2025.16450::C009",'C_jama.2025.16450'!$A$2:$A$11,0))="","",INDEX('C_jama.2025.16450'!$R$2:$R$11,MATCH("2025::jama.2025.16450::C009",'C_jama.2025.16450'!$A$2:$A$11,0)))</x:f>
      </x:c>
      <x:c r="AA77" s="3" t="str">
        <x:f>IF(INDEX('C_jama.2025.16450'!$N$2:$N$11,MATCH("2025::jama.2025.16450::C009",'C_jama.2025.16450'!$A$2:$A$11,0))="","",INDEX('C_jama.2025.16450'!$N$2:$N$11,MATCH("2025::jama.2025.16450::C009",'C_jama.2025.16450'!$A$2:$A$11,0)))</x:f>
      </x:c>
      <x:c r="AB77" s="3" t="str">
        <x:f>IF(INDEX('C_jama.2025.16450'!$O$2:$O$11,MATCH("2025::jama.2025.16450::C009",'C_jama.2025.16450'!$A$2:$A$11,0))="","",INDEX('C_jama.2025.16450'!$O$2:$O$11,MATCH("2025::jama.2025.16450::C009",'C_jama.2025.16450'!$A$2:$A$11,0)))</x:f>
      </x:c>
      <x:c r="AC77" s="3" t="str">
        <x:f>IF(INDEX('C_jama.2025.16450'!$P$2:$P$11,MATCH("2025::jama.2025.16450::C009",'C_jama.2025.16450'!$A$2:$A$11,0))="","",INDEX('C_jama.2025.16450'!$P$2:$P$11,MATCH("2025::jama.2025.16450::C009",'C_jama.2025.16450'!$A$2:$A$11,0)))</x:f>
      </x:c>
      <x:c r="AD77" s="3" t="str">
        <x:f>IF(INDEX('C_jama.2025.16450'!$Q$2:$Q$11,MATCH("2025::jama.2025.16450::C009",'C_jama.2025.16450'!$A$2:$A$11,0))="","",INDEX('C_jama.2025.16450'!$Q$2:$Q$11,MATCH("2025::jama.2025.16450::C009",'C_jama.2025.16450'!$A$2:$A$11,0)))</x:f>
      </x:c>
    </x:row>
    <x:row r="78" ht="65" customHeight="1">
      <x:c r="A78" s="6" t="n">
        <x:v>2025</x:v>
      </x:c>
      <x:c r="B78" s="6" t="str">
        <x:v>jama.2025.16450</x:v>
      </x:c>
      <x:c r="C78" s="6" t="str">
        <x:v>2025::jama.2025.16450::C010</x:v>
      </x:c>
      <x:c r="D78" s="6" t="str">
        <x:v>S_W</x:v>
      </x:c>
      <x:c r="E78" s="6" t="n">
        <x:f>Setup!$B$2</x:f>
        <x:v>0</x:v>
      </x:c>
      <x:c r="F78" s="6" t="str">
        <x:f>IF(Setup!$B$4="","",Setup!$B$4)</x:f>
      </x:c>
      <x:c r="G78" s="6" t="str">
        <x:f>IFERROR(INDEX('C_jama.2025.16450'!$G$2:$G$11,MATCH("2025::jama.2025.16450::C010",'C_jama.2025.16450'!$A$2:$A$11,0)),"CHECK KEY")</x:f>
        <x:v>CHECK REVIEWER IDs</x:v>
      </x:c>
      <x:c r="H78" s="6" t="str">
        <x:f>IF(G78&lt;&gt;"FINAL READY","",IF(S78&lt;&gt;"retain","not_eligible",IF(D78="P_R","protocol_descriptive",IF(D78="P_P","plan_descriptive",IF(AND(T78="statistical_results",OR(U78="confirmed_issue",U78="probable_issue"),V78="substantive"),"primary_temporal",IF(AND(T78="report_internal_inconsistency",X78="substantive_inconsistency"),"secondary_temporal","not_eligible"))))))</x:f>
      </x:c>
      <x:c r="I78" s="6" t="str">
        <x:v>retain</x:v>
      </x:c>
      <x:c r="J78" s="6" t="str">
        <x:v>report_internal_inconsistency</x:v>
      </x:c>
      <x:c r="K78" s="6" t="str">
        <x:f>IF(Setup!$B$6="primary","",IFERROR(IF(INDEX('Primary_snapshot'!$B$2:$B$132,MATCH(C78,'Primary_snapshot'!$A$2:$A$132,0))="","",INDEX('Primary_snapshot'!$B$2:$B$132,MATCH(C78,'Primary_snapshot'!$A$2:$A$132,0))),"SNAPSHOT MISSING"))</x:f>
      </x:c>
      <x:c r="L78" s="6" t="str">
        <x:f>IF(Setup!$B$6="primary","",IFERROR(IF(INDEX('Primary_snapshot'!$C$2:$C$132,MATCH(C78,'Primary_snapshot'!$A$2:$A$132,0))="","",INDEX('Primary_snapshot'!$C$2:$C$132,MATCH(C78,'Primary_snapshot'!$A$2:$A$132,0))),"SNAPSHOT MISSING"))</x:f>
      </x:c>
      <x:c r="M78" s="6" t="str">
        <x:f>IF(Setup!$B$6="primary","",IFERROR(IF(INDEX('Primary_snapshot'!$D$2:$D$132,MATCH(C78,'Primary_snapshot'!$A$2:$A$132,0))="","",INDEX('Primary_snapshot'!$D$2:$D$132,MATCH(C78,'Primary_snapshot'!$A$2:$A$132,0))),"SNAPSHOT MISSING"))</x:f>
      </x:c>
      <x:c r="N78" s="6" t="str">
        <x:f>IF(Setup!$B$6="primary","",IFERROR(IF(INDEX('Primary_snapshot'!$E$2:$E$132,MATCH(C78,'Primary_snapshot'!$A$2:$A$132,0))="","",INDEX('Primary_snapshot'!$E$2:$E$132,MATCH(C78,'Primary_snapshot'!$A$2:$A$132,0))),"SNAPSHOT MISSING"))</x:f>
      </x:c>
      <x:c r="O78" s="6" t="str">
        <x:f>IF(Setup!$B$6="primary","",IFERROR(IF(INDEX('Primary_snapshot'!$F$2:$F$132,MATCH(C78,'Primary_snapshot'!$A$2:$A$132,0))="","",INDEX('Primary_snapshot'!$F$2:$F$132,MATCH(C78,'Primary_snapshot'!$A$2:$A$132,0))),"SNAPSHOT MISSING"))</x:f>
      </x:c>
      <x:c r="P78" s="6" t="str">
        <x:f>IF(Setup!$B$6="primary","",IFERROR(IF(INDEX('Primary_snapshot'!$G$2:$G$132,MATCH(C78,'Primary_snapshot'!$A$2:$A$132,0))="","",INDEX('Primary_snapshot'!$G$2:$G$132,MATCH(C78,'Primary_snapshot'!$A$2:$A$132,0))),"SNAPSHOT MISSING"))</x:f>
      </x:c>
      <x:c r="Q78" s="6" t="str">
        <x:f>IF(Setup!$B$6="primary","",IFERROR(IF(INDEX('Primary_snapshot'!$H$2:$H$132,MATCH(C78,'Primary_snapshot'!$A$2:$A$132,0))="","",INDEX('Primary_snapshot'!$H$2:$H$132,MATCH(C78,'Primary_snapshot'!$A$2:$A$132,0))),"SNAPSHOT MISSING"))</x:f>
      </x:c>
      <x:c r="R78" s="6" t="str">
        <x:f>IF(Setup!$B$6="primary","",IFERROR(IF(INDEX('Primary_snapshot'!$I$2:$I$132,MATCH(C78,'Primary_snapshot'!$A$2:$A$132,0))="","",INDEX('Primary_snapshot'!$I$2:$I$132,MATCH(C78,'Primary_snapshot'!$A$2:$A$132,0))),"SNAPSHOT MISSING"))</x:f>
      </x:c>
      <x:c r="S78" s="6" t="str">
        <x:f>IF(INDEX('C_jama.2025.16450'!$D$2:$D$11,MATCH("2025::jama.2025.16450::C010",'C_jama.2025.16450'!$A$2:$A$11,0))="","",INDEX('C_jama.2025.16450'!$D$2:$D$11,MATCH("2025::jama.2025.16450::C010",'C_jama.2025.16450'!$A$2:$A$11,0)))</x:f>
      </x:c>
      <x:c r="T78" s="6" t="str">
        <x:f>IF(INDEX('C_jama.2025.16450'!$E$2:$E$11,MATCH("2025::jama.2025.16450::C010",'C_jama.2025.16450'!$A$2:$A$11,0))="","",INDEX('C_jama.2025.16450'!$E$2:$E$11,MATCH("2025::jama.2025.16450::C010",'C_jama.2025.16450'!$A$2:$A$11,0)))</x:f>
        <x:v>report_internal_inconsistency</x:v>
      </x:c>
      <x:c r="U78" s="6" t="str">
        <x:f>IF(AND(INDEX('C_jama.2025.16450'!$D$2:$D$11,MATCH("2025::jama.2025.16450::C010",'C_jama.2025.16450'!$A$2:$A$11,0))="retain",INDEX('C_jama.2025.16450'!$E$2:$E$11,MATCH("2025::jama.2025.16450::C010",'C_jama.2025.16450'!$A$2:$A$11,0))="statistical_results"),IF(INDEX('C_jama.2025.16450'!$H$2:$H$11,MATCH("2025::jama.2025.16450::C010",'C_jama.2025.16450'!$A$2:$A$11,0))="","",INDEX('C_jama.2025.16450'!$H$2:$H$11,MATCH("2025::jama.2025.16450::C010",'C_jama.2025.16450'!$A$2:$A$11,0))),"not_applicable")</x:f>
        <x:v>not_applicable</x:v>
      </x:c>
      <x:c r="V78" s="6" t="str">
        <x:f>IF(AND(INDEX('C_jama.2025.16450'!$D$2:$D$11,MATCH("2025::jama.2025.16450::C010",'C_jama.2025.16450'!$A$2:$A$11,0))="retain",INDEX('C_jama.2025.16450'!$E$2:$E$11,MATCH("2025::jama.2025.16450::C010",'C_jama.2025.16450'!$A$2:$A$11,0))="statistical_results"),IF(INDEX('C_jama.2025.16450'!$I$2:$I$11,MATCH("2025::jama.2025.16450::C010",'C_jama.2025.16450'!$A$2:$A$11,0))="","",INDEX('C_jama.2025.16450'!$I$2:$I$11,MATCH("2025::jama.2025.16450::C010",'C_jama.2025.16450'!$A$2:$A$11,0))),"not_applicable")</x:f>
        <x:v>not_applicable</x:v>
      </x:c>
      <x:c r="W78" s="6" t="str">
        <x:f>IF(AND(INDEX('C_jama.2025.16450'!$D$2:$D$11,MATCH("2025::jama.2025.16450::C010",'C_jama.2025.16450'!$A$2:$A$11,0))="retain",INDEX('C_jama.2025.16450'!$E$2:$E$11,MATCH("2025::jama.2025.16450::C010",'C_jama.2025.16450'!$A$2:$A$11,0))="statistical_results"),IF(INDEX('C_jama.2025.16450'!$J$2:$J$11,MATCH("2025::jama.2025.16450::C010",'C_jama.2025.16450'!$A$2:$A$11,0))="","",INDEX('C_jama.2025.16450'!$J$2:$J$11,MATCH("2025::jama.2025.16450::C010",'C_jama.2025.16450'!$A$2:$A$11,0))),"not_applicable")</x:f>
        <x:v>not_applicable</x:v>
      </x:c>
      <x:c r="X78" s="6" t="str">
        <x:f>IF(AND(INDEX('C_jama.2025.16450'!$D$2:$D$11,MATCH("2025::jama.2025.16450::C010",'C_jama.2025.16450'!$A$2:$A$11,0))="retain",OR(INDEX('C_jama.2025.16450'!$E$2:$E$11,MATCH("2025::jama.2025.16450::C010",'C_jama.2025.16450'!$A$2:$A$11,0))="report_internal_inconsistency",INDEX('C_jama.2025.16450'!$E$2:$E$11,MATCH("2025::jama.2025.16450::C010",'C_jama.2025.16450'!$A$2:$A$11,0))="plan_material")),IF(INDEX('C_jama.2025.16450'!$K$2:$K$11,MATCH("2025::jama.2025.16450::C010",'C_jama.2025.16450'!$A$2:$A$11,0))="","",INDEX('C_jama.2025.16450'!$K$2:$K$11,MATCH("2025::jama.2025.16450::C010",'C_jama.2025.16450'!$A$2:$A$11,0))),"not_applicable")</x:f>
        <x:v>not_applicable</x:v>
      </x:c>
      <x:c r="Y78" s="6" t="str">
        <x:f>IF(AND(INDEX('C_jama.2025.16450'!$D$2:$D$11,MATCH("2025::jama.2025.16450::C010",'C_jama.2025.16450'!$A$2:$A$11,0))="retain",INDEX('C_jama.2025.16450'!$E$2:$E$11,MATCH("2025::jama.2025.16450::C010",'C_jama.2025.16450'!$A$2:$A$11,0))="protocol_report"),IF(INDEX('C_jama.2025.16450'!$L$2:$L$11,MATCH("2025::jama.2025.16450::C010",'C_jama.2025.16450'!$A$2:$A$11,0))="","",INDEX('C_jama.2025.16450'!$L$2:$L$11,MATCH("2025::jama.2025.16450::C010",'C_jama.2025.16450'!$A$2:$A$11,0))),"not_applicable")</x:f>
        <x:v>not_applicable</x:v>
      </x:c>
      <x:c r="Z78" s="6" t="str">
        <x:f>IF(INDEX('C_jama.2025.16450'!$R$2:$R$11,MATCH("2025::jama.2025.16450::C010",'C_jama.2025.16450'!$A$2:$A$11,0))="","",INDEX('C_jama.2025.16450'!$R$2:$R$11,MATCH("2025::jama.2025.16450::C010",'C_jama.2025.16450'!$A$2:$A$11,0)))</x:f>
      </x:c>
      <x:c r="AA78" s="6" t="str">
        <x:f>IF(INDEX('C_jama.2025.16450'!$N$2:$N$11,MATCH("2025::jama.2025.16450::C010",'C_jama.2025.16450'!$A$2:$A$11,0))="","",INDEX('C_jama.2025.16450'!$N$2:$N$11,MATCH("2025::jama.2025.16450::C010",'C_jama.2025.16450'!$A$2:$A$11,0)))</x:f>
      </x:c>
      <x:c r="AB78" s="6" t="str">
        <x:f>IF(INDEX('C_jama.2025.16450'!$O$2:$O$11,MATCH("2025::jama.2025.16450::C010",'C_jama.2025.16450'!$A$2:$A$11,0))="","",INDEX('C_jama.2025.16450'!$O$2:$O$11,MATCH("2025::jama.2025.16450::C010",'C_jama.2025.16450'!$A$2:$A$11,0)))</x:f>
      </x:c>
      <x:c r="AC78" s="6" t="str">
        <x:f>IF(INDEX('C_jama.2025.16450'!$P$2:$P$11,MATCH("2025::jama.2025.16450::C010",'C_jama.2025.16450'!$A$2:$A$11,0))="","",INDEX('C_jama.2025.16450'!$P$2:$P$11,MATCH("2025::jama.2025.16450::C010",'C_jama.2025.16450'!$A$2:$A$11,0)))</x:f>
      </x:c>
      <x:c r="AD78" s="6" t="str">
        <x:f>IF(INDEX('C_jama.2025.16450'!$Q$2:$Q$11,MATCH("2025::jama.2025.16450::C010",'C_jama.2025.16450'!$A$2:$A$11,0))="","",INDEX('C_jama.2025.16450'!$Q$2:$Q$11,MATCH("2025::jama.2025.16450::C010",'C_jama.2025.16450'!$A$2:$A$11,0)))</x:f>
      </x:c>
    </x:row>
    <x:row r="79" ht="65" customHeight="1">
      <x:c r="A79" s="3" t="n">
        <x:v>2025</x:v>
      </x:c>
      <x:c r="B79" s="3" t="str">
        <x:v>jama.2025.19563</x:v>
      </x:c>
      <x:c r="C79" s="3" t="str">
        <x:v>2025::jama.2025.19563::C001</x:v>
      </x:c>
      <x:c r="D79" s="3" t="str">
        <x:v>P_R</x:v>
      </x:c>
      <x:c r="E79" s="3" t="n">
        <x:f>Setup!$B$2</x:f>
        <x:v>0</x:v>
      </x:c>
      <x:c r="F79" s="3" t="str">
        <x:f>IF(Setup!$B$4="","",Setup!$B$4)</x:f>
      </x:c>
      <x:c r="G79" s="3" t="str">
        <x:f>IFERROR(INDEX('C_jama.2025.19563'!$G$2:$G$8,MATCH("2025::jama.2025.19563::C001",'C_jama.2025.19563'!$A$2:$A$8,0)),"CHECK KEY")</x:f>
        <x:v>CHECK REVIEWER IDs</x:v>
      </x:c>
      <x:c r="H79" s="3" t="str">
        <x:f>IF(G79&lt;&gt;"FINAL READY","",IF(S79&lt;&gt;"retain","not_eligible",IF(D79="P_R","protocol_descriptive",IF(D79="P_P","plan_descriptive",IF(AND(T79="statistical_results",OR(U79="confirmed_issue",U79="probable_issue"),V79="substantive"),"primary_temporal",IF(AND(T79="report_internal_inconsistency",X79="substantive_inconsistency"),"secondary_temporal","not_eligible"))))))</x:f>
      </x:c>
      <x:c r="I79" s="3" t="str">
        <x:v>retain</x:v>
      </x:c>
      <x:c r="J79" s="3" t="str">
        <x:v>protocol_report</x:v>
      </x:c>
      <x:c r="K79" s="3" t="str">
        <x:f>IF(Setup!$B$6="primary","",IFERROR(IF(INDEX('Primary_snapshot'!$B$2:$B$132,MATCH(C79,'Primary_snapshot'!$A$2:$A$132,0))="","",INDEX('Primary_snapshot'!$B$2:$B$132,MATCH(C79,'Primary_snapshot'!$A$2:$A$132,0))),"SNAPSHOT MISSING"))</x:f>
      </x:c>
      <x:c r="L79" s="3" t="str">
        <x:f>IF(Setup!$B$6="primary","",IFERROR(IF(INDEX('Primary_snapshot'!$C$2:$C$132,MATCH(C79,'Primary_snapshot'!$A$2:$A$132,0))="","",INDEX('Primary_snapshot'!$C$2:$C$132,MATCH(C79,'Primary_snapshot'!$A$2:$A$132,0))),"SNAPSHOT MISSING"))</x:f>
      </x:c>
      <x:c r="M79" s="3" t="str">
        <x:f>IF(Setup!$B$6="primary","",IFERROR(IF(INDEX('Primary_snapshot'!$D$2:$D$132,MATCH(C79,'Primary_snapshot'!$A$2:$A$132,0))="","",INDEX('Primary_snapshot'!$D$2:$D$132,MATCH(C79,'Primary_snapshot'!$A$2:$A$132,0))),"SNAPSHOT MISSING"))</x:f>
      </x:c>
      <x:c r="N79" s="3" t="str">
        <x:f>IF(Setup!$B$6="primary","",IFERROR(IF(INDEX('Primary_snapshot'!$E$2:$E$132,MATCH(C79,'Primary_snapshot'!$A$2:$A$132,0))="","",INDEX('Primary_snapshot'!$E$2:$E$132,MATCH(C79,'Primary_snapshot'!$A$2:$A$132,0))),"SNAPSHOT MISSING"))</x:f>
      </x:c>
      <x:c r="O79" s="3" t="str">
        <x:f>IF(Setup!$B$6="primary","",IFERROR(IF(INDEX('Primary_snapshot'!$F$2:$F$132,MATCH(C79,'Primary_snapshot'!$A$2:$A$132,0))="","",INDEX('Primary_snapshot'!$F$2:$F$132,MATCH(C79,'Primary_snapshot'!$A$2:$A$132,0))),"SNAPSHOT MISSING"))</x:f>
      </x:c>
      <x:c r="P79" s="3" t="str">
        <x:f>IF(Setup!$B$6="primary","",IFERROR(IF(INDEX('Primary_snapshot'!$G$2:$G$132,MATCH(C79,'Primary_snapshot'!$A$2:$A$132,0))="","",INDEX('Primary_snapshot'!$G$2:$G$132,MATCH(C79,'Primary_snapshot'!$A$2:$A$132,0))),"SNAPSHOT MISSING"))</x:f>
      </x:c>
      <x:c r="Q79" s="3" t="str">
        <x:f>IF(Setup!$B$6="primary","",IFERROR(IF(INDEX('Primary_snapshot'!$H$2:$H$132,MATCH(C79,'Primary_snapshot'!$A$2:$A$132,0))="","",INDEX('Primary_snapshot'!$H$2:$H$132,MATCH(C79,'Primary_snapshot'!$A$2:$A$132,0))),"SNAPSHOT MISSING"))</x:f>
      </x:c>
      <x:c r="R79" s="3" t="str">
        <x:f>IF(Setup!$B$6="primary","",IFERROR(IF(INDEX('Primary_snapshot'!$I$2:$I$132,MATCH(C79,'Primary_snapshot'!$A$2:$A$132,0))="","",INDEX('Primary_snapshot'!$I$2:$I$132,MATCH(C79,'Primary_snapshot'!$A$2:$A$132,0))),"SNAPSHOT MISSING"))</x:f>
      </x:c>
      <x:c r="S79" s="3" t="str">
        <x:f>IF(INDEX('C_jama.2025.19563'!$D$2:$D$8,MATCH("2025::jama.2025.19563::C001",'C_jama.2025.19563'!$A$2:$A$8,0))="","",INDEX('C_jama.2025.19563'!$D$2:$D$8,MATCH("2025::jama.2025.19563::C001",'C_jama.2025.19563'!$A$2:$A$8,0)))</x:f>
      </x:c>
      <x:c r="T79" s="3" t="str">
        <x:f>IF(INDEX('C_jama.2025.19563'!$E$2:$E$8,MATCH("2025::jama.2025.19563::C001",'C_jama.2025.19563'!$A$2:$A$8,0))="","",INDEX('C_jama.2025.19563'!$E$2:$E$8,MATCH("2025::jama.2025.19563::C001",'C_jama.2025.19563'!$A$2:$A$8,0)))</x:f>
        <x:v>protocol_report</x:v>
      </x:c>
      <x:c r="U79" s="3" t="str">
        <x:f>IF(AND(INDEX('C_jama.2025.19563'!$D$2:$D$8,MATCH("2025::jama.2025.19563::C001",'C_jama.2025.19563'!$A$2:$A$8,0))="retain",INDEX('C_jama.2025.19563'!$E$2:$E$8,MATCH("2025::jama.2025.19563::C001",'C_jama.2025.19563'!$A$2:$A$8,0))="statistical_results"),IF(INDEX('C_jama.2025.19563'!$H$2:$H$8,MATCH("2025::jama.2025.19563::C001",'C_jama.2025.19563'!$A$2:$A$8,0))="","",INDEX('C_jama.2025.19563'!$H$2:$H$8,MATCH("2025::jama.2025.19563::C001",'C_jama.2025.19563'!$A$2:$A$8,0))),"not_applicable")</x:f>
        <x:v>not_applicable</x:v>
      </x:c>
      <x:c r="V79" s="3" t="str">
        <x:f>IF(AND(INDEX('C_jama.2025.19563'!$D$2:$D$8,MATCH("2025::jama.2025.19563::C001",'C_jama.2025.19563'!$A$2:$A$8,0))="retain",INDEX('C_jama.2025.19563'!$E$2:$E$8,MATCH("2025::jama.2025.19563::C001",'C_jama.2025.19563'!$A$2:$A$8,0))="statistical_results"),IF(INDEX('C_jama.2025.19563'!$I$2:$I$8,MATCH("2025::jama.2025.19563::C001",'C_jama.2025.19563'!$A$2:$A$8,0))="","",INDEX('C_jama.2025.19563'!$I$2:$I$8,MATCH("2025::jama.2025.19563::C001",'C_jama.2025.19563'!$A$2:$A$8,0))),"not_applicable")</x:f>
        <x:v>not_applicable</x:v>
      </x:c>
      <x:c r="W79" s="3" t="str">
        <x:f>IF(AND(INDEX('C_jama.2025.19563'!$D$2:$D$8,MATCH("2025::jama.2025.19563::C001",'C_jama.2025.19563'!$A$2:$A$8,0))="retain",INDEX('C_jama.2025.19563'!$E$2:$E$8,MATCH("2025::jama.2025.19563::C001",'C_jama.2025.19563'!$A$2:$A$8,0))="statistical_results"),IF(INDEX('C_jama.2025.19563'!$J$2:$J$8,MATCH("2025::jama.2025.19563::C001",'C_jama.2025.19563'!$A$2:$A$8,0))="","",INDEX('C_jama.2025.19563'!$J$2:$J$8,MATCH("2025::jama.2025.19563::C001",'C_jama.2025.19563'!$A$2:$A$8,0))),"not_applicable")</x:f>
        <x:v>not_applicable</x:v>
      </x:c>
      <x:c r="X79" s="3" t="str">
        <x:f>IF(AND(INDEX('C_jama.2025.19563'!$D$2:$D$8,MATCH("2025::jama.2025.19563::C001",'C_jama.2025.19563'!$A$2:$A$8,0))="retain",OR(INDEX('C_jama.2025.19563'!$E$2:$E$8,MATCH("2025::jama.2025.19563::C001",'C_jama.2025.19563'!$A$2:$A$8,0))="report_internal_inconsistency",INDEX('C_jama.2025.19563'!$E$2:$E$8,MATCH("2025::jama.2025.19563::C001",'C_jama.2025.19563'!$A$2:$A$8,0))="plan_material")),IF(INDEX('C_jama.2025.19563'!$K$2:$K$8,MATCH("2025::jama.2025.19563::C001",'C_jama.2025.19563'!$A$2:$A$8,0))="","",INDEX('C_jama.2025.19563'!$K$2:$K$8,MATCH("2025::jama.2025.19563::C001",'C_jama.2025.19563'!$A$2:$A$8,0))),"not_applicable")</x:f>
        <x:v>not_applicable</x:v>
      </x:c>
      <x:c r="Y79" s="3" t="str">
        <x:f>IF(AND(INDEX('C_jama.2025.19563'!$D$2:$D$8,MATCH("2025::jama.2025.19563::C001",'C_jama.2025.19563'!$A$2:$A$8,0))="retain",INDEX('C_jama.2025.19563'!$E$2:$E$8,MATCH("2025::jama.2025.19563::C001",'C_jama.2025.19563'!$A$2:$A$8,0))="protocol_report"),IF(INDEX('C_jama.2025.19563'!$L$2:$L$8,MATCH("2025::jama.2025.19563::C001",'C_jama.2025.19563'!$A$2:$A$8,0))="","",INDEX('C_jama.2025.19563'!$L$2:$L$8,MATCH("2025::jama.2025.19563::C001",'C_jama.2025.19563'!$A$2:$A$8,0))),"not_applicable")</x:f>
        <x:v>not_applicable</x:v>
      </x:c>
      <x:c r="Z79" s="3" t="str">
        <x:f>IF(INDEX('C_jama.2025.19563'!$R$2:$R$8,MATCH("2025::jama.2025.19563::C001",'C_jama.2025.19563'!$A$2:$A$8,0))="","",INDEX('C_jama.2025.19563'!$R$2:$R$8,MATCH("2025::jama.2025.19563::C001",'C_jama.2025.19563'!$A$2:$A$8,0)))</x:f>
      </x:c>
      <x:c r="AA79" s="3" t="str">
        <x:f>IF(INDEX('C_jama.2025.19563'!$N$2:$N$8,MATCH("2025::jama.2025.19563::C001",'C_jama.2025.19563'!$A$2:$A$8,0))="","",INDEX('C_jama.2025.19563'!$N$2:$N$8,MATCH("2025::jama.2025.19563::C001",'C_jama.2025.19563'!$A$2:$A$8,0)))</x:f>
      </x:c>
      <x:c r="AB79" s="3" t="str">
        <x:f>IF(INDEX('C_jama.2025.19563'!$O$2:$O$8,MATCH("2025::jama.2025.19563::C001",'C_jama.2025.19563'!$A$2:$A$8,0))="","",INDEX('C_jama.2025.19563'!$O$2:$O$8,MATCH("2025::jama.2025.19563::C001",'C_jama.2025.19563'!$A$2:$A$8,0)))</x:f>
      </x:c>
      <x:c r="AC79" s="3" t="str">
        <x:f>IF(INDEX('C_jama.2025.19563'!$P$2:$P$8,MATCH("2025::jama.2025.19563::C001",'C_jama.2025.19563'!$A$2:$A$8,0))="","",INDEX('C_jama.2025.19563'!$P$2:$P$8,MATCH("2025::jama.2025.19563::C001",'C_jama.2025.19563'!$A$2:$A$8,0)))</x:f>
      </x:c>
      <x:c r="AD79" s="3" t="str">
        <x:f>IF(INDEX('C_jama.2025.19563'!$Q$2:$Q$8,MATCH("2025::jama.2025.19563::C001",'C_jama.2025.19563'!$A$2:$A$8,0))="","",INDEX('C_jama.2025.19563'!$Q$2:$Q$8,MATCH("2025::jama.2025.19563::C001",'C_jama.2025.19563'!$A$2:$A$8,0)))</x:f>
      </x:c>
    </x:row>
    <x:row r="80" ht="65" customHeight="1">
      <x:c r="A80" s="6" t="n">
        <x:v>2025</x:v>
      </x:c>
      <x:c r="B80" s="6" t="str">
        <x:v>jama.2025.19563</x:v>
      </x:c>
      <x:c r="C80" s="6" t="str">
        <x:v>2025::jama.2025.19563::C002</x:v>
      </x:c>
      <x:c r="D80" s="6" t="str">
        <x:v>S_C</x:v>
      </x:c>
      <x:c r="E80" s="6" t="n">
        <x:f>Setup!$B$2</x:f>
        <x:v>0</x:v>
      </x:c>
      <x:c r="F80" s="6" t="str">
        <x:f>IF(Setup!$B$4="","",Setup!$B$4)</x:f>
      </x:c>
      <x:c r="G80" s="6" t="str">
        <x:f>IFERROR(INDEX('C_jama.2025.19563'!$G$2:$G$8,MATCH("2025::jama.2025.19563::C002",'C_jama.2025.19563'!$A$2:$A$8,0)),"CHECK KEY")</x:f>
        <x:v>CHECK REVIEWER IDs</x:v>
      </x:c>
      <x:c r="H80" s="6" t="str">
        <x:f>IF(G80&lt;&gt;"FINAL READY","",IF(S80&lt;&gt;"retain","not_eligible",IF(D80="P_R","protocol_descriptive",IF(D80="P_P","plan_descriptive",IF(AND(T80="statistical_results",OR(U80="confirmed_issue",U80="probable_issue"),V80="substantive"),"primary_temporal",IF(AND(T80="report_internal_inconsistency",X80="substantive_inconsistency"),"secondary_temporal","not_eligible"))))))</x:f>
      </x:c>
      <x:c r="I80" s="6" t="str">
        <x:v>retain</x:v>
      </x:c>
      <x:c r="J80" s="6" t="str">
        <x:v>statistical_results</x:v>
      </x:c>
      <x:c r="K80" s="6" t="str">
        <x:f>IF(Setup!$B$6="primary","",IFERROR(IF(INDEX('Primary_snapshot'!$B$2:$B$132,MATCH(C80,'Primary_snapshot'!$A$2:$A$132,0))="","",INDEX('Primary_snapshot'!$B$2:$B$132,MATCH(C80,'Primary_snapshot'!$A$2:$A$132,0))),"SNAPSHOT MISSING"))</x:f>
      </x:c>
      <x:c r="L80" s="6" t="str">
        <x:f>IF(Setup!$B$6="primary","",IFERROR(IF(INDEX('Primary_snapshot'!$C$2:$C$132,MATCH(C80,'Primary_snapshot'!$A$2:$A$132,0))="","",INDEX('Primary_snapshot'!$C$2:$C$132,MATCH(C80,'Primary_snapshot'!$A$2:$A$132,0))),"SNAPSHOT MISSING"))</x:f>
      </x:c>
      <x:c r="M80" s="6" t="str">
        <x:f>IF(Setup!$B$6="primary","",IFERROR(IF(INDEX('Primary_snapshot'!$D$2:$D$132,MATCH(C80,'Primary_snapshot'!$A$2:$A$132,0))="","",INDEX('Primary_snapshot'!$D$2:$D$132,MATCH(C80,'Primary_snapshot'!$A$2:$A$132,0))),"SNAPSHOT MISSING"))</x:f>
      </x:c>
      <x:c r="N80" s="6" t="str">
        <x:f>IF(Setup!$B$6="primary","",IFERROR(IF(INDEX('Primary_snapshot'!$E$2:$E$132,MATCH(C80,'Primary_snapshot'!$A$2:$A$132,0))="","",INDEX('Primary_snapshot'!$E$2:$E$132,MATCH(C80,'Primary_snapshot'!$A$2:$A$132,0))),"SNAPSHOT MISSING"))</x:f>
      </x:c>
      <x:c r="O80" s="6" t="str">
        <x:f>IF(Setup!$B$6="primary","",IFERROR(IF(INDEX('Primary_snapshot'!$F$2:$F$132,MATCH(C80,'Primary_snapshot'!$A$2:$A$132,0))="","",INDEX('Primary_snapshot'!$F$2:$F$132,MATCH(C80,'Primary_snapshot'!$A$2:$A$132,0))),"SNAPSHOT MISSING"))</x:f>
      </x:c>
      <x:c r="P80" s="6" t="str">
        <x:f>IF(Setup!$B$6="primary","",IFERROR(IF(INDEX('Primary_snapshot'!$G$2:$G$132,MATCH(C80,'Primary_snapshot'!$A$2:$A$132,0))="","",INDEX('Primary_snapshot'!$G$2:$G$132,MATCH(C80,'Primary_snapshot'!$A$2:$A$132,0))),"SNAPSHOT MISSING"))</x:f>
      </x:c>
      <x:c r="Q80" s="6" t="str">
        <x:f>IF(Setup!$B$6="primary","",IFERROR(IF(INDEX('Primary_snapshot'!$H$2:$H$132,MATCH(C80,'Primary_snapshot'!$A$2:$A$132,0))="","",INDEX('Primary_snapshot'!$H$2:$H$132,MATCH(C80,'Primary_snapshot'!$A$2:$A$132,0))),"SNAPSHOT MISSING"))</x:f>
      </x:c>
      <x:c r="R80" s="6" t="str">
        <x:f>IF(Setup!$B$6="primary","",IFERROR(IF(INDEX('Primary_snapshot'!$I$2:$I$132,MATCH(C80,'Primary_snapshot'!$A$2:$A$132,0))="","",INDEX('Primary_snapshot'!$I$2:$I$132,MATCH(C80,'Primary_snapshot'!$A$2:$A$132,0))),"SNAPSHOT MISSING"))</x:f>
      </x:c>
      <x:c r="S80" s="6" t="str">
        <x:f>IF(INDEX('C_jama.2025.19563'!$D$2:$D$8,MATCH("2025::jama.2025.19563::C002",'C_jama.2025.19563'!$A$2:$A$8,0))="","",INDEX('C_jama.2025.19563'!$D$2:$D$8,MATCH("2025::jama.2025.19563::C002",'C_jama.2025.19563'!$A$2:$A$8,0)))</x:f>
      </x:c>
      <x:c r="T80" s="6" t="str">
        <x:f>IF(INDEX('C_jama.2025.19563'!$E$2:$E$8,MATCH("2025::jama.2025.19563::C002",'C_jama.2025.19563'!$A$2:$A$8,0))="","",INDEX('C_jama.2025.19563'!$E$2:$E$8,MATCH("2025::jama.2025.19563::C002",'C_jama.2025.19563'!$A$2:$A$8,0)))</x:f>
        <x:v>statistical_results</x:v>
      </x:c>
      <x:c r="U80" s="6" t="str">
        <x:f>IF(AND(INDEX('C_jama.2025.19563'!$D$2:$D$8,MATCH("2025::jama.2025.19563::C002",'C_jama.2025.19563'!$A$2:$A$8,0))="retain",INDEX('C_jama.2025.19563'!$E$2:$E$8,MATCH("2025::jama.2025.19563::C002",'C_jama.2025.19563'!$A$2:$A$8,0))="statistical_results"),IF(INDEX('C_jama.2025.19563'!$H$2:$H$8,MATCH("2025::jama.2025.19563::C002",'C_jama.2025.19563'!$A$2:$A$8,0))="","",INDEX('C_jama.2025.19563'!$H$2:$H$8,MATCH("2025::jama.2025.19563::C002",'C_jama.2025.19563'!$A$2:$A$8,0))),"not_applicable")</x:f>
        <x:v>not_applicable</x:v>
      </x:c>
      <x:c r="V80" s="6" t="str">
        <x:f>IF(AND(INDEX('C_jama.2025.19563'!$D$2:$D$8,MATCH("2025::jama.2025.19563::C002",'C_jama.2025.19563'!$A$2:$A$8,0))="retain",INDEX('C_jama.2025.19563'!$E$2:$E$8,MATCH("2025::jama.2025.19563::C002",'C_jama.2025.19563'!$A$2:$A$8,0))="statistical_results"),IF(INDEX('C_jama.2025.19563'!$I$2:$I$8,MATCH("2025::jama.2025.19563::C002",'C_jama.2025.19563'!$A$2:$A$8,0))="","",INDEX('C_jama.2025.19563'!$I$2:$I$8,MATCH("2025::jama.2025.19563::C002",'C_jama.2025.19563'!$A$2:$A$8,0))),"not_applicable")</x:f>
        <x:v>not_applicable</x:v>
      </x:c>
      <x:c r="W80" s="6" t="str">
        <x:f>IF(AND(INDEX('C_jama.2025.19563'!$D$2:$D$8,MATCH("2025::jama.2025.19563::C002",'C_jama.2025.19563'!$A$2:$A$8,0))="retain",INDEX('C_jama.2025.19563'!$E$2:$E$8,MATCH("2025::jama.2025.19563::C002",'C_jama.2025.19563'!$A$2:$A$8,0))="statistical_results"),IF(INDEX('C_jama.2025.19563'!$J$2:$J$8,MATCH("2025::jama.2025.19563::C002",'C_jama.2025.19563'!$A$2:$A$8,0))="","",INDEX('C_jama.2025.19563'!$J$2:$J$8,MATCH("2025::jama.2025.19563::C002",'C_jama.2025.19563'!$A$2:$A$8,0))),"not_applicable")</x:f>
        <x:v>not_applicable</x:v>
      </x:c>
      <x:c r="X80" s="6" t="str">
        <x:f>IF(AND(INDEX('C_jama.2025.19563'!$D$2:$D$8,MATCH("2025::jama.2025.19563::C002",'C_jama.2025.19563'!$A$2:$A$8,0))="retain",OR(INDEX('C_jama.2025.19563'!$E$2:$E$8,MATCH("2025::jama.2025.19563::C002",'C_jama.2025.19563'!$A$2:$A$8,0))="report_internal_inconsistency",INDEX('C_jama.2025.19563'!$E$2:$E$8,MATCH("2025::jama.2025.19563::C002",'C_jama.2025.19563'!$A$2:$A$8,0))="plan_material")),IF(INDEX('C_jama.2025.19563'!$K$2:$K$8,MATCH("2025::jama.2025.19563::C002",'C_jama.2025.19563'!$A$2:$A$8,0))="","",INDEX('C_jama.2025.19563'!$K$2:$K$8,MATCH("2025::jama.2025.19563::C002",'C_jama.2025.19563'!$A$2:$A$8,0))),"not_applicable")</x:f>
        <x:v>not_applicable</x:v>
      </x:c>
      <x:c r="Y80" s="6" t="str">
        <x:f>IF(AND(INDEX('C_jama.2025.19563'!$D$2:$D$8,MATCH("2025::jama.2025.19563::C002",'C_jama.2025.19563'!$A$2:$A$8,0))="retain",INDEX('C_jama.2025.19563'!$E$2:$E$8,MATCH("2025::jama.2025.19563::C002",'C_jama.2025.19563'!$A$2:$A$8,0))="protocol_report"),IF(INDEX('C_jama.2025.19563'!$L$2:$L$8,MATCH("2025::jama.2025.19563::C002",'C_jama.2025.19563'!$A$2:$A$8,0))="","",INDEX('C_jama.2025.19563'!$L$2:$L$8,MATCH("2025::jama.2025.19563::C002",'C_jama.2025.19563'!$A$2:$A$8,0))),"not_applicable")</x:f>
        <x:v>not_applicable</x:v>
      </x:c>
      <x:c r="Z80" s="6" t="str">
        <x:f>IF(INDEX('C_jama.2025.19563'!$R$2:$R$8,MATCH("2025::jama.2025.19563::C002",'C_jama.2025.19563'!$A$2:$A$8,0))="","",INDEX('C_jama.2025.19563'!$R$2:$R$8,MATCH("2025::jama.2025.19563::C002",'C_jama.2025.19563'!$A$2:$A$8,0)))</x:f>
      </x:c>
      <x:c r="AA80" s="6" t="str">
        <x:f>IF(INDEX('C_jama.2025.19563'!$N$2:$N$8,MATCH("2025::jama.2025.19563::C002",'C_jama.2025.19563'!$A$2:$A$8,0))="","",INDEX('C_jama.2025.19563'!$N$2:$N$8,MATCH("2025::jama.2025.19563::C002",'C_jama.2025.19563'!$A$2:$A$8,0)))</x:f>
      </x:c>
      <x:c r="AB80" s="6" t="str">
        <x:f>IF(INDEX('C_jama.2025.19563'!$O$2:$O$8,MATCH("2025::jama.2025.19563::C002",'C_jama.2025.19563'!$A$2:$A$8,0))="","",INDEX('C_jama.2025.19563'!$O$2:$O$8,MATCH("2025::jama.2025.19563::C002",'C_jama.2025.19563'!$A$2:$A$8,0)))</x:f>
      </x:c>
      <x:c r="AC80" s="6" t="str">
        <x:f>IF(INDEX('C_jama.2025.19563'!$P$2:$P$8,MATCH("2025::jama.2025.19563::C002",'C_jama.2025.19563'!$A$2:$A$8,0))="","",INDEX('C_jama.2025.19563'!$P$2:$P$8,MATCH("2025::jama.2025.19563::C002",'C_jama.2025.19563'!$A$2:$A$8,0)))</x:f>
      </x:c>
      <x:c r="AD80" s="6" t="str">
        <x:f>IF(INDEX('C_jama.2025.19563'!$Q$2:$Q$8,MATCH("2025::jama.2025.19563::C002",'C_jama.2025.19563'!$A$2:$A$8,0))="","",INDEX('C_jama.2025.19563'!$Q$2:$Q$8,MATCH("2025::jama.2025.19563::C002",'C_jama.2025.19563'!$A$2:$A$8,0)))</x:f>
      </x:c>
    </x:row>
    <x:row r="81" ht="65" customHeight="1">
      <x:c r="A81" s="3" t="n">
        <x:v>2025</x:v>
      </x:c>
      <x:c r="B81" s="3" t="str">
        <x:v>jama.2025.19563</x:v>
      </x:c>
      <x:c r="C81" s="3" t="str">
        <x:v>2025::jama.2025.19563::C003</x:v>
      </x:c>
      <x:c r="D81" s="3" t="str">
        <x:v>S_W</x:v>
      </x:c>
      <x:c r="E81" s="3" t="n">
        <x:f>Setup!$B$2</x:f>
        <x:v>0</x:v>
      </x:c>
      <x:c r="F81" s="3" t="str">
        <x:f>IF(Setup!$B$4="","",Setup!$B$4)</x:f>
      </x:c>
      <x:c r="G81" s="3" t="str">
        <x:f>IFERROR(INDEX('C_jama.2025.19563'!$G$2:$G$8,MATCH("2025::jama.2025.19563::C003",'C_jama.2025.19563'!$A$2:$A$8,0)),"CHECK KEY")</x:f>
        <x:v>CHECK REVIEWER IDs</x:v>
      </x:c>
      <x:c r="H81" s="3" t="str">
        <x:f>IF(G81&lt;&gt;"FINAL READY","",IF(S81&lt;&gt;"retain","not_eligible",IF(D81="P_R","protocol_descriptive",IF(D81="P_P","plan_descriptive",IF(AND(T81="statistical_results",OR(U81="confirmed_issue",U81="probable_issue"),V81="substantive"),"primary_temporal",IF(AND(T81="report_internal_inconsistency",X81="substantive_inconsistency"),"secondary_temporal","not_eligible"))))))</x:f>
      </x:c>
      <x:c r="I81" s="3" t="str">
        <x:v>retain</x:v>
      </x:c>
      <x:c r="J81" s="3" t="str">
        <x:v>report_internal_inconsistency</x:v>
      </x:c>
      <x:c r="K81" s="3" t="str">
        <x:f>IF(Setup!$B$6="primary","",IFERROR(IF(INDEX('Primary_snapshot'!$B$2:$B$132,MATCH(C81,'Primary_snapshot'!$A$2:$A$132,0))="","",INDEX('Primary_snapshot'!$B$2:$B$132,MATCH(C81,'Primary_snapshot'!$A$2:$A$132,0))),"SNAPSHOT MISSING"))</x:f>
      </x:c>
      <x:c r="L81" s="3" t="str">
        <x:f>IF(Setup!$B$6="primary","",IFERROR(IF(INDEX('Primary_snapshot'!$C$2:$C$132,MATCH(C81,'Primary_snapshot'!$A$2:$A$132,0))="","",INDEX('Primary_snapshot'!$C$2:$C$132,MATCH(C81,'Primary_snapshot'!$A$2:$A$132,0))),"SNAPSHOT MISSING"))</x:f>
      </x:c>
      <x:c r="M81" s="3" t="str">
        <x:f>IF(Setup!$B$6="primary","",IFERROR(IF(INDEX('Primary_snapshot'!$D$2:$D$132,MATCH(C81,'Primary_snapshot'!$A$2:$A$132,0))="","",INDEX('Primary_snapshot'!$D$2:$D$132,MATCH(C81,'Primary_snapshot'!$A$2:$A$132,0))),"SNAPSHOT MISSING"))</x:f>
      </x:c>
      <x:c r="N81" s="3" t="str">
        <x:f>IF(Setup!$B$6="primary","",IFERROR(IF(INDEX('Primary_snapshot'!$E$2:$E$132,MATCH(C81,'Primary_snapshot'!$A$2:$A$132,0))="","",INDEX('Primary_snapshot'!$E$2:$E$132,MATCH(C81,'Primary_snapshot'!$A$2:$A$132,0))),"SNAPSHOT MISSING"))</x:f>
      </x:c>
      <x:c r="O81" s="3" t="str">
        <x:f>IF(Setup!$B$6="primary","",IFERROR(IF(INDEX('Primary_snapshot'!$F$2:$F$132,MATCH(C81,'Primary_snapshot'!$A$2:$A$132,0))="","",INDEX('Primary_snapshot'!$F$2:$F$132,MATCH(C81,'Primary_snapshot'!$A$2:$A$132,0))),"SNAPSHOT MISSING"))</x:f>
      </x:c>
      <x:c r="P81" s="3" t="str">
        <x:f>IF(Setup!$B$6="primary","",IFERROR(IF(INDEX('Primary_snapshot'!$G$2:$G$132,MATCH(C81,'Primary_snapshot'!$A$2:$A$132,0))="","",INDEX('Primary_snapshot'!$G$2:$G$132,MATCH(C81,'Primary_snapshot'!$A$2:$A$132,0))),"SNAPSHOT MISSING"))</x:f>
      </x:c>
      <x:c r="Q81" s="3" t="str">
        <x:f>IF(Setup!$B$6="primary","",IFERROR(IF(INDEX('Primary_snapshot'!$H$2:$H$132,MATCH(C81,'Primary_snapshot'!$A$2:$A$132,0))="","",INDEX('Primary_snapshot'!$H$2:$H$132,MATCH(C81,'Primary_snapshot'!$A$2:$A$132,0))),"SNAPSHOT MISSING"))</x:f>
      </x:c>
      <x:c r="R81" s="3" t="str">
        <x:f>IF(Setup!$B$6="primary","",IFERROR(IF(INDEX('Primary_snapshot'!$I$2:$I$132,MATCH(C81,'Primary_snapshot'!$A$2:$A$132,0))="","",INDEX('Primary_snapshot'!$I$2:$I$132,MATCH(C81,'Primary_snapshot'!$A$2:$A$132,0))),"SNAPSHOT MISSING"))</x:f>
      </x:c>
      <x:c r="S81" s="3" t="str">
        <x:f>IF(INDEX('C_jama.2025.19563'!$D$2:$D$8,MATCH("2025::jama.2025.19563::C003",'C_jama.2025.19563'!$A$2:$A$8,0))="","",INDEX('C_jama.2025.19563'!$D$2:$D$8,MATCH("2025::jama.2025.19563::C003",'C_jama.2025.19563'!$A$2:$A$8,0)))</x:f>
      </x:c>
      <x:c r="T81" s="3" t="str">
        <x:f>IF(INDEX('C_jama.2025.19563'!$E$2:$E$8,MATCH("2025::jama.2025.19563::C003",'C_jama.2025.19563'!$A$2:$A$8,0))="","",INDEX('C_jama.2025.19563'!$E$2:$E$8,MATCH("2025::jama.2025.19563::C003",'C_jama.2025.19563'!$A$2:$A$8,0)))</x:f>
        <x:v>report_internal_inconsistency</x:v>
      </x:c>
      <x:c r="U81" s="3" t="str">
        <x:f>IF(AND(INDEX('C_jama.2025.19563'!$D$2:$D$8,MATCH("2025::jama.2025.19563::C003",'C_jama.2025.19563'!$A$2:$A$8,0))="retain",INDEX('C_jama.2025.19563'!$E$2:$E$8,MATCH("2025::jama.2025.19563::C003",'C_jama.2025.19563'!$A$2:$A$8,0))="statistical_results"),IF(INDEX('C_jama.2025.19563'!$H$2:$H$8,MATCH("2025::jama.2025.19563::C003",'C_jama.2025.19563'!$A$2:$A$8,0))="","",INDEX('C_jama.2025.19563'!$H$2:$H$8,MATCH("2025::jama.2025.19563::C003",'C_jama.2025.19563'!$A$2:$A$8,0))),"not_applicable")</x:f>
        <x:v>not_applicable</x:v>
      </x:c>
      <x:c r="V81" s="3" t="str">
        <x:f>IF(AND(INDEX('C_jama.2025.19563'!$D$2:$D$8,MATCH("2025::jama.2025.19563::C003",'C_jama.2025.19563'!$A$2:$A$8,0))="retain",INDEX('C_jama.2025.19563'!$E$2:$E$8,MATCH("2025::jama.2025.19563::C003",'C_jama.2025.19563'!$A$2:$A$8,0))="statistical_results"),IF(INDEX('C_jama.2025.19563'!$I$2:$I$8,MATCH("2025::jama.2025.19563::C003",'C_jama.2025.19563'!$A$2:$A$8,0))="","",INDEX('C_jama.2025.19563'!$I$2:$I$8,MATCH("2025::jama.2025.19563::C003",'C_jama.2025.19563'!$A$2:$A$8,0))),"not_applicable")</x:f>
        <x:v>not_applicable</x:v>
      </x:c>
      <x:c r="W81" s="3" t="str">
        <x:f>IF(AND(INDEX('C_jama.2025.19563'!$D$2:$D$8,MATCH("2025::jama.2025.19563::C003",'C_jama.2025.19563'!$A$2:$A$8,0))="retain",INDEX('C_jama.2025.19563'!$E$2:$E$8,MATCH("2025::jama.2025.19563::C003",'C_jama.2025.19563'!$A$2:$A$8,0))="statistical_results"),IF(INDEX('C_jama.2025.19563'!$J$2:$J$8,MATCH("2025::jama.2025.19563::C003",'C_jama.2025.19563'!$A$2:$A$8,0))="","",INDEX('C_jama.2025.19563'!$J$2:$J$8,MATCH("2025::jama.2025.19563::C003",'C_jama.2025.19563'!$A$2:$A$8,0))),"not_applicable")</x:f>
        <x:v>not_applicable</x:v>
      </x:c>
      <x:c r="X81" s="3" t="str">
        <x:f>IF(AND(INDEX('C_jama.2025.19563'!$D$2:$D$8,MATCH("2025::jama.2025.19563::C003",'C_jama.2025.19563'!$A$2:$A$8,0))="retain",OR(INDEX('C_jama.2025.19563'!$E$2:$E$8,MATCH("2025::jama.2025.19563::C003",'C_jama.2025.19563'!$A$2:$A$8,0))="report_internal_inconsistency",INDEX('C_jama.2025.19563'!$E$2:$E$8,MATCH("2025::jama.2025.19563::C003",'C_jama.2025.19563'!$A$2:$A$8,0))="plan_material")),IF(INDEX('C_jama.2025.19563'!$K$2:$K$8,MATCH("2025::jama.2025.19563::C003",'C_jama.2025.19563'!$A$2:$A$8,0))="","",INDEX('C_jama.2025.19563'!$K$2:$K$8,MATCH("2025::jama.2025.19563::C003",'C_jama.2025.19563'!$A$2:$A$8,0))),"not_applicable")</x:f>
        <x:v>not_applicable</x:v>
      </x:c>
      <x:c r="Y81" s="3" t="str">
        <x:f>IF(AND(INDEX('C_jama.2025.19563'!$D$2:$D$8,MATCH("2025::jama.2025.19563::C003",'C_jama.2025.19563'!$A$2:$A$8,0))="retain",INDEX('C_jama.2025.19563'!$E$2:$E$8,MATCH("2025::jama.2025.19563::C003",'C_jama.2025.19563'!$A$2:$A$8,0))="protocol_report"),IF(INDEX('C_jama.2025.19563'!$L$2:$L$8,MATCH("2025::jama.2025.19563::C003",'C_jama.2025.19563'!$A$2:$A$8,0))="","",INDEX('C_jama.2025.19563'!$L$2:$L$8,MATCH("2025::jama.2025.19563::C003",'C_jama.2025.19563'!$A$2:$A$8,0))),"not_applicable")</x:f>
        <x:v>not_applicable</x:v>
      </x:c>
      <x:c r="Z81" s="3" t="str">
        <x:f>IF(INDEX('C_jama.2025.19563'!$R$2:$R$8,MATCH("2025::jama.2025.19563::C003",'C_jama.2025.19563'!$A$2:$A$8,0))="","",INDEX('C_jama.2025.19563'!$R$2:$R$8,MATCH("2025::jama.2025.19563::C003",'C_jama.2025.19563'!$A$2:$A$8,0)))</x:f>
      </x:c>
      <x:c r="AA81" s="3" t="str">
        <x:f>IF(INDEX('C_jama.2025.19563'!$N$2:$N$8,MATCH("2025::jama.2025.19563::C003",'C_jama.2025.19563'!$A$2:$A$8,0))="","",INDEX('C_jama.2025.19563'!$N$2:$N$8,MATCH("2025::jama.2025.19563::C003",'C_jama.2025.19563'!$A$2:$A$8,0)))</x:f>
      </x:c>
      <x:c r="AB81" s="3" t="str">
        <x:f>IF(INDEX('C_jama.2025.19563'!$O$2:$O$8,MATCH("2025::jama.2025.19563::C003",'C_jama.2025.19563'!$A$2:$A$8,0))="","",INDEX('C_jama.2025.19563'!$O$2:$O$8,MATCH("2025::jama.2025.19563::C003",'C_jama.2025.19563'!$A$2:$A$8,0)))</x:f>
      </x:c>
      <x:c r="AC81" s="3" t="str">
        <x:f>IF(INDEX('C_jama.2025.19563'!$P$2:$P$8,MATCH("2025::jama.2025.19563::C003",'C_jama.2025.19563'!$A$2:$A$8,0))="","",INDEX('C_jama.2025.19563'!$P$2:$P$8,MATCH("2025::jama.2025.19563::C003",'C_jama.2025.19563'!$A$2:$A$8,0)))</x:f>
      </x:c>
      <x:c r="AD81" s="3" t="str">
        <x:f>IF(INDEX('C_jama.2025.19563'!$Q$2:$Q$8,MATCH("2025::jama.2025.19563::C003",'C_jama.2025.19563'!$A$2:$A$8,0))="","",INDEX('C_jama.2025.19563'!$Q$2:$Q$8,MATCH("2025::jama.2025.19563::C003",'C_jama.2025.19563'!$A$2:$A$8,0)))</x:f>
      </x:c>
    </x:row>
    <x:row r="82" ht="65" customHeight="1">
      <x:c r="A82" s="6" t="n">
        <x:v>2025</x:v>
      </x:c>
      <x:c r="B82" s="6" t="str">
        <x:v>jama.2025.19563</x:v>
      </x:c>
      <x:c r="C82" s="6" t="str">
        <x:v>2025::jama.2025.19563::C004</x:v>
      </x:c>
      <x:c r="D82" s="6" t="str">
        <x:v>S_W</x:v>
      </x:c>
      <x:c r="E82" s="6" t="n">
        <x:f>Setup!$B$2</x:f>
        <x:v>0</x:v>
      </x:c>
      <x:c r="F82" s="6" t="str">
        <x:f>IF(Setup!$B$4="","",Setup!$B$4)</x:f>
      </x:c>
      <x:c r="G82" s="6" t="str">
        <x:f>IFERROR(INDEX('C_jama.2025.19563'!$G$2:$G$8,MATCH("2025::jama.2025.19563::C004",'C_jama.2025.19563'!$A$2:$A$8,0)),"CHECK KEY")</x:f>
        <x:v>CHECK REVIEWER IDs</x:v>
      </x:c>
      <x:c r="H82" s="6" t="str">
        <x:f>IF(G82&lt;&gt;"FINAL READY","",IF(S82&lt;&gt;"retain","not_eligible",IF(D82="P_R","protocol_descriptive",IF(D82="P_P","plan_descriptive",IF(AND(T82="statistical_results",OR(U82="confirmed_issue",U82="probable_issue"),V82="substantive"),"primary_temporal",IF(AND(T82="report_internal_inconsistency",X82="substantive_inconsistency"),"secondary_temporal","not_eligible"))))))</x:f>
      </x:c>
      <x:c r="I82" s="6" t="str">
        <x:v>retain</x:v>
      </x:c>
      <x:c r="J82" s="6" t="str">
        <x:v>report_internal_inconsistency</x:v>
      </x:c>
      <x:c r="K82" s="6" t="str">
        <x:f>IF(Setup!$B$6="primary","",IFERROR(IF(INDEX('Primary_snapshot'!$B$2:$B$132,MATCH(C82,'Primary_snapshot'!$A$2:$A$132,0))="","",INDEX('Primary_snapshot'!$B$2:$B$132,MATCH(C82,'Primary_snapshot'!$A$2:$A$132,0))),"SNAPSHOT MISSING"))</x:f>
      </x:c>
      <x:c r="L82" s="6" t="str">
        <x:f>IF(Setup!$B$6="primary","",IFERROR(IF(INDEX('Primary_snapshot'!$C$2:$C$132,MATCH(C82,'Primary_snapshot'!$A$2:$A$132,0))="","",INDEX('Primary_snapshot'!$C$2:$C$132,MATCH(C82,'Primary_snapshot'!$A$2:$A$132,0))),"SNAPSHOT MISSING"))</x:f>
      </x:c>
      <x:c r="M82" s="6" t="str">
        <x:f>IF(Setup!$B$6="primary","",IFERROR(IF(INDEX('Primary_snapshot'!$D$2:$D$132,MATCH(C82,'Primary_snapshot'!$A$2:$A$132,0))="","",INDEX('Primary_snapshot'!$D$2:$D$132,MATCH(C82,'Primary_snapshot'!$A$2:$A$132,0))),"SNAPSHOT MISSING"))</x:f>
      </x:c>
      <x:c r="N82" s="6" t="str">
        <x:f>IF(Setup!$B$6="primary","",IFERROR(IF(INDEX('Primary_snapshot'!$E$2:$E$132,MATCH(C82,'Primary_snapshot'!$A$2:$A$132,0))="","",INDEX('Primary_snapshot'!$E$2:$E$132,MATCH(C82,'Primary_snapshot'!$A$2:$A$132,0))),"SNAPSHOT MISSING"))</x:f>
      </x:c>
      <x:c r="O82" s="6" t="str">
        <x:f>IF(Setup!$B$6="primary","",IFERROR(IF(INDEX('Primary_snapshot'!$F$2:$F$132,MATCH(C82,'Primary_snapshot'!$A$2:$A$132,0))="","",INDEX('Primary_snapshot'!$F$2:$F$132,MATCH(C82,'Primary_snapshot'!$A$2:$A$132,0))),"SNAPSHOT MISSING"))</x:f>
      </x:c>
      <x:c r="P82" s="6" t="str">
        <x:f>IF(Setup!$B$6="primary","",IFERROR(IF(INDEX('Primary_snapshot'!$G$2:$G$132,MATCH(C82,'Primary_snapshot'!$A$2:$A$132,0))="","",INDEX('Primary_snapshot'!$G$2:$G$132,MATCH(C82,'Primary_snapshot'!$A$2:$A$132,0))),"SNAPSHOT MISSING"))</x:f>
      </x:c>
      <x:c r="Q82" s="6" t="str">
        <x:f>IF(Setup!$B$6="primary","",IFERROR(IF(INDEX('Primary_snapshot'!$H$2:$H$132,MATCH(C82,'Primary_snapshot'!$A$2:$A$132,0))="","",INDEX('Primary_snapshot'!$H$2:$H$132,MATCH(C82,'Primary_snapshot'!$A$2:$A$132,0))),"SNAPSHOT MISSING"))</x:f>
      </x:c>
      <x:c r="R82" s="6" t="str">
        <x:f>IF(Setup!$B$6="primary","",IFERROR(IF(INDEX('Primary_snapshot'!$I$2:$I$132,MATCH(C82,'Primary_snapshot'!$A$2:$A$132,0))="","",INDEX('Primary_snapshot'!$I$2:$I$132,MATCH(C82,'Primary_snapshot'!$A$2:$A$132,0))),"SNAPSHOT MISSING"))</x:f>
      </x:c>
      <x:c r="S82" s="6" t="str">
        <x:f>IF(INDEX('C_jama.2025.19563'!$D$2:$D$8,MATCH("2025::jama.2025.19563::C004",'C_jama.2025.19563'!$A$2:$A$8,0))="","",INDEX('C_jama.2025.19563'!$D$2:$D$8,MATCH("2025::jama.2025.19563::C004",'C_jama.2025.19563'!$A$2:$A$8,0)))</x:f>
      </x:c>
      <x:c r="T82" s="6" t="str">
        <x:f>IF(INDEX('C_jama.2025.19563'!$E$2:$E$8,MATCH("2025::jama.2025.19563::C004",'C_jama.2025.19563'!$A$2:$A$8,0))="","",INDEX('C_jama.2025.19563'!$E$2:$E$8,MATCH("2025::jama.2025.19563::C004",'C_jama.2025.19563'!$A$2:$A$8,0)))</x:f>
        <x:v>report_internal_inconsistency</x:v>
      </x:c>
      <x:c r="U82" s="6" t="str">
        <x:f>IF(AND(INDEX('C_jama.2025.19563'!$D$2:$D$8,MATCH("2025::jama.2025.19563::C004",'C_jama.2025.19563'!$A$2:$A$8,0))="retain",INDEX('C_jama.2025.19563'!$E$2:$E$8,MATCH("2025::jama.2025.19563::C004",'C_jama.2025.19563'!$A$2:$A$8,0))="statistical_results"),IF(INDEX('C_jama.2025.19563'!$H$2:$H$8,MATCH("2025::jama.2025.19563::C004",'C_jama.2025.19563'!$A$2:$A$8,0))="","",INDEX('C_jama.2025.19563'!$H$2:$H$8,MATCH("2025::jama.2025.19563::C004",'C_jama.2025.19563'!$A$2:$A$8,0))),"not_applicable")</x:f>
        <x:v>not_applicable</x:v>
      </x:c>
      <x:c r="V82" s="6" t="str">
        <x:f>IF(AND(INDEX('C_jama.2025.19563'!$D$2:$D$8,MATCH("2025::jama.2025.19563::C004",'C_jama.2025.19563'!$A$2:$A$8,0))="retain",INDEX('C_jama.2025.19563'!$E$2:$E$8,MATCH("2025::jama.2025.19563::C004",'C_jama.2025.19563'!$A$2:$A$8,0))="statistical_results"),IF(INDEX('C_jama.2025.19563'!$I$2:$I$8,MATCH("2025::jama.2025.19563::C004",'C_jama.2025.19563'!$A$2:$A$8,0))="","",INDEX('C_jama.2025.19563'!$I$2:$I$8,MATCH("2025::jama.2025.19563::C004",'C_jama.2025.19563'!$A$2:$A$8,0))),"not_applicable")</x:f>
        <x:v>not_applicable</x:v>
      </x:c>
      <x:c r="W82" s="6" t="str">
        <x:f>IF(AND(INDEX('C_jama.2025.19563'!$D$2:$D$8,MATCH("2025::jama.2025.19563::C004",'C_jama.2025.19563'!$A$2:$A$8,0))="retain",INDEX('C_jama.2025.19563'!$E$2:$E$8,MATCH("2025::jama.2025.19563::C004",'C_jama.2025.19563'!$A$2:$A$8,0))="statistical_results"),IF(INDEX('C_jama.2025.19563'!$J$2:$J$8,MATCH("2025::jama.2025.19563::C004",'C_jama.2025.19563'!$A$2:$A$8,0))="","",INDEX('C_jama.2025.19563'!$J$2:$J$8,MATCH("2025::jama.2025.19563::C004",'C_jama.2025.19563'!$A$2:$A$8,0))),"not_applicable")</x:f>
        <x:v>not_applicable</x:v>
      </x:c>
      <x:c r="X82" s="6" t="str">
        <x:f>IF(AND(INDEX('C_jama.2025.19563'!$D$2:$D$8,MATCH("2025::jama.2025.19563::C004",'C_jama.2025.19563'!$A$2:$A$8,0))="retain",OR(INDEX('C_jama.2025.19563'!$E$2:$E$8,MATCH("2025::jama.2025.19563::C004",'C_jama.2025.19563'!$A$2:$A$8,0))="report_internal_inconsistency",INDEX('C_jama.2025.19563'!$E$2:$E$8,MATCH("2025::jama.2025.19563::C004",'C_jama.2025.19563'!$A$2:$A$8,0))="plan_material")),IF(INDEX('C_jama.2025.19563'!$K$2:$K$8,MATCH("2025::jama.2025.19563::C004",'C_jama.2025.19563'!$A$2:$A$8,0))="","",INDEX('C_jama.2025.19563'!$K$2:$K$8,MATCH("2025::jama.2025.19563::C004",'C_jama.2025.19563'!$A$2:$A$8,0))),"not_applicable")</x:f>
        <x:v>not_applicable</x:v>
      </x:c>
      <x:c r="Y82" s="6" t="str">
        <x:f>IF(AND(INDEX('C_jama.2025.19563'!$D$2:$D$8,MATCH("2025::jama.2025.19563::C004",'C_jama.2025.19563'!$A$2:$A$8,0))="retain",INDEX('C_jama.2025.19563'!$E$2:$E$8,MATCH("2025::jama.2025.19563::C004",'C_jama.2025.19563'!$A$2:$A$8,0))="protocol_report"),IF(INDEX('C_jama.2025.19563'!$L$2:$L$8,MATCH("2025::jama.2025.19563::C004",'C_jama.2025.19563'!$A$2:$A$8,0))="","",INDEX('C_jama.2025.19563'!$L$2:$L$8,MATCH("2025::jama.2025.19563::C004",'C_jama.2025.19563'!$A$2:$A$8,0))),"not_applicable")</x:f>
        <x:v>not_applicable</x:v>
      </x:c>
      <x:c r="Z82" s="6" t="str">
        <x:f>IF(INDEX('C_jama.2025.19563'!$R$2:$R$8,MATCH("2025::jama.2025.19563::C004",'C_jama.2025.19563'!$A$2:$A$8,0))="","",INDEX('C_jama.2025.19563'!$R$2:$R$8,MATCH("2025::jama.2025.19563::C004",'C_jama.2025.19563'!$A$2:$A$8,0)))</x:f>
      </x:c>
      <x:c r="AA82" s="6" t="str">
        <x:f>IF(INDEX('C_jama.2025.19563'!$N$2:$N$8,MATCH("2025::jama.2025.19563::C004",'C_jama.2025.19563'!$A$2:$A$8,0))="","",INDEX('C_jama.2025.19563'!$N$2:$N$8,MATCH("2025::jama.2025.19563::C004",'C_jama.2025.19563'!$A$2:$A$8,0)))</x:f>
      </x:c>
      <x:c r="AB82" s="6" t="str">
        <x:f>IF(INDEX('C_jama.2025.19563'!$O$2:$O$8,MATCH("2025::jama.2025.19563::C004",'C_jama.2025.19563'!$A$2:$A$8,0))="","",INDEX('C_jama.2025.19563'!$O$2:$O$8,MATCH("2025::jama.2025.19563::C004",'C_jama.2025.19563'!$A$2:$A$8,0)))</x:f>
      </x:c>
      <x:c r="AC82" s="6" t="str">
        <x:f>IF(INDEX('C_jama.2025.19563'!$P$2:$P$8,MATCH("2025::jama.2025.19563::C004",'C_jama.2025.19563'!$A$2:$A$8,0))="","",INDEX('C_jama.2025.19563'!$P$2:$P$8,MATCH("2025::jama.2025.19563::C004",'C_jama.2025.19563'!$A$2:$A$8,0)))</x:f>
      </x:c>
      <x:c r="AD82" s="6" t="str">
        <x:f>IF(INDEX('C_jama.2025.19563'!$Q$2:$Q$8,MATCH("2025::jama.2025.19563::C004",'C_jama.2025.19563'!$A$2:$A$8,0))="","",INDEX('C_jama.2025.19563'!$Q$2:$Q$8,MATCH("2025::jama.2025.19563::C004",'C_jama.2025.19563'!$A$2:$A$8,0)))</x:f>
      </x:c>
    </x:row>
    <x:row r="83" ht="65" customHeight="1">
      <x:c r="A83" s="3" t="n">
        <x:v>2025</x:v>
      </x:c>
      <x:c r="B83" s="3" t="str">
        <x:v>jama.2025.19563</x:v>
      </x:c>
      <x:c r="C83" s="3" t="str">
        <x:v>2025::jama.2025.19563::C005</x:v>
      </x:c>
      <x:c r="D83" s="3" t="str">
        <x:v>S_W</x:v>
      </x:c>
      <x:c r="E83" s="3" t="n">
        <x:f>Setup!$B$2</x:f>
        <x:v>0</x:v>
      </x:c>
      <x:c r="F83" s="3" t="str">
        <x:f>IF(Setup!$B$4="","",Setup!$B$4)</x:f>
      </x:c>
      <x:c r="G83" s="3" t="str">
        <x:f>IFERROR(INDEX('C_jama.2025.19563'!$G$2:$G$8,MATCH("2025::jama.2025.19563::C005",'C_jama.2025.19563'!$A$2:$A$8,0)),"CHECK KEY")</x:f>
        <x:v>CHECK REVIEWER IDs</x:v>
      </x:c>
      <x:c r="H83" s="3" t="str">
        <x:f>IF(G83&lt;&gt;"FINAL READY","",IF(S83&lt;&gt;"retain","not_eligible",IF(D83="P_R","protocol_descriptive",IF(D83="P_P","plan_descriptive",IF(AND(T83="statistical_results",OR(U83="confirmed_issue",U83="probable_issue"),V83="substantive"),"primary_temporal",IF(AND(T83="report_internal_inconsistency",X83="substantive_inconsistency"),"secondary_temporal","not_eligible"))))))</x:f>
      </x:c>
      <x:c r="I83" s="3" t="str">
        <x:v>retain</x:v>
      </x:c>
      <x:c r="J83" s="3" t="str">
        <x:v>statistical_results</x:v>
      </x:c>
      <x:c r="K83" s="3" t="str">
        <x:f>IF(Setup!$B$6="primary","",IFERROR(IF(INDEX('Primary_snapshot'!$B$2:$B$132,MATCH(C83,'Primary_snapshot'!$A$2:$A$132,0))="","",INDEX('Primary_snapshot'!$B$2:$B$132,MATCH(C83,'Primary_snapshot'!$A$2:$A$132,0))),"SNAPSHOT MISSING"))</x:f>
      </x:c>
      <x:c r="L83" s="3" t="str">
        <x:f>IF(Setup!$B$6="primary","",IFERROR(IF(INDEX('Primary_snapshot'!$C$2:$C$132,MATCH(C83,'Primary_snapshot'!$A$2:$A$132,0))="","",INDEX('Primary_snapshot'!$C$2:$C$132,MATCH(C83,'Primary_snapshot'!$A$2:$A$132,0))),"SNAPSHOT MISSING"))</x:f>
      </x:c>
      <x:c r="M83" s="3" t="str">
        <x:f>IF(Setup!$B$6="primary","",IFERROR(IF(INDEX('Primary_snapshot'!$D$2:$D$132,MATCH(C83,'Primary_snapshot'!$A$2:$A$132,0))="","",INDEX('Primary_snapshot'!$D$2:$D$132,MATCH(C83,'Primary_snapshot'!$A$2:$A$132,0))),"SNAPSHOT MISSING"))</x:f>
      </x:c>
      <x:c r="N83" s="3" t="str">
        <x:f>IF(Setup!$B$6="primary","",IFERROR(IF(INDEX('Primary_snapshot'!$E$2:$E$132,MATCH(C83,'Primary_snapshot'!$A$2:$A$132,0))="","",INDEX('Primary_snapshot'!$E$2:$E$132,MATCH(C83,'Primary_snapshot'!$A$2:$A$132,0))),"SNAPSHOT MISSING"))</x:f>
      </x:c>
      <x:c r="O83" s="3" t="str">
        <x:f>IF(Setup!$B$6="primary","",IFERROR(IF(INDEX('Primary_snapshot'!$F$2:$F$132,MATCH(C83,'Primary_snapshot'!$A$2:$A$132,0))="","",INDEX('Primary_snapshot'!$F$2:$F$132,MATCH(C83,'Primary_snapshot'!$A$2:$A$132,0))),"SNAPSHOT MISSING"))</x:f>
      </x:c>
      <x:c r="P83" s="3" t="str">
        <x:f>IF(Setup!$B$6="primary","",IFERROR(IF(INDEX('Primary_snapshot'!$G$2:$G$132,MATCH(C83,'Primary_snapshot'!$A$2:$A$132,0))="","",INDEX('Primary_snapshot'!$G$2:$G$132,MATCH(C83,'Primary_snapshot'!$A$2:$A$132,0))),"SNAPSHOT MISSING"))</x:f>
      </x:c>
      <x:c r="Q83" s="3" t="str">
        <x:f>IF(Setup!$B$6="primary","",IFERROR(IF(INDEX('Primary_snapshot'!$H$2:$H$132,MATCH(C83,'Primary_snapshot'!$A$2:$A$132,0))="","",INDEX('Primary_snapshot'!$H$2:$H$132,MATCH(C83,'Primary_snapshot'!$A$2:$A$132,0))),"SNAPSHOT MISSING"))</x:f>
      </x:c>
      <x:c r="R83" s="3" t="str">
        <x:f>IF(Setup!$B$6="primary","",IFERROR(IF(INDEX('Primary_snapshot'!$I$2:$I$132,MATCH(C83,'Primary_snapshot'!$A$2:$A$132,0))="","",INDEX('Primary_snapshot'!$I$2:$I$132,MATCH(C83,'Primary_snapshot'!$A$2:$A$132,0))),"SNAPSHOT MISSING"))</x:f>
      </x:c>
      <x:c r="S83" s="3" t="str">
        <x:f>IF(INDEX('C_jama.2025.19563'!$D$2:$D$8,MATCH("2025::jama.2025.19563::C005",'C_jama.2025.19563'!$A$2:$A$8,0))="","",INDEX('C_jama.2025.19563'!$D$2:$D$8,MATCH("2025::jama.2025.19563::C005",'C_jama.2025.19563'!$A$2:$A$8,0)))</x:f>
      </x:c>
      <x:c r="T83" s="3" t="str">
        <x:f>IF(INDEX('C_jama.2025.19563'!$E$2:$E$8,MATCH("2025::jama.2025.19563::C005",'C_jama.2025.19563'!$A$2:$A$8,0))="","",INDEX('C_jama.2025.19563'!$E$2:$E$8,MATCH("2025::jama.2025.19563::C005",'C_jama.2025.19563'!$A$2:$A$8,0)))</x:f>
        <x:v>statistical_results</x:v>
      </x:c>
      <x:c r="U83" s="3" t="str">
        <x:f>IF(AND(INDEX('C_jama.2025.19563'!$D$2:$D$8,MATCH("2025::jama.2025.19563::C005",'C_jama.2025.19563'!$A$2:$A$8,0))="retain",INDEX('C_jama.2025.19563'!$E$2:$E$8,MATCH("2025::jama.2025.19563::C005",'C_jama.2025.19563'!$A$2:$A$8,0))="statistical_results"),IF(INDEX('C_jama.2025.19563'!$H$2:$H$8,MATCH("2025::jama.2025.19563::C005",'C_jama.2025.19563'!$A$2:$A$8,0))="","",INDEX('C_jama.2025.19563'!$H$2:$H$8,MATCH("2025::jama.2025.19563::C005",'C_jama.2025.19563'!$A$2:$A$8,0))),"not_applicable")</x:f>
        <x:v>not_applicable</x:v>
      </x:c>
      <x:c r="V83" s="3" t="str">
        <x:f>IF(AND(INDEX('C_jama.2025.19563'!$D$2:$D$8,MATCH("2025::jama.2025.19563::C005",'C_jama.2025.19563'!$A$2:$A$8,0))="retain",INDEX('C_jama.2025.19563'!$E$2:$E$8,MATCH("2025::jama.2025.19563::C005",'C_jama.2025.19563'!$A$2:$A$8,0))="statistical_results"),IF(INDEX('C_jama.2025.19563'!$I$2:$I$8,MATCH("2025::jama.2025.19563::C005",'C_jama.2025.19563'!$A$2:$A$8,0))="","",INDEX('C_jama.2025.19563'!$I$2:$I$8,MATCH("2025::jama.2025.19563::C005",'C_jama.2025.19563'!$A$2:$A$8,0))),"not_applicable")</x:f>
        <x:v>not_applicable</x:v>
      </x:c>
      <x:c r="W83" s="3" t="str">
        <x:f>IF(AND(INDEX('C_jama.2025.19563'!$D$2:$D$8,MATCH("2025::jama.2025.19563::C005",'C_jama.2025.19563'!$A$2:$A$8,0))="retain",INDEX('C_jama.2025.19563'!$E$2:$E$8,MATCH("2025::jama.2025.19563::C005",'C_jama.2025.19563'!$A$2:$A$8,0))="statistical_results"),IF(INDEX('C_jama.2025.19563'!$J$2:$J$8,MATCH("2025::jama.2025.19563::C005",'C_jama.2025.19563'!$A$2:$A$8,0))="","",INDEX('C_jama.2025.19563'!$J$2:$J$8,MATCH("2025::jama.2025.19563::C005",'C_jama.2025.19563'!$A$2:$A$8,0))),"not_applicable")</x:f>
        <x:v>not_applicable</x:v>
      </x:c>
      <x:c r="X83" s="3" t="str">
        <x:f>IF(AND(INDEX('C_jama.2025.19563'!$D$2:$D$8,MATCH("2025::jama.2025.19563::C005",'C_jama.2025.19563'!$A$2:$A$8,0))="retain",OR(INDEX('C_jama.2025.19563'!$E$2:$E$8,MATCH("2025::jama.2025.19563::C005",'C_jama.2025.19563'!$A$2:$A$8,0))="report_internal_inconsistency",INDEX('C_jama.2025.19563'!$E$2:$E$8,MATCH("2025::jama.2025.19563::C005",'C_jama.2025.19563'!$A$2:$A$8,0))="plan_material")),IF(INDEX('C_jama.2025.19563'!$K$2:$K$8,MATCH("2025::jama.2025.19563::C005",'C_jama.2025.19563'!$A$2:$A$8,0))="","",INDEX('C_jama.2025.19563'!$K$2:$K$8,MATCH("2025::jama.2025.19563::C005",'C_jama.2025.19563'!$A$2:$A$8,0))),"not_applicable")</x:f>
        <x:v>not_applicable</x:v>
      </x:c>
      <x:c r="Y83" s="3" t="str">
        <x:f>IF(AND(INDEX('C_jama.2025.19563'!$D$2:$D$8,MATCH("2025::jama.2025.19563::C005",'C_jama.2025.19563'!$A$2:$A$8,0))="retain",INDEX('C_jama.2025.19563'!$E$2:$E$8,MATCH("2025::jama.2025.19563::C005",'C_jama.2025.19563'!$A$2:$A$8,0))="protocol_report"),IF(INDEX('C_jama.2025.19563'!$L$2:$L$8,MATCH("2025::jama.2025.19563::C005",'C_jama.2025.19563'!$A$2:$A$8,0))="","",INDEX('C_jama.2025.19563'!$L$2:$L$8,MATCH("2025::jama.2025.19563::C005",'C_jama.2025.19563'!$A$2:$A$8,0))),"not_applicable")</x:f>
        <x:v>not_applicable</x:v>
      </x:c>
      <x:c r="Z83" s="3" t="str">
        <x:f>IF(INDEX('C_jama.2025.19563'!$R$2:$R$8,MATCH("2025::jama.2025.19563::C005",'C_jama.2025.19563'!$A$2:$A$8,0))="","",INDEX('C_jama.2025.19563'!$R$2:$R$8,MATCH("2025::jama.2025.19563::C005",'C_jama.2025.19563'!$A$2:$A$8,0)))</x:f>
      </x:c>
      <x:c r="AA83" s="3" t="str">
        <x:f>IF(INDEX('C_jama.2025.19563'!$N$2:$N$8,MATCH("2025::jama.2025.19563::C005",'C_jama.2025.19563'!$A$2:$A$8,0))="","",INDEX('C_jama.2025.19563'!$N$2:$N$8,MATCH("2025::jama.2025.19563::C005",'C_jama.2025.19563'!$A$2:$A$8,0)))</x:f>
      </x:c>
      <x:c r="AB83" s="3" t="str">
        <x:f>IF(INDEX('C_jama.2025.19563'!$O$2:$O$8,MATCH("2025::jama.2025.19563::C005",'C_jama.2025.19563'!$A$2:$A$8,0))="","",INDEX('C_jama.2025.19563'!$O$2:$O$8,MATCH("2025::jama.2025.19563::C005",'C_jama.2025.19563'!$A$2:$A$8,0)))</x:f>
      </x:c>
      <x:c r="AC83" s="3" t="str">
        <x:f>IF(INDEX('C_jama.2025.19563'!$P$2:$P$8,MATCH("2025::jama.2025.19563::C005",'C_jama.2025.19563'!$A$2:$A$8,0))="","",INDEX('C_jama.2025.19563'!$P$2:$P$8,MATCH("2025::jama.2025.19563::C005",'C_jama.2025.19563'!$A$2:$A$8,0)))</x:f>
      </x:c>
      <x:c r="AD83" s="3" t="str">
        <x:f>IF(INDEX('C_jama.2025.19563'!$Q$2:$Q$8,MATCH("2025::jama.2025.19563::C005",'C_jama.2025.19563'!$A$2:$A$8,0))="","",INDEX('C_jama.2025.19563'!$Q$2:$Q$8,MATCH("2025::jama.2025.19563::C005",'C_jama.2025.19563'!$A$2:$A$8,0)))</x:f>
      </x:c>
    </x:row>
    <x:row r="84" ht="65" customHeight="1">
      <x:c r="A84" s="6" t="n">
        <x:v>2025</x:v>
      </x:c>
      <x:c r="B84" s="6" t="str">
        <x:v>jama.2025.19563</x:v>
      </x:c>
      <x:c r="C84" s="6" t="str">
        <x:v>2025::jama.2025.19563::C006</x:v>
      </x:c>
      <x:c r="D84" s="6" t="str">
        <x:v>S_W</x:v>
      </x:c>
      <x:c r="E84" s="6" t="n">
        <x:f>Setup!$B$2</x:f>
        <x:v>0</x:v>
      </x:c>
      <x:c r="F84" s="6" t="str">
        <x:f>IF(Setup!$B$4="","",Setup!$B$4)</x:f>
      </x:c>
      <x:c r="G84" s="6" t="str">
        <x:f>IFERROR(INDEX('C_jama.2025.19563'!$G$2:$G$8,MATCH("2025::jama.2025.19563::C006",'C_jama.2025.19563'!$A$2:$A$8,0)),"CHECK KEY")</x:f>
        <x:v>CHECK REVIEWER IDs</x:v>
      </x:c>
      <x:c r="H84" s="6" t="str">
        <x:f>IF(G84&lt;&gt;"FINAL READY","",IF(S84&lt;&gt;"retain","not_eligible",IF(D84="P_R","protocol_descriptive",IF(D84="P_P","plan_descriptive",IF(AND(T84="statistical_results",OR(U84="confirmed_issue",U84="probable_issue"),V84="substantive"),"primary_temporal",IF(AND(T84="report_internal_inconsistency",X84="substantive_inconsistency"),"secondary_temporal","not_eligible"))))))</x:f>
      </x:c>
      <x:c r="I84" s="6" t="str">
        <x:v>retain</x:v>
      </x:c>
      <x:c r="J84" s="6" t="str">
        <x:v>statistical_results</x:v>
      </x:c>
      <x:c r="K84" s="6" t="str">
        <x:f>IF(Setup!$B$6="primary","",IFERROR(IF(INDEX('Primary_snapshot'!$B$2:$B$132,MATCH(C84,'Primary_snapshot'!$A$2:$A$132,0))="","",INDEX('Primary_snapshot'!$B$2:$B$132,MATCH(C84,'Primary_snapshot'!$A$2:$A$132,0))),"SNAPSHOT MISSING"))</x:f>
      </x:c>
      <x:c r="L84" s="6" t="str">
        <x:f>IF(Setup!$B$6="primary","",IFERROR(IF(INDEX('Primary_snapshot'!$C$2:$C$132,MATCH(C84,'Primary_snapshot'!$A$2:$A$132,0))="","",INDEX('Primary_snapshot'!$C$2:$C$132,MATCH(C84,'Primary_snapshot'!$A$2:$A$132,0))),"SNAPSHOT MISSING"))</x:f>
      </x:c>
      <x:c r="M84" s="6" t="str">
        <x:f>IF(Setup!$B$6="primary","",IFERROR(IF(INDEX('Primary_snapshot'!$D$2:$D$132,MATCH(C84,'Primary_snapshot'!$A$2:$A$132,0))="","",INDEX('Primary_snapshot'!$D$2:$D$132,MATCH(C84,'Primary_snapshot'!$A$2:$A$132,0))),"SNAPSHOT MISSING"))</x:f>
      </x:c>
      <x:c r="N84" s="6" t="str">
        <x:f>IF(Setup!$B$6="primary","",IFERROR(IF(INDEX('Primary_snapshot'!$E$2:$E$132,MATCH(C84,'Primary_snapshot'!$A$2:$A$132,0))="","",INDEX('Primary_snapshot'!$E$2:$E$132,MATCH(C84,'Primary_snapshot'!$A$2:$A$132,0))),"SNAPSHOT MISSING"))</x:f>
      </x:c>
      <x:c r="O84" s="6" t="str">
        <x:f>IF(Setup!$B$6="primary","",IFERROR(IF(INDEX('Primary_snapshot'!$F$2:$F$132,MATCH(C84,'Primary_snapshot'!$A$2:$A$132,0))="","",INDEX('Primary_snapshot'!$F$2:$F$132,MATCH(C84,'Primary_snapshot'!$A$2:$A$132,0))),"SNAPSHOT MISSING"))</x:f>
      </x:c>
      <x:c r="P84" s="6" t="str">
        <x:f>IF(Setup!$B$6="primary","",IFERROR(IF(INDEX('Primary_snapshot'!$G$2:$G$132,MATCH(C84,'Primary_snapshot'!$A$2:$A$132,0))="","",INDEX('Primary_snapshot'!$G$2:$G$132,MATCH(C84,'Primary_snapshot'!$A$2:$A$132,0))),"SNAPSHOT MISSING"))</x:f>
      </x:c>
      <x:c r="Q84" s="6" t="str">
        <x:f>IF(Setup!$B$6="primary","",IFERROR(IF(INDEX('Primary_snapshot'!$H$2:$H$132,MATCH(C84,'Primary_snapshot'!$A$2:$A$132,0))="","",INDEX('Primary_snapshot'!$H$2:$H$132,MATCH(C84,'Primary_snapshot'!$A$2:$A$132,0))),"SNAPSHOT MISSING"))</x:f>
      </x:c>
      <x:c r="R84" s="6" t="str">
        <x:f>IF(Setup!$B$6="primary","",IFERROR(IF(INDEX('Primary_snapshot'!$I$2:$I$132,MATCH(C84,'Primary_snapshot'!$A$2:$A$132,0))="","",INDEX('Primary_snapshot'!$I$2:$I$132,MATCH(C84,'Primary_snapshot'!$A$2:$A$132,0))),"SNAPSHOT MISSING"))</x:f>
      </x:c>
      <x:c r="S84" s="6" t="str">
        <x:f>IF(INDEX('C_jama.2025.19563'!$D$2:$D$8,MATCH("2025::jama.2025.19563::C006",'C_jama.2025.19563'!$A$2:$A$8,0))="","",INDEX('C_jama.2025.19563'!$D$2:$D$8,MATCH("2025::jama.2025.19563::C006",'C_jama.2025.19563'!$A$2:$A$8,0)))</x:f>
      </x:c>
      <x:c r="T84" s="6" t="str">
        <x:f>IF(INDEX('C_jama.2025.19563'!$E$2:$E$8,MATCH("2025::jama.2025.19563::C006",'C_jama.2025.19563'!$A$2:$A$8,0))="","",INDEX('C_jama.2025.19563'!$E$2:$E$8,MATCH("2025::jama.2025.19563::C006",'C_jama.2025.19563'!$A$2:$A$8,0)))</x:f>
        <x:v>statistical_results</x:v>
      </x:c>
      <x:c r="U84" s="6" t="str">
        <x:f>IF(AND(INDEX('C_jama.2025.19563'!$D$2:$D$8,MATCH("2025::jama.2025.19563::C006",'C_jama.2025.19563'!$A$2:$A$8,0))="retain",INDEX('C_jama.2025.19563'!$E$2:$E$8,MATCH("2025::jama.2025.19563::C006",'C_jama.2025.19563'!$A$2:$A$8,0))="statistical_results"),IF(INDEX('C_jama.2025.19563'!$H$2:$H$8,MATCH("2025::jama.2025.19563::C006",'C_jama.2025.19563'!$A$2:$A$8,0))="","",INDEX('C_jama.2025.19563'!$H$2:$H$8,MATCH("2025::jama.2025.19563::C006",'C_jama.2025.19563'!$A$2:$A$8,0))),"not_applicable")</x:f>
        <x:v>not_applicable</x:v>
      </x:c>
      <x:c r="V84" s="6" t="str">
        <x:f>IF(AND(INDEX('C_jama.2025.19563'!$D$2:$D$8,MATCH("2025::jama.2025.19563::C006",'C_jama.2025.19563'!$A$2:$A$8,0))="retain",INDEX('C_jama.2025.19563'!$E$2:$E$8,MATCH("2025::jama.2025.19563::C006",'C_jama.2025.19563'!$A$2:$A$8,0))="statistical_results"),IF(INDEX('C_jama.2025.19563'!$I$2:$I$8,MATCH("2025::jama.2025.19563::C006",'C_jama.2025.19563'!$A$2:$A$8,0))="","",INDEX('C_jama.2025.19563'!$I$2:$I$8,MATCH("2025::jama.2025.19563::C006",'C_jama.2025.19563'!$A$2:$A$8,0))),"not_applicable")</x:f>
        <x:v>not_applicable</x:v>
      </x:c>
      <x:c r="W84" s="6" t="str">
        <x:f>IF(AND(INDEX('C_jama.2025.19563'!$D$2:$D$8,MATCH("2025::jama.2025.19563::C006",'C_jama.2025.19563'!$A$2:$A$8,0))="retain",INDEX('C_jama.2025.19563'!$E$2:$E$8,MATCH("2025::jama.2025.19563::C006",'C_jama.2025.19563'!$A$2:$A$8,0))="statistical_results"),IF(INDEX('C_jama.2025.19563'!$J$2:$J$8,MATCH("2025::jama.2025.19563::C006",'C_jama.2025.19563'!$A$2:$A$8,0))="","",INDEX('C_jama.2025.19563'!$J$2:$J$8,MATCH("2025::jama.2025.19563::C006",'C_jama.2025.19563'!$A$2:$A$8,0))),"not_applicable")</x:f>
        <x:v>not_applicable</x:v>
      </x:c>
      <x:c r="X84" s="6" t="str">
        <x:f>IF(AND(INDEX('C_jama.2025.19563'!$D$2:$D$8,MATCH("2025::jama.2025.19563::C006",'C_jama.2025.19563'!$A$2:$A$8,0))="retain",OR(INDEX('C_jama.2025.19563'!$E$2:$E$8,MATCH("2025::jama.2025.19563::C006",'C_jama.2025.19563'!$A$2:$A$8,0))="report_internal_inconsistency",INDEX('C_jama.2025.19563'!$E$2:$E$8,MATCH("2025::jama.2025.19563::C006",'C_jama.2025.19563'!$A$2:$A$8,0))="plan_material")),IF(INDEX('C_jama.2025.19563'!$K$2:$K$8,MATCH("2025::jama.2025.19563::C006",'C_jama.2025.19563'!$A$2:$A$8,0))="","",INDEX('C_jama.2025.19563'!$K$2:$K$8,MATCH("2025::jama.2025.19563::C006",'C_jama.2025.19563'!$A$2:$A$8,0))),"not_applicable")</x:f>
        <x:v>not_applicable</x:v>
      </x:c>
      <x:c r="Y84" s="6" t="str">
        <x:f>IF(AND(INDEX('C_jama.2025.19563'!$D$2:$D$8,MATCH("2025::jama.2025.19563::C006",'C_jama.2025.19563'!$A$2:$A$8,0))="retain",INDEX('C_jama.2025.19563'!$E$2:$E$8,MATCH("2025::jama.2025.19563::C006",'C_jama.2025.19563'!$A$2:$A$8,0))="protocol_report"),IF(INDEX('C_jama.2025.19563'!$L$2:$L$8,MATCH("2025::jama.2025.19563::C006",'C_jama.2025.19563'!$A$2:$A$8,0))="","",INDEX('C_jama.2025.19563'!$L$2:$L$8,MATCH("2025::jama.2025.19563::C006",'C_jama.2025.19563'!$A$2:$A$8,0))),"not_applicable")</x:f>
        <x:v>not_applicable</x:v>
      </x:c>
      <x:c r="Z84" s="6" t="str">
        <x:f>IF(INDEX('C_jama.2025.19563'!$R$2:$R$8,MATCH("2025::jama.2025.19563::C006",'C_jama.2025.19563'!$A$2:$A$8,0))="","",INDEX('C_jama.2025.19563'!$R$2:$R$8,MATCH("2025::jama.2025.19563::C006",'C_jama.2025.19563'!$A$2:$A$8,0)))</x:f>
      </x:c>
      <x:c r="AA84" s="6" t="str">
        <x:f>IF(INDEX('C_jama.2025.19563'!$N$2:$N$8,MATCH("2025::jama.2025.19563::C006",'C_jama.2025.19563'!$A$2:$A$8,0))="","",INDEX('C_jama.2025.19563'!$N$2:$N$8,MATCH("2025::jama.2025.19563::C006",'C_jama.2025.19563'!$A$2:$A$8,0)))</x:f>
      </x:c>
      <x:c r="AB84" s="6" t="str">
        <x:f>IF(INDEX('C_jama.2025.19563'!$O$2:$O$8,MATCH("2025::jama.2025.19563::C006",'C_jama.2025.19563'!$A$2:$A$8,0))="","",INDEX('C_jama.2025.19563'!$O$2:$O$8,MATCH("2025::jama.2025.19563::C006",'C_jama.2025.19563'!$A$2:$A$8,0)))</x:f>
      </x:c>
      <x:c r="AC84" s="6" t="str">
        <x:f>IF(INDEX('C_jama.2025.19563'!$P$2:$P$8,MATCH("2025::jama.2025.19563::C006",'C_jama.2025.19563'!$A$2:$A$8,0))="","",INDEX('C_jama.2025.19563'!$P$2:$P$8,MATCH("2025::jama.2025.19563::C006",'C_jama.2025.19563'!$A$2:$A$8,0)))</x:f>
      </x:c>
      <x:c r="AD84" s="6" t="str">
        <x:f>IF(INDEX('C_jama.2025.19563'!$Q$2:$Q$8,MATCH("2025::jama.2025.19563::C006",'C_jama.2025.19563'!$A$2:$A$8,0))="","",INDEX('C_jama.2025.19563'!$Q$2:$Q$8,MATCH("2025::jama.2025.19563::C006",'C_jama.2025.19563'!$A$2:$A$8,0)))</x:f>
      </x:c>
    </x:row>
    <x:row r="85" ht="65" customHeight="1">
      <x:c r="A85" s="3" t="n">
        <x:v>2025</x:v>
      </x:c>
      <x:c r="B85" s="3" t="str">
        <x:v>jama.2025.19563</x:v>
      </x:c>
      <x:c r="C85" s="3" t="str">
        <x:v>2025::jama.2025.19563::C007</x:v>
      </x:c>
      <x:c r="D85" s="3" t="str">
        <x:v>S_W</x:v>
      </x:c>
      <x:c r="E85" s="3" t="n">
        <x:f>Setup!$B$2</x:f>
        <x:v>0</x:v>
      </x:c>
      <x:c r="F85" s="3" t="str">
        <x:f>IF(Setup!$B$4="","",Setup!$B$4)</x:f>
      </x:c>
      <x:c r="G85" s="3" t="str">
        <x:f>IFERROR(INDEX('C_jama.2025.19563'!$G$2:$G$8,MATCH("2025::jama.2025.19563::C007",'C_jama.2025.19563'!$A$2:$A$8,0)),"CHECK KEY")</x:f>
        <x:v>CHECK REVIEWER IDs</x:v>
      </x:c>
      <x:c r="H85" s="3" t="str">
        <x:f>IF(G85&lt;&gt;"FINAL READY","",IF(S85&lt;&gt;"retain","not_eligible",IF(D85="P_R","protocol_descriptive",IF(D85="P_P","plan_descriptive",IF(AND(T85="statistical_results",OR(U85="confirmed_issue",U85="probable_issue"),V85="substantive"),"primary_temporal",IF(AND(T85="report_internal_inconsistency",X85="substantive_inconsistency"),"secondary_temporal","not_eligible"))))))</x:f>
      </x:c>
      <x:c r="I85" s="3" t="str">
        <x:v>retain</x:v>
      </x:c>
      <x:c r="J85" s="3" t="str">
        <x:v>statistical_results</x:v>
      </x:c>
      <x:c r="K85" s="3" t="str">
        <x:f>IF(Setup!$B$6="primary","",IFERROR(IF(INDEX('Primary_snapshot'!$B$2:$B$132,MATCH(C85,'Primary_snapshot'!$A$2:$A$132,0))="","",INDEX('Primary_snapshot'!$B$2:$B$132,MATCH(C85,'Primary_snapshot'!$A$2:$A$132,0))),"SNAPSHOT MISSING"))</x:f>
      </x:c>
      <x:c r="L85" s="3" t="str">
        <x:f>IF(Setup!$B$6="primary","",IFERROR(IF(INDEX('Primary_snapshot'!$C$2:$C$132,MATCH(C85,'Primary_snapshot'!$A$2:$A$132,0))="","",INDEX('Primary_snapshot'!$C$2:$C$132,MATCH(C85,'Primary_snapshot'!$A$2:$A$132,0))),"SNAPSHOT MISSING"))</x:f>
      </x:c>
      <x:c r="M85" s="3" t="str">
        <x:f>IF(Setup!$B$6="primary","",IFERROR(IF(INDEX('Primary_snapshot'!$D$2:$D$132,MATCH(C85,'Primary_snapshot'!$A$2:$A$132,0))="","",INDEX('Primary_snapshot'!$D$2:$D$132,MATCH(C85,'Primary_snapshot'!$A$2:$A$132,0))),"SNAPSHOT MISSING"))</x:f>
      </x:c>
      <x:c r="N85" s="3" t="str">
        <x:f>IF(Setup!$B$6="primary","",IFERROR(IF(INDEX('Primary_snapshot'!$E$2:$E$132,MATCH(C85,'Primary_snapshot'!$A$2:$A$132,0))="","",INDEX('Primary_snapshot'!$E$2:$E$132,MATCH(C85,'Primary_snapshot'!$A$2:$A$132,0))),"SNAPSHOT MISSING"))</x:f>
      </x:c>
      <x:c r="O85" s="3" t="str">
        <x:f>IF(Setup!$B$6="primary","",IFERROR(IF(INDEX('Primary_snapshot'!$F$2:$F$132,MATCH(C85,'Primary_snapshot'!$A$2:$A$132,0))="","",INDEX('Primary_snapshot'!$F$2:$F$132,MATCH(C85,'Primary_snapshot'!$A$2:$A$132,0))),"SNAPSHOT MISSING"))</x:f>
      </x:c>
      <x:c r="P85" s="3" t="str">
        <x:f>IF(Setup!$B$6="primary","",IFERROR(IF(INDEX('Primary_snapshot'!$G$2:$G$132,MATCH(C85,'Primary_snapshot'!$A$2:$A$132,0))="","",INDEX('Primary_snapshot'!$G$2:$G$132,MATCH(C85,'Primary_snapshot'!$A$2:$A$132,0))),"SNAPSHOT MISSING"))</x:f>
      </x:c>
      <x:c r="Q85" s="3" t="str">
        <x:f>IF(Setup!$B$6="primary","",IFERROR(IF(INDEX('Primary_snapshot'!$H$2:$H$132,MATCH(C85,'Primary_snapshot'!$A$2:$A$132,0))="","",INDEX('Primary_snapshot'!$H$2:$H$132,MATCH(C85,'Primary_snapshot'!$A$2:$A$132,0))),"SNAPSHOT MISSING"))</x:f>
      </x:c>
      <x:c r="R85" s="3" t="str">
        <x:f>IF(Setup!$B$6="primary","",IFERROR(IF(INDEX('Primary_snapshot'!$I$2:$I$132,MATCH(C85,'Primary_snapshot'!$A$2:$A$132,0))="","",INDEX('Primary_snapshot'!$I$2:$I$132,MATCH(C85,'Primary_snapshot'!$A$2:$A$132,0))),"SNAPSHOT MISSING"))</x:f>
      </x:c>
      <x:c r="S85" s="3" t="str">
        <x:f>IF(INDEX('C_jama.2025.19563'!$D$2:$D$8,MATCH("2025::jama.2025.19563::C007",'C_jama.2025.19563'!$A$2:$A$8,0))="","",INDEX('C_jama.2025.19563'!$D$2:$D$8,MATCH("2025::jama.2025.19563::C007",'C_jama.2025.19563'!$A$2:$A$8,0)))</x:f>
      </x:c>
      <x:c r="T85" s="3" t="str">
        <x:f>IF(INDEX('C_jama.2025.19563'!$E$2:$E$8,MATCH("2025::jama.2025.19563::C007",'C_jama.2025.19563'!$A$2:$A$8,0))="","",INDEX('C_jama.2025.19563'!$E$2:$E$8,MATCH("2025::jama.2025.19563::C007",'C_jama.2025.19563'!$A$2:$A$8,0)))</x:f>
        <x:v>statistical_results</x:v>
      </x:c>
      <x:c r="U85" s="3" t="str">
        <x:f>IF(AND(INDEX('C_jama.2025.19563'!$D$2:$D$8,MATCH("2025::jama.2025.19563::C007",'C_jama.2025.19563'!$A$2:$A$8,0))="retain",INDEX('C_jama.2025.19563'!$E$2:$E$8,MATCH("2025::jama.2025.19563::C007",'C_jama.2025.19563'!$A$2:$A$8,0))="statistical_results"),IF(INDEX('C_jama.2025.19563'!$H$2:$H$8,MATCH("2025::jama.2025.19563::C007",'C_jama.2025.19563'!$A$2:$A$8,0))="","",INDEX('C_jama.2025.19563'!$H$2:$H$8,MATCH("2025::jama.2025.19563::C007",'C_jama.2025.19563'!$A$2:$A$8,0))),"not_applicable")</x:f>
        <x:v>not_applicable</x:v>
      </x:c>
      <x:c r="V85" s="3" t="str">
        <x:f>IF(AND(INDEX('C_jama.2025.19563'!$D$2:$D$8,MATCH("2025::jama.2025.19563::C007",'C_jama.2025.19563'!$A$2:$A$8,0))="retain",INDEX('C_jama.2025.19563'!$E$2:$E$8,MATCH("2025::jama.2025.19563::C007",'C_jama.2025.19563'!$A$2:$A$8,0))="statistical_results"),IF(INDEX('C_jama.2025.19563'!$I$2:$I$8,MATCH("2025::jama.2025.19563::C007",'C_jama.2025.19563'!$A$2:$A$8,0))="","",INDEX('C_jama.2025.19563'!$I$2:$I$8,MATCH("2025::jama.2025.19563::C007",'C_jama.2025.19563'!$A$2:$A$8,0))),"not_applicable")</x:f>
        <x:v>not_applicable</x:v>
      </x:c>
      <x:c r="W85" s="3" t="str">
        <x:f>IF(AND(INDEX('C_jama.2025.19563'!$D$2:$D$8,MATCH("2025::jama.2025.19563::C007",'C_jama.2025.19563'!$A$2:$A$8,0))="retain",INDEX('C_jama.2025.19563'!$E$2:$E$8,MATCH("2025::jama.2025.19563::C007",'C_jama.2025.19563'!$A$2:$A$8,0))="statistical_results"),IF(INDEX('C_jama.2025.19563'!$J$2:$J$8,MATCH("2025::jama.2025.19563::C007",'C_jama.2025.19563'!$A$2:$A$8,0))="","",INDEX('C_jama.2025.19563'!$J$2:$J$8,MATCH("2025::jama.2025.19563::C007",'C_jama.2025.19563'!$A$2:$A$8,0))),"not_applicable")</x:f>
        <x:v>not_applicable</x:v>
      </x:c>
      <x:c r="X85" s="3" t="str">
        <x:f>IF(AND(INDEX('C_jama.2025.19563'!$D$2:$D$8,MATCH("2025::jama.2025.19563::C007",'C_jama.2025.19563'!$A$2:$A$8,0))="retain",OR(INDEX('C_jama.2025.19563'!$E$2:$E$8,MATCH("2025::jama.2025.19563::C007",'C_jama.2025.19563'!$A$2:$A$8,0))="report_internal_inconsistency",INDEX('C_jama.2025.19563'!$E$2:$E$8,MATCH("2025::jama.2025.19563::C007",'C_jama.2025.19563'!$A$2:$A$8,0))="plan_material")),IF(INDEX('C_jama.2025.19563'!$K$2:$K$8,MATCH("2025::jama.2025.19563::C007",'C_jama.2025.19563'!$A$2:$A$8,0))="","",INDEX('C_jama.2025.19563'!$K$2:$K$8,MATCH("2025::jama.2025.19563::C007",'C_jama.2025.19563'!$A$2:$A$8,0))),"not_applicable")</x:f>
        <x:v>not_applicable</x:v>
      </x:c>
      <x:c r="Y85" s="3" t="str">
        <x:f>IF(AND(INDEX('C_jama.2025.19563'!$D$2:$D$8,MATCH("2025::jama.2025.19563::C007",'C_jama.2025.19563'!$A$2:$A$8,0))="retain",INDEX('C_jama.2025.19563'!$E$2:$E$8,MATCH("2025::jama.2025.19563::C007",'C_jama.2025.19563'!$A$2:$A$8,0))="protocol_report"),IF(INDEX('C_jama.2025.19563'!$L$2:$L$8,MATCH("2025::jama.2025.19563::C007",'C_jama.2025.19563'!$A$2:$A$8,0))="","",INDEX('C_jama.2025.19563'!$L$2:$L$8,MATCH("2025::jama.2025.19563::C007",'C_jama.2025.19563'!$A$2:$A$8,0))),"not_applicable")</x:f>
        <x:v>not_applicable</x:v>
      </x:c>
      <x:c r="Z85" s="3" t="str">
        <x:f>IF(INDEX('C_jama.2025.19563'!$R$2:$R$8,MATCH("2025::jama.2025.19563::C007",'C_jama.2025.19563'!$A$2:$A$8,0))="","",INDEX('C_jama.2025.19563'!$R$2:$R$8,MATCH("2025::jama.2025.19563::C007",'C_jama.2025.19563'!$A$2:$A$8,0)))</x:f>
      </x:c>
      <x:c r="AA85" s="3" t="str">
        <x:f>IF(INDEX('C_jama.2025.19563'!$N$2:$N$8,MATCH("2025::jama.2025.19563::C007",'C_jama.2025.19563'!$A$2:$A$8,0))="","",INDEX('C_jama.2025.19563'!$N$2:$N$8,MATCH("2025::jama.2025.19563::C007",'C_jama.2025.19563'!$A$2:$A$8,0)))</x:f>
      </x:c>
      <x:c r="AB85" s="3" t="str">
        <x:f>IF(INDEX('C_jama.2025.19563'!$O$2:$O$8,MATCH("2025::jama.2025.19563::C007",'C_jama.2025.19563'!$A$2:$A$8,0))="","",INDEX('C_jama.2025.19563'!$O$2:$O$8,MATCH("2025::jama.2025.19563::C007",'C_jama.2025.19563'!$A$2:$A$8,0)))</x:f>
      </x:c>
      <x:c r="AC85" s="3" t="str">
        <x:f>IF(INDEX('C_jama.2025.19563'!$P$2:$P$8,MATCH("2025::jama.2025.19563::C007",'C_jama.2025.19563'!$A$2:$A$8,0))="","",INDEX('C_jama.2025.19563'!$P$2:$P$8,MATCH("2025::jama.2025.19563::C007",'C_jama.2025.19563'!$A$2:$A$8,0)))</x:f>
      </x:c>
      <x:c r="AD85" s="3" t="str">
        <x:f>IF(INDEX('C_jama.2025.19563'!$Q$2:$Q$8,MATCH("2025::jama.2025.19563::C007",'C_jama.2025.19563'!$A$2:$A$8,0))="","",INDEX('C_jama.2025.19563'!$Q$2:$Q$8,MATCH("2025::jama.2025.19563::C007",'C_jama.2025.19563'!$A$2:$A$8,0)))</x:f>
      </x:c>
    </x:row>
    <x:row r="86" ht="65" customHeight="1">
      <x:c r="A86" s="6" t="n">
        <x:v>2025</x:v>
      </x:c>
      <x:c r="B86" s="6" t="str">
        <x:v>jama.2025.19843</x:v>
      </x:c>
      <x:c r="C86" s="6" t="str">
        <x:v>2025::jama.2025.19843::C001</x:v>
      </x:c>
      <x:c r="D86" s="6" t="str">
        <x:v>S_C</x:v>
      </x:c>
      <x:c r="E86" s="6" t="n">
        <x:f>Setup!$B$2</x:f>
        <x:v>0</x:v>
      </x:c>
      <x:c r="F86" s="6" t="str">
        <x:f>IF(Setup!$B$4="","",Setup!$B$4)</x:f>
      </x:c>
      <x:c r="G86" s="6" t="str">
        <x:f>IFERROR(IF("2025::jama.2025.19843::C001"='C_jama.2025.19843'!$A$2,'C_jama.2025.19843'!$G$2,NA()),"CHECK KEY")</x:f>
        <x:v>CHECK REVIEWER IDs</x:v>
      </x:c>
      <x:c r="H86" s="6" t="str">
        <x:f>IF(G86&lt;&gt;"FINAL READY","",IF(S86&lt;&gt;"retain","not_eligible",IF(D86="P_R","protocol_descriptive",IF(D86="P_P","plan_descriptive",IF(AND(T86="statistical_results",OR(U86="confirmed_issue",U86="probable_issue"),V86="substantive"),"primary_temporal",IF(AND(T86="report_internal_inconsistency",X86="substantive_inconsistency"),"secondary_temporal","not_eligible"))))))</x:f>
      </x:c>
      <x:c r="I86" s="6" t="str">
        <x:v>retain</x:v>
      </x:c>
      <x:c r="J86" s="6" t="str">
        <x:v>report_internal_inconsistency</x:v>
      </x:c>
      <x:c r="K86" s="6" t="str">
        <x:f>IF(Setup!$B$6="primary","",IFERROR(IF(INDEX('Primary_snapshot'!$B$2:$B$132,MATCH(C86,'Primary_snapshot'!$A$2:$A$132,0))="","",INDEX('Primary_snapshot'!$B$2:$B$132,MATCH(C86,'Primary_snapshot'!$A$2:$A$132,0))),"SNAPSHOT MISSING"))</x:f>
      </x:c>
      <x:c r="L86" s="6" t="str">
        <x:f>IF(Setup!$B$6="primary","",IFERROR(IF(INDEX('Primary_snapshot'!$C$2:$C$132,MATCH(C86,'Primary_snapshot'!$A$2:$A$132,0))="","",INDEX('Primary_snapshot'!$C$2:$C$132,MATCH(C86,'Primary_snapshot'!$A$2:$A$132,0))),"SNAPSHOT MISSING"))</x:f>
      </x:c>
      <x:c r="M86" s="6" t="str">
        <x:f>IF(Setup!$B$6="primary","",IFERROR(IF(INDEX('Primary_snapshot'!$D$2:$D$132,MATCH(C86,'Primary_snapshot'!$A$2:$A$132,0))="","",INDEX('Primary_snapshot'!$D$2:$D$132,MATCH(C86,'Primary_snapshot'!$A$2:$A$132,0))),"SNAPSHOT MISSING"))</x:f>
      </x:c>
      <x:c r="N86" s="6" t="str">
        <x:f>IF(Setup!$B$6="primary","",IFERROR(IF(INDEX('Primary_snapshot'!$E$2:$E$132,MATCH(C86,'Primary_snapshot'!$A$2:$A$132,0))="","",INDEX('Primary_snapshot'!$E$2:$E$132,MATCH(C86,'Primary_snapshot'!$A$2:$A$132,0))),"SNAPSHOT MISSING"))</x:f>
      </x:c>
      <x:c r="O86" s="6" t="str">
        <x:f>IF(Setup!$B$6="primary","",IFERROR(IF(INDEX('Primary_snapshot'!$F$2:$F$132,MATCH(C86,'Primary_snapshot'!$A$2:$A$132,0))="","",INDEX('Primary_snapshot'!$F$2:$F$132,MATCH(C86,'Primary_snapshot'!$A$2:$A$132,0))),"SNAPSHOT MISSING"))</x:f>
      </x:c>
      <x:c r="P86" s="6" t="str">
        <x:f>IF(Setup!$B$6="primary","",IFERROR(IF(INDEX('Primary_snapshot'!$G$2:$G$132,MATCH(C86,'Primary_snapshot'!$A$2:$A$132,0))="","",INDEX('Primary_snapshot'!$G$2:$G$132,MATCH(C86,'Primary_snapshot'!$A$2:$A$132,0))),"SNAPSHOT MISSING"))</x:f>
      </x:c>
      <x:c r="Q86" s="6" t="str">
        <x:f>IF(Setup!$B$6="primary","",IFERROR(IF(INDEX('Primary_snapshot'!$H$2:$H$132,MATCH(C86,'Primary_snapshot'!$A$2:$A$132,0))="","",INDEX('Primary_snapshot'!$H$2:$H$132,MATCH(C86,'Primary_snapshot'!$A$2:$A$132,0))),"SNAPSHOT MISSING"))</x:f>
      </x:c>
      <x:c r="R86" s="6" t="str">
        <x:f>IF(Setup!$B$6="primary","",IFERROR(IF(INDEX('Primary_snapshot'!$I$2:$I$132,MATCH(C86,'Primary_snapshot'!$A$2:$A$132,0))="","",INDEX('Primary_snapshot'!$I$2:$I$132,MATCH(C86,'Primary_snapshot'!$A$2:$A$132,0))),"SNAPSHOT MISSING"))</x:f>
      </x:c>
      <x:c r="S86" s="6" t="str">
        <x:f>IF(IF("2025::jama.2025.19843::C001"='C_jama.2025.19843'!$A$2,'C_jama.2025.19843'!$D$2,NA())="","",IF("2025::jama.2025.19843::C001"='C_jama.2025.19843'!$A$2,'C_jama.2025.19843'!$D$2,NA()))</x:f>
      </x:c>
      <x:c r="T86" s="6" t="str">
        <x:f>IF(IF("2025::jama.2025.19843::C001"='C_jama.2025.19843'!$A$2,'C_jama.2025.19843'!$E$2,NA())="","",IF("2025::jama.2025.19843::C001"='C_jama.2025.19843'!$A$2,'C_jama.2025.19843'!$E$2,NA()))</x:f>
        <x:v>report_internal_inconsistency</x:v>
      </x:c>
      <x:c r="U86" s="6" t="str">
        <x:f>IF(AND(IF("2025::jama.2025.19843::C001"='C_jama.2025.19843'!$A$2,'C_jama.2025.19843'!$D$2,NA())="retain",IF("2025::jama.2025.19843::C001"='C_jama.2025.19843'!$A$2,'C_jama.2025.19843'!$E$2,NA())="statistical_results"),IF(IF("2025::jama.2025.19843::C001"='C_jama.2025.19843'!$A$2,'C_jama.2025.19843'!$H$2,NA())="","",IF("2025::jama.2025.19843::C001"='C_jama.2025.19843'!$A$2,'C_jama.2025.19843'!$H$2,NA())),"not_applicable")</x:f>
        <x:v>not_applicable</x:v>
      </x:c>
      <x:c r="V86" s="6" t="str">
        <x:f>IF(AND(IF("2025::jama.2025.19843::C001"='C_jama.2025.19843'!$A$2,'C_jama.2025.19843'!$D$2,NA())="retain",IF("2025::jama.2025.19843::C001"='C_jama.2025.19843'!$A$2,'C_jama.2025.19843'!$E$2,NA())="statistical_results"),IF(IF("2025::jama.2025.19843::C001"='C_jama.2025.19843'!$A$2,'C_jama.2025.19843'!$I$2,NA())="","",IF("2025::jama.2025.19843::C001"='C_jama.2025.19843'!$A$2,'C_jama.2025.19843'!$I$2,NA())),"not_applicable")</x:f>
        <x:v>not_applicable</x:v>
      </x:c>
      <x:c r="W86" s="6" t="str">
        <x:f>IF(AND(IF("2025::jama.2025.19843::C001"='C_jama.2025.19843'!$A$2,'C_jama.2025.19843'!$D$2,NA())="retain",IF("2025::jama.2025.19843::C001"='C_jama.2025.19843'!$A$2,'C_jama.2025.19843'!$E$2,NA())="statistical_results"),IF(IF("2025::jama.2025.19843::C001"='C_jama.2025.19843'!$A$2,'C_jama.2025.19843'!$J$2,NA())="","",IF("2025::jama.2025.19843::C001"='C_jama.2025.19843'!$A$2,'C_jama.2025.19843'!$J$2,NA())),"not_applicable")</x:f>
        <x:v>not_applicable</x:v>
      </x:c>
      <x:c r="X86" s="6" t="str">
        <x:f>IF(AND(IF("2025::jama.2025.19843::C001"='C_jama.2025.19843'!$A$2,'C_jama.2025.19843'!$D$2,NA())="retain",OR(IF("2025::jama.2025.19843::C001"='C_jama.2025.19843'!$A$2,'C_jama.2025.19843'!$E$2,NA())="report_internal_inconsistency",IF("2025::jama.2025.19843::C001"='C_jama.2025.19843'!$A$2,'C_jama.2025.19843'!$E$2,NA())="plan_material")),IF(IF("2025::jama.2025.19843::C001"='C_jama.2025.19843'!$A$2,'C_jama.2025.19843'!$K$2,NA())="","",IF("2025::jama.2025.19843::C001"='C_jama.2025.19843'!$A$2,'C_jama.2025.19843'!$K$2,NA())),"not_applicable")</x:f>
        <x:v>not_applicable</x:v>
      </x:c>
      <x:c r="Y86" s="6" t="str">
        <x:f>IF(AND(IF("2025::jama.2025.19843::C001"='C_jama.2025.19843'!$A$2,'C_jama.2025.19843'!$D$2,NA())="retain",IF("2025::jama.2025.19843::C001"='C_jama.2025.19843'!$A$2,'C_jama.2025.19843'!$E$2,NA())="protocol_report"),IF(IF("2025::jama.2025.19843::C001"='C_jama.2025.19843'!$A$2,'C_jama.2025.19843'!$L$2,NA())="","",IF("2025::jama.2025.19843::C001"='C_jama.2025.19843'!$A$2,'C_jama.2025.19843'!$L$2,NA())),"not_applicable")</x:f>
        <x:v>not_applicable</x:v>
      </x:c>
      <x:c r="Z86" s="6" t="str">
        <x:f>IF(IF("2025::jama.2025.19843::C001"='C_jama.2025.19843'!$A$2,'C_jama.2025.19843'!$R$2,NA())="","",IF("2025::jama.2025.19843::C001"='C_jama.2025.19843'!$A$2,'C_jama.2025.19843'!$R$2,NA()))</x:f>
      </x:c>
      <x:c r="AA86" s="6" t="str">
        <x:f>IF(IF("2025::jama.2025.19843::C001"='C_jama.2025.19843'!$A$2,'C_jama.2025.19843'!$N$2,NA())="","",IF("2025::jama.2025.19843::C001"='C_jama.2025.19843'!$A$2,'C_jama.2025.19843'!$N$2,NA()))</x:f>
      </x:c>
      <x:c r="AB86" s="6" t="str">
        <x:f>IF(IF("2025::jama.2025.19843::C001"='C_jama.2025.19843'!$A$2,'C_jama.2025.19843'!$O$2,NA())="","",IF("2025::jama.2025.19843::C001"='C_jama.2025.19843'!$A$2,'C_jama.2025.19843'!$O$2,NA()))</x:f>
      </x:c>
      <x:c r="AC86" s="6" t="str">
        <x:f>IF(IF("2025::jama.2025.19843::C001"='C_jama.2025.19843'!$A$2,'C_jama.2025.19843'!$P$2,NA())="","",IF("2025::jama.2025.19843::C001"='C_jama.2025.19843'!$A$2,'C_jama.2025.19843'!$P$2,NA()))</x:f>
      </x:c>
      <x:c r="AD86" s="6" t="str">
        <x:f>IF(IF("2025::jama.2025.19843::C001"='C_jama.2025.19843'!$A$2,'C_jama.2025.19843'!$Q$2,NA())="","",IF("2025::jama.2025.19843::C001"='C_jama.2025.19843'!$A$2,'C_jama.2025.19843'!$Q$2,NA()))</x:f>
      </x:c>
    </x:row>
    <x:row r="87" ht="65" customHeight="1">
      <x:c r="A87" s="3" t="n">
        <x:v>2025</x:v>
      </x:c>
      <x:c r="B87" s="3" t="str">
        <x:v>jama.2025.20765</x:v>
      </x:c>
      <x:c r="C87" s="3" t="str">
        <x:v>2025::jama.2025.20765::C001</x:v>
      </x:c>
      <x:c r="D87" s="3" t="str">
        <x:v>S_W</x:v>
      </x:c>
      <x:c r="E87" s="3" t="n">
        <x:f>Setup!$B$2</x:f>
        <x:v>0</x:v>
      </x:c>
      <x:c r="F87" s="3" t="str">
        <x:f>IF(Setup!$B$4="","",Setup!$B$4)</x:f>
      </x:c>
      <x:c r="G87" s="3" t="str">
        <x:f>IFERROR(INDEX('C_jama.2025.20765'!$G$2:$G$14,MATCH("2025::jama.2025.20765::C001",'C_jama.2025.20765'!$A$2:$A$14,0)),"CHECK KEY")</x:f>
        <x:v>CHECK REVIEWER IDs</x:v>
      </x:c>
      <x:c r="H87" s="3" t="str">
        <x:f>IF(G87&lt;&gt;"FINAL READY","",IF(S87&lt;&gt;"retain","not_eligible",IF(D87="P_R","protocol_descriptive",IF(D87="P_P","plan_descriptive",IF(AND(T87="statistical_results",OR(U87="confirmed_issue",U87="probable_issue"),V87="substantive"),"primary_temporal",IF(AND(T87="report_internal_inconsistency",X87="substantive_inconsistency"),"secondary_temporal","not_eligible"))))))</x:f>
      </x:c>
      <x:c r="I87" s="3" t="str">
        <x:v>retain</x:v>
      </x:c>
      <x:c r="J87" s="3" t="str">
        <x:v>statistical_results</x:v>
      </x:c>
      <x:c r="K87" s="3" t="str">
        <x:f>IF(Setup!$B$6="primary","",IFERROR(IF(INDEX('Primary_snapshot'!$B$2:$B$132,MATCH(C87,'Primary_snapshot'!$A$2:$A$132,0))="","",INDEX('Primary_snapshot'!$B$2:$B$132,MATCH(C87,'Primary_snapshot'!$A$2:$A$132,0))),"SNAPSHOT MISSING"))</x:f>
      </x:c>
      <x:c r="L87" s="3" t="str">
        <x:f>IF(Setup!$B$6="primary","",IFERROR(IF(INDEX('Primary_snapshot'!$C$2:$C$132,MATCH(C87,'Primary_snapshot'!$A$2:$A$132,0))="","",INDEX('Primary_snapshot'!$C$2:$C$132,MATCH(C87,'Primary_snapshot'!$A$2:$A$132,0))),"SNAPSHOT MISSING"))</x:f>
      </x:c>
      <x:c r="M87" s="3" t="str">
        <x:f>IF(Setup!$B$6="primary","",IFERROR(IF(INDEX('Primary_snapshot'!$D$2:$D$132,MATCH(C87,'Primary_snapshot'!$A$2:$A$132,0))="","",INDEX('Primary_snapshot'!$D$2:$D$132,MATCH(C87,'Primary_snapshot'!$A$2:$A$132,0))),"SNAPSHOT MISSING"))</x:f>
      </x:c>
      <x:c r="N87" s="3" t="str">
        <x:f>IF(Setup!$B$6="primary","",IFERROR(IF(INDEX('Primary_snapshot'!$E$2:$E$132,MATCH(C87,'Primary_snapshot'!$A$2:$A$132,0))="","",INDEX('Primary_snapshot'!$E$2:$E$132,MATCH(C87,'Primary_snapshot'!$A$2:$A$132,0))),"SNAPSHOT MISSING"))</x:f>
      </x:c>
      <x:c r="O87" s="3" t="str">
        <x:f>IF(Setup!$B$6="primary","",IFERROR(IF(INDEX('Primary_snapshot'!$F$2:$F$132,MATCH(C87,'Primary_snapshot'!$A$2:$A$132,0))="","",INDEX('Primary_snapshot'!$F$2:$F$132,MATCH(C87,'Primary_snapshot'!$A$2:$A$132,0))),"SNAPSHOT MISSING"))</x:f>
      </x:c>
      <x:c r="P87" s="3" t="str">
        <x:f>IF(Setup!$B$6="primary","",IFERROR(IF(INDEX('Primary_snapshot'!$G$2:$G$132,MATCH(C87,'Primary_snapshot'!$A$2:$A$132,0))="","",INDEX('Primary_snapshot'!$G$2:$G$132,MATCH(C87,'Primary_snapshot'!$A$2:$A$132,0))),"SNAPSHOT MISSING"))</x:f>
      </x:c>
      <x:c r="Q87" s="3" t="str">
        <x:f>IF(Setup!$B$6="primary","",IFERROR(IF(INDEX('Primary_snapshot'!$H$2:$H$132,MATCH(C87,'Primary_snapshot'!$A$2:$A$132,0))="","",INDEX('Primary_snapshot'!$H$2:$H$132,MATCH(C87,'Primary_snapshot'!$A$2:$A$132,0))),"SNAPSHOT MISSING"))</x:f>
      </x:c>
      <x:c r="R87" s="3" t="str">
        <x:f>IF(Setup!$B$6="primary","",IFERROR(IF(INDEX('Primary_snapshot'!$I$2:$I$132,MATCH(C87,'Primary_snapshot'!$A$2:$A$132,0))="","",INDEX('Primary_snapshot'!$I$2:$I$132,MATCH(C87,'Primary_snapshot'!$A$2:$A$132,0))),"SNAPSHOT MISSING"))</x:f>
      </x:c>
      <x:c r="S87" s="3" t="str">
        <x:f>IF(INDEX('C_jama.2025.20765'!$D$2:$D$14,MATCH("2025::jama.2025.20765::C001",'C_jama.2025.20765'!$A$2:$A$14,0))="","",INDEX('C_jama.2025.20765'!$D$2:$D$14,MATCH("2025::jama.2025.20765::C001",'C_jama.2025.20765'!$A$2:$A$14,0)))</x:f>
      </x:c>
      <x:c r="T87" s="3" t="str">
        <x:f>IF(INDEX('C_jama.2025.20765'!$E$2:$E$14,MATCH("2025::jama.2025.20765::C001",'C_jama.2025.20765'!$A$2:$A$14,0))="","",INDEX('C_jama.2025.20765'!$E$2:$E$14,MATCH("2025::jama.2025.20765::C001",'C_jama.2025.20765'!$A$2:$A$14,0)))</x:f>
        <x:v>statistical_results</x:v>
      </x:c>
      <x:c r="U87" s="3" t="str">
        <x:f>IF(AND(INDEX('C_jama.2025.20765'!$D$2:$D$14,MATCH("2025::jama.2025.20765::C001",'C_jama.2025.20765'!$A$2:$A$14,0))="retain",INDEX('C_jama.2025.20765'!$E$2:$E$14,MATCH("2025::jama.2025.20765::C001",'C_jama.2025.20765'!$A$2:$A$14,0))="statistical_results"),IF(INDEX('C_jama.2025.20765'!$H$2:$H$14,MATCH("2025::jama.2025.20765::C001",'C_jama.2025.20765'!$A$2:$A$14,0))="","",INDEX('C_jama.2025.20765'!$H$2:$H$14,MATCH("2025::jama.2025.20765::C001",'C_jama.2025.20765'!$A$2:$A$14,0))),"not_applicable")</x:f>
        <x:v>not_applicable</x:v>
      </x:c>
      <x:c r="V87" s="3" t="str">
        <x:f>IF(AND(INDEX('C_jama.2025.20765'!$D$2:$D$14,MATCH("2025::jama.2025.20765::C001",'C_jama.2025.20765'!$A$2:$A$14,0))="retain",INDEX('C_jama.2025.20765'!$E$2:$E$14,MATCH("2025::jama.2025.20765::C001",'C_jama.2025.20765'!$A$2:$A$14,0))="statistical_results"),IF(INDEX('C_jama.2025.20765'!$I$2:$I$14,MATCH("2025::jama.2025.20765::C001",'C_jama.2025.20765'!$A$2:$A$14,0))="","",INDEX('C_jama.2025.20765'!$I$2:$I$14,MATCH("2025::jama.2025.20765::C001",'C_jama.2025.20765'!$A$2:$A$14,0))),"not_applicable")</x:f>
        <x:v>not_applicable</x:v>
      </x:c>
      <x:c r="W87" s="3" t="str">
        <x:f>IF(AND(INDEX('C_jama.2025.20765'!$D$2:$D$14,MATCH("2025::jama.2025.20765::C001",'C_jama.2025.20765'!$A$2:$A$14,0))="retain",INDEX('C_jama.2025.20765'!$E$2:$E$14,MATCH("2025::jama.2025.20765::C001",'C_jama.2025.20765'!$A$2:$A$14,0))="statistical_results"),IF(INDEX('C_jama.2025.20765'!$J$2:$J$14,MATCH("2025::jama.2025.20765::C001",'C_jama.2025.20765'!$A$2:$A$14,0))="","",INDEX('C_jama.2025.20765'!$J$2:$J$14,MATCH("2025::jama.2025.20765::C001",'C_jama.2025.20765'!$A$2:$A$14,0))),"not_applicable")</x:f>
        <x:v>not_applicable</x:v>
      </x:c>
      <x:c r="X87" s="3" t="str">
        <x:f>IF(AND(INDEX('C_jama.2025.20765'!$D$2:$D$14,MATCH("2025::jama.2025.20765::C001",'C_jama.2025.20765'!$A$2:$A$14,0))="retain",OR(INDEX('C_jama.2025.20765'!$E$2:$E$14,MATCH("2025::jama.2025.20765::C001",'C_jama.2025.20765'!$A$2:$A$14,0))="report_internal_inconsistency",INDEX('C_jama.2025.20765'!$E$2:$E$14,MATCH("2025::jama.2025.20765::C001",'C_jama.2025.20765'!$A$2:$A$14,0))="plan_material")),IF(INDEX('C_jama.2025.20765'!$K$2:$K$14,MATCH("2025::jama.2025.20765::C001",'C_jama.2025.20765'!$A$2:$A$14,0))="","",INDEX('C_jama.2025.20765'!$K$2:$K$14,MATCH("2025::jama.2025.20765::C001",'C_jama.2025.20765'!$A$2:$A$14,0))),"not_applicable")</x:f>
        <x:v>not_applicable</x:v>
      </x:c>
      <x:c r="Y87" s="3" t="str">
        <x:f>IF(AND(INDEX('C_jama.2025.20765'!$D$2:$D$14,MATCH("2025::jama.2025.20765::C001",'C_jama.2025.20765'!$A$2:$A$14,0))="retain",INDEX('C_jama.2025.20765'!$E$2:$E$14,MATCH("2025::jama.2025.20765::C001",'C_jama.2025.20765'!$A$2:$A$14,0))="protocol_report"),IF(INDEX('C_jama.2025.20765'!$L$2:$L$14,MATCH("2025::jama.2025.20765::C001",'C_jama.2025.20765'!$A$2:$A$14,0))="","",INDEX('C_jama.2025.20765'!$L$2:$L$14,MATCH("2025::jama.2025.20765::C001",'C_jama.2025.20765'!$A$2:$A$14,0))),"not_applicable")</x:f>
        <x:v>not_applicable</x:v>
      </x:c>
      <x:c r="Z87" s="3" t="str">
        <x:f>IF(INDEX('C_jama.2025.20765'!$R$2:$R$14,MATCH("2025::jama.2025.20765::C001",'C_jama.2025.20765'!$A$2:$A$14,0))="","",INDEX('C_jama.2025.20765'!$R$2:$R$14,MATCH("2025::jama.2025.20765::C001",'C_jama.2025.20765'!$A$2:$A$14,0)))</x:f>
      </x:c>
      <x:c r="AA87" s="3" t="str">
        <x:f>IF(INDEX('C_jama.2025.20765'!$N$2:$N$14,MATCH("2025::jama.2025.20765::C001",'C_jama.2025.20765'!$A$2:$A$14,0))="","",INDEX('C_jama.2025.20765'!$N$2:$N$14,MATCH("2025::jama.2025.20765::C001",'C_jama.2025.20765'!$A$2:$A$14,0)))</x:f>
      </x:c>
      <x:c r="AB87" s="3" t="str">
        <x:f>IF(INDEX('C_jama.2025.20765'!$O$2:$O$14,MATCH("2025::jama.2025.20765::C001",'C_jama.2025.20765'!$A$2:$A$14,0))="","",INDEX('C_jama.2025.20765'!$O$2:$O$14,MATCH("2025::jama.2025.20765::C001",'C_jama.2025.20765'!$A$2:$A$14,0)))</x:f>
      </x:c>
      <x:c r="AC87" s="3" t="str">
        <x:f>IF(INDEX('C_jama.2025.20765'!$P$2:$P$14,MATCH("2025::jama.2025.20765::C001",'C_jama.2025.20765'!$A$2:$A$14,0))="","",INDEX('C_jama.2025.20765'!$P$2:$P$14,MATCH("2025::jama.2025.20765::C001",'C_jama.2025.20765'!$A$2:$A$14,0)))</x:f>
      </x:c>
      <x:c r="AD87" s="3" t="str">
        <x:f>IF(INDEX('C_jama.2025.20765'!$Q$2:$Q$14,MATCH("2025::jama.2025.20765::C001",'C_jama.2025.20765'!$A$2:$A$14,0))="","",INDEX('C_jama.2025.20765'!$Q$2:$Q$14,MATCH("2025::jama.2025.20765::C001",'C_jama.2025.20765'!$A$2:$A$14,0)))</x:f>
      </x:c>
    </x:row>
    <x:row r="88" ht="65" customHeight="1">
      <x:c r="A88" s="6" t="n">
        <x:v>2025</x:v>
      </x:c>
      <x:c r="B88" s="6" t="str">
        <x:v>jama.2025.20765</x:v>
      </x:c>
      <x:c r="C88" s="6" t="str">
        <x:v>2025::jama.2025.20765::C002</x:v>
      </x:c>
      <x:c r="D88" s="6" t="str">
        <x:v>S_C</x:v>
      </x:c>
      <x:c r="E88" s="6" t="n">
        <x:f>Setup!$B$2</x:f>
        <x:v>0</x:v>
      </x:c>
      <x:c r="F88" s="6" t="str">
        <x:f>IF(Setup!$B$4="","",Setup!$B$4)</x:f>
      </x:c>
      <x:c r="G88" s="6" t="str">
        <x:f>IFERROR(INDEX('C_jama.2025.20765'!$G$2:$G$14,MATCH("2025::jama.2025.20765::C002",'C_jama.2025.20765'!$A$2:$A$14,0)),"CHECK KEY")</x:f>
        <x:v>CHECK REVIEWER IDs</x:v>
      </x:c>
      <x:c r="H88" s="6" t="str">
        <x:f>IF(G88&lt;&gt;"FINAL READY","",IF(S88&lt;&gt;"retain","not_eligible",IF(D88="P_R","protocol_descriptive",IF(D88="P_P","plan_descriptive",IF(AND(T88="statistical_results",OR(U88="confirmed_issue",U88="probable_issue"),V88="substantive"),"primary_temporal",IF(AND(T88="report_internal_inconsistency",X88="substantive_inconsistency"),"secondary_temporal","not_eligible"))))))</x:f>
      </x:c>
      <x:c r="I88" s="6" t="str">
        <x:v>retain</x:v>
      </x:c>
      <x:c r="J88" s="6" t="str">
        <x:v>report_internal_inconsistency</x:v>
      </x:c>
      <x:c r="K88" s="6" t="str">
        <x:f>IF(Setup!$B$6="primary","",IFERROR(IF(INDEX('Primary_snapshot'!$B$2:$B$132,MATCH(C88,'Primary_snapshot'!$A$2:$A$132,0))="","",INDEX('Primary_snapshot'!$B$2:$B$132,MATCH(C88,'Primary_snapshot'!$A$2:$A$132,0))),"SNAPSHOT MISSING"))</x:f>
      </x:c>
      <x:c r="L88" s="6" t="str">
        <x:f>IF(Setup!$B$6="primary","",IFERROR(IF(INDEX('Primary_snapshot'!$C$2:$C$132,MATCH(C88,'Primary_snapshot'!$A$2:$A$132,0))="","",INDEX('Primary_snapshot'!$C$2:$C$132,MATCH(C88,'Primary_snapshot'!$A$2:$A$132,0))),"SNAPSHOT MISSING"))</x:f>
      </x:c>
      <x:c r="M88" s="6" t="str">
        <x:f>IF(Setup!$B$6="primary","",IFERROR(IF(INDEX('Primary_snapshot'!$D$2:$D$132,MATCH(C88,'Primary_snapshot'!$A$2:$A$132,0))="","",INDEX('Primary_snapshot'!$D$2:$D$132,MATCH(C88,'Primary_snapshot'!$A$2:$A$132,0))),"SNAPSHOT MISSING"))</x:f>
      </x:c>
      <x:c r="N88" s="6" t="str">
        <x:f>IF(Setup!$B$6="primary","",IFERROR(IF(INDEX('Primary_snapshot'!$E$2:$E$132,MATCH(C88,'Primary_snapshot'!$A$2:$A$132,0))="","",INDEX('Primary_snapshot'!$E$2:$E$132,MATCH(C88,'Primary_snapshot'!$A$2:$A$132,0))),"SNAPSHOT MISSING"))</x:f>
      </x:c>
      <x:c r="O88" s="6" t="str">
        <x:f>IF(Setup!$B$6="primary","",IFERROR(IF(INDEX('Primary_snapshot'!$F$2:$F$132,MATCH(C88,'Primary_snapshot'!$A$2:$A$132,0))="","",INDEX('Primary_snapshot'!$F$2:$F$132,MATCH(C88,'Primary_snapshot'!$A$2:$A$132,0))),"SNAPSHOT MISSING"))</x:f>
      </x:c>
      <x:c r="P88" s="6" t="str">
        <x:f>IF(Setup!$B$6="primary","",IFERROR(IF(INDEX('Primary_snapshot'!$G$2:$G$132,MATCH(C88,'Primary_snapshot'!$A$2:$A$132,0))="","",INDEX('Primary_snapshot'!$G$2:$G$132,MATCH(C88,'Primary_snapshot'!$A$2:$A$132,0))),"SNAPSHOT MISSING"))</x:f>
      </x:c>
      <x:c r="Q88" s="6" t="str">
        <x:f>IF(Setup!$B$6="primary","",IFERROR(IF(INDEX('Primary_snapshot'!$H$2:$H$132,MATCH(C88,'Primary_snapshot'!$A$2:$A$132,0))="","",INDEX('Primary_snapshot'!$H$2:$H$132,MATCH(C88,'Primary_snapshot'!$A$2:$A$132,0))),"SNAPSHOT MISSING"))</x:f>
      </x:c>
      <x:c r="R88" s="6" t="str">
        <x:f>IF(Setup!$B$6="primary","",IFERROR(IF(INDEX('Primary_snapshot'!$I$2:$I$132,MATCH(C88,'Primary_snapshot'!$A$2:$A$132,0))="","",INDEX('Primary_snapshot'!$I$2:$I$132,MATCH(C88,'Primary_snapshot'!$A$2:$A$132,0))),"SNAPSHOT MISSING"))</x:f>
      </x:c>
      <x:c r="S88" s="6" t="str">
        <x:f>IF(INDEX('C_jama.2025.20765'!$D$2:$D$14,MATCH("2025::jama.2025.20765::C002",'C_jama.2025.20765'!$A$2:$A$14,0))="","",INDEX('C_jama.2025.20765'!$D$2:$D$14,MATCH("2025::jama.2025.20765::C002",'C_jama.2025.20765'!$A$2:$A$14,0)))</x:f>
      </x:c>
      <x:c r="T88" s="6" t="str">
        <x:f>IF(INDEX('C_jama.2025.20765'!$E$2:$E$14,MATCH("2025::jama.2025.20765::C002",'C_jama.2025.20765'!$A$2:$A$14,0))="","",INDEX('C_jama.2025.20765'!$E$2:$E$14,MATCH("2025::jama.2025.20765::C002",'C_jama.2025.20765'!$A$2:$A$14,0)))</x:f>
        <x:v>report_internal_inconsistency</x:v>
      </x:c>
      <x:c r="U88" s="6" t="str">
        <x:f>IF(AND(INDEX('C_jama.2025.20765'!$D$2:$D$14,MATCH("2025::jama.2025.20765::C002",'C_jama.2025.20765'!$A$2:$A$14,0))="retain",INDEX('C_jama.2025.20765'!$E$2:$E$14,MATCH("2025::jama.2025.20765::C002",'C_jama.2025.20765'!$A$2:$A$14,0))="statistical_results"),IF(INDEX('C_jama.2025.20765'!$H$2:$H$14,MATCH("2025::jama.2025.20765::C002",'C_jama.2025.20765'!$A$2:$A$14,0))="","",INDEX('C_jama.2025.20765'!$H$2:$H$14,MATCH("2025::jama.2025.20765::C002",'C_jama.2025.20765'!$A$2:$A$14,0))),"not_applicable")</x:f>
        <x:v>not_applicable</x:v>
      </x:c>
      <x:c r="V88" s="6" t="str">
        <x:f>IF(AND(INDEX('C_jama.2025.20765'!$D$2:$D$14,MATCH("2025::jama.2025.20765::C002",'C_jama.2025.20765'!$A$2:$A$14,0))="retain",INDEX('C_jama.2025.20765'!$E$2:$E$14,MATCH("2025::jama.2025.20765::C002",'C_jama.2025.20765'!$A$2:$A$14,0))="statistical_results"),IF(INDEX('C_jama.2025.20765'!$I$2:$I$14,MATCH("2025::jama.2025.20765::C002",'C_jama.2025.20765'!$A$2:$A$14,0))="","",INDEX('C_jama.2025.20765'!$I$2:$I$14,MATCH("2025::jama.2025.20765::C002",'C_jama.2025.20765'!$A$2:$A$14,0))),"not_applicable")</x:f>
        <x:v>not_applicable</x:v>
      </x:c>
      <x:c r="W88" s="6" t="str">
        <x:f>IF(AND(INDEX('C_jama.2025.20765'!$D$2:$D$14,MATCH("2025::jama.2025.20765::C002",'C_jama.2025.20765'!$A$2:$A$14,0))="retain",INDEX('C_jama.2025.20765'!$E$2:$E$14,MATCH("2025::jama.2025.20765::C002",'C_jama.2025.20765'!$A$2:$A$14,0))="statistical_results"),IF(INDEX('C_jama.2025.20765'!$J$2:$J$14,MATCH("2025::jama.2025.20765::C002",'C_jama.2025.20765'!$A$2:$A$14,0))="","",INDEX('C_jama.2025.20765'!$J$2:$J$14,MATCH("2025::jama.2025.20765::C002",'C_jama.2025.20765'!$A$2:$A$14,0))),"not_applicable")</x:f>
        <x:v>not_applicable</x:v>
      </x:c>
      <x:c r="X88" s="6" t="str">
        <x:f>IF(AND(INDEX('C_jama.2025.20765'!$D$2:$D$14,MATCH("2025::jama.2025.20765::C002",'C_jama.2025.20765'!$A$2:$A$14,0))="retain",OR(INDEX('C_jama.2025.20765'!$E$2:$E$14,MATCH("2025::jama.2025.20765::C002",'C_jama.2025.20765'!$A$2:$A$14,0))="report_internal_inconsistency",INDEX('C_jama.2025.20765'!$E$2:$E$14,MATCH("2025::jama.2025.20765::C002",'C_jama.2025.20765'!$A$2:$A$14,0))="plan_material")),IF(INDEX('C_jama.2025.20765'!$K$2:$K$14,MATCH("2025::jama.2025.20765::C002",'C_jama.2025.20765'!$A$2:$A$14,0))="","",INDEX('C_jama.2025.20765'!$K$2:$K$14,MATCH("2025::jama.2025.20765::C002",'C_jama.2025.20765'!$A$2:$A$14,0))),"not_applicable")</x:f>
        <x:v>not_applicable</x:v>
      </x:c>
      <x:c r="Y88" s="6" t="str">
        <x:f>IF(AND(INDEX('C_jama.2025.20765'!$D$2:$D$14,MATCH("2025::jama.2025.20765::C002",'C_jama.2025.20765'!$A$2:$A$14,0))="retain",INDEX('C_jama.2025.20765'!$E$2:$E$14,MATCH("2025::jama.2025.20765::C002",'C_jama.2025.20765'!$A$2:$A$14,0))="protocol_report"),IF(INDEX('C_jama.2025.20765'!$L$2:$L$14,MATCH("2025::jama.2025.20765::C002",'C_jama.2025.20765'!$A$2:$A$14,0))="","",INDEX('C_jama.2025.20765'!$L$2:$L$14,MATCH("2025::jama.2025.20765::C002",'C_jama.2025.20765'!$A$2:$A$14,0))),"not_applicable")</x:f>
        <x:v>not_applicable</x:v>
      </x:c>
      <x:c r="Z88" s="6" t="str">
        <x:f>IF(INDEX('C_jama.2025.20765'!$R$2:$R$14,MATCH("2025::jama.2025.20765::C002",'C_jama.2025.20765'!$A$2:$A$14,0))="","",INDEX('C_jama.2025.20765'!$R$2:$R$14,MATCH("2025::jama.2025.20765::C002",'C_jama.2025.20765'!$A$2:$A$14,0)))</x:f>
      </x:c>
      <x:c r="AA88" s="6" t="str">
        <x:f>IF(INDEX('C_jama.2025.20765'!$N$2:$N$14,MATCH("2025::jama.2025.20765::C002",'C_jama.2025.20765'!$A$2:$A$14,0))="","",INDEX('C_jama.2025.20765'!$N$2:$N$14,MATCH("2025::jama.2025.20765::C002",'C_jama.2025.20765'!$A$2:$A$14,0)))</x:f>
      </x:c>
      <x:c r="AB88" s="6" t="str">
        <x:f>IF(INDEX('C_jama.2025.20765'!$O$2:$O$14,MATCH("2025::jama.2025.20765::C002",'C_jama.2025.20765'!$A$2:$A$14,0))="","",INDEX('C_jama.2025.20765'!$O$2:$O$14,MATCH("2025::jama.2025.20765::C002",'C_jama.2025.20765'!$A$2:$A$14,0)))</x:f>
      </x:c>
      <x:c r="AC88" s="6" t="str">
        <x:f>IF(INDEX('C_jama.2025.20765'!$P$2:$P$14,MATCH("2025::jama.2025.20765::C002",'C_jama.2025.20765'!$A$2:$A$14,0))="","",INDEX('C_jama.2025.20765'!$P$2:$P$14,MATCH("2025::jama.2025.20765::C002",'C_jama.2025.20765'!$A$2:$A$14,0)))</x:f>
      </x:c>
      <x:c r="AD88" s="6" t="str">
        <x:f>IF(INDEX('C_jama.2025.20765'!$Q$2:$Q$14,MATCH("2025::jama.2025.20765::C002",'C_jama.2025.20765'!$A$2:$A$14,0))="","",INDEX('C_jama.2025.20765'!$Q$2:$Q$14,MATCH("2025::jama.2025.20765::C002",'C_jama.2025.20765'!$A$2:$A$14,0)))</x:f>
      </x:c>
    </x:row>
    <x:row r="89" ht="65" customHeight="1">
      <x:c r="A89" s="3" t="n">
        <x:v>2025</x:v>
      </x:c>
      <x:c r="B89" s="3" t="str">
        <x:v>jama.2025.20765</x:v>
      </x:c>
      <x:c r="C89" s="3" t="str">
        <x:v>2025::jama.2025.20765::C003</x:v>
      </x:c>
      <x:c r="D89" s="3" t="str">
        <x:v>P_P</x:v>
      </x:c>
      <x:c r="E89" s="3" t="n">
        <x:f>Setup!$B$2</x:f>
        <x:v>0</x:v>
      </x:c>
      <x:c r="F89" s="3" t="str">
        <x:f>IF(Setup!$B$4="","",Setup!$B$4)</x:f>
      </x:c>
      <x:c r="G89" s="3" t="str">
        <x:f>IFERROR(INDEX('C_jama.2025.20765'!$G$2:$G$14,MATCH("2025::jama.2025.20765::C003",'C_jama.2025.20765'!$A$2:$A$14,0)),"CHECK KEY")</x:f>
        <x:v>CHECK REVIEWER IDs</x:v>
      </x:c>
      <x:c r="H89" s="3" t="str">
        <x:f>IF(G89&lt;&gt;"FINAL READY","",IF(S89&lt;&gt;"retain","not_eligible",IF(D89="P_R","protocol_descriptive",IF(D89="P_P","plan_descriptive",IF(AND(T89="statistical_results",OR(U89="confirmed_issue",U89="probable_issue"),V89="substantive"),"primary_temporal",IF(AND(T89="report_internal_inconsistency",X89="substantive_inconsistency"),"secondary_temporal","not_eligible"))))))</x:f>
      </x:c>
      <x:c r="I89" s="3" t="str">
        <x:v>retain</x:v>
      </x:c>
      <x:c r="J89" s="3" t="str">
        <x:v>plan_material</x:v>
      </x:c>
      <x:c r="K89" s="3" t="str">
        <x:f>IF(Setup!$B$6="primary","",IFERROR(IF(INDEX('Primary_snapshot'!$B$2:$B$132,MATCH(C89,'Primary_snapshot'!$A$2:$A$132,0))="","",INDEX('Primary_snapshot'!$B$2:$B$132,MATCH(C89,'Primary_snapshot'!$A$2:$A$132,0))),"SNAPSHOT MISSING"))</x:f>
      </x:c>
      <x:c r="L89" s="3" t="str">
        <x:f>IF(Setup!$B$6="primary","",IFERROR(IF(INDEX('Primary_snapshot'!$C$2:$C$132,MATCH(C89,'Primary_snapshot'!$A$2:$A$132,0))="","",INDEX('Primary_snapshot'!$C$2:$C$132,MATCH(C89,'Primary_snapshot'!$A$2:$A$132,0))),"SNAPSHOT MISSING"))</x:f>
      </x:c>
      <x:c r="M89" s="3" t="str">
        <x:f>IF(Setup!$B$6="primary","",IFERROR(IF(INDEX('Primary_snapshot'!$D$2:$D$132,MATCH(C89,'Primary_snapshot'!$A$2:$A$132,0))="","",INDEX('Primary_snapshot'!$D$2:$D$132,MATCH(C89,'Primary_snapshot'!$A$2:$A$132,0))),"SNAPSHOT MISSING"))</x:f>
      </x:c>
      <x:c r="N89" s="3" t="str">
        <x:f>IF(Setup!$B$6="primary","",IFERROR(IF(INDEX('Primary_snapshot'!$E$2:$E$132,MATCH(C89,'Primary_snapshot'!$A$2:$A$132,0))="","",INDEX('Primary_snapshot'!$E$2:$E$132,MATCH(C89,'Primary_snapshot'!$A$2:$A$132,0))),"SNAPSHOT MISSING"))</x:f>
      </x:c>
      <x:c r="O89" s="3" t="str">
        <x:f>IF(Setup!$B$6="primary","",IFERROR(IF(INDEX('Primary_snapshot'!$F$2:$F$132,MATCH(C89,'Primary_snapshot'!$A$2:$A$132,0))="","",INDEX('Primary_snapshot'!$F$2:$F$132,MATCH(C89,'Primary_snapshot'!$A$2:$A$132,0))),"SNAPSHOT MISSING"))</x:f>
      </x:c>
      <x:c r="P89" s="3" t="str">
        <x:f>IF(Setup!$B$6="primary","",IFERROR(IF(INDEX('Primary_snapshot'!$G$2:$G$132,MATCH(C89,'Primary_snapshot'!$A$2:$A$132,0))="","",INDEX('Primary_snapshot'!$G$2:$G$132,MATCH(C89,'Primary_snapshot'!$A$2:$A$132,0))),"SNAPSHOT MISSING"))</x:f>
      </x:c>
      <x:c r="Q89" s="3" t="str">
        <x:f>IF(Setup!$B$6="primary","",IFERROR(IF(INDEX('Primary_snapshot'!$H$2:$H$132,MATCH(C89,'Primary_snapshot'!$A$2:$A$132,0))="","",INDEX('Primary_snapshot'!$H$2:$H$132,MATCH(C89,'Primary_snapshot'!$A$2:$A$132,0))),"SNAPSHOT MISSING"))</x:f>
      </x:c>
      <x:c r="R89" s="3" t="str">
        <x:f>IF(Setup!$B$6="primary","",IFERROR(IF(INDEX('Primary_snapshot'!$I$2:$I$132,MATCH(C89,'Primary_snapshot'!$A$2:$A$132,0))="","",INDEX('Primary_snapshot'!$I$2:$I$132,MATCH(C89,'Primary_snapshot'!$A$2:$A$132,0))),"SNAPSHOT MISSING"))</x:f>
      </x:c>
      <x:c r="S89" s="3" t="str">
        <x:f>IF(INDEX('C_jama.2025.20765'!$D$2:$D$14,MATCH("2025::jama.2025.20765::C003",'C_jama.2025.20765'!$A$2:$A$14,0))="","",INDEX('C_jama.2025.20765'!$D$2:$D$14,MATCH("2025::jama.2025.20765::C003",'C_jama.2025.20765'!$A$2:$A$14,0)))</x:f>
      </x:c>
      <x:c r="T89" s="3" t="str">
        <x:f>IF(INDEX('C_jama.2025.20765'!$E$2:$E$14,MATCH("2025::jama.2025.20765::C003",'C_jama.2025.20765'!$A$2:$A$14,0))="","",INDEX('C_jama.2025.20765'!$E$2:$E$14,MATCH("2025::jama.2025.20765::C003",'C_jama.2025.20765'!$A$2:$A$14,0)))</x:f>
        <x:v>plan_material</x:v>
      </x:c>
      <x:c r="U89" s="3" t="str">
        <x:f>IF(AND(INDEX('C_jama.2025.20765'!$D$2:$D$14,MATCH("2025::jama.2025.20765::C003",'C_jama.2025.20765'!$A$2:$A$14,0))="retain",INDEX('C_jama.2025.20765'!$E$2:$E$14,MATCH("2025::jama.2025.20765::C003",'C_jama.2025.20765'!$A$2:$A$14,0))="statistical_results"),IF(INDEX('C_jama.2025.20765'!$H$2:$H$14,MATCH("2025::jama.2025.20765::C003",'C_jama.2025.20765'!$A$2:$A$14,0))="","",INDEX('C_jama.2025.20765'!$H$2:$H$14,MATCH("2025::jama.2025.20765::C003",'C_jama.2025.20765'!$A$2:$A$14,0))),"not_applicable")</x:f>
        <x:v>not_applicable</x:v>
      </x:c>
      <x:c r="V89" s="3" t="str">
        <x:f>IF(AND(INDEX('C_jama.2025.20765'!$D$2:$D$14,MATCH("2025::jama.2025.20765::C003",'C_jama.2025.20765'!$A$2:$A$14,0))="retain",INDEX('C_jama.2025.20765'!$E$2:$E$14,MATCH("2025::jama.2025.20765::C003",'C_jama.2025.20765'!$A$2:$A$14,0))="statistical_results"),IF(INDEX('C_jama.2025.20765'!$I$2:$I$14,MATCH("2025::jama.2025.20765::C003",'C_jama.2025.20765'!$A$2:$A$14,0))="","",INDEX('C_jama.2025.20765'!$I$2:$I$14,MATCH("2025::jama.2025.20765::C003",'C_jama.2025.20765'!$A$2:$A$14,0))),"not_applicable")</x:f>
        <x:v>not_applicable</x:v>
      </x:c>
      <x:c r="W89" s="3" t="str">
        <x:f>IF(AND(INDEX('C_jama.2025.20765'!$D$2:$D$14,MATCH("2025::jama.2025.20765::C003",'C_jama.2025.20765'!$A$2:$A$14,0))="retain",INDEX('C_jama.2025.20765'!$E$2:$E$14,MATCH("2025::jama.2025.20765::C003",'C_jama.2025.20765'!$A$2:$A$14,0))="statistical_results"),IF(INDEX('C_jama.2025.20765'!$J$2:$J$14,MATCH("2025::jama.2025.20765::C003",'C_jama.2025.20765'!$A$2:$A$14,0))="","",INDEX('C_jama.2025.20765'!$J$2:$J$14,MATCH("2025::jama.2025.20765::C003",'C_jama.2025.20765'!$A$2:$A$14,0))),"not_applicable")</x:f>
        <x:v>not_applicable</x:v>
      </x:c>
      <x:c r="X89" s="3" t="str">
        <x:f>IF(AND(INDEX('C_jama.2025.20765'!$D$2:$D$14,MATCH("2025::jama.2025.20765::C003",'C_jama.2025.20765'!$A$2:$A$14,0))="retain",OR(INDEX('C_jama.2025.20765'!$E$2:$E$14,MATCH("2025::jama.2025.20765::C003",'C_jama.2025.20765'!$A$2:$A$14,0))="report_internal_inconsistency",INDEX('C_jama.2025.20765'!$E$2:$E$14,MATCH("2025::jama.2025.20765::C003",'C_jama.2025.20765'!$A$2:$A$14,0))="plan_material")),IF(INDEX('C_jama.2025.20765'!$K$2:$K$14,MATCH("2025::jama.2025.20765::C003",'C_jama.2025.20765'!$A$2:$A$14,0))="","",INDEX('C_jama.2025.20765'!$K$2:$K$14,MATCH("2025::jama.2025.20765::C003",'C_jama.2025.20765'!$A$2:$A$14,0))),"not_applicable")</x:f>
        <x:v>not_applicable</x:v>
      </x:c>
      <x:c r="Y89" s="3" t="str">
        <x:f>IF(AND(INDEX('C_jama.2025.20765'!$D$2:$D$14,MATCH("2025::jama.2025.20765::C003",'C_jama.2025.20765'!$A$2:$A$14,0))="retain",INDEX('C_jama.2025.20765'!$E$2:$E$14,MATCH("2025::jama.2025.20765::C003",'C_jama.2025.20765'!$A$2:$A$14,0))="protocol_report"),IF(INDEX('C_jama.2025.20765'!$L$2:$L$14,MATCH("2025::jama.2025.20765::C003",'C_jama.2025.20765'!$A$2:$A$14,0))="","",INDEX('C_jama.2025.20765'!$L$2:$L$14,MATCH("2025::jama.2025.20765::C003",'C_jama.2025.20765'!$A$2:$A$14,0))),"not_applicable")</x:f>
        <x:v>not_applicable</x:v>
      </x:c>
      <x:c r="Z89" s="3" t="str">
        <x:f>IF(INDEX('C_jama.2025.20765'!$R$2:$R$14,MATCH("2025::jama.2025.20765::C003",'C_jama.2025.20765'!$A$2:$A$14,0))="","",INDEX('C_jama.2025.20765'!$R$2:$R$14,MATCH("2025::jama.2025.20765::C003",'C_jama.2025.20765'!$A$2:$A$14,0)))</x:f>
      </x:c>
      <x:c r="AA89" s="3" t="str">
        <x:f>IF(INDEX('C_jama.2025.20765'!$N$2:$N$14,MATCH("2025::jama.2025.20765::C003",'C_jama.2025.20765'!$A$2:$A$14,0))="","",INDEX('C_jama.2025.20765'!$N$2:$N$14,MATCH("2025::jama.2025.20765::C003",'C_jama.2025.20765'!$A$2:$A$14,0)))</x:f>
      </x:c>
      <x:c r="AB89" s="3" t="str">
        <x:f>IF(INDEX('C_jama.2025.20765'!$O$2:$O$14,MATCH("2025::jama.2025.20765::C003",'C_jama.2025.20765'!$A$2:$A$14,0))="","",INDEX('C_jama.2025.20765'!$O$2:$O$14,MATCH("2025::jama.2025.20765::C003",'C_jama.2025.20765'!$A$2:$A$14,0)))</x:f>
      </x:c>
      <x:c r="AC89" s="3" t="str">
        <x:f>IF(INDEX('C_jama.2025.20765'!$P$2:$P$14,MATCH("2025::jama.2025.20765::C003",'C_jama.2025.20765'!$A$2:$A$14,0))="","",INDEX('C_jama.2025.20765'!$P$2:$P$14,MATCH("2025::jama.2025.20765::C003",'C_jama.2025.20765'!$A$2:$A$14,0)))</x:f>
      </x:c>
      <x:c r="AD89" s="3" t="str">
        <x:f>IF(INDEX('C_jama.2025.20765'!$Q$2:$Q$14,MATCH("2025::jama.2025.20765::C003",'C_jama.2025.20765'!$A$2:$A$14,0))="","",INDEX('C_jama.2025.20765'!$Q$2:$Q$14,MATCH("2025::jama.2025.20765::C003",'C_jama.2025.20765'!$A$2:$A$14,0)))</x:f>
      </x:c>
    </x:row>
    <x:row r="90" ht="65" customHeight="1">
      <x:c r="A90" s="6" t="n">
        <x:v>2025</x:v>
      </x:c>
      <x:c r="B90" s="6" t="str">
        <x:v>jama.2025.20765</x:v>
      </x:c>
      <x:c r="C90" s="6" t="str">
        <x:v>2025::jama.2025.20765::C004</x:v>
      </x:c>
      <x:c r="D90" s="6" t="str">
        <x:v>P_P</x:v>
      </x:c>
      <x:c r="E90" s="6" t="n">
        <x:f>Setup!$B$2</x:f>
        <x:v>0</x:v>
      </x:c>
      <x:c r="F90" s="6" t="str">
        <x:f>IF(Setup!$B$4="","",Setup!$B$4)</x:f>
      </x:c>
      <x:c r="G90" s="6" t="str">
        <x:f>IFERROR(INDEX('C_jama.2025.20765'!$G$2:$G$14,MATCH("2025::jama.2025.20765::C004",'C_jama.2025.20765'!$A$2:$A$14,0)),"CHECK KEY")</x:f>
        <x:v>CHECK REVIEWER IDs</x:v>
      </x:c>
      <x:c r="H90" s="6" t="str">
        <x:f>IF(G90&lt;&gt;"FINAL READY","",IF(S90&lt;&gt;"retain","not_eligible",IF(D90="P_R","protocol_descriptive",IF(D90="P_P","plan_descriptive",IF(AND(T90="statistical_results",OR(U90="confirmed_issue",U90="probable_issue"),V90="substantive"),"primary_temporal",IF(AND(T90="report_internal_inconsistency",X90="substantive_inconsistency"),"secondary_temporal","not_eligible"))))))</x:f>
      </x:c>
      <x:c r="I90" s="6" t="str">
        <x:v>retain</x:v>
      </x:c>
      <x:c r="J90" s="6" t="str">
        <x:v>plan_material</x:v>
      </x:c>
      <x:c r="K90" s="6" t="str">
        <x:f>IF(Setup!$B$6="primary","",IFERROR(IF(INDEX('Primary_snapshot'!$B$2:$B$132,MATCH(C90,'Primary_snapshot'!$A$2:$A$132,0))="","",INDEX('Primary_snapshot'!$B$2:$B$132,MATCH(C90,'Primary_snapshot'!$A$2:$A$132,0))),"SNAPSHOT MISSING"))</x:f>
      </x:c>
      <x:c r="L90" s="6" t="str">
        <x:f>IF(Setup!$B$6="primary","",IFERROR(IF(INDEX('Primary_snapshot'!$C$2:$C$132,MATCH(C90,'Primary_snapshot'!$A$2:$A$132,0))="","",INDEX('Primary_snapshot'!$C$2:$C$132,MATCH(C90,'Primary_snapshot'!$A$2:$A$132,0))),"SNAPSHOT MISSING"))</x:f>
      </x:c>
      <x:c r="M90" s="6" t="str">
        <x:f>IF(Setup!$B$6="primary","",IFERROR(IF(INDEX('Primary_snapshot'!$D$2:$D$132,MATCH(C90,'Primary_snapshot'!$A$2:$A$132,0))="","",INDEX('Primary_snapshot'!$D$2:$D$132,MATCH(C90,'Primary_snapshot'!$A$2:$A$132,0))),"SNAPSHOT MISSING"))</x:f>
      </x:c>
      <x:c r="N90" s="6" t="str">
        <x:f>IF(Setup!$B$6="primary","",IFERROR(IF(INDEX('Primary_snapshot'!$E$2:$E$132,MATCH(C90,'Primary_snapshot'!$A$2:$A$132,0))="","",INDEX('Primary_snapshot'!$E$2:$E$132,MATCH(C90,'Primary_snapshot'!$A$2:$A$132,0))),"SNAPSHOT MISSING"))</x:f>
      </x:c>
      <x:c r="O90" s="6" t="str">
        <x:f>IF(Setup!$B$6="primary","",IFERROR(IF(INDEX('Primary_snapshot'!$F$2:$F$132,MATCH(C90,'Primary_snapshot'!$A$2:$A$132,0))="","",INDEX('Primary_snapshot'!$F$2:$F$132,MATCH(C90,'Primary_snapshot'!$A$2:$A$132,0))),"SNAPSHOT MISSING"))</x:f>
      </x:c>
      <x:c r="P90" s="6" t="str">
        <x:f>IF(Setup!$B$6="primary","",IFERROR(IF(INDEX('Primary_snapshot'!$G$2:$G$132,MATCH(C90,'Primary_snapshot'!$A$2:$A$132,0))="","",INDEX('Primary_snapshot'!$G$2:$G$132,MATCH(C90,'Primary_snapshot'!$A$2:$A$132,0))),"SNAPSHOT MISSING"))</x:f>
      </x:c>
      <x:c r="Q90" s="6" t="str">
        <x:f>IF(Setup!$B$6="primary","",IFERROR(IF(INDEX('Primary_snapshot'!$H$2:$H$132,MATCH(C90,'Primary_snapshot'!$A$2:$A$132,0))="","",INDEX('Primary_snapshot'!$H$2:$H$132,MATCH(C90,'Primary_snapshot'!$A$2:$A$132,0))),"SNAPSHOT MISSING"))</x:f>
      </x:c>
      <x:c r="R90" s="6" t="str">
        <x:f>IF(Setup!$B$6="primary","",IFERROR(IF(INDEX('Primary_snapshot'!$I$2:$I$132,MATCH(C90,'Primary_snapshot'!$A$2:$A$132,0))="","",INDEX('Primary_snapshot'!$I$2:$I$132,MATCH(C90,'Primary_snapshot'!$A$2:$A$132,0))),"SNAPSHOT MISSING"))</x:f>
      </x:c>
      <x:c r="S90" s="6" t="str">
        <x:f>IF(INDEX('C_jama.2025.20765'!$D$2:$D$14,MATCH("2025::jama.2025.20765::C004",'C_jama.2025.20765'!$A$2:$A$14,0))="","",INDEX('C_jama.2025.20765'!$D$2:$D$14,MATCH("2025::jama.2025.20765::C004",'C_jama.2025.20765'!$A$2:$A$14,0)))</x:f>
      </x:c>
      <x:c r="T90" s="6" t="str">
        <x:f>IF(INDEX('C_jama.2025.20765'!$E$2:$E$14,MATCH("2025::jama.2025.20765::C004",'C_jama.2025.20765'!$A$2:$A$14,0))="","",INDEX('C_jama.2025.20765'!$E$2:$E$14,MATCH("2025::jama.2025.20765::C004",'C_jama.2025.20765'!$A$2:$A$14,0)))</x:f>
        <x:v>plan_material</x:v>
      </x:c>
      <x:c r="U90" s="6" t="str">
        <x:f>IF(AND(INDEX('C_jama.2025.20765'!$D$2:$D$14,MATCH("2025::jama.2025.20765::C004",'C_jama.2025.20765'!$A$2:$A$14,0))="retain",INDEX('C_jama.2025.20765'!$E$2:$E$14,MATCH("2025::jama.2025.20765::C004",'C_jama.2025.20765'!$A$2:$A$14,0))="statistical_results"),IF(INDEX('C_jama.2025.20765'!$H$2:$H$14,MATCH("2025::jama.2025.20765::C004",'C_jama.2025.20765'!$A$2:$A$14,0))="","",INDEX('C_jama.2025.20765'!$H$2:$H$14,MATCH("2025::jama.2025.20765::C004",'C_jama.2025.20765'!$A$2:$A$14,0))),"not_applicable")</x:f>
        <x:v>not_applicable</x:v>
      </x:c>
      <x:c r="V90" s="6" t="str">
        <x:f>IF(AND(INDEX('C_jama.2025.20765'!$D$2:$D$14,MATCH("2025::jama.2025.20765::C004",'C_jama.2025.20765'!$A$2:$A$14,0))="retain",INDEX('C_jama.2025.20765'!$E$2:$E$14,MATCH("2025::jama.2025.20765::C004",'C_jama.2025.20765'!$A$2:$A$14,0))="statistical_results"),IF(INDEX('C_jama.2025.20765'!$I$2:$I$14,MATCH("2025::jama.2025.20765::C004",'C_jama.2025.20765'!$A$2:$A$14,0))="","",INDEX('C_jama.2025.20765'!$I$2:$I$14,MATCH("2025::jama.2025.20765::C004",'C_jama.2025.20765'!$A$2:$A$14,0))),"not_applicable")</x:f>
        <x:v>not_applicable</x:v>
      </x:c>
      <x:c r="W90" s="6" t="str">
        <x:f>IF(AND(INDEX('C_jama.2025.20765'!$D$2:$D$14,MATCH("2025::jama.2025.20765::C004",'C_jama.2025.20765'!$A$2:$A$14,0))="retain",INDEX('C_jama.2025.20765'!$E$2:$E$14,MATCH("2025::jama.2025.20765::C004",'C_jama.2025.20765'!$A$2:$A$14,0))="statistical_results"),IF(INDEX('C_jama.2025.20765'!$J$2:$J$14,MATCH("2025::jama.2025.20765::C004",'C_jama.2025.20765'!$A$2:$A$14,0))="","",INDEX('C_jama.2025.20765'!$J$2:$J$14,MATCH("2025::jama.2025.20765::C004",'C_jama.2025.20765'!$A$2:$A$14,0))),"not_applicable")</x:f>
        <x:v>not_applicable</x:v>
      </x:c>
      <x:c r="X90" s="6" t="str">
        <x:f>IF(AND(INDEX('C_jama.2025.20765'!$D$2:$D$14,MATCH("2025::jama.2025.20765::C004",'C_jama.2025.20765'!$A$2:$A$14,0))="retain",OR(INDEX('C_jama.2025.20765'!$E$2:$E$14,MATCH("2025::jama.2025.20765::C004",'C_jama.2025.20765'!$A$2:$A$14,0))="report_internal_inconsistency",INDEX('C_jama.2025.20765'!$E$2:$E$14,MATCH("2025::jama.2025.20765::C004",'C_jama.2025.20765'!$A$2:$A$14,0))="plan_material")),IF(INDEX('C_jama.2025.20765'!$K$2:$K$14,MATCH("2025::jama.2025.20765::C004",'C_jama.2025.20765'!$A$2:$A$14,0))="","",INDEX('C_jama.2025.20765'!$K$2:$K$14,MATCH("2025::jama.2025.20765::C004",'C_jama.2025.20765'!$A$2:$A$14,0))),"not_applicable")</x:f>
        <x:v>not_applicable</x:v>
      </x:c>
      <x:c r="Y90" s="6" t="str">
        <x:f>IF(AND(INDEX('C_jama.2025.20765'!$D$2:$D$14,MATCH("2025::jama.2025.20765::C004",'C_jama.2025.20765'!$A$2:$A$14,0))="retain",INDEX('C_jama.2025.20765'!$E$2:$E$14,MATCH("2025::jama.2025.20765::C004",'C_jama.2025.20765'!$A$2:$A$14,0))="protocol_report"),IF(INDEX('C_jama.2025.20765'!$L$2:$L$14,MATCH("2025::jama.2025.20765::C004",'C_jama.2025.20765'!$A$2:$A$14,0))="","",INDEX('C_jama.2025.20765'!$L$2:$L$14,MATCH("2025::jama.2025.20765::C004",'C_jama.2025.20765'!$A$2:$A$14,0))),"not_applicable")</x:f>
        <x:v>not_applicable</x:v>
      </x:c>
      <x:c r="Z90" s="6" t="str">
        <x:f>IF(INDEX('C_jama.2025.20765'!$R$2:$R$14,MATCH("2025::jama.2025.20765::C004",'C_jama.2025.20765'!$A$2:$A$14,0))="","",INDEX('C_jama.2025.20765'!$R$2:$R$14,MATCH("2025::jama.2025.20765::C004",'C_jama.2025.20765'!$A$2:$A$14,0)))</x:f>
      </x:c>
      <x:c r="AA90" s="6" t="str">
        <x:f>IF(INDEX('C_jama.2025.20765'!$N$2:$N$14,MATCH("2025::jama.2025.20765::C004",'C_jama.2025.20765'!$A$2:$A$14,0))="","",INDEX('C_jama.2025.20765'!$N$2:$N$14,MATCH("2025::jama.2025.20765::C004",'C_jama.2025.20765'!$A$2:$A$14,0)))</x:f>
      </x:c>
      <x:c r="AB90" s="6" t="str">
        <x:f>IF(INDEX('C_jama.2025.20765'!$O$2:$O$14,MATCH("2025::jama.2025.20765::C004",'C_jama.2025.20765'!$A$2:$A$14,0))="","",INDEX('C_jama.2025.20765'!$O$2:$O$14,MATCH("2025::jama.2025.20765::C004",'C_jama.2025.20765'!$A$2:$A$14,0)))</x:f>
      </x:c>
      <x:c r="AC90" s="6" t="str">
        <x:f>IF(INDEX('C_jama.2025.20765'!$P$2:$P$14,MATCH("2025::jama.2025.20765::C004",'C_jama.2025.20765'!$A$2:$A$14,0))="","",INDEX('C_jama.2025.20765'!$P$2:$P$14,MATCH("2025::jama.2025.20765::C004",'C_jama.2025.20765'!$A$2:$A$14,0)))</x:f>
      </x:c>
      <x:c r="AD90" s="6" t="str">
        <x:f>IF(INDEX('C_jama.2025.20765'!$Q$2:$Q$14,MATCH("2025::jama.2025.20765::C004",'C_jama.2025.20765'!$A$2:$A$14,0))="","",INDEX('C_jama.2025.20765'!$Q$2:$Q$14,MATCH("2025::jama.2025.20765::C004",'C_jama.2025.20765'!$A$2:$A$14,0)))</x:f>
      </x:c>
    </x:row>
    <x:row r="91" ht="65" customHeight="1">
      <x:c r="A91" s="3" t="n">
        <x:v>2025</x:v>
      </x:c>
      <x:c r="B91" s="3" t="str">
        <x:v>jama.2025.20765</x:v>
      </x:c>
      <x:c r="C91" s="3" t="str">
        <x:v>2025::jama.2025.20765::C005</x:v>
      </x:c>
      <x:c r="D91" s="3" t="str">
        <x:v>P_P</x:v>
      </x:c>
      <x:c r="E91" s="3" t="n">
        <x:f>Setup!$B$2</x:f>
        <x:v>0</x:v>
      </x:c>
      <x:c r="F91" s="3" t="str">
        <x:f>IF(Setup!$B$4="","",Setup!$B$4)</x:f>
      </x:c>
      <x:c r="G91" s="3" t="str">
        <x:f>IFERROR(INDEX('C_jama.2025.20765'!$G$2:$G$14,MATCH("2025::jama.2025.20765::C005",'C_jama.2025.20765'!$A$2:$A$14,0)),"CHECK KEY")</x:f>
        <x:v>CHECK REVIEWER IDs</x:v>
      </x:c>
      <x:c r="H91" s="3" t="str">
        <x:f>IF(G91&lt;&gt;"FINAL READY","",IF(S91&lt;&gt;"retain","not_eligible",IF(D91="P_R","protocol_descriptive",IF(D91="P_P","plan_descriptive",IF(AND(T91="statistical_results",OR(U91="confirmed_issue",U91="probable_issue"),V91="substantive"),"primary_temporal",IF(AND(T91="report_internal_inconsistency",X91="substantive_inconsistency"),"secondary_temporal","not_eligible"))))))</x:f>
      </x:c>
      <x:c r="I91" s="3" t="str">
        <x:v>retain</x:v>
      </x:c>
      <x:c r="J91" s="3" t="str">
        <x:v>plan_material</x:v>
      </x:c>
      <x:c r="K91" s="3" t="str">
        <x:f>IF(Setup!$B$6="primary","",IFERROR(IF(INDEX('Primary_snapshot'!$B$2:$B$132,MATCH(C91,'Primary_snapshot'!$A$2:$A$132,0))="","",INDEX('Primary_snapshot'!$B$2:$B$132,MATCH(C91,'Primary_snapshot'!$A$2:$A$132,0))),"SNAPSHOT MISSING"))</x:f>
      </x:c>
      <x:c r="L91" s="3" t="str">
        <x:f>IF(Setup!$B$6="primary","",IFERROR(IF(INDEX('Primary_snapshot'!$C$2:$C$132,MATCH(C91,'Primary_snapshot'!$A$2:$A$132,0))="","",INDEX('Primary_snapshot'!$C$2:$C$132,MATCH(C91,'Primary_snapshot'!$A$2:$A$132,0))),"SNAPSHOT MISSING"))</x:f>
      </x:c>
      <x:c r="M91" s="3" t="str">
        <x:f>IF(Setup!$B$6="primary","",IFERROR(IF(INDEX('Primary_snapshot'!$D$2:$D$132,MATCH(C91,'Primary_snapshot'!$A$2:$A$132,0))="","",INDEX('Primary_snapshot'!$D$2:$D$132,MATCH(C91,'Primary_snapshot'!$A$2:$A$132,0))),"SNAPSHOT MISSING"))</x:f>
      </x:c>
      <x:c r="N91" s="3" t="str">
        <x:f>IF(Setup!$B$6="primary","",IFERROR(IF(INDEX('Primary_snapshot'!$E$2:$E$132,MATCH(C91,'Primary_snapshot'!$A$2:$A$132,0))="","",INDEX('Primary_snapshot'!$E$2:$E$132,MATCH(C91,'Primary_snapshot'!$A$2:$A$132,0))),"SNAPSHOT MISSING"))</x:f>
      </x:c>
      <x:c r="O91" s="3" t="str">
        <x:f>IF(Setup!$B$6="primary","",IFERROR(IF(INDEX('Primary_snapshot'!$F$2:$F$132,MATCH(C91,'Primary_snapshot'!$A$2:$A$132,0))="","",INDEX('Primary_snapshot'!$F$2:$F$132,MATCH(C91,'Primary_snapshot'!$A$2:$A$132,0))),"SNAPSHOT MISSING"))</x:f>
      </x:c>
      <x:c r="P91" s="3" t="str">
        <x:f>IF(Setup!$B$6="primary","",IFERROR(IF(INDEX('Primary_snapshot'!$G$2:$G$132,MATCH(C91,'Primary_snapshot'!$A$2:$A$132,0))="","",INDEX('Primary_snapshot'!$G$2:$G$132,MATCH(C91,'Primary_snapshot'!$A$2:$A$132,0))),"SNAPSHOT MISSING"))</x:f>
      </x:c>
      <x:c r="Q91" s="3" t="str">
        <x:f>IF(Setup!$B$6="primary","",IFERROR(IF(INDEX('Primary_snapshot'!$H$2:$H$132,MATCH(C91,'Primary_snapshot'!$A$2:$A$132,0))="","",INDEX('Primary_snapshot'!$H$2:$H$132,MATCH(C91,'Primary_snapshot'!$A$2:$A$132,0))),"SNAPSHOT MISSING"))</x:f>
      </x:c>
      <x:c r="R91" s="3" t="str">
        <x:f>IF(Setup!$B$6="primary","",IFERROR(IF(INDEX('Primary_snapshot'!$I$2:$I$132,MATCH(C91,'Primary_snapshot'!$A$2:$A$132,0))="","",INDEX('Primary_snapshot'!$I$2:$I$132,MATCH(C91,'Primary_snapshot'!$A$2:$A$132,0))),"SNAPSHOT MISSING"))</x:f>
      </x:c>
      <x:c r="S91" s="3" t="str">
        <x:f>IF(INDEX('C_jama.2025.20765'!$D$2:$D$14,MATCH("2025::jama.2025.20765::C005",'C_jama.2025.20765'!$A$2:$A$14,0))="","",INDEX('C_jama.2025.20765'!$D$2:$D$14,MATCH("2025::jama.2025.20765::C005",'C_jama.2025.20765'!$A$2:$A$14,0)))</x:f>
      </x:c>
      <x:c r="T91" s="3" t="str">
        <x:f>IF(INDEX('C_jama.2025.20765'!$E$2:$E$14,MATCH("2025::jama.2025.20765::C005",'C_jama.2025.20765'!$A$2:$A$14,0))="","",INDEX('C_jama.2025.20765'!$E$2:$E$14,MATCH("2025::jama.2025.20765::C005",'C_jama.2025.20765'!$A$2:$A$14,0)))</x:f>
        <x:v>plan_material</x:v>
      </x:c>
      <x:c r="U91" s="3" t="str">
        <x:f>IF(AND(INDEX('C_jama.2025.20765'!$D$2:$D$14,MATCH("2025::jama.2025.20765::C005",'C_jama.2025.20765'!$A$2:$A$14,0))="retain",INDEX('C_jama.2025.20765'!$E$2:$E$14,MATCH("2025::jama.2025.20765::C005",'C_jama.2025.20765'!$A$2:$A$14,0))="statistical_results"),IF(INDEX('C_jama.2025.20765'!$H$2:$H$14,MATCH("2025::jama.2025.20765::C005",'C_jama.2025.20765'!$A$2:$A$14,0))="","",INDEX('C_jama.2025.20765'!$H$2:$H$14,MATCH("2025::jama.2025.20765::C005",'C_jama.2025.20765'!$A$2:$A$14,0))),"not_applicable")</x:f>
        <x:v>not_applicable</x:v>
      </x:c>
      <x:c r="V91" s="3" t="str">
        <x:f>IF(AND(INDEX('C_jama.2025.20765'!$D$2:$D$14,MATCH("2025::jama.2025.20765::C005",'C_jama.2025.20765'!$A$2:$A$14,0))="retain",INDEX('C_jama.2025.20765'!$E$2:$E$14,MATCH("2025::jama.2025.20765::C005",'C_jama.2025.20765'!$A$2:$A$14,0))="statistical_results"),IF(INDEX('C_jama.2025.20765'!$I$2:$I$14,MATCH("2025::jama.2025.20765::C005",'C_jama.2025.20765'!$A$2:$A$14,0))="","",INDEX('C_jama.2025.20765'!$I$2:$I$14,MATCH("2025::jama.2025.20765::C005",'C_jama.2025.20765'!$A$2:$A$14,0))),"not_applicable")</x:f>
        <x:v>not_applicable</x:v>
      </x:c>
      <x:c r="W91" s="3" t="str">
        <x:f>IF(AND(INDEX('C_jama.2025.20765'!$D$2:$D$14,MATCH("2025::jama.2025.20765::C005",'C_jama.2025.20765'!$A$2:$A$14,0))="retain",INDEX('C_jama.2025.20765'!$E$2:$E$14,MATCH("2025::jama.2025.20765::C005",'C_jama.2025.20765'!$A$2:$A$14,0))="statistical_results"),IF(INDEX('C_jama.2025.20765'!$J$2:$J$14,MATCH("2025::jama.2025.20765::C005",'C_jama.2025.20765'!$A$2:$A$14,0))="","",INDEX('C_jama.2025.20765'!$J$2:$J$14,MATCH("2025::jama.2025.20765::C005",'C_jama.2025.20765'!$A$2:$A$14,0))),"not_applicable")</x:f>
        <x:v>not_applicable</x:v>
      </x:c>
      <x:c r="X91" s="3" t="str">
        <x:f>IF(AND(INDEX('C_jama.2025.20765'!$D$2:$D$14,MATCH("2025::jama.2025.20765::C005",'C_jama.2025.20765'!$A$2:$A$14,0))="retain",OR(INDEX('C_jama.2025.20765'!$E$2:$E$14,MATCH("2025::jama.2025.20765::C005",'C_jama.2025.20765'!$A$2:$A$14,0))="report_internal_inconsistency",INDEX('C_jama.2025.20765'!$E$2:$E$14,MATCH("2025::jama.2025.20765::C005",'C_jama.2025.20765'!$A$2:$A$14,0))="plan_material")),IF(INDEX('C_jama.2025.20765'!$K$2:$K$14,MATCH("2025::jama.2025.20765::C005",'C_jama.2025.20765'!$A$2:$A$14,0))="","",INDEX('C_jama.2025.20765'!$K$2:$K$14,MATCH("2025::jama.2025.20765::C005",'C_jama.2025.20765'!$A$2:$A$14,0))),"not_applicable")</x:f>
        <x:v>not_applicable</x:v>
      </x:c>
      <x:c r="Y91" s="3" t="str">
        <x:f>IF(AND(INDEX('C_jama.2025.20765'!$D$2:$D$14,MATCH("2025::jama.2025.20765::C005",'C_jama.2025.20765'!$A$2:$A$14,0))="retain",INDEX('C_jama.2025.20765'!$E$2:$E$14,MATCH("2025::jama.2025.20765::C005",'C_jama.2025.20765'!$A$2:$A$14,0))="protocol_report"),IF(INDEX('C_jama.2025.20765'!$L$2:$L$14,MATCH("2025::jama.2025.20765::C005",'C_jama.2025.20765'!$A$2:$A$14,0))="","",INDEX('C_jama.2025.20765'!$L$2:$L$14,MATCH("2025::jama.2025.20765::C005",'C_jama.2025.20765'!$A$2:$A$14,0))),"not_applicable")</x:f>
        <x:v>not_applicable</x:v>
      </x:c>
      <x:c r="Z91" s="3" t="str">
        <x:f>IF(INDEX('C_jama.2025.20765'!$R$2:$R$14,MATCH("2025::jama.2025.20765::C005",'C_jama.2025.20765'!$A$2:$A$14,0))="","",INDEX('C_jama.2025.20765'!$R$2:$R$14,MATCH("2025::jama.2025.20765::C005",'C_jama.2025.20765'!$A$2:$A$14,0)))</x:f>
      </x:c>
      <x:c r="AA91" s="3" t="str">
        <x:f>IF(INDEX('C_jama.2025.20765'!$N$2:$N$14,MATCH("2025::jama.2025.20765::C005",'C_jama.2025.20765'!$A$2:$A$14,0))="","",INDEX('C_jama.2025.20765'!$N$2:$N$14,MATCH("2025::jama.2025.20765::C005",'C_jama.2025.20765'!$A$2:$A$14,0)))</x:f>
      </x:c>
      <x:c r="AB91" s="3" t="str">
        <x:f>IF(INDEX('C_jama.2025.20765'!$O$2:$O$14,MATCH("2025::jama.2025.20765::C005",'C_jama.2025.20765'!$A$2:$A$14,0))="","",INDEX('C_jama.2025.20765'!$O$2:$O$14,MATCH("2025::jama.2025.20765::C005",'C_jama.2025.20765'!$A$2:$A$14,0)))</x:f>
      </x:c>
      <x:c r="AC91" s="3" t="str">
        <x:f>IF(INDEX('C_jama.2025.20765'!$P$2:$P$14,MATCH("2025::jama.2025.20765::C005",'C_jama.2025.20765'!$A$2:$A$14,0))="","",INDEX('C_jama.2025.20765'!$P$2:$P$14,MATCH("2025::jama.2025.20765::C005",'C_jama.2025.20765'!$A$2:$A$14,0)))</x:f>
      </x:c>
      <x:c r="AD91" s="3" t="str">
        <x:f>IF(INDEX('C_jama.2025.20765'!$Q$2:$Q$14,MATCH("2025::jama.2025.20765::C005",'C_jama.2025.20765'!$A$2:$A$14,0))="","",INDEX('C_jama.2025.20765'!$Q$2:$Q$14,MATCH("2025::jama.2025.20765::C005",'C_jama.2025.20765'!$A$2:$A$14,0)))</x:f>
      </x:c>
    </x:row>
    <x:row r="92" ht="65" customHeight="1">
      <x:c r="A92" s="6" t="n">
        <x:v>2025</x:v>
      </x:c>
      <x:c r="B92" s="6" t="str">
        <x:v>jama.2025.20765</x:v>
      </x:c>
      <x:c r="C92" s="6" t="str">
        <x:v>2025::jama.2025.20765::C006</x:v>
      </x:c>
      <x:c r="D92" s="6" t="str">
        <x:v>P_P</x:v>
      </x:c>
      <x:c r="E92" s="6" t="n">
        <x:f>Setup!$B$2</x:f>
        <x:v>0</x:v>
      </x:c>
      <x:c r="F92" s="6" t="str">
        <x:f>IF(Setup!$B$4="","",Setup!$B$4)</x:f>
      </x:c>
      <x:c r="G92" s="6" t="str">
        <x:f>IFERROR(INDEX('C_jama.2025.20765'!$G$2:$G$14,MATCH("2025::jama.2025.20765::C006",'C_jama.2025.20765'!$A$2:$A$14,0)),"CHECK KEY")</x:f>
        <x:v>CHECK REVIEWER IDs</x:v>
      </x:c>
      <x:c r="H92" s="6" t="str">
        <x:f>IF(G92&lt;&gt;"FINAL READY","",IF(S92&lt;&gt;"retain","not_eligible",IF(D92="P_R","protocol_descriptive",IF(D92="P_P","plan_descriptive",IF(AND(T92="statistical_results",OR(U92="confirmed_issue",U92="probable_issue"),V92="substantive"),"primary_temporal",IF(AND(T92="report_internal_inconsistency",X92="substantive_inconsistency"),"secondary_temporal","not_eligible"))))))</x:f>
      </x:c>
      <x:c r="I92" s="6" t="str">
        <x:v>retain</x:v>
      </x:c>
      <x:c r="J92" s="6" t="str">
        <x:v>plan_material</x:v>
      </x:c>
      <x:c r="K92" s="6" t="str">
        <x:f>IF(Setup!$B$6="primary","",IFERROR(IF(INDEX('Primary_snapshot'!$B$2:$B$132,MATCH(C92,'Primary_snapshot'!$A$2:$A$132,0))="","",INDEX('Primary_snapshot'!$B$2:$B$132,MATCH(C92,'Primary_snapshot'!$A$2:$A$132,0))),"SNAPSHOT MISSING"))</x:f>
      </x:c>
      <x:c r="L92" s="6" t="str">
        <x:f>IF(Setup!$B$6="primary","",IFERROR(IF(INDEX('Primary_snapshot'!$C$2:$C$132,MATCH(C92,'Primary_snapshot'!$A$2:$A$132,0))="","",INDEX('Primary_snapshot'!$C$2:$C$132,MATCH(C92,'Primary_snapshot'!$A$2:$A$132,0))),"SNAPSHOT MISSING"))</x:f>
      </x:c>
      <x:c r="M92" s="6" t="str">
        <x:f>IF(Setup!$B$6="primary","",IFERROR(IF(INDEX('Primary_snapshot'!$D$2:$D$132,MATCH(C92,'Primary_snapshot'!$A$2:$A$132,0))="","",INDEX('Primary_snapshot'!$D$2:$D$132,MATCH(C92,'Primary_snapshot'!$A$2:$A$132,0))),"SNAPSHOT MISSING"))</x:f>
      </x:c>
      <x:c r="N92" s="6" t="str">
        <x:f>IF(Setup!$B$6="primary","",IFERROR(IF(INDEX('Primary_snapshot'!$E$2:$E$132,MATCH(C92,'Primary_snapshot'!$A$2:$A$132,0))="","",INDEX('Primary_snapshot'!$E$2:$E$132,MATCH(C92,'Primary_snapshot'!$A$2:$A$132,0))),"SNAPSHOT MISSING"))</x:f>
      </x:c>
      <x:c r="O92" s="6" t="str">
        <x:f>IF(Setup!$B$6="primary","",IFERROR(IF(INDEX('Primary_snapshot'!$F$2:$F$132,MATCH(C92,'Primary_snapshot'!$A$2:$A$132,0))="","",INDEX('Primary_snapshot'!$F$2:$F$132,MATCH(C92,'Primary_snapshot'!$A$2:$A$132,0))),"SNAPSHOT MISSING"))</x:f>
      </x:c>
      <x:c r="P92" s="6" t="str">
        <x:f>IF(Setup!$B$6="primary","",IFERROR(IF(INDEX('Primary_snapshot'!$G$2:$G$132,MATCH(C92,'Primary_snapshot'!$A$2:$A$132,0))="","",INDEX('Primary_snapshot'!$G$2:$G$132,MATCH(C92,'Primary_snapshot'!$A$2:$A$132,0))),"SNAPSHOT MISSING"))</x:f>
      </x:c>
      <x:c r="Q92" s="6" t="str">
        <x:f>IF(Setup!$B$6="primary","",IFERROR(IF(INDEX('Primary_snapshot'!$H$2:$H$132,MATCH(C92,'Primary_snapshot'!$A$2:$A$132,0))="","",INDEX('Primary_snapshot'!$H$2:$H$132,MATCH(C92,'Primary_snapshot'!$A$2:$A$132,0))),"SNAPSHOT MISSING"))</x:f>
      </x:c>
      <x:c r="R92" s="6" t="str">
        <x:f>IF(Setup!$B$6="primary","",IFERROR(IF(INDEX('Primary_snapshot'!$I$2:$I$132,MATCH(C92,'Primary_snapshot'!$A$2:$A$132,0))="","",INDEX('Primary_snapshot'!$I$2:$I$132,MATCH(C92,'Primary_snapshot'!$A$2:$A$132,0))),"SNAPSHOT MISSING"))</x:f>
      </x:c>
      <x:c r="S92" s="6" t="str">
        <x:f>IF(INDEX('C_jama.2025.20765'!$D$2:$D$14,MATCH("2025::jama.2025.20765::C006",'C_jama.2025.20765'!$A$2:$A$14,0))="","",INDEX('C_jama.2025.20765'!$D$2:$D$14,MATCH("2025::jama.2025.20765::C006",'C_jama.2025.20765'!$A$2:$A$14,0)))</x:f>
      </x:c>
      <x:c r="T92" s="6" t="str">
        <x:f>IF(INDEX('C_jama.2025.20765'!$E$2:$E$14,MATCH("2025::jama.2025.20765::C006",'C_jama.2025.20765'!$A$2:$A$14,0))="","",INDEX('C_jama.2025.20765'!$E$2:$E$14,MATCH("2025::jama.2025.20765::C006",'C_jama.2025.20765'!$A$2:$A$14,0)))</x:f>
        <x:v>plan_material</x:v>
      </x:c>
      <x:c r="U92" s="6" t="str">
        <x:f>IF(AND(INDEX('C_jama.2025.20765'!$D$2:$D$14,MATCH("2025::jama.2025.20765::C006",'C_jama.2025.20765'!$A$2:$A$14,0))="retain",INDEX('C_jama.2025.20765'!$E$2:$E$14,MATCH("2025::jama.2025.20765::C006",'C_jama.2025.20765'!$A$2:$A$14,0))="statistical_results"),IF(INDEX('C_jama.2025.20765'!$H$2:$H$14,MATCH("2025::jama.2025.20765::C006",'C_jama.2025.20765'!$A$2:$A$14,0))="","",INDEX('C_jama.2025.20765'!$H$2:$H$14,MATCH("2025::jama.2025.20765::C006",'C_jama.2025.20765'!$A$2:$A$14,0))),"not_applicable")</x:f>
        <x:v>not_applicable</x:v>
      </x:c>
      <x:c r="V92" s="6" t="str">
        <x:f>IF(AND(INDEX('C_jama.2025.20765'!$D$2:$D$14,MATCH("2025::jama.2025.20765::C006",'C_jama.2025.20765'!$A$2:$A$14,0))="retain",INDEX('C_jama.2025.20765'!$E$2:$E$14,MATCH("2025::jama.2025.20765::C006",'C_jama.2025.20765'!$A$2:$A$14,0))="statistical_results"),IF(INDEX('C_jama.2025.20765'!$I$2:$I$14,MATCH("2025::jama.2025.20765::C006",'C_jama.2025.20765'!$A$2:$A$14,0))="","",INDEX('C_jama.2025.20765'!$I$2:$I$14,MATCH("2025::jama.2025.20765::C006",'C_jama.2025.20765'!$A$2:$A$14,0))),"not_applicable")</x:f>
        <x:v>not_applicable</x:v>
      </x:c>
      <x:c r="W92" s="6" t="str">
        <x:f>IF(AND(INDEX('C_jama.2025.20765'!$D$2:$D$14,MATCH("2025::jama.2025.20765::C006",'C_jama.2025.20765'!$A$2:$A$14,0))="retain",INDEX('C_jama.2025.20765'!$E$2:$E$14,MATCH("2025::jama.2025.20765::C006",'C_jama.2025.20765'!$A$2:$A$14,0))="statistical_results"),IF(INDEX('C_jama.2025.20765'!$J$2:$J$14,MATCH("2025::jama.2025.20765::C006",'C_jama.2025.20765'!$A$2:$A$14,0))="","",INDEX('C_jama.2025.20765'!$J$2:$J$14,MATCH("2025::jama.2025.20765::C006",'C_jama.2025.20765'!$A$2:$A$14,0))),"not_applicable")</x:f>
        <x:v>not_applicable</x:v>
      </x:c>
      <x:c r="X92" s="6" t="str">
        <x:f>IF(AND(INDEX('C_jama.2025.20765'!$D$2:$D$14,MATCH("2025::jama.2025.20765::C006",'C_jama.2025.20765'!$A$2:$A$14,0))="retain",OR(INDEX('C_jama.2025.20765'!$E$2:$E$14,MATCH("2025::jama.2025.20765::C006",'C_jama.2025.20765'!$A$2:$A$14,0))="report_internal_inconsistency",INDEX('C_jama.2025.20765'!$E$2:$E$14,MATCH("2025::jama.2025.20765::C006",'C_jama.2025.20765'!$A$2:$A$14,0))="plan_material")),IF(INDEX('C_jama.2025.20765'!$K$2:$K$14,MATCH("2025::jama.2025.20765::C006",'C_jama.2025.20765'!$A$2:$A$14,0))="","",INDEX('C_jama.2025.20765'!$K$2:$K$14,MATCH("2025::jama.2025.20765::C006",'C_jama.2025.20765'!$A$2:$A$14,0))),"not_applicable")</x:f>
        <x:v>not_applicable</x:v>
      </x:c>
      <x:c r="Y92" s="6" t="str">
        <x:f>IF(AND(INDEX('C_jama.2025.20765'!$D$2:$D$14,MATCH("2025::jama.2025.20765::C006",'C_jama.2025.20765'!$A$2:$A$14,0))="retain",INDEX('C_jama.2025.20765'!$E$2:$E$14,MATCH("2025::jama.2025.20765::C006",'C_jama.2025.20765'!$A$2:$A$14,0))="protocol_report"),IF(INDEX('C_jama.2025.20765'!$L$2:$L$14,MATCH("2025::jama.2025.20765::C006",'C_jama.2025.20765'!$A$2:$A$14,0))="","",INDEX('C_jama.2025.20765'!$L$2:$L$14,MATCH("2025::jama.2025.20765::C006",'C_jama.2025.20765'!$A$2:$A$14,0))),"not_applicable")</x:f>
        <x:v>not_applicable</x:v>
      </x:c>
      <x:c r="Z92" s="6" t="str">
        <x:f>IF(INDEX('C_jama.2025.20765'!$R$2:$R$14,MATCH("2025::jama.2025.20765::C006",'C_jama.2025.20765'!$A$2:$A$14,0))="","",INDEX('C_jama.2025.20765'!$R$2:$R$14,MATCH("2025::jama.2025.20765::C006",'C_jama.2025.20765'!$A$2:$A$14,0)))</x:f>
      </x:c>
      <x:c r="AA92" s="6" t="str">
        <x:f>IF(INDEX('C_jama.2025.20765'!$N$2:$N$14,MATCH("2025::jama.2025.20765::C006",'C_jama.2025.20765'!$A$2:$A$14,0))="","",INDEX('C_jama.2025.20765'!$N$2:$N$14,MATCH("2025::jama.2025.20765::C006",'C_jama.2025.20765'!$A$2:$A$14,0)))</x:f>
      </x:c>
      <x:c r="AB92" s="6" t="str">
        <x:f>IF(INDEX('C_jama.2025.20765'!$O$2:$O$14,MATCH("2025::jama.2025.20765::C006",'C_jama.2025.20765'!$A$2:$A$14,0))="","",INDEX('C_jama.2025.20765'!$O$2:$O$14,MATCH("2025::jama.2025.20765::C006",'C_jama.2025.20765'!$A$2:$A$14,0)))</x:f>
      </x:c>
      <x:c r="AC92" s="6" t="str">
        <x:f>IF(INDEX('C_jama.2025.20765'!$P$2:$P$14,MATCH("2025::jama.2025.20765::C006",'C_jama.2025.20765'!$A$2:$A$14,0))="","",INDEX('C_jama.2025.20765'!$P$2:$P$14,MATCH("2025::jama.2025.20765::C006",'C_jama.2025.20765'!$A$2:$A$14,0)))</x:f>
      </x:c>
      <x:c r="AD92" s="6" t="str">
        <x:f>IF(INDEX('C_jama.2025.20765'!$Q$2:$Q$14,MATCH("2025::jama.2025.20765::C006",'C_jama.2025.20765'!$A$2:$A$14,0))="","",INDEX('C_jama.2025.20765'!$Q$2:$Q$14,MATCH("2025::jama.2025.20765::C006",'C_jama.2025.20765'!$A$2:$A$14,0)))</x:f>
      </x:c>
    </x:row>
    <x:row r="93" ht="65" customHeight="1">
      <x:c r="A93" s="3" t="n">
        <x:v>2025</x:v>
      </x:c>
      <x:c r="B93" s="3" t="str">
        <x:v>jama.2025.20765</x:v>
      </x:c>
      <x:c r="C93" s="3" t="str">
        <x:v>2025::jama.2025.20765::C007</x:v>
      </x:c>
      <x:c r="D93" s="3" t="str">
        <x:v>P_P</x:v>
      </x:c>
      <x:c r="E93" s="3" t="n">
        <x:f>Setup!$B$2</x:f>
        <x:v>0</x:v>
      </x:c>
      <x:c r="F93" s="3" t="str">
        <x:f>IF(Setup!$B$4="","",Setup!$B$4)</x:f>
      </x:c>
      <x:c r="G93" s="3" t="str">
        <x:f>IFERROR(INDEX('C_jama.2025.20765'!$G$2:$G$14,MATCH("2025::jama.2025.20765::C007",'C_jama.2025.20765'!$A$2:$A$14,0)),"CHECK KEY")</x:f>
        <x:v>CHECK REVIEWER IDs</x:v>
      </x:c>
      <x:c r="H93" s="3" t="str">
        <x:f>IF(G93&lt;&gt;"FINAL READY","",IF(S93&lt;&gt;"retain","not_eligible",IF(D93="P_R","protocol_descriptive",IF(D93="P_P","plan_descriptive",IF(AND(T93="statistical_results",OR(U93="confirmed_issue",U93="probable_issue"),V93="substantive"),"primary_temporal",IF(AND(T93="report_internal_inconsistency",X93="substantive_inconsistency"),"secondary_temporal","not_eligible"))))))</x:f>
      </x:c>
      <x:c r="I93" s="3" t="str">
        <x:v>retain</x:v>
      </x:c>
      <x:c r="J93" s="3" t="str">
        <x:v>plan_material</x:v>
      </x:c>
      <x:c r="K93" s="3" t="str">
        <x:f>IF(Setup!$B$6="primary","",IFERROR(IF(INDEX('Primary_snapshot'!$B$2:$B$132,MATCH(C93,'Primary_snapshot'!$A$2:$A$132,0))="","",INDEX('Primary_snapshot'!$B$2:$B$132,MATCH(C93,'Primary_snapshot'!$A$2:$A$132,0))),"SNAPSHOT MISSING"))</x:f>
      </x:c>
      <x:c r="L93" s="3" t="str">
        <x:f>IF(Setup!$B$6="primary","",IFERROR(IF(INDEX('Primary_snapshot'!$C$2:$C$132,MATCH(C93,'Primary_snapshot'!$A$2:$A$132,0))="","",INDEX('Primary_snapshot'!$C$2:$C$132,MATCH(C93,'Primary_snapshot'!$A$2:$A$132,0))),"SNAPSHOT MISSING"))</x:f>
      </x:c>
      <x:c r="M93" s="3" t="str">
        <x:f>IF(Setup!$B$6="primary","",IFERROR(IF(INDEX('Primary_snapshot'!$D$2:$D$132,MATCH(C93,'Primary_snapshot'!$A$2:$A$132,0))="","",INDEX('Primary_snapshot'!$D$2:$D$132,MATCH(C93,'Primary_snapshot'!$A$2:$A$132,0))),"SNAPSHOT MISSING"))</x:f>
      </x:c>
      <x:c r="N93" s="3" t="str">
        <x:f>IF(Setup!$B$6="primary","",IFERROR(IF(INDEX('Primary_snapshot'!$E$2:$E$132,MATCH(C93,'Primary_snapshot'!$A$2:$A$132,0))="","",INDEX('Primary_snapshot'!$E$2:$E$132,MATCH(C93,'Primary_snapshot'!$A$2:$A$132,0))),"SNAPSHOT MISSING"))</x:f>
      </x:c>
      <x:c r="O93" s="3" t="str">
        <x:f>IF(Setup!$B$6="primary","",IFERROR(IF(INDEX('Primary_snapshot'!$F$2:$F$132,MATCH(C93,'Primary_snapshot'!$A$2:$A$132,0))="","",INDEX('Primary_snapshot'!$F$2:$F$132,MATCH(C93,'Primary_snapshot'!$A$2:$A$132,0))),"SNAPSHOT MISSING"))</x:f>
      </x:c>
      <x:c r="P93" s="3" t="str">
        <x:f>IF(Setup!$B$6="primary","",IFERROR(IF(INDEX('Primary_snapshot'!$G$2:$G$132,MATCH(C93,'Primary_snapshot'!$A$2:$A$132,0))="","",INDEX('Primary_snapshot'!$G$2:$G$132,MATCH(C93,'Primary_snapshot'!$A$2:$A$132,0))),"SNAPSHOT MISSING"))</x:f>
      </x:c>
      <x:c r="Q93" s="3" t="str">
        <x:f>IF(Setup!$B$6="primary","",IFERROR(IF(INDEX('Primary_snapshot'!$H$2:$H$132,MATCH(C93,'Primary_snapshot'!$A$2:$A$132,0))="","",INDEX('Primary_snapshot'!$H$2:$H$132,MATCH(C93,'Primary_snapshot'!$A$2:$A$132,0))),"SNAPSHOT MISSING"))</x:f>
      </x:c>
      <x:c r="R93" s="3" t="str">
        <x:f>IF(Setup!$B$6="primary","",IFERROR(IF(INDEX('Primary_snapshot'!$I$2:$I$132,MATCH(C93,'Primary_snapshot'!$A$2:$A$132,0))="","",INDEX('Primary_snapshot'!$I$2:$I$132,MATCH(C93,'Primary_snapshot'!$A$2:$A$132,0))),"SNAPSHOT MISSING"))</x:f>
      </x:c>
      <x:c r="S93" s="3" t="str">
        <x:f>IF(INDEX('C_jama.2025.20765'!$D$2:$D$14,MATCH("2025::jama.2025.20765::C007",'C_jama.2025.20765'!$A$2:$A$14,0))="","",INDEX('C_jama.2025.20765'!$D$2:$D$14,MATCH("2025::jama.2025.20765::C007",'C_jama.2025.20765'!$A$2:$A$14,0)))</x:f>
      </x:c>
      <x:c r="T93" s="3" t="str">
        <x:f>IF(INDEX('C_jama.2025.20765'!$E$2:$E$14,MATCH("2025::jama.2025.20765::C007",'C_jama.2025.20765'!$A$2:$A$14,0))="","",INDEX('C_jama.2025.20765'!$E$2:$E$14,MATCH("2025::jama.2025.20765::C007",'C_jama.2025.20765'!$A$2:$A$14,0)))</x:f>
        <x:v>plan_material</x:v>
      </x:c>
      <x:c r="U93" s="3" t="str">
        <x:f>IF(AND(INDEX('C_jama.2025.20765'!$D$2:$D$14,MATCH("2025::jama.2025.20765::C007",'C_jama.2025.20765'!$A$2:$A$14,0))="retain",INDEX('C_jama.2025.20765'!$E$2:$E$14,MATCH("2025::jama.2025.20765::C007",'C_jama.2025.20765'!$A$2:$A$14,0))="statistical_results"),IF(INDEX('C_jama.2025.20765'!$H$2:$H$14,MATCH("2025::jama.2025.20765::C007",'C_jama.2025.20765'!$A$2:$A$14,0))="","",INDEX('C_jama.2025.20765'!$H$2:$H$14,MATCH("2025::jama.2025.20765::C007",'C_jama.2025.20765'!$A$2:$A$14,0))),"not_applicable")</x:f>
        <x:v>not_applicable</x:v>
      </x:c>
      <x:c r="V93" s="3" t="str">
        <x:f>IF(AND(INDEX('C_jama.2025.20765'!$D$2:$D$14,MATCH("2025::jama.2025.20765::C007",'C_jama.2025.20765'!$A$2:$A$14,0))="retain",INDEX('C_jama.2025.20765'!$E$2:$E$14,MATCH("2025::jama.2025.20765::C007",'C_jama.2025.20765'!$A$2:$A$14,0))="statistical_results"),IF(INDEX('C_jama.2025.20765'!$I$2:$I$14,MATCH("2025::jama.2025.20765::C007",'C_jama.2025.20765'!$A$2:$A$14,0))="","",INDEX('C_jama.2025.20765'!$I$2:$I$14,MATCH("2025::jama.2025.20765::C007",'C_jama.2025.20765'!$A$2:$A$14,0))),"not_applicable")</x:f>
        <x:v>not_applicable</x:v>
      </x:c>
      <x:c r="W93" s="3" t="str">
        <x:f>IF(AND(INDEX('C_jama.2025.20765'!$D$2:$D$14,MATCH("2025::jama.2025.20765::C007",'C_jama.2025.20765'!$A$2:$A$14,0))="retain",INDEX('C_jama.2025.20765'!$E$2:$E$14,MATCH("2025::jama.2025.20765::C007",'C_jama.2025.20765'!$A$2:$A$14,0))="statistical_results"),IF(INDEX('C_jama.2025.20765'!$J$2:$J$14,MATCH("2025::jama.2025.20765::C007",'C_jama.2025.20765'!$A$2:$A$14,0))="","",INDEX('C_jama.2025.20765'!$J$2:$J$14,MATCH("2025::jama.2025.20765::C007",'C_jama.2025.20765'!$A$2:$A$14,0))),"not_applicable")</x:f>
        <x:v>not_applicable</x:v>
      </x:c>
      <x:c r="X93" s="3" t="str">
        <x:f>IF(AND(INDEX('C_jama.2025.20765'!$D$2:$D$14,MATCH("2025::jama.2025.20765::C007",'C_jama.2025.20765'!$A$2:$A$14,0))="retain",OR(INDEX('C_jama.2025.20765'!$E$2:$E$14,MATCH("2025::jama.2025.20765::C007",'C_jama.2025.20765'!$A$2:$A$14,0))="report_internal_inconsistency",INDEX('C_jama.2025.20765'!$E$2:$E$14,MATCH("2025::jama.2025.20765::C007",'C_jama.2025.20765'!$A$2:$A$14,0))="plan_material")),IF(INDEX('C_jama.2025.20765'!$K$2:$K$14,MATCH("2025::jama.2025.20765::C007",'C_jama.2025.20765'!$A$2:$A$14,0))="","",INDEX('C_jama.2025.20765'!$K$2:$K$14,MATCH("2025::jama.2025.20765::C007",'C_jama.2025.20765'!$A$2:$A$14,0))),"not_applicable")</x:f>
        <x:v>not_applicable</x:v>
      </x:c>
      <x:c r="Y93" s="3" t="str">
        <x:f>IF(AND(INDEX('C_jama.2025.20765'!$D$2:$D$14,MATCH("2025::jama.2025.20765::C007",'C_jama.2025.20765'!$A$2:$A$14,0))="retain",INDEX('C_jama.2025.20765'!$E$2:$E$14,MATCH("2025::jama.2025.20765::C007",'C_jama.2025.20765'!$A$2:$A$14,0))="protocol_report"),IF(INDEX('C_jama.2025.20765'!$L$2:$L$14,MATCH("2025::jama.2025.20765::C007",'C_jama.2025.20765'!$A$2:$A$14,0))="","",INDEX('C_jama.2025.20765'!$L$2:$L$14,MATCH("2025::jama.2025.20765::C007",'C_jama.2025.20765'!$A$2:$A$14,0))),"not_applicable")</x:f>
        <x:v>not_applicable</x:v>
      </x:c>
      <x:c r="Z93" s="3" t="str">
        <x:f>IF(INDEX('C_jama.2025.20765'!$R$2:$R$14,MATCH("2025::jama.2025.20765::C007",'C_jama.2025.20765'!$A$2:$A$14,0))="","",INDEX('C_jama.2025.20765'!$R$2:$R$14,MATCH("2025::jama.2025.20765::C007",'C_jama.2025.20765'!$A$2:$A$14,0)))</x:f>
      </x:c>
      <x:c r="AA93" s="3" t="str">
        <x:f>IF(INDEX('C_jama.2025.20765'!$N$2:$N$14,MATCH("2025::jama.2025.20765::C007",'C_jama.2025.20765'!$A$2:$A$14,0))="","",INDEX('C_jama.2025.20765'!$N$2:$N$14,MATCH("2025::jama.2025.20765::C007",'C_jama.2025.20765'!$A$2:$A$14,0)))</x:f>
      </x:c>
      <x:c r="AB93" s="3" t="str">
        <x:f>IF(INDEX('C_jama.2025.20765'!$O$2:$O$14,MATCH("2025::jama.2025.20765::C007",'C_jama.2025.20765'!$A$2:$A$14,0))="","",INDEX('C_jama.2025.20765'!$O$2:$O$14,MATCH("2025::jama.2025.20765::C007",'C_jama.2025.20765'!$A$2:$A$14,0)))</x:f>
      </x:c>
      <x:c r="AC93" s="3" t="str">
        <x:f>IF(INDEX('C_jama.2025.20765'!$P$2:$P$14,MATCH("2025::jama.2025.20765::C007",'C_jama.2025.20765'!$A$2:$A$14,0))="","",INDEX('C_jama.2025.20765'!$P$2:$P$14,MATCH("2025::jama.2025.20765::C007",'C_jama.2025.20765'!$A$2:$A$14,0)))</x:f>
      </x:c>
      <x:c r="AD93" s="3" t="str">
        <x:f>IF(INDEX('C_jama.2025.20765'!$Q$2:$Q$14,MATCH("2025::jama.2025.20765::C007",'C_jama.2025.20765'!$A$2:$A$14,0))="","",INDEX('C_jama.2025.20765'!$Q$2:$Q$14,MATCH("2025::jama.2025.20765::C007",'C_jama.2025.20765'!$A$2:$A$14,0)))</x:f>
      </x:c>
    </x:row>
    <x:row r="94" ht="65" customHeight="1">
      <x:c r="A94" s="6" t="n">
        <x:v>2025</x:v>
      </x:c>
      <x:c r="B94" s="6" t="str">
        <x:v>jama.2025.20765</x:v>
      </x:c>
      <x:c r="C94" s="6" t="str">
        <x:v>2025::jama.2025.20765::C008</x:v>
      </x:c>
      <x:c r="D94" s="6" t="str">
        <x:v>P_P</x:v>
      </x:c>
      <x:c r="E94" s="6" t="n">
        <x:f>Setup!$B$2</x:f>
        <x:v>0</x:v>
      </x:c>
      <x:c r="F94" s="6" t="str">
        <x:f>IF(Setup!$B$4="","",Setup!$B$4)</x:f>
      </x:c>
      <x:c r="G94" s="6" t="str">
        <x:f>IFERROR(INDEX('C_jama.2025.20765'!$G$2:$G$14,MATCH("2025::jama.2025.20765::C008",'C_jama.2025.20765'!$A$2:$A$14,0)),"CHECK KEY")</x:f>
        <x:v>CHECK REVIEWER IDs</x:v>
      </x:c>
      <x:c r="H94" s="6" t="str">
        <x:f>IF(G94&lt;&gt;"FINAL READY","",IF(S94&lt;&gt;"retain","not_eligible",IF(D94="P_R","protocol_descriptive",IF(D94="P_P","plan_descriptive",IF(AND(T94="statistical_results",OR(U94="confirmed_issue",U94="probable_issue"),V94="substantive"),"primary_temporal",IF(AND(T94="report_internal_inconsistency",X94="substantive_inconsistency"),"secondary_temporal","not_eligible"))))))</x:f>
      </x:c>
      <x:c r="I94" s="6" t="str">
        <x:v>retain</x:v>
      </x:c>
      <x:c r="J94" s="6" t="str">
        <x:v>plan_material</x:v>
      </x:c>
      <x:c r="K94" s="6" t="str">
        <x:f>IF(Setup!$B$6="primary","",IFERROR(IF(INDEX('Primary_snapshot'!$B$2:$B$132,MATCH(C94,'Primary_snapshot'!$A$2:$A$132,0))="","",INDEX('Primary_snapshot'!$B$2:$B$132,MATCH(C94,'Primary_snapshot'!$A$2:$A$132,0))),"SNAPSHOT MISSING"))</x:f>
      </x:c>
      <x:c r="L94" s="6" t="str">
        <x:f>IF(Setup!$B$6="primary","",IFERROR(IF(INDEX('Primary_snapshot'!$C$2:$C$132,MATCH(C94,'Primary_snapshot'!$A$2:$A$132,0))="","",INDEX('Primary_snapshot'!$C$2:$C$132,MATCH(C94,'Primary_snapshot'!$A$2:$A$132,0))),"SNAPSHOT MISSING"))</x:f>
      </x:c>
      <x:c r="M94" s="6" t="str">
        <x:f>IF(Setup!$B$6="primary","",IFERROR(IF(INDEX('Primary_snapshot'!$D$2:$D$132,MATCH(C94,'Primary_snapshot'!$A$2:$A$132,0))="","",INDEX('Primary_snapshot'!$D$2:$D$132,MATCH(C94,'Primary_snapshot'!$A$2:$A$132,0))),"SNAPSHOT MISSING"))</x:f>
      </x:c>
      <x:c r="N94" s="6" t="str">
        <x:f>IF(Setup!$B$6="primary","",IFERROR(IF(INDEX('Primary_snapshot'!$E$2:$E$132,MATCH(C94,'Primary_snapshot'!$A$2:$A$132,0))="","",INDEX('Primary_snapshot'!$E$2:$E$132,MATCH(C94,'Primary_snapshot'!$A$2:$A$132,0))),"SNAPSHOT MISSING"))</x:f>
      </x:c>
      <x:c r="O94" s="6" t="str">
        <x:f>IF(Setup!$B$6="primary","",IFERROR(IF(INDEX('Primary_snapshot'!$F$2:$F$132,MATCH(C94,'Primary_snapshot'!$A$2:$A$132,0))="","",INDEX('Primary_snapshot'!$F$2:$F$132,MATCH(C94,'Primary_snapshot'!$A$2:$A$132,0))),"SNAPSHOT MISSING"))</x:f>
      </x:c>
      <x:c r="P94" s="6" t="str">
        <x:f>IF(Setup!$B$6="primary","",IFERROR(IF(INDEX('Primary_snapshot'!$G$2:$G$132,MATCH(C94,'Primary_snapshot'!$A$2:$A$132,0))="","",INDEX('Primary_snapshot'!$G$2:$G$132,MATCH(C94,'Primary_snapshot'!$A$2:$A$132,0))),"SNAPSHOT MISSING"))</x:f>
      </x:c>
      <x:c r="Q94" s="6" t="str">
        <x:f>IF(Setup!$B$6="primary","",IFERROR(IF(INDEX('Primary_snapshot'!$H$2:$H$132,MATCH(C94,'Primary_snapshot'!$A$2:$A$132,0))="","",INDEX('Primary_snapshot'!$H$2:$H$132,MATCH(C94,'Primary_snapshot'!$A$2:$A$132,0))),"SNAPSHOT MISSING"))</x:f>
      </x:c>
      <x:c r="R94" s="6" t="str">
        <x:f>IF(Setup!$B$6="primary","",IFERROR(IF(INDEX('Primary_snapshot'!$I$2:$I$132,MATCH(C94,'Primary_snapshot'!$A$2:$A$132,0))="","",INDEX('Primary_snapshot'!$I$2:$I$132,MATCH(C94,'Primary_snapshot'!$A$2:$A$132,0))),"SNAPSHOT MISSING"))</x:f>
      </x:c>
      <x:c r="S94" s="6" t="str">
        <x:f>IF(INDEX('C_jama.2025.20765'!$D$2:$D$14,MATCH("2025::jama.2025.20765::C008",'C_jama.2025.20765'!$A$2:$A$14,0))="","",INDEX('C_jama.2025.20765'!$D$2:$D$14,MATCH("2025::jama.2025.20765::C008",'C_jama.2025.20765'!$A$2:$A$14,0)))</x:f>
      </x:c>
      <x:c r="T94" s="6" t="str">
        <x:f>IF(INDEX('C_jama.2025.20765'!$E$2:$E$14,MATCH("2025::jama.2025.20765::C008",'C_jama.2025.20765'!$A$2:$A$14,0))="","",INDEX('C_jama.2025.20765'!$E$2:$E$14,MATCH("2025::jama.2025.20765::C008",'C_jama.2025.20765'!$A$2:$A$14,0)))</x:f>
        <x:v>plan_material</x:v>
      </x:c>
      <x:c r="U94" s="6" t="str">
        <x:f>IF(AND(INDEX('C_jama.2025.20765'!$D$2:$D$14,MATCH("2025::jama.2025.20765::C008",'C_jama.2025.20765'!$A$2:$A$14,0))="retain",INDEX('C_jama.2025.20765'!$E$2:$E$14,MATCH("2025::jama.2025.20765::C008",'C_jama.2025.20765'!$A$2:$A$14,0))="statistical_results"),IF(INDEX('C_jama.2025.20765'!$H$2:$H$14,MATCH("2025::jama.2025.20765::C008",'C_jama.2025.20765'!$A$2:$A$14,0))="","",INDEX('C_jama.2025.20765'!$H$2:$H$14,MATCH("2025::jama.2025.20765::C008",'C_jama.2025.20765'!$A$2:$A$14,0))),"not_applicable")</x:f>
        <x:v>not_applicable</x:v>
      </x:c>
      <x:c r="V94" s="6" t="str">
        <x:f>IF(AND(INDEX('C_jama.2025.20765'!$D$2:$D$14,MATCH("2025::jama.2025.20765::C008",'C_jama.2025.20765'!$A$2:$A$14,0))="retain",INDEX('C_jama.2025.20765'!$E$2:$E$14,MATCH("2025::jama.2025.20765::C008",'C_jama.2025.20765'!$A$2:$A$14,0))="statistical_results"),IF(INDEX('C_jama.2025.20765'!$I$2:$I$14,MATCH("2025::jama.2025.20765::C008",'C_jama.2025.20765'!$A$2:$A$14,0))="","",INDEX('C_jama.2025.20765'!$I$2:$I$14,MATCH("2025::jama.2025.20765::C008",'C_jama.2025.20765'!$A$2:$A$14,0))),"not_applicable")</x:f>
        <x:v>not_applicable</x:v>
      </x:c>
      <x:c r="W94" s="6" t="str">
        <x:f>IF(AND(INDEX('C_jama.2025.20765'!$D$2:$D$14,MATCH("2025::jama.2025.20765::C008",'C_jama.2025.20765'!$A$2:$A$14,0))="retain",INDEX('C_jama.2025.20765'!$E$2:$E$14,MATCH("2025::jama.2025.20765::C008",'C_jama.2025.20765'!$A$2:$A$14,0))="statistical_results"),IF(INDEX('C_jama.2025.20765'!$J$2:$J$14,MATCH("2025::jama.2025.20765::C008",'C_jama.2025.20765'!$A$2:$A$14,0))="","",INDEX('C_jama.2025.20765'!$J$2:$J$14,MATCH("2025::jama.2025.20765::C008",'C_jama.2025.20765'!$A$2:$A$14,0))),"not_applicable")</x:f>
        <x:v>not_applicable</x:v>
      </x:c>
      <x:c r="X94" s="6" t="str">
        <x:f>IF(AND(INDEX('C_jama.2025.20765'!$D$2:$D$14,MATCH("2025::jama.2025.20765::C008",'C_jama.2025.20765'!$A$2:$A$14,0))="retain",OR(INDEX('C_jama.2025.20765'!$E$2:$E$14,MATCH("2025::jama.2025.20765::C008",'C_jama.2025.20765'!$A$2:$A$14,0))="report_internal_inconsistency",INDEX('C_jama.2025.20765'!$E$2:$E$14,MATCH("2025::jama.2025.20765::C008",'C_jama.2025.20765'!$A$2:$A$14,0))="plan_material")),IF(INDEX('C_jama.2025.20765'!$K$2:$K$14,MATCH("2025::jama.2025.20765::C008",'C_jama.2025.20765'!$A$2:$A$14,0))="","",INDEX('C_jama.2025.20765'!$K$2:$K$14,MATCH("2025::jama.2025.20765::C008",'C_jama.2025.20765'!$A$2:$A$14,0))),"not_applicable")</x:f>
        <x:v>not_applicable</x:v>
      </x:c>
      <x:c r="Y94" s="6" t="str">
        <x:f>IF(AND(INDEX('C_jama.2025.20765'!$D$2:$D$14,MATCH("2025::jama.2025.20765::C008",'C_jama.2025.20765'!$A$2:$A$14,0))="retain",INDEX('C_jama.2025.20765'!$E$2:$E$14,MATCH("2025::jama.2025.20765::C008",'C_jama.2025.20765'!$A$2:$A$14,0))="protocol_report"),IF(INDEX('C_jama.2025.20765'!$L$2:$L$14,MATCH("2025::jama.2025.20765::C008",'C_jama.2025.20765'!$A$2:$A$14,0))="","",INDEX('C_jama.2025.20765'!$L$2:$L$14,MATCH("2025::jama.2025.20765::C008",'C_jama.2025.20765'!$A$2:$A$14,0))),"not_applicable")</x:f>
        <x:v>not_applicable</x:v>
      </x:c>
      <x:c r="Z94" s="6" t="str">
        <x:f>IF(INDEX('C_jama.2025.20765'!$R$2:$R$14,MATCH("2025::jama.2025.20765::C008",'C_jama.2025.20765'!$A$2:$A$14,0))="","",INDEX('C_jama.2025.20765'!$R$2:$R$14,MATCH("2025::jama.2025.20765::C008",'C_jama.2025.20765'!$A$2:$A$14,0)))</x:f>
      </x:c>
      <x:c r="AA94" s="6" t="str">
        <x:f>IF(INDEX('C_jama.2025.20765'!$N$2:$N$14,MATCH("2025::jama.2025.20765::C008",'C_jama.2025.20765'!$A$2:$A$14,0))="","",INDEX('C_jama.2025.20765'!$N$2:$N$14,MATCH("2025::jama.2025.20765::C008",'C_jama.2025.20765'!$A$2:$A$14,0)))</x:f>
      </x:c>
      <x:c r="AB94" s="6" t="str">
        <x:f>IF(INDEX('C_jama.2025.20765'!$O$2:$O$14,MATCH("2025::jama.2025.20765::C008",'C_jama.2025.20765'!$A$2:$A$14,0))="","",INDEX('C_jama.2025.20765'!$O$2:$O$14,MATCH("2025::jama.2025.20765::C008",'C_jama.2025.20765'!$A$2:$A$14,0)))</x:f>
      </x:c>
      <x:c r="AC94" s="6" t="str">
        <x:f>IF(INDEX('C_jama.2025.20765'!$P$2:$P$14,MATCH("2025::jama.2025.20765::C008",'C_jama.2025.20765'!$A$2:$A$14,0))="","",INDEX('C_jama.2025.20765'!$P$2:$P$14,MATCH("2025::jama.2025.20765::C008",'C_jama.2025.20765'!$A$2:$A$14,0)))</x:f>
      </x:c>
      <x:c r="AD94" s="6" t="str">
        <x:f>IF(INDEX('C_jama.2025.20765'!$Q$2:$Q$14,MATCH("2025::jama.2025.20765::C008",'C_jama.2025.20765'!$A$2:$A$14,0))="","",INDEX('C_jama.2025.20765'!$Q$2:$Q$14,MATCH("2025::jama.2025.20765::C008",'C_jama.2025.20765'!$A$2:$A$14,0)))</x:f>
      </x:c>
    </x:row>
    <x:row r="95" ht="65" customHeight="1">
      <x:c r="A95" s="3" t="n">
        <x:v>2025</x:v>
      </x:c>
      <x:c r="B95" s="3" t="str">
        <x:v>jama.2025.20765</x:v>
      </x:c>
      <x:c r="C95" s="3" t="str">
        <x:v>2025::jama.2025.20765::C009</x:v>
      </x:c>
      <x:c r="D95" s="3" t="str">
        <x:v>P_P</x:v>
      </x:c>
      <x:c r="E95" s="3" t="n">
        <x:f>Setup!$B$2</x:f>
        <x:v>0</x:v>
      </x:c>
      <x:c r="F95" s="3" t="str">
        <x:f>IF(Setup!$B$4="","",Setup!$B$4)</x:f>
      </x:c>
      <x:c r="G95" s="3" t="str">
        <x:f>IFERROR(INDEX('C_jama.2025.20765'!$G$2:$G$14,MATCH("2025::jama.2025.20765::C009",'C_jama.2025.20765'!$A$2:$A$14,0)),"CHECK KEY")</x:f>
        <x:v>CHECK REVIEWER IDs</x:v>
      </x:c>
      <x:c r="H95" s="3" t="str">
        <x:f>IF(G95&lt;&gt;"FINAL READY","",IF(S95&lt;&gt;"retain","not_eligible",IF(D95="P_R","protocol_descriptive",IF(D95="P_P","plan_descriptive",IF(AND(T95="statistical_results",OR(U95="confirmed_issue",U95="probable_issue"),V95="substantive"),"primary_temporal",IF(AND(T95="report_internal_inconsistency",X95="substantive_inconsistency"),"secondary_temporal","not_eligible"))))))</x:f>
      </x:c>
      <x:c r="I95" s="3" t="str">
        <x:v>retain</x:v>
      </x:c>
      <x:c r="J95" s="3" t="str">
        <x:v>plan_material</x:v>
      </x:c>
      <x:c r="K95" s="3" t="str">
        <x:f>IF(Setup!$B$6="primary","",IFERROR(IF(INDEX('Primary_snapshot'!$B$2:$B$132,MATCH(C95,'Primary_snapshot'!$A$2:$A$132,0))="","",INDEX('Primary_snapshot'!$B$2:$B$132,MATCH(C95,'Primary_snapshot'!$A$2:$A$132,0))),"SNAPSHOT MISSING"))</x:f>
      </x:c>
      <x:c r="L95" s="3" t="str">
        <x:f>IF(Setup!$B$6="primary","",IFERROR(IF(INDEX('Primary_snapshot'!$C$2:$C$132,MATCH(C95,'Primary_snapshot'!$A$2:$A$132,0))="","",INDEX('Primary_snapshot'!$C$2:$C$132,MATCH(C95,'Primary_snapshot'!$A$2:$A$132,0))),"SNAPSHOT MISSING"))</x:f>
      </x:c>
      <x:c r="M95" s="3" t="str">
        <x:f>IF(Setup!$B$6="primary","",IFERROR(IF(INDEX('Primary_snapshot'!$D$2:$D$132,MATCH(C95,'Primary_snapshot'!$A$2:$A$132,0))="","",INDEX('Primary_snapshot'!$D$2:$D$132,MATCH(C95,'Primary_snapshot'!$A$2:$A$132,0))),"SNAPSHOT MISSING"))</x:f>
      </x:c>
      <x:c r="N95" s="3" t="str">
        <x:f>IF(Setup!$B$6="primary","",IFERROR(IF(INDEX('Primary_snapshot'!$E$2:$E$132,MATCH(C95,'Primary_snapshot'!$A$2:$A$132,0))="","",INDEX('Primary_snapshot'!$E$2:$E$132,MATCH(C95,'Primary_snapshot'!$A$2:$A$132,0))),"SNAPSHOT MISSING"))</x:f>
      </x:c>
      <x:c r="O95" s="3" t="str">
        <x:f>IF(Setup!$B$6="primary","",IFERROR(IF(INDEX('Primary_snapshot'!$F$2:$F$132,MATCH(C95,'Primary_snapshot'!$A$2:$A$132,0))="","",INDEX('Primary_snapshot'!$F$2:$F$132,MATCH(C95,'Primary_snapshot'!$A$2:$A$132,0))),"SNAPSHOT MISSING"))</x:f>
      </x:c>
      <x:c r="P95" s="3" t="str">
        <x:f>IF(Setup!$B$6="primary","",IFERROR(IF(INDEX('Primary_snapshot'!$G$2:$G$132,MATCH(C95,'Primary_snapshot'!$A$2:$A$132,0))="","",INDEX('Primary_snapshot'!$G$2:$G$132,MATCH(C95,'Primary_snapshot'!$A$2:$A$132,0))),"SNAPSHOT MISSING"))</x:f>
      </x:c>
      <x:c r="Q95" s="3" t="str">
        <x:f>IF(Setup!$B$6="primary","",IFERROR(IF(INDEX('Primary_snapshot'!$H$2:$H$132,MATCH(C95,'Primary_snapshot'!$A$2:$A$132,0))="","",INDEX('Primary_snapshot'!$H$2:$H$132,MATCH(C95,'Primary_snapshot'!$A$2:$A$132,0))),"SNAPSHOT MISSING"))</x:f>
      </x:c>
      <x:c r="R95" s="3" t="str">
        <x:f>IF(Setup!$B$6="primary","",IFERROR(IF(INDEX('Primary_snapshot'!$I$2:$I$132,MATCH(C95,'Primary_snapshot'!$A$2:$A$132,0))="","",INDEX('Primary_snapshot'!$I$2:$I$132,MATCH(C95,'Primary_snapshot'!$A$2:$A$132,0))),"SNAPSHOT MISSING"))</x:f>
      </x:c>
      <x:c r="S95" s="3" t="str">
        <x:f>IF(INDEX('C_jama.2025.20765'!$D$2:$D$14,MATCH("2025::jama.2025.20765::C009",'C_jama.2025.20765'!$A$2:$A$14,0))="","",INDEX('C_jama.2025.20765'!$D$2:$D$14,MATCH("2025::jama.2025.20765::C009",'C_jama.2025.20765'!$A$2:$A$14,0)))</x:f>
      </x:c>
      <x:c r="T95" s="3" t="str">
        <x:f>IF(INDEX('C_jama.2025.20765'!$E$2:$E$14,MATCH("2025::jama.2025.20765::C009",'C_jama.2025.20765'!$A$2:$A$14,0))="","",INDEX('C_jama.2025.20765'!$E$2:$E$14,MATCH("2025::jama.2025.20765::C009",'C_jama.2025.20765'!$A$2:$A$14,0)))</x:f>
        <x:v>plan_material</x:v>
      </x:c>
      <x:c r="U95" s="3" t="str">
        <x:f>IF(AND(INDEX('C_jama.2025.20765'!$D$2:$D$14,MATCH("2025::jama.2025.20765::C009",'C_jama.2025.20765'!$A$2:$A$14,0))="retain",INDEX('C_jama.2025.20765'!$E$2:$E$14,MATCH("2025::jama.2025.20765::C009",'C_jama.2025.20765'!$A$2:$A$14,0))="statistical_results"),IF(INDEX('C_jama.2025.20765'!$H$2:$H$14,MATCH("2025::jama.2025.20765::C009",'C_jama.2025.20765'!$A$2:$A$14,0))="","",INDEX('C_jama.2025.20765'!$H$2:$H$14,MATCH("2025::jama.2025.20765::C009",'C_jama.2025.20765'!$A$2:$A$14,0))),"not_applicable")</x:f>
        <x:v>not_applicable</x:v>
      </x:c>
      <x:c r="V95" s="3" t="str">
        <x:f>IF(AND(INDEX('C_jama.2025.20765'!$D$2:$D$14,MATCH("2025::jama.2025.20765::C009",'C_jama.2025.20765'!$A$2:$A$14,0))="retain",INDEX('C_jama.2025.20765'!$E$2:$E$14,MATCH("2025::jama.2025.20765::C009",'C_jama.2025.20765'!$A$2:$A$14,0))="statistical_results"),IF(INDEX('C_jama.2025.20765'!$I$2:$I$14,MATCH("2025::jama.2025.20765::C009",'C_jama.2025.20765'!$A$2:$A$14,0))="","",INDEX('C_jama.2025.20765'!$I$2:$I$14,MATCH("2025::jama.2025.20765::C009",'C_jama.2025.20765'!$A$2:$A$14,0))),"not_applicable")</x:f>
        <x:v>not_applicable</x:v>
      </x:c>
      <x:c r="W95" s="3" t="str">
        <x:f>IF(AND(INDEX('C_jama.2025.20765'!$D$2:$D$14,MATCH("2025::jama.2025.20765::C009",'C_jama.2025.20765'!$A$2:$A$14,0))="retain",INDEX('C_jama.2025.20765'!$E$2:$E$14,MATCH("2025::jama.2025.20765::C009",'C_jama.2025.20765'!$A$2:$A$14,0))="statistical_results"),IF(INDEX('C_jama.2025.20765'!$J$2:$J$14,MATCH("2025::jama.2025.20765::C009",'C_jama.2025.20765'!$A$2:$A$14,0))="","",INDEX('C_jama.2025.20765'!$J$2:$J$14,MATCH("2025::jama.2025.20765::C009",'C_jama.2025.20765'!$A$2:$A$14,0))),"not_applicable")</x:f>
        <x:v>not_applicable</x:v>
      </x:c>
      <x:c r="X95" s="3" t="str">
        <x:f>IF(AND(INDEX('C_jama.2025.20765'!$D$2:$D$14,MATCH("2025::jama.2025.20765::C009",'C_jama.2025.20765'!$A$2:$A$14,0))="retain",OR(INDEX('C_jama.2025.20765'!$E$2:$E$14,MATCH("2025::jama.2025.20765::C009",'C_jama.2025.20765'!$A$2:$A$14,0))="report_internal_inconsistency",INDEX('C_jama.2025.20765'!$E$2:$E$14,MATCH("2025::jama.2025.20765::C009",'C_jama.2025.20765'!$A$2:$A$14,0))="plan_material")),IF(INDEX('C_jama.2025.20765'!$K$2:$K$14,MATCH("2025::jama.2025.20765::C009",'C_jama.2025.20765'!$A$2:$A$14,0))="","",INDEX('C_jama.2025.20765'!$K$2:$K$14,MATCH("2025::jama.2025.20765::C009",'C_jama.2025.20765'!$A$2:$A$14,0))),"not_applicable")</x:f>
        <x:v>not_applicable</x:v>
      </x:c>
      <x:c r="Y95" s="3" t="str">
        <x:f>IF(AND(INDEX('C_jama.2025.20765'!$D$2:$D$14,MATCH("2025::jama.2025.20765::C009",'C_jama.2025.20765'!$A$2:$A$14,0))="retain",INDEX('C_jama.2025.20765'!$E$2:$E$14,MATCH("2025::jama.2025.20765::C009",'C_jama.2025.20765'!$A$2:$A$14,0))="protocol_report"),IF(INDEX('C_jama.2025.20765'!$L$2:$L$14,MATCH("2025::jama.2025.20765::C009",'C_jama.2025.20765'!$A$2:$A$14,0))="","",INDEX('C_jama.2025.20765'!$L$2:$L$14,MATCH("2025::jama.2025.20765::C009",'C_jama.2025.20765'!$A$2:$A$14,0))),"not_applicable")</x:f>
        <x:v>not_applicable</x:v>
      </x:c>
      <x:c r="Z95" s="3" t="str">
        <x:f>IF(INDEX('C_jama.2025.20765'!$R$2:$R$14,MATCH("2025::jama.2025.20765::C009",'C_jama.2025.20765'!$A$2:$A$14,0))="","",INDEX('C_jama.2025.20765'!$R$2:$R$14,MATCH("2025::jama.2025.20765::C009",'C_jama.2025.20765'!$A$2:$A$14,0)))</x:f>
      </x:c>
      <x:c r="AA95" s="3" t="str">
        <x:f>IF(INDEX('C_jama.2025.20765'!$N$2:$N$14,MATCH("2025::jama.2025.20765::C009",'C_jama.2025.20765'!$A$2:$A$14,0))="","",INDEX('C_jama.2025.20765'!$N$2:$N$14,MATCH("2025::jama.2025.20765::C009",'C_jama.2025.20765'!$A$2:$A$14,0)))</x:f>
      </x:c>
      <x:c r="AB95" s="3" t="str">
        <x:f>IF(INDEX('C_jama.2025.20765'!$O$2:$O$14,MATCH("2025::jama.2025.20765::C009",'C_jama.2025.20765'!$A$2:$A$14,0))="","",INDEX('C_jama.2025.20765'!$O$2:$O$14,MATCH("2025::jama.2025.20765::C009",'C_jama.2025.20765'!$A$2:$A$14,0)))</x:f>
      </x:c>
      <x:c r="AC95" s="3" t="str">
        <x:f>IF(INDEX('C_jama.2025.20765'!$P$2:$P$14,MATCH("2025::jama.2025.20765::C009",'C_jama.2025.20765'!$A$2:$A$14,0))="","",INDEX('C_jama.2025.20765'!$P$2:$P$14,MATCH("2025::jama.2025.20765::C009",'C_jama.2025.20765'!$A$2:$A$14,0)))</x:f>
      </x:c>
      <x:c r="AD95" s="3" t="str">
        <x:f>IF(INDEX('C_jama.2025.20765'!$Q$2:$Q$14,MATCH("2025::jama.2025.20765::C009",'C_jama.2025.20765'!$A$2:$A$14,0))="","",INDEX('C_jama.2025.20765'!$Q$2:$Q$14,MATCH("2025::jama.2025.20765::C009",'C_jama.2025.20765'!$A$2:$A$14,0)))</x:f>
      </x:c>
    </x:row>
    <x:row r="96" ht="65" customHeight="1">
      <x:c r="A96" s="6" t="n">
        <x:v>2025</x:v>
      </x:c>
      <x:c r="B96" s="6" t="str">
        <x:v>jama.2025.20765</x:v>
      </x:c>
      <x:c r="C96" s="6" t="str">
        <x:v>2025::jama.2025.20765::C010</x:v>
      </x:c>
      <x:c r="D96" s="6" t="str">
        <x:v>P_P</x:v>
      </x:c>
      <x:c r="E96" s="6" t="n">
        <x:f>Setup!$B$2</x:f>
        <x:v>0</x:v>
      </x:c>
      <x:c r="F96" s="6" t="str">
        <x:f>IF(Setup!$B$4="","",Setup!$B$4)</x:f>
      </x:c>
      <x:c r="G96" s="6" t="str">
        <x:f>IFERROR(INDEX('C_jama.2025.20765'!$G$2:$G$14,MATCH("2025::jama.2025.20765::C010",'C_jama.2025.20765'!$A$2:$A$14,0)),"CHECK KEY")</x:f>
        <x:v>CHECK REVIEWER IDs</x:v>
      </x:c>
      <x:c r="H96" s="6" t="str">
        <x:f>IF(G96&lt;&gt;"FINAL READY","",IF(S96&lt;&gt;"retain","not_eligible",IF(D96="P_R","protocol_descriptive",IF(D96="P_P","plan_descriptive",IF(AND(T96="statistical_results",OR(U96="confirmed_issue",U96="probable_issue"),V96="substantive"),"primary_temporal",IF(AND(T96="report_internal_inconsistency",X96="substantive_inconsistency"),"secondary_temporal","not_eligible"))))))</x:f>
      </x:c>
      <x:c r="I96" s="6" t="str">
        <x:v>retain</x:v>
      </x:c>
      <x:c r="J96" s="6" t="str">
        <x:v>plan_material</x:v>
      </x:c>
      <x:c r="K96" s="6" t="str">
        <x:f>IF(Setup!$B$6="primary","",IFERROR(IF(INDEX('Primary_snapshot'!$B$2:$B$132,MATCH(C96,'Primary_snapshot'!$A$2:$A$132,0))="","",INDEX('Primary_snapshot'!$B$2:$B$132,MATCH(C96,'Primary_snapshot'!$A$2:$A$132,0))),"SNAPSHOT MISSING"))</x:f>
      </x:c>
      <x:c r="L96" s="6" t="str">
        <x:f>IF(Setup!$B$6="primary","",IFERROR(IF(INDEX('Primary_snapshot'!$C$2:$C$132,MATCH(C96,'Primary_snapshot'!$A$2:$A$132,0))="","",INDEX('Primary_snapshot'!$C$2:$C$132,MATCH(C96,'Primary_snapshot'!$A$2:$A$132,0))),"SNAPSHOT MISSING"))</x:f>
      </x:c>
      <x:c r="M96" s="6" t="str">
        <x:f>IF(Setup!$B$6="primary","",IFERROR(IF(INDEX('Primary_snapshot'!$D$2:$D$132,MATCH(C96,'Primary_snapshot'!$A$2:$A$132,0))="","",INDEX('Primary_snapshot'!$D$2:$D$132,MATCH(C96,'Primary_snapshot'!$A$2:$A$132,0))),"SNAPSHOT MISSING"))</x:f>
      </x:c>
      <x:c r="N96" s="6" t="str">
        <x:f>IF(Setup!$B$6="primary","",IFERROR(IF(INDEX('Primary_snapshot'!$E$2:$E$132,MATCH(C96,'Primary_snapshot'!$A$2:$A$132,0))="","",INDEX('Primary_snapshot'!$E$2:$E$132,MATCH(C96,'Primary_snapshot'!$A$2:$A$132,0))),"SNAPSHOT MISSING"))</x:f>
      </x:c>
      <x:c r="O96" s="6" t="str">
        <x:f>IF(Setup!$B$6="primary","",IFERROR(IF(INDEX('Primary_snapshot'!$F$2:$F$132,MATCH(C96,'Primary_snapshot'!$A$2:$A$132,0))="","",INDEX('Primary_snapshot'!$F$2:$F$132,MATCH(C96,'Primary_snapshot'!$A$2:$A$132,0))),"SNAPSHOT MISSING"))</x:f>
      </x:c>
      <x:c r="P96" s="6" t="str">
        <x:f>IF(Setup!$B$6="primary","",IFERROR(IF(INDEX('Primary_snapshot'!$G$2:$G$132,MATCH(C96,'Primary_snapshot'!$A$2:$A$132,0))="","",INDEX('Primary_snapshot'!$G$2:$G$132,MATCH(C96,'Primary_snapshot'!$A$2:$A$132,0))),"SNAPSHOT MISSING"))</x:f>
      </x:c>
      <x:c r="Q96" s="6" t="str">
        <x:f>IF(Setup!$B$6="primary","",IFERROR(IF(INDEX('Primary_snapshot'!$H$2:$H$132,MATCH(C96,'Primary_snapshot'!$A$2:$A$132,0))="","",INDEX('Primary_snapshot'!$H$2:$H$132,MATCH(C96,'Primary_snapshot'!$A$2:$A$132,0))),"SNAPSHOT MISSING"))</x:f>
      </x:c>
      <x:c r="R96" s="6" t="str">
        <x:f>IF(Setup!$B$6="primary","",IFERROR(IF(INDEX('Primary_snapshot'!$I$2:$I$132,MATCH(C96,'Primary_snapshot'!$A$2:$A$132,0))="","",INDEX('Primary_snapshot'!$I$2:$I$132,MATCH(C96,'Primary_snapshot'!$A$2:$A$132,0))),"SNAPSHOT MISSING"))</x:f>
      </x:c>
      <x:c r="S96" s="6" t="str">
        <x:f>IF(INDEX('C_jama.2025.20765'!$D$2:$D$14,MATCH("2025::jama.2025.20765::C010",'C_jama.2025.20765'!$A$2:$A$14,0))="","",INDEX('C_jama.2025.20765'!$D$2:$D$14,MATCH("2025::jama.2025.20765::C010",'C_jama.2025.20765'!$A$2:$A$14,0)))</x:f>
      </x:c>
      <x:c r="T96" s="6" t="str">
        <x:f>IF(INDEX('C_jama.2025.20765'!$E$2:$E$14,MATCH("2025::jama.2025.20765::C010",'C_jama.2025.20765'!$A$2:$A$14,0))="","",INDEX('C_jama.2025.20765'!$E$2:$E$14,MATCH("2025::jama.2025.20765::C010",'C_jama.2025.20765'!$A$2:$A$14,0)))</x:f>
        <x:v>plan_material</x:v>
      </x:c>
      <x:c r="U96" s="6" t="str">
        <x:f>IF(AND(INDEX('C_jama.2025.20765'!$D$2:$D$14,MATCH("2025::jama.2025.20765::C010",'C_jama.2025.20765'!$A$2:$A$14,0))="retain",INDEX('C_jama.2025.20765'!$E$2:$E$14,MATCH("2025::jama.2025.20765::C010",'C_jama.2025.20765'!$A$2:$A$14,0))="statistical_results"),IF(INDEX('C_jama.2025.20765'!$H$2:$H$14,MATCH("2025::jama.2025.20765::C010",'C_jama.2025.20765'!$A$2:$A$14,0))="","",INDEX('C_jama.2025.20765'!$H$2:$H$14,MATCH("2025::jama.2025.20765::C010",'C_jama.2025.20765'!$A$2:$A$14,0))),"not_applicable")</x:f>
        <x:v>not_applicable</x:v>
      </x:c>
      <x:c r="V96" s="6" t="str">
        <x:f>IF(AND(INDEX('C_jama.2025.20765'!$D$2:$D$14,MATCH("2025::jama.2025.20765::C010",'C_jama.2025.20765'!$A$2:$A$14,0))="retain",INDEX('C_jama.2025.20765'!$E$2:$E$14,MATCH("2025::jama.2025.20765::C010",'C_jama.2025.20765'!$A$2:$A$14,0))="statistical_results"),IF(INDEX('C_jama.2025.20765'!$I$2:$I$14,MATCH("2025::jama.2025.20765::C010",'C_jama.2025.20765'!$A$2:$A$14,0))="","",INDEX('C_jama.2025.20765'!$I$2:$I$14,MATCH("2025::jama.2025.20765::C010",'C_jama.2025.20765'!$A$2:$A$14,0))),"not_applicable")</x:f>
        <x:v>not_applicable</x:v>
      </x:c>
      <x:c r="W96" s="6" t="str">
        <x:f>IF(AND(INDEX('C_jama.2025.20765'!$D$2:$D$14,MATCH("2025::jama.2025.20765::C010",'C_jama.2025.20765'!$A$2:$A$14,0))="retain",INDEX('C_jama.2025.20765'!$E$2:$E$14,MATCH("2025::jama.2025.20765::C010",'C_jama.2025.20765'!$A$2:$A$14,0))="statistical_results"),IF(INDEX('C_jama.2025.20765'!$J$2:$J$14,MATCH("2025::jama.2025.20765::C010",'C_jama.2025.20765'!$A$2:$A$14,0))="","",INDEX('C_jama.2025.20765'!$J$2:$J$14,MATCH("2025::jama.2025.20765::C010",'C_jama.2025.20765'!$A$2:$A$14,0))),"not_applicable")</x:f>
        <x:v>not_applicable</x:v>
      </x:c>
      <x:c r="X96" s="6" t="str">
        <x:f>IF(AND(INDEX('C_jama.2025.20765'!$D$2:$D$14,MATCH("2025::jama.2025.20765::C010",'C_jama.2025.20765'!$A$2:$A$14,0))="retain",OR(INDEX('C_jama.2025.20765'!$E$2:$E$14,MATCH("2025::jama.2025.20765::C010",'C_jama.2025.20765'!$A$2:$A$14,0))="report_internal_inconsistency",INDEX('C_jama.2025.20765'!$E$2:$E$14,MATCH("2025::jama.2025.20765::C010",'C_jama.2025.20765'!$A$2:$A$14,0))="plan_material")),IF(INDEX('C_jama.2025.20765'!$K$2:$K$14,MATCH("2025::jama.2025.20765::C010",'C_jama.2025.20765'!$A$2:$A$14,0))="","",INDEX('C_jama.2025.20765'!$K$2:$K$14,MATCH("2025::jama.2025.20765::C010",'C_jama.2025.20765'!$A$2:$A$14,0))),"not_applicable")</x:f>
        <x:v>not_applicable</x:v>
      </x:c>
      <x:c r="Y96" s="6" t="str">
        <x:f>IF(AND(INDEX('C_jama.2025.20765'!$D$2:$D$14,MATCH("2025::jama.2025.20765::C010",'C_jama.2025.20765'!$A$2:$A$14,0))="retain",INDEX('C_jama.2025.20765'!$E$2:$E$14,MATCH("2025::jama.2025.20765::C010",'C_jama.2025.20765'!$A$2:$A$14,0))="protocol_report"),IF(INDEX('C_jama.2025.20765'!$L$2:$L$14,MATCH("2025::jama.2025.20765::C010",'C_jama.2025.20765'!$A$2:$A$14,0))="","",INDEX('C_jama.2025.20765'!$L$2:$L$14,MATCH("2025::jama.2025.20765::C010",'C_jama.2025.20765'!$A$2:$A$14,0))),"not_applicable")</x:f>
        <x:v>not_applicable</x:v>
      </x:c>
      <x:c r="Z96" s="6" t="str">
        <x:f>IF(INDEX('C_jama.2025.20765'!$R$2:$R$14,MATCH("2025::jama.2025.20765::C010",'C_jama.2025.20765'!$A$2:$A$14,0))="","",INDEX('C_jama.2025.20765'!$R$2:$R$14,MATCH("2025::jama.2025.20765::C010",'C_jama.2025.20765'!$A$2:$A$14,0)))</x:f>
      </x:c>
      <x:c r="AA96" s="6" t="str">
        <x:f>IF(INDEX('C_jama.2025.20765'!$N$2:$N$14,MATCH("2025::jama.2025.20765::C010",'C_jama.2025.20765'!$A$2:$A$14,0))="","",INDEX('C_jama.2025.20765'!$N$2:$N$14,MATCH("2025::jama.2025.20765::C010",'C_jama.2025.20765'!$A$2:$A$14,0)))</x:f>
      </x:c>
      <x:c r="AB96" s="6" t="str">
        <x:f>IF(INDEX('C_jama.2025.20765'!$O$2:$O$14,MATCH("2025::jama.2025.20765::C010",'C_jama.2025.20765'!$A$2:$A$14,0))="","",INDEX('C_jama.2025.20765'!$O$2:$O$14,MATCH("2025::jama.2025.20765::C010",'C_jama.2025.20765'!$A$2:$A$14,0)))</x:f>
      </x:c>
      <x:c r="AC96" s="6" t="str">
        <x:f>IF(INDEX('C_jama.2025.20765'!$P$2:$P$14,MATCH("2025::jama.2025.20765::C010",'C_jama.2025.20765'!$A$2:$A$14,0))="","",INDEX('C_jama.2025.20765'!$P$2:$P$14,MATCH("2025::jama.2025.20765::C010",'C_jama.2025.20765'!$A$2:$A$14,0)))</x:f>
      </x:c>
      <x:c r="AD96" s="6" t="str">
        <x:f>IF(INDEX('C_jama.2025.20765'!$Q$2:$Q$14,MATCH("2025::jama.2025.20765::C010",'C_jama.2025.20765'!$A$2:$A$14,0))="","",INDEX('C_jama.2025.20765'!$Q$2:$Q$14,MATCH("2025::jama.2025.20765::C010",'C_jama.2025.20765'!$A$2:$A$14,0)))</x:f>
      </x:c>
    </x:row>
    <x:row r="97" ht="65" customHeight="1">
      <x:c r="A97" s="3" t="n">
        <x:v>2025</x:v>
      </x:c>
      <x:c r="B97" s="3" t="str">
        <x:v>jama.2025.20765</x:v>
      </x:c>
      <x:c r="C97" s="3" t="str">
        <x:v>2025::jama.2025.20765::C011</x:v>
      </x:c>
      <x:c r="D97" s="3" t="str">
        <x:v>P_P</x:v>
      </x:c>
      <x:c r="E97" s="3" t="n">
        <x:f>Setup!$B$2</x:f>
        <x:v>0</x:v>
      </x:c>
      <x:c r="F97" s="3" t="str">
        <x:f>IF(Setup!$B$4="","",Setup!$B$4)</x:f>
      </x:c>
      <x:c r="G97" s="3" t="str">
        <x:f>IFERROR(INDEX('C_jama.2025.20765'!$G$2:$G$14,MATCH("2025::jama.2025.20765::C011",'C_jama.2025.20765'!$A$2:$A$14,0)),"CHECK KEY")</x:f>
        <x:v>CHECK REVIEWER IDs</x:v>
      </x:c>
      <x:c r="H97" s="3" t="str">
        <x:f>IF(G97&lt;&gt;"FINAL READY","",IF(S97&lt;&gt;"retain","not_eligible",IF(D97="P_R","protocol_descriptive",IF(D97="P_P","plan_descriptive",IF(AND(T97="statistical_results",OR(U97="confirmed_issue",U97="probable_issue"),V97="substantive"),"primary_temporal",IF(AND(T97="report_internal_inconsistency",X97="substantive_inconsistency"),"secondary_temporal","not_eligible"))))))</x:f>
      </x:c>
      <x:c r="I97" s="3" t="str">
        <x:v>retain</x:v>
      </x:c>
      <x:c r="J97" s="3" t="str">
        <x:v>plan_material</x:v>
      </x:c>
      <x:c r="K97" s="3" t="str">
        <x:f>IF(Setup!$B$6="primary","",IFERROR(IF(INDEX('Primary_snapshot'!$B$2:$B$132,MATCH(C97,'Primary_snapshot'!$A$2:$A$132,0))="","",INDEX('Primary_snapshot'!$B$2:$B$132,MATCH(C97,'Primary_snapshot'!$A$2:$A$132,0))),"SNAPSHOT MISSING"))</x:f>
      </x:c>
      <x:c r="L97" s="3" t="str">
        <x:f>IF(Setup!$B$6="primary","",IFERROR(IF(INDEX('Primary_snapshot'!$C$2:$C$132,MATCH(C97,'Primary_snapshot'!$A$2:$A$132,0))="","",INDEX('Primary_snapshot'!$C$2:$C$132,MATCH(C97,'Primary_snapshot'!$A$2:$A$132,0))),"SNAPSHOT MISSING"))</x:f>
      </x:c>
      <x:c r="M97" s="3" t="str">
        <x:f>IF(Setup!$B$6="primary","",IFERROR(IF(INDEX('Primary_snapshot'!$D$2:$D$132,MATCH(C97,'Primary_snapshot'!$A$2:$A$132,0))="","",INDEX('Primary_snapshot'!$D$2:$D$132,MATCH(C97,'Primary_snapshot'!$A$2:$A$132,0))),"SNAPSHOT MISSING"))</x:f>
      </x:c>
      <x:c r="N97" s="3" t="str">
        <x:f>IF(Setup!$B$6="primary","",IFERROR(IF(INDEX('Primary_snapshot'!$E$2:$E$132,MATCH(C97,'Primary_snapshot'!$A$2:$A$132,0))="","",INDEX('Primary_snapshot'!$E$2:$E$132,MATCH(C97,'Primary_snapshot'!$A$2:$A$132,0))),"SNAPSHOT MISSING"))</x:f>
      </x:c>
      <x:c r="O97" s="3" t="str">
        <x:f>IF(Setup!$B$6="primary","",IFERROR(IF(INDEX('Primary_snapshot'!$F$2:$F$132,MATCH(C97,'Primary_snapshot'!$A$2:$A$132,0))="","",INDEX('Primary_snapshot'!$F$2:$F$132,MATCH(C97,'Primary_snapshot'!$A$2:$A$132,0))),"SNAPSHOT MISSING"))</x:f>
      </x:c>
      <x:c r="P97" s="3" t="str">
        <x:f>IF(Setup!$B$6="primary","",IFERROR(IF(INDEX('Primary_snapshot'!$G$2:$G$132,MATCH(C97,'Primary_snapshot'!$A$2:$A$132,0))="","",INDEX('Primary_snapshot'!$G$2:$G$132,MATCH(C97,'Primary_snapshot'!$A$2:$A$132,0))),"SNAPSHOT MISSING"))</x:f>
      </x:c>
      <x:c r="Q97" s="3" t="str">
        <x:f>IF(Setup!$B$6="primary","",IFERROR(IF(INDEX('Primary_snapshot'!$H$2:$H$132,MATCH(C97,'Primary_snapshot'!$A$2:$A$132,0))="","",INDEX('Primary_snapshot'!$H$2:$H$132,MATCH(C97,'Primary_snapshot'!$A$2:$A$132,0))),"SNAPSHOT MISSING"))</x:f>
      </x:c>
      <x:c r="R97" s="3" t="str">
        <x:f>IF(Setup!$B$6="primary","",IFERROR(IF(INDEX('Primary_snapshot'!$I$2:$I$132,MATCH(C97,'Primary_snapshot'!$A$2:$A$132,0))="","",INDEX('Primary_snapshot'!$I$2:$I$132,MATCH(C97,'Primary_snapshot'!$A$2:$A$132,0))),"SNAPSHOT MISSING"))</x:f>
      </x:c>
      <x:c r="S97" s="3" t="str">
        <x:f>IF(INDEX('C_jama.2025.20765'!$D$2:$D$14,MATCH("2025::jama.2025.20765::C011",'C_jama.2025.20765'!$A$2:$A$14,0))="","",INDEX('C_jama.2025.20765'!$D$2:$D$14,MATCH("2025::jama.2025.20765::C011",'C_jama.2025.20765'!$A$2:$A$14,0)))</x:f>
      </x:c>
      <x:c r="T97" s="3" t="str">
        <x:f>IF(INDEX('C_jama.2025.20765'!$E$2:$E$14,MATCH("2025::jama.2025.20765::C011",'C_jama.2025.20765'!$A$2:$A$14,0))="","",INDEX('C_jama.2025.20765'!$E$2:$E$14,MATCH("2025::jama.2025.20765::C011",'C_jama.2025.20765'!$A$2:$A$14,0)))</x:f>
        <x:v>plan_material</x:v>
      </x:c>
      <x:c r="U97" s="3" t="str">
        <x:f>IF(AND(INDEX('C_jama.2025.20765'!$D$2:$D$14,MATCH("2025::jama.2025.20765::C011",'C_jama.2025.20765'!$A$2:$A$14,0))="retain",INDEX('C_jama.2025.20765'!$E$2:$E$14,MATCH("2025::jama.2025.20765::C011",'C_jama.2025.20765'!$A$2:$A$14,0))="statistical_results"),IF(INDEX('C_jama.2025.20765'!$H$2:$H$14,MATCH("2025::jama.2025.20765::C011",'C_jama.2025.20765'!$A$2:$A$14,0))="","",INDEX('C_jama.2025.20765'!$H$2:$H$14,MATCH("2025::jama.2025.20765::C011",'C_jama.2025.20765'!$A$2:$A$14,0))),"not_applicable")</x:f>
        <x:v>not_applicable</x:v>
      </x:c>
      <x:c r="V97" s="3" t="str">
        <x:f>IF(AND(INDEX('C_jama.2025.20765'!$D$2:$D$14,MATCH("2025::jama.2025.20765::C011",'C_jama.2025.20765'!$A$2:$A$14,0))="retain",INDEX('C_jama.2025.20765'!$E$2:$E$14,MATCH("2025::jama.2025.20765::C011",'C_jama.2025.20765'!$A$2:$A$14,0))="statistical_results"),IF(INDEX('C_jama.2025.20765'!$I$2:$I$14,MATCH("2025::jama.2025.20765::C011",'C_jama.2025.20765'!$A$2:$A$14,0))="","",INDEX('C_jama.2025.20765'!$I$2:$I$14,MATCH("2025::jama.2025.20765::C011",'C_jama.2025.20765'!$A$2:$A$14,0))),"not_applicable")</x:f>
        <x:v>not_applicable</x:v>
      </x:c>
      <x:c r="W97" s="3" t="str">
        <x:f>IF(AND(INDEX('C_jama.2025.20765'!$D$2:$D$14,MATCH("2025::jama.2025.20765::C011",'C_jama.2025.20765'!$A$2:$A$14,0))="retain",INDEX('C_jama.2025.20765'!$E$2:$E$14,MATCH("2025::jama.2025.20765::C011",'C_jama.2025.20765'!$A$2:$A$14,0))="statistical_results"),IF(INDEX('C_jama.2025.20765'!$J$2:$J$14,MATCH("2025::jama.2025.20765::C011",'C_jama.2025.20765'!$A$2:$A$14,0))="","",INDEX('C_jama.2025.20765'!$J$2:$J$14,MATCH("2025::jama.2025.20765::C011",'C_jama.2025.20765'!$A$2:$A$14,0))),"not_applicable")</x:f>
        <x:v>not_applicable</x:v>
      </x:c>
      <x:c r="X97" s="3" t="str">
        <x:f>IF(AND(INDEX('C_jama.2025.20765'!$D$2:$D$14,MATCH("2025::jama.2025.20765::C011",'C_jama.2025.20765'!$A$2:$A$14,0))="retain",OR(INDEX('C_jama.2025.20765'!$E$2:$E$14,MATCH("2025::jama.2025.20765::C011",'C_jama.2025.20765'!$A$2:$A$14,0))="report_internal_inconsistency",INDEX('C_jama.2025.20765'!$E$2:$E$14,MATCH("2025::jama.2025.20765::C011",'C_jama.2025.20765'!$A$2:$A$14,0))="plan_material")),IF(INDEX('C_jama.2025.20765'!$K$2:$K$14,MATCH("2025::jama.2025.20765::C011",'C_jama.2025.20765'!$A$2:$A$14,0))="","",INDEX('C_jama.2025.20765'!$K$2:$K$14,MATCH("2025::jama.2025.20765::C011",'C_jama.2025.20765'!$A$2:$A$14,0))),"not_applicable")</x:f>
        <x:v>not_applicable</x:v>
      </x:c>
      <x:c r="Y97" s="3" t="str">
        <x:f>IF(AND(INDEX('C_jama.2025.20765'!$D$2:$D$14,MATCH("2025::jama.2025.20765::C011",'C_jama.2025.20765'!$A$2:$A$14,0))="retain",INDEX('C_jama.2025.20765'!$E$2:$E$14,MATCH("2025::jama.2025.20765::C011",'C_jama.2025.20765'!$A$2:$A$14,0))="protocol_report"),IF(INDEX('C_jama.2025.20765'!$L$2:$L$14,MATCH("2025::jama.2025.20765::C011",'C_jama.2025.20765'!$A$2:$A$14,0))="","",INDEX('C_jama.2025.20765'!$L$2:$L$14,MATCH("2025::jama.2025.20765::C011",'C_jama.2025.20765'!$A$2:$A$14,0))),"not_applicable")</x:f>
        <x:v>not_applicable</x:v>
      </x:c>
      <x:c r="Z97" s="3" t="str">
        <x:f>IF(INDEX('C_jama.2025.20765'!$R$2:$R$14,MATCH("2025::jama.2025.20765::C011",'C_jama.2025.20765'!$A$2:$A$14,0))="","",INDEX('C_jama.2025.20765'!$R$2:$R$14,MATCH("2025::jama.2025.20765::C011",'C_jama.2025.20765'!$A$2:$A$14,0)))</x:f>
      </x:c>
      <x:c r="AA97" s="3" t="str">
        <x:f>IF(INDEX('C_jama.2025.20765'!$N$2:$N$14,MATCH("2025::jama.2025.20765::C011",'C_jama.2025.20765'!$A$2:$A$14,0))="","",INDEX('C_jama.2025.20765'!$N$2:$N$14,MATCH("2025::jama.2025.20765::C011",'C_jama.2025.20765'!$A$2:$A$14,0)))</x:f>
      </x:c>
      <x:c r="AB97" s="3" t="str">
        <x:f>IF(INDEX('C_jama.2025.20765'!$O$2:$O$14,MATCH("2025::jama.2025.20765::C011",'C_jama.2025.20765'!$A$2:$A$14,0))="","",INDEX('C_jama.2025.20765'!$O$2:$O$14,MATCH("2025::jama.2025.20765::C011",'C_jama.2025.20765'!$A$2:$A$14,0)))</x:f>
      </x:c>
      <x:c r="AC97" s="3" t="str">
        <x:f>IF(INDEX('C_jama.2025.20765'!$P$2:$P$14,MATCH("2025::jama.2025.20765::C011",'C_jama.2025.20765'!$A$2:$A$14,0))="","",INDEX('C_jama.2025.20765'!$P$2:$P$14,MATCH("2025::jama.2025.20765::C011",'C_jama.2025.20765'!$A$2:$A$14,0)))</x:f>
      </x:c>
      <x:c r="AD97" s="3" t="str">
        <x:f>IF(INDEX('C_jama.2025.20765'!$Q$2:$Q$14,MATCH("2025::jama.2025.20765::C011",'C_jama.2025.20765'!$A$2:$A$14,0))="","",INDEX('C_jama.2025.20765'!$Q$2:$Q$14,MATCH("2025::jama.2025.20765::C011",'C_jama.2025.20765'!$A$2:$A$14,0)))</x:f>
      </x:c>
    </x:row>
    <x:row r="98" ht="65" customHeight="1">
      <x:c r="A98" s="6" t="n">
        <x:v>2025</x:v>
      </x:c>
      <x:c r="B98" s="6" t="str">
        <x:v>jama.2025.20765</x:v>
      </x:c>
      <x:c r="C98" s="6" t="str">
        <x:v>2025::jama.2025.20765::C012</x:v>
      </x:c>
      <x:c r="D98" s="6" t="str">
        <x:v>S_W</x:v>
      </x:c>
      <x:c r="E98" s="6" t="n">
        <x:f>Setup!$B$2</x:f>
        <x:v>0</x:v>
      </x:c>
      <x:c r="F98" s="6" t="str">
        <x:f>IF(Setup!$B$4="","",Setup!$B$4)</x:f>
      </x:c>
      <x:c r="G98" s="6" t="str">
        <x:f>IFERROR(INDEX('C_jama.2025.20765'!$G$2:$G$14,MATCH("2025::jama.2025.20765::C012",'C_jama.2025.20765'!$A$2:$A$14,0)),"CHECK KEY")</x:f>
        <x:v>CHECK REVIEWER IDs</x:v>
      </x:c>
      <x:c r="H98" s="6" t="str">
        <x:f>IF(G98&lt;&gt;"FINAL READY","",IF(S98&lt;&gt;"retain","not_eligible",IF(D98="P_R","protocol_descriptive",IF(D98="P_P","plan_descriptive",IF(AND(T98="statistical_results",OR(U98="confirmed_issue",U98="probable_issue"),V98="substantive"),"primary_temporal",IF(AND(T98="report_internal_inconsistency",X98="substantive_inconsistency"),"secondary_temporal","not_eligible"))))))</x:f>
      </x:c>
      <x:c r="I98" s="6" t="str">
        <x:v>retain</x:v>
      </x:c>
      <x:c r="J98" s="6" t="str">
        <x:v>statistical_results</x:v>
      </x:c>
      <x:c r="K98" s="6" t="str">
        <x:f>IF(Setup!$B$6="primary","",IFERROR(IF(INDEX('Primary_snapshot'!$B$2:$B$132,MATCH(C98,'Primary_snapshot'!$A$2:$A$132,0))="","",INDEX('Primary_snapshot'!$B$2:$B$132,MATCH(C98,'Primary_snapshot'!$A$2:$A$132,0))),"SNAPSHOT MISSING"))</x:f>
      </x:c>
      <x:c r="L98" s="6" t="str">
        <x:f>IF(Setup!$B$6="primary","",IFERROR(IF(INDEX('Primary_snapshot'!$C$2:$C$132,MATCH(C98,'Primary_snapshot'!$A$2:$A$132,0))="","",INDEX('Primary_snapshot'!$C$2:$C$132,MATCH(C98,'Primary_snapshot'!$A$2:$A$132,0))),"SNAPSHOT MISSING"))</x:f>
      </x:c>
      <x:c r="M98" s="6" t="str">
        <x:f>IF(Setup!$B$6="primary","",IFERROR(IF(INDEX('Primary_snapshot'!$D$2:$D$132,MATCH(C98,'Primary_snapshot'!$A$2:$A$132,0))="","",INDEX('Primary_snapshot'!$D$2:$D$132,MATCH(C98,'Primary_snapshot'!$A$2:$A$132,0))),"SNAPSHOT MISSING"))</x:f>
      </x:c>
      <x:c r="N98" s="6" t="str">
        <x:f>IF(Setup!$B$6="primary","",IFERROR(IF(INDEX('Primary_snapshot'!$E$2:$E$132,MATCH(C98,'Primary_snapshot'!$A$2:$A$132,0))="","",INDEX('Primary_snapshot'!$E$2:$E$132,MATCH(C98,'Primary_snapshot'!$A$2:$A$132,0))),"SNAPSHOT MISSING"))</x:f>
      </x:c>
      <x:c r="O98" s="6" t="str">
        <x:f>IF(Setup!$B$6="primary","",IFERROR(IF(INDEX('Primary_snapshot'!$F$2:$F$132,MATCH(C98,'Primary_snapshot'!$A$2:$A$132,0))="","",INDEX('Primary_snapshot'!$F$2:$F$132,MATCH(C98,'Primary_snapshot'!$A$2:$A$132,0))),"SNAPSHOT MISSING"))</x:f>
      </x:c>
      <x:c r="P98" s="6" t="str">
        <x:f>IF(Setup!$B$6="primary","",IFERROR(IF(INDEX('Primary_snapshot'!$G$2:$G$132,MATCH(C98,'Primary_snapshot'!$A$2:$A$132,0))="","",INDEX('Primary_snapshot'!$G$2:$G$132,MATCH(C98,'Primary_snapshot'!$A$2:$A$132,0))),"SNAPSHOT MISSING"))</x:f>
      </x:c>
      <x:c r="Q98" s="6" t="str">
        <x:f>IF(Setup!$B$6="primary","",IFERROR(IF(INDEX('Primary_snapshot'!$H$2:$H$132,MATCH(C98,'Primary_snapshot'!$A$2:$A$132,0))="","",INDEX('Primary_snapshot'!$H$2:$H$132,MATCH(C98,'Primary_snapshot'!$A$2:$A$132,0))),"SNAPSHOT MISSING"))</x:f>
      </x:c>
      <x:c r="R98" s="6" t="str">
        <x:f>IF(Setup!$B$6="primary","",IFERROR(IF(INDEX('Primary_snapshot'!$I$2:$I$132,MATCH(C98,'Primary_snapshot'!$A$2:$A$132,0))="","",INDEX('Primary_snapshot'!$I$2:$I$132,MATCH(C98,'Primary_snapshot'!$A$2:$A$132,0))),"SNAPSHOT MISSING"))</x:f>
      </x:c>
      <x:c r="S98" s="6" t="str">
        <x:f>IF(INDEX('C_jama.2025.20765'!$D$2:$D$14,MATCH("2025::jama.2025.20765::C012",'C_jama.2025.20765'!$A$2:$A$14,0))="","",INDEX('C_jama.2025.20765'!$D$2:$D$14,MATCH("2025::jama.2025.20765::C012",'C_jama.2025.20765'!$A$2:$A$14,0)))</x:f>
      </x:c>
      <x:c r="T98" s="6" t="str">
        <x:f>IF(INDEX('C_jama.2025.20765'!$E$2:$E$14,MATCH("2025::jama.2025.20765::C012",'C_jama.2025.20765'!$A$2:$A$14,0))="","",INDEX('C_jama.2025.20765'!$E$2:$E$14,MATCH("2025::jama.2025.20765::C012",'C_jama.2025.20765'!$A$2:$A$14,0)))</x:f>
        <x:v>statistical_results</x:v>
      </x:c>
      <x:c r="U98" s="6" t="str">
        <x:f>IF(AND(INDEX('C_jama.2025.20765'!$D$2:$D$14,MATCH("2025::jama.2025.20765::C012",'C_jama.2025.20765'!$A$2:$A$14,0))="retain",INDEX('C_jama.2025.20765'!$E$2:$E$14,MATCH("2025::jama.2025.20765::C012",'C_jama.2025.20765'!$A$2:$A$14,0))="statistical_results"),IF(INDEX('C_jama.2025.20765'!$H$2:$H$14,MATCH("2025::jama.2025.20765::C012",'C_jama.2025.20765'!$A$2:$A$14,0))="","",INDEX('C_jama.2025.20765'!$H$2:$H$14,MATCH("2025::jama.2025.20765::C012",'C_jama.2025.20765'!$A$2:$A$14,0))),"not_applicable")</x:f>
        <x:v>not_applicable</x:v>
      </x:c>
      <x:c r="V98" s="6" t="str">
        <x:f>IF(AND(INDEX('C_jama.2025.20765'!$D$2:$D$14,MATCH("2025::jama.2025.20765::C012",'C_jama.2025.20765'!$A$2:$A$14,0))="retain",INDEX('C_jama.2025.20765'!$E$2:$E$14,MATCH("2025::jama.2025.20765::C012",'C_jama.2025.20765'!$A$2:$A$14,0))="statistical_results"),IF(INDEX('C_jama.2025.20765'!$I$2:$I$14,MATCH("2025::jama.2025.20765::C012",'C_jama.2025.20765'!$A$2:$A$14,0))="","",INDEX('C_jama.2025.20765'!$I$2:$I$14,MATCH("2025::jama.2025.20765::C012",'C_jama.2025.20765'!$A$2:$A$14,0))),"not_applicable")</x:f>
        <x:v>not_applicable</x:v>
      </x:c>
      <x:c r="W98" s="6" t="str">
        <x:f>IF(AND(INDEX('C_jama.2025.20765'!$D$2:$D$14,MATCH("2025::jama.2025.20765::C012",'C_jama.2025.20765'!$A$2:$A$14,0))="retain",INDEX('C_jama.2025.20765'!$E$2:$E$14,MATCH("2025::jama.2025.20765::C012",'C_jama.2025.20765'!$A$2:$A$14,0))="statistical_results"),IF(INDEX('C_jama.2025.20765'!$J$2:$J$14,MATCH("2025::jama.2025.20765::C012",'C_jama.2025.20765'!$A$2:$A$14,0))="","",INDEX('C_jama.2025.20765'!$J$2:$J$14,MATCH("2025::jama.2025.20765::C012",'C_jama.2025.20765'!$A$2:$A$14,0))),"not_applicable")</x:f>
        <x:v>not_applicable</x:v>
      </x:c>
      <x:c r="X98" s="6" t="str">
        <x:f>IF(AND(INDEX('C_jama.2025.20765'!$D$2:$D$14,MATCH("2025::jama.2025.20765::C012",'C_jama.2025.20765'!$A$2:$A$14,0))="retain",OR(INDEX('C_jama.2025.20765'!$E$2:$E$14,MATCH("2025::jama.2025.20765::C012",'C_jama.2025.20765'!$A$2:$A$14,0))="report_internal_inconsistency",INDEX('C_jama.2025.20765'!$E$2:$E$14,MATCH("2025::jama.2025.20765::C012",'C_jama.2025.20765'!$A$2:$A$14,0))="plan_material")),IF(INDEX('C_jama.2025.20765'!$K$2:$K$14,MATCH("2025::jama.2025.20765::C012",'C_jama.2025.20765'!$A$2:$A$14,0))="","",INDEX('C_jama.2025.20765'!$K$2:$K$14,MATCH("2025::jama.2025.20765::C012",'C_jama.2025.20765'!$A$2:$A$14,0))),"not_applicable")</x:f>
        <x:v>not_applicable</x:v>
      </x:c>
      <x:c r="Y98" s="6" t="str">
        <x:f>IF(AND(INDEX('C_jama.2025.20765'!$D$2:$D$14,MATCH("2025::jama.2025.20765::C012",'C_jama.2025.20765'!$A$2:$A$14,0))="retain",INDEX('C_jama.2025.20765'!$E$2:$E$14,MATCH("2025::jama.2025.20765::C012",'C_jama.2025.20765'!$A$2:$A$14,0))="protocol_report"),IF(INDEX('C_jama.2025.20765'!$L$2:$L$14,MATCH("2025::jama.2025.20765::C012",'C_jama.2025.20765'!$A$2:$A$14,0))="","",INDEX('C_jama.2025.20765'!$L$2:$L$14,MATCH("2025::jama.2025.20765::C012",'C_jama.2025.20765'!$A$2:$A$14,0))),"not_applicable")</x:f>
        <x:v>not_applicable</x:v>
      </x:c>
      <x:c r="Z98" s="6" t="str">
        <x:f>IF(INDEX('C_jama.2025.20765'!$R$2:$R$14,MATCH("2025::jama.2025.20765::C012",'C_jama.2025.20765'!$A$2:$A$14,0))="","",INDEX('C_jama.2025.20765'!$R$2:$R$14,MATCH("2025::jama.2025.20765::C012",'C_jama.2025.20765'!$A$2:$A$14,0)))</x:f>
      </x:c>
      <x:c r="AA98" s="6" t="str">
        <x:f>IF(INDEX('C_jama.2025.20765'!$N$2:$N$14,MATCH("2025::jama.2025.20765::C012",'C_jama.2025.20765'!$A$2:$A$14,0))="","",INDEX('C_jama.2025.20765'!$N$2:$N$14,MATCH("2025::jama.2025.20765::C012",'C_jama.2025.20765'!$A$2:$A$14,0)))</x:f>
      </x:c>
      <x:c r="AB98" s="6" t="str">
        <x:f>IF(INDEX('C_jama.2025.20765'!$O$2:$O$14,MATCH("2025::jama.2025.20765::C012",'C_jama.2025.20765'!$A$2:$A$14,0))="","",INDEX('C_jama.2025.20765'!$O$2:$O$14,MATCH("2025::jama.2025.20765::C012",'C_jama.2025.20765'!$A$2:$A$14,0)))</x:f>
      </x:c>
      <x:c r="AC98" s="6" t="str">
        <x:f>IF(INDEX('C_jama.2025.20765'!$P$2:$P$14,MATCH("2025::jama.2025.20765::C012",'C_jama.2025.20765'!$A$2:$A$14,0))="","",INDEX('C_jama.2025.20765'!$P$2:$P$14,MATCH("2025::jama.2025.20765::C012",'C_jama.2025.20765'!$A$2:$A$14,0)))</x:f>
      </x:c>
      <x:c r="AD98" s="6" t="str">
        <x:f>IF(INDEX('C_jama.2025.20765'!$Q$2:$Q$14,MATCH("2025::jama.2025.20765::C012",'C_jama.2025.20765'!$A$2:$A$14,0))="","",INDEX('C_jama.2025.20765'!$Q$2:$Q$14,MATCH("2025::jama.2025.20765::C012",'C_jama.2025.20765'!$A$2:$A$14,0)))</x:f>
      </x:c>
    </x:row>
    <x:row r="99" ht="65" customHeight="1">
      <x:c r="A99" s="3" t="n">
        <x:v>2025</x:v>
      </x:c>
      <x:c r="B99" s="3" t="str">
        <x:v>jama.2025.20765</x:v>
      </x:c>
      <x:c r="C99" s="3" t="str">
        <x:v>2025::jama.2025.20765::C013</x:v>
      </x:c>
      <x:c r="D99" s="3" t="str">
        <x:v>P_R</x:v>
      </x:c>
      <x:c r="E99" s="3" t="n">
        <x:f>Setup!$B$2</x:f>
        <x:v>0</x:v>
      </x:c>
      <x:c r="F99" s="3" t="str">
        <x:f>IF(Setup!$B$4="","",Setup!$B$4)</x:f>
      </x:c>
      <x:c r="G99" s="3" t="str">
        <x:f>IFERROR(INDEX('C_jama.2025.20765'!$G$2:$G$14,MATCH("2025::jama.2025.20765::C013",'C_jama.2025.20765'!$A$2:$A$14,0)),"CHECK KEY")</x:f>
        <x:v>CHECK REVIEWER IDs</x:v>
      </x:c>
      <x:c r="H99" s="3" t="str">
        <x:f>IF(G99&lt;&gt;"FINAL READY","",IF(S99&lt;&gt;"retain","not_eligible",IF(D99="P_R","protocol_descriptive",IF(D99="P_P","plan_descriptive",IF(AND(T99="statistical_results",OR(U99="confirmed_issue",U99="probable_issue"),V99="substantive"),"primary_temporal",IF(AND(T99="report_internal_inconsistency",X99="substantive_inconsistency"),"secondary_temporal","not_eligible"))))))</x:f>
      </x:c>
      <x:c r="I99" s="3" t="str">
        <x:v>retain</x:v>
      </x:c>
      <x:c r="J99" s="3" t="str">
        <x:v>protocol_report</x:v>
      </x:c>
      <x:c r="K99" s="3" t="str">
        <x:f>IF(Setup!$B$6="primary","",IFERROR(IF(INDEX('Primary_snapshot'!$B$2:$B$132,MATCH(C99,'Primary_snapshot'!$A$2:$A$132,0))="","",INDEX('Primary_snapshot'!$B$2:$B$132,MATCH(C99,'Primary_snapshot'!$A$2:$A$132,0))),"SNAPSHOT MISSING"))</x:f>
      </x:c>
      <x:c r="L99" s="3" t="str">
        <x:f>IF(Setup!$B$6="primary","",IFERROR(IF(INDEX('Primary_snapshot'!$C$2:$C$132,MATCH(C99,'Primary_snapshot'!$A$2:$A$132,0))="","",INDEX('Primary_snapshot'!$C$2:$C$132,MATCH(C99,'Primary_snapshot'!$A$2:$A$132,0))),"SNAPSHOT MISSING"))</x:f>
      </x:c>
      <x:c r="M99" s="3" t="str">
        <x:f>IF(Setup!$B$6="primary","",IFERROR(IF(INDEX('Primary_snapshot'!$D$2:$D$132,MATCH(C99,'Primary_snapshot'!$A$2:$A$132,0))="","",INDEX('Primary_snapshot'!$D$2:$D$132,MATCH(C99,'Primary_snapshot'!$A$2:$A$132,0))),"SNAPSHOT MISSING"))</x:f>
      </x:c>
      <x:c r="N99" s="3" t="str">
        <x:f>IF(Setup!$B$6="primary","",IFERROR(IF(INDEX('Primary_snapshot'!$E$2:$E$132,MATCH(C99,'Primary_snapshot'!$A$2:$A$132,0))="","",INDEX('Primary_snapshot'!$E$2:$E$132,MATCH(C99,'Primary_snapshot'!$A$2:$A$132,0))),"SNAPSHOT MISSING"))</x:f>
      </x:c>
      <x:c r="O99" s="3" t="str">
        <x:f>IF(Setup!$B$6="primary","",IFERROR(IF(INDEX('Primary_snapshot'!$F$2:$F$132,MATCH(C99,'Primary_snapshot'!$A$2:$A$132,0))="","",INDEX('Primary_snapshot'!$F$2:$F$132,MATCH(C99,'Primary_snapshot'!$A$2:$A$132,0))),"SNAPSHOT MISSING"))</x:f>
      </x:c>
      <x:c r="P99" s="3" t="str">
        <x:f>IF(Setup!$B$6="primary","",IFERROR(IF(INDEX('Primary_snapshot'!$G$2:$G$132,MATCH(C99,'Primary_snapshot'!$A$2:$A$132,0))="","",INDEX('Primary_snapshot'!$G$2:$G$132,MATCH(C99,'Primary_snapshot'!$A$2:$A$132,0))),"SNAPSHOT MISSING"))</x:f>
      </x:c>
      <x:c r="Q99" s="3" t="str">
        <x:f>IF(Setup!$B$6="primary","",IFERROR(IF(INDEX('Primary_snapshot'!$H$2:$H$132,MATCH(C99,'Primary_snapshot'!$A$2:$A$132,0))="","",INDEX('Primary_snapshot'!$H$2:$H$132,MATCH(C99,'Primary_snapshot'!$A$2:$A$132,0))),"SNAPSHOT MISSING"))</x:f>
      </x:c>
      <x:c r="R99" s="3" t="str">
        <x:f>IF(Setup!$B$6="primary","",IFERROR(IF(INDEX('Primary_snapshot'!$I$2:$I$132,MATCH(C99,'Primary_snapshot'!$A$2:$A$132,0))="","",INDEX('Primary_snapshot'!$I$2:$I$132,MATCH(C99,'Primary_snapshot'!$A$2:$A$132,0))),"SNAPSHOT MISSING"))</x:f>
      </x:c>
      <x:c r="S99" s="3" t="str">
        <x:f>IF(INDEX('C_jama.2025.20765'!$D$2:$D$14,MATCH("2025::jama.2025.20765::C013",'C_jama.2025.20765'!$A$2:$A$14,0))="","",INDEX('C_jama.2025.20765'!$D$2:$D$14,MATCH("2025::jama.2025.20765::C013",'C_jama.2025.20765'!$A$2:$A$14,0)))</x:f>
      </x:c>
      <x:c r="T99" s="3" t="str">
        <x:f>IF(INDEX('C_jama.2025.20765'!$E$2:$E$14,MATCH("2025::jama.2025.20765::C013",'C_jama.2025.20765'!$A$2:$A$14,0))="","",INDEX('C_jama.2025.20765'!$E$2:$E$14,MATCH("2025::jama.2025.20765::C013",'C_jama.2025.20765'!$A$2:$A$14,0)))</x:f>
        <x:v>protocol_report</x:v>
      </x:c>
      <x:c r="U99" s="3" t="str">
        <x:f>IF(AND(INDEX('C_jama.2025.20765'!$D$2:$D$14,MATCH("2025::jama.2025.20765::C013",'C_jama.2025.20765'!$A$2:$A$14,0))="retain",INDEX('C_jama.2025.20765'!$E$2:$E$14,MATCH("2025::jama.2025.20765::C013",'C_jama.2025.20765'!$A$2:$A$14,0))="statistical_results"),IF(INDEX('C_jama.2025.20765'!$H$2:$H$14,MATCH("2025::jama.2025.20765::C013",'C_jama.2025.20765'!$A$2:$A$14,0))="","",INDEX('C_jama.2025.20765'!$H$2:$H$14,MATCH("2025::jama.2025.20765::C013",'C_jama.2025.20765'!$A$2:$A$14,0))),"not_applicable")</x:f>
        <x:v>not_applicable</x:v>
      </x:c>
      <x:c r="V99" s="3" t="str">
        <x:f>IF(AND(INDEX('C_jama.2025.20765'!$D$2:$D$14,MATCH("2025::jama.2025.20765::C013",'C_jama.2025.20765'!$A$2:$A$14,0))="retain",INDEX('C_jama.2025.20765'!$E$2:$E$14,MATCH("2025::jama.2025.20765::C013",'C_jama.2025.20765'!$A$2:$A$14,0))="statistical_results"),IF(INDEX('C_jama.2025.20765'!$I$2:$I$14,MATCH("2025::jama.2025.20765::C013",'C_jama.2025.20765'!$A$2:$A$14,0))="","",INDEX('C_jama.2025.20765'!$I$2:$I$14,MATCH("2025::jama.2025.20765::C013",'C_jama.2025.20765'!$A$2:$A$14,0))),"not_applicable")</x:f>
        <x:v>not_applicable</x:v>
      </x:c>
      <x:c r="W99" s="3" t="str">
        <x:f>IF(AND(INDEX('C_jama.2025.20765'!$D$2:$D$14,MATCH("2025::jama.2025.20765::C013",'C_jama.2025.20765'!$A$2:$A$14,0))="retain",INDEX('C_jama.2025.20765'!$E$2:$E$14,MATCH("2025::jama.2025.20765::C013",'C_jama.2025.20765'!$A$2:$A$14,0))="statistical_results"),IF(INDEX('C_jama.2025.20765'!$J$2:$J$14,MATCH("2025::jama.2025.20765::C013",'C_jama.2025.20765'!$A$2:$A$14,0))="","",INDEX('C_jama.2025.20765'!$J$2:$J$14,MATCH("2025::jama.2025.20765::C013",'C_jama.2025.20765'!$A$2:$A$14,0))),"not_applicable")</x:f>
        <x:v>not_applicable</x:v>
      </x:c>
      <x:c r="X99" s="3" t="str">
        <x:f>IF(AND(INDEX('C_jama.2025.20765'!$D$2:$D$14,MATCH("2025::jama.2025.20765::C013",'C_jama.2025.20765'!$A$2:$A$14,0))="retain",OR(INDEX('C_jama.2025.20765'!$E$2:$E$14,MATCH("2025::jama.2025.20765::C013",'C_jama.2025.20765'!$A$2:$A$14,0))="report_internal_inconsistency",INDEX('C_jama.2025.20765'!$E$2:$E$14,MATCH("2025::jama.2025.20765::C013",'C_jama.2025.20765'!$A$2:$A$14,0))="plan_material")),IF(INDEX('C_jama.2025.20765'!$K$2:$K$14,MATCH("2025::jama.2025.20765::C013",'C_jama.2025.20765'!$A$2:$A$14,0))="","",INDEX('C_jama.2025.20765'!$K$2:$K$14,MATCH("2025::jama.2025.20765::C013",'C_jama.2025.20765'!$A$2:$A$14,0))),"not_applicable")</x:f>
        <x:v>not_applicable</x:v>
      </x:c>
      <x:c r="Y99" s="3" t="str">
        <x:f>IF(AND(INDEX('C_jama.2025.20765'!$D$2:$D$14,MATCH("2025::jama.2025.20765::C013",'C_jama.2025.20765'!$A$2:$A$14,0))="retain",INDEX('C_jama.2025.20765'!$E$2:$E$14,MATCH("2025::jama.2025.20765::C013",'C_jama.2025.20765'!$A$2:$A$14,0))="protocol_report"),IF(INDEX('C_jama.2025.20765'!$L$2:$L$14,MATCH("2025::jama.2025.20765::C013",'C_jama.2025.20765'!$A$2:$A$14,0))="","",INDEX('C_jama.2025.20765'!$L$2:$L$14,MATCH("2025::jama.2025.20765::C013",'C_jama.2025.20765'!$A$2:$A$14,0))),"not_applicable")</x:f>
        <x:v>not_applicable</x:v>
      </x:c>
      <x:c r="Z99" s="3" t="str">
        <x:f>IF(INDEX('C_jama.2025.20765'!$R$2:$R$14,MATCH("2025::jama.2025.20765::C013",'C_jama.2025.20765'!$A$2:$A$14,0))="","",INDEX('C_jama.2025.20765'!$R$2:$R$14,MATCH("2025::jama.2025.20765::C013",'C_jama.2025.20765'!$A$2:$A$14,0)))</x:f>
      </x:c>
      <x:c r="AA99" s="3" t="str">
        <x:f>IF(INDEX('C_jama.2025.20765'!$N$2:$N$14,MATCH("2025::jama.2025.20765::C013",'C_jama.2025.20765'!$A$2:$A$14,0))="","",INDEX('C_jama.2025.20765'!$N$2:$N$14,MATCH("2025::jama.2025.20765::C013",'C_jama.2025.20765'!$A$2:$A$14,0)))</x:f>
      </x:c>
      <x:c r="AB99" s="3" t="str">
        <x:f>IF(INDEX('C_jama.2025.20765'!$O$2:$O$14,MATCH("2025::jama.2025.20765::C013",'C_jama.2025.20765'!$A$2:$A$14,0))="","",INDEX('C_jama.2025.20765'!$O$2:$O$14,MATCH("2025::jama.2025.20765::C013",'C_jama.2025.20765'!$A$2:$A$14,0)))</x:f>
      </x:c>
      <x:c r="AC99" s="3" t="str">
        <x:f>IF(INDEX('C_jama.2025.20765'!$P$2:$P$14,MATCH("2025::jama.2025.20765::C013",'C_jama.2025.20765'!$A$2:$A$14,0))="","",INDEX('C_jama.2025.20765'!$P$2:$P$14,MATCH("2025::jama.2025.20765::C013",'C_jama.2025.20765'!$A$2:$A$14,0)))</x:f>
      </x:c>
      <x:c r="AD99" s="3" t="str">
        <x:f>IF(INDEX('C_jama.2025.20765'!$Q$2:$Q$14,MATCH("2025::jama.2025.20765::C013",'C_jama.2025.20765'!$A$2:$A$14,0))="","",INDEX('C_jama.2025.20765'!$Q$2:$Q$14,MATCH("2025::jama.2025.20765::C013",'C_jama.2025.20765'!$A$2:$A$14,0)))</x:f>
      </x:c>
    </x:row>
    <x:row r="100" ht="65" customHeight="1">
      <x:c r="A100" s="6" t="n">
        <x:v>2025</x:v>
      </x:c>
      <x:c r="B100" s="6" t="str">
        <x:v>jama.2025.24175</x:v>
      </x:c>
      <x:c r="C100" s="6" t="str">
        <x:v>2025::jama.2025.24175::C001</x:v>
      </x:c>
      <x:c r="D100" s="6" t="str">
        <x:v>S_W</x:v>
      </x:c>
      <x:c r="E100" s="6" t="n">
        <x:f>Setup!$B$2</x:f>
        <x:v>0</x:v>
      </x:c>
      <x:c r="F100" s="6" t="str">
        <x:f>IF(Setup!$B$4="","",Setup!$B$4)</x:f>
      </x:c>
      <x:c r="G100" s="6" t="str">
        <x:f>IFERROR(INDEX('C_jama.2025.24175'!$G$2:$G$15,MATCH("2025::jama.2025.24175::C001",'C_jama.2025.24175'!$A$2:$A$15,0)),"CHECK KEY")</x:f>
        <x:v>CHECK REVIEWER IDs</x:v>
      </x:c>
      <x:c r="H100" s="6" t="str">
        <x:f>IF(G100&lt;&gt;"FINAL READY","",IF(S100&lt;&gt;"retain","not_eligible",IF(D100="P_R","protocol_descriptive",IF(D100="P_P","plan_descriptive",IF(AND(T100="statistical_results",OR(U100="confirmed_issue",U100="probable_issue"),V100="substantive"),"primary_temporal",IF(AND(T100="report_internal_inconsistency",X100="substantive_inconsistency"),"secondary_temporal","not_eligible"))))))</x:f>
      </x:c>
      <x:c r="I100" s="6" t="str">
        <x:v>retain</x:v>
      </x:c>
      <x:c r="J100" s="6" t="str">
        <x:v>report_internal_inconsistency</x:v>
      </x:c>
      <x:c r="K100" s="6" t="str">
        <x:f>IF(Setup!$B$6="primary","",IFERROR(IF(INDEX('Primary_snapshot'!$B$2:$B$132,MATCH(C100,'Primary_snapshot'!$A$2:$A$132,0))="","",INDEX('Primary_snapshot'!$B$2:$B$132,MATCH(C100,'Primary_snapshot'!$A$2:$A$132,0))),"SNAPSHOT MISSING"))</x:f>
      </x:c>
      <x:c r="L100" s="6" t="str">
        <x:f>IF(Setup!$B$6="primary","",IFERROR(IF(INDEX('Primary_snapshot'!$C$2:$C$132,MATCH(C100,'Primary_snapshot'!$A$2:$A$132,0))="","",INDEX('Primary_snapshot'!$C$2:$C$132,MATCH(C100,'Primary_snapshot'!$A$2:$A$132,0))),"SNAPSHOT MISSING"))</x:f>
      </x:c>
      <x:c r="M100" s="6" t="str">
        <x:f>IF(Setup!$B$6="primary","",IFERROR(IF(INDEX('Primary_snapshot'!$D$2:$D$132,MATCH(C100,'Primary_snapshot'!$A$2:$A$132,0))="","",INDEX('Primary_snapshot'!$D$2:$D$132,MATCH(C100,'Primary_snapshot'!$A$2:$A$132,0))),"SNAPSHOT MISSING"))</x:f>
      </x:c>
      <x:c r="N100" s="6" t="str">
        <x:f>IF(Setup!$B$6="primary","",IFERROR(IF(INDEX('Primary_snapshot'!$E$2:$E$132,MATCH(C100,'Primary_snapshot'!$A$2:$A$132,0))="","",INDEX('Primary_snapshot'!$E$2:$E$132,MATCH(C100,'Primary_snapshot'!$A$2:$A$132,0))),"SNAPSHOT MISSING"))</x:f>
      </x:c>
      <x:c r="O100" s="6" t="str">
        <x:f>IF(Setup!$B$6="primary","",IFERROR(IF(INDEX('Primary_snapshot'!$F$2:$F$132,MATCH(C100,'Primary_snapshot'!$A$2:$A$132,0))="","",INDEX('Primary_snapshot'!$F$2:$F$132,MATCH(C100,'Primary_snapshot'!$A$2:$A$132,0))),"SNAPSHOT MISSING"))</x:f>
      </x:c>
      <x:c r="P100" s="6" t="str">
        <x:f>IF(Setup!$B$6="primary","",IFERROR(IF(INDEX('Primary_snapshot'!$G$2:$G$132,MATCH(C100,'Primary_snapshot'!$A$2:$A$132,0))="","",INDEX('Primary_snapshot'!$G$2:$G$132,MATCH(C100,'Primary_snapshot'!$A$2:$A$132,0))),"SNAPSHOT MISSING"))</x:f>
      </x:c>
      <x:c r="Q100" s="6" t="str">
        <x:f>IF(Setup!$B$6="primary","",IFERROR(IF(INDEX('Primary_snapshot'!$H$2:$H$132,MATCH(C100,'Primary_snapshot'!$A$2:$A$132,0))="","",INDEX('Primary_snapshot'!$H$2:$H$132,MATCH(C100,'Primary_snapshot'!$A$2:$A$132,0))),"SNAPSHOT MISSING"))</x:f>
      </x:c>
      <x:c r="R100" s="6" t="str">
        <x:f>IF(Setup!$B$6="primary","",IFERROR(IF(INDEX('Primary_snapshot'!$I$2:$I$132,MATCH(C100,'Primary_snapshot'!$A$2:$A$132,0))="","",INDEX('Primary_snapshot'!$I$2:$I$132,MATCH(C100,'Primary_snapshot'!$A$2:$A$132,0))),"SNAPSHOT MISSING"))</x:f>
      </x:c>
      <x:c r="S100" s="6" t="str">
        <x:f>IF(INDEX('C_jama.2025.24175'!$D$2:$D$15,MATCH("2025::jama.2025.24175::C001",'C_jama.2025.24175'!$A$2:$A$15,0))="","",INDEX('C_jama.2025.24175'!$D$2:$D$15,MATCH("2025::jama.2025.24175::C001",'C_jama.2025.24175'!$A$2:$A$15,0)))</x:f>
      </x:c>
      <x:c r="T100" s="6" t="str">
        <x:f>IF(INDEX('C_jama.2025.24175'!$E$2:$E$15,MATCH("2025::jama.2025.24175::C001",'C_jama.2025.24175'!$A$2:$A$15,0))="","",INDEX('C_jama.2025.24175'!$E$2:$E$15,MATCH("2025::jama.2025.24175::C001",'C_jama.2025.24175'!$A$2:$A$15,0)))</x:f>
        <x:v>report_internal_inconsistency</x:v>
      </x:c>
      <x:c r="U100" s="6" t="str">
        <x:f>IF(AND(INDEX('C_jama.2025.24175'!$D$2:$D$15,MATCH("2025::jama.2025.24175::C001",'C_jama.2025.24175'!$A$2:$A$15,0))="retain",INDEX('C_jama.2025.24175'!$E$2:$E$15,MATCH("2025::jama.2025.24175::C001",'C_jama.2025.24175'!$A$2:$A$15,0))="statistical_results"),IF(INDEX('C_jama.2025.24175'!$H$2:$H$15,MATCH("2025::jama.2025.24175::C001",'C_jama.2025.24175'!$A$2:$A$15,0))="","",INDEX('C_jama.2025.24175'!$H$2:$H$15,MATCH("2025::jama.2025.24175::C001",'C_jama.2025.24175'!$A$2:$A$15,0))),"not_applicable")</x:f>
        <x:v>not_applicable</x:v>
      </x:c>
      <x:c r="V100" s="6" t="str">
        <x:f>IF(AND(INDEX('C_jama.2025.24175'!$D$2:$D$15,MATCH("2025::jama.2025.24175::C001",'C_jama.2025.24175'!$A$2:$A$15,0))="retain",INDEX('C_jama.2025.24175'!$E$2:$E$15,MATCH("2025::jama.2025.24175::C001",'C_jama.2025.24175'!$A$2:$A$15,0))="statistical_results"),IF(INDEX('C_jama.2025.24175'!$I$2:$I$15,MATCH("2025::jama.2025.24175::C001",'C_jama.2025.24175'!$A$2:$A$15,0))="","",INDEX('C_jama.2025.24175'!$I$2:$I$15,MATCH("2025::jama.2025.24175::C001",'C_jama.2025.24175'!$A$2:$A$15,0))),"not_applicable")</x:f>
        <x:v>not_applicable</x:v>
      </x:c>
      <x:c r="W100" s="6" t="str">
        <x:f>IF(AND(INDEX('C_jama.2025.24175'!$D$2:$D$15,MATCH("2025::jama.2025.24175::C001",'C_jama.2025.24175'!$A$2:$A$15,0))="retain",INDEX('C_jama.2025.24175'!$E$2:$E$15,MATCH("2025::jama.2025.24175::C001",'C_jama.2025.24175'!$A$2:$A$15,0))="statistical_results"),IF(INDEX('C_jama.2025.24175'!$J$2:$J$15,MATCH("2025::jama.2025.24175::C001",'C_jama.2025.24175'!$A$2:$A$15,0))="","",INDEX('C_jama.2025.24175'!$J$2:$J$15,MATCH("2025::jama.2025.24175::C001",'C_jama.2025.24175'!$A$2:$A$15,0))),"not_applicable")</x:f>
        <x:v>not_applicable</x:v>
      </x:c>
      <x:c r="X100" s="6" t="str">
        <x:f>IF(AND(INDEX('C_jama.2025.24175'!$D$2:$D$15,MATCH("2025::jama.2025.24175::C001",'C_jama.2025.24175'!$A$2:$A$15,0))="retain",OR(INDEX('C_jama.2025.24175'!$E$2:$E$15,MATCH("2025::jama.2025.24175::C001",'C_jama.2025.24175'!$A$2:$A$15,0))="report_internal_inconsistency",INDEX('C_jama.2025.24175'!$E$2:$E$15,MATCH("2025::jama.2025.24175::C001",'C_jama.2025.24175'!$A$2:$A$15,0))="plan_material")),IF(INDEX('C_jama.2025.24175'!$K$2:$K$15,MATCH("2025::jama.2025.24175::C001",'C_jama.2025.24175'!$A$2:$A$15,0))="","",INDEX('C_jama.2025.24175'!$K$2:$K$15,MATCH("2025::jama.2025.24175::C001",'C_jama.2025.24175'!$A$2:$A$15,0))),"not_applicable")</x:f>
        <x:v>not_applicable</x:v>
      </x:c>
      <x:c r="Y100" s="6" t="str">
        <x:f>IF(AND(INDEX('C_jama.2025.24175'!$D$2:$D$15,MATCH("2025::jama.2025.24175::C001",'C_jama.2025.24175'!$A$2:$A$15,0))="retain",INDEX('C_jama.2025.24175'!$E$2:$E$15,MATCH("2025::jama.2025.24175::C001",'C_jama.2025.24175'!$A$2:$A$15,0))="protocol_report"),IF(INDEX('C_jama.2025.24175'!$L$2:$L$15,MATCH("2025::jama.2025.24175::C001",'C_jama.2025.24175'!$A$2:$A$15,0))="","",INDEX('C_jama.2025.24175'!$L$2:$L$15,MATCH("2025::jama.2025.24175::C001",'C_jama.2025.24175'!$A$2:$A$15,0))),"not_applicable")</x:f>
        <x:v>not_applicable</x:v>
      </x:c>
      <x:c r="Z100" s="6" t="str">
        <x:f>IF(INDEX('C_jama.2025.24175'!$R$2:$R$15,MATCH("2025::jama.2025.24175::C001",'C_jama.2025.24175'!$A$2:$A$15,0))="","",INDEX('C_jama.2025.24175'!$R$2:$R$15,MATCH("2025::jama.2025.24175::C001",'C_jama.2025.24175'!$A$2:$A$15,0)))</x:f>
      </x:c>
      <x:c r="AA100" s="6" t="str">
        <x:f>IF(INDEX('C_jama.2025.24175'!$N$2:$N$15,MATCH("2025::jama.2025.24175::C001",'C_jama.2025.24175'!$A$2:$A$15,0))="","",INDEX('C_jama.2025.24175'!$N$2:$N$15,MATCH("2025::jama.2025.24175::C001",'C_jama.2025.24175'!$A$2:$A$15,0)))</x:f>
      </x:c>
      <x:c r="AB100" s="6" t="str">
        <x:f>IF(INDEX('C_jama.2025.24175'!$O$2:$O$15,MATCH("2025::jama.2025.24175::C001",'C_jama.2025.24175'!$A$2:$A$15,0))="","",INDEX('C_jama.2025.24175'!$O$2:$O$15,MATCH("2025::jama.2025.24175::C001",'C_jama.2025.24175'!$A$2:$A$15,0)))</x:f>
      </x:c>
      <x:c r="AC100" s="6" t="str">
        <x:f>IF(INDEX('C_jama.2025.24175'!$P$2:$P$15,MATCH("2025::jama.2025.24175::C001",'C_jama.2025.24175'!$A$2:$A$15,0))="","",INDEX('C_jama.2025.24175'!$P$2:$P$15,MATCH("2025::jama.2025.24175::C001",'C_jama.2025.24175'!$A$2:$A$15,0)))</x:f>
      </x:c>
      <x:c r="AD100" s="6" t="str">
        <x:f>IF(INDEX('C_jama.2025.24175'!$Q$2:$Q$15,MATCH("2025::jama.2025.24175::C001",'C_jama.2025.24175'!$A$2:$A$15,0))="","",INDEX('C_jama.2025.24175'!$Q$2:$Q$15,MATCH("2025::jama.2025.24175::C001",'C_jama.2025.24175'!$A$2:$A$15,0)))</x:f>
      </x:c>
    </x:row>
    <x:row r="101" ht="65" customHeight="1">
      <x:c r="A101" s="3" t="n">
        <x:v>2025</x:v>
      </x:c>
      <x:c r="B101" s="3" t="str">
        <x:v>jama.2025.24175</x:v>
      </x:c>
      <x:c r="C101" s="3" t="str">
        <x:v>2025::jama.2025.24175::C002</x:v>
      </x:c>
      <x:c r="D101" s="3" t="str">
        <x:v>P_R</x:v>
      </x:c>
      <x:c r="E101" s="3" t="n">
        <x:f>Setup!$B$2</x:f>
        <x:v>0</x:v>
      </x:c>
      <x:c r="F101" s="3" t="str">
        <x:f>IF(Setup!$B$4="","",Setup!$B$4)</x:f>
      </x:c>
      <x:c r="G101" s="3" t="str">
        <x:f>IFERROR(INDEX('C_jama.2025.24175'!$G$2:$G$15,MATCH("2025::jama.2025.24175::C002",'C_jama.2025.24175'!$A$2:$A$15,0)),"CHECK KEY")</x:f>
        <x:v>CHECK REVIEWER IDs</x:v>
      </x:c>
      <x:c r="H101" s="3" t="str">
        <x:f>IF(G101&lt;&gt;"FINAL READY","",IF(S101&lt;&gt;"retain","not_eligible",IF(D101="P_R","protocol_descriptive",IF(D101="P_P","plan_descriptive",IF(AND(T101="statistical_results",OR(U101="confirmed_issue",U101="probable_issue"),V101="substantive"),"primary_temporal",IF(AND(T101="report_internal_inconsistency",X101="substantive_inconsistency"),"secondary_temporal","not_eligible"))))))</x:f>
      </x:c>
      <x:c r="I101" s="3" t="str">
        <x:v>exclude</x:v>
      </x:c>
      <x:c r="J101" s="3" t="str">
        <x:v>protocol_report</x:v>
      </x:c>
      <x:c r="K101" s="3" t="str">
        <x:f>IF(Setup!$B$6="primary","",IFERROR(IF(INDEX('Primary_snapshot'!$B$2:$B$132,MATCH(C101,'Primary_snapshot'!$A$2:$A$132,0))="","",INDEX('Primary_snapshot'!$B$2:$B$132,MATCH(C101,'Primary_snapshot'!$A$2:$A$132,0))),"SNAPSHOT MISSING"))</x:f>
      </x:c>
      <x:c r="L101" s="3" t="str">
        <x:f>IF(Setup!$B$6="primary","",IFERROR(IF(INDEX('Primary_snapshot'!$C$2:$C$132,MATCH(C101,'Primary_snapshot'!$A$2:$A$132,0))="","",INDEX('Primary_snapshot'!$C$2:$C$132,MATCH(C101,'Primary_snapshot'!$A$2:$A$132,0))),"SNAPSHOT MISSING"))</x:f>
      </x:c>
      <x:c r="M101" s="3" t="str">
        <x:f>IF(Setup!$B$6="primary","",IFERROR(IF(INDEX('Primary_snapshot'!$D$2:$D$132,MATCH(C101,'Primary_snapshot'!$A$2:$A$132,0))="","",INDEX('Primary_snapshot'!$D$2:$D$132,MATCH(C101,'Primary_snapshot'!$A$2:$A$132,0))),"SNAPSHOT MISSING"))</x:f>
      </x:c>
      <x:c r="N101" s="3" t="str">
        <x:f>IF(Setup!$B$6="primary","",IFERROR(IF(INDEX('Primary_snapshot'!$E$2:$E$132,MATCH(C101,'Primary_snapshot'!$A$2:$A$132,0))="","",INDEX('Primary_snapshot'!$E$2:$E$132,MATCH(C101,'Primary_snapshot'!$A$2:$A$132,0))),"SNAPSHOT MISSING"))</x:f>
      </x:c>
      <x:c r="O101" s="3" t="str">
        <x:f>IF(Setup!$B$6="primary","",IFERROR(IF(INDEX('Primary_snapshot'!$F$2:$F$132,MATCH(C101,'Primary_snapshot'!$A$2:$A$132,0))="","",INDEX('Primary_snapshot'!$F$2:$F$132,MATCH(C101,'Primary_snapshot'!$A$2:$A$132,0))),"SNAPSHOT MISSING"))</x:f>
      </x:c>
      <x:c r="P101" s="3" t="str">
        <x:f>IF(Setup!$B$6="primary","",IFERROR(IF(INDEX('Primary_snapshot'!$G$2:$G$132,MATCH(C101,'Primary_snapshot'!$A$2:$A$132,0))="","",INDEX('Primary_snapshot'!$G$2:$G$132,MATCH(C101,'Primary_snapshot'!$A$2:$A$132,0))),"SNAPSHOT MISSING"))</x:f>
      </x:c>
      <x:c r="Q101" s="3" t="str">
        <x:f>IF(Setup!$B$6="primary","",IFERROR(IF(INDEX('Primary_snapshot'!$H$2:$H$132,MATCH(C101,'Primary_snapshot'!$A$2:$A$132,0))="","",INDEX('Primary_snapshot'!$H$2:$H$132,MATCH(C101,'Primary_snapshot'!$A$2:$A$132,0))),"SNAPSHOT MISSING"))</x:f>
      </x:c>
      <x:c r="R101" s="3" t="str">
        <x:f>IF(Setup!$B$6="primary","",IFERROR(IF(INDEX('Primary_snapshot'!$I$2:$I$132,MATCH(C101,'Primary_snapshot'!$A$2:$A$132,0))="","",INDEX('Primary_snapshot'!$I$2:$I$132,MATCH(C101,'Primary_snapshot'!$A$2:$A$132,0))),"SNAPSHOT MISSING"))</x:f>
      </x:c>
      <x:c r="S101" s="3" t="str">
        <x:f>IF(INDEX('C_jama.2025.24175'!$D$2:$D$15,MATCH("2025::jama.2025.24175::C002",'C_jama.2025.24175'!$A$2:$A$15,0))="","",INDEX('C_jama.2025.24175'!$D$2:$D$15,MATCH("2025::jama.2025.24175::C002",'C_jama.2025.24175'!$A$2:$A$15,0)))</x:f>
      </x:c>
      <x:c r="T101" s="3" t="str">
        <x:f>IF(INDEX('C_jama.2025.24175'!$E$2:$E$15,MATCH("2025::jama.2025.24175::C002",'C_jama.2025.24175'!$A$2:$A$15,0))="","",INDEX('C_jama.2025.24175'!$E$2:$E$15,MATCH("2025::jama.2025.24175::C002",'C_jama.2025.24175'!$A$2:$A$15,0)))</x:f>
        <x:v>protocol_report</x:v>
      </x:c>
      <x:c r="U101" s="3" t="str">
        <x:f>IF(AND(INDEX('C_jama.2025.24175'!$D$2:$D$15,MATCH("2025::jama.2025.24175::C002",'C_jama.2025.24175'!$A$2:$A$15,0))="retain",INDEX('C_jama.2025.24175'!$E$2:$E$15,MATCH("2025::jama.2025.24175::C002",'C_jama.2025.24175'!$A$2:$A$15,0))="statistical_results"),IF(INDEX('C_jama.2025.24175'!$H$2:$H$15,MATCH("2025::jama.2025.24175::C002",'C_jama.2025.24175'!$A$2:$A$15,0))="","",INDEX('C_jama.2025.24175'!$H$2:$H$15,MATCH("2025::jama.2025.24175::C002",'C_jama.2025.24175'!$A$2:$A$15,0))),"not_applicable")</x:f>
        <x:v>not_applicable</x:v>
      </x:c>
      <x:c r="V101" s="3" t="str">
        <x:f>IF(AND(INDEX('C_jama.2025.24175'!$D$2:$D$15,MATCH("2025::jama.2025.24175::C002",'C_jama.2025.24175'!$A$2:$A$15,0))="retain",INDEX('C_jama.2025.24175'!$E$2:$E$15,MATCH("2025::jama.2025.24175::C002",'C_jama.2025.24175'!$A$2:$A$15,0))="statistical_results"),IF(INDEX('C_jama.2025.24175'!$I$2:$I$15,MATCH("2025::jama.2025.24175::C002",'C_jama.2025.24175'!$A$2:$A$15,0))="","",INDEX('C_jama.2025.24175'!$I$2:$I$15,MATCH("2025::jama.2025.24175::C002",'C_jama.2025.24175'!$A$2:$A$15,0))),"not_applicable")</x:f>
        <x:v>not_applicable</x:v>
      </x:c>
      <x:c r="W101" s="3" t="str">
        <x:f>IF(AND(INDEX('C_jama.2025.24175'!$D$2:$D$15,MATCH("2025::jama.2025.24175::C002",'C_jama.2025.24175'!$A$2:$A$15,0))="retain",INDEX('C_jama.2025.24175'!$E$2:$E$15,MATCH("2025::jama.2025.24175::C002",'C_jama.2025.24175'!$A$2:$A$15,0))="statistical_results"),IF(INDEX('C_jama.2025.24175'!$J$2:$J$15,MATCH("2025::jama.2025.24175::C002",'C_jama.2025.24175'!$A$2:$A$15,0))="","",INDEX('C_jama.2025.24175'!$J$2:$J$15,MATCH("2025::jama.2025.24175::C002",'C_jama.2025.24175'!$A$2:$A$15,0))),"not_applicable")</x:f>
        <x:v>not_applicable</x:v>
      </x:c>
      <x:c r="X101" s="3" t="str">
        <x:f>IF(AND(INDEX('C_jama.2025.24175'!$D$2:$D$15,MATCH("2025::jama.2025.24175::C002",'C_jama.2025.24175'!$A$2:$A$15,0))="retain",OR(INDEX('C_jama.2025.24175'!$E$2:$E$15,MATCH("2025::jama.2025.24175::C002",'C_jama.2025.24175'!$A$2:$A$15,0))="report_internal_inconsistency",INDEX('C_jama.2025.24175'!$E$2:$E$15,MATCH("2025::jama.2025.24175::C002",'C_jama.2025.24175'!$A$2:$A$15,0))="plan_material")),IF(INDEX('C_jama.2025.24175'!$K$2:$K$15,MATCH("2025::jama.2025.24175::C002",'C_jama.2025.24175'!$A$2:$A$15,0))="","",INDEX('C_jama.2025.24175'!$K$2:$K$15,MATCH("2025::jama.2025.24175::C002",'C_jama.2025.24175'!$A$2:$A$15,0))),"not_applicable")</x:f>
        <x:v>not_applicable</x:v>
      </x:c>
      <x:c r="Y101" s="3" t="str">
        <x:f>IF(AND(INDEX('C_jama.2025.24175'!$D$2:$D$15,MATCH("2025::jama.2025.24175::C002",'C_jama.2025.24175'!$A$2:$A$15,0))="retain",INDEX('C_jama.2025.24175'!$E$2:$E$15,MATCH("2025::jama.2025.24175::C002",'C_jama.2025.24175'!$A$2:$A$15,0))="protocol_report"),IF(INDEX('C_jama.2025.24175'!$L$2:$L$15,MATCH("2025::jama.2025.24175::C002",'C_jama.2025.24175'!$A$2:$A$15,0))="","",INDEX('C_jama.2025.24175'!$L$2:$L$15,MATCH("2025::jama.2025.24175::C002",'C_jama.2025.24175'!$A$2:$A$15,0))),"not_applicable")</x:f>
        <x:v>not_applicable</x:v>
      </x:c>
      <x:c r="Z101" s="3" t="str">
        <x:f>IF(INDEX('C_jama.2025.24175'!$R$2:$R$15,MATCH("2025::jama.2025.24175::C002",'C_jama.2025.24175'!$A$2:$A$15,0))="","",INDEX('C_jama.2025.24175'!$R$2:$R$15,MATCH("2025::jama.2025.24175::C002",'C_jama.2025.24175'!$A$2:$A$15,0)))</x:f>
      </x:c>
      <x:c r="AA101" s="3" t="str">
        <x:f>IF(INDEX('C_jama.2025.24175'!$N$2:$N$15,MATCH("2025::jama.2025.24175::C002",'C_jama.2025.24175'!$A$2:$A$15,0))="","",INDEX('C_jama.2025.24175'!$N$2:$N$15,MATCH("2025::jama.2025.24175::C002",'C_jama.2025.24175'!$A$2:$A$15,0)))</x:f>
      </x:c>
      <x:c r="AB101" s="3" t="str">
        <x:f>IF(INDEX('C_jama.2025.24175'!$O$2:$O$15,MATCH("2025::jama.2025.24175::C002",'C_jama.2025.24175'!$A$2:$A$15,0))="","",INDEX('C_jama.2025.24175'!$O$2:$O$15,MATCH("2025::jama.2025.24175::C002",'C_jama.2025.24175'!$A$2:$A$15,0)))</x:f>
      </x:c>
      <x:c r="AC101" s="3" t="str">
        <x:f>IF(INDEX('C_jama.2025.24175'!$P$2:$P$15,MATCH("2025::jama.2025.24175::C002",'C_jama.2025.24175'!$A$2:$A$15,0))="","",INDEX('C_jama.2025.24175'!$P$2:$P$15,MATCH("2025::jama.2025.24175::C002",'C_jama.2025.24175'!$A$2:$A$15,0)))</x:f>
      </x:c>
      <x:c r="AD101" s="3" t="str">
        <x:f>IF(INDEX('C_jama.2025.24175'!$Q$2:$Q$15,MATCH("2025::jama.2025.24175::C002",'C_jama.2025.24175'!$A$2:$A$15,0))="","",INDEX('C_jama.2025.24175'!$Q$2:$Q$15,MATCH("2025::jama.2025.24175::C002",'C_jama.2025.24175'!$A$2:$A$15,0)))</x:f>
      </x:c>
    </x:row>
    <x:row r="102" ht="65" customHeight="1">
      <x:c r="A102" s="6" t="n">
        <x:v>2025</x:v>
      </x:c>
      <x:c r="B102" s="6" t="str">
        <x:v>jama.2025.24175</x:v>
      </x:c>
      <x:c r="C102" s="6" t="str">
        <x:v>2025::jama.2025.24175::C003</x:v>
      </x:c>
      <x:c r="D102" s="6" t="str">
        <x:v>P_R</x:v>
      </x:c>
      <x:c r="E102" s="6" t="n">
        <x:f>Setup!$B$2</x:f>
        <x:v>0</x:v>
      </x:c>
      <x:c r="F102" s="6" t="str">
        <x:f>IF(Setup!$B$4="","",Setup!$B$4)</x:f>
      </x:c>
      <x:c r="G102" s="6" t="str">
        <x:f>IFERROR(INDEX('C_jama.2025.24175'!$G$2:$G$15,MATCH("2025::jama.2025.24175::C003",'C_jama.2025.24175'!$A$2:$A$15,0)),"CHECK KEY")</x:f>
        <x:v>CHECK REVIEWER IDs</x:v>
      </x:c>
      <x:c r="H102" s="6" t="str">
        <x:f>IF(G102&lt;&gt;"FINAL READY","",IF(S102&lt;&gt;"retain","not_eligible",IF(D102="P_R","protocol_descriptive",IF(D102="P_P","plan_descriptive",IF(AND(T102="statistical_results",OR(U102="confirmed_issue",U102="probable_issue"),V102="substantive"),"primary_temporal",IF(AND(T102="report_internal_inconsistency",X102="substantive_inconsistency"),"secondary_temporal","not_eligible"))))))</x:f>
      </x:c>
      <x:c r="I102" s="6" t="str">
        <x:v>exclude</x:v>
      </x:c>
      <x:c r="J102" s="6" t="str">
        <x:v>protocol_report</x:v>
      </x:c>
      <x:c r="K102" s="6" t="str">
        <x:f>IF(Setup!$B$6="primary","",IFERROR(IF(INDEX('Primary_snapshot'!$B$2:$B$132,MATCH(C102,'Primary_snapshot'!$A$2:$A$132,0))="","",INDEX('Primary_snapshot'!$B$2:$B$132,MATCH(C102,'Primary_snapshot'!$A$2:$A$132,0))),"SNAPSHOT MISSING"))</x:f>
      </x:c>
      <x:c r="L102" s="6" t="str">
        <x:f>IF(Setup!$B$6="primary","",IFERROR(IF(INDEX('Primary_snapshot'!$C$2:$C$132,MATCH(C102,'Primary_snapshot'!$A$2:$A$132,0))="","",INDEX('Primary_snapshot'!$C$2:$C$132,MATCH(C102,'Primary_snapshot'!$A$2:$A$132,0))),"SNAPSHOT MISSING"))</x:f>
      </x:c>
      <x:c r="M102" s="6" t="str">
        <x:f>IF(Setup!$B$6="primary","",IFERROR(IF(INDEX('Primary_snapshot'!$D$2:$D$132,MATCH(C102,'Primary_snapshot'!$A$2:$A$132,0))="","",INDEX('Primary_snapshot'!$D$2:$D$132,MATCH(C102,'Primary_snapshot'!$A$2:$A$132,0))),"SNAPSHOT MISSING"))</x:f>
      </x:c>
      <x:c r="N102" s="6" t="str">
        <x:f>IF(Setup!$B$6="primary","",IFERROR(IF(INDEX('Primary_snapshot'!$E$2:$E$132,MATCH(C102,'Primary_snapshot'!$A$2:$A$132,0))="","",INDEX('Primary_snapshot'!$E$2:$E$132,MATCH(C102,'Primary_snapshot'!$A$2:$A$132,0))),"SNAPSHOT MISSING"))</x:f>
      </x:c>
      <x:c r="O102" s="6" t="str">
        <x:f>IF(Setup!$B$6="primary","",IFERROR(IF(INDEX('Primary_snapshot'!$F$2:$F$132,MATCH(C102,'Primary_snapshot'!$A$2:$A$132,0))="","",INDEX('Primary_snapshot'!$F$2:$F$132,MATCH(C102,'Primary_snapshot'!$A$2:$A$132,0))),"SNAPSHOT MISSING"))</x:f>
      </x:c>
      <x:c r="P102" s="6" t="str">
        <x:f>IF(Setup!$B$6="primary","",IFERROR(IF(INDEX('Primary_snapshot'!$G$2:$G$132,MATCH(C102,'Primary_snapshot'!$A$2:$A$132,0))="","",INDEX('Primary_snapshot'!$G$2:$G$132,MATCH(C102,'Primary_snapshot'!$A$2:$A$132,0))),"SNAPSHOT MISSING"))</x:f>
      </x:c>
      <x:c r="Q102" s="6" t="str">
        <x:f>IF(Setup!$B$6="primary","",IFERROR(IF(INDEX('Primary_snapshot'!$H$2:$H$132,MATCH(C102,'Primary_snapshot'!$A$2:$A$132,0))="","",INDEX('Primary_snapshot'!$H$2:$H$132,MATCH(C102,'Primary_snapshot'!$A$2:$A$132,0))),"SNAPSHOT MISSING"))</x:f>
      </x:c>
      <x:c r="R102" s="6" t="str">
        <x:f>IF(Setup!$B$6="primary","",IFERROR(IF(INDEX('Primary_snapshot'!$I$2:$I$132,MATCH(C102,'Primary_snapshot'!$A$2:$A$132,0))="","",INDEX('Primary_snapshot'!$I$2:$I$132,MATCH(C102,'Primary_snapshot'!$A$2:$A$132,0))),"SNAPSHOT MISSING"))</x:f>
      </x:c>
      <x:c r="S102" s="6" t="str">
        <x:f>IF(INDEX('C_jama.2025.24175'!$D$2:$D$15,MATCH("2025::jama.2025.24175::C003",'C_jama.2025.24175'!$A$2:$A$15,0))="","",INDEX('C_jama.2025.24175'!$D$2:$D$15,MATCH("2025::jama.2025.24175::C003",'C_jama.2025.24175'!$A$2:$A$15,0)))</x:f>
      </x:c>
      <x:c r="T102" s="6" t="str">
        <x:f>IF(INDEX('C_jama.2025.24175'!$E$2:$E$15,MATCH("2025::jama.2025.24175::C003",'C_jama.2025.24175'!$A$2:$A$15,0))="","",INDEX('C_jama.2025.24175'!$E$2:$E$15,MATCH("2025::jama.2025.24175::C003",'C_jama.2025.24175'!$A$2:$A$15,0)))</x:f>
        <x:v>protocol_report</x:v>
      </x:c>
      <x:c r="U102" s="6" t="str">
        <x:f>IF(AND(INDEX('C_jama.2025.24175'!$D$2:$D$15,MATCH("2025::jama.2025.24175::C003",'C_jama.2025.24175'!$A$2:$A$15,0))="retain",INDEX('C_jama.2025.24175'!$E$2:$E$15,MATCH("2025::jama.2025.24175::C003",'C_jama.2025.24175'!$A$2:$A$15,0))="statistical_results"),IF(INDEX('C_jama.2025.24175'!$H$2:$H$15,MATCH("2025::jama.2025.24175::C003",'C_jama.2025.24175'!$A$2:$A$15,0))="","",INDEX('C_jama.2025.24175'!$H$2:$H$15,MATCH("2025::jama.2025.24175::C003",'C_jama.2025.24175'!$A$2:$A$15,0))),"not_applicable")</x:f>
        <x:v>not_applicable</x:v>
      </x:c>
      <x:c r="V102" s="6" t="str">
        <x:f>IF(AND(INDEX('C_jama.2025.24175'!$D$2:$D$15,MATCH("2025::jama.2025.24175::C003",'C_jama.2025.24175'!$A$2:$A$15,0))="retain",INDEX('C_jama.2025.24175'!$E$2:$E$15,MATCH("2025::jama.2025.24175::C003",'C_jama.2025.24175'!$A$2:$A$15,0))="statistical_results"),IF(INDEX('C_jama.2025.24175'!$I$2:$I$15,MATCH("2025::jama.2025.24175::C003",'C_jama.2025.24175'!$A$2:$A$15,0))="","",INDEX('C_jama.2025.24175'!$I$2:$I$15,MATCH("2025::jama.2025.24175::C003",'C_jama.2025.24175'!$A$2:$A$15,0))),"not_applicable")</x:f>
        <x:v>not_applicable</x:v>
      </x:c>
      <x:c r="W102" s="6" t="str">
        <x:f>IF(AND(INDEX('C_jama.2025.24175'!$D$2:$D$15,MATCH("2025::jama.2025.24175::C003",'C_jama.2025.24175'!$A$2:$A$15,0))="retain",INDEX('C_jama.2025.24175'!$E$2:$E$15,MATCH("2025::jama.2025.24175::C003",'C_jama.2025.24175'!$A$2:$A$15,0))="statistical_results"),IF(INDEX('C_jama.2025.24175'!$J$2:$J$15,MATCH("2025::jama.2025.24175::C003",'C_jama.2025.24175'!$A$2:$A$15,0))="","",INDEX('C_jama.2025.24175'!$J$2:$J$15,MATCH("2025::jama.2025.24175::C003",'C_jama.2025.24175'!$A$2:$A$15,0))),"not_applicable")</x:f>
        <x:v>not_applicable</x:v>
      </x:c>
      <x:c r="X102" s="6" t="str">
        <x:f>IF(AND(INDEX('C_jama.2025.24175'!$D$2:$D$15,MATCH("2025::jama.2025.24175::C003",'C_jama.2025.24175'!$A$2:$A$15,0))="retain",OR(INDEX('C_jama.2025.24175'!$E$2:$E$15,MATCH("2025::jama.2025.24175::C003",'C_jama.2025.24175'!$A$2:$A$15,0))="report_internal_inconsistency",INDEX('C_jama.2025.24175'!$E$2:$E$15,MATCH("2025::jama.2025.24175::C003",'C_jama.2025.24175'!$A$2:$A$15,0))="plan_material")),IF(INDEX('C_jama.2025.24175'!$K$2:$K$15,MATCH("2025::jama.2025.24175::C003",'C_jama.2025.24175'!$A$2:$A$15,0))="","",INDEX('C_jama.2025.24175'!$K$2:$K$15,MATCH("2025::jama.2025.24175::C003",'C_jama.2025.24175'!$A$2:$A$15,0))),"not_applicable")</x:f>
        <x:v>not_applicable</x:v>
      </x:c>
      <x:c r="Y102" s="6" t="str">
        <x:f>IF(AND(INDEX('C_jama.2025.24175'!$D$2:$D$15,MATCH("2025::jama.2025.24175::C003",'C_jama.2025.24175'!$A$2:$A$15,0))="retain",INDEX('C_jama.2025.24175'!$E$2:$E$15,MATCH("2025::jama.2025.24175::C003",'C_jama.2025.24175'!$A$2:$A$15,0))="protocol_report"),IF(INDEX('C_jama.2025.24175'!$L$2:$L$15,MATCH("2025::jama.2025.24175::C003",'C_jama.2025.24175'!$A$2:$A$15,0))="","",INDEX('C_jama.2025.24175'!$L$2:$L$15,MATCH("2025::jama.2025.24175::C003",'C_jama.2025.24175'!$A$2:$A$15,0))),"not_applicable")</x:f>
        <x:v>not_applicable</x:v>
      </x:c>
      <x:c r="Z102" s="6" t="str">
        <x:f>IF(INDEX('C_jama.2025.24175'!$R$2:$R$15,MATCH("2025::jama.2025.24175::C003",'C_jama.2025.24175'!$A$2:$A$15,0))="","",INDEX('C_jama.2025.24175'!$R$2:$R$15,MATCH("2025::jama.2025.24175::C003",'C_jama.2025.24175'!$A$2:$A$15,0)))</x:f>
      </x:c>
      <x:c r="AA102" s="6" t="str">
        <x:f>IF(INDEX('C_jama.2025.24175'!$N$2:$N$15,MATCH("2025::jama.2025.24175::C003",'C_jama.2025.24175'!$A$2:$A$15,0))="","",INDEX('C_jama.2025.24175'!$N$2:$N$15,MATCH("2025::jama.2025.24175::C003",'C_jama.2025.24175'!$A$2:$A$15,0)))</x:f>
      </x:c>
      <x:c r="AB102" s="6" t="str">
        <x:f>IF(INDEX('C_jama.2025.24175'!$O$2:$O$15,MATCH("2025::jama.2025.24175::C003",'C_jama.2025.24175'!$A$2:$A$15,0))="","",INDEX('C_jama.2025.24175'!$O$2:$O$15,MATCH("2025::jama.2025.24175::C003",'C_jama.2025.24175'!$A$2:$A$15,0)))</x:f>
      </x:c>
      <x:c r="AC102" s="6" t="str">
        <x:f>IF(INDEX('C_jama.2025.24175'!$P$2:$P$15,MATCH("2025::jama.2025.24175::C003",'C_jama.2025.24175'!$A$2:$A$15,0))="","",INDEX('C_jama.2025.24175'!$P$2:$P$15,MATCH("2025::jama.2025.24175::C003",'C_jama.2025.24175'!$A$2:$A$15,0)))</x:f>
      </x:c>
      <x:c r="AD102" s="6" t="str">
        <x:f>IF(INDEX('C_jama.2025.24175'!$Q$2:$Q$15,MATCH("2025::jama.2025.24175::C003",'C_jama.2025.24175'!$A$2:$A$15,0))="","",INDEX('C_jama.2025.24175'!$Q$2:$Q$15,MATCH("2025::jama.2025.24175::C003",'C_jama.2025.24175'!$A$2:$A$15,0)))</x:f>
      </x:c>
    </x:row>
    <x:row r="103" ht="65" customHeight="1">
      <x:c r="A103" s="3" t="n">
        <x:v>2025</x:v>
      </x:c>
      <x:c r="B103" s="3" t="str">
        <x:v>jama.2025.24175</x:v>
      </x:c>
      <x:c r="C103" s="3" t="str">
        <x:v>2025::jama.2025.24175::C004</x:v>
      </x:c>
      <x:c r="D103" s="3" t="str">
        <x:v>P_R</x:v>
      </x:c>
      <x:c r="E103" s="3" t="n">
        <x:f>Setup!$B$2</x:f>
        <x:v>0</x:v>
      </x:c>
      <x:c r="F103" s="3" t="str">
        <x:f>IF(Setup!$B$4="","",Setup!$B$4)</x:f>
      </x:c>
      <x:c r="G103" s="3" t="str">
        <x:f>IFERROR(INDEX('C_jama.2025.24175'!$G$2:$G$15,MATCH("2025::jama.2025.24175::C004",'C_jama.2025.24175'!$A$2:$A$15,0)),"CHECK KEY")</x:f>
        <x:v>CHECK REVIEWER IDs</x:v>
      </x:c>
      <x:c r="H103" s="3" t="str">
        <x:f>IF(G103&lt;&gt;"FINAL READY","",IF(S103&lt;&gt;"retain","not_eligible",IF(D103="P_R","protocol_descriptive",IF(D103="P_P","plan_descriptive",IF(AND(T103="statistical_results",OR(U103="confirmed_issue",U103="probable_issue"),V103="substantive"),"primary_temporal",IF(AND(T103="report_internal_inconsistency",X103="substantive_inconsistency"),"secondary_temporal","not_eligible"))))))</x:f>
      </x:c>
      <x:c r="I103" s="3" t="str">
        <x:v>exclude</x:v>
      </x:c>
      <x:c r="J103" s="3" t="str">
        <x:v>protocol_report</x:v>
      </x:c>
      <x:c r="K103" s="3" t="str">
        <x:f>IF(Setup!$B$6="primary","",IFERROR(IF(INDEX('Primary_snapshot'!$B$2:$B$132,MATCH(C103,'Primary_snapshot'!$A$2:$A$132,0))="","",INDEX('Primary_snapshot'!$B$2:$B$132,MATCH(C103,'Primary_snapshot'!$A$2:$A$132,0))),"SNAPSHOT MISSING"))</x:f>
      </x:c>
      <x:c r="L103" s="3" t="str">
        <x:f>IF(Setup!$B$6="primary","",IFERROR(IF(INDEX('Primary_snapshot'!$C$2:$C$132,MATCH(C103,'Primary_snapshot'!$A$2:$A$132,0))="","",INDEX('Primary_snapshot'!$C$2:$C$132,MATCH(C103,'Primary_snapshot'!$A$2:$A$132,0))),"SNAPSHOT MISSING"))</x:f>
      </x:c>
      <x:c r="M103" s="3" t="str">
        <x:f>IF(Setup!$B$6="primary","",IFERROR(IF(INDEX('Primary_snapshot'!$D$2:$D$132,MATCH(C103,'Primary_snapshot'!$A$2:$A$132,0))="","",INDEX('Primary_snapshot'!$D$2:$D$132,MATCH(C103,'Primary_snapshot'!$A$2:$A$132,0))),"SNAPSHOT MISSING"))</x:f>
      </x:c>
      <x:c r="N103" s="3" t="str">
        <x:f>IF(Setup!$B$6="primary","",IFERROR(IF(INDEX('Primary_snapshot'!$E$2:$E$132,MATCH(C103,'Primary_snapshot'!$A$2:$A$132,0))="","",INDEX('Primary_snapshot'!$E$2:$E$132,MATCH(C103,'Primary_snapshot'!$A$2:$A$132,0))),"SNAPSHOT MISSING"))</x:f>
      </x:c>
      <x:c r="O103" s="3" t="str">
        <x:f>IF(Setup!$B$6="primary","",IFERROR(IF(INDEX('Primary_snapshot'!$F$2:$F$132,MATCH(C103,'Primary_snapshot'!$A$2:$A$132,0))="","",INDEX('Primary_snapshot'!$F$2:$F$132,MATCH(C103,'Primary_snapshot'!$A$2:$A$132,0))),"SNAPSHOT MISSING"))</x:f>
      </x:c>
      <x:c r="P103" s="3" t="str">
        <x:f>IF(Setup!$B$6="primary","",IFERROR(IF(INDEX('Primary_snapshot'!$G$2:$G$132,MATCH(C103,'Primary_snapshot'!$A$2:$A$132,0))="","",INDEX('Primary_snapshot'!$G$2:$G$132,MATCH(C103,'Primary_snapshot'!$A$2:$A$132,0))),"SNAPSHOT MISSING"))</x:f>
      </x:c>
      <x:c r="Q103" s="3" t="str">
        <x:f>IF(Setup!$B$6="primary","",IFERROR(IF(INDEX('Primary_snapshot'!$H$2:$H$132,MATCH(C103,'Primary_snapshot'!$A$2:$A$132,0))="","",INDEX('Primary_snapshot'!$H$2:$H$132,MATCH(C103,'Primary_snapshot'!$A$2:$A$132,0))),"SNAPSHOT MISSING"))</x:f>
      </x:c>
      <x:c r="R103" s="3" t="str">
        <x:f>IF(Setup!$B$6="primary","",IFERROR(IF(INDEX('Primary_snapshot'!$I$2:$I$132,MATCH(C103,'Primary_snapshot'!$A$2:$A$132,0))="","",INDEX('Primary_snapshot'!$I$2:$I$132,MATCH(C103,'Primary_snapshot'!$A$2:$A$132,0))),"SNAPSHOT MISSING"))</x:f>
      </x:c>
      <x:c r="S103" s="3" t="str">
        <x:f>IF(INDEX('C_jama.2025.24175'!$D$2:$D$15,MATCH("2025::jama.2025.24175::C004",'C_jama.2025.24175'!$A$2:$A$15,0))="","",INDEX('C_jama.2025.24175'!$D$2:$D$15,MATCH("2025::jama.2025.24175::C004",'C_jama.2025.24175'!$A$2:$A$15,0)))</x:f>
      </x:c>
      <x:c r="T103" s="3" t="str">
        <x:f>IF(INDEX('C_jama.2025.24175'!$E$2:$E$15,MATCH("2025::jama.2025.24175::C004",'C_jama.2025.24175'!$A$2:$A$15,0))="","",INDEX('C_jama.2025.24175'!$E$2:$E$15,MATCH("2025::jama.2025.24175::C004",'C_jama.2025.24175'!$A$2:$A$15,0)))</x:f>
        <x:v>protocol_report</x:v>
      </x:c>
      <x:c r="U103" s="3" t="str">
        <x:f>IF(AND(INDEX('C_jama.2025.24175'!$D$2:$D$15,MATCH("2025::jama.2025.24175::C004",'C_jama.2025.24175'!$A$2:$A$15,0))="retain",INDEX('C_jama.2025.24175'!$E$2:$E$15,MATCH("2025::jama.2025.24175::C004",'C_jama.2025.24175'!$A$2:$A$15,0))="statistical_results"),IF(INDEX('C_jama.2025.24175'!$H$2:$H$15,MATCH("2025::jama.2025.24175::C004",'C_jama.2025.24175'!$A$2:$A$15,0))="","",INDEX('C_jama.2025.24175'!$H$2:$H$15,MATCH("2025::jama.2025.24175::C004",'C_jama.2025.24175'!$A$2:$A$15,0))),"not_applicable")</x:f>
        <x:v>not_applicable</x:v>
      </x:c>
      <x:c r="V103" s="3" t="str">
        <x:f>IF(AND(INDEX('C_jama.2025.24175'!$D$2:$D$15,MATCH("2025::jama.2025.24175::C004",'C_jama.2025.24175'!$A$2:$A$15,0))="retain",INDEX('C_jama.2025.24175'!$E$2:$E$15,MATCH("2025::jama.2025.24175::C004",'C_jama.2025.24175'!$A$2:$A$15,0))="statistical_results"),IF(INDEX('C_jama.2025.24175'!$I$2:$I$15,MATCH("2025::jama.2025.24175::C004",'C_jama.2025.24175'!$A$2:$A$15,0))="","",INDEX('C_jama.2025.24175'!$I$2:$I$15,MATCH("2025::jama.2025.24175::C004",'C_jama.2025.24175'!$A$2:$A$15,0))),"not_applicable")</x:f>
        <x:v>not_applicable</x:v>
      </x:c>
      <x:c r="W103" s="3" t="str">
        <x:f>IF(AND(INDEX('C_jama.2025.24175'!$D$2:$D$15,MATCH("2025::jama.2025.24175::C004",'C_jama.2025.24175'!$A$2:$A$15,0))="retain",INDEX('C_jama.2025.24175'!$E$2:$E$15,MATCH("2025::jama.2025.24175::C004",'C_jama.2025.24175'!$A$2:$A$15,0))="statistical_results"),IF(INDEX('C_jama.2025.24175'!$J$2:$J$15,MATCH("2025::jama.2025.24175::C004",'C_jama.2025.24175'!$A$2:$A$15,0))="","",INDEX('C_jama.2025.24175'!$J$2:$J$15,MATCH("2025::jama.2025.24175::C004",'C_jama.2025.24175'!$A$2:$A$15,0))),"not_applicable")</x:f>
        <x:v>not_applicable</x:v>
      </x:c>
      <x:c r="X103" s="3" t="str">
        <x:f>IF(AND(INDEX('C_jama.2025.24175'!$D$2:$D$15,MATCH("2025::jama.2025.24175::C004",'C_jama.2025.24175'!$A$2:$A$15,0))="retain",OR(INDEX('C_jama.2025.24175'!$E$2:$E$15,MATCH("2025::jama.2025.24175::C004",'C_jama.2025.24175'!$A$2:$A$15,0))="report_internal_inconsistency",INDEX('C_jama.2025.24175'!$E$2:$E$15,MATCH("2025::jama.2025.24175::C004",'C_jama.2025.24175'!$A$2:$A$15,0))="plan_material")),IF(INDEX('C_jama.2025.24175'!$K$2:$K$15,MATCH("2025::jama.2025.24175::C004",'C_jama.2025.24175'!$A$2:$A$15,0))="","",INDEX('C_jama.2025.24175'!$K$2:$K$15,MATCH("2025::jama.2025.24175::C004",'C_jama.2025.24175'!$A$2:$A$15,0))),"not_applicable")</x:f>
        <x:v>not_applicable</x:v>
      </x:c>
      <x:c r="Y103" s="3" t="str">
        <x:f>IF(AND(INDEX('C_jama.2025.24175'!$D$2:$D$15,MATCH("2025::jama.2025.24175::C004",'C_jama.2025.24175'!$A$2:$A$15,0))="retain",INDEX('C_jama.2025.24175'!$E$2:$E$15,MATCH("2025::jama.2025.24175::C004",'C_jama.2025.24175'!$A$2:$A$15,0))="protocol_report"),IF(INDEX('C_jama.2025.24175'!$L$2:$L$15,MATCH("2025::jama.2025.24175::C004",'C_jama.2025.24175'!$A$2:$A$15,0))="","",INDEX('C_jama.2025.24175'!$L$2:$L$15,MATCH("2025::jama.2025.24175::C004",'C_jama.2025.24175'!$A$2:$A$15,0))),"not_applicable")</x:f>
        <x:v>not_applicable</x:v>
      </x:c>
      <x:c r="Z103" s="3" t="str">
        <x:f>IF(INDEX('C_jama.2025.24175'!$R$2:$R$15,MATCH("2025::jama.2025.24175::C004",'C_jama.2025.24175'!$A$2:$A$15,0))="","",INDEX('C_jama.2025.24175'!$R$2:$R$15,MATCH("2025::jama.2025.24175::C004",'C_jama.2025.24175'!$A$2:$A$15,0)))</x:f>
      </x:c>
      <x:c r="AA103" s="3" t="str">
        <x:f>IF(INDEX('C_jama.2025.24175'!$N$2:$N$15,MATCH("2025::jama.2025.24175::C004",'C_jama.2025.24175'!$A$2:$A$15,0))="","",INDEX('C_jama.2025.24175'!$N$2:$N$15,MATCH("2025::jama.2025.24175::C004",'C_jama.2025.24175'!$A$2:$A$15,0)))</x:f>
      </x:c>
      <x:c r="AB103" s="3" t="str">
        <x:f>IF(INDEX('C_jama.2025.24175'!$O$2:$O$15,MATCH("2025::jama.2025.24175::C004",'C_jama.2025.24175'!$A$2:$A$15,0))="","",INDEX('C_jama.2025.24175'!$O$2:$O$15,MATCH("2025::jama.2025.24175::C004",'C_jama.2025.24175'!$A$2:$A$15,0)))</x:f>
      </x:c>
      <x:c r="AC103" s="3" t="str">
        <x:f>IF(INDEX('C_jama.2025.24175'!$P$2:$P$15,MATCH("2025::jama.2025.24175::C004",'C_jama.2025.24175'!$A$2:$A$15,0))="","",INDEX('C_jama.2025.24175'!$P$2:$P$15,MATCH("2025::jama.2025.24175::C004",'C_jama.2025.24175'!$A$2:$A$15,0)))</x:f>
      </x:c>
      <x:c r="AD103" s="3" t="str">
        <x:f>IF(INDEX('C_jama.2025.24175'!$Q$2:$Q$15,MATCH("2025::jama.2025.24175::C004",'C_jama.2025.24175'!$A$2:$A$15,0))="","",INDEX('C_jama.2025.24175'!$Q$2:$Q$15,MATCH("2025::jama.2025.24175::C004",'C_jama.2025.24175'!$A$2:$A$15,0)))</x:f>
      </x:c>
    </x:row>
    <x:row r="104" ht="65" customHeight="1">
      <x:c r="A104" s="6" t="n">
        <x:v>2025</x:v>
      </x:c>
      <x:c r="B104" s="6" t="str">
        <x:v>jama.2025.24175</x:v>
      </x:c>
      <x:c r="C104" s="6" t="str">
        <x:v>2025::jama.2025.24175::C005</x:v>
      </x:c>
      <x:c r="D104" s="6" t="str">
        <x:v>P_P</x:v>
      </x:c>
      <x:c r="E104" s="6" t="n">
        <x:f>Setup!$B$2</x:f>
        <x:v>0</x:v>
      </x:c>
      <x:c r="F104" s="6" t="str">
        <x:f>IF(Setup!$B$4="","",Setup!$B$4)</x:f>
      </x:c>
      <x:c r="G104" s="6" t="str">
        <x:f>IFERROR(INDEX('C_jama.2025.24175'!$G$2:$G$15,MATCH("2025::jama.2025.24175::C005",'C_jama.2025.24175'!$A$2:$A$15,0)),"CHECK KEY")</x:f>
        <x:v>CHECK REVIEWER IDs</x:v>
      </x:c>
      <x:c r="H104" s="6" t="str">
        <x:f>IF(G104&lt;&gt;"FINAL READY","",IF(S104&lt;&gt;"retain","not_eligible",IF(D104="P_R","protocol_descriptive",IF(D104="P_P","plan_descriptive",IF(AND(T104="statistical_results",OR(U104="confirmed_issue",U104="probable_issue"),V104="substantive"),"primary_temporal",IF(AND(T104="report_internal_inconsistency",X104="substantive_inconsistency"),"secondary_temporal","not_eligible"))))))</x:f>
      </x:c>
      <x:c r="I104" s="6" t="str">
        <x:v>retain</x:v>
      </x:c>
      <x:c r="J104" s="6" t="str">
        <x:v>plan_material</x:v>
      </x:c>
      <x:c r="K104" s="6" t="str">
        <x:f>IF(Setup!$B$6="primary","",IFERROR(IF(INDEX('Primary_snapshot'!$B$2:$B$132,MATCH(C104,'Primary_snapshot'!$A$2:$A$132,0))="","",INDEX('Primary_snapshot'!$B$2:$B$132,MATCH(C104,'Primary_snapshot'!$A$2:$A$132,0))),"SNAPSHOT MISSING"))</x:f>
      </x:c>
      <x:c r="L104" s="6" t="str">
        <x:f>IF(Setup!$B$6="primary","",IFERROR(IF(INDEX('Primary_snapshot'!$C$2:$C$132,MATCH(C104,'Primary_snapshot'!$A$2:$A$132,0))="","",INDEX('Primary_snapshot'!$C$2:$C$132,MATCH(C104,'Primary_snapshot'!$A$2:$A$132,0))),"SNAPSHOT MISSING"))</x:f>
      </x:c>
      <x:c r="M104" s="6" t="str">
        <x:f>IF(Setup!$B$6="primary","",IFERROR(IF(INDEX('Primary_snapshot'!$D$2:$D$132,MATCH(C104,'Primary_snapshot'!$A$2:$A$132,0))="","",INDEX('Primary_snapshot'!$D$2:$D$132,MATCH(C104,'Primary_snapshot'!$A$2:$A$132,0))),"SNAPSHOT MISSING"))</x:f>
      </x:c>
      <x:c r="N104" s="6" t="str">
        <x:f>IF(Setup!$B$6="primary","",IFERROR(IF(INDEX('Primary_snapshot'!$E$2:$E$132,MATCH(C104,'Primary_snapshot'!$A$2:$A$132,0))="","",INDEX('Primary_snapshot'!$E$2:$E$132,MATCH(C104,'Primary_snapshot'!$A$2:$A$132,0))),"SNAPSHOT MISSING"))</x:f>
      </x:c>
      <x:c r="O104" s="6" t="str">
        <x:f>IF(Setup!$B$6="primary","",IFERROR(IF(INDEX('Primary_snapshot'!$F$2:$F$132,MATCH(C104,'Primary_snapshot'!$A$2:$A$132,0))="","",INDEX('Primary_snapshot'!$F$2:$F$132,MATCH(C104,'Primary_snapshot'!$A$2:$A$132,0))),"SNAPSHOT MISSING"))</x:f>
      </x:c>
      <x:c r="P104" s="6" t="str">
        <x:f>IF(Setup!$B$6="primary","",IFERROR(IF(INDEX('Primary_snapshot'!$G$2:$G$132,MATCH(C104,'Primary_snapshot'!$A$2:$A$132,0))="","",INDEX('Primary_snapshot'!$G$2:$G$132,MATCH(C104,'Primary_snapshot'!$A$2:$A$132,0))),"SNAPSHOT MISSING"))</x:f>
      </x:c>
      <x:c r="Q104" s="6" t="str">
        <x:f>IF(Setup!$B$6="primary","",IFERROR(IF(INDEX('Primary_snapshot'!$H$2:$H$132,MATCH(C104,'Primary_snapshot'!$A$2:$A$132,0))="","",INDEX('Primary_snapshot'!$H$2:$H$132,MATCH(C104,'Primary_snapshot'!$A$2:$A$132,0))),"SNAPSHOT MISSING"))</x:f>
      </x:c>
      <x:c r="R104" s="6" t="str">
        <x:f>IF(Setup!$B$6="primary","",IFERROR(IF(INDEX('Primary_snapshot'!$I$2:$I$132,MATCH(C104,'Primary_snapshot'!$A$2:$A$132,0))="","",INDEX('Primary_snapshot'!$I$2:$I$132,MATCH(C104,'Primary_snapshot'!$A$2:$A$132,0))),"SNAPSHOT MISSING"))</x:f>
      </x:c>
      <x:c r="S104" s="6" t="str">
        <x:f>IF(INDEX('C_jama.2025.24175'!$D$2:$D$15,MATCH("2025::jama.2025.24175::C005",'C_jama.2025.24175'!$A$2:$A$15,0))="","",INDEX('C_jama.2025.24175'!$D$2:$D$15,MATCH("2025::jama.2025.24175::C005",'C_jama.2025.24175'!$A$2:$A$15,0)))</x:f>
      </x:c>
      <x:c r="T104" s="6" t="str">
        <x:f>IF(INDEX('C_jama.2025.24175'!$E$2:$E$15,MATCH("2025::jama.2025.24175::C005",'C_jama.2025.24175'!$A$2:$A$15,0))="","",INDEX('C_jama.2025.24175'!$E$2:$E$15,MATCH("2025::jama.2025.24175::C005",'C_jama.2025.24175'!$A$2:$A$15,0)))</x:f>
        <x:v>plan_material</x:v>
      </x:c>
      <x:c r="U104" s="6" t="str">
        <x:f>IF(AND(INDEX('C_jama.2025.24175'!$D$2:$D$15,MATCH("2025::jama.2025.24175::C005",'C_jama.2025.24175'!$A$2:$A$15,0))="retain",INDEX('C_jama.2025.24175'!$E$2:$E$15,MATCH("2025::jama.2025.24175::C005",'C_jama.2025.24175'!$A$2:$A$15,0))="statistical_results"),IF(INDEX('C_jama.2025.24175'!$H$2:$H$15,MATCH("2025::jama.2025.24175::C005",'C_jama.2025.24175'!$A$2:$A$15,0))="","",INDEX('C_jama.2025.24175'!$H$2:$H$15,MATCH("2025::jama.2025.24175::C005",'C_jama.2025.24175'!$A$2:$A$15,0))),"not_applicable")</x:f>
        <x:v>not_applicable</x:v>
      </x:c>
      <x:c r="V104" s="6" t="str">
        <x:f>IF(AND(INDEX('C_jama.2025.24175'!$D$2:$D$15,MATCH("2025::jama.2025.24175::C005",'C_jama.2025.24175'!$A$2:$A$15,0))="retain",INDEX('C_jama.2025.24175'!$E$2:$E$15,MATCH("2025::jama.2025.24175::C005",'C_jama.2025.24175'!$A$2:$A$15,0))="statistical_results"),IF(INDEX('C_jama.2025.24175'!$I$2:$I$15,MATCH("2025::jama.2025.24175::C005",'C_jama.2025.24175'!$A$2:$A$15,0))="","",INDEX('C_jama.2025.24175'!$I$2:$I$15,MATCH("2025::jama.2025.24175::C005",'C_jama.2025.24175'!$A$2:$A$15,0))),"not_applicable")</x:f>
        <x:v>not_applicable</x:v>
      </x:c>
      <x:c r="W104" s="6" t="str">
        <x:f>IF(AND(INDEX('C_jama.2025.24175'!$D$2:$D$15,MATCH("2025::jama.2025.24175::C005",'C_jama.2025.24175'!$A$2:$A$15,0))="retain",INDEX('C_jama.2025.24175'!$E$2:$E$15,MATCH("2025::jama.2025.24175::C005",'C_jama.2025.24175'!$A$2:$A$15,0))="statistical_results"),IF(INDEX('C_jama.2025.24175'!$J$2:$J$15,MATCH("2025::jama.2025.24175::C005",'C_jama.2025.24175'!$A$2:$A$15,0))="","",INDEX('C_jama.2025.24175'!$J$2:$J$15,MATCH("2025::jama.2025.24175::C005",'C_jama.2025.24175'!$A$2:$A$15,0))),"not_applicable")</x:f>
        <x:v>not_applicable</x:v>
      </x:c>
      <x:c r="X104" s="6" t="str">
        <x:f>IF(AND(INDEX('C_jama.2025.24175'!$D$2:$D$15,MATCH("2025::jama.2025.24175::C005",'C_jama.2025.24175'!$A$2:$A$15,0))="retain",OR(INDEX('C_jama.2025.24175'!$E$2:$E$15,MATCH("2025::jama.2025.24175::C005",'C_jama.2025.24175'!$A$2:$A$15,0))="report_internal_inconsistency",INDEX('C_jama.2025.24175'!$E$2:$E$15,MATCH("2025::jama.2025.24175::C005",'C_jama.2025.24175'!$A$2:$A$15,0))="plan_material")),IF(INDEX('C_jama.2025.24175'!$K$2:$K$15,MATCH("2025::jama.2025.24175::C005",'C_jama.2025.24175'!$A$2:$A$15,0))="","",INDEX('C_jama.2025.24175'!$K$2:$K$15,MATCH("2025::jama.2025.24175::C005",'C_jama.2025.24175'!$A$2:$A$15,0))),"not_applicable")</x:f>
        <x:v>not_applicable</x:v>
      </x:c>
      <x:c r="Y104" s="6" t="str">
        <x:f>IF(AND(INDEX('C_jama.2025.24175'!$D$2:$D$15,MATCH("2025::jama.2025.24175::C005",'C_jama.2025.24175'!$A$2:$A$15,0))="retain",INDEX('C_jama.2025.24175'!$E$2:$E$15,MATCH("2025::jama.2025.24175::C005",'C_jama.2025.24175'!$A$2:$A$15,0))="protocol_report"),IF(INDEX('C_jama.2025.24175'!$L$2:$L$15,MATCH("2025::jama.2025.24175::C005",'C_jama.2025.24175'!$A$2:$A$15,0))="","",INDEX('C_jama.2025.24175'!$L$2:$L$15,MATCH("2025::jama.2025.24175::C005",'C_jama.2025.24175'!$A$2:$A$15,0))),"not_applicable")</x:f>
        <x:v>not_applicable</x:v>
      </x:c>
      <x:c r="Z104" s="6" t="str">
        <x:f>IF(INDEX('C_jama.2025.24175'!$R$2:$R$15,MATCH("2025::jama.2025.24175::C005",'C_jama.2025.24175'!$A$2:$A$15,0))="","",INDEX('C_jama.2025.24175'!$R$2:$R$15,MATCH("2025::jama.2025.24175::C005",'C_jama.2025.24175'!$A$2:$A$15,0)))</x:f>
      </x:c>
      <x:c r="AA104" s="6" t="str">
        <x:f>IF(INDEX('C_jama.2025.24175'!$N$2:$N$15,MATCH("2025::jama.2025.24175::C005",'C_jama.2025.24175'!$A$2:$A$15,0))="","",INDEX('C_jama.2025.24175'!$N$2:$N$15,MATCH("2025::jama.2025.24175::C005",'C_jama.2025.24175'!$A$2:$A$15,0)))</x:f>
      </x:c>
      <x:c r="AB104" s="6" t="str">
        <x:f>IF(INDEX('C_jama.2025.24175'!$O$2:$O$15,MATCH("2025::jama.2025.24175::C005",'C_jama.2025.24175'!$A$2:$A$15,0))="","",INDEX('C_jama.2025.24175'!$O$2:$O$15,MATCH("2025::jama.2025.24175::C005",'C_jama.2025.24175'!$A$2:$A$15,0)))</x:f>
      </x:c>
      <x:c r="AC104" s="6" t="str">
        <x:f>IF(INDEX('C_jama.2025.24175'!$P$2:$P$15,MATCH("2025::jama.2025.24175::C005",'C_jama.2025.24175'!$A$2:$A$15,0))="","",INDEX('C_jama.2025.24175'!$P$2:$P$15,MATCH("2025::jama.2025.24175::C005",'C_jama.2025.24175'!$A$2:$A$15,0)))</x:f>
      </x:c>
      <x:c r="AD104" s="6" t="str">
        <x:f>IF(INDEX('C_jama.2025.24175'!$Q$2:$Q$15,MATCH("2025::jama.2025.24175::C005",'C_jama.2025.24175'!$A$2:$A$15,0))="","",INDEX('C_jama.2025.24175'!$Q$2:$Q$15,MATCH("2025::jama.2025.24175::C005",'C_jama.2025.24175'!$A$2:$A$15,0)))</x:f>
      </x:c>
    </x:row>
    <x:row r="105" ht="65" customHeight="1">
      <x:c r="A105" s="3" t="n">
        <x:v>2025</x:v>
      </x:c>
      <x:c r="B105" s="3" t="str">
        <x:v>jama.2025.24175</x:v>
      </x:c>
      <x:c r="C105" s="3" t="str">
        <x:v>2025::jama.2025.24175::C006</x:v>
      </x:c>
      <x:c r="D105" s="3" t="str">
        <x:v>P_P</x:v>
      </x:c>
      <x:c r="E105" s="3" t="n">
        <x:f>Setup!$B$2</x:f>
        <x:v>0</x:v>
      </x:c>
      <x:c r="F105" s="3" t="str">
        <x:f>IF(Setup!$B$4="","",Setup!$B$4)</x:f>
      </x:c>
      <x:c r="G105" s="3" t="str">
        <x:f>IFERROR(INDEX('C_jama.2025.24175'!$G$2:$G$15,MATCH("2025::jama.2025.24175::C006",'C_jama.2025.24175'!$A$2:$A$15,0)),"CHECK KEY")</x:f>
        <x:v>CHECK REVIEWER IDs</x:v>
      </x:c>
      <x:c r="H105" s="3" t="str">
        <x:f>IF(G105&lt;&gt;"FINAL READY","",IF(S105&lt;&gt;"retain","not_eligible",IF(D105="P_R","protocol_descriptive",IF(D105="P_P","plan_descriptive",IF(AND(T105="statistical_results",OR(U105="confirmed_issue",U105="probable_issue"),V105="substantive"),"primary_temporal",IF(AND(T105="report_internal_inconsistency",X105="substantive_inconsistency"),"secondary_temporal","not_eligible"))))))</x:f>
      </x:c>
      <x:c r="I105" s="3" t="str">
        <x:v>retain</x:v>
      </x:c>
      <x:c r="J105" s="3" t="str">
        <x:v>plan_material</x:v>
      </x:c>
      <x:c r="K105" s="3" t="str">
        <x:f>IF(Setup!$B$6="primary","",IFERROR(IF(INDEX('Primary_snapshot'!$B$2:$B$132,MATCH(C105,'Primary_snapshot'!$A$2:$A$132,0))="","",INDEX('Primary_snapshot'!$B$2:$B$132,MATCH(C105,'Primary_snapshot'!$A$2:$A$132,0))),"SNAPSHOT MISSING"))</x:f>
      </x:c>
      <x:c r="L105" s="3" t="str">
        <x:f>IF(Setup!$B$6="primary","",IFERROR(IF(INDEX('Primary_snapshot'!$C$2:$C$132,MATCH(C105,'Primary_snapshot'!$A$2:$A$132,0))="","",INDEX('Primary_snapshot'!$C$2:$C$132,MATCH(C105,'Primary_snapshot'!$A$2:$A$132,0))),"SNAPSHOT MISSING"))</x:f>
      </x:c>
      <x:c r="M105" s="3" t="str">
        <x:f>IF(Setup!$B$6="primary","",IFERROR(IF(INDEX('Primary_snapshot'!$D$2:$D$132,MATCH(C105,'Primary_snapshot'!$A$2:$A$132,0))="","",INDEX('Primary_snapshot'!$D$2:$D$132,MATCH(C105,'Primary_snapshot'!$A$2:$A$132,0))),"SNAPSHOT MISSING"))</x:f>
      </x:c>
      <x:c r="N105" s="3" t="str">
        <x:f>IF(Setup!$B$6="primary","",IFERROR(IF(INDEX('Primary_snapshot'!$E$2:$E$132,MATCH(C105,'Primary_snapshot'!$A$2:$A$132,0))="","",INDEX('Primary_snapshot'!$E$2:$E$132,MATCH(C105,'Primary_snapshot'!$A$2:$A$132,0))),"SNAPSHOT MISSING"))</x:f>
      </x:c>
      <x:c r="O105" s="3" t="str">
        <x:f>IF(Setup!$B$6="primary","",IFERROR(IF(INDEX('Primary_snapshot'!$F$2:$F$132,MATCH(C105,'Primary_snapshot'!$A$2:$A$132,0))="","",INDEX('Primary_snapshot'!$F$2:$F$132,MATCH(C105,'Primary_snapshot'!$A$2:$A$132,0))),"SNAPSHOT MISSING"))</x:f>
      </x:c>
      <x:c r="P105" s="3" t="str">
        <x:f>IF(Setup!$B$6="primary","",IFERROR(IF(INDEX('Primary_snapshot'!$G$2:$G$132,MATCH(C105,'Primary_snapshot'!$A$2:$A$132,0))="","",INDEX('Primary_snapshot'!$G$2:$G$132,MATCH(C105,'Primary_snapshot'!$A$2:$A$132,0))),"SNAPSHOT MISSING"))</x:f>
      </x:c>
      <x:c r="Q105" s="3" t="str">
        <x:f>IF(Setup!$B$6="primary","",IFERROR(IF(INDEX('Primary_snapshot'!$H$2:$H$132,MATCH(C105,'Primary_snapshot'!$A$2:$A$132,0))="","",INDEX('Primary_snapshot'!$H$2:$H$132,MATCH(C105,'Primary_snapshot'!$A$2:$A$132,0))),"SNAPSHOT MISSING"))</x:f>
      </x:c>
      <x:c r="R105" s="3" t="str">
        <x:f>IF(Setup!$B$6="primary","",IFERROR(IF(INDEX('Primary_snapshot'!$I$2:$I$132,MATCH(C105,'Primary_snapshot'!$A$2:$A$132,0))="","",INDEX('Primary_snapshot'!$I$2:$I$132,MATCH(C105,'Primary_snapshot'!$A$2:$A$132,0))),"SNAPSHOT MISSING"))</x:f>
      </x:c>
      <x:c r="S105" s="3" t="str">
        <x:f>IF(INDEX('C_jama.2025.24175'!$D$2:$D$15,MATCH("2025::jama.2025.24175::C006",'C_jama.2025.24175'!$A$2:$A$15,0))="","",INDEX('C_jama.2025.24175'!$D$2:$D$15,MATCH("2025::jama.2025.24175::C006",'C_jama.2025.24175'!$A$2:$A$15,0)))</x:f>
      </x:c>
      <x:c r="T105" s="3" t="str">
        <x:f>IF(INDEX('C_jama.2025.24175'!$E$2:$E$15,MATCH("2025::jama.2025.24175::C006",'C_jama.2025.24175'!$A$2:$A$15,0))="","",INDEX('C_jama.2025.24175'!$E$2:$E$15,MATCH("2025::jama.2025.24175::C006",'C_jama.2025.24175'!$A$2:$A$15,0)))</x:f>
        <x:v>plan_material</x:v>
      </x:c>
      <x:c r="U105" s="3" t="str">
        <x:f>IF(AND(INDEX('C_jama.2025.24175'!$D$2:$D$15,MATCH("2025::jama.2025.24175::C006",'C_jama.2025.24175'!$A$2:$A$15,0))="retain",INDEX('C_jama.2025.24175'!$E$2:$E$15,MATCH("2025::jama.2025.24175::C006",'C_jama.2025.24175'!$A$2:$A$15,0))="statistical_results"),IF(INDEX('C_jama.2025.24175'!$H$2:$H$15,MATCH("2025::jama.2025.24175::C006",'C_jama.2025.24175'!$A$2:$A$15,0))="","",INDEX('C_jama.2025.24175'!$H$2:$H$15,MATCH("2025::jama.2025.24175::C006",'C_jama.2025.24175'!$A$2:$A$15,0))),"not_applicable")</x:f>
        <x:v>not_applicable</x:v>
      </x:c>
      <x:c r="V105" s="3" t="str">
        <x:f>IF(AND(INDEX('C_jama.2025.24175'!$D$2:$D$15,MATCH("2025::jama.2025.24175::C006",'C_jama.2025.24175'!$A$2:$A$15,0))="retain",INDEX('C_jama.2025.24175'!$E$2:$E$15,MATCH("2025::jama.2025.24175::C006",'C_jama.2025.24175'!$A$2:$A$15,0))="statistical_results"),IF(INDEX('C_jama.2025.24175'!$I$2:$I$15,MATCH("2025::jama.2025.24175::C006",'C_jama.2025.24175'!$A$2:$A$15,0))="","",INDEX('C_jama.2025.24175'!$I$2:$I$15,MATCH("2025::jama.2025.24175::C006",'C_jama.2025.24175'!$A$2:$A$15,0))),"not_applicable")</x:f>
        <x:v>not_applicable</x:v>
      </x:c>
      <x:c r="W105" s="3" t="str">
        <x:f>IF(AND(INDEX('C_jama.2025.24175'!$D$2:$D$15,MATCH("2025::jama.2025.24175::C006",'C_jama.2025.24175'!$A$2:$A$15,0))="retain",INDEX('C_jama.2025.24175'!$E$2:$E$15,MATCH("2025::jama.2025.24175::C006",'C_jama.2025.24175'!$A$2:$A$15,0))="statistical_results"),IF(INDEX('C_jama.2025.24175'!$J$2:$J$15,MATCH("2025::jama.2025.24175::C006",'C_jama.2025.24175'!$A$2:$A$15,0))="","",INDEX('C_jama.2025.24175'!$J$2:$J$15,MATCH("2025::jama.2025.24175::C006",'C_jama.2025.24175'!$A$2:$A$15,0))),"not_applicable")</x:f>
        <x:v>not_applicable</x:v>
      </x:c>
      <x:c r="X105" s="3" t="str">
        <x:f>IF(AND(INDEX('C_jama.2025.24175'!$D$2:$D$15,MATCH("2025::jama.2025.24175::C006",'C_jama.2025.24175'!$A$2:$A$15,0))="retain",OR(INDEX('C_jama.2025.24175'!$E$2:$E$15,MATCH("2025::jama.2025.24175::C006",'C_jama.2025.24175'!$A$2:$A$15,0))="report_internal_inconsistency",INDEX('C_jama.2025.24175'!$E$2:$E$15,MATCH("2025::jama.2025.24175::C006",'C_jama.2025.24175'!$A$2:$A$15,0))="plan_material")),IF(INDEX('C_jama.2025.24175'!$K$2:$K$15,MATCH("2025::jama.2025.24175::C006",'C_jama.2025.24175'!$A$2:$A$15,0))="","",INDEX('C_jama.2025.24175'!$K$2:$K$15,MATCH("2025::jama.2025.24175::C006",'C_jama.2025.24175'!$A$2:$A$15,0))),"not_applicable")</x:f>
        <x:v>not_applicable</x:v>
      </x:c>
      <x:c r="Y105" s="3" t="str">
        <x:f>IF(AND(INDEX('C_jama.2025.24175'!$D$2:$D$15,MATCH("2025::jama.2025.24175::C006",'C_jama.2025.24175'!$A$2:$A$15,0))="retain",INDEX('C_jama.2025.24175'!$E$2:$E$15,MATCH("2025::jama.2025.24175::C006",'C_jama.2025.24175'!$A$2:$A$15,0))="protocol_report"),IF(INDEX('C_jama.2025.24175'!$L$2:$L$15,MATCH("2025::jama.2025.24175::C006",'C_jama.2025.24175'!$A$2:$A$15,0))="","",INDEX('C_jama.2025.24175'!$L$2:$L$15,MATCH("2025::jama.2025.24175::C006",'C_jama.2025.24175'!$A$2:$A$15,0))),"not_applicable")</x:f>
        <x:v>not_applicable</x:v>
      </x:c>
      <x:c r="Z105" s="3" t="str">
        <x:f>IF(INDEX('C_jama.2025.24175'!$R$2:$R$15,MATCH("2025::jama.2025.24175::C006",'C_jama.2025.24175'!$A$2:$A$15,0))="","",INDEX('C_jama.2025.24175'!$R$2:$R$15,MATCH("2025::jama.2025.24175::C006",'C_jama.2025.24175'!$A$2:$A$15,0)))</x:f>
      </x:c>
      <x:c r="AA105" s="3" t="str">
        <x:f>IF(INDEX('C_jama.2025.24175'!$N$2:$N$15,MATCH("2025::jama.2025.24175::C006",'C_jama.2025.24175'!$A$2:$A$15,0))="","",INDEX('C_jama.2025.24175'!$N$2:$N$15,MATCH("2025::jama.2025.24175::C006",'C_jama.2025.24175'!$A$2:$A$15,0)))</x:f>
      </x:c>
      <x:c r="AB105" s="3" t="str">
        <x:f>IF(INDEX('C_jama.2025.24175'!$O$2:$O$15,MATCH("2025::jama.2025.24175::C006",'C_jama.2025.24175'!$A$2:$A$15,0))="","",INDEX('C_jama.2025.24175'!$O$2:$O$15,MATCH("2025::jama.2025.24175::C006",'C_jama.2025.24175'!$A$2:$A$15,0)))</x:f>
      </x:c>
      <x:c r="AC105" s="3" t="str">
        <x:f>IF(INDEX('C_jama.2025.24175'!$P$2:$P$15,MATCH("2025::jama.2025.24175::C006",'C_jama.2025.24175'!$A$2:$A$15,0))="","",INDEX('C_jama.2025.24175'!$P$2:$P$15,MATCH("2025::jama.2025.24175::C006",'C_jama.2025.24175'!$A$2:$A$15,0)))</x:f>
      </x:c>
      <x:c r="AD105" s="3" t="str">
        <x:f>IF(INDEX('C_jama.2025.24175'!$Q$2:$Q$15,MATCH("2025::jama.2025.24175::C006",'C_jama.2025.24175'!$A$2:$A$15,0))="","",INDEX('C_jama.2025.24175'!$Q$2:$Q$15,MATCH("2025::jama.2025.24175::C006",'C_jama.2025.24175'!$A$2:$A$15,0)))</x:f>
      </x:c>
    </x:row>
    <x:row r="106" ht="65" customHeight="1">
      <x:c r="A106" s="6" t="n">
        <x:v>2025</x:v>
      </x:c>
      <x:c r="B106" s="6" t="str">
        <x:v>jama.2025.24175</x:v>
      </x:c>
      <x:c r="C106" s="6" t="str">
        <x:v>2025::jama.2025.24175::C007</x:v>
      </x:c>
      <x:c r="D106" s="6" t="str">
        <x:v>P_P</x:v>
      </x:c>
      <x:c r="E106" s="6" t="n">
        <x:f>Setup!$B$2</x:f>
        <x:v>0</x:v>
      </x:c>
      <x:c r="F106" s="6" t="str">
        <x:f>IF(Setup!$B$4="","",Setup!$B$4)</x:f>
      </x:c>
      <x:c r="G106" s="6" t="str">
        <x:f>IFERROR(INDEX('C_jama.2025.24175'!$G$2:$G$15,MATCH("2025::jama.2025.24175::C007",'C_jama.2025.24175'!$A$2:$A$15,0)),"CHECK KEY")</x:f>
        <x:v>CHECK REVIEWER IDs</x:v>
      </x:c>
      <x:c r="H106" s="6" t="str">
        <x:f>IF(G106&lt;&gt;"FINAL READY","",IF(S106&lt;&gt;"retain","not_eligible",IF(D106="P_R","protocol_descriptive",IF(D106="P_P","plan_descriptive",IF(AND(T106="statistical_results",OR(U106="confirmed_issue",U106="probable_issue"),V106="substantive"),"primary_temporal",IF(AND(T106="report_internal_inconsistency",X106="substantive_inconsistency"),"secondary_temporal","not_eligible"))))))</x:f>
      </x:c>
      <x:c r="I106" s="6" t="str">
        <x:v>retain</x:v>
      </x:c>
      <x:c r="J106" s="6" t="str">
        <x:v>plan_material</x:v>
      </x:c>
      <x:c r="K106" s="6" t="str">
        <x:f>IF(Setup!$B$6="primary","",IFERROR(IF(INDEX('Primary_snapshot'!$B$2:$B$132,MATCH(C106,'Primary_snapshot'!$A$2:$A$132,0))="","",INDEX('Primary_snapshot'!$B$2:$B$132,MATCH(C106,'Primary_snapshot'!$A$2:$A$132,0))),"SNAPSHOT MISSING"))</x:f>
      </x:c>
      <x:c r="L106" s="6" t="str">
        <x:f>IF(Setup!$B$6="primary","",IFERROR(IF(INDEX('Primary_snapshot'!$C$2:$C$132,MATCH(C106,'Primary_snapshot'!$A$2:$A$132,0))="","",INDEX('Primary_snapshot'!$C$2:$C$132,MATCH(C106,'Primary_snapshot'!$A$2:$A$132,0))),"SNAPSHOT MISSING"))</x:f>
      </x:c>
      <x:c r="M106" s="6" t="str">
        <x:f>IF(Setup!$B$6="primary","",IFERROR(IF(INDEX('Primary_snapshot'!$D$2:$D$132,MATCH(C106,'Primary_snapshot'!$A$2:$A$132,0))="","",INDEX('Primary_snapshot'!$D$2:$D$132,MATCH(C106,'Primary_snapshot'!$A$2:$A$132,0))),"SNAPSHOT MISSING"))</x:f>
      </x:c>
      <x:c r="N106" s="6" t="str">
        <x:f>IF(Setup!$B$6="primary","",IFERROR(IF(INDEX('Primary_snapshot'!$E$2:$E$132,MATCH(C106,'Primary_snapshot'!$A$2:$A$132,0))="","",INDEX('Primary_snapshot'!$E$2:$E$132,MATCH(C106,'Primary_snapshot'!$A$2:$A$132,0))),"SNAPSHOT MISSING"))</x:f>
      </x:c>
      <x:c r="O106" s="6" t="str">
        <x:f>IF(Setup!$B$6="primary","",IFERROR(IF(INDEX('Primary_snapshot'!$F$2:$F$132,MATCH(C106,'Primary_snapshot'!$A$2:$A$132,0))="","",INDEX('Primary_snapshot'!$F$2:$F$132,MATCH(C106,'Primary_snapshot'!$A$2:$A$132,0))),"SNAPSHOT MISSING"))</x:f>
      </x:c>
      <x:c r="P106" s="6" t="str">
        <x:f>IF(Setup!$B$6="primary","",IFERROR(IF(INDEX('Primary_snapshot'!$G$2:$G$132,MATCH(C106,'Primary_snapshot'!$A$2:$A$132,0))="","",INDEX('Primary_snapshot'!$G$2:$G$132,MATCH(C106,'Primary_snapshot'!$A$2:$A$132,0))),"SNAPSHOT MISSING"))</x:f>
      </x:c>
      <x:c r="Q106" s="6" t="str">
        <x:f>IF(Setup!$B$6="primary","",IFERROR(IF(INDEX('Primary_snapshot'!$H$2:$H$132,MATCH(C106,'Primary_snapshot'!$A$2:$A$132,0))="","",INDEX('Primary_snapshot'!$H$2:$H$132,MATCH(C106,'Primary_snapshot'!$A$2:$A$132,0))),"SNAPSHOT MISSING"))</x:f>
      </x:c>
      <x:c r="R106" s="6" t="str">
        <x:f>IF(Setup!$B$6="primary","",IFERROR(IF(INDEX('Primary_snapshot'!$I$2:$I$132,MATCH(C106,'Primary_snapshot'!$A$2:$A$132,0))="","",INDEX('Primary_snapshot'!$I$2:$I$132,MATCH(C106,'Primary_snapshot'!$A$2:$A$132,0))),"SNAPSHOT MISSING"))</x:f>
      </x:c>
      <x:c r="S106" s="6" t="str">
        <x:f>IF(INDEX('C_jama.2025.24175'!$D$2:$D$15,MATCH("2025::jama.2025.24175::C007",'C_jama.2025.24175'!$A$2:$A$15,0))="","",INDEX('C_jama.2025.24175'!$D$2:$D$15,MATCH("2025::jama.2025.24175::C007",'C_jama.2025.24175'!$A$2:$A$15,0)))</x:f>
      </x:c>
      <x:c r="T106" s="6" t="str">
        <x:f>IF(INDEX('C_jama.2025.24175'!$E$2:$E$15,MATCH("2025::jama.2025.24175::C007",'C_jama.2025.24175'!$A$2:$A$15,0))="","",INDEX('C_jama.2025.24175'!$E$2:$E$15,MATCH("2025::jama.2025.24175::C007",'C_jama.2025.24175'!$A$2:$A$15,0)))</x:f>
        <x:v>plan_material</x:v>
      </x:c>
      <x:c r="U106" s="6" t="str">
        <x:f>IF(AND(INDEX('C_jama.2025.24175'!$D$2:$D$15,MATCH("2025::jama.2025.24175::C007",'C_jama.2025.24175'!$A$2:$A$15,0))="retain",INDEX('C_jama.2025.24175'!$E$2:$E$15,MATCH("2025::jama.2025.24175::C007",'C_jama.2025.24175'!$A$2:$A$15,0))="statistical_results"),IF(INDEX('C_jama.2025.24175'!$H$2:$H$15,MATCH("2025::jama.2025.24175::C007",'C_jama.2025.24175'!$A$2:$A$15,0))="","",INDEX('C_jama.2025.24175'!$H$2:$H$15,MATCH("2025::jama.2025.24175::C007",'C_jama.2025.24175'!$A$2:$A$15,0))),"not_applicable")</x:f>
        <x:v>not_applicable</x:v>
      </x:c>
      <x:c r="V106" s="6" t="str">
        <x:f>IF(AND(INDEX('C_jama.2025.24175'!$D$2:$D$15,MATCH("2025::jama.2025.24175::C007",'C_jama.2025.24175'!$A$2:$A$15,0))="retain",INDEX('C_jama.2025.24175'!$E$2:$E$15,MATCH("2025::jama.2025.24175::C007",'C_jama.2025.24175'!$A$2:$A$15,0))="statistical_results"),IF(INDEX('C_jama.2025.24175'!$I$2:$I$15,MATCH("2025::jama.2025.24175::C007",'C_jama.2025.24175'!$A$2:$A$15,0))="","",INDEX('C_jama.2025.24175'!$I$2:$I$15,MATCH("2025::jama.2025.24175::C007",'C_jama.2025.24175'!$A$2:$A$15,0))),"not_applicable")</x:f>
        <x:v>not_applicable</x:v>
      </x:c>
      <x:c r="W106" s="6" t="str">
        <x:f>IF(AND(INDEX('C_jama.2025.24175'!$D$2:$D$15,MATCH("2025::jama.2025.24175::C007",'C_jama.2025.24175'!$A$2:$A$15,0))="retain",INDEX('C_jama.2025.24175'!$E$2:$E$15,MATCH("2025::jama.2025.24175::C007",'C_jama.2025.24175'!$A$2:$A$15,0))="statistical_results"),IF(INDEX('C_jama.2025.24175'!$J$2:$J$15,MATCH("2025::jama.2025.24175::C007",'C_jama.2025.24175'!$A$2:$A$15,0))="","",INDEX('C_jama.2025.24175'!$J$2:$J$15,MATCH("2025::jama.2025.24175::C007",'C_jama.2025.24175'!$A$2:$A$15,0))),"not_applicable")</x:f>
        <x:v>not_applicable</x:v>
      </x:c>
      <x:c r="X106" s="6" t="str">
        <x:f>IF(AND(INDEX('C_jama.2025.24175'!$D$2:$D$15,MATCH("2025::jama.2025.24175::C007",'C_jama.2025.24175'!$A$2:$A$15,0))="retain",OR(INDEX('C_jama.2025.24175'!$E$2:$E$15,MATCH("2025::jama.2025.24175::C007",'C_jama.2025.24175'!$A$2:$A$15,0))="report_internal_inconsistency",INDEX('C_jama.2025.24175'!$E$2:$E$15,MATCH("2025::jama.2025.24175::C007",'C_jama.2025.24175'!$A$2:$A$15,0))="plan_material")),IF(INDEX('C_jama.2025.24175'!$K$2:$K$15,MATCH("2025::jama.2025.24175::C007",'C_jama.2025.24175'!$A$2:$A$15,0))="","",INDEX('C_jama.2025.24175'!$K$2:$K$15,MATCH("2025::jama.2025.24175::C007",'C_jama.2025.24175'!$A$2:$A$15,0))),"not_applicable")</x:f>
        <x:v>not_applicable</x:v>
      </x:c>
      <x:c r="Y106" s="6" t="str">
        <x:f>IF(AND(INDEX('C_jama.2025.24175'!$D$2:$D$15,MATCH("2025::jama.2025.24175::C007",'C_jama.2025.24175'!$A$2:$A$15,0))="retain",INDEX('C_jama.2025.24175'!$E$2:$E$15,MATCH("2025::jama.2025.24175::C007",'C_jama.2025.24175'!$A$2:$A$15,0))="protocol_report"),IF(INDEX('C_jama.2025.24175'!$L$2:$L$15,MATCH("2025::jama.2025.24175::C007",'C_jama.2025.24175'!$A$2:$A$15,0))="","",INDEX('C_jama.2025.24175'!$L$2:$L$15,MATCH("2025::jama.2025.24175::C007",'C_jama.2025.24175'!$A$2:$A$15,0))),"not_applicable")</x:f>
        <x:v>not_applicable</x:v>
      </x:c>
      <x:c r="Z106" s="6" t="str">
        <x:f>IF(INDEX('C_jama.2025.24175'!$R$2:$R$15,MATCH("2025::jama.2025.24175::C007",'C_jama.2025.24175'!$A$2:$A$15,0))="","",INDEX('C_jama.2025.24175'!$R$2:$R$15,MATCH("2025::jama.2025.24175::C007",'C_jama.2025.24175'!$A$2:$A$15,0)))</x:f>
      </x:c>
      <x:c r="AA106" s="6" t="str">
        <x:f>IF(INDEX('C_jama.2025.24175'!$N$2:$N$15,MATCH("2025::jama.2025.24175::C007",'C_jama.2025.24175'!$A$2:$A$15,0))="","",INDEX('C_jama.2025.24175'!$N$2:$N$15,MATCH("2025::jama.2025.24175::C007",'C_jama.2025.24175'!$A$2:$A$15,0)))</x:f>
      </x:c>
      <x:c r="AB106" s="6" t="str">
        <x:f>IF(INDEX('C_jama.2025.24175'!$O$2:$O$15,MATCH("2025::jama.2025.24175::C007",'C_jama.2025.24175'!$A$2:$A$15,0))="","",INDEX('C_jama.2025.24175'!$O$2:$O$15,MATCH("2025::jama.2025.24175::C007",'C_jama.2025.24175'!$A$2:$A$15,0)))</x:f>
      </x:c>
      <x:c r="AC106" s="6" t="str">
        <x:f>IF(INDEX('C_jama.2025.24175'!$P$2:$P$15,MATCH("2025::jama.2025.24175::C007",'C_jama.2025.24175'!$A$2:$A$15,0))="","",INDEX('C_jama.2025.24175'!$P$2:$P$15,MATCH("2025::jama.2025.24175::C007",'C_jama.2025.24175'!$A$2:$A$15,0)))</x:f>
      </x:c>
      <x:c r="AD106" s="6" t="str">
        <x:f>IF(INDEX('C_jama.2025.24175'!$Q$2:$Q$15,MATCH("2025::jama.2025.24175::C007",'C_jama.2025.24175'!$A$2:$A$15,0))="","",INDEX('C_jama.2025.24175'!$Q$2:$Q$15,MATCH("2025::jama.2025.24175::C007",'C_jama.2025.24175'!$A$2:$A$15,0)))</x:f>
      </x:c>
    </x:row>
    <x:row r="107" ht="65" customHeight="1">
      <x:c r="A107" s="3" t="n">
        <x:v>2025</x:v>
      </x:c>
      <x:c r="B107" s="3" t="str">
        <x:v>jama.2025.24175</x:v>
      </x:c>
      <x:c r="C107" s="3" t="str">
        <x:v>2025::jama.2025.24175::C008</x:v>
      </x:c>
      <x:c r="D107" s="3" t="str">
        <x:v>P_P</x:v>
      </x:c>
      <x:c r="E107" s="3" t="n">
        <x:f>Setup!$B$2</x:f>
        <x:v>0</x:v>
      </x:c>
      <x:c r="F107" s="3" t="str">
        <x:f>IF(Setup!$B$4="","",Setup!$B$4)</x:f>
      </x:c>
      <x:c r="G107" s="3" t="str">
        <x:f>IFERROR(INDEX('C_jama.2025.24175'!$G$2:$G$15,MATCH("2025::jama.2025.24175::C008",'C_jama.2025.24175'!$A$2:$A$15,0)),"CHECK KEY")</x:f>
        <x:v>CHECK REVIEWER IDs</x:v>
      </x:c>
      <x:c r="H107" s="3" t="str">
        <x:f>IF(G107&lt;&gt;"FINAL READY","",IF(S107&lt;&gt;"retain","not_eligible",IF(D107="P_R","protocol_descriptive",IF(D107="P_P","plan_descriptive",IF(AND(T107="statistical_results",OR(U107="confirmed_issue",U107="probable_issue"),V107="substantive"),"primary_temporal",IF(AND(T107="report_internal_inconsistency",X107="substantive_inconsistency"),"secondary_temporal","not_eligible"))))))</x:f>
      </x:c>
      <x:c r="I107" s="3" t="str">
        <x:v>retain</x:v>
      </x:c>
      <x:c r="J107" s="3" t="str">
        <x:v>plan_material</x:v>
      </x:c>
      <x:c r="K107" s="3" t="str">
        <x:f>IF(Setup!$B$6="primary","",IFERROR(IF(INDEX('Primary_snapshot'!$B$2:$B$132,MATCH(C107,'Primary_snapshot'!$A$2:$A$132,0))="","",INDEX('Primary_snapshot'!$B$2:$B$132,MATCH(C107,'Primary_snapshot'!$A$2:$A$132,0))),"SNAPSHOT MISSING"))</x:f>
      </x:c>
      <x:c r="L107" s="3" t="str">
        <x:f>IF(Setup!$B$6="primary","",IFERROR(IF(INDEX('Primary_snapshot'!$C$2:$C$132,MATCH(C107,'Primary_snapshot'!$A$2:$A$132,0))="","",INDEX('Primary_snapshot'!$C$2:$C$132,MATCH(C107,'Primary_snapshot'!$A$2:$A$132,0))),"SNAPSHOT MISSING"))</x:f>
      </x:c>
      <x:c r="M107" s="3" t="str">
        <x:f>IF(Setup!$B$6="primary","",IFERROR(IF(INDEX('Primary_snapshot'!$D$2:$D$132,MATCH(C107,'Primary_snapshot'!$A$2:$A$132,0))="","",INDEX('Primary_snapshot'!$D$2:$D$132,MATCH(C107,'Primary_snapshot'!$A$2:$A$132,0))),"SNAPSHOT MISSING"))</x:f>
      </x:c>
      <x:c r="N107" s="3" t="str">
        <x:f>IF(Setup!$B$6="primary","",IFERROR(IF(INDEX('Primary_snapshot'!$E$2:$E$132,MATCH(C107,'Primary_snapshot'!$A$2:$A$132,0))="","",INDEX('Primary_snapshot'!$E$2:$E$132,MATCH(C107,'Primary_snapshot'!$A$2:$A$132,0))),"SNAPSHOT MISSING"))</x:f>
      </x:c>
      <x:c r="O107" s="3" t="str">
        <x:f>IF(Setup!$B$6="primary","",IFERROR(IF(INDEX('Primary_snapshot'!$F$2:$F$132,MATCH(C107,'Primary_snapshot'!$A$2:$A$132,0))="","",INDEX('Primary_snapshot'!$F$2:$F$132,MATCH(C107,'Primary_snapshot'!$A$2:$A$132,0))),"SNAPSHOT MISSING"))</x:f>
      </x:c>
      <x:c r="P107" s="3" t="str">
        <x:f>IF(Setup!$B$6="primary","",IFERROR(IF(INDEX('Primary_snapshot'!$G$2:$G$132,MATCH(C107,'Primary_snapshot'!$A$2:$A$132,0))="","",INDEX('Primary_snapshot'!$G$2:$G$132,MATCH(C107,'Primary_snapshot'!$A$2:$A$132,0))),"SNAPSHOT MISSING"))</x:f>
      </x:c>
      <x:c r="Q107" s="3" t="str">
        <x:f>IF(Setup!$B$6="primary","",IFERROR(IF(INDEX('Primary_snapshot'!$H$2:$H$132,MATCH(C107,'Primary_snapshot'!$A$2:$A$132,0))="","",INDEX('Primary_snapshot'!$H$2:$H$132,MATCH(C107,'Primary_snapshot'!$A$2:$A$132,0))),"SNAPSHOT MISSING"))</x:f>
      </x:c>
      <x:c r="R107" s="3" t="str">
        <x:f>IF(Setup!$B$6="primary","",IFERROR(IF(INDEX('Primary_snapshot'!$I$2:$I$132,MATCH(C107,'Primary_snapshot'!$A$2:$A$132,0))="","",INDEX('Primary_snapshot'!$I$2:$I$132,MATCH(C107,'Primary_snapshot'!$A$2:$A$132,0))),"SNAPSHOT MISSING"))</x:f>
      </x:c>
      <x:c r="S107" s="3" t="str">
        <x:f>IF(INDEX('C_jama.2025.24175'!$D$2:$D$15,MATCH("2025::jama.2025.24175::C008",'C_jama.2025.24175'!$A$2:$A$15,0))="","",INDEX('C_jama.2025.24175'!$D$2:$D$15,MATCH("2025::jama.2025.24175::C008",'C_jama.2025.24175'!$A$2:$A$15,0)))</x:f>
      </x:c>
      <x:c r="T107" s="3" t="str">
        <x:f>IF(INDEX('C_jama.2025.24175'!$E$2:$E$15,MATCH("2025::jama.2025.24175::C008",'C_jama.2025.24175'!$A$2:$A$15,0))="","",INDEX('C_jama.2025.24175'!$E$2:$E$15,MATCH("2025::jama.2025.24175::C008",'C_jama.2025.24175'!$A$2:$A$15,0)))</x:f>
        <x:v>plan_material</x:v>
      </x:c>
      <x:c r="U107" s="3" t="str">
        <x:f>IF(AND(INDEX('C_jama.2025.24175'!$D$2:$D$15,MATCH("2025::jama.2025.24175::C008",'C_jama.2025.24175'!$A$2:$A$15,0))="retain",INDEX('C_jama.2025.24175'!$E$2:$E$15,MATCH("2025::jama.2025.24175::C008",'C_jama.2025.24175'!$A$2:$A$15,0))="statistical_results"),IF(INDEX('C_jama.2025.24175'!$H$2:$H$15,MATCH("2025::jama.2025.24175::C008",'C_jama.2025.24175'!$A$2:$A$15,0))="","",INDEX('C_jama.2025.24175'!$H$2:$H$15,MATCH("2025::jama.2025.24175::C008",'C_jama.2025.24175'!$A$2:$A$15,0))),"not_applicable")</x:f>
        <x:v>not_applicable</x:v>
      </x:c>
      <x:c r="V107" s="3" t="str">
        <x:f>IF(AND(INDEX('C_jama.2025.24175'!$D$2:$D$15,MATCH("2025::jama.2025.24175::C008",'C_jama.2025.24175'!$A$2:$A$15,0))="retain",INDEX('C_jama.2025.24175'!$E$2:$E$15,MATCH("2025::jama.2025.24175::C008",'C_jama.2025.24175'!$A$2:$A$15,0))="statistical_results"),IF(INDEX('C_jama.2025.24175'!$I$2:$I$15,MATCH("2025::jama.2025.24175::C008",'C_jama.2025.24175'!$A$2:$A$15,0))="","",INDEX('C_jama.2025.24175'!$I$2:$I$15,MATCH("2025::jama.2025.24175::C008",'C_jama.2025.24175'!$A$2:$A$15,0))),"not_applicable")</x:f>
        <x:v>not_applicable</x:v>
      </x:c>
      <x:c r="W107" s="3" t="str">
        <x:f>IF(AND(INDEX('C_jama.2025.24175'!$D$2:$D$15,MATCH("2025::jama.2025.24175::C008",'C_jama.2025.24175'!$A$2:$A$15,0))="retain",INDEX('C_jama.2025.24175'!$E$2:$E$15,MATCH("2025::jama.2025.24175::C008",'C_jama.2025.24175'!$A$2:$A$15,0))="statistical_results"),IF(INDEX('C_jama.2025.24175'!$J$2:$J$15,MATCH("2025::jama.2025.24175::C008",'C_jama.2025.24175'!$A$2:$A$15,0))="","",INDEX('C_jama.2025.24175'!$J$2:$J$15,MATCH("2025::jama.2025.24175::C008",'C_jama.2025.24175'!$A$2:$A$15,0))),"not_applicable")</x:f>
        <x:v>not_applicable</x:v>
      </x:c>
      <x:c r="X107" s="3" t="str">
        <x:f>IF(AND(INDEX('C_jama.2025.24175'!$D$2:$D$15,MATCH("2025::jama.2025.24175::C008",'C_jama.2025.24175'!$A$2:$A$15,0))="retain",OR(INDEX('C_jama.2025.24175'!$E$2:$E$15,MATCH("2025::jama.2025.24175::C008",'C_jama.2025.24175'!$A$2:$A$15,0))="report_internal_inconsistency",INDEX('C_jama.2025.24175'!$E$2:$E$15,MATCH("2025::jama.2025.24175::C008",'C_jama.2025.24175'!$A$2:$A$15,0))="plan_material")),IF(INDEX('C_jama.2025.24175'!$K$2:$K$15,MATCH("2025::jama.2025.24175::C008",'C_jama.2025.24175'!$A$2:$A$15,0))="","",INDEX('C_jama.2025.24175'!$K$2:$K$15,MATCH("2025::jama.2025.24175::C008",'C_jama.2025.24175'!$A$2:$A$15,0))),"not_applicable")</x:f>
        <x:v>not_applicable</x:v>
      </x:c>
      <x:c r="Y107" s="3" t="str">
        <x:f>IF(AND(INDEX('C_jama.2025.24175'!$D$2:$D$15,MATCH("2025::jama.2025.24175::C008",'C_jama.2025.24175'!$A$2:$A$15,0))="retain",INDEX('C_jama.2025.24175'!$E$2:$E$15,MATCH("2025::jama.2025.24175::C008",'C_jama.2025.24175'!$A$2:$A$15,0))="protocol_report"),IF(INDEX('C_jama.2025.24175'!$L$2:$L$15,MATCH("2025::jama.2025.24175::C008",'C_jama.2025.24175'!$A$2:$A$15,0))="","",INDEX('C_jama.2025.24175'!$L$2:$L$15,MATCH("2025::jama.2025.24175::C008",'C_jama.2025.24175'!$A$2:$A$15,0))),"not_applicable")</x:f>
        <x:v>not_applicable</x:v>
      </x:c>
      <x:c r="Z107" s="3" t="str">
        <x:f>IF(INDEX('C_jama.2025.24175'!$R$2:$R$15,MATCH("2025::jama.2025.24175::C008",'C_jama.2025.24175'!$A$2:$A$15,0))="","",INDEX('C_jama.2025.24175'!$R$2:$R$15,MATCH("2025::jama.2025.24175::C008",'C_jama.2025.24175'!$A$2:$A$15,0)))</x:f>
      </x:c>
      <x:c r="AA107" s="3" t="str">
        <x:f>IF(INDEX('C_jama.2025.24175'!$N$2:$N$15,MATCH("2025::jama.2025.24175::C008",'C_jama.2025.24175'!$A$2:$A$15,0))="","",INDEX('C_jama.2025.24175'!$N$2:$N$15,MATCH("2025::jama.2025.24175::C008",'C_jama.2025.24175'!$A$2:$A$15,0)))</x:f>
      </x:c>
      <x:c r="AB107" s="3" t="str">
        <x:f>IF(INDEX('C_jama.2025.24175'!$O$2:$O$15,MATCH("2025::jama.2025.24175::C008",'C_jama.2025.24175'!$A$2:$A$15,0))="","",INDEX('C_jama.2025.24175'!$O$2:$O$15,MATCH("2025::jama.2025.24175::C008",'C_jama.2025.24175'!$A$2:$A$15,0)))</x:f>
      </x:c>
      <x:c r="AC107" s="3" t="str">
        <x:f>IF(INDEX('C_jama.2025.24175'!$P$2:$P$15,MATCH("2025::jama.2025.24175::C008",'C_jama.2025.24175'!$A$2:$A$15,0))="","",INDEX('C_jama.2025.24175'!$P$2:$P$15,MATCH("2025::jama.2025.24175::C008",'C_jama.2025.24175'!$A$2:$A$15,0)))</x:f>
      </x:c>
      <x:c r="AD107" s="3" t="str">
        <x:f>IF(INDEX('C_jama.2025.24175'!$Q$2:$Q$15,MATCH("2025::jama.2025.24175::C008",'C_jama.2025.24175'!$A$2:$A$15,0))="","",INDEX('C_jama.2025.24175'!$Q$2:$Q$15,MATCH("2025::jama.2025.24175::C008",'C_jama.2025.24175'!$A$2:$A$15,0)))</x:f>
      </x:c>
    </x:row>
    <x:row r="108" ht="65" customHeight="1">
      <x:c r="A108" s="6" t="n">
        <x:v>2025</x:v>
      </x:c>
      <x:c r="B108" s="6" t="str">
        <x:v>jama.2025.24175</x:v>
      </x:c>
      <x:c r="C108" s="6" t="str">
        <x:v>2025::jama.2025.24175::C009</x:v>
      </x:c>
      <x:c r="D108" s="6" t="str">
        <x:v>P_R</x:v>
      </x:c>
      <x:c r="E108" s="6" t="n">
        <x:f>Setup!$B$2</x:f>
        <x:v>0</x:v>
      </x:c>
      <x:c r="F108" s="6" t="str">
        <x:f>IF(Setup!$B$4="","",Setup!$B$4)</x:f>
      </x:c>
      <x:c r="G108" s="6" t="str">
        <x:f>IFERROR(INDEX('C_jama.2025.24175'!$G$2:$G$15,MATCH("2025::jama.2025.24175::C009",'C_jama.2025.24175'!$A$2:$A$15,0)),"CHECK KEY")</x:f>
        <x:v>CHECK REVIEWER IDs</x:v>
      </x:c>
      <x:c r="H108" s="6" t="str">
        <x:f>IF(G108&lt;&gt;"FINAL READY","",IF(S108&lt;&gt;"retain","not_eligible",IF(D108="P_R","protocol_descriptive",IF(D108="P_P","plan_descriptive",IF(AND(T108="statistical_results",OR(U108="confirmed_issue",U108="probable_issue"),V108="substantive"),"primary_temporal",IF(AND(T108="report_internal_inconsistency",X108="substantive_inconsistency"),"secondary_temporal","not_eligible"))))))</x:f>
      </x:c>
      <x:c r="I108" s="6" t="str">
        <x:v>retain</x:v>
      </x:c>
      <x:c r="J108" s="6" t="str">
        <x:v>protocol_report</x:v>
      </x:c>
      <x:c r="K108" s="6" t="str">
        <x:f>IF(Setup!$B$6="primary","",IFERROR(IF(INDEX('Primary_snapshot'!$B$2:$B$132,MATCH(C108,'Primary_snapshot'!$A$2:$A$132,0))="","",INDEX('Primary_snapshot'!$B$2:$B$132,MATCH(C108,'Primary_snapshot'!$A$2:$A$132,0))),"SNAPSHOT MISSING"))</x:f>
      </x:c>
      <x:c r="L108" s="6" t="str">
        <x:f>IF(Setup!$B$6="primary","",IFERROR(IF(INDEX('Primary_snapshot'!$C$2:$C$132,MATCH(C108,'Primary_snapshot'!$A$2:$A$132,0))="","",INDEX('Primary_snapshot'!$C$2:$C$132,MATCH(C108,'Primary_snapshot'!$A$2:$A$132,0))),"SNAPSHOT MISSING"))</x:f>
      </x:c>
      <x:c r="M108" s="6" t="str">
        <x:f>IF(Setup!$B$6="primary","",IFERROR(IF(INDEX('Primary_snapshot'!$D$2:$D$132,MATCH(C108,'Primary_snapshot'!$A$2:$A$132,0))="","",INDEX('Primary_snapshot'!$D$2:$D$132,MATCH(C108,'Primary_snapshot'!$A$2:$A$132,0))),"SNAPSHOT MISSING"))</x:f>
      </x:c>
      <x:c r="N108" s="6" t="str">
        <x:f>IF(Setup!$B$6="primary","",IFERROR(IF(INDEX('Primary_snapshot'!$E$2:$E$132,MATCH(C108,'Primary_snapshot'!$A$2:$A$132,0))="","",INDEX('Primary_snapshot'!$E$2:$E$132,MATCH(C108,'Primary_snapshot'!$A$2:$A$132,0))),"SNAPSHOT MISSING"))</x:f>
      </x:c>
      <x:c r="O108" s="6" t="str">
        <x:f>IF(Setup!$B$6="primary","",IFERROR(IF(INDEX('Primary_snapshot'!$F$2:$F$132,MATCH(C108,'Primary_snapshot'!$A$2:$A$132,0))="","",INDEX('Primary_snapshot'!$F$2:$F$132,MATCH(C108,'Primary_snapshot'!$A$2:$A$132,0))),"SNAPSHOT MISSING"))</x:f>
      </x:c>
      <x:c r="P108" s="6" t="str">
        <x:f>IF(Setup!$B$6="primary","",IFERROR(IF(INDEX('Primary_snapshot'!$G$2:$G$132,MATCH(C108,'Primary_snapshot'!$A$2:$A$132,0))="","",INDEX('Primary_snapshot'!$G$2:$G$132,MATCH(C108,'Primary_snapshot'!$A$2:$A$132,0))),"SNAPSHOT MISSING"))</x:f>
      </x:c>
      <x:c r="Q108" s="6" t="str">
        <x:f>IF(Setup!$B$6="primary","",IFERROR(IF(INDEX('Primary_snapshot'!$H$2:$H$132,MATCH(C108,'Primary_snapshot'!$A$2:$A$132,0))="","",INDEX('Primary_snapshot'!$H$2:$H$132,MATCH(C108,'Primary_snapshot'!$A$2:$A$132,0))),"SNAPSHOT MISSING"))</x:f>
      </x:c>
      <x:c r="R108" s="6" t="str">
        <x:f>IF(Setup!$B$6="primary","",IFERROR(IF(INDEX('Primary_snapshot'!$I$2:$I$132,MATCH(C108,'Primary_snapshot'!$A$2:$A$132,0))="","",INDEX('Primary_snapshot'!$I$2:$I$132,MATCH(C108,'Primary_snapshot'!$A$2:$A$132,0))),"SNAPSHOT MISSING"))</x:f>
      </x:c>
      <x:c r="S108" s="6" t="str">
        <x:f>IF(INDEX('C_jama.2025.24175'!$D$2:$D$15,MATCH("2025::jama.2025.24175::C009",'C_jama.2025.24175'!$A$2:$A$15,0))="","",INDEX('C_jama.2025.24175'!$D$2:$D$15,MATCH("2025::jama.2025.24175::C009",'C_jama.2025.24175'!$A$2:$A$15,0)))</x:f>
      </x:c>
      <x:c r="T108" s="6" t="str">
        <x:f>IF(INDEX('C_jama.2025.24175'!$E$2:$E$15,MATCH("2025::jama.2025.24175::C009",'C_jama.2025.24175'!$A$2:$A$15,0))="","",INDEX('C_jama.2025.24175'!$E$2:$E$15,MATCH("2025::jama.2025.24175::C009",'C_jama.2025.24175'!$A$2:$A$15,0)))</x:f>
        <x:v>protocol_report</x:v>
      </x:c>
      <x:c r="U108" s="6" t="str">
        <x:f>IF(AND(INDEX('C_jama.2025.24175'!$D$2:$D$15,MATCH("2025::jama.2025.24175::C009",'C_jama.2025.24175'!$A$2:$A$15,0))="retain",INDEX('C_jama.2025.24175'!$E$2:$E$15,MATCH("2025::jama.2025.24175::C009",'C_jama.2025.24175'!$A$2:$A$15,0))="statistical_results"),IF(INDEX('C_jama.2025.24175'!$H$2:$H$15,MATCH("2025::jama.2025.24175::C009",'C_jama.2025.24175'!$A$2:$A$15,0))="","",INDEX('C_jama.2025.24175'!$H$2:$H$15,MATCH("2025::jama.2025.24175::C009",'C_jama.2025.24175'!$A$2:$A$15,0))),"not_applicable")</x:f>
        <x:v>not_applicable</x:v>
      </x:c>
      <x:c r="V108" s="6" t="str">
        <x:f>IF(AND(INDEX('C_jama.2025.24175'!$D$2:$D$15,MATCH("2025::jama.2025.24175::C009",'C_jama.2025.24175'!$A$2:$A$15,0))="retain",INDEX('C_jama.2025.24175'!$E$2:$E$15,MATCH("2025::jama.2025.24175::C009",'C_jama.2025.24175'!$A$2:$A$15,0))="statistical_results"),IF(INDEX('C_jama.2025.24175'!$I$2:$I$15,MATCH("2025::jama.2025.24175::C009",'C_jama.2025.24175'!$A$2:$A$15,0))="","",INDEX('C_jama.2025.24175'!$I$2:$I$15,MATCH("2025::jama.2025.24175::C009",'C_jama.2025.24175'!$A$2:$A$15,0))),"not_applicable")</x:f>
        <x:v>not_applicable</x:v>
      </x:c>
      <x:c r="W108" s="6" t="str">
        <x:f>IF(AND(INDEX('C_jama.2025.24175'!$D$2:$D$15,MATCH("2025::jama.2025.24175::C009",'C_jama.2025.24175'!$A$2:$A$15,0))="retain",INDEX('C_jama.2025.24175'!$E$2:$E$15,MATCH("2025::jama.2025.24175::C009",'C_jama.2025.24175'!$A$2:$A$15,0))="statistical_results"),IF(INDEX('C_jama.2025.24175'!$J$2:$J$15,MATCH("2025::jama.2025.24175::C009",'C_jama.2025.24175'!$A$2:$A$15,0))="","",INDEX('C_jama.2025.24175'!$J$2:$J$15,MATCH("2025::jama.2025.24175::C009",'C_jama.2025.24175'!$A$2:$A$15,0))),"not_applicable")</x:f>
        <x:v>not_applicable</x:v>
      </x:c>
      <x:c r="X108" s="6" t="str">
        <x:f>IF(AND(INDEX('C_jama.2025.24175'!$D$2:$D$15,MATCH("2025::jama.2025.24175::C009",'C_jama.2025.24175'!$A$2:$A$15,0))="retain",OR(INDEX('C_jama.2025.24175'!$E$2:$E$15,MATCH("2025::jama.2025.24175::C009",'C_jama.2025.24175'!$A$2:$A$15,0))="report_internal_inconsistency",INDEX('C_jama.2025.24175'!$E$2:$E$15,MATCH("2025::jama.2025.24175::C009",'C_jama.2025.24175'!$A$2:$A$15,0))="plan_material")),IF(INDEX('C_jama.2025.24175'!$K$2:$K$15,MATCH("2025::jama.2025.24175::C009",'C_jama.2025.24175'!$A$2:$A$15,0))="","",INDEX('C_jama.2025.24175'!$K$2:$K$15,MATCH("2025::jama.2025.24175::C009",'C_jama.2025.24175'!$A$2:$A$15,0))),"not_applicable")</x:f>
        <x:v>not_applicable</x:v>
      </x:c>
      <x:c r="Y108" s="6" t="str">
        <x:f>IF(AND(INDEX('C_jama.2025.24175'!$D$2:$D$15,MATCH("2025::jama.2025.24175::C009",'C_jama.2025.24175'!$A$2:$A$15,0))="retain",INDEX('C_jama.2025.24175'!$E$2:$E$15,MATCH("2025::jama.2025.24175::C009",'C_jama.2025.24175'!$A$2:$A$15,0))="protocol_report"),IF(INDEX('C_jama.2025.24175'!$L$2:$L$15,MATCH("2025::jama.2025.24175::C009",'C_jama.2025.24175'!$A$2:$A$15,0))="","",INDEX('C_jama.2025.24175'!$L$2:$L$15,MATCH("2025::jama.2025.24175::C009",'C_jama.2025.24175'!$A$2:$A$15,0))),"not_applicable")</x:f>
        <x:v>not_applicable</x:v>
      </x:c>
      <x:c r="Z108" s="6" t="str">
        <x:f>IF(INDEX('C_jama.2025.24175'!$R$2:$R$15,MATCH("2025::jama.2025.24175::C009",'C_jama.2025.24175'!$A$2:$A$15,0))="","",INDEX('C_jama.2025.24175'!$R$2:$R$15,MATCH("2025::jama.2025.24175::C009",'C_jama.2025.24175'!$A$2:$A$15,0)))</x:f>
      </x:c>
      <x:c r="AA108" s="6" t="str">
        <x:f>IF(INDEX('C_jama.2025.24175'!$N$2:$N$15,MATCH("2025::jama.2025.24175::C009",'C_jama.2025.24175'!$A$2:$A$15,0))="","",INDEX('C_jama.2025.24175'!$N$2:$N$15,MATCH("2025::jama.2025.24175::C009",'C_jama.2025.24175'!$A$2:$A$15,0)))</x:f>
      </x:c>
      <x:c r="AB108" s="6" t="str">
        <x:f>IF(INDEX('C_jama.2025.24175'!$O$2:$O$15,MATCH("2025::jama.2025.24175::C009",'C_jama.2025.24175'!$A$2:$A$15,0))="","",INDEX('C_jama.2025.24175'!$O$2:$O$15,MATCH("2025::jama.2025.24175::C009",'C_jama.2025.24175'!$A$2:$A$15,0)))</x:f>
      </x:c>
      <x:c r="AC108" s="6" t="str">
        <x:f>IF(INDEX('C_jama.2025.24175'!$P$2:$P$15,MATCH("2025::jama.2025.24175::C009",'C_jama.2025.24175'!$A$2:$A$15,0))="","",INDEX('C_jama.2025.24175'!$P$2:$P$15,MATCH("2025::jama.2025.24175::C009",'C_jama.2025.24175'!$A$2:$A$15,0)))</x:f>
      </x:c>
      <x:c r="AD108" s="6" t="str">
        <x:f>IF(INDEX('C_jama.2025.24175'!$Q$2:$Q$15,MATCH("2025::jama.2025.24175::C009",'C_jama.2025.24175'!$A$2:$A$15,0))="","",INDEX('C_jama.2025.24175'!$Q$2:$Q$15,MATCH("2025::jama.2025.24175::C009",'C_jama.2025.24175'!$A$2:$A$15,0)))</x:f>
      </x:c>
    </x:row>
    <x:row r="109" ht="65" customHeight="1">
      <x:c r="A109" s="3" t="n">
        <x:v>2025</x:v>
      </x:c>
      <x:c r="B109" s="3" t="str">
        <x:v>jama.2025.24175</x:v>
      </x:c>
      <x:c r="C109" s="3" t="str">
        <x:v>2025::jama.2025.24175::C010</x:v>
      </x:c>
      <x:c r="D109" s="3" t="str">
        <x:v>P_P</x:v>
      </x:c>
      <x:c r="E109" s="3" t="n">
        <x:f>Setup!$B$2</x:f>
        <x:v>0</x:v>
      </x:c>
      <x:c r="F109" s="3" t="str">
        <x:f>IF(Setup!$B$4="","",Setup!$B$4)</x:f>
      </x:c>
      <x:c r="G109" s="3" t="str">
        <x:f>IFERROR(INDEX('C_jama.2025.24175'!$G$2:$G$15,MATCH("2025::jama.2025.24175::C010",'C_jama.2025.24175'!$A$2:$A$15,0)),"CHECK KEY")</x:f>
        <x:v>CHECK REVIEWER IDs</x:v>
      </x:c>
      <x:c r="H109" s="3" t="str">
        <x:f>IF(G109&lt;&gt;"FINAL READY","",IF(S109&lt;&gt;"retain","not_eligible",IF(D109="P_R","protocol_descriptive",IF(D109="P_P","plan_descriptive",IF(AND(T109="statistical_results",OR(U109="confirmed_issue",U109="probable_issue"),V109="substantive"),"primary_temporal",IF(AND(T109="report_internal_inconsistency",X109="substantive_inconsistency"),"secondary_temporal","not_eligible"))))))</x:f>
      </x:c>
      <x:c r="I109" s="3" t="str">
        <x:v>retain</x:v>
      </x:c>
      <x:c r="J109" s="3" t="str">
        <x:v>plan_material</x:v>
      </x:c>
      <x:c r="K109" s="3" t="str">
        <x:f>IF(Setup!$B$6="primary","",IFERROR(IF(INDEX('Primary_snapshot'!$B$2:$B$132,MATCH(C109,'Primary_snapshot'!$A$2:$A$132,0))="","",INDEX('Primary_snapshot'!$B$2:$B$132,MATCH(C109,'Primary_snapshot'!$A$2:$A$132,0))),"SNAPSHOT MISSING"))</x:f>
      </x:c>
      <x:c r="L109" s="3" t="str">
        <x:f>IF(Setup!$B$6="primary","",IFERROR(IF(INDEX('Primary_snapshot'!$C$2:$C$132,MATCH(C109,'Primary_snapshot'!$A$2:$A$132,0))="","",INDEX('Primary_snapshot'!$C$2:$C$132,MATCH(C109,'Primary_snapshot'!$A$2:$A$132,0))),"SNAPSHOT MISSING"))</x:f>
      </x:c>
      <x:c r="M109" s="3" t="str">
        <x:f>IF(Setup!$B$6="primary","",IFERROR(IF(INDEX('Primary_snapshot'!$D$2:$D$132,MATCH(C109,'Primary_snapshot'!$A$2:$A$132,0))="","",INDEX('Primary_snapshot'!$D$2:$D$132,MATCH(C109,'Primary_snapshot'!$A$2:$A$132,0))),"SNAPSHOT MISSING"))</x:f>
      </x:c>
      <x:c r="N109" s="3" t="str">
        <x:f>IF(Setup!$B$6="primary","",IFERROR(IF(INDEX('Primary_snapshot'!$E$2:$E$132,MATCH(C109,'Primary_snapshot'!$A$2:$A$132,0))="","",INDEX('Primary_snapshot'!$E$2:$E$132,MATCH(C109,'Primary_snapshot'!$A$2:$A$132,0))),"SNAPSHOT MISSING"))</x:f>
      </x:c>
      <x:c r="O109" s="3" t="str">
        <x:f>IF(Setup!$B$6="primary","",IFERROR(IF(INDEX('Primary_snapshot'!$F$2:$F$132,MATCH(C109,'Primary_snapshot'!$A$2:$A$132,0))="","",INDEX('Primary_snapshot'!$F$2:$F$132,MATCH(C109,'Primary_snapshot'!$A$2:$A$132,0))),"SNAPSHOT MISSING"))</x:f>
      </x:c>
      <x:c r="P109" s="3" t="str">
        <x:f>IF(Setup!$B$6="primary","",IFERROR(IF(INDEX('Primary_snapshot'!$G$2:$G$132,MATCH(C109,'Primary_snapshot'!$A$2:$A$132,0))="","",INDEX('Primary_snapshot'!$G$2:$G$132,MATCH(C109,'Primary_snapshot'!$A$2:$A$132,0))),"SNAPSHOT MISSING"))</x:f>
      </x:c>
      <x:c r="Q109" s="3" t="str">
        <x:f>IF(Setup!$B$6="primary","",IFERROR(IF(INDEX('Primary_snapshot'!$H$2:$H$132,MATCH(C109,'Primary_snapshot'!$A$2:$A$132,0))="","",INDEX('Primary_snapshot'!$H$2:$H$132,MATCH(C109,'Primary_snapshot'!$A$2:$A$132,0))),"SNAPSHOT MISSING"))</x:f>
      </x:c>
      <x:c r="R109" s="3" t="str">
        <x:f>IF(Setup!$B$6="primary","",IFERROR(IF(INDEX('Primary_snapshot'!$I$2:$I$132,MATCH(C109,'Primary_snapshot'!$A$2:$A$132,0))="","",INDEX('Primary_snapshot'!$I$2:$I$132,MATCH(C109,'Primary_snapshot'!$A$2:$A$132,0))),"SNAPSHOT MISSING"))</x:f>
      </x:c>
      <x:c r="S109" s="3" t="str">
        <x:f>IF(INDEX('C_jama.2025.24175'!$D$2:$D$15,MATCH("2025::jama.2025.24175::C010",'C_jama.2025.24175'!$A$2:$A$15,0))="","",INDEX('C_jama.2025.24175'!$D$2:$D$15,MATCH("2025::jama.2025.24175::C010",'C_jama.2025.24175'!$A$2:$A$15,0)))</x:f>
      </x:c>
      <x:c r="T109" s="3" t="str">
        <x:f>IF(INDEX('C_jama.2025.24175'!$E$2:$E$15,MATCH("2025::jama.2025.24175::C010",'C_jama.2025.24175'!$A$2:$A$15,0))="","",INDEX('C_jama.2025.24175'!$E$2:$E$15,MATCH("2025::jama.2025.24175::C010",'C_jama.2025.24175'!$A$2:$A$15,0)))</x:f>
        <x:v>plan_material</x:v>
      </x:c>
      <x:c r="U109" s="3" t="str">
        <x:f>IF(AND(INDEX('C_jama.2025.24175'!$D$2:$D$15,MATCH("2025::jama.2025.24175::C010",'C_jama.2025.24175'!$A$2:$A$15,0))="retain",INDEX('C_jama.2025.24175'!$E$2:$E$15,MATCH("2025::jama.2025.24175::C010",'C_jama.2025.24175'!$A$2:$A$15,0))="statistical_results"),IF(INDEX('C_jama.2025.24175'!$H$2:$H$15,MATCH("2025::jama.2025.24175::C010",'C_jama.2025.24175'!$A$2:$A$15,0))="","",INDEX('C_jama.2025.24175'!$H$2:$H$15,MATCH("2025::jama.2025.24175::C010",'C_jama.2025.24175'!$A$2:$A$15,0))),"not_applicable")</x:f>
        <x:v>not_applicable</x:v>
      </x:c>
      <x:c r="V109" s="3" t="str">
        <x:f>IF(AND(INDEX('C_jama.2025.24175'!$D$2:$D$15,MATCH("2025::jama.2025.24175::C010",'C_jama.2025.24175'!$A$2:$A$15,0))="retain",INDEX('C_jama.2025.24175'!$E$2:$E$15,MATCH("2025::jama.2025.24175::C010",'C_jama.2025.24175'!$A$2:$A$15,0))="statistical_results"),IF(INDEX('C_jama.2025.24175'!$I$2:$I$15,MATCH("2025::jama.2025.24175::C010",'C_jama.2025.24175'!$A$2:$A$15,0))="","",INDEX('C_jama.2025.24175'!$I$2:$I$15,MATCH("2025::jama.2025.24175::C010",'C_jama.2025.24175'!$A$2:$A$15,0))),"not_applicable")</x:f>
        <x:v>not_applicable</x:v>
      </x:c>
      <x:c r="W109" s="3" t="str">
        <x:f>IF(AND(INDEX('C_jama.2025.24175'!$D$2:$D$15,MATCH("2025::jama.2025.24175::C010",'C_jama.2025.24175'!$A$2:$A$15,0))="retain",INDEX('C_jama.2025.24175'!$E$2:$E$15,MATCH("2025::jama.2025.24175::C010",'C_jama.2025.24175'!$A$2:$A$15,0))="statistical_results"),IF(INDEX('C_jama.2025.24175'!$J$2:$J$15,MATCH("2025::jama.2025.24175::C010",'C_jama.2025.24175'!$A$2:$A$15,0))="","",INDEX('C_jama.2025.24175'!$J$2:$J$15,MATCH("2025::jama.2025.24175::C010",'C_jama.2025.24175'!$A$2:$A$15,0))),"not_applicable")</x:f>
        <x:v>not_applicable</x:v>
      </x:c>
      <x:c r="X109" s="3" t="str">
        <x:f>IF(AND(INDEX('C_jama.2025.24175'!$D$2:$D$15,MATCH("2025::jama.2025.24175::C010",'C_jama.2025.24175'!$A$2:$A$15,0))="retain",OR(INDEX('C_jama.2025.24175'!$E$2:$E$15,MATCH("2025::jama.2025.24175::C010",'C_jama.2025.24175'!$A$2:$A$15,0))="report_internal_inconsistency",INDEX('C_jama.2025.24175'!$E$2:$E$15,MATCH("2025::jama.2025.24175::C010",'C_jama.2025.24175'!$A$2:$A$15,0))="plan_material")),IF(INDEX('C_jama.2025.24175'!$K$2:$K$15,MATCH("2025::jama.2025.24175::C010",'C_jama.2025.24175'!$A$2:$A$15,0))="","",INDEX('C_jama.2025.24175'!$K$2:$K$15,MATCH("2025::jama.2025.24175::C010",'C_jama.2025.24175'!$A$2:$A$15,0))),"not_applicable")</x:f>
        <x:v>not_applicable</x:v>
      </x:c>
      <x:c r="Y109" s="3" t="str">
        <x:f>IF(AND(INDEX('C_jama.2025.24175'!$D$2:$D$15,MATCH("2025::jama.2025.24175::C010",'C_jama.2025.24175'!$A$2:$A$15,0))="retain",INDEX('C_jama.2025.24175'!$E$2:$E$15,MATCH("2025::jama.2025.24175::C010",'C_jama.2025.24175'!$A$2:$A$15,0))="protocol_report"),IF(INDEX('C_jama.2025.24175'!$L$2:$L$15,MATCH("2025::jama.2025.24175::C010",'C_jama.2025.24175'!$A$2:$A$15,0))="","",INDEX('C_jama.2025.24175'!$L$2:$L$15,MATCH("2025::jama.2025.24175::C010",'C_jama.2025.24175'!$A$2:$A$15,0))),"not_applicable")</x:f>
        <x:v>not_applicable</x:v>
      </x:c>
      <x:c r="Z109" s="3" t="str">
        <x:f>IF(INDEX('C_jama.2025.24175'!$R$2:$R$15,MATCH("2025::jama.2025.24175::C010",'C_jama.2025.24175'!$A$2:$A$15,0))="","",INDEX('C_jama.2025.24175'!$R$2:$R$15,MATCH("2025::jama.2025.24175::C010",'C_jama.2025.24175'!$A$2:$A$15,0)))</x:f>
      </x:c>
      <x:c r="AA109" s="3" t="str">
        <x:f>IF(INDEX('C_jama.2025.24175'!$N$2:$N$15,MATCH("2025::jama.2025.24175::C010",'C_jama.2025.24175'!$A$2:$A$15,0))="","",INDEX('C_jama.2025.24175'!$N$2:$N$15,MATCH("2025::jama.2025.24175::C010",'C_jama.2025.24175'!$A$2:$A$15,0)))</x:f>
      </x:c>
      <x:c r="AB109" s="3" t="str">
        <x:f>IF(INDEX('C_jama.2025.24175'!$O$2:$O$15,MATCH("2025::jama.2025.24175::C010",'C_jama.2025.24175'!$A$2:$A$15,0))="","",INDEX('C_jama.2025.24175'!$O$2:$O$15,MATCH("2025::jama.2025.24175::C010",'C_jama.2025.24175'!$A$2:$A$15,0)))</x:f>
      </x:c>
      <x:c r="AC109" s="3" t="str">
        <x:f>IF(INDEX('C_jama.2025.24175'!$P$2:$P$15,MATCH("2025::jama.2025.24175::C010",'C_jama.2025.24175'!$A$2:$A$15,0))="","",INDEX('C_jama.2025.24175'!$P$2:$P$15,MATCH("2025::jama.2025.24175::C010",'C_jama.2025.24175'!$A$2:$A$15,0)))</x:f>
      </x:c>
      <x:c r="AD109" s="3" t="str">
        <x:f>IF(INDEX('C_jama.2025.24175'!$Q$2:$Q$15,MATCH("2025::jama.2025.24175::C010",'C_jama.2025.24175'!$A$2:$A$15,0))="","",INDEX('C_jama.2025.24175'!$Q$2:$Q$15,MATCH("2025::jama.2025.24175::C010",'C_jama.2025.24175'!$A$2:$A$15,0)))</x:f>
      </x:c>
    </x:row>
    <x:row r="110" ht="65" customHeight="1">
      <x:c r="A110" s="6" t="n">
        <x:v>2025</x:v>
      </x:c>
      <x:c r="B110" s="6" t="str">
        <x:v>jama.2025.24175</x:v>
      </x:c>
      <x:c r="C110" s="6" t="str">
        <x:v>2025::jama.2025.24175::C011</x:v>
      </x:c>
      <x:c r="D110" s="6" t="str">
        <x:v>S_W</x:v>
      </x:c>
      <x:c r="E110" s="6" t="n">
        <x:f>Setup!$B$2</x:f>
        <x:v>0</x:v>
      </x:c>
      <x:c r="F110" s="6" t="str">
        <x:f>IF(Setup!$B$4="","",Setup!$B$4)</x:f>
      </x:c>
      <x:c r="G110" s="6" t="str">
        <x:f>IFERROR(INDEX('C_jama.2025.24175'!$G$2:$G$15,MATCH("2025::jama.2025.24175::C011",'C_jama.2025.24175'!$A$2:$A$15,0)),"CHECK KEY")</x:f>
        <x:v>CHECK REVIEWER IDs</x:v>
      </x:c>
      <x:c r="H110" s="6" t="str">
        <x:f>IF(G110&lt;&gt;"FINAL READY","",IF(S110&lt;&gt;"retain","not_eligible",IF(D110="P_R","protocol_descriptive",IF(D110="P_P","plan_descriptive",IF(AND(T110="statistical_results",OR(U110="confirmed_issue",U110="probable_issue"),V110="substantive"),"primary_temporal",IF(AND(T110="report_internal_inconsistency",X110="substantive_inconsistency"),"secondary_temporal","not_eligible"))))))</x:f>
      </x:c>
      <x:c r="I110" s="6" t="str">
        <x:v>retain</x:v>
      </x:c>
      <x:c r="J110" s="6" t="str">
        <x:v>statistical_results</x:v>
      </x:c>
      <x:c r="K110" s="6" t="str">
        <x:f>IF(Setup!$B$6="primary","",IFERROR(IF(INDEX('Primary_snapshot'!$B$2:$B$132,MATCH(C110,'Primary_snapshot'!$A$2:$A$132,0))="","",INDEX('Primary_snapshot'!$B$2:$B$132,MATCH(C110,'Primary_snapshot'!$A$2:$A$132,0))),"SNAPSHOT MISSING"))</x:f>
      </x:c>
      <x:c r="L110" s="6" t="str">
        <x:f>IF(Setup!$B$6="primary","",IFERROR(IF(INDEX('Primary_snapshot'!$C$2:$C$132,MATCH(C110,'Primary_snapshot'!$A$2:$A$132,0))="","",INDEX('Primary_snapshot'!$C$2:$C$132,MATCH(C110,'Primary_snapshot'!$A$2:$A$132,0))),"SNAPSHOT MISSING"))</x:f>
      </x:c>
      <x:c r="M110" s="6" t="str">
        <x:f>IF(Setup!$B$6="primary","",IFERROR(IF(INDEX('Primary_snapshot'!$D$2:$D$132,MATCH(C110,'Primary_snapshot'!$A$2:$A$132,0))="","",INDEX('Primary_snapshot'!$D$2:$D$132,MATCH(C110,'Primary_snapshot'!$A$2:$A$132,0))),"SNAPSHOT MISSING"))</x:f>
      </x:c>
      <x:c r="N110" s="6" t="str">
        <x:f>IF(Setup!$B$6="primary","",IFERROR(IF(INDEX('Primary_snapshot'!$E$2:$E$132,MATCH(C110,'Primary_snapshot'!$A$2:$A$132,0))="","",INDEX('Primary_snapshot'!$E$2:$E$132,MATCH(C110,'Primary_snapshot'!$A$2:$A$132,0))),"SNAPSHOT MISSING"))</x:f>
      </x:c>
      <x:c r="O110" s="6" t="str">
        <x:f>IF(Setup!$B$6="primary","",IFERROR(IF(INDEX('Primary_snapshot'!$F$2:$F$132,MATCH(C110,'Primary_snapshot'!$A$2:$A$132,0))="","",INDEX('Primary_snapshot'!$F$2:$F$132,MATCH(C110,'Primary_snapshot'!$A$2:$A$132,0))),"SNAPSHOT MISSING"))</x:f>
      </x:c>
      <x:c r="P110" s="6" t="str">
        <x:f>IF(Setup!$B$6="primary","",IFERROR(IF(INDEX('Primary_snapshot'!$G$2:$G$132,MATCH(C110,'Primary_snapshot'!$A$2:$A$132,0))="","",INDEX('Primary_snapshot'!$G$2:$G$132,MATCH(C110,'Primary_snapshot'!$A$2:$A$132,0))),"SNAPSHOT MISSING"))</x:f>
      </x:c>
      <x:c r="Q110" s="6" t="str">
        <x:f>IF(Setup!$B$6="primary","",IFERROR(IF(INDEX('Primary_snapshot'!$H$2:$H$132,MATCH(C110,'Primary_snapshot'!$A$2:$A$132,0))="","",INDEX('Primary_snapshot'!$H$2:$H$132,MATCH(C110,'Primary_snapshot'!$A$2:$A$132,0))),"SNAPSHOT MISSING"))</x:f>
      </x:c>
      <x:c r="R110" s="6" t="str">
        <x:f>IF(Setup!$B$6="primary","",IFERROR(IF(INDEX('Primary_snapshot'!$I$2:$I$132,MATCH(C110,'Primary_snapshot'!$A$2:$A$132,0))="","",INDEX('Primary_snapshot'!$I$2:$I$132,MATCH(C110,'Primary_snapshot'!$A$2:$A$132,0))),"SNAPSHOT MISSING"))</x:f>
      </x:c>
      <x:c r="S110" s="6" t="str">
        <x:f>IF(INDEX('C_jama.2025.24175'!$D$2:$D$15,MATCH("2025::jama.2025.24175::C011",'C_jama.2025.24175'!$A$2:$A$15,0))="","",INDEX('C_jama.2025.24175'!$D$2:$D$15,MATCH("2025::jama.2025.24175::C011",'C_jama.2025.24175'!$A$2:$A$15,0)))</x:f>
      </x:c>
      <x:c r="T110" s="6" t="str">
        <x:f>IF(INDEX('C_jama.2025.24175'!$E$2:$E$15,MATCH("2025::jama.2025.24175::C011",'C_jama.2025.24175'!$A$2:$A$15,0))="","",INDEX('C_jama.2025.24175'!$E$2:$E$15,MATCH("2025::jama.2025.24175::C011",'C_jama.2025.24175'!$A$2:$A$15,0)))</x:f>
        <x:v>statistical_results</x:v>
      </x:c>
      <x:c r="U110" s="6" t="str">
        <x:f>IF(AND(INDEX('C_jama.2025.24175'!$D$2:$D$15,MATCH("2025::jama.2025.24175::C011",'C_jama.2025.24175'!$A$2:$A$15,0))="retain",INDEX('C_jama.2025.24175'!$E$2:$E$15,MATCH("2025::jama.2025.24175::C011",'C_jama.2025.24175'!$A$2:$A$15,0))="statistical_results"),IF(INDEX('C_jama.2025.24175'!$H$2:$H$15,MATCH("2025::jama.2025.24175::C011",'C_jama.2025.24175'!$A$2:$A$15,0))="","",INDEX('C_jama.2025.24175'!$H$2:$H$15,MATCH("2025::jama.2025.24175::C011",'C_jama.2025.24175'!$A$2:$A$15,0))),"not_applicable")</x:f>
        <x:v>not_applicable</x:v>
      </x:c>
      <x:c r="V110" s="6" t="str">
        <x:f>IF(AND(INDEX('C_jama.2025.24175'!$D$2:$D$15,MATCH("2025::jama.2025.24175::C011",'C_jama.2025.24175'!$A$2:$A$15,0))="retain",INDEX('C_jama.2025.24175'!$E$2:$E$15,MATCH("2025::jama.2025.24175::C011",'C_jama.2025.24175'!$A$2:$A$15,0))="statistical_results"),IF(INDEX('C_jama.2025.24175'!$I$2:$I$15,MATCH("2025::jama.2025.24175::C011",'C_jama.2025.24175'!$A$2:$A$15,0))="","",INDEX('C_jama.2025.24175'!$I$2:$I$15,MATCH("2025::jama.2025.24175::C011",'C_jama.2025.24175'!$A$2:$A$15,0))),"not_applicable")</x:f>
        <x:v>not_applicable</x:v>
      </x:c>
      <x:c r="W110" s="6" t="str">
        <x:f>IF(AND(INDEX('C_jama.2025.24175'!$D$2:$D$15,MATCH("2025::jama.2025.24175::C011",'C_jama.2025.24175'!$A$2:$A$15,0))="retain",INDEX('C_jama.2025.24175'!$E$2:$E$15,MATCH("2025::jama.2025.24175::C011",'C_jama.2025.24175'!$A$2:$A$15,0))="statistical_results"),IF(INDEX('C_jama.2025.24175'!$J$2:$J$15,MATCH("2025::jama.2025.24175::C011",'C_jama.2025.24175'!$A$2:$A$15,0))="","",INDEX('C_jama.2025.24175'!$J$2:$J$15,MATCH("2025::jama.2025.24175::C011",'C_jama.2025.24175'!$A$2:$A$15,0))),"not_applicable")</x:f>
        <x:v>not_applicable</x:v>
      </x:c>
      <x:c r="X110" s="6" t="str">
        <x:f>IF(AND(INDEX('C_jama.2025.24175'!$D$2:$D$15,MATCH("2025::jama.2025.24175::C011",'C_jama.2025.24175'!$A$2:$A$15,0))="retain",OR(INDEX('C_jama.2025.24175'!$E$2:$E$15,MATCH("2025::jama.2025.24175::C011",'C_jama.2025.24175'!$A$2:$A$15,0))="report_internal_inconsistency",INDEX('C_jama.2025.24175'!$E$2:$E$15,MATCH("2025::jama.2025.24175::C011",'C_jama.2025.24175'!$A$2:$A$15,0))="plan_material")),IF(INDEX('C_jama.2025.24175'!$K$2:$K$15,MATCH("2025::jama.2025.24175::C011",'C_jama.2025.24175'!$A$2:$A$15,0))="","",INDEX('C_jama.2025.24175'!$K$2:$K$15,MATCH("2025::jama.2025.24175::C011",'C_jama.2025.24175'!$A$2:$A$15,0))),"not_applicable")</x:f>
        <x:v>not_applicable</x:v>
      </x:c>
      <x:c r="Y110" s="6" t="str">
        <x:f>IF(AND(INDEX('C_jama.2025.24175'!$D$2:$D$15,MATCH("2025::jama.2025.24175::C011",'C_jama.2025.24175'!$A$2:$A$15,0))="retain",INDEX('C_jama.2025.24175'!$E$2:$E$15,MATCH("2025::jama.2025.24175::C011",'C_jama.2025.24175'!$A$2:$A$15,0))="protocol_report"),IF(INDEX('C_jama.2025.24175'!$L$2:$L$15,MATCH("2025::jama.2025.24175::C011",'C_jama.2025.24175'!$A$2:$A$15,0))="","",INDEX('C_jama.2025.24175'!$L$2:$L$15,MATCH("2025::jama.2025.24175::C011",'C_jama.2025.24175'!$A$2:$A$15,0))),"not_applicable")</x:f>
        <x:v>not_applicable</x:v>
      </x:c>
      <x:c r="Z110" s="6" t="str">
        <x:f>IF(INDEX('C_jama.2025.24175'!$R$2:$R$15,MATCH("2025::jama.2025.24175::C011",'C_jama.2025.24175'!$A$2:$A$15,0))="","",INDEX('C_jama.2025.24175'!$R$2:$R$15,MATCH("2025::jama.2025.24175::C011",'C_jama.2025.24175'!$A$2:$A$15,0)))</x:f>
      </x:c>
      <x:c r="AA110" s="6" t="str">
        <x:f>IF(INDEX('C_jama.2025.24175'!$N$2:$N$15,MATCH("2025::jama.2025.24175::C011",'C_jama.2025.24175'!$A$2:$A$15,0))="","",INDEX('C_jama.2025.24175'!$N$2:$N$15,MATCH("2025::jama.2025.24175::C011",'C_jama.2025.24175'!$A$2:$A$15,0)))</x:f>
      </x:c>
      <x:c r="AB110" s="6" t="str">
        <x:f>IF(INDEX('C_jama.2025.24175'!$O$2:$O$15,MATCH("2025::jama.2025.24175::C011",'C_jama.2025.24175'!$A$2:$A$15,0))="","",INDEX('C_jama.2025.24175'!$O$2:$O$15,MATCH("2025::jama.2025.24175::C011",'C_jama.2025.24175'!$A$2:$A$15,0)))</x:f>
      </x:c>
      <x:c r="AC110" s="6" t="str">
        <x:f>IF(INDEX('C_jama.2025.24175'!$P$2:$P$15,MATCH("2025::jama.2025.24175::C011",'C_jama.2025.24175'!$A$2:$A$15,0))="","",INDEX('C_jama.2025.24175'!$P$2:$P$15,MATCH("2025::jama.2025.24175::C011",'C_jama.2025.24175'!$A$2:$A$15,0)))</x:f>
      </x:c>
      <x:c r="AD110" s="6" t="str">
        <x:f>IF(INDEX('C_jama.2025.24175'!$Q$2:$Q$15,MATCH("2025::jama.2025.24175::C011",'C_jama.2025.24175'!$A$2:$A$15,0))="","",INDEX('C_jama.2025.24175'!$Q$2:$Q$15,MATCH("2025::jama.2025.24175::C011",'C_jama.2025.24175'!$A$2:$A$15,0)))</x:f>
      </x:c>
    </x:row>
    <x:row r="111" ht="65" customHeight="1">
      <x:c r="A111" s="3" t="n">
        <x:v>2025</x:v>
      </x:c>
      <x:c r="B111" s="3" t="str">
        <x:v>jama.2025.24175</x:v>
      </x:c>
      <x:c r="C111" s="3" t="str">
        <x:v>2025::jama.2025.24175::C012</x:v>
      </x:c>
      <x:c r="D111" s="3" t="str">
        <x:v>S_W</x:v>
      </x:c>
      <x:c r="E111" s="3" t="n">
        <x:f>Setup!$B$2</x:f>
        <x:v>0</x:v>
      </x:c>
      <x:c r="F111" s="3" t="str">
        <x:f>IF(Setup!$B$4="","",Setup!$B$4)</x:f>
      </x:c>
      <x:c r="G111" s="3" t="str">
        <x:f>IFERROR(INDEX('C_jama.2025.24175'!$G$2:$G$15,MATCH("2025::jama.2025.24175::C012",'C_jama.2025.24175'!$A$2:$A$15,0)),"CHECK KEY")</x:f>
        <x:v>CHECK REVIEWER IDs</x:v>
      </x:c>
      <x:c r="H111" s="3" t="str">
        <x:f>IF(G111&lt;&gt;"FINAL READY","",IF(S111&lt;&gt;"retain","not_eligible",IF(D111="P_R","protocol_descriptive",IF(D111="P_P","plan_descriptive",IF(AND(T111="statistical_results",OR(U111="confirmed_issue",U111="probable_issue"),V111="substantive"),"primary_temporal",IF(AND(T111="report_internal_inconsistency",X111="substantive_inconsistency"),"secondary_temporal","not_eligible"))))))</x:f>
      </x:c>
      <x:c r="I111" s="3" t="str">
        <x:v>retain</x:v>
      </x:c>
      <x:c r="J111" s="3" t="str">
        <x:v>report_internal_inconsistency</x:v>
      </x:c>
      <x:c r="K111" s="3" t="str">
        <x:f>IF(Setup!$B$6="primary","",IFERROR(IF(INDEX('Primary_snapshot'!$B$2:$B$132,MATCH(C111,'Primary_snapshot'!$A$2:$A$132,0))="","",INDEX('Primary_snapshot'!$B$2:$B$132,MATCH(C111,'Primary_snapshot'!$A$2:$A$132,0))),"SNAPSHOT MISSING"))</x:f>
      </x:c>
      <x:c r="L111" s="3" t="str">
        <x:f>IF(Setup!$B$6="primary","",IFERROR(IF(INDEX('Primary_snapshot'!$C$2:$C$132,MATCH(C111,'Primary_snapshot'!$A$2:$A$132,0))="","",INDEX('Primary_snapshot'!$C$2:$C$132,MATCH(C111,'Primary_snapshot'!$A$2:$A$132,0))),"SNAPSHOT MISSING"))</x:f>
      </x:c>
      <x:c r="M111" s="3" t="str">
        <x:f>IF(Setup!$B$6="primary","",IFERROR(IF(INDEX('Primary_snapshot'!$D$2:$D$132,MATCH(C111,'Primary_snapshot'!$A$2:$A$132,0))="","",INDEX('Primary_snapshot'!$D$2:$D$132,MATCH(C111,'Primary_snapshot'!$A$2:$A$132,0))),"SNAPSHOT MISSING"))</x:f>
      </x:c>
      <x:c r="N111" s="3" t="str">
        <x:f>IF(Setup!$B$6="primary","",IFERROR(IF(INDEX('Primary_snapshot'!$E$2:$E$132,MATCH(C111,'Primary_snapshot'!$A$2:$A$132,0))="","",INDEX('Primary_snapshot'!$E$2:$E$132,MATCH(C111,'Primary_snapshot'!$A$2:$A$132,0))),"SNAPSHOT MISSING"))</x:f>
      </x:c>
      <x:c r="O111" s="3" t="str">
        <x:f>IF(Setup!$B$6="primary","",IFERROR(IF(INDEX('Primary_snapshot'!$F$2:$F$132,MATCH(C111,'Primary_snapshot'!$A$2:$A$132,0))="","",INDEX('Primary_snapshot'!$F$2:$F$132,MATCH(C111,'Primary_snapshot'!$A$2:$A$132,0))),"SNAPSHOT MISSING"))</x:f>
      </x:c>
      <x:c r="P111" s="3" t="str">
        <x:f>IF(Setup!$B$6="primary","",IFERROR(IF(INDEX('Primary_snapshot'!$G$2:$G$132,MATCH(C111,'Primary_snapshot'!$A$2:$A$132,0))="","",INDEX('Primary_snapshot'!$G$2:$G$132,MATCH(C111,'Primary_snapshot'!$A$2:$A$132,0))),"SNAPSHOT MISSING"))</x:f>
      </x:c>
      <x:c r="Q111" s="3" t="str">
        <x:f>IF(Setup!$B$6="primary","",IFERROR(IF(INDEX('Primary_snapshot'!$H$2:$H$132,MATCH(C111,'Primary_snapshot'!$A$2:$A$132,0))="","",INDEX('Primary_snapshot'!$H$2:$H$132,MATCH(C111,'Primary_snapshot'!$A$2:$A$132,0))),"SNAPSHOT MISSING"))</x:f>
      </x:c>
      <x:c r="R111" s="3" t="str">
        <x:f>IF(Setup!$B$6="primary","",IFERROR(IF(INDEX('Primary_snapshot'!$I$2:$I$132,MATCH(C111,'Primary_snapshot'!$A$2:$A$132,0))="","",INDEX('Primary_snapshot'!$I$2:$I$132,MATCH(C111,'Primary_snapshot'!$A$2:$A$132,0))),"SNAPSHOT MISSING"))</x:f>
      </x:c>
      <x:c r="S111" s="3" t="str">
        <x:f>IF(INDEX('C_jama.2025.24175'!$D$2:$D$15,MATCH("2025::jama.2025.24175::C012",'C_jama.2025.24175'!$A$2:$A$15,0))="","",INDEX('C_jama.2025.24175'!$D$2:$D$15,MATCH("2025::jama.2025.24175::C012",'C_jama.2025.24175'!$A$2:$A$15,0)))</x:f>
      </x:c>
      <x:c r="T111" s="3" t="str">
        <x:f>IF(INDEX('C_jama.2025.24175'!$E$2:$E$15,MATCH("2025::jama.2025.24175::C012",'C_jama.2025.24175'!$A$2:$A$15,0))="","",INDEX('C_jama.2025.24175'!$E$2:$E$15,MATCH("2025::jama.2025.24175::C012",'C_jama.2025.24175'!$A$2:$A$15,0)))</x:f>
        <x:v>report_internal_inconsistency</x:v>
      </x:c>
      <x:c r="U111" s="3" t="str">
        <x:f>IF(AND(INDEX('C_jama.2025.24175'!$D$2:$D$15,MATCH("2025::jama.2025.24175::C012",'C_jama.2025.24175'!$A$2:$A$15,0))="retain",INDEX('C_jama.2025.24175'!$E$2:$E$15,MATCH("2025::jama.2025.24175::C012",'C_jama.2025.24175'!$A$2:$A$15,0))="statistical_results"),IF(INDEX('C_jama.2025.24175'!$H$2:$H$15,MATCH("2025::jama.2025.24175::C012",'C_jama.2025.24175'!$A$2:$A$15,0))="","",INDEX('C_jama.2025.24175'!$H$2:$H$15,MATCH("2025::jama.2025.24175::C012",'C_jama.2025.24175'!$A$2:$A$15,0))),"not_applicable")</x:f>
        <x:v>not_applicable</x:v>
      </x:c>
      <x:c r="V111" s="3" t="str">
        <x:f>IF(AND(INDEX('C_jama.2025.24175'!$D$2:$D$15,MATCH("2025::jama.2025.24175::C012",'C_jama.2025.24175'!$A$2:$A$15,0))="retain",INDEX('C_jama.2025.24175'!$E$2:$E$15,MATCH("2025::jama.2025.24175::C012",'C_jama.2025.24175'!$A$2:$A$15,0))="statistical_results"),IF(INDEX('C_jama.2025.24175'!$I$2:$I$15,MATCH("2025::jama.2025.24175::C012",'C_jama.2025.24175'!$A$2:$A$15,0))="","",INDEX('C_jama.2025.24175'!$I$2:$I$15,MATCH("2025::jama.2025.24175::C012",'C_jama.2025.24175'!$A$2:$A$15,0))),"not_applicable")</x:f>
        <x:v>not_applicable</x:v>
      </x:c>
      <x:c r="W111" s="3" t="str">
        <x:f>IF(AND(INDEX('C_jama.2025.24175'!$D$2:$D$15,MATCH("2025::jama.2025.24175::C012",'C_jama.2025.24175'!$A$2:$A$15,0))="retain",INDEX('C_jama.2025.24175'!$E$2:$E$15,MATCH("2025::jama.2025.24175::C012",'C_jama.2025.24175'!$A$2:$A$15,0))="statistical_results"),IF(INDEX('C_jama.2025.24175'!$J$2:$J$15,MATCH("2025::jama.2025.24175::C012",'C_jama.2025.24175'!$A$2:$A$15,0))="","",INDEX('C_jama.2025.24175'!$J$2:$J$15,MATCH("2025::jama.2025.24175::C012",'C_jama.2025.24175'!$A$2:$A$15,0))),"not_applicable")</x:f>
        <x:v>not_applicable</x:v>
      </x:c>
      <x:c r="X111" s="3" t="str">
        <x:f>IF(AND(INDEX('C_jama.2025.24175'!$D$2:$D$15,MATCH("2025::jama.2025.24175::C012",'C_jama.2025.24175'!$A$2:$A$15,0))="retain",OR(INDEX('C_jama.2025.24175'!$E$2:$E$15,MATCH("2025::jama.2025.24175::C012",'C_jama.2025.24175'!$A$2:$A$15,0))="report_internal_inconsistency",INDEX('C_jama.2025.24175'!$E$2:$E$15,MATCH("2025::jama.2025.24175::C012",'C_jama.2025.24175'!$A$2:$A$15,0))="plan_material")),IF(INDEX('C_jama.2025.24175'!$K$2:$K$15,MATCH("2025::jama.2025.24175::C012",'C_jama.2025.24175'!$A$2:$A$15,0))="","",INDEX('C_jama.2025.24175'!$K$2:$K$15,MATCH("2025::jama.2025.24175::C012",'C_jama.2025.24175'!$A$2:$A$15,0))),"not_applicable")</x:f>
        <x:v>not_applicable</x:v>
      </x:c>
      <x:c r="Y111" s="3" t="str">
        <x:f>IF(AND(INDEX('C_jama.2025.24175'!$D$2:$D$15,MATCH("2025::jama.2025.24175::C012",'C_jama.2025.24175'!$A$2:$A$15,0))="retain",INDEX('C_jama.2025.24175'!$E$2:$E$15,MATCH("2025::jama.2025.24175::C012",'C_jama.2025.24175'!$A$2:$A$15,0))="protocol_report"),IF(INDEX('C_jama.2025.24175'!$L$2:$L$15,MATCH("2025::jama.2025.24175::C012",'C_jama.2025.24175'!$A$2:$A$15,0))="","",INDEX('C_jama.2025.24175'!$L$2:$L$15,MATCH("2025::jama.2025.24175::C012",'C_jama.2025.24175'!$A$2:$A$15,0))),"not_applicable")</x:f>
        <x:v>not_applicable</x:v>
      </x:c>
      <x:c r="Z111" s="3" t="str">
        <x:f>IF(INDEX('C_jama.2025.24175'!$R$2:$R$15,MATCH("2025::jama.2025.24175::C012",'C_jama.2025.24175'!$A$2:$A$15,0))="","",INDEX('C_jama.2025.24175'!$R$2:$R$15,MATCH("2025::jama.2025.24175::C012",'C_jama.2025.24175'!$A$2:$A$15,0)))</x:f>
      </x:c>
      <x:c r="AA111" s="3" t="str">
        <x:f>IF(INDEX('C_jama.2025.24175'!$N$2:$N$15,MATCH("2025::jama.2025.24175::C012",'C_jama.2025.24175'!$A$2:$A$15,0))="","",INDEX('C_jama.2025.24175'!$N$2:$N$15,MATCH("2025::jama.2025.24175::C012",'C_jama.2025.24175'!$A$2:$A$15,0)))</x:f>
      </x:c>
      <x:c r="AB111" s="3" t="str">
        <x:f>IF(INDEX('C_jama.2025.24175'!$O$2:$O$15,MATCH("2025::jama.2025.24175::C012",'C_jama.2025.24175'!$A$2:$A$15,0))="","",INDEX('C_jama.2025.24175'!$O$2:$O$15,MATCH("2025::jama.2025.24175::C012",'C_jama.2025.24175'!$A$2:$A$15,0)))</x:f>
      </x:c>
      <x:c r="AC111" s="3" t="str">
        <x:f>IF(INDEX('C_jama.2025.24175'!$P$2:$P$15,MATCH("2025::jama.2025.24175::C012",'C_jama.2025.24175'!$A$2:$A$15,0))="","",INDEX('C_jama.2025.24175'!$P$2:$P$15,MATCH("2025::jama.2025.24175::C012",'C_jama.2025.24175'!$A$2:$A$15,0)))</x:f>
      </x:c>
      <x:c r="AD111" s="3" t="str">
        <x:f>IF(INDEX('C_jama.2025.24175'!$Q$2:$Q$15,MATCH("2025::jama.2025.24175::C012",'C_jama.2025.24175'!$A$2:$A$15,0))="","",INDEX('C_jama.2025.24175'!$Q$2:$Q$15,MATCH("2025::jama.2025.24175::C012",'C_jama.2025.24175'!$A$2:$A$15,0)))</x:f>
      </x:c>
    </x:row>
    <x:row r="112" ht="65" customHeight="1">
      <x:c r="A112" s="6" t="n">
        <x:v>2025</x:v>
      </x:c>
      <x:c r="B112" s="6" t="str">
        <x:v>jama.2025.24175</x:v>
      </x:c>
      <x:c r="C112" s="6" t="str">
        <x:v>2025::jama.2025.24175::C013</x:v>
      </x:c>
      <x:c r="D112" s="6" t="str">
        <x:v>S_W</x:v>
      </x:c>
      <x:c r="E112" s="6" t="n">
        <x:f>Setup!$B$2</x:f>
        <x:v>0</x:v>
      </x:c>
      <x:c r="F112" s="6" t="str">
        <x:f>IF(Setup!$B$4="","",Setup!$B$4)</x:f>
      </x:c>
      <x:c r="G112" s="6" t="str">
        <x:f>IFERROR(INDEX('C_jama.2025.24175'!$G$2:$G$15,MATCH("2025::jama.2025.24175::C013",'C_jama.2025.24175'!$A$2:$A$15,0)),"CHECK KEY")</x:f>
        <x:v>CHECK REVIEWER IDs</x:v>
      </x:c>
      <x:c r="H112" s="6" t="str">
        <x:f>IF(G112&lt;&gt;"FINAL READY","",IF(S112&lt;&gt;"retain","not_eligible",IF(D112="P_R","protocol_descriptive",IF(D112="P_P","plan_descriptive",IF(AND(T112="statistical_results",OR(U112="confirmed_issue",U112="probable_issue"),V112="substantive"),"primary_temporal",IF(AND(T112="report_internal_inconsistency",X112="substantive_inconsistency"),"secondary_temporal","not_eligible"))))))</x:f>
      </x:c>
      <x:c r="I112" s="6" t="str">
        <x:v>retain</x:v>
      </x:c>
      <x:c r="J112" s="6" t="str">
        <x:v>statistical_results</x:v>
      </x:c>
      <x:c r="K112" s="6" t="str">
        <x:f>IF(Setup!$B$6="primary","",IFERROR(IF(INDEX('Primary_snapshot'!$B$2:$B$132,MATCH(C112,'Primary_snapshot'!$A$2:$A$132,0))="","",INDEX('Primary_snapshot'!$B$2:$B$132,MATCH(C112,'Primary_snapshot'!$A$2:$A$132,0))),"SNAPSHOT MISSING"))</x:f>
      </x:c>
      <x:c r="L112" s="6" t="str">
        <x:f>IF(Setup!$B$6="primary","",IFERROR(IF(INDEX('Primary_snapshot'!$C$2:$C$132,MATCH(C112,'Primary_snapshot'!$A$2:$A$132,0))="","",INDEX('Primary_snapshot'!$C$2:$C$132,MATCH(C112,'Primary_snapshot'!$A$2:$A$132,0))),"SNAPSHOT MISSING"))</x:f>
      </x:c>
      <x:c r="M112" s="6" t="str">
        <x:f>IF(Setup!$B$6="primary","",IFERROR(IF(INDEX('Primary_snapshot'!$D$2:$D$132,MATCH(C112,'Primary_snapshot'!$A$2:$A$132,0))="","",INDEX('Primary_snapshot'!$D$2:$D$132,MATCH(C112,'Primary_snapshot'!$A$2:$A$132,0))),"SNAPSHOT MISSING"))</x:f>
      </x:c>
      <x:c r="N112" s="6" t="str">
        <x:f>IF(Setup!$B$6="primary","",IFERROR(IF(INDEX('Primary_snapshot'!$E$2:$E$132,MATCH(C112,'Primary_snapshot'!$A$2:$A$132,0))="","",INDEX('Primary_snapshot'!$E$2:$E$132,MATCH(C112,'Primary_snapshot'!$A$2:$A$132,0))),"SNAPSHOT MISSING"))</x:f>
      </x:c>
      <x:c r="O112" s="6" t="str">
        <x:f>IF(Setup!$B$6="primary","",IFERROR(IF(INDEX('Primary_snapshot'!$F$2:$F$132,MATCH(C112,'Primary_snapshot'!$A$2:$A$132,0))="","",INDEX('Primary_snapshot'!$F$2:$F$132,MATCH(C112,'Primary_snapshot'!$A$2:$A$132,0))),"SNAPSHOT MISSING"))</x:f>
      </x:c>
      <x:c r="P112" s="6" t="str">
        <x:f>IF(Setup!$B$6="primary","",IFERROR(IF(INDEX('Primary_snapshot'!$G$2:$G$132,MATCH(C112,'Primary_snapshot'!$A$2:$A$132,0))="","",INDEX('Primary_snapshot'!$G$2:$G$132,MATCH(C112,'Primary_snapshot'!$A$2:$A$132,0))),"SNAPSHOT MISSING"))</x:f>
      </x:c>
      <x:c r="Q112" s="6" t="str">
        <x:f>IF(Setup!$B$6="primary","",IFERROR(IF(INDEX('Primary_snapshot'!$H$2:$H$132,MATCH(C112,'Primary_snapshot'!$A$2:$A$132,0))="","",INDEX('Primary_snapshot'!$H$2:$H$132,MATCH(C112,'Primary_snapshot'!$A$2:$A$132,0))),"SNAPSHOT MISSING"))</x:f>
      </x:c>
      <x:c r="R112" s="6" t="str">
        <x:f>IF(Setup!$B$6="primary","",IFERROR(IF(INDEX('Primary_snapshot'!$I$2:$I$132,MATCH(C112,'Primary_snapshot'!$A$2:$A$132,0))="","",INDEX('Primary_snapshot'!$I$2:$I$132,MATCH(C112,'Primary_snapshot'!$A$2:$A$132,0))),"SNAPSHOT MISSING"))</x:f>
      </x:c>
      <x:c r="S112" s="6" t="str">
        <x:f>IF(INDEX('C_jama.2025.24175'!$D$2:$D$15,MATCH("2025::jama.2025.24175::C013",'C_jama.2025.24175'!$A$2:$A$15,0))="","",INDEX('C_jama.2025.24175'!$D$2:$D$15,MATCH("2025::jama.2025.24175::C013",'C_jama.2025.24175'!$A$2:$A$15,0)))</x:f>
      </x:c>
      <x:c r="T112" s="6" t="str">
        <x:f>IF(INDEX('C_jama.2025.24175'!$E$2:$E$15,MATCH("2025::jama.2025.24175::C013",'C_jama.2025.24175'!$A$2:$A$15,0))="","",INDEX('C_jama.2025.24175'!$E$2:$E$15,MATCH("2025::jama.2025.24175::C013",'C_jama.2025.24175'!$A$2:$A$15,0)))</x:f>
        <x:v>statistical_results</x:v>
      </x:c>
      <x:c r="U112" s="6" t="str">
        <x:f>IF(AND(INDEX('C_jama.2025.24175'!$D$2:$D$15,MATCH("2025::jama.2025.24175::C013",'C_jama.2025.24175'!$A$2:$A$15,0))="retain",INDEX('C_jama.2025.24175'!$E$2:$E$15,MATCH("2025::jama.2025.24175::C013",'C_jama.2025.24175'!$A$2:$A$15,0))="statistical_results"),IF(INDEX('C_jama.2025.24175'!$H$2:$H$15,MATCH("2025::jama.2025.24175::C013",'C_jama.2025.24175'!$A$2:$A$15,0))="","",INDEX('C_jama.2025.24175'!$H$2:$H$15,MATCH("2025::jama.2025.24175::C013",'C_jama.2025.24175'!$A$2:$A$15,0))),"not_applicable")</x:f>
        <x:v>not_applicable</x:v>
      </x:c>
      <x:c r="V112" s="6" t="str">
        <x:f>IF(AND(INDEX('C_jama.2025.24175'!$D$2:$D$15,MATCH("2025::jama.2025.24175::C013",'C_jama.2025.24175'!$A$2:$A$15,0))="retain",INDEX('C_jama.2025.24175'!$E$2:$E$15,MATCH("2025::jama.2025.24175::C013",'C_jama.2025.24175'!$A$2:$A$15,0))="statistical_results"),IF(INDEX('C_jama.2025.24175'!$I$2:$I$15,MATCH("2025::jama.2025.24175::C013",'C_jama.2025.24175'!$A$2:$A$15,0))="","",INDEX('C_jama.2025.24175'!$I$2:$I$15,MATCH("2025::jama.2025.24175::C013",'C_jama.2025.24175'!$A$2:$A$15,0))),"not_applicable")</x:f>
        <x:v>not_applicable</x:v>
      </x:c>
      <x:c r="W112" s="6" t="str">
        <x:f>IF(AND(INDEX('C_jama.2025.24175'!$D$2:$D$15,MATCH("2025::jama.2025.24175::C013",'C_jama.2025.24175'!$A$2:$A$15,0))="retain",INDEX('C_jama.2025.24175'!$E$2:$E$15,MATCH("2025::jama.2025.24175::C013",'C_jama.2025.24175'!$A$2:$A$15,0))="statistical_results"),IF(INDEX('C_jama.2025.24175'!$J$2:$J$15,MATCH("2025::jama.2025.24175::C013",'C_jama.2025.24175'!$A$2:$A$15,0))="","",INDEX('C_jama.2025.24175'!$J$2:$J$15,MATCH("2025::jama.2025.24175::C013",'C_jama.2025.24175'!$A$2:$A$15,0))),"not_applicable")</x:f>
        <x:v>not_applicable</x:v>
      </x:c>
      <x:c r="X112" s="6" t="str">
        <x:f>IF(AND(INDEX('C_jama.2025.24175'!$D$2:$D$15,MATCH("2025::jama.2025.24175::C013",'C_jama.2025.24175'!$A$2:$A$15,0))="retain",OR(INDEX('C_jama.2025.24175'!$E$2:$E$15,MATCH("2025::jama.2025.24175::C013",'C_jama.2025.24175'!$A$2:$A$15,0))="report_internal_inconsistency",INDEX('C_jama.2025.24175'!$E$2:$E$15,MATCH("2025::jama.2025.24175::C013",'C_jama.2025.24175'!$A$2:$A$15,0))="plan_material")),IF(INDEX('C_jama.2025.24175'!$K$2:$K$15,MATCH("2025::jama.2025.24175::C013",'C_jama.2025.24175'!$A$2:$A$15,0))="","",INDEX('C_jama.2025.24175'!$K$2:$K$15,MATCH("2025::jama.2025.24175::C013",'C_jama.2025.24175'!$A$2:$A$15,0))),"not_applicable")</x:f>
        <x:v>not_applicable</x:v>
      </x:c>
      <x:c r="Y112" s="6" t="str">
        <x:f>IF(AND(INDEX('C_jama.2025.24175'!$D$2:$D$15,MATCH("2025::jama.2025.24175::C013",'C_jama.2025.24175'!$A$2:$A$15,0))="retain",INDEX('C_jama.2025.24175'!$E$2:$E$15,MATCH("2025::jama.2025.24175::C013",'C_jama.2025.24175'!$A$2:$A$15,0))="protocol_report"),IF(INDEX('C_jama.2025.24175'!$L$2:$L$15,MATCH("2025::jama.2025.24175::C013",'C_jama.2025.24175'!$A$2:$A$15,0))="","",INDEX('C_jama.2025.24175'!$L$2:$L$15,MATCH("2025::jama.2025.24175::C013",'C_jama.2025.24175'!$A$2:$A$15,0))),"not_applicable")</x:f>
        <x:v>not_applicable</x:v>
      </x:c>
      <x:c r="Z112" s="6" t="str">
        <x:f>IF(INDEX('C_jama.2025.24175'!$R$2:$R$15,MATCH("2025::jama.2025.24175::C013",'C_jama.2025.24175'!$A$2:$A$15,0))="","",INDEX('C_jama.2025.24175'!$R$2:$R$15,MATCH("2025::jama.2025.24175::C013",'C_jama.2025.24175'!$A$2:$A$15,0)))</x:f>
      </x:c>
      <x:c r="AA112" s="6" t="str">
        <x:f>IF(INDEX('C_jama.2025.24175'!$N$2:$N$15,MATCH("2025::jama.2025.24175::C013",'C_jama.2025.24175'!$A$2:$A$15,0))="","",INDEX('C_jama.2025.24175'!$N$2:$N$15,MATCH("2025::jama.2025.24175::C013",'C_jama.2025.24175'!$A$2:$A$15,0)))</x:f>
      </x:c>
      <x:c r="AB112" s="6" t="str">
        <x:f>IF(INDEX('C_jama.2025.24175'!$O$2:$O$15,MATCH("2025::jama.2025.24175::C013",'C_jama.2025.24175'!$A$2:$A$15,0))="","",INDEX('C_jama.2025.24175'!$O$2:$O$15,MATCH("2025::jama.2025.24175::C013",'C_jama.2025.24175'!$A$2:$A$15,0)))</x:f>
      </x:c>
      <x:c r="AC112" s="6" t="str">
        <x:f>IF(INDEX('C_jama.2025.24175'!$P$2:$P$15,MATCH("2025::jama.2025.24175::C013",'C_jama.2025.24175'!$A$2:$A$15,0))="","",INDEX('C_jama.2025.24175'!$P$2:$P$15,MATCH("2025::jama.2025.24175::C013",'C_jama.2025.24175'!$A$2:$A$15,0)))</x:f>
      </x:c>
      <x:c r="AD112" s="6" t="str">
        <x:f>IF(INDEX('C_jama.2025.24175'!$Q$2:$Q$15,MATCH("2025::jama.2025.24175::C013",'C_jama.2025.24175'!$A$2:$A$15,0))="","",INDEX('C_jama.2025.24175'!$Q$2:$Q$15,MATCH("2025::jama.2025.24175::C013",'C_jama.2025.24175'!$A$2:$A$15,0)))</x:f>
      </x:c>
    </x:row>
    <x:row r="113" ht="65" customHeight="1">
      <x:c r="A113" s="3" t="n">
        <x:v>2025</x:v>
      </x:c>
      <x:c r="B113" s="3" t="str">
        <x:v>jama.2025.24175</x:v>
      </x:c>
      <x:c r="C113" s="3" t="str">
        <x:v>2025::jama.2025.24175::C014</x:v>
      </x:c>
      <x:c r="D113" s="3" t="str">
        <x:v>P_P</x:v>
      </x:c>
      <x:c r="E113" s="3" t="n">
        <x:f>Setup!$B$2</x:f>
        <x:v>0</x:v>
      </x:c>
      <x:c r="F113" s="3" t="str">
        <x:f>IF(Setup!$B$4="","",Setup!$B$4)</x:f>
      </x:c>
      <x:c r="G113" s="3" t="str">
        <x:f>IFERROR(INDEX('C_jama.2025.24175'!$G$2:$G$15,MATCH("2025::jama.2025.24175::C014",'C_jama.2025.24175'!$A$2:$A$15,0)),"CHECK KEY")</x:f>
        <x:v>CHECK REVIEWER IDs</x:v>
      </x:c>
      <x:c r="H113" s="3" t="str">
        <x:f>IF(G113&lt;&gt;"FINAL READY","",IF(S113&lt;&gt;"retain","not_eligible",IF(D113="P_R","protocol_descriptive",IF(D113="P_P","plan_descriptive",IF(AND(T113="statistical_results",OR(U113="confirmed_issue",U113="probable_issue"),V113="substantive"),"primary_temporal",IF(AND(T113="report_internal_inconsistency",X113="substantive_inconsistency"),"secondary_temporal","not_eligible"))))))</x:f>
      </x:c>
      <x:c r="I113" s="3" t="str">
        <x:v>exclude</x:v>
      </x:c>
      <x:c r="J113" s="3" t="str">
        <x:v>plan_material</x:v>
      </x:c>
      <x:c r="K113" s="3" t="str">
        <x:f>IF(Setup!$B$6="primary","",IFERROR(IF(INDEX('Primary_snapshot'!$B$2:$B$132,MATCH(C113,'Primary_snapshot'!$A$2:$A$132,0))="","",INDEX('Primary_snapshot'!$B$2:$B$132,MATCH(C113,'Primary_snapshot'!$A$2:$A$132,0))),"SNAPSHOT MISSING"))</x:f>
      </x:c>
      <x:c r="L113" s="3" t="str">
        <x:f>IF(Setup!$B$6="primary","",IFERROR(IF(INDEX('Primary_snapshot'!$C$2:$C$132,MATCH(C113,'Primary_snapshot'!$A$2:$A$132,0))="","",INDEX('Primary_snapshot'!$C$2:$C$132,MATCH(C113,'Primary_snapshot'!$A$2:$A$132,0))),"SNAPSHOT MISSING"))</x:f>
      </x:c>
      <x:c r="M113" s="3" t="str">
        <x:f>IF(Setup!$B$6="primary","",IFERROR(IF(INDEX('Primary_snapshot'!$D$2:$D$132,MATCH(C113,'Primary_snapshot'!$A$2:$A$132,0))="","",INDEX('Primary_snapshot'!$D$2:$D$132,MATCH(C113,'Primary_snapshot'!$A$2:$A$132,0))),"SNAPSHOT MISSING"))</x:f>
      </x:c>
      <x:c r="N113" s="3" t="str">
        <x:f>IF(Setup!$B$6="primary","",IFERROR(IF(INDEX('Primary_snapshot'!$E$2:$E$132,MATCH(C113,'Primary_snapshot'!$A$2:$A$132,0))="","",INDEX('Primary_snapshot'!$E$2:$E$132,MATCH(C113,'Primary_snapshot'!$A$2:$A$132,0))),"SNAPSHOT MISSING"))</x:f>
      </x:c>
      <x:c r="O113" s="3" t="str">
        <x:f>IF(Setup!$B$6="primary","",IFERROR(IF(INDEX('Primary_snapshot'!$F$2:$F$132,MATCH(C113,'Primary_snapshot'!$A$2:$A$132,0))="","",INDEX('Primary_snapshot'!$F$2:$F$132,MATCH(C113,'Primary_snapshot'!$A$2:$A$132,0))),"SNAPSHOT MISSING"))</x:f>
      </x:c>
      <x:c r="P113" s="3" t="str">
        <x:f>IF(Setup!$B$6="primary","",IFERROR(IF(INDEX('Primary_snapshot'!$G$2:$G$132,MATCH(C113,'Primary_snapshot'!$A$2:$A$132,0))="","",INDEX('Primary_snapshot'!$G$2:$G$132,MATCH(C113,'Primary_snapshot'!$A$2:$A$132,0))),"SNAPSHOT MISSING"))</x:f>
      </x:c>
      <x:c r="Q113" s="3" t="str">
        <x:f>IF(Setup!$B$6="primary","",IFERROR(IF(INDEX('Primary_snapshot'!$H$2:$H$132,MATCH(C113,'Primary_snapshot'!$A$2:$A$132,0))="","",INDEX('Primary_snapshot'!$H$2:$H$132,MATCH(C113,'Primary_snapshot'!$A$2:$A$132,0))),"SNAPSHOT MISSING"))</x:f>
      </x:c>
      <x:c r="R113" s="3" t="str">
        <x:f>IF(Setup!$B$6="primary","",IFERROR(IF(INDEX('Primary_snapshot'!$I$2:$I$132,MATCH(C113,'Primary_snapshot'!$A$2:$A$132,0))="","",INDEX('Primary_snapshot'!$I$2:$I$132,MATCH(C113,'Primary_snapshot'!$A$2:$A$132,0))),"SNAPSHOT MISSING"))</x:f>
      </x:c>
      <x:c r="S113" s="3" t="str">
        <x:f>IF(INDEX('C_jama.2025.24175'!$D$2:$D$15,MATCH("2025::jama.2025.24175::C014",'C_jama.2025.24175'!$A$2:$A$15,0))="","",INDEX('C_jama.2025.24175'!$D$2:$D$15,MATCH("2025::jama.2025.24175::C014",'C_jama.2025.24175'!$A$2:$A$15,0)))</x:f>
      </x:c>
      <x:c r="T113" s="3" t="str">
        <x:f>IF(INDEX('C_jama.2025.24175'!$E$2:$E$15,MATCH("2025::jama.2025.24175::C014",'C_jama.2025.24175'!$A$2:$A$15,0))="","",INDEX('C_jama.2025.24175'!$E$2:$E$15,MATCH("2025::jama.2025.24175::C014",'C_jama.2025.24175'!$A$2:$A$15,0)))</x:f>
        <x:v>plan_material</x:v>
      </x:c>
      <x:c r="U113" s="3" t="str">
        <x:f>IF(AND(INDEX('C_jama.2025.24175'!$D$2:$D$15,MATCH("2025::jama.2025.24175::C014",'C_jama.2025.24175'!$A$2:$A$15,0))="retain",INDEX('C_jama.2025.24175'!$E$2:$E$15,MATCH("2025::jama.2025.24175::C014",'C_jama.2025.24175'!$A$2:$A$15,0))="statistical_results"),IF(INDEX('C_jama.2025.24175'!$H$2:$H$15,MATCH("2025::jama.2025.24175::C014",'C_jama.2025.24175'!$A$2:$A$15,0))="","",INDEX('C_jama.2025.24175'!$H$2:$H$15,MATCH("2025::jama.2025.24175::C014",'C_jama.2025.24175'!$A$2:$A$15,0))),"not_applicable")</x:f>
        <x:v>not_applicable</x:v>
      </x:c>
      <x:c r="V113" s="3" t="str">
        <x:f>IF(AND(INDEX('C_jama.2025.24175'!$D$2:$D$15,MATCH("2025::jama.2025.24175::C014",'C_jama.2025.24175'!$A$2:$A$15,0))="retain",INDEX('C_jama.2025.24175'!$E$2:$E$15,MATCH("2025::jama.2025.24175::C014",'C_jama.2025.24175'!$A$2:$A$15,0))="statistical_results"),IF(INDEX('C_jama.2025.24175'!$I$2:$I$15,MATCH("2025::jama.2025.24175::C014",'C_jama.2025.24175'!$A$2:$A$15,0))="","",INDEX('C_jama.2025.24175'!$I$2:$I$15,MATCH("2025::jama.2025.24175::C014",'C_jama.2025.24175'!$A$2:$A$15,0))),"not_applicable")</x:f>
        <x:v>not_applicable</x:v>
      </x:c>
      <x:c r="W113" s="3" t="str">
        <x:f>IF(AND(INDEX('C_jama.2025.24175'!$D$2:$D$15,MATCH("2025::jama.2025.24175::C014",'C_jama.2025.24175'!$A$2:$A$15,0))="retain",INDEX('C_jama.2025.24175'!$E$2:$E$15,MATCH("2025::jama.2025.24175::C014",'C_jama.2025.24175'!$A$2:$A$15,0))="statistical_results"),IF(INDEX('C_jama.2025.24175'!$J$2:$J$15,MATCH("2025::jama.2025.24175::C014",'C_jama.2025.24175'!$A$2:$A$15,0))="","",INDEX('C_jama.2025.24175'!$J$2:$J$15,MATCH("2025::jama.2025.24175::C014",'C_jama.2025.24175'!$A$2:$A$15,0))),"not_applicable")</x:f>
        <x:v>not_applicable</x:v>
      </x:c>
      <x:c r="X113" s="3" t="str">
        <x:f>IF(AND(INDEX('C_jama.2025.24175'!$D$2:$D$15,MATCH("2025::jama.2025.24175::C014",'C_jama.2025.24175'!$A$2:$A$15,0))="retain",OR(INDEX('C_jama.2025.24175'!$E$2:$E$15,MATCH("2025::jama.2025.24175::C014",'C_jama.2025.24175'!$A$2:$A$15,0))="report_internal_inconsistency",INDEX('C_jama.2025.24175'!$E$2:$E$15,MATCH("2025::jama.2025.24175::C014",'C_jama.2025.24175'!$A$2:$A$15,0))="plan_material")),IF(INDEX('C_jama.2025.24175'!$K$2:$K$15,MATCH("2025::jama.2025.24175::C014",'C_jama.2025.24175'!$A$2:$A$15,0))="","",INDEX('C_jama.2025.24175'!$K$2:$K$15,MATCH("2025::jama.2025.24175::C014",'C_jama.2025.24175'!$A$2:$A$15,0))),"not_applicable")</x:f>
        <x:v>not_applicable</x:v>
      </x:c>
      <x:c r="Y113" s="3" t="str">
        <x:f>IF(AND(INDEX('C_jama.2025.24175'!$D$2:$D$15,MATCH("2025::jama.2025.24175::C014",'C_jama.2025.24175'!$A$2:$A$15,0))="retain",INDEX('C_jama.2025.24175'!$E$2:$E$15,MATCH("2025::jama.2025.24175::C014",'C_jama.2025.24175'!$A$2:$A$15,0))="protocol_report"),IF(INDEX('C_jama.2025.24175'!$L$2:$L$15,MATCH("2025::jama.2025.24175::C014",'C_jama.2025.24175'!$A$2:$A$15,0))="","",INDEX('C_jama.2025.24175'!$L$2:$L$15,MATCH("2025::jama.2025.24175::C014",'C_jama.2025.24175'!$A$2:$A$15,0))),"not_applicable")</x:f>
        <x:v>not_applicable</x:v>
      </x:c>
      <x:c r="Z113" s="3" t="str">
        <x:f>IF(INDEX('C_jama.2025.24175'!$R$2:$R$15,MATCH("2025::jama.2025.24175::C014",'C_jama.2025.24175'!$A$2:$A$15,0))="","",INDEX('C_jama.2025.24175'!$R$2:$R$15,MATCH("2025::jama.2025.24175::C014",'C_jama.2025.24175'!$A$2:$A$15,0)))</x:f>
      </x:c>
      <x:c r="AA113" s="3" t="str">
        <x:f>IF(INDEX('C_jama.2025.24175'!$N$2:$N$15,MATCH("2025::jama.2025.24175::C014",'C_jama.2025.24175'!$A$2:$A$15,0))="","",INDEX('C_jama.2025.24175'!$N$2:$N$15,MATCH("2025::jama.2025.24175::C014",'C_jama.2025.24175'!$A$2:$A$15,0)))</x:f>
      </x:c>
      <x:c r="AB113" s="3" t="str">
        <x:f>IF(INDEX('C_jama.2025.24175'!$O$2:$O$15,MATCH("2025::jama.2025.24175::C014",'C_jama.2025.24175'!$A$2:$A$15,0))="","",INDEX('C_jama.2025.24175'!$O$2:$O$15,MATCH("2025::jama.2025.24175::C014",'C_jama.2025.24175'!$A$2:$A$15,0)))</x:f>
      </x:c>
      <x:c r="AC113" s="3" t="str">
        <x:f>IF(INDEX('C_jama.2025.24175'!$P$2:$P$15,MATCH("2025::jama.2025.24175::C014",'C_jama.2025.24175'!$A$2:$A$15,0))="","",INDEX('C_jama.2025.24175'!$P$2:$P$15,MATCH("2025::jama.2025.24175::C014",'C_jama.2025.24175'!$A$2:$A$15,0)))</x:f>
      </x:c>
      <x:c r="AD113" s="3" t="str">
        <x:f>IF(INDEX('C_jama.2025.24175'!$Q$2:$Q$15,MATCH("2025::jama.2025.24175::C014",'C_jama.2025.24175'!$A$2:$A$15,0))="","",INDEX('C_jama.2025.24175'!$Q$2:$Q$15,MATCH("2025::jama.2025.24175::C014",'C_jama.2025.24175'!$A$2:$A$15,0)))</x:f>
      </x:c>
    </x:row>
    <x:row r="114" ht="65" customHeight="1">
      <x:c r="A114" s="6" t="n">
        <x:v>2025</x:v>
      </x:c>
      <x:c r="B114" s="6" t="str">
        <x:v>jama.2025.4390</x:v>
      </x:c>
      <x:c r="C114" s="6" t="str">
        <x:v>2025::jama.2025.4390::C001</x:v>
      </x:c>
      <x:c r="D114" s="6" t="str">
        <x:v>S_W</x:v>
      </x:c>
      <x:c r="E114" s="6" t="n">
        <x:f>Setup!$B$2</x:f>
        <x:v>0</x:v>
      </x:c>
      <x:c r="F114" s="6" t="str">
        <x:f>IF(Setup!$B$4="","",Setup!$B$4)</x:f>
      </x:c>
      <x:c r="G114" s="6" t="str">
        <x:f>IFERROR(INDEX('C_jama.2025.4390'!$G$2:$G$4,MATCH("2025::jama.2025.4390::C001",'C_jama.2025.4390'!$A$2:$A$4,0)),"CHECK KEY")</x:f>
        <x:v>CHECK REVIEWER IDs</x:v>
      </x:c>
      <x:c r="H114" s="6" t="str">
        <x:f>IF(G114&lt;&gt;"FINAL READY","",IF(S114&lt;&gt;"retain","not_eligible",IF(D114="P_R","protocol_descriptive",IF(D114="P_P","plan_descriptive",IF(AND(T114="statistical_results",OR(U114="confirmed_issue",U114="probable_issue"),V114="substantive"),"primary_temporal",IF(AND(T114="report_internal_inconsistency",X114="substantive_inconsistency"),"secondary_temporal","not_eligible"))))))</x:f>
      </x:c>
      <x:c r="I114" s="6" t="str">
        <x:v>retain</x:v>
      </x:c>
      <x:c r="J114" s="6" t="str">
        <x:v>report_internal_inconsistency</x:v>
      </x:c>
      <x:c r="K114" s="6" t="str">
        <x:f>IF(Setup!$B$6="primary","",IFERROR(IF(INDEX('Primary_snapshot'!$B$2:$B$132,MATCH(C114,'Primary_snapshot'!$A$2:$A$132,0))="","",INDEX('Primary_snapshot'!$B$2:$B$132,MATCH(C114,'Primary_snapshot'!$A$2:$A$132,0))),"SNAPSHOT MISSING"))</x:f>
      </x:c>
      <x:c r="L114" s="6" t="str">
        <x:f>IF(Setup!$B$6="primary","",IFERROR(IF(INDEX('Primary_snapshot'!$C$2:$C$132,MATCH(C114,'Primary_snapshot'!$A$2:$A$132,0))="","",INDEX('Primary_snapshot'!$C$2:$C$132,MATCH(C114,'Primary_snapshot'!$A$2:$A$132,0))),"SNAPSHOT MISSING"))</x:f>
      </x:c>
      <x:c r="M114" s="6" t="str">
        <x:f>IF(Setup!$B$6="primary","",IFERROR(IF(INDEX('Primary_snapshot'!$D$2:$D$132,MATCH(C114,'Primary_snapshot'!$A$2:$A$132,0))="","",INDEX('Primary_snapshot'!$D$2:$D$132,MATCH(C114,'Primary_snapshot'!$A$2:$A$132,0))),"SNAPSHOT MISSING"))</x:f>
      </x:c>
      <x:c r="N114" s="6" t="str">
        <x:f>IF(Setup!$B$6="primary","",IFERROR(IF(INDEX('Primary_snapshot'!$E$2:$E$132,MATCH(C114,'Primary_snapshot'!$A$2:$A$132,0))="","",INDEX('Primary_snapshot'!$E$2:$E$132,MATCH(C114,'Primary_snapshot'!$A$2:$A$132,0))),"SNAPSHOT MISSING"))</x:f>
      </x:c>
      <x:c r="O114" s="6" t="str">
        <x:f>IF(Setup!$B$6="primary","",IFERROR(IF(INDEX('Primary_snapshot'!$F$2:$F$132,MATCH(C114,'Primary_snapshot'!$A$2:$A$132,0))="","",INDEX('Primary_snapshot'!$F$2:$F$132,MATCH(C114,'Primary_snapshot'!$A$2:$A$132,0))),"SNAPSHOT MISSING"))</x:f>
      </x:c>
      <x:c r="P114" s="6" t="str">
        <x:f>IF(Setup!$B$6="primary","",IFERROR(IF(INDEX('Primary_snapshot'!$G$2:$G$132,MATCH(C114,'Primary_snapshot'!$A$2:$A$132,0))="","",INDEX('Primary_snapshot'!$G$2:$G$132,MATCH(C114,'Primary_snapshot'!$A$2:$A$132,0))),"SNAPSHOT MISSING"))</x:f>
      </x:c>
      <x:c r="Q114" s="6" t="str">
        <x:f>IF(Setup!$B$6="primary","",IFERROR(IF(INDEX('Primary_snapshot'!$H$2:$H$132,MATCH(C114,'Primary_snapshot'!$A$2:$A$132,0))="","",INDEX('Primary_snapshot'!$H$2:$H$132,MATCH(C114,'Primary_snapshot'!$A$2:$A$132,0))),"SNAPSHOT MISSING"))</x:f>
      </x:c>
      <x:c r="R114" s="6" t="str">
        <x:f>IF(Setup!$B$6="primary","",IFERROR(IF(INDEX('Primary_snapshot'!$I$2:$I$132,MATCH(C114,'Primary_snapshot'!$A$2:$A$132,0))="","",INDEX('Primary_snapshot'!$I$2:$I$132,MATCH(C114,'Primary_snapshot'!$A$2:$A$132,0))),"SNAPSHOT MISSING"))</x:f>
      </x:c>
      <x:c r="S114" s="6" t="str">
        <x:f>IF(INDEX('C_jama.2025.4390'!$D$2:$D$4,MATCH("2025::jama.2025.4390::C001",'C_jama.2025.4390'!$A$2:$A$4,0))="","",INDEX('C_jama.2025.4390'!$D$2:$D$4,MATCH("2025::jama.2025.4390::C001",'C_jama.2025.4390'!$A$2:$A$4,0)))</x:f>
      </x:c>
      <x:c r="T114" s="6" t="str">
        <x:f>IF(INDEX('C_jama.2025.4390'!$E$2:$E$4,MATCH("2025::jama.2025.4390::C001",'C_jama.2025.4390'!$A$2:$A$4,0))="","",INDEX('C_jama.2025.4390'!$E$2:$E$4,MATCH("2025::jama.2025.4390::C001",'C_jama.2025.4390'!$A$2:$A$4,0)))</x:f>
        <x:v>report_internal_inconsistency</x:v>
      </x:c>
      <x:c r="U114" s="6" t="str">
        <x:f>IF(AND(INDEX('C_jama.2025.4390'!$D$2:$D$4,MATCH("2025::jama.2025.4390::C001",'C_jama.2025.4390'!$A$2:$A$4,0))="retain",INDEX('C_jama.2025.4390'!$E$2:$E$4,MATCH("2025::jama.2025.4390::C001",'C_jama.2025.4390'!$A$2:$A$4,0))="statistical_results"),IF(INDEX('C_jama.2025.4390'!$H$2:$H$4,MATCH("2025::jama.2025.4390::C001",'C_jama.2025.4390'!$A$2:$A$4,0))="","",INDEX('C_jama.2025.4390'!$H$2:$H$4,MATCH("2025::jama.2025.4390::C001",'C_jama.2025.4390'!$A$2:$A$4,0))),"not_applicable")</x:f>
        <x:v>not_applicable</x:v>
      </x:c>
      <x:c r="V114" s="6" t="str">
        <x:f>IF(AND(INDEX('C_jama.2025.4390'!$D$2:$D$4,MATCH("2025::jama.2025.4390::C001",'C_jama.2025.4390'!$A$2:$A$4,0))="retain",INDEX('C_jama.2025.4390'!$E$2:$E$4,MATCH("2025::jama.2025.4390::C001",'C_jama.2025.4390'!$A$2:$A$4,0))="statistical_results"),IF(INDEX('C_jama.2025.4390'!$I$2:$I$4,MATCH("2025::jama.2025.4390::C001",'C_jama.2025.4390'!$A$2:$A$4,0))="","",INDEX('C_jama.2025.4390'!$I$2:$I$4,MATCH("2025::jama.2025.4390::C001",'C_jama.2025.4390'!$A$2:$A$4,0))),"not_applicable")</x:f>
        <x:v>not_applicable</x:v>
      </x:c>
      <x:c r="W114" s="6" t="str">
        <x:f>IF(AND(INDEX('C_jama.2025.4390'!$D$2:$D$4,MATCH("2025::jama.2025.4390::C001",'C_jama.2025.4390'!$A$2:$A$4,0))="retain",INDEX('C_jama.2025.4390'!$E$2:$E$4,MATCH("2025::jama.2025.4390::C001",'C_jama.2025.4390'!$A$2:$A$4,0))="statistical_results"),IF(INDEX('C_jama.2025.4390'!$J$2:$J$4,MATCH("2025::jama.2025.4390::C001",'C_jama.2025.4390'!$A$2:$A$4,0))="","",INDEX('C_jama.2025.4390'!$J$2:$J$4,MATCH("2025::jama.2025.4390::C001",'C_jama.2025.4390'!$A$2:$A$4,0))),"not_applicable")</x:f>
        <x:v>not_applicable</x:v>
      </x:c>
      <x:c r="X114" s="6" t="str">
        <x:f>IF(AND(INDEX('C_jama.2025.4390'!$D$2:$D$4,MATCH("2025::jama.2025.4390::C001",'C_jama.2025.4390'!$A$2:$A$4,0))="retain",OR(INDEX('C_jama.2025.4390'!$E$2:$E$4,MATCH("2025::jama.2025.4390::C001",'C_jama.2025.4390'!$A$2:$A$4,0))="report_internal_inconsistency",INDEX('C_jama.2025.4390'!$E$2:$E$4,MATCH("2025::jama.2025.4390::C001",'C_jama.2025.4390'!$A$2:$A$4,0))="plan_material")),IF(INDEX('C_jama.2025.4390'!$K$2:$K$4,MATCH("2025::jama.2025.4390::C001",'C_jama.2025.4390'!$A$2:$A$4,0))="","",INDEX('C_jama.2025.4390'!$K$2:$K$4,MATCH("2025::jama.2025.4390::C001",'C_jama.2025.4390'!$A$2:$A$4,0))),"not_applicable")</x:f>
        <x:v>not_applicable</x:v>
      </x:c>
      <x:c r="Y114" s="6" t="str">
        <x:f>IF(AND(INDEX('C_jama.2025.4390'!$D$2:$D$4,MATCH("2025::jama.2025.4390::C001",'C_jama.2025.4390'!$A$2:$A$4,0))="retain",INDEX('C_jama.2025.4390'!$E$2:$E$4,MATCH("2025::jama.2025.4390::C001",'C_jama.2025.4390'!$A$2:$A$4,0))="protocol_report"),IF(INDEX('C_jama.2025.4390'!$L$2:$L$4,MATCH("2025::jama.2025.4390::C001",'C_jama.2025.4390'!$A$2:$A$4,0))="","",INDEX('C_jama.2025.4390'!$L$2:$L$4,MATCH("2025::jama.2025.4390::C001",'C_jama.2025.4390'!$A$2:$A$4,0))),"not_applicable")</x:f>
        <x:v>not_applicable</x:v>
      </x:c>
      <x:c r="Z114" s="6" t="str">
        <x:f>IF(INDEX('C_jama.2025.4390'!$R$2:$R$4,MATCH("2025::jama.2025.4390::C001",'C_jama.2025.4390'!$A$2:$A$4,0))="","",INDEX('C_jama.2025.4390'!$R$2:$R$4,MATCH("2025::jama.2025.4390::C001",'C_jama.2025.4390'!$A$2:$A$4,0)))</x:f>
      </x:c>
      <x:c r="AA114" s="6" t="str">
        <x:f>IF(INDEX('C_jama.2025.4390'!$N$2:$N$4,MATCH("2025::jama.2025.4390::C001",'C_jama.2025.4390'!$A$2:$A$4,0))="","",INDEX('C_jama.2025.4390'!$N$2:$N$4,MATCH("2025::jama.2025.4390::C001",'C_jama.2025.4390'!$A$2:$A$4,0)))</x:f>
      </x:c>
      <x:c r="AB114" s="6" t="str">
        <x:f>IF(INDEX('C_jama.2025.4390'!$O$2:$O$4,MATCH("2025::jama.2025.4390::C001",'C_jama.2025.4390'!$A$2:$A$4,0))="","",INDEX('C_jama.2025.4390'!$O$2:$O$4,MATCH("2025::jama.2025.4390::C001",'C_jama.2025.4390'!$A$2:$A$4,0)))</x:f>
      </x:c>
      <x:c r="AC114" s="6" t="str">
        <x:f>IF(INDEX('C_jama.2025.4390'!$P$2:$P$4,MATCH("2025::jama.2025.4390::C001",'C_jama.2025.4390'!$A$2:$A$4,0))="","",INDEX('C_jama.2025.4390'!$P$2:$P$4,MATCH("2025::jama.2025.4390::C001",'C_jama.2025.4390'!$A$2:$A$4,0)))</x:f>
      </x:c>
      <x:c r="AD114" s="6" t="str">
        <x:f>IF(INDEX('C_jama.2025.4390'!$Q$2:$Q$4,MATCH("2025::jama.2025.4390::C001",'C_jama.2025.4390'!$A$2:$A$4,0))="","",INDEX('C_jama.2025.4390'!$Q$2:$Q$4,MATCH("2025::jama.2025.4390::C001",'C_jama.2025.4390'!$A$2:$A$4,0)))</x:f>
      </x:c>
    </x:row>
    <x:row r="115" ht="65" customHeight="1">
      <x:c r="A115" s="3" t="n">
        <x:v>2025</x:v>
      </x:c>
      <x:c r="B115" s="3" t="str">
        <x:v>jama.2025.4390</x:v>
      </x:c>
      <x:c r="C115" s="3" t="str">
        <x:v>2025::jama.2025.4390::C002</x:v>
      </x:c>
      <x:c r="D115" s="3" t="str">
        <x:v>S_W</x:v>
      </x:c>
      <x:c r="E115" s="3" t="n">
        <x:f>Setup!$B$2</x:f>
        <x:v>0</x:v>
      </x:c>
      <x:c r="F115" s="3" t="str">
        <x:f>IF(Setup!$B$4="","",Setup!$B$4)</x:f>
      </x:c>
      <x:c r="G115" s="3" t="str">
        <x:f>IFERROR(INDEX('C_jama.2025.4390'!$G$2:$G$4,MATCH("2025::jama.2025.4390::C002",'C_jama.2025.4390'!$A$2:$A$4,0)),"CHECK KEY")</x:f>
        <x:v>CHECK REVIEWER IDs</x:v>
      </x:c>
      <x:c r="H115" s="3" t="str">
        <x:f>IF(G115&lt;&gt;"FINAL READY","",IF(S115&lt;&gt;"retain","not_eligible",IF(D115="P_R","protocol_descriptive",IF(D115="P_P","plan_descriptive",IF(AND(T115="statistical_results",OR(U115="confirmed_issue",U115="probable_issue"),V115="substantive"),"primary_temporal",IF(AND(T115="report_internal_inconsistency",X115="substantive_inconsistency"),"secondary_temporal","not_eligible"))))))</x:f>
      </x:c>
      <x:c r="I115" s="3" t="str">
        <x:v>retain</x:v>
      </x:c>
      <x:c r="J115" s="3" t="str">
        <x:v>report_internal_inconsistency</x:v>
      </x:c>
      <x:c r="K115" s="3" t="str">
        <x:f>IF(Setup!$B$6="primary","",IFERROR(IF(INDEX('Primary_snapshot'!$B$2:$B$132,MATCH(C115,'Primary_snapshot'!$A$2:$A$132,0))="","",INDEX('Primary_snapshot'!$B$2:$B$132,MATCH(C115,'Primary_snapshot'!$A$2:$A$132,0))),"SNAPSHOT MISSING"))</x:f>
      </x:c>
      <x:c r="L115" s="3" t="str">
        <x:f>IF(Setup!$B$6="primary","",IFERROR(IF(INDEX('Primary_snapshot'!$C$2:$C$132,MATCH(C115,'Primary_snapshot'!$A$2:$A$132,0))="","",INDEX('Primary_snapshot'!$C$2:$C$132,MATCH(C115,'Primary_snapshot'!$A$2:$A$132,0))),"SNAPSHOT MISSING"))</x:f>
      </x:c>
      <x:c r="M115" s="3" t="str">
        <x:f>IF(Setup!$B$6="primary","",IFERROR(IF(INDEX('Primary_snapshot'!$D$2:$D$132,MATCH(C115,'Primary_snapshot'!$A$2:$A$132,0))="","",INDEX('Primary_snapshot'!$D$2:$D$132,MATCH(C115,'Primary_snapshot'!$A$2:$A$132,0))),"SNAPSHOT MISSING"))</x:f>
      </x:c>
      <x:c r="N115" s="3" t="str">
        <x:f>IF(Setup!$B$6="primary","",IFERROR(IF(INDEX('Primary_snapshot'!$E$2:$E$132,MATCH(C115,'Primary_snapshot'!$A$2:$A$132,0))="","",INDEX('Primary_snapshot'!$E$2:$E$132,MATCH(C115,'Primary_snapshot'!$A$2:$A$132,0))),"SNAPSHOT MISSING"))</x:f>
      </x:c>
      <x:c r="O115" s="3" t="str">
        <x:f>IF(Setup!$B$6="primary","",IFERROR(IF(INDEX('Primary_snapshot'!$F$2:$F$132,MATCH(C115,'Primary_snapshot'!$A$2:$A$132,0))="","",INDEX('Primary_snapshot'!$F$2:$F$132,MATCH(C115,'Primary_snapshot'!$A$2:$A$132,0))),"SNAPSHOT MISSING"))</x:f>
      </x:c>
      <x:c r="P115" s="3" t="str">
        <x:f>IF(Setup!$B$6="primary","",IFERROR(IF(INDEX('Primary_snapshot'!$G$2:$G$132,MATCH(C115,'Primary_snapshot'!$A$2:$A$132,0))="","",INDEX('Primary_snapshot'!$G$2:$G$132,MATCH(C115,'Primary_snapshot'!$A$2:$A$132,0))),"SNAPSHOT MISSING"))</x:f>
      </x:c>
      <x:c r="Q115" s="3" t="str">
        <x:f>IF(Setup!$B$6="primary","",IFERROR(IF(INDEX('Primary_snapshot'!$H$2:$H$132,MATCH(C115,'Primary_snapshot'!$A$2:$A$132,0))="","",INDEX('Primary_snapshot'!$H$2:$H$132,MATCH(C115,'Primary_snapshot'!$A$2:$A$132,0))),"SNAPSHOT MISSING"))</x:f>
      </x:c>
      <x:c r="R115" s="3" t="str">
        <x:f>IF(Setup!$B$6="primary","",IFERROR(IF(INDEX('Primary_snapshot'!$I$2:$I$132,MATCH(C115,'Primary_snapshot'!$A$2:$A$132,0))="","",INDEX('Primary_snapshot'!$I$2:$I$132,MATCH(C115,'Primary_snapshot'!$A$2:$A$132,0))),"SNAPSHOT MISSING"))</x:f>
      </x:c>
      <x:c r="S115" s="3" t="str">
        <x:f>IF(INDEX('C_jama.2025.4390'!$D$2:$D$4,MATCH("2025::jama.2025.4390::C002",'C_jama.2025.4390'!$A$2:$A$4,0))="","",INDEX('C_jama.2025.4390'!$D$2:$D$4,MATCH("2025::jama.2025.4390::C002",'C_jama.2025.4390'!$A$2:$A$4,0)))</x:f>
      </x:c>
      <x:c r="T115" s="3" t="str">
        <x:f>IF(INDEX('C_jama.2025.4390'!$E$2:$E$4,MATCH("2025::jama.2025.4390::C002",'C_jama.2025.4390'!$A$2:$A$4,0))="","",INDEX('C_jama.2025.4390'!$E$2:$E$4,MATCH("2025::jama.2025.4390::C002",'C_jama.2025.4390'!$A$2:$A$4,0)))</x:f>
        <x:v>report_internal_inconsistency</x:v>
      </x:c>
      <x:c r="U115" s="3" t="str">
        <x:f>IF(AND(INDEX('C_jama.2025.4390'!$D$2:$D$4,MATCH("2025::jama.2025.4390::C002",'C_jama.2025.4390'!$A$2:$A$4,0))="retain",INDEX('C_jama.2025.4390'!$E$2:$E$4,MATCH("2025::jama.2025.4390::C002",'C_jama.2025.4390'!$A$2:$A$4,0))="statistical_results"),IF(INDEX('C_jama.2025.4390'!$H$2:$H$4,MATCH("2025::jama.2025.4390::C002",'C_jama.2025.4390'!$A$2:$A$4,0))="","",INDEX('C_jama.2025.4390'!$H$2:$H$4,MATCH("2025::jama.2025.4390::C002",'C_jama.2025.4390'!$A$2:$A$4,0))),"not_applicable")</x:f>
        <x:v>not_applicable</x:v>
      </x:c>
      <x:c r="V115" s="3" t="str">
        <x:f>IF(AND(INDEX('C_jama.2025.4390'!$D$2:$D$4,MATCH("2025::jama.2025.4390::C002",'C_jama.2025.4390'!$A$2:$A$4,0))="retain",INDEX('C_jama.2025.4390'!$E$2:$E$4,MATCH("2025::jama.2025.4390::C002",'C_jama.2025.4390'!$A$2:$A$4,0))="statistical_results"),IF(INDEX('C_jama.2025.4390'!$I$2:$I$4,MATCH("2025::jama.2025.4390::C002",'C_jama.2025.4390'!$A$2:$A$4,0))="","",INDEX('C_jama.2025.4390'!$I$2:$I$4,MATCH("2025::jama.2025.4390::C002",'C_jama.2025.4390'!$A$2:$A$4,0))),"not_applicable")</x:f>
        <x:v>not_applicable</x:v>
      </x:c>
      <x:c r="W115" s="3" t="str">
        <x:f>IF(AND(INDEX('C_jama.2025.4390'!$D$2:$D$4,MATCH("2025::jama.2025.4390::C002",'C_jama.2025.4390'!$A$2:$A$4,0))="retain",INDEX('C_jama.2025.4390'!$E$2:$E$4,MATCH("2025::jama.2025.4390::C002",'C_jama.2025.4390'!$A$2:$A$4,0))="statistical_results"),IF(INDEX('C_jama.2025.4390'!$J$2:$J$4,MATCH("2025::jama.2025.4390::C002",'C_jama.2025.4390'!$A$2:$A$4,0))="","",INDEX('C_jama.2025.4390'!$J$2:$J$4,MATCH("2025::jama.2025.4390::C002",'C_jama.2025.4390'!$A$2:$A$4,0))),"not_applicable")</x:f>
        <x:v>not_applicable</x:v>
      </x:c>
      <x:c r="X115" s="3" t="str">
        <x:f>IF(AND(INDEX('C_jama.2025.4390'!$D$2:$D$4,MATCH("2025::jama.2025.4390::C002",'C_jama.2025.4390'!$A$2:$A$4,0))="retain",OR(INDEX('C_jama.2025.4390'!$E$2:$E$4,MATCH("2025::jama.2025.4390::C002",'C_jama.2025.4390'!$A$2:$A$4,0))="report_internal_inconsistency",INDEX('C_jama.2025.4390'!$E$2:$E$4,MATCH("2025::jama.2025.4390::C002",'C_jama.2025.4390'!$A$2:$A$4,0))="plan_material")),IF(INDEX('C_jama.2025.4390'!$K$2:$K$4,MATCH("2025::jama.2025.4390::C002",'C_jama.2025.4390'!$A$2:$A$4,0))="","",INDEX('C_jama.2025.4390'!$K$2:$K$4,MATCH("2025::jama.2025.4390::C002",'C_jama.2025.4390'!$A$2:$A$4,0))),"not_applicable")</x:f>
        <x:v>not_applicable</x:v>
      </x:c>
      <x:c r="Y115" s="3" t="str">
        <x:f>IF(AND(INDEX('C_jama.2025.4390'!$D$2:$D$4,MATCH("2025::jama.2025.4390::C002",'C_jama.2025.4390'!$A$2:$A$4,0))="retain",INDEX('C_jama.2025.4390'!$E$2:$E$4,MATCH("2025::jama.2025.4390::C002",'C_jama.2025.4390'!$A$2:$A$4,0))="protocol_report"),IF(INDEX('C_jama.2025.4390'!$L$2:$L$4,MATCH("2025::jama.2025.4390::C002",'C_jama.2025.4390'!$A$2:$A$4,0))="","",INDEX('C_jama.2025.4390'!$L$2:$L$4,MATCH("2025::jama.2025.4390::C002",'C_jama.2025.4390'!$A$2:$A$4,0))),"not_applicable")</x:f>
        <x:v>not_applicable</x:v>
      </x:c>
      <x:c r="Z115" s="3" t="str">
        <x:f>IF(INDEX('C_jama.2025.4390'!$R$2:$R$4,MATCH("2025::jama.2025.4390::C002",'C_jama.2025.4390'!$A$2:$A$4,0))="","",INDEX('C_jama.2025.4390'!$R$2:$R$4,MATCH("2025::jama.2025.4390::C002",'C_jama.2025.4390'!$A$2:$A$4,0)))</x:f>
      </x:c>
      <x:c r="AA115" s="3" t="str">
        <x:f>IF(INDEX('C_jama.2025.4390'!$N$2:$N$4,MATCH("2025::jama.2025.4390::C002",'C_jama.2025.4390'!$A$2:$A$4,0))="","",INDEX('C_jama.2025.4390'!$N$2:$N$4,MATCH("2025::jama.2025.4390::C002",'C_jama.2025.4390'!$A$2:$A$4,0)))</x:f>
      </x:c>
      <x:c r="AB115" s="3" t="str">
        <x:f>IF(INDEX('C_jama.2025.4390'!$O$2:$O$4,MATCH("2025::jama.2025.4390::C002",'C_jama.2025.4390'!$A$2:$A$4,0))="","",INDEX('C_jama.2025.4390'!$O$2:$O$4,MATCH("2025::jama.2025.4390::C002",'C_jama.2025.4390'!$A$2:$A$4,0)))</x:f>
      </x:c>
      <x:c r="AC115" s="3" t="str">
        <x:f>IF(INDEX('C_jama.2025.4390'!$P$2:$P$4,MATCH("2025::jama.2025.4390::C002",'C_jama.2025.4390'!$A$2:$A$4,0))="","",INDEX('C_jama.2025.4390'!$P$2:$P$4,MATCH("2025::jama.2025.4390::C002",'C_jama.2025.4390'!$A$2:$A$4,0)))</x:f>
      </x:c>
      <x:c r="AD115" s="3" t="str">
        <x:f>IF(INDEX('C_jama.2025.4390'!$Q$2:$Q$4,MATCH("2025::jama.2025.4390::C002",'C_jama.2025.4390'!$A$2:$A$4,0))="","",INDEX('C_jama.2025.4390'!$Q$2:$Q$4,MATCH("2025::jama.2025.4390::C002",'C_jama.2025.4390'!$A$2:$A$4,0)))</x:f>
      </x:c>
    </x:row>
    <x:row r="116" ht="65" customHeight="1">
      <x:c r="A116" s="6" t="n">
        <x:v>2025</x:v>
      </x:c>
      <x:c r="B116" s="6" t="str">
        <x:v>jama.2025.4390</x:v>
      </x:c>
      <x:c r="C116" s="6" t="str">
        <x:v>2025::jama.2025.4390::C003</x:v>
      </x:c>
      <x:c r="D116" s="6" t="str">
        <x:v>S_W</x:v>
      </x:c>
      <x:c r="E116" s="6" t="n">
        <x:f>Setup!$B$2</x:f>
        <x:v>0</x:v>
      </x:c>
      <x:c r="F116" s="6" t="str">
        <x:f>IF(Setup!$B$4="","",Setup!$B$4)</x:f>
      </x:c>
      <x:c r="G116" s="6" t="str">
        <x:f>IFERROR(INDEX('C_jama.2025.4390'!$G$2:$G$4,MATCH("2025::jama.2025.4390::C003",'C_jama.2025.4390'!$A$2:$A$4,0)),"CHECK KEY")</x:f>
        <x:v>CHECK REVIEWER IDs</x:v>
      </x:c>
      <x:c r="H116" s="6" t="str">
        <x:f>IF(G116&lt;&gt;"FINAL READY","",IF(S116&lt;&gt;"retain","not_eligible",IF(D116="P_R","protocol_descriptive",IF(D116="P_P","plan_descriptive",IF(AND(T116="statistical_results",OR(U116="confirmed_issue",U116="probable_issue"),V116="substantive"),"primary_temporal",IF(AND(T116="report_internal_inconsistency",X116="substantive_inconsistency"),"secondary_temporal","not_eligible"))))))</x:f>
      </x:c>
      <x:c r="I116" s="6" t="str">
        <x:v>retain</x:v>
      </x:c>
      <x:c r="J116" s="6" t="str">
        <x:v>statistical_results</x:v>
      </x:c>
      <x:c r="K116" s="6" t="str">
        <x:f>IF(Setup!$B$6="primary","",IFERROR(IF(INDEX('Primary_snapshot'!$B$2:$B$132,MATCH(C116,'Primary_snapshot'!$A$2:$A$132,0))="","",INDEX('Primary_snapshot'!$B$2:$B$132,MATCH(C116,'Primary_snapshot'!$A$2:$A$132,0))),"SNAPSHOT MISSING"))</x:f>
      </x:c>
      <x:c r="L116" s="6" t="str">
        <x:f>IF(Setup!$B$6="primary","",IFERROR(IF(INDEX('Primary_snapshot'!$C$2:$C$132,MATCH(C116,'Primary_snapshot'!$A$2:$A$132,0))="","",INDEX('Primary_snapshot'!$C$2:$C$132,MATCH(C116,'Primary_snapshot'!$A$2:$A$132,0))),"SNAPSHOT MISSING"))</x:f>
      </x:c>
      <x:c r="M116" s="6" t="str">
        <x:f>IF(Setup!$B$6="primary","",IFERROR(IF(INDEX('Primary_snapshot'!$D$2:$D$132,MATCH(C116,'Primary_snapshot'!$A$2:$A$132,0))="","",INDEX('Primary_snapshot'!$D$2:$D$132,MATCH(C116,'Primary_snapshot'!$A$2:$A$132,0))),"SNAPSHOT MISSING"))</x:f>
      </x:c>
      <x:c r="N116" s="6" t="str">
        <x:f>IF(Setup!$B$6="primary","",IFERROR(IF(INDEX('Primary_snapshot'!$E$2:$E$132,MATCH(C116,'Primary_snapshot'!$A$2:$A$132,0))="","",INDEX('Primary_snapshot'!$E$2:$E$132,MATCH(C116,'Primary_snapshot'!$A$2:$A$132,0))),"SNAPSHOT MISSING"))</x:f>
      </x:c>
      <x:c r="O116" s="6" t="str">
        <x:f>IF(Setup!$B$6="primary","",IFERROR(IF(INDEX('Primary_snapshot'!$F$2:$F$132,MATCH(C116,'Primary_snapshot'!$A$2:$A$132,0))="","",INDEX('Primary_snapshot'!$F$2:$F$132,MATCH(C116,'Primary_snapshot'!$A$2:$A$132,0))),"SNAPSHOT MISSING"))</x:f>
      </x:c>
      <x:c r="P116" s="6" t="str">
        <x:f>IF(Setup!$B$6="primary","",IFERROR(IF(INDEX('Primary_snapshot'!$G$2:$G$132,MATCH(C116,'Primary_snapshot'!$A$2:$A$132,0))="","",INDEX('Primary_snapshot'!$G$2:$G$132,MATCH(C116,'Primary_snapshot'!$A$2:$A$132,0))),"SNAPSHOT MISSING"))</x:f>
      </x:c>
      <x:c r="Q116" s="6" t="str">
        <x:f>IF(Setup!$B$6="primary","",IFERROR(IF(INDEX('Primary_snapshot'!$H$2:$H$132,MATCH(C116,'Primary_snapshot'!$A$2:$A$132,0))="","",INDEX('Primary_snapshot'!$H$2:$H$132,MATCH(C116,'Primary_snapshot'!$A$2:$A$132,0))),"SNAPSHOT MISSING"))</x:f>
      </x:c>
      <x:c r="R116" s="6" t="str">
        <x:f>IF(Setup!$B$6="primary","",IFERROR(IF(INDEX('Primary_snapshot'!$I$2:$I$132,MATCH(C116,'Primary_snapshot'!$A$2:$A$132,0))="","",INDEX('Primary_snapshot'!$I$2:$I$132,MATCH(C116,'Primary_snapshot'!$A$2:$A$132,0))),"SNAPSHOT MISSING"))</x:f>
      </x:c>
      <x:c r="S116" s="6" t="str">
        <x:f>IF(INDEX('C_jama.2025.4390'!$D$2:$D$4,MATCH("2025::jama.2025.4390::C003",'C_jama.2025.4390'!$A$2:$A$4,0))="","",INDEX('C_jama.2025.4390'!$D$2:$D$4,MATCH("2025::jama.2025.4390::C003",'C_jama.2025.4390'!$A$2:$A$4,0)))</x:f>
      </x:c>
      <x:c r="T116" s="6" t="str">
        <x:f>IF(INDEX('C_jama.2025.4390'!$E$2:$E$4,MATCH("2025::jama.2025.4390::C003",'C_jama.2025.4390'!$A$2:$A$4,0))="","",INDEX('C_jama.2025.4390'!$E$2:$E$4,MATCH("2025::jama.2025.4390::C003",'C_jama.2025.4390'!$A$2:$A$4,0)))</x:f>
        <x:v>statistical_results</x:v>
      </x:c>
      <x:c r="U116" s="6" t="str">
        <x:f>IF(AND(INDEX('C_jama.2025.4390'!$D$2:$D$4,MATCH("2025::jama.2025.4390::C003",'C_jama.2025.4390'!$A$2:$A$4,0))="retain",INDEX('C_jama.2025.4390'!$E$2:$E$4,MATCH("2025::jama.2025.4390::C003",'C_jama.2025.4390'!$A$2:$A$4,0))="statistical_results"),IF(INDEX('C_jama.2025.4390'!$H$2:$H$4,MATCH("2025::jama.2025.4390::C003",'C_jama.2025.4390'!$A$2:$A$4,0))="","",INDEX('C_jama.2025.4390'!$H$2:$H$4,MATCH("2025::jama.2025.4390::C003",'C_jama.2025.4390'!$A$2:$A$4,0))),"not_applicable")</x:f>
        <x:v>not_applicable</x:v>
      </x:c>
      <x:c r="V116" s="6" t="str">
        <x:f>IF(AND(INDEX('C_jama.2025.4390'!$D$2:$D$4,MATCH("2025::jama.2025.4390::C003",'C_jama.2025.4390'!$A$2:$A$4,0))="retain",INDEX('C_jama.2025.4390'!$E$2:$E$4,MATCH("2025::jama.2025.4390::C003",'C_jama.2025.4390'!$A$2:$A$4,0))="statistical_results"),IF(INDEX('C_jama.2025.4390'!$I$2:$I$4,MATCH("2025::jama.2025.4390::C003",'C_jama.2025.4390'!$A$2:$A$4,0))="","",INDEX('C_jama.2025.4390'!$I$2:$I$4,MATCH("2025::jama.2025.4390::C003",'C_jama.2025.4390'!$A$2:$A$4,0))),"not_applicable")</x:f>
        <x:v>not_applicable</x:v>
      </x:c>
      <x:c r="W116" s="6" t="str">
        <x:f>IF(AND(INDEX('C_jama.2025.4390'!$D$2:$D$4,MATCH("2025::jama.2025.4390::C003",'C_jama.2025.4390'!$A$2:$A$4,0))="retain",INDEX('C_jama.2025.4390'!$E$2:$E$4,MATCH("2025::jama.2025.4390::C003",'C_jama.2025.4390'!$A$2:$A$4,0))="statistical_results"),IF(INDEX('C_jama.2025.4390'!$J$2:$J$4,MATCH("2025::jama.2025.4390::C003",'C_jama.2025.4390'!$A$2:$A$4,0))="","",INDEX('C_jama.2025.4390'!$J$2:$J$4,MATCH("2025::jama.2025.4390::C003",'C_jama.2025.4390'!$A$2:$A$4,0))),"not_applicable")</x:f>
        <x:v>not_applicable</x:v>
      </x:c>
      <x:c r="X116" s="6" t="str">
        <x:f>IF(AND(INDEX('C_jama.2025.4390'!$D$2:$D$4,MATCH("2025::jama.2025.4390::C003",'C_jama.2025.4390'!$A$2:$A$4,0))="retain",OR(INDEX('C_jama.2025.4390'!$E$2:$E$4,MATCH("2025::jama.2025.4390::C003",'C_jama.2025.4390'!$A$2:$A$4,0))="report_internal_inconsistency",INDEX('C_jama.2025.4390'!$E$2:$E$4,MATCH("2025::jama.2025.4390::C003",'C_jama.2025.4390'!$A$2:$A$4,0))="plan_material")),IF(INDEX('C_jama.2025.4390'!$K$2:$K$4,MATCH("2025::jama.2025.4390::C003",'C_jama.2025.4390'!$A$2:$A$4,0))="","",INDEX('C_jama.2025.4390'!$K$2:$K$4,MATCH("2025::jama.2025.4390::C003",'C_jama.2025.4390'!$A$2:$A$4,0))),"not_applicable")</x:f>
        <x:v>not_applicable</x:v>
      </x:c>
      <x:c r="Y116" s="6" t="str">
        <x:f>IF(AND(INDEX('C_jama.2025.4390'!$D$2:$D$4,MATCH("2025::jama.2025.4390::C003",'C_jama.2025.4390'!$A$2:$A$4,0))="retain",INDEX('C_jama.2025.4390'!$E$2:$E$4,MATCH("2025::jama.2025.4390::C003",'C_jama.2025.4390'!$A$2:$A$4,0))="protocol_report"),IF(INDEX('C_jama.2025.4390'!$L$2:$L$4,MATCH("2025::jama.2025.4390::C003",'C_jama.2025.4390'!$A$2:$A$4,0))="","",INDEX('C_jama.2025.4390'!$L$2:$L$4,MATCH("2025::jama.2025.4390::C003",'C_jama.2025.4390'!$A$2:$A$4,0))),"not_applicable")</x:f>
        <x:v>not_applicable</x:v>
      </x:c>
      <x:c r="Z116" s="6" t="str">
        <x:f>IF(INDEX('C_jama.2025.4390'!$R$2:$R$4,MATCH("2025::jama.2025.4390::C003",'C_jama.2025.4390'!$A$2:$A$4,0))="","",INDEX('C_jama.2025.4390'!$R$2:$R$4,MATCH("2025::jama.2025.4390::C003",'C_jama.2025.4390'!$A$2:$A$4,0)))</x:f>
      </x:c>
      <x:c r="AA116" s="6" t="str">
        <x:f>IF(INDEX('C_jama.2025.4390'!$N$2:$N$4,MATCH("2025::jama.2025.4390::C003",'C_jama.2025.4390'!$A$2:$A$4,0))="","",INDEX('C_jama.2025.4390'!$N$2:$N$4,MATCH("2025::jama.2025.4390::C003",'C_jama.2025.4390'!$A$2:$A$4,0)))</x:f>
      </x:c>
      <x:c r="AB116" s="6" t="str">
        <x:f>IF(INDEX('C_jama.2025.4390'!$O$2:$O$4,MATCH("2025::jama.2025.4390::C003",'C_jama.2025.4390'!$A$2:$A$4,0))="","",INDEX('C_jama.2025.4390'!$O$2:$O$4,MATCH("2025::jama.2025.4390::C003",'C_jama.2025.4390'!$A$2:$A$4,0)))</x:f>
      </x:c>
      <x:c r="AC116" s="6" t="str">
        <x:f>IF(INDEX('C_jama.2025.4390'!$P$2:$P$4,MATCH("2025::jama.2025.4390::C003",'C_jama.2025.4390'!$A$2:$A$4,0))="","",INDEX('C_jama.2025.4390'!$P$2:$P$4,MATCH("2025::jama.2025.4390::C003",'C_jama.2025.4390'!$A$2:$A$4,0)))</x:f>
      </x:c>
      <x:c r="AD116" s="6" t="str">
        <x:f>IF(INDEX('C_jama.2025.4390'!$Q$2:$Q$4,MATCH("2025::jama.2025.4390::C003",'C_jama.2025.4390'!$A$2:$A$4,0))="","",INDEX('C_jama.2025.4390'!$Q$2:$Q$4,MATCH("2025::jama.2025.4390::C003",'C_jama.2025.4390'!$A$2:$A$4,0)))</x:f>
      </x:c>
    </x:row>
    <x:row r="117" ht="65" customHeight="1">
      <x:c r="A117" s="3" t="n">
        <x:v>2025</x:v>
      </x:c>
      <x:c r="B117" s="3" t="str">
        <x:v>jama.2025.7583</x:v>
      </x:c>
      <x:c r="C117" s="3" t="str">
        <x:v>2025::jama.2025.7583::C001</x:v>
      </x:c>
      <x:c r="D117" s="3" t="str">
        <x:v>P_R</x:v>
      </x:c>
      <x:c r="E117" s="3" t="n">
        <x:f>Setup!$B$2</x:f>
        <x:v>0</x:v>
      </x:c>
      <x:c r="F117" s="3" t="str">
        <x:f>IF(Setup!$B$4="","",Setup!$B$4)</x:f>
      </x:c>
      <x:c r="G117" s="3" t="str">
        <x:f>IFERROR(INDEX('C_jama.2025.7583'!$G$2:$G$4,MATCH("2025::jama.2025.7583::C001",'C_jama.2025.7583'!$A$2:$A$4,0)),"CHECK KEY")</x:f>
        <x:v>CHECK REVIEWER IDs</x:v>
      </x:c>
      <x:c r="H117" s="3" t="str">
        <x:f>IF(G117&lt;&gt;"FINAL READY","",IF(S117&lt;&gt;"retain","not_eligible",IF(D117="P_R","protocol_descriptive",IF(D117="P_P","plan_descriptive",IF(AND(T117="statistical_results",OR(U117="confirmed_issue",U117="probable_issue"),V117="substantive"),"primary_temporal",IF(AND(T117="report_internal_inconsistency",X117="substantive_inconsistency"),"secondary_temporal","not_eligible"))))))</x:f>
      </x:c>
      <x:c r="I117" s="3" t="str">
        <x:v>retain</x:v>
      </x:c>
      <x:c r="J117" s="3" t="str">
        <x:v>protocol_report</x:v>
      </x:c>
      <x:c r="K117" s="3" t="str">
        <x:f>IF(Setup!$B$6="primary","",IFERROR(IF(INDEX('Primary_snapshot'!$B$2:$B$132,MATCH(C117,'Primary_snapshot'!$A$2:$A$132,0))="","",INDEX('Primary_snapshot'!$B$2:$B$132,MATCH(C117,'Primary_snapshot'!$A$2:$A$132,0))),"SNAPSHOT MISSING"))</x:f>
      </x:c>
      <x:c r="L117" s="3" t="str">
        <x:f>IF(Setup!$B$6="primary","",IFERROR(IF(INDEX('Primary_snapshot'!$C$2:$C$132,MATCH(C117,'Primary_snapshot'!$A$2:$A$132,0))="","",INDEX('Primary_snapshot'!$C$2:$C$132,MATCH(C117,'Primary_snapshot'!$A$2:$A$132,0))),"SNAPSHOT MISSING"))</x:f>
      </x:c>
      <x:c r="M117" s="3" t="str">
        <x:f>IF(Setup!$B$6="primary","",IFERROR(IF(INDEX('Primary_snapshot'!$D$2:$D$132,MATCH(C117,'Primary_snapshot'!$A$2:$A$132,0))="","",INDEX('Primary_snapshot'!$D$2:$D$132,MATCH(C117,'Primary_snapshot'!$A$2:$A$132,0))),"SNAPSHOT MISSING"))</x:f>
      </x:c>
      <x:c r="N117" s="3" t="str">
        <x:f>IF(Setup!$B$6="primary","",IFERROR(IF(INDEX('Primary_snapshot'!$E$2:$E$132,MATCH(C117,'Primary_snapshot'!$A$2:$A$132,0))="","",INDEX('Primary_snapshot'!$E$2:$E$132,MATCH(C117,'Primary_snapshot'!$A$2:$A$132,0))),"SNAPSHOT MISSING"))</x:f>
      </x:c>
      <x:c r="O117" s="3" t="str">
        <x:f>IF(Setup!$B$6="primary","",IFERROR(IF(INDEX('Primary_snapshot'!$F$2:$F$132,MATCH(C117,'Primary_snapshot'!$A$2:$A$132,0))="","",INDEX('Primary_snapshot'!$F$2:$F$132,MATCH(C117,'Primary_snapshot'!$A$2:$A$132,0))),"SNAPSHOT MISSING"))</x:f>
      </x:c>
      <x:c r="P117" s="3" t="str">
        <x:f>IF(Setup!$B$6="primary","",IFERROR(IF(INDEX('Primary_snapshot'!$G$2:$G$132,MATCH(C117,'Primary_snapshot'!$A$2:$A$132,0))="","",INDEX('Primary_snapshot'!$G$2:$G$132,MATCH(C117,'Primary_snapshot'!$A$2:$A$132,0))),"SNAPSHOT MISSING"))</x:f>
      </x:c>
      <x:c r="Q117" s="3" t="str">
        <x:f>IF(Setup!$B$6="primary","",IFERROR(IF(INDEX('Primary_snapshot'!$H$2:$H$132,MATCH(C117,'Primary_snapshot'!$A$2:$A$132,0))="","",INDEX('Primary_snapshot'!$H$2:$H$132,MATCH(C117,'Primary_snapshot'!$A$2:$A$132,0))),"SNAPSHOT MISSING"))</x:f>
      </x:c>
      <x:c r="R117" s="3" t="str">
        <x:f>IF(Setup!$B$6="primary","",IFERROR(IF(INDEX('Primary_snapshot'!$I$2:$I$132,MATCH(C117,'Primary_snapshot'!$A$2:$A$132,0))="","",INDEX('Primary_snapshot'!$I$2:$I$132,MATCH(C117,'Primary_snapshot'!$A$2:$A$132,0))),"SNAPSHOT MISSING"))</x:f>
      </x:c>
      <x:c r="S117" s="3" t="str">
        <x:f>IF(INDEX('C_jama.2025.7583'!$D$2:$D$4,MATCH("2025::jama.2025.7583::C001",'C_jama.2025.7583'!$A$2:$A$4,0))="","",INDEX('C_jama.2025.7583'!$D$2:$D$4,MATCH("2025::jama.2025.7583::C001",'C_jama.2025.7583'!$A$2:$A$4,0)))</x:f>
      </x:c>
      <x:c r="T117" s="3" t="str">
        <x:f>IF(INDEX('C_jama.2025.7583'!$E$2:$E$4,MATCH("2025::jama.2025.7583::C001",'C_jama.2025.7583'!$A$2:$A$4,0))="","",INDEX('C_jama.2025.7583'!$E$2:$E$4,MATCH("2025::jama.2025.7583::C001",'C_jama.2025.7583'!$A$2:$A$4,0)))</x:f>
        <x:v>protocol_report</x:v>
      </x:c>
      <x:c r="U117" s="3" t="str">
        <x:f>IF(AND(INDEX('C_jama.2025.7583'!$D$2:$D$4,MATCH("2025::jama.2025.7583::C001",'C_jama.2025.7583'!$A$2:$A$4,0))="retain",INDEX('C_jama.2025.7583'!$E$2:$E$4,MATCH("2025::jama.2025.7583::C001",'C_jama.2025.7583'!$A$2:$A$4,0))="statistical_results"),IF(INDEX('C_jama.2025.7583'!$H$2:$H$4,MATCH("2025::jama.2025.7583::C001",'C_jama.2025.7583'!$A$2:$A$4,0))="","",INDEX('C_jama.2025.7583'!$H$2:$H$4,MATCH("2025::jama.2025.7583::C001",'C_jama.2025.7583'!$A$2:$A$4,0))),"not_applicable")</x:f>
        <x:v>not_applicable</x:v>
      </x:c>
      <x:c r="V117" s="3" t="str">
        <x:f>IF(AND(INDEX('C_jama.2025.7583'!$D$2:$D$4,MATCH("2025::jama.2025.7583::C001",'C_jama.2025.7583'!$A$2:$A$4,0))="retain",INDEX('C_jama.2025.7583'!$E$2:$E$4,MATCH("2025::jama.2025.7583::C001",'C_jama.2025.7583'!$A$2:$A$4,0))="statistical_results"),IF(INDEX('C_jama.2025.7583'!$I$2:$I$4,MATCH("2025::jama.2025.7583::C001",'C_jama.2025.7583'!$A$2:$A$4,0))="","",INDEX('C_jama.2025.7583'!$I$2:$I$4,MATCH("2025::jama.2025.7583::C001",'C_jama.2025.7583'!$A$2:$A$4,0))),"not_applicable")</x:f>
        <x:v>not_applicable</x:v>
      </x:c>
      <x:c r="W117" s="3" t="str">
        <x:f>IF(AND(INDEX('C_jama.2025.7583'!$D$2:$D$4,MATCH("2025::jama.2025.7583::C001",'C_jama.2025.7583'!$A$2:$A$4,0))="retain",INDEX('C_jama.2025.7583'!$E$2:$E$4,MATCH("2025::jama.2025.7583::C001",'C_jama.2025.7583'!$A$2:$A$4,0))="statistical_results"),IF(INDEX('C_jama.2025.7583'!$J$2:$J$4,MATCH("2025::jama.2025.7583::C001",'C_jama.2025.7583'!$A$2:$A$4,0))="","",INDEX('C_jama.2025.7583'!$J$2:$J$4,MATCH("2025::jama.2025.7583::C001",'C_jama.2025.7583'!$A$2:$A$4,0))),"not_applicable")</x:f>
        <x:v>not_applicable</x:v>
      </x:c>
      <x:c r="X117" s="3" t="str">
        <x:f>IF(AND(INDEX('C_jama.2025.7583'!$D$2:$D$4,MATCH("2025::jama.2025.7583::C001",'C_jama.2025.7583'!$A$2:$A$4,0))="retain",OR(INDEX('C_jama.2025.7583'!$E$2:$E$4,MATCH("2025::jama.2025.7583::C001",'C_jama.2025.7583'!$A$2:$A$4,0))="report_internal_inconsistency",INDEX('C_jama.2025.7583'!$E$2:$E$4,MATCH("2025::jama.2025.7583::C001",'C_jama.2025.7583'!$A$2:$A$4,0))="plan_material")),IF(INDEX('C_jama.2025.7583'!$K$2:$K$4,MATCH("2025::jama.2025.7583::C001",'C_jama.2025.7583'!$A$2:$A$4,0))="","",INDEX('C_jama.2025.7583'!$K$2:$K$4,MATCH("2025::jama.2025.7583::C001",'C_jama.2025.7583'!$A$2:$A$4,0))),"not_applicable")</x:f>
        <x:v>not_applicable</x:v>
      </x:c>
      <x:c r="Y117" s="3" t="str">
        <x:f>IF(AND(INDEX('C_jama.2025.7583'!$D$2:$D$4,MATCH("2025::jama.2025.7583::C001",'C_jama.2025.7583'!$A$2:$A$4,0))="retain",INDEX('C_jama.2025.7583'!$E$2:$E$4,MATCH("2025::jama.2025.7583::C001",'C_jama.2025.7583'!$A$2:$A$4,0))="protocol_report"),IF(INDEX('C_jama.2025.7583'!$L$2:$L$4,MATCH("2025::jama.2025.7583::C001",'C_jama.2025.7583'!$A$2:$A$4,0))="","",INDEX('C_jama.2025.7583'!$L$2:$L$4,MATCH("2025::jama.2025.7583::C001",'C_jama.2025.7583'!$A$2:$A$4,0))),"not_applicable")</x:f>
        <x:v>not_applicable</x:v>
      </x:c>
      <x:c r="Z117" s="3" t="str">
        <x:f>IF(INDEX('C_jama.2025.7583'!$R$2:$R$4,MATCH("2025::jama.2025.7583::C001",'C_jama.2025.7583'!$A$2:$A$4,0))="","",INDEX('C_jama.2025.7583'!$R$2:$R$4,MATCH("2025::jama.2025.7583::C001",'C_jama.2025.7583'!$A$2:$A$4,0)))</x:f>
      </x:c>
      <x:c r="AA117" s="3" t="str">
        <x:f>IF(INDEX('C_jama.2025.7583'!$N$2:$N$4,MATCH("2025::jama.2025.7583::C001",'C_jama.2025.7583'!$A$2:$A$4,0))="","",INDEX('C_jama.2025.7583'!$N$2:$N$4,MATCH("2025::jama.2025.7583::C001",'C_jama.2025.7583'!$A$2:$A$4,0)))</x:f>
      </x:c>
      <x:c r="AB117" s="3" t="str">
        <x:f>IF(INDEX('C_jama.2025.7583'!$O$2:$O$4,MATCH("2025::jama.2025.7583::C001",'C_jama.2025.7583'!$A$2:$A$4,0))="","",INDEX('C_jama.2025.7583'!$O$2:$O$4,MATCH("2025::jama.2025.7583::C001",'C_jama.2025.7583'!$A$2:$A$4,0)))</x:f>
      </x:c>
      <x:c r="AC117" s="3" t="str">
        <x:f>IF(INDEX('C_jama.2025.7583'!$P$2:$P$4,MATCH("2025::jama.2025.7583::C001",'C_jama.2025.7583'!$A$2:$A$4,0))="","",INDEX('C_jama.2025.7583'!$P$2:$P$4,MATCH("2025::jama.2025.7583::C001",'C_jama.2025.7583'!$A$2:$A$4,0)))</x:f>
      </x:c>
      <x:c r="AD117" s="3" t="str">
        <x:f>IF(INDEX('C_jama.2025.7583'!$Q$2:$Q$4,MATCH("2025::jama.2025.7583::C001",'C_jama.2025.7583'!$A$2:$A$4,0))="","",INDEX('C_jama.2025.7583'!$Q$2:$Q$4,MATCH("2025::jama.2025.7583::C001",'C_jama.2025.7583'!$A$2:$A$4,0)))</x:f>
      </x:c>
    </x:row>
    <x:row r="118" ht="65" customHeight="1">
      <x:c r="A118" s="6" t="n">
        <x:v>2025</x:v>
      </x:c>
      <x:c r="B118" s="6" t="str">
        <x:v>jama.2025.7583</x:v>
      </x:c>
      <x:c r="C118" s="6" t="str">
        <x:v>2025::jama.2025.7583::C002</x:v>
      </x:c>
      <x:c r="D118" s="6" t="str">
        <x:v>P_P</x:v>
      </x:c>
      <x:c r="E118" s="6" t="n">
        <x:f>Setup!$B$2</x:f>
        <x:v>0</x:v>
      </x:c>
      <x:c r="F118" s="6" t="str">
        <x:f>IF(Setup!$B$4="","",Setup!$B$4)</x:f>
      </x:c>
      <x:c r="G118" s="6" t="str">
        <x:f>IFERROR(INDEX('C_jama.2025.7583'!$G$2:$G$4,MATCH("2025::jama.2025.7583::C002",'C_jama.2025.7583'!$A$2:$A$4,0)),"CHECK KEY")</x:f>
        <x:v>CHECK REVIEWER IDs</x:v>
      </x:c>
      <x:c r="H118" s="6" t="str">
        <x:f>IF(G118&lt;&gt;"FINAL READY","",IF(S118&lt;&gt;"retain","not_eligible",IF(D118="P_R","protocol_descriptive",IF(D118="P_P","plan_descriptive",IF(AND(T118="statistical_results",OR(U118="confirmed_issue",U118="probable_issue"),V118="substantive"),"primary_temporal",IF(AND(T118="report_internal_inconsistency",X118="substantive_inconsistency"),"secondary_temporal","not_eligible"))))))</x:f>
      </x:c>
      <x:c r="I118" s="6" t="str">
        <x:v>retain</x:v>
      </x:c>
      <x:c r="J118" s="6" t="str">
        <x:v>plan_material</x:v>
      </x:c>
      <x:c r="K118" s="6" t="str">
        <x:f>IF(Setup!$B$6="primary","",IFERROR(IF(INDEX('Primary_snapshot'!$B$2:$B$132,MATCH(C118,'Primary_snapshot'!$A$2:$A$132,0))="","",INDEX('Primary_snapshot'!$B$2:$B$132,MATCH(C118,'Primary_snapshot'!$A$2:$A$132,0))),"SNAPSHOT MISSING"))</x:f>
      </x:c>
      <x:c r="L118" s="6" t="str">
        <x:f>IF(Setup!$B$6="primary","",IFERROR(IF(INDEX('Primary_snapshot'!$C$2:$C$132,MATCH(C118,'Primary_snapshot'!$A$2:$A$132,0))="","",INDEX('Primary_snapshot'!$C$2:$C$132,MATCH(C118,'Primary_snapshot'!$A$2:$A$132,0))),"SNAPSHOT MISSING"))</x:f>
      </x:c>
      <x:c r="M118" s="6" t="str">
        <x:f>IF(Setup!$B$6="primary","",IFERROR(IF(INDEX('Primary_snapshot'!$D$2:$D$132,MATCH(C118,'Primary_snapshot'!$A$2:$A$132,0))="","",INDEX('Primary_snapshot'!$D$2:$D$132,MATCH(C118,'Primary_snapshot'!$A$2:$A$132,0))),"SNAPSHOT MISSING"))</x:f>
      </x:c>
      <x:c r="N118" s="6" t="str">
        <x:f>IF(Setup!$B$6="primary","",IFERROR(IF(INDEX('Primary_snapshot'!$E$2:$E$132,MATCH(C118,'Primary_snapshot'!$A$2:$A$132,0))="","",INDEX('Primary_snapshot'!$E$2:$E$132,MATCH(C118,'Primary_snapshot'!$A$2:$A$132,0))),"SNAPSHOT MISSING"))</x:f>
      </x:c>
      <x:c r="O118" s="6" t="str">
        <x:f>IF(Setup!$B$6="primary","",IFERROR(IF(INDEX('Primary_snapshot'!$F$2:$F$132,MATCH(C118,'Primary_snapshot'!$A$2:$A$132,0))="","",INDEX('Primary_snapshot'!$F$2:$F$132,MATCH(C118,'Primary_snapshot'!$A$2:$A$132,0))),"SNAPSHOT MISSING"))</x:f>
      </x:c>
      <x:c r="P118" s="6" t="str">
        <x:f>IF(Setup!$B$6="primary","",IFERROR(IF(INDEX('Primary_snapshot'!$G$2:$G$132,MATCH(C118,'Primary_snapshot'!$A$2:$A$132,0))="","",INDEX('Primary_snapshot'!$G$2:$G$132,MATCH(C118,'Primary_snapshot'!$A$2:$A$132,0))),"SNAPSHOT MISSING"))</x:f>
      </x:c>
      <x:c r="Q118" s="6" t="str">
        <x:f>IF(Setup!$B$6="primary","",IFERROR(IF(INDEX('Primary_snapshot'!$H$2:$H$132,MATCH(C118,'Primary_snapshot'!$A$2:$A$132,0))="","",INDEX('Primary_snapshot'!$H$2:$H$132,MATCH(C118,'Primary_snapshot'!$A$2:$A$132,0))),"SNAPSHOT MISSING"))</x:f>
      </x:c>
      <x:c r="R118" s="6" t="str">
        <x:f>IF(Setup!$B$6="primary","",IFERROR(IF(INDEX('Primary_snapshot'!$I$2:$I$132,MATCH(C118,'Primary_snapshot'!$A$2:$A$132,0))="","",INDEX('Primary_snapshot'!$I$2:$I$132,MATCH(C118,'Primary_snapshot'!$A$2:$A$132,0))),"SNAPSHOT MISSING"))</x:f>
      </x:c>
      <x:c r="S118" s="6" t="str">
        <x:f>IF(INDEX('C_jama.2025.7583'!$D$2:$D$4,MATCH("2025::jama.2025.7583::C002",'C_jama.2025.7583'!$A$2:$A$4,0))="","",INDEX('C_jama.2025.7583'!$D$2:$D$4,MATCH("2025::jama.2025.7583::C002",'C_jama.2025.7583'!$A$2:$A$4,0)))</x:f>
      </x:c>
      <x:c r="T118" s="6" t="str">
        <x:f>IF(INDEX('C_jama.2025.7583'!$E$2:$E$4,MATCH("2025::jama.2025.7583::C002",'C_jama.2025.7583'!$A$2:$A$4,0))="","",INDEX('C_jama.2025.7583'!$E$2:$E$4,MATCH("2025::jama.2025.7583::C002",'C_jama.2025.7583'!$A$2:$A$4,0)))</x:f>
        <x:v>plan_material</x:v>
      </x:c>
      <x:c r="U118" s="6" t="str">
        <x:f>IF(AND(INDEX('C_jama.2025.7583'!$D$2:$D$4,MATCH("2025::jama.2025.7583::C002",'C_jama.2025.7583'!$A$2:$A$4,0))="retain",INDEX('C_jama.2025.7583'!$E$2:$E$4,MATCH("2025::jama.2025.7583::C002",'C_jama.2025.7583'!$A$2:$A$4,0))="statistical_results"),IF(INDEX('C_jama.2025.7583'!$H$2:$H$4,MATCH("2025::jama.2025.7583::C002",'C_jama.2025.7583'!$A$2:$A$4,0))="","",INDEX('C_jama.2025.7583'!$H$2:$H$4,MATCH("2025::jama.2025.7583::C002",'C_jama.2025.7583'!$A$2:$A$4,0))),"not_applicable")</x:f>
        <x:v>not_applicable</x:v>
      </x:c>
      <x:c r="V118" s="6" t="str">
        <x:f>IF(AND(INDEX('C_jama.2025.7583'!$D$2:$D$4,MATCH("2025::jama.2025.7583::C002",'C_jama.2025.7583'!$A$2:$A$4,0))="retain",INDEX('C_jama.2025.7583'!$E$2:$E$4,MATCH("2025::jama.2025.7583::C002",'C_jama.2025.7583'!$A$2:$A$4,0))="statistical_results"),IF(INDEX('C_jama.2025.7583'!$I$2:$I$4,MATCH("2025::jama.2025.7583::C002",'C_jama.2025.7583'!$A$2:$A$4,0))="","",INDEX('C_jama.2025.7583'!$I$2:$I$4,MATCH("2025::jama.2025.7583::C002",'C_jama.2025.7583'!$A$2:$A$4,0))),"not_applicable")</x:f>
        <x:v>not_applicable</x:v>
      </x:c>
      <x:c r="W118" s="6" t="str">
        <x:f>IF(AND(INDEX('C_jama.2025.7583'!$D$2:$D$4,MATCH("2025::jama.2025.7583::C002",'C_jama.2025.7583'!$A$2:$A$4,0))="retain",INDEX('C_jama.2025.7583'!$E$2:$E$4,MATCH("2025::jama.2025.7583::C002",'C_jama.2025.7583'!$A$2:$A$4,0))="statistical_results"),IF(INDEX('C_jama.2025.7583'!$J$2:$J$4,MATCH("2025::jama.2025.7583::C002",'C_jama.2025.7583'!$A$2:$A$4,0))="","",INDEX('C_jama.2025.7583'!$J$2:$J$4,MATCH("2025::jama.2025.7583::C002",'C_jama.2025.7583'!$A$2:$A$4,0))),"not_applicable")</x:f>
        <x:v>not_applicable</x:v>
      </x:c>
      <x:c r="X118" s="6" t="str">
        <x:f>IF(AND(INDEX('C_jama.2025.7583'!$D$2:$D$4,MATCH("2025::jama.2025.7583::C002",'C_jama.2025.7583'!$A$2:$A$4,0))="retain",OR(INDEX('C_jama.2025.7583'!$E$2:$E$4,MATCH("2025::jama.2025.7583::C002",'C_jama.2025.7583'!$A$2:$A$4,0))="report_internal_inconsistency",INDEX('C_jama.2025.7583'!$E$2:$E$4,MATCH("2025::jama.2025.7583::C002",'C_jama.2025.7583'!$A$2:$A$4,0))="plan_material")),IF(INDEX('C_jama.2025.7583'!$K$2:$K$4,MATCH("2025::jama.2025.7583::C002",'C_jama.2025.7583'!$A$2:$A$4,0))="","",INDEX('C_jama.2025.7583'!$K$2:$K$4,MATCH("2025::jama.2025.7583::C002",'C_jama.2025.7583'!$A$2:$A$4,0))),"not_applicable")</x:f>
        <x:v>not_applicable</x:v>
      </x:c>
      <x:c r="Y118" s="6" t="str">
        <x:f>IF(AND(INDEX('C_jama.2025.7583'!$D$2:$D$4,MATCH("2025::jama.2025.7583::C002",'C_jama.2025.7583'!$A$2:$A$4,0))="retain",INDEX('C_jama.2025.7583'!$E$2:$E$4,MATCH("2025::jama.2025.7583::C002",'C_jama.2025.7583'!$A$2:$A$4,0))="protocol_report"),IF(INDEX('C_jama.2025.7583'!$L$2:$L$4,MATCH("2025::jama.2025.7583::C002",'C_jama.2025.7583'!$A$2:$A$4,0))="","",INDEX('C_jama.2025.7583'!$L$2:$L$4,MATCH("2025::jama.2025.7583::C002",'C_jama.2025.7583'!$A$2:$A$4,0))),"not_applicable")</x:f>
        <x:v>not_applicable</x:v>
      </x:c>
      <x:c r="Z118" s="6" t="str">
        <x:f>IF(INDEX('C_jama.2025.7583'!$R$2:$R$4,MATCH("2025::jama.2025.7583::C002",'C_jama.2025.7583'!$A$2:$A$4,0))="","",INDEX('C_jama.2025.7583'!$R$2:$R$4,MATCH("2025::jama.2025.7583::C002",'C_jama.2025.7583'!$A$2:$A$4,0)))</x:f>
      </x:c>
      <x:c r="AA118" s="6" t="str">
        <x:f>IF(INDEX('C_jama.2025.7583'!$N$2:$N$4,MATCH("2025::jama.2025.7583::C002",'C_jama.2025.7583'!$A$2:$A$4,0))="","",INDEX('C_jama.2025.7583'!$N$2:$N$4,MATCH("2025::jama.2025.7583::C002",'C_jama.2025.7583'!$A$2:$A$4,0)))</x:f>
      </x:c>
      <x:c r="AB118" s="6" t="str">
        <x:f>IF(INDEX('C_jama.2025.7583'!$O$2:$O$4,MATCH("2025::jama.2025.7583::C002",'C_jama.2025.7583'!$A$2:$A$4,0))="","",INDEX('C_jama.2025.7583'!$O$2:$O$4,MATCH("2025::jama.2025.7583::C002",'C_jama.2025.7583'!$A$2:$A$4,0)))</x:f>
      </x:c>
      <x:c r="AC118" s="6" t="str">
        <x:f>IF(INDEX('C_jama.2025.7583'!$P$2:$P$4,MATCH("2025::jama.2025.7583::C002",'C_jama.2025.7583'!$A$2:$A$4,0))="","",INDEX('C_jama.2025.7583'!$P$2:$P$4,MATCH("2025::jama.2025.7583::C002",'C_jama.2025.7583'!$A$2:$A$4,0)))</x:f>
      </x:c>
      <x:c r="AD118" s="6" t="str">
        <x:f>IF(INDEX('C_jama.2025.7583'!$Q$2:$Q$4,MATCH("2025::jama.2025.7583::C002",'C_jama.2025.7583'!$A$2:$A$4,0))="","",INDEX('C_jama.2025.7583'!$Q$2:$Q$4,MATCH("2025::jama.2025.7583::C002",'C_jama.2025.7583'!$A$2:$A$4,0)))</x:f>
      </x:c>
    </x:row>
    <x:row r="119" ht="65" customHeight="1">
      <x:c r="A119" s="3" t="n">
        <x:v>2025</x:v>
      </x:c>
      <x:c r="B119" s="3" t="str">
        <x:v>jama.2025.7583</x:v>
      </x:c>
      <x:c r="C119" s="3" t="str">
        <x:v>2025::jama.2025.7583::C003</x:v>
      </x:c>
      <x:c r="D119" s="3" t="str">
        <x:v>S_W</x:v>
      </x:c>
      <x:c r="E119" s="3" t="n">
        <x:f>Setup!$B$2</x:f>
        <x:v>0</x:v>
      </x:c>
      <x:c r="F119" s="3" t="str">
        <x:f>IF(Setup!$B$4="","",Setup!$B$4)</x:f>
      </x:c>
      <x:c r="G119" s="3" t="str">
        <x:f>IFERROR(INDEX('C_jama.2025.7583'!$G$2:$G$4,MATCH("2025::jama.2025.7583::C003",'C_jama.2025.7583'!$A$2:$A$4,0)),"CHECK KEY")</x:f>
        <x:v>CHECK REVIEWER IDs</x:v>
      </x:c>
      <x:c r="H119" s="3" t="str">
        <x:f>IF(G119&lt;&gt;"FINAL READY","",IF(S119&lt;&gt;"retain","not_eligible",IF(D119="P_R","protocol_descriptive",IF(D119="P_P","plan_descriptive",IF(AND(T119="statistical_results",OR(U119="confirmed_issue",U119="probable_issue"),V119="substantive"),"primary_temporal",IF(AND(T119="report_internal_inconsistency",X119="substantive_inconsistency"),"secondary_temporal","not_eligible"))))))</x:f>
      </x:c>
      <x:c r="I119" s="3" t="str">
        <x:v>retain</x:v>
      </x:c>
      <x:c r="J119" s="3" t="str">
        <x:v>statistical_results</x:v>
      </x:c>
      <x:c r="K119" s="3" t="str">
        <x:f>IF(Setup!$B$6="primary","",IFERROR(IF(INDEX('Primary_snapshot'!$B$2:$B$132,MATCH(C119,'Primary_snapshot'!$A$2:$A$132,0))="","",INDEX('Primary_snapshot'!$B$2:$B$132,MATCH(C119,'Primary_snapshot'!$A$2:$A$132,0))),"SNAPSHOT MISSING"))</x:f>
      </x:c>
      <x:c r="L119" s="3" t="str">
        <x:f>IF(Setup!$B$6="primary","",IFERROR(IF(INDEX('Primary_snapshot'!$C$2:$C$132,MATCH(C119,'Primary_snapshot'!$A$2:$A$132,0))="","",INDEX('Primary_snapshot'!$C$2:$C$132,MATCH(C119,'Primary_snapshot'!$A$2:$A$132,0))),"SNAPSHOT MISSING"))</x:f>
      </x:c>
      <x:c r="M119" s="3" t="str">
        <x:f>IF(Setup!$B$6="primary","",IFERROR(IF(INDEX('Primary_snapshot'!$D$2:$D$132,MATCH(C119,'Primary_snapshot'!$A$2:$A$132,0))="","",INDEX('Primary_snapshot'!$D$2:$D$132,MATCH(C119,'Primary_snapshot'!$A$2:$A$132,0))),"SNAPSHOT MISSING"))</x:f>
      </x:c>
      <x:c r="N119" s="3" t="str">
        <x:f>IF(Setup!$B$6="primary","",IFERROR(IF(INDEX('Primary_snapshot'!$E$2:$E$132,MATCH(C119,'Primary_snapshot'!$A$2:$A$132,0))="","",INDEX('Primary_snapshot'!$E$2:$E$132,MATCH(C119,'Primary_snapshot'!$A$2:$A$132,0))),"SNAPSHOT MISSING"))</x:f>
      </x:c>
      <x:c r="O119" s="3" t="str">
        <x:f>IF(Setup!$B$6="primary","",IFERROR(IF(INDEX('Primary_snapshot'!$F$2:$F$132,MATCH(C119,'Primary_snapshot'!$A$2:$A$132,0))="","",INDEX('Primary_snapshot'!$F$2:$F$132,MATCH(C119,'Primary_snapshot'!$A$2:$A$132,0))),"SNAPSHOT MISSING"))</x:f>
      </x:c>
      <x:c r="P119" s="3" t="str">
        <x:f>IF(Setup!$B$6="primary","",IFERROR(IF(INDEX('Primary_snapshot'!$G$2:$G$132,MATCH(C119,'Primary_snapshot'!$A$2:$A$132,0))="","",INDEX('Primary_snapshot'!$G$2:$G$132,MATCH(C119,'Primary_snapshot'!$A$2:$A$132,0))),"SNAPSHOT MISSING"))</x:f>
      </x:c>
      <x:c r="Q119" s="3" t="str">
        <x:f>IF(Setup!$B$6="primary","",IFERROR(IF(INDEX('Primary_snapshot'!$H$2:$H$132,MATCH(C119,'Primary_snapshot'!$A$2:$A$132,0))="","",INDEX('Primary_snapshot'!$H$2:$H$132,MATCH(C119,'Primary_snapshot'!$A$2:$A$132,0))),"SNAPSHOT MISSING"))</x:f>
      </x:c>
      <x:c r="R119" s="3" t="str">
        <x:f>IF(Setup!$B$6="primary","",IFERROR(IF(INDEX('Primary_snapshot'!$I$2:$I$132,MATCH(C119,'Primary_snapshot'!$A$2:$A$132,0))="","",INDEX('Primary_snapshot'!$I$2:$I$132,MATCH(C119,'Primary_snapshot'!$A$2:$A$132,0))),"SNAPSHOT MISSING"))</x:f>
      </x:c>
      <x:c r="S119" s="3" t="str">
        <x:f>IF(INDEX('C_jama.2025.7583'!$D$2:$D$4,MATCH("2025::jama.2025.7583::C003",'C_jama.2025.7583'!$A$2:$A$4,0))="","",INDEX('C_jama.2025.7583'!$D$2:$D$4,MATCH("2025::jama.2025.7583::C003",'C_jama.2025.7583'!$A$2:$A$4,0)))</x:f>
      </x:c>
      <x:c r="T119" s="3" t="str">
        <x:f>IF(INDEX('C_jama.2025.7583'!$E$2:$E$4,MATCH("2025::jama.2025.7583::C003",'C_jama.2025.7583'!$A$2:$A$4,0))="","",INDEX('C_jama.2025.7583'!$E$2:$E$4,MATCH("2025::jama.2025.7583::C003",'C_jama.2025.7583'!$A$2:$A$4,0)))</x:f>
        <x:v>statistical_results</x:v>
      </x:c>
      <x:c r="U119" s="3" t="str">
        <x:f>IF(AND(INDEX('C_jama.2025.7583'!$D$2:$D$4,MATCH("2025::jama.2025.7583::C003",'C_jama.2025.7583'!$A$2:$A$4,0))="retain",INDEX('C_jama.2025.7583'!$E$2:$E$4,MATCH("2025::jama.2025.7583::C003",'C_jama.2025.7583'!$A$2:$A$4,0))="statistical_results"),IF(INDEX('C_jama.2025.7583'!$H$2:$H$4,MATCH("2025::jama.2025.7583::C003",'C_jama.2025.7583'!$A$2:$A$4,0))="","",INDEX('C_jama.2025.7583'!$H$2:$H$4,MATCH("2025::jama.2025.7583::C003",'C_jama.2025.7583'!$A$2:$A$4,0))),"not_applicable")</x:f>
        <x:v>not_applicable</x:v>
      </x:c>
      <x:c r="V119" s="3" t="str">
        <x:f>IF(AND(INDEX('C_jama.2025.7583'!$D$2:$D$4,MATCH("2025::jama.2025.7583::C003",'C_jama.2025.7583'!$A$2:$A$4,0))="retain",INDEX('C_jama.2025.7583'!$E$2:$E$4,MATCH("2025::jama.2025.7583::C003",'C_jama.2025.7583'!$A$2:$A$4,0))="statistical_results"),IF(INDEX('C_jama.2025.7583'!$I$2:$I$4,MATCH("2025::jama.2025.7583::C003",'C_jama.2025.7583'!$A$2:$A$4,0))="","",INDEX('C_jama.2025.7583'!$I$2:$I$4,MATCH("2025::jama.2025.7583::C003",'C_jama.2025.7583'!$A$2:$A$4,0))),"not_applicable")</x:f>
        <x:v>not_applicable</x:v>
      </x:c>
      <x:c r="W119" s="3" t="str">
        <x:f>IF(AND(INDEX('C_jama.2025.7583'!$D$2:$D$4,MATCH("2025::jama.2025.7583::C003",'C_jama.2025.7583'!$A$2:$A$4,0))="retain",INDEX('C_jama.2025.7583'!$E$2:$E$4,MATCH("2025::jama.2025.7583::C003",'C_jama.2025.7583'!$A$2:$A$4,0))="statistical_results"),IF(INDEX('C_jama.2025.7583'!$J$2:$J$4,MATCH("2025::jama.2025.7583::C003",'C_jama.2025.7583'!$A$2:$A$4,0))="","",INDEX('C_jama.2025.7583'!$J$2:$J$4,MATCH("2025::jama.2025.7583::C003",'C_jama.2025.7583'!$A$2:$A$4,0))),"not_applicable")</x:f>
        <x:v>not_applicable</x:v>
      </x:c>
      <x:c r="X119" s="3" t="str">
        <x:f>IF(AND(INDEX('C_jama.2025.7583'!$D$2:$D$4,MATCH("2025::jama.2025.7583::C003",'C_jama.2025.7583'!$A$2:$A$4,0))="retain",OR(INDEX('C_jama.2025.7583'!$E$2:$E$4,MATCH("2025::jama.2025.7583::C003",'C_jama.2025.7583'!$A$2:$A$4,0))="report_internal_inconsistency",INDEX('C_jama.2025.7583'!$E$2:$E$4,MATCH("2025::jama.2025.7583::C003",'C_jama.2025.7583'!$A$2:$A$4,0))="plan_material")),IF(INDEX('C_jama.2025.7583'!$K$2:$K$4,MATCH("2025::jama.2025.7583::C003",'C_jama.2025.7583'!$A$2:$A$4,0))="","",INDEX('C_jama.2025.7583'!$K$2:$K$4,MATCH("2025::jama.2025.7583::C003",'C_jama.2025.7583'!$A$2:$A$4,0))),"not_applicable")</x:f>
        <x:v>not_applicable</x:v>
      </x:c>
      <x:c r="Y119" s="3" t="str">
        <x:f>IF(AND(INDEX('C_jama.2025.7583'!$D$2:$D$4,MATCH("2025::jama.2025.7583::C003",'C_jama.2025.7583'!$A$2:$A$4,0))="retain",INDEX('C_jama.2025.7583'!$E$2:$E$4,MATCH("2025::jama.2025.7583::C003",'C_jama.2025.7583'!$A$2:$A$4,0))="protocol_report"),IF(INDEX('C_jama.2025.7583'!$L$2:$L$4,MATCH("2025::jama.2025.7583::C003",'C_jama.2025.7583'!$A$2:$A$4,0))="","",INDEX('C_jama.2025.7583'!$L$2:$L$4,MATCH("2025::jama.2025.7583::C003",'C_jama.2025.7583'!$A$2:$A$4,0))),"not_applicable")</x:f>
        <x:v>not_applicable</x:v>
      </x:c>
      <x:c r="Z119" s="3" t="str">
        <x:f>IF(INDEX('C_jama.2025.7583'!$R$2:$R$4,MATCH("2025::jama.2025.7583::C003",'C_jama.2025.7583'!$A$2:$A$4,0))="","",INDEX('C_jama.2025.7583'!$R$2:$R$4,MATCH("2025::jama.2025.7583::C003",'C_jama.2025.7583'!$A$2:$A$4,0)))</x:f>
      </x:c>
      <x:c r="AA119" s="3" t="str">
        <x:f>IF(INDEX('C_jama.2025.7583'!$N$2:$N$4,MATCH("2025::jama.2025.7583::C003",'C_jama.2025.7583'!$A$2:$A$4,0))="","",INDEX('C_jama.2025.7583'!$N$2:$N$4,MATCH("2025::jama.2025.7583::C003",'C_jama.2025.7583'!$A$2:$A$4,0)))</x:f>
      </x:c>
      <x:c r="AB119" s="3" t="str">
        <x:f>IF(INDEX('C_jama.2025.7583'!$O$2:$O$4,MATCH("2025::jama.2025.7583::C003",'C_jama.2025.7583'!$A$2:$A$4,0))="","",INDEX('C_jama.2025.7583'!$O$2:$O$4,MATCH("2025::jama.2025.7583::C003",'C_jama.2025.7583'!$A$2:$A$4,0)))</x:f>
      </x:c>
      <x:c r="AC119" s="3" t="str">
        <x:f>IF(INDEX('C_jama.2025.7583'!$P$2:$P$4,MATCH("2025::jama.2025.7583::C003",'C_jama.2025.7583'!$A$2:$A$4,0))="","",INDEX('C_jama.2025.7583'!$P$2:$P$4,MATCH("2025::jama.2025.7583::C003",'C_jama.2025.7583'!$A$2:$A$4,0)))</x:f>
      </x:c>
      <x:c r="AD119" s="3" t="str">
        <x:f>IF(INDEX('C_jama.2025.7583'!$Q$2:$Q$4,MATCH("2025::jama.2025.7583::C003",'C_jama.2025.7583'!$A$2:$A$4,0))="","",INDEX('C_jama.2025.7583'!$Q$2:$Q$4,MATCH("2025::jama.2025.7583::C003",'C_jama.2025.7583'!$A$2:$A$4,0)))</x:f>
      </x:c>
    </x:row>
    <x:row r="120" ht="65" customHeight="1">
      <x:c r="A120" s="6" t="n">
        <x:v>2025</x:v>
      </x:c>
      <x:c r="B120" s="6" t="str">
        <x:v>jama.2025.7710</x:v>
      </x:c>
      <x:c r="C120" s="6" t="str">
        <x:v>2025::jama.2025.7710::C001</x:v>
      </x:c>
      <x:c r="D120" s="6" t="str">
        <x:v>P_P</x:v>
      </x:c>
      <x:c r="E120" s="6" t="n">
        <x:f>Setup!$B$2</x:f>
        <x:v>0</x:v>
      </x:c>
      <x:c r="F120" s="6" t="str">
        <x:f>IF(Setup!$B$4="","",Setup!$B$4)</x:f>
      </x:c>
      <x:c r="G120" s="6" t="str">
        <x:f>IFERROR(INDEX('C_jama.2025.7710'!$G$2:$G$5,MATCH("2025::jama.2025.7710::C001",'C_jama.2025.7710'!$A$2:$A$5,0)),"CHECK KEY")</x:f>
        <x:v>CHECK REVIEWER IDs</x:v>
      </x:c>
      <x:c r="H120" s="6" t="str">
        <x:f>IF(G120&lt;&gt;"FINAL READY","",IF(S120&lt;&gt;"retain","not_eligible",IF(D120="P_R","protocol_descriptive",IF(D120="P_P","plan_descriptive",IF(AND(T120="statistical_results",OR(U120="confirmed_issue",U120="probable_issue"),V120="substantive"),"primary_temporal",IF(AND(T120="report_internal_inconsistency",X120="substantive_inconsistency"),"secondary_temporal","not_eligible"))))))</x:f>
      </x:c>
      <x:c r="I120" s="6" t="str">
        <x:v>retain</x:v>
      </x:c>
      <x:c r="J120" s="6" t="str">
        <x:v>plan_material</x:v>
      </x:c>
      <x:c r="K120" s="6" t="str">
        <x:f>IF(Setup!$B$6="primary","",IFERROR(IF(INDEX('Primary_snapshot'!$B$2:$B$132,MATCH(C120,'Primary_snapshot'!$A$2:$A$132,0))="","",INDEX('Primary_snapshot'!$B$2:$B$132,MATCH(C120,'Primary_snapshot'!$A$2:$A$132,0))),"SNAPSHOT MISSING"))</x:f>
      </x:c>
      <x:c r="L120" s="6" t="str">
        <x:f>IF(Setup!$B$6="primary","",IFERROR(IF(INDEX('Primary_snapshot'!$C$2:$C$132,MATCH(C120,'Primary_snapshot'!$A$2:$A$132,0))="","",INDEX('Primary_snapshot'!$C$2:$C$132,MATCH(C120,'Primary_snapshot'!$A$2:$A$132,0))),"SNAPSHOT MISSING"))</x:f>
      </x:c>
      <x:c r="M120" s="6" t="str">
        <x:f>IF(Setup!$B$6="primary","",IFERROR(IF(INDEX('Primary_snapshot'!$D$2:$D$132,MATCH(C120,'Primary_snapshot'!$A$2:$A$132,0))="","",INDEX('Primary_snapshot'!$D$2:$D$132,MATCH(C120,'Primary_snapshot'!$A$2:$A$132,0))),"SNAPSHOT MISSING"))</x:f>
      </x:c>
      <x:c r="N120" s="6" t="str">
        <x:f>IF(Setup!$B$6="primary","",IFERROR(IF(INDEX('Primary_snapshot'!$E$2:$E$132,MATCH(C120,'Primary_snapshot'!$A$2:$A$132,0))="","",INDEX('Primary_snapshot'!$E$2:$E$132,MATCH(C120,'Primary_snapshot'!$A$2:$A$132,0))),"SNAPSHOT MISSING"))</x:f>
      </x:c>
      <x:c r="O120" s="6" t="str">
        <x:f>IF(Setup!$B$6="primary","",IFERROR(IF(INDEX('Primary_snapshot'!$F$2:$F$132,MATCH(C120,'Primary_snapshot'!$A$2:$A$132,0))="","",INDEX('Primary_snapshot'!$F$2:$F$132,MATCH(C120,'Primary_snapshot'!$A$2:$A$132,0))),"SNAPSHOT MISSING"))</x:f>
      </x:c>
      <x:c r="P120" s="6" t="str">
        <x:f>IF(Setup!$B$6="primary","",IFERROR(IF(INDEX('Primary_snapshot'!$G$2:$G$132,MATCH(C120,'Primary_snapshot'!$A$2:$A$132,0))="","",INDEX('Primary_snapshot'!$G$2:$G$132,MATCH(C120,'Primary_snapshot'!$A$2:$A$132,0))),"SNAPSHOT MISSING"))</x:f>
      </x:c>
      <x:c r="Q120" s="6" t="str">
        <x:f>IF(Setup!$B$6="primary","",IFERROR(IF(INDEX('Primary_snapshot'!$H$2:$H$132,MATCH(C120,'Primary_snapshot'!$A$2:$A$132,0))="","",INDEX('Primary_snapshot'!$H$2:$H$132,MATCH(C120,'Primary_snapshot'!$A$2:$A$132,0))),"SNAPSHOT MISSING"))</x:f>
      </x:c>
      <x:c r="R120" s="6" t="str">
        <x:f>IF(Setup!$B$6="primary","",IFERROR(IF(INDEX('Primary_snapshot'!$I$2:$I$132,MATCH(C120,'Primary_snapshot'!$A$2:$A$132,0))="","",INDEX('Primary_snapshot'!$I$2:$I$132,MATCH(C120,'Primary_snapshot'!$A$2:$A$132,0))),"SNAPSHOT MISSING"))</x:f>
      </x:c>
      <x:c r="S120" s="6" t="str">
        <x:f>IF(INDEX('C_jama.2025.7710'!$D$2:$D$5,MATCH("2025::jama.2025.7710::C001",'C_jama.2025.7710'!$A$2:$A$5,0))="","",INDEX('C_jama.2025.7710'!$D$2:$D$5,MATCH("2025::jama.2025.7710::C001",'C_jama.2025.7710'!$A$2:$A$5,0)))</x:f>
      </x:c>
      <x:c r="T120" s="6" t="str">
        <x:f>IF(INDEX('C_jama.2025.7710'!$E$2:$E$5,MATCH("2025::jama.2025.7710::C001",'C_jama.2025.7710'!$A$2:$A$5,0))="","",INDEX('C_jama.2025.7710'!$E$2:$E$5,MATCH("2025::jama.2025.7710::C001",'C_jama.2025.7710'!$A$2:$A$5,0)))</x:f>
        <x:v>plan_material</x:v>
      </x:c>
      <x:c r="U120" s="6" t="str">
        <x:f>IF(AND(INDEX('C_jama.2025.7710'!$D$2:$D$5,MATCH("2025::jama.2025.7710::C001",'C_jama.2025.7710'!$A$2:$A$5,0))="retain",INDEX('C_jama.2025.7710'!$E$2:$E$5,MATCH("2025::jama.2025.7710::C001",'C_jama.2025.7710'!$A$2:$A$5,0))="statistical_results"),IF(INDEX('C_jama.2025.7710'!$H$2:$H$5,MATCH("2025::jama.2025.7710::C001",'C_jama.2025.7710'!$A$2:$A$5,0))="","",INDEX('C_jama.2025.7710'!$H$2:$H$5,MATCH("2025::jama.2025.7710::C001",'C_jama.2025.7710'!$A$2:$A$5,0))),"not_applicable")</x:f>
        <x:v>not_applicable</x:v>
      </x:c>
      <x:c r="V120" s="6" t="str">
        <x:f>IF(AND(INDEX('C_jama.2025.7710'!$D$2:$D$5,MATCH("2025::jama.2025.7710::C001",'C_jama.2025.7710'!$A$2:$A$5,0))="retain",INDEX('C_jama.2025.7710'!$E$2:$E$5,MATCH("2025::jama.2025.7710::C001",'C_jama.2025.7710'!$A$2:$A$5,0))="statistical_results"),IF(INDEX('C_jama.2025.7710'!$I$2:$I$5,MATCH("2025::jama.2025.7710::C001",'C_jama.2025.7710'!$A$2:$A$5,0))="","",INDEX('C_jama.2025.7710'!$I$2:$I$5,MATCH("2025::jama.2025.7710::C001",'C_jama.2025.7710'!$A$2:$A$5,0))),"not_applicable")</x:f>
        <x:v>not_applicable</x:v>
      </x:c>
      <x:c r="W120" s="6" t="str">
        <x:f>IF(AND(INDEX('C_jama.2025.7710'!$D$2:$D$5,MATCH("2025::jama.2025.7710::C001",'C_jama.2025.7710'!$A$2:$A$5,0))="retain",INDEX('C_jama.2025.7710'!$E$2:$E$5,MATCH("2025::jama.2025.7710::C001",'C_jama.2025.7710'!$A$2:$A$5,0))="statistical_results"),IF(INDEX('C_jama.2025.7710'!$J$2:$J$5,MATCH("2025::jama.2025.7710::C001",'C_jama.2025.7710'!$A$2:$A$5,0))="","",INDEX('C_jama.2025.7710'!$J$2:$J$5,MATCH("2025::jama.2025.7710::C001",'C_jama.2025.7710'!$A$2:$A$5,0))),"not_applicable")</x:f>
        <x:v>not_applicable</x:v>
      </x:c>
      <x:c r="X120" s="6" t="str">
        <x:f>IF(AND(INDEX('C_jama.2025.7710'!$D$2:$D$5,MATCH("2025::jama.2025.7710::C001",'C_jama.2025.7710'!$A$2:$A$5,0))="retain",OR(INDEX('C_jama.2025.7710'!$E$2:$E$5,MATCH("2025::jama.2025.7710::C001",'C_jama.2025.7710'!$A$2:$A$5,0))="report_internal_inconsistency",INDEX('C_jama.2025.7710'!$E$2:$E$5,MATCH("2025::jama.2025.7710::C001",'C_jama.2025.7710'!$A$2:$A$5,0))="plan_material")),IF(INDEX('C_jama.2025.7710'!$K$2:$K$5,MATCH("2025::jama.2025.7710::C001",'C_jama.2025.7710'!$A$2:$A$5,0))="","",INDEX('C_jama.2025.7710'!$K$2:$K$5,MATCH("2025::jama.2025.7710::C001",'C_jama.2025.7710'!$A$2:$A$5,0))),"not_applicable")</x:f>
        <x:v>not_applicable</x:v>
      </x:c>
      <x:c r="Y120" s="6" t="str">
        <x:f>IF(AND(INDEX('C_jama.2025.7710'!$D$2:$D$5,MATCH("2025::jama.2025.7710::C001",'C_jama.2025.7710'!$A$2:$A$5,0))="retain",INDEX('C_jama.2025.7710'!$E$2:$E$5,MATCH("2025::jama.2025.7710::C001",'C_jama.2025.7710'!$A$2:$A$5,0))="protocol_report"),IF(INDEX('C_jama.2025.7710'!$L$2:$L$5,MATCH("2025::jama.2025.7710::C001",'C_jama.2025.7710'!$A$2:$A$5,0))="","",INDEX('C_jama.2025.7710'!$L$2:$L$5,MATCH("2025::jama.2025.7710::C001",'C_jama.2025.7710'!$A$2:$A$5,0))),"not_applicable")</x:f>
        <x:v>not_applicable</x:v>
      </x:c>
      <x:c r="Z120" s="6" t="str">
        <x:f>IF(INDEX('C_jama.2025.7710'!$R$2:$R$5,MATCH("2025::jama.2025.7710::C001",'C_jama.2025.7710'!$A$2:$A$5,0))="","",INDEX('C_jama.2025.7710'!$R$2:$R$5,MATCH("2025::jama.2025.7710::C001",'C_jama.2025.7710'!$A$2:$A$5,0)))</x:f>
      </x:c>
      <x:c r="AA120" s="6" t="str">
        <x:f>IF(INDEX('C_jama.2025.7710'!$N$2:$N$5,MATCH("2025::jama.2025.7710::C001",'C_jama.2025.7710'!$A$2:$A$5,0))="","",INDEX('C_jama.2025.7710'!$N$2:$N$5,MATCH("2025::jama.2025.7710::C001",'C_jama.2025.7710'!$A$2:$A$5,0)))</x:f>
      </x:c>
      <x:c r="AB120" s="6" t="str">
        <x:f>IF(INDEX('C_jama.2025.7710'!$O$2:$O$5,MATCH("2025::jama.2025.7710::C001",'C_jama.2025.7710'!$A$2:$A$5,0))="","",INDEX('C_jama.2025.7710'!$O$2:$O$5,MATCH("2025::jama.2025.7710::C001",'C_jama.2025.7710'!$A$2:$A$5,0)))</x:f>
      </x:c>
      <x:c r="AC120" s="6" t="str">
        <x:f>IF(INDEX('C_jama.2025.7710'!$P$2:$P$5,MATCH("2025::jama.2025.7710::C001",'C_jama.2025.7710'!$A$2:$A$5,0))="","",INDEX('C_jama.2025.7710'!$P$2:$P$5,MATCH("2025::jama.2025.7710::C001",'C_jama.2025.7710'!$A$2:$A$5,0)))</x:f>
      </x:c>
      <x:c r="AD120" s="6" t="str">
        <x:f>IF(INDEX('C_jama.2025.7710'!$Q$2:$Q$5,MATCH("2025::jama.2025.7710::C001",'C_jama.2025.7710'!$A$2:$A$5,0))="","",INDEX('C_jama.2025.7710'!$Q$2:$Q$5,MATCH("2025::jama.2025.7710::C001",'C_jama.2025.7710'!$A$2:$A$5,0)))</x:f>
      </x:c>
    </x:row>
    <x:row r="121" ht="65" customHeight="1">
      <x:c r="A121" s="3" t="n">
        <x:v>2025</x:v>
      </x:c>
      <x:c r="B121" s="3" t="str">
        <x:v>jama.2025.7710</x:v>
      </x:c>
      <x:c r="C121" s="3" t="str">
        <x:v>2025::jama.2025.7710::C002</x:v>
      </x:c>
      <x:c r="D121" s="3" t="str">
        <x:v>P_P</x:v>
      </x:c>
      <x:c r="E121" s="3" t="n">
        <x:f>Setup!$B$2</x:f>
        <x:v>0</x:v>
      </x:c>
      <x:c r="F121" s="3" t="str">
        <x:f>IF(Setup!$B$4="","",Setup!$B$4)</x:f>
      </x:c>
      <x:c r="G121" s="3" t="str">
        <x:f>IFERROR(INDEX('C_jama.2025.7710'!$G$2:$G$5,MATCH("2025::jama.2025.7710::C002",'C_jama.2025.7710'!$A$2:$A$5,0)),"CHECK KEY")</x:f>
        <x:v>CHECK REVIEWER IDs</x:v>
      </x:c>
      <x:c r="H121" s="3" t="str">
        <x:f>IF(G121&lt;&gt;"FINAL READY","",IF(S121&lt;&gt;"retain","not_eligible",IF(D121="P_R","protocol_descriptive",IF(D121="P_P","plan_descriptive",IF(AND(T121="statistical_results",OR(U121="confirmed_issue",U121="probable_issue"),V121="substantive"),"primary_temporal",IF(AND(T121="report_internal_inconsistency",X121="substantive_inconsistency"),"secondary_temporal","not_eligible"))))))</x:f>
      </x:c>
      <x:c r="I121" s="3" t="str">
        <x:v>retain</x:v>
      </x:c>
      <x:c r="J121" s="3" t="str">
        <x:v>plan_material</x:v>
      </x:c>
      <x:c r="K121" s="3" t="str">
        <x:f>IF(Setup!$B$6="primary","",IFERROR(IF(INDEX('Primary_snapshot'!$B$2:$B$132,MATCH(C121,'Primary_snapshot'!$A$2:$A$132,0))="","",INDEX('Primary_snapshot'!$B$2:$B$132,MATCH(C121,'Primary_snapshot'!$A$2:$A$132,0))),"SNAPSHOT MISSING"))</x:f>
      </x:c>
      <x:c r="L121" s="3" t="str">
        <x:f>IF(Setup!$B$6="primary","",IFERROR(IF(INDEX('Primary_snapshot'!$C$2:$C$132,MATCH(C121,'Primary_snapshot'!$A$2:$A$132,0))="","",INDEX('Primary_snapshot'!$C$2:$C$132,MATCH(C121,'Primary_snapshot'!$A$2:$A$132,0))),"SNAPSHOT MISSING"))</x:f>
      </x:c>
      <x:c r="M121" s="3" t="str">
        <x:f>IF(Setup!$B$6="primary","",IFERROR(IF(INDEX('Primary_snapshot'!$D$2:$D$132,MATCH(C121,'Primary_snapshot'!$A$2:$A$132,0))="","",INDEX('Primary_snapshot'!$D$2:$D$132,MATCH(C121,'Primary_snapshot'!$A$2:$A$132,0))),"SNAPSHOT MISSING"))</x:f>
      </x:c>
      <x:c r="N121" s="3" t="str">
        <x:f>IF(Setup!$B$6="primary","",IFERROR(IF(INDEX('Primary_snapshot'!$E$2:$E$132,MATCH(C121,'Primary_snapshot'!$A$2:$A$132,0))="","",INDEX('Primary_snapshot'!$E$2:$E$132,MATCH(C121,'Primary_snapshot'!$A$2:$A$132,0))),"SNAPSHOT MISSING"))</x:f>
      </x:c>
      <x:c r="O121" s="3" t="str">
        <x:f>IF(Setup!$B$6="primary","",IFERROR(IF(INDEX('Primary_snapshot'!$F$2:$F$132,MATCH(C121,'Primary_snapshot'!$A$2:$A$132,0))="","",INDEX('Primary_snapshot'!$F$2:$F$132,MATCH(C121,'Primary_snapshot'!$A$2:$A$132,0))),"SNAPSHOT MISSING"))</x:f>
      </x:c>
      <x:c r="P121" s="3" t="str">
        <x:f>IF(Setup!$B$6="primary","",IFERROR(IF(INDEX('Primary_snapshot'!$G$2:$G$132,MATCH(C121,'Primary_snapshot'!$A$2:$A$132,0))="","",INDEX('Primary_snapshot'!$G$2:$G$132,MATCH(C121,'Primary_snapshot'!$A$2:$A$132,0))),"SNAPSHOT MISSING"))</x:f>
      </x:c>
      <x:c r="Q121" s="3" t="str">
        <x:f>IF(Setup!$B$6="primary","",IFERROR(IF(INDEX('Primary_snapshot'!$H$2:$H$132,MATCH(C121,'Primary_snapshot'!$A$2:$A$132,0))="","",INDEX('Primary_snapshot'!$H$2:$H$132,MATCH(C121,'Primary_snapshot'!$A$2:$A$132,0))),"SNAPSHOT MISSING"))</x:f>
      </x:c>
      <x:c r="R121" s="3" t="str">
        <x:f>IF(Setup!$B$6="primary","",IFERROR(IF(INDEX('Primary_snapshot'!$I$2:$I$132,MATCH(C121,'Primary_snapshot'!$A$2:$A$132,0))="","",INDEX('Primary_snapshot'!$I$2:$I$132,MATCH(C121,'Primary_snapshot'!$A$2:$A$132,0))),"SNAPSHOT MISSING"))</x:f>
      </x:c>
      <x:c r="S121" s="3" t="str">
        <x:f>IF(INDEX('C_jama.2025.7710'!$D$2:$D$5,MATCH("2025::jama.2025.7710::C002",'C_jama.2025.7710'!$A$2:$A$5,0))="","",INDEX('C_jama.2025.7710'!$D$2:$D$5,MATCH("2025::jama.2025.7710::C002",'C_jama.2025.7710'!$A$2:$A$5,0)))</x:f>
      </x:c>
      <x:c r="T121" s="3" t="str">
        <x:f>IF(INDEX('C_jama.2025.7710'!$E$2:$E$5,MATCH("2025::jama.2025.7710::C002",'C_jama.2025.7710'!$A$2:$A$5,0))="","",INDEX('C_jama.2025.7710'!$E$2:$E$5,MATCH("2025::jama.2025.7710::C002",'C_jama.2025.7710'!$A$2:$A$5,0)))</x:f>
        <x:v>plan_material</x:v>
      </x:c>
      <x:c r="U121" s="3" t="str">
        <x:f>IF(AND(INDEX('C_jama.2025.7710'!$D$2:$D$5,MATCH("2025::jama.2025.7710::C002",'C_jama.2025.7710'!$A$2:$A$5,0))="retain",INDEX('C_jama.2025.7710'!$E$2:$E$5,MATCH("2025::jama.2025.7710::C002",'C_jama.2025.7710'!$A$2:$A$5,0))="statistical_results"),IF(INDEX('C_jama.2025.7710'!$H$2:$H$5,MATCH("2025::jama.2025.7710::C002",'C_jama.2025.7710'!$A$2:$A$5,0))="","",INDEX('C_jama.2025.7710'!$H$2:$H$5,MATCH("2025::jama.2025.7710::C002",'C_jama.2025.7710'!$A$2:$A$5,0))),"not_applicable")</x:f>
        <x:v>not_applicable</x:v>
      </x:c>
      <x:c r="V121" s="3" t="str">
        <x:f>IF(AND(INDEX('C_jama.2025.7710'!$D$2:$D$5,MATCH("2025::jama.2025.7710::C002",'C_jama.2025.7710'!$A$2:$A$5,0))="retain",INDEX('C_jama.2025.7710'!$E$2:$E$5,MATCH("2025::jama.2025.7710::C002",'C_jama.2025.7710'!$A$2:$A$5,0))="statistical_results"),IF(INDEX('C_jama.2025.7710'!$I$2:$I$5,MATCH("2025::jama.2025.7710::C002",'C_jama.2025.7710'!$A$2:$A$5,0))="","",INDEX('C_jama.2025.7710'!$I$2:$I$5,MATCH("2025::jama.2025.7710::C002",'C_jama.2025.7710'!$A$2:$A$5,0))),"not_applicable")</x:f>
        <x:v>not_applicable</x:v>
      </x:c>
      <x:c r="W121" s="3" t="str">
        <x:f>IF(AND(INDEX('C_jama.2025.7710'!$D$2:$D$5,MATCH("2025::jama.2025.7710::C002",'C_jama.2025.7710'!$A$2:$A$5,0))="retain",INDEX('C_jama.2025.7710'!$E$2:$E$5,MATCH("2025::jama.2025.7710::C002",'C_jama.2025.7710'!$A$2:$A$5,0))="statistical_results"),IF(INDEX('C_jama.2025.7710'!$J$2:$J$5,MATCH("2025::jama.2025.7710::C002",'C_jama.2025.7710'!$A$2:$A$5,0))="","",INDEX('C_jama.2025.7710'!$J$2:$J$5,MATCH("2025::jama.2025.7710::C002",'C_jama.2025.7710'!$A$2:$A$5,0))),"not_applicable")</x:f>
        <x:v>not_applicable</x:v>
      </x:c>
      <x:c r="X121" s="3" t="str">
        <x:f>IF(AND(INDEX('C_jama.2025.7710'!$D$2:$D$5,MATCH("2025::jama.2025.7710::C002",'C_jama.2025.7710'!$A$2:$A$5,0))="retain",OR(INDEX('C_jama.2025.7710'!$E$2:$E$5,MATCH("2025::jama.2025.7710::C002",'C_jama.2025.7710'!$A$2:$A$5,0))="report_internal_inconsistency",INDEX('C_jama.2025.7710'!$E$2:$E$5,MATCH("2025::jama.2025.7710::C002",'C_jama.2025.7710'!$A$2:$A$5,0))="plan_material")),IF(INDEX('C_jama.2025.7710'!$K$2:$K$5,MATCH("2025::jama.2025.7710::C002",'C_jama.2025.7710'!$A$2:$A$5,0))="","",INDEX('C_jama.2025.7710'!$K$2:$K$5,MATCH("2025::jama.2025.7710::C002",'C_jama.2025.7710'!$A$2:$A$5,0))),"not_applicable")</x:f>
        <x:v>not_applicable</x:v>
      </x:c>
      <x:c r="Y121" s="3" t="str">
        <x:f>IF(AND(INDEX('C_jama.2025.7710'!$D$2:$D$5,MATCH("2025::jama.2025.7710::C002",'C_jama.2025.7710'!$A$2:$A$5,0))="retain",INDEX('C_jama.2025.7710'!$E$2:$E$5,MATCH("2025::jama.2025.7710::C002",'C_jama.2025.7710'!$A$2:$A$5,0))="protocol_report"),IF(INDEX('C_jama.2025.7710'!$L$2:$L$5,MATCH("2025::jama.2025.7710::C002",'C_jama.2025.7710'!$A$2:$A$5,0))="","",INDEX('C_jama.2025.7710'!$L$2:$L$5,MATCH("2025::jama.2025.7710::C002",'C_jama.2025.7710'!$A$2:$A$5,0))),"not_applicable")</x:f>
        <x:v>not_applicable</x:v>
      </x:c>
      <x:c r="Z121" s="3" t="str">
        <x:f>IF(INDEX('C_jama.2025.7710'!$R$2:$R$5,MATCH("2025::jama.2025.7710::C002",'C_jama.2025.7710'!$A$2:$A$5,0))="","",INDEX('C_jama.2025.7710'!$R$2:$R$5,MATCH("2025::jama.2025.7710::C002",'C_jama.2025.7710'!$A$2:$A$5,0)))</x:f>
      </x:c>
      <x:c r="AA121" s="3" t="str">
        <x:f>IF(INDEX('C_jama.2025.7710'!$N$2:$N$5,MATCH("2025::jama.2025.7710::C002",'C_jama.2025.7710'!$A$2:$A$5,0))="","",INDEX('C_jama.2025.7710'!$N$2:$N$5,MATCH("2025::jama.2025.7710::C002",'C_jama.2025.7710'!$A$2:$A$5,0)))</x:f>
      </x:c>
      <x:c r="AB121" s="3" t="str">
        <x:f>IF(INDEX('C_jama.2025.7710'!$O$2:$O$5,MATCH("2025::jama.2025.7710::C002",'C_jama.2025.7710'!$A$2:$A$5,0))="","",INDEX('C_jama.2025.7710'!$O$2:$O$5,MATCH("2025::jama.2025.7710::C002",'C_jama.2025.7710'!$A$2:$A$5,0)))</x:f>
      </x:c>
      <x:c r="AC121" s="3" t="str">
        <x:f>IF(INDEX('C_jama.2025.7710'!$P$2:$P$5,MATCH("2025::jama.2025.7710::C002",'C_jama.2025.7710'!$A$2:$A$5,0))="","",INDEX('C_jama.2025.7710'!$P$2:$P$5,MATCH("2025::jama.2025.7710::C002",'C_jama.2025.7710'!$A$2:$A$5,0)))</x:f>
      </x:c>
      <x:c r="AD121" s="3" t="str">
        <x:f>IF(INDEX('C_jama.2025.7710'!$Q$2:$Q$5,MATCH("2025::jama.2025.7710::C002",'C_jama.2025.7710'!$A$2:$A$5,0))="","",INDEX('C_jama.2025.7710'!$Q$2:$Q$5,MATCH("2025::jama.2025.7710::C002",'C_jama.2025.7710'!$A$2:$A$5,0)))</x:f>
      </x:c>
    </x:row>
    <x:row r="122" ht="65" customHeight="1">
      <x:c r="A122" s="6" t="n">
        <x:v>2025</x:v>
      </x:c>
      <x:c r="B122" s="6" t="str">
        <x:v>jama.2025.7710</x:v>
      </x:c>
      <x:c r="C122" s="6" t="str">
        <x:v>2025::jama.2025.7710::C003</x:v>
      </x:c>
      <x:c r="D122" s="6" t="str">
        <x:v>P_P</x:v>
      </x:c>
      <x:c r="E122" s="6" t="n">
        <x:f>Setup!$B$2</x:f>
        <x:v>0</x:v>
      </x:c>
      <x:c r="F122" s="6" t="str">
        <x:f>IF(Setup!$B$4="","",Setup!$B$4)</x:f>
      </x:c>
      <x:c r="G122" s="6" t="str">
        <x:f>IFERROR(INDEX('C_jama.2025.7710'!$G$2:$G$5,MATCH("2025::jama.2025.7710::C003",'C_jama.2025.7710'!$A$2:$A$5,0)),"CHECK KEY")</x:f>
        <x:v>CHECK REVIEWER IDs</x:v>
      </x:c>
      <x:c r="H122" s="6" t="str">
        <x:f>IF(G122&lt;&gt;"FINAL READY","",IF(S122&lt;&gt;"retain","not_eligible",IF(D122="P_R","protocol_descriptive",IF(D122="P_P","plan_descriptive",IF(AND(T122="statistical_results",OR(U122="confirmed_issue",U122="probable_issue"),V122="substantive"),"primary_temporal",IF(AND(T122="report_internal_inconsistency",X122="substantive_inconsistency"),"secondary_temporal","not_eligible"))))))</x:f>
      </x:c>
      <x:c r="I122" s="6" t="str">
        <x:v>retain</x:v>
      </x:c>
      <x:c r="J122" s="6" t="str">
        <x:v>plan_material</x:v>
      </x:c>
      <x:c r="K122" s="6" t="str">
        <x:f>IF(Setup!$B$6="primary","",IFERROR(IF(INDEX('Primary_snapshot'!$B$2:$B$132,MATCH(C122,'Primary_snapshot'!$A$2:$A$132,0))="","",INDEX('Primary_snapshot'!$B$2:$B$132,MATCH(C122,'Primary_snapshot'!$A$2:$A$132,0))),"SNAPSHOT MISSING"))</x:f>
      </x:c>
      <x:c r="L122" s="6" t="str">
        <x:f>IF(Setup!$B$6="primary","",IFERROR(IF(INDEX('Primary_snapshot'!$C$2:$C$132,MATCH(C122,'Primary_snapshot'!$A$2:$A$132,0))="","",INDEX('Primary_snapshot'!$C$2:$C$132,MATCH(C122,'Primary_snapshot'!$A$2:$A$132,0))),"SNAPSHOT MISSING"))</x:f>
      </x:c>
      <x:c r="M122" s="6" t="str">
        <x:f>IF(Setup!$B$6="primary","",IFERROR(IF(INDEX('Primary_snapshot'!$D$2:$D$132,MATCH(C122,'Primary_snapshot'!$A$2:$A$132,0))="","",INDEX('Primary_snapshot'!$D$2:$D$132,MATCH(C122,'Primary_snapshot'!$A$2:$A$132,0))),"SNAPSHOT MISSING"))</x:f>
      </x:c>
      <x:c r="N122" s="6" t="str">
        <x:f>IF(Setup!$B$6="primary","",IFERROR(IF(INDEX('Primary_snapshot'!$E$2:$E$132,MATCH(C122,'Primary_snapshot'!$A$2:$A$132,0))="","",INDEX('Primary_snapshot'!$E$2:$E$132,MATCH(C122,'Primary_snapshot'!$A$2:$A$132,0))),"SNAPSHOT MISSING"))</x:f>
      </x:c>
      <x:c r="O122" s="6" t="str">
        <x:f>IF(Setup!$B$6="primary","",IFERROR(IF(INDEX('Primary_snapshot'!$F$2:$F$132,MATCH(C122,'Primary_snapshot'!$A$2:$A$132,0))="","",INDEX('Primary_snapshot'!$F$2:$F$132,MATCH(C122,'Primary_snapshot'!$A$2:$A$132,0))),"SNAPSHOT MISSING"))</x:f>
      </x:c>
      <x:c r="P122" s="6" t="str">
        <x:f>IF(Setup!$B$6="primary","",IFERROR(IF(INDEX('Primary_snapshot'!$G$2:$G$132,MATCH(C122,'Primary_snapshot'!$A$2:$A$132,0))="","",INDEX('Primary_snapshot'!$G$2:$G$132,MATCH(C122,'Primary_snapshot'!$A$2:$A$132,0))),"SNAPSHOT MISSING"))</x:f>
      </x:c>
      <x:c r="Q122" s="6" t="str">
        <x:f>IF(Setup!$B$6="primary","",IFERROR(IF(INDEX('Primary_snapshot'!$H$2:$H$132,MATCH(C122,'Primary_snapshot'!$A$2:$A$132,0))="","",INDEX('Primary_snapshot'!$H$2:$H$132,MATCH(C122,'Primary_snapshot'!$A$2:$A$132,0))),"SNAPSHOT MISSING"))</x:f>
      </x:c>
      <x:c r="R122" s="6" t="str">
        <x:f>IF(Setup!$B$6="primary","",IFERROR(IF(INDEX('Primary_snapshot'!$I$2:$I$132,MATCH(C122,'Primary_snapshot'!$A$2:$A$132,0))="","",INDEX('Primary_snapshot'!$I$2:$I$132,MATCH(C122,'Primary_snapshot'!$A$2:$A$132,0))),"SNAPSHOT MISSING"))</x:f>
      </x:c>
      <x:c r="S122" s="6" t="str">
        <x:f>IF(INDEX('C_jama.2025.7710'!$D$2:$D$5,MATCH("2025::jama.2025.7710::C003",'C_jama.2025.7710'!$A$2:$A$5,0))="","",INDEX('C_jama.2025.7710'!$D$2:$D$5,MATCH("2025::jama.2025.7710::C003",'C_jama.2025.7710'!$A$2:$A$5,0)))</x:f>
      </x:c>
      <x:c r="T122" s="6" t="str">
        <x:f>IF(INDEX('C_jama.2025.7710'!$E$2:$E$5,MATCH("2025::jama.2025.7710::C003",'C_jama.2025.7710'!$A$2:$A$5,0))="","",INDEX('C_jama.2025.7710'!$E$2:$E$5,MATCH("2025::jama.2025.7710::C003",'C_jama.2025.7710'!$A$2:$A$5,0)))</x:f>
        <x:v>plan_material</x:v>
      </x:c>
      <x:c r="U122" s="6" t="str">
        <x:f>IF(AND(INDEX('C_jama.2025.7710'!$D$2:$D$5,MATCH("2025::jama.2025.7710::C003",'C_jama.2025.7710'!$A$2:$A$5,0))="retain",INDEX('C_jama.2025.7710'!$E$2:$E$5,MATCH("2025::jama.2025.7710::C003",'C_jama.2025.7710'!$A$2:$A$5,0))="statistical_results"),IF(INDEX('C_jama.2025.7710'!$H$2:$H$5,MATCH("2025::jama.2025.7710::C003",'C_jama.2025.7710'!$A$2:$A$5,0))="","",INDEX('C_jama.2025.7710'!$H$2:$H$5,MATCH("2025::jama.2025.7710::C003",'C_jama.2025.7710'!$A$2:$A$5,0))),"not_applicable")</x:f>
        <x:v>not_applicable</x:v>
      </x:c>
      <x:c r="V122" s="6" t="str">
        <x:f>IF(AND(INDEX('C_jama.2025.7710'!$D$2:$D$5,MATCH("2025::jama.2025.7710::C003",'C_jama.2025.7710'!$A$2:$A$5,0))="retain",INDEX('C_jama.2025.7710'!$E$2:$E$5,MATCH("2025::jama.2025.7710::C003",'C_jama.2025.7710'!$A$2:$A$5,0))="statistical_results"),IF(INDEX('C_jama.2025.7710'!$I$2:$I$5,MATCH("2025::jama.2025.7710::C003",'C_jama.2025.7710'!$A$2:$A$5,0))="","",INDEX('C_jama.2025.7710'!$I$2:$I$5,MATCH("2025::jama.2025.7710::C003",'C_jama.2025.7710'!$A$2:$A$5,0))),"not_applicable")</x:f>
        <x:v>not_applicable</x:v>
      </x:c>
      <x:c r="W122" s="6" t="str">
        <x:f>IF(AND(INDEX('C_jama.2025.7710'!$D$2:$D$5,MATCH("2025::jama.2025.7710::C003",'C_jama.2025.7710'!$A$2:$A$5,0))="retain",INDEX('C_jama.2025.7710'!$E$2:$E$5,MATCH("2025::jama.2025.7710::C003",'C_jama.2025.7710'!$A$2:$A$5,0))="statistical_results"),IF(INDEX('C_jama.2025.7710'!$J$2:$J$5,MATCH("2025::jama.2025.7710::C003",'C_jama.2025.7710'!$A$2:$A$5,0))="","",INDEX('C_jama.2025.7710'!$J$2:$J$5,MATCH("2025::jama.2025.7710::C003",'C_jama.2025.7710'!$A$2:$A$5,0))),"not_applicable")</x:f>
        <x:v>not_applicable</x:v>
      </x:c>
      <x:c r="X122" s="6" t="str">
        <x:f>IF(AND(INDEX('C_jama.2025.7710'!$D$2:$D$5,MATCH("2025::jama.2025.7710::C003",'C_jama.2025.7710'!$A$2:$A$5,0))="retain",OR(INDEX('C_jama.2025.7710'!$E$2:$E$5,MATCH("2025::jama.2025.7710::C003",'C_jama.2025.7710'!$A$2:$A$5,0))="report_internal_inconsistency",INDEX('C_jama.2025.7710'!$E$2:$E$5,MATCH("2025::jama.2025.7710::C003",'C_jama.2025.7710'!$A$2:$A$5,0))="plan_material")),IF(INDEX('C_jama.2025.7710'!$K$2:$K$5,MATCH("2025::jama.2025.7710::C003",'C_jama.2025.7710'!$A$2:$A$5,0))="","",INDEX('C_jama.2025.7710'!$K$2:$K$5,MATCH("2025::jama.2025.7710::C003",'C_jama.2025.7710'!$A$2:$A$5,0))),"not_applicable")</x:f>
        <x:v>not_applicable</x:v>
      </x:c>
      <x:c r="Y122" s="6" t="str">
        <x:f>IF(AND(INDEX('C_jama.2025.7710'!$D$2:$D$5,MATCH("2025::jama.2025.7710::C003",'C_jama.2025.7710'!$A$2:$A$5,0))="retain",INDEX('C_jama.2025.7710'!$E$2:$E$5,MATCH("2025::jama.2025.7710::C003",'C_jama.2025.7710'!$A$2:$A$5,0))="protocol_report"),IF(INDEX('C_jama.2025.7710'!$L$2:$L$5,MATCH("2025::jama.2025.7710::C003",'C_jama.2025.7710'!$A$2:$A$5,0))="","",INDEX('C_jama.2025.7710'!$L$2:$L$5,MATCH("2025::jama.2025.7710::C003",'C_jama.2025.7710'!$A$2:$A$5,0))),"not_applicable")</x:f>
        <x:v>not_applicable</x:v>
      </x:c>
      <x:c r="Z122" s="6" t="str">
        <x:f>IF(INDEX('C_jama.2025.7710'!$R$2:$R$5,MATCH("2025::jama.2025.7710::C003",'C_jama.2025.7710'!$A$2:$A$5,0))="","",INDEX('C_jama.2025.7710'!$R$2:$R$5,MATCH("2025::jama.2025.7710::C003",'C_jama.2025.7710'!$A$2:$A$5,0)))</x:f>
      </x:c>
      <x:c r="AA122" s="6" t="str">
        <x:f>IF(INDEX('C_jama.2025.7710'!$N$2:$N$5,MATCH("2025::jama.2025.7710::C003",'C_jama.2025.7710'!$A$2:$A$5,0))="","",INDEX('C_jama.2025.7710'!$N$2:$N$5,MATCH("2025::jama.2025.7710::C003",'C_jama.2025.7710'!$A$2:$A$5,0)))</x:f>
      </x:c>
      <x:c r="AB122" s="6" t="str">
        <x:f>IF(INDEX('C_jama.2025.7710'!$O$2:$O$5,MATCH("2025::jama.2025.7710::C003",'C_jama.2025.7710'!$A$2:$A$5,0))="","",INDEX('C_jama.2025.7710'!$O$2:$O$5,MATCH("2025::jama.2025.7710::C003",'C_jama.2025.7710'!$A$2:$A$5,0)))</x:f>
      </x:c>
      <x:c r="AC122" s="6" t="str">
        <x:f>IF(INDEX('C_jama.2025.7710'!$P$2:$P$5,MATCH("2025::jama.2025.7710::C003",'C_jama.2025.7710'!$A$2:$A$5,0))="","",INDEX('C_jama.2025.7710'!$P$2:$P$5,MATCH("2025::jama.2025.7710::C003",'C_jama.2025.7710'!$A$2:$A$5,0)))</x:f>
      </x:c>
      <x:c r="AD122" s="6" t="str">
        <x:f>IF(INDEX('C_jama.2025.7710'!$Q$2:$Q$5,MATCH("2025::jama.2025.7710::C003",'C_jama.2025.7710'!$A$2:$A$5,0))="","",INDEX('C_jama.2025.7710'!$Q$2:$Q$5,MATCH("2025::jama.2025.7710::C003",'C_jama.2025.7710'!$A$2:$A$5,0)))</x:f>
      </x:c>
    </x:row>
    <x:row r="123" ht="65" customHeight="1">
      <x:c r="A123" s="3" t="n">
        <x:v>2025</x:v>
      </x:c>
      <x:c r="B123" s="3" t="str">
        <x:v>jama.2025.7710</x:v>
      </x:c>
      <x:c r="C123" s="3" t="str">
        <x:v>2025::jama.2025.7710::C004</x:v>
      </x:c>
      <x:c r="D123" s="3" t="str">
        <x:v>P_R</x:v>
      </x:c>
      <x:c r="E123" s="3" t="n">
        <x:f>Setup!$B$2</x:f>
        <x:v>0</x:v>
      </x:c>
      <x:c r="F123" s="3" t="str">
        <x:f>IF(Setup!$B$4="","",Setup!$B$4)</x:f>
      </x:c>
      <x:c r="G123" s="3" t="str">
        <x:f>IFERROR(INDEX('C_jama.2025.7710'!$G$2:$G$5,MATCH("2025::jama.2025.7710::C004",'C_jama.2025.7710'!$A$2:$A$5,0)),"CHECK KEY")</x:f>
        <x:v>CHECK REVIEWER IDs</x:v>
      </x:c>
      <x:c r="H123" s="3" t="str">
        <x:f>IF(G123&lt;&gt;"FINAL READY","",IF(S123&lt;&gt;"retain","not_eligible",IF(D123="P_R","protocol_descriptive",IF(D123="P_P","plan_descriptive",IF(AND(T123="statistical_results",OR(U123="confirmed_issue",U123="probable_issue"),V123="substantive"),"primary_temporal",IF(AND(T123="report_internal_inconsistency",X123="substantive_inconsistency"),"secondary_temporal","not_eligible"))))))</x:f>
      </x:c>
      <x:c r="I123" s="3" t="str">
        <x:v>retain</x:v>
      </x:c>
      <x:c r="J123" s="3" t="str">
        <x:v>protocol_report</x:v>
      </x:c>
      <x:c r="K123" s="3" t="str">
        <x:f>IF(Setup!$B$6="primary","",IFERROR(IF(INDEX('Primary_snapshot'!$B$2:$B$132,MATCH(C123,'Primary_snapshot'!$A$2:$A$132,0))="","",INDEX('Primary_snapshot'!$B$2:$B$132,MATCH(C123,'Primary_snapshot'!$A$2:$A$132,0))),"SNAPSHOT MISSING"))</x:f>
      </x:c>
      <x:c r="L123" s="3" t="str">
        <x:f>IF(Setup!$B$6="primary","",IFERROR(IF(INDEX('Primary_snapshot'!$C$2:$C$132,MATCH(C123,'Primary_snapshot'!$A$2:$A$132,0))="","",INDEX('Primary_snapshot'!$C$2:$C$132,MATCH(C123,'Primary_snapshot'!$A$2:$A$132,0))),"SNAPSHOT MISSING"))</x:f>
      </x:c>
      <x:c r="M123" s="3" t="str">
        <x:f>IF(Setup!$B$6="primary","",IFERROR(IF(INDEX('Primary_snapshot'!$D$2:$D$132,MATCH(C123,'Primary_snapshot'!$A$2:$A$132,0))="","",INDEX('Primary_snapshot'!$D$2:$D$132,MATCH(C123,'Primary_snapshot'!$A$2:$A$132,0))),"SNAPSHOT MISSING"))</x:f>
      </x:c>
      <x:c r="N123" s="3" t="str">
        <x:f>IF(Setup!$B$6="primary","",IFERROR(IF(INDEX('Primary_snapshot'!$E$2:$E$132,MATCH(C123,'Primary_snapshot'!$A$2:$A$132,0))="","",INDEX('Primary_snapshot'!$E$2:$E$132,MATCH(C123,'Primary_snapshot'!$A$2:$A$132,0))),"SNAPSHOT MISSING"))</x:f>
      </x:c>
      <x:c r="O123" s="3" t="str">
        <x:f>IF(Setup!$B$6="primary","",IFERROR(IF(INDEX('Primary_snapshot'!$F$2:$F$132,MATCH(C123,'Primary_snapshot'!$A$2:$A$132,0))="","",INDEX('Primary_snapshot'!$F$2:$F$132,MATCH(C123,'Primary_snapshot'!$A$2:$A$132,0))),"SNAPSHOT MISSING"))</x:f>
      </x:c>
      <x:c r="P123" s="3" t="str">
        <x:f>IF(Setup!$B$6="primary","",IFERROR(IF(INDEX('Primary_snapshot'!$G$2:$G$132,MATCH(C123,'Primary_snapshot'!$A$2:$A$132,0))="","",INDEX('Primary_snapshot'!$G$2:$G$132,MATCH(C123,'Primary_snapshot'!$A$2:$A$132,0))),"SNAPSHOT MISSING"))</x:f>
      </x:c>
      <x:c r="Q123" s="3" t="str">
        <x:f>IF(Setup!$B$6="primary","",IFERROR(IF(INDEX('Primary_snapshot'!$H$2:$H$132,MATCH(C123,'Primary_snapshot'!$A$2:$A$132,0))="","",INDEX('Primary_snapshot'!$H$2:$H$132,MATCH(C123,'Primary_snapshot'!$A$2:$A$132,0))),"SNAPSHOT MISSING"))</x:f>
      </x:c>
      <x:c r="R123" s="3" t="str">
        <x:f>IF(Setup!$B$6="primary","",IFERROR(IF(INDEX('Primary_snapshot'!$I$2:$I$132,MATCH(C123,'Primary_snapshot'!$A$2:$A$132,0))="","",INDEX('Primary_snapshot'!$I$2:$I$132,MATCH(C123,'Primary_snapshot'!$A$2:$A$132,0))),"SNAPSHOT MISSING"))</x:f>
      </x:c>
      <x:c r="S123" s="3" t="str">
        <x:f>IF(INDEX('C_jama.2025.7710'!$D$2:$D$5,MATCH("2025::jama.2025.7710::C004",'C_jama.2025.7710'!$A$2:$A$5,0))="","",INDEX('C_jama.2025.7710'!$D$2:$D$5,MATCH("2025::jama.2025.7710::C004",'C_jama.2025.7710'!$A$2:$A$5,0)))</x:f>
      </x:c>
      <x:c r="T123" s="3" t="str">
        <x:f>IF(INDEX('C_jama.2025.7710'!$E$2:$E$5,MATCH("2025::jama.2025.7710::C004",'C_jama.2025.7710'!$A$2:$A$5,0))="","",INDEX('C_jama.2025.7710'!$E$2:$E$5,MATCH("2025::jama.2025.7710::C004",'C_jama.2025.7710'!$A$2:$A$5,0)))</x:f>
        <x:v>protocol_report</x:v>
      </x:c>
      <x:c r="U123" s="3" t="str">
        <x:f>IF(AND(INDEX('C_jama.2025.7710'!$D$2:$D$5,MATCH("2025::jama.2025.7710::C004",'C_jama.2025.7710'!$A$2:$A$5,0))="retain",INDEX('C_jama.2025.7710'!$E$2:$E$5,MATCH("2025::jama.2025.7710::C004",'C_jama.2025.7710'!$A$2:$A$5,0))="statistical_results"),IF(INDEX('C_jama.2025.7710'!$H$2:$H$5,MATCH("2025::jama.2025.7710::C004",'C_jama.2025.7710'!$A$2:$A$5,0))="","",INDEX('C_jama.2025.7710'!$H$2:$H$5,MATCH("2025::jama.2025.7710::C004",'C_jama.2025.7710'!$A$2:$A$5,0))),"not_applicable")</x:f>
        <x:v>not_applicable</x:v>
      </x:c>
      <x:c r="V123" s="3" t="str">
        <x:f>IF(AND(INDEX('C_jama.2025.7710'!$D$2:$D$5,MATCH("2025::jama.2025.7710::C004",'C_jama.2025.7710'!$A$2:$A$5,0))="retain",INDEX('C_jama.2025.7710'!$E$2:$E$5,MATCH("2025::jama.2025.7710::C004",'C_jama.2025.7710'!$A$2:$A$5,0))="statistical_results"),IF(INDEX('C_jama.2025.7710'!$I$2:$I$5,MATCH("2025::jama.2025.7710::C004",'C_jama.2025.7710'!$A$2:$A$5,0))="","",INDEX('C_jama.2025.7710'!$I$2:$I$5,MATCH("2025::jama.2025.7710::C004",'C_jama.2025.7710'!$A$2:$A$5,0))),"not_applicable")</x:f>
        <x:v>not_applicable</x:v>
      </x:c>
      <x:c r="W123" s="3" t="str">
        <x:f>IF(AND(INDEX('C_jama.2025.7710'!$D$2:$D$5,MATCH("2025::jama.2025.7710::C004",'C_jama.2025.7710'!$A$2:$A$5,0))="retain",INDEX('C_jama.2025.7710'!$E$2:$E$5,MATCH("2025::jama.2025.7710::C004",'C_jama.2025.7710'!$A$2:$A$5,0))="statistical_results"),IF(INDEX('C_jama.2025.7710'!$J$2:$J$5,MATCH("2025::jama.2025.7710::C004",'C_jama.2025.7710'!$A$2:$A$5,0))="","",INDEX('C_jama.2025.7710'!$J$2:$J$5,MATCH("2025::jama.2025.7710::C004",'C_jama.2025.7710'!$A$2:$A$5,0))),"not_applicable")</x:f>
        <x:v>not_applicable</x:v>
      </x:c>
      <x:c r="X123" s="3" t="str">
        <x:f>IF(AND(INDEX('C_jama.2025.7710'!$D$2:$D$5,MATCH("2025::jama.2025.7710::C004",'C_jama.2025.7710'!$A$2:$A$5,0))="retain",OR(INDEX('C_jama.2025.7710'!$E$2:$E$5,MATCH("2025::jama.2025.7710::C004",'C_jama.2025.7710'!$A$2:$A$5,0))="report_internal_inconsistency",INDEX('C_jama.2025.7710'!$E$2:$E$5,MATCH("2025::jama.2025.7710::C004",'C_jama.2025.7710'!$A$2:$A$5,0))="plan_material")),IF(INDEX('C_jama.2025.7710'!$K$2:$K$5,MATCH("2025::jama.2025.7710::C004",'C_jama.2025.7710'!$A$2:$A$5,0))="","",INDEX('C_jama.2025.7710'!$K$2:$K$5,MATCH("2025::jama.2025.7710::C004",'C_jama.2025.7710'!$A$2:$A$5,0))),"not_applicable")</x:f>
        <x:v>not_applicable</x:v>
      </x:c>
      <x:c r="Y123" s="3" t="str">
        <x:f>IF(AND(INDEX('C_jama.2025.7710'!$D$2:$D$5,MATCH("2025::jama.2025.7710::C004",'C_jama.2025.7710'!$A$2:$A$5,0))="retain",INDEX('C_jama.2025.7710'!$E$2:$E$5,MATCH("2025::jama.2025.7710::C004",'C_jama.2025.7710'!$A$2:$A$5,0))="protocol_report"),IF(INDEX('C_jama.2025.7710'!$L$2:$L$5,MATCH("2025::jama.2025.7710::C004",'C_jama.2025.7710'!$A$2:$A$5,0))="","",INDEX('C_jama.2025.7710'!$L$2:$L$5,MATCH("2025::jama.2025.7710::C004",'C_jama.2025.7710'!$A$2:$A$5,0))),"not_applicable")</x:f>
        <x:v>not_applicable</x:v>
      </x:c>
      <x:c r="Z123" s="3" t="str">
        <x:f>IF(INDEX('C_jama.2025.7710'!$R$2:$R$5,MATCH("2025::jama.2025.7710::C004",'C_jama.2025.7710'!$A$2:$A$5,0))="","",INDEX('C_jama.2025.7710'!$R$2:$R$5,MATCH("2025::jama.2025.7710::C004",'C_jama.2025.7710'!$A$2:$A$5,0)))</x:f>
      </x:c>
      <x:c r="AA123" s="3" t="str">
        <x:f>IF(INDEX('C_jama.2025.7710'!$N$2:$N$5,MATCH("2025::jama.2025.7710::C004",'C_jama.2025.7710'!$A$2:$A$5,0))="","",INDEX('C_jama.2025.7710'!$N$2:$N$5,MATCH("2025::jama.2025.7710::C004",'C_jama.2025.7710'!$A$2:$A$5,0)))</x:f>
      </x:c>
      <x:c r="AB123" s="3" t="str">
        <x:f>IF(INDEX('C_jama.2025.7710'!$O$2:$O$5,MATCH("2025::jama.2025.7710::C004",'C_jama.2025.7710'!$A$2:$A$5,0))="","",INDEX('C_jama.2025.7710'!$O$2:$O$5,MATCH("2025::jama.2025.7710::C004",'C_jama.2025.7710'!$A$2:$A$5,0)))</x:f>
      </x:c>
      <x:c r="AC123" s="3" t="str">
        <x:f>IF(INDEX('C_jama.2025.7710'!$P$2:$P$5,MATCH("2025::jama.2025.7710::C004",'C_jama.2025.7710'!$A$2:$A$5,0))="","",INDEX('C_jama.2025.7710'!$P$2:$P$5,MATCH("2025::jama.2025.7710::C004",'C_jama.2025.7710'!$A$2:$A$5,0)))</x:f>
      </x:c>
      <x:c r="AD123" s="3" t="str">
        <x:f>IF(INDEX('C_jama.2025.7710'!$Q$2:$Q$5,MATCH("2025::jama.2025.7710::C004",'C_jama.2025.7710'!$A$2:$A$5,0))="","",INDEX('C_jama.2025.7710'!$Q$2:$Q$5,MATCH("2025::jama.2025.7710::C004",'C_jama.2025.7710'!$A$2:$A$5,0)))</x:f>
      </x:c>
    </x:row>
    <x:row r="124" ht="65" customHeight="1">
      <x:c r="A124" s="6" t="n">
        <x:v>2025</x:v>
      </x:c>
      <x:c r="B124" s="6" t="str">
        <x:v>jama.2025.9110</x:v>
      </x:c>
      <x:c r="C124" s="6" t="str">
        <x:v>2025::jama.2025.9110::C001</x:v>
      </x:c>
      <x:c r="D124" s="6" t="str">
        <x:v>S_W</x:v>
      </x:c>
      <x:c r="E124" s="6" t="n">
        <x:f>Setup!$B$2</x:f>
        <x:v>0</x:v>
      </x:c>
      <x:c r="F124" s="6" t="str">
        <x:f>IF(Setup!$B$4="","",Setup!$B$4)</x:f>
      </x:c>
      <x:c r="G124" s="6" t="str">
        <x:f>IFERROR(INDEX('C_jama.2025.9110'!$G$2:$G$7,MATCH("2025::jama.2025.9110::C001",'C_jama.2025.9110'!$A$2:$A$7,0)),"CHECK KEY")</x:f>
        <x:v>CHECK REVIEWER IDs</x:v>
      </x:c>
      <x:c r="H124" s="6" t="str">
        <x:f>IF(G124&lt;&gt;"FINAL READY","",IF(S124&lt;&gt;"retain","not_eligible",IF(D124="P_R","protocol_descriptive",IF(D124="P_P","plan_descriptive",IF(AND(T124="statistical_results",OR(U124="confirmed_issue",U124="probable_issue"),V124="substantive"),"primary_temporal",IF(AND(T124="report_internal_inconsistency",X124="substantive_inconsistency"),"secondary_temporal","not_eligible"))))))</x:f>
      </x:c>
      <x:c r="I124" s="6" t="str">
        <x:v>retain</x:v>
      </x:c>
      <x:c r="J124" s="6" t="str">
        <x:v>report_internal_inconsistency</x:v>
      </x:c>
      <x:c r="K124" s="6" t="str">
        <x:f>IF(Setup!$B$6="primary","",IFERROR(IF(INDEX('Primary_snapshot'!$B$2:$B$132,MATCH(C124,'Primary_snapshot'!$A$2:$A$132,0))="","",INDEX('Primary_snapshot'!$B$2:$B$132,MATCH(C124,'Primary_snapshot'!$A$2:$A$132,0))),"SNAPSHOT MISSING"))</x:f>
      </x:c>
      <x:c r="L124" s="6" t="str">
        <x:f>IF(Setup!$B$6="primary","",IFERROR(IF(INDEX('Primary_snapshot'!$C$2:$C$132,MATCH(C124,'Primary_snapshot'!$A$2:$A$132,0))="","",INDEX('Primary_snapshot'!$C$2:$C$132,MATCH(C124,'Primary_snapshot'!$A$2:$A$132,0))),"SNAPSHOT MISSING"))</x:f>
      </x:c>
      <x:c r="M124" s="6" t="str">
        <x:f>IF(Setup!$B$6="primary","",IFERROR(IF(INDEX('Primary_snapshot'!$D$2:$D$132,MATCH(C124,'Primary_snapshot'!$A$2:$A$132,0))="","",INDEX('Primary_snapshot'!$D$2:$D$132,MATCH(C124,'Primary_snapshot'!$A$2:$A$132,0))),"SNAPSHOT MISSING"))</x:f>
      </x:c>
      <x:c r="N124" s="6" t="str">
        <x:f>IF(Setup!$B$6="primary","",IFERROR(IF(INDEX('Primary_snapshot'!$E$2:$E$132,MATCH(C124,'Primary_snapshot'!$A$2:$A$132,0))="","",INDEX('Primary_snapshot'!$E$2:$E$132,MATCH(C124,'Primary_snapshot'!$A$2:$A$132,0))),"SNAPSHOT MISSING"))</x:f>
      </x:c>
      <x:c r="O124" s="6" t="str">
        <x:f>IF(Setup!$B$6="primary","",IFERROR(IF(INDEX('Primary_snapshot'!$F$2:$F$132,MATCH(C124,'Primary_snapshot'!$A$2:$A$132,0))="","",INDEX('Primary_snapshot'!$F$2:$F$132,MATCH(C124,'Primary_snapshot'!$A$2:$A$132,0))),"SNAPSHOT MISSING"))</x:f>
      </x:c>
      <x:c r="P124" s="6" t="str">
        <x:f>IF(Setup!$B$6="primary","",IFERROR(IF(INDEX('Primary_snapshot'!$G$2:$G$132,MATCH(C124,'Primary_snapshot'!$A$2:$A$132,0))="","",INDEX('Primary_snapshot'!$G$2:$G$132,MATCH(C124,'Primary_snapshot'!$A$2:$A$132,0))),"SNAPSHOT MISSING"))</x:f>
      </x:c>
      <x:c r="Q124" s="6" t="str">
        <x:f>IF(Setup!$B$6="primary","",IFERROR(IF(INDEX('Primary_snapshot'!$H$2:$H$132,MATCH(C124,'Primary_snapshot'!$A$2:$A$132,0))="","",INDEX('Primary_snapshot'!$H$2:$H$132,MATCH(C124,'Primary_snapshot'!$A$2:$A$132,0))),"SNAPSHOT MISSING"))</x:f>
      </x:c>
      <x:c r="R124" s="6" t="str">
        <x:f>IF(Setup!$B$6="primary","",IFERROR(IF(INDEX('Primary_snapshot'!$I$2:$I$132,MATCH(C124,'Primary_snapshot'!$A$2:$A$132,0))="","",INDEX('Primary_snapshot'!$I$2:$I$132,MATCH(C124,'Primary_snapshot'!$A$2:$A$132,0))),"SNAPSHOT MISSING"))</x:f>
      </x:c>
      <x:c r="S124" s="6" t="str">
        <x:f>IF(INDEX('C_jama.2025.9110'!$D$2:$D$7,MATCH("2025::jama.2025.9110::C001",'C_jama.2025.9110'!$A$2:$A$7,0))="","",INDEX('C_jama.2025.9110'!$D$2:$D$7,MATCH("2025::jama.2025.9110::C001",'C_jama.2025.9110'!$A$2:$A$7,0)))</x:f>
      </x:c>
      <x:c r="T124" s="6" t="str">
        <x:f>IF(INDEX('C_jama.2025.9110'!$E$2:$E$7,MATCH("2025::jama.2025.9110::C001",'C_jama.2025.9110'!$A$2:$A$7,0))="","",INDEX('C_jama.2025.9110'!$E$2:$E$7,MATCH("2025::jama.2025.9110::C001",'C_jama.2025.9110'!$A$2:$A$7,0)))</x:f>
        <x:v>report_internal_inconsistency</x:v>
      </x:c>
      <x:c r="U124" s="6" t="str">
        <x:f>IF(AND(INDEX('C_jama.2025.9110'!$D$2:$D$7,MATCH("2025::jama.2025.9110::C001",'C_jama.2025.9110'!$A$2:$A$7,0))="retain",INDEX('C_jama.2025.9110'!$E$2:$E$7,MATCH("2025::jama.2025.9110::C001",'C_jama.2025.9110'!$A$2:$A$7,0))="statistical_results"),IF(INDEX('C_jama.2025.9110'!$H$2:$H$7,MATCH("2025::jama.2025.9110::C001",'C_jama.2025.9110'!$A$2:$A$7,0))="","",INDEX('C_jama.2025.9110'!$H$2:$H$7,MATCH("2025::jama.2025.9110::C001",'C_jama.2025.9110'!$A$2:$A$7,0))),"not_applicable")</x:f>
        <x:v>not_applicable</x:v>
      </x:c>
      <x:c r="V124" s="6" t="str">
        <x:f>IF(AND(INDEX('C_jama.2025.9110'!$D$2:$D$7,MATCH("2025::jama.2025.9110::C001",'C_jama.2025.9110'!$A$2:$A$7,0))="retain",INDEX('C_jama.2025.9110'!$E$2:$E$7,MATCH("2025::jama.2025.9110::C001",'C_jama.2025.9110'!$A$2:$A$7,0))="statistical_results"),IF(INDEX('C_jama.2025.9110'!$I$2:$I$7,MATCH("2025::jama.2025.9110::C001",'C_jama.2025.9110'!$A$2:$A$7,0))="","",INDEX('C_jama.2025.9110'!$I$2:$I$7,MATCH("2025::jama.2025.9110::C001",'C_jama.2025.9110'!$A$2:$A$7,0))),"not_applicable")</x:f>
        <x:v>not_applicable</x:v>
      </x:c>
      <x:c r="W124" s="6" t="str">
        <x:f>IF(AND(INDEX('C_jama.2025.9110'!$D$2:$D$7,MATCH("2025::jama.2025.9110::C001",'C_jama.2025.9110'!$A$2:$A$7,0))="retain",INDEX('C_jama.2025.9110'!$E$2:$E$7,MATCH("2025::jama.2025.9110::C001",'C_jama.2025.9110'!$A$2:$A$7,0))="statistical_results"),IF(INDEX('C_jama.2025.9110'!$J$2:$J$7,MATCH("2025::jama.2025.9110::C001",'C_jama.2025.9110'!$A$2:$A$7,0))="","",INDEX('C_jama.2025.9110'!$J$2:$J$7,MATCH("2025::jama.2025.9110::C001",'C_jama.2025.9110'!$A$2:$A$7,0))),"not_applicable")</x:f>
        <x:v>not_applicable</x:v>
      </x:c>
      <x:c r="X124" s="6" t="str">
        <x:f>IF(AND(INDEX('C_jama.2025.9110'!$D$2:$D$7,MATCH("2025::jama.2025.9110::C001",'C_jama.2025.9110'!$A$2:$A$7,0))="retain",OR(INDEX('C_jama.2025.9110'!$E$2:$E$7,MATCH("2025::jama.2025.9110::C001",'C_jama.2025.9110'!$A$2:$A$7,0))="report_internal_inconsistency",INDEX('C_jama.2025.9110'!$E$2:$E$7,MATCH("2025::jama.2025.9110::C001",'C_jama.2025.9110'!$A$2:$A$7,0))="plan_material")),IF(INDEX('C_jama.2025.9110'!$K$2:$K$7,MATCH("2025::jama.2025.9110::C001",'C_jama.2025.9110'!$A$2:$A$7,0))="","",INDEX('C_jama.2025.9110'!$K$2:$K$7,MATCH("2025::jama.2025.9110::C001",'C_jama.2025.9110'!$A$2:$A$7,0))),"not_applicable")</x:f>
        <x:v>not_applicable</x:v>
      </x:c>
      <x:c r="Y124" s="6" t="str">
        <x:f>IF(AND(INDEX('C_jama.2025.9110'!$D$2:$D$7,MATCH("2025::jama.2025.9110::C001",'C_jama.2025.9110'!$A$2:$A$7,0))="retain",INDEX('C_jama.2025.9110'!$E$2:$E$7,MATCH("2025::jama.2025.9110::C001",'C_jama.2025.9110'!$A$2:$A$7,0))="protocol_report"),IF(INDEX('C_jama.2025.9110'!$L$2:$L$7,MATCH("2025::jama.2025.9110::C001",'C_jama.2025.9110'!$A$2:$A$7,0))="","",INDEX('C_jama.2025.9110'!$L$2:$L$7,MATCH("2025::jama.2025.9110::C001",'C_jama.2025.9110'!$A$2:$A$7,0))),"not_applicable")</x:f>
        <x:v>not_applicable</x:v>
      </x:c>
      <x:c r="Z124" s="6" t="str">
        <x:f>IF(INDEX('C_jama.2025.9110'!$R$2:$R$7,MATCH("2025::jama.2025.9110::C001",'C_jama.2025.9110'!$A$2:$A$7,0))="","",INDEX('C_jama.2025.9110'!$R$2:$R$7,MATCH("2025::jama.2025.9110::C001",'C_jama.2025.9110'!$A$2:$A$7,0)))</x:f>
      </x:c>
      <x:c r="AA124" s="6" t="str">
        <x:f>IF(INDEX('C_jama.2025.9110'!$N$2:$N$7,MATCH("2025::jama.2025.9110::C001",'C_jama.2025.9110'!$A$2:$A$7,0))="","",INDEX('C_jama.2025.9110'!$N$2:$N$7,MATCH("2025::jama.2025.9110::C001",'C_jama.2025.9110'!$A$2:$A$7,0)))</x:f>
      </x:c>
      <x:c r="AB124" s="6" t="str">
        <x:f>IF(INDEX('C_jama.2025.9110'!$O$2:$O$7,MATCH("2025::jama.2025.9110::C001",'C_jama.2025.9110'!$A$2:$A$7,0))="","",INDEX('C_jama.2025.9110'!$O$2:$O$7,MATCH("2025::jama.2025.9110::C001",'C_jama.2025.9110'!$A$2:$A$7,0)))</x:f>
      </x:c>
      <x:c r="AC124" s="6" t="str">
        <x:f>IF(INDEX('C_jama.2025.9110'!$P$2:$P$7,MATCH("2025::jama.2025.9110::C001",'C_jama.2025.9110'!$A$2:$A$7,0))="","",INDEX('C_jama.2025.9110'!$P$2:$P$7,MATCH("2025::jama.2025.9110::C001",'C_jama.2025.9110'!$A$2:$A$7,0)))</x:f>
      </x:c>
      <x:c r="AD124" s="6" t="str">
        <x:f>IF(INDEX('C_jama.2025.9110'!$Q$2:$Q$7,MATCH("2025::jama.2025.9110::C001",'C_jama.2025.9110'!$A$2:$A$7,0))="","",INDEX('C_jama.2025.9110'!$Q$2:$Q$7,MATCH("2025::jama.2025.9110::C001",'C_jama.2025.9110'!$A$2:$A$7,0)))</x:f>
      </x:c>
    </x:row>
    <x:row r="125" ht="65" customHeight="1">
      <x:c r="A125" s="3" t="n">
        <x:v>2025</x:v>
      </x:c>
      <x:c r="B125" s="3" t="str">
        <x:v>jama.2025.9110</x:v>
      </x:c>
      <x:c r="C125" s="3" t="str">
        <x:v>2025::jama.2025.9110::C002</x:v>
      </x:c>
      <x:c r="D125" s="3" t="str">
        <x:v>S_W</x:v>
      </x:c>
      <x:c r="E125" s="3" t="n">
        <x:f>Setup!$B$2</x:f>
        <x:v>0</x:v>
      </x:c>
      <x:c r="F125" s="3" t="str">
        <x:f>IF(Setup!$B$4="","",Setup!$B$4)</x:f>
      </x:c>
      <x:c r="G125" s="3" t="str">
        <x:f>IFERROR(INDEX('C_jama.2025.9110'!$G$2:$G$7,MATCH("2025::jama.2025.9110::C002",'C_jama.2025.9110'!$A$2:$A$7,0)),"CHECK KEY")</x:f>
        <x:v>CHECK REVIEWER IDs</x:v>
      </x:c>
      <x:c r="H125" s="3" t="str">
        <x:f>IF(G125&lt;&gt;"FINAL READY","",IF(S125&lt;&gt;"retain","not_eligible",IF(D125="P_R","protocol_descriptive",IF(D125="P_P","plan_descriptive",IF(AND(T125="statistical_results",OR(U125="confirmed_issue",U125="probable_issue"),V125="substantive"),"primary_temporal",IF(AND(T125="report_internal_inconsistency",X125="substantive_inconsistency"),"secondary_temporal","not_eligible"))))))</x:f>
      </x:c>
      <x:c r="I125" s="3" t="str">
        <x:v>retain</x:v>
      </x:c>
      <x:c r="J125" s="3" t="str">
        <x:v>report_internal_inconsistency</x:v>
      </x:c>
      <x:c r="K125" s="3" t="str">
        <x:f>IF(Setup!$B$6="primary","",IFERROR(IF(INDEX('Primary_snapshot'!$B$2:$B$132,MATCH(C125,'Primary_snapshot'!$A$2:$A$132,0))="","",INDEX('Primary_snapshot'!$B$2:$B$132,MATCH(C125,'Primary_snapshot'!$A$2:$A$132,0))),"SNAPSHOT MISSING"))</x:f>
      </x:c>
      <x:c r="L125" s="3" t="str">
        <x:f>IF(Setup!$B$6="primary","",IFERROR(IF(INDEX('Primary_snapshot'!$C$2:$C$132,MATCH(C125,'Primary_snapshot'!$A$2:$A$132,0))="","",INDEX('Primary_snapshot'!$C$2:$C$132,MATCH(C125,'Primary_snapshot'!$A$2:$A$132,0))),"SNAPSHOT MISSING"))</x:f>
      </x:c>
      <x:c r="M125" s="3" t="str">
        <x:f>IF(Setup!$B$6="primary","",IFERROR(IF(INDEX('Primary_snapshot'!$D$2:$D$132,MATCH(C125,'Primary_snapshot'!$A$2:$A$132,0))="","",INDEX('Primary_snapshot'!$D$2:$D$132,MATCH(C125,'Primary_snapshot'!$A$2:$A$132,0))),"SNAPSHOT MISSING"))</x:f>
      </x:c>
      <x:c r="N125" s="3" t="str">
        <x:f>IF(Setup!$B$6="primary","",IFERROR(IF(INDEX('Primary_snapshot'!$E$2:$E$132,MATCH(C125,'Primary_snapshot'!$A$2:$A$132,0))="","",INDEX('Primary_snapshot'!$E$2:$E$132,MATCH(C125,'Primary_snapshot'!$A$2:$A$132,0))),"SNAPSHOT MISSING"))</x:f>
      </x:c>
      <x:c r="O125" s="3" t="str">
        <x:f>IF(Setup!$B$6="primary","",IFERROR(IF(INDEX('Primary_snapshot'!$F$2:$F$132,MATCH(C125,'Primary_snapshot'!$A$2:$A$132,0))="","",INDEX('Primary_snapshot'!$F$2:$F$132,MATCH(C125,'Primary_snapshot'!$A$2:$A$132,0))),"SNAPSHOT MISSING"))</x:f>
      </x:c>
      <x:c r="P125" s="3" t="str">
        <x:f>IF(Setup!$B$6="primary","",IFERROR(IF(INDEX('Primary_snapshot'!$G$2:$G$132,MATCH(C125,'Primary_snapshot'!$A$2:$A$132,0))="","",INDEX('Primary_snapshot'!$G$2:$G$132,MATCH(C125,'Primary_snapshot'!$A$2:$A$132,0))),"SNAPSHOT MISSING"))</x:f>
      </x:c>
      <x:c r="Q125" s="3" t="str">
        <x:f>IF(Setup!$B$6="primary","",IFERROR(IF(INDEX('Primary_snapshot'!$H$2:$H$132,MATCH(C125,'Primary_snapshot'!$A$2:$A$132,0))="","",INDEX('Primary_snapshot'!$H$2:$H$132,MATCH(C125,'Primary_snapshot'!$A$2:$A$132,0))),"SNAPSHOT MISSING"))</x:f>
      </x:c>
      <x:c r="R125" s="3" t="str">
        <x:f>IF(Setup!$B$6="primary","",IFERROR(IF(INDEX('Primary_snapshot'!$I$2:$I$132,MATCH(C125,'Primary_snapshot'!$A$2:$A$132,0))="","",INDEX('Primary_snapshot'!$I$2:$I$132,MATCH(C125,'Primary_snapshot'!$A$2:$A$132,0))),"SNAPSHOT MISSING"))</x:f>
      </x:c>
      <x:c r="S125" s="3" t="str">
        <x:f>IF(INDEX('C_jama.2025.9110'!$D$2:$D$7,MATCH("2025::jama.2025.9110::C002",'C_jama.2025.9110'!$A$2:$A$7,0))="","",INDEX('C_jama.2025.9110'!$D$2:$D$7,MATCH("2025::jama.2025.9110::C002",'C_jama.2025.9110'!$A$2:$A$7,0)))</x:f>
      </x:c>
      <x:c r="T125" s="3" t="str">
        <x:f>IF(INDEX('C_jama.2025.9110'!$E$2:$E$7,MATCH("2025::jama.2025.9110::C002",'C_jama.2025.9110'!$A$2:$A$7,0))="","",INDEX('C_jama.2025.9110'!$E$2:$E$7,MATCH("2025::jama.2025.9110::C002",'C_jama.2025.9110'!$A$2:$A$7,0)))</x:f>
        <x:v>report_internal_inconsistency</x:v>
      </x:c>
      <x:c r="U125" s="3" t="str">
        <x:f>IF(AND(INDEX('C_jama.2025.9110'!$D$2:$D$7,MATCH("2025::jama.2025.9110::C002",'C_jama.2025.9110'!$A$2:$A$7,0))="retain",INDEX('C_jama.2025.9110'!$E$2:$E$7,MATCH("2025::jama.2025.9110::C002",'C_jama.2025.9110'!$A$2:$A$7,0))="statistical_results"),IF(INDEX('C_jama.2025.9110'!$H$2:$H$7,MATCH("2025::jama.2025.9110::C002",'C_jama.2025.9110'!$A$2:$A$7,0))="","",INDEX('C_jama.2025.9110'!$H$2:$H$7,MATCH("2025::jama.2025.9110::C002",'C_jama.2025.9110'!$A$2:$A$7,0))),"not_applicable")</x:f>
        <x:v>not_applicable</x:v>
      </x:c>
      <x:c r="V125" s="3" t="str">
        <x:f>IF(AND(INDEX('C_jama.2025.9110'!$D$2:$D$7,MATCH("2025::jama.2025.9110::C002",'C_jama.2025.9110'!$A$2:$A$7,0))="retain",INDEX('C_jama.2025.9110'!$E$2:$E$7,MATCH("2025::jama.2025.9110::C002",'C_jama.2025.9110'!$A$2:$A$7,0))="statistical_results"),IF(INDEX('C_jama.2025.9110'!$I$2:$I$7,MATCH("2025::jama.2025.9110::C002",'C_jama.2025.9110'!$A$2:$A$7,0))="","",INDEX('C_jama.2025.9110'!$I$2:$I$7,MATCH("2025::jama.2025.9110::C002",'C_jama.2025.9110'!$A$2:$A$7,0))),"not_applicable")</x:f>
        <x:v>not_applicable</x:v>
      </x:c>
      <x:c r="W125" s="3" t="str">
        <x:f>IF(AND(INDEX('C_jama.2025.9110'!$D$2:$D$7,MATCH("2025::jama.2025.9110::C002",'C_jama.2025.9110'!$A$2:$A$7,0))="retain",INDEX('C_jama.2025.9110'!$E$2:$E$7,MATCH("2025::jama.2025.9110::C002",'C_jama.2025.9110'!$A$2:$A$7,0))="statistical_results"),IF(INDEX('C_jama.2025.9110'!$J$2:$J$7,MATCH("2025::jama.2025.9110::C002",'C_jama.2025.9110'!$A$2:$A$7,0))="","",INDEX('C_jama.2025.9110'!$J$2:$J$7,MATCH("2025::jama.2025.9110::C002",'C_jama.2025.9110'!$A$2:$A$7,0))),"not_applicable")</x:f>
        <x:v>not_applicable</x:v>
      </x:c>
      <x:c r="X125" s="3" t="str">
        <x:f>IF(AND(INDEX('C_jama.2025.9110'!$D$2:$D$7,MATCH("2025::jama.2025.9110::C002",'C_jama.2025.9110'!$A$2:$A$7,0))="retain",OR(INDEX('C_jama.2025.9110'!$E$2:$E$7,MATCH("2025::jama.2025.9110::C002",'C_jama.2025.9110'!$A$2:$A$7,0))="report_internal_inconsistency",INDEX('C_jama.2025.9110'!$E$2:$E$7,MATCH("2025::jama.2025.9110::C002",'C_jama.2025.9110'!$A$2:$A$7,0))="plan_material")),IF(INDEX('C_jama.2025.9110'!$K$2:$K$7,MATCH("2025::jama.2025.9110::C002",'C_jama.2025.9110'!$A$2:$A$7,0))="","",INDEX('C_jama.2025.9110'!$K$2:$K$7,MATCH("2025::jama.2025.9110::C002",'C_jama.2025.9110'!$A$2:$A$7,0))),"not_applicable")</x:f>
        <x:v>not_applicable</x:v>
      </x:c>
      <x:c r="Y125" s="3" t="str">
        <x:f>IF(AND(INDEX('C_jama.2025.9110'!$D$2:$D$7,MATCH("2025::jama.2025.9110::C002",'C_jama.2025.9110'!$A$2:$A$7,0))="retain",INDEX('C_jama.2025.9110'!$E$2:$E$7,MATCH("2025::jama.2025.9110::C002",'C_jama.2025.9110'!$A$2:$A$7,0))="protocol_report"),IF(INDEX('C_jama.2025.9110'!$L$2:$L$7,MATCH("2025::jama.2025.9110::C002",'C_jama.2025.9110'!$A$2:$A$7,0))="","",INDEX('C_jama.2025.9110'!$L$2:$L$7,MATCH("2025::jama.2025.9110::C002",'C_jama.2025.9110'!$A$2:$A$7,0))),"not_applicable")</x:f>
        <x:v>not_applicable</x:v>
      </x:c>
      <x:c r="Z125" s="3" t="str">
        <x:f>IF(INDEX('C_jama.2025.9110'!$R$2:$R$7,MATCH("2025::jama.2025.9110::C002",'C_jama.2025.9110'!$A$2:$A$7,0))="","",INDEX('C_jama.2025.9110'!$R$2:$R$7,MATCH("2025::jama.2025.9110::C002",'C_jama.2025.9110'!$A$2:$A$7,0)))</x:f>
      </x:c>
      <x:c r="AA125" s="3" t="str">
        <x:f>IF(INDEX('C_jama.2025.9110'!$N$2:$N$7,MATCH("2025::jama.2025.9110::C002",'C_jama.2025.9110'!$A$2:$A$7,0))="","",INDEX('C_jama.2025.9110'!$N$2:$N$7,MATCH("2025::jama.2025.9110::C002",'C_jama.2025.9110'!$A$2:$A$7,0)))</x:f>
      </x:c>
      <x:c r="AB125" s="3" t="str">
        <x:f>IF(INDEX('C_jama.2025.9110'!$O$2:$O$7,MATCH("2025::jama.2025.9110::C002",'C_jama.2025.9110'!$A$2:$A$7,0))="","",INDEX('C_jama.2025.9110'!$O$2:$O$7,MATCH("2025::jama.2025.9110::C002",'C_jama.2025.9110'!$A$2:$A$7,0)))</x:f>
      </x:c>
      <x:c r="AC125" s="3" t="str">
        <x:f>IF(INDEX('C_jama.2025.9110'!$P$2:$P$7,MATCH("2025::jama.2025.9110::C002",'C_jama.2025.9110'!$A$2:$A$7,0))="","",INDEX('C_jama.2025.9110'!$P$2:$P$7,MATCH("2025::jama.2025.9110::C002",'C_jama.2025.9110'!$A$2:$A$7,0)))</x:f>
      </x:c>
      <x:c r="AD125" s="3" t="str">
        <x:f>IF(INDEX('C_jama.2025.9110'!$Q$2:$Q$7,MATCH("2025::jama.2025.9110::C002",'C_jama.2025.9110'!$A$2:$A$7,0))="","",INDEX('C_jama.2025.9110'!$Q$2:$Q$7,MATCH("2025::jama.2025.9110::C002",'C_jama.2025.9110'!$A$2:$A$7,0)))</x:f>
      </x:c>
    </x:row>
    <x:row r="126" ht="65" customHeight="1">
      <x:c r="A126" s="6" t="n">
        <x:v>2025</x:v>
      </x:c>
      <x:c r="B126" s="6" t="str">
        <x:v>jama.2025.9110</x:v>
      </x:c>
      <x:c r="C126" s="6" t="str">
        <x:v>2025::jama.2025.9110::C003</x:v>
      </x:c>
      <x:c r="D126" s="6" t="str">
        <x:v>S_W</x:v>
      </x:c>
      <x:c r="E126" s="6" t="n">
        <x:f>Setup!$B$2</x:f>
        <x:v>0</x:v>
      </x:c>
      <x:c r="F126" s="6" t="str">
        <x:f>IF(Setup!$B$4="","",Setup!$B$4)</x:f>
      </x:c>
      <x:c r="G126" s="6" t="str">
        <x:f>IFERROR(INDEX('C_jama.2025.9110'!$G$2:$G$7,MATCH("2025::jama.2025.9110::C003",'C_jama.2025.9110'!$A$2:$A$7,0)),"CHECK KEY")</x:f>
        <x:v>CHECK REVIEWER IDs</x:v>
      </x:c>
      <x:c r="H126" s="6" t="str">
        <x:f>IF(G126&lt;&gt;"FINAL READY","",IF(S126&lt;&gt;"retain","not_eligible",IF(D126="P_R","protocol_descriptive",IF(D126="P_P","plan_descriptive",IF(AND(T126="statistical_results",OR(U126="confirmed_issue",U126="probable_issue"),V126="substantive"),"primary_temporal",IF(AND(T126="report_internal_inconsistency",X126="substantive_inconsistency"),"secondary_temporal","not_eligible"))))))</x:f>
      </x:c>
      <x:c r="I126" s="6" t="str">
        <x:v>retain</x:v>
      </x:c>
      <x:c r="J126" s="6" t="str">
        <x:v>report_internal_inconsistency</x:v>
      </x:c>
      <x:c r="K126" s="6" t="str">
        <x:f>IF(Setup!$B$6="primary","",IFERROR(IF(INDEX('Primary_snapshot'!$B$2:$B$132,MATCH(C126,'Primary_snapshot'!$A$2:$A$132,0))="","",INDEX('Primary_snapshot'!$B$2:$B$132,MATCH(C126,'Primary_snapshot'!$A$2:$A$132,0))),"SNAPSHOT MISSING"))</x:f>
      </x:c>
      <x:c r="L126" s="6" t="str">
        <x:f>IF(Setup!$B$6="primary","",IFERROR(IF(INDEX('Primary_snapshot'!$C$2:$C$132,MATCH(C126,'Primary_snapshot'!$A$2:$A$132,0))="","",INDEX('Primary_snapshot'!$C$2:$C$132,MATCH(C126,'Primary_snapshot'!$A$2:$A$132,0))),"SNAPSHOT MISSING"))</x:f>
      </x:c>
      <x:c r="M126" s="6" t="str">
        <x:f>IF(Setup!$B$6="primary","",IFERROR(IF(INDEX('Primary_snapshot'!$D$2:$D$132,MATCH(C126,'Primary_snapshot'!$A$2:$A$132,0))="","",INDEX('Primary_snapshot'!$D$2:$D$132,MATCH(C126,'Primary_snapshot'!$A$2:$A$132,0))),"SNAPSHOT MISSING"))</x:f>
      </x:c>
      <x:c r="N126" s="6" t="str">
        <x:f>IF(Setup!$B$6="primary","",IFERROR(IF(INDEX('Primary_snapshot'!$E$2:$E$132,MATCH(C126,'Primary_snapshot'!$A$2:$A$132,0))="","",INDEX('Primary_snapshot'!$E$2:$E$132,MATCH(C126,'Primary_snapshot'!$A$2:$A$132,0))),"SNAPSHOT MISSING"))</x:f>
      </x:c>
      <x:c r="O126" s="6" t="str">
        <x:f>IF(Setup!$B$6="primary","",IFERROR(IF(INDEX('Primary_snapshot'!$F$2:$F$132,MATCH(C126,'Primary_snapshot'!$A$2:$A$132,0))="","",INDEX('Primary_snapshot'!$F$2:$F$132,MATCH(C126,'Primary_snapshot'!$A$2:$A$132,0))),"SNAPSHOT MISSING"))</x:f>
      </x:c>
      <x:c r="P126" s="6" t="str">
        <x:f>IF(Setup!$B$6="primary","",IFERROR(IF(INDEX('Primary_snapshot'!$G$2:$G$132,MATCH(C126,'Primary_snapshot'!$A$2:$A$132,0))="","",INDEX('Primary_snapshot'!$G$2:$G$132,MATCH(C126,'Primary_snapshot'!$A$2:$A$132,0))),"SNAPSHOT MISSING"))</x:f>
      </x:c>
      <x:c r="Q126" s="6" t="str">
        <x:f>IF(Setup!$B$6="primary","",IFERROR(IF(INDEX('Primary_snapshot'!$H$2:$H$132,MATCH(C126,'Primary_snapshot'!$A$2:$A$132,0))="","",INDEX('Primary_snapshot'!$H$2:$H$132,MATCH(C126,'Primary_snapshot'!$A$2:$A$132,0))),"SNAPSHOT MISSING"))</x:f>
      </x:c>
      <x:c r="R126" s="6" t="str">
        <x:f>IF(Setup!$B$6="primary","",IFERROR(IF(INDEX('Primary_snapshot'!$I$2:$I$132,MATCH(C126,'Primary_snapshot'!$A$2:$A$132,0))="","",INDEX('Primary_snapshot'!$I$2:$I$132,MATCH(C126,'Primary_snapshot'!$A$2:$A$132,0))),"SNAPSHOT MISSING"))</x:f>
      </x:c>
      <x:c r="S126" s="6" t="str">
        <x:f>IF(INDEX('C_jama.2025.9110'!$D$2:$D$7,MATCH("2025::jama.2025.9110::C003",'C_jama.2025.9110'!$A$2:$A$7,0))="","",INDEX('C_jama.2025.9110'!$D$2:$D$7,MATCH("2025::jama.2025.9110::C003",'C_jama.2025.9110'!$A$2:$A$7,0)))</x:f>
      </x:c>
      <x:c r="T126" s="6" t="str">
        <x:f>IF(INDEX('C_jama.2025.9110'!$E$2:$E$7,MATCH("2025::jama.2025.9110::C003",'C_jama.2025.9110'!$A$2:$A$7,0))="","",INDEX('C_jama.2025.9110'!$E$2:$E$7,MATCH("2025::jama.2025.9110::C003",'C_jama.2025.9110'!$A$2:$A$7,0)))</x:f>
        <x:v>report_internal_inconsistency</x:v>
      </x:c>
      <x:c r="U126" s="6" t="str">
        <x:f>IF(AND(INDEX('C_jama.2025.9110'!$D$2:$D$7,MATCH("2025::jama.2025.9110::C003",'C_jama.2025.9110'!$A$2:$A$7,0))="retain",INDEX('C_jama.2025.9110'!$E$2:$E$7,MATCH("2025::jama.2025.9110::C003",'C_jama.2025.9110'!$A$2:$A$7,0))="statistical_results"),IF(INDEX('C_jama.2025.9110'!$H$2:$H$7,MATCH("2025::jama.2025.9110::C003",'C_jama.2025.9110'!$A$2:$A$7,0))="","",INDEX('C_jama.2025.9110'!$H$2:$H$7,MATCH("2025::jama.2025.9110::C003",'C_jama.2025.9110'!$A$2:$A$7,0))),"not_applicable")</x:f>
        <x:v>not_applicable</x:v>
      </x:c>
      <x:c r="V126" s="6" t="str">
        <x:f>IF(AND(INDEX('C_jama.2025.9110'!$D$2:$D$7,MATCH("2025::jama.2025.9110::C003",'C_jama.2025.9110'!$A$2:$A$7,0))="retain",INDEX('C_jama.2025.9110'!$E$2:$E$7,MATCH("2025::jama.2025.9110::C003",'C_jama.2025.9110'!$A$2:$A$7,0))="statistical_results"),IF(INDEX('C_jama.2025.9110'!$I$2:$I$7,MATCH("2025::jama.2025.9110::C003",'C_jama.2025.9110'!$A$2:$A$7,0))="","",INDEX('C_jama.2025.9110'!$I$2:$I$7,MATCH("2025::jama.2025.9110::C003",'C_jama.2025.9110'!$A$2:$A$7,0))),"not_applicable")</x:f>
        <x:v>not_applicable</x:v>
      </x:c>
      <x:c r="W126" s="6" t="str">
        <x:f>IF(AND(INDEX('C_jama.2025.9110'!$D$2:$D$7,MATCH("2025::jama.2025.9110::C003",'C_jama.2025.9110'!$A$2:$A$7,0))="retain",INDEX('C_jama.2025.9110'!$E$2:$E$7,MATCH("2025::jama.2025.9110::C003",'C_jama.2025.9110'!$A$2:$A$7,0))="statistical_results"),IF(INDEX('C_jama.2025.9110'!$J$2:$J$7,MATCH("2025::jama.2025.9110::C003",'C_jama.2025.9110'!$A$2:$A$7,0))="","",INDEX('C_jama.2025.9110'!$J$2:$J$7,MATCH("2025::jama.2025.9110::C003",'C_jama.2025.9110'!$A$2:$A$7,0))),"not_applicable")</x:f>
        <x:v>not_applicable</x:v>
      </x:c>
      <x:c r="X126" s="6" t="str">
        <x:f>IF(AND(INDEX('C_jama.2025.9110'!$D$2:$D$7,MATCH("2025::jama.2025.9110::C003",'C_jama.2025.9110'!$A$2:$A$7,0))="retain",OR(INDEX('C_jama.2025.9110'!$E$2:$E$7,MATCH("2025::jama.2025.9110::C003",'C_jama.2025.9110'!$A$2:$A$7,0))="report_internal_inconsistency",INDEX('C_jama.2025.9110'!$E$2:$E$7,MATCH("2025::jama.2025.9110::C003",'C_jama.2025.9110'!$A$2:$A$7,0))="plan_material")),IF(INDEX('C_jama.2025.9110'!$K$2:$K$7,MATCH("2025::jama.2025.9110::C003",'C_jama.2025.9110'!$A$2:$A$7,0))="","",INDEX('C_jama.2025.9110'!$K$2:$K$7,MATCH("2025::jama.2025.9110::C003",'C_jama.2025.9110'!$A$2:$A$7,0))),"not_applicable")</x:f>
        <x:v>not_applicable</x:v>
      </x:c>
      <x:c r="Y126" s="6" t="str">
        <x:f>IF(AND(INDEX('C_jama.2025.9110'!$D$2:$D$7,MATCH("2025::jama.2025.9110::C003",'C_jama.2025.9110'!$A$2:$A$7,0))="retain",INDEX('C_jama.2025.9110'!$E$2:$E$7,MATCH("2025::jama.2025.9110::C003",'C_jama.2025.9110'!$A$2:$A$7,0))="protocol_report"),IF(INDEX('C_jama.2025.9110'!$L$2:$L$7,MATCH("2025::jama.2025.9110::C003",'C_jama.2025.9110'!$A$2:$A$7,0))="","",INDEX('C_jama.2025.9110'!$L$2:$L$7,MATCH("2025::jama.2025.9110::C003",'C_jama.2025.9110'!$A$2:$A$7,0))),"not_applicable")</x:f>
        <x:v>not_applicable</x:v>
      </x:c>
      <x:c r="Z126" s="6" t="str">
        <x:f>IF(INDEX('C_jama.2025.9110'!$R$2:$R$7,MATCH("2025::jama.2025.9110::C003",'C_jama.2025.9110'!$A$2:$A$7,0))="","",INDEX('C_jama.2025.9110'!$R$2:$R$7,MATCH("2025::jama.2025.9110::C003",'C_jama.2025.9110'!$A$2:$A$7,0)))</x:f>
      </x:c>
      <x:c r="AA126" s="6" t="str">
        <x:f>IF(INDEX('C_jama.2025.9110'!$N$2:$N$7,MATCH("2025::jama.2025.9110::C003",'C_jama.2025.9110'!$A$2:$A$7,0))="","",INDEX('C_jama.2025.9110'!$N$2:$N$7,MATCH("2025::jama.2025.9110::C003",'C_jama.2025.9110'!$A$2:$A$7,0)))</x:f>
      </x:c>
      <x:c r="AB126" s="6" t="str">
        <x:f>IF(INDEX('C_jama.2025.9110'!$O$2:$O$7,MATCH("2025::jama.2025.9110::C003",'C_jama.2025.9110'!$A$2:$A$7,0))="","",INDEX('C_jama.2025.9110'!$O$2:$O$7,MATCH("2025::jama.2025.9110::C003",'C_jama.2025.9110'!$A$2:$A$7,0)))</x:f>
      </x:c>
      <x:c r="AC126" s="6" t="str">
        <x:f>IF(INDEX('C_jama.2025.9110'!$P$2:$P$7,MATCH("2025::jama.2025.9110::C003",'C_jama.2025.9110'!$A$2:$A$7,0))="","",INDEX('C_jama.2025.9110'!$P$2:$P$7,MATCH("2025::jama.2025.9110::C003",'C_jama.2025.9110'!$A$2:$A$7,0)))</x:f>
      </x:c>
      <x:c r="AD126" s="6" t="str">
        <x:f>IF(INDEX('C_jama.2025.9110'!$Q$2:$Q$7,MATCH("2025::jama.2025.9110::C003",'C_jama.2025.9110'!$A$2:$A$7,0))="","",INDEX('C_jama.2025.9110'!$Q$2:$Q$7,MATCH("2025::jama.2025.9110::C003",'C_jama.2025.9110'!$A$2:$A$7,0)))</x:f>
      </x:c>
    </x:row>
    <x:row r="127" ht="65" customHeight="1">
      <x:c r="A127" s="3" t="n">
        <x:v>2025</x:v>
      </x:c>
      <x:c r="B127" s="3" t="str">
        <x:v>jama.2025.9110</x:v>
      </x:c>
      <x:c r="C127" s="3" t="str">
        <x:v>2025::jama.2025.9110::C004</x:v>
      </x:c>
      <x:c r="D127" s="3" t="str">
        <x:v>S_W</x:v>
      </x:c>
      <x:c r="E127" s="3" t="n">
        <x:f>Setup!$B$2</x:f>
        <x:v>0</x:v>
      </x:c>
      <x:c r="F127" s="3" t="str">
        <x:f>IF(Setup!$B$4="","",Setup!$B$4)</x:f>
      </x:c>
      <x:c r="G127" s="3" t="str">
        <x:f>IFERROR(INDEX('C_jama.2025.9110'!$G$2:$G$7,MATCH("2025::jama.2025.9110::C004",'C_jama.2025.9110'!$A$2:$A$7,0)),"CHECK KEY")</x:f>
        <x:v>CHECK REVIEWER IDs</x:v>
      </x:c>
      <x:c r="H127" s="3" t="str">
        <x:f>IF(G127&lt;&gt;"FINAL READY","",IF(S127&lt;&gt;"retain","not_eligible",IF(D127="P_R","protocol_descriptive",IF(D127="P_P","plan_descriptive",IF(AND(T127="statistical_results",OR(U127="confirmed_issue",U127="probable_issue"),V127="substantive"),"primary_temporal",IF(AND(T127="report_internal_inconsistency",X127="substantive_inconsistency"),"secondary_temporal","not_eligible"))))))</x:f>
      </x:c>
      <x:c r="I127" s="3" t="str">
        <x:v>retain</x:v>
      </x:c>
      <x:c r="J127" s="3" t="str">
        <x:v>report_internal_inconsistency</x:v>
      </x:c>
      <x:c r="K127" s="3" t="str">
        <x:f>IF(Setup!$B$6="primary","",IFERROR(IF(INDEX('Primary_snapshot'!$B$2:$B$132,MATCH(C127,'Primary_snapshot'!$A$2:$A$132,0))="","",INDEX('Primary_snapshot'!$B$2:$B$132,MATCH(C127,'Primary_snapshot'!$A$2:$A$132,0))),"SNAPSHOT MISSING"))</x:f>
      </x:c>
      <x:c r="L127" s="3" t="str">
        <x:f>IF(Setup!$B$6="primary","",IFERROR(IF(INDEX('Primary_snapshot'!$C$2:$C$132,MATCH(C127,'Primary_snapshot'!$A$2:$A$132,0))="","",INDEX('Primary_snapshot'!$C$2:$C$132,MATCH(C127,'Primary_snapshot'!$A$2:$A$132,0))),"SNAPSHOT MISSING"))</x:f>
      </x:c>
      <x:c r="M127" s="3" t="str">
        <x:f>IF(Setup!$B$6="primary","",IFERROR(IF(INDEX('Primary_snapshot'!$D$2:$D$132,MATCH(C127,'Primary_snapshot'!$A$2:$A$132,0))="","",INDEX('Primary_snapshot'!$D$2:$D$132,MATCH(C127,'Primary_snapshot'!$A$2:$A$132,0))),"SNAPSHOT MISSING"))</x:f>
      </x:c>
      <x:c r="N127" s="3" t="str">
        <x:f>IF(Setup!$B$6="primary","",IFERROR(IF(INDEX('Primary_snapshot'!$E$2:$E$132,MATCH(C127,'Primary_snapshot'!$A$2:$A$132,0))="","",INDEX('Primary_snapshot'!$E$2:$E$132,MATCH(C127,'Primary_snapshot'!$A$2:$A$132,0))),"SNAPSHOT MISSING"))</x:f>
      </x:c>
      <x:c r="O127" s="3" t="str">
        <x:f>IF(Setup!$B$6="primary","",IFERROR(IF(INDEX('Primary_snapshot'!$F$2:$F$132,MATCH(C127,'Primary_snapshot'!$A$2:$A$132,0))="","",INDEX('Primary_snapshot'!$F$2:$F$132,MATCH(C127,'Primary_snapshot'!$A$2:$A$132,0))),"SNAPSHOT MISSING"))</x:f>
      </x:c>
      <x:c r="P127" s="3" t="str">
        <x:f>IF(Setup!$B$6="primary","",IFERROR(IF(INDEX('Primary_snapshot'!$G$2:$G$132,MATCH(C127,'Primary_snapshot'!$A$2:$A$132,0))="","",INDEX('Primary_snapshot'!$G$2:$G$132,MATCH(C127,'Primary_snapshot'!$A$2:$A$132,0))),"SNAPSHOT MISSING"))</x:f>
      </x:c>
      <x:c r="Q127" s="3" t="str">
        <x:f>IF(Setup!$B$6="primary","",IFERROR(IF(INDEX('Primary_snapshot'!$H$2:$H$132,MATCH(C127,'Primary_snapshot'!$A$2:$A$132,0))="","",INDEX('Primary_snapshot'!$H$2:$H$132,MATCH(C127,'Primary_snapshot'!$A$2:$A$132,0))),"SNAPSHOT MISSING"))</x:f>
      </x:c>
      <x:c r="R127" s="3" t="str">
        <x:f>IF(Setup!$B$6="primary","",IFERROR(IF(INDEX('Primary_snapshot'!$I$2:$I$132,MATCH(C127,'Primary_snapshot'!$A$2:$A$132,0))="","",INDEX('Primary_snapshot'!$I$2:$I$132,MATCH(C127,'Primary_snapshot'!$A$2:$A$132,0))),"SNAPSHOT MISSING"))</x:f>
      </x:c>
      <x:c r="S127" s="3" t="str">
        <x:f>IF(INDEX('C_jama.2025.9110'!$D$2:$D$7,MATCH("2025::jama.2025.9110::C004",'C_jama.2025.9110'!$A$2:$A$7,0))="","",INDEX('C_jama.2025.9110'!$D$2:$D$7,MATCH("2025::jama.2025.9110::C004",'C_jama.2025.9110'!$A$2:$A$7,0)))</x:f>
      </x:c>
      <x:c r="T127" s="3" t="str">
        <x:f>IF(INDEX('C_jama.2025.9110'!$E$2:$E$7,MATCH("2025::jama.2025.9110::C004",'C_jama.2025.9110'!$A$2:$A$7,0))="","",INDEX('C_jama.2025.9110'!$E$2:$E$7,MATCH("2025::jama.2025.9110::C004",'C_jama.2025.9110'!$A$2:$A$7,0)))</x:f>
        <x:v>report_internal_inconsistency</x:v>
      </x:c>
      <x:c r="U127" s="3" t="str">
        <x:f>IF(AND(INDEX('C_jama.2025.9110'!$D$2:$D$7,MATCH("2025::jama.2025.9110::C004",'C_jama.2025.9110'!$A$2:$A$7,0))="retain",INDEX('C_jama.2025.9110'!$E$2:$E$7,MATCH("2025::jama.2025.9110::C004",'C_jama.2025.9110'!$A$2:$A$7,0))="statistical_results"),IF(INDEX('C_jama.2025.9110'!$H$2:$H$7,MATCH("2025::jama.2025.9110::C004",'C_jama.2025.9110'!$A$2:$A$7,0))="","",INDEX('C_jama.2025.9110'!$H$2:$H$7,MATCH("2025::jama.2025.9110::C004",'C_jama.2025.9110'!$A$2:$A$7,0))),"not_applicable")</x:f>
        <x:v>not_applicable</x:v>
      </x:c>
      <x:c r="V127" s="3" t="str">
        <x:f>IF(AND(INDEX('C_jama.2025.9110'!$D$2:$D$7,MATCH("2025::jama.2025.9110::C004",'C_jama.2025.9110'!$A$2:$A$7,0))="retain",INDEX('C_jama.2025.9110'!$E$2:$E$7,MATCH("2025::jama.2025.9110::C004",'C_jama.2025.9110'!$A$2:$A$7,0))="statistical_results"),IF(INDEX('C_jama.2025.9110'!$I$2:$I$7,MATCH("2025::jama.2025.9110::C004",'C_jama.2025.9110'!$A$2:$A$7,0))="","",INDEX('C_jama.2025.9110'!$I$2:$I$7,MATCH("2025::jama.2025.9110::C004",'C_jama.2025.9110'!$A$2:$A$7,0))),"not_applicable")</x:f>
        <x:v>not_applicable</x:v>
      </x:c>
      <x:c r="W127" s="3" t="str">
        <x:f>IF(AND(INDEX('C_jama.2025.9110'!$D$2:$D$7,MATCH("2025::jama.2025.9110::C004",'C_jama.2025.9110'!$A$2:$A$7,0))="retain",INDEX('C_jama.2025.9110'!$E$2:$E$7,MATCH("2025::jama.2025.9110::C004",'C_jama.2025.9110'!$A$2:$A$7,0))="statistical_results"),IF(INDEX('C_jama.2025.9110'!$J$2:$J$7,MATCH("2025::jama.2025.9110::C004",'C_jama.2025.9110'!$A$2:$A$7,0))="","",INDEX('C_jama.2025.9110'!$J$2:$J$7,MATCH("2025::jama.2025.9110::C004",'C_jama.2025.9110'!$A$2:$A$7,0))),"not_applicable")</x:f>
        <x:v>not_applicable</x:v>
      </x:c>
      <x:c r="X127" s="3" t="str">
        <x:f>IF(AND(INDEX('C_jama.2025.9110'!$D$2:$D$7,MATCH("2025::jama.2025.9110::C004",'C_jama.2025.9110'!$A$2:$A$7,0))="retain",OR(INDEX('C_jama.2025.9110'!$E$2:$E$7,MATCH("2025::jama.2025.9110::C004",'C_jama.2025.9110'!$A$2:$A$7,0))="report_internal_inconsistency",INDEX('C_jama.2025.9110'!$E$2:$E$7,MATCH("2025::jama.2025.9110::C004",'C_jama.2025.9110'!$A$2:$A$7,0))="plan_material")),IF(INDEX('C_jama.2025.9110'!$K$2:$K$7,MATCH("2025::jama.2025.9110::C004",'C_jama.2025.9110'!$A$2:$A$7,0))="","",INDEX('C_jama.2025.9110'!$K$2:$K$7,MATCH("2025::jama.2025.9110::C004",'C_jama.2025.9110'!$A$2:$A$7,0))),"not_applicable")</x:f>
        <x:v>not_applicable</x:v>
      </x:c>
      <x:c r="Y127" s="3" t="str">
        <x:f>IF(AND(INDEX('C_jama.2025.9110'!$D$2:$D$7,MATCH("2025::jama.2025.9110::C004",'C_jama.2025.9110'!$A$2:$A$7,0))="retain",INDEX('C_jama.2025.9110'!$E$2:$E$7,MATCH("2025::jama.2025.9110::C004",'C_jama.2025.9110'!$A$2:$A$7,0))="protocol_report"),IF(INDEX('C_jama.2025.9110'!$L$2:$L$7,MATCH("2025::jama.2025.9110::C004",'C_jama.2025.9110'!$A$2:$A$7,0))="","",INDEX('C_jama.2025.9110'!$L$2:$L$7,MATCH("2025::jama.2025.9110::C004",'C_jama.2025.9110'!$A$2:$A$7,0))),"not_applicable")</x:f>
        <x:v>not_applicable</x:v>
      </x:c>
      <x:c r="Z127" s="3" t="str">
        <x:f>IF(INDEX('C_jama.2025.9110'!$R$2:$R$7,MATCH("2025::jama.2025.9110::C004",'C_jama.2025.9110'!$A$2:$A$7,0))="","",INDEX('C_jama.2025.9110'!$R$2:$R$7,MATCH("2025::jama.2025.9110::C004",'C_jama.2025.9110'!$A$2:$A$7,0)))</x:f>
      </x:c>
      <x:c r="AA127" s="3" t="str">
        <x:f>IF(INDEX('C_jama.2025.9110'!$N$2:$N$7,MATCH("2025::jama.2025.9110::C004",'C_jama.2025.9110'!$A$2:$A$7,0))="","",INDEX('C_jama.2025.9110'!$N$2:$N$7,MATCH("2025::jama.2025.9110::C004",'C_jama.2025.9110'!$A$2:$A$7,0)))</x:f>
      </x:c>
      <x:c r="AB127" s="3" t="str">
        <x:f>IF(INDEX('C_jama.2025.9110'!$O$2:$O$7,MATCH("2025::jama.2025.9110::C004",'C_jama.2025.9110'!$A$2:$A$7,0))="","",INDEX('C_jama.2025.9110'!$O$2:$O$7,MATCH("2025::jama.2025.9110::C004",'C_jama.2025.9110'!$A$2:$A$7,0)))</x:f>
      </x:c>
      <x:c r="AC127" s="3" t="str">
        <x:f>IF(INDEX('C_jama.2025.9110'!$P$2:$P$7,MATCH("2025::jama.2025.9110::C004",'C_jama.2025.9110'!$A$2:$A$7,0))="","",INDEX('C_jama.2025.9110'!$P$2:$P$7,MATCH("2025::jama.2025.9110::C004",'C_jama.2025.9110'!$A$2:$A$7,0)))</x:f>
      </x:c>
      <x:c r="AD127" s="3" t="str">
        <x:f>IF(INDEX('C_jama.2025.9110'!$Q$2:$Q$7,MATCH("2025::jama.2025.9110::C004",'C_jama.2025.9110'!$A$2:$A$7,0))="","",INDEX('C_jama.2025.9110'!$Q$2:$Q$7,MATCH("2025::jama.2025.9110::C004",'C_jama.2025.9110'!$A$2:$A$7,0)))</x:f>
      </x:c>
    </x:row>
    <x:row r="128" ht="65" customHeight="1">
      <x:c r="A128" s="6" t="n">
        <x:v>2025</x:v>
      </x:c>
      <x:c r="B128" s="6" t="str">
        <x:v>jama.2025.9110</x:v>
      </x:c>
      <x:c r="C128" s="6" t="str">
        <x:v>2025::jama.2025.9110::C005</x:v>
      </x:c>
      <x:c r="D128" s="6" t="str">
        <x:v>S_W</x:v>
      </x:c>
      <x:c r="E128" s="6" t="n">
        <x:f>Setup!$B$2</x:f>
        <x:v>0</x:v>
      </x:c>
      <x:c r="F128" s="6" t="str">
        <x:f>IF(Setup!$B$4="","",Setup!$B$4)</x:f>
      </x:c>
      <x:c r="G128" s="6" t="str">
        <x:f>IFERROR(INDEX('C_jama.2025.9110'!$G$2:$G$7,MATCH("2025::jama.2025.9110::C005",'C_jama.2025.9110'!$A$2:$A$7,0)),"CHECK KEY")</x:f>
        <x:v>CHECK REVIEWER IDs</x:v>
      </x:c>
      <x:c r="H128" s="6" t="str">
        <x:f>IF(G128&lt;&gt;"FINAL READY","",IF(S128&lt;&gt;"retain","not_eligible",IF(D128="P_R","protocol_descriptive",IF(D128="P_P","plan_descriptive",IF(AND(T128="statistical_results",OR(U128="confirmed_issue",U128="probable_issue"),V128="substantive"),"primary_temporal",IF(AND(T128="report_internal_inconsistency",X128="substantive_inconsistency"),"secondary_temporal","not_eligible"))))))</x:f>
      </x:c>
      <x:c r="I128" s="6" t="str">
        <x:v>retain</x:v>
      </x:c>
      <x:c r="J128" s="6" t="str">
        <x:v>report_internal_inconsistency</x:v>
      </x:c>
      <x:c r="K128" s="6" t="str">
        <x:f>IF(Setup!$B$6="primary","",IFERROR(IF(INDEX('Primary_snapshot'!$B$2:$B$132,MATCH(C128,'Primary_snapshot'!$A$2:$A$132,0))="","",INDEX('Primary_snapshot'!$B$2:$B$132,MATCH(C128,'Primary_snapshot'!$A$2:$A$132,0))),"SNAPSHOT MISSING"))</x:f>
      </x:c>
      <x:c r="L128" s="6" t="str">
        <x:f>IF(Setup!$B$6="primary","",IFERROR(IF(INDEX('Primary_snapshot'!$C$2:$C$132,MATCH(C128,'Primary_snapshot'!$A$2:$A$132,0))="","",INDEX('Primary_snapshot'!$C$2:$C$132,MATCH(C128,'Primary_snapshot'!$A$2:$A$132,0))),"SNAPSHOT MISSING"))</x:f>
      </x:c>
      <x:c r="M128" s="6" t="str">
        <x:f>IF(Setup!$B$6="primary","",IFERROR(IF(INDEX('Primary_snapshot'!$D$2:$D$132,MATCH(C128,'Primary_snapshot'!$A$2:$A$132,0))="","",INDEX('Primary_snapshot'!$D$2:$D$132,MATCH(C128,'Primary_snapshot'!$A$2:$A$132,0))),"SNAPSHOT MISSING"))</x:f>
      </x:c>
      <x:c r="N128" s="6" t="str">
        <x:f>IF(Setup!$B$6="primary","",IFERROR(IF(INDEX('Primary_snapshot'!$E$2:$E$132,MATCH(C128,'Primary_snapshot'!$A$2:$A$132,0))="","",INDEX('Primary_snapshot'!$E$2:$E$132,MATCH(C128,'Primary_snapshot'!$A$2:$A$132,0))),"SNAPSHOT MISSING"))</x:f>
      </x:c>
      <x:c r="O128" s="6" t="str">
        <x:f>IF(Setup!$B$6="primary","",IFERROR(IF(INDEX('Primary_snapshot'!$F$2:$F$132,MATCH(C128,'Primary_snapshot'!$A$2:$A$132,0))="","",INDEX('Primary_snapshot'!$F$2:$F$132,MATCH(C128,'Primary_snapshot'!$A$2:$A$132,0))),"SNAPSHOT MISSING"))</x:f>
      </x:c>
      <x:c r="P128" s="6" t="str">
        <x:f>IF(Setup!$B$6="primary","",IFERROR(IF(INDEX('Primary_snapshot'!$G$2:$G$132,MATCH(C128,'Primary_snapshot'!$A$2:$A$132,0))="","",INDEX('Primary_snapshot'!$G$2:$G$132,MATCH(C128,'Primary_snapshot'!$A$2:$A$132,0))),"SNAPSHOT MISSING"))</x:f>
      </x:c>
      <x:c r="Q128" s="6" t="str">
        <x:f>IF(Setup!$B$6="primary","",IFERROR(IF(INDEX('Primary_snapshot'!$H$2:$H$132,MATCH(C128,'Primary_snapshot'!$A$2:$A$132,0))="","",INDEX('Primary_snapshot'!$H$2:$H$132,MATCH(C128,'Primary_snapshot'!$A$2:$A$132,0))),"SNAPSHOT MISSING"))</x:f>
      </x:c>
      <x:c r="R128" s="6" t="str">
        <x:f>IF(Setup!$B$6="primary","",IFERROR(IF(INDEX('Primary_snapshot'!$I$2:$I$132,MATCH(C128,'Primary_snapshot'!$A$2:$A$132,0))="","",INDEX('Primary_snapshot'!$I$2:$I$132,MATCH(C128,'Primary_snapshot'!$A$2:$A$132,0))),"SNAPSHOT MISSING"))</x:f>
      </x:c>
      <x:c r="S128" s="6" t="str">
        <x:f>IF(INDEX('C_jama.2025.9110'!$D$2:$D$7,MATCH("2025::jama.2025.9110::C005",'C_jama.2025.9110'!$A$2:$A$7,0))="","",INDEX('C_jama.2025.9110'!$D$2:$D$7,MATCH("2025::jama.2025.9110::C005",'C_jama.2025.9110'!$A$2:$A$7,0)))</x:f>
      </x:c>
      <x:c r="T128" s="6" t="str">
        <x:f>IF(INDEX('C_jama.2025.9110'!$E$2:$E$7,MATCH("2025::jama.2025.9110::C005",'C_jama.2025.9110'!$A$2:$A$7,0))="","",INDEX('C_jama.2025.9110'!$E$2:$E$7,MATCH("2025::jama.2025.9110::C005",'C_jama.2025.9110'!$A$2:$A$7,0)))</x:f>
        <x:v>report_internal_inconsistency</x:v>
      </x:c>
      <x:c r="U128" s="6" t="str">
        <x:f>IF(AND(INDEX('C_jama.2025.9110'!$D$2:$D$7,MATCH("2025::jama.2025.9110::C005",'C_jama.2025.9110'!$A$2:$A$7,0))="retain",INDEX('C_jama.2025.9110'!$E$2:$E$7,MATCH("2025::jama.2025.9110::C005",'C_jama.2025.9110'!$A$2:$A$7,0))="statistical_results"),IF(INDEX('C_jama.2025.9110'!$H$2:$H$7,MATCH("2025::jama.2025.9110::C005",'C_jama.2025.9110'!$A$2:$A$7,0))="","",INDEX('C_jama.2025.9110'!$H$2:$H$7,MATCH("2025::jama.2025.9110::C005",'C_jama.2025.9110'!$A$2:$A$7,0))),"not_applicable")</x:f>
        <x:v>not_applicable</x:v>
      </x:c>
      <x:c r="V128" s="6" t="str">
        <x:f>IF(AND(INDEX('C_jama.2025.9110'!$D$2:$D$7,MATCH("2025::jama.2025.9110::C005",'C_jama.2025.9110'!$A$2:$A$7,0))="retain",INDEX('C_jama.2025.9110'!$E$2:$E$7,MATCH("2025::jama.2025.9110::C005",'C_jama.2025.9110'!$A$2:$A$7,0))="statistical_results"),IF(INDEX('C_jama.2025.9110'!$I$2:$I$7,MATCH("2025::jama.2025.9110::C005",'C_jama.2025.9110'!$A$2:$A$7,0))="","",INDEX('C_jama.2025.9110'!$I$2:$I$7,MATCH("2025::jama.2025.9110::C005",'C_jama.2025.9110'!$A$2:$A$7,0))),"not_applicable")</x:f>
        <x:v>not_applicable</x:v>
      </x:c>
      <x:c r="W128" s="6" t="str">
        <x:f>IF(AND(INDEX('C_jama.2025.9110'!$D$2:$D$7,MATCH("2025::jama.2025.9110::C005",'C_jama.2025.9110'!$A$2:$A$7,0))="retain",INDEX('C_jama.2025.9110'!$E$2:$E$7,MATCH("2025::jama.2025.9110::C005",'C_jama.2025.9110'!$A$2:$A$7,0))="statistical_results"),IF(INDEX('C_jama.2025.9110'!$J$2:$J$7,MATCH("2025::jama.2025.9110::C005",'C_jama.2025.9110'!$A$2:$A$7,0))="","",INDEX('C_jama.2025.9110'!$J$2:$J$7,MATCH("2025::jama.2025.9110::C005",'C_jama.2025.9110'!$A$2:$A$7,0))),"not_applicable")</x:f>
        <x:v>not_applicable</x:v>
      </x:c>
      <x:c r="X128" s="6" t="str">
        <x:f>IF(AND(INDEX('C_jama.2025.9110'!$D$2:$D$7,MATCH("2025::jama.2025.9110::C005",'C_jama.2025.9110'!$A$2:$A$7,0))="retain",OR(INDEX('C_jama.2025.9110'!$E$2:$E$7,MATCH("2025::jama.2025.9110::C005",'C_jama.2025.9110'!$A$2:$A$7,0))="report_internal_inconsistency",INDEX('C_jama.2025.9110'!$E$2:$E$7,MATCH("2025::jama.2025.9110::C005",'C_jama.2025.9110'!$A$2:$A$7,0))="plan_material")),IF(INDEX('C_jama.2025.9110'!$K$2:$K$7,MATCH("2025::jama.2025.9110::C005",'C_jama.2025.9110'!$A$2:$A$7,0))="","",INDEX('C_jama.2025.9110'!$K$2:$K$7,MATCH("2025::jama.2025.9110::C005",'C_jama.2025.9110'!$A$2:$A$7,0))),"not_applicable")</x:f>
        <x:v>not_applicable</x:v>
      </x:c>
      <x:c r="Y128" s="6" t="str">
        <x:f>IF(AND(INDEX('C_jama.2025.9110'!$D$2:$D$7,MATCH("2025::jama.2025.9110::C005",'C_jama.2025.9110'!$A$2:$A$7,0))="retain",INDEX('C_jama.2025.9110'!$E$2:$E$7,MATCH("2025::jama.2025.9110::C005",'C_jama.2025.9110'!$A$2:$A$7,0))="protocol_report"),IF(INDEX('C_jama.2025.9110'!$L$2:$L$7,MATCH("2025::jama.2025.9110::C005",'C_jama.2025.9110'!$A$2:$A$7,0))="","",INDEX('C_jama.2025.9110'!$L$2:$L$7,MATCH("2025::jama.2025.9110::C005",'C_jama.2025.9110'!$A$2:$A$7,0))),"not_applicable")</x:f>
        <x:v>not_applicable</x:v>
      </x:c>
      <x:c r="Z128" s="6" t="str">
        <x:f>IF(INDEX('C_jama.2025.9110'!$R$2:$R$7,MATCH("2025::jama.2025.9110::C005",'C_jama.2025.9110'!$A$2:$A$7,0))="","",INDEX('C_jama.2025.9110'!$R$2:$R$7,MATCH("2025::jama.2025.9110::C005",'C_jama.2025.9110'!$A$2:$A$7,0)))</x:f>
      </x:c>
      <x:c r="AA128" s="6" t="str">
        <x:f>IF(INDEX('C_jama.2025.9110'!$N$2:$N$7,MATCH("2025::jama.2025.9110::C005",'C_jama.2025.9110'!$A$2:$A$7,0))="","",INDEX('C_jama.2025.9110'!$N$2:$N$7,MATCH("2025::jama.2025.9110::C005",'C_jama.2025.9110'!$A$2:$A$7,0)))</x:f>
      </x:c>
      <x:c r="AB128" s="6" t="str">
        <x:f>IF(INDEX('C_jama.2025.9110'!$O$2:$O$7,MATCH("2025::jama.2025.9110::C005",'C_jama.2025.9110'!$A$2:$A$7,0))="","",INDEX('C_jama.2025.9110'!$O$2:$O$7,MATCH("2025::jama.2025.9110::C005",'C_jama.2025.9110'!$A$2:$A$7,0)))</x:f>
      </x:c>
      <x:c r="AC128" s="6" t="str">
        <x:f>IF(INDEX('C_jama.2025.9110'!$P$2:$P$7,MATCH("2025::jama.2025.9110::C005",'C_jama.2025.9110'!$A$2:$A$7,0))="","",INDEX('C_jama.2025.9110'!$P$2:$P$7,MATCH("2025::jama.2025.9110::C005",'C_jama.2025.9110'!$A$2:$A$7,0)))</x:f>
      </x:c>
      <x:c r="AD128" s="6" t="str">
        <x:f>IF(INDEX('C_jama.2025.9110'!$Q$2:$Q$7,MATCH("2025::jama.2025.9110::C005",'C_jama.2025.9110'!$A$2:$A$7,0))="","",INDEX('C_jama.2025.9110'!$Q$2:$Q$7,MATCH("2025::jama.2025.9110::C005",'C_jama.2025.9110'!$A$2:$A$7,0)))</x:f>
      </x:c>
    </x:row>
    <x:row r="129" ht="65" customHeight="1">
      <x:c r="A129" s="3" t="n">
        <x:v>2025</x:v>
      </x:c>
      <x:c r="B129" s="3" t="str">
        <x:v>jama.2025.9110</x:v>
      </x:c>
      <x:c r="C129" s="3" t="str">
        <x:v>2025::jama.2025.9110::C006</x:v>
      </x:c>
      <x:c r="D129" s="3" t="str">
        <x:v>S_W</x:v>
      </x:c>
      <x:c r="E129" s="3" t="n">
        <x:f>Setup!$B$2</x:f>
        <x:v>0</x:v>
      </x:c>
      <x:c r="F129" s="3" t="str">
        <x:f>IF(Setup!$B$4="","",Setup!$B$4)</x:f>
      </x:c>
      <x:c r="G129" s="3" t="str">
        <x:f>IFERROR(INDEX('C_jama.2025.9110'!$G$2:$G$7,MATCH("2025::jama.2025.9110::C006",'C_jama.2025.9110'!$A$2:$A$7,0)),"CHECK KEY")</x:f>
        <x:v>CHECK REVIEWER IDs</x:v>
      </x:c>
      <x:c r="H129" s="3" t="str">
        <x:f>IF(G129&lt;&gt;"FINAL READY","",IF(S129&lt;&gt;"retain","not_eligible",IF(D129="P_R","protocol_descriptive",IF(D129="P_P","plan_descriptive",IF(AND(T129="statistical_results",OR(U129="confirmed_issue",U129="probable_issue"),V129="substantive"),"primary_temporal",IF(AND(T129="report_internal_inconsistency",X129="substantive_inconsistency"),"secondary_temporal","not_eligible"))))))</x:f>
      </x:c>
      <x:c r="I129" s="3" t="str">
        <x:v>retain</x:v>
      </x:c>
      <x:c r="J129" s="3" t="str">
        <x:v>report_internal_inconsistency</x:v>
      </x:c>
      <x:c r="K129" s="3" t="str">
        <x:f>IF(Setup!$B$6="primary","",IFERROR(IF(INDEX('Primary_snapshot'!$B$2:$B$132,MATCH(C129,'Primary_snapshot'!$A$2:$A$132,0))="","",INDEX('Primary_snapshot'!$B$2:$B$132,MATCH(C129,'Primary_snapshot'!$A$2:$A$132,0))),"SNAPSHOT MISSING"))</x:f>
      </x:c>
      <x:c r="L129" s="3" t="str">
        <x:f>IF(Setup!$B$6="primary","",IFERROR(IF(INDEX('Primary_snapshot'!$C$2:$C$132,MATCH(C129,'Primary_snapshot'!$A$2:$A$132,0))="","",INDEX('Primary_snapshot'!$C$2:$C$132,MATCH(C129,'Primary_snapshot'!$A$2:$A$132,0))),"SNAPSHOT MISSING"))</x:f>
      </x:c>
      <x:c r="M129" s="3" t="str">
        <x:f>IF(Setup!$B$6="primary","",IFERROR(IF(INDEX('Primary_snapshot'!$D$2:$D$132,MATCH(C129,'Primary_snapshot'!$A$2:$A$132,0))="","",INDEX('Primary_snapshot'!$D$2:$D$132,MATCH(C129,'Primary_snapshot'!$A$2:$A$132,0))),"SNAPSHOT MISSING"))</x:f>
      </x:c>
      <x:c r="N129" s="3" t="str">
        <x:f>IF(Setup!$B$6="primary","",IFERROR(IF(INDEX('Primary_snapshot'!$E$2:$E$132,MATCH(C129,'Primary_snapshot'!$A$2:$A$132,0))="","",INDEX('Primary_snapshot'!$E$2:$E$132,MATCH(C129,'Primary_snapshot'!$A$2:$A$132,0))),"SNAPSHOT MISSING"))</x:f>
      </x:c>
      <x:c r="O129" s="3" t="str">
        <x:f>IF(Setup!$B$6="primary","",IFERROR(IF(INDEX('Primary_snapshot'!$F$2:$F$132,MATCH(C129,'Primary_snapshot'!$A$2:$A$132,0))="","",INDEX('Primary_snapshot'!$F$2:$F$132,MATCH(C129,'Primary_snapshot'!$A$2:$A$132,0))),"SNAPSHOT MISSING"))</x:f>
      </x:c>
      <x:c r="P129" s="3" t="str">
        <x:f>IF(Setup!$B$6="primary","",IFERROR(IF(INDEX('Primary_snapshot'!$G$2:$G$132,MATCH(C129,'Primary_snapshot'!$A$2:$A$132,0))="","",INDEX('Primary_snapshot'!$G$2:$G$132,MATCH(C129,'Primary_snapshot'!$A$2:$A$132,0))),"SNAPSHOT MISSING"))</x:f>
      </x:c>
      <x:c r="Q129" s="3" t="str">
        <x:f>IF(Setup!$B$6="primary","",IFERROR(IF(INDEX('Primary_snapshot'!$H$2:$H$132,MATCH(C129,'Primary_snapshot'!$A$2:$A$132,0))="","",INDEX('Primary_snapshot'!$H$2:$H$132,MATCH(C129,'Primary_snapshot'!$A$2:$A$132,0))),"SNAPSHOT MISSING"))</x:f>
      </x:c>
      <x:c r="R129" s="3" t="str">
        <x:f>IF(Setup!$B$6="primary","",IFERROR(IF(INDEX('Primary_snapshot'!$I$2:$I$132,MATCH(C129,'Primary_snapshot'!$A$2:$A$132,0))="","",INDEX('Primary_snapshot'!$I$2:$I$132,MATCH(C129,'Primary_snapshot'!$A$2:$A$132,0))),"SNAPSHOT MISSING"))</x:f>
      </x:c>
      <x:c r="S129" s="3" t="str">
        <x:f>IF(INDEX('C_jama.2025.9110'!$D$2:$D$7,MATCH("2025::jama.2025.9110::C006",'C_jama.2025.9110'!$A$2:$A$7,0))="","",INDEX('C_jama.2025.9110'!$D$2:$D$7,MATCH("2025::jama.2025.9110::C006",'C_jama.2025.9110'!$A$2:$A$7,0)))</x:f>
      </x:c>
      <x:c r="T129" s="3" t="str">
        <x:f>IF(INDEX('C_jama.2025.9110'!$E$2:$E$7,MATCH("2025::jama.2025.9110::C006",'C_jama.2025.9110'!$A$2:$A$7,0))="","",INDEX('C_jama.2025.9110'!$E$2:$E$7,MATCH("2025::jama.2025.9110::C006",'C_jama.2025.9110'!$A$2:$A$7,0)))</x:f>
        <x:v>report_internal_inconsistency</x:v>
      </x:c>
      <x:c r="U129" s="3" t="str">
        <x:f>IF(AND(INDEX('C_jama.2025.9110'!$D$2:$D$7,MATCH("2025::jama.2025.9110::C006",'C_jama.2025.9110'!$A$2:$A$7,0))="retain",INDEX('C_jama.2025.9110'!$E$2:$E$7,MATCH("2025::jama.2025.9110::C006",'C_jama.2025.9110'!$A$2:$A$7,0))="statistical_results"),IF(INDEX('C_jama.2025.9110'!$H$2:$H$7,MATCH("2025::jama.2025.9110::C006",'C_jama.2025.9110'!$A$2:$A$7,0))="","",INDEX('C_jama.2025.9110'!$H$2:$H$7,MATCH("2025::jama.2025.9110::C006",'C_jama.2025.9110'!$A$2:$A$7,0))),"not_applicable")</x:f>
        <x:v>not_applicable</x:v>
      </x:c>
      <x:c r="V129" s="3" t="str">
        <x:f>IF(AND(INDEX('C_jama.2025.9110'!$D$2:$D$7,MATCH("2025::jama.2025.9110::C006",'C_jama.2025.9110'!$A$2:$A$7,0))="retain",INDEX('C_jama.2025.9110'!$E$2:$E$7,MATCH("2025::jama.2025.9110::C006",'C_jama.2025.9110'!$A$2:$A$7,0))="statistical_results"),IF(INDEX('C_jama.2025.9110'!$I$2:$I$7,MATCH("2025::jama.2025.9110::C006",'C_jama.2025.9110'!$A$2:$A$7,0))="","",INDEX('C_jama.2025.9110'!$I$2:$I$7,MATCH("2025::jama.2025.9110::C006",'C_jama.2025.9110'!$A$2:$A$7,0))),"not_applicable")</x:f>
        <x:v>not_applicable</x:v>
      </x:c>
      <x:c r="W129" s="3" t="str">
        <x:f>IF(AND(INDEX('C_jama.2025.9110'!$D$2:$D$7,MATCH("2025::jama.2025.9110::C006",'C_jama.2025.9110'!$A$2:$A$7,0))="retain",INDEX('C_jama.2025.9110'!$E$2:$E$7,MATCH("2025::jama.2025.9110::C006",'C_jama.2025.9110'!$A$2:$A$7,0))="statistical_results"),IF(INDEX('C_jama.2025.9110'!$J$2:$J$7,MATCH("2025::jama.2025.9110::C006",'C_jama.2025.9110'!$A$2:$A$7,0))="","",INDEX('C_jama.2025.9110'!$J$2:$J$7,MATCH("2025::jama.2025.9110::C006",'C_jama.2025.9110'!$A$2:$A$7,0))),"not_applicable")</x:f>
        <x:v>not_applicable</x:v>
      </x:c>
      <x:c r="X129" s="3" t="str">
        <x:f>IF(AND(INDEX('C_jama.2025.9110'!$D$2:$D$7,MATCH("2025::jama.2025.9110::C006",'C_jama.2025.9110'!$A$2:$A$7,0))="retain",OR(INDEX('C_jama.2025.9110'!$E$2:$E$7,MATCH("2025::jama.2025.9110::C006",'C_jama.2025.9110'!$A$2:$A$7,0))="report_internal_inconsistency",INDEX('C_jama.2025.9110'!$E$2:$E$7,MATCH("2025::jama.2025.9110::C006",'C_jama.2025.9110'!$A$2:$A$7,0))="plan_material")),IF(INDEX('C_jama.2025.9110'!$K$2:$K$7,MATCH("2025::jama.2025.9110::C006",'C_jama.2025.9110'!$A$2:$A$7,0))="","",INDEX('C_jama.2025.9110'!$K$2:$K$7,MATCH("2025::jama.2025.9110::C006",'C_jama.2025.9110'!$A$2:$A$7,0))),"not_applicable")</x:f>
        <x:v>not_applicable</x:v>
      </x:c>
      <x:c r="Y129" s="3" t="str">
        <x:f>IF(AND(INDEX('C_jama.2025.9110'!$D$2:$D$7,MATCH("2025::jama.2025.9110::C006",'C_jama.2025.9110'!$A$2:$A$7,0))="retain",INDEX('C_jama.2025.9110'!$E$2:$E$7,MATCH("2025::jama.2025.9110::C006",'C_jama.2025.9110'!$A$2:$A$7,0))="protocol_report"),IF(INDEX('C_jama.2025.9110'!$L$2:$L$7,MATCH("2025::jama.2025.9110::C006",'C_jama.2025.9110'!$A$2:$A$7,0))="","",INDEX('C_jama.2025.9110'!$L$2:$L$7,MATCH("2025::jama.2025.9110::C006",'C_jama.2025.9110'!$A$2:$A$7,0))),"not_applicable")</x:f>
        <x:v>not_applicable</x:v>
      </x:c>
      <x:c r="Z129" s="3" t="str">
        <x:f>IF(INDEX('C_jama.2025.9110'!$R$2:$R$7,MATCH("2025::jama.2025.9110::C006",'C_jama.2025.9110'!$A$2:$A$7,0))="","",INDEX('C_jama.2025.9110'!$R$2:$R$7,MATCH("2025::jama.2025.9110::C006",'C_jama.2025.9110'!$A$2:$A$7,0)))</x:f>
      </x:c>
      <x:c r="AA129" s="3" t="str">
        <x:f>IF(INDEX('C_jama.2025.9110'!$N$2:$N$7,MATCH("2025::jama.2025.9110::C006",'C_jama.2025.9110'!$A$2:$A$7,0))="","",INDEX('C_jama.2025.9110'!$N$2:$N$7,MATCH("2025::jama.2025.9110::C006",'C_jama.2025.9110'!$A$2:$A$7,0)))</x:f>
      </x:c>
      <x:c r="AB129" s="3" t="str">
        <x:f>IF(INDEX('C_jama.2025.9110'!$O$2:$O$7,MATCH("2025::jama.2025.9110::C006",'C_jama.2025.9110'!$A$2:$A$7,0))="","",INDEX('C_jama.2025.9110'!$O$2:$O$7,MATCH("2025::jama.2025.9110::C006",'C_jama.2025.9110'!$A$2:$A$7,0)))</x:f>
      </x:c>
      <x:c r="AC129" s="3" t="str">
        <x:f>IF(INDEX('C_jama.2025.9110'!$P$2:$P$7,MATCH("2025::jama.2025.9110::C006",'C_jama.2025.9110'!$A$2:$A$7,0))="","",INDEX('C_jama.2025.9110'!$P$2:$P$7,MATCH("2025::jama.2025.9110::C006",'C_jama.2025.9110'!$A$2:$A$7,0)))</x:f>
      </x:c>
      <x:c r="AD129" s="3" t="str">
        <x:f>IF(INDEX('C_jama.2025.9110'!$Q$2:$Q$7,MATCH("2025::jama.2025.9110::C006",'C_jama.2025.9110'!$A$2:$A$7,0))="","",INDEX('C_jama.2025.9110'!$Q$2:$Q$7,MATCH("2025::jama.2025.9110::C006",'C_jama.2025.9110'!$A$2:$A$7,0)))</x:f>
      </x:c>
    </x:row>
    <x:row r="130" ht="65" customHeight="1">
      <x:c r="A130" s="6" t="n">
        <x:v>2025</x:v>
      </x:c>
      <x:c r="B130" s="6" t="str">
        <x:v>jama.2025.9663</x:v>
      </x:c>
      <x:c r="C130" s="6" t="str">
        <x:v>2025::jama.2025.9663::C001</x:v>
      </x:c>
      <x:c r="D130" s="6" t="str">
        <x:v>S_W</x:v>
      </x:c>
      <x:c r="E130" s="6" t="n">
        <x:f>Setup!$B$2</x:f>
        <x:v>0</x:v>
      </x:c>
      <x:c r="F130" s="6" t="str">
        <x:f>IF(Setup!$B$4="","",Setup!$B$4)</x:f>
      </x:c>
      <x:c r="G130" s="6" t="str">
        <x:f>IFERROR(INDEX('C_jama.2025.9663'!$G$2:$G$4,MATCH("2025::jama.2025.9663::C001",'C_jama.2025.9663'!$A$2:$A$4,0)),"CHECK KEY")</x:f>
        <x:v>CHECK REVIEWER IDs</x:v>
      </x:c>
      <x:c r="H130" s="6" t="str">
        <x:f>IF(G130&lt;&gt;"FINAL READY","",IF(S130&lt;&gt;"retain","not_eligible",IF(D130="P_R","protocol_descriptive",IF(D130="P_P","plan_descriptive",IF(AND(T130="statistical_results",OR(U130="confirmed_issue",U130="probable_issue"),V130="substantive"),"primary_temporal",IF(AND(T130="report_internal_inconsistency",X130="substantive_inconsistency"),"secondary_temporal","not_eligible"))))))</x:f>
      </x:c>
      <x:c r="I130" s="6" t="str">
        <x:v>retain</x:v>
      </x:c>
      <x:c r="J130" s="6" t="str">
        <x:v>report_internal_inconsistency</x:v>
      </x:c>
      <x:c r="K130" s="6" t="str">
        <x:f>IF(Setup!$B$6="primary","",IFERROR(IF(INDEX('Primary_snapshot'!$B$2:$B$132,MATCH(C130,'Primary_snapshot'!$A$2:$A$132,0))="","",INDEX('Primary_snapshot'!$B$2:$B$132,MATCH(C130,'Primary_snapshot'!$A$2:$A$132,0))),"SNAPSHOT MISSING"))</x:f>
      </x:c>
      <x:c r="L130" s="6" t="str">
        <x:f>IF(Setup!$B$6="primary","",IFERROR(IF(INDEX('Primary_snapshot'!$C$2:$C$132,MATCH(C130,'Primary_snapshot'!$A$2:$A$132,0))="","",INDEX('Primary_snapshot'!$C$2:$C$132,MATCH(C130,'Primary_snapshot'!$A$2:$A$132,0))),"SNAPSHOT MISSING"))</x:f>
      </x:c>
      <x:c r="M130" s="6" t="str">
        <x:f>IF(Setup!$B$6="primary","",IFERROR(IF(INDEX('Primary_snapshot'!$D$2:$D$132,MATCH(C130,'Primary_snapshot'!$A$2:$A$132,0))="","",INDEX('Primary_snapshot'!$D$2:$D$132,MATCH(C130,'Primary_snapshot'!$A$2:$A$132,0))),"SNAPSHOT MISSING"))</x:f>
      </x:c>
      <x:c r="N130" s="6" t="str">
        <x:f>IF(Setup!$B$6="primary","",IFERROR(IF(INDEX('Primary_snapshot'!$E$2:$E$132,MATCH(C130,'Primary_snapshot'!$A$2:$A$132,0))="","",INDEX('Primary_snapshot'!$E$2:$E$132,MATCH(C130,'Primary_snapshot'!$A$2:$A$132,0))),"SNAPSHOT MISSING"))</x:f>
      </x:c>
      <x:c r="O130" s="6" t="str">
        <x:f>IF(Setup!$B$6="primary","",IFERROR(IF(INDEX('Primary_snapshot'!$F$2:$F$132,MATCH(C130,'Primary_snapshot'!$A$2:$A$132,0))="","",INDEX('Primary_snapshot'!$F$2:$F$132,MATCH(C130,'Primary_snapshot'!$A$2:$A$132,0))),"SNAPSHOT MISSING"))</x:f>
      </x:c>
      <x:c r="P130" s="6" t="str">
        <x:f>IF(Setup!$B$6="primary","",IFERROR(IF(INDEX('Primary_snapshot'!$G$2:$G$132,MATCH(C130,'Primary_snapshot'!$A$2:$A$132,0))="","",INDEX('Primary_snapshot'!$G$2:$G$132,MATCH(C130,'Primary_snapshot'!$A$2:$A$132,0))),"SNAPSHOT MISSING"))</x:f>
      </x:c>
      <x:c r="Q130" s="6" t="str">
        <x:f>IF(Setup!$B$6="primary","",IFERROR(IF(INDEX('Primary_snapshot'!$H$2:$H$132,MATCH(C130,'Primary_snapshot'!$A$2:$A$132,0))="","",INDEX('Primary_snapshot'!$H$2:$H$132,MATCH(C130,'Primary_snapshot'!$A$2:$A$132,0))),"SNAPSHOT MISSING"))</x:f>
      </x:c>
      <x:c r="R130" s="6" t="str">
        <x:f>IF(Setup!$B$6="primary","",IFERROR(IF(INDEX('Primary_snapshot'!$I$2:$I$132,MATCH(C130,'Primary_snapshot'!$A$2:$A$132,0))="","",INDEX('Primary_snapshot'!$I$2:$I$132,MATCH(C130,'Primary_snapshot'!$A$2:$A$132,0))),"SNAPSHOT MISSING"))</x:f>
      </x:c>
      <x:c r="S130" s="6" t="str">
        <x:f>IF(INDEX('C_jama.2025.9663'!$D$2:$D$4,MATCH("2025::jama.2025.9663::C001",'C_jama.2025.9663'!$A$2:$A$4,0))="","",INDEX('C_jama.2025.9663'!$D$2:$D$4,MATCH("2025::jama.2025.9663::C001",'C_jama.2025.9663'!$A$2:$A$4,0)))</x:f>
      </x:c>
      <x:c r="T130" s="6" t="str">
        <x:f>IF(INDEX('C_jama.2025.9663'!$E$2:$E$4,MATCH("2025::jama.2025.9663::C001",'C_jama.2025.9663'!$A$2:$A$4,0))="","",INDEX('C_jama.2025.9663'!$E$2:$E$4,MATCH("2025::jama.2025.9663::C001",'C_jama.2025.9663'!$A$2:$A$4,0)))</x:f>
        <x:v>report_internal_inconsistency</x:v>
      </x:c>
      <x:c r="U130" s="6" t="str">
        <x:f>IF(AND(INDEX('C_jama.2025.9663'!$D$2:$D$4,MATCH("2025::jama.2025.9663::C001",'C_jama.2025.9663'!$A$2:$A$4,0))="retain",INDEX('C_jama.2025.9663'!$E$2:$E$4,MATCH("2025::jama.2025.9663::C001",'C_jama.2025.9663'!$A$2:$A$4,0))="statistical_results"),IF(INDEX('C_jama.2025.9663'!$H$2:$H$4,MATCH("2025::jama.2025.9663::C001",'C_jama.2025.9663'!$A$2:$A$4,0))="","",INDEX('C_jama.2025.9663'!$H$2:$H$4,MATCH("2025::jama.2025.9663::C001",'C_jama.2025.9663'!$A$2:$A$4,0))),"not_applicable")</x:f>
        <x:v>not_applicable</x:v>
      </x:c>
      <x:c r="V130" s="6" t="str">
        <x:f>IF(AND(INDEX('C_jama.2025.9663'!$D$2:$D$4,MATCH("2025::jama.2025.9663::C001",'C_jama.2025.9663'!$A$2:$A$4,0))="retain",INDEX('C_jama.2025.9663'!$E$2:$E$4,MATCH("2025::jama.2025.9663::C001",'C_jama.2025.9663'!$A$2:$A$4,0))="statistical_results"),IF(INDEX('C_jama.2025.9663'!$I$2:$I$4,MATCH("2025::jama.2025.9663::C001",'C_jama.2025.9663'!$A$2:$A$4,0))="","",INDEX('C_jama.2025.9663'!$I$2:$I$4,MATCH("2025::jama.2025.9663::C001",'C_jama.2025.9663'!$A$2:$A$4,0))),"not_applicable")</x:f>
        <x:v>not_applicable</x:v>
      </x:c>
      <x:c r="W130" s="6" t="str">
        <x:f>IF(AND(INDEX('C_jama.2025.9663'!$D$2:$D$4,MATCH("2025::jama.2025.9663::C001",'C_jama.2025.9663'!$A$2:$A$4,0))="retain",INDEX('C_jama.2025.9663'!$E$2:$E$4,MATCH("2025::jama.2025.9663::C001",'C_jama.2025.9663'!$A$2:$A$4,0))="statistical_results"),IF(INDEX('C_jama.2025.9663'!$J$2:$J$4,MATCH("2025::jama.2025.9663::C001",'C_jama.2025.9663'!$A$2:$A$4,0))="","",INDEX('C_jama.2025.9663'!$J$2:$J$4,MATCH("2025::jama.2025.9663::C001",'C_jama.2025.9663'!$A$2:$A$4,0))),"not_applicable")</x:f>
        <x:v>not_applicable</x:v>
      </x:c>
      <x:c r="X130" s="6" t="str">
        <x:f>IF(AND(INDEX('C_jama.2025.9663'!$D$2:$D$4,MATCH("2025::jama.2025.9663::C001",'C_jama.2025.9663'!$A$2:$A$4,0))="retain",OR(INDEX('C_jama.2025.9663'!$E$2:$E$4,MATCH("2025::jama.2025.9663::C001",'C_jama.2025.9663'!$A$2:$A$4,0))="report_internal_inconsistency",INDEX('C_jama.2025.9663'!$E$2:$E$4,MATCH("2025::jama.2025.9663::C001",'C_jama.2025.9663'!$A$2:$A$4,0))="plan_material")),IF(INDEX('C_jama.2025.9663'!$K$2:$K$4,MATCH("2025::jama.2025.9663::C001",'C_jama.2025.9663'!$A$2:$A$4,0))="","",INDEX('C_jama.2025.9663'!$K$2:$K$4,MATCH("2025::jama.2025.9663::C001",'C_jama.2025.9663'!$A$2:$A$4,0))),"not_applicable")</x:f>
        <x:v>not_applicable</x:v>
      </x:c>
      <x:c r="Y130" s="6" t="str">
        <x:f>IF(AND(INDEX('C_jama.2025.9663'!$D$2:$D$4,MATCH("2025::jama.2025.9663::C001",'C_jama.2025.9663'!$A$2:$A$4,0))="retain",INDEX('C_jama.2025.9663'!$E$2:$E$4,MATCH("2025::jama.2025.9663::C001",'C_jama.2025.9663'!$A$2:$A$4,0))="protocol_report"),IF(INDEX('C_jama.2025.9663'!$L$2:$L$4,MATCH("2025::jama.2025.9663::C001",'C_jama.2025.9663'!$A$2:$A$4,0))="","",INDEX('C_jama.2025.9663'!$L$2:$L$4,MATCH("2025::jama.2025.9663::C001",'C_jama.2025.9663'!$A$2:$A$4,0))),"not_applicable")</x:f>
        <x:v>not_applicable</x:v>
      </x:c>
      <x:c r="Z130" s="6" t="str">
        <x:f>IF(INDEX('C_jama.2025.9663'!$R$2:$R$4,MATCH("2025::jama.2025.9663::C001",'C_jama.2025.9663'!$A$2:$A$4,0))="","",INDEX('C_jama.2025.9663'!$R$2:$R$4,MATCH("2025::jama.2025.9663::C001",'C_jama.2025.9663'!$A$2:$A$4,0)))</x:f>
      </x:c>
      <x:c r="AA130" s="6" t="str">
        <x:f>IF(INDEX('C_jama.2025.9663'!$N$2:$N$4,MATCH("2025::jama.2025.9663::C001",'C_jama.2025.9663'!$A$2:$A$4,0))="","",INDEX('C_jama.2025.9663'!$N$2:$N$4,MATCH("2025::jama.2025.9663::C001",'C_jama.2025.9663'!$A$2:$A$4,0)))</x:f>
      </x:c>
      <x:c r="AB130" s="6" t="str">
        <x:f>IF(INDEX('C_jama.2025.9663'!$O$2:$O$4,MATCH("2025::jama.2025.9663::C001",'C_jama.2025.9663'!$A$2:$A$4,0))="","",INDEX('C_jama.2025.9663'!$O$2:$O$4,MATCH("2025::jama.2025.9663::C001",'C_jama.2025.9663'!$A$2:$A$4,0)))</x:f>
      </x:c>
      <x:c r="AC130" s="6" t="str">
        <x:f>IF(INDEX('C_jama.2025.9663'!$P$2:$P$4,MATCH("2025::jama.2025.9663::C001",'C_jama.2025.9663'!$A$2:$A$4,0))="","",INDEX('C_jama.2025.9663'!$P$2:$P$4,MATCH("2025::jama.2025.9663::C001",'C_jama.2025.9663'!$A$2:$A$4,0)))</x:f>
      </x:c>
      <x:c r="AD130" s="6" t="str">
        <x:f>IF(INDEX('C_jama.2025.9663'!$Q$2:$Q$4,MATCH("2025::jama.2025.9663::C001",'C_jama.2025.9663'!$A$2:$A$4,0))="","",INDEX('C_jama.2025.9663'!$Q$2:$Q$4,MATCH("2025::jama.2025.9663::C001",'C_jama.2025.9663'!$A$2:$A$4,0)))</x:f>
      </x:c>
    </x:row>
    <x:row r="131" ht="65" customHeight="1">
      <x:c r="A131" s="3" t="n">
        <x:v>2025</x:v>
      </x:c>
      <x:c r="B131" s="3" t="str">
        <x:v>jama.2025.9663</x:v>
      </x:c>
      <x:c r="C131" s="3" t="str">
        <x:v>2025::jama.2025.9663::C002</x:v>
      </x:c>
      <x:c r="D131" s="3" t="str">
        <x:v>S_W</x:v>
      </x:c>
      <x:c r="E131" s="3" t="n">
        <x:f>Setup!$B$2</x:f>
        <x:v>0</x:v>
      </x:c>
      <x:c r="F131" s="3" t="str">
        <x:f>IF(Setup!$B$4="","",Setup!$B$4)</x:f>
      </x:c>
      <x:c r="G131" s="3" t="str">
        <x:f>IFERROR(INDEX('C_jama.2025.9663'!$G$2:$G$4,MATCH("2025::jama.2025.9663::C002",'C_jama.2025.9663'!$A$2:$A$4,0)),"CHECK KEY")</x:f>
        <x:v>CHECK REVIEWER IDs</x:v>
      </x:c>
      <x:c r="H131" s="3" t="str">
        <x:f>IF(G131&lt;&gt;"FINAL READY","",IF(S131&lt;&gt;"retain","not_eligible",IF(D131="P_R","protocol_descriptive",IF(D131="P_P","plan_descriptive",IF(AND(T131="statistical_results",OR(U131="confirmed_issue",U131="probable_issue"),V131="substantive"),"primary_temporal",IF(AND(T131="report_internal_inconsistency",X131="substantive_inconsistency"),"secondary_temporal","not_eligible"))))))</x:f>
      </x:c>
      <x:c r="I131" s="3" t="str">
        <x:v>retain</x:v>
      </x:c>
      <x:c r="J131" s="3" t="str">
        <x:v>report_internal_inconsistency</x:v>
      </x:c>
      <x:c r="K131" s="3" t="str">
        <x:f>IF(Setup!$B$6="primary","",IFERROR(IF(INDEX('Primary_snapshot'!$B$2:$B$132,MATCH(C131,'Primary_snapshot'!$A$2:$A$132,0))="","",INDEX('Primary_snapshot'!$B$2:$B$132,MATCH(C131,'Primary_snapshot'!$A$2:$A$132,0))),"SNAPSHOT MISSING"))</x:f>
      </x:c>
      <x:c r="L131" s="3" t="str">
        <x:f>IF(Setup!$B$6="primary","",IFERROR(IF(INDEX('Primary_snapshot'!$C$2:$C$132,MATCH(C131,'Primary_snapshot'!$A$2:$A$132,0))="","",INDEX('Primary_snapshot'!$C$2:$C$132,MATCH(C131,'Primary_snapshot'!$A$2:$A$132,0))),"SNAPSHOT MISSING"))</x:f>
      </x:c>
      <x:c r="M131" s="3" t="str">
        <x:f>IF(Setup!$B$6="primary","",IFERROR(IF(INDEX('Primary_snapshot'!$D$2:$D$132,MATCH(C131,'Primary_snapshot'!$A$2:$A$132,0))="","",INDEX('Primary_snapshot'!$D$2:$D$132,MATCH(C131,'Primary_snapshot'!$A$2:$A$132,0))),"SNAPSHOT MISSING"))</x:f>
      </x:c>
      <x:c r="N131" s="3" t="str">
        <x:f>IF(Setup!$B$6="primary","",IFERROR(IF(INDEX('Primary_snapshot'!$E$2:$E$132,MATCH(C131,'Primary_snapshot'!$A$2:$A$132,0))="","",INDEX('Primary_snapshot'!$E$2:$E$132,MATCH(C131,'Primary_snapshot'!$A$2:$A$132,0))),"SNAPSHOT MISSING"))</x:f>
      </x:c>
      <x:c r="O131" s="3" t="str">
        <x:f>IF(Setup!$B$6="primary","",IFERROR(IF(INDEX('Primary_snapshot'!$F$2:$F$132,MATCH(C131,'Primary_snapshot'!$A$2:$A$132,0))="","",INDEX('Primary_snapshot'!$F$2:$F$132,MATCH(C131,'Primary_snapshot'!$A$2:$A$132,0))),"SNAPSHOT MISSING"))</x:f>
      </x:c>
      <x:c r="P131" s="3" t="str">
        <x:f>IF(Setup!$B$6="primary","",IFERROR(IF(INDEX('Primary_snapshot'!$G$2:$G$132,MATCH(C131,'Primary_snapshot'!$A$2:$A$132,0))="","",INDEX('Primary_snapshot'!$G$2:$G$132,MATCH(C131,'Primary_snapshot'!$A$2:$A$132,0))),"SNAPSHOT MISSING"))</x:f>
      </x:c>
      <x:c r="Q131" s="3" t="str">
        <x:f>IF(Setup!$B$6="primary","",IFERROR(IF(INDEX('Primary_snapshot'!$H$2:$H$132,MATCH(C131,'Primary_snapshot'!$A$2:$A$132,0))="","",INDEX('Primary_snapshot'!$H$2:$H$132,MATCH(C131,'Primary_snapshot'!$A$2:$A$132,0))),"SNAPSHOT MISSING"))</x:f>
      </x:c>
      <x:c r="R131" s="3" t="str">
        <x:f>IF(Setup!$B$6="primary","",IFERROR(IF(INDEX('Primary_snapshot'!$I$2:$I$132,MATCH(C131,'Primary_snapshot'!$A$2:$A$132,0))="","",INDEX('Primary_snapshot'!$I$2:$I$132,MATCH(C131,'Primary_snapshot'!$A$2:$A$132,0))),"SNAPSHOT MISSING"))</x:f>
      </x:c>
      <x:c r="S131" s="3" t="str">
        <x:f>IF(INDEX('C_jama.2025.9663'!$D$2:$D$4,MATCH("2025::jama.2025.9663::C002",'C_jama.2025.9663'!$A$2:$A$4,0))="","",INDEX('C_jama.2025.9663'!$D$2:$D$4,MATCH("2025::jama.2025.9663::C002",'C_jama.2025.9663'!$A$2:$A$4,0)))</x:f>
      </x:c>
      <x:c r="T131" s="3" t="str">
        <x:f>IF(INDEX('C_jama.2025.9663'!$E$2:$E$4,MATCH("2025::jama.2025.9663::C002",'C_jama.2025.9663'!$A$2:$A$4,0))="","",INDEX('C_jama.2025.9663'!$E$2:$E$4,MATCH("2025::jama.2025.9663::C002",'C_jama.2025.9663'!$A$2:$A$4,0)))</x:f>
        <x:v>report_internal_inconsistency</x:v>
      </x:c>
      <x:c r="U131" s="3" t="str">
        <x:f>IF(AND(INDEX('C_jama.2025.9663'!$D$2:$D$4,MATCH("2025::jama.2025.9663::C002",'C_jama.2025.9663'!$A$2:$A$4,0))="retain",INDEX('C_jama.2025.9663'!$E$2:$E$4,MATCH("2025::jama.2025.9663::C002",'C_jama.2025.9663'!$A$2:$A$4,0))="statistical_results"),IF(INDEX('C_jama.2025.9663'!$H$2:$H$4,MATCH("2025::jama.2025.9663::C002",'C_jama.2025.9663'!$A$2:$A$4,0))="","",INDEX('C_jama.2025.9663'!$H$2:$H$4,MATCH("2025::jama.2025.9663::C002",'C_jama.2025.9663'!$A$2:$A$4,0))),"not_applicable")</x:f>
        <x:v>not_applicable</x:v>
      </x:c>
      <x:c r="V131" s="3" t="str">
        <x:f>IF(AND(INDEX('C_jama.2025.9663'!$D$2:$D$4,MATCH("2025::jama.2025.9663::C002",'C_jama.2025.9663'!$A$2:$A$4,0))="retain",INDEX('C_jama.2025.9663'!$E$2:$E$4,MATCH("2025::jama.2025.9663::C002",'C_jama.2025.9663'!$A$2:$A$4,0))="statistical_results"),IF(INDEX('C_jama.2025.9663'!$I$2:$I$4,MATCH("2025::jama.2025.9663::C002",'C_jama.2025.9663'!$A$2:$A$4,0))="","",INDEX('C_jama.2025.9663'!$I$2:$I$4,MATCH("2025::jama.2025.9663::C002",'C_jama.2025.9663'!$A$2:$A$4,0))),"not_applicable")</x:f>
        <x:v>not_applicable</x:v>
      </x:c>
      <x:c r="W131" s="3" t="str">
        <x:f>IF(AND(INDEX('C_jama.2025.9663'!$D$2:$D$4,MATCH("2025::jama.2025.9663::C002",'C_jama.2025.9663'!$A$2:$A$4,0))="retain",INDEX('C_jama.2025.9663'!$E$2:$E$4,MATCH("2025::jama.2025.9663::C002",'C_jama.2025.9663'!$A$2:$A$4,0))="statistical_results"),IF(INDEX('C_jama.2025.9663'!$J$2:$J$4,MATCH("2025::jama.2025.9663::C002",'C_jama.2025.9663'!$A$2:$A$4,0))="","",INDEX('C_jama.2025.9663'!$J$2:$J$4,MATCH("2025::jama.2025.9663::C002",'C_jama.2025.9663'!$A$2:$A$4,0))),"not_applicable")</x:f>
        <x:v>not_applicable</x:v>
      </x:c>
      <x:c r="X131" s="3" t="str">
        <x:f>IF(AND(INDEX('C_jama.2025.9663'!$D$2:$D$4,MATCH("2025::jama.2025.9663::C002",'C_jama.2025.9663'!$A$2:$A$4,0))="retain",OR(INDEX('C_jama.2025.9663'!$E$2:$E$4,MATCH("2025::jama.2025.9663::C002",'C_jama.2025.9663'!$A$2:$A$4,0))="report_internal_inconsistency",INDEX('C_jama.2025.9663'!$E$2:$E$4,MATCH("2025::jama.2025.9663::C002",'C_jama.2025.9663'!$A$2:$A$4,0))="plan_material")),IF(INDEX('C_jama.2025.9663'!$K$2:$K$4,MATCH("2025::jama.2025.9663::C002",'C_jama.2025.9663'!$A$2:$A$4,0))="","",INDEX('C_jama.2025.9663'!$K$2:$K$4,MATCH("2025::jama.2025.9663::C002",'C_jama.2025.9663'!$A$2:$A$4,0))),"not_applicable")</x:f>
        <x:v>not_applicable</x:v>
      </x:c>
      <x:c r="Y131" s="3" t="str">
        <x:f>IF(AND(INDEX('C_jama.2025.9663'!$D$2:$D$4,MATCH("2025::jama.2025.9663::C002",'C_jama.2025.9663'!$A$2:$A$4,0))="retain",INDEX('C_jama.2025.9663'!$E$2:$E$4,MATCH("2025::jama.2025.9663::C002",'C_jama.2025.9663'!$A$2:$A$4,0))="protocol_report"),IF(INDEX('C_jama.2025.9663'!$L$2:$L$4,MATCH("2025::jama.2025.9663::C002",'C_jama.2025.9663'!$A$2:$A$4,0))="","",INDEX('C_jama.2025.9663'!$L$2:$L$4,MATCH("2025::jama.2025.9663::C002",'C_jama.2025.9663'!$A$2:$A$4,0))),"not_applicable")</x:f>
        <x:v>not_applicable</x:v>
      </x:c>
      <x:c r="Z131" s="3" t="str">
        <x:f>IF(INDEX('C_jama.2025.9663'!$R$2:$R$4,MATCH("2025::jama.2025.9663::C002",'C_jama.2025.9663'!$A$2:$A$4,0))="","",INDEX('C_jama.2025.9663'!$R$2:$R$4,MATCH("2025::jama.2025.9663::C002",'C_jama.2025.9663'!$A$2:$A$4,0)))</x:f>
      </x:c>
      <x:c r="AA131" s="3" t="str">
        <x:f>IF(INDEX('C_jama.2025.9663'!$N$2:$N$4,MATCH("2025::jama.2025.9663::C002",'C_jama.2025.9663'!$A$2:$A$4,0))="","",INDEX('C_jama.2025.9663'!$N$2:$N$4,MATCH("2025::jama.2025.9663::C002",'C_jama.2025.9663'!$A$2:$A$4,0)))</x:f>
      </x:c>
      <x:c r="AB131" s="3" t="str">
        <x:f>IF(INDEX('C_jama.2025.9663'!$O$2:$O$4,MATCH("2025::jama.2025.9663::C002",'C_jama.2025.9663'!$A$2:$A$4,0))="","",INDEX('C_jama.2025.9663'!$O$2:$O$4,MATCH("2025::jama.2025.9663::C002",'C_jama.2025.9663'!$A$2:$A$4,0)))</x:f>
      </x:c>
      <x:c r="AC131" s="3" t="str">
        <x:f>IF(INDEX('C_jama.2025.9663'!$P$2:$P$4,MATCH("2025::jama.2025.9663::C002",'C_jama.2025.9663'!$A$2:$A$4,0))="","",INDEX('C_jama.2025.9663'!$P$2:$P$4,MATCH("2025::jama.2025.9663::C002",'C_jama.2025.9663'!$A$2:$A$4,0)))</x:f>
      </x:c>
      <x:c r="AD131" s="3" t="str">
        <x:f>IF(INDEX('C_jama.2025.9663'!$Q$2:$Q$4,MATCH("2025::jama.2025.9663::C002",'C_jama.2025.9663'!$A$2:$A$4,0))="","",INDEX('C_jama.2025.9663'!$Q$2:$Q$4,MATCH("2025::jama.2025.9663::C002",'C_jama.2025.9663'!$A$2:$A$4,0)))</x:f>
      </x:c>
    </x:row>
    <x:row r="132" ht="65" customHeight="1">
      <x:c r="A132" s="6" t="n">
        <x:v>2025</x:v>
      </x:c>
      <x:c r="B132" s="6" t="str">
        <x:v>jama.2025.9663</x:v>
      </x:c>
      <x:c r="C132" s="6" t="str">
        <x:v>2025::jama.2025.9663::C003</x:v>
      </x:c>
      <x:c r="D132" s="6" t="str">
        <x:v>P_P</x:v>
      </x:c>
      <x:c r="E132" s="6" t="n">
        <x:f>Setup!$B$2</x:f>
        <x:v>0</x:v>
      </x:c>
      <x:c r="F132" s="6" t="str">
        <x:f>IF(Setup!$B$4="","",Setup!$B$4)</x:f>
      </x:c>
      <x:c r="G132" s="6" t="str">
        <x:f>IFERROR(INDEX('C_jama.2025.9663'!$G$2:$G$4,MATCH("2025::jama.2025.9663::C003",'C_jama.2025.9663'!$A$2:$A$4,0)),"CHECK KEY")</x:f>
        <x:v>CHECK REVIEWER IDs</x:v>
      </x:c>
      <x:c r="H132" s="6" t="str">
        <x:f>IF(G132&lt;&gt;"FINAL READY","",IF(S132&lt;&gt;"retain","not_eligible",IF(D132="P_R","protocol_descriptive",IF(D132="P_P","plan_descriptive",IF(AND(T132="statistical_results",OR(U132="confirmed_issue",U132="probable_issue"),V132="substantive"),"primary_temporal",IF(AND(T132="report_internal_inconsistency",X132="substantive_inconsistency"),"secondary_temporal","not_eligible"))))))</x:f>
      </x:c>
      <x:c r="I132" s="6" t="str">
        <x:v>retain</x:v>
      </x:c>
      <x:c r="J132" s="6" t="str">
        <x:v>plan_material</x:v>
      </x:c>
      <x:c r="K132" s="6" t="str">
        <x:f>IF(Setup!$B$6="primary","",IFERROR(IF(INDEX('Primary_snapshot'!$B$2:$B$132,MATCH(C132,'Primary_snapshot'!$A$2:$A$132,0))="","",INDEX('Primary_snapshot'!$B$2:$B$132,MATCH(C132,'Primary_snapshot'!$A$2:$A$132,0))),"SNAPSHOT MISSING"))</x:f>
      </x:c>
      <x:c r="L132" s="6" t="str">
        <x:f>IF(Setup!$B$6="primary","",IFERROR(IF(INDEX('Primary_snapshot'!$C$2:$C$132,MATCH(C132,'Primary_snapshot'!$A$2:$A$132,0))="","",INDEX('Primary_snapshot'!$C$2:$C$132,MATCH(C132,'Primary_snapshot'!$A$2:$A$132,0))),"SNAPSHOT MISSING"))</x:f>
      </x:c>
      <x:c r="M132" s="6" t="str">
        <x:f>IF(Setup!$B$6="primary","",IFERROR(IF(INDEX('Primary_snapshot'!$D$2:$D$132,MATCH(C132,'Primary_snapshot'!$A$2:$A$132,0))="","",INDEX('Primary_snapshot'!$D$2:$D$132,MATCH(C132,'Primary_snapshot'!$A$2:$A$132,0))),"SNAPSHOT MISSING"))</x:f>
      </x:c>
      <x:c r="N132" s="6" t="str">
        <x:f>IF(Setup!$B$6="primary","",IFERROR(IF(INDEX('Primary_snapshot'!$E$2:$E$132,MATCH(C132,'Primary_snapshot'!$A$2:$A$132,0))="","",INDEX('Primary_snapshot'!$E$2:$E$132,MATCH(C132,'Primary_snapshot'!$A$2:$A$132,0))),"SNAPSHOT MISSING"))</x:f>
      </x:c>
      <x:c r="O132" s="6" t="str">
        <x:f>IF(Setup!$B$6="primary","",IFERROR(IF(INDEX('Primary_snapshot'!$F$2:$F$132,MATCH(C132,'Primary_snapshot'!$A$2:$A$132,0))="","",INDEX('Primary_snapshot'!$F$2:$F$132,MATCH(C132,'Primary_snapshot'!$A$2:$A$132,0))),"SNAPSHOT MISSING"))</x:f>
      </x:c>
      <x:c r="P132" s="6" t="str">
        <x:f>IF(Setup!$B$6="primary","",IFERROR(IF(INDEX('Primary_snapshot'!$G$2:$G$132,MATCH(C132,'Primary_snapshot'!$A$2:$A$132,0))="","",INDEX('Primary_snapshot'!$G$2:$G$132,MATCH(C132,'Primary_snapshot'!$A$2:$A$132,0))),"SNAPSHOT MISSING"))</x:f>
      </x:c>
      <x:c r="Q132" s="6" t="str">
        <x:f>IF(Setup!$B$6="primary","",IFERROR(IF(INDEX('Primary_snapshot'!$H$2:$H$132,MATCH(C132,'Primary_snapshot'!$A$2:$A$132,0))="","",INDEX('Primary_snapshot'!$H$2:$H$132,MATCH(C132,'Primary_snapshot'!$A$2:$A$132,0))),"SNAPSHOT MISSING"))</x:f>
      </x:c>
      <x:c r="R132" s="6" t="str">
        <x:f>IF(Setup!$B$6="primary","",IFERROR(IF(INDEX('Primary_snapshot'!$I$2:$I$132,MATCH(C132,'Primary_snapshot'!$A$2:$A$132,0))="","",INDEX('Primary_snapshot'!$I$2:$I$132,MATCH(C132,'Primary_snapshot'!$A$2:$A$132,0))),"SNAPSHOT MISSING"))</x:f>
      </x:c>
      <x:c r="S132" s="6" t="str">
        <x:f>IF(INDEX('C_jama.2025.9663'!$D$2:$D$4,MATCH("2025::jama.2025.9663::C003",'C_jama.2025.9663'!$A$2:$A$4,0))="","",INDEX('C_jama.2025.9663'!$D$2:$D$4,MATCH("2025::jama.2025.9663::C003",'C_jama.2025.9663'!$A$2:$A$4,0)))</x:f>
      </x:c>
      <x:c r="T132" s="6" t="str">
        <x:f>IF(INDEX('C_jama.2025.9663'!$E$2:$E$4,MATCH("2025::jama.2025.9663::C003",'C_jama.2025.9663'!$A$2:$A$4,0))="","",INDEX('C_jama.2025.9663'!$E$2:$E$4,MATCH("2025::jama.2025.9663::C003",'C_jama.2025.9663'!$A$2:$A$4,0)))</x:f>
        <x:v>plan_material</x:v>
      </x:c>
      <x:c r="U132" s="6" t="str">
        <x:f>IF(AND(INDEX('C_jama.2025.9663'!$D$2:$D$4,MATCH("2025::jama.2025.9663::C003",'C_jama.2025.9663'!$A$2:$A$4,0))="retain",INDEX('C_jama.2025.9663'!$E$2:$E$4,MATCH("2025::jama.2025.9663::C003",'C_jama.2025.9663'!$A$2:$A$4,0))="statistical_results"),IF(INDEX('C_jama.2025.9663'!$H$2:$H$4,MATCH("2025::jama.2025.9663::C003",'C_jama.2025.9663'!$A$2:$A$4,0))="","",INDEX('C_jama.2025.9663'!$H$2:$H$4,MATCH("2025::jama.2025.9663::C003",'C_jama.2025.9663'!$A$2:$A$4,0))),"not_applicable")</x:f>
        <x:v>not_applicable</x:v>
      </x:c>
      <x:c r="V132" s="6" t="str">
        <x:f>IF(AND(INDEX('C_jama.2025.9663'!$D$2:$D$4,MATCH("2025::jama.2025.9663::C003",'C_jama.2025.9663'!$A$2:$A$4,0))="retain",INDEX('C_jama.2025.9663'!$E$2:$E$4,MATCH("2025::jama.2025.9663::C003",'C_jama.2025.9663'!$A$2:$A$4,0))="statistical_results"),IF(INDEX('C_jama.2025.9663'!$I$2:$I$4,MATCH("2025::jama.2025.9663::C003",'C_jama.2025.9663'!$A$2:$A$4,0))="","",INDEX('C_jama.2025.9663'!$I$2:$I$4,MATCH("2025::jama.2025.9663::C003",'C_jama.2025.9663'!$A$2:$A$4,0))),"not_applicable")</x:f>
        <x:v>not_applicable</x:v>
      </x:c>
      <x:c r="W132" s="6" t="str">
        <x:f>IF(AND(INDEX('C_jama.2025.9663'!$D$2:$D$4,MATCH("2025::jama.2025.9663::C003",'C_jama.2025.9663'!$A$2:$A$4,0))="retain",INDEX('C_jama.2025.9663'!$E$2:$E$4,MATCH("2025::jama.2025.9663::C003",'C_jama.2025.9663'!$A$2:$A$4,0))="statistical_results"),IF(INDEX('C_jama.2025.9663'!$J$2:$J$4,MATCH("2025::jama.2025.9663::C003",'C_jama.2025.9663'!$A$2:$A$4,0))="","",INDEX('C_jama.2025.9663'!$J$2:$J$4,MATCH("2025::jama.2025.9663::C003",'C_jama.2025.9663'!$A$2:$A$4,0))),"not_applicable")</x:f>
        <x:v>not_applicable</x:v>
      </x:c>
      <x:c r="X132" s="6" t="str">
        <x:f>IF(AND(INDEX('C_jama.2025.9663'!$D$2:$D$4,MATCH("2025::jama.2025.9663::C003",'C_jama.2025.9663'!$A$2:$A$4,0))="retain",OR(INDEX('C_jama.2025.9663'!$E$2:$E$4,MATCH("2025::jama.2025.9663::C003",'C_jama.2025.9663'!$A$2:$A$4,0))="report_internal_inconsistency",INDEX('C_jama.2025.9663'!$E$2:$E$4,MATCH("2025::jama.2025.9663::C003",'C_jama.2025.9663'!$A$2:$A$4,0))="plan_material")),IF(INDEX('C_jama.2025.9663'!$K$2:$K$4,MATCH("2025::jama.2025.9663::C003",'C_jama.2025.9663'!$A$2:$A$4,0))="","",INDEX('C_jama.2025.9663'!$K$2:$K$4,MATCH("2025::jama.2025.9663::C003",'C_jama.2025.9663'!$A$2:$A$4,0))),"not_applicable")</x:f>
        <x:v>not_applicable</x:v>
      </x:c>
      <x:c r="Y132" s="6" t="str">
        <x:f>IF(AND(INDEX('C_jama.2025.9663'!$D$2:$D$4,MATCH("2025::jama.2025.9663::C003",'C_jama.2025.9663'!$A$2:$A$4,0))="retain",INDEX('C_jama.2025.9663'!$E$2:$E$4,MATCH("2025::jama.2025.9663::C003",'C_jama.2025.9663'!$A$2:$A$4,0))="protocol_report"),IF(INDEX('C_jama.2025.9663'!$L$2:$L$4,MATCH("2025::jama.2025.9663::C003",'C_jama.2025.9663'!$A$2:$A$4,0))="","",INDEX('C_jama.2025.9663'!$L$2:$L$4,MATCH("2025::jama.2025.9663::C003",'C_jama.2025.9663'!$A$2:$A$4,0))),"not_applicable")</x:f>
        <x:v>not_applicable</x:v>
      </x:c>
      <x:c r="Z132" s="6" t="str">
        <x:f>IF(INDEX('C_jama.2025.9663'!$R$2:$R$4,MATCH("2025::jama.2025.9663::C003",'C_jama.2025.9663'!$A$2:$A$4,0))="","",INDEX('C_jama.2025.9663'!$R$2:$R$4,MATCH("2025::jama.2025.9663::C003",'C_jama.2025.9663'!$A$2:$A$4,0)))</x:f>
      </x:c>
      <x:c r="AA132" s="6" t="str">
        <x:f>IF(INDEX('C_jama.2025.9663'!$N$2:$N$4,MATCH("2025::jama.2025.9663::C003",'C_jama.2025.9663'!$A$2:$A$4,0))="","",INDEX('C_jama.2025.9663'!$N$2:$N$4,MATCH("2025::jama.2025.9663::C003",'C_jama.2025.9663'!$A$2:$A$4,0)))</x:f>
      </x:c>
      <x:c r="AB132" s="6" t="str">
        <x:f>IF(INDEX('C_jama.2025.9663'!$O$2:$O$4,MATCH("2025::jama.2025.9663::C003",'C_jama.2025.9663'!$A$2:$A$4,0))="","",INDEX('C_jama.2025.9663'!$O$2:$O$4,MATCH("2025::jama.2025.9663::C003",'C_jama.2025.9663'!$A$2:$A$4,0)))</x:f>
      </x:c>
      <x:c r="AC132" s="6" t="str">
        <x:f>IF(INDEX('C_jama.2025.9663'!$P$2:$P$4,MATCH("2025::jama.2025.9663::C003",'C_jama.2025.9663'!$A$2:$A$4,0))="","",INDEX('C_jama.2025.9663'!$P$2:$P$4,MATCH("2025::jama.2025.9663::C003",'C_jama.2025.9663'!$A$2:$A$4,0)))</x:f>
      </x:c>
      <x:c r="AD132" s="6" t="str">
        <x:f>IF(INDEX('C_jama.2025.9663'!$Q$2:$Q$4,MATCH("2025::jama.2025.9663::C003",'C_jama.2025.9663'!$A$2:$A$4,0))="","",INDEX('C_jama.2025.9663'!$Q$2:$Q$4,MATCH("2025::jama.2025.9663::C003",'C_jama.2025.9663'!$A$2:$A$4,0)))</x:f>
      </x:c>
    </x:row>
  </x:sheetData>
  <x:pageMargins left="0.7" right="0.7" top="0.75" bottom="0.75" header="0.3" footer="0.3"/>
  <x:tableParts count="1">
    <x:tablePart xmlns:r="http://schemas.openxmlformats.org/officeDocument/2006/relationships" r:id="R35b8bdaf899f42a2"/>
  </x:tableParts>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2025</x:v>
      </x:c>
      <x:c r="B2" s="6" t="str">
        <x:v>jama.2024.24764</x:v>
      </x:c>
      <x:c r="C2" s="6" t="n">
        <x:v>8</x:v>
      </x:c>
      <x:c r="D2" s="6" t="n">
        <x:f>C2-COUNTIFS(Decisions!$B$2:$B$132,B2,Decisions!$G$2:$G$132,"FINAL READY")-E2</x:f>
        <x:v>8</x:v>
      </x:c>
      <x:c r="E2" s="6" t="n">
        <x:f>COUNTIFS(Decisions!$B$2:$B$132,B2,Decisions!$G$2:$G$132,"DISCUSS")</x:f>
        <x:v>0</x:v>
      </x:c>
      <x:c r="F2" s="6" t="str">
        <x:f>IF(D2+E2=0,"yes","no")</x:f>
        <x:v>no</x:v>
      </x:c>
      <x:c r="G2" s="6" t="str">
        <x:f>IF(F2&lt;&gt;"yes","",COUNTIFS(Decisions!$B$2:$B$132,B2,Decisions!$H$2:$H$132,"primary_temporal"))</x:f>
      </x:c>
      <x:c r="H2" s="6" t="str">
        <x:f>IF(F2&lt;&gt;"yes","",COUNTIFS(Decisions!$B$2:$B$132,B2,Decisions!$H$2:$H$132,"secondary_temporal"))</x:f>
      </x:c>
      <x:c r="I2" s="6" t="str">
        <x:f>IF(F2&lt;&gt;"yes","",COUNTIFS(Decisions!$B$2:$B$132,B2,Decisions!$H$2:$H$132,"protocol_descriptive"))</x:f>
      </x:c>
      <x:c r="J2" s="6" t="str">
        <x:f>IF(F2&lt;&gt;"yes","",COUNTIFS(Decisions!$B$2:$B$132,B2,Decisions!$H$2:$H$132,"plan_descriptive"))</x:f>
      </x:c>
    </x:row>
    <x:row r="3" ht="42" customHeight="1">
      <x:c r="A3" s="3" t="n">
        <x:v>2025</x:v>
      </x:c>
      <x:c r="B3" s="3" t="str">
        <x:v>jama.2024.27643</x:v>
      </x:c>
      <x:c r="C3" s="3" t="n">
        <x:v>8</x:v>
      </x:c>
      <x:c r="D3" s="3" t="n">
        <x:f>C3-COUNTIFS(Decisions!$B$2:$B$132,B3,Decisions!$G$2:$G$132,"FINAL READY")-E3</x:f>
        <x:v>8</x:v>
      </x:c>
      <x:c r="E3" s="3" t="n">
        <x:f>COUNTIFS(Decisions!$B$2:$B$132,B3,Decisions!$G$2:$G$132,"DISCUSS")</x:f>
        <x:v>0</x:v>
      </x:c>
      <x:c r="F3" s="3" t="str">
        <x:f>IF(D3+E3=0,"yes","no")</x:f>
        <x:v>no</x:v>
      </x:c>
      <x:c r="G3" s="3" t="str">
        <x:f>IF(F3&lt;&gt;"yes","",COUNTIFS(Decisions!$B$2:$B$132,B3,Decisions!$H$2:$H$132,"primary_temporal"))</x:f>
      </x:c>
      <x:c r="H3" s="3" t="str">
        <x:f>IF(F3&lt;&gt;"yes","",COUNTIFS(Decisions!$B$2:$B$132,B3,Decisions!$H$2:$H$132,"secondary_temporal"))</x:f>
      </x:c>
      <x:c r="I3" s="3" t="str">
        <x:f>IF(F3&lt;&gt;"yes","",COUNTIFS(Decisions!$B$2:$B$132,B3,Decisions!$H$2:$H$132,"protocol_descriptive"))</x:f>
      </x:c>
      <x:c r="J3" s="3" t="str">
        <x:f>IF(F3&lt;&gt;"yes","",COUNTIFS(Decisions!$B$2:$B$132,B3,Decisions!$H$2:$H$132,"plan_descriptive"))</x:f>
      </x:c>
    </x:row>
    <x:row r="4" ht="42" customHeight="1">
      <x:c r="A4" s="6" t="n">
        <x:v>2025</x:v>
      </x:c>
      <x:c r="B4" s="6" t="str">
        <x:v>jama.2025.11178</x:v>
      </x:c>
      <x:c r="C4" s="6" t="n">
        <x:v>37</x:v>
      </x:c>
      <x:c r="D4" s="6" t="n">
        <x:f>C4-COUNTIFS(Decisions!$B$2:$B$132,B4,Decisions!$G$2:$G$132,"FINAL READY")-E4</x:f>
        <x:v>37</x:v>
      </x:c>
      <x:c r="E4" s="6" t="n">
        <x:f>COUNTIFS(Decisions!$B$2:$B$132,B4,Decisions!$G$2:$G$132,"DISCUSS")</x:f>
        <x:v>0</x:v>
      </x:c>
      <x:c r="F4" s="6" t="str">
        <x:f>IF(D4+E4=0,"yes","no")</x:f>
        <x:v>no</x:v>
      </x:c>
      <x:c r="G4" s="6" t="str">
        <x:f>IF(F4&lt;&gt;"yes","",COUNTIFS(Decisions!$B$2:$B$132,B4,Decisions!$H$2:$H$132,"primary_temporal"))</x:f>
      </x:c>
      <x:c r="H4" s="6" t="str">
        <x:f>IF(F4&lt;&gt;"yes","",COUNTIFS(Decisions!$B$2:$B$132,B4,Decisions!$H$2:$H$132,"secondary_temporal"))</x:f>
      </x:c>
      <x:c r="I4" s="6" t="str">
        <x:f>IF(F4&lt;&gt;"yes","",COUNTIFS(Decisions!$B$2:$B$132,B4,Decisions!$H$2:$H$132,"protocol_descriptive"))</x:f>
      </x:c>
      <x:c r="J4" s="6" t="str">
        <x:f>IF(F4&lt;&gt;"yes","",COUNTIFS(Decisions!$B$2:$B$132,B4,Decisions!$H$2:$H$132,"plan_descriptive"))</x:f>
      </x:c>
    </x:row>
    <x:row r="5" ht="42" customHeight="1">
      <x:c r="A5" s="3" t="n">
        <x:v>2025</x:v>
      </x:c>
      <x:c r="B5" s="3" t="str">
        <x:v>jama.2025.15185</x:v>
      </x:c>
      <x:c r="C5" s="3" t="n">
        <x:v>12</x:v>
      </x:c>
      <x:c r="D5" s="3" t="n">
        <x:f>C5-COUNTIFS(Decisions!$B$2:$B$132,B5,Decisions!$G$2:$G$132,"FINAL READY")-E5</x:f>
        <x:v>12</x:v>
      </x:c>
      <x:c r="E5" s="3" t="n">
        <x:f>COUNTIFS(Decisions!$B$2:$B$132,B5,Decisions!$G$2:$G$132,"DISCUSS")</x:f>
        <x:v>0</x:v>
      </x:c>
      <x:c r="F5" s="3" t="str">
        <x:f>IF(D5+E5=0,"yes","no")</x:f>
        <x:v>no</x:v>
      </x:c>
      <x:c r="G5" s="3" t="str">
        <x:f>IF(F5&lt;&gt;"yes","",COUNTIFS(Decisions!$B$2:$B$132,B5,Decisions!$H$2:$H$132,"primary_temporal"))</x:f>
      </x:c>
      <x:c r="H5" s="3" t="str">
        <x:f>IF(F5&lt;&gt;"yes","",COUNTIFS(Decisions!$B$2:$B$132,B5,Decisions!$H$2:$H$132,"secondary_temporal"))</x:f>
      </x:c>
      <x:c r="I5" s="3" t="str">
        <x:f>IF(F5&lt;&gt;"yes","",COUNTIFS(Decisions!$B$2:$B$132,B5,Decisions!$H$2:$H$132,"protocol_descriptive"))</x:f>
      </x:c>
      <x:c r="J5" s="3" t="str">
        <x:f>IF(F5&lt;&gt;"yes","",COUNTIFS(Decisions!$B$2:$B$132,B5,Decisions!$H$2:$H$132,"plan_descriptive"))</x:f>
      </x:c>
    </x:row>
    <x:row r="6" ht="42" customHeight="1">
      <x:c r="A6" s="6" t="n">
        <x:v>2025</x:v>
      </x:c>
      <x:c r="B6" s="6" t="str">
        <x:v>jama.2025.15440</x:v>
      </x:c>
      <x:c r="C6" s="6" t="n">
        <x:v>2</x:v>
      </x:c>
      <x:c r="D6" s="6" t="n">
        <x:f>C6-COUNTIFS(Decisions!$B$2:$B$132,B6,Decisions!$G$2:$G$132,"FINAL READY")-E6</x:f>
        <x:v>2</x:v>
      </x:c>
      <x:c r="E6" s="6" t="n">
        <x:f>COUNTIFS(Decisions!$B$2:$B$132,B6,Decisions!$G$2:$G$132,"DISCUSS")</x:f>
        <x:v>0</x:v>
      </x:c>
      <x:c r="F6" s="6" t="str">
        <x:f>IF(D6+E6=0,"yes","no")</x:f>
        <x:v>no</x:v>
      </x:c>
      <x:c r="G6" s="6" t="str">
        <x:f>IF(F6&lt;&gt;"yes","",COUNTIFS(Decisions!$B$2:$B$132,B6,Decisions!$H$2:$H$132,"primary_temporal"))</x:f>
      </x:c>
      <x:c r="H6" s="6" t="str">
        <x:f>IF(F6&lt;&gt;"yes","",COUNTIFS(Decisions!$B$2:$B$132,B6,Decisions!$H$2:$H$132,"secondary_temporal"))</x:f>
      </x:c>
      <x:c r="I6" s="6" t="str">
        <x:f>IF(F6&lt;&gt;"yes","",COUNTIFS(Decisions!$B$2:$B$132,B6,Decisions!$H$2:$H$132,"protocol_descriptive"))</x:f>
      </x:c>
      <x:c r="J6" s="6" t="str">
        <x:f>IF(F6&lt;&gt;"yes","",COUNTIFS(Decisions!$B$2:$B$132,B6,Decisions!$H$2:$H$132,"plan_descriptive"))</x:f>
      </x:c>
    </x:row>
    <x:row r="7" ht="42" customHeight="1">
      <x:c r="A7" s="3" t="n">
        <x:v>2025</x:v>
      </x:c>
      <x:c r="B7" s="3" t="str">
        <x:v>jama.2025.16450</x:v>
      </x:c>
      <x:c r="C7" s="3" t="n">
        <x:v>10</x:v>
      </x:c>
      <x:c r="D7" s="3" t="n">
        <x:f>C7-COUNTIFS(Decisions!$B$2:$B$132,B7,Decisions!$G$2:$G$132,"FINAL READY")-E7</x:f>
        <x:v>10</x:v>
      </x:c>
      <x:c r="E7" s="3" t="n">
        <x:f>COUNTIFS(Decisions!$B$2:$B$132,B7,Decisions!$G$2:$G$132,"DISCUSS")</x:f>
        <x:v>0</x:v>
      </x:c>
      <x:c r="F7" s="3" t="str">
        <x:f>IF(D7+E7=0,"yes","no")</x:f>
        <x:v>no</x:v>
      </x:c>
      <x:c r="G7" s="3" t="str">
        <x:f>IF(F7&lt;&gt;"yes","",COUNTIFS(Decisions!$B$2:$B$132,B7,Decisions!$H$2:$H$132,"primary_temporal"))</x:f>
      </x:c>
      <x:c r="H7" s="3" t="str">
        <x:f>IF(F7&lt;&gt;"yes","",COUNTIFS(Decisions!$B$2:$B$132,B7,Decisions!$H$2:$H$132,"secondary_temporal"))</x:f>
      </x:c>
      <x:c r="I7" s="3" t="str">
        <x:f>IF(F7&lt;&gt;"yes","",COUNTIFS(Decisions!$B$2:$B$132,B7,Decisions!$H$2:$H$132,"protocol_descriptive"))</x:f>
      </x:c>
      <x:c r="J7" s="3" t="str">
        <x:f>IF(F7&lt;&gt;"yes","",COUNTIFS(Decisions!$B$2:$B$132,B7,Decisions!$H$2:$H$132,"plan_descriptive"))</x:f>
      </x:c>
    </x:row>
    <x:row r="8" ht="42" customHeight="1">
      <x:c r="A8" s="6" t="n">
        <x:v>2025</x:v>
      </x:c>
      <x:c r="B8" s="6" t="str">
        <x:v>jama.2025.19563</x:v>
      </x:c>
      <x:c r="C8" s="6" t="n">
        <x:v>7</x:v>
      </x:c>
      <x:c r="D8" s="6" t="n">
        <x:f>C8-COUNTIFS(Decisions!$B$2:$B$132,B8,Decisions!$G$2:$G$132,"FINAL READY")-E8</x:f>
        <x:v>7</x:v>
      </x:c>
      <x:c r="E8" s="6" t="n">
        <x:f>COUNTIFS(Decisions!$B$2:$B$132,B8,Decisions!$G$2:$G$132,"DISCUSS")</x:f>
        <x:v>0</x:v>
      </x:c>
      <x:c r="F8" s="6" t="str">
        <x:f>IF(D8+E8=0,"yes","no")</x:f>
        <x:v>no</x:v>
      </x:c>
      <x:c r="G8" s="6" t="str">
        <x:f>IF(F8&lt;&gt;"yes","",COUNTIFS(Decisions!$B$2:$B$132,B8,Decisions!$H$2:$H$132,"primary_temporal"))</x:f>
      </x:c>
      <x:c r="H8" s="6" t="str">
        <x:f>IF(F8&lt;&gt;"yes","",COUNTIFS(Decisions!$B$2:$B$132,B8,Decisions!$H$2:$H$132,"secondary_temporal"))</x:f>
      </x:c>
      <x:c r="I8" s="6" t="str">
        <x:f>IF(F8&lt;&gt;"yes","",COUNTIFS(Decisions!$B$2:$B$132,B8,Decisions!$H$2:$H$132,"protocol_descriptive"))</x:f>
      </x:c>
      <x:c r="J8" s="6" t="str">
        <x:f>IF(F8&lt;&gt;"yes","",COUNTIFS(Decisions!$B$2:$B$132,B8,Decisions!$H$2:$H$132,"plan_descriptive"))</x:f>
      </x:c>
    </x:row>
    <x:row r="9" ht="42" customHeight="1">
      <x:c r="A9" s="3" t="n">
        <x:v>2025</x:v>
      </x:c>
      <x:c r="B9" s="3" t="str">
        <x:v>jama.2025.19843</x:v>
      </x:c>
      <x:c r="C9" s="3" t="n">
        <x:v>1</x:v>
      </x:c>
      <x:c r="D9" s="3" t="n">
        <x:f>C9-COUNTIFS(Decisions!$B$2:$B$132,B9,Decisions!$G$2:$G$132,"FINAL READY")-E9</x:f>
        <x:v>1</x:v>
      </x:c>
      <x:c r="E9" s="3" t="n">
        <x:f>COUNTIFS(Decisions!$B$2:$B$132,B9,Decisions!$G$2:$G$132,"DISCUSS")</x:f>
        <x:v>0</x:v>
      </x:c>
      <x:c r="F9" s="3" t="str">
        <x:f>IF(D9+E9=0,"yes","no")</x:f>
        <x:v>no</x:v>
      </x:c>
      <x:c r="G9" s="3" t="str">
        <x:f>IF(F9&lt;&gt;"yes","",COUNTIFS(Decisions!$B$2:$B$132,B9,Decisions!$H$2:$H$132,"primary_temporal"))</x:f>
      </x:c>
      <x:c r="H9" s="3" t="str">
        <x:f>IF(F9&lt;&gt;"yes","",COUNTIFS(Decisions!$B$2:$B$132,B9,Decisions!$H$2:$H$132,"secondary_temporal"))</x:f>
      </x:c>
      <x:c r="I9" s="3" t="str">
        <x:f>IF(F9&lt;&gt;"yes","",COUNTIFS(Decisions!$B$2:$B$132,B9,Decisions!$H$2:$H$132,"protocol_descriptive"))</x:f>
      </x:c>
      <x:c r="J9" s="3" t="str">
        <x:f>IF(F9&lt;&gt;"yes","",COUNTIFS(Decisions!$B$2:$B$132,B9,Decisions!$H$2:$H$132,"plan_descriptive"))</x:f>
      </x:c>
    </x:row>
    <x:row r="10" ht="42" customHeight="1">
      <x:c r="A10" s="6" t="n">
        <x:v>2025</x:v>
      </x:c>
      <x:c r="B10" s="6" t="str">
        <x:v>jama.2025.20765</x:v>
      </x:c>
      <x:c r="C10" s="6" t="n">
        <x:v>13</x:v>
      </x:c>
      <x:c r="D10" s="6" t="n">
        <x:f>C10-COUNTIFS(Decisions!$B$2:$B$132,B10,Decisions!$G$2:$G$132,"FINAL READY")-E10</x:f>
        <x:v>13</x:v>
      </x:c>
      <x:c r="E10" s="6" t="n">
        <x:f>COUNTIFS(Decisions!$B$2:$B$132,B10,Decisions!$G$2:$G$132,"DISCUSS")</x:f>
        <x:v>0</x:v>
      </x:c>
      <x:c r="F10" s="6" t="str">
        <x:f>IF(D10+E10=0,"yes","no")</x:f>
        <x:v>no</x:v>
      </x:c>
      <x:c r="G10" s="6" t="str">
        <x:f>IF(F10&lt;&gt;"yes","",COUNTIFS(Decisions!$B$2:$B$132,B10,Decisions!$H$2:$H$132,"primary_temporal"))</x:f>
      </x:c>
      <x:c r="H10" s="6" t="str">
        <x:f>IF(F10&lt;&gt;"yes","",COUNTIFS(Decisions!$B$2:$B$132,B10,Decisions!$H$2:$H$132,"secondary_temporal"))</x:f>
      </x:c>
      <x:c r="I10" s="6" t="str">
        <x:f>IF(F10&lt;&gt;"yes","",COUNTIFS(Decisions!$B$2:$B$132,B10,Decisions!$H$2:$H$132,"protocol_descriptive"))</x:f>
      </x:c>
      <x:c r="J10" s="6" t="str">
        <x:f>IF(F10&lt;&gt;"yes","",COUNTIFS(Decisions!$B$2:$B$132,B10,Decisions!$H$2:$H$132,"plan_descriptive"))</x:f>
      </x:c>
    </x:row>
    <x:row r="11" ht="42" customHeight="1">
      <x:c r="A11" s="3" t="n">
        <x:v>2025</x:v>
      </x:c>
      <x:c r="B11" s="3" t="str">
        <x:v>jama.2025.24175</x:v>
      </x:c>
      <x:c r="C11" s="3" t="n">
        <x:v>14</x:v>
      </x:c>
      <x:c r="D11" s="3" t="n">
        <x:f>C11-COUNTIFS(Decisions!$B$2:$B$132,B11,Decisions!$G$2:$G$132,"FINAL READY")-E11</x:f>
        <x:v>14</x:v>
      </x:c>
      <x:c r="E11" s="3" t="n">
        <x:f>COUNTIFS(Decisions!$B$2:$B$132,B11,Decisions!$G$2:$G$132,"DISCUSS")</x:f>
        <x:v>0</x:v>
      </x:c>
      <x:c r="F11" s="3" t="str">
        <x:f>IF(D11+E11=0,"yes","no")</x:f>
        <x:v>no</x:v>
      </x:c>
      <x:c r="G11" s="3" t="str">
        <x:f>IF(F11&lt;&gt;"yes","",COUNTIFS(Decisions!$B$2:$B$132,B11,Decisions!$H$2:$H$132,"primary_temporal"))</x:f>
      </x:c>
      <x:c r="H11" s="3" t="str">
        <x:f>IF(F11&lt;&gt;"yes","",COUNTIFS(Decisions!$B$2:$B$132,B11,Decisions!$H$2:$H$132,"secondary_temporal"))</x:f>
      </x:c>
      <x:c r="I11" s="3" t="str">
        <x:f>IF(F11&lt;&gt;"yes","",COUNTIFS(Decisions!$B$2:$B$132,B11,Decisions!$H$2:$H$132,"protocol_descriptive"))</x:f>
      </x:c>
      <x:c r="J11" s="3" t="str">
        <x:f>IF(F11&lt;&gt;"yes","",COUNTIFS(Decisions!$B$2:$B$132,B11,Decisions!$H$2:$H$132,"plan_descriptive"))</x:f>
      </x:c>
    </x:row>
    <x:row r="12" ht="42" customHeight="1">
      <x:c r="A12" s="6" t="n">
        <x:v>2025</x:v>
      </x:c>
      <x:c r="B12" s="6" t="str">
        <x:v>jama.2025.4390</x:v>
      </x:c>
      <x:c r="C12" s="6" t="n">
        <x:v>3</x:v>
      </x:c>
      <x:c r="D12" s="6" t="n">
        <x:f>C12-COUNTIFS(Decisions!$B$2:$B$132,B12,Decisions!$G$2:$G$132,"FINAL READY")-E12</x:f>
        <x:v>3</x:v>
      </x:c>
      <x:c r="E12" s="6" t="n">
        <x:f>COUNTIFS(Decisions!$B$2:$B$132,B12,Decisions!$G$2:$G$132,"DISCUSS")</x:f>
        <x:v>0</x:v>
      </x:c>
      <x:c r="F12" s="6" t="str">
        <x:f>IF(D12+E12=0,"yes","no")</x:f>
        <x:v>no</x:v>
      </x:c>
      <x:c r="G12" s="6" t="str">
        <x:f>IF(F12&lt;&gt;"yes","",COUNTIFS(Decisions!$B$2:$B$132,B12,Decisions!$H$2:$H$132,"primary_temporal"))</x:f>
      </x:c>
      <x:c r="H12" s="6" t="str">
        <x:f>IF(F12&lt;&gt;"yes","",COUNTIFS(Decisions!$B$2:$B$132,B12,Decisions!$H$2:$H$132,"secondary_temporal"))</x:f>
      </x:c>
      <x:c r="I12" s="6" t="str">
        <x:f>IF(F12&lt;&gt;"yes","",COUNTIFS(Decisions!$B$2:$B$132,B12,Decisions!$H$2:$H$132,"protocol_descriptive"))</x:f>
      </x:c>
      <x:c r="J12" s="6" t="str">
        <x:f>IF(F12&lt;&gt;"yes","",COUNTIFS(Decisions!$B$2:$B$132,B12,Decisions!$H$2:$H$132,"plan_descriptive"))</x:f>
      </x:c>
    </x:row>
    <x:row r="13" ht="42" customHeight="1">
      <x:c r="A13" s="3" t="n">
        <x:v>2025</x:v>
      </x:c>
      <x:c r="B13" s="3" t="str">
        <x:v>jama.2025.7583</x:v>
      </x:c>
      <x:c r="C13" s="3" t="n">
        <x:v>3</x:v>
      </x:c>
      <x:c r="D13" s="3" t="n">
        <x:f>C13-COUNTIFS(Decisions!$B$2:$B$132,B13,Decisions!$G$2:$G$132,"FINAL READY")-E13</x:f>
        <x:v>3</x:v>
      </x:c>
      <x:c r="E13" s="3" t="n">
        <x:f>COUNTIFS(Decisions!$B$2:$B$132,B13,Decisions!$G$2:$G$132,"DISCUSS")</x:f>
        <x:v>0</x:v>
      </x:c>
      <x:c r="F13" s="3" t="str">
        <x:f>IF(D13+E13=0,"yes","no")</x:f>
        <x:v>no</x:v>
      </x:c>
      <x:c r="G13" s="3" t="str">
        <x:f>IF(F13&lt;&gt;"yes","",COUNTIFS(Decisions!$B$2:$B$132,B13,Decisions!$H$2:$H$132,"primary_temporal"))</x:f>
      </x:c>
      <x:c r="H13" s="3" t="str">
        <x:f>IF(F13&lt;&gt;"yes","",COUNTIFS(Decisions!$B$2:$B$132,B13,Decisions!$H$2:$H$132,"secondary_temporal"))</x:f>
      </x:c>
      <x:c r="I13" s="3" t="str">
        <x:f>IF(F13&lt;&gt;"yes","",COUNTIFS(Decisions!$B$2:$B$132,B13,Decisions!$H$2:$H$132,"protocol_descriptive"))</x:f>
      </x:c>
      <x:c r="J13" s="3" t="str">
        <x:f>IF(F13&lt;&gt;"yes","",COUNTIFS(Decisions!$B$2:$B$132,B13,Decisions!$H$2:$H$132,"plan_descriptive"))</x:f>
      </x:c>
    </x:row>
    <x:row r="14" ht="42" customHeight="1">
      <x:c r="A14" s="6" t="n">
        <x:v>2025</x:v>
      </x:c>
      <x:c r="B14" s="6" t="str">
        <x:v>jama.2025.7710</x:v>
      </x:c>
      <x:c r="C14" s="6" t="n">
        <x:v>4</x:v>
      </x:c>
      <x:c r="D14" s="6" t="n">
        <x:f>C14-COUNTIFS(Decisions!$B$2:$B$132,B14,Decisions!$G$2:$G$132,"FINAL READY")-E14</x:f>
        <x:v>4</x:v>
      </x:c>
      <x:c r="E14" s="6" t="n">
        <x:f>COUNTIFS(Decisions!$B$2:$B$132,B14,Decisions!$G$2:$G$132,"DISCUSS")</x:f>
        <x:v>0</x:v>
      </x:c>
      <x:c r="F14" s="6" t="str">
        <x:f>IF(D14+E14=0,"yes","no")</x:f>
        <x:v>no</x:v>
      </x:c>
      <x:c r="G14" s="6" t="str">
        <x:f>IF(F14&lt;&gt;"yes","",COUNTIFS(Decisions!$B$2:$B$132,B14,Decisions!$H$2:$H$132,"primary_temporal"))</x:f>
      </x:c>
      <x:c r="H14" s="6" t="str">
        <x:f>IF(F14&lt;&gt;"yes","",COUNTIFS(Decisions!$B$2:$B$132,B14,Decisions!$H$2:$H$132,"secondary_temporal"))</x:f>
      </x:c>
      <x:c r="I14" s="6" t="str">
        <x:f>IF(F14&lt;&gt;"yes","",COUNTIFS(Decisions!$B$2:$B$132,B14,Decisions!$H$2:$H$132,"protocol_descriptive"))</x:f>
      </x:c>
      <x:c r="J14" s="6" t="str">
        <x:f>IF(F14&lt;&gt;"yes","",COUNTIFS(Decisions!$B$2:$B$132,B14,Decisions!$H$2:$H$132,"plan_descriptive"))</x:f>
      </x:c>
    </x:row>
    <x:row r="15" ht="42" customHeight="1">
      <x:c r="A15" s="3" t="n">
        <x:v>2025</x:v>
      </x:c>
      <x:c r="B15" s="3" t="str">
        <x:v>jama.2025.9110</x:v>
      </x:c>
      <x:c r="C15" s="3" t="n">
        <x:v>6</x:v>
      </x:c>
      <x:c r="D15" s="3" t="n">
        <x:f>C15-COUNTIFS(Decisions!$B$2:$B$132,B15,Decisions!$G$2:$G$132,"FINAL READY")-E15</x:f>
        <x:v>6</x:v>
      </x:c>
      <x:c r="E15" s="3" t="n">
        <x:f>COUNTIFS(Decisions!$B$2:$B$132,B15,Decisions!$G$2:$G$132,"DISCUSS")</x:f>
        <x:v>0</x:v>
      </x:c>
      <x:c r="F15" s="3" t="str">
        <x:f>IF(D15+E15=0,"yes","no")</x:f>
        <x:v>no</x:v>
      </x:c>
      <x:c r="G15" s="3" t="str">
        <x:f>IF(F15&lt;&gt;"yes","",COUNTIFS(Decisions!$B$2:$B$132,B15,Decisions!$H$2:$H$132,"primary_temporal"))</x:f>
      </x:c>
      <x:c r="H15" s="3" t="str">
        <x:f>IF(F15&lt;&gt;"yes","",COUNTIFS(Decisions!$B$2:$B$132,B15,Decisions!$H$2:$H$132,"secondary_temporal"))</x:f>
      </x:c>
      <x:c r="I15" s="3" t="str">
        <x:f>IF(F15&lt;&gt;"yes","",COUNTIFS(Decisions!$B$2:$B$132,B15,Decisions!$H$2:$H$132,"protocol_descriptive"))</x:f>
      </x:c>
      <x:c r="J15" s="3" t="str">
        <x:f>IF(F15&lt;&gt;"yes","",COUNTIFS(Decisions!$B$2:$B$132,B15,Decisions!$H$2:$H$132,"plan_descriptive"))</x:f>
      </x:c>
    </x:row>
    <x:row r="16" ht="42" customHeight="1">
      <x:c r="A16" s="6" t="n">
        <x:v>2025</x:v>
      </x:c>
      <x:c r="B16" s="6" t="str">
        <x:v>jama.2025.9663</x:v>
      </x:c>
      <x:c r="C16" s="6" t="n">
        <x:v>3</x:v>
      </x:c>
      <x:c r="D16" s="6" t="n">
        <x:f>C16-COUNTIFS(Decisions!$B$2:$B$132,B16,Decisions!$G$2:$G$132,"FINAL READY")-E16</x:f>
        <x:v>3</x:v>
      </x:c>
      <x:c r="E16" s="6" t="n">
        <x:f>COUNTIFS(Decisions!$B$2:$B$132,B16,Decisions!$G$2:$G$132,"DISCUSS")</x:f>
        <x:v>0</x:v>
      </x:c>
      <x:c r="F16" s="6" t="str">
        <x:f>IF(D16+E16=0,"yes","no")</x:f>
        <x:v>no</x:v>
      </x:c>
      <x:c r="G16" s="6" t="str">
        <x:f>IF(F16&lt;&gt;"yes","",COUNTIFS(Decisions!$B$2:$B$132,B16,Decisions!$H$2:$H$132,"primary_temporal"))</x:f>
      </x:c>
      <x:c r="H16" s="6" t="str">
        <x:f>IF(F16&lt;&gt;"yes","",COUNTIFS(Decisions!$B$2:$B$132,B16,Decisions!$H$2:$H$132,"secondary_temporal"))</x:f>
      </x:c>
      <x:c r="I16" s="6" t="str">
        <x:f>IF(F16&lt;&gt;"yes","",COUNTIFS(Decisions!$B$2:$B$132,B16,Decisions!$H$2:$H$132,"protocol_descriptive"))</x:f>
      </x:c>
      <x:c r="J16" s="6" t="str">
        <x:f>IF(F16&lt;&gt;"yes","",COUNTIFS(Decisions!$B$2:$B$132,B16,Decisions!$H$2:$H$132,"plan_descriptive"))</x:f>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2025</x:v>
      </x:c>
      <x:c r="B2" s="6" t="str">
        <x:v>jama.2024.24764</x:v>
      </x:c>
      <x:c r="C2" s="6" t="str">
        <x:v>2025::jama.2024.24764::C006</x:v>
      </x:c>
      <x:c r="D2" s="6" t="str">
        <x:v>P_R</x:v>
      </x:c>
      <x:c r="E2" s="6" t="str">
        <x:v>Longitudinal quality-of-life covariance specification differs between SAP and final article</x:v>
      </x:c>
      <x:c r="F2" s="6" t="str">
        <x:v>The SAP specifies unstructured covariance with robust sandwich standard errors for the QoL model family, while the final article specifies independent covariance.</x:v>
      </x:c>
      <x:c r="G2" s="6" t="str">
        <x:f>IF(INDEX('Decisions'!$G$2:$G$132,MATCH(C2,'Decisions'!$C$2:$C$132,0))="","",INDEX('Decisions'!$G$2:$G$132,MATCH(C2,'Decisions'!$C$2:$C$132,0)))</x:f>
        <x:v>CHECK REVIEWER IDs</x:v>
      </x:c>
      <x:c r="H2" s="6" t="str">
        <x:f>IF(INDEX('Decisions'!$S$2:$S$132,MATCH(C2,'Decisions'!$C$2:$C$132,0))="","",INDEX('Decisions'!$S$2:$S$132,MATCH(C2,'Decisions'!$C$2:$C$132,0)))</x:f>
      </x:c>
      <x:c r="I2" s="6" t="str">
        <x:f>IF(INDEX('Decisions'!$Y$2:$Y$132,MATCH(C2,'Decisions'!$C$2:$C$132,0))="","",INDEX('Decisions'!$Y$2:$Y$132,MATCH(C2,'Decisions'!$C$2:$C$132,0)))</x:f>
        <x:v>not_applicable</x:v>
      </x:c>
      <x:c r="J2" s="6" t="str">
        <x:f>IF(INDEX('Decisions'!$X$2:$X$132,MATCH(C2,'Decisions'!$C$2:$C$132,0))="","",INDEX('Decisions'!$X$2:$X$132,MATCH(C2,'Decisions'!$C$2:$C$132,0)))</x:f>
        <x:v>not_applicable</x:v>
      </x:c>
      <x:c r="K2" s="6" t="str">
        <x:f>IF(INDEX('Decisions'!$Z$2:$Z$132,MATCH(C2,'Decisions'!$C$2:$C$132,0))="","",INDEX('Decisions'!$Z$2:$Z$132,MATCH(C2,'Decisions'!$C$2:$C$132,0)))</x:f>
      </x:c>
    </x:row>
    <x:row r="3" ht="90" customHeight="1">
      <x:c r="A3" s="3" t="n">
        <x:v>2025</x:v>
      </x:c>
      <x:c r="B3" s="3" t="str">
        <x:v>jama.2024.24764</x:v>
      </x:c>
      <x:c r="C3" s="3" t="str">
        <x:v>2025::jama.2024.24764::C007</x:v>
      </x:c>
      <x:c r="D3" s="3" t="str">
        <x:v>P_R</x:v>
      </x:c>
      <x:c r="E3" s="3" t="str">
        <x:v>Length-of-stay effect measure and model differ between SAP/protocol and final article</x:v>
      </x:c>
      <x:c r="F3" s="3" t="str">
        <x:v>SAP/protocol describe adjusted mean difference, or skewed-data unadjusted median difference, whereas the final article reports log-transformed adjusted ratios of geometric means for length of stay.</x:v>
      </x:c>
      <x:c r="G3" s="3" t="str">
        <x:f>IF(INDEX('Decisions'!$G$2:$G$132,MATCH(C3,'Decisions'!$C$2:$C$132,0))="","",INDEX('Decisions'!$G$2:$G$132,MATCH(C3,'Decisions'!$C$2:$C$132,0)))</x:f>
        <x:v>CHECK REVIEWER IDs</x:v>
      </x:c>
      <x:c r="H3" s="3" t="str">
        <x:f>IF(INDEX('Decisions'!$S$2:$S$132,MATCH(C3,'Decisions'!$C$2:$C$132,0))="","",INDEX('Decisions'!$S$2:$S$132,MATCH(C3,'Decisions'!$C$2:$C$132,0)))</x:f>
      </x:c>
      <x:c r="I3" s="3" t="str">
        <x:f>IF(INDEX('Decisions'!$Y$2:$Y$132,MATCH(C3,'Decisions'!$C$2:$C$132,0))="","",INDEX('Decisions'!$Y$2:$Y$132,MATCH(C3,'Decisions'!$C$2:$C$132,0)))</x:f>
        <x:v>not_applicable</x:v>
      </x:c>
      <x:c r="J3" s="3" t="str">
        <x:f>IF(INDEX('Decisions'!$X$2:$X$132,MATCH(C3,'Decisions'!$C$2:$C$132,0))="","",INDEX('Decisions'!$X$2:$X$132,MATCH(C3,'Decisions'!$C$2:$C$132,0)))</x:f>
        <x:v>not_applicable</x:v>
      </x:c>
      <x:c r="K3" s="3" t="str">
        <x:f>IF(INDEX('Decisions'!$Z$2:$Z$132,MATCH(C3,'Decisions'!$C$2:$C$132,0))="","",INDEX('Decisions'!$Z$2:$Z$132,MATCH(C3,'Decisions'!$C$2:$C$132,0)))</x:f>
      </x:c>
    </x:row>
    <x:row r="4" ht="90" customHeight="1">
      <x:c r="A4" s="6" t="n">
        <x:v>2025</x:v>
      </x:c>
      <x:c r="B4" s="6" t="str">
        <x:v>jama.2024.24764</x:v>
      </x:c>
      <x:c r="C4" s="6" t="str">
        <x:v>2025::jama.2024.24764::C008</x:v>
      </x:c>
      <x:c r="D4" s="6" t="str">
        <x:v>P_R</x:v>
      </x:c>
      <x:c r="E4" s="6" t="str">
        <x:v>Australia-inclusive length-of-stay result differs from the stated UK-only analysis population</x:v>
      </x:c>
      <x:c r="F4" s="6" t="str">
        <x:v>SAP and protocol specify UK-only length-of-stay reporting, while the final article additionally reports a UK-and-Australia result.</x:v>
      </x:c>
      <x:c r="G4" s="6" t="str">
        <x:f>IF(INDEX('Decisions'!$G$2:$G$132,MATCH(C4,'Decisions'!$C$2:$C$132,0))="","",INDEX('Decisions'!$G$2:$G$132,MATCH(C4,'Decisions'!$C$2:$C$132,0)))</x:f>
        <x:v>CHECK REVIEWER IDs</x:v>
      </x:c>
      <x:c r="H4" s="6" t="str">
        <x:f>IF(INDEX('Decisions'!$S$2:$S$132,MATCH(C4,'Decisions'!$C$2:$C$132,0))="","",INDEX('Decisions'!$S$2:$S$132,MATCH(C4,'Decisions'!$C$2:$C$132,0)))</x:f>
      </x:c>
      <x:c r="I4" s="6" t="str">
        <x:f>IF(INDEX('Decisions'!$Y$2:$Y$132,MATCH(C4,'Decisions'!$C$2:$C$132,0))="","",INDEX('Decisions'!$Y$2:$Y$132,MATCH(C4,'Decisions'!$C$2:$C$132,0)))</x:f>
        <x:v>not_applicable</x:v>
      </x:c>
      <x:c r="J4" s="6" t="str">
        <x:f>IF(INDEX('Decisions'!$X$2:$X$132,MATCH(C4,'Decisions'!$C$2:$C$132,0))="","",INDEX('Decisions'!$X$2:$X$132,MATCH(C4,'Decisions'!$C$2:$C$132,0)))</x:f>
        <x:v>not_applicable</x:v>
      </x:c>
      <x:c r="K4" s="6" t="str">
        <x:f>IF(INDEX('Decisions'!$Z$2:$Z$132,MATCH(C4,'Decisions'!$C$2:$C$132,0))="","",INDEX('Decisions'!$Z$2:$Z$132,MATCH(C4,'Decisions'!$C$2:$C$132,0)))</x:f>
      </x:c>
    </x:row>
    <x:row r="5" ht="90" customHeight="1">
      <x:c r="A5" s="3" t="n">
        <x:v>2025</x:v>
      </x:c>
      <x:c r="B5" s="3" t="str">
        <x:v>jama.2025.16450</x:v>
      </x:c>
      <x:c r="C5" s="3" t="str">
        <x:v>2025::jama.2025.16450::C002</x:v>
      </x:c>
      <x:c r="D5" s="3" t="str">
        <x:v>P_R</x:v>
      </x:c>
      <x:c r="E5" s="3" t="str">
        <x:v>Registered eligibility-bound discrepancy is not reproduced on direct-source recheck</x:v>
      </x:c>
      <x:c r="F5" s="3" t="str">
        <x:v>The prior ledger recorded 27 6/7 weeks for DOC-002, but direct-source recheck shows 28 6/7; the original cross-document mismatch is not reproduced.</x:v>
      </x:c>
      <x:c r="G5" s="3" t="str">
        <x:f>IF(INDEX('Decisions'!$G$2:$G$132,MATCH(C5,'Decisions'!$C$2:$C$132,0))="","",INDEX('Decisions'!$G$2:$G$132,MATCH(C5,'Decisions'!$C$2:$C$132,0)))</x:f>
        <x:v>CHECK REVIEWER IDs</x:v>
      </x:c>
      <x:c r="H5" s="3" t="str">
        <x:f>IF(INDEX('Decisions'!$S$2:$S$132,MATCH(C5,'Decisions'!$C$2:$C$132,0))="","",INDEX('Decisions'!$S$2:$S$132,MATCH(C5,'Decisions'!$C$2:$C$132,0)))</x:f>
      </x:c>
      <x:c r="I5" s="3" t="str">
        <x:f>IF(INDEX('Decisions'!$Y$2:$Y$132,MATCH(C5,'Decisions'!$C$2:$C$132,0))="","",INDEX('Decisions'!$Y$2:$Y$132,MATCH(C5,'Decisions'!$C$2:$C$132,0)))</x:f>
        <x:v>not_applicable</x:v>
      </x:c>
      <x:c r="J5" s="3" t="str">
        <x:f>IF(INDEX('Decisions'!$X$2:$X$132,MATCH(C5,'Decisions'!$C$2:$C$132,0))="","",INDEX('Decisions'!$X$2:$X$132,MATCH(C5,'Decisions'!$C$2:$C$132,0)))</x:f>
        <x:v>not_applicable</x:v>
      </x:c>
      <x:c r="K5" s="3" t="str">
        <x:f>IF(INDEX('Decisions'!$Z$2:$Z$132,MATCH(C5,'Decisions'!$C$2:$C$132,0))="","",INDEX('Decisions'!$Z$2:$Z$132,MATCH(C5,'Decisions'!$C$2:$C$132,0)))</x:f>
      </x:c>
    </x:row>
    <x:row r="6" ht="90" customHeight="1">
      <x:c r="A6" s="6" t="n">
        <x:v>2025</x:v>
      </x:c>
      <x:c r="B6" s="6" t="str">
        <x:v>jama.2025.16450</x:v>
      </x:c>
      <x:c r="C6" s="6" t="str">
        <x:v>2025::jama.2025.16450::C003</x:v>
      </x:c>
      <x:c r="D6" s="6" t="str">
        <x:v>P_R</x:v>
      </x:c>
      <x:c r="E6" s="6" t="str">
        <x:v>Registered first-dose discrepancy is not reproduced on direct-source recheck</x:v>
      </x:c>
      <x:c r="F6" s="6" t="str">
        <x:v>The prior ledger assigned 1.25 mL/kg to the first dose in DOC-002, but direct-source recheck shows 2.5 mL/kg; the original mismatch is not reproduced.</x:v>
      </x:c>
      <x:c r="G6" s="6" t="str">
        <x:f>IF(INDEX('Decisions'!$G$2:$G$132,MATCH(C6,'Decisions'!$C$2:$C$132,0))="","",INDEX('Decisions'!$G$2:$G$132,MATCH(C6,'Decisions'!$C$2:$C$132,0)))</x:f>
        <x:v>CHECK REVIEWER IDs</x:v>
      </x:c>
      <x:c r="H6" s="6" t="str">
        <x:f>IF(INDEX('Decisions'!$S$2:$S$132,MATCH(C6,'Decisions'!$C$2:$C$132,0))="","",INDEX('Decisions'!$S$2:$S$132,MATCH(C6,'Decisions'!$C$2:$C$132,0)))</x:f>
      </x:c>
      <x:c r="I6" s="6" t="str">
        <x:f>IF(INDEX('Decisions'!$Y$2:$Y$132,MATCH(C6,'Decisions'!$C$2:$C$132,0))="","",INDEX('Decisions'!$Y$2:$Y$132,MATCH(C6,'Decisions'!$C$2:$C$132,0)))</x:f>
        <x:v>not_applicable</x:v>
      </x:c>
      <x:c r="J6" s="6" t="str">
        <x:f>IF(INDEX('Decisions'!$X$2:$X$132,MATCH(C6,'Decisions'!$C$2:$C$132,0))="","",INDEX('Decisions'!$X$2:$X$132,MATCH(C6,'Decisions'!$C$2:$C$132,0)))</x:f>
        <x:v>not_applicable</x:v>
      </x:c>
      <x:c r="K6" s="6" t="str">
        <x:f>IF(INDEX('Decisions'!$Z$2:$Z$132,MATCH(C6,'Decisions'!$C$2:$C$132,0))="","",INDEX('Decisions'!$Z$2:$Z$132,MATCH(C6,'Decisions'!$C$2:$C$132,0)))</x:f>
      </x:c>
    </x:row>
    <x:row r="7" ht="90" customHeight="1">
      <x:c r="A7" s="3" t="n">
        <x:v>2025</x:v>
      </x:c>
      <x:c r="B7" s="3" t="str">
        <x:v>jama.2025.16450</x:v>
      </x:c>
      <x:c r="C7" s="3" t="str">
        <x:v>2025::jama.2025.16450::C004</x:v>
      </x:c>
      <x:c r="D7" s="3" t="str">
        <x:v>P_P</x:v>
      </x:c>
      <x:c r="E7" s="3" t="str">
        <x:v>Severe-NDI GMFCS cutoff differs between the manual and SAP</x:v>
      </x:c>
      <x:c r="F7" s="3" t="str">
        <x:v>The manual defines severe NDI using GMFCS levels 3-5, whereas the SAP uses 4-5.</x:v>
      </x:c>
      <x:c r="G7" s="3" t="str">
        <x:f>IF(INDEX('Decisions'!$G$2:$G$132,MATCH(C7,'Decisions'!$C$2:$C$132,0))="","",INDEX('Decisions'!$G$2:$G$132,MATCH(C7,'Decisions'!$C$2:$C$132,0)))</x:f>
        <x:v>CHECK REVIEWER IDs</x:v>
      </x:c>
      <x:c r="H7" s="3" t="str">
        <x:f>IF(INDEX('Decisions'!$S$2:$S$132,MATCH(C7,'Decisions'!$C$2:$C$132,0))="","",INDEX('Decisions'!$S$2:$S$132,MATCH(C7,'Decisions'!$C$2:$C$132,0)))</x:f>
      </x:c>
      <x:c r="I7" s="3" t="str">
        <x:f>IF(INDEX('Decisions'!$Y$2:$Y$132,MATCH(C7,'Decisions'!$C$2:$C$132,0))="","",INDEX('Decisions'!$Y$2:$Y$132,MATCH(C7,'Decisions'!$C$2:$C$132,0)))</x:f>
        <x:v>not_applicable</x:v>
      </x:c>
      <x:c r="J7" s="3" t="str">
        <x:f>IF(INDEX('Decisions'!$X$2:$X$132,MATCH(C7,'Decisions'!$C$2:$C$132,0))="","",INDEX('Decisions'!$X$2:$X$132,MATCH(C7,'Decisions'!$C$2:$C$132,0)))</x:f>
        <x:v>not_applicable</x:v>
      </x:c>
      <x:c r="K7" s="3" t="str">
        <x:f>IF(INDEX('Decisions'!$Z$2:$Z$132,MATCH(C7,'Decisions'!$C$2:$C$132,0))="","",INDEX('Decisions'!$Z$2:$Z$132,MATCH(C7,'Decisions'!$C$2:$C$132,0)))</x:f>
      </x:c>
    </x:row>
    <x:row r="8" ht="90" customHeight="1">
      <x:c r="A8" s="6" t="n">
        <x:v>2025</x:v>
      </x:c>
      <x:c r="B8" s="6" t="str">
        <x:v>jama.2025.16450</x:v>
      </x:c>
      <x:c r="C8" s="6" t="str">
        <x:v>2025::jama.2025.16450::C005</x:v>
      </x:c>
      <x:c r="D8" s="6" t="str">
        <x:v>P_P</x:v>
      </x:c>
      <x:c r="E8" s="6" t="str">
        <x:v>Registered severe-NDI instrument-edition discrepancy is not reproduced on direct-source recheck</x:v>
      </x:c>
      <x:c r="F8" s="6" t="str">
        <x:v>The prior ledger reported Bayley-III versus BSID-IV, but direct-source recheck shows BSID-IV/fourth edition throughout; the original mismatch is not reproduced.</x:v>
      </x:c>
      <x:c r="G8" s="6" t="str">
        <x:f>IF(INDEX('Decisions'!$G$2:$G$132,MATCH(C8,'Decisions'!$C$2:$C$132,0))="","",INDEX('Decisions'!$G$2:$G$132,MATCH(C8,'Decisions'!$C$2:$C$132,0)))</x:f>
        <x:v>CHECK REVIEWER IDs</x:v>
      </x:c>
      <x:c r="H8" s="6" t="str">
        <x:f>IF(INDEX('Decisions'!$S$2:$S$132,MATCH(C8,'Decisions'!$C$2:$C$132,0))="","",INDEX('Decisions'!$S$2:$S$132,MATCH(C8,'Decisions'!$C$2:$C$132,0)))</x:f>
      </x:c>
      <x:c r="I8" s="6" t="str">
        <x:f>IF(INDEX('Decisions'!$Y$2:$Y$132,MATCH(C8,'Decisions'!$C$2:$C$132,0))="","",INDEX('Decisions'!$Y$2:$Y$132,MATCH(C8,'Decisions'!$C$2:$C$132,0)))</x:f>
        <x:v>not_applicable</x:v>
      </x:c>
      <x:c r="J8" s="6" t="str">
        <x:f>IF(INDEX('Decisions'!$X$2:$X$132,MATCH(C8,'Decisions'!$C$2:$C$132,0))="","",INDEX('Decisions'!$X$2:$X$132,MATCH(C8,'Decisions'!$C$2:$C$132,0)))</x:f>
        <x:v>not_applicable</x:v>
      </x:c>
      <x:c r="K8" s="6" t="str">
        <x:f>IF(INDEX('Decisions'!$Z$2:$Z$132,MATCH(C8,'Decisions'!$C$2:$C$132,0))="","",INDEX('Decisions'!$Z$2:$Z$132,MATCH(C8,'Decisions'!$C$2:$C$132,0)))</x:f>
      </x:c>
    </x:row>
    <x:row r="9" ht="90" customHeight="1">
      <x:c r="A9" s="3" t="n">
        <x:v>2025</x:v>
      </x:c>
      <x:c r="B9" s="3" t="str">
        <x:v>jama.2025.16450</x:v>
      </x:c>
      <x:c r="C9" s="3" t="str">
        <x:v>2025::jama.2025.16450::C006</x:v>
      </x:c>
      <x:c r="D9" s="3" t="str">
        <x:v>P_P</x:v>
      </x:c>
      <x:c r="E9" s="3" t="str">
        <x:v>Registered first-interim-alpha discrepancy is not reproduced on direct-source recheck</x:v>
      </x:c>
      <x:c r="F9" s="3" t="str">
        <x:v>The prior ledger recorded protocol alpha 0.00015, but both direct pages print 0.000015; the original tenfold mismatch is not reproduced.</x:v>
      </x:c>
      <x:c r="G9" s="3" t="str">
        <x:f>IF(INDEX('Decisions'!$G$2:$G$132,MATCH(C9,'Decisions'!$C$2:$C$132,0))="","",INDEX('Decisions'!$G$2:$G$132,MATCH(C9,'Decisions'!$C$2:$C$132,0)))</x:f>
        <x:v>CHECK REVIEWER IDs</x:v>
      </x:c>
      <x:c r="H9" s="3" t="str">
        <x:f>IF(INDEX('Decisions'!$S$2:$S$132,MATCH(C9,'Decisions'!$C$2:$C$132,0))="","",INDEX('Decisions'!$S$2:$S$132,MATCH(C9,'Decisions'!$C$2:$C$132,0)))</x:f>
      </x:c>
      <x:c r="I9" s="3" t="str">
        <x:f>IF(INDEX('Decisions'!$Y$2:$Y$132,MATCH(C9,'Decisions'!$C$2:$C$132,0))="","",INDEX('Decisions'!$Y$2:$Y$132,MATCH(C9,'Decisions'!$C$2:$C$132,0)))</x:f>
        <x:v>not_applicable</x:v>
      </x:c>
      <x:c r="J9" s="3" t="str">
        <x:f>IF(INDEX('Decisions'!$X$2:$X$132,MATCH(C9,'Decisions'!$C$2:$C$132,0))="","",INDEX('Decisions'!$X$2:$X$132,MATCH(C9,'Decisions'!$C$2:$C$132,0)))</x:f>
        <x:v>not_applicable</x:v>
      </x:c>
      <x:c r="K9" s="3" t="str">
        <x:f>IF(INDEX('Decisions'!$Z$2:$Z$132,MATCH(C9,'Decisions'!$C$2:$C$132,0))="","",INDEX('Decisions'!$Z$2:$Z$132,MATCH(C9,'Decisions'!$C$2:$C$132,0)))</x:f>
      </x:c>
    </x:row>
    <x:row r="10" ht="90" customHeight="1">
      <x:c r="A10" s="6" t="n">
        <x:v>2025</x:v>
      </x:c>
      <x:c r="B10" s="6" t="str">
        <x:v>jama.2025.16450</x:v>
      </x:c>
      <x:c r="C10" s="6" t="str">
        <x:v>2025::jama.2025.16450::C007</x:v>
      </x:c>
      <x:c r="D10" s="6" t="str">
        <x:v>P_R</x:v>
      </x:c>
      <x:c r="E10" s="6" t="str">
        <x:v>Final primary-analysis alpha differs between the article and prospective documents</x:v>
      </x:c>
      <x:c r="F10" s="6" t="str">
        <x:v>The article reports primary-analysis alpha .049; the protocol and SAP list planned final alpha .0440.</x:v>
      </x:c>
      <x:c r="G10" s="6" t="str">
        <x:f>IF(INDEX('Decisions'!$G$2:$G$132,MATCH(C10,'Decisions'!$C$2:$C$132,0))="","",INDEX('Decisions'!$G$2:$G$132,MATCH(C10,'Decisions'!$C$2:$C$132,0)))</x:f>
        <x:v>CHECK REVIEWER IDs</x:v>
      </x:c>
      <x:c r="H10" s="6" t="str">
        <x:f>IF(INDEX('Decisions'!$S$2:$S$132,MATCH(C10,'Decisions'!$C$2:$C$132,0))="","",INDEX('Decisions'!$S$2:$S$132,MATCH(C10,'Decisions'!$C$2:$C$132,0)))</x:f>
      </x:c>
      <x:c r="I10" s="6" t="str">
        <x:f>IF(INDEX('Decisions'!$Y$2:$Y$132,MATCH(C10,'Decisions'!$C$2:$C$132,0))="","",INDEX('Decisions'!$Y$2:$Y$132,MATCH(C10,'Decisions'!$C$2:$C$132,0)))</x:f>
        <x:v>not_applicable</x:v>
      </x:c>
      <x:c r="J10" s="6" t="str">
        <x:f>IF(INDEX('Decisions'!$X$2:$X$132,MATCH(C10,'Decisions'!$C$2:$C$132,0))="","",INDEX('Decisions'!$X$2:$X$132,MATCH(C10,'Decisions'!$C$2:$C$132,0)))</x:f>
        <x:v>not_applicable</x:v>
      </x:c>
      <x:c r="K10" s="6" t="str">
        <x:f>IF(INDEX('Decisions'!$Z$2:$Z$132,MATCH(C10,'Decisions'!$C$2:$C$132,0))="","",INDEX('Decisions'!$Z$2:$Z$132,MATCH(C10,'Decisions'!$C$2:$C$132,0)))</x:f>
      </x:c>
    </x:row>
    <x:row r="11" ht="90" customHeight="1">
      <x:c r="A11" s="3" t="n">
        <x:v>2025</x:v>
      </x:c>
      <x:c r="B11" s="3" t="str">
        <x:v>jama.2025.16450</x:v>
      </x:c>
      <x:c r="C11" s="3" t="str">
        <x:v>2025::jama.2025.16450::C008</x:v>
      </x:c>
      <x:c r="D11" s="3" t="str">
        <x:v>P_R</x:v>
      </x:c>
      <x:c r="E11" s="3" t="str">
        <x:v>Trial center count differs between final and prospective documents</x:v>
      </x:c>
      <x:c r="F11" s="3" t="str">
        <x:v>The article states 17 centers; the protocol and SAP state 15 centers in prospective context.</x:v>
      </x:c>
      <x:c r="G11" s="3" t="str">
        <x:f>IF(INDEX('Decisions'!$G$2:$G$132,MATCH(C11,'Decisions'!$C$2:$C$132,0))="","",INDEX('Decisions'!$G$2:$G$132,MATCH(C11,'Decisions'!$C$2:$C$132,0)))</x:f>
        <x:v>CHECK REVIEWER IDs</x:v>
      </x:c>
      <x:c r="H11" s="3" t="str">
        <x:f>IF(INDEX('Decisions'!$S$2:$S$132,MATCH(C11,'Decisions'!$C$2:$C$132,0))="","",INDEX('Decisions'!$S$2:$S$132,MATCH(C11,'Decisions'!$C$2:$C$132,0)))</x:f>
      </x:c>
      <x:c r="I11" s="3" t="str">
        <x:f>IF(INDEX('Decisions'!$Y$2:$Y$132,MATCH(C11,'Decisions'!$C$2:$C$132,0))="","",INDEX('Decisions'!$Y$2:$Y$132,MATCH(C11,'Decisions'!$C$2:$C$132,0)))</x:f>
        <x:v>not_applicable</x:v>
      </x:c>
      <x:c r="J11" s="3" t="str">
        <x:f>IF(INDEX('Decisions'!$X$2:$X$132,MATCH(C11,'Decisions'!$C$2:$C$132,0))="","",INDEX('Decisions'!$X$2:$X$132,MATCH(C11,'Decisions'!$C$2:$C$132,0)))</x:f>
        <x:v>not_applicable</x:v>
      </x:c>
      <x:c r="K11" s="3" t="str">
        <x:f>IF(INDEX('Decisions'!$Z$2:$Z$132,MATCH(C11,'Decisions'!$C$2:$C$132,0))="","",INDEX('Decisions'!$Z$2:$Z$132,MATCH(C11,'Decisions'!$C$2:$C$132,0)))</x:f>
      </x:c>
    </x:row>
    <x:row r="12" ht="90" customHeight="1">
      <x:c r="A12" s="6" t="n">
        <x:v>2025</x:v>
      </x:c>
      <x:c r="B12" s="6" t="str">
        <x:v>jama.2025.19563</x:v>
      </x:c>
      <x:c r="C12" s="6" t="str">
        <x:v>2025::jama.2025.19563::C001</x:v>
      </x:c>
      <x:c r="D12" s="6" t="str">
        <x:v>P_R</x:v>
      </x:c>
      <x:c r="E12" s="6" t="str">
        <x:v>Protocol and reported primary endpoint differ on the diabetes-range A1C failure condition</x:v>
      </x:c>
      <x:c r="F12" s="6" t="str">
        <x:v>The protocol's success rule is at least one of three components, while the reported/supplement rule adds a diabetes-range A1C failure condition that can override all components.</x:v>
      </x:c>
      <x:c r="G12" s="6" t="str">
        <x:f>IF(INDEX('Decisions'!$G$2:$G$132,MATCH(C12,'Decisions'!$C$2:$C$132,0))="","",INDEX('Decisions'!$G$2:$G$132,MATCH(C12,'Decisions'!$C$2:$C$132,0)))</x:f>
        <x:v>CHECK REVIEWER IDs</x:v>
      </x:c>
      <x:c r="H12" s="6" t="str">
        <x:f>IF(INDEX('Decisions'!$S$2:$S$132,MATCH(C12,'Decisions'!$C$2:$C$132,0))="","",INDEX('Decisions'!$S$2:$S$132,MATCH(C12,'Decisions'!$C$2:$C$132,0)))</x:f>
      </x:c>
      <x:c r="I12" s="6" t="str">
        <x:f>IF(INDEX('Decisions'!$Y$2:$Y$132,MATCH(C12,'Decisions'!$C$2:$C$132,0))="","",INDEX('Decisions'!$Y$2:$Y$132,MATCH(C12,'Decisions'!$C$2:$C$132,0)))</x:f>
        <x:v>not_applicable</x:v>
      </x:c>
      <x:c r="J12" s="6" t="str">
        <x:f>IF(INDEX('Decisions'!$X$2:$X$132,MATCH(C12,'Decisions'!$C$2:$C$132,0))="","",INDEX('Decisions'!$X$2:$X$132,MATCH(C12,'Decisions'!$C$2:$C$132,0)))</x:f>
        <x:v>not_applicable</x:v>
      </x:c>
      <x:c r="K12" s="6" t="str">
        <x:f>IF(INDEX('Decisions'!$Z$2:$Z$132,MATCH(C12,'Decisions'!$C$2:$C$132,0))="","",INDEX('Decisions'!$Z$2:$Z$132,MATCH(C12,'Decisions'!$C$2:$C$132,0)))</x:f>
      </x:c>
    </x:row>
    <x:row r="13" ht="90" customHeight="1">
      <x:c r="A13" s="3" t="n">
        <x:v>2025</x:v>
      </x:c>
      <x:c r="B13" s="3" t="str">
        <x:v>jama.2025.20765</x:v>
      </x:c>
      <x:c r="C13" s="3" t="str">
        <x:v>2025::jama.2025.20765::C003</x:v>
      </x:c>
      <x:c r="D13" s="3" t="str">
        <x:v>P_P</x:v>
      </x:c>
      <x:c r="E13" s="3" t="str">
        <x:v>178-message total conflicts with its printed frequency schedule</x:v>
      </x:c>
      <x:c r="F13" s="3" t="str">
        <x:v>A six-month plan states 178 SMS but its own minimum printed schedule exceeds that total.</x:v>
      </x:c>
      <x:c r="G13" s="3" t="str">
        <x:f>IF(INDEX('Decisions'!$G$2:$G$132,MATCH(C13,'Decisions'!$C$2:$C$132,0))="","",INDEX('Decisions'!$G$2:$G$132,MATCH(C13,'Decisions'!$C$2:$C$132,0)))</x:f>
        <x:v>CHECK REVIEWER IDs</x:v>
      </x:c>
      <x:c r="H13" s="3" t="str">
        <x:f>IF(INDEX('Decisions'!$S$2:$S$132,MATCH(C13,'Decisions'!$C$2:$C$132,0))="","",INDEX('Decisions'!$S$2:$S$132,MATCH(C13,'Decisions'!$C$2:$C$132,0)))</x:f>
      </x:c>
      <x:c r="I13" s="3" t="str">
        <x:f>IF(INDEX('Decisions'!$Y$2:$Y$132,MATCH(C13,'Decisions'!$C$2:$C$132,0))="","",INDEX('Decisions'!$Y$2:$Y$132,MATCH(C13,'Decisions'!$C$2:$C$132,0)))</x:f>
        <x:v>not_applicable</x:v>
      </x:c>
      <x:c r="J13" s="3" t="str">
        <x:f>IF(INDEX('Decisions'!$X$2:$X$132,MATCH(C13,'Decisions'!$C$2:$C$132,0))="","",INDEX('Decisions'!$X$2:$X$132,MATCH(C13,'Decisions'!$C$2:$C$132,0)))</x:f>
        <x:v>not_applicable</x:v>
      </x:c>
      <x:c r="K13" s="3" t="str">
        <x:f>IF(INDEX('Decisions'!$Z$2:$Z$132,MATCH(C13,'Decisions'!$C$2:$C$132,0))="","",INDEX('Decisions'!$Z$2:$Z$132,MATCH(C13,'Decisions'!$C$2:$C$132,0)))</x:f>
      </x:c>
    </x:row>
    <x:row r="14" ht="90" customHeight="1">
      <x:c r="A14" s="6" t="n">
        <x:v>2025</x:v>
      </x:c>
      <x:c r="B14" s="6" t="str">
        <x:v>jama.2025.20765</x:v>
      </x:c>
      <x:c r="C14" s="6" t="str">
        <x:v>2025::jama.2025.20765::C004</x:v>
      </x:c>
      <x:c r="D14" s="6" t="str">
        <x:v>P_P</x:v>
      </x:c>
      <x:c r="E14" s="6" t="str">
        <x:v>Repeated 2,384-participant plan names 44 and 48 facilities</x:v>
      </x:c>
      <x:c r="F14" s="6" t="str">
        <x:v>Matched repeated plan text gives 44 facilities in one location and 48 clinics in another.</x:v>
      </x:c>
      <x:c r="G14" s="6" t="str">
        <x:f>IF(INDEX('Decisions'!$G$2:$G$132,MATCH(C14,'Decisions'!$C$2:$C$132,0))="","",INDEX('Decisions'!$G$2:$G$132,MATCH(C14,'Decisions'!$C$2:$C$132,0)))</x:f>
        <x:v>CHECK REVIEWER IDs</x:v>
      </x:c>
      <x:c r="H14" s="6" t="str">
        <x:f>IF(INDEX('Decisions'!$S$2:$S$132,MATCH(C14,'Decisions'!$C$2:$C$132,0))="","",INDEX('Decisions'!$S$2:$S$132,MATCH(C14,'Decisions'!$C$2:$C$132,0)))</x:f>
      </x:c>
      <x:c r="I14" s="6" t="str">
        <x:f>IF(INDEX('Decisions'!$Y$2:$Y$132,MATCH(C14,'Decisions'!$C$2:$C$132,0))="","",INDEX('Decisions'!$Y$2:$Y$132,MATCH(C14,'Decisions'!$C$2:$C$132,0)))</x:f>
        <x:v>not_applicable</x:v>
      </x:c>
      <x:c r="J14" s="6" t="str">
        <x:f>IF(INDEX('Decisions'!$X$2:$X$132,MATCH(C14,'Decisions'!$C$2:$C$132,0))="","",INDEX('Decisions'!$X$2:$X$132,MATCH(C14,'Decisions'!$C$2:$C$132,0)))</x:f>
        <x:v>not_applicable</x:v>
      </x:c>
      <x:c r="K14" s="6" t="str">
        <x:f>IF(INDEX('Decisions'!$Z$2:$Z$132,MATCH(C14,'Decisions'!$C$2:$C$132,0))="","",INDEX('Decisions'!$Z$2:$Z$132,MATCH(C14,'Decisions'!$C$2:$C$132,0)))</x:f>
      </x:c>
    </x:row>
    <x:row r="15" ht="90" customHeight="1">
      <x:c r="A15" s="3" t="n">
        <x:v>2025</x:v>
      </x:c>
      <x:c r="B15" s="3" t="str">
        <x:v>jama.2025.20765</x:v>
      </x:c>
      <x:c r="C15" s="3" t="str">
        <x:v>2025::jama.2025.20765::C005</x:v>
      </x:c>
      <x:c r="D15" s="3" t="str">
        <x:v>P_P</x:v>
      </x:c>
      <x:c r="E15" s="3" t="str">
        <x:v>134-message total conflicts with its printed frequency schedule</x:v>
      </x:c>
      <x:c r="F15" s="3" t="str">
        <x:v>A 134-message six-month statement conflicts with the minimum implied by its printed schedule.</x:v>
      </x:c>
      <x:c r="G15" s="3" t="str">
        <x:f>IF(INDEX('Decisions'!$G$2:$G$132,MATCH(C15,'Decisions'!$C$2:$C$132,0))="","",INDEX('Decisions'!$G$2:$G$132,MATCH(C15,'Decisions'!$C$2:$C$132,0)))</x:f>
        <x:v>CHECK REVIEWER IDs</x:v>
      </x:c>
      <x:c r="H15" s="3" t="str">
        <x:f>IF(INDEX('Decisions'!$S$2:$S$132,MATCH(C15,'Decisions'!$C$2:$C$132,0))="","",INDEX('Decisions'!$S$2:$S$132,MATCH(C15,'Decisions'!$C$2:$C$132,0)))</x:f>
      </x:c>
      <x:c r="I15" s="3" t="str">
        <x:f>IF(INDEX('Decisions'!$Y$2:$Y$132,MATCH(C15,'Decisions'!$C$2:$C$132,0))="","",INDEX('Decisions'!$Y$2:$Y$132,MATCH(C15,'Decisions'!$C$2:$C$132,0)))</x:f>
        <x:v>not_applicable</x:v>
      </x:c>
      <x:c r="J15" s="3" t="str">
        <x:f>IF(INDEX('Decisions'!$X$2:$X$132,MATCH(C15,'Decisions'!$C$2:$C$132,0))="","",INDEX('Decisions'!$X$2:$X$132,MATCH(C15,'Decisions'!$C$2:$C$132,0)))</x:f>
        <x:v>not_applicable</x:v>
      </x:c>
      <x:c r="K15" s="3" t="str">
        <x:f>IF(INDEX('Decisions'!$Z$2:$Z$132,MATCH(C15,'Decisions'!$C$2:$C$132,0))="","",INDEX('Decisions'!$Z$2:$Z$132,MATCH(C15,'Decisions'!$C$2:$C$132,0)))</x:f>
      </x:c>
    </x:row>
    <x:row r="16" ht="90" customHeight="1">
      <x:c r="A16" s="6" t="n">
        <x:v>2025</x:v>
      </x:c>
      <x:c r="B16" s="6" t="str">
        <x:v>jama.2025.20765</x:v>
      </x:c>
      <x:c r="C16" s="6" t="str">
        <x:v>2025::jama.2025.20765::C006</x:v>
      </x:c>
      <x:c r="D16" s="6" t="str">
        <x:v>P_P</x:v>
      </x:c>
      <x:c r="E16" s="6" t="str">
        <x:v>TAM sampling header conflicts with contemporaneous narrative and equations</x:v>
      </x:c>
      <x:c r="F16" s="6" t="str">
        <x:v>A TAM sampling header says 30%, while contemporaneous phase-specific narrative and equations show 20% Phase 3 and all Phase 4 participants.</x:v>
      </x:c>
      <x:c r="G16" s="6" t="str">
        <x:f>IF(INDEX('Decisions'!$G$2:$G$132,MATCH(C16,'Decisions'!$C$2:$C$132,0))="","",INDEX('Decisions'!$G$2:$G$132,MATCH(C16,'Decisions'!$C$2:$C$132,0)))</x:f>
        <x:v>CHECK REVIEWER IDs</x:v>
      </x:c>
      <x:c r="H16" s="6" t="str">
        <x:f>IF(INDEX('Decisions'!$S$2:$S$132,MATCH(C16,'Decisions'!$C$2:$C$132,0))="","",INDEX('Decisions'!$S$2:$S$132,MATCH(C16,'Decisions'!$C$2:$C$132,0)))</x:f>
      </x:c>
      <x:c r="I16" s="6" t="str">
        <x:f>IF(INDEX('Decisions'!$Y$2:$Y$132,MATCH(C16,'Decisions'!$C$2:$C$132,0))="","",INDEX('Decisions'!$Y$2:$Y$132,MATCH(C16,'Decisions'!$C$2:$C$132,0)))</x:f>
        <x:v>not_applicable</x:v>
      </x:c>
      <x:c r="J16" s="6" t="str">
        <x:f>IF(INDEX('Decisions'!$X$2:$X$132,MATCH(C16,'Decisions'!$C$2:$C$132,0))="","",INDEX('Decisions'!$X$2:$X$132,MATCH(C16,'Decisions'!$C$2:$C$132,0)))</x:f>
        <x:v>not_applicable</x:v>
      </x:c>
      <x:c r="K16" s="6" t="str">
        <x:f>IF(INDEX('Decisions'!$Z$2:$Z$132,MATCH(C16,'Decisions'!$C$2:$C$132,0))="","",INDEX('Decisions'!$Z$2:$Z$132,MATCH(C16,'Decisions'!$C$2:$C$132,0)))</x:f>
      </x:c>
    </x:row>
    <x:row r="17" ht="90" customHeight="1">
      <x:c r="A17" s="3" t="n">
        <x:v>2025</x:v>
      </x:c>
      <x:c r="B17" s="3" t="str">
        <x:v>jama.2025.20765</x:v>
      </x:c>
      <x:c r="C17" s="3" t="str">
        <x:v>2025::jama.2025.20765::C007</x:v>
      </x:c>
      <x:c r="D17" s="3" t="str">
        <x:v>P_P</x:v>
      </x:c>
      <x:c r="E17" s="3" t="str">
        <x:v>Later 2,716-participant plan gives 48 clinics versus a 63-site diagram</x:v>
      </x:c>
      <x:c r="F17" s="3" t="str">
        <x:v>A later 2,716-participant plan presents 48 clinics and approximately 50 recruits per clinic, while related text and diagram present 63 sites and approximately 43 per site.</x:v>
      </x:c>
      <x:c r="G17" s="3" t="str">
        <x:f>IF(INDEX('Decisions'!$G$2:$G$132,MATCH(C17,'Decisions'!$C$2:$C$132,0))="","",INDEX('Decisions'!$G$2:$G$132,MATCH(C17,'Decisions'!$C$2:$C$132,0)))</x:f>
        <x:v>CHECK REVIEWER IDs</x:v>
      </x:c>
      <x:c r="H17" s="3" t="str">
        <x:f>IF(INDEX('Decisions'!$S$2:$S$132,MATCH(C17,'Decisions'!$C$2:$C$132,0))="","",INDEX('Decisions'!$S$2:$S$132,MATCH(C17,'Decisions'!$C$2:$C$132,0)))</x:f>
      </x:c>
      <x:c r="I17" s="3" t="str">
        <x:f>IF(INDEX('Decisions'!$Y$2:$Y$132,MATCH(C17,'Decisions'!$C$2:$C$132,0))="","",INDEX('Decisions'!$Y$2:$Y$132,MATCH(C17,'Decisions'!$C$2:$C$132,0)))</x:f>
        <x:v>not_applicable</x:v>
      </x:c>
      <x:c r="J17" s="3" t="str">
        <x:f>IF(INDEX('Decisions'!$X$2:$X$132,MATCH(C17,'Decisions'!$C$2:$C$132,0))="","",INDEX('Decisions'!$X$2:$X$132,MATCH(C17,'Decisions'!$C$2:$C$132,0)))</x:f>
        <x:v>not_applicable</x:v>
      </x:c>
      <x:c r="K17" s="3" t="str">
        <x:f>IF(INDEX('Decisions'!$Z$2:$Z$132,MATCH(C17,'Decisions'!$C$2:$C$132,0))="","",INDEX('Decisions'!$Z$2:$Z$132,MATCH(C17,'Decisions'!$C$2:$C$132,0)))</x:f>
      </x:c>
    </x:row>
    <x:row r="18" ht="90" customHeight="1">
      <x:c r="A18" s="6" t="n">
        <x:v>2025</x:v>
      </x:c>
      <x:c r="B18" s="6" t="str">
        <x:v>jama.2025.20765</x:v>
      </x:c>
      <x:c r="C18" s="6" t="str">
        <x:v>2025::jama.2025.20765::C008</x:v>
      </x:c>
      <x:c r="D18" s="6" t="str">
        <x:v>P_P</x:v>
      </x:c>
      <x:c r="E18" s="6" t="str">
        <x:v>Phase-4 design-effect equality does not reproduce from printed inputs</x:v>
      </x:c>
      <x:c r="F18" s="6" t="str">
        <x:v>A Phase-4 display equates 1,036 multiplied by 1.56 to 1,620, although the exact product differs.</x:v>
      </x:c>
      <x:c r="G18" s="6" t="str">
        <x:f>IF(INDEX('Decisions'!$G$2:$G$132,MATCH(C18,'Decisions'!$C$2:$C$132,0))="","",INDEX('Decisions'!$G$2:$G$132,MATCH(C18,'Decisions'!$C$2:$C$132,0)))</x:f>
        <x:v>CHECK REVIEWER IDs</x:v>
      </x:c>
      <x:c r="H18" s="6" t="str">
        <x:f>IF(INDEX('Decisions'!$S$2:$S$132,MATCH(C18,'Decisions'!$C$2:$C$132,0))="","",INDEX('Decisions'!$S$2:$S$132,MATCH(C18,'Decisions'!$C$2:$C$132,0)))</x:f>
      </x:c>
      <x:c r="I18" s="6" t="str">
        <x:f>IF(INDEX('Decisions'!$Y$2:$Y$132,MATCH(C18,'Decisions'!$C$2:$C$132,0))="","",INDEX('Decisions'!$Y$2:$Y$132,MATCH(C18,'Decisions'!$C$2:$C$132,0)))</x:f>
        <x:v>not_applicable</x:v>
      </x:c>
      <x:c r="J18" s="6" t="str">
        <x:f>IF(INDEX('Decisions'!$X$2:$X$132,MATCH(C18,'Decisions'!$C$2:$C$132,0))="","",INDEX('Decisions'!$X$2:$X$132,MATCH(C18,'Decisions'!$C$2:$C$132,0)))</x:f>
        <x:v>not_applicable</x:v>
      </x:c>
      <x:c r="K18" s="6" t="str">
        <x:f>IF(INDEX('Decisions'!$Z$2:$Z$132,MATCH(C18,'Decisions'!$C$2:$C$132,0))="","",INDEX('Decisions'!$Z$2:$Z$132,MATCH(C18,'Decisions'!$C$2:$C$132,0)))</x:f>
      </x:c>
    </x:row>
    <x:row r="19" ht="90" customHeight="1">
      <x:c r="A19" s="3" t="n">
        <x:v>2025</x:v>
      </x:c>
      <x:c r="B19" s="3" t="str">
        <x:v>jama.2025.20765</x:v>
      </x:c>
      <x:c r="C19" s="3" t="str">
        <x:v>2025::jama.2025.20765::C009</x:v>
      </x:c>
      <x:c r="D19" s="3" t="str">
        <x:v>P_P</x:v>
      </x:c>
      <x:c r="E19" s="3" t="str">
        <x:v>Phase-4 diagram is labelled Phase 3/Superiority</x:v>
      </x:c>
      <x:c r="F19" s="3" t="str">
        <x:v>A diagram within a Phase-4 noninferiority section is labelled “Phase 3 (Superiority trial).”</x:v>
      </x:c>
      <x:c r="G19" s="3" t="str">
        <x:f>IF(INDEX('Decisions'!$G$2:$G$132,MATCH(C19,'Decisions'!$C$2:$C$132,0))="","",INDEX('Decisions'!$G$2:$G$132,MATCH(C19,'Decisions'!$C$2:$C$132,0)))</x:f>
        <x:v>CHECK REVIEWER IDs</x:v>
      </x:c>
      <x:c r="H19" s="3" t="str">
        <x:f>IF(INDEX('Decisions'!$S$2:$S$132,MATCH(C19,'Decisions'!$C$2:$C$132,0))="","",INDEX('Decisions'!$S$2:$S$132,MATCH(C19,'Decisions'!$C$2:$C$132,0)))</x:f>
      </x:c>
      <x:c r="I19" s="3" t="str">
        <x:f>IF(INDEX('Decisions'!$Y$2:$Y$132,MATCH(C19,'Decisions'!$C$2:$C$132,0))="","",INDEX('Decisions'!$Y$2:$Y$132,MATCH(C19,'Decisions'!$C$2:$C$132,0)))</x:f>
        <x:v>not_applicable</x:v>
      </x:c>
      <x:c r="J19" s="3" t="str">
        <x:f>IF(INDEX('Decisions'!$X$2:$X$132,MATCH(C19,'Decisions'!$C$2:$C$132,0))="","",INDEX('Decisions'!$X$2:$X$132,MATCH(C19,'Decisions'!$C$2:$C$132,0)))</x:f>
        <x:v>not_applicable</x:v>
      </x:c>
      <x:c r="K19" s="3" t="str">
        <x:f>IF(INDEX('Decisions'!$Z$2:$Z$132,MATCH(C19,'Decisions'!$C$2:$C$132,0))="","",INDEX('Decisions'!$Z$2:$Z$132,MATCH(C19,'Decisions'!$C$2:$C$132,0)))</x:f>
      </x:c>
    </x:row>
    <x:row r="20" ht="90" customHeight="1">
      <x:c r="A20" s="6" t="n">
        <x:v>2025</x:v>
      </x:c>
      <x:c r="B20" s="6" t="str">
        <x:v>jama.2025.20765</x:v>
      </x:c>
      <x:c r="C20" s="6" t="str">
        <x:v>2025::jama.2025.20765::C010</x:v>
      </x:c>
      <x:c r="D20" s="6" t="str">
        <x:v>P_P</x:v>
      </x:c>
      <x:c r="E20" s="6" t="str">
        <x:v>Phase-3 design-effect display gives undocumented 1,080 effective sample size</x:v>
      </x:c>
      <x:c r="F20" s="6" t="str">
        <x:v>A Phase-3 display reports 704×1.50≈1080 and calls it effective sample size without documenting the cluster-rounding/allocation transition or terminology.</x:v>
      </x:c>
      <x:c r="G20" s="6" t="str">
        <x:f>IF(INDEX('Decisions'!$G$2:$G$132,MATCH(C20,'Decisions'!$C$2:$C$132,0))="","",INDEX('Decisions'!$G$2:$G$132,MATCH(C20,'Decisions'!$C$2:$C$132,0)))</x:f>
        <x:v>CHECK REVIEWER IDs</x:v>
      </x:c>
      <x:c r="H20" s="6" t="str">
        <x:f>IF(INDEX('Decisions'!$S$2:$S$132,MATCH(C20,'Decisions'!$C$2:$C$132,0))="","",INDEX('Decisions'!$S$2:$S$132,MATCH(C20,'Decisions'!$C$2:$C$132,0)))</x:f>
      </x:c>
      <x:c r="I20" s="6" t="str">
        <x:f>IF(INDEX('Decisions'!$Y$2:$Y$132,MATCH(C20,'Decisions'!$C$2:$C$132,0))="","",INDEX('Decisions'!$Y$2:$Y$132,MATCH(C20,'Decisions'!$C$2:$C$132,0)))</x:f>
        <x:v>not_applicable</x:v>
      </x:c>
      <x:c r="J20" s="6" t="str">
        <x:f>IF(INDEX('Decisions'!$X$2:$X$132,MATCH(C20,'Decisions'!$C$2:$C$132,0))="","",INDEX('Decisions'!$X$2:$X$132,MATCH(C20,'Decisions'!$C$2:$C$132,0)))</x:f>
        <x:v>not_applicable</x:v>
      </x:c>
      <x:c r="K20" s="6" t="str">
        <x:f>IF(INDEX('Decisions'!$Z$2:$Z$132,MATCH(C20,'Decisions'!$C$2:$C$132,0))="","",INDEX('Decisions'!$Z$2:$Z$132,MATCH(C20,'Decisions'!$C$2:$C$132,0)))</x:f>
      </x:c>
    </x:row>
    <x:row r="21" ht="90" customHeight="1">
      <x:c r="A21" s="3" t="n">
        <x:v>2025</x:v>
      </x:c>
      <x:c r="B21" s="3" t="str">
        <x:v>jama.2025.20765</x:v>
      </x:c>
      <x:c r="C21" s="3" t="str">
        <x:v>2025::jama.2025.20765::C011</x:v>
      </x:c>
      <x:c r="D21" s="3" t="str">
        <x:v>P_P</x:v>
      </x:c>
      <x:c r="E21" s="3" t="str">
        <x:v>MPSS score range conflicts with stated item scale</x:v>
      </x:c>
      <x:c r="F21" s="3" t="str">
        <x:v>The MPSS description names five 5-point domains but gives a summed 5-35 range without explaining the scoring rule.</x:v>
      </x:c>
      <x:c r="G21" s="3" t="str">
        <x:f>IF(INDEX('Decisions'!$G$2:$G$132,MATCH(C21,'Decisions'!$C$2:$C$132,0))="","",INDEX('Decisions'!$G$2:$G$132,MATCH(C21,'Decisions'!$C$2:$C$132,0)))</x:f>
        <x:v>CHECK REVIEWER IDs</x:v>
      </x:c>
      <x:c r="H21" s="3" t="str">
        <x:f>IF(INDEX('Decisions'!$S$2:$S$132,MATCH(C21,'Decisions'!$C$2:$C$132,0))="","",INDEX('Decisions'!$S$2:$S$132,MATCH(C21,'Decisions'!$C$2:$C$132,0)))</x:f>
      </x:c>
      <x:c r="I21" s="3" t="str">
        <x:f>IF(INDEX('Decisions'!$Y$2:$Y$132,MATCH(C21,'Decisions'!$C$2:$C$132,0))="","",INDEX('Decisions'!$Y$2:$Y$132,MATCH(C21,'Decisions'!$C$2:$C$132,0)))</x:f>
        <x:v>not_applicable</x:v>
      </x:c>
      <x:c r="J21" s="3" t="str">
        <x:f>IF(INDEX('Decisions'!$X$2:$X$132,MATCH(C21,'Decisions'!$C$2:$C$132,0))="","",INDEX('Decisions'!$X$2:$X$132,MATCH(C21,'Decisions'!$C$2:$C$132,0)))</x:f>
        <x:v>not_applicable</x:v>
      </x:c>
      <x:c r="K21" s="3" t="str">
        <x:f>IF(INDEX('Decisions'!$Z$2:$Z$132,MATCH(C21,'Decisions'!$C$2:$C$132,0))="","",INDEX('Decisions'!$Z$2:$Z$132,MATCH(C21,'Decisions'!$C$2:$C$132,0)))</x:f>
      </x:c>
    </x:row>
    <x:row r="22" ht="90" customHeight="1">
      <x:c r="A22" s="6" t="n">
        <x:v>2025</x:v>
      </x:c>
      <x:c r="B22" s="6" t="str">
        <x:v>jama.2025.20765</x:v>
      </x:c>
      <x:c r="C22" s="6" t="str">
        <x:v>2025::jama.2025.20765::C013</x:v>
      </x:c>
      <x:c r="D22" s="6" t="str">
        <x:v>P_R</x:v>
      </x:c>
      <x:c r="E22" s="6" t="str">
        <x:v>Protocol message dose changes from 178 to 134 without supplied reconciliation</x:v>
      </x:c>
      <x:c r="F22" s="6" t="str">
        <x:v>Protocol and main-article materials give 178 and 134 messages for the six-month mTB-Tobacco participant dose without an explicit crosswalk or supersession statement.</x:v>
      </x:c>
      <x:c r="G22" s="6" t="str">
        <x:f>IF(INDEX('Decisions'!$G$2:$G$132,MATCH(C22,'Decisions'!$C$2:$C$132,0))="","",INDEX('Decisions'!$G$2:$G$132,MATCH(C22,'Decisions'!$C$2:$C$132,0)))</x:f>
        <x:v>CHECK REVIEWER IDs</x:v>
      </x:c>
      <x:c r="H22" s="6" t="str">
        <x:f>IF(INDEX('Decisions'!$S$2:$S$132,MATCH(C22,'Decisions'!$C$2:$C$132,0))="","",INDEX('Decisions'!$S$2:$S$132,MATCH(C22,'Decisions'!$C$2:$C$132,0)))</x:f>
      </x:c>
      <x:c r="I22" s="6" t="str">
        <x:f>IF(INDEX('Decisions'!$Y$2:$Y$132,MATCH(C22,'Decisions'!$C$2:$C$132,0))="","",INDEX('Decisions'!$Y$2:$Y$132,MATCH(C22,'Decisions'!$C$2:$C$132,0)))</x:f>
        <x:v>not_applicable</x:v>
      </x:c>
      <x:c r="J22" s="6" t="str">
        <x:f>IF(INDEX('Decisions'!$X$2:$X$132,MATCH(C22,'Decisions'!$C$2:$C$132,0))="","",INDEX('Decisions'!$X$2:$X$132,MATCH(C22,'Decisions'!$C$2:$C$132,0)))</x:f>
        <x:v>not_applicable</x:v>
      </x:c>
      <x:c r="K22" s="6" t="str">
        <x:f>IF(INDEX('Decisions'!$Z$2:$Z$132,MATCH(C22,'Decisions'!$C$2:$C$132,0))="","",INDEX('Decisions'!$Z$2:$Z$132,MATCH(C22,'Decisions'!$C$2:$C$132,0)))</x:f>
      </x:c>
    </x:row>
    <x:row r="23" ht="90" customHeight="1">
      <x:c r="A23" s="3" t="n">
        <x:v>2025</x:v>
      </x:c>
      <x:c r="B23" s="3" t="str">
        <x:v>jama.2025.24175</x:v>
      </x:c>
      <x:c r="C23" s="3" t="str">
        <x:v>2025::jama.2025.24175::C002</x:v>
      </x:c>
      <x:c r="D23" s="3" t="str">
        <x:v>P_R</x:v>
      </x:c>
      <x:c r="E23" s="3" t="str">
        <x:v>Protocol and report IFN-gamma dose comparison</x:v>
      </x:c>
      <x:c r="F23" s="3" t="str">
        <x:v>Pending Human Adjudication. Retained ID with a direct-source repair: the alleged 20-microgram protocol comparator was not reproduced.</x:v>
      </x:c>
      <x:c r="G23" s="3" t="str">
        <x:f>IF(INDEX('Decisions'!$G$2:$G$132,MATCH(C23,'Decisions'!$C$2:$C$132,0))="","",INDEX('Decisions'!$G$2:$G$132,MATCH(C23,'Decisions'!$C$2:$C$132,0)))</x:f>
        <x:v>CHECK REVIEWER IDs</x:v>
      </x:c>
      <x:c r="H23" s="3" t="str">
        <x:f>IF(INDEX('Decisions'!$S$2:$S$132,MATCH(C23,'Decisions'!$C$2:$C$132,0))="","",INDEX('Decisions'!$S$2:$S$132,MATCH(C23,'Decisions'!$C$2:$C$132,0)))</x:f>
      </x:c>
      <x:c r="I23" s="3" t="str">
        <x:f>IF(INDEX('Decisions'!$Y$2:$Y$132,MATCH(C23,'Decisions'!$C$2:$C$132,0))="","",INDEX('Decisions'!$Y$2:$Y$132,MATCH(C23,'Decisions'!$C$2:$C$132,0)))</x:f>
        <x:v>not_applicable</x:v>
      </x:c>
      <x:c r="J23" s="3" t="str">
        <x:f>IF(INDEX('Decisions'!$X$2:$X$132,MATCH(C23,'Decisions'!$C$2:$C$132,0))="","",INDEX('Decisions'!$X$2:$X$132,MATCH(C23,'Decisions'!$C$2:$C$132,0)))</x:f>
        <x:v>not_applicable</x:v>
      </x:c>
      <x:c r="K23" s="3" t="str">
        <x:f>IF(INDEX('Decisions'!$Z$2:$Z$132,MATCH(C23,'Decisions'!$C$2:$C$132,0))="","",INDEX('Decisions'!$Z$2:$Z$132,MATCH(C23,'Decisions'!$C$2:$C$132,0)))</x:f>
      </x:c>
    </x:row>
    <x:row r="24" ht="90" customHeight="1">
      <x:c r="A24" s="6" t="n">
        <x:v>2025</x:v>
      </x:c>
      <x:c r="B24" s="6" t="str">
        <x:v>jama.2025.24175</x:v>
      </x:c>
      <x:c r="C24" s="6" t="str">
        <x:v>2025::jama.2025.24175::C003</x:v>
      </x:c>
      <x:c r="D24" s="6" t="str">
        <x:v>P_R</x:v>
      </x:c>
      <x:c r="E24" s="6" t="str">
        <x:v>Primary responder cutoff comparison</x:v>
      </x:c>
      <x:c r="F24" s="6" t="str">
        <x:v>Pending Human Adjudication. Retained ID with a direct-source repair: the alleged 1.5-point binary cutoff was not reproduced.</x:v>
      </x:c>
      <x:c r="G24" s="6" t="str">
        <x:f>IF(INDEX('Decisions'!$G$2:$G$132,MATCH(C24,'Decisions'!$C$2:$C$132,0))="","",INDEX('Decisions'!$G$2:$G$132,MATCH(C24,'Decisions'!$C$2:$C$132,0)))</x:f>
        <x:v>CHECK REVIEWER IDs</x:v>
      </x:c>
      <x:c r="H24" s="6" t="str">
        <x:f>IF(INDEX('Decisions'!$S$2:$S$132,MATCH(C24,'Decisions'!$C$2:$C$132,0))="","",INDEX('Decisions'!$S$2:$S$132,MATCH(C24,'Decisions'!$C$2:$C$132,0)))</x:f>
      </x:c>
      <x:c r="I24" s="6" t="str">
        <x:f>IF(INDEX('Decisions'!$Y$2:$Y$132,MATCH(C24,'Decisions'!$C$2:$C$132,0))="","",INDEX('Decisions'!$Y$2:$Y$132,MATCH(C24,'Decisions'!$C$2:$C$132,0)))</x:f>
        <x:v>not_applicable</x:v>
      </x:c>
      <x:c r="J24" s="6" t="str">
        <x:f>IF(INDEX('Decisions'!$X$2:$X$132,MATCH(C24,'Decisions'!$C$2:$C$132,0))="","",INDEX('Decisions'!$X$2:$X$132,MATCH(C24,'Decisions'!$C$2:$C$132,0)))</x:f>
        <x:v>not_applicable</x:v>
      </x:c>
      <x:c r="K24" s="6" t="str">
        <x:f>IF(INDEX('Decisions'!$Z$2:$Z$132,MATCH(C24,'Decisions'!$C$2:$C$132,0))="","",INDEX('Decisions'!$Z$2:$Z$132,MATCH(C24,'Decisions'!$C$2:$C$132,0)))</x:f>
      </x:c>
    </x:row>
    <x:row r="25" ht="90" customHeight="1">
      <x:c r="A25" s="3" t="n">
        <x:v>2025</x:v>
      </x:c>
      <x:c r="B25" s="3" t="str">
        <x:v>jama.2025.24175</x:v>
      </x:c>
      <x:c r="C25" s="3" t="str">
        <x:v>2025::jama.2025.24175::C004</x:v>
      </x:c>
      <x:c r="D25" s="3" t="str">
        <x:v>P_R</x:v>
      </x:c>
      <x:c r="E25" s="3" t="str">
        <x:v>Immunoparalysis entry-classification threshold comparison</x:v>
      </x:c>
      <x:c r="F25" s="3" t="str">
        <x:v>Pending Human Adjudication. Retained ID with a direct-source repair: entry sources agree at 5000, while 8000 belongs to a separately named reversal endpoint.</x:v>
      </x:c>
      <x:c r="G25" s="3" t="str">
        <x:f>IF(INDEX('Decisions'!$G$2:$G$132,MATCH(C25,'Decisions'!$C$2:$C$132,0))="","",INDEX('Decisions'!$G$2:$G$132,MATCH(C25,'Decisions'!$C$2:$C$132,0)))</x:f>
        <x:v>CHECK REVIEWER IDs</x:v>
      </x:c>
      <x:c r="H25" s="3" t="str">
        <x:f>IF(INDEX('Decisions'!$S$2:$S$132,MATCH(C25,'Decisions'!$C$2:$C$132,0))="","",INDEX('Decisions'!$S$2:$S$132,MATCH(C25,'Decisions'!$C$2:$C$132,0)))</x:f>
      </x:c>
      <x:c r="I25" s="3" t="str">
        <x:f>IF(INDEX('Decisions'!$Y$2:$Y$132,MATCH(C25,'Decisions'!$C$2:$C$132,0))="","",INDEX('Decisions'!$Y$2:$Y$132,MATCH(C25,'Decisions'!$C$2:$C$132,0)))</x:f>
        <x:v>not_applicable</x:v>
      </x:c>
      <x:c r="J25" s="3" t="str">
        <x:f>IF(INDEX('Decisions'!$X$2:$X$132,MATCH(C25,'Decisions'!$C$2:$C$132,0))="","",INDEX('Decisions'!$X$2:$X$132,MATCH(C25,'Decisions'!$C$2:$C$132,0)))</x:f>
        <x:v>not_applicable</x:v>
      </x:c>
      <x:c r="K25" s="3" t="str">
        <x:f>IF(INDEX('Decisions'!$Z$2:$Z$132,MATCH(C25,'Decisions'!$C$2:$C$132,0))="","",INDEX('Decisions'!$Z$2:$Z$132,MATCH(C25,'Decisions'!$C$2:$C$132,0)))</x:f>
      </x:c>
    </x:row>
    <x:row r="26" ht="90" customHeight="1">
      <x:c r="A26" s="6" t="n">
        <x:v>2025</x:v>
      </x:c>
      <x:c r="B26" s="6" t="str">
        <x:v>jama.2025.24175</x:v>
      </x:c>
      <x:c r="C26" s="6" t="str">
        <x:v>2025::jama.2025.24175::C005</x:v>
      </x:c>
      <x:c r="D26" s="6" t="str">
        <x:v>P_P</x:v>
      </x:c>
      <x:c r="E26" s="6" t="str">
        <x:v>Protocol sample-size, dropout, and total-target arithmetic</x:v>
      </x:c>
      <x:c r="F26" s="6" t="str">
        <x:v>Pending Human Adjudication. Retained ID with repaired direct inputs: protocol prints 117 per arm, about 15% dropout, and total randomization 280.</x:v>
      </x:c>
      <x:c r="G26" s="6" t="str">
        <x:f>IF(INDEX('Decisions'!$G$2:$G$132,MATCH(C26,'Decisions'!$C$2:$C$132,0))="","",INDEX('Decisions'!$G$2:$G$132,MATCH(C26,'Decisions'!$C$2:$C$132,0)))</x:f>
        <x:v>CHECK REVIEWER IDs</x:v>
      </x:c>
      <x:c r="H26" s="6" t="str">
        <x:f>IF(INDEX('Decisions'!$S$2:$S$132,MATCH(C26,'Decisions'!$C$2:$C$132,0))="","",INDEX('Decisions'!$S$2:$S$132,MATCH(C26,'Decisions'!$C$2:$C$132,0)))</x:f>
      </x:c>
      <x:c r="I26" s="6" t="str">
        <x:f>IF(INDEX('Decisions'!$Y$2:$Y$132,MATCH(C26,'Decisions'!$C$2:$C$132,0))="","",INDEX('Decisions'!$Y$2:$Y$132,MATCH(C26,'Decisions'!$C$2:$C$132,0)))</x:f>
        <x:v>not_applicable</x:v>
      </x:c>
      <x:c r="J26" s="6" t="str">
        <x:f>IF(INDEX('Decisions'!$X$2:$X$132,MATCH(C26,'Decisions'!$C$2:$C$132,0))="","",INDEX('Decisions'!$X$2:$X$132,MATCH(C26,'Decisions'!$C$2:$C$132,0)))</x:f>
        <x:v>not_applicable</x:v>
      </x:c>
      <x:c r="K26" s="6" t="str">
        <x:f>IF(INDEX('Decisions'!$Z$2:$Z$132,MATCH(C26,'Decisions'!$C$2:$C$132,0))="","",INDEX('Decisions'!$Z$2:$Z$132,MATCH(C26,'Decisions'!$C$2:$C$132,0)))</x:f>
      </x:c>
    </x:row>
    <x:row r="27" ht="90" customHeight="1">
      <x:c r="A27" s="3" t="n">
        <x:v>2025</x:v>
      </x:c>
      <x:c r="B27" s="3" t="str">
        <x:v>jama.2025.24175</x:v>
      </x:c>
      <x:c r="C27" s="3" t="str">
        <x:v>2025::jama.2025.24175::C006</x:v>
      </x:c>
      <x:c r="D27" s="3" t="str">
        <x:v>P_P</x:v>
      </x:c>
      <x:c r="E27" s="3" t="str">
        <x:v>Historical-trial narrative and flow diagram death counts</x:v>
      </x:c>
      <x:c r="F27" s="3" t="str">
        <x:v>Pending Human Adjudication. The personalized-immunotherapy death count is 14 in the narrative and 11 in the flow figure, conditional on a matched time window.</x:v>
      </x:c>
      <x:c r="G27" s="3" t="str">
        <x:f>IF(INDEX('Decisions'!$G$2:$G$132,MATCH(C27,'Decisions'!$C$2:$C$132,0))="","",INDEX('Decisions'!$G$2:$G$132,MATCH(C27,'Decisions'!$C$2:$C$132,0)))</x:f>
        <x:v>CHECK REVIEWER IDs</x:v>
      </x:c>
      <x:c r="H27" s="3" t="str">
        <x:f>IF(INDEX('Decisions'!$S$2:$S$132,MATCH(C27,'Decisions'!$C$2:$C$132,0))="","",INDEX('Decisions'!$S$2:$S$132,MATCH(C27,'Decisions'!$C$2:$C$132,0)))</x:f>
      </x:c>
      <x:c r="I27" s="3" t="str">
        <x:f>IF(INDEX('Decisions'!$Y$2:$Y$132,MATCH(C27,'Decisions'!$C$2:$C$132,0))="","",INDEX('Decisions'!$Y$2:$Y$132,MATCH(C27,'Decisions'!$C$2:$C$132,0)))</x:f>
        <x:v>not_applicable</x:v>
      </x:c>
      <x:c r="J27" s="3" t="str">
        <x:f>IF(INDEX('Decisions'!$X$2:$X$132,MATCH(C27,'Decisions'!$C$2:$C$132,0))="","",INDEX('Decisions'!$X$2:$X$132,MATCH(C27,'Decisions'!$C$2:$C$132,0)))</x:f>
        <x:v>not_applicable</x:v>
      </x:c>
      <x:c r="K27" s="3" t="str">
        <x:f>IF(INDEX('Decisions'!$Z$2:$Z$132,MATCH(C27,'Decisions'!$C$2:$C$132,0))="","",INDEX('Decisions'!$Z$2:$Z$132,MATCH(C27,'Decisions'!$C$2:$C$132,0)))</x:f>
      </x:c>
    </x:row>
    <x:row r="28" ht="90" customHeight="1">
      <x:c r="A28" s="6" t="n">
        <x:v>2025</x:v>
      </x:c>
      <x:c r="B28" s="6" t="str">
        <x:v>jama.2025.24175</x:v>
      </x:c>
      <x:c r="C28" s="6" t="str">
        <x:v>2025::jama.2025.24175::C007</x:v>
      </x:c>
      <x:c r="D28" s="6" t="str">
        <x:v>P_P</x:v>
      </x:c>
      <x:c r="E28" s="6" t="str">
        <x:v>APACHE II Table 2 P value versus displayed t-test inputs</x:v>
      </x:c>
      <x:c r="F28" s="6" t="str">
        <x:v>Pending Human Adjudication. The printed P=.376 is not compatible with conventional two-group calculations from the displayed Student t-test inputs.</x:v>
      </x:c>
      <x:c r="G28" s="6" t="str">
        <x:f>IF(INDEX('Decisions'!$G$2:$G$132,MATCH(C28,'Decisions'!$C$2:$C$132,0))="","",INDEX('Decisions'!$G$2:$G$132,MATCH(C28,'Decisions'!$C$2:$C$132,0)))</x:f>
        <x:v>CHECK REVIEWER IDs</x:v>
      </x:c>
      <x:c r="H28" s="6" t="str">
        <x:f>IF(INDEX('Decisions'!$S$2:$S$132,MATCH(C28,'Decisions'!$C$2:$C$132,0))="","",INDEX('Decisions'!$S$2:$S$132,MATCH(C28,'Decisions'!$C$2:$C$132,0)))</x:f>
      </x:c>
      <x:c r="I28" s="6" t="str">
        <x:f>IF(INDEX('Decisions'!$Y$2:$Y$132,MATCH(C28,'Decisions'!$C$2:$C$132,0))="","",INDEX('Decisions'!$Y$2:$Y$132,MATCH(C28,'Decisions'!$C$2:$C$132,0)))</x:f>
        <x:v>not_applicable</x:v>
      </x:c>
      <x:c r="J28" s="6" t="str">
        <x:f>IF(INDEX('Decisions'!$X$2:$X$132,MATCH(C28,'Decisions'!$C$2:$C$132,0))="","",INDEX('Decisions'!$X$2:$X$132,MATCH(C28,'Decisions'!$C$2:$C$132,0)))</x:f>
        <x:v>not_applicable</x:v>
      </x:c>
      <x:c r="K28" s="6" t="str">
        <x:f>IF(INDEX('Decisions'!$Z$2:$Z$132,MATCH(C28,'Decisions'!$C$2:$C$132,0))="","",INDEX('Decisions'!$Z$2:$Z$132,MATCH(C28,'Decisions'!$C$2:$C$132,0)))</x:f>
      </x:c>
    </x:row>
    <x:row r="29" ht="90" customHeight="1">
      <x:c r="A29" s="3" t="n">
        <x:v>2025</x:v>
      </x:c>
      <x:c r="B29" s="3" t="str">
        <x:v>jama.2025.24175</x:v>
      </x:c>
      <x:c r="C29" s="3" t="str">
        <x:v>2025::jama.2025.24175::C008</x:v>
      </x:c>
      <x:c r="D29" s="3" t="str">
        <x:v>P_P</x:v>
      </x:c>
      <x:c r="E29" s="3" t="str">
        <x:v>Figure 1 septic-shock classification children exceed their parent total</x:v>
      </x:c>
      <x:c r="F29" s="3" t="str">
        <x:v>Pending Human Adjudication. Displayed child classifications sum to 178 under a parent total of 177.</x:v>
      </x:c>
      <x:c r="G29" s="3" t="str">
        <x:f>IF(INDEX('Decisions'!$G$2:$G$132,MATCH(C29,'Decisions'!$C$2:$C$132,0))="","",INDEX('Decisions'!$G$2:$G$132,MATCH(C29,'Decisions'!$C$2:$C$132,0)))</x:f>
        <x:v>CHECK REVIEWER IDs</x:v>
      </x:c>
      <x:c r="H29" s="3" t="str">
        <x:f>IF(INDEX('Decisions'!$S$2:$S$132,MATCH(C29,'Decisions'!$C$2:$C$132,0))="","",INDEX('Decisions'!$S$2:$S$132,MATCH(C29,'Decisions'!$C$2:$C$132,0)))</x:f>
      </x:c>
      <x:c r="I29" s="3" t="str">
        <x:f>IF(INDEX('Decisions'!$Y$2:$Y$132,MATCH(C29,'Decisions'!$C$2:$C$132,0))="","",INDEX('Decisions'!$Y$2:$Y$132,MATCH(C29,'Decisions'!$C$2:$C$132,0)))</x:f>
        <x:v>not_applicable</x:v>
      </x:c>
      <x:c r="J29" s="3" t="str">
        <x:f>IF(INDEX('Decisions'!$X$2:$X$132,MATCH(C29,'Decisions'!$C$2:$C$132,0))="","",INDEX('Decisions'!$X$2:$X$132,MATCH(C29,'Decisions'!$C$2:$C$132,0)))</x:f>
        <x:v>not_applicable</x:v>
      </x:c>
      <x:c r="K29" s="3" t="str">
        <x:f>IF(INDEX('Decisions'!$Z$2:$Z$132,MATCH(C29,'Decisions'!$C$2:$C$132,0))="","",INDEX('Decisions'!$Z$2:$Z$132,MATCH(C29,'Decisions'!$C$2:$C$132,0)))</x:f>
      </x:c>
    </x:row>
    <x:row r="30" ht="90" customHeight="1">
      <x:c r="A30" s="6" t="n">
        <x:v>2025</x:v>
      </x:c>
      <x:c r="B30" s="6" t="str">
        <x:v>jama.2025.24175</x:v>
      </x:c>
      <x:c r="C30" s="6" t="str">
        <x:v>2025::jama.2025.24175::C009</x:v>
      </x:c>
      <x:c r="D30" s="6" t="str">
        <x:v>P_R</x:v>
      </x:c>
      <x:c r="E30" s="6" t="str">
        <x:v>ImmunoSep study-site totals across report, protocol, and SAP</x:v>
      </x:c>
      <x:c r="F30" s="6" t="str">
        <x:v>Pending Human Adjudication. Retained ID with repaired direct-source values: 24, 31, and 33 sites require milestone definitions.</x:v>
      </x:c>
      <x:c r="G30" s="6" t="str">
        <x:f>IF(INDEX('Decisions'!$G$2:$G$132,MATCH(C30,'Decisions'!$C$2:$C$132,0))="","",INDEX('Decisions'!$G$2:$G$132,MATCH(C30,'Decisions'!$C$2:$C$132,0)))</x:f>
        <x:v>CHECK REVIEWER IDs</x:v>
      </x:c>
      <x:c r="H30" s="6" t="str">
        <x:f>IF(INDEX('Decisions'!$S$2:$S$132,MATCH(C30,'Decisions'!$C$2:$C$132,0))="","",INDEX('Decisions'!$S$2:$S$132,MATCH(C30,'Decisions'!$C$2:$C$132,0)))</x:f>
      </x:c>
      <x:c r="I30" s="6" t="str">
        <x:f>IF(INDEX('Decisions'!$Y$2:$Y$132,MATCH(C30,'Decisions'!$C$2:$C$132,0))="","",INDEX('Decisions'!$Y$2:$Y$132,MATCH(C30,'Decisions'!$C$2:$C$132,0)))</x:f>
        <x:v>not_applicable</x:v>
      </x:c>
      <x:c r="J30" s="6" t="str">
        <x:f>IF(INDEX('Decisions'!$X$2:$X$132,MATCH(C30,'Decisions'!$C$2:$C$132,0))="","",INDEX('Decisions'!$X$2:$X$132,MATCH(C30,'Decisions'!$C$2:$C$132,0)))</x:f>
        <x:v>not_applicable</x:v>
      </x:c>
      <x:c r="K30" s="6" t="str">
        <x:f>IF(INDEX('Decisions'!$Z$2:$Z$132,MATCH(C30,'Decisions'!$C$2:$C$132,0))="","",INDEX('Decisions'!$Z$2:$Z$132,MATCH(C30,'Decisions'!$C$2:$C$132,0)))</x:f>
      </x:c>
    </x:row>
    <x:row r="31" ht="90" customHeight="1">
      <x:c r="A31" s="3" t="n">
        <x:v>2025</x:v>
      </x:c>
      <x:c r="B31" s="3" t="str">
        <x:v>jama.2025.24175</x:v>
      </x:c>
      <x:c r="C31" s="3" t="str">
        <x:v>2025::jama.2025.24175::C010</x:v>
      </x:c>
      <x:c r="D31" s="3" t="str">
        <x:v>P_P</x:v>
      </x:c>
      <x:c r="E31" s="3" t="str">
        <x:v>Figure 2C relative-risk label versus displayed association</x:v>
      </x:c>
      <x:c r="F31" s="3" t="str">
        <x:v>Pending Human Adjudication. Figure 2C labels 2.82 (1.58-5.14) as RR although displayed counts give a crude RR of 1.61 and the same value/CI appears as an HR in Figure 3.</x:v>
      </x:c>
      <x:c r="G31" s="3" t="str">
        <x:f>IF(INDEX('Decisions'!$G$2:$G$132,MATCH(C31,'Decisions'!$C$2:$C$132,0))="","",INDEX('Decisions'!$G$2:$G$132,MATCH(C31,'Decisions'!$C$2:$C$132,0)))</x:f>
        <x:v>CHECK REVIEWER IDs</x:v>
      </x:c>
      <x:c r="H31" s="3" t="str">
        <x:f>IF(INDEX('Decisions'!$S$2:$S$132,MATCH(C31,'Decisions'!$C$2:$C$132,0))="","",INDEX('Decisions'!$S$2:$S$132,MATCH(C31,'Decisions'!$C$2:$C$132,0)))</x:f>
      </x:c>
      <x:c r="I31" s="3" t="str">
        <x:f>IF(INDEX('Decisions'!$Y$2:$Y$132,MATCH(C31,'Decisions'!$C$2:$C$132,0))="","",INDEX('Decisions'!$Y$2:$Y$132,MATCH(C31,'Decisions'!$C$2:$C$132,0)))</x:f>
        <x:v>not_applicable</x:v>
      </x:c>
      <x:c r="J31" s="3" t="str">
        <x:f>IF(INDEX('Decisions'!$X$2:$X$132,MATCH(C31,'Decisions'!$C$2:$C$132,0))="","",INDEX('Decisions'!$X$2:$X$132,MATCH(C31,'Decisions'!$C$2:$C$132,0)))</x:f>
        <x:v>not_applicable</x:v>
      </x:c>
      <x:c r="K31" s="3" t="str">
        <x:f>IF(INDEX('Decisions'!$Z$2:$Z$132,MATCH(C31,'Decisions'!$C$2:$C$132,0))="","",INDEX('Decisions'!$Z$2:$Z$132,MATCH(C31,'Decisions'!$C$2:$C$132,0)))</x:f>
      </x:c>
    </x:row>
    <x:row r="32" ht="90" customHeight="1">
      <x:c r="A32" s="6" t="n">
        <x:v>2025</x:v>
      </x:c>
      <x:c r="B32" s="6" t="str">
        <x:v>jama.2025.24175</x:v>
      </x:c>
      <x:c r="C32" s="6" t="str">
        <x:v>2025::jama.2025.24175::C014</x:v>
      </x:c>
      <x:c r="D32" s="6" t="str">
        <x:v>P_P</x:v>
      </x:c>
      <x:c r="E32" s="6" t="str">
        <x:v>Historical mortality-pair registration</x:v>
      </x:c>
      <x:c r="F32" s="6" t="str">
        <x:v>Pending Human Adjudication. Retained ID with direct-source repair: no supplied source prints the registered mortality count/percentage pairs.</x:v>
      </x:c>
      <x:c r="G32" s="6" t="str">
        <x:f>IF(INDEX('Decisions'!$G$2:$G$132,MATCH(C32,'Decisions'!$C$2:$C$132,0))="","",INDEX('Decisions'!$G$2:$G$132,MATCH(C32,'Decisions'!$C$2:$C$132,0)))</x:f>
        <x:v>CHECK REVIEWER IDs</x:v>
      </x:c>
      <x:c r="H32" s="6" t="str">
        <x:f>IF(INDEX('Decisions'!$S$2:$S$132,MATCH(C32,'Decisions'!$C$2:$C$132,0))="","",INDEX('Decisions'!$S$2:$S$132,MATCH(C32,'Decisions'!$C$2:$C$132,0)))</x:f>
      </x:c>
      <x:c r="I32" s="6" t="str">
        <x:f>IF(INDEX('Decisions'!$Y$2:$Y$132,MATCH(C32,'Decisions'!$C$2:$C$132,0))="","",INDEX('Decisions'!$Y$2:$Y$132,MATCH(C32,'Decisions'!$C$2:$C$132,0)))</x:f>
        <x:v>not_applicable</x:v>
      </x:c>
      <x:c r="J32" s="6" t="str">
        <x:f>IF(INDEX('Decisions'!$X$2:$X$132,MATCH(C32,'Decisions'!$C$2:$C$132,0))="","",INDEX('Decisions'!$X$2:$X$132,MATCH(C32,'Decisions'!$C$2:$C$132,0)))</x:f>
        <x:v>not_applicable</x:v>
      </x:c>
      <x:c r="K32" s="6" t="str">
        <x:f>IF(INDEX('Decisions'!$Z$2:$Z$132,MATCH(C32,'Decisions'!$C$2:$C$132,0))="","",INDEX('Decisions'!$Z$2:$Z$132,MATCH(C32,'Decisions'!$C$2:$C$132,0)))</x:f>
      </x:c>
    </x:row>
    <x:row r="33" ht="90" customHeight="1">
      <x:c r="A33" s="3" t="n">
        <x:v>2025</x:v>
      </x:c>
      <x:c r="B33" s="3" t="str">
        <x:v>jama.2025.7583</x:v>
      </x:c>
      <x:c r="C33" s="3" t="str">
        <x:v>2025::jama.2025.7583::C001</x:v>
      </x:c>
      <x:c r="D33" s="3" t="str">
        <x:v>P_R</x:v>
      </x:c>
      <x:c r="E33" s="3" t="str">
        <x:v>Primary-endpoint midline-shift boundary differs across matched supplied sources</x:v>
      </x:c>
      <x:c r="F33" s="3" t="str">
        <x:v>Matched supplied sources define the same six-month primary-endpoint imaging component with different inclusion operators: inclusive &gt;=5 mm versus strict &gt;5 mm.</x:v>
      </x:c>
      <x:c r="G33" s="3" t="str">
        <x:f>IF(INDEX('Decisions'!$G$2:$G$132,MATCH(C33,'Decisions'!$C$2:$C$132,0))="","",INDEX('Decisions'!$G$2:$G$132,MATCH(C33,'Decisions'!$C$2:$C$132,0)))</x:f>
        <x:v>CHECK REVIEWER IDs</x:v>
      </x:c>
      <x:c r="H33" s="3" t="str">
        <x:f>IF(INDEX('Decisions'!$S$2:$S$132,MATCH(C33,'Decisions'!$C$2:$C$132,0))="","",INDEX('Decisions'!$S$2:$S$132,MATCH(C33,'Decisions'!$C$2:$C$132,0)))</x:f>
      </x:c>
      <x:c r="I33" s="3" t="str">
        <x:f>IF(INDEX('Decisions'!$Y$2:$Y$132,MATCH(C33,'Decisions'!$C$2:$C$132,0))="","",INDEX('Decisions'!$Y$2:$Y$132,MATCH(C33,'Decisions'!$C$2:$C$132,0)))</x:f>
        <x:v>not_applicable</x:v>
      </x:c>
      <x:c r="J33" s="3" t="str">
        <x:f>IF(INDEX('Decisions'!$X$2:$X$132,MATCH(C33,'Decisions'!$C$2:$C$132,0))="","",INDEX('Decisions'!$X$2:$X$132,MATCH(C33,'Decisions'!$C$2:$C$132,0)))</x:f>
        <x:v>not_applicable</x:v>
      </x:c>
      <x:c r="K33" s="3" t="str">
        <x:f>IF(INDEX('Decisions'!$Z$2:$Z$132,MATCH(C33,'Decisions'!$C$2:$C$132,0))="","",INDEX('Decisions'!$Z$2:$Z$132,MATCH(C33,'Decisions'!$C$2:$C$132,0)))</x:f>
      </x:c>
    </x:row>
    <x:row r="34" ht="90" customHeight="1">
      <x:c r="A34" s="6" t="n">
        <x:v>2025</x:v>
      </x:c>
      <x:c r="B34" s="6" t="str">
        <x:v>jama.2025.7583</x:v>
      </x:c>
      <x:c r="C34" s="6" t="str">
        <x:v>2025::jama.2025.7583::C002</x:v>
      </x:c>
      <x:c r="D34" s="6" t="str">
        <x:v>P_P</x:v>
      </x:c>
      <x:c r="E34" s="6" t="str">
        <x:v>Printed sample-size attrition allowance does not reconcile with the printed target</x:v>
      </x:c>
      <x:c r="F34" s="6" t="str">
        <x:v>The printed 142-per-group requirement, stated 20% loss-to-follow-up allowance, and 171-per-group/342-total target do not reconcile under a true loss-fraction convention.</x:v>
      </x:c>
      <x:c r="G34" s="6" t="str">
        <x:f>IF(INDEX('Decisions'!$G$2:$G$132,MATCH(C34,'Decisions'!$C$2:$C$132,0))="","",INDEX('Decisions'!$G$2:$G$132,MATCH(C34,'Decisions'!$C$2:$C$132,0)))</x:f>
        <x:v>CHECK REVIEWER IDs</x:v>
      </x:c>
      <x:c r="H34" s="6" t="str">
        <x:f>IF(INDEX('Decisions'!$S$2:$S$132,MATCH(C34,'Decisions'!$C$2:$C$132,0))="","",INDEX('Decisions'!$S$2:$S$132,MATCH(C34,'Decisions'!$C$2:$C$132,0)))</x:f>
      </x:c>
      <x:c r="I34" s="6" t="str">
        <x:f>IF(INDEX('Decisions'!$Y$2:$Y$132,MATCH(C34,'Decisions'!$C$2:$C$132,0))="","",INDEX('Decisions'!$Y$2:$Y$132,MATCH(C34,'Decisions'!$C$2:$C$132,0)))</x:f>
        <x:v>not_applicable</x:v>
      </x:c>
      <x:c r="J34" s="6" t="str">
        <x:f>IF(INDEX('Decisions'!$X$2:$X$132,MATCH(C34,'Decisions'!$C$2:$C$132,0))="","",INDEX('Decisions'!$X$2:$X$132,MATCH(C34,'Decisions'!$C$2:$C$132,0)))</x:f>
        <x:v>not_applicable</x:v>
      </x:c>
      <x:c r="K34" s="6" t="str">
        <x:f>IF(INDEX('Decisions'!$Z$2:$Z$132,MATCH(C34,'Decisions'!$C$2:$C$132,0))="","",INDEX('Decisions'!$Z$2:$Z$132,MATCH(C34,'Decisions'!$C$2:$C$132,0)))</x:f>
      </x:c>
    </x:row>
    <x:row r="35" ht="90" customHeight="1">
      <x:c r="A35" s="3" t="n">
        <x:v>2025</x:v>
      </x:c>
      <x:c r="B35" s="3" t="str">
        <x:v>jama.2025.7710</x:v>
      </x:c>
      <x:c r="C35" s="3" t="str">
        <x:v>2025::jama.2025.7710::C001</x:v>
      </x:c>
      <x:c r="D35" s="3" t="str">
        <x:v>P_P</x:v>
      </x:c>
      <x:c r="E35" s="3" t="str">
        <x:v>Conflicting economic price-year labels within the protocol</x:v>
      </x:c>
      <x:c r="F35" s="3" t="str">
        <x:v>Two linked protocol descriptions of the economic-analysis framework state different monetary price years.</x:v>
      </x:c>
      <x:c r="G35" s="3" t="str">
        <x:f>IF(INDEX('Decisions'!$G$2:$G$132,MATCH(C35,'Decisions'!$C$2:$C$132,0))="","",INDEX('Decisions'!$G$2:$G$132,MATCH(C35,'Decisions'!$C$2:$C$132,0)))</x:f>
        <x:v>CHECK REVIEWER IDs</x:v>
      </x:c>
      <x:c r="H35" s="3" t="str">
        <x:f>IF(INDEX('Decisions'!$S$2:$S$132,MATCH(C35,'Decisions'!$C$2:$C$132,0))="","",INDEX('Decisions'!$S$2:$S$132,MATCH(C35,'Decisions'!$C$2:$C$132,0)))</x:f>
      </x:c>
      <x:c r="I35" s="3" t="str">
        <x:f>IF(INDEX('Decisions'!$Y$2:$Y$132,MATCH(C35,'Decisions'!$C$2:$C$132,0))="","",INDEX('Decisions'!$Y$2:$Y$132,MATCH(C35,'Decisions'!$C$2:$C$132,0)))</x:f>
        <x:v>not_applicable</x:v>
      </x:c>
      <x:c r="J35" s="3" t="str">
        <x:f>IF(INDEX('Decisions'!$X$2:$X$132,MATCH(C35,'Decisions'!$C$2:$C$132,0))="","",INDEX('Decisions'!$X$2:$X$132,MATCH(C35,'Decisions'!$C$2:$C$132,0)))</x:f>
        <x:v>not_applicable</x:v>
      </x:c>
      <x:c r="K35" s="3" t="str">
        <x:f>IF(INDEX('Decisions'!$Z$2:$Z$132,MATCH(C35,'Decisions'!$C$2:$C$132,0))="","",INDEX('Decisions'!$Z$2:$Z$132,MATCH(C35,'Decisions'!$C$2:$C$132,0)))</x:f>
      </x:c>
    </x:row>
    <x:row r="36" ht="90" customHeight="1">
      <x:c r="A36" s="6" t="n">
        <x:v>2025</x:v>
      </x:c>
      <x:c r="B36" s="6" t="str">
        <x:v>jama.2025.7710</x:v>
      </x:c>
      <x:c r="C36" s="6" t="str">
        <x:v>2025::jama.2025.7710::C002</x:v>
      </x:c>
      <x:c r="D36" s="6" t="str">
        <x:v>P_P</x:v>
      </x:c>
      <x:c r="E36" s="6" t="str">
        <x:v>Primary-composite counting rationale does not reconcile with the displayed endpoint list</x:v>
      </x:c>
      <x:c r="F36" s="6" t="str">
        <x:v>The protocol displays ten separate endpoint bullets but explains a total of ten by saying two listed outcomes each contain two individual components.</x:v>
      </x:c>
      <x:c r="G36" s="6" t="str">
        <x:f>IF(INDEX('Decisions'!$G$2:$G$132,MATCH(C36,'Decisions'!$C$2:$C$132,0))="","",INDEX('Decisions'!$G$2:$G$132,MATCH(C36,'Decisions'!$C$2:$C$132,0)))</x:f>
        <x:v>CHECK REVIEWER IDs</x:v>
      </x:c>
      <x:c r="H36" s="6" t="str">
        <x:f>IF(INDEX('Decisions'!$S$2:$S$132,MATCH(C36,'Decisions'!$C$2:$C$132,0))="","",INDEX('Decisions'!$S$2:$S$132,MATCH(C36,'Decisions'!$C$2:$C$132,0)))</x:f>
      </x:c>
      <x:c r="I36" s="6" t="str">
        <x:f>IF(INDEX('Decisions'!$Y$2:$Y$132,MATCH(C36,'Decisions'!$C$2:$C$132,0))="","",INDEX('Decisions'!$Y$2:$Y$132,MATCH(C36,'Decisions'!$C$2:$C$132,0)))</x:f>
        <x:v>not_applicable</x:v>
      </x:c>
      <x:c r="J36" s="6" t="str">
        <x:f>IF(INDEX('Decisions'!$X$2:$X$132,MATCH(C36,'Decisions'!$C$2:$C$132,0))="","",INDEX('Decisions'!$X$2:$X$132,MATCH(C36,'Decisions'!$C$2:$C$132,0)))</x:f>
        <x:v>not_applicable</x:v>
      </x:c>
      <x:c r="K36" s="6" t="str">
        <x:f>IF(INDEX('Decisions'!$Z$2:$Z$132,MATCH(C36,'Decisions'!$C$2:$C$132,0))="","",INDEX('Decisions'!$Z$2:$Z$132,MATCH(C36,'Decisions'!$C$2:$C$132,0)))</x:f>
      </x:c>
    </x:row>
    <x:row r="37" ht="90" customHeight="1">
      <x:c r="A37" s="3" t="n">
        <x:v>2025</x:v>
      </x:c>
      <x:c r="B37" s="3" t="str">
        <x:v>jama.2025.7710</x:v>
      </x:c>
      <x:c r="C37" s="3" t="str">
        <x:v>2025::jama.2025.7710::C003</x:v>
      </x:c>
      <x:c r="D37" s="3" t="str">
        <x:v>P_P</x:v>
      </x:c>
      <x:c r="E37" s="3" t="str">
        <x:v>Economic comparator label conflicts with the detailed trial comparison</x:v>
      </x:c>
      <x:c r="F37" s="3" t="str">
        <x:v>A protocol economic-analysis label uses CS vs standard care, while the detailed economic comparison and trial synopsis identify sildenafil citrate (SC) versus placebo/standard care.</x:v>
      </x:c>
      <x:c r="G37" s="3" t="str">
        <x:f>IF(INDEX('Decisions'!$G$2:$G$132,MATCH(C37,'Decisions'!$C$2:$C$132,0))="","",INDEX('Decisions'!$G$2:$G$132,MATCH(C37,'Decisions'!$C$2:$C$132,0)))</x:f>
        <x:v>CHECK REVIEWER IDs</x:v>
      </x:c>
      <x:c r="H37" s="3" t="str">
        <x:f>IF(INDEX('Decisions'!$S$2:$S$132,MATCH(C37,'Decisions'!$C$2:$C$132,0))="","",INDEX('Decisions'!$S$2:$S$132,MATCH(C37,'Decisions'!$C$2:$C$132,0)))</x:f>
      </x:c>
      <x:c r="I37" s="3" t="str">
        <x:f>IF(INDEX('Decisions'!$Y$2:$Y$132,MATCH(C37,'Decisions'!$C$2:$C$132,0))="","",INDEX('Decisions'!$Y$2:$Y$132,MATCH(C37,'Decisions'!$C$2:$C$132,0)))</x:f>
        <x:v>not_applicable</x:v>
      </x:c>
      <x:c r="J37" s="3" t="str">
        <x:f>IF(INDEX('Decisions'!$X$2:$X$132,MATCH(C37,'Decisions'!$C$2:$C$132,0))="","",INDEX('Decisions'!$X$2:$X$132,MATCH(C37,'Decisions'!$C$2:$C$132,0)))</x:f>
        <x:v>not_applicable</x:v>
      </x:c>
      <x:c r="K37" s="3" t="str">
        <x:f>IF(INDEX('Decisions'!$Z$2:$Z$132,MATCH(C37,'Decisions'!$C$2:$C$132,0))="","",INDEX('Decisions'!$Z$2:$Z$132,MATCH(C37,'Decisions'!$C$2:$C$132,0)))</x:f>
      </x:c>
    </x:row>
    <x:row r="38" ht="90" customHeight="1">
      <x:c r="A38" s="6" t="n">
        <x:v>2025</x:v>
      </x:c>
      <x:c r="B38" s="6" t="str">
        <x:v>jama.2025.7710</x:v>
      </x:c>
      <x:c r="C38" s="6" t="str">
        <x:v>2025::jama.2025.7710::C004</x:v>
      </x:c>
      <x:c r="D38" s="6" t="str">
        <x:v>P_R</x:v>
      </x:c>
      <x:c r="E38" s="6" t="str">
        <x:v>Reported no-adjustment statement conflicts with the supplied multiplicity plan</x:v>
      </x:c>
      <x:c r="F38" s="6" t="str">
        <x:v>The article reports no adjustment for multiple testing, while the supplied protocol and draft SAP plan Benjamini-Hochberg adjusted P values for the ten component comparisons.</x:v>
      </x:c>
      <x:c r="G38" s="6" t="str">
        <x:f>IF(INDEX('Decisions'!$G$2:$G$132,MATCH(C38,'Decisions'!$C$2:$C$132,0))="","",INDEX('Decisions'!$G$2:$G$132,MATCH(C38,'Decisions'!$C$2:$C$132,0)))</x:f>
        <x:v>CHECK REVIEWER IDs</x:v>
      </x:c>
      <x:c r="H38" s="6" t="str">
        <x:f>IF(INDEX('Decisions'!$S$2:$S$132,MATCH(C38,'Decisions'!$C$2:$C$132,0))="","",INDEX('Decisions'!$S$2:$S$132,MATCH(C38,'Decisions'!$C$2:$C$132,0)))</x:f>
      </x:c>
      <x:c r="I38" s="6" t="str">
        <x:f>IF(INDEX('Decisions'!$Y$2:$Y$132,MATCH(C38,'Decisions'!$C$2:$C$132,0))="","",INDEX('Decisions'!$Y$2:$Y$132,MATCH(C38,'Decisions'!$C$2:$C$132,0)))</x:f>
        <x:v>not_applicable</x:v>
      </x:c>
      <x:c r="J38" s="6" t="str">
        <x:f>IF(INDEX('Decisions'!$X$2:$X$132,MATCH(C38,'Decisions'!$C$2:$C$132,0))="","",INDEX('Decisions'!$X$2:$X$132,MATCH(C38,'Decisions'!$C$2:$C$132,0)))</x:f>
        <x:v>not_applicable</x:v>
      </x:c>
      <x:c r="K38" s="6" t="str">
        <x:f>IF(INDEX('Decisions'!$Z$2:$Z$132,MATCH(C38,'Decisions'!$C$2:$C$132,0))="","",INDEX('Decisions'!$Z$2:$Z$132,MATCH(C38,'Decisions'!$C$2:$C$132,0)))</x:f>
      </x:c>
    </x:row>
    <x:row r="39" ht="90" customHeight="1">
      <x:c r="A39" s="3" t="n">
        <x:v>2025</x:v>
      </x:c>
      <x:c r="B39" s="3" t="str">
        <x:v>jama.2025.9663</x:v>
      </x:c>
      <x:c r="C39" s="3" t="str">
        <x:v>2025::jama.2025.9663::C003</x:v>
      </x:c>
      <x:c r="D39" s="3" t="str">
        <x:v>P_P</x:v>
      </x:c>
      <x:c r="E39" s="3" t="str">
        <x:v>Final SAP contains an unresolved reference after quantitative separation/adherence rules</x:v>
      </x:c>
      <x:c r="F39" s="3" t="str">
        <x:v>The final SAP directs readers to “Section 3.2 and Error! Reference source not found.” for further details after quantitative separation/adherence rules, leaving one stated reference destination unidentifiable.</x:v>
      </x:c>
      <x:c r="G39" s="3" t="str">
        <x:f>IF(INDEX('Decisions'!$G$2:$G$132,MATCH(C39,'Decisions'!$C$2:$C$132,0))="","",INDEX('Decisions'!$G$2:$G$132,MATCH(C39,'Decisions'!$C$2:$C$132,0)))</x:f>
        <x:v>CHECK REVIEWER IDs</x:v>
      </x:c>
      <x:c r="H39" s="3" t="str">
        <x:f>IF(INDEX('Decisions'!$S$2:$S$132,MATCH(C39,'Decisions'!$C$2:$C$132,0))="","",INDEX('Decisions'!$S$2:$S$132,MATCH(C39,'Decisions'!$C$2:$C$132,0)))</x:f>
      </x:c>
      <x:c r="I39" s="3" t="str">
        <x:f>IF(INDEX('Decisions'!$Y$2:$Y$132,MATCH(C39,'Decisions'!$C$2:$C$132,0))="","",INDEX('Decisions'!$Y$2:$Y$132,MATCH(C39,'Decisions'!$C$2:$C$132,0)))</x:f>
        <x:v>not_applicable</x:v>
      </x:c>
      <x:c r="J39" s="3" t="str">
        <x:f>IF(INDEX('Decisions'!$X$2:$X$132,MATCH(C39,'Decisions'!$C$2:$C$132,0))="","",INDEX('Decisions'!$X$2:$X$132,MATCH(C39,'Decisions'!$C$2:$C$132,0)))</x:f>
        <x:v>not_applicable</x:v>
      </x:c>
      <x:c r="K39" s="3" t="str">
        <x:f>IF(INDEX('Decisions'!$Z$2:$Z$132,MATCH(C39,'Decisions'!$C$2:$C$132,0))="","",INDEX('Decisions'!$Z$2:$Z$132,MATCH(C39,'Decisions'!$C$2:$C$132,0)))</x:f>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x:c r="C2" s="12" t="b">
        <x:v>0</x:v>
      </x:c>
      <x:c r="D2" s="6" t="str">
        <x:v>Denominator, proportion, or total inconsistency</x:v>
      </x:c>
      <x:c r="E2" s="12" t="b">
        <x:v>0</x:v>
      </x:c>
      <x:c r="F2" s="6" t="str">
        <x:v>C001</x:v>
      </x:c>
      <x:c r="G2" s="6" t="str">
        <x:v>2025::jama.2024.24764::C001</x:v>
      </x:c>
      <x:c r="H2" s="6"/>
      <x:c r="I2" s="6" t="str">
        <x:v>jama_atherton_2025_oi_240145_1741627844.85412.pdf — PDF p. 5, Table 1</x:v>
      </x:c>
      <x:c r="J2" s="12" t="b">
        <x:v>0</x:v>
      </x:c>
      <x:c r="K2" s="6" t="str">
        <x:v>jama.2024.24764</x:v>
      </x:c>
      <x:c r="L2" s="6"/>
      <x:c r="M2" s="6" t="str">
        <x:v>S_W</x:v>
      </x:c>
      <x:c r="N2" s="6" t="str">
        <x:v>Target is within one main article or one non-plan results supplement/workbook; no substantive plan comparison. Reported percentages are 53.5/23.1/21.9 and 54.4/17.1/26.6; comparator denominators are printed smoking totals 405/402 versus group headers 411/410.</x:v>
      </x:c>
      <x:c r="O2" s="6" t="str">
        <x:v>../../2025/jama.2024.24764/.ai_paper_validation/final_report_1_5_3.html</x:v>
      </x:c>
      <x:c r="P2" s="6" t="str">
        <x:v>2025/jama.2024.24764/.ai_paper_validation/final_report_1_5_3.md</x:v>
      </x:c>
      <x:c r="Q2" s="6" t="str">
        <x:v>C001</x:v>
      </x:c>
      <x:c r="R2" s="6" t="str">
        <x:v>Pending Human Adjudication</x:v>
      </x:c>
      <x:c r="S2" s="6" t="str">
        <x:v>The smoking rows print variable-specific totals of 405 and 402, while all six percentages reproduce the group-header denominators 411 and 410 without an explanatory convention.</x:v>
      </x:c>
      <x:c r="T2" s="12" t="b">
        <x:v>1</x:v>
      </x:c>
      <x:c r="U2" s="6" t="str">
        <x:v>Smoking percentages use a different denominator from the printed smoking totals</x:v>
      </x:c>
      <x:c r="V2" s="6" t="str">
        <x:v>statistical_results</x:v>
      </x:c>
      <x:c r="W2" s="6" t="str">
        <x:v>Smoking percentages use a different denominator from the printed smoking totals</x:v>
      </x:c>
      <x:c r="X2" s="6" t="str">
        <x:v>2025</x:v>
      </x:c>
      <x:c r="Y2" s="6" t="str">
        <x:v>meta_report/consistency_reclassification_2026-09-04/reclassified_candidates.json</x:v>
      </x:c>
      <x:c r="Z2" s="6" t="str">
        <x:v>S_W</x:v>
      </x:c>
      <x:c r="AA2" s="6" t="str">
        <x:v>statistical_results</x:v>
      </x:c>
      <x:c r="AB2" s="6" t="str">
        <x:v>retain</x:v>
      </x:c>
    </x:row>
    <x:row r="3" ht="90" customHeight="1">
      <x:c r="A3" s="11" t="b">
        <x:v>0</x:v>
      </x:c>
      <x:c r="B3" s="3"/>
      <x:c r="C3" s="11" t="b">
        <x:v>0</x:v>
      </x:c>
      <x:c r="D3" s="3" t="str">
        <x:v>Denominator, proportion, or total inconsistency</x:v>
      </x:c>
      <x:c r="E3" s="11" t="b">
        <x:v>0</x:v>
      </x:c>
      <x:c r="F3" s="3" t="str">
        <x:v>C002</x:v>
      </x:c>
      <x:c r="G3" s="3" t="str">
        <x:v>2025::jama.2024.24764::C002</x:v>
      </x:c>
      <x:c r="H3" s="3"/>
      <x:c r="I3" s="3" t="str">
        <x:v>jama_atherton_2025_oi_240145_1741627844.85412.pdf — PDF p. 7, Table 2</x:v>
      </x:c>
      <x:c r="J3" s="11" t="b">
        <x:v>0</x:v>
      </x:c>
      <x:c r="K3" s="3" t="str">
        <x:v>jama.2024.24764</x:v>
      </x:c>
      <x:c r="L3" s="3"/>
      <x:c r="M3" s="3" t="str">
        <x:v>S_W</x:v>
      </x:c>
      <x:c r="N3" s="3" t="str">
        <x:v>Target is within one main article or one non-plan results supplement/workbook; no substantive plan comparison. Category totals 446 and 429 are compared with participant denominators 411 and 410; percentage totals are 108.5% and 104.6%.</x:v>
      </x:c>
      <x:c r="O3" s="3" t="str">
        <x:v>../../2025/jama.2024.24764/.ai_paper_validation/final_report_1_5_3.html</x:v>
      </x:c>
      <x:c r="P3" s="3" t="str">
        <x:v>2025/jama.2024.24764/.ai_paper_validation/final_report_1_5_3.md</x:v>
      </x:c>
      <x:c r="Q3" s="3" t="str">
        <x:v>C002</x:v>
      </x:c>
      <x:c r="R3" s="3" t="str">
        <x:v>Pending Human Adjudication</x:v>
      </x:c>
      <x:c r="S3" s="3" t="str">
        <x:v>Operating-surgeon category totals exceed the printed participant denominators without a statement that the rows permit multiple responses.</x:v>
      </x:c>
      <x:c r="T3" s="11" t="b">
        <x:v>1</x:v>
      </x:c>
      <x:c r="U3" s="3" t="str">
        <x:v>Operating-surgeon level totals exceed participant denominators without a multi-response qualifier</x:v>
      </x:c>
      <x:c r="V3" s="3" t="str">
        <x:v>statistical_results</x:v>
      </x:c>
      <x:c r="W3" s="3" t="str">
        <x:v>Operating-surgeon level totals exceed participant denominators without a multi-response qualifier</x:v>
      </x:c>
      <x:c r="X3" s="3" t="str">
        <x:v>2025</x:v>
      </x:c>
      <x:c r="Y3" s="3" t="str">
        <x:v>meta_report/consistency_reclassification_2026-09-04/reclassified_candidates.json</x:v>
      </x:c>
      <x:c r="Z3" s="3" t="str">
        <x:v>S_W</x:v>
      </x:c>
      <x:c r="AA3" s="3" t="str">
        <x:v>statistical_results</x:v>
      </x:c>
      <x:c r="AB3" s="3" t="str">
        <x:v>retain</x:v>
      </x:c>
    </x:row>
    <x:row r="4" ht="90" customHeight="1">
      <x:c r="A4" s="12" t="b">
        <x:v>0</x:v>
      </x:c>
      <x:c r="B4" s="6"/>
      <x:c r="C4" s="12" t="b">
        <x:v>0</x:v>
      </x:c>
      <x:c r="D4" s="6" t="str">
        <x:v>Denominator, proportion, or total inconsistency</x:v>
      </x:c>
      <x:c r="E4" s="12" t="b">
        <x:v>0</x:v>
      </x:c>
      <x:c r="F4" s="6" t="str">
        <x:v>C003</x:v>
      </x:c>
      <x:c r="G4" s="6" t="str">
        <x:v>2025::jama.2024.24764::C003</x:v>
      </x:c>
      <x:c r="H4" s="6"/>
      <x:c r="I4" s="6" t="str">
        <x:v>jama_atherton_2025_oi_240145_1741627844.85412.pdf — PDF p. 7, Table 2 continuation</x:v>
      </x:c>
      <x:c r="J4" s="12" t="b">
        <x:v>0</x:v>
      </x:c>
      <x:c r="K4" s="6" t="str">
        <x:v>jama.2024.24764</x:v>
      </x:c>
      <x:c r="L4" s="6"/>
      <x:c r="M4" s="6" t="str">
        <x:v>S_W</x:v>
      </x:c>
      <x:c r="N4" s="6" t="str">
        <x:v>Target is within one main article or one non-plan results supplement/workbook; no substantive plan comparison. Totals 445 and 433 are compared with 411 and 410; percentage totals are 108.2% and 105.7%.</x:v>
      </x:c>
      <x:c r="O4" s="6" t="str">
        <x:v>../../2025/jama.2024.24764/.ai_paper_validation/final_report_1_5_3.html</x:v>
      </x:c>
      <x:c r="P4" s="6" t="str">
        <x:v>2025/jama.2024.24764/.ai_paper_validation/final_report_1_5_3.md</x:v>
      </x:c>
      <x:c r="Q4" s="6" t="str">
        <x:v>C003</x:v>
      </x:c>
      <x:c r="R4" s="6" t="str">
        <x:v>Pending Human Adjudication</x:v>
      </x:c>
      <x:c r="S4" s="6" t="str">
        <x:v>Fascia-closing surgeon-level totals exceed participant denominators without a stated multi-response rule.</x:v>
      </x:c>
      <x:c r="T4" s="12" t="b">
        <x:v>1</x:v>
      </x:c>
      <x:c r="U4" s="6" t="str">
        <x:v>Fascia-closing surgeon level totals exceed participant denominators without a multi-response qualifier</x:v>
      </x:c>
      <x:c r="V4" s="6" t="str">
        <x:v>statistical_results</x:v>
      </x:c>
      <x:c r="W4" s="6" t="str">
        <x:v>Fascia-closing surgeon level totals exceed participant denominators without a multi-response qualifier</x:v>
      </x:c>
      <x:c r="X4" s="6" t="str">
        <x:v>2025</x:v>
      </x:c>
      <x:c r="Y4" s="6" t="str">
        <x:v>meta_report/consistency_reclassification_2026-09-04/reclassified_candidates.json</x:v>
      </x:c>
      <x:c r="Z4" s="6" t="str">
        <x:v>S_W</x:v>
      </x:c>
      <x:c r="AA4" s="6" t="str">
        <x:v>statistical_results</x:v>
      </x:c>
      <x:c r="AB4" s="6" t="str">
        <x:v>retain</x:v>
      </x:c>
    </x:row>
    <x:row r="5" ht="90" customHeight="1">
      <x:c r="A5" s="11" t="b">
        <x:v>0</x:v>
      </x:c>
      <x:c r="B5" s="3"/>
      <x:c r="C5" s="11" t="b">
        <x:v>0</x:v>
      </x:c>
      <x:c r="D5" s="3" t="str">
        <x:v>Denominator, proportion, or total inconsistency</x:v>
      </x:c>
      <x:c r="E5" s="11" t="b">
        <x:v>0</x:v>
      </x:c>
      <x:c r="F5" s="3" t="str">
        <x:v>C004</x:v>
      </x:c>
      <x:c r="G5" s="3" t="str">
        <x:v>2025::jama.2024.24764::C004</x:v>
      </x:c>
      <x:c r="H5" s="3"/>
      <x:c r="I5" s="3" t="str">
        <x:v>jama_atherton_2025_oi_240145_1741627844.85412.pdf — PDF p. 7, Table 2 continuation</x:v>
      </x:c>
      <x:c r="J5" s="11" t="b">
        <x:v>0</x:v>
      </x:c>
      <x:c r="K5" s="3" t="str">
        <x:v>jama.2024.24764</x:v>
      </x:c>
      <x:c r="L5" s="3"/>
      <x:c r="M5" s="3" t="str">
        <x:v>S_W</x:v>
      </x:c>
      <x:c r="N5" s="3" t="str">
        <x:v>Target is within one main article or one non-plan results supplement/workbook; no substantive plan comparison. Totals 425 and 416 are compared with 411 and 410; percentage totals are 103.5% and 101.5%.</x:v>
      </x:c>
      <x:c r="O5" s="3" t="str">
        <x:v>../../2025/jama.2024.24764/.ai_paper_validation/final_report_1_5_3.html</x:v>
      </x:c>
      <x:c r="P5" s="3" t="str">
        <x:v>2025/jama.2024.24764/.ai_paper_validation/final_report_1_5_3.md</x:v>
      </x:c>
      <x:c r="Q5" s="3" t="str">
        <x:v>C004</x:v>
      </x:c>
      <x:c r="R5" s="3" t="str">
        <x:v>Pending Human Adjudication</x:v>
      </x:c>
      <x:c r="S5" s="3" t="str">
        <x:v>Skin-closing surgeon-level totals exceed participant denominators without a stated multi-response rule.</x:v>
      </x:c>
      <x:c r="T5" s="11" t="b">
        <x:v>1</x:v>
      </x:c>
      <x:c r="U5" s="3" t="str">
        <x:v>Skin-closing surgeon level totals exceed participant denominators without a multi-response qualifier</x:v>
      </x:c>
      <x:c r="V5" s="3" t="str">
        <x:v>statistical_results</x:v>
      </x:c>
      <x:c r="W5" s="3" t="str">
        <x:v>Skin-closing surgeon level totals exceed participant denominators without a multi-response qualifier</x:v>
      </x:c>
      <x:c r="X5" s="3" t="str">
        <x:v>2025</x:v>
      </x:c>
      <x:c r="Y5" s="3" t="str">
        <x:v>meta_report/consistency_reclassification_2026-09-04/reclassified_candidates.json</x:v>
      </x:c>
      <x:c r="Z5" s="3" t="str">
        <x:v>S_W</x:v>
      </x:c>
      <x:c r="AA5" s="3" t="str">
        <x:v>statistical_results</x:v>
      </x:c>
      <x:c r="AB5" s="3" t="str">
        <x:v>retain</x:v>
      </x:c>
    </x:row>
    <x:row r="6" ht="90" customHeight="1">
      <x:c r="A6" s="12" t="b">
        <x:v>0</x:v>
      </x:c>
      <x:c r="B6" s="6" t="str">
        <x:v>Figure mortality window is unspecified; count discrepancy may be a time-window difference. All locations are in the main article despite original cross-document category.</x:v>
      </x:c>
      <x:c r="C6" s="12" t="b">
        <x:v>0</x:v>
      </x:c>
      <x:c r="D6" s="6" t="str">
        <x:v>Cross-document numeric inconsistency</x:v>
      </x:c>
      <x:c r="E6" s="12" t="b">
        <x:v>0</x:v>
      </x:c>
      <x:c r="F6" s="6" t="str">
        <x:v>C005</x:v>
      </x:c>
      <x:c r="G6" s="6" t="str">
        <x:v>2025::jama.2024.24764::C005</x:v>
      </x:c>
      <x:c r="H6" s="6"/>
      <x:c r="I6" s="6" t="str">
        <x:v>jama_atherton_2025_oi_240145_1741627844.85412.pdf — PDF p. 3, Figure 1; PDF p. 6, safety narrative; PDF p. 8, Table 3</x:v>
      </x:c>
      <x:c r="J6" s="12" t="b">
        <x:v>1</x:v>
      </x:c>
      <x:c r="K6" s="6" t="str">
        <x:v>jama.2024.24764</x:v>
      </x:c>
      <x:c r="L6" s="6"/>
      <x:c r="M6" s="6" t="str">
        <x:v>S_W</x:v>
      </x:c>
      <x:c r="N6" s="6" t="str">
        <x:v>Target is within one main article or one non-plan results supplement/workbook; no substantive plan comparison. Figure 1 total 25 and control count 15 are compared with the explicitly 30-day total 24 and control count 14.</x:v>
      </x:c>
      <x:c r="O6" s="6" t="str">
        <x:v>../../2025/jama.2024.24764/.ai_paper_validation/final_report_1_5_3.html</x:v>
      </x:c>
      <x:c r="P6" s="6" t="str">
        <x:v>2025/jama.2024.24764/.ai_paper_validation/final_report_1_5_3.md</x:v>
      </x:c>
      <x:c r="Q6" s="6" t="str">
        <x:v>C005</x:v>
      </x:c>
      <x:c r="R6" s="6" t="str">
        <x:v>Pending Human Adjudication</x:v>
      </x:c>
      <x:c r="S6" s="6" t="str">
        <x:v>Participant flow reports 25 deaths (10 intervention, 15 control), whereas Table 3 and the safety narrative report 24 deaths within 30 days (10 intervention, 14 control).</x:v>
      </x:c>
      <x:c r="T6" s="12" t="b">
        <x:v>1</x:v>
      </x:c>
      <x:c r="U6" s="6" t="str">
        <x:v>Control-arm mortality differs between participant flow and 30-day safety reporting</x:v>
      </x:c>
      <x:c r="V6" s="6" t="str">
        <x:v>report_internal_inconsistency</x:v>
      </x:c>
      <x:c r="W6" s="6" t="str">
        <x:v>Control-arm mortality differs between participant flow and 30-day safety reporting</x:v>
      </x:c>
      <x:c r="X6" s="6" t="str">
        <x:v>2025</x:v>
      </x:c>
      <x:c r="Y6" s="6" t="str">
        <x:v>meta_report/consistency_reclassification_2026-09-04/reclassified_candidates.json</x:v>
      </x:c>
      <x:c r="Z6" s="6" t="str">
        <x:v>S_W</x:v>
      </x:c>
      <x:c r="AA6" s="6" t="str">
        <x:v>report_internal_inconsistency</x:v>
      </x:c>
      <x:c r="AB6" s="6" t="str">
        <x:v>retain</x:v>
      </x:c>
    </x:row>
    <x:row r="7" ht="90" customHeight="1">
      <x:c r="A7" s="11" t="b">
        <x:v>0</x:v>
      </x:c>
      <x:c r="B7" s="3" t="str">
        <x:v>Covariance specifications differ; article silence about sandwich SE does not prove it was absent. Amendment/output unavailable.</x:v>
      </x:c>
      <x:c r="C7" s="11" t="b">
        <x:v>1</x:v>
      </x:c>
      <x:c r="D7" s="3" t="str">
        <x:v>Statistical reporting inconsistency</x:v>
      </x:c>
      <x:c r="E7" s="11" t="b">
        <x:v>1</x:v>
      </x:c>
      <x:c r="F7" s="3" t="str">
        <x:v>C006</x:v>
      </x:c>
      <x:c r="G7" s="3" t="str">
        <x:v>2025::jama.2024.24764::C006</x:v>
      </x:c>
      <x:c r="H7" s="3"/>
      <x:c r="I7" s="3" t="str">
        <x:v>joi240145supp1_prod_1741627844.87412.pdf — PDF p. 26, SAP; jama_atherton_2025_oi_240145_1741627844.85412.pdf — PDF p. 4, Statistical Analysis</x:v>
      </x:c>
      <x:c r="J7" s="11" t="b">
        <x:v>0</x:v>
      </x:c>
      <x:c r="K7" s="3" t="str">
        <x:v>jama.2024.24764</x:v>
      </x:c>
      <x:c r="L7" s="3" t="str">
        <x:v>analysis_specification</x:v>
      </x:c>
      <x:c r="M7" s="3" t="str">
        <x:v>P_R</x:v>
      </x:c>
      <x:c r="N7" s="3" t="str">
        <x:v>Target compares reported current-study content with supplied protocol/SAP specification. Final-article independent covariance is compared with SAP unstructured covariance and robust sandwich variance estimation.</x:v>
      </x:c>
      <x:c r="O7" s="3" t="str">
        <x:v>../../2025/jama.2024.24764/.ai_paper_validation/final_report_1_5_3.html</x:v>
      </x:c>
      <x:c r="P7" s="3" t="str">
        <x:v>2025/jama.2024.24764/.ai_paper_validation/final_report_1_5_3.md</x:v>
      </x:c>
      <x:c r="Q7" s="3" t="str">
        <x:v>C006</x:v>
      </x:c>
      <x:c r="R7" s="3" t="str">
        <x:v>Pending Human Adjudication</x:v>
      </x:c>
      <x:c r="S7" s="3" t="str">
        <x:v>The SAP specifies unstructured covariance with robust sandwich standard errors for the QoL model family, while the final article specifies independent covariance.</x:v>
      </x:c>
      <x:c r="T7" s="11" t="b">
        <x:v>0</x:v>
      </x:c>
      <x:c r="U7" s="3" t="str">
        <x:v>Longitudinal quality-of-life covariance specification differs between SAP and final article</x:v>
      </x:c>
      <x:c r="V7" s="3" t="str">
        <x:v>protocol_report</x:v>
      </x:c>
      <x:c r="W7" s="3" t="str">
        <x:v>Longitudinal quality-of-life covariance specification differs between SAP and final article</x:v>
      </x:c>
      <x:c r="X7" s="3" t="str">
        <x:v>2025</x:v>
      </x:c>
      <x:c r="Y7" s="3" t="str">
        <x:v>meta_report/consistency_reclassification_2026-09-04/reclassified_candidates.json</x:v>
      </x:c>
      <x:c r="Z7" s="3" t="str">
        <x:v>P_R</x:v>
      </x:c>
      <x:c r="AA7" s="3" t="str">
        <x:v>protocol_report</x:v>
      </x:c>
      <x:c r="AB7" s="3" t="str">
        <x:v>retain</x:v>
      </x:c>
    </x:row>
    <x:row r="8" ht="90" customHeight="1">
      <x:c r="A8" s="12" t="b">
        <x:v>0</x:v>
      </x:c>
      <x:c r="B8" s="6" t="str">
        <x:v>UK-only comparison isolates effect measure from C008 population issue; skewness anticipated but planned median difference differs from geometric-mean ratio.</x:v>
      </x:c>
      <x:c r="C8" s="12" t="b">
        <x:v>1</x:v>
      </x:c>
      <x:c r="D8" s="6" t="str">
        <x:v>Measure, label, or scale inconsistency</x:v>
      </x:c>
      <x:c r="E8" s="12" t="b">
        <x:v>1</x:v>
      </x:c>
      <x:c r="F8" s="6" t="str">
        <x:v>C007</x:v>
      </x:c>
      <x:c r="G8" s="6" t="str">
        <x:v>2025::jama.2024.24764::C007</x:v>
      </x:c>
      <x:c r="H8" s="6"/>
      <x:c r="I8" s="6" t="str">
        <x:v>joi240145supp1_prod_1741627844.87412.pdf — PDF p. 25, SAP; joi240145supp4_prod_1741627844.90412.pdf — PDF p. 39, protocol; jama_atherton_2025_oi_240145_1741627844.85412.pdf — PDF p. 4; PDF p. 8, Table 3</x:v>
      </x:c>
      <x:c r="J8" s="12" t="b">
        <x:v>0</x:v>
      </x:c>
      <x:c r="K8" s="6" t="str">
        <x:v>jama.2024.24764</x:v>
      </x:c>
      <x:c r="L8" s="6" t="str">
        <x:v>analysis_specification</x:v>
      </x:c>
      <x:c r="M8" s="6" t="str">
        <x:v>P_R</x:v>
      </x:c>
      <x:c r="N8" s="6" t="str">
        <x:v>Target compares reported current-study content with supplied protocol/SAP specification. Multiplicative, dimensionless ratios of geometric means are compared with additive differences in days for the same endpoint.</x:v>
      </x:c>
      <x:c r="O8" s="6" t="str">
        <x:v>../../2025/jama.2024.24764/.ai_paper_validation/final_report_1_5_3.html</x:v>
      </x:c>
      <x:c r="P8" s="6" t="str">
        <x:v>2025/jama.2024.24764/.ai_paper_validation/final_report_1_5_3.md</x:v>
      </x:c>
      <x:c r="Q8" s="6" t="str">
        <x:v>C007</x:v>
      </x:c>
      <x:c r="R8" s="6" t="str">
        <x:v>Pending Human Adjudication</x:v>
      </x:c>
      <x:c r="S8" s="6" t="str">
        <x:v>SAP/protocol describe adjusted mean difference, or skewed-data unadjusted median difference, whereas the final article reports log-transformed adjusted ratios of geometric means for length of stay.</x:v>
      </x:c>
      <x:c r="T8" s="12" t="b">
        <x:v>0</x:v>
      </x:c>
      <x:c r="U8" s="6" t="str">
        <x:v>Length-of-stay effect measure and model differ between SAP/protocol and final article</x:v>
      </x:c>
      <x:c r="V8" s="6" t="str">
        <x:v>protocol_report</x:v>
      </x:c>
      <x:c r="W8" s="6" t="str">
        <x:v>Length-of-stay effect measure and model differ between SAP/protocol and final article</x:v>
      </x:c>
      <x:c r="X8" s="6" t="str">
        <x:v>2025</x:v>
      </x:c>
      <x:c r="Y8" s="6" t="str">
        <x:v>meta_report/consistency_reclassification_2026-09-04/reclassified_candidates.json</x:v>
      </x:c>
      <x:c r="Z8" s="6" t="str">
        <x:v>P_R</x:v>
      </x:c>
      <x:c r="AA8" s="6" t="str">
        <x:v>protocol_report</x:v>
      </x:c>
      <x:c r="AB8" s="6" t="str">
        <x:v>retain</x:v>
      </x:c>
    </x:row>
    <x:row r="9" ht="90" customHeight="1">
      <x:c r="A9" s="11" t="b">
        <x:v>0</x:v>
      </x:c>
      <x:c r="B9" s="3" t="str">
        <x:v>UK-only result remains reported; all-country result is additional and status is unclear, not proven substitution.</x:v>
      </x:c>
      <x:c r="C9" s="11" t="b">
        <x:v>1</x:v>
      </x:c>
      <x:c r="D9" s="3" t="str">
        <x:v>Analysis-unit or population inconsistency</x:v>
      </x:c>
      <x:c r="E9" s="11" t="b">
        <x:v>1</x:v>
      </x:c>
      <x:c r="F9" s="3" t="str">
        <x:v>C008</x:v>
      </x:c>
      <x:c r="G9" s="3" t="str">
        <x:v>2025::jama.2024.24764::C008</x:v>
      </x:c>
      <x:c r="H9" s="3"/>
      <x:c r="I9" s="3" t="str">
        <x:v>joi240145supp1_prod_1741627844.87412.pdf — PDF p. 18, SAP endpoint; PDF p. 25, SAP population; joi240145supp4_prod_1741627844.90412.pdf — PDF p. 24, protocol; jama_atherton_2025_oi_240145_1741627844.85412.pdf — PDF p. 1, abstract; PDF p. 8, Table 3</x:v>
      </x:c>
      <x:c r="J9" s="11" t="b">
        <x:v>0</x:v>
      </x:c>
      <x:c r="K9" s="3" t="str">
        <x:v>jama.2024.24764</x:v>
      </x:c>
      <x:c r="L9" s="3" t="str">
        <x:v>population_recruitment_sites</x:v>
      </x:c>
      <x:c r="M9" s="3" t="str">
        <x:v>P_R</x:v>
      </x:c>
      <x:c r="N9" s="3" t="str">
        <x:v>Target compares reported current-study content with supplied protocol/SAP specification. A UK-and-Australia analysis population is compared with the planned UK-only endpoint population.</x:v>
      </x:c>
      <x:c r="O9" s="3" t="str">
        <x:v>../../2025/jama.2024.24764/.ai_paper_validation/final_report_1_5_3.html</x:v>
      </x:c>
      <x:c r="P9" s="3" t="str">
        <x:v>2025/jama.2024.24764/.ai_paper_validation/final_report_1_5_3.md</x:v>
      </x:c>
      <x:c r="Q9" s="3" t="str">
        <x:v>C008</x:v>
      </x:c>
      <x:c r="R9" s="3" t="str">
        <x:v>Pending Human Adjudication</x:v>
      </x:c>
      <x:c r="S9" s="3" t="str">
        <x:v>SAP and protocol specify UK-only length-of-stay reporting, while the final article additionally reports a UK-and-Australia result.</x:v>
      </x:c>
      <x:c r="T9" s="11" t="b">
        <x:v>0</x:v>
      </x:c>
      <x:c r="U9" s="3" t="str">
        <x:v>Australia-inclusive length-of-stay result differs from the stated UK-only analysis population</x:v>
      </x:c>
      <x:c r="V9" s="3" t="str">
        <x:v>protocol_report</x:v>
      </x:c>
      <x:c r="W9" s="3" t="str">
        <x:v>Australia-inclusive length-of-stay result differs from the stated UK-only analysis population</x:v>
      </x:c>
      <x:c r="X9" s="3" t="str">
        <x:v>2025</x:v>
      </x:c>
      <x:c r="Y9" s="3" t="str">
        <x:v>meta_report/consistency_reclassification_2026-09-04/reclassified_candidates.json</x:v>
      </x:c>
      <x:c r="Z9" s="3" t="str">
        <x:v>P_R</x:v>
      </x:c>
      <x:c r="AA9" s="3" t="str">
        <x:v>protocol_report</x:v>
      </x:c>
      <x:c r="AB9" s="3" t="str">
        <x:v>retain</x:v>
      </x:c>
    </x:row>
    <x:row r="10" ht="90" customHeight="1">
      <x:c r="A10" s="12" t="b">
        <x:v>0</x:v>
      </x:c>
      <x:c r="B10" s="6"/>
      <x:c r="C10" s="12" t="b">
        <x:v>0</x:v>
      </x:c>
      <x:c r="D10" s="6" t="str">
        <x:v>Denominator, proportion, or total inconsistency</x:v>
      </x:c>
      <x:c r="E10" s="12" t="b">
        <x:v>0</x:v>
      </x:c>
      <x:c r="F10" s="6" t="str">
        <x:v>C001</x:v>
      </x:c>
      <x:c r="G10" s="6" t="str">
        <x:v>2025::jama.2024.27643::C001</x:v>
      </x:c>
      <x:c r="H10" s="6"/>
      <x:c r="I10" s="6" t="str">
        <x:v>jama_berry_2025_oi_240158_1742927563.7361.pdf — Table 1 and footnote b, PDF p. 6</x:v>
      </x:c>
      <x:c r="J10" s="12" t="b">
        <x:v>0</x:v>
      </x:c>
      <x:c r="K10" s="6" t="str">
        <x:v>jama.2024.27643</x:v>
      </x:c>
      <x:c r="L10" s="6"/>
      <x:c r="M10" s="6" t="str">
        <x:v>S_W</x:v>
      </x:c>
      <x:c r="N10" s="6" t="str">
        <x:v>Target is within one main article or one non-plan results supplement/workbook; no substantive plan comparison. The printed group total is 164 and the printed race denominator/category sum is 160, whereas the footnote reports 3 unknown or unreported participants.</x:v>
      </x:c>
      <x:c r="O10" s="6" t="str">
        <x:v>../../2025/jama.2024.27643/.ai_paper_validation/final_report_1_5_3.html</x:v>
      </x:c>
      <x:c r="P10" s="6" t="str">
        <x:v>2025/jama.2024.27643/.ai_paper_validation/final_report_1_5_3.md</x:v>
      </x:c>
      <x:c r="Q10" s="6" t="str">
        <x:v>C001</x:v>
      </x:c>
      <x:c r="R10" s="6" t="str">
        <x:v>Pending Human Adjudication</x:v>
      </x:c>
      <x:c r="S10" s="6" t="str">
        <x:v>The displayed shared-placebo race accounting has a one-participant mismatch.</x:v>
      </x:c>
      <x:c r="T10" s="12" t="b">
        <x:v>1</x:v>
      </x:c>
      <x:c r="U10" s="6" t="str">
        <x:v>Shared-placebo race missingness does not reconcile with the printed denominator</x:v>
      </x:c>
      <x:c r="V10" s="6" t="str">
        <x:v>statistical_results</x:v>
      </x:c>
      <x:c r="W10" s="6" t="str">
        <x:v>Shared-placebo race missingness does not reconcile with the printed denominator</x:v>
      </x:c>
      <x:c r="X10" s="6" t="str">
        <x:v>2025</x:v>
      </x:c>
      <x:c r="Y10" s="6" t="str">
        <x:v>meta_report/consistency_reclassification_2026-09-04/reclassified_candidates.json</x:v>
      </x:c>
      <x:c r="Z10" s="6" t="str">
        <x:v>S_W</x:v>
      </x:c>
      <x:c r="AA10" s="6" t="str">
        <x:v>statistical_results</x:v>
      </x:c>
      <x:c r="AB10" s="6" t="str">
        <x:v>retain</x:v>
      </x:c>
    </x:row>
    <x:row r="11" ht="90" customHeight="1">
      <x:c r="A11" s="11" t="b">
        <x:v>0</x:v>
      </x:c>
      <x:c r="B11" s="3"/>
      <x:c r="C11" s="11" t="b">
        <x:v>0</x:v>
      </x:c>
      <x:c r="D11" s="3" t="str">
        <x:v>Measure, label, or scale inconsistency</x:v>
      </x:c>
      <x:c r="E11" s="11" t="b">
        <x:v>1</x:v>
      </x:c>
      <x:c r="F11" s="3" t="str">
        <x:v>C002</x:v>
      </x:c>
      <x:c r="G11" s="3" t="str">
        <x:v>2025::jama.2024.27643::C002</x:v>
      </x:c>
      <x:c r="H11" s="3"/>
      <x:c r="I11" s="3" t="str">
        <x:v>jama_berry_2025_oi_240158_1742927563.7361.pdf — Secondary Efficacy Outcomes, PDF p. 4; joi240158supp3_prod_1742927563.7911.pdf — eTable 3A, PDF p. 16</x:v>
      </x:c>
      <x:c r="J11" s="11" t="b">
        <x:v>0</x:v>
      </x:c>
      <x:c r="K11" s="3" t="str">
        <x:v>jama.2024.27643</x:v>
      </x:c>
      <x:c r="L11" s="3"/>
      <x:c r="M11" s="3" t="str">
        <x:v>S_C</x:v>
      </x:c>
      <x:c r="N11" s="3" t="str">
        <x:v>Target explicitly compares current main article and non-plan results supplement/workbook. A monthly rate is printed in the article; a cumulative 24-week change label is printed for the same values in the cited table.</x:v>
      </x:c>
      <x:c r="O11" s="3" t="str">
        <x:v>../../2025/jama.2024.27643/.ai_paper_validation/final_report_1_5_3.html</x:v>
      </x:c>
      <x:c r="P11" s="3" t="str">
        <x:v>2025/jama.2024.27643/.ai_paper_validation/final_report_1_5_3.md</x:v>
      </x:c>
      <x:c r="Q11" s="3" t="str">
        <x:v>C002</x:v>
      </x:c>
      <x:c r="R11" s="3" t="str">
        <x:v>Pending Human Adjudication</x:v>
      </x:c>
      <x:c r="S11" s="3" t="str">
        <x:v>Identical SVC values are labelled as monthly rates in the article and as 24-week change estimates in eTable 3A.</x:v>
      </x:c>
      <x:c r="T11" s="11" t="b">
        <x:v>1</x:v>
      </x:c>
      <x:c r="U11" s="3" t="str">
        <x:v>SVC values have incompatible monthly-rate and 24-week-change labels</x:v>
      </x:c>
      <x:c r="V11" s="3" t="str">
        <x:v>report_internal_inconsistency</x:v>
      </x:c>
      <x:c r="W11" s="3" t="str">
        <x:v>SVC values have incompatible monthly-rate and 24-week-change labels</x:v>
      </x:c>
      <x:c r="X11" s="3" t="str">
        <x:v>2025</x:v>
      </x:c>
      <x:c r="Y11" s="3" t="str">
        <x:v>meta_report/consistency_reclassification_2026-09-04/reclassified_candidates.json</x:v>
      </x:c>
      <x:c r="Z11" s="3" t="str">
        <x:v>S_C</x:v>
      </x:c>
      <x:c r="AA11" s="3" t="str">
        <x:v>report_internal_inconsistency</x:v>
      </x:c>
      <x:c r="AB11" s="3" t="str">
        <x:v>retain</x:v>
      </x:c>
    </x:row>
    <x:row r="12" ht="90" customHeight="1">
      <x:c r="A12" s="12" t="b">
        <x:v>0</x:v>
      </x:c>
      <x:c r="B12" s="6"/>
      <x:c r="C12" s="12" t="b">
        <x:v>0</x:v>
      </x:c>
      <x:c r="D12" s="6" t="str">
        <x:v>Cross-document numeric inconsistency</x:v>
      </x:c>
      <x:c r="E12" s="12" t="b">
        <x:v>1</x:v>
      </x:c>
      <x:c r="F12" s="6" t="str">
        <x:v>C003</x:v>
      </x:c>
      <x:c r="G12" s="6" t="str">
        <x:v>2025::jama.2024.27643::C003</x:v>
      </x:c>
      <x:c r="H12" s="6"/>
      <x:c r="I12" s="6" t="str">
        <x:v>jama_berry_2025_oi_240158_1742927563.7361.pdf — Primary Efficacy Outcome, PDF p. 4; joi240158supp3_prod_1742927563.7911.pdf — eTable 2, PDF p. 15</x:v>
      </x:c>
      <x:c r="J12" s="12" t="b">
        <x:v>1</x:v>
      </x:c>
      <x:c r="K12" s="6" t="str">
        <x:v>jama.2024.27643</x:v>
      </x:c>
      <x:c r="L12" s="6"/>
      <x:c r="M12" s="6" t="str">
        <x:v>S_C</x:v>
      </x:c>
      <x:c r="N12" s="6" t="str">
        <x:v>Target explicitly compares current main article and non-plan results supplement/workbook. Matched Bayesian shared-parameter-model, group, endpoint, and unit labels accompany different three-decimal interval endpoints.</x:v>
      </x:c>
      <x:c r="O12" s="6" t="str">
        <x:v>../../2025/jama.2024.27643/.ai_paper_validation/final_report_1_5_3.html</x:v>
      </x:c>
      <x:c r="P12" s="6" t="str">
        <x:v>2025/jama.2024.27643/.ai_paper_validation/final_report_1_5_3.md</x:v>
      </x:c>
      <x:c r="Q12" s="6" t="str">
        <x:v>C003</x:v>
      </x:c>
      <x:c r="R12" s="6" t="str">
        <x:v>Pending Human Adjudication</x:v>
      </x:c>
      <x:c r="S12" s="6" t="str">
        <x:v>The shared-placebo ALSFRS-R interval endpoints differ between the article and its cited eTable 2.</x:v>
      </x:c>
      <x:c r="T12" s="12" t="b">
        <x:v>1</x:v>
      </x:c>
      <x:c r="U12" s="6" t="str">
        <x:v>Shared-placebo ALSFRS-R credible-interval endpoints differ for the cited primary model</x:v>
      </x:c>
      <x:c r="V12" s="6" t="str">
        <x:v>report_internal_inconsistency</x:v>
      </x:c>
      <x:c r="W12" s="6" t="str">
        <x:v>Shared-placebo ALSFRS-R credible-interval endpoints differ for the cited primary model</x:v>
      </x:c>
      <x:c r="X12" s="6" t="str">
        <x:v>2025</x:v>
      </x:c>
      <x:c r="Y12" s="6" t="str">
        <x:v>meta_report/consistency_reclassification_2026-09-04/reclassified_candidates.json</x:v>
      </x:c>
      <x:c r="Z12" s="6" t="str">
        <x:v>S_C</x:v>
      </x:c>
      <x:c r="AA12" s="6" t="str">
        <x:v>report_internal_inconsistency</x:v>
      </x:c>
      <x:c r="AB12" s="6" t="str">
        <x:v>retain</x:v>
      </x:c>
    </x:row>
    <x:row r="13" ht="90" customHeight="1">
      <x:c r="A13" s="11" t="b">
        <x:v>0</x:v>
      </x:c>
      <x:c r="B13" s="3"/>
      <x:c r="C13" s="11" t="b">
        <x:v>0</x:v>
      </x:c>
      <x:c r="D13" s="3" t="str">
        <x:v>Cross-document numeric inconsistency</x:v>
      </x:c>
      <x:c r="E13" s="11" t="b">
        <x:v>1</x:v>
      </x:c>
      <x:c r="F13" s="3" t="str">
        <x:v>C004</x:v>
      </x:c>
      <x:c r="G13" s="3" t="str">
        <x:v>2025::jama.2024.27643::C004</x:v>
      </x:c>
      <x:c r="H13" s="3"/>
      <x:c r="I13" s="3" t="str">
        <x:v>jama_berry_2025_oi_240158_1742927563.7361.pdf — Primary Efficacy Outcome, PDF p. 4; joi240158supp3_prod_1742927563.7911.pdf — eTable 2, PDF p. 15</x:v>
      </x:c>
      <x:c r="J13" s="11" t="b">
        <x:v>1</x:v>
      </x:c>
      <x:c r="K13" s="3" t="str">
        <x:v>jama.2024.27643</x:v>
      </x:c>
      <x:c r="L13" s="3"/>
      <x:c r="M13" s="3" t="str">
        <x:v>S_C</x:v>
      </x:c>
      <x:c r="N13" s="3" t="str">
        <x:v>Target explicitly compares current main article and non-plan results supplement/workbook. The point estimate and named model match, while both printed interval endpoints differ.</x:v>
      </x:c>
      <x:c r="O13" s="3" t="str">
        <x:v>../../2025/jama.2024.27643/.ai_paper_validation/final_report_1_5_3.html</x:v>
      </x:c>
      <x:c r="P13" s="3" t="str">
        <x:v>2025/jama.2024.27643/.ai_paper_validation/final_report_1_5_3.md</x:v>
      </x:c>
      <x:c r="Q13" s="3" t="str">
        <x:v>C004</x:v>
      </x:c>
      <x:c r="R13" s="3" t="str">
        <x:v>Pending Human Adjudication</x:v>
      </x:c>
      <x:c r="S13" s="3" t="str">
        <x:v>The pooled-active ALSFRS-R interval endpoints differ between the article and cited eTable 2.</x:v>
      </x:c>
      <x:c r="T13" s="11" t="b">
        <x:v>1</x:v>
      </x:c>
      <x:c r="U13" s="3" t="str">
        <x:v>Pooled-active ALSFRS-R credible-interval endpoints differ for the cited primary model</x:v>
      </x:c>
      <x:c r="V13" s="3" t="str">
        <x:v>report_internal_inconsistency</x:v>
      </x:c>
      <x:c r="W13" s="3" t="str">
        <x:v>Pooled-active ALSFRS-R credible-interval endpoints differ for the cited primary model</x:v>
      </x:c>
      <x:c r="X13" s="3" t="str">
        <x:v>2025</x:v>
      </x:c>
      <x:c r="Y13" s="3" t="str">
        <x:v>meta_report/consistency_reclassification_2026-09-04/reclassified_candidates.json</x:v>
      </x:c>
      <x:c r="Z13" s="3" t="str">
        <x:v>S_C</x:v>
      </x:c>
      <x:c r="AA13" s="3" t="str">
        <x:v>report_internal_inconsistency</x:v>
      </x:c>
      <x:c r="AB13" s="3" t="str">
        <x:v>retain</x:v>
      </x:c>
    </x:row>
    <x:row r="14" ht="90" customHeight="1">
      <x:c r="A14" s="12" t="b">
        <x:v>0</x:v>
      </x:c>
      <x:c r="B14" s="6"/>
      <x:c r="C14" s="12" t="b">
        <x:v>0</x:v>
      </x:c>
      <x:c r="D14" s="6" t="str">
        <x:v>Cross-document numeric inconsistency</x:v>
      </x:c>
      <x:c r="E14" s="12" t="b">
        <x:v>1</x:v>
      </x:c>
      <x:c r="F14" s="6" t="str">
        <x:v>C005</x:v>
      </x:c>
      <x:c r="G14" s="6" t="str">
        <x:v>2025::jama.2024.27643::C005</x:v>
      </x:c>
      <x:c r="H14" s="6"/>
      <x:c r="I14" s="6" t="str">
        <x:v>jama_berry_2025_oi_240158_1742927563.7361.pdf — Primary Efficacy Outcome, PDF p. 4; joi240158supp3_prod_1742927563.7911.pdf — eTable 2, PDF p. 15</x:v>
      </x:c>
      <x:c r="J14" s="12" t="b">
        <x:v>1</x:v>
      </x:c>
      <x:c r="K14" s="6" t="str">
        <x:v>jama.2024.27643</x:v>
      </x:c>
      <x:c r="L14" s="6"/>
      <x:c r="M14" s="6" t="str">
        <x:v>S_C</x:v>
      </x:c>
      <x:c r="N14" s="6" t="str">
        <x:v>Target explicitly compares current main article and non-plan results supplement/workbook. Each matched group has a different three-decimal displayed mortality event rate.</x:v>
      </x:c>
      <x:c r="O14" s="6" t="str">
        <x:v>../../2025/jama.2024.27643/.ai_paper_validation/final_report_1_5_3.html</x:v>
      </x:c>
      <x:c r="P14" s="6" t="str">
        <x:v>2025/jama.2024.27643/.ai_paper_validation/final_report_1_5_3.md</x:v>
      </x:c>
      <x:c r="Q14" s="6" t="str">
        <x:v>C005</x:v>
      </x:c>
      <x:c r="R14" s="6" t="str">
        <x:v>Pending Human Adjudication</x:v>
      </x:c>
      <x:c r="S14" s="6" t="str">
        <x:v>Article and eTable 2 event rates differ for the matched Bayesian shared-parameter-model components.</x:v>
      </x:c>
      <x:c r="T14" s="12" t="b">
        <x:v>1</x:v>
      </x:c>
      <x:c r="U14" s="6" t="str">
        <x:v>Bayesian mortality event rates differ between article text and cited eTable 2</x:v>
      </x:c>
      <x:c r="V14" s="6" t="str">
        <x:v>report_internal_inconsistency</x:v>
      </x:c>
      <x:c r="W14" s="6" t="str">
        <x:v>Bayesian mortality event rates differ between article text and cited eTable 2</x:v>
      </x:c>
      <x:c r="X14" s="6" t="str">
        <x:v>2025</x:v>
      </x:c>
      <x:c r="Y14" s="6" t="str">
        <x:v>meta_report/consistency_reclassification_2026-09-04/reclassified_candidates.json</x:v>
      </x:c>
      <x:c r="Z14" s="6" t="str">
        <x:v>S_C</x:v>
      </x:c>
      <x:c r="AA14" s="6" t="str">
        <x:v>report_internal_inconsistency</x:v>
      </x:c>
      <x:c r="AB14" s="6" t="str">
        <x:v>retain</x:v>
      </x:c>
    </x:row>
    <x:row r="15" ht="90" customHeight="1">
      <x:c r="A15" s="11" t="b">
        <x:v>0</x:v>
      </x:c>
      <x:c r="B15" s="3" t="str">
        <x:v>Both article-internal Figure/narrative and article/results-supp interval differences are explicitly targeted.</x:v>
      </x:c>
      <x:c r="C15" s="11" t="b">
        <x:v>0</x:v>
      </x:c>
      <x:c r="D15" s="3" t="str">
        <x:v>Cross-document numeric inconsistency</x:v>
      </x:c>
      <x:c r="E15" s="11" t="b">
        <x:v>1</x:v>
      </x:c>
      <x:c r="F15" s="3" t="str">
        <x:v>C006</x:v>
      </x:c>
      <x:c r="G15" s="3" t="str">
        <x:v>2025::jama.2024.27643::C006</x:v>
      </x:c>
      <x:c r="H15" s="3"/>
      <x:c r="I15" s="3" t="str">
        <x:v>jama_berry_2025_oi_240158_1742927563.7361.pdf — Figure 3 and Biomarker Analyses, PDF p. 8; joi240158supp3_prod_1742927563.7911.pdf — eTable 3B, PDF p. 17</x:v>
      </x:c>
      <x:c r="J15" s="11" t="b">
        <x:v>1</x:v>
      </x:c>
      <x:c r="K15" s="3" t="str">
        <x:v>jama.2024.27643</x:v>
      </x:c>
      <x:c r="L15" s="3"/>
      <x:c r="M15" s="3" t="str">
        <x:v>S_C</x:v>
      </x:c>
      <x:c r="N15" s="3" t="str">
        <x:v>Target explicitly compares current main article and non-plan results supplement/workbook. The matched point estimate and P value are repeated with different printed interval endpoints.</x:v>
      </x:c>
      <x:c r="O15" s="3" t="str">
        <x:v>../../2025/jama.2024.27643/.ai_paper_validation/final_report_1_5_3.html</x:v>
      </x:c>
      <x:c r="P15" s="3" t="str">
        <x:v>2025/jama.2024.27643/.ai_paper_validation/final_report_1_5_3.md</x:v>
      </x:c>
      <x:c r="Q15" s="3" t="str">
        <x:v>C006</x:v>
      </x:c>
      <x:c r="R15" s="3" t="str">
        <x:v>Pending Human Adjudication</x:v>
      </x:c>
      <x:c r="S15" s="3" t="str">
        <x:v>The repeated plasma-NfL result has differing printed confidence-interval endpoints across three displays.</x:v>
      </x:c>
      <x:c r="T15" s="11" t="b">
        <x:v>1</x:v>
      </x:c>
      <x:c r="U15" s="3" t="str">
        <x:v>Plasma NfL confidence intervals differ across Figure 3, narrative, and eTable 3B</x:v>
      </x:c>
      <x:c r="V15" s="3" t="str">
        <x:v>report_internal_inconsistency</x:v>
      </x:c>
      <x:c r="W15" s="3" t="str">
        <x:v>Plasma NfL confidence intervals differ across Figure 3, narrative, and eTable 3B</x:v>
      </x:c>
      <x:c r="X15" s="3" t="str">
        <x:v>2025</x:v>
      </x:c>
      <x:c r="Y15" s="3" t="str">
        <x:v>meta_report/consistency_reclassification_2026-09-04/reclassified_candidates.json</x:v>
      </x:c>
      <x:c r="Z15" s="3" t="str">
        <x:v>S_C</x:v>
      </x:c>
      <x:c r="AA15" s="3" t="str">
        <x:v>report_internal_inconsistency</x:v>
      </x:c>
      <x:c r="AB15" s="3" t="str">
        <x:v>retain</x:v>
      </x:c>
    </x:row>
    <x:row r="16" ht="90" customHeight="1">
      <x:c r="A16" s="12" t="b">
        <x:v>0</x:v>
      </x:c>
      <x:c r="B16" s="6"/>
      <x:c r="C16" s="12" t="b">
        <x:v>0</x:v>
      </x:c>
      <x:c r="D16" s="6" t="str">
        <x:v>Cross-document numeric inconsistency</x:v>
      </x:c>
      <x:c r="E16" s="12" t="b">
        <x:v>1</x:v>
      </x:c>
      <x:c r="F16" s="6" t="str">
        <x:v>C007</x:v>
      </x:c>
      <x:c r="G16" s="6" t="str">
        <x:v>2025::jama.2024.27643::C007</x:v>
      </x:c>
      <x:c r="H16" s="6"/>
      <x:c r="I16" s="6" t="str">
        <x:v>jama_berry_2025_oi_240158_1742927563.7361.pdf — Figure 3 and Biomarker Analyses, PDF p. 8; joi240158supp3_prod_1742927563.7911.pdf — eTable 3B, PDF p. 17</x:v>
      </x:c>
      <x:c r="J16" s="12" t="b">
        <x:v>1</x:v>
      </x:c>
      <x:c r="K16" s="6" t="str">
        <x:v>jama.2024.27643</x:v>
      </x:c>
      <x:c r="L16" s="6"/>
      <x:c r="M16" s="6" t="str">
        <x:v>S_C</x:v>
      </x:c>
      <x:c r="N16" s="6" t="str">
        <x:v>Target explicitly compares current main article and non-plan results supplement/workbook. The active change and P value agree, but placebo changes differ by 4.0 percentage points, treatment contrasts differ by 3.2 points, and both interval endpoints differ.</x:v>
      </x:c>
      <x:c r="O16" s="6" t="str">
        <x:v>../../2025/jama.2024.27643/.ai_paper_validation/final_report_1_5_3.html</x:v>
      </x:c>
      <x:c r="P16" s="6" t="str">
        <x:v>2025/jama.2024.27643/.ai_paper_validation/final_report_1_5_3.md</x:v>
      </x:c>
      <x:c r="Q16" s="6" t="str">
        <x:v>C007</x:v>
      </x:c>
      <x:c r="R16" s="6" t="str">
        <x:v>Pending Human Adjudication</x:v>
      </x:c>
      <x:c r="S16" s="6" t="str">
        <x:v>Matched article and eTable 3B serum-NfL displays report different placebo changes, contrasts, and interval endpoints.</x:v>
      </x:c>
      <x:c r="T16" s="12" t="b">
        <x:v>1</x:v>
      </x:c>
      <x:c r="U16" s="6" t="str">
        <x:v>Serum NfL regimen-only values and contrast differ across displays</x:v>
      </x:c>
      <x:c r="V16" s="6" t="str">
        <x:v>report_internal_inconsistency</x:v>
      </x:c>
      <x:c r="W16" s="6" t="str">
        <x:v>Serum NfL regimen-only values and contrast differ across displays</x:v>
      </x:c>
      <x:c r="X16" s="6" t="str">
        <x:v>2025</x:v>
      </x:c>
      <x:c r="Y16" s="6" t="str">
        <x:v>meta_report/consistency_reclassification_2026-09-04/reclassified_candidates.json</x:v>
      </x:c>
      <x:c r="Z16" s="6" t="str">
        <x:v>S_C</x:v>
      </x:c>
      <x:c r="AA16" s="6" t="str">
        <x:v>report_internal_inconsistency</x:v>
      </x:c>
      <x:c r="AB16" s="6" t="str">
        <x:v>retain</x:v>
      </x:c>
    </x:row>
    <x:row r="17" ht="90" customHeight="1">
      <x:c r="A17" s="11" t="b">
        <x:v>0</x:v>
      </x:c>
      <x:c r="B17" s="3"/>
      <x:c r="C17" s="11" t="b">
        <x:v>0</x:v>
      </x:c>
      <x:c r="D17" s="3" t="str">
        <x:v>Denominator, proportion, or total inconsistency</x:v>
      </x:c>
      <x:c r="E17" s="11" t="b">
        <x:v>0</x:v>
      </x:c>
      <x:c r="F17" s="3" t="str">
        <x:v>C008</x:v>
      </x:c>
      <x:c r="G17" s="3" t="str">
        <x:v>2025::jama.2024.27643::C008</x:v>
      </x:c>
      <x:c r="H17" s="3"/>
      <x:c r="I17" s="3" t="str">
        <x:v>jama_berry_2025_oi_240158_1742927563.7361.pdf — Table 2, PDF p. 7; jama_berry_2025_oi_240158_1742927563.7361.pdf — Discussion, PDF p. 9</x:v>
      </x:c>
      <x:c r="J17" s="11" t="b">
        <x:v>0</x:v>
      </x:c>
      <x:c r="K17" s="3" t="str">
        <x:v>jama.2024.27643</x:v>
      </x:c>
      <x:c r="L17" s="3"/>
      <x:c r="M17" s="3" t="str">
        <x:v>S_W</x:v>
      </x:c>
      <x:c r="N17" s="3" t="str">
        <x:v>Target is within one main article or one non-plan results supplement/workbook; no substantive plan comparison. Table 2's two printed numerators total 14, while the Discussion prints 13.</x:v>
      </x:c>
      <x:c r="O17" s="3" t="str">
        <x:v>../../2025/jama.2024.27643/.ai_paper_validation/final_report_1_5_3.html</x:v>
      </x:c>
      <x:c r="P17" s="3" t="str">
        <x:v>2025/jama.2024.27643/.ai_paper_validation/final_report_1_5_3.md</x:v>
      </x:c>
      <x:c r="Q17" s="3" t="str">
        <x:v>C008</x:v>
      </x:c>
      <x:c r="R17" s="3" t="str">
        <x:v>Pending Human Adjudication</x:v>
      </x:c>
      <x:c r="S17" s="3" t="str">
        <x:v>The Discussion's 13-event total does not match the 14 events obtained from the cited Table 2 group numerators if the endpoint and cutoff are the same.</x:v>
      </x:c>
      <x:c r="T17" s="11" t="b">
        <x:v>1</x:v>
      </x:c>
      <x:c r="U17" s="3" t="str">
        <x:v>Discussion total of 13 events conflicts with the 14 events displayed in Table 2</x:v>
      </x:c>
      <x:c r="V17" s="3" t="str">
        <x:v>statistical_results</x:v>
      </x:c>
      <x:c r="W17" s="3" t="str">
        <x:v>Discussion total of 13 events conflicts with the 14 events displayed in Table 2</x:v>
      </x:c>
      <x:c r="X17" s="3" t="str">
        <x:v>2025</x:v>
      </x:c>
      <x:c r="Y17" s="3" t="str">
        <x:v>meta_report/consistency_reclassification_2026-09-04/reclassified_candidates.json</x:v>
      </x:c>
      <x:c r="Z17" s="3" t="str">
        <x:v>S_W</x:v>
      </x:c>
      <x:c r="AA17" s="3" t="str">
        <x:v>statistical_results</x:v>
      </x:c>
      <x:c r="AB17" s="3" t="str">
        <x:v>retain</x:v>
      </x:c>
    </x:row>
    <x:row r="18" ht="90" customHeight="1">
      <x:c r="A18" s="12" t="b">
        <x:v>0</x:v>
      </x:c>
      <x:c r="B18" s="6"/>
      <x:c r="C18" s="12" t="b">
        <x:v>0</x:v>
      </x:c>
      <x:c r="D18" s="6" t="str">
        <x:v>Numeric or arithmetic inconsistency</x:v>
      </x:c>
      <x:c r="E18" s="12" t="b">
        <x:v>0</x:v>
      </x:c>
      <x:c r="F18" s="6" t="str">
        <x:v>C001</x:v>
      </x:c>
      <x:c r="G18" s="6" t="str">
        <x:v>2025::jama.2025.11178::C001</x:v>
      </x:c>
      <x:c r="H18" s="6"/>
      <x:c r="I18" s="6" t="str">
        <x:v>main article — PDF p. 5, Figure 1, “4481 Ineligible.”</x:v>
      </x:c>
      <x:c r="J18" s="12" t="b">
        <x:v>0</x:v>
      </x:c>
      <x:c r="K18" s="6" t="str">
        <x:v>jama.2025.11178</x:v>
      </x:c>
      <x:c r="L18" s="6"/>
      <x:c r="M18" s="6" t="str">
        <x:v>S_W</x:v>
      </x:c>
      <x:c r="N18" s="6" t="str">
        <x:v>Target is within one main article or one non-plan results supplement/workbook; no substantive plan comparison. If the displayed six reasons exhaust the “one or more of” subtotal, their sum must be at least its union: `411+273+189+121+95+34=1123`, 120 below 1243.</x:v>
      </x:c>
      <x:c r="O18" s="6" t="str">
        <x:v>../../2025/jama.2025.11178/.ai_paper_validation/final_report_1_5_1.html</x:v>
      </x:c>
      <x:c r="P18" s="6" t="str">
        <x:v>2025/jama.2025.11178/.ai_paper_validation/final_report_1_5_1.md</x:v>
      </x:c>
      <x:c r="Q18" s="6" t="str">
        <x:v>C001</x:v>
      </x:c>
      <x:c r="R18" s="6" t="str">
        <x:v>Pending Human Adjudication</x:v>
      </x:c>
      <x:c r="S18" s="6" t="str">
        <x:v>Pending Human Adjudication. The printed values identify a candidate consistency issue: Conditional Figure 1 further-ineligibility component subtotal gap.</x:v>
      </x:c>
      <x:c r="T18" s="12" t="b">
        <x:v>1</x:v>
      </x:c>
      <x:c r="U18" s="6" t="str">
        <x:v>Conditional Figure 1 further-ineligibility component subtotal gap</x:v>
      </x:c>
      <x:c r="V18" s="6" t="str">
        <x:v>statistical_results</x:v>
      </x:c>
      <x:c r="W18" s="6" t="str">
        <x:v>Conditional Figure 1 further-ineligibility component subtotal gap</x:v>
      </x:c>
      <x:c r="X18" s="6" t="str">
        <x:v>2025</x:v>
      </x:c>
      <x:c r="Y18" s="6" t="str">
        <x:v>meta_report/consistency_reclassification_2026-09-04/reclassified_candidates.json</x:v>
      </x:c>
      <x:c r="Z18" s="6" t="str">
        <x:v>S_W</x:v>
      </x:c>
      <x:c r="AA18" s="6" t="str">
        <x:v>statistical_results</x:v>
      </x:c>
      <x:c r="AB18" s="6" t="str">
        <x:v>retain</x:v>
      </x:c>
    </x:row>
    <x:row r="19" ht="90" customHeight="1">
      <x:c r="A19" s="11" t="b">
        <x:v>0</x:v>
      </x:c>
      <x:c r="B19" s="3"/>
      <x:c r="C19" s="11" t="b">
        <x:v>0</x:v>
      </x:c>
      <x:c r="D19" s="3" t="str">
        <x:v>Denominator, proportion, or total inconsistency</x:v>
      </x:c>
      <x:c r="E19" s="11" t="b">
        <x:v>0</x:v>
      </x:c>
      <x:c r="F19" s="3" t="str">
        <x:v>C002</x:v>
      </x:c>
      <x:c r="G19" s="3" t="str">
        <x:v>2025::jama.2025.11178::C002</x:v>
      </x:c>
      <x:c r="H19" s="3"/>
      <x:c r="I19" s="3" t="str">
        <x:v>results supplement — PDF p. 7, eTable 1, Overall column.</x:v>
      </x:c>
      <x:c r="J19" s="11" t="b">
        <x:v>0</x:v>
      </x:c>
      <x:c r="K19" s="3" t="str">
        <x:v>jama.2025.11178</x:v>
      </x:c>
      <x:c r="L19" s="3"/>
      <x:c r="M19" s="3" t="str">
        <x:v>S_W</x:v>
      </x:c>
      <x:c r="N19" s="3" t="str">
        <x:v>Target is within one main article or one non-plan results supplement/workbook; no substantive plan comparison. Mutually exclusive follow-up patterns should partition the total: `188+283+1568=2039`, not 2036 (difference 3; integer tolerance 0).</x:v>
      </x:c>
      <x:c r="O19" s="3" t="str">
        <x:v>../../2025/jama.2025.11178/.ai_paper_validation/final_report_1_5_1.html</x:v>
      </x:c>
      <x:c r="P19" s="3" t="str">
        <x:v>2025/jama.2025.11178/.ai_paper_validation/final_report_1_5_1.md</x:v>
      </x:c>
      <x:c r="Q19" s="3" t="str">
        <x:v>C002</x:v>
      </x:c>
      <x:c r="R19" s="3" t="str">
        <x:v>Pending Human Adjudication</x:v>
      </x:c>
      <x:c r="S19" s="3" t="str">
        <x:v>Pending Human Adjudication. The printed values identify a candidate consistency issue: Overall eTable 1 follow-up-pattern partition.</x:v>
      </x:c>
      <x:c r="T19" s="11" t="b">
        <x:v>1</x:v>
      </x:c>
      <x:c r="U19" s="3" t="str">
        <x:v>Overall eTable 1 follow-up-pattern partition</x:v>
      </x:c>
      <x:c r="V19" s="3" t="str">
        <x:v>statistical_results</x:v>
      </x:c>
      <x:c r="W19" s="3" t="str">
        <x:v>Overall eTable 1 follow-up-pattern partition</x:v>
      </x:c>
      <x:c r="X19" s="3" t="str">
        <x:v>2025</x:v>
      </x:c>
      <x:c r="Y19" s="3" t="str">
        <x:v>meta_report/consistency_reclassification_2026-09-04/reclassified_candidates.json</x:v>
      </x:c>
      <x:c r="Z19" s="3" t="str">
        <x:v>S_W</x:v>
      </x:c>
      <x:c r="AA19" s="3" t="str">
        <x:v>statistical_results</x:v>
      </x:c>
      <x:c r="AB19" s="3" t="str">
        <x:v>retain</x:v>
      </x:c>
    </x:row>
    <x:row r="20" ht="90" customHeight="1">
      <x:c r="A20" s="12" t="b">
        <x:v>0</x:v>
      </x:c>
      <x:c r="B20" s="6"/>
      <x:c r="C20" s="12" t="b">
        <x:v>0</x:v>
      </x:c>
      <x:c r="D20" s="6" t="str">
        <x:v>Denominator, proportion, or total inconsistency</x:v>
      </x:c>
      <x:c r="E20" s="12" t="b">
        <x:v>0</x:v>
      </x:c>
      <x:c r="F20" s="6" t="str">
        <x:v>C003</x:v>
      </x:c>
      <x:c r="G20" s="6" t="str">
        <x:v>2025::jama.2025.11178::C003</x:v>
      </x:c>
      <x:c r="H20" s="6"/>
      <x:c r="I20" s="6" t="str">
        <x:v>results supplement — PDF p. 7, eTable 1, painTRAINER column.</x:v>
      </x:c>
      <x:c r="J20" s="12" t="b">
        <x:v>0</x:v>
      </x:c>
      <x:c r="K20" s="6" t="str">
        <x:v>jama.2025.11178</x:v>
      </x:c>
      <x:c r="L20" s="6"/>
      <x:c r="M20" s="6" t="str">
        <x:v>S_W</x:v>
      </x:c>
      <x:c r="N20" s="6" t="str">
        <x:v>Target is within one main article or one non-plan results supplement/workbook; no substantive plan comparison. `77+103+464=644`, one above 643 (integer tolerance 0).</x:v>
      </x:c>
      <x:c r="O20" s="6" t="str">
        <x:v>../../2025/jama.2025.11178/.ai_paper_validation/final_report_1_5_1.html</x:v>
      </x:c>
      <x:c r="P20" s="6" t="str">
        <x:v>2025/jama.2025.11178/.ai_paper_validation/final_report_1_5_1.md</x:v>
      </x:c>
      <x:c r="Q20" s="6" t="str">
        <x:v>C003</x:v>
      </x:c>
      <x:c r="R20" s="6" t="str">
        <x:v>Pending Human Adjudication</x:v>
      </x:c>
      <x:c r="S20" s="6" t="str">
        <x:v>Pending Human Adjudication. The printed values identify a candidate consistency issue: painTRAINER eTable 1 follow-up-pattern partition.</x:v>
      </x:c>
      <x:c r="T20" s="12" t="b">
        <x:v>1</x:v>
      </x:c>
      <x:c r="U20" s="6" t="str">
        <x:v>painTRAINER eTable 1 follow-up-pattern partition</x:v>
      </x:c>
      <x:c r="V20" s="6" t="str">
        <x:v>statistical_results</x:v>
      </x:c>
      <x:c r="W20" s="6" t="str">
        <x:v>painTRAINER eTable 1 follow-up-pattern partition</x:v>
      </x:c>
      <x:c r="X20" s="6" t="str">
        <x:v>2025</x:v>
      </x:c>
      <x:c r="Y20" s="6" t="str">
        <x:v>meta_report/consistency_reclassification_2026-09-04/reclassified_candidates.json</x:v>
      </x:c>
      <x:c r="Z20" s="6" t="str">
        <x:v>S_W</x:v>
      </x:c>
      <x:c r="AA20" s="6" t="str">
        <x:v>statistical_results</x:v>
      </x:c>
      <x:c r="AB20" s="6" t="str">
        <x:v>retain</x:v>
      </x:c>
    </x:row>
    <x:row r="21" ht="90" customHeight="1">
      <x:c r="A21" s="11" t="b">
        <x:v>0</x:v>
      </x:c>
      <x:c r="B21" s="3"/>
      <x:c r="C21" s="11" t="b">
        <x:v>0</x:v>
      </x:c>
      <x:c r="D21" s="3" t="str">
        <x:v>Denominator, proportion, or total inconsistency</x:v>
      </x:c>
      <x:c r="E21" s="11" t="b">
        <x:v>0</x:v>
      </x:c>
      <x:c r="F21" s="3" t="str">
        <x:v>C004</x:v>
      </x:c>
      <x:c r="G21" s="3" t="str">
        <x:v>2025::jama.2025.11178::C004</x:v>
      </x:c>
      <x:c r="H21" s="3"/>
      <x:c r="I21" s="3" t="str">
        <x:v>results supplement — PDF p. 7, eTable 1, Health Coach column.</x:v>
      </x:c>
      <x:c r="J21" s="11" t="b">
        <x:v>0</x:v>
      </x:c>
      <x:c r="K21" s="3" t="str">
        <x:v>jama.2025.11178</x:v>
      </x:c>
      <x:c r="L21" s="3"/>
      <x:c r="M21" s="3" t="str">
        <x:v>S_W</x:v>
      </x:c>
      <x:c r="N21" s="3" t="str">
        <x:v>Target is within one main article or one non-plan results supplement/workbook; no substantive plan comparison. `47+81+564=692`, two above 690 (integer tolerance 0).</x:v>
      </x:c>
      <x:c r="O21" s="3" t="str">
        <x:v>../../2025/jama.2025.11178/.ai_paper_validation/final_report_1_5_1.html</x:v>
      </x:c>
      <x:c r="P21" s="3" t="str">
        <x:v>2025/jama.2025.11178/.ai_paper_validation/final_report_1_5_1.md</x:v>
      </x:c>
      <x:c r="Q21" s="3" t="str">
        <x:v>C004</x:v>
      </x:c>
      <x:c r="R21" s="3" t="str">
        <x:v>Pending Human Adjudication</x:v>
      </x:c>
      <x:c r="S21" s="3" t="str">
        <x:v>Pending Human Adjudication. The printed values identify a candidate consistency issue: Health Coach eTable 1 follow-up-pattern partition.</x:v>
      </x:c>
      <x:c r="T21" s="11" t="b">
        <x:v>1</x:v>
      </x:c>
      <x:c r="U21" s="3" t="str">
        <x:v>Health Coach eTable 1 follow-up-pattern partition</x:v>
      </x:c>
      <x:c r="V21" s="3" t="str">
        <x:v>statistical_results</x:v>
      </x:c>
      <x:c r="W21" s="3" t="str">
        <x:v>Health Coach eTable 1 follow-up-pattern partition</x:v>
      </x:c>
      <x:c r="X21" s="3" t="str">
        <x:v>2025</x:v>
      </x:c>
      <x:c r="Y21" s="3" t="str">
        <x:v>meta_report/consistency_reclassification_2026-09-04/reclassified_candidates.json</x:v>
      </x:c>
      <x:c r="Z21" s="3" t="str">
        <x:v>S_W</x:v>
      </x:c>
      <x:c r="AA21" s="3" t="str">
        <x:v>statistical_results</x:v>
      </x:c>
      <x:c r="AB21" s="3" t="str">
        <x:v>retain</x:v>
      </x:c>
    </x:row>
    <x:row r="22" ht="90" customHeight="1">
      <x:c r="A22" s="12" t="b">
        <x:v>0</x:v>
      </x:c>
      <x:c r="B22" s="6"/>
      <x:c r="C22" s="12" t="b">
        <x:v>0</x:v>
      </x:c>
      <x:c r="D22" s="6" t="str">
        <x:v>Denominator, proportion, or total inconsistency</x:v>
      </x:c>
      <x:c r="E22" s="12" t="b">
        <x:v>0</x:v>
      </x:c>
      <x:c r="F22" s="6" t="str">
        <x:v>C005</x:v>
      </x:c>
      <x:c r="G22" s="6" t="str">
        <x:v>2025::jama.2025.11178::C005</x:v>
      </x:c>
      <x:c r="H22" s="6"/>
      <x:c r="I22" s="6" t="str">
        <x:v>workbook, worksheet eTable 3, cells A82:E83 and E2:E3.</x:v>
      </x:c>
      <x:c r="J22" s="12" t="b">
        <x:v>0</x:v>
      </x:c>
      <x:c r="K22" s="6" t="str">
        <x:v>jama.2025.11178</x:v>
      </x:c>
      <x:c r="L22" s="6"/>
      <x:c r="M22" s="6" t="str">
        <x:v>S_W</x:v>
      </x:c>
      <x:c r="N22" s="6" t="str">
        <x:v>Target is within one main article or one non-plan results supplement/workbook; no substantive plan comparison. Missing-excluded denominator is `1566`; `711/1566=45.4%`, not 73.2% (and `711/1568=45.3%`).</x:v>
      </x:c>
      <x:c r="O22" s="6" t="str">
        <x:v>../../2025/jama.2025.11178/.ai_paper_validation/final_report_1_5_1.html</x:v>
      </x:c>
      <x:c r="P22" s="6" t="str">
        <x:v>2025/jama.2025.11178/.ai_paper_validation/final_report_1_5_1.md</x:v>
      </x:c>
      <x:c r="Q22" s="6" t="str">
        <x:v>C005</x:v>
      </x:c>
      <x:c r="R22" s="6" t="str">
        <x:v>Pending Human Adjudication</x:v>
      </x:c>
      <x:c r="S22" s="6" t="str">
        <x:v>Pending Human Adjudication. The printed values identify a candidate consistency issue: Workbook current-depression percentage incompatible with its count.</x:v>
      </x:c>
      <x:c r="T22" s="12" t="b">
        <x:v>1</x:v>
      </x:c>
      <x:c r="U22" s="6" t="str">
        <x:v>Workbook current-depression percentage incompatible with its count</x:v>
      </x:c>
      <x:c r="V22" s="6" t="str">
        <x:v>statistical_results</x:v>
      </x:c>
      <x:c r="W22" s="6" t="str">
        <x:v>Workbook current-depression percentage incompatible with its count</x:v>
      </x:c>
      <x:c r="X22" s="6" t="str">
        <x:v>2025</x:v>
      </x:c>
      <x:c r="Y22" s="6" t="str">
        <x:v>meta_report/consistency_reclassification_2026-09-04/reclassified_candidates.json</x:v>
      </x:c>
      <x:c r="Z22" s="6" t="str">
        <x:v>S_W</x:v>
      </x:c>
      <x:c r="AA22" s="6" t="str">
        <x:v>statistical_results</x:v>
      </x:c>
      <x:c r="AB22" s="6" t="str">
        <x:v>retain</x:v>
      </x:c>
    </x:row>
    <x:row r="23" ht="90" customHeight="1">
      <x:c r="A23" s="11" t="b">
        <x:v>0</x:v>
      </x:c>
      <x:c r="B23" s="3"/>
      <x:c r="C23" s="11" t="b">
        <x:v>0</x:v>
      </x:c>
      <x:c r="D23" s="3" t="str">
        <x:v>Measure, label, or scale inconsistency</x:v>
      </x:c>
      <x:c r="E23" s="11" t="b">
        <x:v>0</x:v>
      </x:c>
      <x:c r="F23" s="3" t="str">
        <x:v>C006</x:v>
      </x:c>
      <x:c r="G23" s="3" t="str">
        <x:v>2025::jama.2025.11178::C006</x:v>
      </x:c>
      <x:c r="H23" s="3"/>
      <x:c r="I23" s="3" t="str">
        <x:v>workbook, worksheet eTable 3, cells A103:E104.</x:v>
      </x:c>
      <x:c r="J23" s="11" t="b">
        <x:v>0</x:v>
      </x:c>
      <x:c r="K23" s="3" t="str">
        <x:v>jama.2025.11178</x:v>
      </x:c>
      <x:c r="L23" s="3"/>
      <x:c r="M23" s="3" t="str">
        <x:v>S_W</x:v>
      </x:c>
      <x:c r="N23" s="3" t="str">
        <x:v>Target is within one main article or one non-plan results supplement/workbook; no substantive plan comparison. Entries are count/percentages: `525/(1568-31)=34.2%`; they are not mean/SD values.</x:v>
      </x:c>
      <x:c r="O23" s="3" t="str">
        <x:v>../../2025/jama.2025.11178/.ai_paper_validation/final_report_1_5_1.html</x:v>
      </x:c>
      <x:c r="P23" s="3" t="str">
        <x:v>2025/jama.2025.11178/.ai_paper_validation/final_report_1_5_1.md</x:v>
      </x:c>
      <x:c r="Q23" s="3" t="str">
        <x:v>C006</x:v>
      </x:c>
      <x:c r="R23" s="3" t="str">
        <x:v>Pending Human Adjudication</x:v>
      </x:c>
      <x:c r="S23" s="3" t="str">
        <x:v>Pending Human Adjudication. The printed values identify a candidate consistency issue: Workbook social-role cutoff labeled as mean (SD).</x:v>
      </x:c>
      <x:c r="T23" s="11" t="b">
        <x:v>1</x:v>
      </x:c>
      <x:c r="U23" s="3" t="str">
        <x:v>Workbook social-role cutoff labeled as mean (SD)</x:v>
      </x:c>
      <x:c r="V23" s="3" t="str">
        <x:v>report_internal_inconsistency</x:v>
      </x:c>
      <x:c r="W23" s="3" t="str">
        <x:v>Workbook social-role cutoff labeled as mean (SD)</x:v>
      </x:c>
      <x:c r="X23" s="3" t="str">
        <x:v>2025</x:v>
      </x:c>
      <x:c r="Y23" s="3" t="str">
        <x:v>meta_report/consistency_reclassification_2026-09-04/reclassified_candidates.json</x:v>
      </x:c>
      <x:c r="Z23" s="3" t="str">
        <x:v>S_W</x:v>
      </x:c>
      <x:c r="AA23" s="3" t="str">
        <x:v>report_internal_inconsistency</x:v>
      </x:c>
      <x:c r="AB23" s="3" t="str">
        <x:v>retain</x:v>
      </x:c>
    </x:row>
    <x:row r="24" ht="90" customHeight="1">
      <x:c r="A24" s="12" t="b">
        <x:v>0</x:v>
      </x:c>
      <x:c r="B24" s="6"/>
      <x:c r="C24" s="12" t="b">
        <x:v>0</x:v>
      </x:c>
      <x:c r="D24" s="6" t="str">
        <x:v>Measure, label, or scale inconsistency</x:v>
      </x:c>
      <x:c r="E24" s="12" t="b">
        <x:v>0</x:v>
      </x:c>
      <x:c r="F24" s="6" t="str">
        <x:v>C007</x:v>
      </x:c>
      <x:c r="G24" s="6" t="str">
        <x:v>2025::jama.2025.11178::C007</x:v>
      </x:c>
      <x:c r="H24" s="6"/>
      <x:c r="I24" s="6" t="str">
        <x:v>workbook, worksheet eTable 3, cells A106:E107.</x:v>
      </x:c>
      <x:c r="J24" s="12" t="b">
        <x:v>0</x:v>
      </x:c>
      <x:c r="K24" s="6" t="str">
        <x:v>jama.2025.11178</x:v>
      </x:c>
      <x:c r="L24" s="6"/>
      <x:c r="M24" s="6" t="str">
        <x:v>S_W</x:v>
      </x:c>
      <x:c r="N24" s="6" t="str">
        <x:v>Target is within one main article or one non-plan results supplement/workbook; no substantive plan comparison. `1143/(1568-14)=73.6%`; displayed cells are N(%), not mean(SD).</x:v>
      </x:c>
      <x:c r="O24" s="6" t="str">
        <x:v>../../2025/jama.2025.11178/.ai_paper_validation/final_report_1_5_1.html</x:v>
      </x:c>
      <x:c r="P24" s="6" t="str">
        <x:v>2025/jama.2025.11178/.ai_paper_validation/final_report_1_5_1.md</x:v>
      </x:c>
      <x:c r="Q24" s="6" t="str">
        <x:v>C007</x:v>
      </x:c>
      <x:c r="R24" s="6" t="str">
        <x:v>Pending Human Adjudication</x:v>
      </x:c>
      <x:c r="S24" s="6" t="str">
        <x:v>Pending Human Adjudication. The printed values identify a candidate consistency issue: Workbook physical-function cutoff labeled as mean (SD).</x:v>
      </x:c>
      <x:c r="T24" s="12" t="b">
        <x:v>1</x:v>
      </x:c>
      <x:c r="U24" s="6" t="str">
        <x:v>Workbook physical-function cutoff labeled as mean (SD)</x:v>
      </x:c>
      <x:c r="V24" s="6" t="str">
        <x:v>report_internal_inconsistency</x:v>
      </x:c>
      <x:c r="W24" s="6" t="str">
        <x:v>Workbook physical-function cutoff labeled as mean (SD)</x:v>
      </x:c>
      <x:c r="X24" s="6" t="str">
        <x:v>2025</x:v>
      </x:c>
      <x:c r="Y24" s="6" t="str">
        <x:v>meta_report/consistency_reclassification_2026-09-04/reclassified_candidates.json</x:v>
      </x:c>
      <x:c r="Z24" s="6" t="str">
        <x:v>S_W</x:v>
      </x:c>
      <x:c r="AA24" s="6" t="str">
        <x:v>report_internal_inconsistency</x:v>
      </x:c>
      <x:c r="AB24" s="6" t="str">
        <x:v>retain</x:v>
      </x:c>
    </x:row>
    <x:row r="25" ht="90" customHeight="1">
      <x:c r="A25" s="11" t="b">
        <x:v>0</x:v>
      </x:c>
      <x:c r="B25" s="3"/>
      <x:c r="C25" s="11" t="b">
        <x:v>0</x:v>
      </x:c>
      <x:c r="D25" s="3" t="str">
        <x:v>Statistical reporting inconsistency</x:v>
      </x:c>
      <x:c r="E25" s="11" t="b">
        <x:v>0</x:v>
      </x:c>
      <x:c r="F25" s="3" t="str">
        <x:v>C008</x:v>
      </x:c>
      <x:c r="G25" s="3" t="str">
        <x:v>2025::jama.2025.11178::C008</x:v>
      </x:c>
      <x:c r="H25" s="3"/>
      <x:c r="I25" s="3" t="str">
        <x:v>main article — PDF p. 10, Table 3, pain severity 12 months, painTRAINER vs usual care plus SMD.</x:v>
      </x:c>
      <x:c r="J25" s="11" t="b">
        <x:v>0</x:v>
      </x:c>
      <x:c r="K25" s="3" t="str">
        <x:v>jama.2025.11178</x:v>
      </x:c>
      <x:c r="L25" s="3"/>
      <x:c r="M25" s="3" t="str">
        <x:v>S_W</x:v>
      </x:c>
      <x:c r="N25" s="3" t="str">
        <x:v>Target is within one main article or one non-plan results supplement/workbook; no substantive plan comparison. Point estimate must lie within its interval; `-0.25 &lt; -0.24`.</x:v>
      </x:c>
      <x:c r="O25" s="3" t="str">
        <x:v>../../2025/jama.2025.11178/.ai_paper_validation/final_report_1_5_1.html</x:v>
      </x:c>
      <x:c r="P25" s="3" t="str">
        <x:v>2025/jama.2025.11178/.ai_paper_validation/final_report_1_5_1.md</x:v>
      </x:c>
      <x:c r="Q25" s="3" t="str">
        <x:v>C008</x:v>
      </x:c>
      <x:c r="R25" s="3" t="str">
        <x:v>Pending Human Adjudication</x:v>
      </x:c>
      <x:c r="S25" s="3" t="str">
        <x:v>Pending Human Adjudication. The printed values identify a candidate consistency issue: Pain-severity 12-month painTRAINER SMD outside printed CI.</x:v>
      </x:c>
      <x:c r="T25" s="11" t="b">
        <x:v>1</x:v>
      </x:c>
      <x:c r="U25" s="3" t="str">
        <x:v>Pain-severity 12-month painTRAINER SMD outside printed CI</x:v>
      </x:c>
      <x:c r="V25" s="3" t="str">
        <x:v>statistical_results</x:v>
      </x:c>
      <x:c r="W25" s="3" t="str">
        <x:v>Pain-severity 12-month painTRAINER SMD outside printed CI</x:v>
      </x:c>
      <x:c r="X25" s="3" t="str">
        <x:v>2025</x:v>
      </x:c>
      <x:c r="Y25" s="3" t="str">
        <x:v>meta_report/consistency_reclassification_2026-09-04/reclassified_candidates.json</x:v>
      </x:c>
      <x:c r="Z25" s="3" t="str">
        <x:v>S_W</x:v>
      </x:c>
      <x:c r="AA25" s="3" t="str">
        <x:v>statistical_results</x:v>
      </x:c>
      <x:c r="AB25" s="3" t="str">
        <x:v>retain</x:v>
      </x:c>
    </x:row>
    <x:row r="26" ht="90" customHeight="1">
      <x:c r="A26" s="12" t="b">
        <x:v>0</x:v>
      </x:c>
      <x:c r="B26" s="6"/>
      <x:c r="C26" s="12" t="b">
        <x:v>0</x:v>
      </x:c>
      <x:c r="D26" s="6" t="str">
        <x:v>Statistical reporting inconsistency</x:v>
      </x:c>
      <x:c r="E26" s="12" t="b">
        <x:v>0</x:v>
      </x:c>
      <x:c r="F26" s="6" t="str">
        <x:v>C009</x:v>
      </x:c>
      <x:c r="G26" s="6" t="str">
        <x:v>2025::jama.2025.11178::C009</x:v>
      </x:c>
      <x:c r="H26" s="6"/>
      <x:c r="I26" s="6" t="str">
        <x:v>main article — PDF p. 10, Table 3, pain severity 12 months, Health Coach vs usual care plus SMD.</x:v>
      </x:c>
      <x:c r="J26" s="12" t="b">
        <x:v>0</x:v>
      </x:c>
      <x:c r="K26" s="6" t="str">
        <x:v>jama.2025.11178</x:v>
      </x:c>
      <x:c r="L26" s="6"/>
      <x:c r="M26" s="6" t="str">
        <x:v>S_W</x:v>
      </x:c>
      <x:c r="N26" s="6" t="str">
        <x:v>Target is within one main article or one non-plan results supplement/workbook; no substantive plan comparison. `-0.36 &lt; -0.35`, so estimate is outside CI.</x:v>
      </x:c>
      <x:c r="O26" s="6" t="str">
        <x:v>../../2025/jama.2025.11178/.ai_paper_validation/final_report_1_5_1.html</x:v>
      </x:c>
      <x:c r="P26" s="6" t="str">
        <x:v>2025/jama.2025.11178/.ai_paper_validation/final_report_1_5_1.md</x:v>
      </x:c>
      <x:c r="Q26" s="6" t="str">
        <x:v>C009</x:v>
      </x:c>
      <x:c r="R26" s="6" t="str">
        <x:v>Pending Human Adjudication</x:v>
      </x:c>
      <x:c r="S26" s="6" t="str">
        <x:v>Pending Human Adjudication. The printed values identify a candidate consistency issue: Pain-severity 12-month Health Coach SMD outside printed CI.</x:v>
      </x:c>
      <x:c r="T26" s="12" t="b">
        <x:v>1</x:v>
      </x:c>
      <x:c r="U26" s="6" t="str">
        <x:v>Pain-severity 12-month Health Coach SMD outside printed CI</x:v>
      </x:c>
      <x:c r="V26" s="6" t="str">
        <x:v>statistical_results</x:v>
      </x:c>
      <x:c r="W26" s="6" t="str">
        <x:v>Pain-severity 12-month Health Coach SMD outside printed CI</x:v>
      </x:c>
      <x:c r="X26" s="6" t="str">
        <x:v>2025</x:v>
      </x:c>
      <x:c r="Y26" s="6" t="str">
        <x:v>meta_report/consistency_reclassification_2026-09-04/reclassified_candidates.json</x:v>
      </x:c>
      <x:c r="Z26" s="6" t="str">
        <x:v>S_W</x:v>
      </x:c>
      <x:c r="AA26" s="6" t="str">
        <x:v>statistical_results</x:v>
      </x:c>
      <x:c r="AB26" s="6" t="str">
        <x:v>retain</x:v>
      </x:c>
    </x:row>
    <x:row r="27" ht="90" customHeight="1">
      <x:c r="A27" s="11" t="b">
        <x:v>0</x:v>
      </x:c>
      <x:c r="B27" s="3"/>
      <x:c r="C27" s="11" t="b">
        <x:v>0</x:v>
      </x:c>
      <x:c r="D27" s="3" t="str">
        <x:v>Statistical reporting inconsistency</x:v>
      </x:c>
      <x:c r="E27" s="11" t="b">
        <x:v>0</x:v>
      </x:c>
      <x:c r="F27" s="3" t="str">
        <x:v>C010</x:v>
      </x:c>
      <x:c r="G27" s="3" t="str">
        <x:v>2025::jama.2025.11178::C010</x:v>
      </x:c>
      <x:c r="H27" s="3"/>
      <x:c r="I27" s="3" t="str">
        <x:v>main article — PDF p. 10, Table 3, pain intensity 12 months, Health Coach vs usual care plus SMD.</x:v>
      </x:c>
      <x:c r="J27" s="11" t="b">
        <x:v>0</x:v>
      </x:c>
      <x:c r="K27" s="3" t="str">
        <x:v>jama.2025.11178</x:v>
      </x:c>
      <x:c r="L27" s="3"/>
      <x:c r="M27" s="3" t="str">
        <x:v>S_W</x:v>
      </x:c>
      <x:c r="N27" s="3" t="str">
        <x:v>Target is within one main article or one non-plan results supplement/workbook; no substantive plan comparison. `-0.27 &lt; -0.26`, outside CI.</x:v>
      </x:c>
      <x:c r="O27" s="3" t="str">
        <x:v>../../2025/jama.2025.11178/.ai_paper_validation/final_report_1_5_1.html</x:v>
      </x:c>
      <x:c r="P27" s="3" t="str">
        <x:v>2025/jama.2025.11178/.ai_paper_validation/final_report_1_5_1.md</x:v>
      </x:c>
      <x:c r="Q27" s="3" t="str">
        <x:v>C010</x:v>
      </x:c>
      <x:c r="R27" s="3" t="str">
        <x:v>Pending Human Adjudication</x:v>
      </x:c>
      <x:c r="S27" s="3" t="str">
        <x:v>Pending Human Adjudication. The printed values identify a candidate consistency issue: Pain-intensity 12-month Health Coach SMD outside printed CI.</x:v>
      </x:c>
      <x:c r="T27" s="11" t="b">
        <x:v>1</x:v>
      </x:c>
      <x:c r="U27" s="3" t="str">
        <x:v>Pain-intensity 12-month Health Coach SMD outside printed CI</x:v>
      </x:c>
      <x:c r="V27" s="3" t="str">
        <x:v>statistical_results</x:v>
      </x:c>
      <x:c r="W27" s="3" t="str">
        <x:v>Pain-intensity 12-month Health Coach SMD outside printed CI</x:v>
      </x:c>
      <x:c r="X27" s="3" t="str">
        <x:v>2025</x:v>
      </x:c>
      <x:c r="Y27" s="3" t="str">
        <x:v>meta_report/consistency_reclassification_2026-09-04/reclassified_candidates.json</x:v>
      </x:c>
      <x:c r="Z27" s="3" t="str">
        <x:v>S_W</x:v>
      </x:c>
      <x:c r="AA27" s="3" t="str">
        <x:v>statistical_results</x:v>
      </x:c>
      <x:c r="AB27" s="3" t="str">
        <x:v>retain</x:v>
      </x:c>
    </x:row>
    <x:row r="28" ht="90" customHeight="1">
      <x:c r="A28" s="12" t="b">
        <x:v>0</x:v>
      </x:c>
      <x:c r="B28" s="6"/>
      <x:c r="C28" s="12" t="b">
        <x:v>0</x:v>
      </x:c>
      <x:c r="D28" s="6" t="str">
        <x:v>Statistical reporting inconsistency</x:v>
      </x:c>
      <x:c r="E28" s="12" t="b">
        <x:v>0</x:v>
      </x:c>
      <x:c r="F28" s="6" t="str">
        <x:v>C011</x:v>
      </x:c>
      <x:c r="G28" s="6" t="str">
        <x:v>2025::jama.2025.11178::C011</x:v>
      </x:c>
      <x:c r="H28" s="6"/>
      <x:c r="I28" s="6" t="str">
        <x:v>main article — PDF p. 10, Table 3, interference 12 months, painTRAINER vs usual care plus SMD.</x:v>
      </x:c>
      <x:c r="J28" s="12" t="b">
        <x:v>0</x:v>
      </x:c>
      <x:c r="K28" s="6" t="str">
        <x:v>jama.2025.11178</x:v>
      </x:c>
      <x:c r="L28" s="6"/>
      <x:c r="M28" s="6" t="str">
        <x:v>S_W</x:v>
      </x:c>
      <x:c r="N28" s="6" t="str">
        <x:v>Target is within one main article or one non-plan results supplement/workbook; no substantive plan comparison. `-0.26 &lt; -0.25`, outside CI.</x:v>
      </x:c>
      <x:c r="O28" s="6" t="str">
        <x:v>../../2025/jama.2025.11178/.ai_paper_validation/final_report_1_5_1.html</x:v>
      </x:c>
      <x:c r="P28" s="6" t="str">
        <x:v>2025/jama.2025.11178/.ai_paper_validation/final_report_1_5_1.md</x:v>
      </x:c>
      <x:c r="Q28" s="6" t="str">
        <x:v>C011</x:v>
      </x:c>
      <x:c r="R28" s="6" t="str">
        <x:v>Pending Human Adjudication</x:v>
      </x:c>
      <x:c r="S28" s="6" t="str">
        <x:v>Pending Human Adjudication. The printed values identify a candidate consistency issue: Pain-interference 12-month painTRAINER SMD outside printed CI.</x:v>
      </x:c>
      <x:c r="T28" s="12" t="b">
        <x:v>1</x:v>
      </x:c>
      <x:c r="U28" s="6" t="str">
        <x:v>Pain-interference 12-month painTRAINER SMD outside printed CI</x:v>
      </x:c>
      <x:c r="V28" s="6" t="str">
        <x:v>statistical_results</x:v>
      </x:c>
      <x:c r="W28" s="6" t="str">
        <x:v>Pain-interference 12-month painTRAINER SMD outside printed CI</x:v>
      </x:c>
      <x:c r="X28" s="6" t="str">
        <x:v>2025</x:v>
      </x:c>
      <x:c r="Y28" s="6" t="str">
        <x:v>meta_report/consistency_reclassification_2026-09-04/reclassified_candidates.json</x:v>
      </x:c>
      <x:c r="Z28" s="6" t="str">
        <x:v>S_W</x:v>
      </x:c>
      <x:c r="AA28" s="6" t="str">
        <x:v>statistical_results</x:v>
      </x:c>
      <x:c r="AB28" s="6" t="str">
        <x:v>retain</x:v>
      </x:c>
    </x:row>
    <x:row r="29" ht="90" customHeight="1">
      <x:c r="A29" s="11" t="b">
        <x:v>0</x:v>
      </x:c>
      <x:c r="B29" s="3"/>
      <x:c r="C29" s="11" t="b">
        <x:v>0</x:v>
      </x:c>
      <x:c r="D29" s="3" t="str">
        <x:v>Statistical reporting inconsistency</x:v>
      </x:c>
      <x:c r="E29" s="11" t="b">
        <x:v>0</x:v>
      </x:c>
      <x:c r="F29" s="3" t="str">
        <x:v>C012</x:v>
      </x:c>
      <x:c r="G29" s="3" t="str">
        <x:v>2025::jama.2025.11178::C012</x:v>
      </x:c>
      <x:c r="H29" s="3"/>
      <x:c r="I29" s="3" t="str">
        <x:v>main article — PDF p. 10, Table 3, interference 12 months, Health Coach vs usual care plus SMD.</x:v>
      </x:c>
      <x:c r="J29" s="11" t="b">
        <x:v>0</x:v>
      </x:c>
      <x:c r="K29" s="3" t="str">
        <x:v>jama.2025.11178</x:v>
      </x:c>
      <x:c r="L29" s="3"/>
      <x:c r="M29" s="3" t="str">
        <x:v>S_W</x:v>
      </x:c>
      <x:c r="N29" s="3" t="str">
        <x:v>Target is within one main article or one non-plan results supplement/workbook; no substantive plan comparison. `-0.37 &lt; -0.36`, outside CI.</x:v>
      </x:c>
      <x:c r="O29" s="3" t="str">
        <x:v>../../2025/jama.2025.11178/.ai_paper_validation/final_report_1_5_1.html</x:v>
      </x:c>
      <x:c r="P29" s="3" t="str">
        <x:v>2025/jama.2025.11178/.ai_paper_validation/final_report_1_5_1.md</x:v>
      </x:c>
      <x:c r="Q29" s="3" t="str">
        <x:v>C012</x:v>
      </x:c>
      <x:c r="R29" s="3" t="str">
        <x:v>Pending Human Adjudication</x:v>
      </x:c>
      <x:c r="S29" s="3" t="str">
        <x:v>Pending Human Adjudication. The printed values identify a candidate consistency issue: Pain-interference 12-month Health Coach SMD outside printed CI.</x:v>
      </x:c>
      <x:c r="T29" s="11" t="b">
        <x:v>1</x:v>
      </x:c>
      <x:c r="U29" s="3" t="str">
        <x:v>Pain-interference 12-month Health Coach SMD outside printed CI</x:v>
      </x:c>
      <x:c r="V29" s="3" t="str">
        <x:v>statistical_results</x:v>
      </x:c>
      <x:c r="W29" s="3" t="str">
        <x:v>Pain-interference 12-month Health Coach SMD outside printed CI</x:v>
      </x:c>
      <x:c r="X29" s="3" t="str">
        <x:v>2025</x:v>
      </x:c>
      <x:c r="Y29" s="3" t="str">
        <x:v>meta_report/consistency_reclassification_2026-09-04/reclassified_candidates.json</x:v>
      </x:c>
      <x:c r="Z29" s="3" t="str">
        <x:v>S_W</x:v>
      </x:c>
      <x:c r="AA29" s="3" t="str">
        <x:v>statistical_results</x:v>
      </x:c>
      <x:c r="AB29" s="3" t="str">
        <x:v>retain</x:v>
      </x:c>
    </x:row>
    <x:row r="30" ht="90" customHeight="1">
      <x:c r="A30" s="12" t="b">
        <x:v>0</x:v>
      </x:c>
      <x:c r="B30" s="6"/>
      <x:c r="C30" s="12" t="b">
        <x:v>0</x:v>
      </x:c>
      <x:c r="D30" s="6" t="str">
        <x:v>Statistical reporting inconsistency</x:v>
      </x:c>
      <x:c r="E30" s="12" t="b">
        <x:v>0</x:v>
      </x:c>
      <x:c r="F30" s="6" t="str">
        <x:v>C013</x:v>
      </x:c>
      <x:c r="G30" s="6" t="str">
        <x:v>2025::jama.2025.11178::C013</x:v>
      </x:c>
      <x:c r="H30" s="6"/>
      <x:c r="I30" s="6" t="str">
        <x:v>main article — PDF p. 10, Table 3, social role, 3 months, painTRAINER vs usual care plus SMD.</x:v>
      </x:c>
      <x:c r="J30" s="12" t="b">
        <x:v>0</x:v>
      </x:c>
      <x:c r="K30" s="6" t="str">
        <x:v>jama.2025.11178</x:v>
      </x:c>
      <x:c r="L30" s="6"/>
      <x:c r="M30" s="6" t="str">
        <x:v>S_W</x:v>
      </x:c>
      <x:c r="N30" s="6" t="str">
        <x:v>Target is within one main article or one non-plan results supplement/workbook; no substantive plan comparison. Interval endpoints must be low-to-high; `0.23 &gt; 0.11`.</x:v>
      </x:c>
      <x:c r="O30" s="6" t="str">
        <x:v>../../2025/jama.2025.11178/.ai_paper_validation/final_report_1_5_1.html</x:v>
      </x:c>
      <x:c r="P30" s="6" t="str">
        <x:v>2025/jama.2025.11178/.ai_paper_validation/final_report_1_5_1.md</x:v>
      </x:c>
      <x:c r="Q30" s="6" t="str">
        <x:v>C013</x:v>
      </x:c>
      <x:c r="R30" s="6" t="str">
        <x:v>Pending Human Adjudication</x:v>
      </x:c>
      <x:c r="S30" s="6" t="str">
        <x:v>Pending Human Adjudication. The printed values identify a candidate consistency issue: Social-role 3-month painTRAINER SMD endpoints reversed.</x:v>
      </x:c>
      <x:c r="T30" s="12" t="b">
        <x:v>1</x:v>
      </x:c>
      <x:c r="U30" s="6" t="str">
        <x:v>Social-role 3-month painTRAINER SMD endpoints reversed</x:v>
      </x:c>
      <x:c r="V30" s="6" t="str">
        <x:v>statistical_results</x:v>
      </x:c>
      <x:c r="W30" s="6" t="str">
        <x:v>Social-role 3-month painTRAINER SMD endpoints reversed</x:v>
      </x:c>
      <x:c r="X30" s="6" t="str">
        <x:v>2025</x:v>
      </x:c>
      <x:c r="Y30" s="6" t="str">
        <x:v>meta_report/consistency_reclassification_2026-09-04/reclassified_candidates.json</x:v>
      </x:c>
      <x:c r="Z30" s="6" t="str">
        <x:v>S_W</x:v>
      </x:c>
      <x:c r="AA30" s="6" t="str">
        <x:v>statistical_results</x:v>
      </x:c>
      <x:c r="AB30" s="6" t="str">
        <x:v>retain</x:v>
      </x:c>
    </x:row>
    <x:row r="31" ht="90" customHeight="1">
      <x:c r="A31" s="11" t="b">
        <x:v>0</x:v>
      </x:c>
      <x:c r="B31" s="3"/>
      <x:c r="C31" s="11" t="b">
        <x:v>0</x:v>
      </x:c>
      <x:c r="D31" s="3" t="str">
        <x:v>Statistical reporting inconsistency</x:v>
      </x:c>
      <x:c r="E31" s="11" t="b">
        <x:v>0</x:v>
      </x:c>
      <x:c r="F31" s="3" t="str">
        <x:v>C014</x:v>
      </x:c>
      <x:c r="G31" s="3" t="str">
        <x:v>2025::jama.2025.11178::C014</x:v>
      </x:c>
      <x:c r="H31" s="3"/>
      <x:c r="I31" s="3" t="str">
        <x:v>main article — PDF p. 10, Table 3, social role, 3 months, Health Coach vs usual care plus SMD.</x:v>
      </x:c>
      <x:c r="J31" s="11" t="b">
        <x:v>0</x:v>
      </x:c>
      <x:c r="K31" s="3" t="str">
        <x:v>jama.2025.11178</x:v>
      </x:c>
      <x:c r="L31" s="3"/>
      <x:c r="M31" s="3" t="str">
        <x:v>S_W</x:v>
      </x:c>
      <x:c r="N31" s="3" t="str">
        <x:v>Target is within one main article or one non-plan results supplement/workbook; no substantive plan comparison. `0.12 &gt; -0.00`; endpoints are reversed.</x:v>
      </x:c>
      <x:c r="O31" s="3" t="str">
        <x:v>../../2025/jama.2025.11178/.ai_paper_validation/final_report_1_5_1.html</x:v>
      </x:c>
      <x:c r="P31" s="3" t="str">
        <x:v>2025/jama.2025.11178/.ai_paper_validation/final_report_1_5_1.md</x:v>
      </x:c>
      <x:c r="Q31" s="3" t="str">
        <x:v>C014</x:v>
      </x:c>
      <x:c r="R31" s="3" t="str">
        <x:v>Pending Human Adjudication</x:v>
      </x:c>
      <x:c r="S31" s="3" t="str">
        <x:v>Pending Human Adjudication. The printed values identify a candidate consistency issue: Social-role 3-month Health Coach SMD endpoints reversed.</x:v>
      </x:c>
      <x:c r="T31" s="11" t="b">
        <x:v>1</x:v>
      </x:c>
      <x:c r="U31" s="3" t="str">
        <x:v>Social-role 3-month Health Coach SMD endpoints reversed</x:v>
      </x:c>
      <x:c r="V31" s="3" t="str">
        <x:v>statistical_results</x:v>
      </x:c>
      <x:c r="W31" s="3" t="str">
        <x:v>Social-role 3-month Health Coach SMD endpoints reversed</x:v>
      </x:c>
      <x:c r="X31" s="3" t="str">
        <x:v>2025</x:v>
      </x:c>
      <x:c r="Y31" s="3" t="str">
        <x:v>meta_report/consistency_reclassification_2026-09-04/reclassified_candidates.json</x:v>
      </x:c>
      <x:c r="Z31" s="3" t="str">
        <x:v>S_W</x:v>
      </x:c>
      <x:c r="AA31" s="3" t="str">
        <x:v>statistical_results</x:v>
      </x:c>
      <x:c r="AB31" s="3" t="str">
        <x:v>retain</x:v>
      </x:c>
    </x:row>
    <x:row r="32" ht="90" customHeight="1">
      <x:c r="A32" s="12" t="b">
        <x:v>0</x:v>
      </x:c>
      <x:c r="B32" s="6"/>
      <x:c r="C32" s="12" t="b">
        <x:v>0</x:v>
      </x:c>
      <x:c r="D32" s="6" t="str">
        <x:v>Statistical reporting inconsistency</x:v>
      </x:c>
      <x:c r="E32" s="12" t="b">
        <x:v>0</x:v>
      </x:c>
      <x:c r="F32" s="6" t="str">
        <x:v>C015</x:v>
      </x:c>
      <x:c r="G32" s="6" t="str">
        <x:v>2025::jama.2025.11178::C015</x:v>
      </x:c>
      <x:c r="H32" s="6"/>
      <x:c r="I32" s="6" t="str">
        <x:v>main article — PDF p. 10, Table 3, social role, 3 months, Health Coach vs painTRAINER SMD.</x:v>
      </x:c>
      <x:c r="J32" s="12" t="b">
        <x:v>0</x:v>
      </x:c>
      <x:c r="K32" s="6" t="str">
        <x:v>jama.2025.11178</x:v>
      </x:c>
      <x:c r="L32" s="6"/>
      <x:c r="M32" s="6" t="str">
        <x:v>S_W</x:v>
      </x:c>
      <x:c r="N32" s="6" t="str">
        <x:v>Target is within one main article or one non-plan results supplement/workbook; no substantive plan comparison. `0.29 &gt; 0.19`; endpoints are reversed.</x:v>
      </x:c>
      <x:c r="O32" s="6" t="str">
        <x:v>../../2025/jama.2025.11178/.ai_paper_validation/final_report_1_5_1.html</x:v>
      </x:c>
      <x:c r="P32" s="6" t="str">
        <x:v>2025/jama.2025.11178/.ai_paper_validation/final_report_1_5_1.md</x:v>
      </x:c>
      <x:c r="Q32" s="6" t="str">
        <x:v>C015</x:v>
      </x:c>
      <x:c r="R32" s="6" t="str">
        <x:v>Pending Human Adjudication</x:v>
      </x:c>
      <x:c r="S32" s="6" t="str">
        <x:v>Pending Human Adjudication. The printed values identify a candidate consistency issue: Social-role 3-month Health Coach versus painTRAINER SMD endpoints reversed.</x:v>
      </x:c>
      <x:c r="T32" s="12" t="b">
        <x:v>1</x:v>
      </x:c>
      <x:c r="U32" s="6" t="str">
        <x:v>Social-role 3-month Health Coach versus painTRAINER SMD endpoints reversed</x:v>
      </x:c>
      <x:c r="V32" s="6" t="str">
        <x:v>statistical_results</x:v>
      </x:c>
      <x:c r="W32" s="6" t="str">
        <x:v>Social-role 3-month Health Coach versus painTRAINER SMD endpoints reversed</x:v>
      </x:c>
      <x:c r="X32" s="6" t="str">
        <x:v>2025</x:v>
      </x:c>
      <x:c r="Y32" s="6" t="str">
        <x:v>meta_report/consistency_reclassification_2026-09-04/reclassified_candidates.json</x:v>
      </x:c>
      <x:c r="Z32" s="6" t="str">
        <x:v>S_W</x:v>
      </x:c>
      <x:c r="AA32" s="6" t="str">
        <x:v>statistical_results</x:v>
      </x:c>
      <x:c r="AB32" s="6" t="str">
        <x:v>retain</x:v>
      </x:c>
    </x:row>
    <x:row r="33" ht="90" customHeight="1">
      <x:c r="A33" s="11" t="b">
        <x:v>0</x:v>
      </x:c>
      <x:c r="B33" s="3"/>
      <x:c r="C33" s="11" t="b">
        <x:v>0</x:v>
      </x:c>
      <x:c r="D33" s="3" t="str">
        <x:v>Statistical reporting inconsistency</x:v>
      </x:c>
      <x:c r="E33" s="11" t="b">
        <x:v>0</x:v>
      </x:c>
      <x:c r="F33" s="3" t="str">
        <x:v>C016</x:v>
      </x:c>
      <x:c r="G33" s="3" t="str">
        <x:v>2025::jama.2025.11178::C016</x:v>
      </x:c>
      <x:c r="H33" s="3"/>
      <x:c r="I33" s="3" t="str">
        <x:v>main article — PDF p. 10, Table 3, social role, 6 months, painTRAINER vs usual care plus SMD.</x:v>
      </x:c>
      <x:c r="J33" s="11" t="b">
        <x:v>0</x:v>
      </x:c>
      <x:c r="K33" s="3" t="str">
        <x:v>jama.2025.11178</x:v>
      </x:c>
      <x:c r="L33" s="3"/>
      <x:c r="M33" s="3" t="str">
        <x:v>S_W</x:v>
      </x:c>
      <x:c r="N33" s="3" t="str">
        <x:v>Target is within one main article or one non-plan results supplement/workbook; no substantive plan comparison. `0.23 &gt; 0.05`; endpoints are reversed.</x:v>
      </x:c>
      <x:c r="O33" s="3" t="str">
        <x:v>../../2025/jama.2025.11178/.ai_paper_validation/final_report_1_5_1.html</x:v>
      </x:c>
      <x:c r="P33" s="3" t="str">
        <x:v>2025/jama.2025.11178/.ai_paper_validation/final_report_1_5_1.md</x:v>
      </x:c>
      <x:c r="Q33" s="3" t="str">
        <x:v>C016</x:v>
      </x:c>
      <x:c r="R33" s="3" t="str">
        <x:v>Pending Human Adjudication</x:v>
      </x:c>
      <x:c r="S33" s="3" t="str">
        <x:v>Pending Human Adjudication. The printed values identify a candidate consistency issue: Social-role 6-month painTRAINER SMD endpoints reversed.</x:v>
      </x:c>
      <x:c r="T33" s="11" t="b">
        <x:v>1</x:v>
      </x:c>
      <x:c r="U33" s="3" t="str">
        <x:v>Social-role 6-month painTRAINER SMD endpoints reversed</x:v>
      </x:c>
      <x:c r="V33" s="3" t="str">
        <x:v>statistical_results</x:v>
      </x:c>
      <x:c r="W33" s="3" t="str">
        <x:v>Social-role 6-month painTRAINER SMD endpoints reversed</x:v>
      </x:c>
      <x:c r="X33" s="3" t="str">
        <x:v>2025</x:v>
      </x:c>
      <x:c r="Y33" s="3" t="str">
        <x:v>meta_report/consistency_reclassification_2026-09-04/reclassified_candidates.json</x:v>
      </x:c>
      <x:c r="Z33" s="3" t="str">
        <x:v>S_W</x:v>
      </x:c>
      <x:c r="AA33" s="3" t="str">
        <x:v>statistical_results</x:v>
      </x:c>
      <x:c r="AB33" s="3" t="str">
        <x:v>retain</x:v>
      </x:c>
    </x:row>
    <x:row r="34" ht="90" customHeight="1">
      <x:c r="A34" s="12" t="b">
        <x:v>0</x:v>
      </x:c>
      <x:c r="B34" s="6"/>
      <x:c r="C34" s="12" t="b">
        <x:v>0</x:v>
      </x:c>
      <x:c r="D34" s="6" t="str">
        <x:v>Statistical reporting inconsistency</x:v>
      </x:c>
      <x:c r="E34" s="12" t="b">
        <x:v>0</x:v>
      </x:c>
      <x:c r="F34" s="6" t="str">
        <x:v>C017</x:v>
      </x:c>
      <x:c r="G34" s="6" t="str">
        <x:v>2025::jama.2025.11178::C017</x:v>
      </x:c>
      <x:c r="H34" s="6"/>
      <x:c r="I34" s="6" t="str">
        <x:v>main article — PDF p. 10, Table 3, social role, 6 months, Health Coach vs usual care plus SMD.</x:v>
      </x:c>
      <x:c r="J34" s="12" t="b">
        <x:v>0</x:v>
      </x:c>
      <x:c r="K34" s="6" t="str">
        <x:v>jama.2025.11178</x:v>
      </x:c>
      <x:c r="L34" s="6"/>
      <x:c r="M34" s="6" t="str">
        <x:v>S_W</x:v>
      </x:c>
      <x:c r="N34" s="6" t="str">
        <x:v>Target is within one main article or one non-plan results supplement/workbook; no substantive plan comparison. `0.11 &gt; -0.06`; endpoints are reversed.</x:v>
      </x:c>
      <x:c r="O34" s="6" t="str">
        <x:v>../../2025/jama.2025.11178/.ai_paper_validation/final_report_1_5_1.html</x:v>
      </x:c>
      <x:c r="P34" s="6" t="str">
        <x:v>2025/jama.2025.11178/.ai_paper_validation/final_report_1_5_1.md</x:v>
      </x:c>
      <x:c r="Q34" s="6" t="str">
        <x:v>C017</x:v>
      </x:c>
      <x:c r="R34" s="6" t="str">
        <x:v>Pending Human Adjudication</x:v>
      </x:c>
      <x:c r="S34" s="6" t="str">
        <x:v>Pending Human Adjudication. The printed values identify a candidate consistency issue: Social-role 6-month Health Coach SMD endpoints reversed.</x:v>
      </x:c>
      <x:c r="T34" s="12" t="b">
        <x:v>1</x:v>
      </x:c>
      <x:c r="U34" s="6" t="str">
        <x:v>Social-role 6-month Health Coach SMD endpoints reversed</x:v>
      </x:c>
      <x:c r="V34" s="6" t="str">
        <x:v>statistical_results</x:v>
      </x:c>
      <x:c r="W34" s="6" t="str">
        <x:v>Social-role 6-month Health Coach SMD endpoints reversed</x:v>
      </x:c>
      <x:c r="X34" s="6" t="str">
        <x:v>2025</x:v>
      </x:c>
      <x:c r="Y34" s="6" t="str">
        <x:v>meta_report/consistency_reclassification_2026-09-04/reclassified_candidates.json</x:v>
      </x:c>
      <x:c r="Z34" s="6" t="str">
        <x:v>S_W</x:v>
      </x:c>
      <x:c r="AA34" s="6" t="str">
        <x:v>statistical_results</x:v>
      </x:c>
      <x:c r="AB34" s="6" t="str">
        <x:v>retain</x:v>
      </x:c>
    </x:row>
    <x:row r="35" ht="90" customHeight="1">
      <x:c r="A35" s="11" t="b">
        <x:v>0</x:v>
      </x:c>
      <x:c r="B35" s="3"/>
      <x:c r="C35" s="11" t="b">
        <x:v>0</x:v>
      </x:c>
      <x:c r="D35" s="3" t="str">
        <x:v>Statistical reporting inconsistency</x:v>
      </x:c>
      <x:c r="E35" s="11" t="b">
        <x:v>0</x:v>
      </x:c>
      <x:c r="F35" s="3" t="str">
        <x:v>C018</x:v>
      </x:c>
      <x:c r="G35" s="3" t="str">
        <x:v>2025::jama.2025.11178::C018</x:v>
      </x:c>
      <x:c r="H35" s="3"/>
      <x:c r="I35" s="3" t="str">
        <x:v>main article — PDF p. 10, Table 3, social role, 6 months, Health Coach vs painTRAINER SMD.</x:v>
      </x:c>
      <x:c r="J35" s="11" t="b">
        <x:v>0</x:v>
      </x:c>
      <x:c r="K35" s="3" t="str">
        <x:v>jama.2025.11178</x:v>
      </x:c>
      <x:c r="L35" s="3"/>
      <x:c r="M35" s="3" t="str">
        <x:v>S_W</x:v>
      </x:c>
      <x:c r="N35" s="3" t="str">
        <x:v>Target is within one main article or one non-plan results supplement/workbook; no substantive plan comparison. `0.30 &gt; 0.15`; endpoints are reversed.</x:v>
      </x:c>
      <x:c r="O35" s="3" t="str">
        <x:v>../../2025/jama.2025.11178/.ai_paper_validation/final_report_1_5_1.html</x:v>
      </x:c>
      <x:c r="P35" s="3" t="str">
        <x:v>2025/jama.2025.11178/.ai_paper_validation/final_report_1_5_1.md</x:v>
      </x:c>
      <x:c r="Q35" s="3" t="str">
        <x:v>C018</x:v>
      </x:c>
      <x:c r="R35" s="3" t="str">
        <x:v>Pending Human Adjudication</x:v>
      </x:c>
      <x:c r="S35" s="3" t="str">
        <x:v>Pending Human Adjudication. The printed values identify a candidate consistency issue: Social-role 6-month Health Coach versus painTRAINER SMD endpoints reversed.</x:v>
      </x:c>
      <x:c r="T35" s="11" t="b">
        <x:v>1</x:v>
      </x:c>
      <x:c r="U35" s="3" t="str">
        <x:v>Social-role 6-month Health Coach versus painTRAINER SMD endpoints reversed</x:v>
      </x:c>
      <x:c r="V35" s="3" t="str">
        <x:v>statistical_results</x:v>
      </x:c>
      <x:c r="W35" s="3" t="str">
        <x:v>Social-role 6-month Health Coach versus painTRAINER SMD endpoints reversed</x:v>
      </x:c>
      <x:c r="X35" s="3" t="str">
        <x:v>2025</x:v>
      </x:c>
      <x:c r="Y35" s="3" t="str">
        <x:v>meta_report/consistency_reclassification_2026-09-04/reclassified_candidates.json</x:v>
      </x:c>
      <x:c r="Z35" s="3" t="str">
        <x:v>S_W</x:v>
      </x:c>
      <x:c r="AA35" s="3" t="str">
        <x:v>statistical_results</x:v>
      </x:c>
      <x:c r="AB35" s="3" t="str">
        <x:v>retain</x:v>
      </x:c>
    </x:row>
    <x:row r="36" ht="90" customHeight="1">
      <x:c r="A36" s="12" t="b">
        <x:v>0</x:v>
      </x:c>
      <x:c r="B36" s="6"/>
      <x:c r="C36" s="12" t="b">
        <x:v>0</x:v>
      </x:c>
      <x:c r="D36" s="6" t="str">
        <x:v>Statistical reporting inconsistency</x:v>
      </x:c>
      <x:c r="E36" s="12" t="b">
        <x:v>0</x:v>
      </x:c>
      <x:c r="F36" s="6" t="str">
        <x:v>C019</x:v>
      </x:c>
      <x:c r="G36" s="6" t="str">
        <x:v>2025::jama.2025.11178::C019</x:v>
      </x:c>
      <x:c r="H36" s="6"/>
      <x:c r="I36" s="6" t="str">
        <x:v>main article — PDF p. 10, Table 3, social role, 12 months, painTRAINER vs usual care plus SMD.</x:v>
      </x:c>
      <x:c r="J36" s="12" t="b">
        <x:v>0</x:v>
      </x:c>
      <x:c r="K36" s="6" t="str">
        <x:v>jama.2025.11178</x:v>
      </x:c>
      <x:c r="L36" s="6"/>
      <x:c r="M36" s="6" t="str">
        <x:v>S_W</x:v>
      </x:c>
      <x:c r="N36" s="6" t="str">
        <x:v>Target is within one main article or one non-plan results supplement/workbook; no substantive plan comparison. `0.21 &gt; 0.01`; endpoints are reversed.</x:v>
      </x:c>
      <x:c r="O36" s="6" t="str">
        <x:v>../../2025/jama.2025.11178/.ai_paper_validation/final_report_1_5_1.html</x:v>
      </x:c>
      <x:c r="P36" s="6" t="str">
        <x:v>2025/jama.2025.11178/.ai_paper_validation/final_report_1_5_1.md</x:v>
      </x:c>
      <x:c r="Q36" s="6" t="str">
        <x:v>C019</x:v>
      </x:c>
      <x:c r="R36" s="6" t="str">
        <x:v>Pending Human Adjudication</x:v>
      </x:c>
      <x:c r="S36" s="6" t="str">
        <x:v>Pending Human Adjudication. The printed values identify a candidate consistency issue: Social-role 12-month painTRAINER SMD endpoints reversed.</x:v>
      </x:c>
      <x:c r="T36" s="12" t="b">
        <x:v>1</x:v>
      </x:c>
      <x:c r="U36" s="6" t="str">
        <x:v>Social-role 12-month painTRAINER SMD endpoints reversed</x:v>
      </x:c>
      <x:c r="V36" s="6" t="str">
        <x:v>statistical_results</x:v>
      </x:c>
      <x:c r="W36" s="6" t="str">
        <x:v>Social-role 12-month painTRAINER SMD endpoints reversed</x:v>
      </x:c>
      <x:c r="X36" s="6" t="str">
        <x:v>2025</x:v>
      </x:c>
      <x:c r="Y36" s="6" t="str">
        <x:v>meta_report/consistency_reclassification_2026-09-04/reclassified_candidates.json</x:v>
      </x:c>
      <x:c r="Z36" s="6" t="str">
        <x:v>S_W</x:v>
      </x:c>
      <x:c r="AA36" s="6" t="str">
        <x:v>statistical_results</x:v>
      </x:c>
      <x:c r="AB36" s="6" t="str">
        <x:v>retain</x:v>
      </x:c>
    </x:row>
    <x:row r="37" ht="90" customHeight="1">
      <x:c r="A37" s="11" t="b">
        <x:v>0</x:v>
      </x:c>
      <x:c r="B37" s="3"/>
      <x:c r="C37" s="11" t="b">
        <x:v>0</x:v>
      </x:c>
      <x:c r="D37" s="3" t="str">
        <x:v>Statistical reporting inconsistency</x:v>
      </x:c>
      <x:c r="E37" s="11" t="b">
        <x:v>0</x:v>
      </x:c>
      <x:c r="F37" s="3" t="str">
        <x:v>C020</x:v>
      </x:c>
      <x:c r="G37" s="3" t="str">
        <x:v>2025::jama.2025.11178::C020</x:v>
      </x:c>
      <x:c r="H37" s="3"/>
      <x:c r="I37" s="3" t="str">
        <x:v>main article — PDF p. 10, Table 3, social role, 12 months, Health Coach vs usual care plus SMD.</x:v>
      </x:c>
      <x:c r="J37" s="11" t="b">
        <x:v>0</x:v>
      </x:c>
      <x:c r="K37" s="3" t="str">
        <x:v>jama.2025.11178</x:v>
      </x:c>
      <x:c r="L37" s="3"/>
      <x:c r="M37" s="3" t="str">
        <x:v>S_W</x:v>
      </x:c>
      <x:c r="N37" s="3" t="str">
        <x:v>Target is within one main article or one non-plan results supplement/workbook; no substantive plan comparison. `0.09 &gt; -0.10`; endpoints are reversed.</x:v>
      </x:c>
      <x:c r="O37" s="3" t="str">
        <x:v>../../2025/jama.2025.11178/.ai_paper_validation/final_report_1_5_1.html</x:v>
      </x:c>
      <x:c r="P37" s="3" t="str">
        <x:v>2025/jama.2025.11178/.ai_paper_validation/final_report_1_5_1.md</x:v>
      </x:c>
      <x:c r="Q37" s="3" t="str">
        <x:v>C020</x:v>
      </x:c>
      <x:c r="R37" s="3" t="str">
        <x:v>Pending Human Adjudication</x:v>
      </x:c>
      <x:c r="S37" s="3" t="str">
        <x:v>Pending Human Adjudication. The printed values identify a candidate consistency issue: Social-role 12-month Health Coach SMD endpoints reversed.</x:v>
      </x:c>
      <x:c r="T37" s="11" t="b">
        <x:v>1</x:v>
      </x:c>
      <x:c r="U37" s="3" t="str">
        <x:v>Social-role 12-month Health Coach SMD endpoints reversed</x:v>
      </x:c>
      <x:c r="V37" s="3" t="str">
        <x:v>statistical_results</x:v>
      </x:c>
      <x:c r="W37" s="3" t="str">
        <x:v>Social-role 12-month Health Coach SMD endpoints reversed</x:v>
      </x:c>
      <x:c r="X37" s="3" t="str">
        <x:v>2025</x:v>
      </x:c>
      <x:c r="Y37" s="3" t="str">
        <x:v>meta_report/consistency_reclassification_2026-09-04/reclassified_candidates.json</x:v>
      </x:c>
      <x:c r="Z37" s="3" t="str">
        <x:v>S_W</x:v>
      </x:c>
      <x:c r="AA37" s="3" t="str">
        <x:v>statistical_results</x:v>
      </x:c>
      <x:c r="AB37" s="3" t="str">
        <x:v>retain</x:v>
      </x:c>
    </x:row>
    <x:row r="38" ht="90" customHeight="1">
      <x:c r="A38" s="12" t="b">
        <x:v>0</x:v>
      </x:c>
      <x:c r="B38" s="6"/>
      <x:c r="C38" s="12" t="b">
        <x:v>0</x:v>
      </x:c>
      <x:c r="D38" s="6" t="str">
        <x:v>Statistical reporting inconsistency</x:v>
      </x:c>
      <x:c r="E38" s="12" t="b">
        <x:v>0</x:v>
      </x:c>
      <x:c r="F38" s="6" t="str">
        <x:v>C021</x:v>
      </x:c>
      <x:c r="G38" s="6" t="str">
        <x:v>2025::jama.2025.11178::C021</x:v>
      </x:c>
      <x:c r="H38" s="6"/>
      <x:c r="I38" s="6" t="str">
        <x:v>main article — PDF p. 10, Table 3, social role, 12 months, Health Coach vs painTRAINER SMD.</x:v>
      </x:c>
      <x:c r="J38" s="12" t="b">
        <x:v>0</x:v>
      </x:c>
      <x:c r="K38" s="6" t="str">
        <x:v>jama.2025.11178</x:v>
      </x:c>
      <x:c r="L38" s="6"/>
      <x:c r="M38" s="6" t="str">
        <x:v>S_W</x:v>
      </x:c>
      <x:c r="N38" s="6" t="str">
        <x:v>Target is within one main article or one non-plan results supplement/workbook; no substantive plan comparison. `0.28 &gt; 0.12`; endpoints are reversed.</x:v>
      </x:c>
      <x:c r="O38" s="6" t="str">
        <x:v>../../2025/jama.2025.11178/.ai_paper_validation/final_report_1_5_1.html</x:v>
      </x:c>
      <x:c r="P38" s="6" t="str">
        <x:v>2025/jama.2025.11178/.ai_paper_validation/final_report_1_5_1.md</x:v>
      </x:c>
      <x:c r="Q38" s="6" t="str">
        <x:v>C021</x:v>
      </x:c>
      <x:c r="R38" s="6" t="str">
        <x:v>Pending Human Adjudication</x:v>
      </x:c>
      <x:c r="S38" s="6" t="str">
        <x:v>Pending Human Adjudication. The printed values identify a candidate consistency issue: Social-role 12-month Health Coach versus painTRAINER SMD endpoints reversed.</x:v>
      </x:c>
      <x:c r="T38" s="12" t="b">
        <x:v>1</x:v>
      </x:c>
      <x:c r="U38" s="6" t="str">
        <x:v>Social-role 12-month Health Coach versus painTRAINER SMD endpoints reversed</x:v>
      </x:c>
      <x:c r="V38" s="6" t="str">
        <x:v>statistical_results</x:v>
      </x:c>
      <x:c r="W38" s="6" t="str">
        <x:v>Social-role 12-month Health Coach versus painTRAINER SMD endpoints reversed</x:v>
      </x:c>
      <x:c r="X38" s="6" t="str">
        <x:v>2025</x:v>
      </x:c>
      <x:c r="Y38" s="6" t="str">
        <x:v>meta_report/consistency_reclassification_2026-09-04/reclassified_candidates.json</x:v>
      </x:c>
      <x:c r="Z38" s="6" t="str">
        <x:v>S_W</x:v>
      </x:c>
      <x:c r="AA38" s="6" t="str">
        <x:v>statistical_results</x:v>
      </x:c>
      <x:c r="AB38" s="6" t="str">
        <x:v>retain</x:v>
      </x:c>
    </x:row>
    <x:row r="39" ht="90" customHeight="1">
      <x:c r="A39" s="11" t="b">
        <x:v>0</x:v>
      </x:c>
      <x:c r="B39" s="3"/>
      <x:c r="C39" s="11" t="b">
        <x:v>0</x:v>
      </x:c>
      <x:c r="D39" s="3" t="str">
        <x:v>Statistical reporting inconsistency</x:v>
      </x:c>
      <x:c r="E39" s="11" t="b">
        <x:v>0</x:v>
      </x:c>
      <x:c r="F39" s="3" t="str">
        <x:v>C022</x:v>
      </x:c>
      <x:c r="G39" s="3" t="str">
        <x:v>2025::jama.2025.11178::C022</x:v>
      </x:c>
      <x:c r="H39" s="3"/>
      <x:c r="I39" s="3" t="str">
        <x:v>main article — PDF p. 10, Table 3, physical function, 3 months, painTRAINER vs usual care plus SMD.</x:v>
      </x:c>
      <x:c r="J39" s="11" t="b">
        <x:v>0</x:v>
      </x:c>
      <x:c r="K39" s="3" t="str">
        <x:v>jama.2025.11178</x:v>
      </x:c>
      <x:c r="L39" s="3"/>
      <x:c r="M39" s="3" t="str">
        <x:v>S_W</x:v>
      </x:c>
      <x:c r="N39" s="3" t="str">
        <x:v>Target is within one main article or one non-plan results supplement/workbook; no substantive plan comparison. `0.16 &gt; 0.07`; endpoints are reversed.</x:v>
      </x:c>
      <x:c r="O39" s="3" t="str">
        <x:v>../../2025/jama.2025.11178/.ai_paper_validation/final_report_1_5_1.html</x:v>
      </x:c>
      <x:c r="P39" s="3" t="str">
        <x:v>2025/jama.2025.11178/.ai_paper_validation/final_report_1_5_1.md</x:v>
      </x:c>
      <x:c r="Q39" s="3" t="str">
        <x:v>C022</x:v>
      </x:c>
      <x:c r="R39" s="3" t="str">
        <x:v>Pending Human Adjudication</x:v>
      </x:c>
      <x:c r="S39" s="3" t="str">
        <x:v>Pending Human Adjudication. The printed values identify a candidate consistency issue: Physical-function 3-month painTRAINER SMD endpoints reversed.</x:v>
      </x:c>
      <x:c r="T39" s="11" t="b">
        <x:v>1</x:v>
      </x:c>
      <x:c r="U39" s="3" t="str">
        <x:v>Physical-function 3-month painTRAINER SMD endpoints reversed</x:v>
      </x:c>
      <x:c r="V39" s="3" t="str">
        <x:v>statistical_results</x:v>
      </x:c>
      <x:c r="W39" s="3" t="str">
        <x:v>Physical-function 3-month painTRAINER SMD endpoints reversed</x:v>
      </x:c>
      <x:c r="X39" s="3" t="str">
        <x:v>2025</x:v>
      </x:c>
      <x:c r="Y39" s="3" t="str">
        <x:v>meta_report/consistency_reclassification_2026-09-04/reclassified_candidates.json</x:v>
      </x:c>
      <x:c r="Z39" s="3" t="str">
        <x:v>S_W</x:v>
      </x:c>
      <x:c r="AA39" s="3" t="str">
        <x:v>statistical_results</x:v>
      </x:c>
      <x:c r="AB39" s="3" t="str">
        <x:v>retain</x:v>
      </x:c>
    </x:row>
    <x:row r="40" ht="90" customHeight="1">
      <x:c r="A40" s="12" t="b">
        <x:v>0</x:v>
      </x:c>
      <x:c r="B40" s="6"/>
      <x:c r="C40" s="12" t="b">
        <x:v>0</x:v>
      </x:c>
      <x:c r="D40" s="6" t="str">
        <x:v>Statistical reporting inconsistency</x:v>
      </x:c>
      <x:c r="E40" s="12" t="b">
        <x:v>0</x:v>
      </x:c>
      <x:c r="F40" s="6" t="str">
        <x:v>C023</x:v>
      </x:c>
      <x:c r="G40" s="6" t="str">
        <x:v>2025::jama.2025.11178::C023</x:v>
      </x:c>
      <x:c r="H40" s="6"/>
      <x:c r="I40" s="6" t="str">
        <x:v>main article — PDF p. 10, Table 3, physical function, 3 months, Health Coach vs usual care plus SMD.</x:v>
      </x:c>
      <x:c r="J40" s="12" t="b">
        <x:v>0</x:v>
      </x:c>
      <x:c r="K40" s="6" t="str">
        <x:v>jama.2025.11178</x:v>
      </x:c>
      <x:c r="L40" s="6"/>
      <x:c r="M40" s="6" t="str">
        <x:v>S_W</x:v>
      </x:c>
      <x:c r="N40" s="6" t="str">
        <x:v>Target is within one main article or one non-plan results supplement/workbook; no substantive plan comparison. `0.05 &gt; -0.04`; endpoints are reversed.</x:v>
      </x:c>
      <x:c r="O40" s="6" t="str">
        <x:v>../../2025/jama.2025.11178/.ai_paper_validation/final_report_1_5_1.html</x:v>
      </x:c>
      <x:c r="P40" s="6" t="str">
        <x:v>2025/jama.2025.11178/.ai_paper_validation/final_report_1_5_1.md</x:v>
      </x:c>
      <x:c r="Q40" s="6" t="str">
        <x:v>C023</x:v>
      </x:c>
      <x:c r="R40" s="6" t="str">
        <x:v>Pending Human Adjudication</x:v>
      </x:c>
      <x:c r="S40" s="6" t="str">
        <x:v>Pending Human Adjudication. The printed values identify a candidate consistency issue: Physical-function 3-month Health Coach SMD endpoints reversed.</x:v>
      </x:c>
      <x:c r="T40" s="12" t="b">
        <x:v>1</x:v>
      </x:c>
      <x:c r="U40" s="6" t="str">
        <x:v>Physical-function 3-month Health Coach SMD endpoints reversed</x:v>
      </x:c>
      <x:c r="V40" s="6" t="str">
        <x:v>statistical_results</x:v>
      </x:c>
      <x:c r="W40" s="6" t="str">
        <x:v>Physical-function 3-month Health Coach SMD endpoints reversed</x:v>
      </x:c>
      <x:c r="X40" s="6" t="str">
        <x:v>2025</x:v>
      </x:c>
      <x:c r="Y40" s="6" t="str">
        <x:v>meta_report/consistency_reclassification_2026-09-04/reclassified_candidates.json</x:v>
      </x:c>
      <x:c r="Z40" s="6" t="str">
        <x:v>S_W</x:v>
      </x:c>
      <x:c r="AA40" s="6" t="str">
        <x:v>statistical_results</x:v>
      </x:c>
      <x:c r="AB40" s="6" t="str">
        <x:v>retain</x:v>
      </x:c>
    </x:row>
    <x:row r="41" ht="90" customHeight="1">
      <x:c r="A41" s="11" t="b">
        <x:v>0</x:v>
      </x:c>
      <x:c r="B41" s="3"/>
      <x:c r="C41" s="11" t="b">
        <x:v>0</x:v>
      </x:c>
      <x:c r="D41" s="3" t="str">
        <x:v>Statistical reporting inconsistency</x:v>
      </x:c>
      <x:c r="E41" s="11" t="b">
        <x:v>0</x:v>
      </x:c>
      <x:c r="F41" s="3" t="str">
        <x:v>C024</x:v>
      </x:c>
      <x:c r="G41" s="3" t="str">
        <x:v>2025::jama.2025.11178::C024</x:v>
      </x:c>
      <x:c r="H41" s="3"/>
      <x:c r="I41" s="3" t="str">
        <x:v>main article — PDF p. 10, Table 3, physical function, 3 months, Health Coach vs painTRAINER SMD.</x:v>
      </x:c>
      <x:c r="J41" s="11" t="b">
        <x:v>0</x:v>
      </x:c>
      <x:c r="K41" s="3" t="str">
        <x:v>jama.2025.11178</x:v>
      </x:c>
      <x:c r="L41" s="3"/>
      <x:c r="M41" s="3" t="str">
        <x:v>S_W</x:v>
      </x:c>
      <x:c r="N41" s="3" t="str">
        <x:v>Target is within one main article or one non-plan results supplement/workbook; no substantive plan comparison. `0.22 &gt; 0.15`; endpoints are reversed.</x:v>
      </x:c>
      <x:c r="O41" s="3" t="str">
        <x:v>../../2025/jama.2025.11178/.ai_paper_validation/final_report_1_5_1.html</x:v>
      </x:c>
      <x:c r="P41" s="3" t="str">
        <x:v>2025/jama.2025.11178/.ai_paper_validation/final_report_1_5_1.md</x:v>
      </x:c>
      <x:c r="Q41" s="3" t="str">
        <x:v>C024</x:v>
      </x:c>
      <x:c r="R41" s="3" t="str">
        <x:v>Pending Human Adjudication</x:v>
      </x:c>
      <x:c r="S41" s="3" t="str">
        <x:v>Pending Human Adjudication. The printed values identify a candidate consistency issue: Physical-function 3-month Health Coach versus painTRAINER SMD endpoints reversed.</x:v>
      </x:c>
      <x:c r="T41" s="11" t="b">
        <x:v>1</x:v>
      </x:c>
      <x:c r="U41" s="3" t="str">
        <x:v>Physical-function 3-month Health Coach versus painTRAINER SMD endpoints reversed</x:v>
      </x:c>
      <x:c r="V41" s="3" t="str">
        <x:v>statistical_results</x:v>
      </x:c>
      <x:c r="W41" s="3" t="str">
        <x:v>Physical-function 3-month Health Coach versus painTRAINER SMD endpoints reversed</x:v>
      </x:c>
      <x:c r="X41" s="3" t="str">
        <x:v>2025</x:v>
      </x:c>
      <x:c r="Y41" s="3" t="str">
        <x:v>meta_report/consistency_reclassification_2026-09-04/reclassified_candidates.json</x:v>
      </x:c>
      <x:c r="Z41" s="3" t="str">
        <x:v>S_W</x:v>
      </x:c>
      <x:c r="AA41" s="3" t="str">
        <x:v>statistical_results</x:v>
      </x:c>
      <x:c r="AB41" s="3" t="str">
        <x:v>retain</x:v>
      </x:c>
    </x:row>
    <x:row r="42" ht="90" customHeight="1">
      <x:c r="A42" s="12" t="b">
        <x:v>0</x:v>
      </x:c>
      <x:c r="B42" s="6"/>
      <x:c r="C42" s="12" t="b">
        <x:v>0</x:v>
      </x:c>
      <x:c r="D42" s="6" t="str">
        <x:v>Statistical reporting inconsistency</x:v>
      </x:c>
      <x:c r="E42" s="12" t="b">
        <x:v>0</x:v>
      </x:c>
      <x:c r="F42" s="6" t="str">
        <x:v>C025</x:v>
      </x:c>
      <x:c r="G42" s="6" t="str">
        <x:v>2025::jama.2025.11178::C025</x:v>
      </x:c>
      <x:c r="H42" s="6"/>
      <x:c r="I42" s="6" t="str">
        <x:v>main article — PDF p. 10, Table 3, physical function, 6 months, painTRAINER vs usual care plus SMD.</x:v>
      </x:c>
      <x:c r="J42" s="12" t="b">
        <x:v>0</x:v>
      </x:c>
      <x:c r="K42" s="6" t="str">
        <x:v>jama.2025.11178</x:v>
      </x:c>
      <x:c r="L42" s="6"/>
      <x:c r="M42" s="6" t="str">
        <x:v>S_W</x:v>
      </x:c>
      <x:c r="N42" s="6" t="str">
        <x:v>Target is within one main article or one non-plan results supplement/workbook; no substantive plan comparison. `0.09 &gt; -0.06`; sorting endpoints still gives `[-0.06,0.09]`, which excludes 0.15.</x:v>
      </x:c>
      <x:c r="O42" s="6" t="str">
        <x:v>../../2025/jama.2025.11178/.ai_paper_validation/final_report_1_5_1.html</x:v>
      </x:c>
      <x:c r="P42" s="6" t="str">
        <x:v>2025/jama.2025.11178/.ai_paper_validation/final_report_1_5_1.md</x:v>
      </x:c>
      <x:c r="Q42" s="6" t="str">
        <x:v>C025</x:v>
      </x:c>
      <x:c r="R42" s="6" t="str">
        <x:v>Pending Human Adjudication</x:v>
      </x:c>
      <x:c r="S42" s="6" t="str">
        <x:v>Pending Human Adjudication. The printed values identify a candidate consistency issue: Physical-function 6-month painTRAINER SMD endpoints reversed and exclude estimate.</x:v>
      </x:c>
      <x:c r="T42" s="12" t="b">
        <x:v>1</x:v>
      </x:c>
      <x:c r="U42" s="6" t="str">
        <x:v>Physical-function 6-month painTRAINER SMD endpoints reversed and exclude estimate</x:v>
      </x:c>
      <x:c r="V42" s="6" t="str">
        <x:v>statistical_results</x:v>
      </x:c>
      <x:c r="W42" s="6" t="str">
        <x:v>Physical-function 6-month painTRAINER SMD endpoints reversed and exclude estimate</x:v>
      </x:c>
      <x:c r="X42" s="6" t="str">
        <x:v>2025</x:v>
      </x:c>
      <x:c r="Y42" s="6" t="str">
        <x:v>meta_report/consistency_reclassification_2026-09-04/reclassified_candidates.json</x:v>
      </x:c>
      <x:c r="Z42" s="6" t="str">
        <x:v>S_W</x:v>
      </x:c>
      <x:c r="AA42" s="6" t="str">
        <x:v>statistical_results</x:v>
      </x:c>
      <x:c r="AB42" s="6" t="str">
        <x:v>retain</x:v>
      </x:c>
    </x:row>
    <x:row r="43" ht="90" customHeight="1">
      <x:c r="A43" s="11" t="b">
        <x:v>0</x:v>
      </x:c>
      <x:c r="B43" s="3"/>
      <x:c r="C43" s="11" t="b">
        <x:v>0</x:v>
      </x:c>
      <x:c r="D43" s="3" t="str">
        <x:v>Statistical reporting inconsistency</x:v>
      </x:c>
      <x:c r="E43" s="11" t="b">
        <x:v>0</x:v>
      </x:c>
      <x:c r="F43" s="3" t="str">
        <x:v>C026</x:v>
      </x:c>
      <x:c r="G43" s="3" t="str">
        <x:v>2025::jama.2025.11178::C026</x:v>
      </x:c>
      <x:c r="H43" s="3"/>
      <x:c r="I43" s="3" t="str">
        <x:v>main article — PDF p. 10, Table 3, physical function, 6 months, Health Coach vs usual care plus SMD.</x:v>
      </x:c>
      <x:c r="J43" s="11" t="b">
        <x:v>0</x:v>
      </x:c>
      <x:c r="K43" s="3" t="str">
        <x:v>jama.2025.11178</x:v>
      </x:c>
      <x:c r="L43" s="3"/>
      <x:c r="M43" s="3" t="str">
        <x:v>S_W</x:v>
      </x:c>
      <x:c r="N43" s="3" t="str">
        <x:v>Target is within one main article or one non-plan results supplement/workbook; no substantive plan comparison. `0.03 &gt; -0.18`; endpoints are reversed.</x:v>
      </x:c>
      <x:c r="O43" s="3" t="str">
        <x:v>../../2025/jama.2025.11178/.ai_paper_validation/final_report_1_5_1.html</x:v>
      </x:c>
      <x:c r="P43" s="3" t="str">
        <x:v>2025/jama.2025.11178/.ai_paper_validation/final_report_1_5_1.md</x:v>
      </x:c>
      <x:c r="Q43" s="3" t="str">
        <x:v>C026</x:v>
      </x:c>
      <x:c r="R43" s="3" t="str">
        <x:v>Pending Human Adjudication</x:v>
      </x:c>
      <x:c r="S43" s="3" t="str">
        <x:v>Pending Human Adjudication. The printed values identify a candidate consistency issue: Physical-function 6-month Health Coach SMD endpoints reversed.</x:v>
      </x:c>
      <x:c r="T43" s="11" t="b">
        <x:v>1</x:v>
      </x:c>
      <x:c r="U43" s="3" t="str">
        <x:v>Physical-function 6-month Health Coach SMD endpoints reversed</x:v>
      </x:c>
      <x:c r="V43" s="3" t="str">
        <x:v>statistical_results</x:v>
      </x:c>
      <x:c r="W43" s="3" t="str">
        <x:v>Physical-function 6-month Health Coach SMD endpoints reversed</x:v>
      </x:c>
      <x:c r="X43" s="3" t="str">
        <x:v>2025</x:v>
      </x:c>
      <x:c r="Y43" s="3" t="str">
        <x:v>meta_report/consistency_reclassification_2026-09-04/reclassified_candidates.json</x:v>
      </x:c>
      <x:c r="Z43" s="3" t="str">
        <x:v>S_W</x:v>
      </x:c>
      <x:c r="AA43" s="3" t="str">
        <x:v>statistical_results</x:v>
      </x:c>
      <x:c r="AB43" s="3" t="str">
        <x:v>retain</x:v>
      </x:c>
    </x:row>
    <x:row r="44" ht="90" customHeight="1">
      <x:c r="A44" s="12" t="b">
        <x:v>0</x:v>
      </x:c>
      <x:c r="B44" s="6"/>
      <x:c r="C44" s="12" t="b">
        <x:v>0</x:v>
      </x:c>
      <x:c r="D44" s="6" t="str">
        <x:v>Statistical reporting inconsistency</x:v>
      </x:c>
      <x:c r="E44" s="12" t="b">
        <x:v>0</x:v>
      </x:c>
      <x:c r="F44" s="6" t="str">
        <x:v>C027</x:v>
      </x:c>
      <x:c r="G44" s="6" t="str">
        <x:v>2025::jama.2025.11178::C027</x:v>
      </x:c>
      <x:c r="H44" s="6"/>
      <x:c r="I44" s="6" t="str">
        <x:v>main article — PDF p. 10, Table 3, physical function, 6 months, Health Coach vs painTRAINER SMD.</x:v>
      </x:c>
      <x:c r="J44" s="12" t="b">
        <x:v>0</x:v>
      </x:c>
      <x:c r="K44" s="6" t="str">
        <x:v>jama.2025.11178</x:v>
      </x:c>
      <x:c r="L44" s="6"/>
      <x:c r="M44" s="6" t="str">
        <x:v>S_W</x:v>
      </x:c>
      <x:c r="N44" s="6" t="str">
        <x:v>Target is within one main article or one non-plan results supplement/workbook; no substantive plan comparison. `0.16 &gt; 0.05`; sorted interval `[0.05,0.16]` excludes 0.22.</x:v>
      </x:c>
      <x:c r="O44" s="6" t="str">
        <x:v>../../2025/jama.2025.11178/.ai_paper_validation/final_report_1_5_1.html</x:v>
      </x:c>
      <x:c r="P44" s="6" t="str">
        <x:v>2025/jama.2025.11178/.ai_paper_validation/final_report_1_5_1.md</x:v>
      </x:c>
      <x:c r="Q44" s="6" t="str">
        <x:v>C027</x:v>
      </x:c>
      <x:c r="R44" s="6" t="str">
        <x:v>Pending Human Adjudication</x:v>
      </x:c>
      <x:c r="S44" s="6" t="str">
        <x:v>Pending Human Adjudication. The printed values identify a candidate consistency issue: Physical-function 6-month Health Coach versus painTRAINER SMD endpoints reversed and exclude estimate.</x:v>
      </x:c>
      <x:c r="T44" s="12" t="b">
        <x:v>1</x:v>
      </x:c>
      <x:c r="U44" s="6" t="str">
        <x:v>Physical-function 6-month Health Coach versus painTRAINER SMD endpoints reversed and exclude estimate</x:v>
      </x:c>
      <x:c r="V44" s="6" t="str">
        <x:v>statistical_results</x:v>
      </x:c>
      <x:c r="W44" s="6" t="str">
        <x:v>Physical-function 6-month Health Coach versus painTRAINER SMD endpoints reversed and exclude estimate</x:v>
      </x:c>
      <x:c r="X44" s="6" t="str">
        <x:v>2025</x:v>
      </x:c>
      <x:c r="Y44" s="6" t="str">
        <x:v>meta_report/consistency_reclassification_2026-09-04/reclassified_candidates.json</x:v>
      </x:c>
      <x:c r="Z44" s="6" t="str">
        <x:v>S_W</x:v>
      </x:c>
      <x:c r="AA44" s="6" t="str">
        <x:v>statistical_results</x:v>
      </x:c>
      <x:c r="AB44" s="6" t="str">
        <x:v>retain</x:v>
      </x:c>
    </x:row>
    <x:row r="45" ht="90" customHeight="1">
      <x:c r="A45" s="11" t="b">
        <x:v>0</x:v>
      </x:c>
      <x:c r="B45" s="3"/>
      <x:c r="C45" s="11" t="b">
        <x:v>0</x:v>
      </x:c>
      <x:c r="D45" s="3" t="str">
        <x:v>Statistical reporting inconsistency</x:v>
      </x:c>
      <x:c r="E45" s="11" t="b">
        <x:v>0</x:v>
      </x:c>
      <x:c r="F45" s="3" t="str">
        <x:v>C028</x:v>
      </x:c>
      <x:c r="G45" s="3" t="str">
        <x:v>2025::jama.2025.11178::C028</x:v>
      </x:c>
      <x:c r="H45" s="3"/>
      <x:c r="I45" s="3" t="str">
        <x:v>main article — PDF p. 10, Table 3, physical function, 12 months, painTRAINER vs usual care plus SMD.</x:v>
      </x:c>
      <x:c r="J45" s="11" t="b">
        <x:v>0</x:v>
      </x:c>
      <x:c r="K45" s="3" t="str">
        <x:v>jama.2025.11178</x:v>
      </x:c>
      <x:c r="L45" s="3"/>
      <x:c r="M45" s="3" t="str">
        <x:v>S_W</x:v>
      </x:c>
      <x:c r="N45" s="3" t="str">
        <x:v>Target is within one main article or one non-plan results supplement/workbook; no substantive plan comparison. `0.18 &gt; -0.03`; sorted interval `[-0.03,0.18]` excludes 0.20.</x:v>
      </x:c>
      <x:c r="O45" s="3" t="str">
        <x:v>../../2025/jama.2025.11178/.ai_paper_validation/final_report_1_5_1.html</x:v>
      </x:c>
      <x:c r="P45" s="3" t="str">
        <x:v>2025/jama.2025.11178/.ai_paper_validation/final_report_1_5_1.md</x:v>
      </x:c>
      <x:c r="Q45" s="3" t="str">
        <x:v>C028</x:v>
      </x:c>
      <x:c r="R45" s="3" t="str">
        <x:v>Pending Human Adjudication</x:v>
      </x:c>
      <x:c r="S45" s="3" t="str">
        <x:v>Pending Human Adjudication. The printed values identify a candidate consistency issue: Physical-function 12-month painTRAINER SMD endpoints reversed and exclude estimate.</x:v>
      </x:c>
      <x:c r="T45" s="11" t="b">
        <x:v>1</x:v>
      </x:c>
      <x:c r="U45" s="3" t="str">
        <x:v>Physical-function 12-month painTRAINER SMD endpoints reversed and exclude estimate</x:v>
      </x:c>
      <x:c r="V45" s="3" t="str">
        <x:v>statistical_results</x:v>
      </x:c>
      <x:c r="W45" s="3" t="str">
        <x:v>Physical-function 12-month painTRAINER SMD endpoints reversed and exclude estimate</x:v>
      </x:c>
      <x:c r="X45" s="3" t="str">
        <x:v>2025</x:v>
      </x:c>
      <x:c r="Y45" s="3" t="str">
        <x:v>meta_report/consistency_reclassification_2026-09-04/reclassified_candidates.json</x:v>
      </x:c>
      <x:c r="Z45" s="3" t="str">
        <x:v>S_W</x:v>
      </x:c>
      <x:c r="AA45" s="3" t="str">
        <x:v>statistical_results</x:v>
      </x:c>
      <x:c r="AB45" s="3" t="str">
        <x:v>retain</x:v>
      </x:c>
    </x:row>
    <x:row r="46" ht="90" customHeight="1">
      <x:c r="A46" s="12" t="b">
        <x:v>0</x:v>
      </x:c>
      <x:c r="B46" s="6"/>
      <x:c r="C46" s="12" t="b">
        <x:v>0</x:v>
      </x:c>
      <x:c r="D46" s="6" t="str">
        <x:v>Statistical reporting inconsistency</x:v>
      </x:c>
      <x:c r="E46" s="12" t="b">
        <x:v>0</x:v>
      </x:c>
      <x:c r="F46" s="6" t="str">
        <x:v>C029</x:v>
      </x:c>
      <x:c r="G46" s="6" t="str">
        <x:v>2025::jama.2025.11178::C029</x:v>
      </x:c>
      <x:c r="H46" s="6"/>
      <x:c r="I46" s="6" t="str">
        <x:v>main article — PDF p. 10, Table 3, physical function, 12 months, Health Coach vs usual care plus SMD.</x:v>
      </x:c>
      <x:c r="J46" s="12" t="b">
        <x:v>0</x:v>
      </x:c>
      <x:c r="K46" s="6" t="str">
        <x:v>jama.2025.11178</x:v>
      </x:c>
      <x:c r="L46" s="6"/>
      <x:c r="M46" s="6" t="str">
        <x:v>S_W</x:v>
      </x:c>
      <x:c r="N46" s="6" t="str">
        <x:v>Target is within one main article or one non-plan results supplement/workbook; no substantive plan comparison. `0.04 &gt; -0.16`; sorted interval `[-0.16,0.04]` excludes 0.07.</x:v>
      </x:c>
      <x:c r="O46" s="6" t="str">
        <x:v>../../2025/jama.2025.11178/.ai_paper_validation/final_report_1_5_1.html</x:v>
      </x:c>
      <x:c r="P46" s="6" t="str">
        <x:v>2025/jama.2025.11178/.ai_paper_validation/final_report_1_5_1.md</x:v>
      </x:c>
      <x:c r="Q46" s="6" t="str">
        <x:v>C029</x:v>
      </x:c>
      <x:c r="R46" s="6" t="str">
        <x:v>Pending Human Adjudication</x:v>
      </x:c>
      <x:c r="S46" s="6" t="str">
        <x:v>Pending Human Adjudication. The printed values identify a candidate consistency issue: Physical-function 12-month Health Coach SMD endpoints reversed and exclude estimate.</x:v>
      </x:c>
      <x:c r="T46" s="12" t="b">
        <x:v>1</x:v>
      </x:c>
      <x:c r="U46" s="6" t="str">
        <x:v>Physical-function 12-month Health Coach SMD endpoints reversed and exclude estimate</x:v>
      </x:c>
      <x:c r="V46" s="6" t="str">
        <x:v>statistical_results</x:v>
      </x:c>
      <x:c r="W46" s="6" t="str">
        <x:v>Physical-function 12-month Health Coach SMD endpoints reversed and exclude estimate</x:v>
      </x:c>
      <x:c r="X46" s="6" t="str">
        <x:v>2025</x:v>
      </x:c>
      <x:c r="Y46" s="6" t="str">
        <x:v>meta_report/consistency_reclassification_2026-09-04/reclassified_candidates.json</x:v>
      </x:c>
      <x:c r="Z46" s="6" t="str">
        <x:v>S_W</x:v>
      </x:c>
      <x:c r="AA46" s="6" t="str">
        <x:v>statistical_results</x:v>
      </x:c>
      <x:c r="AB46" s="6" t="str">
        <x:v>retain</x:v>
      </x:c>
    </x:row>
    <x:row r="47" ht="90" customHeight="1">
      <x:c r="A47" s="11" t="b">
        <x:v>0</x:v>
      </x:c>
      <x:c r="B47" s="3"/>
      <x:c r="C47" s="11" t="b">
        <x:v>0</x:v>
      </x:c>
      <x:c r="D47" s="3" t="str">
        <x:v>Statistical reporting inconsistency</x:v>
      </x:c>
      <x:c r="E47" s="11" t="b">
        <x:v>0</x:v>
      </x:c>
      <x:c r="F47" s="3" t="str">
        <x:v>C030</x:v>
      </x:c>
      <x:c r="G47" s="3" t="str">
        <x:v>2025::jama.2025.11178::C030</x:v>
      </x:c>
      <x:c r="H47" s="3"/>
      <x:c r="I47" s="3" t="str">
        <x:v>main article — PDF p. 10, Table 3, physical function, 12 months, Health Coach vs painTRAINER SMD.</x:v>
      </x:c>
      <x:c r="J47" s="11" t="b">
        <x:v>0</x:v>
      </x:c>
      <x:c r="K47" s="3" t="str">
        <x:v>jama.2025.11178</x:v>
      </x:c>
      <x:c r="L47" s="3"/>
      <x:c r="M47" s="3" t="str">
        <x:v>S_W</x:v>
      </x:c>
      <x:c r="N47" s="3" t="str">
        <x:v>Target is within one main article or one non-plan results supplement/workbook; no substantive plan comparison. `0.25 &gt; 0.09`; sorted interval `[0.09,0.25]` excludes 0.27.</x:v>
      </x:c>
      <x:c r="O47" s="3" t="str">
        <x:v>../../2025/jama.2025.11178/.ai_paper_validation/final_report_1_5_1.html</x:v>
      </x:c>
      <x:c r="P47" s="3" t="str">
        <x:v>2025/jama.2025.11178/.ai_paper_validation/final_report_1_5_1.md</x:v>
      </x:c>
      <x:c r="Q47" s="3" t="str">
        <x:v>C030</x:v>
      </x:c>
      <x:c r="R47" s="3" t="str">
        <x:v>Pending Human Adjudication</x:v>
      </x:c>
      <x:c r="S47" s="3" t="str">
        <x:v>Pending Human Adjudication. The printed values identify a candidate consistency issue: Physical-function 12-month Health Coach versus painTRAINER SMD endpoints reversed and exclude estimate.</x:v>
      </x:c>
      <x:c r="T47" s="11" t="b">
        <x:v>1</x:v>
      </x:c>
      <x:c r="U47" s="3" t="str">
        <x:v>Physical-function 12-month Health Coach versus painTRAINER SMD endpoints reversed and exclude estimate</x:v>
      </x:c>
      <x:c r="V47" s="3" t="str">
        <x:v>statistical_results</x:v>
      </x:c>
      <x:c r="W47" s="3" t="str">
        <x:v>Physical-function 12-month Health Coach versus painTRAINER SMD endpoints reversed and exclude estimate</x:v>
      </x:c>
      <x:c r="X47" s="3" t="str">
        <x:v>2025</x:v>
      </x:c>
      <x:c r="Y47" s="3" t="str">
        <x:v>meta_report/consistency_reclassification_2026-09-04/reclassified_candidates.json</x:v>
      </x:c>
      <x:c r="Z47" s="3" t="str">
        <x:v>S_W</x:v>
      </x:c>
      <x:c r="AA47" s="3" t="str">
        <x:v>statistical_results</x:v>
      </x:c>
      <x:c r="AB47" s="3" t="str">
        <x:v>retain</x:v>
      </x:c>
    </x:row>
    <x:row r="48" ht="90" customHeight="1">
      <x:c r="A48" s="12" t="b">
        <x:v>0</x:v>
      </x:c>
      <x:c r="B48" s="6"/>
      <x:c r="C48" s="12" t="b">
        <x:v>0</x:v>
      </x:c>
      <x:c r="D48" s="6" t="str">
        <x:v>Statistical reporting inconsistency</x:v>
      </x:c>
      <x:c r="E48" s="12" t="b">
        <x:v>0</x:v>
      </x:c>
      <x:c r="F48" s="6" t="str">
        <x:v>C031</x:v>
      </x:c>
      <x:c r="G48" s="6" t="str">
        <x:v>2025::jama.2025.11178::C031</x:v>
      </x:c>
      <x:c r="H48" s="6"/>
      <x:c r="I48" s="6" t="str">
        <x:v>main article — PDF p. 11, Table 3, PGIC-pain, 12 months, painTRAINER vs usual care plus SMD.</x:v>
      </x:c>
      <x:c r="J48" s="12" t="b">
        <x:v>0</x:v>
      </x:c>
      <x:c r="K48" s="6" t="str">
        <x:v>jama.2025.11178</x:v>
      </x:c>
      <x:c r="L48" s="6"/>
      <x:c r="M48" s="6" t="str">
        <x:v>S_W</x:v>
      </x:c>
      <x:c r="N48" s="6" t="str">
        <x:v>Target is within one main article or one non-plan results supplement/workbook; no substantive plan comparison. `-0.55 &lt; -0.50`, outside CI.</x:v>
      </x:c>
      <x:c r="O48" s="6" t="str">
        <x:v>../../2025/jama.2025.11178/.ai_paper_validation/final_report_1_5_1.html</x:v>
      </x:c>
      <x:c r="P48" s="6" t="str">
        <x:v>2025/jama.2025.11178/.ai_paper_validation/final_report_1_5_1.md</x:v>
      </x:c>
      <x:c r="Q48" s="6" t="str">
        <x:v>C031</x:v>
      </x:c>
      <x:c r="R48" s="6" t="str">
        <x:v>Pending Human Adjudication</x:v>
      </x:c>
      <x:c r="S48" s="6" t="str">
        <x:v>Pending Human Adjudication. The printed values identify a candidate consistency issue: PGIC-pain 12-month painTRAINER SMD outside printed CI.</x:v>
      </x:c>
      <x:c r="T48" s="12" t="b">
        <x:v>1</x:v>
      </x:c>
      <x:c r="U48" s="6" t="str">
        <x:v>PGIC-pain 12-month painTRAINER SMD outside printed CI</x:v>
      </x:c>
      <x:c r="V48" s="6" t="str">
        <x:v>statistical_results</x:v>
      </x:c>
      <x:c r="W48" s="6" t="str">
        <x:v>PGIC-pain 12-month painTRAINER SMD outside printed CI</x:v>
      </x:c>
      <x:c r="X48" s="6" t="str">
        <x:v>2025</x:v>
      </x:c>
      <x:c r="Y48" s="6" t="str">
        <x:v>meta_report/consistency_reclassification_2026-09-04/reclassified_candidates.json</x:v>
      </x:c>
      <x:c r="Z48" s="6" t="str">
        <x:v>S_W</x:v>
      </x:c>
      <x:c r="AA48" s="6" t="str">
        <x:v>statistical_results</x:v>
      </x:c>
      <x:c r="AB48" s="6" t="str">
        <x:v>retain</x:v>
      </x:c>
    </x:row>
    <x:row r="49" ht="90" customHeight="1">
      <x:c r="A49" s="11" t="b">
        <x:v>0</x:v>
      </x:c>
      <x:c r="B49" s="3"/>
      <x:c r="C49" s="11" t="b">
        <x:v>0</x:v>
      </x:c>
      <x:c r="D49" s="3" t="str">
        <x:v>Statistical reporting inconsistency</x:v>
      </x:c>
      <x:c r="E49" s="11" t="b">
        <x:v>0</x:v>
      </x:c>
      <x:c r="F49" s="3" t="str">
        <x:v>C032</x:v>
      </x:c>
      <x:c r="G49" s="3" t="str">
        <x:v>2025::jama.2025.11178::C032</x:v>
      </x:c>
      <x:c r="H49" s="3"/>
      <x:c r="I49" s="3" t="str">
        <x:v>main article — PDF p. 11, Table 3, PGIC-pain, 12 months, Health Coach vs usual care plus SMD.</x:v>
      </x:c>
      <x:c r="J49" s="11" t="b">
        <x:v>0</x:v>
      </x:c>
      <x:c r="K49" s="3" t="str">
        <x:v>jama.2025.11178</x:v>
      </x:c>
      <x:c r="L49" s="3"/>
      <x:c r="M49" s="3" t="str">
        <x:v>S_W</x:v>
      </x:c>
      <x:c r="N49" s="3" t="str">
        <x:v>Target is within one main article or one non-plan results supplement/workbook; no substantive plan comparison. `-0.57 &lt; -0.54`, outside CI.</x:v>
      </x:c>
      <x:c r="O49" s="3" t="str">
        <x:v>../../2025/jama.2025.11178/.ai_paper_validation/final_report_1_5_1.html</x:v>
      </x:c>
      <x:c r="P49" s="3" t="str">
        <x:v>2025/jama.2025.11178/.ai_paper_validation/final_report_1_5_1.md</x:v>
      </x:c>
      <x:c r="Q49" s="3" t="str">
        <x:v>C032</x:v>
      </x:c>
      <x:c r="R49" s="3" t="str">
        <x:v>Pending Human Adjudication</x:v>
      </x:c>
      <x:c r="S49" s="3" t="str">
        <x:v>Pending Human Adjudication. The printed values identify a candidate consistency issue: PGIC-pain 12-month Health Coach SMD outside printed CI.</x:v>
      </x:c>
      <x:c r="T49" s="11" t="b">
        <x:v>1</x:v>
      </x:c>
      <x:c r="U49" s="3" t="str">
        <x:v>PGIC-pain 12-month Health Coach SMD outside printed CI</x:v>
      </x:c>
      <x:c r="V49" s="3" t="str">
        <x:v>statistical_results</x:v>
      </x:c>
      <x:c r="W49" s="3" t="str">
        <x:v>PGIC-pain 12-month Health Coach SMD outside printed CI</x:v>
      </x:c>
      <x:c r="X49" s="3" t="str">
        <x:v>2025</x:v>
      </x:c>
      <x:c r="Y49" s="3" t="str">
        <x:v>meta_report/consistency_reclassification_2026-09-04/reclassified_candidates.json</x:v>
      </x:c>
      <x:c r="Z49" s="3" t="str">
        <x:v>S_W</x:v>
      </x:c>
      <x:c r="AA49" s="3" t="str">
        <x:v>statistical_results</x:v>
      </x:c>
      <x:c r="AB49" s="3" t="str">
        <x:v>retain</x:v>
      </x:c>
    </x:row>
    <x:row r="50" ht="90" customHeight="1">
      <x:c r="A50" s="12" t="b">
        <x:v>0</x:v>
      </x:c>
      <x:c r="B50" s="6"/>
      <x:c r="C50" s="12" t="b">
        <x:v>0</x:v>
      </x:c>
      <x:c r="D50" s="6" t="str">
        <x:v>Statistical reporting inconsistency</x:v>
      </x:c>
      <x:c r="E50" s="12" t="b">
        <x:v>0</x:v>
      </x:c>
      <x:c r="F50" s="6" t="str">
        <x:v>C033</x:v>
      </x:c>
      <x:c r="G50" s="6" t="str">
        <x:v>2025::jama.2025.11178::C033</x:v>
      </x:c>
      <x:c r="H50" s="6"/>
      <x:c r="I50" s="6" t="str">
        <x:v>main article — PDF p. 11, Table 3, PGIC-pain, 12 months, Health Coach vs painTRAINER SMD.</x:v>
      </x:c>
      <x:c r="J50" s="12" t="b">
        <x:v>0</x:v>
      </x:c>
      <x:c r="K50" s="6" t="str">
        <x:v>jama.2025.11178</x:v>
      </x:c>
      <x:c r="L50" s="6"/>
      <x:c r="M50" s="6" t="str">
        <x:v>S_W</x:v>
      </x:c>
      <x:c r="N50" s="6" t="str">
        <x:v>Target is within one main article or one non-plan results supplement/workbook; no substantive plan comparison. `-0.29 &lt; -0.25`, outside CI.</x:v>
      </x:c>
      <x:c r="O50" s="6" t="str">
        <x:v>../../2025/jama.2025.11178/.ai_paper_validation/final_report_1_5_1.html</x:v>
      </x:c>
      <x:c r="P50" s="6" t="str">
        <x:v>2025/jama.2025.11178/.ai_paper_validation/final_report_1_5_1.md</x:v>
      </x:c>
      <x:c r="Q50" s="6" t="str">
        <x:v>C033</x:v>
      </x:c>
      <x:c r="R50" s="6" t="str">
        <x:v>Pending Human Adjudication</x:v>
      </x:c>
      <x:c r="S50" s="6" t="str">
        <x:v>Pending Human Adjudication. The printed values identify a candidate consistency issue: PGIC-pain 12-month Health Coach versus painTRAINER SMD outside printed CI.</x:v>
      </x:c>
      <x:c r="T50" s="12" t="b">
        <x:v>1</x:v>
      </x:c>
      <x:c r="U50" s="6" t="str">
        <x:v>PGIC-pain 12-month Health Coach versus painTRAINER SMD outside printed CI</x:v>
      </x:c>
      <x:c r="V50" s="6" t="str">
        <x:v>statistical_results</x:v>
      </x:c>
      <x:c r="W50" s="6" t="str">
        <x:v>PGIC-pain 12-month Health Coach versus painTRAINER SMD outside printed CI</x:v>
      </x:c>
      <x:c r="X50" s="6" t="str">
        <x:v>2025</x:v>
      </x:c>
      <x:c r="Y50" s="6" t="str">
        <x:v>meta_report/consistency_reclassification_2026-09-04/reclassified_candidates.json</x:v>
      </x:c>
      <x:c r="Z50" s="6" t="str">
        <x:v>S_W</x:v>
      </x:c>
      <x:c r="AA50" s="6" t="str">
        <x:v>statistical_results</x:v>
      </x:c>
      <x:c r="AB50" s="6" t="str">
        <x:v>retain</x:v>
      </x:c>
    </x:row>
    <x:row r="51" ht="90" customHeight="1">
      <x:c r="A51" s="11" t="b">
        <x:v>0</x:v>
      </x:c>
      <x:c r="B51" s="3" t="str">
        <x:v>Source explicitly distinguishes self-report with EHR fallback from EHR-only sex derivation; equality is conditional.</x:v>
      </x:c>
      <x:c r="C51" s="11" t="b">
        <x:v>0</x:v>
      </x:c>
      <x:c r="D51" s="3" t="str">
        <x:v>Cross-document numeric inconsistency</x:v>
      </x:c>
      <x:c r="E51" s="11" t="b">
        <x:v>1</x:v>
      </x:c>
      <x:c r="F51" s="3" t="str">
        <x:v>C034</x:v>
      </x:c>
      <x:c r="G51" s="3" t="str">
        <x:v>2025::jama.2025.11178::C034</x:v>
      </x:c>
      <x:c r="H51" s="3"/>
      <x:c r="I51" s="3" t="str">
        <x:v>main article — PDF p. 1, Abstract; main article — PDF p. 6, Table 1; workbook, worksheet eTable 3, cells A11:B11.</x:v>
      </x:c>
      <x:c r="J51" s="11" t="b">
        <x:v>1</x:v>
      </x:c>
      <x:c r="K51" s="3" t="str">
        <x:v>jama.2025.11178</x:v>
      </x:c>
      <x:c r="L51" s="3"/>
      <x:c r="M51" s="3" t="str">
        <x:v>S_C</x:v>
      </x:c>
      <x:c r="N51" s="3" t="str">
        <x:v>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x:v>
      </x:c>
      <x:c r="O51" s="3" t="str">
        <x:v>../../2025/jama.2025.11178/.ai_paper_validation/final_report_1_5_1.html</x:v>
      </x:c>
      <x:c r="P51" s="3" t="str">
        <x:v>2025/jama.2025.11178/.ai_paper_validation/final_report_1_5_1.md</x:v>
      </x:c>
      <x:c r="Q51" s="3" t="str">
        <x:v>C034</x:v>
      </x:c>
      <x:c r="R51" s="3" t="str">
        <x:v>Pending Human Adjudication</x:v>
      </x:c>
      <x:c r="S51" s="3" t="str">
        <x:v>Pending Human Adjudication. The printed values identify a candidate consistency issue: Female total differs across sources if the printed derivations are intended to match.</x:v>
      </x:c>
      <x:c r="T51" s="11" t="b">
        <x:v>1</x:v>
      </x:c>
      <x:c r="U51" s="3" t="str">
        <x:v>Female total differs across sources if the printed derivations are intended to match</x:v>
      </x:c>
      <x:c r="V51" s="3" t="str">
        <x:v>report_internal_inconsistency</x:v>
      </x:c>
      <x:c r="W51" s="3" t="str">
        <x:v>Female total differs across sources if the printed derivations are intended to match</x:v>
      </x:c>
      <x:c r="X51" s="3" t="str">
        <x:v>2025</x:v>
      </x:c>
      <x:c r="Y51" s="3" t="str">
        <x:v>meta_report/consistency_reclassification_2026-09-04/reclassified_candidates.json</x:v>
      </x:c>
      <x:c r="Z51" s="3" t="str">
        <x:v>S_C</x:v>
      </x:c>
      <x:c r="AA51" s="3" t="str">
        <x:v>report_internal_inconsistency</x:v>
      </x:c>
      <x:c r="AB51" s="3" t="str">
        <x:v>retain</x:v>
      </x:c>
    </x:row>
    <x:row r="52" ht="90" customHeight="1">
      <x:c r="A52" s="12" t="b">
        <x:v>0</x:v>
      </x:c>
      <x:c r="B52" s="6" t="str">
        <x:v>Main arithmetic and main/workbook repeated percentage both directly targeted. Distinct from C005, which concerns All Observed subgroup workbook cell, not Overall narrative.</x:v>
      </x:c>
      <x:c r="C52" s="12" t="b">
        <x:v>0</x:v>
      </x:c>
      <x:c r="D52" s="6" t="str">
        <x:v>Cross-document numeric inconsistency</x:v>
      </x:c>
      <x:c r="E52" s="12" t="b">
        <x:v>1</x:v>
      </x:c>
      <x:c r="F52" s="6" t="str">
        <x:v>C035</x:v>
      </x:c>
      <x:c r="G52" s="6" t="str">
        <x:v>2025::jama.2025.11178::C035</x:v>
      </x:c>
      <x:c r="H52" s="6"/>
      <x:c r="I52" s="6" t="str">
        <x:v>main article — PDF p. 4, Results; main article — PDF p. 6, Table 1; workbook, worksheet eTable 3, cells A82:B82.</x:v>
      </x:c>
      <x:c r="J52" s="12" t="b">
        <x:v>1</x:v>
      </x:c>
      <x:c r="K52" s="6" t="str">
        <x:v>jama.2025.11178</x:v>
      </x:c>
      <x:c r="L52" s="6"/>
      <x:c r="M52" s="6" t="str">
        <x:v>S_C</x:v>
      </x:c>
      <x:c r="N52" s="6" t="str">
        <x:v>Target explicitly compares current main article and non-plan results supplement/workbook. Same PHQ-8 &gt;=10 baseline definition; `1116/(775+777+777)=1116/2329=47.9176%`, or 47.9% to one decimal, not 47.8%.</x:v>
      </x:c>
      <x:c r="O52" s="6" t="str">
        <x:v>../../2025/jama.2025.11178/.ai_paper_validation/final_report_1_5_1.html</x:v>
      </x:c>
      <x:c r="P52" s="6" t="str">
        <x:v>2025/jama.2025.11178/.ai_paper_validation/final_report_1_5_1.md</x:v>
      </x:c>
      <x:c r="Q52" s="6" t="str">
        <x:v>C035</x:v>
      </x:c>
      <x:c r="R52" s="6" t="str">
        <x:v>Pending Human Adjudication</x:v>
      </x:c>
      <x:c r="S52" s="6" t="str">
        <x:v>Pending Human Adjudication. The printed values identify a candidate consistency issue: Narrative current-depression percentage differs from Table 1/workbook record.</x:v>
      </x:c>
      <x:c r="T52" s="12" t="b">
        <x:v>1</x:v>
      </x:c>
      <x:c r="U52" s="6" t="str">
        <x:v>Narrative current-depression percentage differs from Table 1/workbook record</x:v>
      </x:c>
      <x:c r="V52" s="6" t="str">
        <x:v>report_internal_inconsistency</x:v>
      </x:c>
      <x:c r="W52" s="6" t="str">
        <x:v>Narrative current-depression percentage differs from Table 1/workbook record</x:v>
      </x:c>
      <x:c r="X52" s="6" t="str">
        <x:v>2025</x:v>
      </x:c>
      <x:c r="Y52" s="6" t="str">
        <x:v>meta_report/consistency_reclassification_2026-09-04/reclassified_candidates.json</x:v>
      </x:c>
      <x:c r="Z52" s="6" t="str">
        <x:v>S_C</x:v>
      </x:c>
      <x:c r="AA52" s="6" t="str">
        <x:v>report_internal_inconsistency</x:v>
      </x:c>
      <x:c r="AB52" s="6" t="str">
        <x:v>retain</x:v>
      </x:c>
    </x:row>
    <x:row r="53" ht="90" customHeight="1">
      <x:c r="A53" s="11" t="b">
        <x:v>0</x:v>
      </x:c>
      <x:c r="B53" s="3"/>
      <x:c r="C53" s="11" t="b">
        <x:v>0</x:v>
      </x:c>
      <x:c r="D53" s="3" t="str">
        <x:v>Cross-document numeric inconsistency</x:v>
      </x:c>
      <x:c r="E53" s="11" t="b">
        <x:v>0</x:v>
      </x:c>
      <x:c r="F53" s="3" t="str">
        <x:v>C036</x:v>
      </x:c>
      <x:c r="G53" s="3" t="str">
        <x:v>2025::jama.2025.11178::C036</x:v>
      </x:c>
      <x:c r="H53" s="3"/>
      <x:c r="I53" s="3" t="str">
        <x:v>main article — PDF p. 7, Secondary Outcomes; main article — PDF p. 10, Table 3.</x:v>
      </x:c>
      <x:c r="J53" s="11" t="b">
        <x:v>1</x:v>
      </x:c>
      <x:c r="K53" s="3" t="str">
        <x:v>jama.2025.11178</x:v>
      </x:c>
      <x:c r="L53" s="3"/>
      <x:c r="M53" s="3" t="str">
        <x:v>S_W</x:v>
      </x:c>
      <x:c r="N53" s="3" t="str">
        <x:v>Target is within one main article or one non-plan results supplement/workbook; no substantive plan comparison. Same adjusted outcome/time/contrast/effect measure, explicitly cross-referenced; `-0.26 != -0.25`, displayed difference 0.01.</x:v>
      </x:c>
      <x:c r="O53" s="3" t="str">
        <x:v>../../2025/jama.2025.11178/.ai_paper_validation/final_report_1_5_1.html</x:v>
      </x:c>
      <x:c r="P53" s="3" t="str">
        <x:v>2025/jama.2025.11178/.ai_paper_validation/final_report_1_5_1.md</x:v>
      </x:c>
      <x:c r="Q53" s="3" t="str">
        <x:v>C036</x:v>
      </x:c>
      <x:c r="R53" s="3" t="str">
        <x:v>Pending Human Adjudication</x:v>
      </x:c>
      <x:c r="S53" s="3" t="str">
        <x:v>Pending Human Adjudication. The printed values identify a candidate consistency issue: painTRAINER 3-month pain-severity SMD differs between narrative and Table 3.</x:v>
      </x:c>
      <x:c r="T53" s="11" t="b">
        <x:v>1</x:v>
      </x:c>
      <x:c r="U53" s="3" t="str">
        <x:v>painTRAINER 3-month pain-severity SMD differs between narrative and Table 3</x:v>
      </x:c>
      <x:c r="V53" s="3" t="str">
        <x:v>report_internal_inconsistency</x:v>
      </x:c>
      <x:c r="W53" s="3" t="str">
        <x:v>painTRAINER 3-month pain-severity SMD differs between narrative and Table 3</x:v>
      </x:c>
      <x:c r="X53" s="3" t="str">
        <x:v>2025</x:v>
      </x:c>
      <x:c r="Y53" s="3" t="str">
        <x:v>meta_report/consistency_reclassification_2026-09-04/reclassified_candidates.json</x:v>
      </x:c>
      <x:c r="Z53" s="3" t="str">
        <x:v>S_W</x:v>
      </x:c>
      <x:c r="AA53" s="3" t="str">
        <x:v>report_internal_inconsistency</x:v>
      </x:c>
      <x:c r="AB53" s="3" t="str">
        <x:v>retain</x:v>
      </x:c>
    </x:row>
    <x:row r="54" ht="90" customHeight="1">
      <x:c r="A54" s="12" t="b">
        <x:v>0</x:v>
      </x:c>
      <x:c r="B54" s="6"/>
      <x:c r="C54" s="12" t="b">
        <x:v>0</x:v>
      </x:c>
      <x:c r="D54" s="6" t="str">
        <x:v>Cross-document numeric inconsistency</x:v>
      </x:c>
      <x:c r="E54" s="12" t="b">
        <x:v>0</x:v>
      </x:c>
      <x:c r="F54" s="6" t="str">
        <x:v>C037</x:v>
      </x:c>
      <x:c r="G54" s="6" t="str">
        <x:v>2025::jama.2025.11178::C037</x:v>
      </x:c>
      <x:c r="H54" s="6"/>
      <x:c r="I54" s="6" t="str">
        <x:v>main article — PDF p. 7, Secondary Outcomes; main article — PDF p. 10, Table 3.</x:v>
      </x:c>
      <x:c r="J54" s="12" t="b">
        <x:v>1</x:v>
      </x:c>
      <x:c r="K54" s="6" t="str">
        <x:v>jama.2025.11178</x:v>
      </x:c>
      <x:c r="L54" s="6"/>
      <x:c r="M54" s="6" t="str">
        <x:v>S_W</x:v>
      </x:c>
      <x:c r="N54" s="6" t="str">
        <x:v>Target is within one main article or one non-plan results supplement/workbook; no substantive plan comparison. Same adjusted outcome/time/contrast/effect measure; `-0.36 != -0.34`, displayed difference 0.02.</x:v>
      </x:c>
      <x:c r="O54" s="6" t="str">
        <x:v>../../2025/jama.2025.11178/.ai_paper_validation/final_report_1_5_1.html</x:v>
      </x:c>
      <x:c r="P54" s="6" t="str">
        <x:v>2025/jama.2025.11178/.ai_paper_validation/final_report_1_5_1.md</x:v>
      </x:c>
      <x:c r="Q54" s="6" t="str">
        <x:v>C037</x:v>
      </x:c>
      <x:c r="R54" s="6" t="str">
        <x:v>Pending Human Adjudication</x:v>
      </x:c>
      <x:c r="S54" s="6" t="str">
        <x:v>Pending Human Adjudication. The printed values identify a candidate consistency issue: Health Coach 3-month pain-severity SMD differs between narrative and Table 3.</x:v>
      </x:c>
      <x:c r="T54" s="12" t="b">
        <x:v>1</x:v>
      </x:c>
      <x:c r="U54" s="6" t="str">
        <x:v>Health Coach 3-month pain-severity SMD differs between narrative and Table 3</x:v>
      </x:c>
      <x:c r="V54" s="6" t="str">
        <x:v>report_internal_inconsistency</x:v>
      </x:c>
      <x:c r="W54" s="6" t="str">
        <x:v>Health Coach 3-month pain-severity SMD differs between narrative and Table 3</x:v>
      </x:c>
      <x:c r="X54" s="6" t="str">
        <x:v>2025</x:v>
      </x:c>
      <x:c r="Y54" s="6" t="str">
        <x:v>meta_report/consistency_reclassification_2026-09-04/reclassified_candidates.json</x:v>
      </x:c>
      <x:c r="Z54" s="6" t="str">
        <x:v>S_W</x:v>
      </x:c>
      <x:c r="AA54" s="6" t="str">
        <x:v>report_internal_inconsistency</x:v>
      </x:c>
      <x:c r="AB54" s="6" t="str">
        <x:v>retain</x:v>
      </x:c>
    </x:row>
    <x:row r="55" ht="90" customHeight="1">
      <x:c r="A55" s="11" t="b">
        <x:v>0</x:v>
      </x:c>
      <x:c r="B55" s="3"/>
      <x:c r="C55" s="11" t="b">
        <x:v>0</x:v>
      </x:c>
      <x:c r="D55" s="3" t="str">
        <x:v>Cross-document numeric inconsistency</x:v>
      </x:c>
      <x:c r="E55" s="11" t="b">
        <x:v>1</x:v>
      </x:c>
      <x:c r="F55" s="3" t="str">
        <x:v>C001</x:v>
      </x:c>
      <x:c r="G55" s="3" t="str">
        <x:v>2025::jama.2025.15185::C001</x:v>
      </x:c>
      <x:c r="H55" s="3"/>
      <x:c r="I55" s="3" t="str">
        <x:v>DOC-001, main article — PDF p. 4, Table 1; DOC-004, Supplement 3 — PDF p. 10 and PDF p. 11, eTable 1.</x:v>
      </x:c>
      <x:c r="J55" s="11" t="b">
        <x:v>1</x:v>
      </x:c>
      <x:c r="K55" s="3" t="str">
        <x:v>jama.2025.15185</x:v>
      </x:c>
      <x:c r="L55" s="3"/>
      <x:c r="M55" s="3" t="str">
        <x:v>S_C</x:v>
      </x:c>
      <x:c r="N55" s="3" t="str">
        <x:v>Target explicitly compares current main article and non-plan results supplement/workbook. Main `260/47` versus supplement `263/44` for the same named arm and categories.</x:v>
      </x:c>
      <x:c r="O55" s="3" t="str">
        <x:v>../../2025/jama.2025.15185/.ai_paper_validation/final_report_1_5_1.html</x:v>
      </x:c>
      <x:c r="P55" s="3" t="str">
        <x:v>2025/jama.2025.15185/.ai_paper_validation/final_report_1_5_1.md</x:v>
      </x:c>
      <x:c r="Q55" s="3" t="str">
        <x:v>C001</x:v>
      </x:c>
      <x:c r="R55" s="3" t="str">
        <x:v>Pending Human Adjudication</x:v>
      </x:c>
      <x:c r="S55" s="3" t="str">
        <x:v>The same randomized levodopa arm has different ischemic/hemorrhagic index-stroke counts in two baseline tables. Pending Human Adjudication.</x:v>
      </x:c>
      <x:c r="T55" s="11" t="b">
        <x:v>1</x:v>
      </x:c>
      <x:c r="U55" s="3" t="str">
        <x:v>Baseline index-stroke type counts differ across baseline tables</x:v>
      </x:c>
      <x:c r="V55" s="3" t="str">
        <x:v>report_internal_inconsistency</x:v>
      </x:c>
      <x:c r="W55" s="3" t="str">
        <x:v>Baseline index-stroke type counts differ across baseline tables</x:v>
      </x:c>
      <x:c r="X55" s="3" t="str">
        <x:v>2025</x:v>
      </x:c>
      <x:c r="Y55" s="3" t="str">
        <x:v>meta_report/consistency_reclassification_2026-09-04/reclassified_candidates.json</x:v>
      </x:c>
      <x:c r="Z55" s="3" t="str">
        <x:v>S_C</x:v>
      </x:c>
      <x:c r="AA55" s="3" t="str">
        <x:v>report_internal_inconsistency</x:v>
      </x:c>
      <x:c r="AB55" s="3" t="str">
        <x:v>retain</x:v>
      </x:c>
    </x:row>
    <x:row r="56" ht="90" customHeight="1">
      <x:c r="A56" s="12" t="b">
        <x:v>0</x:v>
      </x:c>
      <x:c r="B56" s="6" t="str">
        <x:v>Internal median/IQR label-form issue and explicit matched main/supp summary comparison.</x:v>
      </x:c>
      <x:c r="C56" s="12" t="b">
        <x:v>0</x:v>
      </x:c>
      <x:c r="D56" s="6" t="str">
        <x:v>Measure, label, or scale inconsistency</x:v>
      </x:c>
      <x:c r="E56" s="12" t="b">
        <x:v>1</x:v>
      </x:c>
      <x:c r="F56" s="6" t="str">
        <x:v>C002</x:v>
      </x:c>
      <x:c r="G56" s="6" t="str">
        <x:v>2025::jama.2025.15185::C002</x:v>
      </x:c>
      <x:c r="H56" s="6"/>
      <x:c r="I56" s="6" t="str">
        <x:v>DOC-001, main article — PDF p. 4, Table 1, and PDF p. 5, Results; DOC-004, Supplement 3 — PDF p. 11, eTable 1.</x:v>
      </x:c>
      <x:c r="J56" s="12" t="b">
        <x:v>0</x:v>
      </x:c>
      <x:c r="K56" s="6" t="str">
        <x:v>jama.2025.15185</x:v>
      </x:c>
      <x:c r="L56" s="6"/>
      <x:c r="M56" s="6" t="str">
        <x:v>S_C</x:v>
      </x:c>
      <x:c r="N56" s="6" t="str">
        <x:v>Target explicitly compares current main article and non-plan results supplement/workbook. A labelled median/IQR row with two-endpoint main summaries versus one decimal and one parenthesized value in the supplement.</x:v>
      </x:c>
      <x:c r="O56" s="6" t="str">
        <x:v>../../2025/jama.2025.15185/.ai_paper_validation/final_report_1_5_1.html</x:v>
      </x:c>
      <x:c r="P56" s="6" t="str">
        <x:v>2025/jama.2025.15185/.ai_paper_validation/final_report_1_5_1.md</x:v>
      </x:c>
      <x:c r="Q56" s="6" t="str">
        <x:v>C002</x:v>
      </x:c>
      <x:c r="R56" s="6" t="str">
        <x:v>Pending Human Adjudication</x:v>
      </x:c>
      <x:c r="S56" s="6" t="str">
        <x:v>eTable 1 labels its NIHSS row as median [IQR] but prints a decimal-plus-one-parenthesized-value form that does not identify the same summary as the main table. Pending Human Adjudication.</x:v>
      </x:c>
      <x:c r="T56" s="12" t="b">
        <x:v>1</x:v>
      </x:c>
      <x:c r="U56" s="6" t="str">
        <x:v>Baseline NIHSS statistic and label do not reconcile across tables</x:v>
      </x:c>
      <x:c r="V56" s="6" t="str">
        <x:v>report_internal_inconsistency</x:v>
      </x:c>
      <x:c r="W56" s="6" t="str">
        <x:v>Baseline NIHSS statistic and label do not reconcile across tables</x:v>
      </x:c>
      <x:c r="X56" s="6" t="str">
        <x:v>2025</x:v>
      </x:c>
      <x:c r="Y56" s="6" t="str">
        <x:v>meta_report/consistency_reclassification_2026-09-04/reclassified_candidates.json</x:v>
      </x:c>
      <x:c r="Z56" s="6" t="str">
        <x:v>S_C</x:v>
      </x:c>
      <x:c r="AA56" s="6" t="str">
        <x:v>report_internal_inconsistency</x:v>
      </x:c>
      <x:c r="AB56" s="6" t="str">
        <x:v>retain</x:v>
      </x:c>
    </x:row>
    <x:row r="57" ht="90" customHeight="1">
      <x:c r="A57" s="11" t="b">
        <x:v>0</x:v>
      </x:c>
      <x:c r="B57" s="3" t="str">
        <x:v>Results-supp unit omitted; day comparison is conditional.</x:v>
      </x:c>
      <x:c r="C57" s="11" t="b">
        <x:v>0</x:v>
      </x:c>
      <x:c r="D57" s="3" t="str">
        <x:v>Cross-document numeric inconsistency</x:v>
      </x:c>
      <x:c r="E57" s="11" t="b">
        <x:v>1</x:v>
      </x:c>
      <x:c r="F57" s="3" t="str">
        <x:v>C003</x:v>
      </x:c>
      <x:c r="G57" s="3" t="str">
        <x:v>2025::jama.2025.15185::C003</x:v>
      </x:c>
      <x:c r="H57" s="3"/>
      <x:c r="I57" s="3" t="str">
        <x:v>DOC-001, main article — PDF p. 4, Table 1; DOC-004, Supplement 3 — PDF p. 11, eTable 1.</x:v>
      </x:c>
      <x:c r="J57" s="11" t="b">
        <x:v>1</x:v>
      </x:c>
      <x:c r="K57" s="3" t="str">
        <x:v>jama.2025.15185</x:v>
      </x:c>
      <x:c r="L57" s="3"/>
      <x:c r="M57" s="3" t="str">
        <x:v>S_C</x:v>
      </x:c>
      <x:c r="N57" s="3" t="str">
        <x:v>Target explicitly compares current main article and non-plan results supplement/workbook. Main arm medians `3.0/3.0` versus supplement `8/7` for the same named variable.</x:v>
      </x:c>
      <x:c r="O57" s="3" t="str">
        <x:v>../../2025/jama.2025.15185/.ai_paper_validation/final_report_1_5_1.html</x:v>
      </x:c>
      <x:c r="P57" s="3" t="str">
        <x:v>2025/jama.2025.15185/.ai_paper_validation/final_report_1_5_1.md</x:v>
      </x:c>
      <x:c r="Q57" s="3" t="str">
        <x:v>C003</x:v>
      </x:c>
      <x:c r="R57" s="3" t="str">
        <x:v>Pending Human Adjudication</x:v>
      </x:c>
      <x:c r="S57" s="3" t="str">
        <x:v>Same-named time-to-randomization summaries differ across tables; the supplement omits the unit needed to make the cross-source comparison unconditional. Pending Human Adjudication.</x:v>
      </x:c>
      <x:c r="T57" s="11" t="b">
        <x:v>1</x:v>
      </x:c>
      <x:c r="U57" s="3" t="str">
        <x:v>Time from stroke onset to randomization differs across baseline tables</x:v>
      </x:c>
      <x:c r="V57" s="3" t="str">
        <x:v>report_internal_inconsistency</x:v>
      </x:c>
      <x:c r="W57" s="3" t="str">
        <x:v>Time from stroke onset to randomization differs across baseline tables</x:v>
      </x:c>
      <x:c r="X57" s="3" t="str">
        <x:v>2025</x:v>
      </x:c>
      <x:c r="Y57" s="3" t="str">
        <x:v>meta_report/consistency_reclassification_2026-09-04/reclassified_candidates.json</x:v>
      </x:c>
      <x:c r="Z57" s="3" t="str">
        <x:v>S_C</x:v>
      </x:c>
      <x:c r="AA57" s="3" t="str">
        <x:v>report_internal_inconsistency</x:v>
      </x:c>
      <x:c r="AB57" s="3" t="str">
        <x:v>retain</x:v>
      </x:c>
    </x:row>
    <x:row r="58" ht="90" customHeight="1">
      <x:c r="A58" s="12" t="b">
        <x:v>0</x:v>
      </x:c>
      <x:c r="B58" s="6"/>
      <x:c r="C58" s="12" t="b">
        <x:v>0</x:v>
      </x:c>
      <x:c r="D58" s="6" t="str">
        <x:v>Statistical reporting inconsistency</x:v>
      </x:c>
      <x:c r="E58" s="12" t="b">
        <x:v>0</x:v>
      </x:c>
      <x:c r="F58" s="6" t="str">
        <x:v>C004</x:v>
      </x:c>
      <x:c r="G58" s="6" t="str">
        <x:v>2025::jama.2025.15185::C004</x:v>
      </x:c>
      <x:c r="H58" s="6"/>
      <x:c r="I58" s="6" t="str">
        <x:v>DOC-004, Supplement 3 — PDF p. 12, eTable 2 narrative; PDF p. 13, Estimand 4 row.</x:v>
      </x:c>
      <x:c r="J58" s="12" t="b">
        <x:v>0</x:v>
      </x:c>
      <x:c r="K58" s="6" t="str">
        <x:v>jama.2025.15185</x:v>
      </x:c>
      <x:c r="L58" s="6"/>
      <x:c r="M58" s="6" t="str">
        <x:v>S_W</x:v>
      </x:c>
      <x:c r="N58" s="6" t="str">
        <x:v>Target is within one main article or one non-plan results supplement/workbook; no substantive plan comparison. Identical point estimate/lower endpoint with upper endpoint `1.25` versus `1.26`.</x:v>
      </x:c>
      <x:c r="O58" s="6" t="str">
        <x:v>../../2025/jama.2025.15185/.ai_paper_validation/final_report_1_5_1.html</x:v>
      </x:c>
      <x:c r="P58" s="6" t="str">
        <x:v>2025/jama.2025.15185/.ai_paper_validation/final_report_1_5_1.md</x:v>
      </x:c>
      <x:c r="Q58" s="6" t="str">
        <x:v>C004</x:v>
      </x:c>
      <x:c r="R58" s="6" t="str">
        <x:v>Pending Human Adjudication</x:v>
      </x:c>
      <x:c r="S58" s="6" t="str">
        <x:v>Two matched Estimand 4 displays in eTable 2 have different upper 95% CI endpoints. Pending Human Adjudication.</x:v>
      </x:c>
      <x:c r="T58" s="12" t="b">
        <x:v>1</x:v>
      </x:c>
      <x:c r="U58" s="6" t="str">
        <x:v>Estimand 4 confidence-interval upper endpoint differs within eTable 2</x:v>
      </x:c>
      <x:c r="V58" s="6" t="str">
        <x:v>statistical_results</x:v>
      </x:c>
      <x:c r="W58" s="6" t="str">
        <x:v>Estimand 4 confidence-interval upper endpoint differs within eTable 2</x:v>
      </x:c>
      <x:c r="X58" s="6" t="str">
        <x:v>2025</x:v>
      </x:c>
      <x:c r="Y58" s="6" t="str">
        <x:v>meta_report/consistency_reclassification_2026-09-04/reclassified_candidates.json</x:v>
      </x:c>
      <x:c r="Z58" s="6" t="str">
        <x:v>S_W</x:v>
      </x:c>
      <x:c r="AA58" s="6" t="str">
        <x:v>statistical_results</x:v>
      </x:c>
      <x:c r="AB58" s="6" t="str">
        <x:v>retain</x:v>
      </x:c>
    </x:row>
    <x:row r="59" ht="90" customHeight="1">
      <x:c r="A59" s="11" t="b">
        <x:v>0</x:v>
      </x:c>
      <x:c r="B59" s="3"/>
      <x:c r="C59" s="11" t="b">
        <x:v>0</x:v>
      </x:c>
      <x:c r="D59" s="3" t="str">
        <x:v>Cross-document numeric inconsistency</x:v>
      </x:c>
      <x:c r="E59" s="11" t="b">
        <x:v>1</x:v>
      </x:c>
      <x:c r="F59" s="3" t="str">
        <x:v>C005</x:v>
      </x:c>
      <x:c r="G59" s="3" t="str">
        <x:v>2025::jama.2025.15185::C005</x:v>
      </x:c>
      <x:c r="H59" s="3"/>
      <x:c r="I59" s="3" t="str">
        <x:v>DOC-001, main article — PDF p. 6, Secondary Outcomes; DOC-004, Supplement 3 — PDF p. 15, eTable 4.</x:v>
      </x:c>
      <x:c r="J59" s="11" t="b">
        <x:v>1</x:v>
      </x:c>
      <x:c r="K59" s="3" t="str">
        <x:v>jama.2025.15185</x:v>
      </x:c>
      <x:c r="L59" s="3"/>
      <x:c r="M59" s="3" t="str">
        <x:v>S_C</x:v>
      </x:c>
      <x:c r="N59" s="3" t="str">
        <x:v>Target explicitly compares current main article and non-plan results supplement/workbook. Main levodopa `66 (14)` versus detailed `64.74 (14.33)`.</x:v>
      </x:c>
      <x:c r="O59" s="3" t="str">
        <x:v>../../2025/jama.2025.15185/.ai_paper_validation/final_report_1_5_1.html</x:v>
      </x:c>
      <x:c r="P59" s="3" t="str">
        <x:v>2025/jama.2025.15185/.ai_paper_validation/final_report_1_5_1.md</x:v>
      </x:c>
      <x:c r="Q59" s="3" t="str">
        <x:v>C005</x:v>
      </x:c>
      <x:c r="R59" s="3" t="str">
        <x:v>Pending Human Adjudication</x:v>
      </x:c>
      <x:c r="S59" s="3" t="str">
        <x:v>The main-text levodopa PROMIS-29 mean does not follow ordinary whole-number rounding of the matched eTable 4 mean. Pending Human Adjudication.</x:v>
      </x:c>
      <x:c r="T59" s="11" t="b">
        <x:v>1</x:v>
      </x:c>
      <x:c r="U59" s="3" t="str">
        <x:v>Levodopa PROMIS-29 descriptive mean differs between main text and eTable 4</x:v>
      </x:c>
      <x:c r="V59" s="3" t="str">
        <x:v>report_internal_inconsistency</x:v>
      </x:c>
      <x:c r="W59" s="3" t="str">
        <x:v>Levodopa PROMIS-29 descriptive mean differs between main text and eTable 4</x:v>
      </x:c>
      <x:c r="X59" s="3" t="str">
        <x:v>2025</x:v>
      </x:c>
      <x:c r="Y59" s="3" t="str">
        <x:v>meta_report/consistency_reclassification_2026-09-04/reclassified_candidates.json</x:v>
      </x:c>
      <x:c r="Z59" s="3" t="str">
        <x:v>S_C</x:v>
      </x:c>
      <x:c r="AA59" s="3" t="str">
        <x:v>report_internal_inconsistency</x:v>
      </x:c>
      <x:c r="AB59" s="3" t="str">
        <x:v>retain</x:v>
      </x:c>
    </x:row>
    <x:row r="60" ht="90" customHeight="1">
      <x:c r="A60" s="12" t="b">
        <x:v>0</x:v>
      </x:c>
      <x:c r="B60" s="6"/>
      <x:c r="C60" s="12" t="b">
        <x:v>0</x:v>
      </x:c>
      <x:c r="D60" s="6" t="str">
        <x:v>Cross-document numeric inconsistency</x:v>
      </x:c>
      <x:c r="E60" s="12" t="b">
        <x:v>1</x:v>
      </x:c>
      <x:c r="F60" s="6" t="str">
        <x:v>C006</x:v>
      </x:c>
      <x:c r="G60" s="6" t="str">
        <x:v>2025::jama.2025.15185::C006</x:v>
      </x:c>
      <x:c r="H60" s="6"/>
      <x:c r="I60" s="6" t="str">
        <x:v>DOC-001, main article — PDF p. 6, Secondary Outcomes; DOC-004, Supplement 3 — PDF p. 15, eTable 4.</x:v>
      </x:c>
      <x:c r="J60" s="12" t="b">
        <x:v>1</x:v>
      </x:c>
      <x:c r="K60" s="6" t="str">
        <x:v>jama.2025.15185</x:v>
      </x:c>
      <x:c r="L60" s="6"/>
      <x:c r="M60" s="6" t="str">
        <x:v>S_C</x:v>
      </x:c>
      <x:c r="N60" s="6" t="str">
        <x:v>Target explicitly compares current main article and non-plan results supplement/workbook. Main `28 (6)`/`28 (6)` versus eTable `29.87 (5.74)`/`30.04 (5.73)`.</x:v>
      </x:c>
      <x:c r="O60" s="6" t="str">
        <x:v>../../2025/jama.2025.15185/.ai_paper_validation/final_report_1_5_1.html</x:v>
      </x:c>
      <x:c r="P60" s="6" t="str">
        <x:v>2025/jama.2025.15185/.ai_paper_validation/final_report_1_5_1.md</x:v>
      </x:c>
      <x:c r="Q60" s="6" t="str">
        <x:v>C006</x:v>
      </x:c>
      <x:c r="R60" s="6" t="str">
        <x:v>Pending Human Adjudication</x:v>
      </x:c>
      <x:c r="S60" s="6" t="str">
        <x:v>Both detailed PROMIS-10 means are near 30, whereas the main text prints 28 for both arms. Pending Human Adjudication.</x:v>
      </x:c>
      <x:c r="T60" s="12" t="b">
        <x:v>1</x:v>
      </x:c>
      <x:c r="U60" s="6" t="str">
        <x:v>PROMIS-10 descriptive means differ between main text and eTable 4</x:v>
      </x:c>
      <x:c r="V60" s="6" t="str">
        <x:v>report_internal_inconsistency</x:v>
      </x:c>
      <x:c r="W60" s="6" t="str">
        <x:v>PROMIS-10 descriptive means differ between main text and eTable 4</x:v>
      </x:c>
      <x:c r="X60" s="6" t="str">
        <x:v>2025</x:v>
      </x:c>
      <x:c r="Y60" s="6" t="str">
        <x:v>meta_report/consistency_reclassification_2026-09-04/reclassified_candidates.json</x:v>
      </x:c>
      <x:c r="Z60" s="6" t="str">
        <x:v>S_C</x:v>
      </x:c>
      <x:c r="AA60" s="6" t="str">
        <x:v>report_internal_inconsistency</x:v>
      </x:c>
      <x:c r="AB60" s="6" t="str">
        <x:v>retain</x:v>
      </x:c>
    </x:row>
    <x:row r="61" ht="90" customHeight="1">
      <x:c r="A61" s="11" t="b">
        <x:v>0</x:v>
      </x:c>
      <x:c r="B61" s="3"/>
      <x:c r="C61" s="11" t="b">
        <x:v>0</x:v>
      </x:c>
      <x:c r="D61" s="3" t="str">
        <x:v>Cross-document numeric inconsistency</x:v>
      </x:c>
      <x:c r="E61" s="11" t="b">
        <x:v>1</x:v>
      </x:c>
      <x:c r="F61" s="3" t="str">
        <x:v>C007</x:v>
      </x:c>
      <x:c r="G61" s="3" t="str">
        <x:v>2025::jama.2025.15185::C007</x:v>
      </x:c>
      <x:c r="H61" s="3"/>
      <x:c r="I61" s="3" t="str">
        <x:v>DOC-001, main article — PDF p. 6, Secondary Outcomes; DOC-004, Supplement 3 — PDF p. 15, eTable 4.</x:v>
      </x:c>
      <x:c r="J61" s="11" t="b">
        <x:v>1</x:v>
      </x:c>
      <x:c r="K61" s="3" t="str">
        <x:v>jama.2025.15185</x:v>
      </x:c>
      <x:c r="L61" s="3"/>
      <x:c r="M61" s="3" t="str">
        <x:v>S_C</x:v>
      </x:c>
      <x:c r="N61" s="3" t="str">
        <x:v>Target explicitly compares current main article and non-plan results supplement/workbook. Placebo SD `26` versus detailed `25.20`.</x:v>
      </x:c>
      <x:c r="O61" s="3" t="str">
        <x:v>../../2025/jama.2025.15185/.ai_paper_validation/final_report_1_5_1.html</x:v>
      </x:c>
      <x:c r="P61" s="3" t="str">
        <x:v>2025/jama.2025.15185/.ai_paper_validation/final_report_1_5_1.md</x:v>
      </x:c>
      <x:c r="Q61" s="3" t="str">
        <x:v>C007</x:v>
      </x:c>
      <x:c r="R61" s="3" t="str">
        <x:v>Pending Human Adjudication</x:v>
      </x:c>
      <x:c r="S61" s="3" t="str">
        <x:v>The main placebo five-week FMA SD does not follow ordinary whole-number rounding of eTable 4. Pending Human Adjudication.</x:v>
      </x:c>
      <x:c r="T61" s="11" t="b">
        <x:v>1</x:v>
      </x:c>
      <x:c r="U61" s="3" t="str">
        <x:v>Placebo five-week FMA standard deviation differs from eTable 4</x:v>
      </x:c>
      <x:c r="V61" s="3" t="str">
        <x:v>report_internal_inconsistency</x:v>
      </x:c>
      <x:c r="W61" s="3" t="str">
        <x:v>Placebo five-week FMA standard deviation differs from eTable 4</x:v>
      </x:c>
      <x:c r="X61" s="3" t="str">
        <x:v>2025</x:v>
      </x:c>
      <x:c r="Y61" s="3" t="str">
        <x:v>meta_report/consistency_reclassification_2026-09-04/reclassified_candidates.json</x:v>
      </x:c>
      <x:c r="Z61" s="3" t="str">
        <x:v>S_C</x:v>
      </x:c>
      <x:c r="AA61" s="3" t="str">
        <x:v>report_internal_inconsistency</x:v>
      </x:c>
      <x:c r="AB61" s="3" t="str">
        <x:v>retain</x:v>
      </x:c>
    </x:row>
    <x:row r="62" ht="90" customHeight="1">
      <x:c r="A62" s="12" t="b">
        <x:v>0</x:v>
      </x:c>
      <x:c r="B62" s="6"/>
      <x:c r="C62" s="12" t="b">
        <x:v>0</x:v>
      </x:c>
      <x:c r="D62" s="6" t="str">
        <x:v>Cross-document numeric inconsistency</x:v>
      </x:c>
      <x:c r="E62" s="12" t="b">
        <x:v>1</x:v>
      </x:c>
      <x:c r="F62" s="6" t="str">
        <x:v>C008</x:v>
      </x:c>
      <x:c r="G62" s="6" t="str">
        <x:v>2025::jama.2025.15185::C008</x:v>
      </x:c>
      <x:c r="H62" s="6"/>
      <x:c r="I62" s="6" t="str">
        <x:v>DOC-001, main article — PDF p. 6, Secondary Outcomes; DOC-004, Supplement 3 — PDF p. 15, eTable 4.</x:v>
      </x:c>
      <x:c r="J62" s="12" t="b">
        <x:v>1</x:v>
      </x:c>
      <x:c r="K62" s="6" t="str">
        <x:v>jama.2025.15185</x:v>
      </x:c>
      <x:c r="L62" s="6"/>
      <x:c r="M62" s="6" t="str">
        <x:v>S_C</x:v>
      </x:c>
      <x:c r="N62" s="6" t="str">
        <x:v>Target explicitly compares current main article and non-plan results supplement/workbook. Same placebo denominator `270` with numerator `52` versus `51`.</x:v>
      </x:c>
      <x:c r="O62" s="6" t="str">
        <x:v>../../2025/jama.2025.15185/.ai_paper_validation/final_report_1_5_1.html</x:v>
      </x:c>
      <x:c r="P62" s="6" t="str">
        <x:v>2025/jama.2025.15185/.ai_paper_validation/final_report_1_5_1.md</x:v>
      </x:c>
      <x:c r="Q62" s="6" t="str">
        <x:v>C008</x:v>
      </x:c>
      <x:c r="R62" s="6" t="str">
        <x:v>Pending Human Adjudication</x:v>
      </x:c>
      <x:c r="S62" s="6" t="str">
        <x:v>The placebo PRAI no-improvement numerator differs by one at the same printed denominator. Pending Human Adjudication.</x:v>
      </x:c>
      <x:c r="T62" s="12" t="b">
        <x:v>1</x:v>
      </x:c>
      <x:c r="U62" s="6" t="str">
        <x:v>Placebo PRAI no-improvement numerator differs between main text and eTable 4</x:v>
      </x:c>
      <x:c r="V62" s="6" t="str">
        <x:v>report_internal_inconsistency</x:v>
      </x:c>
      <x:c r="W62" s="6" t="str">
        <x:v>Placebo PRAI no-improvement numerator differs between main text and eTable 4</x:v>
      </x:c>
      <x:c r="X62" s="6" t="str">
        <x:v>2025</x:v>
      </x:c>
      <x:c r="Y62" s="6" t="str">
        <x:v>meta_report/consistency_reclassification_2026-09-04/reclassified_candidates.json</x:v>
      </x:c>
      <x:c r="Z62" s="6" t="str">
        <x:v>S_C</x:v>
      </x:c>
      <x:c r="AA62" s="6" t="str">
        <x:v>report_internal_inconsistency</x:v>
      </x:c>
      <x:c r="AB62" s="6" t="str">
        <x:v>retain</x:v>
      </x:c>
    </x:row>
    <x:row r="63" ht="90" customHeight="1">
      <x:c r="A63" s="11" t="b">
        <x:v>0</x:v>
      </x:c>
      <x:c r="B63" s="3" t="str">
        <x:v>Internal eTable total versus its own arm/category sums is target; main 146 merely corroborates arithmetic.</x:v>
      </x:c>
      <x:c r="C63" s="11" t="b">
        <x:v>0</x:v>
      </x:c>
      <x:c r="D63" s="3" t="str">
        <x:v>Denominator, proportion, or total inconsistency</x:v>
      </x:c>
      <x:c r="E63" s="11" t="b">
        <x:v>0</x:v>
      </x:c>
      <x:c r="F63" s="3" t="str">
        <x:v>C009</x:v>
      </x:c>
      <x:c r="G63" s="3" t="str">
        <x:v>2025::jama.2025.15185::C009</x:v>
      </x:c>
      <x:c r="H63" s="3"/>
      <x:c r="I63" s="3" t="str">
        <x:v>DOC-001, main article — PDF p. 6, Table 2 and narrative, and PDF p. 7; DOC-004, Supplement 3 — PDF p. 17, eTable 6.</x:v>
      </x:c>
      <x:c r="J63" s="11" t="b">
        <x:v>0</x:v>
      </x:c>
      <x:c r="K63" s="3" t="str">
        <x:v>jama.2025.15185</x:v>
      </x:c>
      <x:c r="L63" s="3"/>
      <x:c r="M63" s="3" t="str">
        <x:v>S_W</x:v>
      </x:c>
      <x:c r="N63" s="3" t="str">
        <x:v>Target is within one main article or one non-plan results supplement/workbook; no substantive plan comparison. Header `145` versus arms and category sums `146`.</x:v>
      </x:c>
      <x:c r="O63" s="3" t="str">
        <x:v>../../2025/jama.2025.15185/.ai_paper_validation/final_report_1_5_1.html</x:v>
      </x:c>
      <x:c r="P63" s="3" t="str">
        <x:v>2025/jama.2025.15185/.ai_paper_validation/final_report_1_5_1.md</x:v>
      </x:c>
      <x:c r="Q63" s="3" t="str">
        <x:v>C009</x:v>
      </x:c>
      <x:c r="R63" s="3" t="str">
        <x:v>Pending Human Adjudication</x:v>
      </x:c>
      <x:c r="S63" s="3" t="str">
        <x:v>eTable 6 prints an overall adverse-event total of 145 although arm and exhaustive category totals are 146. Pending Human Adjudication.</x:v>
      </x:c>
      <x:c r="T63" s="11" t="b">
        <x:v>1</x:v>
      </x:c>
      <x:c r="U63" s="3" t="str">
        <x:v>eTable 6 overall adverse-event total is one below arms and category sums</x:v>
      </x:c>
      <x:c r="V63" s="3" t="str">
        <x:v>statistical_results</x:v>
      </x:c>
      <x:c r="W63" s="3" t="str">
        <x:v>eTable 6 overall adverse-event total is one below arms and category sums</x:v>
      </x:c>
      <x:c r="X63" s="3" t="str">
        <x:v>2025</x:v>
      </x:c>
      <x:c r="Y63" s="3" t="str">
        <x:v>meta_report/consistency_reclassification_2026-09-04/reclassified_candidates.json</x:v>
      </x:c>
      <x:c r="Z63" s="3" t="str">
        <x:v>S_W</x:v>
      </x:c>
      <x:c r="AA63" s="3" t="str">
        <x:v>statistical_results</x:v>
      </x:c>
      <x:c r="AB63" s="3" t="str">
        <x:v>retain</x:v>
      </x:c>
    </x:row>
    <x:row r="64" ht="90" customHeight="1">
      <x:c r="A64" s="12" t="b">
        <x:v>0</x:v>
      </x:c>
      <x:c r="B64" s="6" t="str">
        <x:v>SAP defines FMMA, supporting synonym interpretation. It is a local figure abbreviation switch, not report-versus-SAP discrepancy.</x:v>
      </x:c>
      <x:c r="C64" s="12" t="b">
        <x:v>0</x:v>
      </x:c>
      <x:c r="D64" s="6" t="str">
        <x:v>Measure, label, or scale inconsistency</x:v>
      </x:c>
      <x:c r="E64" s="12" t="b">
        <x:v>0</x:v>
      </x:c>
      <x:c r="F64" s="6" t="str">
        <x:v>C010</x:v>
      </x:c>
      <x:c r="G64" s="6" t="str">
        <x:v>2025::jama.2025.15185::C010</x:v>
      </x:c>
      <x:c r="H64" s="6"/>
      <x:c r="I64" s="6" t="str">
        <x:v>DOC-004, Supplement 3 — PDF p. 23, eFigure 4; DOC-003, Supplement 2 — PDF p. 2, SAP objective; DOC-001, main article — PDF p. 1, PDF p. 3, and PDF p. 6.</x:v>
      </x:c>
      <x:c r="J64" s="12" t="b">
        <x:v>0</x:v>
      </x:c>
      <x:c r="K64" s="6" t="str">
        <x:v>jama.2025.15185</x:v>
      </x:c>
      <x:c r="L64" s="6"/>
      <x:c r="M64" s="6" t="str">
        <x:v>S_W</x:v>
      </x:c>
      <x:c r="N64" s="6" t="str">
        <x:v>Target is within one main article or one non-plan results supplement/workbook; no substantive plan comparison. Within the same figure, `FMA` versus `FMMA` for the stated assessment.</x:v>
      </x:c>
      <x:c r="O64" s="6" t="str">
        <x:v>../../2025/jama.2025.15185/.ai_paper_validation/final_report_1_5_1.html</x:v>
      </x:c>
      <x:c r="P64" s="6" t="str">
        <x:v>2025/jama.2025.15185/.ai_paper_validation/final_report_1_5_1.md</x:v>
      </x:c>
      <x:c r="Q64" s="6" t="str">
        <x:v>C010</x:v>
      </x:c>
      <x:c r="R64" s="6" t="str">
        <x:v>Pending Human Adjudication</x:v>
      </x:c>
      <x:c r="S64" s="6" t="str">
        <x:v>eFigure 4 uses FMA in its title/legend and FMMA on its axis without a local qualification. Pending Human Adjudication.</x:v>
      </x:c>
      <x:c r="T64" s="12" t="b">
        <x:v>1</x:v>
      </x:c>
      <x:c r="U64" s="6" t="str">
        <x:v>eFigure 4 switches locally from FMA to FMMA without qualification</x:v>
      </x:c>
      <x:c r="V64" s="6" t="str">
        <x:v>report_internal_inconsistency</x:v>
      </x:c>
      <x:c r="W64" s="6" t="str">
        <x:v>eFigure 4 switches locally from FMA to FMMA without qualification</x:v>
      </x:c>
      <x:c r="X64" s="6" t="str">
        <x:v>2025</x:v>
      </x:c>
      <x:c r="Y64" s="6" t="str">
        <x:v>meta_report/consistency_reclassification_2026-09-04/reclassified_candidates.json</x:v>
      </x:c>
      <x:c r="Z64" s="6" t="str">
        <x:v>S_W</x:v>
      </x:c>
      <x:c r="AA64" s="6" t="str">
        <x:v>report_internal_inconsistency</x:v>
      </x:c>
      <x:c r="AB64" s="6" t="str">
        <x:v>retain</x:v>
      </x:c>
    </x:row>
    <x:row r="65" ht="90" customHeight="1">
      <x:c r="A65" s="11" t="b">
        <x:v>0</x:v>
      </x:c>
      <x:c r="B65" s="3"/>
      <x:c r="C65" s="11" t="b">
        <x:v>0</x:v>
      </x:c>
      <x:c r="D65" s="3" t="str">
        <x:v>Measure, label, or scale inconsistency</x:v>
      </x:c>
      <x:c r="E65" s="11" t="b">
        <x:v>0</x:v>
      </x:c>
      <x:c r="F65" s="3" t="str">
        <x:v>C011</x:v>
      </x:c>
      <x:c r="G65" s="3" t="str">
        <x:v>2025::jama.2025.15185::C011</x:v>
      </x:c>
      <x:c r="H65" s="3"/>
      <x:c r="I65" s="3" t="str">
        <x:v>DOC-004, Supplement 3 — PDF p. 13, eTable 2 column heading and Estimand 4 row.</x:v>
      </x:c>
      <x:c r="J65" s="11" t="b">
        <x:v>0</x:v>
      </x:c>
      <x:c r="K65" s="3" t="str">
        <x:v>jama.2025.15185</x:v>
      </x:c>
      <x:c r="L65" s="3"/>
      <x:c r="M65" s="3" t="str">
        <x:v>S_W</x:v>
      </x:c>
      <x:c r="N65" s="3" t="str">
        <x:v>Target is within one main article or one non-plan results supplement/workbook; no substantive plan comparison. A dimensionless win ratio row versus an FMA-point mean-difference heading.</x:v>
      </x:c>
      <x:c r="O65" s="3" t="str">
        <x:v>../../2025/jama.2025.15185/.ai_paper_validation/final_report_1_5_1.html</x:v>
      </x:c>
      <x:c r="P65" s="3" t="str">
        <x:v>2025/jama.2025.15185/.ai_paper_validation/final_report_1_5_1.md</x:v>
      </x:c>
      <x:c r="Q65" s="3" t="str">
        <x:v>C011</x:v>
      </x:c>
      <x:c r="R65" s="3" t="str">
        <x:v>Pending Human Adjudication</x:v>
      </x:c>
      <x:c r="S65" s="3" t="str">
        <x:v>Estimand 4's win ratio is displayed under a column headed as an FMA mean difference. Pending Human Adjudication.</x:v>
      </x:c>
      <x:c r="T65" s="11" t="b">
        <x:v>1</x:v>
      </x:c>
      <x:c r="U65" s="3" t="str">
        <x:v>Estimand 4 win ratio appears under an FMA mean-difference column heading</x:v>
      </x:c>
      <x:c r="V65" s="3" t="str">
        <x:v>report_internal_inconsistency</x:v>
      </x:c>
      <x:c r="W65" s="3" t="str">
        <x:v>Estimand 4 win ratio appears under an FMA mean-difference column heading</x:v>
      </x:c>
      <x:c r="X65" s="3" t="str">
        <x:v>2025</x:v>
      </x:c>
      <x:c r="Y65" s="3" t="str">
        <x:v>meta_report/consistency_reclassification_2026-09-04/reclassified_candidates.json</x:v>
      </x:c>
      <x:c r="Z65" s="3" t="str">
        <x:v>S_W</x:v>
      </x:c>
      <x:c r="AA65" s="3" t="str">
        <x:v>report_internal_inconsistency</x:v>
      </x:c>
      <x:c r="AB65" s="3" t="str">
        <x:v>retain</x:v>
      </x:c>
    </x:row>
    <x:row r="66" ht="90" customHeight="1">
      <x:c r="A66" s="12" t="b">
        <x:v>0</x:v>
      </x:c>
      <x:c r="B66" s="6"/>
      <x:c r="C66" s="12" t="b">
        <x:v>0</x:v>
      </x:c>
      <x:c r="D66" s="6" t="str">
        <x:v>Measure, label, or scale inconsistency</x:v>
      </x:c>
      <x:c r="E66" s="12" t="b">
        <x:v>0</x:v>
      </x:c>
      <x:c r="F66" s="6" t="str">
        <x:v>C012</x:v>
      </x:c>
      <x:c r="G66" s="6" t="str">
        <x:v>2025::jama.2025.15185::C012</x:v>
      </x:c>
      <x:c r="H66" s="6"/>
      <x:c r="I66" s="6" t="str">
        <x:v>DOC-004, Supplement 3 — PDF p. 12, eTable 2 narrative; PDF p. 13, Estimand 4 row.</x:v>
      </x:c>
      <x:c r="J66" s="12" t="b">
        <x:v>0</x:v>
      </x:c>
      <x:c r="K66" s="6" t="str">
        <x:v>jama.2025.15185</x:v>
      </x:c>
      <x:c r="L66" s="6"/>
      <x:c r="M66" s="6" t="str">
        <x:v>S_W</x:v>
      </x:c>
      <x:c r="N66" s="6" t="str">
        <x:v>Target is within one main article or one non-plan results supplement/workbook; no substantive plan comparison. `Odds ratio` in prose versus `win ratio` in the matched table row.</x:v>
      </x:c>
      <x:c r="O66" s="6" t="str">
        <x:v>../../2025/jama.2025.15185/.ai_paper_validation/final_report_1_5_1.html</x:v>
      </x:c>
      <x:c r="P66" s="6" t="str">
        <x:v>2025/jama.2025.15185/.ai_paper_validation/final_report_1_5_1.md</x:v>
      </x:c>
      <x:c r="Q66" s="6" t="str">
        <x:v>C012</x:v>
      </x:c>
      <x:c r="R66" s="6" t="str">
        <x:v>Pending Human Adjudication</x:v>
      </x:c>
      <x:c r="S66" s="6" t="str">
        <x:v>Matched Estimand 4 displays label the same 1.06 effect as an odds ratio in prose and a win ratio in the table. Pending Human Adjudication.</x:v>
      </x:c>
      <x:c r="T66" s="12" t="b">
        <x:v>1</x:v>
      </x:c>
      <x:c r="U66" s="6" t="str">
        <x:v>Estimand 4 is called an odds ratio in prose and a win ratio in the table</x:v>
      </x:c>
      <x:c r="V66" s="6" t="str">
        <x:v>report_internal_inconsistency</x:v>
      </x:c>
      <x:c r="W66" s="6" t="str">
        <x:v>Estimand 4 is called an odds ratio in prose and a win ratio in the table</x:v>
      </x:c>
      <x:c r="X66" s="6" t="str">
        <x:v>2025</x:v>
      </x:c>
      <x:c r="Y66" s="6" t="str">
        <x:v>meta_report/consistency_reclassification_2026-09-04/reclassified_candidates.json</x:v>
      </x:c>
      <x:c r="Z66" s="6" t="str">
        <x:v>S_W</x:v>
      </x:c>
      <x:c r="AA66" s="6" t="str">
        <x:v>report_internal_inconsistency</x:v>
      </x:c>
      <x:c r="AB66" s="6" t="str">
        <x:v>retain</x:v>
      </x:c>
    </x:row>
    <x:row r="67" ht="90" customHeight="1">
      <x:c r="A67" s="11" t="b">
        <x:v>0</x:v>
      </x:c>
      <x:c r="B67" s="3"/>
      <x:c r="C67" s="11" t="b">
        <x:v>0</x:v>
      </x:c>
      <x:c r="D67" s="3" t="str">
        <x:v>Cross-document numeric inconsistency</x:v>
      </x:c>
      <x:c r="E67" s="11" t="b">
        <x:v>0</x:v>
      </x:c>
      <x:c r="F67" s="3" t="str">
        <x:v>C001</x:v>
      </x:c>
      <x:c r="G67" s="3" t="str">
        <x:v>2025::jama.2025.15440::C001</x:v>
      </x:c>
      <x:c r="H67" s="3"/>
      <x:c r="I67" s="3" t="str">
        <x:v>DOC-001: jama_wijesurendra_2025_oi_250068_1760999665.28362.pdf — PDF p. 1 (abstract); PDF p. 5 (results narrative); and PDF p. 7 (Figure 4B).</x:v>
      </x:c>
      <x:c r="J67" s="11" t="b">
        <x:v>1</x:v>
      </x:c>
      <x:c r="K67" s="3" t="str">
        <x:v>jama.2025.15440</x:v>
      </x:c>
      <x:c r="L67" s="3"/>
      <x:c r="M67" s="3" t="str">
        <x:v>S_W</x:v>
      </x:c>
      <x:c r="N67" s="3" t="str">
        <x:v>Target is within one main article or one non-plan results supplement/workbook; no substantive plan comparison. Abstract CI 0.76-1.53 versus detailed-results/Figure 4B CI 0.77-1.51 for the same displayed counts, follow-up context, and point estimate.</x:v>
      </x:c>
      <x:c r="O67" s="3" t="str">
        <x:v>../../2025/jama.2025.15440/.ai_paper_validation/final_report_1_5_1.html</x:v>
      </x:c>
      <x:c r="P67" s="3" t="str">
        <x:v>2025/jama.2025.15440/.ai_paper_validation/final_report_1_5_1.md</x:v>
      </x:c>
      <x:c r="Q67" s="3" t="str">
        <x:v>C001</x:v>
      </x:c>
      <x:c r="R67" s="3" t="str">
        <x:v>Pending Human Adjudication</x:v>
      </x:c>
      <x:c r="S67" s="3" t="str">
        <x:v>The abstract and detailed results/Figure 4B report the same any-stroke arm counts and rate-ratio point estimate but different 95% confidence-interval endpoints.</x:v>
      </x:c>
      <x:c r="T67" s="11" t="b">
        <x:v>1</x:v>
      </x:c>
      <x:c r="U67" s="3" t="str">
        <x:v>Conflicting confidence intervals for the matched any-stroke rate ratio</x:v>
      </x:c>
      <x:c r="V67" s="3" t="str">
        <x:v>report_internal_inconsistency</x:v>
      </x:c>
      <x:c r="W67" s="3" t="str">
        <x:v>Conflicting confidence intervals for the matched any-stroke rate ratio</x:v>
      </x:c>
      <x:c r="X67" s="3" t="str">
        <x:v>2025</x:v>
      </x:c>
      <x:c r="Y67" s="3" t="str">
        <x:v>meta_report/consistency_reclassification_2026-09-04/reclassified_candidates.json</x:v>
      </x:c>
      <x:c r="Z67" s="3" t="str">
        <x:v>S_W</x:v>
      </x:c>
      <x:c r="AA67" s="3" t="str">
        <x:v>report_internal_inconsistency</x:v>
      </x:c>
      <x:c r="AB67" s="3" t="str">
        <x:v>retain</x:v>
      </x:c>
    </x:row>
    <x:row r="68" ht="90" customHeight="1">
      <x:c r="A68" s="12" t="b">
        <x:v>0</x:v>
      </x:c>
      <x:c r="B68" s="6"/>
      <x:c r="C68" s="12" t="b">
        <x:v>0</x:v>
      </x:c>
      <x:c r="D68" s="6" t="str">
        <x:v>Numeric or arithmetic inconsistency</x:v>
      </x:c>
      <x:c r="E68" s="12" t="b">
        <x:v>0</x:v>
      </x:c>
      <x:c r="F68" s="6" t="str">
        <x:v>C002</x:v>
      </x:c>
      <x:c r="G68" s="6" t="str">
        <x:v>2025::jama.2025.15440::C002</x:v>
      </x:c>
      <x:c r="H68" s="6"/>
      <x:c r="I68" s="6" t="str">
        <x:v>DOC-001: jama_wijesurendra_2025_oi_250068_1760999665.28362.pdf — PDF p. 7, Figure 4B rows Presumed ischemic stroke, Hemorrhagic stroke, and Any stroke, including its caption/footnote. The matching any-stroke total also appears on PDF p. 5 and PDF p. 1.</x:v>
      </x:c>
      <x:c r="J68" s="12" t="b">
        <x:v>0</x:v>
      </x:c>
      <x:c r="K68" s="6" t="str">
        <x:v>jama.2025.15440</x:v>
      </x:c>
      <x:c r="L68" s="6"/>
      <x:c r="M68" s="6" t="str">
        <x:v>S_W</x:v>
      </x:c>
      <x:c r="N68" s="6" t="str">
        <x:v>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x:v>
      </x:c>
      <x:c r="O68" s="6" t="str">
        <x:v>../../2025/jama.2025.15440/.ai_paper_validation/final_report_1_5_1.html</x:v>
      </x:c>
      <x:c r="P68" s="6" t="str">
        <x:v>2025/jama.2025.15440/.ai_paper_validation/final_report_1_5_1.md</x:v>
      </x:c>
      <x:c r="Q68" s="6" t="str">
        <x:v>C002</x:v>
      </x:c>
      <x:c r="R68" s="6" t="str">
        <x:v>Pending Human Adjudication</x:v>
      </x:c>
      <x:c r="S68" s="6" t="str">
        <x:v>Figure 4B prints patch-group presumed ischemic and hemorrhagic stroke counts whose sum exceeds the patch-group Any stroke count, while the usual-care counts reconcile.</x:v>
      </x:c>
      <x:c r="T68" s="12" t="b">
        <x:v>1</x:v>
      </x:c>
      <x:c r="U68" s="6" t="str">
        <x:v>Stroke subtype counts do not partition the displayed any-stroke count in the patch group</x:v>
      </x:c>
      <x:c r="V68" s="6" t="str">
        <x:v>statistical_results</x:v>
      </x:c>
      <x:c r="W68" s="6" t="str">
        <x:v>Stroke subtype counts do not partition the displayed any-stroke count in the patch group</x:v>
      </x:c>
      <x:c r="X68" s="6" t="str">
        <x:v>2025</x:v>
      </x:c>
      <x:c r="Y68" s="6" t="str">
        <x:v>meta_report/consistency_reclassification_2026-09-04/reclassified_candidates.json</x:v>
      </x:c>
      <x:c r="Z68" s="6" t="str">
        <x:v>S_W</x:v>
      </x:c>
      <x:c r="AA68" s="6" t="str">
        <x:v>statistical_results</x:v>
      </x:c>
      <x:c r="AB68" s="6" t="str">
        <x:v>retain</x:v>
      </x:c>
    </x:row>
    <x:row r="69" ht="90" customHeight="1">
      <x:c r="A69" s="11" t="b">
        <x:v>0</x:v>
      </x:c>
      <x:c r="B69" s="3"/>
      <x:c r="C69" s="11" t="b">
        <x:v>0</x:v>
      </x:c>
      <x:c r="D69" s="3" t="str">
        <x:v>Measure, label, or scale inconsistency</x:v>
      </x:c>
      <x:c r="E69" s="11" t="b">
        <x:v>0</x:v>
      </x:c>
      <x:c r="F69" s="3" t="str">
        <x:v>C001</x:v>
      </x:c>
      <x:c r="G69" s="3" t="str">
        <x:v>2025::jama.2025.16450::C001</x:v>
      </x:c>
      <x:c r="H69" s="3"/>
      <x:c r="I69" s="3" t="str">
        <x:v>DOC-005 results supplement — PDF p. 7 (eTable 4 header and PDA row); results supplement — PDF p. 8 (abbreviations and binary-outcome model text).</x:v>
      </x:c>
      <x:c r="J69" s="11" t="b">
        <x:v>0</x:v>
      </x:c>
      <x:c r="K69" s="3" t="str">
        <x:v>jama.2025.16450</x:v>
      </x:c>
      <x:c r="L69" s="3"/>
      <x:c r="M69" s="3" t="str">
        <x:v>S_W</x:v>
      </x:c>
      <x:c r="N69" s="3" t="str">
        <x:v>Target is within one main article or one non-plan results supplement/workbook; no substantive plan comparison. The abbreviation says risk difference; the table header, model description, and estimates say or use relative risk.</x:v>
      </x:c>
      <x:c r="O69" s="3" t="str">
        <x:v>../../2025/jama.2025.16450/.ai_paper_validation/final_report_1_5_1.html</x:v>
      </x:c>
      <x:c r="P69" s="3" t="str">
        <x:v>2025/jama.2025.16450/.ai_paper_validation/final_report_1_5_1.md</x:v>
      </x:c>
      <x:c r="Q69" s="3" t="str">
        <x:v>C001</x:v>
      </x:c>
      <x:c r="R69" s="3" t="str">
        <x:v>Pending Human Adjudication</x:v>
      </x:c>
      <x:c r="S69" s="3" t="str">
        <x:v>eTable 4 uses RR for ratio-scale relative-risk estimates but its abbreviation line expands RR as risk difference.</x:v>
      </x:c>
      <x:c r="T69" s="11" t="b">
        <x:v>1</x:v>
      </x:c>
      <x:c r="U69" s="3" t="str">
        <x:v>eTable 4 expands RR as risk difference although the table reports relative risk</x:v>
      </x:c>
      <x:c r="V69" s="3" t="str">
        <x:v>report_internal_inconsistency</x:v>
      </x:c>
      <x:c r="W69" s="3" t="str">
        <x:v>eTable 4 expands RR as risk difference although the table reports relative risk</x:v>
      </x:c>
      <x:c r="X69" s="3" t="str">
        <x:v>2025</x:v>
      </x:c>
      <x:c r="Y69" s="3" t="str">
        <x:v>meta_report/consistency_reclassification_2026-09-04/reclassified_candidates.json</x:v>
      </x:c>
      <x:c r="Z69" s="3" t="str">
        <x:v>S_W</x:v>
      </x:c>
      <x:c r="AA69" s="3" t="str">
        <x:v>report_internal_inconsistency</x:v>
      </x:c>
      <x:c r="AB69" s="3" t="str">
        <x:v>retain</x:v>
      </x:c>
    </x:row>
    <x:row r="70" ht="90" customHeight="1">
      <x:c r="A70" s="12" t="b">
        <x:v>0</x:v>
      </x:c>
      <x:c r="B70" s="6" t="str">
        <x:v>Final direct-source recheck explicitly does not reproduce registered mismatch; relationship denotes original registration only. </x:v>
      </x:c>
      <x:c r="C70" s="12" t="b">
        <x:v>1</x:v>
      </x:c>
      <x:c r="D70" s="6" t="str">
        <x:v>Analysis-unit or population inconsistency</x:v>
      </x:c>
      <x:c r="E70" s="12" t="b">
        <x:v>1</x:v>
      </x:c>
      <x:c r="F70" s="6" t="str">
        <x:v>C002</x:v>
      </x:c>
      <x:c r="G70" s="6" t="str">
        <x:v>2025::jama.2025.16450::C002</x:v>
      </x:c>
      <x:c r="H70" s="6"/>
      <x:c r="I70" s="6" t="str">
        <x:v>DOC-002 protocol — PDF p. 4; DOC-003 manual — PDF p. 7; DOC-004 SAP — PDF p. 8 and SAP — PDF p. 15; DOC-001 main article — PDF p. 2.</x:v>
      </x:c>
      <x:c r="J70" s="12" t="b">
        <x:v>0</x:v>
      </x:c>
      <x:c r="K70" s="6" t="str">
        <x:v>jama.2025.16450</x:v>
      </x:c>
      <x:c r="L70" s="6" t="str">
        <x:v>population_recruitment_sites</x:v>
      </x:c>
      <x:c r="M70" s="6" t="str">
        <x:v>P_R</x:v>
      </x:c>
      <x:c r="N70" s="6" t="str">
        <x:v>Target compares reported current-study content with supplied protocol/SAP specification. Earlier ledger transcription `27 6/7` versus direct-page `28 6/7` in DOC-002 and every comparator.</x:v>
      </x:c>
      <x:c r="O70" s="6" t="str">
        <x:v>../../2025/jama.2025.16450/.ai_paper_validation/final_report_1_5_1.html</x:v>
      </x:c>
      <x:c r="P70" s="6" t="str">
        <x:v>2025/jama.2025.16450/.ai_paper_validation/final_report_1_5_1.md</x:v>
      </x:c>
      <x:c r="Q70" s="6" t="str">
        <x:v>C002</x:v>
      </x:c>
      <x:c r="R70" s="6" t="str">
        <x:v>Pending Human Adjudication</x:v>
      </x:c>
      <x:c r="S70" s="6" t="str">
        <x:v>The prior ledger recorded 27 6/7 weeks for DOC-002, but direct-source recheck shows 28 6/7; the original cross-document mismatch is not reproduced.</x:v>
      </x:c>
      <x:c r="T70" s="12" t="b">
        <x:v>0</x:v>
      </x:c>
      <x:c r="U70" s="6" t="str">
        <x:v>Registered eligibility-bound discrepancy is not reproduced on direct-source recheck</x:v>
      </x:c>
      <x:c r="V70" s="6" t="str">
        <x:v>protocol_report</x:v>
      </x:c>
      <x:c r="W70" s="6" t="str">
        <x:v>Registered eligibility-bound discrepancy is not reproduced on direct-source recheck</x:v>
      </x:c>
      <x:c r="X70" s="6" t="str">
        <x:v>2025</x:v>
      </x:c>
      <x:c r="Y70" s="6" t="str">
        <x:v>meta_report/consistency_reclassification_2026-09-04/reclassified_candidates.json</x:v>
      </x:c>
      <x:c r="Z70" s="6" t="str">
        <x:v>P_R</x:v>
      </x:c>
      <x:c r="AA70" s="6" t="str">
        <x:v>protocol_report</x:v>
      </x:c>
      <x:c r="AB70" s="6" t="str">
        <x:v>exclude</x:v>
      </x:c>
    </x:row>
    <x:row r="71" ht="90" customHeight="1">
      <x:c r="A71" s="11" t="b">
        <x:v>0</x:v>
      </x:c>
      <x:c r="B71" s="3" t="str">
        <x:v>Final direct-source recheck explicitly does not reproduce registered mismatch; relationship denotes original registration only. </x:v>
      </x:c>
      <x:c r="C71" s="11" t="b">
        <x:v>1</x:v>
      </x:c>
      <x:c r="D71" s="3" t="str">
        <x:v>Cross-document numeric inconsistency</x:v>
      </x:c>
      <x:c r="E71" s="11" t="b">
        <x:v>1</x:v>
      </x:c>
      <x:c r="F71" s="3" t="str">
        <x:v>C003</x:v>
      </x:c>
      <x:c r="G71" s="3" t="str">
        <x:v>2025::jama.2025.16450::C003</x:v>
      </x:c>
      <x:c r="H71" s="3"/>
      <x:c r="I71" s="3" t="str">
        <x:v>DOC-002 protocol — PDF p. 4; DOC-003 manual — PDF p. 7 and manual — PDF p. 12; DOC-004 SAP — PDF p. 8; DOC-001 main article — PDF p. 2; DOC-005 results supplement — PDF p. 4.</x:v>
      </x:c>
      <x:c r="J71" s="11" t="b">
        <x:v>1</x:v>
      </x:c>
      <x:c r="K71" s="3" t="str">
        <x:v>jama.2025.16450</x:v>
      </x:c>
      <x:c r="L71" s="3" t="str">
        <x:v>intervention_delivery</x:v>
      </x:c>
      <x:c r="M71" s="3" t="str">
        <x:v>P_R</x:v>
      </x:c>
      <x:c r="N71" s="3" t="str">
        <x:v>Target compares reported current-study content with supplied protocol/SAP specification. Earlier first-dose transcription `1.25 mL/kg` versus direct-source first-dose `2.5 mL/kg`.</x:v>
      </x:c>
      <x:c r="O71" s="3" t="str">
        <x:v>../../2025/jama.2025.16450/.ai_paper_validation/final_report_1_5_1.html</x:v>
      </x:c>
      <x:c r="P71" s="3" t="str">
        <x:v>2025/jama.2025.16450/.ai_paper_validation/final_report_1_5_1.md</x:v>
      </x:c>
      <x:c r="Q71" s="3" t="str">
        <x:v>C003</x:v>
      </x:c>
      <x:c r="R71" s="3" t="str">
        <x:v>Pending Human Adjudication</x:v>
      </x:c>
      <x:c r="S71" s="3" t="str">
        <x:v>The prior ledger assigned 1.25 mL/kg to the first dose in DOC-002, but direct-source recheck shows 2.5 mL/kg; the original mismatch is not reproduced.</x:v>
      </x:c>
      <x:c r="T71" s="11" t="b">
        <x:v>0</x:v>
      </x:c>
      <x:c r="U71" s="3" t="str">
        <x:v>Registered first-dose discrepancy is not reproduced on direct-source recheck</x:v>
      </x:c>
      <x:c r="V71" s="3" t="str">
        <x:v>protocol_report</x:v>
      </x:c>
      <x:c r="W71" s="3" t="str">
        <x:v>Registered first-dose discrepancy is not reproduced on direct-source recheck</x:v>
      </x:c>
      <x:c r="X71" s="3" t="str">
        <x:v>2025</x:v>
      </x:c>
      <x:c r="Y71" s="3" t="str">
        <x:v>meta_report/consistency_reclassification_2026-09-04/reclassified_candidates.json</x:v>
      </x:c>
      <x:c r="Z71" s="3" t="str">
        <x:v>P_R</x:v>
      </x:c>
      <x:c r="AA71" s="3" t="str">
        <x:v>protocol_report</x:v>
      </x:c>
      <x:c r="AB71" s="3" t="str">
        <x:v>exclude</x:v>
      </x:c>
    </x:row>
    <x:row r="72" ht="90" customHeight="1">
      <x:c r="A72" s="12" t="b">
        <x:v>0</x:v>
      </x:c>
      <x:c r="B72" s="6" t="str">
        <x:v>Manual of procedures is a distinct prospective operational document, not final results or protocol/SAP. Versioned definition change possible.</x:v>
      </x:c>
      <x:c r="C72" s="12" t="b">
        <x:v>1</x:v>
      </x:c>
      <x:c r="D72" s="6" t="str">
        <x:v>Measure, label, or scale inconsistency</x:v>
      </x:c>
      <x:c r="E72" s="12" t="b">
        <x:v>0</x:v>
      </x:c>
      <x:c r="F72" s="6" t="str">
        <x:v>C004</x:v>
      </x:c>
      <x:c r="G72" s="6" t="str">
        <x:v>2025::jama.2025.16450::C004</x:v>
      </x:c>
      <x:c r="H72" s="6" t="str">
        <x:v>P_O</x:v>
      </x:c>
      <x:c r="I72" s="6" t="str">
        <x:v>DOC-003 manual — PDF p. 14 and manual — PDF p. 16; DOC-004 SAP — PDF p. 10 and SAP — PDF p. 33.</x:v>
      </x:c>
      <x:c r="J72" s="12" t="b">
        <x:v>0</x:v>
      </x:c>
      <x:c r="K72" s="6" t="str">
        <x:v>jama.2025.16450</x:v>
      </x:c>
      <x:c r="L72" s="6"/>
      <x:c r="M72" s="6" t="str">
        <x:v>P_P</x:v>
      </x:c>
      <x:c r="N72" s="6" t="str">
        <x:v>Target compares protocol/SAP against a separate prospective operational manual, not a published-results report. Manual threshold `{3,4,5}` versus SAP threshold `{4,5}`.</x:v>
      </x:c>
      <x:c r="O72" s="6" t="str">
        <x:v>../../2025/jama.2025.16450/.ai_paper_validation/final_report_1_5_1.html</x:v>
      </x:c>
      <x:c r="P72" s="6" t="str">
        <x:v>2025/jama.2025.16450/.ai_paper_validation/final_report_1_5_1.md</x:v>
      </x:c>
      <x:c r="Q72" s="6" t="str">
        <x:v>C004</x:v>
      </x:c>
      <x:c r="R72" s="6" t="str">
        <x:v>Pending Human Adjudication</x:v>
      </x:c>
      <x:c r="S72" s="6" t="str">
        <x:v>The manual defines severe NDI using GMFCS levels 3-5, whereas the SAP uses 4-5.</x:v>
      </x:c>
      <x:c r="T72" s="12" t="b">
        <x:v>0</x:v>
      </x:c>
      <x:c r="U72" s="6" t="str">
        <x:v>Severe-NDI GMFCS cutoff differs between the manual and SAP</x:v>
      </x:c>
      <x:c r="V72" s="6" t="str">
        <x:v>plan_material</x:v>
      </x:c>
      <x:c r="W72" s="6" t="str">
        <x:v>Severe-NDI GMFCS cutoff differs between the manual and SAP</x:v>
      </x:c>
      <x:c r="X72" s="6" t="str">
        <x:v>2025</x:v>
      </x:c>
      <x:c r="Y72" s="6" t="str">
        <x:v>meta_report/consistency_reclassification_2026-09-04/reclassified_candidates.json</x:v>
      </x:c>
      <x:c r="Z72" s="6" t="str">
        <x:v>P_P</x:v>
      </x:c>
      <x:c r="AA72" s="6" t="str">
        <x:v>plan_material</x:v>
      </x:c>
      <x:c r="AB72" s="6" t="str">
        <x:v>retain</x:v>
      </x:c>
    </x:row>
    <x:row r="73" ht="90" customHeight="1">
      <x:c r="A73" s="11" t="b">
        <x:v>0</x:v>
      </x:c>
      <x:c r="B73" s="3" t="str">
        <x:v>Final direct-source recheck explicitly does not reproduce registered mismatch; relationship denotes original registration only. </x:v>
      </x:c>
      <x:c r="C73" s="11" t="b">
        <x:v>1</x:v>
      </x:c>
      <x:c r="D73" s="3" t="str">
        <x:v>Measure, label, or scale inconsistency</x:v>
      </x:c>
      <x:c r="E73" s="11" t="b">
        <x:v>0</x:v>
      </x:c>
      <x:c r="F73" s="3" t="str">
        <x:v>C005</x:v>
      </x:c>
      <x:c r="G73" s="3" t="str">
        <x:v>2025::jama.2025.16450::C005</x:v>
      </x:c>
      <x:c r="H73" s="3" t="str">
        <x:v>P_O</x:v>
      </x:c>
      <x:c r="I73" s="3" t="str">
        <x:v>DOC-003 manual — PDF p. 14 and manual — PDF p. 16; DOC-004 SAP — PDF p. 10, SAP — PDF p. 33, and SAP — PDF p. 34.</x:v>
      </x:c>
      <x:c r="J73" s="11" t="b">
        <x:v>0</x:v>
      </x:c>
      <x:c r="K73" s="3" t="str">
        <x:v>jama.2025.16450</x:v>
      </x:c>
      <x:c r="L73" s="3"/>
      <x:c r="M73" s="3" t="str">
        <x:v>P_P</x:v>
      </x:c>
      <x:c r="N73" s="3" t="str">
        <x:v>Target compares protocol/SAP against a separate prospective operational manual, not a published-results report. Earlier ledger Bayley-III transcription versus direct-source fourth-edition/BSID-IV wording.</x:v>
      </x:c>
      <x:c r="O73" s="3" t="str">
        <x:v>../../2025/jama.2025.16450/.ai_paper_validation/final_report_1_5_1.html</x:v>
      </x:c>
      <x:c r="P73" s="3" t="str">
        <x:v>2025/jama.2025.16450/.ai_paper_validation/final_report_1_5_1.md</x:v>
      </x:c>
      <x:c r="Q73" s="3" t="str">
        <x:v>C005</x:v>
      </x:c>
      <x:c r="R73" s="3" t="str">
        <x:v>Pending Human Adjudication</x:v>
      </x:c>
      <x:c r="S73" s="3" t="str">
        <x:v>The prior ledger reported Bayley-III versus BSID-IV, but direct-source recheck shows BSID-IV/fourth edition throughout; the original mismatch is not reproduced.</x:v>
      </x:c>
      <x:c r="T73" s="11" t="b">
        <x:v>0</x:v>
      </x:c>
      <x:c r="U73" s="3" t="str">
        <x:v>Registered severe-NDI instrument-edition discrepancy is not reproduced on direct-source recheck</x:v>
      </x:c>
      <x:c r="V73" s="3" t="str">
        <x:v>plan_material</x:v>
      </x:c>
      <x:c r="W73" s="3" t="str">
        <x:v>Registered severe-NDI instrument-edition discrepancy is not reproduced on direct-source recheck</x:v>
      </x:c>
      <x:c r="X73" s="3" t="str">
        <x:v>2025</x:v>
      </x:c>
      <x:c r="Y73" s="3" t="str">
        <x:v>meta_report/consistency_reclassification_2026-09-04/reclassified_candidates.json</x:v>
      </x:c>
      <x:c r="Z73" s="3" t="str">
        <x:v>P_P</x:v>
      </x:c>
      <x:c r="AA73" s="3" t="str">
        <x:v>plan_material</x:v>
      </x:c>
      <x:c r="AB73" s="3" t="str">
        <x:v>exclude</x:v>
      </x:c>
    </x:row>
    <x:row r="74" ht="90" customHeight="1">
      <x:c r="A74" s="12" t="b">
        <x:v>0</x:v>
      </x:c>
      <x:c r="B74" s="6" t="str">
        <x:v>Final direct-source recheck explicitly does not reproduce registered mismatch; relationship denotes original registration only. </x:v>
      </x:c>
      <x:c r="C74" s="12" t="b">
        <x:v>1</x:v>
      </x:c>
      <x:c r="D74" s="6" t="str">
        <x:v>Statistical reporting inconsistency</x:v>
      </x:c>
      <x:c r="E74" s="12" t="b">
        <x:v>0</x:v>
      </x:c>
      <x:c r="F74" s="6" t="str">
        <x:v>C006</x:v>
      </x:c>
      <x:c r="G74" s="6" t="str">
        <x:v>2025::jama.2025.16450::C006</x:v>
      </x:c>
      <x:c r="H74" s="6"/>
      <x:c r="I74" s="6" t="str">
        <x:v>DOC-002 protocol — PDF p. 29; DOC-004 SAP — PDF p. 26.</x:v>
      </x:c>
      <x:c r="J74" s="12" t="b">
        <x:v>0</x:v>
      </x:c>
      <x:c r="K74" s="6" t="str">
        <x:v>jama.2025.16450</x:v>
      </x:c>
      <x:c r="L74" s="6"/>
      <x:c r="M74" s="6" t="str">
        <x:v>P_P</x:v>
      </x:c>
      <x:c r="N74" s="6" t="str">
        <x:v>Target is internal to protocol/SAP definitions, calculations, or plan versions; final results are not the conflicting comparator. Earlier protocol transcription `0.00015` versus direct protocol and SAP `0.000015`.</x:v>
      </x:c>
      <x:c r="O74" s="6" t="str">
        <x:v>../../2025/jama.2025.16450/.ai_paper_validation/final_report_1_5_1.html</x:v>
      </x:c>
      <x:c r="P74" s="6" t="str">
        <x:v>2025/jama.2025.16450/.ai_paper_validation/final_report_1_5_1.md</x:v>
      </x:c>
      <x:c r="Q74" s="6" t="str">
        <x:v>C006</x:v>
      </x:c>
      <x:c r="R74" s="6" t="str">
        <x:v>Pending Human Adjudication</x:v>
      </x:c>
      <x:c r="S74" s="6" t="str">
        <x:v>The prior ledger recorded protocol alpha 0.00015, but both direct pages print 0.000015; the original tenfold mismatch is not reproduced.</x:v>
      </x:c>
      <x:c r="T74" s="12" t="b">
        <x:v>0</x:v>
      </x:c>
      <x:c r="U74" s="6" t="str">
        <x:v>Registered first-interim-alpha discrepancy is not reproduced on direct-source recheck</x:v>
      </x:c>
      <x:c r="V74" s="6" t="str">
        <x:v>plan_material</x:v>
      </x:c>
      <x:c r="W74" s="6" t="str">
        <x:v>Registered first-interim-alpha discrepancy is not reproduced on direct-source recheck</x:v>
      </x:c>
      <x:c r="X74" s="6" t="str">
        <x:v>2025</x:v>
      </x:c>
      <x:c r="Y74" s="6" t="str">
        <x:v>meta_report/consistency_reclassification_2026-09-04/reclassified_candidates.json</x:v>
      </x:c>
      <x:c r="Z74" s="6" t="str">
        <x:v>P_P</x:v>
      </x:c>
      <x:c r="AA74" s="6" t="str">
        <x:v>plan_material</x:v>
      </x:c>
      <x:c r="AB74" s="6" t="str">
        <x:v>exclude</x:v>
      </x:c>
    </x:row>
    <x:row r="75" ht="90" customHeight="1">
      <x:c r="A75" s="11" t="b">
        <x:v>0</x:v>
      </x:c>
      <x:c r="B75" s="3" t="str">
        <x:v>Planned versus realized alpha-spending boundaries need not be equal; missing execution output.</x:v>
      </x:c>
      <x:c r="C75" s="11" t="b">
        <x:v>1</x:v>
      </x:c>
      <x:c r="D75" s="3" t="str">
        <x:v>Cross-document numeric inconsistency</x:v>
      </x:c>
      <x:c r="E75" s="11" t="b">
        <x:v>1</x:v>
      </x:c>
      <x:c r="F75" s="3" t="str">
        <x:v>C007</x:v>
      </x:c>
      <x:c r="G75" s="3" t="str">
        <x:v>2025::jama.2025.16450::C007</x:v>
      </x:c>
      <x:c r="H75" s="3"/>
      <x:c r="I75" s="3" t="str">
        <x:v>DOC-001 main article — PDF p. 3 and main article — PDF p. 7; DOC-002 protocol — PDF p. 29; DOC-004 SAP — PDF p. 26.</x:v>
      </x:c>
      <x:c r="J75" s="11" t="b">
        <x:v>1</x:v>
      </x:c>
      <x:c r="K75" s="3" t="str">
        <x:v>jama.2025.16450</x:v>
      </x:c>
      <x:c r="L75" s="3" t="str">
        <x:v>analysis_specification</x:v>
      </x:c>
      <x:c r="M75" s="3" t="str">
        <x:v>P_R</x:v>
      </x:c>
      <x:c r="N75" s="3" t="str">
        <x:v>Target compares reported current-study content with supplied protocol/SAP specification. Executed article alpha `.049` versus prospective planned final alpha `.0440`.</x:v>
      </x:c>
      <x:c r="O75" s="3" t="str">
        <x:v>../../2025/jama.2025.16450/.ai_paper_validation/final_report_1_5_1.html</x:v>
      </x:c>
      <x:c r="P75" s="3" t="str">
        <x:v>2025/jama.2025.16450/.ai_paper_validation/final_report_1_5_1.md</x:v>
      </x:c>
      <x:c r="Q75" s="3" t="str">
        <x:v>C007</x:v>
      </x:c>
      <x:c r="R75" s="3" t="str">
        <x:v>Pending Human Adjudication</x:v>
      </x:c>
      <x:c r="S75" s="3" t="str">
        <x:v>The article reports primary-analysis alpha .049; the protocol and SAP list planned final alpha .0440.</x:v>
      </x:c>
      <x:c r="T75" s="11" t="b">
        <x:v>0</x:v>
      </x:c>
      <x:c r="U75" s="3" t="str">
        <x:v>Final primary-analysis alpha differs between the article and prospective documents</x:v>
      </x:c>
      <x:c r="V75" s="3" t="str">
        <x:v>protocol_report</x:v>
      </x:c>
      <x:c r="W75" s="3" t="str">
        <x:v>Final primary-analysis alpha differs between the article and prospective documents</x:v>
      </x:c>
      <x:c r="X75" s="3" t="str">
        <x:v>2025</x:v>
      </x:c>
      <x:c r="Y75" s="3" t="str">
        <x:v>meta_report/consistency_reclassification_2026-09-04/reclassified_candidates.json</x:v>
      </x:c>
      <x:c r="Z75" s="3" t="str">
        <x:v>P_R</x:v>
      </x:c>
      <x:c r="AA75" s="3" t="str">
        <x:v>protocol_report</x:v>
      </x:c>
      <x:c r="AB75" s="3" t="str">
        <x:v>retain</x:v>
      </x:c>
    </x:row>
    <x:row r="76" ht="90" customHeight="1">
      <x:c r="A76" s="12" t="b">
        <x:v>0</x:v>
      </x:c>
      <x:c r="B76" s="6" t="str">
        <x:v>Planned 15 versus completed 17 centers may reflect activation/milestone differences.</x:v>
      </x:c>
      <x:c r="C76" s="12" t="b">
        <x:v>1</x:v>
      </x:c>
      <x:c r="D76" s="6" t="str">
        <x:v>Cross-document numeric inconsistency</x:v>
      </x:c>
      <x:c r="E76" s="12" t="b">
        <x:v>1</x:v>
      </x:c>
      <x:c r="F76" s="6" t="str">
        <x:v>C008</x:v>
      </x:c>
      <x:c r="G76" s="6" t="str">
        <x:v>2025::jama.2025.16450::C008</x:v>
      </x:c>
      <x:c r="H76" s="6"/>
      <x:c r="I76" s="6" t="str">
        <x:v>DOC-001 main article — PDF p. 1; DOC-002 protocol — PDF p. 29; DOC-004 SAP — PDF p. 8.</x:v>
      </x:c>
      <x:c r="J76" s="12" t="b">
        <x:v>1</x:v>
      </x:c>
      <x:c r="K76" s="6" t="str">
        <x:v>jama.2025.16450</x:v>
      </x:c>
      <x:c r="L76" s="6" t="str">
        <x:v>population_recruitment_sites</x:v>
      </x:c>
      <x:c r="M76" s="6" t="str">
        <x:v>P_R</x:v>
      </x:c>
      <x:c r="N76" s="6" t="str">
        <x:v>Target compares reported current-study content with supplied protocol/SAP specification. Completed-study count 17 versus planned count 15.</x:v>
      </x:c>
      <x:c r="O76" s="6" t="str">
        <x:v>../../2025/jama.2025.16450/.ai_paper_validation/final_report_1_5_1.html</x:v>
      </x:c>
      <x:c r="P76" s="6" t="str">
        <x:v>2025/jama.2025.16450/.ai_paper_validation/final_report_1_5_1.md</x:v>
      </x:c>
      <x:c r="Q76" s="6" t="str">
        <x:v>C008</x:v>
      </x:c>
      <x:c r="R76" s="6" t="str">
        <x:v>Pending Human Adjudication</x:v>
      </x:c>
      <x:c r="S76" s="6" t="str">
        <x:v>The article states 17 centers; the protocol and SAP state 15 centers in prospective context.</x:v>
      </x:c>
      <x:c r="T76" s="12" t="b">
        <x:v>0</x:v>
      </x:c>
      <x:c r="U76" s="6" t="str">
        <x:v>Trial center count differs between final and prospective documents</x:v>
      </x:c>
      <x:c r="V76" s="6" t="str">
        <x:v>protocol_report</x:v>
      </x:c>
      <x:c r="W76" s="6" t="str">
        <x:v>Trial center count differs between final and prospective documents</x:v>
      </x:c>
      <x:c r="X76" s="6" t="str">
        <x:v>2025</x:v>
      </x:c>
      <x:c r="Y76" s="6" t="str">
        <x:v>meta_report/consistency_reclassification_2026-09-04/reclassified_candidates.json</x:v>
      </x:c>
      <x:c r="Z76" s="6" t="str">
        <x:v>P_R</x:v>
      </x:c>
      <x:c r="AA76" s="6" t="str">
        <x:v>protocol_report</x:v>
      </x:c>
      <x:c r="AB76" s="6" t="str">
        <x:v>retain</x:v>
      </x:c>
    </x:row>
    <x:row r="77" ht="90" customHeight="1">
      <x:c r="A77" s="11" t="b">
        <x:v>0</x:v>
      </x:c>
      <x:c r="B77" s="3"/>
      <x:c r="C77" s="11" t="b">
        <x:v>0</x:v>
      </x:c>
      <x:c r="D77" s="3" t="str">
        <x:v>Measure, label, or scale inconsistency</x:v>
      </x:c>
      <x:c r="E77" s="11" t="b">
        <x:v>0</x:v>
      </x:c>
      <x:c r="F77" s="3" t="str">
        <x:v>C009</x:v>
      </x:c>
      <x:c r="G77" s="3" t="str">
        <x:v>2025::jama.2025.16450::C009</x:v>
      </x:c>
      <x:c r="H77" s="3"/>
      <x:c r="I77" s="3" t="str">
        <x:v>DOC-001 main article — PDF p. 8 (Table 3 additional open-label surfactant row and footnote g).</x:v>
      </x:c>
      <x:c r="J77" s="11" t="b">
        <x:v>0</x:v>
      </x:c>
      <x:c r="K77" s="3" t="str">
        <x:v>jama.2025.16450</x:v>
      </x:c>
      <x:c r="L77" s="3"/>
      <x:c r="M77" s="3" t="str">
        <x:v>S_W</x:v>
      </x:c>
      <x:c r="N77" s="3" t="str">
        <x:v>Target is within one main article or one non-plan results supplement/workbook; no substantive plan comparison. RR row label versus common-OR approximation wording.</x:v>
      </x:c>
      <x:c r="O77" s="3" t="str">
        <x:v>../../2025/jama.2025.16450/.ai_paper_validation/final_report_1_5_1.html</x:v>
      </x:c>
      <x:c r="P77" s="3" t="str">
        <x:v>2025/jama.2025.16450/.ai_paper_validation/final_report_1_5_1.md</x:v>
      </x:c>
      <x:c r="Q77" s="3" t="str">
        <x:v>C009</x:v>
      </x:c>
      <x:c r="R77" s="3" t="str">
        <x:v>Pending Human Adjudication</x:v>
      </x:c>
      <x:c r="S77" s="3" t="str">
        <x:v>Table 3 labels an estimate RR while footnote g describes a common-OR approximation after robust-Poisson nonconvergence.</x:v>
      </x:c>
      <x:c r="T77" s="11" t="b">
        <x:v>1</x:v>
      </x:c>
      <x:c r="U77" s="3" t="str">
        <x:v>Table 3 RR label conflicts with a stated common-OR approximation</x:v>
      </x:c>
      <x:c r="V77" s="3" t="str">
        <x:v>report_internal_inconsistency</x:v>
      </x:c>
      <x:c r="W77" s="3" t="str">
        <x:v>Table 3 RR label conflicts with a stated common-OR approximation</x:v>
      </x:c>
      <x:c r="X77" s="3" t="str">
        <x:v>2025</x:v>
      </x:c>
      <x:c r="Y77" s="3" t="str">
        <x:v>meta_report/consistency_reclassification_2026-09-04/reclassified_candidates.json</x:v>
      </x:c>
      <x:c r="Z77" s="3" t="str">
        <x:v>S_W</x:v>
      </x:c>
      <x:c r="AA77" s="3" t="str">
        <x:v>report_internal_inconsistency</x:v>
      </x:c>
      <x:c r="AB77" s="3" t="str">
        <x:v>retain</x:v>
      </x:c>
    </x:row>
    <x:row r="78" ht="90" customHeight="1">
      <x:c r="A78" s="12" t="b">
        <x:v>0</x:v>
      </x:c>
      <x:c r="B78" s="6"/>
      <x:c r="C78" s="12" t="b">
        <x:v>0</x:v>
      </x:c>
      <x:c r="D78" s="6" t="str">
        <x:v>Measure, label, or scale inconsistency</x:v>
      </x:c>
      <x:c r="E78" s="12" t="b">
        <x:v>0</x:v>
      </x:c>
      <x:c r="F78" s="6" t="str">
        <x:v>C010</x:v>
      </x:c>
      <x:c r="G78" s="6" t="str">
        <x:v>2025::jama.2025.16450::C010</x:v>
      </x:c>
      <x:c r="H78" s="6"/>
      <x:c r="I78" s="6" t="str">
        <x:v>DOC-005 results supplement — PDF p. 5 and results supplement — PDF p. 6 (eTable 3 header and footnote b).</x:v>
      </x:c>
      <x:c r="J78" s="12" t="b">
        <x:v>0</x:v>
      </x:c>
      <x:c r="K78" s="6" t="str">
        <x:v>jama.2025.16450</x:v>
      </x:c>
      <x:c r="L78" s="6"/>
      <x:c r="M78" s="6" t="str">
        <x:v>S_W</x:v>
      </x:c>
      <x:c r="N78" s="6" t="str">
        <x:v>Target is within one main article or one non-plan results supplement/workbook; no substantive plan comparison. Table-level RR header versus odds-ratio approximation footnote for superscript-b rows.</x:v>
      </x:c>
      <x:c r="O78" s="6" t="str">
        <x:v>../../2025/jama.2025.16450/.ai_paper_validation/final_report_1_5_1.html</x:v>
      </x:c>
      <x:c r="P78" s="6" t="str">
        <x:v>2025/jama.2025.16450/.ai_paper_validation/final_report_1_5_1.md</x:v>
      </x:c>
      <x:c r="Q78" s="6" t="str">
        <x:v>C010</x:v>
      </x:c>
      <x:c r="R78" s="6" t="str">
        <x:v>Pending Human Adjudication</x:v>
      </x:c>
      <x:c r="S78" s="6" t="str">
        <x:v>eTable 3's effect-estimate header says relative risk while footnote b identifies odds-ratio approximations for marked sparse rows.</x:v>
      </x:c>
      <x:c r="T78" s="12" t="b">
        <x:v>1</x:v>
      </x:c>
      <x:c r="U78" s="6" t="str">
        <x:v>eTable 3 relative-risk header conflicts with odds-ratio approximation footnote</x:v>
      </x:c>
      <x:c r="V78" s="6" t="str">
        <x:v>report_internal_inconsistency</x:v>
      </x:c>
      <x:c r="W78" s="6" t="str">
        <x:v>eTable 3 relative-risk header conflicts with odds-ratio approximation footnote</x:v>
      </x:c>
      <x:c r="X78" s="6" t="str">
        <x:v>2025</x:v>
      </x:c>
      <x:c r="Y78" s="6" t="str">
        <x:v>meta_report/consistency_reclassification_2026-09-04/reclassified_candidates.json</x:v>
      </x:c>
      <x:c r="Z78" s="6" t="str">
        <x:v>S_W</x:v>
      </x:c>
      <x:c r="AA78" s="6" t="str">
        <x:v>report_internal_inconsistency</x:v>
      </x:c>
      <x:c r="AB78" s="6" t="str">
        <x:v>retain</x:v>
      </x:c>
    </x:row>
    <x:row r="79" ht="90" customHeight="1">
      <x:c r="A79" s="11" t="b">
        <x:v>0</x:v>
      </x:c>
      <x:c r="B79" s="3" t="str">
        <x:v>Supplement explicitly supplies global A1C failure rule. Fifteen diabetes-range participants are NOT fifteen proven changed classifications; component achievement and governing amendment missing.</x:v>
      </x:c>
      <x:c r="C79" s="11" t="b">
        <x:v>1</x:v>
      </x:c>
      <x:c r="D79" s="3" t="str">
        <x:v>Cross-document numeric inconsistency</x:v>
      </x:c>
      <x:c r="E79" s="11" t="b">
        <x:v>1</x:v>
      </x:c>
      <x:c r="F79" s="3" t="str">
        <x:v>C001</x:v>
      </x:c>
      <x:c r="G79" s="3" t="str">
        <x:v>2025::jama.2025.19563::C001</x:v>
      </x:c>
      <x:c r="H79" s="3"/>
      <x:c r="I79" s="3" t="str">
        <x:v>DOC-002 protocol — PDF p. 15; DOC-001 main article — PDF p. 4; DOC-003 supplement — PDF p. 30 (explicit global-failure clause); DOC-003 supplement — PDF p. 56 (15-participant table).</x:v>
      </x:c>
      <x:c r="J79" s="11" t="b">
        <x:v>1</x:v>
      </x:c>
      <x:c r="K79" s="3" t="str">
        <x:v>jama.2025.19563</x:v>
      </x:c>
      <x:c r="L79" s="3" t="str">
        <x:v>endpoint_definition_window_hierarchy</x:v>
      </x:c>
      <x:c r="M79" s="3" t="str">
        <x:v>P_R</x:v>
      </x:c>
      <x:c r="N79" s="3" t="str">
        <x:v>Target compares reported current-study content with supplied protocol/SAP specification. Protocol rule `A or B or C` versus reported/supplement rule `(A or B or C) and D`, where D means no diabetes-range A1C at the defined visits.</x:v>
      </x:c>
      <x:c r="O79" s="3" t="str">
        <x:v>../../2025/jama.2025.19563/.ai_paper_validation/final_report_1_5_1.html</x:v>
      </x:c>
      <x:c r="P79" s="3" t="str">
        <x:v>2025/jama.2025.19563/.ai_paper_validation/final_report_1_5_1.md</x:v>
      </x:c>
      <x:c r="Q79" s="3" t="str">
        <x:v>C001</x:v>
      </x:c>
      <x:c r="R79" s="3" t="str">
        <x:v>Pending Human Adjudication</x:v>
      </x:c>
      <x:c r="S79" s="3" t="str">
        <x:v>The protocol's success rule is at least one of three components, while the reported/supplement rule adds a diabetes-range A1C failure condition that can override all components.</x:v>
      </x:c>
      <x:c r="T79" s="11" t="b">
        <x:v>0</x:v>
      </x:c>
      <x:c r="U79" s="3" t="str">
        <x:v>Protocol and reported primary endpoint differ on the diabetes-range A1C failure condition</x:v>
      </x:c>
      <x:c r="V79" s="3" t="str">
        <x:v>protocol_report</x:v>
      </x:c>
      <x:c r="W79" s="3" t="str">
        <x:v>Protocol and reported primary endpoint differ on the diabetes-range A1C failure condition</x:v>
      </x:c>
      <x:c r="X79" s="3" t="str">
        <x:v>2025</x:v>
      </x:c>
      <x:c r="Y79" s="3" t="str">
        <x:v>meta_report/consistency_reclassification_2026-09-04/reclassified_candidates.json</x:v>
      </x:c>
      <x:c r="Z79" s="3" t="str">
        <x:v>P_R</x:v>
      </x:c>
      <x:c r="AA79" s="3" t="str">
        <x:v>protocol_report</x:v>
      </x:c>
      <x:c r="AB79" s="3" t="str">
        <x:v>retain</x:v>
      </x:c>
    </x:row>
    <x:row r="80" ht="90" customHeight="1">
      <x:c r="A80" s="12" t="b">
        <x:v>0</x:v>
      </x:c>
      <x:c r="B80" s="6" t="str">
        <x:v>Listed methods may be nonexhaustive; Siemens device mentioned but unlisted. Both main/supp availability and supplement-internal method/missingness arithmetic compared.</x:v>
      </x:c>
      <x:c r="C80" s="12" t="b">
        <x:v>0</x:v>
      </x:c>
      <x:c r="D80" s="6" t="str">
        <x:v>Denominator, proportion, or total inconsistency</x:v>
      </x:c>
      <x:c r="E80" s="12" t="b">
        <x:v>1</x:v>
      </x:c>
      <x:c r="F80" s="6" t="str">
        <x:v>C002</x:v>
      </x:c>
      <x:c r="G80" s="6" t="str">
        <x:v>2025::jama.2025.19563::C002</x:v>
      </x:c>
      <x:c r="H80" s="6"/>
      <x:c r="I80" s="6" t="str">
        <x:v>DOC-003 supplement — PDF p. 8; DOC-001 main article — PDF p. 4; DOC-001 main article — PDF p. 5; DOC-003 supplement — PDF p. 50.</x:v>
      </x:c>
      <x:c r="J80" s="12" t="b">
        <x:v>0</x:v>
      </x:c>
      <x:c r="K80" s="6" t="str">
        <x:v>jama.2025.19563</x:v>
      </x:c>
      <x:c r="L80" s="6"/>
      <x:c r="M80" s="6" t="str">
        <x:v>S_C</x:v>
      </x:c>
      <x:c r="N80" s="6" t="str">
        <x:v>Target explicitly compares current main article and non-plan results supplement/workbook. The follow-up device-method total versus the independently derived A1C-available/completer total in the same randomized arms and time point.</x:v>
      </x:c>
      <x:c r="O80" s="6" t="str">
        <x:v>../../2025/jama.2025.19563/.ai_paper_validation/final_report_1_5_1.html</x:v>
      </x:c>
      <x:c r="P80" s="6" t="str">
        <x:v>2025/jama.2025.19563/.ai_paper_validation/final_report_1_5_1.md</x:v>
      </x:c>
      <x:c r="Q80" s="6" t="str">
        <x:v>C002</x:v>
      </x:c>
      <x:c r="R80" s="6" t="str">
        <x:v>Pending Human Adjudication</x:v>
      </x:c>
      <x:c r="S80" s="6" t="str">
        <x:v>Listed follow-up A1C device counts total 312, while matched missingness and complete-outcome reporting identify 313 participants with A1C available.</x:v>
      </x:c>
      <x:c r="T80" s="12" t="b">
        <x:v>1</x:v>
      </x:c>
      <x:c r="U80" s="6" t="str">
        <x:v>312 listed 12-month A1C measurements versus 313 participants with A1C available</x:v>
      </x:c>
      <x:c r="V80" s="6" t="str">
        <x:v>statistical_results</x:v>
      </x:c>
      <x:c r="W80" s="6" t="str">
        <x:v>312 listed 12-month A1C measurements versus 313 participants with A1C available</x:v>
      </x:c>
      <x:c r="X80" s="6" t="str">
        <x:v>2025</x:v>
      </x:c>
      <x:c r="Y80" s="6" t="str">
        <x:v>meta_report/consistency_reclassification_2026-09-04/reclassified_candidates.json</x:v>
      </x:c>
      <x:c r="Z80" s="6" t="str">
        <x:v>S_C</x:v>
      </x:c>
      <x:c r="AA80" s="6" t="str">
        <x:v>statistical_results</x:v>
      </x:c>
      <x:c r="AB80" s="6" t="str">
        <x:v>retain</x:v>
      </x:c>
    </x:row>
    <x:row r="81" ht="90" customHeight="1">
      <x:c r="A81" s="11" t="b">
        <x:v>0</x:v>
      </x:c>
      <x:c r="B81" s="3" t="str">
        <x:v>BMI versus weight is established by same main figure unit and main Table1; supplementary BMI usage corroborates only.</x:v>
      </x:c>
      <x:c r="C81" s="11" t="b">
        <x:v>0</x:v>
      </x:c>
      <x:c r="D81" s="3" t="str">
        <x:v>Measure, label, or scale inconsistency</x:v>
      </x:c>
      <x:c r="E81" s="11" t="b">
        <x:v>0</x:v>
      </x:c>
      <x:c r="F81" s="3" t="str">
        <x:v>C003</x:v>
      </x:c>
      <x:c r="G81" s="3" t="str">
        <x:v>2025::jama.2025.19563::C003</x:v>
      </x:c>
      <x:c r="H81" s="3"/>
      <x:c r="I81" s="3" t="str">
        <x:v>DOC-001 main article — PDF p. 8; DOC-001 main article — PDF p. 6; DOC-003 supplement — PDF p. 53.</x:v>
      </x:c>
      <x:c r="J81" s="11" t="b">
        <x:v>0</x:v>
      </x:c>
      <x:c r="K81" s="3" t="str">
        <x:v>jama.2025.19563</x:v>
      </x:c>
      <x:c r="L81" s="3"/>
      <x:c r="M81" s="3" t="str">
        <x:v>S_W</x:v>
      </x:c>
      <x:c r="N81" s="3" t="str">
        <x:v>Target is within one main article or one non-plan results supplement/workbook; no substantive plan comparison. Figure label/unit versus Table 1 measure label and exact arm-specific baseline values.</x:v>
      </x:c>
      <x:c r="O81" s="3" t="str">
        <x:v>../../2025/jama.2025.19563/.ai_paper_validation/final_report_1_5_1.html</x:v>
      </x:c>
      <x:c r="P81" s="3" t="str">
        <x:v>2025/jama.2025.19563/.ai_paper_validation/final_report_1_5_1.md</x:v>
      </x:c>
      <x:c r="Q81" s="3" t="str">
        <x:v>C003</x:v>
      </x:c>
      <x:c r="R81" s="3" t="str">
        <x:v>Pending Human Adjudication</x:v>
      </x:c>
      <x:c r="S81" s="3" t="str">
        <x:v>Figure 3 calls values in kg/m² “weight,” although the identical values are labelled BMI in Table 1.</x:v>
      </x:c>
      <x:c r="T81" s="11" t="b">
        <x:v>1</x:v>
      </x:c>
      <x:c r="U81" s="3" t="str">
        <x:v>Figure 3 labels BMI values in kg/m² as “weight”</x:v>
      </x:c>
      <x:c r="V81" s="3" t="str">
        <x:v>report_internal_inconsistency</x:v>
      </x:c>
      <x:c r="W81" s="3" t="str">
        <x:v>Figure 3 labels BMI values in kg/m² as “weight”</x:v>
      </x:c>
      <x:c r="X81" s="3" t="str">
        <x:v>2025</x:v>
      </x:c>
      <x:c r="Y81" s="3" t="str">
        <x:v>meta_report/consistency_reclassification_2026-09-04/reclassified_candidates.json</x:v>
      </x:c>
      <x:c r="Z81" s="3" t="str">
        <x:v>S_W</x:v>
      </x:c>
      <x:c r="AA81" s="3" t="str">
        <x:v>report_internal_inconsistency</x:v>
      </x:c>
      <x:c r="AB81" s="3" t="str">
        <x:v>retain</x:v>
      </x:c>
    </x:row>
    <x:row r="82" ht="90" customHeight="1">
      <x:c r="A82" s="12" t="b">
        <x:v>0</x:v>
      </x:c>
      <x:c r="B82" s="6" t="str">
        <x:v>Different comparisons within one results supplement; main age P=.01 corroborates possible global note, not another discrepancy.</x:v>
      </x:c>
      <x:c r="C82" s="12" t="b">
        <x:v>0</x:v>
      </x:c>
      <x:c r="D82" s="6" t="str">
        <x:v>Cross-document numeric inconsistency</x:v>
      </x:c>
      <x:c r="E82" s="12" t="b">
        <x:v>0</x:v>
      </x:c>
      <x:c r="F82" s="6" t="str">
        <x:v>C004</x:v>
      </x:c>
      <x:c r="G82" s="6" t="str">
        <x:v>2025::jama.2025.19563::C004</x:v>
      </x:c>
      <x:c r="H82" s="6"/>
      <x:c r="I82" s="6" t="str">
        <x:v>DOC-003 supplement — PDF p. 39; DOC-003 supplement — PDF p. 43; DOC-003 supplement — PDF p. 45; DOC-003 supplement — PDF p. 47; DOC-001 main article — PDF p. 6.</x:v>
      </x:c>
      <x:c r="J82" s="12" t="b">
        <x:v>1</x:v>
      </x:c>
      <x:c r="K82" s="6" t="str">
        <x:v>jama.2025.19563</x:v>
      </x:c>
      <x:c r="L82" s="6"/>
      <x:c r="M82" s="6" t="str">
        <x:v>S_W</x:v>
      </x:c>
      <x:c r="N82" s="6" t="str">
        <x:v>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x:v>
      </x:c>
      <x:c r="O82" s="6" t="str">
        <x:v>../../2025/jama.2025.19563/.ai_paper_validation/final_report_1_5_1.html</x:v>
      </x:c>
      <x:c r="P82" s="6" t="str">
        <x:v>2025/jama.2025.19563/.ai_paper_validation/final_report_1_5_1.md</x:v>
      </x:c>
      <x:c r="Q82" s="6" t="str">
        <x:v>C004</x:v>
      </x:c>
      <x:c r="R82" s="6" t="str">
        <x:v>Pending Human Adjudication</x:v>
      </x:c>
      <x:c r="S82" s="6" t="str">
        <x:v>The same p = 0.014 age statement appears beneath tables with different displayed contrasts without a clear comparator label.</x:v>
      </x:c>
      <x:c r="T82" s="12" t="b">
        <x:v>1</x:v>
      </x:c>
      <x:c r="U82" s="6" t="str">
        <x:v>eTables 5-7 leave the comparator scope of a repeated age P value ambiguous</x:v>
      </x:c>
      <x:c r="V82" s="6" t="str">
        <x:v>report_internal_inconsistency</x:v>
      </x:c>
      <x:c r="W82" s="6" t="str">
        <x:v>eTables 5-7 leave the comparator scope of a repeated age P value ambiguous</x:v>
      </x:c>
      <x:c r="X82" s="6" t="str">
        <x:v>2025</x:v>
      </x:c>
      <x:c r="Y82" s="6" t="str">
        <x:v>meta_report/consistency_reclassification_2026-09-04/reclassified_candidates.json</x:v>
      </x:c>
      <x:c r="Z82" s="6" t="str">
        <x:v>S_W</x:v>
      </x:c>
      <x:c r="AA82" s="6" t="str">
        <x:v>report_internal_inconsistency</x:v>
      </x:c>
      <x:c r="AB82" s="6" t="str">
        <x:v>retain</x:v>
      </x:c>
    </x:row>
    <x:row r="83" ht="90" customHeight="1">
      <x:c r="A83" s="11" t="b">
        <x:v>0</x:v>
      </x:c>
      <x:c r="B83" s="3"/>
      <x:c r="C83" s="11" t="b">
        <x:v>0</x:v>
      </x:c>
      <x:c r="D83" s="3" t="str">
        <x:v>Statistical reporting inconsistency</x:v>
      </x:c>
      <x:c r="E83" s="11" t="b">
        <x:v>0</x:v>
      </x:c>
      <x:c r="F83" s="3" t="str">
        <x:v>C005</x:v>
      </x:c>
      <x:c r="G83" s="3" t="str">
        <x:v>2025::jama.2025.19563::C005</x:v>
      </x:c>
      <x:c r="H83" s="3"/>
      <x:c r="I83" s="3" t="str">
        <x:v>DOC-003 supplement — PDF p. 46; DOC-003 supplement — PDF p. 47.</x:v>
      </x:c>
      <x:c r="J83" s="11" t="b">
        <x:v>0</x:v>
      </x:c>
      <x:c r="K83" s="3" t="str">
        <x:v>jama.2025.19563</x:v>
      </x:c>
      <x:c r="L83" s="3"/>
      <x:c r="M83" s="3" t="str">
        <x:v>S_W</x:v>
      </x:c>
      <x:c r="N83" s="3" t="str">
        <x:v>Target is within one main article or one non-plan results supplement/workbook; no substantive plan comparison. The no-significance sentence and its parenthetical inequality versus the same page's stated inequality convention.</x:v>
      </x:c>
      <x:c r="O83" s="3" t="str">
        <x:v>../../2025/jama.2025.19563/.ai_paper_validation/final_report_1_5_1.html</x:v>
      </x:c>
      <x:c r="P83" s="3" t="str">
        <x:v>2025/jama.2025.19563/.ai_paper_validation/final_report_1_5_1.md</x:v>
      </x:c>
      <x:c r="Q83" s="3" t="str">
        <x:v>C005</x:v>
      </x:c>
      <x:c r="R83" s="3" t="str">
        <x:v>Pending Human Adjudication</x:v>
      </x:c>
      <x:c r="S83" s="3" t="str">
        <x:v>eTable 7's no-significance statement is paired with p&lt;0.05, while the same page uses p&gt;0.05 for similarity and p=.014 for a difference.</x:v>
      </x:c>
      <x:c r="T83" s="11" t="b">
        <x:v>1</x:v>
      </x:c>
      <x:c r="U83" s="3" t="str">
        <x:v>eTable 7 pairs “no statistically significant” with p&lt;0.05</x:v>
      </x:c>
      <x:c r="V83" s="3" t="str">
        <x:v>statistical_results</x:v>
      </x:c>
      <x:c r="W83" s="3" t="str">
        <x:v>eTable 7 pairs “no statistically significant” with p&lt;0.05</x:v>
      </x:c>
      <x:c r="X83" s="3" t="str">
        <x:v>2025</x:v>
      </x:c>
      <x:c r="Y83" s="3" t="str">
        <x:v>meta_report/consistency_reclassification_2026-09-04/reclassified_candidates.json</x:v>
      </x:c>
      <x:c r="Z83" s="3" t="str">
        <x:v>S_W</x:v>
      </x:c>
      <x:c r="AA83" s="3" t="str">
        <x:v>statistical_results</x:v>
      </x:c>
      <x:c r="AB83" s="3" t="str">
        <x:v>retain</x:v>
      </x:c>
    </x:row>
    <x:row r="84" ht="90" customHeight="1">
      <x:c r="A84" s="12" t="b">
        <x:v>0</x:v>
      </x:c>
      <x:c r="B84" s="6"/>
      <x:c r="C84" s="12" t="b">
        <x:v>0</x:v>
      </x:c>
      <x:c r="D84" s="6" t="str">
        <x:v>Statistical reporting inconsistency</x:v>
      </x:c>
      <x:c r="E84" s="12" t="b">
        <x:v>0</x:v>
      </x:c>
      <x:c r="F84" s="6" t="str">
        <x:v>C006</x:v>
      </x:c>
      <x:c r="G84" s="6" t="str">
        <x:v>2025::jama.2025.19563::C006</x:v>
      </x:c>
      <x:c r="H84" s="6"/>
      <x:c r="I84" s="6" t="str">
        <x:v>DOC-003 supplement — PDF p. 29; DOC-003 supplement — PDF p. 52.</x:v>
      </x:c>
      <x:c r="J84" s="12" t="b">
        <x:v>0</x:v>
      </x:c>
      <x:c r="K84" s="6" t="str">
        <x:v>jama.2025.19563</x:v>
      </x:c>
      <x:c r="L84" s="6"/>
      <x:c r="M84" s="6" t="str">
        <x:v>S_W</x:v>
      </x:c>
      <x:c r="N84" s="6" t="str">
        <x:v>Target is within one main article or one non-plan results supplement/workbook; no substantive plan comparison. The named-test label for the same randomized-arm binary proportion comparison in two supplement locations.</x:v>
      </x:c>
      <x:c r="O84" s="6" t="str">
        <x:v>../../2025/jama.2025.19563/.ai_paper_validation/final_report_1_5_1.html</x:v>
      </x:c>
      <x:c r="P84" s="6" t="str">
        <x:v>2025/jama.2025.19563/.ai_paper_validation/final_report_1_5_1.md</x:v>
      </x:c>
      <x:c r="Q84" s="6" t="str">
        <x:v>C006</x:v>
      </x:c>
      <x:c r="R84" s="6" t="str">
        <x:v>Pending Human Adjudication</x:v>
      </x:c>
      <x:c r="S84" s="6" t="str">
        <x:v>The same binary arm comparison is described as chi-squared in the eTable 10 method text and Wilcoxon rank-sum in eTable 10b.</x:v>
      </x:c>
      <x:c r="T84" s="12" t="b">
        <x:v>1</x:v>
      </x:c>
      <x:c r="U84" s="6" t="str">
        <x:v>eTable 10b labels one comparison as both chi-squared and Wilcoxon rank-sum</x:v>
      </x:c>
      <x:c r="V84" s="6" t="str">
        <x:v>statistical_results</x:v>
      </x:c>
      <x:c r="W84" s="6" t="str">
        <x:v>eTable 10b labels one comparison as both chi-squared and Wilcoxon rank-sum</x:v>
      </x:c>
      <x:c r="X84" s="6" t="str">
        <x:v>2025</x:v>
      </x:c>
      <x:c r="Y84" s="6" t="str">
        <x:v>meta_report/consistency_reclassification_2026-09-04/reclassified_candidates.json</x:v>
      </x:c>
      <x:c r="Z84" s="6" t="str">
        <x:v>S_W</x:v>
      </x:c>
      <x:c r="AA84" s="6" t="str">
        <x:v>statistical_results</x:v>
      </x:c>
      <x:c r="AB84" s="6" t="str">
        <x:v>retain</x:v>
      </x:c>
    </x:row>
    <x:row r="85" ht="90" customHeight="1">
      <x:c r="A85" s="11" t="b">
        <x:v>0</x:v>
      </x:c>
      <x:c r="B85" s="3"/>
      <x:c r="C85" s="11" t="b">
        <x:v>0</x:v>
      </x:c>
      <x:c r="D85" s="3" t="str">
        <x:v>Statistical reporting inconsistency</x:v>
      </x:c>
      <x:c r="E85" s="11" t="b">
        <x:v>0</x:v>
      </x:c>
      <x:c r="F85" s="3" t="str">
        <x:v>C007</x:v>
      </x:c>
      <x:c r="G85" s="3" t="str">
        <x:v>2025::jama.2025.19563::C007</x:v>
      </x:c>
      <x:c r="H85" s="3"/>
      <x:c r="I85" s="3" t="str">
        <x:v>DOC-003 supplement — PDF p. 30; DOC-003 supplement — PDF p. 59.</x:v>
      </x:c>
      <x:c r="J85" s="11" t="b">
        <x:v>0</x:v>
      </x:c>
      <x:c r="K85" s="3" t="str">
        <x:v>jama.2025.19563</x:v>
      </x:c>
      <x:c r="L85" s="3"/>
      <x:c r="M85" s="3" t="str">
        <x:v>S_W</x:v>
      </x:c>
      <x:c r="N85" s="3" t="str">
        <x:v>Target is within one main article or one non-plan results supplement/workbook; no substantive plan comparison. The AI-minus-human risk-difference cell versus the direct subtraction of the displayed AI and human marginal percentages.</x:v>
      </x:c>
      <x:c r="O85" s="3" t="str">
        <x:v>../../2025/jama.2025.19563/.ai_paper_validation/final_report_1_5_1.html</x:v>
      </x:c>
      <x:c r="P85" s="3" t="str">
        <x:v>2025/jama.2025.19563/.ai_paper_validation/final_report_1_5_1.md</x:v>
      </x:c>
      <x:c r="Q85" s="3" t="str">
        <x:v>C007</x:v>
      </x:c>
      <x:c r="R85" s="3" t="str">
        <x:v>Pending Human Adjudication</x:v>
      </x:c>
      <x:c r="S85" s="3" t="str">
        <x:v>eTable 16 prints AI 32.2% and human 31.9% but an AI-minus-human risk difference of -1.1 percentage points.</x:v>
      </x:c>
      <x:c r="T85" s="11" t="b">
        <x:v>1</x:v>
      </x:c>
      <x:c r="U85" s="3" t="str">
        <x:v>MICE pooled percentages and printed risk difference have incompatible signs</x:v>
      </x:c>
      <x:c r="V85" s="3" t="str">
        <x:v>statistical_results</x:v>
      </x:c>
      <x:c r="W85" s="3" t="str">
        <x:v>MICE pooled percentages and printed risk difference have incompatible signs</x:v>
      </x:c>
      <x:c r="X85" s="3" t="str">
        <x:v>2025</x:v>
      </x:c>
      <x:c r="Y85" s="3" t="str">
        <x:v>meta_report/consistency_reclassification_2026-09-04/reclassified_candidates.json</x:v>
      </x:c>
      <x:c r="Z85" s="3" t="str">
        <x:v>S_W</x:v>
      </x:c>
      <x:c r="AA85" s="3" t="str">
        <x:v>statistical_results</x:v>
      </x:c>
      <x:c r="AB85" s="3" t="str">
        <x:v>retain</x:v>
      </x:c>
    </x:row>
    <x:row r="86" ht="90" customHeight="1">
      <x:c r="A86" s="12" t="b">
        <x:v>0</x:v>
      </x:c>
      <x:c r="B86" s="6" t="str">
        <x:v>SAP log-rank statement supports interpretation; prose test is unnamed, so no demonstrated report-versus-plan method difference. Fixed-time versus survival tests can differ.</x:v>
      </x:c>
      <x:c r="C86" s="12" t="b">
        <x:v>0</x:v>
      </x:c>
      <x:c r="D86" s="6" t="str">
        <x:v>Cross-document numeric inconsistency</x:v>
      </x:c>
      <x:c r="E86" s="12" t="b">
        <x:v>1</x:v>
      </x:c>
      <x:c r="F86" s="6" t="str">
        <x:v>C001</x:v>
      </x:c>
      <x:c r="G86" s="6" t="str">
        <x:v>2025::jama.2025.19843::C001</x:v>
      </x:c>
      <x:c r="H86" s="6"/>
      <x:c r="I86" s="6" t="str">
        <x:v>DOC-001 — PDF p. 1 (abstract); DOC-001 — PDF p. 3 (statistical methods); DOC-001 — PDF p. 4 (Results and eFigure 2 cross-reference); DOC-003 — PDF p. 7 (planned mortality analysis); and DOC-004 — PDF p. 11 (Supplement 3 eFigure 2).</x:v>
      </x:c>
      <x:c r="J86" s="12" t="b">
        <x:v>1</x:v>
      </x:c>
      <x:c r="K86" s="6" t="str">
        <x:v>jama.2025.19843</x:v>
      </x:c>
      <x:c r="L86" s="6"/>
      <x:c r="M86" s="6" t="str">
        <x:v>S_C</x:v>
      </x:c>
      <x:c r="N86" s="6" t="str">
        <x:v>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x:v>
      </x:c>
      <x:c r="O86" s="6" t="str">
        <x:v>../../2025/jama.2025.19843/.ai_paper_validation/final_report_1_5_1.html</x:v>
      </x:c>
      <x:c r="P86" s="6" t="str">
        <x:v>2025/jama.2025.19843/.ai_paper_validation/final_report_1_5_1.md</x:v>
      </x:c>
      <x:c r="Q86" s="6" t="str">
        <x:v>C001</x:v>
      </x:c>
      <x:c r="R86" s="6" t="str">
        <x:v>Pending Human Adjudication</x:v>
      </x:c>
      <x:c r="S86" s="6" t="str">
        <x:v>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x:v>
      </x:c>
      <x:c r="T86" s="12" t="b">
        <x:v>1</x:v>
      </x:c>
      <x:c r="U86" s="6" t="str">
        <x:v>Conflicting printed P values for matched day-60 mortality result</x:v>
      </x:c>
      <x:c r="V86" s="6" t="str">
        <x:v>report_internal_inconsistency</x:v>
      </x:c>
      <x:c r="W86" s="6" t="str">
        <x:v>Conflicting printed P values for matched day-60 mortality result</x:v>
      </x:c>
      <x:c r="X86" s="6" t="str">
        <x:v>2025</x:v>
      </x:c>
      <x:c r="Y86" s="6" t="str">
        <x:v>meta_report/consistency_reclassification_2026-09-04/reclassified_candidates.json</x:v>
      </x:c>
      <x:c r="Z86" s="6" t="str">
        <x:v>S_C</x:v>
      </x:c>
      <x:c r="AA86" s="6" t="str">
        <x:v>report_internal_inconsistency</x:v>
      </x:c>
      <x:c r="AB86" s="6" t="str">
        <x:v>retain</x:v>
      </x:c>
    </x:row>
    <x:row r="87" ht="90" customHeight="1">
      <x:c r="A87" s="11" t="b">
        <x:v>0</x:v>
      </x:c>
      <x:c r="B87" s="3"/>
      <x:c r="C87" s="11" t="b">
        <x:v>0</x:v>
      </x:c>
      <x:c r="D87" s="3" t="str">
        <x:v>Numeric or arithmetic inconsistency</x:v>
      </x:c>
      <x:c r="E87" s="11" t="b">
        <x:v>0</x:v>
      </x:c>
      <x:c r="F87" s="3" t="str">
        <x:v>C001</x:v>
      </x:c>
      <x:c r="G87" s="3" t="str">
        <x:v>2025::jama.2025.20765::C001</x:v>
      </x:c>
      <x:c r="H87" s="3"/>
      <x:c r="I87" s="3" t="str">
        <x:v>DOC-001 main article — PDF p. 6, Table 2, continuous abstinence, self-reported only (ITT), adjusted RR.</x:v>
      </x:c>
      <x:c r="J87" s="11" t="b">
        <x:v>0</x:v>
      </x:c>
      <x:c r="K87" s="3" t="str">
        <x:v>jama.2025.20765</x:v>
      </x:c>
      <x:c r="L87" s="3"/>
      <x:c r="M87" s="3" t="str">
        <x:v>S_W</x:v>
      </x:c>
      <x:c r="N87" s="3" t="str">
        <x:v>Target is within one main article or one non-plan results supplement/workbook; no substantive plan comparison. Printed upper endpoint `42` versus the same-row estimate and companion interval context.</x:v>
      </x:c>
      <x:c r="O87" s="3" t="str">
        <x:v>../../2025/jama.2025.20765/.ai_paper_validation/final_report_1_5_1.html</x:v>
      </x:c>
      <x:c r="P87" s="3" t="str">
        <x:v>2025/jama.2025.20765/.ai_paper_validation/final_report_1_5_1.md</x:v>
      </x:c>
      <x:c r="Q87" s="3" t="str">
        <x:v>C001</x:v>
      </x:c>
      <x:c r="R87" s="3" t="str">
        <x:v>Pending Human Adjudication</x:v>
      </x:c>
      <x:c r="S87" s="3" t="str">
        <x:v>The printed adjusted self-reported abstinence RR interval has upper endpoint 42, an unusual interval field requiring confirmation against the fitted model output.</x:v>
      </x:c>
      <x:c r="T87" s="11" t="b">
        <x:v>1</x:v>
      </x:c>
      <x:c r="U87" s="3" t="str">
        <x:v>Adjusted self-reported abstinence interval endpoint printed as 42</x:v>
      </x:c>
      <x:c r="V87" s="3" t="str">
        <x:v>statistical_results</x:v>
      </x:c>
      <x:c r="W87" s="3" t="str">
        <x:v>Adjusted self-reported abstinence interval endpoint printed as 42</x:v>
      </x:c>
      <x:c r="X87" s="3" t="str">
        <x:v>2025</x:v>
      </x:c>
      <x:c r="Y87" s="3" t="str">
        <x:v>meta_report/consistency_reclassification_2026-09-04/reclassified_candidates.json</x:v>
      </x:c>
      <x:c r="Z87" s="3" t="str">
        <x:v>S_W</x:v>
      </x:c>
      <x:c r="AA87" s="3" t="str">
        <x:v>statistical_results</x:v>
      </x:c>
      <x:c r="AB87" s="3" t="str">
        <x:v>retain</x:v>
      </x:c>
    </x:row>
    <x:row r="88" ht="90" customHeight="1">
      <x:c r="A88" s="12" t="b">
        <x:v>0</x:v>
      </x:c>
      <x:c r="B88" s="6" t="str">
        <x:v>All-cause main total corroborates cause-label issue, while explicitly disaggregated TB deaths come from results supplement.</x:v>
      </x:c>
      <x:c r="C88" s="12" t="b">
        <x:v>0</x:v>
      </x:c>
      <x:c r="D88" s="6" t="str">
        <x:v>Cross-document numeric inconsistency</x:v>
      </x:c>
      <x:c r="E88" s="12" t="b">
        <x:v>1</x:v>
      </x:c>
      <x:c r="F88" s="6" t="str">
        <x:v>C002</x:v>
      </x:c>
      <x:c r="G88" s="6" t="str">
        <x:v>2025::jama.2025.20765::C002</x:v>
      </x:c>
      <x:c r="H88" s="6"/>
      <x:c r="I88" s="6" t="str">
        <x:v>DOC-001 main article — PDF p. 8, Discussion; PDF p. 5 and PDF p. 6, Results/Table 2; DOC-003 Supplement 2 — PDF p. 6, eTable 4.</x:v>
      </x:c>
      <x:c r="J88" s="12" t="b">
        <x:v>1</x:v>
      </x:c>
      <x:c r="K88" s="6" t="str">
        <x:v>jama.2025.20765</x:v>
      </x:c>
      <x:c r="L88" s="6"/>
      <x:c r="M88" s="6" t="str">
        <x:v>S_C</x:v>
      </x:c>
      <x:c r="N88" s="6" t="str">
        <x:v>Target explicitly compares current main article and non-plan results supplement/workbook. 4.8% labelled TB deaths versus 52/1080 all-cause deaths and 32/1080 TB-cause deaths.</x:v>
      </x:c>
      <x:c r="O88" s="6" t="str">
        <x:v>../../2025/jama.2025.20765/.ai_paper_validation/final_report_1_5_1.html</x:v>
      </x:c>
      <x:c r="P88" s="6" t="str">
        <x:v>2025/jama.2025.20765/.ai_paper_validation/final_report_1_5_1.md</x:v>
      </x:c>
      <x:c r="Q88" s="6" t="str">
        <x:v>C002</x:v>
      </x:c>
      <x:c r="R88" s="6" t="str">
        <x:v>Pending Human Adjudication</x:v>
      </x:c>
      <x:c r="S88" s="6" t="str">
        <x:v>The discussion's 4.8% phrase “died of TB” matches the all-cause death total rather than the supplied TB-cause count.</x:v>
      </x:c>
      <x:c r="T88" s="12" t="b">
        <x:v>1</x:v>
      </x:c>
      <x:c r="U88" s="6" t="str">
        <x:v>Discussion labels the all-cause death percentage as TB deaths</x:v>
      </x:c>
      <x:c r="V88" s="6" t="str">
        <x:v>report_internal_inconsistency</x:v>
      </x:c>
      <x:c r="W88" s="6" t="str">
        <x:v>Discussion labels the all-cause death percentage as TB deaths</x:v>
      </x:c>
      <x:c r="X88" s="6" t="str">
        <x:v>2025</x:v>
      </x:c>
      <x:c r="Y88" s="6" t="str">
        <x:v>meta_report/consistency_reclassification_2026-09-04/reclassified_candidates.json</x:v>
      </x:c>
      <x:c r="Z88" s="6" t="str">
        <x:v>S_C</x:v>
      </x:c>
      <x:c r="AA88" s="6" t="str">
        <x:v>report_internal_inconsistency</x:v>
      </x:c>
      <x:c r="AB88" s="6" t="str">
        <x:v>retain</x:v>
      </x:c>
    </x:row>
    <x:row r="89" ht="90" customHeight="1">
      <x:c r="A89" s="11" t="b">
        <x:v>0</x:v>
      </x:c>
      <x:c r="B89" s="3"/>
      <x:c r="C89" s="11" t="b">
        <x:v>1</x:v>
      </x:c>
      <x:c r="D89" s="3" t="str">
        <x:v>Numeric or arithmetic inconsistency</x:v>
      </x:c>
      <x:c r="E89" s="11" t="b">
        <x:v>0</x:v>
      </x:c>
      <x:c r="F89" s="3" t="str">
        <x:v>C003</x:v>
      </x:c>
      <x:c r="G89" s="3" t="str">
        <x:v>2025::jama.2025.20765::C003</x:v>
      </x:c>
      <x:c r="H89" s="3"/>
      <x:c r="I89" s="3" t="str">
        <x:v>DOC-002 Supplement 1 — PDF p. 16.</x:v>
      </x:c>
      <x:c r="J89" s="11" t="b">
        <x:v>0</x:v>
      </x:c>
      <x:c r="K89" s="3" t="str">
        <x:v>jama.2025.20765</x:v>
      </x:c>
      <x:c r="L89" s="3"/>
      <x:c r="M89" s="3" t="str">
        <x:v>P_P</x:v>
      </x:c>
      <x:c r="N89" s="3" t="str">
        <x:v>Target is internal to protocol/SAP definitions, calculations, or plan versions; final results are not the conflicting comparator. Printed total 178 versus the schedule's conservative minimum.</x:v>
      </x:c>
      <x:c r="O89" s="3" t="str">
        <x:v>../../2025/jama.2025.20765/.ai_paper_validation/final_report_1_5_1.html</x:v>
      </x:c>
      <x:c r="P89" s="3" t="str">
        <x:v>2025/jama.2025.20765/.ai_paper_validation/final_report_1_5_1.md</x:v>
      </x:c>
      <x:c r="Q89" s="3" t="str">
        <x:v>C003</x:v>
      </x:c>
      <x:c r="R89" s="3" t="str">
        <x:v>Pending Human Adjudication</x:v>
      </x:c>
      <x:c r="S89" s="3" t="str">
        <x:v>A six-month plan states 178 SMS but its own minimum printed schedule exceeds that total.</x:v>
      </x:c>
      <x:c r="T89" s="11" t="b">
        <x:v>0</x:v>
      </x:c>
      <x:c r="U89" s="3" t="str">
        <x:v>178-message total conflicts with its printed frequency schedule</x:v>
      </x:c>
      <x:c r="V89" s="3" t="str">
        <x:v>plan_material</x:v>
      </x:c>
      <x:c r="W89" s="3" t="str">
        <x:v>178-message total conflicts with its printed frequency schedule</x:v>
      </x:c>
      <x:c r="X89" s="3" t="str">
        <x:v>2025</x:v>
      </x:c>
      <x:c r="Y89" s="3" t="str">
        <x:v>meta_report/consistency_reclassification_2026-09-04/reclassified_candidates.json</x:v>
      </x:c>
      <x:c r="Z89" s="3" t="str">
        <x:v>P_P</x:v>
      </x:c>
      <x:c r="AA89" s="3" t="str">
        <x:v>plan_material</x:v>
      </x:c>
      <x:c r="AB89" s="3" t="str">
        <x:v>retain</x:v>
      </x:c>
    </x:row>
    <x:row r="90" ht="90" customHeight="1">
      <x:c r="A90" s="12" t="b">
        <x:v>0</x:v>
      </x:c>
      <x:c r="B90" s="6"/>
      <x:c r="C90" s="12" t="b">
        <x:v>1</x:v>
      </x:c>
      <x:c r="D90" s="6" t="str">
        <x:v>Cross-document numeric inconsistency</x:v>
      </x:c>
      <x:c r="E90" s="12" t="b">
        <x:v>0</x:v>
      </x:c>
      <x:c r="F90" s="6" t="str">
        <x:v>C004</x:v>
      </x:c>
      <x:c r="G90" s="6" t="str">
        <x:v>2025::jama.2025.20765::C004</x:v>
      </x:c>
      <x:c r="H90" s="6"/>
      <x:c r="I90" s="6" t="str">
        <x:v>DOC-002 Supplement 1 — PDF p. 10 and PDF p. 26.</x:v>
      </x:c>
      <x:c r="J90" s="12" t="b">
        <x:v>1</x:v>
      </x:c>
      <x:c r="K90" s="6" t="str">
        <x:v>jama.2025.20765</x:v>
      </x:c>
      <x:c r="L90" s="6"/>
      <x:c r="M90" s="6" t="str">
        <x:v>P_P</x:v>
      </x:c>
      <x:c r="N90" s="6" t="str">
        <x:v>Target is internal to protocol/SAP definitions, calculations, or plan versions; final results are not the conflicting comparator. 44 versus 48 sites for the same printed plan.</x:v>
      </x:c>
      <x:c r="O90" s="6" t="str">
        <x:v>../../2025/jama.2025.20765/.ai_paper_validation/final_report_1_5_1.html</x:v>
      </x:c>
      <x:c r="P90" s="6" t="str">
        <x:v>2025/jama.2025.20765/.ai_paper_validation/final_report_1_5_1.md</x:v>
      </x:c>
      <x:c r="Q90" s="6" t="str">
        <x:v>C004</x:v>
      </x:c>
      <x:c r="R90" s="6" t="str">
        <x:v>Pending Human Adjudication</x:v>
      </x:c>
      <x:c r="S90" s="6" t="str">
        <x:v>Matched repeated plan text gives 44 facilities in one location and 48 clinics in another.</x:v>
      </x:c>
      <x:c r="T90" s="12" t="b">
        <x:v>0</x:v>
      </x:c>
      <x:c r="U90" s="6" t="str">
        <x:v>Repeated 2,384-participant plan names 44 and 48 facilities</x:v>
      </x:c>
      <x:c r="V90" s="6" t="str">
        <x:v>plan_material</x:v>
      </x:c>
      <x:c r="W90" s="6" t="str">
        <x:v>Repeated 2,384-participant plan names 44 and 48 facilities</x:v>
      </x:c>
      <x:c r="X90" s="6" t="str">
        <x:v>2025</x:v>
      </x:c>
      <x:c r="Y90" s="6" t="str">
        <x:v>meta_report/consistency_reclassification_2026-09-04/reclassified_candidates.json</x:v>
      </x:c>
      <x:c r="Z90" s="6" t="str">
        <x:v>P_P</x:v>
      </x:c>
      <x:c r="AA90" s="6" t="str">
        <x:v>plan_material</x:v>
      </x:c>
      <x:c r="AB90" s="6" t="str">
        <x:v>retain</x:v>
      </x:c>
    </x:row>
    <x:row r="91" ht="90" customHeight="1">
      <x:c r="A91" s="11" t="b">
        <x:v>0</x:v>
      </x:c>
      <x:c r="B91" s="3"/>
      <x:c r="C91" s="11" t="b">
        <x:v>1</x:v>
      </x:c>
      <x:c r="D91" s="3" t="str">
        <x:v>Numeric or arithmetic inconsistency</x:v>
      </x:c>
      <x:c r="E91" s="11" t="b">
        <x:v>0</x:v>
      </x:c>
      <x:c r="F91" s="3" t="str">
        <x:v>C005</x:v>
      </x:c>
      <x:c r="G91" s="3" t="str">
        <x:v>2025::jama.2025.20765::C005</x:v>
      </x:c>
      <x:c r="H91" s="3"/>
      <x:c r="I91" s="3" t="str">
        <x:v>DOC-002 Supplement 1 — PDF p. 53.</x:v>
      </x:c>
      <x:c r="J91" s="11" t="b">
        <x:v>0</x:v>
      </x:c>
      <x:c r="K91" s="3" t="str">
        <x:v>jama.2025.20765</x:v>
      </x:c>
      <x:c r="L91" s="3"/>
      <x:c r="M91" s="3" t="str">
        <x:v>P_P</x:v>
      </x:c>
      <x:c r="N91" s="3" t="str">
        <x:v>Target is internal to protocol/SAP definitions, calculations, or plan versions; final results are not the conflicting comparator. Printed total 134 versus schedule minimum.</x:v>
      </x:c>
      <x:c r="O91" s="3" t="str">
        <x:v>../../2025/jama.2025.20765/.ai_paper_validation/final_report_1_5_1.html</x:v>
      </x:c>
      <x:c r="P91" s="3" t="str">
        <x:v>2025/jama.2025.20765/.ai_paper_validation/final_report_1_5_1.md</x:v>
      </x:c>
      <x:c r="Q91" s="3" t="str">
        <x:v>C005</x:v>
      </x:c>
      <x:c r="R91" s="3" t="str">
        <x:v>Pending Human Adjudication</x:v>
      </x:c>
      <x:c r="S91" s="3" t="str">
        <x:v>A 134-message six-month statement conflicts with the minimum implied by its printed schedule.</x:v>
      </x:c>
      <x:c r="T91" s="11" t="b">
        <x:v>0</x:v>
      </x:c>
      <x:c r="U91" s="3" t="str">
        <x:v>134-message total conflicts with its printed frequency schedule</x:v>
      </x:c>
      <x:c r="V91" s="3" t="str">
        <x:v>plan_material</x:v>
      </x:c>
      <x:c r="W91" s="3" t="str">
        <x:v>134-message total conflicts with its printed frequency schedule</x:v>
      </x:c>
      <x:c r="X91" s="3" t="str">
        <x:v>2025</x:v>
      </x:c>
      <x:c r="Y91" s="3" t="str">
        <x:v>meta_report/consistency_reclassification_2026-09-04/reclassified_candidates.json</x:v>
      </x:c>
      <x:c r="Z91" s="3" t="str">
        <x:v>P_P</x:v>
      </x:c>
      <x:c r="AA91" s="3" t="str">
        <x:v>plan_material</x:v>
      </x:c>
      <x:c r="AB91" s="3" t="str">
        <x:v>retain</x:v>
      </x:c>
    </x:row>
    <x:row r="92" ht="90" customHeight="1">
      <x:c r="A92" s="12" t="b">
        <x:v>0</x:v>
      </x:c>
      <x:c r="B92" s="6"/>
      <x:c r="C92" s="12" t="b">
        <x:v>1</x:v>
      </x:c>
      <x:c r="D92" s="6" t="str">
        <x:v>Measure, label, or scale inconsistency</x:v>
      </x:c>
      <x:c r="E92" s="12" t="b">
        <x:v>0</x:v>
      </x:c>
      <x:c r="F92" s="6" t="str">
        <x:v>C006</x:v>
      </x:c>
      <x:c r="G92" s="6" t="str">
        <x:v>2025::jama.2025.20765::C006</x:v>
      </x:c>
      <x:c r="H92" s="6"/>
      <x:c r="I92" s="6" t="str">
        <x:v>DOC-002 Supplement 1 — PDF p. 55.</x:v>
      </x:c>
      <x:c r="J92" s="12" t="b">
        <x:v>0</x:v>
      </x:c>
      <x:c r="K92" s="6" t="str">
        <x:v>jama.2025.20765</x:v>
      </x:c>
      <x:c r="L92" s="6"/>
      <x:c r="M92" s="6" t="str">
        <x:v>P_P</x:v>
      </x:c>
      <x:c r="N92" s="6" t="str">
        <x:v>Target is internal to protocol/SAP definitions, calculations, or plan versions; final results are not the conflicting comparator. 30% header versus 20%/100% phase-specific calculation.</x:v>
      </x:c>
      <x:c r="O92" s="6" t="str">
        <x:v>../../2025/jama.2025.20765/.ai_paper_validation/final_report_1_5_1.html</x:v>
      </x:c>
      <x:c r="P92" s="6" t="str">
        <x:v>2025/jama.2025.20765/.ai_paper_validation/final_report_1_5_1.md</x:v>
      </x:c>
      <x:c r="Q92" s="6" t="str">
        <x:v>C006</x:v>
      </x:c>
      <x:c r="R92" s="6" t="str">
        <x:v>Pending Human Adjudication</x:v>
      </x:c>
      <x:c r="S92" s="6" t="str">
        <x:v>A TAM sampling header says 30%, while contemporaneous phase-specific narrative and equations show 20% Phase 3 and all Phase 4 participants.</x:v>
      </x:c>
      <x:c r="T92" s="12" t="b">
        <x:v>0</x:v>
      </x:c>
      <x:c r="U92" s="6" t="str">
        <x:v>TAM sampling header conflicts with contemporaneous narrative and equations</x:v>
      </x:c>
      <x:c r="V92" s="6" t="str">
        <x:v>plan_material</x:v>
      </x:c>
      <x:c r="W92" s="6" t="str">
        <x:v>TAM sampling header conflicts with contemporaneous narrative and equations</x:v>
      </x:c>
      <x:c r="X92" s="6" t="str">
        <x:v>2025</x:v>
      </x:c>
      <x:c r="Y92" s="6" t="str">
        <x:v>meta_report/consistency_reclassification_2026-09-04/reclassified_candidates.json</x:v>
      </x:c>
      <x:c r="Z92" s="6" t="str">
        <x:v>P_P</x:v>
      </x:c>
      <x:c r="AA92" s="6" t="str">
        <x:v>plan_material</x:v>
      </x:c>
      <x:c r="AB92" s="6" t="str">
        <x:v>retain</x:v>
      </x:c>
    </x:row>
    <x:row r="93" ht="90" customHeight="1">
      <x:c r="A93" s="11" t="b">
        <x:v>0</x:v>
      </x:c>
      <x:c r="B93" s="3"/>
      <x:c r="C93" s="11" t="b">
        <x:v>1</x:v>
      </x:c>
      <x:c r="D93" s="3" t="str">
        <x:v>Cross-document numeric inconsistency</x:v>
      </x:c>
      <x:c r="E93" s="11" t="b">
        <x:v>0</x:v>
      </x:c>
      <x:c r="F93" s="3" t="str">
        <x:v>C007</x:v>
      </x:c>
      <x:c r="G93" s="3" t="str">
        <x:v>2025::jama.2025.20765::C007</x:v>
      </x:c>
      <x:c r="H93" s="3"/>
      <x:c r="I93" s="3" t="str">
        <x:v>DOC-002 Supplement 1 — PDF p. 48, PDF p. 51, PDF p. 52, and PDF p. 62.</x:v>
      </x:c>
      <x:c r="J93" s="11" t="b">
        <x:v>1</x:v>
      </x:c>
      <x:c r="K93" s="3" t="str">
        <x:v>jama.2025.20765</x:v>
      </x:c>
      <x:c r="L93" s="3"/>
      <x:c r="M93" s="3" t="str">
        <x:v>P_P</x:v>
      </x:c>
      <x:c r="N93" s="3" t="str">
        <x:v>Target is internal to protocol/SAP definitions, calculations, or plan versions; final results are not the conflicting comparator. Same plan total with 48/~50 versus 63/~43.</x:v>
      </x:c>
      <x:c r="O93" s="3" t="str">
        <x:v>../../2025/jama.2025.20765/.ai_paper_validation/final_report_1_5_1.html</x:v>
      </x:c>
      <x:c r="P93" s="3" t="str">
        <x:v>2025/jama.2025.20765/.ai_paper_validation/final_report_1_5_1.md</x:v>
      </x:c>
      <x:c r="Q93" s="3" t="str">
        <x:v>C007</x:v>
      </x:c>
      <x:c r="R93" s="3" t="str">
        <x:v>Pending Human Adjudication</x:v>
      </x:c>
      <x:c r="S93" s="3" t="str">
        <x:v>A later 2,716-participant plan presents 48 clinics and approximately 50 recruits per clinic, while related text and diagram present 63 sites and approximately 43 per site.</x:v>
      </x:c>
      <x:c r="T93" s="11" t="b">
        <x:v>0</x:v>
      </x:c>
      <x:c r="U93" s="3" t="str">
        <x:v>Later 2,716-participant plan gives 48 clinics versus a 63-site diagram</x:v>
      </x:c>
      <x:c r="V93" s="3" t="str">
        <x:v>plan_material</x:v>
      </x:c>
      <x:c r="W93" s="3" t="str">
        <x:v>Later 2,716-participant plan gives 48 clinics versus a 63-site diagram</x:v>
      </x:c>
      <x:c r="X93" s="3" t="str">
        <x:v>2025</x:v>
      </x:c>
      <x:c r="Y93" s="3" t="str">
        <x:v>meta_report/consistency_reclassification_2026-09-04/reclassified_candidates.json</x:v>
      </x:c>
      <x:c r="Z93" s="3" t="str">
        <x:v>P_P</x:v>
      </x:c>
      <x:c r="AA93" s="3" t="str">
        <x:v>plan_material</x:v>
      </x:c>
      <x:c r="AB93" s="3" t="str">
        <x:v>retain</x:v>
      </x:c>
    </x:row>
    <x:row r="94" ht="90" customHeight="1">
      <x:c r="A94" s="12" t="b">
        <x:v>0</x:v>
      </x:c>
      <x:c r="B94" s="6"/>
      <x:c r="C94" s="12" t="b">
        <x:v>1</x:v>
      </x:c>
      <x:c r="D94" s="6" t="str">
        <x:v>Numeric or arithmetic inconsistency</x:v>
      </x:c>
      <x:c r="E94" s="12" t="b">
        <x:v>0</x:v>
      </x:c>
      <x:c r="F94" s="6" t="str">
        <x:v>C008</x:v>
      </x:c>
      <x:c r="G94" s="6" t="str">
        <x:v>2025::jama.2025.20765::C008</x:v>
      </x:c>
      <x:c r="H94" s="6"/>
      <x:c r="I94" s="6" t="str">
        <x:v>DOC-002 Supplement 1 — PDF p. 64.</x:v>
      </x:c>
      <x:c r="J94" s="12" t="b">
        <x:v>0</x:v>
      </x:c>
      <x:c r="K94" s="6" t="str">
        <x:v>jama.2025.20765</x:v>
      </x:c>
      <x:c r="L94" s="6"/>
      <x:c r="M94" s="6" t="str">
        <x:v>P_P</x:v>
      </x:c>
      <x:c r="N94" s="6" t="str">
        <x:v>Target is internal to protocol/SAP definitions, calculations, or plan versions; final results are not the conflicting comparator. Displayed `1036×1.56=1620` versus exact product and the separate site-target total.</x:v>
      </x:c>
      <x:c r="O94" s="6" t="str">
        <x:v>../../2025/jama.2025.20765/.ai_paper_validation/final_report_1_5_1.html</x:v>
      </x:c>
      <x:c r="P94" s="6" t="str">
        <x:v>2025/jama.2025.20765/.ai_paper_validation/final_report_1_5_1.md</x:v>
      </x:c>
      <x:c r="Q94" s="6" t="str">
        <x:v>C008</x:v>
      </x:c>
      <x:c r="R94" s="6" t="str">
        <x:v>Pending Human Adjudication</x:v>
      </x:c>
      <x:c r="S94" s="6" t="str">
        <x:v>A Phase-4 display equates 1,036 multiplied by 1.56 to 1,620, although the exact product differs.</x:v>
      </x:c>
      <x:c r="T94" s="12" t="b">
        <x:v>0</x:v>
      </x:c>
      <x:c r="U94" s="6" t="str">
        <x:v>Phase-4 design-effect equality does not reproduce from printed inputs</x:v>
      </x:c>
      <x:c r="V94" s="6" t="str">
        <x:v>plan_material</x:v>
      </x:c>
      <x:c r="W94" s="6" t="str">
        <x:v>Phase-4 design-effect equality does not reproduce from printed inputs</x:v>
      </x:c>
      <x:c r="X94" s="6" t="str">
        <x:v>2025</x:v>
      </x:c>
      <x:c r="Y94" s="6" t="str">
        <x:v>meta_report/consistency_reclassification_2026-09-04/reclassified_candidates.json</x:v>
      </x:c>
      <x:c r="Z94" s="6" t="str">
        <x:v>P_P</x:v>
      </x:c>
      <x:c r="AA94" s="6" t="str">
        <x:v>plan_material</x:v>
      </x:c>
      <x:c r="AB94" s="6" t="str">
        <x:v>retain</x:v>
      </x:c>
    </x:row>
    <x:row r="95" ht="90" customHeight="1">
      <x:c r="A95" s="11" t="b">
        <x:v>0</x:v>
      </x:c>
      <x:c r="B95" s="3"/>
      <x:c r="C95" s="11" t="b">
        <x:v>1</x:v>
      </x:c>
      <x:c r="D95" s="3" t="str">
        <x:v>Measure, label, or scale inconsistency</x:v>
      </x:c>
      <x:c r="E95" s="11" t="b">
        <x:v>0</x:v>
      </x:c>
      <x:c r="F95" s="3" t="str">
        <x:v>C009</x:v>
      </x:c>
      <x:c r="G95" s="3" t="str">
        <x:v>2025::jama.2025.20765::C009</x:v>
      </x:c>
      <x:c r="H95" s="3"/>
      <x:c r="I95" s="3" t="str">
        <x:v>DOC-002 Supplement 1 — PDF p. 64.</x:v>
      </x:c>
      <x:c r="J95" s="11" t="b">
        <x:v>0</x:v>
      </x:c>
      <x:c r="K95" s="3" t="str">
        <x:v>jama.2025.20765</x:v>
      </x:c>
      <x:c r="L95" s="3"/>
      <x:c r="M95" s="3" t="str">
        <x:v>P_P</x:v>
      </x:c>
      <x:c r="N95" s="3" t="str">
        <x:v>Target is internal to protocol/SAP definitions, calculations, or plan versions; final results are not the conflicting comparator. Phase-3/Superiority label versus local Phase-4/noninferiority plan.</x:v>
      </x:c>
      <x:c r="O95" s="3" t="str">
        <x:v>../../2025/jama.2025.20765/.ai_paper_validation/final_report_1_5_1.html</x:v>
      </x:c>
      <x:c r="P95" s="3" t="str">
        <x:v>2025/jama.2025.20765/.ai_paper_validation/final_report_1_5_1.md</x:v>
      </x:c>
      <x:c r="Q95" s="3" t="str">
        <x:v>C009</x:v>
      </x:c>
      <x:c r="R95" s="3" t="str">
        <x:v>Pending Human Adjudication</x:v>
      </x:c>
      <x:c r="S95" s="3" t="str">
        <x:v>A diagram within a Phase-4 noninferiority section is labelled “Phase 3 (Superiority trial).”</x:v>
      </x:c>
      <x:c r="T95" s="11" t="b">
        <x:v>0</x:v>
      </x:c>
      <x:c r="U95" s="3" t="str">
        <x:v>Phase-4 diagram is labelled Phase 3/Superiority</x:v>
      </x:c>
      <x:c r="V95" s="3" t="str">
        <x:v>plan_material</x:v>
      </x:c>
      <x:c r="W95" s="3" t="str">
        <x:v>Phase-4 diagram is labelled Phase 3/Superiority</x:v>
      </x:c>
      <x:c r="X95" s="3" t="str">
        <x:v>2025</x:v>
      </x:c>
      <x:c r="Y95" s="3" t="str">
        <x:v>meta_report/consistency_reclassification_2026-09-04/reclassified_candidates.json</x:v>
      </x:c>
      <x:c r="Z95" s="3" t="str">
        <x:v>P_P</x:v>
      </x:c>
      <x:c r="AA95" s="3" t="str">
        <x:v>plan_material</x:v>
      </x:c>
      <x:c r="AB95" s="3" t="str">
        <x:v>retain</x:v>
      </x:c>
    </x:row>
    <x:row r="96" ht="90" customHeight="1">
      <x:c r="A96" s="12" t="b">
        <x:v>0</x:v>
      </x:c>
      <x:c r="B96" s="6"/>
      <x:c r="C96" s="12" t="b">
        <x:v>1</x:v>
      </x:c>
      <x:c r="D96" s="6" t="str">
        <x:v>Statistical reporting inconsistency</x:v>
      </x:c>
      <x:c r="E96" s="12" t="b">
        <x:v>0</x:v>
      </x:c>
      <x:c r="F96" s="6" t="str">
        <x:v>C010</x:v>
      </x:c>
      <x:c r="G96" s="6" t="str">
        <x:v>2025::jama.2025.20765::C010</x:v>
      </x:c>
      <x:c r="H96" s="6"/>
      <x:c r="I96" s="6" t="str">
        <x:v>DOC-002 Supplement 1 — PDF p. 63 and PDF p. 83.</x:v>
      </x:c>
      <x:c r="J96" s="12" t="b">
        <x:v>0</x:v>
      </x:c>
      <x:c r="K96" s="6" t="str">
        <x:v>jama.2025.20765</x:v>
      </x:c>
      <x:c r="L96" s="6"/>
      <x:c r="M96" s="6" t="str">
        <x:v>P_P</x:v>
      </x:c>
      <x:c r="N96" s="6" t="str">
        <x:v>Target is internal to protocol/SAP definitions, calculations, or plan versions; final results are not the conflicting comparator. `704×1.50≈1080` and “effective sample size” versus exact multiplication and the independent `27×40=1080` cluster allocation.</x:v>
      </x:c>
      <x:c r="O96" s="6" t="str">
        <x:v>../../2025/jama.2025.20765/.ai_paper_validation/final_report_1_5_1.html</x:v>
      </x:c>
      <x:c r="P96" s="6" t="str">
        <x:v>2025/jama.2025.20765/.ai_paper_validation/final_report_1_5_1.md</x:v>
      </x:c>
      <x:c r="Q96" s="6" t="str">
        <x:v>C010</x:v>
      </x:c>
      <x:c r="R96" s="6" t="str">
        <x:v>Pending Human Adjudication</x:v>
      </x:c>
      <x:c r="S96" s="6" t="str">
        <x:v>A Phase-3 display reports 704×1.50≈1080 and calls it effective sample size without documenting the cluster-rounding/allocation transition or terminology.</x:v>
      </x:c>
      <x:c r="T96" s="12" t="b">
        <x:v>0</x:v>
      </x:c>
      <x:c r="U96" s="6" t="str">
        <x:v>Phase-3 design-effect display gives undocumented 1,080 effective sample size</x:v>
      </x:c>
      <x:c r="V96" s="6" t="str">
        <x:v>plan_material</x:v>
      </x:c>
      <x:c r="W96" s="6" t="str">
        <x:v>Phase-3 design-effect display gives undocumented 1,080 effective sample size</x:v>
      </x:c>
      <x:c r="X96" s="6" t="str">
        <x:v>2025</x:v>
      </x:c>
      <x:c r="Y96" s="6" t="str">
        <x:v>meta_report/consistency_reclassification_2026-09-04/reclassified_candidates.json</x:v>
      </x:c>
      <x:c r="Z96" s="6" t="str">
        <x:v>P_P</x:v>
      </x:c>
      <x:c r="AA96" s="6" t="str">
        <x:v>plan_material</x:v>
      </x:c>
      <x:c r="AB96" s="6" t="str">
        <x:v>retain</x:v>
      </x:c>
    </x:row>
    <x:row r="97" ht="90" customHeight="1">
      <x:c r="A97" s="11" t="b">
        <x:v>0</x:v>
      </x:c>
      <x:c r="B97" s="3"/>
      <x:c r="C97" s="11" t="b">
        <x:v>1</x:v>
      </x:c>
      <x:c r="D97" s="3" t="str">
        <x:v>Measure, label, or scale inconsistency</x:v>
      </x:c>
      <x:c r="E97" s="11" t="b">
        <x:v>0</x:v>
      </x:c>
      <x:c r="F97" s="3" t="str">
        <x:v>C011</x:v>
      </x:c>
      <x:c r="G97" s="3" t="str">
        <x:v>2025::jama.2025.20765::C011</x:v>
      </x:c>
      <x:c r="H97" s="3"/>
      <x:c r="I97" s="3" t="str">
        <x:v>DOC-002 Supplement 1 — PDF p. 85.</x:v>
      </x:c>
      <x:c r="J97" s="11" t="b">
        <x:v>0</x:v>
      </x:c>
      <x:c r="K97" s="3" t="str">
        <x:v>jama.2025.20765</x:v>
      </x:c>
      <x:c r="L97" s="3"/>
      <x:c r="M97" s="3" t="str">
        <x:v>P_P</x:v>
      </x:c>
      <x:c r="N97" s="3" t="str">
        <x:v>Target is internal to protocol/SAP definitions, calculations, or plan versions; final results are not the conflicting comparator. Printed 5-35 range versus the stated five-domain 5-point description.</x:v>
      </x:c>
      <x:c r="O97" s="3" t="str">
        <x:v>../../2025/jama.2025.20765/.ai_paper_validation/final_report_1_5_1.html</x:v>
      </x:c>
      <x:c r="P97" s="3" t="str">
        <x:v>2025/jama.2025.20765/.ai_paper_validation/final_report_1_5_1.md</x:v>
      </x:c>
      <x:c r="Q97" s="3" t="str">
        <x:v>C011</x:v>
      </x:c>
      <x:c r="R97" s="3" t="str">
        <x:v>Pending Human Adjudication</x:v>
      </x:c>
      <x:c r="S97" s="3" t="str">
        <x:v>The MPSS description names five 5-point domains but gives a summed 5-35 range without explaining the scoring rule.</x:v>
      </x:c>
      <x:c r="T97" s="11" t="b">
        <x:v>0</x:v>
      </x:c>
      <x:c r="U97" s="3" t="str">
        <x:v>MPSS score range conflicts with stated item scale</x:v>
      </x:c>
      <x:c r="V97" s="3" t="str">
        <x:v>plan_material</x:v>
      </x:c>
      <x:c r="W97" s="3" t="str">
        <x:v>MPSS score range conflicts with stated item scale</x:v>
      </x:c>
      <x:c r="X97" s="3" t="str">
        <x:v>2025</x:v>
      </x:c>
      <x:c r="Y97" s="3" t="str">
        <x:v>meta_report/consistency_reclassification_2026-09-04/reclassified_candidates.json</x:v>
      </x:c>
      <x:c r="Z97" s="3" t="str">
        <x:v>P_P</x:v>
      </x:c>
      <x:c r="AA97" s="3" t="str">
        <x:v>plan_material</x:v>
      </x:c>
      <x:c r="AB97" s="3" t="str">
        <x:v>retain</x:v>
      </x:c>
    </x:row>
    <x:row r="98" ht="90" customHeight="1">
      <x:c r="A98" s="12" t="b">
        <x:v>0</x:v>
      </x:c>
      <x:c r="B98" s="6"/>
      <x:c r="C98" s="12" t="b">
        <x:v>0</x:v>
      </x:c>
      <x:c r="D98" s="6" t="str">
        <x:v>Rate-versus-count inconsistency</x:v>
      </x:c>
      <x:c r="E98" s="12" t="b">
        <x:v>0</x:v>
      </x:c>
      <x:c r="F98" s="6" t="str">
        <x:v>C012</x:v>
      </x:c>
      <x:c r="G98" s="6" t="str">
        <x:v>2025::jama.2025.20765::C012</x:v>
      </x:c>
      <x:c r="H98" s="6"/>
      <x:c r="I98" s="6" t="str">
        <x:v>DOC-003 Supplement 2 — PDF p. 8, eTable 5; PDF p. 9, eTable 6.</x:v>
      </x:c>
      <x:c r="J98" s="12" t="b">
        <x:v>0</x:v>
      </x:c>
      <x:c r="K98" s="6" t="str">
        <x:v>jama.2025.20765</x:v>
      </x:c>
      <x:c r="L98" s="6"/>
      <x:c r="M98" s="6" t="str">
        <x:v>S_W</x:v>
      </x:c>
      <x:c r="N98" s="6" t="str">
        <x:v>Target is within one main article or one non-plan results supplement/workbook; no substantive plan comparison. 5 deaths (7.5%) versus matched same-site 40-person recruitment/ITT denominator.</x:v>
      </x:c>
      <x:c r="O98" s="6" t="str">
        <x:v>../../2025/jama.2025.20765/.ai_paper_validation/final_report_1_5_1.html</x:v>
      </x:c>
      <x:c r="P98" s="6" t="str">
        <x:v>2025/jama.2025.20765/.ai_paper_validation/final_report_1_5_1.md</x:v>
      </x:c>
      <x:c r="Q98" s="6" t="str">
        <x:v>C012</x:v>
      </x:c>
      <x:c r="R98" s="6" t="str">
        <x:v>Pending Human Adjudication</x:v>
      </x:c>
      <x:c r="S98" s="6" t="str">
        <x:v>Site 2008 is reported as 5 deaths (7.5%) without a denominator compatible with the supplied same-site recruitment/ITT total.</x:v>
      </x:c>
      <x:c r="T98" s="12" t="b">
        <x:v>1</x:v>
      </x:c>
      <x:c r="U98" s="6" t="str">
        <x:v>Site 2008 death count and percentage lack a compatible supplied denominator</x:v>
      </x:c>
      <x:c r="V98" s="6" t="str">
        <x:v>statistical_results</x:v>
      </x:c>
      <x:c r="W98" s="6" t="str">
        <x:v>Site 2008 death count and percentage lack a compatible supplied denominator</x:v>
      </x:c>
      <x:c r="X98" s="6" t="str">
        <x:v>2025</x:v>
      </x:c>
      <x:c r="Y98" s="6" t="str">
        <x:v>meta_report/consistency_reclassification_2026-09-04/reclassified_candidates.json</x:v>
      </x:c>
      <x:c r="Z98" s="6" t="str">
        <x:v>S_W</x:v>
      </x:c>
      <x:c r="AA98" s="6" t="str">
        <x:v>statistical_results</x:v>
      </x:c>
      <x:c r="AB98" s="6" t="str">
        <x:v>retain</x:v>
      </x:c>
    </x:row>
    <x:row r="99" ht="90" customHeight="1">
      <x:c r="A99" s="11" t="b">
        <x:v>0</x:v>
      </x:c>
      <x:c r="B99" s="3" t="str">
        <x:v>Explicit old-plan versus later-plan and reported 178/134 message total difference. Distinct from schedule arithmetic C003/C005; chronology unresolved.</x:v>
      </x:c>
      <x:c r="C99" s="11" t="b">
        <x:v>1</x:v>
      </x:c>
      <x:c r="D99" s="3" t="str">
        <x:v>Cross-document numeric inconsistency</x:v>
      </x:c>
      <x:c r="E99" s="11" t="b">
        <x:v>1</x:v>
      </x:c>
      <x:c r="F99" s="3" t="str">
        <x:v>C013</x:v>
      </x:c>
      <x:c r="G99" s="3" t="str">
        <x:v>2025::jama.2025.20765::C013</x:v>
      </x:c>
      <x:c r="H99" s="3"/>
      <x:c r="I99" s="3" t="str">
        <x:v>DOC-002 Supplement 1 — PDF p. 16, PDF p. 53, PDF p. 80, and PDF p. 101 through PDF p. 109; DOC-001 main article — PDF p. 3.</x:v>
      </x:c>
      <x:c r="J99" s="11" t="b">
        <x:v>1</x:v>
      </x:c>
      <x:c r="K99" s="3" t="str">
        <x:v>jama.2025.20765</x:v>
      </x:c>
      <x:c r="L99" s="3" t="str">
        <x:v>intervention_delivery</x:v>
      </x:c>
      <x:c r="M99" s="3" t="str">
        <x:v>P_R</x:v>
      </x:c>
      <x:c r="N99" s="3" t="str">
        <x:v>Target compares reported current-study content with supplied protocol/SAP specification. 178 versus 134 for matched six-month intervention dose.</x:v>
      </x:c>
      <x:c r="O99" s="3" t="str">
        <x:v>../../2025/jama.2025.20765/.ai_paper_validation/final_report_1_5_1.html</x:v>
      </x:c>
      <x:c r="P99" s="3" t="str">
        <x:v>2025/jama.2025.20765/.ai_paper_validation/final_report_1_5_1.md</x:v>
      </x:c>
      <x:c r="Q99" s="3" t="str">
        <x:v>C013</x:v>
      </x:c>
      <x:c r="R99" s="3" t="str">
        <x:v>Pending Human Adjudication</x:v>
      </x:c>
      <x:c r="S99" s="3" t="str">
        <x:v>Protocol and main-article materials give 178 and 134 messages for the six-month mTB-Tobacco participant dose without an explicit crosswalk or supersession statement.</x:v>
      </x:c>
      <x:c r="T99" s="11" t="b">
        <x:v>0</x:v>
      </x:c>
      <x:c r="U99" s="3" t="str">
        <x:v>Protocol message dose changes from 178 to 134 without supplied reconciliation</x:v>
      </x:c>
      <x:c r="V99" s="3" t="str">
        <x:v>protocol_report</x:v>
      </x:c>
      <x:c r="W99" s="3" t="str">
        <x:v>Protocol message dose changes from 178 to 134 without supplied reconciliation</x:v>
      </x:c>
      <x:c r="X99" s="3" t="str">
        <x:v>2025</x:v>
      </x:c>
      <x:c r="Y99" s="3" t="str">
        <x:v>meta_report/consistency_reclassification_2026-09-04/reclassified_candidates.json</x:v>
      </x:c>
      <x:c r="Z99" s="3" t="str">
        <x:v>P_R</x:v>
      </x:c>
      <x:c r="AA99" s="3" t="str">
        <x:v>protocol_report</x:v>
      </x:c>
      <x:c r="AB99" s="3" t="str">
        <x:v>retain</x:v>
      </x:c>
    </x:row>
    <x:row r="100" ht="90" customHeight="1">
      <x:c r="A100" s="12" t="b">
        <x:v>0</x:v>
      </x:c>
      <x:c r="B100" s="6"/>
      <x:c r="C100" s="12" t="b">
        <x:v>0</x:v>
      </x:c>
      <x:c r="D100" s="6" t="str">
        <x:v>Cross-document numeric inconsistency</x:v>
      </x:c>
      <x:c r="E100" s="12" t="b">
        <x:v>0</x:v>
      </x:c>
      <x:c r="F100" s="6" t="str">
        <x:v>C001</x:v>
      </x:c>
      <x:c r="G100" s="6" t="str">
        <x:v>2025::jama.2025.24175::C001</x:v>
      </x:c>
      <x:c r="H100" s="6"/>
      <x:c r="I100" s="6" t="str">
        <x:v>DOC-001 Table 2, PDF p. 6; DOC-001 Results narrative, PDF p. 7.</x:v>
      </x:c>
      <x:c r="J100" s="12" t="b">
        <x:v>1</x:v>
      </x:c>
      <x:c r="K100" s="6" t="str">
        <x:v>jama.2025.24175</x:v>
      </x:c>
      <x:c r="L100" s="6"/>
      <x:c r="M100" s="6" t="str">
        <x:v>S_W</x:v>
      </x:c>
      <x:c r="N100" s="6" t="str">
        <x:v>Target is within one main article or one non-plan results supplement/workbook; no substantive plan comparison. 52/131 versus 51/131, with the same displayed 39.7% and placebo comparator.</x:v>
      </x:c>
      <x:c r="O100" s="6" t="str">
        <x:v>../../2025/jama.2025.24175/.ai_paper_validation/final_report_1_5_1.html</x:v>
      </x:c>
      <x:c r="P100" s="6" t="str">
        <x:v>2025/jama.2025.24175/.ai_paper_validation/final_report_1_5_1.md</x:v>
      </x:c>
      <x:c r="Q100" s="6" t="str">
        <x:v>C001</x:v>
      </x:c>
      <x:c r="R100" s="6" t="str">
        <x:v>Pending Human Adjudication</x:v>
      </x:c>
      <x:c r="S100" s="6" t="str">
        <x:v>Pending Human Adjudication. The matched day-15 responder occurrence prints 52/131 in Table 2 and 51/131 in the narrative.</x:v>
      </x:c>
      <x:c r="T100" s="12" t="b">
        <x:v>1</x:v>
      </x:c>
      <x:c r="U100" s="6" t="str">
        <x:v>Day-15 SOFA responder numerator differs between Table 2 and narrative</x:v>
      </x:c>
      <x:c r="V100" s="6" t="str">
        <x:v>report_internal_inconsistency</x:v>
      </x:c>
      <x:c r="W100" s="6" t="str">
        <x:v>Day-15 SOFA responder numerator differs between Table 2 and narrative</x:v>
      </x:c>
      <x:c r="X100" s="6" t="str">
        <x:v>2025</x:v>
      </x:c>
      <x:c r="Y100" s="6" t="str">
        <x:v>meta_report/consistency_reclassification_2026-09-04/reclassified_candidates.json</x:v>
      </x:c>
      <x:c r="Z100" s="6" t="str">
        <x:v>S_W</x:v>
      </x:c>
      <x:c r="AA100" s="6" t="str">
        <x:v>report_internal_inconsistency</x:v>
      </x:c>
      <x:c r="AB100" s="6" t="str">
        <x:v>retain</x:v>
      </x:c>
    </x:row>
    <x:row r="101" ht="90" customHeight="1">
      <x:c r="A101" s="11" t="b">
        <x:v>0</x:v>
      </x:c>
      <x:c r="B101" s="3" t="str">
        <x:v>Final direct-source recheck explicitly does not reproduce registered mismatch; relationship denotes original registration only. </x:v>
      </x:c>
      <x:c r="C101" s="11" t="b">
        <x:v>1</x:v>
      </x:c>
      <x:c r="D101" s="3" t="str">
        <x:v>Measure, label, or scale inconsistency</x:v>
      </x:c>
      <x:c r="E101" s="11" t="b">
        <x:v>1</x:v>
      </x:c>
      <x:c r="F101" s="3" t="str">
        <x:v>C002</x:v>
      </x:c>
      <x:c r="G101" s="3" t="str">
        <x:v>2025::jama.2025.24175::C002</x:v>
      </x:c>
      <x:c r="H101" s="3"/>
      <x:c r="I101" s="3" t="str">
        <x:v>DOC-002 protocol, PDF p. 6; DOC-001 regimen, PDF p. 2.</x:v>
      </x:c>
      <x:c r="J101" s="11" t="b">
        <x:v>0</x:v>
      </x:c>
      <x:c r="K101" s="3" t="str">
        <x:v>jama.2025.24175</x:v>
      </x:c>
      <x:c r="L101" s="3" t="str">
        <x:v>intervention_delivery</x:v>
      </x:c>
      <x:c r="M101" s="3" t="str">
        <x:v>P_R</x:v>
      </x:c>
      <x:c r="N101" s="3" t="str">
        <x:v>Target compares reported current-study content with supplied protocol/SAP specification. Directly printed 100 micrograms versus 100 micrograms, not the prior 100-versus-20 comparison.</x:v>
      </x:c>
      <x:c r="O101" s="3" t="str">
        <x:v>../../2025/jama.2025.24175/.ai_paper_validation/final_report_1_5_1.html</x:v>
      </x:c>
      <x:c r="P101" s="3" t="str">
        <x:v>2025/jama.2025.24175/.ai_paper_validation/final_report_1_5_1.md</x:v>
      </x:c>
      <x:c r="Q101" s="3" t="str">
        <x:v>C002</x:v>
      </x:c>
      <x:c r="R101" s="3" t="str">
        <x:v>Pending Human Adjudication</x:v>
      </x:c>
      <x:c r="S101" s="3" t="str">
        <x:v>Pending Human Adjudication. Retained ID with a direct-source repair: the alleged 20-microgram protocol comparator was not reproduced.</x:v>
      </x:c>
      <x:c r="T101" s="11" t="b">
        <x:v>0</x:v>
      </x:c>
      <x:c r="U101" s="3" t="str">
        <x:v>Protocol and report IFN-gamma dose comparison</x:v>
      </x:c>
      <x:c r="V101" s="3" t="str">
        <x:v>protocol_report</x:v>
      </x:c>
      <x:c r="W101" s="3" t="str">
        <x:v>Protocol and report IFN-gamma dose comparison</x:v>
      </x:c>
      <x:c r="X101" s="3" t="str">
        <x:v>2025</x:v>
      </x:c>
      <x:c r="Y101" s="3" t="str">
        <x:v>meta_report/consistency_reclassification_2026-09-04/reclassified_candidates.json</x:v>
      </x:c>
      <x:c r="Z101" s="3" t="str">
        <x:v>P_R</x:v>
      </x:c>
      <x:c r="AA101" s="3" t="str">
        <x:v>protocol_report</x:v>
      </x:c>
      <x:c r="AB101" s="3" t="str">
        <x:v>exclude</x:v>
      </x:c>
    </x:row>
    <x:row r="102" ht="90" customHeight="1">
      <x:c r="A102" s="12" t="b">
        <x:v>0</x:v>
      </x:c>
      <x:c r="B102" s="6" t="str">
        <x:v>Final direct-source recheck explicitly does not reproduce registered mismatch; relationship denotes original registration only. </x:v>
      </x:c>
      <x:c r="C102" s="12" t="b">
        <x:v>1</x:v>
      </x:c>
      <x:c r="D102" s="6" t="str">
        <x:v>Measure, label, or scale inconsistency</x:v>
      </x:c>
      <x:c r="E102" s="12" t="b">
        <x:v>1</x:v>
      </x:c>
      <x:c r="F102" s="6" t="str">
        <x:v>C003</x:v>
      </x:c>
      <x:c r="G102" s="6" t="str">
        <x:v>2025::jama.2025.24175::C003</x:v>
      </x:c>
      <x:c r="H102" s="6"/>
      <x:c r="I102" s="6" t="str">
        <x:v>DOC-002 protocol, PDF p. 7; DOC-001 report, PDF p. 1; DOC-002 SAP, PDF p. 66.</x:v>
      </x:c>
      <x:c r="J102" s="12" t="b">
        <x:v>0</x:v>
      </x:c>
      <x:c r="K102" s="6" t="str">
        <x:v>jama.2025.24175</x:v>
      </x:c>
      <x:c r="L102" s="6" t="str">
        <x:v>endpoint_definition_window_hierarchy</x:v>
      </x:c>
      <x:c r="M102" s="6" t="str">
        <x:v>P_R</x:v>
      </x:c>
      <x:c r="N102" s="6" t="str">
        <x:v>Target compares reported current-study content with supplied protocol/SAP specification. 1.4 versus 1.4 in matched supplied sources, not 1.5 versus 1.4.</x:v>
      </x:c>
      <x:c r="O102" s="6" t="str">
        <x:v>../../2025/jama.2025.24175/.ai_paper_validation/final_report_1_5_1.html</x:v>
      </x:c>
      <x:c r="P102" s="6" t="str">
        <x:v>2025/jama.2025.24175/.ai_paper_validation/final_report_1_5_1.md</x:v>
      </x:c>
      <x:c r="Q102" s="6" t="str">
        <x:v>C003</x:v>
      </x:c>
      <x:c r="R102" s="6" t="str">
        <x:v>Pending Human Adjudication</x:v>
      </x:c>
      <x:c r="S102" s="6" t="str">
        <x:v>Pending Human Adjudication. Retained ID with a direct-source repair: the alleged 1.5-point binary cutoff was not reproduced.</x:v>
      </x:c>
      <x:c r="T102" s="12" t="b">
        <x:v>0</x:v>
      </x:c>
      <x:c r="U102" s="6" t="str">
        <x:v>Primary responder cutoff comparison</x:v>
      </x:c>
      <x:c r="V102" s="6" t="str">
        <x:v>protocol_report</x:v>
      </x:c>
      <x:c r="W102" s="6" t="str">
        <x:v>Primary responder cutoff comparison</x:v>
      </x:c>
      <x:c r="X102" s="6" t="str">
        <x:v>2025</x:v>
      </x:c>
      <x:c r="Y102" s="6" t="str">
        <x:v>meta_report/consistency_reclassification_2026-09-04/reclassified_candidates.json</x:v>
      </x:c>
      <x:c r="Z102" s="6" t="str">
        <x:v>P_R</x:v>
      </x:c>
      <x:c r="AA102" s="6" t="str">
        <x:v>protocol_report</x:v>
      </x:c>
      <x:c r="AB102" s="6" t="str">
        <x:v>exclude</x:v>
      </x:c>
    </x:row>
    <x:row r="103" ht="90" customHeight="1">
      <x:c r="A103" s="11" t="b">
        <x:v>0</x:v>
      </x:c>
      <x:c r="B103" s="3" t="str">
        <x:v>Final direct-source recheck explicitly does not reproduce registered mismatch; relationship denotes original registration only. </x:v>
      </x:c>
      <x:c r="C103" s="11" t="b">
        <x:v>1</x:v>
      </x:c>
      <x:c r="D103" s="3" t="str">
        <x:v>Measure, label, or scale inconsistency</x:v>
      </x:c>
      <x:c r="E103" s="11" t="b">
        <x:v>1</x:v>
      </x:c>
      <x:c r="F103" s="3" t="str">
        <x:v>C004</x:v>
      </x:c>
      <x:c r="G103" s="3" t="str">
        <x:v>2025::jama.2025.24175::C004</x:v>
      </x:c>
      <x:c r="H103" s="3"/>
      <x:c r="I103" s="3" t="str">
        <x:v>DOC-002 protocol, PDF p. 9; DOC-003 eMethods, PDF p. 13; DOC-002 SAP reversal definition, PDF p. 69.</x:v>
      </x:c>
      <x:c r="J103" s="11" t="b">
        <x:v>0</x:v>
      </x:c>
      <x:c r="K103" s="3" t="str">
        <x:v>jama.2025.24175</x:v>
      </x:c>
      <x:c r="L103" s="3" t="str">
        <x:v>population_recruitment_sites</x:v>
      </x:c>
      <x:c r="M103" s="3" t="str">
        <x:v>P_R</x:v>
      </x:c>
      <x:c r="N103" s="3" t="str">
        <x:v>Target compares reported current-study content with supplied protocol/SAP specification. Entry threshold 5000 versus separately defined reversal threshold 8000.</x:v>
      </x:c>
      <x:c r="O103" s="3" t="str">
        <x:v>../../2025/jama.2025.24175/.ai_paper_validation/final_report_1_5_1.html</x:v>
      </x:c>
      <x:c r="P103" s="3" t="str">
        <x:v>2025/jama.2025.24175/.ai_paper_validation/final_report_1_5_1.md</x:v>
      </x:c>
      <x:c r="Q103" s="3" t="str">
        <x:v>C004</x:v>
      </x:c>
      <x:c r="R103" s="3" t="str">
        <x:v>Pending Human Adjudication</x:v>
      </x:c>
      <x:c r="S103" s="3" t="str">
        <x:v>Pending Human Adjudication. Retained ID with a direct-source repair: entry sources agree at 5000, while 8000 belongs to a separately named reversal endpoint.</x:v>
      </x:c>
      <x:c r="T103" s="11" t="b">
        <x:v>0</x:v>
      </x:c>
      <x:c r="U103" s="3" t="str">
        <x:v>Immunoparalysis entry-classification threshold comparison</x:v>
      </x:c>
      <x:c r="V103" s="3" t="str">
        <x:v>protocol_report</x:v>
      </x:c>
      <x:c r="W103" s="3" t="str">
        <x:v>Immunoparalysis entry-classification threshold comparison</x:v>
      </x:c>
      <x:c r="X103" s="3" t="str">
        <x:v>2025</x:v>
      </x:c>
      <x:c r="Y103" s="3" t="str">
        <x:v>meta_report/consistency_reclassification_2026-09-04/reclassified_candidates.json</x:v>
      </x:c>
      <x:c r="Z103" s="3" t="str">
        <x:v>P_R</x:v>
      </x:c>
      <x:c r="AA103" s="3" t="str">
        <x:v>protocol_report</x:v>
      </x:c>
      <x:c r="AB103" s="3" t="str">
        <x:v>exclude</x:v>
      </x:c>
    </x:row>
    <x:row r="104" ht="90" customHeight="1">
      <x:c r="A104" s="12" t="b">
        <x:v>0</x:v>
      </x:c>
      <x:c r="B104" s="6" t="str">
        <x:v>Original 112 input not reproduced, repaired 117 input leaves only approximate attrition/rounding question. Retained as repaired_residual, not fully negated.</x:v>
      </x:c>
      <x:c r="C104" s="12" t="b">
        <x:v>1</x:v>
      </x:c>
      <x:c r="D104" s="6" t="str">
        <x:v>Denominator, proportion, or total inconsistency</x:v>
      </x:c>
      <x:c r="E104" s="12" t="b">
        <x:v>0</x:v>
      </x:c>
      <x:c r="F104" s="6" t="str">
        <x:v>C005</x:v>
      </x:c>
      <x:c r="G104" s="6" t="str">
        <x:v>2025::jama.2025.24175::C005</x:v>
      </x:c>
      <x:c r="H104" s="6"/>
      <x:c r="I104" s="6" t="str">
        <x:v>DOC-002 protocol, PDF p. 25 and PDF p. 26.</x:v>
      </x:c>
      <x:c r="J104" s="12" t="b">
        <x:v>0</x:v>
      </x:c>
      <x:c r="K104" s="6" t="str">
        <x:v>jama.2025.24175</x:v>
      </x:c>
      <x:c r="L104" s="6"/>
      <x:c r="M104" s="6" t="str">
        <x:v>P_P</x:v>
      </x:c>
      <x:c r="N104" s="6" t="str">
        <x:v>Target is internal to protocol/SAP definitions, calculations, or plan versions; final results are not the conflicting comparator. Required analyzable total 234 versus planned randomization 280 under an approximate attrition statement.</x:v>
      </x:c>
      <x:c r="O104" s="6" t="str">
        <x:v>../../2025/jama.2025.24175/.ai_paper_validation/final_report_1_5_1.html</x:v>
      </x:c>
      <x:c r="P104" s="6" t="str">
        <x:v>2025/jama.2025.24175/.ai_paper_validation/final_report_1_5_1.md</x:v>
      </x:c>
      <x:c r="Q104" s="6" t="str">
        <x:v>C005</x:v>
      </x:c>
      <x:c r="R104" s="6" t="str">
        <x:v>Pending Human Adjudication</x:v>
      </x:c>
      <x:c r="S104" s="6" t="str">
        <x:v>Pending Human Adjudication. Retained ID with repaired direct inputs: protocol prints 117 per arm, about 15% dropout, and total randomization 280.</x:v>
      </x:c>
      <x:c r="T104" s="12" t="b">
        <x:v>0</x:v>
      </x:c>
      <x:c r="U104" s="6" t="str">
        <x:v>Protocol sample-size, dropout, and total-target arithmetic</x:v>
      </x:c>
      <x:c r="V104" s="6" t="str">
        <x:v>plan_material</x:v>
      </x:c>
      <x:c r="W104" s="6" t="str">
        <x:v>Protocol sample-size, dropout, and total-target arithmetic</x:v>
      </x:c>
      <x:c r="X104" s="6" t="str">
        <x:v>2025</x:v>
      </x:c>
      <x:c r="Y104" s="6" t="str">
        <x:v>meta_report/consistency_reclassification_2026-09-04/reclassified_candidates.json</x:v>
      </x:c>
      <x:c r="Z104" s="6" t="str">
        <x:v>P_P</x:v>
      </x:c>
      <x:c r="AA104" s="6" t="str">
        <x:v>plan_material</x:v>
      </x:c>
      <x:c r="AB104" s="6" t="str">
        <x:v>retain</x:v>
      </x:c>
    </x:row>
    <x:row r="105" ht="90" customHeight="1">
      <x:c r="A105" s="11" t="b">
        <x:v>0</x:v>
      </x:c>
      <x:c r="B105" s="3" t="str">
        <x:v> Historical PROVIDE study results presented in protocol background; not current ImmunoSep observed results. Protocol footer and introduction directly inspected in stored page render.</x:v>
      </x:c>
      <x:c r="C105" s="11" t="b">
        <x:v>1</x:v>
      </x:c>
      <x:c r="D105" s="3" t="str">
        <x:v>Cross-document numeric inconsistency</x:v>
      </x:c>
      <x:c r="E105" s="11" t="b">
        <x:v>0</x:v>
      </x:c>
      <x:c r="F105" s="3" t="str">
        <x:v>C006</x:v>
      </x:c>
      <x:c r="G105" s="3" t="str">
        <x:v>2025::jama.2025.24175::C006</x:v>
      </x:c>
      <x:c r="H105" s="3" t="str">
        <x:v>P_B</x:v>
      </x:c>
      <x:c r="I105" s="3" t="str">
        <x:v>DOC-002 narrative, PDF p. 41; DOC-002 Figure 1, PDF p. 50.</x:v>
      </x:c>
      <x:c r="J105" s="11" t="b">
        <x:v>1</x:v>
      </x:c>
      <x:c r="K105" s="3" t="str">
        <x:v>jama.2025.24175</x:v>
      </x:c>
      <x:c r="L105" s="3"/>
      <x:c r="M105" s="3" t="str">
        <x:v>P_P</x:v>
      </x:c>
      <x:c r="N105" s="3" t="str">
        <x:v>Target concerns historical/background results inside the protocol, not the current trial plan or submitted main/results supplement. Personalized arm 14 versus 11; placebo count 18 agrees.</x:v>
      </x:c>
      <x:c r="O105" s="3" t="str">
        <x:v>../../2025/jama.2025.24175/.ai_paper_validation/final_report_1_5_1.html</x:v>
      </x:c>
      <x:c r="P105" s="3" t="str">
        <x:v>2025/jama.2025.24175/.ai_paper_validation/final_report_1_5_1.md</x:v>
      </x:c>
      <x:c r="Q105" s="3" t="str">
        <x:v>C006</x:v>
      </x:c>
      <x:c r="R105" s="3" t="str">
        <x:v>Pending Human Adjudication</x:v>
      </x:c>
      <x:c r="S105" s="3" t="str">
        <x:v>Pending Human Adjudication. The personalized-immunotherapy death count is 14 in the narrative and 11 in the flow figure, conditional on a matched time window.</x:v>
      </x:c>
      <x:c r="T105" s="11" t="b">
        <x:v>0</x:v>
      </x:c>
      <x:c r="U105" s="3" t="str">
        <x:v>Historical-trial narrative and flow diagram death counts</x:v>
      </x:c>
      <x:c r="V105" s="3" t="str">
        <x:v>plan_material</x:v>
      </x:c>
      <x:c r="W105" s="3" t="str">
        <x:v>Historical-trial narrative and flow diagram death counts</x:v>
      </x:c>
      <x:c r="X105" s="3" t="str">
        <x:v>2025</x:v>
      </x:c>
      <x:c r="Y105" s="3" t="str">
        <x:v>meta_report/consistency_reclassification_2026-09-04/reclassified_candidates.json</x:v>
      </x:c>
      <x:c r="Z105" s="3" t="str">
        <x:v>P_P</x:v>
      </x:c>
      <x:c r="AA105" s="3" t="str">
        <x:v>plan_material</x:v>
      </x:c>
      <x:c r="AB105" s="3" t="str">
        <x:v>retain</x:v>
      </x:c>
    </x:row>
    <x:row r="106" ht="90" customHeight="1">
      <x:c r="A106" s="12" t="b">
        <x:v>0</x:v>
      </x:c>
      <x:c r="B106" s="6" t="str">
        <x:v> Historical PROVIDE study results presented in protocol background; not current ImmunoSep observed results. Protocol footer and introduction directly inspected in stored page render.</x:v>
      </x:c>
      <x:c r="C106" s="12" t="b">
        <x:v>1</x:v>
      </x:c>
      <x:c r="D106" s="6" t="str">
        <x:v>Statistical reporting inconsistency</x:v>
      </x:c>
      <x:c r="E106" s="12" t="b">
        <x:v>0</x:v>
      </x:c>
      <x:c r="F106" s="6" t="str">
        <x:v>C007</x:v>
      </x:c>
      <x:c r="G106" s="6" t="str">
        <x:v>2025::jama.2025.24175::C007</x:v>
      </x:c>
      <x:c r="H106" s="6" t="str">
        <x:v>P_B</x:v>
      </x:c>
      <x:c r="I106" s="6" t="str">
        <x:v>DOC-002 Table 2, PDF p. 48.</x:v>
      </x:c>
      <x:c r="J106" s="12" t="b">
        <x:v>0</x:v>
      </x:c>
      <x:c r="K106" s="6" t="str">
        <x:v>jama.2025.24175</x:v>
      </x:c>
      <x:c r="L106" s="6"/>
      <x:c r="M106" s="6" t="str">
        <x:v>P_P</x:v>
      </x:c>
      <x:c r="N106" s="6" t="str">
        <x:v>Target concerns historical/background results inside the protocol, not the current trial plan or submitted main/results supplement. Printed P=.376 versus diagnostics from the displayed group summaries and named test.</x:v>
      </x:c>
      <x:c r="O106" s="6" t="str">
        <x:v>../../2025/jama.2025.24175/.ai_paper_validation/final_report_1_5_1.html</x:v>
      </x:c>
      <x:c r="P106" s="6" t="str">
        <x:v>2025/jama.2025.24175/.ai_paper_validation/final_report_1_5_1.md</x:v>
      </x:c>
      <x:c r="Q106" s="6" t="str">
        <x:v>C007</x:v>
      </x:c>
      <x:c r="R106" s="6" t="str">
        <x:v>Pending Human Adjudication</x:v>
      </x:c>
      <x:c r="S106" s="6" t="str">
        <x:v>Pending Human Adjudication. The printed P=.376 is not compatible with conventional two-group calculations from the displayed Student t-test inputs.</x:v>
      </x:c>
      <x:c r="T106" s="12" t="b">
        <x:v>0</x:v>
      </x:c>
      <x:c r="U106" s="6" t="str">
        <x:v>APACHE II Table 2 P value versus displayed t-test inputs</x:v>
      </x:c>
      <x:c r="V106" s="6" t="str">
        <x:v>plan_material</x:v>
      </x:c>
      <x:c r="W106" s="6" t="str">
        <x:v>APACHE II Table 2 P value versus displayed t-test inputs</x:v>
      </x:c>
      <x:c r="X106" s="6" t="str">
        <x:v>2025</x:v>
      </x:c>
      <x:c r="Y106" s="6" t="str">
        <x:v>meta_report/consistency_reclassification_2026-09-04/reclassified_candidates.json</x:v>
      </x:c>
      <x:c r="Z106" s="6" t="str">
        <x:v>P_P</x:v>
      </x:c>
      <x:c r="AA106" s="6" t="str">
        <x:v>plan_material</x:v>
      </x:c>
      <x:c r="AB106" s="6" t="str">
        <x:v>retain</x:v>
      </x:c>
    </x:row>
    <x:row r="107" ht="90" customHeight="1">
      <x:c r="A107" s="11" t="b">
        <x:v>0</x:v>
      </x:c>
      <x:c r="B107" s="3" t="str">
        <x:v> Historical PROVIDE study results presented in protocol background; not current ImmunoSep observed results. Protocol footer and introduction directly inspected in stored page render.</x:v>
      </x:c>
      <x:c r="C107" s="11" t="b">
        <x:v>1</x:v>
      </x:c>
      <x:c r="D107" s="3" t="str">
        <x:v>Denominator, proportion, or total inconsistency</x:v>
      </x:c>
      <x:c r="E107" s="11" t="b">
        <x:v>0</x:v>
      </x:c>
      <x:c r="F107" s="3" t="str">
        <x:v>C008</x:v>
      </x:c>
      <x:c r="G107" s="3" t="str">
        <x:v>2025::jama.2025.24175::C008</x:v>
      </x:c>
      <x:c r="H107" s="3" t="str">
        <x:v>P_B</x:v>
      </x:c>
      <x:c r="I107" s="3" t="str">
        <x:v>DOC-002 Figure 1, PDF p. 50.</x:v>
      </x:c>
      <x:c r="J107" s="11" t="b">
        <x:v>0</x:v>
      </x:c>
      <x:c r="K107" s="3" t="str">
        <x:v>jama.2025.24175</x:v>
      </x:c>
      <x:c r="L107" s="3"/>
      <x:c r="M107" s="3" t="str">
        <x:v>P_P</x:v>
      </x:c>
      <x:c r="N107" s="3" t="str">
        <x:v>Target concerns historical/background results inside the protocol, not the current trial plan or submitted main/results supplement. Parent 177 versus displayed child total 178.</x:v>
      </x:c>
      <x:c r="O107" s="3" t="str">
        <x:v>../../2025/jama.2025.24175/.ai_paper_validation/final_report_1_5_1.html</x:v>
      </x:c>
      <x:c r="P107" s="3" t="str">
        <x:v>2025/jama.2025.24175/.ai_paper_validation/final_report_1_5_1.md</x:v>
      </x:c>
      <x:c r="Q107" s="3" t="str">
        <x:v>C008</x:v>
      </x:c>
      <x:c r="R107" s="3" t="str">
        <x:v>Pending Human Adjudication</x:v>
      </x:c>
      <x:c r="S107" s="3" t="str">
        <x:v>Pending Human Adjudication. Displayed child classifications sum to 178 under a parent total of 177.</x:v>
      </x:c>
      <x:c r="T107" s="11" t="b">
        <x:v>0</x:v>
      </x:c>
      <x:c r="U107" s="3" t="str">
        <x:v>Figure 1 septic-shock classification children exceed their parent total</x:v>
      </x:c>
      <x:c r="V107" s="3" t="str">
        <x:v>plan_material</x:v>
      </x:c>
      <x:c r="W107" s="3" t="str">
        <x:v>Figure 1 septic-shock classification children exceed their parent total</x:v>
      </x:c>
      <x:c r="X107" s="3" t="str">
        <x:v>2025</x:v>
      </x:c>
      <x:c r="Y107" s="3" t="str">
        <x:v>meta_report/consistency_reclassification_2026-09-04/reclassified_candidates.json</x:v>
      </x:c>
      <x:c r="Z107" s="3" t="str">
        <x:v>P_P</x:v>
      </x:c>
      <x:c r="AA107" s="3" t="str">
        <x:v>plan_material</x:v>
      </x:c>
      <x:c r="AB107" s="3" t="str">
        <x:v>retain</x:v>
      </x:c>
    </x:row>
    <x:row r="108" ht="90" customHeight="1">
      <x:c r="A108" s="12" t="b">
        <x:v>0</x:v>
      </x:c>
      <x:c r="B108" s="6" t="str">
        <x:v>Original 28 corrected to24, but repaired 24/31/33 mismatch remains. Both plan internal and final-vs-plan contexts; milestone definitions missing.</x:v>
      </x:c>
      <x:c r="C108" s="12" t="b">
        <x:v>1</x:v>
      </x:c>
      <x:c r="D108" s="6" t="str">
        <x:v>Cross-document numeric inconsistency</x:v>
      </x:c>
      <x:c r="E108" s="12" t="b">
        <x:v>1</x:v>
      </x:c>
      <x:c r="F108" s="6" t="str">
        <x:v>C009</x:v>
      </x:c>
      <x:c r="G108" s="6" t="str">
        <x:v>2025::jama.2025.24175::C009</x:v>
      </x:c>
      <x:c r="H108" s="6"/>
      <x:c r="I108" s="6" t="str">
        <x:v>DOC-001 report, PDF p. 2; DOC-002 protocol, PDF p. 10; DOC-002 SAP, PDF p. 65; PDF p. 67.</x:v>
      </x:c>
      <x:c r="J108" s="12" t="b">
        <x:v>1</x:v>
      </x:c>
      <x:c r="K108" s="6" t="str">
        <x:v>jama.2025.24175</x:v>
      </x:c>
      <x:c r="L108" s="6" t="str">
        <x:v>population_recruitment_sites</x:v>
      </x:c>
      <x:c r="M108" s="6" t="str">
        <x:v>P_R</x:v>
      </x:c>
      <x:c r="N108" s="6" t="str">
        <x:v>Target compares reported current-study content with supplied protocol/SAP specification. Repaired direct values 24, 31, and 33; prior 28 and report p.1 citation were not reproduced.</x:v>
      </x:c>
      <x:c r="O108" s="6" t="str">
        <x:v>../../2025/jama.2025.24175/.ai_paper_validation/final_report_1_5_1.html</x:v>
      </x:c>
      <x:c r="P108" s="6" t="str">
        <x:v>2025/jama.2025.24175/.ai_paper_validation/final_report_1_5_1.md</x:v>
      </x:c>
      <x:c r="Q108" s="6" t="str">
        <x:v>C009</x:v>
      </x:c>
      <x:c r="R108" s="6" t="str">
        <x:v>Pending Human Adjudication</x:v>
      </x:c>
      <x:c r="S108" s="6" t="str">
        <x:v>Pending Human Adjudication. Retained ID with repaired direct-source values: 24, 31, and 33 sites require milestone definitions.</x:v>
      </x:c>
      <x:c r="T108" s="12" t="b">
        <x:v>0</x:v>
      </x:c>
      <x:c r="U108" s="6" t="str">
        <x:v>ImmunoSep study-site totals across report, protocol, and SAP</x:v>
      </x:c>
      <x:c r="V108" s="6" t="str">
        <x:v>protocol_report</x:v>
      </x:c>
      <x:c r="W108" s="6" t="str">
        <x:v>ImmunoSep study-site totals across report, protocol, and SAP</x:v>
      </x:c>
      <x:c r="X108" s="6" t="str">
        <x:v>2025</x:v>
      </x:c>
      <x:c r="Y108" s="6" t="str">
        <x:v>meta_report/consistency_reclassification_2026-09-04/reclassified_candidates.json</x:v>
      </x:c>
      <x:c r="Z108" s="6" t="str">
        <x:v>P_R</x:v>
      </x:c>
      <x:c r="AA108" s="6" t="str">
        <x:v>protocol_report</x:v>
      </x:c>
      <x:c r="AB108" s="6" t="str">
        <x:v>retain</x:v>
      </x:c>
    </x:row>
    <x:row r="109" ht="90" customHeight="1">
      <x:c r="A109" s="11" t="b">
        <x:v>0</x:v>
      </x:c>
      <x:c r="B109" s="3" t="str">
        <x:v> Historical PROVIDE study results presented in protocol background; not current ImmunoSep observed results. Protocol footer and introduction directly inspected in stored page render.</x:v>
      </x:c>
      <x:c r="C109" s="11" t="b">
        <x:v>1</x:v>
      </x:c>
      <x:c r="D109" s="3" t="str">
        <x:v>Measure, label, or scale inconsistency</x:v>
      </x:c>
      <x:c r="E109" s="11" t="b">
        <x:v>0</x:v>
      </x:c>
      <x:c r="F109" s="3" t="str">
        <x:v>C010</x:v>
      </x:c>
      <x:c r="G109" s="3" t="str">
        <x:v>2025::jama.2025.24175::C010</x:v>
      </x:c>
      <x:c r="H109" s="3" t="str">
        <x:v>P_B</x:v>
      </x:c>
      <x:c r="I109" s="3" t="str">
        <x:v>DOC-002 Figure 2C, PDF p. 51; DOC-002 Figure 3, PDF p. 52.</x:v>
      </x:c>
      <x:c r="J109" s="11" t="b">
        <x:v>0</x:v>
      </x:c>
      <x:c r="K109" s="3" t="str">
        <x:v>jama.2025.24175</x:v>
      </x:c>
      <x:c r="L109" s="3"/>
      <x:c r="M109" s="3" t="str">
        <x:v>P_P</x:v>
      </x:c>
      <x:c r="N109" s="3" t="str">
        <x:v>Target concerns historical/background results inside the protocol, not the current trial plan or submitted main/results supplement. RR label/value 2.82 versus crude RR 1.61 and identical nearby HR 2.82.</x:v>
      </x:c>
      <x:c r="O109" s="3" t="str">
        <x:v>../../2025/jama.2025.24175/.ai_paper_validation/final_report_1_5_1.html</x:v>
      </x:c>
      <x:c r="P109" s="3" t="str">
        <x:v>2025/jama.2025.24175/.ai_paper_validation/final_report_1_5_1.md</x:v>
      </x:c>
      <x:c r="Q109" s="3" t="str">
        <x:v>C010</x:v>
      </x:c>
      <x:c r="R109" s="3" t="str">
        <x:v>Pending Human Adjudication</x:v>
      </x:c>
      <x:c r="S109" s="3" t="str">
        <x:v>Pending Human Adjudication. Figure 2C labels 2.82 (1.58-5.14) as RR although displayed counts give a crude RR of 1.61 and the same value/CI appears as an HR in Figure 3.</x:v>
      </x:c>
      <x:c r="T109" s="11" t="b">
        <x:v>0</x:v>
      </x:c>
      <x:c r="U109" s="3" t="str">
        <x:v>Figure 2C relative-risk label versus displayed association</x:v>
      </x:c>
      <x:c r="V109" s="3" t="str">
        <x:v>plan_material</x:v>
      </x:c>
      <x:c r="W109" s="3" t="str">
        <x:v>Figure 2C relative-risk label versus displayed association</x:v>
      </x:c>
      <x:c r="X109" s="3" t="str">
        <x:v>2025</x:v>
      </x:c>
      <x:c r="Y109" s="3" t="str">
        <x:v>meta_report/consistency_reclassification_2026-09-04/reclassified_candidates.json</x:v>
      </x:c>
      <x:c r="Z109" s="3" t="str">
        <x:v>P_P</x:v>
      </x:c>
      <x:c r="AA109" s="3" t="str">
        <x:v>plan_material</x:v>
      </x:c>
      <x:c r="AB109" s="3" t="str">
        <x:v>retain</x:v>
      </x:c>
    </x:row>
    <x:row r="110" ht="90" customHeight="1">
      <x:c r="A110" s="12" t="b">
        <x:v>0</x:v>
      </x:c>
      <x:c r="B110" s="6"/>
      <x:c r="C110" s="12" t="b">
        <x:v>0</x:v>
      </x:c>
      <x:c r="D110" s="6" t="str">
        <x:v>Statistical reporting inconsistency</x:v>
      </x:c>
      <x:c r="E110" s="12" t="b">
        <x:v>0</x:v>
      </x:c>
      <x:c r="F110" s="6" t="str">
        <x:v>C011</x:v>
      </x:c>
      <x:c r="G110" s="6" t="str">
        <x:v>2025::jama.2025.24175::C011</x:v>
      </x:c>
      <x:c r="H110" s="6"/>
      <x:c r="I110" s="6" t="str">
        <x:v>DOC-003 eTable 10, PDF p. 22.</x:v>
      </x:c>
      <x:c r="J110" s="12" t="b">
        <x:v>0</x:v>
      </x:c>
      <x:c r="K110" s="6" t="str">
        <x:v>jama.2025.24175</x:v>
      </x:c>
      <x:c r="L110" s="6"/>
      <x:c r="M110" s="6" t="str">
        <x:v>S_W</x:v>
      </x:c>
      <x:c r="N110" s="6" t="str">
        <x:v>Target is within one main article or one non-plan results supplement/workbook; no substantive plan comparison. Printed 1.194 versus count-derived OR about 1.94 and CI log midpoint about 1.94.</x:v>
      </x:c>
      <x:c r="O110" s="6" t="str">
        <x:v>../../2025/jama.2025.24175/.ai_paper_validation/final_report_1_5_1.html</x:v>
      </x:c>
      <x:c r="P110" s="6" t="str">
        <x:v>2025/jama.2025.24175/.ai_paper_validation/final_report_1_5_1.md</x:v>
      </x:c>
      <x:c r="Q110" s="6" t="str">
        <x:v>C011</x:v>
      </x:c>
      <x:c r="R110" s="6" t="str">
        <x:v>Pending Human Adjudication</x:v>
      </x:c>
      <x:c r="S110" s="6" t="str">
        <x:v>Pending Human Adjudication. Printed OR 1.194 does not reconcile with the count-derived crude OR and interval midpoint.</x:v>
      </x:c>
      <x:c r="T110" s="12" t="b">
        <x:v>1</x:v>
      </x:c>
      <x:c r="U110" s="6" t="str">
        <x:v>eTable 10 SII day-15 OR versus counts, CI, and P value</x:v>
      </x:c>
      <x:c r="V110" s="6" t="str">
        <x:v>statistical_results</x:v>
      </x:c>
      <x:c r="W110" s="6" t="str">
        <x:v>eTable 10 SII day-15 OR versus counts, CI, and P value</x:v>
      </x:c>
      <x:c r="X110" s="6" t="str">
        <x:v>2025</x:v>
      </x:c>
      <x:c r="Y110" s="6" t="str">
        <x:v>meta_report/consistency_reclassification_2026-09-04/reclassified_candidates.json</x:v>
      </x:c>
      <x:c r="Z110" s="6" t="str">
        <x:v>S_W</x:v>
      </x:c>
      <x:c r="AA110" s="6" t="str">
        <x:v>statistical_results</x:v>
      </x:c>
      <x:c r="AB110" s="6" t="str">
        <x:v>retain</x:v>
      </x:c>
    </x:row>
    <x:row r="111" ht="90" customHeight="1">
      <x:c r="A111" s="11" t="b">
        <x:v>0</x:v>
      </x:c>
      <x:c r="B111" s="3"/>
      <x:c r="C111" s="11" t="b">
        <x:v>0</x:v>
      </x:c>
      <x:c r="D111" s="3" t="str">
        <x:v>Cross-document numeric inconsistency</x:v>
      </x:c>
      <x:c r="E111" s="11" t="b">
        <x:v>0</x:v>
      </x:c>
      <x:c r="F111" s="3" t="str">
        <x:v>C012</x:v>
      </x:c>
      <x:c r="G111" s="3" t="str">
        <x:v>2025::jama.2025.24175::C012</x:v>
      </x:c>
      <x:c r="H111" s="3"/>
      <x:c r="I111" s="3" t="str">
        <x:v>DOC-003 eFigure 7B, PDF p. 51; DOC-003 eFigure 8B, PDF p. 52.</x:v>
      </x:c>
      <x:c r="J111" s="11" t="b">
        <x:v>1</x:v>
      </x:c>
      <x:c r="K111" s="3" t="str">
        <x:v>jama.2025.24175</x:v>
      </x:c>
      <x:c r="L111" s="3"/>
      <x:c r="M111" s="3" t="str">
        <x:v>S_W</x:v>
      </x:c>
      <x:c r="N111" s="3" t="str">
        <x:v>Target is within one main article or one non-plan results supplement/workbook; no substantive plan comparison. Complete six-row primary-endpoint output versus identical six-row 28-day-mortality output.</x:v>
      </x:c>
      <x:c r="O111" s="3" t="str">
        <x:v>../../2025/jama.2025.24175/.ai_paper_validation/final_report_1_5_1.html</x:v>
      </x:c>
      <x:c r="P111" s="3" t="str">
        <x:v>2025/jama.2025.24175/.ai_paper_validation/final_report_1_5_1.md</x:v>
      </x:c>
      <x:c r="Q111" s="3" t="str">
        <x:v>C012</x:v>
      </x:c>
      <x:c r="R111" s="3" t="str">
        <x:v>Pending Human Adjudication</x:v>
      </x:c>
      <x:c r="S111" s="3" t="str">
        <x:v>Pending Human Adjudication. Six OR/CI/P rows repeat exactly under primary-endpoint and 28-day-mortality captions.</x:v>
      </x:c>
      <x:c r="T111" s="11" t="b">
        <x:v>1</x:v>
      </x:c>
      <x:c r="U111" s="3" t="str">
        <x:v>eFigure 8B repeats eFigure 7B interaction results under a different outcome caption</x:v>
      </x:c>
      <x:c r="V111" s="3" t="str">
        <x:v>report_internal_inconsistency</x:v>
      </x:c>
      <x:c r="W111" s="3" t="str">
        <x:v>eFigure 8B repeats eFigure 7B interaction results under a different outcome caption</x:v>
      </x:c>
      <x:c r="X111" s="3" t="str">
        <x:v>2025</x:v>
      </x:c>
      <x:c r="Y111" s="3" t="str">
        <x:v>meta_report/consistency_reclassification_2026-09-04/reclassified_candidates.json</x:v>
      </x:c>
      <x:c r="Z111" s="3" t="str">
        <x:v>S_W</x:v>
      </x:c>
      <x:c r="AA111" s="3" t="str">
        <x:v>report_internal_inconsistency</x:v>
      </x:c>
      <x:c r="AB111" s="3" t="str">
        <x:v>retain</x:v>
      </x:c>
    </x:row>
    <x:row r="112" ht="90" customHeight="1">
      <x:c r="A112" s="12" t="b">
        <x:v>0</x:v>
      </x:c>
      <x:c r="B112" s="6"/>
      <x:c r="C112" s="12" t="b">
        <x:v>0</x:v>
      </x:c>
      <x:c r="D112" s="6" t="str">
        <x:v>Statistical reporting inconsistency</x:v>
      </x:c>
      <x:c r="E112" s="12" t="b">
        <x:v>0</x:v>
      </x:c>
      <x:c r="F112" s="6" t="str">
        <x:v>C013</x:v>
      </x:c>
      <x:c r="G112" s="6" t="str">
        <x:v>2025::jama.2025.24175::C013</x:v>
      </x:c>
      <x:c r="H112" s="6"/>
      <x:c r="I112" s="6" t="str">
        <x:v>DOC-003 eFigure 9B, PDF p. 53.</x:v>
      </x:c>
      <x:c r="J112" s="12" t="b">
        <x:v>0</x:v>
      </x:c>
      <x:c r="K112" s="6" t="str">
        <x:v>jama.2025.24175</x:v>
      </x:c>
      <x:c r="L112" s="6"/>
      <x:c r="M112" s="6" t="str">
        <x:v>S_W</x:v>
      </x:c>
      <x:c r="N112" s="6" t="str">
        <x:v>Target is within one main article or one non-plan results supplement/workbook; no substantive plan comparison. Point estimate 0.11 versus interval lower endpoint 0.36.</x:v>
      </x:c>
      <x:c r="O112" s="6" t="str">
        <x:v>../../2025/jama.2025.24175/.ai_paper_validation/final_report_1_5_1.html</x:v>
      </x:c>
      <x:c r="P112" s="6" t="str">
        <x:v>2025/jama.2025.24175/.ai_paper_validation/final_report_1_5_1.md</x:v>
      </x:c>
      <x:c r="Q112" s="6" t="str">
        <x:v>C013</x:v>
      </x:c>
      <x:c r="R112" s="6" t="str">
        <x:v>Pending Human Adjudication</x:v>
      </x:c>
      <x:c r="S112" s="6" t="str">
        <x:v>Pending Human Adjudication. The printed OR 0.11 lies below its printed 95% CI lower endpoint 0.36.</x:v>
      </x:c>
      <x:c r="T112" s="12" t="b">
        <x:v>1</x:v>
      </x:c>
      <x:c r="U112" s="6" t="str">
        <x:v>eFigure 9B APACHE interaction point estimate outside its CI</x:v>
      </x:c>
      <x:c r="V112" s="6" t="str">
        <x:v>statistical_results</x:v>
      </x:c>
      <x:c r="W112" s="6" t="str">
        <x:v>eFigure 9B APACHE interaction point estimate outside its CI</x:v>
      </x:c>
      <x:c r="X112" s="6" t="str">
        <x:v>2025</x:v>
      </x:c>
      <x:c r="Y112" s="6" t="str">
        <x:v>meta_report/consistency_reclassification_2026-09-04/reclassified_candidates.json</x:v>
      </x:c>
      <x:c r="Z112" s="6" t="str">
        <x:v>S_W</x:v>
      </x:c>
      <x:c r="AA112" s="6" t="str">
        <x:v>statistical_results</x:v>
      </x:c>
      <x:c r="AB112" s="6" t="str">
        <x:v>retain</x:v>
      </x:c>
    </x:row>
    <x:row r="113" ht="90" customHeight="1">
      <x:c r="A113" s="11" t="b">
        <x:v>0</x:v>
      </x:c>
      <x:c r="B113" s="3" t="str">
        <x:v>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x:v>
      </x:c>
      <x:c r="C113" s="11" t="b">
        <x:v>1</x:v>
      </x:c>
      <x:c r="D113" s="3" t="str">
        <x:v>Numeric or arithmetic inconsistency</x:v>
      </x:c>
      <x:c r="E113" s="11" t="b">
        <x:v>0</x:v>
      </x:c>
      <x:c r="F113" s="3" t="str">
        <x:v>C014</x:v>
      </x:c>
      <x:c r="G113" s="3" t="str">
        <x:v>2025::jama.2025.24175::C014</x:v>
      </x:c>
      <x:c r="H113" s="3" t="str">
        <x:v>P_B</x:v>
      </x:c>
      <x:c r="I113" s="3" t="str">
        <x:v>DOC-002 actual mortality sentence, PDF p. 41; Discussion, PDF p. 42; Table 2, PDF p. 48; Figure 1, PDF p. 50.</x:v>
      </x:c>
      <x:c r="J113" s="11" t="b">
        <x:v>0</x:v>
      </x:c>
      <x:c r="K113" s="3" t="str">
        <x:v>jama.2025.24175</x:v>
      </x:c>
      <x:c r="L113" s="3"/>
      <x:c r="M113" s="3" t="str">
        <x:v>P_P</x:v>
      </x:c>
      <x:c r="N113" s="3" t="str">
        <x:v>Target concerns historical/background results inside the protocol, not the current trial plan or submitted main/results supplement. Unsupported assembled alleged pairs versus directly printed coherent p.41 mortality pairs.</x:v>
      </x:c>
      <x:c r="O113" s="3" t="str">
        <x:v>../../2025/jama.2025.24175/.ai_paper_validation/final_report_1_5_1.html</x:v>
      </x:c>
      <x:c r="P113" s="3" t="str">
        <x:v>2025/jama.2025.24175/.ai_paper_validation/final_report_1_5_1.md</x:v>
      </x:c>
      <x:c r="Q113" s="3" t="str">
        <x:v>C014</x:v>
      </x:c>
      <x:c r="R113" s="3" t="str">
        <x:v>Pending Human Adjudication</x:v>
      </x:c>
      <x:c r="S113" s="3" t="str">
        <x:v>Pending Human Adjudication. Retained ID with direct-source repair: no supplied source prints the registered mortality count/percentage pairs.</x:v>
      </x:c>
      <x:c r="T113" s="11" t="b">
        <x:v>0</x:v>
      </x:c>
      <x:c r="U113" s="3" t="str">
        <x:v>Historical mortality-pair registration</x:v>
      </x:c>
      <x:c r="V113" s="3" t="str">
        <x:v>plan_material</x:v>
      </x:c>
      <x:c r="W113" s="3" t="str">
        <x:v>Historical mortality-pair registration</x:v>
      </x:c>
      <x:c r="X113" s="3" t="str">
        <x:v>2025</x:v>
      </x:c>
      <x:c r="Y113" s="3" t="str">
        <x:v>meta_report/consistency_reclassification_2026-09-04/reclassified_candidates.json</x:v>
      </x:c>
      <x:c r="Z113" s="3" t="str">
        <x:v>P_P</x:v>
      </x:c>
      <x:c r="AA113" s="3" t="str">
        <x:v>plan_material</x:v>
      </x:c>
      <x:c r="AB113" s="3" t="str">
        <x:v>exclude</x:v>
      </x:c>
    </x:row>
    <x:row r="114" ht="90" customHeight="1">
      <x:c r="A114" s="12" t="b">
        <x:v>0</x:v>
      </x:c>
      <x:c r="B114" s="6"/>
      <x:c r="C114" s="12" t="b">
        <x:v>0</x:v>
      </x:c>
      <x:c r="D114" s="6" t="str">
        <x:v>Cross-document numeric inconsistency</x:v>
      </x:c>
      <x:c r="E114" s="12" t="b">
        <x:v>0</x:v>
      </x:c>
      <x:c r="F114" s="6" t="str">
        <x:v>C001</x:v>
      </x:c>
      <x:c r="G114" s="6" t="str">
        <x:v>2025::jama.2025.4390::C001</x:v>
      </x:c>
      <x:c r="H114" s="6"/>
      <x:c r="I114" s="6" t="str">
        <x:v>jama_garrison_2025_oi_250019_1749674951.29054.pdf — Figure 3, PDF p. 9; jama_garrison_2025_oi_250019_1749674951.29054.pdf — Table 2, PDF p. 8; main article abstract, PDF p. 1; primary-outcome narrative, PDF p. 6.</x:v>
      </x:c>
      <x:c r="J114" s="12" t="b">
        <x:v>1</x:v>
      </x:c>
      <x:c r="K114" s="6" t="str">
        <x:v>jama.2025.4390</x:v>
      </x:c>
      <x:c r="L114" s="6"/>
      <x:c r="M114" s="6" t="str">
        <x:v>S_W</x:v>
      </x:c>
      <x:c r="N114" s="6" t="str">
        <x:v>Target is within one main article or one non-plan results supplement/workbook; no substantive plan comparison. Reported Figure 3 values: 71.0/71.0 under the printed rate header. Matched comparator: Table 2 2.30/2.44 per 100 patient-years, with abstract/narrative rounding to 2.3/2.4.</x:v>
      </x:c>
      <x:c r="O114" s="6" t="str">
        <x:v>../../2025/jama.2025.4390/.ai_paper_validation/final_report_1_5_1.html</x:v>
      </x:c>
      <x:c r="P114" s="6" t="str">
        <x:v>2025/jama.2025.4390/.ai_paper_validation/final_report_1_5_1.md</x:v>
      </x:c>
      <x:c r="Q114" s="6" t="str">
        <x:v>C001</x:v>
      </x:c>
      <x:c r="R114" s="6" t="str">
        <x:v>Pending Human Adjudication</x:v>
      </x:c>
      <x:c r="S114" s="6" t="str">
        <x:v>Figure 3 prints 71.0 for both all-patient treatment arms under columns labeled Rate per 100 patient-years, whereas the matched primary-outcome analysis reports 2.30 and 2.44 per 100 patient-years for the same arm-specific event counts.</x:v>
      </x:c>
      <x:c r="T114" s="12" t="b">
        <x:v>1</x:v>
      </x:c>
      <x:c r="U114" s="6" t="str">
        <x:v>Figure 3 all-patient rate-column conflict with the matched primary-outcome rate</x:v>
      </x:c>
      <x:c r="V114" s="6" t="str">
        <x:v>report_internal_inconsistency</x:v>
      </x:c>
      <x:c r="W114" s="6" t="str">
        <x:v>Figure 3 all-patient rate-column conflict with the matched primary-outcome rate</x:v>
      </x:c>
      <x:c r="X114" s="6" t="str">
        <x:v>2025</x:v>
      </x:c>
      <x:c r="Y114" s="6" t="str">
        <x:v>meta_report/consistency_reclassification_2026-09-04/reclassified_candidates.json</x:v>
      </x:c>
      <x:c r="Z114" s="6" t="str">
        <x:v>S_W</x:v>
      </x:c>
      <x:c r="AA114" s="6" t="str">
        <x:v>report_internal_inconsistency</x:v>
      </x:c>
      <x:c r="AB114" s="6" t="str">
        <x:v>retain</x:v>
      </x:c>
    </x:row>
    <x:row r="115" ht="90" customHeight="1">
      <x:c r="A115" s="11" t="b">
        <x:v>0</x:v>
      </x:c>
      <x:c r="B115" s="3"/>
      <x:c r="C115" s="11" t="b">
        <x:v>0</x:v>
      </x:c>
      <x:c r="D115" s="3" t="str">
        <x:v>Cross-document numeric inconsistency</x:v>
      </x:c>
      <x:c r="E115" s="11" t="b">
        <x:v>0</x:v>
      </x:c>
      <x:c r="F115" s="3" t="str">
        <x:v>C002</x:v>
      </x:c>
      <x:c r="G115" s="3" t="str">
        <x:v>2025::jama.2025.4390::C002</x:v>
      </x:c>
      <x:c r="H115" s="3"/>
      <x:c r="I115" s="3" t="str">
        <x:v>joi250019supp3_prod_1749674951.30054.pdf — eFigure 4, PDF p. 26; joi250019supp3_prod_1749674951.30054.pdf — eTable 6, PDF p. 42 (table begins on PDF p. 41).</x:v>
      </x:c>
      <x:c r="J115" s="11" t="b">
        <x:v>1</x:v>
      </x:c>
      <x:c r="K115" s="3" t="str">
        <x:v>jama.2025.4390</x:v>
      </x:c>
      <x:c r="L115" s="3"/>
      <x:c r="M115" s="3" t="str">
        <x:v>S_W</x:v>
      </x:c>
      <x:c r="N115" s="3" t="str">
        <x:v>Target is within one main article or one non-plan results supplement/workbook; no substantive plan comparison. Reported figure triplet: 278/138/8. Matched table triplet: 277/139/8 of 424, with the stated percentages.</x:v>
      </x:c>
      <x:c r="O115" s="3" t="str">
        <x:v>../../2025/jama.2025.4390/.ai_paper_validation/final_report_1_5_1.html</x:v>
      </x:c>
      <x:c r="P115" s="3" t="str">
        <x:v>2025/jama.2025.4390/.ai_paper_validation/final_report_1_5_1.md</x:v>
      </x:c>
      <x:c r="Q115" s="3" t="str">
        <x:v>C002</x:v>
      </x:c>
      <x:c r="R115" s="3" t="str">
        <x:v>Pending Human Adjudication</x:v>
      </x:c>
      <x:c r="S115" s="3" t="str">
        <x:v>eFigure 4 and eTable 6 print different medication-level timing counts for the same six-month bedtime-allocation diuretic total of 424.</x:v>
      </x:c>
      <x:c r="T115" s="11" t="b">
        <x:v>1</x:v>
      </x:c>
      <x:c r="U115" s="3" t="str">
        <x:v>Bedtime-diuretic six-month timing count triplets differ between eFigure 4 and eTable 6</x:v>
      </x:c>
      <x:c r="V115" s="3" t="str">
        <x:v>report_internal_inconsistency</x:v>
      </x:c>
      <x:c r="W115" s="3" t="str">
        <x:v>Bedtime-diuretic six-month timing count triplets differ between eFigure 4 and eTable 6</x:v>
      </x:c>
      <x:c r="X115" s="3" t="str">
        <x:v>2025</x:v>
      </x:c>
      <x:c r="Y115" s="3" t="str">
        <x:v>meta_report/consistency_reclassification_2026-09-04/reclassified_candidates.json</x:v>
      </x:c>
      <x:c r="Z115" s="3" t="str">
        <x:v>S_W</x:v>
      </x:c>
      <x:c r="AA115" s="3" t="str">
        <x:v>report_internal_inconsistency</x:v>
      </x:c>
      <x:c r="AB115" s="3" t="str">
        <x:v>retain</x:v>
      </x:c>
    </x:row>
    <x:row r="116" ht="90" customHeight="1">
      <x:c r="A116" s="12" t="b">
        <x:v>0</x:v>
      </x:c>
      <x:c r="B116" s="6"/>
      <x:c r="C116" s="12" t="b">
        <x:v>0</x:v>
      </x:c>
      <x:c r="D116" s="6" t="str">
        <x:v>Numeric or arithmetic inconsistency</x:v>
      </x:c>
      <x:c r="E116" s="12" t="b">
        <x:v>0</x:v>
      </x:c>
      <x:c r="F116" s="6" t="str">
        <x:v>C003</x:v>
      </x:c>
      <x:c r="G116" s="6" t="str">
        <x:v>2025::jama.2025.4390::C003</x:v>
      </x:c>
      <x:c r="H116" s="6"/>
      <x:c r="I116" s="6" t="str">
        <x:v>joi250019supp3_prod_1749674951.30054.pdf — eTable 5, PDF p. 37; joi250019supp3_prod_1749674951.30054.pdf — eTable 3, PDF p. 29.</x:v>
      </x:c>
      <x:c r="J116" s="12" t="b">
        <x:v>0</x:v>
      </x:c>
      <x:c r="K116" s="6" t="str">
        <x:v>jama.2025.4390</x:v>
      </x:c>
      <x:c r="L116" s="6"/>
      <x:c r="M116" s="6" t="str">
        <x:v>S_W</x:v>
      </x:c>
      <x:c r="N116" s="6" t="str">
        <x:v>Target is within one main article or one non-plan results supplement/workbook; no substantive plan comparison. Reported eTable 5 `Other` row: morning 40 (90.9%) and bedtime 53 (93.0%), identical to White/Caucasian. Matched parent-arm comparator: eTable 3 `Other` counts of 5 morning and 9 bedtime.</x:v>
      </x:c>
      <x:c r="O116" s="6" t="str">
        <x:v>../../2025/jama.2025.4390/.ai_paper_validation/final_report_1_5_1.html</x:v>
      </x:c>
      <x:c r="P116" s="6" t="str">
        <x:v>2025/jama.2025.4390/.ai_paper_validation/final_report_1_5_1.md</x:v>
      </x:c>
      <x:c r="Q116" s="6" t="str">
        <x:v>C003</x:v>
      </x:c>
      <x:c r="R116" s="6" t="str">
        <x:v>Pending Human Adjudication</x:v>
      </x:c>
      <x:c r="S116" s="6" t="str">
        <x:v>In eTable 5, the Other ethnicity row repeats the White/Caucasian values for participants unable to be followed through administrative data; those repeated counts exceed the randomized baseline Other counts for each allocation arm in eTable 3.</x:v>
      </x:c>
      <x:c r="T116" s="12" t="b">
        <x:v>1</x:v>
      </x:c>
      <x:c r="U116" s="6" t="str">
        <x:v>eTable 5 Other ethnicity row duplicates White/Caucasian values and exceeds randomized Other totals</x:v>
      </x:c>
      <x:c r="V116" s="6" t="str">
        <x:v>statistical_results</x:v>
      </x:c>
      <x:c r="W116" s="6" t="str">
        <x:v>eTable 5 Other ethnicity row duplicates White/Caucasian values and exceeds randomized Other totals</x:v>
      </x:c>
      <x:c r="X116" s="6" t="str">
        <x:v>2025</x:v>
      </x:c>
      <x:c r="Y116" s="6" t="str">
        <x:v>meta_report/consistency_reclassification_2026-09-04/reclassified_candidates.json</x:v>
      </x:c>
      <x:c r="Z116" s="6" t="str">
        <x:v>S_W</x:v>
      </x:c>
      <x:c r="AA116" s="6" t="str">
        <x:v>statistical_results</x:v>
      </x:c>
      <x:c r="AB116" s="6" t="str">
        <x:v>retain</x:v>
      </x:c>
    </x:row>
    <x:row r="117" ht="90" customHeight="1">
      <x:c r="A117" s="11" t="b">
        <x:v>0</x:v>
      </x:c>
      <x:c r="B117" s="3" t="str">
        <x:v>Both protocol-versus-SAP and report-versus-SAP endpoint operator explicitly targeted. No case at exactly5 mm identified.</x:v>
      </x:c>
      <x:c r="C117" s="11" t="b">
        <x:v>1</x:v>
      </x:c>
      <x:c r="D117" s="3" t="str">
        <x:v>Measure, label, or scale inconsistency</x:v>
      </x:c>
      <x:c r="E117" s="11" t="b">
        <x:v>1</x:v>
      </x:c>
      <x:c r="F117" s="3" t="str">
        <x:v>C001</x:v>
      </x:c>
      <x:c r="G117" s="3" t="str">
        <x:v>2025::jama.2025.7583::C001</x:v>
      </x:c>
      <x:c r="H117" s="3"/>
      <x:c r="I117" s="3" t="str">
        <x:v>Main article — PDF p. 3; protocol — PDF p. 7; protocol — PDF p. 16; results supplement — PDF p. 15; SAP — PDF p. 3.</x:v>
      </x:c>
      <x:c r="J117" s="11" t="b">
        <x:v>0</x:v>
      </x:c>
      <x:c r="K117" s="3" t="str">
        <x:v>jama.2025.7583</x:v>
      </x:c>
      <x:c r="L117" s="3" t="str">
        <x:v>endpoint_definition_window_hierarchy</x:v>
      </x:c>
      <x:c r="M117" s="3" t="str">
        <x:v>P_R</x:v>
      </x:c>
      <x:c r="N117" s="3" t="str">
        <x:v>Target compares reported current-study content with supplied protocol/SAP specification. The inclusive `&gt;=5 mm` wording in the main article, protocol, and results supplement is compared with the SAP’s strict `&gt;5 mm` wording.</x:v>
      </x:c>
      <x:c r="O117" s="3" t="str">
        <x:v>../../2025/jama.2025.7583/.ai_paper_validation/final_report_1_5_1.html</x:v>
      </x:c>
      <x:c r="P117" s="3" t="str">
        <x:v>2025/jama.2025.7583/.ai_paper_validation/final_report_1_5_1.md</x:v>
      </x:c>
      <x:c r="Q117" s="3" t="str">
        <x:v>C001</x:v>
      </x:c>
      <x:c r="R117" s="3" t="str">
        <x:v>Pending Human Adjudication</x:v>
      </x:c>
      <x:c r="S117" s="3" t="str">
        <x:v>Matched supplied sources define the same six-month primary-endpoint imaging component with different inclusion operators: inclusive &gt;=5 mm versus strict &gt;5 mm.</x:v>
      </x:c>
      <x:c r="T117" s="11" t="b">
        <x:v>0</x:v>
      </x:c>
      <x:c r="U117" s="3" t="str">
        <x:v>Primary-endpoint midline-shift boundary differs across matched supplied sources</x:v>
      </x:c>
      <x:c r="V117" s="3" t="str">
        <x:v>protocol_report</x:v>
      </x:c>
      <x:c r="W117" s="3" t="str">
        <x:v>Primary-endpoint midline-shift boundary differs across matched supplied sources</x:v>
      </x:c>
      <x:c r="X117" s="3" t="str">
        <x:v>2025</x:v>
      </x:c>
      <x:c r="Y117" s="3" t="str">
        <x:v>meta_report/consistency_reclassification_2026-09-04/reclassified_candidates.json</x:v>
      </x:c>
      <x:c r="Z117" s="3" t="str">
        <x:v>P_R</x:v>
      </x:c>
      <x:c r="AA117" s="3" t="str">
        <x:v>protocol_report</x:v>
      </x:c>
      <x:c r="AB117" s="3" t="str">
        <x:v>retain</x:v>
      </x:c>
    </x:row>
    <x:row r="118" ht="90" customHeight="1">
      <x:c r="A118" s="12" t="b">
        <x:v>0</x:v>
      </x:c>
      <x:c r="B118" s="6" t="str">
        <x:v>Plan and article AGREE at342 and20%; arithmetic incompatibility is within protocol/SAP full input sequence. Article does not print142. Not report-versus-plan.</x:v>
      </x:c>
      <x:c r="C118" s="12" t="b">
        <x:v>1</x:v>
      </x:c>
      <x:c r="D118" s="6" t="str">
        <x:v>Numeric or arithmetic inconsistency</x:v>
      </x:c>
      <x:c r="E118" s="12" t="b">
        <x:v>0</x:v>
      </x:c>
      <x:c r="F118" s="6" t="str">
        <x:v>C002</x:v>
      </x:c>
      <x:c r="G118" s="6" t="str">
        <x:v>2025::jama.2025.7583::C002</x:v>
      </x:c>
      <x:c r="H118" s="6"/>
      <x:c r="I118" s="6" t="str">
        <x:v>Protocol — PDF p. 50; SAP — PDF p. 4; SAP — PDF p. 5; main article — PDF p. 3.</x:v>
      </x:c>
      <x:c r="J118" s="12" t="b">
        <x:v>0</x:v>
      </x:c>
      <x:c r="K118" s="6" t="str">
        <x:v>jama.2025.7583</x:v>
      </x:c>
      <x:c r="L118" s="6"/>
      <x:c r="M118" s="6" t="str">
        <x:v>P_P</x:v>
      </x:c>
      <x:c r="N118" s="6" t="str">
        <x:v>Target is internal to protocol/SAP definitions, calculations, or plan versions; final results are not the conflicting comparator. Printed enrollment is 171 per group/342 total. The comparator is the enrollment required to retain 142 per group after a stated 20% loss fraction.</x:v>
      </x:c>
      <x:c r="O118" s="6" t="str">
        <x:v>../../2025/jama.2025.7583/.ai_paper_validation/final_report_1_5_1.html</x:v>
      </x:c>
      <x:c r="P118" s="6" t="str">
        <x:v>2025/jama.2025.7583/.ai_paper_validation/final_report_1_5_1.md</x:v>
      </x:c>
      <x:c r="Q118" s="6" t="str">
        <x:v>C002</x:v>
      </x:c>
      <x:c r="R118" s="6" t="str">
        <x:v>Pending Human Adjudication</x:v>
      </x:c>
      <x:c r="S118" s="6" t="str">
        <x:v>The printed 142-per-group requirement, stated 20% loss-to-follow-up allowance, and 171-per-group/342-total target do not reconcile under a true loss-fraction convention.</x:v>
      </x:c>
      <x:c r="T118" s="12" t="b">
        <x:v>0</x:v>
      </x:c>
      <x:c r="U118" s="6" t="str">
        <x:v>Printed sample-size attrition allowance does not reconcile with the printed target</x:v>
      </x:c>
      <x:c r="V118" s="6" t="str">
        <x:v>plan_material</x:v>
      </x:c>
      <x:c r="W118" s="6" t="str">
        <x:v>Printed sample-size attrition allowance does not reconcile with the printed target</x:v>
      </x:c>
      <x:c r="X118" s="6" t="str">
        <x:v>2025</x:v>
      </x:c>
      <x:c r="Y118" s="6" t="str">
        <x:v>meta_report/consistency_reclassification_2026-09-04/reclassified_candidates.json</x:v>
      </x:c>
      <x:c r="Z118" s="6" t="str">
        <x:v>P_P</x:v>
      </x:c>
      <x:c r="AA118" s="6" t="str">
        <x:v>plan_material</x:v>
      </x:c>
      <x:c r="AB118" s="6" t="str">
        <x:v>retain</x:v>
      </x:c>
    </x:row>
    <x:row r="119" ht="90" customHeight="1">
      <x:c r="A119" s="11" t="b">
        <x:v>0</x:v>
      </x:c>
      <x:c r="B119" s="3"/>
      <x:c r="C119" s="11" t="b">
        <x:v>0</x:v>
      </x:c>
      <x:c r="D119" s="3" t="str">
        <x:v>Denominator, proportion, or total inconsistency</x:v>
      </x:c>
      <x:c r="E119" s="11" t="b">
        <x:v>0</x:v>
      </x:c>
      <x:c r="F119" s="3" t="str">
        <x:v>C003</x:v>
      </x:c>
      <x:c r="G119" s="3" t="str">
        <x:v>2025::jama.2025.7583::C003</x:v>
      </x:c>
      <x:c r="H119" s="3"/>
      <x:c r="I119" s="3" t="str">
        <x:v>Main article — PDF p. 5, Table 1, Treatment rows.</x:v>
      </x:c>
      <x:c r="J119" s="11" t="b">
        <x:v>0</x:v>
      </x:c>
      <x:c r="K119" s="3" t="str">
        <x:v>jama.2025.7583</x:v>
      </x:c>
      <x:c r="L119" s="3"/>
      <x:c r="M119" s="3" t="str">
        <x:v>S_W</x:v>
      </x:c>
      <x:c r="N119" s="3" t="str">
        <x:v>Target is within one main article or one non-plan results supplement/workbook; no substantive plan comparison. The two printed numerators, 146 and 18, are compared with their repeated denominator, 163, under the table’s participant-framed `No./total No. (%)` presentation.</x:v>
      </x:c>
      <x:c r="O119" s="3" t="str">
        <x:v>../../2025/jama.2025.7583/.ai_paper_validation/final_report_1_5_1.html</x:v>
      </x:c>
      <x:c r="P119" s="3" t="str">
        <x:v>2025/jama.2025.7583/.ai_paper_validation/final_report_1_5_1.md</x:v>
      </x:c>
      <x:c r="Q119" s="3" t="str">
        <x:v>C003</x:v>
      </x:c>
      <x:c r="R119" s="3" t="str">
        <x:v>Pending Human Adjudication</x:v>
      </x:c>
      <x:c r="S119" s="3" t="str">
        <x:v>In Table 1’s standard-care column, two surgery-type numerators total 164 against their shared printed denominator of 163; clarification is required because the table does not state the participant-versus-procedure overlap rule.</x:v>
      </x:c>
      <x:c r="T119" s="11" t="b">
        <x:v>1</x:v>
      </x:c>
      <x:c r="U119" s="3" t="str">
        <x:v>Standard-care surgery-type counts exceed their shared printed denominator</x:v>
      </x:c>
      <x:c r="V119" s="3" t="str">
        <x:v>statistical_results</x:v>
      </x:c>
      <x:c r="W119" s="3" t="str">
        <x:v>Standard-care surgery-type counts exceed their shared printed denominator</x:v>
      </x:c>
      <x:c r="X119" s="3" t="str">
        <x:v>2025</x:v>
      </x:c>
      <x:c r="Y119" s="3" t="str">
        <x:v>meta_report/consistency_reclassification_2026-09-04/reclassified_candidates.json</x:v>
      </x:c>
      <x:c r="Z119" s="3" t="str">
        <x:v>S_W</x:v>
      </x:c>
      <x:c r="AA119" s="3" t="str">
        <x:v>statistical_results</x:v>
      </x:c>
      <x:c r="AB119" s="3" t="str">
        <x:v>retain</x:v>
      </x:c>
    </x:row>
    <x:row r="120" ht="90" customHeight="1">
      <x:c r="A120" s="12" t="b">
        <x:v>0</x:v>
      </x:c>
      <x:c r="B120" s="6"/>
      <x:c r="C120" s="12" t="b">
        <x:v>1</x:v>
      </x:c>
      <x:c r="D120" s="6" t="str">
        <x:v>Measure, label, or scale inconsistency</x:v>
      </x:c>
      <x:c r="E120" s="12" t="b">
        <x:v>0</x:v>
      </x:c>
      <x:c r="F120" s="6" t="str">
        <x:v>C001</x:v>
      </x:c>
      <x:c r="G120" s="6" t="str">
        <x:v>2025::jama.2025.7710::C001</x:v>
      </x:c>
      <x:c r="H120" s="6"/>
      <x:c r="I120" s="6" t="str">
        <x:v>joi250034supp1_prod_1750956984.09018.pdf — PDF p. 16, section 7.2.3; joi250034supp1_prod_1750956984.09018.pdf — PDF p. 17, section 8.2.</x:v>
      </x:c>
      <x:c r="J120" s="12" t="b">
        <x:v>0</x:v>
      </x:c>
      <x:c r="K120" s="6" t="str">
        <x:v>jama.2025.7710</x:v>
      </x:c>
      <x:c r="L120" s="6"/>
      <x:c r="M120" s="6" t="str">
        <x:v>P_P</x:v>
      </x:c>
      <x:c r="N120" s="6" t="str">
        <x:v>Target is internal to protocol/SAP definitions, calculations, or plan versions; final results are not the conflicting comparator. Reported: 2024/25 dollars (p. 16). Comparator: 2023/24 dollars (p. 17).</x:v>
      </x:c>
      <x:c r="O120" s="6" t="str">
        <x:v>../../2025/jama.2025.7710/.ai_paper_validation/final_report_1_5_1.html</x:v>
      </x:c>
      <x:c r="P120" s="6" t="str">
        <x:v>2025/jama.2025.7710/.ai_paper_validation/final_report_1_5_1.md</x:v>
      </x:c>
      <x:c r="Q120" s="6" t="str">
        <x:v>C001</x:v>
      </x:c>
      <x:c r="R120" s="6" t="str">
        <x:v>Pending Human Adjudication</x:v>
      </x:c>
      <x:c r="S120" s="6" t="str">
        <x:v>Two linked protocol descriptions of the economic-analysis framework state different monetary price years.</x:v>
      </x:c>
      <x:c r="T120" s="12" t="b">
        <x:v>0</x:v>
      </x:c>
      <x:c r="U120" s="6" t="str">
        <x:v>Conflicting economic price-year labels within the protocol</x:v>
      </x:c>
      <x:c r="V120" s="6" t="str">
        <x:v>plan_material</x:v>
      </x:c>
      <x:c r="W120" s="6" t="str">
        <x:v>Conflicting economic price-year labels within the protocol</x:v>
      </x:c>
      <x:c r="X120" s="6" t="str">
        <x:v>2025</x:v>
      </x:c>
      <x:c r="Y120" s="6" t="str">
        <x:v>meta_report/consistency_reclassification_2026-09-04/reclassified_candidates.json</x:v>
      </x:c>
      <x:c r="Z120" s="6" t="str">
        <x:v>P_P</x:v>
      </x:c>
      <x:c r="AA120" s="6" t="str">
        <x:v>plan_material</x:v>
      </x:c>
      <x:c r="AB120" s="6" t="str">
        <x:v>retain</x:v>
      </x:c>
    </x:row>
    <x:row r="121" ht="90" customHeight="1">
      <x:c r="A121" s="11" t="b">
        <x:v>0</x:v>
      </x:c>
      <x:c r="B121" s="3"/>
      <x:c r="C121" s="11" t="b">
        <x:v>1</x:v>
      </x:c>
      <x:c r="D121" s="3" t="str">
        <x:v>Measure, label, or scale inconsistency</x:v>
      </x:c>
      <x:c r="E121" s="11" t="b">
        <x:v>0</x:v>
      </x:c>
      <x:c r="F121" s="3" t="str">
        <x:v>C002</x:v>
      </x:c>
      <x:c r="G121" s="3" t="str">
        <x:v>2025::jama.2025.7710::C002</x:v>
      </x:c>
      <x:c r="H121" s="3"/>
      <x:c r="I121" s="3" t="str">
        <x:v>joi250034supp1_prod_1750956984.09018.pdf — PDF p. 15, section 7.1; joi250034supp1_prod_1750956984.09018.pdf — PDF p. 16, section 7.2.1.</x:v>
      </x:c>
      <x:c r="J121" s="11" t="b">
        <x:v>0</x:v>
      </x:c>
      <x:c r="K121" s="3" t="str">
        <x:v>jama.2025.7710</x:v>
      </x:c>
      <x:c r="L121" s="3"/>
      <x:c r="M121" s="3" t="str">
        <x:v>P_P</x:v>
      </x:c>
      <x:c r="N121" s="3" t="str">
        <x:v>Target is internal to protocol/SAP definitions, calculations, or plan versions; final results are not the conflicting comparator. Reported list: ten displayed bullets. Comparator rationale: a total of ten attributed to expanding outcomes (i) and (viii).</x:v>
      </x:c>
      <x:c r="O121" s="3" t="str">
        <x:v>../../2025/jama.2025.7710/.ai_paper_validation/final_report_1_5_1.html</x:v>
      </x:c>
      <x:c r="P121" s="3" t="str">
        <x:v>2025/jama.2025.7710/.ai_paper_validation/final_report_1_5_1.md</x:v>
      </x:c>
      <x:c r="Q121" s="3" t="str">
        <x:v>C002</x:v>
      </x:c>
      <x:c r="R121" s="3" t="str">
        <x:v>Pending Human Adjudication</x:v>
      </x:c>
      <x:c r="S121" s="3" t="str">
        <x:v>The protocol displays ten separate endpoint bullets but explains a total of ten by saying two listed outcomes each contain two individual components.</x:v>
      </x:c>
      <x:c r="T121" s="11" t="b">
        <x:v>0</x:v>
      </x:c>
      <x:c r="U121" s="3" t="str">
        <x:v>Primary-composite counting rationale does not reconcile with the displayed endpoint list</x:v>
      </x:c>
      <x:c r="V121" s="3" t="str">
        <x:v>plan_material</x:v>
      </x:c>
      <x:c r="W121" s="3" t="str">
        <x:v>Primary-composite counting rationale does not reconcile with the displayed endpoint list</x:v>
      </x:c>
      <x:c r="X121" s="3" t="str">
        <x:v>2025</x:v>
      </x:c>
      <x:c r="Y121" s="3" t="str">
        <x:v>meta_report/consistency_reclassification_2026-09-04/reclassified_candidates.json</x:v>
      </x:c>
      <x:c r="Z121" s="3" t="str">
        <x:v>P_P</x:v>
      </x:c>
      <x:c r="AA121" s="3" t="str">
        <x:v>plan_material</x:v>
      </x:c>
      <x:c r="AB121" s="3" t="str">
        <x:v>retain</x:v>
      </x:c>
    </x:row>
    <x:row r="122" ht="90" customHeight="1">
      <x:c r="A122" s="12" t="b">
        <x:v>0</x:v>
      </x:c>
      <x:c r="B122" s="6"/>
      <x:c r="C122" s="12" t="b">
        <x:v>1</x:v>
      </x:c>
      <x:c r="D122" s="6" t="str">
        <x:v>Measure, label, or scale inconsistency</x:v>
      </x:c>
      <x:c r="E122" s="12" t="b">
        <x:v>0</x:v>
      </x:c>
      <x:c r="F122" s="6" t="str">
        <x:v>C003</x:v>
      </x:c>
      <x:c r="G122" s="6" t="str">
        <x:v>2025::jama.2025.7710::C003</x:v>
      </x:c>
      <x:c r="H122" s="6"/>
      <x:c r="I122" s="6" t="str">
        <x:v>joi250034supp1_prod_1750956984.09018.pdf — PDF p. 5, synopsis and schema; joi250034supp1_prod_1750956984.09018.pdf — PDF p. 16, section 7.2.3; joi250034supp1_prod_1750956984.09018.pdf — PDF p. 17, section 8.2.</x:v>
      </x:c>
      <x:c r="J122" s="12" t="b">
        <x:v>0</x:v>
      </x:c>
      <x:c r="K122" s="6" t="str">
        <x:v>jama.2025.7710</x:v>
      </x:c>
      <x:c r="L122" s="6"/>
      <x:c r="M122" s="6" t="str">
        <x:v>P_P</x:v>
      </x:c>
      <x:c r="N122" s="6" t="str">
        <x:v>Target is internal to protocol/SAP definitions, calculations, or plan versions; final results are not the conflicting comparator. Reported economic label: `CS vs standard care`. Comparator description: `SC` versus placebo/standard care.</x:v>
      </x:c>
      <x:c r="O122" s="6" t="str">
        <x:v>../../2025/jama.2025.7710/.ai_paper_validation/final_report_1_5_1.html</x:v>
      </x:c>
      <x:c r="P122" s="6" t="str">
        <x:v>2025/jama.2025.7710/.ai_paper_validation/final_report_1_5_1.md</x:v>
      </x:c>
      <x:c r="Q122" s="6" t="str">
        <x:v>C003</x:v>
      </x:c>
      <x:c r="R122" s="6" t="str">
        <x:v>Pending Human Adjudication</x:v>
      </x:c>
      <x:c r="S122" s="6" t="str">
        <x:v>A protocol economic-analysis label uses CS vs standard care, while the detailed economic comparison and trial synopsis identify sildenafil citrate (SC) versus placebo/standard care.</x:v>
      </x:c>
      <x:c r="T122" s="12" t="b">
        <x:v>0</x:v>
      </x:c>
      <x:c r="U122" s="6" t="str">
        <x:v>Economic comparator label conflicts with the detailed trial comparison</x:v>
      </x:c>
      <x:c r="V122" s="6" t="str">
        <x:v>plan_material</x:v>
      </x:c>
      <x:c r="W122" s="6" t="str">
        <x:v>Economic comparator label conflicts with the detailed trial comparison</x:v>
      </x:c>
      <x:c r="X122" s="6" t="str">
        <x:v>2025</x:v>
      </x:c>
      <x:c r="Y122" s="6" t="str">
        <x:v>meta_report/consistency_reclassification_2026-09-04/reclassified_candidates.json</x:v>
      </x:c>
      <x:c r="Z122" s="6" t="str">
        <x:v>P_P</x:v>
      </x:c>
      <x:c r="AA122" s="6" t="str">
        <x:v>plan_material</x:v>
      </x:c>
      <x:c r="AB122" s="6" t="str">
        <x:v>retain</x:v>
      </x:c>
    </x:row>
    <x:row r="123" ht="90" customHeight="1">
      <x:c r="A123" s="11" t="b">
        <x:v>0</x:v>
      </x:c>
      <x:c r="B123" s="3" t="str">
        <x:v>SAP expressly Draft v1.2; final approved plan/amendment missing. No-adjustment versus planned BH remains candidate governance question.</x:v>
      </x:c>
      <x:c r="C123" s="11" t="b">
        <x:v>1</x:v>
      </x:c>
      <x:c r="D123" s="3" t="str">
        <x:v>Statistical reporting inconsistency</x:v>
      </x:c>
      <x:c r="E123" s="11" t="b">
        <x:v>1</x:v>
      </x:c>
      <x:c r="F123" s="3" t="str">
        <x:v>C004</x:v>
      </x:c>
      <x:c r="G123" s="3" t="str">
        <x:v>2025::jama.2025.7710::C004</x:v>
      </x:c>
      <x:c r="H123" s="3"/>
      <x:c r="I123" s="3" t="str">
        <x:v>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x:v>
      </x:c>
      <x:c r="J123" s="11" t="b">
        <x:v>0</x:v>
      </x:c>
      <x:c r="K123" s="3" t="str">
        <x:v>jama.2025.7710</x:v>
      </x:c>
      <x:c r="L123" s="3" t="str">
        <x:v>analysis_specification</x:v>
      </x:c>
      <x:c r="M123" s="3" t="str">
        <x:v>P_R</x:v>
      </x:c>
      <x:c r="N123" s="3" t="str">
        <x:v>Target compares reported current-study content with supplied protocol/SAP specification. Reported multiplicity treatment: no adjustment. Comparator planned treatment: adjusted P values for ten component comparisons.</x:v>
      </x:c>
      <x:c r="O123" s="3" t="str">
        <x:v>../../2025/jama.2025.7710/.ai_paper_validation/final_report_1_5_1.html</x:v>
      </x:c>
      <x:c r="P123" s="3" t="str">
        <x:v>2025/jama.2025.7710/.ai_paper_validation/final_report_1_5_1.md</x:v>
      </x:c>
      <x:c r="Q123" s="3" t="str">
        <x:v>C004</x:v>
      </x:c>
      <x:c r="R123" s="3" t="str">
        <x:v>Pending Human Adjudication</x:v>
      </x:c>
      <x:c r="S123" s="3" t="str">
        <x:v>The article reports no adjustment for multiple testing, while the supplied protocol and draft SAP plan Benjamini-Hochberg adjusted P values for the ten component comparisons.</x:v>
      </x:c>
      <x:c r="T123" s="11" t="b">
        <x:v>0</x:v>
      </x:c>
      <x:c r="U123" s="3" t="str">
        <x:v>Reported no-adjustment statement conflicts with the supplied multiplicity plan</x:v>
      </x:c>
      <x:c r="V123" s="3" t="str">
        <x:v>protocol_report</x:v>
      </x:c>
      <x:c r="W123" s="3" t="str">
        <x:v>Reported no-adjustment statement conflicts with the supplied multiplicity plan</x:v>
      </x:c>
      <x:c r="X123" s="3" t="str">
        <x:v>2025</x:v>
      </x:c>
      <x:c r="Y123" s="3" t="str">
        <x:v>meta_report/consistency_reclassification_2026-09-04/reclassified_candidates.json</x:v>
      </x:c>
      <x:c r="Z123" s="3" t="str">
        <x:v>P_R</x:v>
      </x:c>
      <x:c r="AA123" s="3" t="str">
        <x:v>protocol_report</x:v>
      </x:c>
      <x:c r="AB123" s="3" t="str">
        <x:v>retain</x:v>
      </x:c>
    </x:row>
    <x:row r="124" ht="90" customHeight="1">
      <x:c r="A124" s="12" t="b">
        <x:v>0</x:v>
      </x:c>
      <x:c r="B124" s="6" t="str">
        <x:v>Main label versus own two-endpoint displays; supplement is comparable convention, not identically matched discrepancy.</x:v>
      </x:c>
      <x:c r="C124" s="12" t="b">
        <x:v>0</x:v>
      </x:c>
      <x:c r="D124" s="6" t="str">
        <x:v>Measure, label, or scale inconsistency</x:v>
      </x:c>
      <x:c r="E124" s="12" t="b">
        <x:v>0</x:v>
      </x:c>
      <x:c r="F124" s="6" t="str">
        <x:v>C001</x:v>
      </x:c>
      <x:c r="G124" s="6" t="str">
        <x:v>2025::jama.2025.9110::C001</x:v>
      </x:c>
      <x:c r="H124" s="6"/>
      <x:c r="I124" s="6" t="str">
        <x:v>Main article — PDF p. 7, Table 2, Duration of invasive ventilation, mean (SD), h; main article — PDF p. 1; Results Supplement — PDF p. 18, eTable 10.</x:v>
      </x:c>
      <x:c r="J124" s="12" t="b">
        <x:v>0</x:v>
      </x:c>
      <x:c r="K124" s="6" t="str">
        <x:v>jama.2025.9110</x:v>
      </x:c>
      <x:c r="L124" s="6"/>
      <x:c r="M124" s="6" t="str">
        <x:v>S_W</x:v>
      </x:c>
      <x:c r="N124" s="6" t="str">
        <x:v>Target is within one main article or one non-plan results supplement/workbook; no substantive plan comparison. The printed `mean (SD)` label is compared with the two-endpoint parenthetical displays and the supplementary median (IQR) presentation convention.</x:v>
      </x:c>
      <x:c r="O124" s="6" t="str">
        <x:v>../../2025/jama.2025.9110/.ai_paper_validation/final_report_1_5_1.html</x:v>
      </x:c>
      <x:c r="P124" s="6" t="str">
        <x:v>2025/jama.2025.9110/.ai_paper_validation/final_report_1_5_1.md</x:v>
      </x:c>
      <x:c r="Q124" s="6" t="str">
        <x:v>C001</x:v>
      </x:c>
      <x:c r="R124" s="6" t="str">
        <x:v>Pending Human Adjudication</x:v>
      </x:c>
      <x:c r="S124" s="6" t="str">
        <x:v>The invasive-ventilation Table 2 row is labeled mean (SD) but each group display contains two endpoints.</x:v>
      </x:c>
      <x:c r="T124" s="12" t="b">
        <x:v>1</x:v>
      </x:c>
      <x:c r="U124" s="6" t="str">
        <x:v>Invasive-ventilation descriptive summary is labeled mean (SD) but displays two endpoints</x:v>
      </x:c>
      <x:c r="V124" s="6" t="str">
        <x:v>report_internal_inconsistency</x:v>
      </x:c>
      <x:c r="W124" s="6" t="str">
        <x:v>Invasive-ventilation descriptive summary is labeled mean (SD) but displays two endpoints</x:v>
      </x:c>
      <x:c r="X124" s="6" t="str">
        <x:v>2025</x:v>
      </x:c>
      <x:c r="Y124" s="6" t="str">
        <x:v>meta_report/consistency_reclassification_2026-09-04/reclassified_candidates.json</x:v>
      </x:c>
      <x:c r="Z124" s="6" t="str">
        <x:v>S_W</x:v>
      </x:c>
      <x:c r="AA124" s="6" t="str">
        <x:v>report_internal_inconsistency</x:v>
      </x:c>
      <x:c r="AB124" s="6" t="str">
        <x:v>retain</x:v>
      </x:c>
    </x:row>
    <x:row r="125" ht="90" customHeight="1">
      <x:c r="A125" s="11" t="b">
        <x:v>0</x:v>
      </x:c>
      <x:c r="B125" s="3"/>
      <x:c r="C125" s="11" t="b">
        <x:v>0</x:v>
      </x:c>
      <x:c r="D125" s="3" t="str">
        <x:v>Measure, label, or scale inconsistency</x:v>
      </x:c>
      <x:c r="E125" s="11" t="b">
        <x:v>0</x:v>
      </x:c>
      <x:c r="F125" s="3" t="str">
        <x:v>C002</x:v>
      </x:c>
      <x:c r="G125" s="3" t="str">
        <x:v>2025::jama.2025.9110::C002</x:v>
      </x:c>
      <x:c r="H125" s="3"/>
      <x:c r="I125" s="3" t="str">
        <x:v>Results Supplement — PDF p. 18, eTable 10, Alive at day 90 [n (%)], Period 2 usual protein (4 units, n = 530).</x:v>
      </x:c>
      <x:c r="J125" s="11" t="b">
        <x:v>0</x:v>
      </x:c>
      <x:c r="K125" s="3" t="str">
        <x:v>jama.2025.9110</x:v>
      </x:c>
      <x:c r="L125" s="3"/>
      <x:c r="M125" s="3" t="str">
        <x:v>S_W</x:v>
      </x:c>
      <x:c r="N125" s="3" t="str">
        <x:v>Target is within one main article or one non-plan results supplement/workbook; no substantive plan comparison. `72, 3%` is compared with the row's point-decimal convention and its printed count/denominator.</x:v>
      </x:c>
      <x:c r="O125" s="3" t="str">
        <x:v>../../2025/jama.2025.9110/.ai_paper_validation/final_report_1_5_1.html</x:v>
      </x:c>
      <x:c r="P125" s="3" t="str">
        <x:v>2025/jama.2025.9110/.ai_paper_validation/final_report_1_5_1.md</x:v>
      </x:c>
      <x:c r="Q125" s="3" t="str">
        <x:v>C002</x:v>
      </x:c>
      <x:c r="R125" s="3" t="str">
        <x:v>Pending Human Adjudication</x:v>
      </x:c>
      <x:c r="S125" s="3" t="str">
        <x:v>One eTable 10 day-90 survival percentage uses a comma-and-space where matched cells use a decimal point.</x:v>
      </x:c>
      <x:c r="T125" s="11" t="b">
        <x:v>1</x:v>
      </x:c>
      <x:c r="U125" s="3" t="str">
        <x:v>eTable 10 uses a comma in one one-decimal survival percentage</x:v>
      </x:c>
      <x:c r="V125" s="3" t="str">
        <x:v>report_internal_inconsistency</x:v>
      </x:c>
      <x:c r="W125" s="3" t="str">
        <x:v>eTable 10 uses a comma in one one-decimal survival percentage</x:v>
      </x:c>
      <x:c r="X125" s="3" t="str">
        <x:v>2025</x:v>
      </x:c>
      <x:c r="Y125" s="3" t="str">
        <x:v>meta_report/consistency_reclassification_2026-09-04/reclassified_candidates.json</x:v>
      </x:c>
      <x:c r="Z125" s="3" t="str">
        <x:v>S_W</x:v>
      </x:c>
      <x:c r="AA125" s="3" t="str">
        <x:v>report_internal_inconsistency</x:v>
      </x:c>
      <x:c r="AB125" s="3" t="str">
        <x:v>retain</x:v>
      </x:c>
    </x:row>
    <x:row r="126" ht="90" customHeight="1">
      <x:c r="A126" s="12" t="b">
        <x:v>0</x:v>
      </x:c>
      <x:c r="B126" s="6" t="str">
        <x:v>Main label versus own two endpoints and median-difference effect. Final supplementary methods corroborate median estimand.</x:v>
      </x:c>
      <x:c r="C126" s="12" t="b">
        <x:v>0</x:v>
      </x:c>
      <x:c r="D126" s="6" t="str">
        <x:v>Measure, label, or scale inconsistency</x:v>
      </x:c>
      <x:c r="E126" s="12" t="b">
        <x:v>0</x:v>
      </x:c>
      <x:c r="F126" s="6" t="str">
        <x:v>C003</x:v>
      </x:c>
      <x:c r="G126" s="6" t="str">
        <x:v>2025::jama.2025.9110::C003</x:v>
      </x:c>
      <x:c r="H126" s="6"/>
      <x:c r="I126" s="6" t="str">
        <x:v>Main article — PDF p. 7, Table 2; Results Supplement — PDF p. 5, secondary analyses; Results Supplement — PDF p. 27, eFigure 6.</x:v>
      </x:c>
      <x:c r="J126" s="12" t="b">
        <x:v>0</x:v>
      </x:c>
      <x:c r="K126" s="6" t="str">
        <x:v>jama.2025.9110</x:v>
      </x:c>
      <x:c r="L126" s="6"/>
      <x:c r="M126" s="6" t="str">
        <x:v>S_W</x:v>
      </x:c>
      <x:c r="N126" s="6" t="str">
        <x:v>Target is within one main article or one non-plan results supplement/workbook; no substantive plan comparison. The Table 2 `mean (SD)` group-summary label is compared with its own median-difference effect label, the final Bayesian method description, and the two-bound group displays.</x:v>
      </x:c>
      <x:c r="O126" s="6" t="str">
        <x:v>../../2025/jama.2025.9110/.ai_paper_validation/final_report_1_5_1.html</x:v>
      </x:c>
      <x:c r="P126" s="6" t="str">
        <x:v>2025/jama.2025.9110/.ai_paper_validation/final_report_1_5_1.md</x:v>
      </x:c>
      <x:c r="Q126" s="6" t="str">
        <x:v>C003</x:v>
      </x:c>
      <x:c r="R126" s="6" t="str">
        <x:v>Pending Human Adjudication</x:v>
      </x:c>
      <x:c r="S126" s="6" t="str">
        <x:v>The Bayesian quantile Table 2 row is labeled mean (SD) despite a median-difference estimand and two-endpoint group displays.</x:v>
      </x:c>
      <x:c r="T126" s="12" t="b">
        <x:v>1</x:v>
      </x:c>
      <x:c r="U126" s="6" t="str">
        <x:v>Bayesian quantile row is labeled mean (SD) despite its associated median estimand and two-endpoint group displays</x:v>
      </x:c>
      <x:c r="V126" s="6" t="str">
        <x:v>report_internal_inconsistency</x:v>
      </x:c>
      <x:c r="W126" s="6" t="str">
        <x:v>Bayesian quantile row is labeled mean (SD) despite its associated median estimand and two-endpoint group displays</x:v>
      </x:c>
      <x:c r="X126" s="6" t="str">
        <x:v>2025</x:v>
      </x:c>
      <x:c r="Y126" s="6" t="str">
        <x:v>meta_report/consistency_reclassification_2026-09-04/reclassified_candidates.json</x:v>
      </x:c>
      <x:c r="Z126" s="6" t="str">
        <x:v>S_W</x:v>
      </x:c>
      <x:c r="AA126" s="6" t="str">
        <x:v>report_internal_inconsistency</x:v>
      </x:c>
      <x:c r="AB126" s="6" t="str">
        <x:v>retain</x:v>
      </x:c>
    </x:row>
    <x:row r="127" ht="90" customHeight="1">
      <x:c r="A127" s="11" t="b">
        <x:v>0</x:v>
      </x:c>
      <x:c r="B127" s="3"/>
      <x:c r="C127" s="11" t="b">
        <x:v>0</x:v>
      </x:c>
      <x:c r="D127" s="3" t="str">
        <x:v>Cross-document numeric inconsistency</x:v>
      </x:c>
      <x:c r="E127" s="11" t="b">
        <x:v>0</x:v>
      </x:c>
      <x:c r="F127" s="3" t="str">
        <x:v>C004</x:v>
      </x:c>
      <x:c r="G127" s="3" t="str">
        <x:v>2025::jama.2025.9110::C004</x:v>
      </x:c>
      <x:c r="H127" s="3"/>
      <x:c r="I127" s="3" t="str">
        <x:v>Main article Results — PDF p. 5, Biochemical Outcomes; main article Discussion — PDF p. 8.</x:v>
      </x:c>
      <x:c r="J127" s="11" t="b">
        <x:v>1</x:v>
      </x:c>
      <x:c r="K127" s="3" t="str">
        <x:v>jama.2025.9110</x:v>
      </x:c>
      <x:c r="L127" s="3"/>
      <x:c r="M127" s="3" t="str">
        <x:v>S_W</x:v>
      </x:c>
      <x:c r="N127" s="3" t="str">
        <x:v>Target is within one main article or one non-plan results supplement/workbook; no substantive plan comparison. The Discussion's `mean` label is compared with the Results' matched analyte, day, groups, direction, unit, and `median (IQR)` description.</x:v>
      </x:c>
      <x:c r="O127" s="3" t="str">
        <x:v>../../2025/jama.2025.9110/.ai_paper_validation/final_report_1_5_1.html</x:v>
      </x:c>
      <x:c r="P127" s="3" t="str">
        <x:v>2025/jama.2025.9110/.ai_paper_validation/final_report_1_5_1.md</x:v>
      </x:c>
      <x:c r="Q127" s="3" t="str">
        <x:v>C004</x:v>
      </x:c>
      <x:c r="R127" s="3" t="str">
        <x:v>Pending Human Adjudication</x:v>
      </x:c>
      <x:c r="S127" s="3" t="str">
        <x:v>The Discussion calls the matched day-10 blood-urea summaries means while Results reports medians (IQR).</x:v>
      </x:c>
      <x:c r="T127" s="11" t="b">
        <x:v>1</x:v>
      </x:c>
      <x:c r="U127" s="3" t="str">
        <x:v>Discussion describes the matched day-10 urea summaries as means while Results reports medians (IQR)</x:v>
      </x:c>
      <x:c r="V127" s="3" t="str">
        <x:v>report_internal_inconsistency</x:v>
      </x:c>
      <x:c r="W127" s="3" t="str">
        <x:v>Discussion describes the matched day-10 urea summaries as means while Results reports medians (IQR)</x:v>
      </x:c>
      <x:c r="X127" s="3" t="str">
        <x:v>2025</x:v>
      </x:c>
      <x:c r="Y127" s="3" t="str">
        <x:v>meta_report/consistency_reclassification_2026-09-04/reclassified_candidates.json</x:v>
      </x:c>
      <x:c r="Z127" s="3" t="str">
        <x:v>S_W</x:v>
      </x:c>
      <x:c r="AA127" s="3" t="str">
        <x:v>report_internal_inconsistency</x:v>
      </x:c>
      <x:c r="AB127" s="3" t="str">
        <x:v>retain</x:v>
      </x:c>
    </x:row>
    <x:row r="128" ht="90" customHeight="1">
      <x:c r="A128" s="12" t="b">
        <x:v>0</x:v>
      </x:c>
      <x:c r="B128" s="6"/>
      <x:c r="C128" s="12" t="b">
        <x:v>0</x:v>
      </x:c>
      <x:c r="D128" s="6" t="str">
        <x:v>Measure, label, or scale inconsistency</x:v>
      </x:c>
      <x:c r="E128" s="12" t="b">
        <x:v>0</x:v>
      </x:c>
      <x:c r="F128" s="6" t="str">
        <x:v>C005</x:v>
      </x:c>
      <x:c r="G128" s="6" t="str">
        <x:v>2025::jama.2025.9110::C005</x:v>
      </x:c>
      <x:c r="H128" s="6"/>
      <x:c r="I128" s="6" t="str">
        <x:v>Results Supplement — PDF p. 18, eTable 10, Tracheostomy in ICU [n (%)].</x:v>
      </x:c>
      <x:c r="J128" s="12" t="b">
        <x:v>0</x:v>
      </x:c>
      <x:c r="K128" s="6" t="str">
        <x:v>jama.2025.9110</x:v>
      </x:c>
      <x:c r="L128" s="6"/>
      <x:c r="M128" s="6" t="str">
        <x:v>S_W</x:v>
      </x:c>
      <x:c r="N128" s="6" t="str">
        <x:v>Target is within one main article or one non-plan results supplement/workbook; no substantive plan comparison. All eight are percentage displays in one `[n (%)]` row, but the first four omit `%` and the last four include it.</x:v>
      </x:c>
      <x:c r="O128" s="6" t="str">
        <x:v>../../2025/jama.2025.9110/.ai_paper_validation/final_report_1_5_1.html</x:v>
      </x:c>
      <x:c r="P128" s="6" t="str">
        <x:v>2025/jama.2025.9110/.ai_paper_validation/final_report_1_5_1.md</x:v>
      </x:c>
      <x:c r="Q128" s="6" t="str">
        <x:v>C005</x:v>
      </x:c>
      <x:c r="R128" s="6" t="str">
        <x:v>Pending Human Adjudication</x:v>
      </x:c>
      <x:c r="S128" s="6" t="str">
        <x:v>The eTable 10 tracheostomy row changes percent-sign notation halfway across matched period cells.</x:v>
      </x:c>
      <x:c r="T128" s="12" t="b">
        <x:v>1</x:v>
      </x:c>
      <x:c r="U128" s="6" t="str">
        <x:v>eTable 10 tracheostomy row switches percent-sign notation across period cells</x:v>
      </x:c>
      <x:c r="V128" s="6" t="str">
        <x:v>report_internal_inconsistency</x:v>
      </x:c>
      <x:c r="W128" s="6" t="str">
        <x:v>eTable 10 tracheostomy row switches percent-sign notation across period cells</x:v>
      </x:c>
      <x:c r="X128" s="6" t="str">
        <x:v>2025</x:v>
      </x:c>
      <x:c r="Y128" s="6" t="str">
        <x:v>meta_report/consistency_reclassification_2026-09-04/reclassified_candidates.json</x:v>
      </x:c>
      <x:c r="Z128" s="6" t="str">
        <x:v>S_W</x:v>
      </x:c>
      <x:c r="AA128" s="6" t="str">
        <x:v>report_internal_inconsistency</x:v>
      </x:c>
      <x:c r="AB128" s="6" t="str">
        <x:v>retain</x:v>
      </x:c>
    </x:row>
    <x:row r="129" ht="90" customHeight="1">
      <x:c r="A129" s="11" t="b">
        <x:v>0</x:v>
      </x:c>
      <x:c r="B129" s="3"/>
      <x:c r="C129" s="11" t="b">
        <x:v>0</x:v>
      </x:c>
      <x:c r="D129" s="3" t="str">
        <x:v>Measure, label, or scale inconsistency</x:v>
      </x:c>
      <x:c r="E129" s="11" t="b">
        <x:v>0</x:v>
      </x:c>
      <x:c r="F129" s="3" t="str">
        <x:v>C006</x:v>
      </x:c>
      <x:c r="G129" s="3" t="str">
        <x:v>2025::jama.2025.9110::C006</x:v>
      </x:c>
      <x:c r="H129" s="3"/>
      <x:c r="I129" s="3" t="str">
        <x:v>Results Supplement — PDF p. 18, eTable 10, New kidney replacement therapy commenced during index ICU admission after commencing trial enteral nutrition [n (%)].</x:v>
      </x:c>
      <x:c r="J129" s="11" t="b">
        <x:v>0</x:v>
      </x:c>
      <x:c r="K129" s="3" t="str">
        <x:v>jama.2025.9110</x:v>
      </x:c>
      <x:c r="L129" s="3"/>
      <x:c r="M129" s="3" t="str">
        <x:v>S_W</x:v>
      </x:c>
      <x:c r="N129" s="3" t="str">
        <x:v>Target is within one main article or one non-plan results supplement/workbook; no substantive plan comparison. All eight are percentage displays within one `[n (%)]` row, but `%` is absent from the first four and present in the final four.</x:v>
      </x:c>
      <x:c r="O129" s="3" t="str">
        <x:v>../../2025/jama.2025.9110/.ai_paper_validation/final_report_1_5_1.html</x:v>
      </x:c>
      <x:c r="P129" s="3" t="str">
        <x:v>2025/jama.2025.9110/.ai_paper_validation/final_report_1_5_1.md</x:v>
      </x:c>
      <x:c r="Q129" s="3" t="str">
        <x:v>C006</x:v>
      </x:c>
      <x:c r="R129" s="3" t="str">
        <x:v>Pending Human Adjudication</x:v>
      </x:c>
      <x:c r="S129" s="3" t="str">
        <x:v>The eTable 10 new-kidney-replacement-therapy row changes percent-sign notation halfway across matched period cells.</x:v>
      </x:c>
      <x:c r="T129" s="11" t="b">
        <x:v>1</x:v>
      </x:c>
      <x:c r="U129" s="3" t="str">
        <x:v>eTable 10 new-KRT row switches percent-sign notation across period cells</x:v>
      </x:c>
      <x:c r="V129" s="3" t="str">
        <x:v>report_internal_inconsistency</x:v>
      </x:c>
      <x:c r="W129" s="3" t="str">
        <x:v>eTable 10 new-KRT row switches percent-sign notation across period cells</x:v>
      </x:c>
      <x:c r="X129" s="3" t="str">
        <x:v>2025</x:v>
      </x:c>
      <x:c r="Y129" s="3" t="str">
        <x:v>meta_report/consistency_reclassification_2026-09-04/reclassified_candidates.json</x:v>
      </x:c>
      <x:c r="Z129" s="3" t="str">
        <x:v>S_W</x:v>
      </x:c>
      <x:c r="AA129" s="3" t="str">
        <x:v>report_internal_inconsistency</x:v>
      </x:c>
      <x:c r="AB129" s="3" t="str">
        <x:v>retain</x:v>
      </x:c>
    </x:row>
    <x:row r="130" ht="90" customHeight="1">
      <x:c r="A130" s="12" t="b">
        <x:v>0</x:v>
      </x:c>
      <x:c r="B130" s="6" t="str">
        <x:v>Extraneous mmHg already contradicts own percent sign and respectively construction; eTable provides corroborating correct units. Classified local unit-placement issue.</x:v>
      </x:c>
      <x:c r="C130" s="12" t="b">
        <x:v>0</x:v>
      </x:c>
      <x:c r="D130" s="6" t="str">
        <x:v>Measure, label, or scale inconsistency</x:v>
      </x:c>
      <x:c r="E130" s="12" t="b">
        <x:v>0</x:v>
      </x:c>
      <x:c r="F130" s="6" t="str">
        <x:v>C001</x:v>
      </x:c>
      <x:c r="G130" s="6" t="str">
        <x:v>2025::jama.2025.9663::C001</x:v>
      </x:c>
      <x:c r="H130" s="6"/>
      <x:c r="I130" s="6" t="str">
        <x:v>DOC-001, jama_martin_2025_oi_250042_1753377747.91025.pdf — PDF p. 6 (printed article p. 403), Oxygen Exposure paragraph; comparator DOC-003, joi250042supp2_prod_1753377747.93025.pdf — PDF p. 21, eTable 5.</x:v>
      </x:c>
      <x:c r="J130" s="12" t="b">
        <x:v>0</x:v>
      </x:c>
      <x:c r="K130" s="6" t="str">
        <x:v>jama.2025.9663</x:v>
      </x:c>
      <x:c r="L130" s="6"/>
      <x:c r="M130" s="6" t="str">
        <x:v>S_W</x:v>
      </x:c>
      <x:c r="N130" s="6" t="str">
        <x:v>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x:v>
      </x:c>
      <x:c r="O130" s="6" t="str">
        <x:v>../../2025/jama.2025.9663/.ai_paper_validation/final_report_1_5_1.html</x:v>
      </x:c>
      <x:c r="P130" s="6" t="str">
        <x:v>2025/jama.2025.9663/.ai_paper_validation/final_report_1_5_1.md</x:v>
      </x:c>
      <x:c r="Q130" s="6" t="str">
        <x:v>C001</x:v>
      </x:c>
      <x:c r="R130" s="6" t="str">
        <x:v>Pending Human Adjudication</x:v>
      </x:c>
      <x:c r="S130" s="6" t="str">
        <x:v>The main article places mm Hg immediately after the usual-group SpO2 summary, producing 95.1% (2.4%) mm Hg, although the sentence’s respective pairing and the matched supplement table identify SpO2 as percent and PaO2 as mm Hg.</x:v>
      </x:c>
      <x:c r="T130" s="12" t="b">
        <x:v>1</x:v>
      </x:c>
      <x:c r="U130" s="6" t="str">
        <x:v>Extraneous pressure unit after the usual-group SpO2 summary</x:v>
      </x:c>
      <x:c r="V130" s="6" t="str">
        <x:v>report_internal_inconsistency</x:v>
      </x:c>
      <x:c r="W130" s="6" t="str">
        <x:v>Extraneous pressure unit after the usual-group SpO2 summary</x:v>
      </x:c>
      <x:c r="X130" s="6" t="str">
        <x:v>2025</x:v>
      </x:c>
      <x:c r="Y130" s="6" t="str">
        <x:v>meta_report/consistency_reclassification_2026-09-04/reclassified_candidates.json</x:v>
      </x:c>
      <x:c r="Z130" s="6" t="str">
        <x:v>S_W</x:v>
      </x:c>
      <x:c r="AA130" s="6" t="str">
        <x:v>report_internal_inconsistency</x:v>
      </x:c>
      <x:c r="AB130" s="6" t="str">
        <x:v>retain</x:v>
      </x:c>
    </x:row>
    <x:row r="131" ht="90" customHeight="1">
      <x:c r="A131" s="11" t="b">
        <x:v>0</x:v>
      </x:c>
      <x:c r="B131" s="3"/>
      <x:c r="C131" s="11" t="b">
        <x:v>0</x:v>
      </x:c>
      <x:c r="D131" s="3" t="str">
        <x:v>Measure, label, or scale inconsistency</x:v>
      </x:c>
      <x:c r="E131" s="11" t="b">
        <x:v>0</x:v>
      </x:c>
      <x:c r="F131" s="3" t="str">
        <x:v>C002</x:v>
      </x:c>
      <x:c r="G131" s="3" t="str">
        <x:v>2025::jama.2025.9663::C002</x:v>
      </x:c>
      <x:c r="H131" s="3"/>
      <x:c r="I131" s="3" t="str">
        <x:v>DOC-003, joi250042supp2_prod_1753377747.93025.pdf — PDF p. 1, contents; actual eTable 1 — PDF p. 15, eTable 2 — PDF p. 17, eTable 3 — PDF p. 18, and eTable 4 — PDF p. 19.</x:v>
      </x:c>
      <x:c r="J131" s="11" t="b">
        <x:v>0</x:v>
      </x:c>
      <x:c r="K131" s="3" t="str">
        <x:v>jama.2025.9663</x:v>
      </x:c>
      <x:c r="L131" s="3"/>
      <x:c r="M131" s="3" t="str">
        <x:v>S_W</x:v>
      </x:c>
      <x:c r="N131" s="3" t="str">
        <x:v>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x:v>
      </x:c>
      <x:c r="O131" s="3" t="str">
        <x:v>../../2025/jama.2025.9663/.ai_paper_validation/final_report_1_5_1.html</x:v>
      </x:c>
      <x:c r="P131" s="3" t="str">
        <x:v>2025/jama.2025.9663/.ai_paper_validation/final_report_1_5_1.md</x:v>
      </x:c>
      <x:c r="Q131" s="3" t="str">
        <x:v>C002</x:v>
      </x:c>
      <x:c r="R131" s="3" t="str">
        <x:v>Pending Human Adjudication</x:v>
      </x:c>
      <x:c r="S131" s="3" t="str">
        <x:v>DOC-003’s contents entries for eTables 1-4 do not identify the actual same-numbered tables later printed in that PDF.</x:v>
      </x:c>
      <x:c r="T131" s="11" t="b">
        <x:v>1</x:v>
      </x:c>
      <x:c r="U131" s="3" t="str">
        <x:v>Results-supplement contents page does not identify actual eTables 1-4</x:v>
      </x:c>
      <x:c r="V131" s="3" t="str">
        <x:v>report_internal_inconsistency</x:v>
      </x:c>
      <x:c r="W131" s="3" t="str">
        <x:v>Results-supplement contents page does not identify actual eTables 1-4</x:v>
      </x:c>
      <x:c r="X131" s="3" t="str">
        <x:v>2025</x:v>
      </x:c>
      <x:c r="Y131" s="3" t="str">
        <x:v>meta_report/consistency_reclassification_2026-09-04/reclassified_candidates.json</x:v>
      </x:c>
      <x:c r="Z131" s="3" t="str">
        <x:v>S_W</x:v>
      </x:c>
      <x:c r="AA131" s="3" t="str">
        <x:v>report_internal_inconsistency</x:v>
      </x:c>
      <x:c r="AB131" s="3" t="str">
        <x:v>retain</x:v>
      </x:c>
    </x:row>
    <x:row r="132" ht="90" customHeight="1">
      <x:c r="A132" s="12" t="b">
        <x:v>0</x:v>
      </x:c>
      <x:c r="B132" s="6" t="str">
        <x:v>Broken cross-reference in SAP, not substantive mismatch of reported result or numerical rule. May not impede rule interpretation.</x:v>
      </x:c>
      <x:c r="C132" s="12" t="b">
        <x:v>1</x:v>
      </x:c>
      <x:c r="D132" s="6" t="str">
        <x:v>Measure, label, or scale inconsistency</x:v>
      </x:c>
      <x:c r="E132" s="12" t="b">
        <x:v>0</x:v>
      </x:c>
      <x:c r="F132" s="6" t="str">
        <x:v>C003</x:v>
      </x:c>
      <x:c r="G132" s="6" t="str">
        <x:v>2025::jama.2025.9663::C003</x:v>
      </x:c>
      <x:c r="H132" s="6"/>
      <x:c r="I132" s="6" t="str">
        <x:v>DOC-002, joi250042supp1_prod_1753377747.92525.pdf — PDF p. 118 (SAP p. 8), section 2.5 and Table 1, immediately after the separation/adherence definition.</x:v>
      </x:c>
      <x:c r="J132" s="12" t="b">
        <x:v>0</x:v>
      </x:c>
      <x:c r="K132" s="6" t="str">
        <x:v>jama.2025.9663</x:v>
      </x:c>
      <x:c r="L132" s="6"/>
      <x:c r="M132" s="6" t="str">
        <x:v>P_P</x:v>
      </x:c>
      <x:c r="N132" s="6" t="str">
        <x:v>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x:v>
      </x:c>
      <x:c r="O132" s="6" t="str">
        <x:v>../../2025/jama.2025.9663/.ai_paper_validation/final_report_1_5_1.html</x:v>
      </x:c>
      <x:c r="P132" s="6" t="str">
        <x:v>2025/jama.2025.9663/.ai_paper_validation/final_report_1_5_1.md</x:v>
      </x:c>
      <x:c r="Q132" s="6" t="str">
        <x:v>C003</x:v>
      </x:c>
      <x:c r="R132" s="6" t="str">
        <x:v>Pending Human Adjudication</x:v>
      </x:c>
      <x:c r="S132" s="6" t="str">
        <x:v>The final SAP directs readers to “Section 3.2 and Error! Reference source not found.” for further details after quantitative separation/adherence rules, leaving one stated reference destination unidentifiable.</x:v>
      </x:c>
      <x:c r="T132" s="12" t="b">
        <x:v>0</x:v>
      </x:c>
      <x:c r="U132" s="6" t="str">
        <x:v>Final SAP contains an unresolved reference after quantitative separation/adherence rules</x:v>
      </x:c>
      <x:c r="V132" s="6" t="str">
        <x:v>plan_material</x:v>
      </x:c>
      <x:c r="W132" s="6" t="str">
        <x:v>Final SAP contains an unresolved reference after quantitative separation/adherence rules</x:v>
      </x:c>
      <x:c r="X132" s="6" t="str">
        <x:v>2025</x:v>
      </x:c>
      <x:c r="Y132" s="6" t="str">
        <x:v>meta_report/consistency_reclassification_2026-09-04/reclassified_candidates.json</x:v>
      </x:c>
      <x:c r="Z132" s="6" t="str">
        <x:v>P_P</x:v>
      </x:c>
      <x:c r="AA132" s="6" t="str">
        <x:v>plan_material</x:v>
      </x:c>
      <x:c r="AB132" s="6" t="str">
        <x:v>retain</x:v>
      </x:c>
    </x:row>
  </x:sheetData>
  <x:pageMargins left="0.7" right="0.7" top="0.75" bottom="0.75" header="0.3" footer="0.3"/>
  <x:tableParts count="1">
    <x:tablePart xmlns:r="http://schemas.openxmlformats.org/officeDocument/2006/relationships" r:id="Re6b5a76b022d46c9"/>
  </x:tableParts>
</x:worksheet>
</file>

<file path=xl/worksheets/sheet2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2025::jama.2024.24764::C001</x:v>
      </x:c>
      <x:c r="B2" s="6" t="n">
        <x:v>0</x:v>
      </x:c>
      <x:c r="C2" s="6" t="str">
        <x:v>Source evidence</x:v>
      </x:c>
      <x:c r="D2" s="6" t="str">
        <x:v>Smoking counts are 220/95/90 and 223/70/109; they sum to printed Total No. values 405 and 402. Group headers are 411 and 410.</x:v>
      </x:c>
    </x:row>
    <x:row r="3" ht="180" customHeight="1">
      <x:c r="A3" s="3" t="str">
        <x:v>2025::jama.2024.24764::C001</x:v>
      </x:c>
      <x:c r="B3" s="3" t="n">
        <x:v>1</x:v>
      </x:c>
      <x:c r="C3" s="3" t="str">
        <x:v>Reported-versus-comparator</x:v>
      </x:c>
      <x:c r="D3" s="3" t="str">
        <x:v>Reported percentages are 53.5/23.1/21.9 and 54.4/17.1/26.6; comparator denominators are printed smoking totals 405/402 versus group headers 411/410.</x:v>
      </x:c>
    </x:row>
    <x:row r="4" ht="180" customHeight="1">
      <x:c r="A4" s="6" t="str">
        <x:v>2025::jama.2024.24764::C001</x:v>
      </x:c>
      <x:c r="B4" s="6" t="n">
        <x:v>2</x:v>
      </x:c>
      <x:c r="C4" s="6" t="str">
        <x:v>Calculation</x:v>
      </x:c>
      <x:c r="D4" s="6" t="str">
        <x:v>220+95+90=405; 223+70+109=402. 220/411=53.53% and the other five printed percentages likewise reproduce 411/410, not 405/402.</x:v>
      </x:c>
    </x:row>
    <x:row r="5" ht="180" customHeight="1">
      <x:c r="A5" s="3" t="str">
        <x:v>2025::jama.2024.24764::C001</x:v>
      </x:c>
      <x:c r="B5" s="3" t="n">
        <x:v>3</x:v>
      </x:c>
      <x:c r="C5" s="3" t="str">
        <x:v>Alternative source-grounded interpretations</x:v>
      </x:c>
      <x:c r="D5" s="3" t="str">
        <x:v>Total No. may denote nonmissing smoking records while percentages intentionally use all randomized participants; the page does not state that convention or identify the six and eight unclassified records.</x:v>
      </x:c>
    </x:row>
    <x:row r="6" ht="180" customHeight="1">
      <x:c r="A6" s="6" t="str">
        <x:v>2025::jama.2024.24764::C002</x:v>
      </x:c>
      <x:c r="B6" s="6" t="n">
        <x:v>0</x:v>
      </x:c>
      <x:c r="C6" s="6" t="str">
        <x:v>Source evidence</x:v>
      </x:c>
      <x:c r="D6" s="6" t="str">
        <x:v>Under No. of participants (%), consultant/registrar/senior-house-officer values are 319/123/4 and 318/110/1, with group denominators 411 and 410.</x:v>
      </x:c>
    </x:row>
    <x:row r="7" ht="180" customHeight="1">
      <x:c r="A7" s="3" t="str">
        <x:v>2025::jama.2024.24764::C002</x:v>
      </x:c>
      <x:c r="B7" s="3" t="n">
        <x:v>1</x:v>
      </x:c>
      <x:c r="C7" s="3" t="str">
        <x:v>Reported-versus-comparator</x:v>
      </x:c>
      <x:c r="D7" s="3" t="str">
        <x:v>Category totals 446 and 429 are compared with participant denominators 411 and 410; percentage totals are 108.5% and 104.6%.</x:v>
      </x:c>
    </x:row>
    <x:row r="8" ht="180" customHeight="1">
      <x:c r="A8" s="6" t="str">
        <x:v>2025::jama.2024.24764::C002</x:v>
      </x:c>
      <x:c r="B8" s="6" t="n">
        <x:v>2</x:v>
      </x:c>
      <x:c r="C8" s="6" t="str">
        <x:v>Calculation</x:v>
      </x:c>
      <x:c r="D8" s="6" t="str">
        <x:v>319+123+4=446 (35 above 411); 318+110+1=429 (19 above 410).</x:v>
      </x:c>
    </x:row>
    <x:row r="9" ht="180" customHeight="1">
      <x:c r="A9" s="3" t="str">
        <x:v>2025::jama.2024.24764::C002</x:v>
      </x:c>
      <x:c r="B9" s="3" t="n">
        <x:v>3</x:v>
      </x:c>
      <x:c r="C9" s="3" t="str">
        <x:v>Alternative source-grounded interpretations</x:v>
      </x:c>
      <x:c r="D9" s="3" t="str">
        <x:v>More than one surgeon level may have operated on a participant, making the rows multi-response; no qualifier appears on the page.</x:v>
      </x:c>
    </x:row>
    <x:row r="10" ht="180" customHeight="1">
      <x:c r="A10" s="6" t="str">
        <x:v>2025::jama.2024.24764::C003</x:v>
      </x:c>
      <x:c r="B10" s="6" t="n">
        <x:v>0</x:v>
      </x:c>
      <x:c r="C10" s="6" t="str">
        <x:v>Source evidence</x:v>
      </x:c>
      <x:c r="D10" s="6" t="str">
        <x:v>Consultant/registrar/senior-house-officer fascia-closing counts are 201/218/26 and 193/225/15 under group denominators 411 and 410.</x:v>
      </x:c>
    </x:row>
    <x:row r="11" ht="180" customHeight="1">
      <x:c r="A11" s="3" t="str">
        <x:v>2025::jama.2024.24764::C003</x:v>
      </x:c>
      <x:c r="B11" s="3" t="n">
        <x:v>1</x:v>
      </x:c>
      <x:c r="C11" s="3" t="str">
        <x:v>Reported-versus-comparator</x:v>
      </x:c>
      <x:c r="D11" s="3" t="str">
        <x:v>Totals 445 and 433 are compared with 411 and 410; percentage totals are 108.2% and 105.7%.</x:v>
      </x:c>
    </x:row>
    <x:row r="12" ht="180" customHeight="1">
      <x:c r="A12" s="6" t="str">
        <x:v>2025::jama.2024.24764::C003</x:v>
      </x:c>
      <x:c r="B12" s="6" t="n">
        <x:v>2</x:v>
      </x:c>
      <x:c r="C12" s="6" t="str">
        <x:v>Calculation</x:v>
      </x:c>
      <x:c r="D12" s="6" t="str">
        <x:v>201+218+26=445 (34 above 411); 193+225+15=433 (23 above 410).</x:v>
      </x:c>
    </x:row>
    <x:row r="13" ht="180" customHeight="1">
      <x:c r="A13" s="3" t="str">
        <x:v>2025::jama.2024.24764::C003</x:v>
      </x:c>
      <x:c r="B13" s="3" t="n">
        <x:v>3</x:v>
      </x:c>
      <x:c r="C13" s="3" t="str">
        <x:v>Alternative source-grounded interpretations</x:v>
      </x:c>
      <x:c r="D13" s="3" t="str">
        <x:v>Co-closure by more than one surgeon level may make the rows intentionally multi-response; the table gives no response-unit definition.</x:v>
      </x:c>
    </x:row>
    <x:row r="14" ht="180" customHeight="1">
      <x:c r="A14" s="6" t="str">
        <x:v>2025::jama.2024.24764::C004</x:v>
      </x:c>
      <x:c r="B14" s="6" t="n">
        <x:v>0</x:v>
      </x:c>
      <x:c r="C14" s="6" t="str">
        <x:v>Source evidence</x:v>
      </x:c>
      <x:c r="D14" s="6" t="str">
        <x:v>Consultant/registrar/senior-house-officer skin-closing counts are 115/214/96 and 102/241/73 under denominators 411 and 410.</x:v>
      </x:c>
    </x:row>
    <x:row r="15" ht="180" customHeight="1">
      <x:c r="A15" s="3" t="str">
        <x:v>2025::jama.2024.24764::C004</x:v>
      </x:c>
      <x:c r="B15" s="3" t="n">
        <x:v>1</x:v>
      </x:c>
      <x:c r="C15" s="3" t="str">
        <x:v>Reported-versus-comparator</x:v>
      </x:c>
      <x:c r="D15" s="3" t="str">
        <x:v>Totals 425 and 416 are compared with 411 and 410; percentage totals are 103.5% and 101.5%.</x:v>
      </x:c>
    </x:row>
    <x:row r="16" ht="180" customHeight="1">
      <x:c r="A16" s="6" t="str">
        <x:v>2025::jama.2024.24764::C004</x:v>
      </x:c>
      <x:c r="B16" s="6" t="n">
        <x:v>2</x:v>
      </x:c>
      <x:c r="C16" s="6" t="str">
        <x:v>Calculation</x:v>
      </x:c>
      <x:c r="D16" s="6" t="str">
        <x:v>115+214+96=425 (14 above 411); 102+241+73=416 (6 above 410).</x:v>
      </x:c>
    </x:row>
    <x:row r="17" ht="180" customHeight="1">
      <x:c r="A17" s="3" t="str">
        <x:v>2025::jama.2024.24764::C004</x:v>
      </x:c>
      <x:c r="B17" s="3" t="n">
        <x:v>3</x:v>
      </x:c>
      <x:c r="C17" s="3" t="str">
        <x:v>Alternative source-grounded interpretations</x:v>
      </x:c>
      <x:c r="D17" s="3" t="str">
        <x:v>The rows may be intended multi-response entries, but the source does not state this.</x:v>
      </x:c>
    </x:row>
    <x:row r="18" ht="180" customHeight="1">
      <x:c r="A18" s="6" t="str">
        <x:v>2025::jama.2024.24764::C005</x:v>
      </x:c>
      <x:c r="B18" s="6" t="n">
        <x:v>0</x:v>
      </x:c>
      <x:c r="C18" s="6" t="str">
        <x:v>Source evidence</x:v>
      </x:c>
      <x:c r="D18" s="6" t="str">
        <x:v>Figure 1 reports 10 and 15 deaths. The narrative and Table 3 report mortality within 30 days as 10/411 and 14/410.</x:v>
      </x:c>
    </x:row>
    <x:row r="19" ht="180" customHeight="1">
      <x:c r="A19" s="3" t="str">
        <x:v>2025::jama.2024.24764::C005</x:v>
      </x:c>
      <x:c r="B19" s="3" t="n">
        <x:v>1</x:v>
      </x:c>
      <x:c r="C19" s="3" t="str">
        <x:v>Reported-versus-comparator</x:v>
      </x:c>
      <x:c r="D19" s="3" t="str">
        <x:v>Figure 1 total 25 and control count 15 are compared with the explicitly 30-day total 24 and control count 14.</x:v>
      </x:c>
    </x:row>
    <x:row r="20" ht="180" customHeight="1">
      <x:c r="A20" s="6" t="str">
        <x:v>2025::jama.2024.24764::C005</x:v>
      </x:c>
      <x:c r="B20" s="6" t="n">
        <x:v>2</x:v>
      </x:c>
      <x:c r="C20" s="6" t="str">
        <x:v>Calculation</x:v>
      </x:c>
      <x:c r="D20" s="6" t="str">
        <x:v>10+15=25; 10+14=24; intervention counts agree and control counts differ by one.</x:v>
      </x:c>
    </x:row>
    <x:row r="21" ht="180" customHeight="1">
      <x:c r="A21" s="3" t="str">
        <x:v>2025::jama.2024.24764::C005</x:v>
      </x:c>
      <x:c r="B21" s="3" t="n">
        <x:v>3</x:v>
      </x:c>
      <x:c r="C21" s="3" t="str">
        <x:v>Alternative source-grounded interpretations</x:v>
      </x:c>
      <x:c r="D21" s="3" t="str">
        <x:v>Figure 1 may include one control-arm death outside the 30-day window; Figure 1 does not name its mortality window.</x:v>
      </x:c>
    </x:row>
    <x:row r="22" ht="180" customHeight="1">
      <x:c r="A22" s="6" t="str">
        <x:v>2025::jama.2024.24764::C006</x:v>
      </x:c>
      <x:c r="B22" s="6" t="n">
        <x:v>0</x:v>
      </x:c>
      <x:c r="C22" s="6" t="str">
        <x:v>Source evidence</x:v>
      </x:c>
      <x:c r="D22" s="6" t="str">
        <x:v>The SAP prints unstructured covariance and robust sandwich standard errors for SF-12/EQ-5D repeated measures; the final article prints independent covariance for that outcome-model family.</x:v>
      </x:c>
    </x:row>
    <x:row r="23" ht="180" customHeight="1">
      <x:c r="A23" s="3" t="str">
        <x:v>2025::jama.2024.24764::C006</x:v>
      </x:c>
      <x:c r="B23" s="3" t="n">
        <x:v>1</x:v>
      </x:c>
      <x:c r="C23" s="3" t="str">
        <x:v>Reported-versus-comparator</x:v>
      </x:c>
      <x:c r="D23" s="3" t="str">
        <x:v>Final-article independent covariance is compared with SAP unstructured covariance and robust sandwich variance estimation.</x:v>
      </x:c>
    </x:row>
    <x:row r="24" ht="180" customHeight="1">
      <x:c r="A24" s="6" t="str">
        <x:v>2025::jama.2024.24764::C006</x:v>
      </x:c>
      <x:c r="B24" s="6" t="n">
        <x:v>2</x:v>
      </x:c>
      <x:c r="C24" s="6" t="str">
        <x:v>Calculation</x:v>
      </x:c>
      <x:c r="D24" s="6" t="str">
        <x:v>Not applicable; unstructured and independent are distinct named covariance specifications.</x:v>
      </x:c>
    </x:row>
    <x:row r="25" ht="180" customHeight="1">
      <x:c r="A25" s="3" t="str">
        <x:v>2025::jama.2024.24764::C006</x:v>
      </x:c>
      <x:c r="B25" s="3" t="n">
        <x:v>3</x:v>
      </x:c>
      <x:c r="C25" s="3" t="str">
        <x:v>Alternative source-grounded interpretations</x:v>
      </x:c>
      <x:c r="D25" s="3" t="str">
        <x:v>An amendment, diagnostic, convergence consideration, or concise article description may explain the difference; no such record is supplied.</x:v>
      </x:c>
    </x:row>
    <x:row r="26" ht="180" customHeight="1">
      <x:c r="A26" s="6" t="str">
        <x:v>2025::jama.2024.24764::C007</x:v>
      </x:c>
      <x:c r="B26" s="6" t="n">
        <x:v>0</x:v>
      </x:c>
      <x:c r="C26" s="6" t="str">
        <x:v>Source evidence</x:v>
      </x:c>
      <x:c r="D26" s="6" t="str">
        <x:v>The final article reports adjusted ratios of geometric means 0.91 and 0.96 after log transformation; SAP/protocol plan additive mean-difference or median-difference reporting.</x:v>
      </x:c>
    </x:row>
    <x:row r="27" ht="180" customHeight="1">
      <x:c r="A27" s="3" t="str">
        <x:v>2025::jama.2024.24764::C007</x:v>
      </x:c>
      <x:c r="B27" s="3" t="n">
        <x:v>1</x:v>
      </x:c>
      <x:c r="C27" s="3" t="str">
        <x:v>Reported-versus-comparator</x:v>
      </x:c>
      <x:c r="D27" s="3" t="str">
        <x:v>Multiplicative, dimensionless ratios of geometric means are compared with additive differences in days for the same endpoint.</x:v>
      </x:c>
    </x:row>
    <x:row r="28" ht="180" customHeight="1">
      <x:c r="A28" s="6" t="str">
        <x:v>2025::jama.2024.24764::C007</x:v>
      </x:c>
      <x:c r="B28" s="6" t="n">
        <x:v>2</x:v>
      </x:c>
      <x:c r="C28" s="6" t="str">
        <x:v>Calculation</x:v>
      </x:c>
      <x:c r="D28" s="6" t="str">
        <x:v>Not reproducible from aggregate printed data: medians/IQRs cannot reconstruct geometric means, fitted log-scale coefficients, or adjusted ratios.</x:v>
      </x:c>
    </x:row>
    <x:row r="29" ht="180" customHeight="1">
      <x:c r="A29" s="3" t="str">
        <x:v>2025::jama.2024.24764::C007</x:v>
      </x:c>
      <x:c r="B29" s="3" t="n">
        <x:v>3</x:v>
      </x:c>
      <x:c r="C29" s="3" t="str">
        <x:v>Alternative source-grounded interpretations</x:v>
      </x:c>
      <x:c r="D29" s="3" t="str">
        <x:v>Nonnormality noted in the article may have motivated the final approach, but the supplied skewness branch specifies a median difference and no amendment or decision rule is supplied.</x:v>
      </x:c>
    </x:row>
    <x:row r="30" ht="180" customHeight="1">
      <x:c r="A30" s="6" t="str">
        <x:v>2025::jama.2024.24764::C008</x:v>
      </x:c>
      <x:c r="B30" s="6" t="n">
        <x:v>0</x:v>
      </x:c>
      <x:c r="C30" s="6" t="str">
        <x:v>Source evidence</x:v>
      </x:c>
      <x:c r="D30" s="6" t="str">
        <x:v>SAP/protocol state that LOS is UK-only and exclude Australian-randomized participants. The final article reports UK-only ratio 0.91 (95% CI 0.82-1.02), P=.12 and UK-and-Australia ratio 0.96 (0.88-1.06), P=.21.</x:v>
      </x:c>
    </x:row>
    <x:row r="31" ht="180" customHeight="1">
      <x:c r="A31" s="3" t="str">
        <x:v>2025::jama.2024.24764::C008</x:v>
      </x:c>
      <x:c r="B31" s="3" t="n">
        <x:v>1</x:v>
      </x:c>
      <x:c r="C31" s="3" t="str">
        <x:v>Reported-versus-comparator</x:v>
      </x:c>
      <x:c r="D31" s="3" t="str">
        <x:v>A UK-and-Australia analysis population is compared with the planned UK-only endpoint population.</x:v>
      </x:c>
    </x:row>
    <x:row r="32" ht="180" customHeight="1">
      <x:c r="A32" s="6" t="str">
        <x:v>2025::jama.2024.24764::C008</x:v>
      </x:c>
      <x:c r="B32" s="6" t="n">
        <x:v>2</x:v>
      </x:c>
      <x:c r="C32" s="6" t="str">
        <x:v>Calculation</x:v>
      </x:c>
      <x:c r="D32" s="6" t="str">
        <x:v>No arithmetic reconstruction is required: UK patients only and UK and Australian patients are different populations.</x:v>
      </x:c>
    </x:row>
    <x:row r="33" ht="180" customHeight="1">
      <x:c r="A33" s="3" t="str">
        <x:v>2025::jama.2024.24764::C008</x:v>
      </x:c>
      <x:c r="B33" s="3" t="n">
        <x:v>3</x:v>
      </x:c>
      <x:c r="C33" s="3" t="str">
        <x:v>Alternative source-grounded interpretations</x:v>
      </x:c>
      <x:c r="D33" s="3" t="str">
        <x:v>The all-country result may be an additional intended analysis while the UK-only result remains the designated endpoint; the supplied package does not label its status.</x:v>
      </x:c>
    </x:row>
    <x:row r="34" ht="180" customHeight="1">
      <x:c r="A34" s="6" t="str">
        <x:v>2025::jama.2024.27643::C001</x:v>
      </x:c>
      <x:c r="B34" s="6" t="n">
        <x:v>0</x:v>
      </x:c>
      <x:c r="C34" s="6" t="str">
        <x:v>Source evidence</x:v>
      </x:c>
      <x:c r="D34" s="6" t="str">
        <x:v>Shared placebo is n=164; the race rows are Asian 2/160, Black or African American 6/160, White 151/160, and multiple races 1/160. Footnote b says race was unknown or unreported for 3 participants.</x:v>
      </x:c>
    </x:row>
    <x:row r="35" ht="180" customHeight="1">
      <x:c r="A35" s="3" t="str">
        <x:v>2025::jama.2024.27643::C001</x:v>
      </x:c>
      <x:c r="B35" s="3" t="n">
        <x:v>1</x:v>
      </x:c>
      <x:c r="C35" s="3" t="str">
        <x:v>Reported-versus-comparator</x:v>
      </x:c>
      <x:c r="D35" s="3" t="str">
        <x:v>The printed group total is 164 and the printed race denominator/category sum is 160, whereas the footnote reports 3 unknown or unreported participants.</x:v>
      </x:c>
    </x:row>
    <x:row r="36" ht="180" customHeight="1">
      <x:c r="A36" s="6" t="str">
        <x:v>2025::jama.2024.27643::C001</x:v>
      </x:c>
      <x:c r="B36" s="6" t="n">
        <x:v>2</x:v>
      </x:c>
      <x:c r="C36" s="6" t="str">
        <x:v>Calculation</x:v>
      </x:c>
      <x:c r="D36" s="6" t="str">
        <x:v>2 + 6 + 151 + 1 = 160; 164 - 160 = 4; 4 - 3 = 1.</x:v>
      </x:c>
    </x:row>
    <x:row r="37" ht="180" customHeight="1">
      <x:c r="A37" s="3" t="str">
        <x:v>2025::jama.2024.27643::C001</x:v>
      </x:c>
      <x:c r="B37" s="3" t="n">
        <x:v>3</x:v>
      </x:c>
      <x:c r="C37" s="3" t="str">
        <x:v>Alternative source-grounded interpretations</x:v>
      </x:c>
      <x:c r="D37" s="3" t="str">
        <x:v>The denominator may be a complete-case subset excluding one additional status, or a numerator, denominator, or footnote may be printed incorrectly; the table gives no separate subset definition.</x:v>
      </x:c>
    </x:row>
    <x:row r="38" ht="180" customHeight="1">
      <x:c r="A38" s="6" t="str">
        <x:v>2025::jama.2024.27643::C002</x:v>
      </x:c>
      <x:c r="B38" s="6" t="n">
        <x:v>0</x:v>
      </x:c>
      <x:c r="C38" s="6" t="str">
        <x:v>Source evidence</x:v>
      </x:c>
      <x:c r="D38" s="6" t="str">
        <x:v>The article calls -9.32, -8.53, and -0.78 PPN per month over 24 weeks. eTable 3A presents the same values under 24-week Change Estimate for SVC (% predicted).</x:v>
      </x:c>
    </x:row>
    <x:row r="39" ht="180" customHeight="1">
      <x:c r="A39" s="3" t="str">
        <x:v>2025::jama.2024.27643::C002</x:v>
      </x:c>
      <x:c r="B39" s="3" t="n">
        <x:v>1</x:v>
      </x:c>
      <x:c r="C39" s="3" t="str">
        <x:v>Reported-versus-comparator</x:v>
      </x:c>
      <x:c r="D39" s="3" t="str">
        <x:v>A monthly rate is printed in the article; a cumulative 24-week change label is printed for the same values in the cited table.</x:v>
      </x:c>
    </x:row>
    <x:row r="40" ht="180" customHeight="1">
      <x:c r="A40" s="6" t="str">
        <x:v>2025::jama.2024.27643::C002</x:v>
      </x:c>
      <x:c r="B40" s="6" t="n">
        <x:v>2</x:v>
      </x:c>
      <x:c r="C40" s="6" t="str">
        <x:v>Calculation</x:v>
      </x:c>
      <x:c r="D40" s="6" t="str">
        <x:v>The identical numeric triplet is -9.32, -8.53, and -0.78 in both locations; the printed labels describe different scales and the supplied sources give no conversion or estimand definition that reconciles them.</x:v>
      </x:c>
    </x:row>
    <x:row r="41" ht="180" customHeight="1">
      <x:c r="A41" s="3" t="str">
        <x:v>2025::jama.2024.27643::C002</x:v>
      </x:c>
      <x:c r="B41" s="3" t="n">
        <x:v>3</x:v>
      </x:c>
      <x:c r="C41" s="3" t="str">
        <x:v>Alternative source-grounded interpretations</x:v>
      </x:c>
      <x:c r="D41" s="3" t="str">
        <x:v>Per month may be an editorial unit label, or the eTable heading may omit a rate convention. The supplied package does not select either interpretation.</x:v>
      </x:c>
    </x:row>
    <x:row r="42" ht="180" customHeight="1">
      <x:c r="A42" s="6" t="str">
        <x:v>2025::jama.2024.27643::C003</x:v>
      </x:c>
      <x:c r="B42" s="6" t="n">
        <x:v>0</x:v>
      </x:c>
      <x:c r="C42" s="6" t="str">
        <x:v>Source evidence</x:v>
      </x:c>
      <x:c r="D42" s="6" t="str">
        <x:v>The article gives shared-placebo slope -1.03 with 95% CrI -1.176 to -0.892; eTable 2 gives -1.03 with 95% CrI (-1.181, -0.894).</x:v>
      </x:c>
    </x:row>
    <x:row r="43" ht="180" customHeight="1">
      <x:c r="A43" s="3" t="str">
        <x:v>2025::jama.2024.27643::C003</x:v>
      </x:c>
      <x:c r="B43" s="3" t="n">
        <x:v>1</x:v>
      </x:c>
      <x:c r="C43" s="3" t="str">
        <x:v>Reported-versus-comparator</x:v>
      </x:c>
      <x:c r="D43" s="3" t="str">
        <x:v>Matched Bayesian shared-parameter-model, group, endpoint, and unit labels accompany different three-decimal interval endpoints.</x:v>
      </x:c>
    </x:row>
    <x:row r="44" ht="180" customHeight="1">
      <x:c r="A44" s="6" t="str">
        <x:v>2025::jama.2024.27643::C003</x:v>
      </x:c>
      <x:c r="B44" s="6" t="n">
        <x:v>2</x:v>
      </x:c>
      <x:c r="C44" s="6" t="str">
        <x:v>Calculation</x:v>
      </x:c>
      <x:c r="D44" s="6" t="str">
        <x:v>Lower endpoints differ by 0.005; upper endpoints differ by 0.002; the point estimate is -1.03 in both locations.</x:v>
      </x:c>
    </x:row>
    <x:row r="45" ht="180" customHeight="1">
      <x:c r="A45" s="3" t="str">
        <x:v>2025::jama.2024.27643::C003</x:v>
      </x:c>
      <x:c r="B45" s="3" t="n">
        <x:v>3</x:v>
      </x:c>
      <x:c r="C45" s="3" t="str">
        <x:v>Alternative source-grounded interpretations</x:v>
      </x:c>
      <x:c r="D45" s="3" t="str">
        <x:v>Different posterior runs, data locks, or production versions could exist, but neither source labels one.</x:v>
      </x:c>
    </x:row>
    <x:row r="46" ht="180" customHeight="1">
      <x:c r="A46" s="6" t="str">
        <x:v>2025::jama.2024.27643::C004</x:v>
      </x:c>
      <x:c r="B46" s="6" t="n">
        <x:v>0</x:v>
      </x:c>
      <x:c r="C46" s="6" t="str">
        <x:v>Source evidence</x:v>
      </x:c>
      <x:c r="D46" s="6" t="str">
        <x:v>The article gives pooled-active slope -1.00 with 95% CrI -1.153 to -0.858; eTable 2 gives -1.00 with 95% CrI (-1.143, -0.847).</x:v>
      </x:c>
    </x:row>
    <x:row r="47" ht="180" customHeight="1">
      <x:c r="A47" s="3" t="str">
        <x:v>2025::jama.2024.27643::C004</x:v>
      </x:c>
      <x:c r="B47" s="3" t="n">
        <x:v>1</x:v>
      </x:c>
      <x:c r="C47" s="3" t="str">
        <x:v>Reported-versus-comparator</x:v>
      </x:c>
      <x:c r="D47" s="3" t="str">
        <x:v>The point estimate and named model match, while both printed interval endpoints differ.</x:v>
      </x:c>
    </x:row>
    <x:row r="48" ht="180" customHeight="1">
      <x:c r="A48" s="6" t="str">
        <x:v>2025::jama.2024.27643::C004</x:v>
      </x:c>
      <x:c r="B48" s="6" t="n">
        <x:v>2</x:v>
      </x:c>
      <x:c r="C48" s="6" t="str">
        <x:v>Calculation</x:v>
      </x:c>
      <x:c r="D48" s="6" t="str">
        <x:v>Lower endpoints differ by 0.010; upper endpoints differ by 0.011.</x:v>
      </x:c>
    </x:row>
    <x:row r="49" ht="180" customHeight="1">
      <x:c r="A49" s="3" t="str">
        <x:v>2025::jama.2024.27643::C004</x:v>
      </x:c>
      <x:c r="B49" s="3" t="n">
        <x:v>3</x:v>
      </x:c>
      <x:c r="C49" s="3" t="str">
        <x:v>Alternative source-grounded interpretations</x:v>
      </x:c>
      <x:c r="D49" s="3" t="str">
        <x:v>Separate posterior outputs or production versions may exist but are not identified on either supplied page.</x:v>
      </x:c>
    </x:row>
    <x:row r="50" ht="180" customHeight="1">
      <x:c r="A50" s="6" t="str">
        <x:v>2025::jama.2024.27643::C005</x:v>
      </x:c>
      <x:c r="B50" s="6" t="n">
        <x:v>0</x:v>
      </x:c>
      <x:c r="C50" s="6" t="str">
        <x:v>Source evidence</x:v>
      </x:c>
      <x:c r="D50" s="6" t="str">
        <x:v>The article gives shared placebo 0.007 and pooled active 0.006 events/month. eTable 2 gives 0.010 and 0.009 events/month for the same named model.</x:v>
      </x:c>
    </x:row>
    <x:row r="51" ht="180" customHeight="1">
      <x:c r="A51" s="3" t="str">
        <x:v>2025::jama.2024.27643::C005</x:v>
      </x:c>
      <x:c r="B51" s="3" t="n">
        <x:v>1</x:v>
      </x:c>
      <x:c r="C51" s="3" t="str">
        <x:v>Reported-versus-comparator</x:v>
      </x:c>
      <x:c r="D51" s="3" t="str">
        <x:v>Each matched group has a different three-decimal displayed mortality event rate.</x:v>
      </x:c>
    </x:row>
    <x:row r="52" ht="180" customHeight="1">
      <x:c r="A52" s="6" t="str">
        <x:v>2025::jama.2024.27643::C005</x:v>
      </x:c>
      <x:c r="B52" s="6" t="n">
        <x:v>2</x:v>
      </x:c>
      <x:c r="C52" s="6" t="str">
        <x:v>Calculation</x:v>
      </x:c>
      <x:c r="D52" s="6" t="str">
        <x:v>0.010 - 0.007 = 0.003 events/month for shared placebo; 0.009 - 0.006 = 0.003 events/month for pooled active. Values differing by 0.003 cannot be the same value rounded to three decimals.</x:v>
      </x:c>
    </x:row>
    <x:row r="53" ht="180" customHeight="1">
      <x:c r="A53" s="3" t="str">
        <x:v>2025::jama.2024.27643::C005</x:v>
      </x:c>
      <x:c r="B53" s="3" t="n">
        <x:v>3</x:v>
      </x:c>
      <x:c r="C53" s="3" t="str">
        <x:v>Alternative source-grounded interpretations</x:v>
      </x:c>
      <x:c r="D53" s="3" t="str">
        <x:v>One display may use an unlabelled event definition, posterior summary, or model run.</x:v>
      </x:c>
    </x:row>
    <x:row r="54" ht="180" customHeight="1">
      <x:c r="A54" s="6" t="str">
        <x:v>2025::jama.2024.27643::C006</x:v>
      </x:c>
      <x:c r="B54" s="6" t="n">
        <x:v>0</x:v>
      </x:c>
      <x:c r="C54" s="6" t="str">
        <x:v>Source evidence</x:v>
      </x:c>
      <x:c r="D54" s="6" t="str">
        <x:v>Figure 3 gives -9.5% with CI -17.8% to -0.5%; nearby narrative gives -17.8% to -0.4%; eTable 3B gives -18.0% to 0. All print -9.5% and P=.04.</x:v>
      </x:c>
    </x:row>
    <x:row r="55" ht="180" customHeight="1">
      <x:c r="A55" s="3" t="str">
        <x:v>2025::jama.2024.27643::C006</x:v>
      </x:c>
      <x:c r="B55" s="3" t="n">
        <x:v>1</x:v>
      </x:c>
      <x:c r="C55" s="3" t="str">
        <x:v>Reported-versus-comparator</x:v>
      </x:c>
      <x:c r="D55" s="3" t="str">
        <x:v>The matched point estimate and P value are repeated with different printed interval endpoints.</x:v>
      </x:c>
    </x:row>
    <x:row r="56" ht="180" customHeight="1">
      <x:c r="A56" s="6" t="str">
        <x:v>2025::jama.2024.27643::C006</x:v>
      </x:c>
      <x:c r="B56" s="6" t="n">
        <x:v>2</x:v>
      </x:c>
      <x:c r="C56" s="6" t="str">
        <x:v>Calculation</x:v>
      </x:c>
      <x:c r="D56" s="6" t="str">
        <x:v>Figure and narrative upper endpoints differ by 0.1 percentage point. eTable 3B prints a distinct endpoint pair, -18.0% to 0; its unrounded upper endpoint and rounding rule are unavailable.</x:v>
      </x:c>
    </x:row>
    <x:row r="57" ht="180" customHeight="1">
      <x:c r="A57" s="3" t="str">
        <x:v>2025::jama.2024.27643::C006</x:v>
      </x:c>
      <x:c r="B57" s="3" t="n">
        <x:v>3</x:v>
      </x:c>
      <x:c r="C57" s="3" t="str">
        <x:v>Alternative source-grounded interpretations</x:v>
      </x:c>
      <x:c r="D57" s="3" t="str">
        <x:v>Independent rounding from unprinted higher precision or an unlabelled model/output version may explain the displays.</x:v>
      </x:c>
    </x:row>
    <x:row r="58" ht="180" customHeight="1">
      <x:c r="A58" s="6" t="str">
        <x:v>2025::jama.2024.27643::C007</x:v>
      </x:c>
      <x:c r="B58" s="6" t="n">
        <x:v>0</x:v>
      </x:c>
      <x:c r="C58" s="6" t="str">
        <x:v>Source evidence</x:v>
      </x:c>
      <x:c r="D58" s="6" t="str">
        <x:v>Article: placebo +30.8%, active +0.4%, difference -23.2% (95% CI -39.5% to -2.5%; P=.03). eTable: placebo +26.8%, active +0.4%, difference -26.4% (95% CI -50.3% to -2.6%; P=.03).</x:v>
      </x:c>
    </x:row>
    <x:row r="59" ht="180" customHeight="1">
      <x:c r="A59" s="3" t="str">
        <x:v>2025::jama.2024.27643::C007</x:v>
      </x:c>
      <x:c r="B59" s="3" t="n">
        <x:v>1</x:v>
      </x:c>
      <x:c r="C59" s="3" t="str">
        <x:v>Reported-versus-comparator</x:v>
      </x:c>
      <x:c r="D59" s="3" t="str">
        <x:v>The active change and P value agree, but placebo changes differ by 4.0 percentage points, treatment contrasts differ by 3.2 points, and both interval endpoints differ.</x:v>
      </x:c>
    </x:row>
    <x:row r="60" ht="180" customHeight="1">
      <x:c r="A60" s="6" t="str">
        <x:v>2025::jama.2024.27643::C007</x:v>
      </x:c>
      <x:c r="B60" s="6" t="n">
        <x:v>2</x:v>
      </x:c>
      <x:c r="C60" s="6" t="str">
        <x:v>Calculation</x:v>
      </x:c>
      <x:c r="D60" s="6" t="str">
        <x:v>30.8 - 26.8 = 4.0; |-23.2 - (-26.4)| = 3.2. The article's contrast is compatible with the displayed-value diagnostic [(1.004 / 1.308) - 1] x 100 = -23.24%, so this is not an internal crude-subtraction claim.</x:v>
      </x:c>
    </x:row>
    <x:row r="61" ht="180" customHeight="1">
      <x:c r="A61" s="3" t="str">
        <x:v>2025::jama.2024.27643::C007</x:v>
      </x:c>
      <x:c r="B61" s="3" t="n">
        <x:v>3</x:v>
      </x:c>
      <x:c r="C61" s="3" t="str">
        <x:v>Alternative source-grounded interpretations</x:v>
      </x:c>
      <x:c r="D61" s="3" t="str">
        <x:v>An unlabelled ERO model, population, plate rule, data cut, or fitted-contrast definition could differ between displays.</x:v>
      </x:c>
    </x:row>
    <x:row r="62" ht="180" customHeight="1">
      <x:c r="A62" s="6" t="str">
        <x:v>2025::jama.2024.27643::C008</x:v>
      </x:c>
      <x:c r="B62" s="6" t="n">
        <x:v>0</x:v>
      </x:c>
      <x:c r="C62" s="6" t="str">
        <x:v>Source evidence</x:v>
      </x:c>
      <x:c r="D62" s="6" t="str">
        <x:v>Table 2 reports 5/120 pooled-active and 9/162 shared-placebo death/PAV events. The Discussion reports 13 RCT-period events in those groups.</x:v>
      </x:c>
    </x:row>
    <x:row r="63" ht="180" customHeight="1">
      <x:c r="A63" s="3" t="str">
        <x:v>2025::jama.2024.27643::C008</x:v>
      </x:c>
      <x:c r="B63" s="3" t="n">
        <x:v>1</x:v>
      </x:c>
      <x:c r="C63" s="3" t="str">
        <x:v>Reported-versus-comparator</x:v>
      </x:c>
      <x:c r="D63" s="3" t="str">
        <x:v>Table 2's two printed numerators total 14, while the Discussion prints 13.</x:v>
      </x:c>
    </x:row>
    <x:row r="64" ht="180" customHeight="1">
      <x:c r="A64" s="6" t="str">
        <x:v>2025::jama.2024.27643::C008</x:v>
      </x:c>
      <x:c r="B64" s="6" t="n">
        <x:v>2</x:v>
      </x:c>
      <x:c r="C64" s="6" t="str">
        <x:v>Calculation</x:v>
      </x:c>
      <x:c r="D64" s="6" t="str">
        <x:v>5 + 9 = 14, not 13.</x:v>
      </x:c>
    </x:row>
    <x:row r="65" ht="180" customHeight="1">
      <x:c r="A65" s="3" t="str">
        <x:v>2025::jama.2024.27643::C008</x:v>
      </x:c>
      <x:c r="B65" s="3" t="n">
        <x:v>3</x:v>
      </x:c>
      <x:c r="C65" s="3" t="str">
        <x:v>Alternative source-grounded interpretations</x:v>
      </x:c>
      <x:c r="D65" s="3" t="str">
        <x:v>The Discussion may use a narrower event definition, a different cutoff, or an unstated exclusion rather than Table 2's death-or-PAV endpoint.</x:v>
      </x:c>
    </x:row>
    <x:row r="66" ht="180" customHeight="1">
      <x:c r="A66" s="6" t="str">
        <x:v>2025::jama.2025.11178::C001</x:v>
      </x:c>
      <x:c r="B66" s="6" t="n">
        <x:v>0</x:v>
      </x:c>
      <x:c r="C66" s="6" t="str">
        <x:v>Source evidence</x:v>
      </x:c>
      <x:c r="D66" s="6" t="str">
        <x:v>Further-reason subtotal 1243; listed counts 411, 273, 189, 121, 95, 34.</x:v>
      </x:c>
    </x:row>
    <x:row r="67" ht="180" customHeight="1">
      <x:c r="A67" s="3" t="str">
        <x:v>2025::jama.2025.11178::C001</x:v>
      </x:c>
      <x:c r="B67" s="3" t="n">
        <x:v>1</x:v>
      </x:c>
      <x:c r="C67" s="3" t="str">
        <x:v>Reported-versus-comparator</x:v>
      </x:c>
      <x:c r="D67" s="3" t="str">
        <x:v>If the displayed six reasons exhaust the “one or more of” subtotal, their sum must be at least its union: 411+273+189+121+95+34=1123, 120 below 1243.</x:v>
      </x:c>
    </x:row>
    <x:row r="68" ht="180" customHeight="1">
      <x:c r="A68" s="6" t="str">
        <x:v>2025::jama.2025.11178::C001</x:v>
      </x:c>
      <x:c r="B68" s="6" t="n">
        <x:v>2</x:v>
      </x:c>
      <x:c r="C68" s="6" t="str">
        <x:v>Calculation</x:v>
      </x:c>
      <x:c r="D68" s="6" t="str">
        <x:v>If the displayed six reasons exhaust the “one or more of” subtotal, their sum must be at least its union: 411+273+189+121+95+34=1123, 120 below 1243.</x:v>
      </x:c>
    </x:row>
    <x:row r="69" ht="180" customHeight="1">
      <x:c r="A69" s="3" t="str">
        <x:v>2025::jama.2025.11178::C001</x:v>
      </x:c>
      <x:c r="B69" s="3" t="n">
        <x:v>3</x:v>
      </x:c>
      <x:c r="C69" s="3" t="str">
        <x:v>Alternative source-grounded interpretations</x:v>
      </x:c>
      <x:c r="D69" s="3" t="str">
        <x:v>One or more further reasons may be omitted, or a count/subtotal may be wrong; overlap cannot make a component sum below the union. Human question: Does the figure intend the six reasons to exhaust 1243, and which value should reconcile?</x:v>
      </x:c>
    </x:row>
    <x:row r="70" ht="180" customHeight="1">
      <x:c r="A70" s="6" t="str">
        <x:v>2025::jama.2025.11178::C002</x:v>
      </x:c>
      <x:c r="B70" s="6" t="n">
        <x:v>0</x:v>
      </x:c>
      <x:c r="C70" s="6" t="str">
        <x:v>Source evidence</x:v>
      </x:c>
      <x:c r="D70" s="6" t="str">
        <x:v>At least one follow-up 2036; one/two/three observed follow-ups 188/283/1568.</x:v>
      </x:c>
    </x:row>
    <x:row r="71" ht="180" customHeight="1">
      <x:c r="A71" s="3" t="str">
        <x:v>2025::jama.2025.11178::C002</x:v>
      </x:c>
      <x:c r="B71" s="3" t="n">
        <x:v>1</x:v>
      </x:c>
      <x:c r="C71" s="3" t="str">
        <x:v>Reported-versus-comparator</x:v>
      </x:c>
      <x:c r="D71" s="3" t="str">
        <x:v>Mutually exclusive follow-up patterns should partition the total: 188+283+1568=2039, not 2036 (difference 3; integer tolerance 0).</x:v>
      </x:c>
    </x:row>
    <x:row r="72" ht="180" customHeight="1">
      <x:c r="A72" s="6" t="str">
        <x:v>2025::jama.2025.11178::C002</x:v>
      </x:c>
      <x:c r="B72" s="6" t="n">
        <x:v>2</x:v>
      </x:c>
      <x:c r="C72" s="6" t="str">
        <x:v>Calculation</x:v>
      </x:c>
      <x:c r="D72" s="6" t="str">
        <x:v>Mutually exclusive follow-up patterns should partition the total: 188+283+1568=2039, not 2036 (difference 3; integer tolerance 0).</x:v>
      </x:c>
    </x:row>
    <x:row r="73" ht="180" customHeight="1">
      <x:c r="A73" s="3" t="str">
        <x:v>2025::jama.2025.11178::C002</x:v>
      </x:c>
      <x:c r="B73" s="3" t="n">
        <x:v>3</x:v>
      </x:c>
      <x:c r="C73" s="3" t="str">
        <x:v>Alternative source-grounded interpretations</x:v>
      </x:c>
      <x:c r="D73" s="3" t="str">
        <x:v>A pattern row, total, or source-data definition differs; no alternate denominator is printed. Human question: Which printed Overall value defines the intended partition?</x:v>
      </x:c>
    </x:row>
    <x:row r="74" ht="180" customHeight="1">
      <x:c r="A74" s="6" t="str">
        <x:v>2025::jama.2025.11178::C003</x:v>
      </x:c>
      <x:c r="B74" s="6" t="n">
        <x:v>0</x:v>
      </x:c>
      <x:c r="C74" s="6" t="str">
        <x:v>Source evidence</x:v>
      </x:c>
      <x:c r="D74" s="6" t="str">
        <x:v>At least one follow-up 643; one/two/three 77/103/464.</x:v>
      </x:c>
    </x:row>
    <x:row r="75" ht="180" customHeight="1">
      <x:c r="A75" s="3" t="str">
        <x:v>2025::jama.2025.11178::C003</x:v>
      </x:c>
      <x:c r="B75" s="3" t="n">
        <x:v>1</x:v>
      </x:c>
      <x:c r="C75" s="3" t="str">
        <x:v>Reported-versus-comparator</x:v>
      </x:c>
      <x:c r="D75" s="3" t="str">
        <x:v>77+103+464=644, one above 643 (integer tolerance 0).</x:v>
      </x:c>
    </x:row>
    <x:row r="76" ht="180" customHeight="1">
      <x:c r="A76" s="6" t="str">
        <x:v>2025::jama.2025.11178::C003</x:v>
      </x:c>
      <x:c r="B76" s="6" t="n">
        <x:v>2</x:v>
      </x:c>
      <x:c r="C76" s="6" t="str">
        <x:v>Calculation</x:v>
      </x:c>
      <x:c r="D76" s="6" t="str">
        <x:v>77+103+464=644, one above 643 (integer tolerance 0).</x:v>
      </x:c>
    </x:row>
    <x:row r="77" ht="180" customHeight="1">
      <x:c r="A77" s="3" t="str">
        <x:v>2025::jama.2025.11178::C003</x:v>
      </x:c>
      <x:c r="B77" s="3" t="n">
        <x:v>3</x:v>
      </x:c>
      <x:c r="C77" s="3" t="str">
        <x:v>Alternative source-grounded interpretations</x:v>
      </x:c>
      <x:c r="D77" s="3" t="str">
        <x:v>One pattern count or arm total may be discrepant; no alternate denominator is printed. Human question: Is 643 or the 644 pattern sum authoritative?</x:v>
      </x:c>
    </x:row>
    <x:row r="78" ht="180" customHeight="1">
      <x:c r="A78" s="6" t="str">
        <x:v>2025::jama.2025.11178::C004</x:v>
      </x:c>
      <x:c r="B78" s="6" t="n">
        <x:v>0</x:v>
      </x:c>
      <x:c r="C78" s="6" t="str">
        <x:v>Source evidence</x:v>
      </x:c>
      <x:c r="D78" s="6" t="str">
        <x:v>At least one follow-up 690; one/two/three 47/81/564.</x:v>
      </x:c>
    </x:row>
    <x:row r="79" ht="180" customHeight="1">
      <x:c r="A79" s="3" t="str">
        <x:v>2025::jama.2025.11178::C004</x:v>
      </x:c>
      <x:c r="B79" s="3" t="n">
        <x:v>1</x:v>
      </x:c>
      <x:c r="C79" s="3" t="str">
        <x:v>Reported-versus-comparator</x:v>
      </x:c>
      <x:c r="D79" s="3" t="str">
        <x:v>47+81+564=692, two above 690 (integer tolerance 0).</x:v>
      </x:c>
    </x:row>
    <x:row r="80" ht="180" customHeight="1">
      <x:c r="A80" s="6" t="str">
        <x:v>2025::jama.2025.11178::C004</x:v>
      </x:c>
      <x:c r="B80" s="6" t="n">
        <x:v>2</x:v>
      </x:c>
      <x:c r="C80" s="6" t="str">
        <x:v>Calculation</x:v>
      </x:c>
      <x:c r="D80" s="6" t="str">
        <x:v>47+81+564=692, two above 690 (integer tolerance 0).</x:v>
      </x:c>
    </x:row>
    <x:row r="81" ht="180" customHeight="1">
      <x:c r="A81" s="3" t="str">
        <x:v>2025::jama.2025.11178::C004</x:v>
      </x:c>
      <x:c r="B81" s="3" t="n">
        <x:v>3</x:v>
      </x:c>
      <x:c r="C81" s="3" t="str">
        <x:v>Alternative source-grounded interpretations</x:v>
      </x:c>
      <x:c r="D81" s="3" t="str">
        <x:v>A pattern count or arm total may be discrepant; no alternative denominator is shown. Human question: Is 690 or the 692 pattern sum authoritative?</x:v>
      </x:c>
    </x:row>
    <x:row r="82" ht="180" customHeight="1">
      <x:c r="A82" s="6" t="str">
        <x:v>2025::jama.2025.11178::C005</x:v>
      </x:c>
      <x:c r="B82" s="6" t="n">
        <x:v>0</x:v>
      </x:c>
      <x:c r="C82" s="6" t="str">
        <x:v>Source evidence</x:v>
      </x:c>
      <x:c r="D82" s="6" t="str">
        <x:v>All Observed N 1568, missing 2, current depression 711 (73.2).</x:v>
      </x:c>
    </x:row>
    <x:row r="83" ht="180" customHeight="1">
      <x:c r="A83" s="3" t="str">
        <x:v>2025::jama.2025.11178::C005</x:v>
      </x:c>
      <x:c r="B83" s="3" t="n">
        <x:v>1</x:v>
      </x:c>
      <x:c r="C83" s="3" t="str">
        <x:v>Reported-versus-comparator</x:v>
      </x:c>
      <x:c r="D83" s="3" t="str">
        <x:v>Missing-excluded denominator is 1566; 711/1566=45.4%, not 73.2% (and 711/1568=45.3%).</x:v>
      </x:c>
    </x:row>
    <x:row r="84" ht="180" customHeight="1">
      <x:c r="A84" s="6" t="str">
        <x:v>2025::jama.2025.11178::C005</x:v>
      </x:c>
      <x:c r="B84" s="6" t="n">
        <x:v>2</x:v>
      </x:c>
      <x:c r="C84" s="6" t="str">
        <x:v>Calculation</x:v>
      </x:c>
      <x:c r="D84" s="6" t="str">
        <x:v>Missing-excluded denominator is 1566; 711/1566=45.4%, not 73.2% (and 711/1568=45.3%).</x:v>
      </x:c>
    </x:row>
    <x:row r="85" ht="180" customHeight="1">
      <x:c r="A85" s="3" t="str">
        <x:v>2025::jama.2025.11178::C005</x:v>
      </x:c>
      <x:c r="B85" s="3" t="n">
        <x:v>3</x:v>
      </x:c>
      <x:c r="C85" s="3" t="str">
        <x:v>Alternative source-grounded interpretations</x:v>
      </x:c>
      <x:c r="D85" s="3" t="str">
        <x:v>The count may be right with a mistyped percentage, or percentage/denominator may belong elsewhere; 162+243+711=1116 supports the count. Human question: Should E82 be 711 (45.4%), or does a different unprinted denominator apply?</x:v>
      </x:c>
    </x:row>
    <x:row r="86" ht="180" customHeight="1">
      <x:c r="A86" s="6" t="str">
        <x:v>2025::jama.2025.11178::C006</x:v>
      </x:c>
      <x:c r="B86" s="6" t="n">
        <x:v>0</x:v>
      </x:c>
      <x:c r="C86" s="6" t="str">
        <x:v>Source evidence</x:v>
      </x:c>
      <x:c r="D86" s="6" t="str">
        <x:v>Label PROMIS Social role functioning &lt;=40, mean (sd); values 818 (35.7)|113 (38.8)|180 (38.7)|525 (34.2).</x:v>
      </x:c>
    </x:row>
    <x:row r="87" ht="180" customHeight="1">
      <x:c r="A87" s="3" t="str">
        <x:v>2025::jama.2025.11178::C006</x:v>
      </x:c>
      <x:c r="B87" s="3" t="n">
        <x:v>1</x:v>
      </x:c>
      <x:c r="C87" s="3" t="str">
        <x:v>Reported-versus-comparator</x:v>
      </x:c>
      <x:c r="D87" s="3" t="str">
        <x:v>Entries are count/percentages: 525/(1568-31)=34.2%; they are not mean/SD values.</x:v>
      </x:c>
    </x:row>
    <x:row r="88" ht="180" customHeight="1">
      <x:c r="A88" s="6" t="str">
        <x:v>2025::jama.2025.11178::C006</x:v>
      </x:c>
      <x:c r="B88" s="6" t="n">
        <x:v>2</x:v>
      </x:c>
      <x:c r="C88" s="6" t="str">
        <x:v>Calculation</x:v>
      </x:c>
      <x:c r="D88" s="6" t="str">
        <x:v>Entries are count/percentages: 525/(1568-31)=34.2%; they are not mean/SD values.</x:v>
      </x:c>
    </x:row>
    <x:row r="89" ht="180" customHeight="1">
      <x:c r="A89" s="3" t="str">
        <x:v>2025::jama.2025.11178::C006</x:v>
      </x:c>
      <x:c r="B89" s="3" t="n">
        <x:v>3</x:v>
      </x:c>
      <x:c r="C89" s="3" t="str">
        <x:v>Alternative source-grounded interpretations</x:v>
      </x:c>
      <x:c r="D89" s="3" t="str">
        <x:v>mean (sd) may be a template carryover; intended label may be N (%). Human question: Should the cutoff row be relabeled N (%)?</x:v>
      </x:c>
    </x:row>
    <x:row r="90" ht="180" customHeight="1">
      <x:c r="A90" s="6" t="str">
        <x:v>2025::jama.2025.11178::C007</x:v>
      </x:c>
      <x:c r="B90" s="6" t="n">
        <x:v>0</x:v>
      </x:c>
      <x:c r="C90" s="6" t="str">
        <x:v>Source evidence</x:v>
      </x:c>
      <x:c r="D90" s="6" t="str">
        <x:v>Label PROMIS Physical functioning &lt;=40, mean (sd); values 1709 (74.1)|209 (72.6)|357 (76.8)|1143 (73.6).</x:v>
      </x:c>
    </x:row>
    <x:row r="91" ht="180" customHeight="1">
      <x:c r="A91" s="3" t="str">
        <x:v>2025::jama.2025.11178::C007</x:v>
      </x:c>
      <x:c r="B91" s="3" t="n">
        <x:v>1</x:v>
      </x:c>
      <x:c r="C91" s="3" t="str">
        <x:v>Reported-versus-comparator</x:v>
      </x:c>
      <x:c r="D91" s="3" t="str">
        <x:v>1143/(1568-14)=73.6%; displayed cells are N(%), not mean(SD).</x:v>
      </x:c>
    </x:row>
    <x:row r="92" ht="180" customHeight="1">
      <x:c r="A92" s="6" t="str">
        <x:v>2025::jama.2025.11178::C007</x:v>
      </x:c>
      <x:c r="B92" s="6" t="n">
        <x:v>2</x:v>
      </x:c>
      <x:c r="C92" s="6" t="str">
        <x:v>Calculation</x:v>
      </x:c>
      <x:c r="D92" s="6" t="str">
        <x:v>1143/(1568-14)=73.6%; displayed cells are N(%), not mean(SD).</x:v>
      </x:c>
    </x:row>
    <x:row r="93" ht="180" customHeight="1">
      <x:c r="A93" s="3" t="str">
        <x:v>2025::jama.2025.11178::C007</x:v>
      </x:c>
      <x:c r="B93" s="3" t="n">
        <x:v>3</x:v>
      </x:c>
      <x:c r="C93" s="3" t="str">
        <x:v>Alternative source-grounded interpretations</x:v>
      </x:c>
      <x:c r="D93" s="3" t="str">
        <x:v>Formatting/template carryover may explain the label. Human question: Should the cutoff row be relabeled N (%)?</x:v>
      </x:c>
    </x:row>
    <x:row r="94" ht="180" customHeight="1">
      <x:c r="A94" s="6" t="str">
        <x:v>2025::jama.2025.11178::C008</x:v>
      </x:c>
      <x:c r="B94" s="6" t="n">
        <x:v>0</x:v>
      </x:c>
      <x:c r="C94" s="6" t="str">
        <x:v>Source evidence</x:v>
      </x:c>
      <x:c r="D94" s="6" t="str">
        <x:v>-0.25 (-0.24 to 0.01).</x:v>
      </x:c>
    </x:row>
    <x:row r="95" ht="180" customHeight="1">
      <x:c r="A95" s="3" t="str">
        <x:v>2025::jama.2025.11178::C008</x:v>
      </x:c>
      <x:c r="B95" s="3" t="n">
        <x:v>1</x:v>
      </x:c>
      <x:c r="C95" s="3" t="str">
        <x:v>Reported-versus-comparator</x:v>
      </x:c>
      <x:c r="D95" s="3" t="str">
        <x:v>Point estimate must lie within its interval; -0.25 &lt; -0.24.</x:v>
      </x:c>
    </x:row>
    <x:row r="96" ht="180" customHeight="1">
      <x:c r="A96" s="6" t="str">
        <x:v>2025::jama.2025.11178::C008</x:v>
      </x:c>
      <x:c r="B96" s="6" t="n">
        <x:v>2</x:v>
      </x:c>
      <x:c r="C96" s="6" t="str">
        <x:v>Calculation</x:v>
      </x:c>
      <x:c r="D96" s="6" t="str">
        <x:v>Point estimate must lie within its interval; -0.25 &lt; -0.24.</x:v>
      </x:c>
    </x:row>
    <x:row r="97" ht="180" customHeight="1">
      <x:c r="A97" s="3" t="str">
        <x:v>2025::jama.2025.11178::C008</x:v>
      </x:c>
      <x:c r="B97" s="3" t="n">
        <x:v>3</x:v>
      </x:c>
      <x:c r="C97" s="3" t="str">
        <x:v>Alternative source-grounded interpretations</x:v>
      </x:c>
      <x:c r="D97" s="3" t="str">
        <x:v>Estimate or CI endpoint may be transcribed incorrectly. Human question: What estimate and CI does the analysis output support?</x:v>
      </x:c>
    </x:row>
    <x:row r="98" ht="180" customHeight="1">
      <x:c r="A98" s="6" t="str">
        <x:v>2025::jama.2025.11178::C009</x:v>
      </x:c>
      <x:c r="B98" s="6" t="n">
        <x:v>0</x:v>
      </x:c>
      <x:c r="C98" s="6" t="str">
        <x:v>Source evidence</x:v>
      </x:c>
      <x:c r="D98" s="6" t="str">
        <x:v>-0.36 (-0.35 to -0.12).</x:v>
      </x:c>
    </x:row>
    <x:row r="99" ht="180" customHeight="1">
      <x:c r="A99" s="3" t="str">
        <x:v>2025::jama.2025.11178::C009</x:v>
      </x:c>
      <x:c r="B99" s="3" t="n">
        <x:v>1</x:v>
      </x:c>
      <x:c r="C99" s="3" t="str">
        <x:v>Reported-versus-comparator</x:v>
      </x:c>
      <x:c r="D99" s="3" t="str">
        <x:v>-0.36 &lt; -0.35, so estimate is outside CI.</x:v>
      </x:c>
    </x:row>
    <x:row r="100" ht="180" customHeight="1">
      <x:c r="A100" s="6" t="str">
        <x:v>2025::jama.2025.11178::C009</x:v>
      </x:c>
      <x:c r="B100" s="6" t="n">
        <x:v>2</x:v>
      </x:c>
      <x:c r="C100" s="6" t="str">
        <x:v>Calculation</x:v>
      </x:c>
      <x:c r="D100" s="6" t="str">
        <x:v>-0.36 &lt; -0.35, so estimate is outside CI.</x:v>
      </x:c>
    </x:row>
    <x:row r="101" ht="180" customHeight="1">
      <x:c r="A101" s="3" t="str">
        <x:v>2025::jama.2025.11178::C009</x:v>
      </x:c>
      <x:c r="B101" s="3" t="n">
        <x:v>3</x:v>
      </x:c>
      <x:c r="C101" s="3" t="str">
        <x:v>Alternative source-grounded interpretations</x:v>
      </x:c>
      <x:c r="D101" s="3" t="str">
        <x:v>Point estimate or CI endpoint may be erroneous. Human question: What matched CI is intended?</x:v>
      </x:c>
    </x:row>
    <x:row r="102" ht="180" customHeight="1">
      <x:c r="A102" s="6" t="str">
        <x:v>2025::jama.2025.11178::C010</x:v>
      </x:c>
      <x:c r="B102" s="6" t="n">
        <x:v>0</x:v>
      </x:c>
      <x:c r="C102" s="6" t="str">
        <x:v>Source evidence</x:v>
      </x:c>
      <x:c r="D102" s="6" t="str">
        <x:v>-0.27 (-0.26 to -0.12).</x:v>
      </x:c>
    </x:row>
    <x:row r="103" ht="180" customHeight="1">
      <x:c r="A103" s="3" t="str">
        <x:v>2025::jama.2025.11178::C010</x:v>
      </x:c>
      <x:c r="B103" s="3" t="n">
        <x:v>1</x:v>
      </x:c>
      <x:c r="C103" s="3" t="str">
        <x:v>Reported-versus-comparator</x:v>
      </x:c>
      <x:c r="D103" s="3" t="str">
        <x:v>-0.27 &lt; -0.26, outside CI.</x:v>
      </x:c>
    </x:row>
    <x:row r="104" ht="180" customHeight="1">
      <x:c r="A104" s="6" t="str">
        <x:v>2025::jama.2025.11178::C010</x:v>
      </x:c>
      <x:c r="B104" s="6" t="n">
        <x:v>2</x:v>
      </x:c>
      <x:c r="C104" s="6" t="str">
        <x:v>Calculation</x:v>
      </x:c>
      <x:c r="D104" s="6" t="str">
        <x:v>-0.27 &lt; -0.26, outside CI.</x:v>
      </x:c>
    </x:row>
    <x:row r="105" ht="180" customHeight="1">
      <x:c r="A105" s="3" t="str">
        <x:v>2025::jama.2025.11178::C010</x:v>
      </x:c>
      <x:c r="B105" s="3" t="n">
        <x:v>3</x:v>
      </x:c>
      <x:c r="C105" s="3" t="str">
        <x:v>Alternative source-grounded interpretations</x:v>
      </x:c>
      <x:c r="D105" s="3" t="str">
        <x:v>Estimate or CI endpoint may differ from intended output. Human question: What matched CI is intended?</x:v>
      </x:c>
    </x:row>
    <x:row r="106" ht="180" customHeight="1">
      <x:c r="A106" s="6" t="str">
        <x:v>2025::jama.2025.11178::C011</x:v>
      </x:c>
      <x:c r="B106" s="6" t="n">
        <x:v>0</x:v>
      </x:c>
      <x:c r="C106" s="6" t="str">
        <x:v>Source evidence</x:v>
      </x:c>
      <x:c r="D106" s="6" t="str">
        <x:v>-0.26 (-0.25 to 0.01).</x:v>
      </x:c>
    </x:row>
    <x:row r="107" ht="180" customHeight="1">
      <x:c r="A107" s="3" t="str">
        <x:v>2025::jama.2025.11178::C011</x:v>
      </x:c>
      <x:c r="B107" s="3" t="n">
        <x:v>1</x:v>
      </x:c>
      <x:c r="C107" s="3" t="str">
        <x:v>Reported-versus-comparator</x:v>
      </x:c>
      <x:c r="D107" s="3" t="str">
        <x:v>-0.26 &lt; -0.25, outside CI.</x:v>
      </x:c>
    </x:row>
    <x:row r="108" ht="180" customHeight="1">
      <x:c r="A108" s="6" t="str">
        <x:v>2025::jama.2025.11178::C011</x:v>
      </x:c>
      <x:c r="B108" s="6" t="n">
        <x:v>2</x:v>
      </x:c>
      <x:c r="C108" s="6" t="str">
        <x:v>Calculation</x:v>
      </x:c>
      <x:c r="D108" s="6" t="str">
        <x:v>-0.26 &lt; -0.25, outside CI.</x:v>
      </x:c>
    </x:row>
    <x:row r="109" ht="180" customHeight="1">
      <x:c r="A109" s="3" t="str">
        <x:v>2025::jama.2025.11178::C011</x:v>
      </x:c>
      <x:c r="B109" s="3" t="n">
        <x:v>3</x:v>
      </x:c>
      <x:c r="C109" s="3" t="str">
        <x:v>Alternative source-grounded interpretations</x:v>
      </x:c>
      <x:c r="D109" s="3" t="str">
        <x:v>Estimate or endpoint may be incorrect. Human question: What matched CI is intended?</x:v>
      </x:c>
    </x:row>
    <x:row r="110" ht="180" customHeight="1">
      <x:c r="A110" s="6" t="str">
        <x:v>2025::jama.2025.11178::C012</x:v>
      </x:c>
      <x:c r="B110" s="6" t="n">
        <x:v>0</x:v>
      </x:c>
      <x:c r="C110" s="6" t="str">
        <x:v>Source evidence</x:v>
      </x:c>
      <x:c r="D110" s="6" t="str">
        <x:v>-0.37 (-0.36 to -0.11).</x:v>
      </x:c>
    </x:row>
    <x:row r="111" ht="180" customHeight="1">
      <x:c r="A111" s="3" t="str">
        <x:v>2025::jama.2025.11178::C012</x:v>
      </x:c>
      <x:c r="B111" s="3" t="n">
        <x:v>1</x:v>
      </x:c>
      <x:c r="C111" s="3" t="str">
        <x:v>Reported-versus-comparator</x:v>
      </x:c>
      <x:c r="D111" s="3" t="str">
        <x:v>-0.37 &lt; -0.36, outside CI.</x:v>
      </x:c>
    </x:row>
    <x:row r="112" ht="180" customHeight="1">
      <x:c r="A112" s="6" t="str">
        <x:v>2025::jama.2025.11178::C012</x:v>
      </x:c>
      <x:c r="B112" s="6" t="n">
        <x:v>2</x:v>
      </x:c>
      <x:c r="C112" s="6" t="str">
        <x:v>Calculation</x:v>
      </x:c>
      <x:c r="D112" s="6" t="str">
        <x:v>-0.37 &lt; -0.36, outside CI.</x:v>
      </x:c>
    </x:row>
    <x:row r="113" ht="180" customHeight="1">
      <x:c r="A113" s="3" t="str">
        <x:v>2025::jama.2025.11178::C012</x:v>
      </x:c>
      <x:c r="B113" s="3" t="n">
        <x:v>3</x:v>
      </x:c>
      <x:c r="C113" s="3" t="str">
        <x:v>Alternative source-grounded interpretations</x:v>
      </x:c>
      <x:c r="D113" s="3" t="str">
        <x:v>Estimate or endpoint may be incorrect. Human question: What matched CI is intended?</x:v>
      </x:c>
    </x:row>
    <x:row r="114" ht="180" customHeight="1">
      <x:c r="A114" s="6" t="str">
        <x:v>2025::jama.2025.11178::C013</x:v>
      </x:c>
      <x:c r="B114" s="6" t="n">
        <x:v>0</x:v>
      </x:c>
      <x:c r="C114" s="6" t="str">
        <x:v>Source evidence</x:v>
      </x:c>
      <x:c r="D114" s="6" t="str">
        <x:v>0.12 (0.23 to 0.11).</x:v>
      </x:c>
    </x:row>
    <x:row r="115" ht="180" customHeight="1">
      <x:c r="A115" s="3" t="str">
        <x:v>2025::jama.2025.11178::C013</x:v>
      </x:c>
      <x:c r="B115" s="3" t="n">
        <x:v>1</x:v>
      </x:c>
      <x:c r="C115" s="3" t="str">
        <x:v>Reported-versus-comparator</x:v>
      </x:c>
      <x:c r="D115" s="3" t="str">
        <x:v>Interval endpoints must be low-to-high; 0.23 &gt; 0.11.</x:v>
      </x:c>
    </x:row>
    <x:row r="116" ht="180" customHeight="1">
      <x:c r="A116" s="6" t="str">
        <x:v>2025::jama.2025.11178::C013</x:v>
      </x:c>
      <x:c r="B116" s="6" t="n">
        <x:v>2</x:v>
      </x:c>
      <x:c r="C116" s="6" t="str">
        <x:v>Calculation</x:v>
      </x:c>
      <x:c r="D116" s="6" t="str">
        <x:v>Interval endpoints must be low-to-high; 0.23 &gt; 0.11.</x:v>
      </x:c>
    </x:row>
    <x:row r="117" ht="180" customHeight="1">
      <x:c r="A117" s="3" t="str">
        <x:v>2025::jama.2025.11178::C013</x:v>
      </x:c>
      <x:c r="B117" s="3" t="n">
        <x:v>3</x:v>
      </x:c>
      <x:c r="C117" s="3" t="str">
        <x:v>Alternative source-grounded interpretations</x:v>
      </x:c>
      <x:c r="D117" s="3" t="str">
        <x:v>Signs, endpoint order, or transcription may be wrong. Human question: What ordered CI is intended?</x:v>
      </x:c>
    </x:row>
    <x:row r="118" ht="180" customHeight="1">
      <x:c r="A118" s="6" t="str">
        <x:v>2025::jama.2025.11178::C014</x:v>
      </x:c>
      <x:c r="B118" s="6" t="n">
        <x:v>0</x:v>
      </x:c>
      <x:c r="C118" s="6" t="str">
        <x:v>Source evidence</x:v>
      </x:c>
      <x:c r="D118" s="6" t="str">
        <x:v>0.01 (0.12 to -0.00).</x:v>
      </x:c>
    </x:row>
    <x:row r="119" ht="180" customHeight="1">
      <x:c r="A119" s="3" t="str">
        <x:v>2025::jama.2025.11178::C014</x:v>
      </x:c>
      <x:c r="B119" s="3" t="n">
        <x:v>1</x:v>
      </x:c>
      <x:c r="C119" s="3" t="str">
        <x:v>Reported-versus-comparator</x:v>
      </x:c>
      <x:c r="D119" s="3" t="str">
        <x:v>0.12 &gt; -0.00; endpoints are reversed.</x:v>
      </x:c>
    </x:row>
    <x:row r="120" ht="180" customHeight="1">
      <x:c r="A120" s="6" t="str">
        <x:v>2025::jama.2025.11178::C014</x:v>
      </x:c>
      <x:c r="B120" s="6" t="n">
        <x:v>2</x:v>
      </x:c>
      <x:c r="C120" s="6" t="str">
        <x:v>Calculation</x:v>
      </x:c>
      <x:c r="D120" s="6" t="str">
        <x:v>0.12 &gt; -0.00; endpoints are reversed.</x:v>
      </x:c>
    </x:row>
    <x:row r="121" ht="180" customHeight="1">
      <x:c r="A121" s="3" t="str">
        <x:v>2025::jama.2025.11178::C014</x:v>
      </x:c>
      <x:c r="B121" s="3" t="n">
        <x:v>3</x:v>
      </x:c>
      <x:c r="C121" s="3" t="str">
        <x:v>Alternative source-grounded interpretations</x:v>
      </x:c>
      <x:c r="D121" s="3" t="str">
        <x:v>Signs/order may be erroneous. Human question: What ordered CI is intended?</x:v>
      </x:c>
    </x:row>
    <x:row r="122" ht="180" customHeight="1">
      <x:c r="A122" s="6" t="str">
        <x:v>2025::jama.2025.11178::C015</x:v>
      </x:c>
      <x:c r="B122" s="6" t="n">
        <x:v>0</x:v>
      </x:c>
      <x:c r="C122" s="6" t="str">
        <x:v>Source evidence</x:v>
      </x:c>
      <x:c r="D122" s="6" t="str">
        <x:v>0.20 (0.29 to 0.19).</x:v>
      </x:c>
    </x:row>
    <x:row r="123" ht="180" customHeight="1">
      <x:c r="A123" s="3" t="str">
        <x:v>2025::jama.2025.11178::C015</x:v>
      </x:c>
      <x:c r="B123" s="3" t="n">
        <x:v>1</x:v>
      </x:c>
      <x:c r="C123" s="3" t="str">
        <x:v>Reported-versus-comparator</x:v>
      </x:c>
      <x:c r="D123" s="3" t="str">
        <x:v>0.29 &gt; 0.19; endpoints are reversed.</x:v>
      </x:c>
    </x:row>
    <x:row r="124" ht="180" customHeight="1">
      <x:c r="A124" s="6" t="str">
        <x:v>2025::jama.2025.11178::C015</x:v>
      </x:c>
      <x:c r="B124" s="6" t="n">
        <x:v>2</x:v>
      </x:c>
      <x:c r="C124" s="6" t="str">
        <x:v>Calculation</x:v>
      </x:c>
      <x:c r="D124" s="6" t="str">
        <x:v>0.29 &gt; 0.19; endpoints are reversed.</x:v>
      </x:c>
    </x:row>
    <x:row r="125" ht="180" customHeight="1">
      <x:c r="A125" s="3" t="str">
        <x:v>2025::jama.2025.11178::C015</x:v>
      </x:c>
      <x:c r="B125" s="3" t="n">
        <x:v>3</x:v>
      </x:c>
      <x:c r="C125" s="3" t="str">
        <x:v>Alternative source-grounded interpretations</x:v>
      </x:c>
      <x:c r="D125" s="3" t="str">
        <x:v>Endpoint order/signs may be incorrect. Human question: What ordered CI is intended?</x:v>
      </x:c>
    </x:row>
    <x:row r="126" ht="180" customHeight="1">
      <x:c r="A126" s="6" t="str">
        <x:v>2025::jama.2025.11178::C016</x:v>
      </x:c>
      <x:c r="B126" s="6" t="n">
        <x:v>0</x:v>
      </x:c>
      <x:c r="C126" s="6" t="str">
        <x:v>Source evidence</x:v>
      </x:c>
      <x:c r="D126" s="6" t="str">
        <x:v>0.18 (0.23 to 0.05).</x:v>
      </x:c>
    </x:row>
    <x:row r="127" ht="180" customHeight="1">
      <x:c r="A127" s="3" t="str">
        <x:v>2025::jama.2025.11178::C016</x:v>
      </x:c>
      <x:c r="B127" s="3" t="n">
        <x:v>1</x:v>
      </x:c>
      <x:c r="C127" s="3" t="str">
        <x:v>Reported-versus-comparator</x:v>
      </x:c>
      <x:c r="D127" s="3" t="str">
        <x:v>0.23 &gt; 0.05; endpoints are reversed.</x:v>
      </x:c>
    </x:row>
    <x:row r="128" ht="180" customHeight="1">
      <x:c r="A128" s="6" t="str">
        <x:v>2025::jama.2025.11178::C016</x:v>
      </x:c>
      <x:c r="B128" s="6" t="n">
        <x:v>2</x:v>
      </x:c>
      <x:c r="C128" s="6" t="str">
        <x:v>Calculation</x:v>
      </x:c>
      <x:c r="D128" s="6" t="str">
        <x:v>0.23 &gt; 0.05; endpoints are reversed.</x:v>
      </x:c>
    </x:row>
    <x:row r="129" ht="180" customHeight="1">
      <x:c r="A129" s="3" t="str">
        <x:v>2025::jama.2025.11178::C016</x:v>
      </x:c>
      <x:c r="B129" s="3" t="n">
        <x:v>3</x:v>
      </x:c>
      <x:c r="C129" s="3" t="str">
        <x:v>Alternative source-grounded interpretations</x:v>
      </x:c>
      <x:c r="D129" s="3" t="str">
        <x:v>Endpoint order/signs may be incorrect. Human question: What ordered CI is intended?</x:v>
      </x:c>
    </x:row>
    <x:row r="130" ht="180" customHeight="1">
      <x:c r="A130" s="6" t="str">
        <x:v>2025::jama.2025.11178::C017</x:v>
      </x:c>
      <x:c r="B130" s="6" t="n">
        <x:v>0</x:v>
      </x:c>
      <x:c r="C130" s="6" t="str">
        <x:v>Source evidence</x:v>
      </x:c>
      <x:c r="D130" s="6" t="str">
        <x:v>0.06 (0.11 to -0.06).</x:v>
      </x:c>
    </x:row>
    <x:row r="131" ht="180" customHeight="1">
      <x:c r="A131" s="3" t="str">
        <x:v>2025::jama.2025.11178::C017</x:v>
      </x:c>
      <x:c r="B131" s="3" t="n">
        <x:v>1</x:v>
      </x:c>
      <x:c r="C131" s="3" t="str">
        <x:v>Reported-versus-comparator</x:v>
      </x:c>
      <x:c r="D131" s="3" t="str">
        <x:v>0.11 &gt; -0.06; endpoints are reversed.</x:v>
      </x:c>
    </x:row>
    <x:row r="132" ht="180" customHeight="1">
      <x:c r="A132" s="6" t="str">
        <x:v>2025::jama.2025.11178::C017</x:v>
      </x:c>
      <x:c r="B132" s="6" t="n">
        <x:v>2</x:v>
      </x:c>
      <x:c r="C132" s="6" t="str">
        <x:v>Calculation</x:v>
      </x:c>
      <x:c r="D132" s="6" t="str">
        <x:v>0.11 &gt; -0.06; endpoints are reversed.</x:v>
      </x:c>
    </x:row>
    <x:row r="133" ht="180" customHeight="1">
      <x:c r="A133" s="3" t="str">
        <x:v>2025::jama.2025.11178::C017</x:v>
      </x:c>
      <x:c r="B133" s="3" t="n">
        <x:v>3</x:v>
      </x:c>
      <x:c r="C133" s="3" t="str">
        <x:v>Alternative source-grounded interpretations</x:v>
      </x:c>
      <x:c r="D133" s="3" t="str">
        <x:v>Endpoint order/signs may be incorrect. Human question: What ordered CI is intended?</x:v>
      </x:c>
    </x:row>
    <x:row r="134" ht="180" customHeight="1">
      <x:c r="A134" s="6" t="str">
        <x:v>2025::jama.2025.11178::C018</x:v>
      </x:c>
      <x:c r="B134" s="6" t="n">
        <x:v>0</x:v>
      </x:c>
      <x:c r="C134" s="6" t="str">
        <x:v>Source evidence</x:v>
      </x:c>
      <x:c r="D134" s="6" t="str">
        <x:v>0.26 (0.30 to 0.15).</x:v>
      </x:c>
    </x:row>
    <x:row r="135" ht="180" customHeight="1">
      <x:c r="A135" s="3" t="str">
        <x:v>2025::jama.2025.11178::C018</x:v>
      </x:c>
      <x:c r="B135" s="3" t="n">
        <x:v>1</x:v>
      </x:c>
      <x:c r="C135" s="3" t="str">
        <x:v>Reported-versus-comparator</x:v>
      </x:c>
      <x:c r="D135" s="3" t="str">
        <x:v>0.30 &gt; 0.15; endpoints are reversed.</x:v>
      </x:c>
    </x:row>
    <x:row r="136" ht="180" customHeight="1">
      <x:c r="A136" s="6" t="str">
        <x:v>2025::jama.2025.11178::C018</x:v>
      </x:c>
      <x:c r="B136" s="6" t="n">
        <x:v>2</x:v>
      </x:c>
      <x:c r="C136" s="6" t="str">
        <x:v>Calculation</x:v>
      </x:c>
      <x:c r="D136" s="6" t="str">
        <x:v>0.30 &gt; 0.15; endpoints are reversed.</x:v>
      </x:c>
    </x:row>
    <x:row r="137" ht="180" customHeight="1">
      <x:c r="A137" s="3" t="str">
        <x:v>2025::jama.2025.11178::C018</x:v>
      </x:c>
      <x:c r="B137" s="3" t="n">
        <x:v>3</x:v>
      </x:c>
      <x:c r="C137" s="3" t="str">
        <x:v>Alternative source-grounded interpretations</x:v>
      </x:c>
      <x:c r="D137" s="3" t="str">
        <x:v>Endpoint order/signs may be incorrect. Human question: What ordered CI is intended?</x:v>
      </x:c>
    </x:row>
    <x:row r="138" ht="180" customHeight="1">
      <x:c r="A138" s="6" t="str">
        <x:v>2025::jama.2025.11178::C019</x:v>
      </x:c>
      <x:c r="B138" s="6" t="n">
        <x:v>0</x:v>
      </x:c>
      <x:c r="C138" s="6" t="str">
        <x:v>Source evidence</x:v>
      </x:c>
      <x:c r="D138" s="6" t="str">
        <x:v>0.19 (0.21 to 0.01).</x:v>
      </x:c>
    </x:row>
    <x:row r="139" ht="180" customHeight="1">
      <x:c r="A139" s="3" t="str">
        <x:v>2025::jama.2025.11178::C019</x:v>
      </x:c>
      <x:c r="B139" s="3" t="n">
        <x:v>1</x:v>
      </x:c>
      <x:c r="C139" s="3" t="str">
        <x:v>Reported-versus-comparator</x:v>
      </x:c>
      <x:c r="D139" s="3" t="str">
        <x:v>0.21 &gt; 0.01; endpoints are reversed.</x:v>
      </x:c>
    </x:row>
    <x:row r="140" ht="180" customHeight="1">
      <x:c r="A140" s="6" t="str">
        <x:v>2025::jama.2025.11178::C019</x:v>
      </x:c>
      <x:c r="B140" s="6" t="n">
        <x:v>2</x:v>
      </x:c>
      <x:c r="C140" s="6" t="str">
        <x:v>Calculation</x:v>
      </x:c>
      <x:c r="D140" s="6" t="str">
        <x:v>0.21 &gt; 0.01; endpoints are reversed.</x:v>
      </x:c>
    </x:row>
    <x:row r="141" ht="180" customHeight="1">
      <x:c r="A141" s="3" t="str">
        <x:v>2025::jama.2025.11178::C019</x:v>
      </x:c>
      <x:c r="B141" s="3" t="n">
        <x:v>3</x:v>
      </x:c>
      <x:c r="C141" s="3" t="str">
        <x:v>Alternative source-grounded interpretations</x:v>
      </x:c>
      <x:c r="D141" s="3" t="str">
        <x:v>Endpoint order/signs may be incorrect. Human question: What ordered CI is intended?</x:v>
      </x:c>
    </x:row>
    <x:row r="142" ht="180" customHeight="1">
      <x:c r="A142" s="6" t="str">
        <x:v>2025::jama.2025.11178::C020</x:v>
      </x:c>
      <x:c r="B142" s="6" t="n">
        <x:v>0</x:v>
      </x:c>
      <x:c r="C142" s="6" t="str">
        <x:v>Source evidence</x:v>
      </x:c>
      <x:c r="D142" s="6" t="str">
        <x:v>0.07 (0.09 to -0.10).</x:v>
      </x:c>
    </x:row>
    <x:row r="143" ht="180" customHeight="1">
      <x:c r="A143" s="3" t="str">
        <x:v>2025::jama.2025.11178::C020</x:v>
      </x:c>
      <x:c r="B143" s="3" t="n">
        <x:v>1</x:v>
      </x:c>
      <x:c r="C143" s="3" t="str">
        <x:v>Reported-versus-comparator</x:v>
      </x:c>
      <x:c r="D143" s="3" t="str">
        <x:v>0.09 &gt; -0.10; endpoints are reversed.</x:v>
      </x:c>
    </x:row>
    <x:row r="144" ht="180" customHeight="1">
      <x:c r="A144" s="6" t="str">
        <x:v>2025::jama.2025.11178::C020</x:v>
      </x:c>
      <x:c r="B144" s="6" t="n">
        <x:v>2</x:v>
      </x:c>
      <x:c r="C144" s="6" t="str">
        <x:v>Calculation</x:v>
      </x:c>
      <x:c r="D144" s="6" t="str">
        <x:v>0.09 &gt; -0.10; endpoints are reversed.</x:v>
      </x:c>
    </x:row>
    <x:row r="145" ht="180" customHeight="1">
      <x:c r="A145" s="3" t="str">
        <x:v>2025::jama.2025.11178::C020</x:v>
      </x:c>
      <x:c r="B145" s="3" t="n">
        <x:v>3</x:v>
      </x:c>
      <x:c r="C145" s="3" t="str">
        <x:v>Alternative source-grounded interpretations</x:v>
      </x:c>
      <x:c r="D145" s="3" t="str">
        <x:v>Endpoint order/signs may be incorrect. Human question: What ordered CI is intended?</x:v>
      </x:c>
    </x:row>
    <x:row r="146" ht="180" customHeight="1">
      <x:c r="A146" s="6" t="str">
        <x:v>2025::jama.2025.11178::C021</x:v>
      </x:c>
      <x:c r="B146" s="6" t="n">
        <x:v>0</x:v>
      </x:c>
      <x:c r="C146" s="6" t="str">
        <x:v>Source evidence</x:v>
      </x:c>
      <x:c r="D146" s="6" t="str">
        <x:v>0.27 (0.28 to 0.12).</x:v>
      </x:c>
    </x:row>
    <x:row r="147" ht="180" customHeight="1">
      <x:c r="A147" s="3" t="str">
        <x:v>2025::jama.2025.11178::C021</x:v>
      </x:c>
      <x:c r="B147" s="3" t="n">
        <x:v>1</x:v>
      </x:c>
      <x:c r="C147" s="3" t="str">
        <x:v>Reported-versus-comparator</x:v>
      </x:c>
      <x:c r="D147" s="3" t="str">
        <x:v>0.28 &gt; 0.12; endpoints are reversed.</x:v>
      </x:c>
    </x:row>
    <x:row r="148" ht="180" customHeight="1">
      <x:c r="A148" s="6" t="str">
        <x:v>2025::jama.2025.11178::C021</x:v>
      </x:c>
      <x:c r="B148" s="6" t="n">
        <x:v>2</x:v>
      </x:c>
      <x:c r="C148" s="6" t="str">
        <x:v>Calculation</x:v>
      </x:c>
      <x:c r="D148" s="6" t="str">
        <x:v>0.28 &gt; 0.12; endpoints are reversed.</x:v>
      </x:c>
    </x:row>
    <x:row r="149" ht="180" customHeight="1">
      <x:c r="A149" s="3" t="str">
        <x:v>2025::jama.2025.11178::C021</x:v>
      </x:c>
      <x:c r="B149" s="3" t="n">
        <x:v>3</x:v>
      </x:c>
      <x:c r="C149" s="3" t="str">
        <x:v>Alternative source-grounded interpretations</x:v>
      </x:c>
      <x:c r="D149" s="3" t="str">
        <x:v>Endpoint order/signs may be incorrect. Human question: What ordered CI is intended?</x:v>
      </x:c>
    </x:row>
    <x:row r="150" ht="180" customHeight="1">
      <x:c r="A150" s="6" t="str">
        <x:v>2025::jama.2025.11178::C022</x:v>
      </x:c>
      <x:c r="B150" s="6" t="n">
        <x:v>0</x:v>
      </x:c>
      <x:c r="C150" s="6" t="str">
        <x:v>Source evidence</x:v>
      </x:c>
      <x:c r="D150" s="6" t="str">
        <x:v>0.09 (0.16 to 0.07).</x:v>
      </x:c>
    </x:row>
    <x:row r="151" ht="180" customHeight="1">
      <x:c r="A151" s="3" t="str">
        <x:v>2025::jama.2025.11178::C022</x:v>
      </x:c>
      <x:c r="B151" s="3" t="n">
        <x:v>1</x:v>
      </x:c>
      <x:c r="C151" s="3" t="str">
        <x:v>Reported-versus-comparator</x:v>
      </x:c>
      <x:c r="D151" s="3" t="str">
        <x:v>0.16 &gt; 0.07; endpoints are reversed.</x:v>
      </x:c>
    </x:row>
    <x:row r="152" ht="180" customHeight="1">
      <x:c r="A152" s="6" t="str">
        <x:v>2025::jama.2025.11178::C022</x:v>
      </x:c>
      <x:c r="B152" s="6" t="n">
        <x:v>2</x:v>
      </x:c>
      <x:c r="C152" s="6" t="str">
        <x:v>Calculation</x:v>
      </x:c>
      <x:c r="D152" s="6" t="str">
        <x:v>0.16 &gt; 0.07; endpoints are reversed.</x:v>
      </x:c>
    </x:row>
    <x:row r="153" ht="180" customHeight="1">
      <x:c r="A153" s="3" t="str">
        <x:v>2025::jama.2025.11178::C022</x:v>
      </x:c>
      <x:c r="B153" s="3" t="n">
        <x:v>3</x:v>
      </x:c>
      <x:c r="C153" s="3" t="str">
        <x:v>Alternative source-grounded interpretations</x:v>
      </x:c>
      <x:c r="D153" s="3" t="str">
        <x:v>Endpoint order/signs may be incorrect. Human question: What ordered CI is intended?</x:v>
      </x:c>
    </x:row>
    <x:row r="154" ht="180" customHeight="1">
      <x:c r="A154" s="6" t="str">
        <x:v>2025::jama.2025.11178::C023</x:v>
      </x:c>
      <x:c r="B154" s="6" t="n">
        <x:v>0</x:v>
      </x:c>
      <x:c r="C154" s="6" t="str">
        <x:v>Source evidence</x:v>
      </x:c>
      <x:c r="D154" s="6" t="str">
        <x:v>-0.02 (0.05 to -0.04).</x:v>
      </x:c>
    </x:row>
    <x:row r="155" ht="180" customHeight="1">
      <x:c r="A155" s="3" t="str">
        <x:v>2025::jama.2025.11178::C023</x:v>
      </x:c>
      <x:c r="B155" s="3" t="n">
        <x:v>1</x:v>
      </x:c>
      <x:c r="C155" s="3" t="str">
        <x:v>Reported-versus-comparator</x:v>
      </x:c>
      <x:c r="D155" s="3" t="str">
        <x:v>0.05 &gt; -0.04; endpoints are reversed.</x:v>
      </x:c>
    </x:row>
    <x:row r="156" ht="180" customHeight="1">
      <x:c r="A156" s="6" t="str">
        <x:v>2025::jama.2025.11178::C023</x:v>
      </x:c>
      <x:c r="B156" s="6" t="n">
        <x:v>2</x:v>
      </x:c>
      <x:c r="C156" s="6" t="str">
        <x:v>Calculation</x:v>
      </x:c>
      <x:c r="D156" s="6" t="str">
        <x:v>0.05 &gt; -0.04; endpoints are reversed.</x:v>
      </x:c>
    </x:row>
    <x:row r="157" ht="180" customHeight="1">
      <x:c r="A157" s="3" t="str">
        <x:v>2025::jama.2025.11178::C023</x:v>
      </x:c>
      <x:c r="B157" s="3" t="n">
        <x:v>3</x:v>
      </x:c>
      <x:c r="C157" s="3" t="str">
        <x:v>Alternative source-grounded interpretations</x:v>
      </x:c>
      <x:c r="D157" s="3" t="str">
        <x:v>Endpoint order/signs may be incorrect. Human question: What ordered CI is intended?</x:v>
      </x:c>
    </x:row>
    <x:row r="158" ht="180" customHeight="1">
      <x:c r="A158" s="6" t="str">
        <x:v>2025::jama.2025.11178::C024</x:v>
      </x:c>
      <x:c r="B158" s="6" t="n">
        <x:v>0</x:v>
      </x:c>
      <x:c r="C158" s="6" t="str">
        <x:v>Source evidence</x:v>
      </x:c>
      <x:c r="D158" s="6" t="str">
        <x:v>0.16 (0.22 to 0.15).</x:v>
      </x:c>
    </x:row>
    <x:row r="159" ht="180" customHeight="1">
      <x:c r="A159" s="3" t="str">
        <x:v>2025::jama.2025.11178::C024</x:v>
      </x:c>
      <x:c r="B159" s="3" t="n">
        <x:v>1</x:v>
      </x:c>
      <x:c r="C159" s="3" t="str">
        <x:v>Reported-versus-comparator</x:v>
      </x:c>
      <x:c r="D159" s="3" t="str">
        <x:v>0.22 &gt; 0.15; endpoints are reversed.</x:v>
      </x:c>
    </x:row>
    <x:row r="160" ht="180" customHeight="1">
      <x:c r="A160" s="6" t="str">
        <x:v>2025::jama.2025.11178::C024</x:v>
      </x:c>
      <x:c r="B160" s="6" t="n">
        <x:v>2</x:v>
      </x:c>
      <x:c r="C160" s="6" t="str">
        <x:v>Calculation</x:v>
      </x:c>
      <x:c r="D160" s="6" t="str">
        <x:v>0.22 &gt; 0.15; endpoints are reversed.</x:v>
      </x:c>
    </x:row>
    <x:row r="161" ht="180" customHeight="1">
      <x:c r="A161" s="3" t="str">
        <x:v>2025::jama.2025.11178::C024</x:v>
      </x:c>
      <x:c r="B161" s="3" t="n">
        <x:v>3</x:v>
      </x:c>
      <x:c r="C161" s="3" t="str">
        <x:v>Alternative source-grounded interpretations</x:v>
      </x:c>
      <x:c r="D161" s="3" t="str">
        <x:v>Endpoint order/signs may be incorrect. Human question: What ordered CI is intended?</x:v>
      </x:c>
    </x:row>
    <x:row r="162" ht="180" customHeight="1">
      <x:c r="A162" s="6" t="str">
        <x:v>2025::jama.2025.11178::C025</x:v>
      </x:c>
      <x:c r="B162" s="6" t="n">
        <x:v>0</x:v>
      </x:c>
      <x:c r="C162" s="6" t="str">
        <x:v>Source evidence</x:v>
      </x:c>
      <x:c r="D162" s="6" t="str">
        <x:v>0.15 (0.09 to -0.06).</x:v>
      </x:c>
    </x:row>
    <x:row r="163" ht="180" customHeight="1">
      <x:c r="A163" s="3" t="str">
        <x:v>2025::jama.2025.11178::C025</x:v>
      </x:c>
      <x:c r="B163" s="3" t="n">
        <x:v>1</x:v>
      </x:c>
      <x:c r="C163" s="3" t="str">
        <x:v>Reported-versus-comparator</x:v>
      </x:c>
      <x:c r="D163" s="3" t="str">
        <x:v>0.09 &gt; -0.06; sorting endpoints still gives [-0.06,0.09], which excludes 0.15.</x:v>
      </x:c>
    </x:row>
    <x:row r="164" ht="180" customHeight="1">
      <x:c r="A164" s="6" t="str">
        <x:v>2025::jama.2025.11178::C025</x:v>
      </x:c>
      <x:c r="B164" s="6" t="n">
        <x:v>2</x:v>
      </x:c>
      <x:c r="C164" s="6" t="str">
        <x:v>Calculation</x:v>
      </x:c>
      <x:c r="D164" s="6" t="str">
        <x:v>0.09 &gt; -0.06; sorting endpoints still gives [-0.06,0.09], which excludes 0.15.</x:v>
      </x:c>
    </x:row>
    <x:row r="165" ht="180" customHeight="1">
      <x:c r="A165" s="3" t="str">
        <x:v>2025::jama.2025.11178::C025</x:v>
      </x:c>
      <x:c r="B165" s="3" t="n">
        <x:v>3</x:v>
      </x:c>
      <x:c r="C165" s="3" t="str">
        <x:v>Alternative source-grounded interpretations</x:v>
      </x:c>
      <x:c r="D165" s="3" t="str">
        <x:v>Signs/order or estimate/CI may be incorrect. Human question: What estimate and ordered CI are intended?</x:v>
      </x:c>
    </x:row>
    <x:row r="166" ht="180" customHeight="1">
      <x:c r="A166" s="6" t="str">
        <x:v>2025::jama.2025.11178::C026</x:v>
      </x:c>
      <x:c r="B166" s="6" t="n">
        <x:v>0</x:v>
      </x:c>
      <x:c r="C166" s="6" t="str">
        <x:v>Source evidence</x:v>
      </x:c>
      <x:c r="D166" s="6" t="str">
        <x:v>0.02 (0.03 to -0.18).</x:v>
      </x:c>
    </x:row>
    <x:row r="167" ht="180" customHeight="1">
      <x:c r="A167" s="3" t="str">
        <x:v>2025::jama.2025.11178::C026</x:v>
      </x:c>
      <x:c r="B167" s="3" t="n">
        <x:v>1</x:v>
      </x:c>
      <x:c r="C167" s="3" t="str">
        <x:v>Reported-versus-comparator</x:v>
      </x:c>
      <x:c r="D167" s="3" t="str">
        <x:v>0.03 &gt; -0.18; endpoints are reversed.</x:v>
      </x:c>
    </x:row>
    <x:row r="168" ht="180" customHeight="1">
      <x:c r="A168" s="6" t="str">
        <x:v>2025::jama.2025.11178::C026</x:v>
      </x:c>
      <x:c r="B168" s="6" t="n">
        <x:v>2</x:v>
      </x:c>
      <x:c r="C168" s="6" t="str">
        <x:v>Calculation</x:v>
      </x:c>
      <x:c r="D168" s="6" t="str">
        <x:v>0.03 &gt; -0.18; endpoints are reversed.</x:v>
      </x:c>
    </x:row>
    <x:row r="169" ht="180" customHeight="1">
      <x:c r="A169" s="3" t="str">
        <x:v>2025::jama.2025.11178::C026</x:v>
      </x:c>
      <x:c r="B169" s="3" t="n">
        <x:v>3</x:v>
      </x:c>
      <x:c r="C169" s="3" t="str">
        <x:v>Alternative source-grounded interpretations</x:v>
      </x:c>
      <x:c r="D169" s="3" t="str">
        <x:v>Signs/order may be incorrect. Human question: What ordered CI is intended?</x:v>
      </x:c>
    </x:row>
    <x:row r="170" ht="180" customHeight="1">
      <x:c r="A170" s="6" t="str">
        <x:v>2025::jama.2025.11178::C027</x:v>
      </x:c>
      <x:c r="B170" s="6" t="n">
        <x:v>0</x:v>
      </x:c>
      <x:c r="C170" s="6" t="str">
        <x:v>Source evidence</x:v>
      </x:c>
      <x:c r="D170" s="6" t="str">
        <x:v>0.22 (0.16 to 0.05).</x:v>
      </x:c>
    </x:row>
    <x:row r="171" ht="180" customHeight="1">
      <x:c r="A171" s="3" t="str">
        <x:v>2025::jama.2025.11178::C027</x:v>
      </x:c>
      <x:c r="B171" s="3" t="n">
        <x:v>1</x:v>
      </x:c>
      <x:c r="C171" s="3" t="str">
        <x:v>Reported-versus-comparator</x:v>
      </x:c>
      <x:c r="D171" s="3" t="str">
        <x:v>0.16 &gt; 0.05; sorted interval [0.05,0.16] excludes 0.22.</x:v>
      </x:c>
    </x:row>
    <x:row r="172" ht="180" customHeight="1">
      <x:c r="A172" s="6" t="str">
        <x:v>2025::jama.2025.11178::C027</x:v>
      </x:c>
      <x:c r="B172" s="6" t="n">
        <x:v>2</x:v>
      </x:c>
      <x:c r="C172" s="6" t="str">
        <x:v>Calculation</x:v>
      </x:c>
      <x:c r="D172" s="6" t="str">
        <x:v>0.16 &gt; 0.05; sorted interval [0.05,0.16] excludes 0.22.</x:v>
      </x:c>
    </x:row>
    <x:row r="173" ht="180" customHeight="1">
      <x:c r="A173" s="3" t="str">
        <x:v>2025::jama.2025.11178::C027</x:v>
      </x:c>
      <x:c r="B173" s="3" t="n">
        <x:v>3</x:v>
      </x:c>
      <x:c r="C173" s="3" t="str">
        <x:v>Alternative source-grounded interpretations</x:v>
      </x:c>
      <x:c r="D173" s="3" t="str">
        <x:v>Endpoint order/signs or estimate/CI may be wrong. Human question: What estimate and ordered CI are intended?</x:v>
      </x:c>
    </x:row>
    <x:row r="174" ht="180" customHeight="1">
      <x:c r="A174" s="6" t="str">
        <x:v>2025::jama.2025.11178::C028</x:v>
      </x:c>
      <x:c r="B174" s="6" t="n">
        <x:v>0</x:v>
      </x:c>
      <x:c r="C174" s="6" t="str">
        <x:v>Source evidence</x:v>
      </x:c>
      <x:c r="D174" s="6" t="str">
        <x:v>0.20 (0.18 to -0.03).</x:v>
      </x:c>
    </x:row>
    <x:row r="175" ht="180" customHeight="1">
      <x:c r="A175" s="3" t="str">
        <x:v>2025::jama.2025.11178::C028</x:v>
      </x:c>
      <x:c r="B175" s="3" t="n">
        <x:v>1</x:v>
      </x:c>
      <x:c r="C175" s="3" t="str">
        <x:v>Reported-versus-comparator</x:v>
      </x:c>
      <x:c r="D175" s="3" t="str">
        <x:v>0.18 &gt; -0.03; sorted interval [-0.03,0.18] excludes 0.20.</x:v>
      </x:c>
    </x:row>
    <x:row r="176" ht="180" customHeight="1">
      <x:c r="A176" s="6" t="str">
        <x:v>2025::jama.2025.11178::C028</x:v>
      </x:c>
      <x:c r="B176" s="6" t="n">
        <x:v>2</x:v>
      </x:c>
      <x:c r="C176" s="6" t="str">
        <x:v>Calculation</x:v>
      </x:c>
      <x:c r="D176" s="6" t="str">
        <x:v>0.18 &gt; -0.03; sorted interval [-0.03,0.18] excludes 0.20.</x:v>
      </x:c>
    </x:row>
    <x:row r="177" ht="180" customHeight="1">
      <x:c r="A177" s="3" t="str">
        <x:v>2025::jama.2025.11178::C028</x:v>
      </x:c>
      <x:c r="B177" s="3" t="n">
        <x:v>3</x:v>
      </x:c>
      <x:c r="C177" s="3" t="str">
        <x:v>Alternative source-grounded interpretations</x:v>
      </x:c>
      <x:c r="D177" s="3" t="str">
        <x:v>Endpoint order/signs or estimate/CI may be wrong. Human question: What estimate and ordered CI are intended?</x:v>
      </x:c>
    </x:row>
    <x:row r="178" ht="180" customHeight="1">
      <x:c r="A178" s="6" t="str">
        <x:v>2025::jama.2025.11178::C029</x:v>
      </x:c>
      <x:c r="B178" s="6" t="n">
        <x:v>0</x:v>
      </x:c>
      <x:c r="C178" s="6" t="str">
        <x:v>Source evidence</x:v>
      </x:c>
      <x:c r="D178" s="6" t="str">
        <x:v>0.07 (0.04 to -0.16).</x:v>
      </x:c>
    </x:row>
    <x:row r="179" ht="180" customHeight="1">
      <x:c r="A179" s="3" t="str">
        <x:v>2025::jama.2025.11178::C029</x:v>
      </x:c>
      <x:c r="B179" s="3" t="n">
        <x:v>1</x:v>
      </x:c>
      <x:c r="C179" s="3" t="str">
        <x:v>Reported-versus-comparator</x:v>
      </x:c>
      <x:c r="D179" s="3" t="str">
        <x:v>0.04 &gt; -0.16; sorted interval [-0.16,0.04] excludes 0.07.</x:v>
      </x:c>
    </x:row>
    <x:row r="180" ht="180" customHeight="1">
      <x:c r="A180" s="6" t="str">
        <x:v>2025::jama.2025.11178::C029</x:v>
      </x:c>
      <x:c r="B180" s="6" t="n">
        <x:v>2</x:v>
      </x:c>
      <x:c r="C180" s="6" t="str">
        <x:v>Calculation</x:v>
      </x:c>
      <x:c r="D180" s="6" t="str">
        <x:v>0.04 &gt; -0.16; sorted interval [-0.16,0.04] excludes 0.07.</x:v>
      </x:c>
    </x:row>
    <x:row r="181" ht="180" customHeight="1">
      <x:c r="A181" s="3" t="str">
        <x:v>2025::jama.2025.11178::C029</x:v>
      </x:c>
      <x:c r="B181" s="3" t="n">
        <x:v>3</x:v>
      </x:c>
      <x:c r="C181" s="3" t="str">
        <x:v>Alternative source-grounded interpretations</x:v>
      </x:c>
      <x:c r="D181" s="3" t="str">
        <x:v>Endpoint order/signs or estimate/CI may be wrong. Human question: What estimate and ordered CI are intended?</x:v>
      </x:c>
    </x:row>
    <x:row r="182" ht="180" customHeight="1">
      <x:c r="A182" s="6" t="str">
        <x:v>2025::jama.2025.11178::C030</x:v>
      </x:c>
      <x:c r="B182" s="6" t="n">
        <x:v>0</x:v>
      </x:c>
      <x:c r="C182" s="6" t="str">
        <x:v>Source evidence</x:v>
      </x:c>
      <x:c r="D182" s="6" t="str">
        <x:v>0.27 (0.25 to 0.09).</x:v>
      </x:c>
    </x:row>
    <x:row r="183" ht="180" customHeight="1">
      <x:c r="A183" s="3" t="str">
        <x:v>2025::jama.2025.11178::C030</x:v>
      </x:c>
      <x:c r="B183" s="3" t="n">
        <x:v>1</x:v>
      </x:c>
      <x:c r="C183" s="3" t="str">
        <x:v>Reported-versus-comparator</x:v>
      </x:c>
      <x:c r="D183" s="3" t="str">
        <x:v>0.25 &gt; 0.09; sorted interval [0.09,0.25] excludes 0.27.</x:v>
      </x:c>
    </x:row>
    <x:row r="184" ht="180" customHeight="1">
      <x:c r="A184" s="6" t="str">
        <x:v>2025::jama.2025.11178::C030</x:v>
      </x:c>
      <x:c r="B184" s="6" t="n">
        <x:v>2</x:v>
      </x:c>
      <x:c r="C184" s="6" t="str">
        <x:v>Calculation</x:v>
      </x:c>
      <x:c r="D184" s="6" t="str">
        <x:v>0.25 &gt; 0.09; sorted interval [0.09,0.25] excludes 0.27.</x:v>
      </x:c>
    </x:row>
    <x:row r="185" ht="180" customHeight="1">
      <x:c r="A185" s="3" t="str">
        <x:v>2025::jama.2025.11178::C030</x:v>
      </x:c>
      <x:c r="B185" s="3" t="n">
        <x:v>3</x:v>
      </x:c>
      <x:c r="C185" s="3" t="str">
        <x:v>Alternative source-grounded interpretations</x:v>
      </x:c>
      <x:c r="D185" s="3" t="str">
        <x:v>Endpoint order/signs or estimate/CI may be wrong. Human question: What estimate and ordered CI are intended?</x:v>
      </x:c>
    </x:row>
    <x:row r="186" ht="180" customHeight="1">
      <x:c r="A186" s="6" t="str">
        <x:v>2025::jama.2025.11178::C031</x:v>
      </x:c>
      <x:c r="B186" s="6" t="n">
        <x:v>0</x:v>
      </x:c>
      <x:c r="C186" s="6" t="str">
        <x:v>Source evidence</x:v>
      </x:c>
      <x:c r="D186" s="6" t="str">
        <x:v>-0.55 (-0.50 to 0.05).</x:v>
      </x:c>
    </x:row>
    <x:row r="187" ht="180" customHeight="1">
      <x:c r="A187" s="3" t="str">
        <x:v>2025::jama.2025.11178::C031</x:v>
      </x:c>
      <x:c r="B187" s="3" t="n">
        <x:v>1</x:v>
      </x:c>
      <x:c r="C187" s="3" t="str">
        <x:v>Reported-versus-comparator</x:v>
      </x:c>
      <x:c r="D187" s="3" t="str">
        <x:v>-0.55 &lt; -0.50, outside CI.</x:v>
      </x:c>
    </x:row>
    <x:row r="188" ht="180" customHeight="1">
      <x:c r="A188" s="6" t="str">
        <x:v>2025::jama.2025.11178::C031</x:v>
      </x:c>
      <x:c r="B188" s="6" t="n">
        <x:v>2</x:v>
      </x:c>
      <x:c r="C188" s="6" t="str">
        <x:v>Calculation</x:v>
      </x:c>
      <x:c r="D188" s="6" t="str">
        <x:v>-0.55 &lt; -0.50, outside CI.</x:v>
      </x:c>
    </x:row>
    <x:row r="189" ht="180" customHeight="1">
      <x:c r="A189" s="3" t="str">
        <x:v>2025::jama.2025.11178::C031</x:v>
      </x:c>
      <x:c r="B189" s="3" t="n">
        <x:v>3</x:v>
      </x:c>
      <x:c r="C189" s="3" t="str">
        <x:v>Alternative source-grounded interpretations</x:v>
      </x:c>
      <x:c r="D189" s="3" t="str">
        <x:v>Estimate or endpoint may be incorrect. Human question: What matched CI is intended?</x:v>
      </x:c>
    </x:row>
    <x:row r="190" ht="180" customHeight="1">
      <x:c r="A190" s="6" t="str">
        <x:v>2025::jama.2025.11178::C032</x:v>
      </x:c>
      <x:c r="B190" s="6" t="n">
        <x:v>0</x:v>
      </x:c>
      <x:c r="C190" s="6" t="str">
        <x:v>Source evidence</x:v>
      </x:c>
      <x:c r="D190" s="6" t="str">
        <x:v>-0.57 (-0.54 to -0.08).</x:v>
      </x:c>
    </x:row>
    <x:row r="191" ht="180" customHeight="1">
      <x:c r="A191" s="3" t="str">
        <x:v>2025::jama.2025.11178::C032</x:v>
      </x:c>
      <x:c r="B191" s="3" t="n">
        <x:v>1</x:v>
      </x:c>
      <x:c r="C191" s="3" t="str">
        <x:v>Reported-versus-comparator</x:v>
      </x:c>
      <x:c r="D191" s="3" t="str">
        <x:v>-0.57 &lt; -0.54, outside CI.</x:v>
      </x:c>
    </x:row>
    <x:row r="192" ht="180" customHeight="1">
      <x:c r="A192" s="6" t="str">
        <x:v>2025::jama.2025.11178::C032</x:v>
      </x:c>
      <x:c r="B192" s="6" t="n">
        <x:v>2</x:v>
      </x:c>
      <x:c r="C192" s="6" t="str">
        <x:v>Calculation</x:v>
      </x:c>
      <x:c r="D192" s="6" t="str">
        <x:v>-0.57 &lt; -0.54, outside CI.</x:v>
      </x:c>
    </x:row>
    <x:row r="193" ht="180" customHeight="1">
      <x:c r="A193" s="3" t="str">
        <x:v>2025::jama.2025.11178::C032</x:v>
      </x:c>
      <x:c r="B193" s="3" t="n">
        <x:v>3</x:v>
      </x:c>
      <x:c r="C193" s="3" t="str">
        <x:v>Alternative source-grounded interpretations</x:v>
      </x:c>
      <x:c r="D193" s="3" t="str">
        <x:v>Estimate or endpoint may be incorrect. Human question: What matched CI is intended?</x:v>
      </x:c>
    </x:row>
    <x:row r="194" ht="180" customHeight="1">
      <x:c r="A194" s="6" t="str">
        <x:v>2025::jama.2025.11178::C033</x:v>
      </x:c>
      <x:c r="B194" s="6" t="n">
        <x:v>0</x:v>
      </x:c>
      <x:c r="C194" s="6" t="str">
        <x:v>Source evidence</x:v>
      </x:c>
      <x:c r="D194" s="6" t="str">
        <x:v>-0.29 (-0.25 to 0.14).</x:v>
      </x:c>
    </x:row>
    <x:row r="195" ht="180" customHeight="1">
      <x:c r="A195" s="3" t="str">
        <x:v>2025::jama.2025.11178::C033</x:v>
      </x:c>
      <x:c r="B195" s="3" t="n">
        <x:v>1</x:v>
      </x:c>
      <x:c r="C195" s="3" t="str">
        <x:v>Reported-versus-comparator</x:v>
      </x:c>
      <x:c r="D195" s="3" t="str">
        <x:v>-0.29 &lt; -0.25, outside CI.</x:v>
      </x:c>
    </x:row>
    <x:row r="196" ht="180" customHeight="1">
      <x:c r="A196" s="6" t="str">
        <x:v>2025::jama.2025.11178::C033</x:v>
      </x:c>
      <x:c r="B196" s="6" t="n">
        <x:v>2</x:v>
      </x:c>
      <x:c r="C196" s="6" t="str">
        <x:v>Calculation</x:v>
      </x:c>
      <x:c r="D196" s="6" t="str">
        <x:v>-0.29 &lt; -0.25, outside CI.</x:v>
      </x:c>
    </x:row>
    <x:row r="197" ht="180" customHeight="1">
      <x:c r="A197" s="3" t="str">
        <x:v>2025::jama.2025.11178::C033</x:v>
      </x:c>
      <x:c r="B197" s="3" t="n">
        <x:v>3</x:v>
      </x:c>
      <x:c r="C197" s="3" t="str">
        <x:v>Alternative source-grounded interpretations</x:v>
      </x:c>
      <x:c r="D197" s="3" t="str">
        <x:v>Estimate or endpoint may be incorrect. Human question: What matched CI is intended?</x:v>
      </x:c>
    </x:row>
    <x:row r="198" ht="180" customHeight="1">
      <x:c r="A198" s="6" t="str">
        <x:v>2025::jama.2025.11178::C034</x:v>
      </x:c>
      <x:c r="B198" s="6" t="n">
        <x:v>0</x:v>
      </x:c>
      <x:c r="C198" s="6" t="str">
        <x:v>Source evidence</x:v>
      </x:c>
      <x:c r="D198" s="6" t="str">
        <x:v>Abstract 1712 [74%] women; Table 1 female counts 571/776, 572/778, 569/777; workbook Overall 1713 (73.5).</x:v>
      </x:c>
    </x:row>
    <x:row r="199" ht="180" customHeight="1">
      <x:c r="A199" s="3" t="str">
        <x:v>2025::jama.2025.11178::C034</x:v>
      </x:c>
      <x:c r="B199" s="3" t="n">
        <x:v>1</x:v>
      </x:c>
      <x:c r="C199" s="3" t="str">
        <x:v>Reported-versus-comparator</x:v>
      </x:c>
      <x:c r="D199" s="3" t="str">
        <x:v>If Table 1 and the workbook intend the same sex variable for the same N=2331 cohort, their counts should agree: 571+572+569=1712, not workbook 1713. 1712/2331=73.444873...%, which rounds to 73.4% at one decimal; 1713/2331=73.487773...%, which rounds to 73.5%.</x:v>
      </x:c>
    </x:row>
    <x:row r="200" ht="180" customHeight="1">
      <x:c r="A200" s="6" t="str">
        <x:v>2025::jama.2025.11178::C034</x:v>
      </x:c>
      <x:c r="B200" s="6" t="n">
        <x:v>2</x:v>
      </x:c>
      <x:c r="C200" s="6" t="str">
        <x:v>Calculation</x:v>
      </x:c>
      <x:c r="D200" s="6" t="str">
        <x:v>If Table 1 and the workbook intend the same sex variable for the same N=2331 cohort, their counts should agree: 571+572+569=1712, not workbook 1713. 1712/2331=73.444873...%, which rounds to 73.4% at one decimal; 1713/2331=73.487773...%, which rounds to 73.5%.</x:v>
      </x:c>
    </x:row>
    <x:row r="201" ht="180" customHeight="1">
      <x:c r="A201" s="3" t="str">
        <x:v>2025::jama.2025.11178::C034</x:v>
      </x:c>
      <x:c r="B201" s="3" t="n">
        <x:v>3</x:v>
      </x:c>
      <x:c r="C201" s="3" t="str">
        <x:v>Alternative source-grounded interpretations</x:v>
      </x:c>
      <x:c r="D201" s="3" t="str">
        <x:v>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x:v>
      </x:c>
    </x:row>
    <x:row r="202" ht="180" customHeight="1">
      <x:c r="A202" s="6" t="str">
        <x:v>2025::jama.2025.11178::C035</x:v>
      </x:c>
      <x:c r="B202" s="6" t="n">
        <x:v>0</x:v>
      </x:c>
      <x:c r="C202" s="6" t="str">
        <x:v>Source evidence</x:v>
      </x:c>
      <x:c r="D202" s="6" t="str">
        <x:v>Narrative 47.8%; Table 1 373/775, 373/777, 370/777; workbook 1116 (47.9).</x:v>
      </x:c>
    </x:row>
    <x:row r="203" ht="180" customHeight="1">
      <x:c r="A203" s="3" t="str">
        <x:v>2025::jama.2025.11178::C035</x:v>
      </x:c>
      <x:c r="B203" s="3" t="n">
        <x:v>1</x:v>
      </x:c>
      <x:c r="C203" s="3" t="str">
        <x:v>Reported-versus-comparator</x:v>
      </x:c>
      <x:c r="D203" s="3" t="str">
        <x:v>Same PHQ-8 &gt;=10 baseline definition; 1116/(775+777+777)=1116/2329=47.9176%, or 47.9% to one decimal, not 47.8%.</x:v>
      </x:c>
    </x:row>
    <x:row r="204" ht="180" customHeight="1">
      <x:c r="A204" s="6" t="str">
        <x:v>2025::jama.2025.11178::C035</x:v>
      </x:c>
      <x:c r="B204" s="6" t="n">
        <x:v>2</x:v>
      </x:c>
      <x:c r="C204" s="6" t="str">
        <x:v>Calculation</x:v>
      </x:c>
      <x:c r="D204" s="6" t="str">
        <x:v>Same PHQ-8 &gt;=10 baseline definition; 1116/(775+777+777)=1116/2329=47.9176%, or 47.9% to one decimal, not 47.8%.</x:v>
      </x:c>
    </x:row>
    <x:row r="205" ht="180" customHeight="1">
      <x:c r="A205" s="3" t="str">
        <x:v>2025::jama.2025.11178::C035</x:v>
      </x:c>
      <x:c r="B205" s="3" t="n">
        <x:v>3</x:v>
      </x:c>
      <x:c r="C205" s="3" t="str">
        <x:v>Alternative source-grounded interpretations</x:v>
      </x:c>
      <x:c r="D205" s="3" t="str">
        <x:v>Narrative may use an unprinted denominator or earlier data snapshot. Human question: What numerator/denominator generated the narrative value?</x:v>
      </x:c>
    </x:row>
    <x:row r="206" ht="180" customHeight="1">
      <x:c r="A206" s="6" t="str">
        <x:v>2025::jama.2025.11178::C036</x:v>
      </x:c>
      <x:c r="B206" s="6" t="n">
        <x:v>0</x:v>
      </x:c>
      <x:c r="C206" s="6" t="str">
        <x:v>Source evidence</x:v>
      </x:c>
      <x:c r="D206" s="6" t="str">
        <x:v>Narrative SMD -0.26; Table 3 painTRAINER vs usual care plus SMD -0.25 (-0.28 to -0.02).</x:v>
      </x:c>
    </x:row>
    <x:row r="207" ht="180" customHeight="1">
      <x:c r="A207" s="3" t="str">
        <x:v>2025::jama.2025.11178::C036</x:v>
      </x:c>
      <x:c r="B207" s="3" t="n">
        <x:v>1</x:v>
      </x:c>
      <x:c r="C207" s="3" t="str">
        <x:v>Reported-versus-comparator</x:v>
      </x:c>
      <x:c r="D207" s="3" t="str">
        <x:v>Same adjusted outcome/time/contrast/effect measure, explicitly cross-referenced; -0.26 != -0.25, displayed difference 0.01.</x:v>
      </x:c>
    </x:row>
    <x:row r="208" ht="180" customHeight="1">
      <x:c r="A208" s="6" t="str">
        <x:v>2025::jama.2025.11178::C036</x:v>
      </x:c>
      <x:c r="B208" s="6" t="n">
        <x:v>2</x:v>
      </x:c>
      <x:c r="C208" s="6" t="str">
        <x:v>Calculation</x:v>
      </x:c>
      <x:c r="D208" s="6" t="str">
        <x:v>Same adjusted outcome/time/contrast/effect measure, explicitly cross-referenced; -0.26 != -0.25, displayed difference 0.01.</x:v>
      </x:c>
    </x:row>
    <x:row r="209" ht="180" customHeight="1">
      <x:c r="A209" s="3" t="str">
        <x:v>2025::jama.2025.11178::C036</x:v>
      </x:c>
      <x:c r="B209" s="3" t="n">
        <x:v>3</x:v>
      </x:c>
      <x:c r="C209" s="3" t="str">
        <x:v>Alternative source-grounded interpretations</x:v>
      </x:c>
      <x:c r="D209" s="3" t="str">
        <x:v>Differently rounded source outputs are possible but not stated. Human question: Which 3-month SMD is authoritative?</x:v>
      </x:c>
    </x:row>
    <x:row r="210" ht="180" customHeight="1">
      <x:c r="A210" s="6" t="str">
        <x:v>2025::jama.2025.11178::C037</x:v>
      </x:c>
      <x:c r="B210" s="6" t="n">
        <x:v>0</x:v>
      </x:c>
      <x:c r="C210" s="6" t="str">
        <x:v>Source evidence</x:v>
      </x:c>
      <x:c r="D210" s="6" t="str">
        <x:v>Narrative SMD -0.36; Table 3 Health Coach vs usual care plus SMD -0.34 (-0.36 to -0.13).</x:v>
      </x:c>
    </x:row>
    <x:row r="211" ht="180" customHeight="1">
      <x:c r="A211" s="3" t="str">
        <x:v>2025::jama.2025.11178::C037</x:v>
      </x:c>
      <x:c r="B211" s="3" t="n">
        <x:v>1</x:v>
      </x:c>
      <x:c r="C211" s="3" t="str">
        <x:v>Reported-versus-comparator</x:v>
      </x:c>
      <x:c r="D211" s="3" t="str">
        <x:v>Same adjusted outcome/time/contrast/effect measure; -0.36 != -0.34, displayed difference 0.02.</x:v>
      </x:c>
    </x:row>
    <x:row r="212" ht="180" customHeight="1">
      <x:c r="A212" s="6" t="str">
        <x:v>2025::jama.2025.11178::C037</x:v>
      </x:c>
      <x:c r="B212" s="6" t="n">
        <x:v>2</x:v>
      </x:c>
      <x:c r="C212" s="6" t="str">
        <x:v>Calculation</x:v>
      </x:c>
      <x:c r="D212" s="6" t="str">
        <x:v>Same adjusted outcome/time/contrast/effect measure; -0.36 != -0.34, displayed difference 0.02.</x:v>
      </x:c>
    </x:row>
    <x:row r="213" ht="180" customHeight="1">
      <x:c r="A213" s="3" t="str">
        <x:v>2025::jama.2025.11178::C037</x:v>
      </x:c>
      <x:c r="B213" s="3" t="n">
        <x:v>3</x:v>
      </x:c>
      <x:c r="C213" s="3" t="str">
        <x:v>Alternative source-grounded interpretations</x:v>
      </x:c>
      <x:c r="D213" s="3" t="str">
        <x:v>Differently rounded source outputs are possible but not stated. Human question: Which 3-month SMD is authoritative?</x:v>
      </x:c>
    </x:row>
    <x:row r="214" ht="180" customHeight="1">
      <x:c r="A214" s="6" t="str">
        <x:v>2025::jama.2025.15185::C001</x:v>
      </x:c>
      <x:c r="B214" s="6" t="n">
        <x:v>0</x:v>
      </x:c>
      <x:c r="C214" s="6" t="str">
        <x:v>Source evidence</x:v>
      </x:c>
      <x:c r="D214" s="6" t="str">
        <x:v>Main Table 1 prints levodopa n=307: ischemic 260 (84.7%), hemorrhagic 47 (15.3%). eTable 1 prints levodopa n=307: ischemic 263 (85.7%), hemorrhagic 44 (14.3%); placebo values match.</x:v>
      </x:c>
    </x:row>
    <x:row r="215" ht="180" customHeight="1">
      <x:c r="A215" s="3" t="str">
        <x:v>2025::jama.2025.15185::C001</x:v>
      </x:c>
      <x:c r="B215" s="3" t="n">
        <x:v>1</x:v>
      </x:c>
      <x:c r="C215" s="3" t="str">
        <x:v>Reported-versus-comparator</x:v>
      </x:c>
      <x:c r="D215" s="3" t="str">
        <x:v>Main 260/47 versus supplement 263/44 for the same named arm and categories.</x:v>
      </x:c>
    </x:row>
    <x:row r="216" ht="180" customHeight="1">
      <x:c r="A216" s="6" t="str">
        <x:v>2025::jama.2025.15185::C001</x:v>
      </x:c>
      <x:c r="B216" s="6" t="n">
        <x:v>2</x:v>
      </x:c>
      <x:c r="C216" s="6" t="str">
        <x:v>Calculation</x:v>
      </x:c>
      <x:c r="D216" s="6" t="str">
        <x:v>260 + 47 = 307; 263 + 44 = 307; the category changes are +3/-3 at an unchanged arm total.</x:v>
      </x:c>
    </x:row>
    <x:row r="217" ht="180" customHeight="1">
      <x:c r="A217" s="3" t="str">
        <x:v>2025::jama.2025.15185::C001</x:v>
      </x:c>
      <x:c r="B217" s="3" t="n">
        <x:v>3</x:v>
      </x:c>
      <x:c r="C217" s="3" t="str">
        <x:v>Alternative source-grounded interpretations</x:v>
      </x:c>
      <x:c r="D217" s="3" t="str">
        <x:v>An unstated recoding or data cut could explain the difference; neither table identifies one.</x:v>
      </x:c>
    </x:row>
    <x:row r="218" ht="180" customHeight="1">
      <x:c r="A218" s="6" t="str">
        <x:v>2025::jama.2025.15185::C002</x:v>
      </x:c>
      <x:c r="B218" s="6" t="n">
        <x:v>0</x:v>
      </x:c>
      <x:c r="C218" s="6" t="str">
        <x:v>Source evidence</x:v>
      </x:c>
      <x:c r="D218" s="6" t="str">
        <x:v>Main values are median (IQR) 7 (5-11) levodopa, 8 (5-10) placebo, and overall 7 (5-10). eTable 1 labels Median NIHSS at randomization [IQR] yet prints 8.2 (3.9), 8.3 (3.8), and 8.2 (3.9).</x:v>
      </x:c>
    </x:row>
    <x:row r="219" ht="180" customHeight="1">
      <x:c r="A219" s="3" t="str">
        <x:v>2025::jama.2025.15185::C002</x:v>
      </x:c>
      <x:c r="B219" s="3" t="n">
        <x:v>1</x:v>
      </x:c>
      <x:c r="C219" s="3" t="str">
        <x:v>Reported-versus-comparator</x:v>
      </x:c>
      <x:c r="D219" s="3" t="str">
        <x:v>A labelled median/IQR row with two-endpoint main summaries versus one decimal and one parenthesized value in the supplement.</x:v>
      </x:c>
    </x:row>
    <x:row r="220" ht="180" customHeight="1">
      <x:c r="A220" s="6" t="str">
        <x:v>2025::jama.2025.15185::C002</x:v>
      </x:c>
      <x:c r="B220" s="6" t="n">
        <x:v>2</x:v>
      </x:c>
      <x:c r="C220" s="6" t="str">
        <x:v>Calculation</x:v>
      </x:c>
      <x:c r="D220" s="6" t="str">
        <x:v>Main summaries contain a central value and two IQR endpoints; each supplement summary has one central decimal and one parenthesized number, so mapping requires a missing definition.</x:v>
      </x:c>
    </x:row>
    <x:row r="221" ht="180" customHeight="1">
      <x:c r="A221" s="3" t="str">
        <x:v>2025::jama.2025.15185::C002</x:v>
      </x:c>
      <x:c r="B221" s="3" t="n">
        <x:v>3</x:v>
      </x:c>
      <x:c r="C221" s="3" t="str">
        <x:v>Alternative source-grounded interpretations</x:v>
      </x:c>
      <x:c r="D221" s="3" t="str">
        <x:v>The supplement values may be means (SDs) under a stale label, or may use an unstated one-number convention; neither interpretation is stated there.</x:v>
      </x:c>
    </x:row>
    <x:row r="222" ht="180" customHeight="1">
      <x:c r="A222" s="6" t="str">
        <x:v>2025::jama.2025.15185::C003</x:v>
      </x:c>
      <x:c r="B222" s="6" t="n">
        <x:v>0</x:v>
      </x:c>
      <x:c r="C222" s="6" t="str">
        <x:v>Source evidence</x:v>
      </x:c>
      <x:c r="D222" s="6" t="str">
        <x:v>Main prints Time from stroke onset to randomization, median (IQR), d: 3.0 (2.0-5.0) for both arms. eTable 1 prints 7 [5,10] overall, 8 [5,10] placebo, and 7 [5-11] levodopa without a visible unit.</x:v>
      </x:c>
    </x:row>
    <x:row r="223" ht="180" customHeight="1">
      <x:c r="A223" s="3" t="str">
        <x:v>2025::jama.2025.15185::C003</x:v>
      </x:c>
      <x:c r="B223" s="3" t="n">
        <x:v>1</x:v>
      </x:c>
      <x:c r="C223" s="3" t="str">
        <x:v>Reported-versus-comparator</x:v>
      </x:c>
      <x:c r="D223" s="3" t="str">
        <x:v>Main arm medians 3.0/3.0 versus supplement 8/7 for the same named variable.</x:v>
      </x:c>
    </x:row>
    <x:row r="224" ht="180" customHeight="1">
      <x:c r="A224" s="6" t="str">
        <x:v>2025::jama.2025.15185::C003</x:v>
      </x:c>
      <x:c r="B224" s="6" t="n">
        <x:v>2</x:v>
      </x:c>
      <x:c r="C224" s="6" t="str">
        <x:v>Calculation</x:v>
      </x:c>
      <x:c r="D224" s="6" t="str">
        <x:v>If the supplement values are days, levodopa differs by 7-3=4 days and placebo by 8-3=5 days; these are not rounding differences.</x:v>
      </x:c>
    </x:row>
    <x:row r="225" ht="180" customHeight="1">
      <x:c r="A225" s="3" t="str">
        <x:v>2025::jama.2025.15185::C003</x:v>
      </x:c>
      <x:c r="B225" s="3" t="n">
        <x:v>3</x:v>
      </x:c>
      <x:c r="C225" s="3" t="str">
        <x:v>Alternative source-grounded interpretations</x:v>
      </x:c>
      <x:c r="D225" s="3" t="str">
        <x:v>A different unstated unit, time origin, derivation, population, or data version may be used.</x:v>
      </x:c>
    </x:row>
    <x:row r="226" ht="180" customHeight="1">
      <x:c r="A226" s="6" t="str">
        <x:v>2025::jama.2025.15185::C004</x:v>
      </x:c>
      <x:c r="B226" s="6" t="n">
        <x:v>0</x:v>
      </x:c>
      <x:c r="C226" s="6" t="str">
        <x:v>Source evidence</x:v>
      </x:c>
      <x:c r="D226" s="6" t="str">
        <x:v>Narrative: 1.06 (95% CI, 0.86 to 1.25). Matched full-analysis-set composite row: 1.06 [0.86-1.26].</x:v>
      </x:c>
    </x:row>
    <x:row r="227" ht="180" customHeight="1">
      <x:c r="A227" s="3" t="str">
        <x:v>2025::jama.2025.15185::C004</x:v>
      </x:c>
      <x:c r="B227" s="3" t="n">
        <x:v>1</x:v>
      </x:c>
      <x:c r="C227" s="3" t="str">
        <x:v>Reported-versus-comparator</x:v>
      </x:c>
      <x:c r="D227" s="3" t="str">
        <x:v>Identical point estimate/lower endpoint with upper endpoint 1.25 versus 1.26.</x:v>
      </x:c>
    </x:row>
    <x:row r="228" ht="180" customHeight="1">
      <x:c r="A228" s="6" t="str">
        <x:v>2025::jama.2025.15185::C004</x:v>
      </x:c>
      <x:c r="B228" s="6" t="n">
        <x:v>2</x:v>
      </x:c>
      <x:c r="C228" s="6" t="str">
        <x:v>Calculation</x:v>
      </x:c>
      <x:c r="D228" s="6" t="str">
        <x:v>1.06=1.06, 0.86=0.86, and 1.26-1.25=0.01.</x:v>
      </x:c>
    </x:row>
    <x:row r="229" ht="180" customHeight="1">
      <x:c r="A229" s="3" t="str">
        <x:v>2025::jama.2025.15185::C004</x:v>
      </x:c>
      <x:c r="B229" s="3" t="n">
        <x:v>3</x:v>
      </x:c>
      <x:c r="C229" s="3" t="str">
        <x:v>Alternative source-grounded interpretations</x:v>
      </x:c>
      <x:c r="D229" s="3" t="str">
        <x:v>A rounding-boundary or one-hundredth transcription difference is possible; no unrounded output or separate calculation is supplied.</x:v>
      </x:c>
    </x:row>
    <x:row r="230" ht="180" customHeight="1">
      <x:c r="A230" s="6" t="str">
        <x:v>2025::jama.2025.15185::C005</x:v>
      </x:c>
      <x:c r="B230" s="6" t="n">
        <x:v>0</x:v>
      </x:c>
      <x:c r="C230" s="6" t="str">
        <x:v>Source evidence</x:v>
      </x:c>
      <x:c r="D230" s="6" t="str">
        <x:v>Main: levodopa 66 (14), placebo 65 (14). eTable: levodopa 64.74 (14.33), placebo 65.11 (13.79), effect -0.37.</x:v>
      </x:c>
    </x:row>
    <x:row r="231" ht="180" customHeight="1">
      <x:c r="A231" s="3" t="str">
        <x:v>2025::jama.2025.15185::C005</x:v>
      </x:c>
      <x:c r="B231" s="3" t="n">
        <x:v>1</x:v>
      </x:c>
      <x:c r="C231" s="3" t="str">
        <x:v>Reported-versus-comparator</x:v>
      </x:c>
      <x:c r="D231" s="3" t="str">
        <x:v>Main levodopa 66 (14) versus detailed 64.74 (14.33).</x:v>
      </x:c>
    </x:row>
    <x:row r="232" ht="180" customHeight="1">
      <x:c r="A232" s="6" t="str">
        <x:v>2025::jama.2025.15185::C005</x:v>
      </x:c>
      <x:c r="B232" s="6" t="n">
        <x:v>2</x:v>
      </x:c>
      <x:c r="C232" s="6" t="str">
        <x:v>Calculation</x:v>
      </x:c>
      <x:c r="D232" s="6" t="str">
        <x:v>64.74 rounds to 65, not 66; 64.74-65.11=-0.37, matching the eTable effect.</x:v>
      </x:c>
    </x:row>
    <x:row r="233" ht="180" customHeight="1">
      <x:c r="A233" s="3" t="str">
        <x:v>2025::jama.2025.15185::C005</x:v>
      </x:c>
      <x:c r="B233" s="3" t="n">
        <x:v>3</x:v>
      </x:c>
      <x:c r="C233" s="3" t="str">
        <x:v>Alternative source-grounded interpretations</x:v>
      </x:c>
      <x:c r="D233" s="3" t="str">
        <x:v>An unstated scoring transformation, analysis set, or descriptive-versus-model summary could differ.</x:v>
      </x:c>
    </x:row>
    <x:row r="234" ht="180" customHeight="1">
      <x:c r="A234" s="6" t="str">
        <x:v>2025::jama.2025.15185::C006</x:v>
      </x:c>
      <x:c r="B234" s="6" t="n">
        <x:v>0</x:v>
      </x:c>
      <x:c r="C234" s="6" t="str">
        <x:v>Source evidence</x:v>
      </x:c>
      <x:c r="D234" s="6" t="str">
        <x:v>Main prints 28 (6) in both arms. eTable prints placebo 29.87 (5.74) and levodopa 30.04 (5.73), with adjusted effect 0.18.</x:v>
      </x:c>
    </x:row>
    <x:row r="235" ht="180" customHeight="1">
      <x:c r="A235" s="3" t="str">
        <x:v>2025::jama.2025.15185::C006</x:v>
      </x:c>
      <x:c r="B235" s="3" t="n">
        <x:v>1</x:v>
      </x:c>
      <x:c r="C235" s="3" t="str">
        <x:v>Reported-versus-comparator</x:v>
      </x:c>
      <x:c r="D235" s="3" t="str">
        <x:v>Main 28 (6)/28 (6) versus eTable 29.87 (5.74)/30.04 (5.73).</x:v>
      </x:c>
    </x:row>
    <x:row r="236" ht="180" customHeight="1">
      <x:c r="A236" s="6" t="str">
        <x:v>2025::jama.2025.15185::C006</x:v>
      </x:c>
      <x:c r="B236" s="6" t="n">
        <x:v>2</x:v>
      </x:c>
      <x:c r="C236" s="6" t="str">
        <x:v>Calculation</x:v>
      </x:c>
      <x:c r="D236" s="6" t="str">
        <x:v>29.87 and 30.04 each round to 30, not 28; 30.04-29.87=0.17, while the labelled adjusted effect is 0.18.</x:v>
      </x:c>
    </x:row>
    <x:row r="237" ht="180" customHeight="1">
      <x:c r="A237" s="3" t="str">
        <x:v>2025::jama.2025.15185::C006</x:v>
      </x:c>
      <x:c r="B237" s="3" t="n">
        <x:v>3</x:v>
      </x:c>
      <x:c r="C237" s="3" t="str">
        <x:v>Alternative source-grounded interpretations</x:v>
      </x:c>
      <x:c r="D237" s="3" t="str">
        <x:v>An unstated PROMIS-10 scoring version or analysis population may differ.</x:v>
      </x:c>
    </x:row>
    <x:row r="238" ht="180" customHeight="1">
      <x:c r="A238" s="6" t="str">
        <x:v>2025::jama.2025.15185::C007</x:v>
      </x:c>
      <x:c r="B238" s="6" t="n">
        <x:v>0</x:v>
      </x:c>
      <x:c r="C238" s="6" t="str">
        <x:v>Source evidence</x:v>
      </x:c>
      <x:c r="D238" s="6" t="str">
        <x:v>Main placebo mean (SD) is 56 (26); eTable placebo is 56.27 (25.20). Levodopa 57 (27) aligns with 57.37 (26.70).</x:v>
      </x:c>
    </x:row>
    <x:row r="239" ht="180" customHeight="1">
      <x:c r="A239" s="3" t="str">
        <x:v>2025::jama.2025.15185::C007</x:v>
      </x:c>
      <x:c r="B239" s="3" t="n">
        <x:v>1</x:v>
      </x:c>
      <x:c r="C239" s="3" t="str">
        <x:v>Reported-versus-comparator</x:v>
      </x:c>
      <x:c r="D239" s="3" t="str">
        <x:v>Placebo SD 26 versus detailed 25.20.</x:v>
      </x:c>
    </x:row>
    <x:row r="240" ht="180" customHeight="1">
      <x:c r="A240" s="6" t="str">
        <x:v>2025::jama.2025.15185::C007</x:v>
      </x:c>
      <x:c r="B240" s="6" t="n">
        <x:v>2</x:v>
      </x:c>
      <x:c r="C240" s="6" t="str">
        <x:v>Calculation</x:v>
      </x:c>
      <x:c r="D240" s="6" t="str">
        <x:v>56.27 rounds to 56; 25.20 rounds to 25, not 26; levodopa 57.37 (26.70) rounds to 57 (27).</x:v>
      </x:c>
    </x:row>
    <x:row r="241" ht="180" customHeight="1">
      <x:c r="A241" s="3" t="str">
        <x:v>2025::jama.2025.15185::C007</x:v>
      </x:c>
      <x:c r="B241" s="3" t="n">
        <x:v>3</x:v>
      </x:c>
      <x:c r="C241" s="3" t="str">
        <x:v>Alternative source-grounded interpretations</x:v>
      </x:c>
      <x:c r="D241" s="3" t="str">
        <x:v>An unstated population, imputation summary, or SD convention could differ.</x:v>
      </x:c>
    </x:row>
    <x:row r="242" ht="180" customHeight="1">
      <x:c r="A242" s="6" t="str">
        <x:v>2025::jama.2025.15185::C008</x:v>
      </x:c>
      <x:c r="B242" s="6" t="n">
        <x:v>0</x:v>
      </x:c>
      <x:c r="C242" s="6" t="str">
        <x:v>Source evidence</x:v>
      </x:c>
      <x:c r="D242" s="6" t="str">
        <x:v>Main placebo is 52/270 (19%); eTable placebo is 51 (18.89%) (n=270). Levodopa is 51/276 in both.</x:v>
      </x:c>
    </x:row>
    <x:row r="243" ht="180" customHeight="1">
      <x:c r="A243" s="3" t="str">
        <x:v>2025::jama.2025.15185::C008</x:v>
      </x:c>
      <x:c r="B243" s="3" t="n">
        <x:v>1</x:v>
      </x:c>
      <x:c r="C243" s="3" t="str">
        <x:v>Reported-versus-comparator</x:v>
      </x:c>
      <x:c r="D243" s="3" t="str">
        <x:v>Same placebo denominator 270 with numerator 52 versus 51.</x:v>
      </x:c>
    </x:row>
    <x:row r="244" ht="180" customHeight="1">
      <x:c r="A244" s="6" t="str">
        <x:v>2025::jama.2025.15185::C008</x:v>
      </x:c>
      <x:c r="B244" s="6" t="n">
        <x:v>2</x:v>
      </x:c>
      <x:c r="C244" s="6" t="str">
        <x:v>Calculation</x:v>
      </x:c>
      <x:c r="D244" s="6" t="str">
        <x:v>51/270=18.888...%, matching 18.89%; 52/270=19.259...%, compatible with 19%. The printed numerator differs by one.</x:v>
      </x:c>
    </x:row>
    <x:row r="245" ht="180" customHeight="1">
      <x:c r="A245" s="3" t="str">
        <x:v>2025::jama.2025.15185::C008</x:v>
      </x:c>
      <x:c r="B245" s="3" t="n">
        <x:v>3</x:v>
      </x:c>
      <x:c r="C245" s="3" t="str">
        <x:v>Alternative source-grounded interpretations</x:v>
      </x:c>
      <x:c r="D245" s="3" t="str">
        <x:v>Different handling of no improvement and no relevant improvement could affect one record, but no distinct rule is supplied.</x:v>
      </x:c>
    </x:row>
    <x:row r="246" ht="180" customHeight="1">
      <x:c r="A246" s="6" t="str">
        <x:v>2025::jama.2025.15185::C009</x:v>
      </x:c>
      <x:c r="B246" s="6" t="n">
        <x:v>0</x:v>
      </x:c>
      <x:c r="C246" s="6" t="str">
        <x:v>Source evidence</x:v>
      </x:c>
      <x:c r="D246" s="6" t="str">
        <x:v>Main reports 146 events: 79 levodopa and 67 placebo. eTable header gives overall n=145, placebo 67, levodopa 79; its intensity, outcome, and relation rows also provide complete classifications.</x:v>
      </x:c>
    </x:row>
    <x:row r="247" ht="180" customHeight="1">
      <x:c r="A247" s="3" t="str">
        <x:v>2025::jama.2025.15185::C009</x:v>
      </x:c>
      <x:c r="B247" s="3" t="n">
        <x:v>1</x:v>
      </x:c>
      <x:c r="C247" s="3" t="str">
        <x:v>Reported-versus-comparator</x:v>
      </x:c>
      <x:c r="D247" s="3" t="str">
        <x:v>Header 145 versus arms and category sums 146.</x:v>
      </x:c>
    </x:row>
    <x:row r="248" ht="180" customHeight="1">
      <x:c r="A248" s="6" t="str">
        <x:v>2025::jama.2025.15185::C009</x:v>
      </x:c>
      <x:c r="B248" s="6" t="n">
        <x:v>2</x:v>
      </x:c>
      <x:c r="C248" s="6" t="str">
        <x:v>Calculation</x:v>
      </x:c>
      <x:c r="D248" s="6" t="str">
        <x:v>67+79=146; intensity 58+86+2=146; outcome 1+29+116=146; relation 2+66+23+2+39+14=146.</x:v>
      </x:c>
    </x:row>
    <x:row r="249" ht="180" customHeight="1">
      <x:c r="A249" s="3" t="str">
        <x:v>2025::jama.2025.15185::C009</x:v>
      </x:c>
      <x:c r="B249" s="3" t="n">
        <x:v>3</x:v>
      </x:c>
      <x:c r="C249" s="3" t="str">
        <x:v>Alternative source-grounded interpretations</x:v>
      </x:c>
      <x:c r="D249" s="3" t="str">
        <x:v>One event might be subject to an unstated exclusion or duplicate-event rule, but no footnote supports a different overall set.</x:v>
      </x:c>
    </x:row>
    <x:row r="250" ht="180" customHeight="1">
      <x:c r="A250" s="6" t="str">
        <x:v>2025::jama.2025.15185::C010</x:v>
      </x:c>
      <x:c r="B250" s="6" t="n">
        <x:v>0</x:v>
      </x:c>
      <x:c r="C250" s="6" t="str">
        <x:v>Source evidence</x:v>
      </x:c>
      <x:c r="D250" s="6" t="str">
        <x:v>eFigure 4 title/legend use FMA; its axis reads Adjusted Mean Difference (FMMA points). The SAP defines Fugl-Meyer Motor Assessment as FMMA.</x:v>
      </x:c>
    </x:row>
    <x:row r="251" ht="180" customHeight="1">
      <x:c r="A251" s="3" t="str">
        <x:v>2025::jama.2025.15185::C010</x:v>
      </x:c>
      <x:c r="B251" s="3" t="n">
        <x:v>1</x:v>
      </x:c>
      <x:c r="C251" s="3" t="str">
        <x:v>Reported-versus-comparator</x:v>
      </x:c>
      <x:c r="D251" s="3" t="str">
        <x:v>Within the same figure, FMA versus FMMA for the stated assessment.</x:v>
      </x:c>
    </x:row>
    <x:row r="252" ht="180" customHeight="1">
      <x:c r="A252" s="6" t="str">
        <x:v>2025::jama.2025.15185::C010</x:v>
      </x:c>
      <x:c r="B252" s="6" t="n">
        <x:v>2</x:v>
      </x:c>
      <x:c r="C252" s="6" t="str">
        <x:v>Calculation</x:v>
      </x:c>
      <x:c r="D252" s="6" t="str">
        <x:v>No numeric calculation applies; the reproduced comparison is the local unqualified abbreviation switch.</x:v>
      </x:c>
    </x:row>
    <x:row r="253" ht="180" customHeight="1">
      <x:c r="A253" s="3" t="str">
        <x:v>2025::jama.2025.15185::C010</x:v>
      </x:c>
      <x:c r="B253" s="3" t="n">
        <x:v>3</x:v>
      </x:c>
      <x:c r="C253" s="3" t="str">
        <x:v>Alternative source-grounded interpretations</x:v>
      </x:c>
      <x:c r="D253" s="3" t="str">
        <x:v>The SAP's explicit FMMA definition supports that FMMA may be an intentional synonym for the FMA used in the article; it is not evidence of a numeric error.</x:v>
      </x:c>
    </x:row>
    <x:row r="254" ht="180" customHeight="1">
      <x:c r="A254" s="6" t="str">
        <x:v>2025::jama.2025.15185::C011</x:v>
      </x:c>
      <x:c r="B254" s="6" t="n">
        <x:v>0</x:v>
      </x:c>
      <x:c r="C254" s="6" t="str">
        <x:v>Source evidence</x:v>
      </x:c>
      <x:c r="D254" s="6" t="str">
        <x:v>The heading reads Estimated Effect of Levodopa: Mean Difference on FMA, [CI]. Estimand 4 identifies a death-and-3-month-FMA composite summary as win ratio [95% CI] and prints 1.06 [0.86-1.26].</x:v>
      </x:c>
    </x:row>
    <x:row r="255" ht="180" customHeight="1">
      <x:c r="A255" s="3" t="str">
        <x:v>2025::jama.2025.15185::C011</x:v>
      </x:c>
      <x:c r="B255" s="3" t="n">
        <x:v>1</x:v>
      </x:c>
      <x:c r="C255" s="3" t="str">
        <x:v>Reported-versus-comparator</x:v>
      </x:c>
      <x:c r="D255" s="3" t="str">
        <x:v>A dimensionless win ratio row versus an FMA-point mean-difference heading.</x:v>
      </x:c>
    </x:row>
    <x:row r="256" ht="180" customHeight="1">
      <x:c r="A256" s="6" t="str">
        <x:v>2025::jama.2025.15185::C011</x:v>
      </x:c>
      <x:c r="B256" s="6" t="n">
        <x:v>2</x:v>
      </x:c>
      <x:c r="C256" s="6" t="str">
        <x:v>Calculation</x:v>
      </x:c>
      <x:c r="D256" s="6" t="str">
        <x:v>No arithmetic is required: a win ratio and an FMA-point mean difference are different measures/scales under the supplied labels.</x:v>
      </x:c>
    </x:row>
    <x:row r="257" ht="180" customHeight="1">
      <x:c r="A257" s="3" t="str">
        <x:v>2025::jama.2025.15185::C011</x:v>
      </x:c>
      <x:c r="B257" s="3" t="n">
        <x:v>3</x:v>
      </x:c>
      <x:c r="C257" s="3" t="str">
        <x:v>Alternative source-grounded interpretations</x:v>
      </x:c>
      <x:c r="D257" s="3" t="str">
        <x:v>The heading may be intended for all rows except Estimand 4, but no exception or qualifying footnote is shown.</x:v>
      </x:c>
    </x:row>
    <x:row r="258" ht="180" customHeight="1">
      <x:c r="A258" s="6" t="str">
        <x:v>2025::jama.2025.15185::C012</x:v>
      </x:c>
      <x:c r="B258" s="6" t="n">
        <x:v>0</x:v>
      </x:c>
      <x:c r="C258" s="6" t="str">
        <x:v>Source evidence</x:v>
      </x:c>
      <x:c r="D258" s="6" t="str">
        <x:v>Narrative calls 1.06 (95% CI, 0.86 to 1.25) an odds ratio; the matched full-analysis-set composite row calls 1.06 [0.86-1.26] a win ratio [95% CI].</x:v>
      </x:c>
    </x:row>
    <x:row r="259" ht="180" customHeight="1">
      <x:c r="A259" s="3" t="str">
        <x:v>2025::jama.2025.15185::C012</x:v>
      </x:c>
      <x:c r="B259" s="3" t="n">
        <x:v>1</x:v>
      </x:c>
      <x:c r="C259" s="3" t="str">
        <x:v>Reported-versus-comparator</x:v>
      </x:c>
      <x:c r="D259" s="3" t="str">
        <x:v>Odds ratio in prose versus win ratio in the matched table row.</x:v>
      </x:c>
    </x:row>
    <x:row r="260" ht="180" customHeight="1">
      <x:c r="A260" s="6" t="str">
        <x:v>2025::jama.2025.15185::C012</x:v>
      </x:c>
      <x:c r="B260" s="6" t="n">
        <x:v>2</x:v>
      </x:c>
      <x:c r="C260" s="6" t="str">
        <x:v>Calculation</x:v>
      </x:c>
      <x:c r="D260" s="6" t="str">
        <x:v>No arithmetic is required: odds ratio and win ratio are not interchangeable labels under the supplied definitions.</x:v>
      </x:c>
    </x:row>
    <x:row r="261" ht="180" customHeight="1">
      <x:c r="A261" s="3" t="str">
        <x:v>2025::jama.2025.15185::C012</x:v>
      </x:c>
      <x:c r="B261" s="3" t="n">
        <x:v>3</x:v>
      </x:c>
      <x:c r="C261" s="3" t="str">
        <x:v>Alternative source-grounded interpretations</x:v>
      </x:c>
      <x:c r="D261" s="3" t="str">
        <x:v>A modelling relationship may exist, but the supplied package does not define the terms as synonyms.</x:v>
      </x:c>
    </x:row>
    <x:row r="262" ht="180" customHeight="1">
      <x:c r="A262" s="6" t="str">
        <x:v>2025::jama.2025.15440::C001</x:v>
      </x:c>
      <x:c r="B262" s="6" t="n">
        <x:v>0</x:v>
      </x:c>
      <x:c r="C262" s="6" t="str">
        <x:v>Source evidence</x:v>
      </x:c>
      <x:c r="D262" s="6" t="str">
        <x:v>Page 1 prints patch 69 (2.7%) versus usual care 64 (2.5%), rate ratio 1.08 (95% CI 0.76-1.53). Pages 5 and 7 print the same 69 versus 64 and rate ratio 1.08 but 95% CI 0.77-1.51 for the 2.5-year any-stroke comparison.</x:v>
      </x:c>
    </x:row>
    <x:row r="263" ht="180" customHeight="1">
      <x:c r="A263" s="3" t="str">
        <x:v>2025::jama.2025.15440::C001</x:v>
      </x:c>
      <x:c r="B263" s="3" t="n">
        <x:v>1</x:v>
      </x:c>
      <x:c r="C263" s="3" t="str">
        <x:v>Reported-versus-comparator</x:v>
      </x:c>
      <x:c r="D263" s="3" t="str">
        <x:v>Abstract CI 0.76-1.53 versus detailed-results/Figure 4B CI 0.77-1.51 for the same displayed counts, follow-up context, and point estimate.</x:v>
      </x:c>
    </x:row>
    <x:row r="264" ht="180" customHeight="1">
      <x:c r="A264" s="6" t="str">
        <x:v>2025::jama.2025.15440::C001</x:v>
      </x:c>
      <x:c r="B264" s="6" t="n">
        <x:v>2</x:v>
      </x:c>
      <x:c r="C264" s="6" t="str">
        <x:v>Calculation</x:v>
      </x:c>
      <x:c r="D264" s="6" t="str">
        <x:v>Lower endpoints differ by 0.77 - 0.76 = 0.01; upper endpoints differ by 1.53 - 1.51 = 0.02. This direct printed-value comparison does not select either interval as correct.</x:v>
      </x:c>
    </x:row>
    <x:row r="265" ht="180" customHeight="1">
      <x:c r="A265" s="3" t="str">
        <x:v>2025::jama.2025.15440::C001</x:v>
      </x:c>
      <x:c r="B265" s="3" t="n">
        <x:v>3</x:v>
      </x:c>
      <x:c r="C265" s="3" t="str">
        <x:v>Alternative source-grounded interpretations</x:v>
      </x:c>
      <x:c r="D265" s="3" t="str">
        <x:v>One location may contain a transcription or production-rounding difference; separate interval calculations may have been used but not labeled; or one display may not have received the same update. Event times, O-E, V, unrounded endpoints, and the exact CI procedure are not supplied.</x:v>
      </x:c>
    </x:row>
    <x:row r="266" ht="180" customHeight="1">
      <x:c r="A266" s="6" t="str">
        <x:v>2025::jama.2025.15440::C002</x:v>
      </x:c>
      <x:c r="B266" s="6" t="n">
        <x:v>0</x:v>
      </x:c>
      <x:c r="C266" s="6" t="str">
        <x:v>Source evidence</x:v>
      </x:c>
      <x:c r="D266" s="6" t="str">
        <x:v>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x:v>
      </x:c>
    </x:row>
    <x:row r="267" ht="180" customHeight="1">
      <x:c r="A267" s="3" t="str">
        <x:v>2025::jama.2025.15440::C002</x:v>
      </x:c>
      <x:c r="B267" s="3" t="n">
        <x:v>1</x:v>
      </x:c>
      <x:c r="C267" s="3" t="str">
        <x:v>Reported-versus-comparator</x:v>
      </x:c>
      <x:c r="D267" s="3" t="str">
        <x:v>If subtype rows are mutually exclusive participant-level components counted under the same rule, patch subtypes total 72 versus Any stroke 69, while usual-care subtypes total 64 versus Any stroke 64.</x:v>
      </x:c>
    </x:row>
    <x:row r="268" ht="180" customHeight="1">
      <x:c r="A268" s="6" t="str">
        <x:v>2025::jama.2025.15440::C002</x:v>
      </x:c>
      <x:c r="B268" s="6" t="n">
        <x:v>2</x:v>
      </x:c>
      <x:c r="C268" s="6" t="str">
        <x:v>Calculation</x:v>
      </x:c>
      <x:c r="D268" s="6" t="str">
        <x:v>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x:v>
      </x:c>
    </x:row>
    <x:row r="269" ht="180" customHeight="1">
      <x:c r="A269" s="3" t="str">
        <x:v>2025::jama.2025.15440::C002</x:v>
      </x:c>
      <x:c r="B269" s="3" t="n">
        <x:v>3</x:v>
      </x:c>
      <x:c r="C269" s="3" t="str">
        <x:v>Alternative source-grounded interpretations</x:v>
      </x:c>
      <x:c r="D269" s="3" t="str">
        <x:v>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x:v>
      </x:c>
    </x:row>
    <x:row r="270" ht="180" customHeight="1">
      <x:c r="A270" s="6" t="str">
        <x:v>2025::jama.2025.16450::C001</x:v>
      </x:c>
      <x:c r="B270" s="6" t="n">
        <x:v>0</x:v>
      </x:c>
      <x:c r="C270" s="6" t="str">
        <x:v>Source evidence</x:v>
      </x:c>
      <x:c r="D270" s="6" t="str">
        <x:v>Page 7 prints Relative Risk (RR) or Mean Difference (MD) and PDA RR: 0.86 (0.75, 0.99); page 8 prints RR = risk difference while stating binary outcomes report relative risks.</x:v>
      </x:c>
    </x:row>
    <x:row r="271" ht="180" customHeight="1">
      <x:c r="A271" s="3" t="str">
        <x:v>2025::jama.2025.16450::C001</x:v>
      </x:c>
      <x:c r="B271" s="3" t="n">
        <x:v>1</x:v>
      </x:c>
      <x:c r="C271" s="3" t="str">
        <x:v>Reported-versus-comparator</x:v>
      </x:c>
      <x:c r="D271" s="3" t="str">
        <x:v>The abbreviation says risk difference; the table header, model description, and estimates say or use relative risk.</x:v>
      </x:c>
    </x:row>
    <x:row r="272" ht="180" customHeight="1">
      <x:c r="A272" s="6" t="str">
        <x:v>2025::jama.2025.16450::C001</x:v>
      </x:c>
      <x:c r="B272" s="6" t="n">
        <x:v>2</x:v>
      </x:c>
      <x:c r="C272" s="6" t="str">
        <x:v>Calculation</x:v>
      </x:c>
      <x:c r="D272" s="6" t="str">
        <x:v>From displayed PDA counts, (159/319)/(175/308) = 0.8772; 100 x (159/319 - 175/308) = -6.97 percentage points. The adjusted .86 is ratio-scale.</x:v>
      </x:c>
    </x:row>
    <x:row r="273" ht="180" customHeight="1">
      <x:c r="A273" s="3" t="str">
        <x:v>2025::jama.2025.16450::C001</x:v>
      </x:c>
      <x:c r="B273" s="3" t="n">
        <x:v>3</x:v>
      </x:c>
      <x:c r="C273" s="3" t="str">
        <x:v>Alternative source-grounded interpretations</x:v>
      </x:c>
      <x:c r="D273" s="3" t="str">
        <x:v>The p. 8 line may be an isolated copyediting or transcription error; the package does not establish cause.</x:v>
      </x:c>
    </x:row>
    <x:row r="274" ht="180" customHeight="1">
      <x:c r="A274" s="6" t="str">
        <x:v>2025::jama.2025.16450::C002</x:v>
      </x:c>
      <x:c r="B274" s="6" t="n">
        <x:v>0</x:v>
      </x:c>
      <x:c r="C274" s="6" t="str">
        <x:v>Source evidence</x:v>
      </x:c>
      <x:c r="D274" s="6" t="str">
        <x:v>The protocol directly prints 22 0/7 - 28 6/7 weeks gestation; the compared direct sources also print an upper bound of 28 weeks 6 days.</x:v>
      </x:c>
    </x:row>
    <x:row r="275" ht="180" customHeight="1">
      <x:c r="A275" s="3" t="str">
        <x:v>2025::jama.2025.16450::C002</x:v>
      </x:c>
      <x:c r="B275" s="3" t="n">
        <x:v>1</x:v>
      </x:c>
      <x:c r="C275" s="3" t="str">
        <x:v>Reported-versus-comparator</x:v>
      </x:c>
      <x:c r="D275" s="3" t="str">
        <x:v>Earlier ledger transcription 27 6/7 versus direct-page 28 6/7 in DOC-002 and every comparator.</x:v>
      </x:c>
    </x:row>
    <x:row r="276" ht="180" customHeight="1">
      <x:c r="A276" s="6" t="str">
        <x:v>2025::jama.2025.16450::C002</x:v>
      </x:c>
      <x:c r="B276" s="6" t="n">
        <x:v>2</x:v>
      </x:c>
      <x:c r="C276" s="6" t="str">
        <x:v>Calculation</x:v>
      </x:c>
      <x:c r="D276" s="6" t="str">
        <x:v>Pairwise upper-bound difference is 0 days, not 7 days.</x:v>
      </x:c>
    </x:row>
    <x:row r="277" ht="180" customHeight="1">
      <x:c r="A277" s="3" t="str">
        <x:v>2025::jama.2025.16450::C002</x:v>
      </x:c>
      <x:c r="B277" s="3" t="n">
        <x:v>3</x:v>
      </x:c>
      <x:c r="C277" s="3" t="str">
        <x:v>Alternative source-grounded interpretations</x:v>
      </x:c>
      <x:c r="D277" s="3" t="str">
        <x:v>The earlier extraction may have misread a custom-encoded 8 as 7; the mechanism is inferred, not established.</x:v>
      </x:c>
    </x:row>
    <x:row r="278" ht="180" customHeight="1">
      <x:c r="A278" s="6" t="str">
        <x:v>2025::jama.2025.16450::C003</x:v>
      </x:c>
      <x:c r="B278" s="6" t="n">
        <x:v>0</x:v>
      </x:c>
      <x:c r="C278" s="6" t="str">
        <x:v>Source evidence</x:v>
      </x:c>
      <x:c r="D278" s="6" t="str">
        <x:v>All cited pages identify 2.5 mL/kg as dose 1; the manual and results supplement identify 1.25 mL/kg as dose 2.</x:v>
      </x:c>
    </x:row>
    <x:row r="279" ht="180" customHeight="1">
      <x:c r="A279" s="3" t="str">
        <x:v>2025::jama.2025.16450::C003</x:v>
      </x:c>
      <x:c r="B279" s="3" t="n">
        <x:v>1</x:v>
      </x:c>
      <x:c r="C279" s="3" t="str">
        <x:v>Reported-versus-comparator</x:v>
      </x:c>
      <x:c r="D279" s="3" t="str">
        <x:v>Earlier first-dose transcription 1.25 mL/kg versus direct-source first-dose 2.5 mL/kg.</x:v>
      </x:c>
    </x:row>
    <x:row r="280" ht="180" customHeight="1">
      <x:c r="A280" s="6" t="str">
        <x:v>2025::jama.2025.16450::C003</x:v>
      </x:c>
      <x:c r="B280" s="6" t="n">
        <x:v>2</x:v>
      </x:c>
      <x:c r="C280" s="6" t="str">
        <x:v>Calculation</x:v>
      </x:c>
      <x:c r="D280" s="6" t="str">
        <x:v>2.5 / 2.5 = 1; difference 0 mL/kg for the compared first-dose values.</x:v>
      </x:c>
    </x:row>
    <x:row r="281" ht="180" customHeight="1">
      <x:c r="A281" s="3" t="str">
        <x:v>2025::jama.2025.16450::C003</x:v>
      </x:c>
      <x:c r="B281" s="3" t="n">
        <x:v>3</x:v>
      </x:c>
      <x:c r="C281" s="3" t="str">
        <x:v>Alternative source-grounded interpretations</x:v>
      </x:c>
      <x:c r="D281" s="3" t="str">
        <x:v>Earlier extraction may have transferred the second-dose value or misread the first-dose volume; cause is not documented.</x:v>
      </x:c>
    </x:row>
    <x:row r="282" ht="180" customHeight="1">
      <x:c r="A282" s="6" t="str">
        <x:v>2025::jama.2025.16450::C004</x:v>
      </x:c>
      <x:c r="B282" s="6" t="n">
        <x:v>0</x:v>
      </x:c>
      <x:c r="C282" s="6" t="str">
        <x:v>Source evidence</x:v>
      </x:c>
      <x:c r="D282" s="6" t="str">
        <x:v>The manual prints 3-5; the SAP prints 4-5/level 4-5 for the severe-NDI component.</x:v>
      </x:c>
    </x:row>
    <x:row r="283" ht="180" customHeight="1">
      <x:c r="A283" s="3" t="str">
        <x:v>2025::jama.2025.16450::C004</x:v>
      </x:c>
      <x:c r="B283" s="3" t="n">
        <x:v>1</x:v>
      </x:c>
      <x:c r="C283" s="3" t="str">
        <x:v>Reported-versus-comparator</x:v>
      </x:c>
      <x:c r="D283" s="3" t="str">
        <x:v>Manual threshold {3,4,5} versus SAP threshold {4,5}.</x:v>
      </x:c>
    </x:row>
    <x:row r="284" ht="180" customHeight="1">
      <x:c r="A284" s="6" t="str">
        <x:v>2025::jama.2025.16450::C004</x:v>
      </x:c>
      <x:c r="B284" s="6" t="n">
        <x:v>2</x:v>
      </x:c>
      <x:c r="C284" s="6" t="str">
        <x:v>Calculation</x:v>
      </x:c>
      <x:c r="D284" s="6" t="str">
        <x:v>Exact set difference is {3}; the cutoff shifts by one GMFCS level.</x:v>
      </x:c>
    </x:row>
    <x:row r="285" ht="180" customHeight="1">
      <x:c r="A285" s="3" t="str">
        <x:v>2025::jama.2025.16450::C004</x:v>
      </x:c>
      <x:c r="B285" s="3" t="n">
        <x:v>3</x:v>
      </x:c>
      <x:c r="C285" s="3" t="str">
        <x:v>Alternative source-grounded interpretations</x:v>
      </x:c>
      <x:c r="D285" s="3" t="str">
        <x:v>A versioned definition change is possible, but no governing amendment or implemented follow-up algorithm is supplied.</x:v>
      </x:c>
    </x:row>
    <x:row r="286" ht="180" customHeight="1">
      <x:c r="A286" s="6" t="str">
        <x:v>2025::jama.2025.16450::C005</x:v>
      </x:c>
      <x:c r="B286" s="6" t="n">
        <x:v>0</x:v>
      </x:c>
      <x:c r="C286" s="6" t="str">
        <x:v>Source evidence</x:v>
      </x:c>
      <x:c r="D286" s="6" t="str">
        <x:v>The cited passages print BSID-IV or 4th edition (BSID-IV) with cognitive score &lt;70; none prints Bayley-III.</x:v>
      </x:c>
    </x:row>
    <x:row r="287" ht="180" customHeight="1">
      <x:c r="A287" s="3" t="str">
        <x:v>2025::jama.2025.16450::C005</x:v>
      </x:c>
      <x:c r="B287" s="3" t="n">
        <x:v>1</x:v>
      </x:c>
      <x:c r="C287" s="3" t="str">
        <x:v>Reported-versus-comparator</x:v>
      </x:c>
      <x:c r="D287" s="3" t="str">
        <x:v>Earlier ledger Bayley-III transcription versus direct-source fourth-edition/BSID-IV wording.</x:v>
      </x:c>
    </x:row>
    <x:row r="288" ht="180" customHeight="1">
      <x:c r="A288" s="6" t="str">
        <x:v>2025::jama.2025.16450::C005</x:v>
      </x:c>
      <x:c r="B288" s="6" t="n">
        <x:v>2</x:v>
      </x:c>
      <x:c r="C288" s="6" t="str">
        <x:v>Calculation</x:v>
      </x:c>
      <x:c r="D288" s="6" t="str">
        <x:v>4th edition and BSID-IV are the same edition; all cited passages retain &lt;70.</x:v>
      </x:c>
    </x:row>
    <x:row r="289" ht="180" customHeight="1">
      <x:c r="A289" s="3" t="str">
        <x:v>2025::jama.2025.16450::C005</x:v>
      </x:c>
      <x:c r="B289" s="3" t="n">
        <x:v>3</x:v>
      </x:c>
      <x:c r="C289" s="3" t="str">
        <x:v>Alternative source-grounded interpretations</x:v>
      </x:c>
      <x:c r="D289" s="3" t="str">
        <x:v>The prior extraction may have read IV as III or carried text from another template; cause is not established.</x:v>
      </x:c>
    </x:row>
    <x:row r="290" ht="180" customHeight="1">
      <x:c r="A290" s="6" t="str">
        <x:v>2025::jama.2025.16450::C006</x:v>
      </x:c>
      <x:c r="B290" s="6" t="n">
        <x:v>0</x:v>
      </x:c>
      <x:c r="C290" s="6" t="str">
        <x:v>Source evidence</x:v>
      </x:c>
      <x:c r="D290" s="6" t="str">
        <x:v>Both schedules print first-look alpha 0.000015, followed by .0030, .0183, and .0440.</x:v>
      </x:c>
    </x:row>
    <x:row r="291" ht="180" customHeight="1">
      <x:c r="A291" s="3" t="str">
        <x:v>2025::jama.2025.16450::C006</x:v>
      </x:c>
      <x:c r="B291" s="3" t="n">
        <x:v>1</x:v>
      </x:c>
      <x:c r="C291" s="3" t="str">
        <x:v>Reported-versus-comparator</x:v>
      </x:c>
      <x:c r="D291" s="3" t="str">
        <x:v>Earlier protocol transcription 0.00015 versus direct protocol and SAP 0.000015.</x:v>
      </x:c>
    </x:row>
    <x:row r="292" ht="180" customHeight="1">
      <x:c r="A292" s="6" t="str">
        <x:v>2025::jama.2025.16450::C006</x:v>
      </x:c>
      <x:c r="B292" s="6" t="n">
        <x:v>2</x:v>
      </x:c>
      <x:c r="C292" s="6" t="str">
        <x:v>Calculation</x:v>
      </x:c>
      <x:c r="D292" s="6" t="str">
        <x:v>0.000015 / 0.000015 = 1; difference 0.</x:v>
      </x:c>
    </x:row>
    <x:row r="293" ht="180" customHeight="1">
      <x:c r="A293" s="3" t="str">
        <x:v>2025::jama.2025.16450::C006</x:v>
      </x:c>
      <x:c r="B293" s="3" t="n">
        <x:v>3</x:v>
      </x:c>
      <x:c r="C293" s="3" t="str">
        <x:v>Alternative source-grounded interpretations</x:v>
      </x:c>
      <x:c r="D293" s="3" t="str">
        <x:v>The earlier extraction may have dropped one zero in custom-encoded text; cause is inferred only.</x:v>
      </x:c>
    </x:row>
    <x:row r="294" ht="180" customHeight="1">
      <x:c r="A294" s="6" t="str">
        <x:v>2025::jama.2025.16450::C007</x:v>
      </x:c>
      <x:c r="B294" s="6" t="n">
        <x:v>0</x:v>
      </x:c>
      <x:c r="C294" s="6" t="str">
        <x:v>Source evidence</x:v>
      </x:c>
      <x:c r="D294" s="6" t="str">
        <x:v>Article text and Table 2 footnote state .049; the prospective schedules state .0440 for the planned final look.</x:v>
      </x:c>
    </x:row>
    <x:row r="295" ht="180" customHeight="1">
      <x:c r="A295" s="3" t="str">
        <x:v>2025::jama.2025.16450::C007</x:v>
      </x:c>
      <x:c r="B295" s="3" t="n">
        <x:v>1</x:v>
      </x:c>
      <x:c r="C295" s="3" t="str">
        <x:v>Reported-versus-comparator</x:v>
      </x:c>
      <x:c r="D295" s="3" t="str">
        <x:v>Executed article alpha .049 versus prospective planned final alpha .0440.</x:v>
      </x:c>
    </x:row>
    <x:row r="296" ht="180" customHeight="1">
      <x:c r="A296" s="6" t="str">
        <x:v>2025::jama.2025.16450::C007</x:v>
      </x:c>
      <x:c r="B296" s="6" t="n">
        <x:v>2</x:v>
      </x:c>
      <x:c r="C296" s="6" t="str">
        <x:v>Calculation</x:v>
      </x:c>
      <x:c r="D296" s="6" t="str">
        <x:v>.049 - .0440 = .0050; .049/.0440 = 1.1136.</x:v>
      </x:c>
    </x:row>
    <x:row r="297" ht="180" customHeight="1">
      <x:c r="A297" s="3" t="str">
        <x:v>2025::jama.2025.16450::C007</x:v>
      </x:c>
      <x:c r="B297" s="3" t="n">
        <x:v>3</x:v>
      </x:c>
      <x:c r="C297" s="3" t="str">
        <x:v>Alternative source-grounded interpretations</x:v>
      </x:c>
      <x:c r="D297" s="3" t="str">
        <x:v>A realized Lan-DeMets boundary, recovery of unspent alpha, different information timing, unperformed looks, or amendment could explain the values. Relevant execution output is absent.</x:v>
      </x:c>
    </x:row>
    <x:row r="298" ht="180" customHeight="1">
      <x:c r="A298" s="6" t="str">
        <x:v>2025::jama.2025.16450::C008</x:v>
      </x:c>
      <x:c r="B298" s="6" t="n">
        <x:v>0</x:v>
      </x:c>
      <x:c r="C298" s="6" t="str">
        <x:v>Source evidence</x:v>
      </x:c>
      <x:c r="D298" s="6" t="str">
        <x:v>DOC-001 reports 17 US centers; the prospective documents refer to 15 NRN centers/planned participation.</x:v>
      </x:c>
    </x:row>
    <x:row r="299" ht="180" customHeight="1">
      <x:c r="A299" s="3" t="str">
        <x:v>2025::jama.2025.16450::C008</x:v>
      </x:c>
      <x:c r="B299" s="3" t="n">
        <x:v>1</x:v>
      </x:c>
      <x:c r="C299" s="3" t="str">
        <x:v>Reported-versus-comparator</x:v>
      </x:c>
      <x:c r="D299" s="3" t="str">
        <x:v>Completed-study count 17 versus planned count 15.</x:v>
      </x:c>
    </x:row>
    <x:row r="300" ht="180" customHeight="1">
      <x:c r="A300" s="6" t="str">
        <x:v>2025::jama.2025.16450::C008</x:v>
      </x:c>
      <x:c r="B300" s="6" t="n">
        <x:v>2</x:v>
      </x:c>
      <x:c r="C300" s="6" t="str">
        <x:v>Calculation</x:v>
      </x:c>
      <x:c r="D300" s="6" t="str">
        <x:v>17 - 15 = 2 centers.</x:v>
      </x:c>
    </x:row>
    <x:row r="301" ht="180" customHeight="1">
      <x:c r="A301" s="3" t="str">
        <x:v>2025::jama.2025.16450::C008</x:v>
      </x:c>
      <x:c r="B301" s="3" t="n">
        <x:v>3</x:v>
      </x:c>
      <x:c r="C301" s="3" t="str">
        <x:v>Alternative source-grounded interpretations</x:v>
      </x:c>
      <x:c r="D301" s="3" t="str">
        <x:v>Later site activation or a different center/hospital/pooling definition is plausible; activation/enrollment records are absent.</x:v>
      </x:c>
    </x:row>
    <x:row r="302" ht="180" customHeight="1">
      <x:c r="A302" s="6" t="str">
        <x:v>2025::jama.2025.16450::C009</x:v>
      </x:c>
      <x:c r="B302" s="6" t="n">
        <x:v>0</x:v>
      </x:c>
      <x:c r="C302" s="6" t="str">
        <x:v>Source evidence</x:v>
      </x:c>
      <x:c r="D302" s="6" t="str">
        <x:v>The row prints RR: 0.69 (0.33 to 1.46) for 13/312 versus 18/299; footnote g names Mantel-Haenszel methods approximated by the common OR.</x:v>
      </x:c>
    </x:row>
    <x:row r="303" ht="180" customHeight="1">
      <x:c r="A303" s="3" t="str">
        <x:v>2025::jama.2025.16450::C009</x:v>
      </x:c>
      <x:c r="B303" s="3" t="n">
        <x:v>1</x:v>
      </x:c>
      <x:c r="C303" s="3" t="str">
        <x:v>Reported-versus-comparator</x:v>
      </x:c>
      <x:c r="D303" s="3" t="str">
        <x:v>RR row label versus common-OR approximation wording.</x:v>
      </x:c>
    </x:row>
    <x:row r="304" ht="180" customHeight="1">
      <x:c r="A304" s="6" t="str">
        <x:v>2025::jama.2025.16450::C009</x:v>
      </x:c>
      <x:c r="B304" s="6" t="n">
        <x:v>2</x:v>
      </x:c>
      <x:c r="C304" s="6" t="str">
        <x:v>Calculation</x:v>
      </x:c>
      <x:c r="D304" s="6" t="str">
        <x:v>Crude RR (13/312)/(18/299) = 0.6921; crude OR [13 x 281]/[299 x 18] = 0.6787.</x:v>
      </x:c>
    </x:row>
    <x:row r="305" ht="180" customHeight="1">
      <x:c r="A305" s="3" t="str">
        <x:v>2025::jama.2025.16450::C009</x:v>
      </x:c>
      <x:c r="B305" s="3" t="n">
        <x:v>3</x:v>
      </x:c>
      <x:c r="C305" s="3" t="str">
        <x:v>Alternative source-grounded interpretations</x:v>
      </x:c>
      <x:c r="D305" s="3" t="str">
        <x:v>The target estimand may be RR while a common OR was used as a sparse-event approximation. Stratum counts, weights, and model output are unavailable.</x:v>
      </x:c>
    </x:row>
    <x:row r="306" ht="180" customHeight="1">
      <x:c r="A306" s="6" t="str">
        <x:v>2025::jama.2025.16450::C010</x:v>
      </x:c>
      <x:c r="B306" s="6" t="n">
        <x:v>0</x:v>
      </x:c>
      <x:c r="C306" s="6" t="str">
        <x:v>Source evidence</x:v>
      </x:c>
      <x:c r="D306" s="6" t="str">
        <x:v>The header says Relative Risk (95% CI) or P-value; footnote b says marked low-prevalence rows use crude unadjusted odds ratios with exact 95% CIs as an approximation. Marked examples include .73, .65, and 2.64.</x:v>
      </x:c>
    </x:row>
    <x:row r="307" ht="180" customHeight="1">
      <x:c r="A307" s="3" t="str">
        <x:v>2025::jama.2025.16450::C010</x:v>
      </x:c>
      <x:c r="B307" s="3" t="n">
        <x:v>1</x:v>
      </x:c>
      <x:c r="C307" s="3" t="str">
        <x:v>Reported-versus-comparator</x:v>
      </x:c>
      <x:c r="D307" s="3" t="str">
        <x:v>Table-level RR header versus odds-ratio approximation footnote for superscript-b rows.</x:v>
      </x:c>
    </x:row>
    <x:row r="308" ht="180" customHeight="1">
      <x:c r="A308" s="6" t="str">
        <x:v>2025::jama.2025.16450::C010</x:v>
      </x:c>
      <x:c r="B308" s="6" t="n">
        <x:v>2</x:v>
      </x:c>
      <x:c r="C308" s="6" t="str">
        <x:v>Calculation</x:v>
      </x:c>
      <x:c r="D308" s="6" t="str">
        <x:v>(3 x 309)/(319 x 4) = 0.7265; (2 x 310)/(320 x 3) = 0.6458; (8 x 310)/(314 x 3) = 2.6327, close to .73, .65, and 2.64.</x:v>
      </x:c>
    </x:row>
    <x:row r="309" ht="180" customHeight="1">
      <x:c r="A309" s="3" t="str">
        <x:v>2025::jama.2025.16450::C010</x:v>
      </x:c>
      <x:c r="B309" s="3" t="n">
        <x:v>3</x:v>
      </x:c>
      <x:c r="C309" s="3" t="str">
        <x:v>Alternative source-grounded interpretations</x:v>
      </x:c>
      <x:c r="D309" s="3" t="str">
        <x:v>The header may name the target measure and the footnote the approximating estimator. Exact CI reproduction needs the specified exact-interval algorithm and row inputs.</x:v>
      </x:c>
    </x:row>
    <x:row r="310" ht="180" customHeight="1">
      <x:c r="A310" s="6" t="str">
        <x:v>2025::jama.2025.19563::C001</x:v>
      </x:c>
      <x:c r="B310" s="6" t="n">
        <x:v>0</x:v>
      </x:c>
      <x:c r="C310" s="6" t="str">
        <x:v>Source evidence</x:v>
      </x:c>
      <x:c r="D310" s="6" t="str">
        <x:v>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x:v>
      </x:c>
    </x:row>
    <x:row r="311" ht="180" customHeight="1">
      <x:c r="A311" s="3" t="str">
        <x:v>2025::jama.2025.19563::C001</x:v>
      </x:c>
      <x:c r="B311" s="3" t="n">
        <x:v>1</x:v>
      </x:c>
      <x:c r="C311" s="3" t="str">
        <x:v>Reported-versus-comparator</x:v>
      </x:c>
      <x:c r="D311" s="3" t="str">
        <x:v>Protocol rule A or B or C versus reported/supplement rule (A or B or C) and D, where D means no diabetes-range A1C at the defined visits.</x:v>
      </x:c>
    </x:row>
    <x:row r="312" ht="180" customHeight="1">
      <x:c r="A312" s="6" t="str">
        <x:v>2025::jama.2025.19563::C001</x:v>
      </x:c>
      <x:c r="B312" s="6" t="n">
        <x:v>2</x:v>
      </x:c>
      <x:c r="C312" s="6" t="str">
        <x:v>Calculation</x:v>
      </x:c>
      <x:c r="D312" s="6" t="str">
        <x:v>A participant meeting A, B, or C while not meeting D is classified differently. The supplied table identifies 15 D-false instances, but does not show their component achievement; no affected count is calculated.</x:v>
      </x:c>
    </x:row>
    <x:row r="313" ht="180" customHeight="1">
      <x:c r="A313" s="3" t="str">
        <x:v>2025::jama.2025.19563::C001</x:v>
      </x:c>
      <x:c r="B313" s="3" t="n">
        <x:v>3</x:v>
      </x:c>
      <x:c r="C313" s="3" t="str">
        <x:v>Alternative source-grounded interpretations</x:v>
      </x:c>
      <x:c r="D313" s="3" t="str">
        <x:v>A dated protocol amendment or final SAP revision, not supplied, may have prospectively adopted the rule. The main-article grammar could be read narrowly, but the supplement's explicit global clause supports the broader reading.</x:v>
      </x:c>
    </x:row>
    <x:row r="314" ht="180" customHeight="1">
      <x:c r="A314" s="6" t="str">
        <x:v>2025::jama.2025.19563::C002</x:v>
      </x:c>
      <x:c r="B314" s="6" t="n">
        <x:v>0</x:v>
      </x:c>
      <x:c r="C314" s="6" t="str">
        <x:v>Source evidence</x:v>
      </x:c>
      <x:c r="D314" s="6" t="str">
        <x:v>The method rows list Afinion 282, A1CNow+ 30, and serum 0. The report states 313 complete outcomes; eTable 8c gives 26 and 29 missing A1C observations among 368 and states no missing A1C among completers.</x:v>
      </x:c>
    </x:row>
    <x:row r="315" ht="180" customHeight="1">
      <x:c r="A315" s="3" t="str">
        <x:v>2025::jama.2025.19563::C002</x:v>
      </x:c>
      <x:c r="B315" s="3" t="n">
        <x:v>1</x:v>
      </x:c>
      <x:c r="C315" s="3" t="str">
        <x:v>Reported-versus-comparator</x:v>
      </x:c>
      <x:c r="D315" s="3" t="str">
        <x:v>The follow-up device-method total versus the independently derived A1C-available/completer total in the same randomized arms and time point.</x:v>
      </x:c>
    </x:row>
    <x:row r="316" ht="180" customHeight="1">
      <x:c r="A316" s="6" t="str">
        <x:v>2025::jama.2025.19563::C002</x:v>
      </x:c>
      <x:c r="B316" s="6" t="n">
        <x:v>2</x:v>
      </x:c>
      <x:c r="C316" s="6" t="str">
        <x:v>Calculation</x:v>
      </x:c>
      <x:c r="D316" s="6" t="str">
        <x:v>282 + 30 + 0 = 312; 368 - (26 + 29) = 313; difference = 1. Baseline rows total 334 + 33 + 1 = 368, supporting but not proving exhaustiveness.</x:v>
      </x:c>
    </x:row>
    <x:row r="317" ht="180" customHeight="1">
      <x:c r="A317" s="3" t="str">
        <x:v>2025::jama.2025.19563::C002</x:v>
      </x:c>
      <x:c r="B317" s="3" t="n">
        <x:v>3</x:v>
      </x:c>
      <x:c r="C317" s="3" t="str">
        <x:v>Alternative source-grounded interpretations</x:v>
      </x:c>
      <x:c r="D317" s="3" t="str">
        <x:v>One result may use an unlisted method (the narrative names Siemens DCA Vantage), or the displayed table may omit an observation without changing availability.</x:v>
      </x:c>
    </x:row>
    <x:row r="318" ht="180" customHeight="1">
      <x:c r="A318" s="6" t="str">
        <x:v>2025::jama.2025.19563::C003</x:v>
      </x:c>
      <x:c r="B318" s="6" t="n">
        <x:v>0</x:v>
      </x:c>
      <x:c r="C318" s="6" t="str">
        <x:v>Source evidence</x:v>
      </x:c>
      <x:c r="D318" s="6" t="str">
        <x:v>Figure 3 prints AI 32.2 (28.2-35.9) and human 32.5 (29.3-37.7) kg/m² as baseline weight. Table 1 prints the identical triplets in its BMI row.</x:v>
      </x:c>
    </x:row>
    <x:row r="319" ht="180" customHeight="1">
      <x:c r="A319" s="3" t="str">
        <x:v>2025::jama.2025.19563::C003</x:v>
      </x:c>
      <x:c r="B319" s="3" t="n">
        <x:v>1</x:v>
      </x:c>
      <x:c r="C319" s="3" t="str">
        <x:v>Reported-versus-comparator</x:v>
      </x:c>
      <x:c r="D319" s="3" t="str">
        <x:v>Figure label/unit versus Table 1 measure label and exact arm-specific baseline values.</x:v>
      </x:c>
    </x:row>
    <x:row r="320" ht="180" customHeight="1">
      <x:c r="A320" s="6" t="str">
        <x:v>2025::jama.2025.19563::C003</x:v>
      </x:c>
      <x:c r="B320" s="6" t="n">
        <x:v>2</x:v>
      </x:c>
      <x:c r="C320" s="6" t="str">
        <x:v>Calculation</x:v>
      </x:c>
      <x:c r="D320" s="6" t="str">
        <x:v>All six displayed median/IQR values match exactly. No rounding tolerance or derived calculation is needed.</x:v>
      </x:c>
    </x:row>
    <x:row r="321" ht="180" customHeight="1">
      <x:c r="A321" s="3" t="str">
        <x:v>2025::jama.2025.19563::C003</x:v>
      </x:c>
      <x:c r="B321" s="3" t="n">
        <x:v>3</x:v>
      </x:c>
      <x:c r="C321" s="3" t="str">
        <x:v>Alternative source-grounded interpretations</x:v>
      </x:c>
      <x:c r="D321" s="3" t="str">
        <x:v>“Weight” may be shorthand or a carried-over figure label, but no literal weight-in-kilograms summary supports that interpretation.</x:v>
      </x:c>
    </x:row>
    <x:row r="322" ht="180" customHeight="1">
      <x:c r="A322" s="6" t="str">
        <x:v>2025::jama.2025.19563::C004</x:v>
      </x:c>
      <x:c r="B322" s="6" t="n">
        <x:v>0</x:v>
      </x:c>
      <x:c r="C322" s="6" t="str">
        <x:v>Source evidence</x:v>
      </x:c>
      <x:c r="D322" s="6" t="str">
        <x:v>eTables 3, 5, 6, and 7 repeat “Age differed between study groups (p = 0.014).” eTables 5-7 display site, baseline-A1C, and completion-status contrasts; eTable 5 separately gives site-age p = 0.017. eTable 3 has an overall randomized-cohort column, not treatment-arm columns.</x:v>
      </x:c>
    </x:row>
    <x:row r="323" ht="180" customHeight="1">
      <x:c r="A323" s="3" t="str">
        <x:v>2025::jama.2025.19563::C004</x:v>
      </x:c>
      <x:c r="B323" s="3" t="n">
        <x:v>1</x:v>
      </x:c>
      <x:c r="C323" s="3" t="str">
        <x:v>Reported-versus-comparator</x:v>
      </x:c>
      <x:c r="D323" s="3" t="str">
        <x:v>Repeated P-value text versus the distinct displayed contrasts beneath which it appears. A treatment-arm attribution is supported by the matched main Table 1 P = .01 at coarser precision, but is an inference rather than a direct eTable 3 observation.</x:v>
      </x:c>
    </x:row>
    <x:row r="324" ht="180" customHeight="1">
      <x:c r="A324" s="6" t="str">
        <x:v>2025::jama.2025.19563::C004</x:v>
      </x:c>
      <x:c r="B324" s="6" t="n">
        <x:v>2</x:v>
      </x:c>
      <x:c r="C324" s="6" t="str">
        <x:v>Calculation</x:v>
      </x:c>
      <x:c r="D324" s="6" t="str">
        <x:v>p = 0.014 is repeated four times. The site table's separately printed age p = 0.017 demonstrates a distinct table-specific contrast. Summary values cannot reproduce all relevant P values.</x:v>
      </x:c>
    </x:row>
    <x:row r="325" ht="180" customHeight="1">
      <x:c r="A325" s="3" t="str">
        <x:v>2025::jama.2025.19563::C004</x:v>
      </x:c>
      <x:c r="B325" s="3" t="n">
        <x:v>3</x:v>
      </x:c>
      <x:c r="C325" s="3" t="str">
        <x:v>Alternative source-grounded interpretations</x:v>
      </x:c>
      <x:c r="D325" s="3" t="str">
        <x:v>The note may intentionally restate a global randomized-arm fact, but placement does not state that scope; copied-footnote history is also possible.</x:v>
      </x:c>
    </x:row>
    <x:row r="326" ht="180" customHeight="1">
      <x:c r="A326" s="6" t="str">
        <x:v>2025::jama.2025.19563::C005</x:v>
      </x:c>
      <x:c r="B326" s="6" t="n">
        <x:v>0</x:v>
      </x:c>
      <x:c r="C326" s="6" t="str">
        <x:v>Source evidence</x:v>
      </x:c>
      <x:c r="D326" s="6" t="str">
        <x:v>Footnote 1 says no baseline characteristics were statistically significantly different between groups (p&lt;0.05). Footnote 2 says age differed (p = 0.014) and all other characteristics were similar (p &gt; 0.05).</x:v>
      </x:c>
    </x:row>
    <x:row r="327" ht="180" customHeight="1">
      <x:c r="A327" s="3" t="str">
        <x:v>2025::jama.2025.19563::C005</x:v>
      </x:c>
      <x:c r="B327" s="3" t="n">
        <x:v>1</x:v>
      </x:c>
      <x:c r="C327" s="3" t="str">
        <x:v>Reported-versus-comparator</x:v>
      </x:c>
      <x:c r="D327" s="3" t="str">
        <x:v>The no-significance sentence and its parenthetical inequality versus the same page's stated inequality convention.</x:v>
      </x:c>
    </x:row>
    <x:row r="328" ht="180" customHeight="1">
      <x:c r="A328" s="6" t="str">
        <x:v>2025::jama.2025.19563::C005</x:v>
      </x:c>
      <x:c r="B328" s="6" t="n">
        <x:v>2</x:v>
      </x:c>
      <x:c r="C328" s="6" t="str">
        <x:v>Calculation</x:v>
      </x:c>
      <x:c r="D328" s="6" t="str">
        <x:v>0.014 &lt; 0.05; the page calls that a difference and uses p &gt; 0.05 for similarity.</x:v>
      </x:c>
    </x:row>
    <x:row r="329" ht="180" customHeight="1">
      <x:c r="A329" s="3" t="str">
        <x:v>2025::jama.2025.19563::C005</x:v>
      </x:c>
      <x:c r="B329" s="3" t="n">
        <x:v>3</x:v>
      </x:c>
      <x:c r="C329" s="3" t="str">
        <x:v>Alternative source-grounded interpretations</x:v>
      </x:c>
      <x:c r="D329" s="3" t="str">
        <x:v>The less-than sign or sentence may be a typographical carryover, or an unstated test family/qualifier may be intended.</x:v>
      </x:c>
    </x:row>
    <x:row r="330" ht="180" customHeight="1">
      <x:c r="A330" s="6" t="str">
        <x:v>2025::jama.2025.19563::C006</x:v>
      </x:c>
      <x:c r="B330" s="6" t="n">
        <x:v>0</x:v>
      </x:c>
      <x:c r="C330" s="6" t="str">
        <x:v>Source evidence</x:v>
      </x:c>
      <x:c r="D330" s="6" t="str">
        <x:v>The method description specifies chi-squared for the between-group prohibited-medication proportion. eTable 10b prints AI 6/183 (3.3%), human 7/185 (3.8%), P = .793, with a Wilcoxon rank-sum footnote.</x:v>
      </x:c>
    </x:row>
    <x:row r="331" ht="180" customHeight="1">
      <x:c r="A331" s="3" t="str">
        <x:v>2025::jama.2025.19563::C006</x:v>
      </x:c>
      <x:c r="B331" s="3" t="n">
        <x:v>1</x:v>
      </x:c>
      <x:c r="C331" s="3" t="str">
        <x:v>Reported-versus-comparator</x:v>
      </x:c>
      <x:c r="D331" s="3" t="str">
        <x:v>The named-test label for the same randomized-arm binary proportion comparison in two supplement locations.</x:v>
      </x:c>
    </x:row>
    <x:row r="332" ht="180" customHeight="1">
      <x:c r="A332" s="6" t="str">
        <x:v>2025::jama.2025.19563::C006</x:v>
      </x:c>
      <x:c r="B332" s="6" t="n">
        <x:v>2</x:v>
      </x:c>
      <x:c r="C332" s="6" t="str">
        <x:v>Calculation</x:v>
      </x:c>
      <x:c r="D332" s="6" t="str">
        <x:v>6/183 = 3.28% and 7/185 = 3.78%, consistent with displayed percentages. An ordinary uncorrected two-proportion/Pearson diagnostic is approximately compatible with .793, but cannot identify the generating procedure.</x:v>
      </x:c>
    </x:row>
    <x:row r="333" ht="180" customHeight="1">
      <x:c r="A333" s="3" t="str">
        <x:v>2025::jama.2025.19563::C006</x:v>
      </x:c>
      <x:c r="B333" s="3" t="n">
        <x:v>3</x:v>
      </x:c>
      <x:c r="C333" s="3" t="str">
        <x:v>Alternative source-grounded interpretations</x:v>
      </x:c>
      <x:c r="D333" s="3" t="str">
        <x:v>The p. 29 description may be general, the p. 52 footnote may be copied, or a rank-based analysis of a binary indicator may have been used.</x:v>
      </x:c>
    </x:row>
    <x:row r="334" ht="180" customHeight="1">
      <x:c r="A334" s="6" t="str">
        <x:v>2025::jama.2025.19563::C007</x:v>
      </x:c>
      <x:c r="B334" s="6" t="n">
        <x:v>0</x:v>
      </x:c>
      <x:c r="C334" s="6" t="str">
        <x:v>Source evidence</x:v>
      </x:c>
      <x:c r="D334" s="6" t="str">
        <x:v>The methods describe 20-set MICE with Rubin's rules. eTable 16 gives MI-pooled percentages 32.2% (AI) and 31.9% (human), a risk difference of -1.1 percentage points, and a one-sided 95% lower bound of -11.5.</x:v>
      </x:c>
    </x:row>
    <x:row r="335" ht="180" customHeight="1">
      <x:c r="A335" s="3" t="str">
        <x:v>2025::jama.2025.19563::C007</x:v>
      </x:c>
      <x:c r="B335" s="3" t="n">
        <x:v>1</x:v>
      </x:c>
      <x:c r="C335" s="3" t="str">
        <x:v>Reported-versus-comparator</x:v>
      </x:c>
      <x:c r="D335" s="3" t="str">
        <x:v>The AI-minus-human risk-difference cell versus the direct subtraction of the displayed AI and human marginal percentages.</x:v>
      </x:c>
    </x:row>
    <x:row r="336" ht="180" customHeight="1">
      <x:c r="A336" s="6" t="str">
        <x:v>2025::jama.2025.19563::C007</x:v>
      </x:c>
      <x:c r="B336" s="6" t="n">
        <x:v>2</x:v>
      </x:c>
      <x:c r="C336" s="6" t="str">
        <x:v>Calculation</x:v>
      </x:c>
      <x:c r="D336" s="6" t="str">
        <x:v>32.2 - 31.9 = +0.3 percentage points. Values rounding to 32.2% and 31.9% imply an underlying displayed-value difference of approximately +0.2 to +0.4 percentage points, so ordinary one-decimal rounding cannot directly yield -1.1.</x:v>
      </x:c>
    </x:row>
    <x:row r="337" ht="180" customHeight="1">
      <x:c r="A337" s="3" t="str">
        <x:v>2025::jama.2025.19563::C007</x:v>
      </x:c>
      <x:c r="B337" s="3" t="n">
        <x:v>3</x:v>
      </x:c>
      <x:c r="C337" s="3" t="str">
        <x:v>Alternative source-grounded interpretations</x:v>
      </x:c>
      <x:c r="D337" s="3" t="str">
        <x:v>The risk difference may be adjusted or standardized under an unstated estimand, separately pooled on a different scale, use a reversed contrast, or reflect a production error. Full model, covariance, and per-imputation output are absent.</x:v>
      </x:c>
    </x:row>
    <x:row r="338" ht="180" customHeight="1">
      <x:c r="A338" s="6" t="str">
        <x:v>2025::jama.2025.19843::C001</x:v>
      </x:c>
      <x:c r="B338" s="6" t="n">
        <x:v>0</x:v>
      </x:c>
      <x:c r="C338" s="6" t="str">
        <x:v>Source evidence</x:v>
      </x:c>
      <x:c r="D338" s="6" t="str">
        <x:v>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x:v>
      </x:c>
    </x:row>
    <x:row r="339" ht="180" customHeight="1">
      <x:c r="A339" s="3" t="str">
        <x:v>2025::jama.2025.19843::C001</x:v>
      </x:c>
      <x:c r="B339" s="3" t="n">
        <x:v>1</x:v>
      </x:c>
      <x:c r="C339" s="3" t="str">
        <x:v>Reported-versus-comparator</x:v>
      </x:c>
      <x:c r="D339" s="3" t="str">
        <x:v>Reported prose P value: .78 for the day-60 mortality result in DOC-001. Comparator: .56, expressly labelled Log-rank, for the matched day-60 mortality panel in DOC-004 eFigure 2. The matched counts, endpoint, time point, group labels, and treatment contrast align.</x:v>
      </x:c>
    </x:row>
    <x:row r="340" ht="180" customHeight="1">
      <x:c r="A340" s="6" t="str">
        <x:v>2025::jama.2025.19843::C001</x:v>
      </x:c>
      <x:c r="B340" s="6" t="n">
        <x:v>2</x:v>
      </x:c>
      <x:c r="C340" s="6" t="str">
        <x:v>Calculation</x:v>
      </x:c>
      <x:c r="D340" s="6" t="str">
        <x:v>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x:v>
      </x:c>
    </x:row>
    <x:row r="341" ht="180" customHeight="1">
      <x:c r="A341" s="3" t="str">
        <x:v>2025::jama.2025.19843::C001</x:v>
      </x:c>
      <x:c r="B341" s="3" t="n">
        <x:v>3</x:v>
      </x:c>
      <x:c r="C341" s="3" t="str">
        <x:v>Alternative source-grounded interpretations</x:v>
      </x:c>
      <x:c r="D341" s="3" t="str">
        <x:v>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x:v>
      </x:c>
    </x:row>
    <x:row r="342" ht="180" customHeight="1">
      <x:c r="A342" s="6" t="str">
        <x:v>2025::jama.2025.20765::C001</x:v>
      </x:c>
      <x:c r="B342" s="6" t="n">
        <x:v>0</x:v>
      </x:c>
      <x:c r="C342" s="6" t="str">
        <x:v>Source evidence</x:v>
      </x:c>
      <x:c r="D342" s="6" t="str">
        <x:v>Adjusted RR is printed as 2.8 (1.9 to 42); the same row's crude RR is 2.7 (1.8 to 4.1).</x:v>
      </x:c>
    </x:row>
    <x:row r="343" ht="180" customHeight="1">
      <x:c r="A343" s="3" t="str">
        <x:v>2025::jama.2025.20765::C001</x:v>
      </x:c>
      <x:c r="B343" s="3" t="n">
        <x:v>1</x:v>
      </x:c>
      <x:c r="C343" s="3" t="str">
        <x:v>Reported-versus-comparator</x:v>
      </x:c>
      <x:c r="D343" s="3" t="str">
        <x:v>Printed upper endpoint 42 versus the same-row estimate and companion interval context.</x:v>
      </x:c>
    </x:row>
    <x:row r="344" ht="180" customHeight="1">
      <x:c r="A344" s="6" t="str">
        <x:v>2025::jama.2025.20765::C001</x:v>
      </x:c>
      <x:c r="B344" s="6" t="n">
        <x:v>2</x:v>
      </x:c>
      <x:c r="C344" s="6" t="str">
        <x:v>Calculation</x:v>
      </x:c>
      <x:c r="D344" s="6" t="str">
        <x:v>42/2.8=15.0; 1.9/2.8=0.6786. Ordinary rounding cannot convert 42 to 4.2.</x:v>
      </x:c>
    </x:row>
    <x:row r="345" ht="180" customHeight="1">
      <x:c r="A345" s="3" t="str">
        <x:v>2025::jama.2025.20765::C001</x:v>
      </x:c>
      <x:c r="B345" s="3" t="n">
        <x:v>3</x:v>
      </x:c>
      <x:c r="C345" s="3" t="str">
        <x:v>Alternative source-grounded interpretations</x:v>
      </x:c>
      <x:c r="D345" s="3" t="str">
        <x:v>A genuinely wide asymmetric interval remains possible under the stated mixed-effects model; the package lacks coefficient, SE, and model-output details.</x:v>
      </x:c>
    </x:row>
    <x:row r="346" ht="180" customHeight="1">
      <x:c r="A346" s="6" t="str">
        <x:v>2025::jama.2025.20765::C002</x:v>
      </x:c>
      <x:c r="B346" s="6" t="n">
        <x:v>0</x:v>
      </x:c>
      <x:c r="C346" s="6" t="str">
        <x:v>Source evidence</x:v>
      </x:c>
      <x:c r="D346" s="6" t="str">
        <x:v>The discussion says 4.8% died of TB; Table 2 gives 25/720 and 27/360 deaths, and eTable 4 classifies 32/52 deaths as TB cause.</x:v>
      </x:c>
    </x:row>
    <x:row r="347" ht="180" customHeight="1">
      <x:c r="A347" s="3" t="str">
        <x:v>2025::jama.2025.20765::C002</x:v>
      </x:c>
      <x:c r="B347" s="3" t="n">
        <x:v>1</x:v>
      </x:c>
      <x:c r="C347" s="3" t="str">
        <x:v>Reported-versus-comparator</x:v>
      </x:c>
      <x:c r="D347" s="3" t="str">
        <x:v>4.8% labelled TB deaths versus 52/1080 all-cause deaths and 32/1080 TB-cause deaths.</x:v>
      </x:c>
    </x:row>
    <x:row r="348" ht="180" customHeight="1">
      <x:c r="A348" s="6" t="str">
        <x:v>2025::jama.2025.20765::C002</x:v>
      </x:c>
      <x:c r="B348" s="6" t="n">
        <x:v>2</x:v>
      </x:c>
      <x:c r="C348" s="6" t="str">
        <x:v>Calculation</x:v>
      </x:c>
      <x:c r="D348" s="6" t="str">
        <x:v>52/1080×100=4.81% (4.8%); 32/1080×100=2.96% (3.0%).</x:v>
      </x:c>
    </x:row>
    <x:row r="349" ht="180" customHeight="1">
      <x:c r="A349" s="3" t="str">
        <x:v>2025::jama.2025.20765::C002</x:v>
      </x:c>
      <x:c r="B349" s="3" t="n">
        <x:v>3</x:v>
      </x:c>
      <x:c r="C349" s="3" t="str">
        <x:v>Alternative source-grounded interpretations</x:v>
      </x:c>
      <x:c r="D349" s="3" t="str">
        <x:v>“Died of TB” could be loose contextual wording; eTable 4 is the explicit cause classification and no alternate TB-death denominator is supplied.</x:v>
      </x:c>
    </x:row>
    <x:row r="350" ht="180" customHeight="1">
      <x:c r="A350" s="6" t="str">
        <x:v>2025::jama.2025.20765::C003</x:v>
      </x:c>
      <x:c r="B350" s="6" t="n">
        <x:v>0</x:v>
      </x:c>
      <x:c r="C350" s="6" t="str">
        <x:v>Source evidence</x:v>
      </x:c>
      <x:c r="D350" s="6" t="str">
        <x:v>178 SMS over six months; first two months 4-5/day, next two 2-3/day, final two 1-2/week.</x:v>
      </x:c>
    </x:row>
    <x:row r="351" ht="180" customHeight="1">
      <x:c r="A351" s="3" t="str">
        <x:v>2025::jama.2025.20765::C003</x:v>
      </x:c>
      <x:c r="B351" s="3" t="n">
        <x:v>1</x:v>
      </x:c>
      <x:c r="C351" s="3" t="str">
        <x:v>Reported-versus-comparator</x:v>
      </x:c>
      <x:c r="D351" s="3" t="str">
        <x:v>Printed total 178 versus the schedule's conservative minimum.</x:v>
      </x:c>
    </x:row>
    <x:row r="352" ht="180" customHeight="1">
      <x:c r="A352" s="6" t="str">
        <x:v>2025::jama.2025.20765::C003</x:v>
      </x:c>
      <x:c r="B352" s="6" t="n">
        <x:v>2</x:v>
      </x:c>
      <x:c r="C352" s="6" t="str">
        <x:v>Calculation</x:v>
      </x:c>
      <x:c r="D352" s="6" t="str">
        <x:v>2×28×4 + 2×28×2 + 8×1=344, 166 above 178; at 30-day months, 368.</x:v>
      </x:c>
    </x:row>
    <x:row r="353" ht="180" customHeight="1">
      <x:c r="A353" s="3" t="str">
        <x:v>2025::jama.2025.20765::C003</x:v>
      </x:c>
      <x:c r="B353" s="3" t="n">
        <x:v>3</x:v>
      </x:c>
      <x:c r="C353" s="3" t="str">
        <x:v>Alternative source-grounded interpretations</x:v>
      </x:c>
      <x:c r="D353" s="3" t="str">
        <x:v>“Message” may mean a send, template, or another undefined unit; frequency, duration, or total may be from unlabelled plan states.</x:v>
      </x:c>
    </x:row>
    <x:row r="354" ht="180" customHeight="1">
      <x:c r="A354" s="6" t="str">
        <x:v>2025::jama.2025.20765::C004</x:v>
      </x:c>
      <x:c r="B354" s="6" t="n">
        <x:v>0</x:v>
      </x:c>
      <x:c r="C354" s="6" t="str">
        <x:v>Source evidence</x:v>
      </x:c>
      <x:c r="D354" s="6" t="str">
        <x:v>Both locations describe the 2,384-participant plan, approximately 50 recruits, 10% missing primary outcome, 16 pilot participants, and matching Phase-3/4 allocation assumptions, but list 44 and 48 sites.</x:v>
      </x:c>
    </x:row>
    <x:row r="355" ht="180" customHeight="1">
      <x:c r="A355" s="3" t="str">
        <x:v>2025::jama.2025.20765::C004</x:v>
      </x:c>
      <x:c r="B355" s="3" t="n">
        <x:v>1</x:v>
      </x:c>
      <x:c r="C355" s="3" t="str">
        <x:v>Reported-versus-comparator</x:v>
      </x:c>
      <x:c r="D355" s="3" t="str">
        <x:v>44 versus 48 sites for the same printed plan.</x:v>
      </x:c>
    </x:row>
    <x:row r="356" ht="180" customHeight="1">
      <x:c r="A356" s="6" t="str">
        <x:v>2025::jama.2025.20765::C004</x:v>
      </x:c>
      <x:c r="B356" s="6" t="n">
        <x:v>2</x:v>
      </x:c>
      <x:c r="C356" s="6" t="str">
        <x:v>Calculation</x:v>
      </x:c>
      <x:c r="D356" s="6" t="str">
        <x:v>2384/44=54.18; 2384/48=49.67; the latter aligns with approximately 50.</x:v>
      </x:c>
    </x:row>
    <x:row r="357" ht="180" customHeight="1">
      <x:c r="A357" s="3" t="str">
        <x:v>2025::jama.2025.20765::C004</x:v>
      </x:c>
      <x:c r="B357" s="3" t="n">
        <x:v>3</x:v>
      </x:c>
      <x:c r="C357" s="3" t="str">
        <x:v>Alternative source-grounded interpretations</x:v>
      </x:c>
      <x:c r="D357" s="3" t="str">
        <x:v>Facility/clinic definitions or amendment chronology may differ but are not supplied.</x:v>
      </x:c>
    </x:row>
    <x:row r="358" ht="180" customHeight="1">
      <x:c r="A358" s="6" t="str">
        <x:v>2025::jama.2025.20765::C005</x:v>
      </x:c>
      <x:c r="B358" s="6" t="n">
        <x:v>0</x:v>
      </x:c>
      <x:c r="C358" s="6" t="str">
        <x:v>Source evidence</x:v>
      </x:c>
      <x:c r="D358" s="6" t="str">
        <x:v>134 SMS over six months; first two months 4-5/day, next two 1-2/day, final two 1/week.</x:v>
      </x:c>
    </x:row>
    <x:row r="359" ht="180" customHeight="1">
      <x:c r="A359" s="3" t="str">
        <x:v>2025::jama.2025.20765::C005</x:v>
      </x:c>
      <x:c r="B359" s="3" t="n">
        <x:v>1</x:v>
      </x:c>
      <x:c r="C359" s="3" t="str">
        <x:v>Reported-versus-comparator</x:v>
      </x:c>
      <x:c r="D359" s="3" t="str">
        <x:v>Printed total 134 versus schedule minimum.</x:v>
      </x:c>
    </x:row>
    <x:row r="360" ht="180" customHeight="1">
      <x:c r="A360" s="6" t="str">
        <x:v>2025::jama.2025.20765::C005</x:v>
      </x:c>
      <x:c r="B360" s="6" t="n">
        <x:v>2</x:v>
      </x:c>
      <x:c r="C360" s="6" t="str">
        <x:v>Calculation</x:v>
      </x:c>
      <x:c r="D360" s="6" t="str">
        <x:v>2×28×4 + 2×28×1 + 8×1=288, 154 above 134; the 30-day calculation is 308.</x:v>
      </x:c>
    </x:row>
    <x:row r="361" ht="180" customHeight="1">
      <x:c r="A361" s="3" t="str">
        <x:v>2025::jama.2025.20765::C005</x:v>
      </x:c>
      <x:c r="B361" s="3" t="n">
        <x:v>3</x:v>
      </x:c>
      <x:c r="C361" s="3" t="str">
        <x:v>Alternative source-grounded interpretations</x:v>
      </x:c>
      <x:c r="D361" s="3" t="str">
        <x:v>Unique-template versus send units or an unlabelled version may explain the text; p. 80 has a different 134-message schedule but does not label p. 53 as a separate plan state.</x:v>
      </x:c>
    </x:row>
    <x:row r="362" ht="180" customHeight="1">
      <x:c r="A362" s="6" t="str">
        <x:v>2025::jama.2025.20765::C006</x:v>
      </x:c>
      <x:c r="B362" s="6" t="n">
        <x:v>0</x:v>
      </x:c>
      <x:c r="C362" s="6" t="str">
        <x:v>Source evidence</x:v>
      </x:c>
      <x:c r="D362" s="6" t="str">
        <x:v>Header 30%; narrative 20% in Phase 3 and all in Phase 4; equations 10×40×20%=80, 8×40×20%=64, 11×45=495, and 7×45=315.</x:v>
      </x:c>
    </x:row>
    <x:row r="363" ht="180" customHeight="1">
      <x:c r="A363" s="3" t="str">
        <x:v>2025::jama.2025.20765::C006</x:v>
      </x:c>
      <x:c r="B363" s="3" t="n">
        <x:v>1</x:v>
      </x:c>
      <x:c r="C363" s="3" t="str">
        <x:v>Reported-versus-comparator</x:v>
      </x:c>
      <x:c r="D363" s="3" t="str">
        <x:v>30% header versus 20%/100% phase-specific calculation.</x:v>
      </x:c>
    </x:row>
    <x:row r="364" ht="180" customHeight="1">
      <x:c r="A364" s="6" t="str">
        <x:v>2025::jama.2025.20765::C006</x:v>
      </x:c>
      <x:c r="B364" s="6" t="n">
        <x:v>2</x:v>
      </x:c>
      <x:c r="C364" s="6" t="str">
        <x:v>Calculation</x:v>
      </x:c>
      <x:c r="D364" s="6" t="str">
        <x:v>80+64=144=20% of 720 Phase-3 A participants; 495+315=810=100% of Phase-4 A participants.</x:v>
      </x:c>
    </x:row>
    <x:row r="365" ht="180" customHeight="1">
      <x:c r="A365" s="3" t="str">
        <x:v>2025::jama.2025.20765::C006</x:v>
      </x:c>
      <x:c r="B365" s="3" t="n">
        <x:v>3</x:v>
      </x:c>
      <x:c r="C365" s="3" t="str">
        <x:v>Alternative source-grounded interpretations</x:v>
      </x:c>
      <x:c r="D365" s="3" t="str">
        <x:v>30% could refer to an unstated pooled or earlier target.</x:v>
      </x:c>
    </x:row>
    <x:row r="366" ht="180" customHeight="1">
      <x:c r="A366" s="6" t="str">
        <x:v>2025::jama.2025.20765::C007</x:v>
      </x:c>
      <x:c r="B366" s="6" t="n">
        <x:v>0</x:v>
      </x:c>
      <x:c r="C366" s="6" t="str">
        <x:v>Source evidence</x:v>
      </x:c>
      <x:c r="D366" s="6" t="str">
        <x:v>p. 48 and the pp. 51-52 diagram give 2,716 participants, 63 sites (27+36), and approximately 43/site; p. 62 gives 2,716, approximately 50 from 48 clinics.</x:v>
      </x:c>
    </x:row>
    <x:row r="367" ht="180" customHeight="1">
      <x:c r="A367" s="3" t="str">
        <x:v>2025::jama.2025.20765::C007</x:v>
      </x:c>
      <x:c r="B367" s="3" t="n">
        <x:v>1</x:v>
      </x:c>
      <x:c r="C367" s="3" t="str">
        <x:v>Reported-versus-comparator</x:v>
      </x:c>
      <x:c r="D367" s="3" t="str">
        <x:v>Same plan total with 48/~50 versus 63/~43.</x:v>
      </x:c>
    </x:row>
    <x:row r="368" ht="180" customHeight="1">
      <x:c r="A368" s="6" t="str">
        <x:v>2025::jama.2025.20765::C007</x:v>
      </x:c>
      <x:c r="B368" s="6" t="n">
        <x:v>2</x:v>
      </x:c>
      <x:c r="C368" s="6" t="str">
        <x:v>Calculation</x:v>
      </x:c>
      <x:c r="D368" s="6" t="str">
        <x:v>2716/63=43.11; 2716/48=56.58; site counts differ by 15.</x:v>
      </x:c>
    </x:row>
    <x:row r="369" ht="180" customHeight="1">
      <x:c r="A369" s="3" t="str">
        <x:v>2025::jama.2025.20765::C007</x:v>
      </x:c>
      <x:c r="B369" s="3" t="n">
        <x:v>3</x:v>
      </x:c>
      <x:c r="C369" s="3" t="str">
        <x:v>Alternative source-grounded interpretations</x:v>
      </x:c>
      <x:c r="D369" s="3" t="str">
        <x:v>The 48 clinics may be an unstated subset or earlier plan.</x:v>
      </x:c>
    </x:row>
    <x:row r="370" ht="180" customHeight="1">
      <x:c r="A370" s="6" t="str">
        <x:v>2025::jama.2025.20765::C008</x:v>
      </x:c>
      <x:c r="B370" s="6" t="n">
        <x:v>0</x:v>
      </x:c>
      <x:c r="C370" s="6" t="str">
        <x:v>Source evidence</x:v>
      </x:c>
      <x:c r="D370" s="6" t="str">
        <x:v>864+(864×0.2)=1036; 1036/36=29; DE=1+0.02(29-1)=1.56; ESS=1036×1.56=1620; diagram 36×45=1620.</x:v>
      </x:c>
    </x:row>
    <x:row r="371" ht="180" customHeight="1">
      <x:c r="A371" s="3" t="str">
        <x:v>2025::jama.2025.20765::C008</x:v>
      </x:c>
      <x:c r="B371" s="3" t="n">
        <x:v>1</x:v>
      </x:c>
      <x:c r="C371" s="3" t="str">
        <x:v>Reported-versus-comparator</x:v>
      </x:c>
      <x:c r="D371" s="3" t="str">
        <x:v>Displayed 1036×1.56=1620 versus exact product and the separate site-target total.</x:v>
      </x:c>
    </x:row>
    <x:row r="372" ht="180" customHeight="1">
      <x:c r="A372" s="6" t="str">
        <x:v>2025::jama.2025.20765::C008</x:v>
      </x:c>
      <x:c r="B372" s="6" t="n">
        <x:v>2</x:v>
      </x:c>
      <x:c r="C372" s="6" t="str">
        <x:v>Calculation</x:v>
      </x:c>
      <x:c r="D372" s="6" t="str">
        <x:v>864×1.2=1036.8; 1036×1.56=1616.16; 36×45=1620.</x:v>
      </x:c>
    </x:row>
    <x:row r="373" ht="180" customHeight="1">
      <x:c r="A373" s="3" t="str">
        <x:v>2025::jama.2025.20765::C008</x:v>
      </x:c>
      <x:c r="B373" s="3" t="n">
        <x:v>3</x:v>
      </x:c>
      <x:c r="C373" s="3" t="str">
        <x:v>Alternative source-grounded interpretations</x:v>
      </x:c>
      <x:c r="D373" s="3" t="str">
        <x:v>A cluster-level ceiling/allocation step can explain 1,620 but is not stated.</x:v>
      </x:c>
    </x:row>
    <x:row r="374" ht="180" customHeight="1">
      <x:c r="A374" s="6" t="str">
        <x:v>2025::jama.2025.20765::C009</x:v>
      </x:c>
      <x:c r="B374" s="6" t="n">
        <x:v>0</x:v>
      </x:c>
      <x:c r="C374" s="6" t="str">
        <x:v>Source evidence</x:v>
      </x:c>
      <x:c r="D374" s="6" t="str">
        <x:v>Local text says Phase 4, noninferiority, A vs B, 36 sites, 1,620 participants; diagram says “Total clusters in Phase 3 (Superiority trial) = 36 sites.”</x:v>
      </x:c>
    </x:row>
    <x:row r="375" ht="180" customHeight="1">
      <x:c r="A375" s="3" t="str">
        <x:v>2025::jama.2025.20765::C009</x:v>
      </x:c>
      <x:c r="B375" s="3" t="n">
        <x:v>1</x:v>
      </x:c>
      <x:c r="C375" s="3" t="str">
        <x:v>Reported-versus-comparator</x:v>
      </x:c>
      <x:c r="D375" s="3" t="str">
        <x:v>Phase-3/Superiority label versus local Phase-4/noninferiority plan.</x:v>
      </x:c>
    </x:row>
    <x:row r="376" ht="180" customHeight="1">
      <x:c r="A376" s="6" t="str">
        <x:v>2025::jama.2025.20765::C009</x:v>
      </x:c>
      <x:c r="B376" s="6" t="n">
        <x:v>2</x:v>
      </x:c>
      <x:c r="C376" s="6" t="str">
        <x:v>Calculation</x:v>
      </x:c>
      <x:c r="D376" s="6" t="str">
        <x:v>18+18=36; 36×45=1620; the separate Phase-3 plan uses 27 sites and 1,080 participants.</x:v>
      </x:c>
    </x:row>
    <x:row r="377" ht="180" customHeight="1">
      <x:c r="A377" s="3" t="str">
        <x:v>2025::jama.2025.20765::C009</x:v>
      </x:c>
      <x:c r="B377" s="3" t="n">
        <x:v>3</x:v>
      </x:c>
      <x:c r="C377" s="3" t="str">
        <x:v>Alternative source-grounded interpretations</x:v>
      </x:c>
      <x:c r="D377" s="3" t="str">
        <x:v>A carry-over caption is plausible but not established by the supplied record.</x:v>
      </x:c>
    </x:row>
    <x:row r="378" ht="180" customHeight="1">
      <x:c r="A378" s="6" t="str">
        <x:v>2025::jama.2025.20765::C010</x:v>
      </x:c>
      <x:c r="B378" s="6" t="n">
        <x:v>0</x:v>
      </x:c>
      <x:c r="C378" s="6" t="str">
        <x:v>Source evidence</x:v>
      </x:c>
      <x:c r="D378" s="6" t="str">
        <x:v>p. 63 gives N=587+(587×0.2)=704, 27 sites, 704/27=26, DE=1+0.02(26−1)=1.50, and ESS=704×1.50≈1080 (40/site); p. 83 repeats 704, 26, DE 1.50, and 1080/40/site.</x:v>
      </x:c>
    </x:row>
    <x:row r="379" ht="180" customHeight="1">
      <x:c r="A379" s="3" t="str">
        <x:v>2025::jama.2025.20765::C010</x:v>
      </x:c>
      <x:c r="B379" s="3" t="n">
        <x:v>1</x:v>
      </x:c>
      <x:c r="C379" s="3" t="str">
        <x:v>Reported-versus-comparator</x:v>
      </x:c>
      <x:c r="D379" s="3" t="str">
        <x:v>704×1.50≈1080 and “effective sample size” versus exact multiplication and the independent 27×40=1080 cluster allocation.</x:v>
      </x:c>
    </x:row>
    <x:row r="380" ht="180" customHeight="1">
      <x:c r="A380" s="6" t="str">
        <x:v>2025::jama.2025.20765::C010</x:v>
      </x:c>
      <x:c r="B380" s="6" t="n">
        <x:v>2</x:v>
      </x:c>
      <x:c r="C380" s="6" t="str">
        <x:v>Calculation</x:v>
      </x:c>
      <x:c r="D380" s="6" t="str">
        <x:v>704×1.50=1056; 1080/704=1.5341; 27×40=1080.</x:v>
      </x:c>
    </x:row>
    <x:row r="381" ht="180" customHeight="1">
      <x:c r="A381" s="3" t="str">
        <x:v>2025::jama.2025.20765::C010</x:v>
      </x:c>
      <x:c r="B381" s="3" t="n">
        <x:v>3</x:v>
      </x:c>
      <x:c r="C381" s="3" t="str">
        <x:v>Alternative source-grounded interpretations</x:v>
      </x:c>
      <x:c r="D381" s="3" t="str">
        <x:v>The 1,056 design-effect-inflated target may have been rounded upward to 40 per site; that is plausible but unstated, and 1,080 is not asserted impossible.</x:v>
      </x:c>
    </x:row>
    <x:row r="382" ht="180" customHeight="1">
      <x:c r="A382" s="6" t="str">
        <x:v>2025::jama.2025.20765::C011</x:v>
      </x:c>
      <x:c r="B382" s="6" t="n">
        <x:v>0</x:v>
      </x:c>
      <x:c r="C382" s="6" t="str">
        <x:v>Source evidence</x:v>
      </x:c>
      <x:c r="D382" s="6" t="str">
        <x:v>MPSS has five domains rated on a 5-point scale and summed 5-35.</x:v>
      </x:c>
    </x:row>
    <x:row r="383" ht="180" customHeight="1">
      <x:c r="A383" s="3" t="str">
        <x:v>2025::jama.2025.20765::C011</x:v>
      </x:c>
      <x:c r="B383" s="3" t="n">
        <x:v>1</x:v>
      </x:c>
      <x:c r="C383" s="3" t="str">
        <x:v>Reported-versus-comparator</x:v>
      </x:c>
      <x:c r="D383" s="3" t="str">
        <x:v>Printed 5-35 range versus the stated five-domain 5-point description.</x:v>
      </x:c>
    </x:row>
    <x:row r="384" ht="180" customHeight="1">
      <x:c r="A384" s="6" t="str">
        <x:v>2025::jama.2025.20765::C011</x:v>
      </x:c>
      <x:c r="B384" s="6" t="n">
        <x:v>2</x:v>
      </x:c>
      <x:c r="C384" s="6" t="str">
        <x:v>Calculation</x:v>
      </x:c>
      <x:c r="D384" s="6" t="str">
        <x:v>Under ordinary 1-to-5 coding, five items span 5×1=5 to 5×5=25, not 35.</x:v>
      </x:c>
    </x:row>
    <x:row r="385" ht="180" customHeight="1">
      <x:c r="A385" s="3" t="str">
        <x:v>2025::jama.2025.20765::C011</x:v>
      </x:c>
      <x:c r="B385" s="3" t="n">
        <x:v>3</x:v>
      </x:c>
      <x:c r="C385" s="3" t="str">
        <x:v>Alternative source-grounded interpretations</x:v>
      </x:c>
      <x:c r="D385" s="3" t="str">
        <x:v>Additional items, non-unit coding, weights, anchors, or transformation could yield 35; none is supplied.</x:v>
      </x:c>
    </x:row>
    <x:row r="386" ht="180" customHeight="1">
      <x:c r="A386" s="6" t="str">
        <x:v>2025::jama.2025.20765::C012</x:v>
      </x:c>
      <x:c r="B386" s="6" t="n">
        <x:v>0</x:v>
      </x:c>
      <x:c r="C386" s="6" t="str">
        <x:v>Source evidence</x:v>
      </x:c>
      <x:c r="D386" s="6" t="str">
        <x:v>eTable 5 gives site 2008 recruitment/ITT denominator 40; eTable 6 gives 5 (7.5%) deaths without printing a denominator.</x:v>
      </x:c>
    </x:row>
    <x:row r="387" ht="180" customHeight="1">
      <x:c r="A387" s="3" t="str">
        <x:v>2025::jama.2025.20765::C012</x:v>
      </x:c>
      <x:c r="B387" s="3" t="n">
        <x:v>1</x:v>
      </x:c>
      <x:c r="C387" s="3" t="str">
        <x:v>Reported-versus-comparator</x:v>
      </x:c>
      <x:c r="D387" s="3" t="str">
        <x:v>5 deaths (7.5%) versus matched same-site 40-person recruitment/ITT denominator.</x:v>
      </x:c>
    </x:row>
    <x:row r="388" ht="180" customHeight="1">
      <x:c r="A388" s="6" t="str">
        <x:v>2025::jama.2025.20765::C012</x:v>
      </x:c>
      <x:c r="B388" s="6" t="n">
        <x:v>2</x:v>
      </x:c>
      <x:c r="C388" s="6" t="str">
        <x:v>Calculation</x:v>
      </x:c>
      <x:c r="D388" s="6" t="str">
        <x:v>If denominator is 40, 5/40×100=12.5%; 5/0.075=66.67, and no 66-67 site population is supplied.</x:v>
      </x:c>
    </x:row>
    <x:row r="389" ht="180" customHeight="1">
      <x:c r="A389" s="3" t="str">
        <x:v>2025::jama.2025.20765::C012</x:v>
      </x:c>
      <x:c r="B389" s="3" t="n">
        <x:v>3</x:v>
      </x:c>
      <x:c r="C389" s="3" t="str">
        <x:v>Alternative source-grounded interpretations</x:v>
      </x:c>
      <x:c r="D389" s="3" t="str">
        <x:v>A distinct unprinted death denominator may exist.</x:v>
      </x:c>
    </x:row>
    <x:row r="390" ht="180" customHeight="1">
      <x:c r="A390" s="6" t="str">
        <x:v>2025::jama.2025.20765::C013</x:v>
      </x:c>
      <x:c r="B390" s="6" t="n">
        <x:v>0</x:v>
      </x:c>
      <x:c r="C390" s="6" t="str">
        <x:v>Source evidence</x:v>
      </x:c>
      <x:c r="D390" s="6" t="str">
        <x:v>p. 16 says 178 SMS; pp. 53 and 80 say 134 with differing schedules; pp. 101-109 show a 1-134 log; main p. 3 reports 134 unique messages as 100+30+4.</x:v>
      </x:c>
    </x:row>
    <x:row r="391" ht="180" customHeight="1">
      <x:c r="A391" s="3" t="str">
        <x:v>2025::jama.2025.20765::C013</x:v>
      </x:c>
      <x:c r="B391" s="3" t="n">
        <x:v>1</x:v>
      </x:c>
      <x:c r="C391" s="3" t="str">
        <x:v>Reported-versus-comparator</x:v>
      </x:c>
      <x:c r="D391" s="3" t="str">
        <x:v>178 versus 134 for matched six-month intervention dose.</x:v>
      </x:c>
    </x:row>
    <x:row r="392" ht="180" customHeight="1">
      <x:c r="A392" s="6" t="str">
        <x:v>2025::jama.2025.20765::C013</x:v>
      </x:c>
      <x:c r="B392" s="6" t="n">
        <x:v>2</x:v>
      </x:c>
      <x:c r="C392" s="6" t="str">
        <x:v>Calculation</x:v>
      </x:c>
      <x:c r="D392" s="6" t="str">
        <x:v>178−134=44; 100+30+4=134; the log begins at 1 and ends at 134.</x:v>
      </x:c>
    </x:row>
    <x:row r="393" ht="180" customHeight="1">
      <x:c r="A393" s="3" t="str">
        <x:v>2025::jama.2025.20765::C013</x:v>
      </x:c>
      <x:c r="B393" s="3" t="n">
        <x:v>3</x:v>
      </x:c>
      <x:c r="C393" s="3" t="str">
        <x:v>Alternative source-grounded interpretations</x:v>
      </x:c>
      <x:c r="D393" s="3" t="str">
        <x:v>A formal amendment is plausible, but supplied material does not explicitly link the 178-message passage to the later 134-message regimen or establish what participants received.</x:v>
      </x:c>
    </x:row>
    <x:row r="394" ht="180" customHeight="1">
      <x:c r="A394" s="6" t="str">
        <x:v>2025::jama.2025.24175::C001</x:v>
      </x:c>
      <x:c r="B394" s="6" t="n">
        <x:v>0</x:v>
      </x:c>
      <x:c r="C394" s="6" t="str">
        <x:v>Source evidence</x:v>
      </x:c>
      <x:c r="D394" s="6" t="str">
        <x:v>Table 2 prints precision immunotherapy 52/131 (39.7%) versus placebo 34/145 (23.4%); the narrative prints 51 of 131 (39.7%) versus 34 of 145 (23.4%) for the same endpoint.</x:v>
      </x:c>
    </x:row>
    <x:row r="395" ht="180" customHeight="1">
      <x:c r="A395" s="3" t="str">
        <x:v>2025::jama.2025.24175::C001</x:v>
      </x:c>
      <x:c r="B395" s="3" t="n">
        <x:v>1</x:v>
      </x:c>
      <x:c r="C395" s="3" t="str">
        <x:v>Reported-versus-comparator</x:v>
      </x:c>
      <x:c r="D395" s="3" t="str">
        <x:v>52/131 versus 51/131, with the same displayed 39.7% and placebo comparator.</x:v>
      </x:c>
    </x:row>
    <x:row r="396" ht="180" customHeight="1">
      <x:c r="A396" s="6" t="str">
        <x:v>2025::jama.2025.24175::C001</x:v>
      </x:c>
      <x:c r="B396" s="6" t="n">
        <x:v>2</x:v>
      </x:c>
      <x:c r="C396" s="6" t="str">
        <x:v>Calculation</x:v>
      </x:c>
      <x:c r="D396" s="6" t="str">
        <x:v>52/131 = 39.6947% (39.7% rounded); 51/131 = 38.9313% (38.9% rounded). Table-2 counts yield crude OR (52x111)/(79x34) = 2.15.</x:v>
      </x:c>
    </x:row>
    <x:row r="397" ht="180" customHeight="1">
      <x:c r="A397" s="3" t="str">
        <x:v>2025::jama.2025.24175::C001</x:v>
      </x:c>
      <x:c r="B397" s="3" t="n">
        <x:v>3</x:v>
      </x:c>
      <x:c r="C397" s="3" t="str">
        <x:v>Alternative source-grounded interpretations</x:v>
      </x:c>
      <x:c r="D397" s="3" t="str">
        <x:v>A table or narrative transcription error is possible; an undocumented analysis-set distinction is possible but both locations print denominator 131.</x:v>
      </x:c>
    </x:row>
    <x:row r="398" ht="180" customHeight="1">
      <x:c r="A398" s="6" t="str">
        <x:v>2025::jama.2025.24175::C002</x:v>
      </x:c>
      <x:c r="B398" s="6" t="n">
        <x:v>0</x:v>
      </x:c>
      <x:c r="C398" s="6" t="str">
        <x:v>Source evidence</x:v>
      </x:c>
      <x:c r="D398" s="6" t="str">
        <x:v>Direct protocol rendering prints sc rhIFNgamma 100 micrograms once every other day; the report prints 100 micrograms every 48 hours for 15 days.</x:v>
      </x:c>
    </x:row>
    <x:row r="399" ht="180" customHeight="1">
      <x:c r="A399" s="3" t="str">
        <x:v>2025::jama.2025.24175::C002</x:v>
      </x:c>
      <x:c r="B399" s="3" t="n">
        <x:v>1</x:v>
      </x:c>
      <x:c r="C399" s="3" t="str">
        <x:v>Reported-versus-comparator</x:v>
      </x:c>
      <x:c r="D399" s="3" t="str">
        <x:v>Directly printed 100 micrograms versus 100 micrograms, not the prior 100-versus-20 comparison.</x:v>
      </x:c>
    </x:row>
    <x:row r="400" ht="180" customHeight="1">
      <x:c r="A400" s="6" t="str">
        <x:v>2025::jama.2025.24175::C002</x:v>
      </x:c>
      <x:c r="B400" s="6" t="n">
        <x:v>2</x:v>
      </x:c>
      <x:c r="C400" s="6" t="str">
        <x:v>Calculation</x:v>
      </x:c>
      <x:c r="D400" s="6" t="str">
        <x:v>100/100 = 1.</x:v>
      </x:c>
    </x:row>
    <x:row r="401" ht="180" customHeight="1">
      <x:c r="A401" s="3" t="str">
        <x:v>2025::jama.2025.24175::C002</x:v>
      </x:c>
      <x:c r="B401" s="3" t="n">
        <x:v>3</x:v>
      </x:c>
      <x:c r="C401" s="3" t="str">
        <x:v>Alternative source-grounded interpretations</x:v>
      </x:c>
      <x:c r="D401" s="3" t="str">
        <x:v>The 20-microgram locator transcription may reflect font encoding; an unsupplied approved protocol version remains unavailable.</x:v>
      </x:c>
    </x:row>
    <x:row r="402" ht="180" customHeight="1">
      <x:c r="A402" s="6" t="str">
        <x:v>2025::jama.2025.24175::C003</x:v>
      </x:c>
      <x:c r="B402" s="6" t="n">
        <x:v>0</x:v>
      </x:c>
      <x:c r="C402" s="6" t="str">
        <x:v>Source evidence</x:v>
      </x:c>
      <x:c r="D402" s="6" t="str">
        <x:v>Direct protocol, report, and SAP occurrences print a 1.4-point responder cutoff; SAP defines &gt;1.4 as achievement.</x:v>
      </x:c>
    </x:row>
    <x:row r="403" ht="180" customHeight="1">
      <x:c r="A403" s="3" t="str">
        <x:v>2025::jama.2025.24175::C003</x:v>
      </x:c>
      <x:c r="B403" s="3" t="n">
        <x:v>1</x:v>
      </x:c>
      <x:c r="C403" s="3" t="str">
        <x:v>Reported-versus-comparator</x:v>
      </x:c>
      <x:c r="D403" s="3" t="str">
        <x:v>1.4 versus 1.4 in matched supplied sources, not 1.5 versus 1.4.</x:v>
      </x:c>
    </x:row>
    <x:row r="404" ht="180" customHeight="1">
      <x:c r="A404" s="6" t="str">
        <x:v>2025::jama.2025.24175::C003</x:v>
      </x:c>
      <x:c r="B404" s="6" t="n">
        <x:v>2</x:v>
      </x:c>
      <x:c r="C404" s="6" t="str">
        <x:v>Calculation</x:v>
      </x:c>
      <x:c r="D404" s="6" t="str">
        <x:v>1.4 - 1.4 = 0.</x:v>
      </x:c>
    </x:row>
    <x:row r="405" ht="180" customHeight="1">
      <x:c r="A405" s="3" t="str">
        <x:v>2025::jama.2025.24175::C003</x:v>
      </x:c>
      <x:c r="B405" s="3" t="n">
        <x:v>3</x:v>
      </x:c>
      <x:c r="C405" s="3" t="str">
        <x:v>Alternative source-grounded interpretations</x:v>
      </x:c>
      <x:c r="D405" s="3" t="str">
        <x:v>The 1.5 value may be derivative-text recognition error; an unsupplied protocol version may differ.</x:v>
      </x:c>
    </x:row>
    <x:row r="406" ht="180" customHeight="1">
      <x:c r="A406" s="6" t="str">
        <x:v>2025::jama.2025.24175::C004</x:v>
      </x:c>
      <x:c r="B406" s="6" t="n">
        <x:v>0</x:v>
      </x:c>
      <x:c r="C406" s="6" t="str">
        <x:v>Source evidence</x:v>
      </x:c>
      <x:c r="D406" s="6" t="str">
        <x:v>Entry classification is ferritin at or below 4420 ng/mL plus HLA-DR below 5000 molecules/monocyte. SAP p. 69 prints restoration above 8000 for day-15 reversal.</x:v>
      </x:c>
    </x:row>
    <x:row r="407" ht="180" customHeight="1">
      <x:c r="A407" s="3" t="str">
        <x:v>2025::jama.2025.24175::C004</x:v>
      </x:c>
      <x:c r="B407" s="3" t="n">
        <x:v>1</x:v>
      </x:c>
      <x:c r="C407" s="3" t="str">
        <x:v>Reported-versus-comparator</x:v>
      </x:c>
      <x:c r="D407" s="3" t="str">
        <x:v>Entry threshold 5000 versus separately defined reversal threshold 8000.</x:v>
      </x:c>
    </x:row>
    <x:row r="408" ht="180" customHeight="1">
      <x:c r="A408" s="6" t="str">
        <x:v>2025::jama.2025.24175::C004</x:v>
      </x:c>
      <x:c r="B408" s="6" t="n">
        <x:v>2</x:v>
      </x:c>
      <x:c r="C408" s="6" t="str">
        <x:v>Calculation</x:v>
      </x:c>
      <x:c r="D408" s="6" t="str">
        <x:v>Matched entry sources agree at 5000; no 8000-versus-5000 entry comparison is present.</x:v>
      </x:c>
    </x:row>
    <x:row r="409" ht="180" customHeight="1">
      <x:c r="A409" s="3" t="str">
        <x:v>2025::jama.2025.24175::C004</x:v>
      </x:c>
      <x:c r="B409" s="3" t="n">
        <x:v>3</x:v>
      </x:c>
      <x:c r="C409" s="3" t="str">
        <x:v>Alternative source-grounded interpretations</x:v>
      </x:c>
      <x:c r="D409" s="3" t="str">
        <x:v>The prior record may have transferred the reversal value into entry classification; an unsupplied entry definition is unavailable.</x:v>
      </x:c>
    </x:row>
    <x:row r="410" ht="180" customHeight="1">
      <x:c r="A410" s="6" t="str">
        <x:v>2025::jama.2025.24175::C005</x:v>
      </x:c>
      <x:c r="B410" s="6" t="n">
        <x:v>0</x:v>
      </x:c>
      <x:c r="C410" s="6" t="str">
        <x:v>Source evidence</x:v>
      </x:c>
      <x:c r="D410" s="6" t="str">
        <x:v>The source does not print the prior 112-per-arm premise; it prints 117 patients per arm, about 15% dropout, and N=280.</x:v>
      </x:c>
    </x:row>
    <x:row r="411" ht="180" customHeight="1">
      <x:c r="A411" s="3" t="str">
        <x:v>2025::jama.2025.24175::C005</x:v>
      </x:c>
      <x:c r="B411" s="3" t="n">
        <x:v>1</x:v>
      </x:c>
      <x:c r="C411" s="3" t="str">
        <x:v>Reported-versus-comparator</x:v>
      </x:c>
      <x:c r="D411" s="3" t="str">
        <x:v>Required analyzable total 234 versus planned randomization 280 under an approximate attrition statement.</x:v>
      </x:c>
    </x:row>
    <x:row r="412" ht="180" customHeight="1">
      <x:c r="A412" s="6" t="str">
        <x:v>2025::jama.2025.24175::C005</x:v>
      </x:c>
      <x:c r="B412" s="6" t="n">
        <x:v>2</x:v>
      </x:c>
      <x:c r="C412" s="6" t="str">
        <x:v>Calculation</x:v>
      </x:c>
      <x:c r="D412" s="6" t="str">
        <x:v>2x117 = 234; 234/(1-.15) = 275.29 (conventionally at least 276); 1-234/280 = 16.43%.</x:v>
      </x:c>
    </x:row>
    <x:row r="413" ht="180" customHeight="1">
      <x:c r="A413" s="3" t="str">
        <x:v>2025::jama.2025.24175::C005</x:v>
      </x:c>
      <x:c r="B413" s="3" t="n">
        <x:v>3</x:v>
      </x:c>
      <x:c r="C413" s="3" t="str">
        <x:v>Alternative source-grounded interpretations</x:v>
      </x:c>
      <x:c r="D413" s="3" t="str">
        <x:v>Conservative rounding to 280, approximately 16.4% attrition, or unstated block/operational inflation could explain the residual.</x:v>
      </x:c>
    </x:row>
    <x:row r="414" ht="180" customHeight="1">
      <x:c r="A414" s="6" t="str">
        <x:v>2025::jama.2025.24175::C006</x:v>
      </x:c>
      <x:c r="B414" s="6" t="n">
        <x:v>0</x:v>
      </x:c>
      <x:c r="C414" s="6" t="str">
        <x:v>Source evidence</x:v>
      </x:c>
      <x:c r="D414" s="6" t="str">
        <x:v>Narrative reports 18/21 (85.7%) placebo and 14/15 (93.3%) personalized-immunotherapy deaths at 28 days; Figure 1 reports early termination because of death n=18 and n=11.</x:v>
      </x:c>
    </x:row>
    <x:row r="415" ht="180" customHeight="1">
      <x:c r="A415" s="3" t="str">
        <x:v>2025::jama.2025.24175::C006</x:v>
      </x:c>
      <x:c r="B415" s="3" t="n">
        <x:v>1</x:v>
      </x:c>
      <x:c r="C415" s="3" t="str">
        <x:v>Reported-versus-comparator</x:v>
      </x:c>
      <x:c r="D415" s="3" t="str">
        <x:v>Personalized arm 14 versus 11; placebo count 18 agrees.</x:v>
      </x:c>
    </x:row>
    <x:row r="416" ht="180" customHeight="1">
      <x:c r="A416" s="6" t="str">
        <x:v>2025::jama.2025.24175::C006</x:v>
      </x:c>
      <x:c r="B416" s="6" t="n">
        <x:v>2</x:v>
      </x:c>
      <x:c r="C416" s="6" t="str">
        <x:v>Calculation</x:v>
      </x:c>
      <x:c r="D416" s="6" t="str">
        <x:v>14/15 = 93.3%; 11/15 = 73.3%; difference = 3 people.</x:v>
      </x:c>
    </x:row>
    <x:row r="417" ht="180" customHeight="1">
      <x:c r="A417" s="3" t="str">
        <x:v>2025::jama.2025.24175::C006</x:v>
      </x:c>
      <x:c r="B417" s="3" t="n">
        <x:v>3</x:v>
      </x:c>
      <x:c r="C417" s="3" t="str">
        <x:v>Alternative source-grounded interpretations</x:v>
      </x:c>
      <x:c r="D417" s="3" t="str">
        <x:v>Figure 1 may represent a shorter intervention-termination window; its time window is not stated.</x:v>
      </x:c>
    </x:row>
    <x:row r="418" ht="180" customHeight="1">
      <x:c r="A418" s="6" t="str">
        <x:v>2025::jama.2025.24175::C007</x:v>
      </x:c>
      <x:c r="B418" s="6" t="n">
        <x:v>0</x:v>
      </x:c>
      <x:c r="C418" s="6" t="str">
        <x:v>Source evidence</x:v>
      </x:c>
      <x:c r="D418" s="6" t="str">
        <x:v>Placebo n=21, 18.2 +/- 8.7; personalized immunotherapy n=15, 30.5 +/- 9.4; P=.376; footnote identifies Student t test.</x:v>
      </x:c>
    </x:row>
    <x:row r="419" ht="180" customHeight="1">
      <x:c r="A419" s="3" t="str">
        <x:v>2025::jama.2025.24175::C007</x:v>
      </x:c>
      <x:c r="B419" s="3" t="n">
        <x:v>1</x:v>
      </x:c>
      <x:c r="C419" s="3" t="str">
        <x:v>Reported-versus-comparator</x:v>
      </x:c>
      <x:c r="D419" s="3" t="str">
        <x:v>Printed P=.376 versus diagnostics from the displayed group summaries and named test.</x:v>
      </x:c>
    </x:row>
    <x:row r="420" ht="180" customHeight="1">
      <x:c r="A420" s="6" t="str">
        <x:v>2025::jama.2025.24175::C007</x:v>
      </x:c>
      <x:c r="B420" s="6" t="n">
        <x:v>2</x:v>
      </x:c>
      <x:c r="C420" s="6" t="str">
        <x:v>Calculation</x:v>
      </x:c>
      <x:c r="D420" s="6" t="str">
        <x:v>Pooled SD about 9.00, SE about 3.04, t about 4.05 (34 df; two-sided P about .0003); Welch t about 3.99 (about 29 df; P about .0004).</x:v>
      </x:c>
    </x:row>
    <x:row r="421" ht="180" customHeight="1">
      <x:c r="A421" s="3" t="str">
        <x:v>2025::jama.2025.24175::C007</x:v>
      </x:c>
      <x:c r="B421" s="3" t="n">
        <x:v>3</x:v>
      </x:c>
      <x:c r="C421" s="3" t="str">
        <x:v>Alternative source-grounded interpretations</x:v>
      </x:c>
      <x:c r="D421" s="3" t="str">
        <x:v>P may be transposed, an input may be inaccurate, or an unreported transformed/different dataset analysis may have been used.</x:v>
      </x:c>
    </x:row>
    <x:row r="422" ht="180" customHeight="1">
      <x:c r="A422" s="6" t="str">
        <x:v>2025::jama.2025.24175::C008</x:v>
      </x:c>
      <x:c r="B422" s="6" t="n">
        <x:v>0</x:v>
      </x:c>
      <x:c r="C422" s="6" t="str">
        <x:v>Source evidence</x:v>
      </x:c>
      <x:c r="D422" s="6" t="str">
        <x:v>Parent septic shock =177; children MALS 44 (24.8%), immunoparalysis 2 (1.1%), intermediate 132 (74.0%).</x:v>
      </x:c>
    </x:row>
    <x:row r="423" ht="180" customHeight="1">
      <x:c r="A423" s="3" t="str">
        <x:v>2025::jama.2025.24175::C008</x:v>
      </x:c>
      <x:c r="B423" s="3" t="n">
        <x:v>1</x:v>
      </x:c>
      <x:c r="C423" s="3" t="str">
        <x:v>Reported-versus-comparator</x:v>
      </x:c>
      <x:c r="D423" s="3" t="str">
        <x:v>Parent 177 versus displayed child total 178.</x:v>
      </x:c>
    </x:row>
    <x:row r="424" ht="180" customHeight="1">
      <x:c r="A424" s="6" t="str">
        <x:v>2025::jama.2025.24175::C008</x:v>
      </x:c>
      <x:c r="B424" s="6" t="n">
        <x:v>2</x:v>
      </x:c>
      <x:c r="C424" s="6" t="str">
        <x:v>Calculation</x:v>
      </x:c>
      <x:c r="D424" s="6" t="str">
        <x:v>44+2+132 = 178; percentages total 99.9% from rounding, but integer children exceed parent by one.</x:v>
      </x:c>
    </x:row>
    <x:row r="425" ht="180" customHeight="1">
      <x:c r="A425" s="3" t="str">
        <x:v>2025::jama.2025.24175::C008</x:v>
      </x:c>
      <x:c r="B425" s="3" t="n">
        <x:v>3</x:v>
      </x:c>
      <x:c r="C425" s="3" t="str">
        <x:v>Alternative source-grounded interpretations</x:v>
      </x:c>
      <x:c r="D425" s="3" t="str">
        <x:v>One count or parent total may be typographic, or an unstated overlap/unclassified case may exist.</x:v>
      </x:c>
    </x:row>
    <x:row r="426" ht="180" customHeight="1">
      <x:c r="A426" s="6" t="str">
        <x:v>2025::jama.2025.24175::C009</x:v>
      </x:c>
      <x:c r="B426" s="6" t="n">
        <x:v>0</x:v>
      </x:c>
      <x:c r="C426" s="6" t="str">
        <x:v>Source evidence</x:v>
      </x:c>
      <x:c r="D426" s="6" t="str">
        <x:v>Protocol and SAP design print 24 sites, SAP model text says 31 participated, and the report prints 33 sites.</x:v>
      </x:c>
    </x:row>
    <x:row r="427" ht="180" customHeight="1">
      <x:c r="A427" s="3" t="str">
        <x:v>2025::jama.2025.24175::C009</x:v>
      </x:c>
      <x:c r="B427" s="3" t="n">
        <x:v>1</x:v>
      </x:c>
      <x:c r="C427" s="3" t="str">
        <x:v>Reported-versus-comparator</x:v>
      </x:c>
      <x:c r="D427" s="3" t="str">
        <x:v>Repaired direct values 24, 31, and 33; prior 28 and report p.1 citation were not reproduced.</x:v>
      </x:c>
    </x:row>
    <x:row r="428" ht="180" customHeight="1">
      <x:c r="A428" s="6" t="str">
        <x:v>2025::jama.2025.24175::C009</x:v>
      </x:c>
      <x:c r="B428" s="6" t="n">
        <x:v>2</x:v>
      </x:c>
      <x:c r="C428" s="6" t="str">
        <x:v>Calculation</x:v>
      </x:c>
      <x:c r="D428" s="6" t="str">
        <x:v>The three integers cannot be reconciled by rounding; protocol and SAP design share 24.</x:v>
      </x:c>
    </x:row>
    <x:row r="429" ht="180" customHeight="1">
      <x:c r="A429" s="3" t="str">
        <x:v>2025::jama.2025.24175::C009</x:v>
      </x:c>
      <x:c r="B429" s="3" t="n">
        <x:v>3</x:v>
      </x:c>
      <x:c r="C429" s="3" t="str">
        <x:v>Alternative source-grounded interpretations</x:v>
      </x:c>
      <x:c r="D429" s="3" t="str">
        <x:v>They may describe different operational milestones, but chronology and definitions are absent.</x:v>
      </x:c>
    </x:row>
    <x:row r="430" ht="180" customHeight="1">
      <x:c r="A430" s="6" t="str">
        <x:v>2025::jama.2025.24175::C010</x:v>
      </x:c>
      <x:c r="B430" s="6" t="n">
        <x:v>0</x:v>
      </x:c>
      <x:c r="C430" s="6" t="str">
        <x:v>Source evidence</x:v>
      </x:c>
      <x:c r="D430" s="6" t="str">
        <x:v>Figure 2C shows 69/103 deaths versus 37/89 and labels RR_death 2.82 (1.58-5.14), P&lt;.0001; Figure 3 prints HR 2.82 (1.58-5.14).</x:v>
      </x:c>
    </x:row>
    <x:row r="431" ht="180" customHeight="1">
      <x:c r="A431" s="3" t="str">
        <x:v>2025::jama.2025.24175::C010</x:v>
      </x:c>
      <x:c r="B431" s="3" t="n">
        <x:v>1</x:v>
      </x:c>
      <x:c r="C431" s="3" t="str">
        <x:v>Reported-versus-comparator</x:v>
      </x:c>
      <x:c r="D431" s="3" t="str">
        <x:v>RR label/value 2.82 versus crude RR 1.61 and identical nearby HR 2.82.</x:v>
      </x:c>
    </x:row>
    <x:row r="432" ht="180" customHeight="1">
      <x:c r="A432" s="6" t="str">
        <x:v>2025::jama.2025.24175::C010</x:v>
      </x:c>
      <x:c r="B432" s="6" t="n">
        <x:v>2</x:v>
      </x:c>
      <x:c r="C432" s="6" t="str">
        <x:v>Calculation</x:v>
      </x:c>
      <x:c r="D432" s="6" t="str">
        <x:v>(69/103)/(37/89) = 1.61; (69x52)/(34x37) = 2.85, compatible with 2.82.</x:v>
      </x:c>
    </x:row>
    <x:row r="433" ht="180" customHeight="1">
      <x:c r="A433" s="3" t="str">
        <x:v>2025::jama.2025.24175::C010</x:v>
      </x:c>
      <x:c r="B433" s="3" t="n">
        <x:v>3</x:v>
      </x:c>
      <x:c r="C433" s="3" t="str">
        <x:v>Alternative source-grounded interpretations</x:v>
      </x:c>
      <x:c r="D433" s="3" t="str">
        <x:v>The value may be HR, OR, another model output, or paired with count rows from a different analysis; source does not resolve it. P&lt;.0001 is threshold notation and not this card's basis.</x:v>
      </x:c>
    </x:row>
    <x:row r="434" ht="180" customHeight="1">
      <x:c r="A434" s="6" t="str">
        <x:v>2025::jama.2025.24175::C011</x:v>
      </x:c>
      <x:c r="B434" s="6" t="n">
        <x:v>0</x:v>
      </x:c>
      <x:c r="C434" s="6" t="str">
        <x:v>Source evidence</x:v>
      </x:c>
      <x:c r="D434" s="6" t="str">
        <x:v>SII day-15 row prints 40/106 versus 29/122, OR 1.194 (1.09-3.45), P=.030.</x:v>
      </x:c>
    </x:row>
    <x:row r="435" ht="180" customHeight="1">
      <x:c r="A435" s="3" t="str">
        <x:v>2025::jama.2025.24175::C011</x:v>
      </x:c>
      <x:c r="B435" s="3" t="n">
        <x:v>1</x:v>
      </x:c>
      <x:c r="C435" s="3" t="str">
        <x:v>Reported-versus-comparator</x:v>
      </x:c>
      <x:c r="D435" s="3" t="str">
        <x:v>Printed 1.194 versus count-derived OR about 1.94 and CI log midpoint about 1.94.</x:v>
      </x:c>
    </x:row>
    <x:row r="436" ht="180" customHeight="1">
      <x:c r="A436" s="6" t="str">
        <x:v>2025::jama.2025.24175::C011</x:v>
      </x:c>
      <x:c r="B436" s="6" t="n">
        <x:v>2</x:v>
      </x:c>
      <x:c r="C436" s="6" t="str">
        <x:v>Calculation</x:v>
      </x:c>
      <x:c r="D436" s="6" t="str">
        <x:v>(40x93)/(66x29) = 1.94; sqrt(1.09x3.45) about 1.94.</x:v>
      </x:c>
    </x:row>
    <x:row r="437" ht="180" customHeight="1">
      <x:c r="A437" s="3" t="str">
        <x:v>2025::jama.2025.24175::C011</x:v>
      </x:c>
      <x:c r="B437" s="3" t="n">
        <x:v>3</x:v>
      </x:c>
      <x:c r="C437" s="3" t="str">
        <x:v>Alternative source-grounded interpretations</x:v>
      </x:c>
      <x:c r="D437" s="3" t="str">
        <x:v>Decimal/transcription error or a differently defined analysis pairing may explain the row.</x:v>
      </x:c>
    </x:row>
    <x:row r="438" ht="180" customHeight="1">
      <x:c r="A438" s="6" t="str">
        <x:v>2025::jama.2025.24175::C012</x:v>
      </x:c>
      <x:c r="B438" s="6" t="n">
        <x:v>0</x:v>
      </x:c>
      <x:c r="C438" s="6" t="str">
        <x:v>Source evidence</x:v>
      </x:c>
      <x:c r="D438" s="6" t="str">
        <x:v>eFigure 7B prints APACHE 0.47 and interaction 1.85; CCI 0.22 and interaction 5.79; SOFA 0.56 and interaction 3.08, with their CIs/P values. eFigure 8B repeats all six rows exactly under a 28-day mortality caption; A panels have different event/total data.</x:v>
      </x:c>
    </x:row>
    <x:row r="439" ht="180" customHeight="1">
      <x:c r="A439" s="3" t="str">
        <x:v>2025::jama.2025.24175::C012</x:v>
      </x:c>
      <x:c r="B439" s="3" t="n">
        <x:v>1</x:v>
      </x:c>
      <x:c r="C439" s="3" t="str">
        <x:v>Reported-versus-comparator</x:v>
      </x:c>
      <x:c r="D439" s="3" t="str">
        <x:v>Complete six-row primary-endpoint output versus identical six-row 28-day-mortality output.</x:v>
      </x:c>
    </x:row>
    <x:row r="440" ht="180" customHeight="1">
      <x:c r="A440" s="6" t="str">
        <x:v>2025::jama.2025.24175::C012</x:v>
      </x:c>
      <x:c r="B440" s="6" t="n">
        <x:v>2</x:v>
      </x:c>
      <x:c r="C440" s="6" t="str">
        <x:v>Calculation</x:v>
      </x:c>
      <x:c r="D440" s="6" t="str">
        <x:v>Six point estimates, intervals, and P values are identical across the two panels.</x:v>
      </x:c>
    </x:row>
    <x:row r="441" ht="180" customHeight="1">
      <x:c r="A441" s="3" t="str">
        <x:v>2025::jama.2025.24175::C012</x:v>
      </x:c>
      <x:c r="B441" s="3" t="n">
        <x:v>3</x:v>
      </x:c>
      <x:c r="C441" s="3" t="str">
        <x:v>Alternative source-grounded interpretations</x:v>
      </x:c>
      <x:c r="D441" s="3" t="str">
        <x:v>A copied panel or incorrect caption is possible; source-production files are unavailable and no specific mechanism is established.</x:v>
      </x:c>
    </x:row>
    <x:row r="442" ht="180" customHeight="1">
      <x:c r="A442" s="6" t="str">
        <x:v>2025::jama.2025.24175::C013</x:v>
      </x:c>
      <x:c r="B442" s="6" t="n">
        <x:v>0</x:v>
      </x:c>
      <x:c r="C442" s="6" t="str">
        <x:v>Source evidence</x:v>
      </x:c>
      <x:c r="D442" s="6" t="str">
        <x:v>APACHE II &gt;=25 interaction row prints OR 0.11, 95% CI 0.36-3.42, P=.86.</x:v>
      </x:c>
    </x:row>
    <x:row r="443" ht="180" customHeight="1">
      <x:c r="A443" s="3" t="str">
        <x:v>2025::jama.2025.24175::C013</x:v>
      </x:c>
      <x:c r="B443" s="3" t="n">
        <x:v>1</x:v>
      </x:c>
      <x:c r="C443" s="3" t="str">
        <x:v>Reported-versus-comparator</x:v>
      </x:c>
      <x:c r="D443" s="3" t="str">
        <x:v>Point estimate 0.11 versus interval lower endpoint 0.36.</x:v>
      </x:c>
    </x:row>
    <x:row r="444" ht="180" customHeight="1">
      <x:c r="A444" s="6" t="str">
        <x:v>2025::jama.2025.24175::C013</x:v>
      </x:c>
      <x:c r="B444" s="6" t="n">
        <x:v>2</x:v>
      </x:c>
      <x:c r="C444" s="6" t="str">
        <x:v>Calculation</x:v>
      </x:c>
      <x:c r="D444" s="6" t="str">
        <x:v>0.11 &lt; 0.36; rounding cannot span the difference.</x:v>
      </x:c>
    </x:row>
    <x:row r="445" ht="180" customHeight="1">
      <x:c r="A445" s="3" t="str">
        <x:v>2025::jama.2025.24175::C013</x:v>
      </x:c>
      <x:c r="B445" s="3" t="n">
        <x:v>3</x:v>
      </x:c>
      <x:c r="C445" s="3" t="str">
        <x:v>Alternative source-grounded interpretations</x:v>
      </x:c>
      <x:c r="D445" s="3" t="str">
        <x:v>A point estimate, endpoint, or row alignment may be wrong; source does not identify which component.</x:v>
      </x:c>
    </x:row>
    <x:row r="446" ht="180" customHeight="1">
      <x:c r="A446" s="6" t="str">
        <x:v>2025::jama.2025.24175::C014</x:v>
      </x:c>
      <x:c r="B446" s="6" t="n">
        <x:v>0</x:v>
      </x:c>
      <x:c r="C446" s="6" t="str">
        <x:v>Source evidence</x:v>
      </x:c>
      <x:c r="D446" s="6" t="str">
        <x:v>Actual p.41 pairs are 18/21 (85.7%) and 14/15 (93.3%) and reconcile. The alleged p.42 pairs are absent; p.48 values 10 (47.6%) and 12 (80.0%) are unrelated rows.</x:v>
      </x:c>
    </x:row>
    <x:row r="447" ht="180" customHeight="1">
      <x:c r="A447" s="3" t="str">
        <x:v>2025::jama.2025.24175::C014</x:v>
      </x:c>
      <x:c r="B447" s="3" t="n">
        <x:v>1</x:v>
      </x:c>
      <x:c r="C447" s="3" t="str">
        <x:v>Reported-versus-comparator</x:v>
      </x:c>
      <x:c r="D447" s="3" t="str">
        <x:v>Unsupported assembled alleged pairs versus directly printed coherent p.41 mortality pairs.</x:v>
      </x:c>
    </x:row>
    <x:row r="448" ht="180" customHeight="1">
      <x:c r="A448" s="6" t="str">
        <x:v>2025::jama.2025.24175::C014</x:v>
      </x:c>
      <x:c r="B448" s="6" t="n">
        <x:v>2</x:v>
      </x:c>
      <x:c r="C448" s="6" t="str">
        <x:v>Calculation</x:v>
      </x:c>
      <x:c r="D448" s="6" t="str">
        <x:v>18/21 = 85.7%; 14/15 = 93.3%.</x:v>
      </x:c>
    </x:row>
    <x:row r="449" ht="180" customHeight="1">
      <x:c r="A449" s="3" t="str">
        <x:v>2025::jama.2025.24175::C014</x:v>
      </x:c>
      <x:c r="B449" s="3" t="n">
        <x:v>3</x:v>
      </x:c>
      <x:c r="C449" s="3" t="str">
        <x:v>Alternative source-grounded interpretations</x:v>
      </x:c>
      <x:c r="D449" s="3" t="str">
        <x:v>The prior record may have combined a Figure 1 count with unrelated Table 2 values and a shifted page citation; an outside source is unavailable.</x:v>
      </x:c>
    </x:row>
    <x:row r="450" ht="180" customHeight="1">
      <x:c r="A450" s="6" t="str">
        <x:v>2025::jama.2025.4390::C001</x:v>
      </x:c>
      <x:c r="B450" s="6" t="n">
        <x:v>0</x:v>
      </x:c>
      <x:c r="C450" s="6" t="str">
        <x:v>Source evidence</x:v>
      </x:c>
      <x:c r="D450" s="6" t="str">
        <x:v>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x:v>
      </x:c>
    </x:row>
    <x:row r="451" ht="180" customHeight="1">
      <x:c r="A451" s="3" t="str">
        <x:v>2025::jama.2025.4390::C001</x:v>
      </x:c>
      <x:c r="B451" s="3" t="n">
        <x:v>1</x:v>
      </x:c>
      <x:c r="C451" s="3" t="str">
        <x:v>Reported-versus-comparator</x:v>
      </x:c>
      <x:c r="D451" s="3" t="str">
        <x:v>Reported Figure 3 values: 71.0/71.0 under the printed rate header. Matched comparator: Table 2 2.30/2.44 per 100 patient-years, with abstract/narrative rounding to 2.3/2.4.</x:v>
      </x:c>
    </x:row>
    <x:row r="452" ht="180" customHeight="1">
      <x:c r="A452" s="6" t="str">
        <x:v>2025::jama.2025.4390::C001</x:v>
      </x:c>
      <x:c r="B452" s="6" t="n">
        <x:v>2</x:v>
      </x:c>
      <x:c r="C452" s="6" t="str">
        <x:v>Calculation</x:v>
      </x:c>
      <x:c r="D452" s="6" t="str">
        <x:v>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x:v>
      </x:c>
    </x:row>
    <x:row r="453" ht="180" customHeight="1">
      <x:c r="A453" s="3" t="str">
        <x:v>2025::jama.2025.4390::C001</x:v>
      </x:c>
      <x:c r="B453" s="3" t="n">
        <x:v>3</x:v>
      </x:c>
      <x:c r="C453" s="3" t="str">
        <x:v>Alternative source-grounded interpretations</x:v>
      </x:c>
      <x:c r="D453" s="3" t="str">
        <x:v>The values may represent an unlabeled exposure quantity, the Figure 3 column header may be mislabeled, a figure value may have entered production incorrectly, or the figure may use an unreported denominator. The supplied package does not identify which display is authoritative.</x:v>
      </x:c>
    </x:row>
    <x:row r="454" ht="180" customHeight="1">
      <x:c r="A454" s="6" t="str">
        <x:v>2025::jama.2025.4390::C002</x:v>
      </x:c>
      <x:c r="B454" s="6" t="n">
        <x:v>0</x:v>
      </x:c>
      <x:c r="C454" s="6" t="str">
        <x:v>Source evidence</x:v>
      </x:c>
      <x:c r="D454" s="6" t="str">
        <x:v>eFigure 4 identifies PM as the bedtime group and prints diuretic counts 278 as allocated, 138 off allocation, and 8 twice or more daily. eTable 6 reports the same bedtime diuretic total of 424 as 277/424 (65.3%) as allocated, 139/424 (32.8%) off allocation, and 8/424 (1.9%) twice or more daily.</x:v>
      </x:c>
    </x:row>
    <x:row r="455" ht="180" customHeight="1">
      <x:c r="A455" s="3" t="str">
        <x:v>2025::jama.2025.4390::C002</x:v>
      </x:c>
      <x:c r="B455" s="3" t="n">
        <x:v>1</x:v>
      </x:c>
      <x:c r="C455" s="3" t="str">
        <x:v>Reported-versus-comparator</x:v>
      </x:c>
      <x:c r="D455" s="3" t="str">
        <x:v>Reported figure triplet: 278/138/8. Matched table triplet: 277/139/8 of 424, with the stated percentages.</x:v>
      </x:c>
    </x:row>
    <x:row r="456" ht="180" customHeight="1">
      <x:c r="A456" s="6" t="str">
        <x:v>2025::jama.2025.4390::C002</x:v>
      </x:c>
      <x:c r="B456" s="6" t="n">
        <x:v>2</x:v>
      </x:c>
      <x:c r="C456" s="6" t="str">
        <x:v>Calculation</x:v>
      </x:c>
      <x:c r="D456" s="6" t="str">
        <x:v>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x:v>
      </x:c>
    </x:row>
    <x:row r="457" ht="180" customHeight="1">
      <x:c r="A457" s="3" t="str">
        <x:v>2025::jama.2025.4390::C002</x:v>
      </x:c>
      <x:c r="B457" s="3" t="n">
        <x:v>3</x:v>
      </x:c>
      <x:c r="C457" s="3" t="str">
        <x:v>Alternative source-grounded interpretations</x:v>
      </x:c>
      <x:c r="D457" s="3" t="str">
        <x:v>One medication may have been recoded between as-allocated and off-allocation, the displays may use undisclosed data cuts, or one figure/table value may have changed during production. Both triplets are compatible with the shared total; the source does not select an intended triplet.</x:v>
      </x:c>
    </x:row>
    <x:row r="458" ht="180" customHeight="1">
      <x:c r="A458" s="6" t="str">
        <x:v>2025::jama.2025.4390::C003</x:v>
      </x:c>
      <x:c r="B458" s="6" t="n">
        <x:v>0</x:v>
      </x:c>
      <x:c r="C458" s="6" t="str">
        <x:v>Source evidence</x:v>
      </x:c>
      <x:c r="D458" s="6" t="str">
        <x:v>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x:v>
      </x:c>
    </x:row>
    <x:row r="459" ht="180" customHeight="1">
      <x:c r="A459" s="3" t="str">
        <x:v>2025::jama.2025.4390::C003</x:v>
      </x:c>
      <x:c r="B459" s="3" t="n">
        <x:v>1</x:v>
      </x:c>
      <x:c r="C459" s="3" t="str">
        <x:v>Reported-versus-comparator</x:v>
      </x:c>
      <x:c r="D459" s="3" t="str">
        <x:v>Reported eTable 5 Other row: morning 40 (90.9%) and bedtime 53 (93.0%), identical to White/Caucasian. Matched parent-arm comparator: eTable 3 Other counts of 5 morning and 9 bedtime.</x:v>
      </x:c>
    </x:row>
    <x:row r="460" ht="180" customHeight="1">
      <x:c r="A460" s="6" t="str">
        <x:v>2025::jama.2025.4390::C003</x:v>
      </x:c>
      <x:c r="B460" s="6" t="n">
        <x:v>2</x:v>
      </x:c>
      <x:c r="C460" s="6" t="str">
        <x:v>Calculation</x:v>
      </x:c>
      <x:c r="D460" s="6" t="str">
        <x:v>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x:v>
      </x:c>
    </x:row>
    <x:row r="461" ht="180" customHeight="1">
      <x:c r="A461" s="3" t="str">
        <x:v>2025::jama.2025.4390::C003</x:v>
      </x:c>
      <x:c r="B461" s="3" t="n">
        <x:v>3</x:v>
      </x:c>
      <x:c r="C461" s="3" t="str">
        <x:v>Alternative source-grounded interpretations</x:v>
      </x:c>
      <x:c r="D461" s="3" t="str">
        <x:v>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x:v>
      </x:c>
    </x:row>
    <x:row r="462" ht="180" customHeight="1">
      <x:c r="A462" s="6" t="str">
        <x:v>2025::jama.2025.7583::C001</x:v>
      </x:c>
      <x:c r="B462" s="6" t="n">
        <x:v>0</x:v>
      </x:c>
      <x:c r="C462" s="6" t="str">
        <x:v>Source evidence</x:v>
      </x:c>
      <x:c r="D462" s="6" t="str">
        <x:v>The main article prints “5 mm or greater”; protocol pp. 7 and 16 and the results supplement print &gt;=5 mm; the SAP prints &gt;5 mm. Each occurrence is the same six-month homolateral-CSDH primary-endpoint imaging component, alongside the same symptomatic-CSDH alternative.</x:v>
      </x:c>
    </x:row>
    <x:row r="463" ht="180" customHeight="1">
      <x:c r="A463" s="3" t="str">
        <x:v>2025::jama.2025.7583::C001</x:v>
      </x:c>
      <x:c r="B463" s="3" t="n">
        <x:v>1</x:v>
      </x:c>
      <x:c r="C463" s="3" t="str">
        <x:v>Reported-versus-comparator</x:v>
      </x:c>
      <x:c r="D463" s="3" t="str">
        <x:v>The inclusive &gt;=5 mm wording in the main article, protocol, and results supplement is compared with the SAP’s strict &gt;5 mm wording.</x:v>
      </x:c>
    </x:row>
    <x:row r="464" ht="180" customHeight="1">
      <x:c r="A464" s="6" t="str">
        <x:v>2025::jama.2025.7583::C001</x:v>
      </x:c>
      <x:c r="B464" s="6" t="n">
        <x:v>2</x:v>
      </x:c>
      <x:c r="C464" s="6" t="str">
        <x:v>Calculation</x:v>
      </x:c>
      <x:c r="D464" s="6" t="str">
        <x:v>For shift x, x &gt;= 5 includes x = 5; x &gt; 5 excludes x = 5. The set difference is the boundary value alone. Rounding cannot reconcile the two operators.</x:v>
      </x:c>
    </x:row>
    <x:row r="465" ht="180" customHeight="1">
      <x:c r="A465" s="3" t="str">
        <x:v>2025::jama.2025.7583::C001</x:v>
      </x:c>
      <x:c r="B465" s="3" t="n">
        <x:v>3</x:v>
      </x:c>
      <x:c r="C465" s="3" t="str">
        <x:v>Alternative source-grounded interpretations</x:v>
      </x:c>
      <x:c r="D465" s="3" t="str">
        <x:v>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x:v>
      </x:c>
    </x:row>
    <x:row r="466" ht="180" customHeight="1">
      <x:c r="A466" s="6" t="str">
        <x:v>2025::jama.2025.7583::C002</x:v>
      </x:c>
      <x:c r="B466" s="6" t="n">
        <x:v>0</x:v>
      </x:c>
      <x:c r="C466" s="6" t="str">
        <x:v>Source evidence</x:v>
      </x:c>
      <x:c r="D466" s="6" t="str">
        <x:v>Protocol and SAP print 142 required participants per group, a 20% loss-to-follow-up assumption, and 342 total participants (171 per group); the main article repeats the 20% allowance and total 342. The protocol and SAP state that 142 per group accounts for the planned sequential tests.</x:v>
      </x:c>
    </x:row>
    <x:row r="467" ht="180" customHeight="1">
      <x:c r="A467" s="3" t="str">
        <x:v>2025::jama.2025.7583::C002</x:v>
      </x:c>
      <x:c r="B467" s="3" t="n">
        <x:v>1</x:v>
      </x:c>
      <x:c r="C467" s="3" t="str">
        <x:v>Reported-versus-comparator</x:v>
      </x:c>
      <x:c r="D467" s="3" t="str">
        <x:v>Printed enrollment is 171 per group/342 total. The comparator is the enrollment required to retain 142 per group after a stated 20% loss fraction.</x:v>
      </x:c>
    </x:row>
    <x:row r="468" ht="180" customHeight="1">
      <x:c r="A468" s="6" t="str">
        <x:v>2025::jama.2025.7583::C002</x:v>
      </x:c>
      <x:c r="B468" s="6" t="n">
        <x:v>2</x:v>
      </x:c>
      <x:c r="C468" s="6" t="str">
        <x:v>Calculation</x:v>
      </x:c>
      <x:c r="D468" s="6" t="str">
        <x:v>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x:v>
      </x:c>
    </x:row>
    <x:row r="469" ht="180" customHeight="1">
      <x:c r="A469" s="3" t="str">
        <x:v>2025::jama.2025.7583::C002</x:v>
      </x:c>
      <x:c r="B469" s="3" t="n">
        <x:v>3</x:v>
      </x:c>
      <x:c r="C469" s="3" t="str">
        <x:v>Alternative source-grounded interpretations</x:v>
      </x:c>
      <x:c r="D469" s="3" t="str">
        <x:v>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x:v>
      </x:c>
    </x:row>
    <x:row r="470" ht="180" customHeight="1">
      <x:c r="A470" s="6" t="str">
        <x:v>2025::jama.2025.7583::C003</x:v>
      </x:c>
      <x:c r="B470" s="6" t="n">
        <x:v>0</x:v>
      </x:c>
      <x:c r="C470" s="6" t="str">
        <x:v>Source evidence</x:v>
      </x:c>
      <x:c r="D470" s="6" t="str">
        <x:v>The standard-care column prints 146/163 (89.6%) for trepanation burr-hole craniostomy and 18/163 (11.0%) for trephine craniostomy. The header defines entries as No./total No. (%); footnote e describes procedures performed either with a cranial drill or a skull trephine cylindrical saw.</x:v>
      </x:c>
    </x:row>
    <x:row r="471" ht="180" customHeight="1">
      <x:c r="A471" s="3" t="str">
        <x:v>2025::jama.2025.7583::C003</x:v>
      </x:c>
      <x:c r="B471" s="3" t="n">
        <x:v>1</x:v>
      </x:c>
      <x:c r="C471" s="3" t="str">
        <x:v>Reported-versus-comparator</x:v>
      </x:c>
      <x:c r="D471" s="3" t="str">
        <x:v>The two printed numerators, 146 and 18, are compared with their repeated denominator, 163, under the table’s participant-framed No./total No. (%) presentation.</x:v>
      </x:c>
    </x:row>
    <x:row r="472" ht="180" customHeight="1">
      <x:c r="A472" s="6" t="str">
        <x:v>2025::jama.2025.7583::C003</x:v>
      </x:c>
      <x:c r="B472" s="6" t="n">
        <x:v>2</x:v>
      </x:c>
      <x:c r="C472" s="6" t="str">
        <x:v>Calculation</x:v>
      </x:c>
      <x:c r="D472" s="6" t="str">
        <x:v>146 + 18 = 164, one above 163. 146 / 163 * 100 = 89.570...% rounds to 89.6%, and 18 / 163 * 100 = 11.042...% rounds to 11.0%; the printed percentages sum to 100.6%. Rounding cannot remove the one-membership integer excess.</x:v>
      </x:c>
    </x:row>
    <x:row r="473" ht="180" customHeight="1">
      <x:c r="A473" s="3" t="str">
        <x:v>2025::jama.2025.7583::C003</x:v>
      </x:c>
      <x:c r="B473" s="3" t="n">
        <x:v>3</x:v>
      </x:c>
      <x:c r="C473" s="3" t="str">
        <x:v>Alternative source-grounded interpretations</x:v>
      </x:c>
      <x:c r="D473" s="3" t="str">
        <x:v>A participant with bilateral surgery could have received different techniques and been counted in both rows, allowing 164 row memberships among 163 participants. Alternatively, a printed numerator or denominator may need correction. The package does not establish either explanation.</x:v>
      </x:c>
    </x:row>
    <x:row r="474" ht="180" customHeight="1">
      <x:c r="A474" s="6" t="str">
        <x:v>2025::jama.2025.7710::C001</x:v>
      </x:c>
      <x:c r="B474" s="6" t="n">
        <x:v>0</x:v>
      </x:c>
      <x:c r="C474" s="6" t="str">
        <x:v>Source evidence</x:v>
      </x:c>
      <x:c r="D474" s="6" t="str">
        <x:v>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x:v>
      </x:c>
    </x:row>
    <x:row r="475" ht="180" customHeight="1">
      <x:c r="A475" s="3" t="str">
        <x:v>2025::jama.2025.7710::C001</x:v>
      </x:c>
      <x:c r="B475" s="3" t="n">
        <x:v>1</x:v>
      </x:c>
      <x:c r="C475" s="3" t="str">
        <x:v>Reported-versus-comparator</x:v>
      </x:c>
      <x:c r="D475" s="3" t="str">
        <x:v>Reported: 2024/25 dollars (p. 16). Comparator: 2023/24 dollars (p. 17).</x:v>
      </x:c>
    </x:row>
    <x:row r="476" ht="180" customHeight="1">
      <x:c r="A476" s="6" t="str">
        <x:v>2025::jama.2025.7710::C001</x:v>
      </x:c>
      <x:c r="B476" s="6" t="n">
        <x:v>2</x:v>
      </x:c>
      <x:c r="C476" s="6" t="str">
        <x:v>Calculation</x:v>
      </x:c>
      <x:c r="D476" s="6" t="str">
        <x:v>2024/25 is not equal to 2023/24; no rounding or transformation is involved.</x:v>
      </x:c>
    </x:row>
    <x:row r="477" ht="180" customHeight="1">
      <x:c r="A477" s="3" t="str">
        <x:v>2025::jama.2025.7710::C001</x:v>
      </x:c>
      <x:c r="B477" s="3" t="n">
        <x:v>3</x:v>
      </x:c>
      <x:c r="C477" s="3" t="str">
        <x:v>Alternative source-grounded interpretations</x:v>
      </x:c>
      <x:c r="D477" s="3" t="str">
        <x:v>One section may retain wording from an intended price-year update, or the sections may have meant different explicitly converted analyses. The supplied protocol neither identifies a superseded section nor distinguishes separate price-year conventions.</x:v>
      </x:c>
    </x:row>
    <x:row r="478" ht="180" customHeight="1">
      <x:c r="A478" s="6" t="str">
        <x:v>2025::jama.2025.7710::C002</x:v>
      </x:c>
      <x:c r="B478" s="6" t="n">
        <x:v>0</x:v>
      </x:c>
      <x:c r="C478" s="6" t="str">
        <x:v>Source evidence</x:v>
      </x:c>
      <x:c r="D478" s="6" t="str">
        <x:v>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x:v>
      </x:c>
    </x:row>
    <x:row r="479" ht="180" customHeight="1">
      <x:c r="A479" s="3" t="str">
        <x:v>2025::jama.2025.7710::C002</x:v>
      </x:c>
      <x:c r="B479" s="3" t="n">
        <x:v>1</x:v>
      </x:c>
      <x:c r="C479" s="3" t="str">
        <x:v>Reported-versus-comparator</x:v>
      </x:c>
      <x:c r="D479" s="3" t="str">
        <x:v>Reported list: ten displayed bullets. Comparator rationale: a total of ten attributed to expanding outcomes (i) and (viii).</x:v>
      </x:c>
    </x:row>
    <x:row r="480" ht="180" customHeight="1">
      <x:c r="A480" s="6" t="str">
        <x:v>2025::jama.2025.7710::C002</x:v>
      </x:c>
      <x:c r="B480" s="6" t="n">
        <x:v>2</x:v>
      </x:c>
      <x:c r="C480" s="6" t="str">
        <x:v>Calculation</x:v>
      </x:c>
      <x:c r="D480" s="6" t="str">
        <x:v>Displayed count = 10. Under the conditional reading that two already displayed items are each expanded from one to two components, 10 + 1 + 1 = 12. An 8 + 1 + 1 = 10 reconciliation would require an authoritative eight-group starting list, which is not displayed at the cited locations.</x:v>
      </x:c>
    </x:row>
    <x:row r="481" ht="180" customHeight="1">
      <x:c r="A481" s="3" t="str">
        <x:v>2025::jama.2025.7710::C002</x:v>
      </x:c>
      <x:c r="B481" s="3" t="n">
        <x:v>3</x:v>
      </x:c>
      <x:c r="C481" s="3" t="str">
        <x:v>Alternative source-grounded interpretations</x:v>
      </x:c>
      <x:c r="D481" s="3" t="str">
        <x:v>The 7.1.1 heading and Special Care/Intensive Care wording could reflect an older or unstated eight-group structure. That structure is not the displayed ten-bullet list, and the supplied materials do not provide a definitive numbered taxonomy.</x:v>
      </x:c>
    </x:row>
    <x:row r="482" ht="180" customHeight="1">
      <x:c r="A482" s="6" t="str">
        <x:v>2025::jama.2025.7710::C003</x:v>
      </x:c>
      <x:c r="B482" s="6" t="n">
        <x:v>0</x:v>
      </x:c>
      <x:c r="C482" s="6" t="str">
        <x:v>Source evidence</x:v>
      </x:c>
      <x:c r="D482" s="6" t="str">
        <x:v>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x:v>
      </x:c>
    </x:row>
    <x:row r="483" ht="180" customHeight="1">
      <x:c r="A483" s="3" t="str">
        <x:v>2025::jama.2025.7710::C003</x:v>
      </x:c>
      <x:c r="B483" s="3" t="n">
        <x:v>1</x:v>
      </x:c>
      <x:c r="C483" s="3" t="str">
        <x:v>Reported-versus-comparator</x:v>
      </x:c>
      <x:c r="D483" s="3" t="str">
        <x:v>Reported economic label: CS vs standard care. Comparator description: SC versus placebo/standard care.</x:v>
      </x:c>
    </x:row>
    <x:row r="484" ht="180" customHeight="1">
      <x:c r="A484" s="6" t="str">
        <x:v>2025::jama.2025.7710::C003</x:v>
      </x:c>
      <x:c r="B484" s="6" t="n">
        <x:v>2</x:v>
      </x:c>
      <x:c r="C484" s="6" t="str">
        <x:v>Calculation</x:v>
      </x:c>
      <x:c r="D484" s="6" t="str">
        <x:v>Supplied mappings are SC = sildenafil citrate, CS = caesarean section, and control = matching placebo. Thus CS does not denote the same supplied intervention label as SC.</x:v>
      </x:c>
    </x:row>
    <x:row r="485" ht="180" customHeight="1">
      <x:c r="A485" s="3" t="str">
        <x:v>2025::jama.2025.7710::C003</x:v>
      </x:c>
      <x:c r="B485" s="3" t="n">
        <x:v>3</x:v>
      </x:c>
      <x:c r="C485" s="3" t="str">
        <x:v>Alternative source-grounded interpretations</x:v>
      </x:c>
      <x:c r="D485" s="3" t="str">
        <x:v>CS may be a transposition of SC, a locally intended abbreviation not defined at the cited location, or an insufficiently explained comparison. No completed economic analysis is supplied.</x:v>
      </x:c>
    </x:row>
    <x:row r="486" ht="180" customHeight="1">
      <x:c r="A486" s="6" t="str">
        <x:v>2025::jama.2025.7710::C004</x:v>
      </x:c>
      <x:c r="B486" s="6" t="n">
        <x:v>0</x:v>
      </x:c>
      <x:c r="C486" s="6" t="str">
        <x:v>Source evidence</x:v>
      </x:c>
      <x:c r="D486" s="6" t="str">
        <x:v>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x:v>
      </x:c>
    </x:row>
    <x:row r="487" ht="180" customHeight="1">
      <x:c r="A487" s="3" t="str">
        <x:v>2025::jama.2025.7710::C004</x:v>
      </x:c>
      <x:c r="B487" s="3" t="n">
        <x:v>1</x:v>
      </x:c>
      <x:c r="C487" s="3" t="str">
        <x:v>Reported-versus-comparator</x:v>
      </x:c>
      <x:c r="D487" s="3" t="str">
        <x:v>Reported multiplicity treatment: no adjustment. Comparator planned treatment: adjusted P values for ten component comparisons.</x:v>
      </x:c>
    </x:row>
    <x:row r="488" ht="180" customHeight="1">
      <x:c r="A488" s="6" t="str">
        <x:v>2025::jama.2025.7710::C004</x:v>
      </x:c>
      <x:c r="B488" s="6" t="n">
        <x:v>2</x:v>
      </x:c>
      <x:c r="C488" s="6" t="str">
        <x:v>Calculation</x:v>
      </x:c>
      <x:c r="D488" s="6" t="str">
        <x:v>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x:v>
      </x:c>
    </x:row>
    <x:row r="489" ht="180" customHeight="1">
      <x:c r="A489" s="3" t="str">
        <x:v>2025::jama.2025.7710::C004</x:v>
      </x:c>
      <x:c r="B489" s="3" t="n">
        <x:v>3</x:v>
      </x:c>
      <x:c r="C489" s="3" t="str">
        <x:v>Alternative source-grounded interpretations</x:v>
      </x:c>
      <x:c r="D489" s="3" t="str">
        <x:v>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x:v>
      </x:c>
    </x:row>
    <x:row r="490" ht="180" customHeight="1">
      <x:c r="A490" s="6" t="str">
        <x:v>2025::jama.2025.9110::C001</x:v>
      </x:c>
      <x:c r="B490" s="6" t="n">
        <x:v>0</x:v>
      </x:c>
      <x:c r="C490" s="6" t="str">
        <x:v>Source evidence</x:v>
      </x:c>
      <x:c r="D490" s="6" t="str">
        <x:v>Table 2 prints augmented protein 84.0 (35.0 to 178.9) and usual protein 78.0 (33.2 to 161.0), while the row label says mean (SD). It separately prints Mean difference, 6.8 (−3.0 to 16.5) hours. eTable 10 describes comparable central-value/two-bound summaries as median (IQR).</x:v>
      </x:c>
    </x:row>
    <x:row r="491" ht="180" customHeight="1">
      <x:c r="A491" s="3" t="str">
        <x:v>2025::jama.2025.9110::C001</x:v>
      </x:c>
      <x:c r="B491" s="3" t="n">
        <x:v>1</x:v>
      </x:c>
      <x:c r="C491" s="3" t="str">
        <x:v>Reported-versus-comparator</x:v>
      </x:c>
      <x:c r="D491" s="3" t="str">
        <x:v>The printed mean (SD) label is compared with the two-endpoint parenthetical displays and the supplementary median (IQR) presentation convention.</x:v>
      </x:c>
    </x:row>
    <x:row r="492" ht="180" customHeight="1">
      <x:c r="A492" s="6" t="str">
        <x:v>2025::jama.2025.9110::C001</x:v>
      </x:c>
      <x:c r="B492" s="6" t="n">
        <x:v>2</x:v>
      </x:c>
      <x:c r="C492" s="6" t="str">
        <x:v>Calculation</x:v>
      </x:c>
      <x:c r="D492" s="6" t="str">
        <x:v>35.0 &lt; 178.9 and 33.2 &lt; 161.0; each parenthesis has two ordered endpoints, not one SD. No rounding rule applies.</x:v>
      </x:c>
    </x:row>
    <x:row r="493" ht="180" customHeight="1">
      <x:c r="A493" s="3" t="str">
        <x:v>2025::jama.2025.9110::C001</x:v>
      </x:c>
      <x:c r="B493" s="3" t="n">
        <x:v>3</x:v>
      </x:c>
      <x:c r="C493" s="3" t="str">
        <x:v>Alternative source-grounded interpretations</x:v>
      </x:c>
      <x:c r="D493" s="3" t="str">
        <x:v>to or an endpoint may be a production error in an intended mean/SD display; alternatively the label may be wrong and the values may be a median-plus-interval summary. The supplied package does not define the endpoints.</x:v>
      </x:c>
    </x:row>
    <x:row r="494" ht="180" customHeight="1">
      <x:c r="A494" s="6" t="str">
        <x:v>2025::jama.2025.9110::C002</x:v>
      </x:c>
      <x:c r="B494" s="6" t="n">
        <x:v>0</x:v>
      </x:c>
      <x:c r="C494" s="6" t="str">
        <x:v>Source evidence</x:v>
      </x:c>
      <x:c r="D494" s="6" t="str">
        <x:v>The cell prints 383 (72, 3%); neighboring matched cells include 323 (67.3%), 258 (77.0%), 229 (76.8%), and 408 (74.0%).</x:v>
      </x:c>
    </x:row>
    <x:row r="495" ht="180" customHeight="1">
      <x:c r="A495" s="3" t="str">
        <x:v>2025::jama.2025.9110::C002</x:v>
      </x:c>
      <x:c r="B495" s="3" t="n">
        <x:v>1</x:v>
      </x:c>
      <x:c r="C495" s="3" t="str">
        <x:v>Reported-versus-comparator</x:v>
      </x:c>
      <x:c r="D495" s="3" t="str">
        <x:v>72, 3% is compared with the row's point-decimal convention and its printed count/denominator.</x:v>
      </x:c>
    </x:row>
    <x:row r="496" ht="180" customHeight="1">
      <x:c r="A496" s="6" t="str">
        <x:v>2025::jama.2025.9110::C002</x:v>
      </x:c>
      <x:c r="B496" s="6" t="n">
        <x:v>2</x:v>
      </x:c>
      <x:c r="C496" s="6" t="str">
        <x:v>Calculation</x:v>
      </x:c>
      <x:c r="D496" s="6" t="str">
        <x:v>383 / 530 × 100 = 72.2641509…%, which rounds to 72.3% at one decimal (rounding interval 72.25% to &lt;72.35%). The question is punctuation, not a numerator/denominator mismatch.</x:v>
      </x:c>
    </x:row>
    <x:row r="497" ht="180" customHeight="1">
      <x:c r="A497" s="3" t="str">
        <x:v>2025::jama.2025.9110::C002</x:v>
      </x:c>
      <x:c r="B497" s="3" t="n">
        <x:v>3</x:v>
      </x:c>
      <x:c r="C497" s="3" t="str">
        <x:v>Alternative source-grounded interpretations</x:v>
      </x:c>
      <x:c r="D497" s="3" t="str">
        <x:v>A comma can be a decimal separator in some locales and preserve the intended numeric value, but its isolated use in this point-decimal table remains a rendering inconsistency.</x:v>
      </x:c>
    </x:row>
    <x:row r="498" ht="180" customHeight="1">
      <x:c r="A498" s="6" t="str">
        <x:v>2025::jama.2025.9110::C003</x:v>
      </x:c>
      <x:c r="B498" s="6" t="n">
        <x:v>0</x:v>
      </x:c>
      <x:c r="C498" s="6" t="str">
        <x:v>Source evidence</x:v>
      </x:c>
      <x:c r="D498" s="6" t="str">
        <x:v>The row prints 62.0 (0 to 77) versus 64.0 (0 to 77) under mean (SD) and reports Median difference, −1.50 (−3.86 to 0.90). The supplement defines the Bayesian quantile coefficient as a difference in medians and repeats the median difference with a 95% credible interval.</x:v>
      </x:c>
    </x:row>
    <x:row r="499" ht="180" customHeight="1">
      <x:c r="A499" s="3" t="str">
        <x:v>2025::jama.2025.9110::C003</x:v>
      </x:c>
      <x:c r="B499" s="3" t="n">
        <x:v>1</x:v>
      </x:c>
      <x:c r="C499" s="3" t="str">
        <x:v>Reported-versus-comparator</x:v>
      </x:c>
      <x:c r="D499" s="3" t="str">
        <x:v>The Table 2 mean (SD) group-summary label is compared with its own median-difference effect label, the final Bayesian method description, and the two-bound group displays.</x:v>
      </x:c>
    </x:row>
    <x:row r="500" ht="180" customHeight="1">
      <x:c r="A500" s="6" t="str">
        <x:v>2025::jama.2025.9110::C003</x:v>
      </x:c>
      <x:c r="B500" s="6" t="n">
        <x:v>2</x:v>
      </x:c>
      <x:c r="C500" s="6" t="str">
        <x:v>Calculation</x:v>
      </x:c>
      <x:c r="D500" s="6" t="str">
        <x:v>0 &lt; 77 in each group parenthesis, so each contains two bounds rather than one SD. The printed estimand is Median difference; no supplied text explains an intentional separate mean/SD convention.</x:v>
      </x:c>
    </x:row>
    <x:row r="501" ht="180" customHeight="1">
      <x:c r="A501" s="3" t="str">
        <x:v>2025::jama.2025.9110::C003</x:v>
      </x:c>
      <x:c r="B501" s="3" t="n">
        <x:v>3</x:v>
      </x:c>
      <x:c r="C501" s="3" t="str">
        <x:v>Alternative source-grounded interpretations</x:v>
      </x:c>
      <x:c r="D501" s="3" t="str">
        <x:v>The label may have carried over from the preceding linear-model row. Separately calculated means/SDs might have been intended alongside a median estimand, but the source neither defines that convention nor explains the two endpoints.</x:v>
      </x:c>
    </x:row>
    <x:row r="502" ht="180" customHeight="1">
      <x:c r="A502" s="6" t="str">
        <x:v>2025::jama.2025.9110::C004</x:v>
      </x:c>
      <x:c r="B502" s="6" t="n">
        <x:v>0</x:v>
      </x:c>
      <x:c r="C502" s="6" t="str">
        <x:v>Source evidence</x:v>
      </x:c>
      <x:c r="D502" s="6" t="str">
        <x:v>Results calls day-10 blood-urea values median (IQR): augmented protein 13.0 (8.2–18.8) versus usual protein 10.6 (7.1–15.4) mmol/L. Discussion says that mean urea concentrations at day 10 were higher in the augmented protein group.</x:v>
      </x:c>
    </x:row>
    <x:row r="503" ht="180" customHeight="1">
      <x:c r="A503" s="3" t="str">
        <x:v>2025::jama.2025.9110::C004</x:v>
      </x:c>
      <x:c r="B503" s="3" t="n">
        <x:v>1</x:v>
      </x:c>
      <x:c r="C503" s="3" t="str">
        <x:v>Reported-versus-comparator</x:v>
      </x:c>
      <x:c r="D503" s="3" t="str">
        <x:v>The Discussion's mean label is compared with the Results' matched analyte, day, groups, direction, unit, and median (IQR) description.</x:v>
      </x:c>
    </x:row>
    <x:row r="504" ht="180" customHeight="1">
      <x:c r="A504" s="6" t="str">
        <x:v>2025::jama.2025.9110::C004</x:v>
      </x:c>
      <x:c r="B504" s="6" t="n">
        <x:v>2</x:v>
      </x:c>
      <x:c r="C504" s="6" t="str">
        <x:v>Calculation</x:v>
      </x:c>
      <x:c r="D504" s="6" t="str">
        <x:v>No calculation is appropriate: mean and median are distinct summary-statistic labels, and no matched day-10 mean values are supplied.</x:v>
      </x:c>
    </x:row>
    <x:row r="505" ht="180" customHeight="1">
      <x:c r="A505" s="3" t="str">
        <x:v>2025::jama.2025.9110::C004</x:v>
      </x:c>
      <x:c r="B505" s="3" t="n">
        <x:v>3</x:v>
      </x:c>
      <x:c r="C505" s="3" t="str">
        <x:v>Alternative source-grounded interpretations</x:v>
      </x:c>
      <x:c r="D505" s="3" t="str">
        <x:v>Mean may be nontechnical prose, a copy-editing substitution, or a reference to unprinted group means. The supplied package does not report a distinct matched mean analysis.</x:v>
      </x:c>
    </x:row>
    <x:row r="506" ht="180" customHeight="1">
      <x:c r="A506" s="6" t="str">
        <x:v>2025::jama.2025.9110::C005</x:v>
      </x:c>
      <x:c r="B506" s="6" t="n">
        <x:v>0</x:v>
      </x:c>
      <x:c r="C506" s="6" t="str">
        <x:v>Source evidence</x:v>
      </x:c>
      <x:c r="D506" s="6" t="str">
        <x:v>The first four cells print 27 (5.6), 36 (10.7), 29 (9.7), and 24 (4.5) without %; the last four print 35 (6.4%), 38 (10.3%), 43 (12.2%), and 23 (4.8%) with %.</x:v>
      </x:c>
    </x:row>
    <x:row r="507" ht="180" customHeight="1">
      <x:c r="A507" s="3" t="str">
        <x:v>2025::jama.2025.9110::C005</x:v>
      </x:c>
      <x:c r="B507" s="3" t="n">
        <x:v>1</x:v>
      </x:c>
      <x:c r="C507" s="3" t="str">
        <x:v>Reported-versus-comparator</x:v>
      </x:c>
      <x:c r="D507" s="3" t="str">
        <x:v>All eight are percentage displays in one [n (%)] row, but the first four omit % and the last four include it.</x:v>
      </x:c>
    </x:row>
    <x:row r="508" ht="180" customHeight="1">
      <x:c r="A508" s="6" t="str">
        <x:v>2025::jama.2025.9110::C005</x:v>
      </x:c>
      <x:c r="B508" s="6" t="n">
        <x:v>2</x:v>
      </x:c>
      <x:c r="C508" s="6" t="str">
        <x:v>Calculation</x:v>
      </x:c>
      <x:c r="D508" s="6" t="str">
        <x:v>27/480×100=5.625%→5.6%; 36/335×100=10.746…%→10.7%; 29/298×100=9.732…%→9.7%; 24/530×100=4.528…%→4.5%. These reconcile at one decimal (0.05 percentage-point rounding tolerance); the issue is notation, not arithmetic.</x:v>
      </x:c>
    </x:row>
    <x:row r="509" ht="180" customHeight="1">
      <x:c r="A509" s="3" t="str">
        <x:v>2025::jama.2025.9110::C005</x:v>
      </x:c>
      <x:c r="B509" s="3" t="n">
        <x:v>3</x:v>
      </x:c>
      <x:c r="C509" s="3" t="str">
        <x:v>Alternative source-grounded interpretations</x:v>
      </x:c>
      <x:c r="D509" s="3" t="str">
        <x:v>The [n (%)] header makes the unsigned entries understandable, but it does not explain the within-row switch to explicit signs. Intended typography is not stated.</x:v>
      </x:c>
    </x:row>
    <x:row r="510" ht="180" customHeight="1">
      <x:c r="A510" s="6" t="str">
        <x:v>2025::jama.2025.9110::C006</x:v>
      </x:c>
      <x:c r="B510" s="6" t="n">
        <x:v>0</x:v>
      </x:c>
      <x:c r="C510" s="6" t="str">
        <x:v>Source evidence</x:v>
      </x:c>
      <x:c r="D510" s="6" t="str">
        <x:v>The first four cells print 33 (6.9), 26 (7.8), 22 (7.4), and 35 (6.6) without %; the last four print 38 (6.9%), 33 (9.0%), 29 (8.2%), and 33 (6.8%) with %.</x:v>
      </x:c>
    </x:row>
    <x:row r="511" ht="180" customHeight="1">
      <x:c r="A511" s="3" t="str">
        <x:v>2025::jama.2025.9110::C006</x:v>
      </x:c>
      <x:c r="B511" s="3" t="n">
        <x:v>1</x:v>
      </x:c>
      <x:c r="C511" s="3" t="str">
        <x:v>Reported-versus-comparator</x:v>
      </x:c>
      <x:c r="D511" s="3" t="str">
        <x:v>All eight are percentage displays within one [n (%)] row, but % is absent from the first four and present in the final four.</x:v>
      </x:c>
    </x:row>
    <x:row r="512" ht="180" customHeight="1">
      <x:c r="A512" s="6" t="str">
        <x:v>2025::jama.2025.9110::C006</x:v>
      </x:c>
      <x:c r="B512" s="6" t="n">
        <x:v>2</x:v>
      </x:c>
      <x:c r="C512" s="6" t="str">
        <x:v>Calculation</x:v>
      </x:c>
      <x:c r="D512" s="6" t="str">
        <x:v>33/480×100=6.875%→6.9%; 26/335×100=7.761…%→7.8%; 22/298×100=7.383…%→7.4%; 35/530×100=6.604…%→6.6%. All reconcile at one decimal (0.05 percentage-point rounding tolerance); the issue is notation, not a rate/count discrepancy.</x:v>
      </x:c>
    </x:row>
    <x:row r="513" ht="180" customHeight="1">
      <x:c r="A513" s="3" t="str">
        <x:v>2025::jama.2025.9110::C006</x:v>
      </x:c>
      <x:c r="B513" s="3" t="n">
        <x:v>3</x:v>
      </x:c>
      <x:c r="C513" s="3" t="str">
        <x:v>Alternative source-grounded interpretations</x:v>
      </x:c>
      <x:c r="D513" s="3" t="str">
        <x:v>The row header makes unsigned values interpretable as percentages, but the source gives no reason why only the final four cells carry % or which convention was intended.</x:v>
      </x:c>
    </x:row>
    <x:row r="514" ht="180" customHeight="1">
      <x:c r="A514" s="6" t="str">
        <x:v>2025::jama.2025.9663::C001</x:v>
      </x:c>
      <x:c r="B514" s="6" t="n">
        <x:v>0</x:v>
      </x:c>
      <x:c r="C514" s="6" t="str">
        <x:v>Source evidence</x:v>
      </x:c>
      <x:c r="D514" s="6" t="str">
        <x:v>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x:v>
      </x:c>
    </x:row>
    <x:row r="515" ht="180" customHeight="1">
      <x:c r="A515" s="3" t="str">
        <x:v>2025::jama.2025.9663::C001</x:v>
      </x:c>
      <x:c r="B515" s="3" t="n">
        <x:v>1</x:v>
      </x:c>
      <x:c r="C515" s="3" t="str">
        <x:v>Reported-versus-comparator</x:v>
      </x:c>
      <x:c r="D515" s="3" t="str">
        <x:v>The reported DOC-001 usual-group first value has both a percent sign and a trailing pressure unit. The comparator labels the 95.1 (2.4) value as SpO2 on a percent scale and the 79.5 (17.9) value as PaO2 in mm Hg.</x:v>
      </x:c>
    </x:row>
    <x:row r="516" ht="180" customHeight="1">
      <x:c r="A516" s="6" t="str">
        <x:v>2025::jama.2025.9663::C001</x:v>
      </x:c>
      <x:c r="B516" s="6" t="n">
        <x:v>2</x:v>
      </x:c>
      <x:c r="C516" s="6" t="str">
        <x:v>Calculation</x:v>
      </x:c>
      <x:c r="D516" s="6" t="str">
        <x:v>No arithmetic; logical unit pairing reproduced.</x:v>
      </x:c>
    </x:row>
    <x:row r="517" ht="180" customHeight="1">
      <x:c r="A517" s="3" t="str">
        <x:v>2025::jama.2025.9663::C001</x:v>
      </x:c>
      <x:c r="B517" s="3" t="n">
        <x:v>3</x:v>
      </x:c>
      <x:c r="C517" s="3" t="str">
        <x:v>Alternative source-grounded interpretations</x:v>
      </x:c>
      <x:c r="D517" s="3" t="str">
        <x:v>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x:v>
      </x:c>
    </x:row>
    <x:row r="518" ht="180" customHeight="1">
      <x:c r="A518" s="6" t="str">
        <x:v>2025::jama.2025.9663::C002</x:v>
      </x:c>
      <x:c r="B518" s="6" t="n">
        <x:v>0</x:v>
      </x:c>
      <x:c r="C518" s="6" t="str">
        <x:v>Source evidence</x:v>
      </x:c>
      <x:c r="D518" s="6" t="str">
        <x:v>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x:v>
      </x:c>
    </x:row>
    <x:row r="519" ht="180" customHeight="1">
      <x:c r="A519" s="3" t="str">
        <x:v>2025::jama.2025.9663::C002</x:v>
      </x:c>
      <x:c r="B519" s="3" t="n">
        <x:v>1</x:v>
      </x:c>
      <x:c r="C519" s="3" t="str">
        <x:v>Reported-versus-comparator</x:v>
      </x:c>
      <x:c r="D519" s="3" t="str">
        <x:v>For same-numbered eTables 1, 2, 3, and 4, the contents-page title differs from the actual heading. The contents eTable 3 topic matches actual eTable 1, and the contents eTable 4 topic approximates actual eTable 2, while the first two contents topics do not identify their actual tables.</x:v>
      </x:c>
    </x:row>
    <x:row r="520" ht="180" customHeight="1">
      <x:c r="A520" s="6" t="str">
        <x:v>2025::jama.2025.9663::C002</x:v>
      </x:c>
      <x:c r="B520" s="6" t="n">
        <x:v>2</x:v>
      </x:c>
      <x:c r="C520" s="6" t="str">
        <x:v>Calculation</x:v>
      </x:c>
      <x:c r="D520" s="6" t="str">
        <x:v>No arithmetic; four same-number identity comparisons reproduced.</x:v>
      </x:c>
    </x:row>
    <x:row r="521" ht="180" customHeight="1">
      <x:c r="A521" s="3" t="str">
        <x:v>2025::jama.2025.9663::C002</x:v>
      </x:c>
      <x:c r="B521" s="3" t="n">
        <x:v>3</x:v>
      </x:c>
      <x:c r="C521" s="3" t="str">
        <x:v>Alternative source-grounded interpretations</x:v>
      </x:c>
      <x:c r="D521" s="3" t="str">
        <x:v>The contents titles may be retained from another document, shifted, or incompletely updated. These are possible explanations only; the supplied package does not establish the production history or intended replacement wording.</x:v>
      </x:c>
    </x:row>
    <x:row r="522" ht="180" customHeight="1">
      <x:c r="A522" s="6" t="str">
        <x:v>2025::jama.2025.9663::C003</x:v>
      </x:c>
      <x:c r="B522" s="6" t="n">
        <x:v>0</x:v>
      </x:c>
      <x:c r="C522" s="6" t="str">
        <x:v>Source evidence</x:v>
      </x:c>
      <x:c r="D522" s="6" t="str">
        <x:v>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x:v>
      </x:c>
    </x:row>
    <x:row r="523" ht="180" customHeight="1">
      <x:c r="A523" s="3" t="str">
        <x:v>2025::jama.2025.9663::C003</x:v>
      </x:c>
      <x:c r="B523" s="3" t="n">
        <x:v>1</x:v>
      </x:c>
      <x:c r="C523" s="3" t="str">
        <x:v>Reported-versus-comparator</x:v>
      </x:c>
      <x:c r="D523" s="3" t="str">
        <x:v>One stated destination, Section 3.2, is identifiable; the second is literal unresolved-reference text and names no section, appendix, table, or other location. Section 3.2.2 is separately identifiable as a caveat but is not printed as the missing second destination.</x:v>
      </x:c>
    </x:row>
    <x:row r="524" ht="180" customHeight="1">
      <x:c r="A524" s="6" t="str">
        <x:v>2025::jama.2025.9663::C003</x:v>
      </x:c>
      <x:c r="B524" s="6" t="n">
        <x:v>2</x:v>
      </x:c>
      <x:c r="C524" s="6" t="str">
        <x:v>Calculation</x:v>
      </x:c>
      <x:c r="D524" s="6" t="str">
        <x:v>No arithmetic; one of two stated reference destinations is identifiable and the other is not.</x:v>
      </x:c>
    </x:row>
    <x:row r="525" ht="180" customHeight="1">
      <x:c r="A525" s="3" t="str">
        <x:v>2025::jama.2025.9663::C003</x:v>
      </x:c>
      <x:c r="B525" s="3" t="n">
        <x:v>3</x:v>
      </x:c>
      <x:c r="C525" s="3" t="str">
        <x:v>Alternative source-grounded interpretations</x:v>
      </x:c>
      <x:c r="D525" s="3" t="str">
        <x:v>Sections 3.2 and 3.2.2 may already supply sufficient detail to apply the rules. The wording nevertheless promises a second source of further details. The intended target, its content, and an unrefreshed cross-reference mechanism are not established by the supplied package.</x:v>
      </x:c>
    </x:row>
  </x:sheetData>
  <x:pageMargins left="0.7" right="0.7" top="0.75" bottom="0.75" header="0.3" footer="0.3"/>
  <x:tableParts count="1">
    <x:tablePart xmlns:r="http://schemas.openxmlformats.org/officeDocument/2006/relationships" r:id="R4ffbd736a939418f"/>
  </x:tableParts>
</x:worksheet>
</file>

<file path=xl/worksheets/sheet2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2025::jama.2024.24764::C001</x:v>
      </x:c>
      <x:c r="B2" s="6" t="str">
        <x:v>sourceLinks</x:v>
      </x:c>
      <x:c r="C2" s="6" t="n">
        <x:v>0</x:v>
      </x:c>
      <x:c r="D2" s="6" t="str">
        <x:v>jama_atherton_2025_oi_240145_1741627844.85412.pdf — PDF p. 5, Table 1</x:v>
      </x:c>
      <x:c r="E2" s="6" t="str">
        <x:v>../../2025/jama.2024.24764/jama_atherton_2025_oi_240145_1741627844.85412.pdf#page=5</x:v>
      </x:c>
    </x:row>
    <x:row r="3" ht="90" customHeight="1">
      <x:c r="A3" s="3" t="str">
        <x:v>2025::jama.2024.24764::C002</x:v>
      </x:c>
      <x:c r="B3" s="3" t="str">
        <x:v>sourceLinks</x:v>
      </x:c>
      <x:c r="C3" s="3" t="n">
        <x:v>0</x:v>
      </x:c>
      <x:c r="D3" s="3" t="str">
        <x:v>jama_atherton_2025_oi_240145_1741627844.85412.pdf — PDF p. 7, Table 2</x:v>
      </x:c>
      <x:c r="E3" s="3" t="str">
        <x:v>../../2025/jama.2024.24764/jama_atherton_2025_oi_240145_1741627844.85412.pdf#page=7</x:v>
      </x:c>
    </x:row>
    <x:row r="4" ht="90" customHeight="1">
      <x:c r="A4" s="6" t="str">
        <x:v>2025::jama.2024.24764::C003</x:v>
      </x:c>
      <x:c r="B4" s="6" t="str">
        <x:v>sourceLinks</x:v>
      </x:c>
      <x:c r="C4" s="6" t="n">
        <x:v>0</x:v>
      </x:c>
      <x:c r="D4" s="6" t="str">
        <x:v>jama_atherton_2025_oi_240145_1741627844.85412.pdf — PDF p. 7, Table 2 continuation</x:v>
      </x:c>
      <x:c r="E4" s="6" t="str">
        <x:v>../../2025/jama.2024.24764/jama_atherton_2025_oi_240145_1741627844.85412.pdf#page=7</x:v>
      </x:c>
    </x:row>
    <x:row r="5" ht="90" customHeight="1">
      <x:c r="A5" s="3" t="str">
        <x:v>2025::jama.2024.24764::C004</x:v>
      </x:c>
      <x:c r="B5" s="3" t="str">
        <x:v>sourceLinks</x:v>
      </x:c>
      <x:c r="C5" s="3" t="n">
        <x:v>0</x:v>
      </x:c>
      <x:c r="D5" s="3" t="str">
        <x:v>jama_atherton_2025_oi_240145_1741627844.85412.pdf — PDF p. 7, Table 2 continuation</x:v>
      </x:c>
      <x:c r="E5" s="3" t="str">
        <x:v>../../2025/jama.2024.24764/jama_atherton_2025_oi_240145_1741627844.85412.pdf#page=7</x:v>
      </x:c>
    </x:row>
    <x:row r="6" ht="90" customHeight="1">
      <x:c r="A6" s="6" t="str">
        <x:v>2025::jama.2024.24764::C005</x:v>
      </x:c>
      <x:c r="B6" s="6" t="str">
        <x:v>sourceLinks</x:v>
      </x:c>
      <x:c r="C6" s="6" t="n">
        <x:v>0</x:v>
      </x:c>
      <x:c r="D6" s="6" t="str">
        <x:v>jama_atherton_2025_oi_240145_1741627844.85412.pdf — PDF p. 3, Figure 1</x:v>
      </x:c>
      <x:c r="E6" s="6" t="str">
        <x:v>../../2025/jama.2024.24764/jama_atherton_2025_oi_240145_1741627844.85412.pdf#page=3</x:v>
      </x:c>
    </x:row>
    <x:row r="7" ht="90" customHeight="1">
      <x:c r="A7" s="3" t="str">
        <x:v>2025::jama.2024.24764::C005</x:v>
      </x:c>
      <x:c r="B7" s="3" t="str">
        <x:v>sourceLinks</x:v>
      </x:c>
      <x:c r="C7" s="3" t="n">
        <x:v>1</x:v>
      </x:c>
      <x:c r="D7" s="3" t="str">
        <x:v>PDF p. 6, safety narrative</x:v>
      </x:c>
      <x:c r="E7" s="3" t="str">
        <x:v>../../2025/jama.2024.24764/jama_atherton_2025_oi_240145_1741627844.85412.pdf#page=6</x:v>
      </x:c>
    </x:row>
    <x:row r="8" ht="90" customHeight="1">
      <x:c r="A8" s="6" t="str">
        <x:v>2025::jama.2024.24764::C005</x:v>
      </x:c>
      <x:c r="B8" s="6" t="str">
        <x:v>sourceLinks</x:v>
      </x:c>
      <x:c r="C8" s="6" t="n">
        <x:v>2</x:v>
      </x:c>
      <x:c r="D8" s="6" t="str">
        <x:v>PDF p. 8, Table 3</x:v>
      </x:c>
      <x:c r="E8" s="6" t="str">
        <x:v>../../2025/jama.2024.24764/jama_atherton_2025_oi_240145_1741627844.85412.pdf#page=8</x:v>
      </x:c>
    </x:row>
    <x:row r="9" ht="90" customHeight="1">
      <x:c r="A9" s="3" t="str">
        <x:v>2025::jama.2024.24764::C005</x:v>
      </x:c>
      <x:c r="B9" s="3" t="str">
        <x:v>evidencePaths</x:v>
      </x:c>
      <x:c r="C9" s="3" t="n">
        <x:v>0</x:v>
      </x:c>
      <x:c r="D9" s="3" t="str">
        <x:v>2025/jama.2024.24764/.ai_paper_validation/review_1_5_3/verification/evidence_recheck.md</x:v>
      </x:c>
      <x:c r="E9" s="3" t="str">
        <x:v>../../2025/jama.2024.24764/.ai_paper_validation/review_1_5_3/verification/evidence_recheck.md</x:v>
      </x:c>
    </x:row>
    <x:row r="10" ht="90" customHeight="1">
      <x:c r="A10" s="6" t="str">
        <x:v>2025::jama.2024.24764::C006</x:v>
      </x:c>
      <x:c r="B10" s="6" t="str">
        <x:v>sourceLinks</x:v>
      </x:c>
      <x:c r="C10" s="6" t="n">
        <x:v>0</x:v>
      </x:c>
      <x:c r="D10" s="6" t="str">
        <x:v>joi240145supp1_prod_1741627844.87412.pdf — PDF p. 26, SAP</x:v>
      </x:c>
      <x:c r="E10" s="6" t="str">
        <x:v>../../2025/jama.2024.24764/joi240145supp1_prod_1741627844.87412.pdf#page=26</x:v>
      </x:c>
    </x:row>
    <x:row r="11" ht="90" customHeight="1">
      <x:c r="A11" s="3" t="str">
        <x:v>2025::jama.2024.24764::C006</x:v>
      </x:c>
      <x:c r="B11" s="3" t="str">
        <x:v>sourceLinks</x:v>
      </x:c>
      <x:c r="C11" s="3" t="n">
        <x:v>1</x:v>
      </x:c>
      <x:c r="D11" s="3" t="str">
        <x:v>jama_atherton_2025_oi_240145_1741627844.85412.pdf — PDF p. 4, Statistical Analysis</x:v>
      </x:c>
      <x:c r="E11" s="3" t="str">
        <x:v>../../2025/jama.2024.24764/jama_atherton_2025_oi_240145_1741627844.85412.pdf#page=4</x:v>
      </x:c>
    </x:row>
    <x:row r="12" ht="90" customHeight="1">
      <x:c r="A12" s="6" t="str">
        <x:v>2025::jama.2024.24764::C006</x:v>
      </x:c>
      <x:c r="B12" s="6" t="str">
        <x:v>evidencePaths</x:v>
      </x:c>
      <x:c r="C12" s="6" t="n">
        <x:v>0</x:v>
      </x:c>
      <x:c r="D12" s="6" t="str">
        <x:v>2025/jama.2024.24764/.ai_paper_validation/review_1_5_3/verification/evidence_recheck.md</x:v>
      </x:c>
      <x:c r="E12" s="6" t="str">
        <x:v>../../2025/jama.2024.24764/.ai_paper_validation/review_1_5_3/verification/evidence_recheck.md</x:v>
      </x:c>
    </x:row>
    <x:row r="13" ht="90" customHeight="1">
      <x:c r="A13" s="3" t="str">
        <x:v>2025::jama.2024.24764::C007</x:v>
      </x:c>
      <x:c r="B13" s="3" t="str">
        <x:v>sourceLinks</x:v>
      </x:c>
      <x:c r="C13" s="3" t="n">
        <x:v>0</x:v>
      </x:c>
      <x:c r="D13" s="3" t="str">
        <x:v>joi240145supp1_prod_1741627844.87412.pdf — PDF p. 25, SAP</x:v>
      </x:c>
      <x:c r="E13" s="3" t="str">
        <x:v>../../2025/jama.2024.24764/joi240145supp1_prod_1741627844.87412.pdf#page=25</x:v>
      </x:c>
    </x:row>
    <x:row r="14" ht="90" customHeight="1">
      <x:c r="A14" s="6" t="str">
        <x:v>2025::jama.2024.24764::C007</x:v>
      </x:c>
      <x:c r="B14" s="6" t="str">
        <x:v>sourceLinks</x:v>
      </x:c>
      <x:c r="C14" s="6" t="n">
        <x:v>1</x:v>
      </x:c>
      <x:c r="D14" s="6" t="str">
        <x:v>joi240145supp4_prod_1741627844.90412.pdf — PDF p. 39, protocol</x:v>
      </x:c>
      <x:c r="E14" s="6" t="str">
        <x:v>../../2025/jama.2024.24764/joi240145supp4_prod_1741627844.90412.pdf#page=39</x:v>
      </x:c>
    </x:row>
    <x:row r="15" ht="90" customHeight="1">
      <x:c r="A15" s="3" t="str">
        <x:v>2025::jama.2024.24764::C007</x:v>
      </x:c>
      <x:c r="B15" s="3" t="str">
        <x:v>sourceLinks</x:v>
      </x:c>
      <x:c r="C15" s="3" t="n">
        <x:v>2</x:v>
      </x:c>
      <x:c r="D15" s="3" t="str">
        <x:v>jama_atherton_2025_oi_240145_1741627844.85412.pdf — PDF p. 4</x:v>
      </x:c>
      <x:c r="E15" s="3" t="str">
        <x:v>../../2025/jama.2024.24764/jama_atherton_2025_oi_240145_1741627844.85412.pdf#page=4</x:v>
      </x:c>
    </x:row>
    <x:row r="16" ht="90" customHeight="1">
      <x:c r="A16" s="6" t="str">
        <x:v>2025::jama.2024.24764::C007</x:v>
      </x:c>
      <x:c r="B16" s="6" t="str">
        <x:v>sourceLinks</x:v>
      </x:c>
      <x:c r="C16" s="6" t="n">
        <x:v>3</x:v>
      </x:c>
      <x:c r="D16" s="6" t="str">
        <x:v>PDF p. 8, Table 3</x:v>
      </x:c>
      <x:c r="E16" s="6" t="str">
        <x:v>../../2025/jama.2024.24764/jama_atherton_2025_oi_240145_1741627844.85412.pdf#page=8</x:v>
      </x:c>
    </x:row>
    <x:row r="17" ht="90" customHeight="1">
      <x:c r="A17" s="3" t="str">
        <x:v>2025::jama.2024.24764::C007</x:v>
      </x:c>
      <x:c r="B17" s="3" t="str">
        <x:v>evidencePaths</x:v>
      </x:c>
      <x:c r="C17" s="3" t="n">
        <x:v>0</x:v>
      </x:c>
      <x:c r="D17" s="3" t="str">
        <x:v>2025/jama.2024.24764/.ai_paper_validation/review_1_5_3/verification/evidence_recheck.md</x:v>
      </x:c>
      <x:c r="E17" s="3" t="str">
        <x:v>../../2025/jama.2024.24764/.ai_paper_validation/review_1_5_3/verification/evidence_recheck.md</x:v>
      </x:c>
    </x:row>
    <x:row r="18" ht="90" customHeight="1">
      <x:c r="A18" s="6" t="str">
        <x:v>2025::jama.2024.24764::C008</x:v>
      </x:c>
      <x:c r="B18" s="6" t="str">
        <x:v>sourceLinks</x:v>
      </x:c>
      <x:c r="C18" s="6" t="n">
        <x:v>0</x:v>
      </x:c>
      <x:c r="D18" s="6" t="str">
        <x:v>joi240145supp1_prod_1741627844.87412.pdf — PDF p. 18, SAP endpoint</x:v>
      </x:c>
      <x:c r="E18" s="6" t="str">
        <x:v>../../2025/jama.2024.24764/joi240145supp1_prod_1741627844.87412.pdf#page=18</x:v>
      </x:c>
    </x:row>
    <x:row r="19" ht="90" customHeight="1">
      <x:c r="A19" s="3" t="str">
        <x:v>2025::jama.2024.24764::C008</x:v>
      </x:c>
      <x:c r="B19" s="3" t="str">
        <x:v>sourceLinks</x:v>
      </x:c>
      <x:c r="C19" s="3" t="n">
        <x:v>1</x:v>
      </x:c>
      <x:c r="D19" s="3" t="str">
        <x:v>PDF p. 25, SAP population</x:v>
      </x:c>
      <x:c r="E19" s="3" t="str">
        <x:v>../../2025/jama.2024.24764/joi240145supp1_prod_1741627844.87412.pdf#page=25</x:v>
      </x:c>
    </x:row>
    <x:row r="20" ht="90" customHeight="1">
      <x:c r="A20" s="6" t="str">
        <x:v>2025::jama.2024.24764::C008</x:v>
      </x:c>
      <x:c r="B20" s="6" t="str">
        <x:v>sourceLinks</x:v>
      </x:c>
      <x:c r="C20" s="6" t="n">
        <x:v>2</x:v>
      </x:c>
      <x:c r="D20" s="6" t="str">
        <x:v>joi240145supp4_prod_1741627844.90412.pdf — PDF p. 24, protocol</x:v>
      </x:c>
      <x:c r="E20" s="6" t="str">
        <x:v>../../2025/jama.2024.24764/joi240145supp4_prod_1741627844.90412.pdf#page=24</x:v>
      </x:c>
    </x:row>
    <x:row r="21" ht="90" customHeight="1">
      <x:c r="A21" s="3" t="str">
        <x:v>2025::jama.2024.24764::C008</x:v>
      </x:c>
      <x:c r="B21" s="3" t="str">
        <x:v>sourceLinks</x:v>
      </x:c>
      <x:c r="C21" s="3" t="n">
        <x:v>3</x:v>
      </x:c>
      <x:c r="D21" s="3" t="str">
        <x:v>jama_atherton_2025_oi_240145_1741627844.85412.pdf — PDF p. 1, abstract</x:v>
      </x:c>
      <x:c r="E21" s="3" t="str">
        <x:v>../../2025/jama.2024.24764/jama_atherton_2025_oi_240145_1741627844.85412.pdf#page=1</x:v>
      </x:c>
    </x:row>
    <x:row r="22" ht="90" customHeight="1">
      <x:c r="A22" s="6" t="str">
        <x:v>2025::jama.2024.24764::C008</x:v>
      </x:c>
      <x:c r="B22" s="6" t="str">
        <x:v>sourceLinks</x:v>
      </x:c>
      <x:c r="C22" s="6" t="n">
        <x:v>4</x:v>
      </x:c>
      <x:c r="D22" s="6" t="str">
        <x:v>PDF p. 8, Table 3</x:v>
      </x:c>
      <x:c r="E22" s="6" t="str">
        <x:v>../../2025/jama.2024.24764/jama_atherton_2025_oi_240145_1741627844.85412.pdf#page=8</x:v>
      </x:c>
    </x:row>
    <x:row r="23" ht="90" customHeight="1">
      <x:c r="A23" s="3" t="str">
        <x:v>2025::jama.2024.24764::C008</x:v>
      </x:c>
      <x:c r="B23" s="3" t="str">
        <x:v>evidencePaths</x:v>
      </x:c>
      <x:c r="C23" s="3" t="n">
        <x:v>0</x:v>
      </x:c>
      <x:c r="D23" s="3" t="str">
        <x:v>2025/jama.2024.24764/.ai_paper_validation/review_1_5_3/verification/evidence_recheck.md</x:v>
      </x:c>
      <x:c r="E23" s="3" t="str">
        <x:v>../../2025/jama.2024.24764/.ai_paper_validation/review_1_5_3/verification/evidence_recheck.md</x:v>
      </x:c>
    </x:row>
    <x:row r="24" ht="90" customHeight="1">
      <x:c r="A24" s="6" t="str">
        <x:v>2025::jama.2024.27643::C001</x:v>
      </x:c>
      <x:c r="B24" s="6" t="str">
        <x:v>sourceLinks</x:v>
      </x:c>
      <x:c r="C24" s="6" t="n">
        <x:v>0</x:v>
      </x:c>
      <x:c r="D24" s="6" t="str">
        <x:v>jama_berry_2025_oi_240158_1742927563.7361.pdf — Table 1 and footnote b, PDF p. 6</x:v>
      </x:c>
      <x:c r="E24" s="6" t="str">
        <x:v>../../2025/jama.2024.27643/jama_berry_2025_oi_240158_1742927563.7361.pdf#page=6</x:v>
      </x:c>
    </x:row>
    <x:row r="25" ht="90" customHeight="1">
      <x:c r="A25" s="3" t="str">
        <x:v>2025::jama.2024.27643::C002</x:v>
      </x:c>
      <x:c r="B25" s="3" t="str">
        <x:v>sourceLinks</x:v>
      </x:c>
      <x:c r="C25" s="3" t="n">
        <x:v>0</x:v>
      </x:c>
      <x:c r="D25" s="3" t="str">
        <x:v>jama_berry_2025_oi_240158_1742927563.7361.pdf — Secondary Efficacy Outcomes, PDF p. 4</x:v>
      </x:c>
      <x:c r="E25" s="3" t="str">
        <x:v>../../2025/jama.2024.27643/jama_berry_2025_oi_240158_1742927563.7361.pdf#page=4</x:v>
      </x:c>
    </x:row>
    <x:row r="26" ht="90" customHeight="1">
      <x:c r="A26" s="6" t="str">
        <x:v>2025::jama.2024.27643::C002</x:v>
      </x:c>
      <x:c r="B26" s="6" t="str">
        <x:v>sourceLinks</x:v>
      </x:c>
      <x:c r="C26" s="6" t="n">
        <x:v>1</x:v>
      </x:c>
      <x:c r="D26" s="6" t="str">
        <x:v>joi240158supp3_prod_1742927563.7911.pdf — eTable 3A, PDF p. 16</x:v>
      </x:c>
      <x:c r="E26" s="6" t="str">
        <x:v>../../2025/jama.2024.27643/joi240158supp3_prod_1742927563.7911.pdf#page=16</x:v>
      </x:c>
    </x:row>
    <x:row r="27" ht="90" customHeight="1">
      <x:c r="A27" s="3" t="str">
        <x:v>2025::jama.2024.27643::C003</x:v>
      </x:c>
      <x:c r="B27" s="3" t="str">
        <x:v>sourceLinks</x:v>
      </x:c>
      <x:c r="C27" s="3" t="n">
        <x:v>0</x:v>
      </x:c>
      <x:c r="D27" s="3" t="str">
        <x:v>jama_berry_2025_oi_240158_1742927563.7361.pdf — Primary Efficacy Outcome, PDF p. 4</x:v>
      </x:c>
      <x:c r="E27" s="3" t="str">
        <x:v>../../2025/jama.2024.27643/jama_berry_2025_oi_240158_1742927563.7361.pdf#page=4</x:v>
      </x:c>
    </x:row>
    <x:row r="28" ht="90" customHeight="1">
      <x:c r="A28" s="6" t="str">
        <x:v>2025::jama.2024.27643::C003</x:v>
      </x:c>
      <x:c r="B28" s="6" t="str">
        <x:v>sourceLinks</x:v>
      </x:c>
      <x:c r="C28" s="6" t="n">
        <x:v>1</x:v>
      </x:c>
      <x:c r="D28" s="6" t="str">
        <x:v>joi240158supp3_prod_1742927563.7911.pdf — eTable 2, PDF p. 15</x:v>
      </x:c>
      <x:c r="E28" s="6" t="str">
        <x:v>../../2025/jama.2024.27643/joi240158supp3_prod_1742927563.7911.pdf#page=15</x:v>
      </x:c>
    </x:row>
    <x:row r="29" ht="90" customHeight="1">
      <x:c r="A29" s="3" t="str">
        <x:v>2025::jama.2024.27643::C004</x:v>
      </x:c>
      <x:c r="B29" s="3" t="str">
        <x:v>sourceLinks</x:v>
      </x:c>
      <x:c r="C29" s="3" t="n">
        <x:v>0</x:v>
      </x:c>
      <x:c r="D29" s="3" t="str">
        <x:v>jama_berry_2025_oi_240158_1742927563.7361.pdf — Primary Efficacy Outcome, PDF p. 4</x:v>
      </x:c>
      <x:c r="E29" s="3" t="str">
        <x:v>../../2025/jama.2024.27643/jama_berry_2025_oi_240158_1742927563.7361.pdf#page=4</x:v>
      </x:c>
    </x:row>
    <x:row r="30" ht="90" customHeight="1">
      <x:c r="A30" s="6" t="str">
        <x:v>2025::jama.2024.27643::C004</x:v>
      </x:c>
      <x:c r="B30" s="6" t="str">
        <x:v>sourceLinks</x:v>
      </x:c>
      <x:c r="C30" s="6" t="n">
        <x:v>1</x:v>
      </x:c>
      <x:c r="D30" s="6" t="str">
        <x:v>joi240158supp3_prod_1742927563.7911.pdf — eTable 2, PDF p. 15</x:v>
      </x:c>
      <x:c r="E30" s="6" t="str">
        <x:v>../../2025/jama.2024.27643/joi240158supp3_prod_1742927563.7911.pdf#page=15</x:v>
      </x:c>
    </x:row>
    <x:row r="31" ht="90" customHeight="1">
      <x:c r="A31" s="3" t="str">
        <x:v>2025::jama.2024.27643::C005</x:v>
      </x:c>
      <x:c r="B31" s="3" t="str">
        <x:v>sourceLinks</x:v>
      </x:c>
      <x:c r="C31" s="3" t="n">
        <x:v>0</x:v>
      </x:c>
      <x:c r="D31" s="3" t="str">
        <x:v>jama_berry_2025_oi_240158_1742927563.7361.pdf — Primary Efficacy Outcome, PDF p. 4</x:v>
      </x:c>
      <x:c r="E31" s="3" t="str">
        <x:v>../../2025/jama.2024.27643/jama_berry_2025_oi_240158_1742927563.7361.pdf#page=4</x:v>
      </x:c>
    </x:row>
    <x:row r="32" ht="90" customHeight="1">
      <x:c r="A32" s="6" t="str">
        <x:v>2025::jama.2024.27643::C005</x:v>
      </x:c>
      <x:c r="B32" s="6" t="str">
        <x:v>sourceLinks</x:v>
      </x:c>
      <x:c r="C32" s="6" t="n">
        <x:v>1</x:v>
      </x:c>
      <x:c r="D32" s="6" t="str">
        <x:v>joi240158supp3_prod_1742927563.7911.pdf — eTable 2, PDF p. 15</x:v>
      </x:c>
      <x:c r="E32" s="6" t="str">
        <x:v>../../2025/jama.2024.27643/joi240158supp3_prod_1742927563.7911.pdf#page=15</x:v>
      </x:c>
    </x:row>
    <x:row r="33" ht="90" customHeight="1">
      <x:c r="A33" s="3" t="str">
        <x:v>2025::jama.2024.27643::C006</x:v>
      </x:c>
      <x:c r="B33" s="3" t="str">
        <x:v>sourceLinks</x:v>
      </x:c>
      <x:c r="C33" s="3" t="n">
        <x:v>0</x:v>
      </x:c>
      <x:c r="D33" s="3" t="str">
        <x:v>jama_berry_2025_oi_240158_1742927563.7361.pdf — Figure 3 and Biomarker Analyses, PDF p. 8</x:v>
      </x:c>
      <x:c r="E33" s="3" t="str">
        <x:v>../../2025/jama.2024.27643/jama_berry_2025_oi_240158_1742927563.7361.pdf#page=8</x:v>
      </x:c>
    </x:row>
    <x:row r="34" ht="90" customHeight="1">
      <x:c r="A34" s="6" t="str">
        <x:v>2025::jama.2024.27643::C006</x:v>
      </x:c>
      <x:c r="B34" s="6" t="str">
        <x:v>sourceLinks</x:v>
      </x:c>
      <x:c r="C34" s="6" t="n">
        <x:v>1</x:v>
      </x:c>
      <x:c r="D34" s="6" t="str">
        <x:v>joi240158supp3_prod_1742927563.7911.pdf — eTable 3B, PDF p. 17</x:v>
      </x:c>
      <x:c r="E34" s="6" t="str">
        <x:v>../../2025/jama.2024.27643/joi240158supp3_prod_1742927563.7911.pdf#page=17</x:v>
      </x:c>
    </x:row>
    <x:row r="35" ht="90" customHeight="1">
      <x:c r="A35" s="3" t="str">
        <x:v>2025::jama.2024.27643::C007</x:v>
      </x:c>
      <x:c r="B35" s="3" t="str">
        <x:v>sourceLinks</x:v>
      </x:c>
      <x:c r="C35" s="3" t="n">
        <x:v>0</x:v>
      </x:c>
      <x:c r="D35" s="3" t="str">
        <x:v>jama_berry_2025_oi_240158_1742927563.7361.pdf — Figure 3 and Biomarker Analyses, PDF p. 8</x:v>
      </x:c>
      <x:c r="E35" s="3" t="str">
        <x:v>../../2025/jama.2024.27643/jama_berry_2025_oi_240158_1742927563.7361.pdf#page=8</x:v>
      </x:c>
    </x:row>
    <x:row r="36" ht="90" customHeight="1">
      <x:c r="A36" s="6" t="str">
        <x:v>2025::jama.2024.27643::C007</x:v>
      </x:c>
      <x:c r="B36" s="6" t="str">
        <x:v>sourceLinks</x:v>
      </x:c>
      <x:c r="C36" s="6" t="n">
        <x:v>1</x:v>
      </x:c>
      <x:c r="D36" s="6" t="str">
        <x:v>joi240158supp3_prod_1742927563.7911.pdf — eTable 3B, PDF p. 17</x:v>
      </x:c>
      <x:c r="E36" s="6" t="str">
        <x:v>../../2025/jama.2024.27643/joi240158supp3_prod_1742927563.7911.pdf#page=17</x:v>
      </x:c>
    </x:row>
    <x:row r="37" ht="90" customHeight="1">
      <x:c r="A37" s="3" t="str">
        <x:v>2025::jama.2024.27643::C008</x:v>
      </x:c>
      <x:c r="B37" s="3" t="str">
        <x:v>sourceLinks</x:v>
      </x:c>
      <x:c r="C37" s="3" t="n">
        <x:v>0</x:v>
      </x:c>
      <x:c r="D37" s="3" t="str">
        <x:v>jama_berry_2025_oi_240158_1742927563.7361.pdf — Table 2, PDF p. 7</x:v>
      </x:c>
      <x:c r="E37" s="3" t="str">
        <x:v>../../2025/jama.2024.27643/jama_berry_2025_oi_240158_1742927563.7361.pdf#page=7</x:v>
      </x:c>
    </x:row>
    <x:row r="38" ht="90" customHeight="1">
      <x:c r="A38" s="6" t="str">
        <x:v>2025::jama.2024.27643::C008</x:v>
      </x:c>
      <x:c r="B38" s="6" t="str">
        <x:v>sourceLinks</x:v>
      </x:c>
      <x:c r="C38" s="6" t="n">
        <x:v>1</x:v>
      </x:c>
      <x:c r="D38" s="6" t="str">
        <x:v>jama_berry_2025_oi_240158_1742927563.7361.pdf — Discussion, PDF p. 9</x:v>
      </x:c>
      <x:c r="E38" s="6" t="str">
        <x:v>../../2025/jama.2024.27643/jama_berry_2025_oi_240158_1742927563.7361.pdf#page=9</x:v>
      </x:c>
    </x:row>
    <x:row r="39" ht="90" customHeight="1">
      <x:c r="A39" s="3" t="str">
        <x:v>2025::jama.2025.11178::C001</x:v>
      </x:c>
      <x:c r="B39" s="3" t="str">
        <x:v>sourceLinks</x:v>
      </x:c>
      <x:c r="C39" s="3" t="n">
        <x:v>0</x:v>
      </x:c>
      <x:c r="D39" s="3" t="str">
        <x:v>main article — PDF p. 5</x:v>
      </x:c>
      <x:c r="E39" s="3" t="str">
        <x:v>../../2025/jama.2025.11178/jama_debar_2025_oi_250046_1755300121.13587.pdf#page=5</x:v>
      </x:c>
    </x:row>
    <x:row r="40" ht="90" customHeight="1">
      <x:c r="A40" s="6" t="str">
        <x:v>2025::jama.2025.11178::C002</x:v>
      </x:c>
      <x:c r="B40" s="6" t="str">
        <x:v>sourceLinks</x:v>
      </x:c>
      <x:c r="C40" s="6" t="n">
        <x:v>0</x:v>
      </x:c>
      <x:c r="D40" s="6" t="str">
        <x:v>results supplement — PDF p. 7</x:v>
      </x:c>
      <x:c r="E40" s="6" t="str">
        <x:v>../../2025/jama.2025.11178/joi250046supp4_prod_1755300121.15587.pdf#page=7</x:v>
      </x:c>
    </x:row>
    <x:row r="41" ht="90" customHeight="1">
      <x:c r="A41" s="3" t="str">
        <x:v>2025::jama.2025.11178::C003</x:v>
      </x:c>
      <x:c r="B41" s="3" t="str">
        <x:v>sourceLinks</x:v>
      </x:c>
      <x:c r="C41" s="3" t="n">
        <x:v>0</x:v>
      </x:c>
      <x:c r="D41" s="3" t="str">
        <x:v>results supplement — PDF p. 7</x:v>
      </x:c>
      <x:c r="E41" s="3" t="str">
        <x:v>../../2025/jama.2025.11178/joi250046supp4_prod_1755300121.15587.pdf#page=7</x:v>
      </x:c>
    </x:row>
    <x:row r="42" ht="90" customHeight="1">
      <x:c r="A42" s="6" t="str">
        <x:v>2025::jama.2025.11178::C004</x:v>
      </x:c>
      <x:c r="B42" s="6" t="str">
        <x:v>sourceLinks</x:v>
      </x:c>
      <x:c r="C42" s="6" t="n">
        <x:v>0</x:v>
      </x:c>
      <x:c r="D42" s="6" t="str">
        <x:v>results supplement — PDF p. 7</x:v>
      </x:c>
      <x:c r="E42" s="6" t="str">
        <x:v>../../2025/jama.2025.11178/joi250046supp4_prod_1755300121.15587.pdf#page=7</x:v>
      </x:c>
    </x:row>
    <x:row r="43" ht="90" customHeight="1">
      <x:c r="A43" s="3" t="str">
        <x:v>2025::jama.2025.11178::C005</x:v>
      </x:c>
      <x:c r="B43" s="3" t="str">
        <x:v>sourceLinks</x:v>
      </x:c>
      <x:c r="C43" s="3" t="n">
        <x:v>0</x:v>
      </x:c>
      <x:c r="D43" s="3" t="str">
        <x:v>workbook</x:v>
      </x:c>
      <x:c r="E43" s="3" t="str">
        <x:v>../../2025/jama.2025.11178/joi250046supp5_prod_1755300121.16087.xlsx</x:v>
      </x:c>
    </x:row>
    <x:row r="44" ht="90" customHeight="1">
      <x:c r="A44" s="6" t="str">
        <x:v>2025::jama.2025.11178::C006</x:v>
      </x:c>
      <x:c r="B44" s="6" t="str">
        <x:v>sourceLinks</x:v>
      </x:c>
      <x:c r="C44" s="6" t="n">
        <x:v>0</x:v>
      </x:c>
      <x:c r="D44" s="6" t="str">
        <x:v>workbook</x:v>
      </x:c>
      <x:c r="E44" s="6" t="str">
        <x:v>../../2025/jama.2025.11178/joi250046supp5_prod_1755300121.16087.xlsx</x:v>
      </x:c>
    </x:row>
    <x:row r="45" ht="90" customHeight="1">
      <x:c r="A45" s="3" t="str">
        <x:v>2025::jama.2025.11178::C007</x:v>
      </x:c>
      <x:c r="B45" s="3" t="str">
        <x:v>sourceLinks</x:v>
      </x:c>
      <x:c r="C45" s="3" t="n">
        <x:v>0</x:v>
      </x:c>
      <x:c r="D45" s="3" t="str">
        <x:v>workbook</x:v>
      </x:c>
      <x:c r="E45" s="3" t="str">
        <x:v>../../2025/jama.2025.11178/joi250046supp5_prod_1755300121.16087.xlsx</x:v>
      </x:c>
    </x:row>
    <x:row r="46" ht="90" customHeight="1">
      <x:c r="A46" s="6" t="str">
        <x:v>2025::jama.2025.11178::C008</x:v>
      </x:c>
      <x:c r="B46" s="6" t="str">
        <x:v>sourceLinks</x:v>
      </x:c>
      <x:c r="C46" s="6" t="n">
        <x:v>0</x:v>
      </x:c>
      <x:c r="D46" s="6" t="str">
        <x:v>main article — PDF p. 10</x:v>
      </x:c>
      <x:c r="E46" s="6" t="str">
        <x:v>../../2025/jama.2025.11178/jama_debar_2025_oi_250046_1755300121.13587.pdf#page=10</x:v>
      </x:c>
    </x:row>
    <x:row r="47" ht="90" customHeight="1">
      <x:c r="A47" s="3" t="str">
        <x:v>2025::jama.2025.11178::C009</x:v>
      </x:c>
      <x:c r="B47" s="3" t="str">
        <x:v>sourceLinks</x:v>
      </x:c>
      <x:c r="C47" s="3" t="n">
        <x:v>0</x:v>
      </x:c>
      <x:c r="D47" s="3" t="str">
        <x:v>main article — PDF p. 10</x:v>
      </x:c>
      <x:c r="E47" s="3" t="str">
        <x:v>../../2025/jama.2025.11178/jama_debar_2025_oi_250046_1755300121.13587.pdf#page=10</x:v>
      </x:c>
    </x:row>
    <x:row r="48" ht="90" customHeight="1">
      <x:c r="A48" s="6" t="str">
        <x:v>2025::jama.2025.11178::C010</x:v>
      </x:c>
      <x:c r="B48" s="6" t="str">
        <x:v>sourceLinks</x:v>
      </x:c>
      <x:c r="C48" s="6" t="n">
        <x:v>0</x:v>
      </x:c>
      <x:c r="D48" s="6" t="str">
        <x:v>main article — PDF p. 10</x:v>
      </x:c>
      <x:c r="E48" s="6" t="str">
        <x:v>../../2025/jama.2025.11178/jama_debar_2025_oi_250046_1755300121.13587.pdf#page=10</x:v>
      </x:c>
    </x:row>
    <x:row r="49" ht="90" customHeight="1">
      <x:c r="A49" s="3" t="str">
        <x:v>2025::jama.2025.11178::C011</x:v>
      </x:c>
      <x:c r="B49" s="3" t="str">
        <x:v>sourceLinks</x:v>
      </x:c>
      <x:c r="C49" s="3" t="n">
        <x:v>0</x:v>
      </x:c>
      <x:c r="D49" s="3" t="str">
        <x:v>main article — PDF p. 10</x:v>
      </x:c>
      <x:c r="E49" s="3" t="str">
        <x:v>../../2025/jama.2025.11178/jama_debar_2025_oi_250046_1755300121.13587.pdf#page=10</x:v>
      </x:c>
    </x:row>
    <x:row r="50" ht="90" customHeight="1">
      <x:c r="A50" s="6" t="str">
        <x:v>2025::jama.2025.11178::C012</x:v>
      </x:c>
      <x:c r="B50" s="6" t="str">
        <x:v>sourceLinks</x:v>
      </x:c>
      <x:c r="C50" s="6" t="n">
        <x:v>0</x:v>
      </x:c>
      <x:c r="D50" s="6" t="str">
        <x:v>main article — PDF p. 10</x:v>
      </x:c>
      <x:c r="E50" s="6" t="str">
        <x:v>../../2025/jama.2025.11178/jama_debar_2025_oi_250046_1755300121.13587.pdf#page=10</x:v>
      </x:c>
    </x:row>
    <x:row r="51" ht="90" customHeight="1">
      <x:c r="A51" s="3" t="str">
        <x:v>2025::jama.2025.11178::C013</x:v>
      </x:c>
      <x:c r="B51" s="3" t="str">
        <x:v>sourceLinks</x:v>
      </x:c>
      <x:c r="C51" s="3" t="n">
        <x:v>0</x:v>
      </x:c>
      <x:c r="D51" s="3" t="str">
        <x:v>main article — PDF p. 10</x:v>
      </x:c>
      <x:c r="E51" s="3" t="str">
        <x:v>../../2025/jama.2025.11178/jama_debar_2025_oi_250046_1755300121.13587.pdf#page=10</x:v>
      </x:c>
    </x:row>
    <x:row r="52" ht="90" customHeight="1">
      <x:c r="A52" s="6" t="str">
        <x:v>2025::jama.2025.11178::C014</x:v>
      </x:c>
      <x:c r="B52" s="6" t="str">
        <x:v>sourceLinks</x:v>
      </x:c>
      <x:c r="C52" s="6" t="n">
        <x:v>0</x:v>
      </x:c>
      <x:c r="D52" s="6" t="str">
        <x:v>main article — PDF p. 10</x:v>
      </x:c>
      <x:c r="E52" s="6" t="str">
        <x:v>../../2025/jama.2025.11178/jama_debar_2025_oi_250046_1755300121.13587.pdf#page=10</x:v>
      </x:c>
    </x:row>
    <x:row r="53" ht="90" customHeight="1">
      <x:c r="A53" s="3" t="str">
        <x:v>2025::jama.2025.11178::C015</x:v>
      </x:c>
      <x:c r="B53" s="3" t="str">
        <x:v>sourceLinks</x:v>
      </x:c>
      <x:c r="C53" s="3" t="n">
        <x:v>0</x:v>
      </x:c>
      <x:c r="D53" s="3" t="str">
        <x:v>main article — PDF p. 10</x:v>
      </x:c>
      <x:c r="E53" s="3" t="str">
        <x:v>../../2025/jama.2025.11178/jama_debar_2025_oi_250046_1755300121.13587.pdf#page=10</x:v>
      </x:c>
    </x:row>
    <x:row r="54" ht="90" customHeight="1">
      <x:c r="A54" s="6" t="str">
        <x:v>2025::jama.2025.11178::C016</x:v>
      </x:c>
      <x:c r="B54" s="6" t="str">
        <x:v>sourceLinks</x:v>
      </x:c>
      <x:c r="C54" s="6" t="n">
        <x:v>0</x:v>
      </x:c>
      <x:c r="D54" s="6" t="str">
        <x:v>main article — PDF p. 10</x:v>
      </x:c>
      <x:c r="E54" s="6" t="str">
        <x:v>../../2025/jama.2025.11178/jama_debar_2025_oi_250046_1755300121.13587.pdf#page=10</x:v>
      </x:c>
    </x:row>
    <x:row r="55" ht="90" customHeight="1">
      <x:c r="A55" s="3" t="str">
        <x:v>2025::jama.2025.11178::C017</x:v>
      </x:c>
      <x:c r="B55" s="3" t="str">
        <x:v>sourceLinks</x:v>
      </x:c>
      <x:c r="C55" s="3" t="n">
        <x:v>0</x:v>
      </x:c>
      <x:c r="D55" s="3" t="str">
        <x:v>main article — PDF p. 10</x:v>
      </x:c>
      <x:c r="E55" s="3" t="str">
        <x:v>../../2025/jama.2025.11178/jama_debar_2025_oi_250046_1755300121.13587.pdf#page=10</x:v>
      </x:c>
    </x:row>
    <x:row r="56" ht="90" customHeight="1">
      <x:c r="A56" s="6" t="str">
        <x:v>2025::jama.2025.11178::C018</x:v>
      </x:c>
      <x:c r="B56" s="6" t="str">
        <x:v>sourceLinks</x:v>
      </x:c>
      <x:c r="C56" s="6" t="n">
        <x:v>0</x:v>
      </x:c>
      <x:c r="D56" s="6" t="str">
        <x:v>main article — PDF p. 10</x:v>
      </x:c>
      <x:c r="E56" s="6" t="str">
        <x:v>../../2025/jama.2025.11178/jama_debar_2025_oi_250046_1755300121.13587.pdf#page=10</x:v>
      </x:c>
    </x:row>
    <x:row r="57" ht="90" customHeight="1">
      <x:c r="A57" s="3" t="str">
        <x:v>2025::jama.2025.11178::C019</x:v>
      </x:c>
      <x:c r="B57" s="3" t="str">
        <x:v>sourceLinks</x:v>
      </x:c>
      <x:c r="C57" s="3" t="n">
        <x:v>0</x:v>
      </x:c>
      <x:c r="D57" s="3" t="str">
        <x:v>main article — PDF p. 10</x:v>
      </x:c>
      <x:c r="E57" s="3" t="str">
        <x:v>../../2025/jama.2025.11178/jama_debar_2025_oi_250046_1755300121.13587.pdf#page=10</x:v>
      </x:c>
    </x:row>
    <x:row r="58" ht="90" customHeight="1">
      <x:c r="A58" s="6" t="str">
        <x:v>2025::jama.2025.11178::C020</x:v>
      </x:c>
      <x:c r="B58" s="6" t="str">
        <x:v>sourceLinks</x:v>
      </x:c>
      <x:c r="C58" s="6" t="n">
        <x:v>0</x:v>
      </x:c>
      <x:c r="D58" s="6" t="str">
        <x:v>main article — PDF p. 10</x:v>
      </x:c>
      <x:c r="E58" s="6" t="str">
        <x:v>../../2025/jama.2025.11178/jama_debar_2025_oi_250046_1755300121.13587.pdf#page=10</x:v>
      </x:c>
    </x:row>
    <x:row r="59" ht="90" customHeight="1">
      <x:c r="A59" s="3" t="str">
        <x:v>2025::jama.2025.11178::C021</x:v>
      </x:c>
      <x:c r="B59" s="3" t="str">
        <x:v>sourceLinks</x:v>
      </x:c>
      <x:c r="C59" s="3" t="n">
        <x:v>0</x:v>
      </x:c>
      <x:c r="D59" s="3" t="str">
        <x:v>main article — PDF p. 10</x:v>
      </x:c>
      <x:c r="E59" s="3" t="str">
        <x:v>../../2025/jama.2025.11178/jama_debar_2025_oi_250046_1755300121.13587.pdf#page=10</x:v>
      </x:c>
    </x:row>
    <x:row r="60" ht="90" customHeight="1">
      <x:c r="A60" s="6" t="str">
        <x:v>2025::jama.2025.11178::C022</x:v>
      </x:c>
      <x:c r="B60" s="6" t="str">
        <x:v>sourceLinks</x:v>
      </x:c>
      <x:c r="C60" s="6" t="n">
        <x:v>0</x:v>
      </x:c>
      <x:c r="D60" s="6" t="str">
        <x:v>main article — PDF p. 10</x:v>
      </x:c>
      <x:c r="E60" s="6" t="str">
        <x:v>../../2025/jama.2025.11178/jama_debar_2025_oi_250046_1755300121.13587.pdf#page=10</x:v>
      </x:c>
    </x:row>
    <x:row r="61" ht="90" customHeight="1">
      <x:c r="A61" s="3" t="str">
        <x:v>2025::jama.2025.11178::C023</x:v>
      </x:c>
      <x:c r="B61" s="3" t="str">
        <x:v>sourceLinks</x:v>
      </x:c>
      <x:c r="C61" s="3" t="n">
        <x:v>0</x:v>
      </x:c>
      <x:c r="D61" s="3" t="str">
        <x:v>main article — PDF p. 10</x:v>
      </x:c>
      <x:c r="E61" s="3" t="str">
        <x:v>../../2025/jama.2025.11178/jama_debar_2025_oi_250046_1755300121.13587.pdf#page=10</x:v>
      </x:c>
    </x:row>
    <x:row r="62" ht="90" customHeight="1">
      <x:c r="A62" s="6" t="str">
        <x:v>2025::jama.2025.11178::C024</x:v>
      </x:c>
      <x:c r="B62" s="6" t="str">
        <x:v>sourceLinks</x:v>
      </x:c>
      <x:c r="C62" s="6" t="n">
        <x:v>0</x:v>
      </x:c>
      <x:c r="D62" s="6" t="str">
        <x:v>main article — PDF p. 10</x:v>
      </x:c>
      <x:c r="E62" s="6" t="str">
        <x:v>../../2025/jama.2025.11178/jama_debar_2025_oi_250046_1755300121.13587.pdf#page=10</x:v>
      </x:c>
    </x:row>
    <x:row r="63" ht="90" customHeight="1">
      <x:c r="A63" s="3" t="str">
        <x:v>2025::jama.2025.11178::C025</x:v>
      </x:c>
      <x:c r="B63" s="3" t="str">
        <x:v>sourceLinks</x:v>
      </x:c>
      <x:c r="C63" s="3" t="n">
        <x:v>0</x:v>
      </x:c>
      <x:c r="D63" s="3" t="str">
        <x:v>main article — PDF p. 10</x:v>
      </x:c>
      <x:c r="E63" s="3" t="str">
        <x:v>../../2025/jama.2025.11178/jama_debar_2025_oi_250046_1755300121.13587.pdf#page=10</x:v>
      </x:c>
    </x:row>
    <x:row r="64" ht="90" customHeight="1">
      <x:c r="A64" s="6" t="str">
        <x:v>2025::jama.2025.11178::C026</x:v>
      </x:c>
      <x:c r="B64" s="6" t="str">
        <x:v>sourceLinks</x:v>
      </x:c>
      <x:c r="C64" s="6" t="n">
        <x:v>0</x:v>
      </x:c>
      <x:c r="D64" s="6" t="str">
        <x:v>main article — PDF p. 10</x:v>
      </x:c>
      <x:c r="E64" s="6" t="str">
        <x:v>../../2025/jama.2025.11178/jama_debar_2025_oi_250046_1755300121.13587.pdf#page=10</x:v>
      </x:c>
    </x:row>
    <x:row r="65" ht="90" customHeight="1">
      <x:c r="A65" s="3" t="str">
        <x:v>2025::jama.2025.11178::C027</x:v>
      </x:c>
      <x:c r="B65" s="3" t="str">
        <x:v>sourceLinks</x:v>
      </x:c>
      <x:c r="C65" s="3" t="n">
        <x:v>0</x:v>
      </x:c>
      <x:c r="D65" s="3" t="str">
        <x:v>main article — PDF p. 10</x:v>
      </x:c>
      <x:c r="E65" s="3" t="str">
        <x:v>../../2025/jama.2025.11178/jama_debar_2025_oi_250046_1755300121.13587.pdf#page=10</x:v>
      </x:c>
    </x:row>
    <x:row r="66" ht="90" customHeight="1">
      <x:c r="A66" s="6" t="str">
        <x:v>2025::jama.2025.11178::C028</x:v>
      </x:c>
      <x:c r="B66" s="6" t="str">
        <x:v>sourceLinks</x:v>
      </x:c>
      <x:c r="C66" s="6" t="n">
        <x:v>0</x:v>
      </x:c>
      <x:c r="D66" s="6" t="str">
        <x:v>main article — PDF p. 10</x:v>
      </x:c>
      <x:c r="E66" s="6" t="str">
        <x:v>../../2025/jama.2025.11178/jama_debar_2025_oi_250046_1755300121.13587.pdf#page=10</x:v>
      </x:c>
    </x:row>
    <x:row r="67" ht="90" customHeight="1">
      <x:c r="A67" s="3" t="str">
        <x:v>2025::jama.2025.11178::C029</x:v>
      </x:c>
      <x:c r="B67" s="3" t="str">
        <x:v>sourceLinks</x:v>
      </x:c>
      <x:c r="C67" s="3" t="n">
        <x:v>0</x:v>
      </x:c>
      <x:c r="D67" s="3" t="str">
        <x:v>main article — PDF p. 10</x:v>
      </x:c>
      <x:c r="E67" s="3" t="str">
        <x:v>../../2025/jama.2025.11178/jama_debar_2025_oi_250046_1755300121.13587.pdf#page=10</x:v>
      </x:c>
    </x:row>
    <x:row r="68" ht="90" customHeight="1">
      <x:c r="A68" s="6" t="str">
        <x:v>2025::jama.2025.11178::C030</x:v>
      </x:c>
      <x:c r="B68" s="6" t="str">
        <x:v>sourceLinks</x:v>
      </x:c>
      <x:c r="C68" s="6" t="n">
        <x:v>0</x:v>
      </x:c>
      <x:c r="D68" s="6" t="str">
        <x:v>main article — PDF p. 10</x:v>
      </x:c>
      <x:c r="E68" s="6" t="str">
        <x:v>../../2025/jama.2025.11178/jama_debar_2025_oi_250046_1755300121.13587.pdf#page=10</x:v>
      </x:c>
    </x:row>
    <x:row r="69" ht="90" customHeight="1">
      <x:c r="A69" s="3" t="str">
        <x:v>2025::jama.2025.11178::C031</x:v>
      </x:c>
      <x:c r="B69" s="3" t="str">
        <x:v>sourceLinks</x:v>
      </x:c>
      <x:c r="C69" s="3" t="n">
        <x:v>0</x:v>
      </x:c>
      <x:c r="D69" s="3" t="str">
        <x:v>main article — PDF p. 11</x:v>
      </x:c>
      <x:c r="E69" s="3" t="str">
        <x:v>../../2025/jama.2025.11178/jama_debar_2025_oi_250046_1755300121.13587.pdf#page=11</x:v>
      </x:c>
    </x:row>
    <x:row r="70" ht="90" customHeight="1">
      <x:c r="A70" s="6" t="str">
        <x:v>2025::jama.2025.11178::C032</x:v>
      </x:c>
      <x:c r="B70" s="6" t="str">
        <x:v>sourceLinks</x:v>
      </x:c>
      <x:c r="C70" s="6" t="n">
        <x:v>0</x:v>
      </x:c>
      <x:c r="D70" s="6" t="str">
        <x:v>main article — PDF p. 11</x:v>
      </x:c>
      <x:c r="E70" s="6" t="str">
        <x:v>../../2025/jama.2025.11178/jama_debar_2025_oi_250046_1755300121.13587.pdf#page=11</x:v>
      </x:c>
    </x:row>
    <x:row r="71" ht="90" customHeight="1">
      <x:c r="A71" s="3" t="str">
        <x:v>2025::jama.2025.11178::C033</x:v>
      </x:c>
      <x:c r="B71" s="3" t="str">
        <x:v>sourceLinks</x:v>
      </x:c>
      <x:c r="C71" s="3" t="n">
        <x:v>0</x:v>
      </x:c>
      <x:c r="D71" s="3" t="str">
        <x:v>main article — PDF p. 11</x:v>
      </x:c>
      <x:c r="E71" s="3" t="str">
        <x:v>../../2025/jama.2025.11178/jama_debar_2025_oi_250046_1755300121.13587.pdf#page=11</x:v>
      </x:c>
    </x:row>
    <x:row r="72" ht="90" customHeight="1">
      <x:c r="A72" s="6" t="str">
        <x:v>2025::jama.2025.11178::C034</x:v>
      </x:c>
      <x:c r="B72" s="6" t="str">
        <x:v>sourceLinks</x:v>
      </x:c>
      <x:c r="C72" s="6" t="n">
        <x:v>0</x:v>
      </x:c>
      <x:c r="D72" s="6" t="str">
        <x:v>main article — PDF p. 1</x:v>
      </x:c>
      <x:c r="E72" s="6" t="str">
        <x:v>../../2025/jama.2025.11178/jama_debar_2025_oi_250046_1755300121.13587.pdf#page=1</x:v>
      </x:c>
    </x:row>
    <x:row r="73" ht="90" customHeight="1">
      <x:c r="A73" s="3" t="str">
        <x:v>2025::jama.2025.11178::C034</x:v>
      </x:c>
      <x:c r="B73" s="3" t="str">
        <x:v>sourceLinks</x:v>
      </x:c>
      <x:c r="C73" s="3" t="n">
        <x:v>1</x:v>
      </x:c>
      <x:c r="D73" s="3" t="str">
        <x:v>main article — PDF p. 6</x:v>
      </x:c>
      <x:c r="E73" s="3" t="str">
        <x:v>../../2025/jama.2025.11178/jama_debar_2025_oi_250046_1755300121.13587.pdf#page=6</x:v>
      </x:c>
    </x:row>
    <x:row r="74" ht="90" customHeight="1">
      <x:c r="A74" s="6" t="str">
        <x:v>2025::jama.2025.11178::C034</x:v>
      </x:c>
      <x:c r="B74" s="6" t="str">
        <x:v>sourceLinks</x:v>
      </x:c>
      <x:c r="C74" s="6" t="n">
        <x:v>2</x:v>
      </x:c>
      <x:c r="D74" s="6" t="str">
        <x:v>workbook</x:v>
      </x:c>
      <x:c r="E74" s="6" t="str">
        <x:v>../../2025/jama.2025.11178/joi250046supp5_prod_1755300121.16087.xlsx</x:v>
      </x:c>
    </x:row>
    <x:row r="75" ht="90" customHeight="1">
      <x:c r="A75" s="3" t="str">
        <x:v>2025::jama.2025.11178::C034</x:v>
      </x:c>
      <x:c r="B75" s="3" t="str">
        <x:v>evidencePaths</x:v>
      </x:c>
      <x:c r="C75" s="3" t="n">
        <x:v>0</x:v>
      </x:c>
      <x:c r="D75" s="3" t="str">
        <x:v>2025/jama.2025.11178/.ai_paper_validation/review_1_5_1/verification/evidence_recheck.md</x:v>
      </x:c>
      <x:c r="E75" s="3" t="str">
        <x:v>../../2025/jama.2025.11178/.ai_paper_validation/review_1_5_1/verification/evidence_recheck.md</x:v>
      </x:c>
    </x:row>
    <x:row r="76" ht="90" customHeight="1">
      <x:c r="A76" s="6" t="str">
        <x:v>2025::jama.2025.11178::C035</x:v>
      </x:c>
      <x:c r="B76" s="6" t="str">
        <x:v>sourceLinks</x:v>
      </x:c>
      <x:c r="C76" s="6" t="n">
        <x:v>0</x:v>
      </x:c>
      <x:c r="D76" s="6" t="str">
        <x:v>main article — PDF p. 4</x:v>
      </x:c>
      <x:c r="E76" s="6" t="str">
        <x:v>../../2025/jama.2025.11178/jama_debar_2025_oi_250046_1755300121.13587.pdf#page=4</x:v>
      </x:c>
    </x:row>
    <x:row r="77" ht="90" customHeight="1">
      <x:c r="A77" s="3" t="str">
        <x:v>2025::jama.2025.11178::C035</x:v>
      </x:c>
      <x:c r="B77" s="3" t="str">
        <x:v>sourceLinks</x:v>
      </x:c>
      <x:c r="C77" s="3" t="n">
        <x:v>1</x:v>
      </x:c>
      <x:c r="D77" s="3" t="str">
        <x:v>main article — PDF p. 6</x:v>
      </x:c>
      <x:c r="E77" s="3" t="str">
        <x:v>../../2025/jama.2025.11178/jama_debar_2025_oi_250046_1755300121.13587.pdf#page=6</x:v>
      </x:c>
    </x:row>
    <x:row r="78" ht="90" customHeight="1">
      <x:c r="A78" s="6" t="str">
        <x:v>2025::jama.2025.11178::C035</x:v>
      </x:c>
      <x:c r="B78" s="6" t="str">
        <x:v>sourceLinks</x:v>
      </x:c>
      <x:c r="C78" s="6" t="n">
        <x:v>2</x:v>
      </x:c>
      <x:c r="D78" s="6" t="str">
        <x:v>workbook</x:v>
      </x:c>
      <x:c r="E78" s="6" t="str">
        <x:v>../../2025/jama.2025.11178/joi250046supp5_prod_1755300121.16087.xlsx</x:v>
      </x:c>
    </x:row>
    <x:row r="79" ht="90" customHeight="1">
      <x:c r="A79" s="3" t="str">
        <x:v>2025::jama.2025.11178::C035</x:v>
      </x:c>
      <x:c r="B79" s="3" t="str">
        <x:v>evidencePaths</x:v>
      </x:c>
      <x:c r="C79" s="3" t="n">
        <x:v>0</x:v>
      </x:c>
      <x:c r="D79" s="3" t="str">
        <x:v>2025/jama.2025.11178/.ai_paper_validation/review_1_5_1/verification/evidence_recheck.md</x:v>
      </x:c>
      <x:c r="E79" s="3" t="str">
        <x:v>../../2025/jama.2025.11178/.ai_paper_validation/review_1_5_1/verification/evidence_recheck.md</x:v>
      </x:c>
    </x:row>
    <x:row r="80" ht="90" customHeight="1">
      <x:c r="A80" s="6" t="str">
        <x:v>2025::jama.2025.11178::C036</x:v>
      </x:c>
      <x:c r="B80" s="6" t="str">
        <x:v>sourceLinks</x:v>
      </x:c>
      <x:c r="C80" s="6" t="n">
        <x:v>0</x:v>
      </x:c>
      <x:c r="D80" s="6" t="str">
        <x:v>main article — PDF p. 7</x:v>
      </x:c>
      <x:c r="E80" s="6" t="str">
        <x:v>../../2025/jama.2025.11178/jama_debar_2025_oi_250046_1755300121.13587.pdf#page=7</x:v>
      </x:c>
    </x:row>
    <x:row r="81" ht="90" customHeight="1">
      <x:c r="A81" s="3" t="str">
        <x:v>2025::jama.2025.11178::C036</x:v>
      </x:c>
      <x:c r="B81" s="3" t="str">
        <x:v>sourceLinks</x:v>
      </x:c>
      <x:c r="C81" s="3" t="n">
        <x:v>1</x:v>
      </x:c>
      <x:c r="D81" s="3" t="str">
        <x:v>main article — PDF p. 10</x:v>
      </x:c>
      <x:c r="E81" s="3" t="str">
        <x:v>../../2025/jama.2025.11178/jama_debar_2025_oi_250046_1755300121.13587.pdf#page=10</x:v>
      </x:c>
    </x:row>
    <x:row r="82" ht="90" customHeight="1">
      <x:c r="A82" s="6" t="str">
        <x:v>2025::jama.2025.11178::C037</x:v>
      </x:c>
      <x:c r="B82" s="6" t="str">
        <x:v>sourceLinks</x:v>
      </x:c>
      <x:c r="C82" s="6" t="n">
        <x:v>0</x:v>
      </x:c>
      <x:c r="D82" s="6" t="str">
        <x:v>main article — PDF p. 7</x:v>
      </x:c>
      <x:c r="E82" s="6" t="str">
        <x:v>../../2025/jama.2025.11178/jama_debar_2025_oi_250046_1755300121.13587.pdf#page=7</x:v>
      </x:c>
    </x:row>
    <x:row r="83" ht="90" customHeight="1">
      <x:c r="A83" s="3" t="str">
        <x:v>2025::jama.2025.11178::C037</x:v>
      </x:c>
      <x:c r="B83" s="3" t="str">
        <x:v>sourceLinks</x:v>
      </x:c>
      <x:c r="C83" s="3" t="n">
        <x:v>1</x:v>
      </x:c>
      <x:c r="D83" s="3" t="str">
        <x:v>main article — PDF p. 10</x:v>
      </x:c>
      <x:c r="E83" s="3" t="str">
        <x:v>../../2025/jama.2025.11178/jama_debar_2025_oi_250046_1755300121.13587.pdf#page=10</x:v>
      </x:c>
    </x:row>
    <x:row r="84" ht="90" customHeight="1">
      <x:c r="A84" s="6" t="str">
        <x:v>2025::jama.2025.15185::C001</x:v>
      </x:c>
      <x:c r="B84" s="6" t="str">
        <x:v>sourceLinks</x:v>
      </x:c>
      <x:c r="C84" s="6" t="n">
        <x:v>0</x:v>
      </x:c>
      <x:c r="D84" s="6" t="str">
        <x:v>main article — PDF p. 4</x:v>
      </x:c>
      <x:c r="E84" s="6" t="str">
        <x:v>../../2025/jama.2025.15185/jama_engelter_2025_oi_250066_1761597796.45511.pdf#page=4</x:v>
      </x:c>
    </x:row>
    <x:row r="85" ht="90" customHeight="1">
      <x:c r="A85" s="3" t="str">
        <x:v>2025::jama.2025.15185::C001</x:v>
      </x:c>
      <x:c r="B85" s="3" t="str">
        <x:v>sourceLinks</x:v>
      </x:c>
      <x:c r="C85" s="3" t="n">
        <x:v>1</x:v>
      </x:c>
      <x:c r="D85" s="3" t="str">
        <x:v>Supplement 3 — PDF p. 10</x:v>
      </x:c>
      <x:c r="E85" s="3" t="str">
        <x:v>../../2025/jama.2025.15185/joi250066supp3_prod_1761597796.4701.pdf#page=10</x:v>
      </x:c>
    </x:row>
    <x:row r="86" ht="90" customHeight="1">
      <x:c r="A86" s="6" t="str">
        <x:v>2025::jama.2025.15185::C001</x:v>
      </x:c>
      <x:c r="B86" s="6" t="str">
        <x:v>sourceLinks</x:v>
      </x:c>
      <x:c r="C86" s="6" t="n">
        <x:v>2</x:v>
      </x:c>
      <x:c r="D86" s="6" t="str">
        <x:v>PDF p. 11</x:v>
      </x:c>
      <x:c r="E86" s="6" t="str">
        <x:v>../../2025/jama.2025.15185/joi250066supp3_prod_1761597796.4701.pdf#page=11</x:v>
      </x:c>
    </x:row>
    <x:row r="87" ht="90" customHeight="1">
      <x:c r="A87" s="3" t="str">
        <x:v>2025::jama.2025.15185::C002</x:v>
      </x:c>
      <x:c r="B87" s="3" t="str">
        <x:v>sourceLinks</x:v>
      </x:c>
      <x:c r="C87" s="3" t="n">
        <x:v>0</x:v>
      </x:c>
      <x:c r="D87" s="3" t="str">
        <x:v>main article — PDF p. 4</x:v>
      </x:c>
      <x:c r="E87" s="3" t="str">
        <x:v>../../2025/jama.2025.15185/jama_engelter_2025_oi_250066_1761597796.45511.pdf#page=4</x:v>
      </x:c>
    </x:row>
    <x:row r="88" ht="90" customHeight="1">
      <x:c r="A88" s="6" t="str">
        <x:v>2025::jama.2025.15185::C002</x:v>
      </x:c>
      <x:c r="B88" s="6" t="str">
        <x:v>sourceLinks</x:v>
      </x:c>
      <x:c r="C88" s="6" t="n">
        <x:v>1</x:v>
      </x:c>
      <x:c r="D88" s="6" t="str">
        <x:v>PDF p. 5</x:v>
      </x:c>
      <x:c r="E88" s="6" t="str">
        <x:v>../../2025/jama.2025.15185/jama_engelter_2025_oi_250066_1761597796.45511.pdf#page=5</x:v>
      </x:c>
    </x:row>
    <x:row r="89" ht="90" customHeight="1">
      <x:c r="A89" s="3" t="str">
        <x:v>2025::jama.2025.15185::C002</x:v>
      </x:c>
      <x:c r="B89" s="3" t="str">
        <x:v>sourceLinks</x:v>
      </x:c>
      <x:c r="C89" s="3" t="n">
        <x:v>2</x:v>
      </x:c>
      <x:c r="D89" s="3" t="str">
        <x:v>Supplement 3 — PDF p. 11</x:v>
      </x:c>
      <x:c r="E89" s="3" t="str">
        <x:v>../../2025/jama.2025.15185/joi250066supp3_prod_1761597796.4701.pdf#page=11</x:v>
      </x:c>
    </x:row>
    <x:row r="90" ht="90" customHeight="1">
      <x:c r="A90" s="6" t="str">
        <x:v>2025::jama.2025.15185::C003</x:v>
      </x:c>
      <x:c r="B90" s="6" t="str">
        <x:v>sourceLinks</x:v>
      </x:c>
      <x:c r="C90" s="6" t="n">
        <x:v>0</x:v>
      </x:c>
      <x:c r="D90" s="6" t="str">
        <x:v>main article — PDF p. 4</x:v>
      </x:c>
      <x:c r="E90" s="6" t="str">
        <x:v>../../2025/jama.2025.15185/jama_engelter_2025_oi_250066_1761597796.45511.pdf#page=4</x:v>
      </x:c>
    </x:row>
    <x:row r="91" ht="90" customHeight="1">
      <x:c r="A91" s="3" t="str">
        <x:v>2025::jama.2025.15185::C003</x:v>
      </x:c>
      <x:c r="B91" s="3" t="str">
        <x:v>sourceLinks</x:v>
      </x:c>
      <x:c r="C91" s="3" t="n">
        <x:v>1</x:v>
      </x:c>
      <x:c r="D91" s="3" t="str">
        <x:v>Supplement 3 — PDF p. 11</x:v>
      </x:c>
      <x:c r="E91" s="3" t="str">
        <x:v>../../2025/jama.2025.15185/joi250066supp3_prod_1761597796.4701.pdf#page=11</x:v>
      </x:c>
    </x:row>
    <x:row r="92" ht="90" customHeight="1">
      <x:c r="A92" s="6" t="str">
        <x:v>2025::jama.2025.15185::C004</x:v>
      </x:c>
      <x:c r="B92" s="6" t="str">
        <x:v>sourceLinks</x:v>
      </x:c>
      <x:c r="C92" s="6" t="n">
        <x:v>0</x:v>
      </x:c>
      <x:c r="D92" s="6" t="str">
        <x:v>Supplement 3 — PDF p. 12</x:v>
      </x:c>
      <x:c r="E92" s="6" t="str">
        <x:v>../../2025/jama.2025.15185/joi250066supp3_prod_1761597796.4701.pdf#page=12</x:v>
      </x:c>
    </x:row>
    <x:row r="93" ht="90" customHeight="1">
      <x:c r="A93" s="3" t="str">
        <x:v>2025::jama.2025.15185::C004</x:v>
      </x:c>
      <x:c r="B93" s="3" t="str">
        <x:v>sourceLinks</x:v>
      </x:c>
      <x:c r="C93" s="3" t="n">
        <x:v>1</x:v>
      </x:c>
      <x:c r="D93" s="3" t="str">
        <x:v>PDF p. 13</x:v>
      </x:c>
      <x:c r="E93" s="3" t="str">
        <x:v>../../2025/jama.2025.15185/joi250066supp3_prod_1761597796.4701.pdf#page=13</x:v>
      </x:c>
    </x:row>
    <x:row r="94" ht="90" customHeight="1">
      <x:c r="A94" s="6" t="str">
        <x:v>2025::jama.2025.15185::C005</x:v>
      </x:c>
      <x:c r="B94" s="6" t="str">
        <x:v>sourceLinks</x:v>
      </x:c>
      <x:c r="C94" s="6" t="n">
        <x:v>0</x:v>
      </x:c>
      <x:c r="D94" s="6" t="str">
        <x:v>main article — PDF p. 6</x:v>
      </x:c>
      <x:c r="E94" s="6" t="str">
        <x:v>../../2025/jama.2025.15185/jama_engelter_2025_oi_250066_1761597796.45511.pdf#page=6</x:v>
      </x:c>
    </x:row>
    <x:row r="95" ht="90" customHeight="1">
      <x:c r="A95" s="3" t="str">
        <x:v>2025::jama.2025.15185::C005</x:v>
      </x:c>
      <x:c r="B95" s="3" t="str">
        <x:v>sourceLinks</x:v>
      </x:c>
      <x:c r="C95" s="3" t="n">
        <x:v>1</x:v>
      </x:c>
      <x:c r="D95" s="3" t="str">
        <x:v>Supplement 3 — PDF p. 15</x:v>
      </x:c>
      <x:c r="E95" s="3" t="str">
        <x:v>../../2025/jama.2025.15185/joi250066supp3_prod_1761597796.4701.pdf#page=15</x:v>
      </x:c>
    </x:row>
    <x:row r="96" ht="90" customHeight="1">
      <x:c r="A96" s="6" t="str">
        <x:v>2025::jama.2025.15185::C006</x:v>
      </x:c>
      <x:c r="B96" s="6" t="str">
        <x:v>sourceLinks</x:v>
      </x:c>
      <x:c r="C96" s="6" t="n">
        <x:v>0</x:v>
      </x:c>
      <x:c r="D96" s="6" t="str">
        <x:v>main article — PDF p. 6</x:v>
      </x:c>
      <x:c r="E96" s="6" t="str">
        <x:v>../../2025/jama.2025.15185/jama_engelter_2025_oi_250066_1761597796.45511.pdf#page=6</x:v>
      </x:c>
    </x:row>
    <x:row r="97" ht="90" customHeight="1">
      <x:c r="A97" s="3" t="str">
        <x:v>2025::jama.2025.15185::C006</x:v>
      </x:c>
      <x:c r="B97" s="3" t="str">
        <x:v>sourceLinks</x:v>
      </x:c>
      <x:c r="C97" s="3" t="n">
        <x:v>1</x:v>
      </x:c>
      <x:c r="D97" s="3" t="str">
        <x:v>Supplement 3 — PDF p. 15</x:v>
      </x:c>
      <x:c r="E97" s="3" t="str">
        <x:v>../../2025/jama.2025.15185/joi250066supp3_prod_1761597796.4701.pdf#page=15</x:v>
      </x:c>
    </x:row>
    <x:row r="98" ht="90" customHeight="1">
      <x:c r="A98" s="6" t="str">
        <x:v>2025::jama.2025.15185::C007</x:v>
      </x:c>
      <x:c r="B98" s="6" t="str">
        <x:v>sourceLinks</x:v>
      </x:c>
      <x:c r="C98" s="6" t="n">
        <x:v>0</x:v>
      </x:c>
      <x:c r="D98" s="6" t="str">
        <x:v>main article — PDF p. 6</x:v>
      </x:c>
      <x:c r="E98" s="6" t="str">
        <x:v>../../2025/jama.2025.15185/jama_engelter_2025_oi_250066_1761597796.45511.pdf#page=6</x:v>
      </x:c>
    </x:row>
    <x:row r="99" ht="90" customHeight="1">
      <x:c r="A99" s="3" t="str">
        <x:v>2025::jama.2025.15185::C007</x:v>
      </x:c>
      <x:c r="B99" s="3" t="str">
        <x:v>sourceLinks</x:v>
      </x:c>
      <x:c r="C99" s="3" t="n">
        <x:v>1</x:v>
      </x:c>
      <x:c r="D99" s="3" t="str">
        <x:v>Supplement 3 — PDF p. 15</x:v>
      </x:c>
      <x:c r="E99" s="3" t="str">
        <x:v>../../2025/jama.2025.15185/joi250066supp3_prod_1761597796.4701.pdf#page=15</x:v>
      </x:c>
    </x:row>
    <x:row r="100" ht="90" customHeight="1">
      <x:c r="A100" s="6" t="str">
        <x:v>2025::jama.2025.15185::C008</x:v>
      </x:c>
      <x:c r="B100" s="6" t="str">
        <x:v>sourceLinks</x:v>
      </x:c>
      <x:c r="C100" s="6" t="n">
        <x:v>0</x:v>
      </x:c>
      <x:c r="D100" s="6" t="str">
        <x:v>main article — PDF p. 6</x:v>
      </x:c>
      <x:c r="E100" s="6" t="str">
        <x:v>../../2025/jama.2025.15185/jama_engelter_2025_oi_250066_1761597796.45511.pdf#page=6</x:v>
      </x:c>
    </x:row>
    <x:row r="101" ht="90" customHeight="1">
      <x:c r="A101" s="3" t="str">
        <x:v>2025::jama.2025.15185::C008</x:v>
      </x:c>
      <x:c r="B101" s="3" t="str">
        <x:v>sourceLinks</x:v>
      </x:c>
      <x:c r="C101" s="3" t="n">
        <x:v>1</x:v>
      </x:c>
      <x:c r="D101" s="3" t="str">
        <x:v>Supplement 3 — PDF p. 15</x:v>
      </x:c>
      <x:c r="E101" s="3" t="str">
        <x:v>../../2025/jama.2025.15185/joi250066supp3_prod_1761597796.4701.pdf#page=15</x:v>
      </x:c>
    </x:row>
    <x:row r="102" ht="90" customHeight="1">
      <x:c r="A102" s="6" t="str">
        <x:v>2025::jama.2025.15185::C009</x:v>
      </x:c>
      <x:c r="B102" s="6" t="str">
        <x:v>sourceLinks</x:v>
      </x:c>
      <x:c r="C102" s="6" t="n">
        <x:v>0</x:v>
      </x:c>
      <x:c r="D102" s="6" t="str">
        <x:v>main article — PDF p. 6</x:v>
      </x:c>
      <x:c r="E102" s="6" t="str">
        <x:v>../../2025/jama.2025.15185/jama_engelter_2025_oi_250066_1761597796.45511.pdf#page=6</x:v>
      </x:c>
    </x:row>
    <x:row r="103" ht="90" customHeight="1">
      <x:c r="A103" s="3" t="str">
        <x:v>2025::jama.2025.15185::C009</x:v>
      </x:c>
      <x:c r="B103" s="3" t="str">
        <x:v>sourceLinks</x:v>
      </x:c>
      <x:c r="C103" s="3" t="n">
        <x:v>1</x:v>
      </x:c>
      <x:c r="D103" s="3" t="str">
        <x:v>PDF p. 7</x:v>
      </x:c>
      <x:c r="E103" s="3" t="str">
        <x:v>../../2025/jama.2025.15185/jama_engelter_2025_oi_250066_1761597796.45511.pdf#page=7</x:v>
      </x:c>
    </x:row>
    <x:row r="104" ht="90" customHeight="1">
      <x:c r="A104" s="6" t="str">
        <x:v>2025::jama.2025.15185::C009</x:v>
      </x:c>
      <x:c r="B104" s="6" t="str">
        <x:v>sourceLinks</x:v>
      </x:c>
      <x:c r="C104" s="6" t="n">
        <x:v>2</x:v>
      </x:c>
      <x:c r="D104" s="6" t="str">
        <x:v>Supplement 3 — PDF p. 17</x:v>
      </x:c>
      <x:c r="E104" s="6" t="str">
        <x:v>../../2025/jama.2025.15185/joi250066supp3_prod_1761597796.4701.pdf#page=17</x:v>
      </x:c>
    </x:row>
    <x:row r="105" ht="90" customHeight="1">
      <x:c r="A105" s="3" t="str">
        <x:v>2025::jama.2025.15185::C009</x:v>
      </x:c>
      <x:c r="B105" s="3" t="str">
        <x:v>evidencePaths</x:v>
      </x:c>
      <x:c r="C105" s="3" t="n">
        <x:v>0</x:v>
      </x:c>
      <x:c r="D105" s="3" t="str">
        <x:v>2025/jama.2025.15185/.ai_paper_validation/review_1_5_1/verification/evidence_recheck.md</x:v>
      </x:c>
      <x:c r="E105" s="3" t="str">
        <x:v>../../2025/jama.2025.15185/.ai_paper_validation/review_1_5_1/verification/evidence_recheck.md</x:v>
      </x:c>
    </x:row>
    <x:row r="106" ht="90" customHeight="1">
      <x:c r="A106" s="6" t="str">
        <x:v>2025::jama.2025.15185::C010</x:v>
      </x:c>
      <x:c r="B106" s="6" t="str">
        <x:v>sourceLinks</x:v>
      </x:c>
      <x:c r="C106" s="6" t="n">
        <x:v>0</x:v>
      </x:c>
      <x:c r="D106" s="6" t="str">
        <x:v>Supplement 3 — PDF p. 23</x:v>
      </x:c>
      <x:c r="E106" s="6" t="str">
        <x:v>../../2025/jama.2025.15185/joi250066supp3_prod_1761597796.4701.pdf#page=23</x:v>
      </x:c>
    </x:row>
    <x:row r="107" ht="90" customHeight="1">
      <x:c r="A107" s="3" t="str">
        <x:v>2025::jama.2025.15185::C010</x:v>
      </x:c>
      <x:c r="B107" s="3" t="str">
        <x:v>sourceLinks</x:v>
      </x:c>
      <x:c r="C107" s="3" t="n">
        <x:v>1</x:v>
      </x:c>
      <x:c r="D107" s="3" t="str">
        <x:v>Supplement 2 — PDF p. 2</x:v>
      </x:c>
      <x:c r="E107" s="3" t="str">
        <x:v>../../2025/jama.2025.15185/joi250066supp2_prod_1761597796.4701.pdf#page=2</x:v>
      </x:c>
    </x:row>
    <x:row r="108" ht="90" customHeight="1">
      <x:c r="A108" s="6" t="str">
        <x:v>2025::jama.2025.15185::C010</x:v>
      </x:c>
      <x:c r="B108" s="6" t="str">
        <x:v>sourceLinks</x:v>
      </x:c>
      <x:c r="C108" s="6" t="n">
        <x:v>2</x:v>
      </x:c>
      <x:c r="D108" s="6" t="str">
        <x:v>main article — PDF p. 1</x:v>
      </x:c>
      <x:c r="E108" s="6" t="str">
        <x:v>../../2025/jama.2025.15185/jama_engelter_2025_oi_250066_1761597796.45511.pdf#page=1</x:v>
      </x:c>
    </x:row>
    <x:row r="109" ht="90" customHeight="1">
      <x:c r="A109" s="3" t="str">
        <x:v>2025::jama.2025.15185::C010</x:v>
      </x:c>
      <x:c r="B109" s="3" t="str">
        <x:v>sourceLinks</x:v>
      </x:c>
      <x:c r="C109" s="3" t="n">
        <x:v>3</x:v>
      </x:c>
      <x:c r="D109" s="3" t="str">
        <x:v>PDF p. 3</x:v>
      </x:c>
      <x:c r="E109" s="3" t="str">
        <x:v>../../2025/jama.2025.15185/jama_engelter_2025_oi_250066_1761597796.45511.pdf#page=3</x:v>
      </x:c>
    </x:row>
    <x:row r="110" ht="90" customHeight="1">
      <x:c r="A110" s="6" t="str">
        <x:v>2025::jama.2025.15185::C010</x:v>
      </x:c>
      <x:c r="B110" s="6" t="str">
        <x:v>sourceLinks</x:v>
      </x:c>
      <x:c r="C110" s="6" t="n">
        <x:v>4</x:v>
      </x:c>
      <x:c r="D110" s="6" t="str">
        <x:v>PDF p. 6</x:v>
      </x:c>
      <x:c r="E110" s="6" t="str">
        <x:v>../../2025/jama.2025.15185/jama_engelter_2025_oi_250066_1761597796.45511.pdf#page=6</x:v>
      </x:c>
    </x:row>
    <x:row r="111" ht="90" customHeight="1">
      <x:c r="A111" s="3" t="str">
        <x:v>2025::jama.2025.15185::C010</x:v>
      </x:c>
      <x:c r="B111" s="3" t="str">
        <x:v>evidencePaths</x:v>
      </x:c>
      <x:c r="C111" s="3" t="n">
        <x:v>0</x:v>
      </x:c>
      <x:c r="D111" s="3" t="str">
        <x:v>2025/jama.2025.15185/.ai_paper_validation/review_1_5_1/verification/evidence_recheck.md</x:v>
      </x:c>
      <x:c r="E111" s="3" t="str">
        <x:v>../../2025/jama.2025.15185/.ai_paper_validation/review_1_5_1/verification/evidence_recheck.md</x:v>
      </x:c>
    </x:row>
    <x:row r="112" ht="90" customHeight="1">
      <x:c r="A112" s="6" t="str">
        <x:v>2025::jama.2025.15185::C011</x:v>
      </x:c>
      <x:c r="B112" s="6" t="str">
        <x:v>sourceLinks</x:v>
      </x:c>
      <x:c r="C112" s="6" t="n">
        <x:v>0</x:v>
      </x:c>
      <x:c r="D112" s="6" t="str">
        <x:v>Supplement 3 — PDF p. 13</x:v>
      </x:c>
      <x:c r="E112" s="6" t="str">
        <x:v>../../2025/jama.2025.15185/joi250066supp3_prod_1761597796.4701.pdf#page=13</x:v>
      </x:c>
    </x:row>
    <x:row r="113" ht="90" customHeight="1">
      <x:c r="A113" s="3" t="str">
        <x:v>2025::jama.2025.15185::C012</x:v>
      </x:c>
      <x:c r="B113" s="3" t="str">
        <x:v>sourceLinks</x:v>
      </x:c>
      <x:c r="C113" s="3" t="n">
        <x:v>0</x:v>
      </x:c>
      <x:c r="D113" s="3" t="str">
        <x:v>Supplement 3 — PDF p. 12</x:v>
      </x:c>
      <x:c r="E113" s="3" t="str">
        <x:v>../../2025/jama.2025.15185/joi250066supp3_prod_1761597796.4701.pdf#page=12</x:v>
      </x:c>
    </x:row>
    <x:row r="114" ht="90" customHeight="1">
      <x:c r="A114" s="6" t="str">
        <x:v>2025::jama.2025.15185::C012</x:v>
      </x:c>
      <x:c r="B114" s="6" t="str">
        <x:v>sourceLinks</x:v>
      </x:c>
      <x:c r="C114" s="6" t="n">
        <x:v>1</x:v>
      </x:c>
      <x:c r="D114" s="6" t="str">
        <x:v>PDF p. 13</x:v>
      </x:c>
      <x:c r="E114" s="6" t="str">
        <x:v>../../2025/jama.2025.15185/joi250066supp3_prod_1761597796.4701.pdf#page=13</x:v>
      </x:c>
    </x:row>
    <x:row r="115" ht="90" customHeight="1">
      <x:c r="A115" s="3" t="str">
        <x:v>2025::jama.2025.15440::C001</x:v>
      </x:c>
      <x:c r="B115" s="3" t="str">
        <x:v>sourceLinks</x:v>
      </x:c>
      <x:c r="C115" s="3" t="n">
        <x:v>0</x:v>
      </x:c>
      <x:c r="D115" s="3" t="str">
        <x:v>jama_wijesurendra_2025_oi_250068_1760999665.28362.pdf — PDF p. 1</x:v>
      </x:c>
      <x:c r="E115" s="3" t="str">
        <x:v>../../2025/jama.2025.15440/jama_wijesurendra_2025_oi_250068_1760999665.28362.pdf#page=1</x:v>
      </x:c>
    </x:row>
    <x:row r="116" ht="90" customHeight="1">
      <x:c r="A116" s="6" t="str">
        <x:v>2025::jama.2025.15440::C001</x:v>
      </x:c>
      <x:c r="B116" s="6" t="str">
        <x:v>sourceLinks</x:v>
      </x:c>
      <x:c r="C116" s="6" t="n">
        <x:v>1</x:v>
      </x:c>
      <x:c r="D116" s="6" t="str">
        <x:v>PDF p. 5</x:v>
      </x:c>
      <x:c r="E116" s="6" t="str">
        <x:v>../../2025/jama.2025.15440/jama_wijesurendra_2025_oi_250068_1760999665.28362.pdf#page=5</x:v>
      </x:c>
    </x:row>
    <x:row r="117" ht="90" customHeight="1">
      <x:c r="A117" s="3" t="str">
        <x:v>2025::jama.2025.15440::C001</x:v>
      </x:c>
      <x:c r="B117" s="3" t="str">
        <x:v>sourceLinks</x:v>
      </x:c>
      <x:c r="C117" s="3" t="n">
        <x:v>2</x:v>
      </x:c>
      <x:c r="D117" s="3" t="str">
        <x:v>PDF p. 7</x:v>
      </x:c>
      <x:c r="E117" s="3" t="str">
        <x:v>../../2025/jama.2025.15440/jama_wijesurendra_2025_oi_250068_1760999665.28362.pdf#page=7</x:v>
      </x:c>
    </x:row>
    <x:row r="118" ht="90" customHeight="1">
      <x:c r="A118" s="6" t="str">
        <x:v>2025::jama.2025.15440::C002</x:v>
      </x:c>
      <x:c r="B118" s="6" t="str">
        <x:v>sourceLinks</x:v>
      </x:c>
      <x:c r="C118" s="6" t="n">
        <x:v>0</x:v>
      </x:c>
      <x:c r="D118" s="6" t="str">
        <x:v>jama_wijesurendra_2025_oi_250068_1760999665.28362.pdf — PDF p. 7</x:v>
      </x:c>
      <x:c r="E118" s="6" t="str">
        <x:v>../../2025/jama.2025.15440/jama_wijesurendra_2025_oi_250068_1760999665.28362.pdf#page=7</x:v>
      </x:c>
    </x:row>
    <x:row r="119" ht="90" customHeight="1">
      <x:c r="A119" s="3" t="str">
        <x:v>2025::jama.2025.15440::C002</x:v>
      </x:c>
      <x:c r="B119" s="3" t="str">
        <x:v>sourceLinks</x:v>
      </x:c>
      <x:c r="C119" s="3" t="n">
        <x:v>1</x:v>
      </x:c>
      <x:c r="D119" s="3" t="str">
        <x:v>PDF p. 5</x:v>
      </x:c>
      <x:c r="E119" s="3" t="str">
        <x:v>../../2025/jama.2025.15440/jama_wijesurendra_2025_oi_250068_1760999665.28362.pdf#page=5</x:v>
      </x:c>
    </x:row>
    <x:row r="120" ht="90" customHeight="1">
      <x:c r="A120" s="6" t="str">
        <x:v>2025::jama.2025.15440::C002</x:v>
      </x:c>
      <x:c r="B120" s="6" t="str">
        <x:v>sourceLinks</x:v>
      </x:c>
      <x:c r="C120" s="6" t="n">
        <x:v>2</x:v>
      </x:c>
      <x:c r="D120" s="6" t="str">
        <x:v>PDF p. 1</x:v>
      </x:c>
      <x:c r="E120" s="6" t="str">
        <x:v>../../2025/jama.2025.15440/jama_wijesurendra_2025_oi_250068_1760999665.28362.pdf#page=1</x:v>
      </x:c>
    </x:row>
    <x:row r="121" ht="90" customHeight="1">
      <x:c r="A121" s="3" t="str">
        <x:v>2025::jama.2025.16450::C001</x:v>
      </x:c>
      <x:c r="B121" s="3" t="str">
        <x:v>sourceLinks</x:v>
      </x:c>
      <x:c r="C121" s="3" t="n">
        <x:v>0</x:v>
      </x:c>
      <x:c r="D121" s="3" t="str">
        <x:v>results supplement — PDF p. 7</x:v>
      </x:c>
      <x:c r="E121" s="3" t="str">
        <x:v>../../2025/jama.2025.16450/joi250072supp4_prod_1761000786.6988.pdf#page=7</x:v>
      </x:c>
    </x:row>
    <x:row r="122" ht="90" customHeight="1">
      <x:c r="A122" s="6" t="str">
        <x:v>2025::jama.2025.16450::C001</x:v>
      </x:c>
      <x:c r="B122" s="6" t="str">
        <x:v>sourceLinks</x:v>
      </x:c>
      <x:c r="C122" s="6" t="n">
        <x:v>1</x:v>
      </x:c>
      <x:c r="D122" s="6" t="str">
        <x:v>results supplement — PDF p. 8</x:v>
      </x:c>
      <x:c r="E122" s="6" t="str">
        <x:v>../../2025/jama.2025.16450/joi250072supp4_prod_1761000786.6988.pdf#page=8</x:v>
      </x:c>
    </x:row>
    <x:row r="123" ht="90" customHeight="1">
      <x:c r="A123" s="3" t="str">
        <x:v>2025::jama.2025.16450::C001</x:v>
      </x:c>
      <x:c r="B123" s="3" t="str">
        <x:v>evidencePaths</x:v>
      </x:c>
      <x:c r="C123" s="3" t="n">
        <x:v>0</x:v>
      </x:c>
      <x:c r="D123" s="3" t="str">
        <x:v>2025/jama.2025.16450/.ai_paper_validation/review_1_5_1/verification/evidence_recheck.md</x:v>
      </x:c>
      <x:c r="E123" s="3" t="str">
        <x:v>../../2025/jama.2025.16450/.ai_paper_validation/review_1_5_1/verification/evidence_recheck.md</x:v>
      </x:c>
    </x:row>
    <x:row r="124" ht="90" customHeight="1">
      <x:c r="A124" s="6" t="str">
        <x:v>2025::jama.2025.16450::C002</x:v>
      </x:c>
      <x:c r="B124" s="6" t="str">
        <x:v>sourceLinks</x:v>
      </x:c>
      <x:c r="C124" s="6" t="n">
        <x:v>0</x:v>
      </x:c>
      <x:c r="D124" s="6" t="str">
        <x:v>protocol — PDF p. 4</x:v>
      </x:c>
      <x:c r="E124" s="6" t="str">
        <x:v>../../2025/jama.2025.16450/joi250072supp1_prod_1761000786.68881.pdf#page=4</x:v>
      </x:c>
    </x:row>
    <x:row r="125" ht="90" customHeight="1">
      <x:c r="A125" s="3" t="str">
        <x:v>2025::jama.2025.16450::C002</x:v>
      </x:c>
      <x:c r="B125" s="3" t="str">
        <x:v>sourceLinks</x:v>
      </x:c>
      <x:c r="C125" s="3" t="n">
        <x:v>1</x:v>
      </x:c>
      <x:c r="D125" s="3" t="str">
        <x:v>manual — PDF p. 7</x:v>
      </x:c>
      <x:c r="E125" s="3" t="str">
        <x:v>../../2025/jama.2025.16450/joi250072supp2_prod_1761000786.6938.pdf#page=7</x:v>
      </x:c>
    </x:row>
    <x:row r="126" ht="90" customHeight="1">
      <x:c r="A126" s="6" t="str">
        <x:v>2025::jama.2025.16450::C002</x:v>
      </x:c>
      <x:c r="B126" s="6" t="str">
        <x:v>sourceLinks</x:v>
      </x:c>
      <x:c r="C126" s="6" t="n">
        <x:v>2</x:v>
      </x:c>
      <x:c r="D126" s="6" t="str">
        <x:v>SAP — PDF p. 8</x:v>
      </x:c>
      <x:c r="E126" s="6" t="str">
        <x:v>../../2025/jama.2025.16450/joi250072supp3_prod_1761000786.6988.pdf#page=8</x:v>
      </x:c>
    </x:row>
    <x:row r="127" ht="90" customHeight="1">
      <x:c r="A127" s="3" t="str">
        <x:v>2025::jama.2025.16450::C002</x:v>
      </x:c>
      <x:c r="B127" s="3" t="str">
        <x:v>sourceLinks</x:v>
      </x:c>
      <x:c r="C127" s="3" t="n">
        <x:v>3</x:v>
      </x:c>
      <x:c r="D127" s="3" t="str">
        <x:v>SAP — PDF p. 15</x:v>
      </x:c>
      <x:c r="E127" s="3" t="str">
        <x:v>../../2025/jama.2025.16450/joi250072supp3_prod_1761000786.6988.pdf#page=15</x:v>
      </x:c>
    </x:row>
    <x:row r="128" ht="90" customHeight="1">
      <x:c r="A128" s="6" t="str">
        <x:v>2025::jama.2025.16450::C002</x:v>
      </x:c>
      <x:c r="B128" s="6" t="str">
        <x:v>sourceLinks</x:v>
      </x:c>
      <x:c r="C128" s="6" t="n">
        <x:v>4</x:v>
      </x:c>
      <x:c r="D128" s="6" t="str">
        <x:v>main article — PDF p. 2</x:v>
      </x:c>
      <x:c r="E128" s="6" t="str">
        <x:v>../../2025/jama.2025.16450/jama_ambalavanan_2025_oi_250072_1761000786.6838.pdf#page=2</x:v>
      </x:c>
    </x:row>
    <x:row r="129" ht="90" customHeight="1">
      <x:c r="A129" s="3" t="str">
        <x:v>2025::jama.2025.16450::C002</x:v>
      </x:c>
      <x:c r="B129" s="3" t="str">
        <x:v>evidencePaths</x:v>
      </x:c>
      <x:c r="C129" s="3" t="n">
        <x:v>0</x:v>
      </x:c>
      <x:c r="D129" s="3" t="str">
        <x:v>2025/jama.2025.16450/.ai_paper_validation/review_1_5_1/verification/evidence_recheck.md</x:v>
      </x:c>
      <x:c r="E129" s="3" t="str">
        <x:v>../../2025/jama.2025.16450/.ai_paper_validation/review_1_5_1/verification/evidence_recheck.md</x:v>
      </x:c>
    </x:row>
    <x:row r="130" ht="90" customHeight="1">
      <x:c r="A130" s="6" t="str">
        <x:v>2025::jama.2025.16450::C003</x:v>
      </x:c>
      <x:c r="B130" s="6" t="str">
        <x:v>sourceLinks</x:v>
      </x:c>
      <x:c r="C130" s="6" t="n">
        <x:v>0</x:v>
      </x:c>
      <x:c r="D130" s="6" t="str">
        <x:v>protocol — PDF p. 4</x:v>
      </x:c>
      <x:c r="E130" s="6" t="str">
        <x:v>../../2025/jama.2025.16450/joi250072supp1_prod_1761000786.68881.pdf#page=4</x:v>
      </x:c>
    </x:row>
    <x:row r="131" ht="90" customHeight="1">
      <x:c r="A131" s="3" t="str">
        <x:v>2025::jama.2025.16450::C003</x:v>
      </x:c>
      <x:c r="B131" s="3" t="str">
        <x:v>sourceLinks</x:v>
      </x:c>
      <x:c r="C131" s="3" t="n">
        <x:v>1</x:v>
      </x:c>
      <x:c r="D131" s="3" t="str">
        <x:v>manual — PDF p. 7</x:v>
      </x:c>
      <x:c r="E131" s="3" t="str">
        <x:v>../../2025/jama.2025.16450/joi250072supp2_prod_1761000786.6938.pdf#page=7</x:v>
      </x:c>
    </x:row>
    <x:row r="132" ht="90" customHeight="1">
      <x:c r="A132" s="6" t="str">
        <x:v>2025::jama.2025.16450::C003</x:v>
      </x:c>
      <x:c r="B132" s="6" t="str">
        <x:v>sourceLinks</x:v>
      </x:c>
      <x:c r="C132" s="6" t="n">
        <x:v>2</x:v>
      </x:c>
      <x:c r="D132" s="6" t="str">
        <x:v>manual — PDF p. 12</x:v>
      </x:c>
      <x:c r="E132" s="6" t="str">
        <x:v>../../2025/jama.2025.16450/joi250072supp2_prod_1761000786.6938.pdf#page=12</x:v>
      </x:c>
    </x:row>
    <x:row r="133" ht="90" customHeight="1">
      <x:c r="A133" s="3" t="str">
        <x:v>2025::jama.2025.16450::C003</x:v>
      </x:c>
      <x:c r="B133" s="3" t="str">
        <x:v>sourceLinks</x:v>
      </x:c>
      <x:c r="C133" s="3" t="n">
        <x:v>3</x:v>
      </x:c>
      <x:c r="D133" s="3" t="str">
        <x:v>SAP — PDF p. 8</x:v>
      </x:c>
      <x:c r="E133" s="3" t="str">
        <x:v>../../2025/jama.2025.16450/joi250072supp3_prod_1761000786.6988.pdf#page=8</x:v>
      </x:c>
    </x:row>
    <x:row r="134" ht="90" customHeight="1">
      <x:c r="A134" s="6" t="str">
        <x:v>2025::jama.2025.16450::C003</x:v>
      </x:c>
      <x:c r="B134" s="6" t="str">
        <x:v>sourceLinks</x:v>
      </x:c>
      <x:c r="C134" s="6" t="n">
        <x:v>4</x:v>
      </x:c>
      <x:c r="D134" s="6" t="str">
        <x:v>main article — PDF p. 2</x:v>
      </x:c>
      <x:c r="E134" s="6" t="str">
        <x:v>../../2025/jama.2025.16450/jama_ambalavanan_2025_oi_250072_1761000786.6838.pdf#page=2</x:v>
      </x:c>
    </x:row>
    <x:row r="135" ht="90" customHeight="1">
      <x:c r="A135" s="3" t="str">
        <x:v>2025::jama.2025.16450::C003</x:v>
      </x:c>
      <x:c r="B135" s="3" t="str">
        <x:v>sourceLinks</x:v>
      </x:c>
      <x:c r="C135" s="3" t="n">
        <x:v>5</x:v>
      </x:c>
      <x:c r="D135" s="3" t="str">
        <x:v>results supplement — PDF p. 4</x:v>
      </x:c>
      <x:c r="E135" s="3" t="str">
        <x:v>../../2025/jama.2025.16450/joi250072supp4_prod_1761000786.6988.pdf#page=4</x:v>
      </x:c>
    </x:row>
    <x:row r="136" ht="90" customHeight="1">
      <x:c r="A136" s="6" t="str">
        <x:v>2025::jama.2025.16450::C003</x:v>
      </x:c>
      <x:c r="B136" s="6" t="str">
        <x:v>evidencePaths</x:v>
      </x:c>
      <x:c r="C136" s="6" t="n">
        <x:v>0</x:v>
      </x:c>
      <x:c r="D136" s="6" t="str">
        <x:v>2025/jama.2025.16450/.ai_paper_validation/review_1_5_1/verification/evidence_recheck.md</x:v>
      </x:c>
      <x:c r="E136" s="6" t="str">
        <x:v>../../2025/jama.2025.16450/.ai_paper_validation/review_1_5_1/verification/evidence_recheck.md</x:v>
      </x:c>
    </x:row>
    <x:row r="137" ht="90" customHeight="1">
      <x:c r="A137" s="3" t="str">
        <x:v>2025::jama.2025.16450::C004</x:v>
      </x:c>
      <x:c r="B137" s="3" t="str">
        <x:v>sourceLinks</x:v>
      </x:c>
      <x:c r="C137" s="3" t="n">
        <x:v>0</x:v>
      </x:c>
      <x:c r="D137" s="3" t="str">
        <x:v>manual — PDF p. 14</x:v>
      </x:c>
      <x:c r="E137" s="3" t="str">
        <x:v>../../2025/jama.2025.16450/joi250072supp2_prod_1761000786.6938.pdf#page=14</x:v>
      </x:c>
    </x:row>
    <x:row r="138" ht="90" customHeight="1">
      <x:c r="A138" s="6" t="str">
        <x:v>2025::jama.2025.16450::C004</x:v>
      </x:c>
      <x:c r="B138" s="6" t="str">
        <x:v>sourceLinks</x:v>
      </x:c>
      <x:c r="C138" s="6" t="n">
        <x:v>1</x:v>
      </x:c>
      <x:c r="D138" s="6" t="str">
        <x:v>manual — PDF p. 16</x:v>
      </x:c>
      <x:c r="E138" s="6" t="str">
        <x:v>../../2025/jama.2025.16450/joi250072supp2_prod_1761000786.6938.pdf#page=16</x:v>
      </x:c>
    </x:row>
    <x:row r="139" ht="90" customHeight="1">
      <x:c r="A139" s="3" t="str">
        <x:v>2025::jama.2025.16450::C004</x:v>
      </x:c>
      <x:c r="B139" s="3" t="str">
        <x:v>sourceLinks</x:v>
      </x:c>
      <x:c r="C139" s="3" t="n">
        <x:v>2</x:v>
      </x:c>
      <x:c r="D139" s="3" t="str">
        <x:v>SAP — PDF p. 10</x:v>
      </x:c>
      <x:c r="E139" s="3" t="str">
        <x:v>../../2025/jama.2025.16450/joi250072supp3_prod_1761000786.6988.pdf#page=10</x:v>
      </x:c>
    </x:row>
    <x:row r="140" ht="90" customHeight="1">
      <x:c r="A140" s="6" t="str">
        <x:v>2025::jama.2025.16450::C004</x:v>
      </x:c>
      <x:c r="B140" s="6" t="str">
        <x:v>sourceLinks</x:v>
      </x:c>
      <x:c r="C140" s="6" t="n">
        <x:v>3</x:v>
      </x:c>
      <x:c r="D140" s="6" t="str">
        <x:v>SAP — PDF p. 33</x:v>
      </x:c>
      <x:c r="E140" s="6" t="str">
        <x:v>../../2025/jama.2025.16450/joi250072supp3_prod_1761000786.6988.pdf#page=33</x:v>
      </x:c>
    </x:row>
    <x:row r="141" ht="90" customHeight="1">
      <x:c r="A141" s="3" t="str">
        <x:v>2025::jama.2025.16450::C004</x:v>
      </x:c>
      <x:c r="B141" s="3" t="str">
        <x:v>evidencePaths</x:v>
      </x:c>
      <x:c r="C141" s="3" t="n">
        <x:v>0</x:v>
      </x:c>
      <x:c r="D141" s="3" t="str">
        <x:v>2025/jama.2025.16450/.ai_paper_validation/review_1_5_1/verification/evidence_recheck.md</x:v>
      </x:c>
      <x:c r="E141" s="3" t="str">
        <x:v>../../2025/jama.2025.16450/.ai_paper_validation/review_1_5_1/verification/evidence_recheck.md</x:v>
      </x:c>
    </x:row>
    <x:row r="142" ht="90" customHeight="1">
      <x:c r="A142" s="6" t="str">
        <x:v>2025::jama.2025.16450::C005</x:v>
      </x:c>
      <x:c r="B142" s="6" t="str">
        <x:v>sourceLinks</x:v>
      </x:c>
      <x:c r="C142" s="6" t="n">
        <x:v>0</x:v>
      </x:c>
      <x:c r="D142" s="6" t="str">
        <x:v>manual — PDF p. 14</x:v>
      </x:c>
      <x:c r="E142" s="6" t="str">
        <x:v>../../2025/jama.2025.16450/joi250072supp2_prod_1761000786.6938.pdf#page=14</x:v>
      </x:c>
    </x:row>
    <x:row r="143" ht="90" customHeight="1">
      <x:c r="A143" s="3" t="str">
        <x:v>2025::jama.2025.16450::C005</x:v>
      </x:c>
      <x:c r="B143" s="3" t="str">
        <x:v>sourceLinks</x:v>
      </x:c>
      <x:c r="C143" s="3" t="n">
        <x:v>1</x:v>
      </x:c>
      <x:c r="D143" s="3" t="str">
        <x:v>manual — PDF p. 16</x:v>
      </x:c>
      <x:c r="E143" s="3" t="str">
        <x:v>../../2025/jama.2025.16450/joi250072supp2_prod_1761000786.6938.pdf#page=16</x:v>
      </x:c>
    </x:row>
    <x:row r="144" ht="90" customHeight="1">
      <x:c r="A144" s="6" t="str">
        <x:v>2025::jama.2025.16450::C005</x:v>
      </x:c>
      <x:c r="B144" s="6" t="str">
        <x:v>sourceLinks</x:v>
      </x:c>
      <x:c r="C144" s="6" t="n">
        <x:v>2</x:v>
      </x:c>
      <x:c r="D144" s="6" t="str">
        <x:v>SAP — PDF p. 10</x:v>
      </x:c>
      <x:c r="E144" s="6" t="str">
        <x:v>../../2025/jama.2025.16450/joi250072supp3_prod_1761000786.6988.pdf#page=10</x:v>
      </x:c>
    </x:row>
    <x:row r="145" ht="90" customHeight="1">
      <x:c r="A145" s="3" t="str">
        <x:v>2025::jama.2025.16450::C005</x:v>
      </x:c>
      <x:c r="B145" s="3" t="str">
        <x:v>sourceLinks</x:v>
      </x:c>
      <x:c r="C145" s="3" t="n">
        <x:v>3</x:v>
      </x:c>
      <x:c r="D145" s="3" t="str">
        <x:v>SAP — PDF p. 33</x:v>
      </x:c>
      <x:c r="E145" s="3" t="str">
        <x:v>../../2025/jama.2025.16450/joi250072supp3_prod_1761000786.6988.pdf#page=33</x:v>
      </x:c>
    </x:row>
    <x:row r="146" ht="90" customHeight="1">
      <x:c r="A146" s="6" t="str">
        <x:v>2025::jama.2025.16450::C005</x:v>
      </x:c>
      <x:c r="B146" s="6" t="str">
        <x:v>sourceLinks</x:v>
      </x:c>
      <x:c r="C146" s="6" t="n">
        <x:v>4</x:v>
      </x:c>
      <x:c r="D146" s="6" t="str">
        <x:v>SAP — PDF p. 34</x:v>
      </x:c>
      <x:c r="E146" s="6" t="str">
        <x:v>../../2025/jama.2025.16450/joi250072supp3_prod_1761000786.6988.pdf#page=34</x:v>
      </x:c>
    </x:row>
    <x:row r="147" ht="90" customHeight="1">
      <x:c r="A147" s="3" t="str">
        <x:v>2025::jama.2025.16450::C005</x:v>
      </x:c>
      <x:c r="B147" s="3" t="str">
        <x:v>evidencePaths</x:v>
      </x:c>
      <x:c r="C147" s="3" t="n">
        <x:v>0</x:v>
      </x:c>
      <x:c r="D147" s="3" t="str">
        <x:v>2025/jama.2025.16450/.ai_paper_validation/review_1_5_1/verification/evidence_recheck.md</x:v>
      </x:c>
      <x:c r="E147" s="3" t="str">
        <x:v>../../2025/jama.2025.16450/.ai_paper_validation/review_1_5_1/verification/evidence_recheck.md</x:v>
      </x:c>
    </x:row>
    <x:row r="148" ht="90" customHeight="1">
      <x:c r="A148" s="6" t="str">
        <x:v>2025::jama.2025.16450::C006</x:v>
      </x:c>
      <x:c r="B148" s="6" t="str">
        <x:v>sourceLinks</x:v>
      </x:c>
      <x:c r="C148" s="6" t="n">
        <x:v>0</x:v>
      </x:c>
      <x:c r="D148" s="6" t="str">
        <x:v>protocol — PDF p. 29</x:v>
      </x:c>
      <x:c r="E148" s="6" t="str">
        <x:v>../../2025/jama.2025.16450/joi250072supp1_prod_1761000786.68881.pdf#page=29</x:v>
      </x:c>
    </x:row>
    <x:row r="149" ht="90" customHeight="1">
      <x:c r="A149" s="3" t="str">
        <x:v>2025::jama.2025.16450::C006</x:v>
      </x:c>
      <x:c r="B149" s="3" t="str">
        <x:v>sourceLinks</x:v>
      </x:c>
      <x:c r="C149" s="3" t="n">
        <x:v>1</x:v>
      </x:c>
      <x:c r="D149" s="3" t="str">
        <x:v>SAP — PDF p. 26</x:v>
      </x:c>
      <x:c r="E149" s="3" t="str">
        <x:v>../../2025/jama.2025.16450/joi250072supp3_prod_1761000786.6988.pdf#page=26</x:v>
      </x:c>
    </x:row>
    <x:row r="150" ht="90" customHeight="1">
      <x:c r="A150" s="6" t="str">
        <x:v>2025::jama.2025.16450::C006</x:v>
      </x:c>
      <x:c r="B150" s="6" t="str">
        <x:v>evidencePaths</x:v>
      </x:c>
      <x:c r="C150" s="6" t="n">
        <x:v>0</x:v>
      </x:c>
      <x:c r="D150" s="6" t="str">
        <x:v>2025/jama.2025.16450/.ai_paper_validation/review_1_5_1/verification/evidence_recheck.md</x:v>
      </x:c>
      <x:c r="E150" s="6" t="str">
        <x:v>../../2025/jama.2025.16450/.ai_paper_validation/review_1_5_1/verification/evidence_recheck.md</x:v>
      </x:c>
    </x:row>
    <x:row r="151" ht="90" customHeight="1">
      <x:c r="A151" s="3" t="str">
        <x:v>2025::jama.2025.16450::C007</x:v>
      </x:c>
      <x:c r="B151" s="3" t="str">
        <x:v>sourceLinks</x:v>
      </x:c>
      <x:c r="C151" s="3" t="n">
        <x:v>0</x:v>
      </x:c>
      <x:c r="D151" s="3" t="str">
        <x:v>main article — PDF p. 3</x:v>
      </x:c>
      <x:c r="E151" s="3" t="str">
        <x:v>../../2025/jama.2025.16450/jama_ambalavanan_2025_oi_250072_1761000786.6838.pdf#page=3</x:v>
      </x:c>
    </x:row>
    <x:row r="152" ht="90" customHeight="1">
      <x:c r="A152" s="6" t="str">
        <x:v>2025::jama.2025.16450::C007</x:v>
      </x:c>
      <x:c r="B152" s="6" t="str">
        <x:v>sourceLinks</x:v>
      </x:c>
      <x:c r="C152" s="6" t="n">
        <x:v>1</x:v>
      </x:c>
      <x:c r="D152" s="6" t="str">
        <x:v>main article — PDF p. 7</x:v>
      </x:c>
      <x:c r="E152" s="6" t="str">
        <x:v>../../2025/jama.2025.16450/jama_ambalavanan_2025_oi_250072_1761000786.6838.pdf#page=7</x:v>
      </x:c>
    </x:row>
    <x:row r="153" ht="90" customHeight="1">
      <x:c r="A153" s="3" t="str">
        <x:v>2025::jama.2025.16450::C007</x:v>
      </x:c>
      <x:c r="B153" s="3" t="str">
        <x:v>sourceLinks</x:v>
      </x:c>
      <x:c r="C153" s="3" t="n">
        <x:v>2</x:v>
      </x:c>
      <x:c r="D153" s="3" t="str">
        <x:v>protocol — PDF p. 29</x:v>
      </x:c>
      <x:c r="E153" s="3" t="str">
        <x:v>../../2025/jama.2025.16450/joi250072supp1_prod_1761000786.68881.pdf#page=29</x:v>
      </x:c>
    </x:row>
    <x:row r="154" ht="90" customHeight="1">
      <x:c r="A154" s="6" t="str">
        <x:v>2025::jama.2025.16450::C007</x:v>
      </x:c>
      <x:c r="B154" s="6" t="str">
        <x:v>sourceLinks</x:v>
      </x:c>
      <x:c r="C154" s="6" t="n">
        <x:v>3</x:v>
      </x:c>
      <x:c r="D154" s="6" t="str">
        <x:v>SAP — PDF p. 26</x:v>
      </x:c>
      <x:c r="E154" s="6" t="str">
        <x:v>../../2025/jama.2025.16450/joi250072supp3_prod_1761000786.6988.pdf#page=26</x:v>
      </x:c>
    </x:row>
    <x:row r="155" ht="90" customHeight="1">
      <x:c r="A155" s="3" t="str">
        <x:v>2025::jama.2025.16450::C007</x:v>
      </x:c>
      <x:c r="B155" s="3" t="str">
        <x:v>evidencePaths</x:v>
      </x:c>
      <x:c r="C155" s="3" t="n">
        <x:v>0</x:v>
      </x:c>
      <x:c r="D155" s="3" t="str">
        <x:v>2025/jama.2025.16450/.ai_paper_validation/review_1_5_1/verification/evidence_recheck.md</x:v>
      </x:c>
      <x:c r="E155" s="3" t="str">
        <x:v>../../2025/jama.2025.16450/.ai_paper_validation/review_1_5_1/verification/evidence_recheck.md</x:v>
      </x:c>
    </x:row>
    <x:row r="156" ht="90" customHeight="1">
      <x:c r="A156" s="6" t="str">
        <x:v>2025::jama.2025.16450::C008</x:v>
      </x:c>
      <x:c r="B156" s="6" t="str">
        <x:v>sourceLinks</x:v>
      </x:c>
      <x:c r="C156" s="6" t="n">
        <x:v>0</x:v>
      </x:c>
      <x:c r="D156" s="6" t="str">
        <x:v>main article — PDF p. 1</x:v>
      </x:c>
      <x:c r="E156" s="6" t="str">
        <x:v>../../2025/jama.2025.16450/jama_ambalavanan_2025_oi_250072_1761000786.6838.pdf#page=1</x:v>
      </x:c>
    </x:row>
    <x:row r="157" ht="90" customHeight="1">
      <x:c r="A157" s="3" t="str">
        <x:v>2025::jama.2025.16450::C008</x:v>
      </x:c>
      <x:c r="B157" s="3" t="str">
        <x:v>sourceLinks</x:v>
      </x:c>
      <x:c r="C157" s="3" t="n">
        <x:v>1</x:v>
      </x:c>
      <x:c r="D157" s="3" t="str">
        <x:v>protocol — PDF p. 29</x:v>
      </x:c>
      <x:c r="E157" s="3" t="str">
        <x:v>../../2025/jama.2025.16450/joi250072supp1_prod_1761000786.68881.pdf#page=29</x:v>
      </x:c>
    </x:row>
    <x:row r="158" ht="90" customHeight="1">
      <x:c r="A158" s="6" t="str">
        <x:v>2025::jama.2025.16450::C008</x:v>
      </x:c>
      <x:c r="B158" s="6" t="str">
        <x:v>sourceLinks</x:v>
      </x:c>
      <x:c r="C158" s="6" t="n">
        <x:v>2</x:v>
      </x:c>
      <x:c r="D158" s="6" t="str">
        <x:v>SAP — PDF p. 8</x:v>
      </x:c>
      <x:c r="E158" s="6" t="str">
        <x:v>../../2025/jama.2025.16450/joi250072supp3_prod_1761000786.6988.pdf#page=8</x:v>
      </x:c>
    </x:row>
    <x:row r="159" ht="90" customHeight="1">
      <x:c r="A159" s="3" t="str">
        <x:v>2025::jama.2025.16450::C008</x:v>
      </x:c>
      <x:c r="B159" s="3" t="str">
        <x:v>evidencePaths</x:v>
      </x:c>
      <x:c r="C159" s="3" t="n">
        <x:v>0</x:v>
      </x:c>
      <x:c r="D159" s="3" t="str">
        <x:v>2025/jama.2025.16450/.ai_paper_validation/review_1_5_1/verification/evidence_recheck.md</x:v>
      </x:c>
      <x:c r="E159" s="3" t="str">
        <x:v>../../2025/jama.2025.16450/.ai_paper_validation/review_1_5_1/verification/evidence_recheck.md</x:v>
      </x:c>
    </x:row>
    <x:row r="160" ht="90" customHeight="1">
      <x:c r="A160" s="6" t="str">
        <x:v>2025::jama.2025.16450::C009</x:v>
      </x:c>
      <x:c r="B160" s="6" t="str">
        <x:v>sourceLinks</x:v>
      </x:c>
      <x:c r="C160" s="6" t="n">
        <x:v>0</x:v>
      </x:c>
      <x:c r="D160" s="6" t="str">
        <x:v>main article — PDF p. 8</x:v>
      </x:c>
      <x:c r="E160" s="6" t="str">
        <x:v>../../2025/jama.2025.16450/jama_ambalavanan_2025_oi_250072_1761000786.6838.pdf#page=8</x:v>
      </x:c>
    </x:row>
    <x:row r="161" ht="90" customHeight="1">
      <x:c r="A161" s="3" t="str">
        <x:v>2025::jama.2025.16450::C009</x:v>
      </x:c>
      <x:c r="B161" s="3" t="str">
        <x:v>evidencePaths</x:v>
      </x:c>
      <x:c r="C161" s="3" t="n">
        <x:v>0</x:v>
      </x:c>
      <x:c r="D161" s="3" t="str">
        <x:v>2025/jama.2025.16450/.ai_paper_validation/review_1_5_1/verification/evidence_recheck.md</x:v>
      </x:c>
      <x:c r="E161" s="3" t="str">
        <x:v>../../2025/jama.2025.16450/.ai_paper_validation/review_1_5_1/verification/evidence_recheck.md</x:v>
      </x:c>
    </x:row>
    <x:row r="162" ht="90" customHeight="1">
      <x:c r="A162" s="6" t="str">
        <x:v>2025::jama.2025.16450::C010</x:v>
      </x:c>
      <x:c r="B162" s="6" t="str">
        <x:v>sourceLinks</x:v>
      </x:c>
      <x:c r="C162" s="6" t="n">
        <x:v>0</x:v>
      </x:c>
      <x:c r="D162" s="6" t="str">
        <x:v>results supplement — PDF p. 5</x:v>
      </x:c>
      <x:c r="E162" s="6" t="str">
        <x:v>../../2025/jama.2025.16450/joi250072supp4_prod_1761000786.6988.pdf#page=5</x:v>
      </x:c>
    </x:row>
    <x:row r="163" ht="90" customHeight="1">
      <x:c r="A163" s="3" t="str">
        <x:v>2025::jama.2025.16450::C010</x:v>
      </x:c>
      <x:c r="B163" s="3" t="str">
        <x:v>sourceLinks</x:v>
      </x:c>
      <x:c r="C163" s="3" t="n">
        <x:v>1</x:v>
      </x:c>
      <x:c r="D163" s="3" t="str">
        <x:v>results supplement — PDF p. 6</x:v>
      </x:c>
      <x:c r="E163" s="3" t="str">
        <x:v>../../2025/jama.2025.16450/joi250072supp4_prod_1761000786.6988.pdf#page=6</x:v>
      </x:c>
    </x:row>
    <x:row r="164" ht="90" customHeight="1">
      <x:c r="A164" s="6" t="str">
        <x:v>2025::jama.2025.16450::C010</x:v>
      </x:c>
      <x:c r="B164" s="6" t="str">
        <x:v>evidencePaths</x:v>
      </x:c>
      <x:c r="C164" s="6" t="n">
        <x:v>0</x:v>
      </x:c>
      <x:c r="D164" s="6" t="str">
        <x:v>2025/jama.2025.16450/.ai_paper_validation/review_1_5_1/verification/evidence_recheck.md</x:v>
      </x:c>
      <x:c r="E164" s="6" t="str">
        <x:v>../../2025/jama.2025.16450/.ai_paper_validation/review_1_5_1/verification/evidence_recheck.md</x:v>
      </x:c>
    </x:row>
    <x:row r="165" ht="90" customHeight="1">
      <x:c r="A165" s="3" t="str">
        <x:v>2025::jama.2025.19563::C001</x:v>
      </x:c>
      <x:c r="B165" s="3" t="str">
        <x:v>sourceLinks</x:v>
      </x:c>
      <x:c r="C165" s="3" t="n">
        <x:v>0</x:v>
      </x:c>
      <x:c r="D165" s="3" t="str">
        <x:v>DOC-002 protocol — PDF p. 15</x:v>
      </x:c>
      <x:c r="E165" s="3" t="str">
        <x:v>../../2025/jama.2025.19563/joi250084supp1_prod_1765403089.61351.pdf#page=15</x:v>
      </x:c>
    </x:row>
    <x:row r="166" ht="90" customHeight="1">
      <x:c r="A166" s="6" t="str">
        <x:v>2025::jama.2025.19563::C001</x:v>
      </x:c>
      <x:c r="B166" s="6" t="str">
        <x:v>sourceLinks</x:v>
      </x:c>
      <x:c r="C166" s="6" t="n">
        <x:v>1</x:v>
      </x:c>
      <x:c r="D166" s="6" t="str">
        <x:v>DOC-001 main article — PDF p. 4</x:v>
      </x:c>
      <x:c r="E166" s="6" t="str">
        <x:v>../../2025/jama.2025.19563/jama_mathioudakis_2025_oi_250084_1765403089.60451.pdf#page=4</x:v>
      </x:c>
    </x:row>
    <x:row r="167" ht="90" customHeight="1">
      <x:c r="A167" s="3" t="str">
        <x:v>2025::jama.2025.19563::C001</x:v>
      </x:c>
      <x:c r="B167" s="3" t="str">
        <x:v>sourceLinks</x:v>
      </x:c>
      <x:c r="C167" s="3" t="n">
        <x:v>2</x:v>
      </x:c>
      <x:c r="D167" s="3" t="str">
        <x:v>DOC-003 supplement — PDF p. 30</x:v>
      </x:c>
      <x:c r="E167" s="3" t="str">
        <x:v>../../2025/jama.2025.19563/joi250084supp2_prod_1765403089.61751.pdf#page=30</x:v>
      </x:c>
    </x:row>
    <x:row r="168" ht="90" customHeight="1">
      <x:c r="A168" s="6" t="str">
        <x:v>2025::jama.2025.19563::C001</x:v>
      </x:c>
      <x:c r="B168" s="6" t="str">
        <x:v>sourceLinks</x:v>
      </x:c>
      <x:c r="C168" s="6" t="n">
        <x:v>3</x:v>
      </x:c>
      <x:c r="D168" s="6" t="str">
        <x:v>DOC-003 supplement — PDF p. 56</x:v>
      </x:c>
      <x:c r="E168" s="6" t="str">
        <x:v>../../2025/jama.2025.19563/joi250084supp2_prod_1765403089.61751.pdf#page=56</x:v>
      </x:c>
    </x:row>
    <x:row r="169" ht="90" customHeight="1">
      <x:c r="A169" s="3" t="str">
        <x:v>2025::jama.2025.19563::C001</x:v>
      </x:c>
      <x:c r="B169" s="3" t="str">
        <x:v>evidencePaths</x:v>
      </x:c>
      <x:c r="C169" s="3" t="n">
        <x:v>0</x:v>
      </x:c>
      <x:c r="D169" s="3" t="str">
        <x:v>2025/jama.2025.19563/.ai_paper_validation/review_1_5_1/verification/evidence_recheck.md</x:v>
      </x:c>
      <x:c r="E169" s="3" t="str">
        <x:v>../../2025/jama.2025.19563/.ai_paper_validation/review_1_5_1/verification/evidence_recheck.md</x:v>
      </x:c>
    </x:row>
    <x:row r="170" ht="90" customHeight="1">
      <x:c r="A170" s="6" t="str">
        <x:v>2025::jama.2025.19563::C002</x:v>
      </x:c>
      <x:c r="B170" s="6" t="str">
        <x:v>sourceLinks</x:v>
      </x:c>
      <x:c r="C170" s="6" t="n">
        <x:v>0</x:v>
      </x:c>
      <x:c r="D170" s="6" t="str">
        <x:v>DOC-003 supplement — PDF p. 8</x:v>
      </x:c>
      <x:c r="E170" s="6" t="str">
        <x:v>../../2025/jama.2025.19563/joi250084supp2_prod_1765403089.61751.pdf#page=8</x:v>
      </x:c>
    </x:row>
    <x:row r="171" ht="90" customHeight="1">
      <x:c r="A171" s="3" t="str">
        <x:v>2025::jama.2025.19563::C002</x:v>
      </x:c>
      <x:c r="B171" s="3" t="str">
        <x:v>sourceLinks</x:v>
      </x:c>
      <x:c r="C171" s="3" t="n">
        <x:v>1</x:v>
      </x:c>
      <x:c r="D171" s="3" t="str">
        <x:v>DOC-001 main article — PDF p. 4</x:v>
      </x:c>
      <x:c r="E171" s="3" t="str">
        <x:v>../../2025/jama.2025.19563/jama_mathioudakis_2025_oi_250084_1765403089.60451.pdf#page=4</x:v>
      </x:c>
    </x:row>
    <x:row r="172" ht="90" customHeight="1">
      <x:c r="A172" s="6" t="str">
        <x:v>2025::jama.2025.19563::C002</x:v>
      </x:c>
      <x:c r="B172" s="6" t="str">
        <x:v>sourceLinks</x:v>
      </x:c>
      <x:c r="C172" s="6" t="n">
        <x:v>2</x:v>
      </x:c>
      <x:c r="D172" s="6" t="str">
        <x:v>DOC-001 main article — PDF p. 5</x:v>
      </x:c>
      <x:c r="E172" s="6" t="str">
        <x:v>../../2025/jama.2025.19563/jama_mathioudakis_2025_oi_250084_1765403089.60451.pdf#page=5</x:v>
      </x:c>
    </x:row>
    <x:row r="173" ht="90" customHeight="1">
      <x:c r="A173" s="3" t="str">
        <x:v>2025::jama.2025.19563::C002</x:v>
      </x:c>
      <x:c r="B173" s="3" t="str">
        <x:v>sourceLinks</x:v>
      </x:c>
      <x:c r="C173" s="3" t="n">
        <x:v>3</x:v>
      </x:c>
      <x:c r="D173" s="3" t="str">
        <x:v>DOC-003 supplement — PDF p. 50</x:v>
      </x:c>
      <x:c r="E173" s="3" t="str">
        <x:v>../../2025/jama.2025.19563/joi250084supp2_prod_1765403089.61751.pdf#page=50</x:v>
      </x:c>
    </x:row>
    <x:row r="174" ht="90" customHeight="1">
      <x:c r="A174" s="6" t="str">
        <x:v>2025::jama.2025.19563::C002</x:v>
      </x:c>
      <x:c r="B174" s="6" t="str">
        <x:v>evidencePaths</x:v>
      </x:c>
      <x:c r="C174" s="6" t="n">
        <x:v>0</x:v>
      </x:c>
      <x:c r="D174" s="6" t="str">
        <x:v>2025/jama.2025.19563/.ai_paper_validation/review_1_5_1/verification/evidence_recheck.md</x:v>
      </x:c>
      <x:c r="E174" s="6" t="str">
        <x:v>../../2025/jama.2025.19563/.ai_paper_validation/review_1_5_1/verification/evidence_recheck.md</x:v>
      </x:c>
    </x:row>
    <x:row r="175" ht="90" customHeight="1">
      <x:c r="A175" s="3" t="str">
        <x:v>2025::jama.2025.19563::C003</x:v>
      </x:c>
      <x:c r="B175" s="3" t="str">
        <x:v>sourceLinks</x:v>
      </x:c>
      <x:c r="C175" s="3" t="n">
        <x:v>0</x:v>
      </x:c>
      <x:c r="D175" s="3" t="str">
        <x:v>DOC-001 main article — PDF p. 8</x:v>
      </x:c>
      <x:c r="E175" s="3" t="str">
        <x:v>../../2025/jama.2025.19563/jama_mathioudakis_2025_oi_250084_1765403089.60451.pdf#page=8</x:v>
      </x:c>
    </x:row>
    <x:row r="176" ht="90" customHeight="1">
      <x:c r="A176" s="6" t="str">
        <x:v>2025::jama.2025.19563::C003</x:v>
      </x:c>
      <x:c r="B176" s="6" t="str">
        <x:v>sourceLinks</x:v>
      </x:c>
      <x:c r="C176" s="6" t="n">
        <x:v>1</x:v>
      </x:c>
      <x:c r="D176" s="6" t="str">
        <x:v>DOC-001 main article — PDF p. 6</x:v>
      </x:c>
      <x:c r="E176" s="6" t="str">
        <x:v>../../2025/jama.2025.19563/jama_mathioudakis_2025_oi_250084_1765403089.60451.pdf#page=6</x:v>
      </x:c>
    </x:row>
    <x:row r="177" ht="90" customHeight="1">
      <x:c r="A177" s="3" t="str">
        <x:v>2025::jama.2025.19563::C003</x:v>
      </x:c>
      <x:c r="B177" s="3" t="str">
        <x:v>sourceLinks</x:v>
      </x:c>
      <x:c r="C177" s="3" t="n">
        <x:v>2</x:v>
      </x:c>
      <x:c r="D177" s="3" t="str">
        <x:v>DOC-003 supplement — PDF p. 53</x:v>
      </x:c>
      <x:c r="E177" s="3" t="str">
        <x:v>../../2025/jama.2025.19563/joi250084supp2_prod_1765403089.61751.pdf#page=53</x:v>
      </x:c>
    </x:row>
    <x:row r="178" ht="90" customHeight="1">
      <x:c r="A178" s="6" t="str">
        <x:v>2025::jama.2025.19563::C004</x:v>
      </x:c>
      <x:c r="B178" s="6" t="str">
        <x:v>sourceLinks</x:v>
      </x:c>
      <x:c r="C178" s="6" t="n">
        <x:v>0</x:v>
      </x:c>
      <x:c r="D178" s="6" t="str">
        <x:v>DOC-003 supplement — PDF p. 39</x:v>
      </x:c>
      <x:c r="E178" s="6" t="str">
        <x:v>../../2025/jama.2025.19563/joi250084supp2_prod_1765403089.61751.pdf#page=39</x:v>
      </x:c>
    </x:row>
    <x:row r="179" ht="90" customHeight="1">
      <x:c r="A179" s="3" t="str">
        <x:v>2025::jama.2025.19563::C004</x:v>
      </x:c>
      <x:c r="B179" s="3" t="str">
        <x:v>sourceLinks</x:v>
      </x:c>
      <x:c r="C179" s="3" t="n">
        <x:v>1</x:v>
      </x:c>
      <x:c r="D179" s="3" t="str">
        <x:v>DOC-003 supplement — PDF p. 43</x:v>
      </x:c>
      <x:c r="E179" s="3" t="str">
        <x:v>../../2025/jama.2025.19563/joi250084supp2_prod_1765403089.61751.pdf#page=43</x:v>
      </x:c>
    </x:row>
    <x:row r="180" ht="90" customHeight="1">
      <x:c r="A180" s="6" t="str">
        <x:v>2025::jama.2025.19563::C004</x:v>
      </x:c>
      <x:c r="B180" s="6" t="str">
        <x:v>sourceLinks</x:v>
      </x:c>
      <x:c r="C180" s="6" t="n">
        <x:v>2</x:v>
      </x:c>
      <x:c r="D180" s="6" t="str">
        <x:v>DOC-003 supplement — PDF p. 45</x:v>
      </x:c>
      <x:c r="E180" s="6" t="str">
        <x:v>../../2025/jama.2025.19563/joi250084supp2_prod_1765403089.61751.pdf#page=45</x:v>
      </x:c>
    </x:row>
    <x:row r="181" ht="90" customHeight="1">
      <x:c r="A181" s="3" t="str">
        <x:v>2025::jama.2025.19563::C004</x:v>
      </x:c>
      <x:c r="B181" s="3" t="str">
        <x:v>sourceLinks</x:v>
      </x:c>
      <x:c r="C181" s="3" t="n">
        <x:v>3</x:v>
      </x:c>
      <x:c r="D181" s="3" t="str">
        <x:v>DOC-003 supplement — PDF p. 47</x:v>
      </x:c>
      <x:c r="E181" s="3" t="str">
        <x:v>../../2025/jama.2025.19563/joi250084supp2_prod_1765403089.61751.pdf#page=47</x:v>
      </x:c>
    </x:row>
    <x:row r="182" ht="90" customHeight="1">
      <x:c r="A182" s="6" t="str">
        <x:v>2025::jama.2025.19563::C004</x:v>
      </x:c>
      <x:c r="B182" s="6" t="str">
        <x:v>sourceLinks</x:v>
      </x:c>
      <x:c r="C182" s="6" t="n">
        <x:v>4</x:v>
      </x:c>
      <x:c r="D182" s="6" t="str">
        <x:v>DOC-001 main article — PDF p. 6</x:v>
      </x:c>
      <x:c r="E182" s="6" t="str">
        <x:v>../../2025/jama.2025.19563/jama_mathioudakis_2025_oi_250084_1765403089.60451.pdf#page=6</x:v>
      </x:c>
    </x:row>
    <x:row r="183" ht="90" customHeight="1">
      <x:c r="A183" s="3" t="str">
        <x:v>2025::jama.2025.19563::C004</x:v>
      </x:c>
      <x:c r="B183" s="3" t="str">
        <x:v>evidencePaths</x:v>
      </x:c>
      <x:c r="C183" s="3" t="n">
        <x:v>0</x:v>
      </x:c>
      <x:c r="D183" s="3" t="str">
        <x:v>2025/jama.2025.19563/.ai_paper_validation/review_1_5_1/verification/evidence_recheck.md</x:v>
      </x:c>
      <x:c r="E183" s="3" t="str">
        <x:v>../../2025/jama.2025.19563/.ai_paper_validation/review_1_5_1/verification/evidence_recheck.md</x:v>
      </x:c>
    </x:row>
    <x:row r="184" ht="90" customHeight="1">
      <x:c r="A184" s="6" t="str">
        <x:v>2025::jama.2025.19563::C005</x:v>
      </x:c>
      <x:c r="B184" s="6" t="str">
        <x:v>sourceLinks</x:v>
      </x:c>
      <x:c r="C184" s="6" t="n">
        <x:v>0</x:v>
      </x:c>
      <x:c r="D184" s="6" t="str">
        <x:v>DOC-003 supplement — PDF p. 46</x:v>
      </x:c>
      <x:c r="E184" s="6" t="str">
        <x:v>../../2025/jama.2025.19563/joi250084supp2_prod_1765403089.61751.pdf#page=46</x:v>
      </x:c>
    </x:row>
    <x:row r="185" ht="90" customHeight="1">
      <x:c r="A185" s="3" t="str">
        <x:v>2025::jama.2025.19563::C005</x:v>
      </x:c>
      <x:c r="B185" s="3" t="str">
        <x:v>sourceLinks</x:v>
      </x:c>
      <x:c r="C185" s="3" t="n">
        <x:v>1</x:v>
      </x:c>
      <x:c r="D185" s="3" t="str">
        <x:v>DOC-003 supplement — PDF p. 47</x:v>
      </x:c>
      <x:c r="E185" s="3" t="str">
        <x:v>../../2025/jama.2025.19563/joi250084supp2_prod_1765403089.61751.pdf#page=47</x:v>
      </x:c>
    </x:row>
    <x:row r="186" ht="90" customHeight="1">
      <x:c r="A186" s="6" t="str">
        <x:v>2025::jama.2025.19563::C006</x:v>
      </x:c>
      <x:c r="B186" s="6" t="str">
        <x:v>sourceLinks</x:v>
      </x:c>
      <x:c r="C186" s="6" t="n">
        <x:v>0</x:v>
      </x:c>
      <x:c r="D186" s="6" t="str">
        <x:v>DOC-003 supplement — PDF p. 29</x:v>
      </x:c>
      <x:c r="E186" s="6" t="str">
        <x:v>../../2025/jama.2025.19563/joi250084supp2_prod_1765403089.61751.pdf#page=29</x:v>
      </x:c>
    </x:row>
    <x:row r="187" ht="90" customHeight="1">
      <x:c r="A187" s="3" t="str">
        <x:v>2025::jama.2025.19563::C006</x:v>
      </x:c>
      <x:c r="B187" s="3" t="str">
        <x:v>sourceLinks</x:v>
      </x:c>
      <x:c r="C187" s="3" t="n">
        <x:v>1</x:v>
      </x:c>
      <x:c r="D187" s="3" t="str">
        <x:v>DOC-003 supplement — PDF p. 52</x:v>
      </x:c>
      <x:c r="E187" s="3" t="str">
        <x:v>../../2025/jama.2025.19563/joi250084supp2_prod_1765403089.61751.pdf#page=52</x:v>
      </x:c>
    </x:row>
    <x:row r="188" ht="90" customHeight="1">
      <x:c r="A188" s="6" t="str">
        <x:v>2025::jama.2025.19563::C007</x:v>
      </x:c>
      <x:c r="B188" s="6" t="str">
        <x:v>sourceLinks</x:v>
      </x:c>
      <x:c r="C188" s="6" t="n">
        <x:v>0</x:v>
      </x:c>
      <x:c r="D188" s="6" t="str">
        <x:v>DOC-003 supplement — PDF p. 30</x:v>
      </x:c>
      <x:c r="E188" s="6" t="str">
        <x:v>../../2025/jama.2025.19563/joi250084supp2_prod_1765403089.61751.pdf#page=30</x:v>
      </x:c>
    </x:row>
    <x:row r="189" ht="90" customHeight="1">
      <x:c r="A189" s="3" t="str">
        <x:v>2025::jama.2025.19563::C007</x:v>
      </x:c>
      <x:c r="B189" s="3" t="str">
        <x:v>sourceLinks</x:v>
      </x:c>
      <x:c r="C189" s="3" t="n">
        <x:v>1</x:v>
      </x:c>
      <x:c r="D189" s="3" t="str">
        <x:v>DOC-003 supplement — PDF p. 59</x:v>
      </x:c>
      <x:c r="E189" s="3" t="str">
        <x:v>../../2025/jama.2025.19563/joi250084supp2_prod_1765403089.61751.pdf#page=59</x:v>
      </x:c>
    </x:row>
    <x:row r="190" ht="90" customHeight="1">
      <x:c r="A190" s="6" t="str">
        <x:v>2025::jama.2025.19843::C001</x:v>
      </x:c>
      <x:c r="B190" s="6" t="str">
        <x:v>sourceLinks</x:v>
      </x:c>
      <x:c r="C190" s="6" t="n">
        <x:v>0</x:v>
      </x:c>
      <x:c r="D190" s="6" t="str">
        <x:v>DOC-001 — PDF p. 1</x:v>
      </x:c>
      <x:c r="E190" s="6" t="str">
        <x:v>../../2025/jama.2025.19843/jama_combes_2025_oi_250087_1766516490.94011.pdf#page=1</x:v>
      </x:c>
    </x:row>
    <x:row r="191" ht="90" customHeight="1">
      <x:c r="A191" s="3" t="str">
        <x:v>2025::jama.2025.19843::C001</x:v>
      </x:c>
      <x:c r="B191" s="3" t="str">
        <x:v>sourceLinks</x:v>
      </x:c>
      <x:c r="C191" s="3" t="n">
        <x:v>1</x:v>
      </x:c>
      <x:c r="D191" s="3" t="str">
        <x:v>DOC-001 — PDF p. 3</x:v>
      </x:c>
      <x:c r="E191" s="3" t="str">
        <x:v>../../2025/jama.2025.19843/jama_combes_2025_oi_250087_1766516490.94011.pdf#page=3</x:v>
      </x:c>
    </x:row>
    <x:row r="192" ht="90" customHeight="1">
      <x:c r="A192" s="6" t="str">
        <x:v>2025::jama.2025.19843::C001</x:v>
      </x:c>
      <x:c r="B192" s="6" t="str">
        <x:v>sourceLinks</x:v>
      </x:c>
      <x:c r="C192" s="6" t="n">
        <x:v>2</x:v>
      </x:c>
      <x:c r="D192" s="6" t="str">
        <x:v>DOC-001 — PDF p. 4</x:v>
      </x:c>
      <x:c r="E192" s="6" t="str">
        <x:v>../../2025/jama.2025.19843/jama_combes_2025_oi_250087_1766516490.94011.pdf#page=4</x:v>
      </x:c>
    </x:row>
    <x:row r="193" ht="90" customHeight="1">
      <x:c r="A193" s="3" t="str">
        <x:v>2025::jama.2025.19843::C001</x:v>
      </x:c>
      <x:c r="B193" s="3" t="str">
        <x:v>sourceLinks</x:v>
      </x:c>
      <x:c r="C193" s="3" t="n">
        <x:v>3</x:v>
      </x:c>
      <x:c r="D193" s="3" t="str">
        <x:v>DOC-003 — PDF p. 7</x:v>
      </x:c>
      <x:c r="E193" s="3" t="str">
        <x:v>../../2025/jama.2025.19843/joi250087supp2_prod_1766516490.96511.pdf#page=7</x:v>
      </x:c>
    </x:row>
    <x:row r="194" ht="90" customHeight="1">
      <x:c r="A194" s="6" t="str">
        <x:v>2025::jama.2025.19843::C001</x:v>
      </x:c>
      <x:c r="B194" s="6" t="str">
        <x:v>sourceLinks</x:v>
      </x:c>
      <x:c r="C194" s="6" t="n">
        <x:v>4</x:v>
      </x:c>
      <x:c r="D194" s="6" t="str">
        <x:v>DOC-004 — PDF p. 11</x:v>
      </x:c>
      <x:c r="E194" s="6" t="str">
        <x:v>../../2025/jama.2025.19843/joi250087supp3_prod_1766516490.97011.pdf#page=11</x:v>
      </x:c>
    </x:row>
    <x:row r="195" ht="90" customHeight="1">
      <x:c r="A195" s="3" t="str">
        <x:v>2025::jama.2025.19843::C001</x:v>
      </x:c>
      <x:c r="B195" s="3" t="str">
        <x:v>evidencePaths</x:v>
      </x:c>
      <x:c r="C195" s="3" t="n">
        <x:v>0</x:v>
      </x:c>
      <x:c r="D195" s="3" t="str">
        <x:v>2025/jama.2025.19843/.ai_paper_validation/review_1_5_1/verification/evidence_recheck.md</x:v>
      </x:c>
      <x:c r="E195" s="3" t="str">
        <x:v>../../2025/jama.2025.19843/.ai_paper_validation/review_1_5_1/verification/evidence_recheck.md</x:v>
      </x:c>
    </x:row>
    <x:row r="196" ht="90" customHeight="1">
      <x:c r="A196" s="6" t="str">
        <x:v>2025::jama.2025.20765::C001</x:v>
      </x:c>
      <x:c r="B196" s="6" t="str">
        <x:v>sourceLinks</x:v>
      </x:c>
      <x:c r="C196" s="6" t="n">
        <x:v>0</x:v>
      </x:c>
      <x:c r="D196" s="6" t="str">
        <x:v>main article — PDF p. 6</x:v>
      </x:c>
      <x:c r="E196" s="6" t="str">
        <x:v>../../2025/jama.2025.20765/jama_zahid_2025_oi_250093_1768590553.08463.pdf#page=6</x:v>
      </x:c>
    </x:row>
    <x:row r="197" ht="90" customHeight="1">
      <x:c r="A197" s="3" t="str">
        <x:v>2025::jama.2025.20765::C002</x:v>
      </x:c>
      <x:c r="B197" s="3" t="str">
        <x:v>sourceLinks</x:v>
      </x:c>
      <x:c r="C197" s="3" t="n">
        <x:v>0</x:v>
      </x:c>
      <x:c r="D197" s="3" t="str">
        <x:v>main article — PDF p. 8</x:v>
      </x:c>
      <x:c r="E197" s="3" t="str">
        <x:v>../../2025/jama.2025.20765/jama_zahid_2025_oi_250093_1768590553.08463.pdf#page=8</x:v>
      </x:c>
    </x:row>
    <x:row r="198" ht="90" customHeight="1">
      <x:c r="A198" s="6" t="str">
        <x:v>2025::jama.2025.20765::C002</x:v>
      </x:c>
      <x:c r="B198" s="6" t="str">
        <x:v>sourceLinks</x:v>
      </x:c>
      <x:c r="C198" s="6" t="n">
        <x:v>1</x:v>
      </x:c>
      <x:c r="D198" s="6" t="str">
        <x:v>PDF p. 5</x:v>
      </x:c>
      <x:c r="E198" s="6" t="str">
        <x:v>../../2025/jama.2025.20765/jama_zahid_2025_oi_250093_1768590553.08463.pdf#page=5</x:v>
      </x:c>
    </x:row>
    <x:row r="199" ht="90" customHeight="1">
      <x:c r="A199" s="3" t="str">
        <x:v>2025::jama.2025.20765::C002</x:v>
      </x:c>
      <x:c r="B199" s="3" t="str">
        <x:v>sourceLinks</x:v>
      </x:c>
      <x:c r="C199" s="3" t="n">
        <x:v>2</x:v>
      </x:c>
      <x:c r="D199" s="3" t="str">
        <x:v>PDF p. 6</x:v>
      </x:c>
      <x:c r="E199" s="3" t="str">
        <x:v>../../2025/jama.2025.20765/jama_zahid_2025_oi_250093_1768590553.08463.pdf#page=6</x:v>
      </x:c>
    </x:row>
    <x:row r="200" ht="90" customHeight="1">
      <x:c r="A200" s="6" t="str">
        <x:v>2025::jama.2025.20765::C002</x:v>
      </x:c>
      <x:c r="B200" s="6" t="str">
        <x:v>sourceLinks</x:v>
      </x:c>
      <x:c r="C200" s="6" t="n">
        <x:v>3</x:v>
      </x:c>
      <x:c r="D200" s="6" t="str">
        <x:v>Supplement 2 — PDF p. 6</x:v>
      </x:c>
      <x:c r="E200" s="6" t="str">
        <x:v>../../2025/jama.2025.20765/joi250093supp2_prod_1768590553.09463.pdf#page=6</x:v>
      </x:c>
    </x:row>
    <x:row r="201" ht="90" customHeight="1">
      <x:c r="A201" s="3" t="str">
        <x:v>2025::jama.2025.20765::C003</x:v>
      </x:c>
      <x:c r="B201" s="3" t="str">
        <x:v>sourceLinks</x:v>
      </x:c>
      <x:c r="C201" s="3" t="n">
        <x:v>0</x:v>
      </x:c>
      <x:c r="D201" s="3" t="str">
        <x:v>Supplement 1 — PDF p. 16</x:v>
      </x:c>
      <x:c r="E201" s="3" t="str">
        <x:v>../../2025/jama.2025.20765/joi250093supp1_prod_1768590553.08963.pdf#page=16</x:v>
      </x:c>
    </x:row>
    <x:row r="202" ht="90" customHeight="1">
      <x:c r="A202" s="6" t="str">
        <x:v>2025::jama.2025.20765::C004</x:v>
      </x:c>
      <x:c r="B202" s="6" t="str">
        <x:v>sourceLinks</x:v>
      </x:c>
      <x:c r="C202" s="6" t="n">
        <x:v>0</x:v>
      </x:c>
      <x:c r="D202" s="6" t="str">
        <x:v>Supplement 1 — PDF p. 10</x:v>
      </x:c>
      <x:c r="E202" s="6" t="str">
        <x:v>../../2025/jama.2025.20765/joi250093supp1_prod_1768590553.08963.pdf#page=10</x:v>
      </x:c>
    </x:row>
    <x:row r="203" ht="90" customHeight="1">
      <x:c r="A203" s="3" t="str">
        <x:v>2025::jama.2025.20765::C004</x:v>
      </x:c>
      <x:c r="B203" s="3" t="str">
        <x:v>sourceLinks</x:v>
      </x:c>
      <x:c r="C203" s="3" t="n">
        <x:v>1</x:v>
      </x:c>
      <x:c r="D203" s="3" t="str">
        <x:v>PDF p. 26</x:v>
      </x:c>
      <x:c r="E203" s="3" t="str">
        <x:v>../../2025/jama.2025.20765/joi250093supp1_prod_1768590553.08963.pdf#page=26</x:v>
      </x:c>
    </x:row>
    <x:row r="204" ht="90" customHeight="1">
      <x:c r="A204" s="6" t="str">
        <x:v>2025::jama.2025.20765::C005</x:v>
      </x:c>
      <x:c r="B204" s="6" t="str">
        <x:v>sourceLinks</x:v>
      </x:c>
      <x:c r="C204" s="6" t="n">
        <x:v>0</x:v>
      </x:c>
      <x:c r="D204" s="6" t="str">
        <x:v>Supplement 1 — PDF p. 53</x:v>
      </x:c>
      <x:c r="E204" s="6" t="str">
        <x:v>../../2025/jama.2025.20765/joi250093supp1_prod_1768590553.08963.pdf#page=53</x:v>
      </x:c>
    </x:row>
    <x:row r="205" ht="90" customHeight="1">
      <x:c r="A205" s="3" t="str">
        <x:v>2025::jama.2025.20765::C006</x:v>
      </x:c>
      <x:c r="B205" s="3" t="str">
        <x:v>sourceLinks</x:v>
      </x:c>
      <x:c r="C205" s="3" t="n">
        <x:v>0</x:v>
      </x:c>
      <x:c r="D205" s="3" t="str">
        <x:v>Supplement 1 — PDF p. 55</x:v>
      </x:c>
      <x:c r="E205" s="3" t="str">
        <x:v>../../2025/jama.2025.20765/joi250093supp1_prod_1768590553.08963.pdf#page=55</x:v>
      </x:c>
    </x:row>
    <x:row r="206" ht="90" customHeight="1">
      <x:c r="A206" s="6" t="str">
        <x:v>2025::jama.2025.20765::C006</x:v>
      </x:c>
      <x:c r="B206" s="6" t="str">
        <x:v>evidencePaths</x:v>
      </x:c>
      <x:c r="C206" s="6" t="n">
        <x:v>0</x:v>
      </x:c>
      <x:c r="D206" s="6" t="str">
        <x:v>2025/jama.2025.20765/.ai_paper_validation/review_1_5_1/verification/evidence_recheck.md</x:v>
      </x:c>
      <x:c r="E206" s="6" t="str">
        <x:v>../../2025/jama.2025.20765/.ai_paper_validation/review_1_5_1/verification/evidence_recheck.md</x:v>
      </x:c>
    </x:row>
    <x:row r="207" ht="90" customHeight="1">
      <x:c r="A207" s="3" t="str">
        <x:v>2025::jama.2025.20765::C007</x:v>
      </x:c>
      <x:c r="B207" s="3" t="str">
        <x:v>sourceLinks</x:v>
      </x:c>
      <x:c r="C207" s="3" t="n">
        <x:v>0</x:v>
      </x:c>
      <x:c r="D207" s="3" t="str">
        <x:v>Supplement 1 — PDF p. 48</x:v>
      </x:c>
      <x:c r="E207" s="3" t="str">
        <x:v>../../2025/jama.2025.20765/joi250093supp1_prod_1768590553.08963.pdf#page=48</x:v>
      </x:c>
    </x:row>
    <x:row r="208" ht="90" customHeight="1">
      <x:c r="A208" s="6" t="str">
        <x:v>2025::jama.2025.20765::C007</x:v>
      </x:c>
      <x:c r="B208" s="6" t="str">
        <x:v>sourceLinks</x:v>
      </x:c>
      <x:c r="C208" s="6" t="n">
        <x:v>1</x:v>
      </x:c>
      <x:c r="D208" s="6" t="str">
        <x:v>PDF p. 51</x:v>
      </x:c>
      <x:c r="E208" s="6" t="str">
        <x:v>../../2025/jama.2025.20765/joi250093supp1_prod_1768590553.08963.pdf#page=51</x:v>
      </x:c>
    </x:row>
    <x:row r="209" ht="90" customHeight="1">
      <x:c r="A209" s="3" t="str">
        <x:v>2025::jama.2025.20765::C007</x:v>
      </x:c>
      <x:c r="B209" s="3" t="str">
        <x:v>sourceLinks</x:v>
      </x:c>
      <x:c r="C209" s="3" t="n">
        <x:v>2</x:v>
      </x:c>
      <x:c r="D209" s="3" t="str">
        <x:v>PDF p. 52</x:v>
      </x:c>
      <x:c r="E209" s="3" t="str">
        <x:v>../../2025/jama.2025.20765/joi250093supp1_prod_1768590553.08963.pdf#page=52</x:v>
      </x:c>
    </x:row>
    <x:row r="210" ht="90" customHeight="1">
      <x:c r="A210" s="6" t="str">
        <x:v>2025::jama.2025.20765::C007</x:v>
      </x:c>
      <x:c r="B210" s="6" t="str">
        <x:v>sourceLinks</x:v>
      </x:c>
      <x:c r="C210" s="6" t="n">
        <x:v>3</x:v>
      </x:c>
      <x:c r="D210" s="6" t="str">
        <x:v>PDF p. 62</x:v>
      </x:c>
      <x:c r="E210" s="6" t="str">
        <x:v>../../2025/jama.2025.20765/joi250093supp1_prod_1768590553.08963.pdf#page=62</x:v>
      </x:c>
    </x:row>
    <x:row r="211" ht="90" customHeight="1">
      <x:c r="A211" s="3" t="str">
        <x:v>2025::jama.2025.20765::C008</x:v>
      </x:c>
      <x:c r="B211" s="3" t="str">
        <x:v>sourceLinks</x:v>
      </x:c>
      <x:c r="C211" s="3" t="n">
        <x:v>0</x:v>
      </x:c>
      <x:c r="D211" s="3" t="str">
        <x:v>Supplement 1 — PDF p. 64</x:v>
      </x:c>
      <x:c r="E211" s="3" t="str">
        <x:v>../../2025/jama.2025.20765/joi250093supp1_prod_1768590553.08963.pdf#page=64</x:v>
      </x:c>
    </x:row>
    <x:row r="212" ht="90" customHeight="1">
      <x:c r="A212" s="6" t="str">
        <x:v>2025::jama.2025.20765::C009</x:v>
      </x:c>
      <x:c r="B212" s="6" t="str">
        <x:v>sourceLinks</x:v>
      </x:c>
      <x:c r="C212" s="6" t="n">
        <x:v>0</x:v>
      </x:c>
      <x:c r="D212" s="6" t="str">
        <x:v>Supplement 1 — PDF p. 64</x:v>
      </x:c>
      <x:c r="E212" s="6" t="str">
        <x:v>../../2025/jama.2025.20765/joi250093supp1_prod_1768590553.08963.pdf#page=64</x:v>
      </x:c>
    </x:row>
    <x:row r="213" ht="90" customHeight="1">
      <x:c r="A213" s="3" t="str">
        <x:v>2025::jama.2025.20765::C010</x:v>
      </x:c>
      <x:c r="B213" s="3" t="str">
        <x:v>sourceLinks</x:v>
      </x:c>
      <x:c r="C213" s="3" t="n">
        <x:v>0</x:v>
      </x:c>
      <x:c r="D213" s="3" t="str">
        <x:v>Supplement 1 — PDF p. 63</x:v>
      </x:c>
      <x:c r="E213" s="3" t="str">
        <x:v>../../2025/jama.2025.20765/joi250093supp1_prod_1768590553.08963.pdf#page=63</x:v>
      </x:c>
    </x:row>
    <x:row r="214" ht="90" customHeight="1">
      <x:c r="A214" s="6" t="str">
        <x:v>2025::jama.2025.20765::C010</x:v>
      </x:c>
      <x:c r="B214" s="6" t="str">
        <x:v>sourceLinks</x:v>
      </x:c>
      <x:c r="C214" s="6" t="n">
        <x:v>1</x:v>
      </x:c>
      <x:c r="D214" s="6" t="str">
        <x:v>PDF p. 83</x:v>
      </x:c>
      <x:c r="E214" s="6" t="str">
        <x:v>../../2025/jama.2025.20765/joi250093supp1_prod_1768590553.08963.pdf#page=83</x:v>
      </x:c>
    </x:row>
    <x:row r="215" ht="90" customHeight="1">
      <x:c r="A215" s="3" t="str">
        <x:v>2025::jama.2025.20765::C011</x:v>
      </x:c>
      <x:c r="B215" s="3" t="str">
        <x:v>sourceLinks</x:v>
      </x:c>
      <x:c r="C215" s="3" t="n">
        <x:v>0</x:v>
      </x:c>
      <x:c r="D215" s="3" t="str">
        <x:v>Supplement 1 — PDF p. 85</x:v>
      </x:c>
      <x:c r="E215" s="3" t="str">
        <x:v>../../2025/jama.2025.20765/joi250093supp1_prod_1768590553.08963.pdf#page=85</x:v>
      </x:c>
    </x:row>
    <x:row r="216" ht="90" customHeight="1">
      <x:c r="A216" s="6" t="str">
        <x:v>2025::jama.2025.20765::C012</x:v>
      </x:c>
      <x:c r="B216" s="6" t="str">
        <x:v>sourceLinks</x:v>
      </x:c>
      <x:c r="C216" s="6" t="n">
        <x:v>0</x:v>
      </x:c>
      <x:c r="D216" s="6" t="str">
        <x:v>Supplement 2 — PDF p. 8</x:v>
      </x:c>
      <x:c r="E216" s="6" t="str">
        <x:v>../../2025/jama.2025.20765/joi250093supp2_prod_1768590553.09463.pdf#page=8</x:v>
      </x:c>
    </x:row>
    <x:row r="217" ht="90" customHeight="1">
      <x:c r="A217" s="3" t="str">
        <x:v>2025::jama.2025.20765::C012</x:v>
      </x:c>
      <x:c r="B217" s="3" t="str">
        <x:v>sourceLinks</x:v>
      </x:c>
      <x:c r="C217" s="3" t="n">
        <x:v>1</x:v>
      </x:c>
      <x:c r="D217" s="3" t="str">
        <x:v>PDF p. 9</x:v>
      </x:c>
      <x:c r="E217" s="3" t="str">
        <x:v>../../2025/jama.2025.20765/joi250093supp2_prod_1768590553.09463.pdf#page=9</x:v>
      </x:c>
    </x:row>
    <x:row r="218" ht="90" customHeight="1">
      <x:c r="A218" s="6" t="str">
        <x:v>2025::jama.2025.20765::C013</x:v>
      </x:c>
      <x:c r="B218" s="6" t="str">
        <x:v>sourceLinks</x:v>
      </x:c>
      <x:c r="C218" s="6" t="n">
        <x:v>0</x:v>
      </x:c>
      <x:c r="D218" s="6" t="str">
        <x:v>Supplement 1 — PDF p. 16</x:v>
      </x:c>
      <x:c r="E218" s="6" t="str">
        <x:v>../../2025/jama.2025.20765/joi250093supp1_prod_1768590553.08963.pdf#page=16</x:v>
      </x:c>
    </x:row>
    <x:row r="219" ht="90" customHeight="1">
      <x:c r="A219" s="3" t="str">
        <x:v>2025::jama.2025.20765::C013</x:v>
      </x:c>
      <x:c r="B219" s="3" t="str">
        <x:v>sourceLinks</x:v>
      </x:c>
      <x:c r="C219" s="3" t="n">
        <x:v>1</x:v>
      </x:c>
      <x:c r="D219" s="3" t="str">
        <x:v>PDF p. 53</x:v>
      </x:c>
      <x:c r="E219" s="3" t="str">
        <x:v>../../2025/jama.2025.20765/joi250093supp1_prod_1768590553.08963.pdf#page=53</x:v>
      </x:c>
    </x:row>
    <x:row r="220" ht="90" customHeight="1">
      <x:c r="A220" s="6" t="str">
        <x:v>2025::jama.2025.20765::C013</x:v>
      </x:c>
      <x:c r="B220" s="6" t="str">
        <x:v>sourceLinks</x:v>
      </x:c>
      <x:c r="C220" s="6" t="n">
        <x:v>2</x:v>
      </x:c>
      <x:c r="D220" s="6" t="str">
        <x:v>PDF p. 80</x:v>
      </x:c>
      <x:c r="E220" s="6" t="str">
        <x:v>../../2025/jama.2025.20765/joi250093supp1_prod_1768590553.08963.pdf#page=80</x:v>
      </x:c>
    </x:row>
    <x:row r="221" ht="90" customHeight="1">
      <x:c r="A221" s="3" t="str">
        <x:v>2025::jama.2025.20765::C013</x:v>
      </x:c>
      <x:c r="B221" s="3" t="str">
        <x:v>sourceLinks</x:v>
      </x:c>
      <x:c r="C221" s="3" t="n">
        <x:v>3</x:v>
      </x:c>
      <x:c r="D221" s="3" t="str">
        <x:v>PDF p. 101</x:v>
      </x:c>
      <x:c r="E221" s="3" t="str">
        <x:v>../../2025/jama.2025.20765/joi250093supp1_prod_1768590553.08963.pdf#page=101</x:v>
      </x:c>
    </x:row>
    <x:row r="222" ht="90" customHeight="1">
      <x:c r="A222" s="6" t="str">
        <x:v>2025::jama.2025.20765::C013</x:v>
      </x:c>
      <x:c r="B222" s="6" t="str">
        <x:v>sourceLinks</x:v>
      </x:c>
      <x:c r="C222" s="6" t="n">
        <x:v>4</x:v>
      </x:c>
      <x:c r="D222" s="6" t="str">
        <x:v>PDF p. 109</x:v>
      </x:c>
      <x:c r="E222" s="6" t="str">
        <x:v>../../2025/jama.2025.20765/joi250093supp1_prod_1768590553.08963.pdf#page=109</x:v>
      </x:c>
    </x:row>
    <x:row r="223" ht="90" customHeight="1">
      <x:c r="A223" s="3" t="str">
        <x:v>2025::jama.2025.20765::C013</x:v>
      </x:c>
      <x:c r="B223" s="3" t="str">
        <x:v>sourceLinks</x:v>
      </x:c>
      <x:c r="C223" s="3" t="n">
        <x:v>5</x:v>
      </x:c>
      <x:c r="D223" s="3" t="str">
        <x:v>main article — PDF p. 3</x:v>
      </x:c>
      <x:c r="E223" s="3" t="str">
        <x:v>../../2025/jama.2025.20765/jama_zahid_2025_oi_250093_1768590553.08463.pdf#page=3</x:v>
      </x:c>
    </x:row>
    <x:row r="224" ht="90" customHeight="1">
      <x:c r="A224" s="6" t="str">
        <x:v>2025::jama.2025.20765::C013</x:v>
      </x:c>
      <x:c r="B224" s="6" t="str">
        <x:v>evidencePaths</x:v>
      </x:c>
      <x:c r="C224" s="6" t="n">
        <x:v>0</x:v>
      </x:c>
      <x:c r="D224" s="6" t="str">
        <x:v>2025/jama.2025.20765/.ai_paper_validation/review_1_5_1/verification/evidence_recheck.md</x:v>
      </x:c>
      <x:c r="E224" s="6" t="str">
        <x:v>../../2025/jama.2025.20765/.ai_paper_validation/review_1_5_1/verification/evidence_recheck.md</x:v>
      </x:c>
    </x:row>
    <x:row r="225" ht="90" customHeight="1">
      <x:c r="A225" s="3" t="str">
        <x:v>2025::jama.2025.24175::C001</x:v>
      </x:c>
      <x:c r="B225" s="3" t="str">
        <x:v>sourceLinks</x:v>
      </x:c>
      <x:c r="C225" s="3" t="n">
        <x:v>0</x:v>
      </x:c>
      <x:c r="D225" s="3" t="str">
        <x:v>DOC-001 Table 2, PDF p. 6</x:v>
      </x:c>
      <x:c r="E225" s="3" t="str">
        <x:v>../../2025/jama.2025.24175/jama_giamarellosbourboulis_2025_oi_250116_1771885794.23757.pdf#page=6</x:v>
      </x:c>
    </x:row>
    <x:row r="226" ht="90" customHeight="1">
      <x:c r="A226" s="6" t="str">
        <x:v>2025::jama.2025.24175::C001</x:v>
      </x:c>
      <x:c r="B226" s="6" t="str">
        <x:v>sourceLinks</x:v>
      </x:c>
      <x:c r="C226" s="6" t="n">
        <x:v>1</x:v>
      </x:c>
      <x:c r="D226" s="6" t="str">
        <x:v>DOC-001 Results narrative, PDF p. 7</x:v>
      </x:c>
      <x:c r="E226" s="6" t="str">
        <x:v>../../2025/jama.2025.24175/jama_giamarellosbourboulis_2025_oi_250116_1771885794.23757.pdf#page=7</x:v>
      </x:c>
    </x:row>
    <x:row r="227" ht="90" customHeight="1">
      <x:c r="A227" s="3" t="str">
        <x:v>2025::jama.2025.24175::C001</x:v>
      </x:c>
      <x:c r="B227" s="3" t="str">
        <x:v>evidencePaths</x:v>
      </x:c>
      <x:c r="C227" s="3" t="n">
        <x:v>0</x:v>
      </x:c>
      <x:c r="D227" s="3" t="str">
        <x:v>2025/jama.2025.24175/.ai_paper_validation/review_1_5_1/verification/evidence_recheck.md</x:v>
      </x:c>
      <x:c r="E227" s="3" t="str">
        <x:v>../../2025/jama.2025.24175/.ai_paper_validation/review_1_5_1/verification/evidence_recheck.md</x:v>
      </x:c>
    </x:row>
    <x:row r="228" ht="90" customHeight="1">
      <x:c r="A228" s="6" t="str">
        <x:v>2025::jama.2025.24175::C002</x:v>
      </x:c>
      <x:c r="B228" s="6" t="str">
        <x:v>sourceLinks</x:v>
      </x:c>
      <x:c r="C228" s="6" t="n">
        <x:v>0</x:v>
      </x:c>
      <x:c r="D228" s="6" t="str">
        <x:v>DOC-002 protocol, PDF p. 6</x:v>
      </x:c>
      <x:c r="E228" s="6" t="str">
        <x:v>../../2025/jama.2025.24175/joi250116supp1_prod_1771885794.26255.pdf#page=6</x:v>
      </x:c>
    </x:row>
    <x:row r="229" ht="90" customHeight="1">
      <x:c r="A229" s="3" t="str">
        <x:v>2025::jama.2025.24175::C002</x:v>
      </x:c>
      <x:c r="B229" s="3" t="str">
        <x:v>sourceLinks</x:v>
      </x:c>
      <x:c r="C229" s="3" t="n">
        <x:v>1</x:v>
      </x:c>
      <x:c r="D229" s="3" t="str">
        <x:v>DOC-001 regimen, PDF p. 2</x:v>
      </x:c>
      <x:c r="E229" s="3" t="str">
        <x:v>../../2025/jama.2025.24175/jama_giamarellosbourboulis_2025_oi_250116_1771885794.23757.pdf#page=2</x:v>
      </x:c>
    </x:row>
    <x:row r="230" ht="90" customHeight="1">
      <x:c r="A230" s="6" t="str">
        <x:v>2025::jama.2025.24175::C002</x:v>
      </x:c>
      <x:c r="B230" s="6" t="str">
        <x:v>evidencePaths</x:v>
      </x:c>
      <x:c r="C230" s="6" t="n">
        <x:v>0</x:v>
      </x:c>
      <x:c r="D230" s="6" t="str">
        <x:v>2025/jama.2025.24175/.ai_paper_validation/review_1_5_1/verification/evidence_recheck.md</x:v>
      </x:c>
      <x:c r="E230" s="6" t="str">
        <x:v>../../2025/jama.2025.24175/.ai_paper_validation/review_1_5_1/verification/evidence_recheck.md</x:v>
      </x:c>
    </x:row>
    <x:row r="231" ht="90" customHeight="1">
      <x:c r="A231" s="3" t="str">
        <x:v>2025::jama.2025.24175::C003</x:v>
      </x:c>
      <x:c r="B231" s="3" t="str">
        <x:v>sourceLinks</x:v>
      </x:c>
      <x:c r="C231" s="3" t="n">
        <x:v>0</x:v>
      </x:c>
      <x:c r="D231" s="3" t="str">
        <x:v>DOC-002 protocol, PDF p. 7</x:v>
      </x:c>
      <x:c r="E231" s="3" t="str">
        <x:v>../../2025/jama.2025.24175/joi250116supp1_prod_1771885794.26255.pdf#page=7</x:v>
      </x:c>
    </x:row>
    <x:row r="232" ht="90" customHeight="1">
      <x:c r="A232" s="6" t="str">
        <x:v>2025::jama.2025.24175::C003</x:v>
      </x:c>
      <x:c r="B232" s="6" t="str">
        <x:v>sourceLinks</x:v>
      </x:c>
      <x:c r="C232" s="6" t="n">
        <x:v>1</x:v>
      </x:c>
      <x:c r="D232" s="6" t="str">
        <x:v>DOC-001 report, PDF p. 1</x:v>
      </x:c>
      <x:c r="E232" s="6" t="str">
        <x:v>../../2025/jama.2025.24175/jama_giamarellosbourboulis_2025_oi_250116_1771885794.23757.pdf#page=1</x:v>
      </x:c>
    </x:row>
    <x:row r="233" ht="90" customHeight="1">
      <x:c r="A233" s="3" t="str">
        <x:v>2025::jama.2025.24175::C003</x:v>
      </x:c>
      <x:c r="B233" s="3" t="str">
        <x:v>sourceLinks</x:v>
      </x:c>
      <x:c r="C233" s="3" t="n">
        <x:v>2</x:v>
      </x:c>
      <x:c r="D233" s="3" t="str">
        <x:v>DOC-002 SAP, PDF p. 66</x:v>
      </x:c>
      <x:c r="E233" s="3" t="str">
        <x:v>../../2025/jama.2025.24175/joi250116supp1_prod_1771885794.26255.pdf#page=66</x:v>
      </x:c>
    </x:row>
    <x:row r="234" ht="90" customHeight="1">
      <x:c r="A234" s="6" t="str">
        <x:v>2025::jama.2025.24175::C003</x:v>
      </x:c>
      <x:c r="B234" s="6" t="str">
        <x:v>evidencePaths</x:v>
      </x:c>
      <x:c r="C234" s="6" t="n">
        <x:v>0</x:v>
      </x:c>
      <x:c r="D234" s="6" t="str">
        <x:v>2025/jama.2025.24175/.ai_paper_validation/review_1_5_1/verification/evidence_recheck.md</x:v>
      </x:c>
      <x:c r="E234" s="6" t="str">
        <x:v>../../2025/jama.2025.24175/.ai_paper_validation/review_1_5_1/verification/evidence_recheck.md</x:v>
      </x:c>
    </x:row>
    <x:row r="235" ht="90" customHeight="1">
      <x:c r="A235" s="3" t="str">
        <x:v>2025::jama.2025.24175::C004</x:v>
      </x:c>
      <x:c r="B235" s="3" t="str">
        <x:v>sourceLinks</x:v>
      </x:c>
      <x:c r="C235" s="3" t="n">
        <x:v>0</x:v>
      </x:c>
      <x:c r="D235" s="3" t="str">
        <x:v>DOC-002 protocol, PDF p. 9</x:v>
      </x:c>
      <x:c r="E235" s="3" t="str">
        <x:v>../../2025/jama.2025.24175/joi250116supp1_prod_1771885794.26255.pdf#page=9</x:v>
      </x:c>
    </x:row>
    <x:row r="236" ht="90" customHeight="1">
      <x:c r="A236" s="6" t="str">
        <x:v>2025::jama.2025.24175::C004</x:v>
      </x:c>
      <x:c r="B236" s="6" t="str">
        <x:v>sourceLinks</x:v>
      </x:c>
      <x:c r="C236" s="6" t="n">
        <x:v>1</x:v>
      </x:c>
      <x:c r="D236" s="6" t="str">
        <x:v>DOC-003 eMethods, PDF p. 13</x:v>
      </x:c>
      <x:c r="E236" s="6" t="str">
        <x:v>../../2025/jama.2025.24175/joi250116supp2_prod_1771885794.27755.pdf#page=13</x:v>
      </x:c>
    </x:row>
    <x:row r="237" ht="90" customHeight="1">
      <x:c r="A237" s="3" t="str">
        <x:v>2025::jama.2025.24175::C004</x:v>
      </x:c>
      <x:c r="B237" s="3" t="str">
        <x:v>sourceLinks</x:v>
      </x:c>
      <x:c r="C237" s="3" t="n">
        <x:v>2</x:v>
      </x:c>
      <x:c r="D237" s="3" t="str">
        <x:v>DOC-002 SAP reversal definition, PDF p. 69</x:v>
      </x:c>
      <x:c r="E237" s="3" t="str">
        <x:v>../../2025/jama.2025.24175/joi250116supp1_prod_1771885794.26255.pdf#page=69</x:v>
      </x:c>
    </x:row>
    <x:row r="238" ht="90" customHeight="1">
      <x:c r="A238" s="6" t="str">
        <x:v>2025::jama.2025.24175::C004</x:v>
      </x:c>
      <x:c r="B238" s="6" t="str">
        <x:v>evidencePaths</x:v>
      </x:c>
      <x:c r="C238" s="6" t="n">
        <x:v>0</x:v>
      </x:c>
      <x:c r="D238" s="6" t="str">
        <x:v>2025/jama.2025.24175/.ai_paper_validation/review_1_5_1/verification/evidence_recheck.md</x:v>
      </x:c>
      <x:c r="E238" s="6" t="str">
        <x:v>../../2025/jama.2025.24175/.ai_paper_validation/review_1_5_1/verification/evidence_recheck.md</x:v>
      </x:c>
    </x:row>
    <x:row r="239" ht="90" customHeight="1">
      <x:c r="A239" s="3" t="str">
        <x:v>2025::jama.2025.24175::C005</x:v>
      </x:c>
      <x:c r="B239" s="3" t="str">
        <x:v>sourceLinks</x:v>
      </x:c>
      <x:c r="C239" s="3" t="n">
        <x:v>0</x:v>
      </x:c>
      <x:c r="D239" s="3" t="str">
        <x:v>DOC-002 protocol, PDF p. 25</x:v>
      </x:c>
      <x:c r="E239" s="3" t="str">
        <x:v>../../2025/jama.2025.24175/joi250116supp1_prod_1771885794.26255.pdf#page=25</x:v>
      </x:c>
    </x:row>
    <x:row r="240" ht="90" customHeight="1">
      <x:c r="A240" s="6" t="str">
        <x:v>2025::jama.2025.24175::C005</x:v>
      </x:c>
      <x:c r="B240" s="6" t="str">
        <x:v>sourceLinks</x:v>
      </x:c>
      <x:c r="C240" s="6" t="n">
        <x:v>1</x:v>
      </x:c>
      <x:c r="D240" s="6" t="str">
        <x:v>PDF p. 26</x:v>
      </x:c>
      <x:c r="E240" s="6" t="str">
        <x:v>../../2025/jama.2025.24175/joi250116supp1_prod_1771885794.26255.pdf#page=26</x:v>
      </x:c>
    </x:row>
    <x:row r="241" ht="90" customHeight="1">
      <x:c r="A241" s="3" t="str">
        <x:v>2025::jama.2025.24175::C005</x:v>
      </x:c>
      <x:c r="B241" s="3" t="str">
        <x:v>evidencePaths</x:v>
      </x:c>
      <x:c r="C241" s="3" t="n">
        <x:v>0</x:v>
      </x:c>
      <x:c r="D241" s="3" t="str">
        <x:v>2025/jama.2025.24175/.ai_paper_validation/review_1_5_1/verification/evidence_recheck.md</x:v>
      </x:c>
      <x:c r="E241" s="3" t="str">
        <x:v>../../2025/jama.2025.24175/.ai_paper_validation/review_1_5_1/verification/evidence_recheck.md</x:v>
      </x:c>
    </x:row>
    <x:row r="242" ht="90" customHeight="1">
      <x:c r="A242" s="6" t="str">
        <x:v>2025::jama.2025.24175::C006</x:v>
      </x:c>
      <x:c r="B242" s="6" t="str">
        <x:v>sourceLinks</x:v>
      </x:c>
      <x:c r="C242" s="6" t="n">
        <x:v>0</x:v>
      </x:c>
      <x:c r="D242" s="6" t="str">
        <x:v>DOC-002 narrative, PDF p. 41</x:v>
      </x:c>
      <x:c r="E242" s="6" t="str">
        <x:v>../../2025/jama.2025.24175/joi250116supp1_prod_1771885794.26255.pdf#page=41</x:v>
      </x:c>
    </x:row>
    <x:row r="243" ht="90" customHeight="1">
      <x:c r="A243" s="3" t="str">
        <x:v>2025::jama.2025.24175::C006</x:v>
      </x:c>
      <x:c r="B243" s="3" t="str">
        <x:v>sourceLinks</x:v>
      </x:c>
      <x:c r="C243" s="3" t="n">
        <x:v>1</x:v>
      </x:c>
      <x:c r="D243" s="3" t="str">
        <x:v>DOC-002 Figure 1, PDF p. 50</x:v>
      </x:c>
      <x:c r="E243" s="3" t="str">
        <x:v>../../2025/jama.2025.24175/joi250116supp1_prod_1771885794.26255.pdf#page=50</x:v>
      </x:c>
    </x:row>
    <x:row r="244" ht="90" customHeight="1">
      <x:c r="A244" s="6" t="str">
        <x:v>2025::jama.2025.24175::C006</x:v>
      </x:c>
      <x:c r="B244" s="6" t="str">
        <x:v>evidencePaths</x:v>
      </x:c>
      <x:c r="C244" s="6" t="n">
        <x:v>0</x:v>
      </x:c>
      <x:c r="D244" s="6" t="str">
        <x:v>2025/jama.2025.24175/.ai_paper_validation/review_1_5_1/verification/evidence_recheck.md</x:v>
      </x:c>
      <x:c r="E244" s="6" t="str">
        <x:v>../../2025/jama.2025.24175/.ai_paper_validation/review_1_5_1/verification/evidence_recheck.md</x:v>
      </x:c>
    </x:row>
    <x:row r="245" ht="90" customHeight="1">
      <x:c r="A245" s="3" t="str">
        <x:v>2025::jama.2025.24175::C006</x:v>
      </x:c>
      <x:c r="B245" s="3" t="str">
        <x:v>evidencePaths</x:v>
      </x:c>
      <x:c r="C245" s="3" t="n">
        <x:v>1</x:v>
      </x:c>
      <x:c r="D245" s="3" t="str">
        <x:v>2025/jama.2025.24175/.ai_paper_validation/review_1_5_1/extraction/support_quantitative_evidence.md</x:v>
      </x:c>
      <x:c r="E245" s="3" t="str">
        <x:v>../../2025/jama.2025.24175/.ai_paper_validation/review_1_5_1/extraction/support_quantitative_evidence.md</x:v>
      </x:c>
    </x:row>
    <x:row r="246" ht="90" customHeight="1">
      <x:c r="A246" s="6" t="str">
        <x:v>2025::jama.2025.24175::C006</x:v>
      </x:c>
      <x:c r="B246" s="6" t="str">
        <x:v>evidencePaths</x:v>
      </x:c>
      <x:c r="C246" s="6" t="n">
        <x:v>2</x:v>
      </x:c>
      <x:c r="D246" s="6" t="str">
        <x:v>2025/jama.2025.24175/.ai_paper_validation/review_1_5_1/parts/mapping/doc002_pp033_064.md</x:v>
      </x:c>
      <x:c r="E246" s="6" t="str">
        <x:v>../../2025/jama.2025.24175/.ai_paper_validation/review_1_5_1/parts/mapping/doc002_pp033_064.md</x:v>
      </x:c>
    </x:row>
    <x:row r="247" ht="90" customHeight="1">
      <x:c r="A247" s="3" t="str">
        <x:v>2025::jama.2025.24175::C006</x:v>
      </x:c>
      <x:c r="B247" s="3" t="str">
        <x:v>evidencePaths</x:v>
      </x:c>
      <x:c r="C247" s="3" t="n">
        <x:v>3</x:v>
      </x:c>
      <x:c r="D247" s="3" t="str">
        <x:v>2025/jama.2025.24175/.ai_paper_validation/review_1_5_1/preprocessing/DOC-002/pp033_064/low-36.png</x:v>
      </x:c>
      <x:c r="E247" s="3" t="str">
        <x:v>../../2025/jama.2025.24175/.ai_paper_validation/review_1_5_1/preprocessing/DOC-002/pp033_064/low-36.png</x:v>
      </x:c>
    </x:row>
    <x:row r="248" ht="90" customHeight="1">
      <x:c r="A248" s="6" t="str">
        <x:v>2025::jama.2025.24175::C007</x:v>
      </x:c>
      <x:c r="B248" s="6" t="str">
        <x:v>sourceLinks</x:v>
      </x:c>
      <x:c r="C248" s="6" t="n">
        <x:v>0</x:v>
      </x:c>
      <x:c r="D248" s="6" t="str">
        <x:v>DOC-002 Table 2, PDF p. 48</x:v>
      </x:c>
      <x:c r="E248" s="6" t="str">
        <x:v>../../2025/jama.2025.24175/joi250116supp1_prod_1771885794.26255.pdf#page=48</x:v>
      </x:c>
    </x:row>
    <x:row r="249" ht="90" customHeight="1">
      <x:c r="A249" s="3" t="str">
        <x:v>2025::jama.2025.24175::C007</x:v>
      </x:c>
      <x:c r="B249" s="3" t="str">
        <x:v>evidencePaths</x:v>
      </x:c>
      <x:c r="C249" s="3" t="n">
        <x:v>0</x:v>
      </x:c>
      <x:c r="D249" s="3" t="str">
        <x:v>2025/jama.2025.24175/.ai_paper_validation/review_1_5_1/verification/evidence_recheck.md</x:v>
      </x:c>
      <x:c r="E249" s="3" t="str">
        <x:v>../../2025/jama.2025.24175/.ai_paper_validation/review_1_5_1/verification/evidence_recheck.md</x:v>
      </x:c>
    </x:row>
    <x:row r="250" ht="90" customHeight="1">
      <x:c r="A250" s="6" t="str">
        <x:v>2025::jama.2025.24175::C007</x:v>
      </x:c>
      <x:c r="B250" s="6" t="str">
        <x:v>evidencePaths</x:v>
      </x:c>
      <x:c r="C250" s="6" t="n">
        <x:v>1</x:v>
      </x:c>
      <x:c r="D250" s="6" t="str">
        <x:v>2025/jama.2025.24175/.ai_paper_validation/review_1_5_1/extraction/support_quantitative_evidence.md</x:v>
      </x:c>
      <x:c r="E250" s="6" t="str">
        <x:v>../../2025/jama.2025.24175/.ai_paper_validation/review_1_5_1/extraction/support_quantitative_evidence.md</x:v>
      </x:c>
    </x:row>
    <x:row r="251" ht="90" customHeight="1">
      <x:c r="A251" s="3" t="str">
        <x:v>2025::jama.2025.24175::C007</x:v>
      </x:c>
      <x:c r="B251" s="3" t="str">
        <x:v>evidencePaths</x:v>
      </x:c>
      <x:c r="C251" s="3" t="n">
        <x:v>2</x:v>
      </x:c>
      <x:c r="D251" s="3" t="str">
        <x:v>2025/jama.2025.24175/.ai_paper_validation/review_1_5_1/parts/mapping/doc002_pp033_064.md</x:v>
      </x:c>
      <x:c r="E251" s="3" t="str">
        <x:v>../../2025/jama.2025.24175/.ai_paper_validation/review_1_5_1/parts/mapping/doc002_pp033_064.md</x:v>
      </x:c>
    </x:row>
    <x:row r="252" ht="90" customHeight="1">
      <x:c r="A252" s="6" t="str">
        <x:v>2025::jama.2025.24175::C007</x:v>
      </x:c>
      <x:c r="B252" s="6" t="str">
        <x:v>evidencePaths</x:v>
      </x:c>
      <x:c r="C252" s="6" t="n">
        <x:v>3</x:v>
      </x:c>
      <x:c r="D252" s="6" t="str">
        <x:v>2025/jama.2025.24175/.ai_paper_validation/review_1_5_1/preprocessing/DOC-002/pp033_064/low-36.png</x:v>
      </x:c>
      <x:c r="E252" s="6" t="str">
        <x:v>../../2025/jama.2025.24175/.ai_paper_validation/review_1_5_1/preprocessing/DOC-002/pp033_064/low-36.png</x:v>
      </x:c>
    </x:row>
    <x:row r="253" ht="90" customHeight="1">
      <x:c r="A253" s="3" t="str">
        <x:v>2025::jama.2025.24175::C008</x:v>
      </x:c>
      <x:c r="B253" s="3" t="str">
        <x:v>sourceLinks</x:v>
      </x:c>
      <x:c r="C253" s="3" t="n">
        <x:v>0</x:v>
      </x:c>
      <x:c r="D253" s="3" t="str">
        <x:v>DOC-002 Figure 1, PDF p. 50</x:v>
      </x:c>
      <x:c r="E253" s="3" t="str">
        <x:v>../../2025/jama.2025.24175/joi250116supp1_prod_1771885794.26255.pdf#page=50</x:v>
      </x:c>
    </x:row>
    <x:row r="254" ht="90" customHeight="1">
      <x:c r="A254" s="6" t="str">
        <x:v>2025::jama.2025.24175::C008</x:v>
      </x:c>
      <x:c r="B254" s="6" t="str">
        <x:v>evidencePaths</x:v>
      </x:c>
      <x:c r="C254" s="6" t="n">
        <x:v>0</x:v>
      </x:c>
      <x:c r="D254" s="6" t="str">
        <x:v>2025/jama.2025.24175/.ai_paper_validation/review_1_5_1/verification/evidence_recheck.md</x:v>
      </x:c>
      <x:c r="E254" s="6" t="str">
        <x:v>../../2025/jama.2025.24175/.ai_paper_validation/review_1_5_1/verification/evidence_recheck.md</x:v>
      </x:c>
    </x:row>
    <x:row r="255" ht="90" customHeight="1">
      <x:c r="A255" s="3" t="str">
        <x:v>2025::jama.2025.24175::C008</x:v>
      </x:c>
      <x:c r="B255" s="3" t="str">
        <x:v>evidencePaths</x:v>
      </x:c>
      <x:c r="C255" s="3" t="n">
        <x:v>1</x:v>
      </x:c>
      <x:c r="D255" s="3" t="str">
        <x:v>2025/jama.2025.24175/.ai_paper_validation/review_1_5_1/extraction/support_quantitative_evidence.md</x:v>
      </x:c>
      <x:c r="E255" s="3" t="str">
        <x:v>../../2025/jama.2025.24175/.ai_paper_validation/review_1_5_1/extraction/support_quantitative_evidence.md</x:v>
      </x:c>
    </x:row>
    <x:row r="256" ht="90" customHeight="1">
      <x:c r="A256" s="6" t="str">
        <x:v>2025::jama.2025.24175::C008</x:v>
      </x:c>
      <x:c r="B256" s="6" t="str">
        <x:v>evidencePaths</x:v>
      </x:c>
      <x:c r="C256" s="6" t="n">
        <x:v>2</x:v>
      </x:c>
      <x:c r="D256" s="6" t="str">
        <x:v>2025/jama.2025.24175/.ai_paper_validation/review_1_5_1/parts/mapping/doc002_pp033_064.md</x:v>
      </x:c>
      <x:c r="E256" s="6" t="str">
        <x:v>../../2025/jama.2025.24175/.ai_paper_validation/review_1_5_1/parts/mapping/doc002_pp033_064.md</x:v>
      </x:c>
    </x:row>
    <x:row r="257" ht="90" customHeight="1">
      <x:c r="A257" s="3" t="str">
        <x:v>2025::jama.2025.24175::C008</x:v>
      </x:c>
      <x:c r="B257" s="3" t="str">
        <x:v>evidencePaths</x:v>
      </x:c>
      <x:c r="C257" s="3" t="n">
        <x:v>3</x:v>
      </x:c>
      <x:c r="D257" s="3" t="str">
        <x:v>2025/jama.2025.24175/.ai_paper_validation/review_1_5_1/preprocessing/DOC-002/pp033_064/low-36.png</x:v>
      </x:c>
      <x:c r="E257" s="3" t="str">
        <x:v>../../2025/jama.2025.24175/.ai_paper_validation/review_1_5_1/preprocessing/DOC-002/pp033_064/low-36.png</x:v>
      </x:c>
    </x:row>
    <x:row r="258" ht="90" customHeight="1">
      <x:c r="A258" s="6" t="str">
        <x:v>2025::jama.2025.24175::C009</x:v>
      </x:c>
      <x:c r="B258" s="6" t="str">
        <x:v>sourceLinks</x:v>
      </x:c>
      <x:c r="C258" s="6" t="n">
        <x:v>0</x:v>
      </x:c>
      <x:c r="D258" s="6" t="str">
        <x:v>DOC-001 report, PDF p. 2</x:v>
      </x:c>
      <x:c r="E258" s="6" t="str">
        <x:v>../../2025/jama.2025.24175/jama_giamarellosbourboulis_2025_oi_250116_1771885794.23757.pdf#page=2</x:v>
      </x:c>
    </x:row>
    <x:row r="259" ht="90" customHeight="1">
      <x:c r="A259" s="3" t="str">
        <x:v>2025::jama.2025.24175::C009</x:v>
      </x:c>
      <x:c r="B259" s="3" t="str">
        <x:v>sourceLinks</x:v>
      </x:c>
      <x:c r="C259" s="3" t="n">
        <x:v>1</x:v>
      </x:c>
      <x:c r="D259" s="3" t="str">
        <x:v>DOC-002 protocol, PDF p. 10</x:v>
      </x:c>
      <x:c r="E259" s="3" t="str">
        <x:v>../../2025/jama.2025.24175/joi250116supp1_prod_1771885794.26255.pdf#page=10</x:v>
      </x:c>
    </x:row>
    <x:row r="260" ht="90" customHeight="1">
      <x:c r="A260" s="6" t="str">
        <x:v>2025::jama.2025.24175::C009</x:v>
      </x:c>
      <x:c r="B260" s="6" t="str">
        <x:v>sourceLinks</x:v>
      </x:c>
      <x:c r="C260" s="6" t="n">
        <x:v>2</x:v>
      </x:c>
      <x:c r="D260" s="6" t="str">
        <x:v>DOC-002 SAP, PDF p. 65</x:v>
      </x:c>
      <x:c r="E260" s="6" t="str">
        <x:v>../../2025/jama.2025.24175/joi250116supp1_prod_1771885794.26255.pdf#page=65</x:v>
      </x:c>
    </x:row>
    <x:row r="261" ht="90" customHeight="1">
      <x:c r="A261" s="3" t="str">
        <x:v>2025::jama.2025.24175::C009</x:v>
      </x:c>
      <x:c r="B261" s="3" t="str">
        <x:v>sourceLinks</x:v>
      </x:c>
      <x:c r="C261" s="3" t="n">
        <x:v>3</x:v>
      </x:c>
      <x:c r="D261" s="3" t="str">
        <x:v>PDF p. 67</x:v>
      </x:c>
      <x:c r="E261" s="3" t="str">
        <x:v>../../2025/jama.2025.24175/joi250116supp1_prod_1771885794.26255.pdf#page=67</x:v>
      </x:c>
    </x:row>
    <x:row r="262" ht="90" customHeight="1">
      <x:c r="A262" s="6" t="str">
        <x:v>2025::jama.2025.24175::C009</x:v>
      </x:c>
      <x:c r="B262" s="6" t="str">
        <x:v>evidencePaths</x:v>
      </x:c>
      <x:c r="C262" s="6" t="n">
        <x:v>0</x:v>
      </x:c>
      <x:c r="D262" s="6" t="str">
        <x:v>2025/jama.2025.24175/.ai_paper_validation/review_1_5_1/verification/evidence_recheck.md</x:v>
      </x:c>
      <x:c r="E262" s="6" t="str">
        <x:v>../../2025/jama.2025.24175/.ai_paper_validation/review_1_5_1/verification/evidence_recheck.md</x:v>
      </x:c>
    </x:row>
    <x:row r="263" ht="90" customHeight="1">
      <x:c r="A263" s="3" t="str">
        <x:v>2025::jama.2025.24175::C010</x:v>
      </x:c>
      <x:c r="B263" s="3" t="str">
        <x:v>sourceLinks</x:v>
      </x:c>
      <x:c r="C263" s="3" t="n">
        <x:v>0</x:v>
      </x:c>
      <x:c r="D263" s="3" t="str">
        <x:v>DOC-002 Figure 2C, PDF p. 51</x:v>
      </x:c>
      <x:c r="E263" s="3" t="str">
        <x:v>../../2025/jama.2025.24175/joi250116supp1_prod_1771885794.26255.pdf#page=51</x:v>
      </x:c>
    </x:row>
    <x:row r="264" ht="90" customHeight="1">
      <x:c r="A264" s="6" t="str">
        <x:v>2025::jama.2025.24175::C010</x:v>
      </x:c>
      <x:c r="B264" s="6" t="str">
        <x:v>sourceLinks</x:v>
      </x:c>
      <x:c r="C264" s="6" t="n">
        <x:v>1</x:v>
      </x:c>
      <x:c r="D264" s="6" t="str">
        <x:v>DOC-002 Figure 3, PDF p. 52</x:v>
      </x:c>
      <x:c r="E264" s="6" t="str">
        <x:v>../../2025/jama.2025.24175/joi250116supp1_prod_1771885794.26255.pdf#page=52</x:v>
      </x:c>
    </x:row>
    <x:row r="265" ht="90" customHeight="1">
      <x:c r="A265" s="3" t="str">
        <x:v>2025::jama.2025.24175::C010</x:v>
      </x:c>
      <x:c r="B265" s="3" t="str">
        <x:v>evidencePaths</x:v>
      </x:c>
      <x:c r="C265" s="3" t="n">
        <x:v>0</x:v>
      </x:c>
      <x:c r="D265" s="3" t="str">
        <x:v>2025/jama.2025.24175/.ai_paper_validation/review_1_5_1/verification/evidence_recheck.md</x:v>
      </x:c>
      <x:c r="E265" s="3" t="str">
        <x:v>../../2025/jama.2025.24175/.ai_paper_validation/review_1_5_1/verification/evidence_recheck.md</x:v>
      </x:c>
    </x:row>
    <x:row r="266" ht="90" customHeight="1">
      <x:c r="A266" s="6" t="str">
        <x:v>2025::jama.2025.24175::C010</x:v>
      </x:c>
      <x:c r="B266" s="6" t="str">
        <x:v>evidencePaths</x:v>
      </x:c>
      <x:c r="C266" s="6" t="n">
        <x:v>1</x:v>
      </x:c>
      <x:c r="D266" s="6" t="str">
        <x:v>2025/jama.2025.24175/.ai_paper_validation/review_1_5_1/extraction/support_quantitative_evidence.md</x:v>
      </x:c>
      <x:c r="E266" s="6" t="str">
        <x:v>../../2025/jama.2025.24175/.ai_paper_validation/review_1_5_1/extraction/support_quantitative_evidence.md</x:v>
      </x:c>
    </x:row>
    <x:row r="267" ht="90" customHeight="1">
      <x:c r="A267" s="3" t="str">
        <x:v>2025::jama.2025.24175::C010</x:v>
      </x:c>
      <x:c r="B267" s="3" t="str">
        <x:v>evidencePaths</x:v>
      </x:c>
      <x:c r="C267" s="3" t="n">
        <x:v>2</x:v>
      </x:c>
      <x:c r="D267" s="3" t="str">
        <x:v>2025/jama.2025.24175/.ai_paper_validation/review_1_5_1/parts/mapping/doc002_pp033_064.md</x:v>
      </x:c>
      <x:c r="E267" s="3" t="str">
        <x:v>../../2025/jama.2025.24175/.ai_paper_validation/review_1_5_1/parts/mapping/doc002_pp033_064.md</x:v>
      </x:c>
    </x:row>
    <x:row r="268" ht="90" customHeight="1">
      <x:c r="A268" s="6" t="str">
        <x:v>2025::jama.2025.24175::C010</x:v>
      </x:c>
      <x:c r="B268" s="6" t="str">
        <x:v>evidencePaths</x:v>
      </x:c>
      <x:c r="C268" s="6" t="n">
        <x:v>3</x:v>
      </x:c>
      <x:c r="D268" s="6" t="str">
        <x:v>2025/jama.2025.24175/.ai_paper_validation/review_1_5_1/preprocessing/DOC-002/pp033_064/low-36.png</x:v>
      </x:c>
      <x:c r="E268" s="6" t="str">
        <x:v>../../2025/jama.2025.24175/.ai_paper_validation/review_1_5_1/preprocessing/DOC-002/pp033_064/low-36.png</x:v>
      </x:c>
    </x:row>
    <x:row r="269" ht="90" customHeight="1">
      <x:c r="A269" s="3" t="str">
        <x:v>2025::jama.2025.24175::C011</x:v>
      </x:c>
      <x:c r="B269" s="3" t="str">
        <x:v>sourceLinks</x:v>
      </x:c>
      <x:c r="C269" s="3" t="n">
        <x:v>0</x:v>
      </x:c>
      <x:c r="D269" s="3" t="str">
        <x:v>DOC-003 eTable 10, PDF p. 22</x:v>
      </x:c>
      <x:c r="E269" s="3" t="str">
        <x:v>../../2025/jama.2025.24175/joi250116supp2_prod_1771885794.27755.pdf#page=22</x:v>
      </x:c>
    </x:row>
    <x:row r="270" ht="90" customHeight="1">
      <x:c r="A270" s="6" t="str">
        <x:v>2025::jama.2025.24175::C011</x:v>
      </x:c>
      <x:c r="B270" s="6" t="str">
        <x:v>evidencePaths</x:v>
      </x:c>
      <x:c r="C270" s="6" t="n">
        <x:v>0</x:v>
      </x:c>
      <x:c r="D270" s="6" t="str">
        <x:v>2025/jama.2025.24175/.ai_paper_validation/review_1_5_1/verification/evidence_recheck.md</x:v>
      </x:c>
      <x:c r="E270" s="6" t="str">
        <x:v>../../2025/jama.2025.24175/.ai_paper_validation/review_1_5_1/verification/evidence_recheck.md</x:v>
      </x:c>
    </x:row>
    <x:row r="271" ht="90" customHeight="1">
      <x:c r="A271" s="3" t="str">
        <x:v>2025::jama.2025.24175::C012</x:v>
      </x:c>
      <x:c r="B271" s="3" t="str">
        <x:v>sourceLinks</x:v>
      </x:c>
      <x:c r="C271" s="3" t="n">
        <x:v>0</x:v>
      </x:c>
      <x:c r="D271" s="3" t="str">
        <x:v>DOC-003 eFigure 7B, PDF p. 51</x:v>
      </x:c>
      <x:c r="E271" s="3" t="str">
        <x:v>../../2025/jama.2025.24175/joi250116supp2_prod_1771885794.27755.pdf#page=51</x:v>
      </x:c>
    </x:row>
    <x:row r="272" ht="90" customHeight="1">
      <x:c r="A272" s="6" t="str">
        <x:v>2025::jama.2025.24175::C012</x:v>
      </x:c>
      <x:c r="B272" s="6" t="str">
        <x:v>sourceLinks</x:v>
      </x:c>
      <x:c r="C272" s="6" t="n">
        <x:v>1</x:v>
      </x:c>
      <x:c r="D272" s="6" t="str">
        <x:v>DOC-003 eFigure 8B, PDF p. 52</x:v>
      </x:c>
      <x:c r="E272" s="6" t="str">
        <x:v>../../2025/jama.2025.24175/joi250116supp2_prod_1771885794.27755.pdf#page=52</x:v>
      </x:c>
    </x:row>
    <x:row r="273" ht="90" customHeight="1">
      <x:c r="A273" s="3" t="str">
        <x:v>2025::jama.2025.24175::C012</x:v>
      </x:c>
      <x:c r="B273" s="3" t="str">
        <x:v>evidencePaths</x:v>
      </x:c>
      <x:c r="C273" s="3" t="n">
        <x:v>0</x:v>
      </x:c>
      <x:c r="D273" s="3" t="str">
        <x:v>2025/jama.2025.24175/.ai_paper_validation/review_1_5_1/verification/evidence_recheck.md</x:v>
      </x:c>
      <x:c r="E273" s="3" t="str">
        <x:v>../../2025/jama.2025.24175/.ai_paper_validation/review_1_5_1/verification/evidence_recheck.md</x:v>
      </x:c>
    </x:row>
    <x:row r="274" ht="90" customHeight="1">
      <x:c r="A274" s="6" t="str">
        <x:v>2025::jama.2025.24175::C013</x:v>
      </x:c>
      <x:c r="B274" s="6" t="str">
        <x:v>sourceLinks</x:v>
      </x:c>
      <x:c r="C274" s="6" t="n">
        <x:v>0</x:v>
      </x:c>
      <x:c r="D274" s="6" t="str">
        <x:v>DOC-003 eFigure 9B, PDF p. 53</x:v>
      </x:c>
      <x:c r="E274" s="6" t="str">
        <x:v>../../2025/jama.2025.24175/joi250116supp2_prod_1771885794.27755.pdf#page=53</x:v>
      </x:c>
    </x:row>
    <x:row r="275" ht="90" customHeight="1">
      <x:c r="A275" s="3" t="str">
        <x:v>2025::jama.2025.24175::C013</x:v>
      </x:c>
      <x:c r="B275" s="3" t="str">
        <x:v>evidencePaths</x:v>
      </x:c>
      <x:c r="C275" s="3" t="n">
        <x:v>0</x:v>
      </x:c>
      <x:c r="D275" s="3" t="str">
        <x:v>2025/jama.2025.24175/.ai_paper_validation/review_1_5_1/verification/evidence_recheck.md</x:v>
      </x:c>
      <x:c r="E275" s="3" t="str">
        <x:v>../../2025/jama.2025.24175/.ai_paper_validation/review_1_5_1/verification/evidence_recheck.md</x:v>
      </x:c>
    </x:row>
    <x:row r="276" ht="90" customHeight="1">
      <x:c r="A276" s="6" t="str">
        <x:v>2025::jama.2025.24175::C014</x:v>
      </x:c>
      <x:c r="B276" s="6" t="str">
        <x:v>sourceLinks</x:v>
      </x:c>
      <x:c r="C276" s="6" t="n">
        <x:v>0</x:v>
      </x:c>
      <x:c r="D276" s="6" t="str">
        <x:v>DOC-002 actual mortality sentence, PDF p. 41</x:v>
      </x:c>
      <x:c r="E276" s="6" t="str">
        <x:v>../../2025/jama.2025.24175/joi250116supp1_prod_1771885794.26255.pdf#page=41</x:v>
      </x:c>
    </x:row>
    <x:row r="277" ht="90" customHeight="1">
      <x:c r="A277" s="3" t="str">
        <x:v>2025::jama.2025.24175::C014</x:v>
      </x:c>
      <x:c r="B277" s="3" t="str">
        <x:v>sourceLinks</x:v>
      </x:c>
      <x:c r="C277" s="3" t="n">
        <x:v>1</x:v>
      </x:c>
      <x:c r="D277" s="3" t="str">
        <x:v>Discussion, PDF p. 42</x:v>
      </x:c>
      <x:c r="E277" s="3" t="str">
        <x:v>../../2025/jama.2025.24175/joi250116supp1_prod_1771885794.26255.pdf#page=42</x:v>
      </x:c>
    </x:row>
    <x:row r="278" ht="90" customHeight="1">
      <x:c r="A278" s="6" t="str">
        <x:v>2025::jama.2025.24175::C014</x:v>
      </x:c>
      <x:c r="B278" s="6" t="str">
        <x:v>sourceLinks</x:v>
      </x:c>
      <x:c r="C278" s="6" t="n">
        <x:v>2</x:v>
      </x:c>
      <x:c r="D278" s="6" t="str">
        <x:v>Table 2, PDF p. 48</x:v>
      </x:c>
      <x:c r="E278" s="6" t="str">
        <x:v>../../2025/jama.2025.24175/joi250116supp1_prod_1771885794.26255.pdf#page=48</x:v>
      </x:c>
    </x:row>
    <x:row r="279" ht="90" customHeight="1">
      <x:c r="A279" s="3" t="str">
        <x:v>2025::jama.2025.24175::C014</x:v>
      </x:c>
      <x:c r="B279" s="3" t="str">
        <x:v>sourceLinks</x:v>
      </x:c>
      <x:c r="C279" s="3" t="n">
        <x:v>3</x:v>
      </x:c>
      <x:c r="D279" s="3" t="str">
        <x:v>Figure 1, PDF p. 50</x:v>
      </x:c>
      <x:c r="E279" s="3" t="str">
        <x:v>../../2025/jama.2025.24175/joi250116supp1_prod_1771885794.26255.pdf#page=50</x:v>
      </x:c>
    </x:row>
    <x:row r="280" ht="90" customHeight="1">
      <x:c r="A280" s="6" t="str">
        <x:v>2025::jama.2025.24175::C014</x:v>
      </x:c>
      <x:c r="B280" s="6" t="str">
        <x:v>evidencePaths</x:v>
      </x:c>
      <x:c r="C280" s="6" t="n">
        <x:v>0</x:v>
      </x:c>
      <x:c r="D280" s="6" t="str">
        <x:v>2025/jama.2025.24175/.ai_paper_validation/review_1_5_1/verification/evidence_recheck.md</x:v>
      </x:c>
      <x:c r="E280" s="6" t="str">
        <x:v>../../2025/jama.2025.24175/.ai_paper_validation/review_1_5_1/verification/evidence_recheck.md</x:v>
      </x:c>
    </x:row>
    <x:row r="281" ht="90" customHeight="1">
      <x:c r="A281" s="3" t="str">
        <x:v>2025::jama.2025.24175::C014</x:v>
      </x:c>
      <x:c r="B281" s="3" t="str">
        <x:v>evidencePaths</x:v>
      </x:c>
      <x:c r="C281" s="3" t="n">
        <x:v>1</x:v>
      </x:c>
      <x:c r="D281" s="3" t="str">
        <x:v>2025/jama.2025.24175/.ai_paper_validation/review_1_5_1/extraction/support_quantitative_evidence.md</x:v>
      </x:c>
      <x:c r="E281" s="3" t="str">
        <x:v>../../2025/jama.2025.24175/.ai_paper_validation/review_1_5_1/extraction/support_quantitative_evidence.md</x:v>
      </x:c>
    </x:row>
    <x:row r="282" ht="90" customHeight="1">
      <x:c r="A282" s="6" t="str">
        <x:v>2025::jama.2025.24175::C014</x:v>
      </x:c>
      <x:c r="B282" s="6" t="str">
        <x:v>evidencePaths</x:v>
      </x:c>
      <x:c r="C282" s="6" t="n">
        <x:v>2</x:v>
      </x:c>
      <x:c r="D282" s="6" t="str">
        <x:v>2025/jama.2025.24175/.ai_paper_validation/review_1_5_1/parts/mapping/doc002_pp033_064.md</x:v>
      </x:c>
      <x:c r="E282" s="6" t="str">
        <x:v>../../2025/jama.2025.24175/.ai_paper_validation/review_1_5_1/parts/mapping/doc002_pp033_064.md</x:v>
      </x:c>
    </x:row>
    <x:row r="283" ht="90" customHeight="1">
      <x:c r="A283" s="3" t="str">
        <x:v>2025::jama.2025.24175::C014</x:v>
      </x:c>
      <x:c r="B283" s="3" t="str">
        <x:v>evidencePaths</x:v>
      </x:c>
      <x:c r="C283" s="3" t="n">
        <x:v>3</x:v>
      </x:c>
      <x:c r="D283" s="3" t="str">
        <x:v>2025/jama.2025.24175/.ai_paper_validation/review_1_5_1/preprocessing/DOC-002/pp033_064/low-36.png</x:v>
      </x:c>
      <x:c r="E283" s="3" t="str">
        <x:v>../../2025/jama.2025.24175/.ai_paper_validation/review_1_5_1/preprocessing/DOC-002/pp033_064/low-36.png</x:v>
      </x:c>
    </x:row>
    <x:row r="284" ht="90" customHeight="1">
      <x:c r="A284" s="6" t="str">
        <x:v>2025::jama.2025.4390::C001</x:v>
      </x:c>
      <x:c r="B284" s="6" t="str">
        <x:v>sourceLinks</x:v>
      </x:c>
      <x:c r="C284" s="6" t="n">
        <x:v>0</x:v>
      </x:c>
      <x:c r="D284" s="6" t="str">
        <x:v>jama_garrison_2025_oi_250019_1749674951.29054.pdf — Figure 3, PDF p. 9</x:v>
      </x:c>
      <x:c r="E284" s="6" t="str">
        <x:v>../../2025/jama.2025.4390/jama_garrison_2025_oi_250019_1749674951.29054.pdf#page=9</x:v>
      </x:c>
    </x:row>
    <x:row r="285" ht="90" customHeight="1">
      <x:c r="A285" s="3" t="str">
        <x:v>2025::jama.2025.4390::C001</x:v>
      </x:c>
      <x:c r="B285" s="3" t="str">
        <x:v>sourceLinks</x:v>
      </x:c>
      <x:c r="C285" s="3" t="n">
        <x:v>1</x:v>
      </x:c>
      <x:c r="D285" s="3" t="str">
        <x:v>jama_garrison_2025_oi_250019_1749674951.29054.pdf — Table 2, PDF p. 8</x:v>
      </x:c>
      <x:c r="E285" s="3" t="str">
        <x:v>../../2025/jama.2025.4390/jama_garrison_2025_oi_250019_1749674951.29054.pdf#page=8</x:v>
      </x:c>
    </x:row>
    <x:row r="286" ht="90" customHeight="1">
      <x:c r="A286" s="6" t="str">
        <x:v>2025::jama.2025.4390::C001</x:v>
      </x:c>
      <x:c r="B286" s="6" t="str">
        <x:v>sourceLinks</x:v>
      </x:c>
      <x:c r="C286" s="6" t="n">
        <x:v>2</x:v>
      </x:c>
      <x:c r="D286" s="6" t="str">
        <x:v>main article abstract, PDF p. 1</x:v>
      </x:c>
      <x:c r="E286" s="6" t="str">
        <x:v>../../2025/jama.2025.4390/jama_garrison_2025_oi_250019_1749674951.29054.pdf#page=1</x:v>
      </x:c>
    </x:row>
    <x:row r="287" ht="90" customHeight="1">
      <x:c r="A287" s="3" t="str">
        <x:v>2025::jama.2025.4390::C001</x:v>
      </x:c>
      <x:c r="B287" s="3" t="str">
        <x:v>sourceLinks</x:v>
      </x:c>
      <x:c r="C287" s="3" t="n">
        <x:v>3</x:v>
      </x:c>
      <x:c r="D287" s="3" t="str">
        <x:v>primary-outcome narrative, PDF p. 6</x:v>
      </x:c>
      <x:c r="E287" s="3" t="str">
        <x:v>../../2025/jama.2025.4390/jama_garrison_2025_oi_250019_1749674951.29054.pdf#page=6</x:v>
      </x:c>
    </x:row>
    <x:row r="288" ht="90" customHeight="1">
      <x:c r="A288" s="6" t="str">
        <x:v>2025::jama.2025.4390::C002</x:v>
      </x:c>
      <x:c r="B288" s="6" t="str">
        <x:v>sourceLinks</x:v>
      </x:c>
      <x:c r="C288" s="6" t="n">
        <x:v>0</x:v>
      </x:c>
      <x:c r="D288" s="6" t="str">
        <x:v>joi250019supp3_prod_1749674951.30054.pdf — eFigure 4, PDF p. 26</x:v>
      </x:c>
      <x:c r="E288" s="6" t="str">
        <x:v>../../2025/jama.2025.4390/joi250019supp3_prod_1749674951.30054.pdf#page=26</x:v>
      </x:c>
    </x:row>
    <x:row r="289" ht="90" customHeight="1">
      <x:c r="A289" s="3" t="str">
        <x:v>2025::jama.2025.4390::C002</x:v>
      </x:c>
      <x:c r="B289" s="3" t="str">
        <x:v>sourceLinks</x:v>
      </x:c>
      <x:c r="C289" s="3" t="n">
        <x:v>1</x:v>
      </x:c>
      <x:c r="D289" s="3" t="str">
        <x:v>joi250019supp3_prod_1749674951.30054.pdf — eTable 6, PDF p. 42</x:v>
      </x:c>
      <x:c r="E289" s="3" t="str">
        <x:v>../../2025/jama.2025.4390/joi250019supp3_prod_1749674951.30054.pdf#page=42</x:v>
      </x:c>
    </x:row>
    <x:row r="290" ht="90" customHeight="1">
      <x:c r="A290" s="6" t="str">
        <x:v>2025::jama.2025.4390::C002</x:v>
      </x:c>
      <x:c r="B290" s="6" t="str">
        <x:v>sourceLinks</x:v>
      </x:c>
      <x:c r="C290" s="6" t="n">
        <x:v>2</x:v>
      </x:c>
      <x:c r="D290" s="6" t="str">
        <x:v>PDF p. 41</x:v>
      </x:c>
      <x:c r="E290" s="6" t="str">
        <x:v>../../2025/jama.2025.4390/joi250019supp3_prod_1749674951.30054.pdf#page=41</x:v>
      </x:c>
    </x:row>
    <x:row r="291" ht="90" customHeight="1">
      <x:c r="A291" s="3" t="str">
        <x:v>2025::jama.2025.4390::C003</x:v>
      </x:c>
      <x:c r="B291" s="3" t="str">
        <x:v>sourceLinks</x:v>
      </x:c>
      <x:c r="C291" s="3" t="n">
        <x:v>0</x:v>
      </x:c>
      <x:c r="D291" s="3" t="str">
        <x:v>joi250019supp3_prod_1749674951.30054.pdf — eTable 5, PDF p. 37</x:v>
      </x:c>
      <x:c r="E291" s="3" t="str">
        <x:v>../../2025/jama.2025.4390/joi250019supp3_prod_1749674951.30054.pdf#page=37</x:v>
      </x:c>
    </x:row>
    <x:row r="292" ht="90" customHeight="1">
      <x:c r="A292" s="6" t="str">
        <x:v>2025::jama.2025.4390::C003</x:v>
      </x:c>
      <x:c r="B292" s="6" t="str">
        <x:v>sourceLinks</x:v>
      </x:c>
      <x:c r="C292" s="6" t="n">
        <x:v>1</x:v>
      </x:c>
      <x:c r="D292" s="6" t="str">
        <x:v>joi250019supp3_prod_1749674951.30054.pdf — eTable 3, PDF p. 29</x:v>
      </x:c>
      <x:c r="E292" s="6" t="str">
        <x:v>../../2025/jama.2025.4390/joi250019supp3_prod_1749674951.30054.pdf#page=29</x:v>
      </x:c>
    </x:row>
    <x:row r="293" ht="90" customHeight="1">
      <x:c r="A293" s="3" t="str">
        <x:v>2025::jama.2025.7583::C001</x:v>
      </x:c>
      <x:c r="B293" s="3" t="str">
        <x:v>sourceLinks</x:v>
      </x:c>
      <x:c r="C293" s="3" t="n">
        <x:v>0</x:v>
      </x:c>
      <x:c r="D293" s="3" t="str">
        <x:v>Main article — PDF p. 3</x:v>
      </x:c>
      <x:c r="E293" s="3" t="str">
        <x:v>../../2025/jama.2025.7583/jama_shotar_2025_oi_250033_1750956987.75881.pdf#page=3</x:v>
      </x:c>
    </x:row>
    <x:row r="294" ht="90" customHeight="1">
      <x:c r="A294" s="6" t="str">
        <x:v>2025::jama.2025.7583::C001</x:v>
      </x:c>
      <x:c r="B294" s="6" t="str">
        <x:v>sourceLinks</x:v>
      </x:c>
      <x:c r="C294" s="6" t="n">
        <x:v>1</x:v>
      </x:c>
      <x:c r="D294" s="6" t="str">
        <x:v>protocol — PDF p. 7</x:v>
      </x:c>
      <x:c r="E294" s="6" t="str">
        <x:v>../../2025/jama.2025.7583/joi250033supp1_prod_1750956987.76581.pdf#page=7</x:v>
      </x:c>
    </x:row>
    <x:row r="295" ht="90" customHeight="1">
      <x:c r="A295" s="3" t="str">
        <x:v>2025::jama.2025.7583::C001</x:v>
      </x:c>
      <x:c r="B295" s="3" t="str">
        <x:v>sourceLinks</x:v>
      </x:c>
      <x:c r="C295" s="3" t="n">
        <x:v>2</x:v>
      </x:c>
      <x:c r="D295" s="3" t="str">
        <x:v>protocol — PDF p. 16</x:v>
      </x:c>
      <x:c r="E295" s="3" t="str">
        <x:v>../../2025/jama.2025.7583/joi250033supp1_prod_1750956987.76581.pdf#page=16</x:v>
      </x:c>
    </x:row>
    <x:row r="296" ht="90" customHeight="1">
      <x:c r="A296" s="6" t="str">
        <x:v>2025::jama.2025.7583::C001</x:v>
      </x:c>
      <x:c r="B296" s="6" t="str">
        <x:v>sourceLinks</x:v>
      </x:c>
      <x:c r="C296" s="6" t="n">
        <x:v>3</x:v>
      </x:c>
      <x:c r="D296" s="6" t="str">
        <x:v>results supplement — PDF p. 15</x:v>
      </x:c>
      <x:c r="E296" s="6" t="str">
        <x:v>../../2025/jama.2025.7583/joi250033supp4_prod_1750956987.77981.pdf#page=15</x:v>
      </x:c>
    </x:row>
    <x:row r="297" ht="90" customHeight="1">
      <x:c r="A297" s="3" t="str">
        <x:v>2025::jama.2025.7583::C001</x:v>
      </x:c>
      <x:c r="B297" s="3" t="str">
        <x:v>sourceLinks</x:v>
      </x:c>
      <x:c r="C297" s="3" t="n">
        <x:v>4</x:v>
      </x:c>
      <x:c r="D297" s="3" t="str">
        <x:v>SAP — PDF p. 3</x:v>
      </x:c>
      <x:c r="E297" s="3" t="str">
        <x:v>../../2025/jama.2025.7583/joi250033supp5_prod_1750956987.78281.pdf#page=3</x:v>
      </x:c>
    </x:row>
    <x:row r="298" ht="90" customHeight="1">
      <x:c r="A298" s="6" t="str">
        <x:v>2025::jama.2025.7583::C001</x:v>
      </x:c>
      <x:c r="B298" s="6" t="str">
        <x:v>evidencePaths</x:v>
      </x:c>
      <x:c r="C298" s="6" t="n">
        <x:v>0</x:v>
      </x:c>
      <x:c r="D298" s="6" t="str">
        <x:v>2025/jama.2025.7583/.ai_paper_validation/review_1_5_1/verification/evidence_recheck.md</x:v>
      </x:c>
      <x:c r="E298" s="6" t="str">
        <x:v>../../2025/jama.2025.7583/.ai_paper_validation/review_1_5_1/verification/evidence_recheck.md</x:v>
      </x:c>
    </x:row>
    <x:row r="299" ht="90" customHeight="1">
      <x:c r="A299" s="3" t="str">
        <x:v>2025::jama.2025.7583::C002</x:v>
      </x:c>
      <x:c r="B299" s="3" t="str">
        <x:v>sourceLinks</x:v>
      </x:c>
      <x:c r="C299" s="3" t="n">
        <x:v>0</x:v>
      </x:c>
      <x:c r="D299" s="3" t="str">
        <x:v>Protocol — PDF p. 50</x:v>
      </x:c>
      <x:c r="E299" s="3" t="str">
        <x:v>../../2025/jama.2025.7583/joi250033supp1_prod_1750956987.76581.pdf#page=50</x:v>
      </x:c>
    </x:row>
    <x:row r="300" ht="90" customHeight="1">
      <x:c r="A300" s="6" t="str">
        <x:v>2025::jama.2025.7583::C002</x:v>
      </x:c>
      <x:c r="B300" s="6" t="str">
        <x:v>sourceLinks</x:v>
      </x:c>
      <x:c r="C300" s="6" t="n">
        <x:v>1</x:v>
      </x:c>
      <x:c r="D300" s="6" t="str">
        <x:v>SAP — PDF p. 4</x:v>
      </x:c>
      <x:c r="E300" s="6" t="str">
        <x:v>../../2025/jama.2025.7583/joi250033supp5_prod_1750956987.78281.pdf#page=4</x:v>
      </x:c>
    </x:row>
    <x:row r="301" ht="90" customHeight="1">
      <x:c r="A301" s="3" t="str">
        <x:v>2025::jama.2025.7583::C002</x:v>
      </x:c>
      <x:c r="B301" s="3" t="str">
        <x:v>sourceLinks</x:v>
      </x:c>
      <x:c r="C301" s="3" t="n">
        <x:v>2</x:v>
      </x:c>
      <x:c r="D301" s="3" t="str">
        <x:v>SAP — PDF p. 5</x:v>
      </x:c>
      <x:c r="E301" s="3" t="str">
        <x:v>../../2025/jama.2025.7583/joi250033supp5_prod_1750956987.78281.pdf#page=5</x:v>
      </x:c>
    </x:row>
    <x:row r="302" ht="90" customHeight="1">
      <x:c r="A302" s="6" t="str">
        <x:v>2025::jama.2025.7583::C002</x:v>
      </x:c>
      <x:c r="B302" s="6" t="str">
        <x:v>sourceLinks</x:v>
      </x:c>
      <x:c r="C302" s="6" t="n">
        <x:v>3</x:v>
      </x:c>
      <x:c r="D302" s="6" t="str">
        <x:v>main article — PDF p. 3</x:v>
      </x:c>
      <x:c r="E302" s="6" t="str">
        <x:v>../../2025/jama.2025.7583/jama_shotar_2025_oi_250033_1750956987.75881.pdf#page=3</x:v>
      </x:c>
    </x:row>
    <x:row r="303" ht="90" customHeight="1">
      <x:c r="A303" s="3" t="str">
        <x:v>2025::jama.2025.7583::C002</x:v>
      </x:c>
      <x:c r="B303" s="3" t="str">
        <x:v>evidencePaths</x:v>
      </x:c>
      <x:c r="C303" s="3" t="n">
        <x:v>0</x:v>
      </x:c>
      <x:c r="D303" s="3" t="str">
        <x:v>2025/jama.2025.7583/.ai_paper_validation/review_1_5_1/verification/evidence_recheck.md</x:v>
      </x:c>
      <x:c r="E303" s="3" t="str">
        <x:v>../../2025/jama.2025.7583/.ai_paper_validation/review_1_5_1/verification/evidence_recheck.md</x:v>
      </x:c>
    </x:row>
    <x:row r="304" ht="90" customHeight="1">
      <x:c r="A304" s="6" t="str">
        <x:v>2025::jama.2025.7583::C003</x:v>
      </x:c>
      <x:c r="B304" s="6" t="str">
        <x:v>sourceLinks</x:v>
      </x:c>
      <x:c r="C304" s="6" t="n">
        <x:v>0</x:v>
      </x:c>
      <x:c r="D304" s="6" t="str">
        <x:v>Main article — PDF p. 5</x:v>
      </x:c>
      <x:c r="E304" s="6" t="str">
        <x:v>../../2025/jama.2025.7583/jama_shotar_2025_oi_250033_1750956987.75881.pdf#page=5</x:v>
      </x:c>
    </x:row>
    <x:row r="305" ht="90" customHeight="1">
      <x:c r="A305" s="3" t="str">
        <x:v>2025::jama.2025.7583::C003</x:v>
      </x:c>
      <x:c r="B305" s="3" t="str">
        <x:v>evidencePaths</x:v>
      </x:c>
      <x:c r="C305" s="3" t="n">
        <x:v>0</x:v>
      </x:c>
      <x:c r="D305" s="3" t="str">
        <x:v>2025/jama.2025.7583/.ai_paper_validation/review_1_5_1/verification/evidence_recheck.md</x:v>
      </x:c>
      <x:c r="E305" s="3" t="str">
        <x:v>../../2025/jama.2025.7583/.ai_paper_validation/review_1_5_1/verification/evidence_recheck.md</x:v>
      </x:c>
    </x:row>
    <x:row r="306" ht="90" customHeight="1">
      <x:c r="A306" s="6" t="str">
        <x:v>2025::jama.2025.7710::C001</x:v>
      </x:c>
      <x:c r="B306" s="6" t="str">
        <x:v>sourceLinks</x:v>
      </x:c>
      <x:c r="C306" s="6" t="n">
        <x:v>0</x:v>
      </x:c>
      <x:c r="D306" s="6" t="str">
        <x:v>joi250034supp1_prod_1750956984.09018.pdf — PDF p. 16, section 7.2.3</x:v>
      </x:c>
      <x:c r="E306" s="6" t="str">
        <x:v>../../2025/jama.2025.7710/joi250034supp1_prod_1750956984.09018.pdf#page=16</x:v>
      </x:c>
    </x:row>
    <x:row r="307" ht="90" customHeight="1">
      <x:c r="A307" s="3" t="str">
        <x:v>2025::jama.2025.7710::C001</x:v>
      </x:c>
      <x:c r="B307" s="3" t="str">
        <x:v>sourceLinks</x:v>
      </x:c>
      <x:c r="C307" s="3" t="n">
        <x:v>1</x:v>
      </x:c>
      <x:c r="D307" s="3" t="str">
        <x:v>joi250034supp1_prod_1750956984.09018.pdf — PDF p. 17, section 8.2</x:v>
      </x:c>
      <x:c r="E307" s="3" t="str">
        <x:v>../../2025/jama.2025.7710/joi250034supp1_prod_1750956984.09018.pdf#page=17</x:v>
      </x:c>
    </x:row>
    <x:row r="308" ht="90" customHeight="1">
      <x:c r="A308" s="6" t="str">
        <x:v>2025::jama.2025.7710::C002</x:v>
      </x:c>
      <x:c r="B308" s="6" t="str">
        <x:v>sourceLinks</x:v>
      </x:c>
      <x:c r="C308" s="6" t="n">
        <x:v>0</x:v>
      </x:c>
      <x:c r="D308" s="6" t="str">
        <x:v>joi250034supp1_prod_1750956984.09018.pdf — PDF p. 15, section 7.1</x:v>
      </x:c>
      <x:c r="E308" s="6" t="str">
        <x:v>../../2025/jama.2025.7710/joi250034supp1_prod_1750956984.09018.pdf#page=15</x:v>
      </x:c>
    </x:row>
    <x:row r="309" ht="90" customHeight="1">
      <x:c r="A309" s="3" t="str">
        <x:v>2025::jama.2025.7710::C002</x:v>
      </x:c>
      <x:c r="B309" s="3" t="str">
        <x:v>sourceLinks</x:v>
      </x:c>
      <x:c r="C309" s="3" t="n">
        <x:v>1</x:v>
      </x:c>
      <x:c r="D309" s="3" t="str">
        <x:v>joi250034supp1_prod_1750956984.09018.pdf — PDF p. 16, section 7.2.1</x:v>
      </x:c>
      <x:c r="E309" s="3" t="str">
        <x:v>../../2025/jama.2025.7710/joi250034supp1_prod_1750956984.09018.pdf#page=16</x:v>
      </x:c>
    </x:row>
    <x:row r="310" ht="90" customHeight="1">
      <x:c r="A310" s="6" t="str">
        <x:v>2025::jama.2025.7710::C003</x:v>
      </x:c>
      <x:c r="B310" s="6" t="str">
        <x:v>sourceLinks</x:v>
      </x:c>
      <x:c r="C310" s="6" t="n">
        <x:v>0</x:v>
      </x:c>
      <x:c r="D310" s="6" t="str">
        <x:v>joi250034supp1_prod_1750956984.09018.pdf — PDF p. 5, synopsis and schema</x:v>
      </x:c>
      <x:c r="E310" s="6" t="str">
        <x:v>../../2025/jama.2025.7710/joi250034supp1_prod_1750956984.09018.pdf#page=5</x:v>
      </x:c>
    </x:row>
    <x:row r="311" ht="90" customHeight="1">
      <x:c r="A311" s="3" t="str">
        <x:v>2025::jama.2025.7710::C003</x:v>
      </x:c>
      <x:c r="B311" s="3" t="str">
        <x:v>sourceLinks</x:v>
      </x:c>
      <x:c r="C311" s="3" t="n">
        <x:v>1</x:v>
      </x:c>
      <x:c r="D311" s="3" t="str">
        <x:v>joi250034supp1_prod_1750956984.09018.pdf — PDF p. 16, section 7.2.3</x:v>
      </x:c>
      <x:c r="E311" s="3" t="str">
        <x:v>../../2025/jama.2025.7710/joi250034supp1_prod_1750956984.09018.pdf#page=16</x:v>
      </x:c>
    </x:row>
    <x:row r="312" ht="90" customHeight="1">
      <x:c r="A312" s="6" t="str">
        <x:v>2025::jama.2025.7710::C003</x:v>
      </x:c>
      <x:c r="B312" s="6" t="str">
        <x:v>sourceLinks</x:v>
      </x:c>
      <x:c r="C312" s="6" t="n">
        <x:v>2</x:v>
      </x:c>
      <x:c r="D312" s="6" t="str">
        <x:v>joi250034supp1_prod_1750956984.09018.pdf — PDF p. 17, section 8.2</x:v>
      </x:c>
      <x:c r="E312" s="6" t="str">
        <x:v>../../2025/jama.2025.7710/joi250034supp1_prod_1750956984.09018.pdf#page=17</x:v>
      </x:c>
    </x:row>
    <x:row r="313" ht="90" customHeight="1">
      <x:c r="A313" s="3" t="str">
        <x:v>2025::jama.2025.7710::C004</x:v>
      </x:c>
      <x:c r="B313" s="3" t="str">
        <x:v>sourceLinks</x:v>
      </x:c>
      <x:c r="C313" s="3" t="n">
        <x:v>0</x:v>
      </x:c>
      <x:c r="D313" s="3" t="str">
        <x:v>jama_kumar_2025_oi_250034_1750956984.08518.pdf — PDF p. 4, Statistical Analysis</x:v>
      </x:c>
      <x:c r="E313" s="3" t="str">
        <x:v>../../2025/jama.2025.7710/jama_kumar_2025_oi_250034_1750956984.08518.pdf#page=4</x:v>
      </x:c>
    </x:row>
    <x:row r="314" ht="90" customHeight="1">
      <x:c r="A314" s="6" t="str">
        <x:v>2025::jama.2025.7710::C004</x:v>
      </x:c>
      <x:c r="B314" s="6" t="str">
        <x:v>sourceLinks</x:v>
      </x:c>
      <x:c r="C314" s="6" t="n">
        <x:v>1</x:v>
      </x:c>
      <x:c r="D314" s="6" t="str">
        <x:v>jama_kumar_2025_oi_250034_1750956984.08518.pdf — PDF p. 7, Table 3</x:v>
      </x:c>
      <x:c r="E314" s="6" t="str">
        <x:v>../../2025/jama.2025.7710/jama_kumar_2025_oi_250034_1750956984.08518.pdf#page=7</x:v>
      </x:c>
    </x:row>
    <x:row r="315" ht="90" customHeight="1">
      <x:c r="A315" s="3" t="str">
        <x:v>2025::jama.2025.7710::C004</x:v>
      </x:c>
      <x:c r="B315" s="3" t="str">
        <x:v>sourceLinks</x:v>
      </x:c>
      <x:c r="C315" s="3" t="n">
        <x:v>2</x:v>
      </x:c>
      <x:c r="D315" s="3" t="str">
        <x:v>joi250034supp1_prod_1750956984.09018.pdf — PDF p. 20, section 13.2</x:v>
      </x:c>
      <x:c r="E315" s="3" t="str">
        <x:v>../../2025/jama.2025.7710/joi250034supp1_prod_1750956984.09018.pdf#page=20</x:v>
      </x:c>
    </x:row>
    <x:row r="316" ht="90" customHeight="1">
      <x:c r="A316" s="6" t="str">
        <x:v>2025::jama.2025.7710::C004</x:v>
      </x:c>
      <x:c r="B316" s="6" t="str">
        <x:v>sourceLinks</x:v>
      </x:c>
      <x:c r="C316" s="6" t="n">
        <x:v>3</x:v>
      </x:c>
      <x:c r="D316" s="6" t="str">
        <x:v>joi250034supp2_prod_1750956984.11521.pdf — PDF p. 12, section 3.2</x:v>
      </x:c>
      <x:c r="E316" s="6" t="str">
        <x:v>../../2025/jama.2025.7710/joi250034supp2_prod_1750956984.11521.pdf#page=12</x:v>
      </x:c>
    </x:row>
    <x:row r="317" ht="90" customHeight="1">
      <x:c r="A317" s="3" t="str">
        <x:v>2025::jama.2025.7710::C004</x:v>
      </x:c>
      <x:c r="B317" s="3" t="str">
        <x:v>sourceLinks</x:v>
      </x:c>
      <x:c r="C317" s="3" t="n">
        <x:v>4</x:v>
      </x:c>
      <x:c r="D317" s="3" t="str">
        <x:v>joi250034supp2_prod_1750956984.11521.pdf — PDF p. 25, proposed Table 11</x:v>
      </x:c>
      <x:c r="E317" s="3" t="str">
        <x:v>../../2025/jama.2025.7710/joi250034supp2_prod_1750956984.11521.pdf#page=25</x:v>
      </x:c>
    </x:row>
    <x:row r="318" ht="90" customHeight="1">
      <x:c r="A318" s="6" t="str">
        <x:v>2025::jama.2025.7710::C004</x:v>
      </x:c>
      <x:c r="B318" s="6" t="str">
        <x:v>evidencePaths</x:v>
      </x:c>
      <x:c r="C318" s="6" t="n">
        <x:v>0</x:v>
      </x:c>
      <x:c r="D318" s="6" t="str">
        <x:v>2025/jama.2025.7710/.ai_paper_validation/review_1_5_1/verification/evidence_recheck.md</x:v>
      </x:c>
      <x:c r="E318" s="6" t="str">
        <x:v>../../2025/jama.2025.7710/.ai_paper_validation/review_1_5_1/verification/evidence_recheck.md</x:v>
      </x:c>
    </x:row>
    <x:row r="319" ht="90" customHeight="1">
      <x:c r="A319" s="3" t="str">
        <x:v>2025::jama.2025.9110::C001</x:v>
      </x:c>
      <x:c r="B319" s="3" t="str">
        <x:v>sourceLinks</x:v>
      </x:c>
      <x:c r="C319" s="3" t="n">
        <x:v>0</x:v>
      </x:c>
      <x:c r="D319" s="3" t="str">
        <x:v>Main article — PDF p. 7</x:v>
      </x:c>
      <x:c r="E319" s="3" t="str">
        <x:v>../../2025/jama.2025.9110/jama_summers_2025_oi_250040_1753124024.36498.pdf#page=7</x:v>
      </x:c>
    </x:row>
    <x:row r="320" ht="90" customHeight="1">
      <x:c r="A320" s="6" t="str">
        <x:v>2025::jama.2025.9110::C001</x:v>
      </x:c>
      <x:c r="B320" s="6" t="str">
        <x:v>sourceLinks</x:v>
      </x:c>
      <x:c r="C320" s="6" t="n">
        <x:v>1</x:v>
      </x:c>
      <x:c r="D320" s="6" t="str">
        <x:v>main article — PDF p. 1</x:v>
      </x:c>
      <x:c r="E320" s="6" t="str">
        <x:v>../../2025/jama.2025.9110/jama_summers_2025_oi_250040_1753124024.36498.pdf#page=1</x:v>
      </x:c>
    </x:row>
    <x:row r="321" ht="90" customHeight="1">
      <x:c r="A321" s="3" t="str">
        <x:v>2025::jama.2025.9110::C001</x:v>
      </x:c>
      <x:c r="B321" s="3" t="str">
        <x:v>sourceLinks</x:v>
      </x:c>
      <x:c r="C321" s="3" t="n">
        <x:v>2</x:v>
      </x:c>
      <x:c r="D321" s="3" t="str">
        <x:v>Results Supplement — PDF p. 18</x:v>
      </x:c>
      <x:c r="E321" s="3" t="str">
        <x:v>../../2025/jama.2025.9110/joi250040supp3_prod_1753124024.38098.pdf#page=18</x:v>
      </x:c>
    </x:row>
    <x:row r="322" ht="90" customHeight="1">
      <x:c r="A322" s="6" t="str">
        <x:v>2025::jama.2025.9110::C002</x:v>
      </x:c>
      <x:c r="B322" s="6" t="str">
        <x:v>sourceLinks</x:v>
      </x:c>
      <x:c r="C322" s="6" t="n">
        <x:v>0</x:v>
      </x:c>
      <x:c r="D322" s="6" t="str">
        <x:v>Results Supplement — PDF p. 18</x:v>
      </x:c>
      <x:c r="E322" s="6" t="str">
        <x:v>../../2025/jama.2025.9110/joi250040supp3_prod_1753124024.38098.pdf#page=18</x:v>
      </x:c>
    </x:row>
    <x:row r="323" ht="90" customHeight="1">
      <x:c r="A323" s="3" t="str">
        <x:v>2025::jama.2025.9110::C003</x:v>
      </x:c>
      <x:c r="B323" s="3" t="str">
        <x:v>sourceLinks</x:v>
      </x:c>
      <x:c r="C323" s="3" t="n">
        <x:v>0</x:v>
      </x:c>
      <x:c r="D323" s="3" t="str">
        <x:v>Main article — PDF p. 7</x:v>
      </x:c>
      <x:c r="E323" s="3" t="str">
        <x:v>../../2025/jama.2025.9110/jama_summers_2025_oi_250040_1753124024.36498.pdf#page=7</x:v>
      </x:c>
    </x:row>
    <x:row r="324" ht="90" customHeight="1">
      <x:c r="A324" s="6" t="str">
        <x:v>2025::jama.2025.9110::C003</x:v>
      </x:c>
      <x:c r="B324" s="6" t="str">
        <x:v>sourceLinks</x:v>
      </x:c>
      <x:c r="C324" s="6" t="n">
        <x:v>1</x:v>
      </x:c>
      <x:c r="D324" s="6" t="str">
        <x:v>Results Supplement — PDF p. 5</x:v>
      </x:c>
      <x:c r="E324" s="6" t="str">
        <x:v>../../2025/jama.2025.9110/joi250040supp3_prod_1753124024.38098.pdf#page=5</x:v>
      </x:c>
    </x:row>
    <x:row r="325" ht="90" customHeight="1">
      <x:c r="A325" s="3" t="str">
        <x:v>2025::jama.2025.9110::C003</x:v>
      </x:c>
      <x:c r="B325" s="3" t="str">
        <x:v>sourceLinks</x:v>
      </x:c>
      <x:c r="C325" s="3" t="n">
        <x:v>2</x:v>
      </x:c>
      <x:c r="D325" s="3" t="str">
        <x:v>Results Supplement — PDF p. 27</x:v>
      </x:c>
      <x:c r="E325" s="3" t="str">
        <x:v>../../2025/jama.2025.9110/joi250040supp3_prod_1753124024.38098.pdf#page=27</x:v>
      </x:c>
    </x:row>
    <x:row r="326" ht="90" customHeight="1">
      <x:c r="A326" s="6" t="str">
        <x:v>2025::jama.2025.9110::C004</x:v>
      </x:c>
      <x:c r="B326" s="6" t="str">
        <x:v>sourceLinks</x:v>
      </x:c>
      <x:c r="C326" s="6" t="n">
        <x:v>0</x:v>
      </x:c>
      <x:c r="D326" s="6" t="str">
        <x:v>Main article Results — PDF p. 5</x:v>
      </x:c>
      <x:c r="E326" s="6" t="str">
        <x:v>../../2025/jama.2025.9110/jama_summers_2025_oi_250040_1753124024.36498.pdf#page=5</x:v>
      </x:c>
    </x:row>
    <x:row r="327" ht="90" customHeight="1">
      <x:c r="A327" s="3" t="str">
        <x:v>2025::jama.2025.9110::C004</x:v>
      </x:c>
      <x:c r="B327" s="3" t="str">
        <x:v>sourceLinks</x:v>
      </x:c>
      <x:c r="C327" s="3" t="n">
        <x:v>1</x:v>
      </x:c>
      <x:c r="D327" s="3" t="str">
        <x:v>main article Discussion — PDF p. 8</x:v>
      </x:c>
      <x:c r="E327" s="3" t="str">
        <x:v>../../2025/jama.2025.9110/jama_summers_2025_oi_250040_1753124024.36498.pdf#page=8</x:v>
      </x:c>
    </x:row>
    <x:row r="328" ht="90" customHeight="1">
      <x:c r="A328" s="6" t="str">
        <x:v>2025::jama.2025.9110::C005</x:v>
      </x:c>
      <x:c r="B328" s="6" t="str">
        <x:v>sourceLinks</x:v>
      </x:c>
      <x:c r="C328" s="6" t="n">
        <x:v>0</x:v>
      </x:c>
      <x:c r="D328" s="6" t="str">
        <x:v>Results Supplement — PDF p. 18</x:v>
      </x:c>
      <x:c r="E328" s="6" t="str">
        <x:v>../../2025/jama.2025.9110/joi250040supp3_prod_1753124024.38098.pdf#page=18</x:v>
      </x:c>
    </x:row>
    <x:row r="329" ht="90" customHeight="1">
      <x:c r="A329" s="3" t="str">
        <x:v>2025::jama.2025.9110::C006</x:v>
      </x:c>
      <x:c r="B329" s="3" t="str">
        <x:v>sourceLinks</x:v>
      </x:c>
      <x:c r="C329" s="3" t="n">
        <x:v>0</x:v>
      </x:c>
      <x:c r="D329" s="3" t="str">
        <x:v>Results Supplement — PDF p. 18</x:v>
      </x:c>
      <x:c r="E329" s="3" t="str">
        <x:v>../../2025/jama.2025.9110/joi250040supp3_prod_1753124024.38098.pdf#page=18</x:v>
      </x:c>
    </x:row>
    <x:row r="330" ht="90" customHeight="1">
      <x:c r="A330" s="6" t="str">
        <x:v>2025::jama.2025.9663::C001</x:v>
      </x:c>
      <x:c r="B330" s="6" t="str">
        <x:v>sourceLinks</x:v>
      </x:c>
      <x:c r="C330" s="6" t="n">
        <x:v>0</x:v>
      </x:c>
      <x:c r="D330" s="6" t="str">
        <x:v>jama_martin_2025_oi_250042_1753377747.91025.pdf — PDF p. 6 (printed article p. 403), Oxygen Exposure paragraph</x:v>
      </x:c>
      <x:c r="E330" s="6" t="str">
        <x:v>../../2025/jama.2025.9663/jama_martin_2025_oi_250042_1753377747.91025.pdf#page=6</x:v>
      </x:c>
    </x:row>
    <x:row r="331" ht="90" customHeight="1">
      <x:c r="A331" s="3" t="str">
        <x:v>2025::jama.2025.9663::C001</x:v>
      </x:c>
      <x:c r="B331" s="3" t="str">
        <x:v>sourceLinks</x:v>
      </x:c>
      <x:c r="C331" s="3" t="n">
        <x:v>1</x:v>
      </x:c>
      <x:c r="D331" s="3" t="str">
        <x:v>joi250042supp2_prod_1753377747.93025.pdf — PDF p. 21, eTable 5</x:v>
      </x:c>
      <x:c r="E331" s="3" t="str">
        <x:v>../../2025/jama.2025.9663/joi250042supp2_prod_1753377747.93025.pdf#page=21</x:v>
      </x:c>
    </x:row>
    <x:row r="332" ht="90" customHeight="1">
      <x:c r="A332" s="6" t="str">
        <x:v>2025::jama.2025.9663::C002</x:v>
      </x:c>
      <x:c r="B332" s="6" t="str">
        <x:v>sourceLinks</x:v>
      </x:c>
      <x:c r="C332" s="6" t="n">
        <x:v>0</x:v>
      </x:c>
      <x:c r="D332" s="6" t="str">
        <x:v>joi250042supp2_prod_1753377747.93025.pdf — PDF p. 1, contents</x:v>
      </x:c>
      <x:c r="E332" s="6" t="str">
        <x:v>../../2025/jama.2025.9663/joi250042supp2_prod_1753377747.93025.pdf#page=1</x:v>
      </x:c>
    </x:row>
    <x:row r="333" ht="90" customHeight="1">
      <x:c r="A333" s="3" t="str">
        <x:v>2025::jama.2025.9663::C002</x:v>
      </x:c>
      <x:c r="B333" s="3" t="str">
        <x:v>sourceLinks</x:v>
      </x:c>
      <x:c r="C333" s="3" t="n">
        <x:v>1</x:v>
      </x:c>
      <x:c r="D333" s="3" t="str">
        <x:v>eTable 1 — PDF p. 15</x:v>
      </x:c>
      <x:c r="E333" s="3" t="str">
        <x:v>../../2025/jama.2025.9663/joi250042supp2_prod_1753377747.93025.pdf#page=15</x:v>
      </x:c>
    </x:row>
    <x:row r="334" ht="90" customHeight="1">
      <x:c r="A334" s="6" t="str">
        <x:v>2025::jama.2025.9663::C002</x:v>
      </x:c>
      <x:c r="B334" s="6" t="str">
        <x:v>sourceLinks</x:v>
      </x:c>
      <x:c r="C334" s="6" t="n">
        <x:v>2</x:v>
      </x:c>
      <x:c r="D334" s="6" t="str">
        <x:v>eTable 2 — PDF p. 17</x:v>
      </x:c>
      <x:c r="E334" s="6" t="str">
        <x:v>../../2025/jama.2025.9663/joi250042supp2_prod_1753377747.93025.pdf#page=17</x:v>
      </x:c>
    </x:row>
    <x:row r="335" ht="90" customHeight="1">
      <x:c r="A335" s="3" t="str">
        <x:v>2025::jama.2025.9663::C002</x:v>
      </x:c>
      <x:c r="B335" s="3" t="str">
        <x:v>sourceLinks</x:v>
      </x:c>
      <x:c r="C335" s="3" t="n">
        <x:v>3</x:v>
      </x:c>
      <x:c r="D335" s="3" t="str">
        <x:v>eTable 3 — PDF p. 18</x:v>
      </x:c>
      <x:c r="E335" s="3" t="str">
        <x:v>../../2025/jama.2025.9663/joi250042supp2_prod_1753377747.93025.pdf#page=18</x:v>
      </x:c>
    </x:row>
    <x:row r="336" ht="90" customHeight="1">
      <x:c r="A336" s="6" t="str">
        <x:v>2025::jama.2025.9663::C002</x:v>
      </x:c>
      <x:c r="B336" s="6" t="str">
        <x:v>sourceLinks</x:v>
      </x:c>
      <x:c r="C336" s="6" t="n">
        <x:v>4</x:v>
      </x:c>
      <x:c r="D336" s="6" t="str">
        <x:v>eTable 4 — PDF p. 19</x:v>
      </x:c>
      <x:c r="E336" s="6" t="str">
        <x:v>../../2025/jama.2025.9663/joi250042supp2_prod_1753377747.93025.pdf#page=19</x:v>
      </x:c>
    </x:row>
    <x:row r="337" ht="90" customHeight="1">
      <x:c r="A337" s="3" t="str">
        <x:v>2025::jama.2025.9663::C003</x:v>
      </x:c>
      <x:c r="B337" s="3" t="str">
        <x:v>sourceLinks</x:v>
      </x:c>
      <x:c r="C337" s="3" t="n">
        <x:v>0</x:v>
      </x:c>
      <x:c r="D337" s="3" t="str">
        <x:v>joi250042supp1_prod_1753377747.92525.pdf — PDF p. 118 (SAP p. 8), section 2.5 and Table 1</x:v>
      </x:c>
      <x:c r="E337" s="3" t="str">
        <x:v>../../2025/jama.2025.9663/joi250042supp1_prod_1753377747.92525.pdf#page=118</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2025::jama.2024.24764::C001</x:v>
      </x:c>
      <x:c r="B2" s="6" t="str">
        <x:v>relations</x:v>
      </x:c>
      <x:c r="C2" s="6" t="n">
        <x:v>0</x:v>
      </x:c>
      <x:c r="D2" s="6" t="str">
        <x:v>S_W</x:v>
      </x:c>
    </x:row>
    <x:row r="3" ht="90" customHeight="1">
      <x:c r="A3" s="3" t="str">
        <x:v>2025::jama.2024.24764::C002</x:v>
      </x:c>
      <x:c r="B3" s="3" t="str">
        <x:v>relations</x:v>
      </x:c>
      <x:c r="C3" s="3" t="n">
        <x:v>0</x:v>
      </x:c>
      <x:c r="D3" s="3" t="str">
        <x:v>S_W</x:v>
      </x:c>
    </x:row>
    <x:row r="4" ht="90" customHeight="1">
      <x:c r="A4" s="6" t="str">
        <x:v>2025::jama.2024.24764::C003</x:v>
      </x:c>
      <x:c r="B4" s="6" t="str">
        <x:v>relations</x:v>
      </x:c>
      <x:c r="C4" s="6" t="n">
        <x:v>0</x:v>
      </x:c>
      <x:c r="D4" s="6" t="str">
        <x:v>S_W</x:v>
      </x:c>
    </x:row>
    <x:row r="5" ht="90" customHeight="1">
      <x:c r="A5" s="3" t="str">
        <x:v>2025::jama.2024.24764::C004</x:v>
      </x:c>
      <x:c r="B5" s="3" t="str">
        <x:v>relations</x:v>
      </x:c>
      <x:c r="C5" s="3" t="n">
        <x:v>0</x:v>
      </x:c>
      <x:c r="D5" s="3" t="str">
        <x:v>S_W</x:v>
      </x:c>
    </x:row>
    <x:row r="6" ht="90" customHeight="1">
      <x:c r="A6" s="6" t="str">
        <x:v>2025::jama.2024.24764::C005</x:v>
      </x:c>
      <x:c r="B6" s="6" t="str">
        <x:v>relations</x:v>
      </x:c>
      <x:c r="C6" s="6" t="n">
        <x:v>0</x:v>
      </x:c>
      <x:c r="D6" s="6" t="str">
        <x:v>S_W</x:v>
      </x:c>
    </x:row>
    <x:row r="7" ht="90" customHeight="1">
      <x:c r="A7" s="3" t="str">
        <x:v>2025::jama.2024.24764::C006</x:v>
      </x:c>
      <x:c r="B7" s="3" t="str">
        <x:v>relations</x:v>
      </x:c>
      <x:c r="C7" s="3" t="n">
        <x:v>0</x:v>
      </x:c>
      <x:c r="D7" s="3" t="str">
        <x:v>P_R</x:v>
      </x:c>
    </x:row>
    <x:row r="8" ht="90" customHeight="1">
      <x:c r="A8" s="6" t="str">
        <x:v>2025::jama.2024.24764::C007</x:v>
      </x:c>
      <x:c r="B8" s="6" t="str">
        <x:v>relations</x:v>
      </x:c>
      <x:c r="C8" s="6" t="n">
        <x:v>0</x:v>
      </x:c>
      <x:c r="D8" s="6" t="str">
        <x:v>P_R</x:v>
      </x:c>
    </x:row>
    <x:row r="9" ht="90" customHeight="1">
      <x:c r="A9" s="3" t="str">
        <x:v>2025::jama.2024.24764::C008</x:v>
      </x:c>
      <x:c r="B9" s="3" t="str">
        <x:v>relations</x:v>
      </x:c>
      <x:c r="C9" s="3" t="n">
        <x:v>0</x:v>
      </x:c>
      <x:c r="D9" s="3" t="str">
        <x:v>P_R</x:v>
      </x:c>
    </x:row>
    <x:row r="10" ht="90" customHeight="1">
      <x:c r="A10" s="6" t="str">
        <x:v>2025::jama.2024.27643::C001</x:v>
      </x:c>
      <x:c r="B10" s="6" t="str">
        <x:v>relations</x:v>
      </x:c>
      <x:c r="C10" s="6" t="n">
        <x:v>0</x:v>
      </x:c>
      <x:c r="D10" s="6" t="str">
        <x:v>S_W</x:v>
      </x:c>
    </x:row>
    <x:row r="11" ht="90" customHeight="1">
      <x:c r="A11" s="3" t="str">
        <x:v>2025::jama.2024.27643::C002</x:v>
      </x:c>
      <x:c r="B11" s="3" t="str">
        <x:v>relations</x:v>
      </x:c>
      <x:c r="C11" s="3" t="n">
        <x:v>0</x:v>
      </x:c>
      <x:c r="D11" s="3" t="str">
        <x:v>S_C</x:v>
      </x:c>
    </x:row>
    <x:row r="12" ht="90" customHeight="1">
      <x:c r="A12" s="6" t="str">
        <x:v>2025::jama.2024.27643::C003</x:v>
      </x:c>
      <x:c r="B12" s="6" t="str">
        <x:v>relations</x:v>
      </x:c>
      <x:c r="C12" s="6" t="n">
        <x:v>0</x:v>
      </x:c>
      <x:c r="D12" s="6" t="str">
        <x:v>S_C</x:v>
      </x:c>
    </x:row>
    <x:row r="13" ht="90" customHeight="1">
      <x:c r="A13" s="3" t="str">
        <x:v>2025::jama.2024.27643::C004</x:v>
      </x:c>
      <x:c r="B13" s="3" t="str">
        <x:v>relations</x:v>
      </x:c>
      <x:c r="C13" s="3" t="n">
        <x:v>0</x:v>
      </x:c>
      <x:c r="D13" s="3" t="str">
        <x:v>S_C</x:v>
      </x:c>
    </x:row>
    <x:row r="14" ht="90" customHeight="1">
      <x:c r="A14" s="6" t="str">
        <x:v>2025::jama.2024.27643::C005</x:v>
      </x:c>
      <x:c r="B14" s="6" t="str">
        <x:v>relations</x:v>
      </x:c>
      <x:c r="C14" s="6" t="n">
        <x:v>0</x:v>
      </x:c>
      <x:c r="D14" s="6" t="str">
        <x:v>S_C</x:v>
      </x:c>
    </x:row>
    <x:row r="15" ht="90" customHeight="1">
      <x:c r="A15" s="3" t="str">
        <x:v>2025::jama.2024.27643::C006</x:v>
      </x:c>
      <x:c r="B15" s="3" t="str">
        <x:v>relations</x:v>
      </x:c>
      <x:c r="C15" s="3" t="n">
        <x:v>0</x:v>
      </x:c>
      <x:c r="D15" s="3" t="str">
        <x:v>S_C</x:v>
      </x:c>
    </x:row>
    <x:row r="16" ht="90" customHeight="1">
      <x:c r="A16" s="6" t="str">
        <x:v>2025::jama.2024.27643::C006</x:v>
      </x:c>
      <x:c r="B16" s="6" t="str">
        <x:v>relations</x:v>
      </x:c>
      <x:c r="C16" s="6" t="n">
        <x:v>1</x:v>
      </x:c>
      <x:c r="D16" s="6" t="str">
        <x:v>S_W</x:v>
      </x:c>
    </x:row>
    <x:row r="17" ht="90" customHeight="1">
      <x:c r="A17" s="3" t="str">
        <x:v>2025::jama.2024.27643::C007</x:v>
      </x:c>
      <x:c r="B17" s="3" t="str">
        <x:v>relations</x:v>
      </x:c>
      <x:c r="C17" s="3" t="n">
        <x:v>0</x:v>
      </x:c>
      <x:c r="D17" s="3" t="str">
        <x:v>S_C</x:v>
      </x:c>
    </x:row>
    <x:row r="18" ht="90" customHeight="1">
      <x:c r="A18" s="6" t="str">
        <x:v>2025::jama.2024.27643::C008</x:v>
      </x:c>
      <x:c r="B18" s="6" t="str">
        <x:v>relations</x:v>
      </x:c>
      <x:c r="C18" s="6" t="n">
        <x:v>0</x:v>
      </x:c>
      <x:c r="D18" s="6" t="str">
        <x:v>S_W</x:v>
      </x:c>
    </x:row>
    <x:row r="19" ht="90" customHeight="1">
      <x:c r="A19" s="3" t="str">
        <x:v>2025::jama.2025.11178::C001</x:v>
      </x:c>
      <x:c r="B19" s="3" t="str">
        <x:v>relations</x:v>
      </x:c>
      <x:c r="C19" s="3" t="n">
        <x:v>0</x:v>
      </x:c>
      <x:c r="D19" s="3" t="str">
        <x:v>S_W</x:v>
      </x:c>
    </x:row>
    <x:row r="20" ht="90" customHeight="1">
      <x:c r="A20" s="6" t="str">
        <x:v>2025::jama.2025.11178::C002</x:v>
      </x:c>
      <x:c r="B20" s="6" t="str">
        <x:v>relations</x:v>
      </x:c>
      <x:c r="C20" s="6" t="n">
        <x:v>0</x:v>
      </x:c>
      <x:c r="D20" s="6" t="str">
        <x:v>S_W</x:v>
      </x:c>
    </x:row>
    <x:row r="21" ht="90" customHeight="1">
      <x:c r="A21" s="3" t="str">
        <x:v>2025::jama.2025.11178::C003</x:v>
      </x:c>
      <x:c r="B21" s="3" t="str">
        <x:v>relations</x:v>
      </x:c>
      <x:c r="C21" s="3" t="n">
        <x:v>0</x:v>
      </x:c>
      <x:c r="D21" s="3" t="str">
        <x:v>S_W</x:v>
      </x:c>
    </x:row>
    <x:row r="22" ht="90" customHeight="1">
      <x:c r="A22" s="6" t="str">
        <x:v>2025::jama.2025.11178::C004</x:v>
      </x:c>
      <x:c r="B22" s="6" t="str">
        <x:v>relations</x:v>
      </x:c>
      <x:c r="C22" s="6" t="n">
        <x:v>0</x:v>
      </x:c>
      <x:c r="D22" s="6" t="str">
        <x:v>S_W</x:v>
      </x:c>
    </x:row>
    <x:row r="23" ht="90" customHeight="1">
      <x:c r="A23" s="3" t="str">
        <x:v>2025::jama.2025.11178::C005</x:v>
      </x:c>
      <x:c r="B23" s="3" t="str">
        <x:v>relations</x:v>
      </x:c>
      <x:c r="C23" s="3" t="n">
        <x:v>0</x:v>
      </x:c>
      <x:c r="D23" s="3" t="str">
        <x:v>S_W</x:v>
      </x:c>
    </x:row>
    <x:row r="24" ht="90" customHeight="1">
      <x:c r="A24" s="6" t="str">
        <x:v>2025::jama.2025.11178::C006</x:v>
      </x:c>
      <x:c r="B24" s="6" t="str">
        <x:v>relations</x:v>
      </x:c>
      <x:c r="C24" s="6" t="n">
        <x:v>0</x:v>
      </x:c>
      <x:c r="D24" s="6" t="str">
        <x:v>S_W</x:v>
      </x:c>
    </x:row>
    <x:row r="25" ht="90" customHeight="1">
      <x:c r="A25" s="3" t="str">
        <x:v>2025::jama.2025.11178::C007</x:v>
      </x:c>
      <x:c r="B25" s="3" t="str">
        <x:v>relations</x:v>
      </x:c>
      <x:c r="C25" s="3" t="n">
        <x:v>0</x:v>
      </x:c>
      <x:c r="D25" s="3" t="str">
        <x:v>S_W</x:v>
      </x:c>
    </x:row>
    <x:row r="26" ht="90" customHeight="1">
      <x:c r="A26" s="6" t="str">
        <x:v>2025::jama.2025.11178::C008</x:v>
      </x:c>
      <x:c r="B26" s="6" t="str">
        <x:v>relations</x:v>
      </x:c>
      <x:c r="C26" s="6" t="n">
        <x:v>0</x:v>
      </x:c>
      <x:c r="D26" s="6" t="str">
        <x:v>S_W</x:v>
      </x:c>
    </x:row>
    <x:row r="27" ht="90" customHeight="1">
      <x:c r="A27" s="3" t="str">
        <x:v>2025::jama.2025.11178::C009</x:v>
      </x:c>
      <x:c r="B27" s="3" t="str">
        <x:v>relations</x:v>
      </x:c>
      <x:c r="C27" s="3" t="n">
        <x:v>0</x:v>
      </x:c>
      <x:c r="D27" s="3" t="str">
        <x:v>S_W</x:v>
      </x:c>
    </x:row>
    <x:row r="28" ht="90" customHeight="1">
      <x:c r="A28" s="6" t="str">
        <x:v>2025::jama.2025.11178::C010</x:v>
      </x:c>
      <x:c r="B28" s="6" t="str">
        <x:v>relations</x:v>
      </x:c>
      <x:c r="C28" s="6" t="n">
        <x:v>0</x:v>
      </x:c>
      <x:c r="D28" s="6" t="str">
        <x:v>S_W</x:v>
      </x:c>
    </x:row>
    <x:row r="29" ht="90" customHeight="1">
      <x:c r="A29" s="3" t="str">
        <x:v>2025::jama.2025.11178::C011</x:v>
      </x:c>
      <x:c r="B29" s="3" t="str">
        <x:v>relations</x:v>
      </x:c>
      <x:c r="C29" s="3" t="n">
        <x:v>0</x:v>
      </x:c>
      <x:c r="D29" s="3" t="str">
        <x:v>S_W</x:v>
      </x:c>
    </x:row>
    <x:row r="30" ht="90" customHeight="1">
      <x:c r="A30" s="6" t="str">
        <x:v>2025::jama.2025.11178::C012</x:v>
      </x:c>
      <x:c r="B30" s="6" t="str">
        <x:v>relations</x:v>
      </x:c>
      <x:c r="C30" s="6" t="n">
        <x:v>0</x:v>
      </x:c>
      <x:c r="D30" s="6" t="str">
        <x:v>S_W</x:v>
      </x:c>
    </x:row>
    <x:row r="31" ht="90" customHeight="1">
      <x:c r="A31" s="3" t="str">
        <x:v>2025::jama.2025.11178::C013</x:v>
      </x:c>
      <x:c r="B31" s="3" t="str">
        <x:v>relations</x:v>
      </x:c>
      <x:c r="C31" s="3" t="n">
        <x:v>0</x:v>
      </x:c>
      <x:c r="D31" s="3" t="str">
        <x:v>S_W</x:v>
      </x:c>
    </x:row>
    <x:row r="32" ht="90" customHeight="1">
      <x:c r="A32" s="6" t="str">
        <x:v>2025::jama.2025.11178::C014</x:v>
      </x:c>
      <x:c r="B32" s="6" t="str">
        <x:v>relations</x:v>
      </x:c>
      <x:c r="C32" s="6" t="n">
        <x:v>0</x:v>
      </x:c>
      <x:c r="D32" s="6" t="str">
        <x:v>S_W</x:v>
      </x:c>
    </x:row>
    <x:row r="33" ht="90" customHeight="1">
      <x:c r="A33" s="3" t="str">
        <x:v>2025::jama.2025.11178::C015</x:v>
      </x:c>
      <x:c r="B33" s="3" t="str">
        <x:v>relations</x:v>
      </x:c>
      <x:c r="C33" s="3" t="n">
        <x:v>0</x:v>
      </x:c>
      <x:c r="D33" s="3" t="str">
        <x:v>S_W</x:v>
      </x:c>
    </x:row>
    <x:row r="34" ht="90" customHeight="1">
      <x:c r="A34" s="6" t="str">
        <x:v>2025::jama.2025.11178::C016</x:v>
      </x:c>
      <x:c r="B34" s="6" t="str">
        <x:v>relations</x:v>
      </x:c>
      <x:c r="C34" s="6" t="n">
        <x:v>0</x:v>
      </x:c>
      <x:c r="D34" s="6" t="str">
        <x:v>S_W</x:v>
      </x:c>
    </x:row>
    <x:row r="35" ht="90" customHeight="1">
      <x:c r="A35" s="3" t="str">
        <x:v>2025::jama.2025.11178::C017</x:v>
      </x:c>
      <x:c r="B35" s="3" t="str">
        <x:v>relations</x:v>
      </x:c>
      <x:c r="C35" s="3" t="n">
        <x:v>0</x:v>
      </x:c>
      <x:c r="D35" s="3" t="str">
        <x:v>S_W</x:v>
      </x:c>
    </x:row>
    <x:row r="36" ht="90" customHeight="1">
      <x:c r="A36" s="6" t="str">
        <x:v>2025::jama.2025.11178::C018</x:v>
      </x:c>
      <x:c r="B36" s="6" t="str">
        <x:v>relations</x:v>
      </x:c>
      <x:c r="C36" s="6" t="n">
        <x:v>0</x:v>
      </x:c>
      <x:c r="D36" s="6" t="str">
        <x:v>S_W</x:v>
      </x:c>
    </x:row>
    <x:row r="37" ht="90" customHeight="1">
      <x:c r="A37" s="3" t="str">
        <x:v>2025::jama.2025.11178::C019</x:v>
      </x:c>
      <x:c r="B37" s="3" t="str">
        <x:v>relations</x:v>
      </x:c>
      <x:c r="C37" s="3" t="n">
        <x:v>0</x:v>
      </x:c>
      <x:c r="D37" s="3" t="str">
        <x:v>S_W</x:v>
      </x:c>
    </x:row>
    <x:row r="38" ht="90" customHeight="1">
      <x:c r="A38" s="6" t="str">
        <x:v>2025::jama.2025.11178::C020</x:v>
      </x:c>
      <x:c r="B38" s="6" t="str">
        <x:v>relations</x:v>
      </x:c>
      <x:c r="C38" s="6" t="n">
        <x:v>0</x:v>
      </x:c>
      <x:c r="D38" s="6" t="str">
        <x:v>S_W</x:v>
      </x:c>
    </x:row>
    <x:row r="39" ht="90" customHeight="1">
      <x:c r="A39" s="3" t="str">
        <x:v>2025::jama.2025.11178::C021</x:v>
      </x:c>
      <x:c r="B39" s="3" t="str">
        <x:v>relations</x:v>
      </x:c>
      <x:c r="C39" s="3" t="n">
        <x:v>0</x:v>
      </x:c>
      <x:c r="D39" s="3" t="str">
        <x:v>S_W</x:v>
      </x:c>
    </x:row>
    <x:row r="40" ht="90" customHeight="1">
      <x:c r="A40" s="6" t="str">
        <x:v>2025::jama.2025.11178::C022</x:v>
      </x:c>
      <x:c r="B40" s="6" t="str">
        <x:v>relations</x:v>
      </x:c>
      <x:c r="C40" s="6" t="n">
        <x:v>0</x:v>
      </x:c>
      <x:c r="D40" s="6" t="str">
        <x:v>S_W</x:v>
      </x:c>
    </x:row>
    <x:row r="41" ht="90" customHeight="1">
      <x:c r="A41" s="3" t="str">
        <x:v>2025::jama.2025.11178::C023</x:v>
      </x:c>
      <x:c r="B41" s="3" t="str">
        <x:v>relations</x:v>
      </x:c>
      <x:c r="C41" s="3" t="n">
        <x:v>0</x:v>
      </x:c>
      <x:c r="D41" s="3" t="str">
        <x:v>S_W</x:v>
      </x:c>
    </x:row>
    <x:row r="42" ht="90" customHeight="1">
      <x:c r="A42" s="6" t="str">
        <x:v>2025::jama.2025.11178::C024</x:v>
      </x:c>
      <x:c r="B42" s="6" t="str">
        <x:v>relations</x:v>
      </x:c>
      <x:c r="C42" s="6" t="n">
        <x:v>0</x:v>
      </x:c>
      <x:c r="D42" s="6" t="str">
        <x:v>S_W</x:v>
      </x:c>
    </x:row>
    <x:row r="43" ht="90" customHeight="1">
      <x:c r="A43" s="3" t="str">
        <x:v>2025::jama.2025.11178::C025</x:v>
      </x:c>
      <x:c r="B43" s="3" t="str">
        <x:v>relations</x:v>
      </x:c>
      <x:c r="C43" s="3" t="n">
        <x:v>0</x:v>
      </x:c>
      <x:c r="D43" s="3" t="str">
        <x:v>S_W</x:v>
      </x:c>
    </x:row>
    <x:row r="44" ht="90" customHeight="1">
      <x:c r="A44" s="6" t="str">
        <x:v>2025::jama.2025.11178::C026</x:v>
      </x:c>
      <x:c r="B44" s="6" t="str">
        <x:v>relations</x:v>
      </x:c>
      <x:c r="C44" s="6" t="n">
        <x:v>0</x:v>
      </x:c>
      <x:c r="D44" s="6" t="str">
        <x:v>S_W</x:v>
      </x:c>
    </x:row>
    <x:row r="45" ht="90" customHeight="1">
      <x:c r="A45" s="3" t="str">
        <x:v>2025::jama.2025.11178::C027</x:v>
      </x:c>
      <x:c r="B45" s="3" t="str">
        <x:v>relations</x:v>
      </x:c>
      <x:c r="C45" s="3" t="n">
        <x:v>0</x:v>
      </x:c>
      <x:c r="D45" s="3" t="str">
        <x:v>S_W</x:v>
      </x:c>
    </x:row>
    <x:row r="46" ht="90" customHeight="1">
      <x:c r="A46" s="6" t="str">
        <x:v>2025::jama.2025.11178::C028</x:v>
      </x:c>
      <x:c r="B46" s="6" t="str">
        <x:v>relations</x:v>
      </x:c>
      <x:c r="C46" s="6" t="n">
        <x:v>0</x:v>
      </x:c>
      <x:c r="D46" s="6" t="str">
        <x:v>S_W</x:v>
      </x:c>
    </x:row>
    <x:row r="47" ht="90" customHeight="1">
      <x:c r="A47" s="3" t="str">
        <x:v>2025::jama.2025.11178::C029</x:v>
      </x:c>
      <x:c r="B47" s="3" t="str">
        <x:v>relations</x:v>
      </x:c>
      <x:c r="C47" s="3" t="n">
        <x:v>0</x:v>
      </x:c>
      <x:c r="D47" s="3" t="str">
        <x:v>S_W</x:v>
      </x:c>
    </x:row>
    <x:row r="48" ht="90" customHeight="1">
      <x:c r="A48" s="6" t="str">
        <x:v>2025::jama.2025.11178::C030</x:v>
      </x:c>
      <x:c r="B48" s="6" t="str">
        <x:v>relations</x:v>
      </x:c>
      <x:c r="C48" s="6" t="n">
        <x:v>0</x:v>
      </x:c>
      <x:c r="D48" s="6" t="str">
        <x:v>S_W</x:v>
      </x:c>
    </x:row>
    <x:row r="49" ht="90" customHeight="1">
      <x:c r="A49" s="3" t="str">
        <x:v>2025::jama.2025.11178::C031</x:v>
      </x:c>
      <x:c r="B49" s="3" t="str">
        <x:v>relations</x:v>
      </x:c>
      <x:c r="C49" s="3" t="n">
        <x:v>0</x:v>
      </x:c>
      <x:c r="D49" s="3" t="str">
        <x:v>S_W</x:v>
      </x:c>
    </x:row>
    <x:row r="50" ht="90" customHeight="1">
      <x:c r="A50" s="6" t="str">
        <x:v>2025::jama.2025.11178::C032</x:v>
      </x:c>
      <x:c r="B50" s="6" t="str">
        <x:v>relations</x:v>
      </x:c>
      <x:c r="C50" s="6" t="n">
        <x:v>0</x:v>
      </x:c>
      <x:c r="D50" s="6" t="str">
        <x:v>S_W</x:v>
      </x:c>
    </x:row>
    <x:row r="51" ht="90" customHeight="1">
      <x:c r="A51" s="3" t="str">
        <x:v>2025::jama.2025.11178::C033</x:v>
      </x:c>
      <x:c r="B51" s="3" t="str">
        <x:v>relations</x:v>
      </x:c>
      <x:c r="C51" s="3" t="n">
        <x:v>0</x:v>
      </x:c>
      <x:c r="D51" s="3" t="str">
        <x:v>S_W</x:v>
      </x:c>
    </x:row>
    <x:row r="52" ht="90" customHeight="1">
      <x:c r="A52" s="6" t="str">
        <x:v>2025::jama.2025.11178::C034</x:v>
      </x:c>
      <x:c r="B52" s="6" t="str">
        <x:v>relations</x:v>
      </x:c>
      <x:c r="C52" s="6" t="n">
        <x:v>0</x:v>
      </x:c>
      <x:c r="D52" s="6" t="str">
        <x:v>S_C</x:v>
      </x:c>
    </x:row>
    <x:row r="53" ht="90" customHeight="1">
      <x:c r="A53" s="3" t="str">
        <x:v>2025::jama.2025.11178::C035</x:v>
      </x:c>
      <x:c r="B53" s="3" t="str">
        <x:v>relations</x:v>
      </x:c>
      <x:c r="C53" s="3" t="n">
        <x:v>0</x:v>
      </x:c>
      <x:c r="D53" s="3" t="str">
        <x:v>S_C</x:v>
      </x:c>
    </x:row>
    <x:row r="54" ht="90" customHeight="1">
      <x:c r="A54" s="6" t="str">
        <x:v>2025::jama.2025.11178::C035</x:v>
      </x:c>
      <x:c r="B54" s="6" t="str">
        <x:v>relations</x:v>
      </x:c>
      <x:c r="C54" s="6" t="n">
        <x:v>1</x:v>
      </x:c>
      <x:c r="D54" s="6" t="str">
        <x:v>S_W</x:v>
      </x:c>
    </x:row>
    <x:row r="55" ht="90" customHeight="1">
      <x:c r="A55" s="3" t="str">
        <x:v>2025::jama.2025.11178::C036</x:v>
      </x:c>
      <x:c r="B55" s="3" t="str">
        <x:v>relations</x:v>
      </x:c>
      <x:c r="C55" s="3" t="n">
        <x:v>0</x:v>
      </x:c>
      <x:c r="D55" s="3" t="str">
        <x:v>S_W</x:v>
      </x:c>
    </x:row>
    <x:row r="56" ht="90" customHeight="1">
      <x:c r="A56" s="6" t="str">
        <x:v>2025::jama.2025.11178::C037</x:v>
      </x:c>
      <x:c r="B56" s="6" t="str">
        <x:v>relations</x:v>
      </x:c>
      <x:c r="C56" s="6" t="n">
        <x:v>0</x:v>
      </x:c>
      <x:c r="D56" s="6" t="str">
        <x:v>S_W</x:v>
      </x:c>
    </x:row>
    <x:row r="57" ht="90" customHeight="1">
      <x:c r="A57" s="3" t="str">
        <x:v>2025::jama.2025.15185::C001</x:v>
      </x:c>
      <x:c r="B57" s="3" t="str">
        <x:v>relations</x:v>
      </x:c>
      <x:c r="C57" s="3" t="n">
        <x:v>0</x:v>
      </x:c>
      <x:c r="D57" s="3" t="str">
        <x:v>S_C</x:v>
      </x:c>
    </x:row>
    <x:row r="58" ht="90" customHeight="1">
      <x:c r="A58" s="6" t="str">
        <x:v>2025::jama.2025.15185::C002</x:v>
      </x:c>
      <x:c r="B58" s="6" t="str">
        <x:v>relations</x:v>
      </x:c>
      <x:c r="C58" s="6" t="n">
        <x:v>0</x:v>
      </x:c>
      <x:c r="D58" s="6" t="str">
        <x:v>S_C</x:v>
      </x:c>
    </x:row>
    <x:row r="59" ht="90" customHeight="1">
      <x:c r="A59" s="3" t="str">
        <x:v>2025::jama.2025.15185::C002</x:v>
      </x:c>
      <x:c r="B59" s="3" t="str">
        <x:v>relations</x:v>
      </x:c>
      <x:c r="C59" s="3" t="n">
        <x:v>1</x:v>
      </x:c>
      <x:c r="D59" s="3" t="str">
        <x:v>S_W</x:v>
      </x:c>
    </x:row>
    <x:row r="60" ht="90" customHeight="1">
      <x:c r="A60" s="6" t="str">
        <x:v>2025::jama.2025.15185::C003</x:v>
      </x:c>
      <x:c r="B60" s="6" t="str">
        <x:v>relations</x:v>
      </x:c>
      <x:c r="C60" s="6" t="n">
        <x:v>0</x:v>
      </x:c>
      <x:c r="D60" s="6" t="str">
        <x:v>S_C</x:v>
      </x:c>
    </x:row>
    <x:row r="61" ht="90" customHeight="1">
      <x:c r="A61" s="3" t="str">
        <x:v>2025::jama.2025.15185::C004</x:v>
      </x:c>
      <x:c r="B61" s="3" t="str">
        <x:v>relations</x:v>
      </x:c>
      <x:c r="C61" s="3" t="n">
        <x:v>0</x:v>
      </x:c>
      <x:c r="D61" s="3" t="str">
        <x:v>S_W</x:v>
      </x:c>
    </x:row>
    <x:row r="62" ht="90" customHeight="1">
      <x:c r="A62" s="6" t="str">
        <x:v>2025::jama.2025.15185::C005</x:v>
      </x:c>
      <x:c r="B62" s="6" t="str">
        <x:v>relations</x:v>
      </x:c>
      <x:c r="C62" s="6" t="n">
        <x:v>0</x:v>
      </x:c>
      <x:c r="D62" s="6" t="str">
        <x:v>S_C</x:v>
      </x:c>
    </x:row>
    <x:row r="63" ht="90" customHeight="1">
      <x:c r="A63" s="3" t="str">
        <x:v>2025::jama.2025.15185::C006</x:v>
      </x:c>
      <x:c r="B63" s="3" t="str">
        <x:v>relations</x:v>
      </x:c>
      <x:c r="C63" s="3" t="n">
        <x:v>0</x:v>
      </x:c>
      <x:c r="D63" s="3" t="str">
        <x:v>S_C</x:v>
      </x:c>
    </x:row>
    <x:row r="64" ht="90" customHeight="1">
      <x:c r="A64" s="6" t="str">
        <x:v>2025::jama.2025.15185::C007</x:v>
      </x:c>
      <x:c r="B64" s="6" t="str">
        <x:v>relations</x:v>
      </x:c>
      <x:c r="C64" s="6" t="n">
        <x:v>0</x:v>
      </x:c>
      <x:c r="D64" s="6" t="str">
        <x:v>S_C</x:v>
      </x:c>
    </x:row>
    <x:row r="65" ht="90" customHeight="1">
      <x:c r="A65" s="3" t="str">
        <x:v>2025::jama.2025.15185::C008</x:v>
      </x:c>
      <x:c r="B65" s="3" t="str">
        <x:v>relations</x:v>
      </x:c>
      <x:c r="C65" s="3" t="n">
        <x:v>0</x:v>
      </x:c>
      <x:c r="D65" s="3" t="str">
        <x:v>S_C</x:v>
      </x:c>
    </x:row>
    <x:row r="66" ht="90" customHeight="1">
      <x:c r="A66" s="6" t="str">
        <x:v>2025::jama.2025.15185::C009</x:v>
      </x:c>
      <x:c r="B66" s="6" t="str">
        <x:v>relations</x:v>
      </x:c>
      <x:c r="C66" s="6" t="n">
        <x:v>0</x:v>
      </x:c>
      <x:c r="D66" s="6" t="str">
        <x:v>S_W</x:v>
      </x:c>
    </x:row>
    <x:row r="67" ht="90" customHeight="1">
      <x:c r="A67" s="3" t="str">
        <x:v>2025::jama.2025.15185::C010</x:v>
      </x:c>
      <x:c r="B67" s="3" t="str">
        <x:v>relations</x:v>
      </x:c>
      <x:c r="C67" s="3" t="n">
        <x:v>0</x:v>
      </x:c>
      <x:c r="D67" s="3" t="str">
        <x:v>S_W</x:v>
      </x:c>
    </x:row>
    <x:row r="68" ht="90" customHeight="1">
      <x:c r="A68" s="6" t="str">
        <x:v>2025::jama.2025.15185::C011</x:v>
      </x:c>
      <x:c r="B68" s="6" t="str">
        <x:v>relations</x:v>
      </x:c>
      <x:c r="C68" s="6" t="n">
        <x:v>0</x:v>
      </x:c>
      <x:c r="D68" s="6" t="str">
        <x:v>S_W</x:v>
      </x:c>
    </x:row>
    <x:row r="69" ht="90" customHeight="1">
      <x:c r="A69" s="3" t="str">
        <x:v>2025::jama.2025.15185::C012</x:v>
      </x:c>
      <x:c r="B69" s="3" t="str">
        <x:v>relations</x:v>
      </x:c>
      <x:c r="C69" s="3" t="n">
        <x:v>0</x:v>
      </x:c>
      <x:c r="D69" s="3" t="str">
        <x:v>S_W</x:v>
      </x:c>
    </x:row>
    <x:row r="70" ht="90" customHeight="1">
      <x:c r="A70" s="6" t="str">
        <x:v>2025::jama.2025.15440::C001</x:v>
      </x:c>
      <x:c r="B70" s="6" t="str">
        <x:v>relations</x:v>
      </x:c>
      <x:c r="C70" s="6" t="n">
        <x:v>0</x:v>
      </x:c>
      <x:c r="D70" s="6" t="str">
        <x:v>S_W</x:v>
      </x:c>
    </x:row>
    <x:row r="71" ht="90" customHeight="1">
      <x:c r="A71" s="3" t="str">
        <x:v>2025::jama.2025.15440::C002</x:v>
      </x:c>
      <x:c r="B71" s="3" t="str">
        <x:v>relations</x:v>
      </x:c>
      <x:c r="C71" s="3" t="n">
        <x:v>0</x:v>
      </x:c>
      <x:c r="D71" s="3" t="str">
        <x:v>S_W</x:v>
      </x:c>
    </x:row>
    <x:row r="72" ht="90" customHeight="1">
      <x:c r="A72" s="6" t="str">
        <x:v>2025::jama.2025.16450::C001</x:v>
      </x:c>
      <x:c r="B72" s="6" t="str">
        <x:v>relations</x:v>
      </x:c>
      <x:c r="C72" s="6" t="n">
        <x:v>0</x:v>
      </x:c>
      <x:c r="D72" s="6" t="str">
        <x:v>S_W</x:v>
      </x:c>
    </x:row>
    <x:row r="73" ht="90" customHeight="1">
      <x:c r="A73" s="3" t="str">
        <x:v>2025::jama.2025.16450::C002</x:v>
      </x:c>
      <x:c r="B73" s="3" t="str">
        <x:v>relations</x:v>
      </x:c>
      <x:c r="C73" s="3" t="n">
        <x:v>0</x:v>
      </x:c>
      <x:c r="D73" s="3" t="str">
        <x:v>P_R</x:v>
      </x:c>
    </x:row>
    <x:row r="74" ht="90" customHeight="1">
      <x:c r="A74" s="6" t="str">
        <x:v>2025::jama.2025.16450::C003</x:v>
      </x:c>
      <x:c r="B74" s="6" t="str">
        <x:v>relations</x:v>
      </x:c>
      <x:c r="C74" s="6" t="n">
        <x:v>0</x:v>
      </x:c>
      <x:c r="D74" s="6" t="str">
        <x:v>P_R</x:v>
      </x:c>
    </x:row>
    <x:row r="75" ht="90" customHeight="1">
      <x:c r="A75" s="3" t="str">
        <x:v>2025::jama.2025.16450::C004</x:v>
      </x:c>
      <x:c r="B75" s="3" t="str">
        <x:v>relations</x:v>
      </x:c>
      <x:c r="C75" s="3" t="n">
        <x:v>0</x:v>
      </x:c>
      <x:c r="D75" s="3" t="str">
        <x:v>P_P</x:v>
      </x:c>
    </x:row>
    <x:row r="76" ht="90" customHeight="1">
      <x:c r="A76" s="6" t="str">
        <x:v>2025::jama.2025.16450::C004</x:v>
      </x:c>
      <x:c r="B76" s="6" t="str">
        <x:v>legacyRelations</x:v>
      </x:c>
      <x:c r="C76" s="6" t="n">
        <x:v>0</x:v>
      </x:c>
      <x:c r="D76" s="6" t="str">
        <x:v>P_O</x:v>
      </x:c>
    </x:row>
    <x:row r="77" ht="90" customHeight="1">
      <x:c r="A77" s="3" t="str">
        <x:v>2025::jama.2025.16450::C005</x:v>
      </x:c>
      <x:c r="B77" s="3" t="str">
        <x:v>relations</x:v>
      </x:c>
      <x:c r="C77" s="3" t="n">
        <x:v>0</x:v>
      </x:c>
      <x:c r="D77" s="3" t="str">
        <x:v>P_P</x:v>
      </x:c>
    </x:row>
    <x:row r="78" ht="90" customHeight="1">
      <x:c r="A78" s="6" t="str">
        <x:v>2025::jama.2025.16450::C005</x:v>
      </x:c>
      <x:c r="B78" s="6" t="str">
        <x:v>legacyRelations</x:v>
      </x:c>
      <x:c r="C78" s="6" t="n">
        <x:v>0</x:v>
      </x:c>
      <x:c r="D78" s="6" t="str">
        <x:v>P_O</x:v>
      </x:c>
    </x:row>
    <x:row r="79" ht="90" customHeight="1">
      <x:c r="A79" s="3" t="str">
        <x:v>2025::jama.2025.16450::C006</x:v>
      </x:c>
      <x:c r="B79" s="3" t="str">
        <x:v>relations</x:v>
      </x:c>
      <x:c r="C79" s="3" t="n">
        <x:v>0</x:v>
      </x:c>
      <x:c r="D79" s="3" t="str">
        <x:v>P_P</x:v>
      </x:c>
    </x:row>
    <x:row r="80" ht="90" customHeight="1">
      <x:c r="A80" s="6" t="str">
        <x:v>2025::jama.2025.16450::C007</x:v>
      </x:c>
      <x:c r="B80" s="6" t="str">
        <x:v>relations</x:v>
      </x:c>
      <x:c r="C80" s="6" t="n">
        <x:v>0</x:v>
      </x:c>
      <x:c r="D80" s="6" t="str">
        <x:v>P_R</x:v>
      </x:c>
    </x:row>
    <x:row r="81" ht="90" customHeight="1">
      <x:c r="A81" s="3" t="str">
        <x:v>2025::jama.2025.16450::C008</x:v>
      </x:c>
      <x:c r="B81" s="3" t="str">
        <x:v>relations</x:v>
      </x:c>
      <x:c r="C81" s="3" t="n">
        <x:v>0</x:v>
      </x:c>
      <x:c r="D81" s="3" t="str">
        <x:v>P_R</x:v>
      </x:c>
    </x:row>
    <x:row r="82" ht="90" customHeight="1">
      <x:c r="A82" s="6" t="str">
        <x:v>2025::jama.2025.16450::C009</x:v>
      </x:c>
      <x:c r="B82" s="6" t="str">
        <x:v>relations</x:v>
      </x:c>
      <x:c r="C82" s="6" t="n">
        <x:v>0</x:v>
      </x:c>
      <x:c r="D82" s="6" t="str">
        <x:v>S_W</x:v>
      </x:c>
    </x:row>
    <x:row r="83" ht="90" customHeight="1">
      <x:c r="A83" s="3" t="str">
        <x:v>2025::jama.2025.16450::C010</x:v>
      </x:c>
      <x:c r="B83" s="3" t="str">
        <x:v>relations</x:v>
      </x:c>
      <x:c r="C83" s="3" t="n">
        <x:v>0</x:v>
      </x:c>
      <x:c r="D83" s="3" t="str">
        <x:v>S_W</x:v>
      </x:c>
    </x:row>
    <x:row r="84" ht="90" customHeight="1">
      <x:c r="A84" s="6" t="str">
        <x:v>2025::jama.2025.19563::C001</x:v>
      </x:c>
      <x:c r="B84" s="6" t="str">
        <x:v>relations</x:v>
      </x:c>
      <x:c r="C84" s="6" t="n">
        <x:v>0</x:v>
      </x:c>
      <x:c r="D84" s="6" t="str">
        <x:v>P_R</x:v>
      </x:c>
    </x:row>
    <x:row r="85" ht="90" customHeight="1">
      <x:c r="A85" s="3" t="str">
        <x:v>2025::jama.2025.19563::C002</x:v>
      </x:c>
      <x:c r="B85" s="3" t="str">
        <x:v>relations</x:v>
      </x:c>
      <x:c r="C85" s="3" t="n">
        <x:v>0</x:v>
      </x:c>
      <x:c r="D85" s="3" t="str">
        <x:v>S_C</x:v>
      </x:c>
    </x:row>
    <x:row r="86" ht="90" customHeight="1">
      <x:c r="A86" s="6" t="str">
        <x:v>2025::jama.2025.19563::C002</x:v>
      </x:c>
      <x:c r="B86" s="6" t="str">
        <x:v>relations</x:v>
      </x:c>
      <x:c r="C86" s="6" t="n">
        <x:v>1</x:v>
      </x:c>
      <x:c r="D86" s="6" t="str">
        <x:v>S_W</x:v>
      </x:c>
    </x:row>
    <x:row r="87" ht="90" customHeight="1">
      <x:c r="A87" s="3" t="str">
        <x:v>2025::jama.2025.19563::C003</x:v>
      </x:c>
      <x:c r="B87" s="3" t="str">
        <x:v>relations</x:v>
      </x:c>
      <x:c r="C87" s="3" t="n">
        <x:v>0</x:v>
      </x:c>
      <x:c r="D87" s="3" t="str">
        <x:v>S_W</x:v>
      </x:c>
    </x:row>
    <x:row r="88" ht="90" customHeight="1">
      <x:c r="A88" s="6" t="str">
        <x:v>2025::jama.2025.19563::C004</x:v>
      </x:c>
      <x:c r="B88" s="6" t="str">
        <x:v>relations</x:v>
      </x:c>
      <x:c r="C88" s="6" t="n">
        <x:v>0</x:v>
      </x:c>
      <x:c r="D88" s="6" t="str">
        <x:v>S_W</x:v>
      </x:c>
    </x:row>
    <x:row r="89" ht="90" customHeight="1">
      <x:c r="A89" s="3" t="str">
        <x:v>2025::jama.2025.19563::C005</x:v>
      </x:c>
      <x:c r="B89" s="3" t="str">
        <x:v>relations</x:v>
      </x:c>
      <x:c r="C89" s="3" t="n">
        <x:v>0</x:v>
      </x:c>
      <x:c r="D89" s="3" t="str">
        <x:v>S_W</x:v>
      </x:c>
    </x:row>
    <x:row r="90" ht="90" customHeight="1">
      <x:c r="A90" s="6" t="str">
        <x:v>2025::jama.2025.19563::C006</x:v>
      </x:c>
      <x:c r="B90" s="6" t="str">
        <x:v>relations</x:v>
      </x:c>
      <x:c r="C90" s="6" t="n">
        <x:v>0</x:v>
      </x:c>
      <x:c r="D90" s="6" t="str">
        <x:v>S_W</x:v>
      </x:c>
    </x:row>
    <x:row r="91" ht="90" customHeight="1">
      <x:c r="A91" s="3" t="str">
        <x:v>2025::jama.2025.19563::C007</x:v>
      </x:c>
      <x:c r="B91" s="3" t="str">
        <x:v>relations</x:v>
      </x:c>
      <x:c r="C91" s="3" t="n">
        <x:v>0</x:v>
      </x:c>
      <x:c r="D91" s="3" t="str">
        <x:v>S_W</x:v>
      </x:c>
    </x:row>
    <x:row r="92" ht="90" customHeight="1">
      <x:c r="A92" s="6" t="str">
        <x:v>2025::jama.2025.19843::C001</x:v>
      </x:c>
      <x:c r="B92" s="6" t="str">
        <x:v>relations</x:v>
      </x:c>
      <x:c r="C92" s="6" t="n">
        <x:v>0</x:v>
      </x:c>
      <x:c r="D92" s="6" t="str">
        <x:v>S_C</x:v>
      </x:c>
    </x:row>
    <x:row r="93" ht="90" customHeight="1">
      <x:c r="A93" s="3" t="str">
        <x:v>2025::jama.2025.20765::C001</x:v>
      </x:c>
      <x:c r="B93" s="3" t="str">
        <x:v>relations</x:v>
      </x:c>
      <x:c r="C93" s="3" t="n">
        <x:v>0</x:v>
      </x:c>
      <x:c r="D93" s="3" t="str">
        <x:v>S_W</x:v>
      </x:c>
    </x:row>
    <x:row r="94" ht="90" customHeight="1">
      <x:c r="A94" s="6" t="str">
        <x:v>2025::jama.2025.20765::C002</x:v>
      </x:c>
      <x:c r="B94" s="6" t="str">
        <x:v>relations</x:v>
      </x:c>
      <x:c r="C94" s="6" t="n">
        <x:v>0</x:v>
      </x:c>
      <x:c r="D94" s="6" t="str">
        <x:v>S_C</x:v>
      </x:c>
    </x:row>
    <x:row r="95" ht="90" customHeight="1">
      <x:c r="A95" s="3" t="str">
        <x:v>2025::jama.2025.20765::C003</x:v>
      </x:c>
      <x:c r="B95" s="3" t="str">
        <x:v>relations</x:v>
      </x:c>
      <x:c r="C95" s="3" t="n">
        <x:v>0</x:v>
      </x:c>
      <x:c r="D95" s="3" t="str">
        <x:v>P_P</x:v>
      </x:c>
    </x:row>
    <x:row r="96" ht="90" customHeight="1">
      <x:c r="A96" s="6" t="str">
        <x:v>2025::jama.2025.20765::C004</x:v>
      </x:c>
      <x:c r="B96" s="6" t="str">
        <x:v>relations</x:v>
      </x:c>
      <x:c r="C96" s="6" t="n">
        <x:v>0</x:v>
      </x:c>
      <x:c r="D96" s="6" t="str">
        <x:v>P_P</x:v>
      </x:c>
    </x:row>
    <x:row r="97" ht="90" customHeight="1">
      <x:c r="A97" s="3" t="str">
        <x:v>2025::jama.2025.20765::C005</x:v>
      </x:c>
      <x:c r="B97" s="3" t="str">
        <x:v>relations</x:v>
      </x:c>
      <x:c r="C97" s="3" t="n">
        <x:v>0</x:v>
      </x:c>
      <x:c r="D97" s="3" t="str">
        <x:v>P_P</x:v>
      </x:c>
    </x:row>
    <x:row r="98" ht="90" customHeight="1">
      <x:c r="A98" s="6" t="str">
        <x:v>2025::jama.2025.20765::C006</x:v>
      </x:c>
      <x:c r="B98" s="6" t="str">
        <x:v>relations</x:v>
      </x:c>
      <x:c r="C98" s="6" t="n">
        <x:v>0</x:v>
      </x:c>
      <x:c r="D98" s="6" t="str">
        <x:v>P_P</x:v>
      </x:c>
    </x:row>
    <x:row r="99" ht="90" customHeight="1">
      <x:c r="A99" s="3" t="str">
        <x:v>2025::jama.2025.20765::C007</x:v>
      </x:c>
      <x:c r="B99" s="3" t="str">
        <x:v>relations</x:v>
      </x:c>
      <x:c r="C99" s="3" t="n">
        <x:v>0</x:v>
      </x:c>
      <x:c r="D99" s="3" t="str">
        <x:v>P_P</x:v>
      </x:c>
    </x:row>
    <x:row r="100" ht="90" customHeight="1">
      <x:c r="A100" s="6" t="str">
        <x:v>2025::jama.2025.20765::C008</x:v>
      </x:c>
      <x:c r="B100" s="6" t="str">
        <x:v>relations</x:v>
      </x:c>
      <x:c r="C100" s="6" t="n">
        <x:v>0</x:v>
      </x:c>
      <x:c r="D100" s="6" t="str">
        <x:v>P_P</x:v>
      </x:c>
    </x:row>
    <x:row r="101" ht="90" customHeight="1">
      <x:c r="A101" s="3" t="str">
        <x:v>2025::jama.2025.20765::C009</x:v>
      </x:c>
      <x:c r="B101" s="3" t="str">
        <x:v>relations</x:v>
      </x:c>
      <x:c r="C101" s="3" t="n">
        <x:v>0</x:v>
      </x:c>
      <x:c r="D101" s="3" t="str">
        <x:v>P_P</x:v>
      </x:c>
    </x:row>
    <x:row r="102" ht="90" customHeight="1">
      <x:c r="A102" s="6" t="str">
        <x:v>2025::jama.2025.20765::C010</x:v>
      </x:c>
      <x:c r="B102" s="6" t="str">
        <x:v>relations</x:v>
      </x:c>
      <x:c r="C102" s="6" t="n">
        <x:v>0</x:v>
      </x:c>
      <x:c r="D102" s="6" t="str">
        <x:v>P_P</x:v>
      </x:c>
    </x:row>
    <x:row r="103" ht="90" customHeight="1">
      <x:c r="A103" s="3" t="str">
        <x:v>2025::jama.2025.20765::C011</x:v>
      </x:c>
      <x:c r="B103" s="3" t="str">
        <x:v>relations</x:v>
      </x:c>
      <x:c r="C103" s="3" t="n">
        <x:v>0</x:v>
      </x:c>
      <x:c r="D103" s="3" t="str">
        <x:v>P_P</x:v>
      </x:c>
    </x:row>
    <x:row r="104" ht="90" customHeight="1">
      <x:c r="A104" s="6" t="str">
        <x:v>2025::jama.2025.20765::C012</x:v>
      </x:c>
      <x:c r="B104" s="6" t="str">
        <x:v>relations</x:v>
      </x:c>
      <x:c r="C104" s="6" t="n">
        <x:v>0</x:v>
      </x:c>
      <x:c r="D104" s="6" t="str">
        <x:v>S_W</x:v>
      </x:c>
    </x:row>
    <x:row r="105" ht="90" customHeight="1">
      <x:c r="A105" s="3" t="str">
        <x:v>2025::jama.2025.20765::C013</x:v>
      </x:c>
      <x:c r="B105" s="3" t="str">
        <x:v>relations</x:v>
      </x:c>
      <x:c r="C105" s="3" t="n">
        <x:v>0</x:v>
      </x:c>
      <x:c r="D105" s="3" t="str">
        <x:v>P_R</x:v>
      </x:c>
    </x:row>
    <x:row r="106" ht="90" customHeight="1">
      <x:c r="A106" s="6" t="str">
        <x:v>2025::jama.2025.20765::C013</x:v>
      </x:c>
      <x:c r="B106" s="6" t="str">
        <x:v>relations</x:v>
      </x:c>
      <x:c r="C106" s="6" t="n">
        <x:v>1</x:v>
      </x:c>
      <x:c r="D106" s="6" t="str">
        <x:v>P_P</x:v>
      </x:c>
    </x:row>
    <x:row r="107" ht="90" customHeight="1">
      <x:c r="A107" s="3" t="str">
        <x:v>2025::jama.2025.24175::C001</x:v>
      </x:c>
      <x:c r="B107" s="3" t="str">
        <x:v>relations</x:v>
      </x:c>
      <x:c r="C107" s="3" t="n">
        <x:v>0</x:v>
      </x:c>
      <x:c r="D107" s="3" t="str">
        <x:v>S_W</x:v>
      </x:c>
    </x:row>
    <x:row r="108" ht="90" customHeight="1">
      <x:c r="A108" s="6" t="str">
        <x:v>2025::jama.2025.24175::C002</x:v>
      </x:c>
      <x:c r="B108" s="6" t="str">
        <x:v>relations</x:v>
      </x:c>
      <x:c r="C108" s="6" t="n">
        <x:v>0</x:v>
      </x:c>
      <x:c r="D108" s="6" t="str">
        <x:v>P_R</x:v>
      </x:c>
    </x:row>
    <x:row r="109" ht="90" customHeight="1">
      <x:c r="A109" s="3" t="str">
        <x:v>2025::jama.2025.24175::C003</x:v>
      </x:c>
      <x:c r="B109" s="3" t="str">
        <x:v>relations</x:v>
      </x:c>
      <x:c r="C109" s="3" t="n">
        <x:v>0</x:v>
      </x:c>
      <x:c r="D109" s="3" t="str">
        <x:v>P_R</x:v>
      </x:c>
    </x:row>
    <x:row r="110" ht="90" customHeight="1">
      <x:c r="A110" s="6" t="str">
        <x:v>2025::jama.2025.24175::C004</x:v>
      </x:c>
      <x:c r="B110" s="6" t="str">
        <x:v>relations</x:v>
      </x:c>
      <x:c r="C110" s="6" t="n">
        <x:v>0</x:v>
      </x:c>
      <x:c r="D110" s="6" t="str">
        <x:v>P_R</x:v>
      </x:c>
    </x:row>
    <x:row r="111" ht="90" customHeight="1">
      <x:c r="A111" s="3" t="str">
        <x:v>2025::jama.2025.24175::C005</x:v>
      </x:c>
      <x:c r="B111" s="3" t="str">
        <x:v>relations</x:v>
      </x:c>
      <x:c r="C111" s="3" t="n">
        <x:v>0</x:v>
      </x:c>
      <x:c r="D111" s="3" t="str">
        <x:v>P_P</x:v>
      </x:c>
    </x:row>
    <x:row r="112" ht="90" customHeight="1">
      <x:c r="A112" s="6" t="str">
        <x:v>2025::jama.2025.24175::C006</x:v>
      </x:c>
      <x:c r="B112" s="6" t="str">
        <x:v>relations</x:v>
      </x:c>
      <x:c r="C112" s="6" t="n">
        <x:v>0</x:v>
      </x:c>
      <x:c r="D112" s="6" t="str">
        <x:v>P_P</x:v>
      </x:c>
    </x:row>
    <x:row r="113" ht="90" customHeight="1">
      <x:c r="A113" s="3" t="str">
        <x:v>2025::jama.2025.24175::C006</x:v>
      </x:c>
      <x:c r="B113" s="3" t="str">
        <x:v>legacyRelations</x:v>
      </x:c>
      <x:c r="C113" s="3" t="n">
        <x:v>0</x:v>
      </x:c>
      <x:c r="D113" s="3" t="str">
        <x:v>P_B</x:v>
      </x:c>
    </x:row>
    <x:row r="114" ht="90" customHeight="1">
      <x:c r="A114" s="6" t="str">
        <x:v>2025::jama.2025.24175::C007</x:v>
      </x:c>
      <x:c r="B114" s="6" t="str">
        <x:v>relations</x:v>
      </x:c>
      <x:c r="C114" s="6" t="n">
        <x:v>0</x:v>
      </x:c>
      <x:c r="D114" s="6" t="str">
        <x:v>P_P</x:v>
      </x:c>
    </x:row>
    <x:row r="115" ht="90" customHeight="1">
      <x:c r="A115" s="3" t="str">
        <x:v>2025::jama.2025.24175::C007</x:v>
      </x:c>
      <x:c r="B115" s="3" t="str">
        <x:v>legacyRelations</x:v>
      </x:c>
      <x:c r="C115" s="3" t="n">
        <x:v>0</x:v>
      </x:c>
      <x:c r="D115" s="3" t="str">
        <x:v>P_B</x:v>
      </x:c>
    </x:row>
    <x:row r="116" ht="90" customHeight="1">
      <x:c r="A116" s="6" t="str">
        <x:v>2025::jama.2025.24175::C008</x:v>
      </x:c>
      <x:c r="B116" s="6" t="str">
        <x:v>relations</x:v>
      </x:c>
      <x:c r="C116" s="6" t="n">
        <x:v>0</x:v>
      </x:c>
      <x:c r="D116" s="6" t="str">
        <x:v>P_P</x:v>
      </x:c>
    </x:row>
    <x:row r="117" ht="90" customHeight="1">
      <x:c r="A117" s="3" t="str">
        <x:v>2025::jama.2025.24175::C008</x:v>
      </x:c>
      <x:c r="B117" s="3" t="str">
        <x:v>legacyRelations</x:v>
      </x:c>
      <x:c r="C117" s="3" t="n">
        <x:v>0</x:v>
      </x:c>
      <x:c r="D117" s="3" t="str">
        <x:v>P_B</x:v>
      </x:c>
    </x:row>
    <x:row r="118" ht="90" customHeight="1">
      <x:c r="A118" s="6" t="str">
        <x:v>2025::jama.2025.24175::C009</x:v>
      </x:c>
      <x:c r="B118" s="6" t="str">
        <x:v>relations</x:v>
      </x:c>
      <x:c r="C118" s="6" t="n">
        <x:v>0</x:v>
      </x:c>
      <x:c r="D118" s="6" t="str">
        <x:v>P_R</x:v>
      </x:c>
    </x:row>
    <x:row r="119" ht="90" customHeight="1">
      <x:c r="A119" s="3" t="str">
        <x:v>2025::jama.2025.24175::C009</x:v>
      </x:c>
      <x:c r="B119" s="3" t="str">
        <x:v>relations</x:v>
      </x:c>
      <x:c r="C119" s="3" t="n">
        <x:v>1</x:v>
      </x:c>
      <x:c r="D119" s="3" t="str">
        <x:v>P_P</x:v>
      </x:c>
    </x:row>
    <x:row r="120" ht="90" customHeight="1">
      <x:c r="A120" s="6" t="str">
        <x:v>2025::jama.2025.24175::C010</x:v>
      </x:c>
      <x:c r="B120" s="6" t="str">
        <x:v>relations</x:v>
      </x:c>
      <x:c r="C120" s="6" t="n">
        <x:v>0</x:v>
      </x:c>
      <x:c r="D120" s="6" t="str">
        <x:v>P_P</x:v>
      </x:c>
    </x:row>
    <x:row r="121" ht="90" customHeight="1">
      <x:c r="A121" s="3" t="str">
        <x:v>2025::jama.2025.24175::C010</x:v>
      </x:c>
      <x:c r="B121" s="3" t="str">
        <x:v>legacyRelations</x:v>
      </x:c>
      <x:c r="C121" s="3" t="n">
        <x:v>0</x:v>
      </x:c>
      <x:c r="D121" s="3" t="str">
        <x:v>P_B</x:v>
      </x:c>
    </x:row>
    <x:row r="122" ht="90" customHeight="1">
      <x:c r="A122" s="6" t="str">
        <x:v>2025::jama.2025.24175::C011</x:v>
      </x:c>
      <x:c r="B122" s="6" t="str">
        <x:v>relations</x:v>
      </x:c>
      <x:c r="C122" s="6" t="n">
        <x:v>0</x:v>
      </x:c>
      <x:c r="D122" s="6" t="str">
        <x:v>S_W</x:v>
      </x:c>
    </x:row>
    <x:row r="123" ht="90" customHeight="1">
      <x:c r="A123" s="3" t="str">
        <x:v>2025::jama.2025.24175::C012</x:v>
      </x:c>
      <x:c r="B123" s="3" t="str">
        <x:v>relations</x:v>
      </x:c>
      <x:c r="C123" s="3" t="n">
        <x:v>0</x:v>
      </x:c>
      <x:c r="D123" s="3" t="str">
        <x:v>S_W</x:v>
      </x:c>
    </x:row>
    <x:row r="124" ht="90" customHeight="1">
      <x:c r="A124" s="6" t="str">
        <x:v>2025::jama.2025.24175::C013</x:v>
      </x:c>
      <x:c r="B124" s="6" t="str">
        <x:v>relations</x:v>
      </x:c>
      <x:c r="C124" s="6" t="n">
        <x:v>0</x:v>
      </x:c>
      <x:c r="D124" s="6" t="str">
        <x:v>S_W</x:v>
      </x:c>
    </x:row>
    <x:row r="125" ht="90" customHeight="1">
      <x:c r="A125" s="3" t="str">
        <x:v>2025::jama.2025.24175::C014</x:v>
      </x:c>
      <x:c r="B125" s="3" t="str">
        <x:v>relations</x:v>
      </x:c>
      <x:c r="C125" s="3" t="n">
        <x:v>0</x:v>
      </x:c>
      <x:c r="D125" s="3" t="str">
        <x:v>P_P</x:v>
      </x:c>
    </x:row>
    <x:row r="126" ht="90" customHeight="1">
      <x:c r="A126" s="6" t="str">
        <x:v>2025::jama.2025.24175::C014</x:v>
      </x:c>
      <x:c r="B126" s="6" t="str">
        <x:v>legacyRelations</x:v>
      </x:c>
      <x:c r="C126" s="6" t="n">
        <x:v>0</x:v>
      </x:c>
      <x:c r="D126" s="6" t="str">
        <x:v>P_B</x:v>
      </x:c>
    </x:row>
    <x:row r="127" ht="90" customHeight="1">
      <x:c r="A127" s="3" t="str">
        <x:v>2025::jama.2025.4390::C001</x:v>
      </x:c>
      <x:c r="B127" s="3" t="str">
        <x:v>relations</x:v>
      </x:c>
      <x:c r="C127" s="3" t="n">
        <x:v>0</x:v>
      </x:c>
      <x:c r="D127" s="3" t="str">
        <x:v>S_W</x:v>
      </x:c>
    </x:row>
    <x:row r="128" ht="90" customHeight="1">
      <x:c r="A128" s="6" t="str">
        <x:v>2025::jama.2025.4390::C002</x:v>
      </x:c>
      <x:c r="B128" s="6" t="str">
        <x:v>relations</x:v>
      </x:c>
      <x:c r="C128" s="6" t="n">
        <x:v>0</x:v>
      </x:c>
      <x:c r="D128" s="6" t="str">
        <x:v>S_W</x:v>
      </x:c>
    </x:row>
    <x:row r="129" ht="90" customHeight="1">
      <x:c r="A129" s="3" t="str">
        <x:v>2025::jama.2025.4390::C003</x:v>
      </x:c>
      <x:c r="B129" s="3" t="str">
        <x:v>relations</x:v>
      </x:c>
      <x:c r="C129" s="3" t="n">
        <x:v>0</x:v>
      </x:c>
      <x:c r="D129" s="3" t="str">
        <x:v>S_W</x:v>
      </x:c>
    </x:row>
    <x:row r="130" ht="90" customHeight="1">
      <x:c r="A130" s="6" t="str">
        <x:v>2025::jama.2025.7583::C001</x:v>
      </x:c>
      <x:c r="B130" s="6" t="str">
        <x:v>relations</x:v>
      </x:c>
      <x:c r="C130" s="6" t="n">
        <x:v>0</x:v>
      </x:c>
      <x:c r="D130" s="6" t="str">
        <x:v>P_R</x:v>
      </x:c>
    </x:row>
    <x:row r="131" ht="90" customHeight="1">
      <x:c r="A131" s="3" t="str">
        <x:v>2025::jama.2025.7583::C001</x:v>
      </x:c>
      <x:c r="B131" s="3" t="str">
        <x:v>relations</x:v>
      </x:c>
      <x:c r="C131" s="3" t="n">
        <x:v>1</x:v>
      </x:c>
      <x:c r="D131" s="3" t="str">
        <x:v>P_P</x:v>
      </x:c>
    </x:row>
    <x:row r="132" ht="90" customHeight="1">
      <x:c r="A132" s="6" t="str">
        <x:v>2025::jama.2025.7583::C002</x:v>
      </x:c>
      <x:c r="B132" s="6" t="str">
        <x:v>relations</x:v>
      </x:c>
      <x:c r="C132" s="6" t="n">
        <x:v>0</x:v>
      </x:c>
      <x:c r="D132" s="6" t="str">
        <x:v>P_P</x:v>
      </x:c>
    </x:row>
    <x:row r="133" ht="90" customHeight="1">
      <x:c r="A133" s="3" t="str">
        <x:v>2025::jama.2025.7583::C003</x:v>
      </x:c>
      <x:c r="B133" s="3" t="str">
        <x:v>relations</x:v>
      </x:c>
      <x:c r="C133" s="3" t="n">
        <x:v>0</x:v>
      </x:c>
      <x:c r="D133" s="3" t="str">
        <x:v>S_W</x:v>
      </x:c>
    </x:row>
    <x:row r="134" ht="90" customHeight="1">
      <x:c r="A134" s="6" t="str">
        <x:v>2025::jama.2025.7710::C001</x:v>
      </x:c>
      <x:c r="B134" s="6" t="str">
        <x:v>relations</x:v>
      </x:c>
      <x:c r="C134" s="6" t="n">
        <x:v>0</x:v>
      </x:c>
      <x:c r="D134" s="6" t="str">
        <x:v>P_P</x:v>
      </x:c>
    </x:row>
    <x:row r="135" ht="90" customHeight="1">
      <x:c r="A135" s="3" t="str">
        <x:v>2025::jama.2025.7710::C002</x:v>
      </x:c>
      <x:c r="B135" s="3" t="str">
        <x:v>relations</x:v>
      </x:c>
      <x:c r="C135" s="3" t="n">
        <x:v>0</x:v>
      </x:c>
      <x:c r="D135" s="3" t="str">
        <x:v>P_P</x:v>
      </x:c>
    </x:row>
    <x:row r="136" ht="90" customHeight="1">
      <x:c r="A136" s="6" t="str">
        <x:v>2025::jama.2025.7710::C003</x:v>
      </x:c>
      <x:c r="B136" s="6" t="str">
        <x:v>relations</x:v>
      </x:c>
      <x:c r="C136" s="6" t="n">
        <x:v>0</x:v>
      </x:c>
      <x:c r="D136" s="6" t="str">
        <x:v>P_P</x:v>
      </x:c>
    </x:row>
    <x:row r="137" ht="90" customHeight="1">
      <x:c r="A137" s="3" t="str">
        <x:v>2025::jama.2025.7710::C004</x:v>
      </x:c>
      <x:c r="B137" s="3" t="str">
        <x:v>relations</x:v>
      </x:c>
      <x:c r="C137" s="3" t="n">
        <x:v>0</x:v>
      </x:c>
      <x:c r="D137" s="3" t="str">
        <x:v>P_R</x:v>
      </x:c>
    </x:row>
    <x:row r="138" ht="90" customHeight="1">
      <x:c r="A138" s="6" t="str">
        <x:v>2025::jama.2025.9110::C001</x:v>
      </x:c>
      <x:c r="B138" s="6" t="str">
        <x:v>relations</x:v>
      </x:c>
      <x:c r="C138" s="6" t="n">
        <x:v>0</x:v>
      </x:c>
      <x:c r="D138" s="6" t="str">
        <x:v>S_W</x:v>
      </x:c>
    </x:row>
    <x:row r="139" ht="90" customHeight="1">
      <x:c r="A139" s="3" t="str">
        <x:v>2025::jama.2025.9110::C002</x:v>
      </x:c>
      <x:c r="B139" s="3" t="str">
        <x:v>relations</x:v>
      </x:c>
      <x:c r="C139" s="3" t="n">
        <x:v>0</x:v>
      </x:c>
      <x:c r="D139" s="3" t="str">
        <x:v>S_W</x:v>
      </x:c>
    </x:row>
    <x:row r="140" ht="90" customHeight="1">
      <x:c r="A140" s="6" t="str">
        <x:v>2025::jama.2025.9110::C003</x:v>
      </x:c>
      <x:c r="B140" s="6" t="str">
        <x:v>relations</x:v>
      </x:c>
      <x:c r="C140" s="6" t="n">
        <x:v>0</x:v>
      </x:c>
      <x:c r="D140" s="6" t="str">
        <x:v>S_W</x:v>
      </x:c>
    </x:row>
    <x:row r="141" ht="90" customHeight="1">
      <x:c r="A141" s="3" t="str">
        <x:v>2025::jama.2025.9110::C004</x:v>
      </x:c>
      <x:c r="B141" s="3" t="str">
        <x:v>relations</x:v>
      </x:c>
      <x:c r="C141" s="3" t="n">
        <x:v>0</x:v>
      </x:c>
      <x:c r="D141" s="3" t="str">
        <x:v>S_W</x:v>
      </x:c>
    </x:row>
    <x:row r="142" ht="90" customHeight="1">
      <x:c r="A142" s="6" t="str">
        <x:v>2025::jama.2025.9110::C005</x:v>
      </x:c>
      <x:c r="B142" s="6" t="str">
        <x:v>relations</x:v>
      </x:c>
      <x:c r="C142" s="6" t="n">
        <x:v>0</x:v>
      </x:c>
      <x:c r="D142" s="6" t="str">
        <x:v>S_W</x:v>
      </x:c>
    </x:row>
    <x:row r="143" ht="90" customHeight="1">
      <x:c r="A143" s="3" t="str">
        <x:v>2025::jama.2025.9110::C006</x:v>
      </x:c>
      <x:c r="B143" s="3" t="str">
        <x:v>relations</x:v>
      </x:c>
      <x:c r="C143" s="3" t="n">
        <x:v>0</x:v>
      </x:c>
      <x:c r="D143" s="3" t="str">
        <x:v>S_W</x:v>
      </x:c>
    </x:row>
    <x:row r="144" ht="90" customHeight="1">
      <x:c r="A144" s="6" t="str">
        <x:v>2025::jama.2025.9663::C001</x:v>
      </x:c>
      <x:c r="B144" s="6" t="str">
        <x:v>relations</x:v>
      </x:c>
      <x:c r="C144" s="6" t="n">
        <x:v>0</x:v>
      </x:c>
      <x:c r="D144" s="6" t="str">
        <x:v>S_W</x:v>
      </x:c>
    </x:row>
    <x:row r="145" ht="90" customHeight="1">
      <x:c r="A145" s="3" t="str">
        <x:v>2025::jama.2025.9663::C002</x:v>
      </x:c>
      <x:c r="B145" s="3" t="str">
        <x:v>relations</x:v>
      </x:c>
      <x:c r="C145" s="3" t="n">
        <x:v>0</x:v>
      </x:c>
      <x:c r="D145" s="3" t="str">
        <x:v>S_W</x:v>
      </x:c>
    </x:row>
    <x:row r="146" ht="90" customHeight="1">
      <x:c r="A146" s="6" t="str">
        <x:v>2025::jama.2025.9663::C003</x:v>
      </x:c>
      <x:c r="B146" s="6" t="str">
        <x:v>relations</x:v>
      </x:c>
      <x:c r="C146" s="6" t="n">
        <x:v>0</x:v>
      </x:c>
      <x:c r="D146" s="6" t="str">
        <x:v>P_P</x:v>
      </x:c>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v.2.1.5.3</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2025</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