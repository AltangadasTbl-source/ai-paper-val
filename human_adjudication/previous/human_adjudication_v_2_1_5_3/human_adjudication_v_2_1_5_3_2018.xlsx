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1.xml" ContentType="application/vnd.openxmlformats-officedocument.spreadsheetml.table+xml"/>
  <Override PartName="/xl/worksheets/sheet6.xml" ContentType="application/vnd.openxmlformats-officedocument.spreadsheetml.worksheet+xml"/>
  <Override PartName="/xl/tables/table2.xml" ContentType="application/vnd.openxmlformats-officedocument.spreadsheetml.table+xml"/>
  <Override PartName="/xl/worksheets/sheet7.xml" ContentType="application/vnd.openxmlformats-officedocument.spreadsheetml.worksheet+xml"/>
  <Override PartName="/xl/tables/table3.xml" ContentType="application/vnd.openxmlformats-officedocument.spreadsheetml.table+xml"/>
  <Override PartName="/xl/worksheets/sheet8.xml" ContentType="application/vnd.openxmlformats-officedocument.spreadsheetml.worksheet+xml"/>
  <Override PartName="/xl/tables/table4.xml" ContentType="application/vnd.openxmlformats-officedocument.spreadsheetml.table+xml"/>
  <Override PartName="/xl/worksheets/sheet9.xml" ContentType="application/vnd.openxmlformats-officedocument.spreadsheetml.worksheet+xml"/>
  <Override PartName="/xl/tables/table5.xml" ContentType="application/vnd.openxmlformats-officedocument.spreadsheetml.table+xml"/>
  <Override PartName="/xl/worksheets/sheet10.xml" ContentType="application/vnd.openxmlformats-officedocument.spreadsheetml.worksheet+xml"/>
  <Override PartName="/xl/tables/table6.xml" ContentType="application/vnd.openxmlformats-officedocument.spreadsheetml.table+xml"/>
  <Override PartName="/xl/worksheets/sheet11.xml" ContentType="application/vnd.openxmlformats-officedocument.spreadsheetml.worksheet+xml"/>
  <Override PartName="/xl/tables/table7.xml" ContentType="application/vnd.openxmlformats-officedocument.spreadsheetml.table+xml"/>
  <Override PartName="/xl/worksheets/sheet12.xml" ContentType="application/vnd.openxmlformats-officedocument.spreadsheetml.worksheet+xml"/>
  <Override PartName="/xl/tables/table8.xml" ContentType="application/vnd.openxmlformats-officedocument.spreadsheetml.table+xml"/>
  <Override PartName="/xl/worksheets/sheet13.xml" ContentType="application/vnd.openxmlformats-officedocument.spreadsheetml.worksheet+xml"/>
  <Override PartName="/xl/tables/table9.xml" ContentType="application/vnd.openxmlformats-officedocument.spreadsheetml.table+xml"/>
  <Override PartName="/xl/worksheets/sheet14.xml" ContentType="application/vnd.openxmlformats-officedocument.spreadsheetml.worksheet+xml"/>
  <Override PartName="/xl/tables/table10.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tables/table11.xml" ContentType="application/vnd.openxmlformats-officedocument.spreadsheetml.table+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ables/table12.xml" ContentType="application/vnd.openxmlformats-officedocument.spreadsheetml.table+xml"/>
  <Override PartName="/xl/worksheets/sheet20.xml" ContentType="application/vnd.openxmlformats-officedocument.spreadsheetml.worksheet+xml"/>
  <Override PartName="/xl/tables/table13.xml" ContentType="application/vnd.openxmlformats-officedocument.spreadsheetml.table+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4c899f5ca624da0" /></Relationships>
</file>

<file path=xl/workbook.xml><?xml version="1.0" encoding="utf-8"?>
<x:workbook xmlns:x="http://schemas.openxmlformats.org/spreadsheetml/2006/main">
  <x:sheets>
    <x:sheet xmlns:r="http://schemas.openxmlformats.org/officeDocument/2006/relationships" name="Start" sheetId="1" r:id="Ra1b53864f0a44a3a"/>
    <x:sheet xmlns:r="http://schemas.openxmlformats.org/officeDocument/2006/relationships" name="Setup" sheetId="2" r:id="R7d52b35d0a0a4e26"/>
    <x:sheet xmlns:r="http://schemas.openxmlformats.org/officeDocument/2006/relationships" name="Checks" sheetId="3" r:id="R9d1db9ba6ccf4536"/>
    <x:sheet xmlns:r="http://schemas.openxmlformats.org/officeDocument/2006/relationships" name="Papers" sheetId="4" r:id="R9763ceddbcbc4918"/>
    <x:sheet xmlns:r="http://schemas.openxmlformats.org/officeDocument/2006/relationships" name="C_jama.2017.21906" sheetId="5" r:id="R2b31bde0ae074c3a"/>
    <x:sheet xmlns:r="http://schemas.openxmlformats.org/officeDocument/2006/relationships" name="C_jama.2018.0156" sheetId="6" r:id="R625a75e1dbdb41b9"/>
    <x:sheet xmlns:r="http://schemas.openxmlformats.org/officeDocument/2006/relationships" name="C_jama.2018.0948" sheetId="7" r:id="R143beb25ca5d4e82"/>
    <x:sheet xmlns:r="http://schemas.openxmlformats.org/officeDocument/2006/relationships" name="C_jama.2018.14280" sheetId="8" r:id="R03b17ee531564f99"/>
    <x:sheet xmlns:r="http://schemas.openxmlformats.org/officeDocument/2006/relationships" name="C_jama.2018.14282" sheetId="9" r:id="R14bef7127008438f"/>
    <x:sheet xmlns:r="http://schemas.openxmlformats.org/officeDocument/2006/relationships" name="C_jama.2018.17075" sheetId="10" r:id="R41c46eb6145d4db3"/>
    <x:sheet xmlns:r="http://schemas.openxmlformats.org/officeDocument/2006/relationships" name="C_jama.2018.18020" sheetId="11" r:id="R78f16d570df44968"/>
    <x:sheet xmlns:r="http://schemas.openxmlformats.org/officeDocument/2006/relationships" name="C_jama.2018.6496" sheetId="12" r:id="R8c9fffd9e9bf48df"/>
    <x:sheet xmlns:r="http://schemas.openxmlformats.org/officeDocument/2006/relationships" name="C_jama.2018.8802" sheetId="13" r:id="R6a641c72db954c02"/>
    <x:sheet xmlns:r="http://schemas.openxmlformats.org/officeDocument/2006/relationships" name="C_jama.2018.9128" sheetId="14" r:id="Rfdd23a15bc6b4015"/>
    <x:sheet xmlns:r="http://schemas.openxmlformats.org/officeDocument/2006/relationships" name="Primary_snapshot" sheetId="15" r:id="R1ff53cee76a746f7"/>
    <x:sheet xmlns:r="http://schemas.openxmlformats.org/officeDocument/2006/relationships" name="Decisions" sheetId="16" r:id="Rf1d9be9c46e64d55"/>
    <x:sheet xmlns:r="http://schemas.openxmlformats.org/officeDocument/2006/relationships" name="Paper_counts" sheetId="17" r:id="Ra450c30209c84ca1"/>
    <x:sheet xmlns:r="http://schemas.openxmlformats.org/officeDocument/2006/relationships" name="Protocol_plan_table" sheetId="18" r:id="R7872ca33f7824d35"/>
    <x:sheet xmlns:r="http://schemas.openxmlformats.org/officeDocument/2006/relationships" name="Candidates" sheetId="19" r:id="Rf8b9e7d6a096467d"/>
    <x:sheet xmlns:r="http://schemas.openxmlformats.org/officeDocument/2006/relationships" name="Evidence" sheetId="20" r:id="R863ba46f93ad4062"/>
    <x:sheet xmlns:r="http://schemas.openxmlformats.org/officeDocument/2006/relationships" name="Links" sheetId="21" r:id="Rb3a5b61de7a34981"/>
    <x:sheet xmlns:r="http://schemas.openxmlformats.org/officeDocument/2006/relationships" name="Relations" sheetId="22" r:id="Rdb5da102d02c47ec"/>
    <x:sheet xmlns:r="http://schemas.openxmlformats.org/officeDocument/2006/relationships" name="Codebook" sheetId="23" r:id="R5efbbb0d9d914641"/>
    <x:sheet xmlns:r="http://schemas.openxmlformats.org/officeDocument/2006/relationships" name="Manifest" sheetId="24" r:id="Rece760051f5f466a"/>
  </x:sheets>
  <x:calcPr calcId="191029" fullCalcOnLoad="1" forceFullCalc="1" calcMode="auto"/>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173F57"/>
      <x:name val="Calibri"/>
    </x:font>
    <x:font>
      <x:b/>
      <x:sz val="11"/>
      <x:color rgb="FFFFFFFF"/>
      <x:name val="Calibri"/>
    </x:font>
  </x:fonts>
  <x:fills count="6">
    <x:fill>
      <x:patternFill patternType="none"/>
    </x:fill>
    <x:fill>
      <x:patternFill patternType="gray125"/>
    </x:fill>
    <x:fill>
      <x:patternFill patternType="solid">
        <x:fgColor rgb="FF173F57"/>
      </x:patternFill>
    </x:fill>
    <x:fill>
      <x:patternFill patternType="solid">
        <x:fgColor rgb="FFF4F8FA"/>
      </x:patternFill>
    </x:fill>
    <x:fill>
      <x:patternFill patternType="solid">
        <x:fgColor rgb="FFFFF2CC"/>
      </x:patternFill>
    </x:fill>
    <x:fill>
      <x:patternFill patternType="solid">
        <x:fgColor rgb="FFEAF3FC"/>
      </x:patternFill>
    </x:fill>
  </x:fills>
  <x:borders count="1">
    <x:border/>
  </x:borders>
  <x:cellStyleXfs count="1">
    <x:xf numFmtId="0" fontId="0" fillId="0" borderId="0" applyProtection="1">
      <x:protection locked="0" hidden="0"/>
    </x:xf>
  </x:cellStyleXfs>
  <x:cellXfs count="14">
    <x:xf numFmtId="0" fontId="0" fillId="0" borderId="0" xfId="0" applyProtection="1">
      <x:protection locked="0" hidden="0"/>
    </x:xf>
    <x:xf numFmtId="0" fontId="1" fillId="0" borderId="0" xfId="0" applyNumberFormat="1" applyFont="1" applyFill="1" applyBorder="1" applyProtection="1">
      <x:protection locked="0" hidden="0"/>
    </x:xf>
    <x:xf numFmtId="0" fontId="1" fillId="0" borderId="0" xfId="0" applyNumberFormat="1" applyFont="1" applyFill="1" applyBorder="1" applyAlignment="1" applyProtection="1">
      <x:alignment wrapText="1"/>
      <x:protection locked="0" hidden="0"/>
    </x:xf>
    <x:xf numFmtId="0" fontId="1" fillId="0" borderId="0" xfId="0" applyNumberFormat="1" applyFont="1" applyFill="1" applyBorder="1" applyAlignment="1" applyProtection="1">
      <x:alignment vertical="center" wrapText="1"/>
      <x:protection locked="0" hidden="0"/>
    </x:xf>
    <x:xf numFmtId="0" fontId="1" fillId="2" borderId="0" xfId="0" applyNumberFormat="1" applyFont="1" applyFill="1" applyBorder="1" applyAlignment="1" applyProtection="1">
      <x:alignment vertical="center" wrapText="1"/>
      <x:protection locked="0" hidden="0"/>
    </x:xf>
    <x:xf numFmtId="0" fontId="2" fillId="2" borderId="0" xfId="0" applyNumberFormat="1" applyFont="1" applyFill="1" applyBorder="1" applyAlignment="1" applyProtection="1">
      <x:alignment vertical="center" wrapText="1"/>
      <x:protection locked="0" hidden="0"/>
    </x:xf>
    <x:xf numFmtId="0" fontId="1" fillId="3" borderId="0" xfId="0" applyNumberFormat="1" applyFont="1" applyFill="1" applyBorder="1" applyAlignment="1" applyProtection="1">
      <x:alignment vertical="center" wrapText="1"/>
      <x:protection locked="0" hidden="0"/>
    </x:xf>
    <x:xf numFmtId="0" fontId="1" fillId="4" borderId="0" xfId="0" applyNumberFormat="1" applyFont="1" applyFill="1" applyBorder="1" applyAlignment="1" applyProtection="1">
      <x:alignment vertical="center" wrapText="1"/>
      <x:protection locked="0" hidden="0"/>
    </x:xf>
    <x:xf numFmtId="0" fontId="0" fillId="0" borderId="0" xfId="0" applyProtection="1">
      <x:extLst>
        <x:ext uri="{C7286773-470A-42A8-94C5-96B5CB345126}">
          <xfpb:xfComplement xmlns:xfpb="http://schemas.microsoft.com/office/spreadsheetml/2022/featurepropertybag" i="0"/>
        </x:ext>
      </x:extLst>
      <x:protection locked="0" hidden="0"/>
    </x:xf>
    <x:xf numFmtId="0" fontId="1" fillId="0" borderId="0" xfId="0" applyNumberFormat="1" applyFont="1" applyFill="1" applyBorder="1" applyProtection="1">
      <x:extLst>
        <x:ext uri="{C7286773-470A-42A8-94C5-96B5CB345126}">
          <xfpb:xfComplement xmlns:xfpb="http://schemas.microsoft.com/office/spreadsheetml/2022/featurepropertybag" i="0"/>
        </x:ext>
      </x:extLst>
      <x:protection locked="0" hidden="0"/>
    </x:xf>
    <x:xf numFmtId="0" fontId="1" fillId="0" borderId="0" xfId="0" applyNumberFormat="1" applyFont="1" applyFill="1" applyBorder="1" applyAlignment="1" applyProtection="1">
      <x:alignment wrapText="1"/>
      <x:extLst>
        <x:ext uri="{C7286773-470A-42A8-94C5-96B5CB345126}">
          <xfpb:xfComplement xmlns:xfpb="http://schemas.microsoft.com/office/spreadsheetml/2022/featurepropertybag" i="0"/>
        </x:ext>
      </x:extLst>
      <x:protection locked="0" hidden="0"/>
    </x:xf>
    <x:xf numFmtId="0" fontId="1" fillId="0" borderId="0" xfId="0" applyNumberFormat="1" applyFont="1" applyFill="1" applyBorder="1" applyAlignment="1" applyProtection="1">
      <x:alignment vertical="center" wrapText="1"/>
      <x:extLst>
        <x:ext uri="{C7286773-470A-42A8-94C5-96B5CB345126}">
          <xfpb:xfComplement xmlns:xfpb="http://schemas.microsoft.com/office/spreadsheetml/2022/featurepropertybag" i="0"/>
        </x:ext>
      </x:extLst>
      <x:protection locked="0" hidden="0"/>
    </x:xf>
    <x:xf numFmtId="0" fontId="1" fillId="3" borderId="0" xfId="0" applyNumberFormat="1" applyFont="1" applyFill="1" applyBorder="1" applyAlignment="1" applyProtection="1">
      <x:alignment vertical="center" wrapText="1"/>
      <x:extLst>
        <x:ext uri="{C7286773-470A-42A8-94C5-96B5CB345126}">
          <xfpb:xfComplement xmlns:xfpb="http://schemas.microsoft.com/office/spreadsheetml/2022/featurepropertybag" i="0"/>
        </x:ext>
      </x:extLst>
      <x:protection locked="0" hidden="0"/>
    </x:xf>
    <x:xf numFmtId="0" fontId="1" fillId="5" borderId="0" xfId="0" applyNumberFormat="1" applyFont="1" applyFill="1" applyBorder="1" applyAlignment="1" applyProtection="1">
      <x:alignment vertical="center" wrapText="1"/>
      <x:protection locked="0" hidden="0"/>
    </x:xf>
  </x:cellXfs>
  <x:cellStyles count="1">
    <x:cellStyle name="Normal" xfId="0"/>
  </x:cellStyles>
  <x:dxfs count="70">
    <x:dxf>
      <x:font>
        <x:color rgb="FF9C0006"/>
      </x:font>
      <x:fill>
        <x:patternFill patternType="solid">
          <x:bgColor rgb="FFFFF2CC"/>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9C0006"/>
      </x:font>
      <x:fill>
        <x:patternFill patternType="solid">
          <x:bgColor rgb="FFFFF2CC"/>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9C0006"/>
      </x:font>
      <x:fill>
        <x:patternFill patternType="solid">
          <x:bgColor rgb="FFFFF2CC"/>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9C0006"/>
      </x:font>
      <x:fill>
        <x:patternFill patternType="solid">
          <x:bgColor rgb="FFFFF2CC"/>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9C0006"/>
      </x:font>
      <x:fill>
        <x:patternFill patternType="solid">
          <x:bgColor rgb="FFFFF2CC"/>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9C0006"/>
      </x:font>
      <x:fill>
        <x:patternFill patternType="solid">
          <x:bgColor rgb="FFFFF2CC"/>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9C0006"/>
      </x:font>
      <x:fill>
        <x:patternFill patternType="solid">
          <x:bgColor rgb="FFFFF2CC"/>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9C0006"/>
      </x:font>
      <x:fill>
        <x:patternFill patternType="solid">
          <x:bgColor rgb="FFFFF2CC"/>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9C0006"/>
      </x:font>
      <x:fill>
        <x:patternFill patternType="solid">
          <x:bgColor rgb="FFFFF2CC"/>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9C0006"/>
      </x:font>
      <x:fill>
        <x:patternFill patternType="solid">
          <x:bgColor rgb="FFFFF2CC"/>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9cce95b157c425a" /><Relationship Type="http://schemas.openxmlformats.org/officeDocument/2006/relationships/theme" Target="/xl/theme/theme1.xml" Id="Rf697114e1c614420" /><Relationship Type="http://schemas.microsoft.com/office/2022/11/relationships/FeaturePropertyBag" Target="/xl/featurePropertyBag/featurePropertyBag.xml" Id="R00f858dc3e734f4b" /><Relationship Type="http://schemas.openxmlformats.org/officeDocument/2006/relationships/sharedStrings" Target="/xl/sharedStrings.xml" Id="R8669c9588baf4d51" /><Relationship Type="http://schemas.openxmlformats.org/officeDocument/2006/relationships/worksheet" Target="/xl/worksheets/sheet1.xml" Id="Ra1b53864f0a44a3a" /><Relationship Type="http://schemas.openxmlformats.org/officeDocument/2006/relationships/worksheet" Target="/xl/worksheets/sheet2.xml" Id="R7d52b35d0a0a4e26" /><Relationship Type="http://schemas.openxmlformats.org/officeDocument/2006/relationships/worksheet" Target="/xl/worksheets/sheet3.xml" Id="R9d1db9ba6ccf4536" /><Relationship Type="http://schemas.openxmlformats.org/officeDocument/2006/relationships/worksheet" Target="/xl/worksheets/sheet4.xml" Id="R9763ceddbcbc4918" /><Relationship Type="http://schemas.openxmlformats.org/officeDocument/2006/relationships/worksheet" Target="/xl/worksheets/sheet5.xml" Id="R2b31bde0ae074c3a" /><Relationship Type="http://schemas.openxmlformats.org/officeDocument/2006/relationships/worksheet" Target="/xl/worksheets/sheet6.xml" Id="R625a75e1dbdb41b9" /><Relationship Type="http://schemas.openxmlformats.org/officeDocument/2006/relationships/worksheet" Target="/xl/worksheets/sheet7.xml" Id="R143beb25ca5d4e82" /><Relationship Type="http://schemas.openxmlformats.org/officeDocument/2006/relationships/worksheet" Target="/xl/worksheets/sheet8.xml" Id="R03b17ee531564f99" /><Relationship Type="http://schemas.openxmlformats.org/officeDocument/2006/relationships/worksheet" Target="/xl/worksheets/sheet9.xml" Id="R14bef7127008438f" /><Relationship Type="http://schemas.openxmlformats.org/officeDocument/2006/relationships/worksheet" Target="/xl/worksheets/sheet10.xml" Id="R41c46eb6145d4db3" /><Relationship Type="http://schemas.openxmlformats.org/officeDocument/2006/relationships/worksheet" Target="/xl/worksheets/sheet11.xml" Id="R78f16d570df44968" /><Relationship Type="http://schemas.openxmlformats.org/officeDocument/2006/relationships/worksheet" Target="/xl/worksheets/sheet12.xml" Id="R8c9fffd9e9bf48df" /><Relationship Type="http://schemas.openxmlformats.org/officeDocument/2006/relationships/worksheet" Target="/xl/worksheets/sheet13.xml" Id="R6a641c72db954c02" /><Relationship Type="http://schemas.openxmlformats.org/officeDocument/2006/relationships/worksheet" Target="/xl/worksheets/sheet14.xml" Id="Rfdd23a15bc6b4015" /><Relationship Type="http://schemas.openxmlformats.org/officeDocument/2006/relationships/worksheet" Target="/xl/worksheets/sheet15.xml" Id="R1ff53cee76a746f7" /><Relationship Type="http://schemas.openxmlformats.org/officeDocument/2006/relationships/worksheet" Target="/xl/worksheets/sheet16.xml" Id="Rf1d9be9c46e64d55" /><Relationship Type="http://schemas.openxmlformats.org/officeDocument/2006/relationships/worksheet" Target="/xl/worksheets/sheet17.xml" Id="Ra450c30209c84ca1" /><Relationship Type="http://schemas.openxmlformats.org/officeDocument/2006/relationships/worksheet" Target="/xl/worksheets/sheet18.xml" Id="R7872ca33f7824d35" /><Relationship Type="http://schemas.openxmlformats.org/officeDocument/2006/relationships/worksheet" Target="/xl/worksheets/sheet19.xml" Id="Rf8b9e7d6a096467d" /><Relationship Type="http://schemas.openxmlformats.org/officeDocument/2006/relationships/worksheet" Target="/xl/worksheets/sheet20.xml" Id="R863ba46f93ad4062" /><Relationship Type="http://schemas.openxmlformats.org/officeDocument/2006/relationships/worksheet" Target="/xl/worksheets/sheet21.xml" Id="Rb3a5b61de7a34981" /><Relationship Type="http://schemas.openxmlformats.org/officeDocument/2006/relationships/worksheet" Target="/xl/worksheets/sheet22.xml" Id="Rdb5da102d02c47ec" /><Relationship Type="http://schemas.openxmlformats.org/officeDocument/2006/relationships/worksheet" Target="/xl/worksheets/sheet23.xml" Id="R5efbbb0d9d914641" /><Relationship Type="http://schemas.openxmlformats.org/officeDocument/2006/relationships/worksheet" Target="/xl/worksheets/sheet24.xml" Id="Rece760051f5f466a"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4" name="ReviewTable4" displayName="ReviewTable4" ref="A1:R7" headerRowCount="1" totalsRowCount="0" totalsRowShown="0">
  <x:tableColumns count="18">
    <x:tableColumn id="1" name="Candidate key"/>
    <x:tableColumn id="2" name="Candidate title"/>
    <x:tableColumn id="3" name="Source location"/>
    <x:tableColumn id="4" name="Disposition"/>
    <x:tableColumn id="5" name="Review domain"/>
    <x:tableColumn id="6" name="Complete"/>
    <x:tableColumn id="7" name="Validation hint"/>
    <x:tableColumn id="8" name="Statistcal_or_numerical issue"/>
    <x:tableColumn id="9" name="Substantiveness"/>
    <x:tableColumn id="10" name="Downstream impact"/>
    <x:tableColumn id="11" name="Report-internal or planning-material inconsistency"/>
    <x:tableColumn id="12" name="Protocol interpretation"/>
    <x:tableColumn id="13" name="Primary assessment"/>
    <x:tableColumn id="14" name="Checker result"/>
    <x:tableColumn id="15" name="Checker comment"/>
    <x:tableColumn id="16" name="Discussion resolution"/>
    <x:tableColumn id="17" name="Resolution note"/>
    <x:tableColumn id="18" name="Notes (optional)"/>
  </x:tableColumns>
  <x:tableStyleInfo name="TableStyleMedium2" showFirstColumn="0" showLastColumn="0" showRowStripes="1" showColumnStripes="0"/>
</x:table>
</file>

<file path=xl/tables/table2.xml><?xml version="1.0" encoding="utf-8"?>
<x:table xmlns:x="http://schemas.openxmlformats.org/spreadsheetml/2006/main" id="5" name="ReviewTable5" displayName="ReviewTable5" ref="A1:R9" headerRowCount="1" totalsRowCount="0" totalsRowShown="0">
  <x:tableColumns count="18">
    <x:tableColumn id="1" name="Candidate key"/>
    <x:tableColumn id="2" name="Candidate title"/>
    <x:tableColumn id="3" name="Source location"/>
    <x:tableColumn id="4" name="Disposition"/>
    <x:tableColumn id="5" name="Review domain"/>
    <x:tableColumn id="6" name="Complete"/>
    <x:tableColumn id="7" name="Validation hint"/>
    <x:tableColumn id="8" name="Statistcal_or_numerical issue"/>
    <x:tableColumn id="9" name="Substantiveness"/>
    <x:tableColumn id="10" name="Downstream impact"/>
    <x:tableColumn id="11" name="Report-internal or planning-material inconsistency"/>
    <x:tableColumn id="12" name="Protocol interpretation"/>
    <x:tableColumn id="13" name="Primary assessment"/>
    <x:tableColumn id="14" name="Checker result"/>
    <x:tableColumn id="15" name="Checker comment"/>
    <x:tableColumn id="16" name="Discussion resolution"/>
    <x:tableColumn id="17" name="Resolution note"/>
    <x:tableColumn id="18" name="Notes (optional)"/>
  </x:tableColumns>
  <x:tableStyleInfo name="TableStyleMedium2" showFirstColumn="0" showLastColumn="0" showRowStripes="1" showColumnStripes="0"/>
</x:table>
</file>

<file path=xl/tables/table3.xml><?xml version="1.0" encoding="utf-8"?>
<x:table xmlns:x="http://schemas.openxmlformats.org/spreadsheetml/2006/main" id="6" name="ReviewTable6" displayName="ReviewTable6" ref="A1:R8" headerRowCount="1" totalsRowCount="0" totalsRowShown="0">
  <x:tableColumns count="18">
    <x:tableColumn id="1" name="Candidate key"/>
    <x:tableColumn id="2" name="Candidate title"/>
    <x:tableColumn id="3" name="Source location"/>
    <x:tableColumn id="4" name="Disposition"/>
    <x:tableColumn id="5" name="Review domain"/>
    <x:tableColumn id="6" name="Complete"/>
    <x:tableColumn id="7" name="Validation hint"/>
    <x:tableColumn id="8" name="Statistcal_or_numerical issue"/>
    <x:tableColumn id="9" name="Substantiveness"/>
    <x:tableColumn id="10" name="Downstream impact"/>
    <x:tableColumn id="11" name="Report-internal or planning-material inconsistency"/>
    <x:tableColumn id="12" name="Protocol interpretation"/>
    <x:tableColumn id="13" name="Primary assessment"/>
    <x:tableColumn id="14" name="Checker result"/>
    <x:tableColumn id="15" name="Checker comment"/>
    <x:tableColumn id="16" name="Discussion resolution"/>
    <x:tableColumn id="17" name="Resolution note"/>
    <x:tableColumn id="18" name="Notes (optional)"/>
  </x:tableColumns>
  <x:tableStyleInfo name="TableStyleMedium2" showFirstColumn="0" showLastColumn="0" showRowStripes="1" showColumnStripes="0"/>
</x:table>
</file>

<file path=xl/tables/table4.xml><?xml version="1.0" encoding="utf-8"?>
<x:table xmlns:x="http://schemas.openxmlformats.org/spreadsheetml/2006/main" id="7" name="ReviewTable7" displayName="ReviewTable7" ref="A1:R24" headerRowCount="1" totalsRowCount="0" totalsRowShown="0">
  <x:tableColumns count="18">
    <x:tableColumn id="1" name="Candidate key"/>
    <x:tableColumn id="2" name="Candidate title"/>
    <x:tableColumn id="3" name="Source location"/>
    <x:tableColumn id="4" name="Disposition"/>
    <x:tableColumn id="5" name="Review domain"/>
    <x:tableColumn id="6" name="Complete"/>
    <x:tableColumn id="7" name="Validation hint"/>
    <x:tableColumn id="8" name="Statistcal_or_numerical issue"/>
    <x:tableColumn id="9" name="Substantiveness"/>
    <x:tableColumn id="10" name="Downstream impact"/>
    <x:tableColumn id="11" name="Report-internal or planning-material inconsistency"/>
    <x:tableColumn id="12" name="Protocol interpretation"/>
    <x:tableColumn id="13" name="Primary assessment"/>
    <x:tableColumn id="14" name="Checker result"/>
    <x:tableColumn id="15" name="Checker comment"/>
    <x:tableColumn id="16" name="Discussion resolution"/>
    <x:tableColumn id="17" name="Resolution note"/>
    <x:tableColumn id="18" name="Notes (optional)"/>
  </x:tableColumns>
  <x:tableStyleInfo name="TableStyleMedium2" showFirstColumn="0" showLastColumn="0" showRowStripes="1" showColumnStripes="0"/>
</x:table>
</file>

<file path=xl/tables/table5.xml><?xml version="1.0" encoding="utf-8"?>
<x:table xmlns:x="http://schemas.openxmlformats.org/spreadsheetml/2006/main" id="8" name="ReviewTable8" displayName="ReviewTable8" ref="A1:R29" headerRowCount="1" totalsRowCount="0" totalsRowShown="0">
  <x:tableColumns count="18">
    <x:tableColumn id="1" name="Candidate key"/>
    <x:tableColumn id="2" name="Candidate title"/>
    <x:tableColumn id="3" name="Source location"/>
    <x:tableColumn id="4" name="Disposition"/>
    <x:tableColumn id="5" name="Review domain"/>
    <x:tableColumn id="6" name="Complete"/>
    <x:tableColumn id="7" name="Validation hint"/>
    <x:tableColumn id="8" name="Statistcal_or_numerical issue"/>
    <x:tableColumn id="9" name="Substantiveness"/>
    <x:tableColumn id="10" name="Downstream impact"/>
    <x:tableColumn id="11" name="Report-internal or planning-material inconsistency"/>
    <x:tableColumn id="12" name="Protocol interpretation"/>
    <x:tableColumn id="13" name="Primary assessment"/>
    <x:tableColumn id="14" name="Checker result"/>
    <x:tableColumn id="15" name="Checker comment"/>
    <x:tableColumn id="16" name="Discussion resolution"/>
    <x:tableColumn id="17" name="Resolution note"/>
    <x:tableColumn id="18" name="Notes (optional)"/>
  </x:tableColumns>
  <x:tableStyleInfo name="TableStyleMedium2" showFirstColumn="0" showLastColumn="0" showRowStripes="1" showColumnStripes="0"/>
</x:table>
</file>

<file path=xl/tables/table6.xml><?xml version="1.0" encoding="utf-8"?>
<x:table xmlns:x="http://schemas.openxmlformats.org/spreadsheetml/2006/main" id="9" name="ReviewTable9" displayName="ReviewTable9" ref="A1:R9" headerRowCount="1" totalsRowCount="0" totalsRowShown="0">
  <x:tableColumns count="18">
    <x:tableColumn id="1" name="Candidate key"/>
    <x:tableColumn id="2" name="Candidate title"/>
    <x:tableColumn id="3" name="Source location"/>
    <x:tableColumn id="4" name="Disposition"/>
    <x:tableColumn id="5" name="Review domain"/>
    <x:tableColumn id="6" name="Complete"/>
    <x:tableColumn id="7" name="Validation hint"/>
    <x:tableColumn id="8" name="Statistcal_or_numerical issue"/>
    <x:tableColumn id="9" name="Substantiveness"/>
    <x:tableColumn id="10" name="Downstream impact"/>
    <x:tableColumn id="11" name="Report-internal or planning-material inconsistency"/>
    <x:tableColumn id="12" name="Protocol interpretation"/>
    <x:tableColumn id="13" name="Primary assessment"/>
    <x:tableColumn id="14" name="Checker result"/>
    <x:tableColumn id="15" name="Checker comment"/>
    <x:tableColumn id="16" name="Discussion resolution"/>
    <x:tableColumn id="17" name="Resolution note"/>
    <x:tableColumn id="18" name="Notes (optional)"/>
  </x:tableColumns>
  <x:tableStyleInfo name="TableStyleMedium2" showFirstColumn="0" showLastColumn="0" showRowStripes="1" showColumnStripes="0"/>
</x:table>
</file>

<file path=xl/tables/table7.xml><?xml version="1.0" encoding="utf-8"?>
<x:table xmlns:x="http://schemas.openxmlformats.org/spreadsheetml/2006/main" id="10" name="ReviewTable10" displayName="ReviewTable10" ref="A1:R15" headerRowCount="1" totalsRowCount="0" totalsRowShown="0">
  <x:tableColumns count="18">
    <x:tableColumn id="1" name="Candidate key"/>
    <x:tableColumn id="2" name="Candidate title"/>
    <x:tableColumn id="3" name="Source location"/>
    <x:tableColumn id="4" name="Disposition"/>
    <x:tableColumn id="5" name="Review domain"/>
    <x:tableColumn id="6" name="Complete"/>
    <x:tableColumn id="7" name="Validation hint"/>
    <x:tableColumn id="8" name="Statistcal_or_numerical issue"/>
    <x:tableColumn id="9" name="Substantiveness"/>
    <x:tableColumn id="10" name="Downstream impact"/>
    <x:tableColumn id="11" name="Report-internal or planning-material inconsistency"/>
    <x:tableColumn id="12" name="Protocol interpretation"/>
    <x:tableColumn id="13" name="Primary assessment"/>
    <x:tableColumn id="14" name="Checker result"/>
    <x:tableColumn id="15" name="Checker comment"/>
    <x:tableColumn id="16" name="Discussion resolution"/>
    <x:tableColumn id="17" name="Resolution note"/>
    <x:tableColumn id="18" name="Notes (optional)"/>
  </x:tableColumns>
  <x:tableStyleInfo name="TableStyleMedium2" showFirstColumn="0" showLastColumn="0" showRowStripes="1" showColumnStripes="0"/>
</x:table>
</file>

<file path=xl/tables/table8.xml><?xml version="1.0" encoding="utf-8"?>
<x:table xmlns:x="http://schemas.openxmlformats.org/spreadsheetml/2006/main" id="11" name="ReviewTable11" displayName="ReviewTable11" ref="A1:R5" headerRowCount="1" totalsRowCount="0" totalsRowShown="0">
  <x:tableColumns count="18">
    <x:tableColumn id="1" name="Candidate key"/>
    <x:tableColumn id="2" name="Candidate title"/>
    <x:tableColumn id="3" name="Source location"/>
    <x:tableColumn id="4" name="Disposition"/>
    <x:tableColumn id="5" name="Review domain"/>
    <x:tableColumn id="6" name="Complete"/>
    <x:tableColumn id="7" name="Validation hint"/>
    <x:tableColumn id="8" name="Statistcal_or_numerical issue"/>
    <x:tableColumn id="9" name="Substantiveness"/>
    <x:tableColumn id="10" name="Downstream impact"/>
    <x:tableColumn id="11" name="Report-internal or planning-material inconsistency"/>
    <x:tableColumn id="12" name="Protocol interpretation"/>
    <x:tableColumn id="13" name="Primary assessment"/>
    <x:tableColumn id="14" name="Checker result"/>
    <x:tableColumn id="15" name="Checker comment"/>
    <x:tableColumn id="16" name="Discussion resolution"/>
    <x:tableColumn id="17" name="Resolution note"/>
    <x:tableColumn id="18" name="Notes (optional)"/>
  </x:tableColumns>
  <x:tableStyleInfo name="TableStyleMedium2" showFirstColumn="0" showLastColumn="0" showRowStripes="1" showColumnStripes="0"/>
</x:table>
</file>

<file path=xl/tables/table9.xml><?xml version="1.0" encoding="utf-8"?>
<x:table xmlns:x="http://schemas.openxmlformats.org/spreadsheetml/2006/main" id="12" name="ReviewTable12" displayName="ReviewTable12" ref="A1:R9" headerRowCount="1" totalsRowCount="0" totalsRowShown="0">
  <x:tableColumns count="18">
    <x:tableColumn id="1" name="Candidate key"/>
    <x:tableColumn id="2" name="Candidate title"/>
    <x:tableColumn id="3" name="Source location"/>
    <x:tableColumn id="4" name="Disposition"/>
    <x:tableColumn id="5" name="Review domain"/>
    <x:tableColumn id="6" name="Complete"/>
    <x:tableColumn id="7" name="Validation hint"/>
    <x:tableColumn id="8" name="Statistcal_or_numerical issue"/>
    <x:tableColumn id="9" name="Substantiveness"/>
    <x:tableColumn id="10" name="Downstream impact"/>
    <x:tableColumn id="11" name="Report-internal or planning-material inconsistency"/>
    <x:tableColumn id="12" name="Protocol interpretation"/>
    <x:tableColumn id="13" name="Primary assessment"/>
    <x:tableColumn id="14" name="Checker result"/>
    <x:tableColumn id="15" name="Checker comment"/>
    <x:tableColumn id="16" name="Discussion resolution"/>
    <x:tableColumn id="17" name="Resolution note"/>
    <x:tableColumn id="18" name="Notes (optional)"/>
  </x:tableColumns>
  <x:tableStyleInfo name="TableStyleMedium2" showFirstColumn="0" showLastColumn="0" showRowStripes="1" showColumnStripes="0"/>
</x:table>
</file>

<file path=xl/tables/table10.xml><?xml version="1.0" encoding="utf-8"?>
<x:table xmlns:x="http://schemas.openxmlformats.org/spreadsheetml/2006/main" id="13" name="ReviewTable13" displayName="ReviewTable13" ref="A1:R14" headerRowCount="1" totalsRowCount="0" totalsRowShown="0">
  <x:tableColumns count="18">
    <x:tableColumn id="1" name="Candidate key"/>
    <x:tableColumn id="2" name="Candidate title"/>
    <x:tableColumn id="3" name="Source location"/>
    <x:tableColumn id="4" name="Disposition"/>
    <x:tableColumn id="5" name="Review domain"/>
    <x:tableColumn id="6" name="Complete"/>
    <x:tableColumn id="7" name="Validation hint"/>
    <x:tableColumn id="8" name="Statistcal_or_numerical issue"/>
    <x:tableColumn id="9" name="Substantiveness"/>
    <x:tableColumn id="10" name="Downstream impact"/>
    <x:tableColumn id="11" name="Report-internal or planning-material inconsistency"/>
    <x:tableColumn id="12" name="Protocol interpretation"/>
    <x:tableColumn id="13" name="Primary assessment"/>
    <x:tableColumn id="14" name="Checker result"/>
    <x:tableColumn id="15" name="Checker comment"/>
    <x:tableColumn id="16" name="Discussion resolution"/>
    <x:tableColumn id="17" name="Resolution note"/>
    <x:tableColumn id="18" name="Notes (optional)"/>
  </x:tableColumns>
  <x:tableStyleInfo name="TableStyleMedium2" showFirstColumn="0" showLastColumn="0" showRowStripes="1" showColumnStripes="0"/>
</x:table>
</file>

<file path=xl/tables/table11.xml><?xml version="1.0" encoding="utf-8"?>
<x:table xmlns:x="http://schemas.openxmlformats.org/spreadsheetml/2006/main" id="1" name="ReviewTable1" displayName="ReviewTable1" ref="A1:AD120" headerRowCount="1" totalsRowCount="0" totalsRowShown="0">
  <x:tableColumns count="30">
    <x:tableColumn id="1" name="year"/>
    <x:tableColumn id="2" name="package"/>
    <x:tableColumn id="3" name="key"/>
    <x:tableColumn id="4" name="relationship"/>
    <x:tableColumn id="5" name="primaryReviewerId"/>
    <x:tableColumn id="6" name="checkerId"/>
    <x:tableColumn id="7" name="status"/>
    <x:tableColumn id="8" name="outcome"/>
    <x:tableColumn id="9" name="aiDisposition"/>
    <x:tableColumn id="10" name="aiDomain"/>
    <x:tableColumn id="11" name="primary_disposition"/>
    <x:tableColumn id="12" name="primary_domain"/>
    <x:tableColumn id="13" name="primary_statisticalIssueStatus"/>
    <x:tableColumn id="14" name="primary_substantiveStatus"/>
    <x:tableColumn id="15" name="primary_downstreamImpact"/>
    <x:tableColumn id="16" name="primary_internalStatus"/>
    <x:tableColumn id="17" name="primary_protocolInterpretation"/>
    <x:tableColumn id="18" name="primary_notes"/>
    <x:tableColumn id="19" name="final_disposition"/>
    <x:tableColumn id="20" name="final_domain"/>
    <x:tableColumn id="21" name="final_statisticalIssueStatus"/>
    <x:tableColumn id="22" name="final_substantiveStatus"/>
    <x:tableColumn id="23" name="final_downstreamImpact"/>
    <x:tableColumn id="24" name="final_internalStatus"/>
    <x:tableColumn id="25" name="final_protocolInterpretation"/>
    <x:tableColumn id="26" name="final_notes"/>
    <x:tableColumn id="27" name="checkStatus"/>
    <x:tableColumn id="28" name="checkerComment"/>
    <x:tableColumn id="29" name="resolutionStatus"/>
    <x:tableColumn id="30" name="resolutionNote"/>
  </x:tableColumns>
  <x:tableStyleInfo name="TableStyleMedium2" showFirstColumn="0" showLastColumn="0" showRowStripes="1" showColumnStripes="0"/>
</x:table>
</file>

<file path=xl/tables/table12.xml><?xml version="1.0" encoding="utf-8"?>
<x:table xmlns:x="http://schemas.openxmlformats.org/spreadsheetml/2006/main" id="2" name="ReviewTable2" displayName="ReviewTable2" ref="A1:AB120" headerRowCount="1" totalsRowCount="0" totalsRowShown="0">
  <x:tableColumns count="28">
    <x:tableColumn id="1" name="additionalSensitivityExclude"/>
    <x:tableColumn id="2" name="ambiguity"/>
    <x:tableColumn id="3" name="broadPlanInvolved"/>
    <x:tableColumn id="4" name="category"/>
    <x:tableColumn id="5" name="currentReportCrossDocument"/>
    <x:tableColumn id="6" name="id"/>
    <x:tableColumn id="7" name="key"/>
    <x:tableColumn id="8" name="legacyRelationship"/>
    <x:tableColumn id="9" name="locations"/>
    <x:tableColumn id="10" name="originalCrossDocument"/>
    <x:tableColumn id="11" name="package"/>
    <x:tableColumn id="12" name="planMechanism"/>
    <x:tableColumn id="13" name="primary"/>
    <x:tableColumn id="14" name="rationale"/>
    <x:tableColumn id="15" name="reportHref"/>
    <x:tableColumn id="16" name="reportPath"/>
    <x:tableColumn id="17" name="sourceId"/>
    <x:tableColumn id="18" name="sourceStatus"/>
    <x:tableColumn id="19" name="statement"/>
    <x:tableColumn id="20" name="submissionInvolved"/>
    <x:tableColumn id="21" name="subtype"/>
    <x:tableColumn id="22" name="suggestedDomain"/>
    <x:tableColumn id="23" name="title"/>
    <x:tableColumn id="24" name="year"/>
    <x:tableColumn id="25" name="ai_source"/>
    <x:tableColumn id="26" name="ai_relationship"/>
    <x:tableColumn id="27" name="ai_domain"/>
    <x:tableColumn id="28" name="ai_disposition"/>
  </x:tableColumns>
  <x:tableStyleInfo name="TableStyleMedium2" showFirstColumn="0" showLastColumn="0" showRowStripes="1" showColumnStripes="0"/>
</x:table>
</file>

<file path=xl/tables/table13.xml><?xml version="1.0" encoding="utf-8"?>
<x:table xmlns:x="http://schemas.openxmlformats.org/spreadsheetml/2006/main" id="3" name="ReviewTable3" displayName="ReviewTable3" ref="A1:D477" headerRowCount="1" totalsRowCount="0" totalsRowShown="0">
  <x:tableColumns count="4">
    <x:tableColumn id="1" name="key"/>
    <x:tableColumn id="2" name="order"/>
    <x:tableColumn id="3" name="section"/>
    <x:tableColumn id="4" name="tex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5.xml.rels>&#65279;<?xml version="1.0" encoding="utf-8"?><Relationships xmlns="http://schemas.openxmlformats.org/package/2006/relationships"><Relationship Type="http://schemas.openxmlformats.org/officeDocument/2006/relationships/table" Target="/xl/tables/table1.xml" Id="Raaa8914007134eb7" /></Relationships>
</file>

<file path=xl/worksheets/_rels/sheet6.xml.rels>&#65279;<?xml version="1.0" encoding="utf-8"?><Relationships xmlns="http://schemas.openxmlformats.org/package/2006/relationships"><Relationship Type="http://schemas.openxmlformats.org/officeDocument/2006/relationships/table" Target="/xl/tables/table2.xml" Id="R6447c2142f8f4887" /></Relationships>
</file>

<file path=xl/worksheets/_rels/sheet7.xml.rels>&#65279;<?xml version="1.0" encoding="utf-8"?><Relationships xmlns="http://schemas.openxmlformats.org/package/2006/relationships"><Relationship Type="http://schemas.openxmlformats.org/officeDocument/2006/relationships/table" Target="/xl/tables/table3.xml" Id="Raa3896884e074b39" /></Relationships>
</file>

<file path=xl/worksheets/_rels/sheet8.xml.rels>&#65279;<?xml version="1.0" encoding="utf-8"?><Relationships xmlns="http://schemas.openxmlformats.org/package/2006/relationships"><Relationship Type="http://schemas.openxmlformats.org/officeDocument/2006/relationships/table" Target="/xl/tables/table4.xml" Id="R065946798b7142ad" /></Relationships>
</file>

<file path=xl/worksheets/_rels/sheet9.xml.rels>&#65279;<?xml version="1.0" encoding="utf-8"?><Relationships xmlns="http://schemas.openxmlformats.org/package/2006/relationships"><Relationship Type="http://schemas.openxmlformats.org/officeDocument/2006/relationships/table" Target="/xl/tables/table5.xml" Id="R3833c1bfd34640ac" /></Relationships>
</file>

<file path=xl/worksheets/_rels/sheet10.xml.rels>&#65279;<?xml version="1.0" encoding="utf-8"?><Relationships xmlns="http://schemas.openxmlformats.org/package/2006/relationships"><Relationship Type="http://schemas.openxmlformats.org/officeDocument/2006/relationships/table" Target="/xl/tables/table6.xml" Id="R48899925e97d4153" /></Relationships>
</file>

<file path=xl/worksheets/_rels/sheet11.xml.rels>&#65279;<?xml version="1.0" encoding="utf-8"?><Relationships xmlns="http://schemas.openxmlformats.org/package/2006/relationships"><Relationship Type="http://schemas.openxmlformats.org/officeDocument/2006/relationships/table" Target="/xl/tables/table7.xml" Id="Rb4b7abc3daf24326" /></Relationships>
</file>

<file path=xl/worksheets/_rels/sheet12.xml.rels>&#65279;<?xml version="1.0" encoding="utf-8"?><Relationships xmlns="http://schemas.openxmlformats.org/package/2006/relationships"><Relationship Type="http://schemas.openxmlformats.org/officeDocument/2006/relationships/table" Target="/xl/tables/table8.xml" Id="R3650b8aa052544cb" /></Relationships>
</file>

<file path=xl/worksheets/_rels/sheet13.xml.rels>&#65279;<?xml version="1.0" encoding="utf-8"?><Relationships xmlns="http://schemas.openxmlformats.org/package/2006/relationships"><Relationship Type="http://schemas.openxmlformats.org/officeDocument/2006/relationships/table" Target="/xl/tables/table9.xml" Id="Rbf1f5c69b2a24764" /></Relationships>
</file>

<file path=xl/worksheets/_rels/sheet14.xml.rels>&#65279;<?xml version="1.0" encoding="utf-8"?><Relationships xmlns="http://schemas.openxmlformats.org/package/2006/relationships"><Relationship Type="http://schemas.openxmlformats.org/officeDocument/2006/relationships/table" Target="/xl/tables/table10.xml" Id="R94e63a0951304037" /></Relationships>
</file>

<file path=xl/worksheets/_rels/sheet16.xml.rels>&#65279;<?xml version="1.0" encoding="utf-8"?><Relationships xmlns="http://schemas.openxmlformats.org/package/2006/relationships"><Relationship Type="http://schemas.openxmlformats.org/officeDocument/2006/relationships/table" Target="/xl/tables/table11.xml" Id="Rd4d7f7051876453b" /></Relationships>
</file>

<file path=xl/worksheets/_rels/sheet19.xml.rels>&#65279;<?xml version="1.0" encoding="utf-8"?><Relationships xmlns="http://schemas.openxmlformats.org/package/2006/relationships"><Relationship Type="http://schemas.openxmlformats.org/officeDocument/2006/relationships/table" Target="/xl/tables/table12.xml" Id="R20a6a30723394b0f" /></Relationships>
</file>

<file path=xl/worksheets/_rels/sheet20.xml.rels>&#65279;<?xml version="1.0" encoding="utf-8"?><Relationships xmlns="http://schemas.openxmlformats.org/package/2006/relationships"><Relationship Type="http://schemas.openxmlformats.org/officeDocument/2006/relationships/table" Target="/xl/tables/table13.xml" Id="R75366f9de19740a8" /></Relationships>
</file>

<file path=xl/worksheets/sheet1.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0" hidden="0" customWidth="1"/>
    <x:col min="2" max="2" width="112" hidden="0" customWidth="1"/>
  </x:cols>
  <x:sheetData>
    <x:row r="1" ht="42" customHeight="1">
      <x:c r="A1" s="5" t="str">
        <x:v>Step</x:v>
      </x:c>
      <x:c r="B1" s="5" t="str">
        <x:v>Instructions</x:v>
      </x:c>
    </x:row>
    <x:row r="2" ht="68" customHeight="1">
      <x:c r="A2" s="6" t="str">
        <x:v>Release</x:v>
      </x:c>
      <x:c r="B2" s="6" t="str">
        <x:v>v.2.1.5.3 | 2018 | Excel-only review | 119 candidates | No locks, macros or scripts</x:v>
      </x:c>
    </x:row>
    <x:row r="3" ht="68" customHeight="1">
      <x:c r="A3" s="3" t="str">
        <x:v>1. Begin</x:v>
      </x:c>
      <x:c r="B3" s="3" t="str">
        <x:v>Save As a working copy. Setup: enter primaryReviewerId (B2); stage (B6) stays primary. The primary and checker must be different people. Keep checker ID/name blank during primary review.</x:v>
      </x:c>
    </x:row>
    <x:row r="4" ht="68" customHeight="1">
      <x:c r="A4" s="6" t="str">
        <x:v>2. Read one candidate</x:v>
      </x:c>
      <x:c r="B4" s="6" t="str">
        <x:v>Papers lists each C_&lt;paper&gt; sheet. Read A-C, then filter Candidates and Evidence by Candidate key. Consult original documents in the shared year/paper folders. AI flags and suggested domains are not confirmed human findings.</x:v>
      </x:c>
    </x:row>
    <x:row r="5" ht="68" customHeight="1">
      <x:c r="A5" s="3" t="str">
        <x:v>3. Make the assessment</x:v>
      </x:c>
      <x:c r="B5" s="3" t="str">
        <x:v>Choose Disposition (D) and confirm Review domain (E). Fill the applicable H-L judgments. English inputs. Yellow = common/required; blue = optional; gray = inactive. Read Codebook for meanings. Primary assessment (M) is blank during primary review.</x:v>
      </x:c>
    </x:row>
    <x:row r="6" ht="68" customHeight="1">
      <x:c r="A6" s="6" t="str">
        <x:v>4. Complete primary review</x:v>
      </x:c>
      <x:c r="B6" s="6" t="str">
        <x:v>Set F to primary_done only after reviewing the row. Leave N-Q blank. G must say PRIMARY READY. Checks summarizes all rows. Use no while drafting; recheck after every later edit.</x:v>
      </x:c>
    </x:row>
    <x:row r="7" ht="68" customHeight="1">
      <x:c r="A7" s="3" t="str">
        <x:v>5. Save the backup</x:v>
      </x:c>
      <x:c r="B7" s="3" t="str">
        <x:v>When Checks says PRIMARY READY, save and close the primary file. Keep this backup. Open it and Save As a new checker working copy before continuing. Never reuse the primary backup for checker edits.</x:v>
      </x:c>
    </x:row>
    <x:row r="8" ht="68" customHeight="1">
      <x:c r="A8" s="6" t="str">
        <x:v>6. Freeze the snapshot</x:v>
      </x:c>
      <x:c r="B8" s="6" t="str">
        <x:v>In the checker copy, while Setup B6 still says primary: open Primary_snapshot. Select A1:L120 using the Name Box. Copy; Home &gt; Paste &gt; Paste Special &gt; Values onto the SAME selected cells. Do this once. Save.</x:v>
      </x:c>
    </x:row>
    <x:row r="9" ht="68" customHeight="1">
      <x:c r="A9" s="3" t="str">
        <x:v>7. Start checking</x:v>
      </x:c>
      <x:c r="B9" s="3" t="str">
        <x:v>Now set Setup B6 to checker and enter checkerId in B4. Primary_snapshot must be saved as values BEFORE this switch. M now shows the original assessment. The existing answers remain in D/E/H-L/R; edit them directly. A blank is blank; there is no inheritance. F=primary_done does not finish checking.</x:v>
      </x:c>
    </x:row>
    <x:row r="10" ht="68" customHeight="1">
      <x:c r="A10" s="6" t="str">
        <x:v>8. Check or discuss</x:v>
      </x:c>
      <x:c r="B10" s="6" t="str">
        <x:v>If unchanged: N=agree. Otherwise choose the appropriate result and explain in O. For disagree, unable, or a primary discuss: discuss together; P=resolved; Q lists participants and conclusion; update the final answers and do not leave D=discuss. Then set F=checker_done.</x:v>
      </x:c>
    </x:row>
    <x:row r="11" ht="68" customHeight="1">
      <x:c r="A11" s="3" t="str">
        <x:v>9. Finish and hand off</x:v>
      </x:c>
      <x:c r="B11" s="3" t="str">
        <x:v>Every G must say FINAL READY and Checks must say FINAL READY. Save the annual workbook as *_final.xlsx. Decisions, Paper_counts and Protocol_plan_table are built in; no separate export command. Give the manager the final file and unchanged primary backup, preserving access to shared source folders.</x:v>
      </x:c>
    </x:row>
    <x:row r="12" ht="68" customHeight="1">
      <x:c r="A12" s="6" t="str">
        <x:v>Changes / pause</x:v>
      </x:c>
      <x:c r="B12" s="6" t="str">
        <x:v>Changing a domain may leave old literal answers. Clear inactive answers or choose not_applicable; answer newly applicable fields. Optional blanks are allowed. Set F=no after editing a completed row, then review and mark the correct stage done. Save; note the file, sheet and Candidate key to resume.</x:v>
      </x:c>
    </x:row>
    <x:row r="13" ht="68" customHeight="1">
      <x:c r="A13" s="3" t="str">
        <x:v>No unlock step</x:v>
      </x:c>
      <x:c r="B13" s="3" t="str">
        <x:v>Every cell and sheet is editable, including reference and formula cells. No passwords. Edit review inputs and Setup; preserve keys, sources and calculation cells. If a formula/reference is damaged, undo or recover from your saved copy.</x:v>
      </x:c>
    </x:row>
    <x:row r="14" ht="68" customHeight="1">
      <x:c r="A14" s="6" t="str">
        <x:v>Meaning of results</x:v>
      </x:c>
      <x:c r="B14" s="6" t="str">
        <x:v>Checks tests entries and completion, not scientific accuracy or tamper-proof provenance. Outcomes remain blank until FINAL READY per row. Paper counts stay blank until all candidates in that paper are final. Protocol and plan findings are descriptive; visible-answer checking is not blinded reliability.</x:v>
      </x:c>
    </x:row>
    <x:row r="15" ht="68" customHeight="1">
      <x:c r="A15" s="3" t="str">
        <x:v>Help / PDF</x:v>
      </x:c>
      <x:c r="B15" s="3" t="str">
        <x:v>Use the Chinese step-by-step PDF in this same folder. No terminal, package installation, handoff script, validation script, or export script is part of this workflow.</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2" hidden="0" customWidth="1"/>
    <x:col min="2" max="2" width="65" hidden="0" customWidth="1"/>
  </x:cols>
  <x:sheetData>
    <x:row r="1" ht="42" customHeight="1">
      <x:c r="A1" s="5" t="str">
        <x:v>Field</x:v>
      </x:c>
      <x:c r="B1" s="5" t="str">
        <x:v>Value</x:v>
      </x:c>
    </x:row>
    <x:row r="2" ht="40" customHeight="1">
      <x:c r="A2" s="6" t="str">
        <x:v>primaryReviewerId</x:v>
      </x:c>
      <x:c r="B2" s="7" t="str"/>
    </x:row>
    <x:row r="3" ht="40" customHeight="1">
      <x:c r="A3" s="3" t="str">
        <x:v>primaryReviewerName</x:v>
      </x:c>
      <x:c r="B3" s="7" t="str"/>
    </x:row>
    <x:row r="4" ht="40" customHeight="1">
      <x:c r="A4" s="6" t="str">
        <x:v>checkerId</x:v>
      </x:c>
      <x:c r="B4" s="7" t="str"/>
    </x:row>
    <x:row r="5" ht="40" customHeight="1">
      <x:c r="A5" s="3" t="str">
        <x:v>checkerName</x:v>
      </x:c>
      <x:c r="B5" s="7" t="str"/>
    </x:row>
    <x:row r="6" ht="40" customHeight="1">
      <x:c r="A6" s="6" t="str">
        <x:v>stage</x:v>
      </x:c>
      <x:c r="B6" s="7" t="str">
        <x:v>primary</x:v>
      </x:c>
    </x:row>
  </x:sheetData>
  <x:dataValidations count="1">
    <x:dataValidation type="list" sqref="B6">
      <x:formula1>"primary,checker"</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4" hidden="0" customWidth="1"/>
    <x:col min="2" max="2" width="104" hidden="0" customWidth="1"/>
  </x:cols>
  <x:sheetData>
    <x:row r="1" ht="42" customHeight="1">
      <x:c r="A1" s="5" t="str">
        <x:v>Check</x:v>
      </x:c>
      <x:c r="B1" s="5" t="str">
        <x:v>Result</x:v>
      </x:c>
    </x:row>
    <x:row r="2" ht="44" customHeight="1">
      <x:c r="A2" s="6" t="str">
        <x:v>Stage</x:v>
      </x:c>
      <x:c r="B2" s="6" t="str">
        <x:f>Setup!$B$6</x:f>
        <x:v>primary</x:v>
      </x:c>
    </x:row>
    <x:row r="3" ht="44" customHeight="1">
      <x:c r="A3" s="3" t="str">
        <x:v>Candidates</x:v>
      </x:c>
      <x:c r="B3" s="3" t="n">
        <x:v>119</x:v>
      </x:c>
    </x:row>
    <x:row r="4" ht="44" customHeight="1">
      <x:c r="A4" s="6" t="str">
        <x:v>Primary ready rows</x:v>
      </x:c>
      <x:c r="B4" s="6" t="n">
        <x:f>COUNTIF(Decisions!G2:G120,"PRIMARY READY")</x:f>
        <x:v>0</x:v>
      </x:c>
    </x:row>
    <x:row r="5" ht="44" customHeight="1">
      <x:c r="A5" s="3" t="str">
        <x:v>Final ready rows</x:v>
      </x:c>
      <x:c r="B5" s="3" t="n">
        <x:f>COUNTIF(Decisions!G2:G120,"FINAL READY")</x:f>
        <x:v>0</x:v>
      </x:c>
    </x:row>
    <x:row r="6" ht="44" customHeight="1">
      <x:c r="A6" s="6" t="str">
        <x:v>Other / unfinished rows</x:v>
      </x:c>
      <x:c r="B6" s="6" t="n">
        <x:f>B3-B4-B5</x:f>
        <x:v>119</x:v>
      </x:c>
    </x:row>
    <x:row r="7" ht="44" customHeight="1">
      <x:c r="A7" s="3" t="str">
        <x:v>Workflow status</x:v>
      </x:c>
      <x:c r="B7" s="3" t="str">
        <x:f>IF(AND(B2="primary",B4=B3),"PRIMARY READY",IF(AND(B2="checker",B5=B3),"FINAL READY","ACTION NEEDED"))</x:f>
        <x:v>ACTION NEEDED</x:v>
      </x:c>
    </x:row>
    <x:row r="8" ht="44" customHeight="1">
      <x:c r="A8" s="6" t="str">
        <x:v>Next action</x:v>
      </x:c>
      <x:c r="B8" s="6" t="str">
        <x:f>IF(B7="PRIMARY READY","Save primary backup, then follow Start steps 5-7.",IF(B7="FINAL READY","Save the final workbook. Built-in result sheets are ready.","Open Decisions; filter status for rows needing action. Return to the matching C_ sheet."))</x:f>
        <x:v>Open Decisions; filter status for rows needing action. Return to the matching C_ sheet.</x:v>
      </x:c>
    </x:row>
    <x:row r="9" ht="44" customHeight="1">
      <x:c r="A9" s="3" t="str">
        <x:v>Scope</x:v>
      </x:c>
      <x:c r="B9" s="3" t="str">
        <x:v>Entry checks only. Verify the evidence and preserve the primary backup. No passwords; reference cells remain editable.</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2" hidden="0" customWidth="1"/>
    <x:col min="2" max="2" width="34" hidden="0" customWidth="1"/>
    <x:col min="3" max="3" width="18" hidden="0" customWidth="1"/>
  </x:cols>
  <x:sheetData>
    <x:row r="1" ht="42" customHeight="1">
      <x:c r="A1" s="5" t="str">
        <x:v>Paper</x:v>
      </x:c>
      <x:c r="B1" s="5" t="str">
        <x:v>Review worksheet</x:v>
      </x:c>
      <x:c r="C1" s="5" t="str">
        <x:v>Candidates</x:v>
      </x:c>
    </x:row>
    <x:row r="2" ht="36" customHeight="1">
      <x:c r="A2" s="6" t="str">
        <x:v>jama.2017.21906</x:v>
      </x:c>
      <x:c r="B2" s="6" t="str">
        <x:v>C_jama.2017.21906</x:v>
      </x:c>
      <x:c r="C2" s="6" t="n">
        <x:v>6</x:v>
      </x:c>
    </x:row>
    <x:row r="3" ht="36" customHeight="1">
      <x:c r="A3" s="3" t="str">
        <x:v>jama.2018.0156</x:v>
      </x:c>
      <x:c r="B3" s="3" t="str">
        <x:v>C_jama.2018.0156</x:v>
      </x:c>
      <x:c r="C3" s="3" t="n">
        <x:v>8</x:v>
      </x:c>
    </x:row>
    <x:row r="4" ht="36" customHeight="1">
      <x:c r="A4" s="6" t="str">
        <x:v>jama.2018.0948</x:v>
      </x:c>
      <x:c r="B4" s="6" t="str">
        <x:v>C_jama.2018.0948</x:v>
      </x:c>
      <x:c r="C4" s="6" t="n">
        <x:v>7</x:v>
      </x:c>
    </x:row>
    <x:row r="5" ht="36" customHeight="1">
      <x:c r="A5" s="3" t="str">
        <x:v>jama.2018.14280</x:v>
      </x:c>
      <x:c r="B5" s="3" t="str">
        <x:v>C_jama.2018.14280</x:v>
      </x:c>
      <x:c r="C5" s="3" t="n">
        <x:v>23</x:v>
      </x:c>
    </x:row>
    <x:row r="6" ht="36" customHeight="1">
      <x:c r="A6" s="6" t="str">
        <x:v>jama.2018.14282</x:v>
      </x:c>
      <x:c r="B6" s="6" t="str">
        <x:v>C_jama.2018.14282</x:v>
      </x:c>
      <x:c r="C6" s="6" t="n">
        <x:v>28</x:v>
      </x:c>
    </x:row>
    <x:row r="7" ht="36" customHeight="1">
      <x:c r="A7" s="3" t="str">
        <x:v>jama.2018.17075</x:v>
      </x:c>
      <x:c r="B7" s="3" t="str">
        <x:v>C_jama.2018.17075</x:v>
      </x:c>
      <x:c r="C7" s="3" t="n">
        <x:v>8</x:v>
      </x:c>
    </x:row>
    <x:row r="8" ht="36" customHeight="1">
      <x:c r="A8" s="6" t="str">
        <x:v>jama.2018.18020</x:v>
      </x:c>
      <x:c r="B8" s="6" t="str">
        <x:v>C_jama.2018.18020</x:v>
      </x:c>
      <x:c r="C8" s="6" t="n">
        <x:v>14</x:v>
      </x:c>
    </x:row>
    <x:row r="9" ht="36" customHeight="1">
      <x:c r="A9" s="3" t="str">
        <x:v>jama.2018.6496</x:v>
      </x:c>
      <x:c r="B9" s="3" t="str">
        <x:v>C_jama.2018.6496</x:v>
      </x:c>
      <x:c r="C9" s="3" t="n">
        <x:v>4</x:v>
      </x:c>
    </x:row>
    <x:row r="10" ht="36" customHeight="1">
      <x:c r="A10" s="6" t="str">
        <x:v>jama.2018.8802</x:v>
      </x:c>
      <x:c r="B10" s="6" t="str">
        <x:v>C_jama.2018.8802</x:v>
      </x:c>
      <x:c r="C10" s="6" t="n">
        <x:v>8</x:v>
      </x:c>
    </x:row>
    <x:row r="11" ht="36" customHeight="1">
      <x:c r="A11" s="3" t="str">
        <x:v>jama.2018.9128</x:v>
      </x:c>
      <x:c r="B11" s="3" t="str">
        <x:v>C_jama.2018.9128</x:v>
      </x:c>
      <x:c r="C11" s="3" t="n">
        <x:v>13</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28" hidden="0" customWidth="1"/>
    <x:col min="3" max="3" width="22" hidden="0" customWidth="1"/>
    <x:col min="4" max="4" width="18" hidden="0" customWidth="1"/>
    <x:col min="5" max="5" width="24" hidden="0" customWidth="1"/>
    <x:col min="6" max="6" width="17" hidden="0" customWidth="1"/>
    <x:col min="7" max="7" width="25" hidden="0" customWidth="1"/>
    <x:col min="8" max="8" width="28" hidden="0" customWidth="1"/>
    <x:col min="9" max="9" width="20" hidden="0" customWidth="1"/>
    <x:col min="10" max="10" width="20" hidden="0" customWidth="1"/>
    <x:col min="11" max="11" width="34" hidden="0" customWidth="1"/>
    <x:col min="12" max="12" width="26" hidden="0" customWidth="1"/>
    <x:col min="13" max="13" width="58" hidden="0" customWidth="1"/>
    <x:col min="14" max="14" width="23" hidden="0" customWidth="1"/>
    <x:col min="15" max="15" width="32" hidden="0" customWidth="1"/>
    <x:col min="16" max="16" width="22" hidden="0" customWidth="1"/>
    <x:col min="17" max="17" width="32" hidden="0" customWidth="1"/>
    <x:col min="18" max="18" width="32" hidden="0" customWidth="1"/>
  </x:cols>
  <x:sheetData>
    <x:row r="1" ht="42" customHeight="1">
      <x:c r="A1" s="5" t="str">
        <x:v>Candidate key</x:v>
      </x:c>
      <x:c r="B1" s="5" t="str">
        <x:v>Candidate title</x:v>
      </x:c>
      <x:c r="C1" s="5" t="str">
        <x:v>Source location</x:v>
      </x:c>
      <x:c r="D1" s="5" t="str">
        <x:v>Disposition</x:v>
      </x:c>
      <x:c r="E1" s="5" t="str">
        <x:v>Review domain</x:v>
      </x:c>
      <x:c r="F1" s="5" t="str">
        <x:v>Complete</x:v>
      </x:c>
      <x:c r="G1" s="5" t="str">
        <x:v>Validation hint</x:v>
      </x:c>
      <x:c r="H1" s="5" t="str">
        <x:v>Statistcal_or_numerical issue</x:v>
      </x:c>
      <x:c r="I1" s="5" t="str">
        <x:v>Substantiveness</x:v>
      </x:c>
      <x:c r="J1" s="5" t="str">
        <x:v>Downstream impact</x:v>
      </x:c>
      <x:c r="K1" s="5" t="str">
        <x:v>Report-internal or planning-material inconsistency</x:v>
      </x:c>
      <x:c r="L1" s="5" t="str">
        <x:v>Protocol interpretation</x:v>
      </x:c>
      <x:c r="M1" s="5" t="str">
        <x:v>Primary assessment</x:v>
      </x:c>
      <x:c r="N1" s="5" t="str">
        <x:v>Checker result</x:v>
      </x:c>
      <x:c r="O1" s="5" t="str">
        <x:v>Checker comment</x:v>
      </x:c>
      <x:c r="P1" s="5" t="str">
        <x:v>Discussion resolution</x:v>
      </x:c>
      <x:c r="Q1" s="5" t="str">
        <x:v>Resolution note</x:v>
      </x:c>
      <x:c r="R1" s="5" t="str">
        <x:v>Notes (optional)</x:v>
      </x:c>
    </x:row>
    <x:row r="2" ht="92" customHeight="1">
      <x:c r="A2" s="6" t="str">
        <x:v>2018::jama.2017.21906::C001</x:v>
      </x:c>
      <x:c r="B2" s="6" t="str">
        <x:v>In-hospital beta-blocker adjusted-risk-difference CI endpoint differs between Table 2 and narrative</x:v>
      </x:c>
      <x:c r="C2" s="6" t="str">
        <x:v>Main article — PDF p. 6, Table 2 In-hospital β-blocker row and adjacent Results narrative.</x:v>
      </x:c>
      <x:c r="D2" s="7" t="str"/>
      <x:c r="E2" s="7" t="str">
        <x:v>statistical_results</x:v>
      </x:c>
      <x:c r="F2" s="7" t="str">
        <x:v>no</x:v>
      </x:c>
      <x:c r="G2" s="6" t="str">
        <x:f>IFERROR(IF(NOT(OR(Setup!$B$6="primary",Setup!$B$6="checker")),"CHECK STAGE",IF(OR(LEN(TRIM(Setup!$B$2))=0,Setup!$B$2&lt;&gt;TRIM(Setup!$B$2),AND(Setup!$B$6="checker",OR(LEN(TRIM(Setup!$B$4))=0,Setup!$B$4&lt;&gt;TRIM(Setup!$B$4),LOWER(TRIM(Setup!$B$4))=LOWER(TRIM(Setup!$B$2))))),"CHECK REVIEWER IDs",IF(OR(COUNTIF($A$2:$A$7,A2)&lt;&gt;1,COUNTIF(Decisions!$C$2:$C$120,A2)&lt;&gt;1),"CHECK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FIELDS",IF(Setup!$B$6="primary",IF(OR(N2&lt;&gt;"",O2&lt;&gt;"",P2&lt;&gt;"",Q2&lt;&gt;""),"CLEAR CHECKER FIELDS",IF(OR(Setup!$B$4&lt;&gt;"",Setup!$B$5&lt;&gt;""),"CLEAR CHECKER ID",IF(F2&lt;&gt;"primary_done","PRIMARY DRAFT","PRIMARY READY"))),IF(OR(COUNTIF(Primary_snapshot!$A$2:$A$120,A2)&lt;&gt;1,INDEX('Primary_snapshot'!$J$2:$J$120,MATCH(A2,'Primary_snapshot'!$A$2:$A$120,0))&lt;&gt;"primary_done",INDEX('Primary_snapshot'!$K$2:$K$120,MATCH(A2,'Primary_snapshot'!$A$2:$A$120,0))&lt;&gt;Setup!$B$2,INDEX('Primary_snapshot'!$B$2:$B$120,MATCH(A2,'Primary_snapshot'!$A$2:$A$120,0))="NOT FROZEN",INDEX('Primary_snapshot'!$C$2:$C$120,MATCH(A2,'Primary_snapshot'!$A$2:$A$120,0))="NOT FROZEN",INDEX('Primary_snapshot'!$D$2:$D$120,MATCH(A2,'Primary_snapshot'!$A$2:$A$120,0))="NOT FROZEN",INDEX('Primary_snapshot'!$E$2:$E$120,MATCH(A2,'Primary_snapshot'!$A$2:$A$120,0))="NOT FROZEN",INDEX('Primary_snapshot'!$F$2:$F$120,MATCH(A2,'Primary_snapshot'!$A$2:$A$120,0))="NOT FROZEN",INDEX('Primary_snapshot'!$G$2:$G$120,MATCH(A2,'Primary_snapshot'!$A$2:$A$120,0))="NOT FROZEN",INDEX('Primary_snapshot'!$H$2:$H$120,MATCH(A2,'Primary_snapshot'!$A$2:$A$120,0))="NOT FROZEN",INDEX('Primary_snapshot'!$I$2:$I$120,MATCH(A2,'Primary_snapshot'!$A$2:$A$120,0))="NOT FROZEN",INDEX('Primary_snapshot'!$J$2:$J$120,MATCH(A2,'Primary_snapshot'!$A$2:$A$120,0))="NOT FROZEN",INDEX('Primary_snapshot'!$K$2:$K$120,MATCH(A2,'Primary_snapshot'!$A$2:$A$120,0))="NOT FROZEN",INDEX('Primary_snapshot'!$L$2:$L$120,MATCH(A2,'Primary_snapshot'!$A$2:$A$120,0))="NOT FROZEN"),"FREEZE SNAPSHOT",IF(NOT(OR(N2="agree",N2="agree_clarification",N2="disagree",N2="unable")),"CHECKER RESULT NEEDED",IF(AND(N2&lt;&gt;"agree",LEN(TRIM(O2))=0),"COMMENT NEEDED",IF(AND(N2="agree",NOT(AND(IF(D2="","",D2)=IF(INDEX('Primary_snapshot'!$B$2:$B$120,MATCH(A2,'Primary_snapshot'!$A$2:$A$120,0))="","",INDEX('Primary_snapshot'!$B$2:$B$120,MATCH(A2,'Primary_snapshot'!$A$2:$A$120,0))),IF(E2="","",E2)=IF(INDEX('Primary_snapshot'!$C$2:$C$120,MATCH(A2,'Primary_snapshot'!$A$2:$A$120,0))="","",INDEX('Primary_snapshot'!$C$2:$C$120,MATCH(A2,'Primary_snapshot'!$A$2:$A$120,0))),IF(AND(D2="retain",E2="statistical_results"),IF(H2="","",H2),"not_applicable")=IF(INDEX('Primary_snapshot'!$D$2:$D$120,MATCH(A2,'Primary_snapshot'!$A$2:$A$120,0))="","",INDEX('Primary_snapshot'!$D$2:$D$120,MATCH(A2,'Primary_snapshot'!$A$2:$A$120,0))),IF(AND(D2="retain",E2="statistical_results"),IF(I2="","",I2),"not_applicable")=IF(INDEX('Primary_snapshot'!$E$2:$E$120,MATCH(A2,'Primary_snapshot'!$A$2:$A$120,0))="","",INDEX('Primary_snapshot'!$E$2:$E$120,MATCH(A2,'Primary_snapshot'!$A$2:$A$120,0))),IF(AND(D2="retain",E2="statistical_results"),IF(J2="","",J2),"not_applicable")=IF(INDEX('Primary_snapshot'!$F$2:$F$120,MATCH(A2,'Primary_snapshot'!$A$2:$A$120,0))="","",INDEX('Primary_snapshot'!$F$2:$F$120,MATCH(A2,'Primary_snapshot'!$A$2:$A$120,0))),IF(AND(D2="retain",OR(E2="report_internal_inconsistency",E2="plan_material")),IF(K2="","",K2),"not_applicable")=IF(INDEX('Primary_snapshot'!$G$2:$G$120,MATCH(A2,'Primary_snapshot'!$A$2:$A$120,0))="","",INDEX('Primary_snapshot'!$G$2:$G$120,MATCH(A2,'Primary_snapshot'!$A$2:$A$120,0))),IF(AND(D2="retain",E2="protocol_report"),IF(L2="","",L2),"not_applicable")=IF(INDEX('Primary_snapshot'!$H$2:$H$120,MATCH(A2,'Primary_snapshot'!$A$2:$A$120,0))="","",INDEX('Primary_snapshot'!$H$2:$H$120,MATCH(A2,'Primary_snapshot'!$A$2:$A$120,0))),IF(R2="","",R2)=IF(INDEX('Primary_snapshot'!$I$2:$I$120,MATCH(A2,'Primary_snapshot'!$A$2:$A$120,0))="","",INDEX('Primary_snapshot'!$I$2:$I$120,MATCH(A2,'Primary_snapshot'!$A$2:$A$120,0)))))),"AGREE BUT CHANGED",IF(AND(P2&lt;&gt;"",NOT(OR(P2="pending",P2="resolved"))),"CHECK RESOLUTION",IF(OR(AND(OR(D2="discuss",INDEX('Primary_snapshot'!$B$2:$B$120,MATCH(A2,'Primary_snapshot'!$A$2:$A$120,0))="discuss",N2="disagree",N2="unable"),P2&lt;&gt;"resolved"),D2="discuss"),"DISCUSS",IF(AND(P2="resolved",LEN(TRIM(Q2))=0),"RESOLUTION NOTE NEEDED",IF(F2&lt;&gt;"checker_done","CHECKER DRAFT","FINAL READY")))))))))))))),"CHECK KEY / SNAPSHOT")</x:f>
        <x:v>CHECK REVIEWER IDs</x:v>
      </x:c>
      <x:c r="H2" s="7" t="str">
        <x:f>IF(AND(OR(D2="retain",D2=""),E2="statistical_results"),"","not_applicable")</x:f>
      </x:c>
      <x:c r="I2" s="7" t="str">
        <x:f>IF(AND(OR(D2="retain",D2=""),E2="statistical_results"),"","not_applicable")</x:f>
      </x:c>
      <x:c r="J2" s="13" t="str">
        <x:f>IF(AND(OR(D2="retain",D2=""),E2="statistical_results"),"","not_applicable")</x:f>
      </x:c>
      <x:c r="K2" s="7" t="str">
        <x:f>IF(AND(OR(D2="retain",D2=""),OR(E2="report_internal_inconsistency",E2="plan_material")),"","not_applicable")</x:f>
        <x:v>not_applicable</x:v>
      </x:c>
      <x:c r="L2" s="13" t="str">
        <x:f>IF(AND(OR(D2="retain",D2=""),E2="protocol_report"),"","not_applicable")</x:f>
        <x:v>not_applicable</x:v>
      </x:c>
      <x:c r="M2" s="6" t="str">
        <x:f>IF(Setup!$B$6="primary","",IFERROR(IF(INDEX('Primary_snapshot'!$L$2:$L$120,MATCH(A2,'Primary_snapshot'!$A$2:$A$120,0))="","",INDEX('Primary_snapshot'!$L$2:$L$120,MATCH(A2,'Primary_snapshot'!$A$2:$A$120,0))),"SNAPSHOT MISSING"))</x:f>
      </x:c>
      <x:c r="N2" s="7" t="str"/>
      <x:c r="O2" s="7" t="str"/>
      <x:c r="P2" s="7" t="str"/>
      <x:c r="Q2" s="7" t="str"/>
      <x:c r="R2" s="13" t="str"/>
    </x:row>
    <x:row r="3" ht="92" customHeight="1">
      <x:c r="A3" s="3" t="str">
        <x:v>2018::jama.2017.21906::C002</x:v>
      </x:c>
      <x:c r="B3" s="3" t="str">
        <x:v>Discharge beta-blocker adjusted point estimates differ between Table 2 and narrative</x:v>
      </x:c>
      <x:c r="C3" s="3" t="str">
        <x:v>Main article — PDF p. 6, Table 2 Discharge β-blocker row; Main article — PDF p. 7, Results narrative.</x:v>
      </x:c>
      <x:c r="D3" s="7" t="str"/>
      <x:c r="E3" s="7" t="str">
        <x:v>report_internal_inconsistency</x:v>
      </x:c>
      <x:c r="F3" s="7" t="str">
        <x:v>no</x:v>
      </x:c>
      <x:c r="G3" s="3" t="str">
        <x:f>IFERROR(IF(NOT(OR(Setup!$B$6="primary",Setup!$B$6="checker")),"CHECK STAGE",IF(OR(LEN(TRIM(Setup!$B$2))=0,Setup!$B$2&lt;&gt;TRIM(Setup!$B$2),AND(Setup!$B$6="checker",OR(LEN(TRIM(Setup!$B$4))=0,Setup!$B$4&lt;&gt;TRIM(Setup!$B$4),LOWER(TRIM(Setup!$B$4))=LOWER(TRIM(Setup!$B$2))))),"CHECK REVIEWER IDs",IF(OR(COUNTIF($A$2:$A$7,A3)&lt;&gt;1,COUNTIF(Decisions!$C$2:$C$120,A3)&lt;&gt;1),"CHECK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FIELDS",IF(Setup!$B$6="primary",IF(OR(N3&lt;&gt;"",O3&lt;&gt;"",P3&lt;&gt;"",Q3&lt;&gt;""),"CLEAR CHECKER FIELDS",IF(OR(Setup!$B$4&lt;&gt;"",Setup!$B$5&lt;&gt;""),"CLEAR CHECKER ID",IF(F3&lt;&gt;"primary_done","PRIMARY DRAFT","PRIMARY READY"))),IF(OR(COUNTIF(Primary_snapshot!$A$2:$A$120,A3)&lt;&gt;1,INDEX('Primary_snapshot'!$J$2:$J$120,MATCH(A3,'Primary_snapshot'!$A$2:$A$120,0))&lt;&gt;"primary_done",INDEX('Primary_snapshot'!$K$2:$K$120,MATCH(A3,'Primary_snapshot'!$A$2:$A$120,0))&lt;&gt;Setup!$B$2,INDEX('Primary_snapshot'!$B$2:$B$120,MATCH(A3,'Primary_snapshot'!$A$2:$A$120,0))="NOT FROZEN",INDEX('Primary_snapshot'!$C$2:$C$120,MATCH(A3,'Primary_snapshot'!$A$2:$A$120,0))="NOT FROZEN",INDEX('Primary_snapshot'!$D$2:$D$120,MATCH(A3,'Primary_snapshot'!$A$2:$A$120,0))="NOT FROZEN",INDEX('Primary_snapshot'!$E$2:$E$120,MATCH(A3,'Primary_snapshot'!$A$2:$A$120,0))="NOT FROZEN",INDEX('Primary_snapshot'!$F$2:$F$120,MATCH(A3,'Primary_snapshot'!$A$2:$A$120,0))="NOT FROZEN",INDEX('Primary_snapshot'!$G$2:$G$120,MATCH(A3,'Primary_snapshot'!$A$2:$A$120,0))="NOT FROZEN",INDEX('Primary_snapshot'!$H$2:$H$120,MATCH(A3,'Primary_snapshot'!$A$2:$A$120,0))="NOT FROZEN",INDEX('Primary_snapshot'!$I$2:$I$120,MATCH(A3,'Primary_snapshot'!$A$2:$A$120,0))="NOT FROZEN",INDEX('Primary_snapshot'!$J$2:$J$120,MATCH(A3,'Primary_snapshot'!$A$2:$A$120,0))="NOT FROZEN",INDEX('Primary_snapshot'!$K$2:$K$120,MATCH(A3,'Primary_snapshot'!$A$2:$A$120,0))="NOT FROZEN",INDEX('Primary_snapshot'!$L$2:$L$120,MATCH(A3,'Primary_snapshot'!$A$2:$A$120,0))="NOT FROZEN"),"FREEZE SNAPSHOT",IF(NOT(OR(N3="agree",N3="agree_clarification",N3="disagree",N3="unable")),"CHECKER RESULT NEEDED",IF(AND(N3&lt;&gt;"agree",LEN(TRIM(O3))=0),"COMMENT NEEDED",IF(AND(N3="agree",NOT(AND(IF(D3="","",D3)=IF(INDEX('Primary_snapshot'!$B$2:$B$120,MATCH(A3,'Primary_snapshot'!$A$2:$A$120,0))="","",INDEX('Primary_snapshot'!$B$2:$B$120,MATCH(A3,'Primary_snapshot'!$A$2:$A$120,0))),IF(E3="","",E3)=IF(INDEX('Primary_snapshot'!$C$2:$C$120,MATCH(A3,'Primary_snapshot'!$A$2:$A$120,0))="","",INDEX('Primary_snapshot'!$C$2:$C$120,MATCH(A3,'Primary_snapshot'!$A$2:$A$120,0))),IF(AND(D3="retain",E3="statistical_results"),IF(H3="","",H3),"not_applicable")=IF(INDEX('Primary_snapshot'!$D$2:$D$120,MATCH(A3,'Primary_snapshot'!$A$2:$A$120,0))="","",INDEX('Primary_snapshot'!$D$2:$D$120,MATCH(A3,'Primary_snapshot'!$A$2:$A$120,0))),IF(AND(D3="retain",E3="statistical_results"),IF(I3="","",I3),"not_applicable")=IF(INDEX('Primary_snapshot'!$E$2:$E$120,MATCH(A3,'Primary_snapshot'!$A$2:$A$120,0))="","",INDEX('Primary_snapshot'!$E$2:$E$120,MATCH(A3,'Primary_snapshot'!$A$2:$A$120,0))),IF(AND(D3="retain",E3="statistical_results"),IF(J3="","",J3),"not_applicable")=IF(INDEX('Primary_snapshot'!$F$2:$F$120,MATCH(A3,'Primary_snapshot'!$A$2:$A$120,0))="","",INDEX('Primary_snapshot'!$F$2:$F$120,MATCH(A3,'Primary_snapshot'!$A$2:$A$120,0))),IF(AND(D3="retain",OR(E3="report_internal_inconsistency",E3="plan_material")),IF(K3="","",K3),"not_applicable")=IF(INDEX('Primary_snapshot'!$G$2:$G$120,MATCH(A3,'Primary_snapshot'!$A$2:$A$120,0))="","",INDEX('Primary_snapshot'!$G$2:$G$120,MATCH(A3,'Primary_snapshot'!$A$2:$A$120,0))),IF(AND(D3="retain",E3="protocol_report"),IF(L3="","",L3),"not_applicable")=IF(INDEX('Primary_snapshot'!$H$2:$H$120,MATCH(A3,'Primary_snapshot'!$A$2:$A$120,0))="","",INDEX('Primary_snapshot'!$H$2:$H$120,MATCH(A3,'Primary_snapshot'!$A$2:$A$120,0))),IF(R3="","",R3)=IF(INDEX('Primary_snapshot'!$I$2:$I$120,MATCH(A3,'Primary_snapshot'!$A$2:$A$120,0))="","",INDEX('Primary_snapshot'!$I$2:$I$120,MATCH(A3,'Primary_snapshot'!$A$2:$A$120,0)))))),"AGREE BUT CHANGED",IF(AND(P3&lt;&gt;"",NOT(OR(P3="pending",P3="resolved"))),"CHECK RESOLUTION",IF(OR(AND(OR(D3="discuss",INDEX('Primary_snapshot'!$B$2:$B$120,MATCH(A3,'Primary_snapshot'!$A$2:$A$120,0))="discuss",N3="disagree",N3="unable"),P3&lt;&gt;"resolved"),D3="discuss"),"DISCUSS",IF(AND(P3="resolved",LEN(TRIM(Q3))=0),"RESOLUTION NOTE NEEDED",IF(F3&lt;&gt;"checker_done","CHECKER DRAFT","FINAL READY")))))))))))))),"CHECK KEY / SNAPSHOT")</x:f>
        <x:v>CHECK REVIEWER IDs</x:v>
      </x:c>
      <x:c r="H3" s="7" t="str">
        <x:f>IF(AND(OR(D3="retain",D3=""),E3="statistical_results"),"","not_applicable")</x:f>
        <x:v>not_applicable</x:v>
      </x:c>
      <x:c r="I3" s="7" t="str">
        <x:f>IF(AND(OR(D3="retain",D3=""),E3="statistical_results"),"","not_applicable")</x:f>
        <x:v>not_applicable</x:v>
      </x:c>
      <x:c r="J3" s="13" t="str">
        <x:f>IF(AND(OR(D3="retain",D3=""),E3="statistical_results"),"","not_applicable")</x:f>
        <x:v>not_applicable</x:v>
      </x:c>
      <x:c r="K3" s="7" t="str">
        <x:f>IF(AND(OR(D3="retain",D3=""),OR(E3="report_internal_inconsistency",E3="plan_material")),"","not_applicable")</x:f>
      </x:c>
      <x:c r="L3" s="13" t="str">
        <x:f>IF(AND(OR(D3="retain",D3=""),E3="protocol_report"),"","not_applicable")</x:f>
        <x:v>not_applicable</x:v>
      </x:c>
      <x:c r="M3" s="3" t="str">
        <x:f>IF(Setup!$B$6="primary","",IFERROR(IF(INDEX('Primary_snapshot'!$L$2:$L$120,MATCH(A3,'Primary_snapshot'!$A$2:$A$120,0))="","",INDEX('Primary_snapshot'!$L$2:$L$120,MATCH(A3,'Primary_snapshot'!$A$2:$A$120,0))),"SNAPSHOT MISSING"))</x:f>
      </x:c>
      <x:c r="N3" s="7" t="str"/>
      <x:c r="O3" s="7" t="str"/>
      <x:c r="P3" s="7" t="str"/>
      <x:c r="Q3" s="7" t="str"/>
      <x:c r="R3" s="13" t="str"/>
    </x:row>
    <x:row r="4" ht="92" customHeight="1">
      <x:c r="A4" s="6" t="str">
        <x:v>2018::jama.2017.21906::C003</x:v>
      </x:c>
      <x:c r="B4" s="6" t="str">
        <x:v>eTable 1 difference footnote names groups not displayed in the table</x:v>
      </x:c>
      <x:c r="C4" s="6" t="str">
        <x:v>Online supplement — PDF p. 17, eTable 1 title, headers, values, and footnote a.</x:v>
      </x:c>
      <x:c r="D4" s="7" t="str"/>
      <x:c r="E4" s="7" t="str">
        <x:v>report_internal_inconsistency</x:v>
      </x:c>
      <x:c r="F4" s="7" t="str">
        <x:v>no</x:v>
      </x:c>
      <x:c r="G4" s="6" t="str">
        <x:f>IFERROR(IF(NOT(OR(Setup!$B$6="primary",Setup!$B$6="checker")),"CHECK STAGE",IF(OR(LEN(TRIM(Setup!$B$2))=0,Setup!$B$2&lt;&gt;TRIM(Setup!$B$2),AND(Setup!$B$6="checker",OR(LEN(TRIM(Setup!$B$4))=0,Setup!$B$4&lt;&gt;TRIM(Setup!$B$4),LOWER(TRIM(Setup!$B$4))=LOWER(TRIM(Setup!$B$2))))),"CHECK REVIEWER IDs",IF(OR(COUNTIF($A$2:$A$7,A4)&lt;&gt;1,COUNTIF(Decisions!$C$2:$C$120,A4)&lt;&gt;1),"CHECK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FIELDS",IF(Setup!$B$6="primary",IF(OR(N4&lt;&gt;"",O4&lt;&gt;"",P4&lt;&gt;"",Q4&lt;&gt;""),"CLEAR CHECKER FIELDS",IF(OR(Setup!$B$4&lt;&gt;"",Setup!$B$5&lt;&gt;""),"CLEAR CHECKER ID",IF(F4&lt;&gt;"primary_done","PRIMARY DRAFT","PRIMARY READY"))),IF(OR(COUNTIF(Primary_snapshot!$A$2:$A$120,A4)&lt;&gt;1,INDEX('Primary_snapshot'!$J$2:$J$120,MATCH(A4,'Primary_snapshot'!$A$2:$A$120,0))&lt;&gt;"primary_done",INDEX('Primary_snapshot'!$K$2:$K$120,MATCH(A4,'Primary_snapshot'!$A$2:$A$120,0))&lt;&gt;Setup!$B$2,INDEX('Primary_snapshot'!$B$2:$B$120,MATCH(A4,'Primary_snapshot'!$A$2:$A$120,0))="NOT FROZEN",INDEX('Primary_snapshot'!$C$2:$C$120,MATCH(A4,'Primary_snapshot'!$A$2:$A$120,0))="NOT FROZEN",INDEX('Primary_snapshot'!$D$2:$D$120,MATCH(A4,'Primary_snapshot'!$A$2:$A$120,0))="NOT FROZEN",INDEX('Primary_snapshot'!$E$2:$E$120,MATCH(A4,'Primary_snapshot'!$A$2:$A$120,0))="NOT FROZEN",INDEX('Primary_snapshot'!$F$2:$F$120,MATCH(A4,'Primary_snapshot'!$A$2:$A$120,0))="NOT FROZEN",INDEX('Primary_snapshot'!$G$2:$G$120,MATCH(A4,'Primary_snapshot'!$A$2:$A$120,0))="NOT FROZEN",INDEX('Primary_snapshot'!$H$2:$H$120,MATCH(A4,'Primary_snapshot'!$A$2:$A$120,0))="NOT FROZEN",INDEX('Primary_snapshot'!$I$2:$I$120,MATCH(A4,'Primary_snapshot'!$A$2:$A$120,0))="NOT FROZEN",INDEX('Primary_snapshot'!$J$2:$J$120,MATCH(A4,'Primary_snapshot'!$A$2:$A$120,0))="NOT FROZEN",INDEX('Primary_snapshot'!$K$2:$K$120,MATCH(A4,'Primary_snapshot'!$A$2:$A$120,0))="NOT FROZEN",INDEX('Primary_snapshot'!$L$2:$L$120,MATCH(A4,'Primary_snapshot'!$A$2:$A$120,0))="NOT FROZEN"),"FREEZE SNAPSHOT",IF(NOT(OR(N4="agree",N4="agree_clarification",N4="disagree",N4="unable")),"CHECKER RESULT NEEDED",IF(AND(N4&lt;&gt;"agree",LEN(TRIM(O4))=0),"COMMENT NEEDED",IF(AND(N4="agree",NOT(AND(IF(D4="","",D4)=IF(INDEX('Primary_snapshot'!$B$2:$B$120,MATCH(A4,'Primary_snapshot'!$A$2:$A$120,0))="","",INDEX('Primary_snapshot'!$B$2:$B$120,MATCH(A4,'Primary_snapshot'!$A$2:$A$120,0))),IF(E4="","",E4)=IF(INDEX('Primary_snapshot'!$C$2:$C$120,MATCH(A4,'Primary_snapshot'!$A$2:$A$120,0))="","",INDEX('Primary_snapshot'!$C$2:$C$120,MATCH(A4,'Primary_snapshot'!$A$2:$A$120,0))),IF(AND(D4="retain",E4="statistical_results"),IF(H4="","",H4),"not_applicable")=IF(INDEX('Primary_snapshot'!$D$2:$D$120,MATCH(A4,'Primary_snapshot'!$A$2:$A$120,0))="","",INDEX('Primary_snapshot'!$D$2:$D$120,MATCH(A4,'Primary_snapshot'!$A$2:$A$120,0))),IF(AND(D4="retain",E4="statistical_results"),IF(I4="","",I4),"not_applicable")=IF(INDEX('Primary_snapshot'!$E$2:$E$120,MATCH(A4,'Primary_snapshot'!$A$2:$A$120,0))="","",INDEX('Primary_snapshot'!$E$2:$E$120,MATCH(A4,'Primary_snapshot'!$A$2:$A$120,0))),IF(AND(D4="retain",E4="statistical_results"),IF(J4="","",J4),"not_applicable")=IF(INDEX('Primary_snapshot'!$F$2:$F$120,MATCH(A4,'Primary_snapshot'!$A$2:$A$120,0))="","",INDEX('Primary_snapshot'!$F$2:$F$120,MATCH(A4,'Primary_snapshot'!$A$2:$A$120,0))),IF(AND(D4="retain",OR(E4="report_internal_inconsistency",E4="plan_material")),IF(K4="","",K4),"not_applicable")=IF(INDEX('Primary_snapshot'!$G$2:$G$120,MATCH(A4,'Primary_snapshot'!$A$2:$A$120,0))="","",INDEX('Primary_snapshot'!$G$2:$G$120,MATCH(A4,'Primary_snapshot'!$A$2:$A$120,0))),IF(AND(D4="retain",E4="protocol_report"),IF(L4="","",L4),"not_applicable")=IF(INDEX('Primary_snapshot'!$H$2:$H$120,MATCH(A4,'Primary_snapshot'!$A$2:$A$120,0))="","",INDEX('Primary_snapshot'!$H$2:$H$120,MATCH(A4,'Primary_snapshot'!$A$2:$A$120,0))),IF(R4="","",R4)=IF(INDEX('Primary_snapshot'!$I$2:$I$120,MATCH(A4,'Primary_snapshot'!$A$2:$A$120,0))="","",INDEX('Primary_snapshot'!$I$2:$I$120,MATCH(A4,'Primary_snapshot'!$A$2:$A$120,0)))))),"AGREE BUT CHANGED",IF(AND(P4&lt;&gt;"",NOT(OR(P4="pending",P4="resolved"))),"CHECK RESOLUTION",IF(OR(AND(OR(D4="discuss",INDEX('Primary_snapshot'!$B$2:$B$120,MATCH(A4,'Primary_snapshot'!$A$2:$A$120,0))="discuss",N4="disagree",N4="unable"),P4&lt;&gt;"resolved"),D4="discuss"),"DISCUSS",IF(AND(P4="resolved",LEN(TRIM(Q4))=0),"RESOLUTION NOTE NEEDED",IF(F4&lt;&gt;"checker_done","CHECKER DRAFT","FINAL READY")))))))))))))),"CHECK KEY / SNAPSHOT")</x:f>
        <x:v>CHECK REVIEWER IDs</x:v>
      </x:c>
      <x:c r="H4" s="7" t="str">
        <x:f>IF(AND(OR(D4="retain",D4=""),E4="statistical_results"),"","not_applicable")</x:f>
        <x:v>not_applicable</x:v>
      </x:c>
      <x:c r="I4" s="7" t="str">
        <x:f>IF(AND(OR(D4="retain",D4=""),E4="statistical_results"),"","not_applicable")</x:f>
        <x:v>not_applicable</x:v>
      </x:c>
      <x:c r="J4" s="13" t="str">
        <x:f>IF(AND(OR(D4="retain",D4=""),E4="statistical_results"),"","not_applicable")</x:f>
        <x:v>not_applicable</x:v>
      </x:c>
      <x:c r="K4" s="7" t="str">
        <x:f>IF(AND(OR(D4="retain",D4=""),OR(E4="report_internal_inconsistency",E4="plan_material")),"","not_applicable")</x:f>
      </x:c>
      <x:c r="L4" s="13" t="str">
        <x:f>IF(AND(OR(D4="retain",D4=""),E4="protocol_report"),"","not_applicable")</x:f>
        <x:v>not_applicable</x:v>
      </x:c>
      <x:c r="M4" s="6" t="str">
        <x:f>IF(Setup!$B$6="primary","",IFERROR(IF(INDEX('Primary_snapshot'!$L$2:$L$120,MATCH(A4,'Primary_snapshot'!$A$2:$A$120,0))="","",INDEX('Primary_snapshot'!$L$2:$L$120,MATCH(A4,'Primary_snapshot'!$A$2:$A$120,0))),"SNAPSHOT MISSING"))</x:f>
      </x:c>
      <x:c r="N4" s="7" t="str"/>
      <x:c r="O4" s="7" t="str"/>
      <x:c r="P4" s="7" t="str"/>
      <x:c r="Q4" s="7" t="str"/>
      <x:c r="R4" s="13" t="str"/>
    </x:row>
    <x:row r="5" ht="92" customHeight="1">
      <x:c r="A5" s="3" t="str">
        <x:v>2018::jama.2017.21906::C004</x:v>
      </x:c>
      <x:c r="B5" s="3" t="str">
        <x:v>Reported prespecified age-subgroup boundaries differ from the supplied SAP</x:v>
      </x:c>
      <x:c r="C5" s="3" t="str">
        <x:v>SAP — PDF p. 7, section 7.5.2; main article — PDF p. 3, Statistical Analysis; main article — PDF p. 9, Figure 3 and adjacent Results narrative.</x:v>
      </x:c>
      <x:c r="D5" s="7" t="str"/>
      <x:c r="E5" s="7" t="str">
        <x:v>protocol_report</x:v>
      </x:c>
      <x:c r="F5" s="7" t="str">
        <x:v>no</x:v>
      </x:c>
      <x:c r="G5" s="3" t="str">
        <x:f>IFERROR(IF(NOT(OR(Setup!$B$6="primary",Setup!$B$6="checker")),"CHECK STAGE",IF(OR(LEN(TRIM(Setup!$B$2))=0,Setup!$B$2&lt;&gt;TRIM(Setup!$B$2),AND(Setup!$B$6="checker",OR(LEN(TRIM(Setup!$B$4))=0,Setup!$B$4&lt;&gt;TRIM(Setup!$B$4),LOWER(TRIM(Setup!$B$4))=LOWER(TRIM(Setup!$B$2))))),"CHECK REVIEWER IDs",IF(OR(COUNTIF($A$2:$A$7,A5)&lt;&gt;1,COUNTIF(Decisions!$C$2:$C$120,A5)&lt;&gt;1),"CHECK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FIELDS",IF(Setup!$B$6="primary",IF(OR(N5&lt;&gt;"",O5&lt;&gt;"",P5&lt;&gt;"",Q5&lt;&gt;""),"CLEAR CHECKER FIELDS",IF(OR(Setup!$B$4&lt;&gt;"",Setup!$B$5&lt;&gt;""),"CLEAR CHECKER ID",IF(F5&lt;&gt;"primary_done","PRIMARY DRAFT","PRIMARY READY"))),IF(OR(COUNTIF(Primary_snapshot!$A$2:$A$120,A5)&lt;&gt;1,INDEX('Primary_snapshot'!$J$2:$J$120,MATCH(A5,'Primary_snapshot'!$A$2:$A$120,0))&lt;&gt;"primary_done",INDEX('Primary_snapshot'!$K$2:$K$120,MATCH(A5,'Primary_snapshot'!$A$2:$A$120,0))&lt;&gt;Setup!$B$2,INDEX('Primary_snapshot'!$B$2:$B$120,MATCH(A5,'Primary_snapshot'!$A$2:$A$120,0))="NOT FROZEN",INDEX('Primary_snapshot'!$C$2:$C$120,MATCH(A5,'Primary_snapshot'!$A$2:$A$120,0))="NOT FROZEN",INDEX('Primary_snapshot'!$D$2:$D$120,MATCH(A5,'Primary_snapshot'!$A$2:$A$120,0))="NOT FROZEN",INDEX('Primary_snapshot'!$E$2:$E$120,MATCH(A5,'Primary_snapshot'!$A$2:$A$120,0))="NOT FROZEN",INDEX('Primary_snapshot'!$F$2:$F$120,MATCH(A5,'Primary_snapshot'!$A$2:$A$120,0))="NOT FROZEN",INDEX('Primary_snapshot'!$G$2:$G$120,MATCH(A5,'Primary_snapshot'!$A$2:$A$120,0))="NOT FROZEN",INDEX('Primary_snapshot'!$H$2:$H$120,MATCH(A5,'Primary_snapshot'!$A$2:$A$120,0))="NOT FROZEN",INDEX('Primary_snapshot'!$I$2:$I$120,MATCH(A5,'Primary_snapshot'!$A$2:$A$120,0))="NOT FROZEN",INDEX('Primary_snapshot'!$J$2:$J$120,MATCH(A5,'Primary_snapshot'!$A$2:$A$120,0))="NOT FROZEN",INDEX('Primary_snapshot'!$K$2:$K$120,MATCH(A5,'Primary_snapshot'!$A$2:$A$120,0))="NOT FROZEN",INDEX('Primary_snapshot'!$L$2:$L$120,MATCH(A5,'Primary_snapshot'!$A$2:$A$120,0))="NOT FROZEN"),"FREEZE SNAPSHOT",IF(NOT(OR(N5="agree",N5="agree_clarification",N5="disagree",N5="unable")),"CHECKER RESULT NEEDED",IF(AND(N5&lt;&gt;"agree",LEN(TRIM(O5))=0),"COMMENT NEEDED",IF(AND(N5="agree",NOT(AND(IF(D5="","",D5)=IF(INDEX('Primary_snapshot'!$B$2:$B$120,MATCH(A5,'Primary_snapshot'!$A$2:$A$120,0))="","",INDEX('Primary_snapshot'!$B$2:$B$120,MATCH(A5,'Primary_snapshot'!$A$2:$A$120,0))),IF(E5="","",E5)=IF(INDEX('Primary_snapshot'!$C$2:$C$120,MATCH(A5,'Primary_snapshot'!$A$2:$A$120,0))="","",INDEX('Primary_snapshot'!$C$2:$C$120,MATCH(A5,'Primary_snapshot'!$A$2:$A$120,0))),IF(AND(D5="retain",E5="statistical_results"),IF(H5="","",H5),"not_applicable")=IF(INDEX('Primary_snapshot'!$D$2:$D$120,MATCH(A5,'Primary_snapshot'!$A$2:$A$120,0))="","",INDEX('Primary_snapshot'!$D$2:$D$120,MATCH(A5,'Primary_snapshot'!$A$2:$A$120,0))),IF(AND(D5="retain",E5="statistical_results"),IF(I5="","",I5),"not_applicable")=IF(INDEX('Primary_snapshot'!$E$2:$E$120,MATCH(A5,'Primary_snapshot'!$A$2:$A$120,0))="","",INDEX('Primary_snapshot'!$E$2:$E$120,MATCH(A5,'Primary_snapshot'!$A$2:$A$120,0))),IF(AND(D5="retain",E5="statistical_results"),IF(J5="","",J5),"not_applicable")=IF(INDEX('Primary_snapshot'!$F$2:$F$120,MATCH(A5,'Primary_snapshot'!$A$2:$A$120,0))="","",INDEX('Primary_snapshot'!$F$2:$F$120,MATCH(A5,'Primary_snapshot'!$A$2:$A$120,0))),IF(AND(D5="retain",OR(E5="report_internal_inconsistency",E5="plan_material")),IF(K5="","",K5),"not_applicable")=IF(INDEX('Primary_snapshot'!$G$2:$G$120,MATCH(A5,'Primary_snapshot'!$A$2:$A$120,0))="","",INDEX('Primary_snapshot'!$G$2:$G$120,MATCH(A5,'Primary_snapshot'!$A$2:$A$120,0))),IF(AND(D5="retain",E5="protocol_report"),IF(L5="","",L5),"not_applicable")=IF(INDEX('Primary_snapshot'!$H$2:$H$120,MATCH(A5,'Primary_snapshot'!$A$2:$A$120,0))="","",INDEX('Primary_snapshot'!$H$2:$H$120,MATCH(A5,'Primary_snapshot'!$A$2:$A$120,0))),IF(R5="","",R5)=IF(INDEX('Primary_snapshot'!$I$2:$I$120,MATCH(A5,'Primary_snapshot'!$A$2:$A$120,0))="","",INDEX('Primary_snapshot'!$I$2:$I$120,MATCH(A5,'Primary_snapshot'!$A$2:$A$120,0)))))),"AGREE BUT CHANGED",IF(AND(P5&lt;&gt;"",NOT(OR(P5="pending",P5="resolved"))),"CHECK RESOLUTION",IF(OR(AND(OR(D5="discuss",INDEX('Primary_snapshot'!$B$2:$B$120,MATCH(A5,'Primary_snapshot'!$A$2:$A$120,0))="discuss",N5="disagree",N5="unable"),P5&lt;&gt;"resolved"),D5="discuss"),"DISCUSS",IF(AND(P5="resolved",LEN(TRIM(Q5))=0),"RESOLUTION NOTE NEEDED",IF(F5&lt;&gt;"checker_done","CHECKER DRAFT","FINAL READY")))))))))))))),"CHECK KEY / SNAPSHOT")</x:f>
        <x:v>CHECK REVIEWER IDs</x:v>
      </x:c>
      <x:c r="H5" s="7" t="str">
        <x:f>IF(AND(OR(D5="retain",D5=""),E5="statistical_results"),"","not_applicable")</x:f>
        <x:v>not_applicable</x:v>
      </x:c>
      <x:c r="I5" s="7" t="str">
        <x:f>IF(AND(OR(D5="retain",D5=""),E5="statistical_results"),"","not_applicable")</x:f>
        <x:v>not_applicable</x:v>
      </x:c>
      <x:c r="J5" s="13" t="str">
        <x:f>IF(AND(OR(D5="retain",D5=""),E5="statistical_results"),"","not_applicable")</x:f>
        <x:v>not_applicable</x:v>
      </x:c>
      <x:c r="K5" s="7" t="str">
        <x:f>IF(AND(OR(D5="retain",D5=""),OR(E5="report_internal_inconsistency",E5="plan_material")),"","not_applicable")</x:f>
        <x:v>not_applicable</x:v>
      </x:c>
      <x:c r="L5" s="13" t="str">
        <x:f>IF(AND(OR(D5="retain",D5=""),E5="protocol_report"),"","not_applicable")</x:f>
      </x:c>
      <x:c r="M5" s="3" t="str">
        <x:f>IF(Setup!$B$6="primary","",IFERROR(IF(INDEX('Primary_snapshot'!$L$2:$L$120,MATCH(A5,'Primary_snapshot'!$A$2:$A$120,0))="","",INDEX('Primary_snapshot'!$L$2:$L$120,MATCH(A5,'Primary_snapshot'!$A$2:$A$120,0))),"SNAPSHOT MISSING"))</x:f>
      </x:c>
      <x:c r="N5" s="7" t="str"/>
      <x:c r="O5" s="7" t="str"/>
      <x:c r="P5" s="7" t="str"/>
      <x:c r="Q5" s="7" t="str"/>
      <x:c r="R5" s="13" t="str"/>
    </x:row>
    <x:row r="6" ht="92" customHeight="1">
      <x:c r="A6" s="6" t="str">
        <x:v>2018::jama.2017.21906::C005</x:v>
      </x:c>
      <x:c r="B6" s="6" t="str">
        <x:v>The named optimal in-hospital medication composite uses different component labels across final-result tables</x:v>
      </x:c>
      <x:c r="C6" s="6" t="str">
        <x:v>Main article — PDF p. 3, Outcomes; main article — PDF p. 7, Table 3 footnote c; online supplement — PDF p. 21, eTable 5 footnote c; online supplement — PDF p. 22, eTable 6 footnote b.</x:v>
      </x:c>
      <x:c r="D6" s="7" t="str"/>
      <x:c r="E6" s="7" t="str">
        <x:v>report_internal_inconsistency</x:v>
      </x:c>
      <x:c r="F6" s="7" t="str">
        <x:v>no</x:v>
      </x:c>
      <x:c r="G6" s="6" t="str">
        <x:f>IFERROR(IF(NOT(OR(Setup!$B$6="primary",Setup!$B$6="checker")),"CHECK STAGE",IF(OR(LEN(TRIM(Setup!$B$2))=0,Setup!$B$2&lt;&gt;TRIM(Setup!$B$2),AND(Setup!$B$6="checker",OR(LEN(TRIM(Setup!$B$4))=0,Setup!$B$4&lt;&gt;TRIM(Setup!$B$4),LOWER(TRIM(Setup!$B$4))=LOWER(TRIM(Setup!$B$2))))),"CHECK REVIEWER IDs",IF(OR(COUNTIF($A$2:$A$7,A6)&lt;&gt;1,COUNTIF(Decisions!$C$2:$C$120,A6)&lt;&gt;1),"CHECK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FIELDS",IF(Setup!$B$6="primary",IF(OR(N6&lt;&gt;"",O6&lt;&gt;"",P6&lt;&gt;"",Q6&lt;&gt;""),"CLEAR CHECKER FIELDS",IF(OR(Setup!$B$4&lt;&gt;"",Setup!$B$5&lt;&gt;""),"CLEAR CHECKER ID",IF(F6&lt;&gt;"primary_done","PRIMARY DRAFT","PRIMARY READY"))),IF(OR(COUNTIF(Primary_snapshot!$A$2:$A$120,A6)&lt;&gt;1,INDEX('Primary_snapshot'!$J$2:$J$120,MATCH(A6,'Primary_snapshot'!$A$2:$A$120,0))&lt;&gt;"primary_done",INDEX('Primary_snapshot'!$K$2:$K$120,MATCH(A6,'Primary_snapshot'!$A$2:$A$120,0))&lt;&gt;Setup!$B$2,INDEX('Primary_snapshot'!$B$2:$B$120,MATCH(A6,'Primary_snapshot'!$A$2:$A$120,0))="NOT FROZEN",INDEX('Primary_snapshot'!$C$2:$C$120,MATCH(A6,'Primary_snapshot'!$A$2:$A$120,0))="NOT FROZEN",INDEX('Primary_snapshot'!$D$2:$D$120,MATCH(A6,'Primary_snapshot'!$A$2:$A$120,0))="NOT FROZEN",INDEX('Primary_snapshot'!$E$2:$E$120,MATCH(A6,'Primary_snapshot'!$A$2:$A$120,0))="NOT FROZEN",INDEX('Primary_snapshot'!$F$2:$F$120,MATCH(A6,'Primary_snapshot'!$A$2:$A$120,0))="NOT FROZEN",INDEX('Primary_snapshot'!$G$2:$G$120,MATCH(A6,'Primary_snapshot'!$A$2:$A$120,0))="NOT FROZEN",INDEX('Primary_snapshot'!$H$2:$H$120,MATCH(A6,'Primary_snapshot'!$A$2:$A$120,0))="NOT FROZEN",INDEX('Primary_snapshot'!$I$2:$I$120,MATCH(A6,'Primary_snapshot'!$A$2:$A$120,0))="NOT FROZEN",INDEX('Primary_snapshot'!$J$2:$J$120,MATCH(A6,'Primary_snapshot'!$A$2:$A$120,0))="NOT FROZEN",INDEX('Primary_snapshot'!$K$2:$K$120,MATCH(A6,'Primary_snapshot'!$A$2:$A$120,0))="NOT FROZEN",INDEX('Primary_snapshot'!$L$2:$L$120,MATCH(A6,'Primary_snapshot'!$A$2:$A$120,0))="NOT FROZEN"),"FREEZE SNAPSHOT",IF(NOT(OR(N6="agree",N6="agree_clarification",N6="disagree",N6="unable")),"CHECKER RESULT NEEDED",IF(AND(N6&lt;&gt;"agree",LEN(TRIM(O6))=0),"COMMENT NEEDED",IF(AND(N6="agree",NOT(AND(IF(D6="","",D6)=IF(INDEX('Primary_snapshot'!$B$2:$B$120,MATCH(A6,'Primary_snapshot'!$A$2:$A$120,0))="","",INDEX('Primary_snapshot'!$B$2:$B$120,MATCH(A6,'Primary_snapshot'!$A$2:$A$120,0))),IF(E6="","",E6)=IF(INDEX('Primary_snapshot'!$C$2:$C$120,MATCH(A6,'Primary_snapshot'!$A$2:$A$120,0))="","",INDEX('Primary_snapshot'!$C$2:$C$120,MATCH(A6,'Primary_snapshot'!$A$2:$A$120,0))),IF(AND(D6="retain",E6="statistical_results"),IF(H6="","",H6),"not_applicable")=IF(INDEX('Primary_snapshot'!$D$2:$D$120,MATCH(A6,'Primary_snapshot'!$A$2:$A$120,0))="","",INDEX('Primary_snapshot'!$D$2:$D$120,MATCH(A6,'Primary_snapshot'!$A$2:$A$120,0))),IF(AND(D6="retain",E6="statistical_results"),IF(I6="","",I6),"not_applicable")=IF(INDEX('Primary_snapshot'!$E$2:$E$120,MATCH(A6,'Primary_snapshot'!$A$2:$A$120,0))="","",INDEX('Primary_snapshot'!$E$2:$E$120,MATCH(A6,'Primary_snapshot'!$A$2:$A$120,0))),IF(AND(D6="retain",E6="statistical_results"),IF(J6="","",J6),"not_applicable")=IF(INDEX('Primary_snapshot'!$F$2:$F$120,MATCH(A6,'Primary_snapshot'!$A$2:$A$120,0))="","",INDEX('Primary_snapshot'!$F$2:$F$120,MATCH(A6,'Primary_snapshot'!$A$2:$A$120,0))),IF(AND(D6="retain",OR(E6="report_internal_inconsistency",E6="plan_material")),IF(K6="","",K6),"not_applicable")=IF(INDEX('Primary_snapshot'!$G$2:$G$120,MATCH(A6,'Primary_snapshot'!$A$2:$A$120,0))="","",INDEX('Primary_snapshot'!$G$2:$G$120,MATCH(A6,'Primary_snapshot'!$A$2:$A$120,0))),IF(AND(D6="retain",E6="protocol_report"),IF(L6="","",L6),"not_applicable")=IF(INDEX('Primary_snapshot'!$H$2:$H$120,MATCH(A6,'Primary_snapshot'!$A$2:$A$120,0))="","",INDEX('Primary_snapshot'!$H$2:$H$120,MATCH(A6,'Primary_snapshot'!$A$2:$A$120,0))),IF(R6="","",R6)=IF(INDEX('Primary_snapshot'!$I$2:$I$120,MATCH(A6,'Primary_snapshot'!$A$2:$A$120,0))="","",INDEX('Primary_snapshot'!$I$2:$I$120,MATCH(A6,'Primary_snapshot'!$A$2:$A$120,0)))))),"AGREE BUT CHANGED",IF(AND(P6&lt;&gt;"",NOT(OR(P6="pending",P6="resolved"))),"CHECK RESOLUTION",IF(OR(AND(OR(D6="discuss",INDEX('Primary_snapshot'!$B$2:$B$120,MATCH(A6,'Primary_snapshot'!$A$2:$A$120,0))="discuss",N6="disagree",N6="unable"),P6&lt;&gt;"resolved"),D6="discuss"),"DISCUSS",IF(AND(P6="resolved",LEN(TRIM(Q6))=0),"RESOLUTION NOTE NEEDED",IF(F6&lt;&gt;"checker_done","CHECKER DRAFT","FINAL READY")))))))))))))),"CHECK KEY / SNAPSHOT")</x:f>
        <x:v>CHECK REVIEWER IDs</x:v>
      </x:c>
      <x:c r="H6" s="7" t="str">
        <x:f>IF(AND(OR(D6="retain",D6=""),E6="statistical_results"),"","not_applicable")</x:f>
        <x:v>not_applicable</x:v>
      </x:c>
      <x:c r="I6" s="7" t="str">
        <x:f>IF(AND(OR(D6="retain",D6=""),E6="statistical_results"),"","not_applicable")</x:f>
        <x:v>not_applicable</x:v>
      </x:c>
      <x:c r="J6" s="13" t="str">
        <x:f>IF(AND(OR(D6="retain",D6=""),E6="statistical_results"),"","not_applicable")</x:f>
        <x:v>not_applicable</x:v>
      </x:c>
      <x:c r="K6" s="7" t="str">
        <x:f>IF(AND(OR(D6="retain",D6=""),OR(E6="report_internal_inconsistency",E6="plan_material")),"","not_applicable")</x:f>
      </x:c>
      <x:c r="L6" s="13" t="str">
        <x:f>IF(AND(OR(D6="retain",D6=""),E6="protocol_report"),"","not_applicable")</x:f>
        <x:v>not_applicable</x:v>
      </x:c>
      <x:c r="M6" s="6" t="str">
        <x:f>IF(Setup!$B$6="primary","",IFERROR(IF(INDEX('Primary_snapshot'!$L$2:$L$120,MATCH(A6,'Primary_snapshot'!$A$2:$A$120,0))="","",INDEX('Primary_snapshot'!$L$2:$L$120,MATCH(A6,'Primary_snapshot'!$A$2:$A$120,0))),"SNAPSHOT MISSING"))</x:f>
      </x:c>
      <x:c r="N6" s="7" t="str"/>
      <x:c r="O6" s="7" t="str"/>
      <x:c r="P6" s="7" t="str"/>
      <x:c r="Q6" s="7" t="str"/>
      <x:c r="R6" s="13" t="str"/>
    </x:row>
    <x:row r="7" ht="92" customHeight="1">
      <x:c r="A7" s="3" t="str">
        <x:v>2018::jama.2017.21906::C006</x:v>
      </x:c>
      <x:c r="B7" s="3" t="str">
        <x:v>Hospital-type subgroup is reported as prespecified but is absent from the supplied SAP subgroup list</x:v>
      </x:c>
      <x:c r="C7" s="3" t="str">
        <x:v>Main article — PDF p. 3, Statistical Analysis; main article — PDF p. 9, Figure 3 and adjacent Results narrative; SAP — PDF p. 7, section 7.5.2.</x:v>
      </x:c>
      <x:c r="D7" s="7" t="str"/>
      <x:c r="E7" s="7" t="str">
        <x:v>protocol_report</x:v>
      </x:c>
      <x:c r="F7" s="7" t="str">
        <x:v>no</x:v>
      </x:c>
      <x:c r="G7" s="3" t="str">
        <x:f>IFERROR(IF(NOT(OR(Setup!$B$6="primary",Setup!$B$6="checker")),"CHECK STAGE",IF(OR(LEN(TRIM(Setup!$B$2))=0,Setup!$B$2&lt;&gt;TRIM(Setup!$B$2),AND(Setup!$B$6="checker",OR(LEN(TRIM(Setup!$B$4))=0,Setup!$B$4&lt;&gt;TRIM(Setup!$B$4),LOWER(TRIM(Setup!$B$4))=LOWER(TRIM(Setup!$B$2))))),"CHECK REVIEWER IDs",IF(OR(COUNTIF($A$2:$A$7,A7)&lt;&gt;1,COUNTIF(Decisions!$C$2:$C$120,A7)&lt;&gt;1),"CHECK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FIELDS",IF(Setup!$B$6="primary",IF(OR(N7&lt;&gt;"",O7&lt;&gt;"",P7&lt;&gt;"",Q7&lt;&gt;""),"CLEAR CHECKER FIELDS",IF(OR(Setup!$B$4&lt;&gt;"",Setup!$B$5&lt;&gt;""),"CLEAR CHECKER ID",IF(F7&lt;&gt;"primary_done","PRIMARY DRAFT","PRIMARY READY"))),IF(OR(COUNTIF(Primary_snapshot!$A$2:$A$120,A7)&lt;&gt;1,INDEX('Primary_snapshot'!$J$2:$J$120,MATCH(A7,'Primary_snapshot'!$A$2:$A$120,0))&lt;&gt;"primary_done",INDEX('Primary_snapshot'!$K$2:$K$120,MATCH(A7,'Primary_snapshot'!$A$2:$A$120,0))&lt;&gt;Setup!$B$2,INDEX('Primary_snapshot'!$B$2:$B$120,MATCH(A7,'Primary_snapshot'!$A$2:$A$120,0))="NOT FROZEN",INDEX('Primary_snapshot'!$C$2:$C$120,MATCH(A7,'Primary_snapshot'!$A$2:$A$120,0))="NOT FROZEN",INDEX('Primary_snapshot'!$D$2:$D$120,MATCH(A7,'Primary_snapshot'!$A$2:$A$120,0))="NOT FROZEN",INDEX('Primary_snapshot'!$E$2:$E$120,MATCH(A7,'Primary_snapshot'!$A$2:$A$120,0))="NOT FROZEN",INDEX('Primary_snapshot'!$F$2:$F$120,MATCH(A7,'Primary_snapshot'!$A$2:$A$120,0))="NOT FROZEN",INDEX('Primary_snapshot'!$G$2:$G$120,MATCH(A7,'Primary_snapshot'!$A$2:$A$120,0))="NOT FROZEN",INDEX('Primary_snapshot'!$H$2:$H$120,MATCH(A7,'Primary_snapshot'!$A$2:$A$120,0))="NOT FROZEN",INDEX('Primary_snapshot'!$I$2:$I$120,MATCH(A7,'Primary_snapshot'!$A$2:$A$120,0))="NOT FROZEN",INDEX('Primary_snapshot'!$J$2:$J$120,MATCH(A7,'Primary_snapshot'!$A$2:$A$120,0))="NOT FROZEN",INDEX('Primary_snapshot'!$K$2:$K$120,MATCH(A7,'Primary_snapshot'!$A$2:$A$120,0))="NOT FROZEN",INDEX('Primary_snapshot'!$L$2:$L$120,MATCH(A7,'Primary_snapshot'!$A$2:$A$120,0))="NOT FROZEN"),"FREEZE SNAPSHOT",IF(NOT(OR(N7="agree",N7="agree_clarification",N7="disagree",N7="unable")),"CHECKER RESULT NEEDED",IF(AND(N7&lt;&gt;"agree",LEN(TRIM(O7))=0),"COMMENT NEEDED",IF(AND(N7="agree",NOT(AND(IF(D7="","",D7)=IF(INDEX('Primary_snapshot'!$B$2:$B$120,MATCH(A7,'Primary_snapshot'!$A$2:$A$120,0))="","",INDEX('Primary_snapshot'!$B$2:$B$120,MATCH(A7,'Primary_snapshot'!$A$2:$A$120,0))),IF(E7="","",E7)=IF(INDEX('Primary_snapshot'!$C$2:$C$120,MATCH(A7,'Primary_snapshot'!$A$2:$A$120,0))="","",INDEX('Primary_snapshot'!$C$2:$C$120,MATCH(A7,'Primary_snapshot'!$A$2:$A$120,0))),IF(AND(D7="retain",E7="statistical_results"),IF(H7="","",H7),"not_applicable")=IF(INDEX('Primary_snapshot'!$D$2:$D$120,MATCH(A7,'Primary_snapshot'!$A$2:$A$120,0))="","",INDEX('Primary_snapshot'!$D$2:$D$120,MATCH(A7,'Primary_snapshot'!$A$2:$A$120,0))),IF(AND(D7="retain",E7="statistical_results"),IF(I7="","",I7),"not_applicable")=IF(INDEX('Primary_snapshot'!$E$2:$E$120,MATCH(A7,'Primary_snapshot'!$A$2:$A$120,0))="","",INDEX('Primary_snapshot'!$E$2:$E$120,MATCH(A7,'Primary_snapshot'!$A$2:$A$120,0))),IF(AND(D7="retain",E7="statistical_results"),IF(J7="","",J7),"not_applicable")=IF(INDEX('Primary_snapshot'!$F$2:$F$120,MATCH(A7,'Primary_snapshot'!$A$2:$A$120,0))="","",INDEX('Primary_snapshot'!$F$2:$F$120,MATCH(A7,'Primary_snapshot'!$A$2:$A$120,0))),IF(AND(D7="retain",OR(E7="report_internal_inconsistency",E7="plan_material")),IF(K7="","",K7),"not_applicable")=IF(INDEX('Primary_snapshot'!$G$2:$G$120,MATCH(A7,'Primary_snapshot'!$A$2:$A$120,0))="","",INDEX('Primary_snapshot'!$G$2:$G$120,MATCH(A7,'Primary_snapshot'!$A$2:$A$120,0))),IF(AND(D7="retain",E7="protocol_report"),IF(L7="","",L7),"not_applicable")=IF(INDEX('Primary_snapshot'!$H$2:$H$120,MATCH(A7,'Primary_snapshot'!$A$2:$A$120,0))="","",INDEX('Primary_snapshot'!$H$2:$H$120,MATCH(A7,'Primary_snapshot'!$A$2:$A$120,0))),IF(R7="","",R7)=IF(INDEX('Primary_snapshot'!$I$2:$I$120,MATCH(A7,'Primary_snapshot'!$A$2:$A$120,0))="","",INDEX('Primary_snapshot'!$I$2:$I$120,MATCH(A7,'Primary_snapshot'!$A$2:$A$120,0)))))),"AGREE BUT CHANGED",IF(AND(P7&lt;&gt;"",NOT(OR(P7="pending",P7="resolved"))),"CHECK RESOLUTION",IF(OR(AND(OR(D7="discuss",INDEX('Primary_snapshot'!$B$2:$B$120,MATCH(A7,'Primary_snapshot'!$A$2:$A$120,0))="discuss",N7="disagree",N7="unable"),P7&lt;&gt;"resolved"),D7="discuss"),"DISCUSS",IF(AND(P7="resolved",LEN(TRIM(Q7))=0),"RESOLUTION NOTE NEEDED",IF(F7&lt;&gt;"checker_done","CHECKER DRAFT","FINAL READY")))))))))))))),"CHECK KEY / SNAPSHOT")</x:f>
        <x:v>CHECK REVIEWER IDs</x:v>
      </x:c>
      <x:c r="H7" s="7" t="str">
        <x:f>IF(AND(OR(D7="retain",D7=""),E7="statistical_results"),"","not_applicable")</x:f>
        <x:v>not_applicable</x:v>
      </x:c>
      <x:c r="I7" s="7" t="str">
        <x:f>IF(AND(OR(D7="retain",D7=""),E7="statistical_results"),"","not_applicable")</x:f>
        <x:v>not_applicable</x:v>
      </x:c>
      <x:c r="J7" s="13" t="str">
        <x:f>IF(AND(OR(D7="retain",D7=""),E7="statistical_results"),"","not_applicable")</x:f>
        <x:v>not_applicable</x:v>
      </x:c>
      <x:c r="K7" s="7" t="str">
        <x:f>IF(AND(OR(D7="retain",D7=""),OR(E7="report_internal_inconsistency",E7="plan_material")),"","not_applicable")</x:f>
        <x:v>not_applicable</x:v>
      </x:c>
      <x:c r="L7" s="13" t="str">
        <x:f>IF(AND(OR(D7="retain",D7=""),E7="protocol_report"),"","not_applicable")</x:f>
      </x:c>
      <x:c r="M7" s="3" t="str">
        <x:f>IF(Setup!$B$6="primary","",IFERROR(IF(INDEX('Primary_snapshot'!$L$2:$L$120,MATCH(A7,'Primary_snapshot'!$A$2:$A$120,0))="","",INDEX('Primary_snapshot'!$L$2:$L$120,MATCH(A7,'Primary_snapshot'!$A$2:$A$120,0))),"SNAPSHOT MISSING"))</x:f>
      </x:c>
      <x:c r="N7" s="7" t="str"/>
      <x:c r="O7" s="7" t="str"/>
      <x:c r="P7" s="7" t="str"/>
      <x:c r="Q7" s="7" t="str"/>
      <x:c r="R7" s="13" t="str"/>
    </x:row>
  </x:sheetData>
  <x:conditionalFormatting sqref="G2:G7">
    <x:cfRule type="expression" dxfId="0" priority="1">
      <x:formula>AND(G2&lt;&gt;"PRIMARY READY",G2&lt;&gt;"FINAL READY")</x:formula>
    </x:cfRule>
  </x:conditionalFormatting>
  <x:conditionalFormatting sqref="N2:Q7">
    <x:cfRule type="expression" dxfId="1" priority="2">
      <x:formula>Setup!$B$6="primary"</x:formula>
    </x:cfRule>
  </x:conditionalFormatting>
  <x:conditionalFormatting sqref="H2:H7">
    <x:cfRule type="expression" dxfId="2" priority="3">
      <x:formula>NOT(AND(OR($D2="retain",$D2=""),$E2="statistical_results"))</x:formula>
    </x:cfRule>
  </x:conditionalFormatting>
  <x:conditionalFormatting sqref="I2:I7">
    <x:cfRule type="expression" dxfId="3" priority="4">
      <x:formula>NOT(AND(OR($D2="retain",$D2=""),$E2="statistical_results"))</x:formula>
    </x:cfRule>
  </x:conditionalFormatting>
  <x:conditionalFormatting sqref="J2:J7">
    <x:cfRule type="expression" dxfId="4" priority="5">
      <x:formula>NOT(AND(OR($D2="retain",$D2=""),$E2="statistical_results"))</x:formula>
    </x:cfRule>
  </x:conditionalFormatting>
  <x:conditionalFormatting sqref="K2:K7">
    <x:cfRule type="expression" dxfId="5" priority="6">
      <x:formula>NOT(AND(OR($D2="retain",$D2=""),OR($E2="report_internal_inconsistency",$E2="plan_material")))</x:formula>
    </x:cfRule>
  </x:conditionalFormatting>
  <x:conditionalFormatting sqref="L2:L7">
    <x:cfRule type="expression" dxfId="6" priority="7">
      <x:formula>NOT(AND(OR($D2="retain",$D2=""),$E2="protocol_report"))</x:formula>
    </x:cfRule>
  </x:conditionalFormatting>
  <x:dataValidations count="10">
    <x:dataValidation type="list" sqref="D2:D7">
      <x:formula1>"retain,exclude,discuss"</x:formula1>
    </x:dataValidation>
    <x:dataValidation type="list" sqref="E2:E7">
      <x:formula1>"statistical_results,report_internal_inconsistency,plan_material,protocol_report"</x:formula1>
    </x:dataValidation>
    <x:dataValidation type="list" sqref="F2:F7">
      <x:formula1>"no,primary_done,checker_done"</x:formula1>
    </x:dataValidation>
    <x:dataValidation type="list" sqref="H2:H7">
      <x:formula1>"confirmed_issue,probable_issue,not_issue,indeterminate,not_applicable"</x:formula1>
    </x:dataValidation>
    <x:dataValidation type="list" sqref="I2:I7">
      <x:formula1>"substantive,minor_presentation,indeterminate,not_applicable"</x:formula1>
    </x:dataValidation>
    <x:dataValidation type="list" sqref="J2:J7">
      <x:formula1>"direct,possible,unlikely,unknown,not_applicable"</x:formula1>
    </x:dataValidation>
    <x:dataValidation type="list" sqref="K2:K7">
      <x:formula1>"substantive_inconsistency,minor_presentation,non_inconsistency,indeterminate,not_applicable"</x:formula1>
    </x:dataValidation>
    <x:dataValidation type="list" sqref="L2:L7">
      <x:formula1>"substantive_difference,minor_presentation,version_timing,non_inconsistency,indeterminate,not_applicable"</x:formula1>
    </x:dataValidation>
    <x:dataValidation type="list" sqref="N2:N7">
      <x:formula1>"agree,agree_clarification,disagree,unable"</x:formula1>
    </x:dataValidation>
    <x:dataValidation type="list" sqref="P2:P7">
      <x:formula1>"pending,resolved"</x:formula1>
    </x:dataValidation>
  </x:dataValidations>
  <x:pageMargins left="0.7" right="0.7" top="0.75" bottom="0.75" header="0.3" footer="0.3"/>
  <x:tableParts count="1">
    <x:tablePart xmlns:r="http://schemas.openxmlformats.org/officeDocument/2006/relationships" r:id="Raaa8914007134eb7"/>
  </x:tableParts>
</x:worksheet>
</file>

<file path=xl/worksheets/sheet6.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28" hidden="0" customWidth="1"/>
    <x:col min="3" max="3" width="22" hidden="0" customWidth="1"/>
    <x:col min="4" max="4" width="18" hidden="0" customWidth="1"/>
    <x:col min="5" max="5" width="24" hidden="0" customWidth="1"/>
    <x:col min="6" max="6" width="17" hidden="0" customWidth="1"/>
    <x:col min="7" max="7" width="25" hidden="0" customWidth="1"/>
    <x:col min="8" max="8" width="28" hidden="0" customWidth="1"/>
    <x:col min="9" max="9" width="20" hidden="0" customWidth="1"/>
    <x:col min="10" max="10" width="20" hidden="0" customWidth="1"/>
    <x:col min="11" max="11" width="34" hidden="0" customWidth="1"/>
    <x:col min="12" max="12" width="26" hidden="0" customWidth="1"/>
    <x:col min="13" max="13" width="58" hidden="0" customWidth="1"/>
    <x:col min="14" max="14" width="23" hidden="0" customWidth="1"/>
    <x:col min="15" max="15" width="32" hidden="0" customWidth="1"/>
    <x:col min="16" max="16" width="22" hidden="0" customWidth="1"/>
    <x:col min="17" max="17" width="32" hidden="0" customWidth="1"/>
    <x:col min="18" max="18" width="32" hidden="0" customWidth="1"/>
  </x:cols>
  <x:sheetData>
    <x:row r="1" ht="42" customHeight="1">
      <x:c r="A1" s="5" t="str">
        <x:v>Candidate key</x:v>
      </x:c>
      <x:c r="B1" s="5" t="str">
        <x:v>Candidate title</x:v>
      </x:c>
      <x:c r="C1" s="5" t="str">
        <x:v>Source location</x:v>
      </x:c>
      <x:c r="D1" s="5" t="str">
        <x:v>Disposition</x:v>
      </x:c>
      <x:c r="E1" s="5" t="str">
        <x:v>Review domain</x:v>
      </x:c>
      <x:c r="F1" s="5" t="str">
        <x:v>Complete</x:v>
      </x:c>
      <x:c r="G1" s="5" t="str">
        <x:v>Validation hint</x:v>
      </x:c>
      <x:c r="H1" s="5" t="str">
        <x:v>Statistcal_or_numerical issue</x:v>
      </x:c>
      <x:c r="I1" s="5" t="str">
        <x:v>Substantiveness</x:v>
      </x:c>
      <x:c r="J1" s="5" t="str">
        <x:v>Downstream impact</x:v>
      </x:c>
      <x:c r="K1" s="5" t="str">
        <x:v>Report-internal or planning-material inconsistency</x:v>
      </x:c>
      <x:c r="L1" s="5" t="str">
        <x:v>Protocol interpretation</x:v>
      </x:c>
      <x:c r="M1" s="5" t="str">
        <x:v>Primary assessment</x:v>
      </x:c>
      <x:c r="N1" s="5" t="str">
        <x:v>Checker result</x:v>
      </x:c>
      <x:c r="O1" s="5" t="str">
        <x:v>Checker comment</x:v>
      </x:c>
      <x:c r="P1" s="5" t="str">
        <x:v>Discussion resolution</x:v>
      </x:c>
      <x:c r="Q1" s="5" t="str">
        <x:v>Resolution note</x:v>
      </x:c>
      <x:c r="R1" s="5" t="str">
        <x:v>Notes (optional)</x:v>
      </x:c>
    </x:row>
    <x:row r="2" ht="92" customHeight="1">
      <x:c r="A2" s="6" t="str">
        <x:v>2018::jama.2018.0156::C001</x:v>
      </x:c>
      <x:c r="B2" s="6" t="str">
        <x:v>Noninferiority narrative reverses the displayed bound direction</x:v>
      </x:c>
      <x:c r="C2" s="6" t="str">
        <x:v>jama_jabre_2018_oi_180004.pdf — PDF p. 3 (rule); jama_jabre_2018_oi_180004.pdf — PDF p. 4 (result/narrative).</x:v>
      </x:c>
      <x:c r="D2" s="7" t="str"/>
      <x:c r="E2" s="7" t="str">
        <x:v>statistical_results</x:v>
      </x:c>
      <x:c r="F2" s="7" t="str">
        <x:v>no</x:v>
      </x:c>
      <x:c r="G2" s="6" t="str">
        <x:f>IFERROR(IF(NOT(OR(Setup!$B$6="primary",Setup!$B$6="checker")),"CHECK STAGE",IF(OR(LEN(TRIM(Setup!$B$2))=0,Setup!$B$2&lt;&gt;TRIM(Setup!$B$2),AND(Setup!$B$6="checker",OR(LEN(TRIM(Setup!$B$4))=0,Setup!$B$4&lt;&gt;TRIM(Setup!$B$4),LOWER(TRIM(Setup!$B$4))=LOWER(TRIM(Setup!$B$2))))),"CHECK REVIEWER IDs",IF(OR(COUNTIF($A$2:$A$9,A2)&lt;&gt;1,COUNTIF(Decisions!$C$2:$C$120,A2)&lt;&gt;1),"CHECK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FIELDS",IF(Setup!$B$6="primary",IF(OR(N2&lt;&gt;"",O2&lt;&gt;"",P2&lt;&gt;"",Q2&lt;&gt;""),"CLEAR CHECKER FIELDS",IF(OR(Setup!$B$4&lt;&gt;"",Setup!$B$5&lt;&gt;""),"CLEAR CHECKER ID",IF(F2&lt;&gt;"primary_done","PRIMARY DRAFT","PRIMARY READY"))),IF(OR(COUNTIF(Primary_snapshot!$A$2:$A$120,A2)&lt;&gt;1,INDEX('Primary_snapshot'!$J$2:$J$120,MATCH(A2,'Primary_snapshot'!$A$2:$A$120,0))&lt;&gt;"primary_done",INDEX('Primary_snapshot'!$K$2:$K$120,MATCH(A2,'Primary_snapshot'!$A$2:$A$120,0))&lt;&gt;Setup!$B$2,INDEX('Primary_snapshot'!$B$2:$B$120,MATCH(A2,'Primary_snapshot'!$A$2:$A$120,0))="NOT FROZEN",INDEX('Primary_snapshot'!$C$2:$C$120,MATCH(A2,'Primary_snapshot'!$A$2:$A$120,0))="NOT FROZEN",INDEX('Primary_snapshot'!$D$2:$D$120,MATCH(A2,'Primary_snapshot'!$A$2:$A$120,0))="NOT FROZEN",INDEX('Primary_snapshot'!$E$2:$E$120,MATCH(A2,'Primary_snapshot'!$A$2:$A$120,0))="NOT FROZEN",INDEX('Primary_snapshot'!$F$2:$F$120,MATCH(A2,'Primary_snapshot'!$A$2:$A$120,0))="NOT FROZEN",INDEX('Primary_snapshot'!$G$2:$G$120,MATCH(A2,'Primary_snapshot'!$A$2:$A$120,0))="NOT FROZEN",INDEX('Primary_snapshot'!$H$2:$H$120,MATCH(A2,'Primary_snapshot'!$A$2:$A$120,0))="NOT FROZEN",INDEX('Primary_snapshot'!$I$2:$I$120,MATCH(A2,'Primary_snapshot'!$A$2:$A$120,0))="NOT FROZEN",INDEX('Primary_snapshot'!$J$2:$J$120,MATCH(A2,'Primary_snapshot'!$A$2:$A$120,0))="NOT FROZEN",INDEX('Primary_snapshot'!$K$2:$K$120,MATCH(A2,'Primary_snapshot'!$A$2:$A$120,0))="NOT FROZEN",INDEX('Primary_snapshot'!$L$2:$L$120,MATCH(A2,'Primary_snapshot'!$A$2:$A$120,0))="NOT FROZEN"),"FREEZE SNAPSHOT",IF(NOT(OR(N2="agree",N2="agree_clarification",N2="disagree",N2="unable")),"CHECKER RESULT NEEDED",IF(AND(N2&lt;&gt;"agree",LEN(TRIM(O2))=0),"COMMENT NEEDED",IF(AND(N2="agree",NOT(AND(IF(D2="","",D2)=IF(INDEX('Primary_snapshot'!$B$2:$B$120,MATCH(A2,'Primary_snapshot'!$A$2:$A$120,0))="","",INDEX('Primary_snapshot'!$B$2:$B$120,MATCH(A2,'Primary_snapshot'!$A$2:$A$120,0))),IF(E2="","",E2)=IF(INDEX('Primary_snapshot'!$C$2:$C$120,MATCH(A2,'Primary_snapshot'!$A$2:$A$120,0))="","",INDEX('Primary_snapshot'!$C$2:$C$120,MATCH(A2,'Primary_snapshot'!$A$2:$A$120,0))),IF(AND(D2="retain",E2="statistical_results"),IF(H2="","",H2),"not_applicable")=IF(INDEX('Primary_snapshot'!$D$2:$D$120,MATCH(A2,'Primary_snapshot'!$A$2:$A$120,0))="","",INDEX('Primary_snapshot'!$D$2:$D$120,MATCH(A2,'Primary_snapshot'!$A$2:$A$120,0))),IF(AND(D2="retain",E2="statistical_results"),IF(I2="","",I2),"not_applicable")=IF(INDEX('Primary_snapshot'!$E$2:$E$120,MATCH(A2,'Primary_snapshot'!$A$2:$A$120,0))="","",INDEX('Primary_snapshot'!$E$2:$E$120,MATCH(A2,'Primary_snapshot'!$A$2:$A$120,0))),IF(AND(D2="retain",E2="statistical_results"),IF(J2="","",J2),"not_applicable")=IF(INDEX('Primary_snapshot'!$F$2:$F$120,MATCH(A2,'Primary_snapshot'!$A$2:$A$120,0))="","",INDEX('Primary_snapshot'!$F$2:$F$120,MATCH(A2,'Primary_snapshot'!$A$2:$A$120,0))),IF(AND(D2="retain",OR(E2="report_internal_inconsistency",E2="plan_material")),IF(K2="","",K2),"not_applicable")=IF(INDEX('Primary_snapshot'!$G$2:$G$120,MATCH(A2,'Primary_snapshot'!$A$2:$A$120,0))="","",INDEX('Primary_snapshot'!$G$2:$G$120,MATCH(A2,'Primary_snapshot'!$A$2:$A$120,0))),IF(AND(D2="retain",E2="protocol_report"),IF(L2="","",L2),"not_applicable")=IF(INDEX('Primary_snapshot'!$H$2:$H$120,MATCH(A2,'Primary_snapshot'!$A$2:$A$120,0))="","",INDEX('Primary_snapshot'!$H$2:$H$120,MATCH(A2,'Primary_snapshot'!$A$2:$A$120,0))),IF(R2="","",R2)=IF(INDEX('Primary_snapshot'!$I$2:$I$120,MATCH(A2,'Primary_snapshot'!$A$2:$A$120,0))="","",INDEX('Primary_snapshot'!$I$2:$I$120,MATCH(A2,'Primary_snapshot'!$A$2:$A$120,0)))))),"AGREE BUT CHANGED",IF(AND(P2&lt;&gt;"",NOT(OR(P2="pending",P2="resolved"))),"CHECK RESOLUTION",IF(OR(AND(OR(D2="discuss",INDEX('Primary_snapshot'!$B$2:$B$120,MATCH(A2,'Primary_snapshot'!$A$2:$A$120,0))="discuss",N2="disagree",N2="unable"),P2&lt;&gt;"resolved"),D2="discuss"),"DISCUSS",IF(AND(P2="resolved",LEN(TRIM(Q2))=0),"RESOLUTION NOTE NEEDED",IF(F2&lt;&gt;"checker_done","CHECKER DRAFT","FINAL READY")))))))))))))),"CHECK KEY / SNAPSHOT")</x:f>
        <x:v>CHECK REVIEWER IDs</x:v>
      </x:c>
      <x:c r="H2" s="7" t="str">
        <x:f>IF(AND(OR(D2="retain",D2=""),E2="statistical_results"),"","not_applicable")</x:f>
      </x:c>
      <x:c r="I2" s="7" t="str">
        <x:f>IF(AND(OR(D2="retain",D2=""),E2="statistical_results"),"","not_applicable")</x:f>
      </x:c>
      <x:c r="J2" s="13" t="str">
        <x:f>IF(AND(OR(D2="retain",D2=""),E2="statistical_results"),"","not_applicable")</x:f>
      </x:c>
      <x:c r="K2" s="7" t="str">
        <x:f>IF(AND(OR(D2="retain",D2=""),OR(E2="report_internal_inconsistency",E2="plan_material")),"","not_applicable")</x:f>
        <x:v>not_applicable</x:v>
      </x:c>
      <x:c r="L2" s="13" t="str">
        <x:f>IF(AND(OR(D2="retain",D2=""),E2="protocol_report"),"","not_applicable")</x:f>
        <x:v>not_applicable</x:v>
      </x:c>
      <x:c r="M2" s="6" t="str">
        <x:f>IF(Setup!$B$6="primary","",IFERROR(IF(INDEX('Primary_snapshot'!$L$2:$L$120,MATCH(A2,'Primary_snapshot'!$A$2:$A$120,0))="","",INDEX('Primary_snapshot'!$L$2:$L$120,MATCH(A2,'Primary_snapshot'!$A$2:$A$120,0))),"SNAPSHOT MISSING"))</x:f>
      </x:c>
      <x:c r="N2" s="7" t="str"/>
      <x:c r="O2" s="7" t="str"/>
      <x:c r="P2" s="7" t="str"/>
      <x:c r="Q2" s="7" t="str"/>
      <x:c r="R2" s="13" t="str"/>
    </x:row>
    <x:row r="3" ht="92" customHeight="1">
      <x:c r="A3" s="3" t="str">
        <x:v>2018::jama.2018.0156::C002</x:v>
      </x:c>
      <x:c r="B3" s="3" t="str">
        <x:v>Centre-5 pause contrast mixes a count outcome with seconds</x:v>
      </x:c>
      <x:c r="C3" s="3" t="str">
        <x:v>jama_jabre_2018_oi_180004.pdf — PDF p. 3 (definition); jama_jabre_2018_oi_180004.pdf — PDF p. 4 (contrast).</x:v>
      </x:c>
      <x:c r="D3" s="7" t="str"/>
      <x:c r="E3" s="7" t="str">
        <x:v>report_internal_inconsistency</x:v>
      </x:c>
      <x:c r="F3" s="7" t="str">
        <x:v>no</x:v>
      </x:c>
      <x:c r="G3" s="3" t="str">
        <x:f>IFERROR(IF(NOT(OR(Setup!$B$6="primary",Setup!$B$6="checker")),"CHECK STAGE",IF(OR(LEN(TRIM(Setup!$B$2))=0,Setup!$B$2&lt;&gt;TRIM(Setup!$B$2),AND(Setup!$B$6="checker",OR(LEN(TRIM(Setup!$B$4))=0,Setup!$B$4&lt;&gt;TRIM(Setup!$B$4),LOWER(TRIM(Setup!$B$4))=LOWER(TRIM(Setup!$B$2))))),"CHECK REVIEWER IDs",IF(OR(COUNTIF($A$2:$A$9,A3)&lt;&gt;1,COUNTIF(Decisions!$C$2:$C$120,A3)&lt;&gt;1),"CHECK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FIELDS",IF(Setup!$B$6="primary",IF(OR(N3&lt;&gt;"",O3&lt;&gt;"",P3&lt;&gt;"",Q3&lt;&gt;""),"CLEAR CHECKER FIELDS",IF(OR(Setup!$B$4&lt;&gt;"",Setup!$B$5&lt;&gt;""),"CLEAR CHECKER ID",IF(F3&lt;&gt;"primary_done","PRIMARY DRAFT","PRIMARY READY"))),IF(OR(COUNTIF(Primary_snapshot!$A$2:$A$120,A3)&lt;&gt;1,INDEX('Primary_snapshot'!$J$2:$J$120,MATCH(A3,'Primary_snapshot'!$A$2:$A$120,0))&lt;&gt;"primary_done",INDEX('Primary_snapshot'!$K$2:$K$120,MATCH(A3,'Primary_snapshot'!$A$2:$A$120,0))&lt;&gt;Setup!$B$2,INDEX('Primary_snapshot'!$B$2:$B$120,MATCH(A3,'Primary_snapshot'!$A$2:$A$120,0))="NOT FROZEN",INDEX('Primary_snapshot'!$C$2:$C$120,MATCH(A3,'Primary_snapshot'!$A$2:$A$120,0))="NOT FROZEN",INDEX('Primary_snapshot'!$D$2:$D$120,MATCH(A3,'Primary_snapshot'!$A$2:$A$120,0))="NOT FROZEN",INDEX('Primary_snapshot'!$E$2:$E$120,MATCH(A3,'Primary_snapshot'!$A$2:$A$120,0))="NOT FROZEN",INDEX('Primary_snapshot'!$F$2:$F$120,MATCH(A3,'Primary_snapshot'!$A$2:$A$120,0))="NOT FROZEN",INDEX('Primary_snapshot'!$G$2:$G$120,MATCH(A3,'Primary_snapshot'!$A$2:$A$120,0))="NOT FROZEN",INDEX('Primary_snapshot'!$H$2:$H$120,MATCH(A3,'Primary_snapshot'!$A$2:$A$120,0))="NOT FROZEN",INDEX('Primary_snapshot'!$I$2:$I$120,MATCH(A3,'Primary_snapshot'!$A$2:$A$120,0))="NOT FROZEN",INDEX('Primary_snapshot'!$J$2:$J$120,MATCH(A3,'Primary_snapshot'!$A$2:$A$120,0))="NOT FROZEN",INDEX('Primary_snapshot'!$K$2:$K$120,MATCH(A3,'Primary_snapshot'!$A$2:$A$120,0))="NOT FROZEN",INDEX('Primary_snapshot'!$L$2:$L$120,MATCH(A3,'Primary_snapshot'!$A$2:$A$120,0))="NOT FROZEN"),"FREEZE SNAPSHOT",IF(NOT(OR(N3="agree",N3="agree_clarification",N3="disagree",N3="unable")),"CHECKER RESULT NEEDED",IF(AND(N3&lt;&gt;"agree",LEN(TRIM(O3))=0),"COMMENT NEEDED",IF(AND(N3="agree",NOT(AND(IF(D3="","",D3)=IF(INDEX('Primary_snapshot'!$B$2:$B$120,MATCH(A3,'Primary_snapshot'!$A$2:$A$120,0))="","",INDEX('Primary_snapshot'!$B$2:$B$120,MATCH(A3,'Primary_snapshot'!$A$2:$A$120,0))),IF(E3="","",E3)=IF(INDEX('Primary_snapshot'!$C$2:$C$120,MATCH(A3,'Primary_snapshot'!$A$2:$A$120,0))="","",INDEX('Primary_snapshot'!$C$2:$C$120,MATCH(A3,'Primary_snapshot'!$A$2:$A$120,0))),IF(AND(D3="retain",E3="statistical_results"),IF(H3="","",H3),"not_applicable")=IF(INDEX('Primary_snapshot'!$D$2:$D$120,MATCH(A3,'Primary_snapshot'!$A$2:$A$120,0))="","",INDEX('Primary_snapshot'!$D$2:$D$120,MATCH(A3,'Primary_snapshot'!$A$2:$A$120,0))),IF(AND(D3="retain",E3="statistical_results"),IF(I3="","",I3),"not_applicable")=IF(INDEX('Primary_snapshot'!$E$2:$E$120,MATCH(A3,'Primary_snapshot'!$A$2:$A$120,0))="","",INDEX('Primary_snapshot'!$E$2:$E$120,MATCH(A3,'Primary_snapshot'!$A$2:$A$120,0))),IF(AND(D3="retain",E3="statistical_results"),IF(J3="","",J3),"not_applicable")=IF(INDEX('Primary_snapshot'!$F$2:$F$120,MATCH(A3,'Primary_snapshot'!$A$2:$A$120,0))="","",INDEX('Primary_snapshot'!$F$2:$F$120,MATCH(A3,'Primary_snapshot'!$A$2:$A$120,0))),IF(AND(D3="retain",OR(E3="report_internal_inconsistency",E3="plan_material")),IF(K3="","",K3),"not_applicable")=IF(INDEX('Primary_snapshot'!$G$2:$G$120,MATCH(A3,'Primary_snapshot'!$A$2:$A$120,0))="","",INDEX('Primary_snapshot'!$G$2:$G$120,MATCH(A3,'Primary_snapshot'!$A$2:$A$120,0))),IF(AND(D3="retain",E3="protocol_report"),IF(L3="","",L3),"not_applicable")=IF(INDEX('Primary_snapshot'!$H$2:$H$120,MATCH(A3,'Primary_snapshot'!$A$2:$A$120,0))="","",INDEX('Primary_snapshot'!$H$2:$H$120,MATCH(A3,'Primary_snapshot'!$A$2:$A$120,0))),IF(R3="","",R3)=IF(INDEX('Primary_snapshot'!$I$2:$I$120,MATCH(A3,'Primary_snapshot'!$A$2:$A$120,0))="","",INDEX('Primary_snapshot'!$I$2:$I$120,MATCH(A3,'Primary_snapshot'!$A$2:$A$120,0)))))),"AGREE BUT CHANGED",IF(AND(P3&lt;&gt;"",NOT(OR(P3="pending",P3="resolved"))),"CHECK RESOLUTION",IF(OR(AND(OR(D3="discuss",INDEX('Primary_snapshot'!$B$2:$B$120,MATCH(A3,'Primary_snapshot'!$A$2:$A$120,0))="discuss",N3="disagree",N3="unable"),P3&lt;&gt;"resolved"),D3="discuss"),"DISCUSS",IF(AND(P3="resolved",LEN(TRIM(Q3))=0),"RESOLUTION NOTE NEEDED",IF(F3&lt;&gt;"checker_done","CHECKER DRAFT","FINAL READY")))))))))))))),"CHECK KEY / SNAPSHOT")</x:f>
        <x:v>CHECK REVIEWER IDs</x:v>
      </x:c>
      <x:c r="H3" s="7" t="str">
        <x:f>IF(AND(OR(D3="retain",D3=""),E3="statistical_results"),"","not_applicable")</x:f>
        <x:v>not_applicable</x:v>
      </x:c>
      <x:c r="I3" s="7" t="str">
        <x:f>IF(AND(OR(D3="retain",D3=""),E3="statistical_results"),"","not_applicable")</x:f>
        <x:v>not_applicable</x:v>
      </x:c>
      <x:c r="J3" s="13" t="str">
        <x:f>IF(AND(OR(D3="retain",D3=""),E3="statistical_results"),"","not_applicable")</x:f>
        <x:v>not_applicable</x:v>
      </x:c>
      <x:c r="K3" s="7" t="str">
        <x:f>IF(AND(OR(D3="retain",D3=""),OR(E3="report_internal_inconsistency",E3="plan_material")),"","not_applicable")</x:f>
      </x:c>
      <x:c r="L3" s="13" t="str">
        <x:f>IF(AND(OR(D3="retain",D3=""),E3="protocol_report"),"","not_applicable")</x:f>
        <x:v>not_applicable</x:v>
      </x:c>
      <x:c r="M3" s="3" t="str">
        <x:f>IF(Setup!$B$6="primary","",IFERROR(IF(INDEX('Primary_snapshot'!$L$2:$L$120,MATCH(A3,'Primary_snapshot'!$A$2:$A$120,0))="","",INDEX('Primary_snapshot'!$L$2:$L$120,MATCH(A3,'Primary_snapshot'!$A$2:$A$120,0))),"SNAPSHOT MISSING"))</x:f>
      </x:c>
      <x:c r="N3" s="7" t="str"/>
      <x:c r="O3" s="7" t="str"/>
      <x:c r="P3" s="7" t="str"/>
      <x:c r="Q3" s="7" t="str"/>
      <x:c r="R3" s="13" t="str"/>
    </x:row>
    <x:row r="4" ht="92" customHeight="1">
      <x:c r="A4" s="6" t="str">
        <x:v>2018::jama.2018.0156::C003</x:v>
      </x:c>
      <x:c r="B4" s="6" t="str">
        <x:v>PP day-28 survival point difference does not round from the printed inputs</x:v>
      </x:c>
      <x:c r="C4" s="6" t="str">
        <x:v>jama_jabre_2018_oi_180004.pdf — PDF p. 6 (Table 2); joi180004supp1_prod.pdf — PDF p. 123 (rounding rule).</x:v>
      </x:c>
      <x:c r="D4" s="7" t="str"/>
      <x:c r="E4" s="7" t="str">
        <x:v>statistical_results</x:v>
      </x:c>
      <x:c r="F4" s="7" t="str">
        <x:v>no</x:v>
      </x:c>
      <x:c r="G4" s="6" t="str">
        <x:f>IFERROR(IF(NOT(OR(Setup!$B$6="primary",Setup!$B$6="checker")),"CHECK STAGE",IF(OR(LEN(TRIM(Setup!$B$2))=0,Setup!$B$2&lt;&gt;TRIM(Setup!$B$2),AND(Setup!$B$6="checker",OR(LEN(TRIM(Setup!$B$4))=0,Setup!$B$4&lt;&gt;TRIM(Setup!$B$4),LOWER(TRIM(Setup!$B$4))=LOWER(TRIM(Setup!$B$2))))),"CHECK REVIEWER IDs",IF(OR(COUNTIF($A$2:$A$9,A4)&lt;&gt;1,COUNTIF(Decisions!$C$2:$C$120,A4)&lt;&gt;1),"CHECK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FIELDS",IF(Setup!$B$6="primary",IF(OR(N4&lt;&gt;"",O4&lt;&gt;"",P4&lt;&gt;"",Q4&lt;&gt;""),"CLEAR CHECKER FIELDS",IF(OR(Setup!$B$4&lt;&gt;"",Setup!$B$5&lt;&gt;""),"CLEAR CHECKER ID",IF(F4&lt;&gt;"primary_done","PRIMARY DRAFT","PRIMARY READY"))),IF(OR(COUNTIF(Primary_snapshot!$A$2:$A$120,A4)&lt;&gt;1,INDEX('Primary_snapshot'!$J$2:$J$120,MATCH(A4,'Primary_snapshot'!$A$2:$A$120,0))&lt;&gt;"primary_done",INDEX('Primary_snapshot'!$K$2:$K$120,MATCH(A4,'Primary_snapshot'!$A$2:$A$120,0))&lt;&gt;Setup!$B$2,INDEX('Primary_snapshot'!$B$2:$B$120,MATCH(A4,'Primary_snapshot'!$A$2:$A$120,0))="NOT FROZEN",INDEX('Primary_snapshot'!$C$2:$C$120,MATCH(A4,'Primary_snapshot'!$A$2:$A$120,0))="NOT FROZEN",INDEX('Primary_snapshot'!$D$2:$D$120,MATCH(A4,'Primary_snapshot'!$A$2:$A$120,0))="NOT FROZEN",INDEX('Primary_snapshot'!$E$2:$E$120,MATCH(A4,'Primary_snapshot'!$A$2:$A$120,0))="NOT FROZEN",INDEX('Primary_snapshot'!$F$2:$F$120,MATCH(A4,'Primary_snapshot'!$A$2:$A$120,0))="NOT FROZEN",INDEX('Primary_snapshot'!$G$2:$G$120,MATCH(A4,'Primary_snapshot'!$A$2:$A$120,0))="NOT FROZEN",INDEX('Primary_snapshot'!$H$2:$H$120,MATCH(A4,'Primary_snapshot'!$A$2:$A$120,0))="NOT FROZEN",INDEX('Primary_snapshot'!$I$2:$I$120,MATCH(A4,'Primary_snapshot'!$A$2:$A$120,0))="NOT FROZEN",INDEX('Primary_snapshot'!$J$2:$J$120,MATCH(A4,'Primary_snapshot'!$A$2:$A$120,0))="NOT FROZEN",INDEX('Primary_snapshot'!$K$2:$K$120,MATCH(A4,'Primary_snapshot'!$A$2:$A$120,0))="NOT FROZEN",INDEX('Primary_snapshot'!$L$2:$L$120,MATCH(A4,'Primary_snapshot'!$A$2:$A$120,0))="NOT FROZEN"),"FREEZE SNAPSHOT",IF(NOT(OR(N4="agree",N4="agree_clarification",N4="disagree",N4="unable")),"CHECKER RESULT NEEDED",IF(AND(N4&lt;&gt;"agree",LEN(TRIM(O4))=0),"COMMENT NEEDED",IF(AND(N4="agree",NOT(AND(IF(D4="","",D4)=IF(INDEX('Primary_snapshot'!$B$2:$B$120,MATCH(A4,'Primary_snapshot'!$A$2:$A$120,0))="","",INDEX('Primary_snapshot'!$B$2:$B$120,MATCH(A4,'Primary_snapshot'!$A$2:$A$120,0))),IF(E4="","",E4)=IF(INDEX('Primary_snapshot'!$C$2:$C$120,MATCH(A4,'Primary_snapshot'!$A$2:$A$120,0))="","",INDEX('Primary_snapshot'!$C$2:$C$120,MATCH(A4,'Primary_snapshot'!$A$2:$A$120,0))),IF(AND(D4="retain",E4="statistical_results"),IF(H4="","",H4),"not_applicable")=IF(INDEX('Primary_snapshot'!$D$2:$D$120,MATCH(A4,'Primary_snapshot'!$A$2:$A$120,0))="","",INDEX('Primary_snapshot'!$D$2:$D$120,MATCH(A4,'Primary_snapshot'!$A$2:$A$120,0))),IF(AND(D4="retain",E4="statistical_results"),IF(I4="","",I4),"not_applicable")=IF(INDEX('Primary_snapshot'!$E$2:$E$120,MATCH(A4,'Primary_snapshot'!$A$2:$A$120,0))="","",INDEX('Primary_snapshot'!$E$2:$E$120,MATCH(A4,'Primary_snapshot'!$A$2:$A$120,0))),IF(AND(D4="retain",E4="statistical_results"),IF(J4="","",J4),"not_applicable")=IF(INDEX('Primary_snapshot'!$F$2:$F$120,MATCH(A4,'Primary_snapshot'!$A$2:$A$120,0))="","",INDEX('Primary_snapshot'!$F$2:$F$120,MATCH(A4,'Primary_snapshot'!$A$2:$A$120,0))),IF(AND(D4="retain",OR(E4="report_internal_inconsistency",E4="plan_material")),IF(K4="","",K4),"not_applicable")=IF(INDEX('Primary_snapshot'!$G$2:$G$120,MATCH(A4,'Primary_snapshot'!$A$2:$A$120,0))="","",INDEX('Primary_snapshot'!$G$2:$G$120,MATCH(A4,'Primary_snapshot'!$A$2:$A$120,0))),IF(AND(D4="retain",E4="protocol_report"),IF(L4="","",L4),"not_applicable")=IF(INDEX('Primary_snapshot'!$H$2:$H$120,MATCH(A4,'Primary_snapshot'!$A$2:$A$120,0))="","",INDEX('Primary_snapshot'!$H$2:$H$120,MATCH(A4,'Primary_snapshot'!$A$2:$A$120,0))),IF(R4="","",R4)=IF(INDEX('Primary_snapshot'!$I$2:$I$120,MATCH(A4,'Primary_snapshot'!$A$2:$A$120,0))="","",INDEX('Primary_snapshot'!$I$2:$I$120,MATCH(A4,'Primary_snapshot'!$A$2:$A$120,0)))))),"AGREE BUT CHANGED",IF(AND(P4&lt;&gt;"",NOT(OR(P4="pending",P4="resolved"))),"CHECK RESOLUTION",IF(OR(AND(OR(D4="discuss",INDEX('Primary_snapshot'!$B$2:$B$120,MATCH(A4,'Primary_snapshot'!$A$2:$A$120,0))="discuss",N4="disagree",N4="unable"),P4&lt;&gt;"resolved"),D4="discuss"),"DISCUSS",IF(AND(P4="resolved",LEN(TRIM(Q4))=0),"RESOLUTION NOTE NEEDED",IF(F4&lt;&gt;"checker_done","CHECKER DRAFT","FINAL READY")))))))))))))),"CHECK KEY / SNAPSHOT")</x:f>
        <x:v>CHECK REVIEWER IDs</x:v>
      </x:c>
      <x:c r="H4" s="7" t="str">
        <x:f>IF(AND(OR(D4="retain",D4=""),E4="statistical_results"),"","not_applicable")</x:f>
      </x:c>
      <x:c r="I4" s="7" t="str">
        <x:f>IF(AND(OR(D4="retain",D4=""),E4="statistical_results"),"","not_applicable")</x:f>
      </x:c>
      <x:c r="J4" s="13" t="str">
        <x:f>IF(AND(OR(D4="retain",D4=""),E4="statistical_results"),"","not_applicable")</x:f>
      </x:c>
      <x:c r="K4" s="7" t="str">
        <x:f>IF(AND(OR(D4="retain",D4=""),OR(E4="report_internal_inconsistency",E4="plan_material")),"","not_applicable")</x:f>
        <x:v>not_applicable</x:v>
      </x:c>
      <x:c r="L4" s="13" t="str">
        <x:f>IF(AND(OR(D4="retain",D4=""),E4="protocol_report"),"","not_applicable")</x:f>
        <x:v>not_applicable</x:v>
      </x:c>
      <x:c r="M4" s="6" t="str">
        <x:f>IF(Setup!$B$6="primary","",IFERROR(IF(INDEX('Primary_snapshot'!$L$2:$L$120,MATCH(A4,'Primary_snapshot'!$A$2:$A$120,0))="","",INDEX('Primary_snapshot'!$L$2:$L$120,MATCH(A4,'Primary_snapshot'!$A$2:$A$120,0))),"SNAPSHOT MISSING"))</x:f>
      </x:c>
      <x:c r="N4" s="7" t="str"/>
      <x:c r="O4" s="7" t="str"/>
      <x:c r="P4" s="7" t="str"/>
      <x:c r="Q4" s="7" t="str"/>
      <x:c r="R4" s="13" t="str"/>
    </x:row>
    <x:row r="5" ht="92" customHeight="1">
      <x:c r="A5" s="3" t="str">
        <x:v>2018::jama.2018.0156::C004</x:v>
      </x:c>
      <x:c r="B5" s="3" t="str">
        <x:v>PP day-28 survival confidence interval has an unresolved scale/precision inconsistency</x:v>
      </x:c>
      <x:c r="C5" s="3" t="str">
        <x:v>jama_jabre_2018_oi_180004.pdf — PDF p. 3 (rule); PDF p. 6 (Table 2); joi180004supp1_prod.pdf — PDF p. 124 (CI rule).</x:v>
      </x:c>
      <x:c r="D5" s="7" t="str"/>
      <x:c r="E5" s="7" t="str">
        <x:v>statistical_results</x:v>
      </x:c>
      <x:c r="F5" s="7" t="str">
        <x:v>no</x:v>
      </x:c>
      <x:c r="G5" s="3" t="str">
        <x:f>IFERROR(IF(NOT(OR(Setup!$B$6="primary",Setup!$B$6="checker")),"CHECK STAGE",IF(OR(LEN(TRIM(Setup!$B$2))=0,Setup!$B$2&lt;&gt;TRIM(Setup!$B$2),AND(Setup!$B$6="checker",OR(LEN(TRIM(Setup!$B$4))=0,Setup!$B$4&lt;&gt;TRIM(Setup!$B$4),LOWER(TRIM(Setup!$B$4))=LOWER(TRIM(Setup!$B$2))))),"CHECK REVIEWER IDs",IF(OR(COUNTIF($A$2:$A$9,A5)&lt;&gt;1,COUNTIF(Decisions!$C$2:$C$120,A5)&lt;&gt;1),"CHECK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FIELDS",IF(Setup!$B$6="primary",IF(OR(N5&lt;&gt;"",O5&lt;&gt;"",P5&lt;&gt;"",Q5&lt;&gt;""),"CLEAR CHECKER FIELDS",IF(OR(Setup!$B$4&lt;&gt;"",Setup!$B$5&lt;&gt;""),"CLEAR CHECKER ID",IF(F5&lt;&gt;"primary_done","PRIMARY DRAFT","PRIMARY READY"))),IF(OR(COUNTIF(Primary_snapshot!$A$2:$A$120,A5)&lt;&gt;1,INDEX('Primary_snapshot'!$J$2:$J$120,MATCH(A5,'Primary_snapshot'!$A$2:$A$120,0))&lt;&gt;"primary_done",INDEX('Primary_snapshot'!$K$2:$K$120,MATCH(A5,'Primary_snapshot'!$A$2:$A$120,0))&lt;&gt;Setup!$B$2,INDEX('Primary_snapshot'!$B$2:$B$120,MATCH(A5,'Primary_snapshot'!$A$2:$A$120,0))="NOT FROZEN",INDEX('Primary_snapshot'!$C$2:$C$120,MATCH(A5,'Primary_snapshot'!$A$2:$A$120,0))="NOT FROZEN",INDEX('Primary_snapshot'!$D$2:$D$120,MATCH(A5,'Primary_snapshot'!$A$2:$A$120,0))="NOT FROZEN",INDEX('Primary_snapshot'!$E$2:$E$120,MATCH(A5,'Primary_snapshot'!$A$2:$A$120,0))="NOT FROZEN",INDEX('Primary_snapshot'!$F$2:$F$120,MATCH(A5,'Primary_snapshot'!$A$2:$A$120,0))="NOT FROZEN",INDEX('Primary_snapshot'!$G$2:$G$120,MATCH(A5,'Primary_snapshot'!$A$2:$A$120,0))="NOT FROZEN",INDEX('Primary_snapshot'!$H$2:$H$120,MATCH(A5,'Primary_snapshot'!$A$2:$A$120,0))="NOT FROZEN",INDEX('Primary_snapshot'!$I$2:$I$120,MATCH(A5,'Primary_snapshot'!$A$2:$A$120,0))="NOT FROZEN",INDEX('Primary_snapshot'!$J$2:$J$120,MATCH(A5,'Primary_snapshot'!$A$2:$A$120,0))="NOT FROZEN",INDEX('Primary_snapshot'!$K$2:$K$120,MATCH(A5,'Primary_snapshot'!$A$2:$A$120,0))="NOT FROZEN",INDEX('Primary_snapshot'!$L$2:$L$120,MATCH(A5,'Primary_snapshot'!$A$2:$A$120,0))="NOT FROZEN"),"FREEZE SNAPSHOT",IF(NOT(OR(N5="agree",N5="agree_clarification",N5="disagree",N5="unable")),"CHECKER RESULT NEEDED",IF(AND(N5&lt;&gt;"agree",LEN(TRIM(O5))=0),"COMMENT NEEDED",IF(AND(N5="agree",NOT(AND(IF(D5="","",D5)=IF(INDEX('Primary_snapshot'!$B$2:$B$120,MATCH(A5,'Primary_snapshot'!$A$2:$A$120,0))="","",INDEX('Primary_snapshot'!$B$2:$B$120,MATCH(A5,'Primary_snapshot'!$A$2:$A$120,0))),IF(E5="","",E5)=IF(INDEX('Primary_snapshot'!$C$2:$C$120,MATCH(A5,'Primary_snapshot'!$A$2:$A$120,0))="","",INDEX('Primary_snapshot'!$C$2:$C$120,MATCH(A5,'Primary_snapshot'!$A$2:$A$120,0))),IF(AND(D5="retain",E5="statistical_results"),IF(H5="","",H5),"not_applicable")=IF(INDEX('Primary_snapshot'!$D$2:$D$120,MATCH(A5,'Primary_snapshot'!$A$2:$A$120,0))="","",INDEX('Primary_snapshot'!$D$2:$D$120,MATCH(A5,'Primary_snapshot'!$A$2:$A$120,0))),IF(AND(D5="retain",E5="statistical_results"),IF(I5="","",I5),"not_applicable")=IF(INDEX('Primary_snapshot'!$E$2:$E$120,MATCH(A5,'Primary_snapshot'!$A$2:$A$120,0))="","",INDEX('Primary_snapshot'!$E$2:$E$120,MATCH(A5,'Primary_snapshot'!$A$2:$A$120,0))),IF(AND(D5="retain",E5="statistical_results"),IF(J5="","",J5),"not_applicable")=IF(INDEX('Primary_snapshot'!$F$2:$F$120,MATCH(A5,'Primary_snapshot'!$A$2:$A$120,0))="","",INDEX('Primary_snapshot'!$F$2:$F$120,MATCH(A5,'Primary_snapshot'!$A$2:$A$120,0))),IF(AND(D5="retain",OR(E5="report_internal_inconsistency",E5="plan_material")),IF(K5="","",K5),"not_applicable")=IF(INDEX('Primary_snapshot'!$G$2:$G$120,MATCH(A5,'Primary_snapshot'!$A$2:$A$120,0))="","",INDEX('Primary_snapshot'!$G$2:$G$120,MATCH(A5,'Primary_snapshot'!$A$2:$A$120,0))),IF(AND(D5="retain",E5="protocol_report"),IF(L5="","",L5),"not_applicable")=IF(INDEX('Primary_snapshot'!$H$2:$H$120,MATCH(A5,'Primary_snapshot'!$A$2:$A$120,0))="","",INDEX('Primary_snapshot'!$H$2:$H$120,MATCH(A5,'Primary_snapshot'!$A$2:$A$120,0))),IF(R5="","",R5)=IF(INDEX('Primary_snapshot'!$I$2:$I$120,MATCH(A5,'Primary_snapshot'!$A$2:$A$120,0))="","",INDEX('Primary_snapshot'!$I$2:$I$120,MATCH(A5,'Primary_snapshot'!$A$2:$A$120,0)))))),"AGREE BUT CHANGED",IF(AND(P5&lt;&gt;"",NOT(OR(P5="pending",P5="resolved"))),"CHECK RESOLUTION",IF(OR(AND(OR(D5="discuss",INDEX('Primary_snapshot'!$B$2:$B$120,MATCH(A5,'Primary_snapshot'!$A$2:$A$120,0))="discuss",N5="disagree",N5="unable"),P5&lt;&gt;"resolved"),D5="discuss"),"DISCUSS",IF(AND(P5="resolved",LEN(TRIM(Q5))=0),"RESOLUTION NOTE NEEDED",IF(F5&lt;&gt;"checker_done","CHECKER DRAFT","FINAL READY")))))))))))))),"CHECK KEY / SNAPSHOT")</x:f>
        <x:v>CHECK REVIEWER IDs</x:v>
      </x:c>
      <x:c r="H5" s="7" t="str">
        <x:f>IF(AND(OR(D5="retain",D5=""),E5="statistical_results"),"","not_applicable")</x:f>
      </x:c>
      <x:c r="I5" s="7" t="str">
        <x:f>IF(AND(OR(D5="retain",D5=""),E5="statistical_results"),"","not_applicable")</x:f>
      </x:c>
      <x:c r="J5" s="13" t="str">
        <x:f>IF(AND(OR(D5="retain",D5=""),E5="statistical_results"),"","not_applicable")</x:f>
      </x:c>
      <x:c r="K5" s="7" t="str">
        <x:f>IF(AND(OR(D5="retain",D5=""),OR(E5="report_internal_inconsistency",E5="plan_material")),"","not_applicable")</x:f>
        <x:v>not_applicable</x:v>
      </x:c>
      <x:c r="L5" s="13" t="str">
        <x:f>IF(AND(OR(D5="retain",D5=""),E5="protocol_report"),"","not_applicable")</x:f>
        <x:v>not_applicable</x:v>
      </x:c>
      <x:c r="M5" s="3" t="str">
        <x:f>IF(Setup!$B$6="primary","",IFERROR(IF(INDEX('Primary_snapshot'!$L$2:$L$120,MATCH(A5,'Primary_snapshot'!$A$2:$A$120,0))="","",INDEX('Primary_snapshot'!$L$2:$L$120,MATCH(A5,'Primary_snapshot'!$A$2:$A$120,0))),"SNAPSHOT MISSING"))</x:f>
      </x:c>
      <x:c r="N5" s="7" t="str"/>
      <x:c r="O5" s="7" t="str"/>
      <x:c r="P5" s="7" t="str"/>
      <x:c r="Q5" s="7" t="str"/>
      <x:c r="R5" s="13" t="str"/>
    </x:row>
    <x:row r="6" ht="92" customHeight="1">
      <x:c r="A6" s="6" t="str">
        <x:v>2018::jama.2018.0156::C005</x:v>
      </x:c>
      <x:c r="B6" s="6" t="str">
        <x:v>PP ROSC ETI percentage conflicts with its count, denominator, and signed difference</x:v>
      </x:c>
      <x:c r="C6" s="6" t="str">
        <x:v>jama_jabre_2018_oi_180004.pdf — PDF p. 6 (Table 2 PP ROSC row).</x:v>
      </x:c>
      <x:c r="D6" s="7" t="str"/>
      <x:c r="E6" s="7" t="str">
        <x:v>statistical_results</x:v>
      </x:c>
      <x:c r="F6" s="7" t="str">
        <x:v>no</x:v>
      </x:c>
      <x:c r="G6" s="6" t="str">
        <x:f>IFERROR(IF(NOT(OR(Setup!$B$6="primary",Setup!$B$6="checker")),"CHECK STAGE",IF(OR(LEN(TRIM(Setup!$B$2))=0,Setup!$B$2&lt;&gt;TRIM(Setup!$B$2),AND(Setup!$B$6="checker",OR(LEN(TRIM(Setup!$B$4))=0,Setup!$B$4&lt;&gt;TRIM(Setup!$B$4),LOWER(TRIM(Setup!$B$4))=LOWER(TRIM(Setup!$B$2))))),"CHECK REVIEWER IDs",IF(OR(COUNTIF($A$2:$A$9,A6)&lt;&gt;1,COUNTIF(Decisions!$C$2:$C$120,A6)&lt;&gt;1),"CHECK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FIELDS",IF(Setup!$B$6="primary",IF(OR(N6&lt;&gt;"",O6&lt;&gt;"",P6&lt;&gt;"",Q6&lt;&gt;""),"CLEAR CHECKER FIELDS",IF(OR(Setup!$B$4&lt;&gt;"",Setup!$B$5&lt;&gt;""),"CLEAR CHECKER ID",IF(F6&lt;&gt;"primary_done","PRIMARY DRAFT","PRIMARY READY"))),IF(OR(COUNTIF(Primary_snapshot!$A$2:$A$120,A6)&lt;&gt;1,INDEX('Primary_snapshot'!$J$2:$J$120,MATCH(A6,'Primary_snapshot'!$A$2:$A$120,0))&lt;&gt;"primary_done",INDEX('Primary_snapshot'!$K$2:$K$120,MATCH(A6,'Primary_snapshot'!$A$2:$A$120,0))&lt;&gt;Setup!$B$2,INDEX('Primary_snapshot'!$B$2:$B$120,MATCH(A6,'Primary_snapshot'!$A$2:$A$120,0))="NOT FROZEN",INDEX('Primary_snapshot'!$C$2:$C$120,MATCH(A6,'Primary_snapshot'!$A$2:$A$120,0))="NOT FROZEN",INDEX('Primary_snapshot'!$D$2:$D$120,MATCH(A6,'Primary_snapshot'!$A$2:$A$120,0))="NOT FROZEN",INDEX('Primary_snapshot'!$E$2:$E$120,MATCH(A6,'Primary_snapshot'!$A$2:$A$120,0))="NOT FROZEN",INDEX('Primary_snapshot'!$F$2:$F$120,MATCH(A6,'Primary_snapshot'!$A$2:$A$120,0))="NOT FROZEN",INDEX('Primary_snapshot'!$G$2:$G$120,MATCH(A6,'Primary_snapshot'!$A$2:$A$120,0))="NOT FROZEN",INDEX('Primary_snapshot'!$H$2:$H$120,MATCH(A6,'Primary_snapshot'!$A$2:$A$120,0))="NOT FROZEN",INDEX('Primary_snapshot'!$I$2:$I$120,MATCH(A6,'Primary_snapshot'!$A$2:$A$120,0))="NOT FROZEN",INDEX('Primary_snapshot'!$J$2:$J$120,MATCH(A6,'Primary_snapshot'!$A$2:$A$120,0))="NOT FROZEN",INDEX('Primary_snapshot'!$K$2:$K$120,MATCH(A6,'Primary_snapshot'!$A$2:$A$120,0))="NOT FROZEN",INDEX('Primary_snapshot'!$L$2:$L$120,MATCH(A6,'Primary_snapshot'!$A$2:$A$120,0))="NOT FROZEN"),"FREEZE SNAPSHOT",IF(NOT(OR(N6="agree",N6="agree_clarification",N6="disagree",N6="unable")),"CHECKER RESULT NEEDED",IF(AND(N6&lt;&gt;"agree",LEN(TRIM(O6))=0),"COMMENT NEEDED",IF(AND(N6="agree",NOT(AND(IF(D6="","",D6)=IF(INDEX('Primary_snapshot'!$B$2:$B$120,MATCH(A6,'Primary_snapshot'!$A$2:$A$120,0))="","",INDEX('Primary_snapshot'!$B$2:$B$120,MATCH(A6,'Primary_snapshot'!$A$2:$A$120,0))),IF(E6="","",E6)=IF(INDEX('Primary_snapshot'!$C$2:$C$120,MATCH(A6,'Primary_snapshot'!$A$2:$A$120,0))="","",INDEX('Primary_snapshot'!$C$2:$C$120,MATCH(A6,'Primary_snapshot'!$A$2:$A$120,0))),IF(AND(D6="retain",E6="statistical_results"),IF(H6="","",H6),"not_applicable")=IF(INDEX('Primary_snapshot'!$D$2:$D$120,MATCH(A6,'Primary_snapshot'!$A$2:$A$120,0))="","",INDEX('Primary_snapshot'!$D$2:$D$120,MATCH(A6,'Primary_snapshot'!$A$2:$A$120,0))),IF(AND(D6="retain",E6="statistical_results"),IF(I6="","",I6),"not_applicable")=IF(INDEX('Primary_snapshot'!$E$2:$E$120,MATCH(A6,'Primary_snapshot'!$A$2:$A$120,0))="","",INDEX('Primary_snapshot'!$E$2:$E$120,MATCH(A6,'Primary_snapshot'!$A$2:$A$120,0))),IF(AND(D6="retain",E6="statistical_results"),IF(J6="","",J6),"not_applicable")=IF(INDEX('Primary_snapshot'!$F$2:$F$120,MATCH(A6,'Primary_snapshot'!$A$2:$A$120,0))="","",INDEX('Primary_snapshot'!$F$2:$F$120,MATCH(A6,'Primary_snapshot'!$A$2:$A$120,0))),IF(AND(D6="retain",OR(E6="report_internal_inconsistency",E6="plan_material")),IF(K6="","",K6),"not_applicable")=IF(INDEX('Primary_snapshot'!$G$2:$G$120,MATCH(A6,'Primary_snapshot'!$A$2:$A$120,0))="","",INDEX('Primary_snapshot'!$G$2:$G$120,MATCH(A6,'Primary_snapshot'!$A$2:$A$120,0))),IF(AND(D6="retain",E6="protocol_report"),IF(L6="","",L6),"not_applicable")=IF(INDEX('Primary_snapshot'!$H$2:$H$120,MATCH(A6,'Primary_snapshot'!$A$2:$A$120,0))="","",INDEX('Primary_snapshot'!$H$2:$H$120,MATCH(A6,'Primary_snapshot'!$A$2:$A$120,0))),IF(R6="","",R6)=IF(INDEX('Primary_snapshot'!$I$2:$I$120,MATCH(A6,'Primary_snapshot'!$A$2:$A$120,0))="","",INDEX('Primary_snapshot'!$I$2:$I$120,MATCH(A6,'Primary_snapshot'!$A$2:$A$120,0)))))),"AGREE BUT CHANGED",IF(AND(P6&lt;&gt;"",NOT(OR(P6="pending",P6="resolved"))),"CHECK RESOLUTION",IF(OR(AND(OR(D6="discuss",INDEX('Primary_snapshot'!$B$2:$B$120,MATCH(A6,'Primary_snapshot'!$A$2:$A$120,0))="discuss",N6="disagree",N6="unable"),P6&lt;&gt;"resolved"),D6="discuss"),"DISCUSS",IF(AND(P6="resolved",LEN(TRIM(Q6))=0),"RESOLUTION NOTE NEEDED",IF(F6&lt;&gt;"checker_done","CHECKER DRAFT","FINAL READY")))))))))))))),"CHECK KEY / SNAPSHOT")</x:f>
        <x:v>CHECK REVIEWER IDs</x:v>
      </x:c>
      <x:c r="H6" s="7" t="str">
        <x:f>IF(AND(OR(D6="retain",D6=""),E6="statistical_results"),"","not_applicable")</x:f>
      </x:c>
      <x:c r="I6" s="7" t="str">
        <x:f>IF(AND(OR(D6="retain",D6=""),E6="statistical_results"),"","not_applicable")</x:f>
      </x:c>
      <x:c r="J6" s="13" t="str">
        <x:f>IF(AND(OR(D6="retain",D6=""),E6="statistical_results"),"","not_applicable")</x:f>
      </x:c>
      <x:c r="K6" s="7" t="str">
        <x:f>IF(AND(OR(D6="retain",D6=""),OR(E6="report_internal_inconsistency",E6="plan_material")),"","not_applicable")</x:f>
        <x:v>not_applicable</x:v>
      </x:c>
      <x:c r="L6" s="13" t="str">
        <x:f>IF(AND(OR(D6="retain",D6=""),E6="protocol_report"),"","not_applicable")</x:f>
        <x:v>not_applicable</x:v>
      </x:c>
      <x:c r="M6" s="6" t="str">
        <x:f>IF(Setup!$B$6="primary","",IFERROR(IF(INDEX('Primary_snapshot'!$L$2:$L$120,MATCH(A6,'Primary_snapshot'!$A$2:$A$120,0))="","",INDEX('Primary_snapshot'!$L$2:$L$120,MATCH(A6,'Primary_snapshot'!$A$2:$A$120,0))),"SNAPSHOT MISSING"))</x:f>
      </x:c>
      <x:c r="N6" s="7" t="str"/>
      <x:c r="O6" s="7" t="str"/>
      <x:c r="P6" s="7" t="str"/>
      <x:c r="Q6" s="7" t="str"/>
      <x:c r="R6" s="13" t="str"/>
    </x:row>
    <x:row r="7" ht="92" customHeight="1">
      <x:c r="A7" s="3" t="str">
        <x:v>2018::jama.2018.0156::C006</x:v>
      </x:c>
      <x:c r="B7" s="3" t="str">
        <x:v>Main article and eTable report different contributing-centre counts</x:v>
      </x:c>
      <x:c r="C7" s="3" t="str">
        <x:v>jama_jabre_2018_oi_180004.pdf — PDF p. 2; joi180004supp2_prod.pdf — PDF p. 2 (eTable 1).</x:v>
      </x:c>
      <x:c r="D7" s="7" t="str"/>
      <x:c r="E7" s="7" t="str">
        <x:v>report_internal_inconsistency</x:v>
      </x:c>
      <x:c r="F7" s="7" t="str">
        <x:v>no</x:v>
      </x:c>
      <x:c r="G7" s="3" t="str">
        <x:f>IFERROR(IF(NOT(OR(Setup!$B$6="primary",Setup!$B$6="checker")),"CHECK STAGE",IF(OR(LEN(TRIM(Setup!$B$2))=0,Setup!$B$2&lt;&gt;TRIM(Setup!$B$2),AND(Setup!$B$6="checker",OR(LEN(TRIM(Setup!$B$4))=0,Setup!$B$4&lt;&gt;TRIM(Setup!$B$4),LOWER(TRIM(Setup!$B$4))=LOWER(TRIM(Setup!$B$2))))),"CHECK REVIEWER IDs",IF(OR(COUNTIF($A$2:$A$9,A7)&lt;&gt;1,COUNTIF(Decisions!$C$2:$C$120,A7)&lt;&gt;1),"CHECK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FIELDS",IF(Setup!$B$6="primary",IF(OR(N7&lt;&gt;"",O7&lt;&gt;"",P7&lt;&gt;"",Q7&lt;&gt;""),"CLEAR CHECKER FIELDS",IF(OR(Setup!$B$4&lt;&gt;"",Setup!$B$5&lt;&gt;""),"CLEAR CHECKER ID",IF(F7&lt;&gt;"primary_done","PRIMARY DRAFT","PRIMARY READY"))),IF(OR(COUNTIF(Primary_snapshot!$A$2:$A$120,A7)&lt;&gt;1,INDEX('Primary_snapshot'!$J$2:$J$120,MATCH(A7,'Primary_snapshot'!$A$2:$A$120,0))&lt;&gt;"primary_done",INDEX('Primary_snapshot'!$K$2:$K$120,MATCH(A7,'Primary_snapshot'!$A$2:$A$120,0))&lt;&gt;Setup!$B$2,INDEX('Primary_snapshot'!$B$2:$B$120,MATCH(A7,'Primary_snapshot'!$A$2:$A$120,0))="NOT FROZEN",INDEX('Primary_snapshot'!$C$2:$C$120,MATCH(A7,'Primary_snapshot'!$A$2:$A$120,0))="NOT FROZEN",INDEX('Primary_snapshot'!$D$2:$D$120,MATCH(A7,'Primary_snapshot'!$A$2:$A$120,0))="NOT FROZEN",INDEX('Primary_snapshot'!$E$2:$E$120,MATCH(A7,'Primary_snapshot'!$A$2:$A$120,0))="NOT FROZEN",INDEX('Primary_snapshot'!$F$2:$F$120,MATCH(A7,'Primary_snapshot'!$A$2:$A$120,0))="NOT FROZEN",INDEX('Primary_snapshot'!$G$2:$G$120,MATCH(A7,'Primary_snapshot'!$A$2:$A$120,0))="NOT FROZEN",INDEX('Primary_snapshot'!$H$2:$H$120,MATCH(A7,'Primary_snapshot'!$A$2:$A$120,0))="NOT FROZEN",INDEX('Primary_snapshot'!$I$2:$I$120,MATCH(A7,'Primary_snapshot'!$A$2:$A$120,0))="NOT FROZEN",INDEX('Primary_snapshot'!$J$2:$J$120,MATCH(A7,'Primary_snapshot'!$A$2:$A$120,0))="NOT FROZEN",INDEX('Primary_snapshot'!$K$2:$K$120,MATCH(A7,'Primary_snapshot'!$A$2:$A$120,0))="NOT FROZEN",INDEX('Primary_snapshot'!$L$2:$L$120,MATCH(A7,'Primary_snapshot'!$A$2:$A$120,0))="NOT FROZEN"),"FREEZE SNAPSHOT",IF(NOT(OR(N7="agree",N7="agree_clarification",N7="disagree",N7="unable")),"CHECKER RESULT NEEDED",IF(AND(N7&lt;&gt;"agree",LEN(TRIM(O7))=0),"COMMENT NEEDED",IF(AND(N7="agree",NOT(AND(IF(D7="","",D7)=IF(INDEX('Primary_snapshot'!$B$2:$B$120,MATCH(A7,'Primary_snapshot'!$A$2:$A$120,0))="","",INDEX('Primary_snapshot'!$B$2:$B$120,MATCH(A7,'Primary_snapshot'!$A$2:$A$120,0))),IF(E7="","",E7)=IF(INDEX('Primary_snapshot'!$C$2:$C$120,MATCH(A7,'Primary_snapshot'!$A$2:$A$120,0))="","",INDEX('Primary_snapshot'!$C$2:$C$120,MATCH(A7,'Primary_snapshot'!$A$2:$A$120,0))),IF(AND(D7="retain",E7="statistical_results"),IF(H7="","",H7),"not_applicable")=IF(INDEX('Primary_snapshot'!$D$2:$D$120,MATCH(A7,'Primary_snapshot'!$A$2:$A$120,0))="","",INDEX('Primary_snapshot'!$D$2:$D$120,MATCH(A7,'Primary_snapshot'!$A$2:$A$120,0))),IF(AND(D7="retain",E7="statistical_results"),IF(I7="","",I7),"not_applicable")=IF(INDEX('Primary_snapshot'!$E$2:$E$120,MATCH(A7,'Primary_snapshot'!$A$2:$A$120,0))="","",INDEX('Primary_snapshot'!$E$2:$E$120,MATCH(A7,'Primary_snapshot'!$A$2:$A$120,0))),IF(AND(D7="retain",E7="statistical_results"),IF(J7="","",J7),"not_applicable")=IF(INDEX('Primary_snapshot'!$F$2:$F$120,MATCH(A7,'Primary_snapshot'!$A$2:$A$120,0))="","",INDEX('Primary_snapshot'!$F$2:$F$120,MATCH(A7,'Primary_snapshot'!$A$2:$A$120,0))),IF(AND(D7="retain",OR(E7="report_internal_inconsistency",E7="plan_material")),IF(K7="","",K7),"not_applicable")=IF(INDEX('Primary_snapshot'!$G$2:$G$120,MATCH(A7,'Primary_snapshot'!$A$2:$A$120,0))="","",INDEX('Primary_snapshot'!$G$2:$G$120,MATCH(A7,'Primary_snapshot'!$A$2:$A$120,0))),IF(AND(D7="retain",E7="protocol_report"),IF(L7="","",L7),"not_applicable")=IF(INDEX('Primary_snapshot'!$H$2:$H$120,MATCH(A7,'Primary_snapshot'!$A$2:$A$120,0))="","",INDEX('Primary_snapshot'!$H$2:$H$120,MATCH(A7,'Primary_snapshot'!$A$2:$A$120,0))),IF(R7="","",R7)=IF(INDEX('Primary_snapshot'!$I$2:$I$120,MATCH(A7,'Primary_snapshot'!$A$2:$A$120,0))="","",INDEX('Primary_snapshot'!$I$2:$I$120,MATCH(A7,'Primary_snapshot'!$A$2:$A$120,0)))))),"AGREE BUT CHANGED",IF(AND(P7&lt;&gt;"",NOT(OR(P7="pending",P7="resolved"))),"CHECK RESOLUTION",IF(OR(AND(OR(D7="discuss",INDEX('Primary_snapshot'!$B$2:$B$120,MATCH(A7,'Primary_snapshot'!$A$2:$A$120,0))="discuss",N7="disagree",N7="unable"),P7&lt;&gt;"resolved"),D7="discuss"),"DISCUSS",IF(AND(P7="resolved",LEN(TRIM(Q7))=0),"RESOLUTION NOTE NEEDED",IF(F7&lt;&gt;"checker_done","CHECKER DRAFT","FINAL READY")))))))))))))),"CHECK KEY / SNAPSHOT")</x:f>
        <x:v>CHECK REVIEWER IDs</x:v>
      </x:c>
      <x:c r="H7" s="7" t="str">
        <x:f>IF(AND(OR(D7="retain",D7=""),E7="statistical_results"),"","not_applicable")</x:f>
        <x:v>not_applicable</x:v>
      </x:c>
      <x:c r="I7" s="7" t="str">
        <x:f>IF(AND(OR(D7="retain",D7=""),E7="statistical_results"),"","not_applicable")</x:f>
        <x:v>not_applicable</x:v>
      </x:c>
      <x:c r="J7" s="13" t="str">
        <x:f>IF(AND(OR(D7="retain",D7=""),E7="statistical_results"),"","not_applicable")</x:f>
        <x:v>not_applicable</x:v>
      </x:c>
      <x:c r="K7" s="7" t="str">
        <x:f>IF(AND(OR(D7="retain",D7=""),OR(E7="report_internal_inconsistency",E7="plan_material")),"","not_applicable")</x:f>
      </x:c>
      <x:c r="L7" s="13" t="str">
        <x:f>IF(AND(OR(D7="retain",D7=""),E7="protocol_report"),"","not_applicable")</x:f>
        <x:v>not_applicable</x:v>
      </x:c>
      <x:c r="M7" s="3" t="str">
        <x:f>IF(Setup!$B$6="primary","",IFERROR(IF(INDEX('Primary_snapshot'!$L$2:$L$120,MATCH(A7,'Primary_snapshot'!$A$2:$A$120,0))="","",INDEX('Primary_snapshot'!$L$2:$L$120,MATCH(A7,'Primary_snapshot'!$A$2:$A$120,0))),"SNAPSHOT MISSING"))</x:f>
      </x:c>
      <x:c r="N7" s="7" t="str"/>
      <x:c r="O7" s="7" t="str"/>
      <x:c r="P7" s="7" t="str"/>
      <x:c r="Q7" s="7" t="str"/>
      <x:c r="R7" s="13" t="str"/>
    </x:row>
    <x:row r="8" ht="92" customHeight="1">
      <x:c r="A8" s="6" t="str">
        <x:v>2018::jama.2018.0156::C007</x:v>
      </x:c>
      <x:c r="B8" s="6" t="str">
        <x:v>Published primary-endpoint description omits the amended baseline-disability qualification</x:v>
      </x:c>
      <x:c r="C8" s="6" t="str">
        <x:v>jama_jabre_2018_oi_180004.pdf — PDF p. 1 and PDF p. 3; joi180004supp1_prod.pdf — PDF p. 110.</x:v>
      </x:c>
      <x:c r="D8" s="7" t="str"/>
      <x:c r="E8" s="7" t="str">
        <x:v>protocol_report</x:v>
      </x:c>
      <x:c r="F8" s="7" t="str">
        <x:v>no</x:v>
      </x:c>
      <x:c r="G8" s="6" t="str">
        <x:f>IFERROR(IF(NOT(OR(Setup!$B$6="primary",Setup!$B$6="checker")),"CHECK STAGE",IF(OR(LEN(TRIM(Setup!$B$2))=0,Setup!$B$2&lt;&gt;TRIM(Setup!$B$2),AND(Setup!$B$6="checker",OR(LEN(TRIM(Setup!$B$4))=0,Setup!$B$4&lt;&gt;TRIM(Setup!$B$4),LOWER(TRIM(Setup!$B$4))=LOWER(TRIM(Setup!$B$2))))),"CHECK REVIEWER IDs",IF(OR(COUNTIF($A$2:$A$9,A8)&lt;&gt;1,COUNTIF(Decisions!$C$2:$C$120,A8)&lt;&gt;1),"CHECK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FIELDS",IF(Setup!$B$6="primary",IF(OR(N8&lt;&gt;"",O8&lt;&gt;"",P8&lt;&gt;"",Q8&lt;&gt;""),"CLEAR CHECKER FIELDS",IF(OR(Setup!$B$4&lt;&gt;"",Setup!$B$5&lt;&gt;""),"CLEAR CHECKER ID",IF(F8&lt;&gt;"primary_done","PRIMARY DRAFT","PRIMARY READY"))),IF(OR(COUNTIF(Primary_snapshot!$A$2:$A$120,A8)&lt;&gt;1,INDEX('Primary_snapshot'!$J$2:$J$120,MATCH(A8,'Primary_snapshot'!$A$2:$A$120,0))&lt;&gt;"primary_done",INDEX('Primary_snapshot'!$K$2:$K$120,MATCH(A8,'Primary_snapshot'!$A$2:$A$120,0))&lt;&gt;Setup!$B$2,INDEX('Primary_snapshot'!$B$2:$B$120,MATCH(A8,'Primary_snapshot'!$A$2:$A$120,0))="NOT FROZEN",INDEX('Primary_snapshot'!$C$2:$C$120,MATCH(A8,'Primary_snapshot'!$A$2:$A$120,0))="NOT FROZEN",INDEX('Primary_snapshot'!$D$2:$D$120,MATCH(A8,'Primary_snapshot'!$A$2:$A$120,0))="NOT FROZEN",INDEX('Primary_snapshot'!$E$2:$E$120,MATCH(A8,'Primary_snapshot'!$A$2:$A$120,0))="NOT FROZEN",INDEX('Primary_snapshot'!$F$2:$F$120,MATCH(A8,'Primary_snapshot'!$A$2:$A$120,0))="NOT FROZEN",INDEX('Primary_snapshot'!$G$2:$G$120,MATCH(A8,'Primary_snapshot'!$A$2:$A$120,0))="NOT FROZEN",INDEX('Primary_snapshot'!$H$2:$H$120,MATCH(A8,'Primary_snapshot'!$A$2:$A$120,0))="NOT FROZEN",INDEX('Primary_snapshot'!$I$2:$I$120,MATCH(A8,'Primary_snapshot'!$A$2:$A$120,0))="NOT FROZEN",INDEX('Primary_snapshot'!$J$2:$J$120,MATCH(A8,'Primary_snapshot'!$A$2:$A$120,0))="NOT FROZEN",INDEX('Primary_snapshot'!$K$2:$K$120,MATCH(A8,'Primary_snapshot'!$A$2:$A$120,0))="NOT FROZEN",INDEX('Primary_snapshot'!$L$2:$L$120,MATCH(A8,'Primary_snapshot'!$A$2:$A$120,0))="NOT FROZEN"),"FREEZE SNAPSHOT",IF(NOT(OR(N8="agree",N8="agree_clarification",N8="disagree",N8="unable")),"CHECKER RESULT NEEDED",IF(AND(N8&lt;&gt;"agree",LEN(TRIM(O8))=0),"COMMENT NEEDED",IF(AND(N8="agree",NOT(AND(IF(D8="","",D8)=IF(INDEX('Primary_snapshot'!$B$2:$B$120,MATCH(A8,'Primary_snapshot'!$A$2:$A$120,0))="","",INDEX('Primary_snapshot'!$B$2:$B$120,MATCH(A8,'Primary_snapshot'!$A$2:$A$120,0))),IF(E8="","",E8)=IF(INDEX('Primary_snapshot'!$C$2:$C$120,MATCH(A8,'Primary_snapshot'!$A$2:$A$120,0))="","",INDEX('Primary_snapshot'!$C$2:$C$120,MATCH(A8,'Primary_snapshot'!$A$2:$A$120,0))),IF(AND(D8="retain",E8="statistical_results"),IF(H8="","",H8),"not_applicable")=IF(INDEX('Primary_snapshot'!$D$2:$D$120,MATCH(A8,'Primary_snapshot'!$A$2:$A$120,0))="","",INDEX('Primary_snapshot'!$D$2:$D$120,MATCH(A8,'Primary_snapshot'!$A$2:$A$120,0))),IF(AND(D8="retain",E8="statistical_results"),IF(I8="","",I8),"not_applicable")=IF(INDEX('Primary_snapshot'!$E$2:$E$120,MATCH(A8,'Primary_snapshot'!$A$2:$A$120,0))="","",INDEX('Primary_snapshot'!$E$2:$E$120,MATCH(A8,'Primary_snapshot'!$A$2:$A$120,0))),IF(AND(D8="retain",E8="statistical_results"),IF(J8="","",J8),"not_applicable")=IF(INDEX('Primary_snapshot'!$F$2:$F$120,MATCH(A8,'Primary_snapshot'!$A$2:$A$120,0))="","",INDEX('Primary_snapshot'!$F$2:$F$120,MATCH(A8,'Primary_snapshot'!$A$2:$A$120,0))),IF(AND(D8="retain",OR(E8="report_internal_inconsistency",E8="plan_material")),IF(K8="","",K8),"not_applicable")=IF(INDEX('Primary_snapshot'!$G$2:$G$120,MATCH(A8,'Primary_snapshot'!$A$2:$A$120,0))="","",INDEX('Primary_snapshot'!$G$2:$G$120,MATCH(A8,'Primary_snapshot'!$A$2:$A$120,0))),IF(AND(D8="retain",E8="protocol_report"),IF(L8="","",L8),"not_applicable")=IF(INDEX('Primary_snapshot'!$H$2:$H$120,MATCH(A8,'Primary_snapshot'!$A$2:$A$120,0))="","",INDEX('Primary_snapshot'!$H$2:$H$120,MATCH(A8,'Primary_snapshot'!$A$2:$A$120,0))),IF(R8="","",R8)=IF(INDEX('Primary_snapshot'!$I$2:$I$120,MATCH(A8,'Primary_snapshot'!$A$2:$A$120,0))="","",INDEX('Primary_snapshot'!$I$2:$I$120,MATCH(A8,'Primary_snapshot'!$A$2:$A$120,0)))))),"AGREE BUT CHANGED",IF(AND(P8&lt;&gt;"",NOT(OR(P8="pending",P8="resolved"))),"CHECK RESOLUTION",IF(OR(AND(OR(D8="discuss",INDEX('Primary_snapshot'!$B$2:$B$120,MATCH(A8,'Primary_snapshot'!$A$2:$A$120,0))="discuss",N8="disagree",N8="unable"),P8&lt;&gt;"resolved"),D8="discuss"),"DISCUSS",IF(AND(P8="resolved",LEN(TRIM(Q8))=0),"RESOLUTION NOTE NEEDED",IF(F8&lt;&gt;"checker_done","CHECKER DRAFT","FINAL READY")))))))))))))),"CHECK KEY / SNAPSHOT")</x:f>
        <x:v>CHECK REVIEWER IDs</x:v>
      </x:c>
      <x:c r="H8" s="7" t="str">
        <x:f>IF(AND(OR(D8="retain",D8=""),E8="statistical_results"),"","not_applicable")</x:f>
        <x:v>not_applicable</x:v>
      </x:c>
      <x:c r="I8" s="7" t="str">
        <x:f>IF(AND(OR(D8="retain",D8=""),E8="statistical_results"),"","not_applicable")</x:f>
        <x:v>not_applicable</x:v>
      </x:c>
      <x:c r="J8" s="13" t="str">
        <x:f>IF(AND(OR(D8="retain",D8=""),E8="statistical_results"),"","not_applicable")</x:f>
        <x:v>not_applicable</x:v>
      </x:c>
      <x:c r="K8" s="7" t="str">
        <x:f>IF(AND(OR(D8="retain",D8=""),OR(E8="report_internal_inconsistency",E8="plan_material")),"","not_applicable")</x:f>
        <x:v>not_applicable</x:v>
      </x:c>
      <x:c r="L8" s="13" t="str">
        <x:f>IF(AND(OR(D8="retain",D8=""),E8="protocol_report"),"","not_applicable")</x:f>
      </x:c>
      <x:c r="M8" s="6" t="str">
        <x:f>IF(Setup!$B$6="primary","",IFERROR(IF(INDEX('Primary_snapshot'!$L$2:$L$120,MATCH(A8,'Primary_snapshot'!$A$2:$A$120,0))="","",INDEX('Primary_snapshot'!$L$2:$L$120,MATCH(A8,'Primary_snapshot'!$A$2:$A$120,0))),"SNAPSHOT MISSING"))</x:f>
      </x:c>
      <x:c r="N8" s="7" t="str"/>
      <x:c r="O8" s="7" t="str"/>
      <x:c r="P8" s="7" t="str"/>
      <x:c r="Q8" s="7" t="str"/>
      <x:c r="R8" s="13" t="str"/>
    </x:row>
    <x:row r="9" ht="92" customHeight="1">
      <x:c r="A9" s="3" t="str">
        <x:v>2018::jama.2018.0156::C008</x:v>
      </x:c>
      <x:c r="B9" s="3" t="str">
        <x:v>Protocol composite technique-failure definition cannot reconcile with the article’s smaller ETI failure count if they are the same endpoint</x:v>
      </x:c>
      <x:c r="C9" s="3" t="str">
        <x:v>joi180004supp1_prod.pdf — PDF p. 110; jama_jabre_2018_oi_180004.pdf — PDF p. 1, PDF p. 4, and PDF p. 6.</x:v>
      </x:c>
      <x:c r="D9" s="7" t="str"/>
      <x:c r="E9" s="7" t="str">
        <x:v>protocol_report</x:v>
      </x:c>
      <x:c r="F9" s="7" t="str">
        <x:v>no</x:v>
      </x:c>
      <x:c r="G9" s="3" t="str">
        <x:f>IFERROR(IF(NOT(OR(Setup!$B$6="primary",Setup!$B$6="checker")),"CHECK STAGE",IF(OR(LEN(TRIM(Setup!$B$2))=0,Setup!$B$2&lt;&gt;TRIM(Setup!$B$2),AND(Setup!$B$6="checker",OR(LEN(TRIM(Setup!$B$4))=0,Setup!$B$4&lt;&gt;TRIM(Setup!$B$4),LOWER(TRIM(Setup!$B$4))=LOWER(TRIM(Setup!$B$2))))),"CHECK REVIEWER IDs",IF(OR(COUNTIF($A$2:$A$9,A9)&lt;&gt;1,COUNTIF(Decisions!$C$2:$C$120,A9)&lt;&gt;1),"CHECK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FIELDS",IF(Setup!$B$6="primary",IF(OR(N9&lt;&gt;"",O9&lt;&gt;"",P9&lt;&gt;"",Q9&lt;&gt;""),"CLEAR CHECKER FIELDS",IF(OR(Setup!$B$4&lt;&gt;"",Setup!$B$5&lt;&gt;""),"CLEAR CHECKER ID",IF(F9&lt;&gt;"primary_done","PRIMARY DRAFT","PRIMARY READY"))),IF(OR(COUNTIF(Primary_snapshot!$A$2:$A$120,A9)&lt;&gt;1,INDEX('Primary_snapshot'!$J$2:$J$120,MATCH(A9,'Primary_snapshot'!$A$2:$A$120,0))&lt;&gt;"primary_done",INDEX('Primary_snapshot'!$K$2:$K$120,MATCH(A9,'Primary_snapshot'!$A$2:$A$120,0))&lt;&gt;Setup!$B$2,INDEX('Primary_snapshot'!$B$2:$B$120,MATCH(A9,'Primary_snapshot'!$A$2:$A$120,0))="NOT FROZEN",INDEX('Primary_snapshot'!$C$2:$C$120,MATCH(A9,'Primary_snapshot'!$A$2:$A$120,0))="NOT FROZEN",INDEX('Primary_snapshot'!$D$2:$D$120,MATCH(A9,'Primary_snapshot'!$A$2:$A$120,0))="NOT FROZEN",INDEX('Primary_snapshot'!$E$2:$E$120,MATCH(A9,'Primary_snapshot'!$A$2:$A$120,0))="NOT FROZEN",INDEX('Primary_snapshot'!$F$2:$F$120,MATCH(A9,'Primary_snapshot'!$A$2:$A$120,0))="NOT FROZEN",INDEX('Primary_snapshot'!$G$2:$G$120,MATCH(A9,'Primary_snapshot'!$A$2:$A$120,0))="NOT FROZEN",INDEX('Primary_snapshot'!$H$2:$H$120,MATCH(A9,'Primary_snapshot'!$A$2:$A$120,0))="NOT FROZEN",INDEX('Primary_snapshot'!$I$2:$I$120,MATCH(A9,'Primary_snapshot'!$A$2:$A$120,0))="NOT FROZEN",INDEX('Primary_snapshot'!$J$2:$J$120,MATCH(A9,'Primary_snapshot'!$A$2:$A$120,0))="NOT FROZEN",INDEX('Primary_snapshot'!$K$2:$K$120,MATCH(A9,'Primary_snapshot'!$A$2:$A$120,0))="NOT FROZEN",INDEX('Primary_snapshot'!$L$2:$L$120,MATCH(A9,'Primary_snapshot'!$A$2:$A$120,0))="NOT FROZEN"),"FREEZE SNAPSHOT",IF(NOT(OR(N9="agree",N9="agree_clarification",N9="disagree",N9="unable")),"CHECKER RESULT NEEDED",IF(AND(N9&lt;&gt;"agree",LEN(TRIM(O9))=0),"COMMENT NEEDED",IF(AND(N9="agree",NOT(AND(IF(D9="","",D9)=IF(INDEX('Primary_snapshot'!$B$2:$B$120,MATCH(A9,'Primary_snapshot'!$A$2:$A$120,0))="","",INDEX('Primary_snapshot'!$B$2:$B$120,MATCH(A9,'Primary_snapshot'!$A$2:$A$120,0))),IF(E9="","",E9)=IF(INDEX('Primary_snapshot'!$C$2:$C$120,MATCH(A9,'Primary_snapshot'!$A$2:$A$120,0))="","",INDEX('Primary_snapshot'!$C$2:$C$120,MATCH(A9,'Primary_snapshot'!$A$2:$A$120,0))),IF(AND(D9="retain",E9="statistical_results"),IF(H9="","",H9),"not_applicable")=IF(INDEX('Primary_snapshot'!$D$2:$D$120,MATCH(A9,'Primary_snapshot'!$A$2:$A$120,0))="","",INDEX('Primary_snapshot'!$D$2:$D$120,MATCH(A9,'Primary_snapshot'!$A$2:$A$120,0))),IF(AND(D9="retain",E9="statistical_results"),IF(I9="","",I9),"not_applicable")=IF(INDEX('Primary_snapshot'!$E$2:$E$120,MATCH(A9,'Primary_snapshot'!$A$2:$A$120,0))="","",INDEX('Primary_snapshot'!$E$2:$E$120,MATCH(A9,'Primary_snapshot'!$A$2:$A$120,0))),IF(AND(D9="retain",E9="statistical_results"),IF(J9="","",J9),"not_applicable")=IF(INDEX('Primary_snapshot'!$F$2:$F$120,MATCH(A9,'Primary_snapshot'!$A$2:$A$120,0))="","",INDEX('Primary_snapshot'!$F$2:$F$120,MATCH(A9,'Primary_snapshot'!$A$2:$A$120,0))),IF(AND(D9="retain",OR(E9="report_internal_inconsistency",E9="plan_material")),IF(K9="","",K9),"not_applicable")=IF(INDEX('Primary_snapshot'!$G$2:$G$120,MATCH(A9,'Primary_snapshot'!$A$2:$A$120,0))="","",INDEX('Primary_snapshot'!$G$2:$G$120,MATCH(A9,'Primary_snapshot'!$A$2:$A$120,0))),IF(AND(D9="retain",E9="protocol_report"),IF(L9="","",L9),"not_applicable")=IF(INDEX('Primary_snapshot'!$H$2:$H$120,MATCH(A9,'Primary_snapshot'!$A$2:$A$120,0))="","",INDEX('Primary_snapshot'!$H$2:$H$120,MATCH(A9,'Primary_snapshot'!$A$2:$A$120,0))),IF(R9="","",R9)=IF(INDEX('Primary_snapshot'!$I$2:$I$120,MATCH(A9,'Primary_snapshot'!$A$2:$A$120,0))="","",INDEX('Primary_snapshot'!$I$2:$I$120,MATCH(A9,'Primary_snapshot'!$A$2:$A$120,0)))))),"AGREE BUT CHANGED",IF(AND(P9&lt;&gt;"",NOT(OR(P9="pending",P9="resolved"))),"CHECK RESOLUTION",IF(OR(AND(OR(D9="discuss",INDEX('Primary_snapshot'!$B$2:$B$120,MATCH(A9,'Primary_snapshot'!$A$2:$A$120,0))="discuss",N9="disagree",N9="unable"),P9&lt;&gt;"resolved"),D9="discuss"),"DISCUSS",IF(AND(P9="resolved",LEN(TRIM(Q9))=0),"RESOLUTION NOTE NEEDED",IF(F9&lt;&gt;"checker_done","CHECKER DRAFT","FINAL READY")))))))))))))),"CHECK KEY / SNAPSHOT")</x:f>
        <x:v>CHECK REVIEWER IDs</x:v>
      </x:c>
      <x:c r="H9" s="7" t="str">
        <x:f>IF(AND(OR(D9="retain",D9=""),E9="statistical_results"),"","not_applicable")</x:f>
        <x:v>not_applicable</x:v>
      </x:c>
      <x:c r="I9" s="7" t="str">
        <x:f>IF(AND(OR(D9="retain",D9=""),E9="statistical_results"),"","not_applicable")</x:f>
        <x:v>not_applicable</x:v>
      </x:c>
      <x:c r="J9" s="13" t="str">
        <x:f>IF(AND(OR(D9="retain",D9=""),E9="statistical_results"),"","not_applicable")</x:f>
        <x:v>not_applicable</x:v>
      </x:c>
      <x:c r="K9" s="7" t="str">
        <x:f>IF(AND(OR(D9="retain",D9=""),OR(E9="report_internal_inconsistency",E9="plan_material")),"","not_applicable")</x:f>
        <x:v>not_applicable</x:v>
      </x:c>
      <x:c r="L9" s="13" t="str">
        <x:f>IF(AND(OR(D9="retain",D9=""),E9="protocol_report"),"","not_applicable")</x:f>
      </x:c>
      <x:c r="M9" s="3" t="str">
        <x:f>IF(Setup!$B$6="primary","",IFERROR(IF(INDEX('Primary_snapshot'!$L$2:$L$120,MATCH(A9,'Primary_snapshot'!$A$2:$A$120,0))="","",INDEX('Primary_snapshot'!$L$2:$L$120,MATCH(A9,'Primary_snapshot'!$A$2:$A$120,0))),"SNAPSHOT MISSING"))</x:f>
      </x:c>
      <x:c r="N9" s="7" t="str"/>
      <x:c r="O9" s="7" t="str"/>
      <x:c r="P9" s="7" t="str"/>
      <x:c r="Q9" s="7" t="str"/>
      <x:c r="R9" s="13" t="str"/>
    </x:row>
  </x:sheetData>
  <x:conditionalFormatting sqref="G2:G9">
    <x:cfRule type="expression" dxfId="7" priority="1">
      <x:formula>AND(G2&lt;&gt;"PRIMARY READY",G2&lt;&gt;"FINAL READY")</x:formula>
    </x:cfRule>
  </x:conditionalFormatting>
  <x:conditionalFormatting sqref="N2:Q9">
    <x:cfRule type="expression" dxfId="8" priority="2">
      <x:formula>Setup!$B$6="primary"</x:formula>
    </x:cfRule>
  </x:conditionalFormatting>
  <x:conditionalFormatting sqref="H2:H9">
    <x:cfRule type="expression" dxfId="9" priority="3">
      <x:formula>NOT(AND(OR($D2="retain",$D2=""),$E2="statistical_results"))</x:formula>
    </x:cfRule>
  </x:conditionalFormatting>
  <x:conditionalFormatting sqref="I2:I9">
    <x:cfRule type="expression" dxfId="10" priority="4">
      <x:formula>NOT(AND(OR($D2="retain",$D2=""),$E2="statistical_results"))</x:formula>
    </x:cfRule>
  </x:conditionalFormatting>
  <x:conditionalFormatting sqref="J2:J9">
    <x:cfRule type="expression" dxfId="11" priority="5">
      <x:formula>NOT(AND(OR($D2="retain",$D2=""),$E2="statistical_results"))</x:formula>
    </x:cfRule>
  </x:conditionalFormatting>
  <x:conditionalFormatting sqref="K2:K9">
    <x:cfRule type="expression" dxfId="12" priority="6">
      <x:formula>NOT(AND(OR($D2="retain",$D2=""),OR($E2="report_internal_inconsistency",$E2="plan_material")))</x:formula>
    </x:cfRule>
  </x:conditionalFormatting>
  <x:conditionalFormatting sqref="L2:L9">
    <x:cfRule type="expression" dxfId="13" priority="7">
      <x:formula>NOT(AND(OR($D2="retain",$D2=""),$E2="protocol_report"))</x:formula>
    </x:cfRule>
  </x:conditionalFormatting>
  <x:dataValidations count="10">
    <x:dataValidation type="list" sqref="D2:D9">
      <x:formula1>"retain,exclude,discuss"</x:formula1>
    </x:dataValidation>
    <x:dataValidation type="list" sqref="E2:E9">
      <x:formula1>"statistical_results,report_internal_inconsistency,plan_material,protocol_report"</x:formula1>
    </x:dataValidation>
    <x:dataValidation type="list" sqref="F2:F9">
      <x:formula1>"no,primary_done,checker_done"</x:formula1>
    </x:dataValidation>
    <x:dataValidation type="list" sqref="H2:H9">
      <x:formula1>"confirmed_issue,probable_issue,not_issue,indeterminate,not_applicable"</x:formula1>
    </x:dataValidation>
    <x:dataValidation type="list" sqref="I2:I9">
      <x:formula1>"substantive,minor_presentation,indeterminate,not_applicable"</x:formula1>
    </x:dataValidation>
    <x:dataValidation type="list" sqref="J2:J9">
      <x:formula1>"direct,possible,unlikely,unknown,not_applicable"</x:formula1>
    </x:dataValidation>
    <x:dataValidation type="list" sqref="K2:K9">
      <x:formula1>"substantive_inconsistency,minor_presentation,non_inconsistency,indeterminate,not_applicable"</x:formula1>
    </x:dataValidation>
    <x:dataValidation type="list" sqref="L2:L9">
      <x:formula1>"substantive_difference,minor_presentation,version_timing,non_inconsistency,indeterminate,not_applicable"</x:formula1>
    </x:dataValidation>
    <x:dataValidation type="list" sqref="N2:N9">
      <x:formula1>"agree,agree_clarification,disagree,unable"</x:formula1>
    </x:dataValidation>
    <x:dataValidation type="list" sqref="P2:P9">
      <x:formula1>"pending,resolved"</x:formula1>
    </x:dataValidation>
  </x:dataValidations>
  <x:pageMargins left="0.7" right="0.7" top="0.75" bottom="0.75" header="0.3" footer="0.3"/>
  <x:tableParts count="1">
    <x:tablePart xmlns:r="http://schemas.openxmlformats.org/officeDocument/2006/relationships" r:id="R6447c2142f8f4887"/>
  </x:tableParts>
</x:worksheet>
</file>

<file path=xl/worksheets/sheet7.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28" hidden="0" customWidth="1"/>
    <x:col min="3" max="3" width="22" hidden="0" customWidth="1"/>
    <x:col min="4" max="4" width="18" hidden="0" customWidth="1"/>
    <x:col min="5" max="5" width="24" hidden="0" customWidth="1"/>
    <x:col min="6" max="6" width="17" hidden="0" customWidth="1"/>
    <x:col min="7" max="7" width="25" hidden="0" customWidth="1"/>
    <x:col min="8" max="8" width="28" hidden="0" customWidth="1"/>
    <x:col min="9" max="9" width="20" hidden="0" customWidth="1"/>
    <x:col min="10" max="10" width="20" hidden="0" customWidth="1"/>
    <x:col min="11" max="11" width="34" hidden="0" customWidth="1"/>
    <x:col min="12" max="12" width="26" hidden="0" customWidth="1"/>
    <x:col min="13" max="13" width="58" hidden="0" customWidth="1"/>
    <x:col min="14" max="14" width="23" hidden="0" customWidth="1"/>
    <x:col min="15" max="15" width="32" hidden="0" customWidth="1"/>
    <x:col min="16" max="16" width="22" hidden="0" customWidth="1"/>
    <x:col min="17" max="17" width="32" hidden="0" customWidth="1"/>
    <x:col min="18" max="18" width="32" hidden="0" customWidth="1"/>
  </x:cols>
  <x:sheetData>
    <x:row r="1" ht="42" customHeight="1">
      <x:c r="A1" s="5" t="str">
        <x:v>Candidate key</x:v>
      </x:c>
      <x:c r="B1" s="5" t="str">
        <x:v>Candidate title</x:v>
      </x:c>
      <x:c r="C1" s="5" t="str">
        <x:v>Source location</x:v>
      </x:c>
      <x:c r="D1" s="5" t="str">
        <x:v>Disposition</x:v>
      </x:c>
      <x:c r="E1" s="5" t="str">
        <x:v>Review domain</x:v>
      </x:c>
      <x:c r="F1" s="5" t="str">
        <x:v>Complete</x:v>
      </x:c>
      <x:c r="G1" s="5" t="str">
        <x:v>Validation hint</x:v>
      </x:c>
      <x:c r="H1" s="5" t="str">
        <x:v>Statistcal_or_numerical issue</x:v>
      </x:c>
      <x:c r="I1" s="5" t="str">
        <x:v>Substantiveness</x:v>
      </x:c>
      <x:c r="J1" s="5" t="str">
        <x:v>Downstream impact</x:v>
      </x:c>
      <x:c r="K1" s="5" t="str">
        <x:v>Report-internal or planning-material inconsistency</x:v>
      </x:c>
      <x:c r="L1" s="5" t="str">
        <x:v>Protocol interpretation</x:v>
      </x:c>
      <x:c r="M1" s="5" t="str">
        <x:v>Primary assessment</x:v>
      </x:c>
      <x:c r="N1" s="5" t="str">
        <x:v>Checker result</x:v>
      </x:c>
      <x:c r="O1" s="5" t="str">
        <x:v>Checker comment</x:v>
      </x:c>
      <x:c r="P1" s="5" t="str">
        <x:v>Discussion resolution</x:v>
      </x:c>
      <x:c r="Q1" s="5" t="str">
        <x:v>Resolution note</x:v>
      </x:c>
      <x:c r="R1" s="5" t="str">
        <x:v>Notes (optional)</x:v>
      </x:c>
    </x:row>
    <x:row r="2" ht="92" customHeight="1">
      <x:c r="A2" s="6" t="str">
        <x:v>2018::jama.2018.0948::C001</x:v>
      </x:c>
      <x:c r="B2" s="6" t="str">
        <x:v>Inclusive versus exclusive fluid threshold in the SCD definition</x:v>
      </x:c>
      <x:c r="C2" s="6" t="str">
        <x:v>main article — PDF p. 4; Supplement 1 Table 5 — PDF p. 24; Supplement 3 eTable 1 — PDF p. 6.</x:v>
      </x:c>
      <x:c r="D2" s="7" t="str"/>
      <x:c r="E2" s="7" t="str">
        <x:v>protocol_report</x:v>
      </x:c>
      <x:c r="F2" s="7" t="str">
        <x:v>no</x:v>
      </x:c>
      <x:c r="G2" s="6" t="str">
        <x:f>IFERROR(IF(NOT(OR(Setup!$B$6="primary",Setup!$B$6="checker")),"CHECK STAGE",IF(OR(LEN(TRIM(Setup!$B$2))=0,Setup!$B$2&lt;&gt;TRIM(Setup!$B$2),AND(Setup!$B$6="checker",OR(LEN(TRIM(Setup!$B$4))=0,Setup!$B$4&lt;&gt;TRIM(Setup!$B$4),LOWER(TRIM(Setup!$B$4))=LOWER(TRIM(Setup!$B$2))))),"CHECK REVIEWER IDs",IF(OR(COUNTIF($A$2:$A$8,A2)&lt;&gt;1,COUNTIF(Decisions!$C$2:$C$120,A2)&lt;&gt;1),"CHECK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FIELDS",IF(Setup!$B$6="primary",IF(OR(N2&lt;&gt;"",O2&lt;&gt;"",P2&lt;&gt;"",Q2&lt;&gt;""),"CLEAR CHECKER FIELDS",IF(OR(Setup!$B$4&lt;&gt;"",Setup!$B$5&lt;&gt;""),"CLEAR CHECKER ID",IF(F2&lt;&gt;"primary_done","PRIMARY DRAFT","PRIMARY READY"))),IF(OR(COUNTIF(Primary_snapshot!$A$2:$A$120,A2)&lt;&gt;1,INDEX('Primary_snapshot'!$J$2:$J$120,MATCH(A2,'Primary_snapshot'!$A$2:$A$120,0))&lt;&gt;"primary_done",INDEX('Primary_snapshot'!$K$2:$K$120,MATCH(A2,'Primary_snapshot'!$A$2:$A$120,0))&lt;&gt;Setup!$B$2,INDEX('Primary_snapshot'!$B$2:$B$120,MATCH(A2,'Primary_snapshot'!$A$2:$A$120,0))="NOT FROZEN",INDEX('Primary_snapshot'!$C$2:$C$120,MATCH(A2,'Primary_snapshot'!$A$2:$A$120,0))="NOT FROZEN",INDEX('Primary_snapshot'!$D$2:$D$120,MATCH(A2,'Primary_snapshot'!$A$2:$A$120,0))="NOT FROZEN",INDEX('Primary_snapshot'!$E$2:$E$120,MATCH(A2,'Primary_snapshot'!$A$2:$A$120,0))="NOT FROZEN",INDEX('Primary_snapshot'!$F$2:$F$120,MATCH(A2,'Primary_snapshot'!$A$2:$A$120,0))="NOT FROZEN",INDEX('Primary_snapshot'!$G$2:$G$120,MATCH(A2,'Primary_snapshot'!$A$2:$A$120,0))="NOT FROZEN",INDEX('Primary_snapshot'!$H$2:$H$120,MATCH(A2,'Primary_snapshot'!$A$2:$A$120,0))="NOT FROZEN",INDEX('Primary_snapshot'!$I$2:$I$120,MATCH(A2,'Primary_snapshot'!$A$2:$A$120,0))="NOT FROZEN",INDEX('Primary_snapshot'!$J$2:$J$120,MATCH(A2,'Primary_snapshot'!$A$2:$A$120,0))="NOT FROZEN",INDEX('Primary_snapshot'!$K$2:$K$120,MATCH(A2,'Primary_snapshot'!$A$2:$A$120,0))="NOT FROZEN",INDEX('Primary_snapshot'!$L$2:$L$120,MATCH(A2,'Primary_snapshot'!$A$2:$A$120,0))="NOT FROZEN"),"FREEZE SNAPSHOT",IF(NOT(OR(N2="agree",N2="agree_clarification",N2="disagree",N2="unable")),"CHECKER RESULT NEEDED",IF(AND(N2&lt;&gt;"agree",LEN(TRIM(O2))=0),"COMMENT NEEDED",IF(AND(N2="agree",NOT(AND(IF(D2="","",D2)=IF(INDEX('Primary_snapshot'!$B$2:$B$120,MATCH(A2,'Primary_snapshot'!$A$2:$A$120,0))="","",INDEX('Primary_snapshot'!$B$2:$B$120,MATCH(A2,'Primary_snapshot'!$A$2:$A$120,0))),IF(E2="","",E2)=IF(INDEX('Primary_snapshot'!$C$2:$C$120,MATCH(A2,'Primary_snapshot'!$A$2:$A$120,0))="","",INDEX('Primary_snapshot'!$C$2:$C$120,MATCH(A2,'Primary_snapshot'!$A$2:$A$120,0))),IF(AND(D2="retain",E2="statistical_results"),IF(H2="","",H2),"not_applicable")=IF(INDEX('Primary_snapshot'!$D$2:$D$120,MATCH(A2,'Primary_snapshot'!$A$2:$A$120,0))="","",INDEX('Primary_snapshot'!$D$2:$D$120,MATCH(A2,'Primary_snapshot'!$A$2:$A$120,0))),IF(AND(D2="retain",E2="statistical_results"),IF(I2="","",I2),"not_applicable")=IF(INDEX('Primary_snapshot'!$E$2:$E$120,MATCH(A2,'Primary_snapshot'!$A$2:$A$120,0))="","",INDEX('Primary_snapshot'!$E$2:$E$120,MATCH(A2,'Primary_snapshot'!$A$2:$A$120,0))),IF(AND(D2="retain",E2="statistical_results"),IF(J2="","",J2),"not_applicable")=IF(INDEX('Primary_snapshot'!$F$2:$F$120,MATCH(A2,'Primary_snapshot'!$A$2:$A$120,0))="","",INDEX('Primary_snapshot'!$F$2:$F$120,MATCH(A2,'Primary_snapshot'!$A$2:$A$120,0))),IF(AND(D2="retain",OR(E2="report_internal_inconsistency",E2="plan_material")),IF(K2="","",K2),"not_applicable")=IF(INDEX('Primary_snapshot'!$G$2:$G$120,MATCH(A2,'Primary_snapshot'!$A$2:$A$120,0))="","",INDEX('Primary_snapshot'!$G$2:$G$120,MATCH(A2,'Primary_snapshot'!$A$2:$A$120,0))),IF(AND(D2="retain",E2="protocol_report"),IF(L2="","",L2),"not_applicable")=IF(INDEX('Primary_snapshot'!$H$2:$H$120,MATCH(A2,'Primary_snapshot'!$A$2:$A$120,0))="","",INDEX('Primary_snapshot'!$H$2:$H$120,MATCH(A2,'Primary_snapshot'!$A$2:$A$120,0))),IF(R2="","",R2)=IF(INDEX('Primary_snapshot'!$I$2:$I$120,MATCH(A2,'Primary_snapshot'!$A$2:$A$120,0))="","",INDEX('Primary_snapshot'!$I$2:$I$120,MATCH(A2,'Primary_snapshot'!$A$2:$A$120,0)))))),"AGREE BUT CHANGED",IF(AND(P2&lt;&gt;"",NOT(OR(P2="pending",P2="resolved"))),"CHECK RESOLUTION",IF(OR(AND(OR(D2="discuss",INDEX('Primary_snapshot'!$B$2:$B$120,MATCH(A2,'Primary_snapshot'!$A$2:$A$120,0))="discuss",N2="disagree",N2="unable"),P2&lt;&gt;"resolved"),D2="discuss"),"DISCUSS",IF(AND(P2="resolved",LEN(TRIM(Q2))=0),"RESOLUTION NOTE NEEDED",IF(F2&lt;&gt;"checker_done","CHECKER DRAFT","FINAL READY")))))))))))))),"CHECK KEY / SNAPSHOT")</x:f>
        <x:v>CHECK REVIEWER IDs</x:v>
      </x:c>
      <x:c r="H2" s="7" t="str">
        <x:f>IF(AND(OR(D2="retain",D2=""),E2="statistical_results"),"","not_applicable")</x:f>
        <x:v>not_applicable</x:v>
      </x:c>
      <x:c r="I2" s="7" t="str">
        <x:f>IF(AND(OR(D2="retain",D2=""),E2="statistical_results"),"","not_applicable")</x:f>
        <x:v>not_applicable</x:v>
      </x:c>
      <x:c r="J2" s="13" t="str">
        <x:f>IF(AND(OR(D2="retain",D2=""),E2="statistical_results"),"","not_applicable")</x:f>
        <x:v>not_applicable</x:v>
      </x:c>
      <x:c r="K2" s="7" t="str">
        <x:f>IF(AND(OR(D2="retain",D2=""),OR(E2="report_internal_inconsistency",E2="plan_material")),"","not_applicable")</x:f>
        <x:v>not_applicable</x:v>
      </x:c>
      <x:c r="L2" s="13" t="str">
        <x:f>IF(AND(OR(D2="retain",D2=""),E2="protocol_report"),"","not_applicable")</x:f>
      </x:c>
      <x:c r="M2" s="6" t="str">
        <x:f>IF(Setup!$B$6="primary","",IFERROR(IF(INDEX('Primary_snapshot'!$L$2:$L$120,MATCH(A2,'Primary_snapshot'!$A$2:$A$120,0))="","",INDEX('Primary_snapshot'!$L$2:$L$120,MATCH(A2,'Primary_snapshot'!$A$2:$A$120,0))),"SNAPSHOT MISSING"))</x:f>
      </x:c>
      <x:c r="N2" s="7" t="str"/>
      <x:c r="O2" s="7" t="str"/>
      <x:c r="P2" s="7" t="str"/>
      <x:c r="Q2" s="7" t="str"/>
      <x:c r="R2" s="13" t="str"/>
    </x:row>
    <x:row r="3" ht="92" customHeight="1">
      <x:c r="A3" s="3" t="str">
        <x:v>2018::jama.2018.0948::C002</x:v>
      </x:c>
      <x:c r="B3" s="3" t="str">
        <x:v>Mortality absolute-risk-reduction percent/unit conflict</x:v>
      </x:c>
      <x:c r="C3" s="3" t="str">
        <x:v>Supplement 1 — PDF p. 1, p. 14, p. 29; main article — PDF p. 4.</x:v>
      </x:c>
      <x:c r="D3" s="7" t="str"/>
      <x:c r="E3" s="7" t="str">
        <x:v>plan_material</x:v>
      </x:c>
      <x:c r="F3" s="7" t="str">
        <x:v>no</x:v>
      </x:c>
      <x:c r="G3" s="3" t="str">
        <x:f>IFERROR(IF(NOT(OR(Setup!$B$6="primary",Setup!$B$6="checker")),"CHECK STAGE",IF(OR(LEN(TRIM(Setup!$B$2))=0,Setup!$B$2&lt;&gt;TRIM(Setup!$B$2),AND(Setup!$B$6="checker",OR(LEN(TRIM(Setup!$B$4))=0,Setup!$B$4&lt;&gt;TRIM(Setup!$B$4),LOWER(TRIM(Setup!$B$4))=LOWER(TRIM(Setup!$B$2))))),"CHECK REVIEWER IDs",IF(OR(COUNTIF($A$2:$A$8,A3)&lt;&gt;1,COUNTIF(Decisions!$C$2:$C$120,A3)&lt;&gt;1),"CHECK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FIELDS",IF(Setup!$B$6="primary",IF(OR(N3&lt;&gt;"",O3&lt;&gt;"",P3&lt;&gt;"",Q3&lt;&gt;""),"CLEAR CHECKER FIELDS",IF(OR(Setup!$B$4&lt;&gt;"",Setup!$B$5&lt;&gt;""),"CLEAR CHECKER ID",IF(F3&lt;&gt;"primary_done","PRIMARY DRAFT","PRIMARY READY"))),IF(OR(COUNTIF(Primary_snapshot!$A$2:$A$120,A3)&lt;&gt;1,INDEX('Primary_snapshot'!$J$2:$J$120,MATCH(A3,'Primary_snapshot'!$A$2:$A$120,0))&lt;&gt;"primary_done",INDEX('Primary_snapshot'!$K$2:$K$120,MATCH(A3,'Primary_snapshot'!$A$2:$A$120,0))&lt;&gt;Setup!$B$2,INDEX('Primary_snapshot'!$B$2:$B$120,MATCH(A3,'Primary_snapshot'!$A$2:$A$120,0))="NOT FROZEN",INDEX('Primary_snapshot'!$C$2:$C$120,MATCH(A3,'Primary_snapshot'!$A$2:$A$120,0))="NOT FROZEN",INDEX('Primary_snapshot'!$D$2:$D$120,MATCH(A3,'Primary_snapshot'!$A$2:$A$120,0))="NOT FROZEN",INDEX('Primary_snapshot'!$E$2:$E$120,MATCH(A3,'Primary_snapshot'!$A$2:$A$120,0))="NOT FROZEN",INDEX('Primary_snapshot'!$F$2:$F$120,MATCH(A3,'Primary_snapshot'!$A$2:$A$120,0))="NOT FROZEN",INDEX('Primary_snapshot'!$G$2:$G$120,MATCH(A3,'Primary_snapshot'!$A$2:$A$120,0))="NOT FROZEN",INDEX('Primary_snapshot'!$H$2:$H$120,MATCH(A3,'Primary_snapshot'!$A$2:$A$120,0))="NOT FROZEN",INDEX('Primary_snapshot'!$I$2:$I$120,MATCH(A3,'Primary_snapshot'!$A$2:$A$120,0))="NOT FROZEN",INDEX('Primary_snapshot'!$J$2:$J$120,MATCH(A3,'Primary_snapshot'!$A$2:$A$120,0))="NOT FROZEN",INDEX('Primary_snapshot'!$K$2:$K$120,MATCH(A3,'Primary_snapshot'!$A$2:$A$120,0))="NOT FROZEN",INDEX('Primary_snapshot'!$L$2:$L$120,MATCH(A3,'Primary_snapshot'!$A$2:$A$120,0))="NOT FROZEN"),"FREEZE SNAPSHOT",IF(NOT(OR(N3="agree",N3="agree_clarification",N3="disagree",N3="unable")),"CHECKER RESULT NEEDED",IF(AND(N3&lt;&gt;"agree",LEN(TRIM(O3))=0),"COMMENT NEEDED",IF(AND(N3="agree",NOT(AND(IF(D3="","",D3)=IF(INDEX('Primary_snapshot'!$B$2:$B$120,MATCH(A3,'Primary_snapshot'!$A$2:$A$120,0))="","",INDEX('Primary_snapshot'!$B$2:$B$120,MATCH(A3,'Primary_snapshot'!$A$2:$A$120,0))),IF(E3="","",E3)=IF(INDEX('Primary_snapshot'!$C$2:$C$120,MATCH(A3,'Primary_snapshot'!$A$2:$A$120,0))="","",INDEX('Primary_snapshot'!$C$2:$C$120,MATCH(A3,'Primary_snapshot'!$A$2:$A$120,0))),IF(AND(D3="retain",E3="statistical_results"),IF(H3="","",H3),"not_applicable")=IF(INDEX('Primary_snapshot'!$D$2:$D$120,MATCH(A3,'Primary_snapshot'!$A$2:$A$120,0))="","",INDEX('Primary_snapshot'!$D$2:$D$120,MATCH(A3,'Primary_snapshot'!$A$2:$A$120,0))),IF(AND(D3="retain",E3="statistical_results"),IF(I3="","",I3),"not_applicable")=IF(INDEX('Primary_snapshot'!$E$2:$E$120,MATCH(A3,'Primary_snapshot'!$A$2:$A$120,0))="","",INDEX('Primary_snapshot'!$E$2:$E$120,MATCH(A3,'Primary_snapshot'!$A$2:$A$120,0))),IF(AND(D3="retain",E3="statistical_results"),IF(J3="","",J3),"not_applicable")=IF(INDEX('Primary_snapshot'!$F$2:$F$120,MATCH(A3,'Primary_snapshot'!$A$2:$A$120,0))="","",INDEX('Primary_snapshot'!$F$2:$F$120,MATCH(A3,'Primary_snapshot'!$A$2:$A$120,0))),IF(AND(D3="retain",OR(E3="report_internal_inconsistency",E3="plan_material")),IF(K3="","",K3),"not_applicable")=IF(INDEX('Primary_snapshot'!$G$2:$G$120,MATCH(A3,'Primary_snapshot'!$A$2:$A$120,0))="","",INDEX('Primary_snapshot'!$G$2:$G$120,MATCH(A3,'Primary_snapshot'!$A$2:$A$120,0))),IF(AND(D3="retain",E3="protocol_report"),IF(L3="","",L3),"not_applicable")=IF(INDEX('Primary_snapshot'!$H$2:$H$120,MATCH(A3,'Primary_snapshot'!$A$2:$A$120,0))="","",INDEX('Primary_snapshot'!$H$2:$H$120,MATCH(A3,'Primary_snapshot'!$A$2:$A$120,0))),IF(R3="","",R3)=IF(INDEX('Primary_snapshot'!$I$2:$I$120,MATCH(A3,'Primary_snapshot'!$A$2:$A$120,0))="","",INDEX('Primary_snapshot'!$I$2:$I$120,MATCH(A3,'Primary_snapshot'!$A$2:$A$120,0)))))),"AGREE BUT CHANGED",IF(AND(P3&lt;&gt;"",NOT(OR(P3="pending",P3="resolved"))),"CHECK RESOLUTION",IF(OR(AND(OR(D3="discuss",INDEX('Primary_snapshot'!$B$2:$B$120,MATCH(A3,'Primary_snapshot'!$A$2:$A$120,0))="discuss",N3="disagree",N3="unable"),P3&lt;&gt;"resolved"),D3="discuss"),"DISCUSS",IF(AND(P3="resolved",LEN(TRIM(Q3))=0),"RESOLUTION NOTE NEEDED",IF(F3&lt;&gt;"checker_done","CHECKER DRAFT","FINAL READY")))))))))))))),"CHECK KEY / SNAPSHOT")</x:f>
        <x:v>CHECK REVIEWER IDs</x:v>
      </x:c>
      <x:c r="H3" s="7" t="str">
        <x:f>IF(AND(OR(D3="retain",D3=""),E3="statistical_results"),"","not_applicable")</x:f>
        <x:v>not_applicable</x:v>
      </x:c>
      <x:c r="I3" s="7" t="str">
        <x:f>IF(AND(OR(D3="retain",D3=""),E3="statistical_results"),"","not_applicable")</x:f>
        <x:v>not_applicable</x:v>
      </x:c>
      <x:c r="J3" s="13" t="str">
        <x:f>IF(AND(OR(D3="retain",D3=""),E3="statistical_results"),"","not_applicable")</x:f>
        <x:v>not_applicable</x:v>
      </x:c>
      <x:c r="K3" s="7" t="str">
        <x:f>IF(AND(OR(D3="retain",D3=""),OR(E3="report_internal_inconsistency",E3="plan_material")),"","not_applicable")</x:f>
      </x:c>
      <x:c r="L3" s="13" t="str">
        <x:f>IF(AND(OR(D3="retain",D3=""),E3="protocol_report"),"","not_applicable")</x:f>
        <x:v>not_applicable</x:v>
      </x:c>
      <x:c r="M3" s="3" t="str">
        <x:f>IF(Setup!$B$6="primary","",IFERROR(IF(INDEX('Primary_snapshot'!$L$2:$L$120,MATCH(A3,'Primary_snapshot'!$A$2:$A$120,0))="","",INDEX('Primary_snapshot'!$L$2:$L$120,MATCH(A3,'Primary_snapshot'!$A$2:$A$120,0))),"SNAPSHOT MISSING"))</x:f>
      </x:c>
      <x:c r="N3" s="7" t="str"/>
      <x:c r="O3" s="7" t="str"/>
      <x:c r="P3" s="7" t="str"/>
      <x:c r="Q3" s="7" t="str"/>
      <x:c r="R3" s="13" t="str"/>
    </x:row>
    <x:row r="4" ht="92" customHeight="1">
      <x:c r="A4" s="6" t="str">
        <x:v>2018::jama.2018.0948::C003</x:v>
      </x:c>
      <x:c r="B4" s="6" t="str">
        <x:v>Cardiac-arrest events assigned incompatible resuscitation-scale categories</x:v>
      </x:c>
      <x:c r="C4" s="6" t="str">
        <x:v>Supplement 1 — PDF p. 11, Table 5 — PDF p. 24, Table 6 legend — PDF p. 27.</x:v>
      </x:c>
      <x:c r="D4" s="7" t="str"/>
      <x:c r="E4" s="7" t="str">
        <x:v>plan_material</x:v>
      </x:c>
      <x:c r="F4" s="7" t="str">
        <x:v>no</x:v>
      </x:c>
      <x:c r="G4" s="6" t="str">
        <x:f>IFERROR(IF(NOT(OR(Setup!$B$6="primary",Setup!$B$6="checker")),"CHECK STAGE",IF(OR(LEN(TRIM(Setup!$B$2))=0,Setup!$B$2&lt;&gt;TRIM(Setup!$B$2),AND(Setup!$B$6="checker",OR(LEN(TRIM(Setup!$B$4))=0,Setup!$B$4&lt;&gt;TRIM(Setup!$B$4),LOWER(TRIM(Setup!$B$4))=LOWER(TRIM(Setup!$B$2))))),"CHECK REVIEWER IDs",IF(OR(COUNTIF($A$2:$A$8,A4)&lt;&gt;1,COUNTIF(Decisions!$C$2:$C$120,A4)&lt;&gt;1),"CHECK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FIELDS",IF(Setup!$B$6="primary",IF(OR(N4&lt;&gt;"",O4&lt;&gt;"",P4&lt;&gt;"",Q4&lt;&gt;""),"CLEAR CHECKER FIELDS",IF(OR(Setup!$B$4&lt;&gt;"",Setup!$B$5&lt;&gt;""),"CLEAR CHECKER ID",IF(F4&lt;&gt;"primary_done","PRIMARY DRAFT","PRIMARY READY"))),IF(OR(COUNTIF(Primary_snapshot!$A$2:$A$120,A4)&lt;&gt;1,INDEX('Primary_snapshot'!$J$2:$J$120,MATCH(A4,'Primary_snapshot'!$A$2:$A$120,0))&lt;&gt;"primary_done",INDEX('Primary_snapshot'!$K$2:$K$120,MATCH(A4,'Primary_snapshot'!$A$2:$A$120,0))&lt;&gt;Setup!$B$2,INDEX('Primary_snapshot'!$B$2:$B$120,MATCH(A4,'Primary_snapshot'!$A$2:$A$120,0))="NOT FROZEN",INDEX('Primary_snapshot'!$C$2:$C$120,MATCH(A4,'Primary_snapshot'!$A$2:$A$120,0))="NOT FROZEN",INDEX('Primary_snapshot'!$D$2:$D$120,MATCH(A4,'Primary_snapshot'!$A$2:$A$120,0))="NOT FROZEN",INDEX('Primary_snapshot'!$E$2:$E$120,MATCH(A4,'Primary_snapshot'!$A$2:$A$120,0))="NOT FROZEN",INDEX('Primary_snapshot'!$F$2:$F$120,MATCH(A4,'Primary_snapshot'!$A$2:$A$120,0))="NOT FROZEN",INDEX('Primary_snapshot'!$G$2:$G$120,MATCH(A4,'Primary_snapshot'!$A$2:$A$120,0))="NOT FROZEN",INDEX('Primary_snapshot'!$H$2:$H$120,MATCH(A4,'Primary_snapshot'!$A$2:$A$120,0))="NOT FROZEN",INDEX('Primary_snapshot'!$I$2:$I$120,MATCH(A4,'Primary_snapshot'!$A$2:$A$120,0))="NOT FROZEN",INDEX('Primary_snapshot'!$J$2:$J$120,MATCH(A4,'Primary_snapshot'!$A$2:$A$120,0))="NOT FROZEN",INDEX('Primary_snapshot'!$K$2:$K$120,MATCH(A4,'Primary_snapshot'!$A$2:$A$120,0))="NOT FROZEN",INDEX('Primary_snapshot'!$L$2:$L$120,MATCH(A4,'Primary_snapshot'!$A$2:$A$120,0))="NOT FROZEN"),"FREEZE SNAPSHOT",IF(NOT(OR(N4="agree",N4="agree_clarification",N4="disagree",N4="unable")),"CHECKER RESULT NEEDED",IF(AND(N4&lt;&gt;"agree",LEN(TRIM(O4))=0),"COMMENT NEEDED",IF(AND(N4="agree",NOT(AND(IF(D4="","",D4)=IF(INDEX('Primary_snapshot'!$B$2:$B$120,MATCH(A4,'Primary_snapshot'!$A$2:$A$120,0))="","",INDEX('Primary_snapshot'!$B$2:$B$120,MATCH(A4,'Primary_snapshot'!$A$2:$A$120,0))),IF(E4="","",E4)=IF(INDEX('Primary_snapshot'!$C$2:$C$120,MATCH(A4,'Primary_snapshot'!$A$2:$A$120,0))="","",INDEX('Primary_snapshot'!$C$2:$C$120,MATCH(A4,'Primary_snapshot'!$A$2:$A$120,0))),IF(AND(D4="retain",E4="statistical_results"),IF(H4="","",H4),"not_applicable")=IF(INDEX('Primary_snapshot'!$D$2:$D$120,MATCH(A4,'Primary_snapshot'!$A$2:$A$120,0))="","",INDEX('Primary_snapshot'!$D$2:$D$120,MATCH(A4,'Primary_snapshot'!$A$2:$A$120,0))),IF(AND(D4="retain",E4="statistical_results"),IF(I4="","",I4),"not_applicable")=IF(INDEX('Primary_snapshot'!$E$2:$E$120,MATCH(A4,'Primary_snapshot'!$A$2:$A$120,0))="","",INDEX('Primary_snapshot'!$E$2:$E$120,MATCH(A4,'Primary_snapshot'!$A$2:$A$120,0))),IF(AND(D4="retain",E4="statistical_results"),IF(J4="","",J4),"not_applicable")=IF(INDEX('Primary_snapshot'!$F$2:$F$120,MATCH(A4,'Primary_snapshot'!$A$2:$A$120,0))="","",INDEX('Primary_snapshot'!$F$2:$F$120,MATCH(A4,'Primary_snapshot'!$A$2:$A$120,0))),IF(AND(D4="retain",OR(E4="report_internal_inconsistency",E4="plan_material")),IF(K4="","",K4),"not_applicable")=IF(INDEX('Primary_snapshot'!$G$2:$G$120,MATCH(A4,'Primary_snapshot'!$A$2:$A$120,0))="","",INDEX('Primary_snapshot'!$G$2:$G$120,MATCH(A4,'Primary_snapshot'!$A$2:$A$120,0))),IF(AND(D4="retain",E4="protocol_report"),IF(L4="","",L4),"not_applicable")=IF(INDEX('Primary_snapshot'!$H$2:$H$120,MATCH(A4,'Primary_snapshot'!$A$2:$A$120,0))="","",INDEX('Primary_snapshot'!$H$2:$H$120,MATCH(A4,'Primary_snapshot'!$A$2:$A$120,0))),IF(R4="","",R4)=IF(INDEX('Primary_snapshot'!$I$2:$I$120,MATCH(A4,'Primary_snapshot'!$A$2:$A$120,0))="","",INDEX('Primary_snapshot'!$I$2:$I$120,MATCH(A4,'Primary_snapshot'!$A$2:$A$120,0)))))),"AGREE BUT CHANGED",IF(AND(P4&lt;&gt;"",NOT(OR(P4="pending",P4="resolved"))),"CHECK RESOLUTION",IF(OR(AND(OR(D4="discuss",INDEX('Primary_snapshot'!$B$2:$B$120,MATCH(A4,'Primary_snapshot'!$A$2:$A$120,0))="discuss",N4="disagree",N4="unable"),P4&lt;&gt;"resolved"),D4="discuss"),"DISCUSS",IF(AND(P4="resolved",LEN(TRIM(Q4))=0),"RESOLUTION NOTE NEEDED",IF(F4&lt;&gt;"checker_done","CHECKER DRAFT","FINAL READY")))))))))))))),"CHECK KEY / SNAPSHOT")</x:f>
        <x:v>CHECK REVIEWER IDs</x:v>
      </x:c>
      <x:c r="H4" s="7" t="str">
        <x:f>IF(AND(OR(D4="retain",D4=""),E4="statistical_results"),"","not_applicable")</x:f>
        <x:v>not_applicable</x:v>
      </x:c>
      <x:c r="I4" s="7" t="str">
        <x:f>IF(AND(OR(D4="retain",D4=""),E4="statistical_results"),"","not_applicable")</x:f>
        <x:v>not_applicable</x:v>
      </x:c>
      <x:c r="J4" s="13" t="str">
        <x:f>IF(AND(OR(D4="retain",D4=""),E4="statistical_results"),"","not_applicable")</x:f>
        <x:v>not_applicable</x:v>
      </x:c>
      <x:c r="K4" s="7" t="str">
        <x:f>IF(AND(OR(D4="retain",D4=""),OR(E4="report_internal_inconsistency",E4="plan_material")),"","not_applicable")</x:f>
      </x:c>
      <x:c r="L4" s="13" t="str">
        <x:f>IF(AND(OR(D4="retain",D4=""),E4="protocol_report"),"","not_applicable")</x:f>
        <x:v>not_applicable</x:v>
      </x:c>
      <x:c r="M4" s="6" t="str">
        <x:f>IF(Setup!$B$6="primary","",IFERROR(IF(INDEX('Primary_snapshot'!$L$2:$L$120,MATCH(A4,'Primary_snapshot'!$A$2:$A$120,0))="","",INDEX('Primary_snapshot'!$L$2:$L$120,MATCH(A4,'Primary_snapshot'!$A$2:$A$120,0))),"SNAPSHOT MISSING"))</x:f>
      </x:c>
      <x:c r="N4" s="7" t="str"/>
      <x:c r="O4" s="7" t="str"/>
      <x:c r="P4" s="7" t="str"/>
      <x:c r="Q4" s="7" t="str"/>
      <x:c r="R4" s="13" t="str"/>
    </x:row>
    <x:row r="5" ht="92" customHeight="1">
      <x:c r="A5" s="3" t="str">
        <x:v>2018::jama.2018.0948::C004</x:v>
      </x:c>
      <x:c r="B5" s="3" t="str">
        <x:v>Preventability threshold excludes and includes rating 4</x:v>
      </x:c>
      <x:c r="C5" s="3" t="str">
        <x:v>Supplement 1 — PDF p. 11, Table 7 — PDF p. 28; Supplement 3 eTable 1 — PDF p. 6; main article — PDF p. 7.</x:v>
      </x:c>
      <x:c r="D5" s="7" t="str"/>
      <x:c r="E5" s="7" t="str">
        <x:v>plan_material</x:v>
      </x:c>
      <x:c r="F5" s="7" t="str">
        <x:v>no</x:v>
      </x:c>
      <x:c r="G5" s="3" t="str">
        <x:f>IFERROR(IF(NOT(OR(Setup!$B$6="primary",Setup!$B$6="checker")),"CHECK STAGE",IF(OR(LEN(TRIM(Setup!$B$2))=0,Setup!$B$2&lt;&gt;TRIM(Setup!$B$2),AND(Setup!$B$6="checker",OR(LEN(TRIM(Setup!$B$4))=0,Setup!$B$4&lt;&gt;TRIM(Setup!$B$4),LOWER(TRIM(Setup!$B$4))=LOWER(TRIM(Setup!$B$2))))),"CHECK REVIEWER IDs",IF(OR(COUNTIF($A$2:$A$8,A5)&lt;&gt;1,COUNTIF(Decisions!$C$2:$C$120,A5)&lt;&gt;1),"CHECK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FIELDS",IF(Setup!$B$6="primary",IF(OR(N5&lt;&gt;"",O5&lt;&gt;"",P5&lt;&gt;"",Q5&lt;&gt;""),"CLEAR CHECKER FIELDS",IF(OR(Setup!$B$4&lt;&gt;"",Setup!$B$5&lt;&gt;""),"CLEAR CHECKER ID",IF(F5&lt;&gt;"primary_done","PRIMARY DRAFT","PRIMARY READY"))),IF(OR(COUNTIF(Primary_snapshot!$A$2:$A$120,A5)&lt;&gt;1,INDEX('Primary_snapshot'!$J$2:$J$120,MATCH(A5,'Primary_snapshot'!$A$2:$A$120,0))&lt;&gt;"primary_done",INDEX('Primary_snapshot'!$K$2:$K$120,MATCH(A5,'Primary_snapshot'!$A$2:$A$120,0))&lt;&gt;Setup!$B$2,INDEX('Primary_snapshot'!$B$2:$B$120,MATCH(A5,'Primary_snapshot'!$A$2:$A$120,0))="NOT FROZEN",INDEX('Primary_snapshot'!$C$2:$C$120,MATCH(A5,'Primary_snapshot'!$A$2:$A$120,0))="NOT FROZEN",INDEX('Primary_snapshot'!$D$2:$D$120,MATCH(A5,'Primary_snapshot'!$A$2:$A$120,0))="NOT FROZEN",INDEX('Primary_snapshot'!$E$2:$E$120,MATCH(A5,'Primary_snapshot'!$A$2:$A$120,0))="NOT FROZEN",INDEX('Primary_snapshot'!$F$2:$F$120,MATCH(A5,'Primary_snapshot'!$A$2:$A$120,0))="NOT FROZEN",INDEX('Primary_snapshot'!$G$2:$G$120,MATCH(A5,'Primary_snapshot'!$A$2:$A$120,0))="NOT FROZEN",INDEX('Primary_snapshot'!$H$2:$H$120,MATCH(A5,'Primary_snapshot'!$A$2:$A$120,0))="NOT FROZEN",INDEX('Primary_snapshot'!$I$2:$I$120,MATCH(A5,'Primary_snapshot'!$A$2:$A$120,0))="NOT FROZEN",INDEX('Primary_snapshot'!$J$2:$J$120,MATCH(A5,'Primary_snapshot'!$A$2:$A$120,0))="NOT FROZEN",INDEX('Primary_snapshot'!$K$2:$K$120,MATCH(A5,'Primary_snapshot'!$A$2:$A$120,0))="NOT FROZEN",INDEX('Primary_snapshot'!$L$2:$L$120,MATCH(A5,'Primary_snapshot'!$A$2:$A$120,0))="NOT FROZEN"),"FREEZE SNAPSHOT",IF(NOT(OR(N5="agree",N5="agree_clarification",N5="disagree",N5="unable")),"CHECKER RESULT NEEDED",IF(AND(N5&lt;&gt;"agree",LEN(TRIM(O5))=0),"COMMENT NEEDED",IF(AND(N5="agree",NOT(AND(IF(D5="","",D5)=IF(INDEX('Primary_snapshot'!$B$2:$B$120,MATCH(A5,'Primary_snapshot'!$A$2:$A$120,0))="","",INDEX('Primary_snapshot'!$B$2:$B$120,MATCH(A5,'Primary_snapshot'!$A$2:$A$120,0))),IF(E5="","",E5)=IF(INDEX('Primary_snapshot'!$C$2:$C$120,MATCH(A5,'Primary_snapshot'!$A$2:$A$120,0))="","",INDEX('Primary_snapshot'!$C$2:$C$120,MATCH(A5,'Primary_snapshot'!$A$2:$A$120,0))),IF(AND(D5="retain",E5="statistical_results"),IF(H5="","",H5),"not_applicable")=IF(INDEX('Primary_snapshot'!$D$2:$D$120,MATCH(A5,'Primary_snapshot'!$A$2:$A$120,0))="","",INDEX('Primary_snapshot'!$D$2:$D$120,MATCH(A5,'Primary_snapshot'!$A$2:$A$120,0))),IF(AND(D5="retain",E5="statistical_results"),IF(I5="","",I5),"not_applicable")=IF(INDEX('Primary_snapshot'!$E$2:$E$120,MATCH(A5,'Primary_snapshot'!$A$2:$A$120,0))="","",INDEX('Primary_snapshot'!$E$2:$E$120,MATCH(A5,'Primary_snapshot'!$A$2:$A$120,0))),IF(AND(D5="retain",E5="statistical_results"),IF(J5="","",J5),"not_applicable")=IF(INDEX('Primary_snapshot'!$F$2:$F$120,MATCH(A5,'Primary_snapshot'!$A$2:$A$120,0))="","",INDEX('Primary_snapshot'!$F$2:$F$120,MATCH(A5,'Primary_snapshot'!$A$2:$A$120,0))),IF(AND(D5="retain",OR(E5="report_internal_inconsistency",E5="plan_material")),IF(K5="","",K5),"not_applicable")=IF(INDEX('Primary_snapshot'!$G$2:$G$120,MATCH(A5,'Primary_snapshot'!$A$2:$A$120,0))="","",INDEX('Primary_snapshot'!$G$2:$G$120,MATCH(A5,'Primary_snapshot'!$A$2:$A$120,0))),IF(AND(D5="retain",E5="protocol_report"),IF(L5="","",L5),"not_applicable")=IF(INDEX('Primary_snapshot'!$H$2:$H$120,MATCH(A5,'Primary_snapshot'!$A$2:$A$120,0))="","",INDEX('Primary_snapshot'!$H$2:$H$120,MATCH(A5,'Primary_snapshot'!$A$2:$A$120,0))),IF(R5="","",R5)=IF(INDEX('Primary_snapshot'!$I$2:$I$120,MATCH(A5,'Primary_snapshot'!$A$2:$A$120,0))="","",INDEX('Primary_snapshot'!$I$2:$I$120,MATCH(A5,'Primary_snapshot'!$A$2:$A$120,0)))))),"AGREE BUT CHANGED",IF(AND(P5&lt;&gt;"",NOT(OR(P5="pending",P5="resolved"))),"CHECK RESOLUTION",IF(OR(AND(OR(D5="discuss",INDEX('Primary_snapshot'!$B$2:$B$120,MATCH(A5,'Primary_snapshot'!$A$2:$A$120,0))="discuss",N5="disagree",N5="unable"),P5&lt;&gt;"resolved"),D5="discuss"),"DISCUSS",IF(AND(P5="resolved",LEN(TRIM(Q5))=0),"RESOLUTION NOTE NEEDED",IF(F5&lt;&gt;"checker_done","CHECKER DRAFT","FINAL READY")))))))))))))),"CHECK KEY / SNAPSHOT")</x:f>
        <x:v>CHECK REVIEWER IDs</x:v>
      </x:c>
      <x:c r="H5" s="7" t="str">
        <x:f>IF(AND(OR(D5="retain",D5=""),E5="statistical_results"),"","not_applicable")</x:f>
        <x:v>not_applicable</x:v>
      </x:c>
      <x:c r="I5" s="7" t="str">
        <x:f>IF(AND(OR(D5="retain",D5=""),E5="statistical_results"),"","not_applicable")</x:f>
        <x:v>not_applicable</x:v>
      </x:c>
      <x:c r="J5" s="13" t="str">
        <x:f>IF(AND(OR(D5="retain",D5=""),E5="statistical_results"),"","not_applicable")</x:f>
        <x:v>not_applicable</x:v>
      </x:c>
      <x:c r="K5" s="7" t="str">
        <x:f>IF(AND(OR(D5="retain",D5=""),OR(E5="report_internal_inconsistency",E5="plan_material")),"","not_applicable")</x:f>
      </x:c>
      <x:c r="L5" s="13" t="str">
        <x:f>IF(AND(OR(D5="retain",D5=""),E5="protocol_report"),"","not_applicable")</x:f>
        <x:v>not_applicable</x:v>
      </x:c>
      <x:c r="M5" s="3" t="str">
        <x:f>IF(Setup!$B$6="primary","",IFERROR(IF(INDEX('Primary_snapshot'!$L$2:$L$120,MATCH(A5,'Primary_snapshot'!$A$2:$A$120,0))="","",INDEX('Primary_snapshot'!$L$2:$L$120,MATCH(A5,'Primary_snapshot'!$A$2:$A$120,0))),"SNAPSHOT MISSING"))</x:f>
      </x:c>
      <x:c r="N5" s="7" t="str"/>
      <x:c r="O5" s="7" t="str"/>
      <x:c r="P5" s="7" t="str"/>
      <x:c r="Q5" s="7" t="str"/>
      <x:c r="R5" s="13" t="str"/>
    </x:row>
    <x:row r="6" ht="92" customHeight="1">
      <x:c r="A6" s="6" t="str">
        <x:v>2018::jama.2018.0948::C005</x:v>
      </x:c>
      <x:c r="B6" s="6" t="str">
        <x:v>The same SCDE reference count is labelled annual and two-year</x:v>
      </x:c>
      <x:c r="C6" s="6" t="str">
        <x:v>Supplement 1 — PDF p. 14 and PDF p. 30.</x:v>
      </x:c>
      <x:c r="D6" s="7" t="str"/>
      <x:c r="E6" s="7" t="str">
        <x:v>plan_material</x:v>
      </x:c>
      <x:c r="F6" s="7" t="str">
        <x:v>no</x:v>
      </x:c>
      <x:c r="G6" s="6" t="str">
        <x:f>IFERROR(IF(NOT(OR(Setup!$B$6="primary",Setup!$B$6="checker")),"CHECK STAGE",IF(OR(LEN(TRIM(Setup!$B$2))=0,Setup!$B$2&lt;&gt;TRIM(Setup!$B$2),AND(Setup!$B$6="checker",OR(LEN(TRIM(Setup!$B$4))=0,Setup!$B$4&lt;&gt;TRIM(Setup!$B$4),LOWER(TRIM(Setup!$B$4))=LOWER(TRIM(Setup!$B$2))))),"CHECK REVIEWER IDs",IF(OR(COUNTIF($A$2:$A$8,A6)&lt;&gt;1,COUNTIF(Decisions!$C$2:$C$120,A6)&lt;&gt;1),"CHECK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FIELDS",IF(Setup!$B$6="primary",IF(OR(N6&lt;&gt;"",O6&lt;&gt;"",P6&lt;&gt;"",Q6&lt;&gt;""),"CLEAR CHECKER FIELDS",IF(OR(Setup!$B$4&lt;&gt;"",Setup!$B$5&lt;&gt;""),"CLEAR CHECKER ID",IF(F6&lt;&gt;"primary_done","PRIMARY DRAFT","PRIMARY READY"))),IF(OR(COUNTIF(Primary_snapshot!$A$2:$A$120,A6)&lt;&gt;1,INDEX('Primary_snapshot'!$J$2:$J$120,MATCH(A6,'Primary_snapshot'!$A$2:$A$120,0))&lt;&gt;"primary_done",INDEX('Primary_snapshot'!$K$2:$K$120,MATCH(A6,'Primary_snapshot'!$A$2:$A$120,0))&lt;&gt;Setup!$B$2,INDEX('Primary_snapshot'!$B$2:$B$120,MATCH(A6,'Primary_snapshot'!$A$2:$A$120,0))="NOT FROZEN",INDEX('Primary_snapshot'!$C$2:$C$120,MATCH(A6,'Primary_snapshot'!$A$2:$A$120,0))="NOT FROZEN",INDEX('Primary_snapshot'!$D$2:$D$120,MATCH(A6,'Primary_snapshot'!$A$2:$A$120,0))="NOT FROZEN",INDEX('Primary_snapshot'!$E$2:$E$120,MATCH(A6,'Primary_snapshot'!$A$2:$A$120,0))="NOT FROZEN",INDEX('Primary_snapshot'!$F$2:$F$120,MATCH(A6,'Primary_snapshot'!$A$2:$A$120,0))="NOT FROZEN",INDEX('Primary_snapshot'!$G$2:$G$120,MATCH(A6,'Primary_snapshot'!$A$2:$A$120,0))="NOT FROZEN",INDEX('Primary_snapshot'!$H$2:$H$120,MATCH(A6,'Primary_snapshot'!$A$2:$A$120,0))="NOT FROZEN",INDEX('Primary_snapshot'!$I$2:$I$120,MATCH(A6,'Primary_snapshot'!$A$2:$A$120,0))="NOT FROZEN",INDEX('Primary_snapshot'!$J$2:$J$120,MATCH(A6,'Primary_snapshot'!$A$2:$A$120,0))="NOT FROZEN",INDEX('Primary_snapshot'!$K$2:$K$120,MATCH(A6,'Primary_snapshot'!$A$2:$A$120,0))="NOT FROZEN",INDEX('Primary_snapshot'!$L$2:$L$120,MATCH(A6,'Primary_snapshot'!$A$2:$A$120,0))="NOT FROZEN"),"FREEZE SNAPSHOT",IF(NOT(OR(N6="agree",N6="agree_clarification",N6="disagree",N6="unable")),"CHECKER RESULT NEEDED",IF(AND(N6&lt;&gt;"agree",LEN(TRIM(O6))=0),"COMMENT NEEDED",IF(AND(N6="agree",NOT(AND(IF(D6="","",D6)=IF(INDEX('Primary_snapshot'!$B$2:$B$120,MATCH(A6,'Primary_snapshot'!$A$2:$A$120,0))="","",INDEX('Primary_snapshot'!$B$2:$B$120,MATCH(A6,'Primary_snapshot'!$A$2:$A$120,0))),IF(E6="","",E6)=IF(INDEX('Primary_snapshot'!$C$2:$C$120,MATCH(A6,'Primary_snapshot'!$A$2:$A$120,0))="","",INDEX('Primary_snapshot'!$C$2:$C$120,MATCH(A6,'Primary_snapshot'!$A$2:$A$120,0))),IF(AND(D6="retain",E6="statistical_results"),IF(H6="","",H6),"not_applicable")=IF(INDEX('Primary_snapshot'!$D$2:$D$120,MATCH(A6,'Primary_snapshot'!$A$2:$A$120,0))="","",INDEX('Primary_snapshot'!$D$2:$D$120,MATCH(A6,'Primary_snapshot'!$A$2:$A$120,0))),IF(AND(D6="retain",E6="statistical_results"),IF(I6="","",I6),"not_applicable")=IF(INDEX('Primary_snapshot'!$E$2:$E$120,MATCH(A6,'Primary_snapshot'!$A$2:$A$120,0))="","",INDEX('Primary_snapshot'!$E$2:$E$120,MATCH(A6,'Primary_snapshot'!$A$2:$A$120,0))),IF(AND(D6="retain",E6="statistical_results"),IF(J6="","",J6),"not_applicable")=IF(INDEX('Primary_snapshot'!$F$2:$F$120,MATCH(A6,'Primary_snapshot'!$A$2:$A$120,0))="","",INDEX('Primary_snapshot'!$F$2:$F$120,MATCH(A6,'Primary_snapshot'!$A$2:$A$120,0))),IF(AND(D6="retain",OR(E6="report_internal_inconsistency",E6="plan_material")),IF(K6="","",K6),"not_applicable")=IF(INDEX('Primary_snapshot'!$G$2:$G$120,MATCH(A6,'Primary_snapshot'!$A$2:$A$120,0))="","",INDEX('Primary_snapshot'!$G$2:$G$120,MATCH(A6,'Primary_snapshot'!$A$2:$A$120,0))),IF(AND(D6="retain",E6="protocol_report"),IF(L6="","",L6),"not_applicable")=IF(INDEX('Primary_snapshot'!$H$2:$H$120,MATCH(A6,'Primary_snapshot'!$A$2:$A$120,0))="","",INDEX('Primary_snapshot'!$H$2:$H$120,MATCH(A6,'Primary_snapshot'!$A$2:$A$120,0))),IF(R6="","",R6)=IF(INDEX('Primary_snapshot'!$I$2:$I$120,MATCH(A6,'Primary_snapshot'!$A$2:$A$120,0))="","",INDEX('Primary_snapshot'!$I$2:$I$120,MATCH(A6,'Primary_snapshot'!$A$2:$A$120,0)))))),"AGREE BUT CHANGED",IF(AND(P6&lt;&gt;"",NOT(OR(P6="pending",P6="resolved"))),"CHECK RESOLUTION",IF(OR(AND(OR(D6="discuss",INDEX('Primary_snapshot'!$B$2:$B$120,MATCH(A6,'Primary_snapshot'!$A$2:$A$120,0))="discuss",N6="disagree",N6="unable"),P6&lt;&gt;"resolved"),D6="discuss"),"DISCUSS",IF(AND(P6="resolved",LEN(TRIM(Q6))=0),"RESOLUTION NOTE NEEDED",IF(F6&lt;&gt;"checker_done","CHECKER DRAFT","FINAL READY")))))))))))))),"CHECK KEY / SNAPSHOT")</x:f>
        <x:v>CHECK REVIEWER IDs</x:v>
      </x:c>
      <x:c r="H6" s="7" t="str">
        <x:f>IF(AND(OR(D6="retain",D6=""),E6="statistical_results"),"","not_applicable")</x:f>
        <x:v>not_applicable</x:v>
      </x:c>
      <x:c r="I6" s="7" t="str">
        <x:f>IF(AND(OR(D6="retain",D6=""),E6="statistical_results"),"","not_applicable")</x:f>
        <x:v>not_applicable</x:v>
      </x:c>
      <x:c r="J6" s="13" t="str">
        <x:f>IF(AND(OR(D6="retain",D6=""),E6="statistical_results"),"","not_applicable")</x:f>
        <x:v>not_applicable</x:v>
      </x:c>
      <x:c r="K6" s="7" t="str">
        <x:f>IF(AND(OR(D6="retain",D6=""),OR(E6="report_internal_inconsistency",E6="plan_material")),"","not_applicable")</x:f>
      </x:c>
      <x:c r="L6" s="13" t="str">
        <x:f>IF(AND(OR(D6="retain",D6=""),E6="protocol_report"),"","not_applicable")</x:f>
        <x:v>not_applicable</x:v>
      </x:c>
      <x:c r="M6" s="6" t="str">
        <x:f>IF(Setup!$B$6="primary","",IFERROR(IF(INDEX('Primary_snapshot'!$L$2:$L$120,MATCH(A6,'Primary_snapshot'!$A$2:$A$120,0))="","",INDEX('Primary_snapshot'!$L$2:$L$120,MATCH(A6,'Primary_snapshot'!$A$2:$A$120,0))),"SNAPSHOT MISSING"))</x:f>
      </x:c>
      <x:c r="N6" s="7" t="str"/>
      <x:c r="O6" s="7" t="str"/>
      <x:c r="P6" s="7" t="str"/>
      <x:c r="Q6" s="7" t="str"/>
      <x:c r="R6" s="13" t="str"/>
    </x:row>
    <x:row r="7" ht="92" customHeight="1">
      <x:c r="A7" s="3" t="str">
        <x:v>2018::jama.2018.0948::C006</x:v>
      </x:c>
      <x:c r="B7" s="3" t="str">
        <x:v>Stat-call absolute reduction does not reproduce from the printed inputs</x:v>
      </x:c>
      <x:c r="C7" s="3" t="str">
        <x:v>Supplement 1 — PDF p. 30.</x:v>
      </x:c>
      <x:c r="D7" s="7" t="str"/>
      <x:c r="E7" s="7" t="str">
        <x:v>plan_material</x:v>
      </x:c>
      <x:c r="F7" s="7" t="str">
        <x:v>no</x:v>
      </x:c>
      <x:c r="G7" s="3" t="str">
        <x:f>IFERROR(IF(NOT(OR(Setup!$B$6="primary",Setup!$B$6="checker")),"CHECK STAGE",IF(OR(LEN(TRIM(Setup!$B$2))=0,Setup!$B$2&lt;&gt;TRIM(Setup!$B$2),AND(Setup!$B$6="checker",OR(LEN(TRIM(Setup!$B$4))=0,Setup!$B$4&lt;&gt;TRIM(Setup!$B$4),LOWER(TRIM(Setup!$B$4))=LOWER(TRIM(Setup!$B$2))))),"CHECK REVIEWER IDs",IF(OR(COUNTIF($A$2:$A$8,A7)&lt;&gt;1,COUNTIF(Decisions!$C$2:$C$120,A7)&lt;&gt;1),"CHECK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FIELDS",IF(Setup!$B$6="primary",IF(OR(N7&lt;&gt;"",O7&lt;&gt;"",P7&lt;&gt;"",Q7&lt;&gt;""),"CLEAR CHECKER FIELDS",IF(OR(Setup!$B$4&lt;&gt;"",Setup!$B$5&lt;&gt;""),"CLEAR CHECKER ID",IF(F7&lt;&gt;"primary_done","PRIMARY DRAFT","PRIMARY READY"))),IF(OR(COUNTIF(Primary_snapshot!$A$2:$A$120,A7)&lt;&gt;1,INDEX('Primary_snapshot'!$J$2:$J$120,MATCH(A7,'Primary_snapshot'!$A$2:$A$120,0))&lt;&gt;"primary_done",INDEX('Primary_snapshot'!$K$2:$K$120,MATCH(A7,'Primary_snapshot'!$A$2:$A$120,0))&lt;&gt;Setup!$B$2,INDEX('Primary_snapshot'!$B$2:$B$120,MATCH(A7,'Primary_snapshot'!$A$2:$A$120,0))="NOT FROZEN",INDEX('Primary_snapshot'!$C$2:$C$120,MATCH(A7,'Primary_snapshot'!$A$2:$A$120,0))="NOT FROZEN",INDEX('Primary_snapshot'!$D$2:$D$120,MATCH(A7,'Primary_snapshot'!$A$2:$A$120,0))="NOT FROZEN",INDEX('Primary_snapshot'!$E$2:$E$120,MATCH(A7,'Primary_snapshot'!$A$2:$A$120,0))="NOT FROZEN",INDEX('Primary_snapshot'!$F$2:$F$120,MATCH(A7,'Primary_snapshot'!$A$2:$A$120,0))="NOT FROZEN",INDEX('Primary_snapshot'!$G$2:$G$120,MATCH(A7,'Primary_snapshot'!$A$2:$A$120,0))="NOT FROZEN",INDEX('Primary_snapshot'!$H$2:$H$120,MATCH(A7,'Primary_snapshot'!$A$2:$A$120,0))="NOT FROZEN",INDEX('Primary_snapshot'!$I$2:$I$120,MATCH(A7,'Primary_snapshot'!$A$2:$A$120,0))="NOT FROZEN",INDEX('Primary_snapshot'!$J$2:$J$120,MATCH(A7,'Primary_snapshot'!$A$2:$A$120,0))="NOT FROZEN",INDEX('Primary_snapshot'!$K$2:$K$120,MATCH(A7,'Primary_snapshot'!$A$2:$A$120,0))="NOT FROZEN",INDEX('Primary_snapshot'!$L$2:$L$120,MATCH(A7,'Primary_snapshot'!$A$2:$A$120,0))="NOT FROZEN"),"FREEZE SNAPSHOT",IF(NOT(OR(N7="agree",N7="agree_clarification",N7="disagree",N7="unable")),"CHECKER RESULT NEEDED",IF(AND(N7&lt;&gt;"agree",LEN(TRIM(O7))=0),"COMMENT NEEDED",IF(AND(N7="agree",NOT(AND(IF(D7="","",D7)=IF(INDEX('Primary_snapshot'!$B$2:$B$120,MATCH(A7,'Primary_snapshot'!$A$2:$A$120,0))="","",INDEX('Primary_snapshot'!$B$2:$B$120,MATCH(A7,'Primary_snapshot'!$A$2:$A$120,0))),IF(E7="","",E7)=IF(INDEX('Primary_snapshot'!$C$2:$C$120,MATCH(A7,'Primary_snapshot'!$A$2:$A$120,0))="","",INDEX('Primary_snapshot'!$C$2:$C$120,MATCH(A7,'Primary_snapshot'!$A$2:$A$120,0))),IF(AND(D7="retain",E7="statistical_results"),IF(H7="","",H7),"not_applicable")=IF(INDEX('Primary_snapshot'!$D$2:$D$120,MATCH(A7,'Primary_snapshot'!$A$2:$A$120,0))="","",INDEX('Primary_snapshot'!$D$2:$D$120,MATCH(A7,'Primary_snapshot'!$A$2:$A$120,0))),IF(AND(D7="retain",E7="statistical_results"),IF(I7="","",I7),"not_applicable")=IF(INDEX('Primary_snapshot'!$E$2:$E$120,MATCH(A7,'Primary_snapshot'!$A$2:$A$120,0))="","",INDEX('Primary_snapshot'!$E$2:$E$120,MATCH(A7,'Primary_snapshot'!$A$2:$A$120,0))),IF(AND(D7="retain",E7="statistical_results"),IF(J7="","",J7),"not_applicable")=IF(INDEX('Primary_snapshot'!$F$2:$F$120,MATCH(A7,'Primary_snapshot'!$A$2:$A$120,0))="","",INDEX('Primary_snapshot'!$F$2:$F$120,MATCH(A7,'Primary_snapshot'!$A$2:$A$120,0))),IF(AND(D7="retain",OR(E7="report_internal_inconsistency",E7="plan_material")),IF(K7="","",K7),"not_applicable")=IF(INDEX('Primary_snapshot'!$G$2:$G$120,MATCH(A7,'Primary_snapshot'!$A$2:$A$120,0))="","",INDEX('Primary_snapshot'!$G$2:$G$120,MATCH(A7,'Primary_snapshot'!$A$2:$A$120,0))),IF(AND(D7="retain",E7="protocol_report"),IF(L7="","",L7),"not_applicable")=IF(INDEX('Primary_snapshot'!$H$2:$H$120,MATCH(A7,'Primary_snapshot'!$A$2:$A$120,0))="","",INDEX('Primary_snapshot'!$H$2:$H$120,MATCH(A7,'Primary_snapshot'!$A$2:$A$120,0))),IF(R7="","",R7)=IF(INDEX('Primary_snapshot'!$I$2:$I$120,MATCH(A7,'Primary_snapshot'!$A$2:$A$120,0))="","",INDEX('Primary_snapshot'!$I$2:$I$120,MATCH(A7,'Primary_snapshot'!$A$2:$A$120,0)))))),"AGREE BUT CHANGED",IF(AND(P7&lt;&gt;"",NOT(OR(P7="pending",P7="resolved"))),"CHECK RESOLUTION",IF(OR(AND(OR(D7="discuss",INDEX('Primary_snapshot'!$B$2:$B$120,MATCH(A7,'Primary_snapshot'!$A$2:$A$120,0))="discuss",N7="disagree",N7="unable"),P7&lt;&gt;"resolved"),D7="discuss"),"DISCUSS",IF(AND(P7="resolved",LEN(TRIM(Q7))=0),"RESOLUTION NOTE NEEDED",IF(F7&lt;&gt;"checker_done","CHECKER DRAFT","FINAL READY")))))))))))))),"CHECK KEY / SNAPSHOT")</x:f>
        <x:v>CHECK REVIEWER IDs</x:v>
      </x:c>
      <x:c r="H7" s="7" t="str">
        <x:f>IF(AND(OR(D7="retain",D7=""),E7="statistical_results"),"","not_applicable")</x:f>
        <x:v>not_applicable</x:v>
      </x:c>
      <x:c r="I7" s="7" t="str">
        <x:f>IF(AND(OR(D7="retain",D7=""),E7="statistical_results"),"","not_applicable")</x:f>
        <x:v>not_applicable</x:v>
      </x:c>
      <x:c r="J7" s="13" t="str">
        <x:f>IF(AND(OR(D7="retain",D7=""),E7="statistical_results"),"","not_applicable")</x:f>
        <x:v>not_applicable</x:v>
      </x:c>
      <x:c r="K7" s="7" t="str">
        <x:f>IF(AND(OR(D7="retain",D7=""),OR(E7="report_internal_inconsistency",E7="plan_material")),"","not_applicable")</x:f>
      </x:c>
      <x:c r="L7" s="13" t="str">
        <x:f>IF(AND(OR(D7="retain",D7=""),E7="protocol_report"),"","not_applicable")</x:f>
        <x:v>not_applicable</x:v>
      </x:c>
      <x:c r="M7" s="3" t="str">
        <x:f>IF(Setup!$B$6="primary","",IFERROR(IF(INDEX('Primary_snapshot'!$L$2:$L$120,MATCH(A7,'Primary_snapshot'!$A$2:$A$120,0))="","",INDEX('Primary_snapshot'!$L$2:$L$120,MATCH(A7,'Primary_snapshot'!$A$2:$A$120,0))),"SNAPSHOT MISSING"))</x:f>
      </x:c>
      <x:c r="N7" s="7" t="str"/>
      <x:c r="O7" s="7" t="str"/>
      <x:c r="P7" s="7" t="str"/>
      <x:c r="Q7" s="7" t="str"/>
      <x:c r="R7" s="13" t="str"/>
    </x:row>
    <x:row r="8" ht="92" customHeight="1">
      <x:c r="A8" s="6" t="str">
        <x:v>2018::jama.2018.0948::C007</x:v>
      </x:c>
      <x:c r="B8" s="6" t="str">
        <x:v>Urgent PICU admission rates do not match the printed counts and denominators at conventional rounding</x:v>
      </x:c>
      <x:c r="C8" s="6" t="str">
        <x:v>Supplement 1 — PDF p. 30.</x:v>
      </x:c>
      <x:c r="D8" s="7" t="str"/>
      <x:c r="E8" s="7" t="str">
        <x:v>plan_material</x:v>
      </x:c>
      <x:c r="F8" s="7" t="str">
        <x:v>no</x:v>
      </x:c>
      <x:c r="G8" s="6" t="str">
        <x:f>IFERROR(IF(NOT(OR(Setup!$B$6="primary",Setup!$B$6="checker")),"CHECK STAGE",IF(OR(LEN(TRIM(Setup!$B$2))=0,Setup!$B$2&lt;&gt;TRIM(Setup!$B$2),AND(Setup!$B$6="checker",OR(LEN(TRIM(Setup!$B$4))=0,Setup!$B$4&lt;&gt;TRIM(Setup!$B$4),LOWER(TRIM(Setup!$B$4))=LOWER(TRIM(Setup!$B$2))))),"CHECK REVIEWER IDs",IF(OR(COUNTIF($A$2:$A$8,A8)&lt;&gt;1,COUNTIF(Decisions!$C$2:$C$120,A8)&lt;&gt;1),"CHECK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FIELDS",IF(Setup!$B$6="primary",IF(OR(N8&lt;&gt;"",O8&lt;&gt;"",P8&lt;&gt;"",Q8&lt;&gt;""),"CLEAR CHECKER FIELDS",IF(OR(Setup!$B$4&lt;&gt;"",Setup!$B$5&lt;&gt;""),"CLEAR CHECKER ID",IF(F8&lt;&gt;"primary_done","PRIMARY DRAFT","PRIMARY READY"))),IF(OR(COUNTIF(Primary_snapshot!$A$2:$A$120,A8)&lt;&gt;1,INDEX('Primary_snapshot'!$J$2:$J$120,MATCH(A8,'Primary_snapshot'!$A$2:$A$120,0))&lt;&gt;"primary_done",INDEX('Primary_snapshot'!$K$2:$K$120,MATCH(A8,'Primary_snapshot'!$A$2:$A$120,0))&lt;&gt;Setup!$B$2,INDEX('Primary_snapshot'!$B$2:$B$120,MATCH(A8,'Primary_snapshot'!$A$2:$A$120,0))="NOT FROZEN",INDEX('Primary_snapshot'!$C$2:$C$120,MATCH(A8,'Primary_snapshot'!$A$2:$A$120,0))="NOT FROZEN",INDEX('Primary_snapshot'!$D$2:$D$120,MATCH(A8,'Primary_snapshot'!$A$2:$A$120,0))="NOT FROZEN",INDEX('Primary_snapshot'!$E$2:$E$120,MATCH(A8,'Primary_snapshot'!$A$2:$A$120,0))="NOT FROZEN",INDEX('Primary_snapshot'!$F$2:$F$120,MATCH(A8,'Primary_snapshot'!$A$2:$A$120,0))="NOT FROZEN",INDEX('Primary_snapshot'!$G$2:$G$120,MATCH(A8,'Primary_snapshot'!$A$2:$A$120,0))="NOT FROZEN",INDEX('Primary_snapshot'!$H$2:$H$120,MATCH(A8,'Primary_snapshot'!$A$2:$A$120,0))="NOT FROZEN",INDEX('Primary_snapshot'!$I$2:$I$120,MATCH(A8,'Primary_snapshot'!$A$2:$A$120,0))="NOT FROZEN",INDEX('Primary_snapshot'!$J$2:$J$120,MATCH(A8,'Primary_snapshot'!$A$2:$A$120,0))="NOT FROZEN",INDEX('Primary_snapshot'!$K$2:$K$120,MATCH(A8,'Primary_snapshot'!$A$2:$A$120,0))="NOT FROZEN",INDEX('Primary_snapshot'!$L$2:$L$120,MATCH(A8,'Primary_snapshot'!$A$2:$A$120,0))="NOT FROZEN"),"FREEZE SNAPSHOT",IF(NOT(OR(N8="agree",N8="agree_clarification",N8="disagree",N8="unable")),"CHECKER RESULT NEEDED",IF(AND(N8&lt;&gt;"agree",LEN(TRIM(O8))=0),"COMMENT NEEDED",IF(AND(N8="agree",NOT(AND(IF(D8="","",D8)=IF(INDEX('Primary_snapshot'!$B$2:$B$120,MATCH(A8,'Primary_snapshot'!$A$2:$A$120,0))="","",INDEX('Primary_snapshot'!$B$2:$B$120,MATCH(A8,'Primary_snapshot'!$A$2:$A$120,0))),IF(E8="","",E8)=IF(INDEX('Primary_snapshot'!$C$2:$C$120,MATCH(A8,'Primary_snapshot'!$A$2:$A$120,0))="","",INDEX('Primary_snapshot'!$C$2:$C$120,MATCH(A8,'Primary_snapshot'!$A$2:$A$120,0))),IF(AND(D8="retain",E8="statistical_results"),IF(H8="","",H8),"not_applicable")=IF(INDEX('Primary_snapshot'!$D$2:$D$120,MATCH(A8,'Primary_snapshot'!$A$2:$A$120,0))="","",INDEX('Primary_snapshot'!$D$2:$D$120,MATCH(A8,'Primary_snapshot'!$A$2:$A$120,0))),IF(AND(D8="retain",E8="statistical_results"),IF(I8="","",I8),"not_applicable")=IF(INDEX('Primary_snapshot'!$E$2:$E$120,MATCH(A8,'Primary_snapshot'!$A$2:$A$120,0))="","",INDEX('Primary_snapshot'!$E$2:$E$120,MATCH(A8,'Primary_snapshot'!$A$2:$A$120,0))),IF(AND(D8="retain",E8="statistical_results"),IF(J8="","",J8),"not_applicable")=IF(INDEX('Primary_snapshot'!$F$2:$F$120,MATCH(A8,'Primary_snapshot'!$A$2:$A$120,0))="","",INDEX('Primary_snapshot'!$F$2:$F$120,MATCH(A8,'Primary_snapshot'!$A$2:$A$120,0))),IF(AND(D8="retain",OR(E8="report_internal_inconsistency",E8="plan_material")),IF(K8="","",K8),"not_applicable")=IF(INDEX('Primary_snapshot'!$G$2:$G$120,MATCH(A8,'Primary_snapshot'!$A$2:$A$120,0))="","",INDEX('Primary_snapshot'!$G$2:$G$120,MATCH(A8,'Primary_snapshot'!$A$2:$A$120,0))),IF(AND(D8="retain",E8="protocol_report"),IF(L8="","",L8),"not_applicable")=IF(INDEX('Primary_snapshot'!$H$2:$H$120,MATCH(A8,'Primary_snapshot'!$A$2:$A$120,0))="","",INDEX('Primary_snapshot'!$H$2:$H$120,MATCH(A8,'Primary_snapshot'!$A$2:$A$120,0))),IF(R8="","",R8)=IF(INDEX('Primary_snapshot'!$I$2:$I$120,MATCH(A8,'Primary_snapshot'!$A$2:$A$120,0))="","",INDEX('Primary_snapshot'!$I$2:$I$120,MATCH(A8,'Primary_snapshot'!$A$2:$A$120,0)))))),"AGREE BUT CHANGED",IF(AND(P8&lt;&gt;"",NOT(OR(P8="pending",P8="resolved"))),"CHECK RESOLUTION",IF(OR(AND(OR(D8="discuss",INDEX('Primary_snapshot'!$B$2:$B$120,MATCH(A8,'Primary_snapshot'!$A$2:$A$120,0))="discuss",N8="disagree",N8="unable"),P8&lt;&gt;"resolved"),D8="discuss"),"DISCUSS",IF(AND(P8="resolved",LEN(TRIM(Q8))=0),"RESOLUTION NOTE NEEDED",IF(F8&lt;&gt;"checker_done","CHECKER DRAFT","FINAL READY")))))))))))))),"CHECK KEY / SNAPSHOT")</x:f>
        <x:v>CHECK REVIEWER IDs</x:v>
      </x:c>
      <x:c r="H8" s="7" t="str">
        <x:f>IF(AND(OR(D8="retain",D8=""),E8="statistical_results"),"","not_applicable")</x:f>
        <x:v>not_applicable</x:v>
      </x:c>
      <x:c r="I8" s="7" t="str">
        <x:f>IF(AND(OR(D8="retain",D8=""),E8="statistical_results"),"","not_applicable")</x:f>
        <x:v>not_applicable</x:v>
      </x:c>
      <x:c r="J8" s="13" t="str">
        <x:f>IF(AND(OR(D8="retain",D8=""),E8="statistical_results"),"","not_applicable")</x:f>
        <x:v>not_applicable</x:v>
      </x:c>
      <x:c r="K8" s="7" t="str">
        <x:f>IF(AND(OR(D8="retain",D8=""),OR(E8="report_internal_inconsistency",E8="plan_material")),"","not_applicable")</x:f>
      </x:c>
      <x:c r="L8" s="13" t="str">
        <x:f>IF(AND(OR(D8="retain",D8=""),E8="protocol_report"),"","not_applicable")</x:f>
        <x:v>not_applicable</x:v>
      </x:c>
      <x:c r="M8" s="6" t="str">
        <x:f>IF(Setup!$B$6="primary","",IFERROR(IF(INDEX('Primary_snapshot'!$L$2:$L$120,MATCH(A8,'Primary_snapshot'!$A$2:$A$120,0))="","",INDEX('Primary_snapshot'!$L$2:$L$120,MATCH(A8,'Primary_snapshot'!$A$2:$A$120,0))),"SNAPSHOT MISSING"))</x:f>
      </x:c>
      <x:c r="N8" s="7" t="str"/>
      <x:c r="O8" s="7" t="str"/>
      <x:c r="P8" s="7" t="str"/>
      <x:c r="Q8" s="7" t="str"/>
      <x:c r="R8" s="13" t="str"/>
    </x:row>
  </x:sheetData>
  <x:conditionalFormatting sqref="G2:G8">
    <x:cfRule type="expression" dxfId="14" priority="1">
      <x:formula>AND(G2&lt;&gt;"PRIMARY READY",G2&lt;&gt;"FINAL READY")</x:formula>
    </x:cfRule>
  </x:conditionalFormatting>
  <x:conditionalFormatting sqref="N2:Q8">
    <x:cfRule type="expression" dxfId="15" priority="2">
      <x:formula>Setup!$B$6="primary"</x:formula>
    </x:cfRule>
  </x:conditionalFormatting>
  <x:conditionalFormatting sqref="H2:H8">
    <x:cfRule type="expression" dxfId="16" priority="3">
      <x:formula>NOT(AND(OR($D2="retain",$D2=""),$E2="statistical_results"))</x:formula>
    </x:cfRule>
  </x:conditionalFormatting>
  <x:conditionalFormatting sqref="I2:I8">
    <x:cfRule type="expression" dxfId="17" priority="4">
      <x:formula>NOT(AND(OR($D2="retain",$D2=""),$E2="statistical_results"))</x:formula>
    </x:cfRule>
  </x:conditionalFormatting>
  <x:conditionalFormatting sqref="J2:J8">
    <x:cfRule type="expression" dxfId="18" priority="5">
      <x:formula>NOT(AND(OR($D2="retain",$D2=""),$E2="statistical_results"))</x:formula>
    </x:cfRule>
  </x:conditionalFormatting>
  <x:conditionalFormatting sqref="K2:K8">
    <x:cfRule type="expression" dxfId="19" priority="6">
      <x:formula>NOT(AND(OR($D2="retain",$D2=""),OR($E2="report_internal_inconsistency",$E2="plan_material")))</x:formula>
    </x:cfRule>
  </x:conditionalFormatting>
  <x:conditionalFormatting sqref="L2:L8">
    <x:cfRule type="expression" dxfId="20" priority="7">
      <x:formula>NOT(AND(OR($D2="retain",$D2=""),$E2="protocol_report"))</x:formula>
    </x:cfRule>
  </x:conditionalFormatting>
  <x:dataValidations count="10">
    <x:dataValidation type="list" sqref="D2:D8">
      <x:formula1>"retain,exclude,discuss"</x:formula1>
    </x:dataValidation>
    <x:dataValidation type="list" sqref="E2:E8">
      <x:formula1>"statistical_results,report_internal_inconsistency,plan_material,protocol_report"</x:formula1>
    </x:dataValidation>
    <x:dataValidation type="list" sqref="F2:F8">
      <x:formula1>"no,primary_done,checker_done"</x:formula1>
    </x:dataValidation>
    <x:dataValidation type="list" sqref="H2:H8">
      <x:formula1>"confirmed_issue,probable_issue,not_issue,indeterminate,not_applicable"</x:formula1>
    </x:dataValidation>
    <x:dataValidation type="list" sqref="I2:I8">
      <x:formula1>"substantive,minor_presentation,indeterminate,not_applicable"</x:formula1>
    </x:dataValidation>
    <x:dataValidation type="list" sqref="J2:J8">
      <x:formula1>"direct,possible,unlikely,unknown,not_applicable"</x:formula1>
    </x:dataValidation>
    <x:dataValidation type="list" sqref="K2:K8">
      <x:formula1>"substantive_inconsistency,minor_presentation,non_inconsistency,indeterminate,not_applicable"</x:formula1>
    </x:dataValidation>
    <x:dataValidation type="list" sqref="L2:L8">
      <x:formula1>"substantive_difference,minor_presentation,version_timing,non_inconsistency,indeterminate,not_applicable"</x:formula1>
    </x:dataValidation>
    <x:dataValidation type="list" sqref="N2:N8">
      <x:formula1>"agree,agree_clarification,disagree,unable"</x:formula1>
    </x:dataValidation>
    <x:dataValidation type="list" sqref="P2:P8">
      <x:formula1>"pending,resolved"</x:formula1>
    </x:dataValidation>
  </x:dataValidations>
  <x:pageMargins left="0.7" right="0.7" top="0.75" bottom="0.75" header="0.3" footer="0.3"/>
  <x:tableParts count="1">
    <x:tablePart xmlns:r="http://schemas.openxmlformats.org/officeDocument/2006/relationships" r:id="Raa3896884e074b39"/>
  </x:tableParts>
</x:worksheet>
</file>

<file path=xl/worksheets/sheet8.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28" hidden="0" customWidth="1"/>
    <x:col min="3" max="3" width="22" hidden="0" customWidth="1"/>
    <x:col min="4" max="4" width="18" hidden="0" customWidth="1"/>
    <x:col min="5" max="5" width="24" hidden="0" customWidth="1"/>
    <x:col min="6" max="6" width="17" hidden="0" customWidth="1"/>
    <x:col min="7" max="7" width="25" hidden="0" customWidth="1"/>
    <x:col min="8" max="8" width="28" hidden="0" customWidth="1"/>
    <x:col min="9" max="9" width="20" hidden="0" customWidth="1"/>
    <x:col min="10" max="10" width="20" hidden="0" customWidth="1"/>
    <x:col min="11" max="11" width="34" hidden="0" customWidth="1"/>
    <x:col min="12" max="12" width="26" hidden="0" customWidth="1"/>
    <x:col min="13" max="13" width="58" hidden="0" customWidth="1"/>
    <x:col min="14" max="14" width="23" hidden="0" customWidth="1"/>
    <x:col min="15" max="15" width="32" hidden="0" customWidth="1"/>
    <x:col min="16" max="16" width="22" hidden="0" customWidth="1"/>
    <x:col min="17" max="17" width="32" hidden="0" customWidth="1"/>
    <x:col min="18" max="18" width="32" hidden="0" customWidth="1"/>
  </x:cols>
  <x:sheetData>
    <x:row r="1" ht="42" customHeight="1">
      <x:c r="A1" s="5" t="str">
        <x:v>Candidate key</x:v>
      </x:c>
      <x:c r="B1" s="5" t="str">
        <x:v>Candidate title</x:v>
      </x:c>
      <x:c r="C1" s="5" t="str">
        <x:v>Source location</x:v>
      </x:c>
      <x:c r="D1" s="5" t="str">
        <x:v>Disposition</x:v>
      </x:c>
      <x:c r="E1" s="5" t="str">
        <x:v>Review domain</x:v>
      </x:c>
      <x:c r="F1" s="5" t="str">
        <x:v>Complete</x:v>
      </x:c>
      <x:c r="G1" s="5" t="str">
        <x:v>Validation hint</x:v>
      </x:c>
      <x:c r="H1" s="5" t="str">
        <x:v>Statistcal_or_numerical issue</x:v>
      </x:c>
      <x:c r="I1" s="5" t="str">
        <x:v>Substantiveness</x:v>
      </x:c>
      <x:c r="J1" s="5" t="str">
        <x:v>Downstream impact</x:v>
      </x:c>
      <x:c r="K1" s="5" t="str">
        <x:v>Report-internal or planning-material inconsistency</x:v>
      </x:c>
      <x:c r="L1" s="5" t="str">
        <x:v>Protocol interpretation</x:v>
      </x:c>
      <x:c r="M1" s="5" t="str">
        <x:v>Primary assessment</x:v>
      </x:c>
      <x:c r="N1" s="5" t="str">
        <x:v>Checker result</x:v>
      </x:c>
      <x:c r="O1" s="5" t="str">
        <x:v>Checker comment</x:v>
      </x:c>
      <x:c r="P1" s="5" t="str">
        <x:v>Discussion resolution</x:v>
      </x:c>
      <x:c r="Q1" s="5" t="str">
        <x:v>Resolution note</x:v>
      </x:c>
      <x:c r="R1" s="5" t="str">
        <x:v>Notes (optional)</x:v>
      </x:c>
    </x:row>
    <x:row r="2" ht="92" customHeight="1">
      <x:c r="A2" s="6" t="str">
        <x:v>2018::jama.2018.14280::C001</x:v>
      </x:c>
      <x:c r="B2" s="6" t="str">
        <x:v>Reversed endpoint in the eTable 2 PEEP interquartile range</x:v>
      </x:c>
      <x:c r="C2" s="6" t="str">
        <x:v>DOC-004, Supplement 3, eTable 2, Other Mode of Ventilation, after titration on randomization day, intermediate arm, PEEP.</x:v>
      </x:c>
      <x:c r="D2" s="7" t="str"/>
      <x:c r="E2" s="7" t="str">
        <x:v>statistical_results</x:v>
      </x:c>
      <x:c r="F2" s="7" t="str">
        <x:v>no</x:v>
      </x:c>
      <x:c r="G2" s="6" t="str">
        <x:f>IFERROR(IF(NOT(OR(Setup!$B$6="primary",Setup!$B$6="checker")),"CHECK STAGE",IF(OR(LEN(TRIM(Setup!$B$2))=0,Setup!$B$2&lt;&gt;TRIM(Setup!$B$2),AND(Setup!$B$6="checker",OR(LEN(TRIM(Setup!$B$4))=0,Setup!$B$4&lt;&gt;TRIM(Setup!$B$4),LOWER(TRIM(Setup!$B$4))=LOWER(TRIM(Setup!$B$2))))),"CHECK REVIEWER IDs",IF(OR(COUNTIF($A$2:$A$24,A2)&lt;&gt;1,COUNTIF(Decisions!$C$2:$C$120,A2)&lt;&gt;1),"CHECK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FIELDS",IF(Setup!$B$6="primary",IF(OR(N2&lt;&gt;"",O2&lt;&gt;"",P2&lt;&gt;"",Q2&lt;&gt;""),"CLEAR CHECKER FIELDS",IF(OR(Setup!$B$4&lt;&gt;"",Setup!$B$5&lt;&gt;""),"CLEAR CHECKER ID",IF(F2&lt;&gt;"primary_done","PRIMARY DRAFT","PRIMARY READY"))),IF(OR(COUNTIF(Primary_snapshot!$A$2:$A$120,A2)&lt;&gt;1,INDEX('Primary_snapshot'!$J$2:$J$120,MATCH(A2,'Primary_snapshot'!$A$2:$A$120,0))&lt;&gt;"primary_done",INDEX('Primary_snapshot'!$K$2:$K$120,MATCH(A2,'Primary_snapshot'!$A$2:$A$120,0))&lt;&gt;Setup!$B$2,INDEX('Primary_snapshot'!$B$2:$B$120,MATCH(A2,'Primary_snapshot'!$A$2:$A$120,0))="NOT FROZEN",INDEX('Primary_snapshot'!$C$2:$C$120,MATCH(A2,'Primary_snapshot'!$A$2:$A$120,0))="NOT FROZEN",INDEX('Primary_snapshot'!$D$2:$D$120,MATCH(A2,'Primary_snapshot'!$A$2:$A$120,0))="NOT FROZEN",INDEX('Primary_snapshot'!$E$2:$E$120,MATCH(A2,'Primary_snapshot'!$A$2:$A$120,0))="NOT FROZEN",INDEX('Primary_snapshot'!$F$2:$F$120,MATCH(A2,'Primary_snapshot'!$A$2:$A$120,0))="NOT FROZEN",INDEX('Primary_snapshot'!$G$2:$G$120,MATCH(A2,'Primary_snapshot'!$A$2:$A$120,0))="NOT FROZEN",INDEX('Primary_snapshot'!$H$2:$H$120,MATCH(A2,'Primary_snapshot'!$A$2:$A$120,0))="NOT FROZEN",INDEX('Primary_snapshot'!$I$2:$I$120,MATCH(A2,'Primary_snapshot'!$A$2:$A$120,0))="NOT FROZEN",INDEX('Primary_snapshot'!$J$2:$J$120,MATCH(A2,'Primary_snapshot'!$A$2:$A$120,0))="NOT FROZEN",INDEX('Primary_snapshot'!$K$2:$K$120,MATCH(A2,'Primary_snapshot'!$A$2:$A$120,0))="NOT FROZEN",INDEX('Primary_snapshot'!$L$2:$L$120,MATCH(A2,'Primary_snapshot'!$A$2:$A$120,0))="NOT FROZEN"),"FREEZE SNAPSHOT",IF(NOT(OR(N2="agree",N2="agree_clarification",N2="disagree",N2="unable")),"CHECKER RESULT NEEDED",IF(AND(N2&lt;&gt;"agree",LEN(TRIM(O2))=0),"COMMENT NEEDED",IF(AND(N2="agree",NOT(AND(IF(D2="","",D2)=IF(INDEX('Primary_snapshot'!$B$2:$B$120,MATCH(A2,'Primary_snapshot'!$A$2:$A$120,0))="","",INDEX('Primary_snapshot'!$B$2:$B$120,MATCH(A2,'Primary_snapshot'!$A$2:$A$120,0))),IF(E2="","",E2)=IF(INDEX('Primary_snapshot'!$C$2:$C$120,MATCH(A2,'Primary_snapshot'!$A$2:$A$120,0))="","",INDEX('Primary_snapshot'!$C$2:$C$120,MATCH(A2,'Primary_snapshot'!$A$2:$A$120,0))),IF(AND(D2="retain",E2="statistical_results"),IF(H2="","",H2),"not_applicable")=IF(INDEX('Primary_snapshot'!$D$2:$D$120,MATCH(A2,'Primary_snapshot'!$A$2:$A$120,0))="","",INDEX('Primary_snapshot'!$D$2:$D$120,MATCH(A2,'Primary_snapshot'!$A$2:$A$120,0))),IF(AND(D2="retain",E2="statistical_results"),IF(I2="","",I2),"not_applicable")=IF(INDEX('Primary_snapshot'!$E$2:$E$120,MATCH(A2,'Primary_snapshot'!$A$2:$A$120,0))="","",INDEX('Primary_snapshot'!$E$2:$E$120,MATCH(A2,'Primary_snapshot'!$A$2:$A$120,0))),IF(AND(D2="retain",E2="statistical_results"),IF(J2="","",J2),"not_applicable")=IF(INDEX('Primary_snapshot'!$F$2:$F$120,MATCH(A2,'Primary_snapshot'!$A$2:$A$120,0))="","",INDEX('Primary_snapshot'!$F$2:$F$120,MATCH(A2,'Primary_snapshot'!$A$2:$A$120,0))),IF(AND(D2="retain",OR(E2="report_internal_inconsistency",E2="plan_material")),IF(K2="","",K2),"not_applicable")=IF(INDEX('Primary_snapshot'!$G$2:$G$120,MATCH(A2,'Primary_snapshot'!$A$2:$A$120,0))="","",INDEX('Primary_snapshot'!$G$2:$G$120,MATCH(A2,'Primary_snapshot'!$A$2:$A$120,0))),IF(AND(D2="retain",E2="protocol_report"),IF(L2="","",L2),"not_applicable")=IF(INDEX('Primary_snapshot'!$H$2:$H$120,MATCH(A2,'Primary_snapshot'!$A$2:$A$120,0))="","",INDEX('Primary_snapshot'!$H$2:$H$120,MATCH(A2,'Primary_snapshot'!$A$2:$A$120,0))),IF(R2="","",R2)=IF(INDEX('Primary_snapshot'!$I$2:$I$120,MATCH(A2,'Primary_snapshot'!$A$2:$A$120,0))="","",INDEX('Primary_snapshot'!$I$2:$I$120,MATCH(A2,'Primary_snapshot'!$A$2:$A$120,0)))))),"AGREE BUT CHANGED",IF(AND(P2&lt;&gt;"",NOT(OR(P2="pending",P2="resolved"))),"CHECK RESOLUTION",IF(OR(AND(OR(D2="discuss",INDEX('Primary_snapshot'!$B$2:$B$120,MATCH(A2,'Primary_snapshot'!$A$2:$A$120,0))="discuss",N2="disagree",N2="unable"),P2&lt;&gt;"resolved"),D2="discuss"),"DISCUSS",IF(AND(P2="resolved",LEN(TRIM(Q2))=0),"RESOLUTION NOTE NEEDED",IF(F2&lt;&gt;"checker_done","CHECKER DRAFT","FINAL READY")))))))))))))),"CHECK KEY / SNAPSHOT")</x:f>
        <x:v>CHECK REVIEWER IDs</x:v>
      </x:c>
      <x:c r="H2" s="7" t="str">
        <x:f>IF(AND(OR(D2="retain",D2=""),E2="statistical_results"),"","not_applicable")</x:f>
      </x:c>
      <x:c r="I2" s="7" t="str">
        <x:f>IF(AND(OR(D2="retain",D2=""),E2="statistical_results"),"","not_applicable")</x:f>
      </x:c>
      <x:c r="J2" s="13" t="str">
        <x:f>IF(AND(OR(D2="retain",D2=""),E2="statistical_results"),"","not_applicable")</x:f>
      </x:c>
      <x:c r="K2" s="7" t="str">
        <x:f>IF(AND(OR(D2="retain",D2=""),OR(E2="report_internal_inconsistency",E2="plan_material")),"","not_applicable")</x:f>
        <x:v>not_applicable</x:v>
      </x:c>
      <x:c r="L2" s="13" t="str">
        <x:f>IF(AND(OR(D2="retain",D2=""),E2="protocol_report"),"","not_applicable")</x:f>
        <x:v>not_applicable</x:v>
      </x:c>
      <x:c r="M2" s="6" t="str">
        <x:f>IF(Setup!$B$6="primary","",IFERROR(IF(INDEX('Primary_snapshot'!$L$2:$L$120,MATCH(A2,'Primary_snapshot'!$A$2:$A$120,0))="","",INDEX('Primary_snapshot'!$L$2:$L$120,MATCH(A2,'Primary_snapshot'!$A$2:$A$120,0))),"SNAPSHOT MISSING"))</x:f>
      </x:c>
      <x:c r="N2" s="7" t="str"/>
      <x:c r="O2" s="7" t="str"/>
      <x:c r="P2" s="7" t="str"/>
      <x:c r="Q2" s="7" t="str"/>
      <x:c r="R2" s="13" t="str"/>
    </x:row>
    <x:row r="3" ht="92" customHeight="1">
      <x:c r="A3" s="3" t="str">
        <x:v>2018::jama.2018.14280::C002</x:v>
      </x:c>
      <x:c r="B3" s="3" t="str">
        <x:v>At-risk-for-ARDS percentages use undisclosed denominators</x:v>
      </x:c>
      <x:c r="C3" s="3" t="str">
        <x:v>DOC-001, Table 1, Patients at risk for ARDS, low and intermediate arms.</x:v>
      </x:c>
      <x:c r="D3" s="7" t="str"/>
      <x:c r="E3" s="7" t="str">
        <x:v>statistical_results</x:v>
      </x:c>
      <x:c r="F3" s="7" t="str">
        <x:v>no</x:v>
      </x:c>
      <x:c r="G3" s="3" t="str">
        <x:f>IFERROR(IF(NOT(OR(Setup!$B$6="primary",Setup!$B$6="checker")),"CHECK STAGE",IF(OR(LEN(TRIM(Setup!$B$2))=0,Setup!$B$2&lt;&gt;TRIM(Setup!$B$2),AND(Setup!$B$6="checker",OR(LEN(TRIM(Setup!$B$4))=0,Setup!$B$4&lt;&gt;TRIM(Setup!$B$4),LOWER(TRIM(Setup!$B$4))=LOWER(TRIM(Setup!$B$2))))),"CHECK REVIEWER IDs",IF(OR(COUNTIF($A$2:$A$24,A3)&lt;&gt;1,COUNTIF(Decisions!$C$2:$C$120,A3)&lt;&gt;1),"CHECK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FIELDS",IF(Setup!$B$6="primary",IF(OR(N3&lt;&gt;"",O3&lt;&gt;"",P3&lt;&gt;"",Q3&lt;&gt;""),"CLEAR CHECKER FIELDS",IF(OR(Setup!$B$4&lt;&gt;"",Setup!$B$5&lt;&gt;""),"CLEAR CHECKER ID",IF(F3&lt;&gt;"primary_done","PRIMARY DRAFT","PRIMARY READY"))),IF(OR(COUNTIF(Primary_snapshot!$A$2:$A$120,A3)&lt;&gt;1,INDEX('Primary_snapshot'!$J$2:$J$120,MATCH(A3,'Primary_snapshot'!$A$2:$A$120,0))&lt;&gt;"primary_done",INDEX('Primary_snapshot'!$K$2:$K$120,MATCH(A3,'Primary_snapshot'!$A$2:$A$120,0))&lt;&gt;Setup!$B$2,INDEX('Primary_snapshot'!$B$2:$B$120,MATCH(A3,'Primary_snapshot'!$A$2:$A$120,0))="NOT FROZEN",INDEX('Primary_snapshot'!$C$2:$C$120,MATCH(A3,'Primary_snapshot'!$A$2:$A$120,0))="NOT FROZEN",INDEX('Primary_snapshot'!$D$2:$D$120,MATCH(A3,'Primary_snapshot'!$A$2:$A$120,0))="NOT FROZEN",INDEX('Primary_snapshot'!$E$2:$E$120,MATCH(A3,'Primary_snapshot'!$A$2:$A$120,0))="NOT FROZEN",INDEX('Primary_snapshot'!$F$2:$F$120,MATCH(A3,'Primary_snapshot'!$A$2:$A$120,0))="NOT FROZEN",INDEX('Primary_snapshot'!$G$2:$G$120,MATCH(A3,'Primary_snapshot'!$A$2:$A$120,0))="NOT FROZEN",INDEX('Primary_snapshot'!$H$2:$H$120,MATCH(A3,'Primary_snapshot'!$A$2:$A$120,0))="NOT FROZEN",INDEX('Primary_snapshot'!$I$2:$I$120,MATCH(A3,'Primary_snapshot'!$A$2:$A$120,0))="NOT FROZEN",INDEX('Primary_snapshot'!$J$2:$J$120,MATCH(A3,'Primary_snapshot'!$A$2:$A$120,0))="NOT FROZEN",INDEX('Primary_snapshot'!$K$2:$K$120,MATCH(A3,'Primary_snapshot'!$A$2:$A$120,0))="NOT FROZEN",INDEX('Primary_snapshot'!$L$2:$L$120,MATCH(A3,'Primary_snapshot'!$A$2:$A$120,0))="NOT FROZEN"),"FREEZE SNAPSHOT",IF(NOT(OR(N3="agree",N3="agree_clarification",N3="disagree",N3="unable")),"CHECKER RESULT NEEDED",IF(AND(N3&lt;&gt;"agree",LEN(TRIM(O3))=0),"COMMENT NEEDED",IF(AND(N3="agree",NOT(AND(IF(D3="","",D3)=IF(INDEX('Primary_snapshot'!$B$2:$B$120,MATCH(A3,'Primary_snapshot'!$A$2:$A$120,0))="","",INDEX('Primary_snapshot'!$B$2:$B$120,MATCH(A3,'Primary_snapshot'!$A$2:$A$120,0))),IF(E3="","",E3)=IF(INDEX('Primary_snapshot'!$C$2:$C$120,MATCH(A3,'Primary_snapshot'!$A$2:$A$120,0))="","",INDEX('Primary_snapshot'!$C$2:$C$120,MATCH(A3,'Primary_snapshot'!$A$2:$A$120,0))),IF(AND(D3="retain",E3="statistical_results"),IF(H3="","",H3),"not_applicable")=IF(INDEX('Primary_snapshot'!$D$2:$D$120,MATCH(A3,'Primary_snapshot'!$A$2:$A$120,0))="","",INDEX('Primary_snapshot'!$D$2:$D$120,MATCH(A3,'Primary_snapshot'!$A$2:$A$120,0))),IF(AND(D3="retain",E3="statistical_results"),IF(I3="","",I3),"not_applicable")=IF(INDEX('Primary_snapshot'!$E$2:$E$120,MATCH(A3,'Primary_snapshot'!$A$2:$A$120,0))="","",INDEX('Primary_snapshot'!$E$2:$E$120,MATCH(A3,'Primary_snapshot'!$A$2:$A$120,0))),IF(AND(D3="retain",E3="statistical_results"),IF(J3="","",J3),"not_applicable")=IF(INDEX('Primary_snapshot'!$F$2:$F$120,MATCH(A3,'Primary_snapshot'!$A$2:$A$120,0))="","",INDEX('Primary_snapshot'!$F$2:$F$120,MATCH(A3,'Primary_snapshot'!$A$2:$A$120,0))),IF(AND(D3="retain",OR(E3="report_internal_inconsistency",E3="plan_material")),IF(K3="","",K3),"not_applicable")=IF(INDEX('Primary_snapshot'!$G$2:$G$120,MATCH(A3,'Primary_snapshot'!$A$2:$A$120,0))="","",INDEX('Primary_snapshot'!$G$2:$G$120,MATCH(A3,'Primary_snapshot'!$A$2:$A$120,0))),IF(AND(D3="retain",E3="protocol_report"),IF(L3="","",L3),"not_applicable")=IF(INDEX('Primary_snapshot'!$H$2:$H$120,MATCH(A3,'Primary_snapshot'!$A$2:$A$120,0))="","",INDEX('Primary_snapshot'!$H$2:$H$120,MATCH(A3,'Primary_snapshot'!$A$2:$A$120,0))),IF(R3="","",R3)=IF(INDEX('Primary_snapshot'!$I$2:$I$120,MATCH(A3,'Primary_snapshot'!$A$2:$A$120,0))="","",INDEX('Primary_snapshot'!$I$2:$I$120,MATCH(A3,'Primary_snapshot'!$A$2:$A$120,0)))))),"AGREE BUT CHANGED",IF(AND(P3&lt;&gt;"",NOT(OR(P3="pending",P3="resolved"))),"CHECK RESOLUTION",IF(OR(AND(OR(D3="discuss",INDEX('Primary_snapshot'!$B$2:$B$120,MATCH(A3,'Primary_snapshot'!$A$2:$A$120,0))="discuss",N3="disagree",N3="unable"),P3&lt;&gt;"resolved"),D3="discuss"),"DISCUSS",IF(AND(P3="resolved",LEN(TRIM(Q3))=0),"RESOLUTION NOTE NEEDED",IF(F3&lt;&gt;"checker_done","CHECKER DRAFT","FINAL READY")))))))))))))),"CHECK KEY / SNAPSHOT")</x:f>
        <x:v>CHECK REVIEWER IDs</x:v>
      </x:c>
      <x:c r="H3" s="7" t="str">
        <x:f>IF(AND(OR(D3="retain",D3=""),E3="statistical_results"),"","not_applicable")</x:f>
      </x:c>
      <x:c r="I3" s="7" t="str">
        <x:f>IF(AND(OR(D3="retain",D3=""),E3="statistical_results"),"","not_applicable")</x:f>
      </x:c>
      <x:c r="J3" s="13" t="str">
        <x:f>IF(AND(OR(D3="retain",D3=""),E3="statistical_results"),"","not_applicable")</x:f>
      </x:c>
      <x:c r="K3" s="7" t="str">
        <x:f>IF(AND(OR(D3="retain",D3=""),OR(E3="report_internal_inconsistency",E3="plan_material")),"","not_applicable")</x:f>
        <x:v>not_applicable</x:v>
      </x:c>
      <x:c r="L3" s="13" t="str">
        <x:f>IF(AND(OR(D3="retain",D3=""),E3="protocol_report"),"","not_applicable")</x:f>
        <x:v>not_applicable</x:v>
      </x:c>
      <x:c r="M3" s="3" t="str">
        <x:f>IF(Setup!$B$6="primary","",IFERROR(IF(INDEX('Primary_snapshot'!$L$2:$L$120,MATCH(A3,'Primary_snapshot'!$A$2:$A$120,0))="","",INDEX('Primary_snapshot'!$L$2:$L$120,MATCH(A3,'Primary_snapshot'!$A$2:$A$120,0))),"SNAPSHOT MISSING"))</x:f>
      </x:c>
      <x:c r="N3" s="7" t="str"/>
      <x:c r="O3" s="7" t="str"/>
      <x:c r="P3" s="7" t="str"/>
      <x:c r="Q3" s="7" t="str"/>
      <x:c r="R3" s="13" t="str"/>
    </x:row>
    <x:row r="4" ht="92" customHeight="1">
      <x:c r="A4" s="6" t="str">
        <x:v>2018::jama.2018.14280::C003</x:v>
      </x:c>
      <x:c r="B4" s="6" t="str">
        <x:v>Septic-shock percentages use undisclosed denominators</x:v>
      </x:c>
      <x:c r="C4" s="6" t="str">
        <x:v>DOC-001, Table 1, Septic shock, low and intermediate arms.</x:v>
      </x:c>
      <x:c r="D4" s="7" t="str"/>
      <x:c r="E4" s="7" t="str">
        <x:v>statistical_results</x:v>
      </x:c>
      <x:c r="F4" s="7" t="str">
        <x:v>no</x:v>
      </x:c>
      <x:c r="G4" s="6" t="str">
        <x:f>IFERROR(IF(NOT(OR(Setup!$B$6="primary",Setup!$B$6="checker")),"CHECK STAGE",IF(OR(LEN(TRIM(Setup!$B$2))=0,Setup!$B$2&lt;&gt;TRIM(Setup!$B$2),AND(Setup!$B$6="checker",OR(LEN(TRIM(Setup!$B$4))=0,Setup!$B$4&lt;&gt;TRIM(Setup!$B$4),LOWER(TRIM(Setup!$B$4))=LOWER(TRIM(Setup!$B$2))))),"CHECK REVIEWER IDs",IF(OR(COUNTIF($A$2:$A$24,A4)&lt;&gt;1,COUNTIF(Decisions!$C$2:$C$120,A4)&lt;&gt;1),"CHECK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FIELDS",IF(Setup!$B$6="primary",IF(OR(N4&lt;&gt;"",O4&lt;&gt;"",P4&lt;&gt;"",Q4&lt;&gt;""),"CLEAR CHECKER FIELDS",IF(OR(Setup!$B$4&lt;&gt;"",Setup!$B$5&lt;&gt;""),"CLEAR CHECKER ID",IF(F4&lt;&gt;"primary_done","PRIMARY DRAFT","PRIMARY READY"))),IF(OR(COUNTIF(Primary_snapshot!$A$2:$A$120,A4)&lt;&gt;1,INDEX('Primary_snapshot'!$J$2:$J$120,MATCH(A4,'Primary_snapshot'!$A$2:$A$120,0))&lt;&gt;"primary_done",INDEX('Primary_snapshot'!$K$2:$K$120,MATCH(A4,'Primary_snapshot'!$A$2:$A$120,0))&lt;&gt;Setup!$B$2,INDEX('Primary_snapshot'!$B$2:$B$120,MATCH(A4,'Primary_snapshot'!$A$2:$A$120,0))="NOT FROZEN",INDEX('Primary_snapshot'!$C$2:$C$120,MATCH(A4,'Primary_snapshot'!$A$2:$A$120,0))="NOT FROZEN",INDEX('Primary_snapshot'!$D$2:$D$120,MATCH(A4,'Primary_snapshot'!$A$2:$A$120,0))="NOT FROZEN",INDEX('Primary_snapshot'!$E$2:$E$120,MATCH(A4,'Primary_snapshot'!$A$2:$A$120,0))="NOT FROZEN",INDEX('Primary_snapshot'!$F$2:$F$120,MATCH(A4,'Primary_snapshot'!$A$2:$A$120,0))="NOT FROZEN",INDEX('Primary_snapshot'!$G$2:$G$120,MATCH(A4,'Primary_snapshot'!$A$2:$A$120,0))="NOT FROZEN",INDEX('Primary_snapshot'!$H$2:$H$120,MATCH(A4,'Primary_snapshot'!$A$2:$A$120,0))="NOT FROZEN",INDEX('Primary_snapshot'!$I$2:$I$120,MATCH(A4,'Primary_snapshot'!$A$2:$A$120,0))="NOT FROZEN",INDEX('Primary_snapshot'!$J$2:$J$120,MATCH(A4,'Primary_snapshot'!$A$2:$A$120,0))="NOT FROZEN",INDEX('Primary_snapshot'!$K$2:$K$120,MATCH(A4,'Primary_snapshot'!$A$2:$A$120,0))="NOT FROZEN",INDEX('Primary_snapshot'!$L$2:$L$120,MATCH(A4,'Primary_snapshot'!$A$2:$A$120,0))="NOT FROZEN"),"FREEZE SNAPSHOT",IF(NOT(OR(N4="agree",N4="agree_clarification",N4="disagree",N4="unable")),"CHECKER RESULT NEEDED",IF(AND(N4&lt;&gt;"agree",LEN(TRIM(O4))=0),"COMMENT NEEDED",IF(AND(N4="agree",NOT(AND(IF(D4="","",D4)=IF(INDEX('Primary_snapshot'!$B$2:$B$120,MATCH(A4,'Primary_snapshot'!$A$2:$A$120,0))="","",INDEX('Primary_snapshot'!$B$2:$B$120,MATCH(A4,'Primary_snapshot'!$A$2:$A$120,0))),IF(E4="","",E4)=IF(INDEX('Primary_snapshot'!$C$2:$C$120,MATCH(A4,'Primary_snapshot'!$A$2:$A$120,0))="","",INDEX('Primary_snapshot'!$C$2:$C$120,MATCH(A4,'Primary_snapshot'!$A$2:$A$120,0))),IF(AND(D4="retain",E4="statistical_results"),IF(H4="","",H4),"not_applicable")=IF(INDEX('Primary_snapshot'!$D$2:$D$120,MATCH(A4,'Primary_snapshot'!$A$2:$A$120,0))="","",INDEX('Primary_snapshot'!$D$2:$D$120,MATCH(A4,'Primary_snapshot'!$A$2:$A$120,0))),IF(AND(D4="retain",E4="statistical_results"),IF(I4="","",I4),"not_applicable")=IF(INDEX('Primary_snapshot'!$E$2:$E$120,MATCH(A4,'Primary_snapshot'!$A$2:$A$120,0))="","",INDEX('Primary_snapshot'!$E$2:$E$120,MATCH(A4,'Primary_snapshot'!$A$2:$A$120,0))),IF(AND(D4="retain",E4="statistical_results"),IF(J4="","",J4),"not_applicable")=IF(INDEX('Primary_snapshot'!$F$2:$F$120,MATCH(A4,'Primary_snapshot'!$A$2:$A$120,0))="","",INDEX('Primary_snapshot'!$F$2:$F$120,MATCH(A4,'Primary_snapshot'!$A$2:$A$120,0))),IF(AND(D4="retain",OR(E4="report_internal_inconsistency",E4="plan_material")),IF(K4="","",K4),"not_applicable")=IF(INDEX('Primary_snapshot'!$G$2:$G$120,MATCH(A4,'Primary_snapshot'!$A$2:$A$120,0))="","",INDEX('Primary_snapshot'!$G$2:$G$120,MATCH(A4,'Primary_snapshot'!$A$2:$A$120,0))),IF(AND(D4="retain",E4="protocol_report"),IF(L4="","",L4),"not_applicable")=IF(INDEX('Primary_snapshot'!$H$2:$H$120,MATCH(A4,'Primary_snapshot'!$A$2:$A$120,0))="","",INDEX('Primary_snapshot'!$H$2:$H$120,MATCH(A4,'Primary_snapshot'!$A$2:$A$120,0))),IF(R4="","",R4)=IF(INDEX('Primary_snapshot'!$I$2:$I$120,MATCH(A4,'Primary_snapshot'!$A$2:$A$120,0))="","",INDEX('Primary_snapshot'!$I$2:$I$120,MATCH(A4,'Primary_snapshot'!$A$2:$A$120,0)))))),"AGREE BUT CHANGED",IF(AND(P4&lt;&gt;"",NOT(OR(P4="pending",P4="resolved"))),"CHECK RESOLUTION",IF(OR(AND(OR(D4="discuss",INDEX('Primary_snapshot'!$B$2:$B$120,MATCH(A4,'Primary_snapshot'!$A$2:$A$120,0))="discuss",N4="disagree",N4="unable"),P4&lt;&gt;"resolved"),D4="discuss"),"DISCUSS",IF(AND(P4="resolved",LEN(TRIM(Q4))=0),"RESOLUTION NOTE NEEDED",IF(F4&lt;&gt;"checker_done","CHECKER DRAFT","FINAL READY")))))))))))))),"CHECK KEY / SNAPSHOT")</x:f>
        <x:v>CHECK REVIEWER IDs</x:v>
      </x:c>
      <x:c r="H4" s="7" t="str">
        <x:f>IF(AND(OR(D4="retain",D4=""),E4="statistical_results"),"","not_applicable")</x:f>
      </x:c>
      <x:c r="I4" s="7" t="str">
        <x:f>IF(AND(OR(D4="retain",D4=""),E4="statistical_results"),"","not_applicable")</x:f>
      </x:c>
      <x:c r="J4" s="13" t="str">
        <x:f>IF(AND(OR(D4="retain",D4=""),E4="statistical_results"),"","not_applicable")</x:f>
      </x:c>
      <x:c r="K4" s="7" t="str">
        <x:f>IF(AND(OR(D4="retain",D4=""),OR(E4="report_internal_inconsistency",E4="plan_material")),"","not_applicable")</x:f>
        <x:v>not_applicable</x:v>
      </x:c>
      <x:c r="L4" s="13" t="str">
        <x:f>IF(AND(OR(D4="retain",D4=""),E4="protocol_report"),"","not_applicable")</x:f>
        <x:v>not_applicable</x:v>
      </x:c>
      <x:c r="M4" s="6" t="str">
        <x:f>IF(Setup!$B$6="primary","",IFERROR(IF(INDEX('Primary_snapshot'!$L$2:$L$120,MATCH(A4,'Primary_snapshot'!$A$2:$A$120,0))="","",INDEX('Primary_snapshot'!$L$2:$L$120,MATCH(A4,'Primary_snapshot'!$A$2:$A$120,0))),"SNAPSHOT MISSING"))</x:f>
      </x:c>
      <x:c r="N4" s="7" t="str"/>
      <x:c r="O4" s="7" t="str"/>
      <x:c r="P4" s="7" t="str"/>
      <x:c r="Q4" s="7" t="str"/>
      <x:c r="R4" s="13" t="str"/>
    </x:row>
    <x:row r="5" ht="92" customHeight="1">
      <x:c r="A5" s="3" t="str">
        <x:v>2018::jama.2018.14280::C004</x:v>
      </x:c>
      <x:c r="B5" s="3" t="str">
        <x:v>Tobacco-use categories use undisclosed denominators</x:v>
      </x:c>
      <x:c r="C5" s="3" t="str">
        <x:v>DOC-001, Table 1, Patient tobacco use, both arms.</x:v>
      </x:c>
      <x:c r="D5" s="7" t="str"/>
      <x:c r="E5" s="7" t="str">
        <x:v>statistical_results</x:v>
      </x:c>
      <x:c r="F5" s="7" t="str">
        <x:v>no</x:v>
      </x:c>
      <x:c r="G5" s="3" t="str">
        <x:f>IFERROR(IF(NOT(OR(Setup!$B$6="primary",Setup!$B$6="checker")),"CHECK STAGE",IF(OR(LEN(TRIM(Setup!$B$2))=0,Setup!$B$2&lt;&gt;TRIM(Setup!$B$2),AND(Setup!$B$6="checker",OR(LEN(TRIM(Setup!$B$4))=0,Setup!$B$4&lt;&gt;TRIM(Setup!$B$4),LOWER(TRIM(Setup!$B$4))=LOWER(TRIM(Setup!$B$2))))),"CHECK REVIEWER IDs",IF(OR(COUNTIF($A$2:$A$24,A5)&lt;&gt;1,COUNTIF(Decisions!$C$2:$C$120,A5)&lt;&gt;1),"CHECK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FIELDS",IF(Setup!$B$6="primary",IF(OR(N5&lt;&gt;"",O5&lt;&gt;"",P5&lt;&gt;"",Q5&lt;&gt;""),"CLEAR CHECKER FIELDS",IF(OR(Setup!$B$4&lt;&gt;"",Setup!$B$5&lt;&gt;""),"CLEAR CHECKER ID",IF(F5&lt;&gt;"primary_done","PRIMARY DRAFT","PRIMARY READY"))),IF(OR(COUNTIF(Primary_snapshot!$A$2:$A$120,A5)&lt;&gt;1,INDEX('Primary_snapshot'!$J$2:$J$120,MATCH(A5,'Primary_snapshot'!$A$2:$A$120,0))&lt;&gt;"primary_done",INDEX('Primary_snapshot'!$K$2:$K$120,MATCH(A5,'Primary_snapshot'!$A$2:$A$120,0))&lt;&gt;Setup!$B$2,INDEX('Primary_snapshot'!$B$2:$B$120,MATCH(A5,'Primary_snapshot'!$A$2:$A$120,0))="NOT FROZEN",INDEX('Primary_snapshot'!$C$2:$C$120,MATCH(A5,'Primary_snapshot'!$A$2:$A$120,0))="NOT FROZEN",INDEX('Primary_snapshot'!$D$2:$D$120,MATCH(A5,'Primary_snapshot'!$A$2:$A$120,0))="NOT FROZEN",INDEX('Primary_snapshot'!$E$2:$E$120,MATCH(A5,'Primary_snapshot'!$A$2:$A$120,0))="NOT FROZEN",INDEX('Primary_snapshot'!$F$2:$F$120,MATCH(A5,'Primary_snapshot'!$A$2:$A$120,0))="NOT FROZEN",INDEX('Primary_snapshot'!$G$2:$G$120,MATCH(A5,'Primary_snapshot'!$A$2:$A$120,0))="NOT FROZEN",INDEX('Primary_snapshot'!$H$2:$H$120,MATCH(A5,'Primary_snapshot'!$A$2:$A$120,0))="NOT FROZEN",INDEX('Primary_snapshot'!$I$2:$I$120,MATCH(A5,'Primary_snapshot'!$A$2:$A$120,0))="NOT FROZEN",INDEX('Primary_snapshot'!$J$2:$J$120,MATCH(A5,'Primary_snapshot'!$A$2:$A$120,0))="NOT FROZEN",INDEX('Primary_snapshot'!$K$2:$K$120,MATCH(A5,'Primary_snapshot'!$A$2:$A$120,0))="NOT FROZEN",INDEX('Primary_snapshot'!$L$2:$L$120,MATCH(A5,'Primary_snapshot'!$A$2:$A$120,0))="NOT FROZEN"),"FREEZE SNAPSHOT",IF(NOT(OR(N5="agree",N5="agree_clarification",N5="disagree",N5="unable")),"CHECKER RESULT NEEDED",IF(AND(N5&lt;&gt;"agree",LEN(TRIM(O5))=0),"COMMENT NEEDED",IF(AND(N5="agree",NOT(AND(IF(D5="","",D5)=IF(INDEX('Primary_snapshot'!$B$2:$B$120,MATCH(A5,'Primary_snapshot'!$A$2:$A$120,0))="","",INDEX('Primary_snapshot'!$B$2:$B$120,MATCH(A5,'Primary_snapshot'!$A$2:$A$120,0))),IF(E5="","",E5)=IF(INDEX('Primary_snapshot'!$C$2:$C$120,MATCH(A5,'Primary_snapshot'!$A$2:$A$120,0))="","",INDEX('Primary_snapshot'!$C$2:$C$120,MATCH(A5,'Primary_snapshot'!$A$2:$A$120,0))),IF(AND(D5="retain",E5="statistical_results"),IF(H5="","",H5),"not_applicable")=IF(INDEX('Primary_snapshot'!$D$2:$D$120,MATCH(A5,'Primary_snapshot'!$A$2:$A$120,0))="","",INDEX('Primary_snapshot'!$D$2:$D$120,MATCH(A5,'Primary_snapshot'!$A$2:$A$120,0))),IF(AND(D5="retain",E5="statistical_results"),IF(I5="","",I5),"not_applicable")=IF(INDEX('Primary_snapshot'!$E$2:$E$120,MATCH(A5,'Primary_snapshot'!$A$2:$A$120,0))="","",INDEX('Primary_snapshot'!$E$2:$E$120,MATCH(A5,'Primary_snapshot'!$A$2:$A$120,0))),IF(AND(D5="retain",E5="statistical_results"),IF(J5="","",J5),"not_applicable")=IF(INDEX('Primary_snapshot'!$F$2:$F$120,MATCH(A5,'Primary_snapshot'!$A$2:$A$120,0))="","",INDEX('Primary_snapshot'!$F$2:$F$120,MATCH(A5,'Primary_snapshot'!$A$2:$A$120,0))),IF(AND(D5="retain",OR(E5="report_internal_inconsistency",E5="plan_material")),IF(K5="","",K5),"not_applicable")=IF(INDEX('Primary_snapshot'!$G$2:$G$120,MATCH(A5,'Primary_snapshot'!$A$2:$A$120,0))="","",INDEX('Primary_snapshot'!$G$2:$G$120,MATCH(A5,'Primary_snapshot'!$A$2:$A$120,0))),IF(AND(D5="retain",E5="protocol_report"),IF(L5="","",L5),"not_applicable")=IF(INDEX('Primary_snapshot'!$H$2:$H$120,MATCH(A5,'Primary_snapshot'!$A$2:$A$120,0))="","",INDEX('Primary_snapshot'!$H$2:$H$120,MATCH(A5,'Primary_snapshot'!$A$2:$A$120,0))),IF(R5="","",R5)=IF(INDEX('Primary_snapshot'!$I$2:$I$120,MATCH(A5,'Primary_snapshot'!$A$2:$A$120,0))="","",INDEX('Primary_snapshot'!$I$2:$I$120,MATCH(A5,'Primary_snapshot'!$A$2:$A$120,0)))))),"AGREE BUT CHANGED",IF(AND(P5&lt;&gt;"",NOT(OR(P5="pending",P5="resolved"))),"CHECK RESOLUTION",IF(OR(AND(OR(D5="discuss",INDEX('Primary_snapshot'!$B$2:$B$120,MATCH(A5,'Primary_snapshot'!$A$2:$A$120,0))="discuss",N5="disagree",N5="unable"),P5&lt;&gt;"resolved"),D5="discuss"),"DISCUSS",IF(AND(P5="resolved",LEN(TRIM(Q5))=0),"RESOLUTION NOTE NEEDED",IF(F5&lt;&gt;"checker_done","CHECKER DRAFT","FINAL READY")))))))))))))),"CHECK KEY / SNAPSHOT")</x:f>
        <x:v>CHECK REVIEWER IDs</x:v>
      </x:c>
      <x:c r="H5" s="7" t="str">
        <x:f>IF(AND(OR(D5="retain",D5=""),E5="statistical_results"),"","not_applicable")</x:f>
      </x:c>
      <x:c r="I5" s="7" t="str">
        <x:f>IF(AND(OR(D5="retain",D5=""),E5="statistical_results"),"","not_applicable")</x:f>
      </x:c>
      <x:c r="J5" s="13" t="str">
        <x:f>IF(AND(OR(D5="retain",D5=""),E5="statistical_results"),"","not_applicable")</x:f>
      </x:c>
      <x:c r="K5" s="7" t="str">
        <x:f>IF(AND(OR(D5="retain",D5=""),OR(E5="report_internal_inconsistency",E5="plan_material")),"","not_applicable")</x:f>
        <x:v>not_applicable</x:v>
      </x:c>
      <x:c r="L5" s="13" t="str">
        <x:f>IF(AND(OR(D5="retain",D5=""),E5="protocol_report"),"","not_applicable")</x:f>
        <x:v>not_applicable</x:v>
      </x:c>
      <x:c r="M5" s="3" t="str">
        <x:f>IF(Setup!$B$6="primary","",IFERROR(IF(INDEX('Primary_snapshot'!$L$2:$L$120,MATCH(A5,'Primary_snapshot'!$A$2:$A$120,0))="","",INDEX('Primary_snapshot'!$L$2:$L$120,MATCH(A5,'Primary_snapshot'!$A$2:$A$120,0))),"SNAPSHOT MISSING"))</x:f>
      </x:c>
      <x:c r="N5" s="7" t="str"/>
      <x:c r="O5" s="7" t="str"/>
      <x:c r="P5" s="7" t="str"/>
      <x:c r="Q5" s="7" t="str"/>
      <x:c r="R5" s="13" t="str"/>
    </x:row>
    <x:row r="6" ht="92" customHeight="1">
      <x:c r="A6" s="6" t="str">
        <x:v>2018::jama.2018.14280::C005</x:v>
      </x:c>
      <x:c r="B6" s="6" t="str">
        <x:v>Alcohol-use categories use undisclosed denominators</x:v>
      </x:c>
      <x:c r="C6" s="6" t="str">
        <x:v>DOC-001, Table 1, Patient alcohol use, both arms.</x:v>
      </x:c>
      <x:c r="D6" s="7" t="str"/>
      <x:c r="E6" s="7" t="str">
        <x:v>statistical_results</x:v>
      </x:c>
      <x:c r="F6" s="7" t="str">
        <x:v>no</x:v>
      </x:c>
      <x:c r="G6" s="6" t="str">
        <x:f>IFERROR(IF(NOT(OR(Setup!$B$6="primary",Setup!$B$6="checker")),"CHECK STAGE",IF(OR(LEN(TRIM(Setup!$B$2))=0,Setup!$B$2&lt;&gt;TRIM(Setup!$B$2),AND(Setup!$B$6="checker",OR(LEN(TRIM(Setup!$B$4))=0,Setup!$B$4&lt;&gt;TRIM(Setup!$B$4),LOWER(TRIM(Setup!$B$4))=LOWER(TRIM(Setup!$B$2))))),"CHECK REVIEWER IDs",IF(OR(COUNTIF($A$2:$A$24,A6)&lt;&gt;1,COUNTIF(Decisions!$C$2:$C$120,A6)&lt;&gt;1),"CHECK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FIELDS",IF(Setup!$B$6="primary",IF(OR(N6&lt;&gt;"",O6&lt;&gt;"",P6&lt;&gt;"",Q6&lt;&gt;""),"CLEAR CHECKER FIELDS",IF(OR(Setup!$B$4&lt;&gt;"",Setup!$B$5&lt;&gt;""),"CLEAR CHECKER ID",IF(F6&lt;&gt;"primary_done","PRIMARY DRAFT","PRIMARY READY"))),IF(OR(COUNTIF(Primary_snapshot!$A$2:$A$120,A6)&lt;&gt;1,INDEX('Primary_snapshot'!$J$2:$J$120,MATCH(A6,'Primary_snapshot'!$A$2:$A$120,0))&lt;&gt;"primary_done",INDEX('Primary_snapshot'!$K$2:$K$120,MATCH(A6,'Primary_snapshot'!$A$2:$A$120,0))&lt;&gt;Setup!$B$2,INDEX('Primary_snapshot'!$B$2:$B$120,MATCH(A6,'Primary_snapshot'!$A$2:$A$120,0))="NOT FROZEN",INDEX('Primary_snapshot'!$C$2:$C$120,MATCH(A6,'Primary_snapshot'!$A$2:$A$120,0))="NOT FROZEN",INDEX('Primary_snapshot'!$D$2:$D$120,MATCH(A6,'Primary_snapshot'!$A$2:$A$120,0))="NOT FROZEN",INDEX('Primary_snapshot'!$E$2:$E$120,MATCH(A6,'Primary_snapshot'!$A$2:$A$120,0))="NOT FROZEN",INDEX('Primary_snapshot'!$F$2:$F$120,MATCH(A6,'Primary_snapshot'!$A$2:$A$120,0))="NOT FROZEN",INDEX('Primary_snapshot'!$G$2:$G$120,MATCH(A6,'Primary_snapshot'!$A$2:$A$120,0))="NOT FROZEN",INDEX('Primary_snapshot'!$H$2:$H$120,MATCH(A6,'Primary_snapshot'!$A$2:$A$120,0))="NOT FROZEN",INDEX('Primary_snapshot'!$I$2:$I$120,MATCH(A6,'Primary_snapshot'!$A$2:$A$120,0))="NOT FROZEN",INDEX('Primary_snapshot'!$J$2:$J$120,MATCH(A6,'Primary_snapshot'!$A$2:$A$120,0))="NOT FROZEN",INDEX('Primary_snapshot'!$K$2:$K$120,MATCH(A6,'Primary_snapshot'!$A$2:$A$120,0))="NOT FROZEN",INDEX('Primary_snapshot'!$L$2:$L$120,MATCH(A6,'Primary_snapshot'!$A$2:$A$120,0))="NOT FROZEN"),"FREEZE SNAPSHOT",IF(NOT(OR(N6="agree",N6="agree_clarification",N6="disagree",N6="unable")),"CHECKER RESULT NEEDED",IF(AND(N6&lt;&gt;"agree",LEN(TRIM(O6))=0),"COMMENT NEEDED",IF(AND(N6="agree",NOT(AND(IF(D6="","",D6)=IF(INDEX('Primary_snapshot'!$B$2:$B$120,MATCH(A6,'Primary_snapshot'!$A$2:$A$120,0))="","",INDEX('Primary_snapshot'!$B$2:$B$120,MATCH(A6,'Primary_snapshot'!$A$2:$A$120,0))),IF(E6="","",E6)=IF(INDEX('Primary_snapshot'!$C$2:$C$120,MATCH(A6,'Primary_snapshot'!$A$2:$A$120,0))="","",INDEX('Primary_snapshot'!$C$2:$C$120,MATCH(A6,'Primary_snapshot'!$A$2:$A$120,0))),IF(AND(D6="retain",E6="statistical_results"),IF(H6="","",H6),"not_applicable")=IF(INDEX('Primary_snapshot'!$D$2:$D$120,MATCH(A6,'Primary_snapshot'!$A$2:$A$120,0))="","",INDEX('Primary_snapshot'!$D$2:$D$120,MATCH(A6,'Primary_snapshot'!$A$2:$A$120,0))),IF(AND(D6="retain",E6="statistical_results"),IF(I6="","",I6),"not_applicable")=IF(INDEX('Primary_snapshot'!$E$2:$E$120,MATCH(A6,'Primary_snapshot'!$A$2:$A$120,0))="","",INDEX('Primary_snapshot'!$E$2:$E$120,MATCH(A6,'Primary_snapshot'!$A$2:$A$120,0))),IF(AND(D6="retain",E6="statistical_results"),IF(J6="","",J6),"not_applicable")=IF(INDEX('Primary_snapshot'!$F$2:$F$120,MATCH(A6,'Primary_snapshot'!$A$2:$A$120,0))="","",INDEX('Primary_snapshot'!$F$2:$F$120,MATCH(A6,'Primary_snapshot'!$A$2:$A$120,0))),IF(AND(D6="retain",OR(E6="report_internal_inconsistency",E6="plan_material")),IF(K6="","",K6),"not_applicable")=IF(INDEX('Primary_snapshot'!$G$2:$G$120,MATCH(A6,'Primary_snapshot'!$A$2:$A$120,0))="","",INDEX('Primary_snapshot'!$G$2:$G$120,MATCH(A6,'Primary_snapshot'!$A$2:$A$120,0))),IF(AND(D6="retain",E6="protocol_report"),IF(L6="","",L6),"not_applicable")=IF(INDEX('Primary_snapshot'!$H$2:$H$120,MATCH(A6,'Primary_snapshot'!$A$2:$A$120,0))="","",INDEX('Primary_snapshot'!$H$2:$H$120,MATCH(A6,'Primary_snapshot'!$A$2:$A$120,0))),IF(R6="","",R6)=IF(INDEX('Primary_snapshot'!$I$2:$I$120,MATCH(A6,'Primary_snapshot'!$A$2:$A$120,0))="","",INDEX('Primary_snapshot'!$I$2:$I$120,MATCH(A6,'Primary_snapshot'!$A$2:$A$120,0)))))),"AGREE BUT CHANGED",IF(AND(P6&lt;&gt;"",NOT(OR(P6="pending",P6="resolved"))),"CHECK RESOLUTION",IF(OR(AND(OR(D6="discuss",INDEX('Primary_snapshot'!$B$2:$B$120,MATCH(A6,'Primary_snapshot'!$A$2:$A$120,0))="discuss",N6="disagree",N6="unable"),P6&lt;&gt;"resolved"),D6="discuss"),"DISCUSS",IF(AND(P6="resolved",LEN(TRIM(Q6))=0),"RESOLUTION NOTE NEEDED",IF(F6&lt;&gt;"checker_done","CHECKER DRAFT","FINAL READY")))))))))))))),"CHECK KEY / SNAPSHOT")</x:f>
        <x:v>CHECK REVIEWER IDs</x:v>
      </x:c>
      <x:c r="H6" s="7" t="str">
        <x:f>IF(AND(OR(D6="retain",D6=""),E6="statistical_results"),"","not_applicable")</x:f>
      </x:c>
      <x:c r="I6" s="7" t="str">
        <x:f>IF(AND(OR(D6="retain",D6=""),E6="statistical_results"),"","not_applicable")</x:f>
      </x:c>
      <x:c r="J6" s="13" t="str">
        <x:f>IF(AND(OR(D6="retain",D6=""),E6="statistical_results"),"","not_applicable")</x:f>
      </x:c>
      <x:c r="K6" s="7" t="str">
        <x:f>IF(AND(OR(D6="retain",D6=""),OR(E6="report_internal_inconsistency",E6="plan_material")),"","not_applicable")</x:f>
        <x:v>not_applicable</x:v>
      </x:c>
      <x:c r="L6" s="13" t="str">
        <x:f>IF(AND(OR(D6="retain",D6=""),E6="protocol_report"),"","not_applicable")</x:f>
        <x:v>not_applicable</x:v>
      </x:c>
      <x:c r="M6" s="6" t="str">
        <x:f>IF(Setup!$B$6="primary","",IFERROR(IF(INDEX('Primary_snapshot'!$L$2:$L$120,MATCH(A6,'Primary_snapshot'!$A$2:$A$120,0))="","",INDEX('Primary_snapshot'!$L$2:$L$120,MATCH(A6,'Primary_snapshot'!$A$2:$A$120,0))),"SNAPSHOT MISSING"))</x:f>
      </x:c>
      <x:c r="N6" s="7" t="str"/>
      <x:c r="O6" s="7" t="str"/>
      <x:c r="P6" s="7" t="str"/>
      <x:c r="Q6" s="7" t="str"/>
      <x:c r="R6" s="13" t="str"/>
    </x:row>
    <x:row r="7" ht="92" customHeight="1">
      <x:c r="A7" s="3" t="str">
        <x:v>2018::jama.2018.14280::C006</x:v>
      </x:c>
      <x:c r="B7" s="3" t="str">
        <x:v>ICU-admission categories use undisclosed denominators</x:v>
      </x:c>
      <x:c r="C7" s="3" t="str">
        <x:v>DOC-001, Table 1, Reason for ICU admission, both arms.</x:v>
      </x:c>
      <x:c r="D7" s="7" t="str"/>
      <x:c r="E7" s="7" t="str">
        <x:v>statistical_results</x:v>
      </x:c>
      <x:c r="F7" s="7" t="str">
        <x:v>no</x:v>
      </x:c>
      <x:c r="G7" s="3" t="str">
        <x:f>IFERROR(IF(NOT(OR(Setup!$B$6="primary",Setup!$B$6="checker")),"CHECK STAGE",IF(OR(LEN(TRIM(Setup!$B$2))=0,Setup!$B$2&lt;&gt;TRIM(Setup!$B$2),AND(Setup!$B$6="checker",OR(LEN(TRIM(Setup!$B$4))=0,Setup!$B$4&lt;&gt;TRIM(Setup!$B$4),LOWER(TRIM(Setup!$B$4))=LOWER(TRIM(Setup!$B$2))))),"CHECK REVIEWER IDs",IF(OR(COUNTIF($A$2:$A$24,A7)&lt;&gt;1,COUNTIF(Decisions!$C$2:$C$120,A7)&lt;&gt;1),"CHECK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FIELDS",IF(Setup!$B$6="primary",IF(OR(N7&lt;&gt;"",O7&lt;&gt;"",P7&lt;&gt;"",Q7&lt;&gt;""),"CLEAR CHECKER FIELDS",IF(OR(Setup!$B$4&lt;&gt;"",Setup!$B$5&lt;&gt;""),"CLEAR CHECKER ID",IF(F7&lt;&gt;"primary_done","PRIMARY DRAFT","PRIMARY READY"))),IF(OR(COUNTIF(Primary_snapshot!$A$2:$A$120,A7)&lt;&gt;1,INDEX('Primary_snapshot'!$J$2:$J$120,MATCH(A7,'Primary_snapshot'!$A$2:$A$120,0))&lt;&gt;"primary_done",INDEX('Primary_snapshot'!$K$2:$K$120,MATCH(A7,'Primary_snapshot'!$A$2:$A$120,0))&lt;&gt;Setup!$B$2,INDEX('Primary_snapshot'!$B$2:$B$120,MATCH(A7,'Primary_snapshot'!$A$2:$A$120,0))="NOT FROZEN",INDEX('Primary_snapshot'!$C$2:$C$120,MATCH(A7,'Primary_snapshot'!$A$2:$A$120,0))="NOT FROZEN",INDEX('Primary_snapshot'!$D$2:$D$120,MATCH(A7,'Primary_snapshot'!$A$2:$A$120,0))="NOT FROZEN",INDEX('Primary_snapshot'!$E$2:$E$120,MATCH(A7,'Primary_snapshot'!$A$2:$A$120,0))="NOT FROZEN",INDEX('Primary_snapshot'!$F$2:$F$120,MATCH(A7,'Primary_snapshot'!$A$2:$A$120,0))="NOT FROZEN",INDEX('Primary_snapshot'!$G$2:$G$120,MATCH(A7,'Primary_snapshot'!$A$2:$A$120,0))="NOT FROZEN",INDEX('Primary_snapshot'!$H$2:$H$120,MATCH(A7,'Primary_snapshot'!$A$2:$A$120,0))="NOT FROZEN",INDEX('Primary_snapshot'!$I$2:$I$120,MATCH(A7,'Primary_snapshot'!$A$2:$A$120,0))="NOT FROZEN",INDEX('Primary_snapshot'!$J$2:$J$120,MATCH(A7,'Primary_snapshot'!$A$2:$A$120,0))="NOT FROZEN",INDEX('Primary_snapshot'!$K$2:$K$120,MATCH(A7,'Primary_snapshot'!$A$2:$A$120,0))="NOT FROZEN",INDEX('Primary_snapshot'!$L$2:$L$120,MATCH(A7,'Primary_snapshot'!$A$2:$A$120,0))="NOT FROZEN"),"FREEZE SNAPSHOT",IF(NOT(OR(N7="agree",N7="agree_clarification",N7="disagree",N7="unable")),"CHECKER RESULT NEEDED",IF(AND(N7&lt;&gt;"agree",LEN(TRIM(O7))=0),"COMMENT NEEDED",IF(AND(N7="agree",NOT(AND(IF(D7="","",D7)=IF(INDEX('Primary_snapshot'!$B$2:$B$120,MATCH(A7,'Primary_snapshot'!$A$2:$A$120,0))="","",INDEX('Primary_snapshot'!$B$2:$B$120,MATCH(A7,'Primary_snapshot'!$A$2:$A$120,0))),IF(E7="","",E7)=IF(INDEX('Primary_snapshot'!$C$2:$C$120,MATCH(A7,'Primary_snapshot'!$A$2:$A$120,0))="","",INDEX('Primary_snapshot'!$C$2:$C$120,MATCH(A7,'Primary_snapshot'!$A$2:$A$120,0))),IF(AND(D7="retain",E7="statistical_results"),IF(H7="","",H7),"not_applicable")=IF(INDEX('Primary_snapshot'!$D$2:$D$120,MATCH(A7,'Primary_snapshot'!$A$2:$A$120,0))="","",INDEX('Primary_snapshot'!$D$2:$D$120,MATCH(A7,'Primary_snapshot'!$A$2:$A$120,0))),IF(AND(D7="retain",E7="statistical_results"),IF(I7="","",I7),"not_applicable")=IF(INDEX('Primary_snapshot'!$E$2:$E$120,MATCH(A7,'Primary_snapshot'!$A$2:$A$120,0))="","",INDEX('Primary_snapshot'!$E$2:$E$120,MATCH(A7,'Primary_snapshot'!$A$2:$A$120,0))),IF(AND(D7="retain",E7="statistical_results"),IF(J7="","",J7),"not_applicable")=IF(INDEX('Primary_snapshot'!$F$2:$F$120,MATCH(A7,'Primary_snapshot'!$A$2:$A$120,0))="","",INDEX('Primary_snapshot'!$F$2:$F$120,MATCH(A7,'Primary_snapshot'!$A$2:$A$120,0))),IF(AND(D7="retain",OR(E7="report_internal_inconsistency",E7="plan_material")),IF(K7="","",K7),"not_applicable")=IF(INDEX('Primary_snapshot'!$G$2:$G$120,MATCH(A7,'Primary_snapshot'!$A$2:$A$120,0))="","",INDEX('Primary_snapshot'!$G$2:$G$120,MATCH(A7,'Primary_snapshot'!$A$2:$A$120,0))),IF(AND(D7="retain",E7="protocol_report"),IF(L7="","",L7),"not_applicable")=IF(INDEX('Primary_snapshot'!$H$2:$H$120,MATCH(A7,'Primary_snapshot'!$A$2:$A$120,0))="","",INDEX('Primary_snapshot'!$H$2:$H$120,MATCH(A7,'Primary_snapshot'!$A$2:$A$120,0))),IF(R7="","",R7)=IF(INDEX('Primary_snapshot'!$I$2:$I$120,MATCH(A7,'Primary_snapshot'!$A$2:$A$120,0))="","",INDEX('Primary_snapshot'!$I$2:$I$120,MATCH(A7,'Primary_snapshot'!$A$2:$A$120,0)))))),"AGREE BUT CHANGED",IF(AND(P7&lt;&gt;"",NOT(OR(P7="pending",P7="resolved"))),"CHECK RESOLUTION",IF(OR(AND(OR(D7="discuss",INDEX('Primary_snapshot'!$B$2:$B$120,MATCH(A7,'Primary_snapshot'!$A$2:$A$120,0))="discuss",N7="disagree",N7="unable"),P7&lt;&gt;"resolved"),D7="discuss"),"DISCUSS",IF(AND(P7="resolved",LEN(TRIM(Q7))=0),"RESOLUTION NOTE NEEDED",IF(F7&lt;&gt;"checker_done","CHECKER DRAFT","FINAL READY")))))))))))))),"CHECK KEY / SNAPSHOT")</x:f>
        <x:v>CHECK REVIEWER IDs</x:v>
      </x:c>
      <x:c r="H7" s="7" t="str">
        <x:f>IF(AND(OR(D7="retain",D7=""),E7="statistical_results"),"","not_applicable")</x:f>
      </x:c>
      <x:c r="I7" s="7" t="str">
        <x:f>IF(AND(OR(D7="retain",D7=""),E7="statistical_results"),"","not_applicable")</x:f>
      </x:c>
      <x:c r="J7" s="13" t="str">
        <x:f>IF(AND(OR(D7="retain",D7=""),E7="statistical_results"),"","not_applicable")</x:f>
      </x:c>
      <x:c r="K7" s="7" t="str">
        <x:f>IF(AND(OR(D7="retain",D7=""),OR(E7="report_internal_inconsistency",E7="plan_material")),"","not_applicable")</x:f>
        <x:v>not_applicable</x:v>
      </x:c>
      <x:c r="L7" s="13" t="str">
        <x:f>IF(AND(OR(D7="retain",D7=""),E7="protocol_report"),"","not_applicable")</x:f>
        <x:v>not_applicable</x:v>
      </x:c>
      <x:c r="M7" s="3" t="str">
        <x:f>IF(Setup!$B$6="primary","",IFERROR(IF(INDEX('Primary_snapshot'!$L$2:$L$120,MATCH(A7,'Primary_snapshot'!$A$2:$A$120,0))="","",INDEX('Primary_snapshot'!$L$2:$L$120,MATCH(A7,'Primary_snapshot'!$A$2:$A$120,0))),"SNAPSHOT MISSING"))</x:f>
      </x:c>
      <x:c r="N7" s="7" t="str"/>
      <x:c r="O7" s="7" t="str"/>
      <x:c r="P7" s="7" t="str"/>
      <x:c r="Q7" s="7" t="str"/>
      <x:c r="R7" s="13" t="str"/>
    </x:row>
    <x:row r="8" ht="92" customHeight="1">
      <x:c r="A8" s="6" t="str">
        <x:v>2018::jama.2018.14280::C007</x:v>
      </x:c>
      <x:c r="B8" s="6" t="str">
        <x:v>Sedative-infusion percentages omit effective denominators</x:v>
      </x:c>
      <x:c r="C8" s="6" t="str">
        <x:v>DOC-004, Supplement 3, eTable 4, Sedative infusion.</x:v>
      </x:c>
      <x:c r="D8" s="7" t="str"/>
      <x:c r="E8" s="7" t="str">
        <x:v>statistical_results</x:v>
      </x:c>
      <x:c r="F8" s="7" t="str">
        <x:v>no</x:v>
      </x:c>
      <x:c r="G8" s="6" t="str">
        <x:f>IFERROR(IF(NOT(OR(Setup!$B$6="primary",Setup!$B$6="checker")),"CHECK STAGE",IF(OR(LEN(TRIM(Setup!$B$2))=0,Setup!$B$2&lt;&gt;TRIM(Setup!$B$2),AND(Setup!$B$6="checker",OR(LEN(TRIM(Setup!$B$4))=0,Setup!$B$4&lt;&gt;TRIM(Setup!$B$4),LOWER(TRIM(Setup!$B$4))=LOWER(TRIM(Setup!$B$2))))),"CHECK REVIEWER IDs",IF(OR(COUNTIF($A$2:$A$24,A8)&lt;&gt;1,COUNTIF(Decisions!$C$2:$C$120,A8)&lt;&gt;1),"CHECK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FIELDS",IF(Setup!$B$6="primary",IF(OR(N8&lt;&gt;"",O8&lt;&gt;"",P8&lt;&gt;"",Q8&lt;&gt;""),"CLEAR CHECKER FIELDS",IF(OR(Setup!$B$4&lt;&gt;"",Setup!$B$5&lt;&gt;""),"CLEAR CHECKER ID",IF(F8&lt;&gt;"primary_done","PRIMARY DRAFT","PRIMARY READY"))),IF(OR(COUNTIF(Primary_snapshot!$A$2:$A$120,A8)&lt;&gt;1,INDEX('Primary_snapshot'!$J$2:$J$120,MATCH(A8,'Primary_snapshot'!$A$2:$A$120,0))&lt;&gt;"primary_done",INDEX('Primary_snapshot'!$K$2:$K$120,MATCH(A8,'Primary_snapshot'!$A$2:$A$120,0))&lt;&gt;Setup!$B$2,INDEX('Primary_snapshot'!$B$2:$B$120,MATCH(A8,'Primary_snapshot'!$A$2:$A$120,0))="NOT FROZEN",INDEX('Primary_snapshot'!$C$2:$C$120,MATCH(A8,'Primary_snapshot'!$A$2:$A$120,0))="NOT FROZEN",INDEX('Primary_snapshot'!$D$2:$D$120,MATCH(A8,'Primary_snapshot'!$A$2:$A$120,0))="NOT FROZEN",INDEX('Primary_snapshot'!$E$2:$E$120,MATCH(A8,'Primary_snapshot'!$A$2:$A$120,0))="NOT FROZEN",INDEX('Primary_snapshot'!$F$2:$F$120,MATCH(A8,'Primary_snapshot'!$A$2:$A$120,0))="NOT FROZEN",INDEX('Primary_snapshot'!$G$2:$G$120,MATCH(A8,'Primary_snapshot'!$A$2:$A$120,0))="NOT FROZEN",INDEX('Primary_snapshot'!$H$2:$H$120,MATCH(A8,'Primary_snapshot'!$A$2:$A$120,0))="NOT FROZEN",INDEX('Primary_snapshot'!$I$2:$I$120,MATCH(A8,'Primary_snapshot'!$A$2:$A$120,0))="NOT FROZEN",INDEX('Primary_snapshot'!$J$2:$J$120,MATCH(A8,'Primary_snapshot'!$A$2:$A$120,0))="NOT FROZEN",INDEX('Primary_snapshot'!$K$2:$K$120,MATCH(A8,'Primary_snapshot'!$A$2:$A$120,0))="NOT FROZEN",INDEX('Primary_snapshot'!$L$2:$L$120,MATCH(A8,'Primary_snapshot'!$A$2:$A$120,0))="NOT FROZEN"),"FREEZE SNAPSHOT",IF(NOT(OR(N8="agree",N8="agree_clarification",N8="disagree",N8="unable")),"CHECKER RESULT NEEDED",IF(AND(N8&lt;&gt;"agree",LEN(TRIM(O8))=0),"COMMENT NEEDED",IF(AND(N8="agree",NOT(AND(IF(D8="","",D8)=IF(INDEX('Primary_snapshot'!$B$2:$B$120,MATCH(A8,'Primary_snapshot'!$A$2:$A$120,0))="","",INDEX('Primary_snapshot'!$B$2:$B$120,MATCH(A8,'Primary_snapshot'!$A$2:$A$120,0))),IF(E8="","",E8)=IF(INDEX('Primary_snapshot'!$C$2:$C$120,MATCH(A8,'Primary_snapshot'!$A$2:$A$120,0))="","",INDEX('Primary_snapshot'!$C$2:$C$120,MATCH(A8,'Primary_snapshot'!$A$2:$A$120,0))),IF(AND(D8="retain",E8="statistical_results"),IF(H8="","",H8),"not_applicable")=IF(INDEX('Primary_snapshot'!$D$2:$D$120,MATCH(A8,'Primary_snapshot'!$A$2:$A$120,0))="","",INDEX('Primary_snapshot'!$D$2:$D$120,MATCH(A8,'Primary_snapshot'!$A$2:$A$120,0))),IF(AND(D8="retain",E8="statistical_results"),IF(I8="","",I8),"not_applicable")=IF(INDEX('Primary_snapshot'!$E$2:$E$120,MATCH(A8,'Primary_snapshot'!$A$2:$A$120,0))="","",INDEX('Primary_snapshot'!$E$2:$E$120,MATCH(A8,'Primary_snapshot'!$A$2:$A$120,0))),IF(AND(D8="retain",E8="statistical_results"),IF(J8="","",J8),"not_applicable")=IF(INDEX('Primary_snapshot'!$F$2:$F$120,MATCH(A8,'Primary_snapshot'!$A$2:$A$120,0))="","",INDEX('Primary_snapshot'!$F$2:$F$120,MATCH(A8,'Primary_snapshot'!$A$2:$A$120,0))),IF(AND(D8="retain",OR(E8="report_internal_inconsistency",E8="plan_material")),IF(K8="","",K8),"not_applicable")=IF(INDEX('Primary_snapshot'!$G$2:$G$120,MATCH(A8,'Primary_snapshot'!$A$2:$A$120,0))="","",INDEX('Primary_snapshot'!$G$2:$G$120,MATCH(A8,'Primary_snapshot'!$A$2:$A$120,0))),IF(AND(D8="retain",E8="protocol_report"),IF(L8="","",L8),"not_applicable")=IF(INDEX('Primary_snapshot'!$H$2:$H$120,MATCH(A8,'Primary_snapshot'!$A$2:$A$120,0))="","",INDEX('Primary_snapshot'!$H$2:$H$120,MATCH(A8,'Primary_snapshot'!$A$2:$A$120,0))),IF(R8="","",R8)=IF(INDEX('Primary_snapshot'!$I$2:$I$120,MATCH(A8,'Primary_snapshot'!$A$2:$A$120,0))="","",INDEX('Primary_snapshot'!$I$2:$I$120,MATCH(A8,'Primary_snapshot'!$A$2:$A$120,0)))))),"AGREE BUT CHANGED",IF(AND(P8&lt;&gt;"",NOT(OR(P8="pending",P8="resolved"))),"CHECK RESOLUTION",IF(OR(AND(OR(D8="discuss",INDEX('Primary_snapshot'!$B$2:$B$120,MATCH(A8,'Primary_snapshot'!$A$2:$A$120,0))="discuss",N8="disagree",N8="unable"),P8&lt;&gt;"resolved"),D8="discuss"),"DISCUSS",IF(AND(P8="resolved",LEN(TRIM(Q8))=0),"RESOLUTION NOTE NEEDED",IF(F8&lt;&gt;"checker_done","CHECKER DRAFT","FINAL READY")))))))))))))),"CHECK KEY / SNAPSHOT")</x:f>
        <x:v>CHECK REVIEWER IDs</x:v>
      </x:c>
      <x:c r="H8" s="7" t="str">
        <x:f>IF(AND(OR(D8="retain",D8=""),E8="statistical_results"),"","not_applicable")</x:f>
      </x:c>
      <x:c r="I8" s="7" t="str">
        <x:f>IF(AND(OR(D8="retain",D8=""),E8="statistical_results"),"","not_applicable")</x:f>
      </x:c>
      <x:c r="J8" s="13" t="str">
        <x:f>IF(AND(OR(D8="retain",D8=""),E8="statistical_results"),"","not_applicable")</x:f>
      </x:c>
      <x:c r="K8" s="7" t="str">
        <x:f>IF(AND(OR(D8="retain",D8=""),OR(E8="report_internal_inconsistency",E8="plan_material")),"","not_applicable")</x:f>
        <x:v>not_applicable</x:v>
      </x:c>
      <x:c r="L8" s="13" t="str">
        <x:f>IF(AND(OR(D8="retain",D8=""),E8="protocol_report"),"","not_applicable")</x:f>
        <x:v>not_applicable</x:v>
      </x:c>
      <x:c r="M8" s="6" t="str">
        <x:f>IF(Setup!$B$6="primary","",IFERROR(IF(INDEX('Primary_snapshot'!$L$2:$L$120,MATCH(A8,'Primary_snapshot'!$A$2:$A$120,0))="","",INDEX('Primary_snapshot'!$L$2:$L$120,MATCH(A8,'Primary_snapshot'!$A$2:$A$120,0))),"SNAPSHOT MISSING"))</x:f>
      </x:c>
      <x:c r="N8" s="7" t="str"/>
      <x:c r="O8" s="7" t="str"/>
      <x:c r="P8" s="7" t="str"/>
      <x:c r="Q8" s="7" t="str"/>
      <x:c r="R8" s="13" t="str"/>
    </x:row>
    <x:row r="9" ht="92" customHeight="1">
      <x:c r="A9" s="3" t="str">
        <x:v>2018::jama.2018.14280::C008</x:v>
      </x:c>
      <x:c r="B9" s="3" t="str">
        <x:v>Analgesic-infusion percentages omit effective denominators</x:v>
      </x:c>
      <x:c r="C9" s="3" t="str">
        <x:v>DOC-004, Supplement 3, eTable 4, Analgesic infusion.</x:v>
      </x:c>
      <x:c r="D9" s="7" t="str"/>
      <x:c r="E9" s="7" t="str">
        <x:v>statistical_results</x:v>
      </x:c>
      <x:c r="F9" s="7" t="str">
        <x:v>no</x:v>
      </x:c>
      <x:c r="G9" s="3" t="str">
        <x:f>IFERROR(IF(NOT(OR(Setup!$B$6="primary",Setup!$B$6="checker")),"CHECK STAGE",IF(OR(LEN(TRIM(Setup!$B$2))=0,Setup!$B$2&lt;&gt;TRIM(Setup!$B$2),AND(Setup!$B$6="checker",OR(LEN(TRIM(Setup!$B$4))=0,Setup!$B$4&lt;&gt;TRIM(Setup!$B$4),LOWER(TRIM(Setup!$B$4))=LOWER(TRIM(Setup!$B$2))))),"CHECK REVIEWER IDs",IF(OR(COUNTIF($A$2:$A$24,A9)&lt;&gt;1,COUNTIF(Decisions!$C$2:$C$120,A9)&lt;&gt;1),"CHECK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FIELDS",IF(Setup!$B$6="primary",IF(OR(N9&lt;&gt;"",O9&lt;&gt;"",P9&lt;&gt;"",Q9&lt;&gt;""),"CLEAR CHECKER FIELDS",IF(OR(Setup!$B$4&lt;&gt;"",Setup!$B$5&lt;&gt;""),"CLEAR CHECKER ID",IF(F9&lt;&gt;"primary_done","PRIMARY DRAFT","PRIMARY READY"))),IF(OR(COUNTIF(Primary_snapshot!$A$2:$A$120,A9)&lt;&gt;1,INDEX('Primary_snapshot'!$J$2:$J$120,MATCH(A9,'Primary_snapshot'!$A$2:$A$120,0))&lt;&gt;"primary_done",INDEX('Primary_snapshot'!$K$2:$K$120,MATCH(A9,'Primary_snapshot'!$A$2:$A$120,0))&lt;&gt;Setup!$B$2,INDEX('Primary_snapshot'!$B$2:$B$120,MATCH(A9,'Primary_snapshot'!$A$2:$A$120,0))="NOT FROZEN",INDEX('Primary_snapshot'!$C$2:$C$120,MATCH(A9,'Primary_snapshot'!$A$2:$A$120,0))="NOT FROZEN",INDEX('Primary_snapshot'!$D$2:$D$120,MATCH(A9,'Primary_snapshot'!$A$2:$A$120,0))="NOT FROZEN",INDEX('Primary_snapshot'!$E$2:$E$120,MATCH(A9,'Primary_snapshot'!$A$2:$A$120,0))="NOT FROZEN",INDEX('Primary_snapshot'!$F$2:$F$120,MATCH(A9,'Primary_snapshot'!$A$2:$A$120,0))="NOT FROZEN",INDEX('Primary_snapshot'!$G$2:$G$120,MATCH(A9,'Primary_snapshot'!$A$2:$A$120,0))="NOT FROZEN",INDEX('Primary_snapshot'!$H$2:$H$120,MATCH(A9,'Primary_snapshot'!$A$2:$A$120,0))="NOT FROZEN",INDEX('Primary_snapshot'!$I$2:$I$120,MATCH(A9,'Primary_snapshot'!$A$2:$A$120,0))="NOT FROZEN",INDEX('Primary_snapshot'!$J$2:$J$120,MATCH(A9,'Primary_snapshot'!$A$2:$A$120,0))="NOT FROZEN",INDEX('Primary_snapshot'!$K$2:$K$120,MATCH(A9,'Primary_snapshot'!$A$2:$A$120,0))="NOT FROZEN",INDEX('Primary_snapshot'!$L$2:$L$120,MATCH(A9,'Primary_snapshot'!$A$2:$A$120,0))="NOT FROZEN"),"FREEZE SNAPSHOT",IF(NOT(OR(N9="agree",N9="agree_clarification",N9="disagree",N9="unable")),"CHECKER RESULT NEEDED",IF(AND(N9&lt;&gt;"agree",LEN(TRIM(O9))=0),"COMMENT NEEDED",IF(AND(N9="agree",NOT(AND(IF(D9="","",D9)=IF(INDEX('Primary_snapshot'!$B$2:$B$120,MATCH(A9,'Primary_snapshot'!$A$2:$A$120,0))="","",INDEX('Primary_snapshot'!$B$2:$B$120,MATCH(A9,'Primary_snapshot'!$A$2:$A$120,0))),IF(E9="","",E9)=IF(INDEX('Primary_snapshot'!$C$2:$C$120,MATCH(A9,'Primary_snapshot'!$A$2:$A$120,0))="","",INDEX('Primary_snapshot'!$C$2:$C$120,MATCH(A9,'Primary_snapshot'!$A$2:$A$120,0))),IF(AND(D9="retain",E9="statistical_results"),IF(H9="","",H9),"not_applicable")=IF(INDEX('Primary_snapshot'!$D$2:$D$120,MATCH(A9,'Primary_snapshot'!$A$2:$A$120,0))="","",INDEX('Primary_snapshot'!$D$2:$D$120,MATCH(A9,'Primary_snapshot'!$A$2:$A$120,0))),IF(AND(D9="retain",E9="statistical_results"),IF(I9="","",I9),"not_applicable")=IF(INDEX('Primary_snapshot'!$E$2:$E$120,MATCH(A9,'Primary_snapshot'!$A$2:$A$120,0))="","",INDEX('Primary_snapshot'!$E$2:$E$120,MATCH(A9,'Primary_snapshot'!$A$2:$A$120,0))),IF(AND(D9="retain",E9="statistical_results"),IF(J9="","",J9),"not_applicable")=IF(INDEX('Primary_snapshot'!$F$2:$F$120,MATCH(A9,'Primary_snapshot'!$A$2:$A$120,0))="","",INDEX('Primary_snapshot'!$F$2:$F$120,MATCH(A9,'Primary_snapshot'!$A$2:$A$120,0))),IF(AND(D9="retain",OR(E9="report_internal_inconsistency",E9="plan_material")),IF(K9="","",K9),"not_applicable")=IF(INDEX('Primary_snapshot'!$G$2:$G$120,MATCH(A9,'Primary_snapshot'!$A$2:$A$120,0))="","",INDEX('Primary_snapshot'!$G$2:$G$120,MATCH(A9,'Primary_snapshot'!$A$2:$A$120,0))),IF(AND(D9="retain",E9="protocol_report"),IF(L9="","",L9),"not_applicable")=IF(INDEX('Primary_snapshot'!$H$2:$H$120,MATCH(A9,'Primary_snapshot'!$A$2:$A$120,0))="","",INDEX('Primary_snapshot'!$H$2:$H$120,MATCH(A9,'Primary_snapshot'!$A$2:$A$120,0))),IF(R9="","",R9)=IF(INDEX('Primary_snapshot'!$I$2:$I$120,MATCH(A9,'Primary_snapshot'!$A$2:$A$120,0))="","",INDEX('Primary_snapshot'!$I$2:$I$120,MATCH(A9,'Primary_snapshot'!$A$2:$A$120,0)))))),"AGREE BUT CHANGED",IF(AND(P9&lt;&gt;"",NOT(OR(P9="pending",P9="resolved"))),"CHECK RESOLUTION",IF(OR(AND(OR(D9="discuss",INDEX('Primary_snapshot'!$B$2:$B$120,MATCH(A9,'Primary_snapshot'!$A$2:$A$120,0))="discuss",N9="disagree",N9="unable"),P9&lt;&gt;"resolved"),D9="discuss"),"DISCUSS",IF(AND(P9="resolved",LEN(TRIM(Q9))=0),"RESOLUTION NOTE NEEDED",IF(F9&lt;&gt;"checker_done","CHECKER DRAFT","FINAL READY")))))))))))))),"CHECK KEY / SNAPSHOT")</x:f>
        <x:v>CHECK REVIEWER IDs</x:v>
      </x:c>
      <x:c r="H9" s="7" t="str">
        <x:f>IF(AND(OR(D9="retain",D9=""),E9="statistical_results"),"","not_applicable")</x:f>
      </x:c>
      <x:c r="I9" s="7" t="str">
        <x:f>IF(AND(OR(D9="retain",D9=""),E9="statistical_results"),"","not_applicable")</x:f>
      </x:c>
      <x:c r="J9" s="13" t="str">
        <x:f>IF(AND(OR(D9="retain",D9=""),E9="statistical_results"),"","not_applicable")</x:f>
      </x:c>
      <x:c r="K9" s="7" t="str">
        <x:f>IF(AND(OR(D9="retain",D9=""),OR(E9="report_internal_inconsistency",E9="plan_material")),"","not_applicable")</x:f>
        <x:v>not_applicable</x:v>
      </x:c>
      <x:c r="L9" s="13" t="str">
        <x:f>IF(AND(OR(D9="retain",D9=""),E9="protocol_report"),"","not_applicable")</x:f>
        <x:v>not_applicable</x:v>
      </x:c>
      <x:c r="M9" s="3" t="str">
        <x:f>IF(Setup!$B$6="primary","",IFERROR(IF(INDEX('Primary_snapshot'!$L$2:$L$120,MATCH(A9,'Primary_snapshot'!$A$2:$A$120,0))="","",INDEX('Primary_snapshot'!$L$2:$L$120,MATCH(A9,'Primary_snapshot'!$A$2:$A$120,0))),"SNAPSHOT MISSING"))</x:f>
      </x:c>
      <x:c r="N9" s="7" t="str"/>
      <x:c r="O9" s="7" t="str"/>
      <x:c r="P9" s="7" t="str"/>
      <x:c r="Q9" s="7" t="str"/>
      <x:c r="R9" s="13" t="str"/>
    </x:row>
    <x:row r="10" ht="92" customHeight="1">
      <x:c r="A10" s="6" t="str">
        <x:v>2018::jama.2018.14280::C009</x:v>
      </x:c>
      <x:c r="B10" s="6" t="str">
        <x:v>Neuromuscular-blockade percentages omit effective denominators</x:v>
      </x:c>
      <x:c r="C10" s="6" t="str">
        <x:v>DOC-004, Supplement 3, eTable 4, Neuromuscular blockade.</x:v>
      </x:c>
      <x:c r="D10" s="7" t="str"/>
      <x:c r="E10" s="7" t="str">
        <x:v>statistical_results</x:v>
      </x:c>
      <x:c r="F10" s="7" t="str">
        <x:v>no</x:v>
      </x:c>
      <x:c r="G10" s="6" t="str">
        <x:f>IFERROR(IF(NOT(OR(Setup!$B$6="primary",Setup!$B$6="checker")),"CHECK STAGE",IF(OR(LEN(TRIM(Setup!$B$2))=0,Setup!$B$2&lt;&gt;TRIM(Setup!$B$2),AND(Setup!$B$6="checker",OR(LEN(TRIM(Setup!$B$4))=0,Setup!$B$4&lt;&gt;TRIM(Setup!$B$4),LOWER(TRIM(Setup!$B$4))=LOWER(TRIM(Setup!$B$2))))),"CHECK REVIEWER IDs",IF(OR(COUNTIF($A$2:$A$24,A10)&lt;&gt;1,COUNTIF(Decisions!$C$2:$C$120,A10)&lt;&gt;1),"CHECK KEY",IF(OR(AND(NOT(AND(D10="retain",E10="statistical_results")),H10&lt;&gt;"",H10&lt;&gt;"not_applicable"),AND(NOT(AND(D10="retain",E10="statistical_results")),I10&lt;&gt;"",I10&lt;&gt;"not_applicable"),AND(NOT(AND(D10="retain",E10="statistical_results")),J10&lt;&gt;"",J10&lt;&gt;"not_applicable"),AND(NOT(AND(D10="retain",OR(E10="report_internal_inconsistency",E10="plan_material"))),K10&lt;&gt;"",K10&lt;&gt;"not_applicable"),AND(NOT(AND(D10="retain",E10="protocol_report")),L10&lt;&gt;"",L10&lt;&gt;"not_applicable")),"CLEAR INACTIVE VALUES",IF(OR(NOT(OR(D10="retain",D10="exclude",D10="discuss")),NOT(OR(E10="statistical_results",E10="report_internal_inconsistency",E10="plan_material",E10="protocol_report")),AND(AND(D10="retain",E10="statistical_results"),NOT(OR(H10="confirmed_issue",H10="probable_issue",H10="not_issue",H10="indeterminate"))),AND(AND(D10="retain",E10="statistical_results"),NOT(OR(I10="substantive",I10="minor_presentation",I10="indeterminate"))),AND(AND(D10="retain",E10="statistical_results"),J10&lt;&gt;"",NOT(OR(J10="direct",J10="possible",J10="unlikely",J10="unknown"))),AND(AND(D10="retain",OR(E10="report_internal_inconsistency",E10="plan_material")),NOT(OR(K10="substantive_inconsistency",K10="minor_presentation",K10="non_inconsistency",K10="indeterminate"))),AND(AND(D10="retain",E10="protocol_report"),L10&lt;&gt;"",NOT(OR(L10="substantive_difference",L10="minor_presentation",L10="version_timing",L10="non_inconsistency",L10="indeterminate")))),"CHECK FIELDS",IF(Setup!$B$6="primary",IF(OR(N10&lt;&gt;"",O10&lt;&gt;"",P10&lt;&gt;"",Q10&lt;&gt;""),"CLEAR CHECKER FIELDS",IF(OR(Setup!$B$4&lt;&gt;"",Setup!$B$5&lt;&gt;""),"CLEAR CHECKER ID",IF(F10&lt;&gt;"primary_done","PRIMARY DRAFT","PRIMARY READY"))),IF(OR(COUNTIF(Primary_snapshot!$A$2:$A$120,A10)&lt;&gt;1,INDEX('Primary_snapshot'!$J$2:$J$120,MATCH(A10,'Primary_snapshot'!$A$2:$A$120,0))&lt;&gt;"primary_done",INDEX('Primary_snapshot'!$K$2:$K$120,MATCH(A10,'Primary_snapshot'!$A$2:$A$120,0))&lt;&gt;Setup!$B$2,INDEX('Primary_snapshot'!$B$2:$B$120,MATCH(A10,'Primary_snapshot'!$A$2:$A$120,0))="NOT FROZEN",INDEX('Primary_snapshot'!$C$2:$C$120,MATCH(A10,'Primary_snapshot'!$A$2:$A$120,0))="NOT FROZEN",INDEX('Primary_snapshot'!$D$2:$D$120,MATCH(A10,'Primary_snapshot'!$A$2:$A$120,0))="NOT FROZEN",INDEX('Primary_snapshot'!$E$2:$E$120,MATCH(A10,'Primary_snapshot'!$A$2:$A$120,0))="NOT FROZEN",INDEX('Primary_snapshot'!$F$2:$F$120,MATCH(A10,'Primary_snapshot'!$A$2:$A$120,0))="NOT FROZEN",INDEX('Primary_snapshot'!$G$2:$G$120,MATCH(A10,'Primary_snapshot'!$A$2:$A$120,0))="NOT FROZEN",INDEX('Primary_snapshot'!$H$2:$H$120,MATCH(A10,'Primary_snapshot'!$A$2:$A$120,0))="NOT FROZEN",INDEX('Primary_snapshot'!$I$2:$I$120,MATCH(A10,'Primary_snapshot'!$A$2:$A$120,0))="NOT FROZEN",INDEX('Primary_snapshot'!$J$2:$J$120,MATCH(A10,'Primary_snapshot'!$A$2:$A$120,0))="NOT FROZEN",INDEX('Primary_snapshot'!$K$2:$K$120,MATCH(A10,'Primary_snapshot'!$A$2:$A$120,0))="NOT FROZEN",INDEX('Primary_snapshot'!$L$2:$L$120,MATCH(A10,'Primary_snapshot'!$A$2:$A$120,0))="NOT FROZEN"),"FREEZE SNAPSHOT",IF(NOT(OR(N10="agree",N10="agree_clarification",N10="disagree",N10="unable")),"CHECKER RESULT NEEDED",IF(AND(N10&lt;&gt;"agree",LEN(TRIM(O10))=0),"COMMENT NEEDED",IF(AND(N10="agree",NOT(AND(IF(D10="","",D10)=IF(INDEX('Primary_snapshot'!$B$2:$B$120,MATCH(A10,'Primary_snapshot'!$A$2:$A$120,0))="","",INDEX('Primary_snapshot'!$B$2:$B$120,MATCH(A10,'Primary_snapshot'!$A$2:$A$120,0))),IF(E10="","",E10)=IF(INDEX('Primary_snapshot'!$C$2:$C$120,MATCH(A10,'Primary_snapshot'!$A$2:$A$120,0))="","",INDEX('Primary_snapshot'!$C$2:$C$120,MATCH(A10,'Primary_snapshot'!$A$2:$A$120,0))),IF(AND(D10="retain",E10="statistical_results"),IF(H10="","",H10),"not_applicable")=IF(INDEX('Primary_snapshot'!$D$2:$D$120,MATCH(A10,'Primary_snapshot'!$A$2:$A$120,0))="","",INDEX('Primary_snapshot'!$D$2:$D$120,MATCH(A10,'Primary_snapshot'!$A$2:$A$120,0))),IF(AND(D10="retain",E10="statistical_results"),IF(I10="","",I10),"not_applicable")=IF(INDEX('Primary_snapshot'!$E$2:$E$120,MATCH(A10,'Primary_snapshot'!$A$2:$A$120,0))="","",INDEX('Primary_snapshot'!$E$2:$E$120,MATCH(A10,'Primary_snapshot'!$A$2:$A$120,0))),IF(AND(D10="retain",E10="statistical_results"),IF(J10="","",J10),"not_applicable")=IF(INDEX('Primary_snapshot'!$F$2:$F$120,MATCH(A10,'Primary_snapshot'!$A$2:$A$120,0))="","",INDEX('Primary_snapshot'!$F$2:$F$120,MATCH(A10,'Primary_snapshot'!$A$2:$A$120,0))),IF(AND(D10="retain",OR(E10="report_internal_inconsistency",E10="plan_material")),IF(K10="","",K10),"not_applicable")=IF(INDEX('Primary_snapshot'!$G$2:$G$120,MATCH(A10,'Primary_snapshot'!$A$2:$A$120,0))="","",INDEX('Primary_snapshot'!$G$2:$G$120,MATCH(A10,'Primary_snapshot'!$A$2:$A$120,0))),IF(AND(D10="retain",E10="protocol_report"),IF(L10="","",L10),"not_applicable")=IF(INDEX('Primary_snapshot'!$H$2:$H$120,MATCH(A10,'Primary_snapshot'!$A$2:$A$120,0))="","",INDEX('Primary_snapshot'!$H$2:$H$120,MATCH(A10,'Primary_snapshot'!$A$2:$A$120,0))),IF(R10="","",R10)=IF(INDEX('Primary_snapshot'!$I$2:$I$120,MATCH(A10,'Primary_snapshot'!$A$2:$A$120,0))="","",INDEX('Primary_snapshot'!$I$2:$I$120,MATCH(A10,'Primary_snapshot'!$A$2:$A$120,0)))))),"AGREE BUT CHANGED",IF(AND(P10&lt;&gt;"",NOT(OR(P10="pending",P10="resolved"))),"CHECK RESOLUTION",IF(OR(AND(OR(D10="discuss",INDEX('Primary_snapshot'!$B$2:$B$120,MATCH(A10,'Primary_snapshot'!$A$2:$A$120,0))="discuss",N10="disagree",N10="unable"),P10&lt;&gt;"resolved"),D10="discuss"),"DISCUSS",IF(AND(P10="resolved",LEN(TRIM(Q10))=0),"RESOLUTION NOTE NEEDED",IF(F10&lt;&gt;"checker_done","CHECKER DRAFT","FINAL READY")))))))))))))),"CHECK KEY / SNAPSHOT")</x:f>
        <x:v>CHECK REVIEWER IDs</x:v>
      </x:c>
      <x:c r="H10" s="7" t="str">
        <x:f>IF(AND(OR(D10="retain",D10=""),E10="statistical_results"),"","not_applicable")</x:f>
      </x:c>
      <x:c r="I10" s="7" t="str">
        <x:f>IF(AND(OR(D10="retain",D10=""),E10="statistical_results"),"","not_applicable")</x:f>
      </x:c>
      <x:c r="J10" s="13" t="str">
        <x:f>IF(AND(OR(D10="retain",D10=""),E10="statistical_results"),"","not_applicable")</x:f>
      </x:c>
      <x:c r="K10" s="7" t="str">
        <x:f>IF(AND(OR(D10="retain",D10=""),OR(E10="report_internal_inconsistency",E10="plan_material")),"","not_applicable")</x:f>
        <x:v>not_applicable</x:v>
      </x:c>
      <x:c r="L10" s="13" t="str">
        <x:f>IF(AND(OR(D10="retain",D10=""),E10="protocol_report"),"","not_applicable")</x:f>
        <x:v>not_applicable</x:v>
      </x:c>
      <x:c r="M10" s="6" t="str">
        <x:f>IF(Setup!$B$6="primary","",IFERROR(IF(INDEX('Primary_snapshot'!$L$2:$L$120,MATCH(A10,'Primary_snapshot'!$A$2:$A$120,0))="","",INDEX('Primary_snapshot'!$L$2:$L$120,MATCH(A10,'Primary_snapshot'!$A$2:$A$120,0))),"SNAPSHOT MISSING"))</x:f>
      </x:c>
      <x:c r="N10" s="7" t="str"/>
      <x:c r="O10" s="7" t="str"/>
      <x:c r="P10" s="7" t="str"/>
      <x:c r="Q10" s="7" t="str"/>
      <x:c r="R10" s="13" t="str"/>
    </x:row>
    <x:row r="11" ht="92" customHeight="1">
      <x:c r="A11" s="3" t="str">
        <x:v>2018::jama.2018.14280::C010</x:v>
      </x:c>
      <x:c r="B11" s="3" t="str">
        <x:v>Vasopressor-use percentages omit effective denominators</x:v>
      </x:c>
      <x:c r="C11" s="3" t="str">
        <x:v>DOC-004, Supplement 3, eTable 4, Use of vasopressors.</x:v>
      </x:c>
      <x:c r="D11" s="7" t="str"/>
      <x:c r="E11" s="7" t="str">
        <x:v>statistical_results</x:v>
      </x:c>
      <x:c r="F11" s="7" t="str">
        <x:v>no</x:v>
      </x:c>
      <x:c r="G11" s="3" t="str">
        <x:f>IFERROR(IF(NOT(OR(Setup!$B$6="primary",Setup!$B$6="checker")),"CHECK STAGE",IF(OR(LEN(TRIM(Setup!$B$2))=0,Setup!$B$2&lt;&gt;TRIM(Setup!$B$2),AND(Setup!$B$6="checker",OR(LEN(TRIM(Setup!$B$4))=0,Setup!$B$4&lt;&gt;TRIM(Setup!$B$4),LOWER(TRIM(Setup!$B$4))=LOWER(TRIM(Setup!$B$2))))),"CHECK REVIEWER IDs",IF(OR(COUNTIF($A$2:$A$24,A11)&lt;&gt;1,COUNTIF(Decisions!$C$2:$C$120,A11)&lt;&gt;1),"CHECK KEY",IF(OR(AND(NOT(AND(D11="retain",E11="statistical_results")),H11&lt;&gt;"",H11&lt;&gt;"not_applicable"),AND(NOT(AND(D11="retain",E11="statistical_results")),I11&lt;&gt;"",I11&lt;&gt;"not_applicable"),AND(NOT(AND(D11="retain",E11="statistical_results")),J11&lt;&gt;"",J11&lt;&gt;"not_applicable"),AND(NOT(AND(D11="retain",OR(E11="report_internal_inconsistency",E11="plan_material"))),K11&lt;&gt;"",K11&lt;&gt;"not_applicable"),AND(NOT(AND(D11="retain",E11="protocol_report")),L11&lt;&gt;"",L11&lt;&gt;"not_applicable")),"CLEAR INACTIVE VALUES",IF(OR(NOT(OR(D11="retain",D11="exclude",D11="discuss")),NOT(OR(E11="statistical_results",E11="report_internal_inconsistency",E11="plan_material",E11="protocol_report")),AND(AND(D11="retain",E11="statistical_results"),NOT(OR(H11="confirmed_issue",H11="probable_issue",H11="not_issue",H11="indeterminate"))),AND(AND(D11="retain",E11="statistical_results"),NOT(OR(I11="substantive",I11="minor_presentation",I11="indeterminate"))),AND(AND(D11="retain",E11="statistical_results"),J11&lt;&gt;"",NOT(OR(J11="direct",J11="possible",J11="unlikely",J11="unknown"))),AND(AND(D11="retain",OR(E11="report_internal_inconsistency",E11="plan_material")),NOT(OR(K11="substantive_inconsistency",K11="minor_presentation",K11="non_inconsistency",K11="indeterminate"))),AND(AND(D11="retain",E11="protocol_report"),L11&lt;&gt;"",NOT(OR(L11="substantive_difference",L11="minor_presentation",L11="version_timing",L11="non_inconsistency",L11="indeterminate")))),"CHECK FIELDS",IF(Setup!$B$6="primary",IF(OR(N11&lt;&gt;"",O11&lt;&gt;"",P11&lt;&gt;"",Q11&lt;&gt;""),"CLEAR CHECKER FIELDS",IF(OR(Setup!$B$4&lt;&gt;"",Setup!$B$5&lt;&gt;""),"CLEAR CHECKER ID",IF(F11&lt;&gt;"primary_done","PRIMARY DRAFT","PRIMARY READY"))),IF(OR(COUNTIF(Primary_snapshot!$A$2:$A$120,A11)&lt;&gt;1,INDEX('Primary_snapshot'!$J$2:$J$120,MATCH(A11,'Primary_snapshot'!$A$2:$A$120,0))&lt;&gt;"primary_done",INDEX('Primary_snapshot'!$K$2:$K$120,MATCH(A11,'Primary_snapshot'!$A$2:$A$120,0))&lt;&gt;Setup!$B$2,INDEX('Primary_snapshot'!$B$2:$B$120,MATCH(A11,'Primary_snapshot'!$A$2:$A$120,0))="NOT FROZEN",INDEX('Primary_snapshot'!$C$2:$C$120,MATCH(A11,'Primary_snapshot'!$A$2:$A$120,0))="NOT FROZEN",INDEX('Primary_snapshot'!$D$2:$D$120,MATCH(A11,'Primary_snapshot'!$A$2:$A$120,0))="NOT FROZEN",INDEX('Primary_snapshot'!$E$2:$E$120,MATCH(A11,'Primary_snapshot'!$A$2:$A$120,0))="NOT FROZEN",INDEX('Primary_snapshot'!$F$2:$F$120,MATCH(A11,'Primary_snapshot'!$A$2:$A$120,0))="NOT FROZEN",INDEX('Primary_snapshot'!$G$2:$G$120,MATCH(A11,'Primary_snapshot'!$A$2:$A$120,0))="NOT FROZEN",INDEX('Primary_snapshot'!$H$2:$H$120,MATCH(A11,'Primary_snapshot'!$A$2:$A$120,0))="NOT FROZEN",INDEX('Primary_snapshot'!$I$2:$I$120,MATCH(A11,'Primary_snapshot'!$A$2:$A$120,0))="NOT FROZEN",INDEX('Primary_snapshot'!$J$2:$J$120,MATCH(A11,'Primary_snapshot'!$A$2:$A$120,0))="NOT FROZEN",INDEX('Primary_snapshot'!$K$2:$K$120,MATCH(A11,'Primary_snapshot'!$A$2:$A$120,0))="NOT FROZEN",INDEX('Primary_snapshot'!$L$2:$L$120,MATCH(A11,'Primary_snapshot'!$A$2:$A$120,0))="NOT FROZEN"),"FREEZE SNAPSHOT",IF(NOT(OR(N11="agree",N11="agree_clarification",N11="disagree",N11="unable")),"CHECKER RESULT NEEDED",IF(AND(N11&lt;&gt;"agree",LEN(TRIM(O11))=0),"COMMENT NEEDED",IF(AND(N11="agree",NOT(AND(IF(D11="","",D11)=IF(INDEX('Primary_snapshot'!$B$2:$B$120,MATCH(A11,'Primary_snapshot'!$A$2:$A$120,0))="","",INDEX('Primary_snapshot'!$B$2:$B$120,MATCH(A11,'Primary_snapshot'!$A$2:$A$120,0))),IF(E11="","",E11)=IF(INDEX('Primary_snapshot'!$C$2:$C$120,MATCH(A11,'Primary_snapshot'!$A$2:$A$120,0))="","",INDEX('Primary_snapshot'!$C$2:$C$120,MATCH(A11,'Primary_snapshot'!$A$2:$A$120,0))),IF(AND(D11="retain",E11="statistical_results"),IF(H11="","",H11),"not_applicable")=IF(INDEX('Primary_snapshot'!$D$2:$D$120,MATCH(A11,'Primary_snapshot'!$A$2:$A$120,0))="","",INDEX('Primary_snapshot'!$D$2:$D$120,MATCH(A11,'Primary_snapshot'!$A$2:$A$120,0))),IF(AND(D11="retain",E11="statistical_results"),IF(I11="","",I11),"not_applicable")=IF(INDEX('Primary_snapshot'!$E$2:$E$120,MATCH(A11,'Primary_snapshot'!$A$2:$A$120,0))="","",INDEX('Primary_snapshot'!$E$2:$E$120,MATCH(A11,'Primary_snapshot'!$A$2:$A$120,0))),IF(AND(D11="retain",E11="statistical_results"),IF(J11="","",J11),"not_applicable")=IF(INDEX('Primary_snapshot'!$F$2:$F$120,MATCH(A11,'Primary_snapshot'!$A$2:$A$120,0))="","",INDEX('Primary_snapshot'!$F$2:$F$120,MATCH(A11,'Primary_snapshot'!$A$2:$A$120,0))),IF(AND(D11="retain",OR(E11="report_internal_inconsistency",E11="plan_material")),IF(K11="","",K11),"not_applicable")=IF(INDEX('Primary_snapshot'!$G$2:$G$120,MATCH(A11,'Primary_snapshot'!$A$2:$A$120,0))="","",INDEX('Primary_snapshot'!$G$2:$G$120,MATCH(A11,'Primary_snapshot'!$A$2:$A$120,0))),IF(AND(D11="retain",E11="protocol_report"),IF(L11="","",L11),"not_applicable")=IF(INDEX('Primary_snapshot'!$H$2:$H$120,MATCH(A11,'Primary_snapshot'!$A$2:$A$120,0))="","",INDEX('Primary_snapshot'!$H$2:$H$120,MATCH(A11,'Primary_snapshot'!$A$2:$A$120,0))),IF(R11="","",R11)=IF(INDEX('Primary_snapshot'!$I$2:$I$120,MATCH(A11,'Primary_snapshot'!$A$2:$A$120,0))="","",INDEX('Primary_snapshot'!$I$2:$I$120,MATCH(A11,'Primary_snapshot'!$A$2:$A$120,0)))))),"AGREE BUT CHANGED",IF(AND(P11&lt;&gt;"",NOT(OR(P11="pending",P11="resolved"))),"CHECK RESOLUTION",IF(OR(AND(OR(D11="discuss",INDEX('Primary_snapshot'!$B$2:$B$120,MATCH(A11,'Primary_snapshot'!$A$2:$A$120,0))="discuss",N11="disagree",N11="unable"),P11&lt;&gt;"resolved"),D11="discuss"),"DISCUSS",IF(AND(P11="resolved",LEN(TRIM(Q11))=0),"RESOLUTION NOTE NEEDED",IF(F11&lt;&gt;"checker_done","CHECKER DRAFT","FINAL READY")))))))))))))),"CHECK KEY / SNAPSHOT")</x:f>
        <x:v>CHECK REVIEWER IDs</x:v>
      </x:c>
      <x:c r="H11" s="7" t="str">
        <x:f>IF(AND(OR(D11="retain",D11=""),E11="statistical_results"),"","not_applicable")</x:f>
      </x:c>
      <x:c r="I11" s="7" t="str">
        <x:f>IF(AND(OR(D11="retain",D11=""),E11="statistical_results"),"","not_applicable")</x:f>
      </x:c>
      <x:c r="J11" s="13" t="str">
        <x:f>IF(AND(OR(D11="retain",D11=""),E11="statistical_results"),"","not_applicable")</x:f>
      </x:c>
      <x:c r="K11" s="7" t="str">
        <x:f>IF(AND(OR(D11="retain",D11=""),OR(E11="report_internal_inconsistency",E11="plan_material")),"","not_applicable")</x:f>
        <x:v>not_applicable</x:v>
      </x:c>
      <x:c r="L11" s="13" t="str">
        <x:f>IF(AND(OR(D11="retain",D11=""),E11="protocol_report"),"","not_applicable")</x:f>
        <x:v>not_applicable</x:v>
      </x:c>
      <x:c r="M11" s="3" t="str">
        <x:f>IF(Setup!$B$6="primary","",IFERROR(IF(INDEX('Primary_snapshot'!$L$2:$L$120,MATCH(A11,'Primary_snapshot'!$A$2:$A$120,0))="","",INDEX('Primary_snapshot'!$L$2:$L$120,MATCH(A11,'Primary_snapshot'!$A$2:$A$120,0))),"SNAPSHOT MISSING"))</x:f>
      </x:c>
      <x:c r="N11" s="7" t="str"/>
      <x:c r="O11" s="7" t="str"/>
      <x:c r="P11" s="7" t="str"/>
      <x:c r="Q11" s="7" t="str"/>
      <x:c r="R11" s="13" t="str"/>
    </x:row>
    <x:row r="12" ht="92" customHeight="1">
      <x:c r="A12" s="6" t="str">
        <x:v>2018::jama.2018.14280::C011</x:v>
      </x:c>
      <x:c r="B12" s="6" t="str">
        <x:v>Mortality effect-measure wording conflicts with Table 2 and the SAP</x:v>
      </x:c>
      <x:c r="C12" s="6" t="str">
        <x:v>DOC-001 Statistical Analysis and Table 2/footnotes; DOC-003 SAP secondary outcomes.</x:v>
      </x:c>
      <x:c r="D12" s="7" t="str"/>
      <x:c r="E12" s="7" t="str">
        <x:v>report_internal_inconsistency</x:v>
      </x:c>
      <x:c r="F12" s="7" t="str">
        <x:v>no</x:v>
      </x:c>
      <x:c r="G12" s="6" t="str">
        <x:f>IFERROR(IF(NOT(OR(Setup!$B$6="primary",Setup!$B$6="checker")),"CHECK STAGE",IF(OR(LEN(TRIM(Setup!$B$2))=0,Setup!$B$2&lt;&gt;TRIM(Setup!$B$2),AND(Setup!$B$6="checker",OR(LEN(TRIM(Setup!$B$4))=0,Setup!$B$4&lt;&gt;TRIM(Setup!$B$4),LOWER(TRIM(Setup!$B$4))=LOWER(TRIM(Setup!$B$2))))),"CHECK REVIEWER IDs",IF(OR(COUNTIF($A$2:$A$24,A12)&lt;&gt;1,COUNTIF(Decisions!$C$2:$C$120,A12)&lt;&gt;1),"CHECK KEY",IF(OR(AND(NOT(AND(D12="retain",E12="statistical_results")),H12&lt;&gt;"",H12&lt;&gt;"not_applicable"),AND(NOT(AND(D12="retain",E12="statistical_results")),I12&lt;&gt;"",I12&lt;&gt;"not_applicable"),AND(NOT(AND(D12="retain",E12="statistical_results")),J12&lt;&gt;"",J12&lt;&gt;"not_applicable"),AND(NOT(AND(D12="retain",OR(E12="report_internal_inconsistency",E12="plan_material"))),K12&lt;&gt;"",K12&lt;&gt;"not_applicable"),AND(NOT(AND(D12="retain",E12="protocol_report")),L12&lt;&gt;"",L12&lt;&gt;"not_applicable")),"CLEAR INACTIVE VALUES",IF(OR(NOT(OR(D12="retain",D12="exclude",D12="discuss")),NOT(OR(E12="statistical_results",E12="report_internal_inconsistency",E12="plan_material",E12="protocol_report")),AND(AND(D12="retain",E12="statistical_results"),NOT(OR(H12="confirmed_issue",H12="probable_issue",H12="not_issue",H12="indeterminate"))),AND(AND(D12="retain",E12="statistical_results"),NOT(OR(I12="substantive",I12="minor_presentation",I12="indeterminate"))),AND(AND(D12="retain",E12="statistical_results"),J12&lt;&gt;"",NOT(OR(J12="direct",J12="possible",J12="unlikely",J12="unknown"))),AND(AND(D12="retain",OR(E12="report_internal_inconsistency",E12="plan_material")),NOT(OR(K12="substantive_inconsistency",K12="minor_presentation",K12="non_inconsistency",K12="indeterminate"))),AND(AND(D12="retain",E12="protocol_report"),L12&lt;&gt;"",NOT(OR(L12="substantive_difference",L12="minor_presentation",L12="version_timing",L12="non_inconsistency",L12="indeterminate")))),"CHECK FIELDS",IF(Setup!$B$6="primary",IF(OR(N12&lt;&gt;"",O12&lt;&gt;"",P12&lt;&gt;"",Q12&lt;&gt;""),"CLEAR CHECKER FIELDS",IF(OR(Setup!$B$4&lt;&gt;"",Setup!$B$5&lt;&gt;""),"CLEAR CHECKER ID",IF(F12&lt;&gt;"primary_done","PRIMARY DRAFT","PRIMARY READY"))),IF(OR(COUNTIF(Primary_snapshot!$A$2:$A$120,A12)&lt;&gt;1,INDEX('Primary_snapshot'!$J$2:$J$120,MATCH(A12,'Primary_snapshot'!$A$2:$A$120,0))&lt;&gt;"primary_done",INDEX('Primary_snapshot'!$K$2:$K$120,MATCH(A12,'Primary_snapshot'!$A$2:$A$120,0))&lt;&gt;Setup!$B$2,INDEX('Primary_snapshot'!$B$2:$B$120,MATCH(A12,'Primary_snapshot'!$A$2:$A$120,0))="NOT FROZEN",INDEX('Primary_snapshot'!$C$2:$C$120,MATCH(A12,'Primary_snapshot'!$A$2:$A$120,0))="NOT FROZEN",INDEX('Primary_snapshot'!$D$2:$D$120,MATCH(A12,'Primary_snapshot'!$A$2:$A$120,0))="NOT FROZEN",INDEX('Primary_snapshot'!$E$2:$E$120,MATCH(A12,'Primary_snapshot'!$A$2:$A$120,0))="NOT FROZEN",INDEX('Primary_snapshot'!$F$2:$F$120,MATCH(A12,'Primary_snapshot'!$A$2:$A$120,0))="NOT FROZEN",INDEX('Primary_snapshot'!$G$2:$G$120,MATCH(A12,'Primary_snapshot'!$A$2:$A$120,0))="NOT FROZEN",INDEX('Primary_snapshot'!$H$2:$H$120,MATCH(A12,'Primary_snapshot'!$A$2:$A$120,0))="NOT FROZEN",INDEX('Primary_snapshot'!$I$2:$I$120,MATCH(A12,'Primary_snapshot'!$A$2:$A$120,0))="NOT FROZEN",INDEX('Primary_snapshot'!$J$2:$J$120,MATCH(A12,'Primary_snapshot'!$A$2:$A$120,0))="NOT FROZEN",INDEX('Primary_snapshot'!$K$2:$K$120,MATCH(A12,'Primary_snapshot'!$A$2:$A$120,0))="NOT FROZEN",INDEX('Primary_snapshot'!$L$2:$L$120,MATCH(A12,'Primary_snapshot'!$A$2:$A$120,0))="NOT FROZEN"),"FREEZE SNAPSHOT",IF(NOT(OR(N12="agree",N12="agree_clarification",N12="disagree",N12="unable")),"CHECKER RESULT NEEDED",IF(AND(N12&lt;&gt;"agree",LEN(TRIM(O12))=0),"COMMENT NEEDED",IF(AND(N12="agree",NOT(AND(IF(D12="","",D12)=IF(INDEX('Primary_snapshot'!$B$2:$B$120,MATCH(A12,'Primary_snapshot'!$A$2:$A$120,0))="","",INDEX('Primary_snapshot'!$B$2:$B$120,MATCH(A12,'Primary_snapshot'!$A$2:$A$120,0))),IF(E12="","",E12)=IF(INDEX('Primary_snapshot'!$C$2:$C$120,MATCH(A12,'Primary_snapshot'!$A$2:$A$120,0))="","",INDEX('Primary_snapshot'!$C$2:$C$120,MATCH(A12,'Primary_snapshot'!$A$2:$A$120,0))),IF(AND(D12="retain",E12="statistical_results"),IF(H12="","",H12),"not_applicable")=IF(INDEX('Primary_snapshot'!$D$2:$D$120,MATCH(A12,'Primary_snapshot'!$A$2:$A$120,0))="","",INDEX('Primary_snapshot'!$D$2:$D$120,MATCH(A12,'Primary_snapshot'!$A$2:$A$120,0))),IF(AND(D12="retain",E12="statistical_results"),IF(I12="","",I12),"not_applicable")=IF(INDEX('Primary_snapshot'!$E$2:$E$120,MATCH(A12,'Primary_snapshot'!$A$2:$A$120,0))="","",INDEX('Primary_snapshot'!$E$2:$E$120,MATCH(A12,'Primary_snapshot'!$A$2:$A$120,0))),IF(AND(D12="retain",E12="statistical_results"),IF(J12="","",J12),"not_applicable")=IF(INDEX('Primary_snapshot'!$F$2:$F$120,MATCH(A12,'Primary_snapshot'!$A$2:$A$120,0))="","",INDEX('Primary_snapshot'!$F$2:$F$120,MATCH(A12,'Primary_snapshot'!$A$2:$A$120,0))),IF(AND(D12="retain",OR(E12="report_internal_inconsistency",E12="plan_material")),IF(K12="","",K12),"not_applicable")=IF(INDEX('Primary_snapshot'!$G$2:$G$120,MATCH(A12,'Primary_snapshot'!$A$2:$A$120,0))="","",INDEX('Primary_snapshot'!$G$2:$G$120,MATCH(A12,'Primary_snapshot'!$A$2:$A$120,0))),IF(AND(D12="retain",E12="protocol_report"),IF(L12="","",L12),"not_applicable")=IF(INDEX('Primary_snapshot'!$H$2:$H$120,MATCH(A12,'Primary_snapshot'!$A$2:$A$120,0))="","",INDEX('Primary_snapshot'!$H$2:$H$120,MATCH(A12,'Primary_snapshot'!$A$2:$A$120,0))),IF(R12="","",R12)=IF(INDEX('Primary_snapshot'!$I$2:$I$120,MATCH(A12,'Primary_snapshot'!$A$2:$A$120,0))="","",INDEX('Primary_snapshot'!$I$2:$I$120,MATCH(A12,'Primary_snapshot'!$A$2:$A$120,0)))))),"AGREE BUT CHANGED",IF(AND(P12&lt;&gt;"",NOT(OR(P12="pending",P12="resolved"))),"CHECK RESOLUTION",IF(OR(AND(OR(D12="discuss",INDEX('Primary_snapshot'!$B$2:$B$120,MATCH(A12,'Primary_snapshot'!$A$2:$A$120,0))="discuss",N12="disagree",N12="unable"),P12&lt;&gt;"resolved"),D12="discuss"),"DISCUSS",IF(AND(P12="resolved",LEN(TRIM(Q12))=0),"RESOLUTION NOTE NEEDED",IF(F12&lt;&gt;"checker_done","CHECKER DRAFT","FINAL READY")))))))))))))),"CHECK KEY / SNAPSHOT")</x:f>
        <x:v>CHECK REVIEWER IDs</x:v>
      </x:c>
      <x:c r="H12" s="7" t="str">
        <x:f>IF(AND(OR(D12="retain",D12=""),E12="statistical_results"),"","not_applicable")</x:f>
        <x:v>not_applicable</x:v>
      </x:c>
      <x:c r="I12" s="7" t="str">
        <x:f>IF(AND(OR(D12="retain",D12=""),E12="statistical_results"),"","not_applicable")</x:f>
        <x:v>not_applicable</x:v>
      </x:c>
      <x:c r="J12" s="13" t="str">
        <x:f>IF(AND(OR(D12="retain",D12=""),E12="statistical_results"),"","not_applicable")</x:f>
        <x:v>not_applicable</x:v>
      </x:c>
      <x:c r="K12" s="7" t="str">
        <x:f>IF(AND(OR(D12="retain",D12=""),OR(E12="report_internal_inconsistency",E12="plan_material")),"","not_applicable")</x:f>
      </x:c>
      <x:c r="L12" s="13" t="str">
        <x:f>IF(AND(OR(D12="retain",D12=""),E12="protocol_report"),"","not_applicable")</x:f>
        <x:v>not_applicable</x:v>
      </x:c>
      <x:c r="M12" s="6" t="str">
        <x:f>IF(Setup!$B$6="primary","",IFERROR(IF(INDEX('Primary_snapshot'!$L$2:$L$120,MATCH(A12,'Primary_snapshot'!$A$2:$A$120,0))="","",INDEX('Primary_snapshot'!$L$2:$L$120,MATCH(A12,'Primary_snapshot'!$A$2:$A$120,0))),"SNAPSHOT MISSING"))</x:f>
      </x:c>
      <x:c r="N12" s="7" t="str"/>
      <x:c r="O12" s="7" t="str"/>
      <x:c r="P12" s="7" t="str"/>
      <x:c r="Q12" s="7" t="str"/>
      <x:c r="R12" s="13" t="str"/>
    </x:row>
    <x:row r="13" ht="92" customHeight="1">
      <x:c r="A13" s="3" t="str">
        <x:v>2018::jama.2018.14280::C012</x:v>
      </x:c>
      <x:c r="B13" s="3" t="str">
        <x:v>ICU-mortality RR does not reproduce from printed risks</x:v>
      </x:c>
      <x:c r="C13" s="3" t="str">
        <x:v>DOC-001, Table 2, ICU mortality and footnote c.</x:v>
      </x:c>
      <x:c r="D13" s="7" t="str"/>
      <x:c r="E13" s="7" t="str">
        <x:v>statistical_results</x:v>
      </x:c>
      <x:c r="F13" s="7" t="str">
        <x:v>no</x:v>
      </x:c>
      <x:c r="G13" s="3" t="str">
        <x:f>IFERROR(IF(NOT(OR(Setup!$B$6="primary",Setup!$B$6="checker")),"CHECK STAGE",IF(OR(LEN(TRIM(Setup!$B$2))=0,Setup!$B$2&lt;&gt;TRIM(Setup!$B$2),AND(Setup!$B$6="checker",OR(LEN(TRIM(Setup!$B$4))=0,Setup!$B$4&lt;&gt;TRIM(Setup!$B$4),LOWER(TRIM(Setup!$B$4))=LOWER(TRIM(Setup!$B$2))))),"CHECK REVIEWER IDs",IF(OR(COUNTIF($A$2:$A$24,A13)&lt;&gt;1,COUNTIF(Decisions!$C$2:$C$120,A13)&lt;&gt;1),"CHECK KEY",IF(OR(AND(NOT(AND(D13="retain",E13="statistical_results")),H13&lt;&gt;"",H13&lt;&gt;"not_applicable"),AND(NOT(AND(D13="retain",E13="statistical_results")),I13&lt;&gt;"",I13&lt;&gt;"not_applicable"),AND(NOT(AND(D13="retain",E13="statistical_results")),J13&lt;&gt;"",J13&lt;&gt;"not_applicable"),AND(NOT(AND(D13="retain",OR(E13="report_internal_inconsistency",E13="plan_material"))),K13&lt;&gt;"",K13&lt;&gt;"not_applicable"),AND(NOT(AND(D13="retain",E13="protocol_report")),L13&lt;&gt;"",L13&lt;&gt;"not_applicable")),"CLEAR INACTIVE VALUES",IF(OR(NOT(OR(D13="retain",D13="exclude",D13="discuss")),NOT(OR(E13="statistical_results",E13="report_internal_inconsistency",E13="plan_material",E13="protocol_report")),AND(AND(D13="retain",E13="statistical_results"),NOT(OR(H13="confirmed_issue",H13="probable_issue",H13="not_issue",H13="indeterminate"))),AND(AND(D13="retain",E13="statistical_results"),NOT(OR(I13="substantive",I13="minor_presentation",I13="indeterminate"))),AND(AND(D13="retain",E13="statistical_results"),J13&lt;&gt;"",NOT(OR(J13="direct",J13="possible",J13="unlikely",J13="unknown"))),AND(AND(D13="retain",OR(E13="report_internal_inconsistency",E13="plan_material")),NOT(OR(K13="substantive_inconsistency",K13="minor_presentation",K13="non_inconsistency",K13="indeterminate"))),AND(AND(D13="retain",E13="protocol_report"),L13&lt;&gt;"",NOT(OR(L13="substantive_difference",L13="minor_presentation",L13="version_timing",L13="non_inconsistency",L13="indeterminate")))),"CHECK FIELDS",IF(Setup!$B$6="primary",IF(OR(N13&lt;&gt;"",O13&lt;&gt;"",P13&lt;&gt;"",Q13&lt;&gt;""),"CLEAR CHECKER FIELDS",IF(OR(Setup!$B$4&lt;&gt;"",Setup!$B$5&lt;&gt;""),"CLEAR CHECKER ID",IF(F13&lt;&gt;"primary_done","PRIMARY DRAFT","PRIMARY READY"))),IF(OR(COUNTIF(Primary_snapshot!$A$2:$A$120,A13)&lt;&gt;1,INDEX('Primary_snapshot'!$J$2:$J$120,MATCH(A13,'Primary_snapshot'!$A$2:$A$120,0))&lt;&gt;"primary_done",INDEX('Primary_snapshot'!$K$2:$K$120,MATCH(A13,'Primary_snapshot'!$A$2:$A$120,0))&lt;&gt;Setup!$B$2,INDEX('Primary_snapshot'!$B$2:$B$120,MATCH(A13,'Primary_snapshot'!$A$2:$A$120,0))="NOT FROZEN",INDEX('Primary_snapshot'!$C$2:$C$120,MATCH(A13,'Primary_snapshot'!$A$2:$A$120,0))="NOT FROZEN",INDEX('Primary_snapshot'!$D$2:$D$120,MATCH(A13,'Primary_snapshot'!$A$2:$A$120,0))="NOT FROZEN",INDEX('Primary_snapshot'!$E$2:$E$120,MATCH(A13,'Primary_snapshot'!$A$2:$A$120,0))="NOT FROZEN",INDEX('Primary_snapshot'!$F$2:$F$120,MATCH(A13,'Primary_snapshot'!$A$2:$A$120,0))="NOT FROZEN",INDEX('Primary_snapshot'!$G$2:$G$120,MATCH(A13,'Primary_snapshot'!$A$2:$A$120,0))="NOT FROZEN",INDEX('Primary_snapshot'!$H$2:$H$120,MATCH(A13,'Primary_snapshot'!$A$2:$A$120,0))="NOT FROZEN",INDEX('Primary_snapshot'!$I$2:$I$120,MATCH(A13,'Primary_snapshot'!$A$2:$A$120,0))="NOT FROZEN",INDEX('Primary_snapshot'!$J$2:$J$120,MATCH(A13,'Primary_snapshot'!$A$2:$A$120,0))="NOT FROZEN",INDEX('Primary_snapshot'!$K$2:$K$120,MATCH(A13,'Primary_snapshot'!$A$2:$A$120,0))="NOT FROZEN",INDEX('Primary_snapshot'!$L$2:$L$120,MATCH(A13,'Primary_snapshot'!$A$2:$A$120,0))="NOT FROZEN"),"FREEZE SNAPSHOT",IF(NOT(OR(N13="agree",N13="agree_clarification",N13="disagree",N13="unable")),"CHECKER RESULT NEEDED",IF(AND(N13&lt;&gt;"agree",LEN(TRIM(O13))=0),"COMMENT NEEDED",IF(AND(N13="agree",NOT(AND(IF(D13="","",D13)=IF(INDEX('Primary_snapshot'!$B$2:$B$120,MATCH(A13,'Primary_snapshot'!$A$2:$A$120,0))="","",INDEX('Primary_snapshot'!$B$2:$B$120,MATCH(A13,'Primary_snapshot'!$A$2:$A$120,0))),IF(E13="","",E13)=IF(INDEX('Primary_snapshot'!$C$2:$C$120,MATCH(A13,'Primary_snapshot'!$A$2:$A$120,0))="","",INDEX('Primary_snapshot'!$C$2:$C$120,MATCH(A13,'Primary_snapshot'!$A$2:$A$120,0))),IF(AND(D13="retain",E13="statistical_results"),IF(H13="","",H13),"not_applicable")=IF(INDEX('Primary_snapshot'!$D$2:$D$120,MATCH(A13,'Primary_snapshot'!$A$2:$A$120,0))="","",INDEX('Primary_snapshot'!$D$2:$D$120,MATCH(A13,'Primary_snapshot'!$A$2:$A$120,0))),IF(AND(D13="retain",E13="statistical_results"),IF(I13="","",I13),"not_applicable")=IF(INDEX('Primary_snapshot'!$E$2:$E$120,MATCH(A13,'Primary_snapshot'!$A$2:$A$120,0))="","",INDEX('Primary_snapshot'!$E$2:$E$120,MATCH(A13,'Primary_snapshot'!$A$2:$A$120,0))),IF(AND(D13="retain",E13="statistical_results"),IF(J13="","",J13),"not_applicable")=IF(INDEX('Primary_snapshot'!$F$2:$F$120,MATCH(A13,'Primary_snapshot'!$A$2:$A$120,0))="","",INDEX('Primary_snapshot'!$F$2:$F$120,MATCH(A13,'Primary_snapshot'!$A$2:$A$120,0))),IF(AND(D13="retain",OR(E13="report_internal_inconsistency",E13="plan_material")),IF(K13="","",K13),"not_applicable")=IF(INDEX('Primary_snapshot'!$G$2:$G$120,MATCH(A13,'Primary_snapshot'!$A$2:$A$120,0))="","",INDEX('Primary_snapshot'!$G$2:$G$120,MATCH(A13,'Primary_snapshot'!$A$2:$A$120,0))),IF(AND(D13="retain",E13="protocol_report"),IF(L13="","",L13),"not_applicable")=IF(INDEX('Primary_snapshot'!$H$2:$H$120,MATCH(A13,'Primary_snapshot'!$A$2:$A$120,0))="","",INDEX('Primary_snapshot'!$H$2:$H$120,MATCH(A13,'Primary_snapshot'!$A$2:$A$120,0))),IF(R13="","",R13)=IF(INDEX('Primary_snapshot'!$I$2:$I$120,MATCH(A13,'Primary_snapshot'!$A$2:$A$120,0))="","",INDEX('Primary_snapshot'!$I$2:$I$120,MATCH(A13,'Primary_snapshot'!$A$2:$A$120,0)))))),"AGREE BUT CHANGED",IF(AND(P13&lt;&gt;"",NOT(OR(P13="pending",P13="resolved"))),"CHECK RESOLUTION",IF(OR(AND(OR(D13="discuss",INDEX('Primary_snapshot'!$B$2:$B$120,MATCH(A13,'Primary_snapshot'!$A$2:$A$120,0))="discuss",N13="disagree",N13="unable"),P13&lt;&gt;"resolved"),D13="discuss"),"DISCUSS",IF(AND(P13="resolved",LEN(TRIM(Q13))=0),"RESOLUTION NOTE NEEDED",IF(F13&lt;&gt;"checker_done","CHECKER DRAFT","FINAL READY")))))))))))))),"CHECK KEY / SNAPSHOT")</x:f>
        <x:v>CHECK REVIEWER IDs</x:v>
      </x:c>
      <x:c r="H13" s="7" t="str">
        <x:f>IF(AND(OR(D13="retain",D13=""),E13="statistical_results"),"","not_applicable")</x:f>
      </x:c>
      <x:c r="I13" s="7" t="str">
        <x:f>IF(AND(OR(D13="retain",D13=""),E13="statistical_results"),"","not_applicable")</x:f>
      </x:c>
      <x:c r="J13" s="13" t="str">
        <x:f>IF(AND(OR(D13="retain",D13=""),E13="statistical_results"),"","not_applicable")</x:f>
      </x:c>
      <x:c r="K13" s="7" t="str">
        <x:f>IF(AND(OR(D13="retain",D13=""),OR(E13="report_internal_inconsistency",E13="plan_material")),"","not_applicable")</x:f>
        <x:v>not_applicable</x:v>
      </x:c>
      <x:c r="L13" s="13" t="str">
        <x:f>IF(AND(OR(D13="retain",D13=""),E13="protocol_report"),"","not_applicable")</x:f>
        <x:v>not_applicable</x:v>
      </x:c>
      <x:c r="M13" s="3" t="str">
        <x:f>IF(Setup!$B$6="primary","",IFERROR(IF(INDEX('Primary_snapshot'!$L$2:$L$120,MATCH(A13,'Primary_snapshot'!$A$2:$A$120,0))="","",INDEX('Primary_snapshot'!$L$2:$L$120,MATCH(A13,'Primary_snapshot'!$A$2:$A$120,0))),"SNAPSHOT MISSING"))</x:f>
      </x:c>
      <x:c r="N13" s="7" t="str"/>
      <x:c r="O13" s="7" t="str"/>
      <x:c r="P13" s="7" t="str"/>
      <x:c r="Q13" s="7" t="str"/>
      <x:c r="R13" s="13" t="str"/>
    </x:row>
    <x:row r="14" ht="92" customHeight="1">
      <x:c r="A14" s="6" t="str">
        <x:v>2018::jama.2018.14280::C013</x:v>
      </x:c>
      <x:c r="B14" s="6" t="str">
        <x:v>Hospital-mortality RR does not reproduce from printed risks</x:v>
      </x:c>
      <x:c r="C14" s="6" t="str">
        <x:v>DOC-001, Table 2, hospital mortality and footnote c.</x:v>
      </x:c>
      <x:c r="D14" s="7" t="str"/>
      <x:c r="E14" s="7" t="str">
        <x:v>statistical_results</x:v>
      </x:c>
      <x:c r="F14" s="7" t="str">
        <x:v>no</x:v>
      </x:c>
      <x:c r="G14" s="6" t="str">
        <x:f>IFERROR(IF(NOT(OR(Setup!$B$6="primary",Setup!$B$6="checker")),"CHECK STAGE",IF(OR(LEN(TRIM(Setup!$B$2))=0,Setup!$B$2&lt;&gt;TRIM(Setup!$B$2),AND(Setup!$B$6="checker",OR(LEN(TRIM(Setup!$B$4))=0,Setup!$B$4&lt;&gt;TRIM(Setup!$B$4),LOWER(TRIM(Setup!$B$4))=LOWER(TRIM(Setup!$B$2))))),"CHECK REVIEWER IDs",IF(OR(COUNTIF($A$2:$A$24,A14)&lt;&gt;1,COUNTIF(Decisions!$C$2:$C$120,A14)&lt;&gt;1),"CHECK KEY",IF(OR(AND(NOT(AND(D14="retain",E14="statistical_results")),H14&lt;&gt;"",H14&lt;&gt;"not_applicable"),AND(NOT(AND(D14="retain",E14="statistical_results")),I14&lt;&gt;"",I14&lt;&gt;"not_applicable"),AND(NOT(AND(D14="retain",E14="statistical_results")),J14&lt;&gt;"",J14&lt;&gt;"not_applicable"),AND(NOT(AND(D14="retain",OR(E14="report_internal_inconsistency",E14="plan_material"))),K14&lt;&gt;"",K14&lt;&gt;"not_applicable"),AND(NOT(AND(D14="retain",E14="protocol_report")),L14&lt;&gt;"",L14&lt;&gt;"not_applicable")),"CLEAR INACTIVE VALUES",IF(OR(NOT(OR(D14="retain",D14="exclude",D14="discuss")),NOT(OR(E14="statistical_results",E14="report_internal_inconsistency",E14="plan_material",E14="protocol_report")),AND(AND(D14="retain",E14="statistical_results"),NOT(OR(H14="confirmed_issue",H14="probable_issue",H14="not_issue",H14="indeterminate"))),AND(AND(D14="retain",E14="statistical_results"),NOT(OR(I14="substantive",I14="minor_presentation",I14="indeterminate"))),AND(AND(D14="retain",E14="statistical_results"),J14&lt;&gt;"",NOT(OR(J14="direct",J14="possible",J14="unlikely",J14="unknown"))),AND(AND(D14="retain",OR(E14="report_internal_inconsistency",E14="plan_material")),NOT(OR(K14="substantive_inconsistency",K14="minor_presentation",K14="non_inconsistency",K14="indeterminate"))),AND(AND(D14="retain",E14="protocol_report"),L14&lt;&gt;"",NOT(OR(L14="substantive_difference",L14="minor_presentation",L14="version_timing",L14="non_inconsistency",L14="indeterminate")))),"CHECK FIELDS",IF(Setup!$B$6="primary",IF(OR(N14&lt;&gt;"",O14&lt;&gt;"",P14&lt;&gt;"",Q14&lt;&gt;""),"CLEAR CHECKER FIELDS",IF(OR(Setup!$B$4&lt;&gt;"",Setup!$B$5&lt;&gt;""),"CLEAR CHECKER ID",IF(F14&lt;&gt;"primary_done","PRIMARY DRAFT","PRIMARY READY"))),IF(OR(COUNTIF(Primary_snapshot!$A$2:$A$120,A14)&lt;&gt;1,INDEX('Primary_snapshot'!$J$2:$J$120,MATCH(A14,'Primary_snapshot'!$A$2:$A$120,0))&lt;&gt;"primary_done",INDEX('Primary_snapshot'!$K$2:$K$120,MATCH(A14,'Primary_snapshot'!$A$2:$A$120,0))&lt;&gt;Setup!$B$2,INDEX('Primary_snapshot'!$B$2:$B$120,MATCH(A14,'Primary_snapshot'!$A$2:$A$120,0))="NOT FROZEN",INDEX('Primary_snapshot'!$C$2:$C$120,MATCH(A14,'Primary_snapshot'!$A$2:$A$120,0))="NOT FROZEN",INDEX('Primary_snapshot'!$D$2:$D$120,MATCH(A14,'Primary_snapshot'!$A$2:$A$120,0))="NOT FROZEN",INDEX('Primary_snapshot'!$E$2:$E$120,MATCH(A14,'Primary_snapshot'!$A$2:$A$120,0))="NOT FROZEN",INDEX('Primary_snapshot'!$F$2:$F$120,MATCH(A14,'Primary_snapshot'!$A$2:$A$120,0))="NOT FROZEN",INDEX('Primary_snapshot'!$G$2:$G$120,MATCH(A14,'Primary_snapshot'!$A$2:$A$120,0))="NOT FROZEN",INDEX('Primary_snapshot'!$H$2:$H$120,MATCH(A14,'Primary_snapshot'!$A$2:$A$120,0))="NOT FROZEN",INDEX('Primary_snapshot'!$I$2:$I$120,MATCH(A14,'Primary_snapshot'!$A$2:$A$120,0))="NOT FROZEN",INDEX('Primary_snapshot'!$J$2:$J$120,MATCH(A14,'Primary_snapshot'!$A$2:$A$120,0))="NOT FROZEN",INDEX('Primary_snapshot'!$K$2:$K$120,MATCH(A14,'Primary_snapshot'!$A$2:$A$120,0))="NOT FROZEN",INDEX('Primary_snapshot'!$L$2:$L$120,MATCH(A14,'Primary_snapshot'!$A$2:$A$120,0))="NOT FROZEN"),"FREEZE SNAPSHOT",IF(NOT(OR(N14="agree",N14="agree_clarification",N14="disagree",N14="unable")),"CHECKER RESULT NEEDED",IF(AND(N14&lt;&gt;"agree",LEN(TRIM(O14))=0),"COMMENT NEEDED",IF(AND(N14="agree",NOT(AND(IF(D14="","",D14)=IF(INDEX('Primary_snapshot'!$B$2:$B$120,MATCH(A14,'Primary_snapshot'!$A$2:$A$120,0))="","",INDEX('Primary_snapshot'!$B$2:$B$120,MATCH(A14,'Primary_snapshot'!$A$2:$A$120,0))),IF(E14="","",E14)=IF(INDEX('Primary_snapshot'!$C$2:$C$120,MATCH(A14,'Primary_snapshot'!$A$2:$A$120,0))="","",INDEX('Primary_snapshot'!$C$2:$C$120,MATCH(A14,'Primary_snapshot'!$A$2:$A$120,0))),IF(AND(D14="retain",E14="statistical_results"),IF(H14="","",H14),"not_applicable")=IF(INDEX('Primary_snapshot'!$D$2:$D$120,MATCH(A14,'Primary_snapshot'!$A$2:$A$120,0))="","",INDEX('Primary_snapshot'!$D$2:$D$120,MATCH(A14,'Primary_snapshot'!$A$2:$A$120,0))),IF(AND(D14="retain",E14="statistical_results"),IF(I14="","",I14),"not_applicable")=IF(INDEX('Primary_snapshot'!$E$2:$E$120,MATCH(A14,'Primary_snapshot'!$A$2:$A$120,0))="","",INDEX('Primary_snapshot'!$E$2:$E$120,MATCH(A14,'Primary_snapshot'!$A$2:$A$120,0))),IF(AND(D14="retain",E14="statistical_results"),IF(J14="","",J14),"not_applicable")=IF(INDEX('Primary_snapshot'!$F$2:$F$120,MATCH(A14,'Primary_snapshot'!$A$2:$A$120,0))="","",INDEX('Primary_snapshot'!$F$2:$F$120,MATCH(A14,'Primary_snapshot'!$A$2:$A$120,0))),IF(AND(D14="retain",OR(E14="report_internal_inconsistency",E14="plan_material")),IF(K14="","",K14),"not_applicable")=IF(INDEX('Primary_snapshot'!$G$2:$G$120,MATCH(A14,'Primary_snapshot'!$A$2:$A$120,0))="","",INDEX('Primary_snapshot'!$G$2:$G$120,MATCH(A14,'Primary_snapshot'!$A$2:$A$120,0))),IF(AND(D14="retain",E14="protocol_report"),IF(L14="","",L14),"not_applicable")=IF(INDEX('Primary_snapshot'!$H$2:$H$120,MATCH(A14,'Primary_snapshot'!$A$2:$A$120,0))="","",INDEX('Primary_snapshot'!$H$2:$H$120,MATCH(A14,'Primary_snapshot'!$A$2:$A$120,0))),IF(R14="","",R14)=IF(INDEX('Primary_snapshot'!$I$2:$I$120,MATCH(A14,'Primary_snapshot'!$A$2:$A$120,0))="","",INDEX('Primary_snapshot'!$I$2:$I$120,MATCH(A14,'Primary_snapshot'!$A$2:$A$120,0)))))),"AGREE BUT CHANGED",IF(AND(P14&lt;&gt;"",NOT(OR(P14="pending",P14="resolved"))),"CHECK RESOLUTION",IF(OR(AND(OR(D14="discuss",INDEX('Primary_snapshot'!$B$2:$B$120,MATCH(A14,'Primary_snapshot'!$A$2:$A$120,0))="discuss",N14="disagree",N14="unable"),P14&lt;&gt;"resolved"),D14="discuss"),"DISCUSS",IF(AND(P14="resolved",LEN(TRIM(Q14))=0),"RESOLUTION NOTE NEEDED",IF(F14&lt;&gt;"checker_done","CHECKER DRAFT","FINAL READY")))))))))))))),"CHECK KEY / SNAPSHOT")</x:f>
        <x:v>CHECK REVIEWER IDs</x:v>
      </x:c>
      <x:c r="H14" s="7" t="str">
        <x:f>IF(AND(OR(D14="retain",D14=""),E14="statistical_results"),"","not_applicable")</x:f>
      </x:c>
      <x:c r="I14" s="7" t="str">
        <x:f>IF(AND(OR(D14="retain",D14=""),E14="statistical_results"),"","not_applicable")</x:f>
      </x:c>
      <x:c r="J14" s="13" t="str">
        <x:f>IF(AND(OR(D14="retain",D14=""),E14="statistical_results"),"","not_applicable")</x:f>
      </x:c>
      <x:c r="K14" s="7" t="str">
        <x:f>IF(AND(OR(D14="retain",D14=""),OR(E14="report_internal_inconsistency",E14="plan_material")),"","not_applicable")</x:f>
        <x:v>not_applicable</x:v>
      </x:c>
      <x:c r="L14" s="13" t="str">
        <x:f>IF(AND(OR(D14="retain",D14=""),E14="protocol_report"),"","not_applicable")</x:f>
        <x:v>not_applicable</x:v>
      </x:c>
      <x:c r="M14" s="6" t="str">
        <x:f>IF(Setup!$B$6="primary","",IFERROR(IF(INDEX('Primary_snapshot'!$L$2:$L$120,MATCH(A14,'Primary_snapshot'!$A$2:$A$120,0))="","",INDEX('Primary_snapshot'!$L$2:$L$120,MATCH(A14,'Primary_snapshot'!$A$2:$A$120,0))),"SNAPSHOT MISSING"))</x:f>
      </x:c>
      <x:c r="N14" s="7" t="str"/>
      <x:c r="O14" s="7" t="str"/>
      <x:c r="P14" s="7" t="str"/>
      <x:c r="Q14" s="7" t="str"/>
      <x:c r="R14" s="13" t="str"/>
    </x:row>
    <x:row r="15" ht="92" customHeight="1">
      <x:c r="A15" s="3" t="str">
        <x:v>2018::jama.2018.14280::C014</x:v>
      </x:c>
      <x:c r="B15" s="3" t="str">
        <x:v>ARDS RR does not reproduce from printed risks</x:v>
      </x:c>
      <x:c r="C15" s="3" t="str">
        <x:v>DOC-001, Table 2, Development of ARDS and footnote c.</x:v>
      </x:c>
      <x:c r="D15" s="7" t="str"/>
      <x:c r="E15" s="7" t="str">
        <x:v>statistical_results</x:v>
      </x:c>
      <x:c r="F15" s="7" t="str">
        <x:v>no</x:v>
      </x:c>
      <x:c r="G15" s="3" t="str">
        <x:f>IFERROR(IF(NOT(OR(Setup!$B$6="primary",Setup!$B$6="checker")),"CHECK STAGE",IF(OR(LEN(TRIM(Setup!$B$2))=0,Setup!$B$2&lt;&gt;TRIM(Setup!$B$2),AND(Setup!$B$6="checker",OR(LEN(TRIM(Setup!$B$4))=0,Setup!$B$4&lt;&gt;TRIM(Setup!$B$4),LOWER(TRIM(Setup!$B$4))=LOWER(TRIM(Setup!$B$2))))),"CHECK REVIEWER IDs",IF(OR(COUNTIF($A$2:$A$24,A15)&lt;&gt;1,COUNTIF(Decisions!$C$2:$C$120,A15)&lt;&gt;1),"CHECK KEY",IF(OR(AND(NOT(AND(D15="retain",E15="statistical_results")),H15&lt;&gt;"",H15&lt;&gt;"not_applicable"),AND(NOT(AND(D15="retain",E15="statistical_results")),I15&lt;&gt;"",I15&lt;&gt;"not_applicable"),AND(NOT(AND(D15="retain",E15="statistical_results")),J15&lt;&gt;"",J15&lt;&gt;"not_applicable"),AND(NOT(AND(D15="retain",OR(E15="report_internal_inconsistency",E15="plan_material"))),K15&lt;&gt;"",K15&lt;&gt;"not_applicable"),AND(NOT(AND(D15="retain",E15="protocol_report")),L15&lt;&gt;"",L15&lt;&gt;"not_applicable")),"CLEAR INACTIVE VALUES",IF(OR(NOT(OR(D15="retain",D15="exclude",D15="discuss")),NOT(OR(E15="statistical_results",E15="report_internal_inconsistency",E15="plan_material",E15="protocol_report")),AND(AND(D15="retain",E15="statistical_results"),NOT(OR(H15="confirmed_issue",H15="probable_issue",H15="not_issue",H15="indeterminate"))),AND(AND(D15="retain",E15="statistical_results"),NOT(OR(I15="substantive",I15="minor_presentation",I15="indeterminate"))),AND(AND(D15="retain",E15="statistical_results"),J15&lt;&gt;"",NOT(OR(J15="direct",J15="possible",J15="unlikely",J15="unknown"))),AND(AND(D15="retain",OR(E15="report_internal_inconsistency",E15="plan_material")),NOT(OR(K15="substantive_inconsistency",K15="minor_presentation",K15="non_inconsistency",K15="indeterminate"))),AND(AND(D15="retain",E15="protocol_report"),L15&lt;&gt;"",NOT(OR(L15="substantive_difference",L15="minor_presentation",L15="version_timing",L15="non_inconsistency",L15="indeterminate")))),"CHECK FIELDS",IF(Setup!$B$6="primary",IF(OR(N15&lt;&gt;"",O15&lt;&gt;"",P15&lt;&gt;"",Q15&lt;&gt;""),"CLEAR CHECKER FIELDS",IF(OR(Setup!$B$4&lt;&gt;"",Setup!$B$5&lt;&gt;""),"CLEAR CHECKER ID",IF(F15&lt;&gt;"primary_done","PRIMARY DRAFT","PRIMARY READY"))),IF(OR(COUNTIF(Primary_snapshot!$A$2:$A$120,A15)&lt;&gt;1,INDEX('Primary_snapshot'!$J$2:$J$120,MATCH(A15,'Primary_snapshot'!$A$2:$A$120,0))&lt;&gt;"primary_done",INDEX('Primary_snapshot'!$K$2:$K$120,MATCH(A15,'Primary_snapshot'!$A$2:$A$120,0))&lt;&gt;Setup!$B$2,INDEX('Primary_snapshot'!$B$2:$B$120,MATCH(A15,'Primary_snapshot'!$A$2:$A$120,0))="NOT FROZEN",INDEX('Primary_snapshot'!$C$2:$C$120,MATCH(A15,'Primary_snapshot'!$A$2:$A$120,0))="NOT FROZEN",INDEX('Primary_snapshot'!$D$2:$D$120,MATCH(A15,'Primary_snapshot'!$A$2:$A$120,0))="NOT FROZEN",INDEX('Primary_snapshot'!$E$2:$E$120,MATCH(A15,'Primary_snapshot'!$A$2:$A$120,0))="NOT FROZEN",INDEX('Primary_snapshot'!$F$2:$F$120,MATCH(A15,'Primary_snapshot'!$A$2:$A$120,0))="NOT FROZEN",INDEX('Primary_snapshot'!$G$2:$G$120,MATCH(A15,'Primary_snapshot'!$A$2:$A$120,0))="NOT FROZEN",INDEX('Primary_snapshot'!$H$2:$H$120,MATCH(A15,'Primary_snapshot'!$A$2:$A$120,0))="NOT FROZEN",INDEX('Primary_snapshot'!$I$2:$I$120,MATCH(A15,'Primary_snapshot'!$A$2:$A$120,0))="NOT FROZEN",INDEX('Primary_snapshot'!$J$2:$J$120,MATCH(A15,'Primary_snapshot'!$A$2:$A$120,0))="NOT FROZEN",INDEX('Primary_snapshot'!$K$2:$K$120,MATCH(A15,'Primary_snapshot'!$A$2:$A$120,0))="NOT FROZEN",INDEX('Primary_snapshot'!$L$2:$L$120,MATCH(A15,'Primary_snapshot'!$A$2:$A$120,0))="NOT FROZEN"),"FREEZE SNAPSHOT",IF(NOT(OR(N15="agree",N15="agree_clarification",N15="disagree",N15="unable")),"CHECKER RESULT NEEDED",IF(AND(N15&lt;&gt;"agree",LEN(TRIM(O15))=0),"COMMENT NEEDED",IF(AND(N15="agree",NOT(AND(IF(D15="","",D15)=IF(INDEX('Primary_snapshot'!$B$2:$B$120,MATCH(A15,'Primary_snapshot'!$A$2:$A$120,0))="","",INDEX('Primary_snapshot'!$B$2:$B$120,MATCH(A15,'Primary_snapshot'!$A$2:$A$120,0))),IF(E15="","",E15)=IF(INDEX('Primary_snapshot'!$C$2:$C$120,MATCH(A15,'Primary_snapshot'!$A$2:$A$120,0))="","",INDEX('Primary_snapshot'!$C$2:$C$120,MATCH(A15,'Primary_snapshot'!$A$2:$A$120,0))),IF(AND(D15="retain",E15="statistical_results"),IF(H15="","",H15),"not_applicable")=IF(INDEX('Primary_snapshot'!$D$2:$D$120,MATCH(A15,'Primary_snapshot'!$A$2:$A$120,0))="","",INDEX('Primary_snapshot'!$D$2:$D$120,MATCH(A15,'Primary_snapshot'!$A$2:$A$120,0))),IF(AND(D15="retain",E15="statistical_results"),IF(I15="","",I15),"not_applicable")=IF(INDEX('Primary_snapshot'!$E$2:$E$120,MATCH(A15,'Primary_snapshot'!$A$2:$A$120,0))="","",INDEX('Primary_snapshot'!$E$2:$E$120,MATCH(A15,'Primary_snapshot'!$A$2:$A$120,0))),IF(AND(D15="retain",E15="statistical_results"),IF(J15="","",J15),"not_applicable")=IF(INDEX('Primary_snapshot'!$F$2:$F$120,MATCH(A15,'Primary_snapshot'!$A$2:$A$120,0))="","",INDEX('Primary_snapshot'!$F$2:$F$120,MATCH(A15,'Primary_snapshot'!$A$2:$A$120,0))),IF(AND(D15="retain",OR(E15="report_internal_inconsistency",E15="plan_material")),IF(K15="","",K15),"not_applicable")=IF(INDEX('Primary_snapshot'!$G$2:$G$120,MATCH(A15,'Primary_snapshot'!$A$2:$A$120,0))="","",INDEX('Primary_snapshot'!$G$2:$G$120,MATCH(A15,'Primary_snapshot'!$A$2:$A$120,0))),IF(AND(D15="retain",E15="protocol_report"),IF(L15="","",L15),"not_applicable")=IF(INDEX('Primary_snapshot'!$H$2:$H$120,MATCH(A15,'Primary_snapshot'!$A$2:$A$120,0))="","",INDEX('Primary_snapshot'!$H$2:$H$120,MATCH(A15,'Primary_snapshot'!$A$2:$A$120,0))),IF(R15="","",R15)=IF(INDEX('Primary_snapshot'!$I$2:$I$120,MATCH(A15,'Primary_snapshot'!$A$2:$A$120,0))="","",INDEX('Primary_snapshot'!$I$2:$I$120,MATCH(A15,'Primary_snapshot'!$A$2:$A$120,0)))))),"AGREE BUT CHANGED",IF(AND(P15&lt;&gt;"",NOT(OR(P15="pending",P15="resolved"))),"CHECK RESOLUTION",IF(OR(AND(OR(D15="discuss",INDEX('Primary_snapshot'!$B$2:$B$120,MATCH(A15,'Primary_snapshot'!$A$2:$A$120,0))="discuss",N15="disagree",N15="unable"),P15&lt;&gt;"resolved"),D15="discuss"),"DISCUSS",IF(AND(P15="resolved",LEN(TRIM(Q15))=0),"RESOLUTION NOTE NEEDED",IF(F15&lt;&gt;"checker_done","CHECKER DRAFT","FINAL READY")))))))))))))),"CHECK KEY / SNAPSHOT")</x:f>
        <x:v>CHECK REVIEWER IDs</x:v>
      </x:c>
      <x:c r="H15" s="7" t="str">
        <x:f>IF(AND(OR(D15="retain",D15=""),E15="statistical_results"),"","not_applicable")</x:f>
      </x:c>
      <x:c r="I15" s="7" t="str">
        <x:f>IF(AND(OR(D15="retain",D15=""),E15="statistical_results"),"","not_applicable")</x:f>
      </x:c>
      <x:c r="J15" s="13" t="str">
        <x:f>IF(AND(OR(D15="retain",D15=""),E15="statistical_results"),"","not_applicable")</x:f>
      </x:c>
      <x:c r="K15" s="7" t="str">
        <x:f>IF(AND(OR(D15="retain",D15=""),OR(E15="report_internal_inconsistency",E15="plan_material")),"","not_applicable")</x:f>
        <x:v>not_applicable</x:v>
      </x:c>
      <x:c r="L15" s="13" t="str">
        <x:f>IF(AND(OR(D15="retain",D15=""),E15="protocol_report"),"","not_applicable")</x:f>
        <x:v>not_applicable</x:v>
      </x:c>
      <x:c r="M15" s="3" t="str">
        <x:f>IF(Setup!$B$6="primary","",IFERROR(IF(INDEX('Primary_snapshot'!$L$2:$L$120,MATCH(A15,'Primary_snapshot'!$A$2:$A$120,0))="","",INDEX('Primary_snapshot'!$L$2:$L$120,MATCH(A15,'Primary_snapshot'!$A$2:$A$120,0))),"SNAPSHOT MISSING"))</x:f>
      </x:c>
      <x:c r="N15" s="7" t="str"/>
      <x:c r="O15" s="7" t="str"/>
      <x:c r="P15" s="7" t="str"/>
      <x:c r="Q15" s="7" t="str"/>
      <x:c r="R15" s="13" t="str"/>
    </x:row>
    <x:row r="16" ht="92" customHeight="1">
      <x:c r="A16" s="6" t="str">
        <x:v>2018::jama.2018.14280::C015</x:v>
      </x:c>
      <x:c r="B16" s="6" t="str">
        <x:v>Pneumonia RR does not reproduce from printed risks</x:v>
      </x:c>
      <x:c r="C16" s="6" t="str">
        <x:v>DOC-001, Table 2, Development of pneumonia and footnote c.</x:v>
      </x:c>
      <x:c r="D16" s="7" t="str"/>
      <x:c r="E16" s="7" t="str">
        <x:v>statistical_results</x:v>
      </x:c>
      <x:c r="F16" s="7" t="str">
        <x:v>no</x:v>
      </x:c>
      <x:c r="G16" s="6" t="str">
        <x:f>IFERROR(IF(NOT(OR(Setup!$B$6="primary",Setup!$B$6="checker")),"CHECK STAGE",IF(OR(LEN(TRIM(Setup!$B$2))=0,Setup!$B$2&lt;&gt;TRIM(Setup!$B$2),AND(Setup!$B$6="checker",OR(LEN(TRIM(Setup!$B$4))=0,Setup!$B$4&lt;&gt;TRIM(Setup!$B$4),LOWER(TRIM(Setup!$B$4))=LOWER(TRIM(Setup!$B$2))))),"CHECK REVIEWER IDs",IF(OR(COUNTIF($A$2:$A$24,A16)&lt;&gt;1,COUNTIF(Decisions!$C$2:$C$120,A16)&lt;&gt;1),"CHECK KEY",IF(OR(AND(NOT(AND(D16="retain",E16="statistical_results")),H16&lt;&gt;"",H16&lt;&gt;"not_applicable"),AND(NOT(AND(D16="retain",E16="statistical_results")),I16&lt;&gt;"",I16&lt;&gt;"not_applicable"),AND(NOT(AND(D16="retain",E16="statistical_results")),J16&lt;&gt;"",J16&lt;&gt;"not_applicable"),AND(NOT(AND(D16="retain",OR(E16="report_internal_inconsistency",E16="plan_material"))),K16&lt;&gt;"",K16&lt;&gt;"not_applicable"),AND(NOT(AND(D16="retain",E16="protocol_report")),L16&lt;&gt;"",L16&lt;&gt;"not_applicable")),"CLEAR INACTIVE VALUES",IF(OR(NOT(OR(D16="retain",D16="exclude",D16="discuss")),NOT(OR(E16="statistical_results",E16="report_internal_inconsistency",E16="plan_material",E16="protocol_report")),AND(AND(D16="retain",E16="statistical_results"),NOT(OR(H16="confirmed_issue",H16="probable_issue",H16="not_issue",H16="indeterminate"))),AND(AND(D16="retain",E16="statistical_results"),NOT(OR(I16="substantive",I16="minor_presentation",I16="indeterminate"))),AND(AND(D16="retain",E16="statistical_results"),J16&lt;&gt;"",NOT(OR(J16="direct",J16="possible",J16="unlikely",J16="unknown"))),AND(AND(D16="retain",OR(E16="report_internal_inconsistency",E16="plan_material")),NOT(OR(K16="substantive_inconsistency",K16="minor_presentation",K16="non_inconsistency",K16="indeterminate"))),AND(AND(D16="retain",E16="protocol_report"),L16&lt;&gt;"",NOT(OR(L16="substantive_difference",L16="minor_presentation",L16="version_timing",L16="non_inconsistency",L16="indeterminate")))),"CHECK FIELDS",IF(Setup!$B$6="primary",IF(OR(N16&lt;&gt;"",O16&lt;&gt;"",P16&lt;&gt;"",Q16&lt;&gt;""),"CLEAR CHECKER FIELDS",IF(OR(Setup!$B$4&lt;&gt;"",Setup!$B$5&lt;&gt;""),"CLEAR CHECKER ID",IF(F16&lt;&gt;"primary_done","PRIMARY DRAFT","PRIMARY READY"))),IF(OR(COUNTIF(Primary_snapshot!$A$2:$A$120,A16)&lt;&gt;1,INDEX('Primary_snapshot'!$J$2:$J$120,MATCH(A16,'Primary_snapshot'!$A$2:$A$120,0))&lt;&gt;"primary_done",INDEX('Primary_snapshot'!$K$2:$K$120,MATCH(A16,'Primary_snapshot'!$A$2:$A$120,0))&lt;&gt;Setup!$B$2,INDEX('Primary_snapshot'!$B$2:$B$120,MATCH(A16,'Primary_snapshot'!$A$2:$A$120,0))="NOT FROZEN",INDEX('Primary_snapshot'!$C$2:$C$120,MATCH(A16,'Primary_snapshot'!$A$2:$A$120,0))="NOT FROZEN",INDEX('Primary_snapshot'!$D$2:$D$120,MATCH(A16,'Primary_snapshot'!$A$2:$A$120,0))="NOT FROZEN",INDEX('Primary_snapshot'!$E$2:$E$120,MATCH(A16,'Primary_snapshot'!$A$2:$A$120,0))="NOT FROZEN",INDEX('Primary_snapshot'!$F$2:$F$120,MATCH(A16,'Primary_snapshot'!$A$2:$A$120,0))="NOT FROZEN",INDEX('Primary_snapshot'!$G$2:$G$120,MATCH(A16,'Primary_snapshot'!$A$2:$A$120,0))="NOT FROZEN",INDEX('Primary_snapshot'!$H$2:$H$120,MATCH(A16,'Primary_snapshot'!$A$2:$A$120,0))="NOT FROZEN",INDEX('Primary_snapshot'!$I$2:$I$120,MATCH(A16,'Primary_snapshot'!$A$2:$A$120,0))="NOT FROZEN",INDEX('Primary_snapshot'!$J$2:$J$120,MATCH(A16,'Primary_snapshot'!$A$2:$A$120,0))="NOT FROZEN",INDEX('Primary_snapshot'!$K$2:$K$120,MATCH(A16,'Primary_snapshot'!$A$2:$A$120,0))="NOT FROZEN",INDEX('Primary_snapshot'!$L$2:$L$120,MATCH(A16,'Primary_snapshot'!$A$2:$A$120,0))="NOT FROZEN"),"FREEZE SNAPSHOT",IF(NOT(OR(N16="agree",N16="agree_clarification",N16="disagree",N16="unable")),"CHECKER RESULT NEEDED",IF(AND(N16&lt;&gt;"agree",LEN(TRIM(O16))=0),"COMMENT NEEDED",IF(AND(N16="agree",NOT(AND(IF(D16="","",D16)=IF(INDEX('Primary_snapshot'!$B$2:$B$120,MATCH(A16,'Primary_snapshot'!$A$2:$A$120,0))="","",INDEX('Primary_snapshot'!$B$2:$B$120,MATCH(A16,'Primary_snapshot'!$A$2:$A$120,0))),IF(E16="","",E16)=IF(INDEX('Primary_snapshot'!$C$2:$C$120,MATCH(A16,'Primary_snapshot'!$A$2:$A$120,0))="","",INDEX('Primary_snapshot'!$C$2:$C$120,MATCH(A16,'Primary_snapshot'!$A$2:$A$120,0))),IF(AND(D16="retain",E16="statistical_results"),IF(H16="","",H16),"not_applicable")=IF(INDEX('Primary_snapshot'!$D$2:$D$120,MATCH(A16,'Primary_snapshot'!$A$2:$A$120,0))="","",INDEX('Primary_snapshot'!$D$2:$D$120,MATCH(A16,'Primary_snapshot'!$A$2:$A$120,0))),IF(AND(D16="retain",E16="statistical_results"),IF(I16="","",I16),"not_applicable")=IF(INDEX('Primary_snapshot'!$E$2:$E$120,MATCH(A16,'Primary_snapshot'!$A$2:$A$120,0))="","",INDEX('Primary_snapshot'!$E$2:$E$120,MATCH(A16,'Primary_snapshot'!$A$2:$A$120,0))),IF(AND(D16="retain",E16="statistical_results"),IF(J16="","",J16),"not_applicable")=IF(INDEX('Primary_snapshot'!$F$2:$F$120,MATCH(A16,'Primary_snapshot'!$A$2:$A$120,0))="","",INDEX('Primary_snapshot'!$F$2:$F$120,MATCH(A16,'Primary_snapshot'!$A$2:$A$120,0))),IF(AND(D16="retain",OR(E16="report_internal_inconsistency",E16="plan_material")),IF(K16="","",K16),"not_applicable")=IF(INDEX('Primary_snapshot'!$G$2:$G$120,MATCH(A16,'Primary_snapshot'!$A$2:$A$120,0))="","",INDEX('Primary_snapshot'!$G$2:$G$120,MATCH(A16,'Primary_snapshot'!$A$2:$A$120,0))),IF(AND(D16="retain",E16="protocol_report"),IF(L16="","",L16),"not_applicable")=IF(INDEX('Primary_snapshot'!$H$2:$H$120,MATCH(A16,'Primary_snapshot'!$A$2:$A$120,0))="","",INDEX('Primary_snapshot'!$H$2:$H$120,MATCH(A16,'Primary_snapshot'!$A$2:$A$120,0))),IF(R16="","",R16)=IF(INDEX('Primary_snapshot'!$I$2:$I$120,MATCH(A16,'Primary_snapshot'!$A$2:$A$120,0))="","",INDEX('Primary_snapshot'!$I$2:$I$120,MATCH(A16,'Primary_snapshot'!$A$2:$A$120,0)))))),"AGREE BUT CHANGED",IF(AND(P16&lt;&gt;"",NOT(OR(P16="pending",P16="resolved"))),"CHECK RESOLUTION",IF(OR(AND(OR(D16="discuss",INDEX('Primary_snapshot'!$B$2:$B$120,MATCH(A16,'Primary_snapshot'!$A$2:$A$120,0))="discuss",N16="disagree",N16="unable"),P16&lt;&gt;"resolved"),D16="discuss"),"DISCUSS",IF(AND(P16="resolved",LEN(TRIM(Q16))=0),"RESOLUTION NOTE NEEDED",IF(F16&lt;&gt;"checker_done","CHECKER DRAFT","FINAL READY")))))))))))))),"CHECK KEY / SNAPSHOT")</x:f>
        <x:v>CHECK REVIEWER IDs</x:v>
      </x:c>
      <x:c r="H16" s="7" t="str">
        <x:f>IF(AND(OR(D16="retain",D16=""),E16="statistical_results"),"","not_applicable")</x:f>
      </x:c>
      <x:c r="I16" s="7" t="str">
        <x:f>IF(AND(OR(D16="retain",D16=""),E16="statistical_results"),"","not_applicable")</x:f>
      </x:c>
      <x:c r="J16" s="13" t="str">
        <x:f>IF(AND(OR(D16="retain",D16=""),E16="statistical_results"),"","not_applicable")</x:f>
      </x:c>
      <x:c r="K16" s="7" t="str">
        <x:f>IF(AND(OR(D16="retain",D16=""),OR(E16="report_internal_inconsistency",E16="plan_material")),"","not_applicable")</x:f>
        <x:v>not_applicable</x:v>
      </x:c>
      <x:c r="L16" s="13" t="str">
        <x:f>IF(AND(OR(D16="retain",D16=""),E16="protocol_report"),"","not_applicable")</x:f>
        <x:v>not_applicable</x:v>
      </x:c>
      <x:c r="M16" s="6" t="str">
        <x:f>IF(Setup!$B$6="primary","",IFERROR(IF(INDEX('Primary_snapshot'!$L$2:$L$120,MATCH(A16,'Primary_snapshot'!$A$2:$A$120,0))="","",INDEX('Primary_snapshot'!$L$2:$L$120,MATCH(A16,'Primary_snapshot'!$A$2:$A$120,0))),"SNAPSHOT MISSING"))</x:f>
      </x:c>
      <x:c r="N16" s="7" t="str"/>
      <x:c r="O16" s="7" t="str"/>
      <x:c r="P16" s="7" t="str"/>
      <x:c r="Q16" s="7" t="str"/>
      <x:c r="R16" s="13" t="str"/>
    </x:row>
    <x:row r="17" ht="92" customHeight="1">
      <x:c r="A17" s="3" t="str">
        <x:v>2018::jama.2018.14280::C016</x:v>
      </x:c>
      <x:c r="B17" s="3" t="str">
        <x:v>Pneumothorax RR does not reproduce from printed risks</x:v>
      </x:c>
      <x:c r="C17" s="3" t="str">
        <x:v>DOC-001, Table 2, Pneumothorax and footnote c.</x:v>
      </x:c>
      <x:c r="D17" s="7" t="str"/>
      <x:c r="E17" s="7" t="str">
        <x:v>statistical_results</x:v>
      </x:c>
      <x:c r="F17" s="7" t="str">
        <x:v>no</x:v>
      </x:c>
      <x:c r="G17" s="3" t="str">
        <x:f>IFERROR(IF(NOT(OR(Setup!$B$6="primary",Setup!$B$6="checker")),"CHECK STAGE",IF(OR(LEN(TRIM(Setup!$B$2))=0,Setup!$B$2&lt;&gt;TRIM(Setup!$B$2),AND(Setup!$B$6="checker",OR(LEN(TRIM(Setup!$B$4))=0,Setup!$B$4&lt;&gt;TRIM(Setup!$B$4),LOWER(TRIM(Setup!$B$4))=LOWER(TRIM(Setup!$B$2))))),"CHECK REVIEWER IDs",IF(OR(COUNTIF($A$2:$A$24,A17)&lt;&gt;1,COUNTIF(Decisions!$C$2:$C$120,A17)&lt;&gt;1),"CHECK KEY",IF(OR(AND(NOT(AND(D17="retain",E17="statistical_results")),H17&lt;&gt;"",H17&lt;&gt;"not_applicable"),AND(NOT(AND(D17="retain",E17="statistical_results")),I17&lt;&gt;"",I17&lt;&gt;"not_applicable"),AND(NOT(AND(D17="retain",E17="statistical_results")),J17&lt;&gt;"",J17&lt;&gt;"not_applicable"),AND(NOT(AND(D17="retain",OR(E17="report_internal_inconsistency",E17="plan_material"))),K17&lt;&gt;"",K17&lt;&gt;"not_applicable"),AND(NOT(AND(D17="retain",E17="protocol_report")),L17&lt;&gt;"",L17&lt;&gt;"not_applicable")),"CLEAR INACTIVE VALUES",IF(OR(NOT(OR(D17="retain",D17="exclude",D17="discuss")),NOT(OR(E17="statistical_results",E17="report_internal_inconsistency",E17="plan_material",E17="protocol_report")),AND(AND(D17="retain",E17="statistical_results"),NOT(OR(H17="confirmed_issue",H17="probable_issue",H17="not_issue",H17="indeterminate"))),AND(AND(D17="retain",E17="statistical_results"),NOT(OR(I17="substantive",I17="minor_presentation",I17="indeterminate"))),AND(AND(D17="retain",E17="statistical_results"),J17&lt;&gt;"",NOT(OR(J17="direct",J17="possible",J17="unlikely",J17="unknown"))),AND(AND(D17="retain",OR(E17="report_internal_inconsistency",E17="plan_material")),NOT(OR(K17="substantive_inconsistency",K17="minor_presentation",K17="non_inconsistency",K17="indeterminate"))),AND(AND(D17="retain",E17="protocol_report"),L17&lt;&gt;"",NOT(OR(L17="substantive_difference",L17="minor_presentation",L17="version_timing",L17="non_inconsistency",L17="indeterminate")))),"CHECK FIELDS",IF(Setup!$B$6="primary",IF(OR(N17&lt;&gt;"",O17&lt;&gt;"",P17&lt;&gt;"",Q17&lt;&gt;""),"CLEAR CHECKER FIELDS",IF(OR(Setup!$B$4&lt;&gt;"",Setup!$B$5&lt;&gt;""),"CLEAR CHECKER ID",IF(F17&lt;&gt;"primary_done","PRIMARY DRAFT","PRIMARY READY"))),IF(OR(COUNTIF(Primary_snapshot!$A$2:$A$120,A17)&lt;&gt;1,INDEX('Primary_snapshot'!$J$2:$J$120,MATCH(A17,'Primary_snapshot'!$A$2:$A$120,0))&lt;&gt;"primary_done",INDEX('Primary_snapshot'!$K$2:$K$120,MATCH(A17,'Primary_snapshot'!$A$2:$A$120,0))&lt;&gt;Setup!$B$2,INDEX('Primary_snapshot'!$B$2:$B$120,MATCH(A17,'Primary_snapshot'!$A$2:$A$120,0))="NOT FROZEN",INDEX('Primary_snapshot'!$C$2:$C$120,MATCH(A17,'Primary_snapshot'!$A$2:$A$120,0))="NOT FROZEN",INDEX('Primary_snapshot'!$D$2:$D$120,MATCH(A17,'Primary_snapshot'!$A$2:$A$120,0))="NOT FROZEN",INDEX('Primary_snapshot'!$E$2:$E$120,MATCH(A17,'Primary_snapshot'!$A$2:$A$120,0))="NOT FROZEN",INDEX('Primary_snapshot'!$F$2:$F$120,MATCH(A17,'Primary_snapshot'!$A$2:$A$120,0))="NOT FROZEN",INDEX('Primary_snapshot'!$G$2:$G$120,MATCH(A17,'Primary_snapshot'!$A$2:$A$120,0))="NOT FROZEN",INDEX('Primary_snapshot'!$H$2:$H$120,MATCH(A17,'Primary_snapshot'!$A$2:$A$120,0))="NOT FROZEN",INDEX('Primary_snapshot'!$I$2:$I$120,MATCH(A17,'Primary_snapshot'!$A$2:$A$120,0))="NOT FROZEN",INDEX('Primary_snapshot'!$J$2:$J$120,MATCH(A17,'Primary_snapshot'!$A$2:$A$120,0))="NOT FROZEN",INDEX('Primary_snapshot'!$K$2:$K$120,MATCH(A17,'Primary_snapshot'!$A$2:$A$120,0))="NOT FROZEN",INDEX('Primary_snapshot'!$L$2:$L$120,MATCH(A17,'Primary_snapshot'!$A$2:$A$120,0))="NOT FROZEN"),"FREEZE SNAPSHOT",IF(NOT(OR(N17="agree",N17="agree_clarification",N17="disagree",N17="unable")),"CHECKER RESULT NEEDED",IF(AND(N17&lt;&gt;"agree",LEN(TRIM(O17))=0),"COMMENT NEEDED",IF(AND(N17="agree",NOT(AND(IF(D17="","",D17)=IF(INDEX('Primary_snapshot'!$B$2:$B$120,MATCH(A17,'Primary_snapshot'!$A$2:$A$120,0))="","",INDEX('Primary_snapshot'!$B$2:$B$120,MATCH(A17,'Primary_snapshot'!$A$2:$A$120,0))),IF(E17="","",E17)=IF(INDEX('Primary_snapshot'!$C$2:$C$120,MATCH(A17,'Primary_snapshot'!$A$2:$A$120,0))="","",INDEX('Primary_snapshot'!$C$2:$C$120,MATCH(A17,'Primary_snapshot'!$A$2:$A$120,0))),IF(AND(D17="retain",E17="statistical_results"),IF(H17="","",H17),"not_applicable")=IF(INDEX('Primary_snapshot'!$D$2:$D$120,MATCH(A17,'Primary_snapshot'!$A$2:$A$120,0))="","",INDEX('Primary_snapshot'!$D$2:$D$120,MATCH(A17,'Primary_snapshot'!$A$2:$A$120,0))),IF(AND(D17="retain",E17="statistical_results"),IF(I17="","",I17),"not_applicable")=IF(INDEX('Primary_snapshot'!$E$2:$E$120,MATCH(A17,'Primary_snapshot'!$A$2:$A$120,0))="","",INDEX('Primary_snapshot'!$E$2:$E$120,MATCH(A17,'Primary_snapshot'!$A$2:$A$120,0))),IF(AND(D17="retain",E17="statistical_results"),IF(J17="","",J17),"not_applicable")=IF(INDEX('Primary_snapshot'!$F$2:$F$120,MATCH(A17,'Primary_snapshot'!$A$2:$A$120,0))="","",INDEX('Primary_snapshot'!$F$2:$F$120,MATCH(A17,'Primary_snapshot'!$A$2:$A$120,0))),IF(AND(D17="retain",OR(E17="report_internal_inconsistency",E17="plan_material")),IF(K17="","",K17),"not_applicable")=IF(INDEX('Primary_snapshot'!$G$2:$G$120,MATCH(A17,'Primary_snapshot'!$A$2:$A$120,0))="","",INDEX('Primary_snapshot'!$G$2:$G$120,MATCH(A17,'Primary_snapshot'!$A$2:$A$120,0))),IF(AND(D17="retain",E17="protocol_report"),IF(L17="","",L17),"not_applicable")=IF(INDEX('Primary_snapshot'!$H$2:$H$120,MATCH(A17,'Primary_snapshot'!$A$2:$A$120,0))="","",INDEX('Primary_snapshot'!$H$2:$H$120,MATCH(A17,'Primary_snapshot'!$A$2:$A$120,0))),IF(R17="","",R17)=IF(INDEX('Primary_snapshot'!$I$2:$I$120,MATCH(A17,'Primary_snapshot'!$A$2:$A$120,0))="","",INDEX('Primary_snapshot'!$I$2:$I$120,MATCH(A17,'Primary_snapshot'!$A$2:$A$120,0)))))),"AGREE BUT CHANGED",IF(AND(P17&lt;&gt;"",NOT(OR(P17="pending",P17="resolved"))),"CHECK RESOLUTION",IF(OR(AND(OR(D17="discuss",INDEX('Primary_snapshot'!$B$2:$B$120,MATCH(A17,'Primary_snapshot'!$A$2:$A$120,0))="discuss",N17="disagree",N17="unable"),P17&lt;&gt;"resolved"),D17="discuss"),"DISCUSS",IF(AND(P17="resolved",LEN(TRIM(Q17))=0),"RESOLUTION NOTE NEEDED",IF(F17&lt;&gt;"checker_done","CHECKER DRAFT","FINAL READY")))))))))))))),"CHECK KEY / SNAPSHOT")</x:f>
        <x:v>CHECK REVIEWER IDs</x:v>
      </x:c>
      <x:c r="H17" s="7" t="str">
        <x:f>IF(AND(OR(D17="retain",D17=""),E17="statistical_results"),"","not_applicable")</x:f>
      </x:c>
      <x:c r="I17" s="7" t="str">
        <x:f>IF(AND(OR(D17="retain",D17=""),E17="statistical_results"),"","not_applicable")</x:f>
      </x:c>
      <x:c r="J17" s="13" t="str">
        <x:f>IF(AND(OR(D17="retain",D17=""),E17="statistical_results"),"","not_applicable")</x:f>
      </x:c>
      <x:c r="K17" s="7" t="str">
        <x:f>IF(AND(OR(D17="retain",D17=""),OR(E17="report_internal_inconsistency",E17="plan_material")),"","not_applicable")</x:f>
        <x:v>not_applicable</x:v>
      </x:c>
      <x:c r="L17" s="13" t="str">
        <x:f>IF(AND(OR(D17="retain",D17=""),E17="protocol_report"),"","not_applicable")</x:f>
        <x:v>not_applicable</x:v>
      </x:c>
      <x:c r="M17" s="3" t="str">
        <x:f>IF(Setup!$B$6="primary","",IFERROR(IF(INDEX('Primary_snapshot'!$L$2:$L$120,MATCH(A17,'Primary_snapshot'!$A$2:$A$120,0))="","",INDEX('Primary_snapshot'!$L$2:$L$120,MATCH(A17,'Primary_snapshot'!$A$2:$A$120,0))),"SNAPSHOT MISSING"))</x:f>
      </x:c>
      <x:c r="N17" s="7" t="str"/>
      <x:c r="O17" s="7" t="str"/>
      <x:c r="P17" s="7" t="str"/>
      <x:c r="Q17" s="7" t="str"/>
      <x:c r="R17" s="13" t="str"/>
    </x:row>
    <x:row r="18" ht="92" customHeight="1">
      <x:c r="A18" s="6" t="str">
        <x:v>2018::jama.2018.14280::C017</x:v>
      </x:c>
      <x:c r="B18" s="6" t="str">
        <x:v>Atelectasis RR does not reproduce from printed risks</x:v>
      </x:c>
      <x:c r="C18" s="6" t="str">
        <x:v>DOC-001, Table 2, Atelectasis and footnote c.</x:v>
      </x:c>
      <x:c r="D18" s="7" t="str"/>
      <x:c r="E18" s="7" t="str">
        <x:v>statistical_results</x:v>
      </x:c>
      <x:c r="F18" s="7" t="str">
        <x:v>no</x:v>
      </x:c>
      <x:c r="G18" s="6" t="str">
        <x:f>IFERROR(IF(NOT(OR(Setup!$B$6="primary",Setup!$B$6="checker")),"CHECK STAGE",IF(OR(LEN(TRIM(Setup!$B$2))=0,Setup!$B$2&lt;&gt;TRIM(Setup!$B$2),AND(Setup!$B$6="checker",OR(LEN(TRIM(Setup!$B$4))=0,Setup!$B$4&lt;&gt;TRIM(Setup!$B$4),LOWER(TRIM(Setup!$B$4))=LOWER(TRIM(Setup!$B$2))))),"CHECK REVIEWER IDs",IF(OR(COUNTIF($A$2:$A$24,A18)&lt;&gt;1,COUNTIF(Decisions!$C$2:$C$120,A18)&lt;&gt;1),"CHECK KEY",IF(OR(AND(NOT(AND(D18="retain",E18="statistical_results")),H18&lt;&gt;"",H18&lt;&gt;"not_applicable"),AND(NOT(AND(D18="retain",E18="statistical_results")),I18&lt;&gt;"",I18&lt;&gt;"not_applicable"),AND(NOT(AND(D18="retain",E18="statistical_results")),J18&lt;&gt;"",J18&lt;&gt;"not_applicable"),AND(NOT(AND(D18="retain",OR(E18="report_internal_inconsistency",E18="plan_material"))),K18&lt;&gt;"",K18&lt;&gt;"not_applicable"),AND(NOT(AND(D18="retain",E18="protocol_report")),L18&lt;&gt;"",L18&lt;&gt;"not_applicable")),"CLEAR INACTIVE VALUES",IF(OR(NOT(OR(D18="retain",D18="exclude",D18="discuss")),NOT(OR(E18="statistical_results",E18="report_internal_inconsistency",E18="plan_material",E18="protocol_report")),AND(AND(D18="retain",E18="statistical_results"),NOT(OR(H18="confirmed_issue",H18="probable_issue",H18="not_issue",H18="indeterminate"))),AND(AND(D18="retain",E18="statistical_results"),NOT(OR(I18="substantive",I18="minor_presentation",I18="indeterminate"))),AND(AND(D18="retain",E18="statistical_results"),J18&lt;&gt;"",NOT(OR(J18="direct",J18="possible",J18="unlikely",J18="unknown"))),AND(AND(D18="retain",OR(E18="report_internal_inconsistency",E18="plan_material")),NOT(OR(K18="substantive_inconsistency",K18="minor_presentation",K18="non_inconsistency",K18="indeterminate"))),AND(AND(D18="retain",E18="protocol_report"),L18&lt;&gt;"",NOT(OR(L18="substantive_difference",L18="minor_presentation",L18="version_timing",L18="non_inconsistency",L18="indeterminate")))),"CHECK FIELDS",IF(Setup!$B$6="primary",IF(OR(N18&lt;&gt;"",O18&lt;&gt;"",P18&lt;&gt;"",Q18&lt;&gt;""),"CLEAR CHECKER FIELDS",IF(OR(Setup!$B$4&lt;&gt;"",Setup!$B$5&lt;&gt;""),"CLEAR CHECKER ID",IF(F18&lt;&gt;"primary_done","PRIMARY DRAFT","PRIMARY READY"))),IF(OR(COUNTIF(Primary_snapshot!$A$2:$A$120,A18)&lt;&gt;1,INDEX('Primary_snapshot'!$J$2:$J$120,MATCH(A18,'Primary_snapshot'!$A$2:$A$120,0))&lt;&gt;"primary_done",INDEX('Primary_snapshot'!$K$2:$K$120,MATCH(A18,'Primary_snapshot'!$A$2:$A$120,0))&lt;&gt;Setup!$B$2,INDEX('Primary_snapshot'!$B$2:$B$120,MATCH(A18,'Primary_snapshot'!$A$2:$A$120,0))="NOT FROZEN",INDEX('Primary_snapshot'!$C$2:$C$120,MATCH(A18,'Primary_snapshot'!$A$2:$A$120,0))="NOT FROZEN",INDEX('Primary_snapshot'!$D$2:$D$120,MATCH(A18,'Primary_snapshot'!$A$2:$A$120,0))="NOT FROZEN",INDEX('Primary_snapshot'!$E$2:$E$120,MATCH(A18,'Primary_snapshot'!$A$2:$A$120,0))="NOT FROZEN",INDEX('Primary_snapshot'!$F$2:$F$120,MATCH(A18,'Primary_snapshot'!$A$2:$A$120,0))="NOT FROZEN",INDEX('Primary_snapshot'!$G$2:$G$120,MATCH(A18,'Primary_snapshot'!$A$2:$A$120,0))="NOT FROZEN",INDEX('Primary_snapshot'!$H$2:$H$120,MATCH(A18,'Primary_snapshot'!$A$2:$A$120,0))="NOT FROZEN",INDEX('Primary_snapshot'!$I$2:$I$120,MATCH(A18,'Primary_snapshot'!$A$2:$A$120,0))="NOT FROZEN",INDEX('Primary_snapshot'!$J$2:$J$120,MATCH(A18,'Primary_snapshot'!$A$2:$A$120,0))="NOT FROZEN",INDEX('Primary_snapshot'!$K$2:$K$120,MATCH(A18,'Primary_snapshot'!$A$2:$A$120,0))="NOT FROZEN",INDEX('Primary_snapshot'!$L$2:$L$120,MATCH(A18,'Primary_snapshot'!$A$2:$A$120,0))="NOT FROZEN"),"FREEZE SNAPSHOT",IF(NOT(OR(N18="agree",N18="agree_clarification",N18="disagree",N18="unable")),"CHECKER RESULT NEEDED",IF(AND(N18&lt;&gt;"agree",LEN(TRIM(O18))=0),"COMMENT NEEDED",IF(AND(N18="agree",NOT(AND(IF(D18="","",D18)=IF(INDEX('Primary_snapshot'!$B$2:$B$120,MATCH(A18,'Primary_snapshot'!$A$2:$A$120,0))="","",INDEX('Primary_snapshot'!$B$2:$B$120,MATCH(A18,'Primary_snapshot'!$A$2:$A$120,0))),IF(E18="","",E18)=IF(INDEX('Primary_snapshot'!$C$2:$C$120,MATCH(A18,'Primary_snapshot'!$A$2:$A$120,0))="","",INDEX('Primary_snapshot'!$C$2:$C$120,MATCH(A18,'Primary_snapshot'!$A$2:$A$120,0))),IF(AND(D18="retain",E18="statistical_results"),IF(H18="","",H18),"not_applicable")=IF(INDEX('Primary_snapshot'!$D$2:$D$120,MATCH(A18,'Primary_snapshot'!$A$2:$A$120,0))="","",INDEX('Primary_snapshot'!$D$2:$D$120,MATCH(A18,'Primary_snapshot'!$A$2:$A$120,0))),IF(AND(D18="retain",E18="statistical_results"),IF(I18="","",I18),"not_applicable")=IF(INDEX('Primary_snapshot'!$E$2:$E$120,MATCH(A18,'Primary_snapshot'!$A$2:$A$120,0))="","",INDEX('Primary_snapshot'!$E$2:$E$120,MATCH(A18,'Primary_snapshot'!$A$2:$A$120,0))),IF(AND(D18="retain",E18="statistical_results"),IF(J18="","",J18),"not_applicable")=IF(INDEX('Primary_snapshot'!$F$2:$F$120,MATCH(A18,'Primary_snapshot'!$A$2:$A$120,0))="","",INDEX('Primary_snapshot'!$F$2:$F$120,MATCH(A18,'Primary_snapshot'!$A$2:$A$120,0))),IF(AND(D18="retain",OR(E18="report_internal_inconsistency",E18="plan_material")),IF(K18="","",K18),"not_applicable")=IF(INDEX('Primary_snapshot'!$G$2:$G$120,MATCH(A18,'Primary_snapshot'!$A$2:$A$120,0))="","",INDEX('Primary_snapshot'!$G$2:$G$120,MATCH(A18,'Primary_snapshot'!$A$2:$A$120,0))),IF(AND(D18="retain",E18="protocol_report"),IF(L18="","",L18),"not_applicable")=IF(INDEX('Primary_snapshot'!$H$2:$H$120,MATCH(A18,'Primary_snapshot'!$A$2:$A$120,0))="","",INDEX('Primary_snapshot'!$H$2:$H$120,MATCH(A18,'Primary_snapshot'!$A$2:$A$120,0))),IF(R18="","",R18)=IF(INDEX('Primary_snapshot'!$I$2:$I$120,MATCH(A18,'Primary_snapshot'!$A$2:$A$120,0))="","",INDEX('Primary_snapshot'!$I$2:$I$120,MATCH(A18,'Primary_snapshot'!$A$2:$A$120,0)))))),"AGREE BUT CHANGED",IF(AND(P18&lt;&gt;"",NOT(OR(P18="pending",P18="resolved"))),"CHECK RESOLUTION",IF(OR(AND(OR(D18="discuss",INDEX('Primary_snapshot'!$B$2:$B$120,MATCH(A18,'Primary_snapshot'!$A$2:$A$120,0))="discuss",N18="disagree",N18="unable"),P18&lt;&gt;"resolved"),D18="discuss"),"DISCUSS",IF(AND(P18="resolved",LEN(TRIM(Q18))=0),"RESOLUTION NOTE NEEDED",IF(F18&lt;&gt;"checker_done","CHECKER DRAFT","FINAL READY")))))))))))))),"CHECK KEY / SNAPSHOT")</x:f>
        <x:v>CHECK REVIEWER IDs</x:v>
      </x:c>
      <x:c r="H18" s="7" t="str">
        <x:f>IF(AND(OR(D18="retain",D18=""),E18="statistical_results"),"","not_applicable")</x:f>
      </x:c>
      <x:c r="I18" s="7" t="str">
        <x:f>IF(AND(OR(D18="retain",D18=""),E18="statistical_results"),"","not_applicable")</x:f>
      </x:c>
      <x:c r="J18" s="13" t="str">
        <x:f>IF(AND(OR(D18="retain",D18=""),E18="statistical_results"),"","not_applicable")</x:f>
      </x:c>
      <x:c r="K18" s="7" t="str">
        <x:f>IF(AND(OR(D18="retain",D18=""),OR(E18="report_internal_inconsistency",E18="plan_material")),"","not_applicable")</x:f>
        <x:v>not_applicable</x:v>
      </x:c>
      <x:c r="L18" s="13" t="str">
        <x:f>IF(AND(OR(D18="retain",D18=""),E18="protocol_report"),"","not_applicable")</x:f>
        <x:v>not_applicable</x:v>
      </x:c>
      <x:c r="M18" s="6" t="str">
        <x:f>IF(Setup!$B$6="primary","",IFERROR(IF(INDEX('Primary_snapshot'!$L$2:$L$120,MATCH(A18,'Primary_snapshot'!$A$2:$A$120,0))="","",INDEX('Primary_snapshot'!$L$2:$L$120,MATCH(A18,'Primary_snapshot'!$A$2:$A$120,0))),"SNAPSHOT MISSING"))</x:f>
      </x:c>
      <x:c r="N18" s="7" t="str"/>
      <x:c r="O18" s="7" t="str"/>
      <x:c r="P18" s="7" t="str"/>
      <x:c r="Q18" s="7" t="str"/>
      <x:c r="R18" s="13" t="str"/>
    </x:row>
    <x:row r="19" ht="92" customHeight="1">
      <x:c r="A19" s="3" t="str">
        <x:v>2018::jama.2018.14280::C018</x:v>
      </x:c>
      <x:c r="B19" s="3" t="str">
        <x:v>Extrapulmonary-infection RR does not reproduce from printed risks</x:v>
      </x:c>
      <x:c r="C19" s="3" t="str">
        <x:v>DOC-001, Table 2, Extrapulmonary infection and footnote c.</x:v>
      </x:c>
      <x:c r="D19" s="7" t="str"/>
      <x:c r="E19" s="7" t="str">
        <x:v>statistical_results</x:v>
      </x:c>
      <x:c r="F19" s="7" t="str">
        <x:v>no</x:v>
      </x:c>
      <x:c r="G19" s="3" t="str">
        <x:f>IFERROR(IF(NOT(OR(Setup!$B$6="primary",Setup!$B$6="checker")),"CHECK STAGE",IF(OR(LEN(TRIM(Setup!$B$2))=0,Setup!$B$2&lt;&gt;TRIM(Setup!$B$2),AND(Setup!$B$6="checker",OR(LEN(TRIM(Setup!$B$4))=0,Setup!$B$4&lt;&gt;TRIM(Setup!$B$4),LOWER(TRIM(Setup!$B$4))=LOWER(TRIM(Setup!$B$2))))),"CHECK REVIEWER IDs",IF(OR(COUNTIF($A$2:$A$24,A19)&lt;&gt;1,COUNTIF(Decisions!$C$2:$C$120,A19)&lt;&gt;1),"CHECK KEY",IF(OR(AND(NOT(AND(D19="retain",E19="statistical_results")),H19&lt;&gt;"",H19&lt;&gt;"not_applicable"),AND(NOT(AND(D19="retain",E19="statistical_results")),I19&lt;&gt;"",I19&lt;&gt;"not_applicable"),AND(NOT(AND(D19="retain",E19="statistical_results")),J19&lt;&gt;"",J19&lt;&gt;"not_applicable"),AND(NOT(AND(D19="retain",OR(E19="report_internal_inconsistency",E19="plan_material"))),K19&lt;&gt;"",K19&lt;&gt;"not_applicable"),AND(NOT(AND(D19="retain",E19="protocol_report")),L19&lt;&gt;"",L19&lt;&gt;"not_applicable")),"CLEAR INACTIVE VALUES",IF(OR(NOT(OR(D19="retain",D19="exclude",D19="discuss")),NOT(OR(E19="statistical_results",E19="report_internal_inconsistency",E19="plan_material",E19="protocol_report")),AND(AND(D19="retain",E19="statistical_results"),NOT(OR(H19="confirmed_issue",H19="probable_issue",H19="not_issue",H19="indeterminate"))),AND(AND(D19="retain",E19="statistical_results"),NOT(OR(I19="substantive",I19="minor_presentation",I19="indeterminate"))),AND(AND(D19="retain",E19="statistical_results"),J19&lt;&gt;"",NOT(OR(J19="direct",J19="possible",J19="unlikely",J19="unknown"))),AND(AND(D19="retain",OR(E19="report_internal_inconsistency",E19="plan_material")),NOT(OR(K19="substantive_inconsistency",K19="minor_presentation",K19="non_inconsistency",K19="indeterminate"))),AND(AND(D19="retain",E19="protocol_report"),L19&lt;&gt;"",NOT(OR(L19="substantive_difference",L19="minor_presentation",L19="version_timing",L19="non_inconsistency",L19="indeterminate")))),"CHECK FIELDS",IF(Setup!$B$6="primary",IF(OR(N19&lt;&gt;"",O19&lt;&gt;"",P19&lt;&gt;"",Q19&lt;&gt;""),"CLEAR CHECKER FIELDS",IF(OR(Setup!$B$4&lt;&gt;"",Setup!$B$5&lt;&gt;""),"CLEAR CHECKER ID",IF(F19&lt;&gt;"primary_done","PRIMARY DRAFT","PRIMARY READY"))),IF(OR(COUNTIF(Primary_snapshot!$A$2:$A$120,A19)&lt;&gt;1,INDEX('Primary_snapshot'!$J$2:$J$120,MATCH(A19,'Primary_snapshot'!$A$2:$A$120,0))&lt;&gt;"primary_done",INDEX('Primary_snapshot'!$K$2:$K$120,MATCH(A19,'Primary_snapshot'!$A$2:$A$120,0))&lt;&gt;Setup!$B$2,INDEX('Primary_snapshot'!$B$2:$B$120,MATCH(A19,'Primary_snapshot'!$A$2:$A$120,0))="NOT FROZEN",INDEX('Primary_snapshot'!$C$2:$C$120,MATCH(A19,'Primary_snapshot'!$A$2:$A$120,0))="NOT FROZEN",INDEX('Primary_snapshot'!$D$2:$D$120,MATCH(A19,'Primary_snapshot'!$A$2:$A$120,0))="NOT FROZEN",INDEX('Primary_snapshot'!$E$2:$E$120,MATCH(A19,'Primary_snapshot'!$A$2:$A$120,0))="NOT FROZEN",INDEX('Primary_snapshot'!$F$2:$F$120,MATCH(A19,'Primary_snapshot'!$A$2:$A$120,0))="NOT FROZEN",INDEX('Primary_snapshot'!$G$2:$G$120,MATCH(A19,'Primary_snapshot'!$A$2:$A$120,0))="NOT FROZEN",INDEX('Primary_snapshot'!$H$2:$H$120,MATCH(A19,'Primary_snapshot'!$A$2:$A$120,0))="NOT FROZEN",INDEX('Primary_snapshot'!$I$2:$I$120,MATCH(A19,'Primary_snapshot'!$A$2:$A$120,0))="NOT FROZEN",INDEX('Primary_snapshot'!$J$2:$J$120,MATCH(A19,'Primary_snapshot'!$A$2:$A$120,0))="NOT FROZEN",INDEX('Primary_snapshot'!$K$2:$K$120,MATCH(A19,'Primary_snapshot'!$A$2:$A$120,0))="NOT FROZEN",INDEX('Primary_snapshot'!$L$2:$L$120,MATCH(A19,'Primary_snapshot'!$A$2:$A$120,0))="NOT FROZEN"),"FREEZE SNAPSHOT",IF(NOT(OR(N19="agree",N19="agree_clarification",N19="disagree",N19="unable")),"CHECKER RESULT NEEDED",IF(AND(N19&lt;&gt;"agree",LEN(TRIM(O19))=0),"COMMENT NEEDED",IF(AND(N19="agree",NOT(AND(IF(D19="","",D19)=IF(INDEX('Primary_snapshot'!$B$2:$B$120,MATCH(A19,'Primary_snapshot'!$A$2:$A$120,0))="","",INDEX('Primary_snapshot'!$B$2:$B$120,MATCH(A19,'Primary_snapshot'!$A$2:$A$120,0))),IF(E19="","",E19)=IF(INDEX('Primary_snapshot'!$C$2:$C$120,MATCH(A19,'Primary_snapshot'!$A$2:$A$120,0))="","",INDEX('Primary_snapshot'!$C$2:$C$120,MATCH(A19,'Primary_snapshot'!$A$2:$A$120,0))),IF(AND(D19="retain",E19="statistical_results"),IF(H19="","",H19),"not_applicable")=IF(INDEX('Primary_snapshot'!$D$2:$D$120,MATCH(A19,'Primary_snapshot'!$A$2:$A$120,0))="","",INDEX('Primary_snapshot'!$D$2:$D$120,MATCH(A19,'Primary_snapshot'!$A$2:$A$120,0))),IF(AND(D19="retain",E19="statistical_results"),IF(I19="","",I19),"not_applicable")=IF(INDEX('Primary_snapshot'!$E$2:$E$120,MATCH(A19,'Primary_snapshot'!$A$2:$A$120,0))="","",INDEX('Primary_snapshot'!$E$2:$E$120,MATCH(A19,'Primary_snapshot'!$A$2:$A$120,0))),IF(AND(D19="retain",E19="statistical_results"),IF(J19="","",J19),"not_applicable")=IF(INDEX('Primary_snapshot'!$F$2:$F$120,MATCH(A19,'Primary_snapshot'!$A$2:$A$120,0))="","",INDEX('Primary_snapshot'!$F$2:$F$120,MATCH(A19,'Primary_snapshot'!$A$2:$A$120,0))),IF(AND(D19="retain",OR(E19="report_internal_inconsistency",E19="plan_material")),IF(K19="","",K19),"not_applicable")=IF(INDEX('Primary_snapshot'!$G$2:$G$120,MATCH(A19,'Primary_snapshot'!$A$2:$A$120,0))="","",INDEX('Primary_snapshot'!$G$2:$G$120,MATCH(A19,'Primary_snapshot'!$A$2:$A$120,0))),IF(AND(D19="retain",E19="protocol_report"),IF(L19="","",L19),"not_applicable")=IF(INDEX('Primary_snapshot'!$H$2:$H$120,MATCH(A19,'Primary_snapshot'!$A$2:$A$120,0))="","",INDEX('Primary_snapshot'!$H$2:$H$120,MATCH(A19,'Primary_snapshot'!$A$2:$A$120,0))),IF(R19="","",R19)=IF(INDEX('Primary_snapshot'!$I$2:$I$120,MATCH(A19,'Primary_snapshot'!$A$2:$A$120,0))="","",INDEX('Primary_snapshot'!$I$2:$I$120,MATCH(A19,'Primary_snapshot'!$A$2:$A$120,0)))))),"AGREE BUT CHANGED",IF(AND(P19&lt;&gt;"",NOT(OR(P19="pending",P19="resolved"))),"CHECK RESOLUTION",IF(OR(AND(OR(D19="discuss",INDEX('Primary_snapshot'!$B$2:$B$120,MATCH(A19,'Primary_snapshot'!$A$2:$A$120,0))="discuss",N19="disagree",N19="unable"),P19&lt;&gt;"resolved"),D19="discuss"),"DISCUSS",IF(AND(P19="resolved",LEN(TRIM(Q19))=0),"RESOLUTION NOTE NEEDED",IF(F19&lt;&gt;"checker_done","CHECKER DRAFT","FINAL READY")))))))))))))),"CHECK KEY / SNAPSHOT")</x:f>
        <x:v>CHECK REVIEWER IDs</x:v>
      </x:c>
      <x:c r="H19" s="7" t="str">
        <x:f>IF(AND(OR(D19="retain",D19=""),E19="statistical_results"),"","not_applicable")</x:f>
      </x:c>
      <x:c r="I19" s="7" t="str">
        <x:f>IF(AND(OR(D19="retain",D19=""),E19="statistical_results"),"","not_applicable")</x:f>
      </x:c>
      <x:c r="J19" s="13" t="str">
        <x:f>IF(AND(OR(D19="retain",D19=""),E19="statistical_results"),"","not_applicable")</x:f>
      </x:c>
      <x:c r="K19" s="7" t="str">
        <x:f>IF(AND(OR(D19="retain",D19=""),OR(E19="report_internal_inconsistency",E19="plan_material")),"","not_applicable")</x:f>
        <x:v>not_applicable</x:v>
      </x:c>
      <x:c r="L19" s="13" t="str">
        <x:f>IF(AND(OR(D19="retain",D19=""),E19="protocol_report"),"","not_applicable")</x:f>
        <x:v>not_applicable</x:v>
      </x:c>
      <x:c r="M19" s="3" t="str">
        <x:f>IF(Setup!$B$6="primary","",IFERROR(IF(INDEX('Primary_snapshot'!$L$2:$L$120,MATCH(A19,'Primary_snapshot'!$A$2:$A$120,0))="","",INDEX('Primary_snapshot'!$L$2:$L$120,MATCH(A19,'Primary_snapshot'!$A$2:$A$120,0))),"SNAPSHOT MISSING"))</x:f>
      </x:c>
      <x:c r="N19" s="7" t="str"/>
      <x:c r="O19" s="7" t="str"/>
      <x:c r="P19" s="7" t="str"/>
      <x:c r="Q19" s="7" t="str"/>
      <x:c r="R19" s="13" t="str"/>
    </x:row>
    <x:row r="20" ht="92" customHeight="1">
      <x:c r="A20" s="6" t="str">
        <x:v>2018::jama.2018.14280::C019</x:v>
      </x:c>
      <x:c r="B20" s="6" t="str">
        <x:v>Extrapulmonary-sepsis RR does not reproduce from printed risks</x:v>
      </x:c>
      <x:c r="C20" s="6" t="str">
        <x:v>DOC-001, Table 2, Extrapulmonary sepsis and footnote c.</x:v>
      </x:c>
      <x:c r="D20" s="7" t="str"/>
      <x:c r="E20" s="7" t="str">
        <x:v>statistical_results</x:v>
      </x:c>
      <x:c r="F20" s="7" t="str">
        <x:v>no</x:v>
      </x:c>
      <x:c r="G20" s="6" t="str">
        <x:f>IFERROR(IF(NOT(OR(Setup!$B$6="primary",Setup!$B$6="checker")),"CHECK STAGE",IF(OR(LEN(TRIM(Setup!$B$2))=0,Setup!$B$2&lt;&gt;TRIM(Setup!$B$2),AND(Setup!$B$6="checker",OR(LEN(TRIM(Setup!$B$4))=0,Setup!$B$4&lt;&gt;TRIM(Setup!$B$4),LOWER(TRIM(Setup!$B$4))=LOWER(TRIM(Setup!$B$2))))),"CHECK REVIEWER IDs",IF(OR(COUNTIF($A$2:$A$24,A20)&lt;&gt;1,COUNTIF(Decisions!$C$2:$C$120,A20)&lt;&gt;1),"CHECK KEY",IF(OR(AND(NOT(AND(D20="retain",E20="statistical_results")),H20&lt;&gt;"",H20&lt;&gt;"not_applicable"),AND(NOT(AND(D20="retain",E20="statistical_results")),I20&lt;&gt;"",I20&lt;&gt;"not_applicable"),AND(NOT(AND(D20="retain",E20="statistical_results")),J20&lt;&gt;"",J20&lt;&gt;"not_applicable"),AND(NOT(AND(D20="retain",OR(E20="report_internal_inconsistency",E20="plan_material"))),K20&lt;&gt;"",K20&lt;&gt;"not_applicable"),AND(NOT(AND(D20="retain",E20="protocol_report")),L20&lt;&gt;"",L20&lt;&gt;"not_applicable")),"CLEAR INACTIVE VALUES",IF(OR(NOT(OR(D20="retain",D20="exclude",D20="discuss")),NOT(OR(E20="statistical_results",E20="report_internal_inconsistency",E20="plan_material",E20="protocol_report")),AND(AND(D20="retain",E20="statistical_results"),NOT(OR(H20="confirmed_issue",H20="probable_issue",H20="not_issue",H20="indeterminate"))),AND(AND(D20="retain",E20="statistical_results"),NOT(OR(I20="substantive",I20="minor_presentation",I20="indeterminate"))),AND(AND(D20="retain",E20="statistical_results"),J20&lt;&gt;"",NOT(OR(J20="direct",J20="possible",J20="unlikely",J20="unknown"))),AND(AND(D20="retain",OR(E20="report_internal_inconsistency",E20="plan_material")),NOT(OR(K20="substantive_inconsistency",K20="minor_presentation",K20="non_inconsistency",K20="indeterminate"))),AND(AND(D20="retain",E20="protocol_report"),L20&lt;&gt;"",NOT(OR(L20="substantive_difference",L20="minor_presentation",L20="version_timing",L20="non_inconsistency",L20="indeterminate")))),"CHECK FIELDS",IF(Setup!$B$6="primary",IF(OR(N20&lt;&gt;"",O20&lt;&gt;"",P20&lt;&gt;"",Q20&lt;&gt;""),"CLEAR CHECKER FIELDS",IF(OR(Setup!$B$4&lt;&gt;"",Setup!$B$5&lt;&gt;""),"CLEAR CHECKER ID",IF(F20&lt;&gt;"primary_done","PRIMARY DRAFT","PRIMARY READY"))),IF(OR(COUNTIF(Primary_snapshot!$A$2:$A$120,A20)&lt;&gt;1,INDEX('Primary_snapshot'!$J$2:$J$120,MATCH(A20,'Primary_snapshot'!$A$2:$A$120,0))&lt;&gt;"primary_done",INDEX('Primary_snapshot'!$K$2:$K$120,MATCH(A20,'Primary_snapshot'!$A$2:$A$120,0))&lt;&gt;Setup!$B$2,INDEX('Primary_snapshot'!$B$2:$B$120,MATCH(A20,'Primary_snapshot'!$A$2:$A$120,0))="NOT FROZEN",INDEX('Primary_snapshot'!$C$2:$C$120,MATCH(A20,'Primary_snapshot'!$A$2:$A$120,0))="NOT FROZEN",INDEX('Primary_snapshot'!$D$2:$D$120,MATCH(A20,'Primary_snapshot'!$A$2:$A$120,0))="NOT FROZEN",INDEX('Primary_snapshot'!$E$2:$E$120,MATCH(A20,'Primary_snapshot'!$A$2:$A$120,0))="NOT FROZEN",INDEX('Primary_snapshot'!$F$2:$F$120,MATCH(A20,'Primary_snapshot'!$A$2:$A$120,0))="NOT FROZEN",INDEX('Primary_snapshot'!$G$2:$G$120,MATCH(A20,'Primary_snapshot'!$A$2:$A$120,0))="NOT FROZEN",INDEX('Primary_snapshot'!$H$2:$H$120,MATCH(A20,'Primary_snapshot'!$A$2:$A$120,0))="NOT FROZEN",INDEX('Primary_snapshot'!$I$2:$I$120,MATCH(A20,'Primary_snapshot'!$A$2:$A$120,0))="NOT FROZEN",INDEX('Primary_snapshot'!$J$2:$J$120,MATCH(A20,'Primary_snapshot'!$A$2:$A$120,0))="NOT FROZEN",INDEX('Primary_snapshot'!$K$2:$K$120,MATCH(A20,'Primary_snapshot'!$A$2:$A$120,0))="NOT FROZEN",INDEX('Primary_snapshot'!$L$2:$L$120,MATCH(A20,'Primary_snapshot'!$A$2:$A$120,0))="NOT FROZEN"),"FREEZE SNAPSHOT",IF(NOT(OR(N20="agree",N20="agree_clarification",N20="disagree",N20="unable")),"CHECKER RESULT NEEDED",IF(AND(N20&lt;&gt;"agree",LEN(TRIM(O20))=0),"COMMENT NEEDED",IF(AND(N20="agree",NOT(AND(IF(D20="","",D20)=IF(INDEX('Primary_snapshot'!$B$2:$B$120,MATCH(A20,'Primary_snapshot'!$A$2:$A$120,0))="","",INDEX('Primary_snapshot'!$B$2:$B$120,MATCH(A20,'Primary_snapshot'!$A$2:$A$120,0))),IF(E20="","",E20)=IF(INDEX('Primary_snapshot'!$C$2:$C$120,MATCH(A20,'Primary_snapshot'!$A$2:$A$120,0))="","",INDEX('Primary_snapshot'!$C$2:$C$120,MATCH(A20,'Primary_snapshot'!$A$2:$A$120,0))),IF(AND(D20="retain",E20="statistical_results"),IF(H20="","",H20),"not_applicable")=IF(INDEX('Primary_snapshot'!$D$2:$D$120,MATCH(A20,'Primary_snapshot'!$A$2:$A$120,0))="","",INDEX('Primary_snapshot'!$D$2:$D$120,MATCH(A20,'Primary_snapshot'!$A$2:$A$120,0))),IF(AND(D20="retain",E20="statistical_results"),IF(I20="","",I20),"not_applicable")=IF(INDEX('Primary_snapshot'!$E$2:$E$120,MATCH(A20,'Primary_snapshot'!$A$2:$A$120,0))="","",INDEX('Primary_snapshot'!$E$2:$E$120,MATCH(A20,'Primary_snapshot'!$A$2:$A$120,0))),IF(AND(D20="retain",E20="statistical_results"),IF(J20="","",J20),"not_applicable")=IF(INDEX('Primary_snapshot'!$F$2:$F$120,MATCH(A20,'Primary_snapshot'!$A$2:$A$120,0))="","",INDEX('Primary_snapshot'!$F$2:$F$120,MATCH(A20,'Primary_snapshot'!$A$2:$A$120,0))),IF(AND(D20="retain",OR(E20="report_internal_inconsistency",E20="plan_material")),IF(K20="","",K20),"not_applicable")=IF(INDEX('Primary_snapshot'!$G$2:$G$120,MATCH(A20,'Primary_snapshot'!$A$2:$A$120,0))="","",INDEX('Primary_snapshot'!$G$2:$G$120,MATCH(A20,'Primary_snapshot'!$A$2:$A$120,0))),IF(AND(D20="retain",E20="protocol_report"),IF(L20="","",L20),"not_applicable")=IF(INDEX('Primary_snapshot'!$H$2:$H$120,MATCH(A20,'Primary_snapshot'!$A$2:$A$120,0))="","",INDEX('Primary_snapshot'!$H$2:$H$120,MATCH(A20,'Primary_snapshot'!$A$2:$A$120,0))),IF(R20="","",R20)=IF(INDEX('Primary_snapshot'!$I$2:$I$120,MATCH(A20,'Primary_snapshot'!$A$2:$A$120,0))="","",INDEX('Primary_snapshot'!$I$2:$I$120,MATCH(A20,'Primary_snapshot'!$A$2:$A$120,0)))))),"AGREE BUT CHANGED",IF(AND(P20&lt;&gt;"",NOT(OR(P20="pending",P20="resolved"))),"CHECK RESOLUTION",IF(OR(AND(OR(D20="discuss",INDEX('Primary_snapshot'!$B$2:$B$120,MATCH(A20,'Primary_snapshot'!$A$2:$A$120,0))="discuss",N20="disagree",N20="unable"),P20&lt;&gt;"resolved"),D20="discuss"),"DISCUSS",IF(AND(P20="resolved",LEN(TRIM(Q20))=0),"RESOLUTION NOTE NEEDED",IF(F20&lt;&gt;"checker_done","CHECKER DRAFT","FINAL READY")))))))))))))),"CHECK KEY / SNAPSHOT")</x:f>
        <x:v>CHECK REVIEWER IDs</x:v>
      </x:c>
      <x:c r="H20" s="7" t="str">
        <x:f>IF(AND(OR(D20="retain",D20=""),E20="statistical_results"),"","not_applicable")</x:f>
      </x:c>
      <x:c r="I20" s="7" t="str">
        <x:f>IF(AND(OR(D20="retain",D20=""),E20="statistical_results"),"","not_applicable")</x:f>
      </x:c>
      <x:c r="J20" s="13" t="str">
        <x:f>IF(AND(OR(D20="retain",D20=""),E20="statistical_results"),"","not_applicable")</x:f>
      </x:c>
      <x:c r="K20" s="7" t="str">
        <x:f>IF(AND(OR(D20="retain",D20=""),OR(E20="report_internal_inconsistency",E20="plan_material")),"","not_applicable")</x:f>
        <x:v>not_applicable</x:v>
      </x:c>
      <x:c r="L20" s="13" t="str">
        <x:f>IF(AND(OR(D20="retain",D20=""),E20="protocol_report"),"","not_applicable")</x:f>
        <x:v>not_applicable</x:v>
      </x:c>
      <x:c r="M20" s="6" t="str">
        <x:f>IF(Setup!$B$6="primary","",IFERROR(IF(INDEX('Primary_snapshot'!$L$2:$L$120,MATCH(A20,'Primary_snapshot'!$A$2:$A$120,0))="","",INDEX('Primary_snapshot'!$L$2:$L$120,MATCH(A20,'Primary_snapshot'!$A$2:$A$120,0))),"SNAPSHOT MISSING"))</x:f>
      </x:c>
      <x:c r="N20" s="7" t="str"/>
      <x:c r="O20" s="7" t="str"/>
      <x:c r="P20" s="7" t="str"/>
      <x:c r="Q20" s="7" t="str"/>
      <x:c r="R20" s="13" t="str"/>
    </x:row>
    <x:row r="21" ht="92" customHeight="1">
      <x:c r="A21" s="3" t="str">
        <x:v>2018::jama.2018.14280::C020</x:v>
      </x:c>
      <x:c r="B21" s="3" t="str">
        <x:v>Delirium RR does not reproduce from printed risks</x:v>
      </x:c>
      <x:c r="C21" s="3" t="str">
        <x:v>DOC-001, Table 2, Delirium and footnote c.</x:v>
      </x:c>
      <x:c r="D21" s="7" t="str"/>
      <x:c r="E21" s="7" t="str">
        <x:v>statistical_results</x:v>
      </x:c>
      <x:c r="F21" s="7" t="str">
        <x:v>no</x:v>
      </x:c>
      <x:c r="G21" s="3" t="str">
        <x:f>IFERROR(IF(NOT(OR(Setup!$B$6="primary",Setup!$B$6="checker")),"CHECK STAGE",IF(OR(LEN(TRIM(Setup!$B$2))=0,Setup!$B$2&lt;&gt;TRIM(Setup!$B$2),AND(Setup!$B$6="checker",OR(LEN(TRIM(Setup!$B$4))=0,Setup!$B$4&lt;&gt;TRIM(Setup!$B$4),LOWER(TRIM(Setup!$B$4))=LOWER(TRIM(Setup!$B$2))))),"CHECK REVIEWER IDs",IF(OR(COUNTIF($A$2:$A$24,A21)&lt;&gt;1,COUNTIF(Decisions!$C$2:$C$120,A21)&lt;&gt;1),"CHECK KEY",IF(OR(AND(NOT(AND(D21="retain",E21="statistical_results")),H21&lt;&gt;"",H21&lt;&gt;"not_applicable"),AND(NOT(AND(D21="retain",E21="statistical_results")),I21&lt;&gt;"",I21&lt;&gt;"not_applicable"),AND(NOT(AND(D21="retain",E21="statistical_results")),J21&lt;&gt;"",J21&lt;&gt;"not_applicable"),AND(NOT(AND(D21="retain",OR(E21="report_internal_inconsistency",E21="plan_material"))),K21&lt;&gt;"",K21&lt;&gt;"not_applicable"),AND(NOT(AND(D21="retain",E21="protocol_report")),L21&lt;&gt;"",L21&lt;&gt;"not_applicable")),"CLEAR INACTIVE VALUES",IF(OR(NOT(OR(D21="retain",D21="exclude",D21="discuss")),NOT(OR(E21="statistical_results",E21="report_internal_inconsistency",E21="plan_material",E21="protocol_report")),AND(AND(D21="retain",E21="statistical_results"),NOT(OR(H21="confirmed_issue",H21="probable_issue",H21="not_issue",H21="indeterminate"))),AND(AND(D21="retain",E21="statistical_results"),NOT(OR(I21="substantive",I21="minor_presentation",I21="indeterminate"))),AND(AND(D21="retain",E21="statistical_results"),J21&lt;&gt;"",NOT(OR(J21="direct",J21="possible",J21="unlikely",J21="unknown"))),AND(AND(D21="retain",OR(E21="report_internal_inconsistency",E21="plan_material")),NOT(OR(K21="substantive_inconsistency",K21="minor_presentation",K21="non_inconsistency",K21="indeterminate"))),AND(AND(D21="retain",E21="protocol_report"),L21&lt;&gt;"",NOT(OR(L21="substantive_difference",L21="minor_presentation",L21="version_timing",L21="non_inconsistency",L21="indeterminate")))),"CHECK FIELDS",IF(Setup!$B$6="primary",IF(OR(N21&lt;&gt;"",O21&lt;&gt;"",P21&lt;&gt;"",Q21&lt;&gt;""),"CLEAR CHECKER FIELDS",IF(OR(Setup!$B$4&lt;&gt;"",Setup!$B$5&lt;&gt;""),"CLEAR CHECKER ID",IF(F21&lt;&gt;"primary_done","PRIMARY DRAFT","PRIMARY READY"))),IF(OR(COUNTIF(Primary_snapshot!$A$2:$A$120,A21)&lt;&gt;1,INDEX('Primary_snapshot'!$J$2:$J$120,MATCH(A21,'Primary_snapshot'!$A$2:$A$120,0))&lt;&gt;"primary_done",INDEX('Primary_snapshot'!$K$2:$K$120,MATCH(A21,'Primary_snapshot'!$A$2:$A$120,0))&lt;&gt;Setup!$B$2,INDEX('Primary_snapshot'!$B$2:$B$120,MATCH(A21,'Primary_snapshot'!$A$2:$A$120,0))="NOT FROZEN",INDEX('Primary_snapshot'!$C$2:$C$120,MATCH(A21,'Primary_snapshot'!$A$2:$A$120,0))="NOT FROZEN",INDEX('Primary_snapshot'!$D$2:$D$120,MATCH(A21,'Primary_snapshot'!$A$2:$A$120,0))="NOT FROZEN",INDEX('Primary_snapshot'!$E$2:$E$120,MATCH(A21,'Primary_snapshot'!$A$2:$A$120,0))="NOT FROZEN",INDEX('Primary_snapshot'!$F$2:$F$120,MATCH(A21,'Primary_snapshot'!$A$2:$A$120,0))="NOT FROZEN",INDEX('Primary_snapshot'!$G$2:$G$120,MATCH(A21,'Primary_snapshot'!$A$2:$A$120,0))="NOT FROZEN",INDEX('Primary_snapshot'!$H$2:$H$120,MATCH(A21,'Primary_snapshot'!$A$2:$A$120,0))="NOT FROZEN",INDEX('Primary_snapshot'!$I$2:$I$120,MATCH(A21,'Primary_snapshot'!$A$2:$A$120,0))="NOT FROZEN",INDEX('Primary_snapshot'!$J$2:$J$120,MATCH(A21,'Primary_snapshot'!$A$2:$A$120,0))="NOT FROZEN",INDEX('Primary_snapshot'!$K$2:$K$120,MATCH(A21,'Primary_snapshot'!$A$2:$A$120,0))="NOT FROZEN",INDEX('Primary_snapshot'!$L$2:$L$120,MATCH(A21,'Primary_snapshot'!$A$2:$A$120,0))="NOT FROZEN"),"FREEZE SNAPSHOT",IF(NOT(OR(N21="agree",N21="agree_clarification",N21="disagree",N21="unable")),"CHECKER RESULT NEEDED",IF(AND(N21&lt;&gt;"agree",LEN(TRIM(O21))=0),"COMMENT NEEDED",IF(AND(N21="agree",NOT(AND(IF(D21="","",D21)=IF(INDEX('Primary_snapshot'!$B$2:$B$120,MATCH(A21,'Primary_snapshot'!$A$2:$A$120,0))="","",INDEX('Primary_snapshot'!$B$2:$B$120,MATCH(A21,'Primary_snapshot'!$A$2:$A$120,0))),IF(E21="","",E21)=IF(INDEX('Primary_snapshot'!$C$2:$C$120,MATCH(A21,'Primary_snapshot'!$A$2:$A$120,0))="","",INDEX('Primary_snapshot'!$C$2:$C$120,MATCH(A21,'Primary_snapshot'!$A$2:$A$120,0))),IF(AND(D21="retain",E21="statistical_results"),IF(H21="","",H21),"not_applicable")=IF(INDEX('Primary_snapshot'!$D$2:$D$120,MATCH(A21,'Primary_snapshot'!$A$2:$A$120,0))="","",INDEX('Primary_snapshot'!$D$2:$D$120,MATCH(A21,'Primary_snapshot'!$A$2:$A$120,0))),IF(AND(D21="retain",E21="statistical_results"),IF(I21="","",I21),"not_applicable")=IF(INDEX('Primary_snapshot'!$E$2:$E$120,MATCH(A21,'Primary_snapshot'!$A$2:$A$120,0))="","",INDEX('Primary_snapshot'!$E$2:$E$120,MATCH(A21,'Primary_snapshot'!$A$2:$A$120,0))),IF(AND(D21="retain",E21="statistical_results"),IF(J21="","",J21),"not_applicable")=IF(INDEX('Primary_snapshot'!$F$2:$F$120,MATCH(A21,'Primary_snapshot'!$A$2:$A$120,0))="","",INDEX('Primary_snapshot'!$F$2:$F$120,MATCH(A21,'Primary_snapshot'!$A$2:$A$120,0))),IF(AND(D21="retain",OR(E21="report_internal_inconsistency",E21="plan_material")),IF(K21="","",K21),"not_applicable")=IF(INDEX('Primary_snapshot'!$G$2:$G$120,MATCH(A21,'Primary_snapshot'!$A$2:$A$120,0))="","",INDEX('Primary_snapshot'!$G$2:$G$120,MATCH(A21,'Primary_snapshot'!$A$2:$A$120,0))),IF(AND(D21="retain",E21="protocol_report"),IF(L21="","",L21),"not_applicable")=IF(INDEX('Primary_snapshot'!$H$2:$H$120,MATCH(A21,'Primary_snapshot'!$A$2:$A$120,0))="","",INDEX('Primary_snapshot'!$H$2:$H$120,MATCH(A21,'Primary_snapshot'!$A$2:$A$120,0))),IF(R21="","",R21)=IF(INDEX('Primary_snapshot'!$I$2:$I$120,MATCH(A21,'Primary_snapshot'!$A$2:$A$120,0))="","",INDEX('Primary_snapshot'!$I$2:$I$120,MATCH(A21,'Primary_snapshot'!$A$2:$A$120,0)))))),"AGREE BUT CHANGED",IF(AND(P21&lt;&gt;"",NOT(OR(P21="pending",P21="resolved"))),"CHECK RESOLUTION",IF(OR(AND(OR(D21="discuss",INDEX('Primary_snapshot'!$B$2:$B$120,MATCH(A21,'Primary_snapshot'!$A$2:$A$120,0))="discuss",N21="disagree",N21="unable"),P21&lt;&gt;"resolved"),D21="discuss"),"DISCUSS",IF(AND(P21="resolved",LEN(TRIM(Q21))=0),"RESOLUTION NOTE NEEDED",IF(F21&lt;&gt;"checker_done","CHECKER DRAFT","FINAL READY")))))))))))))),"CHECK KEY / SNAPSHOT")</x:f>
        <x:v>CHECK REVIEWER IDs</x:v>
      </x:c>
      <x:c r="H21" s="7" t="str">
        <x:f>IF(AND(OR(D21="retain",D21=""),E21="statistical_results"),"","not_applicable")</x:f>
      </x:c>
      <x:c r="I21" s="7" t="str">
        <x:f>IF(AND(OR(D21="retain",D21=""),E21="statistical_results"),"","not_applicable")</x:f>
      </x:c>
      <x:c r="J21" s="13" t="str">
        <x:f>IF(AND(OR(D21="retain",D21=""),E21="statistical_results"),"","not_applicable")</x:f>
      </x:c>
      <x:c r="K21" s="7" t="str">
        <x:f>IF(AND(OR(D21="retain",D21=""),OR(E21="report_internal_inconsistency",E21="plan_material")),"","not_applicable")</x:f>
        <x:v>not_applicable</x:v>
      </x:c>
      <x:c r="L21" s="13" t="str">
        <x:f>IF(AND(OR(D21="retain",D21=""),E21="protocol_report"),"","not_applicable")</x:f>
        <x:v>not_applicable</x:v>
      </x:c>
      <x:c r="M21" s="3" t="str">
        <x:f>IF(Setup!$B$6="primary","",IFERROR(IF(INDEX('Primary_snapshot'!$L$2:$L$120,MATCH(A21,'Primary_snapshot'!$A$2:$A$120,0))="","",INDEX('Primary_snapshot'!$L$2:$L$120,MATCH(A21,'Primary_snapshot'!$A$2:$A$120,0))),"SNAPSHOT MISSING"))</x:f>
      </x:c>
      <x:c r="N21" s="7" t="str"/>
      <x:c r="O21" s="7" t="str"/>
      <x:c r="P21" s="7" t="str"/>
      <x:c r="Q21" s="7" t="str"/>
      <x:c r="R21" s="13" t="str"/>
    </x:row>
    <x:row r="22" ht="92" customHeight="1">
      <x:c r="A22" s="6" t="str">
        <x:v>2018::jama.2018.14280::C021</x:v>
      </x:c>
      <x:c r="B22" s="6" t="str">
        <x:v>Tracheostomy RR does not reproduce from printed risks</x:v>
      </x:c>
      <x:c r="C22" s="6" t="str">
        <x:v>DOC-001, Table 2, Need for tracheostomy and footnote c.</x:v>
      </x:c>
      <x:c r="D22" s="7" t="str"/>
      <x:c r="E22" s="7" t="str">
        <x:v>statistical_results</x:v>
      </x:c>
      <x:c r="F22" s="7" t="str">
        <x:v>no</x:v>
      </x:c>
      <x:c r="G22" s="6" t="str">
        <x:f>IFERROR(IF(NOT(OR(Setup!$B$6="primary",Setup!$B$6="checker")),"CHECK STAGE",IF(OR(LEN(TRIM(Setup!$B$2))=0,Setup!$B$2&lt;&gt;TRIM(Setup!$B$2),AND(Setup!$B$6="checker",OR(LEN(TRIM(Setup!$B$4))=0,Setup!$B$4&lt;&gt;TRIM(Setup!$B$4),LOWER(TRIM(Setup!$B$4))=LOWER(TRIM(Setup!$B$2))))),"CHECK REVIEWER IDs",IF(OR(COUNTIF($A$2:$A$24,A22)&lt;&gt;1,COUNTIF(Decisions!$C$2:$C$120,A22)&lt;&gt;1),"CHECK KEY",IF(OR(AND(NOT(AND(D22="retain",E22="statistical_results")),H22&lt;&gt;"",H22&lt;&gt;"not_applicable"),AND(NOT(AND(D22="retain",E22="statistical_results")),I22&lt;&gt;"",I22&lt;&gt;"not_applicable"),AND(NOT(AND(D22="retain",E22="statistical_results")),J22&lt;&gt;"",J22&lt;&gt;"not_applicable"),AND(NOT(AND(D22="retain",OR(E22="report_internal_inconsistency",E22="plan_material"))),K22&lt;&gt;"",K22&lt;&gt;"not_applicable"),AND(NOT(AND(D22="retain",E22="protocol_report")),L22&lt;&gt;"",L22&lt;&gt;"not_applicable")),"CLEAR INACTIVE VALUES",IF(OR(NOT(OR(D22="retain",D22="exclude",D22="discuss")),NOT(OR(E22="statistical_results",E22="report_internal_inconsistency",E22="plan_material",E22="protocol_report")),AND(AND(D22="retain",E22="statistical_results"),NOT(OR(H22="confirmed_issue",H22="probable_issue",H22="not_issue",H22="indeterminate"))),AND(AND(D22="retain",E22="statistical_results"),NOT(OR(I22="substantive",I22="minor_presentation",I22="indeterminate"))),AND(AND(D22="retain",E22="statistical_results"),J22&lt;&gt;"",NOT(OR(J22="direct",J22="possible",J22="unlikely",J22="unknown"))),AND(AND(D22="retain",OR(E22="report_internal_inconsistency",E22="plan_material")),NOT(OR(K22="substantive_inconsistency",K22="minor_presentation",K22="non_inconsistency",K22="indeterminate"))),AND(AND(D22="retain",E22="protocol_report"),L22&lt;&gt;"",NOT(OR(L22="substantive_difference",L22="minor_presentation",L22="version_timing",L22="non_inconsistency",L22="indeterminate")))),"CHECK FIELDS",IF(Setup!$B$6="primary",IF(OR(N22&lt;&gt;"",O22&lt;&gt;"",P22&lt;&gt;"",Q22&lt;&gt;""),"CLEAR CHECKER FIELDS",IF(OR(Setup!$B$4&lt;&gt;"",Setup!$B$5&lt;&gt;""),"CLEAR CHECKER ID",IF(F22&lt;&gt;"primary_done","PRIMARY DRAFT","PRIMARY READY"))),IF(OR(COUNTIF(Primary_snapshot!$A$2:$A$120,A22)&lt;&gt;1,INDEX('Primary_snapshot'!$J$2:$J$120,MATCH(A22,'Primary_snapshot'!$A$2:$A$120,0))&lt;&gt;"primary_done",INDEX('Primary_snapshot'!$K$2:$K$120,MATCH(A22,'Primary_snapshot'!$A$2:$A$120,0))&lt;&gt;Setup!$B$2,INDEX('Primary_snapshot'!$B$2:$B$120,MATCH(A22,'Primary_snapshot'!$A$2:$A$120,0))="NOT FROZEN",INDEX('Primary_snapshot'!$C$2:$C$120,MATCH(A22,'Primary_snapshot'!$A$2:$A$120,0))="NOT FROZEN",INDEX('Primary_snapshot'!$D$2:$D$120,MATCH(A22,'Primary_snapshot'!$A$2:$A$120,0))="NOT FROZEN",INDEX('Primary_snapshot'!$E$2:$E$120,MATCH(A22,'Primary_snapshot'!$A$2:$A$120,0))="NOT FROZEN",INDEX('Primary_snapshot'!$F$2:$F$120,MATCH(A22,'Primary_snapshot'!$A$2:$A$120,0))="NOT FROZEN",INDEX('Primary_snapshot'!$G$2:$G$120,MATCH(A22,'Primary_snapshot'!$A$2:$A$120,0))="NOT FROZEN",INDEX('Primary_snapshot'!$H$2:$H$120,MATCH(A22,'Primary_snapshot'!$A$2:$A$120,0))="NOT FROZEN",INDEX('Primary_snapshot'!$I$2:$I$120,MATCH(A22,'Primary_snapshot'!$A$2:$A$120,0))="NOT FROZEN",INDEX('Primary_snapshot'!$J$2:$J$120,MATCH(A22,'Primary_snapshot'!$A$2:$A$120,0))="NOT FROZEN",INDEX('Primary_snapshot'!$K$2:$K$120,MATCH(A22,'Primary_snapshot'!$A$2:$A$120,0))="NOT FROZEN",INDEX('Primary_snapshot'!$L$2:$L$120,MATCH(A22,'Primary_snapshot'!$A$2:$A$120,0))="NOT FROZEN"),"FREEZE SNAPSHOT",IF(NOT(OR(N22="agree",N22="agree_clarification",N22="disagree",N22="unable")),"CHECKER RESULT NEEDED",IF(AND(N22&lt;&gt;"agree",LEN(TRIM(O22))=0),"COMMENT NEEDED",IF(AND(N22="agree",NOT(AND(IF(D22="","",D22)=IF(INDEX('Primary_snapshot'!$B$2:$B$120,MATCH(A22,'Primary_snapshot'!$A$2:$A$120,0))="","",INDEX('Primary_snapshot'!$B$2:$B$120,MATCH(A22,'Primary_snapshot'!$A$2:$A$120,0))),IF(E22="","",E22)=IF(INDEX('Primary_snapshot'!$C$2:$C$120,MATCH(A22,'Primary_snapshot'!$A$2:$A$120,0))="","",INDEX('Primary_snapshot'!$C$2:$C$120,MATCH(A22,'Primary_snapshot'!$A$2:$A$120,0))),IF(AND(D22="retain",E22="statistical_results"),IF(H22="","",H22),"not_applicable")=IF(INDEX('Primary_snapshot'!$D$2:$D$120,MATCH(A22,'Primary_snapshot'!$A$2:$A$120,0))="","",INDEX('Primary_snapshot'!$D$2:$D$120,MATCH(A22,'Primary_snapshot'!$A$2:$A$120,0))),IF(AND(D22="retain",E22="statistical_results"),IF(I22="","",I22),"not_applicable")=IF(INDEX('Primary_snapshot'!$E$2:$E$120,MATCH(A22,'Primary_snapshot'!$A$2:$A$120,0))="","",INDEX('Primary_snapshot'!$E$2:$E$120,MATCH(A22,'Primary_snapshot'!$A$2:$A$120,0))),IF(AND(D22="retain",E22="statistical_results"),IF(J22="","",J22),"not_applicable")=IF(INDEX('Primary_snapshot'!$F$2:$F$120,MATCH(A22,'Primary_snapshot'!$A$2:$A$120,0))="","",INDEX('Primary_snapshot'!$F$2:$F$120,MATCH(A22,'Primary_snapshot'!$A$2:$A$120,0))),IF(AND(D22="retain",OR(E22="report_internal_inconsistency",E22="plan_material")),IF(K22="","",K22),"not_applicable")=IF(INDEX('Primary_snapshot'!$G$2:$G$120,MATCH(A22,'Primary_snapshot'!$A$2:$A$120,0))="","",INDEX('Primary_snapshot'!$G$2:$G$120,MATCH(A22,'Primary_snapshot'!$A$2:$A$120,0))),IF(AND(D22="retain",E22="protocol_report"),IF(L22="","",L22),"not_applicable")=IF(INDEX('Primary_snapshot'!$H$2:$H$120,MATCH(A22,'Primary_snapshot'!$A$2:$A$120,0))="","",INDEX('Primary_snapshot'!$H$2:$H$120,MATCH(A22,'Primary_snapshot'!$A$2:$A$120,0))),IF(R22="","",R22)=IF(INDEX('Primary_snapshot'!$I$2:$I$120,MATCH(A22,'Primary_snapshot'!$A$2:$A$120,0))="","",INDEX('Primary_snapshot'!$I$2:$I$120,MATCH(A22,'Primary_snapshot'!$A$2:$A$120,0)))))),"AGREE BUT CHANGED",IF(AND(P22&lt;&gt;"",NOT(OR(P22="pending",P22="resolved"))),"CHECK RESOLUTION",IF(OR(AND(OR(D22="discuss",INDEX('Primary_snapshot'!$B$2:$B$120,MATCH(A22,'Primary_snapshot'!$A$2:$A$120,0))="discuss",N22="disagree",N22="unable"),P22&lt;&gt;"resolved"),D22="discuss"),"DISCUSS",IF(AND(P22="resolved",LEN(TRIM(Q22))=0),"RESOLUTION NOTE NEEDED",IF(F22&lt;&gt;"checker_done","CHECKER DRAFT","FINAL READY")))))))))))))),"CHECK KEY / SNAPSHOT")</x:f>
        <x:v>CHECK REVIEWER IDs</x:v>
      </x:c>
      <x:c r="H22" s="7" t="str">
        <x:f>IF(AND(OR(D22="retain",D22=""),E22="statistical_results"),"","not_applicable")</x:f>
      </x:c>
      <x:c r="I22" s="7" t="str">
        <x:f>IF(AND(OR(D22="retain",D22=""),E22="statistical_results"),"","not_applicable")</x:f>
      </x:c>
      <x:c r="J22" s="13" t="str">
        <x:f>IF(AND(OR(D22="retain",D22=""),E22="statistical_results"),"","not_applicable")</x:f>
      </x:c>
      <x:c r="K22" s="7" t="str">
        <x:f>IF(AND(OR(D22="retain",D22=""),OR(E22="report_internal_inconsistency",E22="plan_material")),"","not_applicable")</x:f>
        <x:v>not_applicable</x:v>
      </x:c>
      <x:c r="L22" s="13" t="str">
        <x:f>IF(AND(OR(D22="retain",D22=""),E22="protocol_report"),"","not_applicable")</x:f>
        <x:v>not_applicable</x:v>
      </x:c>
      <x:c r="M22" s="6" t="str">
        <x:f>IF(Setup!$B$6="primary","",IFERROR(IF(INDEX('Primary_snapshot'!$L$2:$L$120,MATCH(A22,'Primary_snapshot'!$A$2:$A$120,0))="","",INDEX('Primary_snapshot'!$L$2:$L$120,MATCH(A22,'Primary_snapshot'!$A$2:$A$120,0))),"SNAPSHOT MISSING"))</x:f>
      </x:c>
      <x:c r="N22" s="7" t="str"/>
      <x:c r="O22" s="7" t="str"/>
      <x:c r="P22" s="7" t="str"/>
      <x:c r="Q22" s="7" t="str"/>
      <x:c r="R22" s="13" t="str"/>
    </x:row>
    <x:row r="23" ht="92" customHeight="1">
      <x:c r="A23" s="3" t="str">
        <x:v>2018::jama.2018.14280::C022</x:v>
      </x:c>
      <x:c r="B23" s="3" t="str">
        <x:v>The same subgroup intervals are labelled IQR and 95% CI</x:v>
      </x:c>
      <x:c r="C23" s="3" t="str">
        <x:v>DOC-001, Subgroups and Exploratory Analyses; DOC-004, Supplement 3 eTable 5.</x:v>
      </x:c>
      <x:c r="D23" s="7" t="str"/>
      <x:c r="E23" s="7" t="str">
        <x:v>report_internal_inconsistency</x:v>
      </x:c>
      <x:c r="F23" s="7" t="str">
        <x:v>no</x:v>
      </x:c>
      <x:c r="G23" s="3" t="str">
        <x:f>IFERROR(IF(NOT(OR(Setup!$B$6="primary",Setup!$B$6="checker")),"CHECK STAGE",IF(OR(LEN(TRIM(Setup!$B$2))=0,Setup!$B$2&lt;&gt;TRIM(Setup!$B$2),AND(Setup!$B$6="checker",OR(LEN(TRIM(Setup!$B$4))=0,Setup!$B$4&lt;&gt;TRIM(Setup!$B$4),LOWER(TRIM(Setup!$B$4))=LOWER(TRIM(Setup!$B$2))))),"CHECK REVIEWER IDs",IF(OR(COUNTIF($A$2:$A$24,A23)&lt;&gt;1,COUNTIF(Decisions!$C$2:$C$120,A23)&lt;&gt;1),"CHECK KEY",IF(OR(AND(NOT(AND(D23="retain",E23="statistical_results")),H23&lt;&gt;"",H23&lt;&gt;"not_applicable"),AND(NOT(AND(D23="retain",E23="statistical_results")),I23&lt;&gt;"",I23&lt;&gt;"not_applicable"),AND(NOT(AND(D23="retain",E23="statistical_results")),J23&lt;&gt;"",J23&lt;&gt;"not_applicable"),AND(NOT(AND(D23="retain",OR(E23="report_internal_inconsistency",E23="plan_material"))),K23&lt;&gt;"",K23&lt;&gt;"not_applicable"),AND(NOT(AND(D23="retain",E23="protocol_report")),L23&lt;&gt;"",L23&lt;&gt;"not_applicable")),"CLEAR INACTIVE VALUES",IF(OR(NOT(OR(D23="retain",D23="exclude",D23="discuss")),NOT(OR(E23="statistical_results",E23="report_internal_inconsistency",E23="plan_material",E23="protocol_report")),AND(AND(D23="retain",E23="statistical_results"),NOT(OR(H23="confirmed_issue",H23="probable_issue",H23="not_issue",H23="indeterminate"))),AND(AND(D23="retain",E23="statistical_results"),NOT(OR(I23="substantive",I23="minor_presentation",I23="indeterminate"))),AND(AND(D23="retain",E23="statistical_results"),J23&lt;&gt;"",NOT(OR(J23="direct",J23="possible",J23="unlikely",J23="unknown"))),AND(AND(D23="retain",OR(E23="report_internal_inconsistency",E23="plan_material")),NOT(OR(K23="substantive_inconsistency",K23="minor_presentation",K23="non_inconsistency",K23="indeterminate"))),AND(AND(D23="retain",E23="protocol_report"),L23&lt;&gt;"",NOT(OR(L23="substantive_difference",L23="minor_presentation",L23="version_timing",L23="non_inconsistency",L23="indeterminate")))),"CHECK FIELDS",IF(Setup!$B$6="primary",IF(OR(N23&lt;&gt;"",O23&lt;&gt;"",P23&lt;&gt;"",Q23&lt;&gt;""),"CLEAR CHECKER FIELDS",IF(OR(Setup!$B$4&lt;&gt;"",Setup!$B$5&lt;&gt;""),"CLEAR CHECKER ID",IF(F23&lt;&gt;"primary_done","PRIMARY DRAFT","PRIMARY READY"))),IF(OR(COUNTIF(Primary_snapshot!$A$2:$A$120,A23)&lt;&gt;1,INDEX('Primary_snapshot'!$J$2:$J$120,MATCH(A23,'Primary_snapshot'!$A$2:$A$120,0))&lt;&gt;"primary_done",INDEX('Primary_snapshot'!$K$2:$K$120,MATCH(A23,'Primary_snapshot'!$A$2:$A$120,0))&lt;&gt;Setup!$B$2,INDEX('Primary_snapshot'!$B$2:$B$120,MATCH(A23,'Primary_snapshot'!$A$2:$A$120,0))="NOT FROZEN",INDEX('Primary_snapshot'!$C$2:$C$120,MATCH(A23,'Primary_snapshot'!$A$2:$A$120,0))="NOT FROZEN",INDEX('Primary_snapshot'!$D$2:$D$120,MATCH(A23,'Primary_snapshot'!$A$2:$A$120,0))="NOT FROZEN",INDEX('Primary_snapshot'!$E$2:$E$120,MATCH(A23,'Primary_snapshot'!$A$2:$A$120,0))="NOT FROZEN",INDEX('Primary_snapshot'!$F$2:$F$120,MATCH(A23,'Primary_snapshot'!$A$2:$A$120,0))="NOT FROZEN",INDEX('Primary_snapshot'!$G$2:$G$120,MATCH(A23,'Primary_snapshot'!$A$2:$A$120,0))="NOT FROZEN",INDEX('Primary_snapshot'!$H$2:$H$120,MATCH(A23,'Primary_snapshot'!$A$2:$A$120,0))="NOT FROZEN",INDEX('Primary_snapshot'!$I$2:$I$120,MATCH(A23,'Primary_snapshot'!$A$2:$A$120,0))="NOT FROZEN",INDEX('Primary_snapshot'!$J$2:$J$120,MATCH(A23,'Primary_snapshot'!$A$2:$A$120,0))="NOT FROZEN",INDEX('Primary_snapshot'!$K$2:$K$120,MATCH(A23,'Primary_snapshot'!$A$2:$A$120,0))="NOT FROZEN",INDEX('Primary_snapshot'!$L$2:$L$120,MATCH(A23,'Primary_snapshot'!$A$2:$A$120,0))="NOT FROZEN"),"FREEZE SNAPSHOT",IF(NOT(OR(N23="agree",N23="agree_clarification",N23="disagree",N23="unable")),"CHECKER RESULT NEEDED",IF(AND(N23&lt;&gt;"agree",LEN(TRIM(O23))=0),"COMMENT NEEDED",IF(AND(N23="agree",NOT(AND(IF(D23="","",D23)=IF(INDEX('Primary_snapshot'!$B$2:$B$120,MATCH(A23,'Primary_snapshot'!$A$2:$A$120,0))="","",INDEX('Primary_snapshot'!$B$2:$B$120,MATCH(A23,'Primary_snapshot'!$A$2:$A$120,0))),IF(E23="","",E23)=IF(INDEX('Primary_snapshot'!$C$2:$C$120,MATCH(A23,'Primary_snapshot'!$A$2:$A$120,0))="","",INDEX('Primary_snapshot'!$C$2:$C$120,MATCH(A23,'Primary_snapshot'!$A$2:$A$120,0))),IF(AND(D23="retain",E23="statistical_results"),IF(H23="","",H23),"not_applicable")=IF(INDEX('Primary_snapshot'!$D$2:$D$120,MATCH(A23,'Primary_snapshot'!$A$2:$A$120,0))="","",INDEX('Primary_snapshot'!$D$2:$D$120,MATCH(A23,'Primary_snapshot'!$A$2:$A$120,0))),IF(AND(D23="retain",E23="statistical_results"),IF(I23="","",I23),"not_applicable")=IF(INDEX('Primary_snapshot'!$E$2:$E$120,MATCH(A23,'Primary_snapshot'!$A$2:$A$120,0))="","",INDEX('Primary_snapshot'!$E$2:$E$120,MATCH(A23,'Primary_snapshot'!$A$2:$A$120,0))),IF(AND(D23="retain",E23="statistical_results"),IF(J23="","",J23),"not_applicable")=IF(INDEX('Primary_snapshot'!$F$2:$F$120,MATCH(A23,'Primary_snapshot'!$A$2:$A$120,0))="","",INDEX('Primary_snapshot'!$F$2:$F$120,MATCH(A23,'Primary_snapshot'!$A$2:$A$120,0))),IF(AND(D23="retain",OR(E23="report_internal_inconsistency",E23="plan_material")),IF(K23="","",K23),"not_applicable")=IF(INDEX('Primary_snapshot'!$G$2:$G$120,MATCH(A23,'Primary_snapshot'!$A$2:$A$120,0))="","",INDEX('Primary_snapshot'!$G$2:$G$120,MATCH(A23,'Primary_snapshot'!$A$2:$A$120,0))),IF(AND(D23="retain",E23="protocol_report"),IF(L23="","",L23),"not_applicable")=IF(INDEX('Primary_snapshot'!$H$2:$H$120,MATCH(A23,'Primary_snapshot'!$A$2:$A$120,0))="","",INDEX('Primary_snapshot'!$H$2:$H$120,MATCH(A23,'Primary_snapshot'!$A$2:$A$120,0))),IF(R23="","",R23)=IF(INDEX('Primary_snapshot'!$I$2:$I$120,MATCH(A23,'Primary_snapshot'!$A$2:$A$120,0))="","",INDEX('Primary_snapshot'!$I$2:$I$120,MATCH(A23,'Primary_snapshot'!$A$2:$A$120,0)))))),"AGREE BUT CHANGED",IF(AND(P23&lt;&gt;"",NOT(OR(P23="pending",P23="resolved"))),"CHECK RESOLUTION",IF(OR(AND(OR(D23="discuss",INDEX('Primary_snapshot'!$B$2:$B$120,MATCH(A23,'Primary_snapshot'!$A$2:$A$120,0))="discuss",N23="disagree",N23="unable"),P23&lt;&gt;"resolved"),D23="discuss"),"DISCUSS",IF(AND(P23="resolved",LEN(TRIM(Q23))=0),"RESOLUTION NOTE NEEDED",IF(F23&lt;&gt;"checker_done","CHECKER DRAFT","FINAL READY")))))))))))))),"CHECK KEY / SNAPSHOT")</x:f>
        <x:v>CHECK REVIEWER IDs</x:v>
      </x:c>
      <x:c r="H23" s="7" t="str">
        <x:f>IF(AND(OR(D23="retain",D23=""),E23="statistical_results"),"","not_applicable")</x:f>
        <x:v>not_applicable</x:v>
      </x:c>
      <x:c r="I23" s="7" t="str">
        <x:f>IF(AND(OR(D23="retain",D23=""),E23="statistical_results"),"","not_applicable")</x:f>
        <x:v>not_applicable</x:v>
      </x:c>
      <x:c r="J23" s="13" t="str">
        <x:f>IF(AND(OR(D23="retain",D23=""),E23="statistical_results"),"","not_applicable")</x:f>
        <x:v>not_applicable</x:v>
      </x:c>
      <x:c r="K23" s="7" t="str">
        <x:f>IF(AND(OR(D23="retain",D23=""),OR(E23="report_internal_inconsistency",E23="plan_material")),"","not_applicable")</x:f>
      </x:c>
      <x:c r="L23" s="13" t="str">
        <x:f>IF(AND(OR(D23="retain",D23=""),E23="protocol_report"),"","not_applicable")</x:f>
        <x:v>not_applicable</x:v>
      </x:c>
      <x:c r="M23" s="3" t="str">
        <x:f>IF(Setup!$B$6="primary","",IFERROR(IF(INDEX('Primary_snapshot'!$L$2:$L$120,MATCH(A23,'Primary_snapshot'!$A$2:$A$120,0))="","",INDEX('Primary_snapshot'!$L$2:$L$120,MATCH(A23,'Primary_snapshot'!$A$2:$A$120,0))),"SNAPSHOT MISSING"))</x:f>
      </x:c>
      <x:c r="N23" s="7" t="str"/>
      <x:c r="O23" s="7" t="str"/>
      <x:c r="P23" s="7" t="str"/>
      <x:c r="Q23" s="7" t="str"/>
      <x:c r="R23" s="13" t="str"/>
    </x:row>
    <x:row r="24" ht="92" customHeight="1">
      <x:c r="A24" s="6" t="str">
        <x:v>2018::jama.2018.14280::C023</x:v>
      </x:c>
      <x:c r="B24" s="6" t="str">
        <x:v>Enrollment completion dates differ by two days</x:v>
      </x:c>
      <x:c r="C24" s="6" t="str">
        <x:v>DOC-001 abstract and Results/Patients; DOC-003 SAP abstract and introduction.</x:v>
      </x:c>
      <x:c r="D24" s="7" t="str"/>
      <x:c r="E24" s="7" t="str">
        <x:v>protocol_report</x:v>
      </x:c>
      <x:c r="F24" s="7" t="str">
        <x:v>no</x:v>
      </x:c>
      <x:c r="G24" s="6" t="str">
        <x:f>IFERROR(IF(NOT(OR(Setup!$B$6="primary",Setup!$B$6="checker")),"CHECK STAGE",IF(OR(LEN(TRIM(Setup!$B$2))=0,Setup!$B$2&lt;&gt;TRIM(Setup!$B$2),AND(Setup!$B$6="checker",OR(LEN(TRIM(Setup!$B$4))=0,Setup!$B$4&lt;&gt;TRIM(Setup!$B$4),LOWER(TRIM(Setup!$B$4))=LOWER(TRIM(Setup!$B$2))))),"CHECK REVIEWER IDs",IF(OR(COUNTIF($A$2:$A$24,A24)&lt;&gt;1,COUNTIF(Decisions!$C$2:$C$120,A24)&lt;&gt;1),"CHECK KEY",IF(OR(AND(NOT(AND(D24="retain",E24="statistical_results")),H24&lt;&gt;"",H24&lt;&gt;"not_applicable"),AND(NOT(AND(D24="retain",E24="statistical_results")),I24&lt;&gt;"",I24&lt;&gt;"not_applicable"),AND(NOT(AND(D24="retain",E24="statistical_results")),J24&lt;&gt;"",J24&lt;&gt;"not_applicable"),AND(NOT(AND(D24="retain",OR(E24="report_internal_inconsistency",E24="plan_material"))),K24&lt;&gt;"",K24&lt;&gt;"not_applicable"),AND(NOT(AND(D24="retain",E24="protocol_report")),L24&lt;&gt;"",L24&lt;&gt;"not_applicable")),"CLEAR INACTIVE VALUES",IF(OR(NOT(OR(D24="retain",D24="exclude",D24="discuss")),NOT(OR(E24="statistical_results",E24="report_internal_inconsistency",E24="plan_material",E24="protocol_report")),AND(AND(D24="retain",E24="statistical_results"),NOT(OR(H24="confirmed_issue",H24="probable_issue",H24="not_issue",H24="indeterminate"))),AND(AND(D24="retain",E24="statistical_results"),NOT(OR(I24="substantive",I24="minor_presentation",I24="indeterminate"))),AND(AND(D24="retain",E24="statistical_results"),J24&lt;&gt;"",NOT(OR(J24="direct",J24="possible",J24="unlikely",J24="unknown"))),AND(AND(D24="retain",OR(E24="report_internal_inconsistency",E24="plan_material")),NOT(OR(K24="substantive_inconsistency",K24="minor_presentation",K24="non_inconsistency",K24="indeterminate"))),AND(AND(D24="retain",E24="protocol_report"),L24&lt;&gt;"",NOT(OR(L24="substantive_difference",L24="minor_presentation",L24="version_timing",L24="non_inconsistency",L24="indeterminate")))),"CHECK FIELDS",IF(Setup!$B$6="primary",IF(OR(N24&lt;&gt;"",O24&lt;&gt;"",P24&lt;&gt;"",Q24&lt;&gt;""),"CLEAR CHECKER FIELDS",IF(OR(Setup!$B$4&lt;&gt;"",Setup!$B$5&lt;&gt;""),"CLEAR CHECKER ID",IF(F24&lt;&gt;"primary_done","PRIMARY DRAFT","PRIMARY READY"))),IF(OR(COUNTIF(Primary_snapshot!$A$2:$A$120,A24)&lt;&gt;1,INDEX('Primary_snapshot'!$J$2:$J$120,MATCH(A24,'Primary_snapshot'!$A$2:$A$120,0))&lt;&gt;"primary_done",INDEX('Primary_snapshot'!$K$2:$K$120,MATCH(A24,'Primary_snapshot'!$A$2:$A$120,0))&lt;&gt;Setup!$B$2,INDEX('Primary_snapshot'!$B$2:$B$120,MATCH(A24,'Primary_snapshot'!$A$2:$A$120,0))="NOT FROZEN",INDEX('Primary_snapshot'!$C$2:$C$120,MATCH(A24,'Primary_snapshot'!$A$2:$A$120,0))="NOT FROZEN",INDEX('Primary_snapshot'!$D$2:$D$120,MATCH(A24,'Primary_snapshot'!$A$2:$A$120,0))="NOT FROZEN",INDEX('Primary_snapshot'!$E$2:$E$120,MATCH(A24,'Primary_snapshot'!$A$2:$A$120,0))="NOT FROZEN",INDEX('Primary_snapshot'!$F$2:$F$120,MATCH(A24,'Primary_snapshot'!$A$2:$A$120,0))="NOT FROZEN",INDEX('Primary_snapshot'!$G$2:$G$120,MATCH(A24,'Primary_snapshot'!$A$2:$A$120,0))="NOT FROZEN",INDEX('Primary_snapshot'!$H$2:$H$120,MATCH(A24,'Primary_snapshot'!$A$2:$A$120,0))="NOT FROZEN",INDEX('Primary_snapshot'!$I$2:$I$120,MATCH(A24,'Primary_snapshot'!$A$2:$A$120,0))="NOT FROZEN",INDEX('Primary_snapshot'!$J$2:$J$120,MATCH(A24,'Primary_snapshot'!$A$2:$A$120,0))="NOT FROZEN",INDEX('Primary_snapshot'!$K$2:$K$120,MATCH(A24,'Primary_snapshot'!$A$2:$A$120,0))="NOT FROZEN",INDEX('Primary_snapshot'!$L$2:$L$120,MATCH(A24,'Primary_snapshot'!$A$2:$A$120,0))="NOT FROZEN"),"FREEZE SNAPSHOT",IF(NOT(OR(N24="agree",N24="agree_clarification",N24="disagree",N24="unable")),"CHECKER RESULT NEEDED",IF(AND(N24&lt;&gt;"agree",LEN(TRIM(O24))=0),"COMMENT NEEDED",IF(AND(N24="agree",NOT(AND(IF(D24="","",D24)=IF(INDEX('Primary_snapshot'!$B$2:$B$120,MATCH(A24,'Primary_snapshot'!$A$2:$A$120,0))="","",INDEX('Primary_snapshot'!$B$2:$B$120,MATCH(A24,'Primary_snapshot'!$A$2:$A$120,0))),IF(E24="","",E24)=IF(INDEX('Primary_snapshot'!$C$2:$C$120,MATCH(A24,'Primary_snapshot'!$A$2:$A$120,0))="","",INDEX('Primary_snapshot'!$C$2:$C$120,MATCH(A24,'Primary_snapshot'!$A$2:$A$120,0))),IF(AND(D24="retain",E24="statistical_results"),IF(H24="","",H24),"not_applicable")=IF(INDEX('Primary_snapshot'!$D$2:$D$120,MATCH(A24,'Primary_snapshot'!$A$2:$A$120,0))="","",INDEX('Primary_snapshot'!$D$2:$D$120,MATCH(A24,'Primary_snapshot'!$A$2:$A$120,0))),IF(AND(D24="retain",E24="statistical_results"),IF(I24="","",I24),"not_applicable")=IF(INDEX('Primary_snapshot'!$E$2:$E$120,MATCH(A24,'Primary_snapshot'!$A$2:$A$120,0))="","",INDEX('Primary_snapshot'!$E$2:$E$120,MATCH(A24,'Primary_snapshot'!$A$2:$A$120,0))),IF(AND(D24="retain",E24="statistical_results"),IF(J24="","",J24),"not_applicable")=IF(INDEX('Primary_snapshot'!$F$2:$F$120,MATCH(A24,'Primary_snapshot'!$A$2:$A$120,0))="","",INDEX('Primary_snapshot'!$F$2:$F$120,MATCH(A24,'Primary_snapshot'!$A$2:$A$120,0))),IF(AND(D24="retain",OR(E24="report_internal_inconsistency",E24="plan_material")),IF(K24="","",K24),"not_applicable")=IF(INDEX('Primary_snapshot'!$G$2:$G$120,MATCH(A24,'Primary_snapshot'!$A$2:$A$120,0))="","",INDEX('Primary_snapshot'!$G$2:$G$120,MATCH(A24,'Primary_snapshot'!$A$2:$A$120,0))),IF(AND(D24="retain",E24="protocol_report"),IF(L24="","",L24),"not_applicable")=IF(INDEX('Primary_snapshot'!$H$2:$H$120,MATCH(A24,'Primary_snapshot'!$A$2:$A$120,0))="","",INDEX('Primary_snapshot'!$H$2:$H$120,MATCH(A24,'Primary_snapshot'!$A$2:$A$120,0))),IF(R24="","",R24)=IF(INDEX('Primary_snapshot'!$I$2:$I$120,MATCH(A24,'Primary_snapshot'!$A$2:$A$120,0))="","",INDEX('Primary_snapshot'!$I$2:$I$120,MATCH(A24,'Primary_snapshot'!$A$2:$A$120,0)))))),"AGREE BUT CHANGED",IF(AND(P24&lt;&gt;"",NOT(OR(P24="pending",P24="resolved"))),"CHECK RESOLUTION",IF(OR(AND(OR(D24="discuss",INDEX('Primary_snapshot'!$B$2:$B$120,MATCH(A24,'Primary_snapshot'!$A$2:$A$120,0))="discuss",N24="disagree",N24="unable"),P24&lt;&gt;"resolved"),D24="discuss"),"DISCUSS",IF(AND(P24="resolved",LEN(TRIM(Q24))=0),"RESOLUTION NOTE NEEDED",IF(F24&lt;&gt;"checker_done","CHECKER DRAFT","FINAL READY")))))))))))))),"CHECK KEY / SNAPSHOT")</x:f>
        <x:v>CHECK REVIEWER IDs</x:v>
      </x:c>
      <x:c r="H24" s="7" t="str">
        <x:f>IF(AND(OR(D24="retain",D24=""),E24="statistical_results"),"","not_applicable")</x:f>
        <x:v>not_applicable</x:v>
      </x:c>
      <x:c r="I24" s="7" t="str">
        <x:f>IF(AND(OR(D24="retain",D24=""),E24="statistical_results"),"","not_applicable")</x:f>
        <x:v>not_applicable</x:v>
      </x:c>
      <x:c r="J24" s="13" t="str">
        <x:f>IF(AND(OR(D24="retain",D24=""),E24="statistical_results"),"","not_applicable")</x:f>
        <x:v>not_applicable</x:v>
      </x:c>
      <x:c r="K24" s="7" t="str">
        <x:f>IF(AND(OR(D24="retain",D24=""),OR(E24="report_internal_inconsistency",E24="plan_material")),"","not_applicable")</x:f>
        <x:v>not_applicable</x:v>
      </x:c>
      <x:c r="L24" s="13" t="str">
        <x:f>IF(AND(OR(D24="retain",D24=""),E24="protocol_report"),"","not_applicable")</x:f>
      </x:c>
      <x:c r="M24" s="6" t="str">
        <x:f>IF(Setup!$B$6="primary","",IFERROR(IF(INDEX('Primary_snapshot'!$L$2:$L$120,MATCH(A24,'Primary_snapshot'!$A$2:$A$120,0))="","",INDEX('Primary_snapshot'!$L$2:$L$120,MATCH(A24,'Primary_snapshot'!$A$2:$A$120,0))),"SNAPSHOT MISSING"))</x:f>
      </x:c>
      <x:c r="N24" s="7" t="str"/>
      <x:c r="O24" s="7" t="str"/>
      <x:c r="P24" s="7" t="str"/>
      <x:c r="Q24" s="7" t="str"/>
      <x:c r="R24" s="13" t="str"/>
    </x:row>
  </x:sheetData>
  <x:conditionalFormatting sqref="G2:G24">
    <x:cfRule type="expression" dxfId="21" priority="1">
      <x:formula>AND(G2&lt;&gt;"PRIMARY READY",G2&lt;&gt;"FINAL READY")</x:formula>
    </x:cfRule>
  </x:conditionalFormatting>
  <x:conditionalFormatting sqref="N2:Q24">
    <x:cfRule type="expression" dxfId="22" priority="2">
      <x:formula>Setup!$B$6="primary"</x:formula>
    </x:cfRule>
  </x:conditionalFormatting>
  <x:conditionalFormatting sqref="H2:H24">
    <x:cfRule type="expression" dxfId="23" priority="3">
      <x:formula>NOT(AND(OR($D2="retain",$D2=""),$E2="statistical_results"))</x:formula>
    </x:cfRule>
  </x:conditionalFormatting>
  <x:conditionalFormatting sqref="I2:I24">
    <x:cfRule type="expression" dxfId="24" priority="4">
      <x:formula>NOT(AND(OR($D2="retain",$D2=""),$E2="statistical_results"))</x:formula>
    </x:cfRule>
  </x:conditionalFormatting>
  <x:conditionalFormatting sqref="J2:J24">
    <x:cfRule type="expression" dxfId="25" priority="5">
      <x:formula>NOT(AND(OR($D2="retain",$D2=""),$E2="statistical_results"))</x:formula>
    </x:cfRule>
  </x:conditionalFormatting>
  <x:conditionalFormatting sqref="K2:K24">
    <x:cfRule type="expression" dxfId="26" priority="6">
      <x:formula>NOT(AND(OR($D2="retain",$D2=""),OR($E2="report_internal_inconsistency",$E2="plan_material")))</x:formula>
    </x:cfRule>
  </x:conditionalFormatting>
  <x:conditionalFormatting sqref="L2:L24">
    <x:cfRule type="expression" dxfId="27" priority="7">
      <x:formula>NOT(AND(OR($D2="retain",$D2=""),$E2="protocol_report"))</x:formula>
    </x:cfRule>
  </x:conditionalFormatting>
  <x:dataValidations count="10">
    <x:dataValidation type="list" sqref="D2:D24">
      <x:formula1>"retain,exclude,discuss"</x:formula1>
    </x:dataValidation>
    <x:dataValidation type="list" sqref="E2:E24">
      <x:formula1>"statistical_results,report_internal_inconsistency,plan_material,protocol_report"</x:formula1>
    </x:dataValidation>
    <x:dataValidation type="list" sqref="F2:F24">
      <x:formula1>"no,primary_done,checker_done"</x:formula1>
    </x:dataValidation>
    <x:dataValidation type="list" sqref="H2:H24">
      <x:formula1>"confirmed_issue,probable_issue,not_issue,indeterminate,not_applicable"</x:formula1>
    </x:dataValidation>
    <x:dataValidation type="list" sqref="I2:I24">
      <x:formula1>"substantive,minor_presentation,indeterminate,not_applicable"</x:formula1>
    </x:dataValidation>
    <x:dataValidation type="list" sqref="J2:J24">
      <x:formula1>"direct,possible,unlikely,unknown,not_applicable"</x:formula1>
    </x:dataValidation>
    <x:dataValidation type="list" sqref="K2:K24">
      <x:formula1>"substantive_inconsistency,minor_presentation,non_inconsistency,indeterminate,not_applicable"</x:formula1>
    </x:dataValidation>
    <x:dataValidation type="list" sqref="L2:L24">
      <x:formula1>"substantive_difference,minor_presentation,version_timing,non_inconsistency,indeterminate,not_applicable"</x:formula1>
    </x:dataValidation>
    <x:dataValidation type="list" sqref="N2:N24">
      <x:formula1>"agree,agree_clarification,disagree,unable"</x:formula1>
    </x:dataValidation>
    <x:dataValidation type="list" sqref="P2:P24">
      <x:formula1>"pending,resolved"</x:formula1>
    </x:dataValidation>
  </x:dataValidations>
  <x:pageMargins left="0.7" right="0.7" top="0.75" bottom="0.75" header="0.3" footer="0.3"/>
  <x:tableParts count="1">
    <x:tablePart xmlns:r="http://schemas.openxmlformats.org/officeDocument/2006/relationships" r:id="R065946798b7142ad"/>
  </x:tableParts>
</x:worksheet>
</file>

<file path=xl/worksheets/sheet9.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28" hidden="0" customWidth="1"/>
    <x:col min="3" max="3" width="22" hidden="0" customWidth="1"/>
    <x:col min="4" max="4" width="18" hidden="0" customWidth="1"/>
    <x:col min="5" max="5" width="24" hidden="0" customWidth="1"/>
    <x:col min="6" max="6" width="17" hidden="0" customWidth="1"/>
    <x:col min="7" max="7" width="25" hidden="0" customWidth="1"/>
    <x:col min="8" max="8" width="28" hidden="0" customWidth="1"/>
    <x:col min="9" max="9" width="20" hidden="0" customWidth="1"/>
    <x:col min="10" max="10" width="20" hidden="0" customWidth="1"/>
    <x:col min="11" max="11" width="34" hidden="0" customWidth="1"/>
    <x:col min="12" max="12" width="26" hidden="0" customWidth="1"/>
    <x:col min="13" max="13" width="58" hidden="0" customWidth="1"/>
    <x:col min="14" max="14" width="23" hidden="0" customWidth="1"/>
    <x:col min="15" max="15" width="32" hidden="0" customWidth="1"/>
    <x:col min="16" max="16" width="22" hidden="0" customWidth="1"/>
    <x:col min="17" max="17" width="32" hidden="0" customWidth="1"/>
    <x:col min="18" max="18" width="32" hidden="0" customWidth="1"/>
  </x:cols>
  <x:sheetData>
    <x:row r="1" ht="42" customHeight="1">
      <x:c r="A1" s="5" t="str">
        <x:v>Candidate key</x:v>
      </x:c>
      <x:c r="B1" s="5" t="str">
        <x:v>Candidate title</x:v>
      </x:c>
      <x:c r="C1" s="5" t="str">
        <x:v>Source location</x:v>
      </x:c>
      <x:c r="D1" s="5" t="str">
        <x:v>Disposition</x:v>
      </x:c>
      <x:c r="E1" s="5" t="str">
        <x:v>Review domain</x:v>
      </x:c>
      <x:c r="F1" s="5" t="str">
        <x:v>Complete</x:v>
      </x:c>
      <x:c r="G1" s="5" t="str">
        <x:v>Validation hint</x:v>
      </x:c>
      <x:c r="H1" s="5" t="str">
        <x:v>Statistcal_or_numerical issue</x:v>
      </x:c>
      <x:c r="I1" s="5" t="str">
        <x:v>Substantiveness</x:v>
      </x:c>
      <x:c r="J1" s="5" t="str">
        <x:v>Downstream impact</x:v>
      </x:c>
      <x:c r="K1" s="5" t="str">
        <x:v>Report-internal or planning-material inconsistency</x:v>
      </x:c>
      <x:c r="L1" s="5" t="str">
        <x:v>Protocol interpretation</x:v>
      </x:c>
      <x:c r="M1" s="5" t="str">
        <x:v>Primary assessment</x:v>
      </x:c>
      <x:c r="N1" s="5" t="str">
        <x:v>Checker result</x:v>
      </x:c>
      <x:c r="O1" s="5" t="str">
        <x:v>Checker comment</x:v>
      </x:c>
      <x:c r="P1" s="5" t="str">
        <x:v>Discussion resolution</x:v>
      </x:c>
      <x:c r="Q1" s="5" t="str">
        <x:v>Resolution note</x:v>
      </x:c>
      <x:c r="R1" s="5" t="str">
        <x:v>Notes (optional)</x:v>
      </x:c>
    </x:row>
    <x:row r="2" ht="92" customHeight="1">
      <x:c r="A2" s="6" t="str">
        <x:v>2018::jama.2018.14282::C001</x:v>
      </x:c>
      <x:c r="B2" s="6" t="str">
        <x:v>Standard-arm men percentage does not reconcile</x:v>
      </x:c>
      <x:c r="C2" s="6" t="str">
        <x:v>DOC-001 Table 1 — PDF p. 4</x:v>
      </x:c>
      <x:c r="D2" s="7" t="str"/>
      <x:c r="E2" s="7" t="str">
        <x:v>statistical_results</x:v>
      </x:c>
      <x:c r="F2" s="7" t="str">
        <x:v>no</x:v>
      </x:c>
      <x:c r="G2" s="6" t="str">
        <x:f>IFERROR(IF(NOT(OR(Setup!$B$6="primary",Setup!$B$6="checker")),"CHECK STAGE",IF(OR(LEN(TRIM(Setup!$B$2))=0,Setup!$B$2&lt;&gt;TRIM(Setup!$B$2),AND(Setup!$B$6="checker",OR(LEN(TRIM(Setup!$B$4))=0,Setup!$B$4&lt;&gt;TRIM(Setup!$B$4),LOWER(TRIM(Setup!$B$4))=LOWER(TRIM(Setup!$B$2))))),"CHECK REVIEWER IDs",IF(OR(COUNTIF($A$2:$A$29,A2)&lt;&gt;1,COUNTIF(Decisions!$C$2:$C$120,A2)&lt;&gt;1),"CHECK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FIELDS",IF(Setup!$B$6="primary",IF(OR(N2&lt;&gt;"",O2&lt;&gt;"",P2&lt;&gt;"",Q2&lt;&gt;""),"CLEAR CHECKER FIELDS",IF(OR(Setup!$B$4&lt;&gt;"",Setup!$B$5&lt;&gt;""),"CLEAR CHECKER ID",IF(F2&lt;&gt;"primary_done","PRIMARY DRAFT","PRIMARY READY"))),IF(OR(COUNTIF(Primary_snapshot!$A$2:$A$120,A2)&lt;&gt;1,INDEX('Primary_snapshot'!$J$2:$J$120,MATCH(A2,'Primary_snapshot'!$A$2:$A$120,0))&lt;&gt;"primary_done",INDEX('Primary_snapshot'!$K$2:$K$120,MATCH(A2,'Primary_snapshot'!$A$2:$A$120,0))&lt;&gt;Setup!$B$2,INDEX('Primary_snapshot'!$B$2:$B$120,MATCH(A2,'Primary_snapshot'!$A$2:$A$120,0))="NOT FROZEN",INDEX('Primary_snapshot'!$C$2:$C$120,MATCH(A2,'Primary_snapshot'!$A$2:$A$120,0))="NOT FROZEN",INDEX('Primary_snapshot'!$D$2:$D$120,MATCH(A2,'Primary_snapshot'!$A$2:$A$120,0))="NOT FROZEN",INDEX('Primary_snapshot'!$E$2:$E$120,MATCH(A2,'Primary_snapshot'!$A$2:$A$120,0))="NOT FROZEN",INDEX('Primary_snapshot'!$F$2:$F$120,MATCH(A2,'Primary_snapshot'!$A$2:$A$120,0))="NOT FROZEN",INDEX('Primary_snapshot'!$G$2:$G$120,MATCH(A2,'Primary_snapshot'!$A$2:$A$120,0))="NOT FROZEN",INDEX('Primary_snapshot'!$H$2:$H$120,MATCH(A2,'Primary_snapshot'!$A$2:$A$120,0))="NOT FROZEN",INDEX('Primary_snapshot'!$I$2:$I$120,MATCH(A2,'Primary_snapshot'!$A$2:$A$120,0))="NOT FROZEN",INDEX('Primary_snapshot'!$J$2:$J$120,MATCH(A2,'Primary_snapshot'!$A$2:$A$120,0))="NOT FROZEN",INDEX('Primary_snapshot'!$K$2:$K$120,MATCH(A2,'Primary_snapshot'!$A$2:$A$120,0))="NOT FROZEN",INDEX('Primary_snapshot'!$L$2:$L$120,MATCH(A2,'Primary_snapshot'!$A$2:$A$120,0))="NOT FROZEN"),"FREEZE SNAPSHOT",IF(NOT(OR(N2="agree",N2="agree_clarification",N2="disagree",N2="unable")),"CHECKER RESULT NEEDED",IF(AND(N2&lt;&gt;"agree",LEN(TRIM(O2))=0),"COMMENT NEEDED",IF(AND(N2="agree",NOT(AND(IF(D2="","",D2)=IF(INDEX('Primary_snapshot'!$B$2:$B$120,MATCH(A2,'Primary_snapshot'!$A$2:$A$120,0))="","",INDEX('Primary_snapshot'!$B$2:$B$120,MATCH(A2,'Primary_snapshot'!$A$2:$A$120,0))),IF(E2="","",E2)=IF(INDEX('Primary_snapshot'!$C$2:$C$120,MATCH(A2,'Primary_snapshot'!$A$2:$A$120,0))="","",INDEX('Primary_snapshot'!$C$2:$C$120,MATCH(A2,'Primary_snapshot'!$A$2:$A$120,0))),IF(AND(D2="retain",E2="statistical_results"),IF(H2="","",H2),"not_applicable")=IF(INDEX('Primary_snapshot'!$D$2:$D$120,MATCH(A2,'Primary_snapshot'!$A$2:$A$120,0))="","",INDEX('Primary_snapshot'!$D$2:$D$120,MATCH(A2,'Primary_snapshot'!$A$2:$A$120,0))),IF(AND(D2="retain",E2="statistical_results"),IF(I2="","",I2),"not_applicable")=IF(INDEX('Primary_snapshot'!$E$2:$E$120,MATCH(A2,'Primary_snapshot'!$A$2:$A$120,0))="","",INDEX('Primary_snapshot'!$E$2:$E$120,MATCH(A2,'Primary_snapshot'!$A$2:$A$120,0))),IF(AND(D2="retain",E2="statistical_results"),IF(J2="","",J2),"not_applicable")=IF(INDEX('Primary_snapshot'!$F$2:$F$120,MATCH(A2,'Primary_snapshot'!$A$2:$A$120,0))="","",INDEX('Primary_snapshot'!$F$2:$F$120,MATCH(A2,'Primary_snapshot'!$A$2:$A$120,0))),IF(AND(D2="retain",OR(E2="report_internal_inconsistency",E2="plan_material")),IF(K2="","",K2),"not_applicable")=IF(INDEX('Primary_snapshot'!$G$2:$G$120,MATCH(A2,'Primary_snapshot'!$A$2:$A$120,0))="","",INDEX('Primary_snapshot'!$G$2:$G$120,MATCH(A2,'Primary_snapshot'!$A$2:$A$120,0))),IF(AND(D2="retain",E2="protocol_report"),IF(L2="","",L2),"not_applicable")=IF(INDEX('Primary_snapshot'!$H$2:$H$120,MATCH(A2,'Primary_snapshot'!$A$2:$A$120,0))="","",INDEX('Primary_snapshot'!$H$2:$H$120,MATCH(A2,'Primary_snapshot'!$A$2:$A$120,0))),IF(R2="","",R2)=IF(INDEX('Primary_snapshot'!$I$2:$I$120,MATCH(A2,'Primary_snapshot'!$A$2:$A$120,0))="","",INDEX('Primary_snapshot'!$I$2:$I$120,MATCH(A2,'Primary_snapshot'!$A$2:$A$120,0)))))),"AGREE BUT CHANGED",IF(AND(P2&lt;&gt;"",NOT(OR(P2="pending",P2="resolved"))),"CHECK RESOLUTION",IF(OR(AND(OR(D2="discuss",INDEX('Primary_snapshot'!$B$2:$B$120,MATCH(A2,'Primary_snapshot'!$A$2:$A$120,0))="discuss",N2="disagree",N2="unable"),P2&lt;&gt;"resolved"),D2="discuss"),"DISCUSS",IF(AND(P2="resolved",LEN(TRIM(Q2))=0),"RESOLUTION NOTE NEEDED",IF(F2&lt;&gt;"checker_done","CHECKER DRAFT","FINAL READY")))))))))))))),"CHECK KEY / SNAPSHOT")</x:f>
        <x:v>CHECK REVIEWER IDs</x:v>
      </x:c>
      <x:c r="H2" s="7" t="str">
        <x:f>IF(AND(OR(D2="retain",D2=""),E2="statistical_results"),"","not_applicable")</x:f>
      </x:c>
      <x:c r="I2" s="7" t="str">
        <x:f>IF(AND(OR(D2="retain",D2=""),E2="statistical_results"),"","not_applicable")</x:f>
      </x:c>
      <x:c r="J2" s="13" t="str">
        <x:f>IF(AND(OR(D2="retain",D2=""),E2="statistical_results"),"","not_applicable")</x:f>
      </x:c>
      <x:c r="K2" s="7" t="str">
        <x:f>IF(AND(OR(D2="retain",D2=""),OR(E2="report_internal_inconsistency",E2="plan_material")),"","not_applicable")</x:f>
        <x:v>not_applicable</x:v>
      </x:c>
      <x:c r="L2" s="13" t="str">
        <x:f>IF(AND(OR(D2="retain",D2=""),E2="protocol_report"),"","not_applicable")</x:f>
        <x:v>not_applicable</x:v>
      </x:c>
      <x:c r="M2" s="6" t="str">
        <x:f>IF(Setup!$B$6="primary","",IFERROR(IF(INDEX('Primary_snapshot'!$L$2:$L$120,MATCH(A2,'Primary_snapshot'!$A$2:$A$120,0))="","",INDEX('Primary_snapshot'!$L$2:$L$120,MATCH(A2,'Primary_snapshot'!$A$2:$A$120,0))),"SNAPSHOT MISSING"))</x:f>
      </x:c>
      <x:c r="N2" s="7" t="str"/>
      <x:c r="O2" s="7" t="str"/>
      <x:c r="P2" s="7" t="str"/>
      <x:c r="Q2" s="7" t="str"/>
      <x:c r="R2" s="13" t="str"/>
    </x:row>
    <x:row r="3" ht="92" customHeight="1">
      <x:c r="A3" s="3" t="str">
        <x:v>2018::jama.2018.14282::C002</x:v>
      </x:c>
      <x:c r="B3" s="3" t="str">
        <x:v>Standard-arm women percentage does not reconcile</x:v>
      </x:c>
      <x:c r="C3" s="3" t="str">
        <x:v>DOC-001 Table 1 — PDF p. 4</x:v>
      </x:c>
      <x:c r="D3" s="7" t="str"/>
      <x:c r="E3" s="7" t="str">
        <x:v>statistical_results</x:v>
      </x:c>
      <x:c r="F3" s="7" t="str">
        <x:v>no</x:v>
      </x:c>
      <x:c r="G3" s="3" t="str">
        <x:f>IFERROR(IF(NOT(OR(Setup!$B$6="primary",Setup!$B$6="checker")),"CHECK STAGE",IF(OR(LEN(TRIM(Setup!$B$2))=0,Setup!$B$2&lt;&gt;TRIM(Setup!$B$2),AND(Setup!$B$6="checker",OR(LEN(TRIM(Setup!$B$4))=0,Setup!$B$4&lt;&gt;TRIM(Setup!$B$4),LOWER(TRIM(Setup!$B$4))=LOWER(TRIM(Setup!$B$2))))),"CHECK REVIEWER IDs",IF(OR(COUNTIF($A$2:$A$29,A3)&lt;&gt;1,COUNTIF(Decisions!$C$2:$C$120,A3)&lt;&gt;1),"CHECK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FIELDS",IF(Setup!$B$6="primary",IF(OR(N3&lt;&gt;"",O3&lt;&gt;"",P3&lt;&gt;"",Q3&lt;&gt;""),"CLEAR CHECKER FIELDS",IF(OR(Setup!$B$4&lt;&gt;"",Setup!$B$5&lt;&gt;""),"CLEAR CHECKER ID",IF(F3&lt;&gt;"primary_done","PRIMARY DRAFT","PRIMARY READY"))),IF(OR(COUNTIF(Primary_snapshot!$A$2:$A$120,A3)&lt;&gt;1,INDEX('Primary_snapshot'!$J$2:$J$120,MATCH(A3,'Primary_snapshot'!$A$2:$A$120,0))&lt;&gt;"primary_done",INDEX('Primary_snapshot'!$K$2:$K$120,MATCH(A3,'Primary_snapshot'!$A$2:$A$120,0))&lt;&gt;Setup!$B$2,INDEX('Primary_snapshot'!$B$2:$B$120,MATCH(A3,'Primary_snapshot'!$A$2:$A$120,0))="NOT FROZEN",INDEX('Primary_snapshot'!$C$2:$C$120,MATCH(A3,'Primary_snapshot'!$A$2:$A$120,0))="NOT FROZEN",INDEX('Primary_snapshot'!$D$2:$D$120,MATCH(A3,'Primary_snapshot'!$A$2:$A$120,0))="NOT FROZEN",INDEX('Primary_snapshot'!$E$2:$E$120,MATCH(A3,'Primary_snapshot'!$A$2:$A$120,0))="NOT FROZEN",INDEX('Primary_snapshot'!$F$2:$F$120,MATCH(A3,'Primary_snapshot'!$A$2:$A$120,0))="NOT FROZEN",INDEX('Primary_snapshot'!$G$2:$G$120,MATCH(A3,'Primary_snapshot'!$A$2:$A$120,0))="NOT FROZEN",INDEX('Primary_snapshot'!$H$2:$H$120,MATCH(A3,'Primary_snapshot'!$A$2:$A$120,0))="NOT FROZEN",INDEX('Primary_snapshot'!$I$2:$I$120,MATCH(A3,'Primary_snapshot'!$A$2:$A$120,0))="NOT FROZEN",INDEX('Primary_snapshot'!$J$2:$J$120,MATCH(A3,'Primary_snapshot'!$A$2:$A$120,0))="NOT FROZEN",INDEX('Primary_snapshot'!$K$2:$K$120,MATCH(A3,'Primary_snapshot'!$A$2:$A$120,0))="NOT FROZEN",INDEX('Primary_snapshot'!$L$2:$L$120,MATCH(A3,'Primary_snapshot'!$A$2:$A$120,0))="NOT FROZEN"),"FREEZE SNAPSHOT",IF(NOT(OR(N3="agree",N3="agree_clarification",N3="disagree",N3="unable")),"CHECKER RESULT NEEDED",IF(AND(N3&lt;&gt;"agree",LEN(TRIM(O3))=0),"COMMENT NEEDED",IF(AND(N3="agree",NOT(AND(IF(D3="","",D3)=IF(INDEX('Primary_snapshot'!$B$2:$B$120,MATCH(A3,'Primary_snapshot'!$A$2:$A$120,0))="","",INDEX('Primary_snapshot'!$B$2:$B$120,MATCH(A3,'Primary_snapshot'!$A$2:$A$120,0))),IF(E3="","",E3)=IF(INDEX('Primary_snapshot'!$C$2:$C$120,MATCH(A3,'Primary_snapshot'!$A$2:$A$120,0))="","",INDEX('Primary_snapshot'!$C$2:$C$120,MATCH(A3,'Primary_snapshot'!$A$2:$A$120,0))),IF(AND(D3="retain",E3="statistical_results"),IF(H3="","",H3),"not_applicable")=IF(INDEX('Primary_snapshot'!$D$2:$D$120,MATCH(A3,'Primary_snapshot'!$A$2:$A$120,0))="","",INDEX('Primary_snapshot'!$D$2:$D$120,MATCH(A3,'Primary_snapshot'!$A$2:$A$120,0))),IF(AND(D3="retain",E3="statistical_results"),IF(I3="","",I3),"not_applicable")=IF(INDEX('Primary_snapshot'!$E$2:$E$120,MATCH(A3,'Primary_snapshot'!$A$2:$A$120,0))="","",INDEX('Primary_snapshot'!$E$2:$E$120,MATCH(A3,'Primary_snapshot'!$A$2:$A$120,0))),IF(AND(D3="retain",E3="statistical_results"),IF(J3="","",J3),"not_applicable")=IF(INDEX('Primary_snapshot'!$F$2:$F$120,MATCH(A3,'Primary_snapshot'!$A$2:$A$120,0))="","",INDEX('Primary_snapshot'!$F$2:$F$120,MATCH(A3,'Primary_snapshot'!$A$2:$A$120,0))),IF(AND(D3="retain",OR(E3="report_internal_inconsistency",E3="plan_material")),IF(K3="","",K3),"not_applicable")=IF(INDEX('Primary_snapshot'!$G$2:$G$120,MATCH(A3,'Primary_snapshot'!$A$2:$A$120,0))="","",INDEX('Primary_snapshot'!$G$2:$G$120,MATCH(A3,'Primary_snapshot'!$A$2:$A$120,0))),IF(AND(D3="retain",E3="protocol_report"),IF(L3="","",L3),"not_applicable")=IF(INDEX('Primary_snapshot'!$H$2:$H$120,MATCH(A3,'Primary_snapshot'!$A$2:$A$120,0))="","",INDEX('Primary_snapshot'!$H$2:$H$120,MATCH(A3,'Primary_snapshot'!$A$2:$A$120,0))),IF(R3="","",R3)=IF(INDEX('Primary_snapshot'!$I$2:$I$120,MATCH(A3,'Primary_snapshot'!$A$2:$A$120,0))="","",INDEX('Primary_snapshot'!$I$2:$I$120,MATCH(A3,'Primary_snapshot'!$A$2:$A$120,0)))))),"AGREE BUT CHANGED",IF(AND(P3&lt;&gt;"",NOT(OR(P3="pending",P3="resolved"))),"CHECK RESOLUTION",IF(OR(AND(OR(D3="discuss",INDEX('Primary_snapshot'!$B$2:$B$120,MATCH(A3,'Primary_snapshot'!$A$2:$A$120,0))="discuss",N3="disagree",N3="unable"),P3&lt;&gt;"resolved"),D3="discuss"),"DISCUSS",IF(AND(P3="resolved",LEN(TRIM(Q3))=0),"RESOLUTION NOTE NEEDED",IF(F3&lt;&gt;"checker_done","CHECKER DRAFT","FINAL READY")))))))))))))),"CHECK KEY / SNAPSHOT")</x:f>
        <x:v>CHECK REVIEWER IDs</x:v>
      </x:c>
      <x:c r="H3" s="7" t="str">
        <x:f>IF(AND(OR(D3="retain",D3=""),E3="statistical_results"),"","not_applicable")</x:f>
      </x:c>
      <x:c r="I3" s="7" t="str">
        <x:f>IF(AND(OR(D3="retain",D3=""),E3="statistical_results"),"","not_applicable")</x:f>
      </x:c>
      <x:c r="J3" s="13" t="str">
        <x:f>IF(AND(OR(D3="retain",D3=""),E3="statistical_results"),"","not_applicable")</x:f>
      </x:c>
      <x:c r="K3" s="7" t="str">
        <x:f>IF(AND(OR(D3="retain",D3=""),OR(E3="report_internal_inconsistency",E3="plan_material")),"","not_applicable")</x:f>
        <x:v>not_applicable</x:v>
      </x:c>
      <x:c r="L3" s="13" t="str">
        <x:f>IF(AND(OR(D3="retain",D3=""),E3="protocol_report"),"","not_applicable")</x:f>
        <x:v>not_applicable</x:v>
      </x:c>
      <x:c r="M3" s="3" t="str">
        <x:f>IF(Setup!$B$6="primary","",IFERROR(IF(INDEX('Primary_snapshot'!$L$2:$L$120,MATCH(A3,'Primary_snapshot'!$A$2:$A$120,0))="","",INDEX('Primary_snapshot'!$L$2:$L$120,MATCH(A3,'Primary_snapshot'!$A$2:$A$120,0))),"SNAPSHOT MISSING"))</x:f>
      </x:c>
      <x:c r="N3" s="7" t="str"/>
      <x:c r="O3" s="7" t="str"/>
      <x:c r="P3" s="7" t="str"/>
      <x:c r="Q3" s="7" t="str"/>
      <x:c r="R3" s="13" t="str"/>
    </x:row>
    <x:row r="4" ht="92" customHeight="1">
      <x:c r="A4" s="6" t="str">
        <x:v>2018::jama.2018.14282::C003</x:v>
      </x:c>
      <x:c r="B4" s="6" t="str">
        <x:v>Standard-arm heart-failure percentage does not reconcile</x:v>
      </x:c>
      <x:c r="C4" s="6" t="str">
        <x:v>DOC-001 Table 1 — PDF p. 4</x:v>
      </x:c>
      <x:c r="D4" s="7" t="str"/>
      <x:c r="E4" s="7" t="str">
        <x:v>statistical_results</x:v>
      </x:c>
      <x:c r="F4" s="7" t="str">
        <x:v>no</x:v>
      </x:c>
      <x:c r="G4" s="6" t="str">
        <x:f>IFERROR(IF(NOT(OR(Setup!$B$6="primary",Setup!$B$6="checker")),"CHECK STAGE",IF(OR(LEN(TRIM(Setup!$B$2))=0,Setup!$B$2&lt;&gt;TRIM(Setup!$B$2),AND(Setup!$B$6="checker",OR(LEN(TRIM(Setup!$B$4))=0,Setup!$B$4&lt;&gt;TRIM(Setup!$B$4),LOWER(TRIM(Setup!$B$4))=LOWER(TRIM(Setup!$B$2))))),"CHECK REVIEWER IDs",IF(OR(COUNTIF($A$2:$A$29,A4)&lt;&gt;1,COUNTIF(Decisions!$C$2:$C$120,A4)&lt;&gt;1),"CHECK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FIELDS",IF(Setup!$B$6="primary",IF(OR(N4&lt;&gt;"",O4&lt;&gt;"",P4&lt;&gt;"",Q4&lt;&gt;""),"CLEAR CHECKER FIELDS",IF(OR(Setup!$B$4&lt;&gt;"",Setup!$B$5&lt;&gt;""),"CLEAR CHECKER ID",IF(F4&lt;&gt;"primary_done","PRIMARY DRAFT","PRIMARY READY"))),IF(OR(COUNTIF(Primary_snapshot!$A$2:$A$120,A4)&lt;&gt;1,INDEX('Primary_snapshot'!$J$2:$J$120,MATCH(A4,'Primary_snapshot'!$A$2:$A$120,0))&lt;&gt;"primary_done",INDEX('Primary_snapshot'!$K$2:$K$120,MATCH(A4,'Primary_snapshot'!$A$2:$A$120,0))&lt;&gt;Setup!$B$2,INDEX('Primary_snapshot'!$B$2:$B$120,MATCH(A4,'Primary_snapshot'!$A$2:$A$120,0))="NOT FROZEN",INDEX('Primary_snapshot'!$C$2:$C$120,MATCH(A4,'Primary_snapshot'!$A$2:$A$120,0))="NOT FROZEN",INDEX('Primary_snapshot'!$D$2:$D$120,MATCH(A4,'Primary_snapshot'!$A$2:$A$120,0))="NOT FROZEN",INDEX('Primary_snapshot'!$E$2:$E$120,MATCH(A4,'Primary_snapshot'!$A$2:$A$120,0))="NOT FROZEN",INDEX('Primary_snapshot'!$F$2:$F$120,MATCH(A4,'Primary_snapshot'!$A$2:$A$120,0))="NOT FROZEN",INDEX('Primary_snapshot'!$G$2:$G$120,MATCH(A4,'Primary_snapshot'!$A$2:$A$120,0))="NOT FROZEN",INDEX('Primary_snapshot'!$H$2:$H$120,MATCH(A4,'Primary_snapshot'!$A$2:$A$120,0))="NOT FROZEN",INDEX('Primary_snapshot'!$I$2:$I$120,MATCH(A4,'Primary_snapshot'!$A$2:$A$120,0))="NOT FROZEN",INDEX('Primary_snapshot'!$J$2:$J$120,MATCH(A4,'Primary_snapshot'!$A$2:$A$120,0))="NOT FROZEN",INDEX('Primary_snapshot'!$K$2:$K$120,MATCH(A4,'Primary_snapshot'!$A$2:$A$120,0))="NOT FROZEN",INDEX('Primary_snapshot'!$L$2:$L$120,MATCH(A4,'Primary_snapshot'!$A$2:$A$120,0))="NOT FROZEN"),"FREEZE SNAPSHOT",IF(NOT(OR(N4="agree",N4="agree_clarification",N4="disagree",N4="unable")),"CHECKER RESULT NEEDED",IF(AND(N4&lt;&gt;"agree",LEN(TRIM(O4))=0),"COMMENT NEEDED",IF(AND(N4="agree",NOT(AND(IF(D4="","",D4)=IF(INDEX('Primary_snapshot'!$B$2:$B$120,MATCH(A4,'Primary_snapshot'!$A$2:$A$120,0))="","",INDEX('Primary_snapshot'!$B$2:$B$120,MATCH(A4,'Primary_snapshot'!$A$2:$A$120,0))),IF(E4="","",E4)=IF(INDEX('Primary_snapshot'!$C$2:$C$120,MATCH(A4,'Primary_snapshot'!$A$2:$A$120,0))="","",INDEX('Primary_snapshot'!$C$2:$C$120,MATCH(A4,'Primary_snapshot'!$A$2:$A$120,0))),IF(AND(D4="retain",E4="statistical_results"),IF(H4="","",H4),"not_applicable")=IF(INDEX('Primary_snapshot'!$D$2:$D$120,MATCH(A4,'Primary_snapshot'!$A$2:$A$120,0))="","",INDEX('Primary_snapshot'!$D$2:$D$120,MATCH(A4,'Primary_snapshot'!$A$2:$A$120,0))),IF(AND(D4="retain",E4="statistical_results"),IF(I4="","",I4),"not_applicable")=IF(INDEX('Primary_snapshot'!$E$2:$E$120,MATCH(A4,'Primary_snapshot'!$A$2:$A$120,0))="","",INDEX('Primary_snapshot'!$E$2:$E$120,MATCH(A4,'Primary_snapshot'!$A$2:$A$120,0))),IF(AND(D4="retain",E4="statistical_results"),IF(J4="","",J4),"not_applicable")=IF(INDEX('Primary_snapshot'!$F$2:$F$120,MATCH(A4,'Primary_snapshot'!$A$2:$A$120,0))="","",INDEX('Primary_snapshot'!$F$2:$F$120,MATCH(A4,'Primary_snapshot'!$A$2:$A$120,0))),IF(AND(D4="retain",OR(E4="report_internal_inconsistency",E4="plan_material")),IF(K4="","",K4),"not_applicable")=IF(INDEX('Primary_snapshot'!$G$2:$G$120,MATCH(A4,'Primary_snapshot'!$A$2:$A$120,0))="","",INDEX('Primary_snapshot'!$G$2:$G$120,MATCH(A4,'Primary_snapshot'!$A$2:$A$120,0))),IF(AND(D4="retain",E4="protocol_report"),IF(L4="","",L4),"not_applicable")=IF(INDEX('Primary_snapshot'!$H$2:$H$120,MATCH(A4,'Primary_snapshot'!$A$2:$A$120,0))="","",INDEX('Primary_snapshot'!$H$2:$H$120,MATCH(A4,'Primary_snapshot'!$A$2:$A$120,0))),IF(R4="","",R4)=IF(INDEX('Primary_snapshot'!$I$2:$I$120,MATCH(A4,'Primary_snapshot'!$A$2:$A$120,0))="","",INDEX('Primary_snapshot'!$I$2:$I$120,MATCH(A4,'Primary_snapshot'!$A$2:$A$120,0)))))),"AGREE BUT CHANGED",IF(AND(P4&lt;&gt;"",NOT(OR(P4="pending",P4="resolved"))),"CHECK RESOLUTION",IF(OR(AND(OR(D4="discuss",INDEX('Primary_snapshot'!$B$2:$B$120,MATCH(A4,'Primary_snapshot'!$A$2:$A$120,0))="discuss",N4="disagree",N4="unable"),P4&lt;&gt;"resolved"),D4="discuss"),"DISCUSS",IF(AND(P4="resolved",LEN(TRIM(Q4))=0),"RESOLUTION NOTE NEEDED",IF(F4&lt;&gt;"checker_done","CHECKER DRAFT","FINAL READY")))))))))))))),"CHECK KEY / SNAPSHOT")</x:f>
        <x:v>CHECK REVIEWER IDs</x:v>
      </x:c>
      <x:c r="H4" s="7" t="str">
        <x:f>IF(AND(OR(D4="retain",D4=""),E4="statistical_results"),"","not_applicable")</x:f>
      </x:c>
      <x:c r="I4" s="7" t="str">
        <x:f>IF(AND(OR(D4="retain",D4=""),E4="statistical_results"),"","not_applicable")</x:f>
      </x:c>
      <x:c r="J4" s="13" t="str">
        <x:f>IF(AND(OR(D4="retain",D4=""),E4="statistical_results"),"","not_applicable")</x:f>
      </x:c>
      <x:c r="K4" s="7" t="str">
        <x:f>IF(AND(OR(D4="retain",D4=""),OR(E4="report_internal_inconsistency",E4="plan_material")),"","not_applicable")</x:f>
        <x:v>not_applicable</x:v>
      </x:c>
      <x:c r="L4" s="13" t="str">
        <x:f>IF(AND(OR(D4="retain",D4=""),E4="protocol_report"),"","not_applicable")</x:f>
        <x:v>not_applicable</x:v>
      </x:c>
      <x:c r="M4" s="6" t="str">
        <x:f>IF(Setup!$B$6="primary","",IFERROR(IF(INDEX('Primary_snapshot'!$L$2:$L$120,MATCH(A4,'Primary_snapshot'!$A$2:$A$120,0))="","",INDEX('Primary_snapshot'!$L$2:$L$120,MATCH(A4,'Primary_snapshot'!$A$2:$A$120,0))),"SNAPSHOT MISSING"))</x:f>
      </x:c>
      <x:c r="N4" s="7" t="str"/>
      <x:c r="O4" s="7" t="str"/>
      <x:c r="P4" s="7" t="str"/>
      <x:c r="Q4" s="7" t="str"/>
      <x:c r="R4" s="13" t="str"/>
    </x:row>
    <x:row r="5" ht="92" customHeight="1">
      <x:c r="A5" s="3" t="str">
        <x:v>2018::jama.2018.14282::C004</x:v>
      </x:c>
      <x:c r="B5" s="3" t="str">
        <x:v>High-flow liver-disease percentage conflicts with displayed count</x:v>
      </x:c>
      <x:c r="C5" s="3" t="str">
        <x:v>DOC-001 Table 1 — PDF p. 4</x:v>
      </x:c>
      <x:c r="D5" s="7" t="str"/>
      <x:c r="E5" s="7" t="str">
        <x:v>statistical_results</x:v>
      </x:c>
      <x:c r="F5" s="7" t="str">
        <x:v>no</x:v>
      </x:c>
      <x:c r="G5" s="3" t="str">
        <x:f>IFERROR(IF(NOT(OR(Setup!$B$6="primary",Setup!$B$6="checker")),"CHECK STAGE",IF(OR(LEN(TRIM(Setup!$B$2))=0,Setup!$B$2&lt;&gt;TRIM(Setup!$B$2),AND(Setup!$B$6="checker",OR(LEN(TRIM(Setup!$B$4))=0,Setup!$B$4&lt;&gt;TRIM(Setup!$B$4),LOWER(TRIM(Setup!$B$4))=LOWER(TRIM(Setup!$B$2))))),"CHECK REVIEWER IDs",IF(OR(COUNTIF($A$2:$A$29,A5)&lt;&gt;1,COUNTIF(Decisions!$C$2:$C$120,A5)&lt;&gt;1),"CHECK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FIELDS",IF(Setup!$B$6="primary",IF(OR(N5&lt;&gt;"",O5&lt;&gt;"",P5&lt;&gt;"",Q5&lt;&gt;""),"CLEAR CHECKER FIELDS",IF(OR(Setup!$B$4&lt;&gt;"",Setup!$B$5&lt;&gt;""),"CLEAR CHECKER ID",IF(F5&lt;&gt;"primary_done","PRIMARY DRAFT","PRIMARY READY"))),IF(OR(COUNTIF(Primary_snapshot!$A$2:$A$120,A5)&lt;&gt;1,INDEX('Primary_snapshot'!$J$2:$J$120,MATCH(A5,'Primary_snapshot'!$A$2:$A$120,0))&lt;&gt;"primary_done",INDEX('Primary_snapshot'!$K$2:$K$120,MATCH(A5,'Primary_snapshot'!$A$2:$A$120,0))&lt;&gt;Setup!$B$2,INDEX('Primary_snapshot'!$B$2:$B$120,MATCH(A5,'Primary_snapshot'!$A$2:$A$120,0))="NOT FROZEN",INDEX('Primary_snapshot'!$C$2:$C$120,MATCH(A5,'Primary_snapshot'!$A$2:$A$120,0))="NOT FROZEN",INDEX('Primary_snapshot'!$D$2:$D$120,MATCH(A5,'Primary_snapshot'!$A$2:$A$120,0))="NOT FROZEN",INDEX('Primary_snapshot'!$E$2:$E$120,MATCH(A5,'Primary_snapshot'!$A$2:$A$120,0))="NOT FROZEN",INDEX('Primary_snapshot'!$F$2:$F$120,MATCH(A5,'Primary_snapshot'!$A$2:$A$120,0))="NOT FROZEN",INDEX('Primary_snapshot'!$G$2:$G$120,MATCH(A5,'Primary_snapshot'!$A$2:$A$120,0))="NOT FROZEN",INDEX('Primary_snapshot'!$H$2:$H$120,MATCH(A5,'Primary_snapshot'!$A$2:$A$120,0))="NOT FROZEN",INDEX('Primary_snapshot'!$I$2:$I$120,MATCH(A5,'Primary_snapshot'!$A$2:$A$120,0))="NOT FROZEN",INDEX('Primary_snapshot'!$J$2:$J$120,MATCH(A5,'Primary_snapshot'!$A$2:$A$120,0))="NOT FROZEN",INDEX('Primary_snapshot'!$K$2:$K$120,MATCH(A5,'Primary_snapshot'!$A$2:$A$120,0))="NOT FROZEN",INDEX('Primary_snapshot'!$L$2:$L$120,MATCH(A5,'Primary_snapshot'!$A$2:$A$120,0))="NOT FROZEN"),"FREEZE SNAPSHOT",IF(NOT(OR(N5="agree",N5="agree_clarification",N5="disagree",N5="unable")),"CHECKER RESULT NEEDED",IF(AND(N5&lt;&gt;"agree",LEN(TRIM(O5))=0),"COMMENT NEEDED",IF(AND(N5="agree",NOT(AND(IF(D5="","",D5)=IF(INDEX('Primary_snapshot'!$B$2:$B$120,MATCH(A5,'Primary_snapshot'!$A$2:$A$120,0))="","",INDEX('Primary_snapshot'!$B$2:$B$120,MATCH(A5,'Primary_snapshot'!$A$2:$A$120,0))),IF(E5="","",E5)=IF(INDEX('Primary_snapshot'!$C$2:$C$120,MATCH(A5,'Primary_snapshot'!$A$2:$A$120,0))="","",INDEX('Primary_snapshot'!$C$2:$C$120,MATCH(A5,'Primary_snapshot'!$A$2:$A$120,0))),IF(AND(D5="retain",E5="statistical_results"),IF(H5="","",H5),"not_applicable")=IF(INDEX('Primary_snapshot'!$D$2:$D$120,MATCH(A5,'Primary_snapshot'!$A$2:$A$120,0))="","",INDEX('Primary_snapshot'!$D$2:$D$120,MATCH(A5,'Primary_snapshot'!$A$2:$A$120,0))),IF(AND(D5="retain",E5="statistical_results"),IF(I5="","",I5),"not_applicable")=IF(INDEX('Primary_snapshot'!$E$2:$E$120,MATCH(A5,'Primary_snapshot'!$A$2:$A$120,0))="","",INDEX('Primary_snapshot'!$E$2:$E$120,MATCH(A5,'Primary_snapshot'!$A$2:$A$120,0))),IF(AND(D5="retain",E5="statistical_results"),IF(J5="","",J5),"not_applicable")=IF(INDEX('Primary_snapshot'!$F$2:$F$120,MATCH(A5,'Primary_snapshot'!$A$2:$A$120,0))="","",INDEX('Primary_snapshot'!$F$2:$F$120,MATCH(A5,'Primary_snapshot'!$A$2:$A$120,0))),IF(AND(D5="retain",OR(E5="report_internal_inconsistency",E5="plan_material")),IF(K5="","",K5),"not_applicable")=IF(INDEX('Primary_snapshot'!$G$2:$G$120,MATCH(A5,'Primary_snapshot'!$A$2:$A$120,0))="","",INDEX('Primary_snapshot'!$G$2:$G$120,MATCH(A5,'Primary_snapshot'!$A$2:$A$120,0))),IF(AND(D5="retain",E5="protocol_report"),IF(L5="","",L5),"not_applicable")=IF(INDEX('Primary_snapshot'!$H$2:$H$120,MATCH(A5,'Primary_snapshot'!$A$2:$A$120,0))="","",INDEX('Primary_snapshot'!$H$2:$H$120,MATCH(A5,'Primary_snapshot'!$A$2:$A$120,0))),IF(R5="","",R5)=IF(INDEX('Primary_snapshot'!$I$2:$I$120,MATCH(A5,'Primary_snapshot'!$A$2:$A$120,0))="","",INDEX('Primary_snapshot'!$I$2:$I$120,MATCH(A5,'Primary_snapshot'!$A$2:$A$120,0)))))),"AGREE BUT CHANGED",IF(AND(P5&lt;&gt;"",NOT(OR(P5="pending",P5="resolved"))),"CHECK RESOLUTION",IF(OR(AND(OR(D5="discuss",INDEX('Primary_snapshot'!$B$2:$B$120,MATCH(A5,'Primary_snapshot'!$A$2:$A$120,0))="discuss",N5="disagree",N5="unable"),P5&lt;&gt;"resolved"),D5="discuss"),"DISCUSS",IF(AND(P5="resolved",LEN(TRIM(Q5))=0),"RESOLUTION NOTE NEEDED",IF(F5&lt;&gt;"checker_done","CHECKER DRAFT","FINAL READY")))))))))))))),"CHECK KEY / SNAPSHOT")</x:f>
        <x:v>CHECK REVIEWER IDs</x:v>
      </x:c>
      <x:c r="H5" s="7" t="str">
        <x:f>IF(AND(OR(D5="retain",D5=""),E5="statistical_results"),"","not_applicable")</x:f>
      </x:c>
      <x:c r="I5" s="7" t="str">
        <x:f>IF(AND(OR(D5="retain",D5=""),E5="statistical_results"),"","not_applicable")</x:f>
      </x:c>
      <x:c r="J5" s="13" t="str">
        <x:f>IF(AND(OR(D5="retain",D5=""),E5="statistical_results"),"","not_applicable")</x:f>
      </x:c>
      <x:c r="K5" s="7" t="str">
        <x:f>IF(AND(OR(D5="retain",D5=""),OR(E5="report_internal_inconsistency",E5="plan_material")),"","not_applicable")</x:f>
        <x:v>not_applicable</x:v>
      </x:c>
      <x:c r="L5" s="13" t="str">
        <x:f>IF(AND(OR(D5="retain",D5=""),E5="protocol_report"),"","not_applicable")</x:f>
        <x:v>not_applicable</x:v>
      </x:c>
      <x:c r="M5" s="3" t="str">
        <x:f>IF(Setup!$B$6="primary","",IFERROR(IF(INDEX('Primary_snapshot'!$L$2:$L$120,MATCH(A5,'Primary_snapshot'!$A$2:$A$120,0))="","",INDEX('Primary_snapshot'!$L$2:$L$120,MATCH(A5,'Primary_snapshot'!$A$2:$A$120,0))),"SNAPSHOT MISSING"))</x:f>
      </x:c>
      <x:c r="N5" s="7" t="str"/>
      <x:c r="O5" s="7" t="str"/>
      <x:c r="P5" s="7" t="str"/>
      <x:c r="Q5" s="7" t="str"/>
      <x:c r="R5" s="13" t="str"/>
    </x:row>
    <x:row r="6" ht="92" customHeight="1">
      <x:c r="A6" s="6" t="str">
        <x:v>2018::jama.2018.14282::C005</x:v>
      </x:c>
      <x:c r="B6" s="6" t="str">
        <x:v>Standard-arm kidney-disease percentage conflicts with displayed count</x:v>
      </x:c>
      <x:c r="C6" s="6" t="str">
        <x:v>DOC-001 Table 1 — PDF p. 4</x:v>
      </x:c>
      <x:c r="D6" s="7" t="str"/>
      <x:c r="E6" s="7" t="str">
        <x:v>statistical_results</x:v>
      </x:c>
      <x:c r="F6" s="7" t="str">
        <x:v>no</x:v>
      </x:c>
      <x:c r="G6" s="6" t="str">
        <x:f>IFERROR(IF(NOT(OR(Setup!$B$6="primary",Setup!$B$6="checker")),"CHECK STAGE",IF(OR(LEN(TRIM(Setup!$B$2))=0,Setup!$B$2&lt;&gt;TRIM(Setup!$B$2),AND(Setup!$B$6="checker",OR(LEN(TRIM(Setup!$B$4))=0,Setup!$B$4&lt;&gt;TRIM(Setup!$B$4),LOWER(TRIM(Setup!$B$4))=LOWER(TRIM(Setup!$B$2))))),"CHECK REVIEWER IDs",IF(OR(COUNTIF($A$2:$A$29,A6)&lt;&gt;1,COUNTIF(Decisions!$C$2:$C$120,A6)&lt;&gt;1),"CHECK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FIELDS",IF(Setup!$B$6="primary",IF(OR(N6&lt;&gt;"",O6&lt;&gt;"",P6&lt;&gt;"",Q6&lt;&gt;""),"CLEAR CHECKER FIELDS",IF(OR(Setup!$B$4&lt;&gt;"",Setup!$B$5&lt;&gt;""),"CLEAR CHECKER ID",IF(F6&lt;&gt;"primary_done","PRIMARY DRAFT","PRIMARY READY"))),IF(OR(COUNTIF(Primary_snapshot!$A$2:$A$120,A6)&lt;&gt;1,INDEX('Primary_snapshot'!$J$2:$J$120,MATCH(A6,'Primary_snapshot'!$A$2:$A$120,0))&lt;&gt;"primary_done",INDEX('Primary_snapshot'!$K$2:$K$120,MATCH(A6,'Primary_snapshot'!$A$2:$A$120,0))&lt;&gt;Setup!$B$2,INDEX('Primary_snapshot'!$B$2:$B$120,MATCH(A6,'Primary_snapshot'!$A$2:$A$120,0))="NOT FROZEN",INDEX('Primary_snapshot'!$C$2:$C$120,MATCH(A6,'Primary_snapshot'!$A$2:$A$120,0))="NOT FROZEN",INDEX('Primary_snapshot'!$D$2:$D$120,MATCH(A6,'Primary_snapshot'!$A$2:$A$120,0))="NOT FROZEN",INDEX('Primary_snapshot'!$E$2:$E$120,MATCH(A6,'Primary_snapshot'!$A$2:$A$120,0))="NOT FROZEN",INDEX('Primary_snapshot'!$F$2:$F$120,MATCH(A6,'Primary_snapshot'!$A$2:$A$120,0))="NOT FROZEN",INDEX('Primary_snapshot'!$G$2:$G$120,MATCH(A6,'Primary_snapshot'!$A$2:$A$120,0))="NOT FROZEN",INDEX('Primary_snapshot'!$H$2:$H$120,MATCH(A6,'Primary_snapshot'!$A$2:$A$120,0))="NOT FROZEN",INDEX('Primary_snapshot'!$I$2:$I$120,MATCH(A6,'Primary_snapshot'!$A$2:$A$120,0))="NOT FROZEN",INDEX('Primary_snapshot'!$J$2:$J$120,MATCH(A6,'Primary_snapshot'!$A$2:$A$120,0))="NOT FROZEN",INDEX('Primary_snapshot'!$K$2:$K$120,MATCH(A6,'Primary_snapshot'!$A$2:$A$120,0))="NOT FROZEN",INDEX('Primary_snapshot'!$L$2:$L$120,MATCH(A6,'Primary_snapshot'!$A$2:$A$120,0))="NOT FROZEN"),"FREEZE SNAPSHOT",IF(NOT(OR(N6="agree",N6="agree_clarification",N6="disagree",N6="unable")),"CHECKER RESULT NEEDED",IF(AND(N6&lt;&gt;"agree",LEN(TRIM(O6))=0),"COMMENT NEEDED",IF(AND(N6="agree",NOT(AND(IF(D6="","",D6)=IF(INDEX('Primary_snapshot'!$B$2:$B$120,MATCH(A6,'Primary_snapshot'!$A$2:$A$120,0))="","",INDEX('Primary_snapshot'!$B$2:$B$120,MATCH(A6,'Primary_snapshot'!$A$2:$A$120,0))),IF(E6="","",E6)=IF(INDEX('Primary_snapshot'!$C$2:$C$120,MATCH(A6,'Primary_snapshot'!$A$2:$A$120,0))="","",INDEX('Primary_snapshot'!$C$2:$C$120,MATCH(A6,'Primary_snapshot'!$A$2:$A$120,0))),IF(AND(D6="retain",E6="statistical_results"),IF(H6="","",H6),"not_applicable")=IF(INDEX('Primary_snapshot'!$D$2:$D$120,MATCH(A6,'Primary_snapshot'!$A$2:$A$120,0))="","",INDEX('Primary_snapshot'!$D$2:$D$120,MATCH(A6,'Primary_snapshot'!$A$2:$A$120,0))),IF(AND(D6="retain",E6="statistical_results"),IF(I6="","",I6),"not_applicable")=IF(INDEX('Primary_snapshot'!$E$2:$E$120,MATCH(A6,'Primary_snapshot'!$A$2:$A$120,0))="","",INDEX('Primary_snapshot'!$E$2:$E$120,MATCH(A6,'Primary_snapshot'!$A$2:$A$120,0))),IF(AND(D6="retain",E6="statistical_results"),IF(J6="","",J6),"not_applicable")=IF(INDEX('Primary_snapshot'!$F$2:$F$120,MATCH(A6,'Primary_snapshot'!$A$2:$A$120,0))="","",INDEX('Primary_snapshot'!$F$2:$F$120,MATCH(A6,'Primary_snapshot'!$A$2:$A$120,0))),IF(AND(D6="retain",OR(E6="report_internal_inconsistency",E6="plan_material")),IF(K6="","",K6),"not_applicable")=IF(INDEX('Primary_snapshot'!$G$2:$G$120,MATCH(A6,'Primary_snapshot'!$A$2:$A$120,0))="","",INDEX('Primary_snapshot'!$G$2:$G$120,MATCH(A6,'Primary_snapshot'!$A$2:$A$120,0))),IF(AND(D6="retain",E6="protocol_report"),IF(L6="","",L6),"not_applicable")=IF(INDEX('Primary_snapshot'!$H$2:$H$120,MATCH(A6,'Primary_snapshot'!$A$2:$A$120,0))="","",INDEX('Primary_snapshot'!$H$2:$H$120,MATCH(A6,'Primary_snapshot'!$A$2:$A$120,0))),IF(R6="","",R6)=IF(INDEX('Primary_snapshot'!$I$2:$I$120,MATCH(A6,'Primary_snapshot'!$A$2:$A$120,0))="","",INDEX('Primary_snapshot'!$I$2:$I$120,MATCH(A6,'Primary_snapshot'!$A$2:$A$120,0)))))),"AGREE BUT CHANGED",IF(AND(P6&lt;&gt;"",NOT(OR(P6="pending",P6="resolved"))),"CHECK RESOLUTION",IF(OR(AND(OR(D6="discuss",INDEX('Primary_snapshot'!$B$2:$B$120,MATCH(A6,'Primary_snapshot'!$A$2:$A$120,0))="discuss",N6="disagree",N6="unable"),P6&lt;&gt;"resolved"),D6="discuss"),"DISCUSS",IF(AND(P6="resolved",LEN(TRIM(Q6))=0),"RESOLUTION NOTE NEEDED",IF(F6&lt;&gt;"checker_done","CHECKER DRAFT","FINAL READY")))))))))))))),"CHECK KEY / SNAPSHOT")</x:f>
        <x:v>CHECK REVIEWER IDs</x:v>
      </x:c>
      <x:c r="H6" s="7" t="str">
        <x:f>IF(AND(OR(D6="retain",D6=""),E6="statistical_results"),"","not_applicable")</x:f>
      </x:c>
      <x:c r="I6" s="7" t="str">
        <x:f>IF(AND(OR(D6="retain",D6=""),E6="statistical_results"),"","not_applicable")</x:f>
      </x:c>
      <x:c r="J6" s="13" t="str">
        <x:f>IF(AND(OR(D6="retain",D6=""),E6="statistical_results"),"","not_applicable")</x:f>
      </x:c>
      <x:c r="K6" s="7" t="str">
        <x:f>IF(AND(OR(D6="retain",D6=""),OR(E6="report_internal_inconsistency",E6="plan_material")),"","not_applicable")</x:f>
        <x:v>not_applicable</x:v>
      </x:c>
      <x:c r="L6" s="13" t="str">
        <x:f>IF(AND(OR(D6="retain",D6=""),E6="protocol_report"),"","not_applicable")</x:f>
        <x:v>not_applicable</x:v>
      </x:c>
      <x:c r="M6" s="6" t="str">
        <x:f>IF(Setup!$B$6="primary","",IFERROR(IF(INDEX('Primary_snapshot'!$L$2:$L$120,MATCH(A6,'Primary_snapshot'!$A$2:$A$120,0))="","",INDEX('Primary_snapshot'!$L$2:$L$120,MATCH(A6,'Primary_snapshot'!$A$2:$A$120,0))),"SNAPSHOT MISSING"))</x:f>
      </x:c>
      <x:c r="N6" s="7" t="str"/>
      <x:c r="O6" s="7" t="str"/>
      <x:c r="P6" s="7" t="str"/>
      <x:c r="Q6" s="7" t="str"/>
      <x:c r="R6" s="13" t="str"/>
    </x:row>
    <x:row r="7" ht="92" customHeight="1">
      <x:c r="A7" s="3" t="str">
        <x:v>2018::jama.2018.14282::C006</x:v>
      </x:c>
      <x:c r="B7" s="3" t="str">
        <x:v>Standard-arm nontransplant immunosuppression percentage does not reconcile</x:v>
      </x:c>
      <x:c r="C7" s="3" t="str">
        <x:v>DOC-001 Table 1 — PDF p. 4</x:v>
      </x:c>
      <x:c r="D7" s="7" t="str"/>
      <x:c r="E7" s="7" t="str">
        <x:v>statistical_results</x:v>
      </x:c>
      <x:c r="F7" s="7" t="str">
        <x:v>no</x:v>
      </x:c>
      <x:c r="G7" s="3" t="str">
        <x:f>IFERROR(IF(NOT(OR(Setup!$B$6="primary",Setup!$B$6="checker")),"CHECK STAGE",IF(OR(LEN(TRIM(Setup!$B$2))=0,Setup!$B$2&lt;&gt;TRIM(Setup!$B$2),AND(Setup!$B$6="checker",OR(LEN(TRIM(Setup!$B$4))=0,Setup!$B$4&lt;&gt;TRIM(Setup!$B$4),LOWER(TRIM(Setup!$B$4))=LOWER(TRIM(Setup!$B$2))))),"CHECK REVIEWER IDs",IF(OR(COUNTIF($A$2:$A$29,A7)&lt;&gt;1,COUNTIF(Decisions!$C$2:$C$120,A7)&lt;&gt;1),"CHECK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FIELDS",IF(Setup!$B$6="primary",IF(OR(N7&lt;&gt;"",O7&lt;&gt;"",P7&lt;&gt;"",Q7&lt;&gt;""),"CLEAR CHECKER FIELDS",IF(OR(Setup!$B$4&lt;&gt;"",Setup!$B$5&lt;&gt;""),"CLEAR CHECKER ID",IF(F7&lt;&gt;"primary_done","PRIMARY DRAFT","PRIMARY READY"))),IF(OR(COUNTIF(Primary_snapshot!$A$2:$A$120,A7)&lt;&gt;1,INDEX('Primary_snapshot'!$J$2:$J$120,MATCH(A7,'Primary_snapshot'!$A$2:$A$120,0))&lt;&gt;"primary_done",INDEX('Primary_snapshot'!$K$2:$K$120,MATCH(A7,'Primary_snapshot'!$A$2:$A$120,0))&lt;&gt;Setup!$B$2,INDEX('Primary_snapshot'!$B$2:$B$120,MATCH(A7,'Primary_snapshot'!$A$2:$A$120,0))="NOT FROZEN",INDEX('Primary_snapshot'!$C$2:$C$120,MATCH(A7,'Primary_snapshot'!$A$2:$A$120,0))="NOT FROZEN",INDEX('Primary_snapshot'!$D$2:$D$120,MATCH(A7,'Primary_snapshot'!$A$2:$A$120,0))="NOT FROZEN",INDEX('Primary_snapshot'!$E$2:$E$120,MATCH(A7,'Primary_snapshot'!$A$2:$A$120,0))="NOT FROZEN",INDEX('Primary_snapshot'!$F$2:$F$120,MATCH(A7,'Primary_snapshot'!$A$2:$A$120,0))="NOT FROZEN",INDEX('Primary_snapshot'!$G$2:$G$120,MATCH(A7,'Primary_snapshot'!$A$2:$A$120,0))="NOT FROZEN",INDEX('Primary_snapshot'!$H$2:$H$120,MATCH(A7,'Primary_snapshot'!$A$2:$A$120,0))="NOT FROZEN",INDEX('Primary_snapshot'!$I$2:$I$120,MATCH(A7,'Primary_snapshot'!$A$2:$A$120,0))="NOT FROZEN",INDEX('Primary_snapshot'!$J$2:$J$120,MATCH(A7,'Primary_snapshot'!$A$2:$A$120,0))="NOT FROZEN",INDEX('Primary_snapshot'!$K$2:$K$120,MATCH(A7,'Primary_snapshot'!$A$2:$A$120,0))="NOT FROZEN",INDEX('Primary_snapshot'!$L$2:$L$120,MATCH(A7,'Primary_snapshot'!$A$2:$A$120,0))="NOT FROZEN"),"FREEZE SNAPSHOT",IF(NOT(OR(N7="agree",N7="agree_clarification",N7="disagree",N7="unable")),"CHECKER RESULT NEEDED",IF(AND(N7&lt;&gt;"agree",LEN(TRIM(O7))=0),"COMMENT NEEDED",IF(AND(N7="agree",NOT(AND(IF(D7="","",D7)=IF(INDEX('Primary_snapshot'!$B$2:$B$120,MATCH(A7,'Primary_snapshot'!$A$2:$A$120,0))="","",INDEX('Primary_snapshot'!$B$2:$B$120,MATCH(A7,'Primary_snapshot'!$A$2:$A$120,0))),IF(E7="","",E7)=IF(INDEX('Primary_snapshot'!$C$2:$C$120,MATCH(A7,'Primary_snapshot'!$A$2:$A$120,0))="","",INDEX('Primary_snapshot'!$C$2:$C$120,MATCH(A7,'Primary_snapshot'!$A$2:$A$120,0))),IF(AND(D7="retain",E7="statistical_results"),IF(H7="","",H7),"not_applicable")=IF(INDEX('Primary_snapshot'!$D$2:$D$120,MATCH(A7,'Primary_snapshot'!$A$2:$A$120,0))="","",INDEX('Primary_snapshot'!$D$2:$D$120,MATCH(A7,'Primary_snapshot'!$A$2:$A$120,0))),IF(AND(D7="retain",E7="statistical_results"),IF(I7="","",I7),"not_applicable")=IF(INDEX('Primary_snapshot'!$E$2:$E$120,MATCH(A7,'Primary_snapshot'!$A$2:$A$120,0))="","",INDEX('Primary_snapshot'!$E$2:$E$120,MATCH(A7,'Primary_snapshot'!$A$2:$A$120,0))),IF(AND(D7="retain",E7="statistical_results"),IF(J7="","",J7),"not_applicable")=IF(INDEX('Primary_snapshot'!$F$2:$F$120,MATCH(A7,'Primary_snapshot'!$A$2:$A$120,0))="","",INDEX('Primary_snapshot'!$F$2:$F$120,MATCH(A7,'Primary_snapshot'!$A$2:$A$120,0))),IF(AND(D7="retain",OR(E7="report_internal_inconsistency",E7="plan_material")),IF(K7="","",K7),"not_applicable")=IF(INDEX('Primary_snapshot'!$G$2:$G$120,MATCH(A7,'Primary_snapshot'!$A$2:$A$120,0))="","",INDEX('Primary_snapshot'!$G$2:$G$120,MATCH(A7,'Primary_snapshot'!$A$2:$A$120,0))),IF(AND(D7="retain",E7="protocol_report"),IF(L7="","",L7),"not_applicable")=IF(INDEX('Primary_snapshot'!$H$2:$H$120,MATCH(A7,'Primary_snapshot'!$A$2:$A$120,0))="","",INDEX('Primary_snapshot'!$H$2:$H$120,MATCH(A7,'Primary_snapshot'!$A$2:$A$120,0))),IF(R7="","",R7)=IF(INDEX('Primary_snapshot'!$I$2:$I$120,MATCH(A7,'Primary_snapshot'!$A$2:$A$120,0))="","",INDEX('Primary_snapshot'!$I$2:$I$120,MATCH(A7,'Primary_snapshot'!$A$2:$A$120,0)))))),"AGREE BUT CHANGED",IF(AND(P7&lt;&gt;"",NOT(OR(P7="pending",P7="resolved"))),"CHECK RESOLUTION",IF(OR(AND(OR(D7="discuss",INDEX('Primary_snapshot'!$B$2:$B$120,MATCH(A7,'Primary_snapshot'!$A$2:$A$120,0))="discuss",N7="disagree",N7="unable"),P7&lt;&gt;"resolved"),D7="discuss"),"DISCUSS",IF(AND(P7="resolved",LEN(TRIM(Q7))=0),"RESOLUTION NOTE NEEDED",IF(F7&lt;&gt;"checker_done","CHECKER DRAFT","FINAL READY")))))))))))))),"CHECK KEY / SNAPSHOT")</x:f>
        <x:v>CHECK REVIEWER IDs</x:v>
      </x:c>
      <x:c r="H7" s="7" t="str">
        <x:f>IF(AND(OR(D7="retain",D7=""),E7="statistical_results"),"","not_applicable")</x:f>
      </x:c>
      <x:c r="I7" s="7" t="str">
        <x:f>IF(AND(OR(D7="retain",D7=""),E7="statistical_results"),"","not_applicable")</x:f>
      </x:c>
      <x:c r="J7" s="13" t="str">
        <x:f>IF(AND(OR(D7="retain",D7=""),E7="statistical_results"),"","not_applicable")</x:f>
      </x:c>
      <x:c r="K7" s="7" t="str">
        <x:f>IF(AND(OR(D7="retain",D7=""),OR(E7="report_internal_inconsistency",E7="plan_material")),"","not_applicable")</x:f>
        <x:v>not_applicable</x:v>
      </x:c>
      <x:c r="L7" s="13" t="str">
        <x:f>IF(AND(OR(D7="retain",D7=""),E7="protocol_report"),"","not_applicable")</x:f>
        <x:v>not_applicable</x:v>
      </x:c>
      <x:c r="M7" s="3" t="str">
        <x:f>IF(Setup!$B$6="primary","",IFERROR(IF(INDEX('Primary_snapshot'!$L$2:$L$120,MATCH(A7,'Primary_snapshot'!$A$2:$A$120,0))="","",INDEX('Primary_snapshot'!$L$2:$L$120,MATCH(A7,'Primary_snapshot'!$A$2:$A$120,0))),"SNAPSHOT MISSING"))</x:f>
      </x:c>
      <x:c r="N7" s="7" t="str"/>
      <x:c r="O7" s="7" t="str"/>
      <x:c r="P7" s="7" t="str"/>
      <x:c r="Q7" s="7" t="str"/>
      <x:c r="R7" s="13" t="str"/>
    </x:row>
    <x:row r="8" ht="92" customHeight="1">
      <x:c r="A8" s="6" t="str">
        <x:v>2018::jama.2018.14282::C007</x:v>
      </x:c>
      <x:c r="B8" s="6" t="str">
        <x:v>High-flow ≥3-days-after-ICU-admission percentage does not reconcile</x:v>
      </x:c>
      <x:c r="C8" s="6" t="str">
        <x:v>DOC-001 Table 1 — PDF p. 4</x:v>
      </x:c>
      <x:c r="D8" s="7" t="str"/>
      <x:c r="E8" s="7" t="str">
        <x:v>statistical_results</x:v>
      </x:c>
      <x:c r="F8" s="7" t="str">
        <x:v>no</x:v>
      </x:c>
      <x:c r="G8" s="6" t="str">
        <x:f>IFERROR(IF(NOT(OR(Setup!$B$6="primary",Setup!$B$6="checker")),"CHECK STAGE",IF(OR(LEN(TRIM(Setup!$B$2))=0,Setup!$B$2&lt;&gt;TRIM(Setup!$B$2),AND(Setup!$B$6="checker",OR(LEN(TRIM(Setup!$B$4))=0,Setup!$B$4&lt;&gt;TRIM(Setup!$B$4),LOWER(TRIM(Setup!$B$4))=LOWER(TRIM(Setup!$B$2))))),"CHECK REVIEWER IDs",IF(OR(COUNTIF($A$2:$A$29,A8)&lt;&gt;1,COUNTIF(Decisions!$C$2:$C$120,A8)&lt;&gt;1),"CHECK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FIELDS",IF(Setup!$B$6="primary",IF(OR(N8&lt;&gt;"",O8&lt;&gt;"",P8&lt;&gt;"",Q8&lt;&gt;""),"CLEAR CHECKER FIELDS",IF(OR(Setup!$B$4&lt;&gt;"",Setup!$B$5&lt;&gt;""),"CLEAR CHECKER ID",IF(F8&lt;&gt;"primary_done","PRIMARY DRAFT","PRIMARY READY"))),IF(OR(COUNTIF(Primary_snapshot!$A$2:$A$120,A8)&lt;&gt;1,INDEX('Primary_snapshot'!$J$2:$J$120,MATCH(A8,'Primary_snapshot'!$A$2:$A$120,0))&lt;&gt;"primary_done",INDEX('Primary_snapshot'!$K$2:$K$120,MATCH(A8,'Primary_snapshot'!$A$2:$A$120,0))&lt;&gt;Setup!$B$2,INDEX('Primary_snapshot'!$B$2:$B$120,MATCH(A8,'Primary_snapshot'!$A$2:$A$120,0))="NOT FROZEN",INDEX('Primary_snapshot'!$C$2:$C$120,MATCH(A8,'Primary_snapshot'!$A$2:$A$120,0))="NOT FROZEN",INDEX('Primary_snapshot'!$D$2:$D$120,MATCH(A8,'Primary_snapshot'!$A$2:$A$120,0))="NOT FROZEN",INDEX('Primary_snapshot'!$E$2:$E$120,MATCH(A8,'Primary_snapshot'!$A$2:$A$120,0))="NOT FROZEN",INDEX('Primary_snapshot'!$F$2:$F$120,MATCH(A8,'Primary_snapshot'!$A$2:$A$120,0))="NOT FROZEN",INDEX('Primary_snapshot'!$G$2:$G$120,MATCH(A8,'Primary_snapshot'!$A$2:$A$120,0))="NOT FROZEN",INDEX('Primary_snapshot'!$H$2:$H$120,MATCH(A8,'Primary_snapshot'!$A$2:$A$120,0))="NOT FROZEN",INDEX('Primary_snapshot'!$I$2:$I$120,MATCH(A8,'Primary_snapshot'!$A$2:$A$120,0))="NOT FROZEN",INDEX('Primary_snapshot'!$J$2:$J$120,MATCH(A8,'Primary_snapshot'!$A$2:$A$120,0))="NOT FROZEN",INDEX('Primary_snapshot'!$K$2:$K$120,MATCH(A8,'Primary_snapshot'!$A$2:$A$120,0))="NOT FROZEN",INDEX('Primary_snapshot'!$L$2:$L$120,MATCH(A8,'Primary_snapshot'!$A$2:$A$120,0))="NOT FROZEN"),"FREEZE SNAPSHOT",IF(NOT(OR(N8="agree",N8="agree_clarification",N8="disagree",N8="unable")),"CHECKER RESULT NEEDED",IF(AND(N8&lt;&gt;"agree",LEN(TRIM(O8))=0),"COMMENT NEEDED",IF(AND(N8="agree",NOT(AND(IF(D8="","",D8)=IF(INDEX('Primary_snapshot'!$B$2:$B$120,MATCH(A8,'Primary_snapshot'!$A$2:$A$120,0))="","",INDEX('Primary_snapshot'!$B$2:$B$120,MATCH(A8,'Primary_snapshot'!$A$2:$A$120,0))),IF(E8="","",E8)=IF(INDEX('Primary_snapshot'!$C$2:$C$120,MATCH(A8,'Primary_snapshot'!$A$2:$A$120,0))="","",INDEX('Primary_snapshot'!$C$2:$C$120,MATCH(A8,'Primary_snapshot'!$A$2:$A$120,0))),IF(AND(D8="retain",E8="statistical_results"),IF(H8="","",H8),"not_applicable")=IF(INDEX('Primary_snapshot'!$D$2:$D$120,MATCH(A8,'Primary_snapshot'!$A$2:$A$120,0))="","",INDEX('Primary_snapshot'!$D$2:$D$120,MATCH(A8,'Primary_snapshot'!$A$2:$A$120,0))),IF(AND(D8="retain",E8="statistical_results"),IF(I8="","",I8),"not_applicable")=IF(INDEX('Primary_snapshot'!$E$2:$E$120,MATCH(A8,'Primary_snapshot'!$A$2:$A$120,0))="","",INDEX('Primary_snapshot'!$E$2:$E$120,MATCH(A8,'Primary_snapshot'!$A$2:$A$120,0))),IF(AND(D8="retain",E8="statistical_results"),IF(J8="","",J8),"not_applicable")=IF(INDEX('Primary_snapshot'!$F$2:$F$120,MATCH(A8,'Primary_snapshot'!$A$2:$A$120,0))="","",INDEX('Primary_snapshot'!$F$2:$F$120,MATCH(A8,'Primary_snapshot'!$A$2:$A$120,0))),IF(AND(D8="retain",OR(E8="report_internal_inconsistency",E8="plan_material")),IF(K8="","",K8),"not_applicable")=IF(INDEX('Primary_snapshot'!$G$2:$G$120,MATCH(A8,'Primary_snapshot'!$A$2:$A$120,0))="","",INDEX('Primary_snapshot'!$G$2:$G$120,MATCH(A8,'Primary_snapshot'!$A$2:$A$120,0))),IF(AND(D8="retain",E8="protocol_report"),IF(L8="","",L8),"not_applicable")=IF(INDEX('Primary_snapshot'!$H$2:$H$120,MATCH(A8,'Primary_snapshot'!$A$2:$A$120,0))="","",INDEX('Primary_snapshot'!$H$2:$H$120,MATCH(A8,'Primary_snapshot'!$A$2:$A$120,0))),IF(R8="","",R8)=IF(INDEX('Primary_snapshot'!$I$2:$I$120,MATCH(A8,'Primary_snapshot'!$A$2:$A$120,0))="","",INDEX('Primary_snapshot'!$I$2:$I$120,MATCH(A8,'Primary_snapshot'!$A$2:$A$120,0)))))),"AGREE BUT CHANGED",IF(AND(P8&lt;&gt;"",NOT(OR(P8="pending",P8="resolved"))),"CHECK RESOLUTION",IF(OR(AND(OR(D8="discuss",INDEX('Primary_snapshot'!$B$2:$B$120,MATCH(A8,'Primary_snapshot'!$A$2:$A$120,0))="discuss",N8="disagree",N8="unable"),P8&lt;&gt;"resolved"),D8="discuss"),"DISCUSS",IF(AND(P8="resolved",LEN(TRIM(Q8))=0),"RESOLUTION NOTE NEEDED",IF(F8&lt;&gt;"checker_done","CHECKER DRAFT","FINAL READY")))))))))))))),"CHECK KEY / SNAPSHOT")</x:f>
        <x:v>CHECK REVIEWER IDs</x:v>
      </x:c>
      <x:c r="H8" s="7" t="str">
        <x:f>IF(AND(OR(D8="retain",D8=""),E8="statistical_results"),"","not_applicable")</x:f>
      </x:c>
      <x:c r="I8" s="7" t="str">
        <x:f>IF(AND(OR(D8="retain",D8=""),E8="statistical_results"),"","not_applicable")</x:f>
      </x:c>
      <x:c r="J8" s="13" t="str">
        <x:f>IF(AND(OR(D8="retain",D8=""),E8="statistical_results"),"","not_applicable")</x:f>
      </x:c>
      <x:c r="K8" s="7" t="str">
        <x:f>IF(AND(OR(D8="retain",D8=""),OR(E8="report_internal_inconsistency",E8="plan_material")),"","not_applicable")</x:f>
        <x:v>not_applicable</x:v>
      </x:c>
      <x:c r="L8" s="13" t="str">
        <x:f>IF(AND(OR(D8="retain",D8=""),E8="protocol_report"),"","not_applicable")</x:f>
        <x:v>not_applicable</x:v>
      </x:c>
      <x:c r="M8" s="6" t="str">
        <x:f>IF(Setup!$B$6="primary","",IFERROR(IF(INDEX('Primary_snapshot'!$L$2:$L$120,MATCH(A8,'Primary_snapshot'!$A$2:$A$120,0))="","",INDEX('Primary_snapshot'!$L$2:$L$120,MATCH(A8,'Primary_snapshot'!$A$2:$A$120,0))),"SNAPSHOT MISSING"))</x:f>
      </x:c>
      <x:c r="N8" s="7" t="str"/>
      <x:c r="O8" s="7" t="str"/>
      <x:c r="P8" s="7" t="str"/>
      <x:c r="Q8" s="7" t="str"/>
      <x:c r="R8" s="13" t="str"/>
    </x:row>
    <x:row r="9" ht="92" customHeight="1">
      <x:c r="A9" s="3" t="str">
        <x:v>2018::jama.2018.14282::C008</x:v>
      </x:c>
      <x:c r="B9" s="3" t="str">
        <x:v>Standard-arm ≥3-days-after-ICU-admission percentage does not reconcile</x:v>
      </x:c>
      <x:c r="C9" s="3" t="str">
        <x:v>DOC-001 Table 1 — PDF p. 4</x:v>
      </x:c>
      <x:c r="D9" s="7" t="str"/>
      <x:c r="E9" s="7" t="str">
        <x:v>statistical_results</x:v>
      </x:c>
      <x:c r="F9" s="7" t="str">
        <x:v>no</x:v>
      </x:c>
      <x:c r="G9" s="3" t="str">
        <x:f>IFERROR(IF(NOT(OR(Setup!$B$6="primary",Setup!$B$6="checker")),"CHECK STAGE",IF(OR(LEN(TRIM(Setup!$B$2))=0,Setup!$B$2&lt;&gt;TRIM(Setup!$B$2),AND(Setup!$B$6="checker",OR(LEN(TRIM(Setup!$B$4))=0,Setup!$B$4&lt;&gt;TRIM(Setup!$B$4),LOWER(TRIM(Setup!$B$4))=LOWER(TRIM(Setup!$B$2))))),"CHECK REVIEWER IDs",IF(OR(COUNTIF($A$2:$A$29,A9)&lt;&gt;1,COUNTIF(Decisions!$C$2:$C$120,A9)&lt;&gt;1),"CHECK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FIELDS",IF(Setup!$B$6="primary",IF(OR(N9&lt;&gt;"",O9&lt;&gt;"",P9&lt;&gt;"",Q9&lt;&gt;""),"CLEAR CHECKER FIELDS",IF(OR(Setup!$B$4&lt;&gt;"",Setup!$B$5&lt;&gt;""),"CLEAR CHECKER ID",IF(F9&lt;&gt;"primary_done","PRIMARY DRAFT","PRIMARY READY"))),IF(OR(COUNTIF(Primary_snapshot!$A$2:$A$120,A9)&lt;&gt;1,INDEX('Primary_snapshot'!$J$2:$J$120,MATCH(A9,'Primary_snapshot'!$A$2:$A$120,0))&lt;&gt;"primary_done",INDEX('Primary_snapshot'!$K$2:$K$120,MATCH(A9,'Primary_snapshot'!$A$2:$A$120,0))&lt;&gt;Setup!$B$2,INDEX('Primary_snapshot'!$B$2:$B$120,MATCH(A9,'Primary_snapshot'!$A$2:$A$120,0))="NOT FROZEN",INDEX('Primary_snapshot'!$C$2:$C$120,MATCH(A9,'Primary_snapshot'!$A$2:$A$120,0))="NOT FROZEN",INDEX('Primary_snapshot'!$D$2:$D$120,MATCH(A9,'Primary_snapshot'!$A$2:$A$120,0))="NOT FROZEN",INDEX('Primary_snapshot'!$E$2:$E$120,MATCH(A9,'Primary_snapshot'!$A$2:$A$120,0))="NOT FROZEN",INDEX('Primary_snapshot'!$F$2:$F$120,MATCH(A9,'Primary_snapshot'!$A$2:$A$120,0))="NOT FROZEN",INDEX('Primary_snapshot'!$G$2:$G$120,MATCH(A9,'Primary_snapshot'!$A$2:$A$120,0))="NOT FROZEN",INDEX('Primary_snapshot'!$H$2:$H$120,MATCH(A9,'Primary_snapshot'!$A$2:$A$120,0))="NOT FROZEN",INDEX('Primary_snapshot'!$I$2:$I$120,MATCH(A9,'Primary_snapshot'!$A$2:$A$120,0))="NOT FROZEN",INDEX('Primary_snapshot'!$J$2:$J$120,MATCH(A9,'Primary_snapshot'!$A$2:$A$120,0))="NOT FROZEN",INDEX('Primary_snapshot'!$K$2:$K$120,MATCH(A9,'Primary_snapshot'!$A$2:$A$120,0))="NOT FROZEN",INDEX('Primary_snapshot'!$L$2:$L$120,MATCH(A9,'Primary_snapshot'!$A$2:$A$120,0))="NOT FROZEN"),"FREEZE SNAPSHOT",IF(NOT(OR(N9="agree",N9="agree_clarification",N9="disagree",N9="unable")),"CHECKER RESULT NEEDED",IF(AND(N9&lt;&gt;"agree",LEN(TRIM(O9))=0),"COMMENT NEEDED",IF(AND(N9="agree",NOT(AND(IF(D9="","",D9)=IF(INDEX('Primary_snapshot'!$B$2:$B$120,MATCH(A9,'Primary_snapshot'!$A$2:$A$120,0))="","",INDEX('Primary_snapshot'!$B$2:$B$120,MATCH(A9,'Primary_snapshot'!$A$2:$A$120,0))),IF(E9="","",E9)=IF(INDEX('Primary_snapshot'!$C$2:$C$120,MATCH(A9,'Primary_snapshot'!$A$2:$A$120,0))="","",INDEX('Primary_snapshot'!$C$2:$C$120,MATCH(A9,'Primary_snapshot'!$A$2:$A$120,0))),IF(AND(D9="retain",E9="statistical_results"),IF(H9="","",H9),"not_applicable")=IF(INDEX('Primary_snapshot'!$D$2:$D$120,MATCH(A9,'Primary_snapshot'!$A$2:$A$120,0))="","",INDEX('Primary_snapshot'!$D$2:$D$120,MATCH(A9,'Primary_snapshot'!$A$2:$A$120,0))),IF(AND(D9="retain",E9="statistical_results"),IF(I9="","",I9),"not_applicable")=IF(INDEX('Primary_snapshot'!$E$2:$E$120,MATCH(A9,'Primary_snapshot'!$A$2:$A$120,0))="","",INDEX('Primary_snapshot'!$E$2:$E$120,MATCH(A9,'Primary_snapshot'!$A$2:$A$120,0))),IF(AND(D9="retain",E9="statistical_results"),IF(J9="","",J9),"not_applicable")=IF(INDEX('Primary_snapshot'!$F$2:$F$120,MATCH(A9,'Primary_snapshot'!$A$2:$A$120,0))="","",INDEX('Primary_snapshot'!$F$2:$F$120,MATCH(A9,'Primary_snapshot'!$A$2:$A$120,0))),IF(AND(D9="retain",OR(E9="report_internal_inconsistency",E9="plan_material")),IF(K9="","",K9),"not_applicable")=IF(INDEX('Primary_snapshot'!$G$2:$G$120,MATCH(A9,'Primary_snapshot'!$A$2:$A$120,0))="","",INDEX('Primary_snapshot'!$G$2:$G$120,MATCH(A9,'Primary_snapshot'!$A$2:$A$120,0))),IF(AND(D9="retain",E9="protocol_report"),IF(L9="","",L9),"not_applicable")=IF(INDEX('Primary_snapshot'!$H$2:$H$120,MATCH(A9,'Primary_snapshot'!$A$2:$A$120,0))="","",INDEX('Primary_snapshot'!$H$2:$H$120,MATCH(A9,'Primary_snapshot'!$A$2:$A$120,0))),IF(R9="","",R9)=IF(INDEX('Primary_snapshot'!$I$2:$I$120,MATCH(A9,'Primary_snapshot'!$A$2:$A$120,0))="","",INDEX('Primary_snapshot'!$I$2:$I$120,MATCH(A9,'Primary_snapshot'!$A$2:$A$120,0)))))),"AGREE BUT CHANGED",IF(AND(P9&lt;&gt;"",NOT(OR(P9="pending",P9="resolved"))),"CHECK RESOLUTION",IF(OR(AND(OR(D9="discuss",INDEX('Primary_snapshot'!$B$2:$B$120,MATCH(A9,'Primary_snapshot'!$A$2:$A$120,0))="discuss",N9="disagree",N9="unable"),P9&lt;&gt;"resolved"),D9="discuss"),"DISCUSS",IF(AND(P9="resolved",LEN(TRIM(Q9))=0),"RESOLUTION NOTE NEEDED",IF(F9&lt;&gt;"checker_done","CHECKER DRAFT","FINAL READY")))))))))))))),"CHECK KEY / SNAPSHOT")</x:f>
        <x:v>CHECK REVIEWER IDs</x:v>
      </x:c>
      <x:c r="H9" s="7" t="str">
        <x:f>IF(AND(OR(D9="retain",D9=""),E9="statistical_results"),"","not_applicable")</x:f>
      </x:c>
      <x:c r="I9" s="7" t="str">
        <x:f>IF(AND(OR(D9="retain",D9=""),E9="statistical_results"),"","not_applicable")</x:f>
      </x:c>
      <x:c r="J9" s="13" t="str">
        <x:f>IF(AND(OR(D9="retain",D9=""),E9="statistical_results"),"","not_applicable")</x:f>
      </x:c>
      <x:c r="K9" s="7" t="str">
        <x:f>IF(AND(OR(D9="retain",D9=""),OR(E9="report_internal_inconsistency",E9="plan_material")),"","not_applicable")</x:f>
        <x:v>not_applicable</x:v>
      </x:c>
      <x:c r="L9" s="13" t="str">
        <x:f>IF(AND(OR(D9="retain",D9=""),E9="protocol_report"),"","not_applicable")</x:f>
        <x:v>not_applicable</x:v>
      </x:c>
      <x:c r="M9" s="3" t="str">
        <x:f>IF(Setup!$B$6="primary","",IFERROR(IF(INDEX('Primary_snapshot'!$L$2:$L$120,MATCH(A9,'Primary_snapshot'!$A$2:$A$120,0))="","",INDEX('Primary_snapshot'!$L$2:$L$120,MATCH(A9,'Primary_snapshot'!$A$2:$A$120,0))),"SNAPSHOT MISSING"))</x:f>
      </x:c>
      <x:c r="N9" s="7" t="str"/>
      <x:c r="O9" s="7" t="str"/>
      <x:c r="P9" s="7" t="str"/>
      <x:c r="Q9" s="7" t="str"/>
      <x:c r="R9" s="13" t="str"/>
    </x:row>
    <x:row r="10" ht="92" customHeight="1">
      <x:c r="A10" s="6" t="str">
        <x:v>2018::jama.2018.14282::C009</x:v>
      </x:c>
      <x:c r="B10" s="6" t="str">
        <x:v>Standard-arm vasopressor percentage does not reconcile</x:v>
      </x:c>
      <x:c r="C10" s="6" t="str">
        <x:v>DOC-001 Table 1 — PDF p. 4</x:v>
      </x:c>
      <x:c r="D10" s="7" t="str"/>
      <x:c r="E10" s="7" t="str">
        <x:v>statistical_results</x:v>
      </x:c>
      <x:c r="F10" s="7" t="str">
        <x:v>no</x:v>
      </x:c>
      <x:c r="G10" s="6" t="str">
        <x:f>IFERROR(IF(NOT(OR(Setup!$B$6="primary",Setup!$B$6="checker")),"CHECK STAGE",IF(OR(LEN(TRIM(Setup!$B$2))=0,Setup!$B$2&lt;&gt;TRIM(Setup!$B$2),AND(Setup!$B$6="checker",OR(LEN(TRIM(Setup!$B$4))=0,Setup!$B$4&lt;&gt;TRIM(Setup!$B$4),LOWER(TRIM(Setup!$B$4))=LOWER(TRIM(Setup!$B$2))))),"CHECK REVIEWER IDs",IF(OR(COUNTIF($A$2:$A$29,A10)&lt;&gt;1,COUNTIF(Decisions!$C$2:$C$120,A10)&lt;&gt;1),"CHECK KEY",IF(OR(AND(NOT(AND(D10="retain",E10="statistical_results")),H10&lt;&gt;"",H10&lt;&gt;"not_applicable"),AND(NOT(AND(D10="retain",E10="statistical_results")),I10&lt;&gt;"",I10&lt;&gt;"not_applicable"),AND(NOT(AND(D10="retain",E10="statistical_results")),J10&lt;&gt;"",J10&lt;&gt;"not_applicable"),AND(NOT(AND(D10="retain",OR(E10="report_internal_inconsistency",E10="plan_material"))),K10&lt;&gt;"",K10&lt;&gt;"not_applicable"),AND(NOT(AND(D10="retain",E10="protocol_report")),L10&lt;&gt;"",L10&lt;&gt;"not_applicable")),"CLEAR INACTIVE VALUES",IF(OR(NOT(OR(D10="retain",D10="exclude",D10="discuss")),NOT(OR(E10="statistical_results",E10="report_internal_inconsistency",E10="plan_material",E10="protocol_report")),AND(AND(D10="retain",E10="statistical_results"),NOT(OR(H10="confirmed_issue",H10="probable_issue",H10="not_issue",H10="indeterminate"))),AND(AND(D10="retain",E10="statistical_results"),NOT(OR(I10="substantive",I10="minor_presentation",I10="indeterminate"))),AND(AND(D10="retain",E10="statistical_results"),J10&lt;&gt;"",NOT(OR(J10="direct",J10="possible",J10="unlikely",J10="unknown"))),AND(AND(D10="retain",OR(E10="report_internal_inconsistency",E10="plan_material")),NOT(OR(K10="substantive_inconsistency",K10="minor_presentation",K10="non_inconsistency",K10="indeterminate"))),AND(AND(D10="retain",E10="protocol_report"),L10&lt;&gt;"",NOT(OR(L10="substantive_difference",L10="minor_presentation",L10="version_timing",L10="non_inconsistency",L10="indeterminate")))),"CHECK FIELDS",IF(Setup!$B$6="primary",IF(OR(N10&lt;&gt;"",O10&lt;&gt;"",P10&lt;&gt;"",Q10&lt;&gt;""),"CLEAR CHECKER FIELDS",IF(OR(Setup!$B$4&lt;&gt;"",Setup!$B$5&lt;&gt;""),"CLEAR CHECKER ID",IF(F10&lt;&gt;"primary_done","PRIMARY DRAFT","PRIMARY READY"))),IF(OR(COUNTIF(Primary_snapshot!$A$2:$A$120,A10)&lt;&gt;1,INDEX('Primary_snapshot'!$J$2:$J$120,MATCH(A10,'Primary_snapshot'!$A$2:$A$120,0))&lt;&gt;"primary_done",INDEX('Primary_snapshot'!$K$2:$K$120,MATCH(A10,'Primary_snapshot'!$A$2:$A$120,0))&lt;&gt;Setup!$B$2,INDEX('Primary_snapshot'!$B$2:$B$120,MATCH(A10,'Primary_snapshot'!$A$2:$A$120,0))="NOT FROZEN",INDEX('Primary_snapshot'!$C$2:$C$120,MATCH(A10,'Primary_snapshot'!$A$2:$A$120,0))="NOT FROZEN",INDEX('Primary_snapshot'!$D$2:$D$120,MATCH(A10,'Primary_snapshot'!$A$2:$A$120,0))="NOT FROZEN",INDEX('Primary_snapshot'!$E$2:$E$120,MATCH(A10,'Primary_snapshot'!$A$2:$A$120,0))="NOT FROZEN",INDEX('Primary_snapshot'!$F$2:$F$120,MATCH(A10,'Primary_snapshot'!$A$2:$A$120,0))="NOT FROZEN",INDEX('Primary_snapshot'!$G$2:$G$120,MATCH(A10,'Primary_snapshot'!$A$2:$A$120,0))="NOT FROZEN",INDEX('Primary_snapshot'!$H$2:$H$120,MATCH(A10,'Primary_snapshot'!$A$2:$A$120,0))="NOT FROZEN",INDEX('Primary_snapshot'!$I$2:$I$120,MATCH(A10,'Primary_snapshot'!$A$2:$A$120,0))="NOT FROZEN",INDEX('Primary_snapshot'!$J$2:$J$120,MATCH(A10,'Primary_snapshot'!$A$2:$A$120,0))="NOT FROZEN",INDEX('Primary_snapshot'!$K$2:$K$120,MATCH(A10,'Primary_snapshot'!$A$2:$A$120,0))="NOT FROZEN",INDEX('Primary_snapshot'!$L$2:$L$120,MATCH(A10,'Primary_snapshot'!$A$2:$A$120,0))="NOT FROZEN"),"FREEZE SNAPSHOT",IF(NOT(OR(N10="agree",N10="agree_clarification",N10="disagree",N10="unable")),"CHECKER RESULT NEEDED",IF(AND(N10&lt;&gt;"agree",LEN(TRIM(O10))=0),"COMMENT NEEDED",IF(AND(N10="agree",NOT(AND(IF(D10="","",D10)=IF(INDEX('Primary_snapshot'!$B$2:$B$120,MATCH(A10,'Primary_snapshot'!$A$2:$A$120,0))="","",INDEX('Primary_snapshot'!$B$2:$B$120,MATCH(A10,'Primary_snapshot'!$A$2:$A$120,0))),IF(E10="","",E10)=IF(INDEX('Primary_snapshot'!$C$2:$C$120,MATCH(A10,'Primary_snapshot'!$A$2:$A$120,0))="","",INDEX('Primary_snapshot'!$C$2:$C$120,MATCH(A10,'Primary_snapshot'!$A$2:$A$120,0))),IF(AND(D10="retain",E10="statistical_results"),IF(H10="","",H10),"not_applicable")=IF(INDEX('Primary_snapshot'!$D$2:$D$120,MATCH(A10,'Primary_snapshot'!$A$2:$A$120,0))="","",INDEX('Primary_snapshot'!$D$2:$D$120,MATCH(A10,'Primary_snapshot'!$A$2:$A$120,0))),IF(AND(D10="retain",E10="statistical_results"),IF(I10="","",I10),"not_applicable")=IF(INDEX('Primary_snapshot'!$E$2:$E$120,MATCH(A10,'Primary_snapshot'!$A$2:$A$120,0))="","",INDEX('Primary_snapshot'!$E$2:$E$120,MATCH(A10,'Primary_snapshot'!$A$2:$A$120,0))),IF(AND(D10="retain",E10="statistical_results"),IF(J10="","",J10),"not_applicable")=IF(INDEX('Primary_snapshot'!$F$2:$F$120,MATCH(A10,'Primary_snapshot'!$A$2:$A$120,0))="","",INDEX('Primary_snapshot'!$F$2:$F$120,MATCH(A10,'Primary_snapshot'!$A$2:$A$120,0))),IF(AND(D10="retain",OR(E10="report_internal_inconsistency",E10="plan_material")),IF(K10="","",K10),"not_applicable")=IF(INDEX('Primary_snapshot'!$G$2:$G$120,MATCH(A10,'Primary_snapshot'!$A$2:$A$120,0))="","",INDEX('Primary_snapshot'!$G$2:$G$120,MATCH(A10,'Primary_snapshot'!$A$2:$A$120,0))),IF(AND(D10="retain",E10="protocol_report"),IF(L10="","",L10),"not_applicable")=IF(INDEX('Primary_snapshot'!$H$2:$H$120,MATCH(A10,'Primary_snapshot'!$A$2:$A$120,0))="","",INDEX('Primary_snapshot'!$H$2:$H$120,MATCH(A10,'Primary_snapshot'!$A$2:$A$120,0))),IF(R10="","",R10)=IF(INDEX('Primary_snapshot'!$I$2:$I$120,MATCH(A10,'Primary_snapshot'!$A$2:$A$120,0))="","",INDEX('Primary_snapshot'!$I$2:$I$120,MATCH(A10,'Primary_snapshot'!$A$2:$A$120,0)))))),"AGREE BUT CHANGED",IF(AND(P10&lt;&gt;"",NOT(OR(P10="pending",P10="resolved"))),"CHECK RESOLUTION",IF(OR(AND(OR(D10="discuss",INDEX('Primary_snapshot'!$B$2:$B$120,MATCH(A10,'Primary_snapshot'!$A$2:$A$120,0))="discuss",N10="disagree",N10="unable"),P10&lt;&gt;"resolved"),D10="discuss"),"DISCUSS",IF(AND(P10="resolved",LEN(TRIM(Q10))=0),"RESOLUTION NOTE NEEDED",IF(F10&lt;&gt;"checker_done","CHECKER DRAFT","FINAL READY")))))))))))))),"CHECK KEY / SNAPSHOT")</x:f>
        <x:v>CHECK REVIEWER IDs</x:v>
      </x:c>
      <x:c r="H10" s="7" t="str">
        <x:f>IF(AND(OR(D10="retain",D10=""),E10="statistical_results"),"","not_applicable")</x:f>
      </x:c>
      <x:c r="I10" s="7" t="str">
        <x:f>IF(AND(OR(D10="retain",D10=""),E10="statistical_results"),"","not_applicable")</x:f>
      </x:c>
      <x:c r="J10" s="13" t="str">
        <x:f>IF(AND(OR(D10="retain",D10=""),E10="statistical_results"),"","not_applicable")</x:f>
      </x:c>
      <x:c r="K10" s="7" t="str">
        <x:f>IF(AND(OR(D10="retain",D10=""),OR(E10="report_internal_inconsistency",E10="plan_material")),"","not_applicable")</x:f>
        <x:v>not_applicable</x:v>
      </x:c>
      <x:c r="L10" s="13" t="str">
        <x:f>IF(AND(OR(D10="retain",D10=""),E10="protocol_report"),"","not_applicable")</x:f>
        <x:v>not_applicable</x:v>
      </x:c>
      <x:c r="M10" s="6" t="str">
        <x:f>IF(Setup!$B$6="primary","",IFERROR(IF(INDEX('Primary_snapshot'!$L$2:$L$120,MATCH(A10,'Primary_snapshot'!$A$2:$A$120,0))="","",INDEX('Primary_snapshot'!$L$2:$L$120,MATCH(A10,'Primary_snapshot'!$A$2:$A$120,0))),"SNAPSHOT MISSING"))</x:f>
      </x:c>
      <x:c r="N10" s="7" t="str"/>
      <x:c r="O10" s="7" t="str"/>
      <x:c r="P10" s="7" t="str"/>
      <x:c r="Q10" s="7" t="str"/>
      <x:c r="R10" s="13" t="str"/>
    </x:row>
    <x:row r="11" ht="92" customHeight="1">
      <x:c r="A11" s="3" t="str">
        <x:v>2018::jama.2018.14282::C010</x:v>
      </x:c>
      <x:c r="B11" s="3" t="str">
        <x:v>High-flow do-not-intubate percentage does not reconcile</x:v>
      </x:c>
      <x:c r="C11" s="3" t="str">
        <x:v>DOC-001 Table 1 — PDF p. 4</x:v>
      </x:c>
      <x:c r="D11" s="7" t="str"/>
      <x:c r="E11" s="7" t="str">
        <x:v>statistical_results</x:v>
      </x:c>
      <x:c r="F11" s="7" t="str">
        <x:v>no</x:v>
      </x:c>
      <x:c r="G11" s="3" t="str">
        <x:f>IFERROR(IF(NOT(OR(Setup!$B$6="primary",Setup!$B$6="checker")),"CHECK STAGE",IF(OR(LEN(TRIM(Setup!$B$2))=0,Setup!$B$2&lt;&gt;TRIM(Setup!$B$2),AND(Setup!$B$6="checker",OR(LEN(TRIM(Setup!$B$4))=0,Setup!$B$4&lt;&gt;TRIM(Setup!$B$4),LOWER(TRIM(Setup!$B$4))=LOWER(TRIM(Setup!$B$2))))),"CHECK REVIEWER IDs",IF(OR(COUNTIF($A$2:$A$29,A11)&lt;&gt;1,COUNTIF(Decisions!$C$2:$C$120,A11)&lt;&gt;1),"CHECK KEY",IF(OR(AND(NOT(AND(D11="retain",E11="statistical_results")),H11&lt;&gt;"",H11&lt;&gt;"not_applicable"),AND(NOT(AND(D11="retain",E11="statistical_results")),I11&lt;&gt;"",I11&lt;&gt;"not_applicable"),AND(NOT(AND(D11="retain",E11="statistical_results")),J11&lt;&gt;"",J11&lt;&gt;"not_applicable"),AND(NOT(AND(D11="retain",OR(E11="report_internal_inconsistency",E11="plan_material"))),K11&lt;&gt;"",K11&lt;&gt;"not_applicable"),AND(NOT(AND(D11="retain",E11="protocol_report")),L11&lt;&gt;"",L11&lt;&gt;"not_applicable")),"CLEAR INACTIVE VALUES",IF(OR(NOT(OR(D11="retain",D11="exclude",D11="discuss")),NOT(OR(E11="statistical_results",E11="report_internal_inconsistency",E11="plan_material",E11="protocol_report")),AND(AND(D11="retain",E11="statistical_results"),NOT(OR(H11="confirmed_issue",H11="probable_issue",H11="not_issue",H11="indeterminate"))),AND(AND(D11="retain",E11="statistical_results"),NOT(OR(I11="substantive",I11="minor_presentation",I11="indeterminate"))),AND(AND(D11="retain",E11="statistical_results"),J11&lt;&gt;"",NOT(OR(J11="direct",J11="possible",J11="unlikely",J11="unknown"))),AND(AND(D11="retain",OR(E11="report_internal_inconsistency",E11="plan_material")),NOT(OR(K11="substantive_inconsistency",K11="minor_presentation",K11="non_inconsistency",K11="indeterminate"))),AND(AND(D11="retain",E11="protocol_report"),L11&lt;&gt;"",NOT(OR(L11="substantive_difference",L11="minor_presentation",L11="version_timing",L11="non_inconsistency",L11="indeterminate")))),"CHECK FIELDS",IF(Setup!$B$6="primary",IF(OR(N11&lt;&gt;"",O11&lt;&gt;"",P11&lt;&gt;"",Q11&lt;&gt;""),"CLEAR CHECKER FIELDS",IF(OR(Setup!$B$4&lt;&gt;"",Setup!$B$5&lt;&gt;""),"CLEAR CHECKER ID",IF(F11&lt;&gt;"primary_done","PRIMARY DRAFT","PRIMARY READY"))),IF(OR(COUNTIF(Primary_snapshot!$A$2:$A$120,A11)&lt;&gt;1,INDEX('Primary_snapshot'!$J$2:$J$120,MATCH(A11,'Primary_snapshot'!$A$2:$A$120,0))&lt;&gt;"primary_done",INDEX('Primary_snapshot'!$K$2:$K$120,MATCH(A11,'Primary_snapshot'!$A$2:$A$120,0))&lt;&gt;Setup!$B$2,INDEX('Primary_snapshot'!$B$2:$B$120,MATCH(A11,'Primary_snapshot'!$A$2:$A$120,0))="NOT FROZEN",INDEX('Primary_snapshot'!$C$2:$C$120,MATCH(A11,'Primary_snapshot'!$A$2:$A$120,0))="NOT FROZEN",INDEX('Primary_snapshot'!$D$2:$D$120,MATCH(A11,'Primary_snapshot'!$A$2:$A$120,0))="NOT FROZEN",INDEX('Primary_snapshot'!$E$2:$E$120,MATCH(A11,'Primary_snapshot'!$A$2:$A$120,0))="NOT FROZEN",INDEX('Primary_snapshot'!$F$2:$F$120,MATCH(A11,'Primary_snapshot'!$A$2:$A$120,0))="NOT FROZEN",INDEX('Primary_snapshot'!$G$2:$G$120,MATCH(A11,'Primary_snapshot'!$A$2:$A$120,0))="NOT FROZEN",INDEX('Primary_snapshot'!$H$2:$H$120,MATCH(A11,'Primary_snapshot'!$A$2:$A$120,0))="NOT FROZEN",INDEX('Primary_snapshot'!$I$2:$I$120,MATCH(A11,'Primary_snapshot'!$A$2:$A$120,0))="NOT FROZEN",INDEX('Primary_snapshot'!$J$2:$J$120,MATCH(A11,'Primary_snapshot'!$A$2:$A$120,0))="NOT FROZEN",INDEX('Primary_snapshot'!$K$2:$K$120,MATCH(A11,'Primary_snapshot'!$A$2:$A$120,0))="NOT FROZEN",INDEX('Primary_snapshot'!$L$2:$L$120,MATCH(A11,'Primary_snapshot'!$A$2:$A$120,0))="NOT FROZEN"),"FREEZE SNAPSHOT",IF(NOT(OR(N11="agree",N11="agree_clarification",N11="disagree",N11="unable")),"CHECKER RESULT NEEDED",IF(AND(N11&lt;&gt;"agree",LEN(TRIM(O11))=0),"COMMENT NEEDED",IF(AND(N11="agree",NOT(AND(IF(D11="","",D11)=IF(INDEX('Primary_snapshot'!$B$2:$B$120,MATCH(A11,'Primary_snapshot'!$A$2:$A$120,0))="","",INDEX('Primary_snapshot'!$B$2:$B$120,MATCH(A11,'Primary_snapshot'!$A$2:$A$120,0))),IF(E11="","",E11)=IF(INDEX('Primary_snapshot'!$C$2:$C$120,MATCH(A11,'Primary_snapshot'!$A$2:$A$120,0))="","",INDEX('Primary_snapshot'!$C$2:$C$120,MATCH(A11,'Primary_snapshot'!$A$2:$A$120,0))),IF(AND(D11="retain",E11="statistical_results"),IF(H11="","",H11),"not_applicable")=IF(INDEX('Primary_snapshot'!$D$2:$D$120,MATCH(A11,'Primary_snapshot'!$A$2:$A$120,0))="","",INDEX('Primary_snapshot'!$D$2:$D$120,MATCH(A11,'Primary_snapshot'!$A$2:$A$120,0))),IF(AND(D11="retain",E11="statistical_results"),IF(I11="","",I11),"not_applicable")=IF(INDEX('Primary_snapshot'!$E$2:$E$120,MATCH(A11,'Primary_snapshot'!$A$2:$A$120,0))="","",INDEX('Primary_snapshot'!$E$2:$E$120,MATCH(A11,'Primary_snapshot'!$A$2:$A$120,0))),IF(AND(D11="retain",E11="statistical_results"),IF(J11="","",J11),"not_applicable")=IF(INDEX('Primary_snapshot'!$F$2:$F$120,MATCH(A11,'Primary_snapshot'!$A$2:$A$120,0))="","",INDEX('Primary_snapshot'!$F$2:$F$120,MATCH(A11,'Primary_snapshot'!$A$2:$A$120,0))),IF(AND(D11="retain",OR(E11="report_internal_inconsistency",E11="plan_material")),IF(K11="","",K11),"not_applicable")=IF(INDEX('Primary_snapshot'!$G$2:$G$120,MATCH(A11,'Primary_snapshot'!$A$2:$A$120,0))="","",INDEX('Primary_snapshot'!$G$2:$G$120,MATCH(A11,'Primary_snapshot'!$A$2:$A$120,0))),IF(AND(D11="retain",E11="protocol_report"),IF(L11="","",L11),"not_applicable")=IF(INDEX('Primary_snapshot'!$H$2:$H$120,MATCH(A11,'Primary_snapshot'!$A$2:$A$120,0))="","",INDEX('Primary_snapshot'!$H$2:$H$120,MATCH(A11,'Primary_snapshot'!$A$2:$A$120,0))),IF(R11="","",R11)=IF(INDEX('Primary_snapshot'!$I$2:$I$120,MATCH(A11,'Primary_snapshot'!$A$2:$A$120,0))="","",INDEX('Primary_snapshot'!$I$2:$I$120,MATCH(A11,'Primary_snapshot'!$A$2:$A$120,0)))))),"AGREE BUT CHANGED",IF(AND(P11&lt;&gt;"",NOT(OR(P11="pending",P11="resolved"))),"CHECK RESOLUTION",IF(OR(AND(OR(D11="discuss",INDEX('Primary_snapshot'!$B$2:$B$120,MATCH(A11,'Primary_snapshot'!$A$2:$A$120,0))="discuss",N11="disagree",N11="unable"),P11&lt;&gt;"resolved"),D11="discuss"),"DISCUSS",IF(AND(P11="resolved",LEN(TRIM(Q11))=0),"RESOLUTION NOTE NEEDED",IF(F11&lt;&gt;"checker_done","CHECKER DRAFT","FINAL READY")))))))))))))),"CHECK KEY / SNAPSHOT")</x:f>
        <x:v>CHECK REVIEWER IDs</x:v>
      </x:c>
      <x:c r="H11" s="7" t="str">
        <x:f>IF(AND(OR(D11="retain",D11=""),E11="statistical_results"),"","not_applicable")</x:f>
      </x:c>
      <x:c r="I11" s="7" t="str">
        <x:f>IF(AND(OR(D11="retain",D11=""),E11="statistical_results"),"","not_applicable")</x:f>
      </x:c>
      <x:c r="J11" s="13" t="str">
        <x:f>IF(AND(OR(D11="retain",D11=""),E11="statistical_results"),"","not_applicable")</x:f>
      </x:c>
      <x:c r="K11" s="7" t="str">
        <x:f>IF(AND(OR(D11="retain",D11=""),OR(E11="report_internal_inconsistency",E11="plan_material")),"","not_applicable")</x:f>
        <x:v>not_applicable</x:v>
      </x:c>
      <x:c r="L11" s="13" t="str">
        <x:f>IF(AND(OR(D11="retain",D11=""),E11="protocol_report"),"","not_applicable")</x:f>
        <x:v>not_applicable</x:v>
      </x:c>
      <x:c r="M11" s="3" t="str">
        <x:f>IF(Setup!$B$6="primary","",IFERROR(IF(INDEX('Primary_snapshot'!$L$2:$L$120,MATCH(A11,'Primary_snapshot'!$A$2:$A$120,0))="","",INDEX('Primary_snapshot'!$L$2:$L$120,MATCH(A11,'Primary_snapshot'!$A$2:$A$120,0))),"SNAPSHOT MISSING"))</x:f>
      </x:c>
      <x:c r="N11" s="7" t="str"/>
      <x:c r="O11" s="7" t="str"/>
      <x:c r="P11" s="7" t="str"/>
      <x:c r="Q11" s="7" t="str"/>
      <x:c r="R11" s="13" t="str"/>
    </x:row>
    <x:row r="12" ht="92" customHeight="1">
      <x:c r="A12" s="6" t="str">
        <x:v>2018::jama.2018.14282::C011</x:v>
      </x:c>
      <x:c r="B12" s="6" t="str">
        <x:v>High-flow do-not-resuscitate percentage does not reconcile</x:v>
      </x:c>
      <x:c r="C12" s="6" t="str">
        <x:v>DOC-001 Table 1 — PDF p. 4</x:v>
      </x:c>
      <x:c r="D12" s="7" t="str"/>
      <x:c r="E12" s="7" t="str">
        <x:v>statistical_results</x:v>
      </x:c>
      <x:c r="F12" s="7" t="str">
        <x:v>no</x:v>
      </x:c>
      <x:c r="G12" s="6" t="str">
        <x:f>IFERROR(IF(NOT(OR(Setup!$B$6="primary",Setup!$B$6="checker")),"CHECK STAGE",IF(OR(LEN(TRIM(Setup!$B$2))=0,Setup!$B$2&lt;&gt;TRIM(Setup!$B$2),AND(Setup!$B$6="checker",OR(LEN(TRIM(Setup!$B$4))=0,Setup!$B$4&lt;&gt;TRIM(Setup!$B$4),LOWER(TRIM(Setup!$B$4))=LOWER(TRIM(Setup!$B$2))))),"CHECK REVIEWER IDs",IF(OR(COUNTIF($A$2:$A$29,A12)&lt;&gt;1,COUNTIF(Decisions!$C$2:$C$120,A12)&lt;&gt;1),"CHECK KEY",IF(OR(AND(NOT(AND(D12="retain",E12="statistical_results")),H12&lt;&gt;"",H12&lt;&gt;"not_applicable"),AND(NOT(AND(D12="retain",E12="statistical_results")),I12&lt;&gt;"",I12&lt;&gt;"not_applicable"),AND(NOT(AND(D12="retain",E12="statistical_results")),J12&lt;&gt;"",J12&lt;&gt;"not_applicable"),AND(NOT(AND(D12="retain",OR(E12="report_internal_inconsistency",E12="plan_material"))),K12&lt;&gt;"",K12&lt;&gt;"not_applicable"),AND(NOT(AND(D12="retain",E12="protocol_report")),L12&lt;&gt;"",L12&lt;&gt;"not_applicable")),"CLEAR INACTIVE VALUES",IF(OR(NOT(OR(D12="retain",D12="exclude",D12="discuss")),NOT(OR(E12="statistical_results",E12="report_internal_inconsistency",E12="plan_material",E12="protocol_report")),AND(AND(D12="retain",E12="statistical_results"),NOT(OR(H12="confirmed_issue",H12="probable_issue",H12="not_issue",H12="indeterminate"))),AND(AND(D12="retain",E12="statistical_results"),NOT(OR(I12="substantive",I12="minor_presentation",I12="indeterminate"))),AND(AND(D12="retain",E12="statistical_results"),J12&lt;&gt;"",NOT(OR(J12="direct",J12="possible",J12="unlikely",J12="unknown"))),AND(AND(D12="retain",OR(E12="report_internal_inconsistency",E12="plan_material")),NOT(OR(K12="substantive_inconsistency",K12="minor_presentation",K12="non_inconsistency",K12="indeterminate"))),AND(AND(D12="retain",E12="protocol_report"),L12&lt;&gt;"",NOT(OR(L12="substantive_difference",L12="minor_presentation",L12="version_timing",L12="non_inconsistency",L12="indeterminate")))),"CHECK FIELDS",IF(Setup!$B$6="primary",IF(OR(N12&lt;&gt;"",O12&lt;&gt;"",P12&lt;&gt;"",Q12&lt;&gt;""),"CLEAR CHECKER FIELDS",IF(OR(Setup!$B$4&lt;&gt;"",Setup!$B$5&lt;&gt;""),"CLEAR CHECKER ID",IF(F12&lt;&gt;"primary_done","PRIMARY DRAFT","PRIMARY READY"))),IF(OR(COUNTIF(Primary_snapshot!$A$2:$A$120,A12)&lt;&gt;1,INDEX('Primary_snapshot'!$J$2:$J$120,MATCH(A12,'Primary_snapshot'!$A$2:$A$120,0))&lt;&gt;"primary_done",INDEX('Primary_snapshot'!$K$2:$K$120,MATCH(A12,'Primary_snapshot'!$A$2:$A$120,0))&lt;&gt;Setup!$B$2,INDEX('Primary_snapshot'!$B$2:$B$120,MATCH(A12,'Primary_snapshot'!$A$2:$A$120,0))="NOT FROZEN",INDEX('Primary_snapshot'!$C$2:$C$120,MATCH(A12,'Primary_snapshot'!$A$2:$A$120,0))="NOT FROZEN",INDEX('Primary_snapshot'!$D$2:$D$120,MATCH(A12,'Primary_snapshot'!$A$2:$A$120,0))="NOT FROZEN",INDEX('Primary_snapshot'!$E$2:$E$120,MATCH(A12,'Primary_snapshot'!$A$2:$A$120,0))="NOT FROZEN",INDEX('Primary_snapshot'!$F$2:$F$120,MATCH(A12,'Primary_snapshot'!$A$2:$A$120,0))="NOT FROZEN",INDEX('Primary_snapshot'!$G$2:$G$120,MATCH(A12,'Primary_snapshot'!$A$2:$A$120,0))="NOT FROZEN",INDEX('Primary_snapshot'!$H$2:$H$120,MATCH(A12,'Primary_snapshot'!$A$2:$A$120,0))="NOT FROZEN",INDEX('Primary_snapshot'!$I$2:$I$120,MATCH(A12,'Primary_snapshot'!$A$2:$A$120,0))="NOT FROZEN",INDEX('Primary_snapshot'!$J$2:$J$120,MATCH(A12,'Primary_snapshot'!$A$2:$A$120,0))="NOT FROZEN",INDEX('Primary_snapshot'!$K$2:$K$120,MATCH(A12,'Primary_snapshot'!$A$2:$A$120,0))="NOT FROZEN",INDEX('Primary_snapshot'!$L$2:$L$120,MATCH(A12,'Primary_snapshot'!$A$2:$A$120,0))="NOT FROZEN"),"FREEZE SNAPSHOT",IF(NOT(OR(N12="agree",N12="agree_clarification",N12="disagree",N12="unable")),"CHECKER RESULT NEEDED",IF(AND(N12&lt;&gt;"agree",LEN(TRIM(O12))=0),"COMMENT NEEDED",IF(AND(N12="agree",NOT(AND(IF(D12="","",D12)=IF(INDEX('Primary_snapshot'!$B$2:$B$120,MATCH(A12,'Primary_snapshot'!$A$2:$A$120,0))="","",INDEX('Primary_snapshot'!$B$2:$B$120,MATCH(A12,'Primary_snapshot'!$A$2:$A$120,0))),IF(E12="","",E12)=IF(INDEX('Primary_snapshot'!$C$2:$C$120,MATCH(A12,'Primary_snapshot'!$A$2:$A$120,0))="","",INDEX('Primary_snapshot'!$C$2:$C$120,MATCH(A12,'Primary_snapshot'!$A$2:$A$120,0))),IF(AND(D12="retain",E12="statistical_results"),IF(H12="","",H12),"not_applicable")=IF(INDEX('Primary_snapshot'!$D$2:$D$120,MATCH(A12,'Primary_snapshot'!$A$2:$A$120,0))="","",INDEX('Primary_snapshot'!$D$2:$D$120,MATCH(A12,'Primary_snapshot'!$A$2:$A$120,0))),IF(AND(D12="retain",E12="statistical_results"),IF(I12="","",I12),"not_applicable")=IF(INDEX('Primary_snapshot'!$E$2:$E$120,MATCH(A12,'Primary_snapshot'!$A$2:$A$120,0))="","",INDEX('Primary_snapshot'!$E$2:$E$120,MATCH(A12,'Primary_snapshot'!$A$2:$A$120,0))),IF(AND(D12="retain",E12="statistical_results"),IF(J12="","",J12),"not_applicable")=IF(INDEX('Primary_snapshot'!$F$2:$F$120,MATCH(A12,'Primary_snapshot'!$A$2:$A$120,0))="","",INDEX('Primary_snapshot'!$F$2:$F$120,MATCH(A12,'Primary_snapshot'!$A$2:$A$120,0))),IF(AND(D12="retain",OR(E12="report_internal_inconsistency",E12="plan_material")),IF(K12="","",K12),"not_applicable")=IF(INDEX('Primary_snapshot'!$G$2:$G$120,MATCH(A12,'Primary_snapshot'!$A$2:$A$120,0))="","",INDEX('Primary_snapshot'!$G$2:$G$120,MATCH(A12,'Primary_snapshot'!$A$2:$A$120,0))),IF(AND(D12="retain",E12="protocol_report"),IF(L12="","",L12),"not_applicable")=IF(INDEX('Primary_snapshot'!$H$2:$H$120,MATCH(A12,'Primary_snapshot'!$A$2:$A$120,0))="","",INDEX('Primary_snapshot'!$H$2:$H$120,MATCH(A12,'Primary_snapshot'!$A$2:$A$120,0))),IF(R12="","",R12)=IF(INDEX('Primary_snapshot'!$I$2:$I$120,MATCH(A12,'Primary_snapshot'!$A$2:$A$120,0))="","",INDEX('Primary_snapshot'!$I$2:$I$120,MATCH(A12,'Primary_snapshot'!$A$2:$A$120,0)))))),"AGREE BUT CHANGED",IF(AND(P12&lt;&gt;"",NOT(OR(P12="pending",P12="resolved"))),"CHECK RESOLUTION",IF(OR(AND(OR(D12="discuss",INDEX('Primary_snapshot'!$B$2:$B$120,MATCH(A12,'Primary_snapshot'!$A$2:$A$120,0))="discuss",N12="disagree",N12="unable"),P12&lt;&gt;"resolved"),D12="discuss"),"DISCUSS",IF(AND(P12="resolved",LEN(TRIM(Q12))=0),"RESOLUTION NOTE NEEDED",IF(F12&lt;&gt;"checker_done","CHECKER DRAFT","FINAL READY")))))))))))))),"CHECK KEY / SNAPSHOT")</x:f>
        <x:v>CHECK REVIEWER IDs</x:v>
      </x:c>
      <x:c r="H12" s="7" t="str">
        <x:f>IF(AND(OR(D12="retain",D12=""),E12="statistical_results"),"","not_applicable")</x:f>
      </x:c>
      <x:c r="I12" s="7" t="str">
        <x:f>IF(AND(OR(D12="retain",D12=""),E12="statistical_results"),"","not_applicable")</x:f>
      </x:c>
      <x:c r="J12" s="13" t="str">
        <x:f>IF(AND(OR(D12="retain",D12=""),E12="statistical_results"),"","not_applicable")</x:f>
      </x:c>
      <x:c r="K12" s="7" t="str">
        <x:f>IF(AND(OR(D12="retain",D12=""),OR(E12="report_internal_inconsistency",E12="plan_material")),"","not_applicable")</x:f>
        <x:v>not_applicable</x:v>
      </x:c>
      <x:c r="L12" s="13" t="str">
        <x:f>IF(AND(OR(D12="retain",D12=""),E12="protocol_report"),"","not_applicable")</x:f>
        <x:v>not_applicable</x:v>
      </x:c>
      <x:c r="M12" s="6" t="str">
        <x:f>IF(Setup!$B$6="primary","",IFERROR(IF(INDEX('Primary_snapshot'!$L$2:$L$120,MATCH(A12,'Primary_snapshot'!$A$2:$A$120,0))="","",INDEX('Primary_snapshot'!$L$2:$L$120,MATCH(A12,'Primary_snapshot'!$A$2:$A$120,0))),"SNAPSHOT MISSING"))</x:f>
      </x:c>
      <x:c r="N12" s="7" t="str"/>
      <x:c r="O12" s="7" t="str"/>
      <x:c r="P12" s="7" t="str"/>
      <x:c r="Q12" s="7" t="str"/>
      <x:c r="R12" s="13" t="str"/>
    </x:row>
    <x:row r="13" ht="92" customHeight="1">
      <x:c r="A13" s="3" t="str">
        <x:v>2018::jama.2018.14282::C012</x:v>
      </x:c>
      <x:c r="B13" s="3" t="str">
        <x:v>Standard-arm do-not-resuscitate percentage does not reconcile</x:v>
      </x:c>
      <x:c r="C13" s="3" t="str">
        <x:v>DOC-001 Table 1 — PDF p. 4</x:v>
      </x:c>
      <x:c r="D13" s="7" t="str"/>
      <x:c r="E13" s="7" t="str">
        <x:v>statistical_results</x:v>
      </x:c>
      <x:c r="F13" s="7" t="str">
        <x:v>no</x:v>
      </x:c>
      <x:c r="G13" s="3" t="str">
        <x:f>IFERROR(IF(NOT(OR(Setup!$B$6="primary",Setup!$B$6="checker")),"CHECK STAGE",IF(OR(LEN(TRIM(Setup!$B$2))=0,Setup!$B$2&lt;&gt;TRIM(Setup!$B$2),AND(Setup!$B$6="checker",OR(LEN(TRIM(Setup!$B$4))=0,Setup!$B$4&lt;&gt;TRIM(Setup!$B$4),LOWER(TRIM(Setup!$B$4))=LOWER(TRIM(Setup!$B$2))))),"CHECK REVIEWER IDs",IF(OR(COUNTIF($A$2:$A$29,A13)&lt;&gt;1,COUNTIF(Decisions!$C$2:$C$120,A13)&lt;&gt;1),"CHECK KEY",IF(OR(AND(NOT(AND(D13="retain",E13="statistical_results")),H13&lt;&gt;"",H13&lt;&gt;"not_applicable"),AND(NOT(AND(D13="retain",E13="statistical_results")),I13&lt;&gt;"",I13&lt;&gt;"not_applicable"),AND(NOT(AND(D13="retain",E13="statistical_results")),J13&lt;&gt;"",J13&lt;&gt;"not_applicable"),AND(NOT(AND(D13="retain",OR(E13="report_internal_inconsistency",E13="plan_material"))),K13&lt;&gt;"",K13&lt;&gt;"not_applicable"),AND(NOT(AND(D13="retain",E13="protocol_report")),L13&lt;&gt;"",L13&lt;&gt;"not_applicable")),"CLEAR INACTIVE VALUES",IF(OR(NOT(OR(D13="retain",D13="exclude",D13="discuss")),NOT(OR(E13="statistical_results",E13="report_internal_inconsistency",E13="plan_material",E13="protocol_report")),AND(AND(D13="retain",E13="statistical_results"),NOT(OR(H13="confirmed_issue",H13="probable_issue",H13="not_issue",H13="indeterminate"))),AND(AND(D13="retain",E13="statistical_results"),NOT(OR(I13="substantive",I13="minor_presentation",I13="indeterminate"))),AND(AND(D13="retain",E13="statistical_results"),J13&lt;&gt;"",NOT(OR(J13="direct",J13="possible",J13="unlikely",J13="unknown"))),AND(AND(D13="retain",OR(E13="report_internal_inconsistency",E13="plan_material")),NOT(OR(K13="substantive_inconsistency",K13="minor_presentation",K13="non_inconsistency",K13="indeterminate"))),AND(AND(D13="retain",E13="protocol_report"),L13&lt;&gt;"",NOT(OR(L13="substantive_difference",L13="minor_presentation",L13="version_timing",L13="non_inconsistency",L13="indeterminate")))),"CHECK FIELDS",IF(Setup!$B$6="primary",IF(OR(N13&lt;&gt;"",O13&lt;&gt;"",P13&lt;&gt;"",Q13&lt;&gt;""),"CLEAR CHECKER FIELDS",IF(OR(Setup!$B$4&lt;&gt;"",Setup!$B$5&lt;&gt;""),"CLEAR CHECKER ID",IF(F13&lt;&gt;"primary_done","PRIMARY DRAFT","PRIMARY READY"))),IF(OR(COUNTIF(Primary_snapshot!$A$2:$A$120,A13)&lt;&gt;1,INDEX('Primary_snapshot'!$J$2:$J$120,MATCH(A13,'Primary_snapshot'!$A$2:$A$120,0))&lt;&gt;"primary_done",INDEX('Primary_snapshot'!$K$2:$K$120,MATCH(A13,'Primary_snapshot'!$A$2:$A$120,0))&lt;&gt;Setup!$B$2,INDEX('Primary_snapshot'!$B$2:$B$120,MATCH(A13,'Primary_snapshot'!$A$2:$A$120,0))="NOT FROZEN",INDEX('Primary_snapshot'!$C$2:$C$120,MATCH(A13,'Primary_snapshot'!$A$2:$A$120,0))="NOT FROZEN",INDEX('Primary_snapshot'!$D$2:$D$120,MATCH(A13,'Primary_snapshot'!$A$2:$A$120,0))="NOT FROZEN",INDEX('Primary_snapshot'!$E$2:$E$120,MATCH(A13,'Primary_snapshot'!$A$2:$A$120,0))="NOT FROZEN",INDEX('Primary_snapshot'!$F$2:$F$120,MATCH(A13,'Primary_snapshot'!$A$2:$A$120,0))="NOT FROZEN",INDEX('Primary_snapshot'!$G$2:$G$120,MATCH(A13,'Primary_snapshot'!$A$2:$A$120,0))="NOT FROZEN",INDEX('Primary_snapshot'!$H$2:$H$120,MATCH(A13,'Primary_snapshot'!$A$2:$A$120,0))="NOT FROZEN",INDEX('Primary_snapshot'!$I$2:$I$120,MATCH(A13,'Primary_snapshot'!$A$2:$A$120,0))="NOT FROZEN",INDEX('Primary_snapshot'!$J$2:$J$120,MATCH(A13,'Primary_snapshot'!$A$2:$A$120,0))="NOT FROZEN",INDEX('Primary_snapshot'!$K$2:$K$120,MATCH(A13,'Primary_snapshot'!$A$2:$A$120,0))="NOT FROZEN",INDEX('Primary_snapshot'!$L$2:$L$120,MATCH(A13,'Primary_snapshot'!$A$2:$A$120,0))="NOT FROZEN"),"FREEZE SNAPSHOT",IF(NOT(OR(N13="agree",N13="agree_clarification",N13="disagree",N13="unable")),"CHECKER RESULT NEEDED",IF(AND(N13&lt;&gt;"agree",LEN(TRIM(O13))=0),"COMMENT NEEDED",IF(AND(N13="agree",NOT(AND(IF(D13="","",D13)=IF(INDEX('Primary_snapshot'!$B$2:$B$120,MATCH(A13,'Primary_snapshot'!$A$2:$A$120,0))="","",INDEX('Primary_snapshot'!$B$2:$B$120,MATCH(A13,'Primary_snapshot'!$A$2:$A$120,0))),IF(E13="","",E13)=IF(INDEX('Primary_snapshot'!$C$2:$C$120,MATCH(A13,'Primary_snapshot'!$A$2:$A$120,0))="","",INDEX('Primary_snapshot'!$C$2:$C$120,MATCH(A13,'Primary_snapshot'!$A$2:$A$120,0))),IF(AND(D13="retain",E13="statistical_results"),IF(H13="","",H13),"not_applicable")=IF(INDEX('Primary_snapshot'!$D$2:$D$120,MATCH(A13,'Primary_snapshot'!$A$2:$A$120,0))="","",INDEX('Primary_snapshot'!$D$2:$D$120,MATCH(A13,'Primary_snapshot'!$A$2:$A$120,0))),IF(AND(D13="retain",E13="statistical_results"),IF(I13="","",I13),"not_applicable")=IF(INDEX('Primary_snapshot'!$E$2:$E$120,MATCH(A13,'Primary_snapshot'!$A$2:$A$120,0))="","",INDEX('Primary_snapshot'!$E$2:$E$120,MATCH(A13,'Primary_snapshot'!$A$2:$A$120,0))),IF(AND(D13="retain",E13="statistical_results"),IF(J13="","",J13),"not_applicable")=IF(INDEX('Primary_snapshot'!$F$2:$F$120,MATCH(A13,'Primary_snapshot'!$A$2:$A$120,0))="","",INDEX('Primary_snapshot'!$F$2:$F$120,MATCH(A13,'Primary_snapshot'!$A$2:$A$120,0))),IF(AND(D13="retain",OR(E13="report_internal_inconsistency",E13="plan_material")),IF(K13="","",K13),"not_applicable")=IF(INDEX('Primary_snapshot'!$G$2:$G$120,MATCH(A13,'Primary_snapshot'!$A$2:$A$120,0))="","",INDEX('Primary_snapshot'!$G$2:$G$120,MATCH(A13,'Primary_snapshot'!$A$2:$A$120,0))),IF(AND(D13="retain",E13="protocol_report"),IF(L13="","",L13),"not_applicable")=IF(INDEX('Primary_snapshot'!$H$2:$H$120,MATCH(A13,'Primary_snapshot'!$A$2:$A$120,0))="","",INDEX('Primary_snapshot'!$H$2:$H$120,MATCH(A13,'Primary_snapshot'!$A$2:$A$120,0))),IF(R13="","",R13)=IF(INDEX('Primary_snapshot'!$I$2:$I$120,MATCH(A13,'Primary_snapshot'!$A$2:$A$120,0))="","",INDEX('Primary_snapshot'!$I$2:$I$120,MATCH(A13,'Primary_snapshot'!$A$2:$A$120,0)))))),"AGREE BUT CHANGED",IF(AND(P13&lt;&gt;"",NOT(OR(P13="pending",P13="resolved"))),"CHECK RESOLUTION",IF(OR(AND(OR(D13="discuss",INDEX('Primary_snapshot'!$B$2:$B$120,MATCH(A13,'Primary_snapshot'!$A$2:$A$120,0))="discuss",N13="disagree",N13="unable"),P13&lt;&gt;"resolved"),D13="discuss"),"DISCUSS",IF(AND(P13="resolved",LEN(TRIM(Q13))=0),"RESOLUTION NOTE NEEDED",IF(F13&lt;&gt;"checker_done","CHECKER DRAFT","FINAL READY")))))))))))))),"CHECK KEY / SNAPSHOT")</x:f>
        <x:v>CHECK REVIEWER IDs</x:v>
      </x:c>
      <x:c r="H13" s="7" t="str">
        <x:f>IF(AND(OR(D13="retain",D13=""),E13="statistical_results"),"","not_applicable")</x:f>
      </x:c>
      <x:c r="I13" s="7" t="str">
        <x:f>IF(AND(OR(D13="retain",D13=""),E13="statistical_results"),"","not_applicable")</x:f>
      </x:c>
      <x:c r="J13" s="13" t="str">
        <x:f>IF(AND(OR(D13="retain",D13=""),E13="statistical_results"),"","not_applicable")</x:f>
      </x:c>
      <x:c r="K13" s="7" t="str">
        <x:f>IF(AND(OR(D13="retain",D13=""),OR(E13="report_internal_inconsistency",E13="plan_material")),"","not_applicable")</x:f>
        <x:v>not_applicable</x:v>
      </x:c>
      <x:c r="L13" s="13" t="str">
        <x:f>IF(AND(OR(D13="retain",D13=""),E13="protocol_report"),"","not_applicable")</x:f>
        <x:v>not_applicable</x:v>
      </x:c>
      <x:c r="M13" s="3" t="str">
        <x:f>IF(Setup!$B$6="primary","",IFERROR(IF(INDEX('Primary_snapshot'!$L$2:$L$120,MATCH(A13,'Primary_snapshot'!$A$2:$A$120,0))="","",INDEX('Primary_snapshot'!$L$2:$L$120,MATCH(A13,'Primary_snapshot'!$A$2:$A$120,0))),"SNAPSHOT MISSING"))</x:f>
      </x:c>
      <x:c r="N13" s="7" t="str"/>
      <x:c r="O13" s="7" t="str"/>
      <x:c r="P13" s="7" t="str"/>
      <x:c r="Q13" s="7" t="str"/>
      <x:c r="R13" s="13" t="str"/>
    </x:row>
    <x:row r="14" ht="92" customHeight="1">
      <x:c r="A14" s="6" t="str">
        <x:v>2018::jama.2018.14282::C013</x:v>
      </x:c>
      <x:c r="B14" s="6" t="str">
        <x:v>Standard-arm unknown-goals percentage does not reconcile</x:v>
      </x:c>
      <x:c r="C14" s="6" t="str">
        <x:v>DOC-001 Table 1 — PDF p. 4</x:v>
      </x:c>
      <x:c r="D14" s="7" t="str"/>
      <x:c r="E14" s="7" t="str">
        <x:v>statistical_results</x:v>
      </x:c>
      <x:c r="F14" s="7" t="str">
        <x:v>no</x:v>
      </x:c>
      <x:c r="G14" s="6" t="str">
        <x:f>IFERROR(IF(NOT(OR(Setup!$B$6="primary",Setup!$B$6="checker")),"CHECK STAGE",IF(OR(LEN(TRIM(Setup!$B$2))=0,Setup!$B$2&lt;&gt;TRIM(Setup!$B$2),AND(Setup!$B$6="checker",OR(LEN(TRIM(Setup!$B$4))=0,Setup!$B$4&lt;&gt;TRIM(Setup!$B$4),LOWER(TRIM(Setup!$B$4))=LOWER(TRIM(Setup!$B$2))))),"CHECK REVIEWER IDs",IF(OR(COUNTIF($A$2:$A$29,A14)&lt;&gt;1,COUNTIF(Decisions!$C$2:$C$120,A14)&lt;&gt;1),"CHECK KEY",IF(OR(AND(NOT(AND(D14="retain",E14="statistical_results")),H14&lt;&gt;"",H14&lt;&gt;"not_applicable"),AND(NOT(AND(D14="retain",E14="statistical_results")),I14&lt;&gt;"",I14&lt;&gt;"not_applicable"),AND(NOT(AND(D14="retain",E14="statistical_results")),J14&lt;&gt;"",J14&lt;&gt;"not_applicable"),AND(NOT(AND(D14="retain",OR(E14="report_internal_inconsistency",E14="plan_material"))),K14&lt;&gt;"",K14&lt;&gt;"not_applicable"),AND(NOT(AND(D14="retain",E14="protocol_report")),L14&lt;&gt;"",L14&lt;&gt;"not_applicable")),"CLEAR INACTIVE VALUES",IF(OR(NOT(OR(D14="retain",D14="exclude",D14="discuss")),NOT(OR(E14="statistical_results",E14="report_internal_inconsistency",E14="plan_material",E14="protocol_report")),AND(AND(D14="retain",E14="statistical_results"),NOT(OR(H14="confirmed_issue",H14="probable_issue",H14="not_issue",H14="indeterminate"))),AND(AND(D14="retain",E14="statistical_results"),NOT(OR(I14="substantive",I14="minor_presentation",I14="indeterminate"))),AND(AND(D14="retain",E14="statistical_results"),J14&lt;&gt;"",NOT(OR(J14="direct",J14="possible",J14="unlikely",J14="unknown"))),AND(AND(D14="retain",OR(E14="report_internal_inconsistency",E14="plan_material")),NOT(OR(K14="substantive_inconsistency",K14="minor_presentation",K14="non_inconsistency",K14="indeterminate"))),AND(AND(D14="retain",E14="protocol_report"),L14&lt;&gt;"",NOT(OR(L14="substantive_difference",L14="minor_presentation",L14="version_timing",L14="non_inconsistency",L14="indeterminate")))),"CHECK FIELDS",IF(Setup!$B$6="primary",IF(OR(N14&lt;&gt;"",O14&lt;&gt;"",P14&lt;&gt;"",Q14&lt;&gt;""),"CLEAR CHECKER FIELDS",IF(OR(Setup!$B$4&lt;&gt;"",Setup!$B$5&lt;&gt;""),"CLEAR CHECKER ID",IF(F14&lt;&gt;"primary_done","PRIMARY DRAFT","PRIMARY READY"))),IF(OR(COUNTIF(Primary_snapshot!$A$2:$A$120,A14)&lt;&gt;1,INDEX('Primary_snapshot'!$J$2:$J$120,MATCH(A14,'Primary_snapshot'!$A$2:$A$120,0))&lt;&gt;"primary_done",INDEX('Primary_snapshot'!$K$2:$K$120,MATCH(A14,'Primary_snapshot'!$A$2:$A$120,0))&lt;&gt;Setup!$B$2,INDEX('Primary_snapshot'!$B$2:$B$120,MATCH(A14,'Primary_snapshot'!$A$2:$A$120,0))="NOT FROZEN",INDEX('Primary_snapshot'!$C$2:$C$120,MATCH(A14,'Primary_snapshot'!$A$2:$A$120,0))="NOT FROZEN",INDEX('Primary_snapshot'!$D$2:$D$120,MATCH(A14,'Primary_snapshot'!$A$2:$A$120,0))="NOT FROZEN",INDEX('Primary_snapshot'!$E$2:$E$120,MATCH(A14,'Primary_snapshot'!$A$2:$A$120,0))="NOT FROZEN",INDEX('Primary_snapshot'!$F$2:$F$120,MATCH(A14,'Primary_snapshot'!$A$2:$A$120,0))="NOT FROZEN",INDEX('Primary_snapshot'!$G$2:$G$120,MATCH(A14,'Primary_snapshot'!$A$2:$A$120,0))="NOT FROZEN",INDEX('Primary_snapshot'!$H$2:$H$120,MATCH(A14,'Primary_snapshot'!$A$2:$A$120,0))="NOT FROZEN",INDEX('Primary_snapshot'!$I$2:$I$120,MATCH(A14,'Primary_snapshot'!$A$2:$A$120,0))="NOT FROZEN",INDEX('Primary_snapshot'!$J$2:$J$120,MATCH(A14,'Primary_snapshot'!$A$2:$A$120,0))="NOT FROZEN",INDEX('Primary_snapshot'!$K$2:$K$120,MATCH(A14,'Primary_snapshot'!$A$2:$A$120,0))="NOT FROZEN",INDEX('Primary_snapshot'!$L$2:$L$120,MATCH(A14,'Primary_snapshot'!$A$2:$A$120,0))="NOT FROZEN"),"FREEZE SNAPSHOT",IF(NOT(OR(N14="agree",N14="agree_clarification",N14="disagree",N14="unable")),"CHECKER RESULT NEEDED",IF(AND(N14&lt;&gt;"agree",LEN(TRIM(O14))=0),"COMMENT NEEDED",IF(AND(N14="agree",NOT(AND(IF(D14="","",D14)=IF(INDEX('Primary_snapshot'!$B$2:$B$120,MATCH(A14,'Primary_snapshot'!$A$2:$A$120,0))="","",INDEX('Primary_snapshot'!$B$2:$B$120,MATCH(A14,'Primary_snapshot'!$A$2:$A$120,0))),IF(E14="","",E14)=IF(INDEX('Primary_snapshot'!$C$2:$C$120,MATCH(A14,'Primary_snapshot'!$A$2:$A$120,0))="","",INDEX('Primary_snapshot'!$C$2:$C$120,MATCH(A14,'Primary_snapshot'!$A$2:$A$120,0))),IF(AND(D14="retain",E14="statistical_results"),IF(H14="","",H14),"not_applicable")=IF(INDEX('Primary_snapshot'!$D$2:$D$120,MATCH(A14,'Primary_snapshot'!$A$2:$A$120,0))="","",INDEX('Primary_snapshot'!$D$2:$D$120,MATCH(A14,'Primary_snapshot'!$A$2:$A$120,0))),IF(AND(D14="retain",E14="statistical_results"),IF(I14="","",I14),"not_applicable")=IF(INDEX('Primary_snapshot'!$E$2:$E$120,MATCH(A14,'Primary_snapshot'!$A$2:$A$120,0))="","",INDEX('Primary_snapshot'!$E$2:$E$120,MATCH(A14,'Primary_snapshot'!$A$2:$A$120,0))),IF(AND(D14="retain",E14="statistical_results"),IF(J14="","",J14),"not_applicable")=IF(INDEX('Primary_snapshot'!$F$2:$F$120,MATCH(A14,'Primary_snapshot'!$A$2:$A$120,0))="","",INDEX('Primary_snapshot'!$F$2:$F$120,MATCH(A14,'Primary_snapshot'!$A$2:$A$120,0))),IF(AND(D14="retain",OR(E14="report_internal_inconsistency",E14="plan_material")),IF(K14="","",K14),"not_applicable")=IF(INDEX('Primary_snapshot'!$G$2:$G$120,MATCH(A14,'Primary_snapshot'!$A$2:$A$120,0))="","",INDEX('Primary_snapshot'!$G$2:$G$120,MATCH(A14,'Primary_snapshot'!$A$2:$A$120,0))),IF(AND(D14="retain",E14="protocol_report"),IF(L14="","",L14),"not_applicable")=IF(INDEX('Primary_snapshot'!$H$2:$H$120,MATCH(A14,'Primary_snapshot'!$A$2:$A$120,0))="","",INDEX('Primary_snapshot'!$H$2:$H$120,MATCH(A14,'Primary_snapshot'!$A$2:$A$120,0))),IF(R14="","",R14)=IF(INDEX('Primary_snapshot'!$I$2:$I$120,MATCH(A14,'Primary_snapshot'!$A$2:$A$120,0))="","",INDEX('Primary_snapshot'!$I$2:$I$120,MATCH(A14,'Primary_snapshot'!$A$2:$A$120,0)))))),"AGREE BUT CHANGED",IF(AND(P14&lt;&gt;"",NOT(OR(P14="pending",P14="resolved"))),"CHECK RESOLUTION",IF(OR(AND(OR(D14="discuss",INDEX('Primary_snapshot'!$B$2:$B$120,MATCH(A14,'Primary_snapshot'!$A$2:$A$120,0))="discuss",N14="disagree",N14="unable"),P14&lt;&gt;"resolved"),D14="discuss"),"DISCUSS",IF(AND(P14="resolved",LEN(TRIM(Q14))=0),"RESOLUTION NOTE NEEDED",IF(F14&lt;&gt;"checker_done","CHECKER DRAFT","FINAL READY")))))))))))))),"CHECK KEY / SNAPSHOT")</x:f>
        <x:v>CHECK REVIEWER IDs</x:v>
      </x:c>
      <x:c r="H14" s="7" t="str">
        <x:f>IF(AND(OR(D14="retain",D14=""),E14="statistical_results"),"","not_applicable")</x:f>
      </x:c>
      <x:c r="I14" s="7" t="str">
        <x:f>IF(AND(OR(D14="retain",D14=""),E14="statistical_results"),"","not_applicable")</x:f>
      </x:c>
      <x:c r="J14" s="13" t="str">
        <x:f>IF(AND(OR(D14="retain",D14=""),E14="statistical_results"),"","not_applicable")</x:f>
      </x:c>
      <x:c r="K14" s="7" t="str">
        <x:f>IF(AND(OR(D14="retain",D14=""),OR(E14="report_internal_inconsistency",E14="plan_material")),"","not_applicable")</x:f>
        <x:v>not_applicable</x:v>
      </x:c>
      <x:c r="L14" s="13" t="str">
        <x:f>IF(AND(OR(D14="retain",D14=""),E14="protocol_report"),"","not_applicable")</x:f>
        <x:v>not_applicable</x:v>
      </x:c>
      <x:c r="M14" s="6" t="str">
        <x:f>IF(Setup!$B$6="primary","",IFERROR(IF(INDEX('Primary_snapshot'!$L$2:$L$120,MATCH(A14,'Primary_snapshot'!$A$2:$A$120,0))="","",INDEX('Primary_snapshot'!$L$2:$L$120,MATCH(A14,'Primary_snapshot'!$A$2:$A$120,0))),"SNAPSHOT MISSING"))</x:f>
      </x:c>
      <x:c r="N14" s="7" t="str"/>
      <x:c r="O14" s="7" t="str"/>
      <x:c r="P14" s="7" t="str"/>
      <x:c r="Q14" s="7" t="str"/>
      <x:c r="R14" s="13" t="str"/>
    </x:row>
    <x:row r="15" ht="92" customHeight="1">
      <x:c r="A15" s="3" t="str">
        <x:v>2018::jama.2018.14282::C014</x:v>
      </x:c>
      <x:c r="B15" s="3" t="str">
        <x:v>High-flow pre-randomization standard-oxygen percentage does not reconcile</x:v>
      </x:c>
      <x:c r="C15" s="3" t="str">
        <x:v>DOC-001 Table 1 — PDF p. 4</x:v>
      </x:c>
      <x:c r="D15" s="7" t="str"/>
      <x:c r="E15" s="7" t="str">
        <x:v>statistical_results</x:v>
      </x:c>
      <x:c r="F15" s="7" t="str">
        <x:v>no</x:v>
      </x:c>
      <x:c r="G15" s="3" t="str">
        <x:f>IFERROR(IF(NOT(OR(Setup!$B$6="primary",Setup!$B$6="checker")),"CHECK STAGE",IF(OR(LEN(TRIM(Setup!$B$2))=0,Setup!$B$2&lt;&gt;TRIM(Setup!$B$2),AND(Setup!$B$6="checker",OR(LEN(TRIM(Setup!$B$4))=0,Setup!$B$4&lt;&gt;TRIM(Setup!$B$4),LOWER(TRIM(Setup!$B$4))=LOWER(TRIM(Setup!$B$2))))),"CHECK REVIEWER IDs",IF(OR(COUNTIF($A$2:$A$29,A15)&lt;&gt;1,COUNTIF(Decisions!$C$2:$C$120,A15)&lt;&gt;1),"CHECK KEY",IF(OR(AND(NOT(AND(D15="retain",E15="statistical_results")),H15&lt;&gt;"",H15&lt;&gt;"not_applicable"),AND(NOT(AND(D15="retain",E15="statistical_results")),I15&lt;&gt;"",I15&lt;&gt;"not_applicable"),AND(NOT(AND(D15="retain",E15="statistical_results")),J15&lt;&gt;"",J15&lt;&gt;"not_applicable"),AND(NOT(AND(D15="retain",OR(E15="report_internal_inconsistency",E15="plan_material"))),K15&lt;&gt;"",K15&lt;&gt;"not_applicable"),AND(NOT(AND(D15="retain",E15="protocol_report")),L15&lt;&gt;"",L15&lt;&gt;"not_applicable")),"CLEAR INACTIVE VALUES",IF(OR(NOT(OR(D15="retain",D15="exclude",D15="discuss")),NOT(OR(E15="statistical_results",E15="report_internal_inconsistency",E15="plan_material",E15="protocol_report")),AND(AND(D15="retain",E15="statistical_results"),NOT(OR(H15="confirmed_issue",H15="probable_issue",H15="not_issue",H15="indeterminate"))),AND(AND(D15="retain",E15="statistical_results"),NOT(OR(I15="substantive",I15="minor_presentation",I15="indeterminate"))),AND(AND(D15="retain",E15="statistical_results"),J15&lt;&gt;"",NOT(OR(J15="direct",J15="possible",J15="unlikely",J15="unknown"))),AND(AND(D15="retain",OR(E15="report_internal_inconsistency",E15="plan_material")),NOT(OR(K15="substantive_inconsistency",K15="minor_presentation",K15="non_inconsistency",K15="indeterminate"))),AND(AND(D15="retain",E15="protocol_report"),L15&lt;&gt;"",NOT(OR(L15="substantive_difference",L15="minor_presentation",L15="version_timing",L15="non_inconsistency",L15="indeterminate")))),"CHECK FIELDS",IF(Setup!$B$6="primary",IF(OR(N15&lt;&gt;"",O15&lt;&gt;"",P15&lt;&gt;"",Q15&lt;&gt;""),"CLEAR CHECKER FIELDS",IF(OR(Setup!$B$4&lt;&gt;"",Setup!$B$5&lt;&gt;""),"CLEAR CHECKER ID",IF(F15&lt;&gt;"primary_done","PRIMARY DRAFT","PRIMARY READY"))),IF(OR(COUNTIF(Primary_snapshot!$A$2:$A$120,A15)&lt;&gt;1,INDEX('Primary_snapshot'!$J$2:$J$120,MATCH(A15,'Primary_snapshot'!$A$2:$A$120,0))&lt;&gt;"primary_done",INDEX('Primary_snapshot'!$K$2:$K$120,MATCH(A15,'Primary_snapshot'!$A$2:$A$120,0))&lt;&gt;Setup!$B$2,INDEX('Primary_snapshot'!$B$2:$B$120,MATCH(A15,'Primary_snapshot'!$A$2:$A$120,0))="NOT FROZEN",INDEX('Primary_snapshot'!$C$2:$C$120,MATCH(A15,'Primary_snapshot'!$A$2:$A$120,0))="NOT FROZEN",INDEX('Primary_snapshot'!$D$2:$D$120,MATCH(A15,'Primary_snapshot'!$A$2:$A$120,0))="NOT FROZEN",INDEX('Primary_snapshot'!$E$2:$E$120,MATCH(A15,'Primary_snapshot'!$A$2:$A$120,0))="NOT FROZEN",INDEX('Primary_snapshot'!$F$2:$F$120,MATCH(A15,'Primary_snapshot'!$A$2:$A$120,0))="NOT FROZEN",INDEX('Primary_snapshot'!$G$2:$G$120,MATCH(A15,'Primary_snapshot'!$A$2:$A$120,0))="NOT FROZEN",INDEX('Primary_snapshot'!$H$2:$H$120,MATCH(A15,'Primary_snapshot'!$A$2:$A$120,0))="NOT FROZEN",INDEX('Primary_snapshot'!$I$2:$I$120,MATCH(A15,'Primary_snapshot'!$A$2:$A$120,0))="NOT FROZEN",INDEX('Primary_snapshot'!$J$2:$J$120,MATCH(A15,'Primary_snapshot'!$A$2:$A$120,0))="NOT FROZEN",INDEX('Primary_snapshot'!$K$2:$K$120,MATCH(A15,'Primary_snapshot'!$A$2:$A$120,0))="NOT FROZEN",INDEX('Primary_snapshot'!$L$2:$L$120,MATCH(A15,'Primary_snapshot'!$A$2:$A$120,0))="NOT FROZEN"),"FREEZE SNAPSHOT",IF(NOT(OR(N15="agree",N15="agree_clarification",N15="disagree",N15="unable")),"CHECKER RESULT NEEDED",IF(AND(N15&lt;&gt;"agree",LEN(TRIM(O15))=0),"COMMENT NEEDED",IF(AND(N15="agree",NOT(AND(IF(D15="","",D15)=IF(INDEX('Primary_snapshot'!$B$2:$B$120,MATCH(A15,'Primary_snapshot'!$A$2:$A$120,0))="","",INDEX('Primary_snapshot'!$B$2:$B$120,MATCH(A15,'Primary_snapshot'!$A$2:$A$120,0))),IF(E15="","",E15)=IF(INDEX('Primary_snapshot'!$C$2:$C$120,MATCH(A15,'Primary_snapshot'!$A$2:$A$120,0))="","",INDEX('Primary_snapshot'!$C$2:$C$120,MATCH(A15,'Primary_snapshot'!$A$2:$A$120,0))),IF(AND(D15="retain",E15="statistical_results"),IF(H15="","",H15),"not_applicable")=IF(INDEX('Primary_snapshot'!$D$2:$D$120,MATCH(A15,'Primary_snapshot'!$A$2:$A$120,0))="","",INDEX('Primary_snapshot'!$D$2:$D$120,MATCH(A15,'Primary_snapshot'!$A$2:$A$120,0))),IF(AND(D15="retain",E15="statistical_results"),IF(I15="","",I15),"not_applicable")=IF(INDEX('Primary_snapshot'!$E$2:$E$120,MATCH(A15,'Primary_snapshot'!$A$2:$A$120,0))="","",INDEX('Primary_snapshot'!$E$2:$E$120,MATCH(A15,'Primary_snapshot'!$A$2:$A$120,0))),IF(AND(D15="retain",E15="statistical_results"),IF(J15="","",J15),"not_applicable")=IF(INDEX('Primary_snapshot'!$F$2:$F$120,MATCH(A15,'Primary_snapshot'!$A$2:$A$120,0))="","",INDEX('Primary_snapshot'!$F$2:$F$120,MATCH(A15,'Primary_snapshot'!$A$2:$A$120,0))),IF(AND(D15="retain",OR(E15="report_internal_inconsistency",E15="plan_material")),IF(K15="","",K15),"not_applicable")=IF(INDEX('Primary_snapshot'!$G$2:$G$120,MATCH(A15,'Primary_snapshot'!$A$2:$A$120,0))="","",INDEX('Primary_snapshot'!$G$2:$G$120,MATCH(A15,'Primary_snapshot'!$A$2:$A$120,0))),IF(AND(D15="retain",E15="protocol_report"),IF(L15="","",L15),"not_applicable")=IF(INDEX('Primary_snapshot'!$H$2:$H$120,MATCH(A15,'Primary_snapshot'!$A$2:$A$120,0))="","",INDEX('Primary_snapshot'!$H$2:$H$120,MATCH(A15,'Primary_snapshot'!$A$2:$A$120,0))),IF(R15="","",R15)=IF(INDEX('Primary_snapshot'!$I$2:$I$120,MATCH(A15,'Primary_snapshot'!$A$2:$A$120,0))="","",INDEX('Primary_snapshot'!$I$2:$I$120,MATCH(A15,'Primary_snapshot'!$A$2:$A$120,0)))))),"AGREE BUT CHANGED",IF(AND(P15&lt;&gt;"",NOT(OR(P15="pending",P15="resolved"))),"CHECK RESOLUTION",IF(OR(AND(OR(D15="discuss",INDEX('Primary_snapshot'!$B$2:$B$120,MATCH(A15,'Primary_snapshot'!$A$2:$A$120,0))="discuss",N15="disagree",N15="unable"),P15&lt;&gt;"resolved"),D15="discuss"),"DISCUSS",IF(AND(P15="resolved",LEN(TRIM(Q15))=0),"RESOLUTION NOTE NEEDED",IF(F15&lt;&gt;"checker_done","CHECKER DRAFT","FINAL READY")))))))))))))),"CHECK KEY / SNAPSHOT")</x:f>
        <x:v>CHECK REVIEWER IDs</x:v>
      </x:c>
      <x:c r="H15" s="7" t="str">
        <x:f>IF(AND(OR(D15="retain",D15=""),E15="statistical_results"),"","not_applicable")</x:f>
      </x:c>
      <x:c r="I15" s="7" t="str">
        <x:f>IF(AND(OR(D15="retain",D15=""),E15="statistical_results"),"","not_applicable")</x:f>
      </x:c>
      <x:c r="J15" s="13" t="str">
        <x:f>IF(AND(OR(D15="retain",D15=""),E15="statistical_results"),"","not_applicable")</x:f>
      </x:c>
      <x:c r="K15" s="7" t="str">
        <x:f>IF(AND(OR(D15="retain",D15=""),OR(E15="report_internal_inconsistency",E15="plan_material")),"","not_applicable")</x:f>
        <x:v>not_applicable</x:v>
      </x:c>
      <x:c r="L15" s="13" t="str">
        <x:f>IF(AND(OR(D15="retain",D15=""),E15="protocol_report"),"","not_applicable")</x:f>
        <x:v>not_applicable</x:v>
      </x:c>
      <x:c r="M15" s="3" t="str">
        <x:f>IF(Setup!$B$6="primary","",IFERROR(IF(INDEX('Primary_snapshot'!$L$2:$L$120,MATCH(A15,'Primary_snapshot'!$A$2:$A$120,0))="","",INDEX('Primary_snapshot'!$L$2:$L$120,MATCH(A15,'Primary_snapshot'!$A$2:$A$120,0))),"SNAPSHOT MISSING"))</x:f>
      </x:c>
      <x:c r="N15" s="7" t="str"/>
      <x:c r="O15" s="7" t="str"/>
      <x:c r="P15" s="7" t="str"/>
      <x:c r="Q15" s="7" t="str"/>
      <x:c r="R15" s="13" t="str"/>
    </x:row>
    <x:row r="16" ht="92" customHeight="1">
      <x:c r="A16" s="6" t="str">
        <x:v>2018::jama.2018.14282::C015</x:v>
      </x:c>
      <x:c r="B16" s="6" t="str">
        <x:v>High-flow ICU-acquired-infection percentage does not reconcile</x:v>
      </x:c>
      <x:c r="C16" s="6" t="str">
        <x:v>DOC-001 Table 2 — PDF p. 5</x:v>
      </x:c>
      <x:c r="D16" s="7" t="str"/>
      <x:c r="E16" s="7" t="str">
        <x:v>statistical_results</x:v>
      </x:c>
      <x:c r="F16" s="7" t="str">
        <x:v>no</x:v>
      </x:c>
      <x:c r="G16" s="6" t="str">
        <x:f>IFERROR(IF(NOT(OR(Setup!$B$6="primary",Setup!$B$6="checker")),"CHECK STAGE",IF(OR(LEN(TRIM(Setup!$B$2))=0,Setup!$B$2&lt;&gt;TRIM(Setup!$B$2),AND(Setup!$B$6="checker",OR(LEN(TRIM(Setup!$B$4))=0,Setup!$B$4&lt;&gt;TRIM(Setup!$B$4),LOWER(TRIM(Setup!$B$4))=LOWER(TRIM(Setup!$B$2))))),"CHECK REVIEWER IDs",IF(OR(COUNTIF($A$2:$A$29,A16)&lt;&gt;1,COUNTIF(Decisions!$C$2:$C$120,A16)&lt;&gt;1),"CHECK KEY",IF(OR(AND(NOT(AND(D16="retain",E16="statistical_results")),H16&lt;&gt;"",H16&lt;&gt;"not_applicable"),AND(NOT(AND(D16="retain",E16="statistical_results")),I16&lt;&gt;"",I16&lt;&gt;"not_applicable"),AND(NOT(AND(D16="retain",E16="statistical_results")),J16&lt;&gt;"",J16&lt;&gt;"not_applicable"),AND(NOT(AND(D16="retain",OR(E16="report_internal_inconsistency",E16="plan_material"))),K16&lt;&gt;"",K16&lt;&gt;"not_applicable"),AND(NOT(AND(D16="retain",E16="protocol_report")),L16&lt;&gt;"",L16&lt;&gt;"not_applicable")),"CLEAR INACTIVE VALUES",IF(OR(NOT(OR(D16="retain",D16="exclude",D16="discuss")),NOT(OR(E16="statistical_results",E16="report_internal_inconsistency",E16="plan_material",E16="protocol_report")),AND(AND(D16="retain",E16="statistical_results"),NOT(OR(H16="confirmed_issue",H16="probable_issue",H16="not_issue",H16="indeterminate"))),AND(AND(D16="retain",E16="statistical_results"),NOT(OR(I16="substantive",I16="minor_presentation",I16="indeterminate"))),AND(AND(D16="retain",E16="statistical_results"),J16&lt;&gt;"",NOT(OR(J16="direct",J16="possible",J16="unlikely",J16="unknown"))),AND(AND(D16="retain",OR(E16="report_internal_inconsistency",E16="plan_material")),NOT(OR(K16="substantive_inconsistency",K16="minor_presentation",K16="non_inconsistency",K16="indeterminate"))),AND(AND(D16="retain",E16="protocol_report"),L16&lt;&gt;"",NOT(OR(L16="substantive_difference",L16="minor_presentation",L16="version_timing",L16="non_inconsistency",L16="indeterminate")))),"CHECK FIELDS",IF(Setup!$B$6="primary",IF(OR(N16&lt;&gt;"",O16&lt;&gt;"",P16&lt;&gt;"",Q16&lt;&gt;""),"CLEAR CHECKER FIELDS",IF(OR(Setup!$B$4&lt;&gt;"",Setup!$B$5&lt;&gt;""),"CLEAR CHECKER ID",IF(F16&lt;&gt;"primary_done","PRIMARY DRAFT","PRIMARY READY"))),IF(OR(COUNTIF(Primary_snapshot!$A$2:$A$120,A16)&lt;&gt;1,INDEX('Primary_snapshot'!$J$2:$J$120,MATCH(A16,'Primary_snapshot'!$A$2:$A$120,0))&lt;&gt;"primary_done",INDEX('Primary_snapshot'!$K$2:$K$120,MATCH(A16,'Primary_snapshot'!$A$2:$A$120,0))&lt;&gt;Setup!$B$2,INDEX('Primary_snapshot'!$B$2:$B$120,MATCH(A16,'Primary_snapshot'!$A$2:$A$120,0))="NOT FROZEN",INDEX('Primary_snapshot'!$C$2:$C$120,MATCH(A16,'Primary_snapshot'!$A$2:$A$120,0))="NOT FROZEN",INDEX('Primary_snapshot'!$D$2:$D$120,MATCH(A16,'Primary_snapshot'!$A$2:$A$120,0))="NOT FROZEN",INDEX('Primary_snapshot'!$E$2:$E$120,MATCH(A16,'Primary_snapshot'!$A$2:$A$120,0))="NOT FROZEN",INDEX('Primary_snapshot'!$F$2:$F$120,MATCH(A16,'Primary_snapshot'!$A$2:$A$120,0))="NOT FROZEN",INDEX('Primary_snapshot'!$G$2:$G$120,MATCH(A16,'Primary_snapshot'!$A$2:$A$120,0))="NOT FROZEN",INDEX('Primary_snapshot'!$H$2:$H$120,MATCH(A16,'Primary_snapshot'!$A$2:$A$120,0))="NOT FROZEN",INDEX('Primary_snapshot'!$I$2:$I$120,MATCH(A16,'Primary_snapshot'!$A$2:$A$120,0))="NOT FROZEN",INDEX('Primary_snapshot'!$J$2:$J$120,MATCH(A16,'Primary_snapshot'!$A$2:$A$120,0))="NOT FROZEN",INDEX('Primary_snapshot'!$K$2:$K$120,MATCH(A16,'Primary_snapshot'!$A$2:$A$120,0))="NOT FROZEN",INDEX('Primary_snapshot'!$L$2:$L$120,MATCH(A16,'Primary_snapshot'!$A$2:$A$120,0))="NOT FROZEN"),"FREEZE SNAPSHOT",IF(NOT(OR(N16="agree",N16="agree_clarification",N16="disagree",N16="unable")),"CHECKER RESULT NEEDED",IF(AND(N16&lt;&gt;"agree",LEN(TRIM(O16))=0),"COMMENT NEEDED",IF(AND(N16="agree",NOT(AND(IF(D16="","",D16)=IF(INDEX('Primary_snapshot'!$B$2:$B$120,MATCH(A16,'Primary_snapshot'!$A$2:$A$120,0))="","",INDEX('Primary_snapshot'!$B$2:$B$120,MATCH(A16,'Primary_snapshot'!$A$2:$A$120,0))),IF(E16="","",E16)=IF(INDEX('Primary_snapshot'!$C$2:$C$120,MATCH(A16,'Primary_snapshot'!$A$2:$A$120,0))="","",INDEX('Primary_snapshot'!$C$2:$C$120,MATCH(A16,'Primary_snapshot'!$A$2:$A$120,0))),IF(AND(D16="retain",E16="statistical_results"),IF(H16="","",H16),"not_applicable")=IF(INDEX('Primary_snapshot'!$D$2:$D$120,MATCH(A16,'Primary_snapshot'!$A$2:$A$120,0))="","",INDEX('Primary_snapshot'!$D$2:$D$120,MATCH(A16,'Primary_snapshot'!$A$2:$A$120,0))),IF(AND(D16="retain",E16="statistical_results"),IF(I16="","",I16),"not_applicable")=IF(INDEX('Primary_snapshot'!$E$2:$E$120,MATCH(A16,'Primary_snapshot'!$A$2:$A$120,0))="","",INDEX('Primary_snapshot'!$E$2:$E$120,MATCH(A16,'Primary_snapshot'!$A$2:$A$120,0))),IF(AND(D16="retain",E16="statistical_results"),IF(J16="","",J16),"not_applicable")=IF(INDEX('Primary_snapshot'!$F$2:$F$120,MATCH(A16,'Primary_snapshot'!$A$2:$A$120,0))="","",INDEX('Primary_snapshot'!$F$2:$F$120,MATCH(A16,'Primary_snapshot'!$A$2:$A$120,0))),IF(AND(D16="retain",OR(E16="report_internal_inconsistency",E16="plan_material")),IF(K16="","",K16),"not_applicable")=IF(INDEX('Primary_snapshot'!$G$2:$G$120,MATCH(A16,'Primary_snapshot'!$A$2:$A$120,0))="","",INDEX('Primary_snapshot'!$G$2:$G$120,MATCH(A16,'Primary_snapshot'!$A$2:$A$120,0))),IF(AND(D16="retain",E16="protocol_report"),IF(L16="","",L16),"not_applicable")=IF(INDEX('Primary_snapshot'!$H$2:$H$120,MATCH(A16,'Primary_snapshot'!$A$2:$A$120,0))="","",INDEX('Primary_snapshot'!$H$2:$H$120,MATCH(A16,'Primary_snapshot'!$A$2:$A$120,0))),IF(R16="","",R16)=IF(INDEX('Primary_snapshot'!$I$2:$I$120,MATCH(A16,'Primary_snapshot'!$A$2:$A$120,0))="","",INDEX('Primary_snapshot'!$I$2:$I$120,MATCH(A16,'Primary_snapshot'!$A$2:$A$120,0)))))),"AGREE BUT CHANGED",IF(AND(P16&lt;&gt;"",NOT(OR(P16="pending",P16="resolved"))),"CHECK RESOLUTION",IF(OR(AND(OR(D16="discuss",INDEX('Primary_snapshot'!$B$2:$B$120,MATCH(A16,'Primary_snapshot'!$A$2:$A$120,0))="discuss",N16="disagree",N16="unable"),P16&lt;&gt;"resolved"),D16="discuss"),"DISCUSS",IF(AND(P16="resolved",LEN(TRIM(Q16))=0),"RESOLUTION NOTE NEEDED",IF(F16&lt;&gt;"checker_done","CHECKER DRAFT","FINAL READY")))))))))))))),"CHECK KEY / SNAPSHOT")</x:f>
        <x:v>CHECK REVIEWER IDs</x:v>
      </x:c>
      <x:c r="H16" s="7" t="str">
        <x:f>IF(AND(OR(D16="retain",D16=""),E16="statistical_results"),"","not_applicable")</x:f>
      </x:c>
      <x:c r="I16" s="7" t="str">
        <x:f>IF(AND(OR(D16="retain",D16=""),E16="statistical_results"),"","not_applicable")</x:f>
      </x:c>
      <x:c r="J16" s="13" t="str">
        <x:f>IF(AND(OR(D16="retain",D16=""),E16="statistical_results"),"","not_applicable")</x:f>
      </x:c>
      <x:c r="K16" s="7" t="str">
        <x:f>IF(AND(OR(D16="retain",D16=""),OR(E16="report_internal_inconsistency",E16="plan_material")),"","not_applicable")</x:f>
        <x:v>not_applicable</x:v>
      </x:c>
      <x:c r="L16" s="13" t="str">
        <x:f>IF(AND(OR(D16="retain",D16=""),E16="protocol_report"),"","not_applicable")</x:f>
        <x:v>not_applicable</x:v>
      </x:c>
      <x:c r="M16" s="6" t="str">
        <x:f>IF(Setup!$B$6="primary","",IFERROR(IF(INDEX('Primary_snapshot'!$L$2:$L$120,MATCH(A16,'Primary_snapshot'!$A$2:$A$120,0))="","",INDEX('Primary_snapshot'!$L$2:$L$120,MATCH(A16,'Primary_snapshot'!$A$2:$A$120,0))),"SNAPSHOT MISSING"))</x:f>
      </x:c>
      <x:c r="N16" s="7" t="str"/>
      <x:c r="O16" s="7" t="str"/>
      <x:c r="P16" s="7" t="str"/>
      <x:c r="Q16" s="7" t="str"/>
      <x:c r="R16" s="13" t="str"/>
    </x:row>
    <x:row r="17" ht="92" customHeight="1">
      <x:c r="A17" s="3" t="str">
        <x:v>2018::jama.2018.14282::C016</x:v>
      </x:c>
      <x:c r="B17" s="3" t="str">
        <x:v>Standard-arm hospital-mortality percentage does not reconcile</x:v>
      </x:c>
      <x:c r="C17" s="3" t="str">
        <x:v>DOC-001 Table 2 — PDF p. 5</x:v>
      </x:c>
      <x:c r="D17" s="7" t="str"/>
      <x:c r="E17" s="7" t="str">
        <x:v>statistical_results</x:v>
      </x:c>
      <x:c r="F17" s="7" t="str">
        <x:v>no</x:v>
      </x:c>
      <x:c r="G17" s="3" t="str">
        <x:f>IFERROR(IF(NOT(OR(Setup!$B$6="primary",Setup!$B$6="checker")),"CHECK STAGE",IF(OR(LEN(TRIM(Setup!$B$2))=0,Setup!$B$2&lt;&gt;TRIM(Setup!$B$2),AND(Setup!$B$6="checker",OR(LEN(TRIM(Setup!$B$4))=0,Setup!$B$4&lt;&gt;TRIM(Setup!$B$4),LOWER(TRIM(Setup!$B$4))=LOWER(TRIM(Setup!$B$2))))),"CHECK REVIEWER IDs",IF(OR(COUNTIF($A$2:$A$29,A17)&lt;&gt;1,COUNTIF(Decisions!$C$2:$C$120,A17)&lt;&gt;1),"CHECK KEY",IF(OR(AND(NOT(AND(D17="retain",E17="statistical_results")),H17&lt;&gt;"",H17&lt;&gt;"not_applicable"),AND(NOT(AND(D17="retain",E17="statistical_results")),I17&lt;&gt;"",I17&lt;&gt;"not_applicable"),AND(NOT(AND(D17="retain",E17="statistical_results")),J17&lt;&gt;"",J17&lt;&gt;"not_applicable"),AND(NOT(AND(D17="retain",OR(E17="report_internal_inconsistency",E17="plan_material"))),K17&lt;&gt;"",K17&lt;&gt;"not_applicable"),AND(NOT(AND(D17="retain",E17="protocol_report")),L17&lt;&gt;"",L17&lt;&gt;"not_applicable")),"CLEAR INACTIVE VALUES",IF(OR(NOT(OR(D17="retain",D17="exclude",D17="discuss")),NOT(OR(E17="statistical_results",E17="report_internal_inconsistency",E17="plan_material",E17="protocol_report")),AND(AND(D17="retain",E17="statistical_results"),NOT(OR(H17="confirmed_issue",H17="probable_issue",H17="not_issue",H17="indeterminate"))),AND(AND(D17="retain",E17="statistical_results"),NOT(OR(I17="substantive",I17="minor_presentation",I17="indeterminate"))),AND(AND(D17="retain",E17="statistical_results"),J17&lt;&gt;"",NOT(OR(J17="direct",J17="possible",J17="unlikely",J17="unknown"))),AND(AND(D17="retain",OR(E17="report_internal_inconsistency",E17="plan_material")),NOT(OR(K17="substantive_inconsistency",K17="minor_presentation",K17="non_inconsistency",K17="indeterminate"))),AND(AND(D17="retain",E17="protocol_report"),L17&lt;&gt;"",NOT(OR(L17="substantive_difference",L17="minor_presentation",L17="version_timing",L17="non_inconsistency",L17="indeterminate")))),"CHECK FIELDS",IF(Setup!$B$6="primary",IF(OR(N17&lt;&gt;"",O17&lt;&gt;"",P17&lt;&gt;"",Q17&lt;&gt;""),"CLEAR CHECKER FIELDS",IF(OR(Setup!$B$4&lt;&gt;"",Setup!$B$5&lt;&gt;""),"CLEAR CHECKER ID",IF(F17&lt;&gt;"primary_done","PRIMARY DRAFT","PRIMARY READY"))),IF(OR(COUNTIF(Primary_snapshot!$A$2:$A$120,A17)&lt;&gt;1,INDEX('Primary_snapshot'!$J$2:$J$120,MATCH(A17,'Primary_snapshot'!$A$2:$A$120,0))&lt;&gt;"primary_done",INDEX('Primary_snapshot'!$K$2:$K$120,MATCH(A17,'Primary_snapshot'!$A$2:$A$120,0))&lt;&gt;Setup!$B$2,INDEX('Primary_snapshot'!$B$2:$B$120,MATCH(A17,'Primary_snapshot'!$A$2:$A$120,0))="NOT FROZEN",INDEX('Primary_snapshot'!$C$2:$C$120,MATCH(A17,'Primary_snapshot'!$A$2:$A$120,0))="NOT FROZEN",INDEX('Primary_snapshot'!$D$2:$D$120,MATCH(A17,'Primary_snapshot'!$A$2:$A$120,0))="NOT FROZEN",INDEX('Primary_snapshot'!$E$2:$E$120,MATCH(A17,'Primary_snapshot'!$A$2:$A$120,0))="NOT FROZEN",INDEX('Primary_snapshot'!$F$2:$F$120,MATCH(A17,'Primary_snapshot'!$A$2:$A$120,0))="NOT FROZEN",INDEX('Primary_snapshot'!$G$2:$G$120,MATCH(A17,'Primary_snapshot'!$A$2:$A$120,0))="NOT FROZEN",INDEX('Primary_snapshot'!$H$2:$H$120,MATCH(A17,'Primary_snapshot'!$A$2:$A$120,0))="NOT FROZEN",INDEX('Primary_snapshot'!$I$2:$I$120,MATCH(A17,'Primary_snapshot'!$A$2:$A$120,0))="NOT FROZEN",INDEX('Primary_snapshot'!$J$2:$J$120,MATCH(A17,'Primary_snapshot'!$A$2:$A$120,0))="NOT FROZEN",INDEX('Primary_snapshot'!$K$2:$K$120,MATCH(A17,'Primary_snapshot'!$A$2:$A$120,0))="NOT FROZEN",INDEX('Primary_snapshot'!$L$2:$L$120,MATCH(A17,'Primary_snapshot'!$A$2:$A$120,0))="NOT FROZEN"),"FREEZE SNAPSHOT",IF(NOT(OR(N17="agree",N17="agree_clarification",N17="disagree",N17="unable")),"CHECKER RESULT NEEDED",IF(AND(N17&lt;&gt;"agree",LEN(TRIM(O17))=0),"COMMENT NEEDED",IF(AND(N17="agree",NOT(AND(IF(D17="","",D17)=IF(INDEX('Primary_snapshot'!$B$2:$B$120,MATCH(A17,'Primary_snapshot'!$A$2:$A$120,0))="","",INDEX('Primary_snapshot'!$B$2:$B$120,MATCH(A17,'Primary_snapshot'!$A$2:$A$120,0))),IF(E17="","",E17)=IF(INDEX('Primary_snapshot'!$C$2:$C$120,MATCH(A17,'Primary_snapshot'!$A$2:$A$120,0))="","",INDEX('Primary_snapshot'!$C$2:$C$120,MATCH(A17,'Primary_snapshot'!$A$2:$A$120,0))),IF(AND(D17="retain",E17="statistical_results"),IF(H17="","",H17),"not_applicable")=IF(INDEX('Primary_snapshot'!$D$2:$D$120,MATCH(A17,'Primary_snapshot'!$A$2:$A$120,0))="","",INDEX('Primary_snapshot'!$D$2:$D$120,MATCH(A17,'Primary_snapshot'!$A$2:$A$120,0))),IF(AND(D17="retain",E17="statistical_results"),IF(I17="","",I17),"not_applicable")=IF(INDEX('Primary_snapshot'!$E$2:$E$120,MATCH(A17,'Primary_snapshot'!$A$2:$A$120,0))="","",INDEX('Primary_snapshot'!$E$2:$E$120,MATCH(A17,'Primary_snapshot'!$A$2:$A$120,0))),IF(AND(D17="retain",E17="statistical_results"),IF(J17="","",J17),"not_applicable")=IF(INDEX('Primary_snapshot'!$F$2:$F$120,MATCH(A17,'Primary_snapshot'!$A$2:$A$120,0))="","",INDEX('Primary_snapshot'!$F$2:$F$120,MATCH(A17,'Primary_snapshot'!$A$2:$A$120,0))),IF(AND(D17="retain",OR(E17="report_internal_inconsistency",E17="plan_material")),IF(K17="","",K17),"not_applicable")=IF(INDEX('Primary_snapshot'!$G$2:$G$120,MATCH(A17,'Primary_snapshot'!$A$2:$A$120,0))="","",INDEX('Primary_snapshot'!$G$2:$G$120,MATCH(A17,'Primary_snapshot'!$A$2:$A$120,0))),IF(AND(D17="retain",E17="protocol_report"),IF(L17="","",L17),"not_applicable")=IF(INDEX('Primary_snapshot'!$H$2:$H$120,MATCH(A17,'Primary_snapshot'!$A$2:$A$120,0))="","",INDEX('Primary_snapshot'!$H$2:$H$120,MATCH(A17,'Primary_snapshot'!$A$2:$A$120,0))),IF(R17="","",R17)=IF(INDEX('Primary_snapshot'!$I$2:$I$120,MATCH(A17,'Primary_snapshot'!$A$2:$A$120,0))="","",INDEX('Primary_snapshot'!$I$2:$I$120,MATCH(A17,'Primary_snapshot'!$A$2:$A$120,0)))))),"AGREE BUT CHANGED",IF(AND(P17&lt;&gt;"",NOT(OR(P17="pending",P17="resolved"))),"CHECK RESOLUTION",IF(OR(AND(OR(D17="discuss",INDEX('Primary_snapshot'!$B$2:$B$120,MATCH(A17,'Primary_snapshot'!$A$2:$A$120,0))="discuss",N17="disagree",N17="unable"),P17&lt;&gt;"resolved"),D17="discuss"),"DISCUSS",IF(AND(P17="resolved",LEN(TRIM(Q17))=0),"RESOLUTION NOTE NEEDED",IF(F17&lt;&gt;"checker_done","CHECKER DRAFT","FINAL READY")))))))))))))),"CHECK KEY / SNAPSHOT")</x:f>
        <x:v>CHECK REVIEWER IDs</x:v>
      </x:c>
      <x:c r="H17" s="7" t="str">
        <x:f>IF(AND(OR(D17="retain",D17=""),E17="statistical_results"),"","not_applicable")</x:f>
      </x:c>
      <x:c r="I17" s="7" t="str">
        <x:f>IF(AND(OR(D17="retain",D17=""),E17="statistical_results"),"","not_applicable")</x:f>
      </x:c>
      <x:c r="J17" s="13" t="str">
        <x:f>IF(AND(OR(D17="retain",D17=""),E17="statistical_results"),"","not_applicable")</x:f>
      </x:c>
      <x:c r="K17" s="7" t="str">
        <x:f>IF(AND(OR(D17="retain",D17=""),OR(E17="report_internal_inconsistency",E17="plan_material")),"","not_applicable")</x:f>
        <x:v>not_applicable</x:v>
      </x:c>
      <x:c r="L17" s="13" t="str">
        <x:f>IF(AND(OR(D17="retain",D17=""),E17="protocol_report"),"","not_applicable")</x:f>
        <x:v>not_applicable</x:v>
      </x:c>
      <x:c r="M17" s="3" t="str">
        <x:f>IF(Setup!$B$6="primary","",IFERROR(IF(INDEX('Primary_snapshot'!$L$2:$L$120,MATCH(A17,'Primary_snapshot'!$A$2:$A$120,0))="","",INDEX('Primary_snapshot'!$L$2:$L$120,MATCH(A17,'Primary_snapshot'!$A$2:$A$120,0))),"SNAPSHOT MISSING"))</x:f>
      </x:c>
      <x:c r="N17" s="7" t="str"/>
      <x:c r="O17" s="7" t="str"/>
      <x:c r="P17" s="7" t="str"/>
      <x:c r="Q17" s="7" t="str"/>
      <x:c r="R17" s="13" t="str"/>
    </x:row>
    <x:row r="18" ht="92" customHeight="1">
      <x:c r="A18" s="6" t="str">
        <x:v>2018::jama.2018.14282::C017</x:v>
      </x:c>
      <x:c r="B18" s="6" t="str">
        <x:v>Respiratory-rate confidence-interval endpoint differs between matched occurrences</x:v>
      </x:c>
      <x:c r="C18" s="6" t="str">
        <x:v>DOC-001 abstract — PDF p. 1; DOC-001 results — PDF p. 6</x:v>
      </x:c>
      <x:c r="D18" s="7" t="str"/>
      <x:c r="E18" s="7" t="str">
        <x:v>report_internal_inconsistency</x:v>
      </x:c>
      <x:c r="F18" s="7" t="str">
        <x:v>no</x:v>
      </x:c>
      <x:c r="G18" s="6" t="str">
        <x:f>IFERROR(IF(NOT(OR(Setup!$B$6="primary",Setup!$B$6="checker")),"CHECK STAGE",IF(OR(LEN(TRIM(Setup!$B$2))=0,Setup!$B$2&lt;&gt;TRIM(Setup!$B$2),AND(Setup!$B$6="checker",OR(LEN(TRIM(Setup!$B$4))=0,Setup!$B$4&lt;&gt;TRIM(Setup!$B$4),LOWER(TRIM(Setup!$B$4))=LOWER(TRIM(Setup!$B$2))))),"CHECK REVIEWER IDs",IF(OR(COUNTIF($A$2:$A$29,A18)&lt;&gt;1,COUNTIF(Decisions!$C$2:$C$120,A18)&lt;&gt;1),"CHECK KEY",IF(OR(AND(NOT(AND(D18="retain",E18="statistical_results")),H18&lt;&gt;"",H18&lt;&gt;"not_applicable"),AND(NOT(AND(D18="retain",E18="statistical_results")),I18&lt;&gt;"",I18&lt;&gt;"not_applicable"),AND(NOT(AND(D18="retain",E18="statistical_results")),J18&lt;&gt;"",J18&lt;&gt;"not_applicable"),AND(NOT(AND(D18="retain",OR(E18="report_internal_inconsistency",E18="plan_material"))),K18&lt;&gt;"",K18&lt;&gt;"not_applicable"),AND(NOT(AND(D18="retain",E18="protocol_report")),L18&lt;&gt;"",L18&lt;&gt;"not_applicable")),"CLEAR INACTIVE VALUES",IF(OR(NOT(OR(D18="retain",D18="exclude",D18="discuss")),NOT(OR(E18="statistical_results",E18="report_internal_inconsistency",E18="plan_material",E18="protocol_report")),AND(AND(D18="retain",E18="statistical_results"),NOT(OR(H18="confirmed_issue",H18="probable_issue",H18="not_issue",H18="indeterminate"))),AND(AND(D18="retain",E18="statistical_results"),NOT(OR(I18="substantive",I18="minor_presentation",I18="indeterminate"))),AND(AND(D18="retain",E18="statistical_results"),J18&lt;&gt;"",NOT(OR(J18="direct",J18="possible",J18="unlikely",J18="unknown"))),AND(AND(D18="retain",OR(E18="report_internal_inconsistency",E18="plan_material")),NOT(OR(K18="substantive_inconsistency",K18="minor_presentation",K18="non_inconsistency",K18="indeterminate"))),AND(AND(D18="retain",E18="protocol_report"),L18&lt;&gt;"",NOT(OR(L18="substantive_difference",L18="minor_presentation",L18="version_timing",L18="non_inconsistency",L18="indeterminate")))),"CHECK FIELDS",IF(Setup!$B$6="primary",IF(OR(N18&lt;&gt;"",O18&lt;&gt;"",P18&lt;&gt;"",Q18&lt;&gt;""),"CLEAR CHECKER FIELDS",IF(OR(Setup!$B$4&lt;&gt;"",Setup!$B$5&lt;&gt;""),"CLEAR CHECKER ID",IF(F18&lt;&gt;"primary_done","PRIMARY DRAFT","PRIMARY READY"))),IF(OR(COUNTIF(Primary_snapshot!$A$2:$A$120,A18)&lt;&gt;1,INDEX('Primary_snapshot'!$J$2:$J$120,MATCH(A18,'Primary_snapshot'!$A$2:$A$120,0))&lt;&gt;"primary_done",INDEX('Primary_snapshot'!$K$2:$K$120,MATCH(A18,'Primary_snapshot'!$A$2:$A$120,0))&lt;&gt;Setup!$B$2,INDEX('Primary_snapshot'!$B$2:$B$120,MATCH(A18,'Primary_snapshot'!$A$2:$A$120,0))="NOT FROZEN",INDEX('Primary_snapshot'!$C$2:$C$120,MATCH(A18,'Primary_snapshot'!$A$2:$A$120,0))="NOT FROZEN",INDEX('Primary_snapshot'!$D$2:$D$120,MATCH(A18,'Primary_snapshot'!$A$2:$A$120,0))="NOT FROZEN",INDEX('Primary_snapshot'!$E$2:$E$120,MATCH(A18,'Primary_snapshot'!$A$2:$A$120,0))="NOT FROZEN",INDEX('Primary_snapshot'!$F$2:$F$120,MATCH(A18,'Primary_snapshot'!$A$2:$A$120,0))="NOT FROZEN",INDEX('Primary_snapshot'!$G$2:$G$120,MATCH(A18,'Primary_snapshot'!$A$2:$A$120,0))="NOT FROZEN",INDEX('Primary_snapshot'!$H$2:$H$120,MATCH(A18,'Primary_snapshot'!$A$2:$A$120,0))="NOT FROZEN",INDEX('Primary_snapshot'!$I$2:$I$120,MATCH(A18,'Primary_snapshot'!$A$2:$A$120,0))="NOT FROZEN",INDEX('Primary_snapshot'!$J$2:$J$120,MATCH(A18,'Primary_snapshot'!$A$2:$A$120,0))="NOT FROZEN",INDEX('Primary_snapshot'!$K$2:$K$120,MATCH(A18,'Primary_snapshot'!$A$2:$A$120,0))="NOT FROZEN",INDEX('Primary_snapshot'!$L$2:$L$120,MATCH(A18,'Primary_snapshot'!$A$2:$A$120,0))="NOT FROZEN"),"FREEZE SNAPSHOT",IF(NOT(OR(N18="agree",N18="agree_clarification",N18="disagree",N18="unable")),"CHECKER RESULT NEEDED",IF(AND(N18&lt;&gt;"agree",LEN(TRIM(O18))=0),"COMMENT NEEDED",IF(AND(N18="agree",NOT(AND(IF(D18="","",D18)=IF(INDEX('Primary_snapshot'!$B$2:$B$120,MATCH(A18,'Primary_snapshot'!$A$2:$A$120,0))="","",INDEX('Primary_snapshot'!$B$2:$B$120,MATCH(A18,'Primary_snapshot'!$A$2:$A$120,0))),IF(E18="","",E18)=IF(INDEX('Primary_snapshot'!$C$2:$C$120,MATCH(A18,'Primary_snapshot'!$A$2:$A$120,0))="","",INDEX('Primary_snapshot'!$C$2:$C$120,MATCH(A18,'Primary_snapshot'!$A$2:$A$120,0))),IF(AND(D18="retain",E18="statistical_results"),IF(H18="","",H18),"not_applicable")=IF(INDEX('Primary_snapshot'!$D$2:$D$120,MATCH(A18,'Primary_snapshot'!$A$2:$A$120,0))="","",INDEX('Primary_snapshot'!$D$2:$D$120,MATCH(A18,'Primary_snapshot'!$A$2:$A$120,0))),IF(AND(D18="retain",E18="statistical_results"),IF(I18="","",I18),"not_applicable")=IF(INDEX('Primary_snapshot'!$E$2:$E$120,MATCH(A18,'Primary_snapshot'!$A$2:$A$120,0))="","",INDEX('Primary_snapshot'!$E$2:$E$120,MATCH(A18,'Primary_snapshot'!$A$2:$A$120,0))),IF(AND(D18="retain",E18="statistical_results"),IF(J18="","",J18),"not_applicable")=IF(INDEX('Primary_snapshot'!$F$2:$F$120,MATCH(A18,'Primary_snapshot'!$A$2:$A$120,0))="","",INDEX('Primary_snapshot'!$F$2:$F$120,MATCH(A18,'Primary_snapshot'!$A$2:$A$120,0))),IF(AND(D18="retain",OR(E18="report_internal_inconsistency",E18="plan_material")),IF(K18="","",K18),"not_applicable")=IF(INDEX('Primary_snapshot'!$G$2:$G$120,MATCH(A18,'Primary_snapshot'!$A$2:$A$120,0))="","",INDEX('Primary_snapshot'!$G$2:$G$120,MATCH(A18,'Primary_snapshot'!$A$2:$A$120,0))),IF(AND(D18="retain",E18="protocol_report"),IF(L18="","",L18),"not_applicable")=IF(INDEX('Primary_snapshot'!$H$2:$H$120,MATCH(A18,'Primary_snapshot'!$A$2:$A$120,0))="","",INDEX('Primary_snapshot'!$H$2:$H$120,MATCH(A18,'Primary_snapshot'!$A$2:$A$120,0))),IF(R18="","",R18)=IF(INDEX('Primary_snapshot'!$I$2:$I$120,MATCH(A18,'Primary_snapshot'!$A$2:$A$120,0))="","",INDEX('Primary_snapshot'!$I$2:$I$120,MATCH(A18,'Primary_snapshot'!$A$2:$A$120,0)))))),"AGREE BUT CHANGED",IF(AND(P18&lt;&gt;"",NOT(OR(P18="pending",P18="resolved"))),"CHECK RESOLUTION",IF(OR(AND(OR(D18="discuss",INDEX('Primary_snapshot'!$B$2:$B$120,MATCH(A18,'Primary_snapshot'!$A$2:$A$120,0))="discuss",N18="disagree",N18="unable"),P18&lt;&gt;"resolved"),D18="discuss"),"DISCUSS",IF(AND(P18="resolved",LEN(TRIM(Q18))=0),"RESOLUTION NOTE NEEDED",IF(F18&lt;&gt;"checker_done","CHECKER DRAFT","FINAL READY")))))))))))))),"CHECK KEY / SNAPSHOT")</x:f>
        <x:v>CHECK REVIEWER IDs</x:v>
      </x:c>
      <x:c r="H18" s="7" t="str">
        <x:f>IF(AND(OR(D18="retain",D18=""),E18="statistical_results"),"","not_applicable")</x:f>
        <x:v>not_applicable</x:v>
      </x:c>
      <x:c r="I18" s="7" t="str">
        <x:f>IF(AND(OR(D18="retain",D18=""),E18="statistical_results"),"","not_applicable")</x:f>
        <x:v>not_applicable</x:v>
      </x:c>
      <x:c r="J18" s="13" t="str">
        <x:f>IF(AND(OR(D18="retain",D18=""),E18="statistical_results"),"","not_applicable")</x:f>
        <x:v>not_applicable</x:v>
      </x:c>
      <x:c r="K18" s="7" t="str">
        <x:f>IF(AND(OR(D18="retain",D18=""),OR(E18="report_internal_inconsistency",E18="plan_material")),"","not_applicable")</x:f>
      </x:c>
      <x:c r="L18" s="13" t="str">
        <x:f>IF(AND(OR(D18="retain",D18=""),E18="protocol_report"),"","not_applicable")</x:f>
        <x:v>not_applicable</x:v>
      </x:c>
      <x:c r="M18" s="6" t="str">
        <x:f>IF(Setup!$B$6="primary","",IFERROR(IF(INDEX('Primary_snapshot'!$L$2:$L$120,MATCH(A18,'Primary_snapshot'!$A$2:$A$120,0))="","",INDEX('Primary_snapshot'!$L$2:$L$120,MATCH(A18,'Primary_snapshot'!$A$2:$A$120,0))),"SNAPSHOT MISSING"))</x:f>
      </x:c>
      <x:c r="N18" s="7" t="str"/>
      <x:c r="O18" s="7" t="str"/>
      <x:c r="P18" s="7" t="str"/>
      <x:c r="Q18" s="7" t="str"/>
      <x:c r="R18" s="13" t="str"/>
    </x:row>
    <x:row r="19" ht="92" customHeight="1">
      <x:c r="A19" s="3" t="str">
        <x:v>2018::jama.2018.14282::C018</x:v>
      </x:c>
      <x:c r="B19" s="3" t="str">
        <x:v>Arm-attributed support-needs percentages use the overall-population denominator</x:v>
      </x:c>
      <x:c r="C19" s="3" t="str">
        <x:v>DOC-001 post hoc outcomes — PDF p. 6</x:v>
      </x:c>
      <x:c r="D19" s="7" t="str"/>
      <x:c r="E19" s="7" t="str">
        <x:v>statistical_results</x:v>
      </x:c>
      <x:c r="F19" s="7" t="str">
        <x:v>no</x:v>
      </x:c>
      <x:c r="G19" s="3" t="str">
        <x:f>IFERROR(IF(NOT(OR(Setup!$B$6="primary",Setup!$B$6="checker")),"CHECK STAGE",IF(OR(LEN(TRIM(Setup!$B$2))=0,Setup!$B$2&lt;&gt;TRIM(Setup!$B$2),AND(Setup!$B$6="checker",OR(LEN(TRIM(Setup!$B$4))=0,Setup!$B$4&lt;&gt;TRIM(Setup!$B$4),LOWER(TRIM(Setup!$B$4))=LOWER(TRIM(Setup!$B$2))))),"CHECK REVIEWER IDs",IF(OR(COUNTIF($A$2:$A$29,A19)&lt;&gt;1,COUNTIF(Decisions!$C$2:$C$120,A19)&lt;&gt;1),"CHECK KEY",IF(OR(AND(NOT(AND(D19="retain",E19="statistical_results")),H19&lt;&gt;"",H19&lt;&gt;"not_applicable"),AND(NOT(AND(D19="retain",E19="statistical_results")),I19&lt;&gt;"",I19&lt;&gt;"not_applicable"),AND(NOT(AND(D19="retain",E19="statistical_results")),J19&lt;&gt;"",J19&lt;&gt;"not_applicable"),AND(NOT(AND(D19="retain",OR(E19="report_internal_inconsistency",E19="plan_material"))),K19&lt;&gt;"",K19&lt;&gt;"not_applicable"),AND(NOT(AND(D19="retain",E19="protocol_report")),L19&lt;&gt;"",L19&lt;&gt;"not_applicable")),"CLEAR INACTIVE VALUES",IF(OR(NOT(OR(D19="retain",D19="exclude",D19="discuss")),NOT(OR(E19="statistical_results",E19="report_internal_inconsistency",E19="plan_material",E19="protocol_report")),AND(AND(D19="retain",E19="statistical_results"),NOT(OR(H19="confirmed_issue",H19="probable_issue",H19="not_issue",H19="indeterminate"))),AND(AND(D19="retain",E19="statistical_results"),NOT(OR(I19="substantive",I19="minor_presentation",I19="indeterminate"))),AND(AND(D19="retain",E19="statistical_results"),J19&lt;&gt;"",NOT(OR(J19="direct",J19="possible",J19="unlikely",J19="unknown"))),AND(AND(D19="retain",OR(E19="report_internal_inconsistency",E19="plan_material")),NOT(OR(K19="substantive_inconsistency",K19="minor_presentation",K19="non_inconsistency",K19="indeterminate"))),AND(AND(D19="retain",E19="protocol_report"),L19&lt;&gt;"",NOT(OR(L19="substantive_difference",L19="minor_presentation",L19="version_timing",L19="non_inconsistency",L19="indeterminate")))),"CHECK FIELDS",IF(Setup!$B$6="primary",IF(OR(N19&lt;&gt;"",O19&lt;&gt;"",P19&lt;&gt;"",Q19&lt;&gt;""),"CLEAR CHECKER FIELDS",IF(OR(Setup!$B$4&lt;&gt;"",Setup!$B$5&lt;&gt;""),"CLEAR CHECKER ID",IF(F19&lt;&gt;"primary_done","PRIMARY DRAFT","PRIMARY READY"))),IF(OR(COUNTIF(Primary_snapshot!$A$2:$A$120,A19)&lt;&gt;1,INDEX('Primary_snapshot'!$J$2:$J$120,MATCH(A19,'Primary_snapshot'!$A$2:$A$120,0))&lt;&gt;"primary_done",INDEX('Primary_snapshot'!$K$2:$K$120,MATCH(A19,'Primary_snapshot'!$A$2:$A$120,0))&lt;&gt;Setup!$B$2,INDEX('Primary_snapshot'!$B$2:$B$120,MATCH(A19,'Primary_snapshot'!$A$2:$A$120,0))="NOT FROZEN",INDEX('Primary_snapshot'!$C$2:$C$120,MATCH(A19,'Primary_snapshot'!$A$2:$A$120,0))="NOT FROZEN",INDEX('Primary_snapshot'!$D$2:$D$120,MATCH(A19,'Primary_snapshot'!$A$2:$A$120,0))="NOT FROZEN",INDEX('Primary_snapshot'!$E$2:$E$120,MATCH(A19,'Primary_snapshot'!$A$2:$A$120,0))="NOT FROZEN",INDEX('Primary_snapshot'!$F$2:$F$120,MATCH(A19,'Primary_snapshot'!$A$2:$A$120,0))="NOT FROZEN",INDEX('Primary_snapshot'!$G$2:$G$120,MATCH(A19,'Primary_snapshot'!$A$2:$A$120,0))="NOT FROZEN",INDEX('Primary_snapshot'!$H$2:$H$120,MATCH(A19,'Primary_snapshot'!$A$2:$A$120,0))="NOT FROZEN",INDEX('Primary_snapshot'!$I$2:$I$120,MATCH(A19,'Primary_snapshot'!$A$2:$A$120,0))="NOT FROZEN",INDEX('Primary_snapshot'!$J$2:$J$120,MATCH(A19,'Primary_snapshot'!$A$2:$A$120,0))="NOT FROZEN",INDEX('Primary_snapshot'!$K$2:$K$120,MATCH(A19,'Primary_snapshot'!$A$2:$A$120,0))="NOT FROZEN",INDEX('Primary_snapshot'!$L$2:$L$120,MATCH(A19,'Primary_snapshot'!$A$2:$A$120,0))="NOT FROZEN"),"FREEZE SNAPSHOT",IF(NOT(OR(N19="agree",N19="agree_clarification",N19="disagree",N19="unable")),"CHECKER RESULT NEEDED",IF(AND(N19&lt;&gt;"agree",LEN(TRIM(O19))=0),"COMMENT NEEDED",IF(AND(N19="agree",NOT(AND(IF(D19="","",D19)=IF(INDEX('Primary_snapshot'!$B$2:$B$120,MATCH(A19,'Primary_snapshot'!$A$2:$A$120,0))="","",INDEX('Primary_snapshot'!$B$2:$B$120,MATCH(A19,'Primary_snapshot'!$A$2:$A$120,0))),IF(E19="","",E19)=IF(INDEX('Primary_snapshot'!$C$2:$C$120,MATCH(A19,'Primary_snapshot'!$A$2:$A$120,0))="","",INDEX('Primary_snapshot'!$C$2:$C$120,MATCH(A19,'Primary_snapshot'!$A$2:$A$120,0))),IF(AND(D19="retain",E19="statistical_results"),IF(H19="","",H19),"not_applicable")=IF(INDEX('Primary_snapshot'!$D$2:$D$120,MATCH(A19,'Primary_snapshot'!$A$2:$A$120,0))="","",INDEX('Primary_snapshot'!$D$2:$D$120,MATCH(A19,'Primary_snapshot'!$A$2:$A$120,0))),IF(AND(D19="retain",E19="statistical_results"),IF(I19="","",I19),"not_applicable")=IF(INDEX('Primary_snapshot'!$E$2:$E$120,MATCH(A19,'Primary_snapshot'!$A$2:$A$120,0))="","",INDEX('Primary_snapshot'!$E$2:$E$120,MATCH(A19,'Primary_snapshot'!$A$2:$A$120,0))),IF(AND(D19="retain",E19="statistical_results"),IF(J19="","",J19),"not_applicable")=IF(INDEX('Primary_snapshot'!$F$2:$F$120,MATCH(A19,'Primary_snapshot'!$A$2:$A$120,0))="","",INDEX('Primary_snapshot'!$F$2:$F$120,MATCH(A19,'Primary_snapshot'!$A$2:$A$120,0))),IF(AND(D19="retain",OR(E19="report_internal_inconsistency",E19="plan_material")),IF(K19="","",K19),"not_applicable")=IF(INDEX('Primary_snapshot'!$G$2:$G$120,MATCH(A19,'Primary_snapshot'!$A$2:$A$120,0))="","",INDEX('Primary_snapshot'!$G$2:$G$120,MATCH(A19,'Primary_snapshot'!$A$2:$A$120,0))),IF(AND(D19="retain",E19="protocol_report"),IF(L19="","",L19),"not_applicable")=IF(INDEX('Primary_snapshot'!$H$2:$H$120,MATCH(A19,'Primary_snapshot'!$A$2:$A$120,0))="","",INDEX('Primary_snapshot'!$H$2:$H$120,MATCH(A19,'Primary_snapshot'!$A$2:$A$120,0))),IF(R19="","",R19)=IF(INDEX('Primary_snapshot'!$I$2:$I$120,MATCH(A19,'Primary_snapshot'!$A$2:$A$120,0))="","",INDEX('Primary_snapshot'!$I$2:$I$120,MATCH(A19,'Primary_snapshot'!$A$2:$A$120,0)))))),"AGREE BUT CHANGED",IF(AND(P19&lt;&gt;"",NOT(OR(P19="pending",P19="resolved"))),"CHECK RESOLUTION",IF(OR(AND(OR(D19="discuss",INDEX('Primary_snapshot'!$B$2:$B$120,MATCH(A19,'Primary_snapshot'!$A$2:$A$120,0))="discuss",N19="disagree",N19="unable"),P19&lt;&gt;"resolved"),D19="discuss"),"DISCUSS",IF(AND(P19="resolved",LEN(TRIM(Q19))=0),"RESOLUTION NOTE NEEDED",IF(F19&lt;&gt;"checker_done","CHECKER DRAFT","FINAL READY")))))))))))))),"CHECK KEY / SNAPSHOT")</x:f>
        <x:v>CHECK REVIEWER IDs</x:v>
      </x:c>
      <x:c r="H19" s="7" t="str">
        <x:f>IF(AND(OR(D19="retain",D19=""),E19="statistical_results"),"","not_applicable")</x:f>
      </x:c>
      <x:c r="I19" s="7" t="str">
        <x:f>IF(AND(OR(D19="retain",D19=""),E19="statistical_results"),"","not_applicable")</x:f>
      </x:c>
      <x:c r="J19" s="13" t="str">
        <x:f>IF(AND(OR(D19="retain",D19=""),E19="statistical_results"),"","not_applicable")</x:f>
      </x:c>
      <x:c r="K19" s="7" t="str">
        <x:f>IF(AND(OR(D19="retain",D19=""),OR(E19="report_internal_inconsistency",E19="plan_material")),"","not_applicable")</x:f>
        <x:v>not_applicable</x:v>
      </x:c>
      <x:c r="L19" s="13" t="str">
        <x:f>IF(AND(OR(D19="retain",D19=""),E19="protocol_report"),"","not_applicable")</x:f>
        <x:v>not_applicable</x:v>
      </x:c>
      <x:c r="M19" s="3" t="str">
        <x:f>IF(Setup!$B$6="primary","",IFERROR(IF(INDEX('Primary_snapshot'!$L$2:$L$120,MATCH(A19,'Primary_snapshot'!$A$2:$A$120,0))="","",INDEX('Primary_snapshot'!$L$2:$L$120,MATCH(A19,'Primary_snapshot'!$A$2:$A$120,0))),"SNAPSHOT MISSING"))</x:f>
      </x:c>
      <x:c r="N19" s="7" t="str"/>
      <x:c r="O19" s="7" t="str"/>
      <x:c r="P19" s="7" t="str"/>
      <x:c r="Q19" s="7" t="str"/>
      <x:c r="R19" s="13" t="str"/>
    </x:row>
    <x:row r="20" ht="92" customHeight="1">
      <x:c r="A20" s="6" t="str">
        <x:v>2018::jama.2018.14282::C019</x:v>
      </x:c>
      <x:c r="B20" s="6" t="str">
        <x:v>eTable high-flow invasive-MV percentage does not reconcile</x:v>
      </x:c>
      <x:c r="C20" s="6" t="str">
        <x:v>DOC-003 eTable — PDF p. 2</x:v>
      </x:c>
      <x:c r="D20" s="7" t="str"/>
      <x:c r="E20" s="7" t="str">
        <x:v>statistical_results</x:v>
      </x:c>
      <x:c r="F20" s="7" t="str">
        <x:v>no</x:v>
      </x:c>
      <x:c r="G20" s="6" t="str">
        <x:f>IFERROR(IF(NOT(OR(Setup!$B$6="primary",Setup!$B$6="checker")),"CHECK STAGE",IF(OR(LEN(TRIM(Setup!$B$2))=0,Setup!$B$2&lt;&gt;TRIM(Setup!$B$2),AND(Setup!$B$6="checker",OR(LEN(TRIM(Setup!$B$4))=0,Setup!$B$4&lt;&gt;TRIM(Setup!$B$4),LOWER(TRIM(Setup!$B$4))=LOWER(TRIM(Setup!$B$2))))),"CHECK REVIEWER IDs",IF(OR(COUNTIF($A$2:$A$29,A20)&lt;&gt;1,COUNTIF(Decisions!$C$2:$C$120,A20)&lt;&gt;1),"CHECK KEY",IF(OR(AND(NOT(AND(D20="retain",E20="statistical_results")),H20&lt;&gt;"",H20&lt;&gt;"not_applicable"),AND(NOT(AND(D20="retain",E20="statistical_results")),I20&lt;&gt;"",I20&lt;&gt;"not_applicable"),AND(NOT(AND(D20="retain",E20="statistical_results")),J20&lt;&gt;"",J20&lt;&gt;"not_applicable"),AND(NOT(AND(D20="retain",OR(E20="report_internal_inconsistency",E20="plan_material"))),K20&lt;&gt;"",K20&lt;&gt;"not_applicable"),AND(NOT(AND(D20="retain",E20="protocol_report")),L20&lt;&gt;"",L20&lt;&gt;"not_applicable")),"CLEAR INACTIVE VALUES",IF(OR(NOT(OR(D20="retain",D20="exclude",D20="discuss")),NOT(OR(E20="statistical_results",E20="report_internal_inconsistency",E20="plan_material",E20="protocol_report")),AND(AND(D20="retain",E20="statistical_results"),NOT(OR(H20="confirmed_issue",H20="probable_issue",H20="not_issue",H20="indeterminate"))),AND(AND(D20="retain",E20="statistical_results"),NOT(OR(I20="substantive",I20="minor_presentation",I20="indeterminate"))),AND(AND(D20="retain",E20="statistical_results"),J20&lt;&gt;"",NOT(OR(J20="direct",J20="possible",J20="unlikely",J20="unknown"))),AND(AND(D20="retain",OR(E20="report_internal_inconsistency",E20="plan_material")),NOT(OR(K20="substantive_inconsistency",K20="minor_presentation",K20="non_inconsistency",K20="indeterminate"))),AND(AND(D20="retain",E20="protocol_report"),L20&lt;&gt;"",NOT(OR(L20="substantive_difference",L20="minor_presentation",L20="version_timing",L20="non_inconsistency",L20="indeterminate")))),"CHECK FIELDS",IF(Setup!$B$6="primary",IF(OR(N20&lt;&gt;"",O20&lt;&gt;"",P20&lt;&gt;"",Q20&lt;&gt;""),"CLEAR CHECKER FIELDS",IF(OR(Setup!$B$4&lt;&gt;"",Setup!$B$5&lt;&gt;""),"CLEAR CHECKER ID",IF(F20&lt;&gt;"primary_done","PRIMARY DRAFT","PRIMARY READY"))),IF(OR(COUNTIF(Primary_snapshot!$A$2:$A$120,A20)&lt;&gt;1,INDEX('Primary_snapshot'!$J$2:$J$120,MATCH(A20,'Primary_snapshot'!$A$2:$A$120,0))&lt;&gt;"primary_done",INDEX('Primary_snapshot'!$K$2:$K$120,MATCH(A20,'Primary_snapshot'!$A$2:$A$120,0))&lt;&gt;Setup!$B$2,INDEX('Primary_snapshot'!$B$2:$B$120,MATCH(A20,'Primary_snapshot'!$A$2:$A$120,0))="NOT FROZEN",INDEX('Primary_snapshot'!$C$2:$C$120,MATCH(A20,'Primary_snapshot'!$A$2:$A$120,0))="NOT FROZEN",INDEX('Primary_snapshot'!$D$2:$D$120,MATCH(A20,'Primary_snapshot'!$A$2:$A$120,0))="NOT FROZEN",INDEX('Primary_snapshot'!$E$2:$E$120,MATCH(A20,'Primary_snapshot'!$A$2:$A$120,0))="NOT FROZEN",INDEX('Primary_snapshot'!$F$2:$F$120,MATCH(A20,'Primary_snapshot'!$A$2:$A$120,0))="NOT FROZEN",INDEX('Primary_snapshot'!$G$2:$G$120,MATCH(A20,'Primary_snapshot'!$A$2:$A$120,0))="NOT FROZEN",INDEX('Primary_snapshot'!$H$2:$H$120,MATCH(A20,'Primary_snapshot'!$A$2:$A$120,0))="NOT FROZEN",INDEX('Primary_snapshot'!$I$2:$I$120,MATCH(A20,'Primary_snapshot'!$A$2:$A$120,0))="NOT FROZEN",INDEX('Primary_snapshot'!$J$2:$J$120,MATCH(A20,'Primary_snapshot'!$A$2:$A$120,0))="NOT FROZEN",INDEX('Primary_snapshot'!$K$2:$K$120,MATCH(A20,'Primary_snapshot'!$A$2:$A$120,0))="NOT FROZEN",INDEX('Primary_snapshot'!$L$2:$L$120,MATCH(A20,'Primary_snapshot'!$A$2:$A$120,0))="NOT FROZEN"),"FREEZE SNAPSHOT",IF(NOT(OR(N20="agree",N20="agree_clarification",N20="disagree",N20="unable")),"CHECKER RESULT NEEDED",IF(AND(N20&lt;&gt;"agree",LEN(TRIM(O20))=0),"COMMENT NEEDED",IF(AND(N20="agree",NOT(AND(IF(D20="","",D20)=IF(INDEX('Primary_snapshot'!$B$2:$B$120,MATCH(A20,'Primary_snapshot'!$A$2:$A$120,0))="","",INDEX('Primary_snapshot'!$B$2:$B$120,MATCH(A20,'Primary_snapshot'!$A$2:$A$120,0))),IF(E20="","",E20)=IF(INDEX('Primary_snapshot'!$C$2:$C$120,MATCH(A20,'Primary_snapshot'!$A$2:$A$120,0))="","",INDEX('Primary_snapshot'!$C$2:$C$120,MATCH(A20,'Primary_snapshot'!$A$2:$A$120,0))),IF(AND(D20="retain",E20="statistical_results"),IF(H20="","",H20),"not_applicable")=IF(INDEX('Primary_snapshot'!$D$2:$D$120,MATCH(A20,'Primary_snapshot'!$A$2:$A$120,0))="","",INDEX('Primary_snapshot'!$D$2:$D$120,MATCH(A20,'Primary_snapshot'!$A$2:$A$120,0))),IF(AND(D20="retain",E20="statistical_results"),IF(I20="","",I20),"not_applicable")=IF(INDEX('Primary_snapshot'!$E$2:$E$120,MATCH(A20,'Primary_snapshot'!$A$2:$A$120,0))="","",INDEX('Primary_snapshot'!$E$2:$E$120,MATCH(A20,'Primary_snapshot'!$A$2:$A$120,0))),IF(AND(D20="retain",E20="statistical_results"),IF(J20="","",J20),"not_applicable")=IF(INDEX('Primary_snapshot'!$F$2:$F$120,MATCH(A20,'Primary_snapshot'!$A$2:$A$120,0))="","",INDEX('Primary_snapshot'!$F$2:$F$120,MATCH(A20,'Primary_snapshot'!$A$2:$A$120,0))),IF(AND(D20="retain",OR(E20="report_internal_inconsistency",E20="plan_material")),IF(K20="","",K20),"not_applicable")=IF(INDEX('Primary_snapshot'!$G$2:$G$120,MATCH(A20,'Primary_snapshot'!$A$2:$A$120,0))="","",INDEX('Primary_snapshot'!$G$2:$G$120,MATCH(A20,'Primary_snapshot'!$A$2:$A$120,0))),IF(AND(D20="retain",E20="protocol_report"),IF(L20="","",L20),"not_applicable")=IF(INDEX('Primary_snapshot'!$H$2:$H$120,MATCH(A20,'Primary_snapshot'!$A$2:$A$120,0))="","",INDEX('Primary_snapshot'!$H$2:$H$120,MATCH(A20,'Primary_snapshot'!$A$2:$A$120,0))),IF(R20="","",R20)=IF(INDEX('Primary_snapshot'!$I$2:$I$120,MATCH(A20,'Primary_snapshot'!$A$2:$A$120,0))="","",INDEX('Primary_snapshot'!$I$2:$I$120,MATCH(A20,'Primary_snapshot'!$A$2:$A$120,0)))))),"AGREE BUT CHANGED",IF(AND(P20&lt;&gt;"",NOT(OR(P20="pending",P20="resolved"))),"CHECK RESOLUTION",IF(OR(AND(OR(D20="discuss",INDEX('Primary_snapshot'!$B$2:$B$120,MATCH(A20,'Primary_snapshot'!$A$2:$A$120,0))="discuss",N20="disagree",N20="unable"),P20&lt;&gt;"resolved"),D20="discuss"),"DISCUSS",IF(AND(P20="resolved",LEN(TRIM(Q20))=0),"RESOLUTION NOTE NEEDED",IF(F20&lt;&gt;"checker_done","CHECKER DRAFT","FINAL READY")))))))))))))),"CHECK KEY / SNAPSHOT")</x:f>
        <x:v>CHECK REVIEWER IDs</x:v>
      </x:c>
      <x:c r="H20" s="7" t="str">
        <x:f>IF(AND(OR(D20="retain",D20=""),E20="statistical_results"),"","not_applicable")</x:f>
      </x:c>
      <x:c r="I20" s="7" t="str">
        <x:f>IF(AND(OR(D20="retain",D20=""),E20="statistical_results"),"","not_applicable")</x:f>
      </x:c>
      <x:c r="J20" s="13" t="str">
        <x:f>IF(AND(OR(D20="retain",D20=""),E20="statistical_results"),"","not_applicable")</x:f>
      </x:c>
      <x:c r="K20" s="7" t="str">
        <x:f>IF(AND(OR(D20="retain",D20=""),OR(E20="report_internal_inconsistency",E20="plan_material")),"","not_applicable")</x:f>
        <x:v>not_applicable</x:v>
      </x:c>
      <x:c r="L20" s="13" t="str">
        <x:f>IF(AND(OR(D20="retain",D20=""),E20="protocol_report"),"","not_applicable")</x:f>
        <x:v>not_applicable</x:v>
      </x:c>
      <x:c r="M20" s="6" t="str">
        <x:f>IF(Setup!$B$6="primary","",IFERROR(IF(INDEX('Primary_snapshot'!$L$2:$L$120,MATCH(A20,'Primary_snapshot'!$A$2:$A$120,0))="","",INDEX('Primary_snapshot'!$L$2:$L$120,MATCH(A20,'Primary_snapshot'!$A$2:$A$120,0))),"SNAPSHOT MISSING"))</x:f>
      </x:c>
      <x:c r="N20" s="7" t="str"/>
      <x:c r="O20" s="7" t="str"/>
      <x:c r="P20" s="7" t="str"/>
      <x:c r="Q20" s="7" t="str"/>
      <x:c r="R20" s="13" t="str"/>
    </x:row>
    <x:row r="21" ht="92" customHeight="1">
      <x:c r="A21" s="3" t="str">
        <x:v>2018::jama.2018.14282::C020</x:v>
      </x:c>
      <x:c r="B21" s="3" t="str">
        <x:v>eTable standard-arm invasive-MV percentage does not reconcile</x:v>
      </x:c>
      <x:c r="C21" s="3" t="str">
        <x:v>DOC-003 eTable — PDF p. 2</x:v>
      </x:c>
      <x:c r="D21" s="7" t="str"/>
      <x:c r="E21" s="7" t="str">
        <x:v>statistical_results</x:v>
      </x:c>
      <x:c r="F21" s="7" t="str">
        <x:v>no</x:v>
      </x:c>
      <x:c r="G21" s="3" t="str">
        <x:f>IFERROR(IF(NOT(OR(Setup!$B$6="primary",Setup!$B$6="checker")),"CHECK STAGE",IF(OR(LEN(TRIM(Setup!$B$2))=0,Setup!$B$2&lt;&gt;TRIM(Setup!$B$2),AND(Setup!$B$6="checker",OR(LEN(TRIM(Setup!$B$4))=0,Setup!$B$4&lt;&gt;TRIM(Setup!$B$4),LOWER(TRIM(Setup!$B$4))=LOWER(TRIM(Setup!$B$2))))),"CHECK REVIEWER IDs",IF(OR(COUNTIF($A$2:$A$29,A21)&lt;&gt;1,COUNTIF(Decisions!$C$2:$C$120,A21)&lt;&gt;1),"CHECK KEY",IF(OR(AND(NOT(AND(D21="retain",E21="statistical_results")),H21&lt;&gt;"",H21&lt;&gt;"not_applicable"),AND(NOT(AND(D21="retain",E21="statistical_results")),I21&lt;&gt;"",I21&lt;&gt;"not_applicable"),AND(NOT(AND(D21="retain",E21="statistical_results")),J21&lt;&gt;"",J21&lt;&gt;"not_applicable"),AND(NOT(AND(D21="retain",OR(E21="report_internal_inconsistency",E21="plan_material"))),K21&lt;&gt;"",K21&lt;&gt;"not_applicable"),AND(NOT(AND(D21="retain",E21="protocol_report")),L21&lt;&gt;"",L21&lt;&gt;"not_applicable")),"CLEAR INACTIVE VALUES",IF(OR(NOT(OR(D21="retain",D21="exclude",D21="discuss")),NOT(OR(E21="statistical_results",E21="report_internal_inconsistency",E21="plan_material",E21="protocol_report")),AND(AND(D21="retain",E21="statistical_results"),NOT(OR(H21="confirmed_issue",H21="probable_issue",H21="not_issue",H21="indeterminate"))),AND(AND(D21="retain",E21="statistical_results"),NOT(OR(I21="substantive",I21="minor_presentation",I21="indeterminate"))),AND(AND(D21="retain",E21="statistical_results"),J21&lt;&gt;"",NOT(OR(J21="direct",J21="possible",J21="unlikely",J21="unknown"))),AND(AND(D21="retain",OR(E21="report_internal_inconsistency",E21="plan_material")),NOT(OR(K21="substantive_inconsistency",K21="minor_presentation",K21="non_inconsistency",K21="indeterminate"))),AND(AND(D21="retain",E21="protocol_report"),L21&lt;&gt;"",NOT(OR(L21="substantive_difference",L21="minor_presentation",L21="version_timing",L21="non_inconsistency",L21="indeterminate")))),"CHECK FIELDS",IF(Setup!$B$6="primary",IF(OR(N21&lt;&gt;"",O21&lt;&gt;"",P21&lt;&gt;"",Q21&lt;&gt;""),"CLEAR CHECKER FIELDS",IF(OR(Setup!$B$4&lt;&gt;"",Setup!$B$5&lt;&gt;""),"CLEAR CHECKER ID",IF(F21&lt;&gt;"primary_done","PRIMARY DRAFT","PRIMARY READY"))),IF(OR(COUNTIF(Primary_snapshot!$A$2:$A$120,A21)&lt;&gt;1,INDEX('Primary_snapshot'!$J$2:$J$120,MATCH(A21,'Primary_snapshot'!$A$2:$A$120,0))&lt;&gt;"primary_done",INDEX('Primary_snapshot'!$K$2:$K$120,MATCH(A21,'Primary_snapshot'!$A$2:$A$120,0))&lt;&gt;Setup!$B$2,INDEX('Primary_snapshot'!$B$2:$B$120,MATCH(A21,'Primary_snapshot'!$A$2:$A$120,0))="NOT FROZEN",INDEX('Primary_snapshot'!$C$2:$C$120,MATCH(A21,'Primary_snapshot'!$A$2:$A$120,0))="NOT FROZEN",INDEX('Primary_snapshot'!$D$2:$D$120,MATCH(A21,'Primary_snapshot'!$A$2:$A$120,0))="NOT FROZEN",INDEX('Primary_snapshot'!$E$2:$E$120,MATCH(A21,'Primary_snapshot'!$A$2:$A$120,0))="NOT FROZEN",INDEX('Primary_snapshot'!$F$2:$F$120,MATCH(A21,'Primary_snapshot'!$A$2:$A$120,0))="NOT FROZEN",INDEX('Primary_snapshot'!$G$2:$G$120,MATCH(A21,'Primary_snapshot'!$A$2:$A$120,0))="NOT FROZEN",INDEX('Primary_snapshot'!$H$2:$H$120,MATCH(A21,'Primary_snapshot'!$A$2:$A$120,0))="NOT FROZEN",INDEX('Primary_snapshot'!$I$2:$I$120,MATCH(A21,'Primary_snapshot'!$A$2:$A$120,0))="NOT FROZEN",INDEX('Primary_snapshot'!$J$2:$J$120,MATCH(A21,'Primary_snapshot'!$A$2:$A$120,0))="NOT FROZEN",INDEX('Primary_snapshot'!$K$2:$K$120,MATCH(A21,'Primary_snapshot'!$A$2:$A$120,0))="NOT FROZEN",INDEX('Primary_snapshot'!$L$2:$L$120,MATCH(A21,'Primary_snapshot'!$A$2:$A$120,0))="NOT FROZEN"),"FREEZE SNAPSHOT",IF(NOT(OR(N21="agree",N21="agree_clarification",N21="disagree",N21="unable")),"CHECKER RESULT NEEDED",IF(AND(N21&lt;&gt;"agree",LEN(TRIM(O21))=0),"COMMENT NEEDED",IF(AND(N21="agree",NOT(AND(IF(D21="","",D21)=IF(INDEX('Primary_snapshot'!$B$2:$B$120,MATCH(A21,'Primary_snapshot'!$A$2:$A$120,0))="","",INDEX('Primary_snapshot'!$B$2:$B$120,MATCH(A21,'Primary_snapshot'!$A$2:$A$120,0))),IF(E21="","",E21)=IF(INDEX('Primary_snapshot'!$C$2:$C$120,MATCH(A21,'Primary_snapshot'!$A$2:$A$120,0))="","",INDEX('Primary_snapshot'!$C$2:$C$120,MATCH(A21,'Primary_snapshot'!$A$2:$A$120,0))),IF(AND(D21="retain",E21="statistical_results"),IF(H21="","",H21),"not_applicable")=IF(INDEX('Primary_snapshot'!$D$2:$D$120,MATCH(A21,'Primary_snapshot'!$A$2:$A$120,0))="","",INDEX('Primary_snapshot'!$D$2:$D$120,MATCH(A21,'Primary_snapshot'!$A$2:$A$120,0))),IF(AND(D21="retain",E21="statistical_results"),IF(I21="","",I21),"not_applicable")=IF(INDEX('Primary_snapshot'!$E$2:$E$120,MATCH(A21,'Primary_snapshot'!$A$2:$A$120,0))="","",INDEX('Primary_snapshot'!$E$2:$E$120,MATCH(A21,'Primary_snapshot'!$A$2:$A$120,0))),IF(AND(D21="retain",E21="statistical_results"),IF(J21="","",J21),"not_applicable")=IF(INDEX('Primary_snapshot'!$F$2:$F$120,MATCH(A21,'Primary_snapshot'!$A$2:$A$120,0))="","",INDEX('Primary_snapshot'!$F$2:$F$120,MATCH(A21,'Primary_snapshot'!$A$2:$A$120,0))),IF(AND(D21="retain",OR(E21="report_internal_inconsistency",E21="plan_material")),IF(K21="","",K21),"not_applicable")=IF(INDEX('Primary_snapshot'!$G$2:$G$120,MATCH(A21,'Primary_snapshot'!$A$2:$A$120,0))="","",INDEX('Primary_snapshot'!$G$2:$G$120,MATCH(A21,'Primary_snapshot'!$A$2:$A$120,0))),IF(AND(D21="retain",E21="protocol_report"),IF(L21="","",L21),"not_applicable")=IF(INDEX('Primary_snapshot'!$H$2:$H$120,MATCH(A21,'Primary_snapshot'!$A$2:$A$120,0))="","",INDEX('Primary_snapshot'!$H$2:$H$120,MATCH(A21,'Primary_snapshot'!$A$2:$A$120,0))),IF(R21="","",R21)=IF(INDEX('Primary_snapshot'!$I$2:$I$120,MATCH(A21,'Primary_snapshot'!$A$2:$A$120,0))="","",INDEX('Primary_snapshot'!$I$2:$I$120,MATCH(A21,'Primary_snapshot'!$A$2:$A$120,0)))))),"AGREE BUT CHANGED",IF(AND(P21&lt;&gt;"",NOT(OR(P21="pending",P21="resolved"))),"CHECK RESOLUTION",IF(OR(AND(OR(D21="discuss",INDEX('Primary_snapshot'!$B$2:$B$120,MATCH(A21,'Primary_snapshot'!$A$2:$A$120,0))="discuss",N21="disagree",N21="unable"),P21&lt;&gt;"resolved"),D21="discuss"),"DISCUSS",IF(AND(P21="resolved",LEN(TRIM(Q21))=0),"RESOLUTION NOTE NEEDED",IF(F21&lt;&gt;"checker_done","CHECKER DRAFT","FINAL READY")))))))))))))),"CHECK KEY / SNAPSHOT")</x:f>
        <x:v>CHECK REVIEWER IDs</x:v>
      </x:c>
      <x:c r="H21" s="7" t="str">
        <x:f>IF(AND(OR(D21="retain",D21=""),E21="statistical_results"),"","not_applicable")</x:f>
      </x:c>
      <x:c r="I21" s="7" t="str">
        <x:f>IF(AND(OR(D21="retain",D21=""),E21="statistical_results"),"","not_applicable")</x:f>
      </x:c>
      <x:c r="J21" s="13" t="str">
        <x:f>IF(AND(OR(D21="retain",D21=""),E21="statistical_results"),"","not_applicable")</x:f>
      </x:c>
      <x:c r="K21" s="7" t="str">
        <x:f>IF(AND(OR(D21="retain",D21=""),OR(E21="report_internal_inconsistency",E21="plan_material")),"","not_applicable")</x:f>
        <x:v>not_applicable</x:v>
      </x:c>
      <x:c r="L21" s="13" t="str">
        <x:f>IF(AND(OR(D21="retain",D21=""),E21="protocol_report"),"","not_applicable")</x:f>
        <x:v>not_applicable</x:v>
      </x:c>
      <x:c r="M21" s="3" t="str">
        <x:f>IF(Setup!$B$6="primary","",IFERROR(IF(INDEX('Primary_snapshot'!$L$2:$L$120,MATCH(A21,'Primary_snapshot'!$A$2:$A$120,0))="","",INDEX('Primary_snapshot'!$L$2:$L$120,MATCH(A21,'Primary_snapshot'!$A$2:$A$120,0))),"SNAPSHOT MISSING"))</x:f>
      </x:c>
      <x:c r="N21" s="7" t="str"/>
      <x:c r="O21" s="7" t="str"/>
      <x:c r="P21" s="7" t="str"/>
      <x:c r="Q21" s="7" t="str"/>
      <x:c r="R21" s="13" t="str"/>
    </x:row>
    <x:row r="22" ht="92" customHeight="1">
      <x:c r="A22" s="6" t="str">
        <x:v>2018::jama.2018.14282::C021</x:v>
      </x:c>
      <x:c r="B22" s="6" t="str">
        <x:v>eTable standard-oxygen-only percentage does not reconcile</x:v>
      </x:c>
      <x:c r="C22" s="6" t="str">
        <x:v>DOC-003 eTable — PDF p. 2</x:v>
      </x:c>
      <x:c r="D22" s="7" t="str"/>
      <x:c r="E22" s="7" t="str">
        <x:v>statistical_results</x:v>
      </x:c>
      <x:c r="F22" s="7" t="str">
        <x:v>no</x:v>
      </x:c>
      <x:c r="G22" s="6" t="str">
        <x:f>IFERROR(IF(NOT(OR(Setup!$B$6="primary",Setup!$B$6="checker")),"CHECK STAGE",IF(OR(LEN(TRIM(Setup!$B$2))=0,Setup!$B$2&lt;&gt;TRIM(Setup!$B$2),AND(Setup!$B$6="checker",OR(LEN(TRIM(Setup!$B$4))=0,Setup!$B$4&lt;&gt;TRIM(Setup!$B$4),LOWER(TRIM(Setup!$B$4))=LOWER(TRIM(Setup!$B$2))))),"CHECK REVIEWER IDs",IF(OR(COUNTIF($A$2:$A$29,A22)&lt;&gt;1,COUNTIF(Decisions!$C$2:$C$120,A22)&lt;&gt;1),"CHECK KEY",IF(OR(AND(NOT(AND(D22="retain",E22="statistical_results")),H22&lt;&gt;"",H22&lt;&gt;"not_applicable"),AND(NOT(AND(D22="retain",E22="statistical_results")),I22&lt;&gt;"",I22&lt;&gt;"not_applicable"),AND(NOT(AND(D22="retain",E22="statistical_results")),J22&lt;&gt;"",J22&lt;&gt;"not_applicable"),AND(NOT(AND(D22="retain",OR(E22="report_internal_inconsistency",E22="plan_material"))),K22&lt;&gt;"",K22&lt;&gt;"not_applicable"),AND(NOT(AND(D22="retain",E22="protocol_report")),L22&lt;&gt;"",L22&lt;&gt;"not_applicable")),"CLEAR INACTIVE VALUES",IF(OR(NOT(OR(D22="retain",D22="exclude",D22="discuss")),NOT(OR(E22="statistical_results",E22="report_internal_inconsistency",E22="plan_material",E22="protocol_report")),AND(AND(D22="retain",E22="statistical_results"),NOT(OR(H22="confirmed_issue",H22="probable_issue",H22="not_issue",H22="indeterminate"))),AND(AND(D22="retain",E22="statistical_results"),NOT(OR(I22="substantive",I22="minor_presentation",I22="indeterminate"))),AND(AND(D22="retain",E22="statistical_results"),J22&lt;&gt;"",NOT(OR(J22="direct",J22="possible",J22="unlikely",J22="unknown"))),AND(AND(D22="retain",OR(E22="report_internal_inconsistency",E22="plan_material")),NOT(OR(K22="substantive_inconsistency",K22="minor_presentation",K22="non_inconsistency",K22="indeterminate"))),AND(AND(D22="retain",E22="protocol_report"),L22&lt;&gt;"",NOT(OR(L22="substantive_difference",L22="minor_presentation",L22="version_timing",L22="non_inconsistency",L22="indeterminate")))),"CHECK FIELDS",IF(Setup!$B$6="primary",IF(OR(N22&lt;&gt;"",O22&lt;&gt;"",P22&lt;&gt;"",Q22&lt;&gt;""),"CLEAR CHECKER FIELDS",IF(OR(Setup!$B$4&lt;&gt;"",Setup!$B$5&lt;&gt;""),"CLEAR CHECKER ID",IF(F22&lt;&gt;"primary_done","PRIMARY DRAFT","PRIMARY READY"))),IF(OR(COUNTIF(Primary_snapshot!$A$2:$A$120,A22)&lt;&gt;1,INDEX('Primary_snapshot'!$J$2:$J$120,MATCH(A22,'Primary_snapshot'!$A$2:$A$120,0))&lt;&gt;"primary_done",INDEX('Primary_snapshot'!$K$2:$K$120,MATCH(A22,'Primary_snapshot'!$A$2:$A$120,0))&lt;&gt;Setup!$B$2,INDEX('Primary_snapshot'!$B$2:$B$120,MATCH(A22,'Primary_snapshot'!$A$2:$A$120,0))="NOT FROZEN",INDEX('Primary_snapshot'!$C$2:$C$120,MATCH(A22,'Primary_snapshot'!$A$2:$A$120,0))="NOT FROZEN",INDEX('Primary_snapshot'!$D$2:$D$120,MATCH(A22,'Primary_snapshot'!$A$2:$A$120,0))="NOT FROZEN",INDEX('Primary_snapshot'!$E$2:$E$120,MATCH(A22,'Primary_snapshot'!$A$2:$A$120,0))="NOT FROZEN",INDEX('Primary_snapshot'!$F$2:$F$120,MATCH(A22,'Primary_snapshot'!$A$2:$A$120,0))="NOT FROZEN",INDEX('Primary_snapshot'!$G$2:$G$120,MATCH(A22,'Primary_snapshot'!$A$2:$A$120,0))="NOT FROZEN",INDEX('Primary_snapshot'!$H$2:$H$120,MATCH(A22,'Primary_snapshot'!$A$2:$A$120,0))="NOT FROZEN",INDEX('Primary_snapshot'!$I$2:$I$120,MATCH(A22,'Primary_snapshot'!$A$2:$A$120,0))="NOT FROZEN",INDEX('Primary_snapshot'!$J$2:$J$120,MATCH(A22,'Primary_snapshot'!$A$2:$A$120,0))="NOT FROZEN",INDEX('Primary_snapshot'!$K$2:$K$120,MATCH(A22,'Primary_snapshot'!$A$2:$A$120,0))="NOT FROZEN",INDEX('Primary_snapshot'!$L$2:$L$120,MATCH(A22,'Primary_snapshot'!$A$2:$A$120,0))="NOT FROZEN"),"FREEZE SNAPSHOT",IF(NOT(OR(N22="agree",N22="agree_clarification",N22="disagree",N22="unable")),"CHECKER RESULT NEEDED",IF(AND(N22&lt;&gt;"agree",LEN(TRIM(O22))=0),"COMMENT NEEDED",IF(AND(N22="agree",NOT(AND(IF(D22="","",D22)=IF(INDEX('Primary_snapshot'!$B$2:$B$120,MATCH(A22,'Primary_snapshot'!$A$2:$A$120,0))="","",INDEX('Primary_snapshot'!$B$2:$B$120,MATCH(A22,'Primary_snapshot'!$A$2:$A$120,0))),IF(E22="","",E22)=IF(INDEX('Primary_snapshot'!$C$2:$C$120,MATCH(A22,'Primary_snapshot'!$A$2:$A$120,0))="","",INDEX('Primary_snapshot'!$C$2:$C$120,MATCH(A22,'Primary_snapshot'!$A$2:$A$120,0))),IF(AND(D22="retain",E22="statistical_results"),IF(H22="","",H22),"not_applicable")=IF(INDEX('Primary_snapshot'!$D$2:$D$120,MATCH(A22,'Primary_snapshot'!$A$2:$A$120,0))="","",INDEX('Primary_snapshot'!$D$2:$D$120,MATCH(A22,'Primary_snapshot'!$A$2:$A$120,0))),IF(AND(D22="retain",E22="statistical_results"),IF(I22="","",I22),"not_applicable")=IF(INDEX('Primary_snapshot'!$E$2:$E$120,MATCH(A22,'Primary_snapshot'!$A$2:$A$120,0))="","",INDEX('Primary_snapshot'!$E$2:$E$120,MATCH(A22,'Primary_snapshot'!$A$2:$A$120,0))),IF(AND(D22="retain",E22="statistical_results"),IF(J22="","",J22),"not_applicable")=IF(INDEX('Primary_snapshot'!$F$2:$F$120,MATCH(A22,'Primary_snapshot'!$A$2:$A$120,0))="","",INDEX('Primary_snapshot'!$F$2:$F$120,MATCH(A22,'Primary_snapshot'!$A$2:$A$120,0))),IF(AND(D22="retain",OR(E22="report_internal_inconsistency",E22="plan_material")),IF(K22="","",K22),"not_applicable")=IF(INDEX('Primary_snapshot'!$G$2:$G$120,MATCH(A22,'Primary_snapshot'!$A$2:$A$120,0))="","",INDEX('Primary_snapshot'!$G$2:$G$120,MATCH(A22,'Primary_snapshot'!$A$2:$A$120,0))),IF(AND(D22="retain",E22="protocol_report"),IF(L22="","",L22),"not_applicable")=IF(INDEX('Primary_snapshot'!$H$2:$H$120,MATCH(A22,'Primary_snapshot'!$A$2:$A$120,0))="","",INDEX('Primary_snapshot'!$H$2:$H$120,MATCH(A22,'Primary_snapshot'!$A$2:$A$120,0))),IF(R22="","",R22)=IF(INDEX('Primary_snapshot'!$I$2:$I$120,MATCH(A22,'Primary_snapshot'!$A$2:$A$120,0))="","",INDEX('Primary_snapshot'!$I$2:$I$120,MATCH(A22,'Primary_snapshot'!$A$2:$A$120,0)))))),"AGREE BUT CHANGED",IF(AND(P22&lt;&gt;"",NOT(OR(P22="pending",P22="resolved"))),"CHECK RESOLUTION",IF(OR(AND(OR(D22="discuss",INDEX('Primary_snapshot'!$B$2:$B$120,MATCH(A22,'Primary_snapshot'!$A$2:$A$120,0))="discuss",N22="disagree",N22="unable"),P22&lt;&gt;"resolved"),D22="discuss"),"DISCUSS",IF(AND(P22="resolved",LEN(TRIM(Q22))=0),"RESOLUTION NOTE NEEDED",IF(F22&lt;&gt;"checker_done","CHECKER DRAFT","FINAL READY")))))))))))))),"CHECK KEY / SNAPSHOT")</x:f>
        <x:v>CHECK REVIEWER IDs</x:v>
      </x:c>
      <x:c r="H22" s="7" t="str">
        <x:f>IF(AND(OR(D22="retain",D22=""),E22="statistical_results"),"","not_applicable")</x:f>
      </x:c>
      <x:c r="I22" s="7" t="str">
        <x:f>IF(AND(OR(D22="retain",D22=""),E22="statistical_results"),"","not_applicable")</x:f>
      </x:c>
      <x:c r="J22" s="13" t="str">
        <x:f>IF(AND(OR(D22="retain",D22=""),E22="statistical_results"),"","not_applicable")</x:f>
      </x:c>
      <x:c r="K22" s="7" t="str">
        <x:f>IF(AND(OR(D22="retain",D22=""),OR(E22="report_internal_inconsistency",E22="plan_material")),"","not_applicable")</x:f>
        <x:v>not_applicable</x:v>
      </x:c>
      <x:c r="L22" s="13" t="str">
        <x:f>IF(AND(OR(D22="retain",D22=""),E22="protocol_report"),"","not_applicable")</x:f>
        <x:v>not_applicable</x:v>
      </x:c>
      <x:c r="M22" s="6" t="str">
        <x:f>IF(Setup!$B$6="primary","",IFERROR(IF(INDEX('Primary_snapshot'!$L$2:$L$120,MATCH(A22,'Primary_snapshot'!$A$2:$A$120,0))="","",INDEX('Primary_snapshot'!$L$2:$L$120,MATCH(A22,'Primary_snapshot'!$A$2:$A$120,0))),"SNAPSHOT MISSING"))</x:f>
      </x:c>
      <x:c r="N22" s="7" t="str"/>
      <x:c r="O22" s="7" t="str"/>
      <x:c r="P22" s="7" t="str"/>
      <x:c r="Q22" s="7" t="str"/>
      <x:c r="R22" s="13" t="str"/>
    </x:row>
    <x:row r="23" ht="92" customHeight="1">
      <x:c r="A23" s="3" t="str">
        <x:v>2018::jama.2018.14282::C022</x:v>
      </x:c>
      <x:c r="B23" s="3" t="str">
        <x:v>IMV cumulative-incidence comparison has incompatible printed test labels</x:v>
      </x:c>
      <x:c r="C23" s="3" t="str">
        <x:v>DOC-001 methods — PDF p. 4; DOC-001 results — PDF p. 6; DOC-003 eFigure 1 — PDF p. 3</x:v>
      </x:c>
      <x:c r="D23" s="7" t="str"/>
      <x:c r="E23" s="7" t="str">
        <x:v>statistical_results</x:v>
      </x:c>
      <x:c r="F23" s="7" t="str">
        <x:v>no</x:v>
      </x:c>
      <x:c r="G23" s="3" t="str">
        <x:f>IFERROR(IF(NOT(OR(Setup!$B$6="primary",Setup!$B$6="checker")),"CHECK STAGE",IF(OR(LEN(TRIM(Setup!$B$2))=0,Setup!$B$2&lt;&gt;TRIM(Setup!$B$2),AND(Setup!$B$6="checker",OR(LEN(TRIM(Setup!$B$4))=0,Setup!$B$4&lt;&gt;TRIM(Setup!$B$4),LOWER(TRIM(Setup!$B$4))=LOWER(TRIM(Setup!$B$2))))),"CHECK REVIEWER IDs",IF(OR(COUNTIF($A$2:$A$29,A23)&lt;&gt;1,COUNTIF(Decisions!$C$2:$C$120,A23)&lt;&gt;1),"CHECK KEY",IF(OR(AND(NOT(AND(D23="retain",E23="statistical_results")),H23&lt;&gt;"",H23&lt;&gt;"not_applicable"),AND(NOT(AND(D23="retain",E23="statistical_results")),I23&lt;&gt;"",I23&lt;&gt;"not_applicable"),AND(NOT(AND(D23="retain",E23="statistical_results")),J23&lt;&gt;"",J23&lt;&gt;"not_applicable"),AND(NOT(AND(D23="retain",OR(E23="report_internal_inconsistency",E23="plan_material"))),K23&lt;&gt;"",K23&lt;&gt;"not_applicable"),AND(NOT(AND(D23="retain",E23="protocol_report")),L23&lt;&gt;"",L23&lt;&gt;"not_applicable")),"CLEAR INACTIVE VALUES",IF(OR(NOT(OR(D23="retain",D23="exclude",D23="discuss")),NOT(OR(E23="statistical_results",E23="report_internal_inconsistency",E23="plan_material",E23="protocol_report")),AND(AND(D23="retain",E23="statistical_results"),NOT(OR(H23="confirmed_issue",H23="probable_issue",H23="not_issue",H23="indeterminate"))),AND(AND(D23="retain",E23="statistical_results"),NOT(OR(I23="substantive",I23="minor_presentation",I23="indeterminate"))),AND(AND(D23="retain",E23="statistical_results"),J23&lt;&gt;"",NOT(OR(J23="direct",J23="possible",J23="unlikely",J23="unknown"))),AND(AND(D23="retain",OR(E23="report_internal_inconsistency",E23="plan_material")),NOT(OR(K23="substantive_inconsistency",K23="minor_presentation",K23="non_inconsistency",K23="indeterminate"))),AND(AND(D23="retain",E23="protocol_report"),L23&lt;&gt;"",NOT(OR(L23="substantive_difference",L23="minor_presentation",L23="version_timing",L23="non_inconsistency",L23="indeterminate")))),"CHECK FIELDS",IF(Setup!$B$6="primary",IF(OR(N23&lt;&gt;"",O23&lt;&gt;"",P23&lt;&gt;"",Q23&lt;&gt;""),"CLEAR CHECKER FIELDS",IF(OR(Setup!$B$4&lt;&gt;"",Setup!$B$5&lt;&gt;""),"CLEAR CHECKER ID",IF(F23&lt;&gt;"primary_done","PRIMARY DRAFT","PRIMARY READY"))),IF(OR(COUNTIF(Primary_snapshot!$A$2:$A$120,A23)&lt;&gt;1,INDEX('Primary_snapshot'!$J$2:$J$120,MATCH(A23,'Primary_snapshot'!$A$2:$A$120,0))&lt;&gt;"primary_done",INDEX('Primary_snapshot'!$K$2:$K$120,MATCH(A23,'Primary_snapshot'!$A$2:$A$120,0))&lt;&gt;Setup!$B$2,INDEX('Primary_snapshot'!$B$2:$B$120,MATCH(A23,'Primary_snapshot'!$A$2:$A$120,0))="NOT FROZEN",INDEX('Primary_snapshot'!$C$2:$C$120,MATCH(A23,'Primary_snapshot'!$A$2:$A$120,0))="NOT FROZEN",INDEX('Primary_snapshot'!$D$2:$D$120,MATCH(A23,'Primary_snapshot'!$A$2:$A$120,0))="NOT FROZEN",INDEX('Primary_snapshot'!$E$2:$E$120,MATCH(A23,'Primary_snapshot'!$A$2:$A$120,0))="NOT FROZEN",INDEX('Primary_snapshot'!$F$2:$F$120,MATCH(A23,'Primary_snapshot'!$A$2:$A$120,0))="NOT FROZEN",INDEX('Primary_snapshot'!$G$2:$G$120,MATCH(A23,'Primary_snapshot'!$A$2:$A$120,0))="NOT FROZEN",INDEX('Primary_snapshot'!$H$2:$H$120,MATCH(A23,'Primary_snapshot'!$A$2:$A$120,0))="NOT FROZEN",INDEX('Primary_snapshot'!$I$2:$I$120,MATCH(A23,'Primary_snapshot'!$A$2:$A$120,0))="NOT FROZEN",INDEX('Primary_snapshot'!$J$2:$J$120,MATCH(A23,'Primary_snapshot'!$A$2:$A$120,0))="NOT FROZEN",INDEX('Primary_snapshot'!$K$2:$K$120,MATCH(A23,'Primary_snapshot'!$A$2:$A$120,0))="NOT FROZEN",INDEX('Primary_snapshot'!$L$2:$L$120,MATCH(A23,'Primary_snapshot'!$A$2:$A$120,0))="NOT FROZEN"),"FREEZE SNAPSHOT",IF(NOT(OR(N23="agree",N23="agree_clarification",N23="disagree",N23="unable")),"CHECKER RESULT NEEDED",IF(AND(N23&lt;&gt;"agree",LEN(TRIM(O23))=0),"COMMENT NEEDED",IF(AND(N23="agree",NOT(AND(IF(D23="","",D23)=IF(INDEX('Primary_snapshot'!$B$2:$B$120,MATCH(A23,'Primary_snapshot'!$A$2:$A$120,0))="","",INDEX('Primary_snapshot'!$B$2:$B$120,MATCH(A23,'Primary_snapshot'!$A$2:$A$120,0))),IF(E23="","",E23)=IF(INDEX('Primary_snapshot'!$C$2:$C$120,MATCH(A23,'Primary_snapshot'!$A$2:$A$120,0))="","",INDEX('Primary_snapshot'!$C$2:$C$120,MATCH(A23,'Primary_snapshot'!$A$2:$A$120,0))),IF(AND(D23="retain",E23="statistical_results"),IF(H23="","",H23),"not_applicable")=IF(INDEX('Primary_snapshot'!$D$2:$D$120,MATCH(A23,'Primary_snapshot'!$A$2:$A$120,0))="","",INDEX('Primary_snapshot'!$D$2:$D$120,MATCH(A23,'Primary_snapshot'!$A$2:$A$120,0))),IF(AND(D23="retain",E23="statistical_results"),IF(I23="","",I23),"not_applicable")=IF(INDEX('Primary_snapshot'!$E$2:$E$120,MATCH(A23,'Primary_snapshot'!$A$2:$A$120,0))="","",INDEX('Primary_snapshot'!$E$2:$E$120,MATCH(A23,'Primary_snapshot'!$A$2:$A$120,0))),IF(AND(D23="retain",E23="statistical_results"),IF(J23="","",J23),"not_applicable")=IF(INDEX('Primary_snapshot'!$F$2:$F$120,MATCH(A23,'Primary_snapshot'!$A$2:$A$120,0))="","",INDEX('Primary_snapshot'!$F$2:$F$120,MATCH(A23,'Primary_snapshot'!$A$2:$A$120,0))),IF(AND(D23="retain",OR(E23="report_internal_inconsistency",E23="plan_material")),IF(K23="","",K23),"not_applicable")=IF(INDEX('Primary_snapshot'!$G$2:$G$120,MATCH(A23,'Primary_snapshot'!$A$2:$A$120,0))="","",INDEX('Primary_snapshot'!$G$2:$G$120,MATCH(A23,'Primary_snapshot'!$A$2:$A$120,0))),IF(AND(D23="retain",E23="protocol_report"),IF(L23="","",L23),"not_applicable")=IF(INDEX('Primary_snapshot'!$H$2:$H$120,MATCH(A23,'Primary_snapshot'!$A$2:$A$120,0))="","",INDEX('Primary_snapshot'!$H$2:$H$120,MATCH(A23,'Primary_snapshot'!$A$2:$A$120,0))),IF(R23="","",R23)=IF(INDEX('Primary_snapshot'!$I$2:$I$120,MATCH(A23,'Primary_snapshot'!$A$2:$A$120,0))="","",INDEX('Primary_snapshot'!$I$2:$I$120,MATCH(A23,'Primary_snapshot'!$A$2:$A$120,0)))))),"AGREE BUT CHANGED",IF(AND(P23&lt;&gt;"",NOT(OR(P23="pending",P23="resolved"))),"CHECK RESOLUTION",IF(OR(AND(OR(D23="discuss",INDEX('Primary_snapshot'!$B$2:$B$120,MATCH(A23,'Primary_snapshot'!$A$2:$A$120,0))="discuss",N23="disagree",N23="unable"),P23&lt;&gt;"resolved"),D23="discuss"),"DISCUSS",IF(AND(P23="resolved",LEN(TRIM(Q23))=0),"RESOLUTION NOTE NEEDED",IF(F23&lt;&gt;"checker_done","CHECKER DRAFT","FINAL READY")))))))))))))),"CHECK KEY / SNAPSHOT")</x:f>
        <x:v>CHECK REVIEWER IDs</x:v>
      </x:c>
      <x:c r="H23" s="7" t="str">
        <x:f>IF(AND(OR(D23="retain",D23=""),E23="statistical_results"),"","not_applicable")</x:f>
      </x:c>
      <x:c r="I23" s="7" t="str">
        <x:f>IF(AND(OR(D23="retain",D23=""),E23="statistical_results"),"","not_applicable")</x:f>
      </x:c>
      <x:c r="J23" s="13" t="str">
        <x:f>IF(AND(OR(D23="retain",D23=""),E23="statistical_results"),"","not_applicable")</x:f>
      </x:c>
      <x:c r="K23" s="7" t="str">
        <x:f>IF(AND(OR(D23="retain",D23=""),OR(E23="report_internal_inconsistency",E23="plan_material")),"","not_applicable")</x:f>
        <x:v>not_applicable</x:v>
      </x:c>
      <x:c r="L23" s="13" t="str">
        <x:f>IF(AND(OR(D23="retain",D23=""),E23="protocol_report"),"","not_applicable")</x:f>
        <x:v>not_applicable</x:v>
      </x:c>
      <x:c r="M23" s="3" t="str">
        <x:f>IF(Setup!$B$6="primary","",IFERROR(IF(INDEX('Primary_snapshot'!$L$2:$L$120,MATCH(A23,'Primary_snapshot'!$A$2:$A$120,0))="","",INDEX('Primary_snapshot'!$L$2:$L$120,MATCH(A23,'Primary_snapshot'!$A$2:$A$120,0))),"SNAPSHOT MISSING"))</x:f>
      </x:c>
      <x:c r="N23" s="7" t="str"/>
      <x:c r="O23" s="7" t="str"/>
      <x:c r="P23" s="7" t="str"/>
      <x:c r="Q23" s="7" t="str"/>
      <x:c r="R23" s="13" t="str"/>
    </x:row>
    <x:row r="24" ht="92" customHeight="1">
      <x:c r="A24" s="6" t="str">
        <x:v>2018::jama.2018.14282::C023</x:v>
      </x:c>
      <x:c r="B24" s="6" t="str">
        <x:v>Figure 3A mortality HR has a near-reciprocal orientation relative to Table 2</x:v>
      </x:c>
      <x:c r="C24" s="6" t="str">
        <x:v>DOC-001 Table 2 and narrative — PDF p. 5; DOC-001 Figure 3A — PDF p. 7</x:v>
      </x:c>
      <x:c r="D24" s="7" t="str"/>
      <x:c r="E24" s="7" t="str">
        <x:v>report_internal_inconsistency</x:v>
      </x:c>
      <x:c r="F24" s="7" t="str">
        <x:v>no</x:v>
      </x:c>
      <x:c r="G24" s="6" t="str">
        <x:f>IFERROR(IF(NOT(OR(Setup!$B$6="primary",Setup!$B$6="checker")),"CHECK STAGE",IF(OR(LEN(TRIM(Setup!$B$2))=0,Setup!$B$2&lt;&gt;TRIM(Setup!$B$2),AND(Setup!$B$6="checker",OR(LEN(TRIM(Setup!$B$4))=0,Setup!$B$4&lt;&gt;TRIM(Setup!$B$4),LOWER(TRIM(Setup!$B$4))=LOWER(TRIM(Setup!$B$2))))),"CHECK REVIEWER IDs",IF(OR(COUNTIF($A$2:$A$29,A24)&lt;&gt;1,COUNTIF(Decisions!$C$2:$C$120,A24)&lt;&gt;1),"CHECK KEY",IF(OR(AND(NOT(AND(D24="retain",E24="statistical_results")),H24&lt;&gt;"",H24&lt;&gt;"not_applicable"),AND(NOT(AND(D24="retain",E24="statistical_results")),I24&lt;&gt;"",I24&lt;&gt;"not_applicable"),AND(NOT(AND(D24="retain",E24="statistical_results")),J24&lt;&gt;"",J24&lt;&gt;"not_applicable"),AND(NOT(AND(D24="retain",OR(E24="report_internal_inconsistency",E24="plan_material"))),K24&lt;&gt;"",K24&lt;&gt;"not_applicable"),AND(NOT(AND(D24="retain",E24="protocol_report")),L24&lt;&gt;"",L24&lt;&gt;"not_applicable")),"CLEAR INACTIVE VALUES",IF(OR(NOT(OR(D24="retain",D24="exclude",D24="discuss")),NOT(OR(E24="statistical_results",E24="report_internal_inconsistency",E24="plan_material",E24="protocol_report")),AND(AND(D24="retain",E24="statistical_results"),NOT(OR(H24="confirmed_issue",H24="probable_issue",H24="not_issue",H24="indeterminate"))),AND(AND(D24="retain",E24="statistical_results"),NOT(OR(I24="substantive",I24="minor_presentation",I24="indeterminate"))),AND(AND(D24="retain",E24="statistical_results"),J24&lt;&gt;"",NOT(OR(J24="direct",J24="possible",J24="unlikely",J24="unknown"))),AND(AND(D24="retain",OR(E24="report_internal_inconsistency",E24="plan_material")),NOT(OR(K24="substantive_inconsistency",K24="minor_presentation",K24="non_inconsistency",K24="indeterminate"))),AND(AND(D24="retain",E24="protocol_report"),L24&lt;&gt;"",NOT(OR(L24="substantive_difference",L24="minor_presentation",L24="version_timing",L24="non_inconsistency",L24="indeterminate")))),"CHECK FIELDS",IF(Setup!$B$6="primary",IF(OR(N24&lt;&gt;"",O24&lt;&gt;"",P24&lt;&gt;"",Q24&lt;&gt;""),"CLEAR CHECKER FIELDS",IF(OR(Setup!$B$4&lt;&gt;"",Setup!$B$5&lt;&gt;""),"CLEAR CHECKER ID",IF(F24&lt;&gt;"primary_done","PRIMARY DRAFT","PRIMARY READY"))),IF(OR(COUNTIF(Primary_snapshot!$A$2:$A$120,A24)&lt;&gt;1,INDEX('Primary_snapshot'!$J$2:$J$120,MATCH(A24,'Primary_snapshot'!$A$2:$A$120,0))&lt;&gt;"primary_done",INDEX('Primary_snapshot'!$K$2:$K$120,MATCH(A24,'Primary_snapshot'!$A$2:$A$120,0))&lt;&gt;Setup!$B$2,INDEX('Primary_snapshot'!$B$2:$B$120,MATCH(A24,'Primary_snapshot'!$A$2:$A$120,0))="NOT FROZEN",INDEX('Primary_snapshot'!$C$2:$C$120,MATCH(A24,'Primary_snapshot'!$A$2:$A$120,0))="NOT FROZEN",INDEX('Primary_snapshot'!$D$2:$D$120,MATCH(A24,'Primary_snapshot'!$A$2:$A$120,0))="NOT FROZEN",INDEX('Primary_snapshot'!$E$2:$E$120,MATCH(A24,'Primary_snapshot'!$A$2:$A$120,0))="NOT FROZEN",INDEX('Primary_snapshot'!$F$2:$F$120,MATCH(A24,'Primary_snapshot'!$A$2:$A$120,0))="NOT FROZEN",INDEX('Primary_snapshot'!$G$2:$G$120,MATCH(A24,'Primary_snapshot'!$A$2:$A$120,0))="NOT FROZEN",INDEX('Primary_snapshot'!$H$2:$H$120,MATCH(A24,'Primary_snapshot'!$A$2:$A$120,0))="NOT FROZEN",INDEX('Primary_snapshot'!$I$2:$I$120,MATCH(A24,'Primary_snapshot'!$A$2:$A$120,0))="NOT FROZEN",INDEX('Primary_snapshot'!$J$2:$J$120,MATCH(A24,'Primary_snapshot'!$A$2:$A$120,0))="NOT FROZEN",INDEX('Primary_snapshot'!$K$2:$K$120,MATCH(A24,'Primary_snapshot'!$A$2:$A$120,0))="NOT FROZEN",INDEX('Primary_snapshot'!$L$2:$L$120,MATCH(A24,'Primary_snapshot'!$A$2:$A$120,0))="NOT FROZEN"),"FREEZE SNAPSHOT",IF(NOT(OR(N24="agree",N24="agree_clarification",N24="disagree",N24="unable")),"CHECKER RESULT NEEDED",IF(AND(N24&lt;&gt;"agree",LEN(TRIM(O24))=0),"COMMENT NEEDED",IF(AND(N24="agree",NOT(AND(IF(D24="","",D24)=IF(INDEX('Primary_snapshot'!$B$2:$B$120,MATCH(A24,'Primary_snapshot'!$A$2:$A$120,0))="","",INDEX('Primary_snapshot'!$B$2:$B$120,MATCH(A24,'Primary_snapshot'!$A$2:$A$120,0))),IF(E24="","",E24)=IF(INDEX('Primary_snapshot'!$C$2:$C$120,MATCH(A24,'Primary_snapshot'!$A$2:$A$120,0))="","",INDEX('Primary_snapshot'!$C$2:$C$120,MATCH(A24,'Primary_snapshot'!$A$2:$A$120,0))),IF(AND(D24="retain",E24="statistical_results"),IF(H24="","",H24),"not_applicable")=IF(INDEX('Primary_snapshot'!$D$2:$D$120,MATCH(A24,'Primary_snapshot'!$A$2:$A$120,0))="","",INDEX('Primary_snapshot'!$D$2:$D$120,MATCH(A24,'Primary_snapshot'!$A$2:$A$120,0))),IF(AND(D24="retain",E24="statistical_results"),IF(I24="","",I24),"not_applicable")=IF(INDEX('Primary_snapshot'!$E$2:$E$120,MATCH(A24,'Primary_snapshot'!$A$2:$A$120,0))="","",INDEX('Primary_snapshot'!$E$2:$E$120,MATCH(A24,'Primary_snapshot'!$A$2:$A$120,0))),IF(AND(D24="retain",E24="statistical_results"),IF(J24="","",J24),"not_applicable")=IF(INDEX('Primary_snapshot'!$F$2:$F$120,MATCH(A24,'Primary_snapshot'!$A$2:$A$120,0))="","",INDEX('Primary_snapshot'!$F$2:$F$120,MATCH(A24,'Primary_snapshot'!$A$2:$A$120,0))),IF(AND(D24="retain",OR(E24="report_internal_inconsistency",E24="plan_material")),IF(K24="","",K24),"not_applicable")=IF(INDEX('Primary_snapshot'!$G$2:$G$120,MATCH(A24,'Primary_snapshot'!$A$2:$A$120,0))="","",INDEX('Primary_snapshot'!$G$2:$G$120,MATCH(A24,'Primary_snapshot'!$A$2:$A$120,0))),IF(AND(D24="retain",E24="protocol_report"),IF(L24="","",L24),"not_applicable")=IF(INDEX('Primary_snapshot'!$H$2:$H$120,MATCH(A24,'Primary_snapshot'!$A$2:$A$120,0))="","",INDEX('Primary_snapshot'!$H$2:$H$120,MATCH(A24,'Primary_snapshot'!$A$2:$A$120,0))),IF(R24="","",R24)=IF(INDEX('Primary_snapshot'!$I$2:$I$120,MATCH(A24,'Primary_snapshot'!$A$2:$A$120,0))="","",INDEX('Primary_snapshot'!$I$2:$I$120,MATCH(A24,'Primary_snapshot'!$A$2:$A$120,0)))))),"AGREE BUT CHANGED",IF(AND(P24&lt;&gt;"",NOT(OR(P24="pending",P24="resolved"))),"CHECK RESOLUTION",IF(OR(AND(OR(D24="discuss",INDEX('Primary_snapshot'!$B$2:$B$120,MATCH(A24,'Primary_snapshot'!$A$2:$A$120,0))="discuss",N24="disagree",N24="unable"),P24&lt;&gt;"resolved"),D24="discuss"),"DISCUSS",IF(AND(P24="resolved",LEN(TRIM(Q24))=0),"RESOLUTION NOTE NEEDED",IF(F24&lt;&gt;"checker_done","CHECKER DRAFT","FINAL READY")))))))))))))),"CHECK KEY / SNAPSHOT")</x:f>
        <x:v>CHECK REVIEWER IDs</x:v>
      </x:c>
      <x:c r="H24" s="7" t="str">
        <x:f>IF(AND(OR(D24="retain",D24=""),E24="statistical_results"),"","not_applicable")</x:f>
        <x:v>not_applicable</x:v>
      </x:c>
      <x:c r="I24" s="7" t="str">
        <x:f>IF(AND(OR(D24="retain",D24=""),E24="statistical_results"),"","not_applicable")</x:f>
        <x:v>not_applicable</x:v>
      </x:c>
      <x:c r="J24" s="13" t="str">
        <x:f>IF(AND(OR(D24="retain",D24=""),E24="statistical_results"),"","not_applicable")</x:f>
        <x:v>not_applicable</x:v>
      </x:c>
      <x:c r="K24" s="7" t="str">
        <x:f>IF(AND(OR(D24="retain",D24=""),OR(E24="report_internal_inconsistency",E24="plan_material")),"","not_applicable")</x:f>
      </x:c>
      <x:c r="L24" s="13" t="str">
        <x:f>IF(AND(OR(D24="retain",D24=""),E24="protocol_report"),"","not_applicable")</x:f>
        <x:v>not_applicable</x:v>
      </x:c>
      <x:c r="M24" s="6" t="str">
        <x:f>IF(Setup!$B$6="primary","",IFERROR(IF(INDEX('Primary_snapshot'!$L$2:$L$120,MATCH(A24,'Primary_snapshot'!$A$2:$A$120,0))="","",INDEX('Primary_snapshot'!$L$2:$L$120,MATCH(A24,'Primary_snapshot'!$A$2:$A$120,0))),"SNAPSHOT MISSING"))</x:f>
      </x:c>
      <x:c r="N24" s="7" t="str"/>
      <x:c r="O24" s="7" t="str"/>
      <x:c r="P24" s="7" t="str"/>
      <x:c r="Q24" s="7" t="str"/>
      <x:c r="R24" s="13" t="str"/>
    </x:row>
    <x:row r="25" ht="92" customHeight="1">
      <x:c r="A25" s="3" t="str">
        <x:v>2018::jama.2018.14282::C024</x:v>
      </x:c>
      <x:c r="B25" s="3" t="str">
        <x:v>Figure 3B IMV HR has a near-reciprocal orientation relative to Table 2</x:v>
      </x:c>
      <x:c r="C25" s="3" t="str">
        <x:v>DOC-001 Table 2 — PDF p. 5; DOC-001 narrative — PDF p. 6; DOC-001 Figure 3B — PDF p. 7</x:v>
      </x:c>
      <x:c r="D25" s="7" t="str"/>
      <x:c r="E25" s="7" t="str">
        <x:v>report_internal_inconsistency</x:v>
      </x:c>
      <x:c r="F25" s="7" t="str">
        <x:v>no</x:v>
      </x:c>
      <x:c r="G25" s="3" t="str">
        <x:f>IFERROR(IF(NOT(OR(Setup!$B$6="primary",Setup!$B$6="checker")),"CHECK STAGE",IF(OR(LEN(TRIM(Setup!$B$2))=0,Setup!$B$2&lt;&gt;TRIM(Setup!$B$2),AND(Setup!$B$6="checker",OR(LEN(TRIM(Setup!$B$4))=0,Setup!$B$4&lt;&gt;TRIM(Setup!$B$4),LOWER(TRIM(Setup!$B$4))=LOWER(TRIM(Setup!$B$2))))),"CHECK REVIEWER IDs",IF(OR(COUNTIF($A$2:$A$29,A25)&lt;&gt;1,COUNTIF(Decisions!$C$2:$C$120,A25)&lt;&gt;1),"CHECK KEY",IF(OR(AND(NOT(AND(D25="retain",E25="statistical_results")),H25&lt;&gt;"",H25&lt;&gt;"not_applicable"),AND(NOT(AND(D25="retain",E25="statistical_results")),I25&lt;&gt;"",I25&lt;&gt;"not_applicable"),AND(NOT(AND(D25="retain",E25="statistical_results")),J25&lt;&gt;"",J25&lt;&gt;"not_applicable"),AND(NOT(AND(D25="retain",OR(E25="report_internal_inconsistency",E25="plan_material"))),K25&lt;&gt;"",K25&lt;&gt;"not_applicable"),AND(NOT(AND(D25="retain",E25="protocol_report")),L25&lt;&gt;"",L25&lt;&gt;"not_applicable")),"CLEAR INACTIVE VALUES",IF(OR(NOT(OR(D25="retain",D25="exclude",D25="discuss")),NOT(OR(E25="statistical_results",E25="report_internal_inconsistency",E25="plan_material",E25="protocol_report")),AND(AND(D25="retain",E25="statistical_results"),NOT(OR(H25="confirmed_issue",H25="probable_issue",H25="not_issue",H25="indeterminate"))),AND(AND(D25="retain",E25="statistical_results"),NOT(OR(I25="substantive",I25="minor_presentation",I25="indeterminate"))),AND(AND(D25="retain",E25="statistical_results"),J25&lt;&gt;"",NOT(OR(J25="direct",J25="possible",J25="unlikely",J25="unknown"))),AND(AND(D25="retain",OR(E25="report_internal_inconsistency",E25="plan_material")),NOT(OR(K25="substantive_inconsistency",K25="minor_presentation",K25="non_inconsistency",K25="indeterminate"))),AND(AND(D25="retain",E25="protocol_report"),L25&lt;&gt;"",NOT(OR(L25="substantive_difference",L25="minor_presentation",L25="version_timing",L25="non_inconsistency",L25="indeterminate")))),"CHECK FIELDS",IF(Setup!$B$6="primary",IF(OR(N25&lt;&gt;"",O25&lt;&gt;"",P25&lt;&gt;"",Q25&lt;&gt;""),"CLEAR CHECKER FIELDS",IF(OR(Setup!$B$4&lt;&gt;"",Setup!$B$5&lt;&gt;""),"CLEAR CHECKER ID",IF(F25&lt;&gt;"primary_done","PRIMARY DRAFT","PRIMARY READY"))),IF(OR(COUNTIF(Primary_snapshot!$A$2:$A$120,A25)&lt;&gt;1,INDEX('Primary_snapshot'!$J$2:$J$120,MATCH(A25,'Primary_snapshot'!$A$2:$A$120,0))&lt;&gt;"primary_done",INDEX('Primary_snapshot'!$K$2:$K$120,MATCH(A25,'Primary_snapshot'!$A$2:$A$120,0))&lt;&gt;Setup!$B$2,INDEX('Primary_snapshot'!$B$2:$B$120,MATCH(A25,'Primary_snapshot'!$A$2:$A$120,0))="NOT FROZEN",INDEX('Primary_snapshot'!$C$2:$C$120,MATCH(A25,'Primary_snapshot'!$A$2:$A$120,0))="NOT FROZEN",INDEX('Primary_snapshot'!$D$2:$D$120,MATCH(A25,'Primary_snapshot'!$A$2:$A$120,0))="NOT FROZEN",INDEX('Primary_snapshot'!$E$2:$E$120,MATCH(A25,'Primary_snapshot'!$A$2:$A$120,0))="NOT FROZEN",INDEX('Primary_snapshot'!$F$2:$F$120,MATCH(A25,'Primary_snapshot'!$A$2:$A$120,0))="NOT FROZEN",INDEX('Primary_snapshot'!$G$2:$G$120,MATCH(A25,'Primary_snapshot'!$A$2:$A$120,0))="NOT FROZEN",INDEX('Primary_snapshot'!$H$2:$H$120,MATCH(A25,'Primary_snapshot'!$A$2:$A$120,0))="NOT FROZEN",INDEX('Primary_snapshot'!$I$2:$I$120,MATCH(A25,'Primary_snapshot'!$A$2:$A$120,0))="NOT FROZEN",INDEX('Primary_snapshot'!$J$2:$J$120,MATCH(A25,'Primary_snapshot'!$A$2:$A$120,0))="NOT FROZEN",INDEX('Primary_snapshot'!$K$2:$K$120,MATCH(A25,'Primary_snapshot'!$A$2:$A$120,0))="NOT FROZEN",INDEX('Primary_snapshot'!$L$2:$L$120,MATCH(A25,'Primary_snapshot'!$A$2:$A$120,0))="NOT FROZEN"),"FREEZE SNAPSHOT",IF(NOT(OR(N25="agree",N25="agree_clarification",N25="disagree",N25="unable")),"CHECKER RESULT NEEDED",IF(AND(N25&lt;&gt;"agree",LEN(TRIM(O25))=0),"COMMENT NEEDED",IF(AND(N25="agree",NOT(AND(IF(D25="","",D25)=IF(INDEX('Primary_snapshot'!$B$2:$B$120,MATCH(A25,'Primary_snapshot'!$A$2:$A$120,0))="","",INDEX('Primary_snapshot'!$B$2:$B$120,MATCH(A25,'Primary_snapshot'!$A$2:$A$120,0))),IF(E25="","",E25)=IF(INDEX('Primary_snapshot'!$C$2:$C$120,MATCH(A25,'Primary_snapshot'!$A$2:$A$120,0))="","",INDEX('Primary_snapshot'!$C$2:$C$120,MATCH(A25,'Primary_snapshot'!$A$2:$A$120,0))),IF(AND(D25="retain",E25="statistical_results"),IF(H25="","",H25),"not_applicable")=IF(INDEX('Primary_snapshot'!$D$2:$D$120,MATCH(A25,'Primary_snapshot'!$A$2:$A$120,0))="","",INDEX('Primary_snapshot'!$D$2:$D$120,MATCH(A25,'Primary_snapshot'!$A$2:$A$120,0))),IF(AND(D25="retain",E25="statistical_results"),IF(I25="","",I25),"not_applicable")=IF(INDEX('Primary_snapshot'!$E$2:$E$120,MATCH(A25,'Primary_snapshot'!$A$2:$A$120,0))="","",INDEX('Primary_snapshot'!$E$2:$E$120,MATCH(A25,'Primary_snapshot'!$A$2:$A$120,0))),IF(AND(D25="retain",E25="statistical_results"),IF(J25="","",J25),"not_applicable")=IF(INDEX('Primary_snapshot'!$F$2:$F$120,MATCH(A25,'Primary_snapshot'!$A$2:$A$120,0))="","",INDEX('Primary_snapshot'!$F$2:$F$120,MATCH(A25,'Primary_snapshot'!$A$2:$A$120,0))),IF(AND(D25="retain",OR(E25="report_internal_inconsistency",E25="plan_material")),IF(K25="","",K25),"not_applicable")=IF(INDEX('Primary_snapshot'!$G$2:$G$120,MATCH(A25,'Primary_snapshot'!$A$2:$A$120,0))="","",INDEX('Primary_snapshot'!$G$2:$G$120,MATCH(A25,'Primary_snapshot'!$A$2:$A$120,0))),IF(AND(D25="retain",E25="protocol_report"),IF(L25="","",L25),"not_applicable")=IF(INDEX('Primary_snapshot'!$H$2:$H$120,MATCH(A25,'Primary_snapshot'!$A$2:$A$120,0))="","",INDEX('Primary_snapshot'!$H$2:$H$120,MATCH(A25,'Primary_snapshot'!$A$2:$A$120,0))),IF(R25="","",R25)=IF(INDEX('Primary_snapshot'!$I$2:$I$120,MATCH(A25,'Primary_snapshot'!$A$2:$A$120,0))="","",INDEX('Primary_snapshot'!$I$2:$I$120,MATCH(A25,'Primary_snapshot'!$A$2:$A$120,0)))))),"AGREE BUT CHANGED",IF(AND(P25&lt;&gt;"",NOT(OR(P25="pending",P25="resolved"))),"CHECK RESOLUTION",IF(OR(AND(OR(D25="discuss",INDEX('Primary_snapshot'!$B$2:$B$120,MATCH(A25,'Primary_snapshot'!$A$2:$A$120,0))="discuss",N25="disagree",N25="unable"),P25&lt;&gt;"resolved"),D25="discuss"),"DISCUSS",IF(AND(P25="resolved",LEN(TRIM(Q25))=0),"RESOLUTION NOTE NEEDED",IF(F25&lt;&gt;"checker_done","CHECKER DRAFT","FINAL READY")))))))))))))),"CHECK KEY / SNAPSHOT")</x:f>
        <x:v>CHECK REVIEWER IDs</x:v>
      </x:c>
      <x:c r="H25" s="7" t="str">
        <x:f>IF(AND(OR(D25="retain",D25=""),E25="statistical_results"),"","not_applicable")</x:f>
        <x:v>not_applicable</x:v>
      </x:c>
      <x:c r="I25" s="7" t="str">
        <x:f>IF(AND(OR(D25="retain",D25=""),E25="statistical_results"),"","not_applicable")</x:f>
        <x:v>not_applicable</x:v>
      </x:c>
      <x:c r="J25" s="13" t="str">
        <x:f>IF(AND(OR(D25="retain",D25=""),E25="statistical_results"),"","not_applicable")</x:f>
        <x:v>not_applicable</x:v>
      </x:c>
      <x:c r="K25" s="7" t="str">
        <x:f>IF(AND(OR(D25="retain",D25=""),OR(E25="report_internal_inconsistency",E25="plan_material")),"","not_applicable")</x:f>
      </x:c>
      <x:c r="L25" s="13" t="str">
        <x:f>IF(AND(OR(D25="retain",D25=""),E25="protocol_report"),"","not_applicable")</x:f>
        <x:v>not_applicable</x:v>
      </x:c>
      <x:c r="M25" s="3" t="str">
        <x:f>IF(Setup!$B$6="primary","",IFERROR(IF(INDEX('Primary_snapshot'!$L$2:$L$120,MATCH(A25,'Primary_snapshot'!$A$2:$A$120,0))="","",INDEX('Primary_snapshot'!$L$2:$L$120,MATCH(A25,'Primary_snapshot'!$A$2:$A$120,0))),"SNAPSHOT MISSING"))</x:f>
      </x:c>
      <x:c r="N25" s="7" t="str"/>
      <x:c r="O25" s="7" t="str"/>
      <x:c r="P25" s="7" t="str"/>
      <x:c r="Q25" s="7" t="str"/>
      <x:c r="R25" s="13" t="str"/>
    </x:row>
    <x:row r="26" ht="92" customHeight="1">
      <x:c r="A26" s="6" t="str">
        <x:v>2018::jama.2018.14282::C025</x:v>
      </x:c>
      <x:c r="B26" s="6" t="str">
        <x:v>Revised-superiority sample-size total conflicts with equal arm counts</x:v>
      </x:c>
      <x:c r="C26" s="6" t="str">
        <x:v>DOC-001 — PDF p. 3; DOC-002 completed published-protocol abstract sentence — PDF p. 91; DOC-002 statistical-plan comparator — PDF p. 103</x:v>
      </x:c>
      <x:c r="D26" s="7" t="str"/>
      <x:c r="E26" s="7" t="str">
        <x:v>statistical_results</x:v>
      </x:c>
      <x:c r="F26" s="7" t="str">
        <x:v>no</x:v>
      </x:c>
      <x:c r="G26" s="6" t="str">
        <x:f>IFERROR(IF(NOT(OR(Setup!$B$6="primary",Setup!$B$6="checker")),"CHECK STAGE",IF(OR(LEN(TRIM(Setup!$B$2))=0,Setup!$B$2&lt;&gt;TRIM(Setup!$B$2),AND(Setup!$B$6="checker",OR(LEN(TRIM(Setup!$B$4))=0,Setup!$B$4&lt;&gt;TRIM(Setup!$B$4),LOWER(TRIM(Setup!$B$4))=LOWER(TRIM(Setup!$B$2))))),"CHECK REVIEWER IDs",IF(OR(COUNTIF($A$2:$A$29,A26)&lt;&gt;1,COUNTIF(Decisions!$C$2:$C$120,A26)&lt;&gt;1),"CHECK KEY",IF(OR(AND(NOT(AND(D26="retain",E26="statistical_results")),H26&lt;&gt;"",H26&lt;&gt;"not_applicable"),AND(NOT(AND(D26="retain",E26="statistical_results")),I26&lt;&gt;"",I26&lt;&gt;"not_applicable"),AND(NOT(AND(D26="retain",E26="statistical_results")),J26&lt;&gt;"",J26&lt;&gt;"not_applicable"),AND(NOT(AND(D26="retain",OR(E26="report_internal_inconsistency",E26="plan_material"))),K26&lt;&gt;"",K26&lt;&gt;"not_applicable"),AND(NOT(AND(D26="retain",E26="protocol_report")),L26&lt;&gt;"",L26&lt;&gt;"not_applicable")),"CLEAR INACTIVE VALUES",IF(OR(NOT(OR(D26="retain",D26="exclude",D26="discuss")),NOT(OR(E26="statistical_results",E26="report_internal_inconsistency",E26="plan_material",E26="protocol_report")),AND(AND(D26="retain",E26="statistical_results"),NOT(OR(H26="confirmed_issue",H26="probable_issue",H26="not_issue",H26="indeterminate"))),AND(AND(D26="retain",E26="statistical_results"),NOT(OR(I26="substantive",I26="minor_presentation",I26="indeterminate"))),AND(AND(D26="retain",E26="statistical_results"),J26&lt;&gt;"",NOT(OR(J26="direct",J26="possible",J26="unlikely",J26="unknown"))),AND(AND(D26="retain",OR(E26="report_internal_inconsistency",E26="plan_material")),NOT(OR(K26="substantive_inconsistency",K26="minor_presentation",K26="non_inconsistency",K26="indeterminate"))),AND(AND(D26="retain",E26="protocol_report"),L26&lt;&gt;"",NOT(OR(L26="substantive_difference",L26="minor_presentation",L26="version_timing",L26="non_inconsistency",L26="indeterminate")))),"CHECK FIELDS",IF(Setup!$B$6="primary",IF(OR(N26&lt;&gt;"",O26&lt;&gt;"",P26&lt;&gt;"",Q26&lt;&gt;""),"CLEAR CHECKER FIELDS",IF(OR(Setup!$B$4&lt;&gt;"",Setup!$B$5&lt;&gt;""),"CLEAR CHECKER ID",IF(F26&lt;&gt;"primary_done","PRIMARY DRAFT","PRIMARY READY"))),IF(OR(COUNTIF(Primary_snapshot!$A$2:$A$120,A26)&lt;&gt;1,INDEX('Primary_snapshot'!$J$2:$J$120,MATCH(A26,'Primary_snapshot'!$A$2:$A$120,0))&lt;&gt;"primary_done",INDEX('Primary_snapshot'!$K$2:$K$120,MATCH(A26,'Primary_snapshot'!$A$2:$A$120,0))&lt;&gt;Setup!$B$2,INDEX('Primary_snapshot'!$B$2:$B$120,MATCH(A26,'Primary_snapshot'!$A$2:$A$120,0))="NOT FROZEN",INDEX('Primary_snapshot'!$C$2:$C$120,MATCH(A26,'Primary_snapshot'!$A$2:$A$120,0))="NOT FROZEN",INDEX('Primary_snapshot'!$D$2:$D$120,MATCH(A26,'Primary_snapshot'!$A$2:$A$120,0))="NOT FROZEN",INDEX('Primary_snapshot'!$E$2:$E$120,MATCH(A26,'Primary_snapshot'!$A$2:$A$120,0))="NOT FROZEN",INDEX('Primary_snapshot'!$F$2:$F$120,MATCH(A26,'Primary_snapshot'!$A$2:$A$120,0))="NOT FROZEN",INDEX('Primary_snapshot'!$G$2:$G$120,MATCH(A26,'Primary_snapshot'!$A$2:$A$120,0))="NOT FROZEN",INDEX('Primary_snapshot'!$H$2:$H$120,MATCH(A26,'Primary_snapshot'!$A$2:$A$120,0))="NOT FROZEN",INDEX('Primary_snapshot'!$I$2:$I$120,MATCH(A26,'Primary_snapshot'!$A$2:$A$120,0))="NOT FROZEN",INDEX('Primary_snapshot'!$J$2:$J$120,MATCH(A26,'Primary_snapshot'!$A$2:$A$120,0))="NOT FROZEN",INDEX('Primary_snapshot'!$K$2:$K$120,MATCH(A26,'Primary_snapshot'!$A$2:$A$120,0))="NOT FROZEN",INDEX('Primary_snapshot'!$L$2:$L$120,MATCH(A26,'Primary_snapshot'!$A$2:$A$120,0))="NOT FROZEN"),"FREEZE SNAPSHOT",IF(NOT(OR(N26="agree",N26="agree_clarification",N26="disagree",N26="unable")),"CHECKER RESULT NEEDED",IF(AND(N26&lt;&gt;"agree",LEN(TRIM(O26))=0),"COMMENT NEEDED",IF(AND(N26="agree",NOT(AND(IF(D26="","",D26)=IF(INDEX('Primary_snapshot'!$B$2:$B$120,MATCH(A26,'Primary_snapshot'!$A$2:$A$120,0))="","",INDEX('Primary_snapshot'!$B$2:$B$120,MATCH(A26,'Primary_snapshot'!$A$2:$A$120,0))),IF(E26="","",E26)=IF(INDEX('Primary_snapshot'!$C$2:$C$120,MATCH(A26,'Primary_snapshot'!$A$2:$A$120,0))="","",INDEX('Primary_snapshot'!$C$2:$C$120,MATCH(A26,'Primary_snapshot'!$A$2:$A$120,0))),IF(AND(D26="retain",E26="statistical_results"),IF(H26="","",H26),"not_applicable")=IF(INDEX('Primary_snapshot'!$D$2:$D$120,MATCH(A26,'Primary_snapshot'!$A$2:$A$120,0))="","",INDEX('Primary_snapshot'!$D$2:$D$120,MATCH(A26,'Primary_snapshot'!$A$2:$A$120,0))),IF(AND(D26="retain",E26="statistical_results"),IF(I26="","",I26),"not_applicable")=IF(INDEX('Primary_snapshot'!$E$2:$E$120,MATCH(A26,'Primary_snapshot'!$A$2:$A$120,0))="","",INDEX('Primary_snapshot'!$E$2:$E$120,MATCH(A26,'Primary_snapshot'!$A$2:$A$120,0))),IF(AND(D26="retain",E26="statistical_results"),IF(J26="","",J26),"not_applicable")=IF(INDEX('Primary_snapshot'!$F$2:$F$120,MATCH(A26,'Primary_snapshot'!$A$2:$A$120,0))="","",INDEX('Primary_snapshot'!$F$2:$F$120,MATCH(A26,'Primary_snapshot'!$A$2:$A$120,0))),IF(AND(D26="retain",OR(E26="report_internal_inconsistency",E26="plan_material")),IF(K26="","",K26),"not_applicable")=IF(INDEX('Primary_snapshot'!$G$2:$G$120,MATCH(A26,'Primary_snapshot'!$A$2:$A$120,0))="","",INDEX('Primary_snapshot'!$G$2:$G$120,MATCH(A26,'Primary_snapshot'!$A$2:$A$120,0))),IF(AND(D26="retain",E26="protocol_report"),IF(L26="","",L26),"not_applicable")=IF(INDEX('Primary_snapshot'!$H$2:$H$120,MATCH(A26,'Primary_snapshot'!$A$2:$A$120,0))="","",INDEX('Primary_snapshot'!$H$2:$H$120,MATCH(A26,'Primary_snapshot'!$A$2:$A$120,0))),IF(R26="","",R26)=IF(INDEX('Primary_snapshot'!$I$2:$I$120,MATCH(A26,'Primary_snapshot'!$A$2:$A$120,0))="","",INDEX('Primary_snapshot'!$I$2:$I$120,MATCH(A26,'Primary_snapshot'!$A$2:$A$120,0)))))),"AGREE BUT CHANGED",IF(AND(P26&lt;&gt;"",NOT(OR(P26="pending",P26="resolved"))),"CHECK RESOLUTION",IF(OR(AND(OR(D26="discuss",INDEX('Primary_snapshot'!$B$2:$B$120,MATCH(A26,'Primary_snapshot'!$A$2:$A$120,0))="discuss",N26="disagree",N26="unable"),P26&lt;&gt;"resolved"),D26="discuss"),"DISCUSS",IF(AND(P26="resolved",LEN(TRIM(Q26))=0),"RESOLUTION NOTE NEEDED",IF(F26&lt;&gt;"checker_done","CHECKER DRAFT","FINAL READY")))))))))))))),"CHECK KEY / SNAPSHOT")</x:f>
        <x:v>CHECK REVIEWER IDs</x:v>
      </x:c>
      <x:c r="H26" s="7" t="str">
        <x:f>IF(AND(OR(D26="retain",D26=""),E26="statistical_results"),"","not_applicable")</x:f>
      </x:c>
      <x:c r="I26" s="7" t="str">
        <x:f>IF(AND(OR(D26="retain",D26=""),E26="statistical_results"),"","not_applicable")</x:f>
      </x:c>
      <x:c r="J26" s="13" t="str">
        <x:f>IF(AND(OR(D26="retain",D26=""),E26="statistical_results"),"","not_applicable")</x:f>
      </x:c>
      <x:c r="K26" s="7" t="str">
        <x:f>IF(AND(OR(D26="retain",D26=""),OR(E26="report_internal_inconsistency",E26="plan_material")),"","not_applicable")</x:f>
        <x:v>not_applicable</x:v>
      </x:c>
      <x:c r="L26" s="13" t="str">
        <x:f>IF(AND(OR(D26="retain",D26=""),E26="protocol_report"),"","not_applicable")</x:f>
        <x:v>not_applicable</x:v>
      </x:c>
      <x:c r="M26" s="6" t="str">
        <x:f>IF(Setup!$B$6="primary","",IFERROR(IF(INDEX('Primary_snapshot'!$L$2:$L$120,MATCH(A26,'Primary_snapshot'!$A$2:$A$120,0))="","",INDEX('Primary_snapshot'!$L$2:$L$120,MATCH(A26,'Primary_snapshot'!$A$2:$A$120,0))),"SNAPSHOT MISSING"))</x:f>
      </x:c>
      <x:c r="N26" s="7" t="str"/>
      <x:c r="O26" s="7" t="str"/>
      <x:c r="P26" s="7" t="str"/>
      <x:c r="Q26" s="7" t="str"/>
      <x:c r="R26" s="13" t="str"/>
    </x:row>
    <x:row r="27" ht="92" customHeight="1">
      <x:c r="A27" s="3" t="str">
        <x:v>2018::jama.2018.14282::C026</x:v>
      </x:c>
      <x:c r="B27" s="3" t="str">
        <x:v>Noninferiority bound/sign wording conflicts with its explanatory axis</x:v>
      </x:c>
      <x:c r="C27" s="3" t="str">
        <x:v>DOC-002 Figure 4 — PDF p. 40; DOC-002 — PDF p. 42</x:v>
      </x:c>
      <x:c r="D27" s="7" t="str"/>
      <x:c r="E27" s="7" t="str">
        <x:v>plan_material</x:v>
      </x:c>
      <x:c r="F27" s="7" t="str">
        <x:v>no</x:v>
      </x:c>
      <x:c r="G27" s="3" t="str">
        <x:f>IFERROR(IF(NOT(OR(Setup!$B$6="primary",Setup!$B$6="checker")),"CHECK STAGE",IF(OR(LEN(TRIM(Setup!$B$2))=0,Setup!$B$2&lt;&gt;TRIM(Setup!$B$2),AND(Setup!$B$6="checker",OR(LEN(TRIM(Setup!$B$4))=0,Setup!$B$4&lt;&gt;TRIM(Setup!$B$4),LOWER(TRIM(Setup!$B$4))=LOWER(TRIM(Setup!$B$2))))),"CHECK REVIEWER IDs",IF(OR(COUNTIF($A$2:$A$29,A27)&lt;&gt;1,COUNTIF(Decisions!$C$2:$C$120,A27)&lt;&gt;1),"CHECK KEY",IF(OR(AND(NOT(AND(D27="retain",E27="statistical_results")),H27&lt;&gt;"",H27&lt;&gt;"not_applicable"),AND(NOT(AND(D27="retain",E27="statistical_results")),I27&lt;&gt;"",I27&lt;&gt;"not_applicable"),AND(NOT(AND(D27="retain",E27="statistical_results")),J27&lt;&gt;"",J27&lt;&gt;"not_applicable"),AND(NOT(AND(D27="retain",OR(E27="report_internal_inconsistency",E27="plan_material"))),K27&lt;&gt;"",K27&lt;&gt;"not_applicable"),AND(NOT(AND(D27="retain",E27="protocol_report")),L27&lt;&gt;"",L27&lt;&gt;"not_applicable")),"CLEAR INACTIVE VALUES",IF(OR(NOT(OR(D27="retain",D27="exclude",D27="discuss")),NOT(OR(E27="statistical_results",E27="report_internal_inconsistency",E27="plan_material",E27="protocol_report")),AND(AND(D27="retain",E27="statistical_results"),NOT(OR(H27="confirmed_issue",H27="probable_issue",H27="not_issue",H27="indeterminate"))),AND(AND(D27="retain",E27="statistical_results"),NOT(OR(I27="substantive",I27="minor_presentation",I27="indeterminate"))),AND(AND(D27="retain",E27="statistical_results"),J27&lt;&gt;"",NOT(OR(J27="direct",J27="possible",J27="unlikely",J27="unknown"))),AND(AND(D27="retain",OR(E27="report_internal_inconsistency",E27="plan_material")),NOT(OR(K27="substantive_inconsistency",K27="minor_presentation",K27="non_inconsistency",K27="indeterminate"))),AND(AND(D27="retain",E27="protocol_report"),L27&lt;&gt;"",NOT(OR(L27="substantive_difference",L27="minor_presentation",L27="version_timing",L27="non_inconsistency",L27="indeterminate")))),"CHECK FIELDS",IF(Setup!$B$6="primary",IF(OR(N27&lt;&gt;"",O27&lt;&gt;"",P27&lt;&gt;"",Q27&lt;&gt;""),"CLEAR CHECKER FIELDS",IF(OR(Setup!$B$4&lt;&gt;"",Setup!$B$5&lt;&gt;""),"CLEAR CHECKER ID",IF(F27&lt;&gt;"primary_done","PRIMARY DRAFT","PRIMARY READY"))),IF(OR(COUNTIF(Primary_snapshot!$A$2:$A$120,A27)&lt;&gt;1,INDEX('Primary_snapshot'!$J$2:$J$120,MATCH(A27,'Primary_snapshot'!$A$2:$A$120,0))&lt;&gt;"primary_done",INDEX('Primary_snapshot'!$K$2:$K$120,MATCH(A27,'Primary_snapshot'!$A$2:$A$120,0))&lt;&gt;Setup!$B$2,INDEX('Primary_snapshot'!$B$2:$B$120,MATCH(A27,'Primary_snapshot'!$A$2:$A$120,0))="NOT FROZEN",INDEX('Primary_snapshot'!$C$2:$C$120,MATCH(A27,'Primary_snapshot'!$A$2:$A$120,0))="NOT FROZEN",INDEX('Primary_snapshot'!$D$2:$D$120,MATCH(A27,'Primary_snapshot'!$A$2:$A$120,0))="NOT FROZEN",INDEX('Primary_snapshot'!$E$2:$E$120,MATCH(A27,'Primary_snapshot'!$A$2:$A$120,0))="NOT FROZEN",INDEX('Primary_snapshot'!$F$2:$F$120,MATCH(A27,'Primary_snapshot'!$A$2:$A$120,0))="NOT FROZEN",INDEX('Primary_snapshot'!$G$2:$G$120,MATCH(A27,'Primary_snapshot'!$A$2:$A$120,0))="NOT FROZEN",INDEX('Primary_snapshot'!$H$2:$H$120,MATCH(A27,'Primary_snapshot'!$A$2:$A$120,0))="NOT FROZEN",INDEX('Primary_snapshot'!$I$2:$I$120,MATCH(A27,'Primary_snapshot'!$A$2:$A$120,0))="NOT FROZEN",INDEX('Primary_snapshot'!$J$2:$J$120,MATCH(A27,'Primary_snapshot'!$A$2:$A$120,0))="NOT FROZEN",INDEX('Primary_snapshot'!$K$2:$K$120,MATCH(A27,'Primary_snapshot'!$A$2:$A$120,0))="NOT FROZEN",INDEX('Primary_snapshot'!$L$2:$L$120,MATCH(A27,'Primary_snapshot'!$A$2:$A$120,0))="NOT FROZEN"),"FREEZE SNAPSHOT",IF(NOT(OR(N27="agree",N27="agree_clarification",N27="disagree",N27="unable")),"CHECKER RESULT NEEDED",IF(AND(N27&lt;&gt;"agree",LEN(TRIM(O27))=0),"COMMENT NEEDED",IF(AND(N27="agree",NOT(AND(IF(D27="","",D27)=IF(INDEX('Primary_snapshot'!$B$2:$B$120,MATCH(A27,'Primary_snapshot'!$A$2:$A$120,0))="","",INDEX('Primary_snapshot'!$B$2:$B$120,MATCH(A27,'Primary_snapshot'!$A$2:$A$120,0))),IF(E27="","",E27)=IF(INDEX('Primary_snapshot'!$C$2:$C$120,MATCH(A27,'Primary_snapshot'!$A$2:$A$120,0))="","",INDEX('Primary_snapshot'!$C$2:$C$120,MATCH(A27,'Primary_snapshot'!$A$2:$A$120,0))),IF(AND(D27="retain",E27="statistical_results"),IF(H27="","",H27),"not_applicable")=IF(INDEX('Primary_snapshot'!$D$2:$D$120,MATCH(A27,'Primary_snapshot'!$A$2:$A$120,0))="","",INDEX('Primary_snapshot'!$D$2:$D$120,MATCH(A27,'Primary_snapshot'!$A$2:$A$120,0))),IF(AND(D27="retain",E27="statistical_results"),IF(I27="","",I27),"not_applicable")=IF(INDEX('Primary_snapshot'!$E$2:$E$120,MATCH(A27,'Primary_snapshot'!$A$2:$A$120,0))="","",INDEX('Primary_snapshot'!$E$2:$E$120,MATCH(A27,'Primary_snapshot'!$A$2:$A$120,0))),IF(AND(D27="retain",E27="statistical_results"),IF(J27="","",J27),"not_applicable")=IF(INDEX('Primary_snapshot'!$F$2:$F$120,MATCH(A27,'Primary_snapshot'!$A$2:$A$120,0))="","",INDEX('Primary_snapshot'!$F$2:$F$120,MATCH(A27,'Primary_snapshot'!$A$2:$A$120,0))),IF(AND(D27="retain",OR(E27="report_internal_inconsistency",E27="plan_material")),IF(K27="","",K27),"not_applicable")=IF(INDEX('Primary_snapshot'!$G$2:$G$120,MATCH(A27,'Primary_snapshot'!$A$2:$A$120,0))="","",INDEX('Primary_snapshot'!$G$2:$G$120,MATCH(A27,'Primary_snapshot'!$A$2:$A$120,0))),IF(AND(D27="retain",E27="protocol_report"),IF(L27="","",L27),"not_applicable")=IF(INDEX('Primary_snapshot'!$H$2:$H$120,MATCH(A27,'Primary_snapshot'!$A$2:$A$120,0))="","",INDEX('Primary_snapshot'!$H$2:$H$120,MATCH(A27,'Primary_snapshot'!$A$2:$A$120,0))),IF(R27="","",R27)=IF(INDEX('Primary_snapshot'!$I$2:$I$120,MATCH(A27,'Primary_snapshot'!$A$2:$A$120,0))="","",INDEX('Primary_snapshot'!$I$2:$I$120,MATCH(A27,'Primary_snapshot'!$A$2:$A$120,0)))))),"AGREE BUT CHANGED",IF(AND(P27&lt;&gt;"",NOT(OR(P27="pending",P27="resolved"))),"CHECK RESOLUTION",IF(OR(AND(OR(D27="discuss",INDEX('Primary_snapshot'!$B$2:$B$120,MATCH(A27,'Primary_snapshot'!$A$2:$A$120,0))="discuss",N27="disagree",N27="unable"),P27&lt;&gt;"resolved"),D27="discuss"),"DISCUSS",IF(AND(P27="resolved",LEN(TRIM(Q27))=0),"RESOLUTION NOTE NEEDED",IF(F27&lt;&gt;"checker_done","CHECKER DRAFT","FINAL READY")))))))))))))),"CHECK KEY / SNAPSHOT")</x:f>
        <x:v>CHECK REVIEWER IDs</x:v>
      </x:c>
      <x:c r="H27" s="7" t="str">
        <x:f>IF(AND(OR(D27="retain",D27=""),E27="statistical_results"),"","not_applicable")</x:f>
        <x:v>not_applicable</x:v>
      </x:c>
      <x:c r="I27" s="7" t="str">
        <x:f>IF(AND(OR(D27="retain",D27=""),E27="statistical_results"),"","not_applicable")</x:f>
        <x:v>not_applicable</x:v>
      </x:c>
      <x:c r="J27" s="13" t="str">
        <x:f>IF(AND(OR(D27="retain",D27=""),E27="statistical_results"),"","not_applicable")</x:f>
        <x:v>not_applicable</x:v>
      </x:c>
      <x:c r="K27" s="7" t="str">
        <x:f>IF(AND(OR(D27="retain",D27=""),OR(E27="report_internal_inconsistency",E27="plan_material")),"","not_applicable")</x:f>
      </x:c>
      <x:c r="L27" s="13" t="str">
        <x:f>IF(AND(OR(D27="retain",D27=""),E27="protocol_report"),"","not_applicable")</x:f>
        <x:v>not_applicable</x:v>
      </x:c>
      <x:c r="M27" s="3" t="str">
        <x:f>IF(Setup!$B$6="primary","",IFERROR(IF(INDEX('Primary_snapshot'!$L$2:$L$120,MATCH(A27,'Primary_snapshot'!$A$2:$A$120,0))="","",INDEX('Primary_snapshot'!$L$2:$L$120,MATCH(A27,'Primary_snapshot'!$A$2:$A$120,0))),"SNAPSHOT MISSING"))</x:f>
      </x:c>
      <x:c r="N27" s="7" t="str"/>
      <x:c r="O27" s="7" t="str"/>
      <x:c r="P27" s="7" t="str"/>
      <x:c r="Q27" s="7" t="str"/>
      <x:c r="R27" s="13" t="str"/>
    </x:row>
    <x:row r="28" ht="92" customHeight="1">
      <x:c r="A28" s="6" t="str">
        <x:v>2018::jama.2018.14282::C027</x:v>
      </x:c>
      <x:c r="B28" s="6" t="str">
        <x:v>Primary-hypothesis intervention is labelled NIV while plans identify HFNO</x:v>
      </x:c>
      <x:c r="C28" s="6" t="str">
        <x:v>DOC-002 — PDF p. 52; DOC-002 — PDF p. 104</x:v>
      </x:c>
      <x:c r="D28" s="7" t="str"/>
      <x:c r="E28" s="7" t="str">
        <x:v>plan_material</x:v>
      </x:c>
      <x:c r="F28" s="7" t="str">
        <x:v>no</x:v>
      </x:c>
      <x:c r="G28" s="6" t="str">
        <x:f>IFERROR(IF(NOT(OR(Setup!$B$6="primary",Setup!$B$6="checker")),"CHECK STAGE",IF(OR(LEN(TRIM(Setup!$B$2))=0,Setup!$B$2&lt;&gt;TRIM(Setup!$B$2),AND(Setup!$B$6="checker",OR(LEN(TRIM(Setup!$B$4))=0,Setup!$B$4&lt;&gt;TRIM(Setup!$B$4),LOWER(TRIM(Setup!$B$4))=LOWER(TRIM(Setup!$B$2))))),"CHECK REVIEWER IDs",IF(OR(COUNTIF($A$2:$A$29,A28)&lt;&gt;1,COUNTIF(Decisions!$C$2:$C$120,A28)&lt;&gt;1),"CHECK KEY",IF(OR(AND(NOT(AND(D28="retain",E28="statistical_results")),H28&lt;&gt;"",H28&lt;&gt;"not_applicable"),AND(NOT(AND(D28="retain",E28="statistical_results")),I28&lt;&gt;"",I28&lt;&gt;"not_applicable"),AND(NOT(AND(D28="retain",E28="statistical_results")),J28&lt;&gt;"",J28&lt;&gt;"not_applicable"),AND(NOT(AND(D28="retain",OR(E28="report_internal_inconsistency",E28="plan_material"))),K28&lt;&gt;"",K28&lt;&gt;"not_applicable"),AND(NOT(AND(D28="retain",E28="protocol_report")),L28&lt;&gt;"",L28&lt;&gt;"not_applicable")),"CLEAR INACTIVE VALUES",IF(OR(NOT(OR(D28="retain",D28="exclude",D28="discuss")),NOT(OR(E28="statistical_results",E28="report_internal_inconsistency",E28="plan_material",E28="protocol_report")),AND(AND(D28="retain",E28="statistical_results"),NOT(OR(H28="confirmed_issue",H28="probable_issue",H28="not_issue",H28="indeterminate"))),AND(AND(D28="retain",E28="statistical_results"),NOT(OR(I28="substantive",I28="minor_presentation",I28="indeterminate"))),AND(AND(D28="retain",E28="statistical_results"),J28&lt;&gt;"",NOT(OR(J28="direct",J28="possible",J28="unlikely",J28="unknown"))),AND(AND(D28="retain",OR(E28="report_internal_inconsistency",E28="plan_material")),NOT(OR(K28="substantive_inconsistency",K28="minor_presentation",K28="non_inconsistency",K28="indeterminate"))),AND(AND(D28="retain",E28="protocol_report"),L28&lt;&gt;"",NOT(OR(L28="substantive_difference",L28="minor_presentation",L28="version_timing",L28="non_inconsistency",L28="indeterminate")))),"CHECK FIELDS",IF(Setup!$B$6="primary",IF(OR(N28&lt;&gt;"",O28&lt;&gt;"",P28&lt;&gt;"",Q28&lt;&gt;""),"CLEAR CHECKER FIELDS",IF(OR(Setup!$B$4&lt;&gt;"",Setup!$B$5&lt;&gt;""),"CLEAR CHECKER ID",IF(F28&lt;&gt;"primary_done","PRIMARY DRAFT","PRIMARY READY"))),IF(OR(COUNTIF(Primary_snapshot!$A$2:$A$120,A28)&lt;&gt;1,INDEX('Primary_snapshot'!$J$2:$J$120,MATCH(A28,'Primary_snapshot'!$A$2:$A$120,0))&lt;&gt;"primary_done",INDEX('Primary_snapshot'!$K$2:$K$120,MATCH(A28,'Primary_snapshot'!$A$2:$A$120,0))&lt;&gt;Setup!$B$2,INDEX('Primary_snapshot'!$B$2:$B$120,MATCH(A28,'Primary_snapshot'!$A$2:$A$120,0))="NOT FROZEN",INDEX('Primary_snapshot'!$C$2:$C$120,MATCH(A28,'Primary_snapshot'!$A$2:$A$120,0))="NOT FROZEN",INDEX('Primary_snapshot'!$D$2:$D$120,MATCH(A28,'Primary_snapshot'!$A$2:$A$120,0))="NOT FROZEN",INDEX('Primary_snapshot'!$E$2:$E$120,MATCH(A28,'Primary_snapshot'!$A$2:$A$120,0))="NOT FROZEN",INDEX('Primary_snapshot'!$F$2:$F$120,MATCH(A28,'Primary_snapshot'!$A$2:$A$120,0))="NOT FROZEN",INDEX('Primary_snapshot'!$G$2:$G$120,MATCH(A28,'Primary_snapshot'!$A$2:$A$120,0))="NOT FROZEN",INDEX('Primary_snapshot'!$H$2:$H$120,MATCH(A28,'Primary_snapshot'!$A$2:$A$120,0))="NOT FROZEN",INDEX('Primary_snapshot'!$I$2:$I$120,MATCH(A28,'Primary_snapshot'!$A$2:$A$120,0))="NOT FROZEN",INDEX('Primary_snapshot'!$J$2:$J$120,MATCH(A28,'Primary_snapshot'!$A$2:$A$120,0))="NOT FROZEN",INDEX('Primary_snapshot'!$K$2:$K$120,MATCH(A28,'Primary_snapshot'!$A$2:$A$120,0))="NOT FROZEN",INDEX('Primary_snapshot'!$L$2:$L$120,MATCH(A28,'Primary_snapshot'!$A$2:$A$120,0))="NOT FROZEN"),"FREEZE SNAPSHOT",IF(NOT(OR(N28="agree",N28="agree_clarification",N28="disagree",N28="unable")),"CHECKER RESULT NEEDED",IF(AND(N28&lt;&gt;"agree",LEN(TRIM(O28))=0),"COMMENT NEEDED",IF(AND(N28="agree",NOT(AND(IF(D28="","",D28)=IF(INDEX('Primary_snapshot'!$B$2:$B$120,MATCH(A28,'Primary_snapshot'!$A$2:$A$120,0))="","",INDEX('Primary_snapshot'!$B$2:$B$120,MATCH(A28,'Primary_snapshot'!$A$2:$A$120,0))),IF(E28="","",E28)=IF(INDEX('Primary_snapshot'!$C$2:$C$120,MATCH(A28,'Primary_snapshot'!$A$2:$A$120,0))="","",INDEX('Primary_snapshot'!$C$2:$C$120,MATCH(A28,'Primary_snapshot'!$A$2:$A$120,0))),IF(AND(D28="retain",E28="statistical_results"),IF(H28="","",H28),"not_applicable")=IF(INDEX('Primary_snapshot'!$D$2:$D$120,MATCH(A28,'Primary_snapshot'!$A$2:$A$120,0))="","",INDEX('Primary_snapshot'!$D$2:$D$120,MATCH(A28,'Primary_snapshot'!$A$2:$A$120,0))),IF(AND(D28="retain",E28="statistical_results"),IF(I28="","",I28),"not_applicable")=IF(INDEX('Primary_snapshot'!$E$2:$E$120,MATCH(A28,'Primary_snapshot'!$A$2:$A$120,0))="","",INDEX('Primary_snapshot'!$E$2:$E$120,MATCH(A28,'Primary_snapshot'!$A$2:$A$120,0))),IF(AND(D28="retain",E28="statistical_results"),IF(J28="","",J28),"not_applicable")=IF(INDEX('Primary_snapshot'!$F$2:$F$120,MATCH(A28,'Primary_snapshot'!$A$2:$A$120,0))="","",INDEX('Primary_snapshot'!$F$2:$F$120,MATCH(A28,'Primary_snapshot'!$A$2:$A$120,0))),IF(AND(D28="retain",OR(E28="report_internal_inconsistency",E28="plan_material")),IF(K28="","",K28),"not_applicable")=IF(INDEX('Primary_snapshot'!$G$2:$G$120,MATCH(A28,'Primary_snapshot'!$A$2:$A$120,0))="","",INDEX('Primary_snapshot'!$G$2:$G$120,MATCH(A28,'Primary_snapshot'!$A$2:$A$120,0))),IF(AND(D28="retain",E28="protocol_report"),IF(L28="","",L28),"not_applicable")=IF(INDEX('Primary_snapshot'!$H$2:$H$120,MATCH(A28,'Primary_snapshot'!$A$2:$A$120,0))="","",INDEX('Primary_snapshot'!$H$2:$H$120,MATCH(A28,'Primary_snapshot'!$A$2:$A$120,0))),IF(R28="","",R28)=IF(INDEX('Primary_snapshot'!$I$2:$I$120,MATCH(A28,'Primary_snapshot'!$A$2:$A$120,0))="","",INDEX('Primary_snapshot'!$I$2:$I$120,MATCH(A28,'Primary_snapshot'!$A$2:$A$120,0)))))),"AGREE BUT CHANGED",IF(AND(P28&lt;&gt;"",NOT(OR(P28="pending",P28="resolved"))),"CHECK RESOLUTION",IF(OR(AND(OR(D28="discuss",INDEX('Primary_snapshot'!$B$2:$B$120,MATCH(A28,'Primary_snapshot'!$A$2:$A$120,0))="discuss",N28="disagree",N28="unable"),P28&lt;&gt;"resolved"),D28="discuss"),"DISCUSS",IF(AND(P28="resolved",LEN(TRIM(Q28))=0),"RESOLUTION NOTE NEEDED",IF(F28&lt;&gt;"checker_done","CHECKER DRAFT","FINAL READY")))))))))))))),"CHECK KEY / SNAPSHOT")</x:f>
        <x:v>CHECK REVIEWER IDs</x:v>
      </x:c>
      <x:c r="H28" s="7" t="str">
        <x:f>IF(AND(OR(D28="retain",D28=""),E28="statistical_results"),"","not_applicable")</x:f>
        <x:v>not_applicable</x:v>
      </x:c>
      <x:c r="I28" s="7" t="str">
        <x:f>IF(AND(OR(D28="retain",D28=""),E28="statistical_results"),"","not_applicable")</x:f>
        <x:v>not_applicable</x:v>
      </x:c>
      <x:c r="J28" s="13" t="str">
        <x:f>IF(AND(OR(D28="retain",D28=""),E28="statistical_results"),"","not_applicable")</x:f>
        <x:v>not_applicable</x:v>
      </x:c>
      <x:c r="K28" s="7" t="str">
        <x:f>IF(AND(OR(D28="retain",D28=""),OR(E28="report_internal_inconsistency",E28="plan_material")),"","not_applicable")</x:f>
      </x:c>
      <x:c r="L28" s="13" t="str">
        <x:f>IF(AND(OR(D28="retain",D28=""),E28="protocol_report"),"","not_applicable")</x:f>
        <x:v>not_applicable</x:v>
      </x:c>
      <x:c r="M28" s="6" t="str">
        <x:f>IF(Setup!$B$6="primary","",IFERROR(IF(INDEX('Primary_snapshot'!$L$2:$L$120,MATCH(A28,'Primary_snapshot'!$A$2:$A$120,0))="","",INDEX('Primary_snapshot'!$L$2:$L$120,MATCH(A28,'Primary_snapshot'!$A$2:$A$120,0))),"SNAPSHOT MISSING"))</x:f>
      </x:c>
      <x:c r="N28" s="7" t="str"/>
      <x:c r="O28" s="7" t="str"/>
      <x:c r="P28" s="7" t="str"/>
      <x:c r="Q28" s="7" t="str"/>
      <x:c r="R28" s="13" t="str"/>
    </x:row>
    <x:row r="29" ht="92" customHeight="1">
      <x:c r="A29" s="3" t="str">
        <x:v>2018::jama.2018.14282::C028</x:v>
      </x:c>
      <x:c r="B29" s="3" t="str">
        <x:v>Planned primary outcome alternates between day-28 vital status and hospital death</x:v>
      </x:c>
      <x:c r="C29" s="3" t="str">
        <x:v>DOC-002 — PDF p. 54; DOC-002 — PDF p. 82; DOC-002 — PDF p. 104</x:v>
      </x:c>
      <x:c r="D29" s="7" t="str"/>
      <x:c r="E29" s="7" t="str">
        <x:v>plan_material</x:v>
      </x:c>
      <x:c r="F29" s="7" t="str">
        <x:v>no</x:v>
      </x:c>
      <x:c r="G29" s="3" t="str">
        <x:f>IFERROR(IF(NOT(OR(Setup!$B$6="primary",Setup!$B$6="checker")),"CHECK STAGE",IF(OR(LEN(TRIM(Setup!$B$2))=0,Setup!$B$2&lt;&gt;TRIM(Setup!$B$2),AND(Setup!$B$6="checker",OR(LEN(TRIM(Setup!$B$4))=0,Setup!$B$4&lt;&gt;TRIM(Setup!$B$4),LOWER(TRIM(Setup!$B$4))=LOWER(TRIM(Setup!$B$2))))),"CHECK REVIEWER IDs",IF(OR(COUNTIF($A$2:$A$29,A29)&lt;&gt;1,COUNTIF(Decisions!$C$2:$C$120,A29)&lt;&gt;1),"CHECK KEY",IF(OR(AND(NOT(AND(D29="retain",E29="statistical_results")),H29&lt;&gt;"",H29&lt;&gt;"not_applicable"),AND(NOT(AND(D29="retain",E29="statistical_results")),I29&lt;&gt;"",I29&lt;&gt;"not_applicable"),AND(NOT(AND(D29="retain",E29="statistical_results")),J29&lt;&gt;"",J29&lt;&gt;"not_applicable"),AND(NOT(AND(D29="retain",OR(E29="report_internal_inconsistency",E29="plan_material"))),K29&lt;&gt;"",K29&lt;&gt;"not_applicable"),AND(NOT(AND(D29="retain",E29="protocol_report")),L29&lt;&gt;"",L29&lt;&gt;"not_applicable")),"CLEAR INACTIVE VALUES",IF(OR(NOT(OR(D29="retain",D29="exclude",D29="discuss")),NOT(OR(E29="statistical_results",E29="report_internal_inconsistency",E29="plan_material",E29="protocol_report")),AND(AND(D29="retain",E29="statistical_results"),NOT(OR(H29="confirmed_issue",H29="probable_issue",H29="not_issue",H29="indeterminate"))),AND(AND(D29="retain",E29="statistical_results"),NOT(OR(I29="substantive",I29="minor_presentation",I29="indeterminate"))),AND(AND(D29="retain",E29="statistical_results"),J29&lt;&gt;"",NOT(OR(J29="direct",J29="possible",J29="unlikely",J29="unknown"))),AND(AND(D29="retain",OR(E29="report_internal_inconsistency",E29="plan_material")),NOT(OR(K29="substantive_inconsistency",K29="minor_presentation",K29="non_inconsistency",K29="indeterminate"))),AND(AND(D29="retain",E29="protocol_report"),L29&lt;&gt;"",NOT(OR(L29="substantive_difference",L29="minor_presentation",L29="version_timing",L29="non_inconsistency",L29="indeterminate")))),"CHECK FIELDS",IF(Setup!$B$6="primary",IF(OR(N29&lt;&gt;"",O29&lt;&gt;"",P29&lt;&gt;"",Q29&lt;&gt;""),"CLEAR CHECKER FIELDS",IF(OR(Setup!$B$4&lt;&gt;"",Setup!$B$5&lt;&gt;""),"CLEAR CHECKER ID",IF(F29&lt;&gt;"primary_done","PRIMARY DRAFT","PRIMARY READY"))),IF(OR(COUNTIF(Primary_snapshot!$A$2:$A$120,A29)&lt;&gt;1,INDEX('Primary_snapshot'!$J$2:$J$120,MATCH(A29,'Primary_snapshot'!$A$2:$A$120,0))&lt;&gt;"primary_done",INDEX('Primary_snapshot'!$K$2:$K$120,MATCH(A29,'Primary_snapshot'!$A$2:$A$120,0))&lt;&gt;Setup!$B$2,INDEX('Primary_snapshot'!$B$2:$B$120,MATCH(A29,'Primary_snapshot'!$A$2:$A$120,0))="NOT FROZEN",INDEX('Primary_snapshot'!$C$2:$C$120,MATCH(A29,'Primary_snapshot'!$A$2:$A$120,0))="NOT FROZEN",INDEX('Primary_snapshot'!$D$2:$D$120,MATCH(A29,'Primary_snapshot'!$A$2:$A$120,0))="NOT FROZEN",INDEX('Primary_snapshot'!$E$2:$E$120,MATCH(A29,'Primary_snapshot'!$A$2:$A$120,0))="NOT FROZEN",INDEX('Primary_snapshot'!$F$2:$F$120,MATCH(A29,'Primary_snapshot'!$A$2:$A$120,0))="NOT FROZEN",INDEX('Primary_snapshot'!$G$2:$G$120,MATCH(A29,'Primary_snapshot'!$A$2:$A$120,0))="NOT FROZEN",INDEX('Primary_snapshot'!$H$2:$H$120,MATCH(A29,'Primary_snapshot'!$A$2:$A$120,0))="NOT FROZEN",INDEX('Primary_snapshot'!$I$2:$I$120,MATCH(A29,'Primary_snapshot'!$A$2:$A$120,0))="NOT FROZEN",INDEX('Primary_snapshot'!$J$2:$J$120,MATCH(A29,'Primary_snapshot'!$A$2:$A$120,0))="NOT FROZEN",INDEX('Primary_snapshot'!$K$2:$K$120,MATCH(A29,'Primary_snapshot'!$A$2:$A$120,0))="NOT FROZEN",INDEX('Primary_snapshot'!$L$2:$L$120,MATCH(A29,'Primary_snapshot'!$A$2:$A$120,0))="NOT FROZEN"),"FREEZE SNAPSHOT",IF(NOT(OR(N29="agree",N29="agree_clarification",N29="disagree",N29="unable")),"CHECKER RESULT NEEDED",IF(AND(N29&lt;&gt;"agree",LEN(TRIM(O29))=0),"COMMENT NEEDED",IF(AND(N29="agree",NOT(AND(IF(D29="","",D29)=IF(INDEX('Primary_snapshot'!$B$2:$B$120,MATCH(A29,'Primary_snapshot'!$A$2:$A$120,0))="","",INDEX('Primary_snapshot'!$B$2:$B$120,MATCH(A29,'Primary_snapshot'!$A$2:$A$120,0))),IF(E29="","",E29)=IF(INDEX('Primary_snapshot'!$C$2:$C$120,MATCH(A29,'Primary_snapshot'!$A$2:$A$120,0))="","",INDEX('Primary_snapshot'!$C$2:$C$120,MATCH(A29,'Primary_snapshot'!$A$2:$A$120,0))),IF(AND(D29="retain",E29="statistical_results"),IF(H29="","",H29),"not_applicable")=IF(INDEX('Primary_snapshot'!$D$2:$D$120,MATCH(A29,'Primary_snapshot'!$A$2:$A$120,0))="","",INDEX('Primary_snapshot'!$D$2:$D$120,MATCH(A29,'Primary_snapshot'!$A$2:$A$120,0))),IF(AND(D29="retain",E29="statistical_results"),IF(I29="","",I29),"not_applicable")=IF(INDEX('Primary_snapshot'!$E$2:$E$120,MATCH(A29,'Primary_snapshot'!$A$2:$A$120,0))="","",INDEX('Primary_snapshot'!$E$2:$E$120,MATCH(A29,'Primary_snapshot'!$A$2:$A$120,0))),IF(AND(D29="retain",E29="statistical_results"),IF(J29="","",J29),"not_applicable")=IF(INDEX('Primary_snapshot'!$F$2:$F$120,MATCH(A29,'Primary_snapshot'!$A$2:$A$120,0))="","",INDEX('Primary_snapshot'!$F$2:$F$120,MATCH(A29,'Primary_snapshot'!$A$2:$A$120,0))),IF(AND(D29="retain",OR(E29="report_internal_inconsistency",E29="plan_material")),IF(K29="","",K29),"not_applicable")=IF(INDEX('Primary_snapshot'!$G$2:$G$120,MATCH(A29,'Primary_snapshot'!$A$2:$A$120,0))="","",INDEX('Primary_snapshot'!$G$2:$G$120,MATCH(A29,'Primary_snapshot'!$A$2:$A$120,0))),IF(AND(D29="retain",E29="protocol_report"),IF(L29="","",L29),"not_applicable")=IF(INDEX('Primary_snapshot'!$H$2:$H$120,MATCH(A29,'Primary_snapshot'!$A$2:$A$120,0))="","",INDEX('Primary_snapshot'!$H$2:$H$120,MATCH(A29,'Primary_snapshot'!$A$2:$A$120,0))),IF(R29="","",R29)=IF(INDEX('Primary_snapshot'!$I$2:$I$120,MATCH(A29,'Primary_snapshot'!$A$2:$A$120,0))="","",INDEX('Primary_snapshot'!$I$2:$I$120,MATCH(A29,'Primary_snapshot'!$A$2:$A$120,0)))))),"AGREE BUT CHANGED",IF(AND(P29&lt;&gt;"",NOT(OR(P29="pending",P29="resolved"))),"CHECK RESOLUTION",IF(OR(AND(OR(D29="discuss",INDEX('Primary_snapshot'!$B$2:$B$120,MATCH(A29,'Primary_snapshot'!$A$2:$A$120,0))="discuss",N29="disagree",N29="unable"),P29&lt;&gt;"resolved"),D29="discuss"),"DISCUSS",IF(AND(P29="resolved",LEN(TRIM(Q29))=0),"RESOLUTION NOTE NEEDED",IF(F29&lt;&gt;"checker_done","CHECKER DRAFT","FINAL READY")))))))))))))),"CHECK KEY / SNAPSHOT")</x:f>
        <x:v>CHECK REVIEWER IDs</x:v>
      </x:c>
      <x:c r="H29" s="7" t="str">
        <x:f>IF(AND(OR(D29="retain",D29=""),E29="statistical_results"),"","not_applicable")</x:f>
        <x:v>not_applicable</x:v>
      </x:c>
      <x:c r="I29" s="7" t="str">
        <x:f>IF(AND(OR(D29="retain",D29=""),E29="statistical_results"),"","not_applicable")</x:f>
        <x:v>not_applicable</x:v>
      </x:c>
      <x:c r="J29" s="13" t="str">
        <x:f>IF(AND(OR(D29="retain",D29=""),E29="statistical_results"),"","not_applicable")</x:f>
        <x:v>not_applicable</x:v>
      </x:c>
      <x:c r="K29" s="7" t="str">
        <x:f>IF(AND(OR(D29="retain",D29=""),OR(E29="report_internal_inconsistency",E29="plan_material")),"","not_applicable")</x:f>
      </x:c>
      <x:c r="L29" s="13" t="str">
        <x:f>IF(AND(OR(D29="retain",D29=""),E29="protocol_report"),"","not_applicable")</x:f>
        <x:v>not_applicable</x:v>
      </x:c>
      <x:c r="M29" s="3" t="str">
        <x:f>IF(Setup!$B$6="primary","",IFERROR(IF(INDEX('Primary_snapshot'!$L$2:$L$120,MATCH(A29,'Primary_snapshot'!$A$2:$A$120,0))="","",INDEX('Primary_snapshot'!$L$2:$L$120,MATCH(A29,'Primary_snapshot'!$A$2:$A$120,0))),"SNAPSHOT MISSING"))</x:f>
      </x:c>
      <x:c r="N29" s="7" t="str"/>
      <x:c r="O29" s="7" t="str"/>
      <x:c r="P29" s="7" t="str"/>
      <x:c r="Q29" s="7" t="str"/>
      <x:c r="R29" s="13" t="str"/>
    </x:row>
  </x:sheetData>
  <x:conditionalFormatting sqref="G2:G29">
    <x:cfRule type="expression" dxfId="28" priority="1">
      <x:formula>AND(G2&lt;&gt;"PRIMARY READY",G2&lt;&gt;"FINAL READY")</x:formula>
    </x:cfRule>
  </x:conditionalFormatting>
  <x:conditionalFormatting sqref="N2:Q29">
    <x:cfRule type="expression" dxfId="29" priority="2">
      <x:formula>Setup!$B$6="primary"</x:formula>
    </x:cfRule>
  </x:conditionalFormatting>
  <x:conditionalFormatting sqref="H2:H29">
    <x:cfRule type="expression" dxfId="30" priority="3">
      <x:formula>NOT(AND(OR($D2="retain",$D2=""),$E2="statistical_results"))</x:formula>
    </x:cfRule>
  </x:conditionalFormatting>
  <x:conditionalFormatting sqref="I2:I29">
    <x:cfRule type="expression" dxfId="31" priority="4">
      <x:formula>NOT(AND(OR($D2="retain",$D2=""),$E2="statistical_results"))</x:formula>
    </x:cfRule>
  </x:conditionalFormatting>
  <x:conditionalFormatting sqref="J2:J29">
    <x:cfRule type="expression" dxfId="32" priority="5">
      <x:formula>NOT(AND(OR($D2="retain",$D2=""),$E2="statistical_results"))</x:formula>
    </x:cfRule>
  </x:conditionalFormatting>
  <x:conditionalFormatting sqref="K2:K29">
    <x:cfRule type="expression" dxfId="33" priority="6">
      <x:formula>NOT(AND(OR($D2="retain",$D2=""),OR($E2="report_internal_inconsistency",$E2="plan_material")))</x:formula>
    </x:cfRule>
  </x:conditionalFormatting>
  <x:conditionalFormatting sqref="L2:L29">
    <x:cfRule type="expression" dxfId="34" priority="7">
      <x:formula>NOT(AND(OR($D2="retain",$D2=""),$E2="protocol_report"))</x:formula>
    </x:cfRule>
  </x:conditionalFormatting>
  <x:dataValidations count="10">
    <x:dataValidation type="list" sqref="D2:D29">
      <x:formula1>"retain,exclude,discuss"</x:formula1>
    </x:dataValidation>
    <x:dataValidation type="list" sqref="E2:E29">
      <x:formula1>"statistical_results,report_internal_inconsistency,plan_material,protocol_report"</x:formula1>
    </x:dataValidation>
    <x:dataValidation type="list" sqref="F2:F29">
      <x:formula1>"no,primary_done,checker_done"</x:formula1>
    </x:dataValidation>
    <x:dataValidation type="list" sqref="H2:H29">
      <x:formula1>"confirmed_issue,probable_issue,not_issue,indeterminate,not_applicable"</x:formula1>
    </x:dataValidation>
    <x:dataValidation type="list" sqref="I2:I29">
      <x:formula1>"substantive,minor_presentation,indeterminate,not_applicable"</x:formula1>
    </x:dataValidation>
    <x:dataValidation type="list" sqref="J2:J29">
      <x:formula1>"direct,possible,unlikely,unknown,not_applicable"</x:formula1>
    </x:dataValidation>
    <x:dataValidation type="list" sqref="K2:K29">
      <x:formula1>"substantive_inconsistency,minor_presentation,non_inconsistency,indeterminate,not_applicable"</x:formula1>
    </x:dataValidation>
    <x:dataValidation type="list" sqref="L2:L29">
      <x:formula1>"substantive_difference,minor_presentation,version_timing,non_inconsistency,indeterminate,not_applicable"</x:formula1>
    </x:dataValidation>
    <x:dataValidation type="list" sqref="N2:N29">
      <x:formula1>"agree,agree_clarification,disagree,unable"</x:formula1>
    </x:dataValidation>
    <x:dataValidation type="list" sqref="P2:P29">
      <x:formula1>"pending,resolved"</x:formula1>
    </x:dataValidation>
  </x:dataValidations>
  <x:pageMargins left="0.7" right="0.7" top="0.75" bottom="0.75" header="0.3" footer="0.3"/>
  <x:tableParts count="1">
    <x:tablePart xmlns:r="http://schemas.openxmlformats.org/officeDocument/2006/relationships" r:id="R3833c1bfd34640ac"/>
  </x:tableParts>
</x:worksheet>
</file>

<file path=xl/worksheets/sheet10.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28" hidden="0" customWidth="1"/>
    <x:col min="3" max="3" width="22" hidden="0" customWidth="1"/>
    <x:col min="4" max="4" width="18" hidden="0" customWidth="1"/>
    <x:col min="5" max="5" width="24" hidden="0" customWidth="1"/>
    <x:col min="6" max="6" width="17" hidden="0" customWidth="1"/>
    <x:col min="7" max="7" width="25" hidden="0" customWidth="1"/>
    <x:col min="8" max="8" width="28" hidden="0" customWidth="1"/>
    <x:col min="9" max="9" width="20" hidden="0" customWidth="1"/>
    <x:col min="10" max="10" width="20" hidden="0" customWidth="1"/>
    <x:col min="11" max="11" width="34" hidden="0" customWidth="1"/>
    <x:col min="12" max="12" width="26" hidden="0" customWidth="1"/>
    <x:col min="13" max="13" width="58" hidden="0" customWidth="1"/>
    <x:col min="14" max="14" width="23" hidden="0" customWidth="1"/>
    <x:col min="15" max="15" width="32" hidden="0" customWidth="1"/>
    <x:col min="16" max="16" width="22" hidden="0" customWidth="1"/>
    <x:col min="17" max="17" width="32" hidden="0" customWidth="1"/>
    <x:col min="18" max="18" width="32" hidden="0" customWidth="1"/>
  </x:cols>
  <x:sheetData>
    <x:row r="1" ht="42" customHeight="1">
      <x:c r="A1" s="5" t="str">
        <x:v>Candidate key</x:v>
      </x:c>
      <x:c r="B1" s="5" t="str">
        <x:v>Candidate title</x:v>
      </x:c>
      <x:c r="C1" s="5" t="str">
        <x:v>Source location</x:v>
      </x:c>
      <x:c r="D1" s="5" t="str">
        <x:v>Disposition</x:v>
      </x:c>
      <x:c r="E1" s="5" t="str">
        <x:v>Review domain</x:v>
      </x:c>
      <x:c r="F1" s="5" t="str">
        <x:v>Complete</x:v>
      </x:c>
      <x:c r="G1" s="5" t="str">
        <x:v>Validation hint</x:v>
      </x:c>
      <x:c r="H1" s="5" t="str">
        <x:v>Statistcal_or_numerical issue</x:v>
      </x:c>
      <x:c r="I1" s="5" t="str">
        <x:v>Substantiveness</x:v>
      </x:c>
      <x:c r="J1" s="5" t="str">
        <x:v>Downstream impact</x:v>
      </x:c>
      <x:c r="K1" s="5" t="str">
        <x:v>Report-internal or planning-material inconsistency</x:v>
      </x:c>
      <x:c r="L1" s="5" t="str">
        <x:v>Protocol interpretation</x:v>
      </x:c>
      <x:c r="M1" s="5" t="str">
        <x:v>Primary assessment</x:v>
      </x:c>
      <x:c r="N1" s="5" t="str">
        <x:v>Checker result</x:v>
      </x:c>
      <x:c r="O1" s="5" t="str">
        <x:v>Checker comment</x:v>
      </x:c>
      <x:c r="P1" s="5" t="str">
        <x:v>Discussion resolution</x:v>
      </x:c>
      <x:c r="Q1" s="5" t="str">
        <x:v>Resolution note</x:v>
      </x:c>
      <x:c r="R1" s="5" t="str">
        <x:v>Notes (optional)</x:v>
      </x:c>
    </x:row>
    <x:row r="2" ht="92" customHeight="1">
      <x:c r="A2" s="6" t="str">
        <x:v>2018::jama.2018.17075::C001</x:v>
      </x:c>
      <x:c r="B2" s="6" t="str">
        <x:v>Normothermia Injury Severity Score median is below its printed IQR lower endpoint</x:v>
      </x:c>
      <x:c r="C2" s="6" t="str">
        <x:v>jama_cooper_2018_oi_180132.pdf — PDF p. 5, Table 1, normothermia Injury Severity Score.</x:v>
      </x:c>
      <x:c r="D2" s="7" t="str"/>
      <x:c r="E2" s="7" t="str">
        <x:v>statistical_results</x:v>
      </x:c>
      <x:c r="F2" s="7" t="str">
        <x:v>no</x:v>
      </x:c>
      <x:c r="G2" s="6" t="str">
        <x:f>IFERROR(IF(NOT(OR(Setup!$B$6="primary",Setup!$B$6="checker")),"CHECK STAGE",IF(OR(LEN(TRIM(Setup!$B$2))=0,Setup!$B$2&lt;&gt;TRIM(Setup!$B$2),AND(Setup!$B$6="checker",OR(LEN(TRIM(Setup!$B$4))=0,Setup!$B$4&lt;&gt;TRIM(Setup!$B$4),LOWER(TRIM(Setup!$B$4))=LOWER(TRIM(Setup!$B$2))))),"CHECK REVIEWER IDs",IF(OR(COUNTIF($A$2:$A$9,A2)&lt;&gt;1,COUNTIF(Decisions!$C$2:$C$120,A2)&lt;&gt;1),"CHECK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FIELDS",IF(Setup!$B$6="primary",IF(OR(N2&lt;&gt;"",O2&lt;&gt;"",P2&lt;&gt;"",Q2&lt;&gt;""),"CLEAR CHECKER FIELDS",IF(OR(Setup!$B$4&lt;&gt;"",Setup!$B$5&lt;&gt;""),"CLEAR CHECKER ID",IF(F2&lt;&gt;"primary_done","PRIMARY DRAFT","PRIMARY READY"))),IF(OR(COUNTIF(Primary_snapshot!$A$2:$A$120,A2)&lt;&gt;1,INDEX('Primary_snapshot'!$J$2:$J$120,MATCH(A2,'Primary_snapshot'!$A$2:$A$120,0))&lt;&gt;"primary_done",INDEX('Primary_snapshot'!$K$2:$K$120,MATCH(A2,'Primary_snapshot'!$A$2:$A$120,0))&lt;&gt;Setup!$B$2,INDEX('Primary_snapshot'!$B$2:$B$120,MATCH(A2,'Primary_snapshot'!$A$2:$A$120,0))="NOT FROZEN",INDEX('Primary_snapshot'!$C$2:$C$120,MATCH(A2,'Primary_snapshot'!$A$2:$A$120,0))="NOT FROZEN",INDEX('Primary_snapshot'!$D$2:$D$120,MATCH(A2,'Primary_snapshot'!$A$2:$A$120,0))="NOT FROZEN",INDEX('Primary_snapshot'!$E$2:$E$120,MATCH(A2,'Primary_snapshot'!$A$2:$A$120,0))="NOT FROZEN",INDEX('Primary_snapshot'!$F$2:$F$120,MATCH(A2,'Primary_snapshot'!$A$2:$A$120,0))="NOT FROZEN",INDEX('Primary_snapshot'!$G$2:$G$120,MATCH(A2,'Primary_snapshot'!$A$2:$A$120,0))="NOT FROZEN",INDEX('Primary_snapshot'!$H$2:$H$120,MATCH(A2,'Primary_snapshot'!$A$2:$A$120,0))="NOT FROZEN",INDEX('Primary_snapshot'!$I$2:$I$120,MATCH(A2,'Primary_snapshot'!$A$2:$A$120,0))="NOT FROZEN",INDEX('Primary_snapshot'!$J$2:$J$120,MATCH(A2,'Primary_snapshot'!$A$2:$A$120,0))="NOT FROZEN",INDEX('Primary_snapshot'!$K$2:$K$120,MATCH(A2,'Primary_snapshot'!$A$2:$A$120,0))="NOT FROZEN",INDEX('Primary_snapshot'!$L$2:$L$120,MATCH(A2,'Primary_snapshot'!$A$2:$A$120,0))="NOT FROZEN"),"FREEZE SNAPSHOT",IF(NOT(OR(N2="agree",N2="agree_clarification",N2="disagree",N2="unable")),"CHECKER RESULT NEEDED",IF(AND(N2&lt;&gt;"agree",LEN(TRIM(O2))=0),"COMMENT NEEDED",IF(AND(N2="agree",NOT(AND(IF(D2="","",D2)=IF(INDEX('Primary_snapshot'!$B$2:$B$120,MATCH(A2,'Primary_snapshot'!$A$2:$A$120,0))="","",INDEX('Primary_snapshot'!$B$2:$B$120,MATCH(A2,'Primary_snapshot'!$A$2:$A$120,0))),IF(E2="","",E2)=IF(INDEX('Primary_snapshot'!$C$2:$C$120,MATCH(A2,'Primary_snapshot'!$A$2:$A$120,0))="","",INDEX('Primary_snapshot'!$C$2:$C$120,MATCH(A2,'Primary_snapshot'!$A$2:$A$120,0))),IF(AND(D2="retain",E2="statistical_results"),IF(H2="","",H2),"not_applicable")=IF(INDEX('Primary_snapshot'!$D$2:$D$120,MATCH(A2,'Primary_snapshot'!$A$2:$A$120,0))="","",INDEX('Primary_snapshot'!$D$2:$D$120,MATCH(A2,'Primary_snapshot'!$A$2:$A$120,0))),IF(AND(D2="retain",E2="statistical_results"),IF(I2="","",I2),"not_applicable")=IF(INDEX('Primary_snapshot'!$E$2:$E$120,MATCH(A2,'Primary_snapshot'!$A$2:$A$120,0))="","",INDEX('Primary_snapshot'!$E$2:$E$120,MATCH(A2,'Primary_snapshot'!$A$2:$A$120,0))),IF(AND(D2="retain",E2="statistical_results"),IF(J2="","",J2),"not_applicable")=IF(INDEX('Primary_snapshot'!$F$2:$F$120,MATCH(A2,'Primary_snapshot'!$A$2:$A$120,0))="","",INDEX('Primary_snapshot'!$F$2:$F$120,MATCH(A2,'Primary_snapshot'!$A$2:$A$120,0))),IF(AND(D2="retain",OR(E2="report_internal_inconsistency",E2="plan_material")),IF(K2="","",K2),"not_applicable")=IF(INDEX('Primary_snapshot'!$G$2:$G$120,MATCH(A2,'Primary_snapshot'!$A$2:$A$120,0))="","",INDEX('Primary_snapshot'!$G$2:$G$120,MATCH(A2,'Primary_snapshot'!$A$2:$A$120,0))),IF(AND(D2="retain",E2="protocol_report"),IF(L2="","",L2),"not_applicable")=IF(INDEX('Primary_snapshot'!$H$2:$H$120,MATCH(A2,'Primary_snapshot'!$A$2:$A$120,0))="","",INDEX('Primary_snapshot'!$H$2:$H$120,MATCH(A2,'Primary_snapshot'!$A$2:$A$120,0))),IF(R2="","",R2)=IF(INDEX('Primary_snapshot'!$I$2:$I$120,MATCH(A2,'Primary_snapshot'!$A$2:$A$120,0))="","",INDEX('Primary_snapshot'!$I$2:$I$120,MATCH(A2,'Primary_snapshot'!$A$2:$A$120,0)))))),"AGREE BUT CHANGED",IF(AND(P2&lt;&gt;"",NOT(OR(P2="pending",P2="resolved"))),"CHECK RESOLUTION",IF(OR(AND(OR(D2="discuss",INDEX('Primary_snapshot'!$B$2:$B$120,MATCH(A2,'Primary_snapshot'!$A$2:$A$120,0))="discuss",N2="disagree",N2="unable"),P2&lt;&gt;"resolved"),D2="discuss"),"DISCUSS",IF(AND(P2="resolved",LEN(TRIM(Q2))=0),"RESOLUTION NOTE NEEDED",IF(F2&lt;&gt;"checker_done","CHECKER DRAFT","FINAL READY")))))))))))))),"CHECK KEY / SNAPSHOT")</x:f>
        <x:v>CHECK REVIEWER IDs</x:v>
      </x:c>
      <x:c r="H2" s="7" t="str">
        <x:f>IF(AND(OR(D2="retain",D2=""),E2="statistical_results"),"","not_applicable")</x:f>
      </x:c>
      <x:c r="I2" s="7" t="str">
        <x:f>IF(AND(OR(D2="retain",D2=""),E2="statistical_results"),"","not_applicable")</x:f>
      </x:c>
      <x:c r="J2" s="13" t="str">
        <x:f>IF(AND(OR(D2="retain",D2=""),E2="statistical_results"),"","not_applicable")</x:f>
      </x:c>
      <x:c r="K2" s="7" t="str">
        <x:f>IF(AND(OR(D2="retain",D2=""),OR(E2="report_internal_inconsistency",E2="plan_material")),"","not_applicable")</x:f>
        <x:v>not_applicable</x:v>
      </x:c>
      <x:c r="L2" s="13" t="str">
        <x:f>IF(AND(OR(D2="retain",D2=""),E2="protocol_report"),"","not_applicable")</x:f>
        <x:v>not_applicable</x:v>
      </x:c>
      <x:c r="M2" s="6" t="str">
        <x:f>IF(Setup!$B$6="primary","",IFERROR(IF(INDEX('Primary_snapshot'!$L$2:$L$120,MATCH(A2,'Primary_snapshot'!$A$2:$A$120,0))="","",INDEX('Primary_snapshot'!$L$2:$L$120,MATCH(A2,'Primary_snapshot'!$A$2:$A$120,0))),"SNAPSHOT MISSING"))</x:f>
      </x:c>
      <x:c r="N2" s="7" t="str"/>
      <x:c r="O2" s="7" t="str"/>
      <x:c r="P2" s="7" t="str"/>
      <x:c r="Q2" s="7" t="str"/>
      <x:c r="R2" s="13" t="str"/>
    </x:row>
    <x:row r="3" ht="92" customHeight="1">
      <x:c r="A3" s="3" t="str">
        <x:v>2018::jama.2018.17075::C002</x:v>
      </x:c>
      <x:c r="B3" s="3" t="str">
        <x:v>Primary risk difference has opposite signs in matched main-article locations</x:v>
      </x:c>
      <x:c r="C3" s="3" t="str">
        <x:v>jama_cooper_2018_oi_180132.pdf — PDF p. 1, abstract Results; PDF p. 5, Primary Outcome Results; PDF p. 7, Table 2 favorable outcome.</x:v>
      </x:c>
      <x:c r="D3" s="7" t="str"/>
      <x:c r="E3" s="7" t="str">
        <x:v>report_internal_inconsistency</x:v>
      </x:c>
      <x:c r="F3" s="7" t="str">
        <x:v>no</x:v>
      </x:c>
      <x:c r="G3" s="3" t="str">
        <x:f>IFERROR(IF(NOT(OR(Setup!$B$6="primary",Setup!$B$6="checker")),"CHECK STAGE",IF(OR(LEN(TRIM(Setup!$B$2))=0,Setup!$B$2&lt;&gt;TRIM(Setup!$B$2),AND(Setup!$B$6="checker",OR(LEN(TRIM(Setup!$B$4))=0,Setup!$B$4&lt;&gt;TRIM(Setup!$B$4),LOWER(TRIM(Setup!$B$4))=LOWER(TRIM(Setup!$B$2))))),"CHECK REVIEWER IDs",IF(OR(COUNTIF($A$2:$A$9,A3)&lt;&gt;1,COUNTIF(Decisions!$C$2:$C$120,A3)&lt;&gt;1),"CHECK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FIELDS",IF(Setup!$B$6="primary",IF(OR(N3&lt;&gt;"",O3&lt;&gt;"",P3&lt;&gt;"",Q3&lt;&gt;""),"CLEAR CHECKER FIELDS",IF(OR(Setup!$B$4&lt;&gt;"",Setup!$B$5&lt;&gt;""),"CLEAR CHECKER ID",IF(F3&lt;&gt;"primary_done","PRIMARY DRAFT","PRIMARY READY"))),IF(OR(COUNTIF(Primary_snapshot!$A$2:$A$120,A3)&lt;&gt;1,INDEX('Primary_snapshot'!$J$2:$J$120,MATCH(A3,'Primary_snapshot'!$A$2:$A$120,0))&lt;&gt;"primary_done",INDEX('Primary_snapshot'!$K$2:$K$120,MATCH(A3,'Primary_snapshot'!$A$2:$A$120,0))&lt;&gt;Setup!$B$2,INDEX('Primary_snapshot'!$B$2:$B$120,MATCH(A3,'Primary_snapshot'!$A$2:$A$120,0))="NOT FROZEN",INDEX('Primary_snapshot'!$C$2:$C$120,MATCH(A3,'Primary_snapshot'!$A$2:$A$120,0))="NOT FROZEN",INDEX('Primary_snapshot'!$D$2:$D$120,MATCH(A3,'Primary_snapshot'!$A$2:$A$120,0))="NOT FROZEN",INDEX('Primary_snapshot'!$E$2:$E$120,MATCH(A3,'Primary_snapshot'!$A$2:$A$120,0))="NOT FROZEN",INDEX('Primary_snapshot'!$F$2:$F$120,MATCH(A3,'Primary_snapshot'!$A$2:$A$120,0))="NOT FROZEN",INDEX('Primary_snapshot'!$G$2:$G$120,MATCH(A3,'Primary_snapshot'!$A$2:$A$120,0))="NOT FROZEN",INDEX('Primary_snapshot'!$H$2:$H$120,MATCH(A3,'Primary_snapshot'!$A$2:$A$120,0))="NOT FROZEN",INDEX('Primary_snapshot'!$I$2:$I$120,MATCH(A3,'Primary_snapshot'!$A$2:$A$120,0))="NOT FROZEN",INDEX('Primary_snapshot'!$J$2:$J$120,MATCH(A3,'Primary_snapshot'!$A$2:$A$120,0))="NOT FROZEN",INDEX('Primary_snapshot'!$K$2:$K$120,MATCH(A3,'Primary_snapshot'!$A$2:$A$120,0))="NOT FROZEN",INDEX('Primary_snapshot'!$L$2:$L$120,MATCH(A3,'Primary_snapshot'!$A$2:$A$120,0))="NOT FROZEN"),"FREEZE SNAPSHOT",IF(NOT(OR(N3="agree",N3="agree_clarification",N3="disagree",N3="unable")),"CHECKER RESULT NEEDED",IF(AND(N3&lt;&gt;"agree",LEN(TRIM(O3))=0),"COMMENT NEEDED",IF(AND(N3="agree",NOT(AND(IF(D3="","",D3)=IF(INDEX('Primary_snapshot'!$B$2:$B$120,MATCH(A3,'Primary_snapshot'!$A$2:$A$120,0))="","",INDEX('Primary_snapshot'!$B$2:$B$120,MATCH(A3,'Primary_snapshot'!$A$2:$A$120,0))),IF(E3="","",E3)=IF(INDEX('Primary_snapshot'!$C$2:$C$120,MATCH(A3,'Primary_snapshot'!$A$2:$A$120,0))="","",INDEX('Primary_snapshot'!$C$2:$C$120,MATCH(A3,'Primary_snapshot'!$A$2:$A$120,0))),IF(AND(D3="retain",E3="statistical_results"),IF(H3="","",H3),"not_applicable")=IF(INDEX('Primary_snapshot'!$D$2:$D$120,MATCH(A3,'Primary_snapshot'!$A$2:$A$120,0))="","",INDEX('Primary_snapshot'!$D$2:$D$120,MATCH(A3,'Primary_snapshot'!$A$2:$A$120,0))),IF(AND(D3="retain",E3="statistical_results"),IF(I3="","",I3),"not_applicable")=IF(INDEX('Primary_snapshot'!$E$2:$E$120,MATCH(A3,'Primary_snapshot'!$A$2:$A$120,0))="","",INDEX('Primary_snapshot'!$E$2:$E$120,MATCH(A3,'Primary_snapshot'!$A$2:$A$120,0))),IF(AND(D3="retain",E3="statistical_results"),IF(J3="","",J3),"not_applicable")=IF(INDEX('Primary_snapshot'!$F$2:$F$120,MATCH(A3,'Primary_snapshot'!$A$2:$A$120,0))="","",INDEX('Primary_snapshot'!$F$2:$F$120,MATCH(A3,'Primary_snapshot'!$A$2:$A$120,0))),IF(AND(D3="retain",OR(E3="report_internal_inconsistency",E3="plan_material")),IF(K3="","",K3),"not_applicable")=IF(INDEX('Primary_snapshot'!$G$2:$G$120,MATCH(A3,'Primary_snapshot'!$A$2:$A$120,0))="","",INDEX('Primary_snapshot'!$G$2:$G$120,MATCH(A3,'Primary_snapshot'!$A$2:$A$120,0))),IF(AND(D3="retain",E3="protocol_report"),IF(L3="","",L3),"not_applicable")=IF(INDEX('Primary_snapshot'!$H$2:$H$120,MATCH(A3,'Primary_snapshot'!$A$2:$A$120,0))="","",INDEX('Primary_snapshot'!$H$2:$H$120,MATCH(A3,'Primary_snapshot'!$A$2:$A$120,0))),IF(R3="","",R3)=IF(INDEX('Primary_snapshot'!$I$2:$I$120,MATCH(A3,'Primary_snapshot'!$A$2:$A$120,0))="","",INDEX('Primary_snapshot'!$I$2:$I$120,MATCH(A3,'Primary_snapshot'!$A$2:$A$120,0)))))),"AGREE BUT CHANGED",IF(AND(P3&lt;&gt;"",NOT(OR(P3="pending",P3="resolved"))),"CHECK RESOLUTION",IF(OR(AND(OR(D3="discuss",INDEX('Primary_snapshot'!$B$2:$B$120,MATCH(A3,'Primary_snapshot'!$A$2:$A$120,0))="discuss",N3="disagree",N3="unable"),P3&lt;&gt;"resolved"),D3="discuss"),"DISCUSS",IF(AND(P3="resolved",LEN(TRIM(Q3))=0),"RESOLUTION NOTE NEEDED",IF(F3&lt;&gt;"checker_done","CHECKER DRAFT","FINAL READY")))))))))))))),"CHECK KEY / SNAPSHOT")</x:f>
        <x:v>CHECK REVIEWER IDs</x:v>
      </x:c>
      <x:c r="H3" s="7" t="str">
        <x:f>IF(AND(OR(D3="retain",D3=""),E3="statistical_results"),"","not_applicable")</x:f>
        <x:v>not_applicable</x:v>
      </x:c>
      <x:c r="I3" s="7" t="str">
        <x:f>IF(AND(OR(D3="retain",D3=""),E3="statistical_results"),"","not_applicable")</x:f>
        <x:v>not_applicable</x:v>
      </x:c>
      <x:c r="J3" s="13" t="str">
        <x:f>IF(AND(OR(D3="retain",D3=""),E3="statistical_results"),"","not_applicable")</x:f>
        <x:v>not_applicable</x:v>
      </x:c>
      <x:c r="K3" s="7" t="str">
        <x:f>IF(AND(OR(D3="retain",D3=""),OR(E3="report_internal_inconsistency",E3="plan_material")),"","not_applicable")</x:f>
      </x:c>
      <x:c r="L3" s="13" t="str">
        <x:f>IF(AND(OR(D3="retain",D3=""),E3="protocol_report"),"","not_applicable")</x:f>
        <x:v>not_applicable</x:v>
      </x:c>
      <x:c r="M3" s="3" t="str">
        <x:f>IF(Setup!$B$6="primary","",IFERROR(IF(INDEX('Primary_snapshot'!$L$2:$L$120,MATCH(A3,'Primary_snapshot'!$A$2:$A$120,0))="","",INDEX('Primary_snapshot'!$L$2:$L$120,MATCH(A3,'Primary_snapshot'!$A$2:$A$120,0))),"SNAPSHOT MISSING"))</x:f>
      </x:c>
      <x:c r="N3" s="7" t="str"/>
      <x:c r="O3" s="7" t="str"/>
      <x:c r="P3" s="7" t="str"/>
      <x:c r="Q3" s="7" t="str"/>
      <x:c r="R3" s="13" t="str"/>
    </x:row>
    <x:row r="4" ht="92" customHeight="1">
      <x:c r="A4" s="6" t="str">
        <x:v>2018::jama.2018.17075::C003</x:v>
      </x:c>
      <x:c r="B4" s="6" t="str">
        <x:v>Intracranial-bleeding effect and P-value reporting conflicts with matched evidence</x:v>
      </x:c>
      <x:c r="C4" s="6" t="str">
        <x:v>jama_cooper_2018_oi_180132.pdf — PDF p. 7, Table 2, new or increased intracranial bleeding; joi180132supp2_prod.pdf — PDF p. 10, eTable 6, same outcome; jama_cooper_2018_oi_180132.pdf — PDF p. 3, Statistical Analysis.</x:v>
      </x:c>
      <x:c r="D4" s="7" t="str"/>
      <x:c r="E4" s="7" t="str">
        <x:v>statistical_results</x:v>
      </x:c>
      <x:c r="F4" s="7" t="str">
        <x:v>no</x:v>
      </x:c>
      <x:c r="G4" s="6" t="str">
        <x:f>IFERROR(IF(NOT(OR(Setup!$B$6="primary",Setup!$B$6="checker")),"CHECK STAGE",IF(OR(LEN(TRIM(Setup!$B$2))=0,Setup!$B$2&lt;&gt;TRIM(Setup!$B$2),AND(Setup!$B$6="checker",OR(LEN(TRIM(Setup!$B$4))=0,Setup!$B$4&lt;&gt;TRIM(Setup!$B$4),LOWER(TRIM(Setup!$B$4))=LOWER(TRIM(Setup!$B$2))))),"CHECK REVIEWER IDs",IF(OR(COUNTIF($A$2:$A$9,A4)&lt;&gt;1,COUNTIF(Decisions!$C$2:$C$120,A4)&lt;&gt;1),"CHECK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FIELDS",IF(Setup!$B$6="primary",IF(OR(N4&lt;&gt;"",O4&lt;&gt;"",P4&lt;&gt;"",Q4&lt;&gt;""),"CLEAR CHECKER FIELDS",IF(OR(Setup!$B$4&lt;&gt;"",Setup!$B$5&lt;&gt;""),"CLEAR CHECKER ID",IF(F4&lt;&gt;"primary_done","PRIMARY DRAFT","PRIMARY READY"))),IF(OR(COUNTIF(Primary_snapshot!$A$2:$A$120,A4)&lt;&gt;1,INDEX('Primary_snapshot'!$J$2:$J$120,MATCH(A4,'Primary_snapshot'!$A$2:$A$120,0))&lt;&gt;"primary_done",INDEX('Primary_snapshot'!$K$2:$K$120,MATCH(A4,'Primary_snapshot'!$A$2:$A$120,0))&lt;&gt;Setup!$B$2,INDEX('Primary_snapshot'!$B$2:$B$120,MATCH(A4,'Primary_snapshot'!$A$2:$A$120,0))="NOT FROZEN",INDEX('Primary_snapshot'!$C$2:$C$120,MATCH(A4,'Primary_snapshot'!$A$2:$A$120,0))="NOT FROZEN",INDEX('Primary_snapshot'!$D$2:$D$120,MATCH(A4,'Primary_snapshot'!$A$2:$A$120,0))="NOT FROZEN",INDEX('Primary_snapshot'!$E$2:$E$120,MATCH(A4,'Primary_snapshot'!$A$2:$A$120,0))="NOT FROZEN",INDEX('Primary_snapshot'!$F$2:$F$120,MATCH(A4,'Primary_snapshot'!$A$2:$A$120,0))="NOT FROZEN",INDEX('Primary_snapshot'!$G$2:$G$120,MATCH(A4,'Primary_snapshot'!$A$2:$A$120,0))="NOT FROZEN",INDEX('Primary_snapshot'!$H$2:$H$120,MATCH(A4,'Primary_snapshot'!$A$2:$A$120,0))="NOT FROZEN",INDEX('Primary_snapshot'!$I$2:$I$120,MATCH(A4,'Primary_snapshot'!$A$2:$A$120,0))="NOT FROZEN",INDEX('Primary_snapshot'!$J$2:$J$120,MATCH(A4,'Primary_snapshot'!$A$2:$A$120,0))="NOT FROZEN",INDEX('Primary_snapshot'!$K$2:$K$120,MATCH(A4,'Primary_snapshot'!$A$2:$A$120,0))="NOT FROZEN",INDEX('Primary_snapshot'!$L$2:$L$120,MATCH(A4,'Primary_snapshot'!$A$2:$A$120,0))="NOT FROZEN"),"FREEZE SNAPSHOT",IF(NOT(OR(N4="agree",N4="agree_clarification",N4="disagree",N4="unable")),"CHECKER RESULT NEEDED",IF(AND(N4&lt;&gt;"agree",LEN(TRIM(O4))=0),"COMMENT NEEDED",IF(AND(N4="agree",NOT(AND(IF(D4="","",D4)=IF(INDEX('Primary_snapshot'!$B$2:$B$120,MATCH(A4,'Primary_snapshot'!$A$2:$A$120,0))="","",INDEX('Primary_snapshot'!$B$2:$B$120,MATCH(A4,'Primary_snapshot'!$A$2:$A$120,0))),IF(E4="","",E4)=IF(INDEX('Primary_snapshot'!$C$2:$C$120,MATCH(A4,'Primary_snapshot'!$A$2:$A$120,0))="","",INDEX('Primary_snapshot'!$C$2:$C$120,MATCH(A4,'Primary_snapshot'!$A$2:$A$120,0))),IF(AND(D4="retain",E4="statistical_results"),IF(H4="","",H4),"not_applicable")=IF(INDEX('Primary_snapshot'!$D$2:$D$120,MATCH(A4,'Primary_snapshot'!$A$2:$A$120,0))="","",INDEX('Primary_snapshot'!$D$2:$D$120,MATCH(A4,'Primary_snapshot'!$A$2:$A$120,0))),IF(AND(D4="retain",E4="statistical_results"),IF(I4="","",I4),"not_applicable")=IF(INDEX('Primary_snapshot'!$E$2:$E$120,MATCH(A4,'Primary_snapshot'!$A$2:$A$120,0))="","",INDEX('Primary_snapshot'!$E$2:$E$120,MATCH(A4,'Primary_snapshot'!$A$2:$A$120,0))),IF(AND(D4="retain",E4="statistical_results"),IF(J4="","",J4),"not_applicable")=IF(INDEX('Primary_snapshot'!$F$2:$F$120,MATCH(A4,'Primary_snapshot'!$A$2:$A$120,0))="","",INDEX('Primary_snapshot'!$F$2:$F$120,MATCH(A4,'Primary_snapshot'!$A$2:$A$120,0))),IF(AND(D4="retain",OR(E4="report_internal_inconsistency",E4="plan_material")),IF(K4="","",K4),"not_applicable")=IF(INDEX('Primary_snapshot'!$G$2:$G$120,MATCH(A4,'Primary_snapshot'!$A$2:$A$120,0))="","",INDEX('Primary_snapshot'!$G$2:$G$120,MATCH(A4,'Primary_snapshot'!$A$2:$A$120,0))),IF(AND(D4="retain",E4="protocol_report"),IF(L4="","",L4),"not_applicable")=IF(INDEX('Primary_snapshot'!$H$2:$H$120,MATCH(A4,'Primary_snapshot'!$A$2:$A$120,0))="","",INDEX('Primary_snapshot'!$H$2:$H$120,MATCH(A4,'Primary_snapshot'!$A$2:$A$120,0))),IF(R4="","",R4)=IF(INDEX('Primary_snapshot'!$I$2:$I$120,MATCH(A4,'Primary_snapshot'!$A$2:$A$120,0))="","",INDEX('Primary_snapshot'!$I$2:$I$120,MATCH(A4,'Primary_snapshot'!$A$2:$A$120,0)))))),"AGREE BUT CHANGED",IF(AND(P4&lt;&gt;"",NOT(OR(P4="pending",P4="resolved"))),"CHECK RESOLUTION",IF(OR(AND(OR(D4="discuss",INDEX('Primary_snapshot'!$B$2:$B$120,MATCH(A4,'Primary_snapshot'!$A$2:$A$120,0))="discuss",N4="disagree",N4="unable"),P4&lt;&gt;"resolved"),D4="discuss"),"DISCUSS",IF(AND(P4="resolved",LEN(TRIM(Q4))=0),"RESOLUTION NOTE NEEDED",IF(F4&lt;&gt;"checker_done","CHECKER DRAFT","FINAL READY")))))))))))))),"CHECK KEY / SNAPSHOT")</x:f>
        <x:v>CHECK REVIEWER IDs</x:v>
      </x:c>
      <x:c r="H4" s="7" t="str">
        <x:f>IF(AND(OR(D4="retain",D4=""),E4="statistical_results"),"","not_applicable")</x:f>
      </x:c>
      <x:c r="I4" s="7" t="str">
        <x:f>IF(AND(OR(D4="retain",D4=""),E4="statistical_results"),"","not_applicable")</x:f>
      </x:c>
      <x:c r="J4" s="13" t="str">
        <x:f>IF(AND(OR(D4="retain",D4=""),E4="statistical_results"),"","not_applicable")</x:f>
      </x:c>
      <x:c r="K4" s="7" t="str">
        <x:f>IF(AND(OR(D4="retain",D4=""),OR(E4="report_internal_inconsistency",E4="plan_material")),"","not_applicable")</x:f>
        <x:v>not_applicable</x:v>
      </x:c>
      <x:c r="L4" s="13" t="str">
        <x:f>IF(AND(OR(D4="retain",D4=""),E4="protocol_report"),"","not_applicable")</x:f>
        <x:v>not_applicable</x:v>
      </x:c>
      <x:c r="M4" s="6" t="str">
        <x:f>IF(Setup!$B$6="primary","",IFERROR(IF(INDEX('Primary_snapshot'!$L$2:$L$120,MATCH(A4,'Primary_snapshot'!$A$2:$A$120,0))="","",INDEX('Primary_snapshot'!$L$2:$L$120,MATCH(A4,'Primary_snapshot'!$A$2:$A$120,0))),"SNAPSHOT MISSING"))</x:f>
      </x:c>
      <x:c r="N4" s="7" t="str"/>
      <x:c r="O4" s="7" t="str"/>
      <x:c r="P4" s="7" t="str"/>
      <x:c r="Q4" s="7" t="str"/>
      <x:c r="R4" s="13" t="str"/>
    </x:row>
    <x:row r="5" ht="92" customHeight="1">
      <x:c r="A5" s="3" t="str">
        <x:v>2018::jama.2018.17075::C004</x:v>
      </x:c>
      <x:c r="B5" s="3" t="str">
        <x:v>Extracranial-bleeding effect and P-value reporting conflicts with matched evidence</x:v>
      </x:c>
      <x:c r="C5" s="3" t="str">
        <x:v>jama_cooper_2018_oi_180132.pdf — PDF p. 7, Table 2, new significant extracranial bleeding; joi180132supp2_prod.pdf — PDF p. 10, eTable 6, same outcome; jama_cooper_2018_oi_180132.pdf — PDF p. 3, Statistical Analysis.</x:v>
      </x:c>
      <x:c r="D5" s="7" t="str"/>
      <x:c r="E5" s="7" t="str">
        <x:v>statistical_results</x:v>
      </x:c>
      <x:c r="F5" s="7" t="str">
        <x:v>no</x:v>
      </x:c>
      <x:c r="G5" s="3" t="str">
        <x:f>IFERROR(IF(NOT(OR(Setup!$B$6="primary",Setup!$B$6="checker")),"CHECK STAGE",IF(OR(LEN(TRIM(Setup!$B$2))=0,Setup!$B$2&lt;&gt;TRIM(Setup!$B$2),AND(Setup!$B$6="checker",OR(LEN(TRIM(Setup!$B$4))=0,Setup!$B$4&lt;&gt;TRIM(Setup!$B$4),LOWER(TRIM(Setup!$B$4))=LOWER(TRIM(Setup!$B$2))))),"CHECK REVIEWER IDs",IF(OR(COUNTIF($A$2:$A$9,A5)&lt;&gt;1,COUNTIF(Decisions!$C$2:$C$120,A5)&lt;&gt;1),"CHECK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FIELDS",IF(Setup!$B$6="primary",IF(OR(N5&lt;&gt;"",O5&lt;&gt;"",P5&lt;&gt;"",Q5&lt;&gt;""),"CLEAR CHECKER FIELDS",IF(OR(Setup!$B$4&lt;&gt;"",Setup!$B$5&lt;&gt;""),"CLEAR CHECKER ID",IF(F5&lt;&gt;"primary_done","PRIMARY DRAFT","PRIMARY READY"))),IF(OR(COUNTIF(Primary_snapshot!$A$2:$A$120,A5)&lt;&gt;1,INDEX('Primary_snapshot'!$J$2:$J$120,MATCH(A5,'Primary_snapshot'!$A$2:$A$120,0))&lt;&gt;"primary_done",INDEX('Primary_snapshot'!$K$2:$K$120,MATCH(A5,'Primary_snapshot'!$A$2:$A$120,0))&lt;&gt;Setup!$B$2,INDEX('Primary_snapshot'!$B$2:$B$120,MATCH(A5,'Primary_snapshot'!$A$2:$A$120,0))="NOT FROZEN",INDEX('Primary_snapshot'!$C$2:$C$120,MATCH(A5,'Primary_snapshot'!$A$2:$A$120,0))="NOT FROZEN",INDEX('Primary_snapshot'!$D$2:$D$120,MATCH(A5,'Primary_snapshot'!$A$2:$A$120,0))="NOT FROZEN",INDEX('Primary_snapshot'!$E$2:$E$120,MATCH(A5,'Primary_snapshot'!$A$2:$A$120,0))="NOT FROZEN",INDEX('Primary_snapshot'!$F$2:$F$120,MATCH(A5,'Primary_snapshot'!$A$2:$A$120,0))="NOT FROZEN",INDEX('Primary_snapshot'!$G$2:$G$120,MATCH(A5,'Primary_snapshot'!$A$2:$A$120,0))="NOT FROZEN",INDEX('Primary_snapshot'!$H$2:$H$120,MATCH(A5,'Primary_snapshot'!$A$2:$A$120,0))="NOT FROZEN",INDEX('Primary_snapshot'!$I$2:$I$120,MATCH(A5,'Primary_snapshot'!$A$2:$A$120,0))="NOT FROZEN",INDEX('Primary_snapshot'!$J$2:$J$120,MATCH(A5,'Primary_snapshot'!$A$2:$A$120,0))="NOT FROZEN",INDEX('Primary_snapshot'!$K$2:$K$120,MATCH(A5,'Primary_snapshot'!$A$2:$A$120,0))="NOT FROZEN",INDEX('Primary_snapshot'!$L$2:$L$120,MATCH(A5,'Primary_snapshot'!$A$2:$A$120,0))="NOT FROZEN"),"FREEZE SNAPSHOT",IF(NOT(OR(N5="agree",N5="agree_clarification",N5="disagree",N5="unable")),"CHECKER RESULT NEEDED",IF(AND(N5&lt;&gt;"agree",LEN(TRIM(O5))=0),"COMMENT NEEDED",IF(AND(N5="agree",NOT(AND(IF(D5="","",D5)=IF(INDEX('Primary_snapshot'!$B$2:$B$120,MATCH(A5,'Primary_snapshot'!$A$2:$A$120,0))="","",INDEX('Primary_snapshot'!$B$2:$B$120,MATCH(A5,'Primary_snapshot'!$A$2:$A$120,0))),IF(E5="","",E5)=IF(INDEX('Primary_snapshot'!$C$2:$C$120,MATCH(A5,'Primary_snapshot'!$A$2:$A$120,0))="","",INDEX('Primary_snapshot'!$C$2:$C$120,MATCH(A5,'Primary_snapshot'!$A$2:$A$120,0))),IF(AND(D5="retain",E5="statistical_results"),IF(H5="","",H5),"not_applicable")=IF(INDEX('Primary_snapshot'!$D$2:$D$120,MATCH(A5,'Primary_snapshot'!$A$2:$A$120,0))="","",INDEX('Primary_snapshot'!$D$2:$D$120,MATCH(A5,'Primary_snapshot'!$A$2:$A$120,0))),IF(AND(D5="retain",E5="statistical_results"),IF(I5="","",I5),"not_applicable")=IF(INDEX('Primary_snapshot'!$E$2:$E$120,MATCH(A5,'Primary_snapshot'!$A$2:$A$120,0))="","",INDEX('Primary_snapshot'!$E$2:$E$120,MATCH(A5,'Primary_snapshot'!$A$2:$A$120,0))),IF(AND(D5="retain",E5="statistical_results"),IF(J5="","",J5),"not_applicable")=IF(INDEX('Primary_snapshot'!$F$2:$F$120,MATCH(A5,'Primary_snapshot'!$A$2:$A$120,0))="","",INDEX('Primary_snapshot'!$F$2:$F$120,MATCH(A5,'Primary_snapshot'!$A$2:$A$120,0))),IF(AND(D5="retain",OR(E5="report_internal_inconsistency",E5="plan_material")),IF(K5="","",K5),"not_applicable")=IF(INDEX('Primary_snapshot'!$G$2:$G$120,MATCH(A5,'Primary_snapshot'!$A$2:$A$120,0))="","",INDEX('Primary_snapshot'!$G$2:$G$120,MATCH(A5,'Primary_snapshot'!$A$2:$A$120,0))),IF(AND(D5="retain",E5="protocol_report"),IF(L5="","",L5),"not_applicable")=IF(INDEX('Primary_snapshot'!$H$2:$H$120,MATCH(A5,'Primary_snapshot'!$A$2:$A$120,0))="","",INDEX('Primary_snapshot'!$H$2:$H$120,MATCH(A5,'Primary_snapshot'!$A$2:$A$120,0))),IF(R5="","",R5)=IF(INDEX('Primary_snapshot'!$I$2:$I$120,MATCH(A5,'Primary_snapshot'!$A$2:$A$120,0))="","",INDEX('Primary_snapshot'!$I$2:$I$120,MATCH(A5,'Primary_snapshot'!$A$2:$A$120,0)))))),"AGREE BUT CHANGED",IF(AND(P5&lt;&gt;"",NOT(OR(P5="pending",P5="resolved"))),"CHECK RESOLUTION",IF(OR(AND(OR(D5="discuss",INDEX('Primary_snapshot'!$B$2:$B$120,MATCH(A5,'Primary_snapshot'!$A$2:$A$120,0))="discuss",N5="disagree",N5="unable"),P5&lt;&gt;"resolved"),D5="discuss"),"DISCUSS",IF(AND(P5="resolved",LEN(TRIM(Q5))=0),"RESOLUTION NOTE NEEDED",IF(F5&lt;&gt;"checker_done","CHECKER DRAFT","FINAL READY")))))))))))))),"CHECK KEY / SNAPSHOT")</x:f>
        <x:v>CHECK REVIEWER IDs</x:v>
      </x:c>
      <x:c r="H5" s="7" t="str">
        <x:f>IF(AND(OR(D5="retain",D5=""),E5="statistical_results"),"","not_applicable")</x:f>
      </x:c>
      <x:c r="I5" s="7" t="str">
        <x:f>IF(AND(OR(D5="retain",D5=""),E5="statistical_results"),"","not_applicable")</x:f>
      </x:c>
      <x:c r="J5" s="13" t="str">
        <x:f>IF(AND(OR(D5="retain",D5=""),E5="statistical_results"),"","not_applicable")</x:f>
      </x:c>
      <x:c r="K5" s="7" t="str">
        <x:f>IF(AND(OR(D5="retain",D5=""),OR(E5="report_internal_inconsistency",E5="plan_material")),"","not_applicable")</x:f>
        <x:v>not_applicable</x:v>
      </x:c>
      <x:c r="L5" s="13" t="str">
        <x:f>IF(AND(OR(D5="retain",D5=""),E5="protocol_report"),"","not_applicable")</x:f>
        <x:v>not_applicable</x:v>
      </x:c>
      <x:c r="M5" s="3" t="str">
        <x:f>IF(Setup!$B$6="primary","",IFERROR(IF(INDEX('Primary_snapshot'!$L$2:$L$120,MATCH(A5,'Primary_snapshot'!$A$2:$A$120,0))="","",INDEX('Primary_snapshot'!$L$2:$L$120,MATCH(A5,'Primary_snapshot'!$A$2:$A$120,0))),"SNAPSHOT MISSING"))</x:f>
      </x:c>
      <x:c r="N5" s="7" t="str"/>
      <x:c r="O5" s="7" t="str"/>
      <x:c r="P5" s="7" t="str"/>
      <x:c r="Q5" s="7" t="str"/>
      <x:c r="R5" s="13" t="str"/>
    </x:row>
    <x:row r="6" ht="92" customHeight="1">
      <x:c r="A6" s="6" t="str">
        <x:v>2018::jama.2018.17075::C005</x:v>
      </x:c>
      <x:c r="B6" s="6" t="str">
        <x:v>As-treated evacuated-mass-lesion cell reverses count and percentage order</x:v>
      </x:c>
      <x:c r="C6" s="6" t="str">
        <x:v>joi180132supp2_prod.pdf — PDF p. 18, eTable 10, CT Marshall classification, evacuated mass lesion V, normothermia.</x:v>
      </x:c>
      <x:c r="D6" s="7" t="str"/>
      <x:c r="E6" s="7" t="str">
        <x:v>report_internal_inconsistency</x:v>
      </x:c>
      <x:c r="F6" s="7" t="str">
        <x:v>no</x:v>
      </x:c>
      <x:c r="G6" s="6" t="str">
        <x:f>IFERROR(IF(NOT(OR(Setup!$B$6="primary",Setup!$B$6="checker")),"CHECK STAGE",IF(OR(LEN(TRIM(Setup!$B$2))=0,Setup!$B$2&lt;&gt;TRIM(Setup!$B$2),AND(Setup!$B$6="checker",OR(LEN(TRIM(Setup!$B$4))=0,Setup!$B$4&lt;&gt;TRIM(Setup!$B$4),LOWER(TRIM(Setup!$B$4))=LOWER(TRIM(Setup!$B$2))))),"CHECK REVIEWER IDs",IF(OR(COUNTIF($A$2:$A$9,A6)&lt;&gt;1,COUNTIF(Decisions!$C$2:$C$120,A6)&lt;&gt;1),"CHECK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FIELDS",IF(Setup!$B$6="primary",IF(OR(N6&lt;&gt;"",O6&lt;&gt;"",P6&lt;&gt;"",Q6&lt;&gt;""),"CLEAR CHECKER FIELDS",IF(OR(Setup!$B$4&lt;&gt;"",Setup!$B$5&lt;&gt;""),"CLEAR CHECKER ID",IF(F6&lt;&gt;"primary_done","PRIMARY DRAFT","PRIMARY READY"))),IF(OR(COUNTIF(Primary_snapshot!$A$2:$A$120,A6)&lt;&gt;1,INDEX('Primary_snapshot'!$J$2:$J$120,MATCH(A6,'Primary_snapshot'!$A$2:$A$120,0))&lt;&gt;"primary_done",INDEX('Primary_snapshot'!$K$2:$K$120,MATCH(A6,'Primary_snapshot'!$A$2:$A$120,0))&lt;&gt;Setup!$B$2,INDEX('Primary_snapshot'!$B$2:$B$120,MATCH(A6,'Primary_snapshot'!$A$2:$A$120,0))="NOT FROZEN",INDEX('Primary_snapshot'!$C$2:$C$120,MATCH(A6,'Primary_snapshot'!$A$2:$A$120,0))="NOT FROZEN",INDEX('Primary_snapshot'!$D$2:$D$120,MATCH(A6,'Primary_snapshot'!$A$2:$A$120,0))="NOT FROZEN",INDEX('Primary_snapshot'!$E$2:$E$120,MATCH(A6,'Primary_snapshot'!$A$2:$A$120,0))="NOT FROZEN",INDEX('Primary_snapshot'!$F$2:$F$120,MATCH(A6,'Primary_snapshot'!$A$2:$A$120,0))="NOT FROZEN",INDEX('Primary_snapshot'!$G$2:$G$120,MATCH(A6,'Primary_snapshot'!$A$2:$A$120,0))="NOT FROZEN",INDEX('Primary_snapshot'!$H$2:$H$120,MATCH(A6,'Primary_snapshot'!$A$2:$A$120,0))="NOT FROZEN",INDEX('Primary_snapshot'!$I$2:$I$120,MATCH(A6,'Primary_snapshot'!$A$2:$A$120,0))="NOT FROZEN",INDEX('Primary_snapshot'!$J$2:$J$120,MATCH(A6,'Primary_snapshot'!$A$2:$A$120,0))="NOT FROZEN",INDEX('Primary_snapshot'!$K$2:$K$120,MATCH(A6,'Primary_snapshot'!$A$2:$A$120,0))="NOT FROZEN",INDEX('Primary_snapshot'!$L$2:$L$120,MATCH(A6,'Primary_snapshot'!$A$2:$A$120,0))="NOT FROZEN"),"FREEZE SNAPSHOT",IF(NOT(OR(N6="agree",N6="agree_clarification",N6="disagree",N6="unable")),"CHECKER RESULT NEEDED",IF(AND(N6&lt;&gt;"agree",LEN(TRIM(O6))=0),"COMMENT NEEDED",IF(AND(N6="agree",NOT(AND(IF(D6="","",D6)=IF(INDEX('Primary_snapshot'!$B$2:$B$120,MATCH(A6,'Primary_snapshot'!$A$2:$A$120,0))="","",INDEX('Primary_snapshot'!$B$2:$B$120,MATCH(A6,'Primary_snapshot'!$A$2:$A$120,0))),IF(E6="","",E6)=IF(INDEX('Primary_snapshot'!$C$2:$C$120,MATCH(A6,'Primary_snapshot'!$A$2:$A$120,0))="","",INDEX('Primary_snapshot'!$C$2:$C$120,MATCH(A6,'Primary_snapshot'!$A$2:$A$120,0))),IF(AND(D6="retain",E6="statistical_results"),IF(H6="","",H6),"not_applicable")=IF(INDEX('Primary_snapshot'!$D$2:$D$120,MATCH(A6,'Primary_snapshot'!$A$2:$A$120,0))="","",INDEX('Primary_snapshot'!$D$2:$D$120,MATCH(A6,'Primary_snapshot'!$A$2:$A$120,0))),IF(AND(D6="retain",E6="statistical_results"),IF(I6="","",I6),"not_applicable")=IF(INDEX('Primary_snapshot'!$E$2:$E$120,MATCH(A6,'Primary_snapshot'!$A$2:$A$120,0))="","",INDEX('Primary_snapshot'!$E$2:$E$120,MATCH(A6,'Primary_snapshot'!$A$2:$A$120,0))),IF(AND(D6="retain",E6="statistical_results"),IF(J6="","",J6),"not_applicable")=IF(INDEX('Primary_snapshot'!$F$2:$F$120,MATCH(A6,'Primary_snapshot'!$A$2:$A$120,0))="","",INDEX('Primary_snapshot'!$F$2:$F$120,MATCH(A6,'Primary_snapshot'!$A$2:$A$120,0))),IF(AND(D6="retain",OR(E6="report_internal_inconsistency",E6="plan_material")),IF(K6="","",K6),"not_applicable")=IF(INDEX('Primary_snapshot'!$G$2:$G$120,MATCH(A6,'Primary_snapshot'!$A$2:$A$120,0))="","",INDEX('Primary_snapshot'!$G$2:$G$120,MATCH(A6,'Primary_snapshot'!$A$2:$A$120,0))),IF(AND(D6="retain",E6="protocol_report"),IF(L6="","",L6),"not_applicable")=IF(INDEX('Primary_snapshot'!$H$2:$H$120,MATCH(A6,'Primary_snapshot'!$A$2:$A$120,0))="","",INDEX('Primary_snapshot'!$H$2:$H$120,MATCH(A6,'Primary_snapshot'!$A$2:$A$120,0))),IF(R6="","",R6)=IF(INDEX('Primary_snapshot'!$I$2:$I$120,MATCH(A6,'Primary_snapshot'!$A$2:$A$120,0))="","",INDEX('Primary_snapshot'!$I$2:$I$120,MATCH(A6,'Primary_snapshot'!$A$2:$A$120,0)))))),"AGREE BUT CHANGED",IF(AND(P6&lt;&gt;"",NOT(OR(P6="pending",P6="resolved"))),"CHECK RESOLUTION",IF(OR(AND(OR(D6="discuss",INDEX('Primary_snapshot'!$B$2:$B$120,MATCH(A6,'Primary_snapshot'!$A$2:$A$120,0))="discuss",N6="disagree",N6="unable"),P6&lt;&gt;"resolved"),D6="discuss"),"DISCUSS",IF(AND(P6="resolved",LEN(TRIM(Q6))=0),"RESOLUTION NOTE NEEDED",IF(F6&lt;&gt;"checker_done","CHECKER DRAFT","FINAL READY")))))))))))))),"CHECK KEY / SNAPSHOT")</x:f>
        <x:v>CHECK REVIEWER IDs</x:v>
      </x:c>
      <x:c r="H6" s="7" t="str">
        <x:f>IF(AND(OR(D6="retain",D6=""),E6="statistical_results"),"","not_applicable")</x:f>
        <x:v>not_applicable</x:v>
      </x:c>
      <x:c r="I6" s="7" t="str">
        <x:f>IF(AND(OR(D6="retain",D6=""),E6="statistical_results"),"","not_applicable")</x:f>
        <x:v>not_applicable</x:v>
      </x:c>
      <x:c r="J6" s="13" t="str">
        <x:f>IF(AND(OR(D6="retain",D6=""),E6="statistical_results"),"","not_applicable")</x:f>
        <x:v>not_applicable</x:v>
      </x:c>
      <x:c r="K6" s="7" t="str">
        <x:f>IF(AND(OR(D6="retain",D6=""),OR(E6="report_internal_inconsistency",E6="plan_material")),"","not_applicable")</x:f>
      </x:c>
      <x:c r="L6" s="13" t="str">
        <x:f>IF(AND(OR(D6="retain",D6=""),E6="protocol_report"),"","not_applicable")</x:f>
        <x:v>not_applicable</x:v>
      </x:c>
      <x:c r="M6" s="6" t="str">
        <x:f>IF(Setup!$B$6="primary","",IFERROR(IF(INDEX('Primary_snapshot'!$L$2:$L$120,MATCH(A6,'Primary_snapshot'!$A$2:$A$120,0))="","",INDEX('Primary_snapshot'!$L$2:$L$120,MATCH(A6,'Primary_snapshot'!$A$2:$A$120,0))),"SNAPSHOT MISSING"))</x:f>
      </x:c>
      <x:c r="N6" s="7" t="str"/>
      <x:c r="O6" s="7" t="str"/>
      <x:c r="P6" s="7" t="str"/>
      <x:c r="Q6" s="7" t="str"/>
      <x:c r="R6" s="13" t="str"/>
    </x:row>
    <x:row r="7" ht="92" customHeight="1">
      <x:c r="A7" s="3" t="str">
        <x:v>2018::jama.2018.17075::C006</x:v>
      </x:c>
      <x:c r="B7" s="3" t="str">
        <x:v>As-treated non-evacuated-mass-lesion cell reverses count and percentage order</x:v>
      </x:c>
      <x:c r="C7" s="3" t="str">
        <x:v>joi180132supp2_prod.pdf — PDF p. 18, eTable 10, CT Marshall classification, non-evacuated mass lesion VI, normothermia.</x:v>
      </x:c>
      <x:c r="D7" s="7" t="str"/>
      <x:c r="E7" s="7" t="str">
        <x:v>report_internal_inconsistency</x:v>
      </x:c>
      <x:c r="F7" s="7" t="str">
        <x:v>no</x:v>
      </x:c>
      <x:c r="G7" s="3" t="str">
        <x:f>IFERROR(IF(NOT(OR(Setup!$B$6="primary",Setup!$B$6="checker")),"CHECK STAGE",IF(OR(LEN(TRIM(Setup!$B$2))=0,Setup!$B$2&lt;&gt;TRIM(Setup!$B$2),AND(Setup!$B$6="checker",OR(LEN(TRIM(Setup!$B$4))=0,Setup!$B$4&lt;&gt;TRIM(Setup!$B$4),LOWER(TRIM(Setup!$B$4))=LOWER(TRIM(Setup!$B$2))))),"CHECK REVIEWER IDs",IF(OR(COUNTIF($A$2:$A$9,A7)&lt;&gt;1,COUNTIF(Decisions!$C$2:$C$120,A7)&lt;&gt;1),"CHECK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FIELDS",IF(Setup!$B$6="primary",IF(OR(N7&lt;&gt;"",O7&lt;&gt;"",P7&lt;&gt;"",Q7&lt;&gt;""),"CLEAR CHECKER FIELDS",IF(OR(Setup!$B$4&lt;&gt;"",Setup!$B$5&lt;&gt;""),"CLEAR CHECKER ID",IF(F7&lt;&gt;"primary_done","PRIMARY DRAFT","PRIMARY READY"))),IF(OR(COUNTIF(Primary_snapshot!$A$2:$A$120,A7)&lt;&gt;1,INDEX('Primary_snapshot'!$J$2:$J$120,MATCH(A7,'Primary_snapshot'!$A$2:$A$120,0))&lt;&gt;"primary_done",INDEX('Primary_snapshot'!$K$2:$K$120,MATCH(A7,'Primary_snapshot'!$A$2:$A$120,0))&lt;&gt;Setup!$B$2,INDEX('Primary_snapshot'!$B$2:$B$120,MATCH(A7,'Primary_snapshot'!$A$2:$A$120,0))="NOT FROZEN",INDEX('Primary_snapshot'!$C$2:$C$120,MATCH(A7,'Primary_snapshot'!$A$2:$A$120,0))="NOT FROZEN",INDEX('Primary_snapshot'!$D$2:$D$120,MATCH(A7,'Primary_snapshot'!$A$2:$A$120,0))="NOT FROZEN",INDEX('Primary_snapshot'!$E$2:$E$120,MATCH(A7,'Primary_snapshot'!$A$2:$A$120,0))="NOT FROZEN",INDEX('Primary_snapshot'!$F$2:$F$120,MATCH(A7,'Primary_snapshot'!$A$2:$A$120,0))="NOT FROZEN",INDEX('Primary_snapshot'!$G$2:$G$120,MATCH(A7,'Primary_snapshot'!$A$2:$A$120,0))="NOT FROZEN",INDEX('Primary_snapshot'!$H$2:$H$120,MATCH(A7,'Primary_snapshot'!$A$2:$A$120,0))="NOT FROZEN",INDEX('Primary_snapshot'!$I$2:$I$120,MATCH(A7,'Primary_snapshot'!$A$2:$A$120,0))="NOT FROZEN",INDEX('Primary_snapshot'!$J$2:$J$120,MATCH(A7,'Primary_snapshot'!$A$2:$A$120,0))="NOT FROZEN",INDEX('Primary_snapshot'!$K$2:$K$120,MATCH(A7,'Primary_snapshot'!$A$2:$A$120,0))="NOT FROZEN",INDEX('Primary_snapshot'!$L$2:$L$120,MATCH(A7,'Primary_snapshot'!$A$2:$A$120,0))="NOT FROZEN"),"FREEZE SNAPSHOT",IF(NOT(OR(N7="agree",N7="agree_clarification",N7="disagree",N7="unable")),"CHECKER RESULT NEEDED",IF(AND(N7&lt;&gt;"agree",LEN(TRIM(O7))=0),"COMMENT NEEDED",IF(AND(N7="agree",NOT(AND(IF(D7="","",D7)=IF(INDEX('Primary_snapshot'!$B$2:$B$120,MATCH(A7,'Primary_snapshot'!$A$2:$A$120,0))="","",INDEX('Primary_snapshot'!$B$2:$B$120,MATCH(A7,'Primary_snapshot'!$A$2:$A$120,0))),IF(E7="","",E7)=IF(INDEX('Primary_snapshot'!$C$2:$C$120,MATCH(A7,'Primary_snapshot'!$A$2:$A$120,0))="","",INDEX('Primary_snapshot'!$C$2:$C$120,MATCH(A7,'Primary_snapshot'!$A$2:$A$120,0))),IF(AND(D7="retain",E7="statistical_results"),IF(H7="","",H7),"not_applicable")=IF(INDEX('Primary_snapshot'!$D$2:$D$120,MATCH(A7,'Primary_snapshot'!$A$2:$A$120,0))="","",INDEX('Primary_snapshot'!$D$2:$D$120,MATCH(A7,'Primary_snapshot'!$A$2:$A$120,0))),IF(AND(D7="retain",E7="statistical_results"),IF(I7="","",I7),"not_applicable")=IF(INDEX('Primary_snapshot'!$E$2:$E$120,MATCH(A7,'Primary_snapshot'!$A$2:$A$120,0))="","",INDEX('Primary_snapshot'!$E$2:$E$120,MATCH(A7,'Primary_snapshot'!$A$2:$A$120,0))),IF(AND(D7="retain",E7="statistical_results"),IF(J7="","",J7),"not_applicable")=IF(INDEX('Primary_snapshot'!$F$2:$F$120,MATCH(A7,'Primary_snapshot'!$A$2:$A$120,0))="","",INDEX('Primary_snapshot'!$F$2:$F$120,MATCH(A7,'Primary_snapshot'!$A$2:$A$120,0))),IF(AND(D7="retain",OR(E7="report_internal_inconsistency",E7="plan_material")),IF(K7="","",K7),"not_applicable")=IF(INDEX('Primary_snapshot'!$G$2:$G$120,MATCH(A7,'Primary_snapshot'!$A$2:$A$120,0))="","",INDEX('Primary_snapshot'!$G$2:$G$120,MATCH(A7,'Primary_snapshot'!$A$2:$A$120,0))),IF(AND(D7="retain",E7="protocol_report"),IF(L7="","",L7),"not_applicable")=IF(INDEX('Primary_snapshot'!$H$2:$H$120,MATCH(A7,'Primary_snapshot'!$A$2:$A$120,0))="","",INDEX('Primary_snapshot'!$H$2:$H$120,MATCH(A7,'Primary_snapshot'!$A$2:$A$120,0))),IF(R7="","",R7)=IF(INDEX('Primary_snapshot'!$I$2:$I$120,MATCH(A7,'Primary_snapshot'!$A$2:$A$120,0))="","",INDEX('Primary_snapshot'!$I$2:$I$120,MATCH(A7,'Primary_snapshot'!$A$2:$A$120,0)))))),"AGREE BUT CHANGED",IF(AND(P7&lt;&gt;"",NOT(OR(P7="pending",P7="resolved"))),"CHECK RESOLUTION",IF(OR(AND(OR(D7="discuss",INDEX('Primary_snapshot'!$B$2:$B$120,MATCH(A7,'Primary_snapshot'!$A$2:$A$120,0))="discuss",N7="disagree",N7="unable"),P7&lt;&gt;"resolved"),D7="discuss"),"DISCUSS",IF(AND(P7="resolved",LEN(TRIM(Q7))=0),"RESOLUTION NOTE NEEDED",IF(F7&lt;&gt;"checker_done","CHECKER DRAFT","FINAL READY")))))))))))))),"CHECK KEY / SNAPSHOT")</x:f>
        <x:v>CHECK REVIEWER IDs</x:v>
      </x:c>
      <x:c r="H7" s="7" t="str">
        <x:f>IF(AND(OR(D7="retain",D7=""),E7="statistical_results"),"","not_applicable")</x:f>
        <x:v>not_applicable</x:v>
      </x:c>
      <x:c r="I7" s="7" t="str">
        <x:f>IF(AND(OR(D7="retain",D7=""),E7="statistical_results"),"","not_applicable")</x:f>
        <x:v>not_applicable</x:v>
      </x:c>
      <x:c r="J7" s="13" t="str">
        <x:f>IF(AND(OR(D7="retain",D7=""),E7="statistical_results"),"","not_applicable")</x:f>
        <x:v>not_applicable</x:v>
      </x:c>
      <x:c r="K7" s="7" t="str">
        <x:f>IF(AND(OR(D7="retain",D7=""),OR(E7="report_internal_inconsistency",E7="plan_material")),"","not_applicable")</x:f>
      </x:c>
      <x:c r="L7" s="13" t="str">
        <x:f>IF(AND(OR(D7="retain",D7=""),E7="protocol_report"),"","not_applicable")</x:f>
        <x:v>not_applicable</x:v>
      </x:c>
      <x:c r="M7" s="3" t="str">
        <x:f>IF(Setup!$B$6="primary","",IFERROR(IF(INDEX('Primary_snapshot'!$L$2:$L$120,MATCH(A7,'Primary_snapshot'!$A$2:$A$120,0))="","",INDEX('Primary_snapshot'!$L$2:$L$120,MATCH(A7,'Primary_snapshot'!$A$2:$A$120,0))),"SNAPSHOT MISSING"))</x:f>
      </x:c>
      <x:c r="N7" s="7" t="str"/>
      <x:c r="O7" s="7" t="str"/>
      <x:c r="P7" s="7" t="str"/>
      <x:c r="Q7" s="7" t="str"/>
      <x:c r="R7" s="13" t="str"/>
    </x:row>
    <x:row r="8" ht="92" customHeight="1">
      <x:c r="A8" s="6" t="str">
        <x:v>2018::jama.2018.17075::C007</x:v>
      </x:c>
      <x:c r="B8" s="6" t="str">
        <x:v>Adjusted odds-ratio confidence-interval string is malformed</x:v>
      </x:c>
      <x:c r="C8" s="6" t="str">
        <x:v>joi180132supp2_prod.pdf — PDF p. 22, post-hoc adequate-cooling Results, final sentence.</x:v>
      </x:c>
      <x:c r="D8" s="7" t="str"/>
      <x:c r="E8" s="7" t="str">
        <x:v>statistical_results</x:v>
      </x:c>
      <x:c r="F8" s="7" t="str">
        <x:v>no</x:v>
      </x:c>
      <x:c r="G8" s="6" t="str">
        <x:f>IFERROR(IF(NOT(OR(Setup!$B$6="primary",Setup!$B$6="checker")),"CHECK STAGE",IF(OR(LEN(TRIM(Setup!$B$2))=0,Setup!$B$2&lt;&gt;TRIM(Setup!$B$2),AND(Setup!$B$6="checker",OR(LEN(TRIM(Setup!$B$4))=0,Setup!$B$4&lt;&gt;TRIM(Setup!$B$4),LOWER(TRIM(Setup!$B$4))=LOWER(TRIM(Setup!$B$2))))),"CHECK REVIEWER IDs",IF(OR(COUNTIF($A$2:$A$9,A8)&lt;&gt;1,COUNTIF(Decisions!$C$2:$C$120,A8)&lt;&gt;1),"CHECK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FIELDS",IF(Setup!$B$6="primary",IF(OR(N8&lt;&gt;"",O8&lt;&gt;"",P8&lt;&gt;"",Q8&lt;&gt;""),"CLEAR CHECKER FIELDS",IF(OR(Setup!$B$4&lt;&gt;"",Setup!$B$5&lt;&gt;""),"CLEAR CHECKER ID",IF(F8&lt;&gt;"primary_done","PRIMARY DRAFT","PRIMARY READY"))),IF(OR(COUNTIF(Primary_snapshot!$A$2:$A$120,A8)&lt;&gt;1,INDEX('Primary_snapshot'!$J$2:$J$120,MATCH(A8,'Primary_snapshot'!$A$2:$A$120,0))&lt;&gt;"primary_done",INDEX('Primary_snapshot'!$K$2:$K$120,MATCH(A8,'Primary_snapshot'!$A$2:$A$120,0))&lt;&gt;Setup!$B$2,INDEX('Primary_snapshot'!$B$2:$B$120,MATCH(A8,'Primary_snapshot'!$A$2:$A$120,0))="NOT FROZEN",INDEX('Primary_snapshot'!$C$2:$C$120,MATCH(A8,'Primary_snapshot'!$A$2:$A$120,0))="NOT FROZEN",INDEX('Primary_snapshot'!$D$2:$D$120,MATCH(A8,'Primary_snapshot'!$A$2:$A$120,0))="NOT FROZEN",INDEX('Primary_snapshot'!$E$2:$E$120,MATCH(A8,'Primary_snapshot'!$A$2:$A$120,0))="NOT FROZEN",INDEX('Primary_snapshot'!$F$2:$F$120,MATCH(A8,'Primary_snapshot'!$A$2:$A$120,0))="NOT FROZEN",INDEX('Primary_snapshot'!$G$2:$G$120,MATCH(A8,'Primary_snapshot'!$A$2:$A$120,0))="NOT FROZEN",INDEX('Primary_snapshot'!$H$2:$H$120,MATCH(A8,'Primary_snapshot'!$A$2:$A$120,0))="NOT FROZEN",INDEX('Primary_snapshot'!$I$2:$I$120,MATCH(A8,'Primary_snapshot'!$A$2:$A$120,0))="NOT FROZEN",INDEX('Primary_snapshot'!$J$2:$J$120,MATCH(A8,'Primary_snapshot'!$A$2:$A$120,0))="NOT FROZEN",INDEX('Primary_snapshot'!$K$2:$K$120,MATCH(A8,'Primary_snapshot'!$A$2:$A$120,0))="NOT FROZEN",INDEX('Primary_snapshot'!$L$2:$L$120,MATCH(A8,'Primary_snapshot'!$A$2:$A$120,0))="NOT FROZEN"),"FREEZE SNAPSHOT",IF(NOT(OR(N8="agree",N8="agree_clarification",N8="disagree",N8="unable")),"CHECKER RESULT NEEDED",IF(AND(N8&lt;&gt;"agree",LEN(TRIM(O8))=0),"COMMENT NEEDED",IF(AND(N8="agree",NOT(AND(IF(D8="","",D8)=IF(INDEX('Primary_snapshot'!$B$2:$B$120,MATCH(A8,'Primary_snapshot'!$A$2:$A$120,0))="","",INDEX('Primary_snapshot'!$B$2:$B$120,MATCH(A8,'Primary_snapshot'!$A$2:$A$120,0))),IF(E8="","",E8)=IF(INDEX('Primary_snapshot'!$C$2:$C$120,MATCH(A8,'Primary_snapshot'!$A$2:$A$120,0))="","",INDEX('Primary_snapshot'!$C$2:$C$120,MATCH(A8,'Primary_snapshot'!$A$2:$A$120,0))),IF(AND(D8="retain",E8="statistical_results"),IF(H8="","",H8),"not_applicable")=IF(INDEX('Primary_snapshot'!$D$2:$D$120,MATCH(A8,'Primary_snapshot'!$A$2:$A$120,0))="","",INDEX('Primary_snapshot'!$D$2:$D$120,MATCH(A8,'Primary_snapshot'!$A$2:$A$120,0))),IF(AND(D8="retain",E8="statistical_results"),IF(I8="","",I8),"not_applicable")=IF(INDEX('Primary_snapshot'!$E$2:$E$120,MATCH(A8,'Primary_snapshot'!$A$2:$A$120,0))="","",INDEX('Primary_snapshot'!$E$2:$E$120,MATCH(A8,'Primary_snapshot'!$A$2:$A$120,0))),IF(AND(D8="retain",E8="statistical_results"),IF(J8="","",J8),"not_applicable")=IF(INDEX('Primary_snapshot'!$F$2:$F$120,MATCH(A8,'Primary_snapshot'!$A$2:$A$120,0))="","",INDEX('Primary_snapshot'!$F$2:$F$120,MATCH(A8,'Primary_snapshot'!$A$2:$A$120,0))),IF(AND(D8="retain",OR(E8="report_internal_inconsistency",E8="plan_material")),IF(K8="","",K8),"not_applicable")=IF(INDEX('Primary_snapshot'!$G$2:$G$120,MATCH(A8,'Primary_snapshot'!$A$2:$A$120,0))="","",INDEX('Primary_snapshot'!$G$2:$G$120,MATCH(A8,'Primary_snapshot'!$A$2:$A$120,0))),IF(AND(D8="retain",E8="protocol_report"),IF(L8="","",L8),"not_applicable")=IF(INDEX('Primary_snapshot'!$H$2:$H$120,MATCH(A8,'Primary_snapshot'!$A$2:$A$120,0))="","",INDEX('Primary_snapshot'!$H$2:$H$120,MATCH(A8,'Primary_snapshot'!$A$2:$A$120,0))),IF(R8="","",R8)=IF(INDEX('Primary_snapshot'!$I$2:$I$120,MATCH(A8,'Primary_snapshot'!$A$2:$A$120,0))="","",INDEX('Primary_snapshot'!$I$2:$I$120,MATCH(A8,'Primary_snapshot'!$A$2:$A$120,0)))))),"AGREE BUT CHANGED",IF(AND(P8&lt;&gt;"",NOT(OR(P8="pending",P8="resolved"))),"CHECK RESOLUTION",IF(OR(AND(OR(D8="discuss",INDEX('Primary_snapshot'!$B$2:$B$120,MATCH(A8,'Primary_snapshot'!$A$2:$A$120,0))="discuss",N8="disagree",N8="unable"),P8&lt;&gt;"resolved"),D8="discuss"),"DISCUSS",IF(AND(P8="resolved",LEN(TRIM(Q8))=0),"RESOLUTION NOTE NEEDED",IF(F8&lt;&gt;"checker_done","CHECKER DRAFT","FINAL READY")))))))))))))),"CHECK KEY / SNAPSHOT")</x:f>
        <x:v>CHECK REVIEWER IDs</x:v>
      </x:c>
      <x:c r="H8" s="7" t="str">
        <x:f>IF(AND(OR(D8="retain",D8=""),E8="statistical_results"),"","not_applicable")</x:f>
      </x:c>
      <x:c r="I8" s="7" t="str">
        <x:f>IF(AND(OR(D8="retain",D8=""),E8="statistical_results"),"","not_applicable")</x:f>
      </x:c>
      <x:c r="J8" s="13" t="str">
        <x:f>IF(AND(OR(D8="retain",D8=""),E8="statistical_results"),"","not_applicable")</x:f>
      </x:c>
      <x:c r="K8" s="7" t="str">
        <x:f>IF(AND(OR(D8="retain",D8=""),OR(E8="report_internal_inconsistency",E8="plan_material")),"","not_applicable")</x:f>
        <x:v>not_applicable</x:v>
      </x:c>
      <x:c r="L8" s="13" t="str">
        <x:f>IF(AND(OR(D8="retain",D8=""),E8="protocol_report"),"","not_applicable")</x:f>
        <x:v>not_applicable</x:v>
      </x:c>
      <x:c r="M8" s="6" t="str">
        <x:f>IF(Setup!$B$6="primary","",IFERROR(IF(INDEX('Primary_snapshot'!$L$2:$L$120,MATCH(A8,'Primary_snapshot'!$A$2:$A$120,0))="","",INDEX('Primary_snapshot'!$L$2:$L$120,MATCH(A8,'Primary_snapshot'!$A$2:$A$120,0))),"SNAPSHOT MISSING"))</x:f>
      </x:c>
      <x:c r="N8" s="7" t="str"/>
      <x:c r="O8" s="7" t="str"/>
      <x:c r="P8" s="7" t="str"/>
      <x:c r="Q8" s="7" t="str"/>
      <x:c r="R8" s="13" t="str"/>
    </x:row>
    <x:row r="9" ht="92" customHeight="1">
      <x:c r="A9" s="3" t="str">
        <x:v>2018::jama.2018.17075::C008</x:v>
      </x:c>
      <x:c r="B9" s="3" t="str">
        <x:v>Abstract male count conflicts with its percentage and Table 1 total</x:v>
      </x:c>
      <x:c r="C9" s="3" t="str">
        <x:v>jama_cooper_2018_oi_180132.pdf — PDF p. 1, abstract Results; PDF p. 5, Table 1, Men and Women rows.</x:v>
      </x:c>
      <x:c r="D9" s="7" t="str"/>
      <x:c r="E9" s="7" t="str">
        <x:v>statistical_results</x:v>
      </x:c>
      <x:c r="F9" s="7" t="str">
        <x:v>no</x:v>
      </x:c>
      <x:c r="G9" s="3" t="str">
        <x:f>IFERROR(IF(NOT(OR(Setup!$B$6="primary",Setup!$B$6="checker")),"CHECK STAGE",IF(OR(LEN(TRIM(Setup!$B$2))=0,Setup!$B$2&lt;&gt;TRIM(Setup!$B$2),AND(Setup!$B$6="checker",OR(LEN(TRIM(Setup!$B$4))=0,Setup!$B$4&lt;&gt;TRIM(Setup!$B$4),LOWER(TRIM(Setup!$B$4))=LOWER(TRIM(Setup!$B$2))))),"CHECK REVIEWER IDs",IF(OR(COUNTIF($A$2:$A$9,A9)&lt;&gt;1,COUNTIF(Decisions!$C$2:$C$120,A9)&lt;&gt;1),"CHECK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FIELDS",IF(Setup!$B$6="primary",IF(OR(N9&lt;&gt;"",O9&lt;&gt;"",P9&lt;&gt;"",Q9&lt;&gt;""),"CLEAR CHECKER FIELDS",IF(OR(Setup!$B$4&lt;&gt;"",Setup!$B$5&lt;&gt;""),"CLEAR CHECKER ID",IF(F9&lt;&gt;"primary_done","PRIMARY DRAFT","PRIMARY READY"))),IF(OR(COUNTIF(Primary_snapshot!$A$2:$A$120,A9)&lt;&gt;1,INDEX('Primary_snapshot'!$J$2:$J$120,MATCH(A9,'Primary_snapshot'!$A$2:$A$120,0))&lt;&gt;"primary_done",INDEX('Primary_snapshot'!$K$2:$K$120,MATCH(A9,'Primary_snapshot'!$A$2:$A$120,0))&lt;&gt;Setup!$B$2,INDEX('Primary_snapshot'!$B$2:$B$120,MATCH(A9,'Primary_snapshot'!$A$2:$A$120,0))="NOT FROZEN",INDEX('Primary_snapshot'!$C$2:$C$120,MATCH(A9,'Primary_snapshot'!$A$2:$A$120,0))="NOT FROZEN",INDEX('Primary_snapshot'!$D$2:$D$120,MATCH(A9,'Primary_snapshot'!$A$2:$A$120,0))="NOT FROZEN",INDEX('Primary_snapshot'!$E$2:$E$120,MATCH(A9,'Primary_snapshot'!$A$2:$A$120,0))="NOT FROZEN",INDEX('Primary_snapshot'!$F$2:$F$120,MATCH(A9,'Primary_snapshot'!$A$2:$A$120,0))="NOT FROZEN",INDEX('Primary_snapshot'!$G$2:$G$120,MATCH(A9,'Primary_snapshot'!$A$2:$A$120,0))="NOT FROZEN",INDEX('Primary_snapshot'!$H$2:$H$120,MATCH(A9,'Primary_snapshot'!$A$2:$A$120,0))="NOT FROZEN",INDEX('Primary_snapshot'!$I$2:$I$120,MATCH(A9,'Primary_snapshot'!$A$2:$A$120,0))="NOT FROZEN",INDEX('Primary_snapshot'!$J$2:$J$120,MATCH(A9,'Primary_snapshot'!$A$2:$A$120,0))="NOT FROZEN",INDEX('Primary_snapshot'!$K$2:$K$120,MATCH(A9,'Primary_snapshot'!$A$2:$A$120,0))="NOT FROZEN",INDEX('Primary_snapshot'!$L$2:$L$120,MATCH(A9,'Primary_snapshot'!$A$2:$A$120,0))="NOT FROZEN"),"FREEZE SNAPSHOT",IF(NOT(OR(N9="agree",N9="agree_clarification",N9="disagree",N9="unable")),"CHECKER RESULT NEEDED",IF(AND(N9&lt;&gt;"agree",LEN(TRIM(O9))=0),"COMMENT NEEDED",IF(AND(N9="agree",NOT(AND(IF(D9="","",D9)=IF(INDEX('Primary_snapshot'!$B$2:$B$120,MATCH(A9,'Primary_snapshot'!$A$2:$A$120,0))="","",INDEX('Primary_snapshot'!$B$2:$B$120,MATCH(A9,'Primary_snapshot'!$A$2:$A$120,0))),IF(E9="","",E9)=IF(INDEX('Primary_snapshot'!$C$2:$C$120,MATCH(A9,'Primary_snapshot'!$A$2:$A$120,0))="","",INDEX('Primary_snapshot'!$C$2:$C$120,MATCH(A9,'Primary_snapshot'!$A$2:$A$120,0))),IF(AND(D9="retain",E9="statistical_results"),IF(H9="","",H9),"not_applicable")=IF(INDEX('Primary_snapshot'!$D$2:$D$120,MATCH(A9,'Primary_snapshot'!$A$2:$A$120,0))="","",INDEX('Primary_snapshot'!$D$2:$D$120,MATCH(A9,'Primary_snapshot'!$A$2:$A$120,0))),IF(AND(D9="retain",E9="statistical_results"),IF(I9="","",I9),"not_applicable")=IF(INDEX('Primary_snapshot'!$E$2:$E$120,MATCH(A9,'Primary_snapshot'!$A$2:$A$120,0))="","",INDEX('Primary_snapshot'!$E$2:$E$120,MATCH(A9,'Primary_snapshot'!$A$2:$A$120,0))),IF(AND(D9="retain",E9="statistical_results"),IF(J9="","",J9),"not_applicable")=IF(INDEX('Primary_snapshot'!$F$2:$F$120,MATCH(A9,'Primary_snapshot'!$A$2:$A$120,0))="","",INDEX('Primary_snapshot'!$F$2:$F$120,MATCH(A9,'Primary_snapshot'!$A$2:$A$120,0))),IF(AND(D9="retain",OR(E9="report_internal_inconsistency",E9="plan_material")),IF(K9="","",K9),"not_applicable")=IF(INDEX('Primary_snapshot'!$G$2:$G$120,MATCH(A9,'Primary_snapshot'!$A$2:$A$120,0))="","",INDEX('Primary_snapshot'!$G$2:$G$120,MATCH(A9,'Primary_snapshot'!$A$2:$A$120,0))),IF(AND(D9="retain",E9="protocol_report"),IF(L9="","",L9),"not_applicable")=IF(INDEX('Primary_snapshot'!$H$2:$H$120,MATCH(A9,'Primary_snapshot'!$A$2:$A$120,0))="","",INDEX('Primary_snapshot'!$H$2:$H$120,MATCH(A9,'Primary_snapshot'!$A$2:$A$120,0))),IF(R9="","",R9)=IF(INDEX('Primary_snapshot'!$I$2:$I$120,MATCH(A9,'Primary_snapshot'!$A$2:$A$120,0))="","",INDEX('Primary_snapshot'!$I$2:$I$120,MATCH(A9,'Primary_snapshot'!$A$2:$A$120,0)))))),"AGREE BUT CHANGED",IF(AND(P9&lt;&gt;"",NOT(OR(P9="pending",P9="resolved"))),"CHECK RESOLUTION",IF(OR(AND(OR(D9="discuss",INDEX('Primary_snapshot'!$B$2:$B$120,MATCH(A9,'Primary_snapshot'!$A$2:$A$120,0))="discuss",N9="disagree",N9="unable"),P9&lt;&gt;"resolved"),D9="discuss"),"DISCUSS",IF(AND(P9="resolved",LEN(TRIM(Q9))=0),"RESOLUTION NOTE NEEDED",IF(F9&lt;&gt;"checker_done","CHECKER DRAFT","FINAL READY")))))))))))))),"CHECK KEY / SNAPSHOT")</x:f>
        <x:v>CHECK REVIEWER IDs</x:v>
      </x:c>
      <x:c r="H9" s="7" t="str">
        <x:f>IF(AND(OR(D9="retain",D9=""),E9="statistical_results"),"","not_applicable")</x:f>
      </x:c>
      <x:c r="I9" s="7" t="str">
        <x:f>IF(AND(OR(D9="retain",D9=""),E9="statistical_results"),"","not_applicable")</x:f>
      </x:c>
      <x:c r="J9" s="13" t="str">
        <x:f>IF(AND(OR(D9="retain",D9=""),E9="statistical_results"),"","not_applicable")</x:f>
      </x:c>
      <x:c r="K9" s="7" t="str">
        <x:f>IF(AND(OR(D9="retain",D9=""),OR(E9="report_internal_inconsistency",E9="plan_material")),"","not_applicable")</x:f>
        <x:v>not_applicable</x:v>
      </x:c>
      <x:c r="L9" s="13" t="str">
        <x:f>IF(AND(OR(D9="retain",D9=""),E9="protocol_report"),"","not_applicable")</x:f>
        <x:v>not_applicable</x:v>
      </x:c>
      <x:c r="M9" s="3" t="str">
        <x:f>IF(Setup!$B$6="primary","",IFERROR(IF(INDEX('Primary_snapshot'!$L$2:$L$120,MATCH(A9,'Primary_snapshot'!$A$2:$A$120,0))="","",INDEX('Primary_snapshot'!$L$2:$L$120,MATCH(A9,'Primary_snapshot'!$A$2:$A$120,0))),"SNAPSHOT MISSING"))</x:f>
      </x:c>
      <x:c r="N9" s="7" t="str"/>
      <x:c r="O9" s="7" t="str"/>
      <x:c r="P9" s="7" t="str"/>
      <x:c r="Q9" s="7" t="str"/>
      <x:c r="R9" s="13" t="str"/>
    </x:row>
  </x:sheetData>
  <x:conditionalFormatting sqref="G2:G9">
    <x:cfRule type="expression" dxfId="35" priority="1">
      <x:formula>AND(G2&lt;&gt;"PRIMARY READY",G2&lt;&gt;"FINAL READY")</x:formula>
    </x:cfRule>
  </x:conditionalFormatting>
  <x:conditionalFormatting sqref="N2:Q9">
    <x:cfRule type="expression" dxfId="36" priority="2">
      <x:formula>Setup!$B$6="primary"</x:formula>
    </x:cfRule>
  </x:conditionalFormatting>
  <x:conditionalFormatting sqref="H2:H9">
    <x:cfRule type="expression" dxfId="37" priority="3">
      <x:formula>NOT(AND(OR($D2="retain",$D2=""),$E2="statistical_results"))</x:formula>
    </x:cfRule>
  </x:conditionalFormatting>
  <x:conditionalFormatting sqref="I2:I9">
    <x:cfRule type="expression" dxfId="38" priority="4">
      <x:formula>NOT(AND(OR($D2="retain",$D2=""),$E2="statistical_results"))</x:formula>
    </x:cfRule>
  </x:conditionalFormatting>
  <x:conditionalFormatting sqref="J2:J9">
    <x:cfRule type="expression" dxfId="39" priority="5">
      <x:formula>NOT(AND(OR($D2="retain",$D2=""),$E2="statistical_results"))</x:formula>
    </x:cfRule>
  </x:conditionalFormatting>
  <x:conditionalFormatting sqref="K2:K9">
    <x:cfRule type="expression" dxfId="40" priority="6">
      <x:formula>NOT(AND(OR($D2="retain",$D2=""),OR($E2="report_internal_inconsistency",$E2="plan_material")))</x:formula>
    </x:cfRule>
  </x:conditionalFormatting>
  <x:conditionalFormatting sqref="L2:L9">
    <x:cfRule type="expression" dxfId="41" priority="7">
      <x:formula>NOT(AND(OR($D2="retain",$D2=""),$E2="protocol_report"))</x:formula>
    </x:cfRule>
  </x:conditionalFormatting>
  <x:dataValidations count="10">
    <x:dataValidation type="list" sqref="D2:D9">
      <x:formula1>"retain,exclude,discuss"</x:formula1>
    </x:dataValidation>
    <x:dataValidation type="list" sqref="E2:E9">
      <x:formula1>"statistical_results,report_internal_inconsistency,plan_material,protocol_report"</x:formula1>
    </x:dataValidation>
    <x:dataValidation type="list" sqref="F2:F9">
      <x:formula1>"no,primary_done,checker_done"</x:formula1>
    </x:dataValidation>
    <x:dataValidation type="list" sqref="H2:H9">
      <x:formula1>"confirmed_issue,probable_issue,not_issue,indeterminate,not_applicable"</x:formula1>
    </x:dataValidation>
    <x:dataValidation type="list" sqref="I2:I9">
      <x:formula1>"substantive,minor_presentation,indeterminate,not_applicable"</x:formula1>
    </x:dataValidation>
    <x:dataValidation type="list" sqref="J2:J9">
      <x:formula1>"direct,possible,unlikely,unknown,not_applicable"</x:formula1>
    </x:dataValidation>
    <x:dataValidation type="list" sqref="K2:K9">
      <x:formula1>"substantive_inconsistency,minor_presentation,non_inconsistency,indeterminate,not_applicable"</x:formula1>
    </x:dataValidation>
    <x:dataValidation type="list" sqref="L2:L9">
      <x:formula1>"substantive_difference,minor_presentation,version_timing,non_inconsistency,indeterminate,not_applicable"</x:formula1>
    </x:dataValidation>
    <x:dataValidation type="list" sqref="N2:N9">
      <x:formula1>"agree,agree_clarification,disagree,unable"</x:formula1>
    </x:dataValidation>
    <x:dataValidation type="list" sqref="P2:P9">
      <x:formula1>"pending,resolved"</x:formula1>
    </x:dataValidation>
  </x:dataValidations>
  <x:pageMargins left="0.7" right="0.7" top="0.75" bottom="0.75" header="0.3" footer="0.3"/>
  <x:tableParts count="1">
    <x:tablePart xmlns:r="http://schemas.openxmlformats.org/officeDocument/2006/relationships" r:id="R48899925e97d4153"/>
  </x:tableParts>
</x:worksheet>
</file>

<file path=xl/worksheets/sheet11.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28" hidden="0" customWidth="1"/>
    <x:col min="3" max="3" width="22" hidden="0" customWidth="1"/>
    <x:col min="4" max="4" width="18" hidden="0" customWidth="1"/>
    <x:col min="5" max="5" width="24" hidden="0" customWidth="1"/>
    <x:col min="6" max="6" width="17" hidden="0" customWidth="1"/>
    <x:col min="7" max="7" width="25" hidden="0" customWidth="1"/>
    <x:col min="8" max="8" width="28" hidden="0" customWidth="1"/>
    <x:col min="9" max="9" width="20" hidden="0" customWidth="1"/>
    <x:col min="10" max="10" width="20" hidden="0" customWidth="1"/>
    <x:col min="11" max="11" width="34" hidden="0" customWidth="1"/>
    <x:col min="12" max="12" width="26" hidden="0" customWidth="1"/>
    <x:col min="13" max="13" width="58" hidden="0" customWidth="1"/>
    <x:col min="14" max="14" width="23" hidden="0" customWidth="1"/>
    <x:col min="15" max="15" width="32" hidden="0" customWidth="1"/>
    <x:col min="16" max="16" width="22" hidden="0" customWidth="1"/>
    <x:col min="17" max="17" width="32" hidden="0" customWidth="1"/>
    <x:col min="18" max="18" width="32" hidden="0" customWidth="1"/>
  </x:cols>
  <x:sheetData>
    <x:row r="1" ht="42" customHeight="1">
      <x:c r="A1" s="5" t="str">
        <x:v>Candidate key</x:v>
      </x:c>
      <x:c r="B1" s="5" t="str">
        <x:v>Candidate title</x:v>
      </x:c>
      <x:c r="C1" s="5" t="str">
        <x:v>Source location</x:v>
      </x:c>
      <x:c r="D1" s="5" t="str">
        <x:v>Disposition</x:v>
      </x:c>
      <x:c r="E1" s="5" t="str">
        <x:v>Review domain</x:v>
      </x:c>
      <x:c r="F1" s="5" t="str">
        <x:v>Complete</x:v>
      </x:c>
      <x:c r="G1" s="5" t="str">
        <x:v>Validation hint</x:v>
      </x:c>
      <x:c r="H1" s="5" t="str">
        <x:v>Statistcal_or_numerical issue</x:v>
      </x:c>
      <x:c r="I1" s="5" t="str">
        <x:v>Substantiveness</x:v>
      </x:c>
      <x:c r="J1" s="5" t="str">
        <x:v>Downstream impact</x:v>
      </x:c>
      <x:c r="K1" s="5" t="str">
        <x:v>Report-internal or planning-material inconsistency</x:v>
      </x:c>
      <x:c r="L1" s="5" t="str">
        <x:v>Protocol interpretation</x:v>
      </x:c>
      <x:c r="M1" s="5" t="str">
        <x:v>Primary assessment</x:v>
      </x:c>
      <x:c r="N1" s="5" t="str">
        <x:v>Checker result</x:v>
      </x:c>
      <x:c r="O1" s="5" t="str">
        <x:v>Checker comment</x:v>
      </x:c>
      <x:c r="P1" s="5" t="str">
        <x:v>Discussion resolution</x:v>
      </x:c>
      <x:c r="Q1" s="5" t="str">
        <x:v>Resolution note</x:v>
      </x:c>
      <x:c r="R1" s="5" t="str">
        <x:v>Notes (optional)</x:v>
      </x:c>
    </x:row>
    <x:row r="2" ht="92" customHeight="1">
      <x:c r="A2" s="6" t="str">
        <x:v>2018::jama.2018.18020::C001</x:v>
      </x:c>
      <x:c r="B2" s="6" t="str">
        <x:v>Abstract sex percentage conflicts with the enrolled sex count</x:v>
      </x:c>
      <x:c r="C2" s="6" t="str">
        <x:v>jama_stunnenberg_2018_oi_180136.pdf — PDF p. 1, Abstract Results; jama_stunnenberg_2018_oi_180136.pdf — PDF p. 4, Baseline Data.</x:v>
      </x:c>
      <x:c r="D2" s="7" t="str"/>
      <x:c r="E2" s="7" t="str">
        <x:v>statistical_results</x:v>
      </x:c>
      <x:c r="F2" s="7" t="str">
        <x:v>no</x:v>
      </x:c>
      <x:c r="G2" s="6" t="str">
        <x:f>IFERROR(IF(NOT(OR(Setup!$B$6="primary",Setup!$B$6="checker")),"CHECK STAGE",IF(OR(LEN(TRIM(Setup!$B$2))=0,Setup!$B$2&lt;&gt;TRIM(Setup!$B$2),AND(Setup!$B$6="checker",OR(LEN(TRIM(Setup!$B$4))=0,Setup!$B$4&lt;&gt;TRIM(Setup!$B$4),LOWER(TRIM(Setup!$B$4))=LOWER(TRIM(Setup!$B$2))))),"CHECK REVIEWER IDs",IF(OR(COUNTIF($A$2:$A$15,A2)&lt;&gt;1,COUNTIF(Decisions!$C$2:$C$120,A2)&lt;&gt;1),"CHECK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FIELDS",IF(Setup!$B$6="primary",IF(OR(N2&lt;&gt;"",O2&lt;&gt;"",P2&lt;&gt;"",Q2&lt;&gt;""),"CLEAR CHECKER FIELDS",IF(OR(Setup!$B$4&lt;&gt;"",Setup!$B$5&lt;&gt;""),"CLEAR CHECKER ID",IF(F2&lt;&gt;"primary_done","PRIMARY DRAFT","PRIMARY READY"))),IF(OR(COUNTIF(Primary_snapshot!$A$2:$A$120,A2)&lt;&gt;1,INDEX('Primary_snapshot'!$J$2:$J$120,MATCH(A2,'Primary_snapshot'!$A$2:$A$120,0))&lt;&gt;"primary_done",INDEX('Primary_snapshot'!$K$2:$K$120,MATCH(A2,'Primary_snapshot'!$A$2:$A$120,0))&lt;&gt;Setup!$B$2,INDEX('Primary_snapshot'!$B$2:$B$120,MATCH(A2,'Primary_snapshot'!$A$2:$A$120,0))="NOT FROZEN",INDEX('Primary_snapshot'!$C$2:$C$120,MATCH(A2,'Primary_snapshot'!$A$2:$A$120,0))="NOT FROZEN",INDEX('Primary_snapshot'!$D$2:$D$120,MATCH(A2,'Primary_snapshot'!$A$2:$A$120,0))="NOT FROZEN",INDEX('Primary_snapshot'!$E$2:$E$120,MATCH(A2,'Primary_snapshot'!$A$2:$A$120,0))="NOT FROZEN",INDEX('Primary_snapshot'!$F$2:$F$120,MATCH(A2,'Primary_snapshot'!$A$2:$A$120,0))="NOT FROZEN",INDEX('Primary_snapshot'!$G$2:$G$120,MATCH(A2,'Primary_snapshot'!$A$2:$A$120,0))="NOT FROZEN",INDEX('Primary_snapshot'!$H$2:$H$120,MATCH(A2,'Primary_snapshot'!$A$2:$A$120,0))="NOT FROZEN",INDEX('Primary_snapshot'!$I$2:$I$120,MATCH(A2,'Primary_snapshot'!$A$2:$A$120,0))="NOT FROZEN",INDEX('Primary_snapshot'!$J$2:$J$120,MATCH(A2,'Primary_snapshot'!$A$2:$A$120,0))="NOT FROZEN",INDEX('Primary_snapshot'!$K$2:$K$120,MATCH(A2,'Primary_snapshot'!$A$2:$A$120,0))="NOT FROZEN",INDEX('Primary_snapshot'!$L$2:$L$120,MATCH(A2,'Primary_snapshot'!$A$2:$A$120,0))="NOT FROZEN"),"FREEZE SNAPSHOT",IF(NOT(OR(N2="agree",N2="agree_clarification",N2="disagree",N2="unable")),"CHECKER RESULT NEEDED",IF(AND(N2&lt;&gt;"agree",LEN(TRIM(O2))=0),"COMMENT NEEDED",IF(AND(N2="agree",NOT(AND(IF(D2="","",D2)=IF(INDEX('Primary_snapshot'!$B$2:$B$120,MATCH(A2,'Primary_snapshot'!$A$2:$A$120,0))="","",INDEX('Primary_snapshot'!$B$2:$B$120,MATCH(A2,'Primary_snapshot'!$A$2:$A$120,0))),IF(E2="","",E2)=IF(INDEX('Primary_snapshot'!$C$2:$C$120,MATCH(A2,'Primary_snapshot'!$A$2:$A$120,0))="","",INDEX('Primary_snapshot'!$C$2:$C$120,MATCH(A2,'Primary_snapshot'!$A$2:$A$120,0))),IF(AND(D2="retain",E2="statistical_results"),IF(H2="","",H2),"not_applicable")=IF(INDEX('Primary_snapshot'!$D$2:$D$120,MATCH(A2,'Primary_snapshot'!$A$2:$A$120,0))="","",INDEX('Primary_snapshot'!$D$2:$D$120,MATCH(A2,'Primary_snapshot'!$A$2:$A$120,0))),IF(AND(D2="retain",E2="statistical_results"),IF(I2="","",I2),"not_applicable")=IF(INDEX('Primary_snapshot'!$E$2:$E$120,MATCH(A2,'Primary_snapshot'!$A$2:$A$120,0))="","",INDEX('Primary_snapshot'!$E$2:$E$120,MATCH(A2,'Primary_snapshot'!$A$2:$A$120,0))),IF(AND(D2="retain",E2="statistical_results"),IF(J2="","",J2),"not_applicable")=IF(INDEX('Primary_snapshot'!$F$2:$F$120,MATCH(A2,'Primary_snapshot'!$A$2:$A$120,0))="","",INDEX('Primary_snapshot'!$F$2:$F$120,MATCH(A2,'Primary_snapshot'!$A$2:$A$120,0))),IF(AND(D2="retain",OR(E2="report_internal_inconsistency",E2="plan_material")),IF(K2="","",K2),"not_applicable")=IF(INDEX('Primary_snapshot'!$G$2:$G$120,MATCH(A2,'Primary_snapshot'!$A$2:$A$120,0))="","",INDEX('Primary_snapshot'!$G$2:$G$120,MATCH(A2,'Primary_snapshot'!$A$2:$A$120,0))),IF(AND(D2="retain",E2="protocol_report"),IF(L2="","",L2),"not_applicable")=IF(INDEX('Primary_snapshot'!$H$2:$H$120,MATCH(A2,'Primary_snapshot'!$A$2:$A$120,0))="","",INDEX('Primary_snapshot'!$H$2:$H$120,MATCH(A2,'Primary_snapshot'!$A$2:$A$120,0))),IF(R2="","",R2)=IF(INDEX('Primary_snapshot'!$I$2:$I$120,MATCH(A2,'Primary_snapshot'!$A$2:$A$120,0))="","",INDEX('Primary_snapshot'!$I$2:$I$120,MATCH(A2,'Primary_snapshot'!$A$2:$A$120,0)))))),"AGREE BUT CHANGED",IF(AND(P2&lt;&gt;"",NOT(OR(P2="pending",P2="resolved"))),"CHECK RESOLUTION",IF(OR(AND(OR(D2="discuss",INDEX('Primary_snapshot'!$B$2:$B$120,MATCH(A2,'Primary_snapshot'!$A$2:$A$120,0))="discuss",N2="disagree",N2="unable"),P2&lt;&gt;"resolved"),D2="discuss"),"DISCUSS",IF(AND(P2="resolved",LEN(TRIM(Q2))=0),"RESOLUTION NOTE NEEDED",IF(F2&lt;&gt;"checker_done","CHECKER DRAFT","FINAL READY")))))))))))))),"CHECK KEY / SNAPSHOT")</x:f>
        <x:v>CHECK REVIEWER IDs</x:v>
      </x:c>
      <x:c r="H2" s="7" t="str">
        <x:f>IF(AND(OR(D2="retain",D2=""),E2="statistical_results"),"","not_applicable")</x:f>
      </x:c>
      <x:c r="I2" s="7" t="str">
        <x:f>IF(AND(OR(D2="retain",D2=""),E2="statistical_results"),"","not_applicable")</x:f>
      </x:c>
      <x:c r="J2" s="13" t="str">
        <x:f>IF(AND(OR(D2="retain",D2=""),E2="statistical_results"),"","not_applicable")</x:f>
      </x:c>
      <x:c r="K2" s="7" t="str">
        <x:f>IF(AND(OR(D2="retain",D2=""),OR(E2="report_internal_inconsistency",E2="plan_material")),"","not_applicable")</x:f>
        <x:v>not_applicable</x:v>
      </x:c>
      <x:c r="L2" s="13" t="str">
        <x:f>IF(AND(OR(D2="retain",D2=""),E2="protocol_report"),"","not_applicable")</x:f>
        <x:v>not_applicable</x:v>
      </x:c>
      <x:c r="M2" s="6" t="str">
        <x:f>IF(Setup!$B$6="primary","",IFERROR(IF(INDEX('Primary_snapshot'!$L$2:$L$120,MATCH(A2,'Primary_snapshot'!$A$2:$A$120,0))="","",INDEX('Primary_snapshot'!$L$2:$L$120,MATCH(A2,'Primary_snapshot'!$A$2:$A$120,0))),"SNAPSHOT MISSING"))</x:f>
      </x:c>
      <x:c r="N2" s="7" t="str"/>
      <x:c r="O2" s="7" t="str"/>
      <x:c r="P2" s="7" t="str"/>
      <x:c r="Q2" s="7" t="str"/>
      <x:c r="R2" s="13" t="str"/>
    </x:row>
    <x:row r="3" ht="92" customHeight="1">
      <x:c r="A3" s="3" t="str">
        <x:v>2018::jama.2018.18020::C002</x:v>
      </x:c>
      <x:c r="B3" s="3" t="str">
        <x:v>INQoL IQR endpoints exceed the stated 0-to-100 scale</x:v>
      </x:c>
      <x:c r="C3" s="3" t="str">
        <x:v>jama_stunnenberg_2018_oi_180136.pdf — PDF p. 5, Table 1 and footnote f; jama_stunnenberg_2018_oi_180136.pdf — PDF p. 8, Table 2 footnote g.</x:v>
      </x:c>
      <x:c r="D3" s="7" t="str"/>
      <x:c r="E3" s="7" t="str">
        <x:v>report_internal_inconsistency</x:v>
      </x:c>
      <x:c r="F3" s="7" t="str">
        <x:v>no</x:v>
      </x:c>
      <x:c r="G3" s="3" t="str">
        <x:f>IFERROR(IF(NOT(OR(Setup!$B$6="primary",Setup!$B$6="checker")),"CHECK STAGE",IF(OR(LEN(TRIM(Setup!$B$2))=0,Setup!$B$2&lt;&gt;TRIM(Setup!$B$2),AND(Setup!$B$6="checker",OR(LEN(TRIM(Setup!$B$4))=0,Setup!$B$4&lt;&gt;TRIM(Setup!$B$4),LOWER(TRIM(Setup!$B$4))=LOWER(TRIM(Setup!$B$2))))),"CHECK REVIEWER IDs",IF(OR(COUNTIF($A$2:$A$15,A3)&lt;&gt;1,COUNTIF(Decisions!$C$2:$C$120,A3)&lt;&gt;1),"CHECK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FIELDS",IF(Setup!$B$6="primary",IF(OR(N3&lt;&gt;"",O3&lt;&gt;"",P3&lt;&gt;"",Q3&lt;&gt;""),"CLEAR CHECKER FIELDS",IF(OR(Setup!$B$4&lt;&gt;"",Setup!$B$5&lt;&gt;""),"CLEAR CHECKER ID",IF(F3&lt;&gt;"primary_done","PRIMARY DRAFT","PRIMARY READY"))),IF(OR(COUNTIF(Primary_snapshot!$A$2:$A$120,A3)&lt;&gt;1,INDEX('Primary_snapshot'!$J$2:$J$120,MATCH(A3,'Primary_snapshot'!$A$2:$A$120,0))&lt;&gt;"primary_done",INDEX('Primary_snapshot'!$K$2:$K$120,MATCH(A3,'Primary_snapshot'!$A$2:$A$120,0))&lt;&gt;Setup!$B$2,INDEX('Primary_snapshot'!$B$2:$B$120,MATCH(A3,'Primary_snapshot'!$A$2:$A$120,0))="NOT FROZEN",INDEX('Primary_snapshot'!$C$2:$C$120,MATCH(A3,'Primary_snapshot'!$A$2:$A$120,0))="NOT FROZEN",INDEX('Primary_snapshot'!$D$2:$D$120,MATCH(A3,'Primary_snapshot'!$A$2:$A$120,0))="NOT FROZEN",INDEX('Primary_snapshot'!$E$2:$E$120,MATCH(A3,'Primary_snapshot'!$A$2:$A$120,0))="NOT FROZEN",INDEX('Primary_snapshot'!$F$2:$F$120,MATCH(A3,'Primary_snapshot'!$A$2:$A$120,0))="NOT FROZEN",INDEX('Primary_snapshot'!$G$2:$G$120,MATCH(A3,'Primary_snapshot'!$A$2:$A$120,0))="NOT FROZEN",INDEX('Primary_snapshot'!$H$2:$H$120,MATCH(A3,'Primary_snapshot'!$A$2:$A$120,0))="NOT FROZEN",INDEX('Primary_snapshot'!$I$2:$I$120,MATCH(A3,'Primary_snapshot'!$A$2:$A$120,0))="NOT FROZEN",INDEX('Primary_snapshot'!$J$2:$J$120,MATCH(A3,'Primary_snapshot'!$A$2:$A$120,0))="NOT FROZEN",INDEX('Primary_snapshot'!$K$2:$K$120,MATCH(A3,'Primary_snapshot'!$A$2:$A$120,0))="NOT FROZEN",INDEX('Primary_snapshot'!$L$2:$L$120,MATCH(A3,'Primary_snapshot'!$A$2:$A$120,0))="NOT FROZEN"),"FREEZE SNAPSHOT",IF(NOT(OR(N3="agree",N3="agree_clarification",N3="disagree",N3="unable")),"CHECKER RESULT NEEDED",IF(AND(N3&lt;&gt;"agree",LEN(TRIM(O3))=0),"COMMENT NEEDED",IF(AND(N3="agree",NOT(AND(IF(D3="","",D3)=IF(INDEX('Primary_snapshot'!$B$2:$B$120,MATCH(A3,'Primary_snapshot'!$A$2:$A$120,0))="","",INDEX('Primary_snapshot'!$B$2:$B$120,MATCH(A3,'Primary_snapshot'!$A$2:$A$120,0))),IF(E3="","",E3)=IF(INDEX('Primary_snapshot'!$C$2:$C$120,MATCH(A3,'Primary_snapshot'!$A$2:$A$120,0))="","",INDEX('Primary_snapshot'!$C$2:$C$120,MATCH(A3,'Primary_snapshot'!$A$2:$A$120,0))),IF(AND(D3="retain",E3="statistical_results"),IF(H3="","",H3),"not_applicable")=IF(INDEX('Primary_snapshot'!$D$2:$D$120,MATCH(A3,'Primary_snapshot'!$A$2:$A$120,0))="","",INDEX('Primary_snapshot'!$D$2:$D$120,MATCH(A3,'Primary_snapshot'!$A$2:$A$120,0))),IF(AND(D3="retain",E3="statistical_results"),IF(I3="","",I3),"not_applicable")=IF(INDEX('Primary_snapshot'!$E$2:$E$120,MATCH(A3,'Primary_snapshot'!$A$2:$A$120,0))="","",INDEX('Primary_snapshot'!$E$2:$E$120,MATCH(A3,'Primary_snapshot'!$A$2:$A$120,0))),IF(AND(D3="retain",E3="statistical_results"),IF(J3="","",J3),"not_applicable")=IF(INDEX('Primary_snapshot'!$F$2:$F$120,MATCH(A3,'Primary_snapshot'!$A$2:$A$120,0))="","",INDEX('Primary_snapshot'!$F$2:$F$120,MATCH(A3,'Primary_snapshot'!$A$2:$A$120,0))),IF(AND(D3="retain",OR(E3="report_internal_inconsistency",E3="plan_material")),IF(K3="","",K3),"not_applicable")=IF(INDEX('Primary_snapshot'!$G$2:$G$120,MATCH(A3,'Primary_snapshot'!$A$2:$A$120,0))="","",INDEX('Primary_snapshot'!$G$2:$G$120,MATCH(A3,'Primary_snapshot'!$A$2:$A$120,0))),IF(AND(D3="retain",E3="protocol_report"),IF(L3="","",L3),"not_applicable")=IF(INDEX('Primary_snapshot'!$H$2:$H$120,MATCH(A3,'Primary_snapshot'!$A$2:$A$120,0))="","",INDEX('Primary_snapshot'!$H$2:$H$120,MATCH(A3,'Primary_snapshot'!$A$2:$A$120,0))),IF(R3="","",R3)=IF(INDEX('Primary_snapshot'!$I$2:$I$120,MATCH(A3,'Primary_snapshot'!$A$2:$A$120,0))="","",INDEX('Primary_snapshot'!$I$2:$I$120,MATCH(A3,'Primary_snapshot'!$A$2:$A$120,0)))))),"AGREE BUT CHANGED",IF(AND(P3&lt;&gt;"",NOT(OR(P3="pending",P3="resolved"))),"CHECK RESOLUTION",IF(OR(AND(OR(D3="discuss",INDEX('Primary_snapshot'!$B$2:$B$120,MATCH(A3,'Primary_snapshot'!$A$2:$A$120,0))="discuss",N3="disagree",N3="unable"),P3&lt;&gt;"resolved"),D3="discuss"),"DISCUSS",IF(AND(P3="resolved",LEN(TRIM(Q3))=0),"RESOLUTION NOTE NEEDED",IF(F3&lt;&gt;"checker_done","CHECKER DRAFT","FINAL READY")))))))))))))),"CHECK KEY / SNAPSHOT")</x:f>
        <x:v>CHECK REVIEWER IDs</x:v>
      </x:c>
      <x:c r="H3" s="7" t="str">
        <x:f>IF(AND(OR(D3="retain",D3=""),E3="statistical_results"),"","not_applicable")</x:f>
        <x:v>not_applicable</x:v>
      </x:c>
      <x:c r="I3" s="7" t="str">
        <x:f>IF(AND(OR(D3="retain",D3=""),E3="statistical_results"),"","not_applicable")</x:f>
        <x:v>not_applicable</x:v>
      </x:c>
      <x:c r="J3" s="13" t="str">
        <x:f>IF(AND(OR(D3="retain",D3=""),E3="statistical_results"),"","not_applicable")</x:f>
        <x:v>not_applicable</x:v>
      </x:c>
      <x:c r="K3" s="7" t="str">
        <x:f>IF(AND(OR(D3="retain",D3=""),OR(E3="report_internal_inconsistency",E3="plan_material")),"","not_applicable")</x:f>
      </x:c>
      <x:c r="L3" s="13" t="str">
        <x:f>IF(AND(OR(D3="retain",D3=""),E3="protocol_report"),"","not_applicable")</x:f>
        <x:v>not_applicable</x:v>
      </x:c>
      <x:c r="M3" s="3" t="str">
        <x:f>IF(Setup!$B$6="primary","",IFERROR(IF(INDEX('Primary_snapshot'!$L$2:$L$120,MATCH(A3,'Primary_snapshot'!$A$2:$A$120,0))="","",INDEX('Primary_snapshot'!$L$2:$L$120,MATCH(A3,'Primary_snapshot'!$A$2:$A$120,0))),"SNAPSHOT MISSING"))</x:f>
      </x:c>
      <x:c r="N3" s="7" t="str"/>
      <x:c r="O3" s="7" t="str"/>
      <x:c r="P3" s="7" t="str"/>
      <x:c r="Q3" s="7" t="str"/>
      <x:c r="R3" s="13" t="str"/>
    </x:row>
    <x:row r="4" ht="92" customHeight="1">
      <x:c r="A4" s="6" t="str">
        <x:v>2018::jama.2018.18020::C003</x:v>
      </x:c>
      <x:c r="B4" s="6" t="str">
        <x:v>Table 2 secondary-outcome contrast header is opposite to the displayed effect signs</x:v>
      </x:c>
      <x:c r="C4" s="6" t="str">
        <x:v>jama_stunnenberg_2018_oi_180136.pdf — PDF p. 7, Table 2 header and change-score rows; jama_stunnenberg_2018_oi_180136.pdf — PDF p. 8, Table 2 footnotes.</x:v>
      </x:c>
      <x:c r="D4" s="7" t="str"/>
      <x:c r="E4" s="7" t="str">
        <x:v>report_internal_inconsistency</x:v>
      </x:c>
      <x:c r="F4" s="7" t="str">
        <x:v>no</x:v>
      </x:c>
      <x:c r="G4" s="6" t="str">
        <x:f>IFERROR(IF(NOT(OR(Setup!$B$6="primary",Setup!$B$6="checker")),"CHECK STAGE",IF(OR(LEN(TRIM(Setup!$B$2))=0,Setup!$B$2&lt;&gt;TRIM(Setup!$B$2),AND(Setup!$B$6="checker",OR(LEN(TRIM(Setup!$B$4))=0,Setup!$B$4&lt;&gt;TRIM(Setup!$B$4),LOWER(TRIM(Setup!$B$4))=LOWER(TRIM(Setup!$B$2))))),"CHECK REVIEWER IDs",IF(OR(COUNTIF($A$2:$A$15,A4)&lt;&gt;1,COUNTIF(Decisions!$C$2:$C$120,A4)&lt;&gt;1),"CHECK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FIELDS",IF(Setup!$B$6="primary",IF(OR(N4&lt;&gt;"",O4&lt;&gt;"",P4&lt;&gt;"",Q4&lt;&gt;""),"CLEAR CHECKER FIELDS",IF(OR(Setup!$B$4&lt;&gt;"",Setup!$B$5&lt;&gt;""),"CLEAR CHECKER ID",IF(F4&lt;&gt;"primary_done","PRIMARY DRAFT","PRIMARY READY"))),IF(OR(COUNTIF(Primary_snapshot!$A$2:$A$120,A4)&lt;&gt;1,INDEX('Primary_snapshot'!$J$2:$J$120,MATCH(A4,'Primary_snapshot'!$A$2:$A$120,0))&lt;&gt;"primary_done",INDEX('Primary_snapshot'!$K$2:$K$120,MATCH(A4,'Primary_snapshot'!$A$2:$A$120,0))&lt;&gt;Setup!$B$2,INDEX('Primary_snapshot'!$B$2:$B$120,MATCH(A4,'Primary_snapshot'!$A$2:$A$120,0))="NOT FROZEN",INDEX('Primary_snapshot'!$C$2:$C$120,MATCH(A4,'Primary_snapshot'!$A$2:$A$120,0))="NOT FROZEN",INDEX('Primary_snapshot'!$D$2:$D$120,MATCH(A4,'Primary_snapshot'!$A$2:$A$120,0))="NOT FROZEN",INDEX('Primary_snapshot'!$E$2:$E$120,MATCH(A4,'Primary_snapshot'!$A$2:$A$120,0))="NOT FROZEN",INDEX('Primary_snapshot'!$F$2:$F$120,MATCH(A4,'Primary_snapshot'!$A$2:$A$120,0))="NOT FROZEN",INDEX('Primary_snapshot'!$G$2:$G$120,MATCH(A4,'Primary_snapshot'!$A$2:$A$120,0))="NOT FROZEN",INDEX('Primary_snapshot'!$H$2:$H$120,MATCH(A4,'Primary_snapshot'!$A$2:$A$120,0))="NOT FROZEN",INDEX('Primary_snapshot'!$I$2:$I$120,MATCH(A4,'Primary_snapshot'!$A$2:$A$120,0))="NOT FROZEN",INDEX('Primary_snapshot'!$J$2:$J$120,MATCH(A4,'Primary_snapshot'!$A$2:$A$120,0))="NOT FROZEN",INDEX('Primary_snapshot'!$K$2:$K$120,MATCH(A4,'Primary_snapshot'!$A$2:$A$120,0))="NOT FROZEN",INDEX('Primary_snapshot'!$L$2:$L$120,MATCH(A4,'Primary_snapshot'!$A$2:$A$120,0))="NOT FROZEN"),"FREEZE SNAPSHOT",IF(NOT(OR(N4="agree",N4="agree_clarification",N4="disagree",N4="unable")),"CHECKER RESULT NEEDED",IF(AND(N4&lt;&gt;"agree",LEN(TRIM(O4))=0),"COMMENT NEEDED",IF(AND(N4="agree",NOT(AND(IF(D4="","",D4)=IF(INDEX('Primary_snapshot'!$B$2:$B$120,MATCH(A4,'Primary_snapshot'!$A$2:$A$120,0))="","",INDEX('Primary_snapshot'!$B$2:$B$120,MATCH(A4,'Primary_snapshot'!$A$2:$A$120,0))),IF(E4="","",E4)=IF(INDEX('Primary_snapshot'!$C$2:$C$120,MATCH(A4,'Primary_snapshot'!$A$2:$A$120,0))="","",INDEX('Primary_snapshot'!$C$2:$C$120,MATCH(A4,'Primary_snapshot'!$A$2:$A$120,0))),IF(AND(D4="retain",E4="statistical_results"),IF(H4="","",H4),"not_applicable")=IF(INDEX('Primary_snapshot'!$D$2:$D$120,MATCH(A4,'Primary_snapshot'!$A$2:$A$120,0))="","",INDEX('Primary_snapshot'!$D$2:$D$120,MATCH(A4,'Primary_snapshot'!$A$2:$A$120,0))),IF(AND(D4="retain",E4="statistical_results"),IF(I4="","",I4),"not_applicable")=IF(INDEX('Primary_snapshot'!$E$2:$E$120,MATCH(A4,'Primary_snapshot'!$A$2:$A$120,0))="","",INDEX('Primary_snapshot'!$E$2:$E$120,MATCH(A4,'Primary_snapshot'!$A$2:$A$120,0))),IF(AND(D4="retain",E4="statistical_results"),IF(J4="","",J4),"not_applicable")=IF(INDEX('Primary_snapshot'!$F$2:$F$120,MATCH(A4,'Primary_snapshot'!$A$2:$A$120,0))="","",INDEX('Primary_snapshot'!$F$2:$F$120,MATCH(A4,'Primary_snapshot'!$A$2:$A$120,0))),IF(AND(D4="retain",OR(E4="report_internal_inconsistency",E4="plan_material")),IF(K4="","",K4),"not_applicable")=IF(INDEX('Primary_snapshot'!$G$2:$G$120,MATCH(A4,'Primary_snapshot'!$A$2:$A$120,0))="","",INDEX('Primary_snapshot'!$G$2:$G$120,MATCH(A4,'Primary_snapshot'!$A$2:$A$120,0))),IF(AND(D4="retain",E4="protocol_report"),IF(L4="","",L4),"not_applicable")=IF(INDEX('Primary_snapshot'!$H$2:$H$120,MATCH(A4,'Primary_snapshot'!$A$2:$A$120,0))="","",INDEX('Primary_snapshot'!$H$2:$H$120,MATCH(A4,'Primary_snapshot'!$A$2:$A$120,0))),IF(R4="","",R4)=IF(INDEX('Primary_snapshot'!$I$2:$I$120,MATCH(A4,'Primary_snapshot'!$A$2:$A$120,0))="","",INDEX('Primary_snapshot'!$I$2:$I$120,MATCH(A4,'Primary_snapshot'!$A$2:$A$120,0)))))),"AGREE BUT CHANGED",IF(AND(P4&lt;&gt;"",NOT(OR(P4="pending",P4="resolved"))),"CHECK RESOLUTION",IF(OR(AND(OR(D4="discuss",INDEX('Primary_snapshot'!$B$2:$B$120,MATCH(A4,'Primary_snapshot'!$A$2:$A$120,0))="discuss",N4="disagree",N4="unable"),P4&lt;&gt;"resolved"),D4="discuss"),"DISCUSS",IF(AND(P4="resolved",LEN(TRIM(Q4))=0),"RESOLUTION NOTE NEEDED",IF(F4&lt;&gt;"checker_done","CHECKER DRAFT","FINAL READY")))))))))))))),"CHECK KEY / SNAPSHOT")</x:f>
        <x:v>CHECK REVIEWER IDs</x:v>
      </x:c>
      <x:c r="H4" s="7" t="str">
        <x:f>IF(AND(OR(D4="retain",D4=""),E4="statistical_results"),"","not_applicable")</x:f>
        <x:v>not_applicable</x:v>
      </x:c>
      <x:c r="I4" s="7" t="str">
        <x:f>IF(AND(OR(D4="retain",D4=""),E4="statistical_results"),"","not_applicable")</x:f>
        <x:v>not_applicable</x:v>
      </x:c>
      <x:c r="J4" s="13" t="str">
        <x:f>IF(AND(OR(D4="retain",D4=""),E4="statistical_results"),"","not_applicable")</x:f>
        <x:v>not_applicable</x:v>
      </x:c>
      <x:c r="K4" s="7" t="str">
        <x:f>IF(AND(OR(D4="retain",D4=""),OR(E4="report_internal_inconsistency",E4="plan_material")),"","not_applicable")</x:f>
      </x:c>
      <x:c r="L4" s="13" t="str">
        <x:f>IF(AND(OR(D4="retain",D4=""),E4="protocol_report"),"","not_applicable")</x:f>
        <x:v>not_applicable</x:v>
      </x:c>
      <x:c r="M4" s="6" t="str">
        <x:f>IF(Setup!$B$6="primary","",IFERROR(IF(INDEX('Primary_snapshot'!$L$2:$L$120,MATCH(A4,'Primary_snapshot'!$A$2:$A$120,0))="","",INDEX('Primary_snapshot'!$L$2:$L$120,MATCH(A4,'Primary_snapshot'!$A$2:$A$120,0))),"SNAPSHOT MISSING"))</x:f>
      </x:c>
      <x:c r="N4" s="7" t="str"/>
      <x:c r="O4" s="7" t="str"/>
      <x:c r="P4" s="7" t="str"/>
      <x:c r="Q4" s="7" t="str"/>
      <x:c r="R4" s="13" t="str"/>
    </x:row>
    <x:row r="5" ht="92" customHeight="1">
      <x:c r="A5" s="3" t="str">
        <x:v>2018::jama.2018.18020::C004</x:v>
      </x:c>
      <x:c r="B5" s="3" t="str">
        <x:v>Placebo “Any” adverse-reaction percentage does not reconcile with the apparent denominator</x:v>
      </x:c>
      <x:c r="C5" s="3" t="str">
        <x:v>joi180136supp2_prod.pdf — PDF p. 6, eTable 4; jama_stunnenberg_2018_oi_180136.pdf — PDF p. 8, Adverse Events.</x:v>
      </x:c>
      <x:c r="D5" s="7" t="str"/>
      <x:c r="E5" s="7" t="str">
        <x:v>statistical_results</x:v>
      </x:c>
      <x:c r="F5" s="7" t="str">
        <x:v>no</x:v>
      </x:c>
      <x:c r="G5" s="3" t="str">
        <x:f>IFERROR(IF(NOT(OR(Setup!$B$6="primary",Setup!$B$6="checker")),"CHECK STAGE",IF(OR(LEN(TRIM(Setup!$B$2))=0,Setup!$B$2&lt;&gt;TRIM(Setup!$B$2),AND(Setup!$B$6="checker",OR(LEN(TRIM(Setup!$B$4))=0,Setup!$B$4&lt;&gt;TRIM(Setup!$B$4),LOWER(TRIM(Setup!$B$4))=LOWER(TRIM(Setup!$B$2))))),"CHECK REVIEWER IDs",IF(OR(COUNTIF($A$2:$A$15,A5)&lt;&gt;1,COUNTIF(Decisions!$C$2:$C$120,A5)&lt;&gt;1),"CHECK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FIELDS",IF(Setup!$B$6="primary",IF(OR(N5&lt;&gt;"",O5&lt;&gt;"",P5&lt;&gt;"",Q5&lt;&gt;""),"CLEAR CHECKER FIELDS",IF(OR(Setup!$B$4&lt;&gt;"",Setup!$B$5&lt;&gt;""),"CLEAR CHECKER ID",IF(F5&lt;&gt;"primary_done","PRIMARY DRAFT","PRIMARY READY"))),IF(OR(COUNTIF(Primary_snapshot!$A$2:$A$120,A5)&lt;&gt;1,INDEX('Primary_snapshot'!$J$2:$J$120,MATCH(A5,'Primary_snapshot'!$A$2:$A$120,0))&lt;&gt;"primary_done",INDEX('Primary_snapshot'!$K$2:$K$120,MATCH(A5,'Primary_snapshot'!$A$2:$A$120,0))&lt;&gt;Setup!$B$2,INDEX('Primary_snapshot'!$B$2:$B$120,MATCH(A5,'Primary_snapshot'!$A$2:$A$120,0))="NOT FROZEN",INDEX('Primary_snapshot'!$C$2:$C$120,MATCH(A5,'Primary_snapshot'!$A$2:$A$120,0))="NOT FROZEN",INDEX('Primary_snapshot'!$D$2:$D$120,MATCH(A5,'Primary_snapshot'!$A$2:$A$120,0))="NOT FROZEN",INDEX('Primary_snapshot'!$E$2:$E$120,MATCH(A5,'Primary_snapshot'!$A$2:$A$120,0))="NOT FROZEN",INDEX('Primary_snapshot'!$F$2:$F$120,MATCH(A5,'Primary_snapshot'!$A$2:$A$120,0))="NOT FROZEN",INDEX('Primary_snapshot'!$G$2:$G$120,MATCH(A5,'Primary_snapshot'!$A$2:$A$120,0))="NOT FROZEN",INDEX('Primary_snapshot'!$H$2:$H$120,MATCH(A5,'Primary_snapshot'!$A$2:$A$120,0))="NOT FROZEN",INDEX('Primary_snapshot'!$I$2:$I$120,MATCH(A5,'Primary_snapshot'!$A$2:$A$120,0))="NOT FROZEN",INDEX('Primary_snapshot'!$J$2:$J$120,MATCH(A5,'Primary_snapshot'!$A$2:$A$120,0))="NOT FROZEN",INDEX('Primary_snapshot'!$K$2:$K$120,MATCH(A5,'Primary_snapshot'!$A$2:$A$120,0))="NOT FROZEN",INDEX('Primary_snapshot'!$L$2:$L$120,MATCH(A5,'Primary_snapshot'!$A$2:$A$120,0))="NOT FROZEN"),"FREEZE SNAPSHOT",IF(NOT(OR(N5="agree",N5="agree_clarification",N5="disagree",N5="unable")),"CHECKER RESULT NEEDED",IF(AND(N5&lt;&gt;"agree",LEN(TRIM(O5))=0),"COMMENT NEEDED",IF(AND(N5="agree",NOT(AND(IF(D5="","",D5)=IF(INDEX('Primary_snapshot'!$B$2:$B$120,MATCH(A5,'Primary_snapshot'!$A$2:$A$120,0))="","",INDEX('Primary_snapshot'!$B$2:$B$120,MATCH(A5,'Primary_snapshot'!$A$2:$A$120,0))),IF(E5="","",E5)=IF(INDEX('Primary_snapshot'!$C$2:$C$120,MATCH(A5,'Primary_snapshot'!$A$2:$A$120,0))="","",INDEX('Primary_snapshot'!$C$2:$C$120,MATCH(A5,'Primary_snapshot'!$A$2:$A$120,0))),IF(AND(D5="retain",E5="statistical_results"),IF(H5="","",H5),"not_applicable")=IF(INDEX('Primary_snapshot'!$D$2:$D$120,MATCH(A5,'Primary_snapshot'!$A$2:$A$120,0))="","",INDEX('Primary_snapshot'!$D$2:$D$120,MATCH(A5,'Primary_snapshot'!$A$2:$A$120,0))),IF(AND(D5="retain",E5="statistical_results"),IF(I5="","",I5),"not_applicable")=IF(INDEX('Primary_snapshot'!$E$2:$E$120,MATCH(A5,'Primary_snapshot'!$A$2:$A$120,0))="","",INDEX('Primary_snapshot'!$E$2:$E$120,MATCH(A5,'Primary_snapshot'!$A$2:$A$120,0))),IF(AND(D5="retain",E5="statistical_results"),IF(J5="","",J5),"not_applicable")=IF(INDEX('Primary_snapshot'!$F$2:$F$120,MATCH(A5,'Primary_snapshot'!$A$2:$A$120,0))="","",INDEX('Primary_snapshot'!$F$2:$F$120,MATCH(A5,'Primary_snapshot'!$A$2:$A$120,0))),IF(AND(D5="retain",OR(E5="report_internal_inconsistency",E5="plan_material")),IF(K5="","",K5),"not_applicable")=IF(INDEX('Primary_snapshot'!$G$2:$G$120,MATCH(A5,'Primary_snapshot'!$A$2:$A$120,0))="","",INDEX('Primary_snapshot'!$G$2:$G$120,MATCH(A5,'Primary_snapshot'!$A$2:$A$120,0))),IF(AND(D5="retain",E5="protocol_report"),IF(L5="","",L5),"not_applicable")=IF(INDEX('Primary_snapshot'!$H$2:$H$120,MATCH(A5,'Primary_snapshot'!$A$2:$A$120,0))="","",INDEX('Primary_snapshot'!$H$2:$H$120,MATCH(A5,'Primary_snapshot'!$A$2:$A$120,0))),IF(R5="","",R5)=IF(INDEX('Primary_snapshot'!$I$2:$I$120,MATCH(A5,'Primary_snapshot'!$A$2:$A$120,0))="","",INDEX('Primary_snapshot'!$I$2:$I$120,MATCH(A5,'Primary_snapshot'!$A$2:$A$120,0)))))),"AGREE BUT CHANGED",IF(AND(P5&lt;&gt;"",NOT(OR(P5="pending",P5="resolved"))),"CHECK RESOLUTION",IF(OR(AND(OR(D5="discuss",INDEX('Primary_snapshot'!$B$2:$B$120,MATCH(A5,'Primary_snapshot'!$A$2:$A$120,0))="discuss",N5="disagree",N5="unable"),P5&lt;&gt;"resolved"),D5="discuss"),"DISCUSS",IF(AND(P5="resolved",LEN(TRIM(Q5))=0),"RESOLUTION NOTE NEEDED",IF(F5&lt;&gt;"checker_done","CHECKER DRAFT","FINAL READY")))))))))))))),"CHECK KEY / SNAPSHOT")</x:f>
        <x:v>CHECK REVIEWER IDs</x:v>
      </x:c>
      <x:c r="H5" s="7" t="str">
        <x:f>IF(AND(OR(D5="retain",D5=""),E5="statistical_results"),"","not_applicable")</x:f>
      </x:c>
      <x:c r="I5" s="7" t="str">
        <x:f>IF(AND(OR(D5="retain",D5=""),E5="statistical_results"),"","not_applicable")</x:f>
      </x:c>
      <x:c r="J5" s="13" t="str">
        <x:f>IF(AND(OR(D5="retain",D5=""),E5="statistical_results"),"","not_applicable")</x:f>
      </x:c>
      <x:c r="K5" s="7" t="str">
        <x:f>IF(AND(OR(D5="retain",D5=""),OR(E5="report_internal_inconsistency",E5="plan_material")),"","not_applicable")</x:f>
        <x:v>not_applicable</x:v>
      </x:c>
      <x:c r="L5" s="13" t="str">
        <x:f>IF(AND(OR(D5="retain",D5=""),E5="protocol_report"),"","not_applicable")</x:f>
        <x:v>not_applicable</x:v>
      </x:c>
      <x:c r="M5" s="3" t="str">
        <x:f>IF(Setup!$B$6="primary","",IFERROR(IF(INDEX('Primary_snapshot'!$L$2:$L$120,MATCH(A5,'Primary_snapshot'!$A$2:$A$120,0))="","",INDEX('Primary_snapshot'!$L$2:$L$120,MATCH(A5,'Primary_snapshot'!$A$2:$A$120,0))),"SNAPSHOT MISSING"))</x:f>
      </x:c>
      <x:c r="N5" s="7" t="str"/>
      <x:c r="O5" s="7" t="str"/>
      <x:c r="P5" s="7" t="str"/>
      <x:c r="Q5" s="7" t="str"/>
      <x:c r="R5" s="13" t="str"/>
    </x:row>
    <x:row r="6" ht="92" customHeight="1">
      <x:c r="A6" s="6" t="str">
        <x:v>2018::jama.2018.18020::C005</x:v>
      </x:c>
      <x:c r="B6" s="6" t="str">
        <x:v>Bayesian parameter prose swaps mu_mex[i] and mu_plac[i] treatment labels</x:v>
      </x:c>
      <x:c r="C6" s="6" t="str">
        <x:v>joi180136supp2_prod.pdf — PDF p. 11, eMethods 2 code/dictionary; joi180136supp2_prod.pdf — PDF p. 13, eMethods 3 code; joi180136supp2_prod.pdf — PDF p. 14, eMethods 3 dictionary.</x:v>
      </x:c>
      <x:c r="D6" s="7" t="str"/>
      <x:c r="E6" s="7" t="str">
        <x:v>report_internal_inconsistency</x:v>
      </x:c>
      <x:c r="F6" s="7" t="str">
        <x:v>no</x:v>
      </x:c>
      <x:c r="G6" s="6" t="str">
        <x:f>IFERROR(IF(NOT(OR(Setup!$B$6="primary",Setup!$B$6="checker")),"CHECK STAGE",IF(OR(LEN(TRIM(Setup!$B$2))=0,Setup!$B$2&lt;&gt;TRIM(Setup!$B$2),AND(Setup!$B$6="checker",OR(LEN(TRIM(Setup!$B$4))=0,Setup!$B$4&lt;&gt;TRIM(Setup!$B$4),LOWER(TRIM(Setup!$B$4))=LOWER(TRIM(Setup!$B$2))))),"CHECK REVIEWER IDs",IF(OR(COUNTIF($A$2:$A$15,A6)&lt;&gt;1,COUNTIF(Decisions!$C$2:$C$120,A6)&lt;&gt;1),"CHECK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FIELDS",IF(Setup!$B$6="primary",IF(OR(N6&lt;&gt;"",O6&lt;&gt;"",P6&lt;&gt;"",Q6&lt;&gt;""),"CLEAR CHECKER FIELDS",IF(OR(Setup!$B$4&lt;&gt;"",Setup!$B$5&lt;&gt;""),"CLEAR CHECKER ID",IF(F6&lt;&gt;"primary_done","PRIMARY DRAFT","PRIMARY READY"))),IF(OR(COUNTIF(Primary_snapshot!$A$2:$A$120,A6)&lt;&gt;1,INDEX('Primary_snapshot'!$J$2:$J$120,MATCH(A6,'Primary_snapshot'!$A$2:$A$120,0))&lt;&gt;"primary_done",INDEX('Primary_snapshot'!$K$2:$K$120,MATCH(A6,'Primary_snapshot'!$A$2:$A$120,0))&lt;&gt;Setup!$B$2,INDEX('Primary_snapshot'!$B$2:$B$120,MATCH(A6,'Primary_snapshot'!$A$2:$A$120,0))="NOT FROZEN",INDEX('Primary_snapshot'!$C$2:$C$120,MATCH(A6,'Primary_snapshot'!$A$2:$A$120,0))="NOT FROZEN",INDEX('Primary_snapshot'!$D$2:$D$120,MATCH(A6,'Primary_snapshot'!$A$2:$A$120,0))="NOT FROZEN",INDEX('Primary_snapshot'!$E$2:$E$120,MATCH(A6,'Primary_snapshot'!$A$2:$A$120,0))="NOT FROZEN",INDEX('Primary_snapshot'!$F$2:$F$120,MATCH(A6,'Primary_snapshot'!$A$2:$A$120,0))="NOT FROZEN",INDEX('Primary_snapshot'!$G$2:$G$120,MATCH(A6,'Primary_snapshot'!$A$2:$A$120,0))="NOT FROZEN",INDEX('Primary_snapshot'!$H$2:$H$120,MATCH(A6,'Primary_snapshot'!$A$2:$A$120,0))="NOT FROZEN",INDEX('Primary_snapshot'!$I$2:$I$120,MATCH(A6,'Primary_snapshot'!$A$2:$A$120,0))="NOT FROZEN",INDEX('Primary_snapshot'!$J$2:$J$120,MATCH(A6,'Primary_snapshot'!$A$2:$A$120,0))="NOT FROZEN",INDEX('Primary_snapshot'!$K$2:$K$120,MATCH(A6,'Primary_snapshot'!$A$2:$A$120,0))="NOT FROZEN",INDEX('Primary_snapshot'!$L$2:$L$120,MATCH(A6,'Primary_snapshot'!$A$2:$A$120,0))="NOT FROZEN"),"FREEZE SNAPSHOT",IF(NOT(OR(N6="agree",N6="agree_clarification",N6="disagree",N6="unable")),"CHECKER RESULT NEEDED",IF(AND(N6&lt;&gt;"agree",LEN(TRIM(O6))=0),"COMMENT NEEDED",IF(AND(N6="agree",NOT(AND(IF(D6="","",D6)=IF(INDEX('Primary_snapshot'!$B$2:$B$120,MATCH(A6,'Primary_snapshot'!$A$2:$A$120,0))="","",INDEX('Primary_snapshot'!$B$2:$B$120,MATCH(A6,'Primary_snapshot'!$A$2:$A$120,0))),IF(E6="","",E6)=IF(INDEX('Primary_snapshot'!$C$2:$C$120,MATCH(A6,'Primary_snapshot'!$A$2:$A$120,0))="","",INDEX('Primary_snapshot'!$C$2:$C$120,MATCH(A6,'Primary_snapshot'!$A$2:$A$120,0))),IF(AND(D6="retain",E6="statistical_results"),IF(H6="","",H6),"not_applicable")=IF(INDEX('Primary_snapshot'!$D$2:$D$120,MATCH(A6,'Primary_snapshot'!$A$2:$A$120,0))="","",INDEX('Primary_snapshot'!$D$2:$D$120,MATCH(A6,'Primary_snapshot'!$A$2:$A$120,0))),IF(AND(D6="retain",E6="statistical_results"),IF(I6="","",I6),"not_applicable")=IF(INDEX('Primary_snapshot'!$E$2:$E$120,MATCH(A6,'Primary_snapshot'!$A$2:$A$120,0))="","",INDEX('Primary_snapshot'!$E$2:$E$120,MATCH(A6,'Primary_snapshot'!$A$2:$A$120,0))),IF(AND(D6="retain",E6="statistical_results"),IF(J6="","",J6),"not_applicable")=IF(INDEX('Primary_snapshot'!$F$2:$F$120,MATCH(A6,'Primary_snapshot'!$A$2:$A$120,0))="","",INDEX('Primary_snapshot'!$F$2:$F$120,MATCH(A6,'Primary_snapshot'!$A$2:$A$120,0))),IF(AND(D6="retain",OR(E6="report_internal_inconsistency",E6="plan_material")),IF(K6="","",K6),"not_applicable")=IF(INDEX('Primary_snapshot'!$G$2:$G$120,MATCH(A6,'Primary_snapshot'!$A$2:$A$120,0))="","",INDEX('Primary_snapshot'!$G$2:$G$120,MATCH(A6,'Primary_snapshot'!$A$2:$A$120,0))),IF(AND(D6="retain",E6="protocol_report"),IF(L6="","",L6),"not_applicable")=IF(INDEX('Primary_snapshot'!$H$2:$H$120,MATCH(A6,'Primary_snapshot'!$A$2:$A$120,0))="","",INDEX('Primary_snapshot'!$H$2:$H$120,MATCH(A6,'Primary_snapshot'!$A$2:$A$120,0))),IF(R6="","",R6)=IF(INDEX('Primary_snapshot'!$I$2:$I$120,MATCH(A6,'Primary_snapshot'!$A$2:$A$120,0))="","",INDEX('Primary_snapshot'!$I$2:$I$120,MATCH(A6,'Primary_snapshot'!$A$2:$A$120,0)))))),"AGREE BUT CHANGED",IF(AND(P6&lt;&gt;"",NOT(OR(P6="pending",P6="resolved"))),"CHECK RESOLUTION",IF(OR(AND(OR(D6="discuss",INDEX('Primary_snapshot'!$B$2:$B$120,MATCH(A6,'Primary_snapshot'!$A$2:$A$120,0))="discuss",N6="disagree",N6="unable"),P6&lt;&gt;"resolved"),D6="discuss"),"DISCUSS",IF(AND(P6="resolved",LEN(TRIM(Q6))=0),"RESOLUTION NOTE NEEDED",IF(F6&lt;&gt;"checker_done","CHECKER DRAFT","FINAL READY")))))))))))))),"CHECK KEY / SNAPSHOT")</x:f>
        <x:v>CHECK REVIEWER IDs</x:v>
      </x:c>
      <x:c r="H6" s="7" t="str">
        <x:f>IF(AND(OR(D6="retain",D6=""),E6="statistical_results"),"","not_applicable")</x:f>
        <x:v>not_applicable</x:v>
      </x:c>
      <x:c r="I6" s="7" t="str">
        <x:f>IF(AND(OR(D6="retain",D6=""),E6="statistical_results"),"","not_applicable")</x:f>
        <x:v>not_applicable</x:v>
      </x:c>
      <x:c r="J6" s="13" t="str">
        <x:f>IF(AND(OR(D6="retain",D6=""),E6="statistical_results"),"","not_applicable")</x:f>
        <x:v>not_applicable</x:v>
      </x:c>
      <x:c r="K6" s="7" t="str">
        <x:f>IF(AND(OR(D6="retain",D6=""),OR(E6="report_internal_inconsistency",E6="plan_material")),"","not_applicable")</x:f>
      </x:c>
      <x:c r="L6" s="13" t="str">
        <x:f>IF(AND(OR(D6="retain",D6=""),E6="protocol_report"),"","not_applicable")</x:f>
        <x:v>not_applicable</x:v>
      </x:c>
      <x:c r="M6" s="6" t="str">
        <x:f>IF(Setup!$B$6="primary","",IFERROR(IF(INDEX('Primary_snapshot'!$L$2:$L$120,MATCH(A6,'Primary_snapshot'!$A$2:$A$120,0))="","",INDEX('Primary_snapshot'!$L$2:$L$120,MATCH(A6,'Primary_snapshot'!$A$2:$A$120,0))),"SNAPSHOT MISSING"))</x:f>
      </x:c>
      <x:c r="N6" s="7" t="str"/>
      <x:c r="O6" s="7" t="str"/>
      <x:c r="P6" s="7" t="str"/>
      <x:c r="Q6" s="7" t="str"/>
      <x:c r="R6" s="13" t="str"/>
    </x:row>
    <x:row r="7" ht="92" customHeight="1">
      <x:c r="A7" s="3" t="str">
        <x:v>2018::jama.2018.18020::C006</x:v>
      </x:c>
      <x:c r="B7" s="3" t="str">
        <x:v>diff_CLCN1 is described as an SCN4A contrast</x:v>
      </x:c>
      <x:c r="C7" s="3" t="str">
        <x:v>joi180136supp2_prod.pdf — PDF p. 13, eMethods 3 code; joi180136supp2_prod.pdf — PDF p. 14, parameter dictionary.</x:v>
      </x:c>
      <x:c r="D7" s="7" t="str"/>
      <x:c r="E7" s="7" t="str">
        <x:v>report_internal_inconsistency</x:v>
      </x:c>
      <x:c r="F7" s="7" t="str">
        <x:v>no</x:v>
      </x:c>
      <x:c r="G7" s="3" t="str">
        <x:f>IFERROR(IF(NOT(OR(Setup!$B$6="primary",Setup!$B$6="checker")),"CHECK STAGE",IF(OR(LEN(TRIM(Setup!$B$2))=0,Setup!$B$2&lt;&gt;TRIM(Setup!$B$2),AND(Setup!$B$6="checker",OR(LEN(TRIM(Setup!$B$4))=0,Setup!$B$4&lt;&gt;TRIM(Setup!$B$4),LOWER(TRIM(Setup!$B$4))=LOWER(TRIM(Setup!$B$2))))),"CHECK REVIEWER IDs",IF(OR(COUNTIF($A$2:$A$15,A7)&lt;&gt;1,COUNTIF(Decisions!$C$2:$C$120,A7)&lt;&gt;1),"CHECK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FIELDS",IF(Setup!$B$6="primary",IF(OR(N7&lt;&gt;"",O7&lt;&gt;"",P7&lt;&gt;"",Q7&lt;&gt;""),"CLEAR CHECKER FIELDS",IF(OR(Setup!$B$4&lt;&gt;"",Setup!$B$5&lt;&gt;""),"CLEAR CHECKER ID",IF(F7&lt;&gt;"primary_done","PRIMARY DRAFT","PRIMARY READY"))),IF(OR(COUNTIF(Primary_snapshot!$A$2:$A$120,A7)&lt;&gt;1,INDEX('Primary_snapshot'!$J$2:$J$120,MATCH(A7,'Primary_snapshot'!$A$2:$A$120,0))&lt;&gt;"primary_done",INDEX('Primary_snapshot'!$K$2:$K$120,MATCH(A7,'Primary_snapshot'!$A$2:$A$120,0))&lt;&gt;Setup!$B$2,INDEX('Primary_snapshot'!$B$2:$B$120,MATCH(A7,'Primary_snapshot'!$A$2:$A$120,0))="NOT FROZEN",INDEX('Primary_snapshot'!$C$2:$C$120,MATCH(A7,'Primary_snapshot'!$A$2:$A$120,0))="NOT FROZEN",INDEX('Primary_snapshot'!$D$2:$D$120,MATCH(A7,'Primary_snapshot'!$A$2:$A$120,0))="NOT FROZEN",INDEX('Primary_snapshot'!$E$2:$E$120,MATCH(A7,'Primary_snapshot'!$A$2:$A$120,0))="NOT FROZEN",INDEX('Primary_snapshot'!$F$2:$F$120,MATCH(A7,'Primary_snapshot'!$A$2:$A$120,0))="NOT FROZEN",INDEX('Primary_snapshot'!$G$2:$G$120,MATCH(A7,'Primary_snapshot'!$A$2:$A$120,0))="NOT FROZEN",INDEX('Primary_snapshot'!$H$2:$H$120,MATCH(A7,'Primary_snapshot'!$A$2:$A$120,0))="NOT FROZEN",INDEX('Primary_snapshot'!$I$2:$I$120,MATCH(A7,'Primary_snapshot'!$A$2:$A$120,0))="NOT FROZEN",INDEX('Primary_snapshot'!$J$2:$J$120,MATCH(A7,'Primary_snapshot'!$A$2:$A$120,0))="NOT FROZEN",INDEX('Primary_snapshot'!$K$2:$K$120,MATCH(A7,'Primary_snapshot'!$A$2:$A$120,0))="NOT FROZEN",INDEX('Primary_snapshot'!$L$2:$L$120,MATCH(A7,'Primary_snapshot'!$A$2:$A$120,0))="NOT FROZEN"),"FREEZE SNAPSHOT",IF(NOT(OR(N7="agree",N7="agree_clarification",N7="disagree",N7="unable")),"CHECKER RESULT NEEDED",IF(AND(N7&lt;&gt;"agree",LEN(TRIM(O7))=0),"COMMENT NEEDED",IF(AND(N7="agree",NOT(AND(IF(D7="","",D7)=IF(INDEX('Primary_snapshot'!$B$2:$B$120,MATCH(A7,'Primary_snapshot'!$A$2:$A$120,0))="","",INDEX('Primary_snapshot'!$B$2:$B$120,MATCH(A7,'Primary_snapshot'!$A$2:$A$120,0))),IF(E7="","",E7)=IF(INDEX('Primary_snapshot'!$C$2:$C$120,MATCH(A7,'Primary_snapshot'!$A$2:$A$120,0))="","",INDEX('Primary_snapshot'!$C$2:$C$120,MATCH(A7,'Primary_snapshot'!$A$2:$A$120,0))),IF(AND(D7="retain",E7="statistical_results"),IF(H7="","",H7),"not_applicable")=IF(INDEX('Primary_snapshot'!$D$2:$D$120,MATCH(A7,'Primary_snapshot'!$A$2:$A$120,0))="","",INDEX('Primary_snapshot'!$D$2:$D$120,MATCH(A7,'Primary_snapshot'!$A$2:$A$120,0))),IF(AND(D7="retain",E7="statistical_results"),IF(I7="","",I7),"not_applicable")=IF(INDEX('Primary_snapshot'!$E$2:$E$120,MATCH(A7,'Primary_snapshot'!$A$2:$A$120,0))="","",INDEX('Primary_snapshot'!$E$2:$E$120,MATCH(A7,'Primary_snapshot'!$A$2:$A$120,0))),IF(AND(D7="retain",E7="statistical_results"),IF(J7="","",J7),"not_applicable")=IF(INDEX('Primary_snapshot'!$F$2:$F$120,MATCH(A7,'Primary_snapshot'!$A$2:$A$120,0))="","",INDEX('Primary_snapshot'!$F$2:$F$120,MATCH(A7,'Primary_snapshot'!$A$2:$A$120,0))),IF(AND(D7="retain",OR(E7="report_internal_inconsistency",E7="plan_material")),IF(K7="","",K7),"not_applicable")=IF(INDEX('Primary_snapshot'!$G$2:$G$120,MATCH(A7,'Primary_snapshot'!$A$2:$A$120,0))="","",INDEX('Primary_snapshot'!$G$2:$G$120,MATCH(A7,'Primary_snapshot'!$A$2:$A$120,0))),IF(AND(D7="retain",E7="protocol_report"),IF(L7="","",L7),"not_applicable")=IF(INDEX('Primary_snapshot'!$H$2:$H$120,MATCH(A7,'Primary_snapshot'!$A$2:$A$120,0))="","",INDEX('Primary_snapshot'!$H$2:$H$120,MATCH(A7,'Primary_snapshot'!$A$2:$A$120,0))),IF(R7="","",R7)=IF(INDEX('Primary_snapshot'!$I$2:$I$120,MATCH(A7,'Primary_snapshot'!$A$2:$A$120,0))="","",INDEX('Primary_snapshot'!$I$2:$I$120,MATCH(A7,'Primary_snapshot'!$A$2:$A$120,0)))))),"AGREE BUT CHANGED",IF(AND(P7&lt;&gt;"",NOT(OR(P7="pending",P7="resolved"))),"CHECK RESOLUTION",IF(OR(AND(OR(D7="discuss",INDEX('Primary_snapshot'!$B$2:$B$120,MATCH(A7,'Primary_snapshot'!$A$2:$A$120,0))="discuss",N7="disagree",N7="unable"),P7&lt;&gt;"resolved"),D7="discuss"),"DISCUSS",IF(AND(P7="resolved",LEN(TRIM(Q7))=0),"RESOLUTION NOTE NEEDED",IF(F7&lt;&gt;"checker_done","CHECKER DRAFT","FINAL READY")))))))))))))),"CHECK KEY / SNAPSHOT")</x:f>
        <x:v>CHECK REVIEWER IDs</x:v>
      </x:c>
      <x:c r="H7" s="7" t="str">
        <x:f>IF(AND(OR(D7="retain",D7=""),E7="statistical_results"),"","not_applicable")</x:f>
        <x:v>not_applicable</x:v>
      </x:c>
      <x:c r="I7" s="7" t="str">
        <x:f>IF(AND(OR(D7="retain",D7=""),E7="statistical_results"),"","not_applicable")</x:f>
        <x:v>not_applicable</x:v>
      </x:c>
      <x:c r="J7" s="13" t="str">
        <x:f>IF(AND(OR(D7="retain",D7=""),E7="statistical_results"),"","not_applicable")</x:f>
        <x:v>not_applicable</x:v>
      </x:c>
      <x:c r="K7" s="7" t="str">
        <x:f>IF(AND(OR(D7="retain",D7=""),OR(E7="report_internal_inconsistency",E7="plan_material")),"","not_applicable")</x:f>
      </x:c>
      <x:c r="L7" s="13" t="str">
        <x:f>IF(AND(OR(D7="retain",D7=""),E7="protocol_report"),"","not_applicable")</x:f>
        <x:v>not_applicable</x:v>
      </x:c>
      <x:c r="M7" s="3" t="str">
        <x:f>IF(Setup!$B$6="primary","",IFERROR(IF(INDEX('Primary_snapshot'!$L$2:$L$120,MATCH(A7,'Primary_snapshot'!$A$2:$A$120,0))="","",INDEX('Primary_snapshot'!$L$2:$L$120,MATCH(A7,'Primary_snapshot'!$A$2:$A$120,0))),"SNAPSHOT MISSING"))</x:f>
      </x:c>
      <x:c r="N7" s="7" t="str"/>
      <x:c r="O7" s="7" t="str"/>
      <x:c r="P7" s="7" t="str"/>
      <x:c r="Q7" s="7" t="str"/>
      <x:c r="R7" s="13" t="str"/>
    </x:row>
    <x:row r="8" ht="92" customHeight="1">
      <x:c r="A8" s="6" t="str">
        <x:v>2018::jama.2018.18020::C007</x:v>
      </x:c>
      <x:c r="B8" s="6" t="str">
        <x:v>sigma.mex is described as placebo-period variability</x:v>
      </x:c>
      <x:c r="C8" s="6" t="str">
        <x:v>joi180136supp2_prod.pdf — PDF p. 11, eMethods 2 code; joi180136supp2_prod.pdf — PDF p. 12, eMethods 2 dictionary; joi180136supp2_prod.pdf — PDF p. 13, eMethods 3 code; joi180136supp2_prod.pdf — PDF p. 14, eMethods 3 dictionary.</x:v>
      </x:c>
      <x:c r="D8" s="7" t="str"/>
      <x:c r="E8" s="7" t="str">
        <x:v>report_internal_inconsistency</x:v>
      </x:c>
      <x:c r="F8" s="7" t="str">
        <x:v>no</x:v>
      </x:c>
      <x:c r="G8" s="6" t="str">
        <x:f>IFERROR(IF(NOT(OR(Setup!$B$6="primary",Setup!$B$6="checker")),"CHECK STAGE",IF(OR(LEN(TRIM(Setup!$B$2))=0,Setup!$B$2&lt;&gt;TRIM(Setup!$B$2),AND(Setup!$B$6="checker",OR(LEN(TRIM(Setup!$B$4))=0,Setup!$B$4&lt;&gt;TRIM(Setup!$B$4),LOWER(TRIM(Setup!$B$4))=LOWER(TRIM(Setup!$B$2))))),"CHECK REVIEWER IDs",IF(OR(COUNTIF($A$2:$A$15,A8)&lt;&gt;1,COUNTIF(Decisions!$C$2:$C$120,A8)&lt;&gt;1),"CHECK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FIELDS",IF(Setup!$B$6="primary",IF(OR(N8&lt;&gt;"",O8&lt;&gt;"",P8&lt;&gt;"",Q8&lt;&gt;""),"CLEAR CHECKER FIELDS",IF(OR(Setup!$B$4&lt;&gt;"",Setup!$B$5&lt;&gt;""),"CLEAR CHECKER ID",IF(F8&lt;&gt;"primary_done","PRIMARY DRAFT","PRIMARY READY"))),IF(OR(COUNTIF(Primary_snapshot!$A$2:$A$120,A8)&lt;&gt;1,INDEX('Primary_snapshot'!$J$2:$J$120,MATCH(A8,'Primary_snapshot'!$A$2:$A$120,0))&lt;&gt;"primary_done",INDEX('Primary_snapshot'!$K$2:$K$120,MATCH(A8,'Primary_snapshot'!$A$2:$A$120,0))&lt;&gt;Setup!$B$2,INDEX('Primary_snapshot'!$B$2:$B$120,MATCH(A8,'Primary_snapshot'!$A$2:$A$120,0))="NOT FROZEN",INDEX('Primary_snapshot'!$C$2:$C$120,MATCH(A8,'Primary_snapshot'!$A$2:$A$120,0))="NOT FROZEN",INDEX('Primary_snapshot'!$D$2:$D$120,MATCH(A8,'Primary_snapshot'!$A$2:$A$120,0))="NOT FROZEN",INDEX('Primary_snapshot'!$E$2:$E$120,MATCH(A8,'Primary_snapshot'!$A$2:$A$120,0))="NOT FROZEN",INDEX('Primary_snapshot'!$F$2:$F$120,MATCH(A8,'Primary_snapshot'!$A$2:$A$120,0))="NOT FROZEN",INDEX('Primary_snapshot'!$G$2:$G$120,MATCH(A8,'Primary_snapshot'!$A$2:$A$120,0))="NOT FROZEN",INDEX('Primary_snapshot'!$H$2:$H$120,MATCH(A8,'Primary_snapshot'!$A$2:$A$120,0))="NOT FROZEN",INDEX('Primary_snapshot'!$I$2:$I$120,MATCH(A8,'Primary_snapshot'!$A$2:$A$120,0))="NOT FROZEN",INDEX('Primary_snapshot'!$J$2:$J$120,MATCH(A8,'Primary_snapshot'!$A$2:$A$120,0))="NOT FROZEN",INDEX('Primary_snapshot'!$K$2:$K$120,MATCH(A8,'Primary_snapshot'!$A$2:$A$120,0))="NOT FROZEN",INDEX('Primary_snapshot'!$L$2:$L$120,MATCH(A8,'Primary_snapshot'!$A$2:$A$120,0))="NOT FROZEN"),"FREEZE SNAPSHOT",IF(NOT(OR(N8="agree",N8="agree_clarification",N8="disagree",N8="unable")),"CHECKER RESULT NEEDED",IF(AND(N8&lt;&gt;"agree",LEN(TRIM(O8))=0),"COMMENT NEEDED",IF(AND(N8="agree",NOT(AND(IF(D8="","",D8)=IF(INDEX('Primary_snapshot'!$B$2:$B$120,MATCH(A8,'Primary_snapshot'!$A$2:$A$120,0))="","",INDEX('Primary_snapshot'!$B$2:$B$120,MATCH(A8,'Primary_snapshot'!$A$2:$A$120,0))),IF(E8="","",E8)=IF(INDEX('Primary_snapshot'!$C$2:$C$120,MATCH(A8,'Primary_snapshot'!$A$2:$A$120,0))="","",INDEX('Primary_snapshot'!$C$2:$C$120,MATCH(A8,'Primary_snapshot'!$A$2:$A$120,0))),IF(AND(D8="retain",E8="statistical_results"),IF(H8="","",H8),"not_applicable")=IF(INDEX('Primary_snapshot'!$D$2:$D$120,MATCH(A8,'Primary_snapshot'!$A$2:$A$120,0))="","",INDEX('Primary_snapshot'!$D$2:$D$120,MATCH(A8,'Primary_snapshot'!$A$2:$A$120,0))),IF(AND(D8="retain",E8="statistical_results"),IF(I8="","",I8),"not_applicable")=IF(INDEX('Primary_snapshot'!$E$2:$E$120,MATCH(A8,'Primary_snapshot'!$A$2:$A$120,0))="","",INDEX('Primary_snapshot'!$E$2:$E$120,MATCH(A8,'Primary_snapshot'!$A$2:$A$120,0))),IF(AND(D8="retain",E8="statistical_results"),IF(J8="","",J8),"not_applicable")=IF(INDEX('Primary_snapshot'!$F$2:$F$120,MATCH(A8,'Primary_snapshot'!$A$2:$A$120,0))="","",INDEX('Primary_snapshot'!$F$2:$F$120,MATCH(A8,'Primary_snapshot'!$A$2:$A$120,0))),IF(AND(D8="retain",OR(E8="report_internal_inconsistency",E8="plan_material")),IF(K8="","",K8),"not_applicable")=IF(INDEX('Primary_snapshot'!$G$2:$G$120,MATCH(A8,'Primary_snapshot'!$A$2:$A$120,0))="","",INDEX('Primary_snapshot'!$G$2:$G$120,MATCH(A8,'Primary_snapshot'!$A$2:$A$120,0))),IF(AND(D8="retain",E8="protocol_report"),IF(L8="","",L8),"not_applicable")=IF(INDEX('Primary_snapshot'!$H$2:$H$120,MATCH(A8,'Primary_snapshot'!$A$2:$A$120,0))="","",INDEX('Primary_snapshot'!$H$2:$H$120,MATCH(A8,'Primary_snapshot'!$A$2:$A$120,0))),IF(R8="","",R8)=IF(INDEX('Primary_snapshot'!$I$2:$I$120,MATCH(A8,'Primary_snapshot'!$A$2:$A$120,0))="","",INDEX('Primary_snapshot'!$I$2:$I$120,MATCH(A8,'Primary_snapshot'!$A$2:$A$120,0)))))),"AGREE BUT CHANGED",IF(AND(P8&lt;&gt;"",NOT(OR(P8="pending",P8="resolved"))),"CHECK RESOLUTION",IF(OR(AND(OR(D8="discuss",INDEX('Primary_snapshot'!$B$2:$B$120,MATCH(A8,'Primary_snapshot'!$A$2:$A$120,0))="discuss",N8="disagree",N8="unable"),P8&lt;&gt;"resolved"),D8="discuss"),"DISCUSS",IF(AND(P8="resolved",LEN(TRIM(Q8))=0),"RESOLUTION NOTE NEEDED",IF(F8&lt;&gt;"checker_done","CHECKER DRAFT","FINAL READY")))))))))))))),"CHECK KEY / SNAPSHOT")</x:f>
        <x:v>CHECK REVIEWER IDs</x:v>
      </x:c>
      <x:c r="H8" s="7" t="str">
        <x:f>IF(AND(OR(D8="retain",D8=""),E8="statistical_results"),"","not_applicable")</x:f>
        <x:v>not_applicable</x:v>
      </x:c>
      <x:c r="I8" s="7" t="str">
        <x:f>IF(AND(OR(D8="retain",D8=""),E8="statistical_results"),"","not_applicable")</x:f>
        <x:v>not_applicable</x:v>
      </x:c>
      <x:c r="J8" s="13" t="str">
        <x:f>IF(AND(OR(D8="retain",D8=""),E8="statistical_results"),"","not_applicable")</x:f>
        <x:v>not_applicable</x:v>
      </x:c>
      <x:c r="K8" s="7" t="str">
        <x:f>IF(AND(OR(D8="retain",D8=""),OR(E8="report_internal_inconsistency",E8="plan_material")),"","not_applicable")</x:f>
      </x:c>
      <x:c r="L8" s="13" t="str">
        <x:f>IF(AND(OR(D8="retain",D8=""),E8="protocol_report"),"","not_applicable")</x:f>
        <x:v>not_applicable</x:v>
      </x:c>
      <x:c r="M8" s="6" t="str">
        <x:f>IF(Setup!$B$6="primary","",IFERROR(IF(INDEX('Primary_snapshot'!$L$2:$L$120,MATCH(A8,'Primary_snapshot'!$A$2:$A$120,0))="","",INDEX('Primary_snapshot'!$L$2:$L$120,MATCH(A8,'Primary_snapshot'!$A$2:$A$120,0))),"SNAPSHOT MISSING"))</x:f>
      </x:c>
      <x:c r="N8" s="7" t="str"/>
      <x:c r="O8" s="7" t="str"/>
      <x:c r="P8" s="7" t="str"/>
      <x:c r="Q8" s="7" t="str"/>
      <x:c r="R8" s="13" t="str"/>
    </x:row>
    <x:row r="9" ht="92" customHeight="1">
      <x:c r="A9" s="3" t="str">
        <x:v>2018::jama.2018.18020::C008</x:v>
      </x:c>
      <x:c r="B9" s="3" t="str">
        <x:v>Main text prints CLNC1 for the matched CLCN1 genotype subgroup</x:v>
      </x:c>
      <x:c r="C9" s="3" t="str">
        <x:v>jama_stunnenberg_2018_oi_180136.pdf — PDF p. 4, Primary Outcome; jama_stunnenberg_2018_oi_180136.pdf — PDF p. 5, Table 1/Figure 2; jama_stunnenberg_2018_oi_180136.pdf — PDF p. 6, Figure 3; joi180136supp2_prod.pdf — PDF p. 4, eTable 2 footnote.</x:v>
      </x:c>
      <x:c r="D9" s="7" t="str"/>
      <x:c r="E9" s="7" t="str">
        <x:v>report_internal_inconsistency</x:v>
      </x:c>
      <x:c r="F9" s="7" t="str">
        <x:v>no</x:v>
      </x:c>
      <x:c r="G9" s="3" t="str">
        <x:f>IFERROR(IF(NOT(OR(Setup!$B$6="primary",Setup!$B$6="checker")),"CHECK STAGE",IF(OR(LEN(TRIM(Setup!$B$2))=0,Setup!$B$2&lt;&gt;TRIM(Setup!$B$2),AND(Setup!$B$6="checker",OR(LEN(TRIM(Setup!$B$4))=0,Setup!$B$4&lt;&gt;TRIM(Setup!$B$4),LOWER(TRIM(Setup!$B$4))=LOWER(TRIM(Setup!$B$2))))),"CHECK REVIEWER IDs",IF(OR(COUNTIF($A$2:$A$15,A9)&lt;&gt;1,COUNTIF(Decisions!$C$2:$C$120,A9)&lt;&gt;1),"CHECK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FIELDS",IF(Setup!$B$6="primary",IF(OR(N9&lt;&gt;"",O9&lt;&gt;"",P9&lt;&gt;"",Q9&lt;&gt;""),"CLEAR CHECKER FIELDS",IF(OR(Setup!$B$4&lt;&gt;"",Setup!$B$5&lt;&gt;""),"CLEAR CHECKER ID",IF(F9&lt;&gt;"primary_done","PRIMARY DRAFT","PRIMARY READY"))),IF(OR(COUNTIF(Primary_snapshot!$A$2:$A$120,A9)&lt;&gt;1,INDEX('Primary_snapshot'!$J$2:$J$120,MATCH(A9,'Primary_snapshot'!$A$2:$A$120,0))&lt;&gt;"primary_done",INDEX('Primary_snapshot'!$K$2:$K$120,MATCH(A9,'Primary_snapshot'!$A$2:$A$120,0))&lt;&gt;Setup!$B$2,INDEX('Primary_snapshot'!$B$2:$B$120,MATCH(A9,'Primary_snapshot'!$A$2:$A$120,0))="NOT FROZEN",INDEX('Primary_snapshot'!$C$2:$C$120,MATCH(A9,'Primary_snapshot'!$A$2:$A$120,0))="NOT FROZEN",INDEX('Primary_snapshot'!$D$2:$D$120,MATCH(A9,'Primary_snapshot'!$A$2:$A$120,0))="NOT FROZEN",INDEX('Primary_snapshot'!$E$2:$E$120,MATCH(A9,'Primary_snapshot'!$A$2:$A$120,0))="NOT FROZEN",INDEX('Primary_snapshot'!$F$2:$F$120,MATCH(A9,'Primary_snapshot'!$A$2:$A$120,0))="NOT FROZEN",INDEX('Primary_snapshot'!$G$2:$G$120,MATCH(A9,'Primary_snapshot'!$A$2:$A$120,0))="NOT FROZEN",INDEX('Primary_snapshot'!$H$2:$H$120,MATCH(A9,'Primary_snapshot'!$A$2:$A$120,0))="NOT FROZEN",INDEX('Primary_snapshot'!$I$2:$I$120,MATCH(A9,'Primary_snapshot'!$A$2:$A$120,0))="NOT FROZEN",INDEX('Primary_snapshot'!$J$2:$J$120,MATCH(A9,'Primary_snapshot'!$A$2:$A$120,0))="NOT FROZEN",INDEX('Primary_snapshot'!$K$2:$K$120,MATCH(A9,'Primary_snapshot'!$A$2:$A$120,0))="NOT FROZEN",INDEX('Primary_snapshot'!$L$2:$L$120,MATCH(A9,'Primary_snapshot'!$A$2:$A$120,0))="NOT FROZEN"),"FREEZE SNAPSHOT",IF(NOT(OR(N9="agree",N9="agree_clarification",N9="disagree",N9="unable")),"CHECKER RESULT NEEDED",IF(AND(N9&lt;&gt;"agree",LEN(TRIM(O9))=0),"COMMENT NEEDED",IF(AND(N9="agree",NOT(AND(IF(D9="","",D9)=IF(INDEX('Primary_snapshot'!$B$2:$B$120,MATCH(A9,'Primary_snapshot'!$A$2:$A$120,0))="","",INDEX('Primary_snapshot'!$B$2:$B$120,MATCH(A9,'Primary_snapshot'!$A$2:$A$120,0))),IF(E9="","",E9)=IF(INDEX('Primary_snapshot'!$C$2:$C$120,MATCH(A9,'Primary_snapshot'!$A$2:$A$120,0))="","",INDEX('Primary_snapshot'!$C$2:$C$120,MATCH(A9,'Primary_snapshot'!$A$2:$A$120,0))),IF(AND(D9="retain",E9="statistical_results"),IF(H9="","",H9),"not_applicable")=IF(INDEX('Primary_snapshot'!$D$2:$D$120,MATCH(A9,'Primary_snapshot'!$A$2:$A$120,0))="","",INDEX('Primary_snapshot'!$D$2:$D$120,MATCH(A9,'Primary_snapshot'!$A$2:$A$120,0))),IF(AND(D9="retain",E9="statistical_results"),IF(I9="","",I9),"not_applicable")=IF(INDEX('Primary_snapshot'!$E$2:$E$120,MATCH(A9,'Primary_snapshot'!$A$2:$A$120,0))="","",INDEX('Primary_snapshot'!$E$2:$E$120,MATCH(A9,'Primary_snapshot'!$A$2:$A$120,0))),IF(AND(D9="retain",E9="statistical_results"),IF(J9="","",J9),"not_applicable")=IF(INDEX('Primary_snapshot'!$F$2:$F$120,MATCH(A9,'Primary_snapshot'!$A$2:$A$120,0))="","",INDEX('Primary_snapshot'!$F$2:$F$120,MATCH(A9,'Primary_snapshot'!$A$2:$A$120,0))),IF(AND(D9="retain",OR(E9="report_internal_inconsistency",E9="plan_material")),IF(K9="","",K9),"not_applicable")=IF(INDEX('Primary_snapshot'!$G$2:$G$120,MATCH(A9,'Primary_snapshot'!$A$2:$A$120,0))="","",INDEX('Primary_snapshot'!$G$2:$G$120,MATCH(A9,'Primary_snapshot'!$A$2:$A$120,0))),IF(AND(D9="retain",E9="protocol_report"),IF(L9="","",L9),"not_applicable")=IF(INDEX('Primary_snapshot'!$H$2:$H$120,MATCH(A9,'Primary_snapshot'!$A$2:$A$120,0))="","",INDEX('Primary_snapshot'!$H$2:$H$120,MATCH(A9,'Primary_snapshot'!$A$2:$A$120,0))),IF(R9="","",R9)=IF(INDEX('Primary_snapshot'!$I$2:$I$120,MATCH(A9,'Primary_snapshot'!$A$2:$A$120,0))="","",INDEX('Primary_snapshot'!$I$2:$I$120,MATCH(A9,'Primary_snapshot'!$A$2:$A$120,0)))))),"AGREE BUT CHANGED",IF(AND(P9&lt;&gt;"",NOT(OR(P9="pending",P9="resolved"))),"CHECK RESOLUTION",IF(OR(AND(OR(D9="discuss",INDEX('Primary_snapshot'!$B$2:$B$120,MATCH(A9,'Primary_snapshot'!$A$2:$A$120,0))="discuss",N9="disagree",N9="unable"),P9&lt;&gt;"resolved"),D9="discuss"),"DISCUSS",IF(AND(P9="resolved",LEN(TRIM(Q9))=0),"RESOLUTION NOTE NEEDED",IF(F9&lt;&gt;"checker_done","CHECKER DRAFT","FINAL READY")))))))))))))),"CHECK KEY / SNAPSHOT")</x:f>
        <x:v>CHECK REVIEWER IDs</x:v>
      </x:c>
      <x:c r="H9" s="7" t="str">
        <x:f>IF(AND(OR(D9="retain",D9=""),E9="statistical_results"),"","not_applicable")</x:f>
        <x:v>not_applicable</x:v>
      </x:c>
      <x:c r="I9" s="7" t="str">
        <x:f>IF(AND(OR(D9="retain",D9=""),E9="statistical_results"),"","not_applicable")</x:f>
        <x:v>not_applicable</x:v>
      </x:c>
      <x:c r="J9" s="13" t="str">
        <x:f>IF(AND(OR(D9="retain",D9=""),E9="statistical_results"),"","not_applicable")</x:f>
        <x:v>not_applicable</x:v>
      </x:c>
      <x:c r="K9" s="7" t="str">
        <x:f>IF(AND(OR(D9="retain",D9=""),OR(E9="report_internal_inconsistency",E9="plan_material")),"","not_applicable")</x:f>
      </x:c>
      <x:c r="L9" s="13" t="str">
        <x:f>IF(AND(OR(D9="retain",D9=""),E9="protocol_report"),"","not_applicable")</x:f>
        <x:v>not_applicable</x:v>
      </x:c>
      <x:c r="M9" s="3" t="str">
        <x:f>IF(Setup!$B$6="primary","",IFERROR(IF(INDEX('Primary_snapshot'!$L$2:$L$120,MATCH(A9,'Primary_snapshot'!$A$2:$A$120,0))="","",INDEX('Primary_snapshot'!$L$2:$L$120,MATCH(A9,'Primary_snapshot'!$A$2:$A$120,0))),"SNAPSHOT MISSING"))</x:f>
      </x:c>
      <x:c r="N9" s="7" t="str"/>
      <x:c r="O9" s="7" t="str"/>
      <x:c r="P9" s="7" t="str"/>
      <x:c r="Q9" s="7" t="str"/>
      <x:c r="R9" s="13" t="str"/>
    </x:row>
    <x:row r="10" ht="92" customHeight="1">
      <x:c r="A10" s="6" t="str">
        <x:v>2018::jama.2018.18020::C009</x:v>
      </x:c>
      <x:c r="B10" s="6" t="str">
        <x:v>SF-36 mental-component P value conflicts with the dependent-t 95% CI</x:v>
      </x:c>
      <x:c r="C10" s="6" t="str">
        <x:v>jama_stunnenberg_2018_oi_180136.pdf — PDF p. 7, Table 2; jama_stunnenberg_2018_oi_180136.pdf — PDF p. 3, dependent-t method; jama_stunnenberg_2018_oi_180136.pdf — PDF p. 4, two-sided P-value convention.</x:v>
      </x:c>
      <x:c r="D10" s="7" t="str"/>
      <x:c r="E10" s="7" t="str">
        <x:v>statistical_results</x:v>
      </x:c>
      <x:c r="F10" s="7" t="str">
        <x:v>no</x:v>
      </x:c>
      <x:c r="G10" s="6" t="str">
        <x:f>IFERROR(IF(NOT(OR(Setup!$B$6="primary",Setup!$B$6="checker")),"CHECK STAGE",IF(OR(LEN(TRIM(Setup!$B$2))=0,Setup!$B$2&lt;&gt;TRIM(Setup!$B$2),AND(Setup!$B$6="checker",OR(LEN(TRIM(Setup!$B$4))=0,Setup!$B$4&lt;&gt;TRIM(Setup!$B$4),LOWER(TRIM(Setup!$B$4))=LOWER(TRIM(Setup!$B$2))))),"CHECK REVIEWER IDs",IF(OR(COUNTIF($A$2:$A$15,A10)&lt;&gt;1,COUNTIF(Decisions!$C$2:$C$120,A10)&lt;&gt;1),"CHECK KEY",IF(OR(AND(NOT(AND(D10="retain",E10="statistical_results")),H10&lt;&gt;"",H10&lt;&gt;"not_applicable"),AND(NOT(AND(D10="retain",E10="statistical_results")),I10&lt;&gt;"",I10&lt;&gt;"not_applicable"),AND(NOT(AND(D10="retain",E10="statistical_results")),J10&lt;&gt;"",J10&lt;&gt;"not_applicable"),AND(NOT(AND(D10="retain",OR(E10="report_internal_inconsistency",E10="plan_material"))),K10&lt;&gt;"",K10&lt;&gt;"not_applicable"),AND(NOT(AND(D10="retain",E10="protocol_report")),L10&lt;&gt;"",L10&lt;&gt;"not_applicable")),"CLEAR INACTIVE VALUES",IF(OR(NOT(OR(D10="retain",D10="exclude",D10="discuss")),NOT(OR(E10="statistical_results",E10="report_internal_inconsistency",E10="plan_material",E10="protocol_report")),AND(AND(D10="retain",E10="statistical_results"),NOT(OR(H10="confirmed_issue",H10="probable_issue",H10="not_issue",H10="indeterminate"))),AND(AND(D10="retain",E10="statistical_results"),NOT(OR(I10="substantive",I10="minor_presentation",I10="indeterminate"))),AND(AND(D10="retain",E10="statistical_results"),J10&lt;&gt;"",NOT(OR(J10="direct",J10="possible",J10="unlikely",J10="unknown"))),AND(AND(D10="retain",OR(E10="report_internal_inconsistency",E10="plan_material")),NOT(OR(K10="substantive_inconsistency",K10="minor_presentation",K10="non_inconsistency",K10="indeterminate"))),AND(AND(D10="retain",E10="protocol_report"),L10&lt;&gt;"",NOT(OR(L10="substantive_difference",L10="minor_presentation",L10="version_timing",L10="non_inconsistency",L10="indeterminate")))),"CHECK FIELDS",IF(Setup!$B$6="primary",IF(OR(N10&lt;&gt;"",O10&lt;&gt;"",P10&lt;&gt;"",Q10&lt;&gt;""),"CLEAR CHECKER FIELDS",IF(OR(Setup!$B$4&lt;&gt;"",Setup!$B$5&lt;&gt;""),"CLEAR CHECKER ID",IF(F10&lt;&gt;"primary_done","PRIMARY DRAFT","PRIMARY READY"))),IF(OR(COUNTIF(Primary_snapshot!$A$2:$A$120,A10)&lt;&gt;1,INDEX('Primary_snapshot'!$J$2:$J$120,MATCH(A10,'Primary_snapshot'!$A$2:$A$120,0))&lt;&gt;"primary_done",INDEX('Primary_snapshot'!$K$2:$K$120,MATCH(A10,'Primary_snapshot'!$A$2:$A$120,0))&lt;&gt;Setup!$B$2,INDEX('Primary_snapshot'!$B$2:$B$120,MATCH(A10,'Primary_snapshot'!$A$2:$A$120,0))="NOT FROZEN",INDEX('Primary_snapshot'!$C$2:$C$120,MATCH(A10,'Primary_snapshot'!$A$2:$A$120,0))="NOT FROZEN",INDEX('Primary_snapshot'!$D$2:$D$120,MATCH(A10,'Primary_snapshot'!$A$2:$A$120,0))="NOT FROZEN",INDEX('Primary_snapshot'!$E$2:$E$120,MATCH(A10,'Primary_snapshot'!$A$2:$A$120,0))="NOT FROZEN",INDEX('Primary_snapshot'!$F$2:$F$120,MATCH(A10,'Primary_snapshot'!$A$2:$A$120,0))="NOT FROZEN",INDEX('Primary_snapshot'!$G$2:$G$120,MATCH(A10,'Primary_snapshot'!$A$2:$A$120,0))="NOT FROZEN",INDEX('Primary_snapshot'!$H$2:$H$120,MATCH(A10,'Primary_snapshot'!$A$2:$A$120,0))="NOT FROZEN",INDEX('Primary_snapshot'!$I$2:$I$120,MATCH(A10,'Primary_snapshot'!$A$2:$A$120,0))="NOT FROZEN",INDEX('Primary_snapshot'!$J$2:$J$120,MATCH(A10,'Primary_snapshot'!$A$2:$A$120,0))="NOT FROZEN",INDEX('Primary_snapshot'!$K$2:$K$120,MATCH(A10,'Primary_snapshot'!$A$2:$A$120,0))="NOT FROZEN",INDEX('Primary_snapshot'!$L$2:$L$120,MATCH(A10,'Primary_snapshot'!$A$2:$A$120,0))="NOT FROZEN"),"FREEZE SNAPSHOT",IF(NOT(OR(N10="agree",N10="agree_clarification",N10="disagree",N10="unable")),"CHECKER RESULT NEEDED",IF(AND(N10&lt;&gt;"agree",LEN(TRIM(O10))=0),"COMMENT NEEDED",IF(AND(N10="agree",NOT(AND(IF(D10="","",D10)=IF(INDEX('Primary_snapshot'!$B$2:$B$120,MATCH(A10,'Primary_snapshot'!$A$2:$A$120,0))="","",INDEX('Primary_snapshot'!$B$2:$B$120,MATCH(A10,'Primary_snapshot'!$A$2:$A$120,0))),IF(E10="","",E10)=IF(INDEX('Primary_snapshot'!$C$2:$C$120,MATCH(A10,'Primary_snapshot'!$A$2:$A$120,0))="","",INDEX('Primary_snapshot'!$C$2:$C$120,MATCH(A10,'Primary_snapshot'!$A$2:$A$120,0))),IF(AND(D10="retain",E10="statistical_results"),IF(H10="","",H10),"not_applicable")=IF(INDEX('Primary_snapshot'!$D$2:$D$120,MATCH(A10,'Primary_snapshot'!$A$2:$A$120,0))="","",INDEX('Primary_snapshot'!$D$2:$D$120,MATCH(A10,'Primary_snapshot'!$A$2:$A$120,0))),IF(AND(D10="retain",E10="statistical_results"),IF(I10="","",I10),"not_applicable")=IF(INDEX('Primary_snapshot'!$E$2:$E$120,MATCH(A10,'Primary_snapshot'!$A$2:$A$120,0))="","",INDEX('Primary_snapshot'!$E$2:$E$120,MATCH(A10,'Primary_snapshot'!$A$2:$A$120,0))),IF(AND(D10="retain",E10="statistical_results"),IF(J10="","",J10),"not_applicable")=IF(INDEX('Primary_snapshot'!$F$2:$F$120,MATCH(A10,'Primary_snapshot'!$A$2:$A$120,0))="","",INDEX('Primary_snapshot'!$F$2:$F$120,MATCH(A10,'Primary_snapshot'!$A$2:$A$120,0))),IF(AND(D10="retain",OR(E10="report_internal_inconsistency",E10="plan_material")),IF(K10="","",K10),"not_applicable")=IF(INDEX('Primary_snapshot'!$G$2:$G$120,MATCH(A10,'Primary_snapshot'!$A$2:$A$120,0))="","",INDEX('Primary_snapshot'!$G$2:$G$120,MATCH(A10,'Primary_snapshot'!$A$2:$A$120,0))),IF(AND(D10="retain",E10="protocol_report"),IF(L10="","",L10),"not_applicable")=IF(INDEX('Primary_snapshot'!$H$2:$H$120,MATCH(A10,'Primary_snapshot'!$A$2:$A$120,0))="","",INDEX('Primary_snapshot'!$H$2:$H$120,MATCH(A10,'Primary_snapshot'!$A$2:$A$120,0))),IF(R10="","",R10)=IF(INDEX('Primary_snapshot'!$I$2:$I$120,MATCH(A10,'Primary_snapshot'!$A$2:$A$120,0))="","",INDEX('Primary_snapshot'!$I$2:$I$120,MATCH(A10,'Primary_snapshot'!$A$2:$A$120,0)))))),"AGREE BUT CHANGED",IF(AND(P10&lt;&gt;"",NOT(OR(P10="pending",P10="resolved"))),"CHECK RESOLUTION",IF(OR(AND(OR(D10="discuss",INDEX('Primary_snapshot'!$B$2:$B$120,MATCH(A10,'Primary_snapshot'!$A$2:$A$120,0))="discuss",N10="disagree",N10="unable"),P10&lt;&gt;"resolved"),D10="discuss"),"DISCUSS",IF(AND(P10="resolved",LEN(TRIM(Q10))=0),"RESOLUTION NOTE NEEDED",IF(F10&lt;&gt;"checker_done","CHECKER DRAFT","FINAL READY")))))))))))))),"CHECK KEY / SNAPSHOT")</x:f>
        <x:v>CHECK REVIEWER IDs</x:v>
      </x:c>
      <x:c r="H10" s="7" t="str">
        <x:f>IF(AND(OR(D10="retain",D10=""),E10="statistical_results"),"","not_applicable")</x:f>
      </x:c>
      <x:c r="I10" s="7" t="str">
        <x:f>IF(AND(OR(D10="retain",D10=""),E10="statistical_results"),"","not_applicable")</x:f>
      </x:c>
      <x:c r="J10" s="13" t="str">
        <x:f>IF(AND(OR(D10="retain",D10=""),E10="statistical_results"),"","not_applicable")</x:f>
      </x:c>
      <x:c r="K10" s="7" t="str">
        <x:f>IF(AND(OR(D10="retain",D10=""),OR(E10="report_internal_inconsistency",E10="plan_material")),"","not_applicable")</x:f>
        <x:v>not_applicable</x:v>
      </x:c>
      <x:c r="L10" s="13" t="str">
        <x:f>IF(AND(OR(D10="retain",D10=""),E10="protocol_report"),"","not_applicable")</x:f>
        <x:v>not_applicable</x:v>
      </x:c>
      <x:c r="M10" s="6" t="str">
        <x:f>IF(Setup!$B$6="primary","",IFERROR(IF(INDEX('Primary_snapshot'!$L$2:$L$120,MATCH(A10,'Primary_snapshot'!$A$2:$A$120,0))="","",INDEX('Primary_snapshot'!$L$2:$L$120,MATCH(A10,'Primary_snapshot'!$A$2:$A$120,0))),"SNAPSHOT MISSING"))</x:f>
      </x:c>
      <x:c r="N10" s="7" t="str"/>
      <x:c r="O10" s="7" t="str"/>
      <x:c r="P10" s="7" t="str"/>
      <x:c r="Q10" s="7" t="str"/>
      <x:c r="R10" s="13" t="str"/>
    </x:row>
    <x:row r="11" ht="92" customHeight="1">
      <x:c r="A11" s="3" t="str">
        <x:v>2018::jama.2018.18020::C010</x:v>
      </x:c>
      <x:c r="B11" s="3" t="str">
        <x:v>SCN4A fifth handgrip-action-myotonia P value conflicts with its 95% CI</x:v>
      </x:c>
      <x:c r="C11" s="3" t="str">
        <x:v>jama_stunnenberg_2018_oi_180136.pdf — PDF p. 7, Table 2 row; jama_stunnenberg_2018_oi_180136.pdf — PDF p. 8, Table 2 footnotes; jama_stunnenberg_2018_oi_180136.pdf — PDF p. 3, method; jama_stunnenberg_2018_oi_180136.pdf — PDF p. 4, sidedness.</x:v>
      </x:c>
      <x:c r="D11" s="7" t="str"/>
      <x:c r="E11" s="7" t="str">
        <x:v>statistical_results</x:v>
      </x:c>
      <x:c r="F11" s="7" t="str">
        <x:v>no</x:v>
      </x:c>
      <x:c r="G11" s="3" t="str">
        <x:f>IFERROR(IF(NOT(OR(Setup!$B$6="primary",Setup!$B$6="checker")),"CHECK STAGE",IF(OR(LEN(TRIM(Setup!$B$2))=0,Setup!$B$2&lt;&gt;TRIM(Setup!$B$2),AND(Setup!$B$6="checker",OR(LEN(TRIM(Setup!$B$4))=0,Setup!$B$4&lt;&gt;TRIM(Setup!$B$4),LOWER(TRIM(Setup!$B$4))=LOWER(TRIM(Setup!$B$2))))),"CHECK REVIEWER IDs",IF(OR(COUNTIF($A$2:$A$15,A11)&lt;&gt;1,COUNTIF(Decisions!$C$2:$C$120,A11)&lt;&gt;1),"CHECK KEY",IF(OR(AND(NOT(AND(D11="retain",E11="statistical_results")),H11&lt;&gt;"",H11&lt;&gt;"not_applicable"),AND(NOT(AND(D11="retain",E11="statistical_results")),I11&lt;&gt;"",I11&lt;&gt;"not_applicable"),AND(NOT(AND(D11="retain",E11="statistical_results")),J11&lt;&gt;"",J11&lt;&gt;"not_applicable"),AND(NOT(AND(D11="retain",OR(E11="report_internal_inconsistency",E11="plan_material"))),K11&lt;&gt;"",K11&lt;&gt;"not_applicable"),AND(NOT(AND(D11="retain",E11="protocol_report")),L11&lt;&gt;"",L11&lt;&gt;"not_applicable")),"CLEAR INACTIVE VALUES",IF(OR(NOT(OR(D11="retain",D11="exclude",D11="discuss")),NOT(OR(E11="statistical_results",E11="report_internal_inconsistency",E11="plan_material",E11="protocol_report")),AND(AND(D11="retain",E11="statistical_results"),NOT(OR(H11="confirmed_issue",H11="probable_issue",H11="not_issue",H11="indeterminate"))),AND(AND(D11="retain",E11="statistical_results"),NOT(OR(I11="substantive",I11="minor_presentation",I11="indeterminate"))),AND(AND(D11="retain",E11="statistical_results"),J11&lt;&gt;"",NOT(OR(J11="direct",J11="possible",J11="unlikely",J11="unknown"))),AND(AND(D11="retain",OR(E11="report_internal_inconsistency",E11="plan_material")),NOT(OR(K11="substantive_inconsistency",K11="minor_presentation",K11="non_inconsistency",K11="indeterminate"))),AND(AND(D11="retain",E11="protocol_report"),L11&lt;&gt;"",NOT(OR(L11="substantive_difference",L11="minor_presentation",L11="version_timing",L11="non_inconsistency",L11="indeterminate")))),"CHECK FIELDS",IF(Setup!$B$6="primary",IF(OR(N11&lt;&gt;"",O11&lt;&gt;"",P11&lt;&gt;"",Q11&lt;&gt;""),"CLEAR CHECKER FIELDS",IF(OR(Setup!$B$4&lt;&gt;"",Setup!$B$5&lt;&gt;""),"CLEAR CHECKER ID",IF(F11&lt;&gt;"primary_done","PRIMARY DRAFT","PRIMARY READY"))),IF(OR(COUNTIF(Primary_snapshot!$A$2:$A$120,A11)&lt;&gt;1,INDEX('Primary_snapshot'!$J$2:$J$120,MATCH(A11,'Primary_snapshot'!$A$2:$A$120,0))&lt;&gt;"primary_done",INDEX('Primary_snapshot'!$K$2:$K$120,MATCH(A11,'Primary_snapshot'!$A$2:$A$120,0))&lt;&gt;Setup!$B$2,INDEX('Primary_snapshot'!$B$2:$B$120,MATCH(A11,'Primary_snapshot'!$A$2:$A$120,0))="NOT FROZEN",INDEX('Primary_snapshot'!$C$2:$C$120,MATCH(A11,'Primary_snapshot'!$A$2:$A$120,0))="NOT FROZEN",INDEX('Primary_snapshot'!$D$2:$D$120,MATCH(A11,'Primary_snapshot'!$A$2:$A$120,0))="NOT FROZEN",INDEX('Primary_snapshot'!$E$2:$E$120,MATCH(A11,'Primary_snapshot'!$A$2:$A$120,0))="NOT FROZEN",INDEX('Primary_snapshot'!$F$2:$F$120,MATCH(A11,'Primary_snapshot'!$A$2:$A$120,0))="NOT FROZEN",INDEX('Primary_snapshot'!$G$2:$G$120,MATCH(A11,'Primary_snapshot'!$A$2:$A$120,0))="NOT FROZEN",INDEX('Primary_snapshot'!$H$2:$H$120,MATCH(A11,'Primary_snapshot'!$A$2:$A$120,0))="NOT FROZEN",INDEX('Primary_snapshot'!$I$2:$I$120,MATCH(A11,'Primary_snapshot'!$A$2:$A$120,0))="NOT FROZEN",INDEX('Primary_snapshot'!$J$2:$J$120,MATCH(A11,'Primary_snapshot'!$A$2:$A$120,0))="NOT FROZEN",INDEX('Primary_snapshot'!$K$2:$K$120,MATCH(A11,'Primary_snapshot'!$A$2:$A$120,0))="NOT FROZEN",INDEX('Primary_snapshot'!$L$2:$L$120,MATCH(A11,'Primary_snapshot'!$A$2:$A$120,0))="NOT FROZEN"),"FREEZE SNAPSHOT",IF(NOT(OR(N11="agree",N11="agree_clarification",N11="disagree",N11="unable")),"CHECKER RESULT NEEDED",IF(AND(N11&lt;&gt;"agree",LEN(TRIM(O11))=0),"COMMENT NEEDED",IF(AND(N11="agree",NOT(AND(IF(D11="","",D11)=IF(INDEX('Primary_snapshot'!$B$2:$B$120,MATCH(A11,'Primary_snapshot'!$A$2:$A$120,0))="","",INDEX('Primary_snapshot'!$B$2:$B$120,MATCH(A11,'Primary_snapshot'!$A$2:$A$120,0))),IF(E11="","",E11)=IF(INDEX('Primary_snapshot'!$C$2:$C$120,MATCH(A11,'Primary_snapshot'!$A$2:$A$120,0))="","",INDEX('Primary_snapshot'!$C$2:$C$120,MATCH(A11,'Primary_snapshot'!$A$2:$A$120,0))),IF(AND(D11="retain",E11="statistical_results"),IF(H11="","",H11),"not_applicable")=IF(INDEX('Primary_snapshot'!$D$2:$D$120,MATCH(A11,'Primary_snapshot'!$A$2:$A$120,0))="","",INDEX('Primary_snapshot'!$D$2:$D$120,MATCH(A11,'Primary_snapshot'!$A$2:$A$120,0))),IF(AND(D11="retain",E11="statistical_results"),IF(I11="","",I11),"not_applicable")=IF(INDEX('Primary_snapshot'!$E$2:$E$120,MATCH(A11,'Primary_snapshot'!$A$2:$A$120,0))="","",INDEX('Primary_snapshot'!$E$2:$E$120,MATCH(A11,'Primary_snapshot'!$A$2:$A$120,0))),IF(AND(D11="retain",E11="statistical_results"),IF(J11="","",J11),"not_applicable")=IF(INDEX('Primary_snapshot'!$F$2:$F$120,MATCH(A11,'Primary_snapshot'!$A$2:$A$120,0))="","",INDEX('Primary_snapshot'!$F$2:$F$120,MATCH(A11,'Primary_snapshot'!$A$2:$A$120,0))),IF(AND(D11="retain",OR(E11="report_internal_inconsistency",E11="plan_material")),IF(K11="","",K11),"not_applicable")=IF(INDEX('Primary_snapshot'!$G$2:$G$120,MATCH(A11,'Primary_snapshot'!$A$2:$A$120,0))="","",INDEX('Primary_snapshot'!$G$2:$G$120,MATCH(A11,'Primary_snapshot'!$A$2:$A$120,0))),IF(AND(D11="retain",E11="protocol_report"),IF(L11="","",L11),"not_applicable")=IF(INDEX('Primary_snapshot'!$H$2:$H$120,MATCH(A11,'Primary_snapshot'!$A$2:$A$120,0))="","",INDEX('Primary_snapshot'!$H$2:$H$120,MATCH(A11,'Primary_snapshot'!$A$2:$A$120,0))),IF(R11="","",R11)=IF(INDEX('Primary_snapshot'!$I$2:$I$120,MATCH(A11,'Primary_snapshot'!$A$2:$A$120,0))="","",INDEX('Primary_snapshot'!$I$2:$I$120,MATCH(A11,'Primary_snapshot'!$A$2:$A$120,0)))))),"AGREE BUT CHANGED",IF(AND(P11&lt;&gt;"",NOT(OR(P11="pending",P11="resolved"))),"CHECK RESOLUTION",IF(OR(AND(OR(D11="discuss",INDEX('Primary_snapshot'!$B$2:$B$120,MATCH(A11,'Primary_snapshot'!$A$2:$A$120,0))="discuss",N11="disagree",N11="unable"),P11&lt;&gt;"resolved"),D11="discuss"),"DISCUSS",IF(AND(P11="resolved",LEN(TRIM(Q11))=0),"RESOLUTION NOTE NEEDED",IF(F11&lt;&gt;"checker_done","CHECKER DRAFT","FINAL READY")))))))))))))),"CHECK KEY / SNAPSHOT")</x:f>
        <x:v>CHECK REVIEWER IDs</x:v>
      </x:c>
      <x:c r="H11" s="7" t="str">
        <x:f>IF(AND(OR(D11="retain",D11=""),E11="statistical_results"),"","not_applicable")</x:f>
      </x:c>
      <x:c r="I11" s="7" t="str">
        <x:f>IF(AND(OR(D11="retain",D11=""),E11="statistical_results"),"","not_applicable")</x:f>
      </x:c>
      <x:c r="J11" s="13" t="str">
        <x:f>IF(AND(OR(D11="retain",D11=""),E11="statistical_results"),"","not_applicable")</x:f>
      </x:c>
      <x:c r="K11" s="7" t="str">
        <x:f>IF(AND(OR(D11="retain",D11=""),OR(E11="report_internal_inconsistency",E11="plan_material")),"","not_applicable")</x:f>
        <x:v>not_applicable</x:v>
      </x:c>
      <x:c r="L11" s="13" t="str">
        <x:f>IF(AND(OR(D11="retain",D11=""),E11="protocol_report"),"","not_applicable")</x:f>
        <x:v>not_applicable</x:v>
      </x:c>
      <x:c r="M11" s="3" t="str">
        <x:f>IF(Setup!$B$6="primary","",IFERROR(IF(INDEX('Primary_snapshot'!$L$2:$L$120,MATCH(A11,'Primary_snapshot'!$A$2:$A$120,0))="","",INDEX('Primary_snapshot'!$L$2:$L$120,MATCH(A11,'Primary_snapshot'!$A$2:$A$120,0))),"SNAPSHOT MISSING"))</x:f>
      </x:c>
      <x:c r="N11" s="7" t="str"/>
      <x:c r="O11" s="7" t="str"/>
      <x:c r="P11" s="7" t="str"/>
      <x:c r="Q11" s="7" t="str"/>
      <x:c r="R11" s="13" t="str"/>
    </x:row>
    <x:row r="12" ht="92" customHeight="1">
      <x:c r="A12" s="6" t="str">
        <x:v>2018::jama.2018.18020::C011</x:v>
      </x:c>
      <x:c r="B12" s="6" t="str">
        <x:v>SCN4A fifth transient-paresis estimate, interval, and P value do not form a compatible dependent-t result</x:v>
      </x:c>
      <x:c r="C12" s="6" t="str">
        <x:v>jama_stunnenberg_2018_oi_180136.pdf — PDF p. 7, Table 2 row; jama_stunnenberg_2018_oi_180136.pdf — PDF p. 6, narrative repetition; jama_stunnenberg_2018_oi_180136.pdf — PDF p. 8, footnotes; jama_stunnenberg_2018_oi_180136.pdf — PDF p. 3, method; jama_stunnenberg_2018_oi_180136.pdf — PDF p. 4, sidedness.</x:v>
      </x:c>
      <x:c r="D12" s="7" t="str"/>
      <x:c r="E12" s="7" t="str">
        <x:v>statistical_results</x:v>
      </x:c>
      <x:c r="F12" s="7" t="str">
        <x:v>no</x:v>
      </x:c>
      <x:c r="G12" s="6" t="str">
        <x:f>IFERROR(IF(NOT(OR(Setup!$B$6="primary",Setup!$B$6="checker")),"CHECK STAGE",IF(OR(LEN(TRIM(Setup!$B$2))=0,Setup!$B$2&lt;&gt;TRIM(Setup!$B$2),AND(Setup!$B$6="checker",OR(LEN(TRIM(Setup!$B$4))=0,Setup!$B$4&lt;&gt;TRIM(Setup!$B$4),LOWER(TRIM(Setup!$B$4))=LOWER(TRIM(Setup!$B$2))))),"CHECK REVIEWER IDs",IF(OR(COUNTIF($A$2:$A$15,A12)&lt;&gt;1,COUNTIF(Decisions!$C$2:$C$120,A12)&lt;&gt;1),"CHECK KEY",IF(OR(AND(NOT(AND(D12="retain",E12="statistical_results")),H12&lt;&gt;"",H12&lt;&gt;"not_applicable"),AND(NOT(AND(D12="retain",E12="statistical_results")),I12&lt;&gt;"",I12&lt;&gt;"not_applicable"),AND(NOT(AND(D12="retain",E12="statistical_results")),J12&lt;&gt;"",J12&lt;&gt;"not_applicable"),AND(NOT(AND(D12="retain",OR(E12="report_internal_inconsistency",E12="plan_material"))),K12&lt;&gt;"",K12&lt;&gt;"not_applicable"),AND(NOT(AND(D12="retain",E12="protocol_report")),L12&lt;&gt;"",L12&lt;&gt;"not_applicable")),"CLEAR INACTIVE VALUES",IF(OR(NOT(OR(D12="retain",D12="exclude",D12="discuss")),NOT(OR(E12="statistical_results",E12="report_internal_inconsistency",E12="plan_material",E12="protocol_report")),AND(AND(D12="retain",E12="statistical_results"),NOT(OR(H12="confirmed_issue",H12="probable_issue",H12="not_issue",H12="indeterminate"))),AND(AND(D12="retain",E12="statistical_results"),NOT(OR(I12="substantive",I12="minor_presentation",I12="indeterminate"))),AND(AND(D12="retain",E12="statistical_results"),J12&lt;&gt;"",NOT(OR(J12="direct",J12="possible",J12="unlikely",J12="unknown"))),AND(AND(D12="retain",OR(E12="report_internal_inconsistency",E12="plan_material")),NOT(OR(K12="substantive_inconsistency",K12="minor_presentation",K12="non_inconsistency",K12="indeterminate"))),AND(AND(D12="retain",E12="protocol_report"),L12&lt;&gt;"",NOT(OR(L12="substantive_difference",L12="minor_presentation",L12="version_timing",L12="non_inconsistency",L12="indeterminate")))),"CHECK FIELDS",IF(Setup!$B$6="primary",IF(OR(N12&lt;&gt;"",O12&lt;&gt;"",P12&lt;&gt;"",Q12&lt;&gt;""),"CLEAR CHECKER FIELDS",IF(OR(Setup!$B$4&lt;&gt;"",Setup!$B$5&lt;&gt;""),"CLEAR CHECKER ID",IF(F12&lt;&gt;"primary_done","PRIMARY DRAFT","PRIMARY READY"))),IF(OR(COUNTIF(Primary_snapshot!$A$2:$A$120,A12)&lt;&gt;1,INDEX('Primary_snapshot'!$J$2:$J$120,MATCH(A12,'Primary_snapshot'!$A$2:$A$120,0))&lt;&gt;"primary_done",INDEX('Primary_snapshot'!$K$2:$K$120,MATCH(A12,'Primary_snapshot'!$A$2:$A$120,0))&lt;&gt;Setup!$B$2,INDEX('Primary_snapshot'!$B$2:$B$120,MATCH(A12,'Primary_snapshot'!$A$2:$A$120,0))="NOT FROZEN",INDEX('Primary_snapshot'!$C$2:$C$120,MATCH(A12,'Primary_snapshot'!$A$2:$A$120,0))="NOT FROZEN",INDEX('Primary_snapshot'!$D$2:$D$120,MATCH(A12,'Primary_snapshot'!$A$2:$A$120,0))="NOT FROZEN",INDEX('Primary_snapshot'!$E$2:$E$120,MATCH(A12,'Primary_snapshot'!$A$2:$A$120,0))="NOT FROZEN",INDEX('Primary_snapshot'!$F$2:$F$120,MATCH(A12,'Primary_snapshot'!$A$2:$A$120,0))="NOT FROZEN",INDEX('Primary_snapshot'!$G$2:$G$120,MATCH(A12,'Primary_snapshot'!$A$2:$A$120,0))="NOT FROZEN",INDEX('Primary_snapshot'!$H$2:$H$120,MATCH(A12,'Primary_snapshot'!$A$2:$A$120,0))="NOT FROZEN",INDEX('Primary_snapshot'!$I$2:$I$120,MATCH(A12,'Primary_snapshot'!$A$2:$A$120,0))="NOT FROZEN",INDEX('Primary_snapshot'!$J$2:$J$120,MATCH(A12,'Primary_snapshot'!$A$2:$A$120,0))="NOT FROZEN",INDEX('Primary_snapshot'!$K$2:$K$120,MATCH(A12,'Primary_snapshot'!$A$2:$A$120,0))="NOT FROZEN",INDEX('Primary_snapshot'!$L$2:$L$120,MATCH(A12,'Primary_snapshot'!$A$2:$A$120,0))="NOT FROZEN"),"FREEZE SNAPSHOT",IF(NOT(OR(N12="agree",N12="agree_clarification",N12="disagree",N12="unable")),"CHECKER RESULT NEEDED",IF(AND(N12&lt;&gt;"agree",LEN(TRIM(O12))=0),"COMMENT NEEDED",IF(AND(N12="agree",NOT(AND(IF(D12="","",D12)=IF(INDEX('Primary_snapshot'!$B$2:$B$120,MATCH(A12,'Primary_snapshot'!$A$2:$A$120,0))="","",INDEX('Primary_snapshot'!$B$2:$B$120,MATCH(A12,'Primary_snapshot'!$A$2:$A$120,0))),IF(E12="","",E12)=IF(INDEX('Primary_snapshot'!$C$2:$C$120,MATCH(A12,'Primary_snapshot'!$A$2:$A$120,0))="","",INDEX('Primary_snapshot'!$C$2:$C$120,MATCH(A12,'Primary_snapshot'!$A$2:$A$120,0))),IF(AND(D12="retain",E12="statistical_results"),IF(H12="","",H12),"not_applicable")=IF(INDEX('Primary_snapshot'!$D$2:$D$120,MATCH(A12,'Primary_snapshot'!$A$2:$A$120,0))="","",INDEX('Primary_snapshot'!$D$2:$D$120,MATCH(A12,'Primary_snapshot'!$A$2:$A$120,0))),IF(AND(D12="retain",E12="statistical_results"),IF(I12="","",I12),"not_applicable")=IF(INDEX('Primary_snapshot'!$E$2:$E$120,MATCH(A12,'Primary_snapshot'!$A$2:$A$120,0))="","",INDEX('Primary_snapshot'!$E$2:$E$120,MATCH(A12,'Primary_snapshot'!$A$2:$A$120,0))),IF(AND(D12="retain",E12="statistical_results"),IF(J12="","",J12),"not_applicable")=IF(INDEX('Primary_snapshot'!$F$2:$F$120,MATCH(A12,'Primary_snapshot'!$A$2:$A$120,0))="","",INDEX('Primary_snapshot'!$F$2:$F$120,MATCH(A12,'Primary_snapshot'!$A$2:$A$120,0))),IF(AND(D12="retain",OR(E12="report_internal_inconsistency",E12="plan_material")),IF(K12="","",K12),"not_applicable")=IF(INDEX('Primary_snapshot'!$G$2:$G$120,MATCH(A12,'Primary_snapshot'!$A$2:$A$120,0))="","",INDEX('Primary_snapshot'!$G$2:$G$120,MATCH(A12,'Primary_snapshot'!$A$2:$A$120,0))),IF(AND(D12="retain",E12="protocol_report"),IF(L12="","",L12),"not_applicable")=IF(INDEX('Primary_snapshot'!$H$2:$H$120,MATCH(A12,'Primary_snapshot'!$A$2:$A$120,0))="","",INDEX('Primary_snapshot'!$H$2:$H$120,MATCH(A12,'Primary_snapshot'!$A$2:$A$120,0))),IF(R12="","",R12)=IF(INDEX('Primary_snapshot'!$I$2:$I$120,MATCH(A12,'Primary_snapshot'!$A$2:$A$120,0))="","",INDEX('Primary_snapshot'!$I$2:$I$120,MATCH(A12,'Primary_snapshot'!$A$2:$A$120,0)))))),"AGREE BUT CHANGED",IF(AND(P12&lt;&gt;"",NOT(OR(P12="pending",P12="resolved"))),"CHECK RESOLUTION",IF(OR(AND(OR(D12="discuss",INDEX('Primary_snapshot'!$B$2:$B$120,MATCH(A12,'Primary_snapshot'!$A$2:$A$120,0))="discuss",N12="disagree",N12="unable"),P12&lt;&gt;"resolved"),D12="discuss"),"DISCUSS",IF(AND(P12="resolved",LEN(TRIM(Q12))=0),"RESOLUTION NOTE NEEDED",IF(F12&lt;&gt;"checker_done","CHECKER DRAFT","FINAL READY")))))))))))))),"CHECK KEY / SNAPSHOT")</x:f>
        <x:v>CHECK REVIEWER IDs</x:v>
      </x:c>
      <x:c r="H12" s="7" t="str">
        <x:f>IF(AND(OR(D12="retain",D12=""),E12="statistical_results"),"","not_applicable")</x:f>
      </x:c>
      <x:c r="I12" s="7" t="str">
        <x:f>IF(AND(OR(D12="retain",D12=""),E12="statistical_results"),"","not_applicable")</x:f>
      </x:c>
      <x:c r="J12" s="13" t="str">
        <x:f>IF(AND(OR(D12="retain",D12=""),E12="statistical_results"),"","not_applicable")</x:f>
      </x:c>
      <x:c r="K12" s="7" t="str">
        <x:f>IF(AND(OR(D12="retain",D12=""),OR(E12="report_internal_inconsistency",E12="plan_material")),"","not_applicable")</x:f>
        <x:v>not_applicable</x:v>
      </x:c>
      <x:c r="L12" s="13" t="str">
        <x:f>IF(AND(OR(D12="retain",D12=""),E12="protocol_report"),"","not_applicable")</x:f>
        <x:v>not_applicable</x:v>
      </x:c>
      <x:c r="M12" s="6" t="str">
        <x:f>IF(Setup!$B$6="primary","",IFERROR(IF(INDEX('Primary_snapshot'!$L$2:$L$120,MATCH(A12,'Primary_snapshot'!$A$2:$A$120,0))="","",INDEX('Primary_snapshot'!$L$2:$L$120,MATCH(A12,'Primary_snapshot'!$A$2:$A$120,0))),"SNAPSHOT MISSING"))</x:f>
      </x:c>
      <x:c r="N12" s="7" t="str"/>
      <x:c r="O12" s="7" t="str"/>
      <x:c r="P12" s="7" t="str"/>
      <x:c r="Q12" s="7" t="str"/>
      <x:c r="R12" s="13" t="str"/>
    </x:row>
    <x:row r="13" ht="92" customHeight="1">
      <x:c r="A13" s="3" t="str">
        <x:v>2018::jama.2018.18020::C012</x:v>
      </x:c>
      <x:c r="B13" s="3" t="str">
        <x:v>Myotonic-discharge P value conflicts with the dependent-t 95% CI</x:v>
      </x:c>
      <x:c r="C13" s="3" t="str">
        <x:v>jama_stunnenberg_2018_oi_180136.pdf — PDF p. 8, Table 2 continuation and footnotes; jama_stunnenberg_2018_oi_180136.pdf — PDF p. 3, dependent-t method; jama_stunnenberg_2018_oi_180136.pdf — PDF p. 4, two-sided convention.</x:v>
      </x:c>
      <x:c r="D13" s="7" t="str"/>
      <x:c r="E13" s="7" t="str">
        <x:v>statistical_results</x:v>
      </x:c>
      <x:c r="F13" s="7" t="str">
        <x:v>no</x:v>
      </x:c>
      <x:c r="G13" s="3" t="str">
        <x:f>IFERROR(IF(NOT(OR(Setup!$B$6="primary",Setup!$B$6="checker")),"CHECK STAGE",IF(OR(LEN(TRIM(Setup!$B$2))=0,Setup!$B$2&lt;&gt;TRIM(Setup!$B$2),AND(Setup!$B$6="checker",OR(LEN(TRIM(Setup!$B$4))=0,Setup!$B$4&lt;&gt;TRIM(Setup!$B$4),LOWER(TRIM(Setup!$B$4))=LOWER(TRIM(Setup!$B$2))))),"CHECK REVIEWER IDs",IF(OR(COUNTIF($A$2:$A$15,A13)&lt;&gt;1,COUNTIF(Decisions!$C$2:$C$120,A13)&lt;&gt;1),"CHECK KEY",IF(OR(AND(NOT(AND(D13="retain",E13="statistical_results")),H13&lt;&gt;"",H13&lt;&gt;"not_applicable"),AND(NOT(AND(D13="retain",E13="statistical_results")),I13&lt;&gt;"",I13&lt;&gt;"not_applicable"),AND(NOT(AND(D13="retain",E13="statistical_results")),J13&lt;&gt;"",J13&lt;&gt;"not_applicable"),AND(NOT(AND(D13="retain",OR(E13="report_internal_inconsistency",E13="plan_material"))),K13&lt;&gt;"",K13&lt;&gt;"not_applicable"),AND(NOT(AND(D13="retain",E13="protocol_report")),L13&lt;&gt;"",L13&lt;&gt;"not_applicable")),"CLEAR INACTIVE VALUES",IF(OR(NOT(OR(D13="retain",D13="exclude",D13="discuss")),NOT(OR(E13="statistical_results",E13="report_internal_inconsistency",E13="plan_material",E13="protocol_report")),AND(AND(D13="retain",E13="statistical_results"),NOT(OR(H13="confirmed_issue",H13="probable_issue",H13="not_issue",H13="indeterminate"))),AND(AND(D13="retain",E13="statistical_results"),NOT(OR(I13="substantive",I13="minor_presentation",I13="indeterminate"))),AND(AND(D13="retain",E13="statistical_results"),J13&lt;&gt;"",NOT(OR(J13="direct",J13="possible",J13="unlikely",J13="unknown"))),AND(AND(D13="retain",OR(E13="report_internal_inconsistency",E13="plan_material")),NOT(OR(K13="substantive_inconsistency",K13="minor_presentation",K13="non_inconsistency",K13="indeterminate"))),AND(AND(D13="retain",E13="protocol_report"),L13&lt;&gt;"",NOT(OR(L13="substantive_difference",L13="minor_presentation",L13="version_timing",L13="non_inconsistency",L13="indeterminate")))),"CHECK FIELDS",IF(Setup!$B$6="primary",IF(OR(N13&lt;&gt;"",O13&lt;&gt;"",P13&lt;&gt;"",Q13&lt;&gt;""),"CLEAR CHECKER FIELDS",IF(OR(Setup!$B$4&lt;&gt;"",Setup!$B$5&lt;&gt;""),"CLEAR CHECKER ID",IF(F13&lt;&gt;"primary_done","PRIMARY DRAFT","PRIMARY READY"))),IF(OR(COUNTIF(Primary_snapshot!$A$2:$A$120,A13)&lt;&gt;1,INDEX('Primary_snapshot'!$J$2:$J$120,MATCH(A13,'Primary_snapshot'!$A$2:$A$120,0))&lt;&gt;"primary_done",INDEX('Primary_snapshot'!$K$2:$K$120,MATCH(A13,'Primary_snapshot'!$A$2:$A$120,0))&lt;&gt;Setup!$B$2,INDEX('Primary_snapshot'!$B$2:$B$120,MATCH(A13,'Primary_snapshot'!$A$2:$A$120,0))="NOT FROZEN",INDEX('Primary_snapshot'!$C$2:$C$120,MATCH(A13,'Primary_snapshot'!$A$2:$A$120,0))="NOT FROZEN",INDEX('Primary_snapshot'!$D$2:$D$120,MATCH(A13,'Primary_snapshot'!$A$2:$A$120,0))="NOT FROZEN",INDEX('Primary_snapshot'!$E$2:$E$120,MATCH(A13,'Primary_snapshot'!$A$2:$A$120,0))="NOT FROZEN",INDEX('Primary_snapshot'!$F$2:$F$120,MATCH(A13,'Primary_snapshot'!$A$2:$A$120,0))="NOT FROZEN",INDEX('Primary_snapshot'!$G$2:$G$120,MATCH(A13,'Primary_snapshot'!$A$2:$A$120,0))="NOT FROZEN",INDEX('Primary_snapshot'!$H$2:$H$120,MATCH(A13,'Primary_snapshot'!$A$2:$A$120,0))="NOT FROZEN",INDEX('Primary_snapshot'!$I$2:$I$120,MATCH(A13,'Primary_snapshot'!$A$2:$A$120,0))="NOT FROZEN",INDEX('Primary_snapshot'!$J$2:$J$120,MATCH(A13,'Primary_snapshot'!$A$2:$A$120,0))="NOT FROZEN",INDEX('Primary_snapshot'!$K$2:$K$120,MATCH(A13,'Primary_snapshot'!$A$2:$A$120,0))="NOT FROZEN",INDEX('Primary_snapshot'!$L$2:$L$120,MATCH(A13,'Primary_snapshot'!$A$2:$A$120,0))="NOT FROZEN"),"FREEZE SNAPSHOT",IF(NOT(OR(N13="agree",N13="agree_clarification",N13="disagree",N13="unable")),"CHECKER RESULT NEEDED",IF(AND(N13&lt;&gt;"agree",LEN(TRIM(O13))=0),"COMMENT NEEDED",IF(AND(N13="agree",NOT(AND(IF(D13="","",D13)=IF(INDEX('Primary_snapshot'!$B$2:$B$120,MATCH(A13,'Primary_snapshot'!$A$2:$A$120,0))="","",INDEX('Primary_snapshot'!$B$2:$B$120,MATCH(A13,'Primary_snapshot'!$A$2:$A$120,0))),IF(E13="","",E13)=IF(INDEX('Primary_snapshot'!$C$2:$C$120,MATCH(A13,'Primary_snapshot'!$A$2:$A$120,0))="","",INDEX('Primary_snapshot'!$C$2:$C$120,MATCH(A13,'Primary_snapshot'!$A$2:$A$120,0))),IF(AND(D13="retain",E13="statistical_results"),IF(H13="","",H13),"not_applicable")=IF(INDEX('Primary_snapshot'!$D$2:$D$120,MATCH(A13,'Primary_snapshot'!$A$2:$A$120,0))="","",INDEX('Primary_snapshot'!$D$2:$D$120,MATCH(A13,'Primary_snapshot'!$A$2:$A$120,0))),IF(AND(D13="retain",E13="statistical_results"),IF(I13="","",I13),"not_applicable")=IF(INDEX('Primary_snapshot'!$E$2:$E$120,MATCH(A13,'Primary_snapshot'!$A$2:$A$120,0))="","",INDEX('Primary_snapshot'!$E$2:$E$120,MATCH(A13,'Primary_snapshot'!$A$2:$A$120,0))),IF(AND(D13="retain",E13="statistical_results"),IF(J13="","",J13),"not_applicable")=IF(INDEX('Primary_snapshot'!$F$2:$F$120,MATCH(A13,'Primary_snapshot'!$A$2:$A$120,0))="","",INDEX('Primary_snapshot'!$F$2:$F$120,MATCH(A13,'Primary_snapshot'!$A$2:$A$120,0))),IF(AND(D13="retain",OR(E13="report_internal_inconsistency",E13="plan_material")),IF(K13="","",K13),"not_applicable")=IF(INDEX('Primary_snapshot'!$G$2:$G$120,MATCH(A13,'Primary_snapshot'!$A$2:$A$120,0))="","",INDEX('Primary_snapshot'!$G$2:$G$120,MATCH(A13,'Primary_snapshot'!$A$2:$A$120,0))),IF(AND(D13="retain",E13="protocol_report"),IF(L13="","",L13),"not_applicable")=IF(INDEX('Primary_snapshot'!$H$2:$H$120,MATCH(A13,'Primary_snapshot'!$A$2:$A$120,0))="","",INDEX('Primary_snapshot'!$H$2:$H$120,MATCH(A13,'Primary_snapshot'!$A$2:$A$120,0))),IF(R13="","",R13)=IF(INDEX('Primary_snapshot'!$I$2:$I$120,MATCH(A13,'Primary_snapshot'!$A$2:$A$120,0))="","",INDEX('Primary_snapshot'!$I$2:$I$120,MATCH(A13,'Primary_snapshot'!$A$2:$A$120,0)))))),"AGREE BUT CHANGED",IF(AND(P13&lt;&gt;"",NOT(OR(P13="pending",P13="resolved"))),"CHECK RESOLUTION",IF(OR(AND(OR(D13="discuss",INDEX('Primary_snapshot'!$B$2:$B$120,MATCH(A13,'Primary_snapshot'!$A$2:$A$120,0))="discuss",N13="disagree",N13="unable"),P13&lt;&gt;"resolved"),D13="discuss"),"DISCUSS",IF(AND(P13="resolved",LEN(TRIM(Q13))=0),"RESOLUTION NOTE NEEDED",IF(F13&lt;&gt;"checker_done","CHECKER DRAFT","FINAL READY")))))))))))))),"CHECK KEY / SNAPSHOT")</x:f>
        <x:v>CHECK REVIEWER IDs</x:v>
      </x:c>
      <x:c r="H13" s="7" t="str">
        <x:f>IF(AND(OR(D13="retain",D13=""),E13="statistical_results"),"","not_applicable")</x:f>
      </x:c>
      <x:c r="I13" s="7" t="str">
        <x:f>IF(AND(OR(D13="retain",D13=""),E13="statistical_results"),"","not_applicable")</x:f>
      </x:c>
      <x:c r="J13" s="13" t="str">
        <x:f>IF(AND(OR(D13="retain",D13=""),E13="statistical_results"),"","not_applicable")</x:f>
      </x:c>
      <x:c r="K13" s="7" t="str">
        <x:f>IF(AND(OR(D13="retain",D13=""),OR(E13="report_internal_inconsistency",E13="plan_material")),"","not_applicable")</x:f>
        <x:v>not_applicable</x:v>
      </x:c>
      <x:c r="L13" s="13" t="str">
        <x:f>IF(AND(OR(D13="retain",D13=""),E13="protocol_report"),"","not_applicable")</x:f>
        <x:v>not_applicable</x:v>
      </x:c>
      <x:c r="M13" s="3" t="str">
        <x:f>IF(Setup!$B$6="primary","",IFERROR(IF(INDEX('Primary_snapshot'!$L$2:$L$120,MATCH(A13,'Primary_snapshot'!$A$2:$A$120,0))="","",INDEX('Primary_snapshot'!$L$2:$L$120,MATCH(A13,'Primary_snapshot'!$A$2:$A$120,0))),"SNAPSHOT MISSING"))</x:f>
      </x:c>
      <x:c r="N13" s="7" t="str"/>
      <x:c r="O13" s="7" t="str"/>
      <x:c r="P13" s="7" t="str"/>
      <x:c r="Q13" s="7" t="str"/>
      <x:c r="R13" s="13" t="str"/>
    </x:row>
    <x:row r="14" ht="92" customHeight="1">
      <x:c r="A14" s="6" t="str">
        <x:v>2018::jama.2018.18020::C013</x:v>
      </x:c>
      <x:c r="B14" s="6" t="str">
        <x:v>First handgrip placebo-period interval is reversed and excludes its estimate</x:v>
      </x:c>
      <x:c r="C14" s="6" t="str">
        <x:v>jama_stunnenberg_2018_oi_180136.pdf — PDF p. 7, Table 2 first-attempt handgrip action-myotonia placebo-period change.</x:v>
      </x:c>
      <x:c r="D14" s="7" t="str"/>
      <x:c r="E14" s="7" t="str">
        <x:v>statistical_results</x:v>
      </x:c>
      <x:c r="F14" s="7" t="str">
        <x:v>no</x:v>
      </x:c>
      <x:c r="G14" s="6" t="str">
        <x:f>IFERROR(IF(NOT(OR(Setup!$B$6="primary",Setup!$B$6="checker")),"CHECK STAGE",IF(OR(LEN(TRIM(Setup!$B$2))=0,Setup!$B$2&lt;&gt;TRIM(Setup!$B$2),AND(Setup!$B$6="checker",OR(LEN(TRIM(Setup!$B$4))=0,Setup!$B$4&lt;&gt;TRIM(Setup!$B$4),LOWER(TRIM(Setup!$B$4))=LOWER(TRIM(Setup!$B$2))))),"CHECK REVIEWER IDs",IF(OR(COUNTIF($A$2:$A$15,A14)&lt;&gt;1,COUNTIF(Decisions!$C$2:$C$120,A14)&lt;&gt;1),"CHECK KEY",IF(OR(AND(NOT(AND(D14="retain",E14="statistical_results")),H14&lt;&gt;"",H14&lt;&gt;"not_applicable"),AND(NOT(AND(D14="retain",E14="statistical_results")),I14&lt;&gt;"",I14&lt;&gt;"not_applicable"),AND(NOT(AND(D14="retain",E14="statistical_results")),J14&lt;&gt;"",J14&lt;&gt;"not_applicable"),AND(NOT(AND(D14="retain",OR(E14="report_internal_inconsistency",E14="plan_material"))),K14&lt;&gt;"",K14&lt;&gt;"not_applicable"),AND(NOT(AND(D14="retain",E14="protocol_report")),L14&lt;&gt;"",L14&lt;&gt;"not_applicable")),"CLEAR INACTIVE VALUES",IF(OR(NOT(OR(D14="retain",D14="exclude",D14="discuss")),NOT(OR(E14="statistical_results",E14="report_internal_inconsistency",E14="plan_material",E14="protocol_report")),AND(AND(D14="retain",E14="statistical_results"),NOT(OR(H14="confirmed_issue",H14="probable_issue",H14="not_issue",H14="indeterminate"))),AND(AND(D14="retain",E14="statistical_results"),NOT(OR(I14="substantive",I14="minor_presentation",I14="indeterminate"))),AND(AND(D14="retain",E14="statistical_results"),J14&lt;&gt;"",NOT(OR(J14="direct",J14="possible",J14="unlikely",J14="unknown"))),AND(AND(D14="retain",OR(E14="report_internal_inconsistency",E14="plan_material")),NOT(OR(K14="substantive_inconsistency",K14="minor_presentation",K14="non_inconsistency",K14="indeterminate"))),AND(AND(D14="retain",E14="protocol_report"),L14&lt;&gt;"",NOT(OR(L14="substantive_difference",L14="minor_presentation",L14="version_timing",L14="non_inconsistency",L14="indeterminate")))),"CHECK FIELDS",IF(Setup!$B$6="primary",IF(OR(N14&lt;&gt;"",O14&lt;&gt;"",P14&lt;&gt;"",Q14&lt;&gt;""),"CLEAR CHECKER FIELDS",IF(OR(Setup!$B$4&lt;&gt;"",Setup!$B$5&lt;&gt;""),"CLEAR CHECKER ID",IF(F14&lt;&gt;"primary_done","PRIMARY DRAFT","PRIMARY READY"))),IF(OR(COUNTIF(Primary_snapshot!$A$2:$A$120,A14)&lt;&gt;1,INDEX('Primary_snapshot'!$J$2:$J$120,MATCH(A14,'Primary_snapshot'!$A$2:$A$120,0))&lt;&gt;"primary_done",INDEX('Primary_snapshot'!$K$2:$K$120,MATCH(A14,'Primary_snapshot'!$A$2:$A$120,0))&lt;&gt;Setup!$B$2,INDEX('Primary_snapshot'!$B$2:$B$120,MATCH(A14,'Primary_snapshot'!$A$2:$A$120,0))="NOT FROZEN",INDEX('Primary_snapshot'!$C$2:$C$120,MATCH(A14,'Primary_snapshot'!$A$2:$A$120,0))="NOT FROZEN",INDEX('Primary_snapshot'!$D$2:$D$120,MATCH(A14,'Primary_snapshot'!$A$2:$A$120,0))="NOT FROZEN",INDEX('Primary_snapshot'!$E$2:$E$120,MATCH(A14,'Primary_snapshot'!$A$2:$A$120,0))="NOT FROZEN",INDEX('Primary_snapshot'!$F$2:$F$120,MATCH(A14,'Primary_snapshot'!$A$2:$A$120,0))="NOT FROZEN",INDEX('Primary_snapshot'!$G$2:$G$120,MATCH(A14,'Primary_snapshot'!$A$2:$A$120,0))="NOT FROZEN",INDEX('Primary_snapshot'!$H$2:$H$120,MATCH(A14,'Primary_snapshot'!$A$2:$A$120,0))="NOT FROZEN",INDEX('Primary_snapshot'!$I$2:$I$120,MATCH(A14,'Primary_snapshot'!$A$2:$A$120,0))="NOT FROZEN",INDEX('Primary_snapshot'!$J$2:$J$120,MATCH(A14,'Primary_snapshot'!$A$2:$A$120,0))="NOT FROZEN",INDEX('Primary_snapshot'!$K$2:$K$120,MATCH(A14,'Primary_snapshot'!$A$2:$A$120,0))="NOT FROZEN",INDEX('Primary_snapshot'!$L$2:$L$120,MATCH(A14,'Primary_snapshot'!$A$2:$A$120,0))="NOT FROZEN"),"FREEZE SNAPSHOT",IF(NOT(OR(N14="agree",N14="agree_clarification",N14="disagree",N14="unable")),"CHECKER RESULT NEEDED",IF(AND(N14&lt;&gt;"agree",LEN(TRIM(O14))=0),"COMMENT NEEDED",IF(AND(N14="agree",NOT(AND(IF(D14="","",D14)=IF(INDEX('Primary_snapshot'!$B$2:$B$120,MATCH(A14,'Primary_snapshot'!$A$2:$A$120,0))="","",INDEX('Primary_snapshot'!$B$2:$B$120,MATCH(A14,'Primary_snapshot'!$A$2:$A$120,0))),IF(E14="","",E14)=IF(INDEX('Primary_snapshot'!$C$2:$C$120,MATCH(A14,'Primary_snapshot'!$A$2:$A$120,0))="","",INDEX('Primary_snapshot'!$C$2:$C$120,MATCH(A14,'Primary_snapshot'!$A$2:$A$120,0))),IF(AND(D14="retain",E14="statistical_results"),IF(H14="","",H14),"not_applicable")=IF(INDEX('Primary_snapshot'!$D$2:$D$120,MATCH(A14,'Primary_snapshot'!$A$2:$A$120,0))="","",INDEX('Primary_snapshot'!$D$2:$D$120,MATCH(A14,'Primary_snapshot'!$A$2:$A$120,0))),IF(AND(D14="retain",E14="statistical_results"),IF(I14="","",I14),"not_applicable")=IF(INDEX('Primary_snapshot'!$E$2:$E$120,MATCH(A14,'Primary_snapshot'!$A$2:$A$120,0))="","",INDEX('Primary_snapshot'!$E$2:$E$120,MATCH(A14,'Primary_snapshot'!$A$2:$A$120,0))),IF(AND(D14="retain",E14="statistical_results"),IF(J14="","",J14),"not_applicable")=IF(INDEX('Primary_snapshot'!$F$2:$F$120,MATCH(A14,'Primary_snapshot'!$A$2:$A$120,0))="","",INDEX('Primary_snapshot'!$F$2:$F$120,MATCH(A14,'Primary_snapshot'!$A$2:$A$120,0))),IF(AND(D14="retain",OR(E14="report_internal_inconsistency",E14="plan_material")),IF(K14="","",K14),"not_applicable")=IF(INDEX('Primary_snapshot'!$G$2:$G$120,MATCH(A14,'Primary_snapshot'!$A$2:$A$120,0))="","",INDEX('Primary_snapshot'!$G$2:$G$120,MATCH(A14,'Primary_snapshot'!$A$2:$A$120,0))),IF(AND(D14="retain",E14="protocol_report"),IF(L14="","",L14),"not_applicable")=IF(INDEX('Primary_snapshot'!$H$2:$H$120,MATCH(A14,'Primary_snapshot'!$A$2:$A$120,0))="","",INDEX('Primary_snapshot'!$H$2:$H$120,MATCH(A14,'Primary_snapshot'!$A$2:$A$120,0))),IF(R14="","",R14)=IF(INDEX('Primary_snapshot'!$I$2:$I$120,MATCH(A14,'Primary_snapshot'!$A$2:$A$120,0))="","",INDEX('Primary_snapshot'!$I$2:$I$120,MATCH(A14,'Primary_snapshot'!$A$2:$A$120,0)))))),"AGREE BUT CHANGED",IF(AND(P14&lt;&gt;"",NOT(OR(P14="pending",P14="resolved"))),"CHECK RESOLUTION",IF(OR(AND(OR(D14="discuss",INDEX('Primary_snapshot'!$B$2:$B$120,MATCH(A14,'Primary_snapshot'!$A$2:$A$120,0))="discuss",N14="disagree",N14="unable"),P14&lt;&gt;"resolved"),D14="discuss"),"DISCUSS",IF(AND(P14="resolved",LEN(TRIM(Q14))=0),"RESOLUTION NOTE NEEDED",IF(F14&lt;&gt;"checker_done","CHECKER DRAFT","FINAL READY")))))))))))))),"CHECK KEY / SNAPSHOT")</x:f>
        <x:v>CHECK REVIEWER IDs</x:v>
      </x:c>
      <x:c r="H14" s="7" t="str">
        <x:f>IF(AND(OR(D14="retain",D14=""),E14="statistical_results"),"","not_applicable")</x:f>
      </x:c>
      <x:c r="I14" s="7" t="str">
        <x:f>IF(AND(OR(D14="retain",D14=""),E14="statistical_results"),"","not_applicable")</x:f>
      </x:c>
      <x:c r="J14" s="13" t="str">
        <x:f>IF(AND(OR(D14="retain",D14=""),E14="statistical_results"),"","not_applicable")</x:f>
      </x:c>
      <x:c r="K14" s="7" t="str">
        <x:f>IF(AND(OR(D14="retain",D14=""),OR(E14="report_internal_inconsistency",E14="plan_material")),"","not_applicable")</x:f>
        <x:v>not_applicable</x:v>
      </x:c>
      <x:c r="L14" s="13" t="str">
        <x:f>IF(AND(OR(D14="retain",D14=""),E14="protocol_report"),"","not_applicable")</x:f>
        <x:v>not_applicable</x:v>
      </x:c>
      <x:c r="M14" s="6" t="str">
        <x:f>IF(Setup!$B$6="primary","",IFERROR(IF(INDEX('Primary_snapshot'!$L$2:$L$120,MATCH(A14,'Primary_snapshot'!$A$2:$A$120,0))="","",INDEX('Primary_snapshot'!$L$2:$L$120,MATCH(A14,'Primary_snapshot'!$A$2:$A$120,0))),"SNAPSHOT MISSING"))</x:f>
      </x:c>
      <x:c r="N14" s="7" t="str"/>
      <x:c r="O14" s="7" t="str"/>
      <x:c r="P14" s="7" t="str"/>
      <x:c r="Q14" s="7" t="str"/>
      <x:c r="R14" s="13" t="str"/>
    </x:row>
    <x:row r="15" ht="92" customHeight="1">
      <x:c r="A15" s="3" t="str">
        <x:v>2018::jama.2018.18020::C014</x:v>
      </x:c>
      <x:c r="B15" s="3" t="str">
        <x:v>Mean Timed Up&amp;Go placebo-period estimate lies outside its interval</x:v>
      </x:c>
      <x:c r="C15" s="3" t="str">
        <x:v>jama_stunnenberg_2018_oi_180136.pdf — PDF p. 7, Table 2 mean Timed Up&amp;Go placebo-period change.</x:v>
      </x:c>
      <x:c r="D15" s="7" t="str"/>
      <x:c r="E15" s="7" t="str">
        <x:v>statistical_results</x:v>
      </x:c>
      <x:c r="F15" s="7" t="str">
        <x:v>no</x:v>
      </x:c>
      <x:c r="G15" s="3" t="str">
        <x:f>IFERROR(IF(NOT(OR(Setup!$B$6="primary",Setup!$B$6="checker")),"CHECK STAGE",IF(OR(LEN(TRIM(Setup!$B$2))=0,Setup!$B$2&lt;&gt;TRIM(Setup!$B$2),AND(Setup!$B$6="checker",OR(LEN(TRIM(Setup!$B$4))=0,Setup!$B$4&lt;&gt;TRIM(Setup!$B$4),LOWER(TRIM(Setup!$B$4))=LOWER(TRIM(Setup!$B$2))))),"CHECK REVIEWER IDs",IF(OR(COUNTIF($A$2:$A$15,A15)&lt;&gt;1,COUNTIF(Decisions!$C$2:$C$120,A15)&lt;&gt;1),"CHECK KEY",IF(OR(AND(NOT(AND(D15="retain",E15="statistical_results")),H15&lt;&gt;"",H15&lt;&gt;"not_applicable"),AND(NOT(AND(D15="retain",E15="statistical_results")),I15&lt;&gt;"",I15&lt;&gt;"not_applicable"),AND(NOT(AND(D15="retain",E15="statistical_results")),J15&lt;&gt;"",J15&lt;&gt;"not_applicable"),AND(NOT(AND(D15="retain",OR(E15="report_internal_inconsistency",E15="plan_material"))),K15&lt;&gt;"",K15&lt;&gt;"not_applicable"),AND(NOT(AND(D15="retain",E15="protocol_report")),L15&lt;&gt;"",L15&lt;&gt;"not_applicable")),"CLEAR INACTIVE VALUES",IF(OR(NOT(OR(D15="retain",D15="exclude",D15="discuss")),NOT(OR(E15="statistical_results",E15="report_internal_inconsistency",E15="plan_material",E15="protocol_report")),AND(AND(D15="retain",E15="statistical_results"),NOT(OR(H15="confirmed_issue",H15="probable_issue",H15="not_issue",H15="indeterminate"))),AND(AND(D15="retain",E15="statistical_results"),NOT(OR(I15="substantive",I15="minor_presentation",I15="indeterminate"))),AND(AND(D15="retain",E15="statistical_results"),J15&lt;&gt;"",NOT(OR(J15="direct",J15="possible",J15="unlikely",J15="unknown"))),AND(AND(D15="retain",OR(E15="report_internal_inconsistency",E15="plan_material")),NOT(OR(K15="substantive_inconsistency",K15="minor_presentation",K15="non_inconsistency",K15="indeterminate"))),AND(AND(D15="retain",E15="protocol_report"),L15&lt;&gt;"",NOT(OR(L15="substantive_difference",L15="minor_presentation",L15="version_timing",L15="non_inconsistency",L15="indeterminate")))),"CHECK FIELDS",IF(Setup!$B$6="primary",IF(OR(N15&lt;&gt;"",O15&lt;&gt;"",P15&lt;&gt;"",Q15&lt;&gt;""),"CLEAR CHECKER FIELDS",IF(OR(Setup!$B$4&lt;&gt;"",Setup!$B$5&lt;&gt;""),"CLEAR CHECKER ID",IF(F15&lt;&gt;"primary_done","PRIMARY DRAFT","PRIMARY READY"))),IF(OR(COUNTIF(Primary_snapshot!$A$2:$A$120,A15)&lt;&gt;1,INDEX('Primary_snapshot'!$J$2:$J$120,MATCH(A15,'Primary_snapshot'!$A$2:$A$120,0))&lt;&gt;"primary_done",INDEX('Primary_snapshot'!$K$2:$K$120,MATCH(A15,'Primary_snapshot'!$A$2:$A$120,0))&lt;&gt;Setup!$B$2,INDEX('Primary_snapshot'!$B$2:$B$120,MATCH(A15,'Primary_snapshot'!$A$2:$A$120,0))="NOT FROZEN",INDEX('Primary_snapshot'!$C$2:$C$120,MATCH(A15,'Primary_snapshot'!$A$2:$A$120,0))="NOT FROZEN",INDEX('Primary_snapshot'!$D$2:$D$120,MATCH(A15,'Primary_snapshot'!$A$2:$A$120,0))="NOT FROZEN",INDEX('Primary_snapshot'!$E$2:$E$120,MATCH(A15,'Primary_snapshot'!$A$2:$A$120,0))="NOT FROZEN",INDEX('Primary_snapshot'!$F$2:$F$120,MATCH(A15,'Primary_snapshot'!$A$2:$A$120,0))="NOT FROZEN",INDEX('Primary_snapshot'!$G$2:$G$120,MATCH(A15,'Primary_snapshot'!$A$2:$A$120,0))="NOT FROZEN",INDEX('Primary_snapshot'!$H$2:$H$120,MATCH(A15,'Primary_snapshot'!$A$2:$A$120,0))="NOT FROZEN",INDEX('Primary_snapshot'!$I$2:$I$120,MATCH(A15,'Primary_snapshot'!$A$2:$A$120,0))="NOT FROZEN",INDEX('Primary_snapshot'!$J$2:$J$120,MATCH(A15,'Primary_snapshot'!$A$2:$A$120,0))="NOT FROZEN",INDEX('Primary_snapshot'!$K$2:$K$120,MATCH(A15,'Primary_snapshot'!$A$2:$A$120,0))="NOT FROZEN",INDEX('Primary_snapshot'!$L$2:$L$120,MATCH(A15,'Primary_snapshot'!$A$2:$A$120,0))="NOT FROZEN"),"FREEZE SNAPSHOT",IF(NOT(OR(N15="agree",N15="agree_clarification",N15="disagree",N15="unable")),"CHECKER RESULT NEEDED",IF(AND(N15&lt;&gt;"agree",LEN(TRIM(O15))=0),"COMMENT NEEDED",IF(AND(N15="agree",NOT(AND(IF(D15="","",D15)=IF(INDEX('Primary_snapshot'!$B$2:$B$120,MATCH(A15,'Primary_snapshot'!$A$2:$A$120,0))="","",INDEX('Primary_snapshot'!$B$2:$B$120,MATCH(A15,'Primary_snapshot'!$A$2:$A$120,0))),IF(E15="","",E15)=IF(INDEX('Primary_snapshot'!$C$2:$C$120,MATCH(A15,'Primary_snapshot'!$A$2:$A$120,0))="","",INDEX('Primary_snapshot'!$C$2:$C$120,MATCH(A15,'Primary_snapshot'!$A$2:$A$120,0))),IF(AND(D15="retain",E15="statistical_results"),IF(H15="","",H15),"not_applicable")=IF(INDEX('Primary_snapshot'!$D$2:$D$120,MATCH(A15,'Primary_snapshot'!$A$2:$A$120,0))="","",INDEX('Primary_snapshot'!$D$2:$D$120,MATCH(A15,'Primary_snapshot'!$A$2:$A$120,0))),IF(AND(D15="retain",E15="statistical_results"),IF(I15="","",I15),"not_applicable")=IF(INDEX('Primary_snapshot'!$E$2:$E$120,MATCH(A15,'Primary_snapshot'!$A$2:$A$120,0))="","",INDEX('Primary_snapshot'!$E$2:$E$120,MATCH(A15,'Primary_snapshot'!$A$2:$A$120,0))),IF(AND(D15="retain",E15="statistical_results"),IF(J15="","",J15),"not_applicable")=IF(INDEX('Primary_snapshot'!$F$2:$F$120,MATCH(A15,'Primary_snapshot'!$A$2:$A$120,0))="","",INDEX('Primary_snapshot'!$F$2:$F$120,MATCH(A15,'Primary_snapshot'!$A$2:$A$120,0))),IF(AND(D15="retain",OR(E15="report_internal_inconsistency",E15="plan_material")),IF(K15="","",K15),"not_applicable")=IF(INDEX('Primary_snapshot'!$G$2:$G$120,MATCH(A15,'Primary_snapshot'!$A$2:$A$120,0))="","",INDEX('Primary_snapshot'!$G$2:$G$120,MATCH(A15,'Primary_snapshot'!$A$2:$A$120,0))),IF(AND(D15="retain",E15="protocol_report"),IF(L15="","",L15),"not_applicable")=IF(INDEX('Primary_snapshot'!$H$2:$H$120,MATCH(A15,'Primary_snapshot'!$A$2:$A$120,0))="","",INDEX('Primary_snapshot'!$H$2:$H$120,MATCH(A15,'Primary_snapshot'!$A$2:$A$120,0))),IF(R15="","",R15)=IF(INDEX('Primary_snapshot'!$I$2:$I$120,MATCH(A15,'Primary_snapshot'!$A$2:$A$120,0))="","",INDEX('Primary_snapshot'!$I$2:$I$120,MATCH(A15,'Primary_snapshot'!$A$2:$A$120,0)))))),"AGREE BUT CHANGED",IF(AND(P15&lt;&gt;"",NOT(OR(P15="pending",P15="resolved"))),"CHECK RESOLUTION",IF(OR(AND(OR(D15="discuss",INDEX('Primary_snapshot'!$B$2:$B$120,MATCH(A15,'Primary_snapshot'!$A$2:$A$120,0))="discuss",N15="disagree",N15="unable"),P15&lt;&gt;"resolved"),D15="discuss"),"DISCUSS",IF(AND(P15="resolved",LEN(TRIM(Q15))=0),"RESOLUTION NOTE NEEDED",IF(F15&lt;&gt;"checker_done","CHECKER DRAFT","FINAL READY")))))))))))))),"CHECK KEY / SNAPSHOT")</x:f>
        <x:v>CHECK REVIEWER IDs</x:v>
      </x:c>
      <x:c r="H15" s="7" t="str">
        <x:f>IF(AND(OR(D15="retain",D15=""),E15="statistical_results"),"","not_applicable")</x:f>
      </x:c>
      <x:c r="I15" s="7" t="str">
        <x:f>IF(AND(OR(D15="retain",D15=""),E15="statistical_results"),"","not_applicable")</x:f>
      </x:c>
      <x:c r="J15" s="13" t="str">
        <x:f>IF(AND(OR(D15="retain",D15=""),E15="statistical_results"),"","not_applicable")</x:f>
      </x:c>
      <x:c r="K15" s="7" t="str">
        <x:f>IF(AND(OR(D15="retain",D15=""),OR(E15="report_internal_inconsistency",E15="plan_material")),"","not_applicable")</x:f>
        <x:v>not_applicable</x:v>
      </x:c>
      <x:c r="L15" s="13" t="str">
        <x:f>IF(AND(OR(D15="retain",D15=""),E15="protocol_report"),"","not_applicable")</x:f>
        <x:v>not_applicable</x:v>
      </x:c>
      <x:c r="M15" s="3" t="str">
        <x:f>IF(Setup!$B$6="primary","",IFERROR(IF(INDEX('Primary_snapshot'!$L$2:$L$120,MATCH(A15,'Primary_snapshot'!$A$2:$A$120,0))="","",INDEX('Primary_snapshot'!$L$2:$L$120,MATCH(A15,'Primary_snapshot'!$A$2:$A$120,0))),"SNAPSHOT MISSING"))</x:f>
      </x:c>
      <x:c r="N15" s="7" t="str"/>
      <x:c r="O15" s="7" t="str"/>
      <x:c r="P15" s="7" t="str"/>
      <x:c r="Q15" s="7" t="str"/>
      <x:c r="R15" s="13" t="str"/>
    </x:row>
  </x:sheetData>
  <x:conditionalFormatting sqref="G2:G15">
    <x:cfRule type="expression" dxfId="42" priority="1">
      <x:formula>AND(G2&lt;&gt;"PRIMARY READY",G2&lt;&gt;"FINAL READY")</x:formula>
    </x:cfRule>
  </x:conditionalFormatting>
  <x:conditionalFormatting sqref="N2:Q15">
    <x:cfRule type="expression" dxfId="43" priority="2">
      <x:formula>Setup!$B$6="primary"</x:formula>
    </x:cfRule>
  </x:conditionalFormatting>
  <x:conditionalFormatting sqref="H2:H15">
    <x:cfRule type="expression" dxfId="44" priority="3">
      <x:formula>NOT(AND(OR($D2="retain",$D2=""),$E2="statistical_results"))</x:formula>
    </x:cfRule>
  </x:conditionalFormatting>
  <x:conditionalFormatting sqref="I2:I15">
    <x:cfRule type="expression" dxfId="45" priority="4">
      <x:formula>NOT(AND(OR($D2="retain",$D2=""),$E2="statistical_results"))</x:formula>
    </x:cfRule>
  </x:conditionalFormatting>
  <x:conditionalFormatting sqref="J2:J15">
    <x:cfRule type="expression" dxfId="46" priority="5">
      <x:formula>NOT(AND(OR($D2="retain",$D2=""),$E2="statistical_results"))</x:formula>
    </x:cfRule>
  </x:conditionalFormatting>
  <x:conditionalFormatting sqref="K2:K15">
    <x:cfRule type="expression" dxfId="47" priority="6">
      <x:formula>NOT(AND(OR($D2="retain",$D2=""),OR($E2="report_internal_inconsistency",$E2="plan_material")))</x:formula>
    </x:cfRule>
  </x:conditionalFormatting>
  <x:conditionalFormatting sqref="L2:L15">
    <x:cfRule type="expression" dxfId="48" priority="7">
      <x:formula>NOT(AND(OR($D2="retain",$D2=""),$E2="protocol_report"))</x:formula>
    </x:cfRule>
  </x:conditionalFormatting>
  <x:dataValidations count="10">
    <x:dataValidation type="list" sqref="D2:D15">
      <x:formula1>"retain,exclude,discuss"</x:formula1>
    </x:dataValidation>
    <x:dataValidation type="list" sqref="E2:E15">
      <x:formula1>"statistical_results,report_internal_inconsistency,plan_material,protocol_report"</x:formula1>
    </x:dataValidation>
    <x:dataValidation type="list" sqref="F2:F15">
      <x:formula1>"no,primary_done,checker_done"</x:formula1>
    </x:dataValidation>
    <x:dataValidation type="list" sqref="H2:H15">
      <x:formula1>"confirmed_issue,probable_issue,not_issue,indeterminate,not_applicable"</x:formula1>
    </x:dataValidation>
    <x:dataValidation type="list" sqref="I2:I15">
      <x:formula1>"substantive,minor_presentation,indeterminate,not_applicable"</x:formula1>
    </x:dataValidation>
    <x:dataValidation type="list" sqref="J2:J15">
      <x:formula1>"direct,possible,unlikely,unknown,not_applicable"</x:formula1>
    </x:dataValidation>
    <x:dataValidation type="list" sqref="K2:K15">
      <x:formula1>"substantive_inconsistency,minor_presentation,non_inconsistency,indeterminate,not_applicable"</x:formula1>
    </x:dataValidation>
    <x:dataValidation type="list" sqref="L2:L15">
      <x:formula1>"substantive_difference,minor_presentation,version_timing,non_inconsistency,indeterminate,not_applicable"</x:formula1>
    </x:dataValidation>
    <x:dataValidation type="list" sqref="N2:N15">
      <x:formula1>"agree,agree_clarification,disagree,unable"</x:formula1>
    </x:dataValidation>
    <x:dataValidation type="list" sqref="P2:P15">
      <x:formula1>"pending,resolved"</x:formula1>
    </x:dataValidation>
  </x:dataValidations>
  <x:pageMargins left="0.7" right="0.7" top="0.75" bottom="0.75" header="0.3" footer="0.3"/>
  <x:tableParts count="1">
    <x:tablePart xmlns:r="http://schemas.openxmlformats.org/officeDocument/2006/relationships" r:id="Rb4b7abc3daf24326"/>
  </x:tableParts>
</x:worksheet>
</file>

<file path=xl/worksheets/sheet12.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28" hidden="0" customWidth="1"/>
    <x:col min="3" max="3" width="22" hidden="0" customWidth="1"/>
    <x:col min="4" max="4" width="18" hidden="0" customWidth="1"/>
    <x:col min="5" max="5" width="24" hidden="0" customWidth="1"/>
    <x:col min="6" max="6" width="17" hidden="0" customWidth="1"/>
    <x:col min="7" max="7" width="25" hidden="0" customWidth="1"/>
    <x:col min="8" max="8" width="28" hidden="0" customWidth="1"/>
    <x:col min="9" max="9" width="20" hidden="0" customWidth="1"/>
    <x:col min="10" max="10" width="20" hidden="0" customWidth="1"/>
    <x:col min="11" max="11" width="34" hidden="0" customWidth="1"/>
    <x:col min="12" max="12" width="26" hidden="0" customWidth="1"/>
    <x:col min="13" max="13" width="58" hidden="0" customWidth="1"/>
    <x:col min="14" max="14" width="23" hidden="0" customWidth="1"/>
    <x:col min="15" max="15" width="32" hidden="0" customWidth="1"/>
    <x:col min="16" max="16" width="22" hidden="0" customWidth="1"/>
    <x:col min="17" max="17" width="32" hidden="0" customWidth="1"/>
    <x:col min="18" max="18" width="32" hidden="0" customWidth="1"/>
  </x:cols>
  <x:sheetData>
    <x:row r="1" ht="42" customHeight="1">
      <x:c r="A1" s="5" t="str">
        <x:v>Candidate key</x:v>
      </x:c>
      <x:c r="B1" s="5" t="str">
        <x:v>Candidate title</x:v>
      </x:c>
      <x:c r="C1" s="5" t="str">
        <x:v>Source location</x:v>
      </x:c>
      <x:c r="D1" s="5" t="str">
        <x:v>Disposition</x:v>
      </x:c>
      <x:c r="E1" s="5" t="str">
        <x:v>Review domain</x:v>
      </x:c>
      <x:c r="F1" s="5" t="str">
        <x:v>Complete</x:v>
      </x:c>
      <x:c r="G1" s="5" t="str">
        <x:v>Validation hint</x:v>
      </x:c>
      <x:c r="H1" s="5" t="str">
        <x:v>Statistcal_or_numerical issue</x:v>
      </x:c>
      <x:c r="I1" s="5" t="str">
        <x:v>Substantiveness</x:v>
      </x:c>
      <x:c r="J1" s="5" t="str">
        <x:v>Downstream impact</x:v>
      </x:c>
      <x:c r="K1" s="5" t="str">
        <x:v>Report-internal or planning-material inconsistency</x:v>
      </x:c>
      <x:c r="L1" s="5" t="str">
        <x:v>Protocol interpretation</x:v>
      </x:c>
      <x:c r="M1" s="5" t="str">
        <x:v>Primary assessment</x:v>
      </x:c>
      <x:c r="N1" s="5" t="str">
        <x:v>Checker result</x:v>
      </x:c>
      <x:c r="O1" s="5" t="str">
        <x:v>Checker comment</x:v>
      </x:c>
      <x:c r="P1" s="5" t="str">
        <x:v>Discussion resolution</x:v>
      </x:c>
      <x:c r="Q1" s="5" t="str">
        <x:v>Resolution note</x:v>
      </x:c>
      <x:c r="R1" s="5" t="str">
        <x:v>Notes (optional)</x:v>
      </x:c>
    </x:row>
    <x:row r="2" ht="92" customHeight="1">
      <x:c r="A2" s="6" t="str">
        <x:v>2018::jama.2018.6496::C001</x:v>
      </x:c>
      <x:c r="B2" s="6" t="str">
        <x:v>Reverse-ordered confidence-interval endpoints for all-patient first-attempt duration</x:v>
      </x:c>
      <x:c r="C2" s="6" t="str">
        <x:v>DOC-001 Table 3 — PDF p. 7; DOC-003 eTable 1 — PDF p. 2; DOC-003 eTable 1 note — PDF p. 3; DOC-001 statistical-analysis methods — PDF p. 4.</x:v>
      </x:c>
      <x:c r="D2" s="7" t="str"/>
      <x:c r="E2" s="7" t="str">
        <x:v>statistical_results</x:v>
      </x:c>
      <x:c r="F2" s="7" t="str">
        <x:v>no</x:v>
      </x:c>
      <x:c r="G2" s="6" t="str">
        <x:f>IFERROR(IF(NOT(OR(Setup!$B$6="primary",Setup!$B$6="checker")),"CHECK STAGE",IF(OR(LEN(TRIM(Setup!$B$2))=0,Setup!$B$2&lt;&gt;TRIM(Setup!$B$2),AND(Setup!$B$6="checker",OR(LEN(TRIM(Setup!$B$4))=0,Setup!$B$4&lt;&gt;TRIM(Setup!$B$4),LOWER(TRIM(Setup!$B$4))=LOWER(TRIM(Setup!$B$2))))),"CHECK REVIEWER IDs",IF(OR(COUNTIF($A$2:$A$5,A2)&lt;&gt;1,COUNTIF(Decisions!$C$2:$C$120,A2)&lt;&gt;1),"CHECK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FIELDS",IF(Setup!$B$6="primary",IF(OR(N2&lt;&gt;"",O2&lt;&gt;"",P2&lt;&gt;"",Q2&lt;&gt;""),"CLEAR CHECKER FIELDS",IF(OR(Setup!$B$4&lt;&gt;"",Setup!$B$5&lt;&gt;""),"CLEAR CHECKER ID",IF(F2&lt;&gt;"primary_done","PRIMARY DRAFT","PRIMARY READY"))),IF(OR(COUNTIF(Primary_snapshot!$A$2:$A$120,A2)&lt;&gt;1,INDEX('Primary_snapshot'!$J$2:$J$120,MATCH(A2,'Primary_snapshot'!$A$2:$A$120,0))&lt;&gt;"primary_done",INDEX('Primary_snapshot'!$K$2:$K$120,MATCH(A2,'Primary_snapshot'!$A$2:$A$120,0))&lt;&gt;Setup!$B$2,INDEX('Primary_snapshot'!$B$2:$B$120,MATCH(A2,'Primary_snapshot'!$A$2:$A$120,0))="NOT FROZEN",INDEX('Primary_snapshot'!$C$2:$C$120,MATCH(A2,'Primary_snapshot'!$A$2:$A$120,0))="NOT FROZEN",INDEX('Primary_snapshot'!$D$2:$D$120,MATCH(A2,'Primary_snapshot'!$A$2:$A$120,0))="NOT FROZEN",INDEX('Primary_snapshot'!$E$2:$E$120,MATCH(A2,'Primary_snapshot'!$A$2:$A$120,0))="NOT FROZEN",INDEX('Primary_snapshot'!$F$2:$F$120,MATCH(A2,'Primary_snapshot'!$A$2:$A$120,0))="NOT FROZEN",INDEX('Primary_snapshot'!$G$2:$G$120,MATCH(A2,'Primary_snapshot'!$A$2:$A$120,0))="NOT FROZEN",INDEX('Primary_snapshot'!$H$2:$H$120,MATCH(A2,'Primary_snapshot'!$A$2:$A$120,0))="NOT FROZEN",INDEX('Primary_snapshot'!$I$2:$I$120,MATCH(A2,'Primary_snapshot'!$A$2:$A$120,0))="NOT FROZEN",INDEX('Primary_snapshot'!$J$2:$J$120,MATCH(A2,'Primary_snapshot'!$A$2:$A$120,0))="NOT FROZEN",INDEX('Primary_snapshot'!$K$2:$K$120,MATCH(A2,'Primary_snapshot'!$A$2:$A$120,0))="NOT FROZEN",INDEX('Primary_snapshot'!$L$2:$L$120,MATCH(A2,'Primary_snapshot'!$A$2:$A$120,0))="NOT FROZEN"),"FREEZE SNAPSHOT",IF(NOT(OR(N2="agree",N2="agree_clarification",N2="disagree",N2="unable")),"CHECKER RESULT NEEDED",IF(AND(N2&lt;&gt;"agree",LEN(TRIM(O2))=0),"COMMENT NEEDED",IF(AND(N2="agree",NOT(AND(IF(D2="","",D2)=IF(INDEX('Primary_snapshot'!$B$2:$B$120,MATCH(A2,'Primary_snapshot'!$A$2:$A$120,0))="","",INDEX('Primary_snapshot'!$B$2:$B$120,MATCH(A2,'Primary_snapshot'!$A$2:$A$120,0))),IF(E2="","",E2)=IF(INDEX('Primary_snapshot'!$C$2:$C$120,MATCH(A2,'Primary_snapshot'!$A$2:$A$120,0))="","",INDEX('Primary_snapshot'!$C$2:$C$120,MATCH(A2,'Primary_snapshot'!$A$2:$A$120,0))),IF(AND(D2="retain",E2="statistical_results"),IF(H2="","",H2),"not_applicable")=IF(INDEX('Primary_snapshot'!$D$2:$D$120,MATCH(A2,'Primary_snapshot'!$A$2:$A$120,0))="","",INDEX('Primary_snapshot'!$D$2:$D$120,MATCH(A2,'Primary_snapshot'!$A$2:$A$120,0))),IF(AND(D2="retain",E2="statistical_results"),IF(I2="","",I2),"not_applicable")=IF(INDEX('Primary_snapshot'!$E$2:$E$120,MATCH(A2,'Primary_snapshot'!$A$2:$A$120,0))="","",INDEX('Primary_snapshot'!$E$2:$E$120,MATCH(A2,'Primary_snapshot'!$A$2:$A$120,0))),IF(AND(D2="retain",E2="statistical_results"),IF(J2="","",J2),"not_applicable")=IF(INDEX('Primary_snapshot'!$F$2:$F$120,MATCH(A2,'Primary_snapshot'!$A$2:$A$120,0))="","",INDEX('Primary_snapshot'!$F$2:$F$120,MATCH(A2,'Primary_snapshot'!$A$2:$A$120,0))),IF(AND(D2="retain",OR(E2="report_internal_inconsistency",E2="plan_material")),IF(K2="","",K2),"not_applicable")=IF(INDEX('Primary_snapshot'!$G$2:$G$120,MATCH(A2,'Primary_snapshot'!$A$2:$A$120,0))="","",INDEX('Primary_snapshot'!$G$2:$G$120,MATCH(A2,'Primary_snapshot'!$A$2:$A$120,0))),IF(AND(D2="retain",E2="protocol_report"),IF(L2="","",L2),"not_applicable")=IF(INDEX('Primary_snapshot'!$H$2:$H$120,MATCH(A2,'Primary_snapshot'!$A$2:$A$120,0))="","",INDEX('Primary_snapshot'!$H$2:$H$120,MATCH(A2,'Primary_snapshot'!$A$2:$A$120,0))),IF(R2="","",R2)=IF(INDEX('Primary_snapshot'!$I$2:$I$120,MATCH(A2,'Primary_snapshot'!$A$2:$A$120,0))="","",INDEX('Primary_snapshot'!$I$2:$I$120,MATCH(A2,'Primary_snapshot'!$A$2:$A$120,0)))))),"AGREE BUT CHANGED",IF(AND(P2&lt;&gt;"",NOT(OR(P2="pending",P2="resolved"))),"CHECK RESOLUTION",IF(OR(AND(OR(D2="discuss",INDEX('Primary_snapshot'!$B$2:$B$120,MATCH(A2,'Primary_snapshot'!$A$2:$A$120,0))="discuss",N2="disagree",N2="unable"),P2&lt;&gt;"resolved"),D2="discuss"),"DISCUSS",IF(AND(P2="resolved",LEN(TRIM(Q2))=0),"RESOLUTION NOTE NEEDED",IF(F2&lt;&gt;"checker_done","CHECKER DRAFT","FINAL READY")))))))))))))),"CHECK KEY / SNAPSHOT")</x:f>
        <x:v>CHECK REVIEWER IDs</x:v>
      </x:c>
      <x:c r="H2" s="7" t="str">
        <x:f>IF(AND(OR(D2="retain",D2=""),E2="statistical_results"),"","not_applicable")</x:f>
      </x:c>
      <x:c r="I2" s="7" t="str">
        <x:f>IF(AND(OR(D2="retain",D2=""),E2="statistical_results"),"","not_applicable")</x:f>
      </x:c>
      <x:c r="J2" s="13" t="str">
        <x:f>IF(AND(OR(D2="retain",D2=""),E2="statistical_results"),"","not_applicable")</x:f>
      </x:c>
      <x:c r="K2" s="7" t="str">
        <x:f>IF(AND(OR(D2="retain",D2=""),OR(E2="report_internal_inconsistency",E2="plan_material")),"","not_applicable")</x:f>
        <x:v>not_applicable</x:v>
      </x:c>
      <x:c r="L2" s="13" t="str">
        <x:f>IF(AND(OR(D2="retain",D2=""),E2="protocol_report"),"","not_applicable")</x:f>
        <x:v>not_applicable</x:v>
      </x:c>
      <x:c r="M2" s="6" t="str">
        <x:f>IF(Setup!$B$6="primary","",IFERROR(IF(INDEX('Primary_snapshot'!$L$2:$L$120,MATCH(A2,'Primary_snapshot'!$A$2:$A$120,0))="","",INDEX('Primary_snapshot'!$L$2:$L$120,MATCH(A2,'Primary_snapshot'!$A$2:$A$120,0))),"SNAPSHOT MISSING"))</x:f>
      </x:c>
      <x:c r="N2" s="7" t="str"/>
      <x:c r="O2" s="7" t="str"/>
      <x:c r="P2" s="7" t="str"/>
      <x:c r="Q2" s="7" t="str"/>
      <x:c r="R2" s="13" t="str"/>
    </x:row>
    <x:row r="3" ht="92" customHeight="1">
      <x:c r="A3" s="3" t="str">
        <x:v>2018::jama.2018.6496::C002</x:v>
      </x:c>
      <x:c r="B3" s="3" t="str">
        <x:v>Two-patient ETT+stylet denominator difference across linked hypoxemia outcomes</x:v>
      </x:c>
      <x:c r="C3" s="3" t="str">
        <x:v>DOC-001 Table 3 — PDF p. 7; DOC-001 Table 5 — PDF p. 9; DOC-002 protocol secondary outcomes — PDF p. 9; DOC-002 analytic issues — PDF p. 21.</x:v>
      </x:c>
      <x:c r="D3" s="7" t="str"/>
      <x:c r="E3" s="7" t="str">
        <x:v>statistical_results</x:v>
      </x:c>
      <x:c r="F3" s="7" t="str">
        <x:v>no</x:v>
      </x:c>
      <x:c r="G3" s="3" t="str">
        <x:f>IFERROR(IF(NOT(OR(Setup!$B$6="primary",Setup!$B$6="checker")),"CHECK STAGE",IF(OR(LEN(TRIM(Setup!$B$2))=0,Setup!$B$2&lt;&gt;TRIM(Setup!$B$2),AND(Setup!$B$6="checker",OR(LEN(TRIM(Setup!$B$4))=0,Setup!$B$4&lt;&gt;TRIM(Setup!$B$4),LOWER(TRIM(Setup!$B$4))=LOWER(TRIM(Setup!$B$2))))),"CHECK REVIEWER IDs",IF(OR(COUNTIF($A$2:$A$5,A3)&lt;&gt;1,COUNTIF(Decisions!$C$2:$C$120,A3)&lt;&gt;1),"CHECK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FIELDS",IF(Setup!$B$6="primary",IF(OR(N3&lt;&gt;"",O3&lt;&gt;"",P3&lt;&gt;"",Q3&lt;&gt;""),"CLEAR CHECKER FIELDS",IF(OR(Setup!$B$4&lt;&gt;"",Setup!$B$5&lt;&gt;""),"CLEAR CHECKER ID",IF(F3&lt;&gt;"primary_done","PRIMARY DRAFT","PRIMARY READY"))),IF(OR(COUNTIF(Primary_snapshot!$A$2:$A$120,A3)&lt;&gt;1,INDEX('Primary_snapshot'!$J$2:$J$120,MATCH(A3,'Primary_snapshot'!$A$2:$A$120,0))&lt;&gt;"primary_done",INDEX('Primary_snapshot'!$K$2:$K$120,MATCH(A3,'Primary_snapshot'!$A$2:$A$120,0))&lt;&gt;Setup!$B$2,INDEX('Primary_snapshot'!$B$2:$B$120,MATCH(A3,'Primary_snapshot'!$A$2:$A$120,0))="NOT FROZEN",INDEX('Primary_snapshot'!$C$2:$C$120,MATCH(A3,'Primary_snapshot'!$A$2:$A$120,0))="NOT FROZEN",INDEX('Primary_snapshot'!$D$2:$D$120,MATCH(A3,'Primary_snapshot'!$A$2:$A$120,0))="NOT FROZEN",INDEX('Primary_snapshot'!$E$2:$E$120,MATCH(A3,'Primary_snapshot'!$A$2:$A$120,0))="NOT FROZEN",INDEX('Primary_snapshot'!$F$2:$F$120,MATCH(A3,'Primary_snapshot'!$A$2:$A$120,0))="NOT FROZEN",INDEX('Primary_snapshot'!$G$2:$G$120,MATCH(A3,'Primary_snapshot'!$A$2:$A$120,0))="NOT FROZEN",INDEX('Primary_snapshot'!$H$2:$H$120,MATCH(A3,'Primary_snapshot'!$A$2:$A$120,0))="NOT FROZEN",INDEX('Primary_snapshot'!$I$2:$I$120,MATCH(A3,'Primary_snapshot'!$A$2:$A$120,0))="NOT FROZEN",INDEX('Primary_snapshot'!$J$2:$J$120,MATCH(A3,'Primary_snapshot'!$A$2:$A$120,0))="NOT FROZEN",INDEX('Primary_snapshot'!$K$2:$K$120,MATCH(A3,'Primary_snapshot'!$A$2:$A$120,0))="NOT FROZEN",INDEX('Primary_snapshot'!$L$2:$L$120,MATCH(A3,'Primary_snapshot'!$A$2:$A$120,0))="NOT FROZEN"),"FREEZE SNAPSHOT",IF(NOT(OR(N3="agree",N3="agree_clarification",N3="disagree",N3="unable")),"CHECKER RESULT NEEDED",IF(AND(N3&lt;&gt;"agree",LEN(TRIM(O3))=0),"COMMENT NEEDED",IF(AND(N3="agree",NOT(AND(IF(D3="","",D3)=IF(INDEX('Primary_snapshot'!$B$2:$B$120,MATCH(A3,'Primary_snapshot'!$A$2:$A$120,0))="","",INDEX('Primary_snapshot'!$B$2:$B$120,MATCH(A3,'Primary_snapshot'!$A$2:$A$120,0))),IF(E3="","",E3)=IF(INDEX('Primary_snapshot'!$C$2:$C$120,MATCH(A3,'Primary_snapshot'!$A$2:$A$120,0))="","",INDEX('Primary_snapshot'!$C$2:$C$120,MATCH(A3,'Primary_snapshot'!$A$2:$A$120,0))),IF(AND(D3="retain",E3="statistical_results"),IF(H3="","",H3),"not_applicable")=IF(INDEX('Primary_snapshot'!$D$2:$D$120,MATCH(A3,'Primary_snapshot'!$A$2:$A$120,0))="","",INDEX('Primary_snapshot'!$D$2:$D$120,MATCH(A3,'Primary_snapshot'!$A$2:$A$120,0))),IF(AND(D3="retain",E3="statistical_results"),IF(I3="","",I3),"not_applicable")=IF(INDEX('Primary_snapshot'!$E$2:$E$120,MATCH(A3,'Primary_snapshot'!$A$2:$A$120,0))="","",INDEX('Primary_snapshot'!$E$2:$E$120,MATCH(A3,'Primary_snapshot'!$A$2:$A$120,0))),IF(AND(D3="retain",E3="statistical_results"),IF(J3="","",J3),"not_applicable")=IF(INDEX('Primary_snapshot'!$F$2:$F$120,MATCH(A3,'Primary_snapshot'!$A$2:$A$120,0))="","",INDEX('Primary_snapshot'!$F$2:$F$120,MATCH(A3,'Primary_snapshot'!$A$2:$A$120,0))),IF(AND(D3="retain",OR(E3="report_internal_inconsistency",E3="plan_material")),IF(K3="","",K3),"not_applicable")=IF(INDEX('Primary_snapshot'!$G$2:$G$120,MATCH(A3,'Primary_snapshot'!$A$2:$A$120,0))="","",INDEX('Primary_snapshot'!$G$2:$G$120,MATCH(A3,'Primary_snapshot'!$A$2:$A$120,0))),IF(AND(D3="retain",E3="protocol_report"),IF(L3="","",L3),"not_applicable")=IF(INDEX('Primary_snapshot'!$H$2:$H$120,MATCH(A3,'Primary_snapshot'!$A$2:$A$120,0))="","",INDEX('Primary_snapshot'!$H$2:$H$120,MATCH(A3,'Primary_snapshot'!$A$2:$A$120,0))),IF(R3="","",R3)=IF(INDEX('Primary_snapshot'!$I$2:$I$120,MATCH(A3,'Primary_snapshot'!$A$2:$A$120,0))="","",INDEX('Primary_snapshot'!$I$2:$I$120,MATCH(A3,'Primary_snapshot'!$A$2:$A$120,0)))))),"AGREE BUT CHANGED",IF(AND(P3&lt;&gt;"",NOT(OR(P3="pending",P3="resolved"))),"CHECK RESOLUTION",IF(OR(AND(OR(D3="discuss",INDEX('Primary_snapshot'!$B$2:$B$120,MATCH(A3,'Primary_snapshot'!$A$2:$A$120,0))="discuss",N3="disagree",N3="unable"),P3&lt;&gt;"resolved"),D3="discuss"),"DISCUSS",IF(AND(P3="resolved",LEN(TRIM(Q3))=0),"RESOLUTION NOTE NEEDED",IF(F3&lt;&gt;"checker_done","CHECKER DRAFT","FINAL READY")))))))))))))),"CHECK KEY / SNAPSHOT")</x:f>
        <x:v>CHECK REVIEWER IDs</x:v>
      </x:c>
      <x:c r="H3" s="7" t="str">
        <x:f>IF(AND(OR(D3="retain",D3=""),E3="statistical_results"),"","not_applicable")</x:f>
      </x:c>
      <x:c r="I3" s="7" t="str">
        <x:f>IF(AND(OR(D3="retain",D3=""),E3="statistical_results"),"","not_applicable")</x:f>
      </x:c>
      <x:c r="J3" s="13" t="str">
        <x:f>IF(AND(OR(D3="retain",D3=""),E3="statistical_results"),"","not_applicable")</x:f>
      </x:c>
      <x:c r="K3" s="7" t="str">
        <x:f>IF(AND(OR(D3="retain",D3=""),OR(E3="report_internal_inconsistency",E3="plan_material")),"","not_applicable")</x:f>
        <x:v>not_applicable</x:v>
      </x:c>
      <x:c r="L3" s="13" t="str">
        <x:f>IF(AND(OR(D3="retain",D3=""),E3="protocol_report"),"","not_applicable")</x:f>
        <x:v>not_applicable</x:v>
      </x:c>
      <x:c r="M3" s="3" t="str">
        <x:f>IF(Setup!$B$6="primary","",IFERROR(IF(INDEX('Primary_snapshot'!$L$2:$L$120,MATCH(A3,'Primary_snapshot'!$A$2:$A$120,0))="","",INDEX('Primary_snapshot'!$L$2:$L$120,MATCH(A3,'Primary_snapshot'!$A$2:$A$120,0))),"SNAPSHOT MISSING"))</x:f>
      </x:c>
      <x:c r="N3" s="7" t="str"/>
      <x:c r="O3" s="7" t="str"/>
      <x:c r="P3" s="7" t="str"/>
      <x:c r="Q3" s="7" t="str"/>
      <x:c r="R3" s="13" t="str"/>
    </x:row>
    <x:row r="4" ht="92" customHeight="1">
      <x:c r="A4" s="6" t="str">
        <x:v>2018::jama.2018.6496::C003</x:v>
      </x:c>
      <x:c r="B4" s="6" t="str">
        <x:v>Protocol and published hypoxemia observation windows use different endpoint events</x:v>
      </x:c>
      <x:c r="C4" s="6" t="str">
        <x:v>DOC-002 protocol secondary outcomes — PDF p. 9; DOC-002 protocol measurement procedure — PDF p. 10; DOC-001 Table 3 — PDF p. 7; DOC-001 Table 5 — PDF p. 9; DOC-003 eTable 1 note — PDF p. 3; DOC-003 postintubation form — PDF p. 10.</x:v>
      </x:c>
      <x:c r="D4" s="7" t="str"/>
      <x:c r="E4" s="7" t="str">
        <x:v>protocol_report</x:v>
      </x:c>
      <x:c r="F4" s="7" t="str">
        <x:v>no</x:v>
      </x:c>
      <x:c r="G4" s="6" t="str">
        <x:f>IFERROR(IF(NOT(OR(Setup!$B$6="primary",Setup!$B$6="checker")),"CHECK STAGE",IF(OR(LEN(TRIM(Setup!$B$2))=0,Setup!$B$2&lt;&gt;TRIM(Setup!$B$2),AND(Setup!$B$6="checker",OR(LEN(TRIM(Setup!$B$4))=0,Setup!$B$4&lt;&gt;TRIM(Setup!$B$4),LOWER(TRIM(Setup!$B$4))=LOWER(TRIM(Setup!$B$2))))),"CHECK REVIEWER IDs",IF(OR(COUNTIF($A$2:$A$5,A4)&lt;&gt;1,COUNTIF(Decisions!$C$2:$C$120,A4)&lt;&gt;1),"CHECK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FIELDS",IF(Setup!$B$6="primary",IF(OR(N4&lt;&gt;"",O4&lt;&gt;"",P4&lt;&gt;"",Q4&lt;&gt;""),"CLEAR CHECKER FIELDS",IF(OR(Setup!$B$4&lt;&gt;"",Setup!$B$5&lt;&gt;""),"CLEAR CHECKER ID",IF(F4&lt;&gt;"primary_done","PRIMARY DRAFT","PRIMARY READY"))),IF(OR(COUNTIF(Primary_snapshot!$A$2:$A$120,A4)&lt;&gt;1,INDEX('Primary_snapshot'!$J$2:$J$120,MATCH(A4,'Primary_snapshot'!$A$2:$A$120,0))&lt;&gt;"primary_done",INDEX('Primary_snapshot'!$K$2:$K$120,MATCH(A4,'Primary_snapshot'!$A$2:$A$120,0))&lt;&gt;Setup!$B$2,INDEX('Primary_snapshot'!$B$2:$B$120,MATCH(A4,'Primary_snapshot'!$A$2:$A$120,0))="NOT FROZEN",INDEX('Primary_snapshot'!$C$2:$C$120,MATCH(A4,'Primary_snapshot'!$A$2:$A$120,0))="NOT FROZEN",INDEX('Primary_snapshot'!$D$2:$D$120,MATCH(A4,'Primary_snapshot'!$A$2:$A$120,0))="NOT FROZEN",INDEX('Primary_snapshot'!$E$2:$E$120,MATCH(A4,'Primary_snapshot'!$A$2:$A$120,0))="NOT FROZEN",INDEX('Primary_snapshot'!$F$2:$F$120,MATCH(A4,'Primary_snapshot'!$A$2:$A$120,0))="NOT FROZEN",INDEX('Primary_snapshot'!$G$2:$G$120,MATCH(A4,'Primary_snapshot'!$A$2:$A$120,0))="NOT FROZEN",INDEX('Primary_snapshot'!$H$2:$H$120,MATCH(A4,'Primary_snapshot'!$A$2:$A$120,0))="NOT FROZEN",INDEX('Primary_snapshot'!$I$2:$I$120,MATCH(A4,'Primary_snapshot'!$A$2:$A$120,0))="NOT FROZEN",INDEX('Primary_snapshot'!$J$2:$J$120,MATCH(A4,'Primary_snapshot'!$A$2:$A$120,0))="NOT FROZEN",INDEX('Primary_snapshot'!$K$2:$K$120,MATCH(A4,'Primary_snapshot'!$A$2:$A$120,0))="NOT FROZEN",INDEX('Primary_snapshot'!$L$2:$L$120,MATCH(A4,'Primary_snapshot'!$A$2:$A$120,0))="NOT FROZEN"),"FREEZE SNAPSHOT",IF(NOT(OR(N4="agree",N4="agree_clarification",N4="disagree",N4="unable")),"CHECKER RESULT NEEDED",IF(AND(N4&lt;&gt;"agree",LEN(TRIM(O4))=0),"COMMENT NEEDED",IF(AND(N4="agree",NOT(AND(IF(D4="","",D4)=IF(INDEX('Primary_snapshot'!$B$2:$B$120,MATCH(A4,'Primary_snapshot'!$A$2:$A$120,0))="","",INDEX('Primary_snapshot'!$B$2:$B$120,MATCH(A4,'Primary_snapshot'!$A$2:$A$120,0))),IF(E4="","",E4)=IF(INDEX('Primary_snapshot'!$C$2:$C$120,MATCH(A4,'Primary_snapshot'!$A$2:$A$120,0))="","",INDEX('Primary_snapshot'!$C$2:$C$120,MATCH(A4,'Primary_snapshot'!$A$2:$A$120,0))),IF(AND(D4="retain",E4="statistical_results"),IF(H4="","",H4),"not_applicable")=IF(INDEX('Primary_snapshot'!$D$2:$D$120,MATCH(A4,'Primary_snapshot'!$A$2:$A$120,0))="","",INDEX('Primary_snapshot'!$D$2:$D$120,MATCH(A4,'Primary_snapshot'!$A$2:$A$120,0))),IF(AND(D4="retain",E4="statistical_results"),IF(I4="","",I4),"not_applicable")=IF(INDEX('Primary_snapshot'!$E$2:$E$120,MATCH(A4,'Primary_snapshot'!$A$2:$A$120,0))="","",INDEX('Primary_snapshot'!$E$2:$E$120,MATCH(A4,'Primary_snapshot'!$A$2:$A$120,0))),IF(AND(D4="retain",E4="statistical_results"),IF(J4="","",J4),"not_applicable")=IF(INDEX('Primary_snapshot'!$F$2:$F$120,MATCH(A4,'Primary_snapshot'!$A$2:$A$120,0))="","",INDEX('Primary_snapshot'!$F$2:$F$120,MATCH(A4,'Primary_snapshot'!$A$2:$A$120,0))),IF(AND(D4="retain",OR(E4="report_internal_inconsistency",E4="plan_material")),IF(K4="","",K4),"not_applicable")=IF(INDEX('Primary_snapshot'!$G$2:$G$120,MATCH(A4,'Primary_snapshot'!$A$2:$A$120,0))="","",INDEX('Primary_snapshot'!$G$2:$G$120,MATCH(A4,'Primary_snapshot'!$A$2:$A$120,0))),IF(AND(D4="retain",E4="protocol_report"),IF(L4="","",L4),"not_applicable")=IF(INDEX('Primary_snapshot'!$H$2:$H$120,MATCH(A4,'Primary_snapshot'!$A$2:$A$120,0))="","",INDEX('Primary_snapshot'!$H$2:$H$120,MATCH(A4,'Primary_snapshot'!$A$2:$A$120,0))),IF(R4="","",R4)=IF(INDEX('Primary_snapshot'!$I$2:$I$120,MATCH(A4,'Primary_snapshot'!$A$2:$A$120,0))="","",INDEX('Primary_snapshot'!$I$2:$I$120,MATCH(A4,'Primary_snapshot'!$A$2:$A$120,0)))))),"AGREE BUT CHANGED",IF(AND(P4&lt;&gt;"",NOT(OR(P4="pending",P4="resolved"))),"CHECK RESOLUTION",IF(OR(AND(OR(D4="discuss",INDEX('Primary_snapshot'!$B$2:$B$120,MATCH(A4,'Primary_snapshot'!$A$2:$A$120,0))="discuss",N4="disagree",N4="unable"),P4&lt;&gt;"resolved"),D4="discuss"),"DISCUSS",IF(AND(P4="resolved",LEN(TRIM(Q4))=0),"RESOLUTION NOTE NEEDED",IF(F4&lt;&gt;"checker_done","CHECKER DRAFT","FINAL READY")))))))))))))),"CHECK KEY / SNAPSHOT")</x:f>
        <x:v>CHECK REVIEWER IDs</x:v>
      </x:c>
      <x:c r="H4" s="7" t="str">
        <x:f>IF(AND(OR(D4="retain",D4=""),E4="statistical_results"),"","not_applicable")</x:f>
        <x:v>not_applicable</x:v>
      </x:c>
      <x:c r="I4" s="7" t="str">
        <x:f>IF(AND(OR(D4="retain",D4=""),E4="statistical_results"),"","not_applicable")</x:f>
        <x:v>not_applicable</x:v>
      </x:c>
      <x:c r="J4" s="13" t="str">
        <x:f>IF(AND(OR(D4="retain",D4=""),E4="statistical_results"),"","not_applicable")</x:f>
        <x:v>not_applicable</x:v>
      </x:c>
      <x:c r="K4" s="7" t="str">
        <x:f>IF(AND(OR(D4="retain",D4=""),OR(E4="report_internal_inconsistency",E4="plan_material")),"","not_applicable")</x:f>
        <x:v>not_applicable</x:v>
      </x:c>
      <x:c r="L4" s="13" t="str">
        <x:f>IF(AND(OR(D4="retain",D4=""),E4="protocol_report"),"","not_applicable")</x:f>
      </x:c>
      <x:c r="M4" s="6" t="str">
        <x:f>IF(Setup!$B$6="primary","",IFERROR(IF(INDEX('Primary_snapshot'!$L$2:$L$120,MATCH(A4,'Primary_snapshot'!$A$2:$A$120,0))="","",INDEX('Primary_snapshot'!$L$2:$L$120,MATCH(A4,'Primary_snapshot'!$A$2:$A$120,0))),"SNAPSHOT MISSING"))</x:f>
      </x:c>
      <x:c r="N4" s="7" t="str"/>
      <x:c r="O4" s="7" t="str"/>
      <x:c r="P4" s="7" t="str"/>
      <x:c r="Q4" s="7" t="str"/>
      <x:c r="R4" s="13" t="str"/>
    </x:row>
    <x:row r="5" ht="92" customHeight="1">
      <x:c r="A5" s="3" t="str">
        <x:v>2018::jama.2018.6496::C004</x:v>
      </x:c>
      <x:c r="B5" s="3" t="str">
        <x:v>Protocol and published first-attempt-duration measures use different endpoint events</x:v>
      </x:c>
      <x:c r="C5" s="3" t="str">
        <x:v>DOC-002 protocol — PDF p. 9; DOC-001 outcome methods — PDF p. 3; DOC-001 Table 3 — PDF p. 7; DOC-003 eTable 1 note — PDF p. 3; DOC-003 data form — PDF p. 10.</x:v>
      </x:c>
      <x:c r="D5" s="7" t="str"/>
      <x:c r="E5" s="7" t="str">
        <x:v>protocol_report</x:v>
      </x:c>
      <x:c r="F5" s="7" t="str">
        <x:v>no</x:v>
      </x:c>
      <x:c r="G5" s="3" t="str">
        <x:f>IFERROR(IF(NOT(OR(Setup!$B$6="primary",Setup!$B$6="checker")),"CHECK STAGE",IF(OR(LEN(TRIM(Setup!$B$2))=0,Setup!$B$2&lt;&gt;TRIM(Setup!$B$2),AND(Setup!$B$6="checker",OR(LEN(TRIM(Setup!$B$4))=0,Setup!$B$4&lt;&gt;TRIM(Setup!$B$4),LOWER(TRIM(Setup!$B$4))=LOWER(TRIM(Setup!$B$2))))),"CHECK REVIEWER IDs",IF(OR(COUNTIF($A$2:$A$5,A5)&lt;&gt;1,COUNTIF(Decisions!$C$2:$C$120,A5)&lt;&gt;1),"CHECK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FIELDS",IF(Setup!$B$6="primary",IF(OR(N5&lt;&gt;"",O5&lt;&gt;"",P5&lt;&gt;"",Q5&lt;&gt;""),"CLEAR CHECKER FIELDS",IF(OR(Setup!$B$4&lt;&gt;"",Setup!$B$5&lt;&gt;""),"CLEAR CHECKER ID",IF(F5&lt;&gt;"primary_done","PRIMARY DRAFT","PRIMARY READY"))),IF(OR(COUNTIF(Primary_snapshot!$A$2:$A$120,A5)&lt;&gt;1,INDEX('Primary_snapshot'!$J$2:$J$120,MATCH(A5,'Primary_snapshot'!$A$2:$A$120,0))&lt;&gt;"primary_done",INDEX('Primary_snapshot'!$K$2:$K$120,MATCH(A5,'Primary_snapshot'!$A$2:$A$120,0))&lt;&gt;Setup!$B$2,INDEX('Primary_snapshot'!$B$2:$B$120,MATCH(A5,'Primary_snapshot'!$A$2:$A$120,0))="NOT FROZEN",INDEX('Primary_snapshot'!$C$2:$C$120,MATCH(A5,'Primary_snapshot'!$A$2:$A$120,0))="NOT FROZEN",INDEX('Primary_snapshot'!$D$2:$D$120,MATCH(A5,'Primary_snapshot'!$A$2:$A$120,0))="NOT FROZEN",INDEX('Primary_snapshot'!$E$2:$E$120,MATCH(A5,'Primary_snapshot'!$A$2:$A$120,0))="NOT FROZEN",INDEX('Primary_snapshot'!$F$2:$F$120,MATCH(A5,'Primary_snapshot'!$A$2:$A$120,0))="NOT FROZEN",INDEX('Primary_snapshot'!$G$2:$G$120,MATCH(A5,'Primary_snapshot'!$A$2:$A$120,0))="NOT FROZEN",INDEX('Primary_snapshot'!$H$2:$H$120,MATCH(A5,'Primary_snapshot'!$A$2:$A$120,0))="NOT FROZEN",INDEX('Primary_snapshot'!$I$2:$I$120,MATCH(A5,'Primary_snapshot'!$A$2:$A$120,0))="NOT FROZEN",INDEX('Primary_snapshot'!$J$2:$J$120,MATCH(A5,'Primary_snapshot'!$A$2:$A$120,0))="NOT FROZEN",INDEX('Primary_snapshot'!$K$2:$K$120,MATCH(A5,'Primary_snapshot'!$A$2:$A$120,0))="NOT FROZEN",INDEX('Primary_snapshot'!$L$2:$L$120,MATCH(A5,'Primary_snapshot'!$A$2:$A$120,0))="NOT FROZEN"),"FREEZE SNAPSHOT",IF(NOT(OR(N5="agree",N5="agree_clarification",N5="disagree",N5="unable")),"CHECKER RESULT NEEDED",IF(AND(N5&lt;&gt;"agree",LEN(TRIM(O5))=0),"COMMENT NEEDED",IF(AND(N5="agree",NOT(AND(IF(D5="","",D5)=IF(INDEX('Primary_snapshot'!$B$2:$B$120,MATCH(A5,'Primary_snapshot'!$A$2:$A$120,0))="","",INDEX('Primary_snapshot'!$B$2:$B$120,MATCH(A5,'Primary_snapshot'!$A$2:$A$120,0))),IF(E5="","",E5)=IF(INDEX('Primary_snapshot'!$C$2:$C$120,MATCH(A5,'Primary_snapshot'!$A$2:$A$120,0))="","",INDEX('Primary_snapshot'!$C$2:$C$120,MATCH(A5,'Primary_snapshot'!$A$2:$A$120,0))),IF(AND(D5="retain",E5="statistical_results"),IF(H5="","",H5),"not_applicable")=IF(INDEX('Primary_snapshot'!$D$2:$D$120,MATCH(A5,'Primary_snapshot'!$A$2:$A$120,0))="","",INDEX('Primary_snapshot'!$D$2:$D$120,MATCH(A5,'Primary_snapshot'!$A$2:$A$120,0))),IF(AND(D5="retain",E5="statistical_results"),IF(I5="","",I5),"not_applicable")=IF(INDEX('Primary_snapshot'!$E$2:$E$120,MATCH(A5,'Primary_snapshot'!$A$2:$A$120,0))="","",INDEX('Primary_snapshot'!$E$2:$E$120,MATCH(A5,'Primary_snapshot'!$A$2:$A$120,0))),IF(AND(D5="retain",E5="statistical_results"),IF(J5="","",J5),"not_applicable")=IF(INDEX('Primary_snapshot'!$F$2:$F$120,MATCH(A5,'Primary_snapshot'!$A$2:$A$120,0))="","",INDEX('Primary_snapshot'!$F$2:$F$120,MATCH(A5,'Primary_snapshot'!$A$2:$A$120,0))),IF(AND(D5="retain",OR(E5="report_internal_inconsistency",E5="plan_material")),IF(K5="","",K5),"not_applicable")=IF(INDEX('Primary_snapshot'!$G$2:$G$120,MATCH(A5,'Primary_snapshot'!$A$2:$A$120,0))="","",INDEX('Primary_snapshot'!$G$2:$G$120,MATCH(A5,'Primary_snapshot'!$A$2:$A$120,0))),IF(AND(D5="retain",E5="protocol_report"),IF(L5="","",L5),"not_applicable")=IF(INDEX('Primary_snapshot'!$H$2:$H$120,MATCH(A5,'Primary_snapshot'!$A$2:$A$120,0))="","",INDEX('Primary_snapshot'!$H$2:$H$120,MATCH(A5,'Primary_snapshot'!$A$2:$A$120,0))),IF(R5="","",R5)=IF(INDEX('Primary_snapshot'!$I$2:$I$120,MATCH(A5,'Primary_snapshot'!$A$2:$A$120,0))="","",INDEX('Primary_snapshot'!$I$2:$I$120,MATCH(A5,'Primary_snapshot'!$A$2:$A$120,0)))))),"AGREE BUT CHANGED",IF(AND(P5&lt;&gt;"",NOT(OR(P5="pending",P5="resolved"))),"CHECK RESOLUTION",IF(OR(AND(OR(D5="discuss",INDEX('Primary_snapshot'!$B$2:$B$120,MATCH(A5,'Primary_snapshot'!$A$2:$A$120,0))="discuss",N5="disagree",N5="unable"),P5&lt;&gt;"resolved"),D5="discuss"),"DISCUSS",IF(AND(P5="resolved",LEN(TRIM(Q5))=0),"RESOLUTION NOTE NEEDED",IF(F5&lt;&gt;"checker_done","CHECKER DRAFT","FINAL READY")))))))))))))),"CHECK KEY / SNAPSHOT")</x:f>
        <x:v>CHECK REVIEWER IDs</x:v>
      </x:c>
      <x:c r="H5" s="7" t="str">
        <x:f>IF(AND(OR(D5="retain",D5=""),E5="statistical_results"),"","not_applicable")</x:f>
        <x:v>not_applicable</x:v>
      </x:c>
      <x:c r="I5" s="7" t="str">
        <x:f>IF(AND(OR(D5="retain",D5=""),E5="statistical_results"),"","not_applicable")</x:f>
        <x:v>not_applicable</x:v>
      </x:c>
      <x:c r="J5" s="13" t="str">
        <x:f>IF(AND(OR(D5="retain",D5=""),E5="statistical_results"),"","not_applicable")</x:f>
        <x:v>not_applicable</x:v>
      </x:c>
      <x:c r="K5" s="7" t="str">
        <x:f>IF(AND(OR(D5="retain",D5=""),OR(E5="report_internal_inconsistency",E5="plan_material")),"","not_applicable")</x:f>
        <x:v>not_applicable</x:v>
      </x:c>
      <x:c r="L5" s="13" t="str">
        <x:f>IF(AND(OR(D5="retain",D5=""),E5="protocol_report"),"","not_applicable")</x:f>
      </x:c>
      <x:c r="M5" s="3" t="str">
        <x:f>IF(Setup!$B$6="primary","",IFERROR(IF(INDEX('Primary_snapshot'!$L$2:$L$120,MATCH(A5,'Primary_snapshot'!$A$2:$A$120,0))="","",INDEX('Primary_snapshot'!$L$2:$L$120,MATCH(A5,'Primary_snapshot'!$A$2:$A$120,0))),"SNAPSHOT MISSING"))</x:f>
      </x:c>
      <x:c r="N5" s="7" t="str"/>
      <x:c r="O5" s="7" t="str"/>
      <x:c r="P5" s="7" t="str"/>
      <x:c r="Q5" s="7" t="str"/>
      <x:c r="R5" s="13" t="str"/>
    </x:row>
  </x:sheetData>
  <x:conditionalFormatting sqref="G2:G5">
    <x:cfRule type="expression" dxfId="49" priority="1">
      <x:formula>AND(G2&lt;&gt;"PRIMARY READY",G2&lt;&gt;"FINAL READY")</x:formula>
    </x:cfRule>
  </x:conditionalFormatting>
  <x:conditionalFormatting sqref="N2:Q5">
    <x:cfRule type="expression" dxfId="50" priority="2">
      <x:formula>Setup!$B$6="primary"</x:formula>
    </x:cfRule>
  </x:conditionalFormatting>
  <x:conditionalFormatting sqref="H2:H5">
    <x:cfRule type="expression" dxfId="51" priority="3">
      <x:formula>NOT(AND(OR($D2="retain",$D2=""),$E2="statistical_results"))</x:formula>
    </x:cfRule>
  </x:conditionalFormatting>
  <x:conditionalFormatting sqref="I2:I5">
    <x:cfRule type="expression" dxfId="52" priority="4">
      <x:formula>NOT(AND(OR($D2="retain",$D2=""),$E2="statistical_results"))</x:formula>
    </x:cfRule>
  </x:conditionalFormatting>
  <x:conditionalFormatting sqref="J2:J5">
    <x:cfRule type="expression" dxfId="53" priority="5">
      <x:formula>NOT(AND(OR($D2="retain",$D2=""),$E2="statistical_results"))</x:formula>
    </x:cfRule>
  </x:conditionalFormatting>
  <x:conditionalFormatting sqref="K2:K5">
    <x:cfRule type="expression" dxfId="54" priority="6">
      <x:formula>NOT(AND(OR($D2="retain",$D2=""),OR($E2="report_internal_inconsistency",$E2="plan_material")))</x:formula>
    </x:cfRule>
  </x:conditionalFormatting>
  <x:conditionalFormatting sqref="L2:L5">
    <x:cfRule type="expression" dxfId="55" priority="7">
      <x:formula>NOT(AND(OR($D2="retain",$D2=""),$E2="protocol_report"))</x:formula>
    </x:cfRule>
  </x:conditionalFormatting>
  <x:dataValidations count="10">
    <x:dataValidation type="list" sqref="D2:D5">
      <x:formula1>"retain,exclude,discuss"</x:formula1>
    </x:dataValidation>
    <x:dataValidation type="list" sqref="E2:E5">
      <x:formula1>"statistical_results,report_internal_inconsistency,plan_material,protocol_report"</x:formula1>
    </x:dataValidation>
    <x:dataValidation type="list" sqref="F2:F5">
      <x:formula1>"no,primary_done,checker_done"</x:formula1>
    </x:dataValidation>
    <x:dataValidation type="list" sqref="H2:H5">
      <x:formula1>"confirmed_issue,probable_issue,not_issue,indeterminate,not_applicable"</x:formula1>
    </x:dataValidation>
    <x:dataValidation type="list" sqref="I2:I5">
      <x:formula1>"substantive,minor_presentation,indeterminate,not_applicable"</x:formula1>
    </x:dataValidation>
    <x:dataValidation type="list" sqref="J2:J5">
      <x:formula1>"direct,possible,unlikely,unknown,not_applicable"</x:formula1>
    </x:dataValidation>
    <x:dataValidation type="list" sqref="K2:K5">
      <x:formula1>"substantive_inconsistency,minor_presentation,non_inconsistency,indeterminate,not_applicable"</x:formula1>
    </x:dataValidation>
    <x:dataValidation type="list" sqref="L2:L5">
      <x:formula1>"substantive_difference,minor_presentation,version_timing,non_inconsistency,indeterminate,not_applicable"</x:formula1>
    </x:dataValidation>
    <x:dataValidation type="list" sqref="N2:N5">
      <x:formula1>"agree,agree_clarification,disagree,unable"</x:formula1>
    </x:dataValidation>
    <x:dataValidation type="list" sqref="P2:P5">
      <x:formula1>"pending,resolved"</x:formula1>
    </x:dataValidation>
  </x:dataValidations>
  <x:pageMargins left="0.7" right="0.7" top="0.75" bottom="0.75" header="0.3" footer="0.3"/>
  <x:tableParts count="1">
    <x:tablePart xmlns:r="http://schemas.openxmlformats.org/officeDocument/2006/relationships" r:id="R3650b8aa052544cb"/>
  </x:tableParts>
</x:worksheet>
</file>

<file path=xl/worksheets/sheet13.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28" hidden="0" customWidth="1"/>
    <x:col min="3" max="3" width="22" hidden="0" customWidth="1"/>
    <x:col min="4" max="4" width="18" hidden="0" customWidth="1"/>
    <x:col min="5" max="5" width="24" hidden="0" customWidth="1"/>
    <x:col min="6" max="6" width="17" hidden="0" customWidth="1"/>
    <x:col min="7" max="7" width="25" hidden="0" customWidth="1"/>
    <x:col min="8" max="8" width="28" hidden="0" customWidth="1"/>
    <x:col min="9" max="9" width="20" hidden="0" customWidth="1"/>
    <x:col min="10" max="10" width="20" hidden="0" customWidth="1"/>
    <x:col min="11" max="11" width="34" hidden="0" customWidth="1"/>
    <x:col min="12" max="12" width="26" hidden="0" customWidth="1"/>
    <x:col min="13" max="13" width="58" hidden="0" customWidth="1"/>
    <x:col min="14" max="14" width="23" hidden="0" customWidth="1"/>
    <x:col min="15" max="15" width="32" hidden="0" customWidth="1"/>
    <x:col min="16" max="16" width="22" hidden="0" customWidth="1"/>
    <x:col min="17" max="17" width="32" hidden="0" customWidth="1"/>
    <x:col min="18" max="18" width="32" hidden="0" customWidth="1"/>
  </x:cols>
  <x:sheetData>
    <x:row r="1" ht="42" customHeight="1">
      <x:c r="A1" s="5" t="str">
        <x:v>Candidate key</x:v>
      </x:c>
      <x:c r="B1" s="5" t="str">
        <x:v>Candidate title</x:v>
      </x:c>
      <x:c r="C1" s="5" t="str">
        <x:v>Source location</x:v>
      </x:c>
      <x:c r="D1" s="5" t="str">
        <x:v>Disposition</x:v>
      </x:c>
      <x:c r="E1" s="5" t="str">
        <x:v>Review domain</x:v>
      </x:c>
      <x:c r="F1" s="5" t="str">
        <x:v>Complete</x:v>
      </x:c>
      <x:c r="G1" s="5" t="str">
        <x:v>Validation hint</x:v>
      </x:c>
      <x:c r="H1" s="5" t="str">
        <x:v>Statistcal_or_numerical issue</x:v>
      </x:c>
      <x:c r="I1" s="5" t="str">
        <x:v>Substantiveness</x:v>
      </x:c>
      <x:c r="J1" s="5" t="str">
        <x:v>Downstream impact</x:v>
      </x:c>
      <x:c r="K1" s="5" t="str">
        <x:v>Report-internal or planning-material inconsistency</x:v>
      </x:c>
      <x:c r="L1" s="5" t="str">
        <x:v>Protocol interpretation</x:v>
      </x:c>
      <x:c r="M1" s="5" t="str">
        <x:v>Primary assessment</x:v>
      </x:c>
      <x:c r="N1" s="5" t="str">
        <x:v>Checker result</x:v>
      </x:c>
      <x:c r="O1" s="5" t="str">
        <x:v>Checker comment</x:v>
      </x:c>
      <x:c r="P1" s="5" t="str">
        <x:v>Discussion resolution</x:v>
      </x:c>
      <x:c r="Q1" s="5" t="str">
        <x:v>Resolution note</x:v>
      </x:c>
      <x:c r="R1" s="5" t="str">
        <x:v>Notes (optional)</x:v>
      </x:c>
    </x:row>
    <x:row r="2" ht="92" customHeight="1">
      <x:c r="A2" s="6" t="str">
        <x:v>2018::jama.2018.8802::C001</x:v>
      </x:c>
      <x:c r="B2" s="6" t="str">
        <x:v>Table 1 CAD/previous-myocardial-infarction percentage does not reproduce</x:v>
      </x:c>
      <x:c r="C2" s="6" t="str">
        <x:v>jama_wang_2018_oi_180070.pdf — PDF p. 6, Table 1, CAD/previous myocardial infarction, intervention column and Patients, No. header.</x:v>
      </x:c>
      <x:c r="D2" s="7" t="str"/>
      <x:c r="E2" s="7" t="str">
        <x:v>statistical_results</x:v>
      </x:c>
      <x:c r="F2" s="7" t="str">
        <x:v>no</x:v>
      </x:c>
      <x:c r="G2" s="6" t="str">
        <x:f>IFERROR(IF(NOT(OR(Setup!$B$6="primary",Setup!$B$6="checker")),"CHECK STAGE",IF(OR(LEN(TRIM(Setup!$B$2))=0,Setup!$B$2&lt;&gt;TRIM(Setup!$B$2),AND(Setup!$B$6="checker",OR(LEN(TRIM(Setup!$B$4))=0,Setup!$B$4&lt;&gt;TRIM(Setup!$B$4),LOWER(TRIM(Setup!$B$4))=LOWER(TRIM(Setup!$B$2))))),"CHECK REVIEWER IDs",IF(OR(COUNTIF($A$2:$A$9,A2)&lt;&gt;1,COUNTIF(Decisions!$C$2:$C$120,A2)&lt;&gt;1),"CHECK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FIELDS",IF(Setup!$B$6="primary",IF(OR(N2&lt;&gt;"",O2&lt;&gt;"",P2&lt;&gt;"",Q2&lt;&gt;""),"CLEAR CHECKER FIELDS",IF(OR(Setup!$B$4&lt;&gt;"",Setup!$B$5&lt;&gt;""),"CLEAR CHECKER ID",IF(F2&lt;&gt;"primary_done","PRIMARY DRAFT","PRIMARY READY"))),IF(OR(COUNTIF(Primary_snapshot!$A$2:$A$120,A2)&lt;&gt;1,INDEX('Primary_snapshot'!$J$2:$J$120,MATCH(A2,'Primary_snapshot'!$A$2:$A$120,0))&lt;&gt;"primary_done",INDEX('Primary_snapshot'!$K$2:$K$120,MATCH(A2,'Primary_snapshot'!$A$2:$A$120,0))&lt;&gt;Setup!$B$2,INDEX('Primary_snapshot'!$B$2:$B$120,MATCH(A2,'Primary_snapshot'!$A$2:$A$120,0))="NOT FROZEN",INDEX('Primary_snapshot'!$C$2:$C$120,MATCH(A2,'Primary_snapshot'!$A$2:$A$120,0))="NOT FROZEN",INDEX('Primary_snapshot'!$D$2:$D$120,MATCH(A2,'Primary_snapshot'!$A$2:$A$120,0))="NOT FROZEN",INDEX('Primary_snapshot'!$E$2:$E$120,MATCH(A2,'Primary_snapshot'!$A$2:$A$120,0))="NOT FROZEN",INDEX('Primary_snapshot'!$F$2:$F$120,MATCH(A2,'Primary_snapshot'!$A$2:$A$120,0))="NOT FROZEN",INDEX('Primary_snapshot'!$G$2:$G$120,MATCH(A2,'Primary_snapshot'!$A$2:$A$120,0))="NOT FROZEN",INDEX('Primary_snapshot'!$H$2:$H$120,MATCH(A2,'Primary_snapshot'!$A$2:$A$120,0))="NOT FROZEN",INDEX('Primary_snapshot'!$I$2:$I$120,MATCH(A2,'Primary_snapshot'!$A$2:$A$120,0))="NOT FROZEN",INDEX('Primary_snapshot'!$J$2:$J$120,MATCH(A2,'Primary_snapshot'!$A$2:$A$120,0))="NOT FROZEN",INDEX('Primary_snapshot'!$K$2:$K$120,MATCH(A2,'Primary_snapshot'!$A$2:$A$120,0))="NOT FROZEN",INDEX('Primary_snapshot'!$L$2:$L$120,MATCH(A2,'Primary_snapshot'!$A$2:$A$120,0))="NOT FROZEN"),"FREEZE SNAPSHOT",IF(NOT(OR(N2="agree",N2="agree_clarification",N2="disagree",N2="unable")),"CHECKER RESULT NEEDED",IF(AND(N2&lt;&gt;"agree",LEN(TRIM(O2))=0),"COMMENT NEEDED",IF(AND(N2="agree",NOT(AND(IF(D2="","",D2)=IF(INDEX('Primary_snapshot'!$B$2:$B$120,MATCH(A2,'Primary_snapshot'!$A$2:$A$120,0))="","",INDEX('Primary_snapshot'!$B$2:$B$120,MATCH(A2,'Primary_snapshot'!$A$2:$A$120,0))),IF(E2="","",E2)=IF(INDEX('Primary_snapshot'!$C$2:$C$120,MATCH(A2,'Primary_snapshot'!$A$2:$A$120,0))="","",INDEX('Primary_snapshot'!$C$2:$C$120,MATCH(A2,'Primary_snapshot'!$A$2:$A$120,0))),IF(AND(D2="retain",E2="statistical_results"),IF(H2="","",H2),"not_applicable")=IF(INDEX('Primary_snapshot'!$D$2:$D$120,MATCH(A2,'Primary_snapshot'!$A$2:$A$120,0))="","",INDEX('Primary_snapshot'!$D$2:$D$120,MATCH(A2,'Primary_snapshot'!$A$2:$A$120,0))),IF(AND(D2="retain",E2="statistical_results"),IF(I2="","",I2),"not_applicable")=IF(INDEX('Primary_snapshot'!$E$2:$E$120,MATCH(A2,'Primary_snapshot'!$A$2:$A$120,0))="","",INDEX('Primary_snapshot'!$E$2:$E$120,MATCH(A2,'Primary_snapshot'!$A$2:$A$120,0))),IF(AND(D2="retain",E2="statistical_results"),IF(J2="","",J2),"not_applicable")=IF(INDEX('Primary_snapshot'!$F$2:$F$120,MATCH(A2,'Primary_snapshot'!$A$2:$A$120,0))="","",INDEX('Primary_snapshot'!$F$2:$F$120,MATCH(A2,'Primary_snapshot'!$A$2:$A$120,0))),IF(AND(D2="retain",OR(E2="report_internal_inconsistency",E2="plan_material")),IF(K2="","",K2),"not_applicable")=IF(INDEX('Primary_snapshot'!$G$2:$G$120,MATCH(A2,'Primary_snapshot'!$A$2:$A$120,0))="","",INDEX('Primary_snapshot'!$G$2:$G$120,MATCH(A2,'Primary_snapshot'!$A$2:$A$120,0))),IF(AND(D2="retain",E2="protocol_report"),IF(L2="","",L2),"not_applicable")=IF(INDEX('Primary_snapshot'!$H$2:$H$120,MATCH(A2,'Primary_snapshot'!$A$2:$A$120,0))="","",INDEX('Primary_snapshot'!$H$2:$H$120,MATCH(A2,'Primary_snapshot'!$A$2:$A$120,0))),IF(R2="","",R2)=IF(INDEX('Primary_snapshot'!$I$2:$I$120,MATCH(A2,'Primary_snapshot'!$A$2:$A$120,0))="","",INDEX('Primary_snapshot'!$I$2:$I$120,MATCH(A2,'Primary_snapshot'!$A$2:$A$120,0)))))),"AGREE BUT CHANGED",IF(AND(P2&lt;&gt;"",NOT(OR(P2="pending",P2="resolved"))),"CHECK RESOLUTION",IF(OR(AND(OR(D2="discuss",INDEX('Primary_snapshot'!$B$2:$B$120,MATCH(A2,'Primary_snapshot'!$A$2:$A$120,0))="discuss",N2="disagree",N2="unable"),P2&lt;&gt;"resolved"),D2="discuss"),"DISCUSS",IF(AND(P2="resolved",LEN(TRIM(Q2))=0),"RESOLUTION NOTE NEEDED",IF(F2&lt;&gt;"checker_done","CHECKER DRAFT","FINAL READY")))))))))))))),"CHECK KEY / SNAPSHOT")</x:f>
        <x:v>CHECK REVIEWER IDs</x:v>
      </x:c>
      <x:c r="H2" s="7" t="str">
        <x:f>IF(AND(OR(D2="retain",D2=""),E2="statistical_results"),"","not_applicable")</x:f>
      </x:c>
      <x:c r="I2" s="7" t="str">
        <x:f>IF(AND(OR(D2="retain",D2=""),E2="statistical_results"),"","not_applicable")</x:f>
      </x:c>
      <x:c r="J2" s="13" t="str">
        <x:f>IF(AND(OR(D2="retain",D2=""),E2="statistical_results"),"","not_applicable")</x:f>
      </x:c>
      <x:c r="K2" s="7" t="str">
        <x:f>IF(AND(OR(D2="retain",D2=""),OR(E2="report_internal_inconsistency",E2="plan_material")),"","not_applicable")</x:f>
        <x:v>not_applicable</x:v>
      </x:c>
      <x:c r="L2" s="13" t="str">
        <x:f>IF(AND(OR(D2="retain",D2=""),E2="protocol_report"),"","not_applicable")</x:f>
        <x:v>not_applicable</x:v>
      </x:c>
      <x:c r="M2" s="6" t="str">
        <x:f>IF(Setup!$B$6="primary","",IFERROR(IF(INDEX('Primary_snapshot'!$L$2:$L$120,MATCH(A2,'Primary_snapshot'!$A$2:$A$120,0))="","",INDEX('Primary_snapshot'!$L$2:$L$120,MATCH(A2,'Primary_snapshot'!$A$2:$A$120,0))),"SNAPSHOT MISSING"))</x:f>
      </x:c>
      <x:c r="N2" s="7" t="str"/>
      <x:c r="O2" s="7" t="str"/>
      <x:c r="P2" s="7" t="str"/>
      <x:c r="Q2" s="7" t="str"/>
      <x:c r="R2" s="13" t="str"/>
    </x:row>
    <x:row r="3" ht="92" customHeight="1">
      <x:c r="A3" s="3" t="str">
        <x:v>2018::jama.2018.8802::C002</x:v>
      </x:c>
      <x:c r="B3" s="3" t="str">
        <x:v>LDL eligibility boundary differs between result labels and supplied measure definition</x:v>
      </x:c>
      <x:c r="C3" s="3" t="str">
        <x:v>jama_wang_2018_oi_180070.pdf — PDF p. 7, Table 2 lipid-lowering row; joi180070supp1_prod.pdf — PDF p. 15, definition; joi180070supp2_prod.pdf — PDF p. 3, eTable 1 definition; and joi180070supp2_prod.pdf — PDF p. 8, eTable 4 label.</x:v>
      </x:c>
      <x:c r="D3" s="7" t="str"/>
      <x:c r="E3" s="7" t="str">
        <x:v>protocol_report</x:v>
      </x:c>
      <x:c r="F3" s="7" t="str">
        <x:v>no</x:v>
      </x:c>
      <x:c r="G3" s="3" t="str">
        <x:f>IFERROR(IF(NOT(OR(Setup!$B$6="primary",Setup!$B$6="checker")),"CHECK STAGE",IF(OR(LEN(TRIM(Setup!$B$2))=0,Setup!$B$2&lt;&gt;TRIM(Setup!$B$2),AND(Setup!$B$6="checker",OR(LEN(TRIM(Setup!$B$4))=0,Setup!$B$4&lt;&gt;TRIM(Setup!$B$4),LOWER(TRIM(Setup!$B$4))=LOWER(TRIM(Setup!$B$2))))),"CHECK REVIEWER IDs",IF(OR(COUNTIF($A$2:$A$9,A3)&lt;&gt;1,COUNTIF(Decisions!$C$2:$C$120,A3)&lt;&gt;1),"CHECK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FIELDS",IF(Setup!$B$6="primary",IF(OR(N3&lt;&gt;"",O3&lt;&gt;"",P3&lt;&gt;"",Q3&lt;&gt;""),"CLEAR CHECKER FIELDS",IF(OR(Setup!$B$4&lt;&gt;"",Setup!$B$5&lt;&gt;""),"CLEAR CHECKER ID",IF(F3&lt;&gt;"primary_done","PRIMARY DRAFT","PRIMARY READY"))),IF(OR(COUNTIF(Primary_snapshot!$A$2:$A$120,A3)&lt;&gt;1,INDEX('Primary_snapshot'!$J$2:$J$120,MATCH(A3,'Primary_snapshot'!$A$2:$A$120,0))&lt;&gt;"primary_done",INDEX('Primary_snapshot'!$K$2:$K$120,MATCH(A3,'Primary_snapshot'!$A$2:$A$120,0))&lt;&gt;Setup!$B$2,INDEX('Primary_snapshot'!$B$2:$B$120,MATCH(A3,'Primary_snapshot'!$A$2:$A$120,0))="NOT FROZEN",INDEX('Primary_snapshot'!$C$2:$C$120,MATCH(A3,'Primary_snapshot'!$A$2:$A$120,0))="NOT FROZEN",INDEX('Primary_snapshot'!$D$2:$D$120,MATCH(A3,'Primary_snapshot'!$A$2:$A$120,0))="NOT FROZEN",INDEX('Primary_snapshot'!$E$2:$E$120,MATCH(A3,'Primary_snapshot'!$A$2:$A$120,0))="NOT FROZEN",INDEX('Primary_snapshot'!$F$2:$F$120,MATCH(A3,'Primary_snapshot'!$A$2:$A$120,0))="NOT FROZEN",INDEX('Primary_snapshot'!$G$2:$G$120,MATCH(A3,'Primary_snapshot'!$A$2:$A$120,0))="NOT FROZEN",INDEX('Primary_snapshot'!$H$2:$H$120,MATCH(A3,'Primary_snapshot'!$A$2:$A$120,0))="NOT FROZEN",INDEX('Primary_snapshot'!$I$2:$I$120,MATCH(A3,'Primary_snapshot'!$A$2:$A$120,0))="NOT FROZEN",INDEX('Primary_snapshot'!$J$2:$J$120,MATCH(A3,'Primary_snapshot'!$A$2:$A$120,0))="NOT FROZEN",INDEX('Primary_snapshot'!$K$2:$K$120,MATCH(A3,'Primary_snapshot'!$A$2:$A$120,0))="NOT FROZEN",INDEX('Primary_snapshot'!$L$2:$L$120,MATCH(A3,'Primary_snapshot'!$A$2:$A$120,0))="NOT FROZEN"),"FREEZE SNAPSHOT",IF(NOT(OR(N3="agree",N3="agree_clarification",N3="disagree",N3="unable")),"CHECKER RESULT NEEDED",IF(AND(N3&lt;&gt;"agree",LEN(TRIM(O3))=0),"COMMENT NEEDED",IF(AND(N3="agree",NOT(AND(IF(D3="","",D3)=IF(INDEX('Primary_snapshot'!$B$2:$B$120,MATCH(A3,'Primary_snapshot'!$A$2:$A$120,0))="","",INDEX('Primary_snapshot'!$B$2:$B$120,MATCH(A3,'Primary_snapshot'!$A$2:$A$120,0))),IF(E3="","",E3)=IF(INDEX('Primary_snapshot'!$C$2:$C$120,MATCH(A3,'Primary_snapshot'!$A$2:$A$120,0))="","",INDEX('Primary_snapshot'!$C$2:$C$120,MATCH(A3,'Primary_snapshot'!$A$2:$A$120,0))),IF(AND(D3="retain",E3="statistical_results"),IF(H3="","",H3),"not_applicable")=IF(INDEX('Primary_snapshot'!$D$2:$D$120,MATCH(A3,'Primary_snapshot'!$A$2:$A$120,0))="","",INDEX('Primary_snapshot'!$D$2:$D$120,MATCH(A3,'Primary_snapshot'!$A$2:$A$120,0))),IF(AND(D3="retain",E3="statistical_results"),IF(I3="","",I3),"not_applicable")=IF(INDEX('Primary_snapshot'!$E$2:$E$120,MATCH(A3,'Primary_snapshot'!$A$2:$A$120,0))="","",INDEX('Primary_snapshot'!$E$2:$E$120,MATCH(A3,'Primary_snapshot'!$A$2:$A$120,0))),IF(AND(D3="retain",E3="statistical_results"),IF(J3="","",J3),"not_applicable")=IF(INDEX('Primary_snapshot'!$F$2:$F$120,MATCH(A3,'Primary_snapshot'!$A$2:$A$120,0))="","",INDEX('Primary_snapshot'!$F$2:$F$120,MATCH(A3,'Primary_snapshot'!$A$2:$A$120,0))),IF(AND(D3="retain",OR(E3="report_internal_inconsistency",E3="plan_material")),IF(K3="","",K3),"not_applicable")=IF(INDEX('Primary_snapshot'!$G$2:$G$120,MATCH(A3,'Primary_snapshot'!$A$2:$A$120,0))="","",INDEX('Primary_snapshot'!$G$2:$G$120,MATCH(A3,'Primary_snapshot'!$A$2:$A$120,0))),IF(AND(D3="retain",E3="protocol_report"),IF(L3="","",L3),"not_applicable")=IF(INDEX('Primary_snapshot'!$H$2:$H$120,MATCH(A3,'Primary_snapshot'!$A$2:$A$120,0))="","",INDEX('Primary_snapshot'!$H$2:$H$120,MATCH(A3,'Primary_snapshot'!$A$2:$A$120,0))),IF(R3="","",R3)=IF(INDEX('Primary_snapshot'!$I$2:$I$120,MATCH(A3,'Primary_snapshot'!$A$2:$A$120,0))="","",INDEX('Primary_snapshot'!$I$2:$I$120,MATCH(A3,'Primary_snapshot'!$A$2:$A$120,0)))))),"AGREE BUT CHANGED",IF(AND(P3&lt;&gt;"",NOT(OR(P3="pending",P3="resolved"))),"CHECK RESOLUTION",IF(OR(AND(OR(D3="discuss",INDEX('Primary_snapshot'!$B$2:$B$120,MATCH(A3,'Primary_snapshot'!$A$2:$A$120,0))="discuss",N3="disagree",N3="unable"),P3&lt;&gt;"resolved"),D3="discuss"),"DISCUSS",IF(AND(P3="resolved",LEN(TRIM(Q3))=0),"RESOLUTION NOTE NEEDED",IF(F3&lt;&gt;"checker_done","CHECKER DRAFT","FINAL READY")))))))))))))),"CHECK KEY / SNAPSHOT")</x:f>
        <x:v>CHECK REVIEWER IDs</x:v>
      </x:c>
      <x:c r="H3" s="7" t="str">
        <x:f>IF(AND(OR(D3="retain",D3=""),E3="statistical_results"),"","not_applicable")</x:f>
        <x:v>not_applicable</x:v>
      </x:c>
      <x:c r="I3" s="7" t="str">
        <x:f>IF(AND(OR(D3="retain",D3=""),E3="statistical_results"),"","not_applicable")</x:f>
        <x:v>not_applicable</x:v>
      </x:c>
      <x:c r="J3" s="13" t="str">
        <x:f>IF(AND(OR(D3="retain",D3=""),E3="statistical_results"),"","not_applicable")</x:f>
        <x:v>not_applicable</x:v>
      </x:c>
      <x:c r="K3" s="7" t="str">
        <x:f>IF(AND(OR(D3="retain",D3=""),OR(E3="report_internal_inconsistency",E3="plan_material")),"","not_applicable")</x:f>
        <x:v>not_applicable</x:v>
      </x:c>
      <x:c r="L3" s="13" t="str">
        <x:f>IF(AND(OR(D3="retain",D3=""),E3="protocol_report"),"","not_applicable")</x:f>
      </x:c>
      <x:c r="M3" s="3" t="str">
        <x:f>IF(Setup!$B$6="primary","",IFERROR(IF(INDEX('Primary_snapshot'!$L$2:$L$120,MATCH(A3,'Primary_snapshot'!$A$2:$A$120,0))="","",INDEX('Primary_snapshot'!$L$2:$L$120,MATCH(A3,'Primary_snapshot'!$A$2:$A$120,0))),"SNAPSHOT MISSING"))</x:f>
      </x:c>
      <x:c r="N3" s="7" t="str"/>
      <x:c r="O3" s="7" t="str"/>
      <x:c r="P3" s="7" t="str"/>
      <x:c r="Q3" s="7" t="str"/>
      <x:c r="R3" s="13" t="str"/>
    </x:row>
    <x:row r="4" ht="92" customHeight="1">
      <x:c r="A4" s="6" t="str">
        <x:v>2018::jama.2018.8802::C003</x:v>
      </x:c>
      <x:c r="B4" s="6" t="str">
        <x:v>eTable 4 discharge-antithrombotics control percentage does not reproduce</x:v>
      </x:c>
      <x:c r="C4" s="6" t="str">
        <x:v>joi180070supp2_prod.pdf — PDF p. 8, eTable 4, Antithrombotics, control cell.</x:v>
      </x:c>
      <x:c r="D4" s="7" t="str"/>
      <x:c r="E4" s="7" t="str">
        <x:v>statistical_results</x:v>
      </x:c>
      <x:c r="F4" s="7" t="str">
        <x:v>no</x:v>
      </x:c>
      <x:c r="G4" s="6" t="str">
        <x:f>IFERROR(IF(NOT(OR(Setup!$B$6="primary",Setup!$B$6="checker")),"CHECK STAGE",IF(OR(LEN(TRIM(Setup!$B$2))=0,Setup!$B$2&lt;&gt;TRIM(Setup!$B$2),AND(Setup!$B$6="checker",OR(LEN(TRIM(Setup!$B$4))=0,Setup!$B$4&lt;&gt;TRIM(Setup!$B$4),LOWER(TRIM(Setup!$B$4))=LOWER(TRIM(Setup!$B$2))))),"CHECK REVIEWER IDs",IF(OR(COUNTIF($A$2:$A$9,A4)&lt;&gt;1,COUNTIF(Decisions!$C$2:$C$120,A4)&lt;&gt;1),"CHECK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FIELDS",IF(Setup!$B$6="primary",IF(OR(N4&lt;&gt;"",O4&lt;&gt;"",P4&lt;&gt;"",Q4&lt;&gt;""),"CLEAR CHECKER FIELDS",IF(OR(Setup!$B$4&lt;&gt;"",Setup!$B$5&lt;&gt;""),"CLEAR CHECKER ID",IF(F4&lt;&gt;"primary_done","PRIMARY DRAFT","PRIMARY READY"))),IF(OR(COUNTIF(Primary_snapshot!$A$2:$A$120,A4)&lt;&gt;1,INDEX('Primary_snapshot'!$J$2:$J$120,MATCH(A4,'Primary_snapshot'!$A$2:$A$120,0))&lt;&gt;"primary_done",INDEX('Primary_snapshot'!$K$2:$K$120,MATCH(A4,'Primary_snapshot'!$A$2:$A$120,0))&lt;&gt;Setup!$B$2,INDEX('Primary_snapshot'!$B$2:$B$120,MATCH(A4,'Primary_snapshot'!$A$2:$A$120,0))="NOT FROZEN",INDEX('Primary_snapshot'!$C$2:$C$120,MATCH(A4,'Primary_snapshot'!$A$2:$A$120,0))="NOT FROZEN",INDEX('Primary_snapshot'!$D$2:$D$120,MATCH(A4,'Primary_snapshot'!$A$2:$A$120,0))="NOT FROZEN",INDEX('Primary_snapshot'!$E$2:$E$120,MATCH(A4,'Primary_snapshot'!$A$2:$A$120,0))="NOT FROZEN",INDEX('Primary_snapshot'!$F$2:$F$120,MATCH(A4,'Primary_snapshot'!$A$2:$A$120,0))="NOT FROZEN",INDEX('Primary_snapshot'!$G$2:$G$120,MATCH(A4,'Primary_snapshot'!$A$2:$A$120,0))="NOT FROZEN",INDEX('Primary_snapshot'!$H$2:$H$120,MATCH(A4,'Primary_snapshot'!$A$2:$A$120,0))="NOT FROZEN",INDEX('Primary_snapshot'!$I$2:$I$120,MATCH(A4,'Primary_snapshot'!$A$2:$A$120,0))="NOT FROZEN",INDEX('Primary_snapshot'!$J$2:$J$120,MATCH(A4,'Primary_snapshot'!$A$2:$A$120,0))="NOT FROZEN",INDEX('Primary_snapshot'!$K$2:$K$120,MATCH(A4,'Primary_snapshot'!$A$2:$A$120,0))="NOT FROZEN",INDEX('Primary_snapshot'!$L$2:$L$120,MATCH(A4,'Primary_snapshot'!$A$2:$A$120,0))="NOT FROZEN"),"FREEZE SNAPSHOT",IF(NOT(OR(N4="agree",N4="agree_clarification",N4="disagree",N4="unable")),"CHECKER RESULT NEEDED",IF(AND(N4&lt;&gt;"agree",LEN(TRIM(O4))=0),"COMMENT NEEDED",IF(AND(N4="agree",NOT(AND(IF(D4="","",D4)=IF(INDEX('Primary_snapshot'!$B$2:$B$120,MATCH(A4,'Primary_snapshot'!$A$2:$A$120,0))="","",INDEX('Primary_snapshot'!$B$2:$B$120,MATCH(A4,'Primary_snapshot'!$A$2:$A$120,0))),IF(E4="","",E4)=IF(INDEX('Primary_snapshot'!$C$2:$C$120,MATCH(A4,'Primary_snapshot'!$A$2:$A$120,0))="","",INDEX('Primary_snapshot'!$C$2:$C$120,MATCH(A4,'Primary_snapshot'!$A$2:$A$120,0))),IF(AND(D4="retain",E4="statistical_results"),IF(H4="","",H4),"not_applicable")=IF(INDEX('Primary_snapshot'!$D$2:$D$120,MATCH(A4,'Primary_snapshot'!$A$2:$A$120,0))="","",INDEX('Primary_snapshot'!$D$2:$D$120,MATCH(A4,'Primary_snapshot'!$A$2:$A$120,0))),IF(AND(D4="retain",E4="statistical_results"),IF(I4="","",I4),"not_applicable")=IF(INDEX('Primary_snapshot'!$E$2:$E$120,MATCH(A4,'Primary_snapshot'!$A$2:$A$120,0))="","",INDEX('Primary_snapshot'!$E$2:$E$120,MATCH(A4,'Primary_snapshot'!$A$2:$A$120,0))),IF(AND(D4="retain",E4="statistical_results"),IF(J4="","",J4),"not_applicable")=IF(INDEX('Primary_snapshot'!$F$2:$F$120,MATCH(A4,'Primary_snapshot'!$A$2:$A$120,0))="","",INDEX('Primary_snapshot'!$F$2:$F$120,MATCH(A4,'Primary_snapshot'!$A$2:$A$120,0))),IF(AND(D4="retain",OR(E4="report_internal_inconsistency",E4="plan_material")),IF(K4="","",K4),"not_applicable")=IF(INDEX('Primary_snapshot'!$G$2:$G$120,MATCH(A4,'Primary_snapshot'!$A$2:$A$120,0))="","",INDEX('Primary_snapshot'!$G$2:$G$120,MATCH(A4,'Primary_snapshot'!$A$2:$A$120,0))),IF(AND(D4="retain",E4="protocol_report"),IF(L4="","",L4),"not_applicable")=IF(INDEX('Primary_snapshot'!$H$2:$H$120,MATCH(A4,'Primary_snapshot'!$A$2:$A$120,0))="","",INDEX('Primary_snapshot'!$H$2:$H$120,MATCH(A4,'Primary_snapshot'!$A$2:$A$120,0))),IF(R4="","",R4)=IF(INDEX('Primary_snapshot'!$I$2:$I$120,MATCH(A4,'Primary_snapshot'!$A$2:$A$120,0))="","",INDEX('Primary_snapshot'!$I$2:$I$120,MATCH(A4,'Primary_snapshot'!$A$2:$A$120,0)))))),"AGREE BUT CHANGED",IF(AND(P4&lt;&gt;"",NOT(OR(P4="pending",P4="resolved"))),"CHECK RESOLUTION",IF(OR(AND(OR(D4="discuss",INDEX('Primary_snapshot'!$B$2:$B$120,MATCH(A4,'Primary_snapshot'!$A$2:$A$120,0))="discuss",N4="disagree",N4="unable"),P4&lt;&gt;"resolved"),D4="discuss"),"DISCUSS",IF(AND(P4="resolved",LEN(TRIM(Q4))=0),"RESOLUTION NOTE NEEDED",IF(F4&lt;&gt;"checker_done","CHECKER DRAFT","FINAL READY")))))))))))))),"CHECK KEY / SNAPSHOT")</x:f>
        <x:v>CHECK REVIEWER IDs</x:v>
      </x:c>
      <x:c r="H4" s="7" t="str">
        <x:f>IF(AND(OR(D4="retain",D4=""),E4="statistical_results"),"","not_applicable")</x:f>
      </x:c>
      <x:c r="I4" s="7" t="str">
        <x:f>IF(AND(OR(D4="retain",D4=""),E4="statistical_results"),"","not_applicable")</x:f>
      </x:c>
      <x:c r="J4" s="13" t="str">
        <x:f>IF(AND(OR(D4="retain",D4=""),E4="statistical_results"),"","not_applicable")</x:f>
      </x:c>
      <x:c r="K4" s="7" t="str">
        <x:f>IF(AND(OR(D4="retain",D4=""),OR(E4="report_internal_inconsistency",E4="plan_material")),"","not_applicable")</x:f>
        <x:v>not_applicable</x:v>
      </x:c>
      <x:c r="L4" s="13" t="str">
        <x:f>IF(AND(OR(D4="retain",D4=""),E4="protocol_report"),"","not_applicable")</x:f>
        <x:v>not_applicable</x:v>
      </x:c>
      <x:c r="M4" s="6" t="str">
        <x:f>IF(Setup!$B$6="primary","",IFERROR(IF(INDEX('Primary_snapshot'!$L$2:$L$120,MATCH(A4,'Primary_snapshot'!$A$2:$A$120,0))="","",INDEX('Primary_snapshot'!$L$2:$L$120,MATCH(A4,'Primary_snapshot'!$A$2:$A$120,0))),"SNAPSHOT MISSING"))</x:f>
      </x:c>
      <x:c r="N4" s="7" t="str"/>
      <x:c r="O4" s="7" t="str"/>
      <x:c r="P4" s="7" t="str"/>
      <x:c r="Q4" s="7" t="str"/>
      <x:c r="R4" s="13" t="str"/>
    </x:row>
    <x:row r="5" ht="92" customHeight="1">
      <x:c r="A5" s="3" t="str">
        <x:v>2018::jama.2018.8802::C004</x:v>
      </x:c>
      <x:c r="B5" s="3" t="str">
        <x:v>eTable 4 AF-anticoagulation control percentage does not reproduce</x:v>
      </x:c>
      <x:c r="C5" s="3" t="str">
        <x:v>joi180070supp2_prod.pdf — PDF p. 8, eTable 4, Anticoagulation for Atrial Fibrillation, control cell.</x:v>
      </x:c>
      <x:c r="D5" s="7" t="str"/>
      <x:c r="E5" s="7" t="str">
        <x:v>statistical_results</x:v>
      </x:c>
      <x:c r="F5" s="7" t="str">
        <x:v>no</x:v>
      </x:c>
      <x:c r="G5" s="3" t="str">
        <x:f>IFERROR(IF(NOT(OR(Setup!$B$6="primary",Setup!$B$6="checker")),"CHECK STAGE",IF(OR(LEN(TRIM(Setup!$B$2))=0,Setup!$B$2&lt;&gt;TRIM(Setup!$B$2),AND(Setup!$B$6="checker",OR(LEN(TRIM(Setup!$B$4))=0,Setup!$B$4&lt;&gt;TRIM(Setup!$B$4),LOWER(TRIM(Setup!$B$4))=LOWER(TRIM(Setup!$B$2))))),"CHECK REVIEWER IDs",IF(OR(COUNTIF($A$2:$A$9,A5)&lt;&gt;1,COUNTIF(Decisions!$C$2:$C$120,A5)&lt;&gt;1),"CHECK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FIELDS",IF(Setup!$B$6="primary",IF(OR(N5&lt;&gt;"",O5&lt;&gt;"",P5&lt;&gt;"",Q5&lt;&gt;""),"CLEAR CHECKER FIELDS",IF(OR(Setup!$B$4&lt;&gt;"",Setup!$B$5&lt;&gt;""),"CLEAR CHECKER ID",IF(F5&lt;&gt;"primary_done","PRIMARY DRAFT","PRIMARY READY"))),IF(OR(COUNTIF(Primary_snapshot!$A$2:$A$120,A5)&lt;&gt;1,INDEX('Primary_snapshot'!$J$2:$J$120,MATCH(A5,'Primary_snapshot'!$A$2:$A$120,0))&lt;&gt;"primary_done",INDEX('Primary_snapshot'!$K$2:$K$120,MATCH(A5,'Primary_snapshot'!$A$2:$A$120,0))&lt;&gt;Setup!$B$2,INDEX('Primary_snapshot'!$B$2:$B$120,MATCH(A5,'Primary_snapshot'!$A$2:$A$120,0))="NOT FROZEN",INDEX('Primary_snapshot'!$C$2:$C$120,MATCH(A5,'Primary_snapshot'!$A$2:$A$120,0))="NOT FROZEN",INDEX('Primary_snapshot'!$D$2:$D$120,MATCH(A5,'Primary_snapshot'!$A$2:$A$120,0))="NOT FROZEN",INDEX('Primary_snapshot'!$E$2:$E$120,MATCH(A5,'Primary_snapshot'!$A$2:$A$120,0))="NOT FROZEN",INDEX('Primary_snapshot'!$F$2:$F$120,MATCH(A5,'Primary_snapshot'!$A$2:$A$120,0))="NOT FROZEN",INDEX('Primary_snapshot'!$G$2:$G$120,MATCH(A5,'Primary_snapshot'!$A$2:$A$120,0))="NOT FROZEN",INDEX('Primary_snapshot'!$H$2:$H$120,MATCH(A5,'Primary_snapshot'!$A$2:$A$120,0))="NOT FROZEN",INDEX('Primary_snapshot'!$I$2:$I$120,MATCH(A5,'Primary_snapshot'!$A$2:$A$120,0))="NOT FROZEN",INDEX('Primary_snapshot'!$J$2:$J$120,MATCH(A5,'Primary_snapshot'!$A$2:$A$120,0))="NOT FROZEN",INDEX('Primary_snapshot'!$K$2:$K$120,MATCH(A5,'Primary_snapshot'!$A$2:$A$120,0))="NOT FROZEN",INDEX('Primary_snapshot'!$L$2:$L$120,MATCH(A5,'Primary_snapshot'!$A$2:$A$120,0))="NOT FROZEN"),"FREEZE SNAPSHOT",IF(NOT(OR(N5="agree",N5="agree_clarification",N5="disagree",N5="unable")),"CHECKER RESULT NEEDED",IF(AND(N5&lt;&gt;"agree",LEN(TRIM(O5))=0),"COMMENT NEEDED",IF(AND(N5="agree",NOT(AND(IF(D5="","",D5)=IF(INDEX('Primary_snapshot'!$B$2:$B$120,MATCH(A5,'Primary_snapshot'!$A$2:$A$120,0))="","",INDEX('Primary_snapshot'!$B$2:$B$120,MATCH(A5,'Primary_snapshot'!$A$2:$A$120,0))),IF(E5="","",E5)=IF(INDEX('Primary_snapshot'!$C$2:$C$120,MATCH(A5,'Primary_snapshot'!$A$2:$A$120,0))="","",INDEX('Primary_snapshot'!$C$2:$C$120,MATCH(A5,'Primary_snapshot'!$A$2:$A$120,0))),IF(AND(D5="retain",E5="statistical_results"),IF(H5="","",H5),"not_applicable")=IF(INDEX('Primary_snapshot'!$D$2:$D$120,MATCH(A5,'Primary_snapshot'!$A$2:$A$120,0))="","",INDEX('Primary_snapshot'!$D$2:$D$120,MATCH(A5,'Primary_snapshot'!$A$2:$A$120,0))),IF(AND(D5="retain",E5="statistical_results"),IF(I5="","",I5),"not_applicable")=IF(INDEX('Primary_snapshot'!$E$2:$E$120,MATCH(A5,'Primary_snapshot'!$A$2:$A$120,0))="","",INDEX('Primary_snapshot'!$E$2:$E$120,MATCH(A5,'Primary_snapshot'!$A$2:$A$120,0))),IF(AND(D5="retain",E5="statistical_results"),IF(J5="","",J5),"not_applicable")=IF(INDEX('Primary_snapshot'!$F$2:$F$120,MATCH(A5,'Primary_snapshot'!$A$2:$A$120,0))="","",INDEX('Primary_snapshot'!$F$2:$F$120,MATCH(A5,'Primary_snapshot'!$A$2:$A$120,0))),IF(AND(D5="retain",OR(E5="report_internal_inconsistency",E5="plan_material")),IF(K5="","",K5),"not_applicable")=IF(INDEX('Primary_snapshot'!$G$2:$G$120,MATCH(A5,'Primary_snapshot'!$A$2:$A$120,0))="","",INDEX('Primary_snapshot'!$G$2:$G$120,MATCH(A5,'Primary_snapshot'!$A$2:$A$120,0))),IF(AND(D5="retain",E5="protocol_report"),IF(L5="","",L5),"not_applicable")=IF(INDEX('Primary_snapshot'!$H$2:$H$120,MATCH(A5,'Primary_snapshot'!$A$2:$A$120,0))="","",INDEX('Primary_snapshot'!$H$2:$H$120,MATCH(A5,'Primary_snapshot'!$A$2:$A$120,0))),IF(R5="","",R5)=IF(INDEX('Primary_snapshot'!$I$2:$I$120,MATCH(A5,'Primary_snapshot'!$A$2:$A$120,0))="","",INDEX('Primary_snapshot'!$I$2:$I$120,MATCH(A5,'Primary_snapshot'!$A$2:$A$120,0)))))),"AGREE BUT CHANGED",IF(AND(P5&lt;&gt;"",NOT(OR(P5="pending",P5="resolved"))),"CHECK RESOLUTION",IF(OR(AND(OR(D5="discuss",INDEX('Primary_snapshot'!$B$2:$B$120,MATCH(A5,'Primary_snapshot'!$A$2:$A$120,0))="discuss",N5="disagree",N5="unable"),P5&lt;&gt;"resolved"),D5="discuss"),"DISCUSS",IF(AND(P5="resolved",LEN(TRIM(Q5))=0),"RESOLUTION NOTE NEEDED",IF(F5&lt;&gt;"checker_done","CHECKER DRAFT","FINAL READY")))))))))))))),"CHECK KEY / SNAPSHOT")</x:f>
        <x:v>CHECK REVIEWER IDs</x:v>
      </x:c>
      <x:c r="H5" s="7" t="str">
        <x:f>IF(AND(OR(D5="retain",D5=""),E5="statistical_results"),"","not_applicable")</x:f>
      </x:c>
      <x:c r="I5" s="7" t="str">
        <x:f>IF(AND(OR(D5="retain",D5=""),E5="statistical_results"),"","not_applicable")</x:f>
      </x:c>
      <x:c r="J5" s="13" t="str">
        <x:f>IF(AND(OR(D5="retain",D5=""),E5="statistical_results"),"","not_applicable")</x:f>
      </x:c>
      <x:c r="K5" s="7" t="str">
        <x:f>IF(AND(OR(D5="retain",D5=""),OR(E5="report_internal_inconsistency",E5="plan_material")),"","not_applicable")</x:f>
        <x:v>not_applicable</x:v>
      </x:c>
      <x:c r="L5" s="13" t="str">
        <x:f>IF(AND(OR(D5="retain",D5=""),E5="protocol_report"),"","not_applicable")</x:f>
        <x:v>not_applicable</x:v>
      </x:c>
      <x:c r="M5" s="3" t="str">
        <x:f>IF(Setup!$B$6="primary","",IFERROR(IF(INDEX('Primary_snapshot'!$L$2:$L$120,MATCH(A5,'Primary_snapshot'!$A$2:$A$120,0))="","",INDEX('Primary_snapshot'!$L$2:$L$120,MATCH(A5,'Primary_snapshot'!$A$2:$A$120,0))),"SNAPSHOT MISSING"))</x:f>
      </x:c>
      <x:c r="N5" s="7" t="str"/>
      <x:c r="O5" s="7" t="str"/>
      <x:c r="P5" s="7" t="str"/>
      <x:c r="Q5" s="7" t="str"/>
      <x:c r="R5" s="13" t="str"/>
    </x:row>
    <x:row r="6" ht="92" customHeight="1">
      <x:c r="A6" s="6" t="str">
        <x:v>2018::jama.2018.8802::C005</x:v>
      </x:c>
      <x:c r="B6" s="6" t="str">
        <x:v>eTable 4 lipid-lowering control percentage does not reproduce</x:v>
      </x:c>
      <x:c r="C6" s="6" t="str">
        <x:v>joi180070supp2_prod.pdf — PDF p. 8, eTable 4, Lipid-lowering for LDL &gt;100 mg/dL, control cell.</x:v>
      </x:c>
      <x:c r="D6" s="7" t="str"/>
      <x:c r="E6" s="7" t="str">
        <x:v>statistical_results</x:v>
      </x:c>
      <x:c r="F6" s="7" t="str">
        <x:v>no</x:v>
      </x:c>
      <x:c r="G6" s="6" t="str">
        <x:f>IFERROR(IF(NOT(OR(Setup!$B$6="primary",Setup!$B$6="checker")),"CHECK STAGE",IF(OR(LEN(TRIM(Setup!$B$2))=0,Setup!$B$2&lt;&gt;TRIM(Setup!$B$2),AND(Setup!$B$6="checker",OR(LEN(TRIM(Setup!$B$4))=0,Setup!$B$4&lt;&gt;TRIM(Setup!$B$4),LOWER(TRIM(Setup!$B$4))=LOWER(TRIM(Setup!$B$2))))),"CHECK REVIEWER IDs",IF(OR(COUNTIF($A$2:$A$9,A6)&lt;&gt;1,COUNTIF(Decisions!$C$2:$C$120,A6)&lt;&gt;1),"CHECK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FIELDS",IF(Setup!$B$6="primary",IF(OR(N6&lt;&gt;"",O6&lt;&gt;"",P6&lt;&gt;"",Q6&lt;&gt;""),"CLEAR CHECKER FIELDS",IF(OR(Setup!$B$4&lt;&gt;"",Setup!$B$5&lt;&gt;""),"CLEAR CHECKER ID",IF(F6&lt;&gt;"primary_done","PRIMARY DRAFT","PRIMARY READY"))),IF(OR(COUNTIF(Primary_snapshot!$A$2:$A$120,A6)&lt;&gt;1,INDEX('Primary_snapshot'!$J$2:$J$120,MATCH(A6,'Primary_snapshot'!$A$2:$A$120,0))&lt;&gt;"primary_done",INDEX('Primary_snapshot'!$K$2:$K$120,MATCH(A6,'Primary_snapshot'!$A$2:$A$120,0))&lt;&gt;Setup!$B$2,INDEX('Primary_snapshot'!$B$2:$B$120,MATCH(A6,'Primary_snapshot'!$A$2:$A$120,0))="NOT FROZEN",INDEX('Primary_snapshot'!$C$2:$C$120,MATCH(A6,'Primary_snapshot'!$A$2:$A$120,0))="NOT FROZEN",INDEX('Primary_snapshot'!$D$2:$D$120,MATCH(A6,'Primary_snapshot'!$A$2:$A$120,0))="NOT FROZEN",INDEX('Primary_snapshot'!$E$2:$E$120,MATCH(A6,'Primary_snapshot'!$A$2:$A$120,0))="NOT FROZEN",INDEX('Primary_snapshot'!$F$2:$F$120,MATCH(A6,'Primary_snapshot'!$A$2:$A$120,0))="NOT FROZEN",INDEX('Primary_snapshot'!$G$2:$G$120,MATCH(A6,'Primary_snapshot'!$A$2:$A$120,0))="NOT FROZEN",INDEX('Primary_snapshot'!$H$2:$H$120,MATCH(A6,'Primary_snapshot'!$A$2:$A$120,0))="NOT FROZEN",INDEX('Primary_snapshot'!$I$2:$I$120,MATCH(A6,'Primary_snapshot'!$A$2:$A$120,0))="NOT FROZEN",INDEX('Primary_snapshot'!$J$2:$J$120,MATCH(A6,'Primary_snapshot'!$A$2:$A$120,0))="NOT FROZEN",INDEX('Primary_snapshot'!$K$2:$K$120,MATCH(A6,'Primary_snapshot'!$A$2:$A$120,0))="NOT FROZEN",INDEX('Primary_snapshot'!$L$2:$L$120,MATCH(A6,'Primary_snapshot'!$A$2:$A$120,0))="NOT FROZEN"),"FREEZE SNAPSHOT",IF(NOT(OR(N6="agree",N6="agree_clarification",N6="disagree",N6="unable")),"CHECKER RESULT NEEDED",IF(AND(N6&lt;&gt;"agree",LEN(TRIM(O6))=0),"COMMENT NEEDED",IF(AND(N6="agree",NOT(AND(IF(D6="","",D6)=IF(INDEX('Primary_snapshot'!$B$2:$B$120,MATCH(A6,'Primary_snapshot'!$A$2:$A$120,0))="","",INDEX('Primary_snapshot'!$B$2:$B$120,MATCH(A6,'Primary_snapshot'!$A$2:$A$120,0))),IF(E6="","",E6)=IF(INDEX('Primary_snapshot'!$C$2:$C$120,MATCH(A6,'Primary_snapshot'!$A$2:$A$120,0))="","",INDEX('Primary_snapshot'!$C$2:$C$120,MATCH(A6,'Primary_snapshot'!$A$2:$A$120,0))),IF(AND(D6="retain",E6="statistical_results"),IF(H6="","",H6),"not_applicable")=IF(INDEX('Primary_snapshot'!$D$2:$D$120,MATCH(A6,'Primary_snapshot'!$A$2:$A$120,0))="","",INDEX('Primary_snapshot'!$D$2:$D$120,MATCH(A6,'Primary_snapshot'!$A$2:$A$120,0))),IF(AND(D6="retain",E6="statistical_results"),IF(I6="","",I6),"not_applicable")=IF(INDEX('Primary_snapshot'!$E$2:$E$120,MATCH(A6,'Primary_snapshot'!$A$2:$A$120,0))="","",INDEX('Primary_snapshot'!$E$2:$E$120,MATCH(A6,'Primary_snapshot'!$A$2:$A$120,0))),IF(AND(D6="retain",E6="statistical_results"),IF(J6="","",J6),"not_applicable")=IF(INDEX('Primary_snapshot'!$F$2:$F$120,MATCH(A6,'Primary_snapshot'!$A$2:$A$120,0))="","",INDEX('Primary_snapshot'!$F$2:$F$120,MATCH(A6,'Primary_snapshot'!$A$2:$A$120,0))),IF(AND(D6="retain",OR(E6="report_internal_inconsistency",E6="plan_material")),IF(K6="","",K6),"not_applicable")=IF(INDEX('Primary_snapshot'!$G$2:$G$120,MATCH(A6,'Primary_snapshot'!$A$2:$A$120,0))="","",INDEX('Primary_snapshot'!$G$2:$G$120,MATCH(A6,'Primary_snapshot'!$A$2:$A$120,0))),IF(AND(D6="retain",E6="protocol_report"),IF(L6="","",L6),"not_applicable")=IF(INDEX('Primary_snapshot'!$H$2:$H$120,MATCH(A6,'Primary_snapshot'!$A$2:$A$120,0))="","",INDEX('Primary_snapshot'!$H$2:$H$120,MATCH(A6,'Primary_snapshot'!$A$2:$A$120,0))),IF(R6="","",R6)=IF(INDEX('Primary_snapshot'!$I$2:$I$120,MATCH(A6,'Primary_snapshot'!$A$2:$A$120,0))="","",INDEX('Primary_snapshot'!$I$2:$I$120,MATCH(A6,'Primary_snapshot'!$A$2:$A$120,0)))))),"AGREE BUT CHANGED",IF(AND(P6&lt;&gt;"",NOT(OR(P6="pending",P6="resolved"))),"CHECK RESOLUTION",IF(OR(AND(OR(D6="discuss",INDEX('Primary_snapshot'!$B$2:$B$120,MATCH(A6,'Primary_snapshot'!$A$2:$A$120,0))="discuss",N6="disagree",N6="unable"),P6&lt;&gt;"resolved"),D6="discuss"),"DISCUSS",IF(AND(P6="resolved",LEN(TRIM(Q6))=0),"RESOLUTION NOTE NEEDED",IF(F6&lt;&gt;"checker_done","CHECKER DRAFT","FINAL READY")))))))))))))),"CHECK KEY / SNAPSHOT")</x:f>
        <x:v>CHECK REVIEWER IDs</x:v>
      </x:c>
      <x:c r="H6" s="7" t="str">
        <x:f>IF(AND(OR(D6="retain",D6=""),E6="statistical_results"),"","not_applicable")</x:f>
      </x:c>
      <x:c r="I6" s="7" t="str">
        <x:f>IF(AND(OR(D6="retain",D6=""),E6="statistical_results"),"","not_applicable")</x:f>
      </x:c>
      <x:c r="J6" s="13" t="str">
        <x:f>IF(AND(OR(D6="retain",D6=""),E6="statistical_results"),"","not_applicable")</x:f>
      </x:c>
      <x:c r="K6" s="7" t="str">
        <x:f>IF(AND(OR(D6="retain",D6=""),OR(E6="report_internal_inconsistency",E6="plan_material")),"","not_applicable")</x:f>
        <x:v>not_applicable</x:v>
      </x:c>
      <x:c r="L6" s="13" t="str">
        <x:f>IF(AND(OR(D6="retain",D6=""),E6="protocol_report"),"","not_applicable")</x:f>
        <x:v>not_applicable</x:v>
      </x:c>
      <x:c r="M6" s="6" t="str">
        <x:f>IF(Setup!$B$6="primary","",IFERROR(IF(INDEX('Primary_snapshot'!$L$2:$L$120,MATCH(A6,'Primary_snapshot'!$A$2:$A$120,0))="","",INDEX('Primary_snapshot'!$L$2:$L$120,MATCH(A6,'Primary_snapshot'!$A$2:$A$120,0))),"SNAPSHOT MISSING"))</x:f>
      </x:c>
      <x:c r="N6" s="7" t="str"/>
      <x:c r="O6" s="7" t="str"/>
      <x:c r="P6" s="7" t="str"/>
      <x:c r="Q6" s="7" t="str"/>
      <x:c r="R6" s="13" t="str"/>
    </x:row>
    <x:row r="7" ht="92" customHeight="1">
      <x:c r="A7" s="3" t="str">
        <x:v>2018::jama.2018.8802::C006</x:v>
      </x:c>
      <x:c r="B7" s="3" t="str">
        <x:v>eTable 4 antidiabetic-medication control percentage does not reproduce</x:v>
      </x:c>
      <x:c r="C7" s="3" t="str">
        <x:v>joi180070supp2_prod.pdf — PDF p. 8, eTable 4, Antidiabetic Medication, control cell.</x:v>
      </x:c>
      <x:c r="D7" s="7" t="str"/>
      <x:c r="E7" s="7" t="str">
        <x:v>statistical_results</x:v>
      </x:c>
      <x:c r="F7" s="7" t="str">
        <x:v>no</x:v>
      </x:c>
      <x:c r="G7" s="3" t="str">
        <x:f>IFERROR(IF(NOT(OR(Setup!$B$6="primary",Setup!$B$6="checker")),"CHECK STAGE",IF(OR(LEN(TRIM(Setup!$B$2))=0,Setup!$B$2&lt;&gt;TRIM(Setup!$B$2),AND(Setup!$B$6="checker",OR(LEN(TRIM(Setup!$B$4))=0,Setup!$B$4&lt;&gt;TRIM(Setup!$B$4),LOWER(TRIM(Setup!$B$4))=LOWER(TRIM(Setup!$B$2))))),"CHECK REVIEWER IDs",IF(OR(COUNTIF($A$2:$A$9,A7)&lt;&gt;1,COUNTIF(Decisions!$C$2:$C$120,A7)&lt;&gt;1),"CHECK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FIELDS",IF(Setup!$B$6="primary",IF(OR(N7&lt;&gt;"",O7&lt;&gt;"",P7&lt;&gt;"",Q7&lt;&gt;""),"CLEAR CHECKER FIELDS",IF(OR(Setup!$B$4&lt;&gt;"",Setup!$B$5&lt;&gt;""),"CLEAR CHECKER ID",IF(F7&lt;&gt;"primary_done","PRIMARY DRAFT","PRIMARY READY"))),IF(OR(COUNTIF(Primary_snapshot!$A$2:$A$120,A7)&lt;&gt;1,INDEX('Primary_snapshot'!$J$2:$J$120,MATCH(A7,'Primary_snapshot'!$A$2:$A$120,0))&lt;&gt;"primary_done",INDEX('Primary_snapshot'!$K$2:$K$120,MATCH(A7,'Primary_snapshot'!$A$2:$A$120,0))&lt;&gt;Setup!$B$2,INDEX('Primary_snapshot'!$B$2:$B$120,MATCH(A7,'Primary_snapshot'!$A$2:$A$120,0))="NOT FROZEN",INDEX('Primary_snapshot'!$C$2:$C$120,MATCH(A7,'Primary_snapshot'!$A$2:$A$120,0))="NOT FROZEN",INDEX('Primary_snapshot'!$D$2:$D$120,MATCH(A7,'Primary_snapshot'!$A$2:$A$120,0))="NOT FROZEN",INDEX('Primary_snapshot'!$E$2:$E$120,MATCH(A7,'Primary_snapshot'!$A$2:$A$120,0))="NOT FROZEN",INDEX('Primary_snapshot'!$F$2:$F$120,MATCH(A7,'Primary_snapshot'!$A$2:$A$120,0))="NOT FROZEN",INDEX('Primary_snapshot'!$G$2:$G$120,MATCH(A7,'Primary_snapshot'!$A$2:$A$120,0))="NOT FROZEN",INDEX('Primary_snapshot'!$H$2:$H$120,MATCH(A7,'Primary_snapshot'!$A$2:$A$120,0))="NOT FROZEN",INDEX('Primary_snapshot'!$I$2:$I$120,MATCH(A7,'Primary_snapshot'!$A$2:$A$120,0))="NOT FROZEN",INDEX('Primary_snapshot'!$J$2:$J$120,MATCH(A7,'Primary_snapshot'!$A$2:$A$120,0))="NOT FROZEN",INDEX('Primary_snapshot'!$K$2:$K$120,MATCH(A7,'Primary_snapshot'!$A$2:$A$120,0))="NOT FROZEN",INDEX('Primary_snapshot'!$L$2:$L$120,MATCH(A7,'Primary_snapshot'!$A$2:$A$120,0))="NOT FROZEN"),"FREEZE SNAPSHOT",IF(NOT(OR(N7="agree",N7="agree_clarification",N7="disagree",N7="unable")),"CHECKER RESULT NEEDED",IF(AND(N7&lt;&gt;"agree",LEN(TRIM(O7))=0),"COMMENT NEEDED",IF(AND(N7="agree",NOT(AND(IF(D7="","",D7)=IF(INDEX('Primary_snapshot'!$B$2:$B$120,MATCH(A7,'Primary_snapshot'!$A$2:$A$120,0))="","",INDEX('Primary_snapshot'!$B$2:$B$120,MATCH(A7,'Primary_snapshot'!$A$2:$A$120,0))),IF(E7="","",E7)=IF(INDEX('Primary_snapshot'!$C$2:$C$120,MATCH(A7,'Primary_snapshot'!$A$2:$A$120,0))="","",INDEX('Primary_snapshot'!$C$2:$C$120,MATCH(A7,'Primary_snapshot'!$A$2:$A$120,0))),IF(AND(D7="retain",E7="statistical_results"),IF(H7="","",H7),"not_applicable")=IF(INDEX('Primary_snapshot'!$D$2:$D$120,MATCH(A7,'Primary_snapshot'!$A$2:$A$120,0))="","",INDEX('Primary_snapshot'!$D$2:$D$120,MATCH(A7,'Primary_snapshot'!$A$2:$A$120,0))),IF(AND(D7="retain",E7="statistical_results"),IF(I7="","",I7),"not_applicable")=IF(INDEX('Primary_snapshot'!$E$2:$E$120,MATCH(A7,'Primary_snapshot'!$A$2:$A$120,0))="","",INDEX('Primary_snapshot'!$E$2:$E$120,MATCH(A7,'Primary_snapshot'!$A$2:$A$120,0))),IF(AND(D7="retain",E7="statistical_results"),IF(J7="","",J7),"not_applicable")=IF(INDEX('Primary_snapshot'!$F$2:$F$120,MATCH(A7,'Primary_snapshot'!$A$2:$A$120,0))="","",INDEX('Primary_snapshot'!$F$2:$F$120,MATCH(A7,'Primary_snapshot'!$A$2:$A$120,0))),IF(AND(D7="retain",OR(E7="report_internal_inconsistency",E7="plan_material")),IF(K7="","",K7),"not_applicable")=IF(INDEX('Primary_snapshot'!$G$2:$G$120,MATCH(A7,'Primary_snapshot'!$A$2:$A$120,0))="","",INDEX('Primary_snapshot'!$G$2:$G$120,MATCH(A7,'Primary_snapshot'!$A$2:$A$120,0))),IF(AND(D7="retain",E7="protocol_report"),IF(L7="","",L7),"not_applicable")=IF(INDEX('Primary_snapshot'!$H$2:$H$120,MATCH(A7,'Primary_snapshot'!$A$2:$A$120,0))="","",INDEX('Primary_snapshot'!$H$2:$H$120,MATCH(A7,'Primary_snapshot'!$A$2:$A$120,0))),IF(R7="","",R7)=IF(INDEX('Primary_snapshot'!$I$2:$I$120,MATCH(A7,'Primary_snapshot'!$A$2:$A$120,0))="","",INDEX('Primary_snapshot'!$I$2:$I$120,MATCH(A7,'Primary_snapshot'!$A$2:$A$120,0)))))),"AGREE BUT CHANGED",IF(AND(P7&lt;&gt;"",NOT(OR(P7="pending",P7="resolved"))),"CHECK RESOLUTION",IF(OR(AND(OR(D7="discuss",INDEX('Primary_snapshot'!$B$2:$B$120,MATCH(A7,'Primary_snapshot'!$A$2:$A$120,0))="discuss",N7="disagree",N7="unable"),P7&lt;&gt;"resolved"),D7="discuss"),"DISCUSS",IF(AND(P7="resolved",LEN(TRIM(Q7))=0),"RESOLUTION NOTE NEEDED",IF(F7&lt;&gt;"checker_done","CHECKER DRAFT","FINAL READY")))))))))))))),"CHECK KEY / SNAPSHOT")</x:f>
        <x:v>CHECK REVIEWER IDs</x:v>
      </x:c>
      <x:c r="H7" s="7" t="str">
        <x:f>IF(AND(OR(D7="retain",D7=""),E7="statistical_results"),"","not_applicable")</x:f>
      </x:c>
      <x:c r="I7" s="7" t="str">
        <x:f>IF(AND(OR(D7="retain",D7=""),E7="statistical_results"),"","not_applicable")</x:f>
      </x:c>
      <x:c r="J7" s="13" t="str">
        <x:f>IF(AND(OR(D7="retain",D7=""),E7="statistical_results"),"","not_applicable")</x:f>
      </x:c>
      <x:c r="K7" s="7" t="str">
        <x:f>IF(AND(OR(D7="retain",D7=""),OR(E7="report_internal_inconsistency",E7="plan_material")),"","not_applicable")</x:f>
        <x:v>not_applicable</x:v>
      </x:c>
      <x:c r="L7" s="13" t="str">
        <x:f>IF(AND(OR(D7="retain",D7=""),E7="protocol_report"),"","not_applicable")</x:f>
        <x:v>not_applicable</x:v>
      </x:c>
      <x:c r="M7" s="3" t="str">
        <x:f>IF(Setup!$B$6="primary","",IFERROR(IF(INDEX('Primary_snapshot'!$L$2:$L$120,MATCH(A7,'Primary_snapshot'!$A$2:$A$120,0))="","",INDEX('Primary_snapshot'!$L$2:$L$120,MATCH(A7,'Primary_snapshot'!$A$2:$A$120,0))),"SNAPSHOT MISSING"))</x:f>
      </x:c>
      <x:c r="N7" s="7" t="str"/>
      <x:c r="O7" s="7" t="str"/>
      <x:c r="P7" s="7" t="str"/>
      <x:c r="Q7" s="7" t="str"/>
      <x:c r="R7" s="13" t="str"/>
    </x:row>
    <x:row r="8" ht="92" customHeight="1">
      <x:c r="A8" s="6" t="str">
        <x:v>2018::jama.2018.8802::C007</x:v>
      </x:c>
      <x:c r="B8" s="6" t="str">
        <x:v>baseline-survey patient total does not reconcile with stated per-cluster inclusion</x:v>
      </x:c>
      <x:c r="C8" s="6" t="str">
        <x:v>jama_wang_2018_oi_180070.pdf — PDF p. 6, Table 1 baseline-survey Hospitals, No. = 40 and Patients, No. = 801; joi180070supp2_prod.pdf — PDF p. 2, eAppendix baseline-survey statement; jama_wang_2018_oi_180070.pdf — PDF p. 5, Figure 1; joi180070supp1_prod.pdf — PDF p. 4 and PDF p. 7, 40-cluster statements.</x:v>
      </x:c>
      <x:c r="D8" s="7" t="str"/>
      <x:c r="E8" s="7" t="str">
        <x:v>report_internal_inconsistency</x:v>
      </x:c>
      <x:c r="F8" s="7" t="str">
        <x:v>no</x:v>
      </x:c>
      <x:c r="G8" s="6" t="str">
        <x:f>IFERROR(IF(NOT(OR(Setup!$B$6="primary",Setup!$B$6="checker")),"CHECK STAGE",IF(OR(LEN(TRIM(Setup!$B$2))=0,Setup!$B$2&lt;&gt;TRIM(Setup!$B$2),AND(Setup!$B$6="checker",OR(LEN(TRIM(Setup!$B$4))=0,Setup!$B$4&lt;&gt;TRIM(Setup!$B$4),LOWER(TRIM(Setup!$B$4))=LOWER(TRIM(Setup!$B$2))))),"CHECK REVIEWER IDs",IF(OR(COUNTIF($A$2:$A$9,A8)&lt;&gt;1,COUNTIF(Decisions!$C$2:$C$120,A8)&lt;&gt;1),"CHECK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FIELDS",IF(Setup!$B$6="primary",IF(OR(N8&lt;&gt;"",O8&lt;&gt;"",P8&lt;&gt;"",Q8&lt;&gt;""),"CLEAR CHECKER FIELDS",IF(OR(Setup!$B$4&lt;&gt;"",Setup!$B$5&lt;&gt;""),"CLEAR CHECKER ID",IF(F8&lt;&gt;"primary_done","PRIMARY DRAFT","PRIMARY READY"))),IF(OR(COUNTIF(Primary_snapshot!$A$2:$A$120,A8)&lt;&gt;1,INDEX('Primary_snapshot'!$J$2:$J$120,MATCH(A8,'Primary_snapshot'!$A$2:$A$120,0))&lt;&gt;"primary_done",INDEX('Primary_snapshot'!$K$2:$K$120,MATCH(A8,'Primary_snapshot'!$A$2:$A$120,0))&lt;&gt;Setup!$B$2,INDEX('Primary_snapshot'!$B$2:$B$120,MATCH(A8,'Primary_snapshot'!$A$2:$A$120,0))="NOT FROZEN",INDEX('Primary_snapshot'!$C$2:$C$120,MATCH(A8,'Primary_snapshot'!$A$2:$A$120,0))="NOT FROZEN",INDEX('Primary_snapshot'!$D$2:$D$120,MATCH(A8,'Primary_snapshot'!$A$2:$A$120,0))="NOT FROZEN",INDEX('Primary_snapshot'!$E$2:$E$120,MATCH(A8,'Primary_snapshot'!$A$2:$A$120,0))="NOT FROZEN",INDEX('Primary_snapshot'!$F$2:$F$120,MATCH(A8,'Primary_snapshot'!$A$2:$A$120,0))="NOT FROZEN",INDEX('Primary_snapshot'!$G$2:$G$120,MATCH(A8,'Primary_snapshot'!$A$2:$A$120,0))="NOT FROZEN",INDEX('Primary_snapshot'!$H$2:$H$120,MATCH(A8,'Primary_snapshot'!$A$2:$A$120,0))="NOT FROZEN",INDEX('Primary_snapshot'!$I$2:$I$120,MATCH(A8,'Primary_snapshot'!$A$2:$A$120,0))="NOT FROZEN",INDEX('Primary_snapshot'!$J$2:$J$120,MATCH(A8,'Primary_snapshot'!$A$2:$A$120,0))="NOT FROZEN",INDEX('Primary_snapshot'!$K$2:$K$120,MATCH(A8,'Primary_snapshot'!$A$2:$A$120,0))="NOT FROZEN",INDEX('Primary_snapshot'!$L$2:$L$120,MATCH(A8,'Primary_snapshot'!$A$2:$A$120,0))="NOT FROZEN"),"FREEZE SNAPSHOT",IF(NOT(OR(N8="agree",N8="agree_clarification",N8="disagree",N8="unable")),"CHECKER RESULT NEEDED",IF(AND(N8&lt;&gt;"agree",LEN(TRIM(O8))=0),"COMMENT NEEDED",IF(AND(N8="agree",NOT(AND(IF(D8="","",D8)=IF(INDEX('Primary_snapshot'!$B$2:$B$120,MATCH(A8,'Primary_snapshot'!$A$2:$A$120,0))="","",INDEX('Primary_snapshot'!$B$2:$B$120,MATCH(A8,'Primary_snapshot'!$A$2:$A$120,0))),IF(E8="","",E8)=IF(INDEX('Primary_snapshot'!$C$2:$C$120,MATCH(A8,'Primary_snapshot'!$A$2:$A$120,0))="","",INDEX('Primary_snapshot'!$C$2:$C$120,MATCH(A8,'Primary_snapshot'!$A$2:$A$120,0))),IF(AND(D8="retain",E8="statistical_results"),IF(H8="","",H8),"not_applicable")=IF(INDEX('Primary_snapshot'!$D$2:$D$120,MATCH(A8,'Primary_snapshot'!$A$2:$A$120,0))="","",INDEX('Primary_snapshot'!$D$2:$D$120,MATCH(A8,'Primary_snapshot'!$A$2:$A$120,0))),IF(AND(D8="retain",E8="statistical_results"),IF(I8="","",I8),"not_applicable")=IF(INDEX('Primary_snapshot'!$E$2:$E$120,MATCH(A8,'Primary_snapshot'!$A$2:$A$120,0))="","",INDEX('Primary_snapshot'!$E$2:$E$120,MATCH(A8,'Primary_snapshot'!$A$2:$A$120,0))),IF(AND(D8="retain",E8="statistical_results"),IF(J8="","",J8),"not_applicable")=IF(INDEX('Primary_snapshot'!$F$2:$F$120,MATCH(A8,'Primary_snapshot'!$A$2:$A$120,0))="","",INDEX('Primary_snapshot'!$F$2:$F$120,MATCH(A8,'Primary_snapshot'!$A$2:$A$120,0))),IF(AND(D8="retain",OR(E8="report_internal_inconsistency",E8="plan_material")),IF(K8="","",K8),"not_applicable")=IF(INDEX('Primary_snapshot'!$G$2:$G$120,MATCH(A8,'Primary_snapshot'!$A$2:$A$120,0))="","",INDEX('Primary_snapshot'!$G$2:$G$120,MATCH(A8,'Primary_snapshot'!$A$2:$A$120,0))),IF(AND(D8="retain",E8="protocol_report"),IF(L8="","",L8),"not_applicable")=IF(INDEX('Primary_snapshot'!$H$2:$H$120,MATCH(A8,'Primary_snapshot'!$A$2:$A$120,0))="","",INDEX('Primary_snapshot'!$H$2:$H$120,MATCH(A8,'Primary_snapshot'!$A$2:$A$120,0))),IF(R8="","",R8)=IF(INDEX('Primary_snapshot'!$I$2:$I$120,MATCH(A8,'Primary_snapshot'!$A$2:$A$120,0))="","",INDEX('Primary_snapshot'!$I$2:$I$120,MATCH(A8,'Primary_snapshot'!$A$2:$A$120,0)))))),"AGREE BUT CHANGED",IF(AND(P8&lt;&gt;"",NOT(OR(P8="pending",P8="resolved"))),"CHECK RESOLUTION",IF(OR(AND(OR(D8="discuss",INDEX('Primary_snapshot'!$B$2:$B$120,MATCH(A8,'Primary_snapshot'!$A$2:$A$120,0))="discuss",N8="disagree",N8="unable"),P8&lt;&gt;"resolved"),D8="discuss"),"DISCUSS",IF(AND(P8="resolved",LEN(TRIM(Q8))=0),"RESOLUTION NOTE NEEDED",IF(F8&lt;&gt;"checker_done","CHECKER DRAFT","FINAL READY")))))))))))))),"CHECK KEY / SNAPSHOT")</x:f>
        <x:v>CHECK REVIEWER IDs</x:v>
      </x:c>
      <x:c r="H8" s="7" t="str">
        <x:f>IF(AND(OR(D8="retain",D8=""),E8="statistical_results"),"","not_applicable")</x:f>
        <x:v>not_applicable</x:v>
      </x:c>
      <x:c r="I8" s="7" t="str">
        <x:f>IF(AND(OR(D8="retain",D8=""),E8="statistical_results"),"","not_applicable")</x:f>
        <x:v>not_applicable</x:v>
      </x:c>
      <x:c r="J8" s="13" t="str">
        <x:f>IF(AND(OR(D8="retain",D8=""),E8="statistical_results"),"","not_applicable")</x:f>
        <x:v>not_applicable</x:v>
      </x:c>
      <x:c r="K8" s="7" t="str">
        <x:f>IF(AND(OR(D8="retain",D8=""),OR(E8="report_internal_inconsistency",E8="plan_material")),"","not_applicable")</x:f>
      </x:c>
      <x:c r="L8" s="13" t="str">
        <x:f>IF(AND(OR(D8="retain",D8=""),E8="protocol_report"),"","not_applicable")</x:f>
        <x:v>not_applicable</x:v>
      </x:c>
      <x:c r="M8" s="6" t="str">
        <x:f>IF(Setup!$B$6="primary","",IFERROR(IF(INDEX('Primary_snapshot'!$L$2:$L$120,MATCH(A8,'Primary_snapshot'!$A$2:$A$120,0))="","",INDEX('Primary_snapshot'!$L$2:$L$120,MATCH(A8,'Primary_snapshot'!$A$2:$A$120,0))),"SNAPSHOT MISSING"))</x:f>
      </x:c>
      <x:c r="N8" s="7" t="str"/>
      <x:c r="O8" s="7" t="str"/>
      <x:c r="P8" s="7" t="str"/>
      <x:c r="Q8" s="7" t="str"/>
      <x:c r="R8" s="13" t="str"/>
    </x:row>
    <x:row r="9" ht="92" customHeight="1">
      <x:c r="A9" s="3" t="str">
        <x:v>2018::jama.2018.8802::C008</x:v>
      </x:c>
      <x:c r="B9" s="3" t="str">
        <x:v>in-hospital death absolute-difference CI and P value do not reconcile</x:v>
      </x:c>
      <x:c r="C9" s="3" t="str">
        <x:v>jama_wang_2018_oi_180070.pdf — PDF p. 8, Table 3 Death / In hospital row, absolute-difference and adjacent P-value columns; jama_wang_2018_oi_180070.pdf — PDF p. 4, data-analysis statements.</x:v>
      </x:c>
      <x:c r="D9" s="7" t="str"/>
      <x:c r="E9" s="7" t="str">
        <x:v>statistical_results</x:v>
      </x:c>
      <x:c r="F9" s="7" t="str">
        <x:v>no</x:v>
      </x:c>
      <x:c r="G9" s="3" t="str">
        <x:f>IFERROR(IF(NOT(OR(Setup!$B$6="primary",Setup!$B$6="checker")),"CHECK STAGE",IF(OR(LEN(TRIM(Setup!$B$2))=0,Setup!$B$2&lt;&gt;TRIM(Setup!$B$2),AND(Setup!$B$6="checker",OR(LEN(TRIM(Setup!$B$4))=0,Setup!$B$4&lt;&gt;TRIM(Setup!$B$4),LOWER(TRIM(Setup!$B$4))=LOWER(TRIM(Setup!$B$2))))),"CHECK REVIEWER IDs",IF(OR(COUNTIF($A$2:$A$9,A9)&lt;&gt;1,COUNTIF(Decisions!$C$2:$C$120,A9)&lt;&gt;1),"CHECK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FIELDS",IF(Setup!$B$6="primary",IF(OR(N9&lt;&gt;"",O9&lt;&gt;"",P9&lt;&gt;"",Q9&lt;&gt;""),"CLEAR CHECKER FIELDS",IF(OR(Setup!$B$4&lt;&gt;"",Setup!$B$5&lt;&gt;""),"CLEAR CHECKER ID",IF(F9&lt;&gt;"primary_done","PRIMARY DRAFT","PRIMARY READY"))),IF(OR(COUNTIF(Primary_snapshot!$A$2:$A$120,A9)&lt;&gt;1,INDEX('Primary_snapshot'!$J$2:$J$120,MATCH(A9,'Primary_snapshot'!$A$2:$A$120,0))&lt;&gt;"primary_done",INDEX('Primary_snapshot'!$K$2:$K$120,MATCH(A9,'Primary_snapshot'!$A$2:$A$120,0))&lt;&gt;Setup!$B$2,INDEX('Primary_snapshot'!$B$2:$B$120,MATCH(A9,'Primary_snapshot'!$A$2:$A$120,0))="NOT FROZEN",INDEX('Primary_snapshot'!$C$2:$C$120,MATCH(A9,'Primary_snapshot'!$A$2:$A$120,0))="NOT FROZEN",INDEX('Primary_snapshot'!$D$2:$D$120,MATCH(A9,'Primary_snapshot'!$A$2:$A$120,0))="NOT FROZEN",INDEX('Primary_snapshot'!$E$2:$E$120,MATCH(A9,'Primary_snapshot'!$A$2:$A$120,0))="NOT FROZEN",INDEX('Primary_snapshot'!$F$2:$F$120,MATCH(A9,'Primary_snapshot'!$A$2:$A$120,0))="NOT FROZEN",INDEX('Primary_snapshot'!$G$2:$G$120,MATCH(A9,'Primary_snapshot'!$A$2:$A$120,0))="NOT FROZEN",INDEX('Primary_snapshot'!$H$2:$H$120,MATCH(A9,'Primary_snapshot'!$A$2:$A$120,0))="NOT FROZEN",INDEX('Primary_snapshot'!$I$2:$I$120,MATCH(A9,'Primary_snapshot'!$A$2:$A$120,0))="NOT FROZEN",INDEX('Primary_snapshot'!$J$2:$J$120,MATCH(A9,'Primary_snapshot'!$A$2:$A$120,0))="NOT FROZEN",INDEX('Primary_snapshot'!$K$2:$K$120,MATCH(A9,'Primary_snapshot'!$A$2:$A$120,0))="NOT FROZEN",INDEX('Primary_snapshot'!$L$2:$L$120,MATCH(A9,'Primary_snapshot'!$A$2:$A$120,0))="NOT FROZEN"),"FREEZE SNAPSHOT",IF(NOT(OR(N9="agree",N9="agree_clarification",N9="disagree",N9="unable")),"CHECKER RESULT NEEDED",IF(AND(N9&lt;&gt;"agree",LEN(TRIM(O9))=0),"COMMENT NEEDED",IF(AND(N9="agree",NOT(AND(IF(D9="","",D9)=IF(INDEX('Primary_snapshot'!$B$2:$B$120,MATCH(A9,'Primary_snapshot'!$A$2:$A$120,0))="","",INDEX('Primary_snapshot'!$B$2:$B$120,MATCH(A9,'Primary_snapshot'!$A$2:$A$120,0))),IF(E9="","",E9)=IF(INDEX('Primary_snapshot'!$C$2:$C$120,MATCH(A9,'Primary_snapshot'!$A$2:$A$120,0))="","",INDEX('Primary_snapshot'!$C$2:$C$120,MATCH(A9,'Primary_snapshot'!$A$2:$A$120,0))),IF(AND(D9="retain",E9="statistical_results"),IF(H9="","",H9),"not_applicable")=IF(INDEX('Primary_snapshot'!$D$2:$D$120,MATCH(A9,'Primary_snapshot'!$A$2:$A$120,0))="","",INDEX('Primary_snapshot'!$D$2:$D$120,MATCH(A9,'Primary_snapshot'!$A$2:$A$120,0))),IF(AND(D9="retain",E9="statistical_results"),IF(I9="","",I9),"not_applicable")=IF(INDEX('Primary_snapshot'!$E$2:$E$120,MATCH(A9,'Primary_snapshot'!$A$2:$A$120,0))="","",INDEX('Primary_snapshot'!$E$2:$E$120,MATCH(A9,'Primary_snapshot'!$A$2:$A$120,0))),IF(AND(D9="retain",E9="statistical_results"),IF(J9="","",J9),"not_applicable")=IF(INDEX('Primary_snapshot'!$F$2:$F$120,MATCH(A9,'Primary_snapshot'!$A$2:$A$120,0))="","",INDEX('Primary_snapshot'!$F$2:$F$120,MATCH(A9,'Primary_snapshot'!$A$2:$A$120,0))),IF(AND(D9="retain",OR(E9="report_internal_inconsistency",E9="plan_material")),IF(K9="","",K9),"not_applicable")=IF(INDEX('Primary_snapshot'!$G$2:$G$120,MATCH(A9,'Primary_snapshot'!$A$2:$A$120,0))="","",INDEX('Primary_snapshot'!$G$2:$G$120,MATCH(A9,'Primary_snapshot'!$A$2:$A$120,0))),IF(AND(D9="retain",E9="protocol_report"),IF(L9="","",L9),"not_applicable")=IF(INDEX('Primary_snapshot'!$H$2:$H$120,MATCH(A9,'Primary_snapshot'!$A$2:$A$120,0))="","",INDEX('Primary_snapshot'!$H$2:$H$120,MATCH(A9,'Primary_snapshot'!$A$2:$A$120,0))),IF(R9="","",R9)=IF(INDEX('Primary_snapshot'!$I$2:$I$120,MATCH(A9,'Primary_snapshot'!$A$2:$A$120,0))="","",INDEX('Primary_snapshot'!$I$2:$I$120,MATCH(A9,'Primary_snapshot'!$A$2:$A$120,0)))))),"AGREE BUT CHANGED",IF(AND(P9&lt;&gt;"",NOT(OR(P9="pending",P9="resolved"))),"CHECK RESOLUTION",IF(OR(AND(OR(D9="discuss",INDEX('Primary_snapshot'!$B$2:$B$120,MATCH(A9,'Primary_snapshot'!$A$2:$A$120,0))="discuss",N9="disagree",N9="unable"),P9&lt;&gt;"resolved"),D9="discuss"),"DISCUSS",IF(AND(P9="resolved",LEN(TRIM(Q9))=0),"RESOLUTION NOTE NEEDED",IF(F9&lt;&gt;"checker_done","CHECKER DRAFT","FINAL READY")))))))))))))),"CHECK KEY / SNAPSHOT")</x:f>
        <x:v>CHECK REVIEWER IDs</x:v>
      </x:c>
      <x:c r="H9" s="7" t="str">
        <x:f>IF(AND(OR(D9="retain",D9=""),E9="statistical_results"),"","not_applicable")</x:f>
      </x:c>
      <x:c r="I9" s="7" t="str">
        <x:f>IF(AND(OR(D9="retain",D9=""),E9="statistical_results"),"","not_applicable")</x:f>
      </x:c>
      <x:c r="J9" s="13" t="str">
        <x:f>IF(AND(OR(D9="retain",D9=""),E9="statistical_results"),"","not_applicable")</x:f>
      </x:c>
      <x:c r="K9" s="7" t="str">
        <x:f>IF(AND(OR(D9="retain",D9=""),OR(E9="report_internal_inconsistency",E9="plan_material")),"","not_applicable")</x:f>
        <x:v>not_applicable</x:v>
      </x:c>
      <x:c r="L9" s="13" t="str">
        <x:f>IF(AND(OR(D9="retain",D9=""),E9="protocol_report"),"","not_applicable")</x:f>
        <x:v>not_applicable</x:v>
      </x:c>
      <x:c r="M9" s="3" t="str">
        <x:f>IF(Setup!$B$6="primary","",IFERROR(IF(INDEX('Primary_snapshot'!$L$2:$L$120,MATCH(A9,'Primary_snapshot'!$A$2:$A$120,0))="","",INDEX('Primary_snapshot'!$L$2:$L$120,MATCH(A9,'Primary_snapshot'!$A$2:$A$120,0))),"SNAPSHOT MISSING"))</x:f>
      </x:c>
      <x:c r="N9" s="7" t="str"/>
      <x:c r="O9" s="7" t="str"/>
      <x:c r="P9" s="7" t="str"/>
      <x:c r="Q9" s="7" t="str"/>
      <x:c r="R9" s="13" t="str"/>
    </x:row>
  </x:sheetData>
  <x:conditionalFormatting sqref="G2:G9">
    <x:cfRule type="expression" dxfId="56" priority="1">
      <x:formula>AND(G2&lt;&gt;"PRIMARY READY",G2&lt;&gt;"FINAL READY")</x:formula>
    </x:cfRule>
  </x:conditionalFormatting>
  <x:conditionalFormatting sqref="N2:Q9">
    <x:cfRule type="expression" dxfId="57" priority="2">
      <x:formula>Setup!$B$6="primary"</x:formula>
    </x:cfRule>
  </x:conditionalFormatting>
  <x:conditionalFormatting sqref="H2:H9">
    <x:cfRule type="expression" dxfId="58" priority="3">
      <x:formula>NOT(AND(OR($D2="retain",$D2=""),$E2="statistical_results"))</x:formula>
    </x:cfRule>
  </x:conditionalFormatting>
  <x:conditionalFormatting sqref="I2:I9">
    <x:cfRule type="expression" dxfId="59" priority="4">
      <x:formula>NOT(AND(OR($D2="retain",$D2=""),$E2="statistical_results"))</x:formula>
    </x:cfRule>
  </x:conditionalFormatting>
  <x:conditionalFormatting sqref="J2:J9">
    <x:cfRule type="expression" dxfId="60" priority="5">
      <x:formula>NOT(AND(OR($D2="retain",$D2=""),$E2="statistical_results"))</x:formula>
    </x:cfRule>
  </x:conditionalFormatting>
  <x:conditionalFormatting sqref="K2:K9">
    <x:cfRule type="expression" dxfId="61" priority="6">
      <x:formula>NOT(AND(OR($D2="retain",$D2=""),OR($E2="report_internal_inconsistency",$E2="plan_material")))</x:formula>
    </x:cfRule>
  </x:conditionalFormatting>
  <x:conditionalFormatting sqref="L2:L9">
    <x:cfRule type="expression" dxfId="62" priority="7">
      <x:formula>NOT(AND(OR($D2="retain",$D2=""),$E2="protocol_report"))</x:formula>
    </x:cfRule>
  </x:conditionalFormatting>
  <x:dataValidations count="10">
    <x:dataValidation type="list" sqref="D2:D9">
      <x:formula1>"retain,exclude,discuss"</x:formula1>
    </x:dataValidation>
    <x:dataValidation type="list" sqref="E2:E9">
      <x:formula1>"statistical_results,report_internal_inconsistency,plan_material,protocol_report"</x:formula1>
    </x:dataValidation>
    <x:dataValidation type="list" sqref="F2:F9">
      <x:formula1>"no,primary_done,checker_done"</x:formula1>
    </x:dataValidation>
    <x:dataValidation type="list" sqref="H2:H9">
      <x:formula1>"confirmed_issue,probable_issue,not_issue,indeterminate,not_applicable"</x:formula1>
    </x:dataValidation>
    <x:dataValidation type="list" sqref="I2:I9">
      <x:formula1>"substantive,minor_presentation,indeterminate,not_applicable"</x:formula1>
    </x:dataValidation>
    <x:dataValidation type="list" sqref="J2:J9">
      <x:formula1>"direct,possible,unlikely,unknown,not_applicable"</x:formula1>
    </x:dataValidation>
    <x:dataValidation type="list" sqref="K2:K9">
      <x:formula1>"substantive_inconsistency,minor_presentation,non_inconsistency,indeterminate,not_applicable"</x:formula1>
    </x:dataValidation>
    <x:dataValidation type="list" sqref="L2:L9">
      <x:formula1>"substantive_difference,minor_presentation,version_timing,non_inconsistency,indeterminate,not_applicable"</x:formula1>
    </x:dataValidation>
    <x:dataValidation type="list" sqref="N2:N9">
      <x:formula1>"agree,agree_clarification,disagree,unable"</x:formula1>
    </x:dataValidation>
    <x:dataValidation type="list" sqref="P2:P9">
      <x:formula1>"pending,resolved"</x:formula1>
    </x:dataValidation>
  </x:dataValidations>
  <x:pageMargins left="0.7" right="0.7" top="0.75" bottom="0.75" header="0.3" footer="0.3"/>
  <x:tableParts count="1">
    <x:tablePart xmlns:r="http://schemas.openxmlformats.org/officeDocument/2006/relationships" r:id="Rbf1f5c69b2a24764"/>
  </x:tableParts>
</x:worksheet>
</file>

<file path=xl/worksheets/sheet14.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28" hidden="0" customWidth="1"/>
    <x:col min="3" max="3" width="22" hidden="0" customWidth="1"/>
    <x:col min="4" max="4" width="18" hidden="0" customWidth="1"/>
    <x:col min="5" max="5" width="24" hidden="0" customWidth="1"/>
    <x:col min="6" max="6" width="17" hidden="0" customWidth="1"/>
    <x:col min="7" max="7" width="25" hidden="0" customWidth="1"/>
    <x:col min="8" max="8" width="28" hidden="0" customWidth="1"/>
    <x:col min="9" max="9" width="20" hidden="0" customWidth="1"/>
    <x:col min="10" max="10" width="20" hidden="0" customWidth="1"/>
    <x:col min="11" max="11" width="34" hidden="0" customWidth="1"/>
    <x:col min="12" max="12" width="26" hidden="0" customWidth="1"/>
    <x:col min="13" max="13" width="58" hidden="0" customWidth="1"/>
    <x:col min="14" max="14" width="23" hidden="0" customWidth="1"/>
    <x:col min="15" max="15" width="32" hidden="0" customWidth="1"/>
    <x:col min="16" max="16" width="22" hidden="0" customWidth="1"/>
    <x:col min="17" max="17" width="32" hidden="0" customWidth="1"/>
    <x:col min="18" max="18" width="32" hidden="0" customWidth="1"/>
  </x:cols>
  <x:sheetData>
    <x:row r="1" ht="42" customHeight="1">
      <x:c r="A1" s="5" t="str">
        <x:v>Candidate key</x:v>
      </x:c>
      <x:c r="B1" s="5" t="str">
        <x:v>Candidate title</x:v>
      </x:c>
      <x:c r="C1" s="5" t="str">
        <x:v>Source location</x:v>
      </x:c>
      <x:c r="D1" s="5" t="str">
        <x:v>Disposition</x:v>
      </x:c>
      <x:c r="E1" s="5" t="str">
        <x:v>Review domain</x:v>
      </x:c>
      <x:c r="F1" s="5" t="str">
        <x:v>Complete</x:v>
      </x:c>
      <x:c r="G1" s="5" t="str">
        <x:v>Validation hint</x:v>
      </x:c>
      <x:c r="H1" s="5" t="str">
        <x:v>Statistcal_or_numerical issue</x:v>
      </x:c>
      <x:c r="I1" s="5" t="str">
        <x:v>Substantiveness</x:v>
      </x:c>
      <x:c r="J1" s="5" t="str">
        <x:v>Downstream impact</x:v>
      </x:c>
      <x:c r="K1" s="5" t="str">
        <x:v>Report-internal or planning-material inconsistency</x:v>
      </x:c>
      <x:c r="L1" s="5" t="str">
        <x:v>Protocol interpretation</x:v>
      </x:c>
      <x:c r="M1" s="5" t="str">
        <x:v>Primary assessment</x:v>
      </x:c>
      <x:c r="N1" s="5" t="str">
        <x:v>Checker result</x:v>
      </x:c>
      <x:c r="O1" s="5" t="str">
        <x:v>Checker comment</x:v>
      </x:c>
      <x:c r="P1" s="5" t="str">
        <x:v>Discussion resolution</x:v>
      </x:c>
      <x:c r="Q1" s="5" t="str">
        <x:v>Resolution note</x:v>
      </x:c>
      <x:c r="R1" s="5" t="str">
        <x:v>Notes (optional)</x:v>
      </x:c>
    </x:row>
    <x:row r="2" ht="92" customHeight="1">
      <x:c r="A2" s="6" t="str">
        <x:v>2018::jama.2018.9128::C001</x:v>
      </x:c>
      <x:c r="B2" s="6" t="str">
        <x:v>Intervention 3-month BMI-observation count differs across result displays</x:v>
      </x:c>
      <x:c r="C2" s="6" t="str">
        <x:v>DOC-001 Figure 1 — PDF p. 3; DOC-001 Figure 2 — PDF p. 7; DOC-003 eTable 1 — PDF p. 2.</x:v>
      </x:c>
      <x:c r="D2" s="7" t="str"/>
      <x:c r="E2" s="7" t="str">
        <x:v>report_internal_inconsistency</x:v>
      </x:c>
      <x:c r="F2" s="7" t="str">
        <x:v>no</x:v>
      </x:c>
      <x:c r="G2" s="6" t="str">
        <x:f>IFERROR(IF(NOT(OR(Setup!$B$6="primary",Setup!$B$6="checker")),"CHECK STAGE",IF(OR(LEN(TRIM(Setup!$B$2))=0,Setup!$B$2&lt;&gt;TRIM(Setup!$B$2),AND(Setup!$B$6="checker",OR(LEN(TRIM(Setup!$B$4))=0,Setup!$B$4&lt;&gt;TRIM(Setup!$B$4),LOWER(TRIM(Setup!$B$4))=LOWER(TRIM(Setup!$B$2))))),"CHECK REVIEWER IDs",IF(OR(COUNTIF($A$2:$A$14,A2)&lt;&gt;1,COUNTIF(Decisions!$C$2:$C$120,A2)&lt;&gt;1),"CHECK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FIELDS",IF(Setup!$B$6="primary",IF(OR(N2&lt;&gt;"",O2&lt;&gt;"",P2&lt;&gt;"",Q2&lt;&gt;""),"CLEAR CHECKER FIELDS",IF(OR(Setup!$B$4&lt;&gt;"",Setup!$B$5&lt;&gt;""),"CLEAR CHECKER ID",IF(F2&lt;&gt;"primary_done","PRIMARY DRAFT","PRIMARY READY"))),IF(OR(COUNTIF(Primary_snapshot!$A$2:$A$120,A2)&lt;&gt;1,INDEX('Primary_snapshot'!$J$2:$J$120,MATCH(A2,'Primary_snapshot'!$A$2:$A$120,0))&lt;&gt;"primary_done",INDEX('Primary_snapshot'!$K$2:$K$120,MATCH(A2,'Primary_snapshot'!$A$2:$A$120,0))&lt;&gt;Setup!$B$2,INDEX('Primary_snapshot'!$B$2:$B$120,MATCH(A2,'Primary_snapshot'!$A$2:$A$120,0))="NOT FROZEN",INDEX('Primary_snapshot'!$C$2:$C$120,MATCH(A2,'Primary_snapshot'!$A$2:$A$120,0))="NOT FROZEN",INDEX('Primary_snapshot'!$D$2:$D$120,MATCH(A2,'Primary_snapshot'!$A$2:$A$120,0))="NOT FROZEN",INDEX('Primary_snapshot'!$E$2:$E$120,MATCH(A2,'Primary_snapshot'!$A$2:$A$120,0))="NOT FROZEN",INDEX('Primary_snapshot'!$F$2:$F$120,MATCH(A2,'Primary_snapshot'!$A$2:$A$120,0))="NOT FROZEN",INDEX('Primary_snapshot'!$G$2:$G$120,MATCH(A2,'Primary_snapshot'!$A$2:$A$120,0))="NOT FROZEN",INDEX('Primary_snapshot'!$H$2:$H$120,MATCH(A2,'Primary_snapshot'!$A$2:$A$120,0))="NOT FROZEN",INDEX('Primary_snapshot'!$I$2:$I$120,MATCH(A2,'Primary_snapshot'!$A$2:$A$120,0))="NOT FROZEN",INDEX('Primary_snapshot'!$J$2:$J$120,MATCH(A2,'Primary_snapshot'!$A$2:$A$120,0))="NOT FROZEN",INDEX('Primary_snapshot'!$K$2:$K$120,MATCH(A2,'Primary_snapshot'!$A$2:$A$120,0))="NOT FROZEN",INDEX('Primary_snapshot'!$L$2:$L$120,MATCH(A2,'Primary_snapshot'!$A$2:$A$120,0))="NOT FROZEN"),"FREEZE SNAPSHOT",IF(NOT(OR(N2="agree",N2="agree_clarification",N2="disagree",N2="unable")),"CHECKER RESULT NEEDED",IF(AND(N2&lt;&gt;"agree",LEN(TRIM(O2))=0),"COMMENT NEEDED",IF(AND(N2="agree",NOT(AND(IF(D2="","",D2)=IF(INDEX('Primary_snapshot'!$B$2:$B$120,MATCH(A2,'Primary_snapshot'!$A$2:$A$120,0))="","",INDEX('Primary_snapshot'!$B$2:$B$120,MATCH(A2,'Primary_snapshot'!$A$2:$A$120,0))),IF(E2="","",E2)=IF(INDEX('Primary_snapshot'!$C$2:$C$120,MATCH(A2,'Primary_snapshot'!$A$2:$A$120,0))="","",INDEX('Primary_snapshot'!$C$2:$C$120,MATCH(A2,'Primary_snapshot'!$A$2:$A$120,0))),IF(AND(D2="retain",E2="statistical_results"),IF(H2="","",H2),"not_applicable")=IF(INDEX('Primary_snapshot'!$D$2:$D$120,MATCH(A2,'Primary_snapshot'!$A$2:$A$120,0))="","",INDEX('Primary_snapshot'!$D$2:$D$120,MATCH(A2,'Primary_snapshot'!$A$2:$A$120,0))),IF(AND(D2="retain",E2="statistical_results"),IF(I2="","",I2),"not_applicable")=IF(INDEX('Primary_snapshot'!$E$2:$E$120,MATCH(A2,'Primary_snapshot'!$A$2:$A$120,0))="","",INDEX('Primary_snapshot'!$E$2:$E$120,MATCH(A2,'Primary_snapshot'!$A$2:$A$120,0))),IF(AND(D2="retain",E2="statistical_results"),IF(J2="","",J2),"not_applicable")=IF(INDEX('Primary_snapshot'!$F$2:$F$120,MATCH(A2,'Primary_snapshot'!$A$2:$A$120,0))="","",INDEX('Primary_snapshot'!$F$2:$F$120,MATCH(A2,'Primary_snapshot'!$A$2:$A$120,0))),IF(AND(D2="retain",OR(E2="report_internal_inconsistency",E2="plan_material")),IF(K2="","",K2),"not_applicable")=IF(INDEX('Primary_snapshot'!$G$2:$G$120,MATCH(A2,'Primary_snapshot'!$A$2:$A$120,0))="","",INDEX('Primary_snapshot'!$G$2:$G$120,MATCH(A2,'Primary_snapshot'!$A$2:$A$120,0))),IF(AND(D2="retain",E2="protocol_report"),IF(L2="","",L2),"not_applicable")=IF(INDEX('Primary_snapshot'!$H$2:$H$120,MATCH(A2,'Primary_snapshot'!$A$2:$A$120,0))="","",INDEX('Primary_snapshot'!$H$2:$H$120,MATCH(A2,'Primary_snapshot'!$A$2:$A$120,0))),IF(R2="","",R2)=IF(INDEX('Primary_snapshot'!$I$2:$I$120,MATCH(A2,'Primary_snapshot'!$A$2:$A$120,0))="","",INDEX('Primary_snapshot'!$I$2:$I$120,MATCH(A2,'Primary_snapshot'!$A$2:$A$120,0)))))),"AGREE BUT CHANGED",IF(AND(P2&lt;&gt;"",NOT(OR(P2="pending",P2="resolved"))),"CHECK RESOLUTION",IF(OR(AND(OR(D2="discuss",INDEX('Primary_snapshot'!$B$2:$B$120,MATCH(A2,'Primary_snapshot'!$A$2:$A$120,0))="discuss",N2="disagree",N2="unable"),P2&lt;&gt;"resolved"),D2="discuss"),"DISCUSS",IF(AND(P2="resolved",LEN(TRIM(Q2))=0),"RESOLUTION NOTE NEEDED",IF(F2&lt;&gt;"checker_done","CHECKER DRAFT","FINAL READY")))))))))))))),"CHECK KEY / SNAPSHOT")</x:f>
        <x:v>CHECK REVIEWER IDs</x:v>
      </x:c>
      <x:c r="H2" s="7" t="str">
        <x:f>IF(AND(OR(D2="retain",D2=""),E2="statistical_results"),"","not_applicable")</x:f>
        <x:v>not_applicable</x:v>
      </x:c>
      <x:c r="I2" s="7" t="str">
        <x:f>IF(AND(OR(D2="retain",D2=""),E2="statistical_results"),"","not_applicable")</x:f>
        <x:v>not_applicable</x:v>
      </x:c>
      <x:c r="J2" s="13" t="str">
        <x:f>IF(AND(OR(D2="retain",D2=""),E2="statistical_results"),"","not_applicable")</x:f>
        <x:v>not_applicable</x:v>
      </x:c>
      <x:c r="K2" s="7" t="str">
        <x:f>IF(AND(OR(D2="retain",D2=""),OR(E2="report_internal_inconsistency",E2="plan_material")),"","not_applicable")</x:f>
      </x:c>
      <x:c r="L2" s="13" t="str">
        <x:f>IF(AND(OR(D2="retain",D2=""),E2="protocol_report"),"","not_applicable")</x:f>
        <x:v>not_applicable</x:v>
      </x:c>
      <x:c r="M2" s="6" t="str">
        <x:f>IF(Setup!$B$6="primary","",IFERROR(IF(INDEX('Primary_snapshot'!$L$2:$L$120,MATCH(A2,'Primary_snapshot'!$A$2:$A$120,0))="","",INDEX('Primary_snapshot'!$L$2:$L$120,MATCH(A2,'Primary_snapshot'!$A$2:$A$120,0))),"SNAPSHOT MISSING"))</x:f>
      </x:c>
      <x:c r="N2" s="7" t="str"/>
      <x:c r="O2" s="7" t="str"/>
      <x:c r="P2" s="7" t="str"/>
      <x:c r="Q2" s="7" t="str"/>
      <x:c r="R2" s="13" t="str"/>
    </x:row>
    <x:row r="3" ht="92" customHeight="1">
      <x:c r="A3" s="3" t="str">
        <x:v>2018::jama.2018.9128::C002</x:v>
      </x:c>
      <x:c r="B3" s="3" t="str">
        <x:v>Control 3-month BMI-observation count differs across result displays</x:v>
      </x:c>
      <x:c r="C3" s="3" t="str">
        <x:v>DOC-001 Figure 1 — PDF p. 3; DOC-001 Figure 2 — PDF p. 7; DOC-003 eTable 1 — PDF p. 2.</x:v>
      </x:c>
      <x:c r="D3" s="7" t="str"/>
      <x:c r="E3" s="7" t="str">
        <x:v>report_internal_inconsistency</x:v>
      </x:c>
      <x:c r="F3" s="7" t="str">
        <x:v>no</x:v>
      </x:c>
      <x:c r="G3" s="3" t="str">
        <x:f>IFERROR(IF(NOT(OR(Setup!$B$6="primary",Setup!$B$6="checker")),"CHECK STAGE",IF(OR(LEN(TRIM(Setup!$B$2))=0,Setup!$B$2&lt;&gt;TRIM(Setup!$B$2),AND(Setup!$B$6="checker",OR(LEN(TRIM(Setup!$B$4))=0,Setup!$B$4&lt;&gt;TRIM(Setup!$B$4),LOWER(TRIM(Setup!$B$4))=LOWER(TRIM(Setup!$B$2))))),"CHECK REVIEWER IDs",IF(OR(COUNTIF($A$2:$A$14,A3)&lt;&gt;1,COUNTIF(Decisions!$C$2:$C$120,A3)&lt;&gt;1),"CHECK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FIELDS",IF(Setup!$B$6="primary",IF(OR(N3&lt;&gt;"",O3&lt;&gt;"",P3&lt;&gt;"",Q3&lt;&gt;""),"CLEAR CHECKER FIELDS",IF(OR(Setup!$B$4&lt;&gt;"",Setup!$B$5&lt;&gt;""),"CLEAR CHECKER ID",IF(F3&lt;&gt;"primary_done","PRIMARY DRAFT","PRIMARY READY"))),IF(OR(COUNTIF(Primary_snapshot!$A$2:$A$120,A3)&lt;&gt;1,INDEX('Primary_snapshot'!$J$2:$J$120,MATCH(A3,'Primary_snapshot'!$A$2:$A$120,0))&lt;&gt;"primary_done",INDEX('Primary_snapshot'!$K$2:$K$120,MATCH(A3,'Primary_snapshot'!$A$2:$A$120,0))&lt;&gt;Setup!$B$2,INDEX('Primary_snapshot'!$B$2:$B$120,MATCH(A3,'Primary_snapshot'!$A$2:$A$120,0))="NOT FROZEN",INDEX('Primary_snapshot'!$C$2:$C$120,MATCH(A3,'Primary_snapshot'!$A$2:$A$120,0))="NOT FROZEN",INDEX('Primary_snapshot'!$D$2:$D$120,MATCH(A3,'Primary_snapshot'!$A$2:$A$120,0))="NOT FROZEN",INDEX('Primary_snapshot'!$E$2:$E$120,MATCH(A3,'Primary_snapshot'!$A$2:$A$120,0))="NOT FROZEN",INDEX('Primary_snapshot'!$F$2:$F$120,MATCH(A3,'Primary_snapshot'!$A$2:$A$120,0))="NOT FROZEN",INDEX('Primary_snapshot'!$G$2:$G$120,MATCH(A3,'Primary_snapshot'!$A$2:$A$120,0))="NOT FROZEN",INDEX('Primary_snapshot'!$H$2:$H$120,MATCH(A3,'Primary_snapshot'!$A$2:$A$120,0))="NOT FROZEN",INDEX('Primary_snapshot'!$I$2:$I$120,MATCH(A3,'Primary_snapshot'!$A$2:$A$120,0))="NOT FROZEN",INDEX('Primary_snapshot'!$J$2:$J$120,MATCH(A3,'Primary_snapshot'!$A$2:$A$120,0))="NOT FROZEN",INDEX('Primary_snapshot'!$K$2:$K$120,MATCH(A3,'Primary_snapshot'!$A$2:$A$120,0))="NOT FROZEN",INDEX('Primary_snapshot'!$L$2:$L$120,MATCH(A3,'Primary_snapshot'!$A$2:$A$120,0))="NOT FROZEN"),"FREEZE SNAPSHOT",IF(NOT(OR(N3="agree",N3="agree_clarification",N3="disagree",N3="unable")),"CHECKER RESULT NEEDED",IF(AND(N3&lt;&gt;"agree",LEN(TRIM(O3))=0),"COMMENT NEEDED",IF(AND(N3="agree",NOT(AND(IF(D3="","",D3)=IF(INDEX('Primary_snapshot'!$B$2:$B$120,MATCH(A3,'Primary_snapshot'!$A$2:$A$120,0))="","",INDEX('Primary_snapshot'!$B$2:$B$120,MATCH(A3,'Primary_snapshot'!$A$2:$A$120,0))),IF(E3="","",E3)=IF(INDEX('Primary_snapshot'!$C$2:$C$120,MATCH(A3,'Primary_snapshot'!$A$2:$A$120,0))="","",INDEX('Primary_snapshot'!$C$2:$C$120,MATCH(A3,'Primary_snapshot'!$A$2:$A$120,0))),IF(AND(D3="retain",E3="statistical_results"),IF(H3="","",H3),"not_applicable")=IF(INDEX('Primary_snapshot'!$D$2:$D$120,MATCH(A3,'Primary_snapshot'!$A$2:$A$120,0))="","",INDEX('Primary_snapshot'!$D$2:$D$120,MATCH(A3,'Primary_snapshot'!$A$2:$A$120,0))),IF(AND(D3="retain",E3="statistical_results"),IF(I3="","",I3),"not_applicable")=IF(INDEX('Primary_snapshot'!$E$2:$E$120,MATCH(A3,'Primary_snapshot'!$A$2:$A$120,0))="","",INDEX('Primary_snapshot'!$E$2:$E$120,MATCH(A3,'Primary_snapshot'!$A$2:$A$120,0))),IF(AND(D3="retain",E3="statistical_results"),IF(J3="","",J3),"not_applicable")=IF(INDEX('Primary_snapshot'!$F$2:$F$120,MATCH(A3,'Primary_snapshot'!$A$2:$A$120,0))="","",INDEX('Primary_snapshot'!$F$2:$F$120,MATCH(A3,'Primary_snapshot'!$A$2:$A$120,0))),IF(AND(D3="retain",OR(E3="report_internal_inconsistency",E3="plan_material")),IF(K3="","",K3),"not_applicable")=IF(INDEX('Primary_snapshot'!$G$2:$G$120,MATCH(A3,'Primary_snapshot'!$A$2:$A$120,0))="","",INDEX('Primary_snapshot'!$G$2:$G$120,MATCH(A3,'Primary_snapshot'!$A$2:$A$120,0))),IF(AND(D3="retain",E3="protocol_report"),IF(L3="","",L3),"not_applicable")=IF(INDEX('Primary_snapshot'!$H$2:$H$120,MATCH(A3,'Primary_snapshot'!$A$2:$A$120,0))="","",INDEX('Primary_snapshot'!$H$2:$H$120,MATCH(A3,'Primary_snapshot'!$A$2:$A$120,0))),IF(R3="","",R3)=IF(INDEX('Primary_snapshot'!$I$2:$I$120,MATCH(A3,'Primary_snapshot'!$A$2:$A$120,0))="","",INDEX('Primary_snapshot'!$I$2:$I$120,MATCH(A3,'Primary_snapshot'!$A$2:$A$120,0)))))),"AGREE BUT CHANGED",IF(AND(P3&lt;&gt;"",NOT(OR(P3="pending",P3="resolved"))),"CHECK RESOLUTION",IF(OR(AND(OR(D3="discuss",INDEX('Primary_snapshot'!$B$2:$B$120,MATCH(A3,'Primary_snapshot'!$A$2:$A$120,0))="discuss",N3="disagree",N3="unable"),P3&lt;&gt;"resolved"),D3="discuss"),"DISCUSS",IF(AND(P3="resolved",LEN(TRIM(Q3))=0),"RESOLUTION NOTE NEEDED",IF(F3&lt;&gt;"checker_done","CHECKER DRAFT","FINAL READY")))))))))))))),"CHECK KEY / SNAPSHOT")</x:f>
        <x:v>CHECK REVIEWER IDs</x:v>
      </x:c>
      <x:c r="H3" s="7" t="str">
        <x:f>IF(AND(OR(D3="retain",D3=""),E3="statistical_results"),"","not_applicable")</x:f>
        <x:v>not_applicable</x:v>
      </x:c>
      <x:c r="I3" s="7" t="str">
        <x:f>IF(AND(OR(D3="retain",D3=""),E3="statistical_results"),"","not_applicable")</x:f>
        <x:v>not_applicable</x:v>
      </x:c>
      <x:c r="J3" s="13" t="str">
        <x:f>IF(AND(OR(D3="retain",D3=""),E3="statistical_results"),"","not_applicable")</x:f>
        <x:v>not_applicable</x:v>
      </x:c>
      <x:c r="K3" s="7" t="str">
        <x:f>IF(AND(OR(D3="retain",D3=""),OR(E3="report_internal_inconsistency",E3="plan_material")),"","not_applicable")</x:f>
      </x:c>
      <x:c r="L3" s="13" t="str">
        <x:f>IF(AND(OR(D3="retain",D3=""),E3="protocol_report"),"","not_applicable")</x:f>
        <x:v>not_applicable</x:v>
      </x:c>
      <x:c r="M3" s="3" t="str">
        <x:f>IF(Setup!$B$6="primary","",IFERROR(IF(INDEX('Primary_snapshot'!$L$2:$L$120,MATCH(A3,'Primary_snapshot'!$A$2:$A$120,0))="","",INDEX('Primary_snapshot'!$L$2:$L$120,MATCH(A3,'Primary_snapshot'!$A$2:$A$120,0))),"SNAPSHOT MISSING"))</x:f>
      </x:c>
      <x:c r="N3" s="7" t="str"/>
      <x:c r="O3" s="7" t="str"/>
      <x:c r="P3" s="7" t="str"/>
      <x:c r="Q3" s="7" t="str"/>
      <x:c r="R3" s="13" t="str"/>
    </x:row>
    <x:row r="4" ht="92" customHeight="1">
      <x:c r="A4" s="6" t="str">
        <x:v>2018::jama.2018.9128::C003</x:v>
      </x:c>
      <x:c r="B4" s="6" t="str">
        <x:v>Intervention 9-month BMI-observation count differs across result displays</x:v>
      </x:c>
      <x:c r="C4" s="6" t="str">
        <x:v>DOC-001 Figure 1 — PDF p. 3; DOC-001 Figure 2 — PDF p. 7; DOC-003 eTable 1 — PDF p. 2.</x:v>
      </x:c>
      <x:c r="D4" s="7" t="str"/>
      <x:c r="E4" s="7" t="str">
        <x:v>report_internal_inconsistency</x:v>
      </x:c>
      <x:c r="F4" s="7" t="str">
        <x:v>no</x:v>
      </x:c>
      <x:c r="G4" s="6" t="str">
        <x:f>IFERROR(IF(NOT(OR(Setup!$B$6="primary",Setup!$B$6="checker")),"CHECK STAGE",IF(OR(LEN(TRIM(Setup!$B$2))=0,Setup!$B$2&lt;&gt;TRIM(Setup!$B$2),AND(Setup!$B$6="checker",OR(LEN(TRIM(Setup!$B$4))=0,Setup!$B$4&lt;&gt;TRIM(Setup!$B$4),LOWER(TRIM(Setup!$B$4))=LOWER(TRIM(Setup!$B$2))))),"CHECK REVIEWER IDs",IF(OR(COUNTIF($A$2:$A$14,A4)&lt;&gt;1,COUNTIF(Decisions!$C$2:$C$120,A4)&lt;&gt;1),"CHECK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FIELDS",IF(Setup!$B$6="primary",IF(OR(N4&lt;&gt;"",O4&lt;&gt;"",P4&lt;&gt;"",Q4&lt;&gt;""),"CLEAR CHECKER FIELDS",IF(OR(Setup!$B$4&lt;&gt;"",Setup!$B$5&lt;&gt;""),"CLEAR CHECKER ID",IF(F4&lt;&gt;"primary_done","PRIMARY DRAFT","PRIMARY READY"))),IF(OR(COUNTIF(Primary_snapshot!$A$2:$A$120,A4)&lt;&gt;1,INDEX('Primary_snapshot'!$J$2:$J$120,MATCH(A4,'Primary_snapshot'!$A$2:$A$120,0))&lt;&gt;"primary_done",INDEX('Primary_snapshot'!$K$2:$K$120,MATCH(A4,'Primary_snapshot'!$A$2:$A$120,0))&lt;&gt;Setup!$B$2,INDEX('Primary_snapshot'!$B$2:$B$120,MATCH(A4,'Primary_snapshot'!$A$2:$A$120,0))="NOT FROZEN",INDEX('Primary_snapshot'!$C$2:$C$120,MATCH(A4,'Primary_snapshot'!$A$2:$A$120,0))="NOT FROZEN",INDEX('Primary_snapshot'!$D$2:$D$120,MATCH(A4,'Primary_snapshot'!$A$2:$A$120,0))="NOT FROZEN",INDEX('Primary_snapshot'!$E$2:$E$120,MATCH(A4,'Primary_snapshot'!$A$2:$A$120,0))="NOT FROZEN",INDEX('Primary_snapshot'!$F$2:$F$120,MATCH(A4,'Primary_snapshot'!$A$2:$A$120,0))="NOT FROZEN",INDEX('Primary_snapshot'!$G$2:$G$120,MATCH(A4,'Primary_snapshot'!$A$2:$A$120,0))="NOT FROZEN",INDEX('Primary_snapshot'!$H$2:$H$120,MATCH(A4,'Primary_snapshot'!$A$2:$A$120,0))="NOT FROZEN",INDEX('Primary_snapshot'!$I$2:$I$120,MATCH(A4,'Primary_snapshot'!$A$2:$A$120,0))="NOT FROZEN",INDEX('Primary_snapshot'!$J$2:$J$120,MATCH(A4,'Primary_snapshot'!$A$2:$A$120,0))="NOT FROZEN",INDEX('Primary_snapshot'!$K$2:$K$120,MATCH(A4,'Primary_snapshot'!$A$2:$A$120,0))="NOT FROZEN",INDEX('Primary_snapshot'!$L$2:$L$120,MATCH(A4,'Primary_snapshot'!$A$2:$A$120,0))="NOT FROZEN"),"FREEZE SNAPSHOT",IF(NOT(OR(N4="agree",N4="agree_clarification",N4="disagree",N4="unable")),"CHECKER RESULT NEEDED",IF(AND(N4&lt;&gt;"agree",LEN(TRIM(O4))=0),"COMMENT NEEDED",IF(AND(N4="agree",NOT(AND(IF(D4="","",D4)=IF(INDEX('Primary_snapshot'!$B$2:$B$120,MATCH(A4,'Primary_snapshot'!$A$2:$A$120,0))="","",INDEX('Primary_snapshot'!$B$2:$B$120,MATCH(A4,'Primary_snapshot'!$A$2:$A$120,0))),IF(E4="","",E4)=IF(INDEX('Primary_snapshot'!$C$2:$C$120,MATCH(A4,'Primary_snapshot'!$A$2:$A$120,0))="","",INDEX('Primary_snapshot'!$C$2:$C$120,MATCH(A4,'Primary_snapshot'!$A$2:$A$120,0))),IF(AND(D4="retain",E4="statistical_results"),IF(H4="","",H4),"not_applicable")=IF(INDEX('Primary_snapshot'!$D$2:$D$120,MATCH(A4,'Primary_snapshot'!$A$2:$A$120,0))="","",INDEX('Primary_snapshot'!$D$2:$D$120,MATCH(A4,'Primary_snapshot'!$A$2:$A$120,0))),IF(AND(D4="retain",E4="statistical_results"),IF(I4="","",I4),"not_applicable")=IF(INDEX('Primary_snapshot'!$E$2:$E$120,MATCH(A4,'Primary_snapshot'!$A$2:$A$120,0))="","",INDEX('Primary_snapshot'!$E$2:$E$120,MATCH(A4,'Primary_snapshot'!$A$2:$A$120,0))),IF(AND(D4="retain",E4="statistical_results"),IF(J4="","",J4),"not_applicable")=IF(INDEX('Primary_snapshot'!$F$2:$F$120,MATCH(A4,'Primary_snapshot'!$A$2:$A$120,0))="","",INDEX('Primary_snapshot'!$F$2:$F$120,MATCH(A4,'Primary_snapshot'!$A$2:$A$120,0))),IF(AND(D4="retain",OR(E4="report_internal_inconsistency",E4="plan_material")),IF(K4="","",K4),"not_applicable")=IF(INDEX('Primary_snapshot'!$G$2:$G$120,MATCH(A4,'Primary_snapshot'!$A$2:$A$120,0))="","",INDEX('Primary_snapshot'!$G$2:$G$120,MATCH(A4,'Primary_snapshot'!$A$2:$A$120,0))),IF(AND(D4="retain",E4="protocol_report"),IF(L4="","",L4),"not_applicable")=IF(INDEX('Primary_snapshot'!$H$2:$H$120,MATCH(A4,'Primary_snapshot'!$A$2:$A$120,0))="","",INDEX('Primary_snapshot'!$H$2:$H$120,MATCH(A4,'Primary_snapshot'!$A$2:$A$120,0))),IF(R4="","",R4)=IF(INDEX('Primary_snapshot'!$I$2:$I$120,MATCH(A4,'Primary_snapshot'!$A$2:$A$120,0))="","",INDEX('Primary_snapshot'!$I$2:$I$120,MATCH(A4,'Primary_snapshot'!$A$2:$A$120,0)))))),"AGREE BUT CHANGED",IF(AND(P4&lt;&gt;"",NOT(OR(P4="pending",P4="resolved"))),"CHECK RESOLUTION",IF(OR(AND(OR(D4="discuss",INDEX('Primary_snapshot'!$B$2:$B$120,MATCH(A4,'Primary_snapshot'!$A$2:$A$120,0))="discuss",N4="disagree",N4="unable"),P4&lt;&gt;"resolved"),D4="discuss"),"DISCUSS",IF(AND(P4="resolved",LEN(TRIM(Q4))=0),"RESOLUTION NOTE NEEDED",IF(F4&lt;&gt;"checker_done","CHECKER DRAFT","FINAL READY")))))))))))))),"CHECK KEY / SNAPSHOT")</x:f>
        <x:v>CHECK REVIEWER IDs</x:v>
      </x:c>
      <x:c r="H4" s="7" t="str">
        <x:f>IF(AND(OR(D4="retain",D4=""),E4="statistical_results"),"","not_applicable")</x:f>
        <x:v>not_applicable</x:v>
      </x:c>
      <x:c r="I4" s="7" t="str">
        <x:f>IF(AND(OR(D4="retain",D4=""),E4="statistical_results"),"","not_applicable")</x:f>
        <x:v>not_applicable</x:v>
      </x:c>
      <x:c r="J4" s="13" t="str">
        <x:f>IF(AND(OR(D4="retain",D4=""),E4="statistical_results"),"","not_applicable")</x:f>
        <x:v>not_applicable</x:v>
      </x:c>
      <x:c r="K4" s="7" t="str">
        <x:f>IF(AND(OR(D4="retain",D4=""),OR(E4="report_internal_inconsistency",E4="plan_material")),"","not_applicable")</x:f>
      </x:c>
      <x:c r="L4" s="13" t="str">
        <x:f>IF(AND(OR(D4="retain",D4=""),E4="protocol_report"),"","not_applicable")</x:f>
        <x:v>not_applicable</x:v>
      </x:c>
      <x:c r="M4" s="6" t="str">
        <x:f>IF(Setup!$B$6="primary","",IFERROR(IF(INDEX('Primary_snapshot'!$L$2:$L$120,MATCH(A4,'Primary_snapshot'!$A$2:$A$120,0))="","",INDEX('Primary_snapshot'!$L$2:$L$120,MATCH(A4,'Primary_snapshot'!$A$2:$A$120,0))),"SNAPSHOT MISSING"))</x:f>
      </x:c>
      <x:c r="N4" s="7" t="str"/>
      <x:c r="O4" s="7" t="str"/>
      <x:c r="P4" s="7" t="str"/>
      <x:c r="Q4" s="7" t="str"/>
      <x:c r="R4" s="13" t="str"/>
    </x:row>
    <x:row r="5" ht="92" customHeight="1">
      <x:c r="A5" s="3" t="str">
        <x:v>2018::jama.2018.9128::C004</x:v>
      </x:c>
      <x:c r="B5" s="3" t="str">
        <x:v>Intervention 12-month BMI-observation count differs across result displays</x:v>
      </x:c>
      <x:c r="C5" s="3" t="str">
        <x:v>DOC-001 Figure 1 — PDF p. 3; DOC-001 Figure 2 — PDF p. 7; DOC-003 eTable 1 — PDF p. 2.</x:v>
      </x:c>
      <x:c r="D5" s="7" t="str"/>
      <x:c r="E5" s="7" t="str">
        <x:v>report_internal_inconsistency</x:v>
      </x:c>
      <x:c r="F5" s="7" t="str">
        <x:v>no</x:v>
      </x:c>
      <x:c r="G5" s="3" t="str">
        <x:f>IFERROR(IF(NOT(OR(Setup!$B$6="primary",Setup!$B$6="checker")),"CHECK STAGE",IF(OR(LEN(TRIM(Setup!$B$2))=0,Setup!$B$2&lt;&gt;TRIM(Setup!$B$2),AND(Setup!$B$6="checker",OR(LEN(TRIM(Setup!$B$4))=0,Setup!$B$4&lt;&gt;TRIM(Setup!$B$4),LOWER(TRIM(Setup!$B$4))=LOWER(TRIM(Setup!$B$2))))),"CHECK REVIEWER IDs",IF(OR(COUNTIF($A$2:$A$14,A5)&lt;&gt;1,COUNTIF(Decisions!$C$2:$C$120,A5)&lt;&gt;1),"CHECK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FIELDS",IF(Setup!$B$6="primary",IF(OR(N5&lt;&gt;"",O5&lt;&gt;"",P5&lt;&gt;"",Q5&lt;&gt;""),"CLEAR CHECKER FIELDS",IF(OR(Setup!$B$4&lt;&gt;"",Setup!$B$5&lt;&gt;""),"CLEAR CHECKER ID",IF(F5&lt;&gt;"primary_done","PRIMARY DRAFT","PRIMARY READY"))),IF(OR(COUNTIF(Primary_snapshot!$A$2:$A$120,A5)&lt;&gt;1,INDEX('Primary_snapshot'!$J$2:$J$120,MATCH(A5,'Primary_snapshot'!$A$2:$A$120,0))&lt;&gt;"primary_done",INDEX('Primary_snapshot'!$K$2:$K$120,MATCH(A5,'Primary_snapshot'!$A$2:$A$120,0))&lt;&gt;Setup!$B$2,INDEX('Primary_snapshot'!$B$2:$B$120,MATCH(A5,'Primary_snapshot'!$A$2:$A$120,0))="NOT FROZEN",INDEX('Primary_snapshot'!$C$2:$C$120,MATCH(A5,'Primary_snapshot'!$A$2:$A$120,0))="NOT FROZEN",INDEX('Primary_snapshot'!$D$2:$D$120,MATCH(A5,'Primary_snapshot'!$A$2:$A$120,0))="NOT FROZEN",INDEX('Primary_snapshot'!$E$2:$E$120,MATCH(A5,'Primary_snapshot'!$A$2:$A$120,0))="NOT FROZEN",INDEX('Primary_snapshot'!$F$2:$F$120,MATCH(A5,'Primary_snapshot'!$A$2:$A$120,0))="NOT FROZEN",INDEX('Primary_snapshot'!$G$2:$G$120,MATCH(A5,'Primary_snapshot'!$A$2:$A$120,0))="NOT FROZEN",INDEX('Primary_snapshot'!$H$2:$H$120,MATCH(A5,'Primary_snapshot'!$A$2:$A$120,0))="NOT FROZEN",INDEX('Primary_snapshot'!$I$2:$I$120,MATCH(A5,'Primary_snapshot'!$A$2:$A$120,0))="NOT FROZEN",INDEX('Primary_snapshot'!$J$2:$J$120,MATCH(A5,'Primary_snapshot'!$A$2:$A$120,0))="NOT FROZEN",INDEX('Primary_snapshot'!$K$2:$K$120,MATCH(A5,'Primary_snapshot'!$A$2:$A$120,0))="NOT FROZEN",INDEX('Primary_snapshot'!$L$2:$L$120,MATCH(A5,'Primary_snapshot'!$A$2:$A$120,0))="NOT FROZEN"),"FREEZE SNAPSHOT",IF(NOT(OR(N5="agree",N5="agree_clarification",N5="disagree",N5="unable")),"CHECKER RESULT NEEDED",IF(AND(N5&lt;&gt;"agree",LEN(TRIM(O5))=0),"COMMENT NEEDED",IF(AND(N5="agree",NOT(AND(IF(D5="","",D5)=IF(INDEX('Primary_snapshot'!$B$2:$B$120,MATCH(A5,'Primary_snapshot'!$A$2:$A$120,0))="","",INDEX('Primary_snapshot'!$B$2:$B$120,MATCH(A5,'Primary_snapshot'!$A$2:$A$120,0))),IF(E5="","",E5)=IF(INDEX('Primary_snapshot'!$C$2:$C$120,MATCH(A5,'Primary_snapshot'!$A$2:$A$120,0))="","",INDEX('Primary_snapshot'!$C$2:$C$120,MATCH(A5,'Primary_snapshot'!$A$2:$A$120,0))),IF(AND(D5="retain",E5="statistical_results"),IF(H5="","",H5),"not_applicable")=IF(INDEX('Primary_snapshot'!$D$2:$D$120,MATCH(A5,'Primary_snapshot'!$A$2:$A$120,0))="","",INDEX('Primary_snapshot'!$D$2:$D$120,MATCH(A5,'Primary_snapshot'!$A$2:$A$120,0))),IF(AND(D5="retain",E5="statistical_results"),IF(I5="","",I5),"not_applicable")=IF(INDEX('Primary_snapshot'!$E$2:$E$120,MATCH(A5,'Primary_snapshot'!$A$2:$A$120,0))="","",INDEX('Primary_snapshot'!$E$2:$E$120,MATCH(A5,'Primary_snapshot'!$A$2:$A$120,0))),IF(AND(D5="retain",E5="statistical_results"),IF(J5="","",J5),"not_applicable")=IF(INDEX('Primary_snapshot'!$F$2:$F$120,MATCH(A5,'Primary_snapshot'!$A$2:$A$120,0))="","",INDEX('Primary_snapshot'!$F$2:$F$120,MATCH(A5,'Primary_snapshot'!$A$2:$A$120,0))),IF(AND(D5="retain",OR(E5="report_internal_inconsistency",E5="plan_material")),IF(K5="","",K5),"not_applicable")=IF(INDEX('Primary_snapshot'!$G$2:$G$120,MATCH(A5,'Primary_snapshot'!$A$2:$A$120,0))="","",INDEX('Primary_snapshot'!$G$2:$G$120,MATCH(A5,'Primary_snapshot'!$A$2:$A$120,0))),IF(AND(D5="retain",E5="protocol_report"),IF(L5="","",L5),"not_applicable")=IF(INDEX('Primary_snapshot'!$H$2:$H$120,MATCH(A5,'Primary_snapshot'!$A$2:$A$120,0))="","",INDEX('Primary_snapshot'!$H$2:$H$120,MATCH(A5,'Primary_snapshot'!$A$2:$A$120,0))),IF(R5="","",R5)=IF(INDEX('Primary_snapshot'!$I$2:$I$120,MATCH(A5,'Primary_snapshot'!$A$2:$A$120,0))="","",INDEX('Primary_snapshot'!$I$2:$I$120,MATCH(A5,'Primary_snapshot'!$A$2:$A$120,0)))))),"AGREE BUT CHANGED",IF(AND(P5&lt;&gt;"",NOT(OR(P5="pending",P5="resolved"))),"CHECK RESOLUTION",IF(OR(AND(OR(D5="discuss",INDEX('Primary_snapshot'!$B$2:$B$120,MATCH(A5,'Primary_snapshot'!$A$2:$A$120,0))="discuss",N5="disagree",N5="unable"),P5&lt;&gt;"resolved"),D5="discuss"),"DISCUSS",IF(AND(P5="resolved",LEN(TRIM(Q5))=0),"RESOLUTION NOTE NEEDED",IF(F5&lt;&gt;"checker_done","CHECKER DRAFT","FINAL READY")))))))))))))),"CHECK KEY / SNAPSHOT")</x:f>
        <x:v>CHECK REVIEWER IDs</x:v>
      </x:c>
      <x:c r="H5" s="7" t="str">
        <x:f>IF(AND(OR(D5="retain",D5=""),E5="statistical_results"),"","not_applicable")</x:f>
        <x:v>not_applicable</x:v>
      </x:c>
      <x:c r="I5" s="7" t="str">
        <x:f>IF(AND(OR(D5="retain",D5=""),E5="statistical_results"),"","not_applicable")</x:f>
        <x:v>not_applicable</x:v>
      </x:c>
      <x:c r="J5" s="13" t="str">
        <x:f>IF(AND(OR(D5="retain",D5=""),E5="statistical_results"),"","not_applicable")</x:f>
        <x:v>not_applicable</x:v>
      </x:c>
      <x:c r="K5" s="7" t="str">
        <x:f>IF(AND(OR(D5="retain",D5=""),OR(E5="report_internal_inconsistency",E5="plan_material")),"","not_applicable")</x:f>
      </x:c>
      <x:c r="L5" s="13" t="str">
        <x:f>IF(AND(OR(D5="retain",D5=""),E5="protocol_report"),"","not_applicable")</x:f>
        <x:v>not_applicable</x:v>
      </x:c>
      <x:c r="M5" s="3" t="str">
        <x:f>IF(Setup!$B$6="primary","",IFERROR(IF(INDEX('Primary_snapshot'!$L$2:$L$120,MATCH(A5,'Primary_snapshot'!$A$2:$A$120,0))="","",INDEX('Primary_snapshot'!$L$2:$L$120,MATCH(A5,'Primary_snapshot'!$A$2:$A$120,0))),"SNAPSHOT MISSING"))</x:f>
      </x:c>
      <x:c r="N5" s="7" t="str"/>
      <x:c r="O5" s="7" t="str"/>
      <x:c r="P5" s="7" t="str"/>
      <x:c r="Q5" s="7" t="str"/>
      <x:c r="R5" s="13" t="str"/>
    </x:row>
    <x:row r="6" ht="92" customHeight="1">
      <x:c r="A6" s="6" t="str">
        <x:v>2018::jama.2018.9128::C005</x:v>
      </x:c>
      <x:c r="B6" s="6" t="str">
        <x:v>Control 12-month BMI-observation count differs across result displays</x:v>
      </x:c>
      <x:c r="C6" s="6" t="str">
        <x:v>DOC-001 Figure 1 — PDF p. 3; DOC-001 Figure 2 — PDF p. 7; DOC-003 eTable 1 — PDF p. 2.</x:v>
      </x:c>
      <x:c r="D6" s="7" t="str"/>
      <x:c r="E6" s="7" t="str">
        <x:v>report_internal_inconsistency</x:v>
      </x:c>
      <x:c r="F6" s="7" t="str">
        <x:v>no</x:v>
      </x:c>
      <x:c r="G6" s="6" t="str">
        <x:f>IFERROR(IF(NOT(OR(Setup!$B$6="primary",Setup!$B$6="checker")),"CHECK STAGE",IF(OR(LEN(TRIM(Setup!$B$2))=0,Setup!$B$2&lt;&gt;TRIM(Setup!$B$2),AND(Setup!$B$6="checker",OR(LEN(TRIM(Setup!$B$4))=0,Setup!$B$4&lt;&gt;TRIM(Setup!$B$4),LOWER(TRIM(Setup!$B$4))=LOWER(TRIM(Setup!$B$2))))),"CHECK REVIEWER IDs",IF(OR(COUNTIF($A$2:$A$14,A6)&lt;&gt;1,COUNTIF(Decisions!$C$2:$C$120,A6)&lt;&gt;1),"CHECK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FIELDS",IF(Setup!$B$6="primary",IF(OR(N6&lt;&gt;"",O6&lt;&gt;"",P6&lt;&gt;"",Q6&lt;&gt;""),"CLEAR CHECKER FIELDS",IF(OR(Setup!$B$4&lt;&gt;"",Setup!$B$5&lt;&gt;""),"CLEAR CHECKER ID",IF(F6&lt;&gt;"primary_done","PRIMARY DRAFT","PRIMARY READY"))),IF(OR(COUNTIF(Primary_snapshot!$A$2:$A$120,A6)&lt;&gt;1,INDEX('Primary_snapshot'!$J$2:$J$120,MATCH(A6,'Primary_snapshot'!$A$2:$A$120,0))&lt;&gt;"primary_done",INDEX('Primary_snapshot'!$K$2:$K$120,MATCH(A6,'Primary_snapshot'!$A$2:$A$120,0))&lt;&gt;Setup!$B$2,INDEX('Primary_snapshot'!$B$2:$B$120,MATCH(A6,'Primary_snapshot'!$A$2:$A$120,0))="NOT FROZEN",INDEX('Primary_snapshot'!$C$2:$C$120,MATCH(A6,'Primary_snapshot'!$A$2:$A$120,0))="NOT FROZEN",INDEX('Primary_snapshot'!$D$2:$D$120,MATCH(A6,'Primary_snapshot'!$A$2:$A$120,0))="NOT FROZEN",INDEX('Primary_snapshot'!$E$2:$E$120,MATCH(A6,'Primary_snapshot'!$A$2:$A$120,0))="NOT FROZEN",INDEX('Primary_snapshot'!$F$2:$F$120,MATCH(A6,'Primary_snapshot'!$A$2:$A$120,0))="NOT FROZEN",INDEX('Primary_snapshot'!$G$2:$G$120,MATCH(A6,'Primary_snapshot'!$A$2:$A$120,0))="NOT FROZEN",INDEX('Primary_snapshot'!$H$2:$H$120,MATCH(A6,'Primary_snapshot'!$A$2:$A$120,0))="NOT FROZEN",INDEX('Primary_snapshot'!$I$2:$I$120,MATCH(A6,'Primary_snapshot'!$A$2:$A$120,0))="NOT FROZEN",INDEX('Primary_snapshot'!$J$2:$J$120,MATCH(A6,'Primary_snapshot'!$A$2:$A$120,0))="NOT FROZEN",INDEX('Primary_snapshot'!$K$2:$K$120,MATCH(A6,'Primary_snapshot'!$A$2:$A$120,0))="NOT FROZEN",INDEX('Primary_snapshot'!$L$2:$L$120,MATCH(A6,'Primary_snapshot'!$A$2:$A$120,0))="NOT FROZEN"),"FREEZE SNAPSHOT",IF(NOT(OR(N6="agree",N6="agree_clarification",N6="disagree",N6="unable")),"CHECKER RESULT NEEDED",IF(AND(N6&lt;&gt;"agree",LEN(TRIM(O6))=0),"COMMENT NEEDED",IF(AND(N6="agree",NOT(AND(IF(D6="","",D6)=IF(INDEX('Primary_snapshot'!$B$2:$B$120,MATCH(A6,'Primary_snapshot'!$A$2:$A$120,0))="","",INDEX('Primary_snapshot'!$B$2:$B$120,MATCH(A6,'Primary_snapshot'!$A$2:$A$120,0))),IF(E6="","",E6)=IF(INDEX('Primary_snapshot'!$C$2:$C$120,MATCH(A6,'Primary_snapshot'!$A$2:$A$120,0))="","",INDEX('Primary_snapshot'!$C$2:$C$120,MATCH(A6,'Primary_snapshot'!$A$2:$A$120,0))),IF(AND(D6="retain",E6="statistical_results"),IF(H6="","",H6),"not_applicable")=IF(INDEX('Primary_snapshot'!$D$2:$D$120,MATCH(A6,'Primary_snapshot'!$A$2:$A$120,0))="","",INDEX('Primary_snapshot'!$D$2:$D$120,MATCH(A6,'Primary_snapshot'!$A$2:$A$120,0))),IF(AND(D6="retain",E6="statistical_results"),IF(I6="","",I6),"not_applicable")=IF(INDEX('Primary_snapshot'!$E$2:$E$120,MATCH(A6,'Primary_snapshot'!$A$2:$A$120,0))="","",INDEX('Primary_snapshot'!$E$2:$E$120,MATCH(A6,'Primary_snapshot'!$A$2:$A$120,0))),IF(AND(D6="retain",E6="statistical_results"),IF(J6="","",J6),"not_applicable")=IF(INDEX('Primary_snapshot'!$F$2:$F$120,MATCH(A6,'Primary_snapshot'!$A$2:$A$120,0))="","",INDEX('Primary_snapshot'!$F$2:$F$120,MATCH(A6,'Primary_snapshot'!$A$2:$A$120,0))),IF(AND(D6="retain",OR(E6="report_internal_inconsistency",E6="plan_material")),IF(K6="","",K6),"not_applicable")=IF(INDEX('Primary_snapshot'!$G$2:$G$120,MATCH(A6,'Primary_snapshot'!$A$2:$A$120,0))="","",INDEX('Primary_snapshot'!$G$2:$G$120,MATCH(A6,'Primary_snapshot'!$A$2:$A$120,0))),IF(AND(D6="retain",E6="protocol_report"),IF(L6="","",L6),"not_applicable")=IF(INDEX('Primary_snapshot'!$H$2:$H$120,MATCH(A6,'Primary_snapshot'!$A$2:$A$120,0))="","",INDEX('Primary_snapshot'!$H$2:$H$120,MATCH(A6,'Primary_snapshot'!$A$2:$A$120,0))),IF(R6="","",R6)=IF(INDEX('Primary_snapshot'!$I$2:$I$120,MATCH(A6,'Primary_snapshot'!$A$2:$A$120,0))="","",INDEX('Primary_snapshot'!$I$2:$I$120,MATCH(A6,'Primary_snapshot'!$A$2:$A$120,0)))))),"AGREE BUT CHANGED",IF(AND(P6&lt;&gt;"",NOT(OR(P6="pending",P6="resolved"))),"CHECK RESOLUTION",IF(OR(AND(OR(D6="discuss",INDEX('Primary_snapshot'!$B$2:$B$120,MATCH(A6,'Primary_snapshot'!$A$2:$A$120,0))="discuss",N6="disagree",N6="unable"),P6&lt;&gt;"resolved"),D6="discuss"),"DISCUSS",IF(AND(P6="resolved",LEN(TRIM(Q6))=0),"RESOLUTION NOTE NEEDED",IF(F6&lt;&gt;"checker_done","CHECKER DRAFT","FINAL READY")))))))))))))),"CHECK KEY / SNAPSHOT")</x:f>
        <x:v>CHECK REVIEWER IDs</x:v>
      </x:c>
      <x:c r="H6" s="7" t="str">
        <x:f>IF(AND(OR(D6="retain",D6=""),E6="statistical_results"),"","not_applicable")</x:f>
        <x:v>not_applicable</x:v>
      </x:c>
      <x:c r="I6" s="7" t="str">
        <x:f>IF(AND(OR(D6="retain",D6=""),E6="statistical_results"),"","not_applicable")</x:f>
        <x:v>not_applicable</x:v>
      </x:c>
      <x:c r="J6" s="13" t="str">
        <x:f>IF(AND(OR(D6="retain",D6=""),E6="statistical_results"),"","not_applicable")</x:f>
        <x:v>not_applicable</x:v>
      </x:c>
      <x:c r="K6" s="7" t="str">
        <x:f>IF(AND(OR(D6="retain",D6=""),OR(E6="report_internal_inconsistency",E6="plan_material")),"","not_applicable")</x:f>
      </x:c>
      <x:c r="L6" s="13" t="str">
        <x:f>IF(AND(OR(D6="retain",D6=""),E6="protocol_report"),"","not_applicable")</x:f>
        <x:v>not_applicable</x:v>
      </x:c>
      <x:c r="M6" s="6" t="str">
        <x:f>IF(Setup!$B$6="primary","",IFERROR(IF(INDEX('Primary_snapshot'!$L$2:$L$120,MATCH(A6,'Primary_snapshot'!$A$2:$A$120,0))="","",INDEX('Primary_snapshot'!$L$2:$L$120,MATCH(A6,'Primary_snapshot'!$A$2:$A$120,0))),"SNAPSHOT MISSING"))</x:f>
      </x:c>
      <x:c r="N6" s="7" t="str"/>
      <x:c r="O6" s="7" t="str"/>
      <x:c r="P6" s="7" t="str"/>
      <x:c r="Q6" s="7" t="str"/>
      <x:c r="R6" s="13" t="str"/>
    </x:row>
    <x:row r="7" ht="92" customHeight="1">
      <x:c r="A7" s="3" t="str">
        <x:v>2018::jama.2018.9128::C006</x:v>
      </x:c>
      <x:c r="B7" s="3" t="str">
        <x:v>Intervention 24-month BMI-observation count differs across result displays</x:v>
      </x:c>
      <x:c r="C7" s="3" t="str">
        <x:v>DOC-001 Figure 1 — PDF p. 3; DOC-001 Figure 2 — PDF p. 7; DOC-003 eTable 1 — PDF p. 2.</x:v>
      </x:c>
      <x:c r="D7" s="7" t="str"/>
      <x:c r="E7" s="7" t="str">
        <x:v>report_internal_inconsistency</x:v>
      </x:c>
      <x:c r="F7" s="7" t="str">
        <x:v>no</x:v>
      </x:c>
      <x:c r="G7" s="3" t="str">
        <x:f>IFERROR(IF(NOT(OR(Setup!$B$6="primary",Setup!$B$6="checker")),"CHECK STAGE",IF(OR(LEN(TRIM(Setup!$B$2))=0,Setup!$B$2&lt;&gt;TRIM(Setup!$B$2),AND(Setup!$B$6="checker",OR(LEN(TRIM(Setup!$B$4))=0,Setup!$B$4&lt;&gt;TRIM(Setup!$B$4),LOWER(TRIM(Setup!$B$4))=LOWER(TRIM(Setup!$B$2))))),"CHECK REVIEWER IDs",IF(OR(COUNTIF($A$2:$A$14,A7)&lt;&gt;1,COUNTIF(Decisions!$C$2:$C$120,A7)&lt;&gt;1),"CHECK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FIELDS",IF(Setup!$B$6="primary",IF(OR(N7&lt;&gt;"",O7&lt;&gt;"",P7&lt;&gt;"",Q7&lt;&gt;""),"CLEAR CHECKER FIELDS",IF(OR(Setup!$B$4&lt;&gt;"",Setup!$B$5&lt;&gt;""),"CLEAR CHECKER ID",IF(F7&lt;&gt;"primary_done","PRIMARY DRAFT","PRIMARY READY"))),IF(OR(COUNTIF(Primary_snapshot!$A$2:$A$120,A7)&lt;&gt;1,INDEX('Primary_snapshot'!$J$2:$J$120,MATCH(A7,'Primary_snapshot'!$A$2:$A$120,0))&lt;&gt;"primary_done",INDEX('Primary_snapshot'!$K$2:$K$120,MATCH(A7,'Primary_snapshot'!$A$2:$A$120,0))&lt;&gt;Setup!$B$2,INDEX('Primary_snapshot'!$B$2:$B$120,MATCH(A7,'Primary_snapshot'!$A$2:$A$120,0))="NOT FROZEN",INDEX('Primary_snapshot'!$C$2:$C$120,MATCH(A7,'Primary_snapshot'!$A$2:$A$120,0))="NOT FROZEN",INDEX('Primary_snapshot'!$D$2:$D$120,MATCH(A7,'Primary_snapshot'!$A$2:$A$120,0))="NOT FROZEN",INDEX('Primary_snapshot'!$E$2:$E$120,MATCH(A7,'Primary_snapshot'!$A$2:$A$120,0))="NOT FROZEN",INDEX('Primary_snapshot'!$F$2:$F$120,MATCH(A7,'Primary_snapshot'!$A$2:$A$120,0))="NOT FROZEN",INDEX('Primary_snapshot'!$G$2:$G$120,MATCH(A7,'Primary_snapshot'!$A$2:$A$120,0))="NOT FROZEN",INDEX('Primary_snapshot'!$H$2:$H$120,MATCH(A7,'Primary_snapshot'!$A$2:$A$120,0))="NOT FROZEN",INDEX('Primary_snapshot'!$I$2:$I$120,MATCH(A7,'Primary_snapshot'!$A$2:$A$120,0))="NOT FROZEN",INDEX('Primary_snapshot'!$J$2:$J$120,MATCH(A7,'Primary_snapshot'!$A$2:$A$120,0))="NOT FROZEN",INDEX('Primary_snapshot'!$K$2:$K$120,MATCH(A7,'Primary_snapshot'!$A$2:$A$120,0))="NOT FROZEN",INDEX('Primary_snapshot'!$L$2:$L$120,MATCH(A7,'Primary_snapshot'!$A$2:$A$120,0))="NOT FROZEN"),"FREEZE SNAPSHOT",IF(NOT(OR(N7="agree",N7="agree_clarification",N7="disagree",N7="unable")),"CHECKER RESULT NEEDED",IF(AND(N7&lt;&gt;"agree",LEN(TRIM(O7))=0),"COMMENT NEEDED",IF(AND(N7="agree",NOT(AND(IF(D7="","",D7)=IF(INDEX('Primary_snapshot'!$B$2:$B$120,MATCH(A7,'Primary_snapshot'!$A$2:$A$120,0))="","",INDEX('Primary_snapshot'!$B$2:$B$120,MATCH(A7,'Primary_snapshot'!$A$2:$A$120,0))),IF(E7="","",E7)=IF(INDEX('Primary_snapshot'!$C$2:$C$120,MATCH(A7,'Primary_snapshot'!$A$2:$A$120,0))="","",INDEX('Primary_snapshot'!$C$2:$C$120,MATCH(A7,'Primary_snapshot'!$A$2:$A$120,0))),IF(AND(D7="retain",E7="statistical_results"),IF(H7="","",H7),"not_applicable")=IF(INDEX('Primary_snapshot'!$D$2:$D$120,MATCH(A7,'Primary_snapshot'!$A$2:$A$120,0))="","",INDEX('Primary_snapshot'!$D$2:$D$120,MATCH(A7,'Primary_snapshot'!$A$2:$A$120,0))),IF(AND(D7="retain",E7="statistical_results"),IF(I7="","",I7),"not_applicable")=IF(INDEX('Primary_snapshot'!$E$2:$E$120,MATCH(A7,'Primary_snapshot'!$A$2:$A$120,0))="","",INDEX('Primary_snapshot'!$E$2:$E$120,MATCH(A7,'Primary_snapshot'!$A$2:$A$120,0))),IF(AND(D7="retain",E7="statistical_results"),IF(J7="","",J7),"not_applicable")=IF(INDEX('Primary_snapshot'!$F$2:$F$120,MATCH(A7,'Primary_snapshot'!$A$2:$A$120,0))="","",INDEX('Primary_snapshot'!$F$2:$F$120,MATCH(A7,'Primary_snapshot'!$A$2:$A$120,0))),IF(AND(D7="retain",OR(E7="report_internal_inconsistency",E7="plan_material")),IF(K7="","",K7),"not_applicable")=IF(INDEX('Primary_snapshot'!$G$2:$G$120,MATCH(A7,'Primary_snapshot'!$A$2:$A$120,0))="","",INDEX('Primary_snapshot'!$G$2:$G$120,MATCH(A7,'Primary_snapshot'!$A$2:$A$120,0))),IF(AND(D7="retain",E7="protocol_report"),IF(L7="","",L7),"not_applicable")=IF(INDEX('Primary_snapshot'!$H$2:$H$120,MATCH(A7,'Primary_snapshot'!$A$2:$A$120,0))="","",INDEX('Primary_snapshot'!$H$2:$H$120,MATCH(A7,'Primary_snapshot'!$A$2:$A$120,0))),IF(R7="","",R7)=IF(INDEX('Primary_snapshot'!$I$2:$I$120,MATCH(A7,'Primary_snapshot'!$A$2:$A$120,0))="","",INDEX('Primary_snapshot'!$I$2:$I$120,MATCH(A7,'Primary_snapshot'!$A$2:$A$120,0)))))),"AGREE BUT CHANGED",IF(AND(P7&lt;&gt;"",NOT(OR(P7="pending",P7="resolved"))),"CHECK RESOLUTION",IF(OR(AND(OR(D7="discuss",INDEX('Primary_snapshot'!$B$2:$B$120,MATCH(A7,'Primary_snapshot'!$A$2:$A$120,0))="discuss",N7="disagree",N7="unable"),P7&lt;&gt;"resolved"),D7="discuss"),"DISCUSS",IF(AND(P7="resolved",LEN(TRIM(Q7))=0),"RESOLUTION NOTE NEEDED",IF(F7&lt;&gt;"checker_done","CHECKER DRAFT","FINAL READY")))))))))))))),"CHECK KEY / SNAPSHOT")</x:f>
        <x:v>CHECK REVIEWER IDs</x:v>
      </x:c>
      <x:c r="H7" s="7" t="str">
        <x:f>IF(AND(OR(D7="retain",D7=""),E7="statistical_results"),"","not_applicable")</x:f>
        <x:v>not_applicable</x:v>
      </x:c>
      <x:c r="I7" s="7" t="str">
        <x:f>IF(AND(OR(D7="retain",D7=""),E7="statistical_results"),"","not_applicable")</x:f>
        <x:v>not_applicable</x:v>
      </x:c>
      <x:c r="J7" s="13" t="str">
        <x:f>IF(AND(OR(D7="retain",D7=""),E7="statistical_results"),"","not_applicable")</x:f>
        <x:v>not_applicable</x:v>
      </x:c>
      <x:c r="K7" s="7" t="str">
        <x:f>IF(AND(OR(D7="retain",D7=""),OR(E7="report_internal_inconsistency",E7="plan_material")),"","not_applicable")</x:f>
      </x:c>
      <x:c r="L7" s="13" t="str">
        <x:f>IF(AND(OR(D7="retain",D7=""),E7="protocol_report"),"","not_applicable")</x:f>
        <x:v>not_applicable</x:v>
      </x:c>
      <x:c r="M7" s="3" t="str">
        <x:f>IF(Setup!$B$6="primary","",IFERROR(IF(INDEX('Primary_snapshot'!$L$2:$L$120,MATCH(A7,'Primary_snapshot'!$A$2:$A$120,0))="","",INDEX('Primary_snapshot'!$L$2:$L$120,MATCH(A7,'Primary_snapshot'!$A$2:$A$120,0))),"SNAPSHOT MISSING"))</x:f>
      </x:c>
      <x:c r="N7" s="7" t="str"/>
      <x:c r="O7" s="7" t="str"/>
      <x:c r="P7" s="7" t="str"/>
      <x:c r="Q7" s="7" t="str"/>
      <x:c r="R7" s="13" t="str"/>
    </x:row>
    <x:row r="8" ht="92" customHeight="1">
      <x:c r="A8" s="6" t="str">
        <x:v>2018::jama.2018.9128::C007</x:v>
      </x:c>
      <x:c r="B8" s="6" t="str">
        <x:v>Control 24-month BMI-observation count differs across result displays</x:v>
      </x:c>
      <x:c r="C8" s="6" t="str">
        <x:v>DOC-001 Figure 1 — PDF p. 3; DOC-001 Figure 2 — PDF p. 7; DOC-003 eTable 1 — PDF p. 2.</x:v>
      </x:c>
      <x:c r="D8" s="7" t="str"/>
      <x:c r="E8" s="7" t="str">
        <x:v>report_internal_inconsistency</x:v>
      </x:c>
      <x:c r="F8" s="7" t="str">
        <x:v>no</x:v>
      </x:c>
      <x:c r="G8" s="6" t="str">
        <x:f>IFERROR(IF(NOT(OR(Setup!$B$6="primary",Setup!$B$6="checker")),"CHECK STAGE",IF(OR(LEN(TRIM(Setup!$B$2))=0,Setup!$B$2&lt;&gt;TRIM(Setup!$B$2),AND(Setup!$B$6="checker",OR(LEN(TRIM(Setup!$B$4))=0,Setup!$B$4&lt;&gt;TRIM(Setup!$B$4),LOWER(TRIM(Setup!$B$4))=LOWER(TRIM(Setup!$B$2))))),"CHECK REVIEWER IDs",IF(OR(COUNTIF($A$2:$A$14,A8)&lt;&gt;1,COUNTIF(Decisions!$C$2:$C$120,A8)&lt;&gt;1),"CHECK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FIELDS",IF(Setup!$B$6="primary",IF(OR(N8&lt;&gt;"",O8&lt;&gt;"",P8&lt;&gt;"",Q8&lt;&gt;""),"CLEAR CHECKER FIELDS",IF(OR(Setup!$B$4&lt;&gt;"",Setup!$B$5&lt;&gt;""),"CLEAR CHECKER ID",IF(F8&lt;&gt;"primary_done","PRIMARY DRAFT","PRIMARY READY"))),IF(OR(COUNTIF(Primary_snapshot!$A$2:$A$120,A8)&lt;&gt;1,INDEX('Primary_snapshot'!$J$2:$J$120,MATCH(A8,'Primary_snapshot'!$A$2:$A$120,0))&lt;&gt;"primary_done",INDEX('Primary_snapshot'!$K$2:$K$120,MATCH(A8,'Primary_snapshot'!$A$2:$A$120,0))&lt;&gt;Setup!$B$2,INDEX('Primary_snapshot'!$B$2:$B$120,MATCH(A8,'Primary_snapshot'!$A$2:$A$120,0))="NOT FROZEN",INDEX('Primary_snapshot'!$C$2:$C$120,MATCH(A8,'Primary_snapshot'!$A$2:$A$120,0))="NOT FROZEN",INDEX('Primary_snapshot'!$D$2:$D$120,MATCH(A8,'Primary_snapshot'!$A$2:$A$120,0))="NOT FROZEN",INDEX('Primary_snapshot'!$E$2:$E$120,MATCH(A8,'Primary_snapshot'!$A$2:$A$120,0))="NOT FROZEN",INDEX('Primary_snapshot'!$F$2:$F$120,MATCH(A8,'Primary_snapshot'!$A$2:$A$120,0))="NOT FROZEN",INDEX('Primary_snapshot'!$G$2:$G$120,MATCH(A8,'Primary_snapshot'!$A$2:$A$120,0))="NOT FROZEN",INDEX('Primary_snapshot'!$H$2:$H$120,MATCH(A8,'Primary_snapshot'!$A$2:$A$120,0))="NOT FROZEN",INDEX('Primary_snapshot'!$I$2:$I$120,MATCH(A8,'Primary_snapshot'!$A$2:$A$120,0))="NOT FROZEN",INDEX('Primary_snapshot'!$J$2:$J$120,MATCH(A8,'Primary_snapshot'!$A$2:$A$120,0))="NOT FROZEN",INDEX('Primary_snapshot'!$K$2:$K$120,MATCH(A8,'Primary_snapshot'!$A$2:$A$120,0))="NOT FROZEN",INDEX('Primary_snapshot'!$L$2:$L$120,MATCH(A8,'Primary_snapshot'!$A$2:$A$120,0))="NOT FROZEN"),"FREEZE SNAPSHOT",IF(NOT(OR(N8="agree",N8="agree_clarification",N8="disagree",N8="unable")),"CHECKER RESULT NEEDED",IF(AND(N8&lt;&gt;"agree",LEN(TRIM(O8))=0),"COMMENT NEEDED",IF(AND(N8="agree",NOT(AND(IF(D8="","",D8)=IF(INDEX('Primary_snapshot'!$B$2:$B$120,MATCH(A8,'Primary_snapshot'!$A$2:$A$120,0))="","",INDEX('Primary_snapshot'!$B$2:$B$120,MATCH(A8,'Primary_snapshot'!$A$2:$A$120,0))),IF(E8="","",E8)=IF(INDEX('Primary_snapshot'!$C$2:$C$120,MATCH(A8,'Primary_snapshot'!$A$2:$A$120,0))="","",INDEX('Primary_snapshot'!$C$2:$C$120,MATCH(A8,'Primary_snapshot'!$A$2:$A$120,0))),IF(AND(D8="retain",E8="statistical_results"),IF(H8="","",H8),"not_applicable")=IF(INDEX('Primary_snapshot'!$D$2:$D$120,MATCH(A8,'Primary_snapshot'!$A$2:$A$120,0))="","",INDEX('Primary_snapshot'!$D$2:$D$120,MATCH(A8,'Primary_snapshot'!$A$2:$A$120,0))),IF(AND(D8="retain",E8="statistical_results"),IF(I8="","",I8),"not_applicable")=IF(INDEX('Primary_snapshot'!$E$2:$E$120,MATCH(A8,'Primary_snapshot'!$A$2:$A$120,0))="","",INDEX('Primary_snapshot'!$E$2:$E$120,MATCH(A8,'Primary_snapshot'!$A$2:$A$120,0))),IF(AND(D8="retain",E8="statistical_results"),IF(J8="","",J8),"not_applicable")=IF(INDEX('Primary_snapshot'!$F$2:$F$120,MATCH(A8,'Primary_snapshot'!$A$2:$A$120,0))="","",INDEX('Primary_snapshot'!$F$2:$F$120,MATCH(A8,'Primary_snapshot'!$A$2:$A$120,0))),IF(AND(D8="retain",OR(E8="report_internal_inconsistency",E8="plan_material")),IF(K8="","",K8),"not_applicable")=IF(INDEX('Primary_snapshot'!$G$2:$G$120,MATCH(A8,'Primary_snapshot'!$A$2:$A$120,0))="","",INDEX('Primary_snapshot'!$G$2:$G$120,MATCH(A8,'Primary_snapshot'!$A$2:$A$120,0))),IF(AND(D8="retain",E8="protocol_report"),IF(L8="","",L8),"not_applicable")=IF(INDEX('Primary_snapshot'!$H$2:$H$120,MATCH(A8,'Primary_snapshot'!$A$2:$A$120,0))="","",INDEX('Primary_snapshot'!$H$2:$H$120,MATCH(A8,'Primary_snapshot'!$A$2:$A$120,0))),IF(R8="","",R8)=IF(INDEX('Primary_snapshot'!$I$2:$I$120,MATCH(A8,'Primary_snapshot'!$A$2:$A$120,0))="","",INDEX('Primary_snapshot'!$I$2:$I$120,MATCH(A8,'Primary_snapshot'!$A$2:$A$120,0)))))),"AGREE BUT CHANGED",IF(AND(P8&lt;&gt;"",NOT(OR(P8="pending",P8="resolved"))),"CHECK RESOLUTION",IF(OR(AND(OR(D8="discuss",INDEX('Primary_snapshot'!$B$2:$B$120,MATCH(A8,'Primary_snapshot'!$A$2:$A$120,0))="discuss",N8="disagree",N8="unable"),P8&lt;&gt;"resolved"),D8="discuss"),"DISCUSS",IF(AND(P8="resolved",LEN(TRIM(Q8))=0),"RESOLUTION NOTE NEEDED",IF(F8&lt;&gt;"checker_done","CHECKER DRAFT","FINAL READY")))))))))))))),"CHECK KEY / SNAPSHOT")</x:f>
        <x:v>CHECK REVIEWER IDs</x:v>
      </x:c>
      <x:c r="H8" s="7" t="str">
        <x:f>IF(AND(OR(D8="retain",D8=""),E8="statistical_results"),"","not_applicable")</x:f>
        <x:v>not_applicable</x:v>
      </x:c>
      <x:c r="I8" s="7" t="str">
        <x:f>IF(AND(OR(D8="retain",D8=""),E8="statistical_results"),"","not_applicable")</x:f>
        <x:v>not_applicable</x:v>
      </x:c>
      <x:c r="J8" s="13" t="str">
        <x:f>IF(AND(OR(D8="retain",D8=""),E8="statistical_results"),"","not_applicable")</x:f>
        <x:v>not_applicable</x:v>
      </x:c>
      <x:c r="K8" s="7" t="str">
        <x:f>IF(AND(OR(D8="retain",D8=""),OR(E8="report_internal_inconsistency",E8="plan_material")),"","not_applicable")</x:f>
      </x:c>
      <x:c r="L8" s="13" t="str">
        <x:f>IF(AND(OR(D8="retain",D8=""),E8="protocol_report"),"","not_applicable")</x:f>
        <x:v>not_applicable</x:v>
      </x:c>
      <x:c r="M8" s="6" t="str">
        <x:f>IF(Setup!$B$6="primary","",IFERROR(IF(INDEX('Primary_snapshot'!$L$2:$L$120,MATCH(A8,'Primary_snapshot'!$A$2:$A$120,0))="","",INDEX('Primary_snapshot'!$L$2:$L$120,MATCH(A8,'Primary_snapshot'!$A$2:$A$120,0))),"SNAPSHOT MISSING"))</x:f>
      </x:c>
      <x:c r="N8" s="7" t="str"/>
      <x:c r="O8" s="7" t="str"/>
      <x:c r="P8" s="7" t="str"/>
      <x:c r="Q8" s="7" t="str"/>
      <x:c r="R8" s="13" t="str"/>
    </x:row>
    <x:row r="9" ht="92" customHeight="1">
      <x:c r="A9" s="3" t="str">
        <x:v>2018::jama.2018.9128::C008</x:v>
      </x:c>
      <x:c r="B9" s="3" t="str">
        <x:v>Intervention 36-month BMI-observation count differs across result displays</x:v>
      </x:c>
      <x:c r="C9" s="3" t="str">
        <x:v>DOC-001 Figure 1 — PDF p. 3; DOC-001 Figure 2 — PDF p. 7; DOC-003 eTable 1 — PDF p. 2.</x:v>
      </x:c>
      <x:c r="D9" s="7" t="str"/>
      <x:c r="E9" s="7" t="str">
        <x:v>report_internal_inconsistency</x:v>
      </x:c>
      <x:c r="F9" s="7" t="str">
        <x:v>no</x:v>
      </x:c>
      <x:c r="G9" s="3" t="str">
        <x:f>IFERROR(IF(NOT(OR(Setup!$B$6="primary",Setup!$B$6="checker")),"CHECK STAGE",IF(OR(LEN(TRIM(Setup!$B$2))=0,Setup!$B$2&lt;&gt;TRIM(Setup!$B$2),AND(Setup!$B$6="checker",OR(LEN(TRIM(Setup!$B$4))=0,Setup!$B$4&lt;&gt;TRIM(Setup!$B$4),LOWER(TRIM(Setup!$B$4))=LOWER(TRIM(Setup!$B$2))))),"CHECK REVIEWER IDs",IF(OR(COUNTIF($A$2:$A$14,A9)&lt;&gt;1,COUNTIF(Decisions!$C$2:$C$120,A9)&lt;&gt;1),"CHECK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FIELDS",IF(Setup!$B$6="primary",IF(OR(N9&lt;&gt;"",O9&lt;&gt;"",P9&lt;&gt;"",Q9&lt;&gt;""),"CLEAR CHECKER FIELDS",IF(OR(Setup!$B$4&lt;&gt;"",Setup!$B$5&lt;&gt;""),"CLEAR CHECKER ID",IF(F9&lt;&gt;"primary_done","PRIMARY DRAFT","PRIMARY READY"))),IF(OR(COUNTIF(Primary_snapshot!$A$2:$A$120,A9)&lt;&gt;1,INDEX('Primary_snapshot'!$J$2:$J$120,MATCH(A9,'Primary_snapshot'!$A$2:$A$120,0))&lt;&gt;"primary_done",INDEX('Primary_snapshot'!$K$2:$K$120,MATCH(A9,'Primary_snapshot'!$A$2:$A$120,0))&lt;&gt;Setup!$B$2,INDEX('Primary_snapshot'!$B$2:$B$120,MATCH(A9,'Primary_snapshot'!$A$2:$A$120,0))="NOT FROZEN",INDEX('Primary_snapshot'!$C$2:$C$120,MATCH(A9,'Primary_snapshot'!$A$2:$A$120,0))="NOT FROZEN",INDEX('Primary_snapshot'!$D$2:$D$120,MATCH(A9,'Primary_snapshot'!$A$2:$A$120,0))="NOT FROZEN",INDEX('Primary_snapshot'!$E$2:$E$120,MATCH(A9,'Primary_snapshot'!$A$2:$A$120,0))="NOT FROZEN",INDEX('Primary_snapshot'!$F$2:$F$120,MATCH(A9,'Primary_snapshot'!$A$2:$A$120,0))="NOT FROZEN",INDEX('Primary_snapshot'!$G$2:$G$120,MATCH(A9,'Primary_snapshot'!$A$2:$A$120,0))="NOT FROZEN",INDEX('Primary_snapshot'!$H$2:$H$120,MATCH(A9,'Primary_snapshot'!$A$2:$A$120,0))="NOT FROZEN",INDEX('Primary_snapshot'!$I$2:$I$120,MATCH(A9,'Primary_snapshot'!$A$2:$A$120,0))="NOT FROZEN",INDEX('Primary_snapshot'!$J$2:$J$120,MATCH(A9,'Primary_snapshot'!$A$2:$A$120,0))="NOT FROZEN",INDEX('Primary_snapshot'!$K$2:$K$120,MATCH(A9,'Primary_snapshot'!$A$2:$A$120,0))="NOT FROZEN",INDEX('Primary_snapshot'!$L$2:$L$120,MATCH(A9,'Primary_snapshot'!$A$2:$A$120,0))="NOT FROZEN"),"FREEZE SNAPSHOT",IF(NOT(OR(N9="agree",N9="agree_clarification",N9="disagree",N9="unable")),"CHECKER RESULT NEEDED",IF(AND(N9&lt;&gt;"agree",LEN(TRIM(O9))=0),"COMMENT NEEDED",IF(AND(N9="agree",NOT(AND(IF(D9="","",D9)=IF(INDEX('Primary_snapshot'!$B$2:$B$120,MATCH(A9,'Primary_snapshot'!$A$2:$A$120,0))="","",INDEX('Primary_snapshot'!$B$2:$B$120,MATCH(A9,'Primary_snapshot'!$A$2:$A$120,0))),IF(E9="","",E9)=IF(INDEX('Primary_snapshot'!$C$2:$C$120,MATCH(A9,'Primary_snapshot'!$A$2:$A$120,0))="","",INDEX('Primary_snapshot'!$C$2:$C$120,MATCH(A9,'Primary_snapshot'!$A$2:$A$120,0))),IF(AND(D9="retain",E9="statistical_results"),IF(H9="","",H9),"not_applicable")=IF(INDEX('Primary_snapshot'!$D$2:$D$120,MATCH(A9,'Primary_snapshot'!$A$2:$A$120,0))="","",INDEX('Primary_snapshot'!$D$2:$D$120,MATCH(A9,'Primary_snapshot'!$A$2:$A$120,0))),IF(AND(D9="retain",E9="statistical_results"),IF(I9="","",I9),"not_applicable")=IF(INDEX('Primary_snapshot'!$E$2:$E$120,MATCH(A9,'Primary_snapshot'!$A$2:$A$120,0))="","",INDEX('Primary_snapshot'!$E$2:$E$120,MATCH(A9,'Primary_snapshot'!$A$2:$A$120,0))),IF(AND(D9="retain",E9="statistical_results"),IF(J9="","",J9),"not_applicable")=IF(INDEX('Primary_snapshot'!$F$2:$F$120,MATCH(A9,'Primary_snapshot'!$A$2:$A$120,0))="","",INDEX('Primary_snapshot'!$F$2:$F$120,MATCH(A9,'Primary_snapshot'!$A$2:$A$120,0))),IF(AND(D9="retain",OR(E9="report_internal_inconsistency",E9="plan_material")),IF(K9="","",K9),"not_applicable")=IF(INDEX('Primary_snapshot'!$G$2:$G$120,MATCH(A9,'Primary_snapshot'!$A$2:$A$120,0))="","",INDEX('Primary_snapshot'!$G$2:$G$120,MATCH(A9,'Primary_snapshot'!$A$2:$A$120,0))),IF(AND(D9="retain",E9="protocol_report"),IF(L9="","",L9),"not_applicable")=IF(INDEX('Primary_snapshot'!$H$2:$H$120,MATCH(A9,'Primary_snapshot'!$A$2:$A$120,0))="","",INDEX('Primary_snapshot'!$H$2:$H$120,MATCH(A9,'Primary_snapshot'!$A$2:$A$120,0))),IF(R9="","",R9)=IF(INDEX('Primary_snapshot'!$I$2:$I$120,MATCH(A9,'Primary_snapshot'!$A$2:$A$120,0))="","",INDEX('Primary_snapshot'!$I$2:$I$120,MATCH(A9,'Primary_snapshot'!$A$2:$A$120,0)))))),"AGREE BUT CHANGED",IF(AND(P9&lt;&gt;"",NOT(OR(P9="pending",P9="resolved"))),"CHECK RESOLUTION",IF(OR(AND(OR(D9="discuss",INDEX('Primary_snapshot'!$B$2:$B$120,MATCH(A9,'Primary_snapshot'!$A$2:$A$120,0))="discuss",N9="disagree",N9="unable"),P9&lt;&gt;"resolved"),D9="discuss"),"DISCUSS",IF(AND(P9="resolved",LEN(TRIM(Q9))=0),"RESOLUTION NOTE NEEDED",IF(F9&lt;&gt;"checker_done","CHECKER DRAFT","FINAL READY")))))))))))))),"CHECK KEY / SNAPSHOT")</x:f>
        <x:v>CHECK REVIEWER IDs</x:v>
      </x:c>
      <x:c r="H9" s="7" t="str">
        <x:f>IF(AND(OR(D9="retain",D9=""),E9="statistical_results"),"","not_applicable")</x:f>
        <x:v>not_applicable</x:v>
      </x:c>
      <x:c r="I9" s="7" t="str">
        <x:f>IF(AND(OR(D9="retain",D9=""),E9="statistical_results"),"","not_applicable")</x:f>
        <x:v>not_applicable</x:v>
      </x:c>
      <x:c r="J9" s="13" t="str">
        <x:f>IF(AND(OR(D9="retain",D9=""),E9="statistical_results"),"","not_applicable")</x:f>
        <x:v>not_applicable</x:v>
      </x:c>
      <x:c r="K9" s="7" t="str">
        <x:f>IF(AND(OR(D9="retain",D9=""),OR(E9="report_internal_inconsistency",E9="plan_material")),"","not_applicable")</x:f>
      </x:c>
      <x:c r="L9" s="13" t="str">
        <x:f>IF(AND(OR(D9="retain",D9=""),E9="protocol_report"),"","not_applicable")</x:f>
        <x:v>not_applicable</x:v>
      </x:c>
      <x:c r="M9" s="3" t="str">
        <x:f>IF(Setup!$B$6="primary","",IFERROR(IF(INDEX('Primary_snapshot'!$L$2:$L$120,MATCH(A9,'Primary_snapshot'!$A$2:$A$120,0))="","",INDEX('Primary_snapshot'!$L$2:$L$120,MATCH(A9,'Primary_snapshot'!$A$2:$A$120,0))),"SNAPSHOT MISSING"))</x:f>
      </x:c>
      <x:c r="N9" s="7" t="str"/>
      <x:c r="O9" s="7" t="str"/>
      <x:c r="P9" s="7" t="str"/>
      <x:c r="Q9" s="7" t="str"/>
      <x:c r="R9" s="13" t="str"/>
    </x:row>
    <x:row r="10" ht="92" customHeight="1">
      <x:c r="A10" s="6" t="str">
        <x:v>2018::jama.2018.9128::C009</x:v>
      </x:c>
      <x:c r="B10" s="6" t="str">
        <x:v>Final SAP says six assessment points but enumerates five</x:v>
      </x:c>
      <x:c r="C10" s="6" t="str">
        <x:v>DOC-002 final SAP — PDF p. 110; DOC-002 protocol schedule — PDF p. 15; DOC-001 Methods — PDF p. 4; DOC-003 eTable 1 — PDF p. 2.</x:v>
      </x:c>
      <x:c r="D10" s="7" t="str"/>
      <x:c r="E10" s="7" t="str">
        <x:v>plan_material</x:v>
      </x:c>
      <x:c r="F10" s="7" t="str">
        <x:v>no</x:v>
      </x:c>
      <x:c r="G10" s="6" t="str">
        <x:f>IFERROR(IF(NOT(OR(Setup!$B$6="primary",Setup!$B$6="checker")),"CHECK STAGE",IF(OR(LEN(TRIM(Setup!$B$2))=0,Setup!$B$2&lt;&gt;TRIM(Setup!$B$2),AND(Setup!$B$6="checker",OR(LEN(TRIM(Setup!$B$4))=0,Setup!$B$4&lt;&gt;TRIM(Setup!$B$4),LOWER(TRIM(Setup!$B$4))=LOWER(TRIM(Setup!$B$2))))),"CHECK REVIEWER IDs",IF(OR(COUNTIF($A$2:$A$14,A10)&lt;&gt;1,COUNTIF(Decisions!$C$2:$C$120,A10)&lt;&gt;1),"CHECK KEY",IF(OR(AND(NOT(AND(D10="retain",E10="statistical_results")),H10&lt;&gt;"",H10&lt;&gt;"not_applicable"),AND(NOT(AND(D10="retain",E10="statistical_results")),I10&lt;&gt;"",I10&lt;&gt;"not_applicable"),AND(NOT(AND(D10="retain",E10="statistical_results")),J10&lt;&gt;"",J10&lt;&gt;"not_applicable"),AND(NOT(AND(D10="retain",OR(E10="report_internal_inconsistency",E10="plan_material"))),K10&lt;&gt;"",K10&lt;&gt;"not_applicable"),AND(NOT(AND(D10="retain",E10="protocol_report")),L10&lt;&gt;"",L10&lt;&gt;"not_applicable")),"CLEAR INACTIVE VALUES",IF(OR(NOT(OR(D10="retain",D10="exclude",D10="discuss")),NOT(OR(E10="statistical_results",E10="report_internal_inconsistency",E10="plan_material",E10="protocol_report")),AND(AND(D10="retain",E10="statistical_results"),NOT(OR(H10="confirmed_issue",H10="probable_issue",H10="not_issue",H10="indeterminate"))),AND(AND(D10="retain",E10="statistical_results"),NOT(OR(I10="substantive",I10="minor_presentation",I10="indeterminate"))),AND(AND(D10="retain",E10="statistical_results"),J10&lt;&gt;"",NOT(OR(J10="direct",J10="possible",J10="unlikely",J10="unknown"))),AND(AND(D10="retain",OR(E10="report_internal_inconsistency",E10="plan_material")),NOT(OR(K10="substantive_inconsistency",K10="minor_presentation",K10="non_inconsistency",K10="indeterminate"))),AND(AND(D10="retain",E10="protocol_report"),L10&lt;&gt;"",NOT(OR(L10="substantive_difference",L10="minor_presentation",L10="version_timing",L10="non_inconsistency",L10="indeterminate")))),"CHECK FIELDS",IF(Setup!$B$6="primary",IF(OR(N10&lt;&gt;"",O10&lt;&gt;"",P10&lt;&gt;"",Q10&lt;&gt;""),"CLEAR CHECKER FIELDS",IF(OR(Setup!$B$4&lt;&gt;"",Setup!$B$5&lt;&gt;""),"CLEAR CHECKER ID",IF(F10&lt;&gt;"primary_done","PRIMARY DRAFT","PRIMARY READY"))),IF(OR(COUNTIF(Primary_snapshot!$A$2:$A$120,A10)&lt;&gt;1,INDEX('Primary_snapshot'!$J$2:$J$120,MATCH(A10,'Primary_snapshot'!$A$2:$A$120,0))&lt;&gt;"primary_done",INDEX('Primary_snapshot'!$K$2:$K$120,MATCH(A10,'Primary_snapshot'!$A$2:$A$120,0))&lt;&gt;Setup!$B$2,INDEX('Primary_snapshot'!$B$2:$B$120,MATCH(A10,'Primary_snapshot'!$A$2:$A$120,0))="NOT FROZEN",INDEX('Primary_snapshot'!$C$2:$C$120,MATCH(A10,'Primary_snapshot'!$A$2:$A$120,0))="NOT FROZEN",INDEX('Primary_snapshot'!$D$2:$D$120,MATCH(A10,'Primary_snapshot'!$A$2:$A$120,0))="NOT FROZEN",INDEX('Primary_snapshot'!$E$2:$E$120,MATCH(A10,'Primary_snapshot'!$A$2:$A$120,0))="NOT FROZEN",INDEX('Primary_snapshot'!$F$2:$F$120,MATCH(A10,'Primary_snapshot'!$A$2:$A$120,0))="NOT FROZEN",INDEX('Primary_snapshot'!$G$2:$G$120,MATCH(A10,'Primary_snapshot'!$A$2:$A$120,0))="NOT FROZEN",INDEX('Primary_snapshot'!$H$2:$H$120,MATCH(A10,'Primary_snapshot'!$A$2:$A$120,0))="NOT FROZEN",INDEX('Primary_snapshot'!$I$2:$I$120,MATCH(A10,'Primary_snapshot'!$A$2:$A$120,0))="NOT FROZEN",INDEX('Primary_snapshot'!$J$2:$J$120,MATCH(A10,'Primary_snapshot'!$A$2:$A$120,0))="NOT FROZEN",INDEX('Primary_snapshot'!$K$2:$K$120,MATCH(A10,'Primary_snapshot'!$A$2:$A$120,0))="NOT FROZEN",INDEX('Primary_snapshot'!$L$2:$L$120,MATCH(A10,'Primary_snapshot'!$A$2:$A$120,0))="NOT FROZEN"),"FREEZE SNAPSHOT",IF(NOT(OR(N10="agree",N10="agree_clarification",N10="disagree",N10="unable")),"CHECKER RESULT NEEDED",IF(AND(N10&lt;&gt;"agree",LEN(TRIM(O10))=0),"COMMENT NEEDED",IF(AND(N10="agree",NOT(AND(IF(D10="","",D10)=IF(INDEX('Primary_snapshot'!$B$2:$B$120,MATCH(A10,'Primary_snapshot'!$A$2:$A$120,0))="","",INDEX('Primary_snapshot'!$B$2:$B$120,MATCH(A10,'Primary_snapshot'!$A$2:$A$120,0))),IF(E10="","",E10)=IF(INDEX('Primary_snapshot'!$C$2:$C$120,MATCH(A10,'Primary_snapshot'!$A$2:$A$120,0))="","",INDEX('Primary_snapshot'!$C$2:$C$120,MATCH(A10,'Primary_snapshot'!$A$2:$A$120,0))),IF(AND(D10="retain",E10="statistical_results"),IF(H10="","",H10),"not_applicable")=IF(INDEX('Primary_snapshot'!$D$2:$D$120,MATCH(A10,'Primary_snapshot'!$A$2:$A$120,0))="","",INDEX('Primary_snapshot'!$D$2:$D$120,MATCH(A10,'Primary_snapshot'!$A$2:$A$120,0))),IF(AND(D10="retain",E10="statistical_results"),IF(I10="","",I10),"not_applicable")=IF(INDEX('Primary_snapshot'!$E$2:$E$120,MATCH(A10,'Primary_snapshot'!$A$2:$A$120,0))="","",INDEX('Primary_snapshot'!$E$2:$E$120,MATCH(A10,'Primary_snapshot'!$A$2:$A$120,0))),IF(AND(D10="retain",E10="statistical_results"),IF(J10="","",J10),"not_applicable")=IF(INDEX('Primary_snapshot'!$F$2:$F$120,MATCH(A10,'Primary_snapshot'!$A$2:$A$120,0))="","",INDEX('Primary_snapshot'!$F$2:$F$120,MATCH(A10,'Primary_snapshot'!$A$2:$A$120,0))),IF(AND(D10="retain",OR(E10="report_internal_inconsistency",E10="plan_material")),IF(K10="","",K10),"not_applicable")=IF(INDEX('Primary_snapshot'!$G$2:$G$120,MATCH(A10,'Primary_snapshot'!$A$2:$A$120,0))="","",INDEX('Primary_snapshot'!$G$2:$G$120,MATCH(A10,'Primary_snapshot'!$A$2:$A$120,0))),IF(AND(D10="retain",E10="protocol_report"),IF(L10="","",L10),"not_applicable")=IF(INDEX('Primary_snapshot'!$H$2:$H$120,MATCH(A10,'Primary_snapshot'!$A$2:$A$120,0))="","",INDEX('Primary_snapshot'!$H$2:$H$120,MATCH(A10,'Primary_snapshot'!$A$2:$A$120,0))),IF(R10="","",R10)=IF(INDEX('Primary_snapshot'!$I$2:$I$120,MATCH(A10,'Primary_snapshot'!$A$2:$A$120,0))="","",INDEX('Primary_snapshot'!$I$2:$I$120,MATCH(A10,'Primary_snapshot'!$A$2:$A$120,0)))))),"AGREE BUT CHANGED",IF(AND(P10&lt;&gt;"",NOT(OR(P10="pending",P10="resolved"))),"CHECK RESOLUTION",IF(OR(AND(OR(D10="discuss",INDEX('Primary_snapshot'!$B$2:$B$120,MATCH(A10,'Primary_snapshot'!$A$2:$A$120,0))="discuss",N10="disagree",N10="unable"),P10&lt;&gt;"resolved"),D10="discuss"),"DISCUSS",IF(AND(P10="resolved",LEN(TRIM(Q10))=0),"RESOLUTION NOTE NEEDED",IF(F10&lt;&gt;"checker_done","CHECKER DRAFT","FINAL READY")))))))))))))),"CHECK KEY / SNAPSHOT")</x:f>
        <x:v>CHECK REVIEWER IDs</x:v>
      </x:c>
      <x:c r="H10" s="7" t="str">
        <x:f>IF(AND(OR(D10="retain",D10=""),E10="statistical_results"),"","not_applicable")</x:f>
        <x:v>not_applicable</x:v>
      </x:c>
      <x:c r="I10" s="7" t="str">
        <x:f>IF(AND(OR(D10="retain",D10=""),E10="statistical_results"),"","not_applicable")</x:f>
        <x:v>not_applicable</x:v>
      </x:c>
      <x:c r="J10" s="13" t="str">
        <x:f>IF(AND(OR(D10="retain",D10=""),E10="statistical_results"),"","not_applicable")</x:f>
        <x:v>not_applicable</x:v>
      </x:c>
      <x:c r="K10" s="7" t="str">
        <x:f>IF(AND(OR(D10="retain",D10=""),OR(E10="report_internal_inconsistency",E10="plan_material")),"","not_applicable")</x:f>
      </x:c>
      <x:c r="L10" s="13" t="str">
        <x:f>IF(AND(OR(D10="retain",D10=""),E10="protocol_report"),"","not_applicable")</x:f>
        <x:v>not_applicable</x:v>
      </x:c>
      <x:c r="M10" s="6" t="str">
        <x:f>IF(Setup!$B$6="primary","",IFERROR(IF(INDEX('Primary_snapshot'!$L$2:$L$120,MATCH(A10,'Primary_snapshot'!$A$2:$A$120,0))="","",INDEX('Primary_snapshot'!$L$2:$L$120,MATCH(A10,'Primary_snapshot'!$A$2:$A$120,0))),"SNAPSHOT MISSING"))</x:f>
      </x:c>
      <x:c r="N10" s="7" t="str"/>
      <x:c r="O10" s="7" t="str"/>
      <x:c r="P10" s="7" t="str"/>
      <x:c r="Q10" s="7" t="str"/>
      <x:c r="R10" s="13" t="str"/>
    </x:row>
    <x:row r="11" ht="92" customHeight="1">
      <x:c r="A11" s="3" t="str">
        <x:v>2018::jama.2018.9128::C010</x:v>
      </x:c>
      <x:c r="B11" s="3" t="str">
        <x:v>Revised protocol gives six points but lists seven including 48 months</x:v>
      </x:c>
      <x:c r="C11" s="3" t="str">
        <x:v>DOC-002 revised protocol — PDF p. 64; DOC-001 Methods — PDF p. 4; DOC-003 eTable 1 — PDF p. 2.</x:v>
      </x:c>
      <x:c r="D11" s="7" t="str"/>
      <x:c r="E11" s="7" t="str">
        <x:v>plan_material</x:v>
      </x:c>
      <x:c r="F11" s="7" t="str">
        <x:v>no</x:v>
      </x:c>
      <x:c r="G11" s="3" t="str">
        <x:f>IFERROR(IF(NOT(OR(Setup!$B$6="primary",Setup!$B$6="checker")),"CHECK STAGE",IF(OR(LEN(TRIM(Setup!$B$2))=0,Setup!$B$2&lt;&gt;TRIM(Setup!$B$2),AND(Setup!$B$6="checker",OR(LEN(TRIM(Setup!$B$4))=0,Setup!$B$4&lt;&gt;TRIM(Setup!$B$4),LOWER(TRIM(Setup!$B$4))=LOWER(TRIM(Setup!$B$2))))),"CHECK REVIEWER IDs",IF(OR(COUNTIF($A$2:$A$14,A11)&lt;&gt;1,COUNTIF(Decisions!$C$2:$C$120,A11)&lt;&gt;1),"CHECK KEY",IF(OR(AND(NOT(AND(D11="retain",E11="statistical_results")),H11&lt;&gt;"",H11&lt;&gt;"not_applicable"),AND(NOT(AND(D11="retain",E11="statistical_results")),I11&lt;&gt;"",I11&lt;&gt;"not_applicable"),AND(NOT(AND(D11="retain",E11="statistical_results")),J11&lt;&gt;"",J11&lt;&gt;"not_applicable"),AND(NOT(AND(D11="retain",OR(E11="report_internal_inconsistency",E11="plan_material"))),K11&lt;&gt;"",K11&lt;&gt;"not_applicable"),AND(NOT(AND(D11="retain",E11="protocol_report")),L11&lt;&gt;"",L11&lt;&gt;"not_applicable")),"CLEAR INACTIVE VALUES",IF(OR(NOT(OR(D11="retain",D11="exclude",D11="discuss")),NOT(OR(E11="statistical_results",E11="report_internal_inconsistency",E11="plan_material",E11="protocol_report")),AND(AND(D11="retain",E11="statistical_results"),NOT(OR(H11="confirmed_issue",H11="probable_issue",H11="not_issue",H11="indeterminate"))),AND(AND(D11="retain",E11="statistical_results"),NOT(OR(I11="substantive",I11="minor_presentation",I11="indeterminate"))),AND(AND(D11="retain",E11="statistical_results"),J11&lt;&gt;"",NOT(OR(J11="direct",J11="possible",J11="unlikely",J11="unknown"))),AND(AND(D11="retain",OR(E11="report_internal_inconsistency",E11="plan_material")),NOT(OR(K11="substantive_inconsistency",K11="minor_presentation",K11="non_inconsistency",K11="indeterminate"))),AND(AND(D11="retain",E11="protocol_report"),L11&lt;&gt;"",NOT(OR(L11="substantive_difference",L11="minor_presentation",L11="version_timing",L11="non_inconsistency",L11="indeterminate")))),"CHECK FIELDS",IF(Setup!$B$6="primary",IF(OR(N11&lt;&gt;"",O11&lt;&gt;"",P11&lt;&gt;"",Q11&lt;&gt;""),"CLEAR CHECKER FIELDS",IF(OR(Setup!$B$4&lt;&gt;"",Setup!$B$5&lt;&gt;""),"CLEAR CHECKER ID",IF(F11&lt;&gt;"primary_done","PRIMARY DRAFT","PRIMARY READY"))),IF(OR(COUNTIF(Primary_snapshot!$A$2:$A$120,A11)&lt;&gt;1,INDEX('Primary_snapshot'!$J$2:$J$120,MATCH(A11,'Primary_snapshot'!$A$2:$A$120,0))&lt;&gt;"primary_done",INDEX('Primary_snapshot'!$K$2:$K$120,MATCH(A11,'Primary_snapshot'!$A$2:$A$120,0))&lt;&gt;Setup!$B$2,INDEX('Primary_snapshot'!$B$2:$B$120,MATCH(A11,'Primary_snapshot'!$A$2:$A$120,0))="NOT FROZEN",INDEX('Primary_snapshot'!$C$2:$C$120,MATCH(A11,'Primary_snapshot'!$A$2:$A$120,0))="NOT FROZEN",INDEX('Primary_snapshot'!$D$2:$D$120,MATCH(A11,'Primary_snapshot'!$A$2:$A$120,0))="NOT FROZEN",INDEX('Primary_snapshot'!$E$2:$E$120,MATCH(A11,'Primary_snapshot'!$A$2:$A$120,0))="NOT FROZEN",INDEX('Primary_snapshot'!$F$2:$F$120,MATCH(A11,'Primary_snapshot'!$A$2:$A$120,0))="NOT FROZEN",INDEX('Primary_snapshot'!$G$2:$G$120,MATCH(A11,'Primary_snapshot'!$A$2:$A$120,0))="NOT FROZEN",INDEX('Primary_snapshot'!$H$2:$H$120,MATCH(A11,'Primary_snapshot'!$A$2:$A$120,0))="NOT FROZEN",INDEX('Primary_snapshot'!$I$2:$I$120,MATCH(A11,'Primary_snapshot'!$A$2:$A$120,0))="NOT FROZEN",INDEX('Primary_snapshot'!$J$2:$J$120,MATCH(A11,'Primary_snapshot'!$A$2:$A$120,0))="NOT FROZEN",INDEX('Primary_snapshot'!$K$2:$K$120,MATCH(A11,'Primary_snapshot'!$A$2:$A$120,0))="NOT FROZEN",INDEX('Primary_snapshot'!$L$2:$L$120,MATCH(A11,'Primary_snapshot'!$A$2:$A$120,0))="NOT FROZEN"),"FREEZE SNAPSHOT",IF(NOT(OR(N11="agree",N11="agree_clarification",N11="disagree",N11="unable")),"CHECKER RESULT NEEDED",IF(AND(N11&lt;&gt;"agree",LEN(TRIM(O11))=0),"COMMENT NEEDED",IF(AND(N11="agree",NOT(AND(IF(D11="","",D11)=IF(INDEX('Primary_snapshot'!$B$2:$B$120,MATCH(A11,'Primary_snapshot'!$A$2:$A$120,0))="","",INDEX('Primary_snapshot'!$B$2:$B$120,MATCH(A11,'Primary_snapshot'!$A$2:$A$120,0))),IF(E11="","",E11)=IF(INDEX('Primary_snapshot'!$C$2:$C$120,MATCH(A11,'Primary_snapshot'!$A$2:$A$120,0))="","",INDEX('Primary_snapshot'!$C$2:$C$120,MATCH(A11,'Primary_snapshot'!$A$2:$A$120,0))),IF(AND(D11="retain",E11="statistical_results"),IF(H11="","",H11),"not_applicable")=IF(INDEX('Primary_snapshot'!$D$2:$D$120,MATCH(A11,'Primary_snapshot'!$A$2:$A$120,0))="","",INDEX('Primary_snapshot'!$D$2:$D$120,MATCH(A11,'Primary_snapshot'!$A$2:$A$120,0))),IF(AND(D11="retain",E11="statistical_results"),IF(I11="","",I11),"not_applicable")=IF(INDEX('Primary_snapshot'!$E$2:$E$120,MATCH(A11,'Primary_snapshot'!$A$2:$A$120,0))="","",INDEX('Primary_snapshot'!$E$2:$E$120,MATCH(A11,'Primary_snapshot'!$A$2:$A$120,0))),IF(AND(D11="retain",E11="statistical_results"),IF(J11="","",J11),"not_applicable")=IF(INDEX('Primary_snapshot'!$F$2:$F$120,MATCH(A11,'Primary_snapshot'!$A$2:$A$120,0))="","",INDEX('Primary_snapshot'!$F$2:$F$120,MATCH(A11,'Primary_snapshot'!$A$2:$A$120,0))),IF(AND(D11="retain",OR(E11="report_internal_inconsistency",E11="plan_material")),IF(K11="","",K11),"not_applicable")=IF(INDEX('Primary_snapshot'!$G$2:$G$120,MATCH(A11,'Primary_snapshot'!$A$2:$A$120,0))="","",INDEX('Primary_snapshot'!$G$2:$G$120,MATCH(A11,'Primary_snapshot'!$A$2:$A$120,0))),IF(AND(D11="retain",E11="protocol_report"),IF(L11="","",L11),"not_applicable")=IF(INDEX('Primary_snapshot'!$H$2:$H$120,MATCH(A11,'Primary_snapshot'!$A$2:$A$120,0))="","",INDEX('Primary_snapshot'!$H$2:$H$120,MATCH(A11,'Primary_snapshot'!$A$2:$A$120,0))),IF(R11="","",R11)=IF(INDEX('Primary_snapshot'!$I$2:$I$120,MATCH(A11,'Primary_snapshot'!$A$2:$A$120,0))="","",INDEX('Primary_snapshot'!$I$2:$I$120,MATCH(A11,'Primary_snapshot'!$A$2:$A$120,0)))))),"AGREE BUT CHANGED",IF(AND(P11&lt;&gt;"",NOT(OR(P11="pending",P11="resolved"))),"CHECK RESOLUTION",IF(OR(AND(OR(D11="discuss",INDEX('Primary_snapshot'!$B$2:$B$120,MATCH(A11,'Primary_snapshot'!$A$2:$A$120,0))="discuss",N11="disagree",N11="unable"),P11&lt;&gt;"resolved"),D11="discuss"),"DISCUSS",IF(AND(P11="resolved",LEN(TRIM(Q11))=0),"RESOLUTION NOTE NEEDED",IF(F11&lt;&gt;"checker_done","CHECKER DRAFT","FINAL READY")))))))))))))),"CHECK KEY / SNAPSHOT")</x:f>
        <x:v>CHECK REVIEWER IDs</x:v>
      </x:c>
      <x:c r="H11" s="7" t="str">
        <x:f>IF(AND(OR(D11="retain",D11=""),E11="statistical_results"),"","not_applicable")</x:f>
        <x:v>not_applicable</x:v>
      </x:c>
      <x:c r="I11" s="7" t="str">
        <x:f>IF(AND(OR(D11="retain",D11=""),E11="statistical_results"),"","not_applicable")</x:f>
        <x:v>not_applicable</x:v>
      </x:c>
      <x:c r="J11" s="13" t="str">
        <x:f>IF(AND(OR(D11="retain",D11=""),E11="statistical_results"),"","not_applicable")</x:f>
        <x:v>not_applicable</x:v>
      </x:c>
      <x:c r="K11" s="7" t="str">
        <x:f>IF(AND(OR(D11="retain",D11=""),OR(E11="report_internal_inconsistency",E11="plan_material")),"","not_applicable")</x:f>
      </x:c>
      <x:c r="L11" s="13" t="str">
        <x:f>IF(AND(OR(D11="retain",D11=""),E11="protocol_report"),"","not_applicable")</x:f>
        <x:v>not_applicable</x:v>
      </x:c>
      <x:c r="M11" s="3" t="str">
        <x:f>IF(Setup!$B$6="primary","",IFERROR(IF(INDEX('Primary_snapshot'!$L$2:$L$120,MATCH(A11,'Primary_snapshot'!$A$2:$A$120,0))="","",INDEX('Primary_snapshot'!$L$2:$L$120,MATCH(A11,'Primary_snapshot'!$A$2:$A$120,0))),"SNAPSHOT MISSING"))</x:f>
      </x:c>
      <x:c r="N11" s="7" t="str"/>
      <x:c r="O11" s="7" t="str"/>
      <x:c r="P11" s="7" t="str"/>
      <x:c r="Q11" s="7" t="str"/>
      <x:c r="R11" s="13" t="str"/>
    </x:row>
    <x:row r="12" ht="92" customHeight="1">
      <x:c r="A12" s="6" t="str">
        <x:v>2018::jama.2018.9128::C011</x:v>
      </x:c>
      <x:c r="B12" s="6" t="str">
        <x:v>Original protocol labels primary outcome as BMI percentile/BMI% while results use BMI kg/m²</x:v>
      </x:c>
      <x:c r="C12" s="6" t="str">
        <x:v>DOC-002 original protocol — PDF p. 16; DOC-002 final SAP — PDF p. 110; DOC-001 Outcomes — PDF p. 3; DOC-003 eTable 1 — PDF p. 2.</x:v>
      </x:c>
      <x:c r="D12" s="7" t="str"/>
      <x:c r="E12" s="7" t="str">
        <x:v>protocol_report</x:v>
      </x:c>
      <x:c r="F12" s="7" t="str">
        <x:v>no</x:v>
      </x:c>
      <x:c r="G12" s="6" t="str">
        <x:f>IFERROR(IF(NOT(OR(Setup!$B$6="primary",Setup!$B$6="checker")),"CHECK STAGE",IF(OR(LEN(TRIM(Setup!$B$2))=0,Setup!$B$2&lt;&gt;TRIM(Setup!$B$2),AND(Setup!$B$6="checker",OR(LEN(TRIM(Setup!$B$4))=0,Setup!$B$4&lt;&gt;TRIM(Setup!$B$4),LOWER(TRIM(Setup!$B$4))=LOWER(TRIM(Setup!$B$2))))),"CHECK REVIEWER IDs",IF(OR(COUNTIF($A$2:$A$14,A12)&lt;&gt;1,COUNTIF(Decisions!$C$2:$C$120,A12)&lt;&gt;1),"CHECK KEY",IF(OR(AND(NOT(AND(D12="retain",E12="statistical_results")),H12&lt;&gt;"",H12&lt;&gt;"not_applicable"),AND(NOT(AND(D12="retain",E12="statistical_results")),I12&lt;&gt;"",I12&lt;&gt;"not_applicable"),AND(NOT(AND(D12="retain",E12="statistical_results")),J12&lt;&gt;"",J12&lt;&gt;"not_applicable"),AND(NOT(AND(D12="retain",OR(E12="report_internal_inconsistency",E12="plan_material"))),K12&lt;&gt;"",K12&lt;&gt;"not_applicable"),AND(NOT(AND(D12="retain",E12="protocol_report")),L12&lt;&gt;"",L12&lt;&gt;"not_applicable")),"CLEAR INACTIVE VALUES",IF(OR(NOT(OR(D12="retain",D12="exclude",D12="discuss")),NOT(OR(E12="statistical_results",E12="report_internal_inconsistency",E12="plan_material",E12="protocol_report")),AND(AND(D12="retain",E12="statistical_results"),NOT(OR(H12="confirmed_issue",H12="probable_issue",H12="not_issue",H12="indeterminate"))),AND(AND(D12="retain",E12="statistical_results"),NOT(OR(I12="substantive",I12="minor_presentation",I12="indeterminate"))),AND(AND(D12="retain",E12="statistical_results"),J12&lt;&gt;"",NOT(OR(J12="direct",J12="possible",J12="unlikely",J12="unknown"))),AND(AND(D12="retain",OR(E12="report_internal_inconsistency",E12="plan_material")),NOT(OR(K12="substantive_inconsistency",K12="minor_presentation",K12="non_inconsistency",K12="indeterminate"))),AND(AND(D12="retain",E12="protocol_report"),L12&lt;&gt;"",NOT(OR(L12="substantive_difference",L12="minor_presentation",L12="version_timing",L12="non_inconsistency",L12="indeterminate")))),"CHECK FIELDS",IF(Setup!$B$6="primary",IF(OR(N12&lt;&gt;"",O12&lt;&gt;"",P12&lt;&gt;"",Q12&lt;&gt;""),"CLEAR CHECKER FIELDS",IF(OR(Setup!$B$4&lt;&gt;"",Setup!$B$5&lt;&gt;""),"CLEAR CHECKER ID",IF(F12&lt;&gt;"primary_done","PRIMARY DRAFT","PRIMARY READY"))),IF(OR(COUNTIF(Primary_snapshot!$A$2:$A$120,A12)&lt;&gt;1,INDEX('Primary_snapshot'!$J$2:$J$120,MATCH(A12,'Primary_snapshot'!$A$2:$A$120,0))&lt;&gt;"primary_done",INDEX('Primary_snapshot'!$K$2:$K$120,MATCH(A12,'Primary_snapshot'!$A$2:$A$120,0))&lt;&gt;Setup!$B$2,INDEX('Primary_snapshot'!$B$2:$B$120,MATCH(A12,'Primary_snapshot'!$A$2:$A$120,0))="NOT FROZEN",INDEX('Primary_snapshot'!$C$2:$C$120,MATCH(A12,'Primary_snapshot'!$A$2:$A$120,0))="NOT FROZEN",INDEX('Primary_snapshot'!$D$2:$D$120,MATCH(A12,'Primary_snapshot'!$A$2:$A$120,0))="NOT FROZEN",INDEX('Primary_snapshot'!$E$2:$E$120,MATCH(A12,'Primary_snapshot'!$A$2:$A$120,0))="NOT FROZEN",INDEX('Primary_snapshot'!$F$2:$F$120,MATCH(A12,'Primary_snapshot'!$A$2:$A$120,0))="NOT FROZEN",INDEX('Primary_snapshot'!$G$2:$G$120,MATCH(A12,'Primary_snapshot'!$A$2:$A$120,0))="NOT FROZEN",INDEX('Primary_snapshot'!$H$2:$H$120,MATCH(A12,'Primary_snapshot'!$A$2:$A$120,0))="NOT FROZEN",INDEX('Primary_snapshot'!$I$2:$I$120,MATCH(A12,'Primary_snapshot'!$A$2:$A$120,0))="NOT FROZEN",INDEX('Primary_snapshot'!$J$2:$J$120,MATCH(A12,'Primary_snapshot'!$A$2:$A$120,0))="NOT FROZEN",INDEX('Primary_snapshot'!$K$2:$K$120,MATCH(A12,'Primary_snapshot'!$A$2:$A$120,0))="NOT FROZEN",INDEX('Primary_snapshot'!$L$2:$L$120,MATCH(A12,'Primary_snapshot'!$A$2:$A$120,0))="NOT FROZEN"),"FREEZE SNAPSHOT",IF(NOT(OR(N12="agree",N12="agree_clarification",N12="disagree",N12="unable")),"CHECKER RESULT NEEDED",IF(AND(N12&lt;&gt;"agree",LEN(TRIM(O12))=0),"COMMENT NEEDED",IF(AND(N12="agree",NOT(AND(IF(D12="","",D12)=IF(INDEX('Primary_snapshot'!$B$2:$B$120,MATCH(A12,'Primary_snapshot'!$A$2:$A$120,0))="","",INDEX('Primary_snapshot'!$B$2:$B$120,MATCH(A12,'Primary_snapshot'!$A$2:$A$120,0))),IF(E12="","",E12)=IF(INDEX('Primary_snapshot'!$C$2:$C$120,MATCH(A12,'Primary_snapshot'!$A$2:$A$120,0))="","",INDEX('Primary_snapshot'!$C$2:$C$120,MATCH(A12,'Primary_snapshot'!$A$2:$A$120,0))),IF(AND(D12="retain",E12="statistical_results"),IF(H12="","",H12),"not_applicable")=IF(INDEX('Primary_snapshot'!$D$2:$D$120,MATCH(A12,'Primary_snapshot'!$A$2:$A$120,0))="","",INDEX('Primary_snapshot'!$D$2:$D$120,MATCH(A12,'Primary_snapshot'!$A$2:$A$120,0))),IF(AND(D12="retain",E12="statistical_results"),IF(I12="","",I12),"not_applicable")=IF(INDEX('Primary_snapshot'!$E$2:$E$120,MATCH(A12,'Primary_snapshot'!$A$2:$A$120,0))="","",INDEX('Primary_snapshot'!$E$2:$E$120,MATCH(A12,'Primary_snapshot'!$A$2:$A$120,0))),IF(AND(D12="retain",E12="statistical_results"),IF(J12="","",J12),"not_applicable")=IF(INDEX('Primary_snapshot'!$F$2:$F$120,MATCH(A12,'Primary_snapshot'!$A$2:$A$120,0))="","",INDEX('Primary_snapshot'!$F$2:$F$120,MATCH(A12,'Primary_snapshot'!$A$2:$A$120,0))),IF(AND(D12="retain",OR(E12="report_internal_inconsistency",E12="plan_material")),IF(K12="","",K12),"not_applicable")=IF(INDEX('Primary_snapshot'!$G$2:$G$120,MATCH(A12,'Primary_snapshot'!$A$2:$A$120,0))="","",INDEX('Primary_snapshot'!$G$2:$G$120,MATCH(A12,'Primary_snapshot'!$A$2:$A$120,0))),IF(AND(D12="retain",E12="protocol_report"),IF(L12="","",L12),"not_applicable")=IF(INDEX('Primary_snapshot'!$H$2:$H$120,MATCH(A12,'Primary_snapshot'!$A$2:$A$120,0))="","",INDEX('Primary_snapshot'!$H$2:$H$120,MATCH(A12,'Primary_snapshot'!$A$2:$A$120,0))),IF(R12="","",R12)=IF(INDEX('Primary_snapshot'!$I$2:$I$120,MATCH(A12,'Primary_snapshot'!$A$2:$A$120,0))="","",INDEX('Primary_snapshot'!$I$2:$I$120,MATCH(A12,'Primary_snapshot'!$A$2:$A$120,0)))))),"AGREE BUT CHANGED",IF(AND(P12&lt;&gt;"",NOT(OR(P12="pending",P12="resolved"))),"CHECK RESOLUTION",IF(OR(AND(OR(D12="discuss",INDEX('Primary_snapshot'!$B$2:$B$120,MATCH(A12,'Primary_snapshot'!$A$2:$A$120,0))="discuss",N12="disagree",N12="unable"),P12&lt;&gt;"resolved"),D12="discuss"),"DISCUSS",IF(AND(P12="resolved",LEN(TRIM(Q12))=0),"RESOLUTION NOTE NEEDED",IF(F12&lt;&gt;"checker_done","CHECKER DRAFT","FINAL READY")))))))))))))),"CHECK KEY / SNAPSHOT")</x:f>
        <x:v>CHECK REVIEWER IDs</x:v>
      </x:c>
      <x:c r="H12" s="7" t="str">
        <x:f>IF(AND(OR(D12="retain",D12=""),E12="statistical_results"),"","not_applicable")</x:f>
        <x:v>not_applicable</x:v>
      </x:c>
      <x:c r="I12" s="7" t="str">
        <x:f>IF(AND(OR(D12="retain",D12=""),E12="statistical_results"),"","not_applicable")</x:f>
        <x:v>not_applicable</x:v>
      </x:c>
      <x:c r="J12" s="13" t="str">
        <x:f>IF(AND(OR(D12="retain",D12=""),E12="statistical_results"),"","not_applicable")</x:f>
        <x:v>not_applicable</x:v>
      </x:c>
      <x:c r="K12" s="7" t="str">
        <x:f>IF(AND(OR(D12="retain",D12=""),OR(E12="report_internal_inconsistency",E12="plan_material")),"","not_applicable")</x:f>
        <x:v>not_applicable</x:v>
      </x:c>
      <x:c r="L12" s="13" t="str">
        <x:f>IF(AND(OR(D12="retain",D12=""),E12="protocol_report"),"","not_applicable")</x:f>
      </x:c>
      <x:c r="M12" s="6" t="str">
        <x:f>IF(Setup!$B$6="primary","",IFERROR(IF(INDEX('Primary_snapshot'!$L$2:$L$120,MATCH(A12,'Primary_snapshot'!$A$2:$A$120,0))="","",INDEX('Primary_snapshot'!$L$2:$L$120,MATCH(A12,'Primary_snapshot'!$A$2:$A$120,0))),"SNAPSHOT MISSING"))</x:f>
      </x:c>
      <x:c r="N12" s="7" t="str"/>
      <x:c r="O12" s="7" t="str"/>
      <x:c r="P12" s="7" t="str"/>
      <x:c r="Q12" s="7" t="str"/>
      <x:c r="R12" s="13" t="str"/>
    </x:row>
    <x:row r="13" ht="92" customHeight="1">
      <x:c r="A13" s="3" t="str">
        <x:v>2018::jama.2018.9128::C012</x:v>
      </x:c>
      <x:c r="B13" s="3" t="str">
        <x:v>Control-condition session count and duration differ across protocol versions and article</x:v>
      </x:c>
      <x:c r="C13" s="3" t="str">
        <x:v>DOC-002 original protocol — PDF p. 14; DOC-002 revised protocol — PDF p. 64; DOC-001 abstract — PDF p. 1; DOC-001 Methods — PDF p. 3.</x:v>
      </x:c>
      <x:c r="D13" s="7" t="str"/>
      <x:c r="E13" s="7" t="str">
        <x:v>protocol_report</x:v>
      </x:c>
      <x:c r="F13" s="7" t="str">
        <x:v>no</x:v>
      </x:c>
      <x:c r="G13" s="3" t="str">
        <x:f>IFERROR(IF(NOT(OR(Setup!$B$6="primary",Setup!$B$6="checker")),"CHECK STAGE",IF(OR(LEN(TRIM(Setup!$B$2))=0,Setup!$B$2&lt;&gt;TRIM(Setup!$B$2),AND(Setup!$B$6="checker",OR(LEN(TRIM(Setup!$B$4))=0,Setup!$B$4&lt;&gt;TRIM(Setup!$B$4),LOWER(TRIM(Setup!$B$4))=LOWER(TRIM(Setup!$B$2))))),"CHECK REVIEWER IDs",IF(OR(COUNTIF($A$2:$A$14,A13)&lt;&gt;1,COUNTIF(Decisions!$C$2:$C$120,A13)&lt;&gt;1),"CHECK KEY",IF(OR(AND(NOT(AND(D13="retain",E13="statistical_results")),H13&lt;&gt;"",H13&lt;&gt;"not_applicable"),AND(NOT(AND(D13="retain",E13="statistical_results")),I13&lt;&gt;"",I13&lt;&gt;"not_applicable"),AND(NOT(AND(D13="retain",E13="statistical_results")),J13&lt;&gt;"",J13&lt;&gt;"not_applicable"),AND(NOT(AND(D13="retain",OR(E13="report_internal_inconsistency",E13="plan_material"))),K13&lt;&gt;"",K13&lt;&gt;"not_applicable"),AND(NOT(AND(D13="retain",E13="protocol_report")),L13&lt;&gt;"",L13&lt;&gt;"not_applicable")),"CLEAR INACTIVE VALUES",IF(OR(NOT(OR(D13="retain",D13="exclude",D13="discuss")),NOT(OR(E13="statistical_results",E13="report_internal_inconsistency",E13="plan_material",E13="protocol_report")),AND(AND(D13="retain",E13="statistical_results"),NOT(OR(H13="confirmed_issue",H13="probable_issue",H13="not_issue",H13="indeterminate"))),AND(AND(D13="retain",E13="statistical_results"),NOT(OR(I13="substantive",I13="minor_presentation",I13="indeterminate"))),AND(AND(D13="retain",E13="statistical_results"),J13&lt;&gt;"",NOT(OR(J13="direct",J13="possible",J13="unlikely",J13="unknown"))),AND(AND(D13="retain",OR(E13="report_internal_inconsistency",E13="plan_material")),NOT(OR(K13="substantive_inconsistency",K13="minor_presentation",K13="non_inconsistency",K13="indeterminate"))),AND(AND(D13="retain",E13="protocol_report"),L13&lt;&gt;"",NOT(OR(L13="substantive_difference",L13="minor_presentation",L13="version_timing",L13="non_inconsistency",L13="indeterminate")))),"CHECK FIELDS",IF(Setup!$B$6="primary",IF(OR(N13&lt;&gt;"",O13&lt;&gt;"",P13&lt;&gt;"",Q13&lt;&gt;""),"CLEAR CHECKER FIELDS",IF(OR(Setup!$B$4&lt;&gt;"",Setup!$B$5&lt;&gt;""),"CLEAR CHECKER ID",IF(F13&lt;&gt;"primary_done","PRIMARY DRAFT","PRIMARY READY"))),IF(OR(COUNTIF(Primary_snapshot!$A$2:$A$120,A13)&lt;&gt;1,INDEX('Primary_snapshot'!$J$2:$J$120,MATCH(A13,'Primary_snapshot'!$A$2:$A$120,0))&lt;&gt;"primary_done",INDEX('Primary_snapshot'!$K$2:$K$120,MATCH(A13,'Primary_snapshot'!$A$2:$A$120,0))&lt;&gt;Setup!$B$2,INDEX('Primary_snapshot'!$B$2:$B$120,MATCH(A13,'Primary_snapshot'!$A$2:$A$120,0))="NOT FROZEN",INDEX('Primary_snapshot'!$C$2:$C$120,MATCH(A13,'Primary_snapshot'!$A$2:$A$120,0))="NOT FROZEN",INDEX('Primary_snapshot'!$D$2:$D$120,MATCH(A13,'Primary_snapshot'!$A$2:$A$120,0))="NOT FROZEN",INDEX('Primary_snapshot'!$E$2:$E$120,MATCH(A13,'Primary_snapshot'!$A$2:$A$120,0))="NOT FROZEN",INDEX('Primary_snapshot'!$F$2:$F$120,MATCH(A13,'Primary_snapshot'!$A$2:$A$120,0))="NOT FROZEN",INDEX('Primary_snapshot'!$G$2:$G$120,MATCH(A13,'Primary_snapshot'!$A$2:$A$120,0))="NOT FROZEN",INDEX('Primary_snapshot'!$H$2:$H$120,MATCH(A13,'Primary_snapshot'!$A$2:$A$120,0))="NOT FROZEN",INDEX('Primary_snapshot'!$I$2:$I$120,MATCH(A13,'Primary_snapshot'!$A$2:$A$120,0))="NOT FROZEN",INDEX('Primary_snapshot'!$J$2:$J$120,MATCH(A13,'Primary_snapshot'!$A$2:$A$120,0))="NOT FROZEN",INDEX('Primary_snapshot'!$K$2:$K$120,MATCH(A13,'Primary_snapshot'!$A$2:$A$120,0))="NOT FROZEN",INDEX('Primary_snapshot'!$L$2:$L$120,MATCH(A13,'Primary_snapshot'!$A$2:$A$120,0))="NOT FROZEN"),"FREEZE SNAPSHOT",IF(NOT(OR(N13="agree",N13="agree_clarification",N13="disagree",N13="unable")),"CHECKER RESULT NEEDED",IF(AND(N13&lt;&gt;"agree",LEN(TRIM(O13))=0),"COMMENT NEEDED",IF(AND(N13="agree",NOT(AND(IF(D13="","",D13)=IF(INDEX('Primary_snapshot'!$B$2:$B$120,MATCH(A13,'Primary_snapshot'!$A$2:$A$120,0))="","",INDEX('Primary_snapshot'!$B$2:$B$120,MATCH(A13,'Primary_snapshot'!$A$2:$A$120,0))),IF(E13="","",E13)=IF(INDEX('Primary_snapshot'!$C$2:$C$120,MATCH(A13,'Primary_snapshot'!$A$2:$A$120,0))="","",INDEX('Primary_snapshot'!$C$2:$C$120,MATCH(A13,'Primary_snapshot'!$A$2:$A$120,0))),IF(AND(D13="retain",E13="statistical_results"),IF(H13="","",H13),"not_applicable")=IF(INDEX('Primary_snapshot'!$D$2:$D$120,MATCH(A13,'Primary_snapshot'!$A$2:$A$120,0))="","",INDEX('Primary_snapshot'!$D$2:$D$120,MATCH(A13,'Primary_snapshot'!$A$2:$A$120,0))),IF(AND(D13="retain",E13="statistical_results"),IF(I13="","",I13),"not_applicable")=IF(INDEX('Primary_snapshot'!$E$2:$E$120,MATCH(A13,'Primary_snapshot'!$A$2:$A$120,0))="","",INDEX('Primary_snapshot'!$E$2:$E$120,MATCH(A13,'Primary_snapshot'!$A$2:$A$120,0))),IF(AND(D13="retain",E13="statistical_results"),IF(J13="","",J13),"not_applicable")=IF(INDEX('Primary_snapshot'!$F$2:$F$120,MATCH(A13,'Primary_snapshot'!$A$2:$A$120,0))="","",INDEX('Primary_snapshot'!$F$2:$F$120,MATCH(A13,'Primary_snapshot'!$A$2:$A$120,0))),IF(AND(D13="retain",OR(E13="report_internal_inconsistency",E13="plan_material")),IF(K13="","",K13),"not_applicable")=IF(INDEX('Primary_snapshot'!$G$2:$G$120,MATCH(A13,'Primary_snapshot'!$A$2:$A$120,0))="","",INDEX('Primary_snapshot'!$G$2:$G$120,MATCH(A13,'Primary_snapshot'!$A$2:$A$120,0))),IF(AND(D13="retain",E13="protocol_report"),IF(L13="","",L13),"not_applicable")=IF(INDEX('Primary_snapshot'!$H$2:$H$120,MATCH(A13,'Primary_snapshot'!$A$2:$A$120,0))="","",INDEX('Primary_snapshot'!$H$2:$H$120,MATCH(A13,'Primary_snapshot'!$A$2:$A$120,0))),IF(R13="","",R13)=IF(INDEX('Primary_snapshot'!$I$2:$I$120,MATCH(A13,'Primary_snapshot'!$A$2:$A$120,0))="","",INDEX('Primary_snapshot'!$I$2:$I$120,MATCH(A13,'Primary_snapshot'!$A$2:$A$120,0)))))),"AGREE BUT CHANGED",IF(AND(P13&lt;&gt;"",NOT(OR(P13="pending",P13="resolved"))),"CHECK RESOLUTION",IF(OR(AND(OR(D13="discuss",INDEX('Primary_snapshot'!$B$2:$B$120,MATCH(A13,'Primary_snapshot'!$A$2:$A$120,0))="discuss",N13="disagree",N13="unable"),P13&lt;&gt;"resolved"),D13="discuss"),"DISCUSS",IF(AND(P13="resolved",LEN(TRIM(Q13))=0),"RESOLUTION NOTE NEEDED",IF(F13&lt;&gt;"checker_done","CHECKER DRAFT","FINAL READY")))))))))))))),"CHECK KEY / SNAPSHOT")</x:f>
        <x:v>CHECK REVIEWER IDs</x:v>
      </x:c>
      <x:c r="H13" s="7" t="str">
        <x:f>IF(AND(OR(D13="retain",D13=""),E13="statistical_results"),"","not_applicable")</x:f>
        <x:v>not_applicable</x:v>
      </x:c>
      <x:c r="I13" s="7" t="str">
        <x:f>IF(AND(OR(D13="retain",D13=""),E13="statistical_results"),"","not_applicable")</x:f>
        <x:v>not_applicable</x:v>
      </x:c>
      <x:c r="J13" s="13" t="str">
        <x:f>IF(AND(OR(D13="retain",D13=""),E13="statistical_results"),"","not_applicable")</x:f>
        <x:v>not_applicable</x:v>
      </x:c>
      <x:c r="K13" s="7" t="str">
        <x:f>IF(AND(OR(D13="retain",D13=""),OR(E13="report_internal_inconsistency",E13="plan_material")),"","not_applicable")</x:f>
        <x:v>not_applicable</x:v>
      </x:c>
      <x:c r="L13" s="13" t="str">
        <x:f>IF(AND(OR(D13="retain",D13=""),E13="protocol_report"),"","not_applicable")</x:f>
      </x:c>
      <x:c r="M13" s="3" t="str">
        <x:f>IF(Setup!$B$6="primary","",IFERROR(IF(INDEX('Primary_snapshot'!$L$2:$L$120,MATCH(A13,'Primary_snapshot'!$A$2:$A$120,0))="","",INDEX('Primary_snapshot'!$L$2:$L$120,MATCH(A13,'Primary_snapshot'!$A$2:$A$120,0))),"SNAPSHOT MISSING"))</x:f>
      </x:c>
      <x:c r="N13" s="7" t="str"/>
      <x:c r="O13" s="7" t="str"/>
      <x:c r="P13" s="7" t="str"/>
      <x:c r="Q13" s="7" t="str"/>
      <x:c r="R13" s="13" t="str"/>
    </x:row>
    <x:row r="14" ht="92" customHeight="1">
      <x:c r="A14" s="6" t="str">
        <x:v>2018::jama.2018.9128::C013</x:v>
      </x:c>
      <x:c r="B14" s="6" t="str">
        <x:v>Control 9-month BMI-observation count differs across result displays</x:v>
      </x:c>
      <x:c r="C14" s="6" t="str">
        <x:v>DOC-001 Figure 1 — PDF p. 3; DOC-001 Figure 2 — PDF p. 7; DOC-003 eTable 1 — PDF p. 2.</x:v>
      </x:c>
      <x:c r="D14" s="7" t="str"/>
      <x:c r="E14" s="7" t="str">
        <x:v>report_internal_inconsistency</x:v>
      </x:c>
      <x:c r="F14" s="7" t="str">
        <x:v>no</x:v>
      </x:c>
      <x:c r="G14" s="6" t="str">
        <x:f>IFERROR(IF(NOT(OR(Setup!$B$6="primary",Setup!$B$6="checker")),"CHECK STAGE",IF(OR(LEN(TRIM(Setup!$B$2))=0,Setup!$B$2&lt;&gt;TRIM(Setup!$B$2),AND(Setup!$B$6="checker",OR(LEN(TRIM(Setup!$B$4))=0,Setup!$B$4&lt;&gt;TRIM(Setup!$B$4),LOWER(TRIM(Setup!$B$4))=LOWER(TRIM(Setup!$B$2))))),"CHECK REVIEWER IDs",IF(OR(COUNTIF($A$2:$A$14,A14)&lt;&gt;1,COUNTIF(Decisions!$C$2:$C$120,A14)&lt;&gt;1),"CHECK KEY",IF(OR(AND(NOT(AND(D14="retain",E14="statistical_results")),H14&lt;&gt;"",H14&lt;&gt;"not_applicable"),AND(NOT(AND(D14="retain",E14="statistical_results")),I14&lt;&gt;"",I14&lt;&gt;"not_applicable"),AND(NOT(AND(D14="retain",E14="statistical_results")),J14&lt;&gt;"",J14&lt;&gt;"not_applicable"),AND(NOT(AND(D14="retain",OR(E14="report_internal_inconsistency",E14="plan_material"))),K14&lt;&gt;"",K14&lt;&gt;"not_applicable"),AND(NOT(AND(D14="retain",E14="protocol_report")),L14&lt;&gt;"",L14&lt;&gt;"not_applicable")),"CLEAR INACTIVE VALUES",IF(OR(NOT(OR(D14="retain",D14="exclude",D14="discuss")),NOT(OR(E14="statistical_results",E14="report_internal_inconsistency",E14="plan_material",E14="protocol_report")),AND(AND(D14="retain",E14="statistical_results"),NOT(OR(H14="confirmed_issue",H14="probable_issue",H14="not_issue",H14="indeterminate"))),AND(AND(D14="retain",E14="statistical_results"),NOT(OR(I14="substantive",I14="minor_presentation",I14="indeterminate"))),AND(AND(D14="retain",E14="statistical_results"),J14&lt;&gt;"",NOT(OR(J14="direct",J14="possible",J14="unlikely",J14="unknown"))),AND(AND(D14="retain",OR(E14="report_internal_inconsistency",E14="plan_material")),NOT(OR(K14="substantive_inconsistency",K14="minor_presentation",K14="non_inconsistency",K14="indeterminate"))),AND(AND(D14="retain",E14="protocol_report"),L14&lt;&gt;"",NOT(OR(L14="substantive_difference",L14="minor_presentation",L14="version_timing",L14="non_inconsistency",L14="indeterminate")))),"CHECK FIELDS",IF(Setup!$B$6="primary",IF(OR(N14&lt;&gt;"",O14&lt;&gt;"",P14&lt;&gt;"",Q14&lt;&gt;""),"CLEAR CHECKER FIELDS",IF(OR(Setup!$B$4&lt;&gt;"",Setup!$B$5&lt;&gt;""),"CLEAR CHECKER ID",IF(F14&lt;&gt;"primary_done","PRIMARY DRAFT","PRIMARY READY"))),IF(OR(COUNTIF(Primary_snapshot!$A$2:$A$120,A14)&lt;&gt;1,INDEX('Primary_snapshot'!$J$2:$J$120,MATCH(A14,'Primary_snapshot'!$A$2:$A$120,0))&lt;&gt;"primary_done",INDEX('Primary_snapshot'!$K$2:$K$120,MATCH(A14,'Primary_snapshot'!$A$2:$A$120,0))&lt;&gt;Setup!$B$2,INDEX('Primary_snapshot'!$B$2:$B$120,MATCH(A14,'Primary_snapshot'!$A$2:$A$120,0))="NOT FROZEN",INDEX('Primary_snapshot'!$C$2:$C$120,MATCH(A14,'Primary_snapshot'!$A$2:$A$120,0))="NOT FROZEN",INDEX('Primary_snapshot'!$D$2:$D$120,MATCH(A14,'Primary_snapshot'!$A$2:$A$120,0))="NOT FROZEN",INDEX('Primary_snapshot'!$E$2:$E$120,MATCH(A14,'Primary_snapshot'!$A$2:$A$120,0))="NOT FROZEN",INDEX('Primary_snapshot'!$F$2:$F$120,MATCH(A14,'Primary_snapshot'!$A$2:$A$120,0))="NOT FROZEN",INDEX('Primary_snapshot'!$G$2:$G$120,MATCH(A14,'Primary_snapshot'!$A$2:$A$120,0))="NOT FROZEN",INDEX('Primary_snapshot'!$H$2:$H$120,MATCH(A14,'Primary_snapshot'!$A$2:$A$120,0))="NOT FROZEN",INDEX('Primary_snapshot'!$I$2:$I$120,MATCH(A14,'Primary_snapshot'!$A$2:$A$120,0))="NOT FROZEN",INDEX('Primary_snapshot'!$J$2:$J$120,MATCH(A14,'Primary_snapshot'!$A$2:$A$120,0))="NOT FROZEN",INDEX('Primary_snapshot'!$K$2:$K$120,MATCH(A14,'Primary_snapshot'!$A$2:$A$120,0))="NOT FROZEN",INDEX('Primary_snapshot'!$L$2:$L$120,MATCH(A14,'Primary_snapshot'!$A$2:$A$120,0))="NOT FROZEN"),"FREEZE SNAPSHOT",IF(NOT(OR(N14="agree",N14="agree_clarification",N14="disagree",N14="unable")),"CHECKER RESULT NEEDED",IF(AND(N14&lt;&gt;"agree",LEN(TRIM(O14))=0),"COMMENT NEEDED",IF(AND(N14="agree",NOT(AND(IF(D14="","",D14)=IF(INDEX('Primary_snapshot'!$B$2:$B$120,MATCH(A14,'Primary_snapshot'!$A$2:$A$120,0))="","",INDEX('Primary_snapshot'!$B$2:$B$120,MATCH(A14,'Primary_snapshot'!$A$2:$A$120,0))),IF(E14="","",E14)=IF(INDEX('Primary_snapshot'!$C$2:$C$120,MATCH(A14,'Primary_snapshot'!$A$2:$A$120,0))="","",INDEX('Primary_snapshot'!$C$2:$C$120,MATCH(A14,'Primary_snapshot'!$A$2:$A$120,0))),IF(AND(D14="retain",E14="statistical_results"),IF(H14="","",H14),"not_applicable")=IF(INDEX('Primary_snapshot'!$D$2:$D$120,MATCH(A14,'Primary_snapshot'!$A$2:$A$120,0))="","",INDEX('Primary_snapshot'!$D$2:$D$120,MATCH(A14,'Primary_snapshot'!$A$2:$A$120,0))),IF(AND(D14="retain",E14="statistical_results"),IF(I14="","",I14),"not_applicable")=IF(INDEX('Primary_snapshot'!$E$2:$E$120,MATCH(A14,'Primary_snapshot'!$A$2:$A$120,0))="","",INDEX('Primary_snapshot'!$E$2:$E$120,MATCH(A14,'Primary_snapshot'!$A$2:$A$120,0))),IF(AND(D14="retain",E14="statistical_results"),IF(J14="","",J14),"not_applicable")=IF(INDEX('Primary_snapshot'!$F$2:$F$120,MATCH(A14,'Primary_snapshot'!$A$2:$A$120,0))="","",INDEX('Primary_snapshot'!$F$2:$F$120,MATCH(A14,'Primary_snapshot'!$A$2:$A$120,0))),IF(AND(D14="retain",OR(E14="report_internal_inconsistency",E14="plan_material")),IF(K14="","",K14),"not_applicable")=IF(INDEX('Primary_snapshot'!$G$2:$G$120,MATCH(A14,'Primary_snapshot'!$A$2:$A$120,0))="","",INDEX('Primary_snapshot'!$G$2:$G$120,MATCH(A14,'Primary_snapshot'!$A$2:$A$120,0))),IF(AND(D14="retain",E14="protocol_report"),IF(L14="","",L14),"not_applicable")=IF(INDEX('Primary_snapshot'!$H$2:$H$120,MATCH(A14,'Primary_snapshot'!$A$2:$A$120,0))="","",INDEX('Primary_snapshot'!$H$2:$H$120,MATCH(A14,'Primary_snapshot'!$A$2:$A$120,0))),IF(R14="","",R14)=IF(INDEX('Primary_snapshot'!$I$2:$I$120,MATCH(A14,'Primary_snapshot'!$A$2:$A$120,0))="","",INDEX('Primary_snapshot'!$I$2:$I$120,MATCH(A14,'Primary_snapshot'!$A$2:$A$120,0)))))),"AGREE BUT CHANGED",IF(AND(P14&lt;&gt;"",NOT(OR(P14="pending",P14="resolved"))),"CHECK RESOLUTION",IF(OR(AND(OR(D14="discuss",INDEX('Primary_snapshot'!$B$2:$B$120,MATCH(A14,'Primary_snapshot'!$A$2:$A$120,0))="discuss",N14="disagree",N14="unable"),P14&lt;&gt;"resolved"),D14="discuss"),"DISCUSS",IF(AND(P14="resolved",LEN(TRIM(Q14))=0),"RESOLUTION NOTE NEEDED",IF(F14&lt;&gt;"checker_done","CHECKER DRAFT","FINAL READY")))))))))))))),"CHECK KEY / SNAPSHOT")</x:f>
        <x:v>CHECK REVIEWER IDs</x:v>
      </x:c>
      <x:c r="H14" s="7" t="str">
        <x:f>IF(AND(OR(D14="retain",D14=""),E14="statistical_results"),"","not_applicable")</x:f>
        <x:v>not_applicable</x:v>
      </x:c>
      <x:c r="I14" s="7" t="str">
        <x:f>IF(AND(OR(D14="retain",D14=""),E14="statistical_results"),"","not_applicable")</x:f>
        <x:v>not_applicable</x:v>
      </x:c>
      <x:c r="J14" s="13" t="str">
        <x:f>IF(AND(OR(D14="retain",D14=""),E14="statistical_results"),"","not_applicable")</x:f>
        <x:v>not_applicable</x:v>
      </x:c>
      <x:c r="K14" s="7" t="str">
        <x:f>IF(AND(OR(D14="retain",D14=""),OR(E14="report_internal_inconsistency",E14="plan_material")),"","not_applicable")</x:f>
      </x:c>
      <x:c r="L14" s="13" t="str">
        <x:f>IF(AND(OR(D14="retain",D14=""),E14="protocol_report"),"","not_applicable")</x:f>
        <x:v>not_applicable</x:v>
      </x:c>
      <x:c r="M14" s="6" t="str">
        <x:f>IF(Setup!$B$6="primary","",IFERROR(IF(INDEX('Primary_snapshot'!$L$2:$L$120,MATCH(A14,'Primary_snapshot'!$A$2:$A$120,0))="","",INDEX('Primary_snapshot'!$L$2:$L$120,MATCH(A14,'Primary_snapshot'!$A$2:$A$120,0))),"SNAPSHOT MISSING"))</x:f>
      </x:c>
      <x:c r="N14" s="7" t="str"/>
      <x:c r="O14" s="7" t="str"/>
      <x:c r="P14" s="7" t="str"/>
      <x:c r="Q14" s="7" t="str"/>
      <x:c r="R14" s="13" t="str"/>
    </x:row>
  </x:sheetData>
  <x:conditionalFormatting sqref="G2:G14">
    <x:cfRule type="expression" dxfId="63" priority="1">
      <x:formula>AND(G2&lt;&gt;"PRIMARY READY",G2&lt;&gt;"FINAL READY")</x:formula>
    </x:cfRule>
  </x:conditionalFormatting>
  <x:conditionalFormatting sqref="N2:Q14">
    <x:cfRule type="expression" dxfId="64" priority="2">
      <x:formula>Setup!$B$6="primary"</x:formula>
    </x:cfRule>
  </x:conditionalFormatting>
  <x:conditionalFormatting sqref="H2:H14">
    <x:cfRule type="expression" dxfId="65" priority="3">
      <x:formula>NOT(AND(OR($D2="retain",$D2=""),$E2="statistical_results"))</x:formula>
    </x:cfRule>
  </x:conditionalFormatting>
  <x:conditionalFormatting sqref="I2:I14">
    <x:cfRule type="expression" dxfId="66" priority="4">
      <x:formula>NOT(AND(OR($D2="retain",$D2=""),$E2="statistical_results"))</x:formula>
    </x:cfRule>
  </x:conditionalFormatting>
  <x:conditionalFormatting sqref="J2:J14">
    <x:cfRule type="expression" dxfId="67" priority="5">
      <x:formula>NOT(AND(OR($D2="retain",$D2=""),$E2="statistical_results"))</x:formula>
    </x:cfRule>
  </x:conditionalFormatting>
  <x:conditionalFormatting sqref="K2:K14">
    <x:cfRule type="expression" dxfId="68" priority="6">
      <x:formula>NOT(AND(OR($D2="retain",$D2=""),OR($E2="report_internal_inconsistency",$E2="plan_material")))</x:formula>
    </x:cfRule>
  </x:conditionalFormatting>
  <x:conditionalFormatting sqref="L2:L14">
    <x:cfRule type="expression" dxfId="69" priority="7">
      <x:formula>NOT(AND(OR($D2="retain",$D2=""),$E2="protocol_report"))</x:formula>
    </x:cfRule>
  </x:conditionalFormatting>
  <x:dataValidations count="10">
    <x:dataValidation type="list" sqref="D2:D14">
      <x:formula1>"retain,exclude,discuss"</x:formula1>
    </x:dataValidation>
    <x:dataValidation type="list" sqref="E2:E14">
      <x:formula1>"statistical_results,report_internal_inconsistency,plan_material,protocol_report"</x:formula1>
    </x:dataValidation>
    <x:dataValidation type="list" sqref="F2:F14">
      <x:formula1>"no,primary_done,checker_done"</x:formula1>
    </x:dataValidation>
    <x:dataValidation type="list" sqref="H2:H14">
      <x:formula1>"confirmed_issue,probable_issue,not_issue,indeterminate,not_applicable"</x:formula1>
    </x:dataValidation>
    <x:dataValidation type="list" sqref="I2:I14">
      <x:formula1>"substantive,minor_presentation,indeterminate,not_applicable"</x:formula1>
    </x:dataValidation>
    <x:dataValidation type="list" sqref="J2:J14">
      <x:formula1>"direct,possible,unlikely,unknown,not_applicable"</x:formula1>
    </x:dataValidation>
    <x:dataValidation type="list" sqref="K2:K14">
      <x:formula1>"substantive_inconsistency,minor_presentation,non_inconsistency,indeterminate,not_applicable"</x:formula1>
    </x:dataValidation>
    <x:dataValidation type="list" sqref="L2:L14">
      <x:formula1>"substantive_difference,minor_presentation,version_timing,non_inconsistency,indeterminate,not_applicable"</x:formula1>
    </x:dataValidation>
    <x:dataValidation type="list" sqref="N2:N14">
      <x:formula1>"agree,agree_clarification,disagree,unable"</x:formula1>
    </x:dataValidation>
    <x:dataValidation type="list" sqref="P2:P14">
      <x:formula1>"pending,resolved"</x:formula1>
    </x:dataValidation>
  </x:dataValidations>
  <x:pageMargins left="0.7" right="0.7" top="0.75" bottom="0.75" header="0.3" footer="0.3"/>
  <x:tableParts count="1">
    <x:tablePart xmlns:r="http://schemas.openxmlformats.org/officeDocument/2006/relationships" r:id="R94e63a0951304037"/>
  </x:tableParts>
</x:worksheet>
</file>

<file path=xl/worksheets/sheet15.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44" hidden="0" customWidth="1"/>
    <x:col min="2" max="2" width="20" hidden="0" customWidth="1"/>
    <x:col min="3" max="3" width="26" hidden="0" customWidth="1"/>
    <x:col min="4" max="4" width="26" hidden="0" customWidth="1"/>
    <x:col min="5" max="5" width="24" hidden="0" customWidth="1"/>
    <x:col min="6" max="6" width="24" hidden="0" customWidth="1"/>
    <x:col min="7" max="7" width="26" hidden="0" customWidth="1"/>
    <x:col min="8" max="8" width="26" hidden="0" customWidth="1"/>
    <x:col min="9" max="9" width="40" hidden="0" customWidth="1"/>
    <x:col min="10" max="10" width="22" hidden="0" customWidth="1"/>
    <x:col min="11" max="11" width="26" hidden="0" customWidth="1"/>
    <x:col min="12" max="12" width="75" hidden="0" customWidth="1"/>
  </x:cols>
  <x:sheetData>
    <x:row r="1" ht="42" customHeight="1">
      <x:c r="A1" s="5" t="str">
        <x:v>key</x:v>
      </x:c>
      <x:c r="B1" s="5" t="str">
        <x:v>disposition</x:v>
      </x:c>
      <x:c r="C1" s="5" t="str">
        <x:v>domain</x:v>
      </x:c>
      <x:c r="D1" s="5" t="str">
        <x:v>statisticalIssueStatus</x:v>
      </x:c>
      <x:c r="E1" s="5" t="str">
        <x:v>substantiveStatus</x:v>
      </x:c>
      <x:c r="F1" s="5" t="str">
        <x:v>downstreamImpact</x:v>
      </x:c>
      <x:c r="G1" s="5" t="str">
        <x:v>internalStatus</x:v>
      </x:c>
      <x:c r="H1" s="5" t="str">
        <x:v>protocolInterpretation</x:v>
      </x:c>
      <x:c r="I1" s="5" t="str">
        <x:v>notes</x:v>
      </x:c>
      <x:c r="J1" s="5" t="str">
        <x:v>reviewComplete</x:v>
      </x:c>
      <x:c r="K1" s="5" t="str">
        <x:v>primaryReviewerId</x:v>
      </x:c>
      <x:c r="L1" s="5" t="str">
        <x:v>summary</x:v>
      </x:c>
    </x:row>
    <x:row r="2" ht="70" customHeight="1">
      <x:c r="A2" s="6" t="str">
        <x:f>IF(Setup!$B$6="primary","2018::jama.2017.21906::C001","NOT FROZEN")</x:f>
        <x:v>2018::jama.2017.21906::C001</x:v>
      </x:c>
      <x:c r="B2" s="6" t="str">
        <x:f>IF(Setup!$B$6="primary",IF(INDEX('C_jama.2017.21906'!$D$2:$D$7,MATCH("2018::jama.2017.21906::C001",'C_jama.2017.21906'!$A$2:$A$7,0))="","",INDEX('C_jama.2017.21906'!$D$2:$D$7,MATCH("2018::jama.2017.21906::C001",'C_jama.2017.21906'!$A$2:$A$7,0))),"NOT FROZEN")</x:f>
      </x:c>
      <x:c r="C2" s="6" t="str">
        <x:f>IF(Setup!$B$6="primary",IF(INDEX('C_jama.2017.21906'!$E$2:$E$7,MATCH("2018::jama.2017.21906::C001",'C_jama.2017.21906'!$A$2:$A$7,0))="","",INDEX('C_jama.2017.21906'!$E$2:$E$7,MATCH("2018::jama.2017.21906::C001",'C_jama.2017.21906'!$A$2:$A$7,0))),"NOT FROZEN")</x:f>
        <x:v>statistical_results</x:v>
      </x:c>
      <x:c r="D2" s="6" t="str">
        <x:f>IF(Setup!$B$6="primary",IF(AND(INDEX('C_jama.2017.21906'!$D$2:$D$7,MATCH("2018::jama.2017.21906::C001",'C_jama.2017.21906'!$A$2:$A$7,0))="retain",INDEX('C_jama.2017.21906'!$E$2:$E$7,MATCH("2018::jama.2017.21906::C001",'C_jama.2017.21906'!$A$2:$A$7,0))="statistical_results"),IF(INDEX('C_jama.2017.21906'!$H$2:$H$7,MATCH("2018::jama.2017.21906::C001",'C_jama.2017.21906'!$A$2:$A$7,0))="","",INDEX('C_jama.2017.21906'!$H$2:$H$7,MATCH("2018::jama.2017.21906::C001",'C_jama.2017.21906'!$A$2:$A$7,0))),"not_applicable"),"NOT FROZEN")</x:f>
        <x:v>not_applicable</x:v>
      </x:c>
      <x:c r="E2" s="6" t="str">
        <x:f>IF(Setup!$B$6="primary",IF(AND(INDEX('C_jama.2017.21906'!$D$2:$D$7,MATCH("2018::jama.2017.21906::C001",'C_jama.2017.21906'!$A$2:$A$7,0))="retain",INDEX('C_jama.2017.21906'!$E$2:$E$7,MATCH("2018::jama.2017.21906::C001",'C_jama.2017.21906'!$A$2:$A$7,0))="statistical_results"),IF(INDEX('C_jama.2017.21906'!$I$2:$I$7,MATCH("2018::jama.2017.21906::C001",'C_jama.2017.21906'!$A$2:$A$7,0))="","",INDEX('C_jama.2017.21906'!$I$2:$I$7,MATCH("2018::jama.2017.21906::C001",'C_jama.2017.21906'!$A$2:$A$7,0))),"not_applicable"),"NOT FROZEN")</x:f>
        <x:v>not_applicable</x:v>
      </x:c>
      <x:c r="F2" s="6" t="str">
        <x:f>IF(Setup!$B$6="primary",IF(AND(INDEX('C_jama.2017.21906'!$D$2:$D$7,MATCH("2018::jama.2017.21906::C001",'C_jama.2017.21906'!$A$2:$A$7,0))="retain",INDEX('C_jama.2017.21906'!$E$2:$E$7,MATCH("2018::jama.2017.21906::C001",'C_jama.2017.21906'!$A$2:$A$7,0))="statistical_results"),IF(INDEX('C_jama.2017.21906'!$J$2:$J$7,MATCH("2018::jama.2017.21906::C001",'C_jama.2017.21906'!$A$2:$A$7,0))="","",INDEX('C_jama.2017.21906'!$J$2:$J$7,MATCH("2018::jama.2017.21906::C001",'C_jama.2017.21906'!$A$2:$A$7,0))),"not_applicable"),"NOT FROZEN")</x:f>
        <x:v>not_applicable</x:v>
      </x:c>
      <x:c r="G2" s="6" t="str">
        <x:f>IF(Setup!$B$6="primary",IF(AND(INDEX('C_jama.2017.21906'!$D$2:$D$7,MATCH("2018::jama.2017.21906::C001",'C_jama.2017.21906'!$A$2:$A$7,0))="retain",OR(INDEX('C_jama.2017.21906'!$E$2:$E$7,MATCH("2018::jama.2017.21906::C001",'C_jama.2017.21906'!$A$2:$A$7,0))="report_internal_inconsistency",INDEX('C_jama.2017.21906'!$E$2:$E$7,MATCH("2018::jama.2017.21906::C001",'C_jama.2017.21906'!$A$2:$A$7,0))="plan_material")),IF(INDEX('C_jama.2017.21906'!$K$2:$K$7,MATCH("2018::jama.2017.21906::C001",'C_jama.2017.21906'!$A$2:$A$7,0))="","",INDEX('C_jama.2017.21906'!$K$2:$K$7,MATCH("2018::jama.2017.21906::C001",'C_jama.2017.21906'!$A$2:$A$7,0))),"not_applicable"),"NOT FROZEN")</x:f>
        <x:v>not_applicable</x:v>
      </x:c>
      <x:c r="H2" s="6" t="str">
        <x:f>IF(Setup!$B$6="primary",IF(AND(INDEX('C_jama.2017.21906'!$D$2:$D$7,MATCH("2018::jama.2017.21906::C001",'C_jama.2017.21906'!$A$2:$A$7,0))="retain",INDEX('C_jama.2017.21906'!$E$2:$E$7,MATCH("2018::jama.2017.21906::C001",'C_jama.2017.21906'!$A$2:$A$7,0))="protocol_report"),IF(INDEX('C_jama.2017.21906'!$L$2:$L$7,MATCH("2018::jama.2017.21906::C001",'C_jama.2017.21906'!$A$2:$A$7,0))="","",INDEX('C_jama.2017.21906'!$L$2:$L$7,MATCH("2018::jama.2017.21906::C001",'C_jama.2017.21906'!$A$2:$A$7,0))),"not_applicable"),"NOT FROZEN")</x:f>
        <x:v>not_applicable</x:v>
      </x:c>
      <x:c r="I2" s="6" t="str">
        <x:f>IF(Setup!$B$6="primary",IF(INDEX('C_jama.2017.21906'!$R$2:$R$7,MATCH("2018::jama.2017.21906::C001",'C_jama.2017.21906'!$A$2:$A$7,0))="","",INDEX('C_jama.2017.21906'!$R$2:$R$7,MATCH("2018::jama.2017.21906::C001",'C_jama.2017.21906'!$A$2:$A$7,0))),"NOT FROZEN")</x:f>
      </x:c>
      <x:c r="J2" s="6" t="str">
        <x:f>IF(Setup!$B$6="primary",INDEX('C_jama.2017.21906'!$F$2:$F$7,MATCH("2018::jama.2017.21906::C001",'C_jama.2017.21906'!$A$2:$A$7,0)),"NOT FROZEN")</x:f>
        <x:v>no</x:v>
      </x:c>
      <x:c r="K2" s="6" t="str">
        <x:f>IF(Setup!$B$6="primary",Setup!$B$2,"NOT FROZEN")</x:f>
      </x:c>
      <x:c r="L2" s="6" t="str">
        <x:f>IF(Setup!$B$6="primary",IF(OR(B2="",B2="not_applicable"),"","Disposition: "&amp;B2&amp;CHAR(10))&amp;IF(OR(C2="",C2="not_applicable"),"","Review domain: "&amp;C2&amp;CHAR(10))&amp;IF(OR(D2="",D2="not_applicable"),"","Statistcal_or_numerical issue: "&amp;D2&amp;CHAR(10))&amp;IF(OR(E2="",E2="not_applicable"),"","Substantiveness: "&amp;E2&amp;CHAR(10))&amp;IF(OR(F2="",F2="not_applicable"),"","Downstream impact: "&amp;F2&amp;CHAR(10))&amp;IF(OR(G2="",G2="not_applicable"),"","Report-internal or planning-material inconsistency: "&amp;G2&amp;CHAR(10))&amp;IF(OR(H2="",H2="not_applicable"),"","Protocol interpretation: "&amp;H2&amp;CHAR(10))&amp;IF(OR(I2="",I2="not_applicable"),"","Notes (optional): "&amp;I2&amp;CHAR(10)),"NOT FROZEN")</x:f>
        <x:v>Review domain: statistical_results
</x:v>
      </x:c>
    </x:row>
    <x:row r="3" ht="70" customHeight="1">
      <x:c r="A3" s="3" t="str">
        <x:f>IF(Setup!$B$6="primary","2018::jama.2017.21906::C002","NOT FROZEN")</x:f>
        <x:v>2018::jama.2017.21906::C002</x:v>
      </x:c>
      <x:c r="B3" s="3" t="str">
        <x:f>IF(Setup!$B$6="primary",IF(INDEX('C_jama.2017.21906'!$D$2:$D$7,MATCH("2018::jama.2017.21906::C002",'C_jama.2017.21906'!$A$2:$A$7,0))="","",INDEX('C_jama.2017.21906'!$D$2:$D$7,MATCH("2018::jama.2017.21906::C002",'C_jama.2017.21906'!$A$2:$A$7,0))),"NOT FROZEN")</x:f>
      </x:c>
      <x:c r="C3" s="3" t="str">
        <x:f>IF(Setup!$B$6="primary",IF(INDEX('C_jama.2017.21906'!$E$2:$E$7,MATCH("2018::jama.2017.21906::C002",'C_jama.2017.21906'!$A$2:$A$7,0))="","",INDEX('C_jama.2017.21906'!$E$2:$E$7,MATCH("2018::jama.2017.21906::C002",'C_jama.2017.21906'!$A$2:$A$7,0))),"NOT FROZEN")</x:f>
        <x:v>report_internal_inconsistency</x:v>
      </x:c>
      <x:c r="D3" s="3" t="str">
        <x:f>IF(Setup!$B$6="primary",IF(AND(INDEX('C_jama.2017.21906'!$D$2:$D$7,MATCH("2018::jama.2017.21906::C002",'C_jama.2017.21906'!$A$2:$A$7,0))="retain",INDEX('C_jama.2017.21906'!$E$2:$E$7,MATCH("2018::jama.2017.21906::C002",'C_jama.2017.21906'!$A$2:$A$7,0))="statistical_results"),IF(INDEX('C_jama.2017.21906'!$H$2:$H$7,MATCH("2018::jama.2017.21906::C002",'C_jama.2017.21906'!$A$2:$A$7,0))="","",INDEX('C_jama.2017.21906'!$H$2:$H$7,MATCH("2018::jama.2017.21906::C002",'C_jama.2017.21906'!$A$2:$A$7,0))),"not_applicable"),"NOT FROZEN")</x:f>
        <x:v>not_applicable</x:v>
      </x:c>
      <x:c r="E3" s="3" t="str">
        <x:f>IF(Setup!$B$6="primary",IF(AND(INDEX('C_jama.2017.21906'!$D$2:$D$7,MATCH("2018::jama.2017.21906::C002",'C_jama.2017.21906'!$A$2:$A$7,0))="retain",INDEX('C_jama.2017.21906'!$E$2:$E$7,MATCH("2018::jama.2017.21906::C002",'C_jama.2017.21906'!$A$2:$A$7,0))="statistical_results"),IF(INDEX('C_jama.2017.21906'!$I$2:$I$7,MATCH("2018::jama.2017.21906::C002",'C_jama.2017.21906'!$A$2:$A$7,0))="","",INDEX('C_jama.2017.21906'!$I$2:$I$7,MATCH("2018::jama.2017.21906::C002",'C_jama.2017.21906'!$A$2:$A$7,0))),"not_applicable"),"NOT FROZEN")</x:f>
        <x:v>not_applicable</x:v>
      </x:c>
      <x:c r="F3" s="3" t="str">
        <x:f>IF(Setup!$B$6="primary",IF(AND(INDEX('C_jama.2017.21906'!$D$2:$D$7,MATCH("2018::jama.2017.21906::C002",'C_jama.2017.21906'!$A$2:$A$7,0))="retain",INDEX('C_jama.2017.21906'!$E$2:$E$7,MATCH("2018::jama.2017.21906::C002",'C_jama.2017.21906'!$A$2:$A$7,0))="statistical_results"),IF(INDEX('C_jama.2017.21906'!$J$2:$J$7,MATCH("2018::jama.2017.21906::C002",'C_jama.2017.21906'!$A$2:$A$7,0))="","",INDEX('C_jama.2017.21906'!$J$2:$J$7,MATCH("2018::jama.2017.21906::C002",'C_jama.2017.21906'!$A$2:$A$7,0))),"not_applicable"),"NOT FROZEN")</x:f>
        <x:v>not_applicable</x:v>
      </x:c>
      <x:c r="G3" s="3" t="str">
        <x:f>IF(Setup!$B$6="primary",IF(AND(INDEX('C_jama.2017.21906'!$D$2:$D$7,MATCH("2018::jama.2017.21906::C002",'C_jama.2017.21906'!$A$2:$A$7,0))="retain",OR(INDEX('C_jama.2017.21906'!$E$2:$E$7,MATCH("2018::jama.2017.21906::C002",'C_jama.2017.21906'!$A$2:$A$7,0))="report_internal_inconsistency",INDEX('C_jama.2017.21906'!$E$2:$E$7,MATCH("2018::jama.2017.21906::C002",'C_jama.2017.21906'!$A$2:$A$7,0))="plan_material")),IF(INDEX('C_jama.2017.21906'!$K$2:$K$7,MATCH("2018::jama.2017.21906::C002",'C_jama.2017.21906'!$A$2:$A$7,0))="","",INDEX('C_jama.2017.21906'!$K$2:$K$7,MATCH("2018::jama.2017.21906::C002",'C_jama.2017.21906'!$A$2:$A$7,0))),"not_applicable"),"NOT FROZEN")</x:f>
        <x:v>not_applicable</x:v>
      </x:c>
      <x:c r="H3" s="3" t="str">
        <x:f>IF(Setup!$B$6="primary",IF(AND(INDEX('C_jama.2017.21906'!$D$2:$D$7,MATCH("2018::jama.2017.21906::C002",'C_jama.2017.21906'!$A$2:$A$7,0))="retain",INDEX('C_jama.2017.21906'!$E$2:$E$7,MATCH("2018::jama.2017.21906::C002",'C_jama.2017.21906'!$A$2:$A$7,0))="protocol_report"),IF(INDEX('C_jama.2017.21906'!$L$2:$L$7,MATCH("2018::jama.2017.21906::C002",'C_jama.2017.21906'!$A$2:$A$7,0))="","",INDEX('C_jama.2017.21906'!$L$2:$L$7,MATCH("2018::jama.2017.21906::C002",'C_jama.2017.21906'!$A$2:$A$7,0))),"not_applicable"),"NOT FROZEN")</x:f>
        <x:v>not_applicable</x:v>
      </x:c>
      <x:c r="I3" s="3" t="str">
        <x:f>IF(Setup!$B$6="primary",IF(INDEX('C_jama.2017.21906'!$R$2:$R$7,MATCH("2018::jama.2017.21906::C002",'C_jama.2017.21906'!$A$2:$A$7,0))="","",INDEX('C_jama.2017.21906'!$R$2:$R$7,MATCH("2018::jama.2017.21906::C002",'C_jama.2017.21906'!$A$2:$A$7,0))),"NOT FROZEN")</x:f>
      </x:c>
      <x:c r="J3" s="3" t="str">
        <x:f>IF(Setup!$B$6="primary",INDEX('C_jama.2017.21906'!$F$2:$F$7,MATCH("2018::jama.2017.21906::C002",'C_jama.2017.21906'!$A$2:$A$7,0)),"NOT FROZEN")</x:f>
        <x:v>no</x:v>
      </x:c>
      <x:c r="K3" s="3" t="str">
        <x:f>IF(Setup!$B$6="primary",Setup!$B$2,"NOT FROZEN")</x:f>
      </x:c>
      <x:c r="L3" s="3" t="str">
        <x:f>IF(Setup!$B$6="primary",IF(OR(B3="",B3="not_applicable"),"","Disposition: "&amp;B3&amp;CHAR(10))&amp;IF(OR(C3="",C3="not_applicable"),"","Review domain: "&amp;C3&amp;CHAR(10))&amp;IF(OR(D3="",D3="not_applicable"),"","Statistcal_or_numerical issue: "&amp;D3&amp;CHAR(10))&amp;IF(OR(E3="",E3="not_applicable"),"","Substantiveness: "&amp;E3&amp;CHAR(10))&amp;IF(OR(F3="",F3="not_applicable"),"","Downstream impact: "&amp;F3&amp;CHAR(10))&amp;IF(OR(G3="",G3="not_applicable"),"","Report-internal or planning-material inconsistency: "&amp;G3&amp;CHAR(10))&amp;IF(OR(H3="",H3="not_applicable"),"","Protocol interpretation: "&amp;H3&amp;CHAR(10))&amp;IF(OR(I3="",I3="not_applicable"),"","Notes (optional): "&amp;I3&amp;CHAR(10)),"NOT FROZEN")</x:f>
        <x:v>Review domain: report_internal_inconsistency
</x:v>
      </x:c>
    </x:row>
    <x:row r="4" ht="70" customHeight="1">
      <x:c r="A4" s="6" t="str">
        <x:f>IF(Setup!$B$6="primary","2018::jama.2017.21906::C003","NOT FROZEN")</x:f>
        <x:v>2018::jama.2017.21906::C003</x:v>
      </x:c>
      <x:c r="B4" s="6" t="str">
        <x:f>IF(Setup!$B$6="primary",IF(INDEX('C_jama.2017.21906'!$D$2:$D$7,MATCH("2018::jama.2017.21906::C003",'C_jama.2017.21906'!$A$2:$A$7,0))="","",INDEX('C_jama.2017.21906'!$D$2:$D$7,MATCH("2018::jama.2017.21906::C003",'C_jama.2017.21906'!$A$2:$A$7,0))),"NOT FROZEN")</x:f>
      </x:c>
      <x:c r="C4" s="6" t="str">
        <x:f>IF(Setup!$B$6="primary",IF(INDEX('C_jama.2017.21906'!$E$2:$E$7,MATCH("2018::jama.2017.21906::C003",'C_jama.2017.21906'!$A$2:$A$7,0))="","",INDEX('C_jama.2017.21906'!$E$2:$E$7,MATCH("2018::jama.2017.21906::C003",'C_jama.2017.21906'!$A$2:$A$7,0))),"NOT FROZEN")</x:f>
        <x:v>report_internal_inconsistency</x:v>
      </x:c>
      <x:c r="D4" s="6" t="str">
        <x:f>IF(Setup!$B$6="primary",IF(AND(INDEX('C_jama.2017.21906'!$D$2:$D$7,MATCH("2018::jama.2017.21906::C003",'C_jama.2017.21906'!$A$2:$A$7,0))="retain",INDEX('C_jama.2017.21906'!$E$2:$E$7,MATCH("2018::jama.2017.21906::C003",'C_jama.2017.21906'!$A$2:$A$7,0))="statistical_results"),IF(INDEX('C_jama.2017.21906'!$H$2:$H$7,MATCH("2018::jama.2017.21906::C003",'C_jama.2017.21906'!$A$2:$A$7,0))="","",INDEX('C_jama.2017.21906'!$H$2:$H$7,MATCH("2018::jama.2017.21906::C003",'C_jama.2017.21906'!$A$2:$A$7,0))),"not_applicable"),"NOT FROZEN")</x:f>
        <x:v>not_applicable</x:v>
      </x:c>
      <x:c r="E4" s="6" t="str">
        <x:f>IF(Setup!$B$6="primary",IF(AND(INDEX('C_jama.2017.21906'!$D$2:$D$7,MATCH("2018::jama.2017.21906::C003",'C_jama.2017.21906'!$A$2:$A$7,0))="retain",INDEX('C_jama.2017.21906'!$E$2:$E$7,MATCH("2018::jama.2017.21906::C003",'C_jama.2017.21906'!$A$2:$A$7,0))="statistical_results"),IF(INDEX('C_jama.2017.21906'!$I$2:$I$7,MATCH("2018::jama.2017.21906::C003",'C_jama.2017.21906'!$A$2:$A$7,0))="","",INDEX('C_jama.2017.21906'!$I$2:$I$7,MATCH("2018::jama.2017.21906::C003",'C_jama.2017.21906'!$A$2:$A$7,0))),"not_applicable"),"NOT FROZEN")</x:f>
        <x:v>not_applicable</x:v>
      </x:c>
      <x:c r="F4" s="6" t="str">
        <x:f>IF(Setup!$B$6="primary",IF(AND(INDEX('C_jama.2017.21906'!$D$2:$D$7,MATCH("2018::jama.2017.21906::C003",'C_jama.2017.21906'!$A$2:$A$7,0))="retain",INDEX('C_jama.2017.21906'!$E$2:$E$7,MATCH("2018::jama.2017.21906::C003",'C_jama.2017.21906'!$A$2:$A$7,0))="statistical_results"),IF(INDEX('C_jama.2017.21906'!$J$2:$J$7,MATCH("2018::jama.2017.21906::C003",'C_jama.2017.21906'!$A$2:$A$7,0))="","",INDEX('C_jama.2017.21906'!$J$2:$J$7,MATCH("2018::jama.2017.21906::C003",'C_jama.2017.21906'!$A$2:$A$7,0))),"not_applicable"),"NOT FROZEN")</x:f>
        <x:v>not_applicable</x:v>
      </x:c>
      <x:c r="G4" s="6" t="str">
        <x:f>IF(Setup!$B$6="primary",IF(AND(INDEX('C_jama.2017.21906'!$D$2:$D$7,MATCH("2018::jama.2017.21906::C003",'C_jama.2017.21906'!$A$2:$A$7,0))="retain",OR(INDEX('C_jama.2017.21906'!$E$2:$E$7,MATCH("2018::jama.2017.21906::C003",'C_jama.2017.21906'!$A$2:$A$7,0))="report_internal_inconsistency",INDEX('C_jama.2017.21906'!$E$2:$E$7,MATCH("2018::jama.2017.21906::C003",'C_jama.2017.21906'!$A$2:$A$7,0))="plan_material")),IF(INDEX('C_jama.2017.21906'!$K$2:$K$7,MATCH("2018::jama.2017.21906::C003",'C_jama.2017.21906'!$A$2:$A$7,0))="","",INDEX('C_jama.2017.21906'!$K$2:$K$7,MATCH("2018::jama.2017.21906::C003",'C_jama.2017.21906'!$A$2:$A$7,0))),"not_applicable"),"NOT FROZEN")</x:f>
        <x:v>not_applicable</x:v>
      </x:c>
      <x:c r="H4" s="6" t="str">
        <x:f>IF(Setup!$B$6="primary",IF(AND(INDEX('C_jama.2017.21906'!$D$2:$D$7,MATCH("2018::jama.2017.21906::C003",'C_jama.2017.21906'!$A$2:$A$7,0))="retain",INDEX('C_jama.2017.21906'!$E$2:$E$7,MATCH("2018::jama.2017.21906::C003",'C_jama.2017.21906'!$A$2:$A$7,0))="protocol_report"),IF(INDEX('C_jama.2017.21906'!$L$2:$L$7,MATCH("2018::jama.2017.21906::C003",'C_jama.2017.21906'!$A$2:$A$7,0))="","",INDEX('C_jama.2017.21906'!$L$2:$L$7,MATCH("2018::jama.2017.21906::C003",'C_jama.2017.21906'!$A$2:$A$7,0))),"not_applicable"),"NOT FROZEN")</x:f>
        <x:v>not_applicable</x:v>
      </x:c>
      <x:c r="I4" s="6" t="str">
        <x:f>IF(Setup!$B$6="primary",IF(INDEX('C_jama.2017.21906'!$R$2:$R$7,MATCH("2018::jama.2017.21906::C003",'C_jama.2017.21906'!$A$2:$A$7,0))="","",INDEX('C_jama.2017.21906'!$R$2:$R$7,MATCH("2018::jama.2017.21906::C003",'C_jama.2017.21906'!$A$2:$A$7,0))),"NOT FROZEN")</x:f>
      </x:c>
      <x:c r="J4" s="6" t="str">
        <x:f>IF(Setup!$B$6="primary",INDEX('C_jama.2017.21906'!$F$2:$F$7,MATCH("2018::jama.2017.21906::C003",'C_jama.2017.21906'!$A$2:$A$7,0)),"NOT FROZEN")</x:f>
        <x:v>no</x:v>
      </x:c>
      <x:c r="K4" s="6" t="str">
        <x:f>IF(Setup!$B$6="primary",Setup!$B$2,"NOT FROZEN")</x:f>
      </x:c>
      <x:c r="L4" s="6" t="str">
        <x:f>IF(Setup!$B$6="primary",IF(OR(B4="",B4="not_applicable"),"","Disposition: "&amp;B4&amp;CHAR(10))&amp;IF(OR(C4="",C4="not_applicable"),"","Review domain: "&amp;C4&amp;CHAR(10))&amp;IF(OR(D4="",D4="not_applicable"),"","Statistcal_or_numerical issue: "&amp;D4&amp;CHAR(10))&amp;IF(OR(E4="",E4="not_applicable"),"","Substantiveness: "&amp;E4&amp;CHAR(10))&amp;IF(OR(F4="",F4="not_applicable"),"","Downstream impact: "&amp;F4&amp;CHAR(10))&amp;IF(OR(G4="",G4="not_applicable"),"","Report-internal or planning-material inconsistency: "&amp;G4&amp;CHAR(10))&amp;IF(OR(H4="",H4="not_applicable"),"","Protocol interpretation: "&amp;H4&amp;CHAR(10))&amp;IF(OR(I4="",I4="not_applicable"),"","Notes (optional): "&amp;I4&amp;CHAR(10)),"NOT FROZEN")</x:f>
        <x:v>Review domain: report_internal_inconsistency
</x:v>
      </x:c>
    </x:row>
    <x:row r="5" ht="70" customHeight="1">
      <x:c r="A5" s="3" t="str">
        <x:f>IF(Setup!$B$6="primary","2018::jama.2017.21906::C004","NOT FROZEN")</x:f>
        <x:v>2018::jama.2017.21906::C004</x:v>
      </x:c>
      <x:c r="B5" s="3" t="str">
        <x:f>IF(Setup!$B$6="primary",IF(INDEX('C_jama.2017.21906'!$D$2:$D$7,MATCH("2018::jama.2017.21906::C004",'C_jama.2017.21906'!$A$2:$A$7,0))="","",INDEX('C_jama.2017.21906'!$D$2:$D$7,MATCH("2018::jama.2017.21906::C004",'C_jama.2017.21906'!$A$2:$A$7,0))),"NOT FROZEN")</x:f>
      </x:c>
      <x:c r="C5" s="3" t="str">
        <x:f>IF(Setup!$B$6="primary",IF(INDEX('C_jama.2017.21906'!$E$2:$E$7,MATCH("2018::jama.2017.21906::C004",'C_jama.2017.21906'!$A$2:$A$7,0))="","",INDEX('C_jama.2017.21906'!$E$2:$E$7,MATCH("2018::jama.2017.21906::C004",'C_jama.2017.21906'!$A$2:$A$7,0))),"NOT FROZEN")</x:f>
        <x:v>protocol_report</x:v>
      </x:c>
      <x:c r="D5" s="3" t="str">
        <x:f>IF(Setup!$B$6="primary",IF(AND(INDEX('C_jama.2017.21906'!$D$2:$D$7,MATCH("2018::jama.2017.21906::C004",'C_jama.2017.21906'!$A$2:$A$7,0))="retain",INDEX('C_jama.2017.21906'!$E$2:$E$7,MATCH("2018::jama.2017.21906::C004",'C_jama.2017.21906'!$A$2:$A$7,0))="statistical_results"),IF(INDEX('C_jama.2017.21906'!$H$2:$H$7,MATCH("2018::jama.2017.21906::C004",'C_jama.2017.21906'!$A$2:$A$7,0))="","",INDEX('C_jama.2017.21906'!$H$2:$H$7,MATCH("2018::jama.2017.21906::C004",'C_jama.2017.21906'!$A$2:$A$7,0))),"not_applicable"),"NOT FROZEN")</x:f>
        <x:v>not_applicable</x:v>
      </x:c>
      <x:c r="E5" s="3" t="str">
        <x:f>IF(Setup!$B$6="primary",IF(AND(INDEX('C_jama.2017.21906'!$D$2:$D$7,MATCH("2018::jama.2017.21906::C004",'C_jama.2017.21906'!$A$2:$A$7,0))="retain",INDEX('C_jama.2017.21906'!$E$2:$E$7,MATCH("2018::jama.2017.21906::C004",'C_jama.2017.21906'!$A$2:$A$7,0))="statistical_results"),IF(INDEX('C_jama.2017.21906'!$I$2:$I$7,MATCH("2018::jama.2017.21906::C004",'C_jama.2017.21906'!$A$2:$A$7,0))="","",INDEX('C_jama.2017.21906'!$I$2:$I$7,MATCH("2018::jama.2017.21906::C004",'C_jama.2017.21906'!$A$2:$A$7,0))),"not_applicable"),"NOT FROZEN")</x:f>
        <x:v>not_applicable</x:v>
      </x:c>
      <x:c r="F5" s="3" t="str">
        <x:f>IF(Setup!$B$6="primary",IF(AND(INDEX('C_jama.2017.21906'!$D$2:$D$7,MATCH("2018::jama.2017.21906::C004",'C_jama.2017.21906'!$A$2:$A$7,0))="retain",INDEX('C_jama.2017.21906'!$E$2:$E$7,MATCH("2018::jama.2017.21906::C004",'C_jama.2017.21906'!$A$2:$A$7,0))="statistical_results"),IF(INDEX('C_jama.2017.21906'!$J$2:$J$7,MATCH("2018::jama.2017.21906::C004",'C_jama.2017.21906'!$A$2:$A$7,0))="","",INDEX('C_jama.2017.21906'!$J$2:$J$7,MATCH("2018::jama.2017.21906::C004",'C_jama.2017.21906'!$A$2:$A$7,0))),"not_applicable"),"NOT FROZEN")</x:f>
        <x:v>not_applicable</x:v>
      </x:c>
      <x:c r="G5" s="3" t="str">
        <x:f>IF(Setup!$B$6="primary",IF(AND(INDEX('C_jama.2017.21906'!$D$2:$D$7,MATCH("2018::jama.2017.21906::C004",'C_jama.2017.21906'!$A$2:$A$7,0))="retain",OR(INDEX('C_jama.2017.21906'!$E$2:$E$7,MATCH("2018::jama.2017.21906::C004",'C_jama.2017.21906'!$A$2:$A$7,0))="report_internal_inconsistency",INDEX('C_jama.2017.21906'!$E$2:$E$7,MATCH("2018::jama.2017.21906::C004",'C_jama.2017.21906'!$A$2:$A$7,0))="plan_material")),IF(INDEX('C_jama.2017.21906'!$K$2:$K$7,MATCH("2018::jama.2017.21906::C004",'C_jama.2017.21906'!$A$2:$A$7,0))="","",INDEX('C_jama.2017.21906'!$K$2:$K$7,MATCH("2018::jama.2017.21906::C004",'C_jama.2017.21906'!$A$2:$A$7,0))),"not_applicable"),"NOT FROZEN")</x:f>
        <x:v>not_applicable</x:v>
      </x:c>
      <x:c r="H5" s="3" t="str">
        <x:f>IF(Setup!$B$6="primary",IF(AND(INDEX('C_jama.2017.21906'!$D$2:$D$7,MATCH("2018::jama.2017.21906::C004",'C_jama.2017.21906'!$A$2:$A$7,0))="retain",INDEX('C_jama.2017.21906'!$E$2:$E$7,MATCH("2018::jama.2017.21906::C004",'C_jama.2017.21906'!$A$2:$A$7,0))="protocol_report"),IF(INDEX('C_jama.2017.21906'!$L$2:$L$7,MATCH("2018::jama.2017.21906::C004",'C_jama.2017.21906'!$A$2:$A$7,0))="","",INDEX('C_jama.2017.21906'!$L$2:$L$7,MATCH("2018::jama.2017.21906::C004",'C_jama.2017.21906'!$A$2:$A$7,0))),"not_applicable"),"NOT FROZEN")</x:f>
        <x:v>not_applicable</x:v>
      </x:c>
      <x:c r="I5" s="3" t="str">
        <x:f>IF(Setup!$B$6="primary",IF(INDEX('C_jama.2017.21906'!$R$2:$R$7,MATCH("2018::jama.2017.21906::C004",'C_jama.2017.21906'!$A$2:$A$7,0))="","",INDEX('C_jama.2017.21906'!$R$2:$R$7,MATCH("2018::jama.2017.21906::C004",'C_jama.2017.21906'!$A$2:$A$7,0))),"NOT FROZEN")</x:f>
      </x:c>
      <x:c r="J5" s="3" t="str">
        <x:f>IF(Setup!$B$6="primary",INDEX('C_jama.2017.21906'!$F$2:$F$7,MATCH("2018::jama.2017.21906::C004",'C_jama.2017.21906'!$A$2:$A$7,0)),"NOT FROZEN")</x:f>
        <x:v>no</x:v>
      </x:c>
      <x:c r="K5" s="3" t="str">
        <x:f>IF(Setup!$B$6="primary",Setup!$B$2,"NOT FROZEN")</x:f>
      </x:c>
      <x:c r="L5" s="3" t="str">
        <x:f>IF(Setup!$B$6="primary",IF(OR(B5="",B5="not_applicable"),"","Disposition: "&amp;B5&amp;CHAR(10))&amp;IF(OR(C5="",C5="not_applicable"),"","Review domain: "&amp;C5&amp;CHAR(10))&amp;IF(OR(D5="",D5="not_applicable"),"","Statistcal_or_numerical issue: "&amp;D5&amp;CHAR(10))&amp;IF(OR(E5="",E5="not_applicable"),"","Substantiveness: "&amp;E5&amp;CHAR(10))&amp;IF(OR(F5="",F5="not_applicable"),"","Downstream impact: "&amp;F5&amp;CHAR(10))&amp;IF(OR(G5="",G5="not_applicable"),"","Report-internal or planning-material inconsistency: "&amp;G5&amp;CHAR(10))&amp;IF(OR(H5="",H5="not_applicable"),"","Protocol interpretation: "&amp;H5&amp;CHAR(10))&amp;IF(OR(I5="",I5="not_applicable"),"","Notes (optional): "&amp;I5&amp;CHAR(10)),"NOT FROZEN")</x:f>
        <x:v>Review domain: protocol_report
</x:v>
      </x:c>
    </x:row>
    <x:row r="6" ht="70" customHeight="1">
      <x:c r="A6" s="6" t="str">
        <x:f>IF(Setup!$B$6="primary","2018::jama.2017.21906::C005","NOT FROZEN")</x:f>
        <x:v>2018::jama.2017.21906::C005</x:v>
      </x:c>
      <x:c r="B6" s="6" t="str">
        <x:f>IF(Setup!$B$6="primary",IF(INDEX('C_jama.2017.21906'!$D$2:$D$7,MATCH("2018::jama.2017.21906::C005",'C_jama.2017.21906'!$A$2:$A$7,0))="","",INDEX('C_jama.2017.21906'!$D$2:$D$7,MATCH("2018::jama.2017.21906::C005",'C_jama.2017.21906'!$A$2:$A$7,0))),"NOT FROZEN")</x:f>
      </x:c>
      <x:c r="C6" s="6" t="str">
        <x:f>IF(Setup!$B$6="primary",IF(INDEX('C_jama.2017.21906'!$E$2:$E$7,MATCH("2018::jama.2017.21906::C005",'C_jama.2017.21906'!$A$2:$A$7,0))="","",INDEX('C_jama.2017.21906'!$E$2:$E$7,MATCH("2018::jama.2017.21906::C005",'C_jama.2017.21906'!$A$2:$A$7,0))),"NOT FROZEN")</x:f>
        <x:v>report_internal_inconsistency</x:v>
      </x:c>
      <x:c r="D6" s="6" t="str">
        <x:f>IF(Setup!$B$6="primary",IF(AND(INDEX('C_jama.2017.21906'!$D$2:$D$7,MATCH("2018::jama.2017.21906::C005",'C_jama.2017.21906'!$A$2:$A$7,0))="retain",INDEX('C_jama.2017.21906'!$E$2:$E$7,MATCH("2018::jama.2017.21906::C005",'C_jama.2017.21906'!$A$2:$A$7,0))="statistical_results"),IF(INDEX('C_jama.2017.21906'!$H$2:$H$7,MATCH("2018::jama.2017.21906::C005",'C_jama.2017.21906'!$A$2:$A$7,0))="","",INDEX('C_jama.2017.21906'!$H$2:$H$7,MATCH("2018::jama.2017.21906::C005",'C_jama.2017.21906'!$A$2:$A$7,0))),"not_applicable"),"NOT FROZEN")</x:f>
        <x:v>not_applicable</x:v>
      </x:c>
      <x:c r="E6" s="6" t="str">
        <x:f>IF(Setup!$B$6="primary",IF(AND(INDEX('C_jama.2017.21906'!$D$2:$D$7,MATCH("2018::jama.2017.21906::C005",'C_jama.2017.21906'!$A$2:$A$7,0))="retain",INDEX('C_jama.2017.21906'!$E$2:$E$7,MATCH("2018::jama.2017.21906::C005",'C_jama.2017.21906'!$A$2:$A$7,0))="statistical_results"),IF(INDEX('C_jama.2017.21906'!$I$2:$I$7,MATCH("2018::jama.2017.21906::C005",'C_jama.2017.21906'!$A$2:$A$7,0))="","",INDEX('C_jama.2017.21906'!$I$2:$I$7,MATCH("2018::jama.2017.21906::C005",'C_jama.2017.21906'!$A$2:$A$7,0))),"not_applicable"),"NOT FROZEN")</x:f>
        <x:v>not_applicable</x:v>
      </x:c>
      <x:c r="F6" s="6" t="str">
        <x:f>IF(Setup!$B$6="primary",IF(AND(INDEX('C_jama.2017.21906'!$D$2:$D$7,MATCH("2018::jama.2017.21906::C005",'C_jama.2017.21906'!$A$2:$A$7,0))="retain",INDEX('C_jama.2017.21906'!$E$2:$E$7,MATCH("2018::jama.2017.21906::C005",'C_jama.2017.21906'!$A$2:$A$7,0))="statistical_results"),IF(INDEX('C_jama.2017.21906'!$J$2:$J$7,MATCH("2018::jama.2017.21906::C005",'C_jama.2017.21906'!$A$2:$A$7,0))="","",INDEX('C_jama.2017.21906'!$J$2:$J$7,MATCH("2018::jama.2017.21906::C005",'C_jama.2017.21906'!$A$2:$A$7,0))),"not_applicable"),"NOT FROZEN")</x:f>
        <x:v>not_applicable</x:v>
      </x:c>
      <x:c r="G6" s="6" t="str">
        <x:f>IF(Setup!$B$6="primary",IF(AND(INDEX('C_jama.2017.21906'!$D$2:$D$7,MATCH("2018::jama.2017.21906::C005",'C_jama.2017.21906'!$A$2:$A$7,0))="retain",OR(INDEX('C_jama.2017.21906'!$E$2:$E$7,MATCH("2018::jama.2017.21906::C005",'C_jama.2017.21906'!$A$2:$A$7,0))="report_internal_inconsistency",INDEX('C_jama.2017.21906'!$E$2:$E$7,MATCH("2018::jama.2017.21906::C005",'C_jama.2017.21906'!$A$2:$A$7,0))="plan_material")),IF(INDEX('C_jama.2017.21906'!$K$2:$K$7,MATCH("2018::jama.2017.21906::C005",'C_jama.2017.21906'!$A$2:$A$7,0))="","",INDEX('C_jama.2017.21906'!$K$2:$K$7,MATCH("2018::jama.2017.21906::C005",'C_jama.2017.21906'!$A$2:$A$7,0))),"not_applicable"),"NOT FROZEN")</x:f>
        <x:v>not_applicable</x:v>
      </x:c>
      <x:c r="H6" s="6" t="str">
        <x:f>IF(Setup!$B$6="primary",IF(AND(INDEX('C_jama.2017.21906'!$D$2:$D$7,MATCH("2018::jama.2017.21906::C005",'C_jama.2017.21906'!$A$2:$A$7,0))="retain",INDEX('C_jama.2017.21906'!$E$2:$E$7,MATCH("2018::jama.2017.21906::C005",'C_jama.2017.21906'!$A$2:$A$7,0))="protocol_report"),IF(INDEX('C_jama.2017.21906'!$L$2:$L$7,MATCH("2018::jama.2017.21906::C005",'C_jama.2017.21906'!$A$2:$A$7,0))="","",INDEX('C_jama.2017.21906'!$L$2:$L$7,MATCH("2018::jama.2017.21906::C005",'C_jama.2017.21906'!$A$2:$A$7,0))),"not_applicable"),"NOT FROZEN")</x:f>
        <x:v>not_applicable</x:v>
      </x:c>
      <x:c r="I6" s="6" t="str">
        <x:f>IF(Setup!$B$6="primary",IF(INDEX('C_jama.2017.21906'!$R$2:$R$7,MATCH("2018::jama.2017.21906::C005",'C_jama.2017.21906'!$A$2:$A$7,0))="","",INDEX('C_jama.2017.21906'!$R$2:$R$7,MATCH("2018::jama.2017.21906::C005",'C_jama.2017.21906'!$A$2:$A$7,0))),"NOT FROZEN")</x:f>
      </x:c>
      <x:c r="J6" s="6" t="str">
        <x:f>IF(Setup!$B$6="primary",INDEX('C_jama.2017.21906'!$F$2:$F$7,MATCH("2018::jama.2017.21906::C005",'C_jama.2017.21906'!$A$2:$A$7,0)),"NOT FROZEN")</x:f>
        <x:v>no</x:v>
      </x:c>
      <x:c r="K6" s="6" t="str">
        <x:f>IF(Setup!$B$6="primary",Setup!$B$2,"NOT FROZEN")</x:f>
      </x:c>
      <x:c r="L6" s="6" t="str">
        <x:f>IF(Setup!$B$6="primary",IF(OR(B6="",B6="not_applicable"),"","Disposition: "&amp;B6&amp;CHAR(10))&amp;IF(OR(C6="",C6="not_applicable"),"","Review domain: "&amp;C6&amp;CHAR(10))&amp;IF(OR(D6="",D6="not_applicable"),"","Statistcal_or_numerical issue: "&amp;D6&amp;CHAR(10))&amp;IF(OR(E6="",E6="not_applicable"),"","Substantiveness: "&amp;E6&amp;CHAR(10))&amp;IF(OR(F6="",F6="not_applicable"),"","Downstream impact: "&amp;F6&amp;CHAR(10))&amp;IF(OR(G6="",G6="not_applicable"),"","Report-internal or planning-material inconsistency: "&amp;G6&amp;CHAR(10))&amp;IF(OR(H6="",H6="not_applicable"),"","Protocol interpretation: "&amp;H6&amp;CHAR(10))&amp;IF(OR(I6="",I6="not_applicable"),"","Notes (optional): "&amp;I6&amp;CHAR(10)),"NOT FROZEN")</x:f>
        <x:v>Review domain: report_internal_inconsistency
</x:v>
      </x:c>
    </x:row>
    <x:row r="7" ht="70" customHeight="1">
      <x:c r="A7" s="3" t="str">
        <x:f>IF(Setup!$B$6="primary","2018::jama.2017.21906::C006","NOT FROZEN")</x:f>
        <x:v>2018::jama.2017.21906::C006</x:v>
      </x:c>
      <x:c r="B7" s="3" t="str">
        <x:f>IF(Setup!$B$6="primary",IF(INDEX('C_jama.2017.21906'!$D$2:$D$7,MATCH("2018::jama.2017.21906::C006",'C_jama.2017.21906'!$A$2:$A$7,0))="","",INDEX('C_jama.2017.21906'!$D$2:$D$7,MATCH("2018::jama.2017.21906::C006",'C_jama.2017.21906'!$A$2:$A$7,0))),"NOT FROZEN")</x:f>
      </x:c>
      <x:c r="C7" s="3" t="str">
        <x:f>IF(Setup!$B$6="primary",IF(INDEX('C_jama.2017.21906'!$E$2:$E$7,MATCH("2018::jama.2017.21906::C006",'C_jama.2017.21906'!$A$2:$A$7,0))="","",INDEX('C_jama.2017.21906'!$E$2:$E$7,MATCH("2018::jama.2017.21906::C006",'C_jama.2017.21906'!$A$2:$A$7,0))),"NOT FROZEN")</x:f>
        <x:v>protocol_report</x:v>
      </x:c>
      <x:c r="D7" s="3" t="str">
        <x:f>IF(Setup!$B$6="primary",IF(AND(INDEX('C_jama.2017.21906'!$D$2:$D$7,MATCH("2018::jama.2017.21906::C006",'C_jama.2017.21906'!$A$2:$A$7,0))="retain",INDEX('C_jama.2017.21906'!$E$2:$E$7,MATCH("2018::jama.2017.21906::C006",'C_jama.2017.21906'!$A$2:$A$7,0))="statistical_results"),IF(INDEX('C_jama.2017.21906'!$H$2:$H$7,MATCH("2018::jama.2017.21906::C006",'C_jama.2017.21906'!$A$2:$A$7,0))="","",INDEX('C_jama.2017.21906'!$H$2:$H$7,MATCH("2018::jama.2017.21906::C006",'C_jama.2017.21906'!$A$2:$A$7,0))),"not_applicable"),"NOT FROZEN")</x:f>
        <x:v>not_applicable</x:v>
      </x:c>
      <x:c r="E7" s="3" t="str">
        <x:f>IF(Setup!$B$6="primary",IF(AND(INDEX('C_jama.2017.21906'!$D$2:$D$7,MATCH("2018::jama.2017.21906::C006",'C_jama.2017.21906'!$A$2:$A$7,0))="retain",INDEX('C_jama.2017.21906'!$E$2:$E$7,MATCH("2018::jama.2017.21906::C006",'C_jama.2017.21906'!$A$2:$A$7,0))="statistical_results"),IF(INDEX('C_jama.2017.21906'!$I$2:$I$7,MATCH("2018::jama.2017.21906::C006",'C_jama.2017.21906'!$A$2:$A$7,0))="","",INDEX('C_jama.2017.21906'!$I$2:$I$7,MATCH("2018::jama.2017.21906::C006",'C_jama.2017.21906'!$A$2:$A$7,0))),"not_applicable"),"NOT FROZEN")</x:f>
        <x:v>not_applicable</x:v>
      </x:c>
      <x:c r="F7" s="3" t="str">
        <x:f>IF(Setup!$B$6="primary",IF(AND(INDEX('C_jama.2017.21906'!$D$2:$D$7,MATCH("2018::jama.2017.21906::C006",'C_jama.2017.21906'!$A$2:$A$7,0))="retain",INDEX('C_jama.2017.21906'!$E$2:$E$7,MATCH("2018::jama.2017.21906::C006",'C_jama.2017.21906'!$A$2:$A$7,0))="statistical_results"),IF(INDEX('C_jama.2017.21906'!$J$2:$J$7,MATCH("2018::jama.2017.21906::C006",'C_jama.2017.21906'!$A$2:$A$7,0))="","",INDEX('C_jama.2017.21906'!$J$2:$J$7,MATCH("2018::jama.2017.21906::C006",'C_jama.2017.21906'!$A$2:$A$7,0))),"not_applicable"),"NOT FROZEN")</x:f>
        <x:v>not_applicable</x:v>
      </x:c>
      <x:c r="G7" s="3" t="str">
        <x:f>IF(Setup!$B$6="primary",IF(AND(INDEX('C_jama.2017.21906'!$D$2:$D$7,MATCH("2018::jama.2017.21906::C006",'C_jama.2017.21906'!$A$2:$A$7,0))="retain",OR(INDEX('C_jama.2017.21906'!$E$2:$E$7,MATCH("2018::jama.2017.21906::C006",'C_jama.2017.21906'!$A$2:$A$7,0))="report_internal_inconsistency",INDEX('C_jama.2017.21906'!$E$2:$E$7,MATCH("2018::jama.2017.21906::C006",'C_jama.2017.21906'!$A$2:$A$7,0))="plan_material")),IF(INDEX('C_jama.2017.21906'!$K$2:$K$7,MATCH("2018::jama.2017.21906::C006",'C_jama.2017.21906'!$A$2:$A$7,0))="","",INDEX('C_jama.2017.21906'!$K$2:$K$7,MATCH("2018::jama.2017.21906::C006",'C_jama.2017.21906'!$A$2:$A$7,0))),"not_applicable"),"NOT FROZEN")</x:f>
        <x:v>not_applicable</x:v>
      </x:c>
      <x:c r="H7" s="3" t="str">
        <x:f>IF(Setup!$B$6="primary",IF(AND(INDEX('C_jama.2017.21906'!$D$2:$D$7,MATCH("2018::jama.2017.21906::C006",'C_jama.2017.21906'!$A$2:$A$7,0))="retain",INDEX('C_jama.2017.21906'!$E$2:$E$7,MATCH("2018::jama.2017.21906::C006",'C_jama.2017.21906'!$A$2:$A$7,0))="protocol_report"),IF(INDEX('C_jama.2017.21906'!$L$2:$L$7,MATCH("2018::jama.2017.21906::C006",'C_jama.2017.21906'!$A$2:$A$7,0))="","",INDEX('C_jama.2017.21906'!$L$2:$L$7,MATCH("2018::jama.2017.21906::C006",'C_jama.2017.21906'!$A$2:$A$7,0))),"not_applicable"),"NOT FROZEN")</x:f>
        <x:v>not_applicable</x:v>
      </x:c>
      <x:c r="I7" s="3" t="str">
        <x:f>IF(Setup!$B$6="primary",IF(INDEX('C_jama.2017.21906'!$R$2:$R$7,MATCH("2018::jama.2017.21906::C006",'C_jama.2017.21906'!$A$2:$A$7,0))="","",INDEX('C_jama.2017.21906'!$R$2:$R$7,MATCH("2018::jama.2017.21906::C006",'C_jama.2017.21906'!$A$2:$A$7,0))),"NOT FROZEN")</x:f>
      </x:c>
      <x:c r="J7" s="3" t="str">
        <x:f>IF(Setup!$B$6="primary",INDEX('C_jama.2017.21906'!$F$2:$F$7,MATCH("2018::jama.2017.21906::C006",'C_jama.2017.21906'!$A$2:$A$7,0)),"NOT FROZEN")</x:f>
        <x:v>no</x:v>
      </x:c>
      <x:c r="K7" s="3" t="str">
        <x:f>IF(Setup!$B$6="primary",Setup!$B$2,"NOT FROZEN")</x:f>
      </x:c>
      <x:c r="L7" s="3" t="str">
        <x:f>IF(Setup!$B$6="primary",IF(OR(B7="",B7="not_applicable"),"","Disposition: "&amp;B7&amp;CHAR(10))&amp;IF(OR(C7="",C7="not_applicable"),"","Review domain: "&amp;C7&amp;CHAR(10))&amp;IF(OR(D7="",D7="not_applicable"),"","Statistcal_or_numerical issue: "&amp;D7&amp;CHAR(10))&amp;IF(OR(E7="",E7="not_applicable"),"","Substantiveness: "&amp;E7&amp;CHAR(10))&amp;IF(OR(F7="",F7="not_applicable"),"","Downstream impact: "&amp;F7&amp;CHAR(10))&amp;IF(OR(G7="",G7="not_applicable"),"","Report-internal or planning-material inconsistency: "&amp;G7&amp;CHAR(10))&amp;IF(OR(H7="",H7="not_applicable"),"","Protocol interpretation: "&amp;H7&amp;CHAR(10))&amp;IF(OR(I7="",I7="not_applicable"),"","Notes (optional): "&amp;I7&amp;CHAR(10)),"NOT FROZEN")</x:f>
        <x:v>Review domain: protocol_report
</x:v>
      </x:c>
    </x:row>
    <x:row r="8" ht="70" customHeight="1">
      <x:c r="A8" s="6" t="str">
        <x:f>IF(Setup!$B$6="primary","2018::jama.2018.0156::C001","NOT FROZEN")</x:f>
        <x:v>2018::jama.2018.0156::C001</x:v>
      </x:c>
      <x:c r="B8" s="6" t="str">
        <x:f>IF(Setup!$B$6="primary",IF(INDEX('C_jama.2018.0156'!$D$2:$D$9,MATCH("2018::jama.2018.0156::C001",'C_jama.2018.0156'!$A$2:$A$9,0))="","",INDEX('C_jama.2018.0156'!$D$2:$D$9,MATCH("2018::jama.2018.0156::C001",'C_jama.2018.0156'!$A$2:$A$9,0))),"NOT FROZEN")</x:f>
      </x:c>
      <x:c r="C8" s="6" t="str">
        <x:f>IF(Setup!$B$6="primary",IF(INDEX('C_jama.2018.0156'!$E$2:$E$9,MATCH("2018::jama.2018.0156::C001",'C_jama.2018.0156'!$A$2:$A$9,0))="","",INDEX('C_jama.2018.0156'!$E$2:$E$9,MATCH("2018::jama.2018.0156::C001",'C_jama.2018.0156'!$A$2:$A$9,0))),"NOT FROZEN")</x:f>
        <x:v>statistical_results</x:v>
      </x:c>
      <x:c r="D8" s="6" t="str">
        <x:f>IF(Setup!$B$6="primary",IF(AND(INDEX('C_jama.2018.0156'!$D$2:$D$9,MATCH("2018::jama.2018.0156::C001",'C_jama.2018.0156'!$A$2:$A$9,0))="retain",INDEX('C_jama.2018.0156'!$E$2:$E$9,MATCH("2018::jama.2018.0156::C001",'C_jama.2018.0156'!$A$2:$A$9,0))="statistical_results"),IF(INDEX('C_jama.2018.0156'!$H$2:$H$9,MATCH("2018::jama.2018.0156::C001",'C_jama.2018.0156'!$A$2:$A$9,0))="","",INDEX('C_jama.2018.0156'!$H$2:$H$9,MATCH("2018::jama.2018.0156::C001",'C_jama.2018.0156'!$A$2:$A$9,0))),"not_applicable"),"NOT FROZEN")</x:f>
        <x:v>not_applicable</x:v>
      </x:c>
      <x:c r="E8" s="6" t="str">
        <x:f>IF(Setup!$B$6="primary",IF(AND(INDEX('C_jama.2018.0156'!$D$2:$D$9,MATCH("2018::jama.2018.0156::C001",'C_jama.2018.0156'!$A$2:$A$9,0))="retain",INDEX('C_jama.2018.0156'!$E$2:$E$9,MATCH("2018::jama.2018.0156::C001",'C_jama.2018.0156'!$A$2:$A$9,0))="statistical_results"),IF(INDEX('C_jama.2018.0156'!$I$2:$I$9,MATCH("2018::jama.2018.0156::C001",'C_jama.2018.0156'!$A$2:$A$9,0))="","",INDEX('C_jama.2018.0156'!$I$2:$I$9,MATCH("2018::jama.2018.0156::C001",'C_jama.2018.0156'!$A$2:$A$9,0))),"not_applicable"),"NOT FROZEN")</x:f>
        <x:v>not_applicable</x:v>
      </x:c>
      <x:c r="F8" s="6" t="str">
        <x:f>IF(Setup!$B$6="primary",IF(AND(INDEX('C_jama.2018.0156'!$D$2:$D$9,MATCH("2018::jama.2018.0156::C001",'C_jama.2018.0156'!$A$2:$A$9,0))="retain",INDEX('C_jama.2018.0156'!$E$2:$E$9,MATCH("2018::jama.2018.0156::C001",'C_jama.2018.0156'!$A$2:$A$9,0))="statistical_results"),IF(INDEX('C_jama.2018.0156'!$J$2:$J$9,MATCH("2018::jama.2018.0156::C001",'C_jama.2018.0156'!$A$2:$A$9,0))="","",INDEX('C_jama.2018.0156'!$J$2:$J$9,MATCH("2018::jama.2018.0156::C001",'C_jama.2018.0156'!$A$2:$A$9,0))),"not_applicable"),"NOT FROZEN")</x:f>
        <x:v>not_applicable</x:v>
      </x:c>
      <x:c r="G8" s="6" t="str">
        <x:f>IF(Setup!$B$6="primary",IF(AND(INDEX('C_jama.2018.0156'!$D$2:$D$9,MATCH("2018::jama.2018.0156::C001",'C_jama.2018.0156'!$A$2:$A$9,0))="retain",OR(INDEX('C_jama.2018.0156'!$E$2:$E$9,MATCH("2018::jama.2018.0156::C001",'C_jama.2018.0156'!$A$2:$A$9,0))="report_internal_inconsistency",INDEX('C_jama.2018.0156'!$E$2:$E$9,MATCH("2018::jama.2018.0156::C001",'C_jama.2018.0156'!$A$2:$A$9,0))="plan_material")),IF(INDEX('C_jama.2018.0156'!$K$2:$K$9,MATCH("2018::jama.2018.0156::C001",'C_jama.2018.0156'!$A$2:$A$9,0))="","",INDEX('C_jama.2018.0156'!$K$2:$K$9,MATCH("2018::jama.2018.0156::C001",'C_jama.2018.0156'!$A$2:$A$9,0))),"not_applicable"),"NOT FROZEN")</x:f>
        <x:v>not_applicable</x:v>
      </x:c>
      <x:c r="H8" s="6" t="str">
        <x:f>IF(Setup!$B$6="primary",IF(AND(INDEX('C_jama.2018.0156'!$D$2:$D$9,MATCH("2018::jama.2018.0156::C001",'C_jama.2018.0156'!$A$2:$A$9,0))="retain",INDEX('C_jama.2018.0156'!$E$2:$E$9,MATCH("2018::jama.2018.0156::C001",'C_jama.2018.0156'!$A$2:$A$9,0))="protocol_report"),IF(INDEX('C_jama.2018.0156'!$L$2:$L$9,MATCH("2018::jama.2018.0156::C001",'C_jama.2018.0156'!$A$2:$A$9,0))="","",INDEX('C_jama.2018.0156'!$L$2:$L$9,MATCH("2018::jama.2018.0156::C001",'C_jama.2018.0156'!$A$2:$A$9,0))),"not_applicable"),"NOT FROZEN")</x:f>
        <x:v>not_applicable</x:v>
      </x:c>
      <x:c r="I8" s="6" t="str">
        <x:f>IF(Setup!$B$6="primary",IF(INDEX('C_jama.2018.0156'!$R$2:$R$9,MATCH("2018::jama.2018.0156::C001",'C_jama.2018.0156'!$A$2:$A$9,0))="","",INDEX('C_jama.2018.0156'!$R$2:$R$9,MATCH("2018::jama.2018.0156::C001",'C_jama.2018.0156'!$A$2:$A$9,0))),"NOT FROZEN")</x:f>
      </x:c>
      <x:c r="J8" s="6" t="str">
        <x:f>IF(Setup!$B$6="primary",INDEX('C_jama.2018.0156'!$F$2:$F$9,MATCH("2018::jama.2018.0156::C001",'C_jama.2018.0156'!$A$2:$A$9,0)),"NOT FROZEN")</x:f>
        <x:v>no</x:v>
      </x:c>
      <x:c r="K8" s="6" t="str">
        <x:f>IF(Setup!$B$6="primary",Setup!$B$2,"NOT FROZEN")</x:f>
      </x:c>
      <x:c r="L8" s="6" t="str">
        <x:f>IF(Setup!$B$6="primary",IF(OR(B8="",B8="not_applicable"),"","Disposition: "&amp;B8&amp;CHAR(10))&amp;IF(OR(C8="",C8="not_applicable"),"","Review domain: "&amp;C8&amp;CHAR(10))&amp;IF(OR(D8="",D8="not_applicable"),"","Statistcal_or_numerical issue: "&amp;D8&amp;CHAR(10))&amp;IF(OR(E8="",E8="not_applicable"),"","Substantiveness: "&amp;E8&amp;CHAR(10))&amp;IF(OR(F8="",F8="not_applicable"),"","Downstream impact: "&amp;F8&amp;CHAR(10))&amp;IF(OR(G8="",G8="not_applicable"),"","Report-internal or planning-material inconsistency: "&amp;G8&amp;CHAR(10))&amp;IF(OR(H8="",H8="not_applicable"),"","Protocol interpretation: "&amp;H8&amp;CHAR(10))&amp;IF(OR(I8="",I8="not_applicable"),"","Notes (optional): "&amp;I8&amp;CHAR(10)),"NOT FROZEN")</x:f>
        <x:v>Review domain: statistical_results
</x:v>
      </x:c>
    </x:row>
    <x:row r="9" ht="70" customHeight="1">
      <x:c r="A9" s="3" t="str">
        <x:f>IF(Setup!$B$6="primary","2018::jama.2018.0156::C002","NOT FROZEN")</x:f>
        <x:v>2018::jama.2018.0156::C002</x:v>
      </x:c>
      <x:c r="B9" s="3" t="str">
        <x:f>IF(Setup!$B$6="primary",IF(INDEX('C_jama.2018.0156'!$D$2:$D$9,MATCH("2018::jama.2018.0156::C002",'C_jama.2018.0156'!$A$2:$A$9,0))="","",INDEX('C_jama.2018.0156'!$D$2:$D$9,MATCH("2018::jama.2018.0156::C002",'C_jama.2018.0156'!$A$2:$A$9,0))),"NOT FROZEN")</x:f>
      </x:c>
      <x:c r="C9" s="3" t="str">
        <x:f>IF(Setup!$B$6="primary",IF(INDEX('C_jama.2018.0156'!$E$2:$E$9,MATCH("2018::jama.2018.0156::C002",'C_jama.2018.0156'!$A$2:$A$9,0))="","",INDEX('C_jama.2018.0156'!$E$2:$E$9,MATCH("2018::jama.2018.0156::C002",'C_jama.2018.0156'!$A$2:$A$9,0))),"NOT FROZEN")</x:f>
        <x:v>report_internal_inconsistency</x:v>
      </x:c>
      <x:c r="D9" s="3" t="str">
        <x:f>IF(Setup!$B$6="primary",IF(AND(INDEX('C_jama.2018.0156'!$D$2:$D$9,MATCH("2018::jama.2018.0156::C002",'C_jama.2018.0156'!$A$2:$A$9,0))="retain",INDEX('C_jama.2018.0156'!$E$2:$E$9,MATCH("2018::jama.2018.0156::C002",'C_jama.2018.0156'!$A$2:$A$9,0))="statistical_results"),IF(INDEX('C_jama.2018.0156'!$H$2:$H$9,MATCH("2018::jama.2018.0156::C002",'C_jama.2018.0156'!$A$2:$A$9,0))="","",INDEX('C_jama.2018.0156'!$H$2:$H$9,MATCH("2018::jama.2018.0156::C002",'C_jama.2018.0156'!$A$2:$A$9,0))),"not_applicable"),"NOT FROZEN")</x:f>
        <x:v>not_applicable</x:v>
      </x:c>
      <x:c r="E9" s="3" t="str">
        <x:f>IF(Setup!$B$6="primary",IF(AND(INDEX('C_jama.2018.0156'!$D$2:$D$9,MATCH("2018::jama.2018.0156::C002",'C_jama.2018.0156'!$A$2:$A$9,0))="retain",INDEX('C_jama.2018.0156'!$E$2:$E$9,MATCH("2018::jama.2018.0156::C002",'C_jama.2018.0156'!$A$2:$A$9,0))="statistical_results"),IF(INDEX('C_jama.2018.0156'!$I$2:$I$9,MATCH("2018::jama.2018.0156::C002",'C_jama.2018.0156'!$A$2:$A$9,0))="","",INDEX('C_jama.2018.0156'!$I$2:$I$9,MATCH("2018::jama.2018.0156::C002",'C_jama.2018.0156'!$A$2:$A$9,0))),"not_applicable"),"NOT FROZEN")</x:f>
        <x:v>not_applicable</x:v>
      </x:c>
      <x:c r="F9" s="3" t="str">
        <x:f>IF(Setup!$B$6="primary",IF(AND(INDEX('C_jama.2018.0156'!$D$2:$D$9,MATCH("2018::jama.2018.0156::C002",'C_jama.2018.0156'!$A$2:$A$9,0))="retain",INDEX('C_jama.2018.0156'!$E$2:$E$9,MATCH("2018::jama.2018.0156::C002",'C_jama.2018.0156'!$A$2:$A$9,0))="statistical_results"),IF(INDEX('C_jama.2018.0156'!$J$2:$J$9,MATCH("2018::jama.2018.0156::C002",'C_jama.2018.0156'!$A$2:$A$9,0))="","",INDEX('C_jama.2018.0156'!$J$2:$J$9,MATCH("2018::jama.2018.0156::C002",'C_jama.2018.0156'!$A$2:$A$9,0))),"not_applicable"),"NOT FROZEN")</x:f>
        <x:v>not_applicable</x:v>
      </x:c>
      <x:c r="G9" s="3" t="str">
        <x:f>IF(Setup!$B$6="primary",IF(AND(INDEX('C_jama.2018.0156'!$D$2:$D$9,MATCH("2018::jama.2018.0156::C002",'C_jama.2018.0156'!$A$2:$A$9,0))="retain",OR(INDEX('C_jama.2018.0156'!$E$2:$E$9,MATCH("2018::jama.2018.0156::C002",'C_jama.2018.0156'!$A$2:$A$9,0))="report_internal_inconsistency",INDEX('C_jama.2018.0156'!$E$2:$E$9,MATCH("2018::jama.2018.0156::C002",'C_jama.2018.0156'!$A$2:$A$9,0))="plan_material")),IF(INDEX('C_jama.2018.0156'!$K$2:$K$9,MATCH("2018::jama.2018.0156::C002",'C_jama.2018.0156'!$A$2:$A$9,0))="","",INDEX('C_jama.2018.0156'!$K$2:$K$9,MATCH("2018::jama.2018.0156::C002",'C_jama.2018.0156'!$A$2:$A$9,0))),"not_applicable"),"NOT FROZEN")</x:f>
        <x:v>not_applicable</x:v>
      </x:c>
      <x:c r="H9" s="3" t="str">
        <x:f>IF(Setup!$B$6="primary",IF(AND(INDEX('C_jama.2018.0156'!$D$2:$D$9,MATCH("2018::jama.2018.0156::C002",'C_jama.2018.0156'!$A$2:$A$9,0))="retain",INDEX('C_jama.2018.0156'!$E$2:$E$9,MATCH("2018::jama.2018.0156::C002",'C_jama.2018.0156'!$A$2:$A$9,0))="protocol_report"),IF(INDEX('C_jama.2018.0156'!$L$2:$L$9,MATCH("2018::jama.2018.0156::C002",'C_jama.2018.0156'!$A$2:$A$9,0))="","",INDEX('C_jama.2018.0156'!$L$2:$L$9,MATCH("2018::jama.2018.0156::C002",'C_jama.2018.0156'!$A$2:$A$9,0))),"not_applicable"),"NOT FROZEN")</x:f>
        <x:v>not_applicable</x:v>
      </x:c>
      <x:c r="I9" s="3" t="str">
        <x:f>IF(Setup!$B$6="primary",IF(INDEX('C_jama.2018.0156'!$R$2:$R$9,MATCH("2018::jama.2018.0156::C002",'C_jama.2018.0156'!$A$2:$A$9,0))="","",INDEX('C_jama.2018.0156'!$R$2:$R$9,MATCH("2018::jama.2018.0156::C002",'C_jama.2018.0156'!$A$2:$A$9,0))),"NOT FROZEN")</x:f>
      </x:c>
      <x:c r="J9" s="3" t="str">
        <x:f>IF(Setup!$B$6="primary",INDEX('C_jama.2018.0156'!$F$2:$F$9,MATCH("2018::jama.2018.0156::C002",'C_jama.2018.0156'!$A$2:$A$9,0)),"NOT FROZEN")</x:f>
        <x:v>no</x:v>
      </x:c>
      <x:c r="K9" s="3" t="str">
        <x:f>IF(Setup!$B$6="primary",Setup!$B$2,"NOT FROZEN")</x:f>
      </x:c>
      <x:c r="L9" s="3" t="str">
        <x:f>IF(Setup!$B$6="primary",IF(OR(B9="",B9="not_applicable"),"","Disposition: "&amp;B9&amp;CHAR(10))&amp;IF(OR(C9="",C9="not_applicable"),"","Review domain: "&amp;C9&amp;CHAR(10))&amp;IF(OR(D9="",D9="not_applicable"),"","Statistcal_or_numerical issue: "&amp;D9&amp;CHAR(10))&amp;IF(OR(E9="",E9="not_applicable"),"","Substantiveness: "&amp;E9&amp;CHAR(10))&amp;IF(OR(F9="",F9="not_applicable"),"","Downstream impact: "&amp;F9&amp;CHAR(10))&amp;IF(OR(G9="",G9="not_applicable"),"","Report-internal or planning-material inconsistency: "&amp;G9&amp;CHAR(10))&amp;IF(OR(H9="",H9="not_applicable"),"","Protocol interpretation: "&amp;H9&amp;CHAR(10))&amp;IF(OR(I9="",I9="not_applicable"),"","Notes (optional): "&amp;I9&amp;CHAR(10)),"NOT FROZEN")</x:f>
        <x:v>Review domain: report_internal_inconsistency
</x:v>
      </x:c>
    </x:row>
    <x:row r="10" ht="70" customHeight="1">
      <x:c r="A10" s="6" t="str">
        <x:f>IF(Setup!$B$6="primary","2018::jama.2018.0156::C003","NOT FROZEN")</x:f>
        <x:v>2018::jama.2018.0156::C003</x:v>
      </x:c>
      <x:c r="B10" s="6" t="str">
        <x:f>IF(Setup!$B$6="primary",IF(INDEX('C_jama.2018.0156'!$D$2:$D$9,MATCH("2018::jama.2018.0156::C003",'C_jama.2018.0156'!$A$2:$A$9,0))="","",INDEX('C_jama.2018.0156'!$D$2:$D$9,MATCH("2018::jama.2018.0156::C003",'C_jama.2018.0156'!$A$2:$A$9,0))),"NOT FROZEN")</x:f>
      </x:c>
      <x:c r="C10" s="6" t="str">
        <x:f>IF(Setup!$B$6="primary",IF(INDEX('C_jama.2018.0156'!$E$2:$E$9,MATCH("2018::jama.2018.0156::C003",'C_jama.2018.0156'!$A$2:$A$9,0))="","",INDEX('C_jama.2018.0156'!$E$2:$E$9,MATCH("2018::jama.2018.0156::C003",'C_jama.2018.0156'!$A$2:$A$9,0))),"NOT FROZEN")</x:f>
        <x:v>statistical_results</x:v>
      </x:c>
      <x:c r="D10" s="6" t="str">
        <x:f>IF(Setup!$B$6="primary",IF(AND(INDEX('C_jama.2018.0156'!$D$2:$D$9,MATCH("2018::jama.2018.0156::C003",'C_jama.2018.0156'!$A$2:$A$9,0))="retain",INDEX('C_jama.2018.0156'!$E$2:$E$9,MATCH("2018::jama.2018.0156::C003",'C_jama.2018.0156'!$A$2:$A$9,0))="statistical_results"),IF(INDEX('C_jama.2018.0156'!$H$2:$H$9,MATCH("2018::jama.2018.0156::C003",'C_jama.2018.0156'!$A$2:$A$9,0))="","",INDEX('C_jama.2018.0156'!$H$2:$H$9,MATCH("2018::jama.2018.0156::C003",'C_jama.2018.0156'!$A$2:$A$9,0))),"not_applicable"),"NOT FROZEN")</x:f>
        <x:v>not_applicable</x:v>
      </x:c>
      <x:c r="E10" s="6" t="str">
        <x:f>IF(Setup!$B$6="primary",IF(AND(INDEX('C_jama.2018.0156'!$D$2:$D$9,MATCH("2018::jama.2018.0156::C003",'C_jama.2018.0156'!$A$2:$A$9,0))="retain",INDEX('C_jama.2018.0156'!$E$2:$E$9,MATCH("2018::jama.2018.0156::C003",'C_jama.2018.0156'!$A$2:$A$9,0))="statistical_results"),IF(INDEX('C_jama.2018.0156'!$I$2:$I$9,MATCH("2018::jama.2018.0156::C003",'C_jama.2018.0156'!$A$2:$A$9,0))="","",INDEX('C_jama.2018.0156'!$I$2:$I$9,MATCH("2018::jama.2018.0156::C003",'C_jama.2018.0156'!$A$2:$A$9,0))),"not_applicable"),"NOT FROZEN")</x:f>
        <x:v>not_applicable</x:v>
      </x:c>
      <x:c r="F10" s="6" t="str">
        <x:f>IF(Setup!$B$6="primary",IF(AND(INDEX('C_jama.2018.0156'!$D$2:$D$9,MATCH("2018::jama.2018.0156::C003",'C_jama.2018.0156'!$A$2:$A$9,0))="retain",INDEX('C_jama.2018.0156'!$E$2:$E$9,MATCH("2018::jama.2018.0156::C003",'C_jama.2018.0156'!$A$2:$A$9,0))="statistical_results"),IF(INDEX('C_jama.2018.0156'!$J$2:$J$9,MATCH("2018::jama.2018.0156::C003",'C_jama.2018.0156'!$A$2:$A$9,0))="","",INDEX('C_jama.2018.0156'!$J$2:$J$9,MATCH("2018::jama.2018.0156::C003",'C_jama.2018.0156'!$A$2:$A$9,0))),"not_applicable"),"NOT FROZEN")</x:f>
        <x:v>not_applicable</x:v>
      </x:c>
      <x:c r="G10" s="6" t="str">
        <x:f>IF(Setup!$B$6="primary",IF(AND(INDEX('C_jama.2018.0156'!$D$2:$D$9,MATCH("2018::jama.2018.0156::C003",'C_jama.2018.0156'!$A$2:$A$9,0))="retain",OR(INDEX('C_jama.2018.0156'!$E$2:$E$9,MATCH("2018::jama.2018.0156::C003",'C_jama.2018.0156'!$A$2:$A$9,0))="report_internal_inconsistency",INDEX('C_jama.2018.0156'!$E$2:$E$9,MATCH("2018::jama.2018.0156::C003",'C_jama.2018.0156'!$A$2:$A$9,0))="plan_material")),IF(INDEX('C_jama.2018.0156'!$K$2:$K$9,MATCH("2018::jama.2018.0156::C003",'C_jama.2018.0156'!$A$2:$A$9,0))="","",INDEX('C_jama.2018.0156'!$K$2:$K$9,MATCH("2018::jama.2018.0156::C003",'C_jama.2018.0156'!$A$2:$A$9,0))),"not_applicable"),"NOT FROZEN")</x:f>
        <x:v>not_applicable</x:v>
      </x:c>
      <x:c r="H10" s="6" t="str">
        <x:f>IF(Setup!$B$6="primary",IF(AND(INDEX('C_jama.2018.0156'!$D$2:$D$9,MATCH("2018::jama.2018.0156::C003",'C_jama.2018.0156'!$A$2:$A$9,0))="retain",INDEX('C_jama.2018.0156'!$E$2:$E$9,MATCH("2018::jama.2018.0156::C003",'C_jama.2018.0156'!$A$2:$A$9,0))="protocol_report"),IF(INDEX('C_jama.2018.0156'!$L$2:$L$9,MATCH("2018::jama.2018.0156::C003",'C_jama.2018.0156'!$A$2:$A$9,0))="","",INDEX('C_jama.2018.0156'!$L$2:$L$9,MATCH("2018::jama.2018.0156::C003",'C_jama.2018.0156'!$A$2:$A$9,0))),"not_applicable"),"NOT FROZEN")</x:f>
        <x:v>not_applicable</x:v>
      </x:c>
      <x:c r="I10" s="6" t="str">
        <x:f>IF(Setup!$B$6="primary",IF(INDEX('C_jama.2018.0156'!$R$2:$R$9,MATCH("2018::jama.2018.0156::C003",'C_jama.2018.0156'!$A$2:$A$9,0))="","",INDEX('C_jama.2018.0156'!$R$2:$R$9,MATCH("2018::jama.2018.0156::C003",'C_jama.2018.0156'!$A$2:$A$9,0))),"NOT FROZEN")</x:f>
      </x:c>
      <x:c r="J10" s="6" t="str">
        <x:f>IF(Setup!$B$6="primary",INDEX('C_jama.2018.0156'!$F$2:$F$9,MATCH("2018::jama.2018.0156::C003",'C_jama.2018.0156'!$A$2:$A$9,0)),"NOT FROZEN")</x:f>
        <x:v>no</x:v>
      </x:c>
      <x:c r="K10" s="6" t="str">
        <x:f>IF(Setup!$B$6="primary",Setup!$B$2,"NOT FROZEN")</x:f>
      </x:c>
      <x:c r="L10" s="6" t="str">
        <x:f>IF(Setup!$B$6="primary",IF(OR(B10="",B10="not_applicable"),"","Disposition: "&amp;B10&amp;CHAR(10))&amp;IF(OR(C10="",C10="not_applicable"),"","Review domain: "&amp;C10&amp;CHAR(10))&amp;IF(OR(D10="",D10="not_applicable"),"","Statistcal_or_numerical issue: "&amp;D10&amp;CHAR(10))&amp;IF(OR(E10="",E10="not_applicable"),"","Substantiveness: "&amp;E10&amp;CHAR(10))&amp;IF(OR(F10="",F10="not_applicable"),"","Downstream impact: "&amp;F10&amp;CHAR(10))&amp;IF(OR(G10="",G10="not_applicable"),"","Report-internal or planning-material inconsistency: "&amp;G10&amp;CHAR(10))&amp;IF(OR(H10="",H10="not_applicable"),"","Protocol interpretation: "&amp;H10&amp;CHAR(10))&amp;IF(OR(I10="",I10="not_applicable"),"","Notes (optional): "&amp;I10&amp;CHAR(10)),"NOT FROZEN")</x:f>
        <x:v>Review domain: statistical_results
</x:v>
      </x:c>
    </x:row>
    <x:row r="11" ht="70" customHeight="1">
      <x:c r="A11" s="3" t="str">
        <x:f>IF(Setup!$B$6="primary","2018::jama.2018.0156::C004","NOT FROZEN")</x:f>
        <x:v>2018::jama.2018.0156::C004</x:v>
      </x:c>
      <x:c r="B11" s="3" t="str">
        <x:f>IF(Setup!$B$6="primary",IF(INDEX('C_jama.2018.0156'!$D$2:$D$9,MATCH("2018::jama.2018.0156::C004",'C_jama.2018.0156'!$A$2:$A$9,0))="","",INDEX('C_jama.2018.0156'!$D$2:$D$9,MATCH("2018::jama.2018.0156::C004",'C_jama.2018.0156'!$A$2:$A$9,0))),"NOT FROZEN")</x:f>
      </x:c>
      <x:c r="C11" s="3" t="str">
        <x:f>IF(Setup!$B$6="primary",IF(INDEX('C_jama.2018.0156'!$E$2:$E$9,MATCH("2018::jama.2018.0156::C004",'C_jama.2018.0156'!$A$2:$A$9,0))="","",INDEX('C_jama.2018.0156'!$E$2:$E$9,MATCH("2018::jama.2018.0156::C004",'C_jama.2018.0156'!$A$2:$A$9,0))),"NOT FROZEN")</x:f>
        <x:v>statistical_results</x:v>
      </x:c>
      <x:c r="D11" s="3" t="str">
        <x:f>IF(Setup!$B$6="primary",IF(AND(INDEX('C_jama.2018.0156'!$D$2:$D$9,MATCH("2018::jama.2018.0156::C004",'C_jama.2018.0156'!$A$2:$A$9,0))="retain",INDEX('C_jama.2018.0156'!$E$2:$E$9,MATCH("2018::jama.2018.0156::C004",'C_jama.2018.0156'!$A$2:$A$9,0))="statistical_results"),IF(INDEX('C_jama.2018.0156'!$H$2:$H$9,MATCH("2018::jama.2018.0156::C004",'C_jama.2018.0156'!$A$2:$A$9,0))="","",INDEX('C_jama.2018.0156'!$H$2:$H$9,MATCH("2018::jama.2018.0156::C004",'C_jama.2018.0156'!$A$2:$A$9,0))),"not_applicable"),"NOT FROZEN")</x:f>
        <x:v>not_applicable</x:v>
      </x:c>
      <x:c r="E11" s="3" t="str">
        <x:f>IF(Setup!$B$6="primary",IF(AND(INDEX('C_jama.2018.0156'!$D$2:$D$9,MATCH("2018::jama.2018.0156::C004",'C_jama.2018.0156'!$A$2:$A$9,0))="retain",INDEX('C_jama.2018.0156'!$E$2:$E$9,MATCH("2018::jama.2018.0156::C004",'C_jama.2018.0156'!$A$2:$A$9,0))="statistical_results"),IF(INDEX('C_jama.2018.0156'!$I$2:$I$9,MATCH("2018::jama.2018.0156::C004",'C_jama.2018.0156'!$A$2:$A$9,0))="","",INDEX('C_jama.2018.0156'!$I$2:$I$9,MATCH("2018::jama.2018.0156::C004",'C_jama.2018.0156'!$A$2:$A$9,0))),"not_applicable"),"NOT FROZEN")</x:f>
        <x:v>not_applicable</x:v>
      </x:c>
      <x:c r="F11" s="3" t="str">
        <x:f>IF(Setup!$B$6="primary",IF(AND(INDEX('C_jama.2018.0156'!$D$2:$D$9,MATCH("2018::jama.2018.0156::C004",'C_jama.2018.0156'!$A$2:$A$9,0))="retain",INDEX('C_jama.2018.0156'!$E$2:$E$9,MATCH("2018::jama.2018.0156::C004",'C_jama.2018.0156'!$A$2:$A$9,0))="statistical_results"),IF(INDEX('C_jama.2018.0156'!$J$2:$J$9,MATCH("2018::jama.2018.0156::C004",'C_jama.2018.0156'!$A$2:$A$9,0))="","",INDEX('C_jama.2018.0156'!$J$2:$J$9,MATCH("2018::jama.2018.0156::C004",'C_jama.2018.0156'!$A$2:$A$9,0))),"not_applicable"),"NOT FROZEN")</x:f>
        <x:v>not_applicable</x:v>
      </x:c>
      <x:c r="G11" s="3" t="str">
        <x:f>IF(Setup!$B$6="primary",IF(AND(INDEX('C_jama.2018.0156'!$D$2:$D$9,MATCH("2018::jama.2018.0156::C004",'C_jama.2018.0156'!$A$2:$A$9,0))="retain",OR(INDEX('C_jama.2018.0156'!$E$2:$E$9,MATCH("2018::jama.2018.0156::C004",'C_jama.2018.0156'!$A$2:$A$9,0))="report_internal_inconsistency",INDEX('C_jama.2018.0156'!$E$2:$E$9,MATCH("2018::jama.2018.0156::C004",'C_jama.2018.0156'!$A$2:$A$9,0))="plan_material")),IF(INDEX('C_jama.2018.0156'!$K$2:$K$9,MATCH("2018::jama.2018.0156::C004",'C_jama.2018.0156'!$A$2:$A$9,0))="","",INDEX('C_jama.2018.0156'!$K$2:$K$9,MATCH("2018::jama.2018.0156::C004",'C_jama.2018.0156'!$A$2:$A$9,0))),"not_applicable"),"NOT FROZEN")</x:f>
        <x:v>not_applicable</x:v>
      </x:c>
      <x:c r="H11" s="3" t="str">
        <x:f>IF(Setup!$B$6="primary",IF(AND(INDEX('C_jama.2018.0156'!$D$2:$D$9,MATCH("2018::jama.2018.0156::C004",'C_jama.2018.0156'!$A$2:$A$9,0))="retain",INDEX('C_jama.2018.0156'!$E$2:$E$9,MATCH("2018::jama.2018.0156::C004",'C_jama.2018.0156'!$A$2:$A$9,0))="protocol_report"),IF(INDEX('C_jama.2018.0156'!$L$2:$L$9,MATCH("2018::jama.2018.0156::C004",'C_jama.2018.0156'!$A$2:$A$9,0))="","",INDEX('C_jama.2018.0156'!$L$2:$L$9,MATCH("2018::jama.2018.0156::C004",'C_jama.2018.0156'!$A$2:$A$9,0))),"not_applicable"),"NOT FROZEN")</x:f>
        <x:v>not_applicable</x:v>
      </x:c>
      <x:c r="I11" s="3" t="str">
        <x:f>IF(Setup!$B$6="primary",IF(INDEX('C_jama.2018.0156'!$R$2:$R$9,MATCH("2018::jama.2018.0156::C004",'C_jama.2018.0156'!$A$2:$A$9,0))="","",INDEX('C_jama.2018.0156'!$R$2:$R$9,MATCH("2018::jama.2018.0156::C004",'C_jama.2018.0156'!$A$2:$A$9,0))),"NOT FROZEN")</x:f>
      </x:c>
      <x:c r="J11" s="3" t="str">
        <x:f>IF(Setup!$B$6="primary",INDEX('C_jama.2018.0156'!$F$2:$F$9,MATCH("2018::jama.2018.0156::C004",'C_jama.2018.0156'!$A$2:$A$9,0)),"NOT FROZEN")</x:f>
        <x:v>no</x:v>
      </x:c>
      <x:c r="K11" s="3" t="str">
        <x:f>IF(Setup!$B$6="primary",Setup!$B$2,"NOT FROZEN")</x:f>
      </x:c>
      <x:c r="L11" s="3" t="str">
        <x:f>IF(Setup!$B$6="primary",IF(OR(B11="",B11="not_applicable"),"","Disposition: "&amp;B11&amp;CHAR(10))&amp;IF(OR(C11="",C11="not_applicable"),"","Review domain: "&amp;C11&amp;CHAR(10))&amp;IF(OR(D11="",D11="not_applicable"),"","Statistcal_or_numerical issue: "&amp;D11&amp;CHAR(10))&amp;IF(OR(E11="",E11="not_applicable"),"","Substantiveness: "&amp;E11&amp;CHAR(10))&amp;IF(OR(F11="",F11="not_applicable"),"","Downstream impact: "&amp;F11&amp;CHAR(10))&amp;IF(OR(G11="",G11="not_applicable"),"","Report-internal or planning-material inconsistency: "&amp;G11&amp;CHAR(10))&amp;IF(OR(H11="",H11="not_applicable"),"","Protocol interpretation: "&amp;H11&amp;CHAR(10))&amp;IF(OR(I11="",I11="not_applicable"),"","Notes (optional): "&amp;I11&amp;CHAR(10)),"NOT FROZEN")</x:f>
        <x:v>Review domain: statistical_results
</x:v>
      </x:c>
    </x:row>
    <x:row r="12" ht="70" customHeight="1">
      <x:c r="A12" s="6" t="str">
        <x:f>IF(Setup!$B$6="primary","2018::jama.2018.0156::C005","NOT FROZEN")</x:f>
        <x:v>2018::jama.2018.0156::C005</x:v>
      </x:c>
      <x:c r="B12" s="6" t="str">
        <x:f>IF(Setup!$B$6="primary",IF(INDEX('C_jama.2018.0156'!$D$2:$D$9,MATCH("2018::jama.2018.0156::C005",'C_jama.2018.0156'!$A$2:$A$9,0))="","",INDEX('C_jama.2018.0156'!$D$2:$D$9,MATCH("2018::jama.2018.0156::C005",'C_jama.2018.0156'!$A$2:$A$9,0))),"NOT FROZEN")</x:f>
      </x:c>
      <x:c r="C12" s="6" t="str">
        <x:f>IF(Setup!$B$6="primary",IF(INDEX('C_jama.2018.0156'!$E$2:$E$9,MATCH("2018::jama.2018.0156::C005",'C_jama.2018.0156'!$A$2:$A$9,0))="","",INDEX('C_jama.2018.0156'!$E$2:$E$9,MATCH("2018::jama.2018.0156::C005",'C_jama.2018.0156'!$A$2:$A$9,0))),"NOT FROZEN")</x:f>
        <x:v>statistical_results</x:v>
      </x:c>
      <x:c r="D12" s="6" t="str">
        <x:f>IF(Setup!$B$6="primary",IF(AND(INDEX('C_jama.2018.0156'!$D$2:$D$9,MATCH("2018::jama.2018.0156::C005",'C_jama.2018.0156'!$A$2:$A$9,0))="retain",INDEX('C_jama.2018.0156'!$E$2:$E$9,MATCH("2018::jama.2018.0156::C005",'C_jama.2018.0156'!$A$2:$A$9,0))="statistical_results"),IF(INDEX('C_jama.2018.0156'!$H$2:$H$9,MATCH("2018::jama.2018.0156::C005",'C_jama.2018.0156'!$A$2:$A$9,0))="","",INDEX('C_jama.2018.0156'!$H$2:$H$9,MATCH("2018::jama.2018.0156::C005",'C_jama.2018.0156'!$A$2:$A$9,0))),"not_applicable"),"NOT FROZEN")</x:f>
        <x:v>not_applicable</x:v>
      </x:c>
      <x:c r="E12" s="6" t="str">
        <x:f>IF(Setup!$B$6="primary",IF(AND(INDEX('C_jama.2018.0156'!$D$2:$D$9,MATCH("2018::jama.2018.0156::C005",'C_jama.2018.0156'!$A$2:$A$9,0))="retain",INDEX('C_jama.2018.0156'!$E$2:$E$9,MATCH("2018::jama.2018.0156::C005",'C_jama.2018.0156'!$A$2:$A$9,0))="statistical_results"),IF(INDEX('C_jama.2018.0156'!$I$2:$I$9,MATCH("2018::jama.2018.0156::C005",'C_jama.2018.0156'!$A$2:$A$9,0))="","",INDEX('C_jama.2018.0156'!$I$2:$I$9,MATCH("2018::jama.2018.0156::C005",'C_jama.2018.0156'!$A$2:$A$9,0))),"not_applicable"),"NOT FROZEN")</x:f>
        <x:v>not_applicable</x:v>
      </x:c>
      <x:c r="F12" s="6" t="str">
        <x:f>IF(Setup!$B$6="primary",IF(AND(INDEX('C_jama.2018.0156'!$D$2:$D$9,MATCH("2018::jama.2018.0156::C005",'C_jama.2018.0156'!$A$2:$A$9,0))="retain",INDEX('C_jama.2018.0156'!$E$2:$E$9,MATCH("2018::jama.2018.0156::C005",'C_jama.2018.0156'!$A$2:$A$9,0))="statistical_results"),IF(INDEX('C_jama.2018.0156'!$J$2:$J$9,MATCH("2018::jama.2018.0156::C005",'C_jama.2018.0156'!$A$2:$A$9,0))="","",INDEX('C_jama.2018.0156'!$J$2:$J$9,MATCH("2018::jama.2018.0156::C005",'C_jama.2018.0156'!$A$2:$A$9,0))),"not_applicable"),"NOT FROZEN")</x:f>
        <x:v>not_applicable</x:v>
      </x:c>
      <x:c r="G12" s="6" t="str">
        <x:f>IF(Setup!$B$6="primary",IF(AND(INDEX('C_jama.2018.0156'!$D$2:$D$9,MATCH("2018::jama.2018.0156::C005",'C_jama.2018.0156'!$A$2:$A$9,0))="retain",OR(INDEX('C_jama.2018.0156'!$E$2:$E$9,MATCH("2018::jama.2018.0156::C005",'C_jama.2018.0156'!$A$2:$A$9,0))="report_internal_inconsistency",INDEX('C_jama.2018.0156'!$E$2:$E$9,MATCH("2018::jama.2018.0156::C005",'C_jama.2018.0156'!$A$2:$A$9,0))="plan_material")),IF(INDEX('C_jama.2018.0156'!$K$2:$K$9,MATCH("2018::jama.2018.0156::C005",'C_jama.2018.0156'!$A$2:$A$9,0))="","",INDEX('C_jama.2018.0156'!$K$2:$K$9,MATCH("2018::jama.2018.0156::C005",'C_jama.2018.0156'!$A$2:$A$9,0))),"not_applicable"),"NOT FROZEN")</x:f>
        <x:v>not_applicable</x:v>
      </x:c>
      <x:c r="H12" s="6" t="str">
        <x:f>IF(Setup!$B$6="primary",IF(AND(INDEX('C_jama.2018.0156'!$D$2:$D$9,MATCH("2018::jama.2018.0156::C005",'C_jama.2018.0156'!$A$2:$A$9,0))="retain",INDEX('C_jama.2018.0156'!$E$2:$E$9,MATCH("2018::jama.2018.0156::C005",'C_jama.2018.0156'!$A$2:$A$9,0))="protocol_report"),IF(INDEX('C_jama.2018.0156'!$L$2:$L$9,MATCH("2018::jama.2018.0156::C005",'C_jama.2018.0156'!$A$2:$A$9,0))="","",INDEX('C_jama.2018.0156'!$L$2:$L$9,MATCH("2018::jama.2018.0156::C005",'C_jama.2018.0156'!$A$2:$A$9,0))),"not_applicable"),"NOT FROZEN")</x:f>
        <x:v>not_applicable</x:v>
      </x:c>
      <x:c r="I12" s="6" t="str">
        <x:f>IF(Setup!$B$6="primary",IF(INDEX('C_jama.2018.0156'!$R$2:$R$9,MATCH("2018::jama.2018.0156::C005",'C_jama.2018.0156'!$A$2:$A$9,0))="","",INDEX('C_jama.2018.0156'!$R$2:$R$9,MATCH("2018::jama.2018.0156::C005",'C_jama.2018.0156'!$A$2:$A$9,0))),"NOT FROZEN")</x:f>
      </x:c>
      <x:c r="J12" s="6" t="str">
        <x:f>IF(Setup!$B$6="primary",INDEX('C_jama.2018.0156'!$F$2:$F$9,MATCH("2018::jama.2018.0156::C005",'C_jama.2018.0156'!$A$2:$A$9,0)),"NOT FROZEN")</x:f>
        <x:v>no</x:v>
      </x:c>
      <x:c r="K12" s="6" t="str">
        <x:f>IF(Setup!$B$6="primary",Setup!$B$2,"NOT FROZEN")</x:f>
      </x:c>
      <x:c r="L12" s="6" t="str">
        <x:f>IF(Setup!$B$6="primary",IF(OR(B12="",B12="not_applicable"),"","Disposition: "&amp;B12&amp;CHAR(10))&amp;IF(OR(C12="",C12="not_applicable"),"","Review domain: "&amp;C12&amp;CHAR(10))&amp;IF(OR(D12="",D12="not_applicable"),"","Statistcal_or_numerical issue: "&amp;D12&amp;CHAR(10))&amp;IF(OR(E12="",E12="not_applicable"),"","Substantiveness: "&amp;E12&amp;CHAR(10))&amp;IF(OR(F12="",F12="not_applicable"),"","Downstream impact: "&amp;F12&amp;CHAR(10))&amp;IF(OR(G12="",G12="not_applicable"),"","Report-internal or planning-material inconsistency: "&amp;G12&amp;CHAR(10))&amp;IF(OR(H12="",H12="not_applicable"),"","Protocol interpretation: "&amp;H12&amp;CHAR(10))&amp;IF(OR(I12="",I12="not_applicable"),"","Notes (optional): "&amp;I12&amp;CHAR(10)),"NOT FROZEN")</x:f>
        <x:v>Review domain: statistical_results
</x:v>
      </x:c>
    </x:row>
    <x:row r="13" ht="70" customHeight="1">
      <x:c r="A13" s="3" t="str">
        <x:f>IF(Setup!$B$6="primary","2018::jama.2018.0156::C006","NOT FROZEN")</x:f>
        <x:v>2018::jama.2018.0156::C006</x:v>
      </x:c>
      <x:c r="B13" s="3" t="str">
        <x:f>IF(Setup!$B$6="primary",IF(INDEX('C_jama.2018.0156'!$D$2:$D$9,MATCH("2018::jama.2018.0156::C006",'C_jama.2018.0156'!$A$2:$A$9,0))="","",INDEX('C_jama.2018.0156'!$D$2:$D$9,MATCH("2018::jama.2018.0156::C006",'C_jama.2018.0156'!$A$2:$A$9,0))),"NOT FROZEN")</x:f>
      </x:c>
      <x:c r="C13" s="3" t="str">
        <x:f>IF(Setup!$B$6="primary",IF(INDEX('C_jama.2018.0156'!$E$2:$E$9,MATCH("2018::jama.2018.0156::C006",'C_jama.2018.0156'!$A$2:$A$9,0))="","",INDEX('C_jama.2018.0156'!$E$2:$E$9,MATCH("2018::jama.2018.0156::C006",'C_jama.2018.0156'!$A$2:$A$9,0))),"NOT FROZEN")</x:f>
        <x:v>report_internal_inconsistency</x:v>
      </x:c>
      <x:c r="D13" s="3" t="str">
        <x:f>IF(Setup!$B$6="primary",IF(AND(INDEX('C_jama.2018.0156'!$D$2:$D$9,MATCH("2018::jama.2018.0156::C006",'C_jama.2018.0156'!$A$2:$A$9,0))="retain",INDEX('C_jama.2018.0156'!$E$2:$E$9,MATCH("2018::jama.2018.0156::C006",'C_jama.2018.0156'!$A$2:$A$9,0))="statistical_results"),IF(INDEX('C_jama.2018.0156'!$H$2:$H$9,MATCH("2018::jama.2018.0156::C006",'C_jama.2018.0156'!$A$2:$A$9,0))="","",INDEX('C_jama.2018.0156'!$H$2:$H$9,MATCH("2018::jama.2018.0156::C006",'C_jama.2018.0156'!$A$2:$A$9,0))),"not_applicable"),"NOT FROZEN")</x:f>
        <x:v>not_applicable</x:v>
      </x:c>
      <x:c r="E13" s="3" t="str">
        <x:f>IF(Setup!$B$6="primary",IF(AND(INDEX('C_jama.2018.0156'!$D$2:$D$9,MATCH("2018::jama.2018.0156::C006",'C_jama.2018.0156'!$A$2:$A$9,0))="retain",INDEX('C_jama.2018.0156'!$E$2:$E$9,MATCH("2018::jama.2018.0156::C006",'C_jama.2018.0156'!$A$2:$A$9,0))="statistical_results"),IF(INDEX('C_jama.2018.0156'!$I$2:$I$9,MATCH("2018::jama.2018.0156::C006",'C_jama.2018.0156'!$A$2:$A$9,0))="","",INDEX('C_jama.2018.0156'!$I$2:$I$9,MATCH("2018::jama.2018.0156::C006",'C_jama.2018.0156'!$A$2:$A$9,0))),"not_applicable"),"NOT FROZEN")</x:f>
        <x:v>not_applicable</x:v>
      </x:c>
      <x:c r="F13" s="3" t="str">
        <x:f>IF(Setup!$B$6="primary",IF(AND(INDEX('C_jama.2018.0156'!$D$2:$D$9,MATCH("2018::jama.2018.0156::C006",'C_jama.2018.0156'!$A$2:$A$9,0))="retain",INDEX('C_jama.2018.0156'!$E$2:$E$9,MATCH("2018::jama.2018.0156::C006",'C_jama.2018.0156'!$A$2:$A$9,0))="statistical_results"),IF(INDEX('C_jama.2018.0156'!$J$2:$J$9,MATCH("2018::jama.2018.0156::C006",'C_jama.2018.0156'!$A$2:$A$9,0))="","",INDEX('C_jama.2018.0156'!$J$2:$J$9,MATCH("2018::jama.2018.0156::C006",'C_jama.2018.0156'!$A$2:$A$9,0))),"not_applicable"),"NOT FROZEN")</x:f>
        <x:v>not_applicable</x:v>
      </x:c>
      <x:c r="G13" s="3" t="str">
        <x:f>IF(Setup!$B$6="primary",IF(AND(INDEX('C_jama.2018.0156'!$D$2:$D$9,MATCH("2018::jama.2018.0156::C006",'C_jama.2018.0156'!$A$2:$A$9,0))="retain",OR(INDEX('C_jama.2018.0156'!$E$2:$E$9,MATCH("2018::jama.2018.0156::C006",'C_jama.2018.0156'!$A$2:$A$9,0))="report_internal_inconsistency",INDEX('C_jama.2018.0156'!$E$2:$E$9,MATCH("2018::jama.2018.0156::C006",'C_jama.2018.0156'!$A$2:$A$9,0))="plan_material")),IF(INDEX('C_jama.2018.0156'!$K$2:$K$9,MATCH("2018::jama.2018.0156::C006",'C_jama.2018.0156'!$A$2:$A$9,0))="","",INDEX('C_jama.2018.0156'!$K$2:$K$9,MATCH("2018::jama.2018.0156::C006",'C_jama.2018.0156'!$A$2:$A$9,0))),"not_applicable"),"NOT FROZEN")</x:f>
        <x:v>not_applicable</x:v>
      </x:c>
      <x:c r="H13" s="3" t="str">
        <x:f>IF(Setup!$B$6="primary",IF(AND(INDEX('C_jama.2018.0156'!$D$2:$D$9,MATCH("2018::jama.2018.0156::C006",'C_jama.2018.0156'!$A$2:$A$9,0))="retain",INDEX('C_jama.2018.0156'!$E$2:$E$9,MATCH("2018::jama.2018.0156::C006",'C_jama.2018.0156'!$A$2:$A$9,0))="protocol_report"),IF(INDEX('C_jama.2018.0156'!$L$2:$L$9,MATCH("2018::jama.2018.0156::C006",'C_jama.2018.0156'!$A$2:$A$9,0))="","",INDEX('C_jama.2018.0156'!$L$2:$L$9,MATCH("2018::jama.2018.0156::C006",'C_jama.2018.0156'!$A$2:$A$9,0))),"not_applicable"),"NOT FROZEN")</x:f>
        <x:v>not_applicable</x:v>
      </x:c>
      <x:c r="I13" s="3" t="str">
        <x:f>IF(Setup!$B$6="primary",IF(INDEX('C_jama.2018.0156'!$R$2:$R$9,MATCH("2018::jama.2018.0156::C006",'C_jama.2018.0156'!$A$2:$A$9,0))="","",INDEX('C_jama.2018.0156'!$R$2:$R$9,MATCH("2018::jama.2018.0156::C006",'C_jama.2018.0156'!$A$2:$A$9,0))),"NOT FROZEN")</x:f>
      </x:c>
      <x:c r="J13" s="3" t="str">
        <x:f>IF(Setup!$B$6="primary",INDEX('C_jama.2018.0156'!$F$2:$F$9,MATCH("2018::jama.2018.0156::C006",'C_jama.2018.0156'!$A$2:$A$9,0)),"NOT FROZEN")</x:f>
        <x:v>no</x:v>
      </x:c>
      <x:c r="K13" s="3" t="str">
        <x:f>IF(Setup!$B$6="primary",Setup!$B$2,"NOT FROZEN")</x:f>
      </x:c>
      <x:c r="L13" s="3" t="str">
        <x:f>IF(Setup!$B$6="primary",IF(OR(B13="",B13="not_applicable"),"","Disposition: "&amp;B13&amp;CHAR(10))&amp;IF(OR(C13="",C13="not_applicable"),"","Review domain: "&amp;C13&amp;CHAR(10))&amp;IF(OR(D13="",D13="not_applicable"),"","Statistcal_or_numerical issue: "&amp;D13&amp;CHAR(10))&amp;IF(OR(E13="",E13="not_applicable"),"","Substantiveness: "&amp;E13&amp;CHAR(10))&amp;IF(OR(F13="",F13="not_applicable"),"","Downstream impact: "&amp;F13&amp;CHAR(10))&amp;IF(OR(G13="",G13="not_applicable"),"","Report-internal or planning-material inconsistency: "&amp;G13&amp;CHAR(10))&amp;IF(OR(H13="",H13="not_applicable"),"","Protocol interpretation: "&amp;H13&amp;CHAR(10))&amp;IF(OR(I13="",I13="not_applicable"),"","Notes (optional): "&amp;I13&amp;CHAR(10)),"NOT FROZEN")</x:f>
        <x:v>Review domain: report_internal_inconsistency
</x:v>
      </x:c>
    </x:row>
    <x:row r="14" ht="70" customHeight="1">
      <x:c r="A14" s="6" t="str">
        <x:f>IF(Setup!$B$6="primary","2018::jama.2018.0156::C007","NOT FROZEN")</x:f>
        <x:v>2018::jama.2018.0156::C007</x:v>
      </x:c>
      <x:c r="B14" s="6" t="str">
        <x:f>IF(Setup!$B$6="primary",IF(INDEX('C_jama.2018.0156'!$D$2:$D$9,MATCH("2018::jama.2018.0156::C007",'C_jama.2018.0156'!$A$2:$A$9,0))="","",INDEX('C_jama.2018.0156'!$D$2:$D$9,MATCH("2018::jama.2018.0156::C007",'C_jama.2018.0156'!$A$2:$A$9,0))),"NOT FROZEN")</x:f>
      </x:c>
      <x:c r="C14" s="6" t="str">
        <x:f>IF(Setup!$B$6="primary",IF(INDEX('C_jama.2018.0156'!$E$2:$E$9,MATCH("2018::jama.2018.0156::C007",'C_jama.2018.0156'!$A$2:$A$9,0))="","",INDEX('C_jama.2018.0156'!$E$2:$E$9,MATCH("2018::jama.2018.0156::C007",'C_jama.2018.0156'!$A$2:$A$9,0))),"NOT FROZEN")</x:f>
        <x:v>protocol_report</x:v>
      </x:c>
      <x:c r="D14" s="6" t="str">
        <x:f>IF(Setup!$B$6="primary",IF(AND(INDEX('C_jama.2018.0156'!$D$2:$D$9,MATCH("2018::jama.2018.0156::C007",'C_jama.2018.0156'!$A$2:$A$9,0))="retain",INDEX('C_jama.2018.0156'!$E$2:$E$9,MATCH("2018::jama.2018.0156::C007",'C_jama.2018.0156'!$A$2:$A$9,0))="statistical_results"),IF(INDEX('C_jama.2018.0156'!$H$2:$H$9,MATCH("2018::jama.2018.0156::C007",'C_jama.2018.0156'!$A$2:$A$9,0))="","",INDEX('C_jama.2018.0156'!$H$2:$H$9,MATCH("2018::jama.2018.0156::C007",'C_jama.2018.0156'!$A$2:$A$9,0))),"not_applicable"),"NOT FROZEN")</x:f>
        <x:v>not_applicable</x:v>
      </x:c>
      <x:c r="E14" s="6" t="str">
        <x:f>IF(Setup!$B$6="primary",IF(AND(INDEX('C_jama.2018.0156'!$D$2:$D$9,MATCH("2018::jama.2018.0156::C007",'C_jama.2018.0156'!$A$2:$A$9,0))="retain",INDEX('C_jama.2018.0156'!$E$2:$E$9,MATCH("2018::jama.2018.0156::C007",'C_jama.2018.0156'!$A$2:$A$9,0))="statistical_results"),IF(INDEX('C_jama.2018.0156'!$I$2:$I$9,MATCH("2018::jama.2018.0156::C007",'C_jama.2018.0156'!$A$2:$A$9,0))="","",INDEX('C_jama.2018.0156'!$I$2:$I$9,MATCH("2018::jama.2018.0156::C007",'C_jama.2018.0156'!$A$2:$A$9,0))),"not_applicable"),"NOT FROZEN")</x:f>
        <x:v>not_applicable</x:v>
      </x:c>
      <x:c r="F14" s="6" t="str">
        <x:f>IF(Setup!$B$6="primary",IF(AND(INDEX('C_jama.2018.0156'!$D$2:$D$9,MATCH("2018::jama.2018.0156::C007",'C_jama.2018.0156'!$A$2:$A$9,0))="retain",INDEX('C_jama.2018.0156'!$E$2:$E$9,MATCH("2018::jama.2018.0156::C007",'C_jama.2018.0156'!$A$2:$A$9,0))="statistical_results"),IF(INDEX('C_jama.2018.0156'!$J$2:$J$9,MATCH("2018::jama.2018.0156::C007",'C_jama.2018.0156'!$A$2:$A$9,0))="","",INDEX('C_jama.2018.0156'!$J$2:$J$9,MATCH("2018::jama.2018.0156::C007",'C_jama.2018.0156'!$A$2:$A$9,0))),"not_applicable"),"NOT FROZEN")</x:f>
        <x:v>not_applicable</x:v>
      </x:c>
      <x:c r="G14" s="6" t="str">
        <x:f>IF(Setup!$B$6="primary",IF(AND(INDEX('C_jama.2018.0156'!$D$2:$D$9,MATCH("2018::jama.2018.0156::C007",'C_jama.2018.0156'!$A$2:$A$9,0))="retain",OR(INDEX('C_jama.2018.0156'!$E$2:$E$9,MATCH("2018::jama.2018.0156::C007",'C_jama.2018.0156'!$A$2:$A$9,0))="report_internal_inconsistency",INDEX('C_jama.2018.0156'!$E$2:$E$9,MATCH("2018::jama.2018.0156::C007",'C_jama.2018.0156'!$A$2:$A$9,0))="plan_material")),IF(INDEX('C_jama.2018.0156'!$K$2:$K$9,MATCH("2018::jama.2018.0156::C007",'C_jama.2018.0156'!$A$2:$A$9,0))="","",INDEX('C_jama.2018.0156'!$K$2:$K$9,MATCH("2018::jama.2018.0156::C007",'C_jama.2018.0156'!$A$2:$A$9,0))),"not_applicable"),"NOT FROZEN")</x:f>
        <x:v>not_applicable</x:v>
      </x:c>
      <x:c r="H14" s="6" t="str">
        <x:f>IF(Setup!$B$6="primary",IF(AND(INDEX('C_jama.2018.0156'!$D$2:$D$9,MATCH("2018::jama.2018.0156::C007",'C_jama.2018.0156'!$A$2:$A$9,0))="retain",INDEX('C_jama.2018.0156'!$E$2:$E$9,MATCH("2018::jama.2018.0156::C007",'C_jama.2018.0156'!$A$2:$A$9,0))="protocol_report"),IF(INDEX('C_jama.2018.0156'!$L$2:$L$9,MATCH("2018::jama.2018.0156::C007",'C_jama.2018.0156'!$A$2:$A$9,0))="","",INDEX('C_jama.2018.0156'!$L$2:$L$9,MATCH("2018::jama.2018.0156::C007",'C_jama.2018.0156'!$A$2:$A$9,0))),"not_applicable"),"NOT FROZEN")</x:f>
        <x:v>not_applicable</x:v>
      </x:c>
      <x:c r="I14" s="6" t="str">
        <x:f>IF(Setup!$B$6="primary",IF(INDEX('C_jama.2018.0156'!$R$2:$R$9,MATCH("2018::jama.2018.0156::C007",'C_jama.2018.0156'!$A$2:$A$9,0))="","",INDEX('C_jama.2018.0156'!$R$2:$R$9,MATCH("2018::jama.2018.0156::C007",'C_jama.2018.0156'!$A$2:$A$9,0))),"NOT FROZEN")</x:f>
      </x:c>
      <x:c r="J14" s="6" t="str">
        <x:f>IF(Setup!$B$6="primary",INDEX('C_jama.2018.0156'!$F$2:$F$9,MATCH("2018::jama.2018.0156::C007",'C_jama.2018.0156'!$A$2:$A$9,0)),"NOT FROZEN")</x:f>
        <x:v>no</x:v>
      </x:c>
      <x:c r="K14" s="6" t="str">
        <x:f>IF(Setup!$B$6="primary",Setup!$B$2,"NOT FROZEN")</x:f>
      </x:c>
      <x:c r="L14" s="6" t="str">
        <x:f>IF(Setup!$B$6="primary",IF(OR(B14="",B14="not_applicable"),"","Disposition: "&amp;B14&amp;CHAR(10))&amp;IF(OR(C14="",C14="not_applicable"),"","Review domain: "&amp;C14&amp;CHAR(10))&amp;IF(OR(D14="",D14="not_applicable"),"","Statistcal_or_numerical issue: "&amp;D14&amp;CHAR(10))&amp;IF(OR(E14="",E14="not_applicable"),"","Substantiveness: "&amp;E14&amp;CHAR(10))&amp;IF(OR(F14="",F14="not_applicable"),"","Downstream impact: "&amp;F14&amp;CHAR(10))&amp;IF(OR(G14="",G14="not_applicable"),"","Report-internal or planning-material inconsistency: "&amp;G14&amp;CHAR(10))&amp;IF(OR(H14="",H14="not_applicable"),"","Protocol interpretation: "&amp;H14&amp;CHAR(10))&amp;IF(OR(I14="",I14="not_applicable"),"","Notes (optional): "&amp;I14&amp;CHAR(10)),"NOT FROZEN")</x:f>
        <x:v>Review domain: protocol_report
</x:v>
      </x:c>
    </x:row>
    <x:row r="15" ht="70" customHeight="1">
      <x:c r="A15" s="3" t="str">
        <x:f>IF(Setup!$B$6="primary","2018::jama.2018.0156::C008","NOT FROZEN")</x:f>
        <x:v>2018::jama.2018.0156::C008</x:v>
      </x:c>
      <x:c r="B15" s="3" t="str">
        <x:f>IF(Setup!$B$6="primary",IF(INDEX('C_jama.2018.0156'!$D$2:$D$9,MATCH("2018::jama.2018.0156::C008",'C_jama.2018.0156'!$A$2:$A$9,0))="","",INDEX('C_jama.2018.0156'!$D$2:$D$9,MATCH("2018::jama.2018.0156::C008",'C_jama.2018.0156'!$A$2:$A$9,0))),"NOT FROZEN")</x:f>
      </x:c>
      <x:c r="C15" s="3" t="str">
        <x:f>IF(Setup!$B$6="primary",IF(INDEX('C_jama.2018.0156'!$E$2:$E$9,MATCH("2018::jama.2018.0156::C008",'C_jama.2018.0156'!$A$2:$A$9,0))="","",INDEX('C_jama.2018.0156'!$E$2:$E$9,MATCH("2018::jama.2018.0156::C008",'C_jama.2018.0156'!$A$2:$A$9,0))),"NOT FROZEN")</x:f>
        <x:v>protocol_report</x:v>
      </x:c>
      <x:c r="D15" s="3" t="str">
        <x:f>IF(Setup!$B$6="primary",IF(AND(INDEX('C_jama.2018.0156'!$D$2:$D$9,MATCH("2018::jama.2018.0156::C008",'C_jama.2018.0156'!$A$2:$A$9,0))="retain",INDEX('C_jama.2018.0156'!$E$2:$E$9,MATCH("2018::jama.2018.0156::C008",'C_jama.2018.0156'!$A$2:$A$9,0))="statistical_results"),IF(INDEX('C_jama.2018.0156'!$H$2:$H$9,MATCH("2018::jama.2018.0156::C008",'C_jama.2018.0156'!$A$2:$A$9,0))="","",INDEX('C_jama.2018.0156'!$H$2:$H$9,MATCH("2018::jama.2018.0156::C008",'C_jama.2018.0156'!$A$2:$A$9,0))),"not_applicable"),"NOT FROZEN")</x:f>
        <x:v>not_applicable</x:v>
      </x:c>
      <x:c r="E15" s="3" t="str">
        <x:f>IF(Setup!$B$6="primary",IF(AND(INDEX('C_jama.2018.0156'!$D$2:$D$9,MATCH("2018::jama.2018.0156::C008",'C_jama.2018.0156'!$A$2:$A$9,0))="retain",INDEX('C_jama.2018.0156'!$E$2:$E$9,MATCH("2018::jama.2018.0156::C008",'C_jama.2018.0156'!$A$2:$A$9,0))="statistical_results"),IF(INDEX('C_jama.2018.0156'!$I$2:$I$9,MATCH("2018::jama.2018.0156::C008",'C_jama.2018.0156'!$A$2:$A$9,0))="","",INDEX('C_jama.2018.0156'!$I$2:$I$9,MATCH("2018::jama.2018.0156::C008",'C_jama.2018.0156'!$A$2:$A$9,0))),"not_applicable"),"NOT FROZEN")</x:f>
        <x:v>not_applicable</x:v>
      </x:c>
      <x:c r="F15" s="3" t="str">
        <x:f>IF(Setup!$B$6="primary",IF(AND(INDEX('C_jama.2018.0156'!$D$2:$D$9,MATCH("2018::jama.2018.0156::C008",'C_jama.2018.0156'!$A$2:$A$9,0))="retain",INDEX('C_jama.2018.0156'!$E$2:$E$9,MATCH("2018::jama.2018.0156::C008",'C_jama.2018.0156'!$A$2:$A$9,0))="statistical_results"),IF(INDEX('C_jama.2018.0156'!$J$2:$J$9,MATCH("2018::jama.2018.0156::C008",'C_jama.2018.0156'!$A$2:$A$9,0))="","",INDEX('C_jama.2018.0156'!$J$2:$J$9,MATCH("2018::jama.2018.0156::C008",'C_jama.2018.0156'!$A$2:$A$9,0))),"not_applicable"),"NOT FROZEN")</x:f>
        <x:v>not_applicable</x:v>
      </x:c>
      <x:c r="G15" s="3" t="str">
        <x:f>IF(Setup!$B$6="primary",IF(AND(INDEX('C_jama.2018.0156'!$D$2:$D$9,MATCH("2018::jama.2018.0156::C008",'C_jama.2018.0156'!$A$2:$A$9,0))="retain",OR(INDEX('C_jama.2018.0156'!$E$2:$E$9,MATCH("2018::jama.2018.0156::C008",'C_jama.2018.0156'!$A$2:$A$9,0))="report_internal_inconsistency",INDEX('C_jama.2018.0156'!$E$2:$E$9,MATCH("2018::jama.2018.0156::C008",'C_jama.2018.0156'!$A$2:$A$9,0))="plan_material")),IF(INDEX('C_jama.2018.0156'!$K$2:$K$9,MATCH("2018::jama.2018.0156::C008",'C_jama.2018.0156'!$A$2:$A$9,0))="","",INDEX('C_jama.2018.0156'!$K$2:$K$9,MATCH("2018::jama.2018.0156::C008",'C_jama.2018.0156'!$A$2:$A$9,0))),"not_applicable"),"NOT FROZEN")</x:f>
        <x:v>not_applicable</x:v>
      </x:c>
      <x:c r="H15" s="3" t="str">
        <x:f>IF(Setup!$B$6="primary",IF(AND(INDEX('C_jama.2018.0156'!$D$2:$D$9,MATCH("2018::jama.2018.0156::C008",'C_jama.2018.0156'!$A$2:$A$9,0))="retain",INDEX('C_jama.2018.0156'!$E$2:$E$9,MATCH("2018::jama.2018.0156::C008",'C_jama.2018.0156'!$A$2:$A$9,0))="protocol_report"),IF(INDEX('C_jama.2018.0156'!$L$2:$L$9,MATCH("2018::jama.2018.0156::C008",'C_jama.2018.0156'!$A$2:$A$9,0))="","",INDEX('C_jama.2018.0156'!$L$2:$L$9,MATCH("2018::jama.2018.0156::C008",'C_jama.2018.0156'!$A$2:$A$9,0))),"not_applicable"),"NOT FROZEN")</x:f>
        <x:v>not_applicable</x:v>
      </x:c>
      <x:c r="I15" s="3" t="str">
        <x:f>IF(Setup!$B$6="primary",IF(INDEX('C_jama.2018.0156'!$R$2:$R$9,MATCH("2018::jama.2018.0156::C008",'C_jama.2018.0156'!$A$2:$A$9,0))="","",INDEX('C_jama.2018.0156'!$R$2:$R$9,MATCH("2018::jama.2018.0156::C008",'C_jama.2018.0156'!$A$2:$A$9,0))),"NOT FROZEN")</x:f>
      </x:c>
      <x:c r="J15" s="3" t="str">
        <x:f>IF(Setup!$B$6="primary",INDEX('C_jama.2018.0156'!$F$2:$F$9,MATCH("2018::jama.2018.0156::C008",'C_jama.2018.0156'!$A$2:$A$9,0)),"NOT FROZEN")</x:f>
        <x:v>no</x:v>
      </x:c>
      <x:c r="K15" s="3" t="str">
        <x:f>IF(Setup!$B$6="primary",Setup!$B$2,"NOT FROZEN")</x:f>
      </x:c>
      <x:c r="L15" s="3" t="str">
        <x:f>IF(Setup!$B$6="primary",IF(OR(B15="",B15="not_applicable"),"","Disposition: "&amp;B15&amp;CHAR(10))&amp;IF(OR(C15="",C15="not_applicable"),"","Review domain: "&amp;C15&amp;CHAR(10))&amp;IF(OR(D15="",D15="not_applicable"),"","Statistcal_or_numerical issue: "&amp;D15&amp;CHAR(10))&amp;IF(OR(E15="",E15="not_applicable"),"","Substantiveness: "&amp;E15&amp;CHAR(10))&amp;IF(OR(F15="",F15="not_applicable"),"","Downstream impact: "&amp;F15&amp;CHAR(10))&amp;IF(OR(G15="",G15="not_applicable"),"","Report-internal or planning-material inconsistency: "&amp;G15&amp;CHAR(10))&amp;IF(OR(H15="",H15="not_applicable"),"","Protocol interpretation: "&amp;H15&amp;CHAR(10))&amp;IF(OR(I15="",I15="not_applicable"),"","Notes (optional): "&amp;I15&amp;CHAR(10)),"NOT FROZEN")</x:f>
        <x:v>Review domain: protocol_report
</x:v>
      </x:c>
    </x:row>
    <x:row r="16" ht="70" customHeight="1">
      <x:c r="A16" s="6" t="str">
        <x:f>IF(Setup!$B$6="primary","2018::jama.2018.0948::C001","NOT FROZEN")</x:f>
        <x:v>2018::jama.2018.0948::C001</x:v>
      </x:c>
      <x:c r="B16" s="6" t="str">
        <x:f>IF(Setup!$B$6="primary",IF(INDEX('C_jama.2018.0948'!$D$2:$D$8,MATCH("2018::jama.2018.0948::C001",'C_jama.2018.0948'!$A$2:$A$8,0))="","",INDEX('C_jama.2018.0948'!$D$2:$D$8,MATCH("2018::jama.2018.0948::C001",'C_jama.2018.0948'!$A$2:$A$8,0))),"NOT FROZEN")</x:f>
      </x:c>
      <x:c r="C16" s="6" t="str">
        <x:f>IF(Setup!$B$6="primary",IF(INDEX('C_jama.2018.0948'!$E$2:$E$8,MATCH("2018::jama.2018.0948::C001",'C_jama.2018.0948'!$A$2:$A$8,0))="","",INDEX('C_jama.2018.0948'!$E$2:$E$8,MATCH("2018::jama.2018.0948::C001",'C_jama.2018.0948'!$A$2:$A$8,0))),"NOT FROZEN")</x:f>
        <x:v>protocol_report</x:v>
      </x:c>
      <x:c r="D16" s="6" t="str">
        <x:f>IF(Setup!$B$6="primary",IF(AND(INDEX('C_jama.2018.0948'!$D$2:$D$8,MATCH("2018::jama.2018.0948::C001",'C_jama.2018.0948'!$A$2:$A$8,0))="retain",INDEX('C_jama.2018.0948'!$E$2:$E$8,MATCH("2018::jama.2018.0948::C001",'C_jama.2018.0948'!$A$2:$A$8,0))="statistical_results"),IF(INDEX('C_jama.2018.0948'!$H$2:$H$8,MATCH("2018::jama.2018.0948::C001",'C_jama.2018.0948'!$A$2:$A$8,0))="","",INDEX('C_jama.2018.0948'!$H$2:$H$8,MATCH("2018::jama.2018.0948::C001",'C_jama.2018.0948'!$A$2:$A$8,0))),"not_applicable"),"NOT FROZEN")</x:f>
        <x:v>not_applicable</x:v>
      </x:c>
      <x:c r="E16" s="6" t="str">
        <x:f>IF(Setup!$B$6="primary",IF(AND(INDEX('C_jama.2018.0948'!$D$2:$D$8,MATCH("2018::jama.2018.0948::C001",'C_jama.2018.0948'!$A$2:$A$8,0))="retain",INDEX('C_jama.2018.0948'!$E$2:$E$8,MATCH("2018::jama.2018.0948::C001",'C_jama.2018.0948'!$A$2:$A$8,0))="statistical_results"),IF(INDEX('C_jama.2018.0948'!$I$2:$I$8,MATCH("2018::jama.2018.0948::C001",'C_jama.2018.0948'!$A$2:$A$8,0))="","",INDEX('C_jama.2018.0948'!$I$2:$I$8,MATCH("2018::jama.2018.0948::C001",'C_jama.2018.0948'!$A$2:$A$8,0))),"not_applicable"),"NOT FROZEN")</x:f>
        <x:v>not_applicable</x:v>
      </x:c>
      <x:c r="F16" s="6" t="str">
        <x:f>IF(Setup!$B$6="primary",IF(AND(INDEX('C_jama.2018.0948'!$D$2:$D$8,MATCH("2018::jama.2018.0948::C001",'C_jama.2018.0948'!$A$2:$A$8,0))="retain",INDEX('C_jama.2018.0948'!$E$2:$E$8,MATCH("2018::jama.2018.0948::C001",'C_jama.2018.0948'!$A$2:$A$8,0))="statistical_results"),IF(INDEX('C_jama.2018.0948'!$J$2:$J$8,MATCH("2018::jama.2018.0948::C001",'C_jama.2018.0948'!$A$2:$A$8,0))="","",INDEX('C_jama.2018.0948'!$J$2:$J$8,MATCH("2018::jama.2018.0948::C001",'C_jama.2018.0948'!$A$2:$A$8,0))),"not_applicable"),"NOT FROZEN")</x:f>
        <x:v>not_applicable</x:v>
      </x:c>
      <x:c r="G16" s="6" t="str">
        <x:f>IF(Setup!$B$6="primary",IF(AND(INDEX('C_jama.2018.0948'!$D$2:$D$8,MATCH("2018::jama.2018.0948::C001",'C_jama.2018.0948'!$A$2:$A$8,0))="retain",OR(INDEX('C_jama.2018.0948'!$E$2:$E$8,MATCH("2018::jama.2018.0948::C001",'C_jama.2018.0948'!$A$2:$A$8,0))="report_internal_inconsistency",INDEX('C_jama.2018.0948'!$E$2:$E$8,MATCH("2018::jama.2018.0948::C001",'C_jama.2018.0948'!$A$2:$A$8,0))="plan_material")),IF(INDEX('C_jama.2018.0948'!$K$2:$K$8,MATCH("2018::jama.2018.0948::C001",'C_jama.2018.0948'!$A$2:$A$8,0))="","",INDEX('C_jama.2018.0948'!$K$2:$K$8,MATCH("2018::jama.2018.0948::C001",'C_jama.2018.0948'!$A$2:$A$8,0))),"not_applicable"),"NOT FROZEN")</x:f>
        <x:v>not_applicable</x:v>
      </x:c>
      <x:c r="H16" s="6" t="str">
        <x:f>IF(Setup!$B$6="primary",IF(AND(INDEX('C_jama.2018.0948'!$D$2:$D$8,MATCH("2018::jama.2018.0948::C001",'C_jama.2018.0948'!$A$2:$A$8,0))="retain",INDEX('C_jama.2018.0948'!$E$2:$E$8,MATCH("2018::jama.2018.0948::C001",'C_jama.2018.0948'!$A$2:$A$8,0))="protocol_report"),IF(INDEX('C_jama.2018.0948'!$L$2:$L$8,MATCH("2018::jama.2018.0948::C001",'C_jama.2018.0948'!$A$2:$A$8,0))="","",INDEX('C_jama.2018.0948'!$L$2:$L$8,MATCH("2018::jama.2018.0948::C001",'C_jama.2018.0948'!$A$2:$A$8,0))),"not_applicable"),"NOT FROZEN")</x:f>
        <x:v>not_applicable</x:v>
      </x:c>
      <x:c r="I16" s="6" t="str">
        <x:f>IF(Setup!$B$6="primary",IF(INDEX('C_jama.2018.0948'!$R$2:$R$8,MATCH("2018::jama.2018.0948::C001",'C_jama.2018.0948'!$A$2:$A$8,0))="","",INDEX('C_jama.2018.0948'!$R$2:$R$8,MATCH("2018::jama.2018.0948::C001",'C_jama.2018.0948'!$A$2:$A$8,0))),"NOT FROZEN")</x:f>
      </x:c>
      <x:c r="J16" s="6" t="str">
        <x:f>IF(Setup!$B$6="primary",INDEX('C_jama.2018.0948'!$F$2:$F$8,MATCH("2018::jama.2018.0948::C001",'C_jama.2018.0948'!$A$2:$A$8,0)),"NOT FROZEN")</x:f>
        <x:v>no</x:v>
      </x:c>
      <x:c r="K16" s="6" t="str">
        <x:f>IF(Setup!$B$6="primary",Setup!$B$2,"NOT FROZEN")</x:f>
      </x:c>
      <x:c r="L16" s="6" t="str">
        <x:f>IF(Setup!$B$6="primary",IF(OR(B16="",B16="not_applicable"),"","Disposition: "&amp;B16&amp;CHAR(10))&amp;IF(OR(C16="",C16="not_applicable"),"","Review domain: "&amp;C16&amp;CHAR(10))&amp;IF(OR(D16="",D16="not_applicable"),"","Statistcal_or_numerical issue: "&amp;D16&amp;CHAR(10))&amp;IF(OR(E16="",E16="not_applicable"),"","Substantiveness: "&amp;E16&amp;CHAR(10))&amp;IF(OR(F16="",F16="not_applicable"),"","Downstream impact: "&amp;F16&amp;CHAR(10))&amp;IF(OR(G16="",G16="not_applicable"),"","Report-internal or planning-material inconsistency: "&amp;G16&amp;CHAR(10))&amp;IF(OR(H16="",H16="not_applicable"),"","Protocol interpretation: "&amp;H16&amp;CHAR(10))&amp;IF(OR(I16="",I16="not_applicable"),"","Notes (optional): "&amp;I16&amp;CHAR(10)),"NOT FROZEN")</x:f>
        <x:v>Review domain: protocol_report
</x:v>
      </x:c>
    </x:row>
    <x:row r="17" ht="70" customHeight="1">
      <x:c r="A17" s="3" t="str">
        <x:f>IF(Setup!$B$6="primary","2018::jama.2018.0948::C002","NOT FROZEN")</x:f>
        <x:v>2018::jama.2018.0948::C002</x:v>
      </x:c>
      <x:c r="B17" s="3" t="str">
        <x:f>IF(Setup!$B$6="primary",IF(INDEX('C_jama.2018.0948'!$D$2:$D$8,MATCH("2018::jama.2018.0948::C002",'C_jama.2018.0948'!$A$2:$A$8,0))="","",INDEX('C_jama.2018.0948'!$D$2:$D$8,MATCH("2018::jama.2018.0948::C002",'C_jama.2018.0948'!$A$2:$A$8,0))),"NOT FROZEN")</x:f>
      </x:c>
      <x:c r="C17" s="3" t="str">
        <x:f>IF(Setup!$B$6="primary",IF(INDEX('C_jama.2018.0948'!$E$2:$E$8,MATCH("2018::jama.2018.0948::C002",'C_jama.2018.0948'!$A$2:$A$8,0))="","",INDEX('C_jama.2018.0948'!$E$2:$E$8,MATCH("2018::jama.2018.0948::C002",'C_jama.2018.0948'!$A$2:$A$8,0))),"NOT FROZEN")</x:f>
        <x:v>plan_material</x:v>
      </x:c>
      <x:c r="D17" s="3" t="str">
        <x:f>IF(Setup!$B$6="primary",IF(AND(INDEX('C_jama.2018.0948'!$D$2:$D$8,MATCH("2018::jama.2018.0948::C002",'C_jama.2018.0948'!$A$2:$A$8,0))="retain",INDEX('C_jama.2018.0948'!$E$2:$E$8,MATCH("2018::jama.2018.0948::C002",'C_jama.2018.0948'!$A$2:$A$8,0))="statistical_results"),IF(INDEX('C_jama.2018.0948'!$H$2:$H$8,MATCH("2018::jama.2018.0948::C002",'C_jama.2018.0948'!$A$2:$A$8,0))="","",INDEX('C_jama.2018.0948'!$H$2:$H$8,MATCH("2018::jama.2018.0948::C002",'C_jama.2018.0948'!$A$2:$A$8,0))),"not_applicable"),"NOT FROZEN")</x:f>
        <x:v>not_applicable</x:v>
      </x:c>
      <x:c r="E17" s="3" t="str">
        <x:f>IF(Setup!$B$6="primary",IF(AND(INDEX('C_jama.2018.0948'!$D$2:$D$8,MATCH("2018::jama.2018.0948::C002",'C_jama.2018.0948'!$A$2:$A$8,0))="retain",INDEX('C_jama.2018.0948'!$E$2:$E$8,MATCH("2018::jama.2018.0948::C002",'C_jama.2018.0948'!$A$2:$A$8,0))="statistical_results"),IF(INDEX('C_jama.2018.0948'!$I$2:$I$8,MATCH("2018::jama.2018.0948::C002",'C_jama.2018.0948'!$A$2:$A$8,0))="","",INDEX('C_jama.2018.0948'!$I$2:$I$8,MATCH("2018::jama.2018.0948::C002",'C_jama.2018.0948'!$A$2:$A$8,0))),"not_applicable"),"NOT FROZEN")</x:f>
        <x:v>not_applicable</x:v>
      </x:c>
      <x:c r="F17" s="3" t="str">
        <x:f>IF(Setup!$B$6="primary",IF(AND(INDEX('C_jama.2018.0948'!$D$2:$D$8,MATCH("2018::jama.2018.0948::C002",'C_jama.2018.0948'!$A$2:$A$8,0))="retain",INDEX('C_jama.2018.0948'!$E$2:$E$8,MATCH("2018::jama.2018.0948::C002",'C_jama.2018.0948'!$A$2:$A$8,0))="statistical_results"),IF(INDEX('C_jama.2018.0948'!$J$2:$J$8,MATCH("2018::jama.2018.0948::C002",'C_jama.2018.0948'!$A$2:$A$8,0))="","",INDEX('C_jama.2018.0948'!$J$2:$J$8,MATCH("2018::jama.2018.0948::C002",'C_jama.2018.0948'!$A$2:$A$8,0))),"not_applicable"),"NOT FROZEN")</x:f>
        <x:v>not_applicable</x:v>
      </x:c>
      <x:c r="G17" s="3" t="str">
        <x:f>IF(Setup!$B$6="primary",IF(AND(INDEX('C_jama.2018.0948'!$D$2:$D$8,MATCH("2018::jama.2018.0948::C002",'C_jama.2018.0948'!$A$2:$A$8,0))="retain",OR(INDEX('C_jama.2018.0948'!$E$2:$E$8,MATCH("2018::jama.2018.0948::C002",'C_jama.2018.0948'!$A$2:$A$8,0))="report_internal_inconsistency",INDEX('C_jama.2018.0948'!$E$2:$E$8,MATCH("2018::jama.2018.0948::C002",'C_jama.2018.0948'!$A$2:$A$8,0))="plan_material")),IF(INDEX('C_jama.2018.0948'!$K$2:$K$8,MATCH("2018::jama.2018.0948::C002",'C_jama.2018.0948'!$A$2:$A$8,0))="","",INDEX('C_jama.2018.0948'!$K$2:$K$8,MATCH("2018::jama.2018.0948::C002",'C_jama.2018.0948'!$A$2:$A$8,0))),"not_applicable"),"NOT FROZEN")</x:f>
        <x:v>not_applicable</x:v>
      </x:c>
      <x:c r="H17" s="3" t="str">
        <x:f>IF(Setup!$B$6="primary",IF(AND(INDEX('C_jama.2018.0948'!$D$2:$D$8,MATCH("2018::jama.2018.0948::C002",'C_jama.2018.0948'!$A$2:$A$8,0))="retain",INDEX('C_jama.2018.0948'!$E$2:$E$8,MATCH("2018::jama.2018.0948::C002",'C_jama.2018.0948'!$A$2:$A$8,0))="protocol_report"),IF(INDEX('C_jama.2018.0948'!$L$2:$L$8,MATCH("2018::jama.2018.0948::C002",'C_jama.2018.0948'!$A$2:$A$8,0))="","",INDEX('C_jama.2018.0948'!$L$2:$L$8,MATCH("2018::jama.2018.0948::C002",'C_jama.2018.0948'!$A$2:$A$8,0))),"not_applicable"),"NOT FROZEN")</x:f>
        <x:v>not_applicable</x:v>
      </x:c>
      <x:c r="I17" s="3" t="str">
        <x:f>IF(Setup!$B$6="primary",IF(INDEX('C_jama.2018.0948'!$R$2:$R$8,MATCH("2018::jama.2018.0948::C002",'C_jama.2018.0948'!$A$2:$A$8,0))="","",INDEX('C_jama.2018.0948'!$R$2:$R$8,MATCH("2018::jama.2018.0948::C002",'C_jama.2018.0948'!$A$2:$A$8,0))),"NOT FROZEN")</x:f>
      </x:c>
      <x:c r="J17" s="3" t="str">
        <x:f>IF(Setup!$B$6="primary",INDEX('C_jama.2018.0948'!$F$2:$F$8,MATCH("2018::jama.2018.0948::C002",'C_jama.2018.0948'!$A$2:$A$8,0)),"NOT FROZEN")</x:f>
        <x:v>no</x:v>
      </x:c>
      <x:c r="K17" s="3" t="str">
        <x:f>IF(Setup!$B$6="primary",Setup!$B$2,"NOT FROZEN")</x:f>
      </x:c>
      <x:c r="L17" s="3" t="str">
        <x:f>IF(Setup!$B$6="primary",IF(OR(B17="",B17="not_applicable"),"","Disposition: "&amp;B17&amp;CHAR(10))&amp;IF(OR(C17="",C17="not_applicable"),"","Review domain: "&amp;C17&amp;CHAR(10))&amp;IF(OR(D17="",D17="not_applicable"),"","Statistcal_or_numerical issue: "&amp;D17&amp;CHAR(10))&amp;IF(OR(E17="",E17="not_applicable"),"","Substantiveness: "&amp;E17&amp;CHAR(10))&amp;IF(OR(F17="",F17="not_applicable"),"","Downstream impact: "&amp;F17&amp;CHAR(10))&amp;IF(OR(G17="",G17="not_applicable"),"","Report-internal or planning-material inconsistency: "&amp;G17&amp;CHAR(10))&amp;IF(OR(H17="",H17="not_applicable"),"","Protocol interpretation: "&amp;H17&amp;CHAR(10))&amp;IF(OR(I17="",I17="not_applicable"),"","Notes (optional): "&amp;I17&amp;CHAR(10)),"NOT FROZEN")</x:f>
        <x:v>Review domain: plan_material
</x:v>
      </x:c>
    </x:row>
    <x:row r="18" ht="70" customHeight="1">
      <x:c r="A18" s="6" t="str">
        <x:f>IF(Setup!$B$6="primary","2018::jama.2018.0948::C003","NOT FROZEN")</x:f>
        <x:v>2018::jama.2018.0948::C003</x:v>
      </x:c>
      <x:c r="B18" s="6" t="str">
        <x:f>IF(Setup!$B$6="primary",IF(INDEX('C_jama.2018.0948'!$D$2:$D$8,MATCH("2018::jama.2018.0948::C003",'C_jama.2018.0948'!$A$2:$A$8,0))="","",INDEX('C_jama.2018.0948'!$D$2:$D$8,MATCH("2018::jama.2018.0948::C003",'C_jama.2018.0948'!$A$2:$A$8,0))),"NOT FROZEN")</x:f>
      </x:c>
      <x:c r="C18" s="6" t="str">
        <x:f>IF(Setup!$B$6="primary",IF(INDEX('C_jama.2018.0948'!$E$2:$E$8,MATCH("2018::jama.2018.0948::C003",'C_jama.2018.0948'!$A$2:$A$8,0))="","",INDEX('C_jama.2018.0948'!$E$2:$E$8,MATCH("2018::jama.2018.0948::C003",'C_jama.2018.0948'!$A$2:$A$8,0))),"NOT FROZEN")</x:f>
        <x:v>plan_material</x:v>
      </x:c>
      <x:c r="D18" s="6" t="str">
        <x:f>IF(Setup!$B$6="primary",IF(AND(INDEX('C_jama.2018.0948'!$D$2:$D$8,MATCH("2018::jama.2018.0948::C003",'C_jama.2018.0948'!$A$2:$A$8,0))="retain",INDEX('C_jama.2018.0948'!$E$2:$E$8,MATCH("2018::jama.2018.0948::C003",'C_jama.2018.0948'!$A$2:$A$8,0))="statistical_results"),IF(INDEX('C_jama.2018.0948'!$H$2:$H$8,MATCH("2018::jama.2018.0948::C003",'C_jama.2018.0948'!$A$2:$A$8,0))="","",INDEX('C_jama.2018.0948'!$H$2:$H$8,MATCH("2018::jama.2018.0948::C003",'C_jama.2018.0948'!$A$2:$A$8,0))),"not_applicable"),"NOT FROZEN")</x:f>
        <x:v>not_applicable</x:v>
      </x:c>
      <x:c r="E18" s="6" t="str">
        <x:f>IF(Setup!$B$6="primary",IF(AND(INDEX('C_jama.2018.0948'!$D$2:$D$8,MATCH("2018::jama.2018.0948::C003",'C_jama.2018.0948'!$A$2:$A$8,0))="retain",INDEX('C_jama.2018.0948'!$E$2:$E$8,MATCH("2018::jama.2018.0948::C003",'C_jama.2018.0948'!$A$2:$A$8,0))="statistical_results"),IF(INDEX('C_jama.2018.0948'!$I$2:$I$8,MATCH("2018::jama.2018.0948::C003",'C_jama.2018.0948'!$A$2:$A$8,0))="","",INDEX('C_jama.2018.0948'!$I$2:$I$8,MATCH("2018::jama.2018.0948::C003",'C_jama.2018.0948'!$A$2:$A$8,0))),"not_applicable"),"NOT FROZEN")</x:f>
        <x:v>not_applicable</x:v>
      </x:c>
      <x:c r="F18" s="6" t="str">
        <x:f>IF(Setup!$B$6="primary",IF(AND(INDEX('C_jama.2018.0948'!$D$2:$D$8,MATCH("2018::jama.2018.0948::C003",'C_jama.2018.0948'!$A$2:$A$8,0))="retain",INDEX('C_jama.2018.0948'!$E$2:$E$8,MATCH("2018::jama.2018.0948::C003",'C_jama.2018.0948'!$A$2:$A$8,0))="statistical_results"),IF(INDEX('C_jama.2018.0948'!$J$2:$J$8,MATCH("2018::jama.2018.0948::C003",'C_jama.2018.0948'!$A$2:$A$8,0))="","",INDEX('C_jama.2018.0948'!$J$2:$J$8,MATCH("2018::jama.2018.0948::C003",'C_jama.2018.0948'!$A$2:$A$8,0))),"not_applicable"),"NOT FROZEN")</x:f>
        <x:v>not_applicable</x:v>
      </x:c>
      <x:c r="G18" s="6" t="str">
        <x:f>IF(Setup!$B$6="primary",IF(AND(INDEX('C_jama.2018.0948'!$D$2:$D$8,MATCH("2018::jama.2018.0948::C003",'C_jama.2018.0948'!$A$2:$A$8,0))="retain",OR(INDEX('C_jama.2018.0948'!$E$2:$E$8,MATCH("2018::jama.2018.0948::C003",'C_jama.2018.0948'!$A$2:$A$8,0))="report_internal_inconsistency",INDEX('C_jama.2018.0948'!$E$2:$E$8,MATCH("2018::jama.2018.0948::C003",'C_jama.2018.0948'!$A$2:$A$8,0))="plan_material")),IF(INDEX('C_jama.2018.0948'!$K$2:$K$8,MATCH("2018::jama.2018.0948::C003",'C_jama.2018.0948'!$A$2:$A$8,0))="","",INDEX('C_jama.2018.0948'!$K$2:$K$8,MATCH("2018::jama.2018.0948::C003",'C_jama.2018.0948'!$A$2:$A$8,0))),"not_applicable"),"NOT FROZEN")</x:f>
        <x:v>not_applicable</x:v>
      </x:c>
      <x:c r="H18" s="6" t="str">
        <x:f>IF(Setup!$B$6="primary",IF(AND(INDEX('C_jama.2018.0948'!$D$2:$D$8,MATCH("2018::jama.2018.0948::C003",'C_jama.2018.0948'!$A$2:$A$8,0))="retain",INDEX('C_jama.2018.0948'!$E$2:$E$8,MATCH("2018::jama.2018.0948::C003",'C_jama.2018.0948'!$A$2:$A$8,0))="protocol_report"),IF(INDEX('C_jama.2018.0948'!$L$2:$L$8,MATCH("2018::jama.2018.0948::C003",'C_jama.2018.0948'!$A$2:$A$8,0))="","",INDEX('C_jama.2018.0948'!$L$2:$L$8,MATCH("2018::jama.2018.0948::C003",'C_jama.2018.0948'!$A$2:$A$8,0))),"not_applicable"),"NOT FROZEN")</x:f>
        <x:v>not_applicable</x:v>
      </x:c>
      <x:c r="I18" s="6" t="str">
        <x:f>IF(Setup!$B$6="primary",IF(INDEX('C_jama.2018.0948'!$R$2:$R$8,MATCH("2018::jama.2018.0948::C003",'C_jama.2018.0948'!$A$2:$A$8,0))="","",INDEX('C_jama.2018.0948'!$R$2:$R$8,MATCH("2018::jama.2018.0948::C003",'C_jama.2018.0948'!$A$2:$A$8,0))),"NOT FROZEN")</x:f>
      </x:c>
      <x:c r="J18" s="6" t="str">
        <x:f>IF(Setup!$B$6="primary",INDEX('C_jama.2018.0948'!$F$2:$F$8,MATCH("2018::jama.2018.0948::C003",'C_jama.2018.0948'!$A$2:$A$8,0)),"NOT FROZEN")</x:f>
        <x:v>no</x:v>
      </x:c>
      <x:c r="K18" s="6" t="str">
        <x:f>IF(Setup!$B$6="primary",Setup!$B$2,"NOT FROZEN")</x:f>
      </x:c>
      <x:c r="L18" s="6" t="str">
        <x:f>IF(Setup!$B$6="primary",IF(OR(B18="",B18="not_applicable"),"","Disposition: "&amp;B18&amp;CHAR(10))&amp;IF(OR(C18="",C18="not_applicable"),"","Review domain: "&amp;C18&amp;CHAR(10))&amp;IF(OR(D18="",D18="not_applicable"),"","Statistcal_or_numerical issue: "&amp;D18&amp;CHAR(10))&amp;IF(OR(E18="",E18="not_applicable"),"","Substantiveness: "&amp;E18&amp;CHAR(10))&amp;IF(OR(F18="",F18="not_applicable"),"","Downstream impact: "&amp;F18&amp;CHAR(10))&amp;IF(OR(G18="",G18="not_applicable"),"","Report-internal or planning-material inconsistency: "&amp;G18&amp;CHAR(10))&amp;IF(OR(H18="",H18="not_applicable"),"","Protocol interpretation: "&amp;H18&amp;CHAR(10))&amp;IF(OR(I18="",I18="not_applicable"),"","Notes (optional): "&amp;I18&amp;CHAR(10)),"NOT FROZEN")</x:f>
        <x:v>Review domain: plan_material
</x:v>
      </x:c>
    </x:row>
    <x:row r="19" ht="70" customHeight="1">
      <x:c r="A19" s="3" t="str">
        <x:f>IF(Setup!$B$6="primary","2018::jama.2018.0948::C004","NOT FROZEN")</x:f>
        <x:v>2018::jama.2018.0948::C004</x:v>
      </x:c>
      <x:c r="B19" s="3" t="str">
        <x:f>IF(Setup!$B$6="primary",IF(INDEX('C_jama.2018.0948'!$D$2:$D$8,MATCH("2018::jama.2018.0948::C004",'C_jama.2018.0948'!$A$2:$A$8,0))="","",INDEX('C_jama.2018.0948'!$D$2:$D$8,MATCH("2018::jama.2018.0948::C004",'C_jama.2018.0948'!$A$2:$A$8,0))),"NOT FROZEN")</x:f>
      </x:c>
      <x:c r="C19" s="3" t="str">
        <x:f>IF(Setup!$B$6="primary",IF(INDEX('C_jama.2018.0948'!$E$2:$E$8,MATCH("2018::jama.2018.0948::C004",'C_jama.2018.0948'!$A$2:$A$8,0))="","",INDEX('C_jama.2018.0948'!$E$2:$E$8,MATCH("2018::jama.2018.0948::C004",'C_jama.2018.0948'!$A$2:$A$8,0))),"NOT FROZEN")</x:f>
        <x:v>plan_material</x:v>
      </x:c>
      <x:c r="D19" s="3" t="str">
        <x:f>IF(Setup!$B$6="primary",IF(AND(INDEX('C_jama.2018.0948'!$D$2:$D$8,MATCH("2018::jama.2018.0948::C004",'C_jama.2018.0948'!$A$2:$A$8,0))="retain",INDEX('C_jama.2018.0948'!$E$2:$E$8,MATCH("2018::jama.2018.0948::C004",'C_jama.2018.0948'!$A$2:$A$8,0))="statistical_results"),IF(INDEX('C_jama.2018.0948'!$H$2:$H$8,MATCH("2018::jama.2018.0948::C004",'C_jama.2018.0948'!$A$2:$A$8,0))="","",INDEX('C_jama.2018.0948'!$H$2:$H$8,MATCH("2018::jama.2018.0948::C004",'C_jama.2018.0948'!$A$2:$A$8,0))),"not_applicable"),"NOT FROZEN")</x:f>
        <x:v>not_applicable</x:v>
      </x:c>
      <x:c r="E19" s="3" t="str">
        <x:f>IF(Setup!$B$6="primary",IF(AND(INDEX('C_jama.2018.0948'!$D$2:$D$8,MATCH("2018::jama.2018.0948::C004",'C_jama.2018.0948'!$A$2:$A$8,0))="retain",INDEX('C_jama.2018.0948'!$E$2:$E$8,MATCH("2018::jama.2018.0948::C004",'C_jama.2018.0948'!$A$2:$A$8,0))="statistical_results"),IF(INDEX('C_jama.2018.0948'!$I$2:$I$8,MATCH("2018::jama.2018.0948::C004",'C_jama.2018.0948'!$A$2:$A$8,0))="","",INDEX('C_jama.2018.0948'!$I$2:$I$8,MATCH("2018::jama.2018.0948::C004",'C_jama.2018.0948'!$A$2:$A$8,0))),"not_applicable"),"NOT FROZEN")</x:f>
        <x:v>not_applicable</x:v>
      </x:c>
      <x:c r="F19" s="3" t="str">
        <x:f>IF(Setup!$B$6="primary",IF(AND(INDEX('C_jama.2018.0948'!$D$2:$D$8,MATCH("2018::jama.2018.0948::C004",'C_jama.2018.0948'!$A$2:$A$8,0))="retain",INDEX('C_jama.2018.0948'!$E$2:$E$8,MATCH("2018::jama.2018.0948::C004",'C_jama.2018.0948'!$A$2:$A$8,0))="statistical_results"),IF(INDEX('C_jama.2018.0948'!$J$2:$J$8,MATCH("2018::jama.2018.0948::C004",'C_jama.2018.0948'!$A$2:$A$8,0))="","",INDEX('C_jama.2018.0948'!$J$2:$J$8,MATCH("2018::jama.2018.0948::C004",'C_jama.2018.0948'!$A$2:$A$8,0))),"not_applicable"),"NOT FROZEN")</x:f>
        <x:v>not_applicable</x:v>
      </x:c>
      <x:c r="G19" s="3" t="str">
        <x:f>IF(Setup!$B$6="primary",IF(AND(INDEX('C_jama.2018.0948'!$D$2:$D$8,MATCH("2018::jama.2018.0948::C004",'C_jama.2018.0948'!$A$2:$A$8,0))="retain",OR(INDEX('C_jama.2018.0948'!$E$2:$E$8,MATCH("2018::jama.2018.0948::C004",'C_jama.2018.0948'!$A$2:$A$8,0))="report_internal_inconsistency",INDEX('C_jama.2018.0948'!$E$2:$E$8,MATCH("2018::jama.2018.0948::C004",'C_jama.2018.0948'!$A$2:$A$8,0))="plan_material")),IF(INDEX('C_jama.2018.0948'!$K$2:$K$8,MATCH("2018::jama.2018.0948::C004",'C_jama.2018.0948'!$A$2:$A$8,0))="","",INDEX('C_jama.2018.0948'!$K$2:$K$8,MATCH("2018::jama.2018.0948::C004",'C_jama.2018.0948'!$A$2:$A$8,0))),"not_applicable"),"NOT FROZEN")</x:f>
        <x:v>not_applicable</x:v>
      </x:c>
      <x:c r="H19" s="3" t="str">
        <x:f>IF(Setup!$B$6="primary",IF(AND(INDEX('C_jama.2018.0948'!$D$2:$D$8,MATCH("2018::jama.2018.0948::C004",'C_jama.2018.0948'!$A$2:$A$8,0))="retain",INDEX('C_jama.2018.0948'!$E$2:$E$8,MATCH("2018::jama.2018.0948::C004",'C_jama.2018.0948'!$A$2:$A$8,0))="protocol_report"),IF(INDEX('C_jama.2018.0948'!$L$2:$L$8,MATCH("2018::jama.2018.0948::C004",'C_jama.2018.0948'!$A$2:$A$8,0))="","",INDEX('C_jama.2018.0948'!$L$2:$L$8,MATCH("2018::jama.2018.0948::C004",'C_jama.2018.0948'!$A$2:$A$8,0))),"not_applicable"),"NOT FROZEN")</x:f>
        <x:v>not_applicable</x:v>
      </x:c>
      <x:c r="I19" s="3" t="str">
        <x:f>IF(Setup!$B$6="primary",IF(INDEX('C_jama.2018.0948'!$R$2:$R$8,MATCH("2018::jama.2018.0948::C004",'C_jama.2018.0948'!$A$2:$A$8,0))="","",INDEX('C_jama.2018.0948'!$R$2:$R$8,MATCH("2018::jama.2018.0948::C004",'C_jama.2018.0948'!$A$2:$A$8,0))),"NOT FROZEN")</x:f>
      </x:c>
      <x:c r="J19" s="3" t="str">
        <x:f>IF(Setup!$B$6="primary",INDEX('C_jama.2018.0948'!$F$2:$F$8,MATCH("2018::jama.2018.0948::C004",'C_jama.2018.0948'!$A$2:$A$8,0)),"NOT FROZEN")</x:f>
        <x:v>no</x:v>
      </x:c>
      <x:c r="K19" s="3" t="str">
        <x:f>IF(Setup!$B$6="primary",Setup!$B$2,"NOT FROZEN")</x:f>
      </x:c>
      <x:c r="L19" s="3" t="str">
        <x:f>IF(Setup!$B$6="primary",IF(OR(B19="",B19="not_applicable"),"","Disposition: "&amp;B19&amp;CHAR(10))&amp;IF(OR(C19="",C19="not_applicable"),"","Review domain: "&amp;C19&amp;CHAR(10))&amp;IF(OR(D19="",D19="not_applicable"),"","Statistcal_or_numerical issue: "&amp;D19&amp;CHAR(10))&amp;IF(OR(E19="",E19="not_applicable"),"","Substantiveness: "&amp;E19&amp;CHAR(10))&amp;IF(OR(F19="",F19="not_applicable"),"","Downstream impact: "&amp;F19&amp;CHAR(10))&amp;IF(OR(G19="",G19="not_applicable"),"","Report-internal or planning-material inconsistency: "&amp;G19&amp;CHAR(10))&amp;IF(OR(H19="",H19="not_applicable"),"","Protocol interpretation: "&amp;H19&amp;CHAR(10))&amp;IF(OR(I19="",I19="not_applicable"),"","Notes (optional): "&amp;I19&amp;CHAR(10)),"NOT FROZEN")</x:f>
        <x:v>Review domain: plan_material
</x:v>
      </x:c>
    </x:row>
    <x:row r="20" ht="70" customHeight="1">
      <x:c r="A20" s="6" t="str">
        <x:f>IF(Setup!$B$6="primary","2018::jama.2018.0948::C005","NOT FROZEN")</x:f>
        <x:v>2018::jama.2018.0948::C005</x:v>
      </x:c>
      <x:c r="B20" s="6" t="str">
        <x:f>IF(Setup!$B$6="primary",IF(INDEX('C_jama.2018.0948'!$D$2:$D$8,MATCH("2018::jama.2018.0948::C005",'C_jama.2018.0948'!$A$2:$A$8,0))="","",INDEX('C_jama.2018.0948'!$D$2:$D$8,MATCH("2018::jama.2018.0948::C005",'C_jama.2018.0948'!$A$2:$A$8,0))),"NOT FROZEN")</x:f>
      </x:c>
      <x:c r="C20" s="6" t="str">
        <x:f>IF(Setup!$B$6="primary",IF(INDEX('C_jama.2018.0948'!$E$2:$E$8,MATCH("2018::jama.2018.0948::C005",'C_jama.2018.0948'!$A$2:$A$8,0))="","",INDEX('C_jama.2018.0948'!$E$2:$E$8,MATCH("2018::jama.2018.0948::C005",'C_jama.2018.0948'!$A$2:$A$8,0))),"NOT FROZEN")</x:f>
        <x:v>plan_material</x:v>
      </x:c>
      <x:c r="D20" s="6" t="str">
        <x:f>IF(Setup!$B$6="primary",IF(AND(INDEX('C_jama.2018.0948'!$D$2:$D$8,MATCH("2018::jama.2018.0948::C005",'C_jama.2018.0948'!$A$2:$A$8,0))="retain",INDEX('C_jama.2018.0948'!$E$2:$E$8,MATCH("2018::jama.2018.0948::C005",'C_jama.2018.0948'!$A$2:$A$8,0))="statistical_results"),IF(INDEX('C_jama.2018.0948'!$H$2:$H$8,MATCH("2018::jama.2018.0948::C005",'C_jama.2018.0948'!$A$2:$A$8,0))="","",INDEX('C_jama.2018.0948'!$H$2:$H$8,MATCH("2018::jama.2018.0948::C005",'C_jama.2018.0948'!$A$2:$A$8,0))),"not_applicable"),"NOT FROZEN")</x:f>
        <x:v>not_applicable</x:v>
      </x:c>
      <x:c r="E20" s="6" t="str">
        <x:f>IF(Setup!$B$6="primary",IF(AND(INDEX('C_jama.2018.0948'!$D$2:$D$8,MATCH("2018::jama.2018.0948::C005",'C_jama.2018.0948'!$A$2:$A$8,0))="retain",INDEX('C_jama.2018.0948'!$E$2:$E$8,MATCH("2018::jama.2018.0948::C005",'C_jama.2018.0948'!$A$2:$A$8,0))="statistical_results"),IF(INDEX('C_jama.2018.0948'!$I$2:$I$8,MATCH("2018::jama.2018.0948::C005",'C_jama.2018.0948'!$A$2:$A$8,0))="","",INDEX('C_jama.2018.0948'!$I$2:$I$8,MATCH("2018::jama.2018.0948::C005",'C_jama.2018.0948'!$A$2:$A$8,0))),"not_applicable"),"NOT FROZEN")</x:f>
        <x:v>not_applicable</x:v>
      </x:c>
      <x:c r="F20" s="6" t="str">
        <x:f>IF(Setup!$B$6="primary",IF(AND(INDEX('C_jama.2018.0948'!$D$2:$D$8,MATCH("2018::jama.2018.0948::C005",'C_jama.2018.0948'!$A$2:$A$8,0))="retain",INDEX('C_jama.2018.0948'!$E$2:$E$8,MATCH("2018::jama.2018.0948::C005",'C_jama.2018.0948'!$A$2:$A$8,0))="statistical_results"),IF(INDEX('C_jama.2018.0948'!$J$2:$J$8,MATCH("2018::jama.2018.0948::C005",'C_jama.2018.0948'!$A$2:$A$8,0))="","",INDEX('C_jama.2018.0948'!$J$2:$J$8,MATCH("2018::jama.2018.0948::C005",'C_jama.2018.0948'!$A$2:$A$8,0))),"not_applicable"),"NOT FROZEN")</x:f>
        <x:v>not_applicable</x:v>
      </x:c>
      <x:c r="G20" s="6" t="str">
        <x:f>IF(Setup!$B$6="primary",IF(AND(INDEX('C_jama.2018.0948'!$D$2:$D$8,MATCH("2018::jama.2018.0948::C005",'C_jama.2018.0948'!$A$2:$A$8,0))="retain",OR(INDEX('C_jama.2018.0948'!$E$2:$E$8,MATCH("2018::jama.2018.0948::C005",'C_jama.2018.0948'!$A$2:$A$8,0))="report_internal_inconsistency",INDEX('C_jama.2018.0948'!$E$2:$E$8,MATCH("2018::jama.2018.0948::C005",'C_jama.2018.0948'!$A$2:$A$8,0))="plan_material")),IF(INDEX('C_jama.2018.0948'!$K$2:$K$8,MATCH("2018::jama.2018.0948::C005",'C_jama.2018.0948'!$A$2:$A$8,0))="","",INDEX('C_jama.2018.0948'!$K$2:$K$8,MATCH("2018::jama.2018.0948::C005",'C_jama.2018.0948'!$A$2:$A$8,0))),"not_applicable"),"NOT FROZEN")</x:f>
        <x:v>not_applicable</x:v>
      </x:c>
      <x:c r="H20" s="6" t="str">
        <x:f>IF(Setup!$B$6="primary",IF(AND(INDEX('C_jama.2018.0948'!$D$2:$D$8,MATCH("2018::jama.2018.0948::C005",'C_jama.2018.0948'!$A$2:$A$8,0))="retain",INDEX('C_jama.2018.0948'!$E$2:$E$8,MATCH("2018::jama.2018.0948::C005",'C_jama.2018.0948'!$A$2:$A$8,0))="protocol_report"),IF(INDEX('C_jama.2018.0948'!$L$2:$L$8,MATCH("2018::jama.2018.0948::C005",'C_jama.2018.0948'!$A$2:$A$8,0))="","",INDEX('C_jama.2018.0948'!$L$2:$L$8,MATCH("2018::jama.2018.0948::C005",'C_jama.2018.0948'!$A$2:$A$8,0))),"not_applicable"),"NOT FROZEN")</x:f>
        <x:v>not_applicable</x:v>
      </x:c>
      <x:c r="I20" s="6" t="str">
        <x:f>IF(Setup!$B$6="primary",IF(INDEX('C_jama.2018.0948'!$R$2:$R$8,MATCH("2018::jama.2018.0948::C005",'C_jama.2018.0948'!$A$2:$A$8,0))="","",INDEX('C_jama.2018.0948'!$R$2:$R$8,MATCH("2018::jama.2018.0948::C005",'C_jama.2018.0948'!$A$2:$A$8,0))),"NOT FROZEN")</x:f>
      </x:c>
      <x:c r="J20" s="6" t="str">
        <x:f>IF(Setup!$B$6="primary",INDEX('C_jama.2018.0948'!$F$2:$F$8,MATCH("2018::jama.2018.0948::C005",'C_jama.2018.0948'!$A$2:$A$8,0)),"NOT FROZEN")</x:f>
        <x:v>no</x:v>
      </x:c>
      <x:c r="K20" s="6" t="str">
        <x:f>IF(Setup!$B$6="primary",Setup!$B$2,"NOT FROZEN")</x:f>
      </x:c>
      <x:c r="L20" s="6" t="str">
        <x:f>IF(Setup!$B$6="primary",IF(OR(B20="",B20="not_applicable"),"","Disposition: "&amp;B20&amp;CHAR(10))&amp;IF(OR(C20="",C20="not_applicable"),"","Review domain: "&amp;C20&amp;CHAR(10))&amp;IF(OR(D20="",D20="not_applicable"),"","Statistcal_or_numerical issue: "&amp;D20&amp;CHAR(10))&amp;IF(OR(E20="",E20="not_applicable"),"","Substantiveness: "&amp;E20&amp;CHAR(10))&amp;IF(OR(F20="",F20="not_applicable"),"","Downstream impact: "&amp;F20&amp;CHAR(10))&amp;IF(OR(G20="",G20="not_applicable"),"","Report-internal or planning-material inconsistency: "&amp;G20&amp;CHAR(10))&amp;IF(OR(H20="",H20="not_applicable"),"","Protocol interpretation: "&amp;H20&amp;CHAR(10))&amp;IF(OR(I20="",I20="not_applicable"),"","Notes (optional): "&amp;I20&amp;CHAR(10)),"NOT FROZEN")</x:f>
        <x:v>Review domain: plan_material
</x:v>
      </x:c>
    </x:row>
    <x:row r="21" ht="70" customHeight="1">
      <x:c r="A21" s="3" t="str">
        <x:f>IF(Setup!$B$6="primary","2018::jama.2018.0948::C006","NOT FROZEN")</x:f>
        <x:v>2018::jama.2018.0948::C006</x:v>
      </x:c>
      <x:c r="B21" s="3" t="str">
        <x:f>IF(Setup!$B$6="primary",IF(INDEX('C_jama.2018.0948'!$D$2:$D$8,MATCH("2018::jama.2018.0948::C006",'C_jama.2018.0948'!$A$2:$A$8,0))="","",INDEX('C_jama.2018.0948'!$D$2:$D$8,MATCH("2018::jama.2018.0948::C006",'C_jama.2018.0948'!$A$2:$A$8,0))),"NOT FROZEN")</x:f>
      </x:c>
      <x:c r="C21" s="3" t="str">
        <x:f>IF(Setup!$B$6="primary",IF(INDEX('C_jama.2018.0948'!$E$2:$E$8,MATCH("2018::jama.2018.0948::C006",'C_jama.2018.0948'!$A$2:$A$8,0))="","",INDEX('C_jama.2018.0948'!$E$2:$E$8,MATCH("2018::jama.2018.0948::C006",'C_jama.2018.0948'!$A$2:$A$8,0))),"NOT FROZEN")</x:f>
        <x:v>plan_material</x:v>
      </x:c>
      <x:c r="D21" s="3" t="str">
        <x:f>IF(Setup!$B$6="primary",IF(AND(INDEX('C_jama.2018.0948'!$D$2:$D$8,MATCH("2018::jama.2018.0948::C006",'C_jama.2018.0948'!$A$2:$A$8,0))="retain",INDEX('C_jama.2018.0948'!$E$2:$E$8,MATCH("2018::jama.2018.0948::C006",'C_jama.2018.0948'!$A$2:$A$8,0))="statistical_results"),IF(INDEX('C_jama.2018.0948'!$H$2:$H$8,MATCH("2018::jama.2018.0948::C006",'C_jama.2018.0948'!$A$2:$A$8,0))="","",INDEX('C_jama.2018.0948'!$H$2:$H$8,MATCH("2018::jama.2018.0948::C006",'C_jama.2018.0948'!$A$2:$A$8,0))),"not_applicable"),"NOT FROZEN")</x:f>
        <x:v>not_applicable</x:v>
      </x:c>
      <x:c r="E21" s="3" t="str">
        <x:f>IF(Setup!$B$6="primary",IF(AND(INDEX('C_jama.2018.0948'!$D$2:$D$8,MATCH("2018::jama.2018.0948::C006",'C_jama.2018.0948'!$A$2:$A$8,0))="retain",INDEX('C_jama.2018.0948'!$E$2:$E$8,MATCH("2018::jama.2018.0948::C006",'C_jama.2018.0948'!$A$2:$A$8,0))="statistical_results"),IF(INDEX('C_jama.2018.0948'!$I$2:$I$8,MATCH("2018::jama.2018.0948::C006",'C_jama.2018.0948'!$A$2:$A$8,0))="","",INDEX('C_jama.2018.0948'!$I$2:$I$8,MATCH("2018::jama.2018.0948::C006",'C_jama.2018.0948'!$A$2:$A$8,0))),"not_applicable"),"NOT FROZEN")</x:f>
        <x:v>not_applicable</x:v>
      </x:c>
      <x:c r="F21" s="3" t="str">
        <x:f>IF(Setup!$B$6="primary",IF(AND(INDEX('C_jama.2018.0948'!$D$2:$D$8,MATCH("2018::jama.2018.0948::C006",'C_jama.2018.0948'!$A$2:$A$8,0))="retain",INDEX('C_jama.2018.0948'!$E$2:$E$8,MATCH("2018::jama.2018.0948::C006",'C_jama.2018.0948'!$A$2:$A$8,0))="statistical_results"),IF(INDEX('C_jama.2018.0948'!$J$2:$J$8,MATCH("2018::jama.2018.0948::C006",'C_jama.2018.0948'!$A$2:$A$8,0))="","",INDEX('C_jama.2018.0948'!$J$2:$J$8,MATCH("2018::jama.2018.0948::C006",'C_jama.2018.0948'!$A$2:$A$8,0))),"not_applicable"),"NOT FROZEN")</x:f>
        <x:v>not_applicable</x:v>
      </x:c>
      <x:c r="G21" s="3" t="str">
        <x:f>IF(Setup!$B$6="primary",IF(AND(INDEX('C_jama.2018.0948'!$D$2:$D$8,MATCH("2018::jama.2018.0948::C006",'C_jama.2018.0948'!$A$2:$A$8,0))="retain",OR(INDEX('C_jama.2018.0948'!$E$2:$E$8,MATCH("2018::jama.2018.0948::C006",'C_jama.2018.0948'!$A$2:$A$8,0))="report_internal_inconsistency",INDEX('C_jama.2018.0948'!$E$2:$E$8,MATCH("2018::jama.2018.0948::C006",'C_jama.2018.0948'!$A$2:$A$8,0))="plan_material")),IF(INDEX('C_jama.2018.0948'!$K$2:$K$8,MATCH("2018::jama.2018.0948::C006",'C_jama.2018.0948'!$A$2:$A$8,0))="","",INDEX('C_jama.2018.0948'!$K$2:$K$8,MATCH("2018::jama.2018.0948::C006",'C_jama.2018.0948'!$A$2:$A$8,0))),"not_applicable"),"NOT FROZEN")</x:f>
        <x:v>not_applicable</x:v>
      </x:c>
      <x:c r="H21" s="3" t="str">
        <x:f>IF(Setup!$B$6="primary",IF(AND(INDEX('C_jama.2018.0948'!$D$2:$D$8,MATCH("2018::jama.2018.0948::C006",'C_jama.2018.0948'!$A$2:$A$8,0))="retain",INDEX('C_jama.2018.0948'!$E$2:$E$8,MATCH("2018::jama.2018.0948::C006",'C_jama.2018.0948'!$A$2:$A$8,0))="protocol_report"),IF(INDEX('C_jama.2018.0948'!$L$2:$L$8,MATCH("2018::jama.2018.0948::C006",'C_jama.2018.0948'!$A$2:$A$8,0))="","",INDEX('C_jama.2018.0948'!$L$2:$L$8,MATCH("2018::jama.2018.0948::C006",'C_jama.2018.0948'!$A$2:$A$8,0))),"not_applicable"),"NOT FROZEN")</x:f>
        <x:v>not_applicable</x:v>
      </x:c>
      <x:c r="I21" s="3" t="str">
        <x:f>IF(Setup!$B$6="primary",IF(INDEX('C_jama.2018.0948'!$R$2:$R$8,MATCH("2018::jama.2018.0948::C006",'C_jama.2018.0948'!$A$2:$A$8,0))="","",INDEX('C_jama.2018.0948'!$R$2:$R$8,MATCH("2018::jama.2018.0948::C006",'C_jama.2018.0948'!$A$2:$A$8,0))),"NOT FROZEN")</x:f>
      </x:c>
      <x:c r="J21" s="3" t="str">
        <x:f>IF(Setup!$B$6="primary",INDEX('C_jama.2018.0948'!$F$2:$F$8,MATCH("2018::jama.2018.0948::C006",'C_jama.2018.0948'!$A$2:$A$8,0)),"NOT FROZEN")</x:f>
        <x:v>no</x:v>
      </x:c>
      <x:c r="K21" s="3" t="str">
        <x:f>IF(Setup!$B$6="primary",Setup!$B$2,"NOT FROZEN")</x:f>
      </x:c>
      <x:c r="L21" s="3" t="str">
        <x:f>IF(Setup!$B$6="primary",IF(OR(B21="",B21="not_applicable"),"","Disposition: "&amp;B21&amp;CHAR(10))&amp;IF(OR(C21="",C21="not_applicable"),"","Review domain: "&amp;C21&amp;CHAR(10))&amp;IF(OR(D21="",D21="not_applicable"),"","Statistcal_or_numerical issue: "&amp;D21&amp;CHAR(10))&amp;IF(OR(E21="",E21="not_applicable"),"","Substantiveness: "&amp;E21&amp;CHAR(10))&amp;IF(OR(F21="",F21="not_applicable"),"","Downstream impact: "&amp;F21&amp;CHAR(10))&amp;IF(OR(G21="",G21="not_applicable"),"","Report-internal or planning-material inconsistency: "&amp;G21&amp;CHAR(10))&amp;IF(OR(H21="",H21="not_applicable"),"","Protocol interpretation: "&amp;H21&amp;CHAR(10))&amp;IF(OR(I21="",I21="not_applicable"),"","Notes (optional): "&amp;I21&amp;CHAR(10)),"NOT FROZEN")</x:f>
        <x:v>Review domain: plan_material
</x:v>
      </x:c>
    </x:row>
    <x:row r="22" ht="70" customHeight="1">
      <x:c r="A22" s="6" t="str">
        <x:f>IF(Setup!$B$6="primary","2018::jama.2018.0948::C007","NOT FROZEN")</x:f>
        <x:v>2018::jama.2018.0948::C007</x:v>
      </x:c>
      <x:c r="B22" s="6" t="str">
        <x:f>IF(Setup!$B$6="primary",IF(INDEX('C_jama.2018.0948'!$D$2:$D$8,MATCH("2018::jama.2018.0948::C007",'C_jama.2018.0948'!$A$2:$A$8,0))="","",INDEX('C_jama.2018.0948'!$D$2:$D$8,MATCH("2018::jama.2018.0948::C007",'C_jama.2018.0948'!$A$2:$A$8,0))),"NOT FROZEN")</x:f>
      </x:c>
      <x:c r="C22" s="6" t="str">
        <x:f>IF(Setup!$B$6="primary",IF(INDEX('C_jama.2018.0948'!$E$2:$E$8,MATCH("2018::jama.2018.0948::C007",'C_jama.2018.0948'!$A$2:$A$8,0))="","",INDEX('C_jama.2018.0948'!$E$2:$E$8,MATCH("2018::jama.2018.0948::C007",'C_jama.2018.0948'!$A$2:$A$8,0))),"NOT FROZEN")</x:f>
        <x:v>plan_material</x:v>
      </x:c>
      <x:c r="D22" s="6" t="str">
        <x:f>IF(Setup!$B$6="primary",IF(AND(INDEX('C_jama.2018.0948'!$D$2:$D$8,MATCH("2018::jama.2018.0948::C007",'C_jama.2018.0948'!$A$2:$A$8,0))="retain",INDEX('C_jama.2018.0948'!$E$2:$E$8,MATCH("2018::jama.2018.0948::C007",'C_jama.2018.0948'!$A$2:$A$8,0))="statistical_results"),IF(INDEX('C_jama.2018.0948'!$H$2:$H$8,MATCH("2018::jama.2018.0948::C007",'C_jama.2018.0948'!$A$2:$A$8,0))="","",INDEX('C_jama.2018.0948'!$H$2:$H$8,MATCH("2018::jama.2018.0948::C007",'C_jama.2018.0948'!$A$2:$A$8,0))),"not_applicable"),"NOT FROZEN")</x:f>
        <x:v>not_applicable</x:v>
      </x:c>
      <x:c r="E22" s="6" t="str">
        <x:f>IF(Setup!$B$6="primary",IF(AND(INDEX('C_jama.2018.0948'!$D$2:$D$8,MATCH("2018::jama.2018.0948::C007",'C_jama.2018.0948'!$A$2:$A$8,0))="retain",INDEX('C_jama.2018.0948'!$E$2:$E$8,MATCH("2018::jama.2018.0948::C007",'C_jama.2018.0948'!$A$2:$A$8,0))="statistical_results"),IF(INDEX('C_jama.2018.0948'!$I$2:$I$8,MATCH("2018::jama.2018.0948::C007",'C_jama.2018.0948'!$A$2:$A$8,0))="","",INDEX('C_jama.2018.0948'!$I$2:$I$8,MATCH("2018::jama.2018.0948::C007",'C_jama.2018.0948'!$A$2:$A$8,0))),"not_applicable"),"NOT FROZEN")</x:f>
        <x:v>not_applicable</x:v>
      </x:c>
      <x:c r="F22" s="6" t="str">
        <x:f>IF(Setup!$B$6="primary",IF(AND(INDEX('C_jama.2018.0948'!$D$2:$D$8,MATCH("2018::jama.2018.0948::C007",'C_jama.2018.0948'!$A$2:$A$8,0))="retain",INDEX('C_jama.2018.0948'!$E$2:$E$8,MATCH("2018::jama.2018.0948::C007",'C_jama.2018.0948'!$A$2:$A$8,0))="statistical_results"),IF(INDEX('C_jama.2018.0948'!$J$2:$J$8,MATCH("2018::jama.2018.0948::C007",'C_jama.2018.0948'!$A$2:$A$8,0))="","",INDEX('C_jama.2018.0948'!$J$2:$J$8,MATCH("2018::jama.2018.0948::C007",'C_jama.2018.0948'!$A$2:$A$8,0))),"not_applicable"),"NOT FROZEN")</x:f>
        <x:v>not_applicable</x:v>
      </x:c>
      <x:c r="G22" s="6" t="str">
        <x:f>IF(Setup!$B$6="primary",IF(AND(INDEX('C_jama.2018.0948'!$D$2:$D$8,MATCH("2018::jama.2018.0948::C007",'C_jama.2018.0948'!$A$2:$A$8,0))="retain",OR(INDEX('C_jama.2018.0948'!$E$2:$E$8,MATCH("2018::jama.2018.0948::C007",'C_jama.2018.0948'!$A$2:$A$8,0))="report_internal_inconsistency",INDEX('C_jama.2018.0948'!$E$2:$E$8,MATCH("2018::jama.2018.0948::C007",'C_jama.2018.0948'!$A$2:$A$8,0))="plan_material")),IF(INDEX('C_jama.2018.0948'!$K$2:$K$8,MATCH("2018::jama.2018.0948::C007",'C_jama.2018.0948'!$A$2:$A$8,0))="","",INDEX('C_jama.2018.0948'!$K$2:$K$8,MATCH("2018::jama.2018.0948::C007",'C_jama.2018.0948'!$A$2:$A$8,0))),"not_applicable"),"NOT FROZEN")</x:f>
        <x:v>not_applicable</x:v>
      </x:c>
      <x:c r="H22" s="6" t="str">
        <x:f>IF(Setup!$B$6="primary",IF(AND(INDEX('C_jama.2018.0948'!$D$2:$D$8,MATCH("2018::jama.2018.0948::C007",'C_jama.2018.0948'!$A$2:$A$8,0))="retain",INDEX('C_jama.2018.0948'!$E$2:$E$8,MATCH("2018::jama.2018.0948::C007",'C_jama.2018.0948'!$A$2:$A$8,0))="protocol_report"),IF(INDEX('C_jama.2018.0948'!$L$2:$L$8,MATCH("2018::jama.2018.0948::C007",'C_jama.2018.0948'!$A$2:$A$8,0))="","",INDEX('C_jama.2018.0948'!$L$2:$L$8,MATCH("2018::jama.2018.0948::C007",'C_jama.2018.0948'!$A$2:$A$8,0))),"not_applicable"),"NOT FROZEN")</x:f>
        <x:v>not_applicable</x:v>
      </x:c>
      <x:c r="I22" s="6" t="str">
        <x:f>IF(Setup!$B$6="primary",IF(INDEX('C_jama.2018.0948'!$R$2:$R$8,MATCH("2018::jama.2018.0948::C007",'C_jama.2018.0948'!$A$2:$A$8,0))="","",INDEX('C_jama.2018.0948'!$R$2:$R$8,MATCH("2018::jama.2018.0948::C007",'C_jama.2018.0948'!$A$2:$A$8,0))),"NOT FROZEN")</x:f>
      </x:c>
      <x:c r="J22" s="6" t="str">
        <x:f>IF(Setup!$B$6="primary",INDEX('C_jama.2018.0948'!$F$2:$F$8,MATCH("2018::jama.2018.0948::C007",'C_jama.2018.0948'!$A$2:$A$8,0)),"NOT FROZEN")</x:f>
        <x:v>no</x:v>
      </x:c>
      <x:c r="K22" s="6" t="str">
        <x:f>IF(Setup!$B$6="primary",Setup!$B$2,"NOT FROZEN")</x:f>
      </x:c>
      <x:c r="L22" s="6" t="str">
        <x:f>IF(Setup!$B$6="primary",IF(OR(B22="",B22="not_applicable"),"","Disposition: "&amp;B22&amp;CHAR(10))&amp;IF(OR(C22="",C22="not_applicable"),"","Review domain: "&amp;C22&amp;CHAR(10))&amp;IF(OR(D22="",D22="not_applicable"),"","Statistcal_or_numerical issue: "&amp;D22&amp;CHAR(10))&amp;IF(OR(E22="",E22="not_applicable"),"","Substantiveness: "&amp;E22&amp;CHAR(10))&amp;IF(OR(F22="",F22="not_applicable"),"","Downstream impact: "&amp;F22&amp;CHAR(10))&amp;IF(OR(G22="",G22="not_applicable"),"","Report-internal or planning-material inconsistency: "&amp;G22&amp;CHAR(10))&amp;IF(OR(H22="",H22="not_applicable"),"","Protocol interpretation: "&amp;H22&amp;CHAR(10))&amp;IF(OR(I22="",I22="not_applicable"),"","Notes (optional): "&amp;I22&amp;CHAR(10)),"NOT FROZEN")</x:f>
        <x:v>Review domain: plan_material
</x:v>
      </x:c>
    </x:row>
    <x:row r="23" ht="70" customHeight="1">
      <x:c r="A23" s="3" t="str">
        <x:f>IF(Setup!$B$6="primary","2018::jama.2018.14280::C001","NOT FROZEN")</x:f>
        <x:v>2018::jama.2018.14280::C001</x:v>
      </x:c>
      <x:c r="B23" s="3" t="str">
        <x:f>IF(Setup!$B$6="primary",IF(INDEX('C_jama.2018.14280'!$D$2:$D$24,MATCH("2018::jama.2018.14280::C001",'C_jama.2018.14280'!$A$2:$A$24,0))="","",INDEX('C_jama.2018.14280'!$D$2:$D$24,MATCH("2018::jama.2018.14280::C001",'C_jama.2018.14280'!$A$2:$A$24,0))),"NOT FROZEN")</x:f>
      </x:c>
      <x:c r="C23" s="3" t="str">
        <x:f>IF(Setup!$B$6="primary",IF(INDEX('C_jama.2018.14280'!$E$2:$E$24,MATCH("2018::jama.2018.14280::C001",'C_jama.2018.14280'!$A$2:$A$24,0))="","",INDEX('C_jama.2018.14280'!$E$2:$E$24,MATCH("2018::jama.2018.14280::C001",'C_jama.2018.14280'!$A$2:$A$24,0))),"NOT FROZEN")</x:f>
        <x:v>statistical_results</x:v>
      </x:c>
      <x:c r="D23" s="3" t="str">
        <x:f>IF(Setup!$B$6="primary",IF(AND(INDEX('C_jama.2018.14280'!$D$2:$D$24,MATCH("2018::jama.2018.14280::C001",'C_jama.2018.14280'!$A$2:$A$24,0))="retain",INDEX('C_jama.2018.14280'!$E$2:$E$24,MATCH("2018::jama.2018.14280::C001",'C_jama.2018.14280'!$A$2:$A$24,0))="statistical_results"),IF(INDEX('C_jama.2018.14280'!$H$2:$H$24,MATCH("2018::jama.2018.14280::C001",'C_jama.2018.14280'!$A$2:$A$24,0))="","",INDEX('C_jama.2018.14280'!$H$2:$H$24,MATCH("2018::jama.2018.14280::C001",'C_jama.2018.14280'!$A$2:$A$24,0))),"not_applicable"),"NOT FROZEN")</x:f>
        <x:v>not_applicable</x:v>
      </x:c>
      <x:c r="E23" s="3" t="str">
        <x:f>IF(Setup!$B$6="primary",IF(AND(INDEX('C_jama.2018.14280'!$D$2:$D$24,MATCH("2018::jama.2018.14280::C001",'C_jama.2018.14280'!$A$2:$A$24,0))="retain",INDEX('C_jama.2018.14280'!$E$2:$E$24,MATCH("2018::jama.2018.14280::C001",'C_jama.2018.14280'!$A$2:$A$24,0))="statistical_results"),IF(INDEX('C_jama.2018.14280'!$I$2:$I$24,MATCH("2018::jama.2018.14280::C001",'C_jama.2018.14280'!$A$2:$A$24,0))="","",INDEX('C_jama.2018.14280'!$I$2:$I$24,MATCH("2018::jama.2018.14280::C001",'C_jama.2018.14280'!$A$2:$A$24,0))),"not_applicable"),"NOT FROZEN")</x:f>
        <x:v>not_applicable</x:v>
      </x:c>
      <x:c r="F23" s="3" t="str">
        <x:f>IF(Setup!$B$6="primary",IF(AND(INDEX('C_jama.2018.14280'!$D$2:$D$24,MATCH("2018::jama.2018.14280::C001",'C_jama.2018.14280'!$A$2:$A$24,0))="retain",INDEX('C_jama.2018.14280'!$E$2:$E$24,MATCH("2018::jama.2018.14280::C001",'C_jama.2018.14280'!$A$2:$A$24,0))="statistical_results"),IF(INDEX('C_jama.2018.14280'!$J$2:$J$24,MATCH("2018::jama.2018.14280::C001",'C_jama.2018.14280'!$A$2:$A$24,0))="","",INDEX('C_jama.2018.14280'!$J$2:$J$24,MATCH("2018::jama.2018.14280::C001",'C_jama.2018.14280'!$A$2:$A$24,0))),"not_applicable"),"NOT FROZEN")</x:f>
        <x:v>not_applicable</x:v>
      </x:c>
      <x:c r="G23" s="3" t="str">
        <x:f>IF(Setup!$B$6="primary",IF(AND(INDEX('C_jama.2018.14280'!$D$2:$D$24,MATCH("2018::jama.2018.14280::C001",'C_jama.2018.14280'!$A$2:$A$24,0))="retain",OR(INDEX('C_jama.2018.14280'!$E$2:$E$24,MATCH("2018::jama.2018.14280::C001",'C_jama.2018.14280'!$A$2:$A$24,0))="report_internal_inconsistency",INDEX('C_jama.2018.14280'!$E$2:$E$24,MATCH("2018::jama.2018.14280::C001",'C_jama.2018.14280'!$A$2:$A$24,0))="plan_material")),IF(INDEX('C_jama.2018.14280'!$K$2:$K$24,MATCH("2018::jama.2018.14280::C001",'C_jama.2018.14280'!$A$2:$A$24,0))="","",INDEX('C_jama.2018.14280'!$K$2:$K$24,MATCH("2018::jama.2018.14280::C001",'C_jama.2018.14280'!$A$2:$A$24,0))),"not_applicable"),"NOT FROZEN")</x:f>
        <x:v>not_applicable</x:v>
      </x:c>
      <x:c r="H23" s="3" t="str">
        <x:f>IF(Setup!$B$6="primary",IF(AND(INDEX('C_jama.2018.14280'!$D$2:$D$24,MATCH("2018::jama.2018.14280::C001",'C_jama.2018.14280'!$A$2:$A$24,0))="retain",INDEX('C_jama.2018.14280'!$E$2:$E$24,MATCH("2018::jama.2018.14280::C001",'C_jama.2018.14280'!$A$2:$A$24,0))="protocol_report"),IF(INDEX('C_jama.2018.14280'!$L$2:$L$24,MATCH("2018::jama.2018.14280::C001",'C_jama.2018.14280'!$A$2:$A$24,0))="","",INDEX('C_jama.2018.14280'!$L$2:$L$24,MATCH("2018::jama.2018.14280::C001",'C_jama.2018.14280'!$A$2:$A$24,0))),"not_applicable"),"NOT FROZEN")</x:f>
        <x:v>not_applicable</x:v>
      </x:c>
      <x:c r="I23" s="3" t="str">
        <x:f>IF(Setup!$B$6="primary",IF(INDEX('C_jama.2018.14280'!$R$2:$R$24,MATCH("2018::jama.2018.14280::C001",'C_jama.2018.14280'!$A$2:$A$24,0))="","",INDEX('C_jama.2018.14280'!$R$2:$R$24,MATCH("2018::jama.2018.14280::C001",'C_jama.2018.14280'!$A$2:$A$24,0))),"NOT FROZEN")</x:f>
      </x:c>
      <x:c r="J23" s="3" t="str">
        <x:f>IF(Setup!$B$6="primary",INDEX('C_jama.2018.14280'!$F$2:$F$24,MATCH("2018::jama.2018.14280::C001",'C_jama.2018.14280'!$A$2:$A$24,0)),"NOT FROZEN")</x:f>
        <x:v>no</x:v>
      </x:c>
      <x:c r="K23" s="3" t="str">
        <x:f>IF(Setup!$B$6="primary",Setup!$B$2,"NOT FROZEN")</x:f>
      </x:c>
      <x:c r="L23" s="3" t="str">
        <x:f>IF(Setup!$B$6="primary",IF(OR(B23="",B23="not_applicable"),"","Disposition: "&amp;B23&amp;CHAR(10))&amp;IF(OR(C23="",C23="not_applicable"),"","Review domain: "&amp;C23&amp;CHAR(10))&amp;IF(OR(D23="",D23="not_applicable"),"","Statistcal_or_numerical issue: "&amp;D23&amp;CHAR(10))&amp;IF(OR(E23="",E23="not_applicable"),"","Substantiveness: "&amp;E23&amp;CHAR(10))&amp;IF(OR(F23="",F23="not_applicable"),"","Downstream impact: "&amp;F23&amp;CHAR(10))&amp;IF(OR(G23="",G23="not_applicable"),"","Report-internal or planning-material inconsistency: "&amp;G23&amp;CHAR(10))&amp;IF(OR(H23="",H23="not_applicable"),"","Protocol interpretation: "&amp;H23&amp;CHAR(10))&amp;IF(OR(I23="",I23="not_applicable"),"","Notes (optional): "&amp;I23&amp;CHAR(10)),"NOT FROZEN")</x:f>
        <x:v>Review domain: statistical_results
</x:v>
      </x:c>
    </x:row>
    <x:row r="24" ht="70" customHeight="1">
      <x:c r="A24" s="6" t="str">
        <x:f>IF(Setup!$B$6="primary","2018::jama.2018.14280::C002","NOT FROZEN")</x:f>
        <x:v>2018::jama.2018.14280::C002</x:v>
      </x:c>
      <x:c r="B24" s="6" t="str">
        <x:f>IF(Setup!$B$6="primary",IF(INDEX('C_jama.2018.14280'!$D$2:$D$24,MATCH("2018::jama.2018.14280::C002",'C_jama.2018.14280'!$A$2:$A$24,0))="","",INDEX('C_jama.2018.14280'!$D$2:$D$24,MATCH("2018::jama.2018.14280::C002",'C_jama.2018.14280'!$A$2:$A$24,0))),"NOT FROZEN")</x:f>
      </x:c>
      <x:c r="C24" s="6" t="str">
        <x:f>IF(Setup!$B$6="primary",IF(INDEX('C_jama.2018.14280'!$E$2:$E$24,MATCH("2018::jama.2018.14280::C002",'C_jama.2018.14280'!$A$2:$A$24,0))="","",INDEX('C_jama.2018.14280'!$E$2:$E$24,MATCH("2018::jama.2018.14280::C002",'C_jama.2018.14280'!$A$2:$A$24,0))),"NOT FROZEN")</x:f>
        <x:v>statistical_results</x:v>
      </x:c>
      <x:c r="D24" s="6" t="str">
        <x:f>IF(Setup!$B$6="primary",IF(AND(INDEX('C_jama.2018.14280'!$D$2:$D$24,MATCH("2018::jama.2018.14280::C002",'C_jama.2018.14280'!$A$2:$A$24,0))="retain",INDEX('C_jama.2018.14280'!$E$2:$E$24,MATCH("2018::jama.2018.14280::C002",'C_jama.2018.14280'!$A$2:$A$24,0))="statistical_results"),IF(INDEX('C_jama.2018.14280'!$H$2:$H$24,MATCH("2018::jama.2018.14280::C002",'C_jama.2018.14280'!$A$2:$A$24,0))="","",INDEX('C_jama.2018.14280'!$H$2:$H$24,MATCH("2018::jama.2018.14280::C002",'C_jama.2018.14280'!$A$2:$A$24,0))),"not_applicable"),"NOT FROZEN")</x:f>
        <x:v>not_applicable</x:v>
      </x:c>
      <x:c r="E24" s="6" t="str">
        <x:f>IF(Setup!$B$6="primary",IF(AND(INDEX('C_jama.2018.14280'!$D$2:$D$24,MATCH("2018::jama.2018.14280::C002",'C_jama.2018.14280'!$A$2:$A$24,0))="retain",INDEX('C_jama.2018.14280'!$E$2:$E$24,MATCH("2018::jama.2018.14280::C002",'C_jama.2018.14280'!$A$2:$A$24,0))="statistical_results"),IF(INDEX('C_jama.2018.14280'!$I$2:$I$24,MATCH("2018::jama.2018.14280::C002",'C_jama.2018.14280'!$A$2:$A$24,0))="","",INDEX('C_jama.2018.14280'!$I$2:$I$24,MATCH("2018::jama.2018.14280::C002",'C_jama.2018.14280'!$A$2:$A$24,0))),"not_applicable"),"NOT FROZEN")</x:f>
        <x:v>not_applicable</x:v>
      </x:c>
      <x:c r="F24" s="6" t="str">
        <x:f>IF(Setup!$B$6="primary",IF(AND(INDEX('C_jama.2018.14280'!$D$2:$D$24,MATCH("2018::jama.2018.14280::C002",'C_jama.2018.14280'!$A$2:$A$24,0))="retain",INDEX('C_jama.2018.14280'!$E$2:$E$24,MATCH("2018::jama.2018.14280::C002",'C_jama.2018.14280'!$A$2:$A$24,0))="statistical_results"),IF(INDEX('C_jama.2018.14280'!$J$2:$J$24,MATCH("2018::jama.2018.14280::C002",'C_jama.2018.14280'!$A$2:$A$24,0))="","",INDEX('C_jama.2018.14280'!$J$2:$J$24,MATCH("2018::jama.2018.14280::C002",'C_jama.2018.14280'!$A$2:$A$24,0))),"not_applicable"),"NOT FROZEN")</x:f>
        <x:v>not_applicable</x:v>
      </x:c>
      <x:c r="G24" s="6" t="str">
        <x:f>IF(Setup!$B$6="primary",IF(AND(INDEX('C_jama.2018.14280'!$D$2:$D$24,MATCH("2018::jama.2018.14280::C002",'C_jama.2018.14280'!$A$2:$A$24,0))="retain",OR(INDEX('C_jama.2018.14280'!$E$2:$E$24,MATCH("2018::jama.2018.14280::C002",'C_jama.2018.14280'!$A$2:$A$24,0))="report_internal_inconsistency",INDEX('C_jama.2018.14280'!$E$2:$E$24,MATCH("2018::jama.2018.14280::C002",'C_jama.2018.14280'!$A$2:$A$24,0))="plan_material")),IF(INDEX('C_jama.2018.14280'!$K$2:$K$24,MATCH("2018::jama.2018.14280::C002",'C_jama.2018.14280'!$A$2:$A$24,0))="","",INDEX('C_jama.2018.14280'!$K$2:$K$24,MATCH("2018::jama.2018.14280::C002",'C_jama.2018.14280'!$A$2:$A$24,0))),"not_applicable"),"NOT FROZEN")</x:f>
        <x:v>not_applicable</x:v>
      </x:c>
      <x:c r="H24" s="6" t="str">
        <x:f>IF(Setup!$B$6="primary",IF(AND(INDEX('C_jama.2018.14280'!$D$2:$D$24,MATCH("2018::jama.2018.14280::C002",'C_jama.2018.14280'!$A$2:$A$24,0))="retain",INDEX('C_jama.2018.14280'!$E$2:$E$24,MATCH("2018::jama.2018.14280::C002",'C_jama.2018.14280'!$A$2:$A$24,0))="protocol_report"),IF(INDEX('C_jama.2018.14280'!$L$2:$L$24,MATCH("2018::jama.2018.14280::C002",'C_jama.2018.14280'!$A$2:$A$24,0))="","",INDEX('C_jama.2018.14280'!$L$2:$L$24,MATCH("2018::jama.2018.14280::C002",'C_jama.2018.14280'!$A$2:$A$24,0))),"not_applicable"),"NOT FROZEN")</x:f>
        <x:v>not_applicable</x:v>
      </x:c>
      <x:c r="I24" s="6" t="str">
        <x:f>IF(Setup!$B$6="primary",IF(INDEX('C_jama.2018.14280'!$R$2:$R$24,MATCH("2018::jama.2018.14280::C002",'C_jama.2018.14280'!$A$2:$A$24,0))="","",INDEX('C_jama.2018.14280'!$R$2:$R$24,MATCH("2018::jama.2018.14280::C002",'C_jama.2018.14280'!$A$2:$A$24,0))),"NOT FROZEN")</x:f>
      </x:c>
      <x:c r="J24" s="6" t="str">
        <x:f>IF(Setup!$B$6="primary",INDEX('C_jama.2018.14280'!$F$2:$F$24,MATCH("2018::jama.2018.14280::C002",'C_jama.2018.14280'!$A$2:$A$24,0)),"NOT FROZEN")</x:f>
        <x:v>no</x:v>
      </x:c>
      <x:c r="K24" s="6" t="str">
        <x:f>IF(Setup!$B$6="primary",Setup!$B$2,"NOT FROZEN")</x:f>
      </x:c>
      <x:c r="L24" s="6" t="str">
        <x:f>IF(Setup!$B$6="primary",IF(OR(B24="",B24="not_applicable"),"","Disposition: "&amp;B24&amp;CHAR(10))&amp;IF(OR(C24="",C24="not_applicable"),"","Review domain: "&amp;C24&amp;CHAR(10))&amp;IF(OR(D24="",D24="not_applicable"),"","Statistcal_or_numerical issue: "&amp;D24&amp;CHAR(10))&amp;IF(OR(E24="",E24="not_applicable"),"","Substantiveness: "&amp;E24&amp;CHAR(10))&amp;IF(OR(F24="",F24="not_applicable"),"","Downstream impact: "&amp;F24&amp;CHAR(10))&amp;IF(OR(G24="",G24="not_applicable"),"","Report-internal or planning-material inconsistency: "&amp;G24&amp;CHAR(10))&amp;IF(OR(H24="",H24="not_applicable"),"","Protocol interpretation: "&amp;H24&amp;CHAR(10))&amp;IF(OR(I24="",I24="not_applicable"),"","Notes (optional): "&amp;I24&amp;CHAR(10)),"NOT FROZEN")</x:f>
        <x:v>Review domain: statistical_results
</x:v>
      </x:c>
    </x:row>
    <x:row r="25" ht="70" customHeight="1">
      <x:c r="A25" s="3" t="str">
        <x:f>IF(Setup!$B$6="primary","2018::jama.2018.14280::C003","NOT FROZEN")</x:f>
        <x:v>2018::jama.2018.14280::C003</x:v>
      </x:c>
      <x:c r="B25" s="3" t="str">
        <x:f>IF(Setup!$B$6="primary",IF(INDEX('C_jama.2018.14280'!$D$2:$D$24,MATCH("2018::jama.2018.14280::C003",'C_jama.2018.14280'!$A$2:$A$24,0))="","",INDEX('C_jama.2018.14280'!$D$2:$D$24,MATCH("2018::jama.2018.14280::C003",'C_jama.2018.14280'!$A$2:$A$24,0))),"NOT FROZEN")</x:f>
      </x:c>
      <x:c r="C25" s="3" t="str">
        <x:f>IF(Setup!$B$6="primary",IF(INDEX('C_jama.2018.14280'!$E$2:$E$24,MATCH("2018::jama.2018.14280::C003",'C_jama.2018.14280'!$A$2:$A$24,0))="","",INDEX('C_jama.2018.14280'!$E$2:$E$24,MATCH("2018::jama.2018.14280::C003",'C_jama.2018.14280'!$A$2:$A$24,0))),"NOT FROZEN")</x:f>
        <x:v>statistical_results</x:v>
      </x:c>
      <x:c r="D25" s="3" t="str">
        <x:f>IF(Setup!$B$6="primary",IF(AND(INDEX('C_jama.2018.14280'!$D$2:$D$24,MATCH("2018::jama.2018.14280::C003",'C_jama.2018.14280'!$A$2:$A$24,0))="retain",INDEX('C_jama.2018.14280'!$E$2:$E$24,MATCH("2018::jama.2018.14280::C003",'C_jama.2018.14280'!$A$2:$A$24,0))="statistical_results"),IF(INDEX('C_jama.2018.14280'!$H$2:$H$24,MATCH("2018::jama.2018.14280::C003",'C_jama.2018.14280'!$A$2:$A$24,0))="","",INDEX('C_jama.2018.14280'!$H$2:$H$24,MATCH("2018::jama.2018.14280::C003",'C_jama.2018.14280'!$A$2:$A$24,0))),"not_applicable"),"NOT FROZEN")</x:f>
        <x:v>not_applicable</x:v>
      </x:c>
      <x:c r="E25" s="3" t="str">
        <x:f>IF(Setup!$B$6="primary",IF(AND(INDEX('C_jama.2018.14280'!$D$2:$D$24,MATCH("2018::jama.2018.14280::C003",'C_jama.2018.14280'!$A$2:$A$24,0))="retain",INDEX('C_jama.2018.14280'!$E$2:$E$24,MATCH("2018::jama.2018.14280::C003",'C_jama.2018.14280'!$A$2:$A$24,0))="statistical_results"),IF(INDEX('C_jama.2018.14280'!$I$2:$I$24,MATCH("2018::jama.2018.14280::C003",'C_jama.2018.14280'!$A$2:$A$24,0))="","",INDEX('C_jama.2018.14280'!$I$2:$I$24,MATCH("2018::jama.2018.14280::C003",'C_jama.2018.14280'!$A$2:$A$24,0))),"not_applicable"),"NOT FROZEN")</x:f>
        <x:v>not_applicable</x:v>
      </x:c>
      <x:c r="F25" s="3" t="str">
        <x:f>IF(Setup!$B$6="primary",IF(AND(INDEX('C_jama.2018.14280'!$D$2:$D$24,MATCH("2018::jama.2018.14280::C003",'C_jama.2018.14280'!$A$2:$A$24,0))="retain",INDEX('C_jama.2018.14280'!$E$2:$E$24,MATCH("2018::jama.2018.14280::C003",'C_jama.2018.14280'!$A$2:$A$24,0))="statistical_results"),IF(INDEX('C_jama.2018.14280'!$J$2:$J$24,MATCH("2018::jama.2018.14280::C003",'C_jama.2018.14280'!$A$2:$A$24,0))="","",INDEX('C_jama.2018.14280'!$J$2:$J$24,MATCH("2018::jama.2018.14280::C003",'C_jama.2018.14280'!$A$2:$A$24,0))),"not_applicable"),"NOT FROZEN")</x:f>
        <x:v>not_applicable</x:v>
      </x:c>
      <x:c r="G25" s="3" t="str">
        <x:f>IF(Setup!$B$6="primary",IF(AND(INDEX('C_jama.2018.14280'!$D$2:$D$24,MATCH("2018::jama.2018.14280::C003",'C_jama.2018.14280'!$A$2:$A$24,0))="retain",OR(INDEX('C_jama.2018.14280'!$E$2:$E$24,MATCH("2018::jama.2018.14280::C003",'C_jama.2018.14280'!$A$2:$A$24,0))="report_internal_inconsistency",INDEX('C_jama.2018.14280'!$E$2:$E$24,MATCH("2018::jama.2018.14280::C003",'C_jama.2018.14280'!$A$2:$A$24,0))="plan_material")),IF(INDEX('C_jama.2018.14280'!$K$2:$K$24,MATCH("2018::jama.2018.14280::C003",'C_jama.2018.14280'!$A$2:$A$24,0))="","",INDEX('C_jama.2018.14280'!$K$2:$K$24,MATCH("2018::jama.2018.14280::C003",'C_jama.2018.14280'!$A$2:$A$24,0))),"not_applicable"),"NOT FROZEN")</x:f>
        <x:v>not_applicable</x:v>
      </x:c>
      <x:c r="H25" s="3" t="str">
        <x:f>IF(Setup!$B$6="primary",IF(AND(INDEX('C_jama.2018.14280'!$D$2:$D$24,MATCH("2018::jama.2018.14280::C003",'C_jama.2018.14280'!$A$2:$A$24,0))="retain",INDEX('C_jama.2018.14280'!$E$2:$E$24,MATCH("2018::jama.2018.14280::C003",'C_jama.2018.14280'!$A$2:$A$24,0))="protocol_report"),IF(INDEX('C_jama.2018.14280'!$L$2:$L$24,MATCH("2018::jama.2018.14280::C003",'C_jama.2018.14280'!$A$2:$A$24,0))="","",INDEX('C_jama.2018.14280'!$L$2:$L$24,MATCH("2018::jama.2018.14280::C003",'C_jama.2018.14280'!$A$2:$A$24,0))),"not_applicable"),"NOT FROZEN")</x:f>
        <x:v>not_applicable</x:v>
      </x:c>
      <x:c r="I25" s="3" t="str">
        <x:f>IF(Setup!$B$6="primary",IF(INDEX('C_jama.2018.14280'!$R$2:$R$24,MATCH("2018::jama.2018.14280::C003",'C_jama.2018.14280'!$A$2:$A$24,0))="","",INDEX('C_jama.2018.14280'!$R$2:$R$24,MATCH("2018::jama.2018.14280::C003",'C_jama.2018.14280'!$A$2:$A$24,0))),"NOT FROZEN")</x:f>
      </x:c>
      <x:c r="J25" s="3" t="str">
        <x:f>IF(Setup!$B$6="primary",INDEX('C_jama.2018.14280'!$F$2:$F$24,MATCH("2018::jama.2018.14280::C003",'C_jama.2018.14280'!$A$2:$A$24,0)),"NOT FROZEN")</x:f>
        <x:v>no</x:v>
      </x:c>
      <x:c r="K25" s="3" t="str">
        <x:f>IF(Setup!$B$6="primary",Setup!$B$2,"NOT FROZEN")</x:f>
      </x:c>
      <x:c r="L25" s="3" t="str">
        <x:f>IF(Setup!$B$6="primary",IF(OR(B25="",B25="not_applicable"),"","Disposition: "&amp;B25&amp;CHAR(10))&amp;IF(OR(C25="",C25="not_applicable"),"","Review domain: "&amp;C25&amp;CHAR(10))&amp;IF(OR(D25="",D25="not_applicable"),"","Statistcal_or_numerical issue: "&amp;D25&amp;CHAR(10))&amp;IF(OR(E25="",E25="not_applicable"),"","Substantiveness: "&amp;E25&amp;CHAR(10))&amp;IF(OR(F25="",F25="not_applicable"),"","Downstream impact: "&amp;F25&amp;CHAR(10))&amp;IF(OR(G25="",G25="not_applicable"),"","Report-internal or planning-material inconsistency: "&amp;G25&amp;CHAR(10))&amp;IF(OR(H25="",H25="not_applicable"),"","Protocol interpretation: "&amp;H25&amp;CHAR(10))&amp;IF(OR(I25="",I25="not_applicable"),"","Notes (optional): "&amp;I25&amp;CHAR(10)),"NOT FROZEN")</x:f>
        <x:v>Review domain: statistical_results
</x:v>
      </x:c>
    </x:row>
    <x:row r="26" ht="70" customHeight="1">
      <x:c r="A26" s="6" t="str">
        <x:f>IF(Setup!$B$6="primary","2018::jama.2018.14280::C004","NOT FROZEN")</x:f>
        <x:v>2018::jama.2018.14280::C004</x:v>
      </x:c>
      <x:c r="B26" s="6" t="str">
        <x:f>IF(Setup!$B$6="primary",IF(INDEX('C_jama.2018.14280'!$D$2:$D$24,MATCH("2018::jama.2018.14280::C004",'C_jama.2018.14280'!$A$2:$A$24,0))="","",INDEX('C_jama.2018.14280'!$D$2:$D$24,MATCH("2018::jama.2018.14280::C004",'C_jama.2018.14280'!$A$2:$A$24,0))),"NOT FROZEN")</x:f>
      </x:c>
      <x:c r="C26" s="6" t="str">
        <x:f>IF(Setup!$B$6="primary",IF(INDEX('C_jama.2018.14280'!$E$2:$E$24,MATCH("2018::jama.2018.14280::C004",'C_jama.2018.14280'!$A$2:$A$24,0))="","",INDEX('C_jama.2018.14280'!$E$2:$E$24,MATCH("2018::jama.2018.14280::C004",'C_jama.2018.14280'!$A$2:$A$24,0))),"NOT FROZEN")</x:f>
        <x:v>statistical_results</x:v>
      </x:c>
      <x:c r="D26" s="6" t="str">
        <x:f>IF(Setup!$B$6="primary",IF(AND(INDEX('C_jama.2018.14280'!$D$2:$D$24,MATCH("2018::jama.2018.14280::C004",'C_jama.2018.14280'!$A$2:$A$24,0))="retain",INDEX('C_jama.2018.14280'!$E$2:$E$24,MATCH("2018::jama.2018.14280::C004",'C_jama.2018.14280'!$A$2:$A$24,0))="statistical_results"),IF(INDEX('C_jama.2018.14280'!$H$2:$H$24,MATCH("2018::jama.2018.14280::C004",'C_jama.2018.14280'!$A$2:$A$24,0))="","",INDEX('C_jama.2018.14280'!$H$2:$H$24,MATCH("2018::jama.2018.14280::C004",'C_jama.2018.14280'!$A$2:$A$24,0))),"not_applicable"),"NOT FROZEN")</x:f>
        <x:v>not_applicable</x:v>
      </x:c>
      <x:c r="E26" s="6" t="str">
        <x:f>IF(Setup!$B$6="primary",IF(AND(INDEX('C_jama.2018.14280'!$D$2:$D$24,MATCH("2018::jama.2018.14280::C004",'C_jama.2018.14280'!$A$2:$A$24,0))="retain",INDEX('C_jama.2018.14280'!$E$2:$E$24,MATCH("2018::jama.2018.14280::C004",'C_jama.2018.14280'!$A$2:$A$24,0))="statistical_results"),IF(INDEX('C_jama.2018.14280'!$I$2:$I$24,MATCH("2018::jama.2018.14280::C004",'C_jama.2018.14280'!$A$2:$A$24,0))="","",INDEX('C_jama.2018.14280'!$I$2:$I$24,MATCH("2018::jama.2018.14280::C004",'C_jama.2018.14280'!$A$2:$A$24,0))),"not_applicable"),"NOT FROZEN")</x:f>
        <x:v>not_applicable</x:v>
      </x:c>
      <x:c r="F26" s="6" t="str">
        <x:f>IF(Setup!$B$6="primary",IF(AND(INDEX('C_jama.2018.14280'!$D$2:$D$24,MATCH("2018::jama.2018.14280::C004",'C_jama.2018.14280'!$A$2:$A$24,0))="retain",INDEX('C_jama.2018.14280'!$E$2:$E$24,MATCH("2018::jama.2018.14280::C004",'C_jama.2018.14280'!$A$2:$A$24,0))="statistical_results"),IF(INDEX('C_jama.2018.14280'!$J$2:$J$24,MATCH("2018::jama.2018.14280::C004",'C_jama.2018.14280'!$A$2:$A$24,0))="","",INDEX('C_jama.2018.14280'!$J$2:$J$24,MATCH("2018::jama.2018.14280::C004",'C_jama.2018.14280'!$A$2:$A$24,0))),"not_applicable"),"NOT FROZEN")</x:f>
        <x:v>not_applicable</x:v>
      </x:c>
      <x:c r="G26" s="6" t="str">
        <x:f>IF(Setup!$B$6="primary",IF(AND(INDEX('C_jama.2018.14280'!$D$2:$D$24,MATCH("2018::jama.2018.14280::C004",'C_jama.2018.14280'!$A$2:$A$24,0))="retain",OR(INDEX('C_jama.2018.14280'!$E$2:$E$24,MATCH("2018::jama.2018.14280::C004",'C_jama.2018.14280'!$A$2:$A$24,0))="report_internal_inconsistency",INDEX('C_jama.2018.14280'!$E$2:$E$24,MATCH("2018::jama.2018.14280::C004",'C_jama.2018.14280'!$A$2:$A$24,0))="plan_material")),IF(INDEX('C_jama.2018.14280'!$K$2:$K$24,MATCH("2018::jama.2018.14280::C004",'C_jama.2018.14280'!$A$2:$A$24,0))="","",INDEX('C_jama.2018.14280'!$K$2:$K$24,MATCH("2018::jama.2018.14280::C004",'C_jama.2018.14280'!$A$2:$A$24,0))),"not_applicable"),"NOT FROZEN")</x:f>
        <x:v>not_applicable</x:v>
      </x:c>
      <x:c r="H26" s="6" t="str">
        <x:f>IF(Setup!$B$6="primary",IF(AND(INDEX('C_jama.2018.14280'!$D$2:$D$24,MATCH("2018::jama.2018.14280::C004",'C_jama.2018.14280'!$A$2:$A$24,0))="retain",INDEX('C_jama.2018.14280'!$E$2:$E$24,MATCH("2018::jama.2018.14280::C004",'C_jama.2018.14280'!$A$2:$A$24,0))="protocol_report"),IF(INDEX('C_jama.2018.14280'!$L$2:$L$24,MATCH("2018::jama.2018.14280::C004",'C_jama.2018.14280'!$A$2:$A$24,0))="","",INDEX('C_jama.2018.14280'!$L$2:$L$24,MATCH("2018::jama.2018.14280::C004",'C_jama.2018.14280'!$A$2:$A$24,0))),"not_applicable"),"NOT FROZEN")</x:f>
        <x:v>not_applicable</x:v>
      </x:c>
      <x:c r="I26" s="6" t="str">
        <x:f>IF(Setup!$B$6="primary",IF(INDEX('C_jama.2018.14280'!$R$2:$R$24,MATCH("2018::jama.2018.14280::C004",'C_jama.2018.14280'!$A$2:$A$24,0))="","",INDEX('C_jama.2018.14280'!$R$2:$R$24,MATCH("2018::jama.2018.14280::C004",'C_jama.2018.14280'!$A$2:$A$24,0))),"NOT FROZEN")</x:f>
      </x:c>
      <x:c r="J26" s="6" t="str">
        <x:f>IF(Setup!$B$6="primary",INDEX('C_jama.2018.14280'!$F$2:$F$24,MATCH("2018::jama.2018.14280::C004",'C_jama.2018.14280'!$A$2:$A$24,0)),"NOT FROZEN")</x:f>
        <x:v>no</x:v>
      </x:c>
      <x:c r="K26" s="6" t="str">
        <x:f>IF(Setup!$B$6="primary",Setup!$B$2,"NOT FROZEN")</x:f>
      </x:c>
      <x:c r="L26" s="6" t="str">
        <x:f>IF(Setup!$B$6="primary",IF(OR(B26="",B26="not_applicable"),"","Disposition: "&amp;B26&amp;CHAR(10))&amp;IF(OR(C26="",C26="not_applicable"),"","Review domain: "&amp;C26&amp;CHAR(10))&amp;IF(OR(D26="",D26="not_applicable"),"","Statistcal_or_numerical issue: "&amp;D26&amp;CHAR(10))&amp;IF(OR(E26="",E26="not_applicable"),"","Substantiveness: "&amp;E26&amp;CHAR(10))&amp;IF(OR(F26="",F26="not_applicable"),"","Downstream impact: "&amp;F26&amp;CHAR(10))&amp;IF(OR(G26="",G26="not_applicable"),"","Report-internal or planning-material inconsistency: "&amp;G26&amp;CHAR(10))&amp;IF(OR(H26="",H26="not_applicable"),"","Protocol interpretation: "&amp;H26&amp;CHAR(10))&amp;IF(OR(I26="",I26="not_applicable"),"","Notes (optional): "&amp;I26&amp;CHAR(10)),"NOT FROZEN")</x:f>
        <x:v>Review domain: statistical_results
</x:v>
      </x:c>
    </x:row>
    <x:row r="27" ht="70" customHeight="1">
      <x:c r="A27" s="3" t="str">
        <x:f>IF(Setup!$B$6="primary","2018::jama.2018.14280::C005","NOT FROZEN")</x:f>
        <x:v>2018::jama.2018.14280::C005</x:v>
      </x:c>
      <x:c r="B27" s="3" t="str">
        <x:f>IF(Setup!$B$6="primary",IF(INDEX('C_jama.2018.14280'!$D$2:$D$24,MATCH("2018::jama.2018.14280::C005",'C_jama.2018.14280'!$A$2:$A$24,0))="","",INDEX('C_jama.2018.14280'!$D$2:$D$24,MATCH("2018::jama.2018.14280::C005",'C_jama.2018.14280'!$A$2:$A$24,0))),"NOT FROZEN")</x:f>
      </x:c>
      <x:c r="C27" s="3" t="str">
        <x:f>IF(Setup!$B$6="primary",IF(INDEX('C_jama.2018.14280'!$E$2:$E$24,MATCH("2018::jama.2018.14280::C005",'C_jama.2018.14280'!$A$2:$A$24,0))="","",INDEX('C_jama.2018.14280'!$E$2:$E$24,MATCH("2018::jama.2018.14280::C005",'C_jama.2018.14280'!$A$2:$A$24,0))),"NOT FROZEN")</x:f>
        <x:v>statistical_results</x:v>
      </x:c>
      <x:c r="D27" s="3" t="str">
        <x:f>IF(Setup!$B$6="primary",IF(AND(INDEX('C_jama.2018.14280'!$D$2:$D$24,MATCH("2018::jama.2018.14280::C005",'C_jama.2018.14280'!$A$2:$A$24,0))="retain",INDEX('C_jama.2018.14280'!$E$2:$E$24,MATCH("2018::jama.2018.14280::C005",'C_jama.2018.14280'!$A$2:$A$24,0))="statistical_results"),IF(INDEX('C_jama.2018.14280'!$H$2:$H$24,MATCH("2018::jama.2018.14280::C005",'C_jama.2018.14280'!$A$2:$A$24,0))="","",INDEX('C_jama.2018.14280'!$H$2:$H$24,MATCH("2018::jama.2018.14280::C005",'C_jama.2018.14280'!$A$2:$A$24,0))),"not_applicable"),"NOT FROZEN")</x:f>
        <x:v>not_applicable</x:v>
      </x:c>
      <x:c r="E27" s="3" t="str">
        <x:f>IF(Setup!$B$6="primary",IF(AND(INDEX('C_jama.2018.14280'!$D$2:$D$24,MATCH("2018::jama.2018.14280::C005",'C_jama.2018.14280'!$A$2:$A$24,0))="retain",INDEX('C_jama.2018.14280'!$E$2:$E$24,MATCH("2018::jama.2018.14280::C005",'C_jama.2018.14280'!$A$2:$A$24,0))="statistical_results"),IF(INDEX('C_jama.2018.14280'!$I$2:$I$24,MATCH("2018::jama.2018.14280::C005",'C_jama.2018.14280'!$A$2:$A$24,0))="","",INDEX('C_jama.2018.14280'!$I$2:$I$24,MATCH("2018::jama.2018.14280::C005",'C_jama.2018.14280'!$A$2:$A$24,0))),"not_applicable"),"NOT FROZEN")</x:f>
        <x:v>not_applicable</x:v>
      </x:c>
      <x:c r="F27" s="3" t="str">
        <x:f>IF(Setup!$B$6="primary",IF(AND(INDEX('C_jama.2018.14280'!$D$2:$D$24,MATCH("2018::jama.2018.14280::C005",'C_jama.2018.14280'!$A$2:$A$24,0))="retain",INDEX('C_jama.2018.14280'!$E$2:$E$24,MATCH("2018::jama.2018.14280::C005",'C_jama.2018.14280'!$A$2:$A$24,0))="statistical_results"),IF(INDEX('C_jama.2018.14280'!$J$2:$J$24,MATCH("2018::jama.2018.14280::C005",'C_jama.2018.14280'!$A$2:$A$24,0))="","",INDEX('C_jama.2018.14280'!$J$2:$J$24,MATCH("2018::jama.2018.14280::C005",'C_jama.2018.14280'!$A$2:$A$24,0))),"not_applicable"),"NOT FROZEN")</x:f>
        <x:v>not_applicable</x:v>
      </x:c>
      <x:c r="G27" s="3" t="str">
        <x:f>IF(Setup!$B$6="primary",IF(AND(INDEX('C_jama.2018.14280'!$D$2:$D$24,MATCH("2018::jama.2018.14280::C005",'C_jama.2018.14280'!$A$2:$A$24,0))="retain",OR(INDEX('C_jama.2018.14280'!$E$2:$E$24,MATCH("2018::jama.2018.14280::C005",'C_jama.2018.14280'!$A$2:$A$24,0))="report_internal_inconsistency",INDEX('C_jama.2018.14280'!$E$2:$E$24,MATCH("2018::jama.2018.14280::C005",'C_jama.2018.14280'!$A$2:$A$24,0))="plan_material")),IF(INDEX('C_jama.2018.14280'!$K$2:$K$24,MATCH("2018::jama.2018.14280::C005",'C_jama.2018.14280'!$A$2:$A$24,0))="","",INDEX('C_jama.2018.14280'!$K$2:$K$24,MATCH("2018::jama.2018.14280::C005",'C_jama.2018.14280'!$A$2:$A$24,0))),"not_applicable"),"NOT FROZEN")</x:f>
        <x:v>not_applicable</x:v>
      </x:c>
      <x:c r="H27" s="3" t="str">
        <x:f>IF(Setup!$B$6="primary",IF(AND(INDEX('C_jama.2018.14280'!$D$2:$D$24,MATCH("2018::jama.2018.14280::C005",'C_jama.2018.14280'!$A$2:$A$24,0))="retain",INDEX('C_jama.2018.14280'!$E$2:$E$24,MATCH("2018::jama.2018.14280::C005",'C_jama.2018.14280'!$A$2:$A$24,0))="protocol_report"),IF(INDEX('C_jama.2018.14280'!$L$2:$L$24,MATCH("2018::jama.2018.14280::C005",'C_jama.2018.14280'!$A$2:$A$24,0))="","",INDEX('C_jama.2018.14280'!$L$2:$L$24,MATCH("2018::jama.2018.14280::C005",'C_jama.2018.14280'!$A$2:$A$24,0))),"not_applicable"),"NOT FROZEN")</x:f>
        <x:v>not_applicable</x:v>
      </x:c>
      <x:c r="I27" s="3" t="str">
        <x:f>IF(Setup!$B$6="primary",IF(INDEX('C_jama.2018.14280'!$R$2:$R$24,MATCH("2018::jama.2018.14280::C005",'C_jama.2018.14280'!$A$2:$A$24,0))="","",INDEX('C_jama.2018.14280'!$R$2:$R$24,MATCH("2018::jama.2018.14280::C005",'C_jama.2018.14280'!$A$2:$A$24,0))),"NOT FROZEN")</x:f>
      </x:c>
      <x:c r="J27" s="3" t="str">
        <x:f>IF(Setup!$B$6="primary",INDEX('C_jama.2018.14280'!$F$2:$F$24,MATCH("2018::jama.2018.14280::C005",'C_jama.2018.14280'!$A$2:$A$24,0)),"NOT FROZEN")</x:f>
        <x:v>no</x:v>
      </x:c>
      <x:c r="K27" s="3" t="str">
        <x:f>IF(Setup!$B$6="primary",Setup!$B$2,"NOT FROZEN")</x:f>
      </x:c>
      <x:c r="L27" s="3" t="str">
        <x:f>IF(Setup!$B$6="primary",IF(OR(B27="",B27="not_applicable"),"","Disposition: "&amp;B27&amp;CHAR(10))&amp;IF(OR(C27="",C27="not_applicable"),"","Review domain: "&amp;C27&amp;CHAR(10))&amp;IF(OR(D27="",D27="not_applicable"),"","Statistcal_or_numerical issue: "&amp;D27&amp;CHAR(10))&amp;IF(OR(E27="",E27="not_applicable"),"","Substantiveness: "&amp;E27&amp;CHAR(10))&amp;IF(OR(F27="",F27="not_applicable"),"","Downstream impact: "&amp;F27&amp;CHAR(10))&amp;IF(OR(G27="",G27="not_applicable"),"","Report-internal or planning-material inconsistency: "&amp;G27&amp;CHAR(10))&amp;IF(OR(H27="",H27="not_applicable"),"","Protocol interpretation: "&amp;H27&amp;CHAR(10))&amp;IF(OR(I27="",I27="not_applicable"),"","Notes (optional): "&amp;I27&amp;CHAR(10)),"NOT FROZEN")</x:f>
        <x:v>Review domain: statistical_results
</x:v>
      </x:c>
    </x:row>
    <x:row r="28" ht="70" customHeight="1">
      <x:c r="A28" s="6" t="str">
        <x:f>IF(Setup!$B$6="primary","2018::jama.2018.14280::C006","NOT FROZEN")</x:f>
        <x:v>2018::jama.2018.14280::C006</x:v>
      </x:c>
      <x:c r="B28" s="6" t="str">
        <x:f>IF(Setup!$B$6="primary",IF(INDEX('C_jama.2018.14280'!$D$2:$D$24,MATCH("2018::jama.2018.14280::C006",'C_jama.2018.14280'!$A$2:$A$24,0))="","",INDEX('C_jama.2018.14280'!$D$2:$D$24,MATCH("2018::jama.2018.14280::C006",'C_jama.2018.14280'!$A$2:$A$24,0))),"NOT FROZEN")</x:f>
      </x:c>
      <x:c r="C28" s="6" t="str">
        <x:f>IF(Setup!$B$6="primary",IF(INDEX('C_jama.2018.14280'!$E$2:$E$24,MATCH("2018::jama.2018.14280::C006",'C_jama.2018.14280'!$A$2:$A$24,0))="","",INDEX('C_jama.2018.14280'!$E$2:$E$24,MATCH("2018::jama.2018.14280::C006",'C_jama.2018.14280'!$A$2:$A$24,0))),"NOT FROZEN")</x:f>
        <x:v>statistical_results</x:v>
      </x:c>
      <x:c r="D28" s="6" t="str">
        <x:f>IF(Setup!$B$6="primary",IF(AND(INDEX('C_jama.2018.14280'!$D$2:$D$24,MATCH("2018::jama.2018.14280::C006",'C_jama.2018.14280'!$A$2:$A$24,0))="retain",INDEX('C_jama.2018.14280'!$E$2:$E$24,MATCH("2018::jama.2018.14280::C006",'C_jama.2018.14280'!$A$2:$A$24,0))="statistical_results"),IF(INDEX('C_jama.2018.14280'!$H$2:$H$24,MATCH("2018::jama.2018.14280::C006",'C_jama.2018.14280'!$A$2:$A$24,0))="","",INDEX('C_jama.2018.14280'!$H$2:$H$24,MATCH("2018::jama.2018.14280::C006",'C_jama.2018.14280'!$A$2:$A$24,0))),"not_applicable"),"NOT FROZEN")</x:f>
        <x:v>not_applicable</x:v>
      </x:c>
      <x:c r="E28" s="6" t="str">
        <x:f>IF(Setup!$B$6="primary",IF(AND(INDEX('C_jama.2018.14280'!$D$2:$D$24,MATCH("2018::jama.2018.14280::C006",'C_jama.2018.14280'!$A$2:$A$24,0))="retain",INDEX('C_jama.2018.14280'!$E$2:$E$24,MATCH("2018::jama.2018.14280::C006",'C_jama.2018.14280'!$A$2:$A$24,0))="statistical_results"),IF(INDEX('C_jama.2018.14280'!$I$2:$I$24,MATCH("2018::jama.2018.14280::C006",'C_jama.2018.14280'!$A$2:$A$24,0))="","",INDEX('C_jama.2018.14280'!$I$2:$I$24,MATCH("2018::jama.2018.14280::C006",'C_jama.2018.14280'!$A$2:$A$24,0))),"not_applicable"),"NOT FROZEN")</x:f>
        <x:v>not_applicable</x:v>
      </x:c>
      <x:c r="F28" s="6" t="str">
        <x:f>IF(Setup!$B$6="primary",IF(AND(INDEX('C_jama.2018.14280'!$D$2:$D$24,MATCH("2018::jama.2018.14280::C006",'C_jama.2018.14280'!$A$2:$A$24,0))="retain",INDEX('C_jama.2018.14280'!$E$2:$E$24,MATCH("2018::jama.2018.14280::C006",'C_jama.2018.14280'!$A$2:$A$24,0))="statistical_results"),IF(INDEX('C_jama.2018.14280'!$J$2:$J$24,MATCH("2018::jama.2018.14280::C006",'C_jama.2018.14280'!$A$2:$A$24,0))="","",INDEX('C_jama.2018.14280'!$J$2:$J$24,MATCH("2018::jama.2018.14280::C006",'C_jama.2018.14280'!$A$2:$A$24,0))),"not_applicable"),"NOT FROZEN")</x:f>
        <x:v>not_applicable</x:v>
      </x:c>
      <x:c r="G28" s="6" t="str">
        <x:f>IF(Setup!$B$6="primary",IF(AND(INDEX('C_jama.2018.14280'!$D$2:$D$24,MATCH("2018::jama.2018.14280::C006",'C_jama.2018.14280'!$A$2:$A$24,0))="retain",OR(INDEX('C_jama.2018.14280'!$E$2:$E$24,MATCH("2018::jama.2018.14280::C006",'C_jama.2018.14280'!$A$2:$A$24,0))="report_internal_inconsistency",INDEX('C_jama.2018.14280'!$E$2:$E$24,MATCH("2018::jama.2018.14280::C006",'C_jama.2018.14280'!$A$2:$A$24,0))="plan_material")),IF(INDEX('C_jama.2018.14280'!$K$2:$K$24,MATCH("2018::jama.2018.14280::C006",'C_jama.2018.14280'!$A$2:$A$24,0))="","",INDEX('C_jama.2018.14280'!$K$2:$K$24,MATCH("2018::jama.2018.14280::C006",'C_jama.2018.14280'!$A$2:$A$24,0))),"not_applicable"),"NOT FROZEN")</x:f>
        <x:v>not_applicable</x:v>
      </x:c>
      <x:c r="H28" s="6" t="str">
        <x:f>IF(Setup!$B$6="primary",IF(AND(INDEX('C_jama.2018.14280'!$D$2:$D$24,MATCH("2018::jama.2018.14280::C006",'C_jama.2018.14280'!$A$2:$A$24,0))="retain",INDEX('C_jama.2018.14280'!$E$2:$E$24,MATCH("2018::jama.2018.14280::C006",'C_jama.2018.14280'!$A$2:$A$24,0))="protocol_report"),IF(INDEX('C_jama.2018.14280'!$L$2:$L$24,MATCH("2018::jama.2018.14280::C006",'C_jama.2018.14280'!$A$2:$A$24,0))="","",INDEX('C_jama.2018.14280'!$L$2:$L$24,MATCH("2018::jama.2018.14280::C006",'C_jama.2018.14280'!$A$2:$A$24,0))),"not_applicable"),"NOT FROZEN")</x:f>
        <x:v>not_applicable</x:v>
      </x:c>
      <x:c r="I28" s="6" t="str">
        <x:f>IF(Setup!$B$6="primary",IF(INDEX('C_jama.2018.14280'!$R$2:$R$24,MATCH("2018::jama.2018.14280::C006",'C_jama.2018.14280'!$A$2:$A$24,0))="","",INDEX('C_jama.2018.14280'!$R$2:$R$24,MATCH("2018::jama.2018.14280::C006",'C_jama.2018.14280'!$A$2:$A$24,0))),"NOT FROZEN")</x:f>
      </x:c>
      <x:c r="J28" s="6" t="str">
        <x:f>IF(Setup!$B$6="primary",INDEX('C_jama.2018.14280'!$F$2:$F$24,MATCH("2018::jama.2018.14280::C006",'C_jama.2018.14280'!$A$2:$A$24,0)),"NOT FROZEN")</x:f>
        <x:v>no</x:v>
      </x:c>
      <x:c r="K28" s="6" t="str">
        <x:f>IF(Setup!$B$6="primary",Setup!$B$2,"NOT FROZEN")</x:f>
      </x:c>
      <x:c r="L28" s="6" t="str">
        <x:f>IF(Setup!$B$6="primary",IF(OR(B28="",B28="not_applicable"),"","Disposition: "&amp;B28&amp;CHAR(10))&amp;IF(OR(C28="",C28="not_applicable"),"","Review domain: "&amp;C28&amp;CHAR(10))&amp;IF(OR(D28="",D28="not_applicable"),"","Statistcal_or_numerical issue: "&amp;D28&amp;CHAR(10))&amp;IF(OR(E28="",E28="not_applicable"),"","Substantiveness: "&amp;E28&amp;CHAR(10))&amp;IF(OR(F28="",F28="not_applicable"),"","Downstream impact: "&amp;F28&amp;CHAR(10))&amp;IF(OR(G28="",G28="not_applicable"),"","Report-internal or planning-material inconsistency: "&amp;G28&amp;CHAR(10))&amp;IF(OR(H28="",H28="not_applicable"),"","Protocol interpretation: "&amp;H28&amp;CHAR(10))&amp;IF(OR(I28="",I28="not_applicable"),"","Notes (optional): "&amp;I28&amp;CHAR(10)),"NOT FROZEN")</x:f>
        <x:v>Review domain: statistical_results
</x:v>
      </x:c>
    </x:row>
    <x:row r="29" ht="70" customHeight="1">
      <x:c r="A29" s="3" t="str">
        <x:f>IF(Setup!$B$6="primary","2018::jama.2018.14280::C007","NOT FROZEN")</x:f>
        <x:v>2018::jama.2018.14280::C007</x:v>
      </x:c>
      <x:c r="B29" s="3" t="str">
        <x:f>IF(Setup!$B$6="primary",IF(INDEX('C_jama.2018.14280'!$D$2:$D$24,MATCH("2018::jama.2018.14280::C007",'C_jama.2018.14280'!$A$2:$A$24,0))="","",INDEX('C_jama.2018.14280'!$D$2:$D$24,MATCH("2018::jama.2018.14280::C007",'C_jama.2018.14280'!$A$2:$A$24,0))),"NOT FROZEN")</x:f>
      </x:c>
      <x:c r="C29" s="3" t="str">
        <x:f>IF(Setup!$B$6="primary",IF(INDEX('C_jama.2018.14280'!$E$2:$E$24,MATCH("2018::jama.2018.14280::C007",'C_jama.2018.14280'!$A$2:$A$24,0))="","",INDEX('C_jama.2018.14280'!$E$2:$E$24,MATCH("2018::jama.2018.14280::C007",'C_jama.2018.14280'!$A$2:$A$24,0))),"NOT FROZEN")</x:f>
        <x:v>statistical_results</x:v>
      </x:c>
      <x:c r="D29" s="3" t="str">
        <x:f>IF(Setup!$B$6="primary",IF(AND(INDEX('C_jama.2018.14280'!$D$2:$D$24,MATCH("2018::jama.2018.14280::C007",'C_jama.2018.14280'!$A$2:$A$24,0))="retain",INDEX('C_jama.2018.14280'!$E$2:$E$24,MATCH("2018::jama.2018.14280::C007",'C_jama.2018.14280'!$A$2:$A$24,0))="statistical_results"),IF(INDEX('C_jama.2018.14280'!$H$2:$H$24,MATCH("2018::jama.2018.14280::C007",'C_jama.2018.14280'!$A$2:$A$24,0))="","",INDEX('C_jama.2018.14280'!$H$2:$H$24,MATCH("2018::jama.2018.14280::C007",'C_jama.2018.14280'!$A$2:$A$24,0))),"not_applicable"),"NOT FROZEN")</x:f>
        <x:v>not_applicable</x:v>
      </x:c>
      <x:c r="E29" s="3" t="str">
        <x:f>IF(Setup!$B$6="primary",IF(AND(INDEX('C_jama.2018.14280'!$D$2:$D$24,MATCH("2018::jama.2018.14280::C007",'C_jama.2018.14280'!$A$2:$A$24,0))="retain",INDEX('C_jama.2018.14280'!$E$2:$E$24,MATCH("2018::jama.2018.14280::C007",'C_jama.2018.14280'!$A$2:$A$24,0))="statistical_results"),IF(INDEX('C_jama.2018.14280'!$I$2:$I$24,MATCH("2018::jama.2018.14280::C007",'C_jama.2018.14280'!$A$2:$A$24,0))="","",INDEX('C_jama.2018.14280'!$I$2:$I$24,MATCH("2018::jama.2018.14280::C007",'C_jama.2018.14280'!$A$2:$A$24,0))),"not_applicable"),"NOT FROZEN")</x:f>
        <x:v>not_applicable</x:v>
      </x:c>
      <x:c r="F29" s="3" t="str">
        <x:f>IF(Setup!$B$6="primary",IF(AND(INDEX('C_jama.2018.14280'!$D$2:$D$24,MATCH("2018::jama.2018.14280::C007",'C_jama.2018.14280'!$A$2:$A$24,0))="retain",INDEX('C_jama.2018.14280'!$E$2:$E$24,MATCH("2018::jama.2018.14280::C007",'C_jama.2018.14280'!$A$2:$A$24,0))="statistical_results"),IF(INDEX('C_jama.2018.14280'!$J$2:$J$24,MATCH("2018::jama.2018.14280::C007",'C_jama.2018.14280'!$A$2:$A$24,0))="","",INDEX('C_jama.2018.14280'!$J$2:$J$24,MATCH("2018::jama.2018.14280::C007",'C_jama.2018.14280'!$A$2:$A$24,0))),"not_applicable"),"NOT FROZEN")</x:f>
        <x:v>not_applicable</x:v>
      </x:c>
      <x:c r="G29" s="3" t="str">
        <x:f>IF(Setup!$B$6="primary",IF(AND(INDEX('C_jama.2018.14280'!$D$2:$D$24,MATCH("2018::jama.2018.14280::C007",'C_jama.2018.14280'!$A$2:$A$24,0))="retain",OR(INDEX('C_jama.2018.14280'!$E$2:$E$24,MATCH("2018::jama.2018.14280::C007",'C_jama.2018.14280'!$A$2:$A$24,0))="report_internal_inconsistency",INDEX('C_jama.2018.14280'!$E$2:$E$24,MATCH("2018::jama.2018.14280::C007",'C_jama.2018.14280'!$A$2:$A$24,0))="plan_material")),IF(INDEX('C_jama.2018.14280'!$K$2:$K$24,MATCH("2018::jama.2018.14280::C007",'C_jama.2018.14280'!$A$2:$A$24,0))="","",INDEX('C_jama.2018.14280'!$K$2:$K$24,MATCH("2018::jama.2018.14280::C007",'C_jama.2018.14280'!$A$2:$A$24,0))),"not_applicable"),"NOT FROZEN")</x:f>
        <x:v>not_applicable</x:v>
      </x:c>
      <x:c r="H29" s="3" t="str">
        <x:f>IF(Setup!$B$6="primary",IF(AND(INDEX('C_jama.2018.14280'!$D$2:$D$24,MATCH("2018::jama.2018.14280::C007",'C_jama.2018.14280'!$A$2:$A$24,0))="retain",INDEX('C_jama.2018.14280'!$E$2:$E$24,MATCH("2018::jama.2018.14280::C007",'C_jama.2018.14280'!$A$2:$A$24,0))="protocol_report"),IF(INDEX('C_jama.2018.14280'!$L$2:$L$24,MATCH("2018::jama.2018.14280::C007",'C_jama.2018.14280'!$A$2:$A$24,0))="","",INDEX('C_jama.2018.14280'!$L$2:$L$24,MATCH("2018::jama.2018.14280::C007",'C_jama.2018.14280'!$A$2:$A$24,0))),"not_applicable"),"NOT FROZEN")</x:f>
        <x:v>not_applicable</x:v>
      </x:c>
      <x:c r="I29" s="3" t="str">
        <x:f>IF(Setup!$B$6="primary",IF(INDEX('C_jama.2018.14280'!$R$2:$R$24,MATCH("2018::jama.2018.14280::C007",'C_jama.2018.14280'!$A$2:$A$24,0))="","",INDEX('C_jama.2018.14280'!$R$2:$R$24,MATCH("2018::jama.2018.14280::C007",'C_jama.2018.14280'!$A$2:$A$24,0))),"NOT FROZEN")</x:f>
      </x:c>
      <x:c r="J29" s="3" t="str">
        <x:f>IF(Setup!$B$6="primary",INDEX('C_jama.2018.14280'!$F$2:$F$24,MATCH("2018::jama.2018.14280::C007",'C_jama.2018.14280'!$A$2:$A$24,0)),"NOT FROZEN")</x:f>
        <x:v>no</x:v>
      </x:c>
      <x:c r="K29" s="3" t="str">
        <x:f>IF(Setup!$B$6="primary",Setup!$B$2,"NOT FROZEN")</x:f>
      </x:c>
      <x:c r="L29" s="3" t="str">
        <x:f>IF(Setup!$B$6="primary",IF(OR(B29="",B29="not_applicable"),"","Disposition: "&amp;B29&amp;CHAR(10))&amp;IF(OR(C29="",C29="not_applicable"),"","Review domain: "&amp;C29&amp;CHAR(10))&amp;IF(OR(D29="",D29="not_applicable"),"","Statistcal_or_numerical issue: "&amp;D29&amp;CHAR(10))&amp;IF(OR(E29="",E29="not_applicable"),"","Substantiveness: "&amp;E29&amp;CHAR(10))&amp;IF(OR(F29="",F29="not_applicable"),"","Downstream impact: "&amp;F29&amp;CHAR(10))&amp;IF(OR(G29="",G29="not_applicable"),"","Report-internal or planning-material inconsistency: "&amp;G29&amp;CHAR(10))&amp;IF(OR(H29="",H29="not_applicable"),"","Protocol interpretation: "&amp;H29&amp;CHAR(10))&amp;IF(OR(I29="",I29="not_applicable"),"","Notes (optional): "&amp;I29&amp;CHAR(10)),"NOT FROZEN")</x:f>
        <x:v>Review domain: statistical_results
</x:v>
      </x:c>
    </x:row>
    <x:row r="30" ht="70" customHeight="1">
      <x:c r="A30" s="6" t="str">
        <x:f>IF(Setup!$B$6="primary","2018::jama.2018.14280::C008","NOT FROZEN")</x:f>
        <x:v>2018::jama.2018.14280::C008</x:v>
      </x:c>
      <x:c r="B30" s="6" t="str">
        <x:f>IF(Setup!$B$6="primary",IF(INDEX('C_jama.2018.14280'!$D$2:$D$24,MATCH("2018::jama.2018.14280::C008",'C_jama.2018.14280'!$A$2:$A$24,0))="","",INDEX('C_jama.2018.14280'!$D$2:$D$24,MATCH("2018::jama.2018.14280::C008",'C_jama.2018.14280'!$A$2:$A$24,0))),"NOT FROZEN")</x:f>
      </x:c>
      <x:c r="C30" s="6" t="str">
        <x:f>IF(Setup!$B$6="primary",IF(INDEX('C_jama.2018.14280'!$E$2:$E$24,MATCH("2018::jama.2018.14280::C008",'C_jama.2018.14280'!$A$2:$A$24,0))="","",INDEX('C_jama.2018.14280'!$E$2:$E$24,MATCH("2018::jama.2018.14280::C008",'C_jama.2018.14280'!$A$2:$A$24,0))),"NOT FROZEN")</x:f>
        <x:v>statistical_results</x:v>
      </x:c>
      <x:c r="D30" s="6" t="str">
        <x:f>IF(Setup!$B$6="primary",IF(AND(INDEX('C_jama.2018.14280'!$D$2:$D$24,MATCH("2018::jama.2018.14280::C008",'C_jama.2018.14280'!$A$2:$A$24,0))="retain",INDEX('C_jama.2018.14280'!$E$2:$E$24,MATCH("2018::jama.2018.14280::C008",'C_jama.2018.14280'!$A$2:$A$24,0))="statistical_results"),IF(INDEX('C_jama.2018.14280'!$H$2:$H$24,MATCH("2018::jama.2018.14280::C008",'C_jama.2018.14280'!$A$2:$A$24,0))="","",INDEX('C_jama.2018.14280'!$H$2:$H$24,MATCH("2018::jama.2018.14280::C008",'C_jama.2018.14280'!$A$2:$A$24,0))),"not_applicable"),"NOT FROZEN")</x:f>
        <x:v>not_applicable</x:v>
      </x:c>
      <x:c r="E30" s="6" t="str">
        <x:f>IF(Setup!$B$6="primary",IF(AND(INDEX('C_jama.2018.14280'!$D$2:$D$24,MATCH("2018::jama.2018.14280::C008",'C_jama.2018.14280'!$A$2:$A$24,0))="retain",INDEX('C_jama.2018.14280'!$E$2:$E$24,MATCH("2018::jama.2018.14280::C008",'C_jama.2018.14280'!$A$2:$A$24,0))="statistical_results"),IF(INDEX('C_jama.2018.14280'!$I$2:$I$24,MATCH("2018::jama.2018.14280::C008",'C_jama.2018.14280'!$A$2:$A$24,0))="","",INDEX('C_jama.2018.14280'!$I$2:$I$24,MATCH("2018::jama.2018.14280::C008",'C_jama.2018.14280'!$A$2:$A$24,0))),"not_applicable"),"NOT FROZEN")</x:f>
        <x:v>not_applicable</x:v>
      </x:c>
      <x:c r="F30" s="6" t="str">
        <x:f>IF(Setup!$B$6="primary",IF(AND(INDEX('C_jama.2018.14280'!$D$2:$D$24,MATCH("2018::jama.2018.14280::C008",'C_jama.2018.14280'!$A$2:$A$24,0))="retain",INDEX('C_jama.2018.14280'!$E$2:$E$24,MATCH("2018::jama.2018.14280::C008",'C_jama.2018.14280'!$A$2:$A$24,0))="statistical_results"),IF(INDEX('C_jama.2018.14280'!$J$2:$J$24,MATCH("2018::jama.2018.14280::C008",'C_jama.2018.14280'!$A$2:$A$24,0))="","",INDEX('C_jama.2018.14280'!$J$2:$J$24,MATCH("2018::jama.2018.14280::C008",'C_jama.2018.14280'!$A$2:$A$24,0))),"not_applicable"),"NOT FROZEN")</x:f>
        <x:v>not_applicable</x:v>
      </x:c>
      <x:c r="G30" s="6" t="str">
        <x:f>IF(Setup!$B$6="primary",IF(AND(INDEX('C_jama.2018.14280'!$D$2:$D$24,MATCH("2018::jama.2018.14280::C008",'C_jama.2018.14280'!$A$2:$A$24,0))="retain",OR(INDEX('C_jama.2018.14280'!$E$2:$E$24,MATCH("2018::jama.2018.14280::C008",'C_jama.2018.14280'!$A$2:$A$24,0))="report_internal_inconsistency",INDEX('C_jama.2018.14280'!$E$2:$E$24,MATCH("2018::jama.2018.14280::C008",'C_jama.2018.14280'!$A$2:$A$24,0))="plan_material")),IF(INDEX('C_jama.2018.14280'!$K$2:$K$24,MATCH("2018::jama.2018.14280::C008",'C_jama.2018.14280'!$A$2:$A$24,0))="","",INDEX('C_jama.2018.14280'!$K$2:$K$24,MATCH("2018::jama.2018.14280::C008",'C_jama.2018.14280'!$A$2:$A$24,0))),"not_applicable"),"NOT FROZEN")</x:f>
        <x:v>not_applicable</x:v>
      </x:c>
      <x:c r="H30" s="6" t="str">
        <x:f>IF(Setup!$B$6="primary",IF(AND(INDEX('C_jama.2018.14280'!$D$2:$D$24,MATCH("2018::jama.2018.14280::C008",'C_jama.2018.14280'!$A$2:$A$24,0))="retain",INDEX('C_jama.2018.14280'!$E$2:$E$24,MATCH("2018::jama.2018.14280::C008",'C_jama.2018.14280'!$A$2:$A$24,0))="protocol_report"),IF(INDEX('C_jama.2018.14280'!$L$2:$L$24,MATCH("2018::jama.2018.14280::C008",'C_jama.2018.14280'!$A$2:$A$24,0))="","",INDEX('C_jama.2018.14280'!$L$2:$L$24,MATCH("2018::jama.2018.14280::C008",'C_jama.2018.14280'!$A$2:$A$24,0))),"not_applicable"),"NOT FROZEN")</x:f>
        <x:v>not_applicable</x:v>
      </x:c>
      <x:c r="I30" s="6" t="str">
        <x:f>IF(Setup!$B$6="primary",IF(INDEX('C_jama.2018.14280'!$R$2:$R$24,MATCH("2018::jama.2018.14280::C008",'C_jama.2018.14280'!$A$2:$A$24,0))="","",INDEX('C_jama.2018.14280'!$R$2:$R$24,MATCH("2018::jama.2018.14280::C008",'C_jama.2018.14280'!$A$2:$A$24,0))),"NOT FROZEN")</x:f>
      </x:c>
      <x:c r="J30" s="6" t="str">
        <x:f>IF(Setup!$B$6="primary",INDEX('C_jama.2018.14280'!$F$2:$F$24,MATCH("2018::jama.2018.14280::C008",'C_jama.2018.14280'!$A$2:$A$24,0)),"NOT FROZEN")</x:f>
        <x:v>no</x:v>
      </x:c>
      <x:c r="K30" s="6" t="str">
        <x:f>IF(Setup!$B$6="primary",Setup!$B$2,"NOT FROZEN")</x:f>
      </x:c>
      <x:c r="L30" s="6" t="str">
        <x:f>IF(Setup!$B$6="primary",IF(OR(B30="",B30="not_applicable"),"","Disposition: "&amp;B30&amp;CHAR(10))&amp;IF(OR(C30="",C30="not_applicable"),"","Review domain: "&amp;C30&amp;CHAR(10))&amp;IF(OR(D30="",D30="not_applicable"),"","Statistcal_or_numerical issue: "&amp;D30&amp;CHAR(10))&amp;IF(OR(E30="",E30="not_applicable"),"","Substantiveness: "&amp;E30&amp;CHAR(10))&amp;IF(OR(F30="",F30="not_applicable"),"","Downstream impact: "&amp;F30&amp;CHAR(10))&amp;IF(OR(G30="",G30="not_applicable"),"","Report-internal or planning-material inconsistency: "&amp;G30&amp;CHAR(10))&amp;IF(OR(H30="",H30="not_applicable"),"","Protocol interpretation: "&amp;H30&amp;CHAR(10))&amp;IF(OR(I30="",I30="not_applicable"),"","Notes (optional): "&amp;I30&amp;CHAR(10)),"NOT FROZEN")</x:f>
        <x:v>Review domain: statistical_results
</x:v>
      </x:c>
    </x:row>
    <x:row r="31" ht="70" customHeight="1">
      <x:c r="A31" s="3" t="str">
        <x:f>IF(Setup!$B$6="primary","2018::jama.2018.14280::C009","NOT FROZEN")</x:f>
        <x:v>2018::jama.2018.14280::C009</x:v>
      </x:c>
      <x:c r="B31" s="3" t="str">
        <x:f>IF(Setup!$B$6="primary",IF(INDEX('C_jama.2018.14280'!$D$2:$D$24,MATCH("2018::jama.2018.14280::C009",'C_jama.2018.14280'!$A$2:$A$24,0))="","",INDEX('C_jama.2018.14280'!$D$2:$D$24,MATCH("2018::jama.2018.14280::C009",'C_jama.2018.14280'!$A$2:$A$24,0))),"NOT FROZEN")</x:f>
      </x:c>
      <x:c r="C31" s="3" t="str">
        <x:f>IF(Setup!$B$6="primary",IF(INDEX('C_jama.2018.14280'!$E$2:$E$24,MATCH("2018::jama.2018.14280::C009",'C_jama.2018.14280'!$A$2:$A$24,0))="","",INDEX('C_jama.2018.14280'!$E$2:$E$24,MATCH("2018::jama.2018.14280::C009",'C_jama.2018.14280'!$A$2:$A$24,0))),"NOT FROZEN")</x:f>
        <x:v>statistical_results</x:v>
      </x:c>
      <x:c r="D31" s="3" t="str">
        <x:f>IF(Setup!$B$6="primary",IF(AND(INDEX('C_jama.2018.14280'!$D$2:$D$24,MATCH("2018::jama.2018.14280::C009",'C_jama.2018.14280'!$A$2:$A$24,0))="retain",INDEX('C_jama.2018.14280'!$E$2:$E$24,MATCH("2018::jama.2018.14280::C009",'C_jama.2018.14280'!$A$2:$A$24,0))="statistical_results"),IF(INDEX('C_jama.2018.14280'!$H$2:$H$24,MATCH("2018::jama.2018.14280::C009",'C_jama.2018.14280'!$A$2:$A$24,0))="","",INDEX('C_jama.2018.14280'!$H$2:$H$24,MATCH("2018::jama.2018.14280::C009",'C_jama.2018.14280'!$A$2:$A$24,0))),"not_applicable"),"NOT FROZEN")</x:f>
        <x:v>not_applicable</x:v>
      </x:c>
      <x:c r="E31" s="3" t="str">
        <x:f>IF(Setup!$B$6="primary",IF(AND(INDEX('C_jama.2018.14280'!$D$2:$D$24,MATCH("2018::jama.2018.14280::C009",'C_jama.2018.14280'!$A$2:$A$24,0))="retain",INDEX('C_jama.2018.14280'!$E$2:$E$24,MATCH("2018::jama.2018.14280::C009",'C_jama.2018.14280'!$A$2:$A$24,0))="statistical_results"),IF(INDEX('C_jama.2018.14280'!$I$2:$I$24,MATCH("2018::jama.2018.14280::C009",'C_jama.2018.14280'!$A$2:$A$24,0))="","",INDEX('C_jama.2018.14280'!$I$2:$I$24,MATCH("2018::jama.2018.14280::C009",'C_jama.2018.14280'!$A$2:$A$24,0))),"not_applicable"),"NOT FROZEN")</x:f>
        <x:v>not_applicable</x:v>
      </x:c>
      <x:c r="F31" s="3" t="str">
        <x:f>IF(Setup!$B$6="primary",IF(AND(INDEX('C_jama.2018.14280'!$D$2:$D$24,MATCH("2018::jama.2018.14280::C009",'C_jama.2018.14280'!$A$2:$A$24,0))="retain",INDEX('C_jama.2018.14280'!$E$2:$E$24,MATCH("2018::jama.2018.14280::C009",'C_jama.2018.14280'!$A$2:$A$24,0))="statistical_results"),IF(INDEX('C_jama.2018.14280'!$J$2:$J$24,MATCH("2018::jama.2018.14280::C009",'C_jama.2018.14280'!$A$2:$A$24,0))="","",INDEX('C_jama.2018.14280'!$J$2:$J$24,MATCH("2018::jama.2018.14280::C009",'C_jama.2018.14280'!$A$2:$A$24,0))),"not_applicable"),"NOT FROZEN")</x:f>
        <x:v>not_applicable</x:v>
      </x:c>
      <x:c r="G31" s="3" t="str">
        <x:f>IF(Setup!$B$6="primary",IF(AND(INDEX('C_jama.2018.14280'!$D$2:$D$24,MATCH("2018::jama.2018.14280::C009",'C_jama.2018.14280'!$A$2:$A$24,0))="retain",OR(INDEX('C_jama.2018.14280'!$E$2:$E$24,MATCH("2018::jama.2018.14280::C009",'C_jama.2018.14280'!$A$2:$A$24,0))="report_internal_inconsistency",INDEX('C_jama.2018.14280'!$E$2:$E$24,MATCH("2018::jama.2018.14280::C009",'C_jama.2018.14280'!$A$2:$A$24,0))="plan_material")),IF(INDEX('C_jama.2018.14280'!$K$2:$K$24,MATCH("2018::jama.2018.14280::C009",'C_jama.2018.14280'!$A$2:$A$24,0))="","",INDEX('C_jama.2018.14280'!$K$2:$K$24,MATCH("2018::jama.2018.14280::C009",'C_jama.2018.14280'!$A$2:$A$24,0))),"not_applicable"),"NOT FROZEN")</x:f>
        <x:v>not_applicable</x:v>
      </x:c>
      <x:c r="H31" s="3" t="str">
        <x:f>IF(Setup!$B$6="primary",IF(AND(INDEX('C_jama.2018.14280'!$D$2:$D$24,MATCH("2018::jama.2018.14280::C009",'C_jama.2018.14280'!$A$2:$A$24,0))="retain",INDEX('C_jama.2018.14280'!$E$2:$E$24,MATCH("2018::jama.2018.14280::C009",'C_jama.2018.14280'!$A$2:$A$24,0))="protocol_report"),IF(INDEX('C_jama.2018.14280'!$L$2:$L$24,MATCH("2018::jama.2018.14280::C009",'C_jama.2018.14280'!$A$2:$A$24,0))="","",INDEX('C_jama.2018.14280'!$L$2:$L$24,MATCH("2018::jama.2018.14280::C009",'C_jama.2018.14280'!$A$2:$A$24,0))),"not_applicable"),"NOT FROZEN")</x:f>
        <x:v>not_applicable</x:v>
      </x:c>
      <x:c r="I31" s="3" t="str">
        <x:f>IF(Setup!$B$6="primary",IF(INDEX('C_jama.2018.14280'!$R$2:$R$24,MATCH("2018::jama.2018.14280::C009",'C_jama.2018.14280'!$A$2:$A$24,0))="","",INDEX('C_jama.2018.14280'!$R$2:$R$24,MATCH("2018::jama.2018.14280::C009",'C_jama.2018.14280'!$A$2:$A$24,0))),"NOT FROZEN")</x:f>
      </x:c>
      <x:c r="J31" s="3" t="str">
        <x:f>IF(Setup!$B$6="primary",INDEX('C_jama.2018.14280'!$F$2:$F$24,MATCH("2018::jama.2018.14280::C009",'C_jama.2018.14280'!$A$2:$A$24,0)),"NOT FROZEN")</x:f>
        <x:v>no</x:v>
      </x:c>
      <x:c r="K31" s="3" t="str">
        <x:f>IF(Setup!$B$6="primary",Setup!$B$2,"NOT FROZEN")</x:f>
      </x:c>
      <x:c r="L31" s="3" t="str">
        <x:f>IF(Setup!$B$6="primary",IF(OR(B31="",B31="not_applicable"),"","Disposition: "&amp;B31&amp;CHAR(10))&amp;IF(OR(C31="",C31="not_applicable"),"","Review domain: "&amp;C31&amp;CHAR(10))&amp;IF(OR(D31="",D31="not_applicable"),"","Statistcal_or_numerical issue: "&amp;D31&amp;CHAR(10))&amp;IF(OR(E31="",E31="not_applicable"),"","Substantiveness: "&amp;E31&amp;CHAR(10))&amp;IF(OR(F31="",F31="not_applicable"),"","Downstream impact: "&amp;F31&amp;CHAR(10))&amp;IF(OR(G31="",G31="not_applicable"),"","Report-internal or planning-material inconsistency: "&amp;G31&amp;CHAR(10))&amp;IF(OR(H31="",H31="not_applicable"),"","Protocol interpretation: "&amp;H31&amp;CHAR(10))&amp;IF(OR(I31="",I31="not_applicable"),"","Notes (optional): "&amp;I31&amp;CHAR(10)),"NOT FROZEN")</x:f>
        <x:v>Review domain: statistical_results
</x:v>
      </x:c>
    </x:row>
    <x:row r="32" ht="70" customHeight="1">
      <x:c r="A32" s="6" t="str">
        <x:f>IF(Setup!$B$6="primary","2018::jama.2018.14280::C010","NOT FROZEN")</x:f>
        <x:v>2018::jama.2018.14280::C010</x:v>
      </x:c>
      <x:c r="B32" s="6" t="str">
        <x:f>IF(Setup!$B$6="primary",IF(INDEX('C_jama.2018.14280'!$D$2:$D$24,MATCH("2018::jama.2018.14280::C010",'C_jama.2018.14280'!$A$2:$A$24,0))="","",INDEX('C_jama.2018.14280'!$D$2:$D$24,MATCH("2018::jama.2018.14280::C010",'C_jama.2018.14280'!$A$2:$A$24,0))),"NOT FROZEN")</x:f>
      </x:c>
      <x:c r="C32" s="6" t="str">
        <x:f>IF(Setup!$B$6="primary",IF(INDEX('C_jama.2018.14280'!$E$2:$E$24,MATCH("2018::jama.2018.14280::C010",'C_jama.2018.14280'!$A$2:$A$24,0))="","",INDEX('C_jama.2018.14280'!$E$2:$E$24,MATCH("2018::jama.2018.14280::C010",'C_jama.2018.14280'!$A$2:$A$24,0))),"NOT FROZEN")</x:f>
        <x:v>statistical_results</x:v>
      </x:c>
      <x:c r="D32" s="6" t="str">
        <x:f>IF(Setup!$B$6="primary",IF(AND(INDEX('C_jama.2018.14280'!$D$2:$D$24,MATCH("2018::jama.2018.14280::C010",'C_jama.2018.14280'!$A$2:$A$24,0))="retain",INDEX('C_jama.2018.14280'!$E$2:$E$24,MATCH("2018::jama.2018.14280::C010",'C_jama.2018.14280'!$A$2:$A$24,0))="statistical_results"),IF(INDEX('C_jama.2018.14280'!$H$2:$H$24,MATCH("2018::jama.2018.14280::C010",'C_jama.2018.14280'!$A$2:$A$24,0))="","",INDEX('C_jama.2018.14280'!$H$2:$H$24,MATCH("2018::jama.2018.14280::C010",'C_jama.2018.14280'!$A$2:$A$24,0))),"not_applicable"),"NOT FROZEN")</x:f>
        <x:v>not_applicable</x:v>
      </x:c>
      <x:c r="E32" s="6" t="str">
        <x:f>IF(Setup!$B$6="primary",IF(AND(INDEX('C_jama.2018.14280'!$D$2:$D$24,MATCH("2018::jama.2018.14280::C010",'C_jama.2018.14280'!$A$2:$A$24,0))="retain",INDEX('C_jama.2018.14280'!$E$2:$E$24,MATCH("2018::jama.2018.14280::C010",'C_jama.2018.14280'!$A$2:$A$24,0))="statistical_results"),IF(INDEX('C_jama.2018.14280'!$I$2:$I$24,MATCH("2018::jama.2018.14280::C010",'C_jama.2018.14280'!$A$2:$A$24,0))="","",INDEX('C_jama.2018.14280'!$I$2:$I$24,MATCH("2018::jama.2018.14280::C010",'C_jama.2018.14280'!$A$2:$A$24,0))),"not_applicable"),"NOT FROZEN")</x:f>
        <x:v>not_applicable</x:v>
      </x:c>
      <x:c r="F32" s="6" t="str">
        <x:f>IF(Setup!$B$6="primary",IF(AND(INDEX('C_jama.2018.14280'!$D$2:$D$24,MATCH("2018::jama.2018.14280::C010",'C_jama.2018.14280'!$A$2:$A$24,0))="retain",INDEX('C_jama.2018.14280'!$E$2:$E$24,MATCH("2018::jama.2018.14280::C010",'C_jama.2018.14280'!$A$2:$A$24,0))="statistical_results"),IF(INDEX('C_jama.2018.14280'!$J$2:$J$24,MATCH("2018::jama.2018.14280::C010",'C_jama.2018.14280'!$A$2:$A$24,0))="","",INDEX('C_jama.2018.14280'!$J$2:$J$24,MATCH("2018::jama.2018.14280::C010",'C_jama.2018.14280'!$A$2:$A$24,0))),"not_applicable"),"NOT FROZEN")</x:f>
        <x:v>not_applicable</x:v>
      </x:c>
      <x:c r="G32" s="6" t="str">
        <x:f>IF(Setup!$B$6="primary",IF(AND(INDEX('C_jama.2018.14280'!$D$2:$D$24,MATCH("2018::jama.2018.14280::C010",'C_jama.2018.14280'!$A$2:$A$24,0))="retain",OR(INDEX('C_jama.2018.14280'!$E$2:$E$24,MATCH("2018::jama.2018.14280::C010",'C_jama.2018.14280'!$A$2:$A$24,0))="report_internal_inconsistency",INDEX('C_jama.2018.14280'!$E$2:$E$24,MATCH("2018::jama.2018.14280::C010",'C_jama.2018.14280'!$A$2:$A$24,0))="plan_material")),IF(INDEX('C_jama.2018.14280'!$K$2:$K$24,MATCH("2018::jama.2018.14280::C010",'C_jama.2018.14280'!$A$2:$A$24,0))="","",INDEX('C_jama.2018.14280'!$K$2:$K$24,MATCH("2018::jama.2018.14280::C010",'C_jama.2018.14280'!$A$2:$A$24,0))),"not_applicable"),"NOT FROZEN")</x:f>
        <x:v>not_applicable</x:v>
      </x:c>
      <x:c r="H32" s="6" t="str">
        <x:f>IF(Setup!$B$6="primary",IF(AND(INDEX('C_jama.2018.14280'!$D$2:$D$24,MATCH("2018::jama.2018.14280::C010",'C_jama.2018.14280'!$A$2:$A$24,0))="retain",INDEX('C_jama.2018.14280'!$E$2:$E$24,MATCH("2018::jama.2018.14280::C010",'C_jama.2018.14280'!$A$2:$A$24,0))="protocol_report"),IF(INDEX('C_jama.2018.14280'!$L$2:$L$24,MATCH("2018::jama.2018.14280::C010",'C_jama.2018.14280'!$A$2:$A$24,0))="","",INDEX('C_jama.2018.14280'!$L$2:$L$24,MATCH("2018::jama.2018.14280::C010",'C_jama.2018.14280'!$A$2:$A$24,0))),"not_applicable"),"NOT FROZEN")</x:f>
        <x:v>not_applicable</x:v>
      </x:c>
      <x:c r="I32" s="6" t="str">
        <x:f>IF(Setup!$B$6="primary",IF(INDEX('C_jama.2018.14280'!$R$2:$R$24,MATCH("2018::jama.2018.14280::C010",'C_jama.2018.14280'!$A$2:$A$24,0))="","",INDEX('C_jama.2018.14280'!$R$2:$R$24,MATCH("2018::jama.2018.14280::C010",'C_jama.2018.14280'!$A$2:$A$24,0))),"NOT FROZEN")</x:f>
      </x:c>
      <x:c r="J32" s="6" t="str">
        <x:f>IF(Setup!$B$6="primary",INDEX('C_jama.2018.14280'!$F$2:$F$24,MATCH("2018::jama.2018.14280::C010",'C_jama.2018.14280'!$A$2:$A$24,0)),"NOT FROZEN")</x:f>
        <x:v>no</x:v>
      </x:c>
      <x:c r="K32" s="6" t="str">
        <x:f>IF(Setup!$B$6="primary",Setup!$B$2,"NOT FROZEN")</x:f>
      </x:c>
      <x:c r="L32" s="6" t="str">
        <x:f>IF(Setup!$B$6="primary",IF(OR(B32="",B32="not_applicable"),"","Disposition: "&amp;B32&amp;CHAR(10))&amp;IF(OR(C32="",C32="not_applicable"),"","Review domain: "&amp;C32&amp;CHAR(10))&amp;IF(OR(D32="",D32="not_applicable"),"","Statistcal_or_numerical issue: "&amp;D32&amp;CHAR(10))&amp;IF(OR(E32="",E32="not_applicable"),"","Substantiveness: "&amp;E32&amp;CHAR(10))&amp;IF(OR(F32="",F32="not_applicable"),"","Downstream impact: "&amp;F32&amp;CHAR(10))&amp;IF(OR(G32="",G32="not_applicable"),"","Report-internal or planning-material inconsistency: "&amp;G32&amp;CHAR(10))&amp;IF(OR(H32="",H32="not_applicable"),"","Protocol interpretation: "&amp;H32&amp;CHAR(10))&amp;IF(OR(I32="",I32="not_applicable"),"","Notes (optional): "&amp;I32&amp;CHAR(10)),"NOT FROZEN")</x:f>
        <x:v>Review domain: statistical_results
</x:v>
      </x:c>
    </x:row>
    <x:row r="33" ht="70" customHeight="1">
      <x:c r="A33" s="3" t="str">
        <x:f>IF(Setup!$B$6="primary","2018::jama.2018.14280::C011","NOT FROZEN")</x:f>
        <x:v>2018::jama.2018.14280::C011</x:v>
      </x:c>
      <x:c r="B33" s="3" t="str">
        <x:f>IF(Setup!$B$6="primary",IF(INDEX('C_jama.2018.14280'!$D$2:$D$24,MATCH("2018::jama.2018.14280::C011",'C_jama.2018.14280'!$A$2:$A$24,0))="","",INDEX('C_jama.2018.14280'!$D$2:$D$24,MATCH("2018::jama.2018.14280::C011",'C_jama.2018.14280'!$A$2:$A$24,0))),"NOT FROZEN")</x:f>
      </x:c>
      <x:c r="C33" s="3" t="str">
        <x:f>IF(Setup!$B$6="primary",IF(INDEX('C_jama.2018.14280'!$E$2:$E$24,MATCH("2018::jama.2018.14280::C011",'C_jama.2018.14280'!$A$2:$A$24,0))="","",INDEX('C_jama.2018.14280'!$E$2:$E$24,MATCH("2018::jama.2018.14280::C011",'C_jama.2018.14280'!$A$2:$A$24,0))),"NOT FROZEN")</x:f>
        <x:v>report_internal_inconsistency</x:v>
      </x:c>
      <x:c r="D33" s="3" t="str">
        <x:f>IF(Setup!$B$6="primary",IF(AND(INDEX('C_jama.2018.14280'!$D$2:$D$24,MATCH("2018::jama.2018.14280::C011",'C_jama.2018.14280'!$A$2:$A$24,0))="retain",INDEX('C_jama.2018.14280'!$E$2:$E$24,MATCH("2018::jama.2018.14280::C011",'C_jama.2018.14280'!$A$2:$A$24,0))="statistical_results"),IF(INDEX('C_jama.2018.14280'!$H$2:$H$24,MATCH("2018::jama.2018.14280::C011",'C_jama.2018.14280'!$A$2:$A$24,0))="","",INDEX('C_jama.2018.14280'!$H$2:$H$24,MATCH("2018::jama.2018.14280::C011",'C_jama.2018.14280'!$A$2:$A$24,0))),"not_applicable"),"NOT FROZEN")</x:f>
        <x:v>not_applicable</x:v>
      </x:c>
      <x:c r="E33" s="3" t="str">
        <x:f>IF(Setup!$B$6="primary",IF(AND(INDEX('C_jama.2018.14280'!$D$2:$D$24,MATCH("2018::jama.2018.14280::C011",'C_jama.2018.14280'!$A$2:$A$24,0))="retain",INDEX('C_jama.2018.14280'!$E$2:$E$24,MATCH("2018::jama.2018.14280::C011",'C_jama.2018.14280'!$A$2:$A$24,0))="statistical_results"),IF(INDEX('C_jama.2018.14280'!$I$2:$I$24,MATCH("2018::jama.2018.14280::C011",'C_jama.2018.14280'!$A$2:$A$24,0))="","",INDEX('C_jama.2018.14280'!$I$2:$I$24,MATCH("2018::jama.2018.14280::C011",'C_jama.2018.14280'!$A$2:$A$24,0))),"not_applicable"),"NOT FROZEN")</x:f>
        <x:v>not_applicable</x:v>
      </x:c>
      <x:c r="F33" s="3" t="str">
        <x:f>IF(Setup!$B$6="primary",IF(AND(INDEX('C_jama.2018.14280'!$D$2:$D$24,MATCH("2018::jama.2018.14280::C011",'C_jama.2018.14280'!$A$2:$A$24,0))="retain",INDEX('C_jama.2018.14280'!$E$2:$E$24,MATCH("2018::jama.2018.14280::C011",'C_jama.2018.14280'!$A$2:$A$24,0))="statistical_results"),IF(INDEX('C_jama.2018.14280'!$J$2:$J$24,MATCH("2018::jama.2018.14280::C011",'C_jama.2018.14280'!$A$2:$A$24,0))="","",INDEX('C_jama.2018.14280'!$J$2:$J$24,MATCH("2018::jama.2018.14280::C011",'C_jama.2018.14280'!$A$2:$A$24,0))),"not_applicable"),"NOT FROZEN")</x:f>
        <x:v>not_applicable</x:v>
      </x:c>
      <x:c r="G33" s="3" t="str">
        <x:f>IF(Setup!$B$6="primary",IF(AND(INDEX('C_jama.2018.14280'!$D$2:$D$24,MATCH("2018::jama.2018.14280::C011",'C_jama.2018.14280'!$A$2:$A$24,0))="retain",OR(INDEX('C_jama.2018.14280'!$E$2:$E$24,MATCH("2018::jama.2018.14280::C011",'C_jama.2018.14280'!$A$2:$A$24,0))="report_internal_inconsistency",INDEX('C_jama.2018.14280'!$E$2:$E$24,MATCH("2018::jama.2018.14280::C011",'C_jama.2018.14280'!$A$2:$A$24,0))="plan_material")),IF(INDEX('C_jama.2018.14280'!$K$2:$K$24,MATCH("2018::jama.2018.14280::C011",'C_jama.2018.14280'!$A$2:$A$24,0))="","",INDEX('C_jama.2018.14280'!$K$2:$K$24,MATCH("2018::jama.2018.14280::C011",'C_jama.2018.14280'!$A$2:$A$24,0))),"not_applicable"),"NOT FROZEN")</x:f>
        <x:v>not_applicable</x:v>
      </x:c>
      <x:c r="H33" s="3" t="str">
        <x:f>IF(Setup!$B$6="primary",IF(AND(INDEX('C_jama.2018.14280'!$D$2:$D$24,MATCH("2018::jama.2018.14280::C011",'C_jama.2018.14280'!$A$2:$A$24,0))="retain",INDEX('C_jama.2018.14280'!$E$2:$E$24,MATCH("2018::jama.2018.14280::C011",'C_jama.2018.14280'!$A$2:$A$24,0))="protocol_report"),IF(INDEX('C_jama.2018.14280'!$L$2:$L$24,MATCH("2018::jama.2018.14280::C011",'C_jama.2018.14280'!$A$2:$A$24,0))="","",INDEX('C_jama.2018.14280'!$L$2:$L$24,MATCH("2018::jama.2018.14280::C011",'C_jama.2018.14280'!$A$2:$A$24,0))),"not_applicable"),"NOT FROZEN")</x:f>
        <x:v>not_applicable</x:v>
      </x:c>
      <x:c r="I33" s="3" t="str">
        <x:f>IF(Setup!$B$6="primary",IF(INDEX('C_jama.2018.14280'!$R$2:$R$24,MATCH("2018::jama.2018.14280::C011",'C_jama.2018.14280'!$A$2:$A$24,0))="","",INDEX('C_jama.2018.14280'!$R$2:$R$24,MATCH("2018::jama.2018.14280::C011",'C_jama.2018.14280'!$A$2:$A$24,0))),"NOT FROZEN")</x:f>
      </x:c>
      <x:c r="J33" s="3" t="str">
        <x:f>IF(Setup!$B$6="primary",INDEX('C_jama.2018.14280'!$F$2:$F$24,MATCH("2018::jama.2018.14280::C011",'C_jama.2018.14280'!$A$2:$A$24,0)),"NOT FROZEN")</x:f>
        <x:v>no</x:v>
      </x:c>
      <x:c r="K33" s="3" t="str">
        <x:f>IF(Setup!$B$6="primary",Setup!$B$2,"NOT FROZEN")</x:f>
      </x:c>
      <x:c r="L33" s="3" t="str">
        <x:f>IF(Setup!$B$6="primary",IF(OR(B33="",B33="not_applicable"),"","Disposition: "&amp;B33&amp;CHAR(10))&amp;IF(OR(C33="",C33="not_applicable"),"","Review domain: "&amp;C33&amp;CHAR(10))&amp;IF(OR(D33="",D33="not_applicable"),"","Statistcal_or_numerical issue: "&amp;D33&amp;CHAR(10))&amp;IF(OR(E33="",E33="not_applicable"),"","Substantiveness: "&amp;E33&amp;CHAR(10))&amp;IF(OR(F33="",F33="not_applicable"),"","Downstream impact: "&amp;F33&amp;CHAR(10))&amp;IF(OR(G33="",G33="not_applicable"),"","Report-internal or planning-material inconsistency: "&amp;G33&amp;CHAR(10))&amp;IF(OR(H33="",H33="not_applicable"),"","Protocol interpretation: "&amp;H33&amp;CHAR(10))&amp;IF(OR(I33="",I33="not_applicable"),"","Notes (optional): "&amp;I33&amp;CHAR(10)),"NOT FROZEN")</x:f>
        <x:v>Review domain: report_internal_inconsistency
</x:v>
      </x:c>
    </x:row>
    <x:row r="34" ht="70" customHeight="1">
      <x:c r="A34" s="6" t="str">
        <x:f>IF(Setup!$B$6="primary","2018::jama.2018.14280::C012","NOT FROZEN")</x:f>
        <x:v>2018::jama.2018.14280::C012</x:v>
      </x:c>
      <x:c r="B34" s="6" t="str">
        <x:f>IF(Setup!$B$6="primary",IF(INDEX('C_jama.2018.14280'!$D$2:$D$24,MATCH("2018::jama.2018.14280::C012",'C_jama.2018.14280'!$A$2:$A$24,0))="","",INDEX('C_jama.2018.14280'!$D$2:$D$24,MATCH("2018::jama.2018.14280::C012",'C_jama.2018.14280'!$A$2:$A$24,0))),"NOT FROZEN")</x:f>
      </x:c>
      <x:c r="C34" s="6" t="str">
        <x:f>IF(Setup!$B$6="primary",IF(INDEX('C_jama.2018.14280'!$E$2:$E$24,MATCH("2018::jama.2018.14280::C012",'C_jama.2018.14280'!$A$2:$A$24,0))="","",INDEX('C_jama.2018.14280'!$E$2:$E$24,MATCH("2018::jama.2018.14280::C012",'C_jama.2018.14280'!$A$2:$A$24,0))),"NOT FROZEN")</x:f>
        <x:v>statistical_results</x:v>
      </x:c>
      <x:c r="D34" s="6" t="str">
        <x:f>IF(Setup!$B$6="primary",IF(AND(INDEX('C_jama.2018.14280'!$D$2:$D$24,MATCH("2018::jama.2018.14280::C012",'C_jama.2018.14280'!$A$2:$A$24,0))="retain",INDEX('C_jama.2018.14280'!$E$2:$E$24,MATCH("2018::jama.2018.14280::C012",'C_jama.2018.14280'!$A$2:$A$24,0))="statistical_results"),IF(INDEX('C_jama.2018.14280'!$H$2:$H$24,MATCH("2018::jama.2018.14280::C012",'C_jama.2018.14280'!$A$2:$A$24,0))="","",INDEX('C_jama.2018.14280'!$H$2:$H$24,MATCH("2018::jama.2018.14280::C012",'C_jama.2018.14280'!$A$2:$A$24,0))),"not_applicable"),"NOT FROZEN")</x:f>
        <x:v>not_applicable</x:v>
      </x:c>
      <x:c r="E34" s="6" t="str">
        <x:f>IF(Setup!$B$6="primary",IF(AND(INDEX('C_jama.2018.14280'!$D$2:$D$24,MATCH("2018::jama.2018.14280::C012",'C_jama.2018.14280'!$A$2:$A$24,0))="retain",INDEX('C_jama.2018.14280'!$E$2:$E$24,MATCH("2018::jama.2018.14280::C012",'C_jama.2018.14280'!$A$2:$A$24,0))="statistical_results"),IF(INDEX('C_jama.2018.14280'!$I$2:$I$24,MATCH("2018::jama.2018.14280::C012",'C_jama.2018.14280'!$A$2:$A$24,0))="","",INDEX('C_jama.2018.14280'!$I$2:$I$24,MATCH("2018::jama.2018.14280::C012",'C_jama.2018.14280'!$A$2:$A$24,0))),"not_applicable"),"NOT FROZEN")</x:f>
        <x:v>not_applicable</x:v>
      </x:c>
      <x:c r="F34" s="6" t="str">
        <x:f>IF(Setup!$B$6="primary",IF(AND(INDEX('C_jama.2018.14280'!$D$2:$D$24,MATCH("2018::jama.2018.14280::C012",'C_jama.2018.14280'!$A$2:$A$24,0))="retain",INDEX('C_jama.2018.14280'!$E$2:$E$24,MATCH("2018::jama.2018.14280::C012",'C_jama.2018.14280'!$A$2:$A$24,0))="statistical_results"),IF(INDEX('C_jama.2018.14280'!$J$2:$J$24,MATCH("2018::jama.2018.14280::C012",'C_jama.2018.14280'!$A$2:$A$24,0))="","",INDEX('C_jama.2018.14280'!$J$2:$J$24,MATCH("2018::jama.2018.14280::C012",'C_jama.2018.14280'!$A$2:$A$24,0))),"not_applicable"),"NOT FROZEN")</x:f>
        <x:v>not_applicable</x:v>
      </x:c>
      <x:c r="G34" s="6" t="str">
        <x:f>IF(Setup!$B$6="primary",IF(AND(INDEX('C_jama.2018.14280'!$D$2:$D$24,MATCH("2018::jama.2018.14280::C012",'C_jama.2018.14280'!$A$2:$A$24,0))="retain",OR(INDEX('C_jama.2018.14280'!$E$2:$E$24,MATCH("2018::jama.2018.14280::C012",'C_jama.2018.14280'!$A$2:$A$24,0))="report_internal_inconsistency",INDEX('C_jama.2018.14280'!$E$2:$E$24,MATCH("2018::jama.2018.14280::C012",'C_jama.2018.14280'!$A$2:$A$24,0))="plan_material")),IF(INDEX('C_jama.2018.14280'!$K$2:$K$24,MATCH("2018::jama.2018.14280::C012",'C_jama.2018.14280'!$A$2:$A$24,0))="","",INDEX('C_jama.2018.14280'!$K$2:$K$24,MATCH("2018::jama.2018.14280::C012",'C_jama.2018.14280'!$A$2:$A$24,0))),"not_applicable"),"NOT FROZEN")</x:f>
        <x:v>not_applicable</x:v>
      </x:c>
      <x:c r="H34" s="6" t="str">
        <x:f>IF(Setup!$B$6="primary",IF(AND(INDEX('C_jama.2018.14280'!$D$2:$D$24,MATCH("2018::jama.2018.14280::C012",'C_jama.2018.14280'!$A$2:$A$24,0))="retain",INDEX('C_jama.2018.14280'!$E$2:$E$24,MATCH("2018::jama.2018.14280::C012",'C_jama.2018.14280'!$A$2:$A$24,0))="protocol_report"),IF(INDEX('C_jama.2018.14280'!$L$2:$L$24,MATCH("2018::jama.2018.14280::C012",'C_jama.2018.14280'!$A$2:$A$24,0))="","",INDEX('C_jama.2018.14280'!$L$2:$L$24,MATCH("2018::jama.2018.14280::C012",'C_jama.2018.14280'!$A$2:$A$24,0))),"not_applicable"),"NOT FROZEN")</x:f>
        <x:v>not_applicable</x:v>
      </x:c>
      <x:c r="I34" s="6" t="str">
        <x:f>IF(Setup!$B$6="primary",IF(INDEX('C_jama.2018.14280'!$R$2:$R$24,MATCH("2018::jama.2018.14280::C012",'C_jama.2018.14280'!$A$2:$A$24,0))="","",INDEX('C_jama.2018.14280'!$R$2:$R$24,MATCH("2018::jama.2018.14280::C012",'C_jama.2018.14280'!$A$2:$A$24,0))),"NOT FROZEN")</x:f>
      </x:c>
      <x:c r="J34" s="6" t="str">
        <x:f>IF(Setup!$B$6="primary",INDEX('C_jama.2018.14280'!$F$2:$F$24,MATCH("2018::jama.2018.14280::C012",'C_jama.2018.14280'!$A$2:$A$24,0)),"NOT FROZEN")</x:f>
        <x:v>no</x:v>
      </x:c>
      <x:c r="K34" s="6" t="str">
        <x:f>IF(Setup!$B$6="primary",Setup!$B$2,"NOT FROZEN")</x:f>
      </x:c>
      <x:c r="L34" s="6" t="str">
        <x:f>IF(Setup!$B$6="primary",IF(OR(B34="",B34="not_applicable"),"","Disposition: "&amp;B34&amp;CHAR(10))&amp;IF(OR(C34="",C34="not_applicable"),"","Review domain: "&amp;C34&amp;CHAR(10))&amp;IF(OR(D34="",D34="not_applicable"),"","Statistcal_or_numerical issue: "&amp;D34&amp;CHAR(10))&amp;IF(OR(E34="",E34="not_applicable"),"","Substantiveness: "&amp;E34&amp;CHAR(10))&amp;IF(OR(F34="",F34="not_applicable"),"","Downstream impact: "&amp;F34&amp;CHAR(10))&amp;IF(OR(G34="",G34="not_applicable"),"","Report-internal or planning-material inconsistency: "&amp;G34&amp;CHAR(10))&amp;IF(OR(H34="",H34="not_applicable"),"","Protocol interpretation: "&amp;H34&amp;CHAR(10))&amp;IF(OR(I34="",I34="not_applicable"),"","Notes (optional): "&amp;I34&amp;CHAR(10)),"NOT FROZEN")</x:f>
        <x:v>Review domain: statistical_results
</x:v>
      </x:c>
    </x:row>
    <x:row r="35" ht="70" customHeight="1">
      <x:c r="A35" s="3" t="str">
        <x:f>IF(Setup!$B$6="primary","2018::jama.2018.14280::C013","NOT FROZEN")</x:f>
        <x:v>2018::jama.2018.14280::C013</x:v>
      </x:c>
      <x:c r="B35" s="3" t="str">
        <x:f>IF(Setup!$B$6="primary",IF(INDEX('C_jama.2018.14280'!$D$2:$D$24,MATCH("2018::jama.2018.14280::C013",'C_jama.2018.14280'!$A$2:$A$24,0))="","",INDEX('C_jama.2018.14280'!$D$2:$D$24,MATCH("2018::jama.2018.14280::C013",'C_jama.2018.14280'!$A$2:$A$24,0))),"NOT FROZEN")</x:f>
      </x:c>
      <x:c r="C35" s="3" t="str">
        <x:f>IF(Setup!$B$6="primary",IF(INDEX('C_jama.2018.14280'!$E$2:$E$24,MATCH("2018::jama.2018.14280::C013",'C_jama.2018.14280'!$A$2:$A$24,0))="","",INDEX('C_jama.2018.14280'!$E$2:$E$24,MATCH("2018::jama.2018.14280::C013",'C_jama.2018.14280'!$A$2:$A$24,0))),"NOT FROZEN")</x:f>
        <x:v>statistical_results</x:v>
      </x:c>
      <x:c r="D35" s="3" t="str">
        <x:f>IF(Setup!$B$6="primary",IF(AND(INDEX('C_jama.2018.14280'!$D$2:$D$24,MATCH("2018::jama.2018.14280::C013",'C_jama.2018.14280'!$A$2:$A$24,0))="retain",INDEX('C_jama.2018.14280'!$E$2:$E$24,MATCH("2018::jama.2018.14280::C013",'C_jama.2018.14280'!$A$2:$A$24,0))="statistical_results"),IF(INDEX('C_jama.2018.14280'!$H$2:$H$24,MATCH("2018::jama.2018.14280::C013",'C_jama.2018.14280'!$A$2:$A$24,0))="","",INDEX('C_jama.2018.14280'!$H$2:$H$24,MATCH("2018::jama.2018.14280::C013",'C_jama.2018.14280'!$A$2:$A$24,0))),"not_applicable"),"NOT FROZEN")</x:f>
        <x:v>not_applicable</x:v>
      </x:c>
      <x:c r="E35" s="3" t="str">
        <x:f>IF(Setup!$B$6="primary",IF(AND(INDEX('C_jama.2018.14280'!$D$2:$D$24,MATCH("2018::jama.2018.14280::C013",'C_jama.2018.14280'!$A$2:$A$24,0))="retain",INDEX('C_jama.2018.14280'!$E$2:$E$24,MATCH("2018::jama.2018.14280::C013",'C_jama.2018.14280'!$A$2:$A$24,0))="statistical_results"),IF(INDEX('C_jama.2018.14280'!$I$2:$I$24,MATCH("2018::jama.2018.14280::C013",'C_jama.2018.14280'!$A$2:$A$24,0))="","",INDEX('C_jama.2018.14280'!$I$2:$I$24,MATCH("2018::jama.2018.14280::C013",'C_jama.2018.14280'!$A$2:$A$24,0))),"not_applicable"),"NOT FROZEN")</x:f>
        <x:v>not_applicable</x:v>
      </x:c>
      <x:c r="F35" s="3" t="str">
        <x:f>IF(Setup!$B$6="primary",IF(AND(INDEX('C_jama.2018.14280'!$D$2:$D$24,MATCH("2018::jama.2018.14280::C013",'C_jama.2018.14280'!$A$2:$A$24,0))="retain",INDEX('C_jama.2018.14280'!$E$2:$E$24,MATCH("2018::jama.2018.14280::C013",'C_jama.2018.14280'!$A$2:$A$24,0))="statistical_results"),IF(INDEX('C_jama.2018.14280'!$J$2:$J$24,MATCH("2018::jama.2018.14280::C013",'C_jama.2018.14280'!$A$2:$A$24,0))="","",INDEX('C_jama.2018.14280'!$J$2:$J$24,MATCH("2018::jama.2018.14280::C013",'C_jama.2018.14280'!$A$2:$A$24,0))),"not_applicable"),"NOT FROZEN")</x:f>
        <x:v>not_applicable</x:v>
      </x:c>
      <x:c r="G35" s="3" t="str">
        <x:f>IF(Setup!$B$6="primary",IF(AND(INDEX('C_jama.2018.14280'!$D$2:$D$24,MATCH("2018::jama.2018.14280::C013",'C_jama.2018.14280'!$A$2:$A$24,0))="retain",OR(INDEX('C_jama.2018.14280'!$E$2:$E$24,MATCH("2018::jama.2018.14280::C013",'C_jama.2018.14280'!$A$2:$A$24,0))="report_internal_inconsistency",INDEX('C_jama.2018.14280'!$E$2:$E$24,MATCH("2018::jama.2018.14280::C013",'C_jama.2018.14280'!$A$2:$A$24,0))="plan_material")),IF(INDEX('C_jama.2018.14280'!$K$2:$K$24,MATCH("2018::jama.2018.14280::C013",'C_jama.2018.14280'!$A$2:$A$24,0))="","",INDEX('C_jama.2018.14280'!$K$2:$K$24,MATCH("2018::jama.2018.14280::C013",'C_jama.2018.14280'!$A$2:$A$24,0))),"not_applicable"),"NOT FROZEN")</x:f>
        <x:v>not_applicable</x:v>
      </x:c>
      <x:c r="H35" s="3" t="str">
        <x:f>IF(Setup!$B$6="primary",IF(AND(INDEX('C_jama.2018.14280'!$D$2:$D$24,MATCH("2018::jama.2018.14280::C013",'C_jama.2018.14280'!$A$2:$A$24,0))="retain",INDEX('C_jama.2018.14280'!$E$2:$E$24,MATCH("2018::jama.2018.14280::C013",'C_jama.2018.14280'!$A$2:$A$24,0))="protocol_report"),IF(INDEX('C_jama.2018.14280'!$L$2:$L$24,MATCH("2018::jama.2018.14280::C013",'C_jama.2018.14280'!$A$2:$A$24,0))="","",INDEX('C_jama.2018.14280'!$L$2:$L$24,MATCH("2018::jama.2018.14280::C013",'C_jama.2018.14280'!$A$2:$A$24,0))),"not_applicable"),"NOT FROZEN")</x:f>
        <x:v>not_applicable</x:v>
      </x:c>
      <x:c r="I35" s="3" t="str">
        <x:f>IF(Setup!$B$6="primary",IF(INDEX('C_jama.2018.14280'!$R$2:$R$24,MATCH("2018::jama.2018.14280::C013",'C_jama.2018.14280'!$A$2:$A$24,0))="","",INDEX('C_jama.2018.14280'!$R$2:$R$24,MATCH("2018::jama.2018.14280::C013",'C_jama.2018.14280'!$A$2:$A$24,0))),"NOT FROZEN")</x:f>
      </x:c>
      <x:c r="J35" s="3" t="str">
        <x:f>IF(Setup!$B$6="primary",INDEX('C_jama.2018.14280'!$F$2:$F$24,MATCH("2018::jama.2018.14280::C013",'C_jama.2018.14280'!$A$2:$A$24,0)),"NOT FROZEN")</x:f>
        <x:v>no</x:v>
      </x:c>
      <x:c r="K35" s="3" t="str">
        <x:f>IF(Setup!$B$6="primary",Setup!$B$2,"NOT FROZEN")</x:f>
      </x:c>
      <x:c r="L35" s="3" t="str">
        <x:f>IF(Setup!$B$6="primary",IF(OR(B35="",B35="not_applicable"),"","Disposition: "&amp;B35&amp;CHAR(10))&amp;IF(OR(C35="",C35="not_applicable"),"","Review domain: "&amp;C35&amp;CHAR(10))&amp;IF(OR(D35="",D35="not_applicable"),"","Statistcal_or_numerical issue: "&amp;D35&amp;CHAR(10))&amp;IF(OR(E35="",E35="not_applicable"),"","Substantiveness: "&amp;E35&amp;CHAR(10))&amp;IF(OR(F35="",F35="not_applicable"),"","Downstream impact: "&amp;F35&amp;CHAR(10))&amp;IF(OR(G35="",G35="not_applicable"),"","Report-internal or planning-material inconsistency: "&amp;G35&amp;CHAR(10))&amp;IF(OR(H35="",H35="not_applicable"),"","Protocol interpretation: "&amp;H35&amp;CHAR(10))&amp;IF(OR(I35="",I35="not_applicable"),"","Notes (optional): "&amp;I35&amp;CHAR(10)),"NOT FROZEN")</x:f>
        <x:v>Review domain: statistical_results
</x:v>
      </x:c>
    </x:row>
    <x:row r="36" ht="70" customHeight="1">
      <x:c r="A36" s="6" t="str">
        <x:f>IF(Setup!$B$6="primary","2018::jama.2018.14280::C014","NOT FROZEN")</x:f>
        <x:v>2018::jama.2018.14280::C014</x:v>
      </x:c>
      <x:c r="B36" s="6" t="str">
        <x:f>IF(Setup!$B$6="primary",IF(INDEX('C_jama.2018.14280'!$D$2:$D$24,MATCH("2018::jama.2018.14280::C014",'C_jama.2018.14280'!$A$2:$A$24,0))="","",INDEX('C_jama.2018.14280'!$D$2:$D$24,MATCH("2018::jama.2018.14280::C014",'C_jama.2018.14280'!$A$2:$A$24,0))),"NOT FROZEN")</x:f>
      </x:c>
      <x:c r="C36" s="6" t="str">
        <x:f>IF(Setup!$B$6="primary",IF(INDEX('C_jama.2018.14280'!$E$2:$E$24,MATCH("2018::jama.2018.14280::C014",'C_jama.2018.14280'!$A$2:$A$24,0))="","",INDEX('C_jama.2018.14280'!$E$2:$E$24,MATCH("2018::jama.2018.14280::C014",'C_jama.2018.14280'!$A$2:$A$24,0))),"NOT FROZEN")</x:f>
        <x:v>statistical_results</x:v>
      </x:c>
      <x:c r="D36" s="6" t="str">
        <x:f>IF(Setup!$B$6="primary",IF(AND(INDEX('C_jama.2018.14280'!$D$2:$D$24,MATCH("2018::jama.2018.14280::C014",'C_jama.2018.14280'!$A$2:$A$24,0))="retain",INDEX('C_jama.2018.14280'!$E$2:$E$24,MATCH("2018::jama.2018.14280::C014",'C_jama.2018.14280'!$A$2:$A$24,0))="statistical_results"),IF(INDEX('C_jama.2018.14280'!$H$2:$H$24,MATCH("2018::jama.2018.14280::C014",'C_jama.2018.14280'!$A$2:$A$24,0))="","",INDEX('C_jama.2018.14280'!$H$2:$H$24,MATCH("2018::jama.2018.14280::C014",'C_jama.2018.14280'!$A$2:$A$24,0))),"not_applicable"),"NOT FROZEN")</x:f>
        <x:v>not_applicable</x:v>
      </x:c>
      <x:c r="E36" s="6" t="str">
        <x:f>IF(Setup!$B$6="primary",IF(AND(INDEX('C_jama.2018.14280'!$D$2:$D$24,MATCH("2018::jama.2018.14280::C014",'C_jama.2018.14280'!$A$2:$A$24,0))="retain",INDEX('C_jama.2018.14280'!$E$2:$E$24,MATCH("2018::jama.2018.14280::C014",'C_jama.2018.14280'!$A$2:$A$24,0))="statistical_results"),IF(INDEX('C_jama.2018.14280'!$I$2:$I$24,MATCH("2018::jama.2018.14280::C014",'C_jama.2018.14280'!$A$2:$A$24,0))="","",INDEX('C_jama.2018.14280'!$I$2:$I$24,MATCH("2018::jama.2018.14280::C014",'C_jama.2018.14280'!$A$2:$A$24,0))),"not_applicable"),"NOT FROZEN")</x:f>
        <x:v>not_applicable</x:v>
      </x:c>
      <x:c r="F36" s="6" t="str">
        <x:f>IF(Setup!$B$6="primary",IF(AND(INDEX('C_jama.2018.14280'!$D$2:$D$24,MATCH("2018::jama.2018.14280::C014",'C_jama.2018.14280'!$A$2:$A$24,0))="retain",INDEX('C_jama.2018.14280'!$E$2:$E$24,MATCH("2018::jama.2018.14280::C014",'C_jama.2018.14280'!$A$2:$A$24,0))="statistical_results"),IF(INDEX('C_jama.2018.14280'!$J$2:$J$24,MATCH("2018::jama.2018.14280::C014",'C_jama.2018.14280'!$A$2:$A$24,0))="","",INDEX('C_jama.2018.14280'!$J$2:$J$24,MATCH("2018::jama.2018.14280::C014",'C_jama.2018.14280'!$A$2:$A$24,0))),"not_applicable"),"NOT FROZEN")</x:f>
        <x:v>not_applicable</x:v>
      </x:c>
      <x:c r="G36" s="6" t="str">
        <x:f>IF(Setup!$B$6="primary",IF(AND(INDEX('C_jama.2018.14280'!$D$2:$D$24,MATCH("2018::jama.2018.14280::C014",'C_jama.2018.14280'!$A$2:$A$24,0))="retain",OR(INDEX('C_jama.2018.14280'!$E$2:$E$24,MATCH("2018::jama.2018.14280::C014",'C_jama.2018.14280'!$A$2:$A$24,0))="report_internal_inconsistency",INDEX('C_jama.2018.14280'!$E$2:$E$24,MATCH("2018::jama.2018.14280::C014",'C_jama.2018.14280'!$A$2:$A$24,0))="plan_material")),IF(INDEX('C_jama.2018.14280'!$K$2:$K$24,MATCH("2018::jama.2018.14280::C014",'C_jama.2018.14280'!$A$2:$A$24,0))="","",INDEX('C_jama.2018.14280'!$K$2:$K$24,MATCH("2018::jama.2018.14280::C014",'C_jama.2018.14280'!$A$2:$A$24,0))),"not_applicable"),"NOT FROZEN")</x:f>
        <x:v>not_applicable</x:v>
      </x:c>
      <x:c r="H36" s="6" t="str">
        <x:f>IF(Setup!$B$6="primary",IF(AND(INDEX('C_jama.2018.14280'!$D$2:$D$24,MATCH("2018::jama.2018.14280::C014",'C_jama.2018.14280'!$A$2:$A$24,0))="retain",INDEX('C_jama.2018.14280'!$E$2:$E$24,MATCH("2018::jama.2018.14280::C014",'C_jama.2018.14280'!$A$2:$A$24,0))="protocol_report"),IF(INDEX('C_jama.2018.14280'!$L$2:$L$24,MATCH("2018::jama.2018.14280::C014",'C_jama.2018.14280'!$A$2:$A$24,0))="","",INDEX('C_jama.2018.14280'!$L$2:$L$24,MATCH("2018::jama.2018.14280::C014",'C_jama.2018.14280'!$A$2:$A$24,0))),"not_applicable"),"NOT FROZEN")</x:f>
        <x:v>not_applicable</x:v>
      </x:c>
      <x:c r="I36" s="6" t="str">
        <x:f>IF(Setup!$B$6="primary",IF(INDEX('C_jama.2018.14280'!$R$2:$R$24,MATCH("2018::jama.2018.14280::C014",'C_jama.2018.14280'!$A$2:$A$24,0))="","",INDEX('C_jama.2018.14280'!$R$2:$R$24,MATCH("2018::jama.2018.14280::C014",'C_jama.2018.14280'!$A$2:$A$24,0))),"NOT FROZEN")</x:f>
      </x:c>
      <x:c r="J36" s="6" t="str">
        <x:f>IF(Setup!$B$6="primary",INDEX('C_jama.2018.14280'!$F$2:$F$24,MATCH("2018::jama.2018.14280::C014",'C_jama.2018.14280'!$A$2:$A$24,0)),"NOT FROZEN")</x:f>
        <x:v>no</x:v>
      </x:c>
      <x:c r="K36" s="6" t="str">
        <x:f>IF(Setup!$B$6="primary",Setup!$B$2,"NOT FROZEN")</x:f>
      </x:c>
      <x:c r="L36" s="6" t="str">
        <x:f>IF(Setup!$B$6="primary",IF(OR(B36="",B36="not_applicable"),"","Disposition: "&amp;B36&amp;CHAR(10))&amp;IF(OR(C36="",C36="not_applicable"),"","Review domain: "&amp;C36&amp;CHAR(10))&amp;IF(OR(D36="",D36="not_applicable"),"","Statistcal_or_numerical issue: "&amp;D36&amp;CHAR(10))&amp;IF(OR(E36="",E36="not_applicable"),"","Substantiveness: "&amp;E36&amp;CHAR(10))&amp;IF(OR(F36="",F36="not_applicable"),"","Downstream impact: "&amp;F36&amp;CHAR(10))&amp;IF(OR(G36="",G36="not_applicable"),"","Report-internal or planning-material inconsistency: "&amp;G36&amp;CHAR(10))&amp;IF(OR(H36="",H36="not_applicable"),"","Protocol interpretation: "&amp;H36&amp;CHAR(10))&amp;IF(OR(I36="",I36="not_applicable"),"","Notes (optional): "&amp;I36&amp;CHAR(10)),"NOT FROZEN")</x:f>
        <x:v>Review domain: statistical_results
</x:v>
      </x:c>
    </x:row>
    <x:row r="37" ht="70" customHeight="1">
      <x:c r="A37" s="3" t="str">
        <x:f>IF(Setup!$B$6="primary","2018::jama.2018.14280::C015","NOT FROZEN")</x:f>
        <x:v>2018::jama.2018.14280::C015</x:v>
      </x:c>
      <x:c r="B37" s="3" t="str">
        <x:f>IF(Setup!$B$6="primary",IF(INDEX('C_jama.2018.14280'!$D$2:$D$24,MATCH("2018::jama.2018.14280::C015",'C_jama.2018.14280'!$A$2:$A$24,0))="","",INDEX('C_jama.2018.14280'!$D$2:$D$24,MATCH("2018::jama.2018.14280::C015",'C_jama.2018.14280'!$A$2:$A$24,0))),"NOT FROZEN")</x:f>
      </x:c>
      <x:c r="C37" s="3" t="str">
        <x:f>IF(Setup!$B$6="primary",IF(INDEX('C_jama.2018.14280'!$E$2:$E$24,MATCH("2018::jama.2018.14280::C015",'C_jama.2018.14280'!$A$2:$A$24,0))="","",INDEX('C_jama.2018.14280'!$E$2:$E$24,MATCH("2018::jama.2018.14280::C015",'C_jama.2018.14280'!$A$2:$A$24,0))),"NOT FROZEN")</x:f>
        <x:v>statistical_results</x:v>
      </x:c>
      <x:c r="D37" s="3" t="str">
        <x:f>IF(Setup!$B$6="primary",IF(AND(INDEX('C_jama.2018.14280'!$D$2:$D$24,MATCH("2018::jama.2018.14280::C015",'C_jama.2018.14280'!$A$2:$A$24,0))="retain",INDEX('C_jama.2018.14280'!$E$2:$E$24,MATCH("2018::jama.2018.14280::C015",'C_jama.2018.14280'!$A$2:$A$24,0))="statistical_results"),IF(INDEX('C_jama.2018.14280'!$H$2:$H$24,MATCH("2018::jama.2018.14280::C015",'C_jama.2018.14280'!$A$2:$A$24,0))="","",INDEX('C_jama.2018.14280'!$H$2:$H$24,MATCH("2018::jama.2018.14280::C015",'C_jama.2018.14280'!$A$2:$A$24,0))),"not_applicable"),"NOT FROZEN")</x:f>
        <x:v>not_applicable</x:v>
      </x:c>
      <x:c r="E37" s="3" t="str">
        <x:f>IF(Setup!$B$6="primary",IF(AND(INDEX('C_jama.2018.14280'!$D$2:$D$24,MATCH("2018::jama.2018.14280::C015",'C_jama.2018.14280'!$A$2:$A$24,0))="retain",INDEX('C_jama.2018.14280'!$E$2:$E$24,MATCH("2018::jama.2018.14280::C015",'C_jama.2018.14280'!$A$2:$A$24,0))="statistical_results"),IF(INDEX('C_jama.2018.14280'!$I$2:$I$24,MATCH("2018::jama.2018.14280::C015",'C_jama.2018.14280'!$A$2:$A$24,0))="","",INDEX('C_jama.2018.14280'!$I$2:$I$24,MATCH("2018::jama.2018.14280::C015",'C_jama.2018.14280'!$A$2:$A$24,0))),"not_applicable"),"NOT FROZEN")</x:f>
        <x:v>not_applicable</x:v>
      </x:c>
      <x:c r="F37" s="3" t="str">
        <x:f>IF(Setup!$B$6="primary",IF(AND(INDEX('C_jama.2018.14280'!$D$2:$D$24,MATCH("2018::jama.2018.14280::C015",'C_jama.2018.14280'!$A$2:$A$24,0))="retain",INDEX('C_jama.2018.14280'!$E$2:$E$24,MATCH("2018::jama.2018.14280::C015",'C_jama.2018.14280'!$A$2:$A$24,0))="statistical_results"),IF(INDEX('C_jama.2018.14280'!$J$2:$J$24,MATCH("2018::jama.2018.14280::C015",'C_jama.2018.14280'!$A$2:$A$24,0))="","",INDEX('C_jama.2018.14280'!$J$2:$J$24,MATCH("2018::jama.2018.14280::C015",'C_jama.2018.14280'!$A$2:$A$24,0))),"not_applicable"),"NOT FROZEN")</x:f>
        <x:v>not_applicable</x:v>
      </x:c>
      <x:c r="G37" s="3" t="str">
        <x:f>IF(Setup!$B$6="primary",IF(AND(INDEX('C_jama.2018.14280'!$D$2:$D$24,MATCH("2018::jama.2018.14280::C015",'C_jama.2018.14280'!$A$2:$A$24,0))="retain",OR(INDEX('C_jama.2018.14280'!$E$2:$E$24,MATCH("2018::jama.2018.14280::C015",'C_jama.2018.14280'!$A$2:$A$24,0))="report_internal_inconsistency",INDEX('C_jama.2018.14280'!$E$2:$E$24,MATCH("2018::jama.2018.14280::C015",'C_jama.2018.14280'!$A$2:$A$24,0))="plan_material")),IF(INDEX('C_jama.2018.14280'!$K$2:$K$24,MATCH("2018::jama.2018.14280::C015",'C_jama.2018.14280'!$A$2:$A$24,0))="","",INDEX('C_jama.2018.14280'!$K$2:$K$24,MATCH("2018::jama.2018.14280::C015",'C_jama.2018.14280'!$A$2:$A$24,0))),"not_applicable"),"NOT FROZEN")</x:f>
        <x:v>not_applicable</x:v>
      </x:c>
      <x:c r="H37" s="3" t="str">
        <x:f>IF(Setup!$B$6="primary",IF(AND(INDEX('C_jama.2018.14280'!$D$2:$D$24,MATCH("2018::jama.2018.14280::C015",'C_jama.2018.14280'!$A$2:$A$24,0))="retain",INDEX('C_jama.2018.14280'!$E$2:$E$24,MATCH("2018::jama.2018.14280::C015",'C_jama.2018.14280'!$A$2:$A$24,0))="protocol_report"),IF(INDEX('C_jama.2018.14280'!$L$2:$L$24,MATCH("2018::jama.2018.14280::C015",'C_jama.2018.14280'!$A$2:$A$24,0))="","",INDEX('C_jama.2018.14280'!$L$2:$L$24,MATCH("2018::jama.2018.14280::C015",'C_jama.2018.14280'!$A$2:$A$24,0))),"not_applicable"),"NOT FROZEN")</x:f>
        <x:v>not_applicable</x:v>
      </x:c>
      <x:c r="I37" s="3" t="str">
        <x:f>IF(Setup!$B$6="primary",IF(INDEX('C_jama.2018.14280'!$R$2:$R$24,MATCH("2018::jama.2018.14280::C015",'C_jama.2018.14280'!$A$2:$A$24,0))="","",INDEX('C_jama.2018.14280'!$R$2:$R$24,MATCH("2018::jama.2018.14280::C015",'C_jama.2018.14280'!$A$2:$A$24,0))),"NOT FROZEN")</x:f>
      </x:c>
      <x:c r="J37" s="3" t="str">
        <x:f>IF(Setup!$B$6="primary",INDEX('C_jama.2018.14280'!$F$2:$F$24,MATCH("2018::jama.2018.14280::C015",'C_jama.2018.14280'!$A$2:$A$24,0)),"NOT FROZEN")</x:f>
        <x:v>no</x:v>
      </x:c>
      <x:c r="K37" s="3" t="str">
        <x:f>IF(Setup!$B$6="primary",Setup!$B$2,"NOT FROZEN")</x:f>
      </x:c>
      <x:c r="L37" s="3" t="str">
        <x:f>IF(Setup!$B$6="primary",IF(OR(B37="",B37="not_applicable"),"","Disposition: "&amp;B37&amp;CHAR(10))&amp;IF(OR(C37="",C37="not_applicable"),"","Review domain: "&amp;C37&amp;CHAR(10))&amp;IF(OR(D37="",D37="not_applicable"),"","Statistcal_or_numerical issue: "&amp;D37&amp;CHAR(10))&amp;IF(OR(E37="",E37="not_applicable"),"","Substantiveness: "&amp;E37&amp;CHAR(10))&amp;IF(OR(F37="",F37="not_applicable"),"","Downstream impact: "&amp;F37&amp;CHAR(10))&amp;IF(OR(G37="",G37="not_applicable"),"","Report-internal or planning-material inconsistency: "&amp;G37&amp;CHAR(10))&amp;IF(OR(H37="",H37="not_applicable"),"","Protocol interpretation: "&amp;H37&amp;CHAR(10))&amp;IF(OR(I37="",I37="not_applicable"),"","Notes (optional): "&amp;I37&amp;CHAR(10)),"NOT FROZEN")</x:f>
        <x:v>Review domain: statistical_results
</x:v>
      </x:c>
    </x:row>
    <x:row r="38" ht="70" customHeight="1">
      <x:c r="A38" s="6" t="str">
        <x:f>IF(Setup!$B$6="primary","2018::jama.2018.14280::C016","NOT FROZEN")</x:f>
        <x:v>2018::jama.2018.14280::C016</x:v>
      </x:c>
      <x:c r="B38" s="6" t="str">
        <x:f>IF(Setup!$B$6="primary",IF(INDEX('C_jama.2018.14280'!$D$2:$D$24,MATCH("2018::jama.2018.14280::C016",'C_jama.2018.14280'!$A$2:$A$24,0))="","",INDEX('C_jama.2018.14280'!$D$2:$D$24,MATCH("2018::jama.2018.14280::C016",'C_jama.2018.14280'!$A$2:$A$24,0))),"NOT FROZEN")</x:f>
      </x:c>
      <x:c r="C38" s="6" t="str">
        <x:f>IF(Setup!$B$6="primary",IF(INDEX('C_jama.2018.14280'!$E$2:$E$24,MATCH("2018::jama.2018.14280::C016",'C_jama.2018.14280'!$A$2:$A$24,0))="","",INDEX('C_jama.2018.14280'!$E$2:$E$24,MATCH("2018::jama.2018.14280::C016",'C_jama.2018.14280'!$A$2:$A$24,0))),"NOT FROZEN")</x:f>
        <x:v>statistical_results</x:v>
      </x:c>
      <x:c r="D38" s="6" t="str">
        <x:f>IF(Setup!$B$6="primary",IF(AND(INDEX('C_jama.2018.14280'!$D$2:$D$24,MATCH("2018::jama.2018.14280::C016",'C_jama.2018.14280'!$A$2:$A$24,0))="retain",INDEX('C_jama.2018.14280'!$E$2:$E$24,MATCH("2018::jama.2018.14280::C016",'C_jama.2018.14280'!$A$2:$A$24,0))="statistical_results"),IF(INDEX('C_jama.2018.14280'!$H$2:$H$24,MATCH("2018::jama.2018.14280::C016",'C_jama.2018.14280'!$A$2:$A$24,0))="","",INDEX('C_jama.2018.14280'!$H$2:$H$24,MATCH("2018::jama.2018.14280::C016",'C_jama.2018.14280'!$A$2:$A$24,0))),"not_applicable"),"NOT FROZEN")</x:f>
        <x:v>not_applicable</x:v>
      </x:c>
      <x:c r="E38" s="6" t="str">
        <x:f>IF(Setup!$B$6="primary",IF(AND(INDEX('C_jama.2018.14280'!$D$2:$D$24,MATCH("2018::jama.2018.14280::C016",'C_jama.2018.14280'!$A$2:$A$24,0))="retain",INDEX('C_jama.2018.14280'!$E$2:$E$24,MATCH("2018::jama.2018.14280::C016",'C_jama.2018.14280'!$A$2:$A$24,0))="statistical_results"),IF(INDEX('C_jama.2018.14280'!$I$2:$I$24,MATCH("2018::jama.2018.14280::C016",'C_jama.2018.14280'!$A$2:$A$24,0))="","",INDEX('C_jama.2018.14280'!$I$2:$I$24,MATCH("2018::jama.2018.14280::C016",'C_jama.2018.14280'!$A$2:$A$24,0))),"not_applicable"),"NOT FROZEN")</x:f>
        <x:v>not_applicable</x:v>
      </x:c>
      <x:c r="F38" s="6" t="str">
        <x:f>IF(Setup!$B$6="primary",IF(AND(INDEX('C_jama.2018.14280'!$D$2:$D$24,MATCH("2018::jama.2018.14280::C016",'C_jama.2018.14280'!$A$2:$A$24,0))="retain",INDEX('C_jama.2018.14280'!$E$2:$E$24,MATCH("2018::jama.2018.14280::C016",'C_jama.2018.14280'!$A$2:$A$24,0))="statistical_results"),IF(INDEX('C_jama.2018.14280'!$J$2:$J$24,MATCH("2018::jama.2018.14280::C016",'C_jama.2018.14280'!$A$2:$A$24,0))="","",INDEX('C_jama.2018.14280'!$J$2:$J$24,MATCH("2018::jama.2018.14280::C016",'C_jama.2018.14280'!$A$2:$A$24,0))),"not_applicable"),"NOT FROZEN")</x:f>
        <x:v>not_applicable</x:v>
      </x:c>
      <x:c r="G38" s="6" t="str">
        <x:f>IF(Setup!$B$6="primary",IF(AND(INDEX('C_jama.2018.14280'!$D$2:$D$24,MATCH("2018::jama.2018.14280::C016",'C_jama.2018.14280'!$A$2:$A$24,0))="retain",OR(INDEX('C_jama.2018.14280'!$E$2:$E$24,MATCH("2018::jama.2018.14280::C016",'C_jama.2018.14280'!$A$2:$A$24,0))="report_internal_inconsistency",INDEX('C_jama.2018.14280'!$E$2:$E$24,MATCH("2018::jama.2018.14280::C016",'C_jama.2018.14280'!$A$2:$A$24,0))="plan_material")),IF(INDEX('C_jama.2018.14280'!$K$2:$K$24,MATCH("2018::jama.2018.14280::C016",'C_jama.2018.14280'!$A$2:$A$24,0))="","",INDEX('C_jama.2018.14280'!$K$2:$K$24,MATCH("2018::jama.2018.14280::C016",'C_jama.2018.14280'!$A$2:$A$24,0))),"not_applicable"),"NOT FROZEN")</x:f>
        <x:v>not_applicable</x:v>
      </x:c>
      <x:c r="H38" s="6" t="str">
        <x:f>IF(Setup!$B$6="primary",IF(AND(INDEX('C_jama.2018.14280'!$D$2:$D$24,MATCH("2018::jama.2018.14280::C016",'C_jama.2018.14280'!$A$2:$A$24,0))="retain",INDEX('C_jama.2018.14280'!$E$2:$E$24,MATCH("2018::jama.2018.14280::C016",'C_jama.2018.14280'!$A$2:$A$24,0))="protocol_report"),IF(INDEX('C_jama.2018.14280'!$L$2:$L$24,MATCH("2018::jama.2018.14280::C016",'C_jama.2018.14280'!$A$2:$A$24,0))="","",INDEX('C_jama.2018.14280'!$L$2:$L$24,MATCH("2018::jama.2018.14280::C016",'C_jama.2018.14280'!$A$2:$A$24,0))),"not_applicable"),"NOT FROZEN")</x:f>
        <x:v>not_applicable</x:v>
      </x:c>
      <x:c r="I38" s="6" t="str">
        <x:f>IF(Setup!$B$6="primary",IF(INDEX('C_jama.2018.14280'!$R$2:$R$24,MATCH("2018::jama.2018.14280::C016",'C_jama.2018.14280'!$A$2:$A$24,0))="","",INDEX('C_jama.2018.14280'!$R$2:$R$24,MATCH("2018::jama.2018.14280::C016",'C_jama.2018.14280'!$A$2:$A$24,0))),"NOT FROZEN")</x:f>
      </x:c>
      <x:c r="J38" s="6" t="str">
        <x:f>IF(Setup!$B$6="primary",INDEX('C_jama.2018.14280'!$F$2:$F$24,MATCH("2018::jama.2018.14280::C016",'C_jama.2018.14280'!$A$2:$A$24,0)),"NOT FROZEN")</x:f>
        <x:v>no</x:v>
      </x:c>
      <x:c r="K38" s="6" t="str">
        <x:f>IF(Setup!$B$6="primary",Setup!$B$2,"NOT FROZEN")</x:f>
      </x:c>
      <x:c r="L38" s="6" t="str">
        <x:f>IF(Setup!$B$6="primary",IF(OR(B38="",B38="not_applicable"),"","Disposition: "&amp;B38&amp;CHAR(10))&amp;IF(OR(C38="",C38="not_applicable"),"","Review domain: "&amp;C38&amp;CHAR(10))&amp;IF(OR(D38="",D38="not_applicable"),"","Statistcal_or_numerical issue: "&amp;D38&amp;CHAR(10))&amp;IF(OR(E38="",E38="not_applicable"),"","Substantiveness: "&amp;E38&amp;CHAR(10))&amp;IF(OR(F38="",F38="not_applicable"),"","Downstream impact: "&amp;F38&amp;CHAR(10))&amp;IF(OR(G38="",G38="not_applicable"),"","Report-internal or planning-material inconsistency: "&amp;G38&amp;CHAR(10))&amp;IF(OR(H38="",H38="not_applicable"),"","Protocol interpretation: "&amp;H38&amp;CHAR(10))&amp;IF(OR(I38="",I38="not_applicable"),"","Notes (optional): "&amp;I38&amp;CHAR(10)),"NOT FROZEN")</x:f>
        <x:v>Review domain: statistical_results
</x:v>
      </x:c>
    </x:row>
    <x:row r="39" ht="70" customHeight="1">
      <x:c r="A39" s="3" t="str">
        <x:f>IF(Setup!$B$6="primary","2018::jama.2018.14280::C017","NOT FROZEN")</x:f>
        <x:v>2018::jama.2018.14280::C017</x:v>
      </x:c>
      <x:c r="B39" s="3" t="str">
        <x:f>IF(Setup!$B$6="primary",IF(INDEX('C_jama.2018.14280'!$D$2:$D$24,MATCH("2018::jama.2018.14280::C017",'C_jama.2018.14280'!$A$2:$A$24,0))="","",INDEX('C_jama.2018.14280'!$D$2:$D$24,MATCH("2018::jama.2018.14280::C017",'C_jama.2018.14280'!$A$2:$A$24,0))),"NOT FROZEN")</x:f>
      </x:c>
      <x:c r="C39" s="3" t="str">
        <x:f>IF(Setup!$B$6="primary",IF(INDEX('C_jama.2018.14280'!$E$2:$E$24,MATCH("2018::jama.2018.14280::C017",'C_jama.2018.14280'!$A$2:$A$24,0))="","",INDEX('C_jama.2018.14280'!$E$2:$E$24,MATCH("2018::jama.2018.14280::C017",'C_jama.2018.14280'!$A$2:$A$24,0))),"NOT FROZEN")</x:f>
        <x:v>statistical_results</x:v>
      </x:c>
      <x:c r="D39" s="3" t="str">
        <x:f>IF(Setup!$B$6="primary",IF(AND(INDEX('C_jama.2018.14280'!$D$2:$D$24,MATCH("2018::jama.2018.14280::C017",'C_jama.2018.14280'!$A$2:$A$24,0))="retain",INDEX('C_jama.2018.14280'!$E$2:$E$24,MATCH("2018::jama.2018.14280::C017",'C_jama.2018.14280'!$A$2:$A$24,0))="statistical_results"),IF(INDEX('C_jama.2018.14280'!$H$2:$H$24,MATCH("2018::jama.2018.14280::C017",'C_jama.2018.14280'!$A$2:$A$24,0))="","",INDEX('C_jama.2018.14280'!$H$2:$H$24,MATCH("2018::jama.2018.14280::C017",'C_jama.2018.14280'!$A$2:$A$24,0))),"not_applicable"),"NOT FROZEN")</x:f>
        <x:v>not_applicable</x:v>
      </x:c>
      <x:c r="E39" s="3" t="str">
        <x:f>IF(Setup!$B$6="primary",IF(AND(INDEX('C_jama.2018.14280'!$D$2:$D$24,MATCH("2018::jama.2018.14280::C017",'C_jama.2018.14280'!$A$2:$A$24,0))="retain",INDEX('C_jama.2018.14280'!$E$2:$E$24,MATCH("2018::jama.2018.14280::C017",'C_jama.2018.14280'!$A$2:$A$24,0))="statistical_results"),IF(INDEX('C_jama.2018.14280'!$I$2:$I$24,MATCH("2018::jama.2018.14280::C017",'C_jama.2018.14280'!$A$2:$A$24,0))="","",INDEX('C_jama.2018.14280'!$I$2:$I$24,MATCH("2018::jama.2018.14280::C017",'C_jama.2018.14280'!$A$2:$A$24,0))),"not_applicable"),"NOT FROZEN")</x:f>
        <x:v>not_applicable</x:v>
      </x:c>
      <x:c r="F39" s="3" t="str">
        <x:f>IF(Setup!$B$6="primary",IF(AND(INDEX('C_jama.2018.14280'!$D$2:$D$24,MATCH("2018::jama.2018.14280::C017",'C_jama.2018.14280'!$A$2:$A$24,0))="retain",INDEX('C_jama.2018.14280'!$E$2:$E$24,MATCH("2018::jama.2018.14280::C017",'C_jama.2018.14280'!$A$2:$A$24,0))="statistical_results"),IF(INDEX('C_jama.2018.14280'!$J$2:$J$24,MATCH("2018::jama.2018.14280::C017",'C_jama.2018.14280'!$A$2:$A$24,0))="","",INDEX('C_jama.2018.14280'!$J$2:$J$24,MATCH("2018::jama.2018.14280::C017",'C_jama.2018.14280'!$A$2:$A$24,0))),"not_applicable"),"NOT FROZEN")</x:f>
        <x:v>not_applicable</x:v>
      </x:c>
      <x:c r="G39" s="3" t="str">
        <x:f>IF(Setup!$B$6="primary",IF(AND(INDEX('C_jama.2018.14280'!$D$2:$D$24,MATCH("2018::jama.2018.14280::C017",'C_jama.2018.14280'!$A$2:$A$24,0))="retain",OR(INDEX('C_jama.2018.14280'!$E$2:$E$24,MATCH("2018::jama.2018.14280::C017",'C_jama.2018.14280'!$A$2:$A$24,0))="report_internal_inconsistency",INDEX('C_jama.2018.14280'!$E$2:$E$24,MATCH("2018::jama.2018.14280::C017",'C_jama.2018.14280'!$A$2:$A$24,0))="plan_material")),IF(INDEX('C_jama.2018.14280'!$K$2:$K$24,MATCH("2018::jama.2018.14280::C017",'C_jama.2018.14280'!$A$2:$A$24,0))="","",INDEX('C_jama.2018.14280'!$K$2:$K$24,MATCH("2018::jama.2018.14280::C017",'C_jama.2018.14280'!$A$2:$A$24,0))),"not_applicable"),"NOT FROZEN")</x:f>
        <x:v>not_applicable</x:v>
      </x:c>
      <x:c r="H39" s="3" t="str">
        <x:f>IF(Setup!$B$6="primary",IF(AND(INDEX('C_jama.2018.14280'!$D$2:$D$24,MATCH("2018::jama.2018.14280::C017",'C_jama.2018.14280'!$A$2:$A$24,0))="retain",INDEX('C_jama.2018.14280'!$E$2:$E$24,MATCH("2018::jama.2018.14280::C017",'C_jama.2018.14280'!$A$2:$A$24,0))="protocol_report"),IF(INDEX('C_jama.2018.14280'!$L$2:$L$24,MATCH("2018::jama.2018.14280::C017",'C_jama.2018.14280'!$A$2:$A$24,0))="","",INDEX('C_jama.2018.14280'!$L$2:$L$24,MATCH("2018::jama.2018.14280::C017",'C_jama.2018.14280'!$A$2:$A$24,0))),"not_applicable"),"NOT FROZEN")</x:f>
        <x:v>not_applicable</x:v>
      </x:c>
      <x:c r="I39" s="3" t="str">
        <x:f>IF(Setup!$B$6="primary",IF(INDEX('C_jama.2018.14280'!$R$2:$R$24,MATCH("2018::jama.2018.14280::C017",'C_jama.2018.14280'!$A$2:$A$24,0))="","",INDEX('C_jama.2018.14280'!$R$2:$R$24,MATCH("2018::jama.2018.14280::C017",'C_jama.2018.14280'!$A$2:$A$24,0))),"NOT FROZEN")</x:f>
      </x:c>
      <x:c r="J39" s="3" t="str">
        <x:f>IF(Setup!$B$6="primary",INDEX('C_jama.2018.14280'!$F$2:$F$24,MATCH("2018::jama.2018.14280::C017",'C_jama.2018.14280'!$A$2:$A$24,0)),"NOT FROZEN")</x:f>
        <x:v>no</x:v>
      </x:c>
      <x:c r="K39" s="3" t="str">
        <x:f>IF(Setup!$B$6="primary",Setup!$B$2,"NOT FROZEN")</x:f>
      </x:c>
      <x:c r="L39" s="3" t="str">
        <x:f>IF(Setup!$B$6="primary",IF(OR(B39="",B39="not_applicable"),"","Disposition: "&amp;B39&amp;CHAR(10))&amp;IF(OR(C39="",C39="not_applicable"),"","Review domain: "&amp;C39&amp;CHAR(10))&amp;IF(OR(D39="",D39="not_applicable"),"","Statistcal_or_numerical issue: "&amp;D39&amp;CHAR(10))&amp;IF(OR(E39="",E39="not_applicable"),"","Substantiveness: "&amp;E39&amp;CHAR(10))&amp;IF(OR(F39="",F39="not_applicable"),"","Downstream impact: "&amp;F39&amp;CHAR(10))&amp;IF(OR(G39="",G39="not_applicable"),"","Report-internal or planning-material inconsistency: "&amp;G39&amp;CHAR(10))&amp;IF(OR(H39="",H39="not_applicable"),"","Protocol interpretation: "&amp;H39&amp;CHAR(10))&amp;IF(OR(I39="",I39="not_applicable"),"","Notes (optional): "&amp;I39&amp;CHAR(10)),"NOT FROZEN")</x:f>
        <x:v>Review domain: statistical_results
</x:v>
      </x:c>
    </x:row>
    <x:row r="40" ht="70" customHeight="1">
      <x:c r="A40" s="6" t="str">
        <x:f>IF(Setup!$B$6="primary","2018::jama.2018.14280::C018","NOT FROZEN")</x:f>
        <x:v>2018::jama.2018.14280::C018</x:v>
      </x:c>
      <x:c r="B40" s="6" t="str">
        <x:f>IF(Setup!$B$6="primary",IF(INDEX('C_jama.2018.14280'!$D$2:$D$24,MATCH("2018::jama.2018.14280::C018",'C_jama.2018.14280'!$A$2:$A$24,0))="","",INDEX('C_jama.2018.14280'!$D$2:$D$24,MATCH("2018::jama.2018.14280::C018",'C_jama.2018.14280'!$A$2:$A$24,0))),"NOT FROZEN")</x:f>
      </x:c>
      <x:c r="C40" s="6" t="str">
        <x:f>IF(Setup!$B$6="primary",IF(INDEX('C_jama.2018.14280'!$E$2:$E$24,MATCH("2018::jama.2018.14280::C018",'C_jama.2018.14280'!$A$2:$A$24,0))="","",INDEX('C_jama.2018.14280'!$E$2:$E$24,MATCH("2018::jama.2018.14280::C018",'C_jama.2018.14280'!$A$2:$A$24,0))),"NOT FROZEN")</x:f>
        <x:v>statistical_results</x:v>
      </x:c>
      <x:c r="D40" s="6" t="str">
        <x:f>IF(Setup!$B$6="primary",IF(AND(INDEX('C_jama.2018.14280'!$D$2:$D$24,MATCH("2018::jama.2018.14280::C018",'C_jama.2018.14280'!$A$2:$A$24,0))="retain",INDEX('C_jama.2018.14280'!$E$2:$E$24,MATCH("2018::jama.2018.14280::C018",'C_jama.2018.14280'!$A$2:$A$24,0))="statistical_results"),IF(INDEX('C_jama.2018.14280'!$H$2:$H$24,MATCH("2018::jama.2018.14280::C018",'C_jama.2018.14280'!$A$2:$A$24,0))="","",INDEX('C_jama.2018.14280'!$H$2:$H$24,MATCH("2018::jama.2018.14280::C018",'C_jama.2018.14280'!$A$2:$A$24,0))),"not_applicable"),"NOT FROZEN")</x:f>
        <x:v>not_applicable</x:v>
      </x:c>
      <x:c r="E40" s="6" t="str">
        <x:f>IF(Setup!$B$6="primary",IF(AND(INDEX('C_jama.2018.14280'!$D$2:$D$24,MATCH("2018::jama.2018.14280::C018",'C_jama.2018.14280'!$A$2:$A$24,0))="retain",INDEX('C_jama.2018.14280'!$E$2:$E$24,MATCH("2018::jama.2018.14280::C018",'C_jama.2018.14280'!$A$2:$A$24,0))="statistical_results"),IF(INDEX('C_jama.2018.14280'!$I$2:$I$24,MATCH("2018::jama.2018.14280::C018",'C_jama.2018.14280'!$A$2:$A$24,0))="","",INDEX('C_jama.2018.14280'!$I$2:$I$24,MATCH("2018::jama.2018.14280::C018",'C_jama.2018.14280'!$A$2:$A$24,0))),"not_applicable"),"NOT FROZEN")</x:f>
        <x:v>not_applicable</x:v>
      </x:c>
      <x:c r="F40" s="6" t="str">
        <x:f>IF(Setup!$B$6="primary",IF(AND(INDEX('C_jama.2018.14280'!$D$2:$D$24,MATCH("2018::jama.2018.14280::C018",'C_jama.2018.14280'!$A$2:$A$24,0))="retain",INDEX('C_jama.2018.14280'!$E$2:$E$24,MATCH("2018::jama.2018.14280::C018",'C_jama.2018.14280'!$A$2:$A$24,0))="statistical_results"),IF(INDEX('C_jama.2018.14280'!$J$2:$J$24,MATCH("2018::jama.2018.14280::C018",'C_jama.2018.14280'!$A$2:$A$24,0))="","",INDEX('C_jama.2018.14280'!$J$2:$J$24,MATCH("2018::jama.2018.14280::C018",'C_jama.2018.14280'!$A$2:$A$24,0))),"not_applicable"),"NOT FROZEN")</x:f>
        <x:v>not_applicable</x:v>
      </x:c>
      <x:c r="G40" s="6" t="str">
        <x:f>IF(Setup!$B$6="primary",IF(AND(INDEX('C_jama.2018.14280'!$D$2:$D$24,MATCH("2018::jama.2018.14280::C018",'C_jama.2018.14280'!$A$2:$A$24,0))="retain",OR(INDEX('C_jama.2018.14280'!$E$2:$E$24,MATCH("2018::jama.2018.14280::C018",'C_jama.2018.14280'!$A$2:$A$24,0))="report_internal_inconsistency",INDEX('C_jama.2018.14280'!$E$2:$E$24,MATCH("2018::jama.2018.14280::C018",'C_jama.2018.14280'!$A$2:$A$24,0))="plan_material")),IF(INDEX('C_jama.2018.14280'!$K$2:$K$24,MATCH("2018::jama.2018.14280::C018",'C_jama.2018.14280'!$A$2:$A$24,0))="","",INDEX('C_jama.2018.14280'!$K$2:$K$24,MATCH("2018::jama.2018.14280::C018",'C_jama.2018.14280'!$A$2:$A$24,0))),"not_applicable"),"NOT FROZEN")</x:f>
        <x:v>not_applicable</x:v>
      </x:c>
      <x:c r="H40" s="6" t="str">
        <x:f>IF(Setup!$B$6="primary",IF(AND(INDEX('C_jama.2018.14280'!$D$2:$D$24,MATCH("2018::jama.2018.14280::C018",'C_jama.2018.14280'!$A$2:$A$24,0))="retain",INDEX('C_jama.2018.14280'!$E$2:$E$24,MATCH("2018::jama.2018.14280::C018",'C_jama.2018.14280'!$A$2:$A$24,0))="protocol_report"),IF(INDEX('C_jama.2018.14280'!$L$2:$L$24,MATCH("2018::jama.2018.14280::C018",'C_jama.2018.14280'!$A$2:$A$24,0))="","",INDEX('C_jama.2018.14280'!$L$2:$L$24,MATCH("2018::jama.2018.14280::C018",'C_jama.2018.14280'!$A$2:$A$24,0))),"not_applicable"),"NOT FROZEN")</x:f>
        <x:v>not_applicable</x:v>
      </x:c>
      <x:c r="I40" s="6" t="str">
        <x:f>IF(Setup!$B$6="primary",IF(INDEX('C_jama.2018.14280'!$R$2:$R$24,MATCH("2018::jama.2018.14280::C018",'C_jama.2018.14280'!$A$2:$A$24,0))="","",INDEX('C_jama.2018.14280'!$R$2:$R$24,MATCH("2018::jama.2018.14280::C018",'C_jama.2018.14280'!$A$2:$A$24,0))),"NOT FROZEN")</x:f>
      </x:c>
      <x:c r="J40" s="6" t="str">
        <x:f>IF(Setup!$B$6="primary",INDEX('C_jama.2018.14280'!$F$2:$F$24,MATCH("2018::jama.2018.14280::C018",'C_jama.2018.14280'!$A$2:$A$24,0)),"NOT FROZEN")</x:f>
        <x:v>no</x:v>
      </x:c>
      <x:c r="K40" s="6" t="str">
        <x:f>IF(Setup!$B$6="primary",Setup!$B$2,"NOT FROZEN")</x:f>
      </x:c>
      <x:c r="L40" s="6" t="str">
        <x:f>IF(Setup!$B$6="primary",IF(OR(B40="",B40="not_applicable"),"","Disposition: "&amp;B40&amp;CHAR(10))&amp;IF(OR(C40="",C40="not_applicable"),"","Review domain: "&amp;C40&amp;CHAR(10))&amp;IF(OR(D40="",D40="not_applicable"),"","Statistcal_or_numerical issue: "&amp;D40&amp;CHAR(10))&amp;IF(OR(E40="",E40="not_applicable"),"","Substantiveness: "&amp;E40&amp;CHAR(10))&amp;IF(OR(F40="",F40="not_applicable"),"","Downstream impact: "&amp;F40&amp;CHAR(10))&amp;IF(OR(G40="",G40="not_applicable"),"","Report-internal or planning-material inconsistency: "&amp;G40&amp;CHAR(10))&amp;IF(OR(H40="",H40="not_applicable"),"","Protocol interpretation: "&amp;H40&amp;CHAR(10))&amp;IF(OR(I40="",I40="not_applicable"),"","Notes (optional): "&amp;I40&amp;CHAR(10)),"NOT FROZEN")</x:f>
        <x:v>Review domain: statistical_results
</x:v>
      </x:c>
    </x:row>
    <x:row r="41" ht="70" customHeight="1">
      <x:c r="A41" s="3" t="str">
        <x:f>IF(Setup!$B$6="primary","2018::jama.2018.14280::C019","NOT FROZEN")</x:f>
        <x:v>2018::jama.2018.14280::C019</x:v>
      </x:c>
      <x:c r="B41" s="3" t="str">
        <x:f>IF(Setup!$B$6="primary",IF(INDEX('C_jama.2018.14280'!$D$2:$D$24,MATCH("2018::jama.2018.14280::C019",'C_jama.2018.14280'!$A$2:$A$24,0))="","",INDEX('C_jama.2018.14280'!$D$2:$D$24,MATCH("2018::jama.2018.14280::C019",'C_jama.2018.14280'!$A$2:$A$24,0))),"NOT FROZEN")</x:f>
      </x:c>
      <x:c r="C41" s="3" t="str">
        <x:f>IF(Setup!$B$6="primary",IF(INDEX('C_jama.2018.14280'!$E$2:$E$24,MATCH("2018::jama.2018.14280::C019",'C_jama.2018.14280'!$A$2:$A$24,0))="","",INDEX('C_jama.2018.14280'!$E$2:$E$24,MATCH("2018::jama.2018.14280::C019",'C_jama.2018.14280'!$A$2:$A$24,0))),"NOT FROZEN")</x:f>
        <x:v>statistical_results</x:v>
      </x:c>
      <x:c r="D41" s="3" t="str">
        <x:f>IF(Setup!$B$6="primary",IF(AND(INDEX('C_jama.2018.14280'!$D$2:$D$24,MATCH("2018::jama.2018.14280::C019",'C_jama.2018.14280'!$A$2:$A$24,0))="retain",INDEX('C_jama.2018.14280'!$E$2:$E$24,MATCH("2018::jama.2018.14280::C019",'C_jama.2018.14280'!$A$2:$A$24,0))="statistical_results"),IF(INDEX('C_jama.2018.14280'!$H$2:$H$24,MATCH("2018::jama.2018.14280::C019",'C_jama.2018.14280'!$A$2:$A$24,0))="","",INDEX('C_jama.2018.14280'!$H$2:$H$24,MATCH("2018::jama.2018.14280::C019",'C_jama.2018.14280'!$A$2:$A$24,0))),"not_applicable"),"NOT FROZEN")</x:f>
        <x:v>not_applicable</x:v>
      </x:c>
      <x:c r="E41" s="3" t="str">
        <x:f>IF(Setup!$B$6="primary",IF(AND(INDEX('C_jama.2018.14280'!$D$2:$D$24,MATCH("2018::jama.2018.14280::C019",'C_jama.2018.14280'!$A$2:$A$24,0))="retain",INDEX('C_jama.2018.14280'!$E$2:$E$24,MATCH("2018::jama.2018.14280::C019",'C_jama.2018.14280'!$A$2:$A$24,0))="statistical_results"),IF(INDEX('C_jama.2018.14280'!$I$2:$I$24,MATCH("2018::jama.2018.14280::C019",'C_jama.2018.14280'!$A$2:$A$24,0))="","",INDEX('C_jama.2018.14280'!$I$2:$I$24,MATCH("2018::jama.2018.14280::C019",'C_jama.2018.14280'!$A$2:$A$24,0))),"not_applicable"),"NOT FROZEN")</x:f>
        <x:v>not_applicable</x:v>
      </x:c>
      <x:c r="F41" s="3" t="str">
        <x:f>IF(Setup!$B$6="primary",IF(AND(INDEX('C_jama.2018.14280'!$D$2:$D$24,MATCH("2018::jama.2018.14280::C019",'C_jama.2018.14280'!$A$2:$A$24,0))="retain",INDEX('C_jama.2018.14280'!$E$2:$E$24,MATCH("2018::jama.2018.14280::C019",'C_jama.2018.14280'!$A$2:$A$24,0))="statistical_results"),IF(INDEX('C_jama.2018.14280'!$J$2:$J$24,MATCH("2018::jama.2018.14280::C019",'C_jama.2018.14280'!$A$2:$A$24,0))="","",INDEX('C_jama.2018.14280'!$J$2:$J$24,MATCH("2018::jama.2018.14280::C019",'C_jama.2018.14280'!$A$2:$A$24,0))),"not_applicable"),"NOT FROZEN")</x:f>
        <x:v>not_applicable</x:v>
      </x:c>
      <x:c r="G41" s="3" t="str">
        <x:f>IF(Setup!$B$6="primary",IF(AND(INDEX('C_jama.2018.14280'!$D$2:$D$24,MATCH("2018::jama.2018.14280::C019",'C_jama.2018.14280'!$A$2:$A$24,0))="retain",OR(INDEX('C_jama.2018.14280'!$E$2:$E$24,MATCH("2018::jama.2018.14280::C019",'C_jama.2018.14280'!$A$2:$A$24,0))="report_internal_inconsistency",INDEX('C_jama.2018.14280'!$E$2:$E$24,MATCH("2018::jama.2018.14280::C019",'C_jama.2018.14280'!$A$2:$A$24,0))="plan_material")),IF(INDEX('C_jama.2018.14280'!$K$2:$K$24,MATCH("2018::jama.2018.14280::C019",'C_jama.2018.14280'!$A$2:$A$24,0))="","",INDEX('C_jama.2018.14280'!$K$2:$K$24,MATCH("2018::jama.2018.14280::C019",'C_jama.2018.14280'!$A$2:$A$24,0))),"not_applicable"),"NOT FROZEN")</x:f>
        <x:v>not_applicable</x:v>
      </x:c>
      <x:c r="H41" s="3" t="str">
        <x:f>IF(Setup!$B$6="primary",IF(AND(INDEX('C_jama.2018.14280'!$D$2:$D$24,MATCH("2018::jama.2018.14280::C019",'C_jama.2018.14280'!$A$2:$A$24,0))="retain",INDEX('C_jama.2018.14280'!$E$2:$E$24,MATCH("2018::jama.2018.14280::C019",'C_jama.2018.14280'!$A$2:$A$24,0))="protocol_report"),IF(INDEX('C_jama.2018.14280'!$L$2:$L$24,MATCH("2018::jama.2018.14280::C019",'C_jama.2018.14280'!$A$2:$A$24,0))="","",INDEX('C_jama.2018.14280'!$L$2:$L$24,MATCH("2018::jama.2018.14280::C019",'C_jama.2018.14280'!$A$2:$A$24,0))),"not_applicable"),"NOT FROZEN")</x:f>
        <x:v>not_applicable</x:v>
      </x:c>
      <x:c r="I41" s="3" t="str">
        <x:f>IF(Setup!$B$6="primary",IF(INDEX('C_jama.2018.14280'!$R$2:$R$24,MATCH("2018::jama.2018.14280::C019",'C_jama.2018.14280'!$A$2:$A$24,0))="","",INDEX('C_jama.2018.14280'!$R$2:$R$24,MATCH("2018::jama.2018.14280::C019",'C_jama.2018.14280'!$A$2:$A$24,0))),"NOT FROZEN")</x:f>
      </x:c>
      <x:c r="J41" s="3" t="str">
        <x:f>IF(Setup!$B$6="primary",INDEX('C_jama.2018.14280'!$F$2:$F$24,MATCH("2018::jama.2018.14280::C019",'C_jama.2018.14280'!$A$2:$A$24,0)),"NOT FROZEN")</x:f>
        <x:v>no</x:v>
      </x:c>
      <x:c r="K41" s="3" t="str">
        <x:f>IF(Setup!$B$6="primary",Setup!$B$2,"NOT FROZEN")</x:f>
      </x:c>
      <x:c r="L41" s="3" t="str">
        <x:f>IF(Setup!$B$6="primary",IF(OR(B41="",B41="not_applicable"),"","Disposition: "&amp;B41&amp;CHAR(10))&amp;IF(OR(C41="",C41="not_applicable"),"","Review domain: "&amp;C41&amp;CHAR(10))&amp;IF(OR(D41="",D41="not_applicable"),"","Statistcal_or_numerical issue: "&amp;D41&amp;CHAR(10))&amp;IF(OR(E41="",E41="not_applicable"),"","Substantiveness: "&amp;E41&amp;CHAR(10))&amp;IF(OR(F41="",F41="not_applicable"),"","Downstream impact: "&amp;F41&amp;CHAR(10))&amp;IF(OR(G41="",G41="not_applicable"),"","Report-internal or planning-material inconsistency: "&amp;G41&amp;CHAR(10))&amp;IF(OR(H41="",H41="not_applicable"),"","Protocol interpretation: "&amp;H41&amp;CHAR(10))&amp;IF(OR(I41="",I41="not_applicable"),"","Notes (optional): "&amp;I41&amp;CHAR(10)),"NOT FROZEN")</x:f>
        <x:v>Review domain: statistical_results
</x:v>
      </x:c>
    </x:row>
    <x:row r="42" ht="70" customHeight="1">
      <x:c r="A42" s="6" t="str">
        <x:f>IF(Setup!$B$6="primary","2018::jama.2018.14280::C020","NOT FROZEN")</x:f>
        <x:v>2018::jama.2018.14280::C020</x:v>
      </x:c>
      <x:c r="B42" s="6" t="str">
        <x:f>IF(Setup!$B$6="primary",IF(INDEX('C_jama.2018.14280'!$D$2:$D$24,MATCH("2018::jama.2018.14280::C020",'C_jama.2018.14280'!$A$2:$A$24,0))="","",INDEX('C_jama.2018.14280'!$D$2:$D$24,MATCH("2018::jama.2018.14280::C020",'C_jama.2018.14280'!$A$2:$A$24,0))),"NOT FROZEN")</x:f>
      </x:c>
      <x:c r="C42" s="6" t="str">
        <x:f>IF(Setup!$B$6="primary",IF(INDEX('C_jama.2018.14280'!$E$2:$E$24,MATCH("2018::jama.2018.14280::C020",'C_jama.2018.14280'!$A$2:$A$24,0))="","",INDEX('C_jama.2018.14280'!$E$2:$E$24,MATCH("2018::jama.2018.14280::C020",'C_jama.2018.14280'!$A$2:$A$24,0))),"NOT FROZEN")</x:f>
        <x:v>statistical_results</x:v>
      </x:c>
      <x:c r="D42" s="6" t="str">
        <x:f>IF(Setup!$B$6="primary",IF(AND(INDEX('C_jama.2018.14280'!$D$2:$D$24,MATCH("2018::jama.2018.14280::C020",'C_jama.2018.14280'!$A$2:$A$24,0))="retain",INDEX('C_jama.2018.14280'!$E$2:$E$24,MATCH("2018::jama.2018.14280::C020",'C_jama.2018.14280'!$A$2:$A$24,0))="statistical_results"),IF(INDEX('C_jama.2018.14280'!$H$2:$H$24,MATCH("2018::jama.2018.14280::C020",'C_jama.2018.14280'!$A$2:$A$24,0))="","",INDEX('C_jama.2018.14280'!$H$2:$H$24,MATCH("2018::jama.2018.14280::C020",'C_jama.2018.14280'!$A$2:$A$24,0))),"not_applicable"),"NOT FROZEN")</x:f>
        <x:v>not_applicable</x:v>
      </x:c>
      <x:c r="E42" s="6" t="str">
        <x:f>IF(Setup!$B$6="primary",IF(AND(INDEX('C_jama.2018.14280'!$D$2:$D$24,MATCH("2018::jama.2018.14280::C020",'C_jama.2018.14280'!$A$2:$A$24,0))="retain",INDEX('C_jama.2018.14280'!$E$2:$E$24,MATCH("2018::jama.2018.14280::C020",'C_jama.2018.14280'!$A$2:$A$24,0))="statistical_results"),IF(INDEX('C_jama.2018.14280'!$I$2:$I$24,MATCH("2018::jama.2018.14280::C020",'C_jama.2018.14280'!$A$2:$A$24,0))="","",INDEX('C_jama.2018.14280'!$I$2:$I$24,MATCH("2018::jama.2018.14280::C020",'C_jama.2018.14280'!$A$2:$A$24,0))),"not_applicable"),"NOT FROZEN")</x:f>
        <x:v>not_applicable</x:v>
      </x:c>
      <x:c r="F42" s="6" t="str">
        <x:f>IF(Setup!$B$6="primary",IF(AND(INDEX('C_jama.2018.14280'!$D$2:$D$24,MATCH("2018::jama.2018.14280::C020",'C_jama.2018.14280'!$A$2:$A$24,0))="retain",INDEX('C_jama.2018.14280'!$E$2:$E$24,MATCH("2018::jama.2018.14280::C020",'C_jama.2018.14280'!$A$2:$A$24,0))="statistical_results"),IF(INDEX('C_jama.2018.14280'!$J$2:$J$24,MATCH("2018::jama.2018.14280::C020",'C_jama.2018.14280'!$A$2:$A$24,0))="","",INDEX('C_jama.2018.14280'!$J$2:$J$24,MATCH("2018::jama.2018.14280::C020",'C_jama.2018.14280'!$A$2:$A$24,0))),"not_applicable"),"NOT FROZEN")</x:f>
        <x:v>not_applicable</x:v>
      </x:c>
      <x:c r="G42" s="6" t="str">
        <x:f>IF(Setup!$B$6="primary",IF(AND(INDEX('C_jama.2018.14280'!$D$2:$D$24,MATCH("2018::jama.2018.14280::C020",'C_jama.2018.14280'!$A$2:$A$24,0))="retain",OR(INDEX('C_jama.2018.14280'!$E$2:$E$24,MATCH("2018::jama.2018.14280::C020",'C_jama.2018.14280'!$A$2:$A$24,0))="report_internal_inconsistency",INDEX('C_jama.2018.14280'!$E$2:$E$24,MATCH("2018::jama.2018.14280::C020",'C_jama.2018.14280'!$A$2:$A$24,0))="plan_material")),IF(INDEX('C_jama.2018.14280'!$K$2:$K$24,MATCH("2018::jama.2018.14280::C020",'C_jama.2018.14280'!$A$2:$A$24,0))="","",INDEX('C_jama.2018.14280'!$K$2:$K$24,MATCH("2018::jama.2018.14280::C020",'C_jama.2018.14280'!$A$2:$A$24,0))),"not_applicable"),"NOT FROZEN")</x:f>
        <x:v>not_applicable</x:v>
      </x:c>
      <x:c r="H42" s="6" t="str">
        <x:f>IF(Setup!$B$6="primary",IF(AND(INDEX('C_jama.2018.14280'!$D$2:$D$24,MATCH("2018::jama.2018.14280::C020",'C_jama.2018.14280'!$A$2:$A$24,0))="retain",INDEX('C_jama.2018.14280'!$E$2:$E$24,MATCH("2018::jama.2018.14280::C020",'C_jama.2018.14280'!$A$2:$A$24,0))="protocol_report"),IF(INDEX('C_jama.2018.14280'!$L$2:$L$24,MATCH("2018::jama.2018.14280::C020",'C_jama.2018.14280'!$A$2:$A$24,0))="","",INDEX('C_jama.2018.14280'!$L$2:$L$24,MATCH("2018::jama.2018.14280::C020",'C_jama.2018.14280'!$A$2:$A$24,0))),"not_applicable"),"NOT FROZEN")</x:f>
        <x:v>not_applicable</x:v>
      </x:c>
      <x:c r="I42" s="6" t="str">
        <x:f>IF(Setup!$B$6="primary",IF(INDEX('C_jama.2018.14280'!$R$2:$R$24,MATCH("2018::jama.2018.14280::C020",'C_jama.2018.14280'!$A$2:$A$24,0))="","",INDEX('C_jama.2018.14280'!$R$2:$R$24,MATCH("2018::jama.2018.14280::C020",'C_jama.2018.14280'!$A$2:$A$24,0))),"NOT FROZEN")</x:f>
      </x:c>
      <x:c r="J42" s="6" t="str">
        <x:f>IF(Setup!$B$6="primary",INDEX('C_jama.2018.14280'!$F$2:$F$24,MATCH("2018::jama.2018.14280::C020",'C_jama.2018.14280'!$A$2:$A$24,0)),"NOT FROZEN")</x:f>
        <x:v>no</x:v>
      </x:c>
      <x:c r="K42" s="6" t="str">
        <x:f>IF(Setup!$B$6="primary",Setup!$B$2,"NOT FROZEN")</x:f>
      </x:c>
      <x:c r="L42" s="6" t="str">
        <x:f>IF(Setup!$B$6="primary",IF(OR(B42="",B42="not_applicable"),"","Disposition: "&amp;B42&amp;CHAR(10))&amp;IF(OR(C42="",C42="not_applicable"),"","Review domain: "&amp;C42&amp;CHAR(10))&amp;IF(OR(D42="",D42="not_applicable"),"","Statistcal_or_numerical issue: "&amp;D42&amp;CHAR(10))&amp;IF(OR(E42="",E42="not_applicable"),"","Substantiveness: "&amp;E42&amp;CHAR(10))&amp;IF(OR(F42="",F42="not_applicable"),"","Downstream impact: "&amp;F42&amp;CHAR(10))&amp;IF(OR(G42="",G42="not_applicable"),"","Report-internal or planning-material inconsistency: "&amp;G42&amp;CHAR(10))&amp;IF(OR(H42="",H42="not_applicable"),"","Protocol interpretation: "&amp;H42&amp;CHAR(10))&amp;IF(OR(I42="",I42="not_applicable"),"","Notes (optional): "&amp;I42&amp;CHAR(10)),"NOT FROZEN")</x:f>
        <x:v>Review domain: statistical_results
</x:v>
      </x:c>
    </x:row>
    <x:row r="43" ht="70" customHeight="1">
      <x:c r="A43" s="3" t="str">
        <x:f>IF(Setup!$B$6="primary","2018::jama.2018.14280::C021","NOT FROZEN")</x:f>
        <x:v>2018::jama.2018.14280::C021</x:v>
      </x:c>
      <x:c r="B43" s="3" t="str">
        <x:f>IF(Setup!$B$6="primary",IF(INDEX('C_jama.2018.14280'!$D$2:$D$24,MATCH("2018::jama.2018.14280::C021",'C_jama.2018.14280'!$A$2:$A$24,0))="","",INDEX('C_jama.2018.14280'!$D$2:$D$24,MATCH("2018::jama.2018.14280::C021",'C_jama.2018.14280'!$A$2:$A$24,0))),"NOT FROZEN")</x:f>
      </x:c>
      <x:c r="C43" s="3" t="str">
        <x:f>IF(Setup!$B$6="primary",IF(INDEX('C_jama.2018.14280'!$E$2:$E$24,MATCH("2018::jama.2018.14280::C021",'C_jama.2018.14280'!$A$2:$A$24,0))="","",INDEX('C_jama.2018.14280'!$E$2:$E$24,MATCH("2018::jama.2018.14280::C021",'C_jama.2018.14280'!$A$2:$A$24,0))),"NOT FROZEN")</x:f>
        <x:v>statistical_results</x:v>
      </x:c>
      <x:c r="D43" s="3" t="str">
        <x:f>IF(Setup!$B$6="primary",IF(AND(INDEX('C_jama.2018.14280'!$D$2:$D$24,MATCH("2018::jama.2018.14280::C021",'C_jama.2018.14280'!$A$2:$A$24,0))="retain",INDEX('C_jama.2018.14280'!$E$2:$E$24,MATCH("2018::jama.2018.14280::C021",'C_jama.2018.14280'!$A$2:$A$24,0))="statistical_results"),IF(INDEX('C_jama.2018.14280'!$H$2:$H$24,MATCH("2018::jama.2018.14280::C021",'C_jama.2018.14280'!$A$2:$A$24,0))="","",INDEX('C_jama.2018.14280'!$H$2:$H$24,MATCH("2018::jama.2018.14280::C021",'C_jama.2018.14280'!$A$2:$A$24,0))),"not_applicable"),"NOT FROZEN")</x:f>
        <x:v>not_applicable</x:v>
      </x:c>
      <x:c r="E43" s="3" t="str">
        <x:f>IF(Setup!$B$6="primary",IF(AND(INDEX('C_jama.2018.14280'!$D$2:$D$24,MATCH("2018::jama.2018.14280::C021",'C_jama.2018.14280'!$A$2:$A$24,0))="retain",INDEX('C_jama.2018.14280'!$E$2:$E$24,MATCH("2018::jama.2018.14280::C021",'C_jama.2018.14280'!$A$2:$A$24,0))="statistical_results"),IF(INDEX('C_jama.2018.14280'!$I$2:$I$24,MATCH("2018::jama.2018.14280::C021",'C_jama.2018.14280'!$A$2:$A$24,0))="","",INDEX('C_jama.2018.14280'!$I$2:$I$24,MATCH("2018::jama.2018.14280::C021",'C_jama.2018.14280'!$A$2:$A$24,0))),"not_applicable"),"NOT FROZEN")</x:f>
        <x:v>not_applicable</x:v>
      </x:c>
      <x:c r="F43" s="3" t="str">
        <x:f>IF(Setup!$B$6="primary",IF(AND(INDEX('C_jama.2018.14280'!$D$2:$D$24,MATCH("2018::jama.2018.14280::C021",'C_jama.2018.14280'!$A$2:$A$24,0))="retain",INDEX('C_jama.2018.14280'!$E$2:$E$24,MATCH("2018::jama.2018.14280::C021",'C_jama.2018.14280'!$A$2:$A$24,0))="statistical_results"),IF(INDEX('C_jama.2018.14280'!$J$2:$J$24,MATCH("2018::jama.2018.14280::C021",'C_jama.2018.14280'!$A$2:$A$24,0))="","",INDEX('C_jama.2018.14280'!$J$2:$J$24,MATCH("2018::jama.2018.14280::C021",'C_jama.2018.14280'!$A$2:$A$24,0))),"not_applicable"),"NOT FROZEN")</x:f>
        <x:v>not_applicable</x:v>
      </x:c>
      <x:c r="G43" s="3" t="str">
        <x:f>IF(Setup!$B$6="primary",IF(AND(INDEX('C_jama.2018.14280'!$D$2:$D$24,MATCH("2018::jama.2018.14280::C021",'C_jama.2018.14280'!$A$2:$A$24,0))="retain",OR(INDEX('C_jama.2018.14280'!$E$2:$E$24,MATCH("2018::jama.2018.14280::C021",'C_jama.2018.14280'!$A$2:$A$24,0))="report_internal_inconsistency",INDEX('C_jama.2018.14280'!$E$2:$E$24,MATCH("2018::jama.2018.14280::C021",'C_jama.2018.14280'!$A$2:$A$24,0))="plan_material")),IF(INDEX('C_jama.2018.14280'!$K$2:$K$24,MATCH("2018::jama.2018.14280::C021",'C_jama.2018.14280'!$A$2:$A$24,0))="","",INDEX('C_jama.2018.14280'!$K$2:$K$24,MATCH("2018::jama.2018.14280::C021",'C_jama.2018.14280'!$A$2:$A$24,0))),"not_applicable"),"NOT FROZEN")</x:f>
        <x:v>not_applicable</x:v>
      </x:c>
      <x:c r="H43" s="3" t="str">
        <x:f>IF(Setup!$B$6="primary",IF(AND(INDEX('C_jama.2018.14280'!$D$2:$D$24,MATCH("2018::jama.2018.14280::C021",'C_jama.2018.14280'!$A$2:$A$24,0))="retain",INDEX('C_jama.2018.14280'!$E$2:$E$24,MATCH("2018::jama.2018.14280::C021",'C_jama.2018.14280'!$A$2:$A$24,0))="protocol_report"),IF(INDEX('C_jama.2018.14280'!$L$2:$L$24,MATCH("2018::jama.2018.14280::C021",'C_jama.2018.14280'!$A$2:$A$24,0))="","",INDEX('C_jama.2018.14280'!$L$2:$L$24,MATCH("2018::jama.2018.14280::C021",'C_jama.2018.14280'!$A$2:$A$24,0))),"not_applicable"),"NOT FROZEN")</x:f>
        <x:v>not_applicable</x:v>
      </x:c>
      <x:c r="I43" s="3" t="str">
        <x:f>IF(Setup!$B$6="primary",IF(INDEX('C_jama.2018.14280'!$R$2:$R$24,MATCH("2018::jama.2018.14280::C021",'C_jama.2018.14280'!$A$2:$A$24,0))="","",INDEX('C_jama.2018.14280'!$R$2:$R$24,MATCH("2018::jama.2018.14280::C021",'C_jama.2018.14280'!$A$2:$A$24,0))),"NOT FROZEN")</x:f>
      </x:c>
      <x:c r="J43" s="3" t="str">
        <x:f>IF(Setup!$B$6="primary",INDEX('C_jama.2018.14280'!$F$2:$F$24,MATCH("2018::jama.2018.14280::C021",'C_jama.2018.14280'!$A$2:$A$24,0)),"NOT FROZEN")</x:f>
        <x:v>no</x:v>
      </x:c>
      <x:c r="K43" s="3" t="str">
        <x:f>IF(Setup!$B$6="primary",Setup!$B$2,"NOT FROZEN")</x:f>
      </x:c>
      <x:c r="L43" s="3" t="str">
        <x:f>IF(Setup!$B$6="primary",IF(OR(B43="",B43="not_applicable"),"","Disposition: "&amp;B43&amp;CHAR(10))&amp;IF(OR(C43="",C43="not_applicable"),"","Review domain: "&amp;C43&amp;CHAR(10))&amp;IF(OR(D43="",D43="not_applicable"),"","Statistcal_or_numerical issue: "&amp;D43&amp;CHAR(10))&amp;IF(OR(E43="",E43="not_applicable"),"","Substantiveness: "&amp;E43&amp;CHAR(10))&amp;IF(OR(F43="",F43="not_applicable"),"","Downstream impact: "&amp;F43&amp;CHAR(10))&amp;IF(OR(G43="",G43="not_applicable"),"","Report-internal or planning-material inconsistency: "&amp;G43&amp;CHAR(10))&amp;IF(OR(H43="",H43="not_applicable"),"","Protocol interpretation: "&amp;H43&amp;CHAR(10))&amp;IF(OR(I43="",I43="not_applicable"),"","Notes (optional): "&amp;I43&amp;CHAR(10)),"NOT FROZEN")</x:f>
        <x:v>Review domain: statistical_results
</x:v>
      </x:c>
    </x:row>
    <x:row r="44" ht="70" customHeight="1">
      <x:c r="A44" s="6" t="str">
        <x:f>IF(Setup!$B$6="primary","2018::jama.2018.14280::C022","NOT FROZEN")</x:f>
        <x:v>2018::jama.2018.14280::C022</x:v>
      </x:c>
      <x:c r="B44" s="6" t="str">
        <x:f>IF(Setup!$B$6="primary",IF(INDEX('C_jama.2018.14280'!$D$2:$D$24,MATCH("2018::jama.2018.14280::C022",'C_jama.2018.14280'!$A$2:$A$24,0))="","",INDEX('C_jama.2018.14280'!$D$2:$D$24,MATCH("2018::jama.2018.14280::C022",'C_jama.2018.14280'!$A$2:$A$24,0))),"NOT FROZEN")</x:f>
      </x:c>
      <x:c r="C44" s="6" t="str">
        <x:f>IF(Setup!$B$6="primary",IF(INDEX('C_jama.2018.14280'!$E$2:$E$24,MATCH("2018::jama.2018.14280::C022",'C_jama.2018.14280'!$A$2:$A$24,0))="","",INDEX('C_jama.2018.14280'!$E$2:$E$24,MATCH("2018::jama.2018.14280::C022",'C_jama.2018.14280'!$A$2:$A$24,0))),"NOT FROZEN")</x:f>
        <x:v>report_internal_inconsistency</x:v>
      </x:c>
      <x:c r="D44" s="6" t="str">
        <x:f>IF(Setup!$B$6="primary",IF(AND(INDEX('C_jama.2018.14280'!$D$2:$D$24,MATCH("2018::jama.2018.14280::C022",'C_jama.2018.14280'!$A$2:$A$24,0))="retain",INDEX('C_jama.2018.14280'!$E$2:$E$24,MATCH("2018::jama.2018.14280::C022",'C_jama.2018.14280'!$A$2:$A$24,0))="statistical_results"),IF(INDEX('C_jama.2018.14280'!$H$2:$H$24,MATCH("2018::jama.2018.14280::C022",'C_jama.2018.14280'!$A$2:$A$24,0))="","",INDEX('C_jama.2018.14280'!$H$2:$H$24,MATCH("2018::jama.2018.14280::C022",'C_jama.2018.14280'!$A$2:$A$24,0))),"not_applicable"),"NOT FROZEN")</x:f>
        <x:v>not_applicable</x:v>
      </x:c>
      <x:c r="E44" s="6" t="str">
        <x:f>IF(Setup!$B$6="primary",IF(AND(INDEX('C_jama.2018.14280'!$D$2:$D$24,MATCH("2018::jama.2018.14280::C022",'C_jama.2018.14280'!$A$2:$A$24,0))="retain",INDEX('C_jama.2018.14280'!$E$2:$E$24,MATCH("2018::jama.2018.14280::C022",'C_jama.2018.14280'!$A$2:$A$24,0))="statistical_results"),IF(INDEX('C_jama.2018.14280'!$I$2:$I$24,MATCH("2018::jama.2018.14280::C022",'C_jama.2018.14280'!$A$2:$A$24,0))="","",INDEX('C_jama.2018.14280'!$I$2:$I$24,MATCH("2018::jama.2018.14280::C022",'C_jama.2018.14280'!$A$2:$A$24,0))),"not_applicable"),"NOT FROZEN")</x:f>
        <x:v>not_applicable</x:v>
      </x:c>
      <x:c r="F44" s="6" t="str">
        <x:f>IF(Setup!$B$6="primary",IF(AND(INDEX('C_jama.2018.14280'!$D$2:$D$24,MATCH("2018::jama.2018.14280::C022",'C_jama.2018.14280'!$A$2:$A$24,0))="retain",INDEX('C_jama.2018.14280'!$E$2:$E$24,MATCH("2018::jama.2018.14280::C022",'C_jama.2018.14280'!$A$2:$A$24,0))="statistical_results"),IF(INDEX('C_jama.2018.14280'!$J$2:$J$24,MATCH("2018::jama.2018.14280::C022",'C_jama.2018.14280'!$A$2:$A$24,0))="","",INDEX('C_jama.2018.14280'!$J$2:$J$24,MATCH("2018::jama.2018.14280::C022",'C_jama.2018.14280'!$A$2:$A$24,0))),"not_applicable"),"NOT FROZEN")</x:f>
        <x:v>not_applicable</x:v>
      </x:c>
      <x:c r="G44" s="6" t="str">
        <x:f>IF(Setup!$B$6="primary",IF(AND(INDEX('C_jama.2018.14280'!$D$2:$D$24,MATCH("2018::jama.2018.14280::C022",'C_jama.2018.14280'!$A$2:$A$24,0))="retain",OR(INDEX('C_jama.2018.14280'!$E$2:$E$24,MATCH("2018::jama.2018.14280::C022",'C_jama.2018.14280'!$A$2:$A$24,0))="report_internal_inconsistency",INDEX('C_jama.2018.14280'!$E$2:$E$24,MATCH("2018::jama.2018.14280::C022",'C_jama.2018.14280'!$A$2:$A$24,0))="plan_material")),IF(INDEX('C_jama.2018.14280'!$K$2:$K$24,MATCH("2018::jama.2018.14280::C022",'C_jama.2018.14280'!$A$2:$A$24,0))="","",INDEX('C_jama.2018.14280'!$K$2:$K$24,MATCH("2018::jama.2018.14280::C022",'C_jama.2018.14280'!$A$2:$A$24,0))),"not_applicable"),"NOT FROZEN")</x:f>
        <x:v>not_applicable</x:v>
      </x:c>
      <x:c r="H44" s="6" t="str">
        <x:f>IF(Setup!$B$6="primary",IF(AND(INDEX('C_jama.2018.14280'!$D$2:$D$24,MATCH("2018::jama.2018.14280::C022",'C_jama.2018.14280'!$A$2:$A$24,0))="retain",INDEX('C_jama.2018.14280'!$E$2:$E$24,MATCH("2018::jama.2018.14280::C022",'C_jama.2018.14280'!$A$2:$A$24,0))="protocol_report"),IF(INDEX('C_jama.2018.14280'!$L$2:$L$24,MATCH("2018::jama.2018.14280::C022",'C_jama.2018.14280'!$A$2:$A$24,0))="","",INDEX('C_jama.2018.14280'!$L$2:$L$24,MATCH("2018::jama.2018.14280::C022",'C_jama.2018.14280'!$A$2:$A$24,0))),"not_applicable"),"NOT FROZEN")</x:f>
        <x:v>not_applicable</x:v>
      </x:c>
      <x:c r="I44" s="6" t="str">
        <x:f>IF(Setup!$B$6="primary",IF(INDEX('C_jama.2018.14280'!$R$2:$R$24,MATCH("2018::jama.2018.14280::C022",'C_jama.2018.14280'!$A$2:$A$24,0))="","",INDEX('C_jama.2018.14280'!$R$2:$R$24,MATCH("2018::jama.2018.14280::C022",'C_jama.2018.14280'!$A$2:$A$24,0))),"NOT FROZEN")</x:f>
      </x:c>
      <x:c r="J44" s="6" t="str">
        <x:f>IF(Setup!$B$6="primary",INDEX('C_jama.2018.14280'!$F$2:$F$24,MATCH("2018::jama.2018.14280::C022",'C_jama.2018.14280'!$A$2:$A$24,0)),"NOT FROZEN")</x:f>
        <x:v>no</x:v>
      </x:c>
      <x:c r="K44" s="6" t="str">
        <x:f>IF(Setup!$B$6="primary",Setup!$B$2,"NOT FROZEN")</x:f>
      </x:c>
      <x:c r="L44" s="6" t="str">
        <x:f>IF(Setup!$B$6="primary",IF(OR(B44="",B44="not_applicable"),"","Disposition: "&amp;B44&amp;CHAR(10))&amp;IF(OR(C44="",C44="not_applicable"),"","Review domain: "&amp;C44&amp;CHAR(10))&amp;IF(OR(D44="",D44="not_applicable"),"","Statistcal_or_numerical issue: "&amp;D44&amp;CHAR(10))&amp;IF(OR(E44="",E44="not_applicable"),"","Substantiveness: "&amp;E44&amp;CHAR(10))&amp;IF(OR(F44="",F44="not_applicable"),"","Downstream impact: "&amp;F44&amp;CHAR(10))&amp;IF(OR(G44="",G44="not_applicable"),"","Report-internal or planning-material inconsistency: "&amp;G44&amp;CHAR(10))&amp;IF(OR(H44="",H44="not_applicable"),"","Protocol interpretation: "&amp;H44&amp;CHAR(10))&amp;IF(OR(I44="",I44="not_applicable"),"","Notes (optional): "&amp;I44&amp;CHAR(10)),"NOT FROZEN")</x:f>
        <x:v>Review domain: report_internal_inconsistency
</x:v>
      </x:c>
    </x:row>
    <x:row r="45" ht="70" customHeight="1">
      <x:c r="A45" s="3" t="str">
        <x:f>IF(Setup!$B$6="primary","2018::jama.2018.14280::C023","NOT FROZEN")</x:f>
        <x:v>2018::jama.2018.14280::C023</x:v>
      </x:c>
      <x:c r="B45" s="3" t="str">
        <x:f>IF(Setup!$B$6="primary",IF(INDEX('C_jama.2018.14280'!$D$2:$D$24,MATCH("2018::jama.2018.14280::C023",'C_jama.2018.14280'!$A$2:$A$24,0))="","",INDEX('C_jama.2018.14280'!$D$2:$D$24,MATCH("2018::jama.2018.14280::C023",'C_jama.2018.14280'!$A$2:$A$24,0))),"NOT FROZEN")</x:f>
      </x:c>
      <x:c r="C45" s="3" t="str">
        <x:f>IF(Setup!$B$6="primary",IF(INDEX('C_jama.2018.14280'!$E$2:$E$24,MATCH("2018::jama.2018.14280::C023",'C_jama.2018.14280'!$A$2:$A$24,0))="","",INDEX('C_jama.2018.14280'!$E$2:$E$24,MATCH("2018::jama.2018.14280::C023",'C_jama.2018.14280'!$A$2:$A$24,0))),"NOT FROZEN")</x:f>
        <x:v>protocol_report</x:v>
      </x:c>
      <x:c r="D45" s="3" t="str">
        <x:f>IF(Setup!$B$6="primary",IF(AND(INDEX('C_jama.2018.14280'!$D$2:$D$24,MATCH("2018::jama.2018.14280::C023",'C_jama.2018.14280'!$A$2:$A$24,0))="retain",INDEX('C_jama.2018.14280'!$E$2:$E$24,MATCH("2018::jama.2018.14280::C023",'C_jama.2018.14280'!$A$2:$A$24,0))="statistical_results"),IF(INDEX('C_jama.2018.14280'!$H$2:$H$24,MATCH("2018::jama.2018.14280::C023",'C_jama.2018.14280'!$A$2:$A$24,0))="","",INDEX('C_jama.2018.14280'!$H$2:$H$24,MATCH("2018::jama.2018.14280::C023",'C_jama.2018.14280'!$A$2:$A$24,0))),"not_applicable"),"NOT FROZEN")</x:f>
        <x:v>not_applicable</x:v>
      </x:c>
      <x:c r="E45" s="3" t="str">
        <x:f>IF(Setup!$B$6="primary",IF(AND(INDEX('C_jama.2018.14280'!$D$2:$D$24,MATCH("2018::jama.2018.14280::C023",'C_jama.2018.14280'!$A$2:$A$24,0))="retain",INDEX('C_jama.2018.14280'!$E$2:$E$24,MATCH("2018::jama.2018.14280::C023",'C_jama.2018.14280'!$A$2:$A$24,0))="statistical_results"),IF(INDEX('C_jama.2018.14280'!$I$2:$I$24,MATCH("2018::jama.2018.14280::C023",'C_jama.2018.14280'!$A$2:$A$24,0))="","",INDEX('C_jama.2018.14280'!$I$2:$I$24,MATCH("2018::jama.2018.14280::C023",'C_jama.2018.14280'!$A$2:$A$24,0))),"not_applicable"),"NOT FROZEN")</x:f>
        <x:v>not_applicable</x:v>
      </x:c>
      <x:c r="F45" s="3" t="str">
        <x:f>IF(Setup!$B$6="primary",IF(AND(INDEX('C_jama.2018.14280'!$D$2:$D$24,MATCH("2018::jama.2018.14280::C023",'C_jama.2018.14280'!$A$2:$A$24,0))="retain",INDEX('C_jama.2018.14280'!$E$2:$E$24,MATCH("2018::jama.2018.14280::C023",'C_jama.2018.14280'!$A$2:$A$24,0))="statistical_results"),IF(INDEX('C_jama.2018.14280'!$J$2:$J$24,MATCH("2018::jama.2018.14280::C023",'C_jama.2018.14280'!$A$2:$A$24,0))="","",INDEX('C_jama.2018.14280'!$J$2:$J$24,MATCH("2018::jama.2018.14280::C023",'C_jama.2018.14280'!$A$2:$A$24,0))),"not_applicable"),"NOT FROZEN")</x:f>
        <x:v>not_applicable</x:v>
      </x:c>
      <x:c r="G45" s="3" t="str">
        <x:f>IF(Setup!$B$6="primary",IF(AND(INDEX('C_jama.2018.14280'!$D$2:$D$24,MATCH("2018::jama.2018.14280::C023",'C_jama.2018.14280'!$A$2:$A$24,0))="retain",OR(INDEX('C_jama.2018.14280'!$E$2:$E$24,MATCH("2018::jama.2018.14280::C023",'C_jama.2018.14280'!$A$2:$A$24,0))="report_internal_inconsistency",INDEX('C_jama.2018.14280'!$E$2:$E$24,MATCH("2018::jama.2018.14280::C023",'C_jama.2018.14280'!$A$2:$A$24,0))="plan_material")),IF(INDEX('C_jama.2018.14280'!$K$2:$K$24,MATCH("2018::jama.2018.14280::C023",'C_jama.2018.14280'!$A$2:$A$24,0))="","",INDEX('C_jama.2018.14280'!$K$2:$K$24,MATCH("2018::jama.2018.14280::C023",'C_jama.2018.14280'!$A$2:$A$24,0))),"not_applicable"),"NOT FROZEN")</x:f>
        <x:v>not_applicable</x:v>
      </x:c>
      <x:c r="H45" s="3" t="str">
        <x:f>IF(Setup!$B$6="primary",IF(AND(INDEX('C_jama.2018.14280'!$D$2:$D$24,MATCH("2018::jama.2018.14280::C023",'C_jama.2018.14280'!$A$2:$A$24,0))="retain",INDEX('C_jama.2018.14280'!$E$2:$E$24,MATCH("2018::jama.2018.14280::C023",'C_jama.2018.14280'!$A$2:$A$24,0))="protocol_report"),IF(INDEX('C_jama.2018.14280'!$L$2:$L$24,MATCH("2018::jama.2018.14280::C023",'C_jama.2018.14280'!$A$2:$A$24,0))="","",INDEX('C_jama.2018.14280'!$L$2:$L$24,MATCH("2018::jama.2018.14280::C023",'C_jama.2018.14280'!$A$2:$A$24,0))),"not_applicable"),"NOT FROZEN")</x:f>
        <x:v>not_applicable</x:v>
      </x:c>
      <x:c r="I45" s="3" t="str">
        <x:f>IF(Setup!$B$6="primary",IF(INDEX('C_jama.2018.14280'!$R$2:$R$24,MATCH("2018::jama.2018.14280::C023",'C_jama.2018.14280'!$A$2:$A$24,0))="","",INDEX('C_jama.2018.14280'!$R$2:$R$24,MATCH("2018::jama.2018.14280::C023",'C_jama.2018.14280'!$A$2:$A$24,0))),"NOT FROZEN")</x:f>
      </x:c>
      <x:c r="J45" s="3" t="str">
        <x:f>IF(Setup!$B$6="primary",INDEX('C_jama.2018.14280'!$F$2:$F$24,MATCH("2018::jama.2018.14280::C023",'C_jama.2018.14280'!$A$2:$A$24,0)),"NOT FROZEN")</x:f>
        <x:v>no</x:v>
      </x:c>
      <x:c r="K45" s="3" t="str">
        <x:f>IF(Setup!$B$6="primary",Setup!$B$2,"NOT FROZEN")</x:f>
      </x:c>
      <x:c r="L45" s="3" t="str">
        <x:f>IF(Setup!$B$6="primary",IF(OR(B45="",B45="not_applicable"),"","Disposition: "&amp;B45&amp;CHAR(10))&amp;IF(OR(C45="",C45="not_applicable"),"","Review domain: "&amp;C45&amp;CHAR(10))&amp;IF(OR(D45="",D45="not_applicable"),"","Statistcal_or_numerical issue: "&amp;D45&amp;CHAR(10))&amp;IF(OR(E45="",E45="not_applicable"),"","Substantiveness: "&amp;E45&amp;CHAR(10))&amp;IF(OR(F45="",F45="not_applicable"),"","Downstream impact: "&amp;F45&amp;CHAR(10))&amp;IF(OR(G45="",G45="not_applicable"),"","Report-internal or planning-material inconsistency: "&amp;G45&amp;CHAR(10))&amp;IF(OR(H45="",H45="not_applicable"),"","Protocol interpretation: "&amp;H45&amp;CHAR(10))&amp;IF(OR(I45="",I45="not_applicable"),"","Notes (optional): "&amp;I45&amp;CHAR(10)),"NOT FROZEN")</x:f>
        <x:v>Review domain: protocol_report
</x:v>
      </x:c>
    </x:row>
    <x:row r="46" ht="70" customHeight="1">
      <x:c r="A46" s="6" t="str">
        <x:f>IF(Setup!$B$6="primary","2018::jama.2018.14282::C001","NOT FROZEN")</x:f>
        <x:v>2018::jama.2018.14282::C001</x:v>
      </x:c>
      <x:c r="B46" s="6" t="str">
        <x:f>IF(Setup!$B$6="primary",IF(INDEX('C_jama.2018.14282'!$D$2:$D$29,MATCH("2018::jama.2018.14282::C001",'C_jama.2018.14282'!$A$2:$A$29,0))="","",INDEX('C_jama.2018.14282'!$D$2:$D$29,MATCH("2018::jama.2018.14282::C001",'C_jama.2018.14282'!$A$2:$A$29,0))),"NOT FROZEN")</x:f>
      </x:c>
      <x:c r="C46" s="6" t="str">
        <x:f>IF(Setup!$B$6="primary",IF(INDEX('C_jama.2018.14282'!$E$2:$E$29,MATCH("2018::jama.2018.14282::C001",'C_jama.2018.14282'!$A$2:$A$29,0))="","",INDEX('C_jama.2018.14282'!$E$2:$E$29,MATCH("2018::jama.2018.14282::C001",'C_jama.2018.14282'!$A$2:$A$29,0))),"NOT FROZEN")</x:f>
        <x:v>statistical_results</x:v>
      </x:c>
      <x:c r="D46" s="6" t="str">
        <x:f>IF(Setup!$B$6="primary",IF(AND(INDEX('C_jama.2018.14282'!$D$2:$D$29,MATCH("2018::jama.2018.14282::C001",'C_jama.2018.14282'!$A$2:$A$29,0))="retain",INDEX('C_jama.2018.14282'!$E$2:$E$29,MATCH("2018::jama.2018.14282::C001",'C_jama.2018.14282'!$A$2:$A$29,0))="statistical_results"),IF(INDEX('C_jama.2018.14282'!$H$2:$H$29,MATCH("2018::jama.2018.14282::C001",'C_jama.2018.14282'!$A$2:$A$29,0))="","",INDEX('C_jama.2018.14282'!$H$2:$H$29,MATCH("2018::jama.2018.14282::C001",'C_jama.2018.14282'!$A$2:$A$29,0))),"not_applicable"),"NOT FROZEN")</x:f>
        <x:v>not_applicable</x:v>
      </x:c>
      <x:c r="E46" s="6" t="str">
        <x:f>IF(Setup!$B$6="primary",IF(AND(INDEX('C_jama.2018.14282'!$D$2:$D$29,MATCH("2018::jama.2018.14282::C001",'C_jama.2018.14282'!$A$2:$A$29,0))="retain",INDEX('C_jama.2018.14282'!$E$2:$E$29,MATCH("2018::jama.2018.14282::C001",'C_jama.2018.14282'!$A$2:$A$29,0))="statistical_results"),IF(INDEX('C_jama.2018.14282'!$I$2:$I$29,MATCH("2018::jama.2018.14282::C001",'C_jama.2018.14282'!$A$2:$A$29,0))="","",INDEX('C_jama.2018.14282'!$I$2:$I$29,MATCH("2018::jama.2018.14282::C001",'C_jama.2018.14282'!$A$2:$A$29,0))),"not_applicable"),"NOT FROZEN")</x:f>
        <x:v>not_applicable</x:v>
      </x:c>
      <x:c r="F46" s="6" t="str">
        <x:f>IF(Setup!$B$6="primary",IF(AND(INDEX('C_jama.2018.14282'!$D$2:$D$29,MATCH("2018::jama.2018.14282::C001",'C_jama.2018.14282'!$A$2:$A$29,0))="retain",INDEX('C_jama.2018.14282'!$E$2:$E$29,MATCH("2018::jama.2018.14282::C001",'C_jama.2018.14282'!$A$2:$A$29,0))="statistical_results"),IF(INDEX('C_jama.2018.14282'!$J$2:$J$29,MATCH("2018::jama.2018.14282::C001",'C_jama.2018.14282'!$A$2:$A$29,0))="","",INDEX('C_jama.2018.14282'!$J$2:$J$29,MATCH("2018::jama.2018.14282::C001",'C_jama.2018.14282'!$A$2:$A$29,0))),"not_applicable"),"NOT FROZEN")</x:f>
        <x:v>not_applicable</x:v>
      </x:c>
      <x:c r="G46" s="6" t="str">
        <x:f>IF(Setup!$B$6="primary",IF(AND(INDEX('C_jama.2018.14282'!$D$2:$D$29,MATCH("2018::jama.2018.14282::C001",'C_jama.2018.14282'!$A$2:$A$29,0))="retain",OR(INDEX('C_jama.2018.14282'!$E$2:$E$29,MATCH("2018::jama.2018.14282::C001",'C_jama.2018.14282'!$A$2:$A$29,0))="report_internal_inconsistency",INDEX('C_jama.2018.14282'!$E$2:$E$29,MATCH("2018::jama.2018.14282::C001",'C_jama.2018.14282'!$A$2:$A$29,0))="plan_material")),IF(INDEX('C_jama.2018.14282'!$K$2:$K$29,MATCH("2018::jama.2018.14282::C001",'C_jama.2018.14282'!$A$2:$A$29,0))="","",INDEX('C_jama.2018.14282'!$K$2:$K$29,MATCH("2018::jama.2018.14282::C001",'C_jama.2018.14282'!$A$2:$A$29,0))),"not_applicable"),"NOT FROZEN")</x:f>
        <x:v>not_applicable</x:v>
      </x:c>
      <x:c r="H46" s="6" t="str">
        <x:f>IF(Setup!$B$6="primary",IF(AND(INDEX('C_jama.2018.14282'!$D$2:$D$29,MATCH("2018::jama.2018.14282::C001",'C_jama.2018.14282'!$A$2:$A$29,0))="retain",INDEX('C_jama.2018.14282'!$E$2:$E$29,MATCH("2018::jama.2018.14282::C001",'C_jama.2018.14282'!$A$2:$A$29,0))="protocol_report"),IF(INDEX('C_jama.2018.14282'!$L$2:$L$29,MATCH("2018::jama.2018.14282::C001",'C_jama.2018.14282'!$A$2:$A$29,0))="","",INDEX('C_jama.2018.14282'!$L$2:$L$29,MATCH("2018::jama.2018.14282::C001",'C_jama.2018.14282'!$A$2:$A$29,0))),"not_applicable"),"NOT FROZEN")</x:f>
        <x:v>not_applicable</x:v>
      </x:c>
      <x:c r="I46" s="6" t="str">
        <x:f>IF(Setup!$B$6="primary",IF(INDEX('C_jama.2018.14282'!$R$2:$R$29,MATCH("2018::jama.2018.14282::C001",'C_jama.2018.14282'!$A$2:$A$29,0))="","",INDEX('C_jama.2018.14282'!$R$2:$R$29,MATCH("2018::jama.2018.14282::C001",'C_jama.2018.14282'!$A$2:$A$29,0))),"NOT FROZEN")</x:f>
      </x:c>
      <x:c r="J46" s="6" t="str">
        <x:f>IF(Setup!$B$6="primary",INDEX('C_jama.2018.14282'!$F$2:$F$29,MATCH("2018::jama.2018.14282::C001",'C_jama.2018.14282'!$A$2:$A$29,0)),"NOT FROZEN")</x:f>
        <x:v>no</x:v>
      </x:c>
      <x:c r="K46" s="6" t="str">
        <x:f>IF(Setup!$B$6="primary",Setup!$B$2,"NOT FROZEN")</x:f>
      </x:c>
      <x:c r="L46" s="6" t="str">
        <x:f>IF(Setup!$B$6="primary",IF(OR(B46="",B46="not_applicable"),"","Disposition: "&amp;B46&amp;CHAR(10))&amp;IF(OR(C46="",C46="not_applicable"),"","Review domain: "&amp;C46&amp;CHAR(10))&amp;IF(OR(D46="",D46="not_applicable"),"","Statistcal_or_numerical issue: "&amp;D46&amp;CHAR(10))&amp;IF(OR(E46="",E46="not_applicable"),"","Substantiveness: "&amp;E46&amp;CHAR(10))&amp;IF(OR(F46="",F46="not_applicable"),"","Downstream impact: "&amp;F46&amp;CHAR(10))&amp;IF(OR(G46="",G46="not_applicable"),"","Report-internal or planning-material inconsistency: "&amp;G46&amp;CHAR(10))&amp;IF(OR(H46="",H46="not_applicable"),"","Protocol interpretation: "&amp;H46&amp;CHAR(10))&amp;IF(OR(I46="",I46="not_applicable"),"","Notes (optional): "&amp;I46&amp;CHAR(10)),"NOT FROZEN")</x:f>
        <x:v>Review domain: statistical_results
</x:v>
      </x:c>
    </x:row>
    <x:row r="47" ht="70" customHeight="1">
      <x:c r="A47" s="3" t="str">
        <x:f>IF(Setup!$B$6="primary","2018::jama.2018.14282::C002","NOT FROZEN")</x:f>
        <x:v>2018::jama.2018.14282::C002</x:v>
      </x:c>
      <x:c r="B47" s="3" t="str">
        <x:f>IF(Setup!$B$6="primary",IF(INDEX('C_jama.2018.14282'!$D$2:$D$29,MATCH("2018::jama.2018.14282::C002",'C_jama.2018.14282'!$A$2:$A$29,0))="","",INDEX('C_jama.2018.14282'!$D$2:$D$29,MATCH("2018::jama.2018.14282::C002",'C_jama.2018.14282'!$A$2:$A$29,0))),"NOT FROZEN")</x:f>
      </x:c>
      <x:c r="C47" s="3" t="str">
        <x:f>IF(Setup!$B$6="primary",IF(INDEX('C_jama.2018.14282'!$E$2:$E$29,MATCH("2018::jama.2018.14282::C002",'C_jama.2018.14282'!$A$2:$A$29,0))="","",INDEX('C_jama.2018.14282'!$E$2:$E$29,MATCH("2018::jama.2018.14282::C002",'C_jama.2018.14282'!$A$2:$A$29,0))),"NOT FROZEN")</x:f>
        <x:v>statistical_results</x:v>
      </x:c>
      <x:c r="D47" s="3" t="str">
        <x:f>IF(Setup!$B$6="primary",IF(AND(INDEX('C_jama.2018.14282'!$D$2:$D$29,MATCH("2018::jama.2018.14282::C002",'C_jama.2018.14282'!$A$2:$A$29,0))="retain",INDEX('C_jama.2018.14282'!$E$2:$E$29,MATCH("2018::jama.2018.14282::C002",'C_jama.2018.14282'!$A$2:$A$29,0))="statistical_results"),IF(INDEX('C_jama.2018.14282'!$H$2:$H$29,MATCH("2018::jama.2018.14282::C002",'C_jama.2018.14282'!$A$2:$A$29,0))="","",INDEX('C_jama.2018.14282'!$H$2:$H$29,MATCH("2018::jama.2018.14282::C002",'C_jama.2018.14282'!$A$2:$A$29,0))),"not_applicable"),"NOT FROZEN")</x:f>
        <x:v>not_applicable</x:v>
      </x:c>
      <x:c r="E47" s="3" t="str">
        <x:f>IF(Setup!$B$6="primary",IF(AND(INDEX('C_jama.2018.14282'!$D$2:$D$29,MATCH("2018::jama.2018.14282::C002",'C_jama.2018.14282'!$A$2:$A$29,0))="retain",INDEX('C_jama.2018.14282'!$E$2:$E$29,MATCH("2018::jama.2018.14282::C002",'C_jama.2018.14282'!$A$2:$A$29,0))="statistical_results"),IF(INDEX('C_jama.2018.14282'!$I$2:$I$29,MATCH("2018::jama.2018.14282::C002",'C_jama.2018.14282'!$A$2:$A$29,0))="","",INDEX('C_jama.2018.14282'!$I$2:$I$29,MATCH("2018::jama.2018.14282::C002",'C_jama.2018.14282'!$A$2:$A$29,0))),"not_applicable"),"NOT FROZEN")</x:f>
        <x:v>not_applicable</x:v>
      </x:c>
      <x:c r="F47" s="3" t="str">
        <x:f>IF(Setup!$B$6="primary",IF(AND(INDEX('C_jama.2018.14282'!$D$2:$D$29,MATCH("2018::jama.2018.14282::C002",'C_jama.2018.14282'!$A$2:$A$29,0))="retain",INDEX('C_jama.2018.14282'!$E$2:$E$29,MATCH("2018::jama.2018.14282::C002",'C_jama.2018.14282'!$A$2:$A$29,0))="statistical_results"),IF(INDEX('C_jama.2018.14282'!$J$2:$J$29,MATCH("2018::jama.2018.14282::C002",'C_jama.2018.14282'!$A$2:$A$29,0))="","",INDEX('C_jama.2018.14282'!$J$2:$J$29,MATCH("2018::jama.2018.14282::C002",'C_jama.2018.14282'!$A$2:$A$29,0))),"not_applicable"),"NOT FROZEN")</x:f>
        <x:v>not_applicable</x:v>
      </x:c>
      <x:c r="G47" s="3" t="str">
        <x:f>IF(Setup!$B$6="primary",IF(AND(INDEX('C_jama.2018.14282'!$D$2:$D$29,MATCH("2018::jama.2018.14282::C002",'C_jama.2018.14282'!$A$2:$A$29,0))="retain",OR(INDEX('C_jama.2018.14282'!$E$2:$E$29,MATCH("2018::jama.2018.14282::C002",'C_jama.2018.14282'!$A$2:$A$29,0))="report_internal_inconsistency",INDEX('C_jama.2018.14282'!$E$2:$E$29,MATCH("2018::jama.2018.14282::C002",'C_jama.2018.14282'!$A$2:$A$29,0))="plan_material")),IF(INDEX('C_jama.2018.14282'!$K$2:$K$29,MATCH("2018::jama.2018.14282::C002",'C_jama.2018.14282'!$A$2:$A$29,0))="","",INDEX('C_jama.2018.14282'!$K$2:$K$29,MATCH("2018::jama.2018.14282::C002",'C_jama.2018.14282'!$A$2:$A$29,0))),"not_applicable"),"NOT FROZEN")</x:f>
        <x:v>not_applicable</x:v>
      </x:c>
      <x:c r="H47" s="3" t="str">
        <x:f>IF(Setup!$B$6="primary",IF(AND(INDEX('C_jama.2018.14282'!$D$2:$D$29,MATCH("2018::jama.2018.14282::C002",'C_jama.2018.14282'!$A$2:$A$29,0))="retain",INDEX('C_jama.2018.14282'!$E$2:$E$29,MATCH("2018::jama.2018.14282::C002",'C_jama.2018.14282'!$A$2:$A$29,0))="protocol_report"),IF(INDEX('C_jama.2018.14282'!$L$2:$L$29,MATCH("2018::jama.2018.14282::C002",'C_jama.2018.14282'!$A$2:$A$29,0))="","",INDEX('C_jama.2018.14282'!$L$2:$L$29,MATCH("2018::jama.2018.14282::C002",'C_jama.2018.14282'!$A$2:$A$29,0))),"not_applicable"),"NOT FROZEN")</x:f>
        <x:v>not_applicable</x:v>
      </x:c>
      <x:c r="I47" s="3" t="str">
        <x:f>IF(Setup!$B$6="primary",IF(INDEX('C_jama.2018.14282'!$R$2:$R$29,MATCH("2018::jama.2018.14282::C002",'C_jama.2018.14282'!$A$2:$A$29,0))="","",INDEX('C_jama.2018.14282'!$R$2:$R$29,MATCH("2018::jama.2018.14282::C002",'C_jama.2018.14282'!$A$2:$A$29,0))),"NOT FROZEN")</x:f>
      </x:c>
      <x:c r="J47" s="3" t="str">
        <x:f>IF(Setup!$B$6="primary",INDEX('C_jama.2018.14282'!$F$2:$F$29,MATCH("2018::jama.2018.14282::C002",'C_jama.2018.14282'!$A$2:$A$29,0)),"NOT FROZEN")</x:f>
        <x:v>no</x:v>
      </x:c>
      <x:c r="K47" s="3" t="str">
        <x:f>IF(Setup!$B$6="primary",Setup!$B$2,"NOT FROZEN")</x:f>
      </x:c>
      <x:c r="L47" s="3" t="str">
        <x:f>IF(Setup!$B$6="primary",IF(OR(B47="",B47="not_applicable"),"","Disposition: "&amp;B47&amp;CHAR(10))&amp;IF(OR(C47="",C47="not_applicable"),"","Review domain: "&amp;C47&amp;CHAR(10))&amp;IF(OR(D47="",D47="not_applicable"),"","Statistcal_or_numerical issue: "&amp;D47&amp;CHAR(10))&amp;IF(OR(E47="",E47="not_applicable"),"","Substantiveness: "&amp;E47&amp;CHAR(10))&amp;IF(OR(F47="",F47="not_applicable"),"","Downstream impact: "&amp;F47&amp;CHAR(10))&amp;IF(OR(G47="",G47="not_applicable"),"","Report-internal or planning-material inconsistency: "&amp;G47&amp;CHAR(10))&amp;IF(OR(H47="",H47="not_applicable"),"","Protocol interpretation: "&amp;H47&amp;CHAR(10))&amp;IF(OR(I47="",I47="not_applicable"),"","Notes (optional): "&amp;I47&amp;CHAR(10)),"NOT FROZEN")</x:f>
        <x:v>Review domain: statistical_results
</x:v>
      </x:c>
    </x:row>
    <x:row r="48" ht="70" customHeight="1">
      <x:c r="A48" s="6" t="str">
        <x:f>IF(Setup!$B$6="primary","2018::jama.2018.14282::C003","NOT FROZEN")</x:f>
        <x:v>2018::jama.2018.14282::C003</x:v>
      </x:c>
      <x:c r="B48" s="6" t="str">
        <x:f>IF(Setup!$B$6="primary",IF(INDEX('C_jama.2018.14282'!$D$2:$D$29,MATCH("2018::jama.2018.14282::C003",'C_jama.2018.14282'!$A$2:$A$29,0))="","",INDEX('C_jama.2018.14282'!$D$2:$D$29,MATCH("2018::jama.2018.14282::C003",'C_jama.2018.14282'!$A$2:$A$29,0))),"NOT FROZEN")</x:f>
      </x:c>
      <x:c r="C48" s="6" t="str">
        <x:f>IF(Setup!$B$6="primary",IF(INDEX('C_jama.2018.14282'!$E$2:$E$29,MATCH("2018::jama.2018.14282::C003",'C_jama.2018.14282'!$A$2:$A$29,0))="","",INDEX('C_jama.2018.14282'!$E$2:$E$29,MATCH("2018::jama.2018.14282::C003",'C_jama.2018.14282'!$A$2:$A$29,0))),"NOT FROZEN")</x:f>
        <x:v>statistical_results</x:v>
      </x:c>
      <x:c r="D48" s="6" t="str">
        <x:f>IF(Setup!$B$6="primary",IF(AND(INDEX('C_jama.2018.14282'!$D$2:$D$29,MATCH("2018::jama.2018.14282::C003",'C_jama.2018.14282'!$A$2:$A$29,0))="retain",INDEX('C_jama.2018.14282'!$E$2:$E$29,MATCH("2018::jama.2018.14282::C003",'C_jama.2018.14282'!$A$2:$A$29,0))="statistical_results"),IF(INDEX('C_jama.2018.14282'!$H$2:$H$29,MATCH("2018::jama.2018.14282::C003",'C_jama.2018.14282'!$A$2:$A$29,0))="","",INDEX('C_jama.2018.14282'!$H$2:$H$29,MATCH("2018::jama.2018.14282::C003",'C_jama.2018.14282'!$A$2:$A$29,0))),"not_applicable"),"NOT FROZEN")</x:f>
        <x:v>not_applicable</x:v>
      </x:c>
      <x:c r="E48" s="6" t="str">
        <x:f>IF(Setup!$B$6="primary",IF(AND(INDEX('C_jama.2018.14282'!$D$2:$D$29,MATCH("2018::jama.2018.14282::C003",'C_jama.2018.14282'!$A$2:$A$29,0))="retain",INDEX('C_jama.2018.14282'!$E$2:$E$29,MATCH("2018::jama.2018.14282::C003",'C_jama.2018.14282'!$A$2:$A$29,0))="statistical_results"),IF(INDEX('C_jama.2018.14282'!$I$2:$I$29,MATCH("2018::jama.2018.14282::C003",'C_jama.2018.14282'!$A$2:$A$29,0))="","",INDEX('C_jama.2018.14282'!$I$2:$I$29,MATCH("2018::jama.2018.14282::C003",'C_jama.2018.14282'!$A$2:$A$29,0))),"not_applicable"),"NOT FROZEN")</x:f>
        <x:v>not_applicable</x:v>
      </x:c>
      <x:c r="F48" s="6" t="str">
        <x:f>IF(Setup!$B$6="primary",IF(AND(INDEX('C_jama.2018.14282'!$D$2:$D$29,MATCH("2018::jama.2018.14282::C003",'C_jama.2018.14282'!$A$2:$A$29,0))="retain",INDEX('C_jama.2018.14282'!$E$2:$E$29,MATCH("2018::jama.2018.14282::C003",'C_jama.2018.14282'!$A$2:$A$29,0))="statistical_results"),IF(INDEX('C_jama.2018.14282'!$J$2:$J$29,MATCH("2018::jama.2018.14282::C003",'C_jama.2018.14282'!$A$2:$A$29,0))="","",INDEX('C_jama.2018.14282'!$J$2:$J$29,MATCH("2018::jama.2018.14282::C003",'C_jama.2018.14282'!$A$2:$A$29,0))),"not_applicable"),"NOT FROZEN")</x:f>
        <x:v>not_applicable</x:v>
      </x:c>
      <x:c r="G48" s="6" t="str">
        <x:f>IF(Setup!$B$6="primary",IF(AND(INDEX('C_jama.2018.14282'!$D$2:$D$29,MATCH("2018::jama.2018.14282::C003",'C_jama.2018.14282'!$A$2:$A$29,0))="retain",OR(INDEX('C_jama.2018.14282'!$E$2:$E$29,MATCH("2018::jama.2018.14282::C003",'C_jama.2018.14282'!$A$2:$A$29,0))="report_internal_inconsistency",INDEX('C_jama.2018.14282'!$E$2:$E$29,MATCH("2018::jama.2018.14282::C003",'C_jama.2018.14282'!$A$2:$A$29,0))="plan_material")),IF(INDEX('C_jama.2018.14282'!$K$2:$K$29,MATCH("2018::jama.2018.14282::C003",'C_jama.2018.14282'!$A$2:$A$29,0))="","",INDEX('C_jama.2018.14282'!$K$2:$K$29,MATCH("2018::jama.2018.14282::C003",'C_jama.2018.14282'!$A$2:$A$29,0))),"not_applicable"),"NOT FROZEN")</x:f>
        <x:v>not_applicable</x:v>
      </x:c>
      <x:c r="H48" s="6" t="str">
        <x:f>IF(Setup!$B$6="primary",IF(AND(INDEX('C_jama.2018.14282'!$D$2:$D$29,MATCH("2018::jama.2018.14282::C003",'C_jama.2018.14282'!$A$2:$A$29,0))="retain",INDEX('C_jama.2018.14282'!$E$2:$E$29,MATCH("2018::jama.2018.14282::C003",'C_jama.2018.14282'!$A$2:$A$29,0))="protocol_report"),IF(INDEX('C_jama.2018.14282'!$L$2:$L$29,MATCH("2018::jama.2018.14282::C003",'C_jama.2018.14282'!$A$2:$A$29,0))="","",INDEX('C_jama.2018.14282'!$L$2:$L$29,MATCH("2018::jama.2018.14282::C003",'C_jama.2018.14282'!$A$2:$A$29,0))),"not_applicable"),"NOT FROZEN")</x:f>
        <x:v>not_applicable</x:v>
      </x:c>
      <x:c r="I48" s="6" t="str">
        <x:f>IF(Setup!$B$6="primary",IF(INDEX('C_jama.2018.14282'!$R$2:$R$29,MATCH("2018::jama.2018.14282::C003",'C_jama.2018.14282'!$A$2:$A$29,0))="","",INDEX('C_jama.2018.14282'!$R$2:$R$29,MATCH("2018::jama.2018.14282::C003",'C_jama.2018.14282'!$A$2:$A$29,0))),"NOT FROZEN")</x:f>
      </x:c>
      <x:c r="J48" s="6" t="str">
        <x:f>IF(Setup!$B$6="primary",INDEX('C_jama.2018.14282'!$F$2:$F$29,MATCH("2018::jama.2018.14282::C003",'C_jama.2018.14282'!$A$2:$A$29,0)),"NOT FROZEN")</x:f>
        <x:v>no</x:v>
      </x:c>
      <x:c r="K48" s="6" t="str">
        <x:f>IF(Setup!$B$6="primary",Setup!$B$2,"NOT FROZEN")</x:f>
      </x:c>
      <x:c r="L48" s="6" t="str">
        <x:f>IF(Setup!$B$6="primary",IF(OR(B48="",B48="not_applicable"),"","Disposition: "&amp;B48&amp;CHAR(10))&amp;IF(OR(C48="",C48="not_applicable"),"","Review domain: "&amp;C48&amp;CHAR(10))&amp;IF(OR(D48="",D48="not_applicable"),"","Statistcal_or_numerical issue: "&amp;D48&amp;CHAR(10))&amp;IF(OR(E48="",E48="not_applicable"),"","Substantiveness: "&amp;E48&amp;CHAR(10))&amp;IF(OR(F48="",F48="not_applicable"),"","Downstream impact: "&amp;F48&amp;CHAR(10))&amp;IF(OR(G48="",G48="not_applicable"),"","Report-internal or planning-material inconsistency: "&amp;G48&amp;CHAR(10))&amp;IF(OR(H48="",H48="not_applicable"),"","Protocol interpretation: "&amp;H48&amp;CHAR(10))&amp;IF(OR(I48="",I48="not_applicable"),"","Notes (optional): "&amp;I48&amp;CHAR(10)),"NOT FROZEN")</x:f>
        <x:v>Review domain: statistical_results
</x:v>
      </x:c>
    </x:row>
    <x:row r="49" ht="70" customHeight="1">
      <x:c r="A49" s="3" t="str">
        <x:f>IF(Setup!$B$6="primary","2018::jama.2018.14282::C004","NOT FROZEN")</x:f>
        <x:v>2018::jama.2018.14282::C004</x:v>
      </x:c>
      <x:c r="B49" s="3" t="str">
        <x:f>IF(Setup!$B$6="primary",IF(INDEX('C_jama.2018.14282'!$D$2:$D$29,MATCH("2018::jama.2018.14282::C004",'C_jama.2018.14282'!$A$2:$A$29,0))="","",INDEX('C_jama.2018.14282'!$D$2:$D$29,MATCH("2018::jama.2018.14282::C004",'C_jama.2018.14282'!$A$2:$A$29,0))),"NOT FROZEN")</x:f>
      </x:c>
      <x:c r="C49" s="3" t="str">
        <x:f>IF(Setup!$B$6="primary",IF(INDEX('C_jama.2018.14282'!$E$2:$E$29,MATCH("2018::jama.2018.14282::C004",'C_jama.2018.14282'!$A$2:$A$29,0))="","",INDEX('C_jama.2018.14282'!$E$2:$E$29,MATCH("2018::jama.2018.14282::C004",'C_jama.2018.14282'!$A$2:$A$29,0))),"NOT FROZEN")</x:f>
        <x:v>statistical_results</x:v>
      </x:c>
      <x:c r="D49" s="3" t="str">
        <x:f>IF(Setup!$B$6="primary",IF(AND(INDEX('C_jama.2018.14282'!$D$2:$D$29,MATCH("2018::jama.2018.14282::C004",'C_jama.2018.14282'!$A$2:$A$29,0))="retain",INDEX('C_jama.2018.14282'!$E$2:$E$29,MATCH("2018::jama.2018.14282::C004",'C_jama.2018.14282'!$A$2:$A$29,0))="statistical_results"),IF(INDEX('C_jama.2018.14282'!$H$2:$H$29,MATCH("2018::jama.2018.14282::C004",'C_jama.2018.14282'!$A$2:$A$29,0))="","",INDEX('C_jama.2018.14282'!$H$2:$H$29,MATCH("2018::jama.2018.14282::C004",'C_jama.2018.14282'!$A$2:$A$29,0))),"not_applicable"),"NOT FROZEN")</x:f>
        <x:v>not_applicable</x:v>
      </x:c>
      <x:c r="E49" s="3" t="str">
        <x:f>IF(Setup!$B$6="primary",IF(AND(INDEX('C_jama.2018.14282'!$D$2:$D$29,MATCH("2018::jama.2018.14282::C004",'C_jama.2018.14282'!$A$2:$A$29,0))="retain",INDEX('C_jama.2018.14282'!$E$2:$E$29,MATCH("2018::jama.2018.14282::C004",'C_jama.2018.14282'!$A$2:$A$29,0))="statistical_results"),IF(INDEX('C_jama.2018.14282'!$I$2:$I$29,MATCH("2018::jama.2018.14282::C004",'C_jama.2018.14282'!$A$2:$A$29,0))="","",INDEX('C_jama.2018.14282'!$I$2:$I$29,MATCH("2018::jama.2018.14282::C004",'C_jama.2018.14282'!$A$2:$A$29,0))),"not_applicable"),"NOT FROZEN")</x:f>
        <x:v>not_applicable</x:v>
      </x:c>
      <x:c r="F49" s="3" t="str">
        <x:f>IF(Setup!$B$6="primary",IF(AND(INDEX('C_jama.2018.14282'!$D$2:$D$29,MATCH("2018::jama.2018.14282::C004",'C_jama.2018.14282'!$A$2:$A$29,0))="retain",INDEX('C_jama.2018.14282'!$E$2:$E$29,MATCH("2018::jama.2018.14282::C004",'C_jama.2018.14282'!$A$2:$A$29,0))="statistical_results"),IF(INDEX('C_jama.2018.14282'!$J$2:$J$29,MATCH("2018::jama.2018.14282::C004",'C_jama.2018.14282'!$A$2:$A$29,0))="","",INDEX('C_jama.2018.14282'!$J$2:$J$29,MATCH("2018::jama.2018.14282::C004",'C_jama.2018.14282'!$A$2:$A$29,0))),"not_applicable"),"NOT FROZEN")</x:f>
        <x:v>not_applicable</x:v>
      </x:c>
      <x:c r="G49" s="3" t="str">
        <x:f>IF(Setup!$B$6="primary",IF(AND(INDEX('C_jama.2018.14282'!$D$2:$D$29,MATCH("2018::jama.2018.14282::C004",'C_jama.2018.14282'!$A$2:$A$29,0))="retain",OR(INDEX('C_jama.2018.14282'!$E$2:$E$29,MATCH("2018::jama.2018.14282::C004",'C_jama.2018.14282'!$A$2:$A$29,0))="report_internal_inconsistency",INDEX('C_jama.2018.14282'!$E$2:$E$29,MATCH("2018::jama.2018.14282::C004",'C_jama.2018.14282'!$A$2:$A$29,0))="plan_material")),IF(INDEX('C_jama.2018.14282'!$K$2:$K$29,MATCH("2018::jama.2018.14282::C004",'C_jama.2018.14282'!$A$2:$A$29,0))="","",INDEX('C_jama.2018.14282'!$K$2:$K$29,MATCH("2018::jama.2018.14282::C004",'C_jama.2018.14282'!$A$2:$A$29,0))),"not_applicable"),"NOT FROZEN")</x:f>
        <x:v>not_applicable</x:v>
      </x:c>
      <x:c r="H49" s="3" t="str">
        <x:f>IF(Setup!$B$6="primary",IF(AND(INDEX('C_jama.2018.14282'!$D$2:$D$29,MATCH("2018::jama.2018.14282::C004",'C_jama.2018.14282'!$A$2:$A$29,0))="retain",INDEX('C_jama.2018.14282'!$E$2:$E$29,MATCH("2018::jama.2018.14282::C004",'C_jama.2018.14282'!$A$2:$A$29,0))="protocol_report"),IF(INDEX('C_jama.2018.14282'!$L$2:$L$29,MATCH("2018::jama.2018.14282::C004",'C_jama.2018.14282'!$A$2:$A$29,0))="","",INDEX('C_jama.2018.14282'!$L$2:$L$29,MATCH("2018::jama.2018.14282::C004",'C_jama.2018.14282'!$A$2:$A$29,0))),"not_applicable"),"NOT FROZEN")</x:f>
        <x:v>not_applicable</x:v>
      </x:c>
      <x:c r="I49" s="3" t="str">
        <x:f>IF(Setup!$B$6="primary",IF(INDEX('C_jama.2018.14282'!$R$2:$R$29,MATCH("2018::jama.2018.14282::C004",'C_jama.2018.14282'!$A$2:$A$29,0))="","",INDEX('C_jama.2018.14282'!$R$2:$R$29,MATCH("2018::jama.2018.14282::C004",'C_jama.2018.14282'!$A$2:$A$29,0))),"NOT FROZEN")</x:f>
      </x:c>
      <x:c r="J49" s="3" t="str">
        <x:f>IF(Setup!$B$6="primary",INDEX('C_jama.2018.14282'!$F$2:$F$29,MATCH("2018::jama.2018.14282::C004",'C_jama.2018.14282'!$A$2:$A$29,0)),"NOT FROZEN")</x:f>
        <x:v>no</x:v>
      </x:c>
      <x:c r="K49" s="3" t="str">
        <x:f>IF(Setup!$B$6="primary",Setup!$B$2,"NOT FROZEN")</x:f>
      </x:c>
      <x:c r="L49" s="3" t="str">
        <x:f>IF(Setup!$B$6="primary",IF(OR(B49="",B49="not_applicable"),"","Disposition: "&amp;B49&amp;CHAR(10))&amp;IF(OR(C49="",C49="not_applicable"),"","Review domain: "&amp;C49&amp;CHAR(10))&amp;IF(OR(D49="",D49="not_applicable"),"","Statistcal_or_numerical issue: "&amp;D49&amp;CHAR(10))&amp;IF(OR(E49="",E49="not_applicable"),"","Substantiveness: "&amp;E49&amp;CHAR(10))&amp;IF(OR(F49="",F49="not_applicable"),"","Downstream impact: "&amp;F49&amp;CHAR(10))&amp;IF(OR(G49="",G49="not_applicable"),"","Report-internal or planning-material inconsistency: "&amp;G49&amp;CHAR(10))&amp;IF(OR(H49="",H49="not_applicable"),"","Protocol interpretation: "&amp;H49&amp;CHAR(10))&amp;IF(OR(I49="",I49="not_applicable"),"","Notes (optional): "&amp;I49&amp;CHAR(10)),"NOT FROZEN")</x:f>
        <x:v>Review domain: statistical_results
</x:v>
      </x:c>
    </x:row>
    <x:row r="50" ht="70" customHeight="1">
      <x:c r="A50" s="6" t="str">
        <x:f>IF(Setup!$B$6="primary","2018::jama.2018.14282::C005","NOT FROZEN")</x:f>
        <x:v>2018::jama.2018.14282::C005</x:v>
      </x:c>
      <x:c r="B50" s="6" t="str">
        <x:f>IF(Setup!$B$6="primary",IF(INDEX('C_jama.2018.14282'!$D$2:$D$29,MATCH("2018::jama.2018.14282::C005",'C_jama.2018.14282'!$A$2:$A$29,0))="","",INDEX('C_jama.2018.14282'!$D$2:$D$29,MATCH("2018::jama.2018.14282::C005",'C_jama.2018.14282'!$A$2:$A$29,0))),"NOT FROZEN")</x:f>
      </x:c>
      <x:c r="C50" s="6" t="str">
        <x:f>IF(Setup!$B$6="primary",IF(INDEX('C_jama.2018.14282'!$E$2:$E$29,MATCH("2018::jama.2018.14282::C005",'C_jama.2018.14282'!$A$2:$A$29,0))="","",INDEX('C_jama.2018.14282'!$E$2:$E$29,MATCH("2018::jama.2018.14282::C005",'C_jama.2018.14282'!$A$2:$A$29,0))),"NOT FROZEN")</x:f>
        <x:v>statistical_results</x:v>
      </x:c>
      <x:c r="D50" s="6" t="str">
        <x:f>IF(Setup!$B$6="primary",IF(AND(INDEX('C_jama.2018.14282'!$D$2:$D$29,MATCH("2018::jama.2018.14282::C005",'C_jama.2018.14282'!$A$2:$A$29,0))="retain",INDEX('C_jama.2018.14282'!$E$2:$E$29,MATCH("2018::jama.2018.14282::C005",'C_jama.2018.14282'!$A$2:$A$29,0))="statistical_results"),IF(INDEX('C_jama.2018.14282'!$H$2:$H$29,MATCH("2018::jama.2018.14282::C005",'C_jama.2018.14282'!$A$2:$A$29,0))="","",INDEX('C_jama.2018.14282'!$H$2:$H$29,MATCH("2018::jama.2018.14282::C005",'C_jama.2018.14282'!$A$2:$A$29,0))),"not_applicable"),"NOT FROZEN")</x:f>
        <x:v>not_applicable</x:v>
      </x:c>
      <x:c r="E50" s="6" t="str">
        <x:f>IF(Setup!$B$6="primary",IF(AND(INDEX('C_jama.2018.14282'!$D$2:$D$29,MATCH("2018::jama.2018.14282::C005",'C_jama.2018.14282'!$A$2:$A$29,0))="retain",INDEX('C_jama.2018.14282'!$E$2:$E$29,MATCH("2018::jama.2018.14282::C005",'C_jama.2018.14282'!$A$2:$A$29,0))="statistical_results"),IF(INDEX('C_jama.2018.14282'!$I$2:$I$29,MATCH("2018::jama.2018.14282::C005",'C_jama.2018.14282'!$A$2:$A$29,0))="","",INDEX('C_jama.2018.14282'!$I$2:$I$29,MATCH("2018::jama.2018.14282::C005",'C_jama.2018.14282'!$A$2:$A$29,0))),"not_applicable"),"NOT FROZEN")</x:f>
        <x:v>not_applicable</x:v>
      </x:c>
      <x:c r="F50" s="6" t="str">
        <x:f>IF(Setup!$B$6="primary",IF(AND(INDEX('C_jama.2018.14282'!$D$2:$D$29,MATCH("2018::jama.2018.14282::C005",'C_jama.2018.14282'!$A$2:$A$29,0))="retain",INDEX('C_jama.2018.14282'!$E$2:$E$29,MATCH("2018::jama.2018.14282::C005",'C_jama.2018.14282'!$A$2:$A$29,0))="statistical_results"),IF(INDEX('C_jama.2018.14282'!$J$2:$J$29,MATCH("2018::jama.2018.14282::C005",'C_jama.2018.14282'!$A$2:$A$29,0))="","",INDEX('C_jama.2018.14282'!$J$2:$J$29,MATCH("2018::jama.2018.14282::C005",'C_jama.2018.14282'!$A$2:$A$29,0))),"not_applicable"),"NOT FROZEN")</x:f>
        <x:v>not_applicable</x:v>
      </x:c>
      <x:c r="G50" s="6" t="str">
        <x:f>IF(Setup!$B$6="primary",IF(AND(INDEX('C_jama.2018.14282'!$D$2:$D$29,MATCH("2018::jama.2018.14282::C005",'C_jama.2018.14282'!$A$2:$A$29,0))="retain",OR(INDEX('C_jama.2018.14282'!$E$2:$E$29,MATCH("2018::jama.2018.14282::C005",'C_jama.2018.14282'!$A$2:$A$29,0))="report_internal_inconsistency",INDEX('C_jama.2018.14282'!$E$2:$E$29,MATCH("2018::jama.2018.14282::C005",'C_jama.2018.14282'!$A$2:$A$29,0))="plan_material")),IF(INDEX('C_jama.2018.14282'!$K$2:$K$29,MATCH("2018::jama.2018.14282::C005",'C_jama.2018.14282'!$A$2:$A$29,0))="","",INDEX('C_jama.2018.14282'!$K$2:$K$29,MATCH("2018::jama.2018.14282::C005",'C_jama.2018.14282'!$A$2:$A$29,0))),"not_applicable"),"NOT FROZEN")</x:f>
        <x:v>not_applicable</x:v>
      </x:c>
      <x:c r="H50" s="6" t="str">
        <x:f>IF(Setup!$B$6="primary",IF(AND(INDEX('C_jama.2018.14282'!$D$2:$D$29,MATCH("2018::jama.2018.14282::C005",'C_jama.2018.14282'!$A$2:$A$29,0))="retain",INDEX('C_jama.2018.14282'!$E$2:$E$29,MATCH("2018::jama.2018.14282::C005",'C_jama.2018.14282'!$A$2:$A$29,0))="protocol_report"),IF(INDEX('C_jama.2018.14282'!$L$2:$L$29,MATCH("2018::jama.2018.14282::C005",'C_jama.2018.14282'!$A$2:$A$29,0))="","",INDEX('C_jama.2018.14282'!$L$2:$L$29,MATCH("2018::jama.2018.14282::C005",'C_jama.2018.14282'!$A$2:$A$29,0))),"not_applicable"),"NOT FROZEN")</x:f>
        <x:v>not_applicable</x:v>
      </x:c>
      <x:c r="I50" s="6" t="str">
        <x:f>IF(Setup!$B$6="primary",IF(INDEX('C_jama.2018.14282'!$R$2:$R$29,MATCH("2018::jama.2018.14282::C005",'C_jama.2018.14282'!$A$2:$A$29,0))="","",INDEX('C_jama.2018.14282'!$R$2:$R$29,MATCH("2018::jama.2018.14282::C005",'C_jama.2018.14282'!$A$2:$A$29,0))),"NOT FROZEN")</x:f>
      </x:c>
      <x:c r="J50" s="6" t="str">
        <x:f>IF(Setup!$B$6="primary",INDEX('C_jama.2018.14282'!$F$2:$F$29,MATCH("2018::jama.2018.14282::C005",'C_jama.2018.14282'!$A$2:$A$29,0)),"NOT FROZEN")</x:f>
        <x:v>no</x:v>
      </x:c>
      <x:c r="K50" s="6" t="str">
        <x:f>IF(Setup!$B$6="primary",Setup!$B$2,"NOT FROZEN")</x:f>
      </x:c>
      <x:c r="L50" s="6" t="str">
        <x:f>IF(Setup!$B$6="primary",IF(OR(B50="",B50="not_applicable"),"","Disposition: "&amp;B50&amp;CHAR(10))&amp;IF(OR(C50="",C50="not_applicable"),"","Review domain: "&amp;C50&amp;CHAR(10))&amp;IF(OR(D50="",D50="not_applicable"),"","Statistcal_or_numerical issue: "&amp;D50&amp;CHAR(10))&amp;IF(OR(E50="",E50="not_applicable"),"","Substantiveness: "&amp;E50&amp;CHAR(10))&amp;IF(OR(F50="",F50="not_applicable"),"","Downstream impact: "&amp;F50&amp;CHAR(10))&amp;IF(OR(G50="",G50="not_applicable"),"","Report-internal or planning-material inconsistency: "&amp;G50&amp;CHAR(10))&amp;IF(OR(H50="",H50="not_applicable"),"","Protocol interpretation: "&amp;H50&amp;CHAR(10))&amp;IF(OR(I50="",I50="not_applicable"),"","Notes (optional): "&amp;I50&amp;CHAR(10)),"NOT FROZEN")</x:f>
        <x:v>Review domain: statistical_results
</x:v>
      </x:c>
    </x:row>
    <x:row r="51" ht="70" customHeight="1">
      <x:c r="A51" s="3" t="str">
        <x:f>IF(Setup!$B$6="primary","2018::jama.2018.14282::C006","NOT FROZEN")</x:f>
        <x:v>2018::jama.2018.14282::C006</x:v>
      </x:c>
      <x:c r="B51" s="3" t="str">
        <x:f>IF(Setup!$B$6="primary",IF(INDEX('C_jama.2018.14282'!$D$2:$D$29,MATCH("2018::jama.2018.14282::C006",'C_jama.2018.14282'!$A$2:$A$29,0))="","",INDEX('C_jama.2018.14282'!$D$2:$D$29,MATCH("2018::jama.2018.14282::C006",'C_jama.2018.14282'!$A$2:$A$29,0))),"NOT FROZEN")</x:f>
      </x:c>
      <x:c r="C51" s="3" t="str">
        <x:f>IF(Setup!$B$6="primary",IF(INDEX('C_jama.2018.14282'!$E$2:$E$29,MATCH("2018::jama.2018.14282::C006",'C_jama.2018.14282'!$A$2:$A$29,0))="","",INDEX('C_jama.2018.14282'!$E$2:$E$29,MATCH("2018::jama.2018.14282::C006",'C_jama.2018.14282'!$A$2:$A$29,0))),"NOT FROZEN")</x:f>
        <x:v>statistical_results</x:v>
      </x:c>
      <x:c r="D51" s="3" t="str">
        <x:f>IF(Setup!$B$6="primary",IF(AND(INDEX('C_jama.2018.14282'!$D$2:$D$29,MATCH("2018::jama.2018.14282::C006",'C_jama.2018.14282'!$A$2:$A$29,0))="retain",INDEX('C_jama.2018.14282'!$E$2:$E$29,MATCH("2018::jama.2018.14282::C006",'C_jama.2018.14282'!$A$2:$A$29,0))="statistical_results"),IF(INDEX('C_jama.2018.14282'!$H$2:$H$29,MATCH("2018::jama.2018.14282::C006",'C_jama.2018.14282'!$A$2:$A$29,0))="","",INDEX('C_jama.2018.14282'!$H$2:$H$29,MATCH("2018::jama.2018.14282::C006",'C_jama.2018.14282'!$A$2:$A$29,0))),"not_applicable"),"NOT FROZEN")</x:f>
        <x:v>not_applicable</x:v>
      </x:c>
      <x:c r="E51" s="3" t="str">
        <x:f>IF(Setup!$B$6="primary",IF(AND(INDEX('C_jama.2018.14282'!$D$2:$D$29,MATCH("2018::jama.2018.14282::C006",'C_jama.2018.14282'!$A$2:$A$29,0))="retain",INDEX('C_jama.2018.14282'!$E$2:$E$29,MATCH("2018::jama.2018.14282::C006",'C_jama.2018.14282'!$A$2:$A$29,0))="statistical_results"),IF(INDEX('C_jama.2018.14282'!$I$2:$I$29,MATCH("2018::jama.2018.14282::C006",'C_jama.2018.14282'!$A$2:$A$29,0))="","",INDEX('C_jama.2018.14282'!$I$2:$I$29,MATCH("2018::jama.2018.14282::C006",'C_jama.2018.14282'!$A$2:$A$29,0))),"not_applicable"),"NOT FROZEN")</x:f>
        <x:v>not_applicable</x:v>
      </x:c>
      <x:c r="F51" s="3" t="str">
        <x:f>IF(Setup!$B$6="primary",IF(AND(INDEX('C_jama.2018.14282'!$D$2:$D$29,MATCH("2018::jama.2018.14282::C006",'C_jama.2018.14282'!$A$2:$A$29,0))="retain",INDEX('C_jama.2018.14282'!$E$2:$E$29,MATCH("2018::jama.2018.14282::C006",'C_jama.2018.14282'!$A$2:$A$29,0))="statistical_results"),IF(INDEX('C_jama.2018.14282'!$J$2:$J$29,MATCH("2018::jama.2018.14282::C006",'C_jama.2018.14282'!$A$2:$A$29,0))="","",INDEX('C_jama.2018.14282'!$J$2:$J$29,MATCH("2018::jama.2018.14282::C006",'C_jama.2018.14282'!$A$2:$A$29,0))),"not_applicable"),"NOT FROZEN")</x:f>
        <x:v>not_applicable</x:v>
      </x:c>
      <x:c r="G51" s="3" t="str">
        <x:f>IF(Setup!$B$6="primary",IF(AND(INDEX('C_jama.2018.14282'!$D$2:$D$29,MATCH("2018::jama.2018.14282::C006",'C_jama.2018.14282'!$A$2:$A$29,0))="retain",OR(INDEX('C_jama.2018.14282'!$E$2:$E$29,MATCH("2018::jama.2018.14282::C006",'C_jama.2018.14282'!$A$2:$A$29,0))="report_internal_inconsistency",INDEX('C_jama.2018.14282'!$E$2:$E$29,MATCH("2018::jama.2018.14282::C006",'C_jama.2018.14282'!$A$2:$A$29,0))="plan_material")),IF(INDEX('C_jama.2018.14282'!$K$2:$K$29,MATCH("2018::jama.2018.14282::C006",'C_jama.2018.14282'!$A$2:$A$29,0))="","",INDEX('C_jama.2018.14282'!$K$2:$K$29,MATCH("2018::jama.2018.14282::C006",'C_jama.2018.14282'!$A$2:$A$29,0))),"not_applicable"),"NOT FROZEN")</x:f>
        <x:v>not_applicable</x:v>
      </x:c>
      <x:c r="H51" s="3" t="str">
        <x:f>IF(Setup!$B$6="primary",IF(AND(INDEX('C_jama.2018.14282'!$D$2:$D$29,MATCH("2018::jama.2018.14282::C006",'C_jama.2018.14282'!$A$2:$A$29,0))="retain",INDEX('C_jama.2018.14282'!$E$2:$E$29,MATCH("2018::jama.2018.14282::C006",'C_jama.2018.14282'!$A$2:$A$29,0))="protocol_report"),IF(INDEX('C_jama.2018.14282'!$L$2:$L$29,MATCH("2018::jama.2018.14282::C006",'C_jama.2018.14282'!$A$2:$A$29,0))="","",INDEX('C_jama.2018.14282'!$L$2:$L$29,MATCH("2018::jama.2018.14282::C006",'C_jama.2018.14282'!$A$2:$A$29,0))),"not_applicable"),"NOT FROZEN")</x:f>
        <x:v>not_applicable</x:v>
      </x:c>
      <x:c r="I51" s="3" t="str">
        <x:f>IF(Setup!$B$6="primary",IF(INDEX('C_jama.2018.14282'!$R$2:$R$29,MATCH("2018::jama.2018.14282::C006",'C_jama.2018.14282'!$A$2:$A$29,0))="","",INDEX('C_jama.2018.14282'!$R$2:$R$29,MATCH("2018::jama.2018.14282::C006",'C_jama.2018.14282'!$A$2:$A$29,0))),"NOT FROZEN")</x:f>
      </x:c>
      <x:c r="J51" s="3" t="str">
        <x:f>IF(Setup!$B$6="primary",INDEX('C_jama.2018.14282'!$F$2:$F$29,MATCH("2018::jama.2018.14282::C006",'C_jama.2018.14282'!$A$2:$A$29,0)),"NOT FROZEN")</x:f>
        <x:v>no</x:v>
      </x:c>
      <x:c r="K51" s="3" t="str">
        <x:f>IF(Setup!$B$6="primary",Setup!$B$2,"NOT FROZEN")</x:f>
      </x:c>
      <x:c r="L51" s="3" t="str">
        <x:f>IF(Setup!$B$6="primary",IF(OR(B51="",B51="not_applicable"),"","Disposition: "&amp;B51&amp;CHAR(10))&amp;IF(OR(C51="",C51="not_applicable"),"","Review domain: "&amp;C51&amp;CHAR(10))&amp;IF(OR(D51="",D51="not_applicable"),"","Statistcal_or_numerical issue: "&amp;D51&amp;CHAR(10))&amp;IF(OR(E51="",E51="not_applicable"),"","Substantiveness: "&amp;E51&amp;CHAR(10))&amp;IF(OR(F51="",F51="not_applicable"),"","Downstream impact: "&amp;F51&amp;CHAR(10))&amp;IF(OR(G51="",G51="not_applicable"),"","Report-internal or planning-material inconsistency: "&amp;G51&amp;CHAR(10))&amp;IF(OR(H51="",H51="not_applicable"),"","Protocol interpretation: "&amp;H51&amp;CHAR(10))&amp;IF(OR(I51="",I51="not_applicable"),"","Notes (optional): "&amp;I51&amp;CHAR(10)),"NOT FROZEN")</x:f>
        <x:v>Review domain: statistical_results
</x:v>
      </x:c>
    </x:row>
    <x:row r="52" ht="70" customHeight="1">
      <x:c r="A52" s="6" t="str">
        <x:f>IF(Setup!$B$6="primary","2018::jama.2018.14282::C007","NOT FROZEN")</x:f>
        <x:v>2018::jama.2018.14282::C007</x:v>
      </x:c>
      <x:c r="B52" s="6" t="str">
        <x:f>IF(Setup!$B$6="primary",IF(INDEX('C_jama.2018.14282'!$D$2:$D$29,MATCH("2018::jama.2018.14282::C007",'C_jama.2018.14282'!$A$2:$A$29,0))="","",INDEX('C_jama.2018.14282'!$D$2:$D$29,MATCH("2018::jama.2018.14282::C007",'C_jama.2018.14282'!$A$2:$A$29,0))),"NOT FROZEN")</x:f>
      </x:c>
      <x:c r="C52" s="6" t="str">
        <x:f>IF(Setup!$B$6="primary",IF(INDEX('C_jama.2018.14282'!$E$2:$E$29,MATCH("2018::jama.2018.14282::C007",'C_jama.2018.14282'!$A$2:$A$29,0))="","",INDEX('C_jama.2018.14282'!$E$2:$E$29,MATCH("2018::jama.2018.14282::C007",'C_jama.2018.14282'!$A$2:$A$29,0))),"NOT FROZEN")</x:f>
        <x:v>statistical_results</x:v>
      </x:c>
      <x:c r="D52" s="6" t="str">
        <x:f>IF(Setup!$B$6="primary",IF(AND(INDEX('C_jama.2018.14282'!$D$2:$D$29,MATCH("2018::jama.2018.14282::C007",'C_jama.2018.14282'!$A$2:$A$29,0))="retain",INDEX('C_jama.2018.14282'!$E$2:$E$29,MATCH("2018::jama.2018.14282::C007",'C_jama.2018.14282'!$A$2:$A$29,0))="statistical_results"),IF(INDEX('C_jama.2018.14282'!$H$2:$H$29,MATCH("2018::jama.2018.14282::C007",'C_jama.2018.14282'!$A$2:$A$29,0))="","",INDEX('C_jama.2018.14282'!$H$2:$H$29,MATCH("2018::jama.2018.14282::C007",'C_jama.2018.14282'!$A$2:$A$29,0))),"not_applicable"),"NOT FROZEN")</x:f>
        <x:v>not_applicable</x:v>
      </x:c>
      <x:c r="E52" s="6" t="str">
        <x:f>IF(Setup!$B$6="primary",IF(AND(INDEX('C_jama.2018.14282'!$D$2:$D$29,MATCH("2018::jama.2018.14282::C007",'C_jama.2018.14282'!$A$2:$A$29,0))="retain",INDEX('C_jama.2018.14282'!$E$2:$E$29,MATCH("2018::jama.2018.14282::C007",'C_jama.2018.14282'!$A$2:$A$29,0))="statistical_results"),IF(INDEX('C_jama.2018.14282'!$I$2:$I$29,MATCH("2018::jama.2018.14282::C007",'C_jama.2018.14282'!$A$2:$A$29,0))="","",INDEX('C_jama.2018.14282'!$I$2:$I$29,MATCH("2018::jama.2018.14282::C007",'C_jama.2018.14282'!$A$2:$A$29,0))),"not_applicable"),"NOT FROZEN")</x:f>
        <x:v>not_applicable</x:v>
      </x:c>
      <x:c r="F52" s="6" t="str">
        <x:f>IF(Setup!$B$6="primary",IF(AND(INDEX('C_jama.2018.14282'!$D$2:$D$29,MATCH("2018::jama.2018.14282::C007",'C_jama.2018.14282'!$A$2:$A$29,0))="retain",INDEX('C_jama.2018.14282'!$E$2:$E$29,MATCH("2018::jama.2018.14282::C007",'C_jama.2018.14282'!$A$2:$A$29,0))="statistical_results"),IF(INDEX('C_jama.2018.14282'!$J$2:$J$29,MATCH("2018::jama.2018.14282::C007",'C_jama.2018.14282'!$A$2:$A$29,0))="","",INDEX('C_jama.2018.14282'!$J$2:$J$29,MATCH("2018::jama.2018.14282::C007",'C_jama.2018.14282'!$A$2:$A$29,0))),"not_applicable"),"NOT FROZEN")</x:f>
        <x:v>not_applicable</x:v>
      </x:c>
      <x:c r="G52" s="6" t="str">
        <x:f>IF(Setup!$B$6="primary",IF(AND(INDEX('C_jama.2018.14282'!$D$2:$D$29,MATCH("2018::jama.2018.14282::C007",'C_jama.2018.14282'!$A$2:$A$29,0))="retain",OR(INDEX('C_jama.2018.14282'!$E$2:$E$29,MATCH("2018::jama.2018.14282::C007",'C_jama.2018.14282'!$A$2:$A$29,0))="report_internal_inconsistency",INDEX('C_jama.2018.14282'!$E$2:$E$29,MATCH("2018::jama.2018.14282::C007",'C_jama.2018.14282'!$A$2:$A$29,0))="plan_material")),IF(INDEX('C_jama.2018.14282'!$K$2:$K$29,MATCH("2018::jama.2018.14282::C007",'C_jama.2018.14282'!$A$2:$A$29,0))="","",INDEX('C_jama.2018.14282'!$K$2:$K$29,MATCH("2018::jama.2018.14282::C007",'C_jama.2018.14282'!$A$2:$A$29,0))),"not_applicable"),"NOT FROZEN")</x:f>
        <x:v>not_applicable</x:v>
      </x:c>
      <x:c r="H52" s="6" t="str">
        <x:f>IF(Setup!$B$6="primary",IF(AND(INDEX('C_jama.2018.14282'!$D$2:$D$29,MATCH("2018::jama.2018.14282::C007",'C_jama.2018.14282'!$A$2:$A$29,0))="retain",INDEX('C_jama.2018.14282'!$E$2:$E$29,MATCH("2018::jama.2018.14282::C007",'C_jama.2018.14282'!$A$2:$A$29,0))="protocol_report"),IF(INDEX('C_jama.2018.14282'!$L$2:$L$29,MATCH("2018::jama.2018.14282::C007",'C_jama.2018.14282'!$A$2:$A$29,0))="","",INDEX('C_jama.2018.14282'!$L$2:$L$29,MATCH("2018::jama.2018.14282::C007",'C_jama.2018.14282'!$A$2:$A$29,0))),"not_applicable"),"NOT FROZEN")</x:f>
        <x:v>not_applicable</x:v>
      </x:c>
      <x:c r="I52" s="6" t="str">
        <x:f>IF(Setup!$B$6="primary",IF(INDEX('C_jama.2018.14282'!$R$2:$R$29,MATCH("2018::jama.2018.14282::C007",'C_jama.2018.14282'!$A$2:$A$29,0))="","",INDEX('C_jama.2018.14282'!$R$2:$R$29,MATCH("2018::jama.2018.14282::C007",'C_jama.2018.14282'!$A$2:$A$29,0))),"NOT FROZEN")</x:f>
      </x:c>
      <x:c r="J52" s="6" t="str">
        <x:f>IF(Setup!$B$6="primary",INDEX('C_jama.2018.14282'!$F$2:$F$29,MATCH("2018::jama.2018.14282::C007",'C_jama.2018.14282'!$A$2:$A$29,0)),"NOT FROZEN")</x:f>
        <x:v>no</x:v>
      </x:c>
      <x:c r="K52" s="6" t="str">
        <x:f>IF(Setup!$B$6="primary",Setup!$B$2,"NOT FROZEN")</x:f>
      </x:c>
      <x:c r="L52" s="6" t="str">
        <x:f>IF(Setup!$B$6="primary",IF(OR(B52="",B52="not_applicable"),"","Disposition: "&amp;B52&amp;CHAR(10))&amp;IF(OR(C52="",C52="not_applicable"),"","Review domain: "&amp;C52&amp;CHAR(10))&amp;IF(OR(D52="",D52="not_applicable"),"","Statistcal_or_numerical issue: "&amp;D52&amp;CHAR(10))&amp;IF(OR(E52="",E52="not_applicable"),"","Substantiveness: "&amp;E52&amp;CHAR(10))&amp;IF(OR(F52="",F52="not_applicable"),"","Downstream impact: "&amp;F52&amp;CHAR(10))&amp;IF(OR(G52="",G52="not_applicable"),"","Report-internal or planning-material inconsistency: "&amp;G52&amp;CHAR(10))&amp;IF(OR(H52="",H52="not_applicable"),"","Protocol interpretation: "&amp;H52&amp;CHAR(10))&amp;IF(OR(I52="",I52="not_applicable"),"","Notes (optional): "&amp;I52&amp;CHAR(10)),"NOT FROZEN")</x:f>
        <x:v>Review domain: statistical_results
</x:v>
      </x:c>
    </x:row>
    <x:row r="53" ht="70" customHeight="1">
      <x:c r="A53" s="3" t="str">
        <x:f>IF(Setup!$B$6="primary","2018::jama.2018.14282::C008","NOT FROZEN")</x:f>
        <x:v>2018::jama.2018.14282::C008</x:v>
      </x:c>
      <x:c r="B53" s="3" t="str">
        <x:f>IF(Setup!$B$6="primary",IF(INDEX('C_jama.2018.14282'!$D$2:$D$29,MATCH("2018::jama.2018.14282::C008",'C_jama.2018.14282'!$A$2:$A$29,0))="","",INDEX('C_jama.2018.14282'!$D$2:$D$29,MATCH("2018::jama.2018.14282::C008",'C_jama.2018.14282'!$A$2:$A$29,0))),"NOT FROZEN")</x:f>
      </x:c>
      <x:c r="C53" s="3" t="str">
        <x:f>IF(Setup!$B$6="primary",IF(INDEX('C_jama.2018.14282'!$E$2:$E$29,MATCH("2018::jama.2018.14282::C008",'C_jama.2018.14282'!$A$2:$A$29,0))="","",INDEX('C_jama.2018.14282'!$E$2:$E$29,MATCH("2018::jama.2018.14282::C008",'C_jama.2018.14282'!$A$2:$A$29,0))),"NOT FROZEN")</x:f>
        <x:v>statistical_results</x:v>
      </x:c>
      <x:c r="D53" s="3" t="str">
        <x:f>IF(Setup!$B$6="primary",IF(AND(INDEX('C_jama.2018.14282'!$D$2:$D$29,MATCH("2018::jama.2018.14282::C008",'C_jama.2018.14282'!$A$2:$A$29,0))="retain",INDEX('C_jama.2018.14282'!$E$2:$E$29,MATCH("2018::jama.2018.14282::C008",'C_jama.2018.14282'!$A$2:$A$29,0))="statistical_results"),IF(INDEX('C_jama.2018.14282'!$H$2:$H$29,MATCH("2018::jama.2018.14282::C008",'C_jama.2018.14282'!$A$2:$A$29,0))="","",INDEX('C_jama.2018.14282'!$H$2:$H$29,MATCH("2018::jama.2018.14282::C008",'C_jama.2018.14282'!$A$2:$A$29,0))),"not_applicable"),"NOT FROZEN")</x:f>
        <x:v>not_applicable</x:v>
      </x:c>
      <x:c r="E53" s="3" t="str">
        <x:f>IF(Setup!$B$6="primary",IF(AND(INDEX('C_jama.2018.14282'!$D$2:$D$29,MATCH("2018::jama.2018.14282::C008",'C_jama.2018.14282'!$A$2:$A$29,0))="retain",INDEX('C_jama.2018.14282'!$E$2:$E$29,MATCH("2018::jama.2018.14282::C008",'C_jama.2018.14282'!$A$2:$A$29,0))="statistical_results"),IF(INDEX('C_jama.2018.14282'!$I$2:$I$29,MATCH("2018::jama.2018.14282::C008",'C_jama.2018.14282'!$A$2:$A$29,0))="","",INDEX('C_jama.2018.14282'!$I$2:$I$29,MATCH("2018::jama.2018.14282::C008",'C_jama.2018.14282'!$A$2:$A$29,0))),"not_applicable"),"NOT FROZEN")</x:f>
        <x:v>not_applicable</x:v>
      </x:c>
      <x:c r="F53" s="3" t="str">
        <x:f>IF(Setup!$B$6="primary",IF(AND(INDEX('C_jama.2018.14282'!$D$2:$D$29,MATCH("2018::jama.2018.14282::C008",'C_jama.2018.14282'!$A$2:$A$29,0))="retain",INDEX('C_jama.2018.14282'!$E$2:$E$29,MATCH("2018::jama.2018.14282::C008",'C_jama.2018.14282'!$A$2:$A$29,0))="statistical_results"),IF(INDEX('C_jama.2018.14282'!$J$2:$J$29,MATCH("2018::jama.2018.14282::C008",'C_jama.2018.14282'!$A$2:$A$29,0))="","",INDEX('C_jama.2018.14282'!$J$2:$J$29,MATCH("2018::jama.2018.14282::C008",'C_jama.2018.14282'!$A$2:$A$29,0))),"not_applicable"),"NOT FROZEN")</x:f>
        <x:v>not_applicable</x:v>
      </x:c>
      <x:c r="G53" s="3" t="str">
        <x:f>IF(Setup!$B$6="primary",IF(AND(INDEX('C_jama.2018.14282'!$D$2:$D$29,MATCH("2018::jama.2018.14282::C008",'C_jama.2018.14282'!$A$2:$A$29,0))="retain",OR(INDEX('C_jama.2018.14282'!$E$2:$E$29,MATCH("2018::jama.2018.14282::C008",'C_jama.2018.14282'!$A$2:$A$29,0))="report_internal_inconsistency",INDEX('C_jama.2018.14282'!$E$2:$E$29,MATCH("2018::jama.2018.14282::C008",'C_jama.2018.14282'!$A$2:$A$29,0))="plan_material")),IF(INDEX('C_jama.2018.14282'!$K$2:$K$29,MATCH("2018::jama.2018.14282::C008",'C_jama.2018.14282'!$A$2:$A$29,0))="","",INDEX('C_jama.2018.14282'!$K$2:$K$29,MATCH("2018::jama.2018.14282::C008",'C_jama.2018.14282'!$A$2:$A$29,0))),"not_applicable"),"NOT FROZEN")</x:f>
        <x:v>not_applicable</x:v>
      </x:c>
      <x:c r="H53" s="3" t="str">
        <x:f>IF(Setup!$B$6="primary",IF(AND(INDEX('C_jama.2018.14282'!$D$2:$D$29,MATCH("2018::jama.2018.14282::C008",'C_jama.2018.14282'!$A$2:$A$29,0))="retain",INDEX('C_jama.2018.14282'!$E$2:$E$29,MATCH("2018::jama.2018.14282::C008",'C_jama.2018.14282'!$A$2:$A$29,0))="protocol_report"),IF(INDEX('C_jama.2018.14282'!$L$2:$L$29,MATCH("2018::jama.2018.14282::C008",'C_jama.2018.14282'!$A$2:$A$29,0))="","",INDEX('C_jama.2018.14282'!$L$2:$L$29,MATCH("2018::jama.2018.14282::C008",'C_jama.2018.14282'!$A$2:$A$29,0))),"not_applicable"),"NOT FROZEN")</x:f>
        <x:v>not_applicable</x:v>
      </x:c>
      <x:c r="I53" s="3" t="str">
        <x:f>IF(Setup!$B$6="primary",IF(INDEX('C_jama.2018.14282'!$R$2:$R$29,MATCH("2018::jama.2018.14282::C008",'C_jama.2018.14282'!$A$2:$A$29,0))="","",INDEX('C_jama.2018.14282'!$R$2:$R$29,MATCH("2018::jama.2018.14282::C008",'C_jama.2018.14282'!$A$2:$A$29,0))),"NOT FROZEN")</x:f>
      </x:c>
      <x:c r="J53" s="3" t="str">
        <x:f>IF(Setup!$B$6="primary",INDEX('C_jama.2018.14282'!$F$2:$F$29,MATCH("2018::jama.2018.14282::C008",'C_jama.2018.14282'!$A$2:$A$29,0)),"NOT FROZEN")</x:f>
        <x:v>no</x:v>
      </x:c>
      <x:c r="K53" s="3" t="str">
        <x:f>IF(Setup!$B$6="primary",Setup!$B$2,"NOT FROZEN")</x:f>
      </x:c>
      <x:c r="L53" s="3" t="str">
        <x:f>IF(Setup!$B$6="primary",IF(OR(B53="",B53="not_applicable"),"","Disposition: "&amp;B53&amp;CHAR(10))&amp;IF(OR(C53="",C53="not_applicable"),"","Review domain: "&amp;C53&amp;CHAR(10))&amp;IF(OR(D53="",D53="not_applicable"),"","Statistcal_or_numerical issue: "&amp;D53&amp;CHAR(10))&amp;IF(OR(E53="",E53="not_applicable"),"","Substantiveness: "&amp;E53&amp;CHAR(10))&amp;IF(OR(F53="",F53="not_applicable"),"","Downstream impact: "&amp;F53&amp;CHAR(10))&amp;IF(OR(G53="",G53="not_applicable"),"","Report-internal or planning-material inconsistency: "&amp;G53&amp;CHAR(10))&amp;IF(OR(H53="",H53="not_applicable"),"","Protocol interpretation: "&amp;H53&amp;CHAR(10))&amp;IF(OR(I53="",I53="not_applicable"),"","Notes (optional): "&amp;I53&amp;CHAR(10)),"NOT FROZEN")</x:f>
        <x:v>Review domain: statistical_results
</x:v>
      </x:c>
    </x:row>
    <x:row r="54" ht="70" customHeight="1">
      <x:c r="A54" s="6" t="str">
        <x:f>IF(Setup!$B$6="primary","2018::jama.2018.14282::C009","NOT FROZEN")</x:f>
        <x:v>2018::jama.2018.14282::C009</x:v>
      </x:c>
      <x:c r="B54" s="6" t="str">
        <x:f>IF(Setup!$B$6="primary",IF(INDEX('C_jama.2018.14282'!$D$2:$D$29,MATCH("2018::jama.2018.14282::C009",'C_jama.2018.14282'!$A$2:$A$29,0))="","",INDEX('C_jama.2018.14282'!$D$2:$D$29,MATCH("2018::jama.2018.14282::C009",'C_jama.2018.14282'!$A$2:$A$29,0))),"NOT FROZEN")</x:f>
      </x:c>
      <x:c r="C54" s="6" t="str">
        <x:f>IF(Setup!$B$6="primary",IF(INDEX('C_jama.2018.14282'!$E$2:$E$29,MATCH("2018::jama.2018.14282::C009",'C_jama.2018.14282'!$A$2:$A$29,0))="","",INDEX('C_jama.2018.14282'!$E$2:$E$29,MATCH("2018::jama.2018.14282::C009",'C_jama.2018.14282'!$A$2:$A$29,0))),"NOT FROZEN")</x:f>
        <x:v>statistical_results</x:v>
      </x:c>
      <x:c r="D54" s="6" t="str">
        <x:f>IF(Setup!$B$6="primary",IF(AND(INDEX('C_jama.2018.14282'!$D$2:$D$29,MATCH("2018::jama.2018.14282::C009",'C_jama.2018.14282'!$A$2:$A$29,0))="retain",INDEX('C_jama.2018.14282'!$E$2:$E$29,MATCH("2018::jama.2018.14282::C009",'C_jama.2018.14282'!$A$2:$A$29,0))="statistical_results"),IF(INDEX('C_jama.2018.14282'!$H$2:$H$29,MATCH("2018::jama.2018.14282::C009",'C_jama.2018.14282'!$A$2:$A$29,0))="","",INDEX('C_jama.2018.14282'!$H$2:$H$29,MATCH("2018::jama.2018.14282::C009",'C_jama.2018.14282'!$A$2:$A$29,0))),"not_applicable"),"NOT FROZEN")</x:f>
        <x:v>not_applicable</x:v>
      </x:c>
      <x:c r="E54" s="6" t="str">
        <x:f>IF(Setup!$B$6="primary",IF(AND(INDEX('C_jama.2018.14282'!$D$2:$D$29,MATCH("2018::jama.2018.14282::C009",'C_jama.2018.14282'!$A$2:$A$29,0))="retain",INDEX('C_jama.2018.14282'!$E$2:$E$29,MATCH("2018::jama.2018.14282::C009",'C_jama.2018.14282'!$A$2:$A$29,0))="statistical_results"),IF(INDEX('C_jama.2018.14282'!$I$2:$I$29,MATCH("2018::jama.2018.14282::C009",'C_jama.2018.14282'!$A$2:$A$29,0))="","",INDEX('C_jama.2018.14282'!$I$2:$I$29,MATCH("2018::jama.2018.14282::C009",'C_jama.2018.14282'!$A$2:$A$29,0))),"not_applicable"),"NOT FROZEN")</x:f>
        <x:v>not_applicable</x:v>
      </x:c>
      <x:c r="F54" s="6" t="str">
        <x:f>IF(Setup!$B$6="primary",IF(AND(INDEX('C_jama.2018.14282'!$D$2:$D$29,MATCH("2018::jama.2018.14282::C009",'C_jama.2018.14282'!$A$2:$A$29,0))="retain",INDEX('C_jama.2018.14282'!$E$2:$E$29,MATCH("2018::jama.2018.14282::C009",'C_jama.2018.14282'!$A$2:$A$29,0))="statistical_results"),IF(INDEX('C_jama.2018.14282'!$J$2:$J$29,MATCH("2018::jama.2018.14282::C009",'C_jama.2018.14282'!$A$2:$A$29,0))="","",INDEX('C_jama.2018.14282'!$J$2:$J$29,MATCH("2018::jama.2018.14282::C009",'C_jama.2018.14282'!$A$2:$A$29,0))),"not_applicable"),"NOT FROZEN")</x:f>
        <x:v>not_applicable</x:v>
      </x:c>
      <x:c r="G54" s="6" t="str">
        <x:f>IF(Setup!$B$6="primary",IF(AND(INDEX('C_jama.2018.14282'!$D$2:$D$29,MATCH("2018::jama.2018.14282::C009",'C_jama.2018.14282'!$A$2:$A$29,0))="retain",OR(INDEX('C_jama.2018.14282'!$E$2:$E$29,MATCH("2018::jama.2018.14282::C009",'C_jama.2018.14282'!$A$2:$A$29,0))="report_internal_inconsistency",INDEX('C_jama.2018.14282'!$E$2:$E$29,MATCH("2018::jama.2018.14282::C009",'C_jama.2018.14282'!$A$2:$A$29,0))="plan_material")),IF(INDEX('C_jama.2018.14282'!$K$2:$K$29,MATCH("2018::jama.2018.14282::C009",'C_jama.2018.14282'!$A$2:$A$29,0))="","",INDEX('C_jama.2018.14282'!$K$2:$K$29,MATCH("2018::jama.2018.14282::C009",'C_jama.2018.14282'!$A$2:$A$29,0))),"not_applicable"),"NOT FROZEN")</x:f>
        <x:v>not_applicable</x:v>
      </x:c>
      <x:c r="H54" s="6" t="str">
        <x:f>IF(Setup!$B$6="primary",IF(AND(INDEX('C_jama.2018.14282'!$D$2:$D$29,MATCH("2018::jama.2018.14282::C009",'C_jama.2018.14282'!$A$2:$A$29,0))="retain",INDEX('C_jama.2018.14282'!$E$2:$E$29,MATCH("2018::jama.2018.14282::C009",'C_jama.2018.14282'!$A$2:$A$29,0))="protocol_report"),IF(INDEX('C_jama.2018.14282'!$L$2:$L$29,MATCH("2018::jama.2018.14282::C009",'C_jama.2018.14282'!$A$2:$A$29,0))="","",INDEX('C_jama.2018.14282'!$L$2:$L$29,MATCH("2018::jama.2018.14282::C009",'C_jama.2018.14282'!$A$2:$A$29,0))),"not_applicable"),"NOT FROZEN")</x:f>
        <x:v>not_applicable</x:v>
      </x:c>
      <x:c r="I54" s="6" t="str">
        <x:f>IF(Setup!$B$6="primary",IF(INDEX('C_jama.2018.14282'!$R$2:$R$29,MATCH("2018::jama.2018.14282::C009",'C_jama.2018.14282'!$A$2:$A$29,0))="","",INDEX('C_jama.2018.14282'!$R$2:$R$29,MATCH("2018::jama.2018.14282::C009",'C_jama.2018.14282'!$A$2:$A$29,0))),"NOT FROZEN")</x:f>
      </x:c>
      <x:c r="J54" s="6" t="str">
        <x:f>IF(Setup!$B$6="primary",INDEX('C_jama.2018.14282'!$F$2:$F$29,MATCH("2018::jama.2018.14282::C009",'C_jama.2018.14282'!$A$2:$A$29,0)),"NOT FROZEN")</x:f>
        <x:v>no</x:v>
      </x:c>
      <x:c r="K54" s="6" t="str">
        <x:f>IF(Setup!$B$6="primary",Setup!$B$2,"NOT FROZEN")</x:f>
      </x:c>
      <x:c r="L54" s="6" t="str">
        <x:f>IF(Setup!$B$6="primary",IF(OR(B54="",B54="not_applicable"),"","Disposition: "&amp;B54&amp;CHAR(10))&amp;IF(OR(C54="",C54="not_applicable"),"","Review domain: "&amp;C54&amp;CHAR(10))&amp;IF(OR(D54="",D54="not_applicable"),"","Statistcal_or_numerical issue: "&amp;D54&amp;CHAR(10))&amp;IF(OR(E54="",E54="not_applicable"),"","Substantiveness: "&amp;E54&amp;CHAR(10))&amp;IF(OR(F54="",F54="not_applicable"),"","Downstream impact: "&amp;F54&amp;CHAR(10))&amp;IF(OR(G54="",G54="not_applicable"),"","Report-internal or planning-material inconsistency: "&amp;G54&amp;CHAR(10))&amp;IF(OR(H54="",H54="not_applicable"),"","Protocol interpretation: "&amp;H54&amp;CHAR(10))&amp;IF(OR(I54="",I54="not_applicable"),"","Notes (optional): "&amp;I54&amp;CHAR(10)),"NOT FROZEN")</x:f>
        <x:v>Review domain: statistical_results
</x:v>
      </x:c>
    </x:row>
    <x:row r="55" ht="70" customHeight="1">
      <x:c r="A55" s="3" t="str">
        <x:f>IF(Setup!$B$6="primary","2018::jama.2018.14282::C010","NOT FROZEN")</x:f>
        <x:v>2018::jama.2018.14282::C010</x:v>
      </x:c>
      <x:c r="B55" s="3" t="str">
        <x:f>IF(Setup!$B$6="primary",IF(INDEX('C_jama.2018.14282'!$D$2:$D$29,MATCH("2018::jama.2018.14282::C010",'C_jama.2018.14282'!$A$2:$A$29,0))="","",INDEX('C_jama.2018.14282'!$D$2:$D$29,MATCH("2018::jama.2018.14282::C010",'C_jama.2018.14282'!$A$2:$A$29,0))),"NOT FROZEN")</x:f>
      </x:c>
      <x:c r="C55" s="3" t="str">
        <x:f>IF(Setup!$B$6="primary",IF(INDEX('C_jama.2018.14282'!$E$2:$E$29,MATCH("2018::jama.2018.14282::C010",'C_jama.2018.14282'!$A$2:$A$29,0))="","",INDEX('C_jama.2018.14282'!$E$2:$E$29,MATCH("2018::jama.2018.14282::C010",'C_jama.2018.14282'!$A$2:$A$29,0))),"NOT FROZEN")</x:f>
        <x:v>statistical_results</x:v>
      </x:c>
      <x:c r="D55" s="3" t="str">
        <x:f>IF(Setup!$B$6="primary",IF(AND(INDEX('C_jama.2018.14282'!$D$2:$D$29,MATCH("2018::jama.2018.14282::C010",'C_jama.2018.14282'!$A$2:$A$29,0))="retain",INDEX('C_jama.2018.14282'!$E$2:$E$29,MATCH("2018::jama.2018.14282::C010",'C_jama.2018.14282'!$A$2:$A$29,0))="statistical_results"),IF(INDEX('C_jama.2018.14282'!$H$2:$H$29,MATCH("2018::jama.2018.14282::C010",'C_jama.2018.14282'!$A$2:$A$29,0))="","",INDEX('C_jama.2018.14282'!$H$2:$H$29,MATCH("2018::jama.2018.14282::C010",'C_jama.2018.14282'!$A$2:$A$29,0))),"not_applicable"),"NOT FROZEN")</x:f>
        <x:v>not_applicable</x:v>
      </x:c>
      <x:c r="E55" s="3" t="str">
        <x:f>IF(Setup!$B$6="primary",IF(AND(INDEX('C_jama.2018.14282'!$D$2:$D$29,MATCH("2018::jama.2018.14282::C010",'C_jama.2018.14282'!$A$2:$A$29,0))="retain",INDEX('C_jama.2018.14282'!$E$2:$E$29,MATCH("2018::jama.2018.14282::C010",'C_jama.2018.14282'!$A$2:$A$29,0))="statistical_results"),IF(INDEX('C_jama.2018.14282'!$I$2:$I$29,MATCH("2018::jama.2018.14282::C010",'C_jama.2018.14282'!$A$2:$A$29,0))="","",INDEX('C_jama.2018.14282'!$I$2:$I$29,MATCH("2018::jama.2018.14282::C010",'C_jama.2018.14282'!$A$2:$A$29,0))),"not_applicable"),"NOT FROZEN")</x:f>
        <x:v>not_applicable</x:v>
      </x:c>
      <x:c r="F55" s="3" t="str">
        <x:f>IF(Setup!$B$6="primary",IF(AND(INDEX('C_jama.2018.14282'!$D$2:$D$29,MATCH("2018::jama.2018.14282::C010",'C_jama.2018.14282'!$A$2:$A$29,0))="retain",INDEX('C_jama.2018.14282'!$E$2:$E$29,MATCH("2018::jama.2018.14282::C010",'C_jama.2018.14282'!$A$2:$A$29,0))="statistical_results"),IF(INDEX('C_jama.2018.14282'!$J$2:$J$29,MATCH("2018::jama.2018.14282::C010",'C_jama.2018.14282'!$A$2:$A$29,0))="","",INDEX('C_jama.2018.14282'!$J$2:$J$29,MATCH("2018::jama.2018.14282::C010",'C_jama.2018.14282'!$A$2:$A$29,0))),"not_applicable"),"NOT FROZEN")</x:f>
        <x:v>not_applicable</x:v>
      </x:c>
      <x:c r="G55" s="3" t="str">
        <x:f>IF(Setup!$B$6="primary",IF(AND(INDEX('C_jama.2018.14282'!$D$2:$D$29,MATCH("2018::jama.2018.14282::C010",'C_jama.2018.14282'!$A$2:$A$29,0))="retain",OR(INDEX('C_jama.2018.14282'!$E$2:$E$29,MATCH("2018::jama.2018.14282::C010",'C_jama.2018.14282'!$A$2:$A$29,0))="report_internal_inconsistency",INDEX('C_jama.2018.14282'!$E$2:$E$29,MATCH("2018::jama.2018.14282::C010",'C_jama.2018.14282'!$A$2:$A$29,0))="plan_material")),IF(INDEX('C_jama.2018.14282'!$K$2:$K$29,MATCH("2018::jama.2018.14282::C010",'C_jama.2018.14282'!$A$2:$A$29,0))="","",INDEX('C_jama.2018.14282'!$K$2:$K$29,MATCH("2018::jama.2018.14282::C010",'C_jama.2018.14282'!$A$2:$A$29,0))),"not_applicable"),"NOT FROZEN")</x:f>
        <x:v>not_applicable</x:v>
      </x:c>
      <x:c r="H55" s="3" t="str">
        <x:f>IF(Setup!$B$6="primary",IF(AND(INDEX('C_jama.2018.14282'!$D$2:$D$29,MATCH("2018::jama.2018.14282::C010",'C_jama.2018.14282'!$A$2:$A$29,0))="retain",INDEX('C_jama.2018.14282'!$E$2:$E$29,MATCH("2018::jama.2018.14282::C010",'C_jama.2018.14282'!$A$2:$A$29,0))="protocol_report"),IF(INDEX('C_jama.2018.14282'!$L$2:$L$29,MATCH("2018::jama.2018.14282::C010",'C_jama.2018.14282'!$A$2:$A$29,0))="","",INDEX('C_jama.2018.14282'!$L$2:$L$29,MATCH("2018::jama.2018.14282::C010",'C_jama.2018.14282'!$A$2:$A$29,0))),"not_applicable"),"NOT FROZEN")</x:f>
        <x:v>not_applicable</x:v>
      </x:c>
      <x:c r="I55" s="3" t="str">
        <x:f>IF(Setup!$B$6="primary",IF(INDEX('C_jama.2018.14282'!$R$2:$R$29,MATCH("2018::jama.2018.14282::C010",'C_jama.2018.14282'!$A$2:$A$29,0))="","",INDEX('C_jama.2018.14282'!$R$2:$R$29,MATCH("2018::jama.2018.14282::C010",'C_jama.2018.14282'!$A$2:$A$29,0))),"NOT FROZEN")</x:f>
      </x:c>
      <x:c r="J55" s="3" t="str">
        <x:f>IF(Setup!$B$6="primary",INDEX('C_jama.2018.14282'!$F$2:$F$29,MATCH("2018::jama.2018.14282::C010",'C_jama.2018.14282'!$A$2:$A$29,0)),"NOT FROZEN")</x:f>
        <x:v>no</x:v>
      </x:c>
      <x:c r="K55" s="3" t="str">
        <x:f>IF(Setup!$B$6="primary",Setup!$B$2,"NOT FROZEN")</x:f>
      </x:c>
      <x:c r="L55" s="3" t="str">
        <x:f>IF(Setup!$B$6="primary",IF(OR(B55="",B55="not_applicable"),"","Disposition: "&amp;B55&amp;CHAR(10))&amp;IF(OR(C55="",C55="not_applicable"),"","Review domain: "&amp;C55&amp;CHAR(10))&amp;IF(OR(D55="",D55="not_applicable"),"","Statistcal_or_numerical issue: "&amp;D55&amp;CHAR(10))&amp;IF(OR(E55="",E55="not_applicable"),"","Substantiveness: "&amp;E55&amp;CHAR(10))&amp;IF(OR(F55="",F55="not_applicable"),"","Downstream impact: "&amp;F55&amp;CHAR(10))&amp;IF(OR(G55="",G55="not_applicable"),"","Report-internal or planning-material inconsistency: "&amp;G55&amp;CHAR(10))&amp;IF(OR(H55="",H55="not_applicable"),"","Protocol interpretation: "&amp;H55&amp;CHAR(10))&amp;IF(OR(I55="",I55="not_applicable"),"","Notes (optional): "&amp;I55&amp;CHAR(10)),"NOT FROZEN")</x:f>
        <x:v>Review domain: statistical_results
</x:v>
      </x:c>
    </x:row>
    <x:row r="56" ht="70" customHeight="1">
      <x:c r="A56" s="6" t="str">
        <x:f>IF(Setup!$B$6="primary","2018::jama.2018.14282::C011","NOT FROZEN")</x:f>
        <x:v>2018::jama.2018.14282::C011</x:v>
      </x:c>
      <x:c r="B56" s="6" t="str">
        <x:f>IF(Setup!$B$6="primary",IF(INDEX('C_jama.2018.14282'!$D$2:$D$29,MATCH("2018::jama.2018.14282::C011",'C_jama.2018.14282'!$A$2:$A$29,0))="","",INDEX('C_jama.2018.14282'!$D$2:$D$29,MATCH("2018::jama.2018.14282::C011",'C_jama.2018.14282'!$A$2:$A$29,0))),"NOT FROZEN")</x:f>
      </x:c>
      <x:c r="C56" s="6" t="str">
        <x:f>IF(Setup!$B$6="primary",IF(INDEX('C_jama.2018.14282'!$E$2:$E$29,MATCH("2018::jama.2018.14282::C011",'C_jama.2018.14282'!$A$2:$A$29,0))="","",INDEX('C_jama.2018.14282'!$E$2:$E$29,MATCH("2018::jama.2018.14282::C011",'C_jama.2018.14282'!$A$2:$A$29,0))),"NOT FROZEN")</x:f>
        <x:v>statistical_results</x:v>
      </x:c>
      <x:c r="D56" s="6" t="str">
        <x:f>IF(Setup!$B$6="primary",IF(AND(INDEX('C_jama.2018.14282'!$D$2:$D$29,MATCH("2018::jama.2018.14282::C011",'C_jama.2018.14282'!$A$2:$A$29,0))="retain",INDEX('C_jama.2018.14282'!$E$2:$E$29,MATCH("2018::jama.2018.14282::C011",'C_jama.2018.14282'!$A$2:$A$29,0))="statistical_results"),IF(INDEX('C_jama.2018.14282'!$H$2:$H$29,MATCH("2018::jama.2018.14282::C011",'C_jama.2018.14282'!$A$2:$A$29,0))="","",INDEX('C_jama.2018.14282'!$H$2:$H$29,MATCH("2018::jama.2018.14282::C011",'C_jama.2018.14282'!$A$2:$A$29,0))),"not_applicable"),"NOT FROZEN")</x:f>
        <x:v>not_applicable</x:v>
      </x:c>
      <x:c r="E56" s="6" t="str">
        <x:f>IF(Setup!$B$6="primary",IF(AND(INDEX('C_jama.2018.14282'!$D$2:$D$29,MATCH("2018::jama.2018.14282::C011",'C_jama.2018.14282'!$A$2:$A$29,0))="retain",INDEX('C_jama.2018.14282'!$E$2:$E$29,MATCH("2018::jama.2018.14282::C011",'C_jama.2018.14282'!$A$2:$A$29,0))="statistical_results"),IF(INDEX('C_jama.2018.14282'!$I$2:$I$29,MATCH("2018::jama.2018.14282::C011",'C_jama.2018.14282'!$A$2:$A$29,0))="","",INDEX('C_jama.2018.14282'!$I$2:$I$29,MATCH("2018::jama.2018.14282::C011",'C_jama.2018.14282'!$A$2:$A$29,0))),"not_applicable"),"NOT FROZEN")</x:f>
        <x:v>not_applicable</x:v>
      </x:c>
      <x:c r="F56" s="6" t="str">
        <x:f>IF(Setup!$B$6="primary",IF(AND(INDEX('C_jama.2018.14282'!$D$2:$D$29,MATCH("2018::jama.2018.14282::C011",'C_jama.2018.14282'!$A$2:$A$29,0))="retain",INDEX('C_jama.2018.14282'!$E$2:$E$29,MATCH("2018::jama.2018.14282::C011",'C_jama.2018.14282'!$A$2:$A$29,0))="statistical_results"),IF(INDEX('C_jama.2018.14282'!$J$2:$J$29,MATCH("2018::jama.2018.14282::C011",'C_jama.2018.14282'!$A$2:$A$29,0))="","",INDEX('C_jama.2018.14282'!$J$2:$J$29,MATCH("2018::jama.2018.14282::C011",'C_jama.2018.14282'!$A$2:$A$29,0))),"not_applicable"),"NOT FROZEN")</x:f>
        <x:v>not_applicable</x:v>
      </x:c>
      <x:c r="G56" s="6" t="str">
        <x:f>IF(Setup!$B$6="primary",IF(AND(INDEX('C_jama.2018.14282'!$D$2:$D$29,MATCH("2018::jama.2018.14282::C011",'C_jama.2018.14282'!$A$2:$A$29,0))="retain",OR(INDEX('C_jama.2018.14282'!$E$2:$E$29,MATCH("2018::jama.2018.14282::C011",'C_jama.2018.14282'!$A$2:$A$29,0))="report_internal_inconsistency",INDEX('C_jama.2018.14282'!$E$2:$E$29,MATCH("2018::jama.2018.14282::C011",'C_jama.2018.14282'!$A$2:$A$29,0))="plan_material")),IF(INDEX('C_jama.2018.14282'!$K$2:$K$29,MATCH("2018::jama.2018.14282::C011",'C_jama.2018.14282'!$A$2:$A$29,0))="","",INDEX('C_jama.2018.14282'!$K$2:$K$29,MATCH("2018::jama.2018.14282::C011",'C_jama.2018.14282'!$A$2:$A$29,0))),"not_applicable"),"NOT FROZEN")</x:f>
        <x:v>not_applicable</x:v>
      </x:c>
      <x:c r="H56" s="6" t="str">
        <x:f>IF(Setup!$B$6="primary",IF(AND(INDEX('C_jama.2018.14282'!$D$2:$D$29,MATCH("2018::jama.2018.14282::C011",'C_jama.2018.14282'!$A$2:$A$29,0))="retain",INDEX('C_jama.2018.14282'!$E$2:$E$29,MATCH("2018::jama.2018.14282::C011",'C_jama.2018.14282'!$A$2:$A$29,0))="protocol_report"),IF(INDEX('C_jama.2018.14282'!$L$2:$L$29,MATCH("2018::jama.2018.14282::C011",'C_jama.2018.14282'!$A$2:$A$29,0))="","",INDEX('C_jama.2018.14282'!$L$2:$L$29,MATCH("2018::jama.2018.14282::C011",'C_jama.2018.14282'!$A$2:$A$29,0))),"not_applicable"),"NOT FROZEN")</x:f>
        <x:v>not_applicable</x:v>
      </x:c>
      <x:c r="I56" s="6" t="str">
        <x:f>IF(Setup!$B$6="primary",IF(INDEX('C_jama.2018.14282'!$R$2:$R$29,MATCH("2018::jama.2018.14282::C011",'C_jama.2018.14282'!$A$2:$A$29,0))="","",INDEX('C_jama.2018.14282'!$R$2:$R$29,MATCH("2018::jama.2018.14282::C011",'C_jama.2018.14282'!$A$2:$A$29,0))),"NOT FROZEN")</x:f>
      </x:c>
      <x:c r="J56" s="6" t="str">
        <x:f>IF(Setup!$B$6="primary",INDEX('C_jama.2018.14282'!$F$2:$F$29,MATCH("2018::jama.2018.14282::C011",'C_jama.2018.14282'!$A$2:$A$29,0)),"NOT FROZEN")</x:f>
        <x:v>no</x:v>
      </x:c>
      <x:c r="K56" s="6" t="str">
        <x:f>IF(Setup!$B$6="primary",Setup!$B$2,"NOT FROZEN")</x:f>
      </x:c>
      <x:c r="L56" s="6" t="str">
        <x:f>IF(Setup!$B$6="primary",IF(OR(B56="",B56="not_applicable"),"","Disposition: "&amp;B56&amp;CHAR(10))&amp;IF(OR(C56="",C56="not_applicable"),"","Review domain: "&amp;C56&amp;CHAR(10))&amp;IF(OR(D56="",D56="not_applicable"),"","Statistcal_or_numerical issue: "&amp;D56&amp;CHAR(10))&amp;IF(OR(E56="",E56="not_applicable"),"","Substantiveness: "&amp;E56&amp;CHAR(10))&amp;IF(OR(F56="",F56="not_applicable"),"","Downstream impact: "&amp;F56&amp;CHAR(10))&amp;IF(OR(G56="",G56="not_applicable"),"","Report-internal or planning-material inconsistency: "&amp;G56&amp;CHAR(10))&amp;IF(OR(H56="",H56="not_applicable"),"","Protocol interpretation: "&amp;H56&amp;CHAR(10))&amp;IF(OR(I56="",I56="not_applicable"),"","Notes (optional): "&amp;I56&amp;CHAR(10)),"NOT FROZEN")</x:f>
        <x:v>Review domain: statistical_results
</x:v>
      </x:c>
    </x:row>
    <x:row r="57" ht="70" customHeight="1">
      <x:c r="A57" s="3" t="str">
        <x:f>IF(Setup!$B$6="primary","2018::jama.2018.14282::C012","NOT FROZEN")</x:f>
        <x:v>2018::jama.2018.14282::C012</x:v>
      </x:c>
      <x:c r="B57" s="3" t="str">
        <x:f>IF(Setup!$B$6="primary",IF(INDEX('C_jama.2018.14282'!$D$2:$D$29,MATCH("2018::jama.2018.14282::C012",'C_jama.2018.14282'!$A$2:$A$29,0))="","",INDEX('C_jama.2018.14282'!$D$2:$D$29,MATCH("2018::jama.2018.14282::C012",'C_jama.2018.14282'!$A$2:$A$29,0))),"NOT FROZEN")</x:f>
      </x:c>
      <x:c r="C57" s="3" t="str">
        <x:f>IF(Setup!$B$6="primary",IF(INDEX('C_jama.2018.14282'!$E$2:$E$29,MATCH("2018::jama.2018.14282::C012",'C_jama.2018.14282'!$A$2:$A$29,0))="","",INDEX('C_jama.2018.14282'!$E$2:$E$29,MATCH("2018::jama.2018.14282::C012",'C_jama.2018.14282'!$A$2:$A$29,0))),"NOT FROZEN")</x:f>
        <x:v>statistical_results</x:v>
      </x:c>
      <x:c r="D57" s="3" t="str">
        <x:f>IF(Setup!$B$6="primary",IF(AND(INDEX('C_jama.2018.14282'!$D$2:$D$29,MATCH("2018::jama.2018.14282::C012",'C_jama.2018.14282'!$A$2:$A$29,0))="retain",INDEX('C_jama.2018.14282'!$E$2:$E$29,MATCH("2018::jama.2018.14282::C012",'C_jama.2018.14282'!$A$2:$A$29,0))="statistical_results"),IF(INDEX('C_jama.2018.14282'!$H$2:$H$29,MATCH("2018::jama.2018.14282::C012",'C_jama.2018.14282'!$A$2:$A$29,0))="","",INDEX('C_jama.2018.14282'!$H$2:$H$29,MATCH("2018::jama.2018.14282::C012",'C_jama.2018.14282'!$A$2:$A$29,0))),"not_applicable"),"NOT FROZEN")</x:f>
        <x:v>not_applicable</x:v>
      </x:c>
      <x:c r="E57" s="3" t="str">
        <x:f>IF(Setup!$B$6="primary",IF(AND(INDEX('C_jama.2018.14282'!$D$2:$D$29,MATCH("2018::jama.2018.14282::C012",'C_jama.2018.14282'!$A$2:$A$29,0))="retain",INDEX('C_jama.2018.14282'!$E$2:$E$29,MATCH("2018::jama.2018.14282::C012",'C_jama.2018.14282'!$A$2:$A$29,0))="statistical_results"),IF(INDEX('C_jama.2018.14282'!$I$2:$I$29,MATCH("2018::jama.2018.14282::C012",'C_jama.2018.14282'!$A$2:$A$29,0))="","",INDEX('C_jama.2018.14282'!$I$2:$I$29,MATCH("2018::jama.2018.14282::C012",'C_jama.2018.14282'!$A$2:$A$29,0))),"not_applicable"),"NOT FROZEN")</x:f>
        <x:v>not_applicable</x:v>
      </x:c>
      <x:c r="F57" s="3" t="str">
        <x:f>IF(Setup!$B$6="primary",IF(AND(INDEX('C_jama.2018.14282'!$D$2:$D$29,MATCH("2018::jama.2018.14282::C012",'C_jama.2018.14282'!$A$2:$A$29,0))="retain",INDEX('C_jama.2018.14282'!$E$2:$E$29,MATCH("2018::jama.2018.14282::C012",'C_jama.2018.14282'!$A$2:$A$29,0))="statistical_results"),IF(INDEX('C_jama.2018.14282'!$J$2:$J$29,MATCH("2018::jama.2018.14282::C012",'C_jama.2018.14282'!$A$2:$A$29,0))="","",INDEX('C_jama.2018.14282'!$J$2:$J$29,MATCH("2018::jama.2018.14282::C012",'C_jama.2018.14282'!$A$2:$A$29,0))),"not_applicable"),"NOT FROZEN")</x:f>
        <x:v>not_applicable</x:v>
      </x:c>
      <x:c r="G57" s="3" t="str">
        <x:f>IF(Setup!$B$6="primary",IF(AND(INDEX('C_jama.2018.14282'!$D$2:$D$29,MATCH("2018::jama.2018.14282::C012",'C_jama.2018.14282'!$A$2:$A$29,0))="retain",OR(INDEX('C_jama.2018.14282'!$E$2:$E$29,MATCH("2018::jama.2018.14282::C012",'C_jama.2018.14282'!$A$2:$A$29,0))="report_internal_inconsistency",INDEX('C_jama.2018.14282'!$E$2:$E$29,MATCH("2018::jama.2018.14282::C012",'C_jama.2018.14282'!$A$2:$A$29,0))="plan_material")),IF(INDEX('C_jama.2018.14282'!$K$2:$K$29,MATCH("2018::jama.2018.14282::C012",'C_jama.2018.14282'!$A$2:$A$29,0))="","",INDEX('C_jama.2018.14282'!$K$2:$K$29,MATCH("2018::jama.2018.14282::C012",'C_jama.2018.14282'!$A$2:$A$29,0))),"not_applicable"),"NOT FROZEN")</x:f>
        <x:v>not_applicable</x:v>
      </x:c>
      <x:c r="H57" s="3" t="str">
        <x:f>IF(Setup!$B$6="primary",IF(AND(INDEX('C_jama.2018.14282'!$D$2:$D$29,MATCH("2018::jama.2018.14282::C012",'C_jama.2018.14282'!$A$2:$A$29,0))="retain",INDEX('C_jama.2018.14282'!$E$2:$E$29,MATCH("2018::jama.2018.14282::C012",'C_jama.2018.14282'!$A$2:$A$29,0))="protocol_report"),IF(INDEX('C_jama.2018.14282'!$L$2:$L$29,MATCH("2018::jama.2018.14282::C012",'C_jama.2018.14282'!$A$2:$A$29,0))="","",INDEX('C_jama.2018.14282'!$L$2:$L$29,MATCH("2018::jama.2018.14282::C012",'C_jama.2018.14282'!$A$2:$A$29,0))),"not_applicable"),"NOT FROZEN")</x:f>
        <x:v>not_applicable</x:v>
      </x:c>
      <x:c r="I57" s="3" t="str">
        <x:f>IF(Setup!$B$6="primary",IF(INDEX('C_jama.2018.14282'!$R$2:$R$29,MATCH("2018::jama.2018.14282::C012",'C_jama.2018.14282'!$A$2:$A$29,0))="","",INDEX('C_jama.2018.14282'!$R$2:$R$29,MATCH("2018::jama.2018.14282::C012",'C_jama.2018.14282'!$A$2:$A$29,0))),"NOT FROZEN")</x:f>
      </x:c>
      <x:c r="J57" s="3" t="str">
        <x:f>IF(Setup!$B$6="primary",INDEX('C_jama.2018.14282'!$F$2:$F$29,MATCH("2018::jama.2018.14282::C012",'C_jama.2018.14282'!$A$2:$A$29,0)),"NOT FROZEN")</x:f>
        <x:v>no</x:v>
      </x:c>
      <x:c r="K57" s="3" t="str">
        <x:f>IF(Setup!$B$6="primary",Setup!$B$2,"NOT FROZEN")</x:f>
      </x:c>
      <x:c r="L57" s="3" t="str">
        <x:f>IF(Setup!$B$6="primary",IF(OR(B57="",B57="not_applicable"),"","Disposition: "&amp;B57&amp;CHAR(10))&amp;IF(OR(C57="",C57="not_applicable"),"","Review domain: "&amp;C57&amp;CHAR(10))&amp;IF(OR(D57="",D57="not_applicable"),"","Statistcal_or_numerical issue: "&amp;D57&amp;CHAR(10))&amp;IF(OR(E57="",E57="not_applicable"),"","Substantiveness: "&amp;E57&amp;CHAR(10))&amp;IF(OR(F57="",F57="not_applicable"),"","Downstream impact: "&amp;F57&amp;CHAR(10))&amp;IF(OR(G57="",G57="not_applicable"),"","Report-internal or planning-material inconsistency: "&amp;G57&amp;CHAR(10))&amp;IF(OR(H57="",H57="not_applicable"),"","Protocol interpretation: "&amp;H57&amp;CHAR(10))&amp;IF(OR(I57="",I57="not_applicable"),"","Notes (optional): "&amp;I57&amp;CHAR(10)),"NOT FROZEN")</x:f>
        <x:v>Review domain: statistical_results
</x:v>
      </x:c>
    </x:row>
    <x:row r="58" ht="70" customHeight="1">
      <x:c r="A58" s="6" t="str">
        <x:f>IF(Setup!$B$6="primary","2018::jama.2018.14282::C013","NOT FROZEN")</x:f>
        <x:v>2018::jama.2018.14282::C013</x:v>
      </x:c>
      <x:c r="B58" s="6" t="str">
        <x:f>IF(Setup!$B$6="primary",IF(INDEX('C_jama.2018.14282'!$D$2:$D$29,MATCH("2018::jama.2018.14282::C013",'C_jama.2018.14282'!$A$2:$A$29,0))="","",INDEX('C_jama.2018.14282'!$D$2:$D$29,MATCH("2018::jama.2018.14282::C013",'C_jama.2018.14282'!$A$2:$A$29,0))),"NOT FROZEN")</x:f>
      </x:c>
      <x:c r="C58" s="6" t="str">
        <x:f>IF(Setup!$B$6="primary",IF(INDEX('C_jama.2018.14282'!$E$2:$E$29,MATCH("2018::jama.2018.14282::C013",'C_jama.2018.14282'!$A$2:$A$29,0))="","",INDEX('C_jama.2018.14282'!$E$2:$E$29,MATCH("2018::jama.2018.14282::C013",'C_jama.2018.14282'!$A$2:$A$29,0))),"NOT FROZEN")</x:f>
        <x:v>statistical_results</x:v>
      </x:c>
      <x:c r="D58" s="6" t="str">
        <x:f>IF(Setup!$B$6="primary",IF(AND(INDEX('C_jama.2018.14282'!$D$2:$D$29,MATCH("2018::jama.2018.14282::C013",'C_jama.2018.14282'!$A$2:$A$29,0))="retain",INDEX('C_jama.2018.14282'!$E$2:$E$29,MATCH("2018::jama.2018.14282::C013",'C_jama.2018.14282'!$A$2:$A$29,0))="statistical_results"),IF(INDEX('C_jama.2018.14282'!$H$2:$H$29,MATCH("2018::jama.2018.14282::C013",'C_jama.2018.14282'!$A$2:$A$29,0))="","",INDEX('C_jama.2018.14282'!$H$2:$H$29,MATCH("2018::jama.2018.14282::C013",'C_jama.2018.14282'!$A$2:$A$29,0))),"not_applicable"),"NOT FROZEN")</x:f>
        <x:v>not_applicable</x:v>
      </x:c>
      <x:c r="E58" s="6" t="str">
        <x:f>IF(Setup!$B$6="primary",IF(AND(INDEX('C_jama.2018.14282'!$D$2:$D$29,MATCH("2018::jama.2018.14282::C013",'C_jama.2018.14282'!$A$2:$A$29,0))="retain",INDEX('C_jama.2018.14282'!$E$2:$E$29,MATCH("2018::jama.2018.14282::C013",'C_jama.2018.14282'!$A$2:$A$29,0))="statistical_results"),IF(INDEX('C_jama.2018.14282'!$I$2:$I$29,MATCH("2018::jama.2018.14282::C013",'C_jama.2018.14282'!$A$2:$A$29,0))="","",INDEX('C_jama.2018.14282'!$I$2:$I$29,MATCH("2018::jama.2018.14282::C013",'C_jama.2018.14282'!$A$2:$A$29,0))),"not_applicable"),"NOT FROZEN")</x:f>
        <x:v>not_applicable</x:v>
      </x:c>
      <x:c r="F58" s="6" t="str">
        <x:f>IF(Setup!$B$6="primary",IF(AND(INDEX('C_jama.2018.14282'!$D$2:$D$29,MATCH("2018::jama.2018.14282::C013",'C_jama.2018.14282'!$A$2:$A$29,0))="retain",INDEX('C_jama.2018.14282'!$E$2:$E$29,MATCH("2018::jama.2018.14282::C013",'C_jama.2018.14282'!$A$2:$A$29,0))="statistical_results"),IF(INDEX('C_jama.2018.14282'!$J$2:$J$29,MATCH("2018::jama.2018.14282::C013",'C_jama.2018.14282'!$A$2:$A$29,0))="","",INDEX('C_jama.2018.14282'!$J$2:$J$29,MATCH("2018::jama.2018.14282::C013",'C_jama.2018.14282'!$A$2:$A$29,0))),"not_applicable"),"NOT FROZEN")</x:f>
        <x:v>not_applicable</x:v>
      </x:c>
      <x:c r="G58" s="6" t="str">
        <x:f>IF(Setup!$B$6="primary",IF(AND(INDEX('C_jama.2018.14282'!$D$2:$D$29,MATCH("2018::jama.2018.14282::C013",'C_jama.2018.14282'!$A$2:$A$29,0))="retain",OR(INDEX('C_jama.2018.14282'!$E$2:$E$29,MATCH("2018::jama.2018.14282::C013",'C_jama.2018.14282'!$A$2:$A$29,0))="report_internal_inconsistency",INDEX('C_jama.2018.14282'!$E$2:$E$29,MATCH("2018::jama.2018.14282::C013",'C_jama.2018.14282'!$A$2:$A$29,0))="plan_material")),IF(INDEX('C_jama.2018.14282'!$K$2:$K$29,MATCH("2018::jama.2018.14282::C013",'C_jama.2018.14282'!$A$2:$A$29,0))="","",INDEX('C_jama.2018.14282'!$K$2:$K$29,MATCH("2018::jama.2018.14282::C013",'C_jama.2018.14282'!$A$2:$A$29,0))),"not_applicable"),"NOT FROZEN")</x:f>
        <x:v>not_applicable</x:v>
      </x:c>
      <x:c r="H58" s="6" t="str">
        <x:f>IF(Setup!$B$6="primary",IF(AND(INDEX('C_jama.2018.14282'!$D$2:$D$29,MATCH("2018::jama.2018.14282::C013",'C_jama.2018.14282'!$A$2:$A$29,0))="retain",INDEX('C_jama.2018.14282'!$E$2:$E$29,MATCH("2018::jama.2018.14282::C013",'C_jama.2018.14282'!$A$2:$A$29,0))="protocol_report"),IF(INDEX('C_jama.2018.14282'!$L$2:$L$29,MATCH("2018::jama.2018.14282::C013",'C_jama.2018.14282'!$A$2:$A$29,0))="","",INDEX('C_jama.2018.14282'!$L$2:$L$29,MATCH("2018::jama.2018.14282::C013",'C_jama.2018.14282'!$A$2:$A$29,0))),"not_applicable"),"NOT FROZEN")</x:f>
        <x:v>not_applicable</x:v>
      </x:c>
      <x:c r="I58" s="6" t="str">
        <x:f>IF(Setup!$B$6="primary",IF(INDEX('C_jama.2018.14282'!$R$2:$R$29,MATCH("2018::jama.2018.14282::C013",'C_jama.2018.14282'!$A$2:$A$29,0))="","",INDEX('C_jama.2018.14282'!$R$2:$R$29,MATCH("2018::jama.2018.14282::C013",'C_jama.2018.14282'!$A$2:$A$29,0))),"NOT FROZEN")</x:f>
      </x:c>
      <x:c r="J58" s="6" t="str">
        <x:f>IF(Setup!$B$6="primary",INDEX('C_jama.2018.14282'!$F$2:$F$29,MATCH("2018::jama.2018.14282::C013",'C_jama.2018.14282'!$A$2:$A$29,0)),"NOT FROZEN")</x:f>
        <x:v>no</x:v>
      </x:c>
      <x:c r="K58" s="6" t="str">
        <x:f>IF(Setup!$B$6="primary",Setup!$B$2,"NOT FROZEN")</x:f>
      </x:c>
      <x:c r="L58" s="6" t="str">
        <x:f>IF(Setup!$B$6="primary",IF(OR(B58="",B58="not_applicable"),"","Disposition: "&amp;B58&amp;CHAR(10))&amp;IF(OR(C58="",C58="not_applicable"),"","Review domain: "&amp;C58&amp;CHAR(10))&amp;IF(OR(D58="",D58="not_applicable"),"","Statistcal_or_numerical issue: "&amp;D58&amp;CHAR(10))&amp;IF(OR(E58="",E58="not_applicable"),"","Substantiveness: "&amp;E58&amp;CHAR(10))&amp;IF(OR(F58="",F58="not_applicable"),"","Downstream impact: "&amp;F58&amp;CHAR(10))&amp;IF(OR(G58="",G58="not_applicable"),"","Report-internal or planning-material inconsistency: "&amp;G58&amp;CHAR(10))&amp;IF(OR(H58="",H58="not_applicable"),"","Protocol interpretation: "&amp;H58&amp;CHAR(10))&amp;IF(OR(I58="",I58="not_applicable"),"","Notes (optional): "&amp;I58&amp;CHAR(10)),"NOT FROZEN")</x:f>
        <x:v>Review domain: statistical_results
</x:v>
      </x:c>
    </x:row>
    <x:row r="59" ht="70" customHeight="1">
      <x:c r="A59" s="3" t="str">
        <x:f>IF(Setup!$B$6="primary","2018::jama.2018.14282::C014","NOT FROZEN")</x:f>
        <x:v>2018::jama.2018.14282::C014</x:v>
      </x:c>
      <x:c r="B59" s="3" t="str">
        <x:f>IF(Setup!$B$6="primary",IF(INDEX('C_jama.2018.14282'!$D$2:$D$29,MATCH("2018::jama.2018.14282::C014",'C_jama.2018.14282'!$A$2:$A$29,0))="","",INDEX('C_jama.2018.14282'!$D$2:$D$29,MATCH("2018::jama.2018.14282::C014",'C_jama.2018.14282'!$A$2:$A$29,0))),"NOT FROZEN")</x:f>
      </x:c>
      <x:c r="C59" s="3" t="str">
        <x:f>IF(Setup!$B$6="primary",IF(INDEX('C_jama.2018.14282'!$E$2:$E$29,MATCH("2018::jama.2018.14282::C014",'C_jama.2018.14282'!$A$2:$A$29,0))="","",INDEX('C_jama.2018.14282'!$E$2:$E$29,MATCH("2018::jama.2018.14282::C014",'C_jama.2018.14282'!$A$2:$A$29,0))),"NOT FROZEN")</x:f>
        <x:v>statistical_results</x:v>
      </x:c>
      <x:c r="D59" s="3" t="str">
        <x:f>IF(Setup!$B$6="primary",IF(AND(INDEX('C_jama.2018.14282'!$D$2:$D$29,MATCH("2018::jama.2018.14282::C014",'C_jama.2018.14282'!$A$2:$A$29,0))="retain",INDEX('C_jama.2018.14282'!$E$2:$E$29,MATCH("2018::jama.2018.14282::C014",'C_jama.2018.14282'!$A$2:$A$29,0))="statistical_results"),IF(INDEX('C_jama.2018.14282'!$H$2:$H$29,MATCH("2018::jama.2018.14282::C014",'C_jama.2018.14282'!$A$2:$A$29,0))="","",INDEX('C_jama.2018.14282'!$H$2:$H$29,MATCH("2018::jama.2018.14282::C014",'C_jama.2018.14282'!$A$2:$A$29,0))),"not_applicable"),"NOT FROZEN")</x:f>
        <x:v>not_applicable</x:v>
      </x:c>
      <x:c r="E59" s="3" t="str">
        <x:f>IF(Setup!$B$6="primary",IF(AND(INDEX('C_jama.2018.14282'!$D$2:$D$29,MATCH("2018::jama.2018.14282::C014",'C_jama.2018.14282'!$A$2:$A$29,0))="retain",INDEX('C_jama.2018.14282'!$E$2:$E$29,MATCH("2018::jama.2018.14282::C014",'C_jama.2018.14282'!$A$2:$A$29,0))="statistical_results"),IF(INDEX('C_jama.2018.14282'!$I$2:$I$29,MATCH("2018::jama.2018.14282::C014",'C_jama.2018.14282'!$A$2:$A$29,0))="","",INDEX('C_jama.2018.14282'!$I$2:$I$29,MATCH("2018::jama.2018.14282::C014",'C_jama.2018.14282'!$A$2:$A$29,0))),"not_applicable"),"NOT FROZEN")</x:f>
        <x:v>not_applicable</x:v>
      </x:c>
      <x:c r="F59" s="3" t="str">
        <x:f>IF(Setup!$B$6="primary",IF(AND(INDEX('C_jama.2018.14282'!$D$2:$D$29,MATCH("2018::jama.2018.14282::C014",'C_jama.2018.14282'!$A$2:$A$29,0))="retain",INDEX('C_jama.2018.14282'!$E$2:$E$29,MATCH("2018::jama.2018.14282::C014",'C_jama.2018.14282'!$A$2:$A$29,0))="statistical_results"),IF(INDEX('C_jama.2018.14282'!$J$2:$J$29,MATCH("2018::jama.2018.14282::C014",'C_jama.2018.14282'!$A$2:$A$29,0))="","",INDEX('C_jama.2018.14282'!$J$2:$J$29,MATCH("2018::jama.2018.14282::C014",'C_jama.2018.14282'!$A$2:$A$29,0))),"not_applicable"),"NOT FROZEN")</x:f>
        <x:v>not_applicable</x:v>
      </x:c>
      <x:c r="G59" s="3" t="str">
        <x:f>IF(Setup!$B$6="primary",IF(AND(INDEX('C_jama.2018.14282'!$D$2:$D$29,MATCH("2018::jama.2018.14282::C014",'C_jama.2018.14282'!$A$2:$A$29,0))="retain",OR(INDEX('C_jama.2018.14282'!$E$2:$E$29,MATCH("2018::jama.2018.14282::C014",'C_jama.2018.14282'!$A$2:$A$29,0))="report_internal_inconsistency",INDEX('C_jama.2018.14282'!$E$2:$E$29,MATCH("2018::jama.2018.14282::C014",'C_jama.2018.14282'!$A$2:$A$29,0))="plan_material")),IF(INDEX('C_jama.2018.14282'!$K$2:$K$29,MATCH("2018::jama.2018.14282::C014",'C_jama.2018.14282'!$A$2:$A$29,0))="","",INDEX('C_jama.2018.14282'!$K$2:$K$29,MATCH("2018::jama.2018.14282::C014",'C_jama.2018.14282'!$A$2:$A$29,0))),"not_applicable"),"NOT FROZEN")</x:f>
        <x:v>not_applicable</x:v>
      </x:c>
      <x:c r="H59" s="3" t="str">
        <x:f>IF(Setup!$B$6="primary",IF(AND(INDEX('C_jama.2018.14282'!$D$2:$D$29,MATCH("2018::jama.2018.14282::C014",'C_jama.2018.14282'!$A$2:$A$29,0))="retain",INDEX('C_jama.2018.14282'!$E$2:$E$29,MATCH("2018::jama.2018.14282::C014",'C_jama.2018.14282'!$A$2:$A$29,0))="protocol_report"),IF(INDEX('C_jama.2018.14282'!$L$2:$L$29,MATCH("2018::jama.2018.14282::C014",'C_jama.2018.14282'!$A$2:$A$29,0))="","",INDEX('C_jama.2018.14282'!$L$2:$L$29,MATCH("2018::jama.2018.14282::C014",'C_jama.2018.14282'!$A$2:$A$29,0))),"not_applicable"),"NOT FROZEN")</x:f>
        <x:v>not_applicable</x:v>
      </x:c>
      <x:c r="I59" s="3" t="str">
        <x:f>IF(Setup!$B$6="primary",IF(INDEX('C_jama.2018.14282'!$R$2:$R$29,MATCH("2018::jama.2018.14282::C014",'C_jama.2018.14282'!$A$2:$A$29,0))="","",INDEX('C_jama.2018.14282'!$R$2:$R$29,MATCH("2018::jama.2018.14282::C014",'C_jama.2018.14282'!$A$2:$A$29,0))),"NOT FROZEN")</x:f>
      </x:c>
      <x:c r="J59" s="3" t="str">
        <x:f>IF(Setup!$B$6="primary",INDEX('C_jama.2018.14282'!$F$2:$F$29,MATCH("2018::jama.2018.14282::C014",'C_jama.2018.14282'!$A$2:$A$29,0)),"NOT FROZEN")</x:f>
        <x:v>no</x:v>
      </x:c>
      <x:c r="K59" s="3" t="str">
        <x:f>IF(Setup!$B$6="primary",Setup!$B$2,"NOT FROZEN")</x:f>
      </x:c>
      <x:c r="L59" s="3" t="str">
        <x:f>IF(Setup!$B$6="primary",IF(OR(B59="",B59="not_applicable"),"","Disposition: "&amp;B59&amp;CHAR(10))&amp;IF(OR(C59="",C59="not_applicable"),"","Review domain: "&amp;C59&amp;CHAR(10))&amp;IF(OR(D59="",D59="not_applicable"),"","Statistcal_or_numerical issue: "&amp;D59&amp;CHAR(10))&amp;IF(OR(E59="",E59="not_applicable"),"","Substantiveness: "&amp;E59&amp;CHAR(10))&amp;IF(OR(F59="",F59="not_applicable"),"","Downstream impact: "&amp;F59&amp;CHAR(10))&amp;IF(OR(G59="",G59="not_applicable"),"","Report-internal or planning-material inconsistency: "&amp;G59&amp;CHAR(10))&amp;IF(OR(H59="",H59="not_applicable"),"","Protocol interpretation: "&amp;H59&amp;CHAR(10))&amp;IF(OR(I59="",I59="not_applicable"),"","Notes (optional): "&amp;I59&amp;CHAR(10)),"NOT FROZEN")</x:f>
        <x:v>Review domain: statistical_results
</x:v>
      </x:c>
    </x:row>
    <x:row r="60" ht="70" customHeight="1">
      <x:c r="A60" s="6" t="str">
        <x:f>IF(Setup!$B$6="primary","2018::jama.2018.14282::C015","NOT FROZEN")</x:f>
        <x:v>2018::jama.2018.14282::C015</x:v>
      </x:c>
      <x:c r="B60" s="6" t="str">
        <x:f>IF(Setup!$B$6="primary",IF(INDEX('C_jama.2018.14282'!$D$2:$D$29,MATCH("2018::jama.2018.14282::C015",'C_jama.2018.14282'!$A$2:$A$29,0))="","",INDEX('C_jama.2018.14282'!$D$2:$D$29,MATCH("2018::jama.2018.14282::C015",'C_jama.2018.14282'!$A$2:$A$29,0))),"NOT FROZEN")</x:f>
      </x:c>
      <x:c r="C60" s="6" t="str">
        <x:f>IF(Setup!$B$6="primary",IF(INDEX('C_jama.2018.14282'!$E$2:$E$29,MATCH("2018::jama.2018.14282::C015",'C_jama.2018.14282'!$A$2:$A$29,0))="","",INDEX('C_jama.2018.14282'!$E$2:$E$29,MATCH("2018::jama.2018.14282::C015",'C_jama.2018.14282'!$A$2:$A$29,0))),"NOT FROZEN")</x:f>
        <x:v>statistical_results</x:v>
      </x:c>
      <x:c r="D60" s="6" t="str">
        <x:f>IF(Setup!$B$6="primary",IF(AND(INDEX('C_jama.2018.14282'!$D$2:$D$29,MATCH("2018::jama.2018.14282::C015",'C_jama.2018.14282'!$A$2:$A$29,0))="retain",INDEX('C_jama.2018.14282'!$E$2:$E$29,MATCH("2018::jama.2018.14282::C015",'C_jama.2018.14282'!$A$2:$A$29,0))="statistical_results"),IF(INDEX('C_jama.2018.14282'!$H$2:$H$29,MATCH("2018::jama.2018.14282::C015",'C_jama.2018.14282'!$A$2:$A$29,0))="","",INDEX('C_jama.2018.14282'!$H$2:$H$29,MATCH("2018::jama.2018.14282::C015",'C_jama.2018.14282'!$A$2:$A$29,0))),"not_applicable"),"NOT FROZEN")</x:f>
        <x:v>not_applicable</x:v>
      </x:c>
      <x:c r="E60" s="6" t="str">
        <x:f>IF(Setup!$B$6="primary",IF(AND(INDEX('C_jama.2018.14282'!$D$2:$D$29,MATCH("2018::jama.2018.14282::C015",'C_jama.2018.14282'!$A$2:$A$29,0))="retain",INDEX('C_jama.2018.14282'!$E$2:$E$29,MATCH("2018::jama.2018.14282::C015",'C_jama.2018.14282'!$A$2:$A$29,0))="statistical_results"),IF(INDEX('C_jama.2018.14282'!$I$2:$I$29,MATCH("2018::jama.2018.14282::C015",'C_jama.2018.14282'!$A$2:$A$29,0))="","",INDEX('C_jama.2018.14282'!$I$2:$I$29,MATCH("2018::jama.2018.14282::C015",'C_jama.2018.14282'!$A$2:$A$29,0))),"not_applicable"),"NOT FROZEN")</x:f>
        <x:v>not_applicable</x:v>
      </x:c>
      <x:c r="F60" s="6" t="str">
        <x:f>IF(Setup!$B$6="primary",IF(AND(INDEX('C_jama.2018.14282'!$D$2:$D$29,MATCH("2018::jama.2018.14282::C015",'C_jama.2018.14282'!$A$2:$A$29,0))="retain",INDEX('C_jama.2018.14282'!$E$2:$E$29,MATCH("2018::jama.2018.14282::C015",'C_jama.2018.14282'!$A$2:$A$29,0))="statistical_results"),IF(INDEX('C_jama.2018.14282'!$J$2:$J$29,MATCH("2018::jama.2018.14282::C015",'C_jama.2018.14282'!$A$2:$A$29,0))="","",INDEX('C_jama.2018.14282'!$J$2:$J$29,MATCH("2018::jama.2018.14282::C015",'C_jama.2018.14282'!$A$2:$A$29,0))),"not_applicable"),"NOT FROZEN")</x:f>
        <x:v>not_applicable</x:v>
      </x:c>
      <x:c r="G60" s="6" t="str">
        <x:f>IF(Setup!$B$6="primary",IF(AND(INDEX('C_jama.2018.14282'!$D$2:$D$29,MATCH("2018::jama.2018.14282::C015",'C_jama.2018.14282'!$A$2:$A$29,0))="retain",OR(INDEX('C_jama.2018.14282'!$E$2:$E$29,MATCH("2018::jama.2018.14282::C015",'C_jama.2018.14282'!$A$2:$A$29,0))="report_internal_inconsistency",INDEX('C_jama.2018.14282'!$E$2:$E$29,MATCH("2018::jama.2018.14282::C015",'C_jama.2018.14282'!$A$2:$A$29,0))="plan_material")),IF(INDEX('C_jama.2018.14282'!$K$2:$K$29,MATCH("2018::jama.2018.14282::C015",'C_jama.2018.14282'!$A$2:$A$29,0))="","",INDEX('C_jama.2018.14282'!$K$2:$K$29,MATCH("2018::jama.2018.14282::C015",'C_jama.2018.14282'!$A$2:$A$29,0))),"not_applicable"),"NOT FROZEN")</x:f>
        <x:v>not_applicable</x:v>
      </x:c>
      <x:c r="H60" s="6" t="str">
        <x:f>IF(Setup!$B$6="primary",IF(AND(INDEX('C_jama.2018.14282'!$D$2:$D$29,MATCH("2018::jama.2018.14282::C015",'C_jama.2018.14282'!$A$2:$A$29,0))="retain",INDEX('C_jama.2018.14282'!$E$2:$E$29,MATCH("2018::jama.2018.14282::C015",'C_jama.2018.14282'!$A$2:$A$29,0))="protocol_report"),IF(INDEX('C_jama.2018.14282'!$L$2:$L$29,MATCH("2018::jama.2018.14282::C015",'C_jama.2018.14282'!$A$2:$A$29,0))="","",INDEX('C_jama.2018.14282'!$L$2:$L$29,MATCH("2018::jama.2018.14282::C015",'C_jama.2018.14282'!$A$2:$A$29,0))),"not_applicable"),"NOT FROZEN")</x:f>
        <x:v>not_applicable</x:v>
      </x:c>
      <x:c r="I60" s="6" t="str">
        <x:f>IF(Setup!$B$6="primary",IF(INDEX('C_jama.2018.14282'!$R$2:$R$29,MATCH("2018::jama.2018.14282::C015",'C_jama.2018.14282'!$A$2:$A$29,0))="","",INDEX('C_jama.2018.14282'!$R$2:$R$29,MATCH("2018::jama.2018.14282::C015",'C_jama.2018.14282'!$A$2:$A$29,0))),"NOT FROZEN")</x:f>
      </x:c>
      <x:c r="J60" s="6" t="str">
        <x:f>IF(Setup!$B$6="primary",INDEX('C_jama.2018.14282'!$F$2:$F$29,MATCH("2018::jama.2018.14282::C015",'C_jama.2018.14282'!$A$2:$A$29,0)),"NOT FROZEN")</x:f>
        <x:v>no</x:v>
      </x:c>
      <x:c r="K60" s="6" t="str">
        <x:f>IF(Setup!$B$6="primary",Setup!$B$2,"NOT FROZEN")</x:f>
      </x:c>
      <x:c r="L60" s="6" t="str">
        <x:f>IF(Setup!$B$6="primary",IF(OR(B60="",B60="not_applicable"),"","Disposition: "&amp;B60&amp;CHAR(10))&amp;IF(OR(C60="",C60="not_applicable"),"","Review domain: "&amp;C60&amp;CHAR(10))&amp;IF(OR(D60="",D60="not_applicable"),"","Statistcal_or_numerical issue: "&amp;D60&amp;CHAR(10))&amp;IF(OR(E60="",E60="not_applicable"),"","Substantiveness: "&amp;E60&amp;CHAR(10))&amp;IF(OR(F60="",F60="not_applicable"),"","Downstream impact: "&amp;F60&amp;CHAR(10))&amp;IF(OR(G60="",G60="not_applicable"),"","Report-internal or planning-material inconsistency: "&amp;G60&amp;CHAR(10))&amp;IF(OR(H60="",H60="not_applicable"),"","Protocol interpretation: "&amp;H60&amp;CHAR(10))&amp;IF(OR(I60="",I60="not_applicable"),"","Notes (optional): "&amp;I60&amp;CHAR(10)),"NOT FROZEN")</x:f>
        <x:v>Review domain: statistical_results
</x:v>
      </x:c>
    </x:row>
    <x:row r="61" ht="70" customHeight="1">
      <x:c r="A61" s="3" t="str">
        <x:f>IF(Setup!$B$6="primary","2018::jama.2018.14282::C016","NOT FROZEN")</x:f>
        <x:v>2018::jama.2018.14282::C016</x:v>
      </x:c>
      <x:c r="B61" s="3" t="str">
        <x:f>IF(Setup!$B$6="primary",IF(INDEX('C_jama.2018.14282'!$D$2:$D$29,MATCH("2018::jama.2018.14282::C016",'C_jama.2018.14282'!$A$2:$A$29,0))="","",INDEX('C_jama.2018.14282'!$D$2:$D$29,MATCH("2018::jama.2018.14282::C016",'C_jama.2018.14282'!$A$2:$A$29,0))),"NOT FROZEN")</x:f>
      </x:c>
      <x:c r="C61" s="3" t="str">
        <x:f>IF(Setup!$B$6="primary",IF(INDEX('C_jama.2018.14282'!$E$2:$E$29,MATCH("2018::jama.2018.14282::C016",'C_jama.2018.14282'!$A$2:$A$29,0))="","",INDEX('C_jama.2018.14282'!$E$2:$E$29,MATCH("2018::jama.2018.14282::C016",'C_jama.2018.14282'!$A$2:$A$29,0))),"NOT FROZEN")</x:f>
        <x:v>statistical_results</x:v>
      </x:c>
      <x:c r="D61" s="3" t="str">
        <x:f>IF(Setup!$B$6="primary",IF(AND(INDEX('C_jama.2018.14282'!$D$2:$D$29,MATCH("2018::jama.2018.14282::C016",'C_jama.2018.14282'!$A$2:$A$29,0))="retain",INDEX('C_jama.2018.14282'!$E$2:$E$29,MATCH("2018::jama.2018.14282::C016",'C_jama.2018.14282'!$A$2:$A$29,0))="statistical_results"),IF(INDEX('C_jama.2018.14282'!$H$2:$H$29,MATCH("2018::jama.2018.14282::C016",'C_jama.2018.14282'!$A$2:$A$29,0))="","",INDEX('C_jama.2018.14282'!$H$2:$H$29,MATCH("2018::jama.2018.14282::C016",'C_jama.2018.14282'!$A$2:$A$29,0))),"not_applicable"),"NOT FROZEN")</x:f>
        <x:v>not_applicable</x:v>
      </x:c>
      <x:c r="E61" s="3" t="str">
        <x:f>IF(Setup!$B$6="primary",IF(AND(INDEX('C_jama.2018.14282'!$D$2:$D$29,MATCH("2018::jama.2018.14282::C016",'C_jama.2018.14282'!$A$2:$A$29,0))="retain",INDEX('C_jama.2018.14282'!$E$2:$E$29,MATCH("2018::jama.2018.14282::C016",'C_jama.2018.14282'!$A$2:$A$29,0))="statistical_results"),IF(INDEX('C_jama.2018.14282'!$I$2:$I$29,MATCH("2018::jama.2018.14282::C016",'C_jama.2018.14282'!$A$2:$A$29,0))="","",INDEX('C_jama.2018.14282'!$I$2:$I$29,MATCH("2018::jama.2018.14282::C016",'C_jama.2018.14282'!$A$2:$A$29,0))),"not_applicable"),"NOT FROZEN")</x:f>
        <x:v>not_applicable</x:v>
      </x:c>
      <x:c r="F61" s="3" t="str">
        <x:f>IF(Setup!$B$6="primary",IF(AND(INDEX('C_jama.2018.14282'!$D$2:$D$29,MATCH("2018::jama.2018.14282::C016",'C_jama.2018.14282'!$A$2:$A$29,0))="retain",INDEX('C_jama.2018.14282'!$E$2:$E$29,MATCH("2018::jama.2018.14282::C016",'C_jama.2018.14282'!$A$2:$A$29,0))="statistical_results"),IF(INDEX('C_jama.2018.14282'!$J$2:$J$29,MATCH("2018::jama.2018.14282::C016",'C_jama.2018.14282'!$A$2:$A$29,0))="","",INDEX('C_jama.2018.14282'!$J$2:$J$29,MATCH("2018::jama.2018.14282::C016",'C_jama.2018.14282'!$A$2:$A$29,0))),"not_applicable"),"NOT FROZEN")</x:f>
        <x:v>not_applicable</x:v>
      </x:c>
      <x:c r="G61" s="3" t="str">
        <x:f>IF(Setup!$B$6="primary",IF(AND(INDEX('C_jama.2018.14282'!$D$2:$D$29,MATCH("2018::jama.2018.14282::C016",'C_jama.2018.14282'!$A$2:$A$29,0))="retain",OR(INDEX('C_jama.2018.14282'!$E$2:$E$29,MATCH("2018::jama.2018.14282::C016",'C_jama.2018.14282'!$A$2:$A$29,0))="report_internal_inconsistency",INDEX('C_jama.2018.14282'!$E$2:$E$29,MATCH("2018::jama.2018.14282::C016",'C_jama.2018.14282'!$A$2:$A$29,0))="plan_material")),IF(INDEX('C_jama.2018.14282'!$K$2:$K$29,MATCH("2018::jama.2018.14282::C016",'C_jama.2018.14282'!$A$2:$A$29,0))="","",INDEX('C_jama.2018.14282'!$K$2:$K$29,MATCH("2018::jama.2018.14282::C016",'C_jama.2018.14282'!$A$2:$A$29,0))),"not_applicable"),"NOT FROZEN")</x:f>
        <x:v>not_applicable</x:v>
      </x:c>
      <x:c r="H61" s="3" t="str">
        <x:f>IF(Setup!$B$6="primary",IF(AND(INDEX('C_jama.2018.14282'!$D$2:$D$29,MATCH("2018::jama.2018.14282::C016",'C_jama.2018.14282'!$A$2:$A$29,0))="retain",INDEX('C_jama.2018.14282'!$E$2:$E$29,MATCH("2018::jama.2018.14282::C016",'C_jama.2018.14282'!$A$2:$A$29,0))="protocol_report"),IF(INDEX('C_jama.2018.14282'!$L$2:$L$29,MATCH("2018::jama.2018.14282::C016",'C_jama.2018.14282'!$A$2:$A$29,0))="","",INDEX('C_jama.2018.14282'!$L$2:$L$29,MATCH("2018::jama.2018.14282::C016",'C_jama.2018.14282'!$A$2:$A$29,0))),"not_applicable"),"NOT FROZEN")</x:f>
        <x:v>not_applicable</x:v>
      </x:c>
      <x:c r="I61" s="3" t="str">
        <x:f>IF(Setup!$B$6="primary",IF(INDEX('C_jama.2018.14282'!$R$2:$R$29,MATCH("2018::jama.2018.14282::C016",'C_jama.2018.14282'!$A$2:$A$29,0))="","",INDEX('C_jama.2018.14282'!$R$2:$R$29,MATCH("2018::jama.2018.14282::C016",'C_jama.2018.14282'!$A$2:$A$29,0))),"NOT FROZEN")</x:f>
      </x:c>
      <x:c r="J61" s="3" t="str">
        <x:f>IF(Setup!$B$6="primary",INDEX('C_jama.2018.14282'!$F$2:$F$29,MATCH("2018::jama.2018.14282::C016",'C_jama.2018.14282'!$A$2:$A$29,0)),"NOT FROZEN")</x:f>
        <x:v>no</x:v>
      </x:c>
      <x:c r="K61" s="3" t="str">
        <x:f>IF(Setup!$B$6="primary",Setup!$B$2,"NOT FROZEN")</x:f>
      </x:c>
      <x:c r="L61" s="3" t="str">
        <x:f>IF(Setup!$B$6="primary",IF(OR(B61="",B61="not_applicable"),"","Disposition: "&amp;B61&amp;CHAR(10))&amp;IF(OR(C61="",C61="not_applicable"),"","Review domain: "&amp;C61&amp;CHAR(10))&amp;IF(OR(D61="",D61="not_applicable"),"","Statistcal_or_numerical issue: "&amp;D61&amp;CHAR(10))&amp;IF(OR(E61="",E61="not_applicable"),"","Substantiveness: "&amp;E61&amp;CHAR(10))&amp;IF(OR(F61="",F61="not_applicable"),"","Downstream impact: "&amp;F61&amp;CHAR(10))&amp;IF(OR(G61="",G61="not_applicable"),"","Report-internal or planning-material inconsistency: "&amp;G61&amp;CHAR(10))&amp;IF(OR(H61="",H61="not_applicable"),"","Protocol interpretation: "&amp;H61&amp;CHAR(10))&amp;IF(OR(I61="",I61="not_applicable"),"","Notes (optional): "&amp;I61&amp;CHAR(10)),"NOT FROZEN")</x:f>
        <x:v>Review domain: statistical_results
</x:v>
      </x:c>
    </x:row>
    <x:row r="62" ht="70" customHeight="1">
      <x:c r="A62" s="6" t="str">
        <x:f>IF(Setup!$B$6="primary","2018::jama.2018.14282::C017","NOT FROZEN")</x:f>
        <x:v>2018::jama.2018.14282::C017</x:v>
      </x:c>
      <x:c r="B62" s="6" t="str">
        <x:f>IF(Setup!$B$6="primary",IF(INDEX('C_jama.2018.14282'!$D$2:$D$29,MATCH("2018::jama.2018.14282::C017",'C_jama.2018.14282'!$A$2:$A$29,0))="","",INDEX('C_jama.2018.14282'!$D$2:$D$29,MATCH("2018::jama.2018.14282::C017",'C_jama.2018.14282'!$A$2:$A$29,0))),"NOT FROZEN")</x:f>
      </x:c>
      <x:c r="C62" s="6" t="str">
        <x:f>IF(Setup!$B$6="primary",IF(INDEX('C_jama.2018.14282'!$E$2:$E$29,MATCH("2018::jama.2018.14282::C017",'C_jama.2018.14282'!$A$2:$A$29,0))="","",INDEX('C_jama.2018.14282'!$E$2:$E$29,MATCH("2018::jama.2018.14282::C017",'C_jama.2018.14282'!$A$2:$A$29,0))),"NOT FROZEN")</x:f>
        <x:v>report_internal_inconsistency</x:v>
      </x:c>
      <x:c r="D62" s="6" t="str">
        <x:f>IF(Setup!$B$6="primary",IF(AND(INDEX('C_jama.2018.14282'!$D$2:$D$29,MATCH("2018::jama.2018.14282::C017",'C_jama.2018.14282'!$A$2:$A$29,0))="retain",INDEX('C_jama.2018.14282'!$E$2:$E$29,MATCH("2018::jama.2018.14282::C017",'C_jama.2018.14282'!$A$2:$A$29,0))="statistical_results"),IF(INDEX('C_jama.2018.14282'!$H$2:$H$29,MATCH("2018::jama.2018.14282::C017",'C_jama.2018.14282'!$A$2:$A$29,0))="","",INDEX('C_jama.2018.14282'!$H$2:$H$29,MATCH("2018::jama.2018.14282::C017",'C_jama.2018.14282'!$A$2:$A$29,0))),"not_applicable"),"NOT FROZEN")</x:f>
        <x:v>not_applicable</x:v>
      </x:c>
      <x:c r="E62" s="6" t="str">
        <x:f>IF(Setup!$B$6="primary",IF(AND(INDEX('C_jama.2018.14282'!$D$2:$D$29,MATCH("2018::jama.2018.14282::C017",'C_jama.2018.14282'!$A$2:$A$29,0))="retain",INDEX('C_jama.2018.14282'!$E$2:$E$29,MATCH("2018::jama.2018.14282::C017",'C_jama.2018.14282'!$A$2:$A$29,0))="statistical_results"),IF(INDEX('C_jama.2018.14282'!$I$2:$I$29,MATCH("2018::jama.2018.14282::C017",'C_jama.2018.14282'!$A$2:$A$29,0))="","",INDEX('C_jama.2018.14282'!$I$2:$I$29,MATCH("2018::jama.2018.14282::C017",'C_jama.2018.14282'!$A$2:$A$29,0))),"not_applicable"),"NOT FROZEN")</x:f>
        <x:v>not_applicable</x:v>
      </x:c>
      <x:c r="F62" s="6" t="str">
        <x:f>IF(Setup!$B$6="primary",IF(AND(INDEX('C_jama.2018.14282'!$D$2:$D$29,MATCH("2018::jama.2018.14282::C017",'C_jama.2018.14282'!$A$2:$A$29,0))="retain",INDEX('C_jama.2018.14282'!$E$2:$E$29,MATCH("2018::jama.2018.14282::C017",'C_jama.2018.14282'!$A$2:$A$29,0))="statistical_results"),IF(INDEX('C_jama.2018.14282'!$J$2:$J$29,MATCH("2018::jama.2018.14282::C017",'C_jama.2018.14282'!$A$2:$A$29,0))="","",INDEX('C_jama.2018.14282'!$J$2:$J$29,MATCH("2018::jama.2018.14282::C017",'C_jama.2018.14282'!$A$2:$A$29,0))),"not_applicable"),"NOT FROZEN")</x:f>
        <x:v>not_applicable</x:v>
      </x:c>
      <x:c r="G62" s="6" t="str">
        <x:f>IF(Setup!$B$6="primary",IF(AND(INDEX('C_jama.2018.14282'!$D$2:$D$29,MATCH("2018::jama.2018.14282::C017",'C_jama.2018.14282'!$A$2:$A$29,0))="retain",OR(INDEX('C_jama.2018.14282'!$E$2:$E$29,MATCH("2018::jama.2018.14282::C017",'C_jama.2018.14282'!$A$2:$A$29,0))="report_internal_inconsistency",INDEX('C_jama.2018.14282'!$E$2:$E$29,MATCH("2018::jama.2018.14282::C017",'C_jama.2018.14282'!$A$2:$A$29,0))="plan_material")),IF(INDEX('C_jama.2018.14282'!$K$2:$K$29,MATCH("2018::jama.2018.14282::C017",'C_jama.2018.14282'!$A$2:$A$29,0))="","",INDEX('C_jama.2018.14282'!$K$2:$K$29,MATCH("2018::jama.2018.14282::C017",'C_jama.2018.14282'!$A$2:$A$29,0))),"not_applicable"),"NOT FROZEN")</x:f>
        <x:v>not_applicable</x:v>
      </x:c>
      <x:c r="H62" s="6" t="str">
        <x:f>IF(Setup!$B$6="primary",IF(AND(INDEX('C_jama.2018.14282'!$D$2:$D$29,MATCH("2018::jama.2018.14282::C017",'C_jama.2018.14282'!$A$2:$A$29,0))="retain",INDEX('C_jama.2018.14282'!$E$2:$E$29,MATCH("2018::jama.2018.14282::C017",'C_jama.2018.14282'!$A$2:$A$29,0))="protocol_report"),IF(INDEX('C_jama.2018.14282'!$L$2:$L$29,MATCH("2018::jama.2018.14282::C017",'C_jama.2018.14282'!$A$2:$A$29,0))="","",INDEX('C_jama.2018.14282'!$L$2:$L$29,MATCH("2018::jama.2018.14282::C017",'C_jama.2018.14282'!$A$2:$A$29,0))),"not_applicable"),"NOT FROZEN")</x:f>
        <x:v>not_applicable</x:v>
      </x:c>
      <x:c r="I62" s="6" t="str">
        <x:f>IF(Setup!$B$6="primary",IF(INDEX('C_jama.2018.14282'!$R$2:$R$29,MATCH("2018::jama.2018.14282::C017",'C_jama.2018.14282'!$A$2:$A$29,0))="","",INDEX('C_jama.2018.14282'!$R$2:$R$29,MATCH("2018::jama.2018.14282::C017",'C_jama.2018.14282'!$A$2:$A$29,0))),"NOT FROZEN")</x:f>
      </x:c>
      <x:c r="J62" s="6" t="str">
        <x:f>IF(Setup!$B$6="primary",INDEX('C_jama.2018.14282'!$F$2:$F$29,MATCH("2018::jama.2018.14282::C017",'C_jama.2018.14282'!$A$2:$A$29,0)),"NOT FROZEN")</x:f>
        <x:v>no</x:v>
      </x:c>
      <x:c r="K62" s="6" t="str">
        <x:f>IF(Setup!$B$6="primary",Setup!$B$2,"NOT FROZEN")</x:f>
      </x:c>
      <x:c r="L62" s="6" t="str">
        <x:f>IF(Setup!$B$6="primary",IF(OR(B62="",B62="not_applicable"),"","Disposition: "&amp;B62&amp;CHAR(10))&amp;IF(OR(C62="",C62="not_applicable"),"","Review domain: "&amp;C62&amp;CHAR(10))&amp;IF(OR(D62="",D62="not_applicable"),"","Statistcal_or_numerical issue: "&amp;D62&amp;CHAR(10))&amp;IF(OR(E62="",E62="not_applicable"),"","Substantiveness: "&amp;E62&amp;CHAR(10))&amp;IF(OR(F62="",F62="not_applicable"),"","Downstream impact: "&amp;F62&amp;CHAR(10))&amp;IF(OR(G62="",G62="not_applicable"),"","Report-internal or planning-material inconsistency: "&amp;G62&amp;CHAR(10))&amp;IF(OR(H62="",H62="not_applicable"),"","Protocol interpretation: "&amp;H62&amp;CHAR(10))&amp;IF(OR(I62="",I62="not_applicable"),"","Notes (optional): "&amp;I62&amp;CHAR(10)),"NOT FROZEN")</x:f>
        <x:v>Review domain: report_internal_inconsistency
</x:v>
      </x:c>
    </x:row>
    <x:row r="63" ht="70" customHeight="1">
      <x:c r="A63" s="3" t="str">
        <x:f>IF(Setup!$B$6="primary","2018::jama.2018.14282::C018","NOT FROZEN")</x:f>
        <x:v>2018::jama.2018.14282::C018</x:v>
      </x:c>
      <x:c r="B63" s="3" t="str">
        <x:f>IF(Setup!$B$6="primary",IF(INDEX('C_jama.2018.14282'!$D$2:$D$29,MATCH("2018::jama.2018.14282::C018",'C_jama.2018.14282'!$A$2:$A$29,0))="","",INDEX('C_jama.2018.14282'!$D$2:$D$29,MATCH("2018::jama.2018.14282::C018",'C_jama.2018.14282'!$A$2:$A$29,0))),"NOT FROZEN")</x:f>
      </x:c>
      <x:c r="C63" s="3" t="str">
        <x:f>IF(Setup!$B$6="primary",IF(INDEX('C_jama.2018.14282'!$E$2:$E$29,MATCH("2018::jama.2018.14282::C018",'C_jama.2018.14282'!$A$2:$A$29,0))="","",INDEX('C_jama.2018.14282'!$E$2:$E$29,MATCH("2018::jama.2018.14282::C018",'C_jama.2018.14282'!$A$2:$A$29,0))),"NOT FROZEN")</x:f>
        <x:v>statistical_results</x:v>
      </x:c>
      <x:c r="D63" s="3" t="str">
        <x:f>IF(Setup!$B$6="primary",IF(AND(INDEX('C_jama.2018.14282'!$D$2:$D$29,MATCH("2018::jama.2018.14282::C018",'C_jama.2018.14282'!$A$2:$A$29,0))="retain",INDEX('C_jama.2018.14282'!$E$2:$E$29,MATCH("2018::jama.2018.14282::C018",'C_jama.2018.14282'!$A$2:$A$29,0))="statistical_results"),IF(INDEX('C_jama.2018.14282'!$H$2:$H$29,MATCH("2018::jama.2018.14282::C018",'C_jama.2018.14282'!$A$2:$A$29,0))="","",INDEX('C_jama.2018.14282'!$H$2:$H$29,MATCH("2018::jama.2018.14282::C018",'C_jama.2018.14282'!$A$2:$A$29,0))),"not_applicable"),"NOT FROZEN")</x:f>
        <x:v>not_applicable</x:v>
      </x:c>
      <x:c r="E63" s="3" t="str">
        <x:f>IF(Setup!$B$6="primary",IF(AND(INDEX('C_jama.2018.14282'!$D$2:$D$29,MATCH("2018::jama.2018.14282::C018",'C_jama.2018.14282'!$A$2:$A$29,0))="retain",INDEX('C_jama.2018.14282'!$E$2:$E$29,MATCH("2018::jama.2018.14282::C018",'C_jama.2018.14282'!$A$2:$A$29,0))="statistical_results"),IF(INDEX('C_jama.2018.14282'!$I$2:$I$29,MATCH("2018::jama.2018.14282::C018",'C_jama.2018.14282'!$A$2:$A$29,0))="","",INDEX('C_jama.2018.14282'!$I$2:$I$29,MATCH("2018::jama.2018.14282::C018",'C_jama.2018.14282'!$A$2:$A$29,0))),"not_applicable"),"NOT FROZEN")</x:f>
        <x:v>not_applicable</x:v>
      </x:c>
      <x:c r="F63" s="3" t="str">
        <x:f>IF(Setup!$B$6="primary",IF(AND(INDEX('C_jama.2018.14282'!$D$2:$D$29,MATCH("2018::jama.2018.14282::C018",'C_jama.2018.14282'!$A$2:$A$29,0))="retain",INDEX('C_jama.2018.14282'!$E$2:$E$29,MATCH("2018::jama.2018.14282::C018",'C_jama.2018.14282'!$A$2:$A$29,0))="statistical_results"),IF(INDEX('C_jama.2018.14282'!$J$2:$J$29,MATCH("2018::jama.2018.14282::C018",'C_jama.2018.14282'!$A$2:$A$29,0))="","",INDEX('C_jama.2018.14282'!$J$2:$J$29,MATCH("2018::jama.2018.14282::C018",'C_jama.2018.14282'!$A$2:$A$29,0))),"not_applicable"),"NOT FROZEN")</x:f>
        <x:v>not_applicable</x:v>
      </x:c>
      <x:c r="G63" s="3" t="str">
        <x:f>IF(Setup!$B$6="primary",IF(AND(INDEX('C_jama.2018.14282'!$D$2:$D$29,MATCH("2018::jama.2018.14282::C018",'C_jama.2018.14282'!$A$2:$A$29,0))="retain",OR(INDEX('C_jama.2018.14282'!$E$2:$E$29,MATCH("2018::jama.2018.14282::C018",'C_jama.2018.14282'!$A$2:$A$29,0))="report_internal_inconsistency",INDEX('C_jama.2018.14282'!$E$2:$E$29,MATCH("2018::jama.2018.14282::C018",'C_jama.2018.14282'!$A$2:$A$29,0))="plan_material")),IF(INDEX('C_jama.2018.14282'!$K$2:$K$29,MATCH("2018::jama.2018.14282::C018",'C_jama.2018.14282'!$A$2:$A$29,0))="","",INDEX('C_jama.2018.14282'!$K$2:$K$29,MATCH("2018::jama.2018.14282::C018",'C_jama.2018.14282'!$A$2:$A$29,0))),"not_applicable"),"NOT FROZEN")</x:f>
        <x:v>not_applicable</x:v>
      </x:c>
      <x:c r="H63" s="3" t="str">
        <x:f>IF(Setup!$B$6="primary",IF(AND(INDEX('C_jama.2018.14282'!$D$2:$D$29,MATCH("2018::jama.2018.14282::C018",'C_jama.2018.14282'!$A$2:$A$29,0))="retain",INDEX('C_jama.2018.14282'!$E$2:$E$29,MATCH("2018::jama.2018.14282::C018",'C_jama.2018.14282'!$A$2:$A$29,0))="protocol_report"),IF(INDEX('C_jama.2018.14282'!$L$2:$L$29,MATCH("2018::jama.2018.14282::C018",'C_jama.2018.14282'!$A$2:$A$29,0))="","",INDEX('C_jama.2018.14282'!$L$2:$L$29,MATCH("2018::jama.2018.14282::C018",'C_jama.2018.14282'!$A$2:$A$29,0))),"not_applicable"),"NOT FROZEN")</x:f>
        <x:v>not_applicable</x:v>
      </x:c>
      <x:c r="I63" s="3" t="str">
        <x:f>IF(Setup!$B$6="primary",IF(INDEX('C_jama.2018.14282'!$R$2:$R$29,MATCH("2018::jama.2018.14282::C018",'C_jama.2018.14282'!$A$2:$A$29,0))="","",INDEX('C_jama.2018.14282'!$R$2:$R$29,MATCH("2018::jama.2018.14282::C018",'C_jama.2018.14282'!$A$2:$A$29,0))),"NOT FROZEN")</x:f>
      </x:c>
      <x:c r="J63" s="3" t="str">
        <x:f>IF(Setup!$B$6="primary",INDEX('C_jama.2018.14282'!$F$2:$F$29,MATCH("2018::jama.2018.14282::C018",'C_jama.2018.14282'!$A$2:$A$29,0)),"NOT FROZEN")</x:f>
        <x:v>no</x:v>
      </x:c>
      <x:c r="K63" s="3" t="str">
        <x:f>IF(Setup!$B$6="primary",Setup!$B$2,"NOT FROZEN")</x:f>
      </x:c>
      <x:c r="L63" s="3" t="str">
        <x:f>IF(Setup!$B$6="primary",IF(OR(B63="",B63="not_applicable"),"","Disposition: "&amp;B63&amp;CHAR(10))&amp;IF(OR(C63="",C63="not_applicable"),"","Review domain: "&amp;C63&amp;CHAR(10))&amp;IF(OR(D63="",D63="not_applicable"),"","Statistcal_or_numerical issue: "&amp;D63&amp;CHAR(10))&amp;IF(OR(E63="",E63="not_applicable"),"","Substantiveness: "&amp;E63&amp;CHAR(10))&amp;IF(OR(F63="",F63="not_applicable"),"","Downstream impact: "&amp;F63&amp;CHAR(10))&amp;IF(OR(G63="",G63="not_applicable"),"","Report-internal or planning-material inconsistency: "&amp;G63&amp;CHAR(10))&amp;IF(OR(H63="",H63="not_applicable"),"","Protocol interpretation: "&amp;H63&amp;CHAR(10))&amp;IF(OR(I63="",I63="not_applicable"),"","Notes (optional): "&amp;I63&amp;CHAR(10)),"NOT FROZEN")</x:f>
        <x:v>Review domain: statistical_results
</x:v>
      </x:c>
    </x:row>
    <x:row r="64" ht="70" customHeight="1">
      <x:c r="A64" s="6" t="str">
        <x:f>IF(Setup!$B$6="primary","2018::jama.2018.14282::C019","NOT FROZEN")</x:f>
        <x:v>2018::jama.2018.14282::C019</x:v>
      </x:c>
      <x:c r="B64" s="6" t="str">
        <x:f>IF(Setup!$B$6="primary",IF(INDEX('C_jama.2018.14282'!$D$2:$D$29,MATCH("2018::jama.2018.14282::C019",'C_jama.2018.14282'!$A$2:$A$29,0))="","",INDEX('C_jama.2018.14282'!$D$2:$D$29,MATCH("2018::jama.2018.14282::C019",'C_jama.2018.14282'!$A$2:$A$29,0))),"NOT FROZEN")</x:f>
      </x:c>
      <x:c r="C64" s="6" t="str">
        <x:f>IF(Setup!$B$6="primary",IF(INDEX('C_jama.2018.14282'!$E$2:$E$29,MATCH("2018::jama.2018.14282::C019",'C_jama.2018.14282'!$A$2:$A$29,0))="","",INDEX('C_jama.2018.14282'!$E$2:$E$29,MATCH("2018::jama.2018.14282::C019",'C_jama.2018.14282'!$A$2:$A$29,0))),"NOT FROZEN")</x:f>
        <x:v>statistical_results</x:v>
      </x:c>
      <x:c r="D64" s="6" t="str">
        <x:f>IF(Setup!$B$6="primary",IF(AND(INDEX('C_jama.2018.14282'!$D$2:$D$29,MATCH("2018::jama.2018.14282::C019",'C_jama.2018.14282'!$A$2:$A$29,0))="retain",INDEX('C_jama.2018.14282'!$E$2:$E$29,MATCH("2018::jama.2018.14282::C019",'C_jama.2018.14282'!$A$2:$A$29,0))="statistical_results"),IF(INDEX('C_jama.2018.14282'!$H$2:$H$29,MATCH("2018::jama.2018.14282::C019",'C_jama.2018.14282'!$A$2:$A$29,0))="","",INDEX('C_jama.2018.14282'!$H$2:$H$29,MATCH("2018::jama.2018.14282::C019",'C_jama.2018.14282'!$A$2:$A$29,0))),"not_applicable"),"NOT FROZEN")</x:f>
        <x:v>not_applicable</x:v>
      </x:c>
      <x:c r="E64" s="6" t="str">
        <x:f>IF(Setup!$B$6="primary",IF(AND(INDEX('C_jama.2018.14282'!$D$2:$D$29,MATCH("2018::jama.2018.14282::C019",'C_jama.2018.14282'!$A$2:$A$29,0))="retain",INDEX('C_jama.2018.14282'!$E$2:$E$29,MATCH("2018::jama.2018.14282::C019",'C_jama.2018.14282'!$A$2:$A$29,0))="statistical_results"),IF(INDEX('C_jama.2018.14282'!$I$2:$I$29,MATCH("2018::jama.2018.14282::C019",'C_jama.2018.14282'!$A$2:$A$29,0))="","",INDEX('C_jama.2018.14282'!$I$2:$I$29,MATCH("2018::jama.2018.14282::C019",'C_jama.2018.14282'!$A$2:$A$29,0))),"not_applicable"),"NOT FROZEN")</x:f>
        <x:v>not_applicable</x:v>
      </x:c>
      <x:c r="F64" s="6" t="str">
        <x:f>IF(Setup!$B$6="primary",IF(AND(INDEX('C_jama.2018.14282'!$D$2:$D$29,MATCH("2018::jama.2018.14282::C019",'C_jama.2018.14282'!$A$2:$A$29,0))="retain",INDEX('C_jama.2018.14282'!$E$2:$E$29,MATCH("2018::jama.2018.14282::C019",'C_jama.2018.14282'!$A$2:$A$29,0))="statistical_results"),IF(INDEX('C_jama.2018.14282'!$J$2:$J$29,MATCH("2018::jama.2018.14282::C019",'C_jama.2018.14282'!$A$2:$A$29,0))="","",INDEX('C_jama.2018.14282'!$J$2:$J$29,MATCH("2018::jama.2018.14282::C019",'C_jama.2018.14282'!$A$2:$A$29,0))),"not_applicable"),"NOT FROZEN")</x:f>
        <x:v>not_applicable</x:v>
      </x:c>
      <x:c r="G64" s="6" t="str">
        <x:f>IF(Setup!$B$6="primary",IF(AND(INDEX('C_jama.2018.14282'!$D$2:$D$29,MATCH("2018::jama.2018.14282::C019",'C_jama.2018.14282'!$A$2:$A$29,0))="retain",OR(INDEX('C_jama.2018.14282'!$E$2:$E$29,MATCH("2018::jama.2018.14282::C019",'C_jama.2018.14282'!$A$2:$A$29,0))="report_internal_inconsistency",INDEX('C_jama.2018.14282'!$E$2:$E$29,MATCH("2018::jama.2018.14282::C019",'C_jama.2018.14282'!$A$2:$A$29,0))="plan_material")),IF(INDEX('C_jama.2018.14282'!$K$2:$K$29,MATCH("2018::jama.2018.14282::C019",'C_jama.2018.14282'!$A$2:$A$29,0))="","",INDEX('C_jama.2018.14282'!$K$2:$K$29,MATCH("2018::jama.2018.14282::C019",'C_jama.2018.14282'!$A$2:$A$29,0))),"not_applicable"),"NOT FROZEN")</x:f>
        <x:v>not_applicable</x:v>
      </x:c>
      <x:c r="H64" s="6" t="str">
        <x:f>IF(Setup!$B$6="primary",IF(AND(INDEX('C_jama.2018.14282'!$D$2:$D$29,MATCH("2018::jama.2018.14282::C019",'C_jama.2018.14282'!$A$2:$A$29,0))="retain",INDEX('C_jama.2018.14282'!$E$2:$E$29,MATCH("2018::jama.2018.14282::C019",'C_jama.2018.14282'!$A$2:$A$29,0))="protocol_report"),IF(INDEX('C_jama.2018.14282'!$L$2:$L$29,MATCH("2018::jama.2018.14282::C019",'C_jama.2018.14282'!$A$2:$A$29,0))="","",INDEX('C_jama.2018.14282'!$L$2:$L$29,MATCH("2018::jama.2018.14282::C019",'C_jama.2018.14282'!$A$2:$A$29,0))),"not_applicable"),"NOT FROZEN")</x:f>
        <x:v>not_applicable</x:v>
      </x:c>
      <x:c r="I64" s="6" t="str">
        <x:f>IF(Setup!$B$6="primary",IF(INDEX('C_jama.2018.14282'!$R$2:$R$29,MATCH("2018::jama.2018.14282::C019",'C_jama.2018.14282'!$A$2:$A$29,0))="","",INDEX('C_jama.2018.14282'!$R$2:$R$29,MATCH("2018::jama.2018.14282::C019",'C_jama.2018.14282'!$A$2:$A$29,0))),"NOT FROZEN")</x:f>
      </x:c>
      <x:c r="J64" s="6" t="str">
        <x:f>IF(Setup!$B$6="primary",INDEX('C_jama.2018.14282'!$F$2:$F$29,MATCH("2018::jama.2018.14282::C019",'C_jama.2018.14282'!$A$2:$A$29,0)),"NOT FROZEN")</x:f>
        <x:v>no</x:v>
      </x:c>
      <x:c r="K64" s="6" t="str">
        <x:f>IF(Setup!$B$6="primary",Setup!$B$2,"NOT FROZEN")</x:f>
      </x:c>
      <x:c r="L64" s="6" t="str">
        <x:f>IF(Setup!$B$6="primary",IF(OR(B64="",B64="not_applicable"),"","Disposition: "&amp;B64&amp;CHAR(10))&amp;IF(OR(C64="",C64="not_applicable"),"","Review domain: "&amp;C64&amp;CHAR(10))&amp;IF(OR(D64="",D64="not_applicable"),"","Statistcal_or_numerical issue: "&amp;D64&amp;CHAR(10))&amp;IF(OR(E64="",E64="not_applicable"),"","Substantiveness: "&amp;E64&amp;CHAR(10))&amp;IF(OR(F64="",F64="not_applicable"),"","Downstream impact: "&amp;F64&amp;CHAR(10))&amp;IF(OR(G64="",G64="not_applicable"),"","Report-internal or planning-material inconsistency: "&amp;G64&amp;CHAR(10))&amp;IF(OR(H64="",H64="not_applicable"),"","Protocol interpretation: "&amp;H64&amp;CHAR(10))&amp;IF(OR(I64="",I64="not_applicable"),"","Notes (optional): "&amp;I64&amp;CHAR(10)),"NOT FROZEN")</x:f>
        <x:v>Review domain: statistical_results
</x:v>
      </x:c>
    </x:row>
    <x:row r="65" ht="70" customHeight="1">
      <x:c r="A65" s="3" t="str">
        <x:f>IF(Setup!$B$6="primary","2018::jama.2018.14282::C020","NOT FROZEN")</x:f>
        <x:v>2018::jama.2018.14282::C020</x:v>
      </x:c>
      <x:c r="B65" s="3" t="str">
        <x:f>IF(Setup!$B$6="primary",IF(INDEX('C_jama.2018.14282'!$D$2:$D$29,MATCH("2018::jama.2018.14282::C020",'C_jama.2018.14282'!$A$2:$A$29,0))="","",INDEX('C_jama.2018.14282'!$D$2:$D$29,MATCH("2018::jama.2018.14282::C020",'C_jama.2018.14282'!$A$2:$A$29,0))),"NOT FROZEN")</x:f>
      </x:c>
      <x:c r="C65" s="3" t="str">
        <x:f>IF(Setup!$B$6="primary",IF(INDEX('C_jama.2018.14282'!$E$2:$E$29,MATCH("2018::jama.2018.14282::C020",'C_jama.2018.14282'!$A$2:$A$29,0))="","",INDEX('C_jama.2018.14282'!$E$2:$E$29,MATCH("2018::jama.2018.14282::C020",'C_jama.2018.14282'!$A$2:$A$29,0))),"NOT FROZEN")</x:f>
        <x:v>statistical_results</x:v>
      </x:c>
      <x:c r="D65" s="3" t="str">
        <x:f>IF(Setup!$B$6="primary",IF(AND(INDEX('C_jama.2018.14282'!$D$2:$D$29,MATCH("2018::jama.2018.14282::C020",'C_jama.2018.14282'!$A$2:$A$29,0))="retain",INDEX('C_jama.2018.14282'!$E$2:$E$29,MATCH("2018::jama.2018.14282::C020",'C_jama.2018.14282'!$A$2:$A$29,0))="statistical_results"),IF(INDEX('C_jama.2018.14282'!$H$2:$H$29,MATCH("2018::jama.2018.14282::C020",'C_jama.2018.14282'!$A$2:$A$29,0))="","",INDEX('C_jama.2018.14282'!$H$2:$H$29,MATCH("2018::jama.2018.14282::C020",'C_jama.2018.14282'!$A$2:$A$29,0))),"not_applicable"),"NOT FROZEN")</x:f>
        <x:v>not_applicable</x:v>
      </x:c>
      <x:c r="E65" s="3" t="str">
        <x:f>IF(Setup!$B$6="primary",IF(AND(INDEX('C_jama.2018.14282'!$D$2:$D$29,MATCH("2018::jama.2018.14282::C020",'C_jama.2018.14282'!$A$2:$A$29,0))="retain",INDEX('C_jama.2018.14282'!$E$2:$E$29,MATCH("2018::jama.2018.14282::C020",'C_jama.2018.14282'!$A$2:$A$29,0))="statistical_results"),IF(INDEX('C_jama.2018.14282'!$I$2:$I$29,MATCH("2018::jama.2018.14282::C020",'C_jama.2018.14282'!$A$2:$A$29,0))="","",INDEX('C_jama.2018.14282'!$I$2:$I$29,MATCH("2018::jama.2018.14282::C020",'C_jama.2018.14282'!$A$2:$A$29,0))),"not_applicable"),"NOT FROZEN")</x:f>
        <x:v>not_applicable</x:v>
      </x:c>
      <x:c r="F65" s="3" t="str">
        <x:f>IF(Setup!$B$6="primary",IF(AND(INDEX('C_jama.2018.14282'!$D$2:$D$29,MATCH("2018::jama.2018.14282::C020",'C_jama.2018.14282'!$A$2:$A$29,0))="retain",INDEX('C_jama.2018.14282'!$E$2:$E$29,MATCH("2018::jama.2018.14282::C020",'C_jama.2018.14282'!$A$2:$A$29,0))="statistical_results"),IF(INDEX('C_jama.2018.14282'!$J$2:$J$29,MATCH("2018::jama.2018.14282::C020",'C_jama.2018.14282'!$A$2:$A$29,0))="","",INDEX('C_jama.2018.14282'!$J$2:$J$29,MATCH("2018::jama.2018.14282::C020",'C_jama.2018.14282'!$A$2:$A$29,0))),"not_applicable"),"NOT FROZEN")</x:f>
        <x:v>not_applicable</x:v>
      </x:c>
      <x:c r="G65" s="3" t="str">
        <x:f>IF(Setup!$B$6="primary",IF(AND(INDEX('C_jama.2018.14282'!$D$2:$D$29,MATCH("2018::jama.2018.14282::C020",'C_jama.2018.14282'!$A$2:$A$29,0))="retain",OR(INDEX('C_jama.2018.14282'!$E$2:$E$29,MATCH("2018::jama.2018.14282::C020",'C_jama.2018.14282'!$A$2:$A$29,0))="report_internal_inconsistency",INDEX('C_jama.2018.14282'!$E$2:$E$29,MATCH("2018::jama.2018.14282::C020",'C_jama.2018.14282'!$A$2:$A$29,0))="plan_material")),IF(INDEX('C_jama.2018.14282'!$K$2:$K$29,MATCH("2018::jama.2018.14282::C020",'C_jama.2018.14282'!$A$2:$A$29,0))="","",INDEX('C_jama.2018.14282'!$K$2:$K$29,MATCH("2018::jama.2018.14282::C020",'C_jama.2018.14282'!$A$2:$A$29,0))),"not_applicable"),"NOT FROZEN")</x:f>
        <x:v>not_applicable</x:v>
      </x:c>
      <x:c r="H65" s="3" t="str">
        <x:f>IF(Setup!$B$6="primary",IF(AND(INDEX('C_jama.2018.14282'!$D$2:$D$29,MATCH("2018::jama.2018.14282::C020",'C_jama.2018.14282'!$A$2:$A$29,0))="retain",INDEX('C_jama.2018.14282'!$E$2:$E$29,MATCH("2018::jama.2018.14282::C020",'C_jama.2018.14282'!$A$2:$A$29,0))="protocol_report"),IF(INDEX('C_jama.2018.14282'!$L$2:$L$29,MATCH("2018::jama.2018.14282::C020",'C_jama.2018.14282'!$A$2:$A$29,0))="","",INDEX('C_jama.2018.14282'!$L$2:$L$29,MATCH("2018::jama.2018.14282::C020",'C_jama.2018.14282'!$A$2:$A$29,0))),"not_applicable"),"NOT FROZEN")</x:f>
        <x:v>not_applicable</x:v>
      </x:c>
      <x:c r="I65" s="3" t="str">
        <x:f>IF(Setup!$B$6="primary",IF(INDEX('C_jama.2018.14282'!$R$2:$R$29,MATCH("2018::jama.2018.14282::C020",'C_jama.2018.14282'!$A$2:$A$29,0))="","",INDEX('C_jama.2018.14282'!$R$2:$R$29,MATCH("2018::jama.2018.14282::C020",'C_jama.2018.14282'!$A$2:$A$29,0))),"NOT FROZEN")</x:f>
      </x:c>
      <x:c r="J65" s="3" t="str">
        <x:f>IF(Setup!$B$6="primary",INDEX('C_jama.2018.14282'!$F$2:$F$29,MATCH("2018::jama.2018.14282::C020",'C_jama.2018.14282'!$A$2:$A$29,0)),"NOT FROZEN")</x:f>
        <x:v>no</x:v>
      </x:c>
      <x:c r="K65" s="3" t="str">
        <x:f>IF(Setup!$B$6="primary",Setup!$B$2,"NOT FROZEN")</x:f>
      </x:c>
      <x:c r="L65" s="3" t="str">
        <x:f>IF(Setup!$B$6="primary",IF(OR(B65="",B65="not_applicable"),"","Disposition: "&amp;B65&amp;CHAR(10))&amp;IF(OR(C65="",C65="not_applicable"),"","Review domain: "&amp;C65&amp;CHAR(10))&amp;IF(OR(D65="",D65="not_applicable"),"","Statistcal_or_numerical issue: "&amp;D65&amp;CHAR(10))&amp;IF(OR(E65="",E65="not_applicable"),"","Substantiveness: "&amp;E65&amp;CHAR(10))&amp;IF(OR(F65="",F65="not_applicable"),"","Downstream impact: "&amp;F65&amp;CHAR(10))&amp;IF(OR(G65="",G65="not_applicable"),"","Report-internal or planning-material inconsistency: "&amp;G65&amp;CHAR(10))&amp;IF(OR(H65="",H65="not_applicable"),"","Protocol interpretation: "&amp;H65&amp;CHAR(10))&amp;IF(OR(I65="",I65="not_applicable"),"","Notes (optional): "&amp;I65&amp;CHAR(10)),"NOT FROZEN")</x:f>
        <x:v>Review domain: statistical_results
</x:v>
      </x:c>
    </x:row>
    <x:row r="66" ht="70" customHeight="1">
      <x:c r="A66" s="6" t="str">
        <x:f>IF(Setup!$B$6="primary","2018::jama.2018.14282::C021","NOT FROZEN")</x:f>
        <x:v>2018::jama.2018.14282::C021</x:v>
      </x:c>
      <x:c r="B66" s="6" t="str">
        <x:f>IF(Setup!$B$6="primary",IF(INDEX('C_jama.2018.14282'!$D$2:$D$29,MATCH("2018::jama.2018.14282::C021",'C_jama.2018.14282'!$A$2:$A$29,0))="","",INDEX('C_jama.2018.14282'!$D$2:$D$29,MATCH("2018::jama.2018.14282::C021",'C_jama.2018.14282'!$A$2:$A$29,0))),"NOT FROZEN")</x:f>
      </x:c>
      <x:c r="C66" s="6" t="str">
        <x:f>IF(Setup!$B$6="primary",IF(INDEX('C_jama.2018.14282'!$E$2:$E$29,MATCH("2018::jama.2018.14282::C021",'C_jama.2018.14282'!$A$2:$A$29,0))="","",INDEX('C_jama.2018.14282'!$E$2:$E$29,MATCH("2018::jama.2018.14282::C021",'C_jama.2018.14282'!$A$2:$A$29,0))),"NOT FROZEN")</x:f>
        <x:v>statistical_results</x:v>
      </x:c>
      <x:c r="D66" s="6" t="str">
        <x:f>IF(Setup!$B$6="primary",IF(AND(INDEX('C_jama.2018.14282'!$D$2:$D$29,MATCH("2018::jama.2018.14282::C021",'C_jama.2018.14282'!$A$2:$A$29,0))="retain",INDEX('C_jama.2018.14282'!$E$2:$E$29,MATCH("2018::jama.2018.14282::C021",'C_jama.2018.14282'!$A$2:$A$29,0))="statistical_results"),IF(INDEX('C_jama.2018.14282'!$H$2:$H$29,MATCH("2018::jama.2018.14282::C021",'C_jama.2018.14282'!$A$2:$A$29,0))="","",INDEX('C_jama.2018.14282'!$H$2:$H$29,MATCH("2018::jama.2018.14282::C021",'C_jama.2018.14282'!$A$2:$A$29,0))),"not_applicable"),"NOT FROZEN")</x:f>
        <x:v>not_applicable</x:v>
      </x:c>
      <x:c r="E66" s="6" t="str">
        <x:f>IF(Setup!$B$6="primary",IF(AND(INDEX('C_jama.2018.14282'!$D$2:$D$29,MATCH("2018::jama.2018.14282::C021",'C_jama.2018.14282'!$A$2:$A$29,0))="retain",INDEX('C_jama.2018.14282'!$E$2:$E$29,MATCH("2018::jama.2018.14282::C021",'C_jama.2018.14282'!$A$2:$A$29,0))="statistical_results"),IF(INDEX('C_jama.2018.14282'!$I$2:$I$29,MATCH("2018::jama.2018.14282::C021",'C_jama.2018.14282'!$A$2:$A$29,0))="","",INDEX('C_jama.2018.14282'!$I$2:$I$29,MATCH("2018::jama.2018.14282::C021",'C_jama.2018.14282'!$A$2:$A$29,0))),"not_applicable"),"NOT FROZEN")</x:f>
        <x:v>not_applicable</x:v>
      </x:c>
      <x:c r="F66" s="6" t="str">
        <x:f>IF(Setup!$B$6="primary",IF(AND(INDEX('C_jama.2018.14282'!$D$2:$D$29,MATCH("2018::jama.2018.14282::C021",'C_jama.2018.14282'!$A$2:$A$29,0))="retain",INDEX('C_jama.2018.14282'!$E$2:$E$29,MATCH("2018::jama.2018.14282::C021",'C_jama.2018.14282'!$A$2:$A$29,0))="statistical_results"),IF(INDEX('C_jama.2018.14282'!$J$2:$J$29,MATCH("2018::jama.2018.14282::C021",'C_jama.2018.14282'!$A$2:$A$29,0))="","",INDEX('C_jama.2018.14282'!$J$2:$J$29,MATCH("2018::jama.2018.14282::C021",'C_jama.2018.14282'!$A$2:$A$29,0))),"not_applicable"),"NOT FROZEN")</x:f>
        <x:v>not_applicable</x:v>
      </x:c>
      <x:c r="G66" s="6" t="str">
        <x:f>IF(Setup!$B$6="primary",IF(AND(INDEX('C_jama.2018.14282'!$D$2:$D$29,MATCH("2018::jama.2018.14282::C021",'C_jama.2018.14282'!$A$2:$A$29,0))="retain",OR(INDEX('C_jama.2018.14282'!$E$2:$E$29,MATCH("2018::jama.2018.14282::C021",'C_jama.2018.14282'!$A$2:$A$29,0))="report_internal_inconsistency",INDEX('C_jama.2018.14282'!$E$2:$E$29,MATCH("2018::jama.2018.14282::C021",'C_jama.2018.14282'!$A$2:$A$29,0))="plan_material")),IF(INDEX('C_jama.2018.14282'!$K$2:$K$29,MATCH("2018::jama.2018.14282::C021",'C_jama.2018.14282'!$A$2:$A$29,0))="","",INDEX('C_jama.2018.14282'!$K$2:$K$29,MATCH("2018::jama.2018.14282::C021",'C_jama.2018.14282'!$A$2:$A$29,0))),"not_applicable"),"NOT FROZEN")</x:f>
        <x:v>not_applicable</x:v>
      </x:c>
      <x:c r="H66" s="6" t="str">
        <x:f>IF(Setup!$B$6="primary",IF(AND(INDEX('C_jama.2018.14282'!$D$2:$D$29,MATCH("2018::jama.2018.14282::C021",'C_jama.2018.14282'!$A$2:$A$29,0))="retain",INDEX('C_jama.2018.14282'!$E$2:$E$29,MATCH("2018::jama.2018.14282::C021",'C_jama.2018.14282'!$A$2:$A$29,0))="protocol_report"),IF(INDEX('C_jama.2018.14282'!$L$2:$L$29,MATCH("2018::jama.2018.14282::C021",'C_jama.2018.14282'!$A$2:$A$29,0))="","",INDEX('C_jama.2018.14282'!$L$2:$L$29,MATCH("2018::jama.2018.14282::C021",'C_jama.2018.14282'!$A$2:$A$29,0))),"not_applicable"),"NOT FROZEN")</x:f>
        <x:v>not_applicable</x:v>
      </x:c>
      <x:c r="I66" s="6" t="str">
        <x:f>IF(Setup!$B$6="primary",IF(INDEX('C_jama.2018.14282'!$R$2:$R$29,MATCH("2018::jama.2018.14282::C021",'C_jama.2018.14282'!$A$2:$A$29,0))="","",INDEX('C_jama.2018.14282'!$R$2:$R$29,MATCH("2018::jama.2018.14282::C021",'C_jama.2018.14282'!$A$2:$A$29,0))),"NOT FROZEN")</x:f>
      </x:c>
      <x:c r="J66" s="6" t="str">
        <x:f>IF(Setup!$B$6="primary",INDEX('C_jama.2018.14282'!$F$2:$F$29,MATCH("2018::jama.2018.14282::C021",'C_jama.2018.14282'!$A$2:$A$29,0)),"NOT FROZEN")</x:f>
        <x:v>no</x:v>
      </x:c>
      <x:c r="K66" s="6" t="str">
        <x:f>IF(Setup!$B$6="primary",Setup!$B$2,"NOT FROZEN")</x:f>
      </x:c>
      <x:c r="L66" s="6" t="str">
        <x:f>IF(Setup!$B$6="primary",IF(OR(B66="",B66="not_applicable"),"","Disposition: "&amp;B66&amp;CHAR(10))&amp;IF(OR(C66="",C66="not_applicable"),"","Review domain: "&amp;C66&amp;CHAR(10))&amp;IF(OR(D66="",D66="not_applicable"),"","Statistcal_or_numerical issue: "&amp;D66&amp;CHAR(10))&amp;IF(OR(E66="",E66="not_applicable"),"","Substantiveness: "&amp;E66&amp;CHAR(10))&amp;IF(OR(F66="",F66="not_applicable"),"","Downstream impact: "&amp;F66&amp;CHAR(10))&amp;IF(OR(G66="",G66="not_applicable"),"","Report-internal or planning-material inconsistency: "&amp;G66&amp;CHAR(10))&amp;IF(OR(H66="",H66="not_applicable"),"","Protocol interpretation: "&amp;H66&amp;CHAR(10))&amp;IF(OR(I66="",I66="not_applicable"),"","Notes (optional): "&amp;I66&amp;CHAR(10)),"NOT FROZEN")</x:f>
        <x:v>Review domain: statistical_results
</x:v>
      </x:c>
    </x:row>
    <x:row r="67" ht="70" customHeight="1">
      <x:c r="A67" s="3" t="str">
        <x:f>IF(Setup!$B$6="primary","2018::jama.2018.14282::C022","NOT FROZEN")</x:f>
        <x:v>2018::jama.2018.14282::C022</x:v>
      </x:c>
      <x:c r="B67" s="3" t="str">
        <x:f>IF(Setup!$B$6="primary",IF(INDEX('C_jama.2018.14282'!$D$2:$D$29,MATCH("2018::jama.2018.14282::C022",'C_jama.2018.14282'!$A$2:$A$29,0))="","",INDEX('C_jama.2018.14282'!$D$2:$D$29,MATCH("2018::jama.2018.14282::C022",'C_jama.2018.14282'!$A$2:$A$29,0))),"NOT FROZEN")</x:f>
      </x:c>
      <x:c r="C67" s="3" t="str">
        <x:f>IF(Setup!$B$6="primary",IF(INDEX('C_jama.2018.14282'!$E$2:$E$29,MATCH("2018::jama.2018.14282::C022",'C_jama.2018.14282'!$A$2:$A$29,0))="","",INDEX('C_jama.2018.14282'!$E$2:$E$29,MATCH("2018::jama.2018.14282::C022",'C_jama.2018.14282'!$A$2:$A$29,0))),"NOT FROZEN")</x:f>
        <x:v>statistical_results</x:v>
      </x:c>
      <x:c r="D67" s="3" t="str">
        <x:f>IF(Setup!$B$6="primary",IF(AND(INDEX('C_jama.2018.14282'!$D$2:$D$29,MATCH("2018::jama.2018.14282::C022",'C_jama.2018.14282'!$A$2:$A$29,0))="retain",INDEX('C_jama.2018.14282'!$E$2:$E$29,MATCH("2018::jama.2018.14282::C022",'C_jama.2018.14282'!$A$2:$A$29,0))="statistical_results"),IF(INDEX('C_jama.2018.14282'!$H$2:$H$29,MATCH("2018::jama.2018.14282::C022",'C_jama.2018.14282'!$A$2:$A$29,0))="","",INDEX('C_jama.2018.14282'!$H$2:$H$29,MATCH("2018::jama.2018.14282::C022",'C_jama.2018.14282'!$A$2:$A$29,0))),"not_applicable"),"NOT FROZEN")</x:f>
        <x:v>not_applicable</x:v>
      </x:c>
      <x:c r="E67" s="3" t="str">
        <x:f>IF(Setup!$B$6="primary",IF(AND(INDEX('C_jama.2018.14282'!$D$2:$D$29,MATCH("2018::jama.2018.14282::C022",'C_jama.2018.14282'!$A$2:$A$29,0))="retain",INDEX('C_jama.2018.14282'!$E$2:$E$29,MATCH("2018::jama.2018.14282::C022",'C_jama.2018.14282'!$A$2:$A$29,0))="statistical_results"),IF(INDEX('C_jama.2018.14282'!$I$2:$I$29,MATCH("2018::jama.2018.14282::C022",'C_jama.2018.14282'!$A$2:$A$29,0))="","",INDEX('C_jama.2018.14282'!$I$2:$I$29,MATCH("2018::jama.2018.14282::C022",'C_jama.2018.14282'!$A$2:$A$29,0))),"not_applicable"),"NOT FROZEN")</x:f>
        <x:v>not_applicable</x:v>
      </x:c>
      <x:c r="F67" s="3" t="str">
        <x:f>IF(Setup!$B$6="primary",IF(AND(INDEX('C_jama.2018.14282'!$D$2:$D$29,MATCH("2018::jama.2018.14282::C022",'C_jama.2018.14282'!$A$2:$A$29,0))="retain",INDEX('C_jama.2018.14282'!$E$2:$E$29,MATCH("2018::jama.2018.14282::C022",'C_jama.2018.14282'!$A$2:$A$29,0))="statistical_results"),IF(INDEX('C_jama.2018.14282'!$J$2:$J$29,MATCH("2018::jama.2018.14282::C022",'C_jama.2018.14282'!$A$2:$A$29,0))="","",INDEX('C_jama.2018.14282'!$J$2:$J$29,MATCH("2018::jama.2018.14282::C022",'C_jama.2018.14282'!$A$2:$A$29,0))),"not_applicable"),"NOT FROZEN")</x:f>
        <x:v>not_applicable</x:v>
      </x:c>
      <x:c r="G67" s="3" t="str">
        <x:f>IF(Setup!$B$6="primary",IF(AND(INDEX('C_jama.2018.14282'!$D$2:$D$29,MATCH("2018::jama.2018.14282::C022",'C_jama.2018.14282'!$A$2:$A$29,0))="retain",OR(INDEX('C_jama.2018.14282'!$E$2:$E$29,MATCH("2018::jama.2018.14282::C022",'C_jama.2018.14282'!$A$2:$A$29,0))="report_internal_inconsistency",INDEX('C_jama.2018.14282'!$E$2:$E$29,MATCH("2018::jama.2018.14282::C022",'C_jama.2018.14282'!$A$2:$A$29,0))="plan_material")),IF(INDEX('C_jama.2018.14282'!$K$2:$K$29,MATCH("2018::jama.2018.14282::C022",'C_jama.2018.14282'!$A$2:$A$29,0))="","",INDEX('C_jama.2018.14282'!$K$2:$K$29,MATCH("2018::jama.2018.14282::C022",'C_jama.2018.14282'!$A$2:$A$29,0))),"not_applicable"),"NOT FROZEN")</x:f>
        <x:v>not_applicable</x:v>
      </x:c>
      <x:c r="H67" s="3" t="str">
        <x:f>IF(Setup!$B$6="primary",IF(AND(INDEX('C_jama.2018.14282'!$D$2:$D$29,MATCH("2018::jama.2018.14282::C022",'C_jama.2018.14282'!$A$2:$A$29,0))="retain",INDEX('C_jama.2018.14282'!$E$2:$E$29,MATCH("2018::jama.2018.14282::C022",'C_jama.2018.14282'!$A$2:$A$29,0))="protocol_report"),IF(INDEX('C_jama.2018.14282'!$L$2:$L$29,MATCH("2018::jama.2018.14282::C022",'C_jama.2018.14282'!$A$2:$A$29,0))="","",INDEX('C_jama.2018.14282'!$L$2:$L$29,MATCH("2018::jama.2018.14282::C022",'C_jama.2018.14282'!$A$2:$A$29,0))),"not_applicable"),"NOT FROZEN")</x:f>
        <x:v>not_applicable</x:v>
      </x:c>
      <x:c r="I67" s="3" t="str">
        <x:f>IF(Setup!$B$6="primary",IF(INDEX('C_jama.2018.14282'!$R$2:$R$29,MATCH("2018::jama.2018.14282::C022",'C_jama.2018.14282'!$A$2:$A$29,0))="","",INDEX('C_jama.2018.14282'!$R$2:$R$29,MATCH("2018::jama.2018.14282::C022",'C_jama.2018.14282'!$A$2:$A$29,0))),"NOT FROZEN")</x:f>
      </x:c>
      <x:c r="J67" s="3" t="str">
        <x:f>IF(Setup!$B$6="primary",INDEX('C_jama.2018.14282'!$F$2:$F$29,MATCH("2018::jama.2018.14282::C022",'C_jama.2018.14282'!$A$2:$A$29,0)),"NOT FROZEN")</x:f>
        <x:v>no</x:v>
      </x:c>
      <x:c r="K67" s="3" t="str">
        <x:f>IF(Setup!$B$6="primary",Setup!$B$2,"NOT FROZEN")</x:f>
      </x:c>
      <x:c r="L67" s="3" t="str">
        <x:f>IF(Setup!$B$6="primary",IF(OR(B67="",B67="not_applicable"),"","Disposition: "&amp;B67&amp;CHAR(10))&amp;IF(OR(C67="",C67="not_applicable"),"","Review domain: "&amp;C67&amp;CHAR(10))&amp;IF(OR(D67="",D67="not_applicable"),"","Statistcal_or_numerical issue: "&amp;D67&amp;CHAR(10))&amp;IF(OR(E67="",E67="not_applicable"),"","Substantiveness: "&amp;E67&amp;CHAR(10))&amp;IF(OR(F67="",F67="not_applicable"),"","Downstream impact: "&amp;F67&amp;CHAR(10))&amp;IF(OR(G67="",G67="not_applicable"),"","Report-internal or planning-material inconsistency: "&amp;G67&amp;CHAR(10))&amp;IF(OR(H67="",H67="not_applicable"),"","Protocol interpretation: "&amp;H67&amp;CHAR(10))&amp;IF(OR(I67="",I67="not_applicable"),"","Notes (optional): "&amp;I67&amp;CHAR(10)),"NOT FROZEN")</x:f>
        <x:v>Review domain: statistical_results
</x:v>
      </x:c>
    </x:row>
    <x:row r="68" ht="70" customHeight="1">
      <x:c r="A68" s="6" t="str">
        <x:f>IF(Setup!$B$6="primary","2018::jama.2018.14282::C023","NOT FROZEN")</x:f>
        <x:v>2018::jama.2018.14282::C023</x:v>
      </x:c>
      <x:c r="B68" s="6" t="str">
        <x:f>IF(Setup!$B$6="primary",IF(INDEX('C_jama.2018.14282'!$D$2:$D$29,MATCH("2018::jama.2018.14282::C023",'C_jama.2018.14282'!$A$2:$A$29,0))="","",INDEX('C_jama.2018.14282'!$D$2:$D$29,MATCH("2018::jama.2018.14282::C023",'C_jama.2018.14282'!$A$2:$A$29,0))),"NOT FROZEN")</x:f>
      </x:c>
      <x:c r="C68" s="6" t="str">
        <x:f>IF(Setup!$B$6="primary",IF(INDEX('C_jama.2018.14282'!$E$2:$E$29,MATCH("2018::jama.2018.14282::C023",'C_jama.2018.14282'!$A$2:$A$29,0))="","",INDEX('C_jama.2018.14282'!$E$2:$E$29,MATCH("2018::jama.2018.14282::C023",'C_jama.2018.14282'!$A$2:$A$29,0))),"NOT FROZEN")</x:f>
        <x:v>report_internal_inconsistency</x:v>
      </x:c>
      <x:c r="D68" s="6" t="str">
        <x:f>IF(Setup!$B$6="primary",IF(AND(INDEX('C_jama.2018.14282'!$D$2:$D$29,MATCH("2018::jama.2018.14282::C023",'C_jama.2018.14282'!$A$2:$A$29,0))="retain",INDEX('C_jama.2018.14282'!$E$2:$E$29,MATCH("2018::jama.2018.14282::C023",'C_jama.2018.14282'!$A$2:$A$29,0))="statistical_results"),IF(INDEX('C_jama.2018.14282'!$H$2:$H$29,MATCH("2018::jama.2018.14282::C023",'C_jama.2018.14282'!$A$2:$A$29,0))="","",INDEX('C_jama.2018.14282'!$H$2:$H$29,MATCH("2018::jama.2018.14282::C023",'C_jama.2018.14282'!$A$2:$A$29,0))),"not_applicable"),"NOT FROZEN")</x:f>
        <x:v>not_applicable</x:v>
      </x:c>
      <x:c r="E68" s="6" t="str">
        <x:f>IF(Setup!$B$6="primary",IF(AND(INDEX('C_jama.2018.14282'!$D$2:$D$29,MATCH("2018::jama.2018.14282::C023",'C_jama.2018.14282'!$A$2:$A$29,0))="retain",INDEX('C_jama.2018.14282'!$E$2:$E$29,MATCH("2018::jama.2018.14282::C023",'C_jama.2018.14282'!$A$2:$A$29,0))="statistical_results"),IF(INDEX('C_jama.2018.14282'!$I$2:$I$29,MATCH("2018::jama.2018.14282::C023",'C_jama.2018.14282'!$A$2:$A$29,0))="","",INDEX('C_jama.2018.14282'!$I$2:$I$29,MATCH("2018::jama.2018.14282::C023",'C_jama.2018.14282'!$A$2:$A$29,0))),"not_applicable"),"NOT FROZEN")</x:f>
        <x:v>not_applicable</x:v>
      </x:c>
      <x:c r="F68" s="6" t="str">
        <x:f>IF(Setup!$B$6="primary",IF(AND(INDEX('C_jama.2018.14282'!$D$2:$D$29,MATCH("2018::jama.2018.14282::C023",'C_jama.2018.14282'!$A$2:$A$29,0))="retain",INDEX('C_jama.2018.14282'!$E$2:$E$29,MATCH("2018::jama.2018.14282::C023",'C_jama.2018.14282'!$A$2:$A$29,0))="statistical_results"),IF(INDEX('C_jama.2018.14282'!$J$2:$J$29,MATCH("2018::jama.2018.14282::C023",'C_jama.2018.14282'!$A$2:$A$29,0))="","",INDEX('C_jama.2018.14282'!$J$2:$J$29,MATCH("2018::jama.2018.14282::C023",'C_jama.2018.14282'!$A$2:$A$29,0))),"not_applicable"),"NOT FROZEN")</x:f>
        <x:v>not_applicable</x:v>
      </x:c>
      <x:c r="G68" s="6" t="str">
        <x:f>IF(Setup!$B$6="primary",IF(AND(INDEX('C_jama.2018.14282'!$D$2:$D$29,MATCH("2018::jama.2018.14282::C023",'C_jama.2018.14282'!$A$2:$A$29,0))="retain",OR(INDEX('C_jama.2018.14282'!$E$2:$E$29,MATCH("2018::jama.2018.14282::C023",'C_jama.2018.14282'!$A$2:$A$29,0))="report_internal_inconsistency",INDEX('C_jama.2018.14282'!$E$2:$E$29,MATCH("2018::jama.2018.14282::C023",'C_jama.2018.14282'!$A$2:$A$29,0))="plan_material")),IF(INDEX('C_jama.2018.14282'!$K$2:$K$29,MATCH("2018::jama.2018.14282::C023",'C_jama.2018.14282'!$A$2:$A$29,0))="","",INDEX('C_jama.2018.14282'!$K$2:$K$29,MATCH("2018::jama.2018.14282::C023",'C_jama.2018.14282'!$A$2:$A$29,0))),"not_applicable"),"NOT FROZEN")</x:f>
        <x:v>not_applicable</x:v>
      </x:c>
      <x:c r="H68" s="6" t="str">
        <x:f>IF(Setup!$B$6="primary",IF(AND(INDEX('C_jama.2018.14282'!$D$2:$D$29,MATCH("2018::jama.2018.14282::C023",'C_jama.2018.14282'!$A$2:$A$29,0))="retain",INDEX('C_jama.2018.14282'!$E$2:$E$29,MATCH("2018::jama.2018.14282::C023",'C_jama.2018.14282'!$A$2:$A$29,0))="protocol_report"),IF(INDEX('C_jama.2018.14282'!$L$2:$L$29,MATCH("2018::jama.2018.14282::C023",'C_jama.2018.14282'!$A$2:$A$29,0))="","",INDEX('C_jama.2018.14282'!$L$2:$L$29,MATCH("2018::jama.2018.14282::C023",'C_jama.2018.14282'!$A$2:$A$29,0))),"not_applicable"),"NOT FROZEN")</x:f>
        <x:v>not_applicable</x:v>
      </x:c>
      <x:c r="I68" s="6" t="str">
        <x:f>IF(Setup!$B$6="primary",IF(INDEX('C_jama.2018.14282'!$R$2:$R$29,MATCH("2018::jama.2018.14282::C023",'C_jama.2018.14282'!$A$2:$A$29,0))="","",INDEX('C_jama.2018.14282'!$R$2:$R$29,MATCH("2018::jama.2018.14282::C023",'C_jama.2018.14282'!$A$2:$A$29,0))),"NOT FROZEN")</x:f>
      </x:c>
      <x:c r="J68" s="6" t="str">
        <x:f>IF(Setup!$B$6="primary",INDEX('C_jama.2018.14282'!$F$2:$F$29,MATCH("2018::jama.2018.14282::C023",'C_jama.2018.14282'!$A$2:$A$29,0)),"NOT FROZEN")</x:f>
        <x:v>no</x:v>
      </x:c>
      <x:c r="K68" s="6" t="str">
        <x:f>IF(Setup!$B$6="primary",Setup!$B$2,"NOT FROZEN")</x:f>
      </x:c>
      <x:c r="L68" s="6" t="str">
        <x:f>IF(Setup!$B$6="primary",IF(OR(B68="",B68="not_applicable"),"","Disposition: "&amp;B68&amp;CHAR(10))&amp;IF(OR(C68="",C68="not_applicable"),"","Review domain: "&amp;C68&amp;CHAR(10))&amp;IF(OR(D68="",D68="not_applicable"),"","Statistcal_or_numerical issue: "&amp;D68&amp;CHAR(10))&amp;IF(OR(E68="",E68="not_applicable"),"","Substantiveness: "&amp;E68&amp;CHAR(10))&amp;IF(OR(F68="",F68="not_applicable"),"","Downstream impact: "&amp;F68&amp;CHAR(10))&amp;IF(OR(G68="",G68="not_applicable"),"","Report-internal or planning-material inconsistency: "&amp;G68&amp;CHAR(10))&amp;IF(OR(H68="",H68="not_applicable"),"","Protocol interpretation: "&amp;H68&amp;CHAR(10))&amp;IF(OR(I68="",I68="not_applicable"),"","Notes (optional): "&amp;I68&amp;CHAR(10)),"NOT FROZEN")</x:f>
        <x:v>Review domain: report_internal_inconsistency
</x:v>
      </x:c>
    </x:row>
    <x:row r="69" ht="70" customHeight="1">
      <x:c r="A69" s="3" t="str">
        <x:f>IF(Setup!$B$6="primary","2018::jama.2018.14282::C024","NOT FROZEN")</x:f>
        <x:v>2018::jama.2018.14282::C024</x:v>
      </x:c>
      <x:c r="B69" s="3" t="str">
        <x:f>IF(Setup!$B$6="primary",IF(INDEX('C_jama.2018.14282'!$D$2:$D$29,MATCH("2018::jama.2018.14282::C024",'C_jama.2018.14282'!$A$2:$A$29,0))="","",INDEX('C_jama.2018.14282'!$D$2:$D$29,MATCH("2018::jama.2018.14282::C024",'C_jama.2018.14282'!$A$2:$A$29,0))),"NOT FROZEN")</x:f>
      </x:c>
      <x:c r="C69" s="3" t="str">
        <x:f>IF(Setup!$B$6="primary",IF(INDEX('C_jama.2018.14282'!$E$2:$E$29,MATCH("2018::jama.2018.14282::C024",'C_jama.2018.14282'!$A$2:$A$29,0))="","",INDEX('C_jama.2018.14282'!$E$2:$E$29,MATCH("2018::jama.2018.14282::C024",'C_jama.2018.14282'!$A$2:$A$29,0))),"NOT FROZEN")</x:f>
        <x:v>report_internal_inconsistency</x:v>
      </x:c>
      <x:c r="D69" s="3" t="str">
        <x:f>IF(Setup!$B$6="primary",IF(AND(INDEX('C_jama.2018.14282'!$D$2:$D$29,MATCH("2018::jama.2018.14282::C024",'C_jama.2018.14282'!$A$2:$A$29,0))="retain",INDEX('C_jama.2018.14282'!$E$2:$E$29,MATCH("2018::jama.2018.14282::C024",'C_jama.2018.14282'!$A$2:$A$29,0))="statistical_results"),IF(INDEX('C_jama.2018.14282'!$H$2:$H$29,MATCH("2018::jama.2018.14282::C024",'C_jama.2018.14282'!$A$2:$A$29,0))="","",INDEX('C_jama.2018.14282'!$H$2:$H$29,MATCH("2018::jama.2018.14282::C024",'C_jama.2018.14282'!$A$2:$A$29,0))),"not_applicable"),"NOT FROZEN")</x:f>
        <x:v>not_applicable</x:v>
      </x:c>
      <x:c r="E69" s="3" t="str">
        <x:f>IF(Setup!$B$6="primary",IF(AND(INDEX('C_jama.2018.14282'!$D$2:$D$29,MATCH("2018::jama.2018.14282::C024",'C_jama.2018.14282'!$A$2:$A$29,0))="retain",INDEX('C_jama.2018.14282'!$E$2:$E$29,MATCH("2018::jama.2018.14282::C024",'C_jama.2018.14282'!$A$2:$A$29,0))="statistical_results"),IF(INDEX('C_jama.2018.14282'!$I$2:$I$29,MATCH("2018::jama.2018.14282::C024",'C_jama.2018.14282'!$A$2:$A$29,0))="","",INDEX('C_jama.2018.14282'!$I$2:$I$29,MATCH("2018::jama.2018.14282::C024",'C_jama.2018.14282'!$A$2:$A$29,0))),"not_applicable"),"NOT FROZEN")</x:f>
        <x:v>not_applicable</x:v>
      </x:c>
      <x:c r="F69" s="3" t="str">
        <x:f>IF(Setup!$B$6="primary",IF(AND(INDEX('C_jama.2018.14282'!$D$2:$D$29,MATCH("2018::jama.2018.14282::C024",'C_jama.2018.14282'!$A$2:$A$29,0))="retain",INDEX('C_jama.2018.14282'!$E$2:$E$29,MATCH("2018::jama.2018.14282::C024",'C_jama.2018.14282'!$A$2:$A$29,0))="statistical_results"),IF(INDEX('C_jama.2018.14282'!$J$2:$J$29,MATCH("2018::jama.2018.14282::C024",'C_jama.2018.14282'!$A$2:$A$29,0))="","",INDEX('C_jama.2018.14282'!$J$2:$J$29,MATCH("2018::jama.2018.14282::C024",'C_jama.2018.14282'!$A$2:$A$29,0))),"not_applicable"),"NOT FROZEN")</x:f>
        <x:v>not_applicable</x:v>
      </x:c>
      <x:c r="G69" s="3" t="str">
        <x:f>IF(Setup!$B$6="primary",IF(AND(INDEX('C_jama.2018.14282'!$D$2:$D$29,MATCH("2018::jama.2018.14282::C024",'C_jama.2018.14282'!$A$2:$A$29,0))="retain",OR(INDEX('C_jama.2018.14282'!$E$2:$E$29,MATCH("2018::jama.2018.14282::C024",'C_jama.2018.14282'!$A$2:$A$29,0))="report_internal_inconsistency",INDEX('C_jama.2018.14282'!$E$2:$E$29,MATCH("2018::jama.2018.14282::C024",'C_jama.2018.14282'!$A$2:$A$29,0))="plan_material")),IF(INDEX('C_jama.2018.14282'!$K$2:$K$29,MATCH("2018::jama.2018.14282::C024",'C_jama.2018.14282'!$A$2:$A$29,0))="","",INDEX('C_jama.2018.14282'!$K$2:$K$29,MATCH("2018::jama.2018.14282::C024",'C_jama.2018.14282'!$A$2:$A$29,0))),"not_applicable"),"NOT FROZEN")</x:f>
        <x:v>not_applicable</x:v>
      </x:c>
      <x:c r="H69" s="3" t="str">
        <x:f>IF(Setup!$B$6="primary",IF(AND(INDEX('C_jama.2018.14282'!$D$2:$D$29,MATCH("2018::jama.2018.14282::C024",'C_jama.2018.14282'!$A$2:$A$29,0))="retain",INDEX('C_jama.2018.14282'!$E$2:$E$29,MATCH("2018::jama.2018.14282::C024",'C_jama.2018.14282'!$A$2:$A$29,0))="protocol_report"),IF(INDEX('C_jama.2018.14282'!$L$2:$L$29,MATCH("2018::jama.2018.14282::C024",'C_jama.2018.14282'!$A$2:$A$29,0))="","",INDEX('C_jama.2018.14282'!$L$2:$L$29,MATCH("2018::jama.2018.14282::C024",'C_jama.2018.14282'!$A$2:$A$29,0))),"not_applicable"),"NOT FROZEN")</x:f>
        <x:v>not_applicable</x:v>
      </x:c>
      <x:c r="I69" s="3" t="str">
        <x:f>IF(Setup!$B$6="primary",IF(INDEX('C_jama.2018.14282'!$R$2:$R$29,MATCH("2018::jama.2018.14282::C024",'C_jama.2018.14282'!$A$2:$A$29,0))="","",INDEX('C_jama.2018.14282'!$R$2:$R$29,MATCH("2018::jama.2018.14282::C024",'C_jama.2018.14282'!$A$2:$A$29,0))),"NOT FROZEN")</x:f>
      </x:c>
      <x:c r="J69" s="3" t="str">
        <x:f>IF(Setup!$B$6="primary",INDEX('C_jama.2018.14282'!$F$2:$F$29,MATCH("2018::jama.2018.14282::C024",'C_jama.2018.14282'!$A$2:$A$29,0)),"NOT FROZEN")</x:f>
        <x:v>no</x:v>
      </x:c>
      <x:c r="K69" s="3" t="str">
        <x:f>IF(Setup!$B$6="primary",Setup!$B$2,"NOT FROZEN")</x:f>
      </x:c>
      <x:c r="L69" s="3" t="str">
        <x:f>IF(Setup!$B$6="primary",IF(OR(B69="",B69="not_applicable"),"","Disposition: "&amp;B69&amp;CHAR(10))&amp;IF(OR(C69="",C69="not_applicable"),"","Review domain: "&amp;C69&amp;CHAR(10))&amp;IF(OR(D69="",D69="not_applicable"),"","Statistcal_or_numerical issue: "&amp;D69&amp;CHAR(10))&amp;IF(OR(E69="",E69="not_applicable"),"","Substantiveness: "&amp;E69&amp;CHAR(10))&amp;IF(OR(F69="",F69="not_applicable"),"","Downstream impact: "&amp;F69&amp;CHAR(10))&amp;IF(OR(G69="",G69="not_applicable"),"","Report-internal or planning-material inconsistency: "&amp;G69&amp;CHAR(10))&amp;IF(OR(H69="",H69="not_applicable"),"","Protocol interpretation: "&amp;H69&amp;CHAR(10))&amp;IF(OR(I69="",I69="not_applicable"),"","Notes (optional): "&amp;I69&amp;CHAR(10)),"NOT FROZEN")</x:f>
        <x:v>Review domain: report_internal_inconsistency
</x:v>
      </x:c>
    </x:row>
    <x:row r="70" ht="70" customHeight="1">
      <x:c r="A70" s="6" t="str">
        <x:f>IF(Setup!$B$6="primary","2018::jama.2018.14282::C025","NOT FROZEN")</x:f>
        <x:v>2018::jama.2018.14282::C025</x:v>
      </x:c>
      <x:c r="B70" s="6" t="str">
        <x:f>IF(Setup!$B$6="primary",IF(INDEX('C_jama.2018.14282'!$D$2:$D$29,MATCH("2018::jama.2018.14282::C025",'C_jama.2018.14282'!$A$2:$A$29,0))="","",INDEX('C_jama.2018.14282'!$D$2:$D$29,MATCH("2018::jama.2018.14282::C025",'C_jama.2018.14282'!$A$2:$A$29,0))),"NOT FROZEN")</x:f>
      </x:c>
      <x:c r="C70" s="6" t="str">
        <x:f>IF(Setup!$B$6="primary",IF(INDEX('C_jama.2018.14282'!$E$2:$E$29,MATCH("2018::jama.2018.14282::C025",'C_jama.2018.14282'!$A$2:$A$29,0))="","",INDEX('C_jama.2018.14282'!$E$2:$E$29,MATCH("2018::jama.2018.14282::C025",'C_jama.2018.14282'!$A$2:$A$29,0))),"NOT FROZEN")</x:f>
        <x:v>statistical_results</x:v>
      </x:c>
      <x:c r="D70" s="6" t="str">
        <x:f>IF(Setup!$B$6="primary",IF(AND(INDEX('C_jama.2018.14282'!$D$2:$D$29,MATCH("2018::jama.2018.14282::C025",'C_jama.2018.14282'!$A$2:$A$29,0))="retain",INDEX('C_jama.2018.14282'!$E$2:$E$29,MATCH("2018::jama.2018.14282::C025",'C_jama.2018.14282'!$A$2:$A$29,0))="statistical_results"),IF(INDEX('C_jama.2018.14282'!$H$2:$H$29,MATCH("2018::jama.2018.14282::C025",'C_jama.2018.14282'!$A$2:$A$29,0))="","",INDEX('C_jama.2018.14282'!$H$2:$H$29,MATCH("2018::jama.2018.14282::C025",'C_jama.2018.14282'!$A$2:$A$29,0))),"not_applicable"),"NOT FROZEN")</x:f>
        <x:v>not_applicable</x:v>
      </x:c>
      <x:c r="E70" s="6" t="str">
        <x:f>IF(Setup!$B$6="primary",IF(AND(INDEX('C_jama.2018.14282'!$D$2:$D$29,MATCH("2018::jama.2018.14282::C025",'C_jama.2018.14282'!$A$2:$A$29,0))="retain",INDEX('C_jama.2018.14282'!$E$2:$E$29,MATCH("2018::jama.2018.14282::C025",'C_jama.2018.14282'!$A$2:$A$29,0))="statistical_results"),IF(INDEX('C_jama.2018.14282'!$I$2:$I$29,MATCH("2018::jama.2018.14282::C025",'C_jama.2018.14282'!$A$2:$A$29,0))="","",INDEX('C_jama.2018.14282'!$I$2:$I$29,MATCH("2018::jama.2018.14282::C025",'C_jama.2018.14282'!$A$2:$A$29,0))),"not_applicable"),"NOT FROZEN")</x:f>
        <x:v>not_applicable</x:v>
      </x:c>
      <x:c r="F70" s="6" t="str">
        <x:f>IF(Setup!$B$6="primary",IF(AND(INDEX('C_jama.2018.14282'!$D$2:$D$29,MATCH("2018::jama.2018.14282::C025",'C_jama.2018.14282'!$A$2:$A$29,0))="retain",INDEX('C_jama.2018.14282'!$E$2:$E$29,MATCH("2018::jama.2018.14282::C025",'C_jama.2018.14282'!$A$2:$A$29,0))="statistical_results"),IF(INDEX('C_jama.2018.14282'!$J$2:$J$29,MATCH("2018::jama.2018.14282::C025",'C_jama.2018.14282'!$A$2:$A$29,0))="","",INDEX('C_jama.2018.14282'!$J$2:$J$29,MATCH("2018::jama.2018.14282::C025",'C_jama.2018.14282'!$A$2:$A$29,0))),"not_applicable"),"NOT FROZEN")</x:f>
        <x:v>not_applicable</x:v>
      </x:c>
      <x:c r="G70" s="6" t="str">
        <x:f>IF(Setup!$B$6="primary",IF(AND(INDEX('C_jama.2018.14282'!$D$2:$D$29,MATCH("2018::jama.2018.14282::C025",'C_jama.2018.14282'!$A$2:$A$29,0))="retain",OR(INDEX('C_jama.2018.14282'!$E$2:$E$29,MATCH("2018::jama.2018.14282::C025",'C_jama.2018.14282'!$A$2:$A$29,0))="report_internal_inconsistency",INDEX('C_jama.2018.14282'!$E$2:$E$29,MATCH("2018::jama.2018.14282::C025",'C_jama.2018.14282'!$A$2:$A$29,0))="plan_material")),IF(INDEX('C_jama.2018.14282'!$K$2:$K$29,MATCH("2018::jama.2018.14282::C025",'C_jama.2018.14282'!$A$2:$A$29,0))="","",INDEX('C_jama.2018.14282'!$K$2:$K$29,MATCH("2018::jama.2018.14282::C025",'C_jama.2018.14282'!$A$2:$A$29,0))),"not_applicable"),"NOT FROZEN")</x:f>
        <x:v>not_applicable</x:v>
      </x:c>
      <x:c r="H70" s="6" t="str">
        <x:f>IF(Setup!$B$6="primary",IF(AND(INDEX('C_jama.2018.14282'!$D$2:$D$29,MATCH("2018::jama.2018.14282::C025",'C_jama.2018.14282'!$A$2:$A$29,0))="retain",INDEX('C_jama.2018.14282'!$E$2:$E$29,MATCH("2018::jama.2018.14282::C025",'C_jama.2018.14282'!$A$2:$A$29,0))="protocol_report"),IF(INDEX('C_jama.2018.14282'!$L$2:$L$29,MATCH("2018::jama.2018.14282::C025",'C_jama.2018.14282'!$A$2:$A$29,0))="","",INDEX('C_jama.2018.14282'!$L$2:$L$29,MATCH("2018::jama.2018.14282::C025",'C_jama.2018.14282'!$A$2:$A$29,0))),"not_applicable"),"NOT FROZEN")</x:f>
        <x:v>not_applicable</x:v>
      </x:c>
      <x:c r="I70" s="6" t="str">
        <x:f>IF(Setup!$B$6="primary",IF(INDEX('C_jama.2018.14282'!$R$2:$R$29,MATCH("2018::jama.2018.14282::C025",'C_jama.2018.14282'!$A$2:$A$29,0))="","",INDEX('C_jama.2018.14282'!$R$2:$R$29,MATCH("2018::jama.2018.14282::C025",'C_jama.2018.14282'!$A$2:$A$29,0))),"NOT FROZEN")</x:f>
      </x:c>
      <x:c r="J70" s="6" t="str">
        <x:f>IF(Setup!$B$6="primary",INDEX('C_jama.2018.14282'!$F$2:$F$29,MATCH("2018::jama.2018.14282::C025",'C_jama.2018.14282'!$A$2:$A$29,0)),"NOT FROZEN")</x:f>
        <x:v>no</x:v>
      </x:c>
      <x:c r="K70" s="6" t="str">
        <x:f>IF(Setup!$B$6="primary",Setup!$B$2,"NOT FROZEN")</x:f>
      </x:c>
      <x:c r="L70" s="6" t="str">
        <x:f>IF(Setup!$B$6="primary",IF(OR(B70="",B70="not_applicable"),"","Disposition: "&amp;B70&amp;CHAR(10))&amp;IF(OR(C70="",C70="not_applicable"),"","Review domain: "&amp;C70&amp;CHAR(10))&amp;IF(OR(D70="",D70="not_applicable"),"","Statistcal_or_numerical issue: "&amp;D70&amp;CHAR(10))&amp;IF(OR(E70="",E70="not_applicable"),"","Substantiveness: "&amp;E70&amp;CHAR(10))&amp;IF(OR(F70="",F70="not_applicable"),"","Downstream impact: "&amp;F70&amp;CHAR(10))&amp;IF(OR(G70="",G70="not_applicable"),"","Report-internal or planning-material inconsistency: "&amp;G70&amp;CHAR(10))&amp;IF(OR(H70="",H70="not_applicable"),"","Protocol interpretation: "&amp;H70&amp;CHAR(10))&amp;IF(OR(I70="",I70="not_applicable"),"","Notes (optional): "&amp;I70&amp;CHAR(10)),"NOT FROZEN")</x:f>
        <x:v>Review domain: statistical_results
</x:v>
      </x:c>
    </x:row>
    <x:row r="71" ht="70" customHeight="1">
      <x:c r="A71" s="3" t="str">
        <x:f>IF(Setup!$B$6="primary","2018::jama.2018.14282::C026","NOT FROZEN")</x:f>
        <x:v>2018::jama.2018.14282::C026</x:v>
      </x:c>
      <x:c r="B71" s="3" t="str">
        <x:f>IF(Setup!$B$6="primary",IF(INDEX('C_jama.2018.14282'!$D$2:$D$29,MATCH("2018::jama.2018.14282::C026",'C_jama.2018.14282'!$A$2:$A$29,0))="","",INDEX('C_jama.2018.14282'!$D$2:$D$29,MATCH("2018::jama.2018.14282::C026",'C_jama.2018.14282'!$A$2:$A$29,0))),"NOT FROZEN")</x:f>
      </x:c>
      <x:c r="C71" s="3" t="str">
        <x:f>IF(Setup!$B$6="primary",IF(INDEX('C_jama.2018.14282'!$E$2:$E$29,MATCH("2018::jama.2018.14282::C026",'C_jama.2018.14282'!$A$2:$A$29,0))="","",INDEX('C_jama.2018.14282'!$E$2:$E$29,MATCH("2018::jama.2018.14282::C026",'C_jama.2018.14282'!$A$2:$A$29,0))),"NOT FROZEN")</x:f>
        <x:v>plan_material</x:v>
      </x:c>
      <x:c r="D71" s="3" t="str">
        <x:f>IF(Setup!$B$6="primary",IF(AND(INDEX('C_jama.2018.14282'!$D$2:$D$29,MATCH("2018::jama.2018.14282::C026",'C_jama.2018.14282'!$A$2:$A$29,0))="retain",INDEX('C_jama.2018.14282'!$E$2:$E$29,MATCH("2018::jama.2018.14282::C026",'C_jama.2018.14282'!$A$2:$A$29,0))="statistical_results"),IF(INDEX('C_jama.2018.14282'!$H$2:$H$29,MATCH("2018::jama.2018.14282::C026",'C_jama.2018.14282'!$A$2:$A$29,0))="","",INDEX('C_jama.2018.14282'!$H$2:$H$29,MATCH("2018::jama.2018.14282::C026",'C_jama.2018.14282'!$A$2:$A$29,0))),"not_applicable"),"NOT FROZEN")</x:f>
        <x:v>not_applicable</x:v>
      </x:c>
      <x:c r="E71" s="3" t="str">
        <x:f>IF(Setup!$B$6="primary",IF(AND(INDEX('C_jama.2018.14282'!$D$2:$D$29,MATCH("2018::jama.2018.14282::C026",'C_jama.2018.14282'!$A$2:$A$29,0))="retain",INDEX('C_jama.2018.14282'!$E$2:$E$29,MATCH("2018::jama.2018.14282::C026",'C_jama.2018.14282'!$A$2:$A$29,0))="statistical_results"),IF(INDEX('C_jama.2018.14282'!$I$2:$I$29,MATCH("2018::jama.2018.14282::C026",'C_jama.2018.14282'!$A$2:$A$29,0))="","",INDEX('C_jama.2018.14282'!$I$2:$I$29,MATCH("2018::jama.2018.14282::C026",'C_jama.2018.14282'!$A$2:$A$29,0))),"not_applicable"),"NOT FROZEN")</x:f>
        <x:v>not_applicable</x:v>
      </x:c>
      <x:c r="F71" s="3" t="str">
        <x:f>IF(Setup!$B$6="primary",IF(AND(INDEX('C_jama.2018.14282'!$D$2:$D$29,MATCH("2018::jama.2018.14282::C026",'C_jama.2018.14282'!$A$2:$A$29,0))="retain",INDEX('C_jama.2018.14282'!$E$2:$E$29,MATCH("2018::jama.2018.14282::C026",'C_jama.2018.14282'!$A$2:$A$29,0))="statistical_results"),IF(INDEX('C_jama.2018.14282'!$J$2:$J$29,MATCH("2018::jama.2018.14282::C026",'C_jama.2018.14282'!$A$2:$A$29,0))="","",INDEX('C_jama.2018.14282'!$J$2:$J$29,MATCH("2018::jama.2018.14282::C026",'C_jama.2018.14282'!$A$2:$A$29,0))),"not_applicable"),"NOT FROZEN")</x:f>
        <x:v>not_applicable</x:v>
      </x:c>
      <x:c r="G71" s="3" t="str">
        <x:f>IF(Setup!$B$6="primary",IF(AND(INDEX('C_jama.2018.14282'!$D$2:$D$29,MATCH("2018::jama.2018.14282::C026",'C_jama.2018.14282'!$A$2:$A$29,0))="retain",OR(INDEX('C_jama.2018.14282'!$E$2:$E$29,MATCH("2018::jama.2018.14282::C026",'C_jama.2018.14282'!$A$2:$A$29,0))="report_internal_inconsistency",INDEX('C_jama.2018.14282'!$E$2:$E$29,MATCH("2018::jama.2018.14282::C026",'C_jama.2018.14282'!$A$2:$A$29,0))="plan_material")),IF(INDEX('C_jama.2018.14282'!$K$2:$K$29,MATCH("2018::jama.2018.14282::C026",'C_jama.2018.14282'!$A$2:$A$29,0))="","",INDEX('C_jama.2018.14282'!$K$2:$K$29,MATCH("2018::jama.2018.14282::C026",'C_jama.2018.14282'!$A$2:$A$29,0))),"not_applicable"),"NOT FROZEN")</x:f>
        <x:v>not_applicable</x:v>
      </x:c>
      <x:c r="H71" s="3" t="str">
        <x:f>IF(Setup!$B$6="primary",IF(AND(INDEX('C_jama.2018.14282'!$D$2:$D$29,MATCH("2018::jama.2018.14282::C026",'C_jama.2018.14282'!$A$2:$A$29,0))="retain",INDEX('C_jama.2018.14282'!$E$2:$E$29,MATCH("2018::jama.2018.14282::C026",'C_jama.2018.14282'!$A$2:$A$29,0))="protocol_report"),IF(INDEX('C_jama.2018.14282'!$L$2:$L$29,MATCH("2018::jama.2018.14282::C026",'C_jama.2018.14282'!$A$2:$A$29,0))="","",INDEX('C_jama.2018.14282'!$L$2:$L$29,MATCH("2018::jama.2018.14282::C026",'C_jama.2018.14282'!$A$2:$A$29,0))),"not_applicable"),"NOT FROZEN")</x:f>
        <x:v>not_applicable</x:v>
      </x:c>
      <x:c r="I71" s="3" t="str">
        <x:f>IF(Setup!$B$6="primary",IF(INDEX('C_jama.2018.14282'!$R$2:$R$29,MATCH("2018::jama.2018.14282::C026",'C_jama.2018.14282'!$A$2:$A$29,0))="","",INDEX('C_jama.2018.14282'!$R$2:$R$29,MATCH("2018::jama.2018.14282::C026",'C_jama.2018.14282'!$A$2:$A$29,0))),"NOT FROZEN")</x:f>
      </x:c>
      <x:c r="J71" s="3" t="str">
        <x:f>IF(Setup!$B$6="primary",INDEX('C_jama.2018.14282'!$F$2:$F$29,MATCH("2018::jama.2018.14282::C026",'C_jama.2018.14282'!$A$2:$A$29,0)),"NOT FROZEN")</x:f>
        <x:v>no</x:v>
      </x:c>
      <x:c r="K71" s="3" t="str">
        <x:f>IF(Setup!$B$6="primary",Setup!$B$2,"NOT FROZEN")</x:f>
      </x:c>
      <x:c r="L71" s="3" t="str">
        <x:f>IF(Setup!$B$6="primary",IF(OR(B71="",B71="not_applicable"),"","Disposition: "&amp;B71&amp;CHAR(10))&amp;IF(OR(C71="",C71="not_applicable"),"","Review domain: "&amp;C71&amp;CHAR(10))&amp;IF(OR(D71="",D71="not_applicable"),"","Statistcal_or_numerical issue: "&amp;D71&amp;CHAR(10))&amp;IF(OR(E71="",E71="not_applicable"),"","Substantiveness: "&amp;E71&amp;CHAR(10))&amp;IF(OR(F71="",F71="not_applicable"),"","Downstream impact: "&amp;F71&amp;CHAR(10))&amp;IF(OR(G71="",G71="not_applicable"),"","Report-internal or planning-material inconsistency: "&amp;G71&amp;CHAR(10))&amp;IF(OR(H71="",H71="not_applicable"),"","Protocol interpretation: "&amp;H71&amp;CHAR(10))&amp;IF(OR(I71="",I71="not_applicable"),"","Notes (optional): "&amp;I71&amp;CHAR(10)),"NOT FROZEN")</x:f>
        <x:v>Review domain: plan_material
</x:v>
      </x:c>
    </x:row>
    <x:row r="72" ht="70" customHeight="1">
      <x:c r="A72" s="6" t="str">
        <x:f>IF(Setup!$B$6="primary","2018::jama.2018.14282::C027","NOT FROZEN")</x:f>
        <x:v>2018::jama.2018.14282::C027</x:v>
      </x:c>
      <x:c r="B72" s="6" t="str">
        <x:f>IF(Setup!$B$6="primary",IF(INDEX('C_jama.2018.14282'!$D$2:$D$29,MATCH("2018::jama.2018.14282::C027",'C_jama.2018.14282'!$A$2:$A$29,0))="","",INDEX('C_jama.2018.14282'!$D$2:$D$29,MATCH("2018::jama.2018.14282::C027",'C_jama.2018.14282'!$A$2:$A$29,0))),"NOT FROZEN")</x:f>
      </x:c>
      <x:c r="C72" s="6" t="str">
        <x:f>IF(Setup!$B$6="primary",IF(INDEX('C_jama.2018.14282'!$E$2:$E$29,MATCH("2018::jama.2018.14282::C027",'C_jama.2018.14282'!$A$2:$A$29,0))="","",INDEX('C_jama.2018.14282'!$E$2:$E$29,MATCH("2018::jama.2018.14282::C027",'C_jama.2018.14282'!$A$2:$A$29,0))),"NOT FROZEN")</x:f>
        <x:v>plan_material</x:v>
      </x:c>
      <x:c r="D72" s="6" t="str">
        <x:f>IF(Setup!$B$6="primary",IF(AND(INDEX('C_jama.2018.14282'!$D$2:$D$29,MATCH("2018::jama.2018.14282::C027",'C_jama.2018.14282'!$A$2:$A$29,0))="retain",INDEX('C_jama.2018.14282'!$E$2:$E$29,MATCH("2018::jama.2018.14282::C027",'C_jama.2018.14282'!$A$2:$A$29,0))="statistical_results"),IF(INDEX('C_jama.2018.14282'!$H$2:$H$29,MATCH("2018::jama.2018.14282::C027",'C_jama.2018.14282'!$A$2:$A$29,0))="","",INDEX('C_jama.2018.14282'!$H$2:$H$29,MATCH("2018::jama.2018.14282::C027",'C_jama.2018.14282'!$A$2:$A$29,0))),"not_applicable"),"NOT FROZEN")</x:f>
        <x:v>not_applicable</x:v>
      </x:c>
      <x:c r="E72" s="6" t="str">
        <x:f>IF(Setup!$B$6="primary",IF(AND(INDEX('C_jama.2018.14282'!$D$2:$D$29,MATCH("2018::jama.2018.14282::C027",'C_jama.2018.14282'!$A$2:$A$29,0))="retain",INDEX('C_jama.2018.14282'!$E$2:$E$29,MATCH("2018::jama.2018.14282::C027",'C_jama.2018.14282'!$A$2:$A$29,0))="statistical_results"),IF(INDEX('C_jama.2018.14282'!$I$2:$I$29,MATCH("2018::jama.2018.14282::C027",'C_jama.2018.14282'!$A$2:$A$29,0))="","",INDEX('C_jama.2018.14282'!$I$2:$I$29,MATCH("2018::jama.2018.14282::C027",'C_jama.2018.14282'!$A$2:$A$29,0))),"not_applicable"),"NOT FROZEN")</x:f>
        <x:v>not_applicable</x:v>
      </x:c>
      <x:c r="F72" s="6" t="str">
        <x:f>IF(Setup!$B$6="primary",IF(AND(INDEX('C_jama.2018.14282'!$D$2:$D$29,MATCH("2018::jama.2018.14282::C027",'C_jama.2018.14282'!$A$2:$A$29,0))="retain",INDEX('C_jama.2018.14282'!$E$2:$E$29,MATCH("2018::jama.2018.14282::C027",'C_jama.2018.14282'!$A$2:$A$29,0))="statistical_results"),IF(INDEX('C_jama.2018.14282'!$J$2:$J$29,MATCH("2018::jama.2018.14282::C027",'C_jama.2018.14282'!$A$2:$A$29,0))="","",INDEX('C_jama.2018.14282'!$J$2:$J$29,MATCH("2018::jama.2018.14282::C027",'C_jama.2018.14282'!$A$2:$A$29,0))),"not_applicable"),"NOT FROZEN")</x:f>
        <x:v>not_applicable</x:v>
      </x:c>
      <x:c r="G72" s="6" t="str">
        <x:f>IF(Setup!$B$6="primary",IF(AND(INDEX('C_jama.2018.14282'!$D$2:$D$29,MATCH("2018::jama.2018.14282::C027",'C_jama.2018.14282'!$A$2:$A$29,0))="retain",OR(INDEX('C_jama.2018.14282'!$E$2:$E$29,MATCH("2018::jama.2018.14282::C027",'C_jama.2018.14282'!$A$2:$A$29,0))="report_internal_inconsistency",INDEX('C_jama.2018.14282'!$E$2:$E$29,MATCH("2018::jama.2018.14282::C027",'C_jama.2018.14282'!$A$2:$A$29,0))="plan_material")),IF(INDEX('C_jama.2018.14282'!$K$2:$K$29,MATCH("2018::jama.2018.14282::C027",'C_jama.2018.14282'!$A$2:$A$29,0))="","",INDEX('C_jama.2018.14282'!$K$2:$K$29,MATCH("2018::jama.2018.14282::C027",'C_jama.2018.14282'!$A$2:$A$29,0))),"not_applicable"),"NOT FROZEN")</x:f>
        <x:v>not_applicable</x:v>
      </x:c>
      <x:c r="H72" s="6" t="str">
        <x:f>IF(Setup!$B$6="primary",IF(AND(INDEX('C_jama.2018.14282'!$D$2:$D$29,MATCH("2018::jama.2018.14282::C027",'C_jama.2018.14282'!$A$2:$A$29,0))="retain",INDEX('C_jama.2018.14282'!$E$2:$E$29,MATCH("2018::jama.2018.14282::C027",'C_jama.2018.14282'!$A$2:$A$29,0))="protocol_report"),IF(INDEX('C_jama.2018.14282'!$L$2:$L$29,MATCH("2018::jama.2018.14282::C027",'C_jama.2018.14282'!$A$2:$A$29,0))="","",INDEX('C_jama.2018.14282'!$L$2:$L$29,MATCH("2018::jama.2018.14282::C027",'C_jama.2018.14282'!$A$2:$A$29,0))),"not_applicable"),"NOT FROZEN")</x:f>
        <x:v>not_applicable</x:v>
      </x:c>
      <x:c r="I72" s="6" t="str">
        <x:f>IF(Setup!$B$6="primary",IF(INDEX('C_jama.2018.14282'!$R$2:$R$29,MATCH("2018::jama.2018.14282::C027",'C_jama.2018.14282'!$A$2:$A$29,0))="","",INDEX('C_jama.2018.14282'!$R$2:$R$29,MATCH("2018::jama.2018.14282::C027",'C_jama.2018.14282'!$A$2:$A$29,0))),"NOT FROZEN")</x:f>
      </x:c>
      <x:c r="J72" s="6" t="str">
        <x:f>IF(Setup!$B$6="primary",INDEX('C_jama.2018.14282'!$F$2:$F$29,MATCH("2018::jama.2018.14282::C027",'C_jama.2018.14282'!$A$2:$A$29,0)),"NOT FROZEN")</x:f>
        <x:v>no</x:v>
      </x:c>
      <x:c r="K72" s="6" t="str">
        <x:f>IF(Setup!$B$6="primary",Setup!$B$2,"NOT FROZEN")</x:f>
      </x:c>
      <x:c r="L72" s="6" t="str">
        <x:f>IF(Setup!$B$6="primary",IF(OR(B72="",B72="not_applicable"),"","Disposition: "&amp;B72&amp;CHAR(10))&amp;IF(OR(C72="",C72="not_applicable"),"","Review domain: "&amp;C72&amp;CHAR(10))&amp;IF(OR(D72="",D72="not_applicable"),"","Statistcal_or_numerical issue: "&amp;D72&amp;CHAR(10))&amp;IF(OR(E72="",E72="not_applicable"),"","Substantiveness: "&amp;E72&amp;CHAR(10))&amp;IF(OR(F72="",F72="not_applicable"),"","Downstream impact: "&amp;F72&amp;CHAR(10))&amp;IF(OR(G72="",G72="not_applicable"),"","Report-internal or planning-material inconsistency: "&amp;G72&amp;CHAR(10))&amp;IF(OR(H72="",H72="not_applicable"),"","Protocol interpretation: "&amp;H72&amp;CHAR(10))&amp;IF(OR(I72="",I72="not_applicable"),"","Notes (optional): "&amp;I72&amp;CHAR(10)),"NOT FROZEN")</x:f>
        <x:v>Review domain: plan_material
</x:v>
      </x:c>
    </x:row>
    <x:row r="73" ht="70" customHeight="1">
      <x:c r="A73" s="3" t="str">
        <x:f>IF(Setup!$B$6="primary","2018::jama.2018.14282::C028","NOT FROZEN")</x:f>
        <x:v>2018::jama.2018.14282::C028</x:v>
      </x:c>
      <x:c r="B73" s="3" t="str">
        <x:f>IF(Setup!$B$6="primary",IF(INDEX('C_jama.2018.14282'!$D$2:$D$29,MATCH("2018::jama.2018.14282::C028",'C_jama.2018.14282'!$A$2:$A$29,0))="","",INDEX('C_jama.2018.14282'!$D$2:$D$29,MATCH("2018::jama.2018.14282::C028",'C_jama.2018.14282'!$A$2:$A$29,0))),"NOT FROZEN")</x:f>
      </x:c>
      <x:c r="C73" s="3" t="str">
        <x:f>IF(Setup!$B$6="primary",IF(INDEX('C_jama.2018.14282'!$E$2:$E$29,MATCH("2018::jama.2018.14282::C028",'C_jama.2018.14282'!$A$2:$A$29,0))="","",INDEX('C_jama.2018.14282'!$E$2:$E$29,MATCH("2018::jama.2018.14282::C028",'C_jama.2018.14282'!$A$2:$A$29,0))),"NOT FROZEN")</x:f>
        <x:v>plan_material</x:v>
      </x:c>
      <x:c r="D73" s="3" t="str">
        <x:f>IF(Setup!$B$6="primary",IF(AND(INDEX('C_jama.2018.14282'!$D$2:$D$29,MATCH("2018::jama.2018.14282::C028",'C_jama.2018.14282'!$A$2:$A$29,0))="retain",INDEX('C_jama.2018.14282'!$E$2:$E$29,MATCH("2018::jama.2018.14282::C028",'C_jama.2018.14282'!$A$2:$A$29,0))="statistical_results"),IF(INDEX('C_jama.2018.14282'!$H$2:$H$29,MATCH("2018::jama.2018.14282::C028",'C_jama.2018.14282'!$A$2:$A$29,0))="","",INDEX('C_jama.2018.14282'!$H$2:$H$29,MATCH("2018::jama.2018.14282::C028",'C_jama.2018.14282'!$A$2:$A$29,0))),"not_applicable"),"NOT FROZEN")</x:f>
        <x:v>not_applicable</x:v>
      </x:c>
      <x:c r="E73" s="3" t="str">
        <x:f>IF(Setup!$B$6="primary",IF(AND(INDEX('C_jama.2018.14282'!$D$2:$D$29,MATCH("2018::jama.2018.14282::C028",'C_jama.2018.14282'!$A$2:$A$29,0))="retain",INDEX('C_jama.2018.14282'!$E$2:$E$29,MATCH("2018::jama.2018.14282::C028",'C_jama.2018.14282'!$A$2:$A$29,0))="statistical_results"),IF(INDEX('C_jama.2018.14282'!$I$2:$I$29,MATCH("2018::jama.2018.14282::C028",'C_jama.2018.14282'!$A$2:$A$29,0))="","",INDEX('C_jama.2018.14282'!$I$2:$I$29,MATCH("2018::jama.2018.14282::C028",'C_jama.2018.14282'!$A$2:$A$29,0))),"not_applicable"),"NOT FROZEN")</x:f>
        <x:v>not_applicable</x:v>
      </x:c>
      <x:c r="F73" s="3" t="str">
        <x:f>IF(Setup!$B$6="primary",IF(AND(INDEX('C_jama.2018.14282'!$D$2:$D$29,MATCH("2018::jama.2018.14282::C028",'C_jama.2018.14282'!$A$2:$A$29,0))="retain",INDEX('C_jama.2018.14282'!$E$2:$E$29,MATCH("2018::jama.2018.14282::C028",'C_jama.2018.14282'!$A$2:$A$29,0))="statistical_results"),IF(INDEX('C_jama.2018.14282'!$J$2:$J$29,MATCH("2018::jama.2018.14282::C028",'C_jama.2018.14282'!$A$2:$A$29,0))="","",INDEX('C_jama.2018.14282'!$J$2:$J$29,MATCH("2018::jama.2018.14282::C028",'C_jama.2018.14282'!$A$2:$A$29,0))),"not_applicable"),"NOT FROZEN")</x:f>
        <x:v>not_applicable</x:v>
      </x:c>
      <x:c r="G73" s="3" t="str">
        <x:f>IF(Setup!$B$6="primary",IF(AND(INDEX('C_jama.2018.14282'!$D$2:$D$29,MATCH("2018::jama.2018.14282::C028",'C_jama.2018.14282'!$A$2:$A$29,0))="retain",OR(INDEX('C_jama.2018.14282'!$E$2:$E$29,MATCH("2018::jama.2018.14282::C028",'C_jama.2018.14282'!$A$2:$A$29,0))="report_internal_inconsistency",INDEX('C_jama.2018.14282'!$E$2:$E$29,MATCH("2018::jama.2018.14282::C028",'C_jama.2018.14282'!$A$2:$A$29,0))="plan_material")),IF(INDEX('C_jama.2018.14282'!$K$2:$K$29,MATCH("2018::jama.2018.14282::C028",'C_jama.2018.14282'!$A$2:$A$29,0))="","",INDEX('C_jama.2018.14282'!$K$2:$K$29,MATCH("2018::jama.2018.14282::C028",'C_jama.2018.14282'!$A$2:$A$29,0))),"not_applicable"),"NOT FROZEN")</x:f>
        <x:v>not_applicable</x:v>
      </x:c>
      <x:c r="H73" s="3" t="str">
        <x:f>IF(Setup!$B$6="primary",IF(AND(INDEX('C_jama.2018.14282'!$D$2:$D$29,MATCH("2018::jama.2018.14282::C028",'C_jama.2018.14282'!$A$2:$A$29,0))="retain",INDEX('C_jama.2018.14282'!$E$2:$E$29,MATCH("2018::jama.2018.14282::C028",'C_jama.2018.14282'!$A$2:$A$29,0))="protocol_report"),IF(INDEX('C_jama.2018.14282'!$L$2:$L$29,MATCH("2018::jama.2018.14282::C028",'C_jama.2018.14282'!$A$2:$A$29,0))="","",INDEX('C_jama.2018.14282'!$L$2:$L$29,MATCH("2018::jama.2018.14282::C028",'C_jama.2018.14282'!$A$2:$A$29,0))),"not_applicable"),"NOT FROZEN")</x:f>
        <x:v>not_applicable</x:v>
      </x:c>
      <x:c r="I73" s="3" t="str">
        <x:f>IF(Setup!$B$6="primary",IF(INDEX('C_jama.2018.14282'!$R$2:$R$29,MATCH("2018::jama.2018.14282::C028",'C_jama.2018.14282'!$A$2:$A$29,0))="","",INDEX('C_jama.2018.14282'!$R$2:$R$29,MATCH("2018::jama.2018.14282::C028",'C_jama.2018.14282'!$A$2:$A$29,0))),"NOT FROZEN")</x:f>
      </x:c>
      <x:c r="J73" s="3" t="str">
        <x:f>IF(Setup!$B$6="primary",INDEX('C_jama.2018.14282'!$F$2:$F$29,MATCH("2018::jama.2018.14282::C028",'C_jama.2018.14282'!$A$2:$A$29,0)),"NOT FROZEN")</x:f>
        <x:v>no</x:v>
      </x:c>
      <x:c r="K73" s="3" t="str">
        <x:f>IF(Setup!$B$6="primary",Setup!$B$2,"NOT FROZEN")</x:f>
      </x:c>
      <x:c r="L73" s="3" t="str">
        <x:f>IF(Setup!$B$6="primary",IF(OR(B73="",B73="not_applicable"),"","Disposition: "&amp;B73&amp;CHAR(10))&amp;IF(OR(C73="",C73="not_applicable"),"","Review domain: "&amp;C73&amp;CHAR(10))&amp;IF(OR(D73="",D73="not_applicable"),"","Statistcal_or_numerical issue: "&amp;D73&amp;CHAR(10))&amp;IF(OR(E73="",E73="not_applicable"),"","Substantiveness: "&amp;E73&amp;CHAR(10))&amp;IF(OR(F73="",F73="not_applicable"),"","Downstream impact: "&amp;F73&amp;CHAR(10))&amp;IF(OR(G73="",G73="not_applicable"),"","Report-internal or planning-material inconsistency: "&amp;G73&amp;CHAR(10))&amp;IF(OR(H73="",H73="not_applicable"),"","Protocol interpretation: "&amp;H73&amp;CHAR(10))&amp;IF(OR(I73="",I73="not_applicable"),"","Notes (optional): "&amp;I73&amp;CHAR(10)),"NOT FROZEN")</x:f>
        <x:v>Review domain: plan_material
</x:v>
      </x:c>
    </x:row>
    <x:row r="74" ht="70" customHeight="1">
      <x:c r="A74" s="6" t="str">
        <x:f>IF(Setup!$B$6="primary","2018::jama.2018.17075::C001","NOT FROZEN")</x:f>
        <x:v>2018::jama.2018.17075::C001</x:v>
      </x:c>
      <x:c r="B74" s="6" t="str">
        <x:f>IF(Setup!$B$6="primary",IF(INDEX('C_jama.2018.17075'!$D$2:$D$9,MATCH("2018::jama.2018.17075::C001",'C_jama.2018.17075'!$A$2:$A$9,0))="","",INDEX('C_jama.2018.17075'!$D$2:$D$9,MATCH("2018::jama.2018.17075::C001",'C_jama.2018.17075'!$A$2:$A$9,0))),"NOT FROZEN")</x:f>
      </x:c>
      <x:c r="C74" s="6" t="str">
        <x:f>IF(Setup!$B$6="primary",IF(INDEX('C_jama.2018.17075'!$E$2:$E$9,MATCH("2018::jama.2018.17075::C001",'C_jama.2018.17075'!$A$2:$A$9,0))="","",INDEX('C_jama.2018.17075'!$E$2:$E$9,MATCH("2018::jama.2018.17075::C001",'C_jama.2018.17075'!$A$2:$A$9,0))),"NOT FROZEN")</x:f>
        <x:v>statistical_results</x:v>
      </x:c>
      <x:c r="D74" s="6" t="str">
        <x:f>IF(Setup!$B$6="primary",IF(AND(INDEX('C_jama.2018.17075'!$D$2:$D$9,MATCH("2018::jama.2018.17075::C001",'C_jama.2018.17075'!$A$2:$A$9,0))="retain",INDEX('C_jama.2018.17075'!$E$2:$E$9,MATCH("2018::jama.2018.17075::C001",'C_jama.2018.17075'!$A$2:$A$9,0))="statistical_results"),IF(INDEX('C_jama.2018.17075'!$H$2:$H$9,MATCH("2018::jama.2018.17075::C001",'C_jama.2018.17075'!$A$2:$A$9,0))="","",INDEX('C_jama.2018.17075'!$H$2:$H$9,MATCH("2018::jama.2018.17075::C001",'C_jama.2018.17075'!$A$2:$A$9,0))),"not_applicable"),"NOT FROZEN")</x:f>
        <x:v>not_applicable</x:v>
      </x:c>
      <x:c r="E74" s="6" t="str">
        <x:f>IF(Setup!$B$6="primary",IF(AND(INDEX('C_jama.2018.17075'!$D$2:$D$9,MATCH("2018::jama.2018.17075::C001",'C_jama.2018.17075'!$A$2:$A$9,0))="retain",INDEX('C_jama.2018.17075'!$E$2:$E$9,MATCH("2018::jama.2018.17075::C001",'C_jama.2018.17075'!$A$2:$A$9,0))="statistical_results"),IF(INDEX('C_jama.2018.17075'!$I$2:$I$9,MATCH("2018::jama.2018.17075::C001",'C_jama.2018.17075'!$A$2:$A$9,0))="","",INDEX('C_jama.2018.17075'!$I$2:$I$9,MATCH("2018::jama.2018.17075::C001",'C_jama.2018.17075'!$A$2:$A$9,0))),"not_applicable"),"NOT FROZEN")</x:f>
        <x:v>not_applicable</x:v>
      </x:c>
      <x:c r="F74" s="6" t="str">
        <x:f>IF(Setup!$B$6="primary",IF(AND(INDEX('C_jama.2018.17075'!$D$2:$D$9,MATCH("2018::jama.2018.17075::C001",'C_jama.2018.17075'!$A$2:$A$9,0))="retain",INDEX('C_jama.2018.17075'!$E$2:$E$9,MATCH("2018::jama.2018.17075::C001",'C_jama.2018.17075'!$A$2:$A$9,0))="statistical_results"),IF(INDEX('C_jama.2018.17075'!$J$2:$J$9,MATCH("2018::jama.2018.17075::C001",'C_jama.2018.17075'!$A$2:$A$9,0))="","",INDEX('C_jama.2018.17075'!$J$2:$J$9,MATCH("2018::jama.2018.17075::C001",'C_jama.2018.17075'!$A$2:$A$9,0))),"not_applicable"),"NOT FROZEN")</x:f>
        <x:v>not_applicable</x:v>
      </x:c>
      <x:c r="G74" s="6" t="str">
        <x:f>IF(Setup!$B$6="primary",IF(AND(INDEX('C_jama.2018.17075'!$D$2:$D$9,MATCH("2018::jama.2018.17075::C001",'C_jama.2018.17075'!$A$2:$A$9,0))="retain",OR(INDEX('C_jama.2018.17075'!$E$2:$E$9,MATCH("2018::jama.2018.17075::C001",'C_jama.2018.17075'!$A$2:$A$9,0))="report_internal_inconsistency",INDEX('C_jama.2018.17075'!$E$2:$E$9,MATCH("2018::jama.2018.17075::C001",'C_jama.2018.17075'!$A$2:$A$9,0))="plan_material")),IF(INDEX('C_jama.2018.17075'!$K$2:$K$9,MATCH("2018::jama.2018.17075::C001",'C_jama.2018.17075'!$A$2:$A$9,0))="","",INDEX('C_jama.2018.17075'!$K$2:$K$9,MATCH("2018::jama.2018.17075::C001",'C_jama.2018.17075'!$A$2:$A$9,0))),"not_applicable"),"NOT FROZEN")</x:f>
        <x:v>not_applicable</x:v>
      </x:c>
      <x:c r="H74" s="6" t="str">
        <x:f>IF(Setup!$B$6="primary",IF(AND(INDEX('C_jama.2018.17075'!$D$2:$D$9,MATCH("2018::jama.2018.17075::C001",'C_jama.2018.17075'!$A$2:$A$9,0))="retain",INDEX('C_jama.2018.17075'!$E$2:$E$9,MATCH("2018::jama.2018.17075::C001",'C_jama.2018.17075'!$A$2:$A$9,0))="protocol_report"),IF(INDEX('C_jama.2018.17075'!$L$2:$L$9,MATCH("2018::jama.2018.17075::C001",'C_jama.2018.17075'!$A$2:$A$9,0))="","",INDEX('C_jama.2018.17075'!$L$2:$L$9,MATCH("2018::jama.2018.17075::C001",'C_jama.2018.17075'!$A$2:$A$9,0))),"not_applicable"),"NOT FROZEN")</x:f>
        <x:v>not_applicable</x:v>
      </x:c>
      <x:c r="I74" s="6" t="str">
        <x:f>IF(Setup!$B$6="primary",IF(INDEX('C_jama.2018.17075'!$R$2:$R$9,MATCH("2018::jama.2018.17075::C001",'C_jama.2018.17075'!$A$2:$A$9,0))="","",INDEX('C_jama.2018.17075'!$R$2:$R$9,MATCH("2018::jama.2018.17075::C001",'C_jama.2018.17075'!$A$2:$A$9,0))),"NOT FROZEN")</x:f>
      </x:c>
      <x:c r="J74" s="6" t="str">
        <x:f>IF(Setup!$B$6="primary",INDEX('C_jama.2018.17075'!$F$2:$F$9,MATCH("2018::jama.2018.17075::C001",'C_jama.2018.17075'!$A$2:$A$9,0)),"NOT FROZEN")</x:f>
        <x:v>no</x:v>
      </x:c>
      <x:c r="K74" s="6" t="str">
        <x:f>IF(Setup!$B$6="primary",Setup!$B$2,"NOT FROZEN")</x:f>
      </x:c>
      <x:c r="L74" s="6" t="str">
        <x:f>IF(Setup!$B$6="primary",IF(OR(B74="",B74="not_applicable"),"","Disposition: "&amp;B74&amp;CHAR(10))&amp;IF(OR(C74="",C74="not_applicable"),"","Review domain: "&amp;C74&amp;CHAR(10))&amp;IF(OR(D74="",D74="not_applicable"),"","Statistcal_or_numerical issue: "&amp;D74&amp;CHAR(10))&amp;IF(OR(E74="",E74="not_applicable"),"","Substantiveness: "&amp;E74&amp;CHAR(10))&amp;IF(OR(F74="",F74="not_applicable"),"","Downstream impact: "&amp;F74&amp;CHAR(10))&amp;IF(OR(G74="",G74="not_applicable"),"","Report-internal or planning-material inconsistency: "&amp;G74&amp;CHAR(10))&amp;IF(OR(H74="",H74="not_applicable"),"","Protocol interpretation: "&amp;H74&amp;CHAR(10))&amp;IF(OR(I74="",I74="not_applicable"),"","Notes (optional): "&amp;I74&amp;CHAR(10)),"NOT FROZEN")</x:f>
        <x:v>Review domain: statistical_results
</x:v>
      </x:c>
    </x:row>
    <x:row r="75" ht="70" customHeight="1">
      <x:c r="A75" s="3" t="str">
        <x:f>IF(Setup!$B$6="primary","2018::jama.2018.17075::C002","NOT FROZEN")</x:f>
        <x:v>2018::jama.2018.17075::C002</x:v>
      </x:c>
      <x:c r="B75" s="3" t="str">
        <x:f>IF(Setup!$B$6="primary",IF(INDEX('C_jama.2018.17075'!$D$2:$D$9,MATCH("2018::jama.2018.17075::C002",'C_jama.2018.17075'!$A$2:$A$9,0))="","",INDEX('C_jama.2018.17075'!$D$2:$D$9,MATCH("2018::jama.2018.17075::C002",'C_jama.2018.17075'!$A$2:$A$9,0))),"NOT FROZEN")</x:f>
      </x:c>
      <x:c r="C75" s="3" t="str">
        <x:f>IF(Setup!$B$6="primary",IF(INDEX('C_jama.2018.17075'!$E$2:$E$9,MATCH("2018::jama.2018.17075::C002",'C_jama.2018.17075'!$A$2:$A$9,0))="","",INDEX('C_jama.2018.17075'!$E$2:$E$9,MATCH("2018::jama.2018.17075::C002",'C_jama.2018.17075'!$A$2:$A$9,0))),"NOT FROZEN")</x:f>
        <x:v>report_internal_inconsistency</x:v>
      </x:c>
      <x:c r="D75" s="3" t="str">
        <x:f>IF(Setup!$B$6="primary",IF(AND(INDEX('C_jama.2018.17075'!$D$2:$D$9,MATCH("2018::jama.2018.17075::C002",'C_jama.2018.17075'!$A$2:$A$9,0))="retain",INDEX('C_jama.2018.17075'!$E$2:$E$9,MATCH("2018::jama.2018.17075::C002",'C_jama.2018.17075'!$A$2:$A$9,0))="statistical_results"),IF(INDEX('C_jama.2018.17075'!$H$2:$H$9,MATCH("2018::jama.2018.17075::C002",'C_jama.2018.17075'!$A$2:$A$9,0))="","",INDEX('C_jama.2018.17075'!$H$2:$H$9,MATCH("2018::jama.2018.17075::C002",'C_jama.2018.17075'!$A$2:$A$9,0))),"not_applicable"),"NOT FROZEN")</x:f>
        <x:v>not_applicable</x:v>
      </x:c>
      <x:c r="E75" s="3" t="str">
        <x:f>IF(Setup!$B$6="primary",IF(AND(INDEX('C_jama.2018.17075'!$D$2:$D$9,MATCH("2018::jama.2018.17075::C002",'C_jama.2018.17075'!$A$2:$A$9,0))="retain",INDEX('C_jama.2018.17075'!$E$2:$E$9,MATCH("2018::jama.2018.17075::C002",'C_jama.2018.17075'!$A$2:$A$9,0))="statistical_results"),IF(INDEX('C_jama.2018.17075'!$I$2:$I$9,MATCH("2018::jama.2018.17075::C002",'C_jama.2018.17075'!$A$2:$A$9,0))="","",INDEX('C_jama.2018.17075'!$I$2:$I$9,MATCH("2018::jama.2018.17075::C002",'C_jama.2018.17075'!$A$2:$A$9,0))),"not_applicable"),"NOT FROZEN")</x:f>
        <x:v>not_applicable</x:v>
      </x:c>
      <x:c r="F75" s="3" t="str">
        <x:f>IF(Setup!$B$6="primary",IF(AND(INDEX('C_jama.2018.17075'!$D$2:$D$9,MATCH("2018::jama.2018.17075::C002",'C_jama.2018.17075'!$A$2:$A$9,0))="retain",INDEX('C_jama.2018.17075'!$E$2:$E$9,MATCH("2018::jama.2018.17075::C002",'C_jama.2018.17075'!$A$2:$A$9,0))="statistical_results"),IF(INDEX('C_jama.2018.17075'!$J$2:$J$9,MATCH("2018::jama.2018.17075::C002",'C_jama.2018.17075'!$A$2:$A$9,0))="","",INDEX('C_jama.2018.17075'!$J$2:$J$9,MATCH("2018::jama.2018.17075::C002",'C_jama.2018.17075'!$A$2:$A$9,0))),"not_applicable"),"NOT FROZEN")</x:f>
        <x:v>not_applicable</x:v>
      </x:c>
      <x:c r="G75" s="3" t="str">
        <x:f>IF(Setup!$B$6="primary",IF(AND(INDEX('C_jama.2018.17075'!$D$2:$D$9,MATCH("2018::jama.2018.17075::C002",'C_jama.2018.17075'!$A$2:$A$9,0))="retain",OR(INDEX('C_jama.2018.17075'!$E$2:$E$9,MATCH("2018::jama.2018.17075::C002",'C_jama.2018.17075'!$A$2:$A$9,0))="report_internal_inconsistency",INDEX('C_jama.2018.17075'!$E$2:$E$9,MATCH("2018::jama.2018.17075::C002",'C_jama.2018.17075'!$A$2:$A$9,0))="plan_material")),IF(INDEX('C_jama.2018.17075'!$K$2:$K$9,MATCH("2018::jama.2018.17075::C002",'C_jama.2018.17075'!$A$2:$A$9,0))="","",INDEX('C_jama.2018.17075'!$K$2:$K$9,MATCH("2018::jama.2018.17075::C002",'C_jama.2018.17075'!$A$2:$A$9,0))),"not_applicable"),"NOT FROZEN")</x:f>
        <x:v>not_applicable</x:v>
      </x:c>
      <x:c r="H75" s="3" t="str">
        <x:f>IF(Setup!$B$6="primary",IF(AND(INDEX('C_jama.2018.17075'!$D$2:$D$9,MATCH("2018::jama.2018.17075::C002",'C_jama.2018.17075'!$A$2:$A$9,0))="retain",INDEX('C_jama.2018.17075'!$E$2:$E$9,MATCH("2018::jama.2018.17075::C002",'C_jama.2018.17075'!$A$2:$A$9,0))="protocol_report"),IF(INDEX('C_jama.2018.17075'!$L$2:$L$9,MATCH("2018::jama.2018.17075::C002",'C_jama.2018.17075'!$A$2:$A$9,0))="","",INDEX('C_jama.2018.17075'!$L$2:$L$9,MATCH("2018::jama.2018.17075::C002",'C_jama.2018.17075'!$A$2:$A$9,0))),"not_applicable"),"NOT FROZEN")</x:f>
        <x:v>not_applicable</x:v>
      </x:c>
      <x:c r="I75" s="3" t="str">
        <x:f>IF(Setup!$B$6="primary",IF(INDEX('C_jama.2018.17075'!$R$2:$R$9,MATCH("2018::jama.2018.17075::C002",'C_jama.2018.17075'!$A$2:$A$9,0))="","",INDEX('C_jama.2018.17075'!$R$2:$R$9,MATCH("2018::jama.2018.17075::C002",'C_jama.2018.17075'!$A$2:$A$9,0))),"NOT FROZEN")</x:f>
      </x:c>
      <x:c r="J75" s="3" t="str">
        <x:f>IF(Setup!$B$6="primary",INDEX('C_jama.2018.17075'!$F$2:$F$9,MATCH("2018::jama.2018.17075::C002",'C_jama.2018.17075'!$A$2:$A$9,0)),"NOT FROZEN")</x:f>
        <x:v>no</x:v>
      </x:c>
      <x:c r="K75" s="3" t="str">
        <x:f>IF(Setup!$B$6="primary",Setup!$B$2,"NOT FROZEN")</x:f>
      </x:c>
      <x:c r="L75" s="3" t="str">
        <x:f>IF(Setup!$B$6="primary",IF(OR(B75="",B75="not_applicable"),"","Disposition: "&amp;B75&amp;CHAR(10))&amp;IF(OR(C75="",C75="not_applicable"),"","Review domain: "&amp;C75&amp;CHAR(10))&amp;IF(OR(D75="",D75="not_applicable"),"","Statistcal_or_numerical issue: "&amp;D75&amp;CHAR(10))&amp;IF(OR(E75="",E75="not_applicable"),"","Substantiveness: "&amp;E75&amp;CHAR(10))&amp;IF(OR(F75="",F75="not_applicable"),"","Downstream impact: "&amp;F75&amp;CHAR(10))&amp;IF(OR(G75="",G75="not_applicable"),"","Report-internal or planning-material inconsistency: "&amp;G75&amp;CHAR(10))&amp;IF(OR(H75="",H75="not_applicable"),"","Protocol interpretation: "&amp;H75&amp;CHAR(10))&amp;IF(OR(I75="",I75="not_applicable"),"","Notes (optional): "&amp;I75&amp;CHAR(10)),"NOT FROZEN")</x:f>
        <x:v>Review domain: report_internal_inconsistency
</x:v>
      </x:c>
    </x:row>
    <x:row r="76" ht="70" customHeight="1">
      <x:c r="A76" s="6" t="str">
        <x:f>IF(Setup!$B$6="primary","2018::jama.2018.17075::C003","NOT FROZEN")</x:f>
        <x:v>2018::jama.2018.17075::C003</x:v>
      </x:c>
      <x:c r="B76" s="6" t="str">
        <x:f>IF(Setup!$B$6="primary",IF(INDEX('C_jama.2018.17075'!$D$2:$D$9,MATCH("2018::jama.2018.17075::C003",'C_jama.2018.17075'!$A$2:$A$9,0))="","",INDEX('C_jama.2018.17075'!$D$2:$D$9,MATCH("2018::jama.2018.17075::C003",'C_jama.2018.17075'!$A$2:$A$9,0))),"NOT FROZEN")</x:f>
      </x:c>
      <x:c r="C76" s="6" t="str">
        <x:f>IF(Setup!$B$6="primary",IF(INDEX('C_jama.2018.17075'!$E$2:$E$9,MATCH("2018::jama.2018.17075::C003",'C_jama.2018.17075'!$A$2:$A$9,0))="","",INDEX('C_jama.2018.17075'!$E$2:$E$9,MATCH("2018::jama.2018.17075::C003",'C_jama.2018.17075'!$A$2:$A$9,0))),"NOT FROZEN")</x:f>
        <x:v>statistical_results</x:v>
      </x:c>
      <x:c r="D76" s="6" t="str">
        <x:f>IF(Setup!$B$6="primary",IF(AND(INDEX('C_jama.2018.17075'!$D$2:$D$9,MATCH("2018::jama.2018.17075::C003",'C_jama.2018.17075'!$A$2:$A$9,0))="retain",INDEX('C_jama.2018.17075'!$E$2:$E$9,MATCH("2018::jama.2018.17075::C003",'C_jama.2018.17075'!$A$2:$A$9,0))="statistical_results"),IF(INDEX('C_jama.2018.17075'!$H$2:$H$9,MATCH("2018::jama.2018.17075::C003",'C_jama.2018.17075'!$A$2:$A$9,0))="","",INDEX('C_jama.2018.17075'!$H$2:$H$9,MATCH("2018::jama.2018.17075::C003",'C_jama.2018.17075'!$A$2:$A$9,0))),"not_applicable"),"NOT FROZEN")</x:f>
        <x:v>not_applicable</x:v>
      </x:c>
      <x:c r="E76" s="6" t="str">
        <x:f>IF(Setup!$B$6="primary",IF(AND(INDEX('C_jama.2018.17075'!$D$2:$D$9,MATCH("2018::jama.2018.17075::C003",'C_jama.2018.17075'!$A$2:$A$9,0))="retain",INDEX('C_jama.2018.17075'!$E$2:$E$9,MATCH("2018::jama.2018.17075::C003",'C_jama.2018.17075'!$A$2:$A$9,0))="statistical_results"),IF(INDEX('C_jama.2018.17075'!$I$2:$I$9,MATCH("2018::jama.2018.17075::C003",'C_jama.2018.17075'!$A$2:$A$9,0))="","",INDEX('C_jama.2018.17075'!$I$2:$I$9,MATCH("2018::jama.2018.17075::C003",'C_jama.2018.17075'!$A$2:$A$9,0))),"not_applicable"),"NOT FROZEN")</x:f>
        <x:v>not_applicable</x:v>
      </x:c>
      <x:c r="F76" s="6" t="str">
        <x:f>IF(Setup!$B$6="primary",IF(AND(INDEX('C_jama.2018.17075'!$D$2:$D$9,MATCH("2018::jama.2018.17075::C003",'C_jama.2018.17075'!$A$2:$A$9,0))="retain",INDEX('C_jama.2018.17075'!$E$2:$E$9,MATCH("2018::jama.2018.17075::C003",'C_jama.2018.17075'!$A$2:$A$9,0))="statistical_results"),IF(INDEX('C_jama.2018.17075'!$J$2:$J$9,MATCH("2018::jama.2018.17075::C003",'C_jama.2018.17075'!$A$2:$A$9,0))="","",INDEX('C_jama.2018.17075'!$J$2:$J$9,MATCH("2018::jama.2018.17075::C003",'C_jama.2018.17075'!$A$2:$A$9,0))),"not_applicable"),"NOT FROZEN")</x:f>
        <x:v>not_applicable</x:v>
      </x:c>
      <x:c r="G76" s="6" t="str">
        <x:f>IF(Setup!$B$6="primary",IF(AND(INDEX('C_jama.2018.17075'!$D$2:$D$9,MATCH("2018::jama.2018.17075::C003",'C_jama.2018.17075'!$A$2:$A$9,0))="retain",OR(INDEX('C_jama.2018.17075'!$E$2:$E$9,MATCH("2018::jama.2018.17075::C003",'C_jama.2018.17075'!$A$2:$A$9,0))="report_internal_inconsistency",INDEX('C_jama.2018.17075'!$E$2:$E$9,MATCH("2018::jama.2018.17075::C003",'C_jama.2018.17075'!$A$2:$A$9,0))="plan_material")),IF(INDEX('C_jama.2018.17075'!$K$2:$K$9,MATCH("2018::jama.2018.17075::C003",'C_jama.2018.17075'!$A$2:$A$9,0))="","",INDEX('C_jama.2018.17075'!$K$2:$K$9,MATCH("2018::jama.2018.17075::C003",'C_jama.2018.17075'!$A$2:$A$9,0))),"not_applicable"),"NOT FROZEN")</x:f>
        <x:v>not_applicable</x:v>
      </x:c>
      <x:c r="H76" s="6" t="str">
        <x:f>IF(Setup!$B$6="primary",IF(AND(INDEX('C_jama.2018.17075'!$D$2:$D$9,MATCH("2018::jama.2018.17075::C003",'C_jama.2018.17075'!$A$2:$A$9,0))="retain",INDEX('C_jama.2018.17075'!$E$2:$E$9,MATCH("2018::jama.2018.17075::C003",'C_jama.2018.17075'!$A$2:$A$9,0))="protocol_report"),IF(INDEX('C_jama.2018.17075'!$L$2:$L$9,MATCH("2018::jama.2018.17075::C003",'C_jama.2018.17075'!$A$2:$A$9,0))="","",INDEX('C_jama.2018.17075'!$L$2:$L$9,MATCH("2018::jama.2018.17075::C003",'C_jama.2018.17075'!$A$2:$A$9,0))),"not_applicable"),"NOT FROZEN")</x:f>
        <x:v>not_applicable</x:v>
      </x:c>
      <x:c r="I76" s="6" t="str">
        <x:f>IF(Setup!$B$6="primary",IF(INDEX('C_jama.2018.17075'!$R$2:$R$9,MATCH("2018::jama.2018.17075::C003",'C_jama.2018.17075'!$A$2:$A$9,0))="","",INDEX('C_jama.2018.17075'!$R$2:$R$9,MATCH("2018::jama.2018.17075::C003",'C_jama.2018.17075'!$A$2:$A$9,0))),"NOT FROZEN")</x:f>
      </x:c>
      <x:c r="J76" s="6" t="str">
        <x:f>IF(Setup!$B$6="primary",INDEX('C_jama.2018.17075'!$F$2:$F$9,MATCH("2018::jama.2018.17075::C003",'C_jama.2018.17075'!$A$2:$A$9,0)),"NOT FROZEN")</x:f>
        <x:v>no</x:v>
      </x:c>
      <x:c r="K76" s="6" t="str">
        <x:f>IF(Setup!$B$6="primary",Setup!$B$2,"NOT FROZEN")</x:f>
      </x:c>
      <x:c r="L76" s="6" t="str">
        <x:f>IF(Setup!$B$6="primary",IF(OR(B76="",B76="not_applicable"),"","Disposition: "&amp;B76&amp;CHAR(10))&amp;IF(OR(C76="",C76="not_applicable"),"","Review domain: "&amp;C76&amp;CHAR(10))&amp;IF(OR(D76="",D76="not_applicable"),"","Statistcal_or_numerical issue: "&amp;D76&amp;CHAR(10))&amp;IF(OR(E76="",E76="not_applicable"),"","Substantiveness: "&amp;E76&amp;CHAR(10))&amp;IF(OR(F76="",F76="not_applicable"),"","Downstream impact: "&amp;F76&amp;CHAR(10))&amp;IF(OR(G76="",G76="not_applicable"),"","Report-internal or planning-material inconsistency: "&amp;G76&amp;CHAR(10))&amp;IF(OR(H76="",H76="not_applicable"),"","Protocol interpretation: "&amp;H76&amp;CHAR(10))&amp;IF(OR(I76="",I76="not_applicable"),"","Notes (optional): "&amp;I76&amp;CHAR(10)),"NOT FROZEN")</x:f>
        <x:v>Review domain: statistical_results
</x:v>
      </x:c>
    </x:row>
    <x:row r="77" ht="70" customHeight="1">
      <x:c r="A77" s="3" t="str">
        <x:f>IF(Setup!$B$6="primary","2018::jama.2018.17075::C004","NOT FROZEN")</x:f>
        <x:v>2018::jama.2018.17075::C004</x:v>
      </x:c>
      <x:c r="B77" s="3" t="str">
        <x:f>IF(Setup!$B$6="primary",IF(INDEX('C_jama.2018.17075'!$D$2:$D$9,MATCH("2018::jama.2018.17075::C004",'C_jama.2018.17075'!$A$2:$A$9,0))="","",INDEX('C_jama.2018.17075'!$D$2:$D$9,MATCH("2018::jama.2018.17075::C004",'C_jama.2018.17075'!$A$2:$A$9,0))),"NOT FROZEN")</x:f>
      </x:c>
      <x:c r="C77" s="3" t="str">
        <x:f>IF(Setup!$B$6="primary",IF(INDEX('C_jama.2018.17075'!$E$2:$E$9,MATCH("2018::jama.2018.17075::C004",'C_jama.2018.17075'!$A$2:$A$9,0))="","",INDEX('C_jama.2018.17075'!$E$2:$E$9,MATCH("2018::jama.2018.17075::C004",'C_jama.2018.17075'!$A$2:$A$9,0))),"NOT FROZEN")</x:f>
        <x:v>statistical_results</x:v>
      </x:c>
      <x:c r="D77" s="3" t="str">
        <x:f>IF(Setup!$B$6="primary",IF(AND(INDEX('C_jama.2018.17075'!$D$2:$D$9,MATCH("2018::jama.2018.17075::C004",'C_jama.2018.17075'!$A$2:$A$9,0))="retain",INDEX('C_jama.2018.17075'!$E$2:$E$9,MATCH("2018::jama.2018.17075::C004",'C_jama.2018.17075'!$A$2:$A$9,0))="statistical_results"),IF(INDEX('C_jama.2018.17075'!$H$2:$H$9,MATCH("2018::jama.2018.17075::C004",'C_jama.2018.17075'!$A$2:$A$9,0))="","",INDEX('C_jama.2018.17075'!$H$2:$H$9,MATCH("2018::jama.2018.17075::C004",'C_jama.2018.17075'!$A$2:$A$9,0))),"not_applicable"),"NOT FROZEN")</x:f>
        <x:v>not_applicable</x:v>
      </x:c>
      <x:c r="E77" s="3" t="str">
        <x:f>IF(Setup!$B$6="primary",IF(AND(INDEX('C_jama.2018.17075'!$D$2:$D$9,MATCH("2018::jama.2018.17075::C004",'C_jama.2018.17075'!$A$2:$A$9,0))="retain",INDEX('C_jama.2018.17075'!$E$2:$E$9,MATCH("2018::jama.2018.17075::C004",'C_jama.2018.17075'!$A$2:$A$9,0))="statistical_results"),IF(INDEX('C_jama.2018.17075'!$I$2:$I$9,MATCH("2018::jama.2018.17075::C004",'C_jama.2018.17075'!$A$2:$A$9,0))="","",INDEX('C_jama.2018.17075'!$I$2:$I$9,MATCH("2018::jama.2018.17075::C004",'C_jama.2018.17075'!$A$2:$A$9,0))),"not_applicable"),"NOT FROZEN")</x:f>
        <x:v>not_applicable</x:v>
      </x:c>
      <x:c r="F77" s="3" t="str">
        <x:f>IF(Setup!$B$6="primary",IF(AND(INDEX('C_jama.2018.17075'!$D$2:$D$9,MATCH("2018::jama.2018.17075::C004",'C_jama.2018.17075'!$A$2:$A$9,0))="retain",INDEX('C_jama.2018.17075'!$E$2:$E$9,MATCH("2018::jama.2018.17075::C004",'C_jama.2018.17075'!$A$2:$A$9,0))="statistical_results"),IF(INDEX('C_jama.2018.17075'!$J$2:$J$9,MATCH("2018::jama.2018.17075::C004",'C_jama.2018.17075'!$A$2:$A$9,0))="","",INDEX('C_jama.2018.17075'!$J$2:$J$9,MATCH("2018::jama.2018.17075::C004",'C_jama.2018.17075'!$A$2:$A$9,0))),"not_applicable"),"NOT FROZEN")</x:f>
        <x:v>not_applicable</x:v>
      </x:c>
      <x:c r="G77" s="3" t="str">
        <x:f>IF(Setup!$B$6="primary",IF(AND(INDEX('C_jama.2018.17075'!$D$2:$D$9,MATCH("2018::jama.2018.17075::C004",'C_jama.2018.17075'!$A$2:$A$9,0))="retain",OR(INDEX('C_jama.2018.17075'!$E$2:$E$9,MATCH("2018::jama.2018.17075::C004",'C_jama.2018.17075'!$A$2:$A$9,0))="report_internal_inconsistency",INDEX('C_jama.2018.17075'!$E$2:$E$9,MATCH("2018::jama.2018.17075::C004",'C_jama.2018.17075'!$A$2:$A$9,0))="plan_material")),IF(INDEX('C_jama.2018.17075'!$K$2:$K$9,MATCH("2018::jama.2018.17075::C004",'C_jama.2018.17075'!$A$2:$A$9,0))="","",INDEX('C_jama.2018.17075'!$K$2:$K$9,MATCH("2018::jama.2018.17075::C004",'C_jama.2018.17075'!$A$2:$A$9,0))),"not_applicable"),"NOT FROZEN")</x:f>
        <x:v>not_applicable</x:v>
      </x:c>
      <x:c r="H77" s="3" t="str">
        <x:f>IF(Setup!$B$6="primary",IF(AND(INDEX('C_jama.2018.17075'!$D$2:$D$9,MATCH("2018::jama.2018.17075::C004",'C_jama.2018.17075'!$A$2:$A$9,0))="retain",INDEX('C_jama.2018.17075'!$E$2:$E$9,MATCH("2018::jama.2018.17075::C004",'C_jama.2018.17075'!$A$2:$A$9,0))="protocol_report"),IF(INDEX('C_jama.2018.17075'!$L$2:$L$9,MATCH("2018::jama.2018.17075::C004",'C_jama.2018.17075'!$A$2:$A$9,0))="","",INDEX('C_jama.2018.17075'!$L$2:$L$9,MATCH("2018::jama.2018.17075::C004",'C_jama.2018.17075'!$A$2:$A$9,0))),"not_applicable"),"NOT FROZEN")</x:f>
        <x:v>not_applicable</x:v>
      </x:c>
      <x:c r="I77" s="3" t="str">
        <x:f>IF(Setup!$B$6="primary",IF(INDEX('C_jama.2018.17075'!$R$2:$R$9,MATCH("2018::jama.2018.17075::C004",'C_jama.2018.17075'!$A$2:$A$9,0))="","",INDEX('C_jama.2018.17075'!$R$2:$R$9,MATCH("2018::jama.2018.17075::C004",'C_jama.2018.17075'!$A$2:$A$9,0))),"NOT FROZEN")</x:f>
      </x:c>
      <x:c r="J77" s="3" t="str">
        <x:f>IF(Setup!$B$6="primary",INDEX('C_jama.2018.17075'!$F$2:$F$9,MATCH("2018::jama.2018.17075::C004",'C_jama.2018.17075'!$A$2:$A$9,0)),"NOT FROZEN")</x:f>
        <x:v>no</x:v>
      </x:c>
      <x:c r="K77" s="3" t="str">
        <x:f>IF(Setup!$B$6="primary",Setup!$B$2,"NOT FROZEN")</x:f>
      </x:c>
      <x:c r="L77" s="3" t="str">
        <x:f>IF(Setup!$B$6="primary",IF(OR(B77="",B77="not_applicable"),"","Disposition: "&amp;B77&amp;CHAR(10))&amp;IF(OR(C77="",C77="not_applicable"),"","Review domain: "&amp;C77&amp;CHAR(10))&amp;IF(OR(D77="",D77="not_applicable"),"","Statistcal_or_numerical issue: "&amp;D77&amp;CHAR(10))&amp;IF(OR(E77="",E77="not_applicable"),"","Substantiveness: "&amp;E77&amp;CHAR(10))&amp;IF(OR(F77="",F77="not_applicable"),"","Downstream impact: "&amp;F77&amp;CHAR(10))&amp;IF(OR(G77="",G77="not_applicable"),"","Report-internal or planning-material inconsistency: "&amp;G77&amp;CHAR(10))&amp;IF(OR(H77="",H77="not_applicable"),"","Protocol interpretation: "&amp;H77&amp;CHAR(10))&amp;IF(OR(I77="",I77="not_applicable"),"","Notes (optional): "&amp;I77&amp;CHAR(10)),"NOT FROZEN")</x:f>
        <x:v>Review domain: statistical_results
</x:v>
      </x:c>
    </x:row>
    <x:row r="78" ht="70" customHeight="1">
      <x:c r="A78" s="6" t="str">
        <x:f>IF(Setup!$B$6="primary","2018::jama.2018.17075::C005","NOT FROZEN")</x:f>
        <x:v>2018::jama.2018.17075::C005</x:v>
      </x:c>
      <x:c r="B78" s="6" t="str">
        <x:f>IF(Setup!$B$6="primary",IF(INDEX('C_jama.2018.17075'!$D$2:$D$9,MATCH("2018::jama.2018.17075::C005",'C_jama.2018.17075'!$A$2:$A$9,0))="","",INDEX('C_jama.2018.17075'!$D$2:$D$9,MATCH("2018::jama.2018.17075::C005",'C_jama.2018.17075'!$A$2:$A$9,0))),"NOT FROZEN")</x:f>
      </x:c>
      <x:c r="C78" s="6" t="str">
        <x:f>IF(Setup!$B$6="primary",IF(INDEX('C_jama.2018.17075'!$E$2:$E$9,MATCH("2018::jama.2018.17075::C005",'C_jama.2018.17075'!$A$2:$A$9,0))="","",INDEX('C_jama.2018.17075'!$E$2:$E$9,MATCH("2018::jama.2018.17075::C005",'C_jama.2018.17075'!$A$2:$A$9,0))),"NOT FROZEN")</x:f>
        <x:v>report_internal_inconsistency</x:v>
      </x:c>
      <x:c r="D78" s="6" t="str">
        <x:f>IF(Setup!$B$6="primary",IF(AND(INDEX('C_jama.2018.17075'!$D$2:$D$9,MATCH("2018::jama.2018.17075::C005",'C_jama.2018.17075'!$A$2:$A$9,0))="retain",INDEX('C_jama.2018.17075'!$E$2:$E$9,MATCH("2018::jama.2018.17075::C005",'C_jama.2018.17075'!$A$2:$A$9,0))="statistical_results"),IF(INDEX('C_jama.2018.17075'!$H$2:$H$9,MATCH("2018::jama.2018.17075::C005",'C_jama.2018.17075'!$A$2:$A$9,0))="","",INDEX('C_jama.2018.17075'!$H$2:$H$9,MATCH("2018::jama.2018.17075::C005",'C_jama.2018.17075'!$A$2:$A$9,0))),"not_applicable"),"NOT FROZEN")</x:f>
        <x:v>not_applicable</x:v>
      </x:c>
      <x:c r="E78" s="6" t="str">
        <x:f>IF(Setup!$B$6="primary",IF(AND(INDEX('C_jama.2018.17075'!$D$2:$D$9,MATCH("2018::jama.2018.17075::C005",'C_jama.2018.17075'!$A$2:$A$9,0))="retain",INDEX('C_jama.2018.17075'!$E$2:$E$9,MATCH("2018::jama.2018.17075::C005",'C_jama.2018.17075'!$A$2:$A$9,0))="statistical_results"),IF(INDEX('C_jama.2018.17075'!$I$2:$I$9,MATCH("2018::jama.2018.17075::C005",'C_jama.2018.17075'!$A$2:$A$9,0))="","",INDEX('C_jama.2018.17075'!$I$2:$I$9,MATCH("2018::jama.2018.17075::C005",'C_jama.2018.17075'!$A$2:$A$9,0))),"not_applicable"),"NOT FROZEN")</x:f>
        <x:v>not_applicable</x:v>
      </x:c>
      <x:c r="F78" s="6" t="str">
        <x:f>IF(Setup!$B$6="primary",IF(AND(INDEX('C_jama.2018.17075'!$D$2:$D$9,MATCH("2018::jama.2018.17075::C005",'C_jama.2018.17075'!$A$2:$A$9,0))="retain",INDEX('C_jama.2018.17075'!$E$2:$E$9,MATCH("2018::jama.2018.17075::C005",'C_jama.2018.17075'!$A$2:$A$9,0))="statistical_results"),IF(INDEX('C_jama.2018.17075'!$J$2:$J$9,MATCH("2018::jama.2018.17075::C005",'C_jama.2018.17075'!$A$2:$A$9,0))="","",INDEX('C_jama.2018.17075'!$J$2:$J$9,MATCH("2018::jama.2018.17075::C005",'C_jama.2018.17075'!$A$2:$A$9,0))),"not_applicable"),"NOT FROZEN")</x:f>
        <x:v>not_applicable</x:v>
      </x:c>
      <x:c r="G78" s="6" t="str">
        <x:f>IF(Setup!$B$6="primary",IF(AND(INDEX('C_jama.2018.17075'!$D$2:$D$9,MATCH("2018::jama.2018.17075::C005",'C_jama.2018.17075'!$A$2:$A$9,0))="retain",OR(INDEX('C_jama.2018.17075'!$E$2:$E$9,MATCH("2018::jama.2018.17075::C005",'C_jama.2018.17075'!$A$2:$A$9,0))="report_internal_inconsistency",INDEX('C_jama.2018.17075'!$E$2:$E$9,MATCH("2018::jama.2018.17075::C005",'C_jama.2018.17075'!$A$2:$A$9,0))="plan_material")),IF(INDEX('C_jama.2018.17075'!$K$2:$K$9,MATCH("2018::jama.2018.17075::C005",'C_jama.2018.17075'!$A$2:$A$9,0))="","",INDEX('C_jama.2018.17075'!$K$2:$K$9,MATCH("2018::jama.2018.17075::C005",'C_jama.2018.17075'!$A$2:$A$9,0))),"not_applicable"),"NOT FROZEN")</x:f>
        <x:v>not_applicable</x:v>
      </x:c>
      <x:c r="H78" s="6" t="str">
        <x:f>IF(Setup!$B$6="primary",IF(AND(INDEX('C_jama.2018.17075'!$D$2:$D$9,MATCH("2018::jama.2018.17075::C005",'C_jama.2018.17075'!$A$2:$A$9,0))="retain",INDEX('C_jama.2018.17075'!$E$2:$E$9,MATCH("2018::jama.2018.17075::C005",'C_jama.2018.17075'!$A$2:$A$9,0))="protocol_report"),IF(INDEX('C_jama.2018.17075'!$L$2:$L$9,MATCH("2018::jama.2018.17075::C005",'C_jama.2018.17075'!$A$2:$A$9,0))="","",INDEX('C_jama.2018.17075'!$L$2:$L$9,MATCH("2018::jama.2018.17075::C005",'C_jama.2018.17075'!$A$2:$A$9,0))),"not_applicable"),"NOT FROZEN")</x:f>
        <x:v>not_applicable</x:v>
      </x:c>
      <x:c r="I78" s="6" t="str">
        <x:f>IF(Setup!$B$6="primary",IF(INDEX('C_jama.2018.17075'!$R$2:$R$9,MATCH("2018::jama.2018.17075::C005",'C_jama.2018.17075'!$A$2:$A$9,0))="","",INDEX('C_jama.2018.17075'!$R$2:$R$9,MATCH("2018::jama.2018.17075::C005",'C_jama.2018.17075'!$A$2:$A$9,0))),"NOT FROZEN")</x:f>
      </x:c>
      <x:c r="J78" s="6" t="str">
        <x:f>IF(Setup!$B$6="primary",INDEX('C_jama.2018.17075'!$F$2:$F$9,MATCH("2018::jama.2018.17075::C005",'C_jama.2018.17075'!$A$2:$A$9,0)),"NOT FROZEN")</x:f>
        <x:v>no</x:v>
      </x:c>
      <x:c r="K78" s="6" t="str">
        <x:f>IF(Setup!$B$6="primary",Setup!$B$2,"NOT FROZEN")</x:f>
      </x:c>
      <x:c r="L78" s="6" t="str">
        <x:f>IF(Setup!$B$6="primary",IF(OR(B78="",B78="not_applicable"),"","Disposition: "&amp;B78&amp;CHAR(10))&amp;IF(OR(C78="",C78="not_applicable"),"","Review domain: "&amp;C78&amp;CHAR(10))&amp;IF(OR(D78="",D78="not_applicable"),"","Statistcal_or_numerical issue: "&amp;D78&amp;CHAR(10))&amp;IF(OR(E78="",E78="not_applicable"),"","Substantiveness: "&amp;E78&amp;CHAR(10))&amp;IF(OR(F78="",F78="not_applicable"),"","Downstream impact: "&amp;F78&amp;CHAR(10))&amp;IF(OR(G78="",G78="not_applicable"),"","Report-internal or planning-material inconsistency: "&amp;G78&amp;CHAR(10))&amp;IF(OR(H78="",H78="not_applicable"),"","Protocol interpretation: "&amp;H78&amp;CHAR(10))&amp;IF(OR(I78="",I78="not_applicable"),"","Notes (optional): "&amp;I78&amp;CHAR(10)),"NOT FROZEN")</x:f>
        <x:v>Review domain: report_internal_inconsistency
</x:v>
      </x:c>
    </x:row>
    <x:row r="79" ht="70" customHeight="1">
      <x:c r="A79" s="3" t="str">
        <x:f>IF(Setup!$B$6="primary","2018::jama.2018.17075::C006","NOT FROZEN")</x:f>
        <x:v>2018::jama.2018.17075::C006</x:v>
      </x:c>
      <x:c r="B79" s="3" t="str">
        <x:f>IF(Setup!$B$6="primary",IF(INDEX('C_jama.2018.17075'!$D$2:$D$9,MATCH("2018::jama.2018.17075::C006",'C_jama.2018.17075'!$A$2:$A$9,0))="","",INDEX('C_jama.2018.17075'!$D$2:$D$9,MATCH("2018::jama.2018.17075::C006",'C_jama.2018.17075'!$A$2:$A$9,0))),"NOT FROZEN")</x:f>
      </x:c>
      <x:c r="C79" s="3" t="str">
        <x:f>IF(Setup!$B$6="primary",IF(INDEX('C_jama.2018.17075'!$E$2:$E$9,MATCH("2018::jama.2018.17075::C006",'C_jama.2018.17075'!$A$2:$A$9,0))="","",INDEX('C_jama.2018.17075'!$E$2:$E$9,MATCH("2018::jama.2018.17075::C006",'C_jama.2018.17075'!$A$2:$A$9,0))),"NOT FROZEN")</x:f>
        <x:v>report_internal_inconsistency</x:v>
      </x:c>
      <x:c r="D79" s="3" t="str">
        <x:f>IF(Setup!$B$6="primary",IF(AND(INDEX('C_jama.2018.17075'!$D$2:$D$9,MATCH("2018::jama.2018.17075::C006",'C_jama.2018.17075'!$A$2:$A$9,0))="retain",INDEX('C_jama.2018.17075'!$E$2:$E$9,MATCH("2018::jama.2018.17075::C006",'C_jama.2018.17075'!$A$2:$A$9,0))="statistical_results"),IF(INDEX('C_jama.2018.17075'!$H$2:$H$9,MATCH("2018::jama.2018.17075::C006",'C_jama.2018.17075'!$A$2:$A$9,0))="","",INDEX('C_jama.2018.17075'!$H$2:$H$9,MATCH("2018::jama.2018.17075::C006",'C_jama.2018.17075'!$A$2:$A$9,0))),"not_applicable"),"NOT FROZEN")</x:f>
        <x:v>not_applicable</x:v>
      </x:c>
      <x:c r="E79" s="3" t="str">
        <x:f>IF(Setup!$B$6="primary",IF(AND(INDEX('C_jama.2018.17075'!$D$2:$D$9,MATCH("2018::jama.2018.17075::C006",'C_jama.2018.17075'!$A$2:$A$9,0))="retain",INDEX('C_jama.2018.17075'!$E$2:$E$9,MATCH("2018::jama.2018.17075::C006",'C_jama.2018.17075'!$A$2:$A$9,0))="statistical_results"),IF(INDEX('C_jama.2018.17075'!$I$2:$I$9,MATCH("2018::jama.2018.17075::C006",'C_jama.2018.17075'!$A$2:$A$9,0))="","",INDEX('C_jama.2018.17075'!$I$2:$I$9,MATCH("2018::jama.2018.17075::C006",'C_jama.2018.17075'!$A$2:$A$9,0))),"not_applicable"),"NOT FROZEN")</x:f>
        <x:v>not_applicable</x:v>
      </x:c>
      <x:c r="F79" s="3" t="str">
        <x:f>IF(Setup!$B$6="primary",IF(AND(INDEX('C_jama.2018.17075'!$D$2:$D$9,MATCH("2018::jama.2018.17075::C006",'C_jama.2018.17075'!$A$2:$A$9,0))="retain",INDEX('C_jama.2018.17075'!$E$2:$E$9,MATCH("2018::jama.2018.17075::C006",'C_jama.2018.17075'!$A$2:$A$9,0))="statistical_results"),IF(INDEX('C_jama.2018.17075'!$J$2:$J$9,MATCH("2018::jama.2018.17075::C006",'C_jama.2018.17075'!$A$2:$A$9,0))="","",INDEX('C_jama.2018.17075'!$J$2:$J$9,MATCH("2018::jama.2018.17075::C006",'C_jama.2018.17075'!$A$2:$A$9,0))),"not_applicable"),"NOT FROZEN")</x:f>
        <x:v>not_applicable</x:v>
      </x:c>
      <x:c r="G79" s="3" t="str">
        <x:f>IF(Setup!$B$6="primary",IF(AND(INDEX('C_jama.2018.17075'!$D$2:$D$9,MATCH("2018::jama.2018.17075::C006",'C_jama.2018.17075'!$A$2:$A$9,0))="retain",OR(INDEX('C_jama.2018.17075'!$E$2:$E$9,MATCH("2018::jama.2018.17075::C006",'C_jama.2018.17075'!$A$2:$A$9,0))="report_internal_inconsistency",INDEX('C_jama.2018.17075'!$E$2:$E$9,MATCH("2018::jama.2018.17075::C006",'C_jama.2018.17075'!$A$2:$A$9,0))="plan_material")),IF(INDEX('C_jama.2018.17075'!$K$2:$K$9,MATCH("2018::jama.2018.17075::C006",'C_jama.2018.17075'!$A$2:$A$9,0))="","",INDEX('C_jama.2018.17075'!$K$2:$K$9,MATCH("2018::jama.2018.17075::C006",'C_jama.2018.17075'!$A$2:$A$9,0))),"not_applicable"),"NOT FROZEN")</x:f>
        <x:v>not_applicable</x:v>
      </x:c>
      <x:c r="H79" s="3" t="str">
        <x:f>IF(Setup!$B$6="primary",IF(AND(INDEX('C_jama.2018.17075'!$D$2:$D$9,MATCH("2018::jama.2018.17075::C006",'C_jama.2018.17075'!$A$2:$A$9,0))="retain",INDEX('C_jama.2018.17075'!$E$2:$E$9,MATCH("2018::jama.2018.17075::C006",'C_jama.2018.17075'!$A$2:$A$9,0))="protocol_report"),IF(INDEX('C_jama.2018.17075'!$L$2:$L$9,MATCH("2018::jama.2018.17075::C006",'C_jama.2018.17075'!$A$2:$A$9,0))="","",INDEX('C_jama.2018.17075'!$L$2:$L$9,MATCH("2018::jama.2018.17075::C006",'C_jama.2018.17075'!$A$2:$A$9,0))),"not_applicable"),"NOT FROZEN")</x:f>
        <x:v>not_applicable</x:v>
      </x:c>
      <x:c r="I79" s="3" t="str">
        <x:f>IF(Setup!$B$6="primary",IF(INDEX('C_jama.2018.17075'!$R$2:$R$9,MATCH("2018::jama.2018.17075::C006",'C_jama.2018.17075'!$A$2:$A$9,0))="","",INDEX('C_jama.2018.17075'!$R$2:$R$9,MATCH("2018::jama.2018.17075::C006",'C_jama.2018.17075'!$A$2:$A$9,0))),"NOT FROZEN")</x:f>
      </x:c>
      <x:c r="J79" s="3" t="str">
        <x:f>IF(Setup!$B$6="primary",INDEX('C_jama.2018.17075'!$F$2:$F$9,MATCH("2018::jama.2018.17075::C006",'C_jama.2018.17075'!$A$2:$A$9,0)),"NOT FROZEN")</x:f>
        <x:v>no</x:v>
      </x:c>
      <x:c r="K79" s="3" t="str">
        <x:f>IF(Setup!$B$6="primary",Setup!$B$2,"NOT FROZEN")</x:f>
      </x:c>
      <x:c r="L79" s="3" t="str">
        <x:f>IF(Setup!$B$6="primary",IF(OR(B79="",B79="not_applicable"),"","Disposition: "&amp;B79&amp;CHAR(10))&amp;IF(OR(C79="",C79="not_applicable"),"","Review domain: "&amp;C79&amp;CHAR(10))&amp;IF(OR(D79="",D79="not_applicable"),"","Statistcal_or_numerical issue: "&amp;D79&amp;CHAR(10))&amp;IF(OR(E79="",E79="not_applicable"),"","Substantiveness: "&amp;E79&amp;CHAR(10))&amp;IF(OR(F79="",F79="not_applicable"),"","Downstream impact: "&amp;F79&amp;CHAR(10))&amp;IF(OR(G79="",G79="not_applicable"),"","Report-internal or planning-material inconsistency: "&amp;G79&amp;CHAR(10))&amp;IF(OR(H79="",H79="not_applicable"),"","Protocol interpretation: "&amp;H79&amp;CHAR(10))&amp;IF(OR(I79="",I79="not_applicable"),"","Notes (optional): "&amp;I79&amp;CHAR(10)),"NOT FROZEN")</x:f>
        <x:v>Review domain: report_internal_inconsistency
</x:v>
      </x:c>
    </x:row>
    <x:row r="80" ht="70" customHeight="1">
      <x:c r="A80" s="6" t="str">
        <x:f>IF(Setup!$B$6="primary","2018::jama.2018.17075::C007","NOT FROZEN")</x:f>
        <x:v>2018::jama.2018.17075::C007</x:v>
      </x:c>
      <x:c r="B80" s="6" t="str">
        <x:f>IF(Setup!$B$6="primary",IF(INDEX('C_jama.2018.17075'!$D$2:$D$9,MATCH("2018::jama.2018.17075::C007",'C_jama.2018.17075'!$A$2:$A$9,0))="","",INDEX('C_jama.2018.17075'!$D$2:$D$9,MATCH("2018::jama.2018.17075::C007",'C_jama.2018.17075'!$A$2:$A$9,0))),"NOT FROZEN")</x:f>
      </x:c>
      <x:c r="C80" s="6" t="str">
        <x:f>IF(Setup!$B$6="primary",IF(INDEX('C_jama.2018.17075'!$E$2:$E$9,MATCH("2018::jama.2018.17075::C007",'C_jama.2018.17075'!$A$2:$A$9,0))="","",INDEX('C_jama.2018.17075'!$E$2:$E$9,MATCH("2018::jama.2018.17075::C007",'C_jama.2018.17075'!$A$2:$A$9,0))),"NOT FROZEN")</x:f>
        <x:v>statistical_results</x:v>
      </x:c>
      <x:c r="D80" s="6" t="str">
        <x:f>IF(Setup!$B$6="primary",IF(AND(INDEX('C_jama.2018.17075'!$D$2:$D$9,MATCH("2018::jama.2018.17075::C007",'C_jama.2018.17075'!$A$2:$A$9,0))="retain",INDEX('C_jama.2018.17075'!$E$2:$E$9,MATCH("2018::jama.2018.17075::C007",'C_jama.2018.17075'!$A$2:$A$9,0))="statistical_results"),IF(INDEX('C_jama.2018.17075'!$H$2:$H$9,MATCH("2018::jama.2018.17075::C007",'C_jama.2018.17075'!$A$2:$A$9,0))="","",INDEX('C_jama.2018.17075'!$H$2:$H$9,MATCH("2018::jama.2018.17075::C007",'C_jama.2018.17075'!$A$2:$A$9,0))),"not_applicable"),"NOT FROZEN")</x:f>
        <x:v>not_applicable</x:v>
      </x:c>
      <x:c r="E80" s="6" t="str">
        <x:f>IF(Setup!$B$6="primary",IF(AND(INDEX('C_jama.2018.17075'!$D$2:$D$9,MATCH("2018::jama.2018.17075::C007",'C_jama.2018.17075'!$A$2:$A$9,0))="retain",INDEX('C_jama.2018.17075'!$E$2:$E$9,MATCH("2018::jama.2018.17075::C007",'C_jama.2018.17075'!$A$2:$A$9,0))="statistical_results"),IF(INDEX('C_jama.2018.17075'!$I$2:$I$9,MATCH("2018::jama.2018.17075::C007",'C_jama.2018.17075'!$A$2:$A$9,0))="","",INDEX('C_jama.2018.17075'!$I$2:$I$9,MATCH("2018::jama.2018.17075::C007",'C_jama.2018.17075'!$A$2:$A$9,0))),"not_applicable"),"NOT FROZEN")</x:f>
        <x:v>not_applicable</x:v>
      </x:c>
      <x:c r="F80" s="6" t="str">
        <x:f>IF(Setup!$B$6="primary",IF(AND(INDEX('C_jama.2018.17075'!$D$2:$D$9,MATCH("2018::jama.2018.17075::C007",'C_jama.2018.17075'!$A$2:$A$9,0))="retain",INDEX('C_jama.2018.17075'!$E$2:$E$9,MATCH("2018::jama.2018.17075::C007",'C_jama.2018.17075'!$A$2:$A$9,0))="statistical_results"),IF(INDEX('C_jama.2018.17075'!$J$2:$J$9,MATCH("2018::jama.2018.17075::C007",'C_jama.2018.17075'!$A$2:$A$9,0))="","",INDEX('C_jama.2018.17075'!$J$2:$J$9,MATCH("2018::jama.2018.17075::C007",'C_jama.2018.17075'!$A$2:$A$9,0))),"not_applicable"),"NOT FROZEN")</x:f>
        <x:v>not_applicable</x:v>
      </x:c>
      <x:c r="G80" s="6" t="str">
        <x:f>IF(Setup!$B$6="primary",IF(AND(INDEX('C_jama.2018.17075'!$D$2:$D$9,MATCH("2018::jama.2018.17075::C007",'C_jama.2018.17075'!$A$2:$A$9,0))="retain",OR(INDEX('C_jama.2018.17075'!$E$2:$E$9,MATCH("2018::jama.2018.17075::C007",'C_jama.2018.17075'!$A$2:$A$9,0))="report_internal_inconsistency",INDEX('C_jama.2018.17075'!$E$2:$E$9,MATCH("2018::jama.2018.17075::C007",'C_jama.2018.17075'!$A$2:$A$9,0))="plan_material")),IF(INDEX('C_jama.2018.17075'!$K$2:$K$9,MATCH("2018::jama.2018.17075::C007",'C_jama.2018.17075'!$A$2:$A$9,0))="","",INDEX('C_jama.2018.17075'!$K$2:$K$9,MATCH("2018::jama.2018.17075::C007",'C_jama.2018.17075'!$A$2:$A$9,0))),"not_applicable"),"NOT FROZEN")</x:f>
        <x:v>not_applicable</x:v>
      </x:c>
      <x:c r="H80" s="6" t="str">
        <x:f>IF(Setup!$B$6="primary",IF(AND(INDEX('C_jama.2018.17075'!$D$2:$D$9,MATCH("2018::jama.2018.17075::C007",'C_jama.2018.17075'!$A$2:$A$9,0))="retain",INDEX('C_jama.2018.17075'!$E$2:$E$9,MATCH("2018::jama.2018.17075::C007",'C_jama.2018.17075'!$A$2:$A$9,0))="protocol_report"),IF(INDEX('C_jama.2018.17075'!$L$2:$L$9,MATCH("2018::jama.2018.17075::C007",'C_jama.2018.17075'!$A$2:$A$9,0))="","",INDEX('C_jama.2018.17075'!$L$2:$L$9,MATCH("2018::jama.2018.17075::C007",'C_jama.2018.17075'!$A$2:$A$9,0))),"not_applicable"),"NOT FROZEN")</x:f>
        <x:v>not_applicable</x:v>
      </x:c>
      <x:c r="I80" s="6" t="str">
        <x:f>IF(Setup!$B$6="primary",IF(INDEX('C_jama.2018.17075'!$R$2:$R$9,MATCH("2018::jama.2018.17075::C007",'C_jama.2018.17075'!$A$2:$A$9,0))="","",INDEX('C_jama.2018.17075'!$R$2:$R$9,MATCH("2018::jama.2018.17075::C007",'C_jama.2018.17075'!$A$2:$A$9,0))),"NOT FROZEN")</x:f>
      </x:c>
      <x:c r="J80" s="6" t="str">
        <x:f>IF(Setup!$B$6="primary",INDEX('C_jama.2018.17075'!$F$2:$F$9,MATCH("2018::jama.2018.17075::C007",'C_jama.2018.17075'!$A$2:$A$9,0)),"NOT FROZEN")</x:f>
        <x:v>no</x:v>
      </x:c>
      <x:c r="K80" s="6" t="str">
        <x:f>IF(Setup!$B$6="primary",Setup!$B$2,"NOT FROZEN")</x:f>
      </x:c>
      <x:c r="L80" s="6" t="str">
        <x:f>IF(Setup!$B$6="primary",IF(OR(B80="",B80="not_applicable"),"","Disposition: "&amp;B80&amp;CHAR(10))&amp;IF(OR(C80="",C80="not_applicable"),"","Review domain: "&amp;C80&amp;CHAR(10))&amp;IF(OR(D80="",D80="not_applicable"),"","Statistcal_or_numerical issue: "&amp;D80&amp;CHAR(10))&amp;IF(OR(E80="",E80="not_applicable"),"","Substantiveness: "&amp;E80&amp;CHAR(10))&amp;IF(OR(F80="",F80="not_applicable"),"","Downstream impact: "&amp;F80&amp;CHAR(10))&amp;IF(OR(G80="",G80="not_applicable"),"","Report-internal or planning-material inconsistency: "&amp;G80&amp;CHAR(10))&amp;IF(OR(H80="",H80="not_applicable"),"","Protocol interpretation: "&amp;H80&amp;CHAR(10))&amp;IF(OR(I80="",I80="not_applicable"),"","Notes (optional): "&amp;I80&amp;CHAR(10)),"NOT FROZEN")</x:f>
        <x:v>Review domain: statistical_results
</x:v>
      </x:c>
    </x:row>
    <x:row r="81" ht="70" customHeight="1">
      <x:c r="A81" s="3" t="str">
        <x:f>IF(Setup!$B$6="primary","2018::jama.2018.17075::C008","NOT FROZEN")</x:f>
        <x:v>2018::jama.2018.17075::C008</x:v>
      </x:c>
      <x:c r="B81" s="3" t="str">
        <x:f>IF(Setup!$B$6="primary",IF(INDEX('C_jama.2018.17075'!$D$2:$D$9,MATCH("2018::jama.2018.17075::C008",'C_jama.2018.17075'!$A$2:$A$9,0))="","",INDEX('C_jama.2018.17075'!$D$2:$D$9,MATCH("2018::jama.2018.17075::C008",'C_jama.2018.17075'!$A$2:$A$9,0))),"NOT FROZEN")</x:f>
      </x:c>
      <x:c r="C81" s="3" t="str">
        <x:f>IF(Setup!$B$6="primary",IF(INDEX('C_jama.2018.17075'!$E$2:$E$9,MATCH("2018::jama.2018.17075::C008",'C_jama.2018.17075'!$A$2:$A$9,0))="","",INDEX('C_jama.2018.17075'!$E$2:$E$9,MATCH("2018::jama.2018.17075::C008",'C_jama.2018.17075'!$A$2:$A$9,0))),"NOT FROZEN")</x:f>
        <x:v>statistical_results</x:v>
      </x:c>
      <x:c r="D81" s="3" t="str">
        <x:f>IF(Setup!$B$6="primary",IF(AND(INDEX('C_jama.2018.17075'!$D$2:$D$9,MATCH("2018::jama.2018.17075::C008",'C_jama.2018.17075'!$A$2:$A$9,0))="retain",INDEX('C_jama.2018.17075'!$E$2:$E$9,MATCH("2018::jama.2018.17075::C008",'C_jama.2018.17075'!$A$2:$A$9,0))="statistical_results"),IF(INDEX('C_jama.2018.17075'!$H$2:$H$9,MATCH("2018::jama.2018.17075::C008",'C_jama.2018.17075'!$A$2:$A$9,0))="","",INDEX('C_jama.2018.17075'!$H$2:$H$9,MATCH("2018::jama.2018.17075::C008",'C_jama.2018.17075'!$A$2:$A$9,0))),"not_applicable"),"NOT FROZEN")</x:f>
        <x:v>not_applicable</x:v>
      </x:c>
      <x:c r="E81" s="3" t="str">
        <x:f>IF(Setup!$B$6="primary",IF(AND(INDEX('C_jama.2018.17075'!$D$2:$D$9,MATCH("2018::jama.2018.17075::C008",'C_jama.2018.17075'!$A$2:$A$9,0))="retain",INDEX('C_jama.2018.17075'!$E$2:$E$9,MATCH("2018::jama.2018.17075::C008",'C_jama.2018.17075'!$A$2:$A$9,0))="statistical_results"),IF(INDEX('C_jama.2018.17075'!$I$2:$I$9,MATCH("2018::jama.2018.17075::C008",'C_jama.2018.17075'!$A$2:$A$9,0))="","",INDEX('C_jama.2018.17075'!$I$2:$I$9,MATCH("2018::jama.2018.17075::C008",'C_jama.2018.17075'!$A$2:$A$9,0))),"not_applicable"),"NOT FROZEN")</x:f>
        <x:v>not_applicable</x:v>
      </x:c>
      <x:c r="F81" s="3" t="str">
        <x:f>IF(Setup!$B$6="primary",IF(AND(INDEX('C_jama.2018.17075'!$D$2:$D$9,MATCH("2018::jama.2018.17075::C008",'C_jama.2018.17075'!$A$2:$A$9,0))="retain",INDEX('C_jama.2018.17075'!$E$2:$E$9,MATCH("2018::jama.2018.17075::C008",'C_jama.2018.17075'!$A$2:$A$9,0))="statistical_results"),IF(INDEX('C_jama.2018.17075'!$J$2:$J$9,MATCH("2018::jama.2018.17075::C008",'C_jama.2018.17075'!$A$2:$A$9,0))="","",INDEX('C_jama.2018.17075'!$J$2:$J$9,MATCH("2018::jama.2018.17075::C008",'C_jama.2018.17075'!$A$2:$A$9,0))),"not_applicable"),"NOT FROZEN")</x:f>
        <x:v>not_applicable</x:v>
      </x:c>
      <x:c r="G81" s="3" t="str">
        <x:f>IF(Setup!$B$6="primary",IF(AND(INDEX('C_jama.2018.17075'!$D$2:$D$9,MATCH("2018::jama.2018.17075::C008",'C_jama.2018.17075'!$A$2:$A$9,0))="retain",OR(INDEX('C_jama.2018.17075'!$E$2:$E$9,MATCH("2018::jama.2018.17075::C008",'C_jama.2018.17075'!$A$2:$A$9,0))="report_internal_inconsistency",INDEX('C_jama.2018.17075'!$E$2:$E$9,MATCH("2018::jama.2018.17075::C008",'C_jama.2018.17075'!$A$2:$A$9,0))="plan_material")),IF(INDEX('C_jama.2018.17075'!$K$2:$K$9,MATCH("2018::jama.2018.17075::C008",'C_jama.2018.17075'!$A$2:$A$9,0))="","",INDEX('C_jama.2018.17075'!$K$2:$K$9,MATCH("2018::jama.2018.17075::C008",'C_jama.2018.17075'!$A$2:$A$9,0))),"not_applicable"),"NOT FROZEN")</x:f>
        <x:v>not_applicable</x:v>
      </x:c>
      <x:c r="H81" s="3" t="str">
        <x:f>IF(Setup!$B$6="primary",IF(AND(INDEX('C_jama.2018.17075'!$D$2:$D$9,MATCH("2018::jama.2018.17075::C008",'C_jama.2018.17075'!$A$2:$A$9,0))="retain",INDEX('C_jama.2018.17075'!$E$2:$E$9,MATCH("2018::jama.2018.17075::C008",'C_jama.2018.17075'!$A$2:$A$9,0))="protocol_report"),IF(INDEX('C_jama.2018.17075'!$L$2:$L$9,MATCH("2018::jama.2018.17075::C008",'C_jama.2018.17075'!$A$2:$A$9,0))="","",INDEX('C_jama.2018.17075'!$L$2:$L$9,MATCH("2018::jama.2018.17075::C008",'C_jama.2018.17075'!$A$2:$A$9,0))),"not_applicable"),"NOT FROZEN")</x:f>
        <x:v>not_applicable</x:v>
      </x:c>
      <x:c r="I81" s="3" t="str">
        <x:f>IF(Setup!$B$6="primary",IF(INDEX('C_jama.2018.17075'!$R$2:$R$9,MATCH("2018::jama.2018.17075::C008",'C_jama.2018.17075'!$A$2:$A$9,0))="","",INDEX('C_jama.2018.17075'!$R$2:$R$9,MATCH("2018::jama.2018.17075::C008",'C_jama.2018.17075'!$A$2:$A$9,0))),"NOT FROZEN")</x:f>
      </x:c>
      <x:c r="J81" s="3" t="str">
        <x:f>IF(Setup!$B$6="primary",INDEX('C_jama.2018.17075'!$F$2:$F$9,MATCH("2018::jama.2018.17075::C008",'C_jama.2018.17075'!$A$2:$A$9,0)),"NOT FROZEN")</x:f>
        <x:v>no</x:v>
      </x:c>
      <x:c r="K81" s="3" t="str">
        <x:f>IF(Setup!$B$6="primary",Setup!$B$2,"NOT FROZEN")</x:f>
      </x:c>
      <x:c r="L81" s="3" t="str">
        <x:f>IF(Setup!$B$6="primary",IF(OR(B81="",B81="not_applicable"),"","Disposition: "&amp;B81&amp;CHAR(10))&amp;IF(OR(C81="",C81="not_applicable"),"","Review domain: "&amp;C81&amp;CHAR(10))&amp;IF(OR(D81="",D81="not_applicable"),"","Statistcal_or_numerical issue: "&amp;D81&amp;CHAR(10))&amp;IF(OR(E81="",E81="not_applicable"),"","Substantiveness: "&amp;E81&amp;CHAR(10))&amp;IF(OR(F81="",F81="not_applicable"),"","Downstream impact: "&amp;F81&amp;CHAR(10))&amp;IF(OR(G81="",G81="not_applicable"),"","Report-internal or planning-material inconsistency: "&amp;G81&amp;CHAR(10))&amp;IF(OR(H81="",H81="not_applicable"),"","Protocol interpretation: "&amp;H81&amp;CHAR(10))&amp;IF(OR(I81="",I81="not_applicable"),"","Notes (optional): "&amp;I81&amp;CHAR(10)),"NOT FROZEN")</x:f>
        <x:v>Review domain: statistical_results
</x:v>
      </x:c>
    </x:row>
    <x:row r="82" ht="70" customHeight="1">
      <x:c r="A82" s="6" t="str">
        <x:f>IF(Setup!$B$6="primary","2018::jama.2018.18020::C001","NOT FROZEN")</x:f>
        <x:v>2018::jama.2018.18020::C001</x:v>
      </x:c>
      <x:c r="B82" s="6" t="str">
        <x:f>IF(Setup!$B$6="primary",IF(INDEX('C_jama.2018.18020'!$D$2:$D$15,MATCH("2018::jama.2018.18020::C001",'C_jama.2018.18020'!$A$2:$A$15,0))="","",INDEX('C_jama.2018.18020'!$D$2:$D$15,MATCH("2018::jama.2018.18020::C001",'C_jama.2018.18020'!$A$2:$A$15,0))),"NOT FROZEN")</x:f>
      </x:c>
      <x:c r="C82" s="6" t="str">
        <x:f>IF(Setup!$B$6="primary",IF(INDEX('C_jama.2018.18020'!$E$2:$E$15,MATCH("2018::jama.2018.18020::C001",'C_jama.2018.18020'!$A$2:$A$15,0))="","",INDEX('C_jama.2018.18020'!$E$2:$E$15,MATCH("2018::jama.2018.18020::C001",'C_jama.2018.18020'!$A$2:$A$15,0))),"NOT FROZEN")</x:f>
        <x:v>statistical_results</x:v>
      </x:c>
      <x:c r="D82" s="6" t="str">
        <x:f>IF(Setup!$B$6="primary",IF(AND(INDEX('C_jama.2018.18020'!$D$2:$D$15,MATCH("2018::jama.2018.18020::C001",'C_jama.2018.18020'!$A$2:$A$15,0))="retain",INDEX('C_jama.2018.18020'!$E$2:$E$15,MATCH("2018::jama.2018.18020::C001",'C_jama.2018.18020'!$A$2:$A$15,0))="statistical_results"),IF(INDEX('C_jama.2018.18020'!$H$2:$H$15,MATCH("2018::jama.2018.18020::C001",'C_jama.2018.18020'!$A$2:$A$15,0))="","",INDEX('C_jama.2018.18020'!$H$2:$H$15,MATCH("2018::jama.2018.18020::C001",'C_jama.2018.18020'!$A$2:$A$15,0))),"not_applicable"),"NOT FROZEN")</x:f>
        <x:v>not_applicable</x:v>
      </x:c>
      <x:c r="E82" s="6" t="str">
        <x:f>IF(Setup!$B$6="primary",IF(AND(INDEX('C_jama.2018.18020'!$D$2:$D$15,MATCH("2018::jama.2018.18020::C001",'C_jama.2018.18020'!$A$2:$A$15,0))="retain",INDEX('C_jama.2018.18020'!$E$2:$E$15,MATCH("2018::jama.2018.18020::C001",'C_jama.2018.18020'!$A$2:$A$15,0))="statistical_results"),IF(INDEX('C_jama.2018.18020'!$I$2:$I$15,MATCH("2018::jama.2018.18020::C001",'C_jama.2018.18020'!$A$2:$A$15,0))="","",INDEX('C_jama.2018.18020'!$I$2:$I$15,MATCH("2018::jama.2018.18020::C001",'C_jama.2018.18020'!$A$2:$A$15,0))),"not_applicable"),"NOT FROZEN")</x:f>
        <x:v>not_applicable</x:v>
      </x:c>
      <x:c r="F82" s="6" t="str">
        <x:f>IF(Setup!$B$6="primary",IF(AND(INDEX('C_jama.2018.18020'!$D$2:$D$15,MATCH("2018::jama.2018.18020::C001",'C_jama.2018.18020'!$A$2:$A$15,0))="retain",INDEX('C_jama.2018.18020'!$E$2:$E$15,MATCH("2018::jama.2018.18020::C001",'C_jama.2018.18020'!$A$2:$A$15,0))="statistical_results"),IF(INDEX('C_jama.2018.18020'!$J$2:$J$15,MATCH("2018::jama.2018.18020::C001",'C_jama.2018.18020'!$A$2:$A$15,0))="","",INDEX('C_jama.2018.18020'!$J$2:$J$15,MATCH("2018::jama.2018.18020::C001",'C_jama.2018.18020'!$A$2:$A$15,0))),"not_applicable"),"NOT FROZEN")</x:f>
        <x:v>not_applicable</x:v>
      </x:c>
      <x:c r="G82" s="6" t="str">
        <x:f>IF(Setup!$B$6="primary",IF(AND(INDEX('C_jama.2018.18020'!$D$2:$D$15,MATCH("2018::jama.2018.18020::C001",'C_jama.2018.18020'!$A$2:$A$15,0))="retain",OR(INDEX('C_jama.2018.18020'!$E$2:$E$15,MATCH("2018::jama.2018.18020::C001",'C_jama.2018.18020'!$A$2:$A$15,0))="report_internal_inconsistency",INDEX('C_jama.2018.18020'!$E$2:$E$15,MATCH("2018::jama.2018.18020::C001",'C_jama.2018.18020'!$A$2:$A$15,0))="plan_material")),IF(INDEX('C_jama.2018.18020'!$K$2:$K$15,MATCH("2018::jama.2018.18020::C001",'C_jama.2018.18020'!$A$2:$A$15,0))="","",INDEX('C_jama.2018.18020'!$K$2:$K$15,MATCH("2018::jama.2018.18020::C001",'C_jama.2018.18020'!$A$2:$A$15,0))),"not_applicable"),"NOT FROZEN")</x:f>
        <x:v>not_applicable</x:v>
      </x:c>
      <x:c r="H82" s="6" t="str">
        <x:f>IF(Setup!$B$6="primary",IF(AND(INDEX('C_jama.2018.18020'!$D$2:$D$15,MATCH("2018::jama.2018.18020::C001",'C_jama.2018.18020'!$A$2:$A$15,0))="retain",INDEX('C_jama.2018.18020'!$E$2:$E$15,MATCH("2018::jama.2018.18020::C001",'C_jama.2018.18020'!$A$2:$A$15,0))="protocol_report"),IF(INDEX('C_jama.2018.18020'!$L$2:$L$15,MATCH("2018::jama.2018.18020::C001",'C_jama.2018.18020'!$A$2:$A$15,0))="","",INDEX('C_jama.2018.18020'!$L$2:$L$15,MATCH("2018::jama.2018.18020::C001",'C_jama.2018.18020'!$A$2:$A$15,0))),"not_applicable"),"NOT FROZEN")</x:f>
        <x:v>not_applicable</x:v>
      </x:c>
      <x:c r="I82" s="6" t="str">
        <x:f>IF(Setup!$B$6="primary",IF(INDEX('C_jama.2018.18020'!$R$2:$R$15,MATCH("2018::jama.2018.18020::C001",'C_jama.2018.18020'!$A$2:$A$15,0))="","",INDEX('C_jama.2018.18020'!$R$2:$R$15,MATCH("2018::jama.2018.18020::C001",'C_jama.2018.18020'!$A$2:$A$15,0))),"NOT FROZEN")</x:f>
      </x:c>
      <x:c r="J82" s="6" t="str">
        <x:f>IF(Setup!$B$6="primary",INDEX('C_jama.2018.18020'!$F$2:$F$15,MATCH("2018::jama.2018.18020::C001",'C_jama.2018.18020'!$A$2:$A$15,0)),"NOT FROZEN")</x:f>
        <x:v>no</x:v>
      </x:c>
      <x:c r="K82" s="6" t="str">
        <x:f>IF(Setup!$B$6="primary",Setup!$B$2,"NOT FROZEN")</x:f>
      </x:c>
      <x:c r="L82" s="6" t="str">
        <x:f>IF(Setup!$B$6="primary",IF(OR(B82="",B82="not_applicable"),"","Disposition: "&amp;B82&amp;CHAR(10))&amp;IF(OR(C82="",C82="not_applicable"),"","Review domain: "&amp;C82&amp;CHAR(10))&amp;IF(OR(D82="",D82="not_applicable"),"","Statistcal_or_numerical issue: "&amp;D82&amp;CHAR(10))&amp;IF(OR(E82="",E82="not_applicable"),"","Substantiveness: "&amp;E82&amp;CHAR(10))&amp;IF(OR(F82="",F82="not_applicable"),"","Downstream impact: "&amp;F82&amp;CHAR(10))&amp;IF(OR(G82="",G82="not_applicable"),"","Report-internal or planning-material inconsistency: "&amp;G82&amp;CHAR(10))&amp;IF(OR(H82="",H82="not_applicable"),"","Protocol interpretation: "&amp;H82&amp;CHAR(10))&amp;IF(OR(I82="",I82="not_applicable"),"","Notes (optional): "&amp;I82&amp;CHAR(10)),"NOT FROZEN")</x:f>
        <x:v>Review domain: statistical_results
</x:v>
      </x:c>
    </x:row>
    <x:row r="83" ht="70" customHeight="1">
      <x:c r="A83" s="3" t="str">
        <x:f>IF(Setup!$B$6="primary","2018::jama.2018.18020::C002","NOT FROZEN")</x:f>
        <x:v>2018::jama.2018.18020::C002</x:v>
      </x:c>
      <x:c r="B83" s="3" t="str">
        <x:f>IF(Setup!$B$6="primary",IF(INDEX('C_jama.2018.18020'!$D$2:$D$15,MATCH("2018::jama.2018.18020::C002",'C_jama.2018.18020'!$A$2:$A$15,0))="","",INDEX('C_jama.2018.18020'!$D$2:$D$15,MATCH("2018::jama.2018.18020::C002",'C_jama.2018.18020'!$A$2:$A$15,0))),"NOT FROZEN")</x:f>
      </x:c>
      <x:c r="C83" s="3" t="str">
        <x:f>IF(Setup!$B$6="primary",IF(INDEX('C_jama.2018.18020'!$E$2:$E$15,MATCH("2018::jama.2018.18020::C002",'C_jama.2018.18020'!$A$2:$A$15,0))="","",INDEX('C_jama.2018.18020'!$E$2:$E$15,MATCH("2018::jama.2018.18020::C002",'C_jama.2018.18020'!$A$2:$A$15,0))),"NOT FROZEN")</x:f>
        <x:v>report_internal_inconsistency</x:v>
      </x:c>
      <x:c r="D83" s="3" t="str">
        <x:f>IF(Setup!$B$6="primary",IF(AND(INDEX('C_jama.2018.18020'!$D$2:$D$15,MATCH("2018::jama.2018.18020::C002",'C_jama.2018.18020'!$A$2:$A$15,0))="retain",INDEX('C_jama.2018.18020'!$E$2:$E$15,MATCH("2018::jama.2018.18020::C002",'C_jama.2018.18020'!$A$2:$A$15,0))="statistical_results"),IF(INDEX('C_jama.2018.18020'!$H$2:$H$15,MATCH("2018::jama.2018.18020::C002",'C_jama.2018.18020'!$A$2:$A$15,0))="","",INDEX('C_jama.2018.18020'!$H$2:$H$15,MATCH("2018::jama.2018.18020::C002",'C_jama.2018.18020'!$A$2:$A$15,0))),"not_applicable"),"NOT FROZEN")</x:f>
        <x:v>not_applicable</x:v>
      </x:c>
      <x:c r="E83" s="3" t="str">
        <x:f>IF(Setup!$B$6="primary",IF(AND(INDEX('C_jama.2018.18020'!$D$2:$D$15,MATCH("2018::jama.2018.18020::C002",'C_jama.2018.18020'!$A$2:$A$15,0))="retain",INDEX('C_jama.2018.18020'!$E$2:$E$15,MATCH("2018::jama.2018.18020::C002",'C_jama.2018.18020'!$A$2:$A$15,0))="statistical_results"),IF(INDEX('C_jama.2018.18020'!$I$2:$I$15,MATCH("2018::jama.2018.18020::C002",'C_jama.2018.18020'!$A$2:$A$15,0))="","",INDEX('C_jama.2018.18020'!$I$2:$I$15,MATCH("2018::jama.2018.18020::C002",'C_jama.2018.18020'!$A$2:$A$15,0))),"not_applicable"),"NOT FROZEN")</x:f>
        <x:v>not_applicable</x:v>
      </x:c>
      <x:c r="F83" s="3" t="str">
        <x:f>IF(Setup!$B$6="primary",IF(AND(INDEX('C_jama.2018.18020'!$D$2:$D$15,MATCH("2018::jama.2018.18020::C002",'C_jama.2018.18020'!$A$2:$A$15,0))="retain",INDEX('C_jama.2018.18020'!$E$2:$E$15,MATCH("2018::jama.2018.18020::C002",'C_jama.2018.18020'!$A$2:$A$15,0))="statistical_results"),IF(INDEX('C_jama.2018.18020'!$J$2:$J$15,MATCH("2018::jama.2018.18020::C002",'C_jama.2018.18020'!$A$2:$A$15,0))="","",INDEX('C_jama.2018.18020'!$J$2:$J$15,MATCH("2018::jama.2018.18020::C002",'C_jama.2018.18020'!$A$2:$A$15,0))),"not_applicable"),"NOT FROZEN")</x:f>
        <x:v>not_applicable</x:v>
      </x:c>
      <x:c r="G83" s="3" t="str">
        <x:f>IF(Setup!$B$6="primary",IF(AND(INDEX('C_jama.2018.18020'!$D$2:$D$15,MATCH("2018::jama.2018.18020::C002",'C_jama.2018.18020'!$A$2:$A$15,0))="retain",OR(INDEX('C_jama.2018.18020'!$E$2:$E$15,MATCH("2018::jama.2018.18020::C002",'C_jama.2018.18020'!$A$2:$A$15,0))="report_internal_inconsistency",INDEX('C_jama.2018.18020'!$E$2:$E$15,MATCH("2018::jama.2018.18020::C002",'C_jama.2018.18020'!$A$2:$A$15,0))="plan_material")),IF(INDEX('C_jama.2018.18020'!$K$2:$K$15,MATCH("2018::jama.2018.18020::C002",'C_jama.2018.18020'!$A$2:$A$15,0))="","",INDEX('C_jama.2018.18020'!$K$2:$K$15,MATCH("2018::jama.2018.18020::C002",'C_jama.2018.18020'!$A$2:$A$15,0))),"not_applicable"),"NOT FROZEN")</x:f>
        <x:v>not_applicable</x:v>
      </x:c>
      <x:c r="H83" s="3" t="str">
        <x:f>IF(Setup!$B$6="primary",IF(AND(INDEX('C_jama.2018.18020'!$D$2:$D$15,MATCH("2018::jama.2018.18020::C002",'C_jama.2018.18020'!$A$2:$A$15,0))="retain",INDEX('C_jama.2018.18020'!$E$2:$E$15,MATCH("2018::jama.2018.18020::C002",'C_jama.2018.18020'!$A$2:$A$15,0))="protocol_report"),IF(INDEX('C_jama.2018.18020'!$L$2:$L$15,MATCH("2018::jama.2018.18020::C002",'C_jama.2018.18020'!$A$2:$A$15,0))="","",INDEX('C_jama.2018.18020'!$L$2:$L$15,MATCH("2018::jama.2018.18020::C002",'C_jama.2018.18020'!$A$2:$A$15,0))),"not_applicable"),"NOT FROZEN")</x:f>
        <x:v>not_applicable</x:v>
      </x:c>
      <x:c r="I83" s="3" t="str">
        <x:f>IF(Setup!$B$6="primary",IF(INDEX('C_jama.2018.18020'!$R$2:$R$15,MATCH("2018::jama.2018.18020::C002",'C_jama.2018.18020'!$A$2:$A$15,0))="","",INDEX('C_jama.2018.18020'!$R$2:$R$15,MATCH("2018::jama.2018.18020::C002",'C_jama.2018.18020'!$A$2:$A$15,0))),"NOT FROZEN")</x:f>
      </x:c>
      <x:c r="J83" s="3" t="str">
        <x:f>IF(Setup!$B$6="primary",INDEX('C_jama.2018.18020'!$F$2:$F$15,MATCH("2018::jama.2018.18020::C002",'C_jama.2018.18020'!$A$2:$A$15,0)),"NOT FROZEN")</x:f>
        <x:v>no</x:v>
      </x:c>
      <x:c r="K83" s="3" t="str">
        <x:f>IF(Setup!$B$6="primary",Setup!$B$2,"NOT FROZEN")</x:f>
      </x:c>
      <x:c r="L83" s="3" t="str">
        <x:f>IF(Setup!$B$6="primary",IF(OR(B83="",B83="not_applicable"),"","Disposition: "&amp;B83&amp;CHAR(10))&amp;IF(OR(C83="",C83="not_applicable"),"","Review domain: "&amp;C83&amp;CHAR(10))&amp;IF(OR(D83="",D83="not_applicable"),"","Statistcal_or_numerical issue: "&amp;D83&amp;CHAR(10))&amp;IF(OR(E83="",E83="not_applicable"),"","Substantiveness: "&amp;E83&amp;CHAR(10))&amp;IF(OR(F83="",F83="not_applicable"),"","Downstream impact: "&amp;F83&amp;CHAR(10))&amp;IF(OR(G83="",G83="not_applicable"),"","Report-internal or planning-material inconsistency: "&amp;G83&amp;CHAR(10))&amp;IF(OR(H83="",H83="not_applicable"),"","Protocol interpretation: "&amp;H83&amp;CHAR(10))&amp;IF(OR(I83="",I83="not_applicable"),"","Notes (optional): "&amp;I83&amp;CHAR(10)),"NOT FROZEN")</x:f>
        <x:v>Review domain: report_internal_inconsistency
</x:v>
      </x:c>
    </x:row>
    <x:row r="84" ht="70" customHeight="1">
      <x:c r="A84" s="6" t="str">
        <x:f>IF(Setup!$B$6="primary","2018::jama.2018.18020::C003","NOT FROZEN")</x:f>
        <x:v>2018::jama.2018.18020::C003</x:v>
      </x:c>
      <x:c r="B84" s="6" t="str">
        <x:f>IF(Setup!$B$6="primary",IF(INDEX('C_jama.2018.18020'!$D$2:$D$15,MATCH("2018::jama.2018.18020::C003",'C_jama.2018.18020'!$A$2:$A$15,0))="","",INDEX('C_jama.2018.18020'!$D$2:$D$15,MATCH("2018::jama.2018.18020::C003",'C_jama.2018.18020'!$A$2:$A$15,0))),"NOT FROZEN")</x:f>
      </x:c>
      <x:c r="C84" s="6" t="str">
        <x:f>IF(Setup!$B$6="primary",IF(INDEX('C_jama.2018.18020'!$E$2:$E$15,MATCH("2018::jama.2018.18020::C003",'C_jama.2018.18020'!$A$2:$A$15,0))="","",INDEX('C_jama.2018.18020'!$E$2:$E$15,MATCH("2018::jama.2018.18020::C003",'C_jama.2018.18020'!$A$2:$A$15,0))),"NOT FROZEN")</x:f>
        <x:v>report_internal_inconsistency</x:v>
      </x:c>
      <x:c r="D84" s="6" t="str">
        <x:f>IF(Setup!$B$6="primary",IF(AND(INDEX('C_jama.2018.18020'!$D$2:$D$15,MATCH("2018::jama.2018.18020::C003",'C_jama.2018.18020'!$A$2:$A$15,0))="retain",INDEX('C_jama.2018.18020'!$E$2:$E$15,MATCH("2018::jama.2018.18020::C003",'C_jama.2018.18020'!$A$2:$A$15,0))="statistical_results"),IF(INDEX('C_jama.2018.18020'!$H$2:$H$15,MATCH("2018::jama.2018.18020::C003",'C_jama.2018.18020'!$A$2:$A$15,0))="","",INDEX('C_jama.2018.18020'!$H$2:$H$15,MATCH("2018::jama.2018.18020::C003",'C_jama.2018.18020'!$A$2:$A$15,0))),"not_applicable"),"NOT FROZEN")</x:f>
        <x:v>not_applicable</x:v>
      </x:c>
      <x:c r="E84" s="6" t="str">
        <x:f>IF(Setup!$B$6="primary",IF(AND(INDEX('C_jama.2018.18020'!$D$2:$D$15,MATCH("2018::jama.2018.18020::C003",'C_jama.2018.18020'!$A$2:$A$15,0))="retain",INDEX('C_jama.2018.18020'!$E$2:$E$15,MATCH("2018::jama.2018.18020::C003",'C_jama.2018.18020'!$A$2:$A$15,0))="statistical_results"),IF(INDEX('C_jama.2018.18020'!$I$2:$I$15,MATCH("2018::jama.2018.18020::C003",'C_jama.2018.18020'!$A$2:$A$15,0))="","",INDEX('C_jama.2018.18020'!$I$2:$I$15,MATCH("2018::jama.2018.18020::C003",'C_jama.2018.18020'!$A$2:$A$15,0))),"not_applicable"),"NOT FROZEN")</x:f>
        <x:v>not_applicable</x:v>
      </x:c>
      <x:c r="F84" s="6" t="str">
        <x:f>IF(Setup!$B$6="primary",IF(AND(INDEX('C_jama.2018.18020'!$D$2:$D$15,MATCH("2018::jama.2018.18020::C003",'C_jama.2018.18020'!$A$2:$A$15,0))="retain",INDEX('C_jama.2018.18020'!$E$2:$E$15,MATCH("2018::jama.2018.18020::C003",'C_jama.2018.18020'!$A$2:$A$15,0))="statistical_results"),IF(INDEX('C_jama.2018.18020'!$J$2:$J$15,MATCH("2018::jama.2018.18020::C003",'C_jama.2018.18020'!$A$2:$A$15,0))="","",INDEX('C_jama.2018.18020'!$J$2:$J$15,MATCH("2018::jama.2018.18020::C003",'C_jama.2018.18020'!$A$2:$A$15,0))),"not_applicable"),"NOT FROZEN")</x:f>
        <x:v>not_applicable</x:v>
      </x:c>
      <x:c r="G84" s="6" t="str">
        <x:f>IF(Setup!$B$6="primary",IF(AND(INDEX('C_jama.2018.18020'!$D$2:$D$15,MATCH("2018::jama.2018.18020::C003",'C_jama.2018.18020'!$A$2:$A$15,0))="retain",OR(INDEX('C_jama.2018.18020'!$E$2:$E$15,MATCH("2018::jama.2018.18020::C003",'C_jama.2018.18020'!$A$2:$A$15,0))="report_internal_inconsistency",INDEX('C_jama.2018.18020'!$E$2:$E$15,MATCH("2018::jama.2018.18020::C003",'C_jama.2018.18020'!$A$2:$A$15,0))="plan_material")),IF(INDEX('C_jama.2018.18020'!$K$2:$K$15,MATCH("2018::jama.2018.18020::C003",'C_jama.2018.18020'!$A$2:$A$15,0))="","",INDEX('C_jama.2018.18020'!$K$2:$K$15,MATCH("2018::jama.2018.18020::C003",'C_jama.2018.18020'!$A$2:$A$15,0))),"not_applicable"),"NOT FROZEN")</x:f>
        <x:v>not_applicable</x:v>
      </x:c>
      <x:c r="H84" s="6" t="str">
        <x:f>IF(Setup!$B$6="primary",IF(AND(INDEX('C_jama.2018.18020'!$D$2:$D$15,MATCH("2018::jama.2018.18020::C003",'C_jama.2018.18020'!$A$2:$A$15,0))="retain",INDEX('C_jama.2018.18020'!$E$2:$E$15,MATCH("2018::jama.2018.18020::C003",'C_jama.2018.18020'!$A$2:$A$15,0))="protocol_report"),IF(INDEX('C_jama.2018.18020'!$L$2:$L$15,MATCH("2018::jama.2018.18020::C003",'C_jama.2018.18020'!$A$2:$A$15,0))="","",INDEX('C_jama.2018.18020'!$L$2:$L$15,MATCH("2018::jama.2018.18020::C003",'C_jama.2018.18020'!$A$2:$A$15,0))),"not_applicable"),"NOT FROZEN")</x:f>
        <x:v>not_applicable</x:v>
      </x:c>
      <x:c r="I84" s="6" t="str">
        <x:f>IF(Setup!$B$6="primary",IF(INDEX('C_jama.2018.18020'!$R$2:$R$15,MATCH("2018::jama.2018.18020::C003",'C_jama.2018.18020'!$A$2:$A$15,0))="","",INDEX('C_jama.2018.18020'!$R$2:$R$15,MATCH("2018::jama.2018.18020::C003",'C_jama.2018.18020'!$A$2:$A$15,0))),"NOT FROZEN")</x:f>
      </x:c>
      <x:c r="J84" s="6" t="str">
        <x:f>IF(Setup!$B$6="primary",INDEX('C_jama.2018.18020'!$F$2:$F$15,MATCH("2018::jama.2018.18020::C003",'C_jama.2018.18020'!$A$2:$A$15,0)),"NOT FROZEN")</x:f>
        <x:v>no</x:v>
      </x:c>
      <x:c r="K84" s="6" t="str">
        <x:f>IF(Setup!$B$6="primary",Setup!$B$2,"NOT FROZEN")</x:f>
      </x:c>
      <x:c r="L84" s="6" t="str">
        <x:f>IF(Setup!$B$6="primary",IF(OR(B84="",B84="not_applicable"),"","Disposition: "&amp;B84&amp;CHAR(10))&amp;IF(OR(C84="",C84="not_applicable"),"","Review domain: "&amp;C84&amp;CHAR(10))&amp;IF(OR(D84="",D84="not_applicable"),"","Statistcal_or_numerical issue: "&amp;D84&amp;CHAR(10))&amp;IF(OR(E84="",E84="not_applicable"),"","Substantiveness: "&amp;E84&amp;CHAR(10))&amp;IF(OR(F84="",F84="not_applicable"),"","Downstream impact: "&amp;F84&amp;CHAR(10))&amp;IF(OR(G84="",G84="not_applicable"),"","Report-internal or planning-material inconsistency: "&amp;G84&amp;CHAR(10))&amp;IF(OR(H84="",H84="not_applicable"),"","Protocol interpretation: "&amp;H84&amp;CHAR(10))&amp;IF(OR(I84="",I84="not_applicable"),"","Notes (optional): "&amp;I84&amp;CHAR(10)),"NOT FROZEN")</x:f>
        <x:v>Review domain: report_internal_inconsistency
</x:v>
      </x:c>
    </x:row>
    <x:row r="85" ht="70" customHeight="1">
      <x:c r="A85" s="3" t="str">
        <x:f>IF(Setup!$B$6="primary","2018::jama.2018.18020::C004","NOT FROZEN")</x:f>
        <x:v>2018::jama.2018.18020::C004</x:v>
      </x:c>
      <x:c r="B85" s="3" t="str">
        <x:f>IF(Setup!$B$6="primary",IF(INDEX('C_jama.2018.18020'!$D$2:$D$15,MATCH("2018::jama.2018.18020::C004",'C_jama.2018.18020'!$A$2:$A$15,0))="","",INDEX('C_jama.2018.18020'!$D$2:$D$15,MATCH("2018::jama.2018.18020::C004",'C_jama.2018.18020'!$A$2:$A$15,0))),"NOT FROZEN")</x:f>
      </x:c>
      <x:c r="C85" s="3" t="str">
        <x:f>IF(Setup!$B$6="primary",IF(INDEX('C_jama.2018.18020'!$E$2:$E$15,MATCH("2018::jama.2018.18020::C004",'C_jama.2018.18020'!$A$2:$A$15,0))="","",INDEX('C_jama.2018.18020'!$E$2:$E$15,MATCH("2018::jama.2018.18020::C004",'C_jama.2018.18020'!$A$2:$A$15,0))),"NOT FROZEN")</x:f>
        <x:v>statistical_results</x:v>
      </x:c>
      <x:c r="D85" s="3" t="str">
        <x:f>IF(Setup!$B$6="primary",IF(AND(INDEX('C_jama.2018.18020'!$D$2:$D$15,MATCH("2018::jama.2018.18020::C004",'C_jama.2018.18020'!$A$2:$A$15,0))="retain",INDEX('C_jama.2018.18020'!$E$2:$E$15,MATCH("2018::jama.2018.18020::C004",'C_jama.2018.18020'!$A$2:$A$15,0))="statistical_results"),IF(INDEX('C_jama.2018.18020'!$H$2:$H$15,MATCH("2018::jama.2018.18020::C004",'C_jama.2018.18020'!$A$2:$A$15,0))="","",INDEX('C_jama.2018.18020'!$H$2:$H$15,MATCH("2018::jama.2018.18020::C004",'C_jama.2018.18020'!$A$2:$A$15,0))),"not_applicable"),"NOT FROZEN")</x:f>
        <x:v>not_applicable</x:v>
      </x:c>
      <x:c r="E85" s="3" t="str">
        <x:f>IF(Setup!$B$6="primary",IF(AND(INDEX('C_jama.2018.18020'!$D$2:$D$15,MATCH("2018::jama.2018.18020::C004",'C_jama.2018.18020'!$A$2:$A$15,0))="retain",INDEX('C_jama.2018.18020'!$E$2:$E$15,MATCH("2018::jama.2018.18020::C004",'C_jama.2018.18020'!$A$2:$A$15,0))="statistical_results"),IF(INDEX('C_jama.2018.18020'!$I$2:$I$15,MATCH("2018::jama.2018.18020::C004",'C_jama.2018.18020'!$A$2:$A$15,0))="","",INDEX('C_jama.2018.18020'!$I$2:$I$15,MATCH("2018::jama.2018.18020::C004",'C_jama.2018.18020'!$A$2:$A$15,0))),"not_applicable"),"NOT FROZEN")</x:f>
        <x:v>not_applicable</x:v>
      </x:c>
      <x:c r="F85" s="3" t="str">
        <x:f>IF(Setup!$B$6="primary",IF(AND(INDEX('C_jama.2018.18020'!$D$2:$D$15,MATCH("2018::jama.2018.18020::C004",'C_jama.2018.18020'!$A$2:$A$15,0))="retain",INDEX('C_jama.2018.18020'!$E$2:$E$15,MATCH("2018::jama.2018.18020::C004",'C_jama.2018.18020'!$A$2:$A$15,0))="statistical_results"),IF(INDEX('C_jama.2018.18020'!$J$2:$J$15,MATCH("2018::jama.2018.18020::C004",'C_jama.2018.18020'!$A$2:$A$15,0))="","",INDEX('C_jama.2018.18020'!$J$2:$J$15,MATCH("2018::jama.2018.18020::C004",'C_jama.2018.18020'!$A$2:$A$15,0))),"not_applicable"),"NOT FROZEN")</x:f>
        <x:v>not_applicable</x:v>
      </x:c>
      <x:c r="G85" s="3" t="str">
        <x:f>IF(Setup!$B$6="primary",IF(AND(INDEX('C_jama.2018.18020'!$D$2:$D$15,MATCH("2018::jama.2018.18020::C004",'C_jama.2018.18020'!$A$2:$A$15,0))="retain",OR(INDEX('C_jama.2018.18020'!$E$2:$E$15,MATCH("2018::jama.2018.18020::C004",'C_jama.2018.18020'!$A$2:$A$15,0))="report_internal_inconsistency",INDEX('C_jama.2018.18020'!$E$2:$E$15,MATCH("2018::jama.2018.18020::C004",'C_jama.2018.18020'!$A$2:$A$15,0))="plan_material")),IF(INDEX('C_jama.2018.18020'!$K$2:$K$15,MATCH("2018::jama.2018.18020::C004",'C_jama.2018.18020'!$A$2:$A$15,0))="","",INDEX('C_jama.2018.18020'!$K$2:$K$15,MATCH("2018::jama.2018.18020::C004",'C_jama.2018.18020'!$A$2:$A$15,0))),"not_applicable"),"NOT FROZEN")</x:f>
        <x:v>not_applicable</x:v>
      </x:c>
      <x:c r="H85" s="3" t="str">
        <x:f>IF(Setup!$B$6="primary",IF(AND(INDEX('C_jama.2018.18020'!$D$2:$D$15,MATCH("2018::jama.2018.18020::C004",'C_jama.2018.18020'!$A$2:$A$15,0))="retain",INDEX('C_jama.2018.18020'!$E$2:$E$15,MATCH("2018::jama.2018.18020::C004",'C_jama.2018.18020'!$A$2:$A$15,0))="protocol_report"),IF(INDEX('C_jama.2018.18020'!$L$2:$L$15,MATCH("2018::jama.2018.18020::C004",'C_jama.2018.18020'!$A$2:$A$15,0))="","",INDEX('C_jama.2018.18020'!$L$2:$L$15,MATCH("2018::jama.2018.18020::C004",'C_jama.2018.18020'!$A$2:$A$15,0))),"not_applicable"),"NOT FROZEN")</x:f>
        <x:v>not_applicable</x:v>
      </x:c>
      <x:c r="I85" s="3" t="str">
        <x:f>IF(Setup!$B$6="primary",IF(INDEX('C_jama.2018.18020'!$R$2:$R$15,MATCH("2018::jama.2018.18020::C004",'C_jama.2018.18020'!$A$2:$A$15,0))="","",INDEX('C_jama.2018.18020'!$R$2:$R$15,MATCH("2018::jama.2018.18020::C004",'C_jama.2018.18020'!$A$2:$A$15,0))),"NOT FROZEN")</x:f>
      </x:c>
      <x:c r="J85" s="3" t="str">
        <x:f>IF(Setup!$B$6="primary",INDEX('C_jama.2018.18020'!$F$2:$F$15,MATCH("2018::jama.2018.18020::C004",'C_jama.2018.18020'!$A$2:$A$15,0)),"NOT FROZEN")</x:f>
        <x:v>no</x:v>
      </x:c>
      <x:c r="K85" s="3" t="str">
        <x:f>IF(Setup!$B$6="primary",Setup!$B$2,"NOT FROZEN")</x:f>
      </x:c>
      <x:c r="L85" s="3" t="str">
        <x:f>IF(Setup!$B$6="primary",IF(OR(B85="",B85="not_applicable"),"","Disposition: "&amp;B85&amp;CHAR(10))&amp;IF(OR(C85="",C85="not_applicable"),"","Review domain: "&amp;C85&amp;CHAR(10))&amp;IF(OR(D85="",D85="not_applicable"),"","Statistcal_or_numerical issue: "&amp;D85&amp;CHAR(10))&amp;IF(OR(E85="",E85="not_applicable"),"","Substantiveness: "&amp;E85&amp;CHAR(10))&amp;IF(OR(F85="",F85="not_applicable"),"","Downstream impact: "&amp;F85&amp;CHAR(10))&amp;IF(OR(G85="",G85="not_applicable"),"","Report-internal or planning-material inconsistency: "&amp;G85&amp;CHAR(10))&amp;IF(OR(H85="",H85="not_applicable"),"","Protocol interpretation: "&amp;H85&amp;CHAR(10))&amp;IF(OR(I85="",I85="not_applicable"),"","Notes (optional): "&amp;I85&amp;CHAR(10)),"NOT FROZEN")</x:f>
        <x:v>Review domain: statistical_results
</x:v>
      </x:c>
    </x:row>
    <x:row r="86" ht="70" customHeight="1">
      <x:c r="A86" s="6" t="str">
        <x:f>IF(Setup!$B$6="primary","2018::jama.2018.18020::C005","NOT FROZEN")</x:f>
        <x:v>2018::jama.2018.18020::C005</x:v>
      </x:c>
      <x:c r="B86" s="6" t="str">
        <x:f>IF(Setup!$B$6="primary",IF(INDEX('C_jama.2018.18020'!$D$2:$D$15,MATCH("2018::jama.2018.18020::C005",'C_jama.2018.18020'!$A$2:$A$15,0))="","",INDEX('C_jama.2018.18020'!$D$2:$D$15,MATCH("2018::jama.2018.18020::C005",'C_jama.2018.18020'!$A$2:$A$15,0))),"NOT FROZEN")</x:f>
      </x:c>
      <x:c r="C86" s="6" t="str">
        <x:f>IF(Setup!$B$6="primary",IF(INDEX('C_jama.2018.18020'!$E$2:$E$15,MATCH("2018::jama.2018.18020::C005",'C_jama.2018.18020'!$A$2:$A$15,0))="","",INDEX('C_jama.2018.18020'!$E$2:$E$15,MATCH("2018::jama.2018.18020::C005",'C_jama.2018.18020'!$A$2:$A$15,0))),"NOT FROZEN")</x:f>
        <x:v>report_internal_inconsistency</x:v>
      </x:c>
      <x:c r="D86" s="6" t="str">
        <x:f>IF(Setup!$B$6="primary",IF(AND(INDEX('C_jama.2018.18020'!$D$2:$D$15,MATCH("2018::jama.2018.18020::C005",'C_jama.2018.18020'!$A$2:$A$15,0))="retain",INDEX('C_jama.2018.18020'!$E$2:$E$15,MATCH("2018::jama.2018.18020::C005",'C_jama.2018.18020'!$A$2:$A$15,0))="statistical_results"),IF(INDEX('C_jama.2018.18020'!$H$2:$H$15,MATCH("2018::jama.2018.18020::C005",'C_jama.2018.18020'!$A$2:$A$15,0))="","",INDEX('C_jama.2018.18020'!$H$2:$H$15,MATCH("2018::jama.2018.18020::C005",'C_jama.2018.18020'!$A$2:$A$15,0))),"not_applicable"),"NOT FROZEN")</x:f>
        <x:v>not_applicable</x:v>
      </x:c>
      <x:c r="E86" s="6" t="str">
        <x:f>IF(Setup!$B$6="primary",IF(AND(INDEX('C_jama.2018.18020'!$D$2:$D$15,MATCH("2018::jama.2018.18020::C005",'C_jama.2018.18020'!$A$2:$A$15,0))="retain",INDEX('C_jama.2018.18020'!$E$2:$E$15,MATCH("2018::jama.2018.18020::C005",'C_jama.2018.18020'!$A$2:$A$15,0))="statistical_results"),IF(INDEX('C_jama.2018.18020'!$I$2:$I$15,MATCH("2018::jama.2018.18020::C005",'C_jama.2018.18020'!$A$2:$A$15,0))="","",INDEX('C_jama.2018.18020'!$I$2:$I$15,MATCH("2018::jama.2018.18020::C005",'C_jama.2018.18020'!$A$2:$A$15,0))),"not_applicable"),"NOT FROZEN")</x:f>
        <x:v>not_applicable</x:v>
      </x:c>
      <x:c r="F86" s="6" t="str">
        <x:f>IF(Setup!$B$6="primary",IF(AND(INDEX('C_jama.2018.18020'!$D$2:$D$15,MATCH("2018::jama.2018.18020::C005",'C_jama.2018.18020'!$A$2:$A$15,0))="retain",INDEX('C_jama.2018.18020'!$E$2:$E$15,MATCH("2018::jama.2018.18020::C005",'C_jama.2018.18020'!$A$2:$A$15,0))="statistical_results"),IF(INDEX('C_jama.2018.18020'!$J$2:$J$15,MATCH("2018::jama.2018.18020::C005",'C_jama.2018.18020'!$A$2:$A$15,0))="","",INDEX('C_jama.2018.18020'!$J$2:$J$15,MATCH("2018::jama.2018.18020::C005",'C_jama.2018.18020'!$A$2:$A$15,0))),"not_applicable"),"NOT FROZEN")</x:f>
        <x:v>not_applicable</x:v>
      </x:c>
      <x:c r="G86" s="6" t="str">
        <x:f>IF(Setup!$B$6="primary",IF(AND(INDEX('C_jama.2018.18020'!$D$2:$D$15,MATCH("2018::jama.2018.18020::C005",'C_jama.2018.18020'!$A$2:$A$15,0))="retain",OR(INDEX('C_jama.2018.18020'!$E$2:$E$15,MATCH("2018::jama.2018.18020::C005",'C_jama.2018.18020'!$A$2:$A$15,0))="report_internal_inconsistency",INDEX('C_jama.2018.18020'!$E$2:$E$15,MATCH("2018::jama.2018.18020::C005",'C_jama.2018.18020'!$A$2:$A$15,0))="plan_material")),IF(INDEX('C_jama.2018.18020'!$K$2:$K$15,MATCH("2018::jama.2018.18020::C005",'C_jama.2018.18020'!$A$2:$A$15,0))="","",INDEX('C_jama.2018.18020'!$K$2:$K$15,MATCH("2018::jama.2018.18020::C005",'C_jama.2018.18020'!$A$2:$A$15,0))),"not_applicable"),"NOT FROZEN")</x:f>
        <x:v>not_applicable</x:v>
      </x:c>
      <x:c r="H86" s="6" t="str">
        <x:f>IF(Setup!$B$6="primary",IF(AND(INDEX('C_jama.2018.18020'!$D$2:$D$15,MATCH("2018::jama.2018.18020::C005",'C_jama.2018.18020'!$A$2:$A$15,0))="retain",INDEX('C_jama.2018.18020'!$E$2:$E$15,MATCH("2018::jama.2018.18020::C005",'C_jama.2018.18020'!$A$2:$A$15,0))="protocol_report"),IF(INDEX('C_jama.2018.18020'!$L$2:$L$15,MATCH("2018::jama.2018.18020::C005",'C_jama.2018.18020'!$A$2:$A$15,0))="","",INDEX('C_jama.2018.18020'!$L$2:$L$15,MATCH("2018::jama.2018.18020::C005",'C_jama.2018.18020'!$A$2:$A$15,0))),"not_applicable"),"NOT FROZEN")</x:f>
        <x:v>not_applicable</x:v>
      </x:c>
      <x:c r="I86" s="6" t="str">
        <x:f>IF(Setup!$B$6="primary",IF(INDEX('C_jama.2018.18020'!$R$2:$R$15,MATCH("2018::jama.2018.18020::C005",'C_jama.2018.18020'!$A$2:$A$15,0))="","",INDEX('C_jama.2018.18020'!$R$2:$R$15,MATCH("2018::jama.2018.18020::C005",'C_jama.2018.18020'!$A$2:$A$15,0))),"NOT FROZEN")</x:f>
      </x:c>
      <x:c r="J86" s="6" t="str">
        <x:f>IF(Setup!$B$6="primary",INDEX('C_jama.2018.18020'!$F$2:$F$15,MATCH("2018::jama.2018.18020::C005",'C_jama.2018.18020'!$A$2:$A$15,0)),"NOT FROZEN")</x:f>
        <x:v>no</x:v>
      </x:c>
      <x:c r="K86" s="6" t="str">
        <x:f>IF(Setup!$B$6="primary",Setup!$B$2,"NOT FROZEN")</x:f>
      </x:c>
      <x:c r="L86" s="6" t="str">
        <x:f>IF(Setup!$B$6="primary",IF(OR(B86="",B86="not_applicable"),"","Disposition: "&amp;B86&amp;CHAR(10))&amp;IF(OR(C86="",C86="not_applicable"),"","Review domain: "&amp;C86&amp;CHAR(10))&amp;IF(OR(D86="",D86="not_applicable"),"","Statistcal_or_numerical issue: "&amp;D86&amp;CHAR(10))&amp;IF(OR(E86="",E86="not_applicable"),"","Substantiveness: "&amp;E86&amp;CHAR(10))&amp;IF(OR(F86="",F86="not_applicable"),"","Downstream impact: "&amp;F86&amp;CHAR(10))&amp;IF(OR(G86="",G86="not_applicable"),"","Report-internal or planning-material inconsistency: "&amp;G86&amp;CHAR(10))&amp;IF(OR(H86="",H86="not_applicable"),"","Protocol interpretation: "&amp;H86&amp;CHAR(10))&amp;IF(OR(I86="",I86="not_applicable"),"","Notes (optional): "&amp;I86&amp;CHAR(10)),"NOT FROZEN")</x:f>
        <x:v>Review domain: report_internal_inconsistency
</x:v>
      </x:c>
    </x:row>
    <x:row r="87" ht="70" customHeight="1">
      <x:c r="A87" s="3" t="str">
        <x:f>IF(Setup!$B$6="primary","2018::jama.2018.18020::C006","NOT FROZEN")</x:f>
        <x:v>2018::jama.2018.18020::C006</x:v>
      </x:c>
      <x:c r="B87" s="3" t="str">
        <x:f>IF(Setup!$B$6="primary",IF(INDEX('C_jama.2018.18020'!$D$2:$D$15,MATCH("2018::jama.2018.18020::C006",'C_jama.2018.18020'!$A$2:$A$15,0))="","",INDEX('C_jama.2018.18020'!$D$2:$D$15,MATCH("2018::jama.2018.18020::C006",'C_jama.2018.18020'!$A$2:$A$15,0))),"NOT FROZEN")</x:f>
      </x:c>
      <x:c r="C87" s="3" t="str">
        <x:f>IF(Setup!$B$6="primary",IF(INDEX('C_jama.2018.18020'!$E$2:$E$15,MATCH("2018::jama.2018.18020::C006",'C_jama.2018.18020'!$A$2:$A$15,0))="","",INDEX('C_jama.2018.18020'!$E$2:$E$15,MATCH("2018::jama.2018.18020::C006",'C_jama.2018.18020'!$A$2:$A$15,0))),"NOT FROZEN")</x:f>
        <x:v>report_internal_inconsistency</x:v>
      </x:c>
      <x:c r="D87" s="3" t="str">
        <x:f>IF(Setup!$B$6="primary",IF(AND(INDEX('C_jama.2018.18020'!$D$2:$D$15,MATCH("2018::jama.2018.18020::C006",'C_jama.2018.18020'!$A$2:$A$15,0))="retain",INDEX('C_jama.2018.18020'!$E$2:$E$15,MATCH("2018::jama.2018.18020::C006",'C_jama.2018.18020'!$A$2:$A$15,0))="statistical_results"),IF(INDEX('C_jama.2018.18020'!$H$2:$H$15,MATCH("2018::jama.2018.18020::C006",'C_jama.2018.18020'!$A$2:$A$15,0))="","",INDEX('C_jama.2018.18020'!$H$2:$H$15,MATCH("2018::jama.2018.18020::C006",'C_jama.2018.18020'!$A$2:$A$15,0))),"not_applicable"),"NOT FROZEN")</x:f>
        <x:v>not_applicable</x:v>
      </x:c>
      <x:c r="E87" s="3" t="str">
        <x:f>IF(Setup!$B$6="primary",IF(AND(INDEX('C_jama.2018.18020'!$D$2:$D$15,MATCH("2018::jama.2018.18020::C006",'C_jama.2018.18020'!$A$2:$A$15,0))="retain",INDEX('C_jama.2018.18020'!$E$2:$E$15,MATCH("2018::jama.2018.18020::C006",'C_jama.2018.18020'!$A$2:$A$15,0))="statistical_results"),IF(INDEX('C_jama.2018.18020'!$I$2:$I$15,MATCH("2018::jama.2018.18020::C006",'C_jama.2018.18020'!$A$2:$A$15,0))="","",INDEX('C_jama.2018.18020'!$I$2:$I$15,MATCH("2018::jama.2018.18020::C006",'C_jama.2018.18020'!$A$2:$A$15,0))),"not_applicable"),"NOT FROZEN")</x:f>
        <x:v>not_applicable</x:v>
      </x:c>
      <x:c r="F87" s="3" t="str">
        <x:f>IF(Setup!$B$6="primary",IF(AND(INDEX('C_jama.2018.18020'!$D$2:$D$15,MATCH("2018::jama.2018.18020::C006",'C_jama.2018.18020'!$A$2:$A$15,0))="retain",INDEX('C_jama.2018.18020'!$E$2:$E$15,MATCH("2018::jama.2018.18020::C006",'C_jama.2018.18020'!$A$2:$A$15,0))="statistical_results"),IF(INDEX('C_jama.2018.18020'!$J$2:$J$15,MATCH("2018::jama.2018.18020::C006",'C_jama.2018.18020'!$A$2:$A$15,0))="","",INDEX('C_jama.2018.18020'!$J$2:$J$15,MATCH("2018::jama.2018.18020::C006",'C_jama.2018.18020'!$A$2:$A$15,0))),"not_applicable"),"NOT FROZEN")</x:f>
        <x:v>not_applicable</x:v>
      </x:c>
      <x:c r="G87" s="3" t="str">
        <x:f>IF(Setup!$B$6="primary",IF(AND(INDEX('C_jama.2018.18020'!$D$2:$D$15,MATCH("2018::jama.2018.18020::C006",'C_jama.2018.18020'!$A$2:$A$15,0))="retain",OR(INDEX('C_jama.2018.18020'!$E$2:$E$15,MATCH("2018::jama.2018.18020::C006",'C_jama.2018.18020'!$A$2:$A$15,0))="report_internal_inconsistency",INDEX('C_jama.2018.18020'!$E$2:$E$15,MATCH("2018::jama.2018.18020::C006",'C_jama.2018.18020'!$A$2:$A$15,0))="plan_material")),IF(INDEX('C_jama.2018.18020'!$K$2:$K$15,MATCH("2018::jama.2018.18020::C006",'C_jama.2018.18020'!$A$2:$A$15,0))="","",INDEX('C_jama.2018.18020'!$K$2:$K$15,MATCH("2018::jama.2018.18020::C006",'C_jama.2018.18020'!$A$2:$A$15,0))),"not_applicable"),"NOT FROZEN")</x:f>
        <x:v>not_applicable</x:v>
      </x:c>
      <x:c r="H87" s="3" t="str">
        <x:f>IF(Setup!$B$6="primary",IF(AND(INDEX('C_jama.2018.18020'!$D$2:$D$15,MATCH("2018::jama.2018.18020::C006",'C_jama.2018.18020'!$A$2:$A$15,0))="retain",INDEX('C_jama.2018.18020'!$E$2:$E$15,MATCH("2018::jama.2018.18020::C006",'C_jama.2018.18020'!$A$2:$A$15,0))="protocol_report"),IF(INDEX('C_jama.2018.18020'!$L$2:$L$15,MATCH("2018::jama.2018.18020::C006",'C_jama.2018.18020'!$A$2:$A$15,0))="","",INDEX('C_jama.2018.18020'!$L$2:$L$15,MATCH("2018::jama.2018.18020::C006",'C_jama.2018.18020'!$A$2:$A$15,0))),"not_applicable"),"NOT FROZEN")</x:f>
        <x:v>not_applicable</x:v>
      </x:c>
      <x:c r="I87" s="3" t="str">
        <x:f>IF(Setup!$B$6="primary",IF(INDEX('C_jama.2018.18020'!$R$2:$R$15,MATCH("2018::jama.2018.18020::C006",'C_jama.2018.18020'!$A$2:$A$15,0))="","",INDEX('C_jama.2018.18020'!$R$2:$R$15,MATCH("2018::jama.2018.18020::C006",'C_jama.2018.18020'!$A$2:$A$15,0))),"NOT FROZEN")</x:f>
      </x:c>
      <x:c r="J87" s="3" t="str">
        <x:f>IF(Setup!$B$6="primary",INDEX('C_jama.2018.18020'!$F$2:$F$15,MATCH("2018::jama.2018.18020::C006",'C_jama.2018.18020'!$A$2:$A$15,0)),"NOT FROZEN")</x:f>
        <x:v>no</x:v>
      </x:c>
      <x:c r="K87" s="3" t="str">
        <x:f>IF(Setup!$B$6="primary",Setup!$B$2,"NOT FROZEN")</x:f>
      </x:c>
      <x:c r="L87" s="3" t="str">
        <x:f>IF(Setup!$B$6="primary",IF(OR(B87="",B87="not_applicable"),"","Disposition: "&amp;B87&amp;CHAR(10))&amp;IF(OR(C87="",C87="not_applicable"),"","Review domain: "&amp;C87&amp;CHAR(10))&amp;IF(OR(D87="",D87="not_applicable"),"","Statistcal_or_numerical issue: "&amp;D87&amp;CHAR(10))&amp;IF(OR(E87="",E87="not_applicable"),"","Substantiveness: "&amp;E87&amp;CHAR(10))&amp;IF(OR(F87="",F87="not_applicable"),"","Downstream impact: "&amp;F87&amp;CHAR(10))&amp;IF(OR(G87="",G87="not_applicable"),"","Report-internal or planning-material inconsistency: "&amp;G87&amp;CHAR(10))&amp;IF(OR(H87="",H87="not_applicable"),"","Protocol interpretation: "&amp;H87&amp;CHAR(10))&amp;IF(OR(I87="",I87="not_applicable"),"","Notes (optional): "&amp;I87&amp;CHAR(10)),"NOT FROZEN")</x:f>
        <x:v>Review domain: report_internal_inconsistency
</x:v>
      </x:c>
    </x:row>
    <x:row r="88" ht="70" customHeight="1">
      <x:c r="A88" s="6" t="str">
        <x:f>IF(Setup!$B$6="primary","2018::jama.2018.18020::C007","NOT FROZEN")</x:f>
        <x:v>2018::jama.2018.18020::C007</x:v>
      </x:c>
      <x:c r="B88" s="6" t="str">
        <x:f>IF(Setup!$B$6="primary",IF(INDEX('C_jama.2018.18020'!$D$2:$D$15,MATCH("2018::jama.2018.18020::C007",'C_jama.2018.18020'!$A$2:$A$15,0))="","",INDEX('C_jama.2018.18020'!$D$2:$D$15,MATCH("2018::jama.2018.18020::C007",'C_jama.2018.18020'!$A$2:$A$15,0))),"NOT FROZEN")</x:f>
      </x:c>
      <x:c r="C88" s="6" t="str">
        <x:f>IF(Setup!$B$6="primary",IF(INDEX('C_jama.2018.18020'!$E$2:$E$15,MATCH("2018::jama.2018.18020::C007",'C_jama.2018.18020'!$A$2:$A$15,0))="","",INDEX('C_jama.2018.18020'!$E$2:$E$15,MATCH("2018::jama.2018.18020::C007",'C_jama.2018.18020'!$A$2:$A$15,0))),"NOT FROZEN")</x:f>
        <x:v>report_internal_inconsistency</x:v>
      </x:c>
      <x:c r="D88" s="6" t="str">
        <x:f>IF(Setup!$B$6="primary",IF(AND(INDEX('C_jama.2018.18020'!$D$2:$D$15,MATCH("2018::jama.2018.18020::C007",'C_jama.2018.18020'!$A$2:$A$15,0))="retain",INDEX('C_jama.2018.18020'!$E$2:$E$15,MATCH("2018::jama.2018.18020::C007",'C_jama.2018.18020'!$A$2:$A$15,0))="statistical_results"),IF(INDEX('C_jama.2018.18020'!$H$2:$H$15,MATCH("2018::jama.2018.18020::C007",'C_jama.2018.18020'!$A$2:$A$15,0))="","",INDEX('C_jama.2018.18020'!$H$2:$H$15,MATCH("2018::jama.2018.18020::C007",'C_jama.2018.18020'!$A$2:$A$15,0))),"not_applicable"),"NOT FROZEN")</x:f>
        <x:v>not_applicable</x:v>
      </x:c>
      <x:c r="E88" s="6" t="str">
        <x:f>IF(Setup!$B$6="primary",IF(AND(INDEX('C_jama.2018.18020'!$D$2:$D$15,MATCH("2018::jama.2018.18020::C007",'C_jama.2018.18020'!$A$2:$A$15,0))="retain",INDEX('C_jama.2018.18020'!$E$2:$E$15,MATCH("2018::jama.2018.18020::C007",'C_jama.2018.18020'!$A$2:$A$15,0))="statistical_results"),IF(INDEX('C_jama.2018.18020'!$I$2:$I$15,MATCH("2018::jama.2018.18020::C007",'C_jama.2018.18020'!$A$2:$A$15,0))="","",INDEX('C_jama.2018.18020'!$I$2:$I$15,MATCH("2018::jama.2018.18020::C007",'C_jama.2018.18020'!$A$2:$A$15,0))),"not_applicable"),"NOT FROZEN")</x:f>
        <x:v>not_applicable</x:v>
      </x:c>
      <x:c r="F88" s="6" t="str">
        <x:f>IF(Setup!$B$6="primary",IF(AND(INDEX('C_jama.2018.18020'!$D$2:$D$15,MATCH("2018::jama.2018.18020::C007",'C_jama.2018.18020'!$A$2:$A$15,0))="retain",INDEX('C_jama.2018.18020'!$E$2:$E$15,MATCH("2018::jama.2018.18020::C007",'C_jama.2018.18020'!$A$2:$A$15,0))="statistical_results"),IF(INDEX('C_jama.2018.18020'!$J$2:$J$15,MATCH("2018::jama.2018.18020::C007",'C_jama.2018.18020'!$A$2:$A$15,0))="","",INDEX('C_jama.2018.18020'!$J$2:$J$15,MATCH("2018::jama.2018.18020::C007",'C_jama.2018.18020'!$A$2:$A$15,0))),"not_applicable"),"NOT FROZEN")</x:f>
        <x:v>not_applicable</x:v>
      </x:c>
      <x:c r="G88" s="6" t="str">
        <x:f>IF(Setup!$B$6="primary",IF(AND(INDEX('C_jama.2018.18020'!$D$2:$D$15,MATCH("2018::jama.2018.18020::C007",'C_jama.2018.18020'!$A$2:$A$15,0))="retain",OR(INDEX('C_jama.2018.18020'!$E$2:$E$15,MATCH("2018::jama.2018.18020::C007",'C_jama.2018.18020'!$A$2:$A$15,0))="report_internal_inconsistency",INDEX('C_jama.2018.18020'!$E$2:$E$15,MATCH("2018::jama.2018.18020::C007",'C_jama.2018.18020'!$A$2:$A$15,0))="plan_material")),IF(INDEX('C_jama.2018.18020'!$K$2:$K$15,MATCH("2018::jama.2018.18020::C007",'C_jama.2018.18020'!$A$2:$A$15,0))="","",INDEX('C_jama.2018.18020'!$K$2:$K$15,MATCH("2018::jama.2018.18020::C007",'C_jama.2018.18020'!$A$2:$A$15,0))),"not_applicable"),"NOT FROZEN")</x:f>
        <x:v>not_applicable</x:v>
      </x:c>
      <x:c r="H88" s="6" t="str">
        <x:f>IF(Setup!$B$6="primary",IF(AND(INDEX('C_jama.2018.18020'!$D$2:$D$15,MATCH("2018::jama.2018.18020::C007",'C_jama.2018.18020'!$A$2:$A$15,0))="retain",INDEX('C_jama.2018.18020'!$E$2:$E$15,MATCH("2018::jama.2018.18020::C007",'C_jama.2018.18020'!$A$2:$A$15,0))="protocol_report"),IF(INDEX('C_jama.2018.18020'!$L$2:$L$15,MATCH("2018::jama.2018.18020::C007",'C_jama.2018.18020'!$A$2:$A$15,0))="","",INDEX('C_jama.2018.18020'!$L$2:$L$15,MATCH("2018::jama.2018.18020::C007",'C_jama.2018.18020'!$A$2:$A$15,0))),"not_applicable"),"NOT FROZEN")</x:f>
        <x:v>not_applicable</x:v>
      </x:c>
      <x:c r="I88" s="6" t="str">
        <x:f>IF(Setup!$B$6="primary",IF(INDEX('C_jama.2018.18020'!$R$2:$R$15,MATCH("2018::jama.2018.18020::C007",'C_jama.2018.18020'!$A$2:$A$15,0))="","",INDEX('C_jama.2018.18020'!$R$2:$R$15,MATCH("2018::jama.2018.18020::C007",'C_jama.2018.18020'!$A$2:$A$15,0))),"NOT FROZEN")</x:f>
      </x:c>
      <x:c r="J88" s="6" t="str">
        <x:f>IF(Setup!$B$6="primary",INDEX('C_jama.2018.18020'!$F$2:$F$15,MATCH("2018::jama.2018.18020::C007",'C_jama.2018.18020'!$A$2:$A$15,0)),"NOT FROZEN")</x:f>
        <x:v>no</x:v>
      </x:c>
      <x:c r="K88" s="6" t="str">
        <x:f>IF(Setup!$B$6="primary",Setup!$B$2,"NOT FROZEN")</x:f>
      </x:c>
      <x:c r="L88" s="6" t="str">
        <x:f>IF(Setup!$B$6="primary",IF(OR(B88="",B88="not_applicable"),"","Disposition: "&amp;B88&amp;CHAR(10))&amp;IF(OR(C88="",C88="not_applicable"),"","Review domain: "&amp;C88&amp;CHAR(10))&amp;IF(OR(D88="",D88="not_applicable"),"","Statistcal_or_numerical issue: "&amp;D88&amp;CHAR(10))&amp;IF(OR(E88="",E88="not_applicable"),"","Substantiveness: "&amp;E88&amp;CHAR(10))&amp;IF(OR(F88="",F88="not_applicable"),"","Downstream impact: "&amp;F88&amp;CHAR(10))&amp;IF(OR(G88="",G88="not_applicable"),"","Report-internal or planning-material inconsistency: "&amp;G88&amp;CHAR(10))&amp;IF(OR(H88="",H88="not_applicable"),"","Protocol interpretation: "&amp;H88&amp;CHAR(10))&amp;IF(OR(I88="",I88="not_applicable"),"","Notes (optional): "&amp;I88&amp;CHAR(10)),"NOT FROZEN")</x:f>
        <x:v>Review domain: report_internal_inconsistency
</x:v>
      </x:c>
    </x:row>
    <x:row r="89" ht="70" customHeight="1">
      <x:c r="A89" s="3" t="str">
        <x:f>IF(Setup!$B$6="primary","2018::jama.2018.18020::C008","NOT FROZEN")</x:f>
        <x:v>2018::jama.2018.18020::C008</x:v>
      </x:c>
      <x:c r="B89" s="3" t="str">
        <x:f>IF(Setup!$B$6="primary",IF(INDEX('C_jama.2018.18020'!$D$2:$D$15,MATCH("2018::jama.2018.18020::C008",'C_jama.2018.18020'!$A$2:$A$15,0))="","",INDEX('C_jama.2018.18020'!$D$2:$D$15,MATCH("2018::jama.2018.18020::C008",'C_jama.2018.18020'!$A$2:$A$15,0))),"NOT FROZEN")</x:f>
      </x:c>
      <x:c r="C89" s="3" t="str">
        <x:f>IF(Setup!$B$6="primary",IF(INDEX('C_jama.2018.18020'!$E$2:$E$15,MATCH("2018::jama.2018.18020::C008",'C_jama.2018.18020'!$A$2:$A$15,0))="","",INDEX('C_jama.2018.18020'!$E$2:$E$15,MATCH("2018::jama.2018.18020::C008",'C_jama.2018.18020'!$A$2:$A$15,0))),"NOT FROZEN")</x:f>
        <x:v>report_internal_inconsistency</x:v>
      </x:c>
      <x:c r="D89" s="3" t="str">
        <x:f>IF(Setup!$B$6="primary",IF(AND(INDEX('C_jama.2018.18020'!$D$2:$D$15,MATCH("2018::jama.2018.18020::C008",'C_jama.2018.18020'!$A$2:$A$15,0))="retain",INDEX('C_jama.2018.18020'!$E$2:$E$15,MATCH("2018::jama.2018.18020::C008",'C_jama.2018.18020'!$A$2:$A$15,0))="statistical_results"),IF(INDEX('C_jama.2018.18020'!$H$2:$H$15,MATCH("2018::jama.2018.18020::C008",'C_jama.2018.18020'!$A$2:$A$15,0))="","",INDEX('C_jama.2018.18020'!$H$2:$H$15,MATCH("2018::jama.2018.18020::C008",'C_jama.2018.18020'!$A$2:$A$15,0))),"not_applicable"),"NOT FROZEN")</x:f>
        <x:v>not_applicable</x:v>
      </x:c>
      <x:c r="E89" s="3" t="str">
        <x:f>IF(Setup!$B$6="primary",IF(AND(INDEX('C_jama.2018.18020'!$D$2:$D$15,MATCH("2018::jama.2018.18020::C008",'C_jama.2018.18020'!$A$2:$A$15,0))="retain",INDEX('C_jama.2018.18020'!$E$2:$E$15,MATCH("2018::jama.2018.18020::C008",'C_jama.2018.18020'!$A$2:$A$15,0))="statistical_results"),IF(INDEX('C_jama.2018.18020'!$I$2:$I$15,MATCH("2018::jama.2018.18020::C008",'C_jama.2018.18020'!$A$2:$A$15,0))="","",INDEX('C_jama.2018.18020'!$I$2:$I$15,MATCH("2018::jama.2018.18020::C008",'C_jama.2018.18020'!$A$2:$A$15,0))),"not_applicable"),"NOT FROZEN")</x:f>
        <x:v>not_applicable</x:v>
      </x:c>
      <x:c r="F89" s="3" t="str">
        <x:f>IF(Setup!$B$6="primary",IF(AND(INDEX('C_jama.2018.18020'!$D$2:$D$15,MATCH("2018::jama.2018.18020::C008",'C_jama.2018.18020'!$A$2:$A$15,0))="retain",INDEX('C_jama.2018.18020'!$E$2:$E$15,MATCH("2018::jama.2018.18020::C008",'C_jama.2018.18020'!$A$2:$A$15,0))="statistical_results"),IF(INDEX('C_jama.2018.18020'!$J$2:$J$15,MATCH("2018::jama.2018.18020::C008",'C_jama.2018.18020'!$A$2:$A$15,0))="","",INDEX('C_jama.2018.18020'!$J$2:$J$15,MATCH("2018::jama.2018.18020::C008",'C_jama.2018.18020'!$A$2:$A$15,0))),"not_applicable"),"NOT FROZEN")</x:f>
        <x:v>not_applicable</x:v>
      </x:c>
      <x:c r="G89" s="3" t="str">
        <x:f>IF(Setup!$B$6="primary",IF(AND(INDEX('C_jama.2018.18020'!$D$2:$D$15,MATCH("2018::jama.2018.18020::C008",'C_jama.2018.18020'!$A$2:$A$15,0))="retain",OR(INDEX('C_jama.2018.18020'!$E$2:$E$15,MATCH("2018::jama.2018.18020::C008",'C_jama.2018.18020'!$A$2:$A$15,0))="report_internal_inconsistency",INDEX('C_jama.2018.18020'!$E$2:$E$15,MATCH("2018::jama.2018.18020::C008",'C_jama.2018.18020'!$A$2:$A$15,0))="plan_material")),IF(INDEX('C_jama.2018.18020'!$K$2:$K$15,MATCH("2018::jama.2018.18020::C008",'C_jama.2018.18020'!$A$2:$A$15,0))="","",INDEX('C_jama.2018.18020'!$K$2:$K$15,MATCH("2018::jama.2018.18020::C008",'C_jama.2018.18020'!$A$2:$A$15,0))),"not_applicable"),"NOT FROZEN")</x:f>
        <x:v>not_applicable</x:v>
      </x:c>
      <x:c r="H89" s="3" t="str">
        <x:f>IF(Setup!$B$6="primary",IF(AND(INDEX('C_jama.2018.18020'!$D$2:$D$15,MATCH("2018::jama.2018.18020::C008",'C_jama.2018.18020'!$A$2:$A$15,0))="retain",INDEX('C_jama.2018.18020'!$E$2:$E$15,MATCH("2018::jama.2018.18020::C008",'C_jama.2018.18020'!$A$2:$A$15,0))="protocol_report"),IF(INDEX('C_jama.2018.18020'!$L$2:$L$15,MATCH("2018::jama.2018.18020::C008",'C_jama.2018.18020'!$A$2:$A$15,0))="","",INDEX('C_jama.2018.18020'!$L$2:$L$15,MATCH("2018::jama.2018.18020::C008",'C_jama.2018.18020'!$A$2:$A$15,0))),"not_applicable"),"NOT FROZEN")</x:f>
        <x:v>not_applicable</x:v>
      </x:c>
      <x:c r="I89" s="3" t="str">
        <x:f>IF(Setup!$B$6="primary",IF(INDEX('C_jama.2018.18020'!$R$2:$R$15,MATCH("2018::jama.2018.18020::C008",'C_jama.2018.18020'!$A$2:$A$15,0))="","",INDEX('C_jama.2018.18020'!$R$2:$R$15,MATCH("2018::jama.2018.18020::C008",'C_jama.2018.18020'!$A$2:$A$15,0))),"NOT FROZEN")</x:f>
      </x:c>
      <x:c r="J89" s="3" t="str">
        <x:f>IF(Setup!$B$6="primary",INDEX('C_jama.2018.18020'!$F$2:$F$15,MATCH("2018::jama.2018.18020::C008",'C_jama.2018.18020'!$A$2:$A$15,0)),"NOT FROZEN")</x:f>
        <x:v>no</x:v>
      </x:c>
      <x:c r="K89" s="3" t="str">
        <x:f>IF(Setup!$B$6="primary",Setup!$B$2,"NOT FROZEN")</x:f>
      </x:c>
      <x:c r="L89" s="3" t="str">
        <x:f>IF(Setup!$B$6="primary",IF(OR(B89="",B89="not_applicable"),"","Disposition: "&amp;B89&amp;CHAR(10))&amp;IF(OR(C89="",C89="not_applicable"),"","Review domain: "&amp;C89&amp;CHAR(10))&amp;IF(OR(D89="",D89="not_applicable"),"","Statistcal_or_numerical issue: "&amp;D89&amp;CHAR(10))&amp;IF(OR(E89="",E89="not_applicable"),"","Substantiveness: "&amp;E89&amp;CHAR(10))&amp;IF(OR(F89="",F89="not_applicable"),"","Downstream impact: "&amp;F89&amp;CHAR(10))&amp;IF(OR(G89="",G89="not_applicable"),"","Report-internal or planning-material inconsistency: "&amp;G89&amp;CHAR(10))&amp;IF(OR(H89="",H89="not_applicable"),"","Protocol interpretation: "&amp;H89&amp;CHAR(10))&amp;IF(OR(I89="",I89="not_applicable"),"","Notes (optional): "&amp;I89&amp;CHAR(10)),"NOT FROZEN")</x:f>
        <x:v>Review domain: report_internal_inconsistency
</x:v>
      </x:c>
    </x:row>
    <x:row r="90" ht="70" customHeight="1">
      <x:c r="A90" s="6" t="str">
        <x:f>IF(Setup!$B$6="primary","2018::jama.2018.18020::C009","NOT FROZEN")</x:f>
        <x:v>2018::jama.2018.18020::C009</x:v>
      </x:c>
      <x:c r="B90" s="6" t="str">
        <x:f>IF(Setup!$B$6="primary",IF(INDEX('C_jama.2018.18020'!$D$2:$D$15,MATCH("2018::jama.2018.18020::C009",'C_jama.2018.18020'!$A$2:$A$15,0))="","",INDEX('C_jama.2018.18020'!$D$2:$D$15,MATCH("2018::jama.2018.18020::C009",'C_jama.2018.18020'!$A$2:$A$15,0))),"NOT FROZEN")</x:f>
      </x:c>
      <x:c r="C90" s="6" t="str">
        <x:f>IF(Setup!$B$6="primary",IF(INDEX('C_jama.2018.18020'!$E$2:$E$15,MATCH("2018::jama.2018.18020::C009",'C_jama.2018.18020'!$A$2:$A$15,0))="","",INDEX('C_jama.2018.18020'!$E$2:$E$15,MATCH("2018::jama.2018.18020::C009",'C_jama.2018.18020'!$A$2:$A$15,0))),"NOT FROZEN")</x:f>
        <x:v>statistical_results</x:v>
      </x:c>
      <x:c r="D90" s="6" t="str">
        <x:f>IF(Setup!$B$6="primary",IF(AND(INDEX('C_jama.2018.18020'!$D$2:$D$15,MATCH("2018::jama.2018.18020::C009",'C_jama.2018.18020'!$A$2:$A$15,0))="retain",INDEX('C_jama.2018.18020'!$E$2:$E$15,MATCH("2018::jama.2018.18020::C009",'C_jama.2018.18020'!$A$2:$A$15,0))="statistical_results"),IF(INDEX('C_jama.2018.18020'!$H$2:$H$15,MATCH("2018::jama.2018.18020::C009",'C_jama.2018.18020'!$A$2:$A$15,0))="","",INDEX('C_jama.2018.18020'!$H$2:$H$15,MATCH("2018::jama.2018.18020::C009",'C_jama.2018.18020'!$A$2:$A$15,0))),"not_applicable"),"NOT FROZEN")</x:f>
        <x:v>not_applicable</x:v>
      </x:c>
      <x:c r="E90" s="6" t="str">
        <x:f>IF(Setup!$B$6="primary",IF(AND(INDEX('C_jama.2018.18020'!$D$2:$D$15,MATCH("2018::jama.2018.18020::C009",'C_jama.2018.18020'!$A$2:$A$15,0))="retain",INDEX('C_jama.2018.18020'!$E$2:$E$15,MATCH("2018::jama.2018.18020::C009",'C_jama.2018.18020'!$A$2:$A$15,0))="statistical_results"),IF(INDEX('C_jama.2018.18020'!$I$2:$I$15,MATCH("2018::jama.2018.18020::C009",'C_jama.2018.18020'!$A$2:$A$15,0))="","",INDEX('C_jama.2018.18020'!$I$2:$I$15,MATCH("2018::jama.2018.18020::C009",'C_jama.2018.18020'!$A$2:$A$15,0))),"not_applicable"),"NOT FROZEN")</x:f>
        <x:v>not_applicable</x:v>
      </x:c>
      <x:c r="F90" s="6" t="str">
        <x:f>IF(Setup!$B$6="primary",IF(AND(INDEX('C_jama.2018.18020'!$D$2:$D$15,MATCH("2018::jama.2018.18020::C009",'C_jama.2018.18020'!$A$2:$A$15,0))="retain",INDEX('C_jama.2018.18020'!$E$2:$E$15,MATCH("2018::jama.2018.18020::C009",'C_jama.2018.18020'!$A$2:$A$15,0))="statistical_results"),IF(INDEX('C_jama.2018.18020'!$J$2:$J$15,MATCH("2018::jama.2018.18020::C009",'C_jama.2018.18020'!$A$2:$A$15,0))="","",INDEX('C_jama.2018.18020'!$J$2:$J$15,MATCH("2018::jama.2018.18020::C009",'C_jama.2018.18020'!$A$2:$A$15,0))),"not_applicable"),"NOT FROZEN")</x:f>
        <x:v>not_applicable</x:v>
      </x:c>
      <x:c r="G90" s="6" t="str">
        <x:f>IF(Setup!$B$6="primary",IF(AND(INDEX('C_jama.2018.18020'!$D$2:$D$15,MATCH("2018::jama.2018.18020::C009",'C_jama.2018.18020'!$A$2:$A$15,0))="retain",OR(INDEX('C_jama.2018.18020'!$E$2:$E$15,MATCH("2018::jama.2018.18020::C009",'C_jama.2018.18020'!$A$2:$A$15,0))="report_internal_inconsistency",INDEX('C_jama.2018.18020'!$E$2:$E$15,MATCH("2018::jama.2018.18020::C009",'C_jama.2018.18020'!$A$2:$A$15,0))="plan_material")),IF(INDEX('C_jama.2018.18020'!$K$2:$K$15,MATCH("2018::jama.2018.18020::C009",'C_jama.2018.18020'!$A$2:$A$15,0))="","",INDEX('C_jama.2018.18020'!$K$2:$K$15,MATCH("2018::jama.2018.18020::C009",'C_jama.2018.18020'!$A$2:$A$15,0))),"not_applicable"),"NOT FROZEN")</x:f>
        <x:v>not_applicable</x:v>
      </x:c>
      <x:c r="H90" s="6" t="str">
        <x:f>IF(Setup!$B$6="primary",IF(AND(INDEX('C_jama.2018.18020'!$D$2:$D$15,MATCH("2018::jama.2018.18020::C009",'C_jama.2018.18020'!$A$2:$A$15,0))="retain",INDEX('C_jama.2018.18020'!$E$2:$E$15,MATCH("2018::jama.2018.18020::C009",'C_jama.2018.18020'!$A$2:$A$15,0))="protocol_report"),IF(INDEX('C_jama.2018.18020'!$L$2:$L$15,MATCH("2018::jama.2018.18020::C009",'C_jama.2018.18020'!$A$2:$A$15,0))="","",INDEX('C_jama.2018.18020'!$L$2:$L$15,MATCH("2018::jama.2018.18020::C009",'C_jama.2018.18020'!$A$2:$A$15,0))),"not_applicable"),"NOT FROZEN")</x:f>
        <x:v>not_applicable</x:v>
      </x:c>
      <x:c r="I90" s="6" t="str">
        <x:f>IF(Setup!$B$6="primary",IF(INDEX('C_jama.2018.18020'!$R$2:$R$15,MATCH("2018::jama.2018.18020::C009",'C_jama.2018.18020'!$A$2:$A$15,0))="","",INDEX('C_jama.2018.18020'!$R$2:$R$15,MATCH("2018::jama.2018.18020::C009",'C_jama.2018.18020'!$A$2:$A$15,0))),"NOT FROZEN")</x:f>
      </x:c>
      <x:c r="J90" s="6" t="str">
        <x:f>IF(Setup!$B$6="primary",INDEX('C_jama.2018.18020'!$F$2:$F$15,MATCH("2018::jama.2018.18020::C009",'C_jama.2018.18020'!$A$2:$A$15,0)),"NOT FROZEN")</x:f>
        <x:v>no</x:v>
      </x:c>
      <x:c r="K90" s="6" t="str">
        <x:f>IF(Setup!$B$6="primary",Setup!$B$2,"NOT FROZEN")</x:f>
      </x:c>
      <x:c r="L90" s="6" t="str">
        <x:f>IF(Setup!$B$6="primary",IF(OR(B90="",B90="not_applicable"),"","Disposition: "&amp;B90&amp;CHAR(10))&amp;IF(OR(C90="",C90="not_applicable"),"","Review domain: "&amp;C90&amp;CHAR(10))&amp;IF(OR(D90="",D90="not_applicable"),"","Statistcal_or_numerical issue: "&amp;D90&amp;CHAR(10))&amp;IF(OR(E90="",E90="not_applicable"),"","Substantiveness: "&amp;E90&amp;CHAR(10))&amp;IF(OR(F90="",F90="not_applicable"),"","Downstream impact: "&amp;F90&amp;CHAR(10))&amp;IF(OR(G90="",G90="not_applicable"),"","Report-internal or planning-material inconsistency: "&amp;G90&amp;CHAR(10))&amp;IF(OR(H90="",H90="not_applicable"),"","Protocol interpretation: "&amp;H90&amp;CHAR(10))&amp;IF(OR(I90="",I90="not_applicable"),"","Notes (optional): "&amp;I90&amp;CHAR(10)),"NOT FROZEN")</x:f>
        <x:v>Review domain: statistical_results
</x:v>
      </x:c>
    </x:row>
    <x:row r="91" ht="70" customHeight="1">
      <x:c r="A91" s="3" t="str">
        <x:f>IF(Setup!$B$6="primary","2018::jama.2018.18020::C010","NOT FROZEN")</x:f>
        <x:v>2018::jama.2018.18020::C010</x:v>
      </x:c>
      <x:c r="B91" s="3" t="str">
        <x:f>IF(Setup!$B$6="primary",IF(INDEX('C_jama.2018.18020'!$D$2:$D$15,MATCH("2018::jama.2018.18020::C010",'C_jama.2018.18020'!$A$2:$A$15,0))="","",INDEX('C_jama.2018.18020'!$D$2:$D$15,MATCH("2018::jama.2018.18020::C010",'C_jama.2018.18020'!$A$2:$A$15,0))),"NOT FROZEN")</x:f>
      </x:c>
      <x:c r="C91" s="3" t="str">
        <x:f>IF(Setup!$B$6="primary",IF(INDEX('C_jama.2018.18020'!$E$2:$E$15,MATCH("2018::jama.2018.18020::C010",'C_jama.2018.18020'!$A$2:$A$15,0))="","",INDEX('C_jama.2018.18020'!$E$2:$E$15,MATCH("2018::jama.2018.18020::C010",'C_jama.2018.18020'!$A$2:$A$15,0))),"NOT FROZEN")</x:f>
        <x:v>statistical_results</x:v>
      </x:c>
      <x:c r="D91" s="3" t="str">
        <x:f>IF(Setup!$B$6="primary",IF(AND(INDEX('C_jama.2018.18020'!$D$2:$D$15,MATCH("2018::jama.2018.18020::C010",'C_jama.2018.18020'!$A$2:$A$15,0))="retain",INDEX('C_jama.2018.18020'!$E$2:$E$15,MATCH("2018::jama.2018.18020::C010",'C_jama.2018.18020'!$A$2:$A$15,0))="statistical_results"),IF(INDEX('C_jama.2018.18020'!$H$2:$H$15,MATCH("2018::jama.2018.18020::C010",'C_jama.2018.18020'!$A$2:$A$15,0))="","",INDEX('C_jama.2018.18020'!$H$2:$H$15,MATCH("2018::jama.2018.18020::C010",'C_jama.2018.18020'!$A$2:$A$15,0))),"not_applicable"),"NOT FROZEN")</x:f>
        <x:v>not_applicable</x:v>
      </x:c>
      <x:c r="E91" s="3" t="str">
        <x:f>IF(Setup!$B$6="primary",IF(AND(INDEX('C_jama.2018.18020'!$D$2:$D$15,MATCH("2018::jama.2018.18020::C010",'C_jama.2018.18020'!$A$2:$A$15,0))="retain",INDEX('C_jama.2018.18020'!$E$2:$E$15,MATCH("2018::jama.2018.18020::C010",'C_jama.2018.18020'!$A$2:$A$15,0))="statistical_results"),IF(INDEX('C_jama.2018.18020'!$I$2:$I$15,MATCH("2018::jama.2018.18020::C010",'C_jama.2018.18020'!$A$2:$A$15,0))="","",INDEX('C_jama.2018.18020'!$I$2:$I$15,MATCH("2018::jama.2018.18020::C010",'C_jama.2018.18020'!$A$2:$A$15,0))),"not_applicable"),"NOT FROZEN")</x:f>
        <x:v>not_applicable</x:v>
      </x:c>
      <x:c r="F91" s="3" t="str">
        <x:f>IF(Setup!$B$6="primary",IF(AND(INDEX('C_jama.2018.18020'!$D$2:$D$15,MATCH("2018::jama.2018.18020::C010",'C_jama.2018.18020'!$A$2:$A$15,0))="retain",INDEX('C_jama.2018.18020'!$E$2:$E$15,MATCH("2018::jama.2018.18020::C010",'C_jama.2018.18020'!$A$2:$A$15,0))="statistical_results"),IF(INDEX('C_jama.2018.18020'!$J$2:$J$15,MATCH("2018::jama.2018.18020::C010",'C_jama.2018.18020'!$A$2:$A$15,0))="","",INDEX('C_jama.2018.18020'!$J$2:$J$15,MATCH("2018::jama.2018.18020::C010",'C_jama.2018.18020'!$A$2:$A$15,0))),"not_applicable"),"NOT FROZEN")</x:f>
        <x:v>not_applicable</x:v>
      </x:c>
      <x:c r="G91" s="3" t="str">
        <x:f>IF(Setup!$B$6="primary",IF(AND(INDEX('C_jama.2018.18020'!$D$2:$D$15,MATCH("2018::jama.2018.18020::C010",'C_jama.2018.18020'!$A$2:$A$15,0))="retain",OR(INDEX('C_jama.2018.18020'!$E$2:$E$15,MATCH("2018::jama.2018.18020::C010",'C_jama.2018.18020'!$A$2:$A$15,0))="report_internal_inconsistency",INDEX('C_jama.2018.18020'!$E$2:$E$15,MATCH("2018::jama.2018.18020::C010",'C_jama.2018.18020'!$A$2:$A$15,0))="plan_material")),IF(INDEX('C_jama.2018.18020'!$K$2:$K$15,MATCH("2018::jama.2018.18020::C010",'C_jama.2018.18020'!$A$2:$A$15,0))="","",INDEX('C_jama.2018.18020'!$K$2:$K$15,MATCH("2018::jama.2018.18020::C010",'C_jama.2018.18020'!$A$2:$A$15,0))),"not_applicable"),"NOT FROZEN")</x:f>
        <x:v>not_applicable</x:v>
      </x:c>
      <x:c r="H91" s="3" t="str">
        <x:f>IF(Setup!$B$6="primary",IF(AND(INDEX('C_jama.2018.18020'!$D$2:$D$15,MATCH("2018::jama.2018.18020::C010",'C_jama.2018.18020'!$A$2:$A$15,0))="retain",INDEX('C_jama.2018.18020'!$E$2:$E$15,MATCH("2018::jama.2018.18020::C010",'C_jama.2018.18020'!$A$2:$A$15,0))="protocol_report"),IF(INDEX('C_jama.2018.18020'!$L$2:$L$15,MATCH("2018::jama.2018.18020::C010",'C_jama.2018.18020'!$A$2:$A$15,0))="","",INDEX('C_jama.2018.18020'!$L$2:$L$15,MATCH("2018::jama.2018.18020::C010",'C_jama.2018.18020'!$A$2:$A$15,0))),"not_applicable"),"NOT FROZEN")</x:f>
        <x:v>not_applicable</x:v>
      </x:c>
      <x:c r="I91" s="3" t="str">
        <x:f>IF(Setup!$B$6="primary",IF(INDEX('C_jama.2018.18020'!$R$2:$R$15,MATCH("2018::jama.2018.18020::C010",'C_jama.2018.18020'!$A$2:$A$15,0))="","",INDEX('C_jama.2018.18020'!$R$2:$R$15,MATCH("2018::jama.2018.18020::C010",'C_jama.2018.18020'!$A$2:$A$15,0))),"NOT FROZEN")</x:f>
      </x:c>
      <x:c r="J91" s="3" t="str">
        <x:f>IF(Setup!$B$6="primary",INDEX('C_jama.2018.18020'!$F$2:$F$15,MATCH("2018::jama.2018.18020::C010",'C_jama.2018.18020'!$A$2:$A$15,0)),"NOT FROZEN")</x:f>
        <x:v>no</x:v>
      </x:c>
      <x:c r="K91" s="3" t="str">
        <x:f>IF(Setup!$B$6="primary",Setup!$B$2,"NOT FROZEN")</x:f>
      </x:c>
      <x:c r="L91" s="3" t="str">
        <x:f>IF(Setup!$B$6="primary",IF(OR(B91="",B91="not_applicable"),"","Disposition: "&amp;B91&amp;CHAR(10))&amp;IF(OR(C91="",C91="not_applicable"),"","Review domain: "&amp;C91&amp;CHAR(10))&amp;IF(OR(D91="",D91="not_applicable"),"","Statistcal_or_numerical issue: "&amp;D91&amp;CHAR(10))&amp;IF(OR(E91="",E91="not_applicable"),"","Substantiveness: "&amp;E91&amp;CHAR(10))&amp;IF(OR(F91="",F91="not_applicable"),"","Downstream impact: "&amp;F91&amp;CHAR(10))&amp;IF(OR(G91="",G91="not_applicable"),"","Report-internal or planning-material inconsistency: "&amp;G91&amp;CHAR(10))&amp;IF(OR(H91="",H91="not_applicable"),"","Protocol interpretation: "&amp;H91&amp;CHAR(10))&amp;IF(OR(I91="",I91="not_applicable"),"","Notes (optional): "&amp;I91&amp;CHAR(10)),"NOT FROZEN")</x:f>
        <x:v>Review domain: statistical_results
</x:v>
      </x:c>
    </x:row>
    <x:row r="92" ht="70" customHeight="1">
      <x:c r="A92" s="6" t="str">
        <x:f>IF(Setup!$B$6="primary","2018::jama.2018.18020::C011","NOT FROZEN")</x:f>
        <x:v>2018::jama.2018.18020::C011</x:v>
      </x:c>
      <x:c r="B92" s="6" t="str">
        <x:f>IF(Setup!$B$6="primary",IF(INDEX('C_jama.2018.18020'!$D$2:$D$15,MATCH("2018::jama.2018.18020::C011",'C_jama.2018.18020'!$A$2:$A$15,0))="","",INDEX('C_jama.2018.18020'!$D$2:$D$15,MATCH("2018::jama.2018.18020::C011",'C_jama.2018.18020'!$A$2:$A$15,0))),"NOT FROZEN")</x:f>
      </x:c>
      <x:c r="C92" s="6" t="str">
        <x:f>IF(Setup!$B$6="primary",IF(INDEX('C_jama.2018.18020'!$E$2:$E$15,MATCH("2018::jama.2018.18020::C011",'C_jama.2018.18020'!$A$2:$A$15,0))="","",INDEX('C_jama.2018.18020'!$E$2:$E$15,MATCH("2018::jama.2018.18020::C011",'C_jama.2018.18020'!$A$2:$A$15,0))),"NOT FROZEN")</x:f>
        <x:v>statistical_results</x:v>
      </x:c>
      <x:c r="D92" s="6" t="str">
        <x:f>IF(Setup!$B$6="primary",IF(AND(INDEX('C_jama.2018.18020'!$D$2:$D$15,MATCH("2018::jama.2018.18020::C011",'C_jama.2018.18020'!$A$2:$A$15,0))="retain",INDEX('C_jama.2018.18020'!$E$2:$E$15,MATCH("2018::jama.2018.18020::C011",'C_jama.2018.18020'!$A$2:$A$15,0))="statistical_results"),IF(INDEX('C_jama.2018.18020'!$H$2:$H$15,MATCH("2018::jama.2018.18020::C011",'C_jama.2018.18020'!$A$2:$A$15,0))="","",INDEX('C_jama.2018.18020'!$H$2:$H$15,MATCH("2018::jama.2018.18020::C011",'C_jama.2018.18020'!$A$2:$A$15,0))),"not_applicable"),"NOT FROZEN")</x:f>
        <x:v>not_applicable</x:v>
      </x:c>
      <x:c r="E92" s="6" t="str">
        <x:f>IF(Setup!$B$6="primary",IF(AND(INDEX('C_jama.2018.18020'!$D$2:$D$15,MATCH("2018::jama.2018.18020::C011",'C_jama.2018.18020'!$A$2:$A$15,0))="retain",INDEX('C_jama.2018.18020'!$E$2:$E$15,MATCH("2018::jama.2018.18020::C011",'C_jama.2018.18020'!$A$2:$A$15,0))="statistical_results"),IF(INDEX('C_jama.2018.18020'!$I$2:$I$15,MATCH("2018::jama.2018.18020::C011",'C_jama.2018.18020'!$A$2:$A$15,0))="","",INDEX('C_jama.2018.18020'!$I$2:$I$15,MATCH("2018::jama.2018.18020::C011",'C_jama.2018.18020'!$A$2:$A$15,0))),"not_applicable"),"NOT FROZEN")</x:f>
        <x:v>not_applicable</x:v>
      </x:c>
      <x:c r="F92" s="6" t="str">
        <x:f>IF(Setup!$B$6="primary",IF(AND(INDEX('C_jama.2018.18020'!$D$2:$D$15,MATCH("2018::jama.2018.18020::C011",'C_jama.2018.18020'!$A$2:$A$15,0))="retain",INDEX('C_jama.2018.18020'!$E$2:$E$15,MATCH("2018::jama.2018.18020::C011",'C_jama.2018.18020'!$A$2:$A$15,0))="statistical_results"),IF(INDEX('C_jama.2018.18020'!$J$2:$J$15,MATCH("2018::jama.2018.18020::C011",'C_jama.2018.18020'!$A$2:$A$15,0))="","",INDEX('C_jama.2018.18020'!$J$2:$J$15,MATCH("2018::jama.2018.18020::C011",'C_jama.2018.18020'!$A$2:$A$15,0))),"not_applicable"),"NOT FROZEN")</x:f>
        <x:v>not_applicable</x:v>
      </x:c>
      <x:c r="G92" s="6" t="str">
        <x:f>IF(Setup!$B$6="primary",IF(AND(INDEX('C_jama.2018.18020'!$D$2:$D$15,MATCH("2018::jama.2018.18020::C011",'C_jama.2018.18020'!$A$2:$A$15,0))="retain",OR(INDEX('C_jama.2018.18020'!$E$2:$E$15,MATCH("2018::jama.2018.18020::C011",'C_jama.2018.18020'!$A$2:$A$15,0))="report_internal_inconsistency",INDEX('C_jama.2018.18020'!$E$2:$E$15,MATCH("2018::jama.2018.18020::C011",'C_jama.2018.18020'!$A$2:$A$15,0))="plan_material")),IF(INDEX('C_jama.2018.18020'!$K$2:$K$15,MATCH("2018::jama.2018.18020::C011",'C_jama.2018.18020'!$A$2:$A$15,0))="","",INDEX('C_jama.2018.18020'!$K$2:$K$15,MATCH("2018::jama.2018.18020::C011",'C_jama.2018.18020'!$A$2:$A$15,0))),"not_applicable"),"NOT FROZEN")</x:f>
        <x:v>not_applicable</x:v>
      </x:c>
      <x:c r="H92" s="6" t="str">
        <x:f>IF(Setup!$B$6="primary",IF(AND(INDEX('C_jama.2018.18020'!$D$2:$D$15,MATCH("2018::jama.2018.18020::C011",'C_jama.2018.18020'!$A$2:$A$15,0))="retain",INDEX('C_jama.2018.18020'!$E$2:$E$15,MATCH("2018::jama.2018.18020::C011",'C_jama.2018.18020'!$A$2:$A$15,0))="protocol_report"),IF(INDEX('C_jama.2018.18020'!$L$2:$L$15,MATCH("2018::jama.2018.18020::C011",'C_jama.2018.18020'!$A$2:$A$15,0))="","",INDEX('C_jama.2018.18020'!$L$2:$L$15,MATCH("2018::jama.2018.18020::C011",'C_jama.2018.18020'!$A$2:$A$15,0))),"not_applicable"),"NOT FROZEN")</x:f>
        <x:v>not_applicable</x:v>
      </x:c>
      <x:c r="I92" s="6" t="str">
        <x:f>IF(Setup!$B$6="primary",IF(INDEX('C_jama.2018.18020'!$R$2:$R$15,MATCH("2018::jama.2018.18020::C011",'C_jama.2018.18020'!$A$2:$A$15,0))="","",INDEX('C_jama.2018.18020'!$R$2:$R$15,MATCH("2018::jama.2018.18020::C011",'C_jama.2018.18020'!$A$2:$A$15,0))),"NOT FROZEN")</x:f>
      </x:c>
      <x:c r="J92" s="6" t="str">
        <x:f>IF(Setup!$B$6="primary",INDEX('C_jama.2018.18020'!$F$2:$F$15,MATCH("2018::jama.2018.18020::C011",'C_jama.2018.18020'!$A$2:$A$15,0)),"NOT FROZEN")</x:f>
        <x:v>no</x:v>
      </x:c>
      <x:c r="K92" s="6" t="str">
        <x:f>IF(Setup!$B$6="primary",Setup!$B$2,"NOT FROZEN")</x:f>
      </x:c>
      <x:c r="L92" s="6" t="str">
        <x:f>IF(Setup!$B$6="primary",IF(OR(B92="",B92="not_applicable"),"","Disposition: "&amp;B92&amp;CHAR(10))&amp;IF(OR(C92="",C92="not_applicable"),"","Review domain: "&amp;C92&amp;CHAR(10))&amp;IF(OR(D92="",D92="not_applicable"),"","Statistcal_or_numerical issue: "&amp;D92&amp;CHAR(10))&amp;IF(OR(E92="",E92="not_applicable"),"","Substantiveness: "&amp;E92&amp;CHAR(10))&amp;IF(OR(F92="",F92="not_applicable"),"","Downstream impact: "&amp;F92&amp;CHAR(10))&amp;IF(OR(G92="",G92="not_applicable"),"","Report-internal or planning-material inconsistency: "&amp;G92&amp;CHAR(10))&amp;IF(OR(H92="",H92="not_applicable"),"","Protocol interpretation: "&amp;H92&amp;CHAR(10))&amp;IF(OR(I92="",I92="not_applicable"),"","Notes (optional): "&amp;I92&amp;CHAR(10)),"NOT FROZEN")</x:f>
        <x:v>Review domain: statistical_results
</x:v>
      </x:c>
    </x:row>
    <x:row r="93" ht="70" customHeight="1">
      <x:c r="A93" s="3" t="str">
        <x:f>IF(Setup!$B$6="primary","2018::jama.2018.18020::C012","NOT FROZEN")</x:f>
        <x:v>2018::jama.2018.18020::C012</x:v>
      </x:c>
      <x:c r="B93" s="3" t="str">
        <x:f>IF(Setup!$B$6="primary",IF(INDEX('C_jama.2018.18020'!$D$2:$D$15,MATCH("2018::jama.2018.18020::C012",'C_jama.2018.18020'!$A$2:$A$15,0))="","",INDEX('C_jama.2018.18020'!$D$2:$D$15,MATCH("2018::jama.2018.18020::C012",'C_jama.2018.18020'!$A$2:$A$15,0))),"NOT FROZEN")</x:f>
      </x:c>
      <x:c r="C93" s="3" t="str">
        <x:f>IF(Setup!$B$6="primary",IF(INDEX('C_jama.2018.18020'!$E$2:$E$15,MATCH("2018::jama.2018.18020::C012",'C_jama.2018.18020'!$A$2:$A$15,0))="","",INDEX('C_jama.2018.18020'!$E$2:$E$15,MATCH("2018::jama.2018.18020::C012",'C_jama.2018.18020'!$A$2:$A$15,0))),"NOT FROZEN")</x:f>
        <x:v>statistical_results</x:v>
      </x:c>
      <x:c r="D93" s="3" t="str">
        <x:f>IF(Setup!$B$6="primary",IF(AND(INDEX('C_jama.2018.18020'!$D$2:$D$15,MATCH("2018::jama.2018.18020::C012",'C_jama.2018.18020'!$A$2:$A$15,0))="retain",INDEX('C_jama.2018.18020'!$E$2:$E$15,MATCH("2018::jama.2018.18020::C012",'C_jama.2018.18020'!$A$2:$A$15,0))="statistical_results"),IF(INDEX('C_jama.2018.18020'!$H$2:$H$15,MATCH("2018::jama.2018.18020::C012",'C_jama.2018.18020'!$A$2:$A$15,0))="","",INDEX('C_jama.2018.18020'!$H$2:$H$15,MATCH("2018::jama.2018.18020::C012",'C_jama.2018.18020'!$A$2:$A$15,0))),"not_applicable"),"NOT FROZEN")</x:f>
        <x:v>not_applicable</x:v>
      </x:c>
      <x:c r="E93" s="3" t="str">
        <x:f>IF(Setup!$B$6="primary",IF(AND(INDEX('C_jama.2018.18020'!$D$2:$D$15,MATCH("2018::jama.2018.18020::C012",'C_jama.2018.18020'!$A$2:$A$15,0))="retain",INDEX('C_jama.2018.18020'!$E$2:$E$15,MATCH("2018::jama.2018.18020::C012",'C_jama.2018.18020'!$A$2:$A$15,0))="statistical_results"),IF(INDEX('C_jama.2018.18020'!$I$2:$I$15,MATCH("2018::jama.2018.18020::C012",'C_jama.2018.18020'!$A$2:$A$15,0))="","",INDEX('C_jama.2018.18020'!$I$2:$I$15,MATCH("2018::jama.2018.18020::C012",'C_jama.2018.18020'!$A$2:$A$15,0))),"not_applicable"),"NOT FROZEN")</x:f>
        <x:v>not_applicable</x:v>
      </x:c>
      <x:c r="F93" s="3" t="str">
        <x:f>IF(Setup!$B$6="primary",IF(AND(INDEX('C_jama.2018.18020'!$D$2:$D$15,MATCH("2018::jama.2018.18020::C012",'C_jama.2018.18020'!$A$2:$A$15,0))="retain",INDEX('C_jama.2018.18020'!$E$2:$E$15,MATCH("2018::jama.2018.18020::C012",'C_jama.2018.18020'!$A$2:$A$15,0))="statistical_results"),IF(INDEX('C_jama.2018.18020'!$J$2:$J$15,MATCH("2018::jama.2018.18020::C012",'C_jama.2018.18020'!$A$2:$A$15,0))="","",INDEX('C_jama.2018.18020'!$J$2:$J$15,MATCH("2018::jama.2018.18020::C012",'C_jama.2018.18020'!$A$2:$A$15,0))),"not_applicable"),"NOT FROZEN")</x:f>
        <x:v>not_applicable</x:v>
      </x:c>
      <x:c r="G93" s="3" t="str">
        <x:f>IF(Setup!$B$6="primary",IF(AND(INDEX('C_jama.2018.18020'!$D$2:$D$15,MATCH("2018::jama.2018.18020::C012",'C_jama.2018.18020'!$A$2:$A$15,0))="retain",OR(INDEX('C_jama.2018.18020'!$E$2:$E$15,MATCH("2018::jama.2018.18020::C012",'C_jama.2018.18020'!$A$2:$A$15,0))="report_internal_inconsistency",INDEX('C_jama.2018.18020'!$E$2:$E$15,MATCH("2018::jama.2018.18020::C012",'C_jama.2018.18020'!$A$2:$A$15,0))="plan_material")),IF(INDEX('C_jama.2018.18020'!$K$2:$K$15,MATCH("2018::jama.2018.18020::C012",'C_jama.2018.18020'!$A$2:$A$15,0))="","",INDEX('C_jama.2018.18020'!$K$2:$K$15,MATCH("2018::jama.2018.18020::C012",'C_jama.2018.18020'!$A$2:$A$15,0))),"not_applicable"),"NOT FROZEN")</x:f>
        <x:v>not_applicable</x:v>
      </x:c>
      <x:c r="H93" s="3" t="str">
        <x:f>IF(Setup!$B$6="primary",IF(AND(INDEX('C_jama.2018.18020'!$D$2:$D$15,MATCH("2018::jama.2018.18020::C012",'C_jama.2018.18020'!$A$2:$A$15,0))="retain",INDEX('C_jama.2018.18020'!$E$2:$E$15,MATCH("2018::jama.2018.18020::C012",'C_jama.2018.18020'!$A$2:$A$15,0))="protocol_report"),IF(INDEX('C_jama.2018.18020'!$L$2:$L$15,MATCH("2018::jama.2018.18020::C012",'C_jama.2018.18020'!$A$2:$A$15,0))="","",INDEX('C_jama.2018.18020'!$L$2:$L$15,MATCH("2018::jama.2018.18020::C012",'C_jama.2018.18020'!$A$2:$A$15,0))),"not_applicable"),"NOT FROZEN")</x:f>
        <x:v>not_applicable</x:v>
      </x:c>
      <x:c r="I93" s="3" t="str">
        <x:f>IF(Setup!$B$6="primary",IF(INDEX('C_jama.2018.18020'!$R$2:$R$15,MATCH("2018::jama.2018.18020::C012",'C_jama.2018.18020'!$A$2:$A$15,0))="","",INDEX('C_jama.2018.18020'!$R$2:$R$15,MATCH("2018::jama.2018.18020::C012",'C_jama.2018.18020'!$A$2:$A$15,0))),"NOT FROZEN")</x:f>
      </x:c>
      <x:c r="J93" s="3" t="str">
        <x:f>IF(Setup!$B$6="primary",INDEX('C_jama.2018.18020'!$F$2:$F$15,MATCH("2018::jama.2018.18020::C012",'C_jama.2018.18020'!$A$2:$A$15,0)),"NOT FROZEN")</x:f>
        <x:v>no</x:v>
      </x:c>
      <x:c r="K93" s="3" t="str">
        <x:f>IF(Setup!$B$6="primary",Setup!$B$2,"NOT FROZEN")</x:f>
      </x:c>
      <x:c r="L93" s="3" t="str">
        <x:f>IF(Setup!$B$6="primary",IF(OR(B93="",B93="not_applicable"),"","Disposition: "&amp;B93&amp;CHAR(10))&amp;IF(OR(C93="",C93="not_applicable"),"","Review domain: "&amp;C93&amp;CHAR(10))&amp;IF(OR(D93="",D93="not_applicable"),"","Statistcal_or_numerical issue: "&amp;D93&amp;CHAR(10))&amp;IF(OR(E93="",E93="not_applicable"),"","Substantiveness: "&amp;E93&amp;CHAR(10))&amp;IF(OR(F93="",F93="not_applicable"),"","Downstream impact: "&amp;F93&amp;CHAR(10))&amp;IF(OR(G93="",G93="not_applicable"),"","Report-internal or planning-material inconsistency: "&amp;G93&amp;CHAR(10))&amp;IF(OR(H93="",H93="not_applicable"),"","Protocol interpretation: "&amp;H93&amp;CHAR(10))&amp;IF(OR(I93="",I93="not_applicable"),"","Notes (optional): "&amp;I93&amp;CHAR(10)),"NOT FROZEN")</x:f>
        <x:v>Review domain: statistical_results
</x:v>
      </x:c>
    </x:row>
    <x:row r="94" ht="70" customHeight="1">
      <x:c r="A94" s="6" t="str">
        <x:f>IF(Setup!$B$6="primary","2018::jama.2018.18020::C013","NOT FROZEN")</x:f>
        <x:v>2018::jama.2018.18020::C013</x:v>
      </x:c>
      <x:c r="B94" s="6" t="str">
        <x:f>IF(Setup!$B$6="primary",IF(INDEX('C_jama.2018.18020'!$D$2:$D$15,MATCH("2018::jama.2018.18020::C013",'C_jama.2018.18020'!$A$2:$A$15,0))="","",INDEX('C_jama.2018.18020'!$D$2:$D$15,MATCH("2018::jama.2018.18020::C013",'C_jama.2018.18020'!$A$2:$A$15,0))),"NOT FROZEN")</x:f>
      </x:c>
      <x:c r="C94" s="6" t="str">
        <x:f>IF(Setup!$B$6="primary",IF(INDEX('C_jama.2018.18020'!$E$2:$E$15,MATCH("2018::jama.2018.18020::C013",'C_jama.2018.18020'!$A$2:$A$15,0))="","",INDEX('C_jama.2018.18020'!$E$2:$E$15,MATCH("2018::jama.2018.18020::C013",'C_jama.2018.18020'!$A$2:$A$15,0))),"NOT FROZEN")</x:f>
        <x:v>statistical_results</x:v>
      </x:c>
      <x:c r="D94" s="6" t="str">
        <x:f>IF(Setup!$B$6="primary",IF(AND(INDEX('C_jama.2018.18020'!$D$2:$D$15,MATCH("2018::jama.2018.18020::C013",'C_jama.2018.18020'!$A$2:$A$15,0))="retain",INDEX('C_jama.2018.18020'!$E$2:$E$15,MATCH("2018::jama.2018.18020::C013",'C_jama.2018.18020'!$A$2:$A$15,0))="statistical_results"),IF(INDEX('C_jama.2018.18020'!$H$2:$H$15,MATCH("2018::jama.2018.18020::C013",'C_jama.2018.18020'!$A$2:$A$15,0))="","",INDEX('C_jama.2018.18020'!$H$2:$H$15,MATCH("2018::jama.2018.18020::C013",'C_jama.2018.18020'!$A$2:$A$15,0))),"not_applicable"),"NOT FROZEN")</x:f>
        <x:v>not_applicable</x:v>
      </x:c>
      <x:c r="E94" s="6" t="str">
        <x:f>IF(Setup!$B$6="primary",IF(AND(INDEX('C_jama.2018.18020'!$D$2:$D$15,MATCH("2018::jama.2018.18020::C013",'C_jama.2018.18020'!$A$2:$A$15,0))="retain",INDEX('C_jama.2018.18020'!$E$2:$E$15,MATCH("2018::jama.2018.18020::C013",'C_jama.2018.18020'!$A$2:$A$15,0))="statistical_results"),IF(INDEX('C_jama.2018.18020'!$I$2:$I$15,MATCH("2018::jama.2018.18020::C013",'C_jama.2018.18020'!$A$2:$A$15,0))="","",INDEX('C_jama.2018.18020'!$I$2:$I$15,MATCH("2018::jama.2018.18020::C013",'C_jama.2018.18020'!$A$2:$A$15,0))),"not_applicable"),"NOT FROZEN")</x:f>
        <x:v>not_applicable</x:v>
      </x:c>
      <x:c r="F94" s="6" t="str">
        <x:f>IF(Setup!$B$6="primary",IF(AND(INDEX('C_jama.2018.18020'!$D$2:$D$15,MATCH("2018::jama.2018.18020::C013",'C_jama.2018.18020'!$A$2:$A$15,0))="retain",INDEX('C_jama.2018.18020'!$E$2:$E$15,MATCH("2018::jama.2018.18020::C013",'C_jama.2018.18020'!$A$2:$A$15,0))="statistical_results"),IF(INDEX('C_jama.2018.18020'!$J$2:$J$15,MATCH("2018::jama.2018.18020::C013",'C_jama.2018.18020'!$A$2:$A$15,0))="","",INDEX('C_jama.2018.18020'!$J$2:$J$15,MATCH("2018::jama.2018.18020::C013",'C_jama.2018.18020'!$A$2:$A$15,0))),"not_applicable"),"NOT FROZEN")</x:f>
        <x:v>not_applicable</x:v>
      </x:c>
      <x:c r="G94" s="6" t="str">
        <x:f>IF(Setup!$B$6="primary",IF(AND(INDEX('C_jama.2018.18020'!$D$2:$D$15,MATCH("2018::jama.2018.18020::C013",'C_jama.2018.18020'!$A$2:$A$15,0))="retain",OR(INDEX('C_jama.2018.18020'!$E$2:$E$15,MATCH("2018::jama.2018.18020::C013",'C_jama.2018.18020'!$A$2:$A$15,0))="report_internal_inconsistency",INDEX('C_jama.2018.18020'!$E$2:$E$15,MATCH("2018::jama.2018.18020::C013",'C_jama.2018.18020'!$A$2:$A$15,0))="plan_material")),IF(INDEX('C_jama.2018.18020'!$K$2:$K$15,MATCH("2018::jama.2018.18020::C013",'C_jama.2018.18020'!$A$2:$A$15,0))="","",INDEX('C_jama.2018.18020'!$K$2:$K$15,MATCH("2018::jama.2018.18020::C013",'C_jama.2018.18020'!$A$2:$A$15,0))),"not_applicable"),"NOT FROZEN")</x:f>
        <x:v>not_applicable</x:v>
      </x:c>
      <x:c r="H94" s="6" t="str">
        <x:f>IF(Setup!$B$6="primary",IF(AND(INDEX('C_jama.2018.18020'!$D$2:$D$15,MATCH("2018::jama.2018.18020::C013",'C_jama.2018.18020'!$A$2:$A$15,0))="retain",INDEX('C_jama.2018.18020'!$E$2:$E$15,MATCH("2018::jama.2018.18020::C013",'C_jama.2018.18020'!$A$2:$A$15,0))="protocol_report"),IF(INDEX('C_jama.2018.18020'!$L$2:$L$15,MATCH("2018::jama.2018.18020::C013",'C_jama.2018.18020'!$A$2:$A$15,0))="","",INDEX('C_jama.2018.18020'!$L$2:$L$15,MATCH("2018::jama.2018.18020::C013",'C_jama.2018.18020'!$A$2:$A$15,0))),"not_applicable"),"NOT FROZEN")</x:f>
        <x:v>not_applicable</x:v>
      </x:c>
      <x:c r="I94" s="6" t="str">
        <x:f>IF(Setup!$B$6="primary",IF(INDEX('C_jama.2018.18020'!$R$2:$R$15,MATCH("2018::jama.2018.18020::C013",'C_jama.2018.18020'!$A$2:$A$15,0))="","",INDEX('C_jama.2018.18020'!$R$2:$R$15,MATCH("2018::jama.2018.18020::C013",'C_jama.2018.18020'!$A$2:$A$15,0))),"NOT FROZEN")</x:f>
      </x:c>
      <x:c r="J94" s="6" t="str">
        <x:f>IF(Setup!$B$6="primary",INDEX('C_jama.2018.18020'!$F$2:$F$15,MATCH("2018::jama.2018.18020::C013",'C_jama.2018.18020'!$A$2:$A$15,0)),"NOT FROZEN")</x:f>
        <x:v>no</x:v>
      </x:c>
      <x:c r="K94" s="6" t="str">
        <x:f>IF(Setup!$B$6="primary",Setup!$B$2,"NOT FROZEN")</x:f>
      </x:c>
      <x:c r="L94" s="6" t="str">
        <x:f>IF(Setup!$B$6="primary",IF(OR(B94="",B94="not_applicable"),"","Disposition: "&amp;B94&amp;CHAR(10))&amp;IF(OR(C94="",C94="not_applicable"),"","Review domain: "&amp;C94&amp;CHAR(10))&amp;IF(OR(D94="",D94="not_applicable"),"","Statistcal_or_numerical issue: "&amp;D94&amp;CHAR(10))&amp;IF(OR(E94="",E94="not_applicable"),"","Substantiveness: "&amp;E94&amp;CHAR(10))&amp;IF(OR(F94="",F94="not_applicable"),"","Downstream impact: "&amp;F94&amp;CHAR(10))&amp;IF(OR(G94="",G94="not_applicable"),"","Report-internal or planning-material inconsistency: "&amp;G94&amp;CHAR(10))&amp;IF(OR(H94="",H94="not_applicable"),"","Protocol interpretation: "&amp;H94&amp;CHAR(10))&amp;IF(OR(I94="",I94="not_applicable"),"","Notes (optional): "&amp;I94&amp;CHAR(10)),"NOT FROZEN")</x:f>
        <x:v>Review domain: statistical_results
</x:v>
      </x:c>
    </x:row>
    <x:row r="95" ht="70" customHeight="1">
      <x:c r="A95" s="3" t="str">
        <x:f>IF(Setup!$B$6="primary","2018::jama.2018.18020::C014","NOT FROZEN")</x:f>
        <x:v>2018::jama.2018.18020::C014</x:v>
      </x:c>
      <x:c r="B95" s="3" t="str">
        <x:f>IF(Setup!$B$6="primary",IF(INDEX('C_jama.2018.18020'!$D$2:$D$15,MATCH("2018::jama.2018.18020::C014",'C_jama.2018.18020'!$A$2:$A$15,0))="","",INDEX('C_jama.2018.18020'!$D$2:$D$15,MATCH("2018::jama.2018.18020::C014",'C_jama.2018.18020'!$A$2:$A$15,0))),"NOT FROZEN")</x:f>
      </x:c>
      <x:c r="C95" s="3" t="str">
        <x:f>IF(Setup!$B$6="primary",IF(INDEX('C_jama.2018.18020'!$E$2:$E$15,MATCH("2018::jama.2018.18020::C014",'C_jama.2018.18020'!$A$2:$A$15,0))="","",INDEX('C_jama.2018.18020'!$E$2:$E$15,MATCH("2018::jama.2018.18020::C014",'C_jama.2018.18020'!$A$2:$A$15,0))),"NOT FROZEN")</x:f>
        <x:v>statistical_results</x:v>
      </x:c>
      <x:c r="D95" s="3" t="str">
        <x:f>IF(Setup!$B$6="primary",IF(AND(INDEX('C_jama.2018.18020'!$D$2:$D$15,MATCH("2018::jama.2018.18020::C014",'C_jama.2018.18020'!$A$2:$A$15,0))="retain",INDEX('C_jama.2018.18020'!$E$2:$E$15,MATCH("2018::jama.2018.18020::C014",'C_jama.2018.18020'!$A$2:$A$15,0))="statistical_results"),IF(INDEX('C_jama.2018.18020'!$H$2:$H$15,MATCH("2018::jama.2018.18020::C014",'C_jama.2018.18020'!$A$2:$A$15,0))="","",INDEX('C_jama.2018.18020'!$H$2:$H$15,MATCH("2018::jama.2018.18020::C014",'C_jama.2018.18020'!$A$2:$A$15,0))),"not_applicable"),"NOT FROZEN")</x:f>
        <x:v>not_applicable</x:v>
      </x:c>
      <x:c r="E95" s="3" t="str">
        <x:f>IF(Setup!$B$6="primary",IF(AND(INDEX('C_jama.2018.18020'!$D$2:$D$15,MATCH("2018::jama.2018.18020::C014",'C_jama.2018.18020'!$A$2:$A$15,0))="retain",INDEX('C_jama.2018.18020'!$E$2:$E$15,MATCH("2018::jama.2018.18020::C014",'C_jama.2018.18020'!$A$2:$A$15,0))="statistical_results"),IF(INDEX('C_jama.2018.18020'!$I$2:$I$15,MATCH("2018::jama.2018.18020::C014",'C_jama.2018.18020'!$A$2:$A$15,0))="","",INDEX('C_jama.2018.18020'!$I$2:$I$15,MATCH("2018::jama.2018.18020::C014",'C_jama.2018.18020'!$A$2:$A$15,0))),"not_applicable"),"NOT FROZEN")</x:f>
        <x:v>not_applicable</x:v>
      </x:c>
      <x:c r="F95" s="3" t="str">
        <x:f>IF(Setup!$B$6="primary",IF(AND(INDEX('C_jama.2018.18020'!$D$2:$D$15,MATCH("2018::jama.2018.18020::C014",'C_jama.2018.18020'!$A$2:$A$15,0))="retain",INDEX('C_jama.2018.18020'!$E$2:$E$15,MATCH("2018::jama.2018.18020::C014",'C_jama.2018.18020'!$A$2:$A$15,0))="statistical_results"),IF(INDEX('C_jama.2018.18020'!$J$2:$J$15,MATCH("2018::jama.2018.18020::C014",'C_jama.2018.18020'!$A$2:$A$15,0))="","",INDEX('C_jama.2018.18020'!$J$2:$J$15,MATCH("2018::jama.2018.18020::C014",'C_jama.2018.18020'!$A$2:$A$15,0))),"not_applicable"),"NOT FROZEN")</x:f>
        <x:v>not_applicable</x:v>
      </x:c>
      <x:c r="G95" s="3" t="str">
        <x:f>IF(Setup!$B$6="primary",IF(AND(INDEX('C_jama.2018.18020'!$D$2:$D$15,MATCH("2018::jama.2018.18020::C014",'C_jama.2018.18020'!$A$2:$A$15,0))="retain",OR(INDEX('C_jama.2018.18020'!$E$2:$E$15,MATCH("2018::jama.2018.18020::C014",'C_jama.2018.18020'!$A$2:$A$15,0))="report_internal_inconsistency",INDEX('C_jama.2018.18020'!$E$2:$E$15,MATCH("2018::jama.2018.18020::C014",'C_jama.2018.18020'!$A$2:$A$15,0))="plan_material")),IF(INDEX('C_jama.2018.18020'!$K$2:$K$15,MATCH("2018::jama.2018.18020::C014",'C_jama.2018.18020'!$A$2:$A$15,0))="","",INDEX('C_jama.2018.18020'!$K$2:$K$15,MATCH("2018::jama.2018.18020::C014",'C_jama.2018.18020'!$A$2:$A$15,0))),"not_applicable"),"NOT FROZEN")</x:f>
        <x:v>not_applicable</x:v>
      </x:c>
      <x:c r="H95" s="3" t="str">
        <x:f>IF(Setup!$B$6="primary",IF(AND(INDEX('C_jama.2018.18020'!$D$2:$D$15,MATCH("2018::jama.2018.18020::C014",'C_jama.2018.18020'!$A$2:$A$15,0))="retain",INDEX('C_jama.2018.18020'!$E$2:$E$15,MATCH("2018::jama.2018.18020::C014",'C_jama.2018.18020'!$A$2:$A$15,0))="protocol_report"),IF(INDEX('C_jama.2018.18020'!$L$2:$L$15,MATCH("2018::jama.2018.18020::C014",'C_jama.2018.18020'!$A$2:$A$15,0))="","",INDEX('C_jama.2018.18020'!$L$2:$L$15,MATCH("2018::jama.2018.18020::C014",'C_jama.2018.18020'!$A$2:$A$15,0))),"not_applicable"),"NOT FROZEN")</x:f>
        <x:v>not_applicable</x:v>
      </x:c>
      <x:c r="I95" s="3" t="str">
        <x:f>IF(Setup!$B$6="primary",IF(INDEX('C_jama.2018.18020'!$R$2:$R$15,MATCH("2018::jama.2018.18020::C014",'C_jama.2018.18020'!$A$2:$A$15,0))="","",INDEX('C_jama.2018.18020'!$R$2:$R$15,MATCH("2018::jama.2018.18020::C014",'C_jama.2018.18020'!$A$2:$A$15,0))),"NOT FROZEN")</x:f>
      </x:c>
      <x:c r="J95" s="3" t="str">
        <x:f>IF(Setup!$B$6="primary",INDEX('C_jama.2018.18020'!$F$2:$F$15,MATCH("2018::jama.2018.18020::C014",'C_jama.2018.18020'!$A$2:$A$15,0)),"NOT FROZEN")</x:f>
        <x:v>no</x:v>
      </x:c>
      <x:c r="K95" s="3" t="str">
        <x:f>IF(Setup!$B$6="primary",Setup!$B$2,"NOT FROZEN")</x:f>
      </x:c>
      <x:c r="L95" s="3" t="str">
        <x:f>IF(Setup!$B$6="primary",IF(OR(B95="",B95="not_applicable"),"","Disposition: "&amp;B95&amp;CHAR(10))&amp;IF(OR(C95="",C95="not_applicable"),"","Review domain: "&amp;C95&amp;CHAR(10))&amp;IF(OR(D95="",D95="not_applicable"),"","Statistcal_or_numerical issue: "&amp;D95&amp;CHAR(10))&amp;IF(OR(E95="",E95="not_applicable"),"","Substantiveness: "&amp;E95&amp;CHAR(10))&amp;IF(OR(F95="",F95="not_applicable"),"","Downstream impact: "&amp;F95&amp;CHAR(10))&amp;IF(OR(G95="",G95="not_applicable"),"","Report-internal or planning-material inconsistency: "&amp;G95&amp;CHAR(10))&amp;IF(OR(H95="",H95="not_applicable"),"","Protocol interpretation: "&amp;H95&amp;CHAR(10))&amp;IF(OR(I95="",I95="not_applicable"),"","Notes (optional): "&amp;I95&amp;CHAR(10)),"NOT FROZEN")</x:f>
        <x:v>Review domain: statistical_results
</x:v>
      </x:c>
    </x:row>
    <x:row r="96" ht="70" customHeight="1">
      <x:c r="A96" s="6" t="str">
        <x:f>IF(Setup!$B$6="primary","2018::jama.2018.6496::C001","NOT FROZEN")</x:f>
        <x:v>2018::jama.2018.6496::C001</x:v>
      </x:c>
      <x:c r="B96" s="6" t="str">
        <x:f>IF(Setup!$B$6="primary",IF(INDEX('C_jama.2018.6496'!$D$2:$D$5,MATCH("2018::jama.2018.6496::C001",'C_jama.2018.6496'!$A$2:$A$5,0))="","",INDEX('C_jama.2018.6496'!$D$2:$D$5,MATCH("2018::jama.2018.6496::C001",'C_jama.2018.6496'!$A$2:$A$5,0))),"NOT FROZEN")</x:f>
      </x:c>
      <x:c r="C96" s="6" t="str">
        <x:f>IF(Setup!$B$6="primary",IF(INDEX('C_jama.2018.6496'!$E$2:$E$5,MATCH("2018::jama.2018.6496::C001",'C_jama.2018.6496'!$A$2:$A$5,0))="","",INDEX('C_jama.2018.6496'!$E$2:$E$5,MATCH("2018::jama.2018.6496::C001",'C_jama.2018.6496'!$A$2:$A$5,0))),"NOT FROZEN")</x:f>
        <x:v>statistical_results</x:v>
      </x:c>
      <x:c r="D96" s="6" t="str">
        <x:f>IF(Setup!$B$6="primary",IF(AND(INDEX('C_jama.2018.6496'!$D$2:$D$5,MATCH("2018::jama.2018.6496::C001",'C_jama.2018.6496'!$A$2:$A$5,0))="retain",INDEX('C_jama.2018.6496'!$E$2:$E$5,MATCH("2018::jama.2018.6496::C001",'C_jama.2018.6496'!$A$2:$A$5,0))="statistical_results"),IF(INDEX('C_jama.2018.6496'!$H$2:$H$5,MATCH("2018::jama.2018.6496::C001",'C_jama.2018.6496'!$A$2:$A$5,0))="","",INDEX('C_jama.2018.6496'!$H$2:$H$5,MATCH("2018::jama.2018.6496::C001",'C_jama.2018.6496'!$A$2:$A$5,0))),"not_applicable"),"NOT FROZEN")</x:f>
        <x:v>not_applicable</x:v>
      </x:c>
      <x:c r="E96" s="6" t="str">
        <x:f>IF(Setup!$B$6="primary",IF(AND(INDEX('C_jama.2018.6496'!$D$2:$D$5,MATCH("2018::jama.2018.6496::C001",'C_jama.2018.6496'!$A$2:$A$5,0))="retain",INDEX('C_jama.2018.6496'!$E$2:$E$5,MATCH("2018::jama.2018.6496::C001",'C_jama.2018.6496'!$A$2:$A$5,0))="statistical_results"),IF(INDEX('C_jama.2018.6496'!$I$2:$I$5,MATCH("2018::jama.2018.6496::C001",'C_jama.2018.6496'!$A$2:$A$5,0))="","",INDEX('C_jama.2018.6496'!$I$2:$I$5,MATCH("2018::jama.2018.6496::C001",'C_jama.2018.6496'!$A$2:$A$5,0))),"not_applicable"),"NOT FROZEN")</x:f>
        <x:v>not_applicable</x:v>
      </x:c>
      <x:c r="F96" s="6" t="str">
        <x:f>IF(Setup!$B$6="primary",IF(AND(INDEX('C_jama.2018.6496'!$D$2:$D$5,MATCH("2018::jama.2018.6496::C001",'C_jama.2018.6496'!$A$2:$A$5,0))="retain",INDEX('C_jama.2018.6496'!$E$2:$E$5,MATCH("2018::jama.2018.6496::C001",'C_jama.2018.6496'!$A$2:$A$5,0))="statistical_results"),IF(INDEX('C_jama.2018.6496'!$J$2:$J$5,MATCH("2018::jama.2018.6496::C001",'C_jama.2018.6496'!$A$2:$A$5,0))="","",INDEX('C_jama.2018.6496'!$J$2:$J$5,MATCH("2018::jama.2018.6496::C001",'C_jama.2018.6496'!$A$2:$A$5,0))),"not_applicable"),"NOT FROZEN")</x:f>
        <x:v>not_applicable</x:v>
      </x:c>
      <x:c r="G96" s="6" t="str">
        <x:f>IF(Setup!$B$6="primary",IF(AND(INDEX('C_jama.2018.6496'!$D$2:$D$5,MATCH("2018::jama.2018.6496::C001",'C_jama.2018.6496'!$A$2:$A$5,0))="retain",OR(INDEX('C_jama.2018.6496'!$E$2:$E$5,MATCH("2018::jama.2018.6496::C001",'C_jama.2018.6496'!$A$2:$A$5,0))="report_internal_inconsistency",INDEX('C_jama.2018.6496'!$E$2:$E$5,MATCH("2018::jama.2018.6496::C001",'C_jama.2018.6496'!$A$2:$A$5,0))="plan_material")),IF(INDEX('C_jama.2018.6496'!$K$2:$K$5,MATCH("2018::jama.2018.6496::C001",'C_jama.2018.6496'!$A$2:$A$5,0))="","",INDEX('C_jama.2018.6496'!$K$2:$K$5,MATCH("2018::jama.2018.6496::C001",'C_jama.2018.6496'!$A$2:$A$5,0))),"not_applicable"),"NOT FROZEN")</x:f>
        <x:v>not_applicable</x:v>
      </x:c>
      <x:c r="H96" s="6" t="str">
        <x:f>IF(Setup!$B$6="primary",IF(AND(INDEX('C_jama.2018.6496'!$D$2:$D$5,MATCH("2018::jama.2018.6496::C001",'C_jama.2018.6496'!$A$2:$A$5,0))="retain",INDEX('C_jama.2018.6496'!$E$2:$E$5,MATCH("2018::jama.2018.6496::C001",'C_jama.2018.6496'!$A$2:$A$5,0))="protocol_report"),IF(INDEX('C_jama.2018.6496'!$L$2:$L$5,MATCH("2018::jama.2018.6496::C001",'C_jama.2018.6496'!$A$2:$A$5,0))="","",INDEX('C_jama.2018.6496'!$L$2:$L$5,MATCH("2018::jama.2018.6496::C001",'C_jama.2018.6496'!$A$2:$A$5,0))),"not_applicable"),"NOT FROZEN")</x:f>
        <x:v>not_applicable</x:v>
      </x:c>
      <x:c r="I96" s="6" t="str">
        <x:f>IF(Setup!$B$6="primary",IF(INDEX('C_jama.2018.6496'!$R$2:$R$5,MATCH("2018::jama.2018.6496::C001",'C_jama.2018.6496'!$A$2:$A$5,0))="","",INDEX('C_jama.2018.6496'!$R$2:$R$5,MATCH("2018::jama.2018.6496::C001",'C_jama.2018.6496'!$A$2:$A$5,0))),"NOT FROZEN")</x:f>
      </x:c>
      <x:c r="J96" s="6" t="str">
        <x:f>IF(Setup!$B$6="primary",INDEX('C_jama.2018.6496'!$F$2:$F$5,MATCH("2018::jama.2018.6496::C001",'C_jama.2018.6496'!$A$2:$A$5,0)),"NOT FROZEN")</x:f>
        <x:v>no</x:v>
      </x:c>
      <x:c r="K96" s="6" t="str">
        <x:f>IF(Setup!$B$6="primary",Setup!$B$2,"NOT FROZEN")</x:f>
      </x:c>
      <x:c r="L96" s="6" t="str">
        <x:f>IF(Setup!$B$6="primary",IF(OR(B96="",B96="not_applicable"),"","Disposition: "&amp;B96&amp;CHAR(10))&amp;IF(OR(C96="",C96="not_applicable"),"","Review domain: "&amp;C96&amp;CHAR(10))&amp;IF(OR(D96="",D96="not_applicable"),"","Statistcal_or_numerical issue: "&amp;D96&amp;CHAR(10))&amp;IF(OR(E96="",E96="not_applicable"),"","Substantiveness: "&amp;E96&amp;CHAR(10))&amp;IF(OR(F96="",F96="not_applicable"),"","Downstream impact: "&amp;F96&amp;CHAR(10))&amp;IF(OR(G96="",G96="not_applicable"),"","Report-internal or planning-material inconsistency: "&amp;G96&amp;CHAR(10))&amp;IF(OR(H96="",H96="not_applicable"),"","Protocol interpretation: "&amp;H96&amp;CHAR(10))&amp;IF(OR(I96="",I96="not_applicable"),"","Notes (optional): "&amp;I96&amp;CHAR(10)),"NOT FROZEN")</x:f>
        <x:v>Review domain: statistical_results
</x:v>
      </x:c>
    </x:row>
    <x:row r="97" ht="70" customHeight="1">
      <x:c r="A97" s="3" t="str">
        <x:f>IF(Setup!$B$6="primary","2018::jama.2018.6496::C002","NOT FROZEN")</x:f>
        <x:v>2018::jama.2018.6496::C002</x:v>
      </x:c>
      <x:c r="B97" s="3" t="str">
        <x:f>IF(Setup!$B$6="primary",IF(INDEX('C_jama.2018.6496'!$D$2:$D$5,MATCH("2018::jama.2018.6496::C002",'C_jama.2018.6496'!$A$2:$A$5,0))="","",INDEX('C_jama.2018.6496'!$D$2:$D$5,MATCH("2018::jama.2018.6496::C002",'C_jama.2018.6496'!$A$2:$A$5,0))),"NOT FROZEN")</x:f>
      </x:c>
      <x:c r="C97" s="3" t="str">
        <x:f>IF(Setup!$B$6="primary",IF(INDEX('C_jama.2018.6496'!$E$2:$E$5,MATCH("2018::jama.2018.6496::C002",'C_jama.2018.6496'!$A$2:$A$5,0))="","",INDEX('C_jama.2018.6496'!$E$2:$E$5,MATCH("2018::jama.2018.6496::C002",'C_jama.2018.6496'!$A$2:$A$5,0))),"NOT FROZEN")</x:f>
        <x:v>statistical_results</x:v>
      </x:c>
      <x:c r="D97" s="3" t="str">
        <x:f>IF(Setup!$B$6="primary",IF(AND(INDEX('C_jama.2018.6496'!$D$2:$D$5,MATCH("2018::jama.2018.6496::C002",'C_jama.2018.6496'!$A$2:$A$5,0))="retain",INDEX('C_jama.2018.6496'!$E$2:$E$5,MATCH("2018::jama.2018.6496::C002",'C_jama.2018.6496'!$A$2:$A$5,0))="statistical_results"),IF(INDEX('C_jama.2018.6496'!$H$2:$H$5,MATCH("2018::jama.2018.6496::C002",'C_jama.2018.6496'!$A$2:$A$5,0))="","",INDEX('C_jama.2018.6496'!$H$2:$H$5,MATCH("2018::jama.2018.6496::C002",'C_jama.2018.6496'!$A$2:$A$5,0))),"not_applicable"),"NOT FROZEN")</x:f>
        <x:v>not_applicable</x:v>
      </x:c>
      <x:c r="E97" s="3" t="str">
        <x:f>IF(Setup!$B$6="primary",IF(AND(INDEX('C_jama.2018.6496'!$D$2:$D$5,MATCH("2018::jama.2018.6496::C002",'C_jama.2018.6496'!$A$2:$A$5,0))="retain",INDEX('C_jama.2018.6496'!$E$2:$E$5,MATCH("2018::jama.2018.6496::C002",'C_jama.2018.6496'!$A$2:$A$5,0))="statistical_results"),IF(INDEX('C_jama.2018.6496'!$I$2:$I$5,MATCH("2018::jama.2018.6496::C002",'C_jama.2018.6496'!$A$2:$A$5,0))="","",INDEX('C_jama.2018.6496'!$I$2:$I$5,MATCH("2018::jama.2018.6496::C002",'C_jama.2018.6496'!$A$2:$A$5,0))),"not_applicable"),"NOT FROZEN")</x:f>
        <x:v>not_applicable</x:v>
      </x:c>
      <x:c r="F97" s="3" t="str">
        <x:f>IF(Setup!$B$6="primary",IF(AND(INDEX('C_jama.2018.6496'!$D$2:$D$5,MATCH("2018::jama.2018.6496::C002",'C_jama.2018.6496'!$A$2:$A$5,0))="retain",INDEX('C_jama.2018.6496'!$E$2:$E$5,MATCH("2018::jama.2018.6496::C002",'C_jama.2018.6496'!$A$2:$A$5,0))="statistical_results"),IF(INDEX('C_jama.2018.6496'!$J$2:$J$5,MATCH("2018::jama.2018.6496::C002",'C_jama.2018.6496'!$A$2:$A$5,0))="","",INDEX('C_jama.2018.6496'!$J$2:$J$5,MATCH("2018::jama.2018.6496::C002",'C_jama.2018.6496'!$A$2:$A$5,0))),"not_applicable"),"NOT FROZEN")</x:f>
        <x:v>not_applicable</x:v>
      </x:c>
      <x:c r="G97" s="3" t="str">
        <x:f>IF(Setup!$B$6="primary",IF(AND(INDEX('C_jama.2018.6496'!$D$2:$D$5,MATCH("2018::jama.2018.6496::C002",'C_jama.2018.6496'!$A$2:$A$5,0))="retain",OR(INDEX('C_jama.2018.6496'!$E$2:$E$5,MATCH("2018::jama.2018.6496::C002",'C_jama.2018.6496'!$A$2:$A$5,0))="report_internal_inconsistency",INDEX('C_jama.2018.6496'!$E$2:$E$5,MATCH("2018::jama.2018.6496::C002",'C_jama.2018.6496'!$A$2:$A$5,0))="plan_material")),IF(INDEX('C_jama.2018.6496'!$K$2:$K$5,MATCH("2018::jama.2018.6496::C002",'C_jama.2018.6496'!$A$2:$A$5,0))="","",INDEX('C_jama.2018.6496'!$K$2:$K$5,MATCH("2018::jama.2018.6496::C002",'C_jama.2018.6496'!$A$2:$A$5,0))),"not_applicable"),"NOT FROZEN")</x:f>
        <x:v>not_applicable</x:v>
      </x:c>
      <x:c r="H97" s="3" t="str">
        <x:f>IF(Setup!$B$6="primary",IF(AND(INDEX('C_jama.2018.6496'!$D$2:$D$5,MATCH("2018::jama.2018.6496::C002",'C_jama.2018.6496'!$A$2:$A$5,0))="retain",INDEX('C_jama.2018.6496'!$E$2:$E$5,MATCH("2018::jama.2018.6496::C002",'C_jama.2018.6496'!$A$2:$A$5,0))="protocol_report"),IF(INDEX('C_jama.2018.6496'!$L$2:$L$5,MATCH("2018::jama.2018.6496::C002",'C_jama.2018.6496'!$A$2:$A$5,0))="","",INDEX('C_jama.2018.6496'!$L$2:$L$5,MATCH("2018::jama.2018.6496::C002",'C_jama.2018.6496'!$A$2:$A$5,0))),"not_applicable"),"NOT FROZEN")</x:f>
        <x:v>not_applicable</x:v>
      </x:c>
      <x:c r="I97" s="3" t="str">
        <x:f>IF(Setup!$B$6="primary",IF(INDEX('C_jama.2018.6496'!$R$2:$R$5,MATCH("2018::jama.2018.6496::C002",'C_jama.2018.6496'!$A$2:$A$5,0))="","",INDEX('C_jama.2018.6496'!$R$2:$R$5,MATCH("2018::jama.2018.6496::C002",'C_jama.2018.6496'!$A$2:$A$5,0))),"NOT FROZEN")</x:f>
      </x:c>
      <x:c r="J97" s="3" t="str">
        <x:f>IF(Setup!$B$6="primary",INDEX('C_jama.2018.6496'!$F$2:$F$5,MATCH("2018::jama.2018.6496::C002",'C_jama.2018.6496'!$A$2:$A$5,0)),"NOT FROZEN")</x:f>
        <x:v>no</x:v>
      </x:c>
      <x:c r="K97" s="3" t="str">
        <x:f>IF(Setup!$B$6="primary",Setup!$B$2,"NOT FROZEN")</x:f>
      </x:c>
      <x:c r="L97" s="3" t="str">
        <x:f>IF(Setup!$B$6="primary",IF(OR(B97="",B97="not_applicable"),"","Disposition: "&amp;B97&amp;CHAR(10))&amp;IF(OR(C97="",C97="not_applicable"),"","Review domain: "&amp;C97&amp;CHAR(10))&amp;IF(OR(D97="",D97="not_applicable"),"","Statistcal_or_numerical issue: "&amp;D97&amp;CHAR(10))&amp;IF(OR(E97="",E97="not_applicable"),"","Substantiveness: "&amp;E97&amp;CHAR(10))&amp;IF(OR(F97="",F97="not_applicable"),"","Downstream impact: "&amp;F97&amp;CHAR(10))&amp;IF(OR(G97="",G97="not_applicable"),"","Report-internal or planning-material inconsistency: "&amp;G97&amp;CHAR(10))&amp;IF(OR(H97="",H97="not_applicable"),"","Protocol interpretation: "&amp;H97&amp;CHAR(10))&amp;IF(OR(I97="",I97="not_applicable"),"","Notes (optional): "&amp;I97&amp;CHAR(10)),"NOT FROZEN")</x:f>
        <x:v>Review domain: statistical_results
</x:v>
      </x:c>
    </x:row>
    <x:row r="98" ht="70" customHeight="1">
      <x:c r="A98" s="6" t="str">
        <x:f>IF(Setup!$B$6="primary","2018::jama.2018.6496::C003","NOT FROZEN")</x:f>
        <x:v>2018::jama.2018.6496::C003</x:v>
      </x:c>
      <x:c r="B98" s="6" t="str">
        <x:f>IF(Setup!$B$6="primary",IF(INDEX('C_jama.2018.6496'!$D$2:$D$5,MATCH("2018::jama.2018.6496::C003",'C_jama.2018.6496'!$A$2:$A$5,0))="","",INDEX('C_jama.2018.6496'!$D$2:$D$5,MATCH("2018::jama.2018.6496::C003",'C_jama.2018.6496'!$A$2:$A$5,0))),"NOT FROZEN")</x:f>
      </x:c>
      <x:c r="C98" s="6" t="str">
        <x:f>IF(Setup!$B$6="primary",IF(INDEX('C_jama.2018.6496'!$E$2:$E$5,MATCH("2018::jama.2018.6496::C003",'C_jama.2018.6496'!$A$2:$A$5,0))="","",INDEX('C_jama.2018.6496'!$E$2:$E$5,MATCH("2018::jama.2018.6496::C003",'C_jama.2018.6496'!$A$2:$A$5,0))),"NOT FROZEN")</x:f>
        <x:v>protocol_report</x:v>
      </x:c>
      <x:c r="D98" s="6" t="str">
        <x:f>IF(Setup!$B$6="primary",IF(AND(INDEX('C_jama.2018.6496'!$D$2:$D$5,MATCH("2018::jama.2018.6496::C003",'C_jama.2018.6496'!$A$2:$A$5,0))="retain",INDEX('C_jama.2018.6496'!$E$2:$E$5,MATCH("2018::jama.2018.6496::C003",'C_jama.2018.6496'!$A$2:$A$5,0))="statistical_results"),IF(INDEX('C_jama.2018.6496'!$H$2:$H$5,MATCH("2018::jama.2018.6496::C003",'C_jama.2018.6496'!$A$2:$A$5,0))="","",INDEX('C_jama.2018.6496'!$H$2:$H$5,MATCH("2018::jama.2018.6496::C003",'C_jama.2018.6496'!$A$2:$A$5,0))),"not_applicable"),"NOT FROZEN")</x:f>
        <x:v>not_applicable</x:v>
      </x:c>
      <x:c r="E98" s="6" t="str">
        <x:f>IF(Setup!$B$6="primary",IF(AND(INDEX('C_jama.2018.6496'!$D$2:$D$5,MATCH("2018::jama.2018.6496::C003",'C_jama.2018.6496'!$A$2:$A$5,0))="retain",INDEX('C_jama.2018.6496'!$E$2:$E$5,MATCH("2018::jama.2018.6496::C003",'C_jama.2018.6496'!$A$2:$A$5,0))="statistical_results"),IF(INDEX('C_jama.2018.6496'!$I$2:$I$5,MATCH("2018::jama.2018.6496::C003",'C_jama.2018.6496'!$A$2:$A$5,0))="","",INDEX('C_jama.2018.6496'!$I$2:$I$5,MATCH("2018::jama.2018.6496::C003",'C_jama.2018.6496'!$A$2:$A$5,0))),"not_applicable"),"NOT FROZEN")</x:f>
        <x:v>not_applicable</x:v>
      </x:c>
      <x:c r="F98" s="6" t="str">
        <x:f>IF(Setup!$B$6="primary",IF(AND(INDEX('C_jama.2018.6496'!$D$2:$D$5,MATCH("2018::jama.2018.6496::C003",'C_jama.2018.6496'!$A$2:$A$5,0))="retain",INDEX('C_jama.2018.6496'!$E$2:$E$5,MATCH("2018::jama.2018.6496::C003",'C_jama.2018.6496'!$A$2:$A$5,0))="statistical_results"),IF(INDEX('C_jama.2018.6496'!$J$2:$J$5,MATCH("2018::jama.2018.6496::C003",'C_jama.2018.6496'!$A$2:$A$5,0))="","",INDEX('C_jama.2018.6496'!$J$2:$J$5,MATCH("2018::jama.2018.6496::C003",'C_jama.2018.6496'!$A$2:$A$5,0))),"not_applicable"),"NOT FROZEN")</x:f>
        <x:v>not_applicable</x:v>
      </x:c>
      <x:c r="G98" s="6" t="str">
        <x:f>IF(Setup!$B$6="primary",IF(AND(INDEX('C_jama.2018.6496'!$D$2:$D$5,MATCH("2018::jama.2018.6496::C003",'C_jama.2018.6496'!$A$2:$A$5,0))="retain",OR(INDEX('C_jama.2018.6496'!$E$2:$E$5,MATCH("2018::jama.2018.6496::C003",'C_jama.2018.6496'!$A$2:$A$5,0))="report_internal_inconsistency",INDEX('C_jama.2018.6496'!$E$2:$E$5,MATCH("2018::jama.2018.6496::C003",'C_jama.2018.6496'!$A$2:$A$5,0))="plan_material")),IF(INDEX('C_jama.2018.6496'!$K$2:$K$5,MATCH("2018::jama.2018.6496::C003",'C_jama.2018.6496'!$A$2:$A$5,0))="","",INDEX('C_jama.2018.6496'!$K$2:$K$5,MATCH("2018::jama.2018.6496::C003",'C_jama.2018.6496'!$A$2:$A$5,0))),"not_applicable"),"NOT FROZEN")</x:f>
        <x:v>not_applicable</x:v>
      </x:c>
      <x:c r="H98" s="6" t="str">
        <x:f>IF(Setup!$B$6="primary",IF(AND(INDEX('C_jama.2018.6496'!$D$2:$D$5,MATCH("2018::jama.2018.6496::C003",'C_jama.2018.6496'!$A$2:$A$5,0))="retain",INDEX('C_jama.2018.6496'!$E$2:$E$5,MATCH("2018::jama.2018.6496::C003",'C_jama.2018.6496'!$A$2:$A$5,0))="protocol_report"),IF(INDEX('C_jama.2018.6496'!$L$2:$L$5,MATCH("2018::jama.2018.6496::C003",'C_jama.2018.6496'!$A$2:$A$5,0))="","",INDEX('C_jama.2018.6496'!$L$2:$L$5,MATCH("2018::jama.2018.6496::C003",'C_jama.2018.6496'!$A$2:$A$5,0))),"not_applicable"),"NOT FROZEN")</x:f>
        <x:v>not_applicable</x:v>
      </x:c>
      <x:c r="I98" s="6" t="str">
        <x:f>IF(Setup!$B$6="primary",IF(INDEX('C_jama.2018.6496'!$R$2:$R$5,MATCH("2018::jama.2018.6496::C003",'C_jama.2018.6496'!$A$2:$A$5,0))="","",INDEX('C_jama.2018.6496'!$R$2:$R$5,MATCH("2018::jama.2018.6496::C003",'C_jama.2018.6496'!$A$2:$A$5,0))),"NOT FROZEN")</x:f>
      </x:c>
      <x:c r="J98" s="6" t="str">
        <x:f>IF(Setup!$B$6="primary",INDEX('C_jama.2018.6496'!$F$2:$F$5,MATCH("2018::jama.2018.6496::C003",'C_jama.2018.6496'!$A$2:$A$5,0)),"NOT FROZEN")</x:f>
        <x:v>no</x:v>
      </x:c>
      <x:c r="K98" s="6" t="str">
        <x:f>IF(Setup!$B$6="primary",Setup!$B$2,"NOT FROZEN")</x:f>
      </x:c>
      <x:c r="L98" s="6" t="str">
        <x:f>IF(Setup!$B$6="primary",IF(OR(B98="",B98="not_applicable"),"","Disposition: "&amp;B98&amp;CHAR(10))&amp;IF(OR(C98="",C98="not_applicable"),"","Review domain: "&amp;C98&amp;CHAR(10))&amp;IF(OR(D98="",D98="not_applicable"),"","Statistcal_or_numerical issue: "&amp;D98&amp;CHAR(10))&amp;IF(OR(E98="",E98="not_applicable"),"","Substantiveness: "&amp;E98&amp;CHAR(10))&amp;IF(OR(F98="",F98="not_applicable"),"","Downstream impact: "&amp;F98&amp;CHAR(10))&amp;IF(OR(G98="",G98="not_applicable"),"","Report-internal or planning-material inconsistency: "&amp;G98&amp;CHAR(10))&amp;IF(OR(H98="",H98="not_applicable"),"","Protocol interpretation: "&amp;H98&amp;CHAR(10))&amp;IF(OR(I98="",I98="not_applicable"),"","Notes (optional): "&amp;I98&amp;CHAR(10)),"NOT FROZEN")</x:f>
        <x:v>Review domain: protocol_report
</x:v>
      </x:c>
    </x:row>
    <x:row r="99" ht="70" customHeight="1">
      <x:c r="A99" s="3" t="str">
        <x:f>IF(Setup!$B$6="primary","2018::jama.2018.6496::C004","NOT FROZEN")</x:f>
        <x:v>2018::jama.2018.6496::C004</x:v>
      </x:c>
      <x:c r="B99" s="3" t="str">
        <x:f>IF(Setup!$B$6="primary",IF(INDEX('C_jama.2018.6496'!$D$2:$D$5,MATCH("2018::jama.2018.6496::C004",'C_jama.2018.6496'!$A$2:$A$5,0))="","",INDEX('C_jama.2018.6496'!$D$2:$D$5,MATCH("2018::jama.2018.6496::C004",'C_jama.2018.6496'!$A$2:$A$5,0))),"NOT FROZEN")</x:f>
      </x:c>
      <x:c r="C99" s="3" t="str">
        <x:f>IF(Setup!$B$6="primary",IF(INDEX('C_jama.2018.6496'!$E$2:$E$5,MATCH("2018::jama.2018.6496::C004",'C_jama.2018.6496'!$A$2:$A$5,0))="","",INDEX('C_jama.2018.6496'!$E$2:$E$5,MATCH("2018::jama.2018.6496::C004",'C_jama.2018.6496'!$A$2:$A$5,0))),"NOT FROZEN")</x:f>
        <x:v>protocol_report</x:v>
      </x:c>
      <x:c r="D99" s="3" t="str">
        <x:f>IF(Setup!$B$6="primary",IF(AND(INDEX('C_jama.2018.6496'!$D$2:$D$5,MATCH("2018::jama.2018.6496::C004",'C_jama.2018.6496'!$A$2:$A$5,0))="retain",INDEX('C_jama.2018.6496'!$E$2:$E$5,MATCH("2018::jama.2018.6496::C004",'C_jama.2018.6496'!$A$2:$A$5,0))="statistical_results"),IF(INDEX('C_jama.2018.6496'!$H$2:$H$5,MATCH("2018::jama.2018.6496::C004",'C_jama.2018.6496'!$A$2:$A$5,0))="","",INDEX('C_jama.2018.6496'!$H$2:$H$5,MATCH("2018::jama.2018.6496::C004",'C_jama.2018.6496'!$A$2:$A$5,0))),"not_applicable"),"NOT FROZEN")</x:f>
        <x:v>not_applicable</x:v>
      </x:c>
      <x:c r="E99" s="3" t="str">
        <x:f>IF(Setup!$B$6="primary",IF(AND(INDEX('C_jama.2018.6496'!$D$2:$D$5,MATCH("2018::jama.2018.6496::C004",'C_jama.2018.6496'!$A$2:$A$5,0))="retain",INDEX('C_jama.2018.6496'!$E$2:$E$5,MATCH("2018::jama.2018.6496::C004",'C_jama.2018.6496'!$A$2:$A$5,0))="statistical_results"),IF(INDEX('C_jama.2018.6496'!$I$2:$I$5,MATCH("2018::jama.2018.6496::C004",'C_jama.2018.6496'!$A$2:$A$5,0))="","",INDEX('C_jama.2018.6496'!$I$2:$I$5,MATCH("2018::jama.2018.6496::C004",'C_jama.2018.6496'!$A$2:$A$5,0))),"not_applicable"),"NOT FROZEN")</x:f>
        <x:v>not_applicable</x:v>
      </x:c>
      <x:c r="F99" s="3" t="str">
        <x:f>IF(Setup!$B$6="primary",IF(AND(INDEX('C_jama.2018.6496'!$D$2:$D$5,MATCH("2018::jama.2018.6496::C004",'C_jama.2018.6496'!$A$2:$A$5,0))="retain",INDEX('C_jama.2018.6496'!$E$2:$E$5,MATCH("2018::jama.2018.6496::C004",'C_jama.2018.6496'!$A$2:$A$5,0))="statistical_results"),IF(INDEX('C_jama.2018.6496'!$J$2:$J$5,MATCH("2018::jama.2018.6496::C004",'C_jama.2018.6496'!$A$2:$A$5,0))="","",INDEX('C_jama.2018.6496'!$J$2:$J$5,MATCH("2018::jama.2018.6496::C004",'C_jama.2018.6496'!$A$2:$A$5,0))),"not_applicable"),"NOT FROZEN")</x:f>
        <x:v>not_applicable</x:v>
      </x:c>
      <x:c r="G99" s="3" t="str">
        <x:f>IF(Setup!$B$6="primary",IF(AND(INDEX('C_jama.2018.6496'!$D$2:$D$5,MATCH("2018::jama.2018.6496::C004",'C_jama.2018.6496'!$A$2:$A$5,0))="retain",OR(INDEX('C_jama.2018.6496'!$E$2:$E$5,MATCH("2018::jama.2018.6496::C004",'C_jama.2018.6496'!$A$2:$A$5,0))="report_internal_inconsistency",INDEX('C_jama.2018.6496'!$E$2:$E$5,MATCH("2018::jama.2018.6496::C004",'C_jama.2018.6496'!$A$2:$A$5,0))="plan_material")),IF(INDEX('C_jama.2018.6496'!$K$2:$K$5,MATCH("2018::jama.2018.6496::C004",'C_jama.2018.6496'!$A$2:$A$5,0))="","",INDEX('C_jama.2018.6496'!$K$2:$K$5,MATCH("2018::jama.2018.6496::C004",'C_jama.2018.6496'!$A$2:$A$5,0))),"not_applicable"),"NOT FROZEN")</x:f>
        <x:v>not_applicable</x:v>
      </x:c>
      <x:c r="H99" s="3" t="str">
        <x:f>IF(Setup!$B$6="primary",IF(AND(INDEX('C_jama.2018.6496'!$D$2:$D$5,MATCH("2018::jama.2018.6496::C004",'C_jama.2018.6496'!$A$2:$A$5,0))="retain",INDEX('C_jama.2018.6496'!$E$2:$E$5,MATCH("2018::jama.2018.6496::C004",'C_jama.2018.6496'!$A$2:$A$5,0))="protocol_report"),IF(INDEX('C_jama.2018.6496'!$L$2:$L$5,MATCH("2018::jama.2018.6496::C004",'C_jama.2018.6496'!$A$2:$A$5,0))="","",INDEX('C_jama.2018.6496'!$L$2:$L$5,MATCH("2018::jama.2018.6496::C004",'C_jama.2018.6496'!$A$2:$A$5,0))),"not_applicable"),"NOT FROZEN")</x:f>
        <x:v>not_applicable</x:v>
      </x:c>
      <x:c r="I99" s="3" t="str">
        <x:f>IF(Setup!$B$6="primary",IF(INDEX('C_jama.2018.6496'!$R$2:$R$5,MATCH("2018::jama.2018.6496::C004",'C_jama.2018.6496'!$A$2:$A$5,0))="","",INDEX('C_jama.2018.6496'!$R$2:$R$5,MATCH("2018::jama.2018.6496::C004",'C_jama.2018.6496'!$A$2:$A$5,0))),"NOT FROZEN")</x:f>
      </x:c>
      <x:c r="J99" s="3" t="str">
        <x:f>IF(Setup!$B$6="primary",INDEX('C_jama.2018.6496'!$F$2:$F$5,MATCH("2018::jama.2018.6496::C004",'C_jama.2018.6496'!$A$2:$A$5,0)),"NOT FROZEN")</x:f>
        <x:v>no</x:v>
      </x:c>
      <x:c r="K99" s="3" t="str">
        <x:f>IF(Setup!$B$6="primary",Setup!$B$2,"NOT FROZEN")</x:f>
      </x:c>
      <x:c r="L99" s="3" t="str">
        <x:f>IF(Setup!$B$6="primary",IF(OR(B99="",B99="not_applicable"),"","Disposition: "&amp;B99&amp;CHAR(10))&amp;IF(OR(C99="",C99="not_applicable"),"","Review domain: "&amp;C99&amp;CHAR(10))&amp;IF(OR(D99="",D99="not_applicable"),"","Statistcal_or_numerical issue: "&amp;D99&amp;CHAR(10))&amp;IF(OR(E99="",E99="not_applicable"),"","Substantiveness: "&amp;E99&amp;CHAR(10))&amp;IF(OR(F99="",F99="not_applicable"),"","Downstream impact: "&amp;F99&amp;CHAR(10))&amp;IF(OR(G99="",G99="not_applicable"),"","Report-internal or planning-material inconsistency: "&amp;G99&amp;CHAR(10))&amp;IF(OR(H99="",H99="not_applicable"),"","Protocol interpretation: "&amp;H99&amp;CHAR(10))&amp;IF(OR(I99="",I99="not_applicable"),"","Notes (optional): "&amp;I99&amp;CHAR(10)),"NOT FROZEN")</x:f>
        <x:v>Review domain: protocol_report
</x:v>
      </x:c>
    </x:row>
    <x:row r="100" ht="70" customHeight="1">
      <x:c r="A100" s="6" t="str">
        <x:f>IF(Setup!$B$6="primary","2018::jama.2018.8802::C001","NOT FROZEN")</x:f>
        <x:v>2018::jama.2018.8802::C001</x:v>
      </x:c>
      <x:c r="B100" s="6" t="str">
        <x:f>IF(Setup!$B$6="primary",IF(INDEX('C_jama.2018.8802'!$D$2:$D$9,MATCH("2018::jama.2018.8802::C001",'C_jama.2018.8802'!$A$2:$A$9,0))="","",INDEX('C_jama.2018.8802'!$D$2:$D$9,MATCH("2018::jama.2018.8802::C001",'C_jama.2018.8802'!$A$2:$A$9,0))),"NOT FROZEN")</x:f>
      </x:c>
      <x:c r="C100" s="6" t="str">
        <x:f>IF(Setup!$B$6="primary",IF(INDEX('C_jama.2018.8802'!$E$2:$E$9,MATCH("2018::jama.2018.8802::C001",'C_jama.2018.8802'!$A$2:$A$9,0))="","",INDEX('C_jama.2018.8802'!$E$2:$E$9,MATCH("2018::jama.2018.8802::C001",'C_jama.2018.8802'!$A$2:$A$9,0))),"NOT FROZEN")</x:f>
        <x:v>statistical_results</x:v>
      </x:c>
      <x:c r="D100" s="6" t="str">
        <x:f>IF(Setup!$B$6="primary",IF(AND(INDEX('C_jama.2018.8802'!$D$2:$D$9,MATCH("2018::jama.2018.8802::C001",'C_jama.2018.8802'!$A$2:$A$9,0))="retain",INDEX('C_jama.2018.8802'!$E$2:$E$9,MATCH("2018::jama.2018.8802::C001",'C_jama.2018.8802'!$A$2:$A$9,0))="statistical_results"),IF(INDEX('C_jama.2018.8802'!$H$2:$H$9,MATCH("2018::jama.2018.8802::C001",'C_jama.2018.8802'!$A$2:$A$9,0))="","",INDEX('C_jama.2018.8802'!$H$2:$H$9,MATCH("2018::jama.2018.8802::C001",'C_jama.2018.8802'!$A$2:$A$9,0))),"not_applicable"),"NOT FROZEN")</x:f>
        <x:v>not_applicable</x:v>
      </x:c>
      <x:c r="E100" s="6" t="str">
        <x:f>IF(Setup!$B$6="primary",IF(AND(INDEX('C_jama.2018.8802'!$D$2:$D$9,MATCH("2018::jama.2018.8802::C001",'C_jama.2018.8802'!$A$2:$A$9,0))="retain",INDEX('C_jama.2018.8802'!$E$2:$E$9,MATCH("2018::jama.2018.8802::C001",'C_jama.2018.8802'!$A$2:$A$9,0))="statistical_results"),IF(INDEX('C_jama.2018.8802'!$I$2:$I$9,MATCH("2018::jama.2018.8802::C001",'C_jama.2018.8802'!$A$2:$A$9,0))="","",INDEX('C_jama.2018.8802'!$I$2:$I$9,MATCH("2018::jama.2018.8802::C001",'C_jama.2018.8802'!$A$2:$A$9,0))),"not_applicable"),"NOT FROZEN")</x:f>
        <x:v>not_applicable</x:v>
      </x:c>
      <x:c r="F100" s="6" t="str">
        <x:f>IF(Setup!$B$6="primary",IF(AND(INDEX('C_jama.2018.8802'!$D$2:$D$9,MATCH("2018::jama.2018.8802::C001",'C_jama.2018.8802'!$A$2:$A$9,0))="retain",INDEX('C_jama.2018.8802'!$E$2:$E$9,MATCH("2018::jama.2018.8802::C001",'C_jama.2018.8802'!$A$2:$A$9,0))="statistical_results"),IF(INDEX('C_jama.2018.8802'!$J$2:$J$9,MATCH("2018::jama.2018.8802::C001",'C_jama.2018.8802'!$A$2:$A$9,0))="","",INDEX('C_jama.2018.8802'!$J$2:$J$9,MATCH("2018::jama.2018.8802::C001",'C_jama.2018.8802'!$A$2:$A$9,0))),"not_applicable"),"NOT FROZEN")</x:f>
        <x:v>not_applicable</x:v>
      </x:c>
      <x:c r="G100" s="6" t="str">
        <x:f>IF(Setup!$B$6="primary",IF(AND(INDEX('C_jama.2018.8802'!$D$2:$D$9,MATCH("2018::jama.2018.8802::C001",'C_jama.2018.8802'!$A$2:$A$9,0))="retain",OR(INDEX('C_jama.2018.8802'!$E$2:$E$9,MATCH("2018::jama.2018.8802::C001",'C_jama.2018.8802'!$A$2:$A$9,0))="report_internal_inconsistency",INDEX('C_jama.2018.8802'!$E$2:$E$9,MATCH("2018::jama.2018.8802::C001",'C_jama.2018.8802'!$A$2:$A$9,0))="plan_material")),IF(INDEX('C_jama.2018.8802'!$K$2:$K$9,MATCH("2018::jama.2018.8802::C001",'C_jama.2018.8802'!$A$2:$A$9,0))="","",INDEX('C_jama.2018.8802'!$K$2:$K$9,MATCH("2018::jama.2018.8802::C001",'C_jama.2018.8802'!$A$2:$A$9,0))),"not_applicable"),"NOT FROZEN")</x:f>
        <x:v>not_applicable</x:v>
      </x:c>
      <x:c r="H100" s="6" t="str">
        <x:f>IF(Setup!$B$6="primary",IF(AND(INDEX('C_jama.2018.8802'!$D$2:$D$9,MATCH("2018::jama.2018.8802::C001",'C_jama.2018.8802'!$A$2:$A$9,0))="retain",INDEX('C_jama.2018.8802'!$E$2:$E$9,MATCH("2018::jama.2018.8802::C001",'C_jama.2018.8802'!$A$2:$A$9,0))="protocol_report"),IF(INDEX('C_jama.2018.8802'!$L$2:$L$9,MATCH("2018::jama.2018.8802::C001",'C_jama.2018.8802'!$A$2:$A$9,0))="","",INDEX('C_jama.2018.8802'!$L$2:$L$9,MATCH("2018::jama.2018.8802::C001",'C_jama.2018.8802'!$A$2:$A$9,0))),"not_applicable"),"NOT FROZEN")</x:f>
        <x:v>not_applicable</x:v>
      </x:c>
      <x:c r="I100" s="6" t="str">
        <x:f>IF(Setup!$B$6="primary",IF(INDEX('C_jama.2018.8802'!$R$2:$R$9,MATCH("2018::jama.2018.8802::C001",'C_jama.2018.8802'!$A$2:$A$9,0))="","",INDEX('C_jama.2018.8802'!$R$2:$R$9,MATCH("2018::jama.2018.8802::C001",'C_jama.2018.8802'!$A$2:$A$9,0))),"NOT FROZEN")</x:f>
      </x:c>
      <x:c r="J100" s="6" t="str">
        <x:f>IF(Setup!$B$6="primary",INDEX('C_jama.2018.8802'!$F$2:$F$9,MATCH("2018::jama.2018.8802::C001",'C_jama.2018.8802'!$A$2:$A$9,0)),"NOT FROZEN")</x:f>
        <x:v>no</x:v>
      </x:c>
      <x:c r="K100" s="6" t="str">
        <x:f>IF(Setup!$B$6="primary",Setup!$B$2,"NOT FROZEN")</x:f>
      </x:c>
      <x:c r="L100" s="6" t="str">
        <x:f>IF(Setup!$B$6="primary",IF(OR(B100="",B100="not_applicable"),"","Disposition: "&amp;B100&amp;CHAR(10))&amp;IF(OR(C100="",C100="not_applicable"),"","Review domain: "&amp;C100&amp;CHAR(10))&amp;IF(OR(D100="",D100="not_applicable"),"","Statistcal_or_numerical issue: "&amp;D100&amp;CHAR(10))&amp;IF(OR(E100="",E100="not_applicable"),"","Substantiveness: "&amp;E100&amp;CHAR(10))&amp;IF(OR(F100="",F100="not_applicable"),"","Downstream impact: "&amp;F100&amp;CHAR(10))&amp;IF(OR(G100="",G100="not_applicable"),"","Report-internal or planning-material inconsistency: "&amp;G100&amp;CHAR(10))&amp;IF(OR(H100="",H100="not_applicable"),"","Protocol interpretation: "&amp;H100&amp;CHAR(10))&amp;IF(OR(I100="",I100="not_applicable"),"","Notes (optional): "&amp;I100&amp;CHAR(10)),"NOT FROZEN")</x:f>
        <x:v>Review domain: statistical_results
</x:v>
      </x:c>
    </x:row>
    <x:row r="101" ht="70" customHeight="1">
      <x:c r="A101" s="3" t="str">
        <x:f>IF(Setup!$B$6="primary","2018::jama.2018.8802::C002","NOT FROZEN")</x:f>
        <x:v>2018::jama.2018.8802::C002</x:v>
      </x:c>
      <x:c r="B101" s="3" t="str">
        <x:f>IF(Setup!$B$6="primary",IF(INDEX('C_jama.2018.8802'!$D$2:$D$9,MATCH("2018::jama.2018.8802::C002",'C_jama.2018.8802'!$A$2:$A$9,0))="","",INDEX('C_jama.2018.8802'!$D$2:$D$9,MATCH("2018::jama.2018.8802::C002",'C_jama.2018.8802'!$A$2:$A$9,0))),"NOT FROZEN")</x:f>
      </x:c>
      <x:c r="C101" s="3" t="str">
        <x:f>IF(Setup!$B$6="primary",IF(INDEX('C_jama.2018.8802'!$E$2:$E$9,MATCH("2018::jama.2018.8802::C002",'C_jama.2018.8802'!$A$2:$A$9,0))="","",INDEX('C_jama.2018.8802'!$E$2:$E$9,MATCH("2018::jama.2018.8802::C002",'C_jama.2018.8802'!$A$2:$A$9,0))),"NOT FROZEN")</x:f>
        <x:v>protocol_report</x:v>
      </x:c>
      <x:c r="D101" s="3" t="str">
        <x:f>IF(Setup!$B$6="primary",IF(AND(INDEX('C_jama.2018.8802'!$D$2:$D$9,MATCH("2018::jama.2018.8802::C002",'C_jama.2018.8802'!$A$2:$A$9,0))="retain",INDEX('C_jama.2018.8802'!$E$2:$E$9,MATCH("2018::jama.2018.8802::C002",'C_jama.2018.8802'!$A$2:$A$9,0))="statistical_results"),IF(INDEX('C_jama.2018.8802'!$H$2:$H$9,MATCH("2018::jama.2018.8802::C002",'C_jama.2018.8802'!$A$2:$A$9,0))="","",INDEX('C_jama.2018.8802'!$H$2:$H$9,MATCH("2018::jama.2018.8802::C002",'C_jama.2018.8802'!$A$2:$A$9,0))),"not_applicable"),"NOT FROZEN")</x:f>
        <x:v>not_applicable</x:v>
      </x:c>
      <x:c r="E101" s="3" t="str">
        <x:f>IF(Setup!$B$6="primary",IF(AND(INDEX('C_jama.2018.8802'!$D$2:$D$9,MATCH("2018::jama.2018.8802::C002",'C_jama.2018.8802'!$A$2:$A$9,0))="retain",INDEX('C_jama.2018.8802'!$E$2:$E$9,MATCH("2018::jama.2018.8802::C002",'C_jama.2018.8802'!$A$2:$A$9,0))="statistical_results"),IF(INDEX('C_jama.2018.8802'!$I$2:$I$9,MATCH("2018::jama.2018.8802::C002",'C_jama.2018.8802'!$A$2:$A$9,0))="","",INDEX('C_jama.2018.8802'!$I$2:$I$9,MATCH("2018::jama.2018.8802::C002",'C_jama.2018.8802'!$A$2:$A$9,0))),"not_applicable"),"NOT FROZEN")</x:f>
        <x:v>not_applicable</x:v>
      </x:c>
      <x:c r="F101" s="3" t="str">
        <x:f>IF(Setup!$B$6="primary",IF(AND(INDEX('C_jama.2018.8802'!$D$2:$D$9,MATCH("2018::jama.2018.8802::C002",'C_jama.2018.8802'!$A$2:$A$9,0))="retain",INDEX('C_jama.2018.8802'!$E$2:$E$9,MATCH("2018::jama.2018.8802::C002",'C_jama.2018.8802'!$A$2:$A$9,0))="statistical_results"),IF(INDEX('C_jama.2018.8802'!$J$2:$J$9,MATCH("2018::jama.2018.8802::C002",'C_jama.2018.8802'!$A$2:$A$9,0))="","",INDEX('C_jama.2018.8802'!$J$2:$J$9,MATCH("2018::jama.2018.8802::C002",'C_jama.2018.8802'!$A$2:$A$9,0))),"not_applicable"),"NOT FROZEN")</x:f>
        <x:v>not_applicable</x:v>
      </x:c>
      <x:c r="G101" s="3" t="str">
        <x:f>IF(Setup!$B$6="primary",IF(AND(INDEX('C_jama.2018.8802'!$D$2:$D$9,MATCH("2018::jama.2018.8802::C002",'C_jama.2018.8802'!$A$2:$A$9,0))="retain",OR(INDEX('C_jama.2018.8802'!$E$2:$E$9,MATCH("2018::jama.2018.8802::C002",'C_jama.2018.8802'!$A$2:$A$9,0))="report_internal_inconsistency",INDEX('C_jama.2018.8802'!$E$2:$E$9,MATCH("2018::jama.2018.8802::C002",'C_jama.2018.8802'!$A$2:$A$9,0))="plan_material")),IF(INDEX('C_jama.2018.8802'!$K$2:$K$9,MATCH("2018::jama.2018.8802::C002",'C_jama.2018.8802'!$A$2:$A$9,0))="","",INDEX('C_jama.2018.8802'!$K$2:$K$9,MATCH("2018::jama.2018.8802::C002",'C_jama.2018.8802'!$A$2:$A$9,0))),"not_applicable"),"NOT FROZEN")</x:f>
        <x:v>not_applicable</x:v>
      </x:c>
      <x:c r="H101" s="3" t="str">
        <x:f>IF(Setup!$B$6="primary",IF(AND(INDEX('C_jama.2018.8802'!$D$2:$D$9,MATCH("2018::jama.2018.8802::C002",'C_jama.2018.8802'!$A$2:$A$9,0))="retain",INDEX('C_jama.2018.8802'!$E$2:$E$9,MATCH("2018::jama.2018.8802::C002",'C_jama.2018.8802'!$A$2:$A$9,0))="protocol_report"),IF(INDEX('C_jama.2018.8802'!$L$2:$L$9,MATCH("2018::jama.2018.8802::C002",'C_jama.2018.8802'!$A$2:$A$9,0))="","",INDEX('C_jama.2018.8802'!$L$2:$L$9,MATCH("2018::jama.2018.8802::C002",'C_jama.2018.8802'!$A$2:$A$9,0))),"not_applicable"),"NOT FROZEN")</x:f>
        <x:v>not_applicable</x:v>
      </x:c>
      <x:c r="I101" s="3" t="str">
        <x:f>IF(Setup!$B$6="primary",IF(INDEX('C_jama.2018.8802'!$R$2:$R$9,MATCH("2018::jama.2018.8802::C002",'C_jama.2018.8802'!$A$2:$A$9,0))="","",INDEX('C_jama.2018.8802'!$R$2:$R$9,MATCH("2018::jama.2018.8802::C002",'C_jama.2018.8802'!$A$2:$A$9,0))),"NOT FROZEN")</x:f>
      </x:c>
      <x:c r="J101" s="3" t="str">
        <x:f>IF(Setup!$B$6="primary",INDEX('C_jama.2018.8802'!$F$2:$F$9,MATCH("2018::jama.2018.8802::C002",'C_jama.2018.8802'!$A$2:$A$9,0)),"NOT FROZEN")</x:f>
        <x:v>no</x:v>
      </x:c>
      <x:c r="K101" s="3" t="str">
        <x:f>IF(Setup!$B$6="primary",Setup!$B$2,"NOT FROZEN")</x:f>
      </x:c>
      <x:c r="L101" s="3" t="str">
        <x:f>IF(Setup!$B$6="primary",IF(OR(B101="",B101="not_applicable"),"","Disposition: "&amp;B101&amp;CHAR(10))&amp;IF(OR(C101="",C101="not_applicable"),"","Review domain: "&amp;C101&amp;CHAR(10))&amp;IF(OR(D101="",D101="not_applicable"),"","Statistcal_or_numerical issue: "&amp;D101&amp;CHAR(10))&amp;IF(OR(E101="",E101="not_applicable"),"","Substantiveness: "&amp;E101&amp;CHAR(10))&amp;IF(OR(F101="",F101="not_applicable"),"","Downstream impact: "&amp;F101&amp;CHAR(10))&amp;IF(OR(G101="",G101="not_applicable"),"","Report-internal or planning-material inconsistency: "&amp;G101&amp;CHAR(10))&amp;IF(OR(H101="",H101="not_applicable"),"","Protocol interpretation: "&amp;H101&amp;CHAR(10))&amp;IF(OR(I101="",I101="not_applicable"),"","Notes (optional): "&amp;I101&amp;CHAR(10)),"NOT FROZEN")</x:f>
        <x:v>Review domain: protocol_report
</x:v>
      </x:c>
    </x:row>
    <x:row r="102" ht="70" customHeight="1">
      <x:c r="A102" s="6" t="str">
        <x:f>IF(Setup!$B$6="primary","2018::jama.2018.8802::C003","NOT FROZEN")</x:f>
        <x:v>2018::jama.2018.8802::C003</x:v>
      </x:c>
      <x:c r="B102" s="6" t="str">
        <x:f>IF(Setup!$B$6="primary",IF(INDEX('C_jama.2018.8802'!$D$2:$D$9,MATCH("2018::jama.2018.8802::C003",'C_jama.2018.8802'!$A$2:$A$9,0))="","",INDEX('C_jama.2018.8802'!$D$2:$D$9,MATCH("2018::jama.2018.8802::C003",'C_jama.2018.8802'!$A$2:$A$9,0))),"NOT FROZEN")</x:f>
      </x:c>
      <x:c r="C102" s="6" t="str">
        <x:f>IF(Setup!$B$6="primary",IF(INDEX('C_jama.2018.8802'!$E$2:$E$9,MATCH("2018::jama.2018.8802::C003",'C_jama.2018.8802'!$A$2:$A$9,0))="","",INDEX('C_jama.2018.8802'!$E$2:$E$9,MATCH("2018::jama.2018.8802::C003",'C_jama.2018.8802'!$A$2:$A$9,0))),"NOT FROZEN")</x:f>
        <x:v>statistical_results</x:v>
      </x:c>
      <x:c r="D102" s="6" t="str">
        <x:f>IF(Setup!$B$6="primary",IF(AND(INDEX('C_jama.2018.8802'!$D$2:$D$9,MATCH("2018::jama.2018.8802::C003",'C_jama.2018.8802'!$A$2:$A$9,0))="retain",INDEX('C_jama.2018.8802'!$E$2:$E$9,MATCH("2018::jama.2018.8802::C003",'C_jama.2018.8802'!$A$2:$A$9,0))="statistical_results"),IF(INDEX('C_jama.2018.8802'!$H$2:$H$9,MATCH("2018::jama.2018.8802::C003",'C_jama.2018.8802'!$A$2:$A$9,0))="","",INDEX('C_jama.2018.8802'!$H$2:$H$9,MATCH("2018::jama.2018.8802::C003",'C_jama.2018.8802'!$A$2:$A$9,0))),"not_applicable"),"NOT FROZEN")</x:f>
        <x:v>not_applicable</x:v>
      </x:c>
      <x:c r="E102" s="6" t="str">
        <x:f>IF(Setup!$B$6="primary",IF(AND(INDEX('C_jama.2018.8802'!$D$2:$D$9,MATCH("2018::jama.2018.8802::C003",'C_jama.2018.8802'!$A$2:$A$9,0))="retain",INDEX('C_jama.2018.8802'!$E$2:$E$9,MATCH("2018::jama.2018.8802::C003",'C_jama.2018.8802'!$A$2:$A$9,0))="statistical_results"),IF(INDEX('C_jama.2018.8802'!$I$2:$I$9,MATCH("2018::jama.2018.8802::C003",'C_jama.2018.8802'!$A$2:$A$9,0))="","",INDEX('C_jama.2018.8802'!$I$2:$I$9,MATCH("2018::jama.2018.8802::C003",'C_jama.2018.8802'!$A$2:$A$9,0))),"not_applicable"),"NOT FROZEN")</x:f>
        <x:v>not_applicable</x:v>
      </x:c>
      <x:c r="F102" s="6" t="str">
        <x:f>IF(Setup!$B$6="primary",IF(AND(INDEX('C_jama.2018.8802'!$D$2:$D$9,MATCH("2018::jama.2018.8802::C003",'C_jama.2018.8802'!$A$2:$A$9,0))="retain",INDEX('C_jama.2018.8802'!$E$2:$E$9,MATCH("2018::jama.2018.8802::C003",'C_jama.2018.8802'!$A$2:$A$9,0))="statistical_results"),IF(INDEX('C_jama.2018.8802'!$J$2:$J$9,MATCH("2018::jama.2018.8802::C003",'C_jama.2018.8802'!$A$2:$A$9,0))="","",INDEX('C_jama.2018.8802'!$J$2:$J$9,MATCH("2018::jama.2018.8802::C003",'C_jama.2018.8802'!$A$2:$A$9,0))),"not_applicable"),"NOT FROZEN")</x:f>
        <x:v>not_applicable</x:v>
      </x:c>
      <x:c r="G102" s="6" t="str">
        <x:f>IF(Setup!$B$6="primary",IF(AND(INDEX('C_jama.2018.8802'!$D$2:$D$9,MATCH("2018::jama.2018.8802::C003",'C_jama.2018.8802'!$A$2:$A$9,0))="retain",OR(INDEX('C_jama.2018.8802'!$E$2:$E$9,MATCH("2018::jama.2018.8802::C003",'C_jama.2018.8802'!$A$2:$A$9,0))="report_internal_inconsistency",INDEX('C_jama.2018.8802'!$E$2:$E$9,MATCH("2018::jama.2018.8802::C003",'C_jama.2018.8802'!$A$2:$A$9,0))="plan_material")),IF(INDEX('C_jama.2018.8802'!$K$2:$K$9,MATCH("2018::jama.2018.8802::C003",'C_jama.2018.8802'!$A$2:$A$9,0))="","",INDEX('C_jama.2018.8802'!$K$2:$K$9,MATCH("2018::jama.2018.8802::C003",'C_jama.2018.8802'!$A$2:$A$9,0))),"not_applicable"),"NOT FROZEN")</x:f>
        <x:v>not_applicable</x:v>
      </x:c>
      <x:c r="H102" s="6" t="str">
        <x:f>IF(Setup!$B$6="primary",IF(AND(INDEX('C_jama.2018.8802'!$D$2:$D$9,MATCH("2018::jama.2018.8802::C003",'C_jama.2018.8802'!$A$2:$A$9,0))="retain",INDEX('C_jama.2018.8802'!$E$2:$E$9,MATCH("2018::jama.2018.8802::C003",'C_jama.2018.8802'!$A$2:$A$9,0))="protocol_report"),IF(INDEX('C_jama.2018.8802'!$L$2:$L$9,MATCH("2018::jama.2018.8802::C003",'C_jama.2018.8802'!$A$2:$A$9,0))="","",INDEX('C_jama.2018.8802'!$L$2:$L$9,MATCH("2018::jama.2018.8802::C003",'C_jama.2018.8802'!$A$2:$A$9,0))),"not_applicable"),"NOT FROZEN")</x:f>
        <x:v>not_applicable</x:v>
      </x:c>
      <x:c r="I102" s="6" t="str">
        <x:f>IF(Setup!$B$6="primary",IF(INDEX('C_jama.2018.8802'!$R$2:$R$9,MATCH("2018::jama.2018.8802::C003",'C_jama.2018.8802'!$A$2:$A$9,0))="","",INDEX('C_jama.2018.8802'!$R$2:$R$9,MATCH("2018::jama.2018.8802::C003",'C_jama.2018.8802'!$A$2:$A$9,0))),"NOT FROZEN")</x:f>
      </x:c>
      <x:c r="J102" s="6" t="str">
        <x:f>IF(Setup!$B$6="primary",INDEX('C_jama.2018.8802'!$F$2:$F$9,MATCH("2018::jama.2018.8802::C003",'C_jama.2018.8802'!$A$2:$A$9,0)),"NOT FROZEN")</x:f>
        <x:v>no</x:v>
      </x:c>
      <x:c r="K102" s="6" t="str">
        <x:f>IF(Setup!$B$6="primary",Setup!$B$2,"NOT FROZEN")</x:f>
      </x:c>
      <x:c r="L102" s="6" t="str">
        <x:f>IF(Setup!$B$6="primary",IF(OR(B102="",B102="not_applicable"),"","Disposition: "&amp;B102&amp;CHAR(10))&amp;IF(OR(C102="",C102="not_applicable"),"","Review domain: "&amp;C102&amp;CHAR(10))&amp;IF(OR(D102="",D102="not_applicable"),"","Statistcal_or_numerical issue: "&amp;D102&amp;CHAR(10))&amp;IF(OR(E102="",E102="not_applicable"),"","Substantiveness: "&amp;E102&amp;CHAR(10))&amp;IF(OR(F102="",F102="not_applicable"),"","Downstream impact: "&amp;F102&amp;CHAR(10))&amp;IF(OR(G102="",G102="not_applicable"),"","Report-internal or planning-material inconsistency: "&amp;G102&amp;CHAR(10))&amp;IF(OR(H102="",H102="not_applicable"),"","Protocol interpretation: "&amp;H102&amp;CHAR(10))&amp;IF(OR(I102="",I102="not_applicable"),"","Notes (optional): "&amp;I102&amp;CHAR(10)),"NOT FROZEN")</x:f>
        <x:v>Review domain: statistical_results
</x:v>
      </x:c>
    </x:row>
    <x:row r="103" ht="70" customHeight="1">
      <x:c r="A103" s="3" t="str">
        <x:f>IF(Setup!$B$6="primary","2018::jama.2018.8802::C004","NOT FROZEN")</x:f>
        <x:v>2018::jama.2018.8802::C004</x:v>
      </x:c>
      <x:c r="B103" s="3" t="str">
        <x:f>IF(Setup!$B$6="primary",IF(INDEX('C_jama.2018.8802'!$D$2:$D$9,MATCH("2018::jama.2018.8802::C004",'C_jama.2018.8802'!$A$2:$A$9,0))="","",INDEX('C_jama.2018.8802'!$D$2:$D$9,MATCH("2018::jama.2018.8802::C004",'C_jama.2018.8802'!$A$2:$A$9,0))),"NOT FROZEN")</x:f>
      </x:c>
      <x:c r="C103" s="3" t="str">
        <x:f>IF(Setup!$B$6="primary",IF(INDEX('C_jama.2018.8802'!$E$2:$E$9,MATCH("2018::jama.2018.8802::C004",'C_jama.2018.8802'!$A$2:$A$9,0))="","",INDEX('C_jama.2018.8802'!$E$2:$E$9,MATCH("2018::jama.2018.8802::C004",'C_jama.2018.8802'!$A$2:$A$9,0))),"NOT FROZEN")</x:f>
        <x:v>statistical_results</x:v>
      </x:c>
      <x:c r="D103" s="3" t="str">
        <x:f>IF(Setup!$B$6="primary",IF(AND(INDEX('C_jama.2018.8802'!$D$2:$D$9,MATCH("2018::jama.2018.8802::C004",'C_jama.2018.8802'!$A$2:$A$9,0))="retain",INDEX('C_jama.2018.8802'!$E$2:$E$9,MATCH("2018::jama.2018.8802::C004",'C_jama.2018.8802'!$A$2:$A$9,0))="statistical_results"),IF(INDEX('C_jama.2018.8802'!$H$2:$H$9,MATCH("2018::jama.2018.8802::C004",'C_jama.2018.8802'!$A$2:$A$9,0))="","",INDEX('C_jama.2018.8802'!$H$2:$H$9,MATCH("2018::jama.2018.8802::C004",'C_jama.2018.8802'!$A$2:$A$9,0))),"not_applicable"),"NOT FROZEN")</x:f>
        <x:v>not_applicable</x:v>
      </x:c>
      <x:c r="E103" s="3" t="str">
        <x:f>IF(Setup!$B$6="primary",IF(AND(INDEX('C_jama.2018.8802'!$D$2:$D$9,MATCH("2018::jama.2018.8802::C004",'C_jama.2018.8802'!$A$2:$A$9,0))="retain",INDEX('C_jama.2018.8802'!$E$2:$E$9,MATCH("2018::jama.2018.8802::C004",'C_jama.2018.8802'!$A$2:$A$9,0))="statistical_results"),IF(INDEX('C_jama.2018.8802'!$I$2:$I$9,MATCH("2018::jama.2018.8802::C004",'C_jama.2018.8802'!$A$2:$A$9,0))="","",INDEX('C_jama.2018.8802'!$I$2:$I$9,MATCH("2018::jama.2018.8802::C004",'C_jama.2018.8802'!$A$2:$A$9,0))),"not_applicable"),"NOT FROZEN")</x:f>
        <x:v>not_applicable</x:v>
      </x:c>
      <x:c r="F103" s="3" t="str">
        <x:f>IF(Setup!$B$6="primary",IF(AND(INDEX('C_jama.2018.8802'!$D$2:$D$9,MATCH("2018::jama.2018.8802::C004",'C_jama.2018.8802'!$A$2:$A$9,0))="retain",INDEX('C_jama.2018.8802'!$E$2:$E$9,MATCH("2018::jama.2018.8802::C004",'C_jama.2018.8802'!$A$2:$A$9,0))="statistical_results"),IF(INDEX('C_jama.2018.8802'!$J$2:$J$9,MATCH("2018::jama.2018.8802::C004",'C_jama.2018.8802'!$A$2:$A$9,0))="","",INDEX('C_jama.2018.8802'!$J$2:$J$9,MATCH("2018::jama.2018.8802::C004",'C_jama.2018.8802'!$A$2:$A$9,0))),"not_applicable"),"NOT FROZEN")</x:f>
        <x:v>not_applicable</x:v>
      </x:c>
      <x:c r="G103" s="3" t="str">
        <x:f>IF(Setup!$B$6="primary",IF(AND(INDEX('C_jama.2018.8802'!$D$2:$D$9,MATCH("2018::jama.2018.8802::C004",'C_jama.2018.8802'!$A$2:$A$9,0))="retain",OR(INDEX('C_jama.2018.8802'!$E$2:$E$9,MATCH("2018::jama.2018.8802::C004",'C_jama.2018.8802'!$A$2:$A$9,0))="report_internal_inconsistency",INDEX('C_jama.2018.8802'!$E$2:$E$9,MATCH("2018::jama.2018.8802::C004",'C_jama.2018.8802'!$A$2:$A$9,0))="plan_material")),IF(INDEX('C_jama.2018.8802'!$K$2:$K$9,MATCH("2018::jama.2018.8802::C004",'C_jama.2018.8802'!$A$2:$A$9,0))="","",INDEX('C_jama.2018.8802'!$K$2:$K$9,MATCH("2018::jama.2018.8802::C004",'C_jama.2018.8802'!$A$2:$A$9,0))),"not_applicable"),"NOT FROZEN")</x:f>
        <x:v>not_applicable</x:v>
      </x:c>
      <x:c r="H103" s="3" t="str">
        <x:f>IF(Setup!$B$6="primary",IF(AND(INDEX('C_jama.2018.8802'!$D$2:$D$9,MATCH("2018::jama.2018.8802::C004",'C_jama.2018.8802'!$A$2:$A$9,0))="retain",INDEX('C_jama.2018.8802'!$E$2:$E$9,MATCH("2018::jama.2018.8802::C004",'C_jama.2018.8802'!$A$2:$A$9,0))="protocol_report"),IF(INDEX('C_jama.2018.8802'!$L$2:$L$9,MATCH("2018::jama.2018.8802::C004",'C_jama.2018.8802'!$A$2:$A$9,0))="","",INDEX('C_jama.2018.8802'!$L$2:$L$9,MATCH("2018::jama.2018.8802::C004",'C_jama.2018.8802'!$A$2:$A$9,0))),"not_applicable"),"NOT FROZEN")</x:f>
        <x:v>not_applicable</x:v>
      </x:c>
      <x:c r="I103" s="3" t="str">
        <x:f>IF(Setup!$B$6="primary",IF(INDEX('C_jama.2018.8802'!$R$2:$R$9,MATCH("2018::jama.2018.8802::C004",'C_jama.2018.8802'!$A$2:$A$9,0))="","",INDEX('C_jama.2018.8802'!$R$2:$R$9,MATCH("2018::jama.2018.8802::C004",'C_jama.2018.8802'!$A$2:$A$9,0))),"NOT FROZEN")</x:f>
      </x:c>
      <x:c r="J103" s="3" t="str">
        <x:f>IF(Setup!$B$6="primary",INDEX('C_jama.2018.8802'!$F$2:$F$9,MATCH("2018::jama.2018.8802::C004",'C_jama.2018.8802'!$A$2:$A$9,0)),"NOT FROZEN")</x:f>
        <x:v>no</x:v>
      </x:c>
      <x:c r="K103" s="3" t="str">
        <x:f>IF(Setup!$B$6="primary",Setup!$B$2,"NOT FROZEN")</x:f>
      </x:c>
      <x:c r="L103" s="3" t="str">
        <x:f>IF(Setup!$B$6="primary",IF(OR(B103="",B103="not_applicable"),"","Disposition: "&amp;B103&amp;CHAR(10))&amp;IF(OR(C103="",C103="not_applicable"),"","Review domain: "&amp;C103&amp;CHAR(10))&amp;IF(OR(D103="",D103="not_applicable"),"","Statistcal_or_numerical issue: "&amp;D103&amp;CHAR(10))&amp;IF(OR(E103="",E103="not_applicable"),"","Substantiveness: "&amp;E103&amp;CHAR(10))&amp;IF(OR(F103="",F103="not_applicable"),"","Downstream impact: "&amp;F103&amp;CHAR(10))&amp;IF(OR(G103="",G103="not_applicable"),"","Report-internal or planning-material inconsistency: "&amp;G103&amp;CHAR(10))&amp;IF(OR(H103="",H103="not_applicable"),"","Protocol interpretation: "&amp;H103&amp;CHAR(10))&amp;IF(OR(I103="",I103="not_applicable"),"","Notes (optional): "&amp;I103&amp;CHAR(10)),"NOT FROZEN")</x:f>
        <x:v>Review domain: statistical_results
</x:v>
      </x:c>
    </x:row>
    <x:row r="104" ht="70" customHeight="1">
      <x:c r="A104" s="6" t="str">
        <x:f>IF(Setup!$B$6="primary","2018::jama.2018.8802::C005","NOT FROZEN")</x:f>
        <x:v>2018::jama.2018.8802::C005</x:v>
      </x:c>
      <x:c r="B104" s="6" t="str">
        <x:f>IF(Setup!$B$6="primary",IF(INDEX('C_jama.2018.8802'!$D$2:$D$9,MATCH("2018::jama.2018.8802::C005",'C_jama.2018.8802'!$A$2:$A$9,0))="","",INDEX('C_jama.2018.8802'!$D$2:$D$9,MATCH("2018::jama.2018.8802::C005",'C_jama.2018.8802'!$A$2:$A$9,0))),"NOT FROZEN")</x:f>
      </x:c>
      <x:c r="C104" s="6" t="str">
        <x:f>IF(Setup!$B$6="primary",IF(INDEX('C_jama.2018.8802'!$E$2:$E$9,MATCH("2018::jama.2018.8802::C005",'C_jama.2018.8802'!$A$2:$A$9,0))="","",INDEX('C_jama.2018.8802'!$E$2:$E$9,MATCH("2018::jama.2018.8802::C005",'C_jama.2018.8802'!$A$2:$A$9,0))),"NOT FROZEN")</x:f>
        <x:v>statistical_results</x:v>
      </x:c>
      <x:c r="D104" s="6" t="str">
        <x:f>IF(Setup!$B$6="primary",IF(AND(INDEX('C_jama.2018.8802'!$D$2:$D$9,MATCH("2018::jama.2018.8802::C005",'C_jama.2018.8802'!$A$2:$A$9,0))="retain",INDEX('C_jama.2018.8802'!$E$2:$E$9,MATCH("2018::jama.2018.8802::C005",'C_jama.2018.8802'!$A$2:$A$9,0))="statistical_results"),IF(INDEX('C_jama.2018.8802'!$H$2:$H$9,MATCH("2018::jama.2018.8802::C005",'C_jama.2018.8802'!$A$2:$A$9,0))="","",INDEX('C_jama.2018.8802'!$H$2:$H$9,MATCH("2018::jama.2018.8802::C005",'C_jama.2018.8802'!$A$2:$A$9,0))),"not_applicable"),"NOT FROZEN")</x:f>
        <x:v>not_applicable</x:v>
      </x:c>
      <x:c r="E104" s="6" t="str">
        <x:f>IF(Setup!$B$6="primary",IF(AND(INDEX('C_jama.2018.8802'!$D$2:$D$9,MATCH("2018::jama.2018.8802::C005",'C_jama.2018.8802'!$A$2:$A$9,0))="retain",INDEX('C_jama.2018.8802'!$E$2:$E$9,MATCH("2018::jama.2018.8802::C005",'C_jama.2018.8802'!$A$2:$A$9,0))="statistical_results"),IF(INDEX('C_jama.2018.8802'!$I$2:$I$9,MATCH("2018::jama.2018.8802::C005",'C_jama.2018.8802'!$A$2:$A$9,0))="","",INDEX('C_jama.2018.8802'!$I$2:$I$9,MATCH("2018::jama.2018.8802::C005",'C_jama.2018.8802'!$A$2:$A$9,0))),"not_applicable"),"NOT FROZEN")</x:f>
        <x:v>not_applicable</x:v>
      </x:c>
      <x:c r="F104" s="6" t="str">
        <x:f>IF(Setup!$B$6="primary",IF(AND(INDEX('C_jama.2018.8802'!$D$2:$D$9,MATCH("2018::jama.2018.8802::C005",'C_jama.2018.8802'!$A$2:$A$9,0))="retain",INDEX('C_jama.2018.8802'!$E$2:$E$9,MATCH("2018::jama.2018.8802::C005",'C_jama.2018.8802'!$A$2:$A$9,0))="statistical_results"),IF(INDEX('C_jama.2018.8802'!$J$2:$J$9,MATCH("2018::jama.2018.8802::C005",'C_jama.2018.8802'!$A$2:$A$9,0))="","",INDEX('C_jama.2018.8802'!$J$2:$J$9,MATCH("2018::jama.2018.8802::C005",'C_jama.2018.8802'!$A$2:$A$9,0))),"not_applicable"),"NOT FROZEN")</x:f>
        <x:v>not_applicable</x:v>
      </x:c>
      <x:c r="G104" s="6" t="str">
        <x:f>IF(Setup!$B$6="primary",IF(AND(INDEX('C_jama.2018.8802'!$D$2:$D$9,MATCH("2018::jama.2018.8802::C005",'C_jama.2018.8802'!$A$2:$A$9,0))="retain",OR(INDEX('C_jama.2018.8802'!$E$2:$E$9,MATCH("2018::jama.2018.8802::C005",'C_jama.2018.8802'!$A$2:$A$9,0))="report_internal_inconsistency",INDEX('C_jama.2018.8802'!$E$2:$E$9,MATCH("2018::jama.2018.8802::C005",'C_jama.2018.8802'!$A$2:$A$9,0))="plan_material")),IF(INDEX('C_jama.2018.8802'!$K$2:$K$9,MATCH("2018::jama.2018.8802::C005",'C_jama.2018.8802'!$A$2:$A$9,0))="","",INDEX('C_jama.2018.8802'!$K$2:$K$9,MATCH("2018::jama.2018.8802::C005",'C_jama.2018.8802'!$A$2:$A$9,0))),"not_applicable"),"NOT FROZEN")</x:f>
        <x:v>not_applicable</x:v>
      </x:c>
      <x:c r="H104" s="6" t="str">
        <x:f>IF(Setup!$B$6="primary",IF(AND(INDEX('C_jama.2018.8802'!$D$2:$D$9,MATCH("2018::jama.2018.8802::C005",'C_jama.2018.8802'!$A$2:$A$9,0))="retain",INDEX('C_jama.2018.8802'!$E$2:$E$9,MATCH("2018::jama.2018.8802::C005",'C_jama.2018.8802'!$A$2:$A$9,0))="protocol_report"),IF(INDEX('C_jama.2018.8802'!$L$2:$L$9,MATCH("2018::jama.2018.8802::C005",'C_jama.2018.8802'!$A$2:$A$9,0))="","",INDEX('C_jama.2018.8802'!$L$2:$L$9,MATCH("2018::jama.2018.8802::C005",'C_jama.2018.8802'!$A$2:$A$9,0))),"not_applicable"),"NOT FROZEN")</x:f>
        <x:v>not_applicable</x:v>
      </x:c>
      <x:c r="I104" s="6" t="str">
        <x:f>IF(Setup!$B$6="primary",IF(INDEX('C_jama.2018.8802'!$R$2:$R$9,MATCH("2018::jama.2018.8802::C005",'C_jama.2018.8802'!$A$2:$A$9,0))="","",INDEX('C_jama.2018.8802'!$R$2:$R$9,MATCH("2018::jama.2018.8802::C005",'C_jama.2018.8802'!$A$2:$A$9,0))),"NOT FROZEN")</x:f>
      </x:c>
      <x:c r="J104" s="6" t="str">
        <x:f>IF(Setup!$B$6="primary",INDEX('C_jama.2018.8802'!$F$2:$F$9,MATCH("2018::jama.2018.8802::C005",'C_jama.2018.8802'!$A$2:$A$9,0)),"NOT FROZEN")</x:f>
        <x:v>no</x:v>
      </x:c>
      <x:c r="K104" s="6" t="str">
        <x:f>IF(Setup!$B$6="primary",Setup!$B$2,"NOT FROZEN")</x:f>
      </x:c>
      <x:c r="L104" s="6" t="str">
        <x:f>IF(Setup!$B$6="primary",IF(OR(B104="",B104="not_applicable"),"","Disposition: "&amp;B104&amp;CHAR(10))&amp;IF(OR(C104="",C104="not_applicable"),"","Review domain: "&amp;C104&amp;CHAR(10))&amp;IF(OR(D104="",D104="not_applicable"),"","Statistcal_or_numerical issue: "&amp;D104&amp;CHAR(10))&amp;IF(OR(E104="",E104="not_applicable"),"","Substantiveness: "&amp;E104&amp;CHAR(10))&amp;IF(OR(F104="",F104="not_applicable"),"","Downstream impact: "&amp;F104&amp;CHAR(10))&amp;IF(OR(G104="",G104="not_applicable"),"","Report-internal or planning-material inconsistency: "&amp;G104&amp;CHAR(10))&amp;IF(OR(H104="",H104="not_applicable"),"","Protocol interpretation: "&amp;H104&amp;CHAR(10))&amp;IF(OR(I104="",I104="not_applicable"),"","Notes (optional): "&amp;I104&amp;CHAR(10)),"NOT FROZEN")</x:f>
        <x:v>Review domain: statistical_results
</x:v>
      </x:c>
    </x:row>
    <x:row r="105" ht="70" customHeight="1">
      <x:c r="A105" s="3" t="str">
        <x:f>IF(Setup!$B$6="primary","2018::jama.2018.8802::C006","NOT FROZEN")</x:f>
        <x:v>2018::jama.2018.8802::C006</x:v>
      </x:c>
      <x:c r="B105" s="3" t="str">
        <x:f>IF(Setup!$B$6="primary",IF(INDEX('C_jama.2018.8802'!$D$2:$D$9,MATCH("2018::jama.2018.8802::C006",'C_jama.2018.8802'!$A$2:$A$9,0))="","",INDEX('C_jama.2018.8802'!$D$2:$D$9,MATCH("2018::jama.2018.8802::C006",'C_jama.2018.8802'!$A$2:$A$9,0))),"NOT FROZEN")</x:f>
      </x:c>
      <x:c r="C105" s="3" t="str">
        <x:f>IF(Setup!$B$6="primary",IF(INDEX('C_jama.2018.8802'!$E$2:$E$9,MATCH("2018::jama.2018.8802::C006",'C_jama.2018.8802'!$A$2:$A$9,0))="","",INDEX('C_jama.2018.8802'!$E$2:$E$9,MATCH("2018::jama.2018.8802::C006",'C_jama.2018.8802'!$A$2:$A$9,0))),"NOT FROZEN")</x:f>
        <x:v>statistical_results</x:v>
      </x:c>
      <x:c r="D105" s="3" t="str">
        <x:f>IF(Setup!$B$6="primary",IF(AND(INDEX('C_jama.2018.8802'!$D$2:$D$9,MATCH("2018::jama.2018.8802::C006",'C_jama.2018.8802'!$A$2:$A$9,0))="retain",INDEX('C_jama.2018.8802'!$E$2:$E$9,MATCH("2018::jama.2018.8802::C006",'C_jama.2018.8802'!$A$2:$A$9,0))="statistical_results"),IF(INDEX('C_jama.2018.8802'!$H$2:$H$9,MATCH("2018::jama.2018.8802::C006",'C_jama.2018.8802'!$A$2:$A$9,0))="","",INDEX('C_jama.2018.8802'!$H$2:$H$9,MATCH("2018::jama.2018.8802::C006",'C_jama.2018.8802'!$A$2:$A$9,0))),"not_applicable"),"NOT FROZEN")</x:f>
        <x:v>not_applicable</x:v>
      </x:c>
      <x:c r="E105" s="3" t="str">
        <x:f>IF(Setup!$B$6="primary",IF(AND(INDEX('C_jama.2018.8802'!$D$2:$D$9,MATCH("2018::jama.2018.8802::C006",'C_jama.2018.8802'!$A$2:$A$9,0))="retain",INDEX('C_jama.2018.8802'!$E$2:$E$9,MATCH("2018::jama.2018.8802::C006",'C_jama.2018.8802'!$A$2:$A$9,0))="statistical_results"),IF(INDEX('C_jama.2018.8802'!$I$2:$I$9,MATCH("2018::jama.2018.8802::C006",'C_jama.2018.8802'!$A$2:$A$9,0))="","",INDEX('C_jama.2018.8802'!$I$2:$I$9,MATCH("2018::jama.2018.8802::C006",'C_jama.2018.8802'!$A$2:$A$9,0))),"not_applicable"),"NOT FROZEN")</x:f>
        <x:v>not_applicable</x:v>
      </x:c>
      <x:c r="F105" s="3" t="str">
        <x:f>IF(Setup!$B$6="primary",IF(AND(INDEX('C_jama.2018.8802'!$D$2:$D$9,MATCH("2018::jama.2018.8802::C006",'C_jama.2018.8802'!$A$2:$A$9,0))="retain",INDEX('C_jama.2018.8802'!$E$2:$E$9,MATCH("2018::jama.2018.8802::C006",'C_jama.2018.8802'!$A$2:$A$9,0))="statistical_results"),IF(INDEX('C_jama.2018.8802'!$J$2:$J$9,MATCH("2018::jama.2018.8802::C006",'C_jama.2018.8802'!$A$2:$A$9,0))="","",INDEX('C_jama.2018.8802'!$J$2:$J$9,MATCH("2018::jama.2018.8802::C006",'C_jama.2018.8802'!$A$2:$A$9,0))),"not_applicable"),"NOT FROZEN")</x:f>
        <x:v>not_applicable</x:v>
      </x:c>
      <x:c r="G105" s="3" t="str">
        <x:f>IF(Setup!$B$6="primary",IF(AND(INDEX('C_jama.2018.8802'!$D$2:$D$9,MATCH("2018::jama.2018.8802::C006",'C_jama.2018.8802'!$A$2:$A$9,0))="retain",OR(INDEX('C_jama.2018.8802'!$E$2:$E$9,MATCH("2018::jama.2018.8802::C006",'C_jama.2018.8802'!$A$2:$A$9,0))="report_internal_inconsistency",INDEX('C_jama.2018.8802'!$E$2:$E$9,MATCH("2018::jama.2018.8802::C006",'C_jama.2018.8802'!$A$2:$A$9,0))="plan_material")),IF(INDEX('C_jama.2018.8802'!$K$2:$K$9,MATCH("2018::jama.2018.8802::C006",'C_jama.2018.8802'!$A$2:$A$9,0))="","",INDEX('C_jama.2018.8802'!$K$2:$K$9,MATCH("2018::jama.2018.8802::C006",'C_jama.2018.8802'!$A$2:$A$9,0))),"not_applicable"),"NOT FROZEN")</x:f>
        <x:v>not_applicable</x:v>
      </x:c>
      <x:c r="H105" s="3" t="str">
        <x:f>IF(Setup!$B$6="primary",IF(AND(INDEX('C_jama.2018.8802'!$D$2:$D$9,MATCH("2018::jama.2018.8802::C006",'C_jama.2018.8802'!$A$2:$A$9,0))="retain",INDEX('C_jama.2018.8802'!$E$2:$E$9,MATCH("2018::jama.2018.8802::C006",'C_jama.2018.8802'!$A$2:$A$9,0))="protocol_report"),IF(INDEX('C_jama.2018.8802'!$L$2:$L$9,MATCH("2018::jama.2018.8802::C006",'C_jama.2018.8802'!$A$2:$A$9,0))="","",INDEX('C_jama.2018.8802'!$L$2:$L$9,MATCH("2018::jama.2018.8802::C006",'C_jama.2018.8802'!$A$2:$A$9,0))),"not_applicable"),"NOT FROZEN")</x:f>
        <x:v>not_applicable</x:v>
      </x:c>
      <x:c r="I105" s="3" t="str">
        <x:f>IF(Setup!$B$6="primary",IF(INDEX('C_jama.2018.8802'!$R$2:$R$9,MATCH("2018::jama.2018.8802::C006",'C_jama.2018.8802'!$A$2:$A$9,0))="","",INDEX('C_jama.2018.8802'!$R$2:$R$9,MATCH("2018::jama.2018.8802::C006",'C_jama.2018.8802'!$A$2:$A$9,0))),"NOT FROZEN")</x:f>
      </x:c>
      <x:c r="J105" s="3" t="str">
        <x:f>IF(Setup!$B$6="primary",INDEX('C_jama.2018.8802'!$F$2:$F$9,MATCH("2018::jama.2018.8802::C006",'C_jama.2018.8802'!$A$2:$A$9,0)),"NOT FROZEN")</x:f>
        <x:v>no</x:v>
      </x:c>
      <x:c r="K105" s="3" t="str">
        <x:f>IF(Setup!$B$6="primary",Setup!$B$2,"NOT FROZEN")</x:f>
      </x:c>
      <x:c r="L105" s="3" t="str">
        <x:f>IF(Setup!$B$6="primary",IF(OR(B105="",B105="not_applicable"),"","Disposition: "&amp;B105&amp;CHAR(10))&amp;IF(OR(C105="",C105="not_applicable"),"","Review domain: "&amp;C105&amp;CHAR(10))&amp;IF(OR(D105="",D105="not_applicable"),"","Statistcal_or_numerical issue: "&amp;D105&amp;CHAR(10))&amp;IF(OR(E105="",E105="not_applicable"),"","Substantiveness: "&amp;E105&amp;CHAR(10))&amp;IF(OR(F105="",F105="not_applicable"),"","Downstream impact: "&amp;F105&amp;CHAR(10))&amp;IF(OR(G105="",G105="not_applicable"),"","Report-internal or planning-material inconsistency: "&amp;G105&amp;CHAR(10))&amp;IF(OR(H105="",H105="not_applicable"),"","Protocol interpretation: "&amp;H105&amp;CHAR(10))&amp;IF(OR(I105="",I105="not_applicable"),"","Notes (optional): "&amp;I105&amp;CHAR(10)),"NOT FROZEN")</x:f>
        <x:v>Review domain: statistical_results
</x:v>
      </x:c>
    </x:row>
    <x:row r="106" ht="70" customHeight="1">
      <x:c r="A106" s="6" t="str">
        <x:f>IF(Setup!$B$6="primary","2018::jama.2018.8802::C007","NOT FROZEN")</x:f>
        <x:v>2018::jama.2018.8802::C007</x:v>
      </x:c>
      <x:c r="B106" s="6" t="str">
        <x:f>IF(Setup!$B$6="primary",IF(INDEX('C_jama.2018.8802'!$D$2:$D$9,MATCH("2018::jama.2018.8802::C007",'C_jama.2018.8802'!$A$2:$A$9,0))="","",INDEX('C_jama.2018.8802'!$D$2:$D$9,MATCH("2018::jama.2018.8802::C007",'C_jama.2018.8802'!$A$2:$A$9,0))),"NOT FROZEN")</x:f>
      </x:c>
      <x:c r="C106" s="6" t="str">
        <x:f>IF(Setup!$B$6="primary",IF(INDEX('C_jama.2018.8802'!$E$2:$E$9,MATCH("2018::jama.2018.8802::C007",'C_jama.2018.8802'!$A$2:$A$9,0))="","",INDEX('C_jama.2018.8802'!$E$2:$E$9,MATCH("2018::jama.2018.8802::C007",'C_jama.2018.8802'!$A$2:$A$9,0))),"NOT FROZEN")</x:f>
        <x:v>report_internal_inconsistency</x:v>
      </x:c>
      <x:c r="D106" s="6" t="str">
        <x:f>IF(Setup!$B$6="primary",IF(AND(INDEX('C_jama.2018.8802'!$D$2:$D$9,MATCH("2018::jama.2018.8802::C007",'C_jama.2018.8802'!$A$2:$A$9,0))="retain",INDEX('C_jama.2018.8802'!$E$2:$E$9,MATCH("2018::jama.2018.8802::C007",'C_jama.2018.8802'!$A$2:$A$9,0))="statistical_results"),IF(INDEX('C_jama.2018.8802'!$H$2:$H$9,MATCH("2018::jama.2018.8802::C007",'C_jama.2018.8802'!$A$2:$A$9,0))="","",INDEX('C_jama.2018.8802'!$H$2:$H$9,MATCH("2018::jama.2018.8802::C007",'C_jama.2018.8802'!$A$2:$A$9,0))),"not_applicable"),"NOT FROZEN")</x:f>
        <x:v>not_applicable</x:v>
      </x:c>
      <x:c r="E106" s="6" t="str">
        <x:f>IF(Setup!$B$6="primary",IF(AND(INDEX('C_jama.2018.8802'!$D$2:$D$9,MATCH("2018::jama.2018.8802::C007",'C_jama.2018.8802'!$A$2:$A$9,0))="retain",INDEX('C_jama.2018.8802'!$E$2:$E$9,MATCH("2018::jama.2018.8802::C007",'C_jama.2018.8802'!$A$2:$A$9,0))="statistical_results"),IF(INDEX('C_jama.2018.8802'!$I$2:$I$9,MATCH("2018::jama.2018.8802::C007",'C_jama.2018.8802'!$A$2:$A$9,0))="","",INDEX('C_jama.2018.8802'!$I$2:$I$9,MATCH("2018::jama.2018.8802::C007",'C_jama.2018.8802'!$A$2:$A$9,0))),"not_applicable"),"NOT FROZEN")</x:f>
        <x:v>not_applicable</x:v>
      </x:c>
      <x:c r="F106" s="6" t="str">
        <x:f>IF(Setup!$B$6="primary",IF(AND(INDEX('C_jama.2018.8802'!$D$2:$D$9,MATCH("2018::jama.2018.8802::C007",'C_jama.2018.8802'!$A$2:$A$9,0))="retain",INDEX('C_jama.2018.8802'!$E$2:$E$9,MATCH("2018::jama.2018.8802::C007",'C_jama.2018.8802'!$A$2:$A$9,0))="statistical_results"),IF(INDEX('C_jama.2018.8802'!$J$2:$J$9,MATCH("2018::jama.2018.8802::C007",'C_jama.2018.8802'!$A$2:$A$9,0))="","",INDEX('C_jama.2018.8802'!$J$2:$J$9,MATCH("2018::jama.2018.8802::C007",'C_jama.2018.8802'!$A$2:$A$9,0))),"not_applicable"),"NOT FROZEN")</x:f>
        <x:v>not_applicable</x:v>
      </x:c>
      <x:c r="G106" s="6" t="str">
        <x:f>IF(Setup!$B$6="primary",IF(AND(INDEX('C_jama.2018.8802'!$D$2:$D$9,MATCH("2018::jama.2018.8802::C007",'C_jama.2018.8802'!$A$2:$A$9,0))="retain",OR(INDEX('C_jama.2018.8802'!$E$2:$E$9,MATCH("2018::jama.2018.8802::C007",'C_jama.2018.8802'!$A$2:$A$9,0))="report_internal_inconsistency",INDEX('C_jama.2018.8802'!$E$2:$E$9,MATCH("2018::jama.2018.8802::C007",'C_jama.2018.8802'!$A$2:$A$9,0))="plan_material")),IF(INDEX('C_jama.2018.8802'!$K$2:$K$9,MATCH("2018::jama.2018.8802::C007",'C_jama.2018.8802'!$A$2:$A$9,0))="","",INDEX('C_jama.2018.8802'!$K$2:$K$9,MATCH("2018::jama.2018.8802::C007",'C_jama.2018.8802'!$A$2:$A$9,0))),"not_applicable"),"NOT FROZEN")</x:f>
        <x:v>not_applicable</x:v>
      </x:c>
      <x:c r="H106" s="6" t="str">
        <x:f>IF(Setup!$B$6="primary",IF(AND(INDEX('C_jama.2018.8802'!$D$2:$D$9,MATCH("2018::jama.2018.8802::C007",'C_jama.2018.8802'!$A$2:$A$9,0))="retain",INDEX('C_jama.2018.8802'!$E$2:$E$9,MATCH("2018::jama.2018.8802::C007",'C_jama.2018.8802'!$A$2:$A$9,0))="protocol_report"),IF(INDEX('C_jama.2018.8802'!$L$2:$L$9,MATCH("2018::jama.2018.8802::C007",'C_jama.2018.8802'!$A$2:$A$9,0))="","",INDEX('C_jama.2018.8802'!$L$2:$L$9,MATCH("2018::jama.2018.8802::C007",'C_jama.2018.8802'!$A$2:$A$9,0))),"not_applicable"),"NOT FROZEN")</x:f>
        <x:v>not_applicable</x:v>
      </x:c>
      <x:c r="I106" s="6" t="str">
        <x:f>IF(Setup!$B$6="primary",IF(INDEX('C_jama.2018.8802'!$R$2:$R$9,MATCH("2018::jama.2018.8802::C007",'C_jama.2018.8802'!$A$2:$A$9,0))="","",INDEX('C_jama.2018.8802'!$R$2:$R$9,MATCH("2018::jama.2018.8802::C007",'C_jama.2018.8802'!$A$2:$A$9,0))),"NOT FROZEN")</x:f>
      </x:c>
      <x:c r="J106" s="6" t="str">
        <x:f>IF(Setup!$B$6="primary",INDEX('C_jama.2018.8802'!$F$2:$F$9,MATCH("2018::jama.2018.8802::C007",'C_jama.2018.8802'!$A$2:$A$9,0)),"NOT FROZEN")</x:f>
        <x:v>no</x:v>
      </x:c>
      <x:c r="K106" s="6" t="str">
        <x:f>IF(Setup!$B$6="primary",Setup!$B$2,"NOT FROZEN")</x:f>
      </x:c>
      <x:c r="L106" s="6" t="str">
        <x:f>IF(Setup!$B$6="primary",IF(OR(B106="",B106="not_applicable"),"","Disposition: "&amp;B106&amp;CHAR(10))&amp;IF(OR(C106="",C106="not_applicable"),"","Review domain: "&amp;C106&amp;CHAR(10))&amp;IF(OR(D106="",D106="not_applicable"),"","Statistcal_or_numerical issue: "&amp;D106&amp;CHAR(10))&amp;IF(OR(E106="",E106="not_applicable"),"","Substantiveness: "&amp;E106&amp;CHAR(10))&amp;IF(OR(F106="",F106="not_applicable"),"","Downstream impact: "&amp;F106&amp;CHAR(10))&amp;IF(OR(G106="",G106="not_applicable"),"","Report-internal or planning-material inconsistency: "&amp;G106&amp;CHAR(10))&amp;IF(OR(H106="",H106="not_applicable"),"","Protocol interpretation: "&amp;H106&amp;CHAR(10))&amp;IF(OR(I106="",I106="not_applicable"),"","Notes (optional): "&amp;I106&amp;CHAR(10)),"NOT FROZEN")</x:f>
        <x:v>Review domain: report_internal_inconsistency
</x:v>
      </x:c>
    </x:row>
    <x:row r="107" ht="70" customHeight="1">
      <x:c r="A107" s="3" t="str">
        <x:f>IF(Setup!$B$6="primary","2018::jama.2018.8802::C008","NOT FROZEN")</x:f>
        <x:v>2018::jama.2018.8802::C008</x:v>
      </x:c>
      <x:c r="B107" s="3" t="str">
        <x:f>IF(Setup!$B$6="primary",IF(INDEX('C_jama.2018.8802'!$D$2:$D$9,MATCH("2018::jama.2018.8802::C008",'C_jama.2018.8802'!$A$2:$A$9,0))="","",INDEX('C_jama.2018.8802'!$D$2:$D$9,MATCH("2018::jama.2018.8802::C008",'C_jama.2018.8802'!$A$2:$A$9,0))),"NOT FROZEN")</x:f>
      </x:c>
      <x:c r="C107" s="3" t="str">
        <x:f>IF(Setup!$B$6="primary",IF(INDEX('C_jama.2018.8802'!$E$2:$E$9,MATCH("2018::jama.2018.8802::C008",'C_jama.2018.8802'!$A$2:$A$9,0))="","",INDEX('C_jama.2018.8802'!$E$2:$E$9,MATCH("2018::jama.2018.8802::C008",'C_jama.2018.8802'!$A$2:$A$9,0))),"NOT FROZEN")</x:f>
        <x:v>statistical_results</x:v>
      </x:c>
      <x:c r="D107" s="3" t="str">
        <x:f>IF(Setup!$B$6="primary",IF(AND(INDEX('C_jama.2018.8802'!$D$2:$D$9,MATCH("2018::jama.2018.8802::C008",'C_jama.2018.8802'!$A$2:$A$9,0))="retain",INDEX('C_jama.2018.8802'!$E$2:$E$9,MATCH("2018::jama.2018.8802::C008",'C_jama.2018.8802'!$A$2:$A$9,0))="statistical_results"),IF(INDEX('C_jama.2018.8802'!$H$2:$H$9,MATCH("2018::jama.2018.8802::C008",'C_jama.2018.8802'!$A$2:$A$9,0))="","",INDEX('C_jama.2018.8802'!$H$2:$H$9,MATCH("2018::jama.2018.8802::C008",'C_jama.2018.8802'!$A$2:$A$9,0))),"not_applicable"),"NOT FROZEN")</x:f>
        <x:v>not_applicable</x:v>
      </x:c>
      <x:c r="E107" s="3" t="str">
        <x:f>IF(Setup!$B$6="primary",IF(AND(INDEX('C_jama.2018.8802'!$D$2:$D$9,MATCH("2018::jama.2018.8802::C008",'C_jama.2018.8802'!$A$2:$A$9,0))="retain",INDEX('C_jama.2018.8802'!$E$2:$E$9,MATCH("2018::jama.2018.8802::C008",'C_jama.2018.8802'!$A$2:$A$9,0))="statistical_results"),IF(INDEX('C_jama.2018.8802'!$I$2:$I$9,MATCH("2018::jama.2018.8802::C008",'C_jama.2018.8802'!$A$2:$A$9,0))="","",INDEX('C_jama.2018.8802'!$I$2:$I$9,MATCH("2018::jama.2018.8802::C008",'C_jama.2018.8802'!$A$2:$A$9,0))),"not_applicable"),"NOT FROZEN")</x:f>
        <x:v>not_applicable</x:v>
      </x:c>
      <x:c r="F107" s="3" t="str">
        <x:f>IF(Setup!$B$6="primary",IF(AND(INDEX('C_jama.2018.8802'!$D$2:$D$9,MATCH("2018::jama.2018.8802::C008",'C_jama.2018.8802'!$A$2:$A$9,0))="retain",INDEX('C_jama.2018.8802'!$E$2:$E$9,MATCH("2018::jama.2018.8802::C008",'C_jama.2018.8802'!$A$2:$A$9,0))="statistical_results"),IF(INDEX('C_jama.2018.8802'!$J$2:$J$9,MATCH("2018::jama.2018.8802::C008",'C_jama.2018.8802'!$A$2:$A$9,0))="","",INDEX('C_jama.2018.8802'!$J$2:$J$9,MATCH("2018::jama.2018.8802::C008",'C_jama.2018.8802'!$A$2:$A$9,0))),"not_applicable"),"NOT FROZEN")</x:f>
        <x:v>not_applicable</x:v>
      </x:c>
      <x:c r="G107" s="3" t="str">
        <x:f>IF(Setup!$B$6="primary",IF(AND(INDEX('C_jama.2018.8802'!$D$2:$D$9,MATCH("2018::jama.2018.8802::C008",'C_jama.2018.8802'!$A$2:$A$9,0))="retain",OR(INDEX('C_jama.2018.8802'!$E$2:$E$9,MATCH("2018::jama.2018.8802::C008",'C_jama.2018.8802'!$A$2:$A$9,0))="report_internal_inconsistency",INDEX('C_jama.2018.8802'!$E$2:$E$9,MATCH("2018::jama.2018.8802::C008",'C_jama.2018.8802'!$A$2:$A$9,0))="plan_material")),IF(INDEX('C_jama.2018.8802'!$K$2:$K$9,MATCH("2018::jama.2018.8802::C008",'C_jama.2018.8802'!$A$2:$A$9,0))="","",INDEX('C_jama.2018.8802'!$K$2:$K$9,MATCH("2018::jama.2018.8802::C008",'C_jama.2018.8802'!$A$2:$A$9,0))),"not_applicable"),"NOT FROZEN")</x:f>
        <x:v>not_applicable</x:v>
      </x:c>
      <x:c r="H107" s="3" t="str">
        <x:f>IF(Setup!$B$6="primary",IF(AND(INDEX('C_jama.2018.8802'!$D$2:$D$9,MATCH("2018::jama.2018.8802::C008",'C_jama.2018.8802'!$A$2:$A$9,0))="retain",INDEX('C_jama.2018.8802'!$E$2:$E$9,MATCH("2018::jama.2018.8802::C008",'C_jama.2018.8802'!$A$2:$A$9,0))="protocol_report"),IF(INDEX('C_jama.2018.8802'!$L$2:$L$9,MATCH("2018::jama.2018.8802::C008",'C_jama.2018.8802'!$A$2:$A$9,0))="","",INDEX('C_jama.2018.8802'!$L$2:$L$9,MATCH("2018::jama.2018.8802::C008",'C_jama.2018.8802'!$A$2:$A$9,0))),"not_applicable"),"NOT FROZEN")</x:f>
        <x:v>not_applicable</x:v>
      </x:c>
      <x:c r="I107" s="3" t="str">
        <x:f>IF(Setup!$B$6="primary",IF(INDEX('C_jama.2018.8802'!$R$2:$R$9,MATCH("2018::jama.2018.8802::C008",'C_jama.2018.8802'!$A$2:$A$9,0))="","",INDEX('C_jama.2018.8802'!$R$2:$R$9,MATCH("2018::jama.2018.8802::C008",'C_jama.2018.8802'!$A$2:$A$9,0))),"NOT FROZEN")</x:f>
      </x:c>
      <x:c r="J107" s="3" t="str">
        <x:f>IF(Setup!$B$6="primary",INDEX('C_jama.2018.8802'!$F$2:$F$9,MATCH("2018::jama.2018.8802::C008",'C_jama.2018.8802'!$A$2:$A$9,0)),"NOT FROZEN")</x:f>
        <x:v>no</x:v>
      </x:c>
      <x:c r="K107" s="3" t="str">
        <x:f>IF(Setup!$B$6="primary",Setup!$B$2,"NOT FROZEN")</x:f>
      </x:c>
      <x:c r="L107" s="3" t="str">
        <x:f>IF(Setup!$B$6="primary",IF(OR(B107="",B107="not_applicable"),"","Disposition: "&amp;B107&amp;CHAR(10))&amp;IF(OR(C107="",C107="not_applicable"),"","Review domain: "&amp;C107&amp;CHAR(10))&amp;IF(OR(D107="",D107="not_applicable"),"","Statistcal_or_numerical issue: "&amp;D107&amp;CHAR(10))&amp;IF(OR(E107="",E107="not_applicable"),"","Substantiveness: "&amp;E107&amp;CHAR(10))&amp;IF(OR(F107="",F107="not_applicable"),"","Downstream impact: "&amp;F107&amp;CHAR(10))&amp;IF(OR(G107="",G107="not_applicable"),"","Report-internal or planning-material inconsistency: "&amp;G107&amp;CHAR(10))&amp;IF(OR(H107="",H107="not_applicable"),"","Protocol interpretation: "&amp;H107&amp;CHAR(10))&amp;IF(OR(I107="",I107="not_applicable"),"","Notes (optional): "&amp;I107&amp;CHAR(10)),"NOT FROZEN")</x:f>
        <x:v>Review domain: statistical_results
</x:v>
      </x:c>
    </x:row>
    <x:row r="108" ht="70" customHeight="1">
      <x:c r="A108" s="6" t="str">
        <x:f>IF(Setup!$B$6="primary","2018::jama.2018.9128::C001","NOT FROZEN")</x:f>
        <x:v>2018::jama.2018.9128::C001</x:v>
      </x:c>
      <x:c r="B108" s="6" t="str">
        <x:f>IF(Setup!$B$6="primary",IF(INDEX('C_jama.2018.9128'!$D$2:$D$14,MATCH("2018::jama.2018.9128::C001",'C_jama.2018.9128'!$A$2:$A$14,0))="","",INDEX('C_jama.2018.9128'!$D$2:$D$14,MATCH("2018::jama.2018.9128::C001",'C_jama.2018.9128'!$A$2:$A$14,0))),"NOT FROZEN")</x:f>
      </x:c>
      <x:c r="C108" s="6" t="str">
        <x:f>IF(Setup!$B$6="primary",IF(INDEX('C_jama.2018.9128'!$E$2:$E$14,MATCH("2018::jama.2018.9128::C001",'C_jama.2018.9128'!$A$2:$A$14,0))="","",INDEX('C_jama.2018.9128'!$E$2:$E$14,MATCH("2018::jama.2018.9128::C001",'C_jama.2018.9128'!$A$2:$A$14,0))),"NOT FROZEN")</x:f>
        <x:v>report_internal_inconsistency</x:v>
      </x:c>
      <x:c r="D108" s="6" t="str">
        <x:f>IF(Setup!$B$6="primary",IF(AND(INDEX('C_jama.2018.9128'!$D$2:$D$14,MATCH("2018::jama.2018.9128::C001",'C_jama.2018.9128'!$A$2:$A$14,0))="retain",INDEX('C_jama.2018.9128'!$E$2:$E$14,MATCH("2018::jama.2018.9128::C001",'C_jama.2018.9128'!$A$2:$A$14,0))="statistical_results"),IF(INDEX('C_jama.2018.9128'!$H$2:$H$14,MATCH("2018::jama.2018.9128::C001",'C_jama.2018.9128'!$A$2:$A$14,0))="","",INDEX('C_jama.2018.9128'!$H$2:$H$14,MATCH("2018::jama.2018.9128::C001",'C_jama.2018.9128'!$A$2:$A$14,0))),"not_applicable"),"NOT FROZEN")</x:f>
        <x:v>not_applicable</x:v>
      </x:c>
      <x:c r="E108" s="6" t="str">
        <x:f>IF(Setup!$B$6="primary",IF(AND(INDEX('C_jama.2018.9128'!$D$2:$D$14,MATCH("2018::jama.2018.9128::C001",'C_jama.2018.9128'!$A$2:$A$14,0))="retain",INDEX('C_jama.2018.9128'!$E$2:$E$14,MATCH("2018::jama.2018.9128::C001",'C_jama.2018.9128'!$A$2:$A$14,0))="statistical_results"),IF(INDEX('C_jama.2018.9128'!$I$2:$I$14,MATCH("2018::jama.2018.9128::C001",'C_jama.2018.9128'!$A$2:$A$14,0))="","",INDEX('C_jama.2018.9128'!$I$2:$I$14,MATCH("2018::jama.2018.9128::C001",'C_jama.2018.9128'!$A$2:$A$14,0))),"not_applicable"),"NOT FROZEN")</x:f>
        <x:v>not_applicable</x:v>
      </x:c>
      <x:c r="F108" s="6" t="str">
        <x:f>IF(Setup!$B$6="primary",IF(AND(INDEX('C_jama.2018.9128'!$D$2:$D$14,MATCH("2018::jama.2018.9128::C001",'C_jama.2018.9128'!$A$2:$A$14,0))="retain",INDEX('C_jama.2018.9128'!$E$2:$E$14,MATCH("2018::jama.2018.9128::C001",'C_jama.2018.9128'!$A$2:$A$14,0))="statistical_results"),IF(INDEX('C_jama.2018.9128'!$J$2:$J$14,MATCH("2018::jama.2018.9128::C001",'C_jama.2018.9128'!$A$2:$A$14,0))="","",INDEX('C_jama.2018.9128'!$J$2:$J$14,MATCH("2018::jama.2018.9128::C001",'C_jama.2018.9128'!$A$2:$A$14,0))),"not_applicable"),"NOT FROZEN")</x:f>
        <x:v>not_applicable</x:v>
      </x:c>
      <x:c r="G108" s="6" t="str">
        <x:f>IF(Setup!$B$6="primary",IF(AND(INDEX('C_jama.2018.9128'!$D$2:$D$14,MATCH("2018::jama.2018.9128::C001",'C_jama.2018.9128'!$A$2:$A$14,0))="retain",OR(INDEX('C_jama.2018.9128'!$E$2:$E$14,MATCH("2018::jama.2018.9128::C001",'C_jama.2018.9128'!$A$2:$A$14,0))="report_internal_inconsistency",INDEX('C_jama.2018.9128'!$E$2:$E$14,MATCH("2018::jama.2018.9128::C001",'C_jama.2018.9128'!$A$2:$A$14,0))="plan_material")),IF(INDEX('C_jama.2018.9128'!$K$2:$K$14,MATCH("2018::jama.2018.9128::C001",'C_jama.2018.9128'!$A$2:$A$14,0))="","",INDEX('C_jama.2018.9128'!$K$2:$K$14,MATCH("2018::jama.2018.9128::C001",'C_jama.2018.9128'!$A$2:$A$14,0))),"not_applicable"),"NOT FROZEN")</x:f>
        <x:v>not_applicable</x:v>
      </x:c>
      <x:c r="H108" s="6" t="str">
        <x:f>IF(Setup!$B$6="primary",IF(AND(INDEX('C_jama.2018.9128'!$D$2:$D$14,MATCH("2018::jama.2018.9128::C001",'C_jama.2018.9128'!$A$2:$A$14,0))="retain",INDEX('C_jama.2018.9128'!$E$2:$E$14,MATCH("2018::jama.2018.9128::C001",'C_jama.2018.9128'!$A$2:$A$14,0))="protocol_report"),IF(INDEX('C_jama.2018.9128'!$L$2:$L$14,MATCH("2018::jama.2018.9128::C001",'C_jama.2018.9128'!$A$2:$A$14,0))="","",INDEX('C_jama.2018.9128'!$L$2:$L$14,MATCH("2018::jama.2018.9128::C001",'C_jama.2018.9128'!$A$2:$A$14,0))),"not_applicable"),"NOT FROZEN")</x:f>
        <x:v>not_applicable</x:v>
      </x:c>
      <x:c r="I108" s="6" t="str">
        <x:f>IF(Setup!$B$6="primary",IF(INDEX('C_jama.2018.9128'!$R$2:$R$14,MATCH("2018::jama.2018.9128::C001",'C_jama.2018.9128'!$A$2:$A$14,0))="","",INDEX('C_jama.2018.9128'!$R$2:$R$14,MATCH("2018::jama.2018.9128::C001",'C_jama.2018.9128'!$A$2:$A$14,0))),"NOT FROZEN")</x:f>
      </x:c>
      <x:c r="J108" s="6" t="str">
        <x:f>IF(Setup!$B$6="primary",INDEX('C_jama.2018.9128'!$F$2:$F$14,MATCH("2018::jama.2018.9128::C001",'C_jama.2018.9128'!$A$2:$A$14,0)),"NOT FROZEN")</x:f>
        <x:v>no</x:v>
      </x:c>
      <x:c r="K108" s="6" t="str">
        <x:f>IF(Setup!$B$6="primary",Setup!$B$2,"NOT FROZEN")</x:f>
      </x:c>
      <x:c r="L108" s="6" t="str">
        <x:f>IF(Setup!$B$6="primary",IF(OR(B108="",B108="not_applicable"),"","Disposition: "&amp;B108&amp;CHAR(10))&amp;IF(OR(C108="",C108="not_applicable"),"","Review domain: "&amp;C108&amp;CHAR(10))&amp;IF(OR(D108="",D108="not_applicable"),"","Statistcal_or_numerical issue: "&amp;D108&amp;CHAR(10))&amp;IF(OR(E108="",E108="not_applicable"),"","Substantiveness: "&amp;E108&amp;CHAR(10))&amp;IF(OR(F108="",F108="not_applicable"),"","Downstream impact: "&amp;F108&amp;CHAR(10))&amp;IF(OR(G108="",G108="not_applicable"),"","Report-internal or planning-material inconsistency: "&amp;G108&amp;CHAR(10))&amp;IF(OR(H108="",H108="not_applicable"),"","Protocol interpretation: "&amp;H108&amp;CHAR(10))&amp;IF(OR(I108="",I108="not_applicable"),"","Notes (optional): "&amp;I108&amp;CHAR(10)),"NOT FROZEN")</x:f>
        <x:v>Review domain: report_internal_inconsistency
</x:v>
      </x:c>
    </x:row>
    <x:row r="109" ht="70" customHeight="1">
      <x:c r="A109" s="3" t="str">
        <x:f>IF(Setup!$B$6="primary","2018::jama.2018.9128::C002","NOT FROZEN")</x:f>
        <x:v>2018::jama.2018.9128::C002</x:v>
      </x:c>
      <x:c r="B109" s="3" t="str">
        <x:f>IF(Setup!$B$6="primary",IF(INDEX('C_jama.2018.9128'!$D$2:$D$14,MATCH("2018::jama.2018.9128::C002",'C_jama.2018.9128'!$A$2:$A$14,0))="","",INDEX('C_jama.2018.9128'!$D$2:$D$14,MATCH("2018::jama.2018.9128::C002",'C_jama.2018.9128'!$A$2:$A$14,0))),"NOT FROZEN")</x:f>
      </x:c>
      <x:c r="C109" s="3" t="str">
        <x:f>IF(Setup!$B$6="primary",IF(INDEX('C_jama.2018.9128'!$E$2:$E$14,MATCH("2018::jama.2018.9128::C002",'C_jama.2018.9128'!$A$2:$A$14,0))="","",INDEX('C_jama.2018.9128'!$E$2:$E$14,MATCH("2018::jama.2018.9128::C002",'C_jama.2018.9128'!$A$2:$A$14,0))),"NOT FROZEN")</x:f>
        <x:v>report_internal_inconsistency</x:v>
      </x:c>
      <x:c r="D109" s="3" t="str">
        <x:f>IF(Setup!$B$6="primary",IF(AND(INDEX('C_jama.2018.9128'!$D$2:$D$14,MATCH("2018::jama.2018.9128::C002",'C_jama.2018.9128'!$A$2:$A$14,0))="retain",INDEX('C_jama.2018.9128'!$E$2:$E$14,MATCH("2018::jama.2018.9128::C002",'C_jama.2018.9128'!$A$2:$A$14,0))="statistical_results"),IF(INDEX('C_jama.2018.9128'!$H$2:$H$14,MATCH("2018::jama.2018.9128::C002",'C_jama.2018.9128'!$A$2:$A$14,0))="","",INDEX('C_jama.2018.9128'!$H$2:$H$14,MATCH("2018::jama.2018.9128::C002",'C_jama.2018.9128'!$A$2:$A$14,0))),"not_applicable"),"NOT FROZEN")</x:f>
        <x:v>not_applicable</x:v>
      </x:c>
      <x:c r="E109" s="3" t="str">
        <x:f>IF(Setup!$B$6="primary",IF(AND(INDEX('C_jama.2018.9128'!$D$2:$D$14,MATCH("2018::jama.2018.9128::C002",'C_jama.2018.9128'!$A$2:$A$14,0))="retain",INDEX('C_jama.2018.9128'!$E$2:$E$14,MATCH("2018::jama.2018.9128::C002",'C_jama.2018.9128'!$A$2:$A$14,0))="statistical_results"),IF(INDEX('C_jama.2018.9128'!$I$2:$I$14,MATCH("2018::jama.2018.9128::C002",'C_jama.2018.9128'!$A$2:$A$14,0))="","",INDEX('C_jama.2018.9128'!$I$2:$I$14,MATCH("2018::jama.2018.9128::C002",'C_jama.2018.9128'!$A$2:$A$14,0))),"not_applicable"),"NOT FROZEN")</x:f>
        <x:v>not_applicable</x:v>
      </x:c>
      <x:c r="F109" s="3" t="str">
        <x:f>IF(Setup!$B$6="primary",IF(AND(INDEX('C_jama.2018.9128'!$D$2:$D$14,MATCH("2018::jama.2018.9128::C002",'C_jama.2018.9128'!$A$2:$A$14,0))="retain",INDEX('C_jama.2018.9128'!$E$2:$E$14,MATCH("2018::jama.2018.9128::C002",'C_jama.2018.9128'!$A$2:$A$14,0))="statistical_results"),IF(INDEX('C_jama.2018.9128'!$J$2:$J$14,MATCH("2018::jama.2018.9128::C002",'C_jama.2018.9128'!$A$2:$A$14,0))="","",INDEX('C_jama.2018.9128'!$J$2:$J$14,MATCH("2018::jama.2018.9128::C002",'C_jama.2018.9128'!$A$2:$A$14,0))),"not_applicable"),"NOT FROZEN")</x:f>
        <x:v>not_applicable</x:v>
      </x:c>
      <x:c r="G109" s="3" t="str">
        <x:f>IF(Setup!$B$6="primary",IF(AND(INDEX('C_jama.2018.9128'!$D$2:$D$14,MATCH("2018::jama.2018.9128::C002",'C_jama.2018.9128'!$A$2:$A$14,0))="retain",OR(INDEX('C_jama.2018.9128'!$E$2:$E$14,MATCH("2018::jama.2018.9128::C002",'C_jama.2018.9128'!$A$2:$A$14,0))="report_internal_inconsistency",INDEX('C_jama.2018.9128'!$E$2:$E$14,MATCH("2018::jama.2018.9128::C002",'C_jama.2018.9128'!$A$2:$A$14,0))="plan_material")),IF(INDEX('C_jama.2018.9128'!$K$2:$K$14,MATCH("2018::jama.2018.9128::C002",'C_jama.2018.9128'!$A$2:$A$14,0))="","",INDEX('C_jama.2018.9128'!$K$2:$K$14,MATCH("2018::jama.2018.9128::C002",'C_jama.2018.9128'!$A$2:$A$14,0))),"not_applicable"),"NOT FROZEN")</x:f>
        <x:v>not_applicable</x:v>
      </x:c>
      <x:c r="H109" s="3" t="str">
        <x:f>IF(Setup!$B$6="primary",IF(AND(INDEX('C_jama.2018.9128'!$D$2:$D$14,MATCH("2018::jama.2018.9128::C002",'C_jama.2018.9128'!$A$2:$A$14,0))="retain",INDEX('C_jama.2018.9128'!$E$2:$E$14,MATCH("2018::jama.2018.9128::C002",'C_jama.2018.9128'!$A$2:$A$14,0))="protocol_report"),IF(INDEX('C_jama.2018.9128'!$L$2:$L$14,MATCH("2018::jama.2018.9128::C002",'C_jama.2018.9128'!$A$2:$A$14,0))="","",INDEX('C_jama.2018.9128'!$L$2:$L$14,MATCH("2018::jama.2018.9128::C002",'C_jama.2018.9128'!$A$2:$A$14,0))),"not_applicable"),"NOT FROZEN")</x:f>
        <x:v>not_applicable</x:v>
      </x:c>
      <x:c r="I109" s="3" t="str">
        <x:f>IF(Setup!$B$6="primary",IF(INDEX('C_jama.2018.9128'!$R$2:$R$14,MATCH("2018::jama.2018.9128::C002",'C_jama.2018.9128'!$A$2:$A$14,0))="","",INDEX('C_jama.2018.9128'!$R$2:$R$14,MATCH("2018::jama.2018.9128::C002",'C_jama.2018.9128'!$A$2:$A$14,0))),"NOT FROZEN")</x:f>
      </x:c>
      <x:c r="J109" s="3" t="str">
        <x:f>IF(Setup!$B$6="primary",INDEX('C_jama.2018.9128'!$F$2:$F$14,MATCH("2018::jama.2018.9128::C002",'C_jama.2018.9128'!$A$2:$A$14,0)),"NOT FROZEN")</x:f>
        <x:v>no</x:v>
      </x:c>
      <x:c r="K109" s="3" t="str">
        <x:f>IF(Setup!$B$6="primary",Setup!$B$2,"NOT FROZEN")</x:f>
      </x:c>
      <x:c r="L109" s="3" t="str">
        <x:f>IF(Setup!$B$6="primary",IF(OR(B109="",B109="not_applicable"),"","Disposition: "&amp;B109&amp;CHAR(10))&amp;IF(OR(C109="",C109="not_applicable"),"","Review domain: "&amp;C109&amp;CHAR(10))&amp;IF(OR(D109="",D109="not_applicable"),"","Statistcal_or_numerical issue: "&amp;D109&amp;CHAR(10))&amp;IF(OR(E109="",E109="not_applicable"),"","Substantiveness: "&amp;E109&amp;CHAR(10))&amp;IF(OR(F109="",F109="not_applicable"),"","Downstream impact: "&amp;F109&amp;CHAR(10))&amp;IF(OR(G109="",G109="not_applicable"),"","Report-internal or planning-material inconsistency: "&amp;G109&amp;CHAR(10))&amp;IF(OR(H109="",H109="not_applicable"),"","Protocol interpretation: "&amp;H109&amp;CHAR(10))&amp;IF(OR(I109="",I109="not_applicable"),"","Notes (optional): "&amp;I109&amp;CHAR(10)),"NOT FROZEN")</x:f>
        <x:v>Review domain: report_internal_inconsistency
</x:v>
      </x:c>
    </x:row>
    <x:row r="110" ht="70" customHeight="1">
      <x:c r="A110" s="6" t="str">
        <x:f>IF(Setup!$B$6="primary","2018::jama.2018.9128::C003","NOT FROZEN")</x:f>
        <x:v>2018::jama.2018.9128::C003</x:v>
      </x:c>
      <x:c r="B110" s="6" t="str">
        <x:f>IF(Setup!$B$6="primary",IF(INDEX('C_jama.2018.9128'!$D$2:$D$14,MATCH("2018::jama.2018.9128::C003",'C_jama.2018.9128'!$A$2:$A$14,0))="","",INDEX('C_jama.2018.9128'!$D$2:$D$14,MATCH("2018::jama.2018.9128::C003",'C_jama.2018.9128'!$A$2:$A$14,0))),"NOT FROZEN")</x:f>
      </x:c>
      <x:c r="C110" s="6" t="str">
        <x:f>IF(Setup!$B$6="primary",IF(INDEX('C_jama.2018.9128'!$E$2:$E$14,MATCH("2018::jama.2018.9128::C003",'C_jama.2018.9128'!$A$2:$A$14,0))="","",INDEX('C_jama.2018.9128'!$E$2:$E$14,MATCH("2018::jama.2018.9128::C003",'C_jama.2018.9128'!$A$2:$A$14,0))),"NOT FROZEN")</x:f>
        <x:v>report_internal_inconsistency</x:v>
      </x:c>
      <x:c r="D110" s="6" t="str">
        <x:f>IF(Setup!$B$6="primary",IF(AND(INDEX('C_jama.2018.9128'!$D$2:$D$14,MATCH("2018::jama.2018.9128::C003",'C_jama.2018.9128'!$A$2:$A$14,0))="retain",INDEX('C_jama.2018.9128'!$E$2:$E$14,MATCH("2018::jama.2018.9128::C003",'C_jama.2018.9128'!$A$2:$A$14,0))="statistical_results"),IF(INDEX('C_jama.2018.9128'!$H$2:$H$14,MATCH("2018::jama.2018.9128::C003",'C_jama.2018.9128'!$A$2:$A$14,0))="","",INDEX('C_jama.2018.9128'!$H$2:$H$14,MATCH("2018::jama.2018.9128::C003",'C_jama.2018.9128'!$A$2:$A$14,0))),"not_applicable"),"NOT FROZEN")</x:f>
        <x:v>not_applicable</x:v>
      </x:c>
      <x:c r="E110" s="6" t="str">
        <x:f>IF(Setup!$B$6="primary",IF(AND(INDEX('C_jama.2018.9128'!$D$2:$D$14,MATCH("2018::jama.2018.9128::C003",'C_jama.2018.9128'!$A$2:$A$14,0))="retain",INDEX('C_jama.2018.9128'!$E$2:$E$14,MATCH("2018::jama.2018.9128::C003",'C_jama.2018.9128'!$A$2:$A$14,0))="statistical_results"),IF(INDEX('C_jama.2018.9128'!$I$2:$I$14,MATCH("2018::jama.2018.9128::C003",'C_jama.2018.9128'!$A$2:$A$14,0))="","",INDEX('C_jama.2018.9128'!$I$2:$I$14,MATCH("2018::jama.2018.9128::C003",'C_jama.2018.9128'!$A$2:$A$14,0))),"not_applicable"),"NOT FROZEN")</x:f>
        <x:v>not_applicable</x:v>
      </x:c>
      <x:c r="F110" s="6" t="str">
        <x:f>IF(Setup!$B$6="primary",IF(AND(INDEX('C_jama.2018.9128'!$D$2:$D$14,MATCH("2018::jama.2018.9128::C003",'C_jama.2018.9128'!$A$2:$A$14,0))="retain",INDEX('C_jama.2018.9128'!$E$2:$E$14,MATCH("2018::jama.2018.9128::C003",'C_jama.2018.9128'!$A$2:$A$14,0))="statistical_results"),IF(INDEX('C_jama.2018.9128'!$J$2:$J$14,MATCH("2018::jama.2018.9128::C003",'C_jama.2018.9128'!$A$2:$A$14,0))="","",INDEX('C_jama.2018.9128'!$J$2:$J$14,MATCH("2018::jama.2018.9128::C003",'C_jama.2018.9128'!$A$2:$A$14,0))),"not_applicable"),"NOT FROZEN")</x:f>
        <x:v>not_applicable</x:v>
      </x:c>
      <x:c r="G110" s="6" t="str">
        <x:f>IF(Setup!$B$6="primary",IF(AND(INDEX('C_jama.2018.9128'!$D$2:$D$14,MATCH("2018::jama.2018.9128::C003",'C_jama.2018.9128'!$A$2:$A$14,0))="retain",OR(INDEX('C_jama.2018.9128'!$E$2:$E$14,MATCH("2018::jama.2018.9128::C003",'C_jama.2018.9128'!$A$2:$A$14,0))="report_internal_inconsistency",INDEX('C_jama.2018.9128'!$E$2:$E$14,MATCH("2018::jama.2018.9128::C003",'C_jama.2018.9128'!$A$2:$A$14,0))="plan_material")),IF(INDEX('C_jama.2018.9128'!$K$2:$K$14,MATCH("2018::jama.2018.9128::C003",'C_jama.2018.9128'!$A$2:$A$14,0))="","",INDEX('C_jama.2018.9128'!$K$2:$K$14,MATCH("2018::jama.2018.9128::C003",'C_jama.2018.9128'!$A$2:$A$14,0))),"not_applicable"),"NOT FROZEN")</x:f>
        <x:v>not_applicable</x:v>
      </x:c>
      <x:c r="H110" s="6" t="str">
        <x:f>IF(Setup!$B$6="primary",IF(AND(INDEX('C_jama.2018.9128'!$D$2:$D$14,MATCH("2018::jama.2018.9128::C003",'C_jama.2018.9128'!$A$2:$A$14,0))="retain",INDEX('C_jama.2018.9128'!$E$2:$E$14,MATCH("2018::jama.2018.9128::C003",'C_jama.2018.9128'!$A$2:$A$14,0))="protocol_report"),IF(INDEX('C_jama.2018.9128'!$L$2:$L$14,MATCH("2018::jama.2018.9128::C003",'C_jama.2018.9128'!$A$2:$A$14,0))="","",INDEX('C_jama.2018.9128'!$L$2:$L$14,MATCH("2018::jama.2018.9128::C003",'C_jama.2018.9128'!$A$2:$A$14,0))),"not_applicable"),"NOT FROZEN")</x:f>
        <x:v>not_applicable</x:v>
      </x:c>
      <x:c r="I110" s="6" t="str">
        <x:f>IF(Setup!$B$6="primary",IF(INDEX('C_jama.2018.9128'!$R$2:$R$14,MATCH("2018::jama.2018.9128::C003",'C_jama.2018.9128'!$A$2:$A$14,0))="","",INDEX('C_jama.2018.9128'!$R$2:$R$14,MATCH("2018::jama.2018.9128::C003",'C_jama.2018.9128'!$A$2:$A$14,0))),"NOT FROZEN")</x:f>
      </x:c>
      <x:c r="J110" s="6" t="str">
        <x:f>IF(Setup!$B$6="primary",INDEX('C_jama.2018.9128'!$F$2:$F$14,MATCH("2018::jama.2018.9128::C003",'C_jama.2018.9128'!$A$2:$A$14,0)),"NOT FROZEN")</x:f>
        <x:v>no</x:v>
      </x:c>
      <x:c r="K110" s="6" t="str">
        <x:f>IF(Setup!$B$6="primary",Setup!$B$2,"NOT FROZEN")</x:f>
      </x:c>
      <x:c r="L110" s="6" t="str">
        <x:f>IF(Setup!$B$6="primary",IF(OR(B110="",B110="not_applicable"),"","Disposition: "&amp;B110&amp;CHAR(10))&amp;IF(OR(C110="",C110="not_applicable"),"","Review domain: "&amp;C110&amp;CHAR(10))&amp;IF(OR(D110="",D110="not_applicable"),"","Statistcal_or_numerical issue: "&amp;D110&amp;CHAR(10))&amp;IF(OR(E110="",E110="not_applicable"),"","Substantiveness: "&amp;E110&amp;CHAR(10))&amp;IF(OR(F110="",F110="not_applicable"),"","Downstream impact: "&amp;F110&amp;CHAR(10))&amp;IF(OR(G110="",G110="not_applicable"),"","Report-internal or planning-material inconsistency: "&amp;G110&amp;CHAR(10))&amp;IF(OR(H110="",H110="not_applicable"),"","Protocol interpretation: "&amp;H110&amp;CHAR(10))&amp;IF(OR(I110="",I110="not_applicable"),"","Notes (optional): "&amp;I110&amp;CHAR(10)),"NOT FROZEN")</x:f>
        <x:v>Review domain: report_internal_inconsistency
</x:v>
      </x:c>
    </x:row>
    <x:row r="111" ht="70" customHeight="1">
      <x:c r="A111" s="3" t="str">
        <x:f>IF(Setup!$B$6="primary","2018::jama.2018.9128::C004","NOT FROZEN")</x:f>
        <x:v>2018::jama.2018.9128::C004</x:v>
      </x:c>
      <x:c r="B111" s="3" t="str">
        <x:f>IF(Setup!$B$6="primary",IF(INDEX('C_jama.2018.9128'!$D$2:$D$14,MATCH("2018::jama.2018.9128::C004",'C_jama.2018.9128'!$A$2:$A$14,0))="","",INDEX('C_jama.2018.9128'!$D$2:$D$14,MATCH("2018::jama.2018.9128::C004",'C_jama.2018.9128'!$A$2:$A$14,0))),"NOT FROZEN")</x:f>
      </x:c>
      <x:c r="C111" s="3" t="str">
        <x:f>IF(Setup!$B$6="primary",IF(INDEX('C_jama.2018.9128'!$E$2:$E$14,MATCH("2018::jama.2018.9128::C004",'C_jama.2018.9128'!$A$2:$A$14,0))="","",INDEX('C_jama.2018.9128'!$E$2:$E$14,MATCH("2018::jama.2018.9128::C004",'C_jama.2018.9128'!$A$2:$A$14,0))),"NOT FROZEN")</x:f>
        <x:v>report_internal_inconsistency</x:v>
      </x:c>
      <x:c r="D111" s="3" t="str">
        <x:f>IF(Setup!$B$6="primary",IF(AND(INDEX('C_jama.2018.9128'!$D$2:$D$14,MATCH("2018::jama.2018.9128::C004",'C_jama.2018.9128'!$A$2:$A$14,0))="retain",INDEX('C_jama.2018.9128'!$E$2:$E$14,MATCH("2018::jama.2018.9128::C004",'C_jama.2018.9128'!$A$2:$A$14,0))="statistical_results"),IF(INDEX('C_jama.2018.9128'!$H$2:$H$14,MATCH("2018::jama.2018.9128::C004",'C_jama.2018.9128'!$A$2:$A$14,0))="","",INDEX('C_jama.2018.9128'!$H$2:$H$14,MATCH("2018::jama.2018.9128::C004",'C_jama.2018.9128'!$A$2:$A$14,0))),"not_applicable"),"NOT FROZEN")</x:f>
        <x:v>not_applicable</x:v>
      </x:c>
      <x:c r="E111" s="3" t="str">
        <x:f>IF(Setup!$B$6="primary",IF(AND(INDEX('C_jama.2018.9128'!$D$2:$D$14,MATCH("2018::jama.2018.9128::C004",'C_jama.2018.9128'!$A$2:$A$14,0))="retain",INDEX('C_jama.2018.9128'!$E$2:$E$14,MATCH("2018::jama.2018.9128::C004",'C_jama.2018.9128'!$A$2:$A$14,0))="statistical_results"),IF(INDEX('C_jama.2018.9128'!$I$2:$I$14,MATCH("2018::jama.2018.9128::C004",'C_jama.2018.9128'!$A$2:$A$14,0))="","",INDEX('C_jama.2018.9128'!$I$2:$I$14,MATCH("2018::jama.2018.9128::C004",'C_jama.2018.9128'!$A$2:$A$14,0))),"not_applicable"),"NOT FROZEN")</x:f>
        <x:v>not_applicable</x:v>
      </x:c>
      <x:c r="F111" s="3" t="str">
        <x:f>IF(Setup!$B$6="primary",IF(AND(INDEX('C_jama.2018.9128'!$D$2:$D$14,MATCH("2018::jama.2018.9128::C004",'C_jama.2018.9128'!$A$2:$A$14,0))="retain",INDEX('C_jama.2018.9128'!$E$2:$E$14,MATCH("2018::jama.2018.9128::C004",'C_jama.2018.9128'!$A$2:$A$14,0))="statistical_results"),IF(INDEX('C_jama.2018.9128'!$J$2:$J$14,MATCH("2018::jama.2018.9128::C004",'C_jama.2018.9128'!$A$2:$A$14,0))="","",INDEX('C_jama.2018.9128'!$J$2:$J$14,MATCH("2018::jama.2018.9128::C004",'C_jama.2018.9128'!$A$2:$A$14,0))),"not_applicable"),"NOT FROZEN")</x:f>
        <x:v>not_applicable</x:v>
      </x:c>
      <x:c r="G111" s="3" t="str">
        <x:f>IF(Setup!$B$6="primary",IF(AND(INDEX('C_jama.2018.9128'!$D$2:$D$14,MATCH("2018::jama.2018.9128::C004",'C_jama.2018.9128'!$A$2:$A$14,0))="retain",OR(INDEX('C_jama.2018.9128'!$E$2:$E$14,MATCH("2018::jama.2018.9128::C004",'C_jama.2018.9128'!$A$2:$A$14,0))="report_internal_inconsistency",INDEX('C_jama.2018.9128'!$E$2:$E$14,MATCH("2018::jama.2018.9128::C004",'C_jama.2018.9128'!$A$2:$A$14,0))="plan_material")),IF(INDEX('C_jama.2018.9128'!$K$2:$K$14,MATCH("2018::jama.2018.9128::C004",'C_jama.2018.9128'!$A$2:$A$14,0))="","",INDEX('C_jama.2018.9128'!$K$2:$K$14,MATCH("2018::jama.2018.9128::C004",'C_jama.2018.9128'!$A$2:$A$14,0))),"not_applicable"),"NOT FROZEN")</x:f>
        <x:v>not_applicable</x:v>
      </x:c>
      <x:c r="H111" s="3" t="str">
        <x:f>IF(Setup!$B$6="primary",IF(AND(INDEX('C_jama.2018.9128'!$D$2:$D$14,MATCH("2018::jama.2018.9128::C004",'C_jama.2018.9128'!$A$2:$A$14,0))="retain",INDEX('C_jama.2018.9128'!$E$2:$E$14,MATCH("2018::jama.2018.9128::C004",'C_jama.2018.9128'!$A$2:$A$14,0))="protocol_report"),IF(INDEX('C_jama.2018.9128'!$L$2:$L$14,MATCH("2018::jama.2018.9128::C004",'C_jama.2018.9128'!$A$2:$A$14,0))="","",INDEX('C_jama.2018.9128'!$L$2:$L$14,MATCH("2018::jama.2018.9128::C004",'C_jama.2018.9128'!$A$2:$A$14,0))),"not_applicable"),"NOT FROZEN")</x:f>
        <x:v>not_applicable</x:v>
      </x:c>
      <x:c r="I111" s="3" t="str">
        <x:f>IF(Setup!$B$6="primary",IF(INDEX('C_jama.2018.9128'!$R$2:$R$14,MATCH("2018::jama.2018.9128::C004",'C_jama.2018.9128'!$A$2:$A$14,0))="","",INDEX('C_jama.2018.9128'!$R$2:$R$14,MATCH("2018::jama.2018.9128::C004",'C_jama.2018.9128'!$A$2:$A$14,0))),"NOT FROZEN")</x:f>
      </x:c>
      <x:c r="J111" s="3" t="str">
        <x:f>IF(Setup!$B$6="primary",INDEX('C_jama.2018.9128'!$F$2:$F$14,MATCH("2018::jama.2018.9128::C004",'C_jama.2018.9128'!$A$2:$A$14,0)),"NOT FROZEN")</x:f>
        <x:v>no</x:v>
      </x:c>
      <x:c r="K111" s="3" t="str">
        <x:f>IF(Setup!$B$6="primary",Setup!$B$2,"NOT FROZEN")</x:f>
      </x:c>
      <x:c r="L111" s="3" t="str">
        <x:f>IF(Setup!$B$6="primary",IF(OR(B111="",B111="not_applicable"),"","Disposition: "&amp;B111&amp;CHAR(10))&amp;IF(OR(C111="",C111="not_applicable"),"","Review domain: "&amp;C111&amp;CHAR(10))&amp;IF(OR(D111="",D111="not_applicable"),"","Statistcal_or_numerical issue: "&amp;D111&amp;CHAR(10))&amp;IF(OR(E111="",E111="not_applicable"),"","Substantiveness: "&amp;E111&amp;CHAR(10))&amp;IF(OR(F111="",F111="not_applicable"),"","Downstream impact: "&amp;F111&amp;CHAR(10))&amp;IF(OR(G111="",G111="not_applicable"),"","Report-internal or planning-material inconsistency: "&amp;G111&amp;CHAR(10))&amp;IF(OR(H111="",H111="not_applicable"),"","Protocol interpretation: "&amp;H111&amp;CHAR(10))&amp;IF(OR(I111="",I111="not_applicable"),"","Notes (optional): "&amp;I111&amp;CHAR(10)),"NOT FROZEN")</x:f>
        <x:v>Review domain: report_internal_inconsistency
</x:v>
      </x:c>
    </x:row>
    <x:row r="112" ht="70" customHeight="1">
      <x:c r="A112" s="6" t="str">
        <x:f>IF(Setup!$B$6="primary","2018::jama.2018.9128::C005","NOT FROZEN")</x:f>
        <x:v>2018::jama.2018.9128::C005</x:v>
      </x:c>
      <x:c r="B112" s="6" t="str">
        <x:f>IF(Setup!$B$6="primary",IF(INDEX('C_jama.2018.9128'!$D$2:$D$14,MATCH("2018::jama.2018.9128::C005",'C_jama.2018.9128'!$A$2:$A$14,0))="","",INDEX('C_jama.2018.9128'!$D$2:$D$14,MATCH("2018::jama.2018.9128::C005",'C_jama.2018.9128'!$A$2:$A$14,0))),"NOT FROZEN")</x:f>
      </x:c>
      <x:c r="C112" s="6" t="str">
        <x:f>IF(Setup!$B$6="primary",IF(INDEX('C_jama.2018.9128'!$E$2:$E$14,MATCH("2018::jama.2018.9128::C005",'C_jama.2018.9128'!$A$2:$A$14,0))="","",INDEX('C_jama.2018.9128'!$E$2:$E$14,MATCH("2018::jama.2018.9128::C005",'C_jama.2018.9128'!$A$2:$A$14,0))),"NOT FROZEN")</x:f>
        <x:v>report_internal_inconsistency</x:v>
      </x:c>
      <x:c r="D112" s="6" t="str">
        <x:f>IF(Setup!$B$6="primary",IF(AND(INDEX('C_jama.2018.9128'!$D$2:$D$14,MATCH("2018::jama.2018.9128::C005",'C_jama.2018.9128'!$A$2:$A$14,0))="retain",INDEX('C_jama.2018.9128'!$E$2:$E$14,MATCH("2018::jama.2018.9128::C005",'C_jama.2018.9128'!$A$2:$A$14,0))="statistical_results"),IF(INDEX('C_jama.2018.9128'!$H$2:$H$14,MATCH("2018::jama.2018.9128::C005",'C_jama.2018.9128'!$A$2:$A$14,0))="","",INDEX('C_jama.2018.9128'!$H$2:$H$14,MATCH("2018::jama.2018.9128::C005",'C_jama.2018.9128'!$A$2:$A$14,0))),"not_applicable"),"NOT FROZEN")</x:f>
        <x:v>not_applicable</x:v>
      </x:c>
      <x:c r="E112" s="6" t="str">
        <x:f>IF(Setup!$B$6="primary",IF(AND(INDEX('C_jama.2018.9128'!$D$2:$D$14,MATCH("2018::jama.2018.9128::C005",'C_jama.2018.9128'!$A$2:$A$14,0))="retain",INDEX('C_jama.2018.9128'!$E$2:$E$14,MATCH("2018::jama.2018.9128::C005",'C_jama.2018.9128'!$A$2:$A$14,0))="statistical_results"),IF(INDEX('C_jama.2018.9128'!$I$2:$I$14,MATCH("2018::jama.2018.9128::C005",'C_jama.2018.9128'!$A$2:$A$14,0))="","",INDEX('C_jama.2018.9128'!$I$2:$I$14,MATCH("2018::jama.2018.9128::C005",'C_jama.2018.9128'!$A$2:$A$14,0))),"not_applicable"),"NOT FROZEN")</x:f>
        <x:v>not_applicable</x:v>
      </x:c>
      <x:c r="F112" s="6" t="str">
        <x:f>IF(Setup!$B$6="primary",IF(AND(INDEX('C_jama.2018.9128'!$D$2:$D$14,MATCH("2018::jama.2018.9128::C005",'C_jama.2018.9128'!$A$2:$A$14,0))="retain",INDEX('C_jama.2018.9128'!$E$2:$E$14,MATCH("2018::jama.2018.9128::C005",'C_jama.2018.9128'!$A$2:$A$14,0))="statistical_results"),IF(INDEX('C_jama.2018.9128'!$J$2:$J$14,MATCH("2018::jama.2018.9128::C005",'C_jama.2018.9128'!$A$2:$A$14,0))="","",INDEX('C_jama.2018.9128'!$J$2:$J$14,MATCH("2018::jama.2018.9128::C005",'C_jama.2018.9128'!$A$2:$A$14,0))),"not_applicable"),"NOT FROZEN")</x:f>
        <x:v>not_applicable</x:v>
      </x:c>
      <x:c r="G112" s="6" t="str">
        <x:f>IF(Setup!$B$6="primary",IF(AND(INDEX('C_jama.2018.9128'!$D$2:$D$14,MATCH("2018::jama.2018.9128::C005",'C_jama.2018.9128'!$A$2:$A$14,0))="retain",OR(INDEX('C_jama.2018.9128'!$E$2:$E$14,MATCH("2018::jama.2018.9128::C005",'C_jama.2018.9128'!$A$2:$A$14,0))="report_internal_inconsistency",INDEX('C_jama.2018.9128'!$E$2:$E$14,MATCH("2018::jama.2018.9128::C005",'C_jama.2018.9128'!$A$2:$A$14,0))="plan_material")),IF(INDEX('C_jama.2018.9128'!$K$2:$K$14,MATCH("2018::jama.2018.9128::C005",'C_jama.2018.9128'!$A$2:$A$14,0))="","",INDEX('C_jama.2018.9128'!$K$2:$K$14,MATCH("2018::jama.2018.9128::C005",'C_jama.2018.9128'!$A$2:$A$14,0))),"not_applicable"),"NOT FROZEN")</x:f>
        <x:v>not_applicable</x:v>
      </x:c>
      <x:c r="H112" s="6" t="str">
        <x:f>IF(Setup!$B$6="primary",IF(AND(INDEX('C_jama.2018.9128'!$D$2:$D$14,MATCH("2018::jama.2018.9128::C005",'C_jama.2018.9128'!$A$2:$A$14,0))="retain",INDEX('C_jama.2018.9128'!$E$2:$E$14,MATCH("2018::jama.2018.9128::C005",'C_jama.2018.9128'!$A$2:$A$14,0))="protocol_report"),IF(INDEX('C_jama.2018.9128'!$L$2:$L$14,MATCH("2018::jama.2018.9128::C005",'C_jama.2018.9128'!$A$2:$A$14,0))="","",INDEX('C_jama.2018.9128'!$L$2:$L$14,MATCH("2018::jama.2018.9128::C005",'C_jama.2018.9128'!$A$2:$A$14,0))),"not_applicable"),"NOT FROZEN")</x:f>
        <x:v>not_applicable</x:v>
      </x:c>
      <x:c r="I112" s="6" t="str">
        <x:f>IF(Setup!$B$6="primary",IF(INDEX('C_jama.2018.9128'!$R$2:$R$14,MATCH("2018::jama.2018.9128::C005",'C_jama.2018.9128'!$A$2:$A$14,0))="","",INDEX('C_jama.2018.9128'!$R$2:$R$14,MATCH("2018::jama.2018.9128::C005",'C_jama.2018.9128'!$A$2:$A$14,0))),"NOT FROZEN")</x:f>
      </x:c>
      <x:c r="J112" s="6" t="str">
        <x:f>IF(Setup!$B$6="primary",INDEX('C_jama.2018.9128'!$F$2:$F$14,MATCH("2018::jama.2018.9128::C005",'C_jama.2018.9128'!$A$2:$A$14,0)),"NOT FROZEN")</x:f>
        <x:v>no</x:v>
      </x:c>
      <x:c r="K112" s="6" t="str">
        <x:f>IF(Setup!$B$6="primary",Setup!$B$2,"NOT FROZEN")</x:f>
      </x:c>
      <x:c r="L112" s="6" t="str">
        <x:f>IF(Setup!$B$6="primary",IF(OR(B112="",B112="not_applicable"),"","Disposition: "&amp;B112&amp;CHAR(10))&amp;IF(OR(C112="",C112="not_applicable"),"","Review domain: "&amp;C112&amp;CHAR(10))&amp;IF(OR(D112="",D112="not_applicable"),"","Statistcal_or_numerical issue: "&amp;D112&amp;CHAR(10))&amp;IF(OR(E112="",E112="not_applicable"),"","Substantiveness: "&amp;E112&amp;CHAR(10))&amp;IF(OR(F112="",F112="not_applicable"),"","Downstream impact: "&amp;F112&amp;CHAR(10))&amp;IF(OR(G112="",G112="not_applicable"),"","Report-internal or planning-material inconsistency: "&amp;G112&amp;CHAR(10))&amp;IF(OR(H112="",H112="not_applicable"),"","Protocol interpretation: "&amp;H112&amp;CHAR(10))&amp;IF(OR(I112="",I112="not_applicable"),"","Notes (optional): "&amp;I112&amp;CHAR(10)),"NOT FROZEN")</x:f>
        <x:v>Review domain: report_internal_inconsistency
</x:v>
      </x:c>
    </x:row>
    <x:row r="113" ht="70" customHeight="1">
      <x:c r="A113" s="3" t="str">
        <x:f>IF(Setup!$B$6="primary","2018::jama.2018.9128::C006","NOT FROZEN")</x:f>
        <x:v>2018::jama.2018.9128::C006</x:v>
      </x:c>
      <x:c r="B113" s="3" t="str">
        <x:f>IF(Setup!$B$6="primary",IF(INDEX('C_jama.2018.9128'!$D$2:$D$14,MATCH("2018::jama.2018.9128::C006",'C_jama.2018.9128'!$A$2:$A$14,0))="","",INDEX('C_jama.2018.9128'!$D$2:$D$14,MATCH("2018::jama.2018.9128::C006",'C_jama.2018.9128'!$A$2:$A$14,0))),"NOT FROZEN")</x:f>
      </x:c>
      <x:c r="C113" s="3" t="str">
        <x:f>IF(Setup!$B$6="primary",IF(INDEX('C_jama.2018.9128'!$E$2:$E$14,MATCH("2018::jama.2018.9128::C006",'C_jama.2018.9128'!$A$2:$A$14,0))="","",INDEX('C_jama.2018.9128'!$E$2:$E$14,MATCH("2018::jama.2018.9128::C006",'C_jama.2018.9128'!$A$2:$A$14,0))),"NOT FROZEN")</x:f>
        <x:v>report_internal_inconsistency</x:v>
      </x:c>
      <x:c r="D113" s="3" t="str">
        <x:f>IF(Setup!$B$6="primary",IF(AND(INDEX('C_jama.2018.9128'!$D$2:$D$14,MATCH("2018::jama.2018.9128::C006",'C_jama.2018.9128'!$A$2:$A$14,0))="retain",INDEX('C_jama.2018.9128'!$E$2:$E$14,MATCH("2018::jama.2018.9128::C006",'C_jama.2018.9128'!$A$2:$A$14,0))="statistical_results"),IF(INDEX('C_jama.2018.9128'!$H$2:$H$14,MATCH("2018::jama.2018.9128::C006",'C_jama.2018.9128'!$A$2:$A$14,0))="","",INDEX('C_jama.2018.9128'!$H$2:$H$14,MATCH("2018::jama.2018.9128::C006",'C_jama.2018.9128'!$A$2:$A$14,0))),"not_applicable"),"NOT FROZEN")</x:f>
        <x:v>not_applicable</x:v>
      </x:c>
      <x:c r="E113" s="3" t="str">
        <x:f>IF(Setup!$B$6="primary",IF(AND(INDEX('C_jama.2018.9128'!$D$2:$D$14,MATCH("2018::jama.2018.9128::C006",'C_jama.2018.9128'!$A$2:$A$14,0))="retain",INDEX('C_jama.2018.9128'!$E$2:$E$14,MATCH("2018::jama.2018.9128::C006",'C_jama.2018.9128'!$A$2:$A$14,0))="statistical_results"),IF(INDEX('C_jama.2018.9128'!$I$2:$I$14,MATCH("2018::jama.2018.9128::C006",'C_jama.2018.9128'!$A$2:$A$14,0))="","",INDEX('C_jama.2018.9128'!$I$2:$I$14,MATCH("2018::jama.2018.9128::C006",'C_jama.2018.9128'!$A$2:$A$14,0))),"not_applicable"),"NOT FROZEN")</x:f>
        <x:v>not_applicable</x:v>
      </x:c>
      <x:c r="F113" s="3" t="str">
        <x:f>IF(Setup!$B$6="primary",IF(AND(INDEX('C_jama.2018.9128'!$D$2:$D$14,MATCH("2018::jama.2018.9128::C006",'C_jama.2018.9128'!$A$2:$A$14,0))="retain",INDEX('C_jama.2018.9128'!$E$2:$E$14,MATCH("2018::jama.2018.9128::C006",'C_jama.2018.9128'!$A$2:$A$14,0))="statistical_results"),IF(INDEX('C_jama.2018.9128'!$J$2:$J$14,MATCH("2018::jama.2018.9128::C006",'C_jama.2018.9128'!$A$2:$A$14,0))="","",INDEX('C_jama.2018.9128'!$J$2:$J$14,MATCH("2018::jama.2018.9128::C006",'C_jama.2018.9128'!$A$2:$A$14,0))),"not_applicable"),"NOT FROZEN")</x:f>
        <x:v>not_applicable</x:v>
      </x:c>
      <x:c r="G113" s="3" t="str">
        <x:f>IF(Setup!$B$6="primary",IF(AND(INDEX('C_jama.2018.9128'!$D$2:$D$14,MATCH("2018::jama.2018.9128::C006",'C_jama.2018.9128'!$A$2:$A$14,0))="retain",OR(INDEX('C_jama.2018.9128'!$E$2:$E$14,MATCH("2018::jama.2018.9128::C006",'C_jama.2018.9128'!$A$2:$A$14,0))="report_internal_inconsistency",INDEX('C_jama.2018.9128'!$E$2:$E$14,MATCH("2018::jama.2018.9128::C006",'C_jama.2018.9128'!$A$2:$A$14,0))="plan_material")),IF(INDEX('C_jama.2018.9128'!$K$2:$K$14,MATCH("2018::jama.2018.9128::C006",'C_jama.2018.9128'!$A$2:$A$14,0))="","",INDEX('C_jama.2018.9128'!$K$2:$K$14,MATCH("2018::jama.2018.9128::C006",'C_jama.2018.9128'!$A$2:$A$14,0))),"not_applicable"),"NOT FROZEN")</x:f>
        <x:v>not_applicable</x:v>
      </x:c>
      <x:c r="H113" s="3" t="str">
        <x:f>IF(Setup!$B$6="primary",IF(AND(INDEX('C_jama.2018.9128'!$D$2:$D$14,MATCH("2018::jama.2018.9128::C006",'C_jama.2018.9128'!$A$2:$A$14,0))="retain",INDEX('C_jama.2018.9128'!$E$2:$E$14,MATCH("2018::jama.2018.9128::C006",'C_jama.2018.9128'!$A$2:$A$14,0))="protocol_report"),IF(INDEX('C_jama.2018.9128'!$L$2:$L$14,MATCH("2018::jama.2018.9128::C006",'C_jama.2018.9128'!$A$2:$A$14,0))="","",INDEX('C_jama.2018.9128'!$L$2:$L$14,MATCH("2018::jama.2018.9128::C006",'C_jama.2018.9128'!$A$2:$A$14,0))),"not_applicable"),"NOT FROZEN")</x:f>
        <x:v>not_applicable</x:v>
      </x:c>
      <x:c r="I113" s="3" t="str">
        <x:f>IF(Setup!$B$6="primary",IF(INDEX('C_jama.2018.9128'!$R$2:$R$14,MATCH("2018::jama.2018.9128::C006",'C_jama.2018.9128'!$A$2:$A$14,0))="","",INDEX('C_jama.2018.9128'!$R$2:$R$14,MATCH("2018::jama.2018.9128::C006",'C_jama.2018.9128'!$A$2:$A$14,0))),"NOT FROZEN")</x:f>
      </x:c>
      <x:c r="J113" s="3" t="str">
        <x:f>IF(Setup!$B$6="primary",INDEX('C_jama.2018.9128'!$F$2:$F$14,MATCH("2018::jama.2018.9128::C006",'C_jama.2018.9128'!$A$2:$A$14,0)),"NOT FROZEN")</x:f>
        <x:v>no</x:v>
      </x:c>
      <x:c r="K113" s="3" t="str">
        <x:f>IF(Setup!$B$6="primary",Setup!$B$2,"NOT FROZEN")</x:f>
      </x:c>
      <x:c r="L113" s="3" t="str">
        <x:f>IF(Setup!$B$6="primary",IF(OR(B113="",B113="not_applicable"),"","Disposition: "&amp;B113&amp;CHAR(10))&amp;IF(OR(C113="",C113="not_applicable"),"","Review domain: "&amp;C113&amp;CHAR(10))&amp;IF(OR(D113="",D113="not_applicable"),"","Statistcal_or_numerical issue: "&amp;D113&amp;CHAR(10))&amp;IF(OR(E113="",E113="not_applicable"),"","Substantiveness: "&amp;E113&amp;CHAR(10))&amp;IF(OR(F113="",F113="not_applicable"),"","Downstream impact: "&amp;F113&amp;CHAR(10))&amp;IF(OR(G113="",G113="not_applicable"),"","Report-internal or planning-material inconsistency: "&amp;G113&amp;CHAR(10))&amp;IF(OR(H113="",H113="not_applicable"),"","Protocol interpretation: "&amp;H113&amp;CHAR(10))&amp;IF(OR(I113="",I113="not_applicable"),"","Notes (optional): "&amp;I113&amp;CHAR(10)),"NOT FROZEN")</x:f>
        <x:v>Review domain: report_internal_inconsistency
</x:v>
      </x:c>
    </x:row>
    <x:row r="114" ht="70" customHeight="1">
      <x:c r="A114" s="6" t="str">
        <x:f>IF(Setup!$B$6="primary","2018::jama.2018.9128::C007","NOT FROZEN")</x:f>
        <x:v>2018::jama.2018.9128::C007</x:v>
      </x:c>
      <x:c r="B114" s="6" t="str">
        <x:f>IF(Setup!$B$6="primary",IF(INDEX('C_jama.2018.9128'!$D$2:$D$14,MATCH("2018::jama.2018.9128::C007",'C_jama.2018.9128'!$A$2:$A$14,0))="","",INDEX('C_jama.2018.9128'!$D$2:$D$14,MATCH("2018::jama.2018.9128::C007",'C_jama.2018.9128'!$A$2:$A$14,0))),"NOT FROZEN")</x:f>
      </x:c>
      <x:c r="C114" s="6" t="str">
        <x:f>IF(Setup!$B$6="primary",IF(INDEX('C_jama.2018.9128'!$E$2:$E$14,MATCH("2018::jama.2018.9128::C007",'C_jama.2018.9128'!$A$2:$A$14,0))="","",INDEX('C_jama.2018.9128'!$E$2:$E$14,MATCH("2018::jama.2018.9128::C007",'C_jama.2018.9128'!$A$2:$A$14,0))),"NOT FROZEN")</x:f>
        <x:v>report_internal_inconsistency</x:v>
      </x:c>
      <x:c r="D114" s="6" t="str">
        <x:f>IF(Setup!$B$6="primary",IF(AND(INDEX('C_jama.2018.9128'!$D$2:$D$14,MATCH("2018::jama.2018.9128::C007",'C_jama.2018.9128'!$A$2:$A$14,0))="retain",INDEX('C_jama.2018.9128'!$E$2:$E$14,MATCH("2018::jama.2018.9128::C007",'C_jama.2018.9128'!$A$2:$A$14,0))="statistical_results"),IF(INDEX('C_jama.2018.9128'!$H$2:$H$14,MATCH("2018::jama.2018.9128::C007",'C_jama.2018.9128'!$A$2:$A$14,0))="","",INDEX('C_jama.2018.9128'!$H$2:$H$14,MATCH("2018::jama.2018.9128::C007",'C_jama.2018.9128'!$A$2:$A$14,0))),"not_applicable"),"NOT FROZEN")</x:f>
        <x:v>not_applicable</x:v>
      </x:c>
      <x:c r="E114" s="6" t="str">
        <x:f>IF(Setup!$B$6="primary",IF(AND(INDEX('C_jama.2018.9128'!$D$2:$D$14,MATCH("2018::jama.2018.9128::C007",'C_jama.2018.9128'!$A$2:$A$14,0))="retain",INDEX('C_jama.2018.9128'!$E$2:$E$14,MATCH("2018::jama.2018.9128::C007",'C_jama.2018.9128'!$A$2:$A$14,0))="statistical_results"),IF(INDEX('C_jama.2018.9128'!$I$2:$I$14,MATCH("2018::jama.2018.9128::C007",'C_jama.2018.9128'!$A$2:$A$14,0))="","",INDEX('C_jama.2018.9128'!$I$2:$I$14,MATCH("2018::jama.2018.9128::C007",'C_jama.2018.9128'!$A$2:$A$14,0))),"not_applicable"),"NOT FROZEN")</x:f>
        <x:v>not_applicable</x:v>
      </x:c>
      <x:c r="F114" s="6" t="str">
        <x:f>IF(Setup!$B$6="primary",IF(AND(INDEX('C_jama.2018.9128'!$D$2:$D$14,MATCH("2018::jama.2018.9128::C007",'C_jama.2018.9128'!$A$2:$A$14,0))="retain",INDEX('C_jama.2018.9128'!$E$2:$E$14,MATCH("2018::jama.2018.9128::C007",'C_jama.2018.9128'!$A$2:$A$14,0))="statistical_results"),IF(INDEX('C_jama.2018.9128'!$J$2:$J$14,MATCH("2018::jama.2018.9128::C007",'C_jama.2018.9128'!$A$2:$A$14,0))="","",INDEX('C_jama.2018.9128'!$J$2:$J$14,MATCH("2018::jama.2018.9128::C007",'C_jama.2018.9128'!$A$2:$A$14,0))),"not_applicable"),"NOT FROZEN")</x:f>
        <x:v>not_applicable</x:v>
      </x:c>
      <x:c r="G114" s="6" t="str">
        <x:f>IF(Setup!$B$6="primary",IF(AND(INDEX('C_jama.2018.9128'!$D$2:$D$14,MATCH("2018::jama.2018.9128::C007",'C_jama.2018.9128'!$A$2:$A$14,0))="retain",OR(INDEX('C_jama.2018.9128'!$E$2:$E$14,MATCH("2018::jama.2018.9128::C007",'C_jama.2018.9128'!$A$2:$A$14,0))="report_internal_inconsistency",INDEX('C_jama.2018.9128'!$E$2:$E$14,MATCH("2018::jama.2018.9128::C007",'C_jama.2018.9128'!$A$2:$A$14,0))="plan_material")),IF(INDEX('C_jama.2018.9128'!$K$2:$K$14,MATCH("2018::jama.2018.9128::C007",'C_jama.2018.9128'!$A$2:$A$14,0))="","",INDEX('C_jama.2018.9128'!$K$2:$K$14,MATCH("2018::jama.2018.9128::C007",'C_jama.2018.9128'!$A$2:$A$14,0))),"not_applicable"),"NOT FROZEN")</x:f>
        <x:v>not_applicable</x:v>
      </x:c>
      <x:c r="H114" s="6" t="str">
        <x:f>IF(Setup!$B$6="primary",IF(AND(INDEX('C_jama.2018.9128'!$D$2:$D$14,MATCH("2018::jama.2018.9128::C007",'C_jama.2018.9128'!$A$2:$A$14,0))="retain",INDEX('C_jama.2018.9128'!$E$2:$E$14,MATCH("2018::jama.2018.9128::C007",'C_jama.2018.9128'!$A$2:$A$14,0))="protocol_report"),IF(INDEX('C_jama.2018.9128'!$L$2:$L$14,MATCH("2018::jama.2018.9128::C007",'C_jama.2018.9128'!$A$2:$A$14,0))="","",INDEX('C_jama.2018.9128'!$L$2:$L$14,MATCH("2018::jama.2018.9128::C007",'C_jama.2018.9128'!$A$2:$A$14,0))),"not_applicable"),"NOT FROZEN")</x:f>
        <x:v>not_applicable</x:v>
      </x:c>
      <x:c r="I114" s="6" t="str">
        <x:f>IF(Setup!$B$6="primary",IF(INDEX('C_jama.2018.9128'!$R$2:$R$14,MATCH("2018::jama.2018.9128::C007",'C_jama.2018.9128'!$A$2:$A$14,0))="","",INDEX('C_jama.2018.9128'!$R$2:$R$14,MATCH("2018::jama.2018.9128::C007",'C_jama.2018.9128'!$A$2:$A$14,0))),"NOT FROZEN")</x:f>
      </x:c>
      <x:c r="J114" s="6" t="str">
        <x:f>IF(Setup!$B$6="primary",INDEX('C_jama.2018.9128'!$F$2:$F$14,MATCH("2018::jama.2018.9128::C007",'C_jama.2018.9128'!$A$2:$A$14,0)),"NOT FROZEN")</x:f>
        <x:v>no</x:v>
      </x:c>
      <x:c r="K114" s="6" t="str">
        <x:f>IF(Setup!$B$6="primary",Setup!$B$2,"NOT FROZEN")</x:f>
      </x:c>
      <x:c r="L114" s="6" t="str">
        <x:f>IF(Setup!$B$6="primary",IF(OR(B114="",B114="not_applicable"),"","Disposition: "&amp;B114&amp;CHAR(10))&amp;IF(OR(C114="",C114="not_applicable"),"","Review domain: "&amp;C114&amp;CHAR(10))&amp;IF(OR(D114="",D114="not_applicable"),"","Statistcal_or_numerical issue: "&amp;D114&amp;CHAR(10))&amp;IF(OR(E114="",E114="not_applicable"),"","Substantiveness: "&amp;E114&amp;CHAR(10))&amp;IF(OR(F114="",F114="not_applicable"),"","Downstream impact: "&amp;F114&amp;CHAR(10))&amp;IF(OR(G114="",G114="not_applicable"),"","Report-internal or planning-material inconsistency: "&amp;G114&amp;CHAR(10))&amp;IF(OR(H114="",H114="not_applicable"),"","Protocol interpretation: "&amp;H114&amp;CHAR(10))&amp;IF(OR(I114="",I114="not_applicable"),"","Notes (optional): "&amp;I114&amp;CHAR(10)),"NOT FROZEN")</x:f>
        <x:v>Review domain: report_internal_inconsistency
</x:v>
      </x:c>
    </x:row>
    <x:row r="115" ht="70" customHeight="1">
      <x:c r="A115" s="3" t="str">
        <x:f>IF(Setup!$B$6="primary","2018::jama.2018.9128::C008","NOT FROZEN")</x:f>
        <x:v>2018::jama.2018.9128::C008</x:v>
      </x:c>
      <x:c r="B115" s="3" t="str">
        <x:f>IF(Setup!$B$6="primary",IF(INDEX('C_jama.2018.9128'!$D$2:$D$14,MATCH("2018::jama.2018.9128::C008",'C_jama.2018.9128'!$A$2:$A$14,0))="","",INDEX('C_jama.2018.9128'!$D$2:$D$14,MATCH("2018::jama.2018.9128::C008",'C_jama.2018.9128'!$A$2:$A$14,0))),"NOT FROZEN")</x:f>
      </x:c>
      <x:c r="C115" s="3" t="str">
        <x:f>IF(Setup!$B$6="primary",IF(INDEX('C_jama.2018.9128'!$E$2:$E$14,MATCH("2018::jama.2018.9128::C008",'C_jama.2018.9128'!$A$2:$A$14,0))="","",INDEX('C_jama.2018.9128'!$E$2:$E$14,MATCH("2018::jama.2018.9128::C008",'C_jama.2018.9128'!$A$2:$A$14,0))),"NOT FROZEN")</x:f>
        <x:v>report_internal_inconsistency</x:v>
      </x:c>
      <x:c r="D115" s="3" t="str">
        <x:f>IF(Setup!$B$6="primary",IF(AND(INDEX('C_jama.2018.9128'!$D$2:$D$14,MATCH("2018::jama.2018.9128::C008",'C_jama.2018.9128'!$A$2:$A$14,0))="retain",INDEX('C_jama.2018.9128'!$E$2:$E$14,MATCH("2018::jama.2018.9128::C008",'C_jama.2018.9128'!$A$2:$A$14,0))="statistical_results"),IF(INDEX('C_jama.2018.9128'!$H$2:$H$14,MATCH("2018::jama.2018.9128::C008",'C_jama.2018.9128'!$A$2:$A$14,0))="","",INDEX('C_jama.2018.9128'!$H$2:$H$14,MATCH("2018::jama.2018.9128::C008",'C_jama.2018.9128'!$A$2:$A$14,0))),"not_applicable"),"NOT FROZEN")</x:f>
        <x:v>not_applicable</x:v>
      </x:c>
      <x:c r="E115" s="3" t="str">
        <x:f>IF(Setup!$B$6="primary",IF(AND(INDEX('C_jama.2018.9128'!$D$2:$D$14,MATCH("2018::jama.2018.9128::C008",'C_jama.2018.9128'!$A$2:$A$14,0))="retain",INDEX('C_jama.2018.9128'!$E$2:$E$14,MATCH("2018::jama.2018.9128::C008",'C_jama.2018.9128'!$A$2:$A$14,0))="statistical_results"),IF(INDEX('C_jama.2018.9128'!$I$2:$I$14,MATCH("2018::jama.2018.9128::C008",'C_jama.2018.9128'!$A$2:$A$14,0))="","",INDEX('C_jama.2018.9128'!$I$2:$I$14,MATCH("2018::jama.2018.9128::C008",'C_jama.2018.9128'!$A$2:$A$14,0))),"not_applicable"),"NOT FROZEN")</x:f>
        <x:v>not_applicable</x:v>
      </x:c>
      <x:c r="F115" s="3" t="str">
        <x:f>IF(Setup!$B$6="primary",IF(AND(INDEX('C_jama.2018.9128'!$D$2:$D$14,MATCH("2018::jama.2018.9128::C008",'C_jama.2018.9128'!$A$2:$A$14,0))="retain",INDEX('C_jama.2018.9128'!$E$2:$E$14,MATCH("2018::jama.2018.9128::C008",'C_jama.2018.9128'!$A$2:$A$14,0))="statistical_results"),IF(INDEX('C_jama.2018.9128'!$J$2:$J$14,MATCH("2018::jama.2018.9128::C008",'C_jama.2018.9128'!$A$2:$A$14,0))="","",INDEX('C_jama.2018.9128'!$J$2:$J$14,MATCH("2018::jama.2018.9128::C008",'C_jama.2018.9128'!$A$2:$A$14,0))),"not_applicable"),"NOT FROZEN")</x:f>
        <x:v>not_applicable</x:v>
      </x:c>
      <x:c r="G115" s="3" t="str">
        <x:f>IF(Setup!$B$6="primary",IF(AND(INDEX('C_jama.2018.9128'!$D$2:$D$14,MATCH("2018::jama.2018.9128::C008",'C_jama.2018.9128'!$A$2:$A$14,0))="retain",OR(INDEX('C_jama.2018.9128'!$E$2:$E$14,MATCH("2018::jama.2018.9128::C008",'C_jama.2018.9128'!$A$2:$A$14,0))="report_internal_inconsistency",INDEX('C_jama.2018.9128'!$E$2:$E$14,MATCH("2018::jama.2018.9128::C008",'C_jama.2018.9128'!$A$2:$A$14,0))="plan_material")),IF(INDEX('C_jama.2018.9128'!$K$2:$K$14,MATCH("2018::jama.2018.9128::C008",'C_jama.2018.9128'!$A$2:$A$14,0))="","",INDEX('C_jama.2018.9128'!$K$2:$K$14,MATCH("2018::jama.2018.9128::C008",'C_jama.2018.9128'!$A$2:$A$14,0))),"not_applicable"),"NOT FROZEN")</x:f>
        <x:v>not_applicable</x:v>
      </x:c>
      <x:c r="H115" s="3" t="str">
        <x:f>IF(Setup!$B$6="primary",IF(AND(INDEX('C_jama.2018.9128'!$D$2:$D$14,MATCH("2018::jama.2018.9128::C008",'C_jama.2018.9128'!$A$2:$A$14,0))="retain",INDEX('C_jama.2018.9128'!$E$2:$E$14,MATCH("2018::jama.2018.9128::C008",'C_jama.2018.9128'!$A$2:$A$14,0))="protocol_report"),IF(INDEX('C_jama.2018.9128'!$L$2:$L$14,MATCH("2018::jama.2018.9128::C008",'C_jama.2018.9128'!$A$2:$A$14,0))="","",INDEX('C_jama.2018.9128'!$L$2:$L$14,MATCH("2018::jama.2018.9128::C008",'C_jama.2018.9128'!$A$2:$A$14,0))),"not_applicable"),"NOT FROZEN")</x:f>
        <x:v>not_applicable</x:v>
      </x:c>
      <x:c r="I115" s="3" t="str">
        <x:f>IF(Setup!$B$6="primary",IF(INDEX('C_jama.2018.9128'!$R$2:$R$14,MATCH("2018::jama.2018.9128::C008",'C_jama.2018.9128'!$A$2:$A$14,0))="","",INDEX('C_jama.2018.9128'!$R$2:$R$14,MATCH("2018::jama.2018.9128::C008",'C_jama.2018.9128'!$A$2:$A$14,0))),"NOT FROZEN")</x:f>
      </x:c>
      <x:c r="J115" s="3" t="str">
        <x:f>IF(Setup!$B$6="primary",INDEX('C_jama.2018.9128'!$F$2:$F$14,MATCH("2018::jama.2018.9128::C008",'C_jama.2018.9128'!$A$2:$A$14,0)),"NOT FROZEN")</x:f>
        <x:v>no</x:v>
      </x:c>
      <x:c r="K115" s="3" t="str">
        <x:f>IF(Setup!$B$6="primary",Setup!$B$2,"NOT FROZEN")</x:f>
      </x:c>
      <x:c r="L115" s="3" t="str">
        <x:f>IF(Setup!$B$6="primary",IF(OR(B115="",B115="not_applicable"),"","Disposition: "&amp;B115&amp;CHAR(10))&amp;IF(OR(C115="",C115="not_applicable"),"","Review domain: "&amp;C115&amp;CHAR(10))&amp;IF(OR(D115="",D115="not_applicable"),"","Statistcal_or_numerical issue: "&amp;D115&amp;CHAR(10))&amp;IF(OR(E115="",E115="not_applicable"),"","Substantiveness: "&amp;E115&amp;CHAR(10))&amp;IF(OR(F115="",F115="not_applicable"),"","Downstream impact: "&amp;F115&amp;CHAR(10))&amp;IF(OR(G115="",G115="not_applicable"),"","Report-internal or planning-material inconsistency: "&amp;G115&amp;CHAR(10))&amp;IF(OR(H115="",H115="not_applicable"),"","Protocol interpretation: "&amp;H115&amp;CHAR(10))&amp;IF(OR(I115="",I115="not_applicable"),"","Notes (optional): "&amp;I115&amp;CHAR(10)),"NOT FROZEN")</x:f>
        <x:v>Review domain: report_internal_inconsistency
</x:v>
      </x:c>
    </x:row>
    <x:row r="116" ht="70" customHeight="1">
      <x:c r="A116" s="6" t="str">
        <x:f>IF(Setup!$B$6="primary","2018::jama.2018.9128::C009","NOT FROZEN")</x:f>
        <x:v>2018::jama.2018.9128::C009</x:v>
      </x:c>
      <x:c r="B116" s="6" t="str">
        <x:f>IF(Setup!$B$6="primary",IF(INDEX('C_jama.2018.9128'!$D$2:$D$14,MATCH("2018::jama.2018.9128::C009",'C_jama.2018.9128'!$A$2:$A$14,0))="","",INDEX('C_jama.2018.9128'!$D$2:$D$14,MATCH("2018::jama.2018.9128::C009",'C_jama.2018.9128'!$A$2:$A$14,0))),"NOT FROZEN")</x:f>
      </x:c>
      <x:c r="C116" s="6" t="str">
        <x:f>IF(Setup!$B$6="primary",IF(INDEX('C_jama.2018.9128'!$E$2:$E$14,MATCH("2018::jama.2018.9128::C009",'C_jama.2018.9128'!$A$2:$A$14,0))="","",INDEX('C_jama.2018.9128'!$E$2:$E$14,MATCH("2018::jama.2018.9128::C009",'C_jama.2018.9128'!$A$2:$A$14,0))),"NOT FROZEN")</x:f>
        <x:v>plan_material</x:v>
      </x:c>
      <x:c r="D116" s="6" t="str">
        <x:f>IF(Setup!$B$6="primary",IF(AND(INDEX('C_jama.2018.9128'!$D$2:$D$14,MATCH("2018::jama.2018.9128::C009",'C_jama.2018.9128'!$A$2:$A$14,0))="retain",INDEX('C_jama.2018.9128'!$E$2:$E$14,MATCH("2018::jama.2018.9128::C009",'C_jama.2018.9128'!$A$2:$A$14,0))="statistical_results"),IF(INDEX('C_jama.2018.9128'!$H$2:$H$14,MATCH("2018::jama.2018.9128::C009",'C_jama.2018.9128'!$A$2:$A$14,0))="","",INDEX('C_jama.2018.9128'!$H$2:$H$14,MATCH("2018::jama.2018.9128::C009",'C_jama.2018.9128'!$A$2:$A$14,0))),"not_applicable"),"NOT FROZEN")</x:f>
        <x:v>not_applicable</x:v>
      </x:c>
      <x:c r="E116" s="6" t="str">
        <x:f>IF(Setup!$B$6="primary",IF(AND(INDEX('C_jama.2018.9128'!$D$2:$D$14,MATCH("2018::jama.2018.9128::C009",'C_jama.2018.9128'!$A$2:$A$14,0))="retain",INDEX('C_jama.2018.9128'!$E$2:$E$14,MATCH("2018::jama.2018.9128::C009",'C_jama.2018.9128'!$A$2:$A$14,0))="statistical_results"),IF(INDEX('C_jama.2018.9128'!$I$2:$I$14,MATCH("2018::jama.2018.9128::C009",'C_jama.2018.9128'!$A$2:$A$14,0))="","",INDEX('C_jama.2018.9128'!$I$2:$I$14,MATCH("2018::jama.2018.9128::C009",'C_jama.2018.9128'!$A$2:$A$14,0))),"not_applicable"),"NOT FROZEN")</x:f>
        <x:v>not_applicable</x:v>
      </x:c>
      <x:c r="F116" s="6" t="str">
        <x:f>IF(Setup!$B$6="primary",IF(AND(INDEX('C_jama.2018.9128'!$D$2:$D$14,MATCH("2018::jama.2018.9128::C009",'C_jama.2018.9128'!$A$2:$A$14,0))="retain",INDEX('C_jama.2018.9128'!$E$2:$E$14,MATCH("2018::jama.2018.9128::C009",'C_jama.2018.9128'!$A$2:$A$14,0))="statistical_results"),IF(INDEX('C_jama.2018.9128'!$J$2:$J$14,MATCH("2018::jama.2018.9128::C009",'C_jama.2018.9128'!$A$2:$A$14,0))="","",INDEX('C_jama.2018.9128'!$J$2:$J$14,MATCH("2018::jama.2018.9128::C009",'C_jama.2018.9128'!$A$2:$A$14,0))),"not_applicable"),"NOT FROZEN")</x:f>
        <x:v>not_applicable</x:v>
      </x:c>
      <x:c r="G116" s="6" t="str">
        <x:f>IF(Setup!$B$6="primary",IF(AND(INDEX('C_jama.2018.9128'!$D$2:$D$14,MATCH("2018::jama.2018.9128::C009",'C_jama.2018.9128'!$A$2:$A$14,0))="retain",OR(INDEX('C_jama.2018.9128'!$E$2:$E$14,MATCH("2018::jama.2018.9128::C009",'C_jama.2018.9128'!$A$2:$A$14,0))="report_internal_inconsistency",INDEX('C_jama.2018.9128'!$E$2:$E$14,MATCH("2018::jama.2018.9128::C009",'C_jama.2018.9128'!$A$2:$A$14,0))="plan_material")),IF(INDEX('C_jama.2018.9128'!$K$2:$K$14,MATCH("2018::jama.2018.9128::C009",'C_jama.2018.9128'!$A$2:$A$14,0))="","",INDEX('C_jama.2018.9128'!$K$2:$K$14,MATCH("2018::jama.2018.9128::C009",'C_jama.2018.9128'!$A$2:$A$14,0))),"not_applicable"),"NOT FROZEN")</x:f>
        <x:v>not_applicable</x:v>
      </x:c>
      <x:c r="H116" s="6" t="str">
        <x:f>IF(Setup!$B$6="primary",IF(AND(INDEX('C_jama.2018.9128'!$D$2:$D$14,MATCH("2018::jama.2018.9128::C009",'C_jama.2018.9128'!$A$2:$A$14,0))="retain",INDEX('C_jama.2018.9128'!$E$2:$E$14,MATCH("2018::jama.2018.9128::C009",'C_jama.2018.9128'!$A$2:$A$14,0))="protocol_report"),IF(INDEX('C_jama.2018.9128'!$L$2:$L$14,MATCH("2018::jama.2018.9128::C009",'C_jama.2018.9128'!$A$2:$A$14,0))="","",INDEX('C_jama.2018.9128'!$L$2:$L$14,MATCH("2018::jama.2018.9128::C009",'C_jama.2018.9128'!$A$2:$A$14,0))),"not_applicable"),"NOT FROZEN")</x:f>
        <x:v>not_applicable</x:v>
      </x:c>
      <x:c r="I116" s="6" t="str">
        <x:f>IF(Setup!$B$6="primary",IF(INDEX('C_jama.2018.9128'!$R$2:$R$14,MATCH("2018::jama.2018.9128::C009",'C_jama.2018.9128'!$A$2:$A$14,0))="","",INDEX('C_jama.2018.9128'!$R$2:$R$14,MATCH("2018::jama.2018.9128::C009",'C_jama.2018.9128'!$A$2:$A$14,0))),"NOT FROZEN")</x:f>
      </x:c>
      <x:c r="J116" s="6" t="str">
        <x:f>IF(Setup!$B$6="primary",INDEX('C_jama.2018.9128'!$F$2:$F$14,MATCH("2018::jama.2018.9128::C009",'C_jama.2018.9128'!$A$2:$A$14,0)),"NOT FROZEN")</x:f>
        <x:v>no</x:v>
      </x:c>
      <x:c r="K116" s="6" t="str">
        <x:f>IF(Setup!$B$6="primary",Setup!$B$2,"NOT FROZEN")</x:f>
      </x:c>
      <x:c r="L116" s="6" t="str">
        <x:f>IF(Setup!$B$6="primary",IF(OR(B116="",B116="not_applicable"),"","Disposition: "&amp;B116&amp;CHAR(10))&amp;IF(OR(C116="",C116="not_applicable"),"","Review domain: "&amp;C116&amp;CHAR(10))&amp;IF(OR(D116="",D116="not_applicable"),"","Statistcal_or_numerical issue: "&amp;D116&amp;CHAR(10))&amp;IF(OR(E116="",E116="not_applicable"),"","Substantiveness: "&amp;E116&amp;CHAR(10))&amp;IF(OR(F116="",F116="not_applicable"),"","Downstream impact: "&amp;F116&amp;CHAR(10))&amp;IF(OR(G116="",G116="not_applicable"),"","Report-internal or planning-material inconsistency: "&amp;G116&amp;CHAR(10))&amp;IF(OR(H116="",H116="not_applicable"),"","Protocol interpretation: "&amp;H116&amp;CHAR(10))&amp;IF(OR(I116="",I116="not_applicable"),"","Notes (optional): "&amp;I116&amp;CHAR(10)),"NOT FROZEN")</x:f>
        <x:v>Review domain: plan_material
</x:v>
      </x:c>
    </x:row>
    <x:row r="117" ht="70" customHeight="1">
      <x:c r="A117" s="3" t="str">
        <x:f>IF(Setup!$B$6="primary","2018::jama.2018.9128::C010","NOT FROZEN")</x:f>
        <x:v>2018::jama.2018.9128::C010</x:v>
      </x:c>
      <x:c r="B117" s="3" t="str">
        <x:f>IF(Setup!$B$6="primary",IF(INDEX('C_jama.2018.9128'!$D$2:$D$14,MATCH("2018::jama.2018.9128::C010",'C_jama.2018.9128'!$A$2:$A$14,0))="","",INDEX('C_jama.2018.9128'!$D$2:$D$14,MATCH("2018::jama.2018.9128::C010",'C_jama.2018.9128'!$A$2:$A$14,0))),"NOT FROZEN")</x:f>
      </x:c>
      <x:c r="C117" s="3" t="str">
        <x:f>IF(Setup!$B$6="primary",IF(INDEX('C_jama.2018.9128'!$E$2:$E$14,MATCH("2018::jama.2018.9128::C010",'C_jama.2018.9128'!$A$2:$A$14,0))="","",INDEX('C_jama.2018.9128'!$E$2:$E$14,MATCH("2018::jama.2018.9128::C010",'C_jama.2018.9128'!$A$2:$A$14,0))),"NOT FROZEN")</x:f>
        <x:v>plan_material</x:v>
      </x:c>
      <x:c r="D117" s="3" t="str">
        <x:f>IF(Setup!$B$6="primary",IF(AND(INDEX('C_jama.2018.9128'!$D$2:$D$14,MATCH("2018::jama.2018.9128::C010",'C_jama.2018.9128'!$A$2:$A$14,0))="retain",INDEX('C_jama.2018.9128'!$E$2:$E$14,MATCH("2018::jama.2018.9128::C010",'C_jama.2018.9128'!$A$2:$A$14,0))="statistical_results"),IF(INDEX('C_jama.2018.9128'!$H$2:$H$14,MATCH("2018::jama.2018.9128::C010",'C_jama.2018.9128'!$A$2:$A$14,0))="","",INDEX('C_jama.2018.9128'!$H$2:$H$14,MATCH("2018::jama.2018.9128::C010",'C_jama.2018.9128'!$A$2:$A$14,0))),"not_applicable"),"NOT FROZEN")</x:f>
        <x:v>not_applicable</x:v>
      </x:c>
      <x:c r="E117" s="3" t="str">
        <x:f>IF(Setup!$B$6="primary",IF(AND(INDEX('C_jama.2018.9128'!$D$2:$D$14,MATCH("2018::jama.2018.9128::C010",'C_jama.2018.9128'!$A$2:$A$14,0))="retain",INDEX('C_jama.2018.9128'!$E$2:$E$14,MATCH("2018::jama.2018.9128::C010",'C_jama.2018.9128'!$A$2:$A$14,0))="statistical_results"),IF(INDEX('C_jama.2018.9128'!$I$2:$I$14,MATCH("2018::jama.2018.9128::C010",'C_jama.2018.9128'!$A$2:$A$14,0))="","",INDEX('C_jama.2018.9128'!$I$2:$I$14,MATCH("2018::jama.2018.9128::C010",'C_jama.2018.9128'!$A$2:$A$14,0))),"not_applicable"),"NOT FROZEN")</x:f>
        <x:v>not_applicable</x:v>
      </x:c>
      <x:c r="F117" s="3" t="str">
        <x:f>IF(Setup!$B$6="primary",IF(AND(INDEX('C_jama.2018.9128'!$D$2:$D$14,MATCH("2018::jama.2018.9128::C010",'C_jama.2018.9128'!$A$2:$A$14,0))="retain",INDEX('C_jama.2018.9128'!$E$2:$E$14,MATCH("2018::jama.2018.9128::C010",'C_jama.2018.9128'!$A$2:$A$14,0))="statistical_results"),IF(INDEX('C_jama.2018.9128'!$J$2:$J$14,MATCH("2018::jama.2018.9128::C010",'C_jama.2018.9128'!$A$2:$A$14,0))="","",INDEX('C_jama.2018.9128'!$J$2:$J$14,MATCH("2018::jama.2018.9128::C010",'C_jama.2018.9128'!$A$2:$A$14,0))),"not_applicable"),"NOT FROZEN")</x:f>
        <x:v>not_applicable</x:v>
      </x:c>
      <x:c r="G117" s="3" t="str">
        <x:f>IF(Setup!$B$6="primary",IF(AND(INDEX('C_jama.2018.9128'!$D$2:$D$14,MATCH("2018::jama.2018.9128::C010",'C_jama.2018.9128'!$A$2:$A$14,0))="retain",OR(INDEX('C_jama.2018.9128'!$E$2:$E$14,MATCH("2018::jama.2018.9128::C010",'C_jama.2018.9128'!$A$2:$A$14,0))="report_internal_inconsistency",INDEX('C_jama.2018.9128'!$E$2:$E$14,MATCH("2018::jama.2018.9128::C010",'C_jama.2018.9128'!$A$2:$A$14,0))="plan_material")),IF(INDEX('C_jama.2018.9128'!$K$2:$K$14,MATCH("2018::jama.2018.9128::C010",'C_jama.2018.9128'!$A$2:$A$14,0))="","",INDEX('C_jama.2018.9128'!$K$2:$K$14,MATCH("2018::jama.2018.9128::C010",'C_jama.2018.9128'!$A$2:$A$14,0))),"not_applicable"),"NOT FROZEN")</x:f>
        <x:v>not_applicable</x:v>
      </x:c>
      <x:c r="H117" s="3" t="str">
        <x:f>IF(Setup!$B$6="primary",IF(AND(INDEX('C_jama.2018.9128'!$D$2:$D$14,MATCH("2018::jama.2018.9128::C010",'C_jama.2018.9128'!$A$2:$A$14,0))="retain",INDEX('C_jama.2018.9128'!$E$2:$E$14,MATCH("2018::jama.2018.9128::C010",'C_jama.2018.9128'!$A$2:$A$14,0))="protocol_report"),IF(INDEX('C_jama.2018.9128'!$L$2:$L$14,MATCH("2018::jama.2018.9128::C010",'C_jama.2018.9128'!$A$2:$A$14,0))="","",INDEX('C_jama.2018.9128'!$L$2:$L$14,MATCH("2018::jama.2018.9128::C010",'C_jama.2018.9128'!$A$2:$A$14,0))),"not_applicable"),"NOT FROZEN")</x:f>
        <x:v>not_applicable</x:v>
      </x:c>
      <x:c r="I117" s="3" t="str">
        <x:f>IF(Setup!$B$6="primary",IF(INDEX('C_jama.2018.9128'!$R$2:$R$14,MATCH("2018::jama.2018.9128::C010",'C_jama.2018.9128'!$A$2:$A$14,0))="","",INDEX('C_jama.2018.9128'!$R$2:$R$14,MATCH("2018::jama.2018.9128::C010",'C_jama.2018.9128'!$A$2:$A$14,0))),"NOT FROZEN")</x:f>
      </x:c>
      <x:c r="J117" s="3" t="str">
        <x:f>IF(Setup!$B$6="primary",INDEX('C_jama.2018.9128'!$F$2:$F$14,MATCH("2018::jama.2018.9128::C010",'C_jama.2018.9128'!$A$2:$A$14,0)),"NOT FROZEN")</x:f>
        <x:v>no</x:v>
      </x:c>
      <x:c r="K117" s="3" t="str">
        <x:f>IF(Setup!$B$6="primary",Setup!$B$2,"NOT FROZEN")</x:f>
      </x:c>
      <x:c r="L117" s="3" t="str">
        <x:f>IF(Setup!$B$6="primary",IF(OR(B117="",B117="not_applicable"),"","Disposition: "&amp;B117&amp;CHAR(10))&amp;IF(OR(C117="",C117="not_applicable"),"","Review domain: "&amp;C117&amp;CHAR(10))&amp;IF(OR(D117="",D117="not_applicable"),"","Statistcal_or_numerical issue: "&amp;D117&amp;CHAR(10))&amp;IF(OR(E117="",E117="not_applicable"),"","Substantiveness: "&amp;E117&amp;CHAR(10))&amp;IF(OR(F117="",F117="not_applicable"),"","Downstream impact: "&amp;F117&amp;CHAR(10))&amp;IF(OR(G117="",G117="not_applicable"),"","Report-internal or planning-material inconsistency: "&amp;G117&amp;CHAR(10))&amp;IF(OR(H117="",H117="not_applicable"),"","Protocol interpretation: "&amp;H117&amp;CHAR(10))&amp;IF(OR(I117="",I117="not_applicable"),"","Notes (optional): "&amp;I117&amp;CHAR(10)),"NOT FROZEN")</x:f>
        <x:v>Review domain: plan_material
</x:v>
      </x:c>
    </x:row>
    <x:row r="118" ht="70" customHeight="1">
      <x:c r="A118" s="6" t="str">
        <x:f>IF(Setup!$B$6="primary","2018::jama.2018.9128::C011","NOT FROZEN")</x:f>
        <x:v>2018::jama.2018.9128::C011</x:v>
      </x:c>
      <x:c r="B118" s="6" t="str">
        <x:f>IF(Setup!$B$6="primary",IF(INDEX('C_jama.2018.9128'!$D$2:$D$14,MATCH("2018::jama.2018.9128::C011",'C_jama.2018.9128'!$A$2:$A$14,0))="","",INDEX('C_jama.2018.9128'!$D$2:$D$14,MATCH("2018::jama.2018.9128::C011",'C_jama.2018.9128'!$A$2:$A$14,0))),"NOT FROZEN")</x:f>
      </x:c>
      <x:c r="C118" s="6" t="str">
        <x:f>IF(Setup!$B$6="primary",IF(INDEX('C_jama.2018.9128'!$E$2:$E$14,MATCH("2018::jama.2018.9128::C011",'C_jama.2018.9128'!$A$2:$A$14,0))="","",INDEX('C_jama.2018.9128'!$E$2:$E$14,MATCH("2018::jama.2018.9128::C011",'C_jama.2018.9128'!$A$2:$A$14,0))),"NOT FROZEN")</x:f>
        <x:v>protocol_report</x:v>
      </x:c>
      <x:c r="D118" s="6" t="str">
        <x:f>IF(Setup!$B$6="primary",IF(AND(INDEX('C_jama.2018.9128'!$D$2:$D$14,MATCH("2018::jama.2018.9128::C011",'C_jama.2018.9128'!$A$2:$A$14,0))="retain",INDEX('C_jama.2018.9128'!$E$2:$E$14,MATCH("2018::jama.2018.9128::C011",'C_jama.2018.9128'!$A$2:$A$14,0))="statistical_results"),IF(INDEX('C_jama.2018.9128'!$H$2:$H$14,MATCH("2018::jama.2018.9128::C011",'C_jama.2018.9128'!$A$2:$A$14,0))="","",INDEX('C_jama.2018.9128'!$H$2:$H$14,MATCH("2018::jama.2018.9128::C011",'C_jama.2018.9128'!$A$2:$A$14,0))),"not_applicable"),"NOT FROZEN")</x:f>
        <x:v>not_applicable</x:v>
      </x:c>
      <x:c r="E118" s="6" t="str">
        <x:f>IF(Setup!$B$6="primary",IF(AND(INDEX('C_jama.2018.9128'!$D$2:$D$14,MATCH("2018::jama.2018.9128::C011",'C_jama.2018.9128'!$A$2:$A$14,0))="retain",INDEX('C_jama.2018.9128'!$E$2:$E$14,MATCH("2018::jama.2018.9128::C011",'C_jama.2018.9128'!$A$2:$A$14,0))="statistical_results"),IF(INDEX('C_jama.2018.9128'!$I$2:$I$14,MATCH("2018::jama.2018.9128::C011",'C_jama.2018.9128'!$A$2:$A$14,0))="","",INDEX('C_jama.2018.9128'!$I$2:$I$14,MATCH("2018::jama.2018.9128::C011",'C_jama.2018.9128'!$A$2:$A$14,0))),"not_applicable"),"NOT FROZEN")</x:f>
        <x:v>not_applicable</x:v>
      </x:c>
      <x:c r="F118" s="6" t="str">
        <x:f>IF(Setup!$B$6="primary",IF(AND(INDEX('C_jama.2018.9128'!$D$2:$D$14,MATCH("2018::jama.2018.9128::C011",'C_jama.2018.9128'!$A$2:$A$14,0))="retain",INDEX('C_jama.2018.9128'!$E$2:$E$14,MATCH("2018::jama.2018.9128::C011",'C_jama.2018.9128'!$A$2:$A$14,0))="statistical_results"),IF(INDEX('C_jama.2018.9128'!$J$2:$J$14,MATCH("2018::jama.2018.9128::C011",'C_jama.2018.9128'!$A$2:$A$14,0))="","",INDEX('C_jama.2018.9128'!$J$2:$J$14,MATCH("2018::jama.2018.9128::C011",'C_jama.2018.9128'!$A$2:$A$14,0))),"not_applicable"),"NOT FROZEN")</x:f>
        <x:v>not_applicable</x:v>
      </x:c>
      <x:c r="G118" s="6" t="str">
        <x:f>IF(Setup!$B$6="primary",IF(AND(INDEX('C_jama.2018.9128'!$D$2:$D$14,MATCH("2018::jama.2018.9128::C011",'C_jama.2018.9128'!$A$2:$A$14,0))="retain",OR(INDEX('C_jama.2018.9128'!$E$2:$E$14,MATCH("2018::jama.2018.9128::C011",'C_jama.2018.9128'!$A$2:$A$14,0))="report_internal_inconsistency",INDEX('C_jama.2018.9128'!$E$2:$E$14,MATCH("2018::jama.2018.9128::C011",'C_jama.2018.9128'!$A$2:$A$14,0))="plan_material")),IF(INDEX('C_jama.2018.9128'!$K$2:$K$14,MATCH("2018::jama.2018.9128::C011",'C_jama.2018.9128'!$A$2:$A$14,0))="","",INDEX('C_jama.2018.9128'!$K$2:$K$14,MATCH("2018::jama.2018.9128::C011",'C_jama.2018.9128'!$A$2:$A$14,0))),"not_applicable"),"NOT FROZEN")</x:f>
        <x:v>not_applicable</x:v>
      </x:c>
      <x:c r="H118" s="6" t="str">
        <x:f>IF(Setup!$B$6="primary",IF(AND(INDEX('C_jama.2018.9128'!$D$2:$D$14,MATCH("2018::jama.2018.9128::C011",'C_jama.2018.9128'!$A$2:$A$14,0))="retain",INDEX('C_jama.2018.9128'!$E$2:$E$14,MATCH("2018::jama.2018.9128::C011",'C_jama.2018.9128'!$A$2:$A$14,0))="protocol_report"),IF(INDEX('C_jama.2018.9128'!$L$2:$L$14,MATCH("2018::jama.2018.9128::C011",'C_jama.2018.9128'!$A$2:$A$14,0))="","",INDEX('C_jama.2018.9128'!$L$2:$L$14,MATCH("2018::jama.2018.9128::C011",'C_jama.2018.9128'!$A$2:$A$14,0))),"not_applicable"),"NOT FROZEN")</x:f>
        <x:v>not_applicable</x:v>
      </x:c>
      <x:c r="I118" s="6" t="str">
        <x:f>IF(Setup!$B$6="primary",IF(INDEX('C_jama.2018.9128'!$R$2:$R$14,MATCH("2018::jama.2018.9128::C011",'C_jama.2018.9128'!$A$2:$A$14,0))="","",INDEX('C_jama.2018.9128'!$R$2:$R$14,MATCH("2018::jama.2018.9128::C011",'C_jama.2018.9128'!$A$2:$A$14,0))),"NOT FROZEN")</x:f>
      </x:c>
      <x:c r="J118" s="6" t="str">
        <x:f>IF(Setup!$B$6="primary",INDEX('C_jama.2018.9128'!$F$2:$F$14,MATCH("2018::jama.2018.9128::C011",'C_jama.2018.9128'!$A$2:$A$14,0)),"NOT FROZEN")</x:f>
        <x:v>no</x:v>
      </x:c>
      <x:c r="K118" s="6" t="str">
        <x:f>IF(Setup!$B$6="primary",Setup!$B$2,"NOT FROZEN")</x:f>
      </x:c>
      <x:c r="L118" s="6" t="str">
        <x:f>IF(Setup!$B$6="primary",IF(OR(B118="",B118="not_applicable"),"","Disposition: "&amp;B118&amp;CHAR(10))&amp;IF(OR(C118="",C118="not_applicable"),"","Review domain: "&amp;C118&amp;CHAR(10))&amp;IF(OR(D118="",D118="not_applicable"),"","Statistcal_or_numerical issue: "&amp;D118&amp;CHAR(10))&amp;IF(OR(E118="",E118="not_applicable"),"","Substantiveness: "&amp;E118&amp;CHAR(10))&amp;IF(OR(F118="",F118="not_applicable"),"","Downstream impact: "&amp;F118&amp;CHAR(10))&amp;IF(OR(G118="",G118="not_applicable"),"","Report-internal or planning-material inconsistency: "&amp;G118&amp;CHAR(10))&amp;IF(OR(H118="",H118="not_applicable"),"","Protocol interpretation: "&amp;H118&amp;CHAR(10))&amp;IF(OR(I118="",I118="not_applicable"),"","Notes (optional): "&amp;I118&amp;CHAR(10)),"NOT FROZEN")</x:f>
        <x:v>Review domain: protocol_report
</x:v>
      </x:c>
    </x:row>
    <x:row r="119" ht="70" customHeight="1">
      <x:c r="A119" s="3" t="str">
        <x:f>IF(Setup!$B$6="primary","2018::jama.2018.9128::C012","NOT FROZEN")</x:f>
        <x:v>2018::jama.2018.9128::C012</x:v>
      </x:c>
      <x:c r="B119" s="3" t="str">
        <x:f>IF(Setup!$B$6="primary",IF(INDEX('C_jama.2018.9128'!$D$2:$D$14,MATCH("2018::jama.2018.9128::C012",'C_jama.2018.9128'!$A$2:$A$14,0))="","",INDEX('C_jama.2018.9128'!$D$2:$D$14,MATCH("2018::jama.2018.9128::C012",'C_jama.2018.9128'!$A$2:$A$14,0))),"NOT FROZEN")</x:f>
      </x:c>
      <x:c r="C119" s="3" t="str">
        <x:f>IF(Setup!$B$6="primary",IF(INDEX('C_jama.2018.9128'!$E$2:$E$14,MATCH("2018::jama.2018.9128::C012",'C_jama.2018.9128'!$A$2:$A$14,0))="","",INDEX('C_jama.2018.9128'!$E$2:$E$14,MATCH("2018::jama.2018.9128::C012",'C_jama.2018.9128'!$A$2:$A$14,0))),"NOT FROZEN")</x:f>
        <x:v>protocol_report</x:v>
      </x:c>
      <x:c r="D119" s="3" t="str">
        <x:f>IF(Setup!$B$6="primary",IF(AND(INDEX('C_jama.2018.9128'!$D$2:$D$14,MATCH("2018::jama.2018.9128::C012",'C_jama.2018.9128'!$A$2:$A$14,0))="retain",INDEX('C_jama.2018.9128'!$E$2:$E$14,MATCH("2018::jama.2018.9128::C012",'C_jama.2018.9128'!$A$2:$A$14,0))="statistical_results"),IF(INDEX('C_jama.2018.9128'!$H$2:$H$14,MATCH("2018::jama.2018.9128::C012",'C_jama.2018.9128'!$A$2:$A$14,0))="","",INDEX('C_jama.2018.9128'!$H$2:$H$14,MATCH("2018::jama.2018.9128::C012",'C_jama.2018.9128'!$A$2:$A$14,0))),"not_applicable"),"NOT FROZEN")</x:f>
        <x:v>not_applicable</x:v>
      </x:c>
      <x:c r="E119" s="3" t="str">
        <x:f>IF(Setup!$B$6="primary",IF(AND(INDEX('C_jama.2018.9128'!$D$2:$D$14,MATCH("2018::jama.2018.9128::C012",'C_jama.2018.9128'!$A$2:$A$14,0))="retain",INDEX('C_jama.2018.9128'!$E$2:$E$14,MATCH("2018::jama.2018.9128::C012",'C_jama.2018.9128'!$A$2:$A$14,0))="statistical_results"),IF(INDEX('C_jama.2018.9128'!$I$2:$I$14,MATCH("2018::jama.2018.9128::C012",'C_jama.2018.9128'!$A$2:$A$14,0))="","",INDEX('C_jama.2018.9128'!$I$2:$I$14,MATCH("2018::jama.2018.9128::C012",'C_jama.2018.9128'!$A$2:$A$14,0))),"not_applicable"),"NOT FROZEN")</x:f>
        <x:v>not_applicable</x:v>
      </x:c>
      <x:c r="F119" s="3" t="str">
        <x:f>IF(Setup!$B$6="primary",IF(AND(INDEX('C_jama.2018.9128'!$D$2:$D$14,MATCH("2018::jama.2018.9128::C012",'C_jama.2018.9128'!$A$2:$A$14,0))="retain",INDEX('C_jama.2018.9128'!$E$2:$E$14,MATCH("2018::jama.2018.9128::C012",'C_jama.2018.9128'!$A$2:$A$14,0))="statistical_results"),IF(INDEX('C_jama.2018.9128'!$J$2:$J$14,MATCH("2018::jama.2018.9128::C012",'C_jama.2018.9128'!$A$2:$A$14,0))="","",INDEX('C_jama.2018.9128'!$J$2:$J$14,MATCH("2018::jama.2018.9128::C012",'C_jama.2018.9128'!$A$2:$A$14,0))),"not_applicable"),"NOT FROZEN")</x:f>
        <x:v>not_applicable</x:v>
      </x:c>
      <x:c r="G119" s="3" t="str">
        <x:f>IF(Setup!$B$6="primary",IF(AND(INDEX('C_jama.2018.9128'!$D$2:$D$14,MATCH("2018::jama.2018.9128::C012",'C_jama.2018.9128'!$A$2:$A$14,0))="retain",OR(INDEX('C_jama.2018.9128'!$E$2:$E$14,MATCH("2018::jama.2018.9128::C012",'C_jama.2018.9128'!$A$2:$A$14,0))="report_internal_inconsistency",INDEX('C_jama.2018.9128'!$E$2:$E$14,MATCH("2018::jama.2018.9128::C012",'C_jama.2018.9128'!$A$2:$A$14,0))="plan_material")),IF(INDEX('C_jama.2018.9128'!$K$2:$K$14,MATCH("2018::jama.2018.9128::C012",'C_jama.2018.9128'!$A$2:$A$14,0))="","",INDEX('C_jama.2018.9128'!$K$2:$K$14,MATCH("2018::jama.2018.9128::C012",'C_jama.2018.9128'!$A$2:$A$14,0))),"not_applicable"),"NOT FROZEN")</x:f>
        <x:v>not_applicable</x:v>
      </x:c>
      <x:c r="H119" s="3" t="str">
        <x:f>IF(Setup!$B$6="primary",IF(AND(INDEX('C_jama.2018.9128'!$D$2:$D$14,MATCH("2018::jama.2018.9128::C012",'C_jama.2018.9128'!$A$2:$A$14,0))="retain",INDEX('C_jama.2018.9128'!$E$2:$E$14,MATCH("2018::jama.2018.9128::C012",'C_jama.2018.9128'!$A$2:$A$14,0))="protocol_report"),IF(INDEX('C_jama.2018.9128'!$L$2:$L$14,MATCH("2018::jama.2018.9128::C012",'C_jama.2018.9128'!$A$2:$A$14,0))="","",INDEX('C_jama.2018.9128'!$L$2:$L$14,MATCH("2018::jama.2018.9128::C012",'C_jama.2018.9128'!$A$2:$A$14,0))),"not_applicable"),"NOT FROZEN")</x:f>
        <x:v>not_applicable</x:v>
      </x:c>
      <x:c r="I119" s="3" t="str">
        <x:f>IF(Setup!$B$6="primary",IF(INDEX('C_jama.2018.9128'!$R$2:$R$14,MATCH("2018::jama.2018.9128::C012",'C_jama.2018.9128'!$A$2:$A$14,0))="","",INDEX('C_jama.2018.9128'!$R$2:$R$14,MATCH("2018::jama.2018.9128::C012",'C_jama.2018.9128'!$A$2:$A$14,0))),"NOT FROZEN")</x:f>
      </x:c>
      <x:c r="J119" s="3" t="str">
        <x:f>IF(Setup!$B$6="primary",INDEX('C_jama.2018.9128'!$F$2:$F$14,MATCH("2018::jama.2018.9128::C012",'C_jama.2018.9128'!$A$2:$A$14,0)),"NOT FROZEN")</x:f>
        <x:v>no</x:v>
      </x:c>
      <x:c r="K119" s="3" t="str">
        <x:f>IF(Setup!$B$6="primary",Setup!$B$2,"NOT FROZEN")</x:f>
      </x:c>
      <x:c r="L119" s="3" t="str">
        <x:f>IF(Setup!$B$6="primary",IF(OR(B119="",B119="not_applicable"),"","Disposition: "&amp;B119&amp;CHAR(10))&amp;IF(OR(C119="",C119="not_applicable"),"","Review domain: "&amp;C119&amp;CHAR(10))&amp;IF(OR(D119="",D119="not_applicable"),"","Statistcal_or_numerical issue: "&amp;D119&amp;CHAR(10))&amp;IF(OR(E119="",E119="not_applicable"),"","Substantiveness: "&amp;E119&amp;CHAR(10))&amp;IF(OR(F119="",F119="not_applicable"),"","Downstream impact: "&amp;F119&amp;CHAR(10))&amp;IF(OR(G119="",G119="not_applicable"),"","Report-internal or planning-material inconsistency: "&amp;G119&amp;CHAR(10))&amp;IF(OR(H119="",H119="not_applicable"),"","Protocol interpretation: "&amp;H119&amp;CHAR(10))&amp;IF(OR(I119="",I119="not_applicable"),"","Notes (optional): "&amp;I119&amp;CHAR(10)),"NOT FROZEN")</x:f>
        <x:v>Review domain: protocol_report
</x:v>
      </x:c>
    </x:row>
    <x:row r="120" ht="70" customHeight="1">
      <x:c r="A120" s="6" t="str">
        <x:f>IF(Setup!$B$6="primary","2018::jama.2018.9128::C013","NOT FROZEN")</x:f>
        <x:v>2018::jama.2018.9128::C013</x:v>
      </x:c>
      <x:c r="B120" s="6" t="str">
        <x:f>IF(Setup!$B$6="primary",IF(INDEX('C_jama.2018.9128'!$D$2:$D$14,MATCH("2018::jama.2018.9128::C013",'C_jama.2018.9128'!$A$2:$A$14,0))="","",INDEX('C_jama.2018.9128'!$D$2:$D$14,MATCH("2018::jama.2018.9128::C013",'C_jama.2018.9128'!$A$2:$A$14,0))),"NOT FROZEN")</x:f>
      </x:c>
      <x:c r="C120" s="6" t="str">
        <x:f>IF(Setup!$B$6="primary",IF(INDEX('C_jama.2018.9128'!$E$2:$E$14,MATCH("2018::jama.2018.9128::C013",'C_jama.2018.9128'!$A$2:$A$14,0))="","",INDEX('C_jama.2018.9128'!$E$2:$E$14,MATCH("2018::jama.2018.9128::C013",'C_jama.2018.9128'!$A$2:$A$14,0))),"NOT FROZEN")</x:f>
        <x:v>report_internal_inconsistency</x:v>
      </x:c>
      <x:c r="D120" s="6" t="str">
        <x:f>IF(Setup!$B$6="primary",IF(AND(INDEX('C_jama.2018.9128'!$D$2:$D$14,MATCH("2018::jama.2018.9128::C013",'C_jama.2018.9128'!$A$2:$A$14,0))="retain",INDEX('C_jama.2018.9128'!$E$2:$E$14,MATCH("2018::jama.2018.9128::C013",'C_jama.2018.9128'!$A$2:$A$14,0))="statistical_results"),IF(INDEX('C_jama.2018.9128'!$H$2:$H$14,MATCH("2018::jama.2018.9128::C013",'C_jama.2018.9128'!$A$2:$A$14,0))="","",INDEX('C_jama.2018.9128'!$H$2:$H$14,MATCH("2018::jama.2018.9128::C013",'C_jama.2018.9128'!$A$2:$A$14,0))),"not_applicable"),"NOT FROZEN")</x:f>
        <x:v>not_applicable</x:v>
      </x:c>
      <x:c r="E120" s="6" t="str">
        <x:f>IF(Setup!$B$6="primary",IF(AND(INDEX('C_jama.2018.9128'!$D$2:$D$14,MATCH("2018::jama.2018.9128::C013",'C_jama.2018.9128'!$A$2:$A$14,0))="retain",INDEX('C_jama.2018.9128'!$E$2:$E$14,MATCH("2018::jama.2018.9128::C013",'C_jama.2018.9128'!$A$2:$A$14,0))="statistical_results"),IF(INDEX('C_jama.2018.9128'!$I$2:$I$14,MATCH("2018::jama.2018.9128::C013",'C_jama.2018.9128'!$A$2:$A$14,0))="","",INDEX('C_jama.2018.9128'!$I$2:$I$14,MATCH("2018::jama.2018.9128::C013",'C_jama.2018.9128'!$A$2:$A$14,0))),"not_applicable"),"NOT FROZEN")</x:f>
        <x:v>not_applicable</x:v>
      </x:c>
      <x:c r="F120" s="6" t="str">
        <x:f>IF(Setup!$B$6="primary",IF(AND(INDEX('C_jama.2018.9128'!$D$2:$D$14,MATCH("2018::jama.2018.9128::C013",'C_jama.2018.9128'!$A$2:$A$14,0))="retain",INDEX('C_jama.2018.9128'!$E$2:$E$14,MATCH("2018::jama.2018.9128::C013",'C_jama.2018.9128'!$A$2:$A$14,0))="statistical_results"),IF(INDEX('C_jama.2018.9128'!$J$2:$J$14,MATCH("2018::jama.2018.9128::C013",'C_jama.2018.9128'!$A$2:$A$14,0))="","",INDEX('C_jama.2018.9128'!$J$2:$J$14,MATCH("2018::jama.2018.9128::C013",'C_jama.2018.9128'!$A$2:$A$14,0))),"not_applicable"),"NOT FROZEN")</x:f>
        <x:v>not_applicable</x:v>
      </x:c>
      <x:c r="G120" s="6" t="str">
        <x:f>IF(Setup!$B$6="primary",IF(AND(INDEX('C_jama.2018.9128'!$D$2:$D$14,MATCH("2018::jama.2018.9128::C013",'C_jama.2018.9128'!$A$2:$A$14,0))="retain",OR(INDEX('C_jama.2018.9128'!$E$2:$E$14,MATCH("2018::jama.2018.9128::C013",'C_jama.2018.9128'!$A$2:$A$14,0))="report_internal_inconsistency",INDEX('C_jama.2018.9128'!$E$2:$E$14,MATCH("2018::jama.2018.9128::C013",'C_jama.2018.9128'!$A$2:$A$14,0))="plan_material")),IF(INDEX('C_jama.2018.9128'!$K$2:$K$14,MATCH("2018::jama.2018.9128::C013",'C_jama.2018.9128'!$A$2:$A$14,0))="","",INDEX('C_jama.2018.9128'!$K$2:$K$14,MATCH("2018::jama.2018.9128::C013",'C_jama.2018.9128'!$A$2:$A$14,0))),"not_applicable"),"NOT FROZEN")</x:f>
        <x:v>not_applicable</x:v>
      </x:c>
      <x:c r="H120" s="6" t="str">
        <x:f>IF(Setup!$B$6="primary",IF(AND(INDEX('C_jama.2018.9128'!$D$2:$D$14,MATCH("2018::jama.2018.9128::C013",'C_jama.2018.9128'!$A$2:$A$14,0))="retain",INDEX('C_jama.2018.9128'!$E$2:$E$14,MATCH("2018::jama.2018.9128::C013",'C_jama.2018.9128'!$A$2:$A$14,0))="protocol_report"),IF(INDEX('C_jama.2018.9128'!$L$2:$L$14,MATCH("2018::jama.2018.9128::C013",'C_jama.2018.9128'!$A$2:$A$14,0))="","",INDEX('C_jama.2018.9128'!$L$2:$L$14,MATCH("2018::jama.2018.9128::C013",'C_jama.2018.9128'!$A$2:$A$14,0))),"not_applicable"),"NOT FROZEN")</x:f>
        <x:v>not_applicable</x:v>
      </x:c>
      <x:c r="I120" s="6" t="str">
        <x:f>IF(Setup!$B$6="primary",IF(INDEX('C_jama.2018.9128'!$R$2:$R$14,MATCH("2018::jama.2018.9128::C013",'C_jama.2018.9128'!$A$2:$A$14,0))="","",INDEX('C_jama.2018.9128'!$R$2:$R$14,MATCH("2018::jama.2018.9128::C013",'C_jama.2018.9128'!$A$2:$A$14,0))),"NOT FROZEN")</x:f>
      </x:c>
      <x:c r="J120" s="6" t="str">
        <x:f>IF(Setup!$B$6="primary",INDEX('C_jama.2018.9128'!$F$2:$F$14,MATCH("2018::jama.2018.9128::C013",'C_jama.2018.9128'!$A$2:$A$14,0)),"NOT FROZEN")</x:f>
        <x:v>no</x:v>
      </x:c>
      <x:c r="K120" s="6" t="str">
        <x:f>IF(Setup!$B$6="primary",Setup!$B$2,"NOT FROZEN")</x:f>
      </x:c>
      <x:c r="L120" s="6" t="str">
        <x:f>IF(Setup!$B$6="primary",IF(OR(B120="",B120="not_applicable"),"","Disposition: "&amp;B120&amp;CHAR(10))&amp;IF(OR(C120="",C120="not_applicable"),"","Review domain: "&amp;C120&amp;CHAR(10))&amp;IF(OR(D120="",D120="not_applicable"),"","Statistcal_or_numerical issue: "&amp;D120&amp;CHAR(10))&amp;IF(OR(E120="",E120="not_applicable"),"","Substantiveness: "&amp;E120&amp;CHAR(10))&amp;IF(OR(F120="",F120="not_applicable"),"","Downstream impact: "&amp;F120&amp;CHAR(10))&amp;IF(OR(G120="",G120="not_applicable"),"","Report-internal or planning-material inconsistency: "&amp;G120&amp;CHAR(10))&amp;IF(OR(H120="",H120="not_applicable"),"","Protocol interpretation: "&amp;H120&amp;CHAR(10))&amp;IF(OR(I120="",I120="not_applicable"),"","Notes (optional): "&amp;I120&amp;CHAR(10)),"NOT FROZEN")</x:f>
        <x:v>Review domain: report_internal_inconsistency
</x:v>
      </x:c>
    </x:row>
  </x:sheetData>
  <x:pageMargins left="0.7" right="0.7" top="0.75" bottom="0.75" header="0.3" footer="0.3"/>
</x:worksheet>
</file>

<file path=xl/worksheets/sheet16.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2" hidden="0" customWidth="1"/>
    <x:col min="2" max="2" width="26" hidden="0" customWidth="1"/>
    <x:col min="3" max="3" width="44" hidden="0" customWidth="1"/>
    <x:col min="4" max="4" width="18" hidden="0" customWidth="1"/>
    <x:col min="5" max="5" width="24" hidden="0" customWidth="1"/>
    <x:col min="6" max="6" width="24" hidden="0" customWidth="1"/>
    <x:col min="7" max="7" width="26" hidden="0" customWidth="1"/>
    <x:col min="8" max="8" width="26" hidden="0" customWidth="1"/>
    <x:col min="9" max="9" width="26" hidden="0" customWidth="1"/>
    <x:col min="10" max="10" width="26" hidden="0" customWidth="1"/>
    <x:col min="11" max="11" width="26" hidden="0" customWidth="1"/>
    <x:col min="12" max="12" width="26" hidden="0" customWidth="1"/>
    <x:col min="13" max="13" width="26" hidden="0" customWidth="1"/>
    <x:col min="14" max="14" width="26" hidden="0" customWidth="1"/>
    <x:col min="15" max="15" width="26" hidden="0" customWidth="1"/>
    <x:col min="16" max="16" width="26" hidden="0" customWidth="1"/>
    <x:col min="17" max="17" width="26" hidden="0" customWidth="1"/>
    <x:col min="18" max="18" width="26" hidden="0" customWidth="1"/>
    <x:col min="19" max="19" width="26" hidden="0" customWidth="1"/>
    <x:col min="20" max="20" width="26" hidden="0" customWidth="1"/>
    <x:col min="21" max="21" width="26" hidden="0" customWidth="1"/>
    <x:col min="22" max="22" width="26" hidden="0" customWidth="1"/>
    <x:col min="23" max="23" width="26" hidden="0" customWidth="1"/>
    <x:col min="24" max="24" width="26" hidden="0" customWidth="1"/>
    <x:col min="25" max="25" width="26" hidden="0" customWidth="1"/>
    <x:col min="26" max="26" width="26" hidden="0" customWidth="1"/>
    <x:col min="27" max="27" width="26" hidden="0" customWidth="1"/>
    <x:col min="28" max="28" width="26" hidden="0" customWidth="1"/>
    <x:col min="29" max="29" width="26" hidden="0" customWidth="1"/>
    <x:col min="30" max="30" width="26" hidden="0" customWidth="1"/>
  </x:cols>
  <x:sheetData>
    <x:row r="1" ht="42" customHeight="1">
      <x:c r="A1" s="5" t="str">
        <x:v>year</x:v>
      </x:c>
      <x:c r="B1" s="5" t="str">
        <x:v>package</x:v>
      </x:c>
      <x:c r="C1" s="5" t="str">
        <x:v>key</x:v>
      </x:c>
      <x:c r="D1" s="5" t="str">
        <x:v>relationship</x:v>
      </x:c>
      <x:c r="E1" s="5" t="str">
        <x:v>primaryReviewerId</x:v>
      </x:c>
      <x:c r="F1" s="5" t="str">
        <x:v>checkerId</x:v>
      </x:c>
      <x:c r="G1" s="5" t="str">
        <x:v>status</x:v>
      </x:c>
      <x:c r="H1" s="5" t="str">
        <x:v>outcome</x:v>
      </x:c>
      <x:c r="I1" s="5" t="str">
        <x:v>aiDisposition</x:v>
      </x:c>
      <x:c r="J1" s="5" t="str">
        <x:v>aiDomain</x:v>
      </x:c>
      <x:c r="K1" s="5" t="str">
        <x:v>primary_disposition</x:v>
      </x:c>
      <x:c r="L1" s="5" t="str">
        <x:v>primary_domain</x:v>
      </x:c>
      <x:c r="M1" s="5" t="str">
        <x:v>primary_statisticalIssueStatus</x:v>
      </x:c>
      <x:c r="N1" s="5" t="str">
        <x:v>primary_substantiveStatus</x:v>
      </x:c>
      <x:c r="O1" s="5" t="str">
        <x:v>primary_downstreamImpact</x:v>
      </x:c>
      <x:c r="P1" s="5" t="str">
        <x:v>primary_internalStatus</x:v>
      </x:c>
      <x:c r="Q1" s="5" t="str">
        <x:v>primary_protocolInterpretation</x:v>
      </x:c>
      <x:c r="R1" s="5" t="str">
        <x:v>primary_notes</x:v>
      </x:c>
      <x:c r="S1" s="5" t="str">
        <x:v>final_disposition</x:v>
      </x:c>
      <x:c r="T1" s="5" t="str">
        <x:v>final_domain</x:v>
      </x:c>
      <x:c r="U1" s="5" t="str">
        <x:v>final_statisticalIssueStatus</x:v>
      </x:c>
      <x:c r="V1" s="5" t="str">
        <x:v>final_substantiveStatus</x:v>
      </x:c>
      <x:c r="W1" s="5" t="str">
        <x:v>final_downstreamImpact</x:v>
      </x:c>
      <x:c r="X1" s="5" t="str">
        <x:v>final_internalStatus</x:v>
      </x:c>
      <x:c r="Y1" s="5" t="str">
        <x:v>final_protocolInterpretation</x:v>
      </x:c>
      <x:c r="Z1" s="5" t="str">
        <x:v>final_notes</x:v>
      </x:c>
      <x:c r="AA1" s="5" t="str">
        <x:v>checkStatus</x:v>
      </x:c>
      <x:c r="AB1" s="5" t="str">
        <x:v>checkerComment</x:v>
      </x:c>
      <x:c r="AC1" s="5" t="str">
        <x:v>resolutionStatus</x:v>
      </x:c>
      <x:c r="AD1" s="5" t="str">
        <x:v>resolutionNote</x:v>
      </x:c>
    </x:row>
    <x:row r="2" ht="65" customHeight="1">
      <x:c r="A2" s="6" t="n">
        <x:v>2018</x:v>
      </x:c>
      <x:c r="B2" s="6" t="str">
        <x:v>jama.2017.21906</x:v>
      </x:c>
      <x:c r="C2" s="6" t="str">
        <x:v>2018::jama.2017.21906::C001</x:v>
      </x:c>
      <x:c r="D2" s="6" t="str">
        <x:v>S_W</x:v>
      </x:c>
      <x:c r="E2" s="6" t="n">
        <x:f>Setup!$B$2</x:f>
        <x:v>0</x:v>
      </x:c>
      <x:c r="F2" s="6" t="str">
        <x:f>IF(Setup!$B$4="","",Setup!$B$4)</x:f>
      </x:c>
      <x:c r="G2" s="6" t="str">
        <x:f>IFERROR(INDEX('C_jama.2017.21906'!$G$2:$G$7,MATCH("2018::jama.2017.21906::C001",'C_jama.2017.21906'!$A$2:$A$7,0)),"CHECK KEY")</x:f>
        <x:v>CHECK REVIEWER IDs</x:v>
      </x:c>
      <x:c r="H2" s="6" t="str">
        <x:f>IF(G2&lt;&gt;"FINAL READY","",IF(S2&lt;&gt;"retain","not_eligible",IF(D2="P_R","protocol_descriptive",IF(D2="P_P","plan_descriptive",IF(AND(T2="statistical_results",OR(U2="confirmed_issue",U2="probable_issue"),V2="substantive"),"primary_temporal",IF(AND(T2="report_internal_inconsistency",X2="substantive_inconsistency"),"secondary_temporal","not_eligible"))))))</x:f>
      </x:c>
      <x:c r="I2" s="6" t="str">
        <x:v>retain</x:v>
      </x:c>
      <x:c r="J2" s="6" t="str">
        <x:v>statistical_results</x:v>
      </x:c>
      <x:c r="K2" s="6" t="str">
        <x:f>IF(Setup!$B$6="primary","",IFERROR(IF(INDEX('Primary_snapshot'!$B$2:$B$120,MATCH(C2,'Primary_snapshot'!$A$2:$A$120,0))="","",INDEX('Primary_snapshot'!$B$2:$B$120,MATCH(C2,'Primary_snapshot'!$A$2:$A$120,0))),"SNAPSHOT MISSING"))</x:f>
      </x:c>
      <x:c r="L2" s="6" t="str">
        <x:f>IF(Setup!$B$6="primary","",IFERROR(IF(INDEX('Primary_snapshot'!$C$2:$C$120,MATCH(C2,'Primary_snapshot'!$A$2:$A$120,0))="","",INDEX('Primary_snapshot'!$C$2:$C$120,MATCH(C2,'Primary_snapshot'!$A$2:$A$120,0))),"SNAPSHOT MISSING"))</x:f>
      </x:c>
      <x:c r="M2" s="6" t="str">
        <x:f>IF(Setup!$B$6="primary","",IFERROR(IF(INDEX('Primary_snapshot'!$D$2:$D$120,MATCH(C2,'Primary_snapshot'!$A$2:$A$120,0))="","",INDEX('Primary_snapshot'!$D$2:$D$120,MATCH(C2,'Primary_snapshot'!$A$2:$A$120,0))),"SNAPSHOT MISSING"))</x:f>
      </x:c>
      <x:c r="N2" s="6" t="str">
        <x:f>IF(Setup!$B$6="primary","",IFERROR(IF(INDEX('Primary_snapshot'!$E$2:$E$120,MATCH(C2,'Primary_snapshot'!$A$2:$A$120,0))="","",INDEX('Primary_snapshot'!$E$2:$E$120,MATCH(C2,'Primary_snapshot'!$A$2:$A$120,0))),"SNAPSHOT MISSING"))</x:f>
      </x:c>
      <x:c r="O2" s="6" t="str">
        <x:f>IF(Setup!$B$6="primary","",IFERROR(IF(INDEX('Primary_snapshot'!$F$2:$F$120,MATCH(C2,'Primary_snapshot'!$A$2:$A$120,0))="","",INDEX('Primary_snapshot'!$F$2:$F$120,MATCH(C2,'Primary_snapshot'!$A$2:$A$120,0))),"SNAPSHOT MISSING"))</x:f>
      </x:c>
      <x:c r="P2" s="6" t="str">
        <x:f>IF(Setup!$B$6="primary","",IFERROR(IF(INDEX('Primary_snapshot'!$G$2:$G$120,MATCH(C2,'Primary_snapshot'!$A$2:$A$120,0))="","",INDEX('Primary_snapshot'!$G$2:$G$120,MATCH(C2,'Primary_snapshot'!$A$2:$A$120,0))),"SNAPSHOT MISSING"))</x:f>
      </x:c>
      <x:c r="Q2" s="6" t="str">
        <x:f>IF(Setup!$B$6="primary","",IFERROR(IF(INDEX('Primary_snapshot'!$H$2:$H$120,MATCH(C2,'Primary_snapshot'!$A$2:$A$120,0))="","",INDEX('Primary_snapshot'!$H$2:$H$120,MATCH(C2,'Primary_snapshot'!$A$2:$A$120,0))),"SNAPSHOT MISSING"))</x:f>
      </x:c>
      <x:c r="R2" s="6" t="str">
        <x:f>IF(Setup!$B$6="primary","",IFERROR(IF(INDEX('Primary_snapshot'!$I$2:$I$120,MATCH(C2,'Primary_snapshot'!$A$2:$A$120,0))="","",INDEX('Primary_snapshot'!$I$2:$I$120,MATCH(C2,'Primary_snapshot'!$A$2:$A$120,0))),"SNAPSHOT MISSING"))</x:f>
      </x:c>
      <x:c r="S2" s="6" t="str">
        <x:f>IF(INDEX('C_jama.2017.21906'!$D$2:$D$7,MATCH("2018::jama.2017.21906::C001",'C_jama.2017.21906'!$A$2:$A$7,0))="","",INDEX('C_jama.2017.21906'!$D$2:$D$7,MATCH("2018::jama.2017.21906::C001",'C_jama.2017.21906'!$A$2:$A$7,0)))</x:f>
      </x:c>
      <x:c r="T2" s="6" t="str">
        <x:f>IF(INDEX('C_jama.2017.21906'!$E$2:$E$7,MATCH("2018::jama.2017.21906::C001",'C_jama.2017.21906'!$A$2:$A$7,0))="","",INDEX('C_jama.2017.21906'!$E$2:$E$7,MATCH("2018::jama.2017.21906::C001",'C_jama.2017.21906'!$A$2:$A$7,0)))</x:f>
        <x:v>statistical_results</x:v>
      </x:c>
      <x:c r="U2" s="6" t="str">
        <x:f>IF(AND(INDEX('C_jama.2017.21906'!$D$2:$D$7,MATCH("2018::jama.2017.21906::C001",'C_jama.2017.21906'!$A$2:$A$7,0))="retain",INDEX('C_jama.2017.21906'!$E$2:$E$7,MATCH("2018::jama.2017.21906::C001",'C_jama.2017.21906'!$A$2:$A$7,0))="statistical_results"),IF(INDEX('C_jama.2017.21906'!$H$2:$H$7,MATCH("2018::jama.2017.21906::C001",'C_jama.2017.21906'!$A$2:$A$7,0))="","",INDEX('C_jama.2017.21906'!$H$2:$H$7,MATCH("2018::jama.2017.21906::C001",'C_jama.2017.21906'!$A$2:$A$7,0))),"not_applicable")</x:f>
        <x:v>not_applicable</x:v>
      </x:c>
      <x:c r="V2" s="6" t="str">
        <x:f>IF(AND(INDEX('C_jama.2017.21906'!$D$2:$D$7,MATCH("2018::jama.2017.21906::C001",'C_jama.2017.21906'!$A$2:$A$7,0))="retain",INDEX('C_jama.2017.21906'!$E$2:$E$7,MATCH("2018::jama.2017.21906::C001",'C_jama.2017.21906'!$A$2:$A$7,0))="statistical_results"),IF(INDEX('C_jama.2017.21906'!$I$2:$I$7,MATCH("2018::jama.2017.21906::C001",'C_jama.2017.21906'!$A$2:$A$7,0))="","",INDEX('C_jama.2017.21906'!$I$2:$I$7,MATCH("2018::jama.2017.21906::C001",'C_jama.2017.21906'!$A$2:$A$7,0))),"not_applicable")</x:f>
        <x:v>not_applicable</x:v>
      </x:c>
      <x:c r="W2" s="6" t="str">
        <x:f>IF(AND(INDEX('C_jama.2017.21906'!$D$2:$D$7,MATCH("2018::jama.2017.21906::C001",'C_jama.2017.21906'!$A$2:$A$7,0))="retain",INDEX('C_jama.2017.21906'!$E$2:$E$7,MATCH("2018::jama.2017.21906::C001",'C_jama.2017.21906'!$A$2:$A$7,0))="statistical_results"),IF(INDEX('C_jama.2017.21906'!$J$2:$J$7,MATCH("2018::jama.2017.21906::C001",'C_jama.2017.21906'!$A$2:$A$7,0))="","",INDEX('C_jama.2017.21906'!$J$2:$J$7,MATCH("2018::jama.2017.21906::C001",'C_jama.2017.21906'!$A$2:$A$7,0))),"not_applicable")</x:f>
        <x:v>not_applicable</x:v>
      </x:c>
      <x:c r="X2" s="6" t="str">
        <x:f>IF(AND(INDEX('C_jama.2017.21906'!$D$2:$D$7,MATCH("2018::jama.2017.21906::C001",'C_jama.2017.21906'!$A$2:$A$7,0))="retain",OR(INDEX('C_jama.2017.21906'!$E$2:$E$7,MATCH("2018::jama.2017.21906::C001",'C_jama.2017.21906'!$A$2:$A$7,0))="report_internal_inconsistency",INDEX('C_jama.2017.21906'!$E$2:$E$7,MATCH("2018::jama.2017.21906::C001",'C_jama.2017.21906'!$A$2:$A$7,0))="plan_material")),IF(INDEX('C_jama.2017.21906'!$K$2:$K$7,MATCH("2018::jama.2017.21906::C001",'C_jama.2017.21906'!$A$2:$A$7,0))="","",INDEX('C_jama.2017.21906'!$K$2:$K$7,MATCH("2018::jama.2017.21906::C001",'C_jama.2017.21906'!$A$2:$A$7,0))),"not_applicable")</x:f>
        <x:v>not_applicable</x:v>
      </x:c>
      <x:c r="Y2" s="6" t="str">
        <x:f>IF(AND(INDEX('C_jama.2017.21906'!$D$2:$D$7,MATCH("2018::jama.2017.21906::C001",'C_jama.2017.21906'!$A$2:$A$7,0))="retain",INDEX('C_jama.2017.21906'!$E$2:$E$7,MATCH("2018::jama.2017.21906::C001",'C_jama.2017.21906'!$A$2:$A$7,0))="protocol_report"),IF(INDEX('C_jama.2017.21906'!$L$2:$L$7,MATCH("2018::jama.2017.21906::C001",'C_jama.2017.21906'!$A$2:$A$7,0))="","",INDEX('C_jama.2017.21906'!$L$2:$L$7,MATCH("2018::jama.2017.21906::C001",'C_jama.2017.21906'!$A$2:$A$7,0))),"not_applicable")</x:f>
        <x:v>not_applicable</x:v>
      </x:c>
      <x:c r="Z2" s="6" t="str">
        <x:f>IF(INDEX('C_jama.2017.21906'!$R$2:$R$7,MATCH("2018::jama.2017.21906::C001",'C_jama.2017.21906'!$A$2:$A$7,0))="","",INDEX('C_jama.2017.21906'!$R$2:$R$7,MATCH("2018::jama.2017.21906::C001",'C_jama.2017.21906'!$A$2:$A$7,0)))</x:f>
      </x:c>
      <x:c r="AA2" s="6" t="str">
        <x:f>IF(INDEX('C_jama.2017.21906'!$N$2:$N$7,MATCH("2018::jama.2017.21906::C001",'C_jama.2017.21906'!$A$2:$A$7,0))="","",INDEX('C_jama.2017.21906'!$N$2:$N$7,MATCH("2018::jama.2017.21906::C001",'C_jama.2017.21906'!$A$2:$A$7,0)))</x:f>
      </x:c>
      <x:c r="AB2" s="6" t="str">
        <x:f>IF(INDEX('C_jama.2017.21906'!$O$2:$O$7,MATCH("2018::jama.2017.21906::C001",'C_jama.2017.21906'!$A$2:$A$7,0))="","",INDEX('C_jama.2017.21906'!$O$2:$O$7,MATCH("2018::jama.2017.21906::C001",'C_jama.2017.21906'!$A$2:$A$7,0)))</x:f>
      </x:c>
      <x:c r="AC2" s="6" t="str">
        <x:f>IF(INDEX('C_jama.2017.21906'!$P$2:$P$7,MATCH("2018::jama.2017.21906::C001",'C_jama.2017.21906'!$A$2:$A$7,0))="","",INDEX('C_jama.2017.21906'!$P$2:$P$7,MATCH("2018::jama.2017.21906::C001",'C_jama.2017.21906'!$A$2:$A$7,0)))</x:f>
      </x:c>
      <x:c r="AD2" s="6" t="str">
        <x:f>IF(INDEX('C_jama.2017.21906'!$Q$2:$Q$7,MATCH("2018::jama.2017.21906::C001",'C_jama.2017.21906'!$A$2:$A$7,0))="","",INDEX('C_jama.2017.21906'!$Q$2:$Q$7,MATCH("2018::jama.2017.21906::C001",'C_jama.2017.21906'!$A$2:$A$7,0)))</x:f>
      </x:c>
    </x:row>
    <x:row r="3" ht="65" customHeight="1">
      <x:c r="A3" s="3" t="n">
        <x:v>2018</x:v>
      </x:c>
      <x:c r="B3" s="3" t="str">
        <x:v>jama.2017.21906</x:v>
      </x:c>
      <x:c r="C3" s="3" t="str">
        <x:v>2018::jama.2017.21906::C002</x:v>
      </x:c>
      <x:c r="D3" s="3" t="str">
        <x:v>S_W</x:v>
      </x:c>
      <x:c r="E3" s="3" t="n">
        <x:f>Setup!$B$2</x:f>
        <x:v>0</x:v>
      </x:c>
      <x:c r="F3" s="3" t="str">
        <x:f>IF(Setup!$B$4="","",Setup!$B$4)</x:f>
      </x:c>
      <x:c r="G3" s="3" t="str">
        <x:f>IFERROR(INDEX('C_jama.2017.21906'!$G$2:$G$7,MATCH("2018::jama.2017.21906::C002",'C_jama.2017.21906'!$A$2:$A$7,0)),"CHECK KEY")</x:f>
        <x:v>CHECK REVIEWER IDs</x:v>
      </x:c>
      <x:c r="H3" s="3" t="str">
        <x:f>IF(G3&lt;&gt;"FINAL READY","",IF(S3&lt;&gt;"retain","not_eligible",IF(D3="P_R","protocol_descriptive",IF(D3="P_P","plan_descriptive",IF(AND(T3="statistical_results",OR(U3="confirmed_issue",U3="probable_issue"),V3="substantive"),"primary_temporal",IF(AND(T3="report_internal_inconsistency",X3="substantive_inconsistency"),"secondary_temporal","not_eligible"))))))</x:f>
      </x:c>
      <x:c r="I3" s="3" t="str">
        <x:v>retain</x:v>
      </x:c>
      <x:c r="J3" s="3" t="str">
        <x:v>report_internal_inconsistency</x:v>
      </x:c>
      <x:c r="K3" s="3" t="str">
        <x:f>IF(Setup!$B$6="primary","",IFERROR(IF(INDEX('Primary_snapshot'!$B$2:$B$120,MATCH(C3,'Primary_snapshot'!$A$2:$A$120,0))="","",INDEX('Primary_snapshot'!$B$2:$B$120,MATCH(C3,'Primary_snapshot'!$A$2:$A$120,0))),"SNAPSHOT MISSING"))</x:f>
      </x:c>
      <x:c r="L3" s="3" t="str">
        <x:f>IF(Setup!$B$6="primary","",IFERROR(IF(INDEX('Primary_snapshot'!$C$2:$C$120,MATCH(C3,'Primary_snapshot'!$A$2:$A$120,0))="","",INDEX('Primary_snapshot'!$C$2:$C$120,MATCH(C3,'Primary_snapshot'!$A$2:$A$120,0))),"SNAPSHOT MISSING"))</x:f>
      </x:c>
      <x:c r="M3" s="3" t="str">
        <x:f>IF(Setup!$B$6="primary","",IFERROR(IF(INDEX('Primary_snapshot'!$D$2:$D$120,MATCH(C3,'Primary_snapshot'!$A$2:$A$120,0))="","",INDEX('Primary_snapshot'!$D$2:$D$120,MATCH(C3,'Primary_snapshot'!$A$2:$A$120,0))),"SNAPSHOT MISSING"))</x:f>
      </x:c>
      <x:c r="N3" s="3" t="str">
        <x:f>IF(Setup!$B$6="primary","",IFERROR(IF(INDEX('Primary_snapshot'!$E$2:$E$120,MATCH(C3,'Primary_snapshot'!$A$2:$A$120,0))="","",INDEX('Primary_snapshot'!$E$2:$E$120,MATCH(C3,'Primary_snapshot'!$A$2:$A$120,0))),"SNAPSHOT MISSING"))</x:f>
      </x:c>
      <x:c r="O3" s="3" t="str">
        <x:f>IF(Setup!$B$6="primary","",IFERROR(IF(INDEX('Primary_snapshot'!$F$2:$F$120,MATCH(C3,'Primary_snapshot'!$A$2:$A$120,0))="","",INDEX('Primary_snapshot'!$F$2:$F$120,MATCH(C3,'Primary_snapshot'!$A$2:$A$120,0))),"SNAPSHOT MISSING"))</x:f>
      </x:c>
      <x:c r="P3" s="3" t="str">
        <x:f>IF(Setup!$B$6="primary","",IFERROR(IF(INDEX('Primary_snapshot'!$G$2:$G$120,MATCH(C3,'Primary_snapshot'!$A$2:$A$120,0))="","",INDEX('Primary_snapshot'!$G$2:$G$120,MATCH(C3,'Primary_snapshot'!$A$2:$A$120,0))),"SNAPSHOT MISSING"))</x:f>
      </x:c>
      <x:c r="Q3" s="3" t="str">
        <x:f>IF(Setup!$B$6="primary","",IFERROR(IF(INDEX('Primary_snapshot'!$H$2:$H$120,MATCH(C3,'Primary_snapshot'!$A$2:$A$120,0))="","",INDEX('Primary_snapshot'!$H$2:$H$120,MATCH(C3,'Primary_snapshot'!$A$2:$A$120,0))),"SNAPSHOT MISSING"))</x:f>
      </x:c>
      <x:c r="R3" s="3" t="str">
        <x:f>IF(Setup!$B$6="primary","",IFERROR(IF(INDEX('Primary_snapshot'!$I$2:$I$120,MATCH(C3,'Primary_snapshot'!$A$2:$A$120,0))="","",INDEX('Primary_snapshot'!$I$2:$I$120,MATCH(C3,'Primary_snapshot'!$A$2:$A$120,0))),"SNAPSHOT MISSING"))</x:f>
      </x:c>
      <x:c r="S3" s="3" t="str">
        <x:f>IF(INDEX('C_jama.2017.21906'!$D$2:$D$7,MATCH("2018::jama.2017.21906::C002",'C_jama.2017.21906'!$A$2:$A$7,0))="","",INDEX('C_jama.2017.21906'!$D$2:$D$7,MATCH("2018::jama.2017.21906::C002",'C_jama.2017.21906'!$A$2:$A$7,0)))</x:f>
      </x:c>
      <x:c r="T3" s="3" t="str">
        <x:f>IF(INDEX('C_jama.2017.21906'!$E$2:$E$7,MATCH("2018::jama.2017.21906::C002",'C_jama.2017.21906'!$A$2:$A$7,0))="","",INDEX('C_jama.2017.21906'!$E$2:$E$7,MATCH("2018::jama.2017.21906::C002",'C_jama.2017.21906'!$A$2:$A$7,0)))</x:f>
        <x:v>report_internal_inconsistency</x:v>
      </x:c>
      <x:c r="U3" s="3" t="str">
        <x:f>IF(AND(INDEX('C_jama.2017.21906'!$D$2:$D$7,MATCH("2018::jama.2017.21906::C002",'C_jama.2017.21906'!$A$2:$A$7,0))="retain",INDEX('C_jama.2017.21906'!$E$2:$E$7,MATCH("2018::jama.2017.21906::C002",'C_jama.2017.21906'!$A$2:$A$7,0))="statistical_results"),IF(INDEX('C_jama.2017.21906'!$H$2:$H$7,MATCH("2018::jama.2017.21906::C002",'C_jama.2017.21906'!$A$2:$A$7,0))="","",INDEX('C_jama.2017.21906'!$H$2:$H$7,MATCH("2018::jama.2017.21906::C002",'C_jama.2017.21906'!$A$2:$A$7,0))),"not_applicable")</x:f>
        <x:v>not_applicable</x:v>
      </x:c>
      <x:c r="V3" s="3" t="str">
        <x:f>IF(AND(INDEX('C_jama.2017.21906'!$D$2:$D$7,MATCH("2018::jama.2017.21906::C002",'C_jama.2017.21906'!$A$2:$A$7,0))="retain",INDEX('C_jama.2017.21906'!$E$2:$E$7,MATCH("2018::jama.2017.21906::C002",'C_jama.2017.21906'!$A$2:$A$7,0))="statistical_results"),IF(INDEX('C_jama.2017.21906'!$I$2:$I$7,MATCH("2018::jama.2017.21906::C002",'C_jama.2017.21906'!$A$2:$A$7,0))="","",INDEX('C_jama.2017.21906'!$I$2:$I$7,MATCH("2018::jama.2017.21906::C002",'C_jama.2017.21906'!$A$2:$A$7,0))),"not_applicable")</x:f>
        <x:v>not_applicable</x:v>
      </x:c>
      <x:c r="W3" s="3" t="str">
        <x:f>IF(AND(INDEX('C_jama.2017.21906'!$D$2:$D$7,MATCH("2018::jama.2017.21906::C002",'C_jama.2017.21906'!$A$2:$A$7,0))="retain",INDEX('C_jama.2017.21906'!$E$2:$E$7,MATCH("2018::jama.2017.21906::C002",'C_jama.2017.21906'!$A$2:$A$7,0))="statistical_results"),IF(INDEX('C_jama.2017.21906'!$J$2:$J$7,MATCH("2018::jama.2017.21906::C002",'C_jama.2017.21906'!$A$2:$A$7,0))="","",INDEX('C_jama.2017.21906'!$J$2:$J$7,MATCH("2018::jama.2017.21906::C002",'C_jama.2017.21906'!$A$2:$A$7,0))),"not_applicable")</x:f>
        <x:v>not_applicable</x:v>
      </x:c>
      <x:c r="X3" s="3" t="str">
        <x:f>IF(AND(INDEX('C_jama.2017.21906'!$D$2:$D$7,MATCH("2018::jama.2017.21906::C002",'C_jama.2017.21906'!$A$2:$A$7,0))="retain",OR(INDEX('C_jama.2017.21906'!$E$2:$E$7,MATCH("2018::jama.2017.21906::C002",'C_jama.2017.21906'!$A$2:$A$7,0))="report_internal_inconsistency",INDEX('C_jama.2017.21906'!$E$2:$E$7,MATCH("2018::jama.2017.21906::C002",'C_jama.2017.21906'!$A$2:$A$7,0))="plan_material")),IF(INDEX('C_jama.2017.21906'!$K$2:$K$7,MATCH("2018::jama.2017.21906::C002",'C_jama.2017.21906'!$A$2:$A$7,0))="","",INDEX('C_jama.2017.21906'!$K$2:$K$7,MATCH("2018::jama.2017.21906::C002",'C_jama.2017.21906'!$A$2:$A$7,0))),"not_applicable")</x:f>
        <x:v>not_applicable</x:v>
      </x:c>
      <x:c r="Y3" s="3" t="str">
        <x:f>IF(AND(INDEX('C_jama.2017.21906'!$D$2:$D$7,MATCH("2018::jama.2017.21906::C002",'C_jama.2017.21906'!$A$2:$A$7,0))="retain",INDEX('C_jama.2017.21906'!$E$2:$E$7,MATCH("2018::jama.2017.21906::C002",'C_jama.2017.21906'!$A$2:$A$7,0))="protocol_report"),IF(INDEX('C_jama.2017.21906'!$L$2:$L$7,MATCH("2018::jama.2017.21906::C002",'C_jama.2017.21906'!$A$2:$A$7,0))="","",INDEX('C_jama.2017.21906'!$L$2:$L$7,MATCH("2018::jama.2017.21906::C002",'C_jama.2017.21906'!$A$2:$A$7,0))),"not_applicable")</x:f>
        <x:v>not_applicable</x:v>
      </x:c>
      <x:c r="Z3" s="3" t="str">
        <x:f>IF(INDEX('C_jama.2017.21906'!$R$2:$R$7,MATCH("2018::jama.2017.21906::C002",'C_jama.2017.21906'!$A$2:$A$7,0))="","",INDEX('C_jama.2017.21906'!$R$2:$R$7,MATCH("2018::jama.2017.21906::C002",'C_jama.2017.21906'!$A$2:$A$7,0)))</x:f>
      </x:c>
      <x:c r="AA3" s="3" t="str">
        <x:f>IF(INDEX('C_jama.2017.21906'!$N$2:$N$7,MATCH("2018::jama.2017.21906::C002",'C_jama.2017.21906'!$A$2:$A$7,0))="","",INDEX('C_jama.2017.21906'!$N$2:$N$7,MATCH("2018::jama.2017.21906::C002",'C_jama.2017.21906'!$A$2:$A$7,0)))</x:f>
      </x:c>
      <x:c r="AB3" s="3" t="str">
        <x:f>IF(INDEX('C_jama.2017.21906'!$O$2:$O$7,MATCH("2018::jama.2017.21906::C002",'C_jama.2017.21906'!$A$2:$A$7,0))="","",INDEX('C_jama.2017.21906'!$O$2:$O$7,MATCH("2018::jama.2017.21906::C002",'C_jama.2017.21906'!$A$2:$A$7,0)))</x:f>
      </x:c>
      <x:c r="AC3" s="3" t="str">
        <x:f>IF(INDEX('C_jama.2017.21906'!$P$2:$P$7,MATCH("2018::jama.2017.21906::C002",'C_jama.2017.21906'!$A$2:$A$7,0))="","",INDEX('C_jama.2017.21906'!$P$2:$P$7,MATCH("2018::jama.2017.21906::C002",'C_jama.2017.21906'!$A$2:$A$7,0)))</x:f>
      </x:c>
      <x:c r="AD3" s="3" t="str">
        <x:f>IF(INDEX('C_jama.2017.21906'!$Q$2:$Q$7,MATCH("2018::jama.2017.21906::C002",'C_jama.2017.21906'!$A$2:$A$7,0))="","",INDEX('C_jama.2017.21906'!$Q$2:$Q$7,MATCH("2018::jama.2017.21906::C002",'C_jama.2017.21906'!$A$2:$A$7,0)))</x:f>
      </x:c>
    </x:row>
    <x:row r="4" ht="65" customHeight="1">
      <x:c r="A4" s="6" t="n">
        <x:v>2018</x:v>
      </x:c>
      <x:c r="B4" s="6" t="str">
        <x:v>jama.2017.21906</x:v>
      </x:c>
      <x:c r="C4" s="6" t="str">
        <x:v>2018::jama.2017.21906::C003</x:v>
      </x:c>
      <x:c r="D4" s="6" t="str">
        <x:v>S_W</x:v>
      </x:c>
      <x:c r="E4" s="6" t="n">
        <x:f>Setup!$B$2</x:f>
        <x:v>0</x:v>
      </x:c>
      <x:c r="F4" s="6" t="str">
        <x:f>IF(Setup!$B$4="","",Setup!$B$4)</x:f>
      </x:c>
      <x:c r="G4" s="6" t="str">
        <x:f>IFERROR(INDEX('C_jama.2017.21906'!$G$2:$G$7,MATCH("2018::jama.2017.21906::C003",'C_jama.2017.21906'!$A$2:$A$7,0)),"CHECK KEY")</x:f>
        <x:v>CHECK REVIEWER IDs</x:v>
      </x:c>
      <x:c r="H4" s="6" t="str">
        <x:f>IF(G4&lt;&gt;"FINAL READY","",IF(S4&lt;&gt;"retain","not_eligible",IF(D4="P_R","protocol_descriptive",IF(D4="P_P","plan_descriptive",IF(AND(T4="statistical_results",OR(U4="confirmed_issue",U4="probable_issue"),V4="substantive"),"primary_temporal",IF(AND(T4="report_internal_inconsistency",X4="substantive_inconsistency"),"secondary_temporal","not_eligible"))))))</x:f>
      </x:c>
      <x:c r="I4" s="6" t="str">
        <x:v>retain</x:v>
      </x:c>
      <x:c r="J4" s="6" t="str">
        <x:v>report_internal_inconsistency</x:v>
      </x:c>
      <x:c r="K4" s="6" t="str">
        <x:f>IF(Setup!$B$6="primary","",IFERROR(IF(INDEX('Primary_snapshot'!$B$2:$B$120,MATCH(C4,'Primary_snapshot'!$A$2:$A$120,0))="","",INDEX('Primary_snapshot'!$B$2:$B$120,MATCH(C4,'Primary_snapshot'!$A$2:$A$120,0))),"SNAPSHOT MISSING"))</x:f>
      </x:c>
      <x:c r="L4" s="6" t="str">
        <x:f>IF(Setup!$B$6="primary","",IFERROR(IF(INDEX('Primary_snapshot'!$C$2:$C$120,MATCH(C4,'Primary_snapshot'!$A$2:$A$120,0))="","",INDEX('Primary_snapshot'!$C$2:$C$120,MATCH(C4,'Primary_snapshot'!$A$2:$A$120,0))),"SNAPSHOT MISSING"))</x:f>
      </x:c>
      <x:c r="M4" s="6" t="str">
        <x:f>IF(Setup!$B$6="primary","",IFERROR(IF(INDEX('Primary_snapshot'!$D$2:$D$120,MATCH(C4,'Primary_snapshot'!$A$2:$A$120,0))="","",INDEX('Primary_snapshot'!$D$2:$D$120,MATCH(C4,'Primary_snapshot'!$A$2:$A$120,0))),"SNAPSHOT MISSING"))</x:f>
      </x:c>
      <x:c r="N4" s="6" t="str">
        <x:f>IF(Setup!$B$6="primary","",IFERROR(IF(INDEX('Primary_snapshot'!$E$2:$E$120,MATCH(C4,'Primary_snapshot'!$A$2:$A$120,0))="","",INDEX('Primary_snapshot'!$E$2:$E$120,MATCH(C4,'Primary_snapshot'!$A$2:$A$120,0))),"SNAPSHOT MISSING"))</x:f>
      </x:c>
      <x:c r="O4" s="6" t="str">
        <x:f>IF(Setup!$B$6="primary","",IFERROR(IF(INDEX('Primary_snapshot'!$F$2:$F$120,MATCH(C4,'Primary_snapshot'!$A$2:$A$120,0))="","",INDEX('Primary_snapshot'!$F$2:$F$120,MATCH(C4,'Primary_snapshot'!$A$2:$A$120,0))),"SNAPSHOT MISSING"))</x:f>
      </x:c>
      <x:c r="P4" s="6" t="str">
        <x:f>IF(Setup!$B$6="primary","",IFERROR(IF(INDEX('Primary_snapshot'!$G$2:$G$120,MATCH(C4,'Primary_snapshot'!$A$2:$A$120,0))="","",INDEX('Primary_snapshot'!$G$2:$G$120,MATCH(C4,'Primary_snapshot'!$A$2:$A$120,0))),"SNAPSHOT MISSING"))</x:f>
      </x:c>
      <x:c r="Q4" s="6" t="str">
        <x:f>IF(Setup!$B$6="primary","",IFERROR(IF(INDEX('Primary_snapshot'!$H$2:$H$120,MATCH(C4,'Primary_snapshot'!$A$2:$A$120,0))="","",INDEX('Primary_snapshot'!$H$2:$H$120,MATCH(C4,'Primary_snapshot'!$A$2:$A$120,0))),"SNAPSHOT MISSING"))</x:f>
      </x:c>
      <x:c r="R4" s="6" t="str">
        <x:f>IF(Setup!$B$6="primary","",IFERROR(IF(INDEX('Primary_snapshot'!$I$2:$I$120,MATCH(C4,'Primary_snapshot'!$A$2:$A$120,0))="","",INDEX('Primary_snapshot'!$I$2:$I$120,MATCH(C4,'Primary_snapshot'!$A$2:$A$120,0))),"SNAPSHOT MISSING"))</x:f>
      </x:c>
      <x:c r="S4" s="6" t="str">
        <x:f>IF(INDEX('C_jama.2017.21906'!$D$2:$D$7,MATCH("2018::jama.2017.21906::C003",'C_jama.2017.21906'!$A$2:$A$7,0))="","",INDEX('C_jama.2017.21906'!$D$2:$D$7,MATCH("2018::jama.2017.21906::C003",'C_jama.2017.21906'!$A$2:$A$7,0)))</x:f>
      </x:c>
      <x:c r="T4" s="6" t="str">
        <x:f>IF(INDEX('C_jama.2017.21906'!$E$2:$E$7,MATCH("2018::jama.2017.21906::C003",'C_jama.2017.21906'!$A$2:$A$7,0))="","",INDEX('C_jama.2017.21906'!$E$2:$E$7,MATCH("2018::jama.2017.21906::C003",'C_jama.2017.21906'!$A$2:$A$7,0)))</x:f>
        <x:v>report_internal_inconsistency</x:v>
      </x:c>
      <x:c r="U4" s="6" t="str">
        <x:f>IF(AND(INDEX('C_jama.2017.21906'!$D$2:$D$7,MATCH("2018::jama.2017.21906::C003",'C_jama.2017.21906'!$A$2:$A$7,0))="retain",INDEX('C_jama.2017.21906'!$E$2:$E$7,MATCH("2018::jama.2017.21906::C003",'C_jama.2017.21906'!$A$2:$A$7,0))="statistical_results"),IF(INDEX('C_jama.2017.21906'!$H$2:$H$7,MATCH("2018::jama.2017.21906::C003",'C_jama.2017.21906'!$A$2:$A$7,0))="","",INDEX('C_jama.2017.21906'!$H$2:$H$7,MATCH("2018::jama.2017.21906::C003",'C_jama.2017.21906'!$A$2:$A$7,0))),"not_applicable")</x:f>
        <x:v>not_applicable</x:v>
      </x:c>
      <x:c r="V4" s="6" t="str">
        <x:f>IF(AND(INDEX('C_jama.2017.21906'!$D$2:$D$7,MATCH("2018::jama.2017.21906::C003",'C_jama.2017.21906'!$A$2:$A$7,0))="retain",INDEX('C_jama.2017.21906'!$E$2:$E$7,MATCH("2018::jama.2017.21906::C003",'C_jama.2017.21906'!$A$2:$A$7,0))="statistical_results"),IF(INDEX('C_jama.2017.21906'!$I$2:$I$7,MATCH("2018::jama.2017.21906::C003",'C_jama.2017.21906'!$A$2:$A$7,0))="","",INDEX('C_jama.2017.21906'!$I$2:$I$7,MATCH("2018::jama.2017.21906::C003",'C_jama.2017.21906'!$A$2:$A$7,0))),"not_applicable")</x:f>
        <x:v>not_applicable</x:v>
      </x:c>
      <x:c r="W4" s="6" t="str">
        <x:f>IF(AND(INDEX('C_jama.2017.21906'!$D$2:$D$7,MATCH("2018::jama.2017.21906::C003",'C_jama.2017.21906'!$A$2:$A$7,0))="retain",INDEX('C_jama.2017.21906'!$E$2:$E$7,MATCH("2018::jama.2017.21906::C003",'C_jama.2017.21906'!$A$2:$A$7,0))="statistical_results"),IF(INDEX('C_jama.2017.21906'!$J$2:$J$7,MATCH("2018::jama.2017.21906::C003",'C_jama.2017.21906'!$A$2:$A$7,0))="","",INDEX('C_jama.2017.21906'!$J$2:$J$7,MATCH("2018::jama.2017.21906::C003",'C_jama.2017.21906'!$A$2:$A$7,0))),"not_applicable")</x:f>
        <x:v>not_applicable</x:v>
      </x:c>
      <x:c r="X4" s="6" t="str">
        <x:f>IF(AND(INDEX('C_jama.2017.21906'!$D$2:$D$7,MATCH("2018::jama.2017.21906::C003",'C_jama.2017.21906'!$A$2:$A$7,0))="retain",OR(INDEX('C_jama.2017.21906'!$E$2:$E$7,MATCH("2018::jama.2017.21906::C003",'C_jama.2017.21906'!$A$2:$A$7,0))="report_internal_inconsistency",INDEX('C_jama.2017.21906'!$E$2:$E$7,MATCH("2018::jama.2017.21906::C003",'C_jama.2017.21906'!$A$2:$A$7,0))="plan_material")),IF(INDEX('C_jama.2017.21906'!$K$2:$K$7,MATCH("2018::jama.2017.21906::C003",'C_jama.2017.21906'!$A$2:$A$7,0))="","",INDEX('C_jama.2017.21906'!$K$2:$K$7,MATCH("2018::jama.2017.21906::C003",'C_jama.2017.21906'!$A$2:$A$7,0))),"not_applicable")</x:f>
        <x:v>not_applicable</x:v>
      </x:c>
      <x:c r="Y4" s="6" t="str">
        <x:f>IF(AND(INDEX('C_jama.2017.21906'!$D$2:$D$7,MATCH("2018::jama.2017.21906::C003",'C_jama.2017.21906'!$A$2:$A$7,0))="retain",INDEX('C_jama.2017.21906'!$E$2:$E$7,MATCH("2018::jama.2017.21906::C003",'C_jama.2017.21906'!$A$2:$A$7,0))="protocol_report"),IF(INDEX('C_jama.2017.21906'!$L$2:$L$7,MATCH("2018::jama.2017.21906::C003",'C_jama.2017.21906'!$A$2:$A$7,0))="","",INDEX('C_jama.2017.21906'!$L$2:$L$7,MATCH("2018::jama.2017.21906::C003",'C_jama.2017.21906'!$A$2:$A$7,0))),"not_applicable")</x:f>
        <x:v>not_applicable</x:v>
      </x:c>
      <x:c r="Z4" s="6" t="str">
        <x:f>IF(INDEX('C_jama.2017.21906'!$R$2:$R$7,MATCH("2018::jama.2017.21906::C003",'C_jama.2017.21906'!$A$2:$A$7,0))="","",INDEX('C_jama.2017.21906'!$R$2:$R$7,MATCH("2018::jama.2017.21906::C003",'C_jama.2017.21906'!$A$2:$A$7,0)))</x:f>
      </x:c>
      <x:c r="AA4" s="6" t="str">
        <x:f>IF(INDEX('C_jama.2017.21906'!$N$2:$N$7,MATCH("2018::jama.2017.21906::C003",'C_jama.2017.21906'!$A$2:$A$7,0))="","",INDEX('C_jama.2017.21906'!$N$2:$N$7,MATCH("2018::jama.2017.21906::C003",'C_jama.2017.21906'!$A$2:$A$7,0)))</x:f>
      </x:c>
      <x:c r="AB4" s="6" t="str">
        <x:f>IF(INDEX('C_jama.2017.21906'!$O$2:$O$7,MATCH("2018::jama.2017.21906::C003",'C_jama.2017.21906'!$A$2:$A$7,0))="","",INDEX('C_jama.2017.21906'!$O$2:$O$7,MATCH("2018::jama.2017.21906::C003",'C_jama.2017.21906'!$A$2:$A$7,0)))</x:f>
      </x:c>
      <x:c r="AC4" s="6" t="str">
        <x:f>IF(INDEX('C_jama.2017.21906'!$P$2:$P$7,MATCH("2018::jama.2017.21906::C003",'C_jama.2017.21906'!$A$2:$A$7,0))="","",INDEX('C_jama.2017.21906'!$P$2:$P$7,MATCH("2018::jama.2017.21906::C003",'C_jama.2017.21906'!$A$2:$A$7,0)))</x:f>
      </x:c>
      <x:c r="AD4" s="6" t="str">
        <x:f>IF(INDEX('C_jama.2017.21906'!$Q$2:$Q$7,MATCH("2018::jama.2017.21906::C003",'C_jama.2017.21906'!$A$2:$A$7,0))="","",INDEX('C_jama.2017.21906'!$Q$2:$Q$7,MATCH("2018::jama.2017.21906::C003",'C_jama.2017.21906'!$A$2:$A$7,0)))</x:f>
      </x:c>
    </x:row>
    <x:row r="5" ht="65" customHeight="1">
      <x:c r="A5" s="3" t="n">
        <x:v>2018</x:v>
      </x:c>
      <x:c r="B5" s="3" t="str">
        <x:v>jama.2017.21906</x:v>
      </x:c>
      <x:c r="C5" s="3" t="str">
        <x:v>2018::jama.2017.21906::C004</x:v>
      </x:c>
      <x:c r="D5" s="3" t="str">
        <x:v>P_R</x:v>
      </x:c>
      <x:c r="E5" s="3" t="n">
        <x:f>Setup!$B$2</x:f>
        <x:v>0</x:v>
      </x:c>
      <x:c r="F5" s="3" t="str">
        <x:f>IF(Setup!$B$4="","",Setup!$B$4)</x:f>
      </x:c>
      <x:c r="G5" s="3" t="str">
        <x:f>IFERROR(INDEX('C_jama.2017.21906'!$G$2:$G$7,MATCH("2018::jama.2017.21906::C004",'C_jama.2017.21906'!$A$2:$A$7,0)),"CHECK KEY")</x:f>
        <x:v>CHECK REVIEWER IDs</x:v>
      </x:c>
      <x:c r="H5" s="3" t="str">
        <x:f>IF(G5&lt;&gt;"FINAL READY","",IF(S5&lt;&gt;"retain","not_eligible",IF(D5="P_R","protocol_descriptive",IF(D5="P_P","plan_descriptive",IF(AND(T5="statistical_results",OR(U5="confirmed_issue",U5="probable_issue"),V5="substantive"),"primary_temporal",IF(AND(T5="report_internal_inconsistency",X5="substantive_inconsistency"),"secondary_temporal","not_eligible"))))))</x:f>
      </x:c>
      <x:c r="I5" s="3" t="str">
        <x:v>retain</x:v>
      </x:c>
      <x:c r="J5" s="3" t="str">
        <x:v>protocol_report</x:v>
      </x:c>
      <x:c r="K5" s="3" t="str">
        <x:f>IF(Setup!$B$6="primary","",IFERROR(IF(INDEX('Primary_snapshot'!$B$2:$B$120,MATCH(C5,'Primary_snapshot'!$A$2:$A$120,0))="","",INDEX('Primary_snapshot'!$B$2:$B$120,MATCH(C5,'Primary_snapshot'!$A$2:$A$120,0))),"SNAPSHOT MISSING"))</x:f>
      </x:c>
      <x:c r="L5" s="3" t="str">
        <x:f>IF(Setup!$B$6="primary","",IFERROR(IF(INDEX('Primary_snapshot'!$C$2:$C$120,MATCH(C5,'Primary_snapshot'!$A$2:$A$120,0))="","",INDEX('Primary_snapshot'!$C$2:$C$120,MATCH(C5,'Primary_snapshot'!$A$2:$A$120,0))),"SNAPSHOT MISSING"))</x:f>
      </x:c>
      <x:c r="M5" s="3" t="str">
        <x:f>IF(Setup!$B$6="primary","",IFERROR(IF(INDEX('Primary_snapshot'!$D$2:$D$120,MATCH(C5,'Primary_snapshot'!$A$2:$A$120,0))="","",INDEX('Primary_snapshot'!$D$2:$D$120,MATCH(C5,'Primary_snapshot'!$A$2:$A$120,0))),"SNAPSHOT MISSING"))</x:f>
      </x:c>
      <x:c r="N5" s="3" t="str">
        <x:f>IF(Setup!$B$6="primary","",IFERROR(IF(INDEX('Primary_snapshot'!$E$2:$E$120,MATCH(C5,'Primary_snapshot'!$A$2:$A$120,0))="","",INDEX('Primary_snapshot'!$E$2:$E$120,MATCH(C5,'Primary_snapshot'!$A$2:$A$120,0))),"SNAPSHOT MISSING"))</x:f>
      </x:c>
      <x:c r="O5" s="3" t="str">
        <x:f>IF(Setup!$B$6="primary","",IFERROR(IF(INDEX('Primary_snapshot'!$F$2:$F$120,MATCH(C5,'Primary_snapshot'!$A$2:$A$120,0))="","",INDEX('Primary_snapshot'!$F$2:$F$120,MATCH(C5,'Primary_snapshot'!$A$2:$A$120,0))),"SNAPSHOT MISSING"))</x:f>
      </x:c>
      <x:c r="P5" s="3" t="str">
        <x:f>IF(Setup!$B$6="primary","",IFERROR(IF(INDEX('Primary_snapshot'!$G$2:$G$120,MATCH(C5,'Primary_snapshot'!$A$2:$A$120,0))="","",INDEX('Primary_snapshot'!$G$2:$G$120,MATCH(C5,'Primary_snapshot'!$A$2:$A$120,0))),"SNAPSHOT MISSING"))</x:f>
      </x:c>
      <x:c r="Q5" s="3" t="str">
        <x:f>IF(Setup!$B$6="primary","",IFERROR(IF(INDEX('Primary_snapshot'!$H$2:$H$120,MATCH(C5,'Primary_snapshot'!$A$2:$A$120,0))="","",INDEX('Primary_snapshot'!$H$2:$H$120,MATCH(C5,'Primary_snapshot'!$A$2:$A$120,0))),"SNAPSHOT MISSING"))</x:f>
      </x:c>
      <x:c r="R5" s="3" t="str">
        <x:f>IF(Setup!$B$6="primary","",IFERROR(IF(INDEX('Primary_snapshot'!$I$2:$I$120,MATCH(C5,'Primary_snapshot'!$A$2:$A$120,0))="","",INDEX('Primary_snapshot'!$I$2:$I$120,MATCH(C5,'Primary_snapshot'!$A$2:$A$120,0))),"SNAPSHOT MISSING"))</x:f>
      </x:c>
      <x:c r="S5" s="3" t="str">
        <x:f>IF(INDEX('C_jama.2017.21906'!$D$2:$D$7,MATCH("2018::jama.2017.21906::C004",'C_jama.2017.21906'!$A$2:$A$7,0))="","",INDEX('C_jama.2017.21906'!$D$2:$D$7,MATCH("2018::jama.2017.21906::C004",'C_jama.2017.21906'!$A$2:$A$7,0)))</x:f>
      </x:c>
      <x:c r="T5" s="3" t="str">
        <x:f>IF(INDEX('C_jama.2017.21906'!$E$2:$E$7,MATCH("2018::jama.2017.21906::C004",'C_jama.2017.21906'!$A$2:$A$7,0))="","",INDEX('C_jama.2017.21906'!$E$2:$E$7,MATCH("2018::jama.2017.21906::C004",'C_jama.2017.21906'!$A$2:$A$7,0)))</x:f>
        <x:v>protocol_report</x:v>
      </x:c>
      <x:c r="U5" s="3" t="str">
        <x:f>IF(AND(INDEX('C_jama.2017.21906'!$D$2:$D$7,MATCH("2018::jama.2017.21906::C004",'C_jama.2017.21906'!$A$2:$A$7,0))="retain",INDEX('C_jama.2017.21906'!$E$2:$E$7,MATCH("2018::jama.2017.21906::C004",'C_jama.2017.21906'!$A$2:$A$7,0))="statistical_results"),IF(INDEX('C_jama.2017.21906'!$H$2:$H$7,MATCH("2018::jama.2017.21906::C004",'C_jama.2017.21906'!$A$2:$A$7,0))="","",INDEX('C_jama.2017.21906'!$H$2:$H$7,MATCH("2018::jama.2017.21906::C004",'C_jama.2017.21906'!$A$2:$A$7,0))),"not_applicable")</x:f>
        <x:v>not_applicable</x:v>
      </x:c>
      <x:c r="V5" s="3" t="str">
        <x:f>IF(AND(INDEX('C_jama.2017.21906'!$D$2:$D$7,MATCH("2018::jama.2017.21906::C004",'C_jama.2017.21906'!$A$2:$A$7,0))="retain",INDEX('C_jama.2017.21906'!$E$2:$E$7,MATCH("2018::jama.2017.21906::C004",'C_jama.2017.21906'!$A$2:$A$7,0))="statistical_results"),IF(INDEX('C_jama.2017.21906'!$I$2:$I$7,MATCH("2018::jama.2017.21906::C004",'C_jama.2017.21906'!$A$2:$A$7,0))="","",INDEX('C_jama.2017.21906'!$I$2:$I$7,MATCH("2018::jama.2017.21906::C004",'C_jama.2017.21906'!$A$2:$A$7,0))),"not_applicable")</x:f>
        <x:v>not_applicable</x:v>
      </x:c>
      <x:c r="W5" s="3" t="str">
        <x:f>IF(AND(INDEX('C_jama.2017.21906'!$D$2:$D$7,MATCH("2018::jama.2017.21906::C004",'C_jama.2017.21906'!$A$2:$A$7,0))="retain",INDEX('C_jama.2017.21906'!$E$2:$E$7,MATCH("2018::jama.2017.21906::C004",'C_jama.2017.21906'!$A$2:$A$7,0))="statistical_results"),IF(INDEX('C_jama.2017.21906'!$J$2:$J$7,MATCH("2018::jama.2017.21906::C004",'C_jama.2017.21906'!$A$2:$A$7,0))="","",INDEX('C_jama.2017.21906'!$J$2:$J$7,MATCH("2018::jama.2017.21906::C004",'C_jama.2017.21906'!$A$2:$A$7,0))),"not_applicable")</x:f>
        <x:v>not_applicable</x:v>
      </x:c>
      <x:c r="X5" s="3" t="str">
        <x:f>IF(AND(INDEX('C_jama.2017.21906'!$D$2:$D$7,MATCH("2018::jama.2017.21906::C004",'C_jama.2017.21906'!$A$2:$A$7,0))="retain",OR(INDEX('C_jama.2017.21906'!$E$2:$E$7,MATCH("2018::jama.2017.21906::C004",'C_jama.2017.21906'!$A$2:$A$7,0))="report_internal_inconsistency",INDEX('C_jama.2017.21906'!$E$2:$E$7,MATCH("2018::jama.2017.21906::C004",'C_jama.2017.21906'!$A$2:$A$7,0))="plan_material")),IF(INDEX('C_jama.2017.21906'!$K$2:$K$7,MATCH("2018::jama.2017.21906::C004",'C_jama.2017.21906'!$A$2:$A$7,0))="","",INDEX('C_jama.2017.21906'!$K$2:$K$7,MATCH("2018::jama.2017.21906::C004",'C_jama.2017.21906'!$A$2:$A$7,0))),"not_applicable")</x:f>
        <x:v>not_applicable</x:v>
      </x:c>
      <x:c r="Y5" s="3" t="str">
        <x:f>IF(AND(INDEX('C_jama.2017.21906'!$D$2:$D$7,MATCH("2018::jama.2017.21906::C004",'C_jama.2017.21906'!$A$2:$A$7,0))="retain",INDEX('C_jama.2017.21906'!$E$2:$E$7,MATCH("2018::jama.2017.21906::C004",'C_jama.2017.21906'!$A$2:$A$7,0))="protocol_report"),IF(INDEX('C_jama.2017.21906'!$L$2:$L$7,MATCH("2018::jama.2017.21906::C004",'C_jama.2017.21906'!$A$2:$A$7,0))="","",INDEX('C_jama.2017.21906'!$L$2:$L$7,MATCH("2018::jama.2017.21906::C004",'C_jama.2017.21906'!$A$2:$A$7,0))),"not_applicable")</x:f>
        <x:v>not_applicable</x:v>
      </x:c>
      <x:c r="Z5" s="3" t="str">
        <x:f>IF(INDEX('C_jama.2017.21906'!$R$2:$R$7,MATCH("2018::jama.2017.21906::C004",'C_jama.2017.21906'!$A$2:$A$7,0))="","",INDEX('C_jama.2017.21906'!$R$2:$R$7,MATCH("2018::jama.2017.21906::C004",'C_jama.2017.21906'!$A$2:$A$7,0)))</x:f>
      </x:c>
      <x:c r="AA5" s="3" t="str">
        <x:f>IF(INDEX('C_jama.2017.21906'!$N$2:$N$7,MATCH("2018::jama.2017.21906::C004",'C_jama.2017.21906'!$A$2:$A$7,0))="","",INDEX('C_jama.2017.21906'!$N$2:$N$7,MATCH("2018::jama.2017.21906::C004",'C_jama.2017.21906'!$A$2:$A$7,0)))</x:f>
      </x:c>
      <x:c r="AB5" s="3" t="str">
        <x:f>IF(INDEX('C_jama.2017.21906'!$O$2:$O$7,MATCH("2018::jama.2017.21906::C004",'C_jama.2017.21906'!$A$2:$A$7,0))="","",INDEX('C_jama.2017.21906'!$O$2:$O$7,MATCH("2018::jama.2017.21906::C004",'C_jama.2017.21906'!$A$2:$A$7,0)))</x:f>
      </x:c>
      <x:c r="AC5" s="3" t="str">
        <x:f>IF(INDEX('C_jama.2017.21906'!$P$2:$P$7,MATCH("2018::jama.2017.21906::C004",'C_jama.2017.21906'!$A$2:$A$7,0))="","",INDEX('C_jama.2017.21906'!$P$2:$P$7,MATCH("2018::jama.2017.21906::C004",'C_jama.2017.21906'!$A$2:$A$7,0)))</x:f>
      </x:c>
      <x:c r="AD5" s="3" t="str">
        <x:f>IF(INDEX('C_jama.2017.21906'!$Q$2:$Q$7,MATCH("2018::jama.2017.21906::C004",'C_jama.2017.21906'!$A$2:$A$7,0))="","",INDEX('C_jama.2017.21906'!$Q$2:$Q$7,MATCH("2018::jama.2017.21906::C004",'C_jama.2017.21906'!$A$2:$A$7,0)))</x:f>
      </x:c>
    </x:row>
    <x:row r="6" ht="65" customHeight="1">
      <x:c r="A6" s="6" t="n">
        <x:v>2018</x:v>
      </x:c>
      <x:c r="B6" s="6" t="str">
        <x:v>jama.2017.21906</x:v>
      </x:c>
      <x:c r="C6" s="6" t="str">
        <x:v>2018::jama.2017.21906::C005</x:v>
      </x:c>
      <x:c r="D6" s="6" t="str">
        <x:v>S_C</x:v>
      </x:c>
      <x:c r="E6" s="6" t="n">
        <x:f>Setup!$B$2</x:f>
        <x:v>0</x:v>
      </x:c>
      <x:c r="F6" s="6" t="str">
        <x:f>IF(Setup!$B$4="","",Setup!$B$4)</x:f>
      </x:c>
      <x:c r="G6" s="6" t="str">
        <x:f>IFERROR(INDEX('C_jama.2017.21906'!$G$2:$G$7,MATCH("2018::jama.2017.21906::C005",'C_jama.2017.21906'!$A$2:$A$7,0)),"CHECK KEY")</x:f>
        <x:v>CHECK REVIEWER IDs</x:v>
      </x:c>
      <x:c r="H6" s="6" t="str">
        <x:f>IF(G6&lt;&gt;"FINAL READY","",IF(S6&lt;&gt;"retain","not_eligible",IF(D6="P_R","protocol_descriptive",IF(D6="P_P","plan_descriptive",IF(AND(T6="statistical_results",OR(U6="confirmed_issue",U6="probable_issue"),V6="substantive"),"primary_temporal",IF(AND(T6="report_internal_inconsistency",X6="substantive_inconsistency"),"secondary_temporal","not_eligible"))))))</x:f>
      </x:c>
      <x:c r="I6" s="6" t="str">
        <x:v>retain</x:v>
      </x:c>
      <x:c r="J6" s="6" t="str">
        <x:v>report_internal_inconsistency</x:v>
      </x:c>
      <x:c r="K6" s="6" t="str">
        <x:f>IF(Setup!$B$6="primary","",IFERROR(IF(INDEX('Primary_snapshot'!$B$2:$B$120,MATCH(C6,'Primary_snapshot'!$A$2:$A$120,0))="","",INDEX('Primary_snapshot'!$B$2:$B$120,MATCH(C6,'Primary_snapshot'!$A$2:$A$120,0))),"SNAPSHOT MISSING"))</x:f>
      </x:c>
      <x:c r="L6" s="6" t="str">
        <x:f>IF(Setup!$B$6="primary","",IFERROR(IF(INDEX('Primary_snapshot'!$C$2:$C$120,MATCH(C6,'Primary_snapshot'!$A$2:$A$120,0))="","",INDEX('Primary_snapshot'!$C$2:$C$120,MATCH(C6,'Primary_snapshot'!$A$2:$A$120,0))),"SNAPSHOT MISSING"))</x:f>
      </x:c>
      <x:c r="M6" s="6" t="str">
        <x:f>IF(Setup!$B$6="primary","",IFERROR(IF(INDEX('Primary_snapshot'!$D$2:$D$120,MATCH(C6,'Primary_snapshot'!$A$2:$A$120,0))="","",INDEX('Primary_snapshot'!$D$2:$D$120,MATCH(C6,'Primary_snapshot'!$A$2:$A$120,0))),"SNAPSHOT MISSING"))</x:f>
      </x:c>
      <x:c r="N6" s="6" t="str">
        <x:f>IF(Setup!$B$6="primary","",IFERROR(IF(INDEX('Primary_snapshot'!$E$2:$E$120,MATCH(C6,'Primary_snapshot'!$A$2:$A$120,0))="","",INDEX('Primary_snapshot'!$E$2:$E$120,MATCH(C6,'Primary_snapshot'!$A$2:$A$120,0))),"SNAPSHOT MISSING"))</x:f>
      </x:c>
      <x:c r="O6" s="6" t="str">
        <x:f>IF(Setup!$B$6="primary","",IFERROR(IF(INDEX('Primary_snapshot'!$F$2:$F$120,MATCH(C6,'Primary_snapshot'!$A$2:$A$120,0))="","",INDEX('Primary_snapshot'!$F$2:$F$120,MATCH(C6,'Primary_snapshot'!$A$2:$A$120,0))),"SNAPSHOT MISSING"))</x:f>
      </x:c>
      <x:c r="P6" s="6" t="str">
        <x:f>IF(Setup!$B$6="primary","",IFERROR(IF(INDEX('Primary_snapshot'!$G$2:$G$120,MATCH(C6,'Primary_snapshot'!$A$2:$A$120,0))="","",INDEX('Primary_snapshot'!$G$2:$G$120,MATCH(C6,'Primary_snapshot'!$A$2:$A$120,0))),"SNAPSHOT MISSING"))</x:f>
      </x:c>
      <x:c r="Q6" s="6" t="str">
        <x:f>IF(Setup!$B$6="primary","",IFERROR(IF(INDEX('Primary_snapshot'!$H$2:$H$120,MATCH(C6,'Primary_snapshot'!$A$2:$A$120,0))="","",INDEX('Primary_snapshot'!$H$2:$H$120,MATCH(C6,'Primary_snapshot'!$A$2:$A$120,0))),"SNAPSHOT MISSING"))</x:f>
      </x:c>
      <x:c r="R6" s="6" t="str">
        <x:f>IF(Setup!$B$6="primary","",IFERROR(IF(INDEX('Primary_snapshot'!$I$2:$I$120,MATCH(C6,'Primary_snapshot'!$A$2:$A$120,0))="","",INDEX('Primary_snapshot'!$I$2:$I$120,MATCH(C6,'Primary_snapshot'!$A$2:$A$120,0))),"SNAPSHOT MISSING"))</x:f>
      </x:c>
      <x:c r="S6" s="6" t="str">
        <x:f>IF(INDEX('C_jama.2017.21906'!$D$2:$D$7,MATCH("2018::jama.2017.21906::C005",'C_jama.2017.21906'!$A$2:$A$7,0))="","",INDEX('C_jama.2017.21906'!$D$2:$D$7,MATCH("2018::jama.2017.21906::C005",'C_jama.2017.21906'!$A$2:$A$7,0)))</x:f>
      </x:c>
      <x:c r="T6" s="6" t="str">
        <x:f>IF(INDEX('C_jama.2017.21906'!$E$2:$E$7,MATCH("2018::jama.2017.21906::C005",'C_jama.2017.21906'!$A$2:$A$7,0))="","",INDEX('C_jama.2017.21906'!$E$2:$E$7,MATCH("2018::jama.2017.21906::C005",'C_jama.2017.21906'!$A$2:$A$7,0)))</x:f>
        <x:v>report_internal_inconsistency</x:v>
      </x:c>
      <x:c r="U6" s="6" t="str">
        <x:f>IF(AND(INDEX('C_jama.2017.21906'!$D$2:$D$7,MATCH("2018::jama.2017.21906::C005",'C_jama.2017.21906'!$A$2:$A$7,0))="retain",INDEX('C_jama.2017.21906'!$E$2:$E$7,MATCH("2018::jama.2017.21906::C005",'C_jama.2017.21906'!$A$2:$A$7,0))="statistical_results"),IF(INDEX('C_jama.2017.21906'!$H$2:$H$7,MATCH("2018::jama.2017.21906::C005",'C_jama.2017.21906'!$A$2:$A$7,0))="","",INDEX('C_jama.2017.21906'!$H$2:$H$7,MATCH("2018::jama.2017.21906::C005",'C_jama.2017.21906'!$A$2:$A$7,0))),"not_applicable")</x:f>
        <x:v>not_applicable</x:v>
      </x:c>
      <x:c r="V6" s="6" t="str">
        <x:f>IF(AND(INDEX('C_jama.2017.21906'!$D$2:$D$7,MATCH("2018::jama.2017.21906::C005",'C_jama.2017.21906'!$A$2:$A$7,0))="retain",INDEX('C_jama.2017.21906'!$E$2:$E$7,MATCH("2018::jama.2017.21906::C005",'C_jama.2017.21906'!$A$2:$A$7,0))="statistical_results"),IF(INDEX('C_jama.2017.21906'!$I$2:$I$7,MATCH("2018::jama.2017.21906::C005",'C_jama.2017.21906'!$A$2:$A$7,0))="","",INDEX('C_jama.2017.21906'!$I$2:$I$7,MATCH("2018::jama.2017.21906::C005",'C_jama.2017.21906'!$A$2:$A$7,0))),"not_applicable")</x:f>
        <x:v>not_applicable</x:v>
      </x:c>
      <x:c r="W6" s="6" t="str">
        <x:f>IF(AND(INDEX('C_jama.2017.21906'!$D$2:$D$7,MATCH("2018::jama.2017.21906::C005",'C_jama.2017.21906'!$A$2:$A$7,0))="retain",INDEX('C_jama.2017.21906'!$E$2:$E$7,MATCH("2018::jama.2017.21906::C005",'C_jama.2017.21906'!$A$2:$A$7,0))="statistical_results"),IF(INDEX('C_jama.2017.21906'!$J$2:$J$7,MATCH("2018::jama.2017.21906::C005",'C_jama.2017.21906'!$A$2:$A$7,0))="","",INDEX('C_jama.2017.21906'!$J$2:$J$7,MATCH("2018::jama.2017.21906::C005",'C_jama.2017.21906'!$A$2:$A$7,0))),"not_applicable")</x:f>
        <x:v>not_applicable</x:v>
      </x:c>
      <x:c r="X6" s="6" t="str">
        <x:f>IF(AND(INDEX('C_jama.2017.21906'!$D$2:$D$7,MATCH("2018::jama.2017.21906::C005",'C_jama.2017.21906'!$A$2:$A$7,0))="retain",OR(INDEX('C_jama.2017.21906'!$E$2:$E$7,MATCH("2018::jama.2017.21906::C005",'C_jama.2017.21906'!$A$2:$A$7,0))="report_internal_inconsistency",INDEX('C_jama.2017.21906'!$E$2:$E$7,MATCH("2018::jama.2017.21906::C005",'C_jama.2017.21906'!$A$2:$A$7,0))="plan_material")),IF(INDEX('C_jama.2017.21906'!$K$2:$K$7,MATCH("2018::jama.2017.21906::C005",'C_jama.2017.21906'!$A$2:$A$7,0))="","",INDEX('C_jama.2017.21906'!$K$2:$K$7,MATCH("2018::jama.2017.21906::C005",'C_jama.2017.21906'!$A$2:$A$7,0))),"not_applicable")</x:f>
        <x:v>not_applicable</x:v>
      </x:c>
      <x:c r="Y6" s="6" t="str">
        <x:f>IF(AND(INDEX('C_jama.2017.21906'!$D$2:$D$7,MATCH("2018::jama.2017.21906::C005",'C_jama.2017.21906'!$A$2:$A$7,0))="retain",INDEX('C_jama.2017.21906'!$E$2:$E$7,MATCH("2018::jama.2017.21906::C005",'C_jama.2017.21906'!$A$2:$A$7,0))="protocol_report"),IF(INDEX('C_jama.2017.21906'!$L$2:$L$7,MATCH("2018::jama.2017.21906::C005",'C_jama.2017.21906'!$A$2:$A$7,0))="","",INDEX('C_jama.2017.21906'!$L$2:$L$7,MATCH("2018::jama.2017.21906::C005",'C_jama.2017.21906'!$A$2:$A$7,0))),"not_applicable")</x:f>
        <x:v>not_applicable</x:v>
      </x:c>
      <x:c r="Z6" s="6" t="str">
        <x:f>IF(INDEX('C_jama.2017.21906'!$R$2:$R$7,MATCH("2018::jama.2017.21906::C005",'C_jama.2017.21906'!$A$2:$A$7,0))="","",INDEX('C_jama.2017.21906'!$R$2:$R$7,MATCH("2018::jama.2017.21906::C005",'C_jama.2017.21906'!$A$2:$A$7,0)))</x:f>
      </x:c>
      <x:c r="AA6" s="6" t="str">
        <x:f>IF(INDEX('C_jama.2017.21906'!$N$2:$N$7,MATCH("2018::jama.2017.21906::C005",'C_jama.2017.21906'!$A$2:$A$7,0))="","",INDEX('C_jama.2017.21906'!$N$2:$N$7,MATCH("2018::jama.2017.21906::C005",'C_jama.2017.21906'!$A$2:$A$7,0)))</x:f>
      </x:c>
      <x:c r="AB6" s="6" t="str">
        <x:f>IF(INDEX('C_jama.2017.21906'!$O$2:$O$7,MATCH("2018::jama.2017.21906::C005",'C_jama.2017.21906'!$A$2:$A$7,0))="","",INDEX('C_jama.2017.21906'!$O$2:$O$7,MATCH("2018::jama.2017.21906::C005",'C_jama.2017.21906'!$A$2:$A$7,0)))</x:f>
      </x:c>
      <x:c r="AC6" s="6" t="str">
        <x:f>IF(INDEX('C_jama.2017.21906'!$P$2:$P$7,MATCH("2018::jama.2017.21906::C005",'C_jama.2017.21906'!$A$2:$A$7,0))="","",INDEX('C_jama.2017.21906'!$P$2:$P$7,MATCH("2018::jama.2017.21906::C005",'C_jama.2017.21906'!$A$2:$A$7,0)))</x:f>
      </x:c>
      <x:c r="AD6" s="6" t="str">
        <x:f>IF(INDEX('C_jama.2017.21906'!$Q$2:$Q$7,MATCH("2018::jama.2017.21906::C005",'C_jama.2017.21906'!$A$2:$A$7,0))="","",INDEX('C_jama.2017.21906'!$Q$2:$Q$7,MATCH("2018::jama.2017.21906::C005",'C_jama.2017.21906'!$A$2:$A$7,0)))</x:f>
      </x:c>
    </x:row>
    <x:row r="7" ht="65" customHeight="1">
      <x:c r="A7" s="3" t="n">
        <x:v>2018</x:v>
      </x:c>
      <x:c r="B7" s="3" t="str">
        <x:v>jama.2017.21906</x:v>
      </x:c>
      <x:c r="C7" s="3" t="str">
        <x:v>2018::jama.2017.21906::C006</x:v>
      </x:c>
      <x:c r="D7" s="3" t="str">
        <x:v>P_R</x:v>
      </x:c>
      <x:c r="E7" s="3" t="n">
        <x:f>Setup!$B$2</x:f>
        <x:v>0</x:v>
      </x:c>
      <x:c r="F7" s="3" t="str">
        <x:f>IF(Setup!$B$4="","",Setup!$B$4)</x:f>
      </x:c>
      <x:c r="G7" s="3" t="str">
        <x:f>IFERROR(INDEX('C_jama.2017.21906'!$G$2:$G$7,MATCH("2018::jama.2017.21906::C006",'C_jama.2017.21906'!$A$2:$A$7,0)),"CHECK KEY")</x:f>
        <x:v>CHECK REVIEWER IDs</x:v>
      </x:c>
      <x:c r="H7" s="3" t="str">
        <x:f>IF(G7&lt;&gt;"FINAL READY","",IF(S7&lt;&gt;"retain","not_eligible",IF(D7="P_R","protocol_descriptive",IF(D7="P_P","plan_descriptive",IF(AND(T7="statistical_results",OR(U7="confirmed_issue",U7="probable_issue"),V7="substantive"),"primary_temporal",IF(AND(T7="report_internal_inconsistency",X7="substantive_inconsistency"),"secondary_temporal","not_eligible"))))))</x:f>
      </x:c>
      <x:c r="I7" s="3" t="str">
        <x:v>retain</x:v>
      </x:c>
      <x:c r="J7" s="3" t="str">
        <x:v>protocol_report</x:v>
      </x:c>
      <x:c r="K7" s="3" t="str">
        <x:f>IF(Setup!$B$6="primary","",IFERROR(IF(INDEX('Primary_snapshot'!$B$2:$B$120,MATCH(C7,'Primary_snapshot'!$A$2:$A$120,0))="","",INDEX('Primary_snapshot'!$B$2:$B$120,MATCH(C7,'Primary_snapshot'!$A$2:$A$120,0))),"SNAPSHOT MISSING"))</x:f>
      </x:c>
      <x:c r="L7" s="3" t="str">
        <x:f>IF(Setup!$B$6="primary","",IFERROR(IF(INDEX('Primary_snapshot'!$C$2:$C$120,MATCH(C7,'Primary_snapshot'!$A$2:$A$120,0))="","",INDEX('Primary_snapshot'!$C$2:$C$120,MATCH(C7,'Primary_snapshot'!$A$2:$A$120,0))),"SNAPSHOT MISSING"))</x:f>
      </x:c>
      <x:c r="M7" s="3" t="str">
        <x:f>IF(Setup!$B$6="primary","",IFERROR(IF(INDEX('Primary_snapshot'!$D$2:$D$120,MATCH(C7,'Primary_snapshot'!$A$2:$A$120,0))="","",INDEX('Primary_snapshot'!$D$2:$D$120,MATCH(C7,'Primary_snapshot'!$A$2:$A$120,0))),"SNAPSHOT MISSING"))</x:f>
      </x:c>
      <x:c r="N7" s="3" t="str">
        <x:f>IF(Setup!$B$6="primary","",IFERROR(IF(INDEX('Primary_snapshot'!$E$2:$E$120,MATCH(C7,'Primary_snapshot'!$A$2:$A$120,0))="","",INDEX('Primary_snapshot'!$E$2:$E$120,MATCH(C7,'Primary_snapshot'!$A$2:$A$120,0))),"SNAPSHOT MISSING"))</x:f>
      </x:c>
      <x:c r="O7" s="3" t="str">
        <x:f>IF(Setup!$B$6="primary","",IFERROR(IF(INDEX('Primary_snapshot'!$F$2:$F$120,MATCH(C7,'Primary_snapshot'!$A$2:$A$120,0))="","",INDEX('Primary_snapshot'!$F$2:$F$120,MATCH(C7,'Primary_snapshot'!$A$2:$A$120,0))),"SNAPSHOT MISSING"))</x:f>
      </x:c>
      <x:c r="P7" s="3" t="str">
        <x:f>IF(Setup!$B$6="primary","",IFERROR(IF(INDEX('Primary_snapshot'!$G$2:$G$120,MATCH(C7,'Primary_snapshot'!$A$2:$A$120,0))="","",INDEX('Primary_snapshot'!$G$2:$G$120,MATCH(C7,'Primary_snapshot'!$A$2:$A$120,0))),"SNAPSHOT MISSING"))</x:f>
      </x:c>
      <x:c r="Q7" s="3" t="str">
        <x:f>IF(Setup!$B$6="primary","",IFERROR(IF(INDEX('Primary_snapshot'!$H$2:$H$120,MATCH(C7,'Primary_snapshot'!$A$2:$A$120,0))="","",INDEX('Primary_snapshot'!$H$2:$H$120,MATCH(C7,'Primary_snapshot'!$A$2:$A$120,0))),"SNAPSHOT MISSING"))</x:f>
      </x:c>
      <x:c r="R7" s="3" t="str">
        <x:f>IF(Setup!$B$6="primary","",IFERROR(IF(INDEX('Primary_snapshot'!$I$2:$I$120,MATCH(C7,'Primary_snapshot'!$A$2:$A$120,0))="","",INDEX('Primary_snapshot'!$I$2:$I$120,MATCH(C7,'Primary_snapshot'!$A$2:$A$120,0))),"SNAPSHOT MISSING"))</x:f>
      </x:c>
      <x:c r="S7" s="3" t="str">
        <x:f>IF(INDEX('C_jama.2017.21906'!$D$2:$D$7,MATCH("2018::jama.2017.21906::C006",'C_jama.2017.21906'!$A$2:$A$7,0))="","",INDEX('C_jama.2017.21906'!$D$2:$D$7,MATCH("2018::jama.2017.21906::C006",'C_jama.2017.21906'!$A$2:$A$7,0)))</x:f>
      </x:c>
      <x:c r="T7" s="3" t="str">
        <x:f>IF(INDEX('C_jama.2017.21906'!$E$2:$E$7,MATCH("2018::jama.2017.21906::C006",'C_jama.2017.21906'!$A$2:$A$7,0))="","",INDEX('C_jama.2017.21906'!$E$2:$E$7,MATCH("2018::jama.2017.21906::C006",'C_jama.2017.21906'!$A$2:$A$7,0)))</x:f>
        <x:v>protocol_report</x:v>
      </x:c>
      <x:c r="U7" s="3" t="str">
        <x:f>IF(AND(INDEX('C_jama.2017.21906'!$D$2:$D$7,MATCH("2018::jama.2017.21906::C006",'C_jama.2017.21906'!$A$2:$A$7,0))="retain",INDEX('C_jama.2017.21906'!$E$2:$E$7,MATCH("2018::jama.2017.21906::C006",'C_jama.2017.21906'!$A$2:$A$7,0))="statistical_results"),IF(INDEX('C_jama.2017.21906'!$H$2:$H$7,MATCH("2018::jama.2017.21906::C006",'C_jama.2017.21906'!$A$2:$A$7,0))="","",INDEX('C_jama.2017.21906'!$H$2:$H$7,MATCH("2018::jama.2017.21906::C006",'C_jama.2017.21906'!$A$2:$A$7,0))),"not_applicable")</x:f>
        <x:v>not_applicable</x:v>
      </x:c>
      <x:c r="V7" s="3" t="str">
        <x:f>IF(AND(INDEX('C_jama.2017.21906'!$D$2:$D$7,MATCH("2018::jama.2017.21906::C006",'C_jama.2017.21906'!$A$2:$A$7,0))="retain",INDEX('C_jama.2017.21906'!$E$2:$E$7,MATCH("2018::jama.2017.21906::C006",'C_jama.2017.21906'!$A$2:$A$7,0))="statistical_results"),IF(INDEX('C_jama.2017.21906'!$I$2:$I$7,MATCH("2018::jama.2017.21906::C006",'C_jama.2017.21906'!$A$2:$A$7,0))="","",INDEX('C_jama.2017.21906'!$I$2:$I$7,MATCH("2018::jama.2017.21906::C006",'C_jama.2017.21906'!$A$2:$A$7,0))),"not_applicable")</x:f>
        <x:v>not_applicable</x:v>
      </x:c>
      <x:c r="W7" s="3" t="str">
        <x:f>IF(AND(INDEX('C_jama.2017.21906'!$D$2:$D$7,MATCH("2018::jama.2017.21906::C006",'C_jama.2017.21906'!$A$2:$A$7,0))="retain",INDEX('C_jama.2017.21906'!$E$2:$E$7,MATCH("2018::jama.2017.21906::C006",'C_jama.2017.21906'!$A$2:$A$7,0))="statistical_results"),IF(INDEX('C_jama.2017.21906'!$J$2:$J$7,MATCH("2018::jama.2017.21906::C006",'C_jama.2017.21906'!$A$2:$A$7,0))="","",INDEX('C_jama.2017.21906'!$J$2:$J$7,MATCH("2018::jama.2017.21906::C006",'C_jama.2017.21906'!$A$2:$A$7,0))),"not_applicable")</x:f>
        <x:v>not_applicable</x:v>
      </x:c>
      <x:c r="X7" s="3" t="str">
        <x:f>IF(AND(INDEX('C_jama.2017.21906'!$D$2:$D$7,MATCH("2018::jama.2017.21906::C006",'C_jama.2017.21906'!$A$2:$A$7,0))="retain",OR(INDEX('C_jama.2017.21906'!$E$2:$E$7,MATCH("2018::jama.2017.21906::C006",'C_jama.2017.21906'!$A$2:$A$7,0))="report_internal_inconsistency",INDEX('C_jama.2017.21906'!$E$2:$E$7,MATCH("2018::jama.2017.21906::C006",'C_jama.2017.21906'!$A$2:$A$7,0))="plan_material")),IF(INDEX('C_jama.2017.21906'!$K$2:$K$7,MATCH("2018::jama.2017.21906::C006",'C_jama.2017.21906'!$A$2:$A$7,0))="","",INDEX('C_jama.2017.21906'!$K$2:$K$7,MATCH("2018::jama.2017.21906::C006",'C_jama.2017.21906'!$A$2:$A$7,0))),"not_applicable")</x:f>
        <x:v>not_applicable</x:v>
      </x:c>
      <x:c r="Y7" s="3" t="str">
        <x:f>IF(AND(INDEX('C_jama.2017.21906'!$D$2:$D$7,MATCH("2018::jama.2017.21906::C006",'C_jama.2017.21906'!$A$2:$A$7,0))="retain",INDEX('C_jama.2017.21906'!$E$2:$E$7,MATCH("2018::jama.2017.21906::C006",'C_jama.2017.21906'!$A$2:$A$7,0))="protocol_report"),IF(INDEX('C_jama.2017.21906'!$L$2:$L$7,MATCH("2018::jama.2017.21906::C006",'C_jama.2017.21906'!$A$2:$A$7,0))="","",INDEX('C_jama.2017.21906'!$L$2:$L$7,MATCH("2018::jama.2017.21906::C006",'C_jama.2017.21906'!$A$2:$A$7,0))),"not_applicable")</x:f>
        <x:v>not_applicable</x:v>
      </x:c>
      <x:c r="Z7" s="3" t="str">
        <x:f>IF(INDEX('C_jama.2017.21906'!$R$2:$R$7,MATCH("2018::jama.2017.21906::C006",'C_jama.2017.21906'!$A$2:$A$7,0))="","",INDEX('C_jama.2017.21906'!$R$2:$R$7,MATCH("2018::jama.2017.21906::C006",'C_jama.2017.21906'!$A$2:$A$7,0)))</x:f>
      </x:c>
      <x:c r="AA7" s="3" t="str">
        <x:f>IF(INDEX('C_jama.2017.21906'!$N$2:$N$7,MATCH("2018::jama.2017.21906::C006",'C_jama.2017.21906'!$A$2:$A$7,0))="","",INDEX('C_jama.2017.21906'!$N$2:$N$7,MATCH("2018::jama.2017.21906::C006",'C_jama.2017.21906'!$A$2:$A$7,0)))</x:f>
      </x:c>
      <x:c r="AB7" s="3" t="str">
        <x:f>IF(INDEX('C_jama.2017.21906'!$O$2:$O$7,MATCH("2018::jama.2017.21906::C006",'C_jama.2017.21906'!$A$2:$A$7,0))="","",INDEX('C_jama.2017.21906'!$O$2:$O$7,MATCH("2018::jama.2017.21906::C006",'C_jama.2017.21906'!$A$2:$A$7,0)))</x:f>
      </x:c>
      <x:c r="AC7" s="3" t="str">
        <x:f>IF(INDEX('C_jama.2017.21906'!$P$2:$P$7,MATCH("2018::jama.2017.21906::C006",'C_jama.2017.21906'!$A$2:$A$7,0))="","",INDEX('C_jama.2017.21906'!$P$2:$P$7,MATCH("2018::jama.2017.21906::C006",'C_jama.2017.21906'!$A$2:$A$7,0)))</x:f>
      </x:c>
      <x:c r="AD7" s="3" t="str">
        <x:f>IF(INDEX('C_jama.2017.21906'!$Q$2:$Q$7,MATCH("2018::jama.2017.21906::C006",'C_jama.2017.21906'!$A$2:$A$7,0))="","",INDEX('C_jama.2017.21906'!$Q$2:$Q$7,MATCH("2018::jama.2017.21906::C006",'C_jama.2017.21906'!$A$2:$A$7,0)))</x:f>
      </x:c>
    </x:row>
    <x:row r="8" ht="65" customHeight="1">
      <x:c r="A8" s="6" t="n">
        <x:v>2018</x:v>
      </x:c>
      <x:c r="B8" s="6" t="str">
        <x:v>jama.2018.0156</x:v>
      </x:c>
      <x:c r="C8" s="6" t="str">
        <x:v>2018::jama.2018.0156::C001</x:v>
      </x:c>
      <x:c r="D8" s="6" t="str">
        <x:v>S_W</x:v>
      </x:c>
      <x:c r="E8" s="6" t="n">
        <x:f>Setup!$B$2</x:f>
        <x:v>0</x:v>
      </x:c>
      <x:c r="F8" s="6" t="str">
        <x:f>IF(Setup!$B$4="","",Setup!$B$4)</x:f>
      </x:c>
      <x:c r="G8" s="6" t="str">
        <x:f>IFERROR(INDEX('C_jama.2018.0156'!$G$2:$G$9,MATCH("2018::jama.2018.0156::C001",'C_jama.2018.0156'!$A$2:$A$9,0)),"CHECK KEY")</x:f>
        <x:v>CHECK REVIEWER IDs</x:v>
      </x:c>
      <x:c r="H8" s="6" t="str">
        <x:f>IF(G8&lt;&gt;"FINAL READY","",IF(S8&lt;&gt;"retain","not_eligible",IF(D8="P_R","protocol_descriptive",IF(D8="P_P","plan_descriptive",IF(AND(T8="statistical_results",OR(U8="confirmed_issue",U8="probable_issue"),V8="substantive"),"primary_temporal",IF(AND(T8="report_internal_inconsistency",X8="substantive_inconsistency"),"secondary_temporal","not_eligible"))))))</x:f>
      </x:c>
      <x:c r="I8" s="6" t="str">
        <x:v>retain</x:v>
      </x:c>
      <x:c r="J8" s="6" t="str">
        <x:v>statistical_results</x:v>
      </x:c>
      <x:c r="K8" s="6" t="str">
        <x:f>IF(Setup!$B$6="primary","",IFERROR(IF(INDEX('Primary_snapshot'!$B$2:$B$120,MATCH(C8,'Primary_snapshot'!$A$2:$A$120,0))="","",INDEX('Primary_snapshot'!$B$2:$B$120,MATCH(C8,'Primary_snapshot'!$A$2:$A$120,0))),"SNAPSHOT MISSING"))</x:f>
      </x:c>
      <x:c r="L8" s="6" t="str">
        <x:f>IF(Setup!$B$6="primary","",IFERROR(IF(INDEX('Primary_snapshot'!$C$2:$C$120,MATCH(C8,'Primary_snapshot'!$A$2:$A$120,0))="","",INDEX('Primary_snapshot'!$C$2:$C$120,MATCH(C8,'Primary_snapshot'!$A$2:$A$120,0))),"SNAPSHOT MISSING"))</x:f>
      </x:c>
      <x:c r="M8" s="6" t="str">
        <x:f>IF(Setup!$B$6="primary","",IFERROR(IF(INDEX('Primary_snapshot'!$D$2:$D$120,MATCH(C8,'Primary_snapshot'!$A$2:$A$120,0))="","",INDEX('Primary_snapshot'!$D$2:$D$120,MATCH(C8,'Primary_snapshot'!$A$2:$A$120,0))),"SNAPSHOT MISSING"))</x:f>
      </x:c>
      <x:c r="N8" s="6" t="str">
        <x:f>IF(Setup!$B$6="primary","",IFERROR(IF(INDEX('Primary_snapshot'!$E$2:$E$120,MATCH(C8,'Primary_snapshot'!$A$2:$A$120,0))="","",INDEX('Primary_snapshot'!$E$2:$E$120,MATCH(C8,'Primary_snapshot'!$A$2:$A$120,0))),"SNAPSHOT MISSING"))</x:f>
      </x:c>
      <x:c r="O8" s="6" t="str">
        <x:f>IF(Setup!$B$6="primary","",IFERROR(IF(INDEX('Primary_snapshot'!$F$2:$F$120,MATCH(C8,'Primary_snapshot'!$A$2:$A$120,0))="","",INDEX('Primary_snapshot'!$F$2:$F$120,MATCH(C8,'Primary_snapshot'!$A$2:$A$120,0))),"SNAPSHOT MISSING"))</x:f>
      </x:c>
      <x:c r="P8" s="6" t="str">
        <x:f>IF(Setup!$B$6="primary","",IFERROR(IF(INDEX('Primary_snapshot'!$G$2:$G$120,MATCH(C8,'Primary_snapshot'!$A$2:$A$120,0))="","",INDEX('Primary_snapshot'!$G$2:$G$120,MATCH(C8,'Primary_snapshot'!$A$2:$A$120,0))),"SNAPSHOT MISSING"))</x:f>
      </x:c>
      <x:c r="Q8" s="6" t="str">
        <x:f>IF(Setup!$B$6="primary","",IFERROR(IF(INDEX('Primary_snapshot'!$H$2:$H$120,MATCH(C8,'Primary_snapshot'!$A$2:$A$120,0))="","",INDEX('Primary_snapshot'!$H$2:$H$120,MATCH(C8,'Primary_snapshot'!$A$2:$A$120,0))),"SNAPSHOT MISSING"))</x:f>
      </x:c>
      <x:c r="R8" s="6" t="str">
        <x:f>IF(Setup!$B$6="primary","",IFERROR(IF(INDEX('Primary_snapshot'!$I$2:$I$120,MATCH(C8,'Primary_snapshot'!$A$2:$A$120,0))="","",INDEX('Primary_snapshot'!$I$2:$I$120,MATCH(C8,'Primary_snapshot'!$A$2:$A$120,0))),"SNAPSHOT MISSING"))</x:f>
      </x:c>
      <x:c r="S8" s="6" t="str">
        <x:f>IF(INDEX('C_jama.2018.0156'!$D$2:$D$9,MATCH("2018::jama.2018.0156::C001",'C_jama.2018.0156'!$A$2:$A$9,0))="","",INDEX('C_jama.2018.0156'!$D$2:$D$9,MATCH("2018::jama.2018.0156::C001",'C_jama.2018.0156'!$A$2:$A$9,0)))</x:f>
      </x:c>
      <x:c r="T8" s="6" t="str">
        <x:f>IF(INDEX('C_jama.2018.0156'!$E$2:$E$9,MATCH("2018::jama.2018.0156::C001",'C_jama.2018.0156'!$A$2:$A$9,0))="","",INDEX('C_jama.2018.0156'!$E$2:$E$9,MATCH("2018::jama.2018.0156::C001",'C_jama.2018.0156'!$A$2:$A$9,0)))</x:f>
        <x:v>statistical_results</x:v>
      </x:c>
      <x:c r="U8" s="6" t="str">
        <x:f>IF(AND(INDEX('C_jama.2018.0156'!$D$2:$D$9,MATCH("2018::jama.2018.0156::C001",'C_jama.2018.0156'!$A$2:$A$9,0))="retain",INDEX('C_jama.2018.0156'!$E$2:$E$9,MATCH("2018::jama.2018.0156::C001",'C_jama.2018.0156'!$A$2:$A$9,0))="statistical_results"),IF(INDEX('C_jama.2018.0156'!$H$2:$H$9,MATCH("2018::jama.2018.0156::C001",'C_jama.2018.0156'!$A$2:$A$9,0))="","",INDEX('C_jama.2018.0156'!$H$2:$H$9,MATCH("2018::jama.2018.0156::C001",'C_jama.2018.0156'!$A$2:$A$9,0))),"not_applicable")</x:f>
        <x:v>not_applicable</x:v>
      </x:c>
      <x:c r="V8" s="6" t="str">
        <x:f>IF(AND(INDEX('C_jama.2018.0156'!$D$2:$D$9,MATCH("2018::jama.2018.0156::C001",'C_jama.2018.0156'!$A$2:$A$9,0))="retain",INDEX('C_jama.2018.0156'!$E$2:$E$9,MATCH("2018::jama.2018.0156::C001",'C_jama.2018.0156'!$A$2:$A$9,0))="statistical_results"),IF(INDEX('C_jama.2018.0156'!$I$2:$I$9,MATCH("2018::jama.2018.0156::C001",'C_jama.2018.0156'!$A$2:$A$9,0))="","",INDEX('C_jama.2018.0156'!$I$2:$I$9,MATCH("2018::jama.2018.0156::C001",'C_jama.2018.0156'!$A$2:$A$9,0))),"not_applicable")</x:f>
        <x:v>not_applicable</x:v>
      </x:c>
      <x:c r="W8" s="6" t="str">
        <x:f>IF(AND(INDEX('C_jama.2018.0156'!$D$2:$D$9,MATCH("2018::jama.2018.0156::C001",'C_jama.2018.0156'!$A$2:$A$9,0))="retain",INDEX('C_jama.2018.0156'!$E$2:$E$9,MATCH("2018::jama.2018.0156::C001",'C_jama.2018.0156'!$A$2:$A$9,0))="statistical_results"),IF(INDEX('C_jama.2018.0156'!$J$2:$J$9,MATCH("2018::jama.2018.0156::C001",'C_jama.2018.0156'!$A$2:$A$9,0))="","",INDEX('C_jama.2018.0156'!$J$2:$J$9,MATCH("2018::jama.2018.0156::C001",'C_jama.2018.0156'!$A$2:$A$9,0))),"not_applicable")</x:f>
        <x:v>not_applicable</x:v>
      </x:c>
      <x:c r="X8" s="6" t="str">
        <x:f>IF(AND(INDEX('C_jama.2018.0156'!$D$2:$D$9,MATCH("2018::jama.2018.0156::C001",'C_jama.2018.0156'!$A$2:$A$9,0))="retain",OR(INDEX('C_jama.2018.0156'!$E$2:$E$9,MATCH("2018::jama.2018.0156::C001",'C_jama.2018.0156'!$A$2:$A$9,0))="report_internal_inconsistency",INDEX('C_jama.2018.0156'!$E$2:$E$9,MATCH("2018::jama.2018.0156::C001",'C_jama.2018.0156'!$A$2:$A$9,0))="plan_material")),IF(INDEX('C_jama.2018.0156'!$K$2:$K$9,MATCH("2018::jama.2018.0156::C001",'C_jama.2018.0156'!$A$2:$A$9,0))="","",INDEX('C_jama.2018.0156'!$K$2:$K$9,MATCH("2018::jama.2018.0156::C001",'C_jama.2018.0156'!$A$2:$A$9,0))),"not_applicable")</x:f>
        <x:v>not_applicable</x:v>
      </x:c>
      <x:c r="Y8" s="6" t="str">
        <x:f>IF(AND(INDEX('C_jama.2018.0156'!$D$2:$D$9,MATCH("2018::jama.2018.0156::C001",'C_jama.2018.0156'!$A$2:$A$9,0))="retain",INDEX('C_jama.2018.0156'!$E$2:$E$9,MATCH("2018::jama.2018.0156::C001",'C_jama.2018.0156'!$A$2:$A$9,0))="protocol_report"),IF(INDEX('C_jama.2018.0156'!$L$2:$L$9,MATCH("2018::jama.2018.0156::C001",'C_jama.2018.0156'!$A$2:$A$9,0))="","",INDEX('C_jama.2018.0156'!$L$2:$L$9,MATCH("2018::jama.2018.0156::C001",'C_jama.2018.0156'!$A$2:$A$9,0))),"not_applicable")</x:f>
        <x:v>not_applicable</x:v>
      </x:c>
      <x:c r="Z8" s="6" t="str">
        <x:f>IF(INDEX('C_jama.2018.0156'!$R$2:$R$9,MATCH("2018::jama.2018.0156::C001",'C_jama.2018.0156'!$A$2:$A$9,0))="","",INDEX('C_jama.2018.0156'!$R$2:$R$9,MATCH("2018::jama.2018.0156::C001",'C_jama.2018.0156'!$A$2:$A$9,0)))</x:f>
      </x:c>
      <x:c r="AA8" s="6" t="str">
        <x:f>IF(INDEX('C_jama.2018.0156'!$N$2:$N$9,MATCH("2018::jama.2018.0156::C001",'C_jama.2018.0156'!$A$2:$A$9,0))="","",INDEX('C_jama.2018.0156'!$N$2:$N$9,MATCH("2018::jama.2018.0156::C001",'C_jama.2018.0156'!$A$2:$A$9,0)))</x:f>
      </x:c>
      <x:c r="AB8" s="6" t="str">
        <x:f>IF(INDEX('C_jama.2018.0156'!$O$2:$O$9,MATCH("2018::jama.2018.0156::C001",'C_jama.2018.0156'!$A$2:$A$9,0))="","",INDEX('C_jama.2018.0156'!$O$2:$O$9,MATCH("2018::jama.2018.0156::C001",'C_jama.2018.0156'!$A$2:$A$9,0)))</x:f>
      </x:c>
      <x:c r="AC8" s="6" t="str">
        <x:f>IF(INDEX('C_jama.2018.0156'!$P$2:$P$9,MATCH("2018::jama.2018.0156::C001",'C_jama.2018.0156'!$A$2:$A$9,0))="","",INDEX('C_jama.2018.0156'!$P$2:$P$9,MATCH("2018::jama.2018.0156::C001",'C_jama.2018.0156'!$A$2:$A$9,0)))</x:f>
      </x:c>
      <x:c r="AD8" s="6" t="str">
        <x:f>IF(INDEX('C_jama.2018.0156'!$Q$2:$Q$9,MATCH("2018::jama.2018.0156::C001",'C_jama.2018.0156'!$A$2:$A$9,0))="","",INDEX('C_jama.2018.0156'!$Q$2:$Q$9,MATCH("2018::jama.2018.0156::C001",'C_jama.2018.0156'!$A$2:$A$9,0)))</x:f>
      </x:c>
    </x:row>
    <x:row r="9" ht="65" customHeight="1">
      <x:c r="A9" s="3" t="n">
        <x:v>2018</x:v>
      </x:c>
      <x:c r="B9" s="3" t="str">
        <x:v>jama.2018.0156</x:v>
      </x:c>
      <x:c r="C9" s="3" t="str">
        <x:v>2018::jama.2018.0156::C002</x:v>
      </x:c>
      <x:c r="D9" s="3" t="str">
        <x:v>S_W</x:v>
      </x:c>
      <x:c r="E9" s="3" t="n">
        <x:f>Setup!$B$2</x:f>
        <x:v>0</x:v>
      </x:c>
      <x:c r="F9" s="3" t="str">
        <x:f>IF(Setup!$B$4="","",Setup!$B$4)</x:f>
      </x:c>
      <x:c r="G9" s="3" t="str">
        <x:f>IFERROR(INDEX('C_jama.2018.0156'!$G$2:$G$9,MATCH("2018::jama.2018.0156::C002",'C_jama.2018.0156'!$A$2:$A$9,0)),"CHECK KEY")</x:f>
        <x:v>CHECK REVIEWER IDs</x:v>
      </x:c>
      <x:c r="H9" s="3" t="str">
        <x:f>IF(G9&lt;&gt;"FINAL READY","",IF(S9&lt;&gt;"retain","not_eligible",IF(D9="P_R","protocol_descriptive",IF(D9="P_P","plan_descriptive",IF(AND(T9="statistical_results",OR(U9="confirmed_issue",U9="probable_issue"),V9="substantive"),"primary_temporal",IF(AND(T9="report_internal_inconsistency",X9="substantive_inconsistency"),"secondary_temporal","not_eligible"))))))</x:f>
      </x:c>
      <x:c r="I9" s="3" t="str">
        <x:v>retain</x:v>
      </x:c>
      <x:c r="J9" s="3" t="str">
        <x:v>report_internal_inconsistency</x:v>
      </x:c>
      <x:c r="K9" s="3" t="str">
        <x:f>IF(Setup!$B$6="primary","",IFERROR(IF(INDEX('Primary_snapshot'!$B$2:$B$120,MATCH(C9,'Primary_snapshot'!$A$2:$A$120,0))="","",INDEX('Primary_snapshot'!$B$2:$B$120,MATCH(C9,'Primary_snapshot'!$A$2:$A$120,0))),"SNAPSHOT MISSING"))</x:f>
      </x:c>
      <x:c r="L9" s="3" t="str">
        <x:f>IF(Setup!$B$6="primary","",IFERROR(IF(INDEX('Primary_snapshot'!$C$2:$C$120,MATCH(C9,'Primary_snapshot'!$A$2:$A$120,0))="","",INDEX('Primary_snapshot'!$C$2:$C$120,MATCH(C9,'Primary_snapshot'!$A$2:$A$120,0))),"SNAPSHOT MISSING"))</x:f>
      </x:c>
      <x:c r="M9" s="3" t="str">
        <x:f>IF(Setup!$B$6="primary","",IFERROR(IF(INDEX('Primary_snapshot'!$D$2:$D$120,MATCH(C9,'Primary_snapshot'!$A$2:$A$120,0))="","",INDEX('Primary_snapshot'!$D$2:$D$120,MATCH(C9,'Primary_snapshot'!$A$2:$A$120,0))),"SNAPSHOT MISSING"))</x:f>
      </x:c>
      <x:c r="N9" s="3" t="str">
        <x:f>IF(Setup!$B$6="primary","",IFERROR(IF(INDEX('Primary_snapshot'!$E$2:$E$120,MATCH(C9,'Primary_snapshot'!$A$2:$A$120,0))="","",INDEX('Primary_snapshot'!$E$2:$E$120,MATCH(C9,'Primary_snapshot'!$A$2:$A$120,0))),"SNAPSHOT MISSING"))</x:f>
      </x:c>
      <x:c r="O9" s="3" t="str">
        <x:f>IF(Setup!$B$6="primary","",IFERROR(IF(INDEX('Primary_snapshot'!$F$2:$F$120,MATCH(C9,'Primary_snapshot'!$A$2:$A$120,0))="","",INDEX('Primary_snapshot'!$F$2:$F$120,MATCH(C9,'Primary_snapshot'!$A$2:$A$120,0))),"SNAPSHOT MISSING"))</x:f>
      </x:c>
      <x:c r="P9" s="3" t="str">
        <x:f>IF(Setup!$B$6="primary","",IFERROR(IF(INDEX('Primary_snapshot'!$G$2:$G$120,MATCH(C9,'Primary_snapshot'!$A$2:$A$120,0))="","",INDEX('Primary_snapshot'!$G$2:$G$120,MATCH(C9,'Primary_snapshot'!$A$2:$A$120,0))),"SNAPSHOT MISSING"))</x:f>
      </x:c>
      <x:c r="Q9" s="3" t="str">
        <x:f>IF(Setup!$B$6="primary","",IFERROR(IF(INDEX('Primary_snapshot'!$H$2:$H$120,MATCH(C9,'Primary_snapshot'!$A$2:$A$120,0))="","",INDEX('Primary_snapshot'!$H$2:$H$120,MATCH(C9,'Primary_snapshot'!$A$2:$A$120,0))),"SNAPSHOT MISSING"))</x:f>
      </x:c>
      <x:c r="R9" s="3" t="str">
        <x:f>IF(Setup!$B$6="primary","",IFERROR(IF(INDEX('Primary_snapshot'!$I$2:$I$120,MATCH(C9,'Primary_snapshot'!$A$2:$A$120,0))="","",INDEX('Primary_snapshot'!$I$2:$I$120,MATCH(C9,'Primary_snapshot'!$A$2:$A$120,0))),"SNAPSHOT MISSING"))</x:f>
      </x:c>
      <x:c r="S9" s="3" t="str">
        <x:f>IF(INDEX('C_jama.2018.0156'!$D$2:$D$9,MATCH("2018::jama.2018.0156::C002",'C_jama.2018.0156'!$A$2:$A$9,0))="","",INDEX('C_jama.2018.0156'!$D$2:$D$9,MATCH("2018::jama.2018.0156::C002",'C_jama.2018.0156'!$A$2:$A$9,0)))</x:f>
      </x:c>
      <x:c r="T9" s="3" t="str">
        <x:f>IF(INDEX('C_jama.2018.0156'!$E$2:$E$9,MATCH("2018::jama.2018.0156::C002",'C_jama.2018.0156'!$A$2:$A$9,0))="","",INDEX('C_jama.2018.0156'!$E$2:$E$9,MATCH("2018::jama.2018.0156::C002",'C_jama.2018.0156'!$A$2:$A$9,0)))</x:f>
        <x:v>report_internal_inconsistency</x:v>
      </x:c>
      <x:c r="U9" s="3" t="str">
        <x:f>IF(AND(INDEX('C_jama.2018.0156'!$D$2:$D$9,MATCH("2018::jama.2018.0156::C002",'C_jama.2018.0156'!$A$2:$A$9,0))="retain",INDEX('C_jama.2018.0156'!$E$2:$E$9,MATCH("2018::jama.2018.0156::C002",'C_jama.2018.0156'!$A$2:$A$9,0))="statistical_results"),IF(INDEX('C_jama.2018.0156'!$H$2:$H$9,MATCH("2018::jama.2018.0156::C002",'C_jama.2018.0156'!$A$2:$A$9,0))="","",INDEX('C_jama.2018.0156'!$H$2:$H$9,MATCH("2018::jama.2018.0156::C002",'C_jama.2018.0156'!$A$2:$A$9,0))),"not_applicable")</x:f>
        <x:v>not_applicable</x:v>
      </x:c>
      <x:c r="V9" s="3" t="str">
        <x:f>IF(AND(INDEX('C_jama.2018.0156'!$D$2:$D$9,MATCH("2018::jama.2018.0156::C002",'C_jama.2018.0156'!$A$2:$A$9,0))="retain",INDEX('C_jama.2018.0156'!$E$2:$E$9,MATCH("2018::jama.2018.0156::C002",'C_jama.2018.0156'!$A$2:$A$9,0))="statistical_results"),IF(INDEX('C_jama.2018.0156'!$I$2:$I$9,MATCH("2018::jama.2018.0156::C002",'C_jama.2018.0156'!$A$2:$A$9,0))="","",INDEX('C_jama.2018.0156'!$I$2:$I$9,MATCH("2018::jama.2018.0156::C002",'C_jama.2018.0156'!$A$2:$A$9,0))),"not_applicable")</x:f>
        <x:v>not_applicable</x:v>
      </x:c>
      <x:c r="W9" s="3" t="str">
        <x:f>IF(AND(INDEX('C_jama.2018.0156'!$D$2:$D$9,MATCH("2018::jama.2018.0156::C002",'C_jama.2018.0156'!$A$2:$A$9,0))="retain",INDEX('C_jama.2018.0156'!$E$2:$E$9,MATCH("2018::jama.2018.0156::C002",'C_jama.2018.0156'!$A$2:$A$9,0))="statistical_results"),IF(INDEX('C_jama.2018.0156'!$J$2:$J$9,MATCH("2018::jama.2018.0156::C002",'C_jama.2018.0156'!$A$2:$A$9,0))="","",INDEX('C_jama.2018.0156'!$J$2:$J$9,MATCH("2018::jama.2018.0156::C002",'C_jama.2018.0156'!$A$2:$A$9,0))),"not_applicable")</x:f>
        <x:v>not_applicable</x:v>
      </x:c>
      <x:c r="X9" s="3" t="str">
        <x:f>IF(AND(INDEX('C_jama.2018.0156'!$D$2:$D$9,MATCH("2018::jama.2018.0156::C002",'C_jama.2018.0156'!$A$2:$A$9,0))="retain",OR(INDEX('C_jama.2018.0156'!$E$2:$E$9,MATCH("2018::jama.2018.0156::C002",'C_jama.2018.0156'!$A$2:$A$9,0))="report_internal_inconsistency",INDEX('C_jama.2018.0156'!$E$2:$E$9,MATCH("2018::jama.2018.0156::C002",'C_jama.2018.0156'!$A$2:$A$9,0))="plan_material")),IF(INDEX('C_jama.2018.0156'!$K$2:$K$9,MATCH("2018::jama.2018.0156::C002",'C_jama.2018.0156'!$A$2:$A$9,0))="","",INDEX('C_jama.2018.0156'!$K$2:$K$9,MATCH("2018::jama.2018.0156::C002",'C_jama.2018.0156'!$A$2:$A$9,0))),"not_applicable")</x:f>
        <x:v>not_applicable</x:v>
      </x:c>
      <x:c r="Y9" s="3" t="str">
        <x:f>IF(AND(INDEX('C_jama.2018.0156'!$D$2:$D$9,MATCH("2018::jama.2018.0156::C002",'C_jama.2018.0156'!$A$2:$A$9,0))="retain",INDEX('C_jama.2018.0156'!$E$2:$E$9,MATCH("2018::jama.2018.0156::C002",'C_jama.2018.0156'!$A$2:$A$9,0))="protocol_report"),IF(INDEX('C_jama.2018.0156'!$L$2:$L$9,MATCH("2018::jama.2018.0156::C002",'C_jama.2018.0156'!$A$2:$A$9,0))="","",INDEX('C_jama.2018.0156'!$L$2:$L$9,MATCH("2018::jama.2018.0156::C002",'C_jama.2018.0156'!$A$2:$A$9,0))),"not_applicable")</x:f>
        <x:v>not_applicable</x:v>
      </x:c>
      <x:c r="Z9" s="3" t="str">
        <x:f>IF(INDEX('C_jama.2018.0156'!$R$2:$R$9,MATCH("2018::jama.2018.0156::C002",'C_jama.2018.0156'!$A$2:$A$9,0))="","",INDEX('C_jama.2018.0156'!$R$2:$R$9,MATCH("2018::jama.2018.0156::C002",'C_jama.2018.0156'!$A$2:$A$9,0)))</x:f>
      </x:c>
      <x:c r="AA9" s="3" t="str">
        <x:f>IF(INDEX('C_jama.2018.0156'!$N$2:$N$9,MATCH("2018::jama.2018.0156::C002",'C_jama.2018.0156'!$A$2:$A$9,0))="","",INDEX('C_jama.2018.0156'!$N$2:$N$9,MATCH("2018::jama.2018.0156::C002",'C_jama.2018.0156'!$A$2:$A$9,0)))</x:f>
      </x:c>
      <x:c r="AB9" s="3" t="str">
        <x:f>IF(INDEX('C_jama.2018.0156'!$O$2:$O$9,MATCH("2018::jama.2018.0156::C002",'C_jama.2018.0156'!$A$2:$A$9,0))="","",INDEX('C_jama.2018.0156'!$O$2:$O$9,MATCH("2018::jama.2018.0156::C002",'C_jama.2018.0156'!$A$2:$A$9,0)))</x:f>
      </x:c>
      <x:c r="AC9" s="3" t="str">
        <x:f>IF(INDEX('C_jama.2018.0156'!$P$2:$P$9,MATCH("2018::jama.2018.0156::C002",'C_jama.2018.0156'!$A$2:$A$9,0))="","",INDEX('C_jama.2018.0156'!$P$2:$P$9,MATCH("2018::jama.2018.0156::C002",'C_jama.2018.0156'!$A$2:$A$9,0)))</x:f>
      </x:c>
      <x:c r="AD9" s="3" t="str">
        <x:f>IF(INDEX('C_jama.2018.0156'!$Q$2:$Q$9,MATCH("2018::jama.2018.0156::C002",'C_jama.2018.0156'!$A$2:$A$9,0))="","",INDEX('C_jama.2018.0156'!$Q$2:$Q$9,MATCH("2018::jama.2018.0156::C002",'C_jama.2018.0156'!$A$2:$A$9,0)))</x:f>
      </x:c>
    </x:row>
    <x:row r="10" ht="65" customHeight="1">
      <x:c r="A10" s="6" t="n">
        <x:v>2018</x:v>
      </x:c>
      <x:c r="B10" s="6" t="str">
        <x:v>jama.2018.0156</x:v>
      </x:c>
      <x:c r="C10" s="6" t="str">
        <x:v>2018::jama.2018.0156::C003</x:v>
      </x:c>
      <x:c r="D10" s="6" t="str">
        <x:v>S_W</x:v>
      </x:c>
      <x:c r="E10" s="6" t="n">
        <x:f>Setup!$B$2</x:f>
        <x:v>0</x:v>
      </x:c>
      <x:c r="F10" s="6" t="str">
        <x:f>IF(Setup!$B$4="","",Setup!$B$4)</x:f>
      </x:c>
      <x:c r="G10" s="6" t="str">
        <x:f>IFERROR(INDEX('C_jama.2018.0156'!$G$2:$G$9,MATCH("2018::jama.2018.0156::C003",'C_jama.2018.0156'!$A$2:$A$9,0)),"CHECK KEY")</x:f>
        <x:v>CHECK REVIEWER IDs</x:v>
      </x:c>
      <x:c r="H10" s="6" t="str">
        <x:f>IF(G10&lt;&gt;"FINAL READY","",IF(S10&lt;&gt;"retain","not_eligible",IF(D10="P_R","protocol_descriptive",IF(D10="P_P","plan_descriptive",IF(AND(T10="statistical_results",OR(U10="confirmed_issue",U10="probable_issue"),V10="substantive"),"primary_temporal",IF(AND(T10="report_internal_inconsistency",X10="substantive_inconsistency"),"secondary_temporal","not_eligible"))))))</x:f>
      </x:c>
      <x:c r="I10" s="6" t="str">
        <x:v>retain</x:v>
      </x:c>
      <x:c r="J10" s="6" t="str">
        <x:v>statistical_results</x:v>
      </x:c>
      <x:c r="K10" s="6" t="str">
        <x:f>IF(Setup!$B$6="primary","",IFERROR(IF(INDEX('Primary_snapshot'!$B$2:$B$120,MATCH(C10,'Primary_snapshot'!$A$2:$A$120,0))="","",INDEX('Primary_snapshot'!$B$2:$B$120,MATCH(C10,'Primary_snapshot'!$A$2:$A$120,0))),"SNAPSHOT MISSING"))</x:f>
      </x:c>
      <x:c r="L10" s="6" t="str">
        <x:f>IF(Setup!$B$6="primary","",IFERROR(IF(INDEX('Primary_snapshot'!$C$2:$C$120,MATCH(C10,'Primary_snapshot'!$A$2:$A$120,0))="","",INDEX('Primary_snapshot'!$C$2:$C$120,MATCH(C10,'Primary_snapshot'!$A$2:$A$120,0))),"SNAPSHOT MISSING"))</x:f>
      </x:c>
      <x:c r="M10" s="6" t="str">
        <x:f>IF(Setup!$B$6="primary","",IFERROR(IF(INDEX('Primary_snapshot'!$D$2:$D$120,MATCH(C10,'Primary_snapshot'!$A$2:$A$120,0))="","",INDEX('Primary_snapshot'!$D$2:$D$120,MATCH(C10,'Primary_snapshot'!$A$2:$A$120,0))),"SNAPSHOT MISSING"))</x:f>
      </x:c>
      <x:c r="N10" s="6" t="str">
        <x:f>IF(Setup!$B$6="primary","",IFERROR(IF(INDEX('Primary_snapshot'!$E$2:$E$120,MATCH(C10,'Primary_snapshot'!$A$2:$A$120,0))="","",INDEX('Primary_snapshot'!$E$2:$E$120,MATCH(C10,'Primary_snapshot'!$A$2:$A$120,0))),"SNAPSHOT MISSING"))</x:f>
      </x:c>
      <x:c r="O10" s="6" t="str">
        <x:f>IF(Setup!$B$6="primary","",IFERROR(IF(INDEX('Primary_snapshot'!$F$2:$F$120,MATCH(C10,'Primary_snapshot'!$A$2:$A$120,0))="","",INDEX('Primary_snapshot'!$F$2:$F$120,MATCH(C10,'Primary_snapshot'!$A$2:$A$120,0))),"SNAPSHOT MISSING"))</x:f>
      </x:c>
      <x:c r="P10" s="6" t="str">
        <x:f>IF(Setup!$B$6="primary","",IFERROR(IF(INDEX('Primary_snapshot'!$G$2:$G$120,MATCH(C10,'Primary_snapshot'!$A$2:$A$120,0))="","",INDEX('Primary_snapshot'!$G$2:$G$120,MATCH(C10,'Primary_snapshot'!$A$2:$A$120,0))),"SNAPSHOT MISSING"))</x:f>
      </x:c>
      <x:c r="Q10" s="6" t="str">
        <x:f>IF(Setup!$B$6="primary","",IFERROR(IF(INDEX('Primary_snapshot'!$H$2:$H$120,MATCH(C10,'Primary_snapshot'!$A$2:$A$120,0))="","",INDEX('Primary_snapshot'!$H$2:$H$120,MATCH(C10,'Primary_snapshot'!$A$2:$A$120,0))),"SNAPSHOT MISSING"))</x:f>
      </x:c>
      <x:c r="R10" s="6" t="str">
        <x:f>IF(Setup!$B$6="primary","",IFERROR(IF(INDEX('Primary_snapshot'!$I$2:$I$120,MATCH(C10,'Primary_snapshot'!$A$2:$A$120,0))="","",INDEX('Primary_snapshot'!$I$2:$I$120,MATCH(C10,'Primary_snapshot'!$A$2:$A$120,0))),"SNAPSHOT MISSING"))</x:f>
      </x:c>
      <x:c r="S10" s="6" t="str">
        <x:f>IF(INDEX('C_jama.2018.0156'!$D$2:$D$9,MATCH("2018::jama.2018.0156::C003",'C_jama.2018.0156'!$A$2:$A$9,0))="","",INDEX('C_jama.2018.0156'!$D$2:$D$9,MATCH("2018::jama.2018.0156::C003",'C_jama.2018.0156'!$A$2:$A$9,0)))</x:f>
      </x:c>
      <x:c r="T10" s="6" t="str">
        <x:f>IF(INDEX('C_jama.2018.0156'!$E$2:$E$9,MATCH("2018::jama.2018.0156::C003",'C_jama.2018.0156'!$A$2:$A$9,0))="","",INDEX('C_jama.2018.0156'!$E$2:$E$9,MATCH("2018::jama.2018.0156::C003",'C_jama.2018.0156'!$A$2:$A$9,0)))</x:f>
        <x:v>statistical_results</x:v>
      </x:c>
      <x:c r="U10" s="6" t="str">
        <x:f>IF(AND(INDEX('C_jama.2018.0156'!$D$2:$D$9,MATCH("2018::jama.2018.0156::C003",'C_jama.2018.0156'!$A$2:$A$9,0))="retain",INDEX('C_jama.2018.0156'!$E$2:$E$9,MATCH("2018::jama.2018.0156::C003",'C_jama.2018.0156'!$A$2:$A$9,0))="statistical_results"),IF(INDEX('C_jama.2018.0156'!$H$2:$H$9,MATCH("2018::jama.2018.0156::C003",'C_jama.2018.0156'!$A$2:$A$9,0))="","",INDEX('C_jama.2018.0156'!$H$2:$H$9,MATCH("2018::jama.2018.0156::C003",'C_jama.2018.0156'!$A$2:$A$9,0))),"not_applicable")</x:f>
        <x:v>not_applicable</x:v>
      </x:c>
      <x:c r="V10" s="6" t="str">
        <x:f>IF(AND(INDEX('C_jama.2018.0156'!$D$2:$D$9,MATCH("2018::jama.2018.0156::C003",'C_jama.2018.0156'!$A$2:$A$9,0))="retain",INDEX('C_jama.2018.0156'!$E$2:$E$9,MATCH("2018::jama.2018.0156::C003",'C_jama.2018.0156'!$A$2:$A$9,0))="statistical_results"),IF(INDEX('C_jama.2018.0156'!$I$2:$I$9,MATCH("2018::jama.2018.0156::C003",'C_jama.2018.0156'!$A$2:$A$9,0))="","",INDEX('C_jama.2018.0156'!$I$2:$I$9,MATCH("2018::jama.2018.0156::C003",'C_jama.2018.0156'!$A$2:$A$9,0))),"not_applicable")</x:f>
        <x:v>not_applicable</x:v>
      </x:c>
      <x:c r="W10" s="6" t="str">
        <x:f>IF(AND(INDEX('C_jama.2018.0156'!$D$2:$D$9,MATCH("2018::jama.2018.0156::C003",'C_jama.2018.0156'!$A$2:$A$9,0))="retain",INDEX('C_jama.2018.0156'!$E$2:$E$9,MATCH("2018::jama.2018.0156::C003",'C_jama.2018.0156'!$A$2:$A$9,0))="statistical_results"),IF(INDEX('C_jama.2018.0156'!$J$2:$J$9,MATCH("2018::jama.2018.0156::C003",'C_jama.2018.0156'!$A$2:$A$9,0))="","",INDEX('C_jama.2018.0156'!$J$2:$J$9,MATCH("2018::jama.2018.0156::C003",'C_jama.2018.0156'!$A$2:$A$9,0))),"not_applicable")</x:f>
        <x:v>not_applicable</x:v>
      </x:c>
      <x:c r="X10" s="6" t="str">
        <x:f>IF(AND(INDEX('C_jama.2018.0156'!$D$2:$D$9,MATCH("2018::jama.2018.0156::C003",'C_jama.2018.0156'!$A$2:$A$9,0))="retain",OR(INDEX('C_jama.2018.0156'!$E$2:$E$9,MATCH("2018::jama.2018.0156::C003",'C_jama.2018.0156'!$A$2:$A$9,0))="report_internal_inconsistency",INDEX('C_jama.2018.0156'!$E$2:$E$9,MATCH("2018::jama.2018.0156::C003",'C_jama.2018.0156'!$A$2:$A$9,0))="plan_material")),IF(INDEX('C_jama.2018.0156'!$K$2:$K$9,MATCH("2018::jama.2018.0156::C003",'C_jama.2018.0156'!$A$2:$A$9,0))="","",INDEX('C_jama.2018.0156'!$K$2:$K$9,MATCH("2018::jama.2018.0156::C003",'C_jama.2018.0156'!$A$2:$A$9,0))),"not_applicable")</x:f>
        <x:v>not_applicable</x:v>
      </x:c>
      <x:c r="Y10" s="6" t="str">
        <x:f>IF(AND(INDEX('C_jama.2018.0156'!$D$2:$D$9,MATCH("2018::jama.2018.0156::C003",'C_jama.2018.0156'!$A$2:$A$9,0))="retain",INDEX('C_jama.2018.0156'!$E$2:$E$9,MATCH("2018::jama.2018.0156::C003",'C_jama.2018.0156'!$A$2:$A$9,0))="protocol_report"),IF(INDEX('C_jama.2018.0156'!$L$2:$L$9,MATCH("2018::jama.2018.0156::C003",'C_jama.2018.0156'!$A$2:$A$9,0))="","",INDEX('C_jama.2018.0156'!$L$2:$L$9,MATCH("2018::jama.2018.0156::C003",'C_jama.2018.0156'!$A$2:$A$9,0))),"not_applicable")</x:f>
        <x:v>not_applicable</x:v>
      </x:c>
      <x:c r="Z10" s="6" t="str">
        <x:f>IF(INDEX('C_jama.2018.0156'!$R$2:$R$9,MATCH("2018::jama.2018.0156::C003",'C_jama.2018.0156'!$A$2:$A$9,0))="","",INDEX('C_jama.2018.0156'!$R$2:$R$9,MATCH("2018::jama.2018.0156::C003",'C_jama.2018.0156'!$A$2:$A$9,0)))</x:f>
      </x:c>
      <x:c r="AA10" s="6" t="str">
        <x:f>IF(INDEX('C_jama.2018.0156'!$N$2:$N$9,MATCH("2018::jama.2018.0156::C003",'C_jama.2018.0156'!$A$2:$A$9,0))="","",INDEX('C_jama.2018.0156'!$N$2:$N$9,MATCH("2018::jama.2018.0156::C003",'C_jama.2018.0156'!$A$2:$A$9,0)))</x:f>
      </x:c>
      <x:c r="AB10" s="6" t="str">
        <x:f>IF(INDEX('C_jama.2018.0156'!$O$2:$O$9,MATCH("2018::jama.2018.0156::C003",'C_jama.2018.0156'!$A$2:$A$9,0))="","",INDEX('C_jama.2018.0156'!$O$2:$O$9,MATCH("2018::jama.2018.0156::C003",'C_jama.2018.0156'!$A$2:$A$9,0)))</x:f>
      </x:c>
      <x:c r="AC10" s="6" t="str">
        <x:f>IF(INDEX('C_jama.2018.0156'!$P$2:$P$9,MATCH("2018::jama.2018.0156::C003",'C_jama.2018.0156'!$A$2:$A$9,0))="","",INDEX('C_jama.2018.0156'!$P$2:$P$9,MATCH("2018::jama.2018.0156::C003",'C_jama.2018.0156'!$A$2:$A$9,0)))</x:f>
      </x:c>
      <x:c r="AD10" s="6" t="str">
        <x:f>IF(INDEX('C_jama.2018.0156'!$Q$2:$Q$9,MATCH("2018::jama.2018.0156::C003",'C_jama.2018.0156'!$A$2:$A$9,0))="","",INDEX('C_jama.2018.0156'!$Q$2:$Q$9,MATCH("2018::jama.2018.0156::C003",'C_jama.2018.0156'!$A$2:$A$9,0)))</x:f>
      </x:c>
    </x:row>
    <x:row r="11" ht="65" customHeight="1">
      <x:c r="A11" s="3" t="n">
        <x:v>2018</x:v>
      </x:c>
      <x:c r="B11" s="3" t="str">
        <x:v>jama.2018.0156</x:v>
      </x:c>
      <x:c r="C11" s="3" t="str">
        <x:v>2018::jama.2018.0156::C004</x:v>
      </x:c>
      <x:c r="D11" s="3" t="str">
        <x:v>S_W</x:v>
      </x:c>
      <x:c r="E11" s="3" t="n">
        <x:f>Setup!$B$2</x:f>
        <x:v>0</x:v>
      </x:c>
      <x:c r="F11" s="3" t="str">
        <x:f>IF(Setup!$B$4="","",Setup!$B$4)</x:f>
      </x:c>
      <x:c r="G11" s="3" t="str">
        <x:f>IFERROR(INDEX('C_jama.2018.0156'!$G$2:$G$9,MATCH("2018::jama.2018.0156::C004",'C_jama.2018.0156'!$A$2:$A$9,0)),"CHECK KEY")</x:f>
        <x:v>CHECK REVIEWER IDs</x:v>
      </x:c>
      <x:c r="H11" s="3" t="str">
        <x:f>IF(G11&lt;&gt;"FINAL READY","",IF(S11&lt;&gt;"retain","not_eligible",IF(D11="P_R","protocol_descriptive",IF(D11="P_P","plan_descriptive",IF(AND(T11="statistical_results",OR(U11="confirmed_issue",U11="probable_issue"),V11="substantive"),"primary_temporal",IF(AND(T11="report_internal_inconsistency",X11="substantive_inconsistency"),"secondary_temporal","not_eligible"))))))</x:f>
      </x:c>
      <x:c r="I11" s="3" t="str">
        <x:v>retain</x:v>
      </x:c>
      <x:c r="J11" s="3" t="str">
        <x:v>statistical_results</x:v>
      </x:c>
      <x:c r="K11" s="3" t="str">
        <x:f>IF(Setup!$B$6="primary","",IFERROR(IF(INDEX('Primary_snapshot'!$B$2:$B$120,MATCH(C11,'Primary_snapshot'!$A$2:$A$120,0))="","",INDEX('Primary_snapshot'!$B$2:$B$120,MATCH(C11,'Primary_snapshot'!$A$2:$A$120,0))),"SNAPSHOT MISSING"))</x:f>
      </x:c>
      <x:c r="L11" s="3" t="str">
        <x:f>IF(Setup!$B$6="primary","",IFERROR(IF(INDEX('Primary_snapshot'!$C$2:$C$120,MATCH(C11,'Primary_snapshot'!$A$2:$A$120,0))="","",INDEX('Primary_snapshot'!$C$2:$C$120,MATCH(C11,'Primary_snapshot'!$A$2:$A$120,0))),"SNAPSHOT MISSING"))</x:f>
      </x:c>
      <x:c r="M11" s="3" t="str">
        <x:f>IF(Setup!$B$6="primary","",IFERROR(IF(INDEX('Primary_snapshot'!$D$2:$D$120,MATCH(C11,'Primary_snapshot'!$A$2:$A$120,0))="","",INDEX('Primary_snapshot'!$D$2:$D$120,MATCH(C11,'Primary_snapshot'!$A$2:$A$120,0))),"SNAPSHOT MISSING"))</x:f>
      </x:c>
      <x:c r="N11" s="3" t="str">
        <x:f>IF(Setup!$B$6="primary","",IFERROR(IF(INDEX('Primary_snapshot'!$E$2:$E$120,MATCH(C11,'Primary_snapshot'!$A$2:$A$120,0))="","",INDEX('Primary_snapshot'!$E$2:$E$120,MATCH(C11,'Primary_snapshot'!$A$2:$A$120,0))),"SNAPSHOT MISSING"))</x:f>
      </x:c>
      <x:c r="O11" s="3" t="str">
        <x:f>IF(Setup!$B$6="primary","",IFERROR(IF(INDEX('Primary_snapshot'!$F$2:$F$120,MATCH(C11,'Primary_snapshot'!$A$2:$A$120,0))="","",INDEX('Primary_snapshot'!$F$2:$F$120,MATCH(C11,'Primary_snapshot'!$A$2:$A$120,0))),"SNAPSHOT MISSING"))</x:f>
      </x:c>
      <x:c r="P11" s="3" t="str">
        <x:f>IF(Setup!$B$6="primary","",IFERROR(IF(INDEX('Primary_snapshot'!$G$2:$G$120,MATCH(C11,'Primary_snapshot'!$A$2:$A$120,0))="","",INDEX('Primary_snapshot'!$G$2:$G$120,MATCH(C11,'Primary_snapshot'!$A$2:$A$120,0))),"SNAPSHOT MISSING"))</x:f>
      </x:c>
      <x:c r="Q11" s="3" t="str">
        <x:f>IF(Setup!$B$6="primary","",IFERROR(IF(INDEX('Primary_snapshot'!$H$2:$H$120,MATCH(C11,'Primary_snapshot'!$A$2:$A$120,0))="","",INDEX('Primary_snapshot'!$H$2:$H$120,MATCH(C11,'Primary_snapshot'!$A$2:$A$120,0))),"SNAPSHOT MISSING"))</x:f>
      </x:c>
      <x:c r="R11" s="3" t="str">
        <x:f>IF(Setup!$B$6="primary","",IFERROR(IF(INDEX('Primary_snapshot'!$I$2:$I$120,MATCH(C11,'Primary_snapshot'!$A$2:$A$120,0))="","",INDEX('Primary_snapshot'!$I$2:$I$120,MATCH(C11,'Primary_snapshot'!$A$2:$A$120,0))),"SNAPSHOT MISSING"))</x:f>
      </x:c>
      <x:c r="S11" s="3" t="str">
        <x:f>IF(INDEX('C_jama.2018.0156'!$D$2:$D$9,MATCH("2018::jama.2018.0156::C004",'C_jama.2018.0156'!$A$2:$A$9,0))="","",INDEX('C_jama.2018.0156'!$D$2:$D$9,MATCH("2018::jama.2018.0156::C004",'C_jama.2018.0156'!$A$2:$A$9,0)))</x:f>
      </x:c>
      <x:c r="T11" s="3" t="str">
        <x:f>IF(INDEX('C_jama.2018.0156'!$E$2:$E$9,MATCH("2018::jama.2018.0156::C004",'C_jama.2018.0156'!$A$2:$A$9,0))="","",INDEX('C_jama.2018.0156'!$E$2:$E$9,MATCH("2018::jama.2018.0156::C004",'C_jama.2018.0156'!$A$2:$A$9,0)))</x:f>
        <x:v>statistical_results</x:v>
      </x:c>
      <x:c r="U11" s="3" t="str">
        <x:f>IF(AND(INDEX('C_jama.2018.0156'!$D$2:$D$9,MATCH("2018::jama.2018.0156::C004",'C_jama.2018.0156'!$A$2:$A$9,0))="retain",INDEX('C_jama.2018.0156'!$E$2:$E$9,MATCH("2018::jama.2018.0156::C004",'C_jama.2018.0156'!$A$2:$A$9,0))="statistical_results"),IF(INDEX('C_jama.2018.0156'!$H$2:$H$9,MATCH("2018::jama.2018.0156::C004",'C_jama.2018.0156'!$A$2:$A$9,0))="","",INDEX('C_jama.2018.0156'!$H$2:$H$9,MATCH("2018::jama.2018.0156::C004",'C_jama.2018.0156'!$A$2:$A$9,0))),"not_applicable")</x:f>
        <x:v>not_applicable</x:v>
      </x:c>
      <x:c r="V11" s="3" t="str">
        <x:f>IF(AND(INDEX('C_jama.2018.0156'!$D$2:$D$9,MATCH("2018::jama.2018.0156::C004",'C_jama.2018.0156'!$A$2:$A$9,0))="retain",INDEX('C_jama.2018.0156'!$E$2:$E$9,MATCH("2018::jama.2018.0156::C004",'C_jama.2018.0156'!$A$2:$A$9,0))="statistical_results"),IF(INDEX('C_jama.2018.0156'!$I$2:$I$9,MATCH("2018::jama.2018.0156::C004",'C_jama.2018.0156'!$A$2:$A$9,0))="","",INDEX('C_jama.2018.0156'!$I$2:$I$9,MATCH("2018::jama.2018.0156::C004",'C_jama.2018.0156'!$A$2:$A$9,0))),"not_applicable")</x:f>
        <x:v>not_applicable</x:v>
      </x:c>
      <x:c r="W11" s="3" t="str">
        <x:f>IF(AND(INDEX('C_jama.2018.0156'!$D$2:$D$9,MATCH("2018::jama.2018.0156::C004",'C_jama.2018.0156'!$A$2:$A$9,0))="retain",INDEX('C_jama.2018.0156'!$E$2:$E$9,MATCH("2018::jama.2018.0156::C004",'C_jama.2018.0156'!$A$2:$A$9,0))="statistical_results"),IF(INDEX('C_jama.2018.0156'!$J$2:$J$9,MATCH("2018::jama.2018.0156::C004",'C_jama.2018.0156'!$A$2:$A$9,0))="","",INDEX('C_jama.2018.0156'!$J$2:$J$9,MATCH("2018::jama.2018.0156::C004",'C_jama.2018.0156'!$A$2:$A$9,0))),"not_applicable")</x:f>
        <x:v>not_applicable</x:v>
      </x:c>
      <x:c r="X11" s="3" t="str">
        <x:f>IF(AND(INDEX('C_jama.2018.0156'!$D$2:$D$9,MATCH("2018::jama.2018.0156::C004",'C_jama.2018.0156'!$A$2:$A$9,0))="retain",OR(INDEX('C_jama.2018.0156'!$E$2:$E$9,MATCH("2018::jama.2018.0156::C004",'C_jama.2018.0156'!$A$2:$A$9,0))="report_internal_inconsistency",INDEX('C_jama.2018.0156'!$E$2:$E$9,MATCH("2018::jama.2018.0156::C004",'C_jama.2018.0156'!$A$2:$A$9,0))="plan_material")),IF(INDEX('C_jama.2018.0156'!$K$2:$K$9,MATCH("2018::jama.2018.0156::C004",'C_jama.2018.0156'!$A$2:$A$9,0))="","",INDEX('C_jama.2018.0156'!$K$2:$K$9,MATCH("2018::jama.2018.0156::C004",'C_jama.2018.0156'!$A$2:$A$9,0))),"not_applicable")</x:f>
        <x:v>not_applicable</x:v>
      </x:c>
      <x:c r="Y11" s="3" t="str">
        <x:f>IF(AND(INDEX('C_jama.2018.0156'!$D$2:$D$9,MATCH("2018::jama.2018.0156::C004",'C_jama.2018.0156'!$A$2:$A$9,0))="retain",INDEX('C_jama.2018.0156'!$E$2:$E$9,MATCH("2018::jama.2018.0156::C004",'C_jama.2018.0156'!$A$2:$A$9,0))="protocol_report"),IF(INDEX('C_jama.2018.0156'!$L$2:$L$9,MATCH("2018::jama.2018.0156::C004",'C_jama.2018.0156'!$A$2:$A$9,0))="","",INDEX('C_jama.2018.0156'!$L$2:$L$9,MATCH("2018::jama.2018.0156::C004",'C_jama.2018.0156'!$A$2:$A$9,0))),"not_applicable")</x:f>
        <x:v>not_applicable</x:v>
      </x:c>
      <x:c r="Z11" s="3" t="str">
        <x:f>IF(INDEX('C_jama.2018.0156'!$R$2:$R$9,MATCH("2018::jama.2018.0156::C004",'C_jama.2018.0156'!$A$2:$A$9,0))="","",INDEX('C_jama.2018.0156'!$R$2:$R$9,MATCH("2018::jama.2018.0156::C004",'C_jama.2018.0156'!$A$2:$A$9,0)))</x:f>
      </x:c>
      <x:c r="AA11" s="3" t="str">
        <x:f>IF(INDEX('C_jama.2018.0156'!$N$2:$N$9,MATCH("2018::jama.2018.0156::C004",'C_jama.2018.0156'!$A$2:$A$9,0))="","",INDEX('C_jama.2018.0156'!$N$2:$N$9,MATCH("2018::jama.2018.0156::C004",'C_jama.2018.0156'!$A$2:$A$9,0)))</x:f>
      </x:c>
      <x:c r="AB11" s="3" t="str">
        <x:f>IF(INDEX('C_jama.2018.0156'!$O$2:$O$9,MATCH("2018::jama.2018.0156::C004",'C_jama.2018.0156'!$A$2:$A$9,0))="","",INDEX('C_jama.2018.0156'!$O$2:$O$9,MATCH("2018::jama.2018.0156::C004",'C_jama.2018.0156'!$A$2:$A$9,0)))</x:f>
      </x:c>
      <x:c r="AC11" s="3" t="str">
        <x:f>IF(INDEX('C_jama.2018.0156'!$P$2:$P$9,MATCH("2018::jama.2018.0156::C004",'C_jama.2018.0156'!$A$2:$A$9,0))="","",INDEX('C_jama.2018.0156'!$P$2:$P$9,MATCH("2018::jama.2018.0156::C004",'C_jama.2018.0156'!$A$2:$A$9,0)))</x:f>
      </x:c>
      <x:c r="AD11" s="3" t="str">
        <x:f>IF(INDEX('C_jama.2018.0156'!$Q$2:$Q$9,MATCH("2018::jama.2018.0156::C004",'C_jama.2018.0156'!$A$2:$A$9,0))="","",INDEX('C_jama.2018.0156'!$Q$2:$Q$9,MATCH("2018::jama.2018.0156::C004",'C_jama.2018.0156'!$A$2:$A$9,0)))</x:f>
      </x:c>
    </x:row>
    <x:row r="12" ht="65" customHeight="1">
      <x:c r="A12" s="6" t="n">
        <x:v>2018</x:v>
      </x:c>
      <x:c r="B12" s="6" t="str">
        <x:v>jama.2018.0156</x:v>
      </x:c>
      <x:c r="C12" s="6" t="str">
        <x:v>2018::jama.2018.0156::C005</x:v>
      </x:c>
      <x:c r="D12" s="6" t="str">
        <x:v>S_W</x:v>
      </x:c>
      <x:c r="E12" s="6" t="n">
        <x:f>Setup!$B$2</x:f>
        <x:v>0</x:v>
      </x:c>
      <x:c r="F12" s="6" t="str">
        <x:f>IF(Setup!$B$4="","",Setup!$B$4)</x:f>
      </x:c>
      <x:c r="G12" s="6" t="str">
        <x:f>IFERROR(INDEX('C_jama.2018.0156'!$G$2:$G$9,MATCH("2018::jama.2018.0156::C005",'C_jama.2018.0156'!$A$2:$A$9,0)),"CHECK KEY")</x:f>
        <x:v>CHECK REVIEWER IDs</x:v>
      </x:c>
      <x:c r="H12" s="6" t="str">
        <x:f>IF(G12&lt;&gt;"FINAL READY","",IF(S12&lt;&gt;"retain","not_eligible",IF(D12="P_R","protocol_descriptive",IF(D12="P_P","plan_descriptive",IF(AND(T12="statistical_results",OR(U12="confirmed_issue",U12="probable_issue"),V12="substantive"),"primary_temporal",IF(AND(T12="report_internal_inconsistency",X12="substantive_inconsistency"),"secondary_temporal","not_eligible"))))))</x:f>
      </x:c>
      <x:c r="I12" s="6" t="str">
        <x:v>retain</x:v>
      </x:c>
      <x:c r="J12" s="6" t="str">
        <x:v>statistical_results</x:v>
      </x:c>
      <x:c r="K12" s="6" t="str">
        <x:f>IF(Setup!$B$6="primary","",IFERROR(IF(INDEX('Primary_snapshot'!$B$2:$B$120,MATCH(C12,'Primary_snapshot'!$A$2:$A$120,0))="","",INDEX('Primary_snapshot'!$B$2:$B$120,MATCH(C12,'Primary_snapshot'!$A$2:$A$120,0))),"SNAPSHOT MISSING"))</x:f>
      </x:c>
      <x:c r="L12" s="6" t="str">
        <x:f>IF(Setup!$B$6="primary","",IFERROR(IF(INDEX('Primary_snapshot'!$C$2:$C$120,MATCH(C12,'Primary_snapshot'!$A$2:$A$120,0))="","",INDEX('Primary_snapshot'!$C$2:$C$120,MATCH(C12,'Primary_snapshot'!$A$2:$A$120,0))),"SNAPSHOT MISSING"))</x:f>
      </x:c>
      <x:c r="M12" s="6" t="str">
        <x:f>IF(Setup!$B$6="primary","",IFERROR(IF(INDEX('Primary_snapshot'!$D$2:$D$120,MATCH(C12,'Primary_snapshot'!$A$2:$A$120,0))="","",INDEX('Primary_snapshot'!$D$2:$D$120,MATCH(C12,'Primary_snapshot'!$A$2:$A$120,0))),"SNAPSHOT MISSING"))</x:f>
      </x:c>
      <x:c r="N12" s="6" t="str">
        <x:f>IF(Setup!$B$6="primary","",IFERROR(IF(INDEX('Primary_snapshot'!$E$2:$E$120,MATCH(C12,'Primary_snapshot'!$A$2:$A$120,0))="","",INDEX('Primary_snapshot'!$E$2:$E$120,MATCH(C12,'Primary_snapshot'!$A$2:$A$120,0))),"SNAPSHOT MISSING"))</x:f>
      </x:c>
      <x:c r="O12" s="6" t="str">
        <x:f>IF(Setup!$B$6="primary","",IFERROR(IF(INDEX('Primary_snapshot'!$F$2:$F$120,MATCH(C12,'Primary_snapshot'!$A$2:$A$120,0))="","",INDEX('Primary_snapshot'!$F$2:$F$120,MATCH(C12,'Primary_snapshot'!$A$2:$A$120,0))),"SNAPSHOT MISSING"))</x:f>
      </x:c>
      <x:c r="P12" s="6" t="str">
        <x:f>IF(Setup!$B$6="primary","",IFERROR(IF(INDEX('Primary_snapshot'!$G$2:$G$120,MATCH(C12,'Primary_snapshot'!$A$2:$A$120,0))="","",INDEX('Primary_snapshot'!$G$2:$G$120,MATCH(C12,'Primary_snapshot'!$A$2:$A$120,0))),"SNAPSHOT MISSING"))</x:f>
      </x:c>
      <x:c r="Q12" s="6" t="str">
        <x:f>IF(Setup!$B$6="primary","",IFERROR(IF(INDEX('Primary_snapshot'!$H$2:$H$120,MATCH(C12,'Primary_snapshot'!$A$2:$A$120,0))="","",INDEX('Primary_snapshot'!$H$2:$H$120,MATCH(C12,'Primary_snapshot'!$A$2:$A$120,0))),"SNAPSHOT MISSING"))</x:f>
      </x:c>
      <x:c r="R12" s="6" t="str">
        <x:f>IF(Setup!$B$6="primary","",IFERROR(IF(INDEX('Primary_snapshot'!$I$2:$I$120,MATCH(C12,'Primary_snapshot'!$A$2:$A$120,0))="","",INDEX('Primary_snapshot'!$I$2:$I$120,MATCH(C12,'Primary_snapshot'!$A$2:$A$120,0))),"SNAPSHOT MISSING"))</x:f>
      </x:c>
      <x:c r="S12" s="6" t="str">
        <x:f>IF(INDEX('C_jama.2018.0156'!$D$2:$D$9,MATCH("2018::jama.2018.0156::C005",'C_jama.2018.0156'!$A$2:$A$9,0))="","",INDEX('C_jama.2018.0156'!$D$2:$D$9,MATCH("2018::jama.2018.0156::C005",'C_jama.2018.0156'!$A$2:$A$9,0)))</x:f>
      </x:c>
      <x:c r="T12" s="6" t="str">
        <x:f>IF(INDEX('C_jama.2018.0156'!$E$2:$E$9,MATCH("2018::jama.2018.0156::C005",'C_jama.2018.0156'!$A$2:$A$9,0))="","",INDEX('C_jama.2018.0156'!$E$2:$E$9,MATCH("2018::jama.2018.0156::C005",'C_jama.2018.0156'!$A$2:$A$9,0)))</x:f>
        <x:v>statistical_results</x:v>
      </x:c>
      <x:c r="U12" s="6" t="str">
        <x:f>IF(AND(INDEX('C_jama.2018.0156'!$D$2:$D$9,MATCH("2018::jama.2018.0156::C005",'C_jama.2018.0156'!$A$2:$A$9,0))="retain",INDEX('C_jama.2018.0156'!$E$2:$E$9,MATCH("2018::jama.2018.0156::C005",'C_jama.2018.0156'!$A$2:$A$9,0))="statistical_results"),IF(INDEX('C_jama.2018.0156'!$H$2:$H$9,MATCH("2018::jama.2018.0156::C005",'C_jama.2018.0156'!$A$2:$A$9,0))="","",INDEX('C_jama.2018.0156'!$H$2:$H$9,MATCH("2018::jama.2018.0156::C005",'C_jama.2018.0156'!$A$2:$A$9,0))),"not_applicable")</x:f>
        <x:v>not_applicable</x:v>
      </x:c>
      <x:c r="V12" s="6" t="str">
        <x:f>IF(AND(INDEX('C_jama.2018.0156'!$D$2:$D$9,MATCH("2018::jama.2018.0156::C005",'C_jama.2018.0156'!$A$2:$A$9,0))="retain",INDEX('C_jama.2018.0156'!$E$2:$E$9,MATCH("2018::jama.2018.0156::C005",'C_jama.2018.0156'!$A$2:$A$9,0))="statistical_results"),IF(INDEX('C_jama.2018.0156'!$I$2:$I$9,MATCH("2018::jama.2018.0156::C005",'C_jama.2018.0156'!$A$2:$A$9,0))="","",INDEX('C_jama.2018.0156'!$I$2:$I$9,MATCH("2018::jama.2018.0156::C005",'C_jama.2018.0156'!$A$2:$A$9,0))),"not_applicable")</x:f>
        <x:v>not_applicable</x:v>
      </x:c>
      <x:c r="W12" s="6" t="str">
        <x:f>IF(AND(INDEX('C_jama.2018.0156'!$D$2:$D$9,MATCH("2018::jama.2018.0156::C005",'C_jama.2018.0156'!$A$2:$A$9,0))="retain",INDEX('C_jama.2018.0156'!$E$2:$E$9,MATCH("2018::jama.2018.0156::C005",'C_jama.2018.0156'!$A$2:$A$9,0))="statistical_results"),IF(INDEX('C_jama.2018.0156'!$J$2:$J$9,MATCH("2018::jama.2018.0156::C005",'C_jama.2018.0156'!$A$2:$A$9,0))="","",INDEX('C_jama.2018.0156'!$J$2:$J$9,MATCH("2018::jama.2018.0156::C005",'C_jama.2018.0156'!$A$2:$A$9,0))),"not_applicable")</x:f>
        <x:v>not_applicable</x:v>
      </x:c>
      <x:c r="X12" s="6" t="str">
        <x:f>IF(AND(INDEX('C_jama.2018.0156'!$D$2:$D$9,MATCH("2018::jama.2018.0156::C005",'C_jama.2018.0156'!$A$2:$A$9,0))="retain",OR(INDEX('C_jama.2018.0156'!$E$2:$E$9,MATCH("2018::jama.2018.0156::C005",'C_jama.2018.0156'!$A$2:$A$9,0))="report_internal_inconsistency",INDEX('C_jama.2018.0156'!$E$2:$E$9,MATCH("2018::jama.2018.0156::C005",'C_jama.2018.0156'!$A$2:$A$9,0))="plan_material")),IF(INDEX('C_jama.2018.0156'!$K$2:$K$9,MATCH("2018::jama.2018.0156::C005",'C_jama.2018.0156'!$A$2:$A$9,0))="","",INDEX('C_jama.2018.0156'!$K$2:$K$9,MATCH("2018::jama.2018.0156::C005",'C_jama.2018.0156'!$A$2:$A$9,0))),"not_applicable")</x:f>
        <x:v>not_applicable</x:v>
      </x:c>
      <x:c r="Y12" s="6" t="str">
        <x:f>IF(AND(INDEX('C_jama.2018.0156'!$D$2:$D$9,MATCH("2018::jama.2018.0156::C005",'C_jama.2018.0156'!$A$2:$A$9,0))="retain",INDEX('C_jama.2018.0156'!$E$2:$E$9,MATCH("2018::jama.2018.0156::C005",'C_jama.2018.0156'!$A$2:$A$9,0))="protocol_report"),IF(INDEX('C_jama.2018.0156'!$L$2:$L$9,MATCH("2018::jama.2018.0156::C005",'C_jama.2018.0156'!$A$2:$A$9,0))="","",INDEX('C_jama.2018.0156'!$L$2:$L$9,MATCH("2018::jama.2018.0156::C005",'C_jama.2018.0156'!$A$2:$A$9,0))),"not_applicable")</x:f>
        <x:v>not_applicable</x:v>
      </x:c>
      <x:c r="Z12" s="6" t="str">
        <x:f>IF(INDEX('C_jama.2018.0156'!$R$2:$R$9,MATCH("2018::jama.2018.0156::C005",'C_jama.2018.0156'!$A$2:$A$9,0))="","",INDEX('C_jama.2018.0156'!$R$2:$R$9,MATCH("2018::jama.2018.0156::C005",'C_jama.2018.0156'!$A$2:$A$9,0)))</x:f>
      </x:c>
      <x:c r="AA12" s="6" t="str">
        <x:f>IF(INDEX('C_jama.2018.0156'!$N$2:$N$9,MATCH("2018::jama.2018.0156::C005",'C_jama.2018.0156'!$A$2:$A$9,0))="","",INDEX('C_jama.2018.0156'!$N$2:$N$9,MATCH("2018::jama.2018.0156::C005",'C_jama.2018.0156'!$A$2:$A$9,0)))</x:f>
      </x:c>
      <x:c r="AB12" s="6" t="str">
        <x:f>IF(INDEX('C_jama.2018.0156'!$O$2:$O$9,MATCH("2018::jama.2018.0156::C005",'C_jama.2018.0156'!$A$2:$A$9,0))="","",INDEX('C_jama.2018.0156'!$O$2:$O$9,MATCH("2018::jama.2018.0156::C005",'C_jama.2018.0156'!$A$2:$A$9,0)))</x:f>
      </x:c>
      <x:c r="AC12" s="6" t="str">
        <x:f>IF(INDEX('C_jama.2018.0156'!$P$2:$P$9,MATCH("2018::jama.2018.0156::C005",'C_jama.2018.0156'!$A$2:$A$9,0))="","",INDEX('C_jama.2018.0156'!$P$2:$P$9,MATCH("2018::jama.2018.0156::C005",'C_jama.2018.0156'!$A$2:$A$9,0)))</x:f>
      </x:c>
      <x:c r="AD12" s="6" t="str">
        <x:f>IF(INDEX('C_jama.2018.0156'!$Q$2:$Q$9,MATCH("2018::jama.2018.0156::C005",'C_jama.2018.0156'!$A$2:$A$9,0))="","",INDEX('C_jama.2018.0156'!$Q$2:$Q$9,MATCH("2018::jama.2018.0156::C005",'C_jama.2018.0156'!$A$2:$A$9,0)))</x:f>
      </x:c>
    </x:row>
    <x:row r="13" ht="65" customHeight="1">
      <x:c r="A13" s="3" t="n">
        <x:v>2018</x:v>
      </x:c>
      <x:c r="B13" s="3" t="str">
        <x:v>jama.2018.0156</x:v>
      </x:c>
      <x:c r="C13" s="3" t="str">
        <x:v>2018::jama.2018.0156::C006</x:v>
      </x:c>
      <x:c r="D13" s="3" t="str">
        <x:v>S_C</x:v>
      </x:c>
      <x:c r="E13" s="3" t="n">
        <x:f>Setup!$B$2</x:f>
        <x:v>0</x:v>
      </x:c>
      <x:c r="F13" s="3" t="str">
        <x:f>IF(Setup!$B$4="","",Setup!$B$4)</x:f>
      </x:c>
      <x:c r="G13" s="3" t="str">
        <x:f>IFERROR(INDEX('C_jama.2018.0156'!$G$2:$G$9,MATCH("2018::jama.2018.0156::C006",'C_jama.2018.0156'!$A$2:$A$9,0)),"CHECK KEY")</x:f>
        <x:v>CHECK REVIEWER IDs</x:v>
      </x:c>
      <x:c r="H13" s="3" t="str">
        <x:f>IF(G13&lt;&gt;"FINAL READY","",IF(S13&lt;&gt;"retain","not_eligible",IF(D13="P_R","protocol_descriptive",IF(D13="P_P","plan_descriptive",IF(AND(T13="statistical_results",OR(U13="confirmed_issue",U13="probable_issue"),V13="substantive"),"primary_temporal",IF(AND(T13="report_internal_inconsistency",X13="substantive_inconsistency"),"secondary_temporal","not_eligible"))))))</x:f>
      </x:c>
      <x:c r="I13" s="3" t="str">
        <x:v>retain</x:v>
      </x:c>
      <x:c r="J13" s="3" t="str">
        <x:v>report_internal_inconsistency</x:v>
      </x:c>
      <x:c r="K13" s="3" t="str">
        <x:f>IF(Setup!$B$6="primary","",IFERROR(IF(INDEX('Primary_snapshot'!$B$2:$B$120,MATCH(C13,'Primary_snapshot'!$A$2:$A$120,0))="","",INDEX('Primary_snapshot'!$B$2:$B$120,MATCH(C13,'Primary_snapshot'!$A$2:$A$120,0))),"SNAPSHOT MISSING"))</x:f>
      </x:c>
      <x:c r="L13" s="3" t="str">
        <x:f>IF(Setup!$B$6="primary","",IFERROR(IF(INDEX('Primary_snapshot'!$C$2:$C$120,MATCH(C13,'Primary_snapshot'!$A$2:$A$120,0))="","",INDEX('Primary_snapshot'!$C$2:$C$120,MATCH(C13,'Primary_snapshot'!$A$2:$A$120,0))),"SNAPSHOT MISSING"))</x:f>
      </x:c>
      <x:c r="M13" s="3" t="str">
        <x:f>IF(Setup!$B$6="primary","",IFERROR(IF(INDEX('Primary_snapshot'!$D$2:$D$120,MATCH(C13,'Primary_snapshot'!$A$2:$A$120,0))="","",INDEX('Primary_snapshot'!$D$2:$D$120,MATCH(C13,'Primary_snapshot'!$A$2:$A$120,0))),"SNAPSHOT MISSING"))</x:f>
      </x:c>
      <x:c r="N13" s="3" t="str">
        <x:f>IF(Setup!$B$6="primary","",IFERROR(IF(INDEX('Primary_snapshot'!$E$2:$E$120,MATCH(C13,'Primary_snapshot'!$A$2:$A$120,0))="","",INDEX('Primary_snapshot'!$E$2:$E$120,MATCH(C13,'Primary_snapshot'!$A$2:$A$120,0))),"SNAPSHOT MISSING"))</x:f>
      </x:c>
      <x:c r="O13" s="3" t="str">
        <x:f>IF(Setup!$B$6="primary","",IFERROR(IF(INDEX('Primary_snapshot'!$F$2:$F$120,MATCH(C13,'Primary_snapshot'!$A$2:$A$120,0))="","",INDEX('Primary_snapshot'!$F$2:$F$120,MATCH(C13,'Primary_snapshot'!$A$2:$A$120,0))),"SNAPSHOT MISSING"))</x:f>
      </x:c>
      <x:c r="P13" s="3" t="str">
        <x:f>IF(Setup!$B$6="primary","",IFERROR(IF(INDEX('Primary_snapshot'!$G$2:$G$120,MATCH(C13,'Primary_snapshot'!$A$2:$A$120,0))="","",INDEX('Primary_snapshot'!$G$2:$G$120,MATCH(C13,'Primary_snapshot'!$A$2:$A$120,0))),"SNAPSHOT MISSING"))</x:f>
      </x:c>
      <x:c r="Q13" s="3" t="str">
        <x:f>IF(Setup!$B$6="primary","",IFERROR(IF(INDEX('Primary_snapshot'!$H$2:$H$120,MATCH(C13,'Primary_snapshot'!$A$2:$A$120,0))="","",INDEX('Primary_snapshot'!$H$2:$H$120,MATCH(C13,'Primary_snapshot'!$A$2:$A$120,0))),"SNAPSHOT MISSING"))</x:f>
      </x:c>
      <x:c r="R13" s="3" t="str">
        <x:f>IF(Setup!$B$6="primary","",IFERROR(IF(INDEX('Primary_snapshot'!$I$2:$I$120,MATCH(C13,'Primary_snapshot'!$A$2:$A$120,0))="","",INDEX('Primary_snapshot'!$I$2:$I$120,MATCH(C13,'Primary_snapshot'!$A$2:$A$120,0))),"SNAPSHOT MISSING"))</x:f>
      </x:c>
      <x:c r="S13" s="3" t="str">
        <x:f>IF(INDEX('C_jama.2018.0156'!$D$2:$D$9,MATCH("2018::jama.2018.0156::C006",'C_jama.2018.0156'!$A$2:$A$9,0))="","",INDEX('C_jama.2018.0156'!$D$2:$D$9,MATCH("2018::jama.2018.0156::C006",'C_jama.2018.0156'!$A$2:$A$9,0)))</x:f>
      </x:c>
      <x:c r="T13" s="3" t="str">
        <x:f>IF(INDEX('C_jama.2018.0156'!$E$2:$E$9,MATCH("2018::jama.2018.0156::C006",'C_jama.2018.0156'!$A$2:$A$9,0))="","",INDEX('C_jama.2018.0156'!$E$2:$E$9,MATCH("2018::jama.2018.0156::C006",'C_jama.2018.0156'!$A$2:$A$9,0)))</x:f>
        <x:v>report_internal_inconsistency</x:v>
      </x:c>
      <x:c r="U13" s="3" t="str">
        <x:f>IF(AND(INDEX('C_jama.2018.0156'!$D$2:$D$9,MATCH("2018::jama.2018.0156::C006",'C_jama.2018.0156'!$A$2:$A$9,0))="retain",INDEX('C_jama.2018.0156'!$E$2:$E$9,MATCH("2018::jama.2018.0156::C006",'C_jama.2018.0156'!$A$2:$A$9,0))="statistical_results"),IF(INDEX('C_jama.2018.0156'!$H$2:$H$9,MATCH("2018::jama.2018.0156::C006",'C_jama.2018.0156'!$A$2:$A$9,0))="","",INDEX('C_jama.2018.0156'!$H$2:$H$9,MATCH("2018::jama.2018.0156::C006",'C_jama.2018.0156'!$A$2:$A$9,0))),"not_applicable")</x:f>
        <x:v>not_applicable</x:v>
      </x:c>
      <x:c r="V13" s="3" t="str">
        <x:f>IF(AND(INDEX('C_jama.2018.0156'!$D$2:$D$9,MATCH("2018::jama.2018.0156::C006",'C_jama.2018.0156'!$A$2:$A$9,0))="retain",INDEX('C_jama.2018.0156'!$E$2:$E$9,MATCH("2018::jama.2018.0156::C006",'C_jama.2018.0156'!$A$2:$A$9,0))="statistical_results"),IF(INDEX('C_jama.2018.0156'!$I$2:$I$9,MATCH("2018::jama.2018.0156::C006",'C_jama.2018.0156'!$A$2:$A$9,0))="","",INDEX('C_jama.2018.0156'!$I$2:$I$9,MATCH("2018::jama.2018.0156::C006",'C_jama.2018.0156'!$A$2:$A$9,0))),"not_applicable")</x:f>
        <x:v>not_applicable</x:v>
      </x:c>
      <x:c r="W13" s="3" t="str">
        <x:f>IF(AND(INDEX('C_jama.2018.0156'!$D$2:$D$9,MATCH("2018::jama.2018.0156::C006",'C_jama.2018.0156'!$A$2:$A$9,0))="retain",INDEX('C_jama.2018.0156'!$E$2:$E$9,MATCH("2018::jama.2018.0156::C006",'C_jama.2018.0156'!$A$2:$A$9,0))="statistical_results"),IF(INDEX('C_jama.2018.0156'!$J$2:$J$9,MATCH("2018::jama.2018.0156::C006",'C_jama.2018.0156'!$A$2:$A$9,0))="","",INDEX('C_jama.2018.0156'!$J$2:$J$9,MATCH("2018::jama.2018.0156::C006",'C_jama.2018.0156'!$A$2:$A$9,0))),"not_applicable")</x:f>
        <x:v>not_applicable</x:v>
      </x:c>
      <x:c r="X13" s="3" t="str">
        <x:f>IF(AND(INDEX('C_jama.2018.0156'!$D$2:$D$9,MATCH("2018::jama.2018.0156::C006",'C_jama.2018.0156'!$A$2:$A$9,0))="retain",OR(INDEX('C_jama.2018.0156'!$E$2:$E$9,MATCH("2018::jama.2018.0156::C006",'C_jama.2018.0156'!$A$2:$A$9,0))="report_internal_inconsistency",INDEX('C_jama.2018.0156'!$E$2:$E$9,MATCH("2018::jama.2018.0156::C006",'C_jama.2018.0156'!$A$2:$A$9,0))="plan_material")),IF(INDEX('C_jama.2018.0156'!$K$2:$K$9,MATCH("2018::jama.2018.0156::C006",'C_jama.2018.0156'!$A$2:$A$9,0))="","",INDEX('C_jama.2018.0156'!$K$2:$K$9,MATCH("2018::jama.2018.0156::C006",'C_jama.2018.0156'!$A$2:$A$9,0))),"not_applicable")</x:f>
        <x:v>not_applicable</x:v>
      </x:c>
      <x:c r="Y13" s="3" t="str">
        <x:f>IF(AND(INDEX('C_jama.2018.0156'!$D$2:$D$9,MATCH("2018::jama.2018.0156::C006",'C_jama.2018.0156'!$A$2:$A$9,0))="retain",INDEX('C_jama.2018.0156'!$E$2:$E$9,MATCH("2018::jama.2018.0156::C006",'C_jama.2018.0156'!$A$2:$A$9,0))="protocol_report"),IF(INDEX('C_jama.2018.0156'!$L$2:$L$9,MATCH("2018::jama.2018.0156::C006",'C_jama.2018.0156'!$A$2:$A$9,0))="","",INDEX('C_jama.2018.0156'!$L$2:$L$9,MATCH("2018::jama.2018.0156::C006",'C_jama.2018.0156'!$A$2:$A$9,0))),"not_applicable")</x:f>
        <x:v>not_applicable</x:v>
      </x:c>
      <x:c r="Z13" s="3" t="str">
        <x:f>IF(INDEX('C_jama.2018.0156'!$R$2:$R$9,MATCH("2018::jama.2018.0156::C006",'C_jama.2018.0156'!$A$2:$A$9,0))="","",INDEX('C_jama.2018.0156'!$R$2:$R$9,MATCH("2018::jama.2018.0156::C006",'C_jama.2018.0156'!$A$2:$A$9,0)))</x:f>
      </x:c>
      <x:c r="AA13" s="3" t="str">
        <x:f>IF(INDEX('C_jama.2018.0156'!$N$2:$N$9,MATCH("2018::jama.2018.0156::C006",'C_jama.2018.0156'!$A$2:$A$9,0))="","",INDEX('C_jama.2018.0156'!$N$2:$N$9,MATCH("2018::jama.2018.0156::C006",'C_jama.2018.0156'!$A$2:$A$9,0)))</x:f>
      </x:c>
      <x:c r="AB13" s="3" t="str">
        <x:f>IF(INDEX('C_jama.2018.0156'!$O$2:$O$9,MATCH("2018::jama.2018.0156::C006",'C_jama.2018.0156'!$A$2:$A$9,0))="","",INDEX('C_jama.2018.0156'!$O$2:$O$9,MATCH("2018::jama.2018.0156::C006",'C_jama.2018.0156'!$A$2:$A$9,0)))</x:f>
      </x:c>
      <x:c r="AC13" s="3" t="str">
        <x:f>IF(INDEX('C_jama.2018.0156'!$P$2:$P$9,MATCH("2018::jama.2018.0156::C006",'C_jama.2018.0156'!$A$2:$A$9,0))="","",INDEX('C_jama.2018.0156'!$P$2:$P$9,MATCH("2018::jama.2018.0156::C006",'C_jama.2018.0156'!$A$2:$A$9,0)))</x:f>
      </x:c>
      <x:c r="AD13" s="3" t="str">
        <x:f>IF(INDEX('C_jama.2018.0156'!$Q$2:$Q$9,MATCH("2018::jama.2018.0156::C006",'C_jama.2018.0156'!$A$2:$A$9,0))="","",INDEX('C_jama.2018.0156'!$Q$2:$Q$9,MATCH("2018::jama.2018.0156::C006",'C_jama.2018.0156'!$A$2:$A$9,0)))</x:f>
      </x:c>
    </x:row>
    <x:row r="14" ht="65" customHeight="1">
      <x:c r="A14" s="6" t="n">
        <x:v>2018</x:v>
      </x:c>
      <x:c r="B14" s="6" t="str">
        <x:v>jama.2018.0156</x:v>
      </x:c>
      <x:c r="C14" s="6" t="str">
        <x:v>2018::jama.2018.0156::C007</x:v>
      </x:c>
      <x:c r="D14" s="6" t="str">
        <x:v>P_R</x:v>
      </x:c>
      <x:c r="E14" s="6" t="n">
        <x:f>Setup!$B$2</x:f>
        <x:v>0</x:v>
      </x:c>
      <x:c r="F14" s="6" t="str">
        <x:f>IF(Setup!$B$4="","",Setup!$B$4)</x:f>
      </x:c>
      <x:c r="G14" s="6" t="str">
        <x:f>IFERROR(INDEX('C_jama.2018.0156'!$G$2:$G$9,MATCH("2018::jama.2018.0156::C007",'C_jama.2018.0156'!$A$2:$A$9,0)),"CHECK KEY")</x:f>
        <x:v>CHECK REVIEWER IDs</x:v>
      </x:c>
      <x:c r="H14" s="6" t="str">
        <x:f>IF(G14&lt;&gt;"FINAL READY","",IF(S14&lt;&gt;"retain","not_eligible",IF(D14="P_R","protocol_descriptive",IF(D14="P_P","plan_descriptive",IF(AND(T14="statistical_results",OR(U14="confirmed_issue",U14="probable_issue"),V14="substantive"),"primary_temporal",IF(AND(T14="report_internal_inconsistency",X14="substantive_inconsistency"),"secondary_temporal","not_eligible"))))))</x:f>
      </x:c>
      <x:c r="I14" s="6" t="str">
        <x:v>retain</x:v>
      </x:c>
      <x:c r="J14" s="6" t="str">
        <x:v>protocol_report</x:v>
      </x:c>
      <x:c r="K14" s="6" t="str">
        <x:f>IF(Setup!$B$6="primary","",IFERROR(IF(INDEX('Primary_snapshot'!$B$2:$B$120,MATCH(C14,'Primary_snapshot'!$A$2:$A$120,0))="","",INDEX('Primary_snapshot'!$B$2:$B$120,MATCH(C14,'Primary_snapshot'!$A$2:$A$120,0))),"SNAPSHOT MISSING"))</x:f>
      </x:c>
      <x:c r="L14" s="6" t="str">
        <x:f>IF(Setup!$B$6="primary","",IFERROR(IF(INDEX('Primary_snapshot'!$C$2:$C$120,MATCH(C14,'Primary_snapshot'!$A$2:$A$120,0))="","",INDEX('Primary_snapshot'!$C$2:$C$120,MATCH(C14,'Primary_snapshot'!$A$2:$A$120,0))),"SNAPSHOT MISSING"))</x:f>
      </x:c>
      <x:c r="M14" s="6" t="str">
        <x:f>IF(Setup!$B$6="primary","",IFERROR(IF(INDEX('Primary_snapshot'!$D$2:$D$120,MATCH(C14,'Primary_snapshot'!$A$2:$A$120,0))="","",INDEX('Primary_snapshot'!$D$2:$D$120,MATCH(C14,'Primary_snapshot'!$A$2:$A$120,0))),"SNAPSHOT MISSING"))</x:f>
      </x:c>
      <x:c r="N14" s="6" t="str">
        <x:f>IF(Setup!$B$6="primary","",IFERROR(IF(INDEX('Primary_snapshot'!$E$2:$E$120,MATCH(C14,'Primary_snapshot'!$A$2:$A$120,0))="","",INDEX('Primary_snapshot'!$E$2:$E$120,MATCH(C14,'Primary_snapshot'!$A$2:$A$120,0))),"SNAPSHOT MISSING"))</x:f>
      </x:c>
      <x:c r="O14" s="6" t="str">
        <x:f>IF(Setup!$B$6="primary","",IFERROR(IF(INDEX('Primary_snapshot'!$F$2:$F$120,MATCH(C14,'Primary_snapshot'!$A$2:$A$120,0))="","",INDEX('Primary_snapshot'!$F$2:$F$120,MATCH(C14,'Primary_snapshot'!$A$2:$A$120,0))),"SNAPSHOT MISSING"))</x:f>
      </x:c>
      <x:c r="P14" s="6" t="str">
        <x:f>IF(Setup!$B$6="primary","",IFERROR(IF(INDEX('Primary_snapshot'!$G$2:$G$120,MATCH(C14,'Primary_snapshot'!$A$2:$A$120,0))="","",INDEX('Primary_snapshot'!$G$2:$G$120,MATCH(C14,'Primary_snapshot'!$A$2:$A$120,0))),"SNAPSHOT MISSING"))</x:f>
      </x:c>
      <x:c r="Q14" s="6" t="str">
        <x:f>IF(Setup!$B$6="primary","",IFERROR(IF(INDEX('Primary_snapshot'!$H$2:$H$120,MATCH(C14,'Primary_snapshot'!$A$2:$A$120,0))="","",INDEX('Primary_snapshot'!$H$2:$H$120,MATCH(C14,'Primary_snapshot'!$A$2:$A$120,0))),"SNAPSHOT MISSING"))</x:f>
      </x:c>
      <x:c r="R14" s="6" t="str">
        <x:f>IF(Setup!$B$6="primary","",IFERROR(IF(INDEX('Primary_snapshot'!$I$2:$I$120,MATCH(C14,'Primary_snapshot'!$A$2:$A$120,0))="","",INDEX('Primary_snapshot'!$I$2:$I$120,MATCH(C14,'Primary_snapshot'!$A$2:$A$120,0))),"SNAPSHOT MISSING"))</x:f>
      </x:c>
      <x:c r="S14" s="6" t="str">
        <x:f>IF(INDEX('C_jama.2018.0156'!$D$2:$D$9,MATCH("2018::jama.2018.0156::C007",'C_jama.2018.0156'!$A$2:$A$9,0))="","",INDEX('C_jama.2018.0156'!$D$2:$D$9,MATCH("2018::jama.2018.0156::C007",'C_jama.2018.0156'!$A$2:$A$9,0)))</x:f>
      </x:c>
      <x:c r="T14" s="6" t="str">
        <x:f>IF(INDEX('C_jama.2018.0156'!$E$2:$E$9,MATCH("2018::jama.2018.0156::C007",'C_jama.2018.0156'!$A$2:$A$9,0))="","",INDEX('C_jama.2018.0156'!$E$2:$E$9,MATCH("2018::jama.2018.0156::C007",'C_jama.2018.0156'!$A$2:$A$9,0)))</x:f>
        <x:v>protocol_report</x:v>
      </x:c>
      <x:c r="U14" s="6" t="str">
        <x:f>IF(AND(INDEX('C_jama.2018.0156'!$D$2:$D$9,MATCH("2018::jama.2018.0156::C007",'C_jama.2018.0156'!$A$2:$A$9,0))="retain",INDEX('C_jama.2018.0156'!$E$2:$E$9,MATCH("2018::jama.2018.0156::C007",'C_jama.2018.0156'!$A$2:$A$9,0))="statistical_results"),IF(INDEX('C_jama.2018.0156'!$H$2:$H$9,MATCH("2018::jama.2018.0156::C007",'C_jama.2018.0156'!$A$2:$A$9,0))="","",INDEX('C_jama.2018.0156'!$H$2:$H$9,MATCH("2018::jama.2018.0156::C007",'C_jama.2018.0156'!$A$2:$A$9,0))),"not_applicable")</x:f>
        <x:v>not_applicable</x:v>
      </x:c>
      <x:c r="V14" s="6" t="str">
        <x:f>IF(AND(INDEX('C_jama.2018.0156'!$D$2:$D$9,MATCH("2018::jama.2018.0156::C007",'C_jama.2018.0156'!$A$2:$A$9,0))="retain",INDEX('C_jama.2018.0156'!$E$2:$E$9,MATCH("2018::jama.2018.0156::C007",'C_jama.2018.0156'!$A$2:$A$9,0))="statistical_results"),IF(INDEX('C_jama.2018.0156'!$I$2:$I$9,MATCH("2018::jama.2018.0156::C007",'C_jama.2018.0156'!$A$2:$A$9,0))="","",INDEX('C_jama.2018.0156'!$I$2:$I$9,MATCH("2018::jama.2018.0156::C007",'C_jama.2018.0156'!$A$2:$A$9,0))),"not_applicable")</x:f>
        <x:v>not_applicable</x:v>
      </x:c>
      <x:c r="W14" s="6" t="str">
        <x:f>IF(AND(INDEX('C_jama.2018.0156'!$D$2:$D$9,MATCH("2018::jama.2018.0156::C007",'C_jama.2018.0156'!$A$2:$A$9,0))="retain",INDEX('C_jama.2018.0156'!$E$2:$E$9,MATCH("2018::jama.2018.0156::C007",'C_jama.2018.0156'!$A$2:$A$9,0))="statistical_results"),IF(INDEX('C_jama.2018.0156'!$J$2:$J$9,MATCH("2018::jama.2018.0156::C007",'C_jama.2018.0156'!$A$2:$A$9,0))="","",INDEX('C_jama.2018.0156'!$J$2:$J$9,MATCH("2018::jama.2018.0156::C007",'C_jama.2018.0156'!$A$2:$A$9,0))),"not_applicable")</x:f>
        <x:v>not_applicable</x:v>
      </x:c>
      <x:c r="X14" s="6" t="str">
        <x:f>IF(AND(INDEX('C_jama.2018.0156'!$D$2:$D$9,MATCH("2018::jama.2018.0156::C007",'C_jama.2018.0156'!$A$2:$A$9,0))="retain",OR(INDEX('C_jama.2018.0156'!$E$2:$E$9,MATCH("2018::jama.2018.0156::C007",'C_jama.2018.0156'!$A$2:$A$9,0))="report_internal_inconsistency",INDEX('C_jama.2018.0156'!$E$2:$E$9,MATCH("2018::jama.2018.0156::C007",'C_jama.2018.0156'!$A$2:$A$9,0))="plan_material")),IF(INDEX('C_jama.2018.0156'!$K$2:$K$9,MATCH("2018::jama.2018.0156::C007",'C_jama.2018.0156'!$A$2:$A$9,0))="","",INDEX('C_jama.2018.0156'!$K$2:$K$9,MATCH("2018::jama.2018.0156::C007",'C_jama.2018.0156'!$A$2:$A$9,0))),"not_applicable")</x:f>
        <x:v>not_applicable</x:v>
      </x:c>
      <x:c r="Y14" s="6" t="str">
        <x:f>IF(AND(INDEX('C_jama.2018.0156'!$D$2:$D$9,MATCH("2018::jama.2018.0156::C007",'C_jama.2018.0156'!$A$2:$A$9,0))="retain",INDEX('C_jama.2018.0156'!$E$2:$E$9,MATCH("2018::jama.2018.0156::C007",'C_jama.2018.0156'!$A$2:$A$9,0))="protocol_report"),IF(INDEX('C_jama.2018.0156'!$L$2:$L$9,MATCH("2018::jama.2018.0156::C007",'C_jama.2018.0156'!$A$2:$A$9,0))="","",INDEX('C_jama.2018.0156'!$L$2:$L$9,MATCH("2018::jama.2018.0156::C007",'C_jama.2018.0156'!$A$2:$A$9,0))),"not_applicable")</x:f>
        <x:v>not_applicable</x:v>
      </x:c>
      <x:c r="Z14" s="6" t="str">
        <x:f>IF(INDEX('C_jama.2018.0156'!$R$2:$R$9,MATCH("2018::jama.2018.0156::C007",'C_jama.2018.0156'!$A$2:$A$9,0))="","",INDEX('C_jama.2018.0156'!$R$2:$R$9,MATCH("2018::jama.2018.0156::C007",'C_jama.2018.0156'!$A$2:$A$9,0)))</x:f>
      </x:c>
      <x:c r="AA14" s="6" t="str">
        <x:f>IF(INDEX('C_jama.2018.0156'!$N$2:$N$9,MATCH("2018::jama.2018.0156::C007",'C_jama.2018.0156'!$A$2:$A$9,0))="","",INDEX('C_jama.2018.0156'!$N$2:$N$9,MATCH("2018::jama.2018.0156::C007",'C_jama.2018.0156'!$A$2:$A$9,0)))</x:f>
      </x:c>
      <x:c r="AB14" s="6" t="str">
        <x:f>IF(INDEX('C_jama.2018.0156'!$O$2:$O$9,MATCH("2018::jama.2018.0156::C007",'C_jama.2018.0156'!$A$2:$A$9,0))="","",INDEX('C_jama.2018.0156'!$O$2:$O$9,MATCH("2018::jama.2018.0156::C007",'C_jama.2018.0156'!$A$2:$A$9,0)))</x:f>
      </x:c>
      <x:c r="AC14" s="6" t="str">
        <x:f>IF(INDEX('C_jama.2018.0156'!$P$2:$P$9,MATCH("2018::jama.2018.0156::C007",'C_jama.2018.0156'!$A$2:$A$9,0))="","",INDEX('C_jama.2018.0156'!$P$2:$P$9,MATCH("2018::jama.2018.0156::C007",'C_jama.2018.0156'!$A$2:$A$9,0)))</x:f>
      </x:c>
      <x:c r="AD14" s="6" t="str">
        <x:f>IF(INDEX('C_jama.2018.0156'!$Q$2:$Q$9,MATCH("2018::jama.2018.0156::C007",'C_jama.2018.0156'!$A$2:$A$9,0))="","",INDEX('C_jama.2018.0156'!$Q$2:$Q$9,MATCH("2018::jama.2018.0156::C007",'C_jama.2018.0156'!$A$2:$A$9,0)))</x:f>
      </x:c>
    </x:row>
    <x:row r="15" ht="65" customHeight="1">
      <x:c r="A15" s="3" t="n">
        <x:v>2018</x:v>
      </x:c>
      <x:c r="B15" s="3" t="str">
        <x:v>jama.2018.0156</x:v>
      </x:c>
      <x:c r="C15" s="3" t="str">
        <x:v>2018::jama.2018.0156::C008</x:v>
      </x:c>
      <x:c r="D15" s="3" t="str">
        <x:v>P_R</x:v>
      </x:c>
      <x:c r="E15" s="3" t="n">
        <x:f>Setup!$B$2</x:f>
        <x:v>0</x:v>
      </x:c>
      <x:c r="F15" s="3" t="str">
        <x:f>IF(Setup!$B$4="","",Setup!$B$4)</x:f>
      </x:c>
      <x:c r="G15" s="3" t="str">
        <x:f>IFERROR(INDEX('C_jama.2018.0156'!$G$2:$G$9,MATCH("2018::jama.2018.0156::C008",'C_jama.2018.0156'!$A$2:$A$9,0)),"CHECK KEY")</x:f>
        <x:v>CHECK REVIEWER IDs</x:v>
      </x:c>
      <x:c r="H15" s="3" t="str">
        <x:f>IF(G15&lt;&gt;"FINAL READY","",IF(S15&lt;&gt;"retain","not_eligible",IF(D15="P_R","protocol_descriptive",IF(D15="P_P","plan_descriptive",IF(AND(T15="statistical_results",OR(U15="confirmed_issue",U15="probable_issue"),V15="substantive"),"primary_temporal",IF(AND(T15="report_internal_inconsistency",X15="substantive_inconsistency"),"secondary_temporal","not_eligible"))))))</x:f>
      </x:c>
      <x:c r="I15" s="3" t="str">
        <x:v>discuss</x:v>
      </x:c>
      <x:c r="J15" s="3" t="str">
        <x:v>protocol_report</x:v>
      </x:c>
      <x:c r="K15" s="3" t="str">
        <x:f>IF(Setup!$B$6="primary","",IFERROR(IF(INDEX('Primary_snapshot'!$B$2:$B$120,MATCH(C15,'Primary_snapshot'!$A$2:$A$120,0))="","",INDEX('Primary_snapshot'!$B$2:$B$120,MATCH(C15,'Primary_snapshot'!$A$2:$A$120,0))),"SNAPSHOT MISSING"))</x:f>
      </x:c>
      <x:c r="L15" s="3" t="str">
        <x:f>IF(Setup!$B$6="primary","",IFERROR(IF(INDEX('Primary_snapshot'!$C$2:$C$120,MATCH(C15,'Primary_snapshot'!$A$2:$A$120,0))="","",INDEX('Primary_snapshot'!$C$2:$C$120,MATCH(C15,'Primary_snapshot'!$A$2:$A$120,0))),"SNAPSHOT MISSING"))</x:f>
      </x:c>
      <x:c r="M15" s="3" t="str">
        <x:f>IF(Setup!$B$6="primary","",IFERROR(IF(INDEX('Primary_snapshot'!$D$2:$D$120,MATCH(C15,'Primary_snapshot'!$A$2:$A$120,0))="","",INDEX('Primary_snapshot'!$D$2:$D$120,MATCH(C15,'Primary_snapshot'!$A$2:$A$120,0))),"SNAPSHOT MISSING"))</x:f>
      </x:c>
      <x:c r="N15" s="3" t="str">
        <x:f>IF(Setup!$B$6="primary","",IFERROR(IF(INDEX('Primary_snapshot'!$E$2:$E$120,MATCH(C15,'Primary_snapshot'!$A$2:$A$120,0))="","",INDEX('Primary_snapshot'!$E$2:$E$120,MATCH(C15,'Primary_snapshot'!$A$2:$A$120,0))),"SNAPSHOT MISSING"))</x:f>
      </x:c>
      <x:c r="O15" s="3" t="str">
        <x:f>IF(Setup!$B$6="primary","",IFERROR(IF(INDEX('Primary_snapshot'!$F$2:$F$120,MATCH(C15,'Primary_snapshot'!$A$2:$A$120,0))="","",INDEX('Primary_snapshot'!$F$2:$F$120,MATCH(C15,'Primary_snapshot'!$A$2:$A$120,0))),"SNAPSHOT MISSING"))</x:f>
      </x:c>
      <x:c r="P15" s="3" t="str">
        <x:f>IF(Setup!$B$6="primary","",IFERROR(IF(INDEX('Primary_snapshot'!$G$2:$G$120,MATCH(C15,'Primary_snapshot'!$A$2:$A$120,0))="","",INDEX('Primary_snapshot'!$G$2:$G$120,MATCH(C15,'Primary_snapshot'!$A$2:$A$120,0))),"SNAPSHOT MISSING"))</x:f>
      </x:c>
      <x:c r="Q15" s="3" t="str">
        <x:f>IF(Setup!$B$6="primary","",IFERROR(IF(INDEX('Primary_snapshot'!$H$2:$H$120,MATCH(C15,'Primary_snapshot'!$A$2:$A$120,0))="","",INDEX('Primary_snapshot'!$H$2:$H$120,MATCH(C15,'Primary_snapshot'!$A$2:$A$120,0))),"SNAPSHOT MISSING"))</x:f>
      </x:c>
      <x:c r="R15" s="3" t="str">
        <x:f>IF(Setup!$B$6="primary","",IFERROR(IF(INDEX('Primary_snapshot'!$I$2:$I$120,MATCH(C15,'Primary_snapshot'!$A$2:$A$120,0))="","",INDEX('Primary_snapshot'!$I$2:$I$120,MATCH(C15,'Primary_snapshot'!$A$2:$A$120,0))),"SNAPSHOT MISSING"))</x:f>
      </x:c>
      <x:c r="S15" s="3" t="str">
        <x:f>IF(INDEX('C_jama.2018.0156'!$D$2:$D$9,MATCH("2018::jama.2018.0156::C008",'C_jama.2018.0156'!$A$2:$A$9,0))="","",INDEX('C_jama.2018.0156'!$D$2:$D$9,MATCH("2018::jama.2018.0156::C008",'C_jama.2018.0156'!$A$2:$A$9,0)))</x:f>
      </x:c>
      <x:c r="T15" s="3" t="str">
        <x:f>IF(INDEX('C_jama.2018.0156'!$E$2:$E$9,MATCH("2018::jama.2018.0156::C008",'C_jama.2018.0156'!$A$2:$A$9,0))="","",INDEX('C_jama.2018.0156'!$E$2:$E$9,MATCH("2018::jama.2018.0156::C008",'C_jama.2018.0156'!$A$2:$A$9,0)))</x:f>
        <x:v>protocol_report</x:v>
      </x:c>
      <x:c r="U15" s="3" t="str">
        <x:f>IF(AND(INDEX('C_jama.2018.0156'!$D$2:$D$9,MATCH("2018::jama.2018.0156::C008",'C_jama.2018.0156'!$A$2:$A$9,0))="retain",INDEX('C_jama.2018.0156'!$E$2:$E$9,MATCH("2018::jama.2018.0156::C008",'C_jama.2018.0156'!$A$2:$A$9,0))="statistical_results"),IF(INDEX('C_jama.2018.0156'!$H$2:$H$9,MATCH("2018::jama.2018.0156::C008",'C_jama.2018.0156'!$A$2:$A$9,0))="","",INDEX('C_jama.2018.0156'!$H$2:$H$9,MATCH("2018::jama.2018.0156::C008",'C_jama.2018.0156'!$A$2:$A$9,0))),"not_applicable")</x:f>
        <x:v>not_applicable</x:v>
      </x:c>
      <x:c r="V15" s="3" t="str">
        <x:f>IF(AND(INDEX('C_jama.2018.0156'!$D$2:$D$9,MATCH("2018::jama.2018.0156::C008",'C_jama.2018.0156'!$A$2:$A$9,0))="retain",INDEX('C_jama.2018.0156'!$E$2:$E$9,MATCH("2018::jama.2018.0156::C008",'C_jama.2018.0156'!$A$2:$A$9,0))="statistical_results"),IF(INDEX('C_jama.2018.0156'!$I$2:$I$9,MATCH("2018::jama.2018.0156::C008",'C_jama.2018.0156'!$A$2:$A$9,0))="","",INDEX('C_jama.2018.0156'!$I$2:$I$9,MATCH("2018::jama.2018.0156::C008",'C_jama.2018.0156'!$A$2:$A$9,0))),"not_applicable")</x:f>
        <x:v>not_applicable</x:v>
      </x:c>
      <x:c r="W15" s="3" t="str">
        <x:f>IF(AND(INDEX('C_jama.2018.0156'!$D$2:$D$9,MATCH("2018::jama.2018.0156::C008",'C_jama.2018.0156'!$A$2:$A$9,0))="retain",INDEX('C_jama.2018.0156'!$E$2:$E$9,MATCH("2018::jama.2018.0156::C008",'C_jama.2018.0156'!$A$2:$A$9,0))="statistical_results"),IF(INDEX('C_jama.2018.0156'!$J$2:$J$9,MATCH("2018::jama.2018.0156::C008",'C_jama.2018.0156'!$A$2:$A$9,0))="","",INDEX('C_jama.2018.0156'!$J$2:$J$9,MATCH("2018::jama.2018.0156::C008",'C_jama.2018.0156'!$A$2:$A$9,0))),"not_applicable")</x:f>
        <x:v>not_applicable</x:v>
      </x:c>
      <x:c r="X15" s="3" t="str">
        <x:f>IF(AND(INDEX('C_jama.2018.0156'!$D$2:$D$9,MATCH("2018::jama.2018.0156::C008",'C_jama.2018.0156'!$A$2:$A$9,0))="retain",OR(INDEX('C_jama.2018.0156'!$E$2:$E$9,MATCH("2018::jama.2018.0156::C008",'C_jama.2018.0156'!$A$2:$A$9,0))="report_internal_inconsistency",INDEX('C_jama.2018.0156'!$E$2:$E$9,MATCH("2018::jama.2018.0156::C008",'C_jama.2018.0156'!$A$2:$A$9,0))="plan_material")),IF(INDEX('C_jama.2018.0156'!$K$2:$K$9,MATCH("2018::jama.2018.0156::C008",'C_jama.2018.0156'!$A$2:$A$9,0))="","",INDEX('C_jama.2018.0156'!$K$2:$K$9,MATCH("2018::jama.2018.0156::C008",'C_jama.2018.0156'!$A$2:$A$9,0))),"not_applicable")</x:f>
        <x:v>not_applicable</x:v>
      </x:c>
      <x:c r="Y15" s="3" t="str">
        <x:f>IF(AND(INDEX('C_jama.2018.0156'!$D$2:$D$9,MATCH("2018::jama.2018.0156::C008",'C_jama.2018.0156'!$A$2:$A$9,0))="retain",INDEX('C_jama.2018.0156'!$E$2:$E$9,MATCH("2018::jama.2018.0156::C008",'C_jama.2018.0156'!$A$2:$A$9,0))="protocol_report"),IF(INDEX('C_jama.2018.0156'!$L$2:$L$9,MATCH("2018::jama.2018.0156::C008",'C_jama.2018.0156'!$A$2:$A$9,0))="","",INDEX('C_jama.2018.0156'!$L$2:$L$9,MATCH("2018::jama.2018.0156::C008",'C_jama.2018.0156'!$A$2:$A$9,0))),"not_applicable")</x:f>
        <x:v>not_applicable</x:v>
      </x:c>
      <x:c r="Z15" s="3" t="str">
        <x:f>IF(INDEX('C_jama.2018.0156'!$R$2:$R$9,MATCH("2018::jama.2018.0156::C008",'C_jama.2018.0156'!$A$2:$A$9,0))="","",INDEX('C_jama.2018.0156'!$R$2:$R$9,MATCH("2018::jama.2018.0156::C008",'C_jama.2018.0156'!$A$2:$A$9,0)))</x:f>
      </x:c>
      <x:c r="AA15" s="3" t="str">
        <x:f>IF(INDEX('C_jama.2018.0156'!$N$2:$N$9,MATCH("2018::jama.2018.0156::C008",'C_jama.2018.0156'!$A$2:$A$9,0))="","",INDEX('C_jama.2018.0156'!$N$2:$N$9,MATCH("2018::jama.2018.0156::C008",'C_jama.2018.0156'!$A$2:$A$9,0)))</x:f>
      </x:c>
      <x:c r="AB15" s="3" t="str">
        <x:f>IF(INDEX('C_jama.2018.0156'!$O$2:$O$9,MATCH("2018::jama.2018.0156::C008",'C_jama.2018.0156'!$A$2:$A$9,0))="","",INDEX('C_jama.2018.0156'!$O$2:$O$9,MATCH("2018::jama.2018.0156::C008",'C_jama.2018.0156'!$A$2:$A$9,0)))</x:f>
      </x:c>
      <x:c r="AC15" s="3" t="str">
        <x:f>IF(INDEX('C_jama.2018.0156'!$P$2:$P$9,MATCH("2018::jama.2018.0156::C008",'C_jama.2018.0156'!$A$2:$A$9,0))="","",INDEX('C_jama.2018.0156'!$P$2:$P$9,MATCH("2018::jama.2018.0156::C008",'C_jama.2018.0156'!$A$2:$A$9,0)))</x:f>
      </x:c>
      <x:c r="AD15" s="3" t="str">
        <x:f>IF(INDEX('C_jama.2018.0156'!$Q$2:$Q$9,MATCH("2018::jama.2018.0156::C008",'C_jama.2018.0156'!$A$2:$A$9,0))="","",INDEX('C_jama.2018.0156'!$Q$2:$Q$9,MATCH("2018::jama.2018.0156::C008",'C_jama.2018.0156'!$A$2:$A$9,0)))</x:f>
      </x:c>
    </x:row>
    <x:row r="16" ht="65" customHeight="1">
      <x:c r="A16" s="6" t="n">
        <x:v>2018</x:v>
      </x:c>
      <x:c r="B16" s="6" t="str">
        <x:v>jama.2018.0948</x:v>
      </x:c>
      <x:c r="C16" s="6" t="str">
        <x:v>2018::jama.2018.0948::C001</x:v>
      </x:c>
      <x:c r="D16" s="6" t="str">
        <x:v>P_R</x:v>
      </x:c>
      <x:c r="E16" s="6" t="n">
        <x:f>Setup!$B$2</x:f>
        <x:v>0</x:v>
      </x:c>
      <x:c r="F16" s="6" t="str">
        <x:f>IF(Setup!$B$4="","",Setup!$B$4)</x:f>
      </x:c>
      <x:c r="G16" s="6" t="str">
        <x:f>IFERROR(INDEX('C_jama.2018.0948'!$G$2:$G$8,MATCH("2018::jama.2018.0948::C001",'C_jama.2018.0948'!$A$2:$A$8,0)),"CHECK KEY")</x:f>
        <x:v>CHECK REVIEWER IDs</x:v>
      </x:c>
      <x:c r="H16" s="6" t="str">
        <x:f>IF(G16&lt;&gt;"FINAL READY","",IF(S16&lt;&gt;"retain","not_eligible",IF(D16="P_R","protocol_descriptive",IF(D16="P_P","plan_descriptive",IF(AND(T16="statistical_results",OR(U16="confirmed_issue",U16="probable_issue"),V16="substantive"),"primary_temporal",IF(AND(T16="report_internal_inconsistency",X16="substantive_inconsistency"),"secondary_temporal","not_eligible"))))))</x:f>
      </x:c>
      <x:c r="I16" s="6" t="str">
        <x:v>retain</x:v>
      </x:c>
      <x:c r="J16" s="6" t="str">
        <x:v>protocol_report</x:v>
      </x:c>
      <x:c r="K16" s="6" t="str">
        <x:f>IF(Setup!$B$6="primary","",IFERROR(IF(INDEX('Primary_snapshot'!$B$2:$B$120,MATCH(C16,'Primary_snapshot'!$A$2:$A$120,0))="","",INDEX('Primary_snapshot'!$B$2:$B$120,MATCH(C16,'Primary_snapshot'!$A$2:$A$120,0))),"SNAPSHOT MISSING"))</x:f>
      </x:c>
      <x:c r="L16" s="6" t="str">
        <x:f>IF(Setup!$B$6="primary","",IFERROR(IF(INDEX('Primary_snapshot'!$C$2:$C$120,MATCH(C16,'Primary_snapshot'!$A$2:$A$120,0))="","",INDEX('Primary_snapshot'!$C$2:$C$120,MATCH(C16,'Primary_snapshot'!$A$2:$A$120,0))),"SNAPSHOT MISSING"))</x:f>
      </x:c>
      <x:c r="M16" s="6" t="str">
        <x:f>IF(Setup!$B$6="primary","",IFERROR(IF(INDEX('Primary_snapshot'!$D$2:$D$120,MATCH(C16,'Primary_snapshot'!$A$2:$A$120,0))="","",INDEX('Primary_snapshot'!$D$2:$D$120,MATCH(C16,'Primary_snapshot'!$A$2:$A$120,0))),"SNAPSHOT MISSING"))</x:f>
      </x:c>
      <x:c r="N16" s="6" t="str">
        <x:f>IF(Setup!$B$6="primary","",IFERROR(IF(INDEX('Primary_snapshot'!$E$2:$E$120,MATCH(C16,'Primary_snapshot'!$A$2:$A$120,0))="","",INDEX('Primary_snapshot'!$E$2:$E$120,MATCH(C16,'Primary_snapshot'!$A$2:$A$120,0))),"SNAPSHOT MISSING"))</x:f>
      </x:c>
      <x:c r="O16" s="6" t="str">
        <x:f>IF(Setup!$B$6="primary","",IFERROR(IF(INDEX('Primary_snapshot'!$F$2:$F$120,MATCH(C16,'Primary_snapshot'!$A$2:$A$120,0))="","",INDEX('Primary_snapshot'!$F$2:$F$120,MATCH(C16,'Primary_snapshot'!$A$2:$A$120,0))),"SNAPSHOT MISSING"))</x:f>
      </x:c>
      <x:c r="P16" s="6" t="str">
        <x:f>IF(Setup!$B$6="primary","",IFERROR(IF(INDEX('Primary_snapshot'!$G$2:$G$120,MATCH(C16,'Primary_snapshot'!$A$2:$A$120,0))="","",INDEX('Primary_snapshot'!$G$2:$G$120,MATCH(C16,'Primary_snapshot'!$A$2:$A$120,0))),"SNAPSHOT MISSING"))</x:f>
      </x:c>
      <x:c r="Q16" s="6" t="str">
        <x:f>IF(Setup!$B$6="primary","",IFERROR(IF(INDEX('Primary_snapshot'!$H$2:$H$120,MATCH(C16,'Primary_snapshot'!$A$2:$A$120,0))="","",INDEX('Primary_snapshot'!$H$2:$H$120,MATCH(C16,'Primary_snapshot'!$A$2:$A$120,0))),"SNAPSHOT MISSING"))</x:f>
      </x:c>
      <x:c r="R16" s="6" t="str">
        <x:f>IF(Setup!$B$6="primary","",IFERROR(IF(INDEX('Primary_snapshot'!$I$2:$I$120,MATCH(C16,'Primary_snapshot'!$A$2:$A$120,0))="","",INDEX('Primary_snapshot'!$I$2:$I$120,MATCH(C16,'Primary_snapshot'!$A$2:$A$120,0))),"SNAPSHOT MISSING"))</x:f>
      </x:c>
      <x:c r="S16" s="6" t="str">
        <x:f>IF(INDEX('C_jama.2018.0948'!$D$2:$D$8,MATCH("2018::jama.2018.0948::C001",'C_jama.2018.0948'!$A$2:$A$8,0))="","",INDEX('C_jama.2018.0948'!$D$2:$D$8,MATCH("2018::jama.2018.0948::C001",'C_jama.2018.0948'!$A$2:$A$8,0)))</x:f>
      </x:c>
      <x:c r="T16" s="6" t="str">
        <x:f>IF(INDEX('C_jama.2018.0948'!$E$2:$E$8,MATCH("2018::jama.2018.0948::C001",'C_jama.2018.0948'!$A$2:$A$8,0))="","",INDEX('C_jama.2018.0948'!$E$2:$E$8,MATCH("2018::jama.2018.0948::C001",'C_jama.2018.0948'!$A$2:$A$8,0)))</x:f>
        <x:v>protocol_report</x:v>
      </x:c>
      <x:c r="U16" s="6" t="str">
        <x:f>IF(AND(INDEX('C_jama.2018.0948'!$D$2:$D$8,MATCH("2018::jama.2018.0948::C001",'C_jama.2018.0948'!$A$2:$A$8,0))="retain",INDEX('C_jama.2018.0948'!$E$2:$E$8,MATCH("2018::jama.2018.0948::C001",'C_jama.2018.0948'!$A$2:$A$8,0))="statistical_results"),IF(INDEX('C_jama.2018.0948'!$H$2:$H$8,MATCH("2018::jama.2018.0948::C001",'C_jama.2018.0948'!$A$2:$A$8,0))="","",INDEX('C_jama.2018.0948'!$H$2:$H$8,MATCH("2018::jama.2018.0948::C001",'C_jama.2018.0948'!$A$2:$A$8,0))),"not_applicable")</x:f>
        <x:v>not_applicable</x:v>
      </x:c>
      <x:c r="V16" s="6" t="str">
        <x:f>IF(AND(INDEX('C_jama.2018.0948'!$D$2:$D$8,MATCH("2018::jama.2018.0948::C001",'C_jama.2018.0948'!$A$2:$A$8,0))="retain",INDEX('C_jama.2018.0948'!$E$2:$E$8,MATCH("2018::jama.2018.0948::C001",'C_jama.2018.0948'!$A$2:$A$8,0))="statistical_results"),IF(INDEX('C_jama.2018.0948'!$I$2:$I$8,MATCH("2018::jama.2018.0948::C001",'C_jama.2018.0948'!$A$2:$A$8,0))="","",INDEX('C_jama.2018.0948'!$I$2:$I$8,MATCH("2018::jama.2018.0948::C001",'C_jama.2018.0948'!$A$2:$A$8,0))),"not_applicable")</x:f>
        <x:v>not_applicable</x:v>
      </x:c>
      <x:c r="W16" s="6" t="str">
        <x:f>IF(AND(INDEX('C_jama.2018.0948'!$D$2:$D$8,MATCH("2018::jama.2018.0948::C001",'C_jama.2018.0948'!$A$2:$A$8,0))="retain",INDEX('C_jama.2018.0948'!$E$2:$E$8,MATCH("2018::jama.2018.0948::C001",'C_jama.2018.0948'!$A$2:$A$8,0))="statistical_results"),IF(INDEX('C_jama.2018.0948'!$J$2:$J$8,MATCH("2018::jama.2018.0948::C001",'C_jama.2018.0948'!$A$2:$A$8,0))="","",INDEX('C_jama.2018.0948'!$J$2:$J$8,MATCH("2018::jama.2018.0948::C001",'C_jama.2018.0948'!$A$2:$A$8,0))),"not_applicable")</x:f>
        <x:v>not_applicable</x:v>
      </x:c>
      <x:c r="X16" s="6" t="str">
        <x:f>IF(AND(INDEX('C_jama.2018.0948'!$D$2:$D$8,MATCH("2018::jama.2018.0948::C001",'C_jama.2018.0948'!$A$2:$A$8,0))="retain",OR(INDEX('C_jama.2018.0948'!$E$2:$E$8,MATCH("2018::jama.2018.0948::C001",'C_jama.2018.0948'!$A$2:$A$8,0))="report_internal_inconsistency",INDEX('C_jama.2018.0948'!$E$2:$E$8,MATCH("2018::jama.2018.0948::C001",'C_jama.2018.0948'!$A$2:$A$8,0))="plan_material")),IF(INDEX('C_jama.2018.0948'!$K$2:$K$8,MATCH("2018::jama.2018.0948::C001",'C_jama.2018.0948'!$A$2:$A$8,0))="","",INDEX('C_jama.2018.0948'!$K$2:$K$8,MATCH("2018::jama.2018.0948::C001",'C_jama.2018.0948'!$A$2:$A$8,0))),"not_applicable")</x:f>
        <x:v>not_applicable</x:v>
      </x:c>
      <x:c r="Y16" s="6" t="str">
        <x:f>IF(AND(INDEX('C_jama.2018.0948'!$D$2:$D$8,MATCH("2018::jama.2018.0948::C001",'C_jama.2018.0948'!$A$2:$A$8,0))="retain",INDEX('C_jama.2018.0948'!$E$2:$E$8,MATCH("2018::jama.2018.0948::C001",'C_jama.2018.0948'!$A$2:$A$8,0))="protocol_report"),IF(INDEX('C_jama.2018.0948'!$L$2:$L$8,MATCH("2018::jama.2018.0948::C001",'C_jama.2018.0948'!$A$2:$A$8,0))="","",INDEX('C_jama.2018.0948'!$L$2:$L$8,MATCH("2018::jama.2018.0948::C001",'C_jama.2018.0948'!$A$2:$A$8,0))),"not_applicable")</x:f>
        <x:v>not_applicable</x:v>
      </x:c>
      <x:c r="Z16" s="6" t="str">
        <x:f>IF(INDEX('C_jama.2018.0948'!$R$2:$R$8,MATCH("2018::jama.2018.0948::C001",'C_jama.2018.0948'!$A$2:$A$8,0))="","",INDEX('C_jama.2018.0948'!$R$2:$R$8,MATCH("2018::jama.2018.0948::C001",'C_jama.2018.0948'!$A$2:$A$8,0)))</x:f>
      </x:c>
      <x:c r="AA16" s="6" t="str">
        <x:f>IF(INDEX('C_jama.2018.0948'!$N$2:$N$8,MATCH("2018::jama.2018.0948::C001",'C_jama.2018.0948'!$A$2:$A$8,0))="","",INDEX('C_jama.2018.0948'!$N$2:$N$8,MATCH("2018::jama.2018.0948::C001",'C_jama.2018.0948'!$A$2:$A$8,0)))</x:f>
      </x:c>
      <x:c r="AB16" s="6" t="str">
        <x:f>IF(INDEX('C_jama.2018.0948'!$O$2:$O$8,MATCH("2018::jama.2018.0948::C001",'C_jama.2018.0948'!$A$2:$A$8,0))="","",INDEX('C_jama.2018.0948'!$O$2:$O$8,MATCH("2018::jama.2018.0948::C001",'C_jama.2018.0948'!$A$2:$A$8,0)))</x:f>
      </x:c>
      <x:c r="AC16" s="6" t="str">
        <x:f>IF(INDEX('C_jama.2018.0948'!$P$2:$P$8,MATCH("2018::jama.2018.0948::C001",'C_jama.2018.0948'!$A$2:$A$8,0))="","",INDEX('C_jama.2018.0948'!$P$2:$P$8,MATCH("2018::jama.2018.0948::C001",'C_jama.2018.0948'!$A$2:$A$8,0)))</x:f>
      </x:c>
      <x:c r="AD16" s="6" t="str">
        <x:f>IF(INDEX('C_jama.2018.0948'!$Q$2:$Q$8,MATCH("2018::jama.2018.0948::C001",'C_jama.2018.0948'!$A$2:$A$8,0))="","",INDEX('C_jama.2018.0948'!$Q$2:$Q$8,MATCH("2018::jama.2018.0948::C001",'C_jama.2018.0948'!$A$2:$A$8,0)))</x:f>
      </x:c>
    </x:row>
    <x:row r="17" ht="65" customHeight="1">
      <x:c r="A17" s="3" t="n">
        <x:v>2018</x:v>
      </x:c>
      <x:c r="B17" s="3" t="str">
        <x:v>jama.2018.0948</x:v>
      </x:c>
      <x:c r="C17" s="3" t="str">
        <x:v>2018::jama.2018.0948::C002</x:v>
      </x:c>
      <x:c r="D17" s="3" t="str">
        <x:v>P_P</x:v>
      </x:c>
      <x:c r="E17" s="3" t="n">
        <x:f>Setup!$B$2</x:f>
        <x:v>0</x:v>
      </x:c>
      <x:c r="F17" s="3" t="str">
        <x:f>IF(Setup!$B$4="","",Setup!$B$4)</x:f>
      </x:c>
      <x:c r="G17" s="3" t="str">
        <x:f>IFERROR(INDEX('C_jama.2018.0948'!$G$2:$G$8,MATCH("2018::jama.2018.0948::C002",'C_jama.2018.0948'!$A$2:$A$8,0)),"CHECK KEY")</x:f>
        <x:v>CHECK REVIEWER IDs</x:v>
      </x:c>
      <x:c r="H17" s="3" t="str">
        <x:f>IF(G17&lt;&gt;"FINAL READY","",IF(S17&lt;&gt;"retain","not_eligible",IF(D17="P_R","protocol_descriptive",IF(D17="P_P","plan_descriptive",IF(AND(T17="statistical_results",OR(U17="confirmed_issue",U17="probable_issue"),V17="substantive"),"primary_temporal",IF(AND(T17="report_internal_inconsistency",X17="substantive_inconsistency"),"secondary_temporal","not_eligible"))))))</x:f>
      </x:c>
      <x:c r="I17" s="3" t="str">
        <x:v>retain</x:v>
      </x:c>
      <x:c r="J17" s="3" t="str">
        <x:v>plan_material</x:v>
      </x:c>
      <x:c r="K17" s="3" t="str">
        <x:f>IF(Setup!$B$6="primary","",IFERROR(IF(INDEX('Primary_snapshot'!$B$2:$B$120,MATCH(C17,'Primary_snapshot'!$A$2:$A$120,0))="","",INDEX('Primary_snapshot'!$B$2:$B$120,MATCH(C17,'Primary_snapshot'!$A$2:$A$120,0))),"SNAPSHOT MISSING"))</x:f>
      </x:c>
      <x:c r="L17" s="3" t="str">
        <x:f>IF(Setup!$B$6="primary","",IFERROR(IF(INDEX('Primary_snapshot'!$C$2:$C$120,MATCH(C17,'Primary_snapshot'!$A$2:$A$120,0))="","",INDEX('Primary_snapshot'!$C$2:$C$120,MATCH(C17,'Primary_snapshot'!$A$2:$A$120,0))),"SNAPSHOT MISSING"))</x:f>
      </x:c>
      <x:c r="M17" s="3" t="str">
        <x:f>IF(Setup!$B$6="primary","",IFERROR(IF(INDEX('Primary_snapshot'!$D$2:$D$120,MATCH(C17,'Primary_snapshot'!$A$2:$A$120,0))="","",INDEX('Primary_snapshot'!$D$2:$D$120,MATCH(C17,'Primary_snapshot'!$A$2:$A$120,0))),"SNAPSHOT MISSING"))</x:f>
      </x:c>
      <x:c r="N17" s="3" t="str">
        <x:f>IF(Setup!$B$6="primary","",IFERROR(IF(INDEX('Primary_snapshot'!$E$2:$E$120,MATCH(C17,'Primary_snapshot'!$A$2:$A$120,0))="","",INDEX('Primary_snapshot'!$E$2:$E$120,MATCH(C17,'Primary_snapshot'!$A$2:$A$120,0))),"SNAPSHOT MISSING"))</x:f>
      </x:c>
      <x:c r="O17" s="3" t="str">
        <x:f>IF(Setup!$B$6="primary","",IFERROR(IF(INDEX('Primary_snapshot'!$F$2:$F$120,MATCH(C17,'Primary_snapshot'!$A$2:$A$120,0))="","",INDEX('Primary_snapshot'!$F$2:$F$120,MATCH(C17,'Primary_snapshot'!$A$2:$A$120,0))),"SNAPSHOT MISSING"))</x:f>
      </x:c>
      <x:c r="P17" s="3" t="str">
        <x:f>IF(Setup!$B$6="primary","",IFERROR(IF(INDEX('Primary_snapshot'!$G$2:$G$120,MATCH(C17,'Primary_snapshot'!$A$2:$A$120,0))="","",INDEX('Primary_snapshot'!$G$2:$G$120,MATCH(C17,'Primary_snapshot'!$A$2:$A$120,0))),"SNAPSHOT MISSING"))</x:f>
      </x:c>
      <x:c r="Q17" s="3" t="str">
        <x:f>IF(Setup!$B$6="primary","",IFERROR(IF(INDEX('Primary_snapshot'!$H$2:$H$120,MATCH(C17,'Primary_snapshot'!$A$2:$A$120,0))="","",INDEX('Primary_snapshot'!$H$2:$H$120,MATCH(C17,'Primary_snapshot'!$A$2:$A$120,0))),"SNAPSHOT MISSING"))</x:f>
      </x:c>
      <x:c r="R17" s="3" t="str">
        <x:f>IF(Setup!$B$6="primary","",IFERROR(IF(INDEX('Primary_snapshot'!$I$2:$I$120,MATCH(C17,'Primary_snapshot'!$A$2:$A$120,0))="","",INDEX('Primary_snapshot'!$I$2:$I$120,MATCH(C17,'Primary_snapshot'!$A$2:$A$120,0))),"SNAPSHOT MISSING"))</x:f>
      </x:c>
      <x:c r="S17" s="3" t="str">
        <x:f>IF(INDEX('C_jama.2018.0948'!$D$2:$D$8,MATCH("2018::jama.2018.0948::C002",'C_jama.2018.0948'!$A$2:$A$8,0))="","",INDEX('C_jama.2018.0948'!$D$2:$D$8,MATCH("2018::jama.2018.0948::C002",'C_jama.2018.0948'!$A$2:$A$8,0)))</x:f>
      </x:c>
      <x:c r="T17" s="3" t="str">
        <x:f>IF(INDEX('C_jama.2018.0948'!$E$2:$E$8,MATCH("2018::jama.2018.0948::C002",'C_jama.2018.0948'!$A$2:$A$8,0))="","",INDEX('C_jama.2018.0948'!$E$2:$E$8,MATCH("2018::jama.2018.0948::C002",'C_jama.2018.0948'!$A$2:$A$8,0)))</x:f>
        <x:v>plan_material</x:v>
      </x:c>
      <x:c r="U17" s="3" t="str">
        <x:f>IF(AND(INDEX('C_jama.2018.0948'!$D$2:$D$8,MATCH("2018::jama.2018.0948::C002",'C_jama.2018.0948'!$A$2:$A$8,0))="retain",INDEX('C_jama.2018.0948'!$E$2:$E$8,MATCH("2018::jama.2018.0948::C002",'C_jama.2018.0948'!$A$2:$A$8,0))="statistical_results"),IF(INDEX('C_jama.2018.0948'!$H$2:$H$8,MATCH("2018::jama.2018.0948::C002",'C_jama.2018.0948'!$A$2:$A$8,0))="","",INDEX('C_jama.2018.0948'!$H$2:$H$8,MATCH("2018::jama.2018.0948::C002",'C_jama.2018.0948'!$A$2:$A$8,0))),"not_applicable")</x:f>
        <x:v>not_applicable</x:v>
      </x:c>
      <x:c r="V17" s="3" t="str">
        <x:f>IF(AND(INDEX('C_jama.2018.0948'!$D$2:$D$8,MATCH("2018::jama.2018.0948::C002",'C_jama.2018.0948'!$A$2:$A$8,0))="retain",INDEX('C_jama.2018.0948'!$E$2:$E$8,MATCH("2018::jama.2018.0948::C002",'C_jama.2018.0948'!$A$2:$A$8,0))="statistical_results"),IF(INDEX('C_jama.2018.0948'!$I$2:$I$8,MATCH("2018::jama.2018.0948::C002",'C_jama.2018.0948'!$A$2:$A$8,0))="","",INDEX('C_jama.2018.0948'!$I$2:$I$8,MATCH("2018::jama.2018.0948::C002",'C_jama.2018.0948'!$A$2:$A$8,0))),"not_applicable")</x:f>
        <x:v>not_applicable</x:v>
      </x:c>
      <x:c r="W17" s="3" t="str">
        <x:f>IF(AND(INDEX('C_jama.2018.0948'!$D$2:$D$8,MATCH("2018::jama.2018.0948::C002",'C_jama.2018.0948'!$A$2:$A$8,0))="retain",INDEX('C_jama.2018.0948'!$E$2:$E$8,MATCH("2018::jama.2018.0948::C002",'C_jama.2018.0948'!$A$2:$A$8,0))="statistical_results"),IF(INDEX('C_jama.2018.0948'!$J$2:$J$8,MATCH("2018::jama.2018.0948::C002",'C_jama.2018.0948'!$A$2:$A$8,0))="","",INDEX('C_jama.2018.0948'!$J$2:$J$8,MATCH("2018::jama.2018.0948::C002",'C_jama.2018.0948'!$A$2:$A$8,0))),"not_applicable")</x:f>
        <x:v>not_applicable</x:v>
      </x:c>
      <x:c r="X17" s="3" t="str">
        <x:f>IF(AND(INDEX('C_jama.2018.0948'!$D$2:$D$8,MATCH("2018::jama.2018.0948::C002",'C_jama.2018.0948'!$A$2:$A$8,0))="retain",OR(INDEX('C_jama.2018.0948'!$E$2:$E$8,MATCH("2018::jama.2018.0948::C002",'C_jama.2018.0948'!$A$2:$A$8,0))="report_internal_inconsistency",INDEX('C_jama.2018.0948'!$E$2:$E$8,MATCH("2018::jama.2018.0948::C002",'C_jama.2018.0948'!$A$2:$A$8,0))="plan_material")),IF(INDEX('C_jama.2018.0948'!$K$2:$K$8,MATCH("2018::jama.2018.0948::C002",'C_jama.2018.0948'!$A$2:$A$8,0))="","",INDEX('C_jama.2018.0948'!$K$2:$K$8,MATCH("2018::jama.2018.0948::C002",'C_jama.2018.0948'!$A$2:$A$8,0))),"not_applicable")</x:f>
        <x:v>not_applicable</x:v>
      </x:c>
      <x:c r="Y17" s="3" t="str">
        <x:f>IF(AND(INDEX('C_jama.2018.0948'!$D$2:$D$8,MATCH("2018::jama.2018.0948::C002",'C_jama.2018.0948'!$A$2:$A$8,0))="retain",INDEX('C_jama.2018.0948'!$E$2:$E$8,MATCH("2018::jama.2018.0948::C002",'C_jama.2018.0948'!$A$2:$A$8,0))="protocol_report"),IF(INDEX('C_jama.2018.0948'!$L$2:$L$8,MATCH("2018::jama.2018.0948::C002",'C_jama.2018.0948'!$A$2:$A$8,0))="","",INDEX('C_jama.2018.0948'!$L$2:$L$8,MATCH("2018::jama.2018.0948::C002",'C_jama.2018.0948'!$A$2:$A$8,0))),"not_applicable")</x:f>
        <x:v>not_applicable</x:v>
      </x:c>
      <x:c r="Z17" s="3" t="str">
        <x:f>IF(INDEX('C_jama.2018.0948'!$R$2:$R$8,MATCH("2018::jama.2018.0948::C002",'C_jama.2018.0948'!$A$2:$A$8,0))="","",INDEX('C_jama.2018.0948'!$R$2:$R$8,MATCH("2018::jama.2018.0948::C002",'C_jama.2018.0948'!$A$2:$A$8,0)))</x:f>
      </x:c>
      <x:c r="AA17" s="3" t="str">
        <x:f>IF(INDEX('C_jama.2018.0948'!$N$2:$N$8,MATCH("2018::jama.2018.0948::C002",'C_jama.2018.0948'!$A$2:$A$8,0))="","",INDEX('C_jama.2018.0948'!$N$2:$N$8,MATCH("2018::jama.2018.0948::C002",'C_jama.2018.0948'!$A$2:$A$8,0)))</x:f>
      </x:c>
      <x:c r="AB17" s="3" t="str">
        <x:f>IF(INDEX('C_jama.2018.0948'!$O$2:$O$8,MATCH("2018::jama.2018.0948::C002",'C_jama.2018.0948'!$A$2:$A$8,0))="","",INDEX('C_jama.2018.0948'!$O$2:$O$8,MATCH("2018::jama.2018.0948::C002",'C_jama.2018.0948'!$A$2:$A$8,0)))</x:f>
      </x:c>
      <x:c r="AC17" s="3" t="str">
        <x:f>IF(INDEX('C_jama.2018.0948'!$P$2:$P$8,MATCH("2018::jama.2018.0948::C002",'C_jama.2018.0948'!$A$2:$A$8,0))="","",INDEX('C_jama.2018.0948'!$P$2:$P$8,MATCH("2018::jama.2018.0948::C002",'C_jama.2018.0948'!$A$2:$A$8,0)))</x:f>
      </x:c>
      <x:c r="AD17" s="3" t="str">
        <x:f>IF(INDEX('C_jama.2018.0948'!$Q$2:$Q$8,MATCH("2018::jama.2018.0948::C002",'C_jama.2018.0948'!$A$2:$A$8,0))="","",INDEX('C_jama.2018.0948'!$Q$2:$Q$8,MATCH("2018::jama.2018.0948::C002",'C_jama.2018.0948'!$A$2:$A$8,0)))</x:f>
      </x:c>
    </x:row>
    <x:row r="18" ht="65" customHeight="1">
      <x:c r="A18" s="6" t="n">
        <x:v>2018</x:v>
      </x:c>
      <x:c r="B18" s="6" t="str">
        <x:v>jama.2018.0948</x:v>
      </x:c>
      <x:c r="C18" s="6" t="str">
        <x:v>2018::jama.2018.0948::C003</x:v>
      </x:c>
      <x:c r="D18" s="6" t="str">
        <x:v>P_P</x:v>
      </x:c>
      <x:c r="E18" s="6" t="n">
        <x:f>Setup!$B$2</x:f>
        <x:v>0</x:v>
      </x:c>
      <x:c r="F18" s="6" t="str">
        <x:f>IF(Setup!$B$4="","",Setup!$B$4)</x:f>
      </x:c>
      <x:c r="G18" s="6" t="str">
        <x:f>IFERROR(INDEX('C_jama.2018.0948'!$G$2:$G$8,MATCH("2018::jama.2018.0948::C003",'C_jama.2018.0948'!$A$2:$A$8,0)),"CHECK KEY")</x:f>
        <x:v>CHECK REVIEWER IDs</x:v>
      </x:c>
      <x:c r="H18" s="6" t="str">
        <x:f>IF(G18&lt;&gt;"FINAL READY","",IF(S18&lt;&gt;"retain","not_eligible",IF(D18="P_R","protocol_descriptive",IF(D18="P_P","plan_descriptive",IF(AND(T18="statistical_results",OR(U18="confirmed_issue",U18="probable_issue"),V18="substantive"),"primary_temporal",IF(AND(T18="report_internal_inconsistency",X18="substantive_inconsistency"),"secondary_temporal","not_eligible"))))))</x:f>
      </x:c>
      <x:c r="I18" s="6" t="str">
        <x:v>retain</x:v>
      </x:c>
      <x:c r="J18" s="6" t="str">
        <x:v>plan_material</x:v>
      </x:c>
      <x:c r="K18" s="6" t="str">
        <x:f>IF(Setup!$B$6="primary","",IFERROR(IF(INDEX('Primary_snapshot'!$B$2:$B$120,MATCH(C18,'Primary_snapshot'!$A$2:$A$120,0))="","",INDEX('Primary_snapshot'!$B$2:$B$120,MATCH(C18,'Primary_snapshot'!$A$2:$A$120,0))),"SNAPSHOT MISSING"))</x:f>
      </x:c>
      <x:c r="L18" s="6" t="str">
        <x:f>IF(Setup!$B$6="primary","",IFERROR(IF(INDEX('Primary_snapshot'!$C$2:$C$120,MATCH(C18,'Primary_snapshot'!$A$2:$A$120,0))="","",INDEX('Primary_snapshot'!$C$2:$C$120,MATCH(C18,'Primary_snapshot'!$A$2:$A$120,0))),"SNAPSHOT MISSING"))</x:f>
      </x:c>
      <x:c r="M18" s="6" t="str">
        <x:f>IF(Setup!$B$6="primary","",IFERROR(IF(INDEX('Primary_snapshot'!$D$2:$D$120,MATCH(C18,'Primary_snapshot'!$A$2:$A$120,0))="","",INDEX('Primary_snapshot'!$D$2:$D$120,MATCH(C18,'Primary_snapshot'!$A$2:$A$120,0))),"SNAPSHOT MISSING"))</x:f>
      </x:c>
      <x:c r="N18" s="6" t="str">
        <x:f>IF(Setup!$B$6="primary","",IFERROR(IF(INDEX('Primary_snapshot'!$E$2:$E$120,MATCH(C18,'Primary_snapshot'!$A$2:$A$120,0))="","",INDEX('Primary_snapshot'!$E$2:$E$120,MATCH(C18,'Primary_snapshot'!$A$2:$A$120,0))),"SNAPSHOT MISSING"))</x:f>
      </x:c>
      <x:c r="O18" s="6" t="str">
        <x:f>IF(Setup!$B$6="primary","",IFERROR(IF(INDEX('Primary_snapshot'!$F$2:$F$120,MATCH(C18,'Primary_snapshot'!$A$2:$A$120,0))="","",INDEX('Primary_snapshot'!$F$2:$F$120,MATCH(C18,'Primary_snapshot'!$A$2:$A$120,0))),"SNAPSHOT MISSING"))</x:f>
      </x:c>
      <x:c r="P18" s="6" t="str">
        <x:f>IF(Setup!$B$6="primary","",IFERROR(IF(INDEX('Primary_snapshot'!$G$2:$G$120,MATCH(C18,'Primary_snapshot'!$A$2:$A$120,0))="","",INDEX('Primary_snapshot'!$G$2:$G$120,MATCH(C18,'Primary_snapshot'!$A$2:$A$120,0))),"SNAPSHOT MISSING"))</x:f>
      </x:c>
      <x:c r="Q18" s="6" t="str">
        <x:f>IF(Setup!$B$6="primary","",IFERROR(IF(INDEX('Primary_snapshot'!$H$2:$H$120,MATCH(C18,'Primary_snapshot'!$A$2:$A$120,0))="","",INDEX('Primary_snapshot'!$H$2:$H$120,MATCH(C18,'Primary_snapshot'!$A$2:$A$120,0))),"SNAPSHOT MISSING"))</x:f>
      </x:c>
      <x:c r="R18" s="6" t="str">
        <x:f>IF(Setup!$B$6="primary","",IFERROR(IF(INDEX('Primary_snapshot'!$I$2:$I$120,MATCH(C18,'Primary_snapshot'!$A$2:$A$120,0))="","",INDEX('Primary_snapshot'!$I$2:$I$120,MATCH(C18,'Primary_snapshot'!$A$2:$A$120,0))),"SNAPSHOT MISSING"))</x:f>
      </x:c>
      <x:c r="S18" s="6" t="str">
        <x:f>IF(INDEX('C_jama.2018.0948'!$D$2:$D$8,MATCH("2018::jama.2018.0948::C003",'C_jama.2018.0948'!$A$2:$A$8,0))="","",INDEX('C_jama.2018.0948'!$D$2:$D$8,MATCH("2018::jama.2018.0948::C003",'C_jama.2018.0948'!$A$2:$A$8,0)))</x:f>
      </x:c>
      <x:c r="T18" s="6" t="str">
        <x:f>IF(INDEX('C_jama.2018.0948'!$E$2:$E$8,MATCH("2018::jama.2018.0948::C003",'C_jama.2018.0948'!$A$2:$A$8,0))="","",INDEX('C_jama.2018.0948'!$E$2:$E$8,MATCH("2018::jama.2018.0948::C003",'C_jama.2018.0948'!$A$2:$A$8,0)))</x:f>
        <x:v>plan_material</x:v>
      </x:c>
      <x:c r="U18" s="6" t="str">
        <x:f>IF(AND(INDEX('C_jama.2018.0948'!$D$2:$D$8,MATCH("2018::jama.2018.0948::C003",'C_jama.2018.0948'!$A$2:$A$8,0))="retain",INDEX('C_jama.2018.0948'!$E$2:$E$8,MATCH("2018::jama.2018.0948::C003",'C_jama.2018.0948'!$A$2:$A$8,0))="statistical_results"),IF(INDEX('C_jama.2018.0948'!$H$2:$H$8,MATCH("2018::jama.2018.0948::C003",'C_jama.2018.0948'!$A$2:$A$8,0))="","",INDEX('C_jama.2018.0948'!$H$2:$H$8,MATCH("2018::jama.2018.0948::C003",'C_jama.2018.0948'!$A$2:$A$8,0))),"not_applicable")</x:f>
        <x:v>not_applicable</x:v>
      </x:c>
      <x:c r="V18" s="6" t="str">
        <x:f>IF(AND(INDEX('C_jama.2018.0948'!$D$2:$D$8,MATCH("2018::jama.2018.0948::C003",'C_jama.2018.0948'!$A$2:$A$8,0))="retain",INDEX('C_jama.2018.0948'!$E$2:$E$8,MATCH("2018::jama.2018.0948::C003",'C_jama.2018.0948'!$A$2:$A$8,0))="statistical_results"),IF(INDEX('C_jama.2018.0948'!$I$2:$I$8,MATCH("2018::jama.2018.0948::C003",'C_jama.2018.0948'!$A$2:$A$8,0))="","",INDEX('C_jama.2018.0948'!$I$2:$I$8,MATCH("2018::jama.2018.0948::C003",'C_jama.2018.0948'!$A$2:$A$8,0))),"not_applicable")</x:f>
        <x:v>not_applicable</x:v>
      </x:c>
      <x:c r="W18" s="6" t="str">
        <x:f>IF(AND(INDEX('C_jama.2018.0948'!$D$2:$D$8,MATCH("2018::jama.2018.0948::C003",'C_jama.2018.0948'!$A$2:$A$8,0))="retain",INDEX('C_jama.2018.0948'!$E$2:$E$8,MATCH("2018::jama.2018.0948::C003",'C_jama.2018.0948'!$A$2:$A$8,0))="statistical_results"),IF(INDEX('C_jama.2018.0948'!$J$2:$J$8,MATCH("2018::jama.2018.0948::C003",'C_jama.2018.0948'!$A$2:$A$8,0))="","",INDEX('C_jama.2018.0948'!$J$2:$J$8,MATCH("2018::jama.2018.0948::C003",'C_jama.2018.0948'!$A$2:$A$8,0))),"not_applicable")</x:f>
        <x:v>not_applicable</x:v>
      </x:c>
      <x:c r="X18" s="6" t="str">
        <x:f>IF(AND(INDEX('C_jama.2018.0948'!$D$2:$D$8,MATCH("2018::jama.2018.0948::C003",'C_jama.2018.0948'!$A$2:$A$8,0))="retain",OR(INDEX('C_jama.2018.0948'!$E$2:$E$8,MATCH("2018::jama.2018.0948::C003",'C_jama.2018.0948'!$A$2:$A$8,0))="report_internal_inconsistency",INDEX('C_jama.2018.0948'!$E$2:$E$8,MATCH("2018::jama.2018.0948::C003",'C_jama.2018.0948'!$A$2:$A$8,0))="plan_material")),IF(INDEX('C_jama.2018.0948'!$K$2:$K$8,MATCH("2018::jama.2018.0948::C003",'C_jama.2018.0948'!$A$2:$A$8,0))="","",INDEX('C_jama.2018.0948'!$K$2:$K$8,MATCH("2018::jama.2018.0948::C003",'C_jama.2018.0948'!$A$2:$A$8,0))),"not_applicable")</x:f>
        <x:v>not_applicable</x:v>
      </x:c>
      <x:c r="Y18" s="6" t="str">
        <x:f>IF(AND(INDEX('C_jama.2018.0948'!$D$2:$D$8,MATCH("2018::jama.2018.0948::C003",'C_jama.2018.0948'!$A$2:$A$8,0))="retain",INDEX('C_jama.2018.0948'!$E$2:$E$8,MATCH("2018::jama.2018.0948::C003",'C_jama.2018.0948'!$A$2:$A$8,0))="protocol_report"),IF(INDEX('C_jama.2018.0948'!$L$2:$L$8,MATCH("2018::jama.2018.0948::C003",'C_jama.2018.0948'!$A$2:$A$8,0))="","",INDEX('C_jama.2018.0948'!$L$2:$L$8,MATCH("2018::jama.2018.0948::C003",'C_jama.2018.0948'!$A$2:$A$8,0))),"not_applicable")</x:f>
        <x:v>not_applicable</x:v>
      </x:c>
      <x:c r="Z18" s="6" t="str">
        <x:f>IF(INDEX('C_jama.2018.0948'!$R$2:$R$8,MATCH("2018::jama.2018.0948::C003",'C_jama.2018.0948'!$A$2:$A$8,0))="","",INDEX('C_jama.2018.0948'!$R$2:$R$8,MATCH("2018::jama.2018.0948::C003",'C_jama.2018.0948'!$A$2:$A$8,0)))</x:f>
      </x:c>
      <x:c r="AA18" s="6" t="str">
        <x:f>IF(INDEX('C_jama.2018.0948'!$N$2:$N$8,MATCH("2018::jama.2018.0948::C003",'C_jama.2018.0948'!$A$2:$A$8,0))="","",INDEX('C_jama.2018.0948'!$N$2:$N$8,MATCH("2018::jama.2018.0948::C003",'C_jama.2018.0948'!$A$2:$A$8,0)))</x:f>
      </x:c>
      <x:c r="AB18" s="6" t="str">
        <x:f>IF(INDEX('C_jama.2018.0948'!$O$2:$O$8,MATCH("2018::jama.2018.0948::C003",'C_jama.2018.0948'!$A$2:$A$8,0))="","",INDEX('C_jama.2018.0948'!$O$2:$O$8,MATCH("2018::jama.2018.0948::C003",'C_jama.2018.0948'!$A$2:$A$8,0)))</x:f>
      </x:c>
      <x:c r="AC18" s="6" t="str">
        <x:f>IF(INDEX('C_jama.2018.0948'!$P$2:$P$8,MATCH("2018::jama.2018.0948::C003",'C_jama.2018.0948'!$A$2:$A$8,0))="","",INDEX('C_jama.2018.0948'!$P$2:$P$8,MATCH("2018::jama.2018.0948::C003",'C_jama.2018.0948'!$A$2:$A$8,0)))</x:f>
      </x:c>
      <x:c r="AD18" s="6" t="str">
        <x:f>IF(INDEX('C_jama.2018.0948'!$Q$2:$Q$8,MATCH("2018::jama.2018.0948::C003",'C_jama.2018.0948'!$A$2:$A$8,0))="","",INDEX('C_jama.2018.0948'!$Q$2:$Q$8,MATCH("2018::jama.2018.0948::C003",'C_jama.2018.0948'!$A$2:$A$8,0)))</x:f>
      </x:c>
    </x:row>
    <x:row r="19" ht="65" customHeight="1">
      <x:c r="A19" s="3" t="n">
        <x:v>2018</x:v>
      </x:c>
      <x:c r="B19" s="3" t="str">
        <x:v>jama.2018.0948</x:v>
      </x:c>
      <x:c r="C19" s="3" t="str">
        <x:v>2018::jama.2018.0948::C004</x:v>
      </x:c>
      <x:c r="D19" s="3" t="str">
        <x:v>P_P</x:v>
      </x:c>
      <x:c r="E19" s="3" t="n">
        <x:f>Setup!$B$2</x:f>
        <x:v>0</x:v>
      </x:c>
      <x:c r="F19" s="3" t="str">
        <x:f>IF(Setup!$B$4="","",Setup!$B$4)</x:f>
      </x:c>
      <x:c r="G19" s="3" t="str">
        <x:f>IFERROR(INDEX('C_jama.2018.0948'!$G$2:$G$8,MATCH("2018::jama.2018.0948::C004",'C_jama.2018.0948'!$A$2:$A$8,0)),"CHECK KEY")</x:f>
        <x:v>CHECK REVIEWER IDs</x:v>
      </x:c>
      <x:c r="H19" s="3" t="str">
        <x:f>IF(G19&lt;&gt;"FINAL READY","",IF(S19&lt;&gt;"retain","not_eligible",IF(D19="P_R","protocol_descriptive",IF(D19="P_P","plan_descriptive",IF(AND(T19="statistical_results",OR(U19="confirmed_issue",U19="probable_issue"),V19="substantive"),"primary_temporal",IF(AND(T19="report_internal_inconsistency",X19="substantive_inconsistency"),"secondary_temporal","not_eligible"))))))</x:f>
      </x:c>
      <x:c r="I19" s="3" t="str">
        <x:v>retain</x:v>
      </x:c>
      <x:c r="J19" s="3" t="str">
        <x:v>plan_material</x:v>
      </x:c>
      <x:c r="K19" s="3" t="str">
        <x:f>IF(Setup!$B$6="primary","",IFERROR(IF(INDEX('Primary_snapshot'!$B$2:$B$120,MATCH(C19,'Primary_snapshot'!$A$2:$A$120,0))="","",INDEX('Primary_snapshot'!$B$2:$B$120,MATCH(C19,'Primary_snapshot'!$A$2:$A$120,0))),"SNAPSHOT MISSING"))</x:f>
      </x:c>
      <x:c r="L19" s="3" t="str">
        <x:f>IF(Setup!$B$6="primary","",IFERROR(IF(INDEX('Primary_snapshot'!$C$2:$C$120,MATCH(C19,'Primary_snapshot'!$A$2:$A$120,0))="","",INDEX('Primary_snapshot'!$C$2:$C$120,MATCH(C19,'Primary_snapshot'!$A$2:$A$120,0))),"SNAPSHOT MISSING"))</x:f>
      </x:c>
      <x:c r="M19" s="3" t="str">
        <x:f>IF(Setup!$B$6="primary","",IFERROR(IF(INDEX('Primary_snapshot'!$D$2:$D$120,MATCH(C19,'Primary_snapshot'!$A$2:$A$120,0))="","",INDEX('Primary_snapshot'!$D$2:$D$120,MATCH(C19,'Primary_snapshot'!$A$2:$A$120,0))),"SNAPSHOT MISSING"))</x:f>
      </x:c>
      <x:c r="N19" s="3" t="str">
        <x:f>IF(Setup!$B$6="primary","",IFERROR(IF(INDEX('Primary_snapshot'!$E$2:$E$120,MATCH(C19,'Primary_snapshot'!$A$2:$A$120,0))="","",INDEX('Primary_snapshot'!$E$2:$E$120,MATCH(C19,'Primary_snapshot'!$A$2:$A$120,0))),"SNAPSHOT MISSING"))</x:f>
      </x:c>
      <x:c r="O19" s="3" t="str">
        <x:f>IF(Setup!$B$6="primary","",IFERROR(IF(INDEX('Primary_snapshot'!$F$2:$F$120,MATCH(C19,'Primary_snapshot'!$A$2:$A$120,0))="","",INDEX('Primary_snapshot'!$F$2:$F$120,MATCH(C19,'Primary_snapshot'!$A$2:$A$120,0))),"SNAPSHOT MISSING"))</x:f>
      </x:c>
      <x:c r="P19" s="3" t="str">
        <x:f>IF(Setup!$B$6="primary","",IFERROR(IF(INDEX('Primary_snapshot'!$G$2:$G$120,MATCH(C19,'Primary_snapshot'!$A$2:$A$120,0))="","",INDEX('Primary_snapshot'!$G$2:$G$120,MATCH(C19,'Primary_snapshot'!$A$2:$A$120,0))),"SNAPSHOT MISSING"))</x:f>
      </x:c>
      <x:c r="Q19" s="3" t="str">
        <x:f>IF(Setup!$B$6="primary","",IFERROR(IF(INDEX('Primary_snapshot'!$H$2:$H$120,MATCH(C19,'Primary_snapshot'!$A$2:$A$120,0))="","",INDEX('Primary_snapshot'!$H$2:$H$120,MATCH(C19,'Primary_snapshot'!$A$2:$A$120,0))),"SNAPSHOT MISSING"))</x:f>
      </x:c>
      <x:c r="R19" s="3" t="str">
        <x:f>IF(Setup!$B$6="primary","",IFERROR(IF(INDEX('Primary_snapshot'!$I$2:$I$120,MATCH(C19,'Primary_snapshot'!$A$2:$A$120,0))="","",INDEX('Primary_snapshot'!$I$2:$I$120,MATCH(C19,'Primary_snapshot'!$A$2:$A$120,0))),"SNAPSHOT MISSING"))</x:f>
      </x:c>
      <x:c r="S19" s="3" t="str">
        <x:f>IF(INDEX('C_jama.2018.0948'!$D$2:$D$8,MATCH("2018::jama.2018.0948::C004",'C_jama.2018.0948'!$A$2:$A$8,0))="","",INDEX('C_jama.2018.0948'!$D$2:$D$8,MATCH("2018::jama.2018.0948::C004",'C_jama.2018.0948'!$A$2:$A$8,0)))</x:f>
      </x:c>
      <x:c r="T19" s="3" t="str">
        <x:f>IF(INDEX('C_jama.2018.0948'!$E$2:$E$8,MATCH("2018::jama.2018.0948::C004",'C_jama.2018.0948'!$A$2:$A$8,0))="","",INDEX('C_jama.2018.0948'!$E$2:$E$8,MATCH("2018::jama.2018.0948::C004",'C_jama.2018.0948'!$A$2:$A$8,0)))</x:f>
        <x:v>plan_material</x:v>
      </x:c>
      <x:c r="U19" s="3" t="str">
        <x:f>IF(AND(INDEX('C_jama.2018.0948'!$D$2:$D$8,MATCH("2018::jama.2018.0948::C004",'C_jama.2018.0948'!$A$2:$A$8,0))="retain",INDEX('C_jama.2018.0948'!$E$2:$E$8,MATCH("2018::jama.2018.0948::C004",'C_jama.2018.0948'!$A$2:$A$8,0))="statistical_results"),IF(INDEX('C_jama.2018.0948'!$H$2:$H$8,MATCH("2018::jama.2018.0948::C004",'C_jama.2018.0948'!$A$2:$A$8,0))="","",INDEX('C_jama.2018.0948'!$H$2:$H$8,MATCH("2018::jama.2018.0948::C004",'C_jama.2018.0948'!$A$2:$A$8,0))),"not_applicable")</x:f>
        <x:v>not_applicable</x:v>
      </x:c>
      <x:c r="V19" s="3" t="str">
        <x:f>IF(AND(INDEX('C_jama.2018.0948'!$D$2:$D$8,MATCH("2018::jama.2018.0948::C004",'C_jama.2018.0948'!$A$2:$A$8,0))="retain",INDEX('C_jama.2018.0948'!$E$2:$E$8,MATCH("2018::jama.2018.0948::C004",'C_jama.2018.0948'!$A$2:$A$8,0))="statistical_results"),IF(INDEX('C_jama.2018.0948'!$I$2:$I$8,MATCH("2018::jama.2018.0948::C004",'C_jama.2018.0948'!$A$2:$A$8,0))="","",INDEX('C_jama.2018.0948'!$I$2:$I$8,MATCH("2018::jama.2018.0948::C004",'C_jama.2018.0948'!$A$2:$A$8,0))),"not_applicable")</x:f>
        <x:v>not_applicable</x:v>
      </x:c>
      <x:c r="W19" s="3" t="str">
        <x:f>IF(AND(INDEX('C_jama.2018.0948'!$D$2:$D$8,MATCH("2018::jama.2018.0948::C004",'C_jama.2018.0948'!$A$2:$A$8,0))="retain",INDEX('C_jama.2018.0948'!$E$2:$E$8,MATCH("2018::jama.2018.0948::C004",'C_jama.2018.0948'!$A$2:$A$8,0))="statistical_results"),IF(INDEX('C_jama.2018.0948'!$J$2:$J$8,MATCH("2018::jama.2018.0948::C004",'C_jama.2018.0948'!$A$2:$A$8,0))="","",INDEX('C_jama.2018.0948'!$J$2:$J$8,MATCH("2018::jama.2018.0948::C004",'C_jama.2018.0948'!$A$2:$A$8,0))),"not_applicable")</x:f>
        <x:v>not_applicable</x:v>
      </x:c>
      <x:c r="X19" s="3" t="str">
        <x:f>IF(AND(INDEX('C_jama.2018.0948'!$D$2:$D$8,MATCH("2018::jama.2018.0948::C004",'C_jama.2018.0948'!$A$2:$A$8,0))="retain",OR(INDEX('C_jama.2018.0948'!$E$2:$E$8,MATCH("2018::jama.2018.0948::C004",'C_jama.2018.0948'!$A$2:$A$8,0))="report_internal_inconsistency",INDEX('C_jama.2018.0948'!$E$2:$E$8,MATCH("2018::jama.2018.0948::C004",'C_jama.2018.0948'!$A$2:$A$8,0))="plan_material")),IF(INDEX('C_jama.2018.0948'!$K$2:$K$8,MATCH("2018::jama.2018.0948::C004",'C_jama.2018.0948'!$A$2:$A$8,0))="","",INDEX('C_jama.2018.0948'!$K$2:$K$8,MATCH("2018::jama.2018.0948::C004",'C_jama.2018.0948'!$A$2:$A$8,0))),"not_applicable")</x:f>
        <x:v>not_applicable</x:v>
      </x:c>
      <x:c r="Y19" s="3" t="str">
        <x:f>IF(AND(INDEX('C_jama.2018.0948'!$D$2:$D$8,MATCH("2018::jama.2018.0948::C004",'C_jama.2018.0948'!$A$2:$A$8,0))="retain",INDEX('C_jama.2018.0948'!$E$2:$E$8,MATCH("2018::jama.2018.0948::C004",'C_jama.2018.0948'!$A$2:$A$8,0))="protocol_report"),IF(INDEX('C_jama.2018.0948'!$L$2:$L$8,MATCH("2018::jama.2018.0948::C004",'C_jama.2018.0948'!$A$2:$A$8,0))="","",INDEX('C_jama.2018.0948'!$L$2:$L$8,MATCH("2018::jama.2018.0948::C004",'C_jama.2018.0948'!$A$2:$A$8,0))),"not_applicable")</x:f>
        <x:v>not_applicable</x:v>
      </x:c>
      <x:c r="Z19" s="3" t="str">
        <x:f>IF(INDEX('C_jama.2018.0948'!$R$2:$R$8,MATCH("2018::jama.2018.0948::C004",'C_jama.2018.0948'!$A$2:$A$8,0))="","",INDEX('C_jama.2018.0948'!$R$2:$R$8,MATCH("2018::jama.2018.0948::C004",'C_jama.2018.0948'!$A$2:$A$8,0)))</x:f>
      </x:c>
      <x:c r="AA19" s="3" t="str">
        <x:f>IF(INDEX('C_jama.2018.0948'!$N$2:$N$8,MATCH("2018::jama.2018.0948::C004",'C_jama.2018.0948'!$A$2:$A$8,0))="","",INDEX('C_jama.2018.0948'!$N$2:$N$8,MATCH("2018::jama.2018.0948::C004",'C_jama.2018.0948'!$A$2:$A$8,0)))</x:f>
      </x:c>
      <x:c r="AB19" s="3" t="str">
        <x:f>IF(INDEX('C_jama.2018.0948'!$O$2:$O$8,MATCH("2018::jama.2018.0948::C004",'C_jama.2018.0948'!$A$2:$A$8,0))="","",INDEX('C_jama.2018.0948'!$O$2:$O$8,MATCH("2018::jama.2018.0948::C004",'C_jama.2018.0948'!$A$2:$A$8,0)))</x:f>
      </x:c>
      <x:c r="AC19" s="3" t="str">
        <x:f>IF(INDEX('C_jama.2018.0948'!$P$2:$P$8,MATCH("2018::jama.2018.0948::C004",'C_jama.2018.0948'!$A$2:$A$8,0))="","",INDEX('C_jama.2018.0948'!$P$2:$P$8,MATCH("2018::jama.2018.0948::C004",'C_jama.2018.0948'!$A$2:$A$8,0)))</x:f>
      </x:c>
      <x:c r="AD19" s="3" t="str">
        <x:f>IF(INDEX('C_jama.2018.0948'!$Q$2:$Q$8,MATCH("2018::jama.2018.0948::C004",'C_jama.2018.0948'!$A$2:$A$8,0))="","",INDEX('C_jama.2018.0948'!$Q$2:$Q$8,MATCH("2018::jama.2018.0948::C004",'C_jama.2018.0948'!$A$2:$A$8,0)))</x:f>
      </x:c>
    </x:row>
    <x:row r="20" ht="65" customHeight="1">
      <x:c r="A20" s="6" t="n">
        <x:v>2018</x:v>
      </x:c>
      <x:c r="B20" s="6" t="str">
        <x:v>jama.2018.0948</x:v>
      </x:c>
      <x:c r="C20" s="6" t="str">
        <x:v>2018::jama.2018.0948::C005</x:v>
      </x:c>
      <x:c r="D20" s="6" t="str">
        <x:v>P_P</x:v>
      </x:c>
      <x:c r="E20" s="6" t="n">
        <x:f>Setup!$B$2</x:f>
        <x:v>0</x:v>
      </x:c>
      <x:c r="F20" s="6" t="str">
        <x:f>IF(Setup!$B$4="","",Setup!$B$4)</x:f>
      </x:c>
      <x:c r="G20" s="6" t="str">
        <x:f>IFERROR(INDEX('C_jama.2018.0948'!$G$2:$G$8,MATCH("2018::jama.2018.0948::C005",'C_jama.2018.0948'!$A$2:$A$8,0)),"CHECK KEY")</x:f>
        <x:v>CHECK REVIEWER IDs</x:v>
      </x:c>
      <x:c r="H20" s="6" t="str">
        <x:f>IF(G20&lt;&gt;"FINAL READY","",IF(S20&lt;&gt;"retain","not_eligible",IF(D20="P_R","protocol_descriptive",IF(D20="P_P","plan_descriptive",IF(AND(T20="statistical_results",OR(U20="confirmed_issue",U20="probable_issue"),V20="substantive"),"primary_temporal",IF(AND(T20="report_internal_inconsistency",X20="substantive_inconsistency"),"secondary_temporal","not_eligible"))))))</x:f>
      </x:c>
      <x:c r="I20" s="6" t="str">
        <x:v>retain</x:v>
      </x:c>
      <x:c r="J20" s="6" t="str">
        <x:v>plan_material</x:v>
      </x:c>
      <x:c r="K20" s="6" t="str">
        <x:f>IF(Setup!$B$6="primary","",IFERROR(IF(INDEX('Primary_snapshot'!$B$2:$B$120,MATCH(C20,'Primary_snapshot'!$A$2:$A$120,0))="","",INDEX('Primary_snapshot'!$B$2:$B$120,MATCH(C20,'Primary_snapshot'!$A$2:$A$120,0))),"SNAPSHOT MISSING"))</x:f>
      </x:c>
      <x:c r="L20" s="6" t="str">
        <x:f>IF(Setup!$B$6="primary","",IFERROR(IF(INDEX('Primary_snapshot'!$C$2:$C$120,MATCH(C20,'Primary_snapshot'!$A$2:$A$120,0))="","",INDEX('Primary_snapshot'!$C$2:$C$120,MATCH(C20,'Primary_snapshot'!$A$2:$A$120,0))),"SNAPSHOT MISSING"))</x:f>
      </x:c>
      <x:c r="M20" s="6" t="str">
        <x:f>IF(Setup!$B$6="primary","",IFERROR(IF(INDEX('Primary_snapshot'!$D$2:$D$120,MATCH(C20,'Primary_snapshot'!$A$2:$A$120,0))="","",INDEX('Primary_snapshot'!$D$2:$D$120,MATCH(C20,'Primary_snapshot'!$A$2:$A$120,0))),"SNAPSHOT MISSING"))</x:f>
      </x:c>
      <x:c r="N20" s="6" t="str">
        <x:f>IF(Setup!$B$6="primary","",IFERROR(IF(INDEX('Primary_snapshot'!$E$2:$E$120,MATCH(C20,'Primary_snapshot'!$A$2:$A$120,0))="","",INDEX('Primary_snapshot'!$E$2:$E$120,MATCH(C20,'Primary_snapshot'!$A$2:$A$120,0))),"SNAPSHOT MISSING"))</x:f>
      </x:c>
      <x:c r="O20" s="6" t="str">
        <x:f>IF(Setup!$B$6="primary","",IFERROR(IF(INDEX('Primary_snapshot'!$F$2:$F$120,MATCH(C20,'Primary_snapshot'!$A$2:$A$120,0))="","",INDEX('Primary_snapshot'!$F$2:$F$120,MATCH(C20,'Primary_snapshot'!$A$2:$A$120,0))),"SNAPSHOT MISSING"))</x:f>
      </x:c>
      <x:c r="P20" s="6" t="str">
        <x:f>IF(Setup!$B$6="primary","",IFERROR(IF(INDEX('Primary_snapshot'!$G$2:$G$120,MATCH(C20,'Primary_snapshot'!$A$2:$A$120,0))="","",INDEX('Primary_snapshot'!$G$2:$G$120,MATCH(C20,'Primary_snapshot'!$A$2:$A$120,0))),"SNAPSHOT MISSING"))</x:f>
      </x:c>
      <x:c r="Q20" s="6" t="str">
        <x:f>IF(Setup!$B$6="primary","",IFERROR(IF(INDEX('Primary_snapshot'!$H$2:$H$120,MATCH(C20,'Primary_snapshot'!$A$2:$A$120,0))="","",INDEX('Primary_snapshot'!$H$2:$H$120,MATCH(C20,'Primary_snapshot'!$A$2:$A$120,0))),"SNAPSHOT MISSING"))</x:f>
      </x:c>
      <x:c r="R20" s="6" t="str">
        <x:f>IF(Setup!$B$6="primary","",IFERROR(IF(INDEX('Primary_snapshot'!$I$2:$I$120,MATCH(C20,'Primary_snapshot'!$A$2:$A$120,0))="","",INDEX('Primary_snapshot'!$I$2:$I$120,MATCH(C20,'Primary_snapshot'!$A$2:$A$120,0))),"SNAPSHOT MISSING"))</x:f>
      </x:c>
      <x:c r="S20" s="6" t="str">
        <x:f>IF(INDEX('C_jama.2018.0948'!$D$2:$D$8,MATCH("2018::jama.2018.0948::C005",'C_jama.2018.0948'!$A$2:$A$8,0))="","",INDEX('C_jama.2018.0948'!$D$2:$D$8,MATCH("2018::jama.2018.0948::C005",'C_jama.2018.0948'!$A$2:$A$8,0)))</x:f>
      </x:c>
      <x:c r="T20" s="6" t="str">
        <x:f>IF(INDEX('C_jama.2018.0948'!$E$2:$E$8,MATCH("2018::jama.2018.0948::C005",'C_jama.2018.0948'!$A$2:$A$8,0))="","",INDEX('C_jama.2018.0948'!$E$2:$E$8,MATCH("2018::jama.2018.0948::C005",'C_jama.2018.0948'!$A$2:$A$8,0)))</x:f>
        <x:v>plan_material</x:v>
      </x:c>
      <x:c r="U20" s="6" t="str">
        <x:f>IF(AND(INDEX('C_jama.2018.0948'!$D$2:$D$8,MATCH("2018::jama.2018.0948::C005",'C_jama.2018.0948'!$A$2:$A$8,0))="retain",INDEX('C_jama.2018.0948'!$E$2:$E$8,MATCH("2018::jama.2018.0948::C005",'C_jama.2018.0948'!$A$2:$A$8,0))="statistical_results"),IF(INDEX('C_jama.2018.0948'!$H$2:$H$8,MATCH("2018::jama.2018.0948::C005",'C_jama.2018.0948'!$A$2:$A$8,0))="","",INDEX('C_jama.2018.0948'!$H$2:$H$8,MATCH("2018::jama.2018.0948::C005",'C_jama.2018.0948'!$A$2:$A$8,0))),"not_applicable")</x:f>
        <x:v>not_applicable</x:v>
      </x:c>
      <x:c r="V20" s="6" t="str">
        <x:f>IF(AND(INDEX('C_jama.2018.0948'!$D$2:$D$8,MATCH("2018::jama.2018.0948::C005",'C_jama.2018.0948'!$A$2:$A$8,0))="retain",INDEX('C_jama.2018.0948'!$E$2:$E$8,MATCH("2018::jama.2018.0948::C005",'C_jama.2018.0948'!$A$2:$A$8,0))="statistical_results"),IF(INDEX('C_jama.2018.0948'!$I$2:$I$8,MATCH("2018::jama.2018.0948::C005",'C_jama.2018.0948'!$A$2:$A$8,0))="","",INDEX('C_jama.2018.0948'!$I$2:$I$8,MATCH("2018::jama.2018.0948::C005",'C_jama.2018.0948'!$A$2:$A$8,0))),"not_applicable")</x:f>
        <x:v>not_applicable</x:v>
      </x:c>
      <x:c r="W20" s="6" t="str">
        <x:f>IF(AND(INDEX('C_jama.2018.0948'!$D$2:$D$8,MATCH("2018::jama.2018.0948::C005",'C_jama.2018.0948'!$A$2:$A$8,0))="retain",INDEX('C_jama.2018.0948'!$E$2:$E$8,MATCH("2018::jama.2018.0948::C005",'C_jama.2018.0948'!$A$2:$A$8,0))="statistical_results"),IF(INDEX('C_jama.2018.0948'!$J$2:$J$8,MATCH("2018::jama.2018.0948::C005",'C_jama.2018.0948'!$A$2:$A$8,0))="","",INDEX('C_jama.2018.0948'!$J$2:$J$8,MATCH("2018::jama.2018.0948::C005",'C_jama.2018.0948'!$A$2:$A$8,0))),"not_applicable")</x:f>
        <x:v>not_applicable</x:v>
      </x:c>
      <x:c r="X20" s="6" t="str">
        <x:f>IF(AND(INDEX('C_jama.2018.0948'!$D$2:$D$8,MATCH("2018::jama.2018.0948::C005",'C_jama.2018.0948'!$A$2:$A$8,0))="retain",OR(INDEX('C_jama.2018.0948'!$E$2:$E$8,MATCH("2018::jama.2018.0948::C005",'C_jama.2018.0948'!$A$2:$A$8,0))="report_internal_inconsistency",INDEX('C_jama.2018.0948'!$E$2:$E$8,MATCH("2018::jama.2018.0948::C005",'C_jama.2018.0948'!$A$2:$A$8,0))="plan_material")),IF(INDEX('C_jama.2018.0948'!$K$2:$K$8,MATCH("2018::jama.2018.0948::C005",'C_jama.2018.0948'!$A$2:$A$8,0))="","",INDEX('C_jama.2018.0948'!$K$2:$K$8,MATCH("2018::jama.2018.0948::C005",'C_jama.2018.0948'!$A$2:$A$8,0))),"not_applicable")</x:f>
        <x:v>not_applicable</x:v>
      </x:c>
      <x:c r="Y20" s="6" t="str">
        <x:f>IF(AND(INDEX('C_jama.2018.0948'!$D$2:$D$8,MATCH("2018::jama.2018.0948::C005",'C_jama.2018.0948'!$A$2:$A$8,0))="retain",INDEX('C_jama.2018.0948'!$E$2:$E$8,MATCH("2018::jama.2018.0948::C005",'C_jama.2018.0948'!$A$2:$A$8,0))="protocol_report"),IF(INDEX('C_jama.2018.0948'!$L$2:$L$8,MATCH("2018::jama.2018.0948::C005",'C_jama.2018.0948'!$A$2:$A$8,0))="","",INDEX('C_jama.2018.0948'!$L$2:$L$8,MATCH("2018::jama.2018.0948::C005",'C_jama.2018.0948'!$A$2:$A$8,0))),"not_applicable")</x:f>
        <x:v>not_applicable</x:v>
      </x:c>
      <x:c r="Z20" s="6" t="str">
        <x:f>IF(INDEX('C_jama.2018.0948'!$R$2:$R$8,MATCH("2018::jama.2018.0948::C005",'C_jama.2018.0948'!$A$2:$A$8,0))="","",INDEX('C_jama.2018.0948'!$R$2:$R$8,MATCH("2018::jama.2018.0948::C005",'C_jama.2018.0948'!$A$2:$A$8,0)))</x:f>
      </x:c>
      <x:c r="AA20" s="6" t="str">
        <x:f>IF(INDEX('C_jama.2018.0948'!$N$2:$N$8,MATCH("2018::jama.2018.0948::C005",'C_jama.2018.0948'!$A$2:$A$8,0))="","",INDEX('C_jama.2018.0948'!$N$2:$N$8,MATCH("2018::jama.2018.0948::C005",'C_jama.2018.0948'!$A$2:$A$8,0)))</x:f>
      </x:c>
      <x:c r="AB20" s="6" t="str">
        <x:f>IF(INDEX('C_jama.2018.0948'!$O$2:$O$8,MATCH("2018::jama.2018.0948::C005",'C_jama.2018.0948'!$A$2:$A$8,0))="","",INDEX('C_jama.2018.0948'!$O$2:$O$8,MATCH("2018::jama.2018.0948::C005",'C_jama.2018.0948'!$A$2:$A$8,0)))</x:f>
      </x:c>
      <x:c r="AC20" s="6" t="str">
        <x:f>IF(INDEX('C_jama.2018.0948'!$P$2:$P$8,MATCH("2018::jama.2018.0948::C005",'C_jama.2018.0948'!$A$2:$A$8,0))="","",INDEX('C_jama.2018.0948'!$P$2:$P$8,MATCH("2018::jama.2018.0948::C005",'C_jama.2018.0948'!$A$2:$A$8,0)))</x:f>
      </x:c>
      <x:c r="AD20" s="6" t="str">
        <x:f>IF(INDEX('C_jama.2018.0948'!$Q$2:$Q$8,MATCH("2018::jama.2018.0948::C005",'C_jama.2018.0948'!$A$2:$A$8,0))="","",INDEX('C_jama.2018.0948'!$Q$2:$Q$8,MATCH("2018::jama.2018.0948::C005",'C_jama.2018.0948'!$A$2:$A$8,0)))</x:f>
      </x:c>
    </x:row>
    <x:row r="21" ht="65" customHeight="1">
      <x:c r="A21" s="3" t="n">
        <x:v>2018</x:v>
      </x:c>
      <x:c r="B21" s="3" t="str">
        <x:v>jama.2018.0948</x:v>
      </x:c>
      <x:c r="C21" s="3" t="str">
        <x:v>2018::jama.2018.0948::C006</x:v>
      </x:c>
      <x:c r="D21" s="3" t="str">
        <x:v>P_P</x:v>
      </x:c>
      <x:c r="E21" s="3" t="n">
        <x:f>Setup!$B$2</x:f>
        <x:v>0</x:v>
      </x:c>
      <x:c r="F21" s="3" t="str">
        <x:f>IF(Setup!$B$4="","",Setup!$B$4)</x:f>
      </x:c>
      <x:c r="G21" s="3" t="str">
        <x:f>IFERROR(INDEX('C_jama.2018.0948'!$G$2:$G$8,MATCH("2018::jama.2018.0948::C006",'C_jama.2018.0948'!$A$2:$A$8,0)),"CHECK KEY")</x:f>
        <x:v>CHECK REVIEWER IDs</x:v>
      </x:c>
      <x:c r="H21" s="3" t="str">
        <x:f>IF(G21&lt;&gt;"FINAL READY","",IF(S21&lt;&gt;"retain","not_eligible",IF(D21="P_R","protocol_descriptive",IF(D21="P_P","plan_descriptive",IF(AND(T21="statistical_results",OR(U21="confirmed_issue",U21="probable_issue"),V21="substantive"),"primary_temporal",IF(AND(T21="report_internal_inconsistency",X21="substantive_inconsistency"),"secondary_temporal","not_eligible"))))))</x:f>
      </x:c>
      <x:c r="I21" s="3" t="str">
        <x:v>retain</x:v>
      </x:c>
      <x:c r="J21" s="3" t="str">
        <x:v>plan_material</x:v>
      </x:c>
      <x:c r="K21" s="3" t="str">
        <x:f>IF(Setup!$B$6="primary","",IFERROR(IF(INDEX('Primary_snapshot'!$B$2:$B$120,MATCH(C21,'Primary_snapshot'!$A$2:$A$120,0))="","",INDEX('Primary_snapshot'!$B$2:$B$120,MATCH(C21,'Primary_snapshot'!$A$2:$A$120,0))),"SNAPSHOT MISSING"))</x:f>
      </x:c>
      <x:c r="L21" s="3" t="str">
        <x:f>IF(Setup!$B$6="primary","",IFERROR(IF(INDEX('Primary_snapshot'!$C$2:$C$120,MATCH(C21,'Primary_snapshot'!$A$2:$A$120,0))="","",INDEX('Primary_snapshot'!$C$2:$C$120,MATCH(C21,'Primary_snapshot'!$A$2:$A$120,0))),"SNAPSHOT MISSING"))</x:f>
      </x:c>
      <x:c r="M21" s="3" t="str">
        <x:f>IF(Setup!$B$6="primary","",IFERROR(IF(INDEX('Primary_snapshot'!$D$2:$D$120,MATCH(C21,'Primary_snapshot'!$A$2:$A$120,0))="","",INDEX('Primary_snapshot'!$D$2:$D$120,MATCH(C21,'Primary_snapshot'!$A$2:$A$120,0))),"SNAPSHOT MISSING"))</x:f>
      </x:c>
      <x:c r="N21" s="3" t="str">
        <x:f>IF(Setup!$B$6="primary","",IFERROR(IF(INDEX('Primary_snapshot'!$E$2:$E$120,MATCH(C21,'Primary_snapshot'!$A$2:$A$120,0))="","",INDEX('Primary_snapshot'!$E$2:$E$120,MATCH(C21,'Primary_snapshot'!$A$2:$A$120,0))),"SNAPSHOT MISSING"))</x:f>
      </x:c>
      <x:c r="O21" s="3" t="str">
        <x:f>IF(Setup!$B$6="primary","",IFERROR(IF(INDEX('Primary_snapshot'!$F$2:$F$120,MATCH(C21,'Primary_snapshot'!$A$2:$A$120,0))="","",INDEX('Primary_snapshot'!$F$2:$F$120,MATCH(C21,'Primary_snapshot'!$A$2:$A$120,0))),"SNAPSHOT MISSING"))</x:f>
      </x:c>
      <x:c r="P21" s="3" t="str">
        <x:f>IF(Setup!$B$6="primary","",IFERROR(IF(INDEX('Primary_snapshot'!$G$2:$G$120,MATCH(C21,'Primary_snapshot'!$A$2:$A$120,0))="","",INDEX('Primary_snapshot'!$G$2:$G$120,MATCH(C21,'Primary_snapshot'!$A$2:$A$120,0))),"SNAPSHOT MISSING"))</x:f>
      </x:c>
      <x:c r="Q21" s="3" t="str">
        <x:f>IF(Setup!$B$6="primary","",IFERROR(IF(INDEX('Primary_snapshot'!$H$2:$H$120,MATCH(C21,'Primary_snapshot'!$A$2:$A$120,0))="","",INDEX('Primary_snapshot'!$H$2:$H$120,MATCH(C21,'Primary_snapshot'!$A$2:$A$120,0))),"SNAPSHOT MISSING"))</x:f>
      </x:c>
      <x:c r="R21" s="3" t="str">
        <x:f>IF(Setup!$B$6="primary","",IFERROR(IF(INDEX('Primary_snapshot'!$I$2:$I$120,MATCH(C21,'Primary_snapshot'!$A$2:$A$120,0))="","",INDEX('Primary_snapshot'!$I$2:$I$120,MATCH(C21,'Primary_snapshot'!$A$2:$A$120,0))),"SNAPSHOT MISSING"))</x:f>
      </x:c>
      <x:c r="S21" s="3" t="str">
        <x:f>IF(INDEX('C_jama.2018.0948'!$D$2:$D$8,MATCH("2018::jama.2018.0948::C006",'C_jama.2018.0948'!$A$2:$A$8,0))="","",INDEX('C_jama.2018.0948'!$D$2:$D$8,MATCH("2018::jama.2018.0948::C006",'C_jama.2018.0948'!$A$2:$A$8,0)))</x:f>
      </x:c>
      <x:c r="T21" s="3" t="str">
        <x:f>IF(INDEX('C_jama.2018.0948'!$E$2:$E$8,MATCH("2018::jama.2018.0948::C006",'C_jama.2018.0948'!$A$2:$A$8,0))="","",INDEX('C_jama.2018.0948'!$E$2:$E$8,MATCH("2018::jama.2018.0948::C006",'C_jama.2018.0948'!$A$2:$A$8,0)))</x:f>
        <x:v>plan_material</x:v>
      </x:c>
      <x:c r="U21" s="3" t="str">
        <x:f>IF(AND(INDEX('C_jama.2018.0948'!$D$2:$D$8,MATCH("2018::jama.2018.0948::C006",'C_jama.2018.0948'!$A$2:$A$8,0))="retain",INDEX('C_jama.2018.0948'!$E$2:$E$8,MATCH("2018::jama.2018.0948::C006",'C_jama.2018.0948'!$A$2:$A$8,0))="statistical_results"),IF(INDEX('C_jama.2018.0948'!$H$2:$H$8,MATCH("2018::jama.2018.0948::C006",'C_jama.2018.0948'!$A$2:$A$8,0))="","",INDEX('C_jama.2018.0948'!$H$2:$H$8,MATCH("2018::jama.2018.0948::C006",'C_jama.2018.0948'!$A$2:$A$8,0))),"not_applicable")</x:f>
        <x:v>not_applicable</x:v>
      </x:c>
      <x:c r="V21" s="3" t="str">
        <x:f>IF(AND(INDEX('C_jama.2018.0948'!$D$2:$D$8,MATCH("2018::jama.2018.0948::C006",'C_jama.2018.0948'!$A$2:$A$8,0))="retain",INDEX('C_jama.2018.0948'!$E$2:$E$8,MATCH("2018::jama.2018.0948::C006",'C_jama.2018.0948'!$A$2:$A$8,0))="statistical_results"),IF(INDEX('C_jama.2018.0948'!$I$2:$I$8,MATCH("2018::jama.2018.0948::C006",'C_jama.2018.0948'!$A$2:$A$8,0))="","",INDEX('C_jama.2018.0948'!$I$2:$I$8,MATCH("2018::jama.2018.0948::C006",'C_jama.2018.0948'!$A$2:$A$8,0))),"not_applicable")</x:f>
        <x:v>not_applicable</x:v>
      </x:c>
      <x:c r="W21" s="3" t="str">
        <x:f>IF(AND(INDEX('C_jama.2018.0948'!$D$2:$D$8,MATCH("2018::jama.2018.0948::C006",'C_jama.2018.0948'!$A$2:$A$8,0))="retain",INDEX('C_jama.2018.0948'!$E$2:$E$8,MATCH("2018::jama.2018.0948::C006",'C_jama.2018.0948'!$A$2:$A$8,0))="statistical_results"),IF(INDEX('C_jama.2018.0948'!$J$2:$J$8,MATCH("2018::jama.2018.0948::C006",'C_jama.2018.0948'!$A$2:$A$8,0))="","",INDEX('C_jama.2018.0948'!$J$2:$J$8,MATCH("2018::jama.2018.0948::C006",'C_jama.2018.0948'!$A$2:$A$8,0))),"not_applicable")</x:f>
        <x:v>not_applicable</x:v>
      </x:c>
      <x:c r="X21" s="3" t="str">
        <x:f>IF(AND(INDEX('C_jama.2018.0948'!$D$2:$D$8,MATCH("2018::jama.2018.0948::C006",'C_jama.2018.0948'!$A$2:$A$8,0))="retain",OR(INDEX('C_jama.2018.0948'!$E$2:$E$8,MATCH("2018::jama.2018.0948::C006",'C_jama.2018.0948'!$A$2:$A$8,0))="report_internal_inconsistency",INDEX('C_jama.2018.0948'!$E$2:$E$8,MATCH("2018::jama.2018.0948::C006",'C_jama.2018.0948'!$A$2:$A$8,0))="plan_material")),IF(INDEX('C_jama.2018.0948'!$K$2:$K$8,MATCH("2018::jama.2018.0948::C006",'C_jama.2018.0948'!$A$2:$A$8,0))="","",INDEX('C_jama.2018.0948'!$K$2:$K$8,MATCH("2018::jama.2018.0948::C006",'C_jama.2018.0948'!$A$2:$A$8,0))),"not_applicable")</x:f>
        <x:v>not_applicable</x:v>
      </x:c>
      <x:c r="Y21" s="3" t="str">
        <x:f>IF(AND(INDEX('C_jama.2018.0948'!$D$2:$D$8,MATCH("2018::jama.2018.0948::C006",'C_jama.2018.0948'!$A$2:$A$8,0))="retain",INDEX('C_jama.2018.0948'!$E$2:$E$8,MATCH("2018::jama.2018.0948::C006",'C_jama.2018.0948'!$A$2:$A$8,0))="protocol_report"),IF(INDEX('C_jama.2018.0948'!$L$2:$L$8,MATCH("2018::jama.2018.0948::C006",'C_jama.2018.0948'!$A$2:$A$8,0))="","",INDEX('C_jama.2018.0948'!$L$2:$L$8,MATCH("2018::jama.2018.0948::C006",'C_jama.2018.0948'!$A$2:$A$8,0))),"not_applicable")</x:f>
        <x:v>not_applicable</x:v>
      </x:c>
      <x:c r="Z21" s="3" t="str">
        <x:f>IF(INDEX('C_jama.2018.0948'!$R$2:$R$8,MATCH("2018::jama.2018.0948::C006",'C_jama.2018.0948'!$A$2:$A$8,0))="","",INDEX('C_jama.2018.0948'!$R$2:$R$8,MATCH("2018::jama.2018.0948::C006",'C_jama.2018.0948'!$A$2:$A$8,0)))</x:f>
      </x:c>
      <x:c r="AA21" s="3" t="str">
        <x:f>IF(INDEX('C_jama.2018.0948'!$N$2:$N$8,MATCH("2018::jama.2018.0948::C006",'C_jama.2018.0948'!$A$2:$A$8,0))="","",INDEX('C_jama.2018.0948'!$N$2:$N$8,MATCH("2018::jama.2018.0948::C006",'C_jama.2018.0948'!$A$2:$A$8,0)))</x:f>
      </x:c>
      <x:c r="AB21" s="3" t="str">
        <x:f>IF(INDEX('C_jama.2018.0948'!$O$2:$O$8,MATCH("2018::jama.2018.0948::C006",'C_jama.2018.0948'!$A$2:$A$8,0))="","",INDEX('C_jama.2018.0948'!$O$2:$O$8,MATCH("2018::jama.2018.0948::C006",'C_jama.2018.0948'!$A$2:$A$8,0)))</x:f>
      </x:c>
      <x:c r="AC21" s="3" t="str">
        <x:f>IF(INDEX('C_jama.2018.0948'!$P$2:$P$8,MATCH("2018::jama.2018.0948::C006",'C_jama.2018.0948'!$A$2:$A$8,0))="","",INDEX('C_jama.2018.0948'!$P$2:$P$8,MATCH("2018::jama.2018.0948::C006",'C_jama.2018.0948'!$A$2:$A$8,0)))</x:f>
      </x:c>
      <x:c r="AD21" s="3" t="str">
        <x:f>IF(INDEX('C_jama.2018.0948'!$Q$2:$Q$8,MATCH("2018::jama.2018.0948::C006",'C_jama.2018.0948'!$A$2:$A$8,0))="","",INDEX('C_jama.2018.0948'!$Q$2:$Q$8,MATCH("2018::jama.2018.0948::C006",'C_jama.2018.0948'!$A$2:$A$8,0)))</x:f>
      </x:c>
    </x:row>
    <x:row r="22" ht="65" customHeight="1">
      <x:c r="A22" s="6" t="n">
        <x:v>2018</x:v>
      </x:c>
      <x:c r="B22" s="6" t="str">
        <x:v>jama.2018.0948</x:v>
      </x:c>
      <x:c r="C22" s="6" t="str">
        <x:v>2018::jama.2018.0948::C007</x:v>
      </x:c>
      <x:c r="D22" s="6" t="str">
        <x:v>P_P</x:v>
      </x:c>
      <x:c r="E22" s="6" t="n">
        <x:f>Setup!$B$2</x:f>
        <x:v>0</x:v>
      </x:c>
      <x:c r="F22" s="6" t="str">
        <x:f>IF(Setup!$B$4="","",Setup!$B$4)</x:f>
      </x:c>
      <x:c r="G22" s="6" t="str">
        <x:f>IFERROR(INDEX('C_jama.2018.0948'!$G$2:$G$8,MATCH("2018::jama.2018.0948::C007",'C_jama.2018.0948'!$A$2:$A$8,0)),"CHECK KEY")</x:f>
        <x:v>CHECK REVIEWER IDs</x:v>
      </x:c>
      <x:c r="H22" s="6" t="str">
        <x:f>IF(G22&lt;&gt;"FINAL READY","",IF(S22&lt;&gt;"retain","not_eligible",IF(D22="P_R","protocol_descriptive",IF(D22="P_P","plan_descriptive",IF(AND(T22="statistical_results",OR(U22="confirmed_issue",U22="probable_issue"),V22="substantive"),"primary_temporal",IF(AND(T22="report_internal_inconsistency",X22="substantive_inconsistency"),"secondary_temporal","not_eligible"))))))</x:f>
      </x:c>
      <x:c r="I22" s="6" t="str">
        <x:v>retain</x:v>
      </x:c>
      <x:c r="J22" s="6" t="str">
        <x:v>plan_material</x:v>
      </x:c>
      <x:c r="K22" s="6" t="str">
        <x:f>IF(Setup!$B$6="primary","",IFERROR(IF(INDEX('Primary_snapshot'!$B$2:$B$120,MATCH(C22,'Primary_snapshot'!$A$2:$A$120,0))="","",INDEX('Primary_snapshot'!$B$2:$B$120,MATCH(C22,'Primary_snapshot'!$A$2:$A$120,0))),"SNAPSHOT MISSING"))</x:f>
      </x:c>
      <x:c r="L22" s="6" t="str">
        <x:f>IF(Setup!$B$6="primary","",IFERROR(IF(INDEX('Primary_snapshot'!$C$2:$C$120,MATCH(C22,'Primary_snapshot'!$A$2:$A$120,0))="","",INDEX('Primary_snapshot'!$C$2:$C$120,MATCH(C22,'Primary_snapshot'!$A$2:$A$120,0))),"SNAPSHOT MISSING"))</x:f>
      </x:c>
      <x:c r="M22" s="6" t="str">
        <x:f>IF(Setup!$B$6="primary","",IFERROR(IF(INDEX('Primary_snapshot'!$D$2:$D$120,MATCH(C22,'Primary_snapshot'!$A$2:$A$120,0))="","",INDEX('Primary_snapshot'!$D$2:$D$120,MATCH(C22,'Primary_snapshot'!$A$2:$A$120,0))),"SNAPSHOT MISSING"))</x:f>
      </x:c>
      <x:c r="N22" s="6" t="str">
        <x:f>IF(Setup!$B$6="primary","",IFERROR(IF(INDEX('Primary_snapshot'!$E$2:$E$120,MATCH(C22,'Primary_snapshot'!$A$2:$A$120,0))="","",INDEX('Primary_snapshot'!$E$2:$E$120,MATCH(C22,'Primary_snapshot'!$A$2:$A$120,0))),"SNAPSHOT MISSING"))</x:f>
      </x:c>
      <x:c r="O22" s="6" t="str">
        <x:f>IF(Setup!$B$6="primary","",IFERROR(IF(INDEX('Primary_snapshot'!$F$2:$F$120,MATCH(C22,'Primary_snapshot'!$A$2:$A$120,0))="","",INDEX('Primary_snapshot'!$F$2:$F$120,MATCH(C22,'Primary_snapshot'!$A$2:$A$120,0))),"SNAPSHOT MISSING"))</x:f>
      </x:c>
      <x:c r="P22" s="6" t="str">
        <x:f>IF(Setup!$B$6="primary","",IFERROR(IF(INDEX('Primary_snapshot'!$G$2:$G$120,MATCH(C22,'Primary_snapshot'!$A$2:$A$120,0))="","",INDEX('Primary_snapshot'!$G$2:$G$120,MATCH(C22,'Primary_snapshot'!$A$2:$A$120,0))),"SNAPSHOT MISSING"))</x:f>
      </x:c>
      <x:c r="Q22" s="6" t="str">
        <x:f>IF(Setup!$B$6="primary","",IFERROR(IF(INDEX('Primary_snapshot'!$H$2:$H$120,MATCH(C22,'Primary_snapshot'!$A$2:$A$120,0))="","",INDEX('Primary_snapshot'!$H$2:$H$120,MATCH(C22,'Primary_snapshot'!$A$2:$A$120,0))),"SNAPSHOT MISSING"))</x:f>
      </x:c>
      <x:c r="R22" s="6" t="str">
        <x:f>IF(Setup!$B$6="primary","",IFERROR(IF(INDEX('Primary_snapshot'!$I$2:$I$120,MATCH(C22,'Primary_snapshot'!$A$2:$A$120,0))="","",INDEX('Primary_snapshot'!$I$2:$I$120,MATCH(C22,'Primary_snapshot'!$A$2:$A$120,0))),"SNAPSHOT MISSING"))</x:f>
      </x:c>
      <x:c r="S22" s="6" t="str">
        <x:f>IF(INDEX('C_jama.2018.0948'!$D$2:$D$8,MATCH("2018::jama.2018.0948::C007",'C_jama.2018.0948'!$A$2:$A$8,0))="","",INDEX('C_jama.2018.0948'!$D$2:$D$8,MATCH("2018::jama.2018.0948::C007",'C_jama.2018.0948'!$A$2:$A$8,0)))</x:f>
      </x:c>
      <x:c r="T22" s="6" t="str">
        <x:f>IF(INDEX('C_jama.2018.0948'!$E$2:$E$8,MATCH("2018::jama.2018.0948::C007",'C_jama.2018.0948'!$A$2:$A$8,0))="","",INDEX('C_jama.2018.0948'!$E$2:$E$8,MATCH("2018::jama.2018.0948::C007",'C_jama.2018.0948'!$A$2:$A$8,0)))</x:f>
        <x:v>plan_material</x:v>
      </x:c>
      <x:c r="U22" s="6" t="str">
        <x:f>IF(AND(INDEX('C_jama.2018.0948'!$D$2:$D$8,MATCH("2018::jama.2018.0948::C007",'C_jama.2018.0948'!$A$2:$A$8,0))="retain",INDEX('C_jama.2018.0948'!$E$2:$E$8,MATCH("2018::jama.2018.0948::C007",'C_jama.2018.0948'!$A$2:$A$8,0))="statistical_results"),IF(INDEX('C_jama.2018.0948'!$H$2:$H$8,MATCH("2018::jama.2018.0948::C007",'C_jama.2018.0948'!$A$2:$A$8,0))="","",INDEX('C_jama.2018.0948'!$H$2:$H$8,MATCH("2018::jama.2018.0948::C007",'C_jama.2018.0948'!$A$2:$A$8,0))),"not_applicable")</x:f>
        <x:v>not_applicable</x:v>
      </x:c>
      <x:c r="V22" s="6" t="str">
        <x:f>IF(AND(INDEX('C_jama.2018.0948'!$D$2:$D$8,MATCH("2018::jama.2018.0948::C007",'C_jama.2018.0948'!$A$2:$A$8,0))="retain",INDEX('C_jama.2018.0948'!$E$2:$E$8,MATCH("2018::jama.2018.0948::C007",'C_jama.2018.0948'!$A$2:$A$8,0))="statistical_results"),IF(INDEX('C_jama.2018.0948'!$I$2:$I$8,MATCH("2018::jama.2018.0948::C007",'C_jama.2018.0948'!$A$2:$A$8,0))="","",INDEX('C_jama.2018.0948'!$I$2:$I$8,MATCH("2018::jama.2018.0948::C007",'C_jama.2018.0948'!$A$2:$A$8,0))),"not_applicable")</x:f>
        <x:v>not_applicable</x:v>
      </x:c>
      <x:c r="W22" s="6" t="str">
        <x:f>IF(AND(INDEX('C_jama.2018.0948'!$D$2:$D$8,MATCH("2018::jama.2018.0948::C007",'C_jama.2018.0948'!$A$2:$A$8,0))="retain",INDEX('C_jama.2018.0948'!$E$2:$E$8,MATCH("2018::jama.2018.0948::C007",'C_jama.2018.0948'!$A$2:$A$8,0))="statistical_results"),IF(INDEX('C_jama.2018.0948'!$J$2:$J$8,MATCH("2018::jama.2018.0948::C007",'C_jama.2018.0948'!$A$2:$A$8,0))="","",INDEX('C_jama.2018.0948'!$J$2:$J$8,MATCH("2018::jama.2018.0948::C007",'C_jama.2018.0948'!$A$2:$A$8,0))),"not_applicable")</x:f>
        <x:v>not_applicable</x:v>
      </x:c>
      <x:c r="X22" s="6" t="str">
        <x:f>IF(AND(INDEX('C_jama.2018.0948'!$D$2:$D$8,MATCH("2018::jama.2018.0948::C007",'C_jama.2018.0948'!$A$2:$A$8,0))="retain",OR(INDEX('C_jama.2018.0948'!$E$2:$E$8,MATCH("2018::jama.2018.0948::C007",'C_jama.2018.0948'!$A$2:$A$8,0))="report_internal_inconsistency",INDEX('C_jama.2018.0948'!$E$2:$E$8,MATCH("2018::jama.2018.0948::C007",'C_jama.2018.0948'!$A$2:$A$8,0))="plan_material")),IF(INDEX('C_jama.2018.0948'!$K$2:$K$8,MATCH("2018::jama.2018.0948::C007",'C_jama.2018.0948'!$A$2:$A$8,0))="","",INDEX('C_jama.2018.0948'!$K$2:$K$8,MATCH("2018::jama.2018.0948::C007",'C_jama.2018.0948'!$A$2:$A$8,0))),"not_applicable")</x:f>
        <x:v>not_applicable</x:v>
      </x:c>
      <x:c r="Y22" s="6" t="str">
        <x:f>IF(AND(INDEX('C_jama.2018.0948'!$D$2:$D$8,MATCH("2018::jama.2018.0948::C007",'C_jama.2018.0948'!$A$2:$A$8,0))="retain",INDEX('C_jama.2018.0948'!$E$2:$E$8,MATCH("2018::jama.2018.0948::C007",'C_jama.2018.0948'!$A$2:$A$8,0))="protocol_report"),IF(INDEX('C_jama.2018.0948'!$L$2:$L$8,MATCH("2018::jama.2018.0948::C007",'C_jama.2018.0948'!$A$2:$A$8,0))="","",INDEX('C_jama.2018.0948'!$L$2:$L$8,MATCH("2018::jama.2018.0948::C007",'C_jama.2018.0948'!$A$2:$A$8,0))),"not_applicable")</x:f>
        <x:v>not_applicable</x:v>
      </x:c>
      <x:c r="Z22" s="6" t="str">
        <x:f>IF(INDEX('C_jama.2018.0948'!$R$2:$R$8,MATCH("2018::jama.2018.0948::C007",'C_jama.2018.0948'!$A$2:$A$8,0))="","",INDEX('C_jama.2018.0948'!$R$2:$R$8,MATCH("2018::jama.2018.0948::C007",'C_jama.2018.0948'!$A$2:$A$8,0)))</x:f>
      </x:c>
      <x:c r="AA22" s="6" t="str">
        <x:f>IF(INDEX('C_jama.2018.0948'!$N$2:$N$8,MATCH("2018::jama.2018.0948::C007",'C_jama.2018.0948'!$A$2:$A$8,0))="","",INDEX('C_jama.2018.0948'!$N$2:$N$8,MATCH("2018::jama.2018.0948::C007",'C_jama.2018.0948'!$A$2:$A$8,0)))</x:f>
      </x:c>
      <x:c r="AB22" s="6" t="str">
        <x:f>IF(INDEX('C_jama.2018.0948'!$O$2:$O$8,MATCH("2018::jama.2018.0948::C007",'C_jama.2018.0948'!$A$2:$A$8,0))="","",INDEX('C_jama.2018.0948'!$O$2:$O$8,MATCH("2018::jama.2018.0948::C007",'C_jama.2018.0948'!$A$2:$A$8,0)))</x:f>
      </x:c>
      <x:c r="AC22" s="6" t="str">
        <x:f>IF(INDEX('C_jama.2018.0948'!$P$2:$P$8,MATCH("2018::jama.2018.0948::C007",'C_jama.2018.0948'!$A$2:$A$8,0))="","",INDEX('C_jama.2018.0948'!$P$2:$P$8,MATCH("2018::jama.2018.0948::C007",'C_jama.2018.0948'!$A$2:$A$8,0)))</x:f>
      </x:c>
      <x:c r="AD22" s="6" t="str">
        <x:f>IF(INDEX('C_jama.2018.0948'!$Q$2:$Q$8,MATCH("2018::jama.2018.0948::C007",'C_jama.2018.0948'!$A$2:$A$8,0))="","",INDEX('C_jama.2018.0948'!$Q$2:$Q$8,MATCH("2018::jama.2018.0948::C007",'C_jama.2018.0948'!$A$2:$A$8,0)))</x:f>
      </x:c>
    </x:row>
    <x:row r="23" ht="65" customHeight="1">
      <x:c r="A23" s="3" t="n">
        <x:v>2018</x:v>
      </x:c>
      <x:c r="B23" s="3" t="str">
        <x:v>jama.2018.14280</x:v>
      </x:c>
      <x:c r="C23" s="3" t="str">
        <x:v>2018::jama.2018.14280::C001</x:v>
      </x:c>
      <x:c r="D23" s="3" t="str">
        <x:v>S_W</x:v>
      </x:c>
      <x:c r="E23" s="3" t="n">
        <x:f>Setup!$B$2</x:f>
        <x:v>0</x:v>
      </x:c>
      <x:c r="F23" s="3" t="str">
        <x:f>IF(Setup!$B$4="","",Setup!$B$4)</x:f>
      </x:c>
      <x:c r="G23" s="3" t="str">
        <x:f>IFERROR(INDEX('C_jama.2018.14280'!$G$2:$G$24,MATCH("2018::jama.2018.14280::C001",'C_jama.2018.14280'!$A$2:$A$24,0)),"CHECK KEY")</x:f>
        <x:v>CHECK REVIEWER IDs</x:v>
      </x:c>
      <x:c r="H23" s="3" t="str">
        <x:f>IF(G23&lt;&gt;"FINAL READY","",IF(S23&lt;&gt;"retain","not_eligible",IF(D23="P_R","protocol_descriptive",IF(D23="P_P","plan_descriptive",IF(AND(T23="statistical_results",OR(U23="confirmed_issue",U23="probable_issue"),V23="substantive"),"primary_temporal",IF(AND(T23="report_internal_inconsistency",X23="substantive_inconsistency"),"secondary_temporal","not_eligible"))))))</x:f>
      </x:c>
      <x:c r="I23" s="3" t="str">
        <x:v>retain</x:v>
      </x:c>
      <x:c r="J23" s="3" t="str">
        <x:v>statistical_results</x:v>
      </x:c>
      <x:c r="K23" s="3" t="str">
        <x:f>IF(Setup!$B$6="primary","",IFERROR(IF(INDEX('Primary_snapshot'!$B$2:$B$120,MATCH(C23,'Primary_snapshot'!$A$2:$A$120,0))="","",INDEX('Primary_snapshot'!$B$2:$B$120,MATCH(C23,'Primary_snapshot'!$A$2:$A$120,0))),"SNAPSHOT MISSING"))</x:f>
      </x:c>
      <x:c r="L23" s="3" t="str">
        <x:f>IF(Setup!$B$6="primary","",IFERROR(IF(INDEX('Primary_snapshot'!$C$2:$C$120,MATCH(C23,'Primary_snapshot'!$A$2:$A$120,0))="","",INDEX('Primary_snapshot'!$C$2:$C$120,MATCH(C23,'Primary_snapshot'!$A$2:$A$120,0))),"SNAPSHOT MISSING"))</x:f>
      </x:c>
      <x:c r="M23" s="3" t="str">
        <x:f>IF(Setup!$B$6="primary","",IFERROR(IF(INDEX('Primary_snapshot'!$D$2:$D$120,MATCH(C23,'Primary_snapshot'!$A$2:$A$120,0))="","",INDEX('Primary_snapshot'!$D$2:$D$120,MATCH(C23,'Primary_snapshot'!$A$2:$A$120,0))),"SNAPSHOT MISSING"))</x:f>
      </x:c>
      <x:c r="N23" s="3" t="str">
        <x:f>IF(Setup!$B$6="primary","",IFERROR(IF(INDEX('Primary_snapshot'!$E$2:$E$120,MATCH(C23,'Primary_snapshot'!$A$2:$A$120,0))="","",INDEX('Primary_snapshot'!$E$2:$E$120,MATCH(C23,'Primary_snapshot'!$A$2:$A$120,0))),"SNAPSHOT MISSING"))</x:f>
      </x:c>
      <x:c r="O23" s="3" t="str">
        <x:f>IF(Setup!$B$6="primary","",IFERROR(IF(INDEX('Primary_snapshot'!$F$2:$F$120,MATCH(C23,'Primary_snapshot'!$A$2:$A$120,0))="","",INDEX('Primary_snapshot'!$F$2:$F$120,MATCH(C23,'Primary_snapshot'!$A$2:$A$120,0))),"SNAPSHOT MISSING"))</x:f>
      </x:c>
      <x:c r="P23" s="3" t="str">
        <x:f>IF(Setup!$B$6="primary","",IFERROR(IF(INDEX('Primary_snapshot'!$G$2:$G$120,MATCH(C23,'Primary_snapshot'!$A$2:$A$120,0))="","",INDEX('Primary_snapshot'!$G$2:$G$120,MATCH(C23,'Primary_snapshot'!$A$2:$A$120,0))),"SNAPSHOT MISSING"))</x:f>
      </x:c>
      <x:c r="Q23" s="3" t="str">
        <x:f>IF(Setup!$B$6="primary","",IFERROR(IF(INDEX('Primary_snapshot'!$H$2:$H$120,MATCH(C23,'Primary_snapshot'!$A$2:$A$120,0))="","",INDEX('Primary_snapshot'!$H$2:$H$120,MATCH(C23,'Primary_snapshot'!$A$2:$A$120,0))),"SNAPSHOT MISSING"))</x:f>
      </x:c>
      <x:c r="R23" s="3" t="str">
        <x:f>IF(Setup!$B$6="primary","",IFERROR(IF(INDEX('Primary_snapshot'!$I$2:$I$120,MATCH(C23,'Primary_snapshot'!$A$2:$A$120,0))="","",INDEX('Primary_snapshot'!$I$2:$I$120,MATCH(C23,'Primary_snapshot'!$A$2:$A$120,0))),"SNAPSHOT MISSING"))</x:f>
      </x:c>
      <x:c r="S23" s="3" t="str">
        <x:f>IF(INDEX('C_jama.2018.14280'!$D$2:$D$24,MATCH("2018::jama.2018.14280::C001",'C_jama.2018.14280'!$A$2:$A$24,0))="","",INDEX('C_jama.2018.14280'!$D$2:$D$24,MATCH("2018::jama.2018.14280::C001",'C_jama.2018.14280'!$A$2:$A$24,0)))</x:f>
      </x:c>
      <x:c r="T23" s="3" t="str">
        <x:f>IF(INDEX('C_jama.2018.14280'!$E$2:$E$24,MATCH("2018::jama.2018.14280::C001",'C_jama.2018.14280'!$A$2:$A$24,0))="","",INDEX('C_jama.2018.14280'!$E$2:$E$24,MATCH("2018::jama.2018.14280::C001",'C_jama.2018.14280'!$A$2:$A$24,0)))</x:f>
        <x:v>statistical_results</x:v>
      </x:c>
      <x:c r="U23" s="3" t="str">
        <x:f>IF(AND(INDEX('C_jama.2018.14280'!$D$2:$D$24,MATCH("2018::jama.2018.14280::C001",'C_jama.2018.14280'!$A$2:$A$24,0))="retain",INDEX('C_jama.2018.14280'!$E$2:$E$24,MATCH("2018::jama.2018.14280::C001",'C_jama.2018.14280'!$A$2:$A$24,0))="statistical_results"),IF(INDEX('C_jama.2018.14280'!$H$2:$H$24,MATCH("2018::jama.2018.14280::C001",'C_jama.2018.14280'!$A$2:$A$24,0))="","",INDEX('C_jama.2018.14280'!$H$2:$H$24,MATCH("2018::jama.2018.14280::C001",'C_jama.2018.14280'!$A$2:$A$24,0))),"not_applicable")</x:f>
        <x:v>not_applicable</x:v>
      </x:c>
      <x:c r="V23" s="3" t="str">
        <x:f>IF(AND(INDEX('C_jama.2018.14280'!$D$2:$D$24,MATCH("2018::jama.2018.14280::C001",'C_jama.2018.14280'!$A$2:$A$24,0))="retain",INDEX('C_jama.2018.14280'!$E$2:$E$24,MATCH("2018::jama.2018.14280::C001",'C_jama.2018.14280'!$A$2:$A$24,0))="statistical_results"),IF(INDEX('C_jama.2018.14280'!$I$2:$I$24,MATCH("2018::jama.2018.14280::C001",'C_jama.2018.14280'!$A$2:$A$24,0))="","",INDEX('C_jama.2018.14280'!$I$2:$I$24,MATCH("2018::jama.2018.14280::C001",'C_jama.2018.14280'!$A$2:$A$24,0))),"not_applicable")</x:f>
        <x:v>not_applicable</x:v>
      </x:c>
      <x:c r="W23" s="3" t="str">
        <x:f>IF(AND(INDEX('C_jama.2018.14280'!$D$2:$D$24,MATCH("2018::jama.2018.14280::C001",'C_jama.2018.14280'!$A$2:$A$24,0))="retain",INDEX('C_jama.2018.14280'!$E$2:$E$24,MATCH("2018::jama.2018.14280::C001",'C_jama.2018.14280'!$A$2:$A$24,0))="statistical_results"),IF(INDEX('C_jama.2018.14280'!$J$2:$J$24,MATCH("2018::jama.2018.14280::C001",'C_jama.2018.14280'!$A$2:$A$24,0))="","",INDEX('C_jama.2018.14280'!$J$2:$J$24,MATCH("2018::jama.2018.14280::C001",'C_jama.2018.14280'!$A$2:$A$24,0))),"not_applicable")</x:f>
        <x:v>not_applicable</x:v>
      </x:c>
      <x:c r="X23" s="3" t="str">
        <x:f>IF(AND(INDEX('C_jama.2018.14280'!$D$2:$D$24,MATCH("2018::jama.2018.14280::C001",'C_jama.2018.14280'!$A$2:$A$24,0))="retain",OR(INDEX('C_jama.2018.14280'!$E$2:$E$24,MATCH("2018::jama.2018.14280::C001",'C_jama.2018.14280'!$A$2:$A$24,0))="report_internal_inconsistency",INDEX('C_jama.2018.14280'!$E$2:$E$24,MATCH("2018::jama.2018.14280::C001",'C_jama.2018.14280'!$A$2:$A$24,0))="plan_material")),IF(INDEX('C_jama.2018.14280'!$K$2:$K$24,MATCH("2018::jama.2018.14280::C001",'C_jama.2018.14280'!$A$2:$A$24,0))="","",INDEX('C_jama.2018.14280'!$K$2:$K$24,MATCH("2018::jama.2018.14280::C001",'C_jama.2018.14280'!$A$2:$A$24,0))),"not_applicable")</x:f>
        <x:v>not_applicable</x:v>
      </x:c>
      <x:c r="Y23" s="3" t="str">
        <x:f>IF(AND(INDEX('C_jama.2018.14280'!$D$2:$D$24,MATCH("2018::jama.2018.14280::C001",'C_jama.2018.14280'!$A$2:$A$24,0))="retain",INDEX('C_jama.2018.14280'!$E$2:$E$24,MATCH("2018::jama.2018.14280::C001",'C_jama.2018.14280'!$A$2:$A$24,0))="protocol_report"),IF(INDEX('C_jama.2018.14280'!$L$2:$L$24,MATCH("2018::jama.2018.14280::C001",'C_jama.2018.14280'!$A$2:$A$24,0))="","",INDEX('C_jama.2018.14280'!$L$2:$L$24,MATCH("2018::jama.2018.14280::C001",'C_jama.2018.14280'!$A$2:$A$24,0))),"not_applicable")</x:f>
        <x:v>not_applicable</x:v>
      </x:c>
      <x:c r="Z23" s="3" t="str">
        <x:f>IF(INDEX('C_jama.2018.14280'!$R$2:$R$24,MATCH("2018::jama.2018.14280::C001",'C_jama.2018.14280'!$A$2:$A$24,0))="","",INDEX('C_jama.2018.14280'!$R$2:$R$24,MATCH("2018::jama.2018.14280::C001",'C_jama.2018.14280'!$A$2:$A$24,0)))</x:f>
      </x:c>
      <x:c r="AA23" s="3" t="str">
        <x:f>IF(INDEX('C_jama.2018.14280'!$N$2:$N$24,MATCH("2018::jama.2018.14280::C001",'C_jama.2018.14280'!$A$2:$A$24,0))="","",INDEX('C_jama.2018.14280'!$N$2:$N$24,MATCH("2018::jama.2018.14280::C001",'C_jama.2018.14280'!$A$2:$A$24,0)))</x:f>
      </x:c>
      <x:c r="AB23" s="3" t="str">
        <x:f>IF(INDEX('C_jama.2018.14280'!$O$2:$O$24,MATCH("2018::jama.2018.14280::C001",'C_jama.2018.14280'!$A$2:$A$24,0))="","",INDEX('C_jama.2018.14280'!$O$2:$O$24,MATCH("2018::jama.2018.14280::C001",'C_jama.2018.14280'!$A$2:$A$24,0)))</x:f>
      </x:c>
      <x:c r="AC23" s="3" t="str">
        <x:f>IF(INDEX('C_jama.2018.14280'!$P$2:$P$24,MATCH("2018::jama.2018.14280::C001",'C_jama.2018.14280'!$A$2:$A$24,0))="","",INDEX('C_jama.2018.14280'!$P$2:$P$24,MATCH("2018::jama.2018.14280::C001",'C_jama.2018.14280'!$A$2:$A$24,0)))</x:f>
      </x:c>
      <x:c r="AD23" s="3" t="str">
        <x:f>IF(INDEX('C_jama.2018.14280'!$Q$2:$Q$24,MATCH("2018::jama.2018.14280::C001",'C_jama.2018.14280'!$A$2:$A$24,0))="","",INDEX('C_jama.2018.14280'!$Q$2:$Q$24,MATCH("2018::jama.2018.14280::C001",'C_jama.2018.14280'!$A$2:$A$24,0)))</x:f>
      </x:c>
    </x:row>
    <x:row r="24" ht="65" customHeight="1">
      <x:c r="A24" s="6" t="n">
        <x:v>2018</x:v>
      </x:c>
      <x:c r="B24" s="6" t="str">
        <x:v>jama.2018.14280</x:v>
      </x:c>
      <x:c r="C24" s="6" t="str">
        <x:v>2018::jama.2018.14280::C002</x:v>
      </x:c>
      <x:c r="D24" s="6" t="str">
        <x:v>S_W</x:v>
      </x:c>
      <x:c r="E24" s="6" t="n">
        <x:f>Setup!$B$2</x:f>
        <x:v>0</x:v>
      </x:c>
      <x:c r="F24" s="6" t="str">
        <x:f>IF(Setup!$B$4="","",Setup!$B$4)</x:f>
      </x:c>
      <x:c r="G24" s="6" t="str">
        <x:f>IFERROR(INDEX('C_jama.2018.14280'!$G$2:$G$24,MATCH("2018::jama.2018.14280::C002",'C_jama.2018.14280'!$A$2:$A$24,0)),"CHECK KEY")</x:f>
        <x:v>CHECK REVIEWER IDs</x:v>
      </x:c>
      <x:c r="H24" s="6" t="str">
        <x:f>IF(G24&lt;&gt;"FINAL READY","",IF(S24&lt;&gt;"retain","not_eligible",IF(D24="P_R","protocol_descriptive",IF(D24="P_P","plan_descriptive",IF(AND(T24="statistical_results",OR(U24="confirmed_issue",U24="probable_issue"),V24="substantive"),"primary_temporal",IF(AND(T24="report_internal_inconsistency",X24="substantive_inconsistency"),"secondary_temporal","not_eligible"))))))</x:f>
      </x:c>
      <x:c r="I24" s="6" t="str">
        <x:v>retain</x:v>
      </x:c>
      <x:c r="J24" s="6" t="str">
        <x:v>statistical_results</x:v>
      </x:c>
      <x:c r="K24" s="6" t="str">
        <x:f>IF(Setup!$B$6="primary","",IFERROR(IF(INDEX('Primary_snapshot'!$B$2:$B$120,MATCH(C24,'Primary_snapshot'!$A$2:$A$120,0))="","",INDEX('Primary_snapshot'!$B$2:$B$120,MATCH(C24,'Primary_snapshot'!$A$2:$A$120,0))),"SNAPSHOT MISSING"))</x:f>
      </x:c>
      <x:c r="L24" s="6" t="str">
        <x:f>IF(Setup!$B$6="primary","",IFERROR(IF(INDEX('Primary_snapshot'!$C$2:$C$120,MATCH(C24,'Primary_snapshot'!$A$2:$A$120,0))="","",INDEX('Primary_snapshot'!$C$2:$C$120,MATCH(C24,'Primary_snapshot'!$A$2:$A$120,0))),"SNAPSHOT MISSING"))</x:f>
      </x:c>
      <x:c r="M24" s="6" t="str">
        <x:f>IF(Setup!$B$6="primary","",IFERROR(IF(INDEX('Primary_snapshot'!$D$2:$D$120,MATCH(C24,'Primary_snapshot'!$A$2:$A$120,0))="","",INDEX('Primary_snapshot'!$D$2:$D$120,MATCH(C24,'Primary_snapshot'!$A$2:$A$120,0))),"SNAPSHOT MISSING"))</x:f>
      </x:c>
      <x:c r="N24" s="6" t="str">
        <x:f>IF(Setup!$B$6="primary","",IFERROR(IF(INDEX('Primary_snapshot'!$E$2:$E$120,MATCH(C24,'Primary_snapshot'!$A$2:$A$120,0))="","",INDEX('Primary_snapshot'!$E$2:$E$120,MATCH(C24,'Primary_snapshot'!$A$2:$A$120,0))),"SNAPSHOT MISSING"))</x:f>
      </x:c>
      <x:c r="O24" s="6" t="str">
        <x:f>IF(Setup!$B$6="primary","",IFERROR(IF(INDEX('Primary_snapshot'!$F$2:$F$120,MATCH(C24,'Primary_snapshot'!$A$2:$A$120,0))="","",INDEX('Primary_snapshot'!$F$2:$F$120,MATCH(C24,'Primary_snapshot'!$A$2:$A$120,0))),"SNAPSHOT MISSING"))</x:f>
      </x:c>
      <x:c r="P24" s="6" t="str">
        <x:f>IF(Setup!$B$6="primary","",IFERROR(IF(INDEX('Primary_snapshot'!$G$2:$G$120,MATCH(C24,'Primary_snapshot'!$A$2:$A$120,0))="","",INDEX('Primary_snapshot'!$G$2:$G$120,MATCH(C24,'Primary_snapshot'!$A$2:$A$120,0))),"SNAPSHOT MISSING"))</x:f>
      </x:c>
      <x:c r="Q24" s="6" t="str">
        <x:f>IF(Setup!$B$6="primary","",IFERROR(IF(INDEX('Primary_snapshot'!$H$2:$H$120,MATCH(C24,'Primary_snapshot'!$A$2:$A$120,0))="","",INDEX('Primary_snapshot'!$H$2:$H$120,MATCH(C24,'Primary_snapshot'!$A$2:$A$120,0))),"SNAPSHOT MISSING"))</x:f>
      </x:c>
      <x:c r="R24" s="6" t="str">
        <x:f>IF(Setup!$B$6="primary","",IFERROR(IF(INDEX('Primary_snapshot'!$I$2:$I$120,MATCH(C24,'Primary_snapshot'!$A$2:$A$120,0))="","",INDEX('Primary_snapshot'!$I$2:$I$120,MATCH(C24,'Primary_snapshot'!$A$2:$A$120,0))),"SNAPSHOT MISSING"))</x:f>
      </x:c>
      <x:c r="S24" s="6" t="str">
        <x:f>IF(INDEX('C_jama.2018.14280'!$D$2:$D$24,MATCH("2018::jama.2018.14280::C002",'C_jama.2018.14280'!$A$2:$A$24,0))="","",INDEX('C_jama.2018.14280'!$D$2:$D$24,MATCH("2018::jama.2018.14280::C002",'C_jama.2018.14280'!$A$2:$A$24,0)))</x:f>
      </x:c>
      <x:c r="T24" s="6" t="str">
        <x:f>IF(INDEX('C_jama.2018.14280'!$E$2:$E$24,MATCH("2018::jama.2018.14280::C002",'C_jama.2018.14280'!$A$2:$A$24,0))="","",INDEX('C_jama.2018.14280'!$E$2:$E$24,MATCH("2018::jama.2018.14280::C002",'C_jama.2018.14280'!$A$2:$A$24,0)))</x:f>
        <x:v>statistical_results</x:v>
      </x:c>
      <x:c r="U24" s="6" t="str">
        <x:f>IF(AND(INDEX('C_jama.2018.14280'!$D$2:$D$24,MATCH("2018::jama.2018.14280::C002",'C_jama.2018.14280'!$A$2:$A$24,0))="retain",INDEX('C_jama.2018.14280'!$E$2:$E$24,MATCH("2018::jama.2018.14280::C002",'C_jama.2018.14280'!$A$2:$A$24,0))="statistical_results"),IF(INDEX('C_jama.2018.14280'!$H$2:$H$24,MATCH("2018::jama.2018.14280::C002",'C_jama.2018.14280'!$A$2:$A$24,0))="","",INDEX('C_jama.2018.14280'!$H$2:$H$24,MATCH("2018::jama.2018.14280::C002",'C_jama.2018.14280'!$A$2:$A$24,0))),"not_applicable")</x:f>
        <x:v>not_applicable</x:v>
      </x:c>
      <x:c r="V24" s="6" t="str">
        <x:f>IF(AND(INDEX('C_jama.2018.14280'!$D$2:$D$24,MATCH("2018::jama.2018.14280::C002",'C_jama.2018.14280'!$A$2:$A$24,0))="retain",INDEX('C_jama.2018.14280'!$E$2:$E$24,MATCH("2018::jama.2018.14280::C002",'C_jama.2018.14280'!$A$2:$A$24,0))="statistical_results"),IF(INDEX('C_jama.2018.14280'!$I$2:$I$24,MATCH("2018::jama.2018.14280::C002",'C_jama.2018.14280'!$A$2:$A$24,0))="","",INDEX('C_jama.2018.14280'!$I$2:$I$24,MATCH("2018::jama.2018.14280::C002",'C_jama.2018.14280'!$A$2:$A$24,0))),"not_applicable")</x:f>
        <x:v>not_applicable</x:v>
      </x:c>
      <x:c r="W24" s="6" t="str">
        <x:f>IF(AND(INDEX('C_jama.2018.14280'!$D$2:$D$24,MATCH("2018::jama.2018.14280::C002",'C_jama.2018.14280'!$A$2:$A$24,0))="retain",INDEX('C_jama.2018.14280'!$E$2:$E$24,MATCH("2018::jama.2018.14280::C002",'C_jama.2018.14280'!$A$2:$A$24,0))="statistical_results"),IF(INDEX('C_jama.2018.14280'!$J$2:$J$24,MATCH("2018::jama.2018.14280::C002",'C_jama.2018.14280'!$A$2:$A$24,0))="","",INDEX('C_jama.2018.14280'!$J$2:$J$24,MATCH("2018::jama.2018.14280::C002",'C_jama.2018.14280'!$A$2:$A$24,0))),"not_applicable")</x:f>
        <x:v>not_applicable</x:v>
      </x:c>
      <x:c r="X24" s="6" t="str">
        <x:f>IF(AND(INDEX('C_jama.2018.14280'!$D$2:$D$24,MATCH("2018::jama.2018.14280::C002",'C_jama.2018.14280'!$A$2:$A$24,0))="retain",OR(INDEX('C_jama.2018.14280'!$E$2:$E$24,MATCH("2018::jama.2018.14280::C002",'C_jama.2018.14280'!$A$2:$A$24,0))="report_internal_inconsistency",INDEX('C_jama.2018.14280'!$E$2:$E$24,MATCH("2018::jama.2018.14280::C002",'C_jama.2018.14280'!$A$2:$A$24,0))="plan_material")),IF(INDEX('C_jama.2018.14280'!$K$2:$K$24,MATCH("2018::jama.2018.14280::C002",'C_jama.2018.14280'!$A$2:$A$24,0))="","",INDEX('C_jama.2018.14280'!$K$2:$K$24,MATCH("2018::jama.2018.14280::C002",'C_jama.2018.14280'!$A$2:$A$24,0))),"not_applicable")</x:f>
        <x:v>not_applicable</x:v>
      </x:c>
      <x:c r="Y24" s="6" t="str">
        <x:f>IF(AND(INDEX('C_jama.2018.14280'!$D$2:$D$24,MATCH("2018::jama.2018.14280::C002",'C_jama.2018.14280'!$A$2:$A$24,0))="retain",INDEX('C_jama.2018.14280'!$E$2:$E$24,MATCH("2018::jama.2018.14280::C002",'C_jama.2018.14280'!$A$2:$A$24,0))="protocol_report"),IF(INDEX('C_jama.2018.14280'!$L$2:$L$24,MATCH("2018::jama.2018.14280::C002",'C_jama.2018.14280'!$A$2:$A$24,0))="","",INDEX('C_jama.2018.14280'!$L$2:$L$24,MATCH("2018::jama.2018.14280::C002",'C_jama.2018.14280'!$A$2:$A$24,0))),"not_applicable")</x:f>
        <x:v>not_applicable</x:v>
      </x:c>
      <x:c r="Z24" s="6" t="str">
        <x:f>IF(INDEX('C_jama.2018.14280'!$R$2:$R$24,MATCH("2018::jama.2018.14280::C002",'C_jama.2018.14280'!$A$2:$A$24,0))="","",INDEX('C_jama.2018.14280'!$R$2:$R$24,MATCH("2018::jama.2018.14280::C002",'C_jama.2018.14280'!$A$2:$A$24,0)))</x:f>
      </x:c>
      <x:c r="AA24" s="6" t="str">
        <x:f>IF(INDEX('C_jama.2018.14280'!$N$2:$N$24,MATCH("2018::jama.2018.14280::C002",'C_jama.2018.14280'!$A$2:$A$24,0))="","",INDEX('C_jama.2018.14280'!$N$2:$N$24,MATCH("2018::jama.2018.14280::C002",'C_jama.2018.14280'!$A$2:$A$24,0)))</x:f>
      </x:c>
      <x:c r="AB24" s="6" t="str">
        <x:f>IF(INDEX('C_jama.2018.14280'!$O$2:$O$24,MATCH("2018::jama.2018.14280::C002",'C_jama.2018.14280'!$A$2:$A$24,0))="","",INDEX('C_jama.2018.14280'!$O$2:$O$24,MATCH("2018::jama.2018.14280::C002",'C_jama.2018.14280'!$A$2:$A$24,0)))</x:f>
      </x:c>
      <x:c r="AC24" s="6" t="str">
        <x:f>IF(INDEX('C_jama.2018.14280'!$P$2:$P$24,MATCH("2018::jama.2018.14280::C002",'C_jama.2018.14280'!$A$2:$A$24,0))="","",INDEX('C_jama.2018.14280'!$P$2:$P$24,MATCH("2018::jama.2018.14280::C002",'C_jama.2018.14280'!$A$2:$A$24,0)))</x:f>
      </x:c>
      <x:c r="AD24" s="6" t="str">
        <x:f>IF(INDEX('C_jama.2018.14280'!$Q$2:$Q$24,MATCH("2018::jama.2018.14280::C002",'C_jama.2018.14280'!$A$2:$A$24,0))="","",INDEX('C_jama.2018.14280'!$Q$2:$Q$24,MATCH("2018::jama.2018.14280::C002",'C_jama.2018.14280'!$A$2:$A$24,0)))</x:f>
      </x:c>
    </x:row>
    <x:row r="25" ht="65" customHeight="1">
      <x:c r="A25" s="3" t="n">
        <x:v>2018</x:v>
      </x:c>
      <x:c r="B25" s="3" t="str">
        <x:v>jama.2018.14280</x:v>
      </x:c>
      <x:c r="C25" s="3" t="str">
        <x:v>2018::jama.2018.14280::C003</x:v>
      </x:c>
      <x:c r="D25" s="3" t="str">
        <x:v>S_W</x:v>
      </x:c>
      <x:c r="E25" s="3" t="n">
        <x:f>Setup!$B$2</x:f>
        <x:v>0</x:v>
      </x:c>
      <x:c r="F25" s="3" t="str">
        <x:f>IF(Setup!$B$4="","",Setup!$B$4)</x:f>
      </x:c>
      <x:c r="G25" s="3" t="str">
        <x:f>IFERROR(INDEX('C_jama.2018.14280'!$G$2:$G$24,MATCH("2018::jama.2018.14280::C003",'C_jama.2018.14280'!$A$2:$A$24,0)),"CHECK KEY")</x:f>
        <x:v>CHECK REVIEWER IDs</x:v>
      </x:c>
      <x:c r="H25" s="3" t="str">
        <x:f>IF(G25&lt;&gt;"FINAL READY","",IF(S25&lt;&gt;"retain","not_eligible",IF(D25="P_R","protocol_descriptive",IF(D25="P_P","plan_descriptive",IF(AND(T25="statistical_results",OR(U25="confirmed_issue",U25="probable_issue"),V25="substantive"),"primary_temporal",IF(AND(T25="report_internal_inconsistency",X25="substantive_inconsistency"),"secondary_temporal","not_eligible"))))))</x:f>
      </x:c>
      <x:c r="I25" s="3" t="str">
        <x:v>retain</x:v>
      </x:c>
      <x:c r="J25" s="3" t="str">
        <x:v>statistical_results</x:v>
      </x:c>
      <x:c r="K25" s="3" t="str">
        <x:f>IF(Setup!$B$6="primary","",IFERROR(IF(INDEX('Primary_snapshot'!$B$2:$B$120,MATCH(C25,'Primary_snapshot'!$A$2:$A$120,0))="","",INDEX('Primary_snapshot'!$B$2:$B$120,MATCH(C25,'Primary_snapshot'!$A$2:$A$120,0))),"SNAPSHOT MISSING"))</x:f>
      </x:c>
      <x:c r="L25" s="3" t="str">
        <x:f>IF(Setup!$B$6="primary","",IFERROR(IF(INDEX('Primary_snapshot'!$C$2:$C$120,MATCH(C25,'Primary_snapshot'!$A$2:$A$120,0))="","",INDEX('Primary_snapshot'!$C$2:$C$120,MATCH(C25,'Primary_snapshot'!$A$2:$A$120,0))),"SNAPSHOT MISSING"))</x:f>
      </x:c>
      <x:c r="M25" s="3" t="str">
        <x:f>IF(Setup!$B$6="primary","",IFERROR(IF(INDEX('Primary_snapshot'!$D$2:$D$120,MATCH(C25,'Primary_snapshot'!$A$2:$A$120,0))="","",INDEX('Primary_snapshot'!$D$2:$D$120,MATCH(C25,'Primary_snapshot'!$A$2:$A$120,0))),"SNAPSHOT MISSING"))</x:f>
      </x:c>
      <x:c r="N25" s="3" t="str">
        <x:f>IF(Setup!$B$6="primary","",IFERROR(IF(INDEX('Primary_snapshot'!$E$2:$E$120,MATCH(C25,'Primary_snapshot'!$A$2:$A$120,0))="","",INDEX('Primary_snapshot'!$E$2:$E$120,MATCH(C25,'Primary_snapshot'!$A$2:$A$120,0))),"SNAPSHOT MISSING"))</x:f>
      </x:c>
      <x:c r="O25" s="3" t="str">
        <x:f>IF(Setup!$B$6="primary","",IFERROR(IF(INDEX('Primary_snapshot'!$F$2:$F$120,MATCH(C25,'Primary_snapshot'!$A$2:$A$120,0))="","",INDEX('Primary_snapshot'!$F$2:$F$120,MATCH(C25,'Primary_snapshot'!$A$2:$A$120,0))),"SNAPSHOT MISSING"))</x:f>
      </x:c>
      <x:c r="P25" s="3" t="str">
        <x:f>IF(Setup!$B$6="primary","",IFERROR(IF(INDEX('Primary_snapshot'!$G$2:$G$120,MATCH(C25,'Primary_snapshot'!$A$2:$A$120,0))="","",INDEX('Primary_snapshot'!$G$2:$G$120,MATCH(C25,'Primary_snapshot'!$A$2:$A$120,0))),"SNAPSHOT MISSING"))</x:f>
      </x:c>
      <x:c r="Q25" s="3" t="str">
        <x:f>IF(Setup!$B$6="primary","",IFERROR(IF(INDEX('Primary_snapshot'!$H$2:$H$120,MATCH(C25,'Primary_snapshot'!$A$2:$A$120,0))="","",INDEX('Primary_snapshot'!$H$2:$H$120,MATCH(C25,'Primary_snapshot'!$A$2:$A$120,0))),"SNAPSHOT MISSING"))</x:f>
      </x:c>
      <x:c r="R25" s="3" t="str">
        <x:f>IF(Setup!$B$6="primary","",IFERROR(IF(INDEX('Primary_snapshot'!$I$2:$I$120,MATCH(C25,'Primary_snapshot'!$A$2:$A$120,0))="","",INDEX('Primary_snapshot'!$I$2:$I$120,MATCH(C25,'Primary_snapshot'!$A$2:$A$120,0))),"SNAPSHOT MISSING"))</x:f>
      </x:c>
      <x:c r="S25" s="3" t="str">
        <x:f>IF(INDEX('C_jama.2018.14280'!$D$2:$D$24,MATCH("2018::jama.2018.14280::C003",'C_jama.2018.14280'!$A$2:$A$24,0))="","",INDEX('C_jama.2018.14280'!$D$2:$D$24,MATCH("2018::jama.2018.14280::C003",'C_jama.2018.14280'!$A$2:$A$24,0)))</x:f>
      </x:c>
      <x:c r="T25" s="3" t="str">
        <x:f>IF(INDEX('C_jama.2018.14280'!$E$2:$E$24,MATCH("2018::jama.2018.14280::C003",'C_jama.2018.14280'!$A$2:$A$24,0))="","",INDEX('C_jama.2018.14280'!$E$2:$E$24,MATCH("2018::jama.2018.14280::C003",'C_jama.2018.14280'!$A$2:$A$24,0)))</x:f>
        <x:v>statistical_results</x:v>
      </x:c>
      <x:c r="U25" s="3" t="str">
        <x:f>IF(AND(INDEX('C_jama.2018.14280'!$D$2:$D$24,MATCH("2018::jama.2018.14280::C003",'C_jama.2018.14280'!$A$2:$A$24,0))="retain",INDEX('C_jama.2018.14280'!$E$2:$E$24,MATCH("2018::jama.2018.14280::C003",'C_jama.2018.14280'!$A$2:$A$24,0))="statistical_results"),IF(INDEX('C_jama.2018.14280'!$H$2:$H$24,MATCH("2018::jama.2018.14280::C003",'C_jama.2018.14280'!$A$2:$A$24,0))="","",INDEX('C_jama.2018.14280'!$H$2:$H$24,MATCH("2018::jama.2018.14280::C003",'C_jama.2018.14280'!$A$2:$A$24,0))),"not_applicable")</x:f>
        <x:v>not_applicable</x:v>
      </x:c>
      <x:c r="V25" s="3" t="str">
        <x:f>IF(AND(INDEX('C_jama.2018.14280'!$D$2:$D$24,MATCH("2018::jama.2018.14280::C003",'C_jama.2018.14280'!$A$2:$A$24,0))="retain",INDEX('C_jama.2018.14280'!$E$2:$E$24,MATCH("2018::jama.2018.14280::C003",'C_jama.2018.14280'!$A$2:$A$24,0))="statistical_results"),IF(INDEX('C_jama.2018.14280'!$I$2:$I$24,MATCH("2018::jama.2018.14280::C003",'C_jama.2018.14280'!$A$2:$A$24,0))="","",INDEX('C_jama.2018.14280'!$I$2:$I$24,MATCH("2018::jama.2018.14280::C003",'C_jama.2018.14280'!$A$2:$A$24,0))),"not_applicable")</x:f>
        <x:v>not_applicable</x:v>
      </x:c>
      <x:c r="W25" s="3" t="str">
        <x:f>IF(AND(INDEX('C_jama.2018.14280'!$D$2:$D$24,MATCH("2018::jama.2018.14280::C003",'C_jama.2018.14280'!$A$2:$A$24,0))="retain",INDEX('C_jama.2018.14280'!$E$2:$E$24,MATCH("2018::jama.2018.14280::C003",'C_jama.2018.14280'!$A$2:$A$24,0))="statistical_results"),IF(INDEX('C_jama.2018.14280'!$J$2:$J$24,MATCH("2018::jama.2018.14280::C003",'C_jama.2018.14280'!$A$2:$A$24,0))="","",INDEX('C_jama.2018.14280'!$J$2:$J$24,MATCH("2018::jama.2018.14280::C003",'C_jama.2018.14280'!$A$2:$A$24,0))),"not_applicable")</x:f>
        <x:v>not_applicable</x:v>
      </x:c>
      <x:c r="X25" s="3" t="str">
        <x:f>IF(AND(INDEX('C_jama.2018.14280'!$D$2:$D$24,MATCH("2018::jama.2018.14280::C003",'C_jama.2018.14280'!$A$2:$A$24,0))="retain",OR(INDEX('C_jama.2018.14280'!$E$2:$E$24,MATCH("2018::jama.2018.14280::C003",'C_jama.2018.14280'!$A$2:$A$24,0))="report_internal_inconsistency",INDEX('C_jama.2018.14280'!$E$2:$E$24,MATCH("2018::jama.2018.14280::C003",'C_jama.2018.14280'!$A$2:$A$24,0))="plan_material")),IF(INDEX('C_jama.2018.14280'!$K$2:$K$24,MATCH("2018::jama.2018.14280::C003",'C_jama.2018.14280'!$A$2:$A$24,0))="","",INDEX('C_jama.2018.14280'!$K$2:$K$24,MATCH("2018::jama.2018.14280::C003",'C_jama.2018.14280'!$A$2:$A$24,0))),"not_applicable")</x:f>
        <x:v>not_applicable</x:v>
      </x:c>
      <x:c r="Y25" s="3" t="str">
        <x:f>IF(AND(INDEX('C_jama.2018.14280'!$D$2:$D$24,MATCH("2018::jama.2018.14280::C003",'C_jama.2018.14280'!$A$2:$A$24,0))="retain",INDEX('C_jama.2018.14280'!$E$2:$E$24,MATCH("2018::jama.2018.14280::C003",'C_jama.2018.14280'!$A$2:$A$24,0))="protocol_report"),IF(INDEX('C_jama.2018.14280'!$L$2:$L$24,MATCH("2018::jama.2018.14280::C003",'C_jama.2018.14280'!$A$2:$A$24,0))="","",INDEX('C_jama.2018.14280'!$L$2:$L$24,MATCH("2018::jama.2018.14280::C003",'C_jama.2018.14280'!$A$2:$A$24,0))),"not_applicable")</x:f>
        <x:v>not_applicable</x:v>
      </x:c>
      <x:c r="Z25" s="3" t="str">
        <x:f>IF(INDEX('C_jama.2018.14280'!$R$2:$R$24,MATCH("2018::jama.2018.14280::C003",'C_jama.2018.14280'!$A$2:$A$24,0))="","",INDEX('C_jama.2018.14280'!$R$2:$R$24,MATCH("2018::jama.2018.14280::C003",'C_jama.2018.14280'!$A$2:$A$24,0)))</x:f>
      </x:c>
      <x:c r="AA25" s="3" t="str">
        <x:f>IF(INDEX('C_jama.2018.14280'!$N$2:$N$24,MATCH("2018::jama.2018.14280::C003",'C_jama.2018.14280'!$A$2:$A$24,0))="","",INDEX('C_jama.2018.14280'!$N$2:$N$24,MATCH("2018::jama.2018.14280::C003",'C_jama.2018.14280'!$A$2:$A$24,0)))</x:f>
      </x:c>
      <x:c r="AB25" s="3" t="str">
        <x:f>IF(INDEX('C_jama.2018.14280'!$O$2:$O$24,MATCH("2018::jama.2018.14280::C003",'C_jama.2018.14280'!$A$2:$A$24,0))="","",INDEX('C_jama.2018.14280'!$O$2:$O$24,MATCH("2018::jama.2018.14280::C003",'C_jama.2018.14280'!$A$2:$A$24,0)))</x:f>
      </x:c>
      <x:c r="AC25" s="3" t="str">
        <x:f>IF(INDEX('C_jama.2018.14280'!$P$2:$P$24,MATCH("2018::jama.2018.14280::C003",'C_jama.2018.14280'!$A$2:$A$24,0))="","",INDEX('C_jama.2018.14280'!$P$2:$P$24,MATCH("2018::jama.2018.14280::C003",'C_jama.2018.14280'!$A$2:$A$24,0)))</x:f>
      </x:c>
      <x:c r="AD25" s="3" t="str">
        <x:f>IF(INDEX('C_jama.2018.14280'!$Q$2:$Q$24,MATCH("2018::jama.2018.14280::C003",'C_jama.2018.14280'!$A$2:$A$24,0))="","",INDEX('C_jama.2018.14280'!$Q$2:$Q$24,MATCH("2018::jama.2018.14280::C003",'C_jama.2018.14280'!$A$2:$A$24,0)))</x:f>
      </x:c>
    </x:row>
    <x:row r="26" ht="65" customHeight="1">
      <x:c r="A26" s="6" t="n">
        <x:v>2018</x:v>
      </x:c>
      <x:c r="B26" s="6" t="str">
        <x:v>jama.2018.14280</x:v>
      </x:c>
      <x:c r="C26" s="6" t="str">
        <x:v>2018::jama.2018.14280::C004</x:v>
      </x:c>
      <x:c r="D26" s="6" t="str">
        <x:v>S_W</x:v>
      </x:c>
      <x:c r="E26" s="6" t="n">
        <x:f>Setup!$B$2</x:f>
        <x:v>0</x:v>
      </x:c>
      <x:c r="F26" s="6" t="str">
        <x:f>IF(Setup!$B$4="","",Setup!$B$4)</x:f>
      </x:c>
      <x:c r="G26" s="6" t="str">
        <x:f>IFERROR(INDEX('C_jama.2018.14280'!$G$2:$G$24,MATCH("2018::jama.2018.14280::C004",'C_jama.2018.14280'!$A$2:$A$24,0)),"CHECK KEY")</x:f>
        <x:v>CHECK REVIEWER IDs</x:v>
      </x:c>
      <x:c r="H26" s="6" t="str">
        <x:f>IF(G26&lt;&gt;"FINAL READY","",IF(S26&lt;&gt;"retain","not_eligible",IF(D26="P_R","protocol_descriptive",IF(D26="P_P","plan_descriptive",IF(AND(T26="statistical_results",OR(U26="confirmed_issue",U26="probable_issue"),V26="substantive"),"primary_temporal",IF(AND(T26="report_internal_inconsistency",X26="substantive_inconsistency"),"secondary_temporal","not_eligible"))))))</x:f>
      </x:c>
      <x:c r="I26" s="6" t="str">
        <x:v>retain</x:v>
      </x:c>
      <x:c r="J26" s="6" t="str">
        <x:v>statistical_results</x:v>
      </x:c>
      <x:c r="K26" s="6" t="str">
        <x:f>IF(Setup!$B$6="primary","",IFERROR(IF(INDEX('Primary_snapshot'!$B$2:$B$120,MATCH(C26,'Primary_snapshot'!$A$2:$A$120,0))="","",INDEX('Primary_snapshot'!$B$2:$B$120,MATCH(C26,'Primary_snapshot'!$A$2:$A$120,0))),"SNAPSHOT MISSING"))</x:f>
      </x:c>
      <x:c r="L26" s="6" t="str">
        <x:f>IF(Setup!$B$6="primary","",IFERROR(IF(INDEX('Primary_snapshot'!$C$2:$C$120,MATCH(C26,'Primary_snapshot'!$A$2:$A$120,0))="","",INDEX('Primary_snapshot'!$C$2:$C$120,MATCH(C26,'Primary_snapshot'!$A$2:$A$120,0))),"SNAPSHOT MISSING"))</x:f>
      </x:c>
      <x:c r="M26" s="6" t="str">
        <x:f>IF(Setup!$B$6="primary","",IFERROR(IF(INDEX('Primary_snapshot'!$D$2:$D$120,MATCH(C26,'Primary_snapshot'!$A$2:$A$120,0))="","",INDEX('Primary_snapshot'!$D$2:$D$120,MATCH(C26,'Primary_snapshot'!$A$2:$A$120,0))),"SNAPSHOT MISSING"))</x:f>
      </x:c>
      <x:c r="N26" s="6" t="str">
        <x:f>IF(Setup!$B$6="primary","",IFERROR(IF(INDEX('Primary_snapshot'!$E$2:$E$120,MATCH(C26,'Primary_snapshot'!$A$2:$A$120,0))="","",INDEX('Primary_snapshot'!$E$2:$E$120,MATCH(C26,'Primary_snapshot'!$A$2:$A$120,0))),"SNAPSHOT MISSING"))</x:f>
      </x:c>
      <x:c r="O26" s="6" t="str">
        <x:f>IF(Setup!$B$6="primary","",IFERROR(IF(INDEX('Primary_snapshot'!$F$2:$F$120,MATCH(C26,'Primary_snapshot'!$A$2:$A$120,0))="","",INDEX('Primary_snapshot'!$F$2:$F$120,MATCH(C26,'Primary_snapshot'!$A$2:$A$120,0))),"SNAPSHOT MISSING"))</x:f>
      </x:c>
      <x:c r="P26" s="6" t="str">
        <x:f>IF(Setup!$B$6="primary","",IFERROR(IF(INDEX('Primary_snapshot'!$G$2:$G$120,MATCH(C26,'Primary_snapshot'!$A$2:$A$120,0))="","",INDEX('Primary_snapshot'!$G$2:$G$120,MATCH(C26,'Primary_snapshot'!$A$2:$A$120,0))),"SNAPSHOT MISSING"))</x:f>
      </x:c>
      <x:c r="Q26" s="6" t="str">
        <x:f>IF(Setup!$B$6="primary","",IFERROR(IF(INDEX('Primary_snapshot'!$H$2:$H$120,MATCH(C26,'Primary_snapshot'!$A$2:$A$120,0))="","",INDEX('Primary_snapshot'!$H$2:$H$120,MATCH(C26,'Primary_snapshot'!$A$2:$A$120,0))),"SNAPSHOT MISSING"))</x:f>
      </x:c>
      <x:c r="R26" s="6" t="str">
        <x:f>IF(Setup!$B$6="primary","",IFERROR(IF(INDEX('Primary_snapshot'!$I$2:$I$120,MATCH(C26,'Primary_snapshot'!$A$2:$A$120,0))="","",INDEX('Primary_snapshot'!$I$2:$I$120,MATCH(C26,'Primary_snapshot'!$A$2:$A$120,0))),"SNAPSHOT MISSING"))</x:f>
      </x:c>
      <x:c r="S26" s="6" t="str">
        <x:f>IF(INDEX('C_jama.2018.14280'!$D$2:$D$24,MATCH("2018::jama.2018.14280::C004",'C_jama.2018.14280'!$A$2:$A$24,0))="","",INDEX('C_jama.2018.14280'!$D$2:$D$24,MATCH("2018::jama.2018.14280::C004",'C_jama.2018.14280'!$A$2:$A$24,0)))</x:f>
      </x:c>
      <x:c r="T26" s="6" t="str">
        <x:f>IF(INDEX('C_jama.2018.14280'!$E$2:$E$24,MATCH("2018::jama.2018.14280::C004",'C_jama.2018.14280'!$A$2:$A$24,0))="","",INDEX('C_jama.2018.14280'!$E$2:$E$24,MATCH("2018::jama.2018.14280::C004",'C_jama.2018.14280'!$A$2:$A$24,0)))</x:f>
        <x:v>statistical_results</x:v>
      </x:c>
      <x:c r="U26" s="6" t="str">
        <x:f>IF(AND(INDEX('C_jama.2018.14280'!$D$2:$D$24,MATCH("2018::jama.2018.14280::C004",'C_jama.2018.14280'!$A$2:$A$24,0))="retain",INDEX('C_jama.2018.14280'!$E$2:$E$24,MATCH("2018::jama.2018.14280::C004",'C_jama.2018.14280'!$A$2:$A$24,0))="statistical_results"),IF(INDEX('C_jama.2018.14280'!$H$2:$H$24,MATCH("2018::jama.2018.14280::C004",'C_jama.2018.14280'!$A$2:$A$24,0))="","",INDEX('C_jama.2018.14280'!$H$2:$H$24,MATCH("2018::jama.2018.14280::C004",'C_jama.2018.14280'!$A$2:$A$24,0))),"not_applicable")</x:f>
        <x:v>not_applicable</x:v>
      </x:c>
      <x:c r="V26" s="6" t="str">
        <x:f>IF(AND(INDEX('C_jama.2018.14280'!$D$2:$D$24,MATCH("2018::jama.2018.14280::C004",'C_jama.2018.14280'!$A$2:$A$24,0))="retain",INDEX('C_jama.2018.14280'!$E$2:$E$24,MATCH("2018::jama.2018.14280::C004",'C_jama.2018.14280'!$A$2:$A$24,0))="statistical_results"),IF(INDEX('C_jama.2018.14280'!$I$2:$I$24,MATCH("2018::jama.2018.14280::C004",'C_jama.2018.14280'!$A$2:$A$24,0))="","",INDEX('C_jama.2018.14280'!$I$2:$I$24,MATCH("2018::jama.2018.14280::C004",'C_jama.2018.14280'!$A$2:$A$24,0))),"not_applicable")</x:f>
        <x:v>not_applicable</x:v>
      </x:c>
      <x:c r="W26" s="6" t="str">
        <x:f>IF(AND(INDEX('C_jama.2018.14280'!$D$2:$D$24,MATCH("2018::jama.2018.14280::C004",'C_jama.2018.14280'!$A$2:$A$24,0))="retain",INDEX('C_jama.2018.14280'!$E$2:$E$24,MATCH("2018::jama.2018.14280::C004",'C_jama.2018.14280'!$A$2:$A$24,0))="statistical_results"),IF(INDEX('C_jama.2018.14280'!$J$2:$J$24,MATCH("2018::jama.2018.14280::C004",'C_jama.2018.14280'!$A$2:$A$24,0))="","",INDEX('C_jama.2018.14280'!$J$2:$J$24,MATCH("2018::jama.2018.14280::C004",'C_jama.2018.14280'!$A$2:$A$24,0))),"not_applicable")</x:f>
        <x:v>not_applicable</x:v>
      </x:c>
      <x:c r="X26" s="6" t="str">
        <x:f>IF(AND(INDEX('C_jama.2018.14280'!$D$2:$D$24,MATCH("2018::jama.2018.14280::C004",'C_jama.2018.14280'!$A$2:$A$24,0))="retain",OR(INDEX('C_jama.2018.14280'!$E$2:$E$24,MATCH("2018::jama.2018.14280::C004",'C_jama.2018.14280'!$A$2:$A$24,0))="report_internal_inconsistency",INDEX('C_jama.2018.14280'!$E$2:$E$24,MATCH("2018::jama.2018.14280::C004",'C_jama.2018.14280'!$A$2:$A$24,0))="plan_material")),IF(INDEX('C_jama.2018.14280'!$K$2:$K$24,MATCH("2018::jama.2018.14280::C004",'C_jama.2018.14280'!$A$2:$A$24,0))="","",INDEX('C_jama.2018.14280'!$K$2:$K$24,MATCH("2018::jama.2018.14280::C004",'C_jama.2018.14280'!$A$2:$A$24,0))),"not_applicable")</x:f>
        <x:v>not_applicable</x:v>
      </x:c>
      <x:c r="Y26" s="6" t="str">
        <x:f>IF(AND(INDEX('C_jama.2018.14280'!$D$2:$D$24,MATCH("2018::jama.2018.14280::C004",'C_jama.2018.14280'!$A$2:$A$24,0))="retain",INDEX('C_jama.2018.14280'!$E$2:$E$24,MATCH("2018::jama.2018.14280::C004",'C_jama.2018.14280'!$A$2:$A$24,0))="protocol_report"),IF(INDEX('C_jama.2018.14280'!$L$2:$L$24,MATCH("2018::jama.2018.14280::C004",'C_jama.2018.14280'!$A$2:$A$24,0))="","",INDEX('C_jama.2018.14280'!$L$2:$L$24,MATCH("2018::jama.2018.14280::C004",'C_jama.2018.14280'!$A$2:$A$24,0))),"not_applicable")</x:f>
        <x:v>not_applicable</x:v>
      </x:c>
      <x:c r="Z26" s="6" t="str">
        <x:f>IF(INDEX('C_jama.2018.14280'!$R$2:$R$24,MATCH("2018::jama.2018.14280::C004",'C_jama.2018.14280'!$A$2:$A$24,0))="","",INDEX('C_jama.2018.14280'!$R$2:$R$24,MATCH("2018::jama.2018.14280::C004",'C_jama.2018.14280'!$A$2:$A$24,0)))</x:f>
      </x:c>
      <x:c r="AA26" s="6" t="str">
        <x:f>IF(INDEX('C_jama.2018.14280'!$N$2:$N$24,MATCH("2018::jama.2018.14280::C004",'C_jama.2018.14280'!$A$2:$A$24,0))="","",INDEX('C_jama.2018.14280'!$N$2:$N$24,MATCH("2018::jama.2018.14280::C004",'C_jama.2018.14280'!$A$2:$A$24,0)))</x:f>
      </x:c>
      <x:c r="AB26" s="6" t="str">
        <x:f>IF(INDEX('C_jama.2018.14280'!$O$2:$O$24,MATCH("2018::jama.2018.14280::C004",'C_jama.2018.14280'!$A$2:$A$24,0))="","",INDEX('C_jama.2018.14280'!$O$2:$O$24,MATCH("2018::jama.2018.14280::C004",'C_jama.2018.14280'!$A$2:$A$24,0)))</x:f>
      </x:c>
      <x:c r="AC26" s="6" t="str">
        <x:f>IF(INDEX('C_jama.2018.14280'!$P$2:$P$24,MATCH("2018::jama.2018.14280::C004",'C_jama.2018.14280'!$A$2:$A$24,0))="","",INDEX('C_jama.2018.14280'!$P$2:$P$24,MATCH("2018::jama.2018.14280::C004",'C_jama.2018.14280'!$A$2:$A$24,0)))</x:f>
      </x:c>
      <x:c r="AD26" s="6" t="str">
        <x:f>IF(INDEX('C_jama.2018.14280'!$Q$2:$Q$24,MATCH("2018::jama.2018.14280::C004",'C_jama.2018.14280'!$A$2:$A$24,0))="","",INDEX('C_jama.2018.14280'!$Q$2:$Q$24,MATCH("2018::jama.2018.14280::C004",'C_jama.2018.14280'!$A$2:$A$24,0)))</x:f>
      </x:c>
    </x:row>
    <x:row r="27" ht="65" customHeight="1">
      <x:c r="A27" s="3" t="n">
        <x:v>2018</x:v>
      </x:c>
      <x:c r="B27" s="3" t="str">
        <x:v>jama.2018.14280</x:v>
      </x:c>
      <x:c r="C27" s="3" t="str">
        <x:v>2018::jama.2018.14280::C005</x:v>
      </x:c>
      <x:c r="D27" s="3" t="str">
        <x:v>S_W</x:v>
      </x:c>
      <x:c r="E27" s="3" t="n">
        <x:f>Setup!$B$2</x:f>
        <x:v>0</x:v>
      </x:c>
      <x:c r="F27" s="3" t="str">
        <x:f>IF(Setup!$B$4="","",Setup!$B$4)</x:f>
      </x:c>
      <x:c r="G27" s="3" t="str">
        <x:f>IFERROR(INDEX('C_jama.2018.14280'!$G$2:$G$24,MATCH("2018::jama.2018.14280::C005",'C_jama.2018.14280'!$A$2:$A$24,0)),"CHECK KEY")</x:f>
        <x:v>CHECK REVIEWER IDs</x:v>
      </x:c>
      <x:c r="H27" s="3" t="str">
        <x:f>IF(G27&lt;&gt;"FINAL READY","",IF(S27&lt;&gt;"retain","not_eligible",IF(D27="P_R","protocol_descriptive",IF(D27="P_P","plan_descriptive",IF(AND(T27="statistical_results",OR(U27="confirmed_issue",U27="probable_issue"),V27="substantive"),"primary_temporal",IF(AND(T27="report_internal_inconsistency",X27="substantive_inconsistency"),"secondary_temporal","not_eligible"))))))</x:f>
      </x:c>
      <x:c r="I27" s="3" t="str">
        <x:v>retain</x:v>
      </x:c>
      <x:c r="J27" s="3" t="str">
        <x:v>statistical_results</x:v>
      </x:c>
      <x:c r="K27" s="3" t="str">
        <x:f>IF(Setup!$B$6="primary","",IFERROR(IF(INDEX('Primary_snapshot'!$B$2:$B$120,MATCH(C27,'Primary_snapshot'!$A$2:$A$120,0))="","",INDEX('Primary_snapshot'!$B$2:$B$120,MATCH(C27,'Primary_snapshot'!$A$2:$A$120,0))),"SNAPSHOT MISSING"))</x:f>
      </x:c>
      <x:c r="L27" s="3" t="str">
        <x:f>IF(Setup!$B$6="primary","",IFERROR(IF(INDEX('Primary_snapshot'!$C$2:$C$120,MATCH(C27,'Primary_snapshot'!$A$2:$A$120,0))="","",INDEX('Primary_snapshot'!$C$2:$C$120,MATCH(C27,'Primary_snapshot'!$A$2:$A$120,0))),"SNAPSHOT MISSING"))</x:f>
      </x:c>
      <x:c r="M27" s="3" t="str">
        <x:f>IF(Setup!$B$6="primary","",IFERROR(IF(INDEX('Primary_snapshot'!$D$2:$D$120,MATCH(C27,'Primary_snapshot'!$A$2:$A$120,0))="","",INDEX('Primary_snapshot'!$D$2:$D$120,MATCH(C27,'Primary_snapshot'!$A$2:$A$120,0))),"SNAPSHOT MISSING"))</x:f>
      </x:c>
      <x:c r="N27" s="3" t="str">
        <x:f>IF(Setup!$B$6="primary","",IFERROR(IF(INDEX('Primary_snapshot'!$E$2:$E$120,MATCH(C27,'Primary_snapshot'!$A$2:$A$120,0))="","",INDEX('Primary_snapshot'!$E$2:$E$120,MATCH(C27,'Primary_snapshot'!$A$2:$A$120,0))),"SNAPSHOT MISSING"))</x:f>
      </x:c>
      <x:c r="O27" s="3" t="str">
        <x:f>IF(Setup!$B$6="primary","",IFERROR(IF(INDEX('Primary_snapshot'!$F$2:$F$120,MATCH(C27,'Primary_snapshot'!$A$2:$A$120,0))="","",INDEX('Primary_snapshot'!$F$2:$F$120,MATCH(C27,'Primary_snapshot'!$A$2:$A$120,0))),"SNAPSHOT MISSING"))</x:f>
      </x:c>
      <x:c r="P27" s="3" t="str">
        <x:f>IF(Setup!$B$6="primary","",IFERROR(IF(INDEX('Primary_snapshot'!$G$2:$G$120,MATCH(C27,'Primary_snapshot'!$A$2:$A$120,0))="","",INDEX('Primary_snapshot'!$G$2:$G$120,MATCH(C27,'Primary_snapshot'!$A$2:$A$120,0))),"SNAPSHOT MISSING"))</x:f>
      </x:c>
      <x:c r="Q27" s="3" t="str">
        <x:f>IF(Setup!$B$6="primary","",IFERROR(IF(INDEX('Primary_snapshot'!$H$2:$H$120,MATCH(C27,'Primary_snapshot'!$A$2:$A$120,0))="","",INDEX('Primary_snapshot'!$H$2:$H$120,MATCH(C27,'Primary_snapshot'!$A$2:$A$120,0))),"SNAPSHOT MISSING"))</x:f>
      </x:c>
      <x:c r="R27" s="3" t="str">
        <x:f>IF(Setup!$B$6="primary","",IFERROR(IF(INDEX('Primary_snapshot'!$I$2:$I$120,MATCH(C27,'Primary_snapshot'!$A$2:$A$120,0))="","",INDEX('Primary_snapshot'!$I$2:$I$120,MATCH(C27,'Primary_snapshot'!$A$2:$A$120,0))),"SNAPSHOT MISSING"))</x:f>
      </x:c>
      <x:c r="S27" s="3" t="str">
        <x:f>IF(INDEX('C_jama.2018.14280'!$D$2:$D$24,MATCH("2018::jama.2018.14280::C005",'C_jama.2018.14280'!$A$2:$A$24,0))="","",INDEX('C_jama.2018.14280'!$D$2:$D$24,MATCH("2018::jama.2018.14280::C005",'C_jama.2018.14280'!$A$2:$A$24,0)))</x:f>
      </x:c>
      <x:c r="T27" s="3" t="str">
        <x:f>IF(INDEX('C_jama.2018.14280'!$E$2:$E$24,MATCH("2018::jama.2018.14280::C005",'C_jama.2018.14280'!$A$2:$A$24,0))="","",INDEX('C_jama.2018.14280'!$E$2:$E$24,MATCH("2018::jama.2018.14280::C005",'C_jama.2018.14280'!$A$2:$A$24,0)))</x:f>
        <x:v>statistical_results</x:v>
      </x:c>
      <x:c r="U27" s="3" t="str">
        <x:f>IF(AND(INDEX('C_jama.2018.14280'!$D$2:$D$24,MATCH("2018::jama.2018.14280::C005",'C_jama.2018.14280'!$A$2:$A$24,0))="retain",INDEX('C_jama.2018.14280'!$E$2:$E$24,MATCH("2018::jama.2018.14280::C005",'C_jama.2018.14280'!$A$2:$A$24,0))="statistical_results"),IF(INDEX('C_jama.2018.14280'!$H$2:$H$24,MATCH("2018::jama.2018.14280::C005",'C_jama.2018.14280'!$A$2:$A$24,0))="","",INDEX('C_jama.2018.14280'!$H$2:$H$24,MATCH("2018::jama.2018.14280::C005",'C_jama.2018.14280'!$A$2:$A$24,0))),"not_applicable")</x:f>
        <x:v>not_applicable</x:v>
      </x:c>
      <x:c r="V27" s="3" t="str">
        <x:f>IF(AND(INDEX('C_jama.2018.14280'!$D$2:$D$24,MATCH("2018::jama.2018.14280::C005",'C_jama.2018.14280'!$A$2:$A$24,0))="retain",INDEX('C_jama.2018.14280'!$E$2:$E$24,MATCH("2018::jama.2018.14280::C005",'C_jama.2018.14280'!$A$2:$A$24,0))="statistical_results"),IF(INDEX('C_jama.2018.14280'!$I$2:$I$24,MATCH("2018::jama.2018.14280::C005",'C_jama.2018.14280'!$A$2:$A$24,0))="","",INDEX('C_jama.2018.14280'!$I$2:$I$24,MATCH("2018::jama.2018.14280::C005",'C_jama.2018.14280'!$A$2:$A$24,0))),"not_applicable")</x:f>
        <x:v>not_applicable</x:v>
      </x:c>
      <x:c r="W27" s="3" t="str">
        <x:f>IF(AND(INDEX('C_jama.2018.14280'!$D$2:$D$24,MATCH("2018::jama.2018.14280::C005",'C_jama.2018.14280'!$A$2:$A$24,0))="retain",INDEX('C_jama.2018.14280'!$E$2:$E$24,MATCH("2018::jama.2018.14280::C005",'C_jama.2018.14280'!$A$2:$A$24,0))="statistical_results"),IF(INDEX('C_jama.2018.14280'!$J$2:$J$24,MATCH("2018::jama.2018.14280::C005",'C_jama.2018.14280'!$A$2:$A$24,0))="","",INDEX('C_jama.2018.14280'!$J$2:$J$24,MATCH("2018::jama.2018.14280::C005",'C_jama.2018.14280'!$A$2:$A$24,0))),"not_applicable")</x:f>
        <x:v>not_applicable</x:v>
      </x:c>
      <x:c r="X27" s="3" t="str">
        <x:f>IF(AND(INDEX('C_jama.2018.14280'!$D$2:$D$24,MATCH("2018::jama.2018.14280::C005",'C_jama.2018.14280'!$A$2:$A$24,0))="retain",OR(INDEX('C_jama.2018.14280'!$E$2:$E$24,MATCH("2018::jama.2018.14280::C005",'C_jama.2018.14280'!$A$2:$A$24,0))="report_internal_inconsistency",INDEX('C_jama.2018.14280'!$E$2:$E$24,MATCH("2018::jama.2018.14280::C005",'C_jama.2018.14280'!$A$2:$A$24,0))="plan_material")),IF(INDEX('C_jama.2018.14280'!$K$2:$K$24,MATCH("2018::jama.2018.14280::C005",'C_jama.2018.14280'!$A$2:$A$24,0))="","",INDEX('C_jama.2018.14280'!$K$2:$K$24,MATCH("2018::jama.2018.14280::C005",'C_jama.2018.14280'!$A$2:$A$24,0))),"not_applicable")</x:f>
        <x:v>not_applicable</x:v>
      </x:c>
      <x:c r="Y27" s="3" t="str">
        <x:f>IF(AND(INDEX('C_jama.2018.14280'!$D$2:$D$24,MATCH("2018::jama.2018.14280::C005",'C_jama.2018.14280'!$A$2:$A$24,0))="retain",INDEX('C_jama.2018.14280'!$E$2:$E$24,MATCH("2018::jama.2018.14280::C005",'C_jama.2018.14280'!$A$2:$A$24,0))="protocol_report"),IF(INDEX('C_jama.2018.14280'!$L$2:$L$24,MATCH("2018::jama.2018.14280::C005",'C_jama.2018.14280'!$A$2:$A$24,0))="","",INDEX('C_jama.2018.14280'!$L$2:$L$24,MATCH("2018::jama.2018.14280::C005",'C_jama.2018.14280'!$A$2:$A$24,0))),"not_applicable")</x:f>
        <x:v>not_applicable</x:v>
      </x:c>
      <x:c r="Z27" s="3" t="str">
        <x:f>IF(INDEX('C_jama.2018.14280'!$R$2:$R$24,MATCH("2018::jama.2018.14280::C005",'C_jama.2018.14280'!$A$2:$A$24,0))="","",INDEX('C_jama.2018.14280'!$R$2:$R$24,MATCH("2018::jama.2018.14280::C005",'C_jama.2018.14280'!$A$2:$A$24,0)))</x:f>
      </x:c>
      <x:c r="AA27" s="3" t="str">
        <x:f>IF(INDEX('C_jama.2018.14280'!$N$2:$N$24,MATCH("2018::jama.2018.14280::C005",'C_jama.2018.14280'!$A$2:$A$24,0))="","",INDEX('C_jama.2018.14280'!$N$2:$N$24,MATCH("2018::jama.2018.14280::C005",'C_jama.2018.14280'!$A$2:$A$24,0)))</x:f>
      </x:c>
      <x:c r="AB27" s="3" t="str">
        <x:f>IF(INDEX('C_jama.2018.14280'!$O$2:$O$24,MATCH("2018::jama.2018.14280::C005",'C_jama.2018.14280'!$A$2:$A$24,0))="","",INDEX('C_jama.2018.14280'!$O$2:$O$24,MATCH("2018::jama.2018.14280::C005",'C_jama.2018.14280'!$A$2:$A$24,0)))</x:f>
      </x:c>
      <x:c r="AC27" s="3" t="str">
        <x:f>IF(INDEX('C_jama.2018.14280'!$P$2:$P$24,MATCH("2018::jama.2018.14280::C005",'C_jama.2018.14280'!$A$2:$A$24,0))="","",INDEX('C_jama.2018.14280'!$P$2:$P$24,MATCH("2018::jama.2018.14280::C005",'C_jama.2018.14280'!$A$2:$A$24,0)))</x:f>
      </x:c>
      <x:c r="AD27" s="3" t="str">
        <x:f>IF(INDEX('C_jama.2018.14280'!$Q$2:$Q$24,MATCH("2018::jama.2018.14280::C005",'C_jama.2018.14280'!$A$2:$A$24,0))="","",INDEX('C_jama.2018.14280'!$Q$2:$Q$24,MATCH("2018::jama.2018.14280::C005",'C_jama.2018.14280'!$A$2:$A$24,0)))</x:f>
      </x:c>
    </x:row>
    <x:row r="28" ht="65" customHeight="1">
      <x:c r="A28" s="6" t="n">
        <x:v>2018</x:v>
      </x:c>
      <x:c r="B28" s="6" t="str">
        <x:v>jama.2018.14280</x:v>
      </x:c>
      <x:c r="C28" s="6" t="str">
        <x:v>2018::jama.2018.14280::C006</x:v>
      </x:c>
      <x:c r="D28" s="6" t="str">
        <x:v>S_W</x:v>
      </x:c>
      <x:c r="E28" s="6" t="n">
        <x:f>Setup!$B$2</x:f>
        <x:v>0</x:v>
      </x:c>
      <x:c r="F28" s="6" t="str">
        <x:f>IF(Setup!$B$4="","",Setup!$B$4)</x:f>
      </x:c>
      <x:c r="G28" s="6" t="str">
        <x:f>IFERROR(INDEX('C_jama.2018.14280'!$G$2:$G$24,MATCH("2018::jama.2018.14280::C006",'C_jama.2018.14280'!$A$2:$A$24,0)),"CHECK KEY")</x:f>
        <x:v>CHECK REVIEWER IDs</x:v>
      </x:c>
      <x:c r="H28" s="6" t="str">
        <x:f>IF(G28&lt;&gt;"FINAL READY","",IF(S28&lt;&gt;"retain","not_eligible",IF(D28="P_R","protocol_descriptive",IF(D28="P_P","plan_descriptive",IF(AND(T28="statistical_results",OR(U28="confirmed_issue",U28="probable_issue"),V28="substantive"),"primary_temporal",IF(AND(T28="report_internal_inconsistency",X28="substantive_inconsistency"),"secondary_temporal","not_eligible"))))))</x:f>
      </x:c>
      <x:c r="I28" s="6" t="str">
        <x:v>retain</x:v>
      </x:c>
      <x:c r="J28" s="6" t="str">
        <x:v>statistical_results</x:v>
      </x:c>
      <x:c r="K28" s="6" t="str">
        <x:f>IF(Setup!$B$6="primary","",IFERROR(IF(INDEX('Primary_snapshot'!$B$2:$B$120,MATCH(C28,'Primary_snapshot'!$A$2:$A$120,0))="","",INDEX('Primary_snapshot'!$B$2:$B$120,MATCH(C28,'Primary_snapshot'!$A$2:$A$120,0))),"SNAPSHOT MISSING"))</x:f>
      </x:c>
      <x:c r="L28" s="6" t="str">
        <x:f>IF(Setup!$B$6="primary","",IFERROR(IF(INDEX('Primary_snapshot'!$C$2:$C$120,MATCH(C28,'Primary_snapshot'!$A$2:$A$120,0))="","",INDEX('Primary_snapshot'!$C$2:$C$120,MATCH(C28,'Primary_snapshot'!$A$2:$A$120,0))),"SNAPSHOT MISSING"))</x:f>
      </x:c>
      <x:c r="M28" s="6" t="str">
        <x:f>IF(Setup!$B$6="primary","",IFERROR(IF(INDEX('Primary_snapshot'!$D$2:$D$120,MATCH(C28,'Primary_snapshot'!$A$2:$A$120,0))="","",INDEX('Primary_snapshot'!$D$2:$D$120,MATCH(C28,'Primary_snapshot'!$A$2:$A$120,0))),"SNAPSHOT MISSING"))</x:f>
      </x:c>
      <x:c r="N28" s="6" t="str">
        <x:f>IF(Setup!$B$6="primary","",IFERROR(IF(INDEX('Primary_snapshot'!$E$2:$E$120,MATCH(C28,'Primary_snapshot'!$A$2:$A$120,0))="","",INDEX('Primary_snapshot'!$E$2:$E$120,MATCH(C28,'Primary_snapshot'!$A$2:$A$120,0))),"SNAPSHOT MISSING"))</x:f>
      </x:c>
      <x:c r="O28" s="6" t="str">
        <x:f>IF(Setup!$B$6="primary","",IFERROR(IF(INDEX('Primary_snapshot'!$F$2:$F$120,MATCH(C28,'Primary_snapshot'!$A$2:$A$120,0))="","",INDEX('Primary_snapshot'!$F$2:$F$120,MATCH(C28,'Primary_snapshot'!$A$2:$A$120,0))),"SNAPSHOT MISSING"))</x:f>
      </x:c>
      <x:c r="P28" s="6" t="str">
        <x:f>IF(Setup!$B$6="primary","",IFERROR(IF(INDEX('Primary_snapshot'!$G$2:$G$120,MATCH(C28,'Primary_snapshot'!$A$2:$A$120,0))="","",INDEX('Primary_snapshot'!$G$2:$G$120,MATCH(C28,'Primary_snapshot'!$A$2:$A$120,0))),"SNAPSHOT MISSING"))</x:f>
      </x:c>
      <x:c r="Q28" s="6" t="str">
        <x:f>IF(Setup!$B$6="primary","",IFERROR(IF(INDEX('Primary_snapshot'!$H$2:$H$120,MATCH(C28,'Primary_snapshot'!$A$2:$A$120,0))="","",INDEX('Primary_snapshot'!$H$2:$H$120,MATCH(C28,'Primary_snapshot'!$A$2:$A$120,0))),"SNAPSHOT MISSING"))</x:f>
      </x:c>
      <x:c r="R28" s="6" t="str">
        <x:f>IF(Setup!$B$6="primary","",IFERROR(IF(INDEX('Primary_snapshot'!$I$2:$I$120,MATCH(C28,'Primary_snapshot'!$A$2:$A$120,0))="","",INDEX('Primary_snapshot'!$I$2:$I$120,MATCH(C28,'Primary_snapshot'!$A$2:$A$120,0))),"SNAPSHOT MISSING"))</x:f>
      </x:c>
      <x:c r="S28" s="6" t="str">
        <x:f>IF(INDEX('C_jama.2018.14280'!$D$2:$D$24,MATCH("2018::jama.2018.14280::C006",'C_jama.2018.14280'!$A$2:$A$24,0))="","",INDEX('C_jama.2018.14280'!$D$2:$D$24,MATCH("2018::jama.2018.14280::C006",'C_jama.2018.14280'!$A$2:$A$24,0)))</x:f>
      </x:c>
      <x:c r="T28" s="6" t="str">
        <x:f>IF(INDEX('C_jama.2018.14280'!$E$2:$E$24,MATCH("2018::jama.2018.14280::C006",'C_jama.2018.14280'!$A$2:$A$24,0))="","",INDEX('C_jama.2018.14280'!$E$2:$E$24,MATCH("2018::jama.2018.14280::C006",'C_jama.2018.14280'!$A$2:$A$24,0)))</x:f>
        <x:v>statistical_results</x:v>
      </x:c>
      <x:c r="U28" s="6" t="str">
        <x:f>IF(AND(INDEX('C_jama.2018.14280'!$D$2:$D$24,MATCH("2018::jama.2018.14280::C006",'C_jama.2018.14280'!$A$2:$A$24,0))="retain",INDEX('C_jama.2018.14280'!$E$2:$E$24,MATCH("2018::jama.2018.14280::C006",'C_jama.2018.14280'!$A$2:$A$24,0))="statistical_results"),IF(INDEX('C_jama.2018.14280'!$H$2:$H$24,MATCH("2018::jama.2018.14280::C006",'C_jama.2018.14280'!$A$2:$A$24,0))="","",INDEX('C_jama.2018.14280'!$H$2:$H$24,MATCH("2018::jama.2018.14280::C006",'C_jama.2018.14280'!$A$2:$A$24,0))),"not_applicable")</x:f>
        <x:v>not_applicable</x:v>
      </x:c>
      <x:c r="V28" s="6" t="str">
        <x:f>IF(AND(INDEX('C_jama.2018.14280'!$D$2:$D$24,MATCH("2018::jama.2018.14280::C006",'C_jama.2018.14280'!$A$2:$A$24,0))="retain",INDEX('C_jama.2018.14280'!$E$2:$E$24,MATCH("2018::jama.2018.14280::C006",'C_jama.2018.14280'!$A$2:$A$24,0))="statistical_results"),IF(INDEX('C_jama.2018.14280'!$I$2:$I$24,MATCH("2018::jama.2018.14280::C006",'C_jama.2018.14280'!$A$2:$A$24,0))="","",INDEX('C_jama.2018.14280'!$I$2:$I$24,MATCH("2018::jama.2018.14280::C006",'C_jama.2018.14280'!$A$2:$A$24,0))),"not_applicable")</x:f>
        <x:v>not_applicable</x:v>
      </x:c>
      <x:c r="W28" s="6" t="str">
        <x:f>IF(AND(INDEX('C_jama.2018.14280'!$D$2:$D$24,MATCH("2018::jama.2018.14280::C006",'C_jama.2018.14280'!$A$2:$A$24,0))="retain",INDEX('C_jama.2018.14280'!$E$2:$E$24,MATCH("2018::jama.2018.14280::C006",'C_jama.2018.14280'!$A$2:$A$24,0))="statistical_results"),IF(INDEX('C_jama.2018.14280'!$J$2:$J$24,MATCH("2018::jama.2018.14280::C006",'C_jama.2018.14280'!$A$2:$A$24,0))="","",INDEX('C_jama.2018.14280'!$J$2:$J$24,MATCH("2018::jama.2018.14280::C006",'C_jama.2018.14280'!$A$2:$A$24,0))),"not_applicable")</x:f>
        <x:v>not_applicable</x:v>
      </x:c>
      <x:c r="X28" s="6" t="str">
        <x:f>IF(AND(INDEX('C_jama.2018.14280'!$D$2:$D$24,MATCH("2018::jama.2018.14280::C006",'C_jama.2018.14280'!$A$2:$A$24,0))="retain",OR(INDEX('C_jama.2018.14280'!$E$2:$E$24,MATCH("2018::jama.2018.14280::C006",'C_jama.2018.14280'!$A$2:$A$24,0))="report_internal_inconsistency",INDEX('C_jama.2018.14280'!$E$2:$E$24,MATCH("2018::jama.2018.14280::C006",'C_jama.2018.14280'!$A$2:$A$24,0))="plan_material")),IF(INDEX('C_jama.2018.14280'!$K$2:$K$24,MATCH("2018::jama.2018.14280::C006",'C_jama.2018.14280'!$A$2:$A$24,0))="","",INDEX('C_jama.2018.14280'!$K$2:$K$24,MATCH("2018::jama.2018.14280::C006",'C_jama.2018.14280'!$A$2:$A$24,0))),"not_applicable")</x:f>
        <x:v>not_applicable</x:v>
      </x:c>
      <x:c r="Y28" s="6" t="str">
        <x:f>IF(AND(INDEX('C_jama.2018.14280'!$D$2:$D$24,MATCH("2018::jama.2018.14280::C006",'C_jama.2018.14280'!$A$2:$A$24,0))="retain",INDEX('C_jama.2018.14280'!$E$2:$E$24,MATCH("2018::jama.2018.14280::C006",'C_jama.2018.14280'!$A$2:$A$24,0))="protocol_report"),IF(INDEX('C_jama.2018.14280'!$L$2:$L$24,MATCH("2018::jama.2018.14280::C006",'C_jama.2018.14280'!$A$2:$A$24,0))="","",INDEX('C_jama.2018.14280'!$L$2:$L$24,MATCH("2018::jama.2018.14280::C006",'C_jama.2018.14280'!$A$2:$A$24,0))),"not_applicable")</x:f>
        <x:v>not_applicable</x:v>
      </x:c>
      <x:c r="Z28" s="6" t="str">
        <x:f>IF(INDEX('C_jama.2018.14280'!$R$2:$R$24,MATCH("2018::jama.2018.14280::C006",'C_jama.2018.14280'!$A$2:$A$24,0))="","",INDEX('C_jama.2018.14280'!$R$2:$R$24,MATCH("2018::jama.2018.14280::C006",'C_jama.2018.14280'!$A$2:$A$24,0)))</x:f>
      </x:c>
      <x:c r="AA28" s="6" t="str">
        <x:f>IF(INDEX('C_jama.2018.14280'!$N$2:$N$24,MATCH("2018::jama.2018.14280::C006",'C_jama.2018.14280'!$A$2:$A$24,0))="","",INDEX('C_jama.2018.14280'!$N$2:$N$24,MATCH("2018::jama.2018.14280::C006",'C_jama.2018.14280'!$A$2:$A$24,0)))</x:f>
      </x:c>
      <x:c r="AB28" s="6" t="str">
        <x:f>IF(INDEX('C_jama.2018.14280'!$O$2:$O$24,MATCH("2018::jama.2018.14280::C006",'C_jama.2018.14280'!$A$2:$A$24,0))="","",INDEX('C_jama.2018.14280'!$O$2:$O$24,MATCH("2018::jama.2018.14280::C006",'C_jama.2018.14280'!$A$2:$A$24,0)))</x:f>
      </x:c>
      <x:c r="AC28" s="6" t="str">
        <x:f>IF(INDEX('C_jama.2018.14280'!$P$2:$P$24,MATCH("2018::jama.2018.14280::C006",'C_jama.2018.14280'!$A$2:$A$24,0))="","",INDEX('C_jama.2018.14280'!$P$2:$P$24,MATCH("2018::jama.2018.14280::C006",'C_jama.2018.14280'!$A$2:$A$24,0)))</x:f>
      </x:c>
      <x:c r="AD28" s="6" t="str">
        <x:f>IF(INDEX('C_jama.2018.14280'!$Q$2:$Q$24,MATCH("2018::jama.2018.14280::C006",'C_jama.2018.14280'!$A$2:$A$24,0))="","",INDEX('C_jama.2018.14280'!$Q$2:$Q$24,MATCH("2018::jama.2018.14280::C006",'C_jama.2018.14280'!$A$2:$A$24,0)))</x:f>
      </x:c>
    </x:row>
    <x:row r="29" ht="65" customHeight="1">
      <x:c r="A29" s="3" t="n">
        <x:v>2018</x:v>
      </x:c>
      <x:c r="B29" s="3" t="str">
        <x:v>jama.2018.14280</x:v>
      </x:c>
      <x:c r="C29" s="3" t="str">
        <x:v>2018::jama.2018.14280::C007</x:v>
      </x:c>
      <x:c r="D29" s="3" t="str">
        <x:v>S_W</x:v>
      </x:c>
      <x:c r="E29" s="3" t="n">
        <x:f>Setup!$B$2</x:f>
        <x:v>0</x:v>
      </x:c>
      <x:c r="F29" s="3" t="str">
        <x:f>IF(Setup!$B$4="","",Setup!$B$4)</x:f>
      </x:c>
      <x:c r="G29" s="3" t="str">
        <x:f>IFERROR(INDEX('C_jama.2018.14280'!$G$2:$G$24,MATCH("2018::jama.2018.14280::C007",'C_jama.2018.14280'!$A$2:$A$24,0)),"CHECK KEY")</x:f>
        <x:v>CHECK REVIEWER IDs</x:v>
      </x:c>
      <x:c r="H29" s="3" t="str">
        <x:f>IF(G29&lt;&gt;"FINAL READY","",IF(S29&lt;&gt;"retain","not_eligible",IF(D29="P_R","protocol_descriptive",IF(D29="P_P","plan_descriptive",IF(AND(T29="statistical_results",OR(U29="confirmed_issue",U29="probable_issue"),V29="substantive"),"primary_temporal",IF(AND(T29="report_internal_inconsistency",X29="substantive_inconsistency"),"secondary_temporal","not_eligible"))))))</x:f>
      </x:c>
      <x:c r="I29" s="3" t="str">
        <x:v>retain</x:v>
      </x:c>
      <x:c r="J29" s="3" t="str">
        <x:v>statistical_results</x:v>
      </x:c>
      <x:c r="K29" s="3" t="str">
        <x:f>IF(Setup!$B$6="primary","",IFERROR(IF(INDEX('Primary_snapshot'!$B$2:$B$120,MATCH(C29,'Primary_snapshot'!$A$2:$A$120,0))="","",INDEX('Primary_snapshot'!$B$2:$B$120,MATCH(C29,'Primary_snapshot'!$A$2:$A$120,0))),"SNAPSHOT MISSING"))</x:f>
      </x:c>
      <x:c r="L29" s="3" t="str">
        <x:f>IF(Setup!$B$6="primary","",IFERROR(IF(INDEX('Primary_snapshot'!$C$2:$C$120,MATCH(C29,'Primary_snapshot'!$A$2:$A$120,0))="","",INDEX('Primary_snapshot'!$C$2:$C$120,MATCH(C29,'Primary_snapshot'!$A$2:$A$120,0))),"SNAPSHOT MISSING"))</x:f>
      </x:c>
      <x:c r="M29" s="3" t="str">
        <x:f>IF(Setup!$B$6="primary","",IFERROR(IF(INDEX('Primary_snapshot'!$D$2:$D$120,MATCH(C29,'Primary_snapshot'!$A$2:$A$120,0))="","",INDEX('Primary_snapshot'!$D$2:$D$120,MATCH(C29,'Primary_snapshot'!$A$2:$A$120,0))),"SNAPSHOT MISSING"))</x:f>
      </x:c>
      <x:c r="N29" s="3" t="str">
        <x:f>IF(Setup!$B$6="primary","",IFERROR(IF(INDEX('Primary_snapshot'!$E$2:$E$120,MATCH(C29,'Primary_snapshot'!$A$2:$A$120,0))="","",INDEX('Primary_snapshot'!$E$2:$E$120,MATCH(C29,'Primary_snapshot'!$A$2:$A$120,0))),"SNAPSHOT MISSING"))</x:f>
      </x:c>
      <x:c r="O29" s="3" t="str">
        <x:f>IF(Setup!$B$6="primary","",IFERROR(IF(INDEX('Primary_snapshot'!$F$2:$F$120,MATCH(C29,'Primary_snapshot'!$A$2:$A$120,0))="","",INDEX('Primary_snapshot'!$F$2:$F$120,MATCH(C29,'Primary_snapshot'!$A$2:$A$120,0))),"SNAPSHOT MISSING"))</x:f>
      </x:c>
      <x:c r="P29" s="3" t="str">
        <x:f>IF(Setup!$B$6="primary","",IFERROR(IF(INDEX('Primary_snapshot'!$G$2:$G$120,MATCH(C29,'Primary_snapshot'!$A$2:$A$120,0))="","",INDEX('Primary_snapshot'!$G$2:$G$120,MATCH(C29,'Primary_snapshot'!$A$2:$A$120,0))),"SNAPSHOT MISSING"))</x:f>
      </x:c>
      <x:c r="Q29" s="3" t="str">
        <x:f>IF(Setup!$B$6="primary","",IFERROR(IF(INDEX('Primary_snapshot'!$H$2:$H$120,MATCH(C29,'Primary_snapshot'!$A$2:$A$120,0))="","",INDEX('Primary_snapshot'!$H$2:$H$120,MATCH(C29,'Primary_snapshot'!$A$2:$A$120,0))),"SNAPSHOT MISSING"))</x:f>
      </x:c>
      <x:c r="R29" s="3" t="str">
        <x:f>IF(Setup!$B$6="primary","",IFERROR(IF(INDEX('Primary_snapshot'!$I$2:$I$120,MATCH(C29,'Primary_snapshot'!$A$2:$A$120,0))="","",INDEX('Primary_snapshot'!$I$2:$I$120,MATCH(C29,'Primary_snapshot'!$A$2:$A$120,0))),"SNAPSHOT MISSING"))</x:f>
      </x:c>
      <x:c r="S29" s="3" t="str">
        <x:f>IF(INDEX('C_jama.2018.14280'!$D$2:$D$24,MATCH("2018::jama.2018.14280::C007",'C_jama.2018.14280'!$A$2:$A$24,0))="","",INDEX('C_jama.2018.14280'!$D$2:$D$24,MATCH("2018::jama.2018.14280::C007",'C_jama.2018.14280'!$A$2:$A$24,0)))</x:f>
      </x:c>
      <x:c r="T29" s="3" t="str">
        <x:f>IF(INDEX('C_jama.2018.14280'!$E$2:$E$24,MATCH("2018::jama.2018.14280::C007",'C_jama.2018.14280'!$A$2:$A$24,0))="","",INDEX('C_jama.2018.14280'!$E$2:$E$24,MATCH("2018::jama.2018.14280::C007",'C_jama.2018.14280'!$A$2:$A$24,0)))</x:f>
        <x:v>statistical_results</x:v>
      </x:c>
      <x:c r="U29" s="3" t="str">
        <x:f>IF(AND(INDEX('C_jama.2018.14280'!$D$2:$D$24,MATCH("2018::jama.2018.14280::C007",'C_jama.2018.14280'!$A$2:$A$24,0))="retain",INDEX('C_jama.2018.14280'!$E$2:$E$24,MATCH("2018::jama.2018.14280::C007",'C_jama.2018.14280'!$A$2:$A$24,0))="statistical_results"),IF(INDEX('C_jama.2018.14280'!$H$2:$H$24,MATCH("2018::jama.2018.14280::C007",'C_jama.2018.14280'!$A$2:$A$24,0))="","",INDEX('C_jama.2018.14280'!$H$2:$H$24,MATCH("2018::jama.2018.14280::C007",'C_jama.2018.14280'!$A$2:$A$24,0))),"not_applicable")</x:f>
        <x:v>not_applicable</x:v>
      </x:c>
      <x:c r="V29" s="3" t="str">
        <x:f>IF(AND(INDEX('C_jama.2018.14280'!$D$2:$D$24,MATCH("2018::jama.2018.14280::C007",'C_jama.2018.14280'!$A$2:$A$24,0))="retain",INDEX('C_jama.2018.14280'!$E$2:$E$24,MATCH("2018::jama.2018.14280::C007",'C_jama.2018.14280'!$A$2:$A$24,0))="statistical_results"),IF(INDEX('C_jama.2018.14280'!$I$2:$I$24,MATCH("2018::jama.2018.14280::C007",'C_jama.2018.14280'!$A$2:$A$24,0))="","",INDEX('C_jama.2018.14280'!$I$2:$I$24,MATCH("2018::jama.2018.14280::C007",'C_jama.2018.14280'!$A$2:$A$24,0))),"not_applicable")</x:f>
        <x:v>not_applicable</x:v>
      </x:c>
      <x:c r="W29" s="3" t="str">
        <x:f>IF(AND(INDEX('C_jama.2018.14280'!$D$2:$D$24,MATCH("2018::jama.2018.14280::C007",'C_jama.2018.14280'!$A$2:$A$24,0))="retain",INDEX('C_jama.2018.14280'!$E$2:$E$24,MATCH("2018::jama.2018.14280::C007",'C_jama.2018.14280'!$A$2:$A$24,0))="statistical_results"),IF(INDEX('C_jama.2018.14280'!$J$2:$J$24,MATCH("2018::jama.2018.14280::C007",'C_jama.2018.14280'!$A$2:$A$24,0))="","",INDEX('C_jama.2018.14280'!$J$2:$J$24,MATCH("2018::jama.2018.14280::C007",'C_jama.2018.14280'!$A$2:$A$24,0))),"not_applicable")</x:f>
        <x:v>not_applicable</x:v>
      </x:c>
      <x:c r="X29" s="3" t="str">
        <x:f>IF(AND(INDEX('C_jama.2018.14280'!$D$2:$D$24,MATCH("2018::jama.2018.14280::C007",'C_jama.2018.14280'!$A$2:$A$24,0))="retain",OR(INDEX('C_jama.2018.14280'!$E$2:$E$24,MATCH("2018::jama.2018.14280::C007",'C_jama.2018.14280'!$A$2:$A$24,0))="report_internal_inconsistency",INDEX('C_jama.2018.14280'!$E$2:$E$24,MATCH("2018::jama.2018.14280::C007",'C_jama.2018.14280'!$A$2:$A$24,0))="plan_material")),IF(INDEX('C_jama.2018.14280'!$K$2:$K$24,MATCH("2018::jama.2018.14280::C007",'C_jama.2018.14280'!$A$2:$A$24,0))="","",INDEX('C_jama.2018.14280'!$K$2:$K$24,MATCH("2018::jama.2018.14280::C007",'C_jama.2018.14280'!$A$2:$A$24,0))),"not_applicable")</x:f>
        <x:v>not_applicable</x:v>
      </x:c>
      <x:c r="Y29" s="3" t="str">
        <x:f>IF(AND(INDEX('C_jama.2018.14280'!$D$2:$D$24,MATCH("2018::jama.2018.14280::C007",'C_jama.2018.14280'!$A$2:$A$24,0))="retain",INDEX('C_jama.2018.14280'!$E$2:$E$24,MATCH("2018::jama.2018.14280::C007",'C_jama.2018.14280'!$A$2:$A$24,0))="protocol_report"),IF(INDEX('C_jama.2018.14280'!$L$2:$L$24,MATCH("2018::jama.2018.14280::C007",'C_jama.2018.14280'!$A$2:$A$24,0))="","",INDEX('C_jama.2018.14280'!$L$2:$L$24,MATCH("2018::jama.2018.14280::C007",'C_jama.2018.14280'!$A$2:$A$24,0))),"not_applicable")</x:f>
        <x:v>not_applicable</x:v>
      </x:c>
      <x:c r="Z29" s="3" t="str">
        <x:f>IF(INDEX('C_jama.2018.14280'!$R$2:$R$24,MATCH("2018::jama.2018.14280::C007",'C_jama.2018.14280'!$A$2:$A$24,0))="","",INDEX('C_jama.2018.14280'!$R$2:$R$24,MATCH("2018::jama.2018.14280::C007",'C_jama.2018.14280'!$A$2:$A$24,0)))</x:f>
      </x:c>
      <x:c r="AA29" s="3" t="str">
        <x:f>IF(INDEX('C_jama.2018.14280'!$N$2:$N$24,MATCH("2018::jama.2018.14280::C007",'C_jama.2018.14280'!$A$2:$A$24,0))="","",INDEX('C_jama.2018.14280'!$N$2:$N$24,MATCH("2018::jama.2018.14280::C007",'C_jama.2018.14280'!$A$2:$A$24,0)))</x:f>
      </x:c>
      <x:c r="AB29" s="3" t="str">
        <x:f>IF(INDEX('C_jama.2018.14280'!$O$2:$O$24,MATCH("2018::jama.2018.14280::C007",'C_jama.2018.14280'!$A$2:$A$24,0))="","",INDEX('C_jama.2018.14280'!$O$2:$O$24,MATCH("2018::jama.2018.14280::C007",'C_jama.2018.14280'!$A$2:$A$24,0)))</x:f>
      </x:c>
      <x:c r="AC29" s="3" t="str">
        <x:f>IF(INDEX('C_jama.2018.14280'!$P$2:$P$24,MATCH("2018::jama.2018.14280::C007",'C_jama.2018.14280'!$A$2:$A$24,0))="","",INDEX('C_jama.2018.14280'!$P$2:$P$24,MATCH("2018::jama.2018.14280::C007",'C_jama.2018.14280'!$A$2:$A$24,0)))</x:f>
      </x:c>
      <x:c r="AD29" s="3" t="str">
        <x:f>IF(INDEX('C_jama.2018.14280'!$Q$2:$Q$24,MATCH("2018::jama.2018.14280::C007",'C_jama.2018.14280'!$A$2:$A$24,0))="","",INDEX('C_jama.2018.14280'!$Q$2:$Q$24,MATCH("2018::jama.2018.14280::C007",'C_jama.2018.14280'!$A$2:$A$24,0)))</x:f>
      </x:c>
    </x:row>
    <x:row r="30" ht="65" customHeight="1">
      <x:c r="A30" s="6" t="n">
        <x:v>2018</x:v>
      </x:c>
      <x:c r="B30" s="6" t="str">
        <x:v>jama.2018.14280</x:v>
      </x:c>
      <x:c r="C30" s="6" t="str">
        <x:v>2018::jama.2018.14280::C008</x:v>
      </x:c>
      <x:c r="D30" s="6" t="str">
        <x:v>S_W</x:v>
      </x:c>
      <x:c r="E30" s="6" t="n">
        <x:f>Setup!$B$2</x:f>
        <x:v>0</x:v>
      </x:c>
      <x:c r="F30" s="6" t="str">
        <x:f>IF(Setup!$B$4="","",Setup!$B$4)</x:f>
      </x:c>
      <x:c r="G30" s="6" t="str">
        <x:f>IFERROR(INDEX('C_jama.2018.14280'!$G$2:$G$24,MATCH("2018::jama.2018.14280::C008",'C_jama.2018.14280'!$A$2:$A$24,0)),"CHECK KEY")</x:f>
        <x:v>CHECK REVIEWER IDs</x:v>
      </x:c>
      <x:c r="H30" s="6" t="str">
        <x:f>IF(G30&lt;&gt;"FINAL READY","",IF(S30&lt;&gt;"retain","not_eligible",IF(D30="P_R","protocol_descriptive",IF(D30="P_P","plan_descriptive",IF(AND(T30="statistical_results",OR(U30="confirmed_issue",U30="probable_issue"),V30="substantive"),"primary_temporal",IF(AND(T30="report_internal_inconsistency",X30="substantive_inconsistency"),"secondary_temporal","not_eligible"))))))</x:f>
      </x:c>
      <x:c r="I30" s="6" t="str">
        <x:v>retain</x:v>
      </x:c>
      <x:c r="J30" s="6" t="str">
        <x:v>statistical_results</x:v>
      </x:c>
      <x:c r="K30" s="6" t="str">
        <x:f>IF(Setup!$B$6="primary","",IFERROR(IF(INDEX('Primary_snapshot'!$B$2:$B$120,MATCH(C30,'Primary_snapshot'!$A$2:$A$120,0))="","",INDEX('Primary_snapshot'!$B$2:$B$120,MATCH(C30,'Primary_snapshot'!$A$2:$A$120,0))),"SNAPSHOT MISSING"))</x:f>
      </x:c>
      <x:c r="L30" s="6" t="str">
        <x:f>IF(Setup!$B$6="primary","",IFERROR(IF(INDEX('Primary_snapshot'!$C$2:$C$120,MATCH(C30,'Primary_snapshot'!$A$2:$A$120,0))="","",INDEX('Primary_snapshot'!$C$2:$C$120,MATCH(C30,'Primary_snapshot'!$A$2:$A$120,0))),"SNAPSHOT MISSING"))</x:f>
      </x:c>
      <x:c r="M30" s="6" t="str">
        <x:f>IF(Setup!$B$6="primary","",IFERROR(IF(INDEX('Primary_snapshot'!$D$2:$D$120,MATCH(C30,'Primary_snapshot'!$A$2:$A$120,0))="","",INDEX('Primary_snapshot'!$D$2:$D$120,MATCH(C30,'Primary_snapshot'!$A$2:$A$120,0))),"SNAPSHOT MISSING"))</x:f>
      </x:c>
      <x:c r="N30" s="6" t="str">
        <x:f>IF(Setup!$B$6="primary","",IFERROR(IF(INDEX('Primary_snapshot'!$E$2:$E$120,MATCH(C30,'Primary_snapshot'!$A$2:$A$120,0))="","",INDEX('Primary_snapshot'!$E$2:$E$120,MATCH(C30,'Primary_snapshot'!$A$2:$A$120,0))),"SNAPSHOT MISSING"))</x:f>
      </x:c>
      <x:c r="O30" s="6" t="str">
        <x:f>IF(Setup!$B$6="primary","",IFERROR(IF(INDEX('Primary_snapshot'!$F$2:$F$120,MATCH(C30,'Primary_snapshot'!$A$2:$A$120,0))="","",INDEX('Primary_snapshot'!$F$2:$F$120,MATCH(C30,'Primary_snapshot'!$A$2:$A$120,0))),"SNAPSHOT MISSING"))</x:f>
      </x:c>
      <x:c r="P30" s="6" t="str">
        <x:f>IF(Setup!$B$6="primary","",IFERROR(IF(INDEX('Primary_snapshot'!$G$2:$G$120,MATCH(C30,'Primary_snapshot'!$A$2:$A$120,0))="","",INDEX('Primary_snapshot'!$G$2:$G$120,MATCH(C30,'Primary_snapshot'!$A$2:$A$120,0))),"SNAPSHOT MISSING"))</x:f>
      </x:c>
      <x:c r="Q30" s="6" t="str">
        <x:f>IF(Setup!$B$6="primary","",IFERROR(IF(INDEX('Primary_snapshot'!$H$2:$H$120,MATCH(C30,'Primary_snapshot'!$A$2:$A$120,0))="","",INDEX('Primary_snapshot'!$H$2:$H$120,MATCH(C30,'Primary_snapshot'!$A$2:$A$120,0))),"SNAPSHOT MISSING"))</x:f>
      </x:c>
      <x:c r="R30" s="6" t="str">
        <x:f>IF(Setup!$B$6="primary","",IFERROR(IF(INDEX('Primary_snapshot'!$I$2:$I$120,MATCH(C30,'Primary_snapshot'!$A$2:$A$120,0))="","",INDEX('Primary_snapshot'!$I$2:$I$120,MATCH(C30,'Primary_snapshot'!$A$2:$A$120,0))),"SNAPSHOT MISSING"))</x:f>
      </x:c>
      <x:c r="S30" s="6" t="str">
        <x:f>IF(INDEX('C_jama.2018.14280'!$D$2:$D$24,MATCH("2018::jama.2018.14280::C008",'C_jama.2018.14280'!$A$2:$A$24,0))="","",INDEX('C_jama.2018.14280'!$D$2:$D$24,MATCH("2018::jama.2018.14280::C008",'C_jama.2018.14280'!$A$2:$A$24,0)))</x:f>
      </x:c>
      <x:c r="T30" s="6" t="str">
        <x:f>IF(INDEX('C_jama.2018.14280'!$E$2:$E$24,MATCH("2018::jama.2018.14280::C008",'C_jama.2018.14280'!$A$2:$A$24,0))="","",INDEX('C_jama.2018.14280'!$E$2:$E$24,MATCH("2018::jama.2018.14280::C008",'C_jama.2018.14280'!$A$2:$A$24,0)))</x:f>
        <x:v>statistical_results</x:v>
      </x:c>
      <x:c r="U30" s="6" t="str">
        <x:f>IF(AND(INDEX('C_jama.2018.14280'!$D$2:$D$24,MATCH("2018::jama.2018.14280::C008",'C_jama.2018.14280'!$A$2:$A$24,0))="retain",INDEX('C_jama.2018.14280'!$E$2:$E$24,MATCH("2018::jama.2018.14280::C008",'C_jama.2018.14280'!$A$2:$A$24,0))="statistical_results"),IF(INDEX('C_jama.2018.14280'!$H$2:$H$24,MATCH("2018::jama.2018.14280::C008",'C_jama.2018.14280'!$A$2:$A$24,0))="","",INDEX('C_jama.2018.14280'!$H$2:$H$24,MATCH("2018::jama.2018.14280::C008",'C_jama.2018.14280'!$A$2:$A$24,0))),"not_applicable")</x:f>
        <x:v>not_applicable</x:v>
      </x:c>
      <x:c r="V30" s="6" t="str">
        <x:f>IF(AND(INDEX('C_jama.2018.14280'!$D$2:$D$24,MATCH("2018::jama.2018.14280::C008",'C_jama.2018.14280'!$A$2:$A$24,0))="retain",INDEX('C_jama.2018.14280'!$E$2:$E$24,MATCH("2018::jama.2018.14280::C008",'C_jama.2018.14280'!$A$2:$A$24,0))="statistical_results"),IF(INDEX('C_jama.2018.14280'!$I$2:$I$24,MATCH("2018::jama.2018.14280::C008",'C_jama.2018.14280'!$A$2:$A$24,0))="","",INDEX('C_jama.2018.14280'!$I$2:$I$24,MATCH("2018::jama.2018.14280::C008",'C_jama.2018.14280'!$A$2:$A$24,0))),"not_applicable")</x:f>
        <x:v>not_applicable</x:v>
      </x:c>
      <x:c r="W30" s="6" t="str">
        <x:f>IF(AND(INDEX('C_jama.2018.14280'!$D$2:$D$24,MATCH("2018::jama.2018.14280::C008",'C_jama.2018.14280'!$A$2:$A$24,0))="retain",INDEX('C_jama.2018.14280'!$E$2:$E$24,MATCH("2018::jama.2018.14280::C008",'C_jama.2018.14280'!$A$2:$A$24,0))="statistical_results"),IF(INDEX('C_jama.2018.14280'!$J$2:$J$24,MATCH("2018::jama.2018.14280::C008",'C_jama.2018.14280'!$A$2:$A$24,0))="","",INDEX('C_jama.2018.14280'!$J$2:$J$24,MATCH("2018::jama.2018.14280::C008",'C_jama.2018.14280'!$A$2:$A$24,0))),"not_applicable")</x:f>
        <x:v>not_applicable</x:v>
      </x:c>
      <x:c r="X30" s="6" t="str">
        <x:f>IF(AND(INDEX('C_jama.2018.14280'!$D$2:$D$24,MATCH("2018::jama.2018.14280::C008",'C_jama.2018.14280'!$A$2:$A$24,0))="retain",OR(INDEX('C_jama.2018.14280'!$E$2:$E$24,MATCH("2018::jama.2018.14280::C008",'C_jama.2018.14280'!$A$2:$A$24,0))="report_internal_inconsistency",INDEX('C_jama.2018.14280'!$E$2:$E$24,MATCH("2018::jama.2018.14280::C008",'C_jama.2018.14280'!$A$2:$A$24,0))="plan_material")),IF(INDEX('C_jama.2018.14280'!$K$2:$K$24,MATCH("2018::jama.2018.14280::C008",'C_jama.2018.14280'!$A$2:$A$24,0))="","",INDEX('C_jama.2018.14280'!$K$2:$K$24,MATCH("2018::jama.2018.14280::C008",'C_jama.2018.14280'!$A$2:$A$24,0))),"not_applicable")</x:f>
        <x:v>not_applicable</x:v>
      </x:c>
      <x:c r="Y30" s="6" t="str">
        <x:f>IF(AND(INDEX('C_jama.2018.14280'!$D$2:$D$24,MATCH("2018::jama.2018.14280::C008",'C_jama.2018.14280'!$A$2:$A$24,0))="retain",INDEX('C_jama.2018.14280'!$E$2:$E$24,MATCH("2018::jama.2018.14280::C008",'C_jama.2018.14280'!$A$2:$A$24,0))="protocol_report"),IF(INDEX('C_jama.2018.14280'!$L$2:$L$24,MATCH("2018::jama.2018.14280::C008",'C_jama.2018.14280'!$A$2:$A$24,0))="","",INDEX('C_jama.2018.14280'!$L$2:$L$24,MATCH("2018::jama.2018.14280::C008",'C_jama.2018.14280'!$A$2:$A$24,0))),"not_applicable")</x:f>
        <x:v>not_applicable</x:v>
      </x:c>
      <x:c r="Z30" s="6" t="str">
        <x:f>IF(INDEX('C_jama.2018.14280'!$R$2:$R$24,MATCH("2018::jama.2018.14280::C008",'C_jama.2018.14280'!$A$2:$A$24,0))="","",INDEX('C_jama.2018.14280'!$R$2:$R$24,MATCH("2018::jama.2018.14280::C008",'C_jama.2018.14280'!$A$2:$A$24,0)))</x:f>
      </x:c>
      <x:c r="AA30" s="6" t="str">
        <x:f>IF(INDEX('C_jama.2018.14280'!$N$2:$N$24,MATCH("2018::jama.2018.14280::C008",'C_jama.2018.14280'!$A$2:$A$24,0))="","",INDEX('C_jama.2018.14280'!$N$2:$N$24,MATCH("2018::jama.2018.14280::C008",'C_jama.2018.14280'!$A$2:$A$24,0)))</x:f>
      </x:c>
      <x:c r="AB30" s="6" t="str">
        <x:f>IF(INDEX('C_jama.2018.14280'!$O$2:$O$24,MATCH("2018::jama.2018.14280::C008",'C_jama.2018.14280'!$A$2:$A$24,0))="","",INDEX('C_jama.2018.14280'!$O$2:$O$24,MATCH("2018::jama.2018.14280::C008",'C_jama.2018.14280'!$A$2:$A$24,0)))</x:f>
      </x:c>
      <x:c r="AC30" s="6" t="str">
        <x:f>IF(INDEX('C_jama.2018.14280'!$P$2:$P$24,MATCH("2018::jama.2018.14280::C008",'C_jama.2018.14280'!$A$2:$A$24,0))="","",INDEX('C_jama.2018.14280'!$P$2:$P$24,MATCH("2018::jama.2018.14280::C008",'C_jama.2018.14280'!$A$2:$A$24,0)))</x:f>
      </x:c>
      <x:c r="AD30" s="6" t="str">
        <x:f>IF(INDEX('C_jama.2018.14280'!$Q$2:$Q$24,MATCH("2018::jama.2018.14280::C008",'C_jama.2018.14280'!$A$2:$A$24,0))="","",INDEX('C_jama.2018.14280'!$Q$2:$Q$24,MATCH("2018::jama.2018.14280::C008",'C_jama.2018.14280'!$A$2:$A$24,0)))</x:f>
      </x:c>
    </x:row>
    <x:row r="31" ht="65" customHeight="1">
      <x:c r="A31" s="3" t="n">
        <x:v>2018</x:v>
      </x:c>
      <x:c r="B31" s="3" t="str">
        <x:v>jama.2018.14280</x:v>
      </x:c>
      <x:c r="C31" s="3" t="str">
        <x:v>2018::jama.2018.14280::C009</x:v>
      </x:c>
      <x:c r="D31" s="3" t="str">
        <x:v>S_W</x:v>
      </x:c>
      <x:c r="E31" s="3" t="n">
        <x:f>Setup!$B$2</x:f>
        <x:v>0</x:v>
      </x:c>
      <x:c r="F31" s="3" t="str">
        <x:f>IF(Setup!$B$4="","",Setup!$B$4)</x:f>
      </x:c>
      <x:c r="G31" s="3" t="str">
        <x:f>IFERROR(INDEX('C_jama.2018.14280'!$G$2:$G$24,MATCH("2018::jama.2018.14280::C009",'C_jama.2018.14280'!$A$2:$A$24,0)),"CHECK KEY")</x:f>
        <x:v>CHECK REVIEWER IDs</x:v>
      </x:c>
      <x:c r="H31" s="3" t="str">
        <x:f>IF(G31&lt;&gt;"FINAL READY","",IF(S31&lt;&gt;"retain","not_eligible",IF(D31="P_R","protocol_descriptive",IF(D31="P_P","plan_descriptive",IF(AND(T31="statistical_results",OR(U31="confirmed_issue",U31="probable_issue"),V31="substantive"),"primary_temporal",IF(AND(T31="report_internal_inconsistency",X31="substantive_inconsistency"),"secondary_temporal","not_eligible"))))))</x:f>
      </x:c>
      <x:c r="I31" s="3" t="str">
        <x:v>retain</x:v>
      </x:c>
      <x:c r="J31" s="3" t="str">
        <x:v>statistical_results</x:v>
      </x:c>
      <x:c r="K31" s="3" t="str">
        <x:f>IF(Setup!$B$6="primary","",IFERROR(IF(INDEX('Primary_snapshot'!$B$2:$B$120,MATCH(C31,'Primary_snapshot'!$A$2:$A$120,0))="","",INDEX('Primary_snapshot'!$B$2:$B$120,MATCH(C31,'Primary_snapshot'!$A$2:$A$120,0))),"SNAPSHOT MISSING"))</x:f>
      </x:c>
      <x:c r="L31" s="3" t="str">
        <x:f>IF(Setup!$B$6="primary","",IFERROR(IF(INDEX('Primary_snapshot'!$C$2:$C$120,MATCH(C31,'Primary_snapshot'!$A$2:$A$120,0))="","",INDEX('Primary_snapshot'!$C$2:$C$120,MATCH(C31,'Primary_snapshot'!$A$2:$A$120,0))),"SNAPSHOT MISSING"))</x:f>
      </x:c>
      <x:c r="M31" s="3" t="str">
        <x:f>IF(Setup!$B$6="primary","",IFERROR(IF(INDEX('Primary_snapshot'!$D$2:$D$120,MATCH(C31,'Primary_snapshot'!$A$2:$A$120,0))="","",INDEX('Primary_snapshot'!$D$2:$D$120,MATCH(C31,'Primary_snapshot'!$A$2:$A$120,0))),"SNAPSHOT MISSING"))</x:f>
      </x:c>
      <x:c r="N31" s="3" t="str">
        <x:f>IF(Setup!$B$6="primary","",IFERROR(IF(INDEX('Primary_snapshot'!$E$2:$E$120,MATCH(C31,'Primary_snapshot'!$A$2:$A$120,0))="","",INDEX('Primary_snapshot'!$E$2:$E$120,MATCH(C31,'Primary_snapshot'!$A$2:$A$120,0))),"SNAPSHOT MISSING"))</x:f>
      </x:c>
      <x:c r="O31" s="3" t="str">
        <x:f>IF(Setup!$B$6="primary","",IFERROR(IF(INDEX('Primary_snapshot'!$F$2:$F$120,MATCH(C31,'Primary_snapshot'!$A$2:$A$120,0))="","",INDEX('Primary_snapshot'!$F$2:$F$120,MATCH(C31,'Primary_snapshot'!$A$2:$A$120,0))),"SNAPSHOT MISSING"))</x:f>
      </x:c>
      <x:c r="P31" s="3" t="str">
        <x:f>IF(Setup!$B$6="primary","",IFERROR(IF(INDEX('Primary_snapshot'!$G$2:$G$120,MATCH(C31,'Primary_snapshot'!$A$2:$A$120,0))="","",INDEX('Primary_snapshot'!$G$2:$G$120,MATCH(C31,'Primary_snapshot'!$A$2:$A$120,0))),"SNAPSHOT MISSING"))</x:f>
      </x:c>
      <x:c r="Q31" s="3" t="str">
        <x:f>IF(Setup!$B$6="primary","",IFERROR(IF(INDEX('Primary_snapshot'!$H$2:$H$120,MATCH(C31,'Primary_snapshot'!$A$2:$A$120,0))="","",INDEX('Primary_snapshot'!$H$2:$H$120,MATCH(C31,'Primary_snapshot'!$A$2:$A$120,0))),"SNAPSHOT MISSING"))</x:f>
      </x:c>
      <x:c r="R31" s="3" t="str">
        <x:f>IF(Setup!$B$6="primary","",IFERROR(IF(INDEX('Primary_snapshot'!$I$2:$I$120,MATCH(C31,'Primary_snapshot'!$A$2:$A$120,0))="","",INDEX('Primary_snapshot'!$I$2:$I$120,MATCH(C31,'Primary_snapshot'!$A$2:$A$120,0))),"SNAPSHOT MISSING"))</x:f>
      </x:c>
      <x:c r="S31" s="3" t="str">
        <x:f>IF(INDEX('C_jama.2018.14280'!$D$2:$D$24,MATCH("2018::jama.2018.14280::C009",'C_jama.2018.14280'!$A$2:$A$24,0))="","",INDEX('C_jama.2018.14280'!$D$2:$D$24,MATCH("2018::jama.2018.14280::C009",'C_jama.2018.14280'!$A$2:$A$24,0)))</x:f>
      </x:c>
      <x:c r="T31" s="3" t="str">
        <x:f>IF(INDEX('C_jama.2018.14280'!$E$2:$E$24,MATCH("2018::jama.2018.14280::C009",'C_jama.2018.14280'!$A$2:$A$24,0))="","",INDEX('C_jama.2018.14280'!$E$2:$E$24,MATCH("2018::jama.2018.14280::C009",'C_jama.2018.14280'!$A$2:$A$24,0)))</x:f>
        <x:v>statistical_results</x:v>
      </x:c>
      <x:c r="U31" s="3" t="str">
        <x:f>IF(AND(INDEX('C_jama.2018.14280'!$D$2:$D$24,MATCH("2018::jama.2018.14280::C009",'C_jama.2018.14280'!$A$2:$A$24,0))="retain",INDEX('C_jama.2018.14280'!$E$2:$E$24,MATCH("2018::jama.2018.14280::C009",'C_jama.2018.14280'!$A$2:$A$24,0))="statistical_results"),IF(INDEX('C_jama.2018.14280'!$H$2:$H$24,MATCH("2018::jama.2018.14280::C009",'C_jama.2018.14280'!$A$2:$A$24,0))="","",INDEX('C_jama.2018.14280'!$H$2:$H$24,MATCH("2018::jama.2018.14280::C009",'C_jama.2018.14280'!$A$2:$A$24,0))),"not_applicable")</x:f>
        <x:v>not_applicable</x:v>
      </x:c>
      <x:c r="V31" s="3" t="str">
        <x:f>IF(AND(INDEX('C_jama.2018.14280'!$D$2:$D$24,MATCH("2018::jama.2018.14280::C009",'C_jama.2018.14280'!$A$2:$A$24,0))="retain",INDEX('C_jama.2018.14280'!$E$2:$E$24,MATCH("2018::jama.2018.14280::C009",'C_jama.2018.14280'!$A$2:$A$24,0))="statistical_results"),IF(INDEX('C_jama.2018.14280'!$I$2:$I$24,MATCH("2018::jama.2018.14280::C009",'C_jama.2018.14280'!$A$2:$A$24,0))="","",INDEX('C_jama.2018.14280'!$I$2:$I$24,MATCH("2018::jama.2018.14280::C009",'C_jama.2018.14280'!$A$2:$A$24,0))),"not_applicable")</x:f>
        <x:v>not_applicable</x:v>
      </x:c>
      <x:c r="W31" s="3" t="str">
        <x:f>IF(AND(INDEX('C_jama.2018.14280'!$D$2:$D$24,MATCH("2018::jama.2018.14280::C009",'C_jama.2018.14280'!$A$2:$A$24,0))="retain",INDEX('C_jama.2018.14280'!$E$2:$E$24,MATCH("2018::jama.2018.14280::C009",'C_jama.2018.14280'!$A$2:$A$24,0))="statistical_results"),IF(INDEX('C_jama.2018.14280'!$J$2:$J$24,MATCH("2018::jama.2018.14280::C009",'C_jama.2018.14280'!$A$2:$A$24,0))="","",INDEX('C_jama.2018.14280'!$J$2:$J$24,MATCH("2018::jama.2018.14280::C009",'C_jama.2018.14280'!$A$2:$A$24,0))),"not_applicable")</x:f>
        <x:v>not_applicable</x:v>
      </x:c>
      <x:c r="X31" s="3" t="str">
        <x:f>IF(AND(INDEX('C_jama.2018.14280'!$D$2:$D$24,MATCH("2018::jama.2018.14280::C009",'C_jama.2018.14280'!$A$2:$A$24,0))="retain",OR(INDEX('C_jama.2018.14280'!$E$2:$E$24,MATCH("2018::jama.2018.14280::C009",'C_jama.2018.14280'!$A$2:$A$24,0))="report_internal_inconsistency",INDEX('C_jama.2018.14280'!$E$2:$E$24,MATCH("2018::jama.2018.14280::C009",'C_jama.2018.14280'!$A$2:$A$24,0))="plan_material")),IF(INDEX('C_jama.2018.14280'!$K$2:$K$24,MATCH("2018::jama.2018.14280::C009",'C_jama.2018.14280'!$A$2:$A$24,0))="","",INDEX('C_jama.2018.14280'!$K$2:$K$24,MATCH("2018::jama.2018.14280::C009",'C_jama.2018.14280'!$A$2:$A$24,0))),"not_applicable")</x:f>
        <x:v>not_applicable</x:v>
      </x:c>
      <x:c r="Y31" s="3" t="str">
        <x:f>IF(AND(INDEX('C_jama.2018.14280'!$D$2:$D$24,MATCH("2018::jama.2018.14280::C009",'C_jama.2018.14280'!$A$2:$A$24,0))="retain",INDEX('C_jama.2018.14280'!$E$2:$E$24,MATCH("2018::jama.2018.14280::C009",'C_jama.2018.14280'!$A$2:$A$24,0))="protocol_report"),IF(INDEX('C_jama.2018.14280'!$L$2:$L$24,MATCH("2018::jama.2018.14280::C009",'C_jama.2018.14280'!$A$2:$A$24,0))="","",INDEX('C_jama.2018.14280'!$L$2:$L$24,MATCH("2018::jama.2018.14280::C009",'C_jama.2018.14280'!$A$2:$A$24,0))),"not_applicable")</x:f>
        <x:v>not_applicable</x:v>
      </x:c>
      <x:c r="Z31" s="3" t="str">
        <x:f>IF(INDEX('C_jama.2018.14280'!$R$2:$R$24,MATCH("2018::jama.2018.14280::C009",'C_jama.2018.14280'!$A$2:$A$24,0))="","",INDEX('C_jama.2018.14280'!$R$2:$R$24,MATCH("2018::jama.2018.14280::C009",'C_jama.2018.14280'!$A$2:$A$24,0)))</x:f>
      </x:c>
      <x:c r="AA31" s="3" t="str">
        <x:f>IF(INDEX('C_jama.2018.14280'!$N$2:$N$24,MATCH("2018::jama.2018.14280::C009",'C_jama.2018.14280'!$A$2:$A$24,0))="","",INDEX('C_jama.2018.14280'!$N$2:$N$24,MATCH("2018::jama.2018.14280::C009",'C_jama.2018.14280'!$A$2:$A$24,0)))</x:f>
      </x:c>
      <x:c r="AB31" s="3" t="str">
        <x:f>IF(INDEX('C_jama.2018.14280'!$O$2:$O$24,MATCH("2018::jama.2018.14280::C009",'C_jama.2018.14280'!$A$2:$A$24,0))="","",INDEX('C_jama.2018.14280'!$O$2:$O$24,MATCH("2018::jama.2018.14280::C009",'C_jama.2018.14280'!$A$2:$A$24,0)))</x:f>
      </x:c>
      <x:c r="AC31" s="3" t="str">
        <x:f>IF(INDEX('C_jama.2018.14280'!$P$2:$P$24,MATCH("2018::jama.2018.14280::C009",'C_jama.2018.14280'!$A$2:$A$24,0))="","",INDEX('C_jama.2018.14280'!$P$2:$P$24,MATCH("2018::jama.2018.14280::C009",'C_jama.2018.14280'!$A$2:$A$24,0)))</x:f>
      </x:c>
      <x:c r="AD31" s="3" t="str">
        <x:f>IF(INDEX('C_jama.2018.14280'!$Q$2:$Q$24,MATCH("2018::jama.2018.14280::C009",'C_jama.2018.14280'!$A$2:$A$24,0))="","",INDEX('C_jama.2018.14280'!$Q$2:$Q$24,MATCH("2018::jama.2018.14280::C009",'C_jama.2018.14280'!$A$2:$A$24,0)))</x:f>
      </x:c>
    </x:row>
    <x:row r="32" ht="65" customHeight="1">
      <x:c r="A32" s="6" t="n">
        <x:v>2018</x:v>
      </x:c>
      <x:c r="B32" s="6" t="str">
        <x:v>jama.2018.14280</x:v>
      </x:c>
      <x:c r="C32" s="6" t="str">
        <x:v>2018::jama.2018.14280::C010</x:v>
      </x:c>
      <x:c r="D32" s="6" t="str">
        <x:v>S_W</x:v>
      </x:c>
      <x:c r="E32" s="6" t="n">
        <x:f>Setup!$B$2</x:f>
        <x:v>0</x:v>
      </x:c>
      <x:c r="F32" s="6" t="str">
        <x:f>IF(Setup!$B$4="","",Setup!$B$4)</x:f>
      </x:c>
      <x:c r="G32" s="6" t="str">
        <x:f>IFERROR(INDEX('C_jama.2018.14280'!$G$2:$G$24,MATCH("2018::jama.2018.14280::C010",'C_jama.2018.14280'!$A$2:$A$24,0)),"CHECK KEY")</x:f>
        <x:v>CHECK REVIEWER IDs</x:v>
      </x:c>
      <x:c r="H32" s="6" t="str">
        <x:f>IF(G32&lt;&gt;"FINAL READY","",IF(S32&lt;&gt;"retain","not_eligible",IF(D32="P_R","protocol_descriptive",IF(D32="P_P","plan_descriptive",IF(AND(T32="statistical_results",OR(U32="confirmed_issue",U32="probable_issue"),V32="substantive"),"primary_temporal",IF(AND(T32="report_internal_inconsistency",X32="substantive_inconsistency"),"secondary_temporal","not_eligible"))))))</x:f>
      </x:c>
      <x:c r="I32" s="6" t="str">
        <x:v>retain</x:v>
      </x:c>
      <x:c r="J32" s="6" t="str">
        <x:v>statistical_results</x:v>
      </x:c>
      <x:c r="K32" s="6" t="str">
        <x:f>IF(Setup!$B$6="primary","",IFERROR(IF(INDEX('Primary_snapshot'!$B$2:$B$120,MATCH(C32,'Primary_snapshot'!$A$2:$A$120,0))="","",INDEX('Primary_snapshot'!$B$2:$B$120,MATCH(C32,'Primary_snapshot'!$A$2:$A$120,0))),"SNAPSHOT MISSING"))</x:f>
      </x:c>
      <x:c r="L32" s="6" t="str">
        <x:f>IF(Setup!$B$6="primary","",IFERROR(IF(INDEX('Primary_snapshot'!$C$2:$C$120,MATCH(C32,'Primary_snapshot'!$A$2:$A$120,0))="","",INDEX('Primary_snapshot'!$C$2:$C$120,MATCH(C32,'Primary_snapshot'!$A$2:$A$120,0))),"SNAPSHOT MISSING"))</x:f>
      </x:c>
      <x:c r="M32" s="6" t="str">
        <x:f>IF(Setup!$B$6="primary","",IFERROR(IF(INDEX('Primary_snapshot'!$D$2:$D$120,MATCH(C32,'Primary_snapshot'!$A$2:$A$120,0))="","",INDEX('Primary_snapshot'!$D$2:$D$120,MATCH(C32,'Primary_snapshot'!$A$2:$A$120,0))),"SNAPSHOT MISSING"))</x:f>
      </x:c>
      <x:c r="N32" s="6" t="str">
        <x:f>IF(Setup!$B$6="primary","",IFERROR(IF(INDEX('Primary_snapshot'!$E$2:$E$120,MATCH(C32,'Primary_snapshot'!$A$2:$A$120,0))="","",INDEX('Primary_snapshot'!$E$2:$E$120,MATCH(C32,'Primary_snapshot'!$A$2:$A$120,0))),"SNAPSHOT MISSING"))</x:f>
      </x:c>
      <x:c r="O32" s="6" t="str">
        <x:f>IF(Setup!$B$6="primary","",IFERROR(IF(INDEX('Primary_snapshot'!$F$2:$F$120,MATCH(C32,'Primary_snapshot'!$A$2:$A$120,0))="","",INDEX('Primary_snapshot'!$F$2:$F$120,MATCH(C32,'Primary_snapshot'!$A$2:$A$120,0))),"SNAPSHOT MISSING"))</x:f>
      </x:c>
      <x:c r="P32" s="6" t="str">
        <x:f>IF(Setup!$B$6="primary","",IFERROR(IF(INDEX('Primary_snapshot'!$G$2:$G$120,MATCH(C32,'Primary_snapshot'!$A$2:$A$120,0))="","",INDEX('Primary_snapshot'!$G$2:$G$120,MATCH(C32,'Primary_snapshot'!$A$2:$A$120,0))),"SNAPSHOT MISSING"))</x:f>
      </x:c>
      <x:c r="Q32" s="6" t="str">
        <x:f>IF(Setup!$B$6="primary","",IFERROR(IF(INDEX('Primary_snapshot'!$H$2:$H$120,MATCH(C32,'Primary_snapshot'!$A$2:$A$120,0))="","",INDEX('Primary_snapshot'!$H$2:$H$120,MATCH(C32,'Primary_snapshot'!$A$2:$A$120,0))),"SNAPSHOT MISSING"))</x:f>
      </x:c>
      <x:c r="R32" s="6" t="str">
        <x:f>IF(Setup!$B$6="primary","",IFERROR(IF(INDEX('Primary_snapshot'!$I$2:$I$120,MATCH(C32,'Primary_snapshot'!$A$2:$A$120,0))="","",INDEX('Primary_snapshot'!$I$2:$I$120,MATCH(C32,'Primary_snapshot'!$A$2:$A$120,0))),"SNAPSHOT MISSING"))</x:f>
      </x:c>
      <x:c r="S32" s="6" t="str">
        <x:f>IF(INDEX('C_jama.2018.14280'!$D$2:$D$24,MATCH("2018::jama.2018.14280::C010",'C_jama.2018.14280'!$A$2:$A$24,0))="","",INDEX('C_jama.2018.14280'!$D$2:$D$24,MATCH("2018::jama.2018.14280::C010",'C_jama.2018.14280'!$A$2:$A$24,0)))</x:f>
      </x:c>
      <x:c r="T32" s="6" t="str">
        <x:f>IF(INDEX('C_jama.2018.14280'!$E$2:$E$24,MATCH("2018::jama.2018.14280::C010",'C_jama.2018.14280'!$A$2:$A$24,0))="","",INDEX('C_jama.2018.14280'!$E$2:$E$24,MATCH("2018::jama.2018.14280::C010",'C_jama.2018.14280'!$A$2:$A$24,0)))</x:f>
        <x:v>statistical_results</x:v>
      </x:c>
      <x:c r="U32" s="6" t="str">
        <x:f>IF(AND(INDEX('C_jama.2018.14280'!$D$2:$D$24,MATCH("2018::jama.2018.14280::C010",'C_jama.2018.14280'!$A$2:$A$24,0))="retain",INDEX('C_jama.2018.14280'!$E$2:$E$24,MATCH("2018::jama.2018.14280::C010",'C_jama.2018.14280'!$A$2:$A$24,0))="statistical_results"),IF(INDEX('C_jama.2018.14280'!$H$2:$H$24,MATCH("2018::jama.2018.14280::C010",'C_jama.2018.14280'!$A$2:$A$24,0))="","",INDEX('C_jama.2018.14280'!$H$2:$H$24,MATCH("2018::jama.2018.14280::C010",'C_jama.2018.14280'!$A$2:$A$24,0))),"not_applicable")</x:f>
        <x:v>not_applicable</x:v>
      </x:c>
      <x:c r="V32" s="6" t="str">
        <x:f>IF(AND(INDEX('C_jama.2018.14280'!$D$2:$D$24,MATCH("2018::jama.2018.14280::C010",'C_jama.2018.14280'!$A$2:$A$24,0))="retain",INDEX('C_jama.2018.14280'!$E$2:$E$24,MATCH("2018::jama.2018.14280::C010",'C_jama.2018.14280'!$A$2:$A$24,0))="statistical_results"),IF(INDEX('C_jama.2018.14280'!$I$2:$I$24,MATCH("2018::jama.2018.14280::C010",'C_jama.2018.14280'!$A$2:$A$24,0))="","",INDEX('C_jama.2018.14280'!$I$2:$I$24,MATCH("2018::jama.2018.14280::C010",'C_jama.2018.14280'!$A$2:$A$24,0))),"not_applicable")</x:f>
        <x:v>not_applicable</x:v>
      </x:c>
      <x:c r="W32" s="6" t="str">
        <x:f>IF(AND(INDEX('C_jama.2018.14280'!$D$2:$D$24,MATCH("2018::jama.2018.14280::C010",'C_jama.2018.14280'!$A$2:$A$24,0))="retain",INDEX('C_jama.2018.14280'!$E$2:$E$24,MATCH("2018::jama.2018.14280::C010",'C_jama.2018.14280'!$A$2:$A$24,0))="statistical_results"),IF(INDEX('C_jama.2018.14280'!$J$2:$J$24,MATCH("2018::jama.2018.14280::C010",'C_jama.2018.14280'!$A$2:$A$24,0))="","",INDEX('C_jama.2018.14280'!$J$2:$J$24,MATCH("2018::jama.2018.14280::C010",'C_jama.2018.14280'!$A$2:$A$24,0))),"not_applicable")</x:f>
        <x:v>not_applicable</x:v>
      </x:c>
      <x:c r="X32" s="6" t="str">
        <x:f>IF(AND(INDEX('C_jama.2018.14280'!$D$2:$D$24,MATCH("2018::jama.2018.14280::C010",'C_jama.2018.14280'!$A$2:$A$24,0))="retain",OR(INDEX('C_jama.2018.14280'!$E$2:$E$24,MATCH("2018::jama.2018.14280::C010",'C_jama.2018.14280'!$A$2:$A$24,0))="report_internal_inconsistency",INDEX('C_jama.2018.14280'!$E$2:$E$24,MATCH("2018::jama.2018.14280::C010",'C_jama.2018.14280'!$A$2:$A$24,0))="plan_material")),IF(INDEX('C_jama.2018.14280'!$K$2:$K$24,MATCH("2018::jama.2018.14280::C010",'C_jama.2018.14280'!$A$2:$A$24,0))="","",INDEX('C_jama.2018.14280'!$K$2:$K$24,MATCH("2018::jama.2018.14280::C010",'C_jama.2018.14280'!$A$2:$A$24,0))),"not_applicable")</x:f>
        <x:v>not_applicable</x:v>
      </x:c>
      <x:c r="Y32" s="6" t="str">
        <x:f>IF(AND(INDEX('C_jama.2018.14280'!$D$2:$D$24,MATCH("2018::jama.2018.14280::C010",'C_jama.2018.14280'!$A$2:$A$24,0))="retain",INDEX('C_jama.2018.14280'!$E$2:$E$24,MATCH("2018::jama.2018.14280::C010",'C_jama.2018.14280'!$A$2:$A$24,0))="protocol_report"),IF(INDEX('C_jama.2018.14280'!$L$2:$L$24,MATCH("2018::jama.2018.14280::C010",'C_jama.2018.14280'!$A$2:$A$24,0))="","",INDEX('C_jama.2018.14280'!$L$2:$L$24,MATCH("2018::jama.2018.14280::C010",'C_jama.2018.14280'!$A$2:$A$24,0))),"not_applicable")</x:f>
        <x:v>not_applicable</x:v>
      </x:c>
      <x:c r="Z32" s="6" t="str">
        <x:f>IF(INDEX('C_jama.2018.14280'!$R$2:$R$24,MATCH("2018::jama.2018.14280::C010",'C_jama.2018.14280'!$A$2:$A$24,0))="","",INDEX('C_jama.2018.14280'!$R$2:$R$24,MATCH("2018::jama.2018.14280::C010",'C_jama.2018.14280'!$A$2:$A$24,0)))</x:f>
      </x:c>
      <x:c r="AA32" s="6" t="str">
        <x:f>IF(INDEX('C_jama.2018.14280'!$N$2:$N$24,MATCH("2018::jama.2018.14280::C010",'C_jama.2018.14280'!$A$2:$A$24,0))="","",INDEX('C_jama.2018.14280'!$N$2:$N$24,MATCH("2018::jama.2018.14280::C010",'C_jama.2018.14280'!$A$2:$A$24,0)))</x:f>
      </x:c>
      <x:c r="AB32" s="6" t="str">
        <x:f>IF(INDEX('C_jama.2018.14280'!$O$2:$O$24,MATCH("2018::jama.2018.14280::C010",'C_jama.2018.14280'!$A$2:$A$24,0))="","",INDEX('C_jama.2018.14280'!$O$2:$O$24,MATCH("2018::jama.2018.14280::C010",'C_jama.2018.14280'!$A$2:$A$24,0)))</x:f>
      </x:c>
      <x:c r="AC32" s="6" t="str">
        <x:f>IF(INDEX('C_jama.2018.14280'!$P$2:$P$24,MATCH("2018::jama.2018.14280::C010",'C_jama.2018.14280'!$A$2:$A$24,0))="","",INDEX('C_jama.2018.14280'!$P$2:$P$24,MATCH("2018::jama.2018.14280::C010",'C_jama.2018.14280'!$A$2:$A$24,0)))</x:f>
      </x:c>
      <x:c r="AD32" s="6" t="str">
        <x:f>IF(INDEX('C_jama.2018.14280'!$Q$2:$Q$24,MATCH("2018::jama.2018.14280::C010",'C_jama.2018.14280'!$A$2:$A$24,0))="","",INDEX('C_jama.2018.14280'!$Q$2:$Q$24,MATCH("2018::jama.2018.14280::C010",'C_jama.2018.14280'!$A$2:$A$24,0)))</x:f>
      </x:c>
    </x:row>
    <x:row r="33" ht="65" customHeight="1">
      <x:c r="A33" s="3" t="n">
        <x:v>2018</x:v>
      </x:c>
      <x:c r="B33" s="3" t="str">
        <x:v>jama.2018.14280</x:v>
      </x:c>
      <x:c r="C33" s="3" t="str">
        <x:v>2018::jama.2018.14280::C011</x:v>
      </x:c>
      <x:c r="D33" s="3" t="str">
        <x:v>S_W</x:v>
      </x:c>
      <x:c r="E33" s="3" t="n">
        <x:f>Setup!$B$2</x:f>
        <x:v>0</x:v>
      </x:c>
      <x:c r="F33" s="3" t="str">
        <x:f>IF(Setup!$B$4="","",Setup!$B$4)</x:f>
      </x:c>
      <x:c r="G33" s="3" t="str">
        <x:f>IFERROR(INDEX('C_jama.2018.14280'!$G$2:$G$24,MATCH("2018::jama.2018.14280::C011",'C_jama.2018.14280'!$A$2:$A$24,0)),"CHECK KEY")</x:f>
        <x:v>CHECK REVIEWER IDs</x:v>
      </x:c>
      <x:c r="H33" s="3" t="str">
        <x:f>IF(G33&lt;&gt;"FINAL READY","",IF(S33&lt;&gt;"retain","not_eligible",IF(D33="P_R","protocol_descriptive",IF(D33="P_P","plan_descriptive",IF(AND(T33="statistical_results",OR(U33="confirmed_issue",U33="probable_issue"),V33="substantive"),"primary_temporal",IF(AND(T33="report_internal_inconsistency",X33="substantive_inconsistency"),"secondary_temporal","not_eligible"))))))</x:f>
      </x:c>
      <x:c r="I33" s="3" t="str">
        <x:v>retain</x:v>
      </x:c>
      <x:c r="J33" s="3" t="str">
        <x:v>report_internal_inconsistency</x:v>
      </x:c>
      <x:c r="K33" s="3" t="str">
        <x:f>IF(Setup!$B$6="primary","",IFERROR(IF(INDEX('Primary_snapshot'!$B$2:$B$120,MATCH(C33,'Primary_snapshot'!$A$2:$A$120,0))="","",INDEX('Primary_snapshot'!$B$2:$B$120,MATCH(C33,'Primary_snapshot'!$A$2:$A$120,0))),"SNAPSHOT MISSING"))</x:f>
      </x:c>
      <x:c r="L33" s="3" t="str">
        <x:f>IF(Setup!$B$6="primary","",IFERROR(IF(INDEX('Primary_snapshot'!$C$2:$C$120,MATCH(C33,'Primary_snapshot'!$A$2:$A$120,0))="","",INDEX('Primary_snapshot'!$C$2:$C$120,MATCH(C33,'Primary_snapshot'!$A$2:$A$120,0))),"SNAPSHOT MISSING"))</x:f>
      </x:c>
      <x:c r="M33" s="3" t="str">
        <x:f>IF(Setup!$B$6="primary","",IFERROR(IF(INDEX('Primary_snapshot'!$D$2:$D$120,MATCH(C33,'Primary_snapshot'!$A$2:$A$120,0))="","",INDEX('Primary_snapshot'!$D$2:$D$120,MATCH(C33,'Primary_snapshot'!$A$2:$A$120,0))),"SNAPSHOT MISSING"))</x:f>
      </x:c>
      <x:c r="N33" s="3" t="str">
        <x:f>IF(Setup!$B$6="primary","",IFERROR(IF(INDEX('Primary_snapshot'!$E$2:$E$120,MATCH(C33,'Primary_snapshot'!$A$2:$A$120,0))="","",INDEX('Primary_snapshot'!$E$2:$E$120,MATCH(C33,'Primary_snapshot'!$A$2:$A$120,0))),"SNAPSHOT MISSING"))</x:f>
      </x:c>
      <x:c r="O33" s="3" t="str">
        <x:f>IF(Setup!$B$6="primary","",IFERROR(IF(INDEX('Primary_snapshot'!$F$2:$F$120,MATCH(C33,'Primary_snapshot'!$A$2:$A$120,0))="","",INDEX('Primary_snapshot'!$F$2:$F$120,MATCH(C33,'Primary_snapshot'!$A$2:$A$120,0))),"SNAPSHOT MISSING"))</x:f>
      </x:c>
      <x:c r="P33" s="3" t="str">
        <x:f>IF(Setup!$B$6="primary","",IFERROR(IF(INDEX('Primary_snapshot'!$G$2:$G$120,MATCH(C33,'Primary_snapshot'!$A$2:$A$120,0))="","",INDEX('Primary_snapshot'!$G$2:$G$120,MATCH(C33,'Primary_snapshot'!$A$2:$A$120,0))),"SNAPSHOT MISSING"))</x:f>
      </x:c>
      <x:c r="Q33" s="3" t="str">
        <x:f>IF(Setup!$B$6="primary","",IFERROR(IF(INDEX('Primary_snapshot'!$H$2:$H$120,MATCH(C33,'Primary_snapshot'!$A$2:$A$120,0))="","",INDEX('Primary_snapshot'!$H$2:$H$120,MATCH(C33,'Primary_snapshot'!$A$2:$A$120,0))),"SNAPSHOT MISSING"))</x:f>
      </x:c>
      <x:c r="R33" s="3" t="str">
        <x:f>IF(Setup!$B$6="primary","",IFERROR(IF(INDEX('Primary_snapshot'!$I$2:$I$120,MATCH(C33,'Primary_snapshot'!$A$2:$A$120,0))="","",INDEX('Primary_snapshot'!$I$2:$I$120,MATCH(C33,'Primary_snapshot'!$A$2:$A$120,0))),"SNAPSHOT MISSING"))</x:f>
      </x:c>
      <x:c r="S33" s="3" t="str">
        <x:f>IF(INDEX('C_jama.2018.14280'!$D$2:$D$24,MATCH("2018::jama.2018.14280::C011",'C_jama.2018.14280'!$A$2:$A$24,0))="","",INDEX('C_jama.2018.14280'!$D$2:$D$24,MATCH("2018::jama.2018.14280::C011",'C_jama.2018.14280'!$A$2:$A$24,0)))</x:f>
      </x:c>
      <x:c r="T33" s="3" t="str">
        <x:f>IF(INDEX('C_jama.2018.14280'!$E$2:$E$24,MATCH("2018::jama.2018.14280::C011",'C_jama.2018.14280'!$A$2:$A$24,0))="","",INDEX('C_jama.2018.14280'!$E$2:$E$24,MATCH("2018::jama.2018.14280::C011",'C_jama.2018.14280'!$A$2:$A$24,0)))</x:f>
        <x:v>report_internal_inconsistency</x:v>
      </x:c>
      <x:c r="U33" s="3" t="str">
        <x:f>IF(AND(INDEX('C_jama.2018.14280'!$D$2:$D$24,MATCH("2018::jama.2018.14280::C011",'C_jama.2018.14280'!$A$2:$A$24,0))="retain",INDEX('C_jama.2018.14280'!$E$2:$E$24,MATCH("2018::jama.2018.14280::C011",'C_jama.2018.14280'!$A$2:$A$24,0))="statistical_results"),IF(INDEX('C_jama.2018.14280'!$H$2:$H$24,MATCH("2018::jama.2018.14280::C011",'C_jama.2018.14280'!$A$2:$A$24,0))="","",INDEX('C_jama.2018.14280'!$H$2:$H$24,MATCH("2018::jama.2018.14280::C011",'C_jama.2018.14280'!$A$2:$A$24,0))),"not_applicable")</x:f>
        <x:v>not_applicable</x:v>
      </x:c>
      <x:c r="V33" s="3" t="str">
        <x:f>IF(AND(INDEX('C_jama.2018.14280'!$D$2:$D$24,MATCH("2018::jama.2018.14280::C011",'C_jama.2018.14280'!$A$2:$A$24,0))="retain",INDEX('C_jama.2018.14280'!$E$2:$E$24,MATCH("2018::jama.2018.14280::C011",'C_jama.2018.14280'!$A$2:$A$24,0))="statistical_results"),IF(INDEX('C_jama.2018.14280'!$I$2:$I$24,MATCH("2018::jama.2018.14280::C011",'C_jama.2018.14280'!$A$2:$A$24,0))="","",INDEX('C_jama.2018.14280'!$I$2:$I$24,MATCH("2018::jama.2018.14280::C011",'C_jama.2018.14280'!$A$2:$A$24,0))),"not_applicable")</x:f>
        <x:v>not_applicable</x:v>
      </x:c>
      <x:c r="W33" s="3" t="str">
        <x:f>IF(AND(INDEX('C_jama.2018.14280'!$D$2:$D$24,MATCH("2018::jama.2018.14280::C011",'C_jama.2018.14280'!$A$2:$A$24,0))="retain",INDEX('C_jama.2018.14280'!$E$2:$E$24,MATCH("2018::jama.2018.14280::C011",'C_jama.2018.14280'!$A$2:$A$24,0))="statistical_results"),IF(INDEX('C_jama.2018.14280'!$J$2:$J$24,MATCH("2018::jama.2018.14280::C011",'C_jama.2018.14280'!$A$2:$A$24,0))="","",INDEX('C_jama.2018.14280'!$J$2:$J$24,MATCH("2018::jama.2018.14280::C011",'C_jama.2018.14280'!$A$2:$A$24,0))),"not_applicable")</x:f>
        <x:v>not_applicable</x:v>
      </x:c>
      <x:c r="X33" s="3" t="str">
        <x:f>IF(AND(INDEX('C_jama.2018.14280'!$D$2:$D$24,MATCH("2018::jama.2018.14280::C011",'C_jama.2018.14280'!$A$2:$A$24,0))="retain",OR(INDEX('C_jama.2018.14280'!$E$2:$E$24,MATCH("2018::jama.2018.14280::C011",'C_jama.2018.14280'!$A$2:$A$24,0))="report_internal_inconsistency",INDEX('C_jama.2018.14280'!$E$2:$E$24,MATCH("2018::jama.2018.14280::C011",'C_jama.2018.14280'!$A$2:$A$24,0))="plan_material")),IF(INDEX('C_jama.2018.14280'!$K$2:$K$24,MATCH("2018::jama.2018.14280::C011",'C_jama.2018.14280'!$A$2:$A$24,0))="","",INDEX('C_jama.2018.14280'!$K$2:$K$24,MATCH("2018::jama.2018.14280::C011",'C_jama.2018.14280'!$A$2:$A$24,0))),"not_applicable")</x:f>
        <x:v>not_applicable</x:v>
      </x:c>
      <x:c r="Y33" s="3" t="str">
        <x:f>IF(AND(INDEX('C_jama.2018.14280'!$D$2:$D$24,MATCH("2018::jama.2018.14280::C011",'C_jama.2018.14280'!$A$2:$A$24,0))="retain",INDEX('C_jama.2018.14280'!$E$2:$E$24,MATCH("2018::jama.2018.14280::C011",'C_jama.2018.14280'!$A$2:$A$24,0))="protocol_report"),IF(INDEX('C_jama.2018.14280'!$L$2:$L$24,MATCH("2018::jama.2018.14280::C011",'C_jama.2018.14280'!$A$2:$A$24,0))="","",INDEX('C_jama.2018.14280'!$L$2:$L$24,MATCH("2018::jama.2018.14280::C011",'C_jama.2018.14280'!$A$2:$A$24,0))),"not_applicable")</x:f>
        <x:v>not_applicable</x:v>
      </x:c>
      <x:c r="Z33" s="3" t="str">
        <x:f>IF(INDEX('C_jama.2018.14280'!$R$2:$R$24,MATCH("2018::jama.2018.14280::C011",'C_jama.2018.14280'!$A$2:$A$24,0))="","",INDEX('C_jama.2018.14280'!$R$2:$R$24,MATCH("2018::jama.2018.14280::C011",'C_jama.2018.14280'!$A$2:$A$24,0)))</x:f>
      </x:c>
      <x:c r="AA33" s="3" t="str">
        <x:f>IF(INDEX('C_jama.2018.14280'!$N$2:$N$24,MATCH("2018::jama.2018.14280::C011",'C_jama.2018.14280'!$A$2:$A$24,0))="","",INDEX('C_jama.2018.14280'!$N$2:$N$24,MATCH("2018::jama.2018.14280::C011",'C_jama.2018.14280'!$A$2:$A$24,0)))</x:f>
      </x:c>
      <x:c r="AB33" s="3" t="str">
        <x:f>IF(INDEX('C_jama.2018.14280'!$O$2:$O$24,MATCH("2018::jama.2018.14280::C011",'C_jama.2018.14280'!$A$2:$A$24,0))="","",INDEX('C_jama.2018.14280'!$O$2:$O$24,MATCH("2018::jama.2018.14280::C011",'C_jama.2018.14280'!$A$2:$A$24,0)))</x:f>
      </x:c>
      <x:c r="AC33" s="3" t="str">
        <x:f>IF(INDEX('C_jama.2018.14280'!$P$2:$P$24,MATCH("2018::jama.2018.14280::C011",'C_jama.2018.14280'!$A$2:$A$24,0))="","",INDEX('C_jama.2018.14280'!$P$2:$P$24,MATCH("2018::jama.2018.14280::C011",'C_jama.2018.14280'!$A$2:$A$24,0)))</x:f>
      </x:c>
      <x:c r="AD33" s="3" t="str">
        <x:f>IF(INDEX('C_jama.2018.14280'!$Q$2:$Q$24,MATCH("2018::jama.2018.14280::C011",'C_jama.2018.14280'!$A$2:$A$24,0))="","",INDEX('C_jama.2018.14280'!$Q$2:$Q$24,MATCH("2018::jama.2018.14280::C011",'C_jama.2018.14280'!$A$2:$A$24,0)))</x:f>
      </x:c>
    </x:row>
    <x:row r="34" ht="65" customHeight="1">
      <x:c r="A34" s="6" t="n">
        <x:v>2018</x:v>
      </x:c>
      <x:c r="B34" s="6" t="str">
        <x:v>jama.2018.14280</x:v>
      </x:c>
      <x:c r="C34" s="6" t="str">
        <x:v>2018::jama.2018.14280::C012</x:v>
      </x:c>
      <x:c r="D34" s="6" t="str">
        <x:v>S_W</x:v>
      </x:c>
      <x:c r="E34" s="6" t="n">
        <x:f>Setup!$B$2</x:f>
        <x:v>0</x:v>
      </x:c>
      <x:c r="F34" s="6" t="str">
        <x:f>IF(Setup!$B$4="","",Setup!$B$4)</x:f>
      </x:c>
      <x:c r="G34" s="6" t="str">
        <x:f>IFERROR(INDEX('C_jama.2018.14280'!$G$2:$G$24,MATCH("2018::jama.2018.14280::C012",'C_jama.2018.14280'!$A$2:$A$24,0)),"CHECK KEY")</x:f>
        <x:v>CHECK REVIEWER IDs</x:v>
      </x:c>
      <x:c r="H34" s="6" t="str">
        <x:f>IF(G34&lt;&gt;"FINAL READY","",IF(S34&lt;&gt;"retain","not_eligible",IF(D34="P_R","protocol_descriptive",IF(D34="P_P","plan_descriptive",IF(AND(T34="statistical_results",OR(U34="confirmed_issue",U34="probable_issue"),V34="substantive"),"primary_temporal",IF(AND(T34="report_internal_inconsistency",X34="substantive_inconsistency"),"secondary_temporal","not_eligible"))))))</x:f>
      </x:c>
      <x:c r="I34" s="6" t="str">
        <x:v>retain</x:v>
      </x:c>
      <x:c r="J34" s="6" t="str">
        <x:v>statistical_results</x:v>
      </x:c>
      <x:c r="K34" s="6" t="str">
        <x:f>IF(Setup!$B$6="primary","",IFERROR(IF(INDEX('Primary_snapshot'!$B$2:$B$120,MATCH(C34,'Primary_snapshot'!$A$2:$A$120,0))="","",INDEX('Primary_snapshot'!$B$2:$B$120,MATCH(C34,'Primary_snapshot'!$A$2:$A$120,0))),"SNAPSHOT MISSING"))</x:f>
      </x:c>
      <x:c r="L34" s="6" t="str">
        <x:f>IF(Setup!$B$6="primary","",IFERROR(IF(INDEX('Primary_snapshot'!$C$2:$C$120,MATCH(C34,'Primary_snapshot'!$A$2:$A$120,0))="","",INDEX('Primary_snapshot'!$C$2:$C$120,MATCH(C34,'Primary_snapshot'!$A$2:$A$120,0))),"SNAPSHOT MISSING"))</x:f>
      </x:c>
      <x:c r="M34" s="6" t="str">
        <x:f>IF(Setup!$B$6="primary","",IFERROR(IF(INDEX('Primary_snapshot'!$D$2:$D$120,MATCH(C34,'Primary_snapshot'!$A$2:$A$120,0))="","",INDEX('Primary_snapshot'!$D$2:$D$120,MATCH(C34,'Primary_snapshot'!$A$2:$A$120,0))),"SNAPSHOT MISSING"))</x:f>
      </x:c>
      <x:c r="N34" s="6" t="str">
        <x:f>IF(Setup!$B$6="primary","",IFERROR(IF(INDEX('Primary_snapshot'!$E$2:$E$120,MATCH(C34,'Primary_snapshot'!$A$2:$A$120,0))="","",INDEX('Primary_snapshot'!$E$2:$E$120,MATCH(C34,'Primary_snapshot'!$A$2:$A$120,0))),"SNAPSHOT MISSING"))</x:f>
      </x:c>
      <x:c r="O34" s="6" t="str">
        <x:f>IF(Setup!$B$6="primary","",IFERROR(IF(INDEX('Primary_snapshot'!$F$2:$F$120,MATCH(C34,'Primary_snapshot'!$A$2:$A$120,0))="","",INDEX('Primary_snapshot'!$F$2:$F$120,MATCH(C34,'Primary_snapshot'!$A$2:$A$120,0))),"SNAPSHOT MISSING"))</x:f>
      </x:c>
      <x:c r="P34" s="6" t="str">
        <x:f>IF(Setup!$B$6="primary","",IFERROR(IF(INDEX('Primary_snapshot'!$G$2:$G$120,MATCH(C34,'Primary_snapshot'!$A$2:$A$120,0))="","",INDEX('Primary_snapshot'!$G$2:$G$120,MATCH(C34,'Primary_snapshot'!$A$2:$A$120,0))),"SNAPSHOT MISSING"))</x:f>
      </x:c>
      <x:c r="Q34" s="6" t="str">
        <x:f>IF(Setup!$B$6="primary","",IFERROR(IF(INDEX('Primary_snapshot'!$H$2:$H$120,MATCH(C34,'Primary_snapshot'!$A$2:$A$120,0))="","",INDEX('Primary_snapshot'!$H$2:$H$120,MATCH(C34,'Primary_snapshot'!$A$2:$A$120,0))),"SNAPSHOT MISSING"))</x:f>
      </x:c>
      <x:c r="R34" s="6" t="str">
        <x:f>IF(Setup!$B$6="primary","",IFERROR(IF(INDEX('Primary_snapshot'!$I$2:$I$120,MATCH(C34,'Primary_snapshot'!$A$2:$A$120,0))="","",INDEX('Primary_snapshot'!$I$2:$I$120,MATCH(C34,'Primary_snapshot'!$A$2:$A$120,0))),"SNAPSHOT MISSING"))</x:f>
      </x:c>
      <x:c r="S34" s="6" t="str">
        <x:f>IF(INDEX('C_jama.2018.14280'!$D$2:$D$24,MATCH("2018::jama.2018.14280::C012",'C_jama.2018.14280'!$A$2:$A$24,0))="","",INDEX('C_jama.2018.14280'!$D$2:$D$24,MATCH("2018::jama.2018.14280::C012",'C_jama.2018.14280'!$A$2:$A$24,0)))</x:f>
      </x:c>
      <x:c r="T34" s="6" t="str">
        <x:f>IF(INDEX('C_jama.2018.14280'!$E$2:$E$24,MATCH("2018::jama.2018.14280::C012",'C_jama.2018.14280'!$A$2:$A$24,0))="","",INDEX('C_jama.2018.14280'!$E$2:$E$24,MATCH("2018::jama.2018.14280::C012",'C_jama.2018.14280'!$A$2:$A$24,0)))</x:f>
        <x:v>statistical_results</x:v>
      </x:c>
      <x:c r="U34" s="6" t="str">
        <x:f>IF(AND(INDEX('C_jama.2018.14280'!$D$2:$D$24,MATCH("2018::jama.2018.14280::C012",'C_jama.2018.14280'!$A$2:$A$24,0))="retain",INDEX('C_jama.2018.14280'!$E$2:$E$24,MATCH("2018::jama.2018.14280::C012",'C_jama.2018.14280'!$A$2:$A$24,0))="statistical_results"),IF(INDEX('C_jama.2018.14280'!$H$2:$H$24,MATCH("2018::jama.2018.14280::C012",'C_jama.2018.14280'!$A$2:$A$24,0))="","",INDEX('C_jama.2018.14280'!$H$2:$H$24,MATCH("2018::jama.2018.14280::C012",'C_jama.2018.14280'!$A$2:$A$24,0))),"not_applicable")</x:f>
        <x:v>not_applicable</x:v>
      </x:c>
      <x:c r="V34" s="6" t="str">
        <x:f>IF(AND(INDEX('C_jama.2018.14280'!$D$2:$D$24,MATCH("2018::jama.2018.14280::C012",'C_jama.2018.14280'!$A$2:$A$24,0))="retain",INDEX('C_jama.2018.14280'!$E$2:$E$24,MATCH("2018::jama.2018.14280::C012",'C_jama.2018.14280'!$A$2:$A$24,0))="statistical_results"),IF(INDEX('C_jama.2018.14280'!$I$2:$I$24,MATCH("2018::jama.2018.14280::C012",'C_jama.2018.14280'!$A$2:$A$24,0))="","",INDEX('C_jama.2018.14280'!$I$2:$I$24,MATCH("2018::jama.2018.14280::C012",'C_jama.2018.14280'!$A$2:$A$24,0))),"not_applicable")</x:f>
        <x:v>not_applicable</x:v>
      </x:c>
      <x:c r="W34" s="6" t="str">
        <x:f>IF(AND(INDEX('C_jama.2018.14280'!$D$2:$D$24,MATCH("2018::jama.2018.14280::C012",'C_jama.2018.14280'!$A$2:$A$24,0))="retain",INDEX('C_jama.2018.14280'!$E$2:$E$24,MATCH("2018::jama.2018.14280::C012",'C_jama.2018.14280'!$A$2:$A$24,0))="statistical_results"),IF(INDEX('C_jama.2018.14280'!$J$2:$J$24,MATCH("2018::jama.2018.14280::C012",'C_jama.2018.14280'!$A$2:$A$24,0))="","",INDEX('C_jama.2018.14280'!$J$2:$J$24,MATCH("2018::jama.2018.14280::C012",'C_jama.2018.14280'!$A$2:$A$24,0))),"not_applicable")</x:f>
        <x:v>not_applicable</x:v>
      </x:c>
      <x:c r="X34" s="6" t="str">
        <x:f>IF(AND(INDEX('C_jama.2018.14280'!$D$2:$D$24,MATCH("2018::jama.2018.14280::C012",'C_jama.2018.14280'!$A$2:$A$24,0))="retain",OR(INDEX('C_jama.2018.14280'!$E$2:$E$24,MATCH("2018::jama.2018.14280::C012",'C_jama.2018.14280'!$A$2:$A$24,0))="report_internal_inconsistency",INDEX('C_jama.2018.14280'!$E$2:$E$24,MATCH("2018::jama.2018.14280::C012",'C_jama.2018.14280'!$A$2:$A$24,0))="plan_material")),IF(INDEX('C_jama.2018.14280'!$K$2:$K$24,MATCH("2018::jama.2018.14280::C012",'C_jama.2018.14280'!$A$2:$A$24,0))="","",INDEX('C_jama.2018.14280'!$K$2:$K$24,MATCH("2018::jama.2018.14280::C012",'C_jama.2018.14280'!$A$2:$A$24,0))),"not_applicable")</x:f>
        <x:v>not_applicable</x:v>
      </x:c>
      <x:c r="Y34" s="6" t="str">
        <x:f>IF(AND(INDEX('C_jama.2018.14280'!$D$2:$D$24,MATCH("2018::jama.2018.14280::C012",'C_jama.2018.14280'!$A$2:$A$24,0))="retain",INDEX('C_jama.2018.14280'!$E$2:$E$24,MATCH("2018::jama.2018.14280::C012",'C_jama.2018.14280'!$A$2:$A$24,0))="protocol_report"),IF(INDEX('C_jama.2018.14280'!$L$2:$L$24,MATCH("2018::jama.2018.14280::C012",'C_jama.2018.14280'!$A$2:$A$24,0))="","",INDEX('C_jama.2018.14280'!$L$2:$L$24,MATCH("2018::jama.2018.14280::C012",'C_jama.2018.14280'!$A$2:$A$24,0))),"not_applicable")</x:f>
        <x:v>not_applicable</x:v>
      </x:c>
      <x:c r="Z34" s="6" t="str">
        <x:f>IF(INDEX('C_jama.2018.14280'!$R$2:$R$24,MATCH("2018::jama.2018.14280::C012",'C_jama.2018.14280'!$A$2:$A$24,0))="","",INDEX('C_jama.2018.14280'!$R$2:$R$24,MATCH("2018::jama.2018.14280::C012",'C_jama.2018.14280'!$A$2:$A$24,0)))</x:f>
      </x:c>
      <x:c r="AA34" s="6" t="str">
        <x:f>IF(INDEX('C_jama.2018.14280'!$N$2:$N$24,MATCH("2018::jama.2018.14280::C012",'C_jama.2018.14280'!$A$2:$A$24,0))="","",INDEX('C_jama.2018.14280'!$N$2:$N$24,MATCH("2018::jama.2018.14280::C012",'C_jama.2018.14280'!$A$2:$A$24,0)))</x:f>
      </x:c>
      <x:c r="AB34" s="6" t="str">
        <x:f>IF(INDEX('C_jama.2018.14280'!$O$2:$O$24,MATCH("2018::jama.2018.14280::C012",'C_jama.2018.14280'!$A$2:$A$24,0))="","",INDEX('C_jama.2018.14280'!$O$2:$O$24,MATCH("2018::jama.2018.14280::C012",'C_jama.2018.14280'!$A$2:$A$24,0)))</x:f>
      </x:c>
      <x:c r="AC34" s="6" t="str">
        <x:f>IF(INDEX('C_jama.2018.14280'!$P$2:$P$24,MATCH("2018::jama.2018.14280::C012",'C_jama.2018.14280'!$A$2:$A$24,0))="","",INDEX('C_jama.2018.14280'!$P$2:$P$24,MATCH("2018::jama.2018.14280::C012",'C_jama.2018.14280'!$A$2:$A$24,0)))</x:f>
      </x:c>
      <x:c r="AD34" s="6" t="str">
        <x:f>IF(INDEX('C_jama.2018.14280'!$Q$2:$Q$24,MATCH("2018::jama.2018.14280::C012",'C_jama.2018.14280'!$A$2:$A$24,0))="","",INDEX('C_jama.2018.14280'!$Q$2:$Q$24,MATCH("2018::jama.2018.14280::C012",'C_jama.2018.14280'!$A$2:$A$24,0)))</x:f>
      </x:c>
    </x:row>
    <x:row r="35" ht="65" customHeight="1">
      <x:c r="A35" s="3" t="n">
        <x:v>2018</x:v>
      </x:c>
      <x:c r="B35" s="3" t="str">
        <x:v>jama.2018.14280</x:v>
      </x:c>
      <x:c r="C35" s="3" t="str">
        <x:v>2018::jama.2018.14280::C013</x:v>
      </x:c>
      <x:c r="D35" s="3" t="str">
        <x:v>S_W</x:v>
      </x:c>
      <x:c r="E35" s="3" t="n">
        <x:f>Setup!$B$2</x:f>
        <x:v>0</x:v>
      </x:c>
      <x:c r="F35" s="3" t="str">
        <x:f>IF(Setup!$B$4="","",Setup!$B$4)</x:f>
      </x:c>
      <x:c r="G35" s="3" t="str">
        <x:f>IFERROR(INDEX('C_jama.2018.14280'!$G$2:$G$24,MATCH("2018::jama.2018.14280::C013",'C_jama.2018.14280'!$A$2:$A$24,0)),"CHECK KEY")</x:f>
        <x:v>CHECK REVIEWER IDs</x:v>
      </x:c>
      <x:c r="H35" s="3" t="str">
        <x:f>IF(G35&lt;&gt;"FINAL READY","",IF(S35&lt;&gt;"retain","not_eligible",IF(D35="P_R","protocol_descriptive",IF(D35="P_P","plan_descriptive",IF(AND(T35="statistical_results",OR(U35="confirmed_issue",U35="probable_issue"),V35="substantive"),"primary_temporal",IF(AND(T35="report_internal_inconsistency",X35="substantive_inconsistency"),"secondary_temporal","not_eligible"))))))</x:f>
      </x:c>
      <x:c r="I35" s="3" t="str">
        <x:v>retain</x:v>
      </x:c>
      <x:c r="J35" s="3" t="str">
        <x:v>statistical_results</x:v>
      </x:c>
      <x:c r="K35" s="3" t="str">
        <x:f>IF(Setup!$B$6="primary","",IFERROR(IF(INDEX('Primary_snapshot'!$B$2:$B$120,MATCH(C35,'Primary_snapshot'!$A$2:$A$120,0))="","",INDEX('Primary_snapshot'!$B$2:$B$120,MATCH(C35,'Primary_snapshot'!$A$2:$A$120,0))),"SNAPSHOT MISSING"))</x:f>
      </x:c>
      <x:c r="L35" s="3" t="str">
        <x:f>IF(Setup!$B$6="primary","",IFERROR(IF(INDEX('Primary_snapshot'!$C$2:$C$120,MATCH(C35,'Primary_snapshot'!$A$2:$A$120,0))="","",INDEX('Primary_snapshot'!$C$2:$C$120,MATCH(C35,'Primary_snapshot'!$A$2:$A$120,0))),"SNAPSHOT MISSING"))</x:f>
      </x:c>
      <x:c r="M35" s="3" t="str">
        <x:f>IF(Setup!$B$6="primary","",IFERROR(IF(INDEX('Primary_snapshot'!$D$2:$D$120,MATCH(C35,'Primary_snapshot'!$A$2:$A$120,0))="","",INDEX('Primary_snapshot'!$D$2:$D$120,MATCH(C35,'Primary_snapshot'!$A$2:$A$120,0))),"SNAPSHOT MISSING"))</x:f>
      </x:c>
      <x:c r="N35" s="3" t="str">
        <x:f>IF(Setup!$B$6="primary","",IFERROR(IF(INDEX('Primary_snapshot'!$E$2:$E$120,MATCH(C35,'Primary_snapshot'!$A$2:$A$120,0))="","",INDEX('Primary_snapshot'!$E$2:$E$120,MATCH(C35,'Primary_snapshot'!$A$2:$A$120,0))),"SNAPSHOT MISSING"))</x:f>
      </x:c>
      <x:c r="O35" s="3" t="str">
        <x:f>IF(Setup!$B$6="primary","",IFERROR(IF(INDEX('Primary_snapshot'!$F$2:$F$120,MATCH(C35,'Primary_snapshot'!$A$2:$A$120,0))="","",INDEX('Primary_snapshot'!$F$2:$F$120,MATCH(C35,'Primary_snapshot'!$A$2:$A$120,0))),"SNAPSHOT MISSING"))</x:f>
      </x:c>
      <x:c r="P35" s="3" t="str">
        <x:f>IF(Setup!$B$6="primary","",IFERROR(IF(INDEX('Primary_snapshot'!$G$2:$G$120,MATCH(C35,'Primary_snapshot'!$A$2:$A$120,0))="","",INDEX('Primary_snapshot'!$G$2:$G$120,MATCH(C35,'Primary_snapshot'!$A$2:$A$120,0))),"SNAPSHOT MISSING"))</x:f>
      </x:c>
      <x:c r="Q35" s="3" t="str">
        <x:f>IF(Setup!$B$6="primary","",IFERROR(IF(INDEX('Primary_snapshot'!$H$2:$H$120,MATCH(C35,'Primary_snapshot'!$A$2:$A$120,0))="","",INDEX('Primary_snapshot'!$H$2:$H$120,MATCH(C35,'Primary_snapshot'!$A$2:$A$120,0))),"SNAPSHOT MISSING"))</x:f>
      </x:c>
      <x:c r="R35" s="3" t="str">
        <x:f>IF(Setup!$B$6="primary","",IFERROR(IF(INDEX('Primary_snapshot'!$I$2:$I$120,MATCH(C35,'Primary_snapshot'!$A$2:$A$120,0))="","",INDEX('Primary_snapshot'!$I$2:$I$120,MATCH(C35,'Primary_snapshot'!$A$2:$A$120,0))),"SNAPSHOT MISSING"))</x:f>
      </x:c>
      <x:c r="S35" s="3" t="str">
        <x:f>IF(INDEX('C_jama.2018.14280'!$D$2:$D$24,MATCH("2018::jama.2018.14280::C013",'C_jama.2018.14280'!$A$2:$A$24,0))="","",INDEX('C_jama.2018.14280'!$D$2:$D$24,MATCH("2018::jama.2018.14280::C013",'C_jama.2018.14280'!$A$2:$A$24,0)))</x:f>
      </x:c>
      <x:c r="T35" s="3" t="str">
        <x:f>IF(INDEX('C_jama.2018.14280'!$E$2:$E$24,MATCH("2018::jama.2018.14280::C013",'C_jama.2018.14280'!$A$2:$A$24,0))="","",INDEX('C_jama.2018.14280'!$E$2:$E$24,MATCH("2018::jama.2018.14280::C013",'C_jama.2018.14280'!$A$2:$A$24,0)))</x:f>
        <x:v>statistical_results</x:v>
      </x:c>
      <x:c r="U35" s="3" t="str">
        <x:f>IF(AND(INDEX('C_jama.2018.14280'!$D$2:$D$24,MATCH("2018::jama.2018.14280::C013",'C_jama.2018.14280'!$A$2:$A$24,0))="retain",INDEX('C_jama.2018.14280'!$E$2:$E$24,MATCH("2018::jama.2018.14280::C013",'C_jama.2018.14280'!$A$2:$A$24,0))="statistical_results"),IF(INDEX('C_jama.2018.14280'!$H$2:$H$24,MATCH("2018::jama.2018.14280::C013",'C_jama.2018.14280'!$A$2:$A$24,0))="","",INDEX('C_jama.2018.14280'!$H$2:$H$24,MATCH("2018::jama.2018.14280::C013",'C_jama.2018.14280'!$A$2:$A$24,0))),"not_applicable")</x:f>
        <x:v>not_applicable</x:v>
      </x:c>
      <x:c r="V35" s="3" t="str">
        <x:f>IF(AND(INDEX('C_jama.2018.14280'!$D$2:$D$24,MATCH("2018::jama.2018.14280::C013",'C_jama.2018.14280'!$A$2:$A$24,0))="retain",INDEX('C_jama.2018.14280'!$E$2:$E$24,MATCH("2018::jama.2018.14280::C013",'C_jama.2018.14280'!$A$2:$A$24,0))="statistical_results"),IF(INDEX('C_jama.2018.14280'!$I$2:$I$24,MATCH("2018::jama.2018.14280::C013",'C_jama.2018.14280'!$A$2:$A$24,0))="","",INDEX('C_jama.2018.14280'!$I$2:$I$24,MATCH("2018::jama.2018.14280::C013",'C_jama.2018.14280'!$A$2:$A$24,0))),"not_applicable")</x:f>
        <x:v>not_applicable</x:v>
      </x:c>
      <x:c r="W35" s="3" t="str">
        <x:f>IF(AND(INDEX('C_jama.2018.14280'!$D$2:$D$24,MATCH("2018::jama.2018.14280::C013",'C_jama.2018.14280'!$A$2:$A$24,0))="retain",INDEX('C_jama.2018.14280'!$E$2:$E$24,MATCH("2018::jama.2018.14280::C013",'C_jama.2018.14280'!$A$2:$A$24,0))="statistical_results"),IF(INDEX('C_jama.2018.14280'!$J$2:$J$24,MATCH("2018::jama.2018.14280::C013",'C_jama.2018.14280'!$A$2:$A$24,0))="","",INDEX('C_jama.2018.14280'!$J$2:$J$24,MATCH("2018::jama.2018.14280::C013",'C_jama.2018.14280'!$A$2:$A$24,0))),"not_applicable")</x:f>
        <x:v>not_applicable</x:v>
      </x:c>
      <x:c r="X35" s="3" t="str">
        <x:f>IF(AND(INDEX('C_jama.2018.14280'!$D$2:$D$24,MATCH("2018::jama.2018.14280::C013",'C_jama.2018.14280'!$A$2:$A$24,0))="retain",OR(INDEX('C_jama.2018.14280'!$E$2:$E$24,MATCH("2018::jama.2018.14280::C013",'C_jama.2018.14280'!$A$2:$A$24,0))="report_internal_inconsistency",INDEX('C_jama.2018.14280'!$E$2:$E$24,MATCH("2018::jama.2018.14280::C013",'C_jama.2018.14280'!$A$2:$A$24,0))="plan_material")),IF(INDEX('C_jama.2018.14280'!$K$2:$K$24,MATCH("2018::jama.2018.14280::C013",'C_jama.2018.14280'!$A$2:$A$24,0))="","",INDEX('C_jama.2018.14280'!$K$2:$K$24,MATCH("2018::jama.2018.14280::C013",'C_jama.2018.14280'!$A$2:$A$24,0))),"not_applicable")</x:f>
        <x:v>not_applicable</x:v>
      </x:c>
      <x:c r="Y35" s="3" t="str">
        <x:f>IF(AND(INDEX('C_jama.2018.14280'!$D$2:$D$24,MATCH("2018::jama.2018.14280::C013",'C_jama.2018.14280'!$A$2:$A$24,0))="retain",INDEX('C_jama.2018.14280'!$E$2:$E$24,MATCH("2018::jama.2018.14280::C013",'C_jama.2018.14280'!$A$2:$A$24,0))="protocol_report"),IF(INDEX('C_jama.2018.14280'!$L$2:$L$24,MATCH("2018::jama.2018.14280::C013",'C_jama.2018.14280'!$A$2:$A$24,0))="","",INDEX('C_jama.2018.14280'!$L$2:$L$24,MATCH("2018::jama.2018.14280::C013",'C_jama.2018.14280'!$A$2:$A$24,0))),"not_applicable")</x:f>
        <x:v>not_applicable</x:v>
      </x:c>
      <x:c r="Z35" s="3" t="str">
        <x:f>IF(INDEX('C_jama.2018.14280'!$R$2:$R$24,MATCH("2018::jama.2018.14280::C013",'C_jama.2018.14280'!$A$2:$A$24,0))="","",INDEX('C_jama.2018.14280'!$R$2:$R$24,MATCH("2018::jama.2018.14280::C013",'C_jama.2018.14280'!$A$2:$A$24,0)))</x:f>
      </x:c>
      <x:c r="AA35" s="3" t="str">
        <x:f>IF(INDEX('C_jama.2018.14280'!$N$2:$N$24,MATCH("2018::jama.2018.14280::C013",'C_jama.2018.14280'!$A$2:$A$24,0))="","",INDEX('C_jama.2018.14280'!$N$2:$N$24,MATCH("2018::jama.2018.14280::C013",'C_jama.2018.14280'!$A$2:$A$24,0)))</x:f>
      </x:c>
      <x:c r="AB35" s="3" t="str">
        <x:f>IF(INDEX('C_jama.2018.14280'!$O$2:$O$24,MATCH("2018::jama.2018.14280::C013",'C_jama.2018.14280'!$A$2:$A$24,0))="","",INDEX('C_jama.2018.14280'!$O$2:$O$24,MATCH("2018::jama.2018.14280::C013",'C_jama.2018.14280'!$A$2:$A$24,0)))</x:f>
      </x:c>
      <x:c r="AC35" s="3" t="str">
        <x:f>IF(INDEX('C_jama.2018.14280'!$P$2:$P$24,MATCH("2018::jama.2018.14280::C013",'C_jama.2018.14280'!$A$2:$A$24,0))="","",INDEX('C_jama.2018.14280'!$P$2:$P$24,MATCH("2018::jama.2018.14280::C013",'C_jama.2018.14280'!$A$2:$A$24,0)))</x:f>
      </x:c>
      <x:c r="AD35" s="3" t="str">
        <x:f>IF(INDEX('C_jama.2018.14280'!$Q$2:$Q$24,MATCH("2018::jama.2018.14280::C013",'C_jama.2018.14280'!$A$2:$A$24,0))="","",INDEX('C_jama.2018.14280'!$Q$2:$Q$24,MATCH("2018::jama.2018.14280::C013",'C_jama.2018.14280'!$A$2:$A$24,0)))</x:f>
      </x:c>
    </x:row>
    <x:row r="36" ht="65" customHeight="1">
      <x:c r="A36" s="6" t="n">
        <x:v>2018</x:v>
      </x:c>
      <x:c r="B36" s="6" t="str">
        <x:v>jama.2018.14280</x:v>
      </x:c>
      <x:c r="C36" s="6" t="str">
        <x:v>2018::jama.2018.14280::C014</x:v>
      </x:c>
      <x:c r="D36" s="6" t="str">
        <x:v>S_W</x:v>
      </x:c>
      <x:c r="E36" s="6" t="n">
        <x:f>Setup!$B$2</x:f>
        <x:v>0</x:v>
      </x:c>
      <x:c r="F36" s="6" t="str">
        <x:f>IF(Setup!$B$4="","",Setup!$B$4)</x:f>
      </x:c>
      <x:c r="G36" s="6" t="str">
        <x:f>IFERROR(INDEX('C_jama.2018.14280'!$G$2:$G$24,MATCH("2018::jama.2018.14280::C014",'C_jama.2018.14280'!$A$2:$A$24,0)),"CHECK KEY")</x:f>
        <x:v>CHECK REVIEWER IDs</x:v>
      </x:c>
      <x:c r="H36" s="6" t="str">
        <x:f>IF(G36&lt;&gt;"FINAL READY","",IF(S36&lt;&gt;"retain","not_eligible",IF(D36="P_R","protocol_descriptive",IF(D36="P_P","plan_descriptive",IF(AND(T36="statistical_results",OR(U36="confirmed_issue",U36="probable_issue"),V36="substantive"),"primary_temporal",IF(AND(T36="report_internal_inconsistency",X36="substantive_inconsistency"),"secondary_temporal","not_eligible"))))))</x:f>
      </x:c>
      <x:c r="I36" s="6" t="str">
        <x:v>retain</x:v>
      </x:c>
      <x:c r="J36" s="6" t="str">
        <x:v>statistical_results</x:v>
      </x:c>
      <x:c r="K36" s="6" t="str">
        <x:f>IF(Setup!$B$6="primary","",IFERROR(IF(INDEX('Primary_snapshot'!$B$2:$B$120,MATCH(C36,'Primary_snapshot'!$A$2:$A$120,0))="","",INDEX('Primary_snapshot'!$B$2:$B$120,MATCH(C36,'Primary_snapshot'!$A$2:$A$120,0))),"SNAPSHOT MISSING"))</x:f>
      </x:c>
      <x:c r="L36" s="6" t="str">
        <x:f>IF(Setup!$B$6="primary","",IFERROR(IF(INDEX('Primary_snapshot'!$C$2:$C$120,MATCH(C36,'Primary_snapshot'!$A$2:$A$120,0))="","",INDEX('Primary_snapshot'!$C$2:$C$120,MATCH(C36,'Primary_snapshot'!$A$2:$A$120,0))),"SNAPSHOT MISSING"))</x:f>
      </x:c>
      <x:c r="M36" s="6" t="str">
        <x:f>IF(Setup!$B$6="primary","",IFERROR(IF(INDEX('Primary_snapshot'!$D$2:$D$120,MATCH(C36,'Primary_snapshot'!$A$2:$A$120,0))="","",INDEX('Primary_snapshot'!$D$2:$D$120,MATCH(C36,'Primary_snapshot'!$A$2:$A$120,0))),"SNAPSHOT MISSING"))</x:f>
      </x:c>
      <x:c r="N36" s="6" t="str">
        <x:f>IF(Setup!$B$6="primary","",IFERROR(IF(INDEX('Primary_snapshot'!$E$2:$E$120,MATCH(C36,'Primary_snapshot'!$A$2:$A$120,0))="","",INDEX('Primary_snapshot'!$E$2:$E$120,MATCH(C36,'Primary_snapshot'!$A$2:$A$120,0))),"SNAPSHOT MISSING"))</x:f>
      </x:c>
      <x:c r="O36" s="6" t="str">
        <x:f>IF(Setup!$B$6="primary","",IFERROR(IF(INDEX('Primary_snapshot'!$F$2:$F$120,MATCH(C36,'Primary_snapshot'!$A$2:$A$120,0))="","",INDEX('Primary_snapshot'!$F$2:$F$120,MATCH(C36,'Primary_snapshot'!$A$2:$A$120,0))),"SNAPSHOT MISSING"))</x:f>
      </x:c>
      <x:c r="P36" s="6" t="str">
        <x:f>IF(Setup!$B$6="primary","",IFERROR(IF(INDEX('Primary_snapshot'!$G$2:$G$120,MATCH(C36,'Primary_snapshot'!$A$2:$A$120,0))="","",INDEX('Primary_snapshot'!$G$2:$G$120,MATCH(C36,'Primary_snapshot'!$A$2:$A$120,0))),"SNAPSHOT MISSING"))</x:f>
      </x:c>
      <x:c r="Q36" s="6" t="str">
        <x:f>IF(Setup!$B$6="primary","",IFERROR(IF(INDEX('Primary_snapshot'!$H$2:$H$120,MATCH(C36,'Primary_snapshot'!$A$2:$A$120,0))="","",INDEX('Primary_snapshot'!$H$2:$H$120,MATCH(C36,'Primary_snapshot'!$A$2:$A$120,0))),"SNAPSHOT MISSING"))</x:f>
      </x:c>
      <x:c r="R36" s="6" t="str">
        <x:f>IF(Setup!$B$6="primary","",IFERROR(IF(INDEX('Primary_snapshot'!$I$2:$I$120,MATCH(C36,'Primary_snapshot'!$A$2:$A$120,0))="","",INDEX('Primary_snapshot'!$I$2:$I$120,MATCH(C36,'Primary_snapshot'!$A$2:$A$120,0))),"SNAPSHOT MISSING"))</x:f>
      </x:c>
      <x:c r="S36" s="6" t="str">
        <x:f>IF(INDEX('C_jama.2018.14280'!$D$2:$D$24,MATCH("2018::jama.2018.14280::C014",'C_jama.2018.14280'!$A$2:$A$24,0))="","",INDEX('C_jama.2018.14280'!$D$2:$D$24,MATCH("2018::jama.2018.14280::C014",'C_jama.2018.14280'!$A$2:$A$24,0)))</x:f>
      </x:c>
      <x:c r="T36" s="6" t="str">
        <x:f>IF(INDEX('C_jama.2018.14280'!$E$2:$E$24,MATCH("2018::jama.2018.14280::C014",'C_jama.2018.14280'!$A$2:$A$24,0))="","",INDEX('C_jama.2018.14280'!$E$2:$E$24,MATCH("2018::jama.2018.14280::C014",'C_jama.2018.14280'!$A$2:$A$24,0)))</x:f>
        <x:v>statistical_results</x:v>
      </x:c>
      <x:c r="U36" s="6" t="str">
        <x:f>IF(AND(INDEX('C_jama.2018.14280'!$D$2:$D$24,MATCH("2018::jama.2018.14280::C014",'C_jama.2018.14280'!$A$2:$A$24,0))="retain",INDEX('C_jama.2018.14280'!$E$2:$E$24,MATCH("2018::jama.2018.14280::C014",'C_jama.2018.14280'!$A$2:$A$24,0))="statistical_results"),IF(INDEX('C_jama.2018.14280'!$H$2:$H$24,MATCH("2018::jama.2018.14280::C014",'C_jama.2018.14280'!$A$2:$A$24,0))="","",INDEX('C_jama.2018.14280'!$H$2:$H$24,MATCH("2018::jama.2018.14280::C014",'C_jama.2018.14280'!$A$2:$A$24,0))),"not_applicable")</x:f>
        <x:v>not_applicable</x:v>
      </x:c>
      <x:c r="V36" s="6" t="str">
        <x:f>IF(AND(INDEX('C_jama.2018.14280'!$D$2:$D$24,MATCH("2018::jama.2018.14280::C014",'C_jama.2018.14280'!$A$2:$A$24,0))="retain",INDEX('C_jama.2018.14280'!$E$2:$E$24,MATCH("2018::jama.2018.14280::C014",'C_jama.2018.14280'!$A$2:$A$24,0))="statistical_results"),IF(INDEX('C_jama.2018.14280'!$I$2:$I$24,MATCH("2018::jama.2018.14280::C014",'C_jama.2018.14280'!$A$2:$A$24,0))="","",INDEX('C_jama.2018.14280'!$I$2:$I$24,MATCH("2018::jama.2018.14280::C014",'C_jama.2018.14280'!$A$2:$A$24,0))),"not_applicable")</x:f>
        <x:v>not_applicable</x:v>
      </x:c>
      <x:c r="W36" s="6" t="str">
        <x:f>IF(AND(INDEX('C_jama.2018.14280'!$D$2:$D$24,MATCH("2018::jama.2018.14280::C014",'C_jama.2018.14280'!$A$2:$A$24,0))="retain",INDEX('C_jama.2018.14280'!$E$2:$E$24,MATCH("2018::jama.2018.14280::C014",'C_jama.2018.14280'!$A$2:$A$24,0))="statistical_results"),IF(INDEX('C_jama.2018.14280'!$J$2:$J$24,MATCH("2018::jama.2018.14280::C014",'C_jama.2018.14280'!$A$2:$A$24,0))="","",INDEX('C_jama.2018.14280'!$J$2:$J$24,MATCH("2018::jama.2018.14280::C014",'C_jama.2018.14280'!$A$2:$A$24,0))),"not_applicable")</x:f>
        <x:v>not_applicable</x:v>
      </x:c>
      <x:c r="X36" s="6" t="str">
        <x:f>IF(AND(INDEX('C_jama.2018.14280'!$D$2:$D$24,MATCH("2018::jama.2018.14280::C014",'C_jama.2018.14280'!$A$2:$A$24,0))="retain",OR(INDEX('C_jama.2018.14280'!$E$2:$E$24,MATCH("2018::jama.2018.14280::C014",'C_jama.2018.14280'!$A$2:$A$24,0))="report_internal_inconsistency",INDEX('C_jama.2018.14280'!$E$2:$E$24,MATCH("2018::jama.2018.14280::C014",'C_jama.2018.14280'!$A$2:$A$24,0))="plan_material")),IF(INDEX('C_jama.2018.14280'!$K$2:$K$24,MATCH("2018::jama.2018.14280::C014",'C_jama.2018.14280'!$A$2:$A$24,0))="","",INDEX('C_jama.2018.14280'!$K$2:$K$24,MATCH("2018::jama.2018.14280::C014",'C_jama.2018.14280'!$A$2:$A$24,0))),"not_applicable")</x:f>
        <x:v>not_applicable</x:v>
      </x:c>
      <x:c r="Y36" s="6" t="str">
        <x:f>IF(AND(INDEX('C_jama.2018.14280'!$D$2:$D$24,MATCH("2018::jama.2018.14280::C014",'C_jama.2018.14280'!$A$2:$A$24,0))="retain",INDEX('C_jama.2018.14280'!$E$2:$E$24,MATCH("2018::jama.2018.14280::C014",'C_jama.2018.14280'!$A$2:$A$24,0))="protocol_report"),IF(INDEX('C_jama.2018.14280'!$L$2:$L$24,MATCH("2018::jama.2018.14280::C014",'C_jama.2018.14280'!$A$2:$A$24,0))="","",INDEX('C_jama.2018.14280'!$L$2:$L$24,MATCH("2018::jama.2018.14280::C014",'C_jama.2018.14280'!$A$2:$A$24,0))),"not_applicable")</x:f>
        <x:v>not_applicable</x:v>
      </x:c>
      <x:c r="Z36" s="6" t="str">
        <x:f>IF(INDEX('C_jama.2018.14280'!$R$2:$R$24,MATCH("2018::jama.2018.14280::C014",'C_jama.2018.14280'!$A$2:$A$24,0))="","",INDEX('C_jama.2018.14280'!$R$2:$R$24,MATCH("2018::jama.2018.14280::C014",'C_jama.2018.14280'!$A$2:$A$24,0)))</x:f>
      </x:c>
      <x:c r="AA36" s="6" t="str">
        <x:f>IF(INDEX('C_jama.2018.14280'!$N$2:$N$24,MATCH("2018::jama.2018.14280::C014",'C_jama.2018.14280'!$A$2:$A$24,0))="","",INDEX('C_jama.2018.14280'!$N$2:$N$24,MATCH("2018::jama.2018.14280::C014",'C_jama.2018.14280'!$A$2:$A$24,0)))</x:f>
      </x:c>
      <x:c r="AB36" s="6" t="str">
        <x:f>IF(INDEX('C_jama.2018.14280'!$O$2:$O$24,MATCH("2018::jama.2018.14280::C014",'C_jama.2018.14280'!$A$2:$A$24,0))="","",INDEX('C_jama.2018.14280'!$O$2:$O$24,MATCH("2018::jama.2018.14280::C014",'C_jama.2018.14280'!$A$2:$A$24,0)))</x:f>
      </x:c>
      <x:c r="AC36" s="6" t="str">
        <x:f>IF(INDEX('C_jama.2018.14280'!$P$2:$P$24,MATCH("2018::jama.2018.14280::C014",'C_jama.2018.14280'!$A$2:$A$24,0))="","",INDEX('C_jama.2018.14280'!$P$2:$P$24,MATCH("2018::jama.2018.14280::C014",'C_jama.2018.14280'!$A$2:$A$24,0)))</x:f>
      </x:c>
      <x:c r="AD36" s="6" t="str">
        <x:f>IF(INDEX('C_jama.2018.14280'!$Q$2:$Q$24,MATCH("2018::jama.2018.14280::C014",'C_jama.2018.14280'!$A$2:$A$24,0))="","",INDEX('C_jama.2018.14280'!$Q$2:$Q$24,MATCH("2018::jama.2018.14280::C014",'C_jama.2018.14280'!$A$2:$A$24,0)))</x:f>
      </x:c>
    </x:row>
    <x:row r="37" ht="65" customHeight="1">
      <x:c r="A37" s="3" t="n">
        <x:v>2018</x:v>
      </x:c>
      <x:c r="B37" s="3" t="str">
        <x:v>jama.2018.14280</x:v>
      </x:c>
      <x:c r="C37" s="3" t="str">
        <x:v>2018::jama.2018.14280::C015</x:v>
      </x:c>
      <x:c r="D37" s="3" t="str">
        <x:v>S_W</x:v>
      </x:c>
      <x:c r="E37" s="3" t="n">
        <x:f>Setup!$B$2</x:f>
        <x:v>0</x:v>
      </x:c>
      <x:c r="F37" s="3" t="str">
        <x:f>IF(Setup!$B$4="","",Setup!$B$4)</x:f>
      </x:c>
      <x:c r="G37" s="3" t="str">
        <x:f>IFERROR(INDEX('C_jama.2018.14280'!$G$2:$G$24,MATCH("2018::jama.2018.14280::C015",'C_jama.2018.14280'!$A$2:$A$24,0)),"CHECK KEY")</x:f>
        <x:v>CHECK REVIEWER IDs</x:v>
      </x:c>
      <x:c r="H37" s="3" t="str">
        <x:f>IF(G37&lt;&gt;"FINAL READY","",IF(S37&lt;&gt;"retain","not_eligible",IF(D37="P_R","protocol_descriptive",IF(D37="P_P","plan_descriptive",IF(AND(T37="statistical_results",OR(U37="confirmed_issue",U37="probable_issue"),V37="substantive"),"primary_temporal",IF(AND(T37="report_internal_inconsistency",X37="substantive_inconsistency"),"secondary_temporal","not_eligible"))))))</x:f>
      </x:c>
      <x:c r="I37" s="3" t="str">
        <x:v>retain</x:v>
      </x:c>
      <x:c r="J37" s="3" t="str">
        <x:v>statistical_results</x:v>
      </x:c>
      <x:c r="K37" s="3" t="str">
        <x:f>IF(Setup!$B$6="primary","",IFERROR(IF(INDEX('Primary_snapshot'!$B$2:$B$120,MATCH(C37,'Primary_snapshot'!$A$2:$A$120,0))="","",INDEX('Primary_snapshot'!$B$2:$B$120,MATCH(C37,'Primary_snapshot'!$A$2:$A$120,0))),"SNAPSHOT MISSING"))</x:f>
      </x:c>
      <x:c r="L37" s="3" t="str">
        <x:f>IF(Setup!$B$6="primary","",IFERROR(IF(INDEX('Primary_snapshot'!$C$2:$C$120,MATCH(C37,'Primary_snapshot'!$A$2:$A$120,0))="","",INDEX('Primary_snapshot'!$C$2:$C$120,MATCH(C37,'Primary_snapshot'!$A$2:$A$120,0))),"SNAPSHOT MISSING"))</x:f>
      </x:c>
      <x:c r="M37" s="3" t="str">
        <x:f>IF(Setup!$B$6="primary","",IFERROR(IF(INDEX('Primary_snapshot'!$D$2:$D$120,MATCH(C37,'Primary_snapshot'!$A$2:$A$120,0))="","",INDEX('Primary_snapshot'!$D$2:$D$120,MATCH(C37,'Primary_snapshot'!$A$2:$A$120,0))),"SNAPSHOT MISSING"))</x:f>
      </x:c>
      <x:c r="N37" s="3" t="str">
        <x:f>IF(Setup!$B$6="primary","",IFERROR(IF(INDEX('Primary_snapshot'!$E$2:$E$120,MATCH(C37,'Primary_snapshot'!$A$2:$A$120,0))="","",INDEX('Primary_snapshot'!$E$2:$E$120,MATCH(C37,'Primary_snapshot'!$A$2:$A$120,0))),"SNAPSHOT MISSING"))</x:f>
      </x:c>
      <x:c r="O37" s="3" t="str">
        <x:f>IF(Setup!$B$6="primary","",IFERROR(IF(INDEX('Primary_snapshot'!$F$2:$F$120,MATCH(C37,'Primary_snapshot'!$A$2:$A$120,0))="","",INDEX('Primary_snapshot'!$F$2:$F$120,MATCH(C37,'Primary_snapshot'!$A$2:$A$120,0))),"SNAPSHOT MISSING"))</x:f>
      </x:c>
      <x:c r="P37" s="3" t="str">
        <x:f>IF(Setup!$B$6="primary","",IFERROR(IF(INDEX('Primary_snapshot'!$G$2:$G$120,MATCH(C37,'Primary_snapshot'!$A$2:$A$120,0))="","",INDEX('Primary_snapshot'!$G$2:$G$120,MATCH(C37,'Primary_snapshot'!$A$2:$A$120,0))),"SNAPSHOT MISSING"))</x:f>
      </x:c>
      <x:c r="Q37" s="3" t="str">
        <x:f>IF(Setup!$B$6="primary","",IFERROR(IF(INDEX('Primary_snapshot'!$H$2:$H$120,MATCH(C37,'Primary_snapshot'!$A$2:$A$120,0))="","",INDEX('Primary_snapshot'!$H$2:$H$120,MATCH(C37,'Primary_snapshot'!$A$2:$A$120,0))),"SNAPSHOT MISSING"))</x:f>
      </x:c>
      <x:c r="R37" s="3" t="str">
        <x:f>IF(Setup!$B$6="primary","",IFERROR(IF(INDEX('Primary_snapshot'!$I$2:$I$120,MATCH(C37,'Primary_snapshot'!$A$2:$A$120,0))="","",INDEX('Primary_snapshot'!$I$2:$I$120,MATCH(C37,'Primary_snapshot'!$A$2:$A$120,0))),"SNAPSHOT MISSING"))</x:f>
      </x:c>
      <x:c r="S37" s="3" t="str">
        <x:f>IF(INDEX('C_jama.2018.14280'!$D$2:$D$24,MATCH("2018::jama.2018.14280::C015",'C_jama.2018.14280'!$A$2:$A$24,0))="","",INDEX('C_jama.2018.14280'!$D$2:$D$24,MATCH("2018::jama.2018.14280::C015",'C_jama.2018.14280'!$A$2:$A$24,0)))</x:f>
      </x:c>
      <x:c r="T37" s="3" t="str">
        <x:f>IF(INDEX('C_jama.2018.14280'!$E$2:$E$24,MATCH("2018::jama.2018.14280::C015",'C_jama.2018.14280'!$A$2:$A$24,0))="","",INDEX('C_jama.2018.14280'!$E$2:$E$24,MATCH("2018::jama.2018.14280::C015",'C_jama.2018.14280'!$A$2:$A$24,0)))</x:f>
        <x:v>statistical_results</x:v>
      </x:c>
      <x:c r="U37" s="3" t="str">
        <x:f>IF(AND(INDEX('C_jama.2018.14280'!$D$2:$D$24,MATCH("2018::jama.2018.14280::C015",'C_jama.2018.14280'!$A$2:$A$24,0))="retain",INDEX('C_jama.2018.14280'!$E$2:$E$24,MATCH("2018::jama.2018.14280::C015",'C_jama.2018.14280'!$A$2:$A$24,0))="statistical_results"),IF(INDEX('C_jama.2018.14280'!$H$2:$H$24,MATCH("2018::jama.2018.14280::C015",'C_jama.2018.14280'!$A$2:$A$24,0))="","",INDEX('C_jama.2018.14280'!$H$2:$H$24,MATCH("2018::jama.2018.14280::C015",'C_jama.2018.14280'!$A$2:$A$24,0))),"not_applicable")</x:f>
        <x:v>not_applicable</x:v>
      </x:c>
      <x:c r="V37" s="3" t="str">
        <x:f>IF(AND(INDEX('C_jama.2018.14280'!$D$2:$D$24,MATCH("2018::jama.2018.14280::C015",'C_jama.2018.14280'!$A$2:$A$24,0))="retain",INDEX('C_jama.2018.14280'!$E$2:$E$24,MATCH("2018::jama.2018.14280::C015",'C_jama.2018.14280'!$A$2:$A$24,0))="statistical_results"),IF(INDEX('C_jama.2018.14280'!$I$2:$I$24,MATCH("2018::jama.2018.14280::C015",'C_jama.2018.14280'!$A$2:$A$24,0))="","",INDEX('C_jama.2018.14280'!$I$2:$I$24,MATCH("2018::jama.2018.14280::C015",'C_jama.2018.14280'!$A$2:$A$24,0))),"not_applicable")</x:f>
        <x:v>not_applicable</x:v>
      </x:c>
      <x:c r="W37" s="3" t="str">
        <x:f>IF(AND(INDEX('C_jama.2018.14280'!$D$2:$D$24,MATCH("2018::jama.2018.14280::C015",'C_jama.2018.14280'!$A$2:$A$24,0))="retain",INDEX('C_jama.2018.14280'!$E$2:$E$24,MATCH("2018::jama.2018.14280::C015",'C_jama.2018.14280'!$A$2:$A$24,0))="statistical_results"),IF(INDEX('C_jama.2018.14280'!$J$2:$J$24,MATCH("2018::jama.2018.14280::C015",'C_jama.2018.14280'!$A$2:$A$24,0))="","",INDEX('C_jama.2018.14280'!$J$2:$J$24,MATCH("2018::jama.2018.14280::C015",'C_jama.2018.14280'!$A$2:$A$24,0))),"not_applicable")</x:f>
        <x:v>not_applicable</x:v>
      </x:c>
      <x:c r="X37" s="3" t="str">
        <x:f>IF(AND(INDEX('C_jama.2018.14280'!$D$2:$D$24,MATCH("2018::jama.2018.14280::C015",'C_jama.2018.14280'!$A$2:$A$24,0))="retain",OR(INDEX('C_jama.2018.14280'!$E$2:$E$24,MATCH("2018::jama.2018.14280::C015",'C_jama.2018.14280'!$A$2:$A$24,0))="report_internal_inconsistency",INDEX('C_jama.2018.14280'!$E$2:$E$24,MATCH("2018::jama.2018.14280::C015",'C_jama.2018.14280'!$A$2:$A$24,0))="plan_material")),IF(INDEX('C_jama.2018.14280'!$K$2:$K$24,MATCH("2018::jama.2018.14280::C015",'C_jama.2018.14280'!$A$2:$A$24,0))="","",INDEX('C_jama.2018.14280'!$K$2:$K$24,MATCH("2018::jama.2018.14280::C015",'C_jama.2018.14280'!$A$2:$A$24,0))),"not_applicable")</x:f>
        <x:v>not_applicable</x:v>
      </x:c>
      <x:c r="Y37" s="3" t="str">
        <x:f>IF(AND(INDEX('C_jama.2018.14280'!$D$2:$D$24,MATCH("2018::jama.2018.14280::C015",'C_jama.2018.14280'!$A$2:$A$24,0))="retain",INDEX('C_jama.2018.14280'!$E$2:$E$24,MATCH("2018::jama.2018.14280::C015",'C_jama.2018.14280'!$A$2:$A$24,0))="protocol_report"),IF(INDEX('C_jama.2018.14280'!$L$2:$L$24,MATCH("2018::jama.2018.14280::C015",'C_jama.2018.14280'!$A$2:$A$24,0))="","",INDEX('C_jama.2018.14280'!$L$2:$L$24,MATCH("2018::jama.2018.14280::C015",'C_jama.2018.14280'!$A$2:$A$24,0))),"not_applicable")</x:f>
        <x:v>not_applicable</x:v>
      </x:c>
      <x:c r="Z37" s="3" t="str">
        <x:f>IF(INDEX('C_jama.2018.14280'!$R$2:$R$24,MATCH("2018::jama.2018.14280::C015",'C_jama.2018.14280'!$A$2:$A$24,0))="","",INDEX('C_jama.2018.14280'!$R$2:$R$24,MATCH("2018::jama.2018.14280::C015",'C_jama.2018.14280'!$A$2:$A$24,0)))</x:f>
      </x:c>
      <x:c r="AA37" s="3" t="str">
        <x:f>IF(INDEX('C_jama.2018.14280'!$N$2:$N$24,MATCH("2018::jama.2018.14280::C015",'C_jama.2018.14280'!$A$2:$A$24,0))="","",INDEX('C_jama.2018.14280'!$N$2:$N$24,MATCH("2018::jama.2018.14280::C015",'C_jama.2018.14280'!$A$2:$A$24,0)))</x:f>
      </x:c>
      <x:c r="AB37" s="3" t="str">
        <x:f>IF(INDEX('C_jama.2018.14280'!$O$2:$O$24,MATCH("2018::jama.2018.14280::C015",'C_jama.2018.14280'!$A$2:$A$24,0))="","",INDEX('C_jama.2018.14280'!$O$2:$O$24,MATCH("2018::jama.2018.14280::C015",'C_jama.2018.14280'!$A$2:$A$24,0)))</x:f>
      </x:c>
      <x:c r="AC37" s="3" t="str">
        <x:f>IF(INDEX('C_jama.2018.14280'!$P$2:$P$24,MATCH("2018::jama.2018.14280::C015",'C_jama.2018.14280'!$A$2:$A$24,0))="","",INDEX('C_jama.2018.14280'!$P$2:$P$24,MATCH("2018::jama.2018.14280::C015",'C_jama.2018.14280'!$A$2:$A$24,0)))</x:f>
      </x:c>
      <x:c r="AD37" s="3" t="str">
        <x:f>IF(INDEX('C_jama.2018.14280'!$Q$2:$Q$24,MATCH("2018::jama.2018.14280::C015",'C_jama.2018.14280'!$A$2:$A$24,0))="","",INDEX('C_jama.2018.14280'!$Q$2:$Q$24,MATCH("2018::jama.2018.14280::C015",'C_jama.2018.14280'!$A$2:$A$24,0)))</x:f>
      </x:c>
    </x:row>
    <x:row r="38" ht="65" customHeight="1">
      <x:c r="A38" s="6" t="n">
        <x:v>2018</x:v>
      </x:c>
      <x:c r="B38" s="6" t="str">
        <x:v>jama.2018.14280</x:v>
      </x:c>
      <x:c r="C38" s="6" t="str">
        <x:v>2018::jama.2018.14280::C016</x:v>
      </x:c>
      <x:c r="D38" s="6" t="str">
        <x:v>S_W</x:v>
      </x:c>
      <x:c r="E38" s="6" t="n">
        <x:f>Setup!$B$2</x:f>
        <x:v>0</x:v>
      </x:c>
      <x:c r="F38" s="6" t="str">
        <x:f>IF(Setup!$B$4="","",Setup!$B$4)</x:f>
      </x:c>
      <x:c r="G38" s="6" t="str">
        <x:f>IFERROR(INDEX('C_jama.2018.14280'!$G$2:$G$24,MATCH("2018::jama.2018.14280::C016",'C_jama.2018.14280'!$A$2:$A$24,0)),"CHECK KEY")</x:f>
        <x:v>CHECK REVIEWER IDs</x:v>
      </x:c>
      <x:c r="H38" s="6" t="str">
        <x:f>IF(G38&lt;&gt;"FINAL READY","",IF(S38&lt;&gt;"retain","not_eligible",IF(D38="P_R","protocol_descriptive",IF(D38="P_P","plan_descriptive",IF(AND(T38="statistical_results",OR(U38="confirmed_issue",U38="probable_issue"),V38="substantive"),"primary_temporal",IF(AND(T38="report_internal_inconsistency",X38="substantive_inconsistency"),"secondary_temporal","not_eligible"))))))</x:f>
      </x:c>
      <x:c r="I38" s="6" t="str">
        <x:v>retain</x:v>
      </x:c>
      <x:c r="J38" s="6" t="str">
        <x:v>statistical_results</x:v>
      </x:c>
      <x:c r="K38" s="6" t="str">
        <x:f>IF(Setup!$B$6="primary","",IFERROR(IF(INDEX('Primary_snapshot'!$B$2:$B$120,MATCH(C38,'Primary_snapshot'!$A$2:$A$120,0))="","",INDEX('Primary_snapshot'!$B$2:$B$120,MATCH(C38,'Primary_snapshot'!$A$2:$A$120,0))),"SNAPSHOT MISSING"))</x:f>
      </x:c>
      <x:c r="L38" s="6" t="str">
        <x:f>IF(Setup!$B$6="primary","",IFERROR(IF(INDEX('Primary_snapshot'!$C$2:$C$120,MATCH(C38,'Primary_snapshot'!$A$2:$A$120,0))="","",INDEX('Primary_snapshot'!$C$2:$C$120,MATCH(C38,'Primary_snapshot'!$A$2:$A$120,0))),"SNAPSHOT MISSING"))</x:f>
      </x:c>
      <x:c r="M38" s="6" t="str">
        <x:f>IF(Setup!$B$6="primary","",IFERROR(IF(INDEX('Primary_snapshot'!$D$2:$D$120,MATCH(C38,'Primary_snapshot'!$A$2:$A$120,0))="","",INDEX('Primary_snapshot'!$D$2:$D$120,MATCH(C38,'Primary_snapshot'!$A$2:$A$120,0))),"SNAPSHOT MISSING"))</x:f>
      </x:c>
      <x:c r="N38" s="6" t="str">
        <x:f>IF(Setup!$B$6="primary","",IFERROR(IF(INDEX('Primary_snapshot'!$E$2:$E$120,MATCH(C38,'Primary_snapshot'!$A$2:$A$120,0))="","",INDEX('Primary_snapshot'!$E$2:$E$120,MATCH(C38,'Primary_snapshot'!$A$2:$A$120,0))),"SNAPSHOT MISSING"))</x:f>
      </x:c>
      <x:c r="O38" s="6" t="str">
        <x:f>IF(Setup!$B$6="primary","",IFERROR(IF(INDEX('Primary_snapshot'!$F$2:$F$120,MATCH(C38,'Primary_snapshot'!$A$2:$A$120,0))="","",INDEX('Primary_snapshot'!$F$2:$F$120,MATCH(C38,'Primary_snapshot'!$A$2:$A$120,0))),"SNAPSHOT MISSING"))</x:f>
      </x:c>
      <x:c r="P38" s="6" t="str">
        <x:f>IF(Setup!$B$6="primary","",IFERROR(IF(INDEX('Primary_snapshot'!$G$2:$G$120,MATCH(C38,'Primary_snapshot'!$A$2:$A$120,0))="","",INDEX('Primary_snapshot'!$G$2:$G$120,MATCH(C38,'Primary_snapshot'!$A$2:$A$120,0))),"SNAPSHOT MISSING"))</x:f>
      </x:c>
      <x:c r="Q38" s="6" t="str">
        <x:f>IF(Setup!$B$6="primary","",IFERROR(IF(INDEX('Primary_snapshot'!$H$2:$H$120,MATCH(C38,'Primary_snapshot'!$A$2:$A$120,0))="","",INDEX('Primary_snapshot'!$H$2:$H$120,MATCH(C38,'Primary_snapshot'!$A$2:$A$120,0))),"SNAPSHOT MISSING"))</x:f>
      </x:c>
      <x:c r="R38" s="6" t="str">
        <x:f>IF(Setup!$B$6="primary","",IFERROR(IF(INDEX('Primary_snapshot'!$I$2:$I$120,MATCH(C38,'Primary_snapshot'!$A$2:$A$120,0))="","",INDEX('Primary_snapshot'!$I$2:$I$120,MATCH(C38,'Primary_snapshot'!$A$2:$A$120,0))),"SNAPSHOT MISSING"))</x:f>
      </x:c>
      <x:c r="S38" s="6" t="str">
        <x:f>IF(INDEX('C_jama.2018.14280'!$D$2:$D$24,MATCH("2018::jama.2018.14280::C016",'C_jama.2018.14280'!$A$2:$A$24,0))="","",INDEX('C_jama.2018.14280'!$D$2:$D$24,MATCH("2018::jama.2018.14280::C016",'C_jama.2018.14280'!$A$2:$A$24,0)))</x:f>
      </x:c>
      <x:c r="T38" s="6" t="str">
        <x:f>IF(INDEX('C_jama.2018.14280'!$E$2:$E$24,MATCH("2018::jama.2018.14280::C016",'C_jama.2018.14280'!$A$2:$A$24,0))="","",INDEX('C_jama.2018.14280'!$E$2:$E$24,MATCH("2018::jama.2018.14280::C016",'C_jama.2018.14280'!$A$2:$A$24,0)))</x:f>
        <x:v>statistical_results</x:v>
      </x:c>
      <x:c r="U38" s="6" t="str">
        <x:f>IF(AND(INDEX('C_jama.2018.14280'!$D$2:$D$24,MATCH("2018::jama.2018.14280::C016",'C_jama.2018.14280'!$A$2:$A$24,0))="retain",INDEX('C_jama.2018.14280'!$E$2:$E$24,MATCH("2018::jama.2018.14280::C016",'C_jama.2018.14280'!$A$2:$A$24,0))="statistical_results"),IF(INDEX('C_jama.2018.14280'!$H$2:$H$24,MATCH("2018::jama.2018.14280::C016",'C_jama.2018.14280'!$A$2:$A$24,0))="","",INDEX('C_jama.2018.14280'!$H$2:$H$24,MATCH("2018::jama.2018.14280::C016",'C_jama.2018.14280'!$A$2:$A$24,0))),"not_applicable")</x:f>
        <x:v>not_applicable</x:v>
      </x:c>
      <x:c r="V38" s="6" t="str">
        <x:f>IF(AND(INDEX('C_jama.2018.14280'!$D$2:$D$24,MATCH("2018::jama.2018.14280::C016",'C_jama.2018.14280'!$A$2:$A$24,0))="retain",INDEX('C_jama.2018.14280'!$E$2:$E$24,MATCH("2018::jama.2018.14280::C016",'C_jama.2018.14280'!$A$2:$A$24,0))="statistical_results"),IF(INDEX('C_jama.2018.14280'!$I$2:$I$24,MATCH("2018::jama.2018.14280::C016",'C_jama.2018.14280'!$A$2:$A$24,0))="","",INDEX('C_jama.2018.14280'!$I$2:$I$24,MATCH("2018::jama.2018.14280::C016",'C_jama.2018.14280'!$A$2:$A$24,0))),"not_applicable")</x:f>
        <x:v>not_applicable</x:v>
      </x:c>
      <x:c r="W38" s="6" t="str">
        <x:f>IF(AND(INDEX('C_jama.2018.14280'!$D$2:$D$24,MATCH("2018::jama.2018.14280::C016",'C_jama.2018.14280'!$A$2:$A$24,0))="retain",INDEX('C_jama.2018.14280'!$E$2:$E$24,MATCH("2018::jama.2018.14280::C016",'C_jama.2018.14280'!$A$2:$A$24,0))="statistical_results"),IF(INDEX('C_jama.2018.14280'!$J$2:$J$24,MATCH("2018::jama.2018.14280::C016",'C_jama.2018.14280'!$A$2:$A$24,0))="","",INDEX('C_jama.2018.14280'!$J$2:$J$24,MATCH("2018::jama.2018.14280::C016",'C_jama.2018.14280'!$A$2:$A$24,0))),"not_applicable")</x:f>
        <x:v>not_applicable</x:v>
      </x:c>
      <x:c r="X38" s="6" t="str">
        <x:f>IF(AND(INDEX('C_jama.2018.14280'!$D$2:$D$24,MATCH("2018::jama.2018.14280::C016",'C_jama.2018.14280'!$A$2:$A$24,0))="retain",OR(INDEX('C_jama.2018.14280'!$E$2:$E$24,MATCH("2018::jama.2018.14280::C016",'C_jama.2018.14280'!$A$2:$A$24,0))="report_internal_inconsistency",INDEX('C_jama.2018.14280'!$E$2:$E$24,MATCH("2018::jama.2018.14280::C016",'C_jama.2018.14280'!$A$2:$A$24,0))="plan_material")),IF(INDEX('C_jama.2018.14280'!$K$2:$K$24,MATCH("2018::jama.2018.14280::C016",'C_jama.2018.14280'!$A$2:$A$24,0))="","",INDEX('C_jama.2018.14280'!$K$2:$K$24,MATCH("2018::jama.2018.14280::C016",'C_jama.2018.14280'!$A$2:$A$24,0))),"not_applicable")</x:f>
        <x:v>not_applicable</x:v>
      </x:c>
      <x:c r="Y38" s="6" t="str">
        <x:f>IF(AND(INDEX('C_jama.2018.14280'!$D$2:$D$24,MATCH("2018::jama.2018.14280::C016",'C_jama.2018.14280'!$A$2:$A$24,0))="retain",INDEX('C_jama.2018.14280'!$E$2:$E$24,MATCH("2018::jama.2018.14280::C016",'C_jama.2018.14280'!$A$2:$A$24,0))="protocol_report"),IF(INDEX('C_jama.2018.14280'!$L$2:$L$24,MATCH("2018::jama.2018.14280::C016",'C_jama.2018.14280'!$A$2:$A$24,0))="","",INDEX('C_jama.2018.14280'!$L$2:$L$24,MATCH("2018::jama.2018.14280::C016",'C_jama.2018.14280'!$A$2:$A$24,0))),"not_applicable")</x:f>
        <x:v>not_applicable</x:v>
      </x:c>
      <x:c r="Z38" s="6" t="str">
        <x:f>IF(INDEX('C_jama.2018.14280'!$R$2:$R$24,MATCH("2018::jama.2018.14280::C016",'C_jama.2018.14280'!$A$2:$A$24,0))="","",INDEX('C_jama.2018.14280'!$R$2:$R$24,MATCH("2018::jama.2018.14280::C016",'C_jama.2018.14280'!$A$2:$A$24,0)))</x:f>
      </x:c>
      <x:c r="AA38" s="6" t="str">
        <x:f>IF(INDEX('C_jama.2018.14280'!$N$2:$N$24,MATCH("2018::jama.2018.14280::C016",'C_jama.2018.14280'!$A$2:$A$24,0))="","",INDEX('C_jama.2018.14280'!$N$2:$N$24,MATCH("2018::jama.2018.14280::C016",'C_jama.2018.14280'!$A$2:$A$24,0)))</x:f>
      </x:c>
      <x:c r="AB38" s="6" t="str">
        <x:f>IF(INDEX('C_jama.2018.14280'!$O$2:$O$24,MATCH("2018::jama.2018.14280::C016",'C_jama.2018.14280'!$A$2:$A$24,0))="","",INDEX('C_jama.2018.14280'!$O$2:$O$24,MATCH("2018::jama.2018.14280::C016",'C_jama.2018.14280'!$A$2:$A$24,0)))</x:f>
      </x:c>
      <x:c r="AC38" s="6" t="str">
        <x:f>IF(INDEX('C_jama.2018.14280'!$P$2:$P$24,MATCH("2018::jama.2018.14280::C016",'C_jama.2018.14280'!$A$2:$A$24,0))="","",INDEX('C_jama.2018.14280'!$P$2:$P$24,MATCH("2018::jama.2018.14280::C016",'C_jama.2018.14280'!$A$2:$A$24,0)))</x:f>
      </x:c>
      <x:c r="AD38" s="6" t="str">
        <x:f>IF(INDEX('C_jama.2018.14280'!$Q$2:$Q$24,MATCH("2018::jama.2018.14280::C016",'C_jama.2018.14280'!$A$2:$A$24,0))="","",INDEX('C_jama.2018.14280'!$Q$2:$Q$24,MATCH("2018::jama.2018.14280::C016",'C_jama.2018.14280'!$A$2:$A$24,0)))</x:f>
      </x:c>
    </x:row>
    <x:row r="39" ht="65" customHeight="1">
      <x:c r="A39" s="3" t="n">
        <x:v>2018</x:v>
      </x:c>
      <x:c r="B39" s="3" t="str">
        <x:v>jama.2018.14280</x:v>
      </x:c>
      <x:c r="C39" s="3" t="str">
        <x:v>2018::jama.2018.14280::C017</x:v>
      </x:c>
      <x:c r="D39" s="3" t="str">
        <x:v>S_W</x:v>
      </x:c>
      <x:c r="E39" s="3" t="n">
        <x:f>Setup!$B$2</x:f>
        <x:v>0</x:v>
      </x:c>
      <x:c r="F39" s="3" t="str">
        <x:f>IF(Setup!$B$4="","",Setup!$B$4)</x:f>
      </x:c>
      <x:c r="G39" s="3" t="str">
        <x:f>IFERROR(INDEX('C_jama.2018.14280'!$G$2:$G$24,MATCH("2018::jama.2018.14280::C017",'C_jama.2018.14280'!$A$2:$A$24,0)),"CHECK KEY")</x:f>
        <x:v>CHECK REVIEWER IDs</x:v>
      </x:c>
      <x:c r="H39" s="3" t="str">
        <x:f>IF(G39&lt;&gt;"FINAL READY","",IF(S39&lt;&gt;"retain","not_eligible",IF(D39="P_R","protocol_descriptive",IF(D39="P_P","plan_descriptive",IF(AND(T39="statistical_results",OR(U39="confirmed_issue",U39="probable_issue"),V39="substantive"),"primary_temporal",IF(AND(T39="report_internal_inconsistency",X39="substantive_inconsistency"),"secondary_temporal","not_eligible"))))))</x:f>
      </x:c>
      <x:c r="I39" s="3" t="str">
        <x:v>retain</x:v>
      </x:c>
      <x:c r="J39" s="3" t="str">
        <x:v>statistical_results</x:v>
      </x:c>
      <x:c r="K39" s="3" t="str">
        <x:f>IF(Setup!$B$6="primary","",IFERROR(IF(INDEX('Primary_snapshot'!$B$2:$B$120,MATCH(C39,'Primary_snapshot'!$A$2:$A$120,0))="","",INDEX('Primary_snapshot'!$B$2:$B$120,MATCH(C39,'Primary_snapshot'!$A$2:$A$120,0))),"SNAPSHOT MISSING"))</x:f>
      </x:c>
      <x:c r="L39" s="3" t="str">
        <x:f>IF(Setup!$B$6="primary","",IFERROR(IF(INDEX('Primary_snapshot'!$C$2:$C$120,MATCH(C39,'Primary_snapshot'!$A$2:$A$120,0))="","",INDEX('Primary_snapshot'!$C$2:$C$120,MATCH(C39,'Primary_snapshot'!$A$2:$A$120,0))),"SNAPSHOT MISSING"))</x:f>
      </x:c>
      <x:c r="M39" s="3" t="str">
        <x:f>IF(Setup!$B$6="primary","",IFERROR(IF(INDEX('Primary_snapshot'!$D$2:$D$120,MATCH(C39,'Primary_snapshot'!$A$2:$A$120,0))="","",INDEX('Primary_snapshot'!$D$2:$D$120,MATCH(C39,'Primary_snapshot'!$A$2:$A$120,0))),"SNAPSHOT MISSING"))</x:f>
      </x:c>
      <x:c r="N39" s="3" t="str">
        <x:f>IF(Setup!$B$6="primary","",IFERROR(IF(INDEX('Primary_snapshot'!$E$2:$E$120,MATCH(C39,'Primary_snapshot'!$A$2:$A$120,0))="","",INDEX('Primary_snapshot'!$E$2:$E$120,MATCH(C39,'Primary_snapshot'!$A$2:$A$120,0))),"SNAPSHOT MISSING"))</x:f>
      </x:c>
      <x:c r="O39" s="3" t="str">
        <x:f>IF(Setup!$B$6="primary","",IFERROR(IF(INDEX('Primary_snapshot'!$F$2:$F$120,MATCH(C39,'Primary_snapshot'!$A$2:$A$120,0))="","",INDEX('Primary_snapshot'!$F$2:$F$120,MATCH(C39,'Primary_snapshot'!$A$2:$A$120,0))),"SNAPSHOT MISSING"))</x:f>
      </x:c>
      <x:c r="P39" s="3" t="str">
        <x:f>IF(Setup!$B$6="primary","",IFERROR(IF(INDEX('Primary_snapshot'!$G$2:$G$120,MATCH(C39,'Primary_snapshot'!$A$2:$A$120,0))="","",INDEX('Primary_snapshot'!$G$2:$G$120,MATCH(C39,'Primary_snapshot'!$A$2:$A$120,0))),"SNAPSHOT MISSING"))</x:f>
      </x:c>
      <x:c r="Q39" s="3" t="str">
        <x:f>IF(Setup!$B$6="primary","",IFERROR(IF(INDEX('Primary_snapshot'!$H$2:$H$120,MATCH(C39,'Primary_snapshot'!$A$2:$A$120,0))="","",INDEX('Primary_snapshot'!$H$2:$H$120,MATCH(C39,'Primary_snapshot'!$A$2:$A$120,0))),"SNAPSHOT MISSING"))</x:f>
      </x:c>
      <x:c r="R39" s="3" t="str">
        <x:f>IF(Setup!$B$6="primary","",IFERROR(IF(INDEX('Primary_snapshot'!$I$2:$I$120,MATCH(C39,'Primary_snapshot'!$A$2:$A$120,0))="","",INDEX('Primary_snapshot'!$I$2:$I$120,MATCH(C39,'Primary_snapshot'!$A$2:$A$120,0))),"SNAPSHOT MISSING"))</x:f>
      </x:c>
      <x:c r="S39" s="3" t="str">
        <x:f>IF(INDEX('C_jama.2018.14280'!$D$2:$D$24,MATCH("2018::jama.2018.14280::C017",'C_jama.2018.14280'!$A$2:$A$24,0))="","",INDEX('C_jama.2018.14280'!$D$2:$D$24,MATCH("2018::jama.2018.14280::C017",'C_jama.2018.14280'!$A$2:$A$24,0)))</x:f>
      </x:c>
      <x:c r="T39" s="3" t="str">
        <x:f>IF(INDEX('C_jama.2018.14280'!$E$2:$E$24,MATCH("2018::jama.2018.14280::C017",'C_jama.2018.14280'!$A$2:$A$24,0))="","",INDEX('C_jama.2018.14280'!$E$2:$E$24,MATCH("2018::jama.2018.14280::C017",'C_jama.2018.14280'!$A$2:$A$24,0)))</x:f>
        <x:v>statistical_results</x:v>
      </x:c>
      <x:c r="U39" s="3" t="str">
        <x:f>IF(AND(INDEX('C_jama.2018.14280'!$D$2:$D$24,MATCH("2018::jama.2018.14280::C017",'C_jama.2018.14280'!$A$2:$A$24,0))="retain",INDEX('C_jama.2018.14280'!$E$2:$E$24,MATCH("2018::jama.2018.14280::C017",'C_jama.2018.14280'!$A$2:$A$24,0))="statistical_results"),IF(INDEX('C_jama.2018.14280'!$H$2:$H$24,MATCH("2018::jama.2018.14280::C017",'C_jama.2018.14280'!$A$2:$A$24,0))="","",INDEX('C_jama.2018.14280'!$H$2:$H$24,MATCH("2018::jama.2018.14280::C017",'C_jama.2018.14280'!$A$2:$A$24,0))),"not_applicable")</x:f>
        <x:v>not_applicable</x:v>
      </x:c>
      <x:c r="V39" s="3" t="str">
        <x:f>IF(AND(INDEX('C_jama.2018.14280'!$D$2:$D$24,MATCH("2018::jama.2018.14280::C017",'C_jama.2018.14280'!$A$2:$A$24,0))="retain",INDEX('C_jama.2018.14280'!$E$2:$E$24,MATCH("2018::jama.2018.14280::C017",'C_jama.2018.14280'!$A$2:$A$24,0))="statistical_results"),IF(INDEX('C_jama.2018.14280'!$I$2:$I$24,MATCH("2018::jama.2018.14280::C017",'C_jama.2018.14280'!$A$2:$A$24,0))="","",INDEX('C_jama.2018.14280'!$I$2:$I$24,MATCH("2018::jama.2018.14280::C017",'C_jama.2018.14280'!$A$2:$A$24,0))),"not_applicable")</x:f>
        <x:v>not_applicable</x:v>
      </x:c>
      <x:c r="W39" s="3" t="str">
        <x:f>IF(AND(INDEX('C_jama.2018.14280'!$D$2:$D$24,MATCH("2018::jama.2018.14280::C017",'C_jama.2018.14280'!$A$2:$A$24,0))="retain",INDEX('C_jama.2018.14280'!$E$2:$E$24,MATCH("2018::jama.2018.14280::C017",'C_jama.2018.14280'!$A$2:$A$24,0))="statistical_results"),IF(INDEX('C_jama.2018.14280'!$J$2:$J$24,MATCH("2018::jama.2018.14280::C017",'C_jama.2018.14280'!$A$2:$A$24,0))="","",INDEX('C_jama.2018.14280'!$J$2:$J$24,MATCH("2018::jama.2018.14280::C017",'C_jama.2018.14280'!$A$2:$A$24,0))),"not_applicable")</x:f>
        <x:v>not_applicable</x:v>
      </x:c>
      <x:c r="X39" s="3" t="str">
        <x:f>IF(AND(INDEX('C_jama.2018.14280'!$D$2:$D$24,MATCH("2018::jama.2018.14280::C017",'C_jama.2018.14280'!$A$2:$A$24,0))="retain",OR(INDEX('C_jama.2018.14280'!$E$2:$E$24,MATCH("2018::jama.2018.14280::C017",'C_jama.2018.14280'!$A$2:$A$24,0))="report_internal_inconsistency",INDEX('C_jama.2018.14280'!$E$2:$E$24,MATCH("2018::jama.2018.14280::C017",'C_jama.2018.14280'!$A$2:$A$24,0))="plan_material")),IF(INDEX('C_jama.2018.14280'!$K$2:$K$24,MATCH("2018::jama.2018.14280::C017",'C_jama.2018.14280'!$A$2:$A$24,0))="","",INDEX('C_jama.2018.14280'!$K$2:$K$24,MATCH("2018::jama.2018.14280::C017",'C_jama.2018.14280'!$A$2:$A$24,0))),"not_applicable")</x:f>
        <x:v>not_applicable</x:v>
      </x:c>
      <x:c r="Y39" s="3" t="str">
        <x:f>IF(AND(INDEX('C_jama.2018.14280'!$D$2:$D$24,MATCH("2018::jama.2018.14280::C017",'C_jama.2018.14280'!$A$2:$A$24,0))="retain",INDEX('C_jama.2018.14280'!$E$2:$E$24,MATCH("2018::jama.2018.14280::C017",'C_jama.2018.14280'!$A$2:$A$24,0))="protocol_report"),IF(INDEX('C_jama.2018.14280'!$L$2:$L$24,MATCH("2018::jama.2018.14280::C017",'C_jama.2018.14280'!$A$2:$A$24,0))="","",INDEX('C_jama.2018.14280'!$L$2:$L$24,MATCH("2018::jama.2018.14280::C017",'C_jama.2018.14280'!$A$2:$A$24,0))),"not_applicable")</x:f>
        <x:v>not_applicable</x:v>
      </x:c>
      <x:c r="Z39" s="3" t="str">
        <x:f>IF(INDEX('C_jama.2018.14280'!$R$2:$R$24,MATCH("2018::jama.2018.14280::C017",'C_jama.2018.14280'!$A$2:$A$24,0))="","",INDEX('C_jama.2018.14280'!$R$2:$R$24,MATCH("2018::jama.2018.14280::C017",'C_jama.2018.14280'!$A$2:$A$24,0)))</x:f>
      </x:c>
      <x:c r="AA39" s="3" t="str">
        <x:f>IF(INDEX('C_jama.2018.14280'!$N$2:$N$24,MATCH("2018::jama.2018.14280::C017",'C_jama.2018.14280'!$A$2:$A$24,0))="","",INDEX('C_jama.2018.14280'!$N$2:$N$24,MATCH("2018::jama.2018.14280::C017",'C_jama.2018.14280'!$A$2:$A$24,0)))</x:f>
      </x:c>
      <x:c r="AB39" s="3" t="str">
        <x:f>IF(INDEX('C_jama.2018.14280'!$O$2:$O$24,MATCH("2018::jama.2018.14280::C017",'C_jama.2018.14280'!$A$2:$A$24,0))="","",INDEX('C_jama.2018.14280'!$O$2:$O$24,MATCH("2018::jama.2018.14280::C017",'C_jama.2018.14280'!$A$2:$A$24,0)))</x:f>
      </x:c>
      <x:c r="AC39" s="3" t="str">
        <x:f>IF(INDEX('C_jama.2018.14280'!$P$2:$P$24,MATCH("2018::jama.2018.14280::C017",'C_jama.2018.14280'!$A$2:$A$24,0))="","",INDEX('C_jama.2018.14280'!$P$2:$P$24,MATCH("2018::jama.2018.14280::C017",'C_jama.2018.14280'!$A$2:$A$24,0)))</x:f>
      </x:c>
      <x:c r="AD39" s="3" t="str">
        <x:f>IF(INDEX('C_jama.2018.14280'!$Q$2:$Q$24,MATCH("2018::jama.2018.14280::C017",'C_jama.2018.14280'!$A$2:$A$24,0))="","",INDEX('C_jama.2018.14280'!$Q$2:$Q$24,MATCH("2018::jama.2018.14280::C017",'C_jama.2018.14280'!$A$2:$A$24,0)))</x:f>
      </x:c>
    </x:row>
    <x:row r="40" ht="65" customHeight="1">
      <x:c r="A40" s="6" t="n">
        <x:v>2018</x:v>
      </x:c>
      <x:c r="B40" s="6" t="str">
        <x:v>jama.2018.14280</x:v>
      </x:c>
      <x:c r="C40" s="6" t="str">
        <x:v>2018::jama.2018.14280::C018</x:v>
      </x:c>
      <x:c r="D40" s="6" t="str">
        <x:v>S_W</x:v>
      </x:c>
      <x:c r="E40" s="6" t="n">
        <x:f>Setup!$B$2</x:f>
        <x:v>0</x:v>
      </x:c>
      <x:c r="F40" s="6" t="str">
        <x:f>IF(Setup!$B$4="","",Setup!$B$4)</x:f>
      </x:c>
      <x:c r="G40" s="6" t="str">
        <x:f>IFERROR(INDEX('C_jama.2018.14280'!$G$2:$G$24,MATCH("2018::jama.2018.14280::C018",'C_jama.2018.14280'!$A$2:$A$24,0)),"CHECK KEY")</x:f>
        <x:v>CHECK REVIEWER IDs</x:v>
      </x:c>
      <x:c r="H40" s="6" t="str">
        <x:f>IF(G40&lt;&gt;"FINAL READY","",IF(S40&lt;&gt;"retain","not_eligible",IF(D40="P_R","protocol_descriptive",IF(D40="P_P","plan_descriptive",IF(AND(T40="statistical_results",OR(U40="confirmed_issue",U40="probable_issue"),V40="substantive"),"primary_temporal",IF(AND(T40="report_internal_inconsistency",X40="substantive_inconsistency"),"secondary_temporal","not_eligible"))))))</x:f>
      </x:c>
      <x:c r="I40" s="6" t="str">
        <x:v>retain</x:v>
      </x:c>
      <x:c r="J40" s="6" t="str">
        <x:v>statistical_results</x:v>
      </x:c>
      <x:c r="K40" s="6" t="str">
        <x:f>IF(Setup!$B$6="primary","",IFERROR(IF(INDEX('Primary_snapshot'!$B$2:$B$120,MATCH(C40,'Primary_snapshot'!$A$2:$A$120,0))="","",INDEX('Primary_snapshot'!$B$2:$B$120,MATCH(C40,'Primary_snapshot'!$A$2:$A$120,0))),"SNAPSHOT MISSING"))</x:f>
      </x:c>
      <x:c r="L40" s="6" t="str">
        <x:f>IF(Setup!$B$6="primary","",IFERROR(IF(INDEX('Primary_snapshot'!$C$2:$C$120,MATCH(C40,'Primary_snapshot'!$A$2:$A$120,0))="","",INDEX('Primary_snapshot'!$C$2:$C$120,MATCH(C40,'Primary_snapshot'!$A$2:$A$120,0))),"SNAPSHOT MISSING"))</x:f>
      </x:c>
      <x:c r="M40" s="6" t="str">
        <x:f>IF(Setup!$B$6="primary","",IFERROR(IF(INDEX('Primary_snapshot'!$D$2:$D$120,MATCH(C40,'Primary_snapshot'!$A$2:$A$120,0))="","",INDEX('Primary_snapshot'!$D$2:$D$120,MATCH(C40,'Primary_snapshot'!$A$2:$A$120,0))),"SNAPSHOT MISSING"))</x:f>
      </x:c>
      <x:c r="N40" s="6" t="str">
        <x:f>IF(Setup!$B$6="primary","",IFERROR(IF(INDEX('Primary_snapshot'!$E$2:$E$120,MATCH(C40,'Primary_snapshot'!$A$2:$A$120,0))="","",INDEX('Primary_snapshot'!$E$2:$E$120,MATCH(C40,'Primary_snapshot'!$A$2:$A$120,0))),"SNAPSHOT MISSING"))</x:f>
      </x:c>
      <x:c r="O40" s="6" t="str">
        <x:f>IF(Setup!$B$6="primary","",IFERROR(IF(INDEX('Primary_snapshot'!$F$2:$F$120,MATCH(C40,'Primary_snapshot'!$A$2:$A$120,0))="","",INDEX('Primary_snapshot'!$F$2:$F$120,MATCH(C40,'Primary_snapshot'!$A$2:$A$120,0))),"SNAPSHOT MISSING"))</x:f>
      </x:c>
      <x:c r="P40" s="6" t="str">
        <x:f>IF(Setup!$B$6="primary","",IFERROR(IF(INDEX('Primary_snapshot'!$G$2:$G$120,MATCH(C40,'Primary_snapshot'!$A$2:$A$120,0))="","",INDEX('Primary_snapshot'!$G$2:$G$120,MATCH(C40,'Primary_snapshot'!$A$2:$A$120,0))),"SNAPSHOT MISSING"))</x:f>
      </x:c>
      <x:c r="Q40" s="6" t="str">
        <x:f>IF(Setup!$B$6="primary","",IFERROR(IF(INDEX('Primary_snapshot'!$H$2:$H$120,MATCH(C40,'Primary_snapshot'!$A$2:$A$120,0))="","",INDEX('Primary_snapshot'!$H$2:$H$120,MATCH(C40,'Primary_snapshot'!$A$2:$A$120,0))),"SNAPSHOT MISSING"))</x:f>
      </x:c>
      <x:c r="R40" s="6" t="str">
        <x:f>IF(Setup!$B$6="primary","",IFERROR(IF(INDEX('Primary_snapshot'!$I$2:$I$120,MATCH(C40,'Primary_snapshot'!$A$2:$A$120,0))="","",INDEX('Primary_snapshot'!$I$2:$I$120,MATCH(C40,'Primary_snapshot'!$A$2:$A$120,0))),"SNAPSHOT MISSING"))</x:f>
      </x:c>
      <x:c r="S40" s="6" t="str">
        <x:f>IF(INDEX('C_jama.2018.14280'!$D$2:$D$24,MATCH("2018::jama.2018.14280::C018",'C_jama.2018.14280'!$A$2:$A$24,0))="","",INDEX('C_jama.2018.14280'!$D$2:$D$24,MATCH("2018::jama.2018.14280::C018",'C_jama.2018.14280'!$A$2:$A$24,0)))</x:f>
      </x:c>
      <x:c r="T40" s="6" t="str">
        <x:f>IF(INDEX('C_jama.2018.14280'!$E$2:$E$24,MATCH("2018::jama.2018.14280::C018",'C_jama.2018.14280'!$A$2:$A$24,0))="","",INDEX('C_jama.2018.14280'!$E$2:$E$24,MATCH("2018::jama.2018.14280::C018",'C_jama.2018.14280'!$A$2:$A$24,0)))</x:f>
        <x:v>statistical_results</x:v>
      </x:c>
      <x:c r="U40" s="6" t="str">
        <x:f>IF(AND(INDEX('C_jama.2018.14280'!$D$2:$D$24,MATCH("2018::jama.2018.14280::C018",'C_jama.2018.14280'!$A$2:$A$24,0))="retain",INDEX('C_jama.2018.14280'!$E$2:$E$24,MATCH("2018::jama.2018.14280::C018",'C_jama.2018.14280'!$A$2:$A$24,0))="statistical_results"),IF(INDEX('C_jama.2018.14280'!$H$2:$H$24,MATCH("2018::jama.2018.14280::C018",'C_jama.2018.14280'!$A$2:$A$24,0))="","",INDEX('C_jama.2018.14280'!$H$2:$H$24,MATCH("2018::jama.2018.14280::C018",'C_jama.2018.14280'!$A$2:$A$24,0))),"not_applicable")</x:f>
        <x:v>not_applicable</x:v>
      </x:c>
      <x:c r="V40" s="6" t="str">
        <x:f>IF(AND(INDEX('C_jama.2018.14280'!$D$2:$D$24,MATCH("2018::jama.2018.14280::C018",'C_jama.2018.14280'!$A$2:$A$24,0))="retain",INDEX('C_jama.2018.14280'!$E$2:$E$24,MATCH("2018::jama.2018.14280::C018",'C_jama.2018.14280'!$A$2:$A$24,0))="statistical_results"),IF(INDEX('C_jama.2018.14280'!$I$2:$I$24,MATCH("2018::jama.2018.14280::C018",'C_jama.2018.14280'!$A$2:$A$24,0))="","",INDEX('C_jama.2018.14280'!$I$2:$I$24,MATCH("2018::jama.2018.14280::C018",'C_jama.2018.14280'!$A$2:$A$24,0))),"not_applicable")</x:f>
        <x:v>not_applicable</x:v>
      </x:c>
      <x:c r="W40" s="6" t="str">
        <x:f>IF(AND(INDEX('C_jama.2018.14280'!$D$2:$D$24,MATCH("2018::jama.2018.14280::C018",'C_jama.2018.14280'!$A$2:$A$24,0))="retain",INDEX('C_jama.2018.14280'!$E$2:$E$24,MATCH("2018::jama.2018.14280::C018",'C_jama.2018.14280'!$A$2:$A$24,0))="statistical_results"),IF(INDEX('C_jama.2018.14280'!$J$2:$J$24,MATCH("2018::jama.2018.14280::C018",'C_jama.2018.14280'!$A$2:$A$24,0))="","",INDEX('C_jama.2018.14280'!$J$2:$J$24,MATCH("2018::jama.2018.14280::C018",'C_jama.2018.14280'!$A$2:$A$24,0))),"not_applicable")</x:f>
        <x:v>not_applicable</x:v>
      </x:c>
      <x:c r="X40" s="6" t="str">
        <x:f>IF(AND(INDEX('C_jama.2018.14280'!$D$2:$D$24,MATCH("2018::jama.2018.14280::C018",'C_jama.2018.14280'!$A$2:$A$24,0))="retain",OR(INDEX('C_jama.2018.14280'!$E$2:$E$24,MATCH("2018::jama.2018.14280::C018",'C_jama.2018.14280'!$A$2:$A$24,0))="report_internal_inconsistency",INDEX('C_jama.2018.14280'!$E$2:$E$24,MATCH("2018::jama.2018.14280::C018",'C_jama.2018.14280'!$A$2:$A$24,0))="plan_material")),IF(INDEX('C_jama.2018.14280'!$K$2:$K$24,MATCH("2018::jama.2018.14280::C018",'C_jama.2018.14280'!$A$2:$A$24,0))="","",INDEX('C_jama.2018.14280'!$K$2:$K$24,MATCH("2018::jama.2018.14280::C018",'C_jama.2018.14280'!$A$2:$A$24,0))),"not_applicable")</x:f>
        <x:v>not_applicable</x:v>
      </x:c>
      <x:c r="Y40" s="6" t="str">
        <x:f>IF(AND(INDEX('C_jama.2018.14280'!$D$2:$D$24,MATCH("2018::jama.2018.14280::C018",'C_jama.2018.14280'!$A$2:$A$24,0))="retain",INDEX('C_jama.2018.14280'!$E$2:$E$24,MATCH("2018::jama.2018.14280::C018",'C_jama.2018.14280'!$A$2:$A$24,0))="protocol_report"),IF(INDEX('C_jama.2018.14280'!$L$2:$L$24,MATCH("2018::jama.2018.14280::C018",'C_jama.2018.14280'!$A$2:$A$24,0))="","",INDEX('C_jama.2018.14280'!$L$2:$L$24,MATCH("2018::jama.2018.14280::C018",'C_jama.2018.14280'!$A$2:$A$24,0))),"not_applicable")</x:f>
        <x:v>not_applicable</x:v>
      </x:c>
      <x:c r="Z40" s="6" t="str">
        <x:f>IF(INDEX('C_jama.2018.14280'!$R$2:$R$24,MATCH("2018::jama.2018.14280::C018",'C_jama.2018.14280'!$A$2:$A$24,0))="","",INDEX('C_jama.2018.14280'!$R$2:$R$24,MATCH("2018::jama.2018.14280::C018",'C_jama.2018.14280'!$A$2:$A$24,0)))</x:f>
      </x:c>
      <x:c r="AA40" s="6" t="str">
        <x:f>IF(INDEX('C_jama.2018.14280'!$N$2:$N$24,MATCH("2018::jama.2018.14280::C018",'C_jama.2018.14280'!$A$2:$A$24,0))="","",INDEX('C_jama.2018.14280'!$N$2:$N$24,MATCH("2018::jama.2018.14280::C018",'C_jama.2018.14280'!$A$2:$A$24,0)))</x:f>
      </x:c>
      <x:c r="AB40" s="6" t="str">
        <x:f>IF(INDEX('C_jama.2018.14280'!$O$2:$O$24,MATCH("2018::jama.2018.14280::C018",'C_jama.2018.14280'!$A$2:$A$24,0))="","",INDEX('C_jama.2018.14280'!$O$2:$O$24,MATCH("2018::jama.2018.14280::C018",'C_jama.2018.14280'!$A$2:$A$24,0)))</x:f>
      </x:c>
      <x:c r="AC40" s="6" t="str">
        <x:f>IF(INDEX('C_jama.2018.14280'!$P$2:$P$24,MATCH("2018::jama.2018.14280::C018",'C_jama.2018.14280'!$A$2:$A$24,0))="","",INDEX('C_jama.2018.14280'!$P$2:$P$24,MATCH("2018::jama.2018.14280::C018",'C_jama.2018.14280'!$A$2:$A$24,0)))</x:f>
      </x:c>
      <x:c r="AD40" s="6" t="str">
        <x:f>IF(INDEX('C_jama.2018.14280'!$Q$2:$Q$24,MATCH("2018::jama.2018.14280::C018",'C_jama.2018.14280'!$A$2:$A$24,0))="","",INDEX('C_jama.2018.14280'!$Q$2:$Q$24,MATCH("2018::jama.2018.14280::C018",'C_jama.2018.14280'!$A$2:$A$24,0)))</x:f>
      </x:c>
    </x:row>
    <x:row r="41" ht="65" customHeight="1">
      <x:c r="A41" s="3" t="n">
        <x:v>2018</x:v>
      </x:c>
      <x:c r="B41" s="3" t="str">
        <x:v>jama.2018.14280</x:v>
      </x:c>
      <x:c r="C41" s="3" t="str">
        <x:v>2018::jama.2018.14280::C019</x:v>
      </x:c>
      <x:c r="D41" s="3" t="str">
        <x:v>S_W</x:v>
      </x:c>
      <x:c r="E41" s="3" t="n">
        <x:f>Setup!$B$2</x:f>
        <x:v>0</x:v>
      </x:c>
      <x:c r="F41" s="3" t="str">
        <x:f>IF(Setup!$B$4="","",Setup!$B$4)</x:f>
      </x:c>
      <x:c r="G41" s="3" t="str">
        <x:f>IFERROR(INDEX('C_jama.2018.14280'!$G$2:$G$24,MATCH("2018::jama.2018.14280::C019",'C_jama.2018.14280'!$A$2:$A$24,0)),"CHECK KEY")</x:f>
        <x:v>CHECK REVIEWER IDs</x:v>
      </x:c>
      <x:c r="H41" s="3" t="str">
        <x:f>IF(G41&lt;&gt;"FINAL READY","",IF(S41&lt;&gt;"retain","not_eligible",IF(D41="P_R","protocol_descriptive",IF(D41="P_P","plan_descriptive",IF(AND(T41="statistical_results",OR(U41="confirmed_issue",U41="probable_issue"),V41="substantive"),"primary_temporal",IF(AND(T41="report_internal_inconsistency",X41="substantive_inconsistency"),"secondary_temporal","not_eligible"))))))</x:f>
      </x:c>
      <x:c r="I41" s="3" t="str">
        <x:v>retain</x:v>
      </x:c>
      <x:c r="J41" s="3" t="str">
        <x:v>statistical_results</x:v>
      </x:c>
      <x:c r="K41" s="3" t="str">
        <x:f>IF(Setup!$B$6="primary","",IFERROR(IF(INDEX('Primary_snapshot'!$B$2:$B$120,MATCH(C41,'Primary_snapshot'!$A$2:$A$120,0))="","",INDEX('Primary_snapshot'!$B$2:$B$120,MATCH(C41,'Primary_snapshot'!$A$2:$A$120,0))),"SNAPSHOT MISSING"))</x:f>
      </x:c>
      <x:c r="L41" s="3" t="str">
        <x:f>IF(Setup!$B$6="primary","",IFERROR(IF(INDEX('Primary_snapshot'!$C$2:$C$120,MATCH(C41,'Primary_snapshot'!$A$2:$A$120,0))="","",INDEX('Primary_snapshot'!$C$2:$C$120,MATCH(C41,'Primary_snapshot'!$A$2:$A$120,0))),"SNAPSHOT MISSING"))</x:f>
      </x:c>
      <x:c r="M41" s="3" t="str">
        <x:f>IF(Setup!$B$6="primary","",IFERROR(IF(INDEX('Primary_snapshot'!$D$2:$D$120,MATCH(C41,'Primary_snapshot'!$A$2:$A$120,0))="","",INDEX('Primary_snapshot'!$D$2:$D$120,MATCH(C41,'Primary_snapshot'!$A$2:$A$120,0))),"SNAPSHOT MISSING"))</x:f>
      </x:c>
      <x:c r="N41" s="3" t="str">
        <x:f>IF(Setup!$B$6="primary","",IFERROR(IF(INDEX('Primary_snapshot'!$E$2:$E$120,MATCH(C41,'Primary_snapshot'!$A$2:$A$120,0))="","",INDEX('Primary_snapshot'!$E$2:$E$120,MATCH(C41,'Primary_snapshot'!$A$2:$A$120,0))),"SNAPSHOT MISSING"))</x:f>
      </x:c>
      <x:c r="O41" s="3" t="str">
        <x:f>IF(Setup!$B$6="primary","",IFERROR(IF(INDEX('Primary_snapshot'!$F$2:$F$120,MATCH(C41,'Primary_snapshot'!$A$2:$A$120,0))="","",INDEX('Primary_snapshot'!$F$2:$F$120,MATCH(C41,'Primary_snapshot'!$A$2:$A$120,0))),"SNAPSHOT MISSING"))</x:f>
      </x:c>
      <x:c r="P41" s="3" t="str">
        <x:f>IF(Setup!$B$6="primary","",IFERROR(IF(INDEX('Primary_snapshot'!$G$2:$G$120,MATCH(C41,'Primary_snapshot'!$A$2:$A$120,0))="","",INDEX('Primary_snapshot'!$G$2:$G$120,MATCH(C41,'Primary_snapshot'!$A$2:$A$120,0))),"SNAPSHOT MISSING"))</x:f>
      </x:c>
      <x:c r="Q41" s="3" t="str">
        <x:f>IF(Setup!$B$6="primary","",IFERROR(IF(INDEX('Primary_snapshot'!$H$2:$H$120,MATCH(C41,'Primary_snapshot'!$A$2:$A$120,0))="","",INDEX('Primary_snapshot'!$H$2:$H$120,MATCH(C41,'Primary_snapshot'!$A$2:$A$120,0))),"SNAPSHOT MISSING"))</x:f>
      </x:c>
      <x:c r="R41" s="3" t="str">
        <x:f>IF(Setup!$B$6="primary","",IFERROR(IF(INDEX('Primary_snapshot'!$I$2:$I$120,MATCH(C41,'Primary_snapshot'!$A$2:$A$120,0))="","",INDEX('Primary_snapshot'!$I$2:$I$120,MATCH(C41,'Primary_snapshot'!$A$2:$A$120,0))),"SNAPSHOT MISSING"))</x:f>
      </x:c>
      <x:c r="S41" s="3" t="str">
        <x:f>IF(INDEX('C_jama.2018.14280'!$D$2:$D$24,MATCH("2018::jama.2018.14280::C019",'C_jama.2018.14280'!$A$2:$A$24,0))="","",INDEX('C_jama.2018.14280'!$D$2:$D$24,MATCH("2018::jama.2018.14280::C019",'C_jama.2018.14280'!$A$2:$A$24,0)))</x:f>
      </x:c>
      <x:c r="T41" s="3" t="str">
        <x:f>IF(INDEX('C_jama.2018.14280'!$E$2:$E$24,MATCH("2018::jama.2018.14280::C019",'C_jama.2018.14280'!$A$2:$A$24,0))="","",INDEX('C_jama.2018.14280'!$E$2:$E$24,MATCH("2018::jama.2018.14280::C019",'C_jama.2018.14280'!$A$2:$A$24,0)))</x:f>
        <x:v>statistical_results</x:v>
      </x:c>
      <x:c r="U41" s="3" t="str">
        <x:f>IF(AND(INDEX('C_jama.2018.14280'!$D$2:$D$24,MATCH("2018::jama.2018.14280::C019",'C_jama.2018.14280'!$A$2:$A$24,0))="retain",INDEX('C_jama.2018.14280'!$E$2:$E$24,MATCH("2018::jama.2018.14280::C019",'C_jama.2018.14280'!$A$2:$A$24,0))="statistical_results"),IF(INDEX('C_jama.2018.14280'!$H$2:$H$24,MATCH("2018::jama.2018.14280::C019",'C_jama.2018.14280'!$A$2:$A$24,0))="","",INDEX('C_jama.2018.14280'!$H$2:$H$24,MATCH("2018::jama.2018.14280::C019",'C_jama.2018.14280'!$A$2:$A$24,0))),"not_applicable")</x:f>
        <x:v>not_applicable</x:v>
      </x:c>
      <x:c r="V41" s="3" t="str">
        <x:f>IF(AND(INDEX('C_jama.2018.14280'!$D$2:$D$24,MATCH("2018::jama.2018.14280::C019",'C_jama.2018.14280'!$A$2:$A$24,0))="retain",INDEX('C_jama.2018.14280'!$E$2:$E$24,MATCH("2018::jama.2018.14280::C019",'C_jama.2018.14280'!$A$2:$A$24,0))="statistical_results"),IF(INDEX('C_jama.2018.14280'!$I$2:$I$24,MATCH("2018::jama.2018.14280::C019",'C_jama.2018.14280'!$A$2:$A$24,0))="","",INDEX('C_jama.2018.14280'!$I$2:$I$24,MATCH("2018::jama.2018.14280::C019",'C_jama.2018.14280'!$A$2:$A$24,0))),"not_applicable")</x:f>
        <x:v>not_applicable</x:v>
      </x:c>
      <x:c r="W41" s="3" t="str">
        <x:f>IF(AND(INDEX('C_jama.2018.14280'!$D$2:$D$24,MATCH("2018::jama.2018.14280::C019",'C_jama.2018.14280'!$A$2:$A$24,0))="retain",INDEX('C_jama.2018.14280'!$E$2:$E$24,MATCH("2018::jama.2018.14280::C019",'C_jama.2018.14280'!$A$2:$A$24,0))="statistical_results"),IF(INDEX('C_jama.2018.14280'!$J$2:$J$24,MATCH("2018::jama.2018.14280::C019",'C_jama.2018.14280'!$A$2:$A$24,0))="","",INDEX('C_jama.2018.14280'!$J$2:$J$24,MATCH("2018::jama.2018.14280::C019",'C_jama.2018.14280'!$A$2:$A$24,0))),"not_applicable")</x:f>
        <x:v>not_applicable</x:v>
      </x:c>
      <x:c r="X41" s="3" t="str">
        <x:f>IF(AND(INDEX('C_jama.2018.14280'!$D$2:$D$24,MATCH("2018::jama.2018.14280::C019",'C_jama.2018.14280'!$A$2:$A$24,0))="retain",OR(INDEX('C_jama.2018.14280'!$E$2:$E$24,MATCH("2018::jama.2018.14280::C019",'C_jama.2018.14280'!$A$2:$A$24,0))="report_internal_inconsistency",INDEX('C_jama.2018.14280'!$E$2:$E$24,MATCH("2018::jama.2018.14280::C019",'C_jama.2018.14280'!$A$2:$A$24,0))="plan_material")),IF(INDEX('C_jama.2018.14280'!$K$2:$K$24,MATCH("2018::jama.2018.14280::C019",'C_jama.2018.14280'!$A$2:$A$24,0))="","",INDEX('C_jama.2018.14280'!$K$2:$K$24,MATCH("2018::jama.2018.14280::C019",'C_jama.2018.14280'!$A$2:$A$24,0))),"not_applicable")</x:f>
        <x:v>not_applicable</x:v>
      </x:c>
      <x:c r="Y41" s="3" t="str">
        <x:f>IF(AND(INDEX('C_jama.2018.14280'!$D$2:$D$24,MATCH("2018::jama.2018.14280::C019",'C_jama.2018.14280'!$A$2:$A$24,0))="retain",INDEX('C_jama.2018.14280'!$E$2:$E$24,MATCH("2018::jama.2018.14280::C019",'C_jama.2018.14280'!$A$2:$A$24,0))="protocol_report"),IF(INDEX('C_jama.2018.14280'!$L$2:$L$24,MATCH("2018::jama.2018.14280::C019",'C_jama.2018.14280'!$A$2:$A$24,0))="","",INDEX('C_jama.2018.14280'!$L$2:$L$24,MATCH("2018::jama.2018.14280::C019",'C_jama.2018.14280'!$A$2:$A$24,0))),"not_applicable")</x:f>
        <x:v>not_applicable</x:v>
      </x:c>
      <x:c r="Z41" s="3" t="str">
        <x:f>IF(INDEX('C_jama.2018.14280'!$R$2:$R$24,MATCH("2018::jama.2018.14280::C019",'C_jama.2018.14280'!$A$2:$A$24,0))="","",INDEX('C_jama.2018.14280'!$R$2:$R$24,MATCH("2018::jama.2018.14280::C019",'C_jama.2018.14280'!$A$2:$A$24,0)))</x:f>
      </x:c>
      <x:c r="AA41" s="3" t="str">
        <x:f>IF(INDEX('C_jama.2018.14280'!$N$2:$N$24,MATCH("2018::jama.2018.14280::C019",'C_jama.2018.14280'!$A$2:$A$24,0))="","",INDEX('C_jama.2018.14280'!$N$2:$N$24,MATCH("2018::jama.2018.14280::C019",'C_jama.2018.14280'!$A$2:$A$24,0)))</x:f>
      </x:c>
      <x:c r="AB41" s="3" t="str">
        <x:f>IF(INDEX('C_jama.2018.14280'!$O$2:$O$24,MATCH("2018::jama.2018.14280::C019",'C_jama.2018.14280'!$A$2:$A$24,0))="","",INDEX('C_jama.2018.14280'!$O$2:$O$24,MATCH("2018::jama.2018.14280::C019",'C_jama.2018.14280'!$A$2:$A$24,0)))</x:f>
      </x:c>
      <x:c r="AC41" s="3" t="str">
        <x:f>IF(INDEX('C_jama.2018.14280'!$P$2:$P$24,MATCH("2018::jama.2018.14280::C019",'C_jama.2018.14280'!$A$2:$A$24,0))="","",INDEX('C_jama.2018.14280'!$P$2:$P$24,MATCH("2018::jama.2018.14280::C019",'C_jama.2018.14280'!$A$2:$A$24,0)))</x:f>
      </x:c>
      <x:c r="AD41" s="3" t="str">
        <x:f>IF(INDEX('C_jama.2018.14280'!$Q$2:$Q$24,MATCH("2018::jama.2018.14280::C019",'C_jama.2018.14280'!$A$2:$A$24,0))="","",INDEX('C_jama.2018.14280'!$Q$2:$Q$24,MATCH("2018::jama.2018.14280::C019",'C_jama.2018.14280'!$A$2:$A$24,0)))</x:f>
      </x:c>
    </x:row>
    <x:row r="42" ht="65" customHeight="1">
      <x:c r="A42" s="6" t="n">
        <x:v>2018</x:v>
      </x:c>
      <x:c r="B42" s="6" t="str">
        <x:v>jama.2018.14280</x:v>
      </x:c>
      <x:c r="C42" s="6" t="str">
        <x:v>2018::jama.2018.14280::C020</x:v>
      </x:c>
      <x:c r="D42" s="6" t="str">
        <x:v>S_W</x:v>
      </x:c>
      <x:c r="E42" s="6" t="n">
        <x:f>Setup!$B$2</x:f>
        <x:v>0</x:v>
      </x:c>
      <x:c r="F42" s="6" t="str">
        <x:f>IF(Setup!$B$4="","",Setup!$B$4)</x:f>
      </x:c>
      <x:c r="G42" s="6" t="str">
        <x:f>IFERROR(INDEX('C_jama.2018.14280'!$G$2:$G$24,MATCH("2018::jama.2018.14280::C020",'C_jama.2018.14280'!$A$2:$A$24,0)),"CHECK KEY")</x:f>
        <x:v>CHECK REVIEWER IDs</x:v>
      </x:c>
      <x:c r="H42" s="6" t="str">
        <x:f>IF(G42&lt;&gt;"FINAL READY","",IF(S42&lt;&gt;"retain","not_eligible",IF(D42="P_R","protocol_descriptive",IF(D42="P_P","plan_descriptive",IF(AND(T42="statistical_results",OR(U42="confirmed_issue",U42="probable_issue"),V42="substantive"),"primary_temporal",IF(AND(T42="report_internal_inconsistency",X42="substantive_inconsistency"),"secondary_temporal","not_eligible"))))))</x:f>
      </x:c>
      <x:c r="I42" s="6" t="str">
        <x:v>retain</x:v>
      </x:c>
      <x:c r="J42" s="6" t="str">
        <x:v>statistical_results</x:v>
      </x:c>
      <x:c r="K42" s="6" t="str">
        <x:f>IF(Setup!$B$6="primary","",IFERROR(IF(INDEX('Primary_snapshot'!$B$2:$B$120,MATCH(C42,'Primary_snapshot'!$A$2:$A$120,0))="","",INDEX('Primary_snapshot'!$B$2:$B$120,MATCH(C42,'Primary_snapshot'!$A$2:$A$120,0))),"SNAPSHOT MISSING"))</x:f>
      </x:c>
      <x:c r="L42" s="6" t="str">
        <x:f>IF(Setup!$B$6="primary","",IFERROR(IF(INDEX('Primary_snapshot'!$C$2:$C$120,MATCH(C42,'Primary_snapshot'!$A$2:$A$120,0))="","",INDEX('Primary_snapshot'!$C$2:$C$120,MATCH(C42,'Primary_snapshot'!$A$2:$A$120,0))),"SNAPSHOT MISSING"))</x:f>
      </x:c>
      <x:c r="M42" s="6" t="str">
        <x:f>IF(Setup!$B$6="primary","",IFERROR(IF(INDEX('Primary_snapshot'!$D$2:$D$120,MATCH(C42,'Primary_snapshot'!$A$2:$A$120,0))="","",INDEX('Primary_snapshot'!$D$2:$D$120,MATCH(C42,'Primary_snapshot'!$A$2:$A$120,0))),"SNAPSHOT MISSING"))</x:f>
      </x:c>
      <x:c r="N42" s="6" t="str">
        <x:f>IF(Setup!$B$6="primary","",IFERROR(IF(INDEX('Primary_snapshot'!$E$2:$E$120,MATCH(C42,'Primary_snapshot'!$A$2:$A$120,0))="","",INDEX('Primary_snapshot'!$E$2:$E$120,MATCH(C42,'Primary_snapshot'!$A$2:$A$120,0))),"SNAPSHOT MISSING"))</x:f>
      </x:c>
      <x:c r="O42" s="6" t="str">
        <x:f>IF(Setup!$B$6="primary","",IFERROR(IF(INDEX('Primary_snapshot'!$F$2:$F$120,MATCH(C42,'Primary_snapshot'!$A$2:$A$120,0))="","",INDEX('Primary_snapshot'!$F$2:$F$120,MATCH(C42,'Primary_snapshot'!$A$2:$A$120,0))),"SNAPSHOT MISSING"))</x:f>
      </x:c>
      <x:c r="P42" s="6" t="str">
        <x:f>IF(Setup!$B$6="primary","",IFERROR(IF(INDEX('Primary_snapshot'!$G$2:$G$120,MATCH(C42,'Primary_snapshot'!$A$2:$A$120,0))="","",INDEX('Primary_snapshot'!$G$2:$G$120,MATCH(C42,'Primary_snapshot'!$A$2:$A$120,0))),"SNAPSHOT MISSING"))</x:f>
      </x:c>
      <x:c r="Q42" s="6" t="str">
        <x:f>IF(Setup!$B$6="primary","",IFERROR(IF(INDEX('Primary_snapshot'!$H$2:$H$120,MATCH(C42,'Primary_snapshot'!$A$2:$A$120,0))="","",INDEX('Primary_snapshot'!$H$2:$H$120,MATCH(C42,'Primary_snapshot'!$A$2:$A$120,0))),"SNAPSHOT MISSING"))</x:f>
      </x:c>
      <x:c r="R42" s="6" t="str">
        <x:f>IF(Setup!$B$6="primary","",IFERROR(IF(INDEX('Primary_snapshot'!$I$2:$I$120,MATCH(C42,'Primary_snapshot'!$A$2:$A$120,0))="","",INDEX('Primary_snapshot'!$I$2:$I$120,MATCH(C42,'Primary_snapshot'!$A$2:$A$120,0))),"SNAPSHOT MISSING"))</x:f>
      </x:c>
      <x:c r="S42" s="6" t="str">
        <x:f>IF(INDEX('C_jama.2018.14280'!$D$2:$D$24,MATCH("2018::jama.2018.14280::C020",'C_jama.2018.14280'!$A$2:$A$24,0))="","",INDEX('C_jama.2018.14280'!$D$2:$D$24,MATCH("2018::jama.2018.14280::C020",'C_jama.2018.14280'!$A$2:$A$24,0)))</x:f>
      </x:c>
      <x:c r="T42" s="6" t="str">
        <x:f>IF(INDEX('C_jama.2018.14280'!$E$2:$E$24,MATCH("2018::jama.2018.14280::C020",'C_jama.2018.14280'!$A$2:$A$24,0))="","",INDEX('C_jama.2018.14280'!$E$2:$E$24,MATCH("2018::jama.2018.14280::C020",'C_jama.2018.14280'!$A$2:$A$24,0)))</x:f>
        <x:v>statistical_results</x:v>
      </x:c>
      <x:c r="U42" s="6" t="str">
        <x:f>IF(AND(INDEX('C_jama.2018.14280'!$D$2:$D$24,MATCH("2018::jama.2018.14280::C020",'C_jama.2018.14280'!$A$2:$A$24,0))="retain",INDEX('C_jama.2018.14280'!$E$2:$E$24,MATCH("2018::jama.2018.14280::C020",'C_jama.2018.14280'!$A$2:$A$24,0))="statistical_results"),IF(INDEX('C_jama.2018.14280'!$H$2:$H$24,MATCH("2018::jama.2018.14280::C020",'C_jama.2018.14280'!$A$2:$A$24,0))="","",INDEX('C_jama.2018.14280'!$H$2:$H$24,MATCH("2018::jama.2018.14280::C020",'C_jama.2018.14280'!$A$2:$A$24,0))),"not_applicable")</x:f>
        <x:v>not_applicable</x:v>
      </x:c>
      <x:c r="V42" s="6" t="str">
        <x:f>IF(AND(INDEX('C_jama.2018.14280'!$D$2:$D$24,MATCH("2018::jama.2018.14280::C020",'C_jama.2018.14280'!$A$2:$A$24,0))="retain",INDEX('C_jama.2018.14280'!$E$2:$E$24,MATCH("2018::jama.2018.14280::C020",'C_jama.2018.14280'!$A$2:$A$24,0))="statistical_results"),IF(INDEX('C_jama.2018.14280'!$I$2:$I$24,MATCH("2018::jama.2018.14280::C020",'C_jama.2018.14280'!$A$2:$A$24,0))="","",INDEX('C_jama.2018.14280'!$I$2:$I$24,MATCH("2018::jama.2018.14280::C020",'C_jama.2018.14280'!$A$2:$A$24,0))),"not_applicable")</x:f>
        <x:v>not_applicable</x:v>
      </x:c>
      <x:c r="W42" s="6" t="str">
        <x:f>IF(AND(INDEX('C_jama.2018.14280'!$D$2:$D$24,MATCH("2018::jama.2018.14280::C020",'C_jama.2018.14280'!$A$2:$A$24,0))="retain",INDEX('C_jama.2018.14280'!$E$2:$E$24,MATCH("2018::jama.2018.14280::C020",'C_jama.2018.14280'!$A$2:$A$24,0))="statistical_results"),IF(INDEX('C_jama.2018.14280'!$J$2:$J$24,MATCH("2018::jama.2018.14280::C020",'C_jama.2018.14280'!$A$2:$A$24,0))="","",INDEX('C_jama.2018.14280'!$J$2:$J$24,MATCH("2018::jama.2018.14280::C020",'C_jama.2018.14280'!$A$2:$A$24,0))),"not_applicable")</x:f>
        <x:v>not_applicable</x:v>
      </x:c>
      <x:c r="X42" s="6" t="str">
        <x:f>IF(AND(INDEX('C_jama.2018.14280'!$D$2:$D$24,MATCH("2018::jama.2018.14280::C020",'C_jama.2018.14280'!$A$2:$A$24,0))="retain",OR(INDEX('C_jama.2018.14280'!$E$2:$E$24,MATCH("2018::jama.2018.14280::C020",'C_jama.2018.14280'!$A$2:$A$24,0))="report_internal_inconsistency",INDEX('C_jama.2018.14280'!$E$2:$E$24,MATCH("2018::jama.2018.14280::C020",'C_jama.2018.14280'!$A$2:$A$24,0))="plan_material")),IF(INDEX('C_jama.2018.14280'!$K$2:$K$24,MATCH("2018::jama.2018.14280::C020",'C_jama.2018.14280'!$A$2:$A$24,0))="","",INDEX('C_jama.2018.14280'!$K$2:$K$24,MATCH("2018::jama.2018.14280::C020",'C_jama.2018.14280'!$A$2:$A$24,0))),"not_applicable")</x:f>
        <x:v>not_applicable</x:v>
      </x:c>
      <x:c r="Y42" s="6" t="str">
        <x:f>IF(AND(INDEX('C_jama.2018.14280'!$D$2:$D$24,MATCH("2018::jama.2018.14280::C020",'C_jama.2018.14280'!$A$2:$A$24,0))="retain",INDEX('C_jama.2018.14280'!$E$2:$E$24,MATCH("2018::jama.2018.14280::C020",'C_jama.2018.14280'!$A$2:$A$24,0))="protocol_report"),IF(INDEX('C_jama.2018.14280'!$L$2:$L$24,MATCH("2018::jama.2018.14280::C020",'C_jama.2018.14280'!$A$2:$A$24,0))="","",INDEX('C_jama.2018.14280'!$L$2:$L$24,MATCH("2018::jama.2018.14280::C020",'C_jama.2018.14280'!$A$2:$A$24,0))),"not_applicable")</x:f>
        <x:v>not_applicable</x:v>
      </x:c>
      <x:c r="Z42" s="6" t="str">
        <x:f>IF(INDEX('C_jama.2018.14280'!$R$2:$R$24,MATCH("2018::jama.2018.14280::C020",'C_jama.2018.14280'!$A$2:$A$24,0))="","",INDEX('C_jama.2018.14280'!$R$2:$R$24,MATCH("2018::jama.2018.14280::C020",'C_jama.2018.14280'!$A$2:$A$24,0)))</x:f>
      </x:c>
      <x:c r="AA42" s="6" t="str">
        <x:f>IF(INDEX('C_jama.2018.14280'!$N$2:$N$24,MATCH("2018::jama.2018.14280::C020",'C_jama.2018.14280'!$A$2:$A$24,0))="","",INDEX('C_jama.2018.14280'!$N$2:$N$24,MATCH("2018::jama.2018.14280::C020",'C_jama.2018.14280'!$A$2:$A$24,0)))</x:f>
      </x:c>
      <x:c r="AB42" s="6" t="str">
        <x:f>IF(INDEX('C_jama.2018.14280'!$O$2:$O$24,MATCH("2018::jama.2018.14280::C020",'C_jama.2018.14280'!$A$2:$A$24,0))="","",INDEX('C_jama.2018.14280'!$O$2:$O$24,MATCH("2018::jama.2018.14280::C020",'C_jama.2018.14280'!$A$2:$A$24,0)))</x:f>
      </x:c>
      <x:c r="AC42" s="6" t="str">
        <x:f>IF(INDEX('C_jama.2018.14280'!$P$2:$P$24,MATCH("2018::jama.2018.14280::C020",'C_jama.2018.14280'!$A$2:$A$24,0))="","",INDEX('C_jama.2018.14280'!$P$2:$P$24,MATCH("2018::jama.2018.14280::C020",'C_jama.2018.14280'!$A$2:$A$24,0)))</x:f>
      </x:c>
      <x:c r="AD42" s="6" t="str">
        <x:f>IF(INDEX('C_jama.2018.14280'!$Q$2:$Q$24,MATCH("2018::jama.2018.14280::C020",'C_jama.2018.14280'!$A$2:$A$24,0))="","",INDEX('C_jama.2018.14280'!$Q$2:$Q$24,MATCH("2018::jama.2018.14280::C020",'C_jama.2018.14280'!$A$2:$A$24,0)))</x:f>
      </x:c>
    </x:row>
    <x:row r="43" ht="65" customHeight="1">
      <x:c r="A43" s="3" t="n">
        <x:v>2018</x:v>
      </x:c>
      <x:c r="B43" s="3" t="str">
        <x:v>jama.2018.14280</x:v>
      </x:c>
      <x:c r="C43" s="3" t="str">
        <x:v>2018::jama.2018.14280::C021</x:v>
      </x:c>
      <x:c r="D43" s="3" t="str">
        <x:v>S_W</x:v>
      </x:c>
      <x:c r="E43" s="3" t="n">
        <x:f>Setup!$B$2</x:f>
        <x:v>0</x:v>
      </x:c>
      <x:c r="F43" s="3" t="str">
        <x:f>IF(Setup!$B$4="","",Setup!$B$4)</x:f>
      </x:c>
      <x:c r="G43" s="3" t="str">
        <x:f>IFERROR(INDEX('C_jama.2018.14280'!$G$2:$G$24,MATCH("2018::jama.2018.14280::C021",'C_jama.2018.14280'!$A$2:$A$24,0)),"CHECK KEY")</x:f>
        <x:v>CHECK REVIEWER IDs</x:v>
      </x:c>
      <x:c r="H43" s="3" t="str">
        <x:f>IF(G43&lt;&gt;"FINAL READY","",IF(S43&lt;&gt;"retain","not_eligible",IF(D43="P_R","protocol_descriptive",IF(D43="P_P","plan_descriptive",IF(AND(T43="statistical_results",OR(U43="confirmed_issue",U43="probable_issue"),V43="substantive"),"primary_temporal",IF(AND(T43="report_internal_inconsistency",X43="substantive_inconsistency"),"secondary_temporal","not_eligible"))))))</x:f>
      </x:c>
      <x:c r="I43" s="3" t="str">
        <x:v>retain</x:v>
      </x:c>
      <x:c r="J43" s="3" t="str">
        <x:v>statistical_results</x:v>
      </x:c>
      <x:c r="K43" s="3" t="str">
        <x:f>IF(Setup!$B$6="primary","",IFERROR(IF(INDEX('Primary_snapshot'!$B$2:$B$120,MATCH(C43,'Primary_snapshot'!$A$2:$A$120,0))="","",INDEX('Primary_snapshot'!$B$2:$B$120,MATCH(C43,'Primary_snapshot'!$A$2:$A$120,0))),"SNAPSHOT MISSING"))</x:f>
      </x:c>
      <x:c r="L43" s="3" t="str">
        <x:f>IF(Setup!$B$6="primary","",IFERROR(IF(INDEX('Primary_snapshot'!$C$2:$C$120,MATCH(C43,'Primary_snapshot'!$A$2:$A$120,0))="","",INDEX('Primary_snapshot'!$C$2:$C$120,MATCH(C43,'Primary_snapshot'!$A$2:$A$120,0))),"SNAPSHOT MISSING"))</x:f>
      </x:c>
      <x:c r="M43" s="3" t="str">
        <x:f>IF(Setup!$B$6="primary","",IFERROR(IF(INDEX('Primary_snapshot'!$D$2:$D$120,MATCH(C43,'Primary_snapshot'!$A$2:$A$120,0))="","",INDEX('Primary_snapshot'!$D$2:$D$120,MATCH(C43,'Primary_snapshot'!$A$2:$A$120,0))),"SNAPSHOT MISSING"))</x:f>
      </x:c>
      <x:c r="N43" s="3" t="str">
        <x:f>IF(Setup!$B$6="primary","",IFERROR(IF(INDEX('Primary_snapshot'!$E$2:$E$120,MATCH(C43,'Primary_snapshot'!$A$2:$A$120,0))="","",INDEX('Primary_snapshot'!$E$2:$E$120,MATCH(C43,'Primary_snapshot'!$A$2:$A$120,0))),"SNAPSHOT MISSING"))</x:f>
      </x:c>
      <x:c r="O43" s="3" t="str">
        <x:f>IF(Setup!$B$6="primary","",IFERROR(IF(INDEX('Primary_snapshot'!$F$2:$F$120,MATCH(C43,'Primary_snapshot'!$A$2:$A$120,0))="","",INDEX('Primary_snapshot'!$F$2:$F$120,MATCH(C43,'Primary_snapshot'!$A$2:$A$120,0))),"SNAPSHOT MISSING"))</x:f>
      </x:c>
      <x:c r="P43" s="3" t="str">
        <x:f>IF(Setup!$B$6="primary","",IFERROR(IF(INDEX('Primary_snapshot'!$G$2:$G$120,MATCH(C43,'Primary_snapshot'!$A$2:$A$120,0))="","",INDEX('Primary_snapshot'!$G$2:$G$120,MATCH(C43,'Primary_snapshot'!$A$2:$A$120,0))),"SNAPSHOT MISSING"))</x:f>
      </x:c>
      <x:c r="Q43" s="3" t="str">
        <x:f>IF(Setup!$B$6="primary","",IFERROR(IF(INDEX('Primary_snapshot'!$H$2:$H$120,MATCH(C43,'Primary_snapshot'!$A$2:$A$120,0))="","",INDEX('Primary_snapshot'!$H$2:$H$120,MATCH(C43,'Primary_snapshot'!$A$2:$A$120,0))),"SNAPSHOT MISSING"))</x:f>
      </x:c>
      <x:c r="R43" s="3" t="str">
        <x:f>IF(Setup!$B$6="primary","",IFERROR(IF(INDEX('Primary_snapshot'!$I$2:$I$120,MATCH(C43,'Primary_snapshot'!$A$2:$A$120,0))="","",INDEX('Primary_snapshot'!$I$2:$I$120,MATCH(C43,'Primary_snapshot'!$A$2:$A$120,0))),"SNAPSHOT MISSING"))</x:f>
      </x:c>
      <x:c r="S43" s="3" t="str">
        <x:f>IF(INDEX('C_jama.2018.14280'!$D$2:$D$24,MATCH("2018::jama.2018.14280::C021",'C_jama.2018.14280'!$A$2:$A$24,0))="","",INDEX('C_jama.2018.14280'!$D$2:$D$24,MATCH("2018::jama.2018.14280::C021",'C_jama.2018.14280'!$A$2:$A$24,0)))</x:f>
      </x:c>
      <x:c r="T43" s="3" t="str">
        <x:f>IF(INDEX('C_jama.2018.14280'!$E$2:$E$24,MATCH("2018::jama.2018.14280::C021",'C_jama.2018.14280'!$A$2:$A$24,0))="","",INDEX('C_jama.2018.14280'!$E$2:$E$24,MATCH("2018::jama.2018.14280::C021",'C_jama.2018.14280'!$A$2:$A$24,0)))</x:f>
        <x:v>statistical_results</x:v>
      </x:c>
      <x:c r="U43" s="3" t="str">
        <x:f>IF(AND(INDEX('C_jama.2018.14280'!$D$2:$D$24,MATCH("2018::jama.2018.14280::C021",'C_jama.2018.14280'!$A$2:$A$24,0))="retain",INDEX('C_jama.2018.14280'!$E$2:$E$24,MATCH("2018::jama.2018.14280::C021",'C_jama.2018.14280'!$A$2:$A$24,0))="statistical_results"),IF(INDEX('C_jama.2018.14280'!$H$2:$H$24,MATCH("2018::jama.2018.14280::C021",'C_jama.2018.14280'!$A$2:$A$24,0))="","",INDEX('C_jama.2018.14280'!$H$2:$H$24,MATCH("2018::jama.2018.14280::C021",'C_jama.2018.14280'!$A$2:$A$24,0))),"not_applicable")</x:f>
        <x:v>not_applicable</x:v>
      </x:c>
      <x:c r="V43" s="3" t="str">
        <x:f>IF(AND(INDEX('C_jama.2018.14280'!$D$2:$D$24,MATCH("2018::jama.2018.14280::C021",'C_jama.2018.14280'!$A$2:$A$24,0))="retain",INDEX('C_jama.2018.14280'!$E$2:$E$24,MATCH("2018::jama.2018.14280::C021",'C_jama.2018.14280'!$A$2:$A$24,0))="statistical_results"),IF(INDEX('C_jama.2018.14280'!$I$2:$I$24,MATCH("2018::jama.2018.14280::C021",'C_jama.2018.14280'!$A$2:$A$24,0))="","",INDEX('C_jama.2018.14280'!$I$2:$I$24,MATCH("2018::jama.2018.14280::C021",'C_jama.2018.14280'!$A$2:$A$24,0))),"not_applicable")</x:f>
        <x:v>not_applicable</x:v>
      </x:c>
      <x:c r="W43" s="3" t="str">
        <x:f>IF(AND(INDEX('C_jama.2018.14280'!$D$2:$D$24,MATCH("2018::jama.2018.14280::C021",'C_jama.2018.14280'!$A$2:$A$24,0))="retain",INDEX('C_jama.2018.14280'!$E$2:$E$24,MATCH("2018::jama.2018.14280::C021",'C_jama.2018.14280'!$A$2:$A$24,0))="statistical_results"),IF(INDEX('C_jama.2018.14280'!$J$2:$J$24,MATCH("2018::jama.2018.14280::C021",'C_jama.2018.14280'!$A$2:$A$24,0))="","",INDEX('C_jama.2018.14280'!$J$2:$J$24,MATCH("2018::jama.2018.14280::C021",'C_jama.2018.14280'!$A$2:$A$24,0))),"not_applicable")</x:f>
        <x:v>not_applicable</x:v>
      </x:c>
      <x:c r="X43" s="3" t="str">
        <x:f>IF(AND(INDEX('C_jama.2018.14280'!$D$2:$D$24,MATCH("2018::jama.2018.14280::C021",'C_jama.2018.14280'!$A$2:$A$24,0))="retain",OR(INDEX('C_jama.2018.14280'!$E$2:$E$24,MATCH("2018::jama.2018.14280::C021",'C_jama.2018.14280'!$A$2:$A$24,0))="report_internal_inconsistency",INDEX('C_jama.2018.14280'!$E$2:$E$24,MATCH("2018::jama.2018.14280::C021",'C_jama.2018.14280'!$A$2:$A$24,0))="plan_material")),IF(INDEX('C_jama.2018.14280'!$K$2:$K$24,MATCH("2018::jama.2018.14280::C021",'C_jama.2018.14280'!$A$2:$A$24,0))="","",INDEX('C_jama.2018.14280'!$K$2:$K$24,MATCH("2018::jama.2018.14280::C021",'C_jama.2018.14280'!$A$2:$A$24,0))),"not_applicable")</x:f>
        <x:v>not_applicable</x:v>
      </x:c>
      <x:c r="Y43" s="3" t="str">
        <x:f>IF(AND(INDEX('C_jama.2018.14280'!$D$2:$D$24,MATCH("2018::jama.2018.14280::C021",'C_jama.2018.14280'!$A$2:$A$24,0))="retain",INDEX('C_jama.2018.14280'!$E$2:$E$24,MATCH("2018::jama.2018.14280::C021",'C_jama.2018.14280'!$A$2:$A$24,0))="protocol_report"),IF(INDEX('C_jama.2018.14280'!$L$2:$L$24,MATCH("2018::jama.2018.14280::C021",'C_jama.2018.14280'!$A$2:$A$24,0))="","",INDEX('C_jama.2018.14280'!$L$2:$L$24,MATCH("2018::jama.2018.14280::C021",'C_jama.2018.14280'!$A$2:$A$24,0))),"not_applicable")</x:f>
        <x:v>not_applicable</x:v>
      </x:c>
      <x:c r="Z43" s="3" t="str">
        <x:f>IF(INDEX('C_jama.2018.14280'!$R$2:$R$24,MATCH("2018::jama.2018.14280::C021",'C_jama.2018.14280'!$A$2:$A$24,0))="","",INDEX('C_jama.2018.14280'!$R$2:$R$24,MATCH("2018::jama.2018.14280::C021",'C_jama.2018.14280'!$A$2:$A$24,0)))</x:f>
      </x:c>
      <x:c r="AA43" s="3" t="str">
        <x:f>IF(INDEX('C_jama.2018.14280'!$N$2:$N$24,MATCH("2018::jama.2018.14280::C021",'C_jama.2018.14280'!$A$2:$A$24,0))="","",INDEX('C_jama.2018.14280'!$N$2:$N$24,MATCH("2018::jama.2018.14280::C021",'C_jama.2018.14280'!$A$2:$A$24,0)))</x:f>
      </x:c>
      <x:c r="AB43" s="3" t="str">
        <x:f>IF(INDEX('C_jama.2018.14280'!$O$2:$O$24,MATCH("2018::jama.2018.14280::C021",'C_jama.2018.14280'!$A$2:$A$24,0))="","",INDEX('C_jama.2018.14280'!$O$2:$O$24,MATCH("2018::jama.2018.14280::C021",'C_jama.2018.14280'!$A$2:$A$24,0)))</x:f>
      </x:c>
      <x:c r="AC43" s="3" t="str">
        <x:f>IF(INDEX('C_jama.2018.14280'!$P$2:$P$24,MATCH("2018::jama.2018.14280::C021",'C_jama.2018.14280'!$A$2:$A$24,0))="","",INDEX('C_jama.2018.14280'!$P$2:$P$24,MATCH("2018::jama.2018.14280::C021",'C_jama.2018.14280'!$A$2:$A$24,0)))</x:f>
      </x:c>
      <x:c r="AD43" s="3" t="str">
        <x:f>IF(INDEX('C_jama.2018.14280'!$Q$2:$Q$24,MATCH("2018::jama.2018.14280::C021",'C_jama.2018.14280'!$A$2:$A$24,0))="","",INDEX('C_jama.2018.14280'!$Q$2:$Q$24,MATCH("2018::jama.2018.14280::C021",'C_jama.2018.14280'!$A$2:$A$24,0)))</x:f>
      </x:c>
    </x:row>
    <x:row r="44" ht="65" customHeight="1">
      <x:c r="A44" s="6" t="n">
        <x:v>2018</x:v>
      </x:c>
      <x:c r="B44" s="6" t="str">
        <x:v>jama.2018.14280</x:v>
      </x:c>
      <x:c r="C44" s="6" t="str">
        <x:v>2018::jama.2018.14280::C022</x:v>
      </x:c>
      <x:c r="D44" s="6" t="str">
        <x:v>S_C</x:v>
      </x:c>
      <x:c r="E44" s="6" t="n">
        <x:f>Setup!$B$2</x:f>
        <x:v>0</x:v>
      </x:c>
      <x:c r="F44" s="6" t="str">
        <x:f>IF(Setup!$B$4="","",Setup!$B$4)</x:f>
      </x:c>
      <x:c r="G44" s="6" t="str">
        <x:f>IFERROR(INDEX('C_jama.2018.14280'!$G$2:$G$24,MATCH("2018::jama.2018.14280::C022",'C_jama.2018.14280'!$A$2:$A$24,0)),"CHECK KEY")</x:f>
        <x:v>CHECK REVIEWER IDs</x:v>
      </x:c>
      <x:c r="H44" s="6" t="str">
        <x:f>IF(G44&lt;&gt;"FINAL READY","",IF(S44&lt;&gt;"retain","not_eligible",IF(D44="P_R","protocol_descriptive",IF(D44="P_P","plan_descriptive",IF(AND(T44="statistical_results",OR(U44="confirmed_issue",U44="probable_issue"),V44="substantive"),"primary_temporal",IF(AND(T44="report_internal_inconsistency",X44="substantive_inconsistency"),"secondary_temporal","not_eligible"))))))</x:f>
      </x:c>
      <x:c r="I44" s="6" t="str">
        <x:v>retain</x:v>
      </x:c>
      <x:c r="J44" s="6" t="str">
        <x:v>report_internal_inconsistency</x:v>
      </x:c>
      <x:c r="K44" s="6" t="str">
        <x:f>IF(Setup!$B$6="primary","",IFERROR(IF(INDEX('Primary_snapshot'!$B$2:$B$120,MATCH(C44,'Primary_snapshot'!$A$2:$A$120,0))="","",INDEX('Primary_snapshot'!$B$2:$B$120,MATCH(C44,'Primary_snapshot'!$A$2:$A$120,0))),"SNAPSHOT MISSING"))</x:f>
      </x:c>
      <x:c r="L44" s="6" t="str">
        <x:f>IF(Setup!$B$6="primary","",IFERROR(IF(INDEX('Primary_snapshot'!$C$2:$C$120,MATCH(C44,'Primary_snapshot'!$A$2:$A$120,0))="","",INDEX('Primary_snapshot'!$C$2:$C$120,MATCH(C44,'Primary_snapshot'!$A$2:$A$120,0))),"SNAPSHOT MISSING"))</x:f>
      </x:c>
      <x:c r="M44" s="6" t="str">
        <x:f>IF(Setup!$B$6="primary","",IFERROR(IF(INDEX('Primary_snapshot'!$D$2:$D$120,MATCH(C44,'Primary_snapshot'!$A$2:$A$120,0))="","",INDEX('Primary_snapshot'!$D$2:$D$120,MATCH(C44,'Primary_snapshot'!$A$2:$A$120,0))),"SNAPSHOT MISSING"))</x:f>
      </x:c>
      <x:c r="N44" s="6" t="str">
        <x:f>IF(Setup!$B$6="primary","",IFERROR(IF(INDEX('Primary_snapshot'!$E$2:$E$120,MATCH(C44,'Primary_snapshot'!$A$2:$A$120,0))="","",INDEX('Primary_snapshot'!$E$2:$E$120,MATCH(C44,'Primary_snapshot'!$A$2:$A$120,0))),"SNAPSHOT MISSING"))</x:f>
      </x:c>
      <x:c r="O44" s="6" t="str">
        <x:f>IF(Setup!$B$6="primary","",IFERROR(IF(INDEX('Primary_snapshot'!$F$2:$F$120,MATCH(C44,'Primary_snapshot'!$A$2:$A$120,0))="","",INDEX('Primary_snapshot'!$F$2:$F$120,MATCH(C44,'Primary_snapshot'!$A$2:$A$120,0))),"SNAPSHOT MISSING"))</x:f>
      </x:c>
      <x:c r="P44" s="6" t="str">
        <x:f>IF(Setup!$B$6="primary","",IFERROR(IF(INDEX('Primary_snapshot'!$G$2:$G$120,MATCH(C44,'Primary_snapshot'!$A$2:$A$120,0))="","",INDEX('Primary_snapshot'!$G$2:$G$120,MATCH(C44,'Primary_snapshot'!$A$2:$A$120,0))),"SNAPSHOT MISSING"))</x:f>
      </x:c>
      <x:c r="Q44" s="6" t="str">
        <x:f>IF(Setup!$B$6="primary","",IFERROR(IF(INDEX('Primary_snapshot'!$H$2:$H$120,MATCH(C44,'Primary_snapshot'!$A$2:$A$120,0))="","",INDEX('Primary_snapshot'!$H$2:$H$120,MATCH(C44,'Primary_snapshot'!$A$2:$A$120,0))),"SNAPSHOT MISSING"))</x:f>
      </x:c>
      <x:c r="R44" s="6" t="str">
        <x:f>IF(Setup!$B$6="primary","",IFERROR(IF(INDEX('Primary_snapshot'!$I$2:$I$120,MATCH(C44,'Primary_snapshot'!$A$2:$A$120,0))="","",INDEX('Primary_snapshot'!$I$2:$I$120,MATCH(C44,'Primary_snapshot'!$A$2:$A$120,0))),"SNAPSHOT MISSING"))</x:f>
      </x:c>
      <x:c r="S44" s="6" t="str">
        <x:f>IF(INDEX('C_jama.2018.14280'!$D$2:$D$24,MATCH("2018::jama.2018.14280::C022",'C_jama.2018.14280'!$A$2:$A$24,0))="","",INDEX('C_jama.2018.14280'!$D$2:$D$24,MATCH("2018::jama.2018.14280::C022",'C_jama.2018.14280'!$A$2:$A$24,0)))</x:f>
      </x:c>
      <x:c r="T44" s="6" t="str">
        <x:f>IF(INDEX('C_jama.2018.14280'!$E$2:$E$24,MATCH("2018::jama.2018.14280::C022",'C_jama.2018.14280'!$A$2:$A$24,0))="","",INDEX('C_jama.2018.14280'!$E$2:$E$24,MATCH("2018::jama.2018.14280::C022",'C_jama.2018.14280'!$A$2:$A$24,0)))</x:f>
        <x:v>report_internal_inconsistency</x:v>
      </x:c>
      <x:c r="U44" s="6" t="str">
        <x:f>IF(AND(INDEX('C_jama.2018.14280'!$D$2:$D$24,MATCH("2018::jama.2018.14280::C022",'C_jama.2018.14280'!$A$2:$A$24,0))="retain",INDEX('C_jama.2018.14280'!$E$2:$E$24,MATCH("2018::jama.2018.14280::C022",'C_jama.2018.14280'!$A$2:$A$24,0))="statistical_results"),IF(INDEX('C_jama.2018.14280'!$H$2:$H$24,MATCH("2018::jama.2018.14280::C022",'C_jama.2018.14280'!$A$2:$A$24,0))="","",INDEX('C_jama.2018.14280'!$H$2:$H$24,MATCH("2018::jama.2018.14280::C022",'C_jama.2018.14280'!$A$2:$A$24,0))),"not_applicable")</x:f>
        <x:v>not_applicable</x:v>
      </x:c>
      <x:c r="V44" s="6" t="str">
        <x:f>IF(AND(INDEX('C_jama.2018.14280'!$D$2:$D$24,MATCH("2018::jama.2018.14280::C022",'C_jama.2018.14280'!$A$2:$A$24,0))="retain",INDEX('C_jama.2018.14280'!$E$2:$E$24,MATCH("2018::jama.2018.14280::C022",'C_jama.2018.14280'!$A$2:$A$24,0))="statistical_results"),IF(INDEX('C_jama.2018.14280'!$I$2:$I$24,MATCH("2018::jama.2018.14280::C022",'C_jama.2018.14280'!$A$2:$A$24,0))="","",INDEX('C_jama.2018.14280'!$I$2:$I$24,MATCH("2018::jama.2018.14280::C022",'C_jama.2018.14280'!$A$2:$A$24,0))),"not_applicable")</x:f>
        <x:v>not_applicable</x:v>
      </x:c>
      <x:c r="W44" s="6" t="str">
        <x:f>IF(AND(INDEX('C_jama.2018.14280'!$D$2:$D$24,MATCH("2018::jama.2018.14280::C022",'C_jama.2018.14280'!$A$2:$A$24,0))="retain",INDEX('C_jama.2018.14280'!$E$2:$E$24,MATCH("2018::jama.2018.14280::C022",'C_jama.2018.14280'!$A$2:$A$24,0))="statistical_results"),IF(INDEX('C_jama.2018.14280'!$J$2:$J$24,MATCH("2018::jama.2018.14280::C022",'C_jama.2018.14280'!$A$2:$A$24,0))="","",INDEX('C_jama.2018.14280'!$J$2:$J$24,MATCH("2018::jama.2018.14280::C022",'C_jama.2018.14280'!$A$2:$A$24,0))),"not_applicable")</x:f>
        <x:v>not_applicable</x:v>
      </x:c>
      <x:c r="X44" s="6" t="str">
        <x:f>IF(AND(INDEX('C_jama.2018.14280'!$D$2:$D$24,MATCH("2018::jama.2018.14280::C022",'C_jama.2018.14280'!$A$2:$A$24,0))="retain",OR(INDEX('C_jama.2018.14280'!$E$2:$E$24,MATCH("2018::jama.2018.14280::C022",'C_jama.2018.14280'!$A$2:$A$24,0))="report_internal_inconsistency",INDEX('C_jama.2018.14280'!$E$2:$E$24,MATCH("2018::jama.2018.14280::C022",'C_jama.2018.14280'!$A$2:$A$24,0))="plan_material")),IF(INDEX('C_jama.2018.14280'!$K$2:$K$24,MATCH("2018::jama.2018.14280::C022",'C_jama.2018.14280'!$A$2:$A$24,0))="","",INDEX('C_jama.2018.14280'!$K$2:$K$24,MATCH("2018::jama.2018.14280::C022",'C_jama.2018.14280'!$A$2:$A$24,0))),"not_applicable")</x:f>
        <x:v>not_applicable</x:v>
      </x:c>
      <x:c r="Y44" s="6" t="str">
        <x:f>IF(AND(INDEX('C_jama.2018.14280'!$D$2:$D$24,MATCH("2018::jama.2018.14280::C022",'C_jama.2018.14280'!$A$2:$A$24,0))="retain",INDEX('C_jama.2018.14280'!$E$2:$E$24,MATCH("2018::jama.2018.14280::C022",'C_jama.2018.14280'!$A$2:$A$24,0))="protocol_report"),IF(INDEX('C_jama.2018.14280'!$L$2:$L$24,MATCH("2018::jama.2018.14280::C022",'C_jama.2018.14280'!$A$2:$A$24,0))="","",INDEX('C_jama.2018.14280'!$L$2:$L$24,MATCH("2018::jama.2018.14280::C022",'C_jama.2018.14280'!$A$2:$A$24,0))),"not_applicable")</x:f>
        <x:v>not_applicable</x:v>
      </x:c>
      <x:c r="Z44" s="6" t="str">
        <x:f>IF(INDEX('C_jama.2018.14280'!$R$2:$R$24,MATCH("2018::jama.2018.14280::C022",'C_jama.2018.14280'!$A$2:$A$24,0))="","",INDEX('C_jama.2018.14280'!$R$2:$R$24,MATCH("2018::jama.2018.14280::C022",'C_jama.2018.14280'!$A$2:$A$24,0)))</x:f>
      </x:c>
      <x:c r="AA44" s="6" t="str">
        <x:f>IF(INDEX('C_jama.2018.14280'!$N$2:$N$24,MATCH("2018::jama.2018.14280::C022",'C_jama.2018.14280'!$A$2:$A$24,0))="","",INDEX('C_jama.2018.14280'!$N$2:$N$24,MATCH("2018::jama.2018.14280::C022",'C_jama.2018.14280'!$A$2:$A$24,0)))</x:f>
      </x:c>
      <x:c r="AB44" s="6" t="str">
        <x:f>IF(INDEX('C_jama.2018.14280'!$O$2:$O$24,MATCH("2018::jama.2018.14280::C022",'C_jama.2018.14280'!$A$2:$A$24,0))="","",INDEX('C_jama.2018.14280'!$O$2:$O$24,MATCH("2018::jama.2018.14280::C022",'C_jama.2018.14280'!$A$2:$A$24,0)))</x:f>
      </x:c>
      <x:c r="AC44" s="6" t="str">
        <x:f>IF(INDEX('C_jama.2018.14280'!$P$2:$P$24,MATCH("2018::jama.2018.14280::C022",'C_jama.2018.14280'!$A$2:$A$24,0))="","",INDEX('C_jama.2018.14280'!$P$2:$P$24,MATCH("2018::jama.2018.14280::C022",'C_jama.2018.14280'!$A$2:$A$24,0)))</x:f>
      </x:c>
      <x:c r="AD44" s="6" t="str">
        <x:f>IF(INDEX('C_jama.2018.14280'!$Q$2:$Q$24,MATCH("2018::jama.2018.14280::C022",'C_jama.2018.14280'!$A$2:$A$24,0))="","",INDEX('C_jama.2018.14280'!$Q$2:$Q$24,MATCH("2018::jama.2018.14280::C022",'C_jama.2018.14280'!$A$2:$A$24,0)))</x:f>
      </x:c>
    </x:row>
    <x:row r="45" ht="65" customHeight="1">
      <x:c r="A45" s="3" t="n">
        <x:v>2018</x:v>
      </x:c>
      <x:c r="B45" s="3" t="str">
        <x:v>jama.2018.14280</x:v>
      </x:c>
      <x:c r="C45" s="3" t="str">
        <x:v>2018::jama.2018.14280::C023</x:v>
      </x:c>
      <x:c r="D45" s="3" t="str">
        <x:v>P_R</x:v>
      </x:c>
      <x:c r="E45" s="3" t="n">
        <x:f>Setup!$B$2</x:f>
        <x:v>0</x:v>
      </x:c>
      <x:c r="F45" s="3" t="str">
        <x:f>IF(Setup!$B$4="","",Setup!$B$4)</x:f>
      </x:c>
      <x:c r="G45" s="3" t="str">
        <x:f>IFERROR(INDEX('C_jama.2018.14280'!$G$2:$G$24,MATCH("2018::jama.2018.14280::C023",'C_jama.2018.14280'!$A$2:$A$24,0)),"CHECK KEY")</x:f>
        <x:v>CHECK REVIEWER IDs</x:v>
      </x:c>
      <x:c r="H45" s="3" t="str">
        <x:f>IF(G45&lt;&gt;"FINAL READY","",IF(S45&lt;&gt;"retain","not_eligible",IF(D45="P_R","protocol_descriptive",IF(D45="P_P","plan_descriptive",IF(AND(T45="statistical_results",OR(U45="confirmed_issue",U45="probable_issue"),V45="substantive"),"primary_temporal",IF(AND(T45="report_internal_inconsistency",X45="substantive_inconsistency"),"secondary_temporal","not_eligible"))))))</x:f>
      </x:c>
      <x:c r="I45" s="3" t="str">
        <x:v>retain</x:v>
      </x:c>
      <x:c r="J45" s="3" t="str">
        <x:v>protocol_report</x:v>
      </x:c>
      <x:c r="K45" s="3" t="str">
        <x:f>IF(Setup!$B$6="primary","",IFERROR(IF(INDEX('Primary_snapshot'!$B$2:$B$120,MATCH(C45,'Primary_snapshot'!$A$2:$A$120,0))="","",INDEX('Primary_snapshot'!$B$2:$B$120,MATCH(C45,'Primary_snapshot'!$A$2:$A$120,0))),"SNAPSHOT MISSING"))</x:f>
      </x:c>
      <x:c r="L45" s="3" t="str">
        <x:f>IF(Setup!$B$6="primary","",IFERROR(IF(INDEX('Primary_snapshot'!$C$2:$C$120,MATCH(C45,'Primary_snapshot'!$A$2:$A$120,0))="","",INDEX('Primary_snapshot'!$C$2:$C$120,MATCH(C45,'Primary_snapshot'!$A$2:$A$120,0))),"SNAPSHOT MISSING"))</x:f>
      </x:c>
      <x:c r="M45" s="3" t="str">
        <x:f>IF(Setup!$B$6="primary","",IFERROR(IF(INDEX('Primary_snapshot'!$D$2:$D$120,MATCH(C45,'Primary_snapshot'!$A$2:$A$120,0))="","",INDEX('Primary_snapshot'!$D$2:$D$120,MATCH(C45,'Primary_snapshot'!$A$2:$A$120,0))),"SNAPSHOT MISSING"))</x:f>
      </x:c>
      <x:c r="N45" s="3" t="str">
        <x:f>IF(Setup!$B$6="primary","",IFERROR(IF(INDEX('Primary_snapshot'!$E$2:$E$120,MATCH(C45,'Primary_snapshot'!$A$2:$A$120,0))="","",INDEX('Primary_snapshot'!$E$2:$E$120,MATCH(C45,'Primary_snapshot'!$A$2:$A$120,0))),"SNAPSHOT MISSING"))</x:f>
      </x:c>
      <x:c r="O45" s="3" t="str">
        <x:f>IF(Setup!$B$6="primary","",IFERROR(IF(INDEX('Primary_snapshot'!$F$2:$F$120,MATCH(C45,'Primary_snapshot'!$A$2:$A$120,0))="","",INDEX('Primary_snapshot'!$F$2:$F$120,MATCH(C45,'Primary_snapshot'!$A$2:$A$120,0))),"SNAPSHOT MISSING"))</x:f>
      </x:c>
      <x:c r="P45" s="3" t="str">
        <x:f>IF(Setup!$B$6="primary","",IFERROR(IF(INDEX('Primary_snapshot'!$G$2:$G$120,MATCH(C45,'Primary_snapshot'!$A$2:$A$120,0))="","",INDEX('Primary_snapshot'!$G$2:$G$120,MATCH(C45,'Primary_snapshot'!$A$2:$A$120,0))),"SNAPSHOT MISSING"))</x:f>
      </x:c>
      <x:c r="Q45" s="3" t="str">
        <x:f>IF(Setup!$B$6="primary","",IFERROR(IF(INDEX('Primary_snapshot'!$H$2:$H$120,MATCH(C45,'Primary_snapshot'!$A$2:$A$120,0))="","",INDEX('Primary_snapshot'!$H$2:$H$120,MATCH(C45,'Primary_snapshot'!$A$2:$A$120,0))),"SNAPSHOT MISSING"))</x:f>
      </x:c>
      <x:c r="R45" s="3" t="str">
        <x:f>IF(Setup!$B$6="primary","",IFERROR(IF(INDEX('Primary_snapshot'!$I$2:$I$120,MATCH(C45,'Primary_snapshot'!$A$2:$A$120,0))="","",INDEX('Primary_snapshot'!$I$2:$I$120,MATCH(C45,'Primary_snapshot'!$A$2:$A$120,0))),"SNAPSHOT MISSING"))</x:f>
      </x:c>
      <x:c r="S45" s="3" t="str">
        <x:f>IF(INDEX('C_jama.2018.14280'!$D$2:$D$24,MATCH("2018::jama.2018.14280::C023",'C_jama.2018.14280'!$A$2:$A$24,0))="","",INDEX('C_jama.2018.14280'!$D$2:$D$24,MATCH("2018::jama.2018.14280::C023",'C_jama.2018.14280'!$A$2:$A$24,0)))</x:f>
      </x:c>
      <x:c r="T45" s="3" t="str">
        <x:f>IF(INDEX('C_jama.2018.14280'!$E$2:$E$24,MATCH("2018::jama.2018.14280::C023",'C_jama.2018.14280'!$A$2:$A$24,0))="","",INDEX('C_jama.2018.14280'!$E$2:$E$24,MATCH("2018::jama.2018.14280::C023",'C_jama.2018.14280'!$A$2:$A$24,0)))</x:f>
        <x:v>protocol_report</x:v>
      </x:c>
      <x:c r="U45" s="3" t="str">
        <x:f>IF(AND(INDEX('C_jama.2018.14280'!$D$2:$D$24,MATCH("2018::jama.2018.14280::C023",'C_jama.2018.14280'!$A$2:$A$24,0))="retain",INDEX('C_jama.2018.14280'!$E$2:$E$24,MATCH("2018::jama.2018.14280::C023",'C_jama.2018.14280'!$A$2:$A$24,0))="statistical_results"),IF(INDEX('C_jama.2018.14280'!$H$2:$H$24,MATCH("2018::jama.2018.14280::C023",'C_jama.2018.14280'!$A$2:$A$24,0))="","",INDEX('C_jama.2018.14280'!$H$2:$H$24,MATCH("2018::jama.2018.14280::C023",'C_jama.2018.14280'!$A$2:$A$24,0))),"not_applicable")</x:f>
        <x:v>not_applicable</x:v>
      </x:c>
      <x:c r="V45" s="3" t="str">
        <x:f>IF(AND(INDEX('C_jama.2018.14280'!$D$2:$D$24,MATCH("2018::jama.2018.14280::C023",'C_jama.2018.14280'!$A$2:$A$24,0))="retain",INDEX('C_jama.2018.14280'!$E$2:$E$24,MATCH("2018::jama.2018.14280::C023",'C_jama.2018.14280'!$A$2:$A$24,0))="statistical_results"),IF(INDEX('C_jama.2018.14280'!$I$2:$I$24,MATCH("2018::jama.2018.14280::C023",'C_jama.2018.14280'!$A$2:$A$24,0))="","",INDEX('C_jama.2018.14280'!$I$2:$I$24,MATCH("2018::jama.2018.14280::C023",'C_jama.2018.14280'!$A$2:$A$24,0))),"not_applicable")</x:f>
        <x:v>not_applicable</x:v>
      </x:c>
      <x:c r="W45" s="3" t="str">
        <x:f>IF(AND(INDEX('C_jama.2018.14280'!$D$2:$D$24,MATCH("2018::jama.2018.14280::C023",'C_jama.2018.14280'!$A$2:$A$24,0))="retain",INDEX('C_jama.2018.14280'!$E$2:$E$24,MATCH("2018::jama.2018.14280::C023",'C_jama.2018.14280'!$A$2:$A$24,0))="statistical_results"),IF(INDEX('C_jama.2018.14280'!$J$2:$J$24,MATCH("2018::jama.2018.14280::C023",'C_jama.2018.14280'!$A$2:$A$24,0))="","",INDEX('C_jama.2018.14280'!$J$2:$J$24,MATCH("2018::jama.2018.14280::C023",'C_jama.2018.14280'!$A$2:$A$24,0))),"not_applicable")</x:f>
        <x:v>not_applicable</x:v>
      </x:c>
      <x:c r="X45" s="3" t="str">
        <x:f>IF(AND(INDEX('C_jama.2018.14280'!$D$2:$D$24,MATCH("2018::jama.2018.14280::C023",'C_jama.2018.14280'!$A$2:$A$24,0))="retain",OR(INDEX('C_jama.2018.14280'!$E$2:$E$24,MATCH("2018::jama.2018.14280::C023",'C_jama.2018.14280'!$A$2:$A$24,0))="report_internal_inconsistency",INDEX('C_jama.2018.14280'!$E$2:$E$24,MATCH("2018::jama.2018.14280::C023",'C_jama.2018.14280'!$A$2:$A$24,0))="plan_material")),IF(INDEX('C_jama.2018.14280'!$K$2:$K$24,MATCH("2018::jama.2018.14280::C023",'C_jama.2018.14280'!$A$2:$A$24,0))="","",INDEX('C_jama.2018.14280'!$K$2:$K$24,MATCH("2018::jama.2018.14280::C023",'C_jama.2018.14280'!$A$2:$A$24,0))),"not_applicable")</x:f>
        <x:v>not_applicable</x:v>
      </x:c>
      <x:c r="Y45" s="3" t="str">
        <x:f>IF(AND(INDEX('C_jama.2018.14280'!$D$2:$D$24,MATCH("2018::jama.2018.14280::C023",'C_jama.2018.14280'!$A$2:$A$24,0))="retain",INDEX('C_jama.2018.14280'!$E$2:$E$24,MATCH("2018::jama.2018.14280::C023",'C_jama.2018.14280'!$A$2:$A$24,0))="protocol_report"),IF(INDEX('C_jama.2018.14280'!$L$2:$L$24,MATCH("2018::jama.2018.14280::C023",'C_jama.2018.14280'!$A$2:$A$24,0))="","",INDEX('C_jama.2018.14280'!$L$2:$L$24,MATCH("2018::jama.2018.14280::C023",'C_jama.2018.14280'!$A$2:$A$24,0))),"not_applicable")</x:f>
        <x:v>not_applicable</x:v>
      </x:c>
      <x:c r="Z45" s="3" t="str">
        <x:f>IF(INDEX('C_jama.2018.14280'!$R$2:$R$24,MATCH("2018::jama.2018.14280::C023",'C_jama.2018.14280'!$A$2:$A$24,0))="","",INDEX('C_jama.2018.14280'!$R$2:$R$24,MATCH("2018::jama.2018.14280::C023",'C_jama.2018.14280'!$A$2:$A$24,0)))</x:f>
      </x:c>
      <x:c r="AA45" s="3" t="str">
        <x:f>IF(INDEX('C_jama.2018.14280'!$N$2:$N$24,MATCH("2018::jama.2018.14280::C023",'C_jama.2018.14280'!$A$2:$A$24,0))="","",INDEX('C_jama.2018.14280'!$N$2:$N$24,MATCH("2018::jama.2018.14280::C023",'C_jama.2018.14280'!$A$2:$A$24,0)))</x:f>
      </x:c>
      <x:c r="AB45" s="3" t="str">
        <x:f>IF(INDEX('C_jama.2018.14280'!$O$2:$O$24,MATCH("2018::jama.2018.14280::C023",'C_jama.2018.14280'!$A$2:$A$24,0))="","",INDEX('C_jama.2018.14280'!$O$2:$O$24,MATCH("2018::jama.2018.14280::C023",'C_jama.2018.14280'!$A$2:$A$24,0)))</x:f>
      </x:c>
      <x:c r="AC45" s="3" t="str">
        <x:f>IF(INDEX('C_jama.2018.14280'!$P$2:$P$24,MATCH("2018::jama.2018.14280::C023",'C_jama.2018.14280'!$A$2:$A$24,0))="","",INDEX('C_jama.2018.14280'!$P$2:$P$24,MATCH("2018::jama.2018.14280::C023",'C_jama.2018.14280'!$A$2:$A$24,0)))</x:f>
      </x:c>
      <x:c r="AD45" s="3" t="str">
        <x:f>IF(INDEX('C_jama.2018.14280'!$Q$2:$Q$24,MATCH("2018::jama.2018.14280::C023",'C_jama.2018.14280'!$A$2:$A$24,0))="","",INDEX('C_jama.2018.14280'!$Q$2:$Q$24,MATCH("2018::jama.2018.14280::C023",'C_jama.2018.14280'!$A$2:$A$24,0)))</x:f>
      </x:c>
    </x:row>
    <x:row r="46" ht="65" customHeight="1">
      <x:c r="A46" s="6" t="n">
        <x:v>2018</x:v>
      </x:c>
      <x:c r="B46" s="6" t="str">
        <x:v>jama.2018.14282</x:v>
      </x:c>
      <x:c r="C46" s="6" t="str">
        <x:v>2018::jama.2018.14282::C001</x:v>
      </x:c>
      <x:c r="D46" s="6" t="str">
        <x:v>S_W</x:v>
      </x:c>
      <x:c r="E46" s="6" t="n">
        <x:f>Setup!$B$2</x:f>
        <x:v>0</x:v>
      </x:c>
      <x:c r="F46" s="6" t="str">
        <x:f>IF(Setup!$B$4="","",Setup!$B$4)</x:f>
      </x:c>
      <x:c r="G46" s="6" t="str">
        <x:f>IFERROR(INDEX('C_jama.2018.14282'!$G$2:$G$29,MATCH("2018::jama.2018.14282::C001",'C_jama.2018.14282'!$A$2:$A$29,0)),"CHECK KEY")</x:f>
        <x:v>CHECK REVIEWER IDs</x:v>
      </x:c>
      <x:c r="H46" s="6" t="str">
        <x:f>IF(G46&lt;&gt;"FINAL READY","",IF(S46&lt;&gt;"retain","not_eligible",IF(D46="P_R","protocol_descriptive",IF(D46="P_P","plan_descriptive",IF(AND(T46="statistical_results",OR(U46="confirmed_issue",U46="probable_issue"),V46="substantive"),"primary_temporal",IF(AND(T46="report_internal_inconsistency",X46="substantive_inconsistency"),"secondary_temporal","not_eligible"))))))</x:f>
      </x:c>
      <x:c r="I46" s="6" t="str">
        <x:v>retain</x:v>
      </x:c>
      <x:c r="J46" s="6" t="str">
        <x:v>statistical_results</x:v>
      </x:c>
      <x:c r="K46" s="6" t="str">
        <x:f>IF(Setup!$B$6="primary","",IFERROR(IF(INDEX('Primary_snapshot'!$B$2:$B$120,MATCH(C46,'Primary_snapshot'!$A$2:$A$120,0))="","",INDEX('Primary_snapshot'!$B$2:$B$120,MATCH(C46,'Primary_snapshot'!$A$2:$A$120,0))),"SNAPSHOT MISSING"))</x:f>
      </x:c>
      <x:c r="L46" s="6" t="str">
        <x:f>IF(Setup!$B$6="primary","",IFERROR(IF(INDEX('Primary_snapshot'!$C$2:$C$120,MATCH(C46,'Primary_snapshot'!$A$2:$A$120,0))="","",INDEX('Primary_snapshot'!$C$2:$C$120,MATCH(C46,'Primary_snapshot'!$A$2:$A$120,0))),"SNAPSHOT MISSING"))</x:f>
      </x:c>
      <x:c r="M46" s="6" t="str">
        <x:f>IF(Setup!$B$6="primary","",IFERROR(IF(INDEX('Primary_snapshot'!$D$2:$D$120,MATCH(C46,'Primary_snapshot'!$A$2:$A$120,0))="","",INDEX('Primary_snapshot'!$D$2:$D$120,MATCH(C46,'Primary_snapshot'!$A$2:$A$120,0))),"SNAPSHOT MISSING"))</x:f>
      </x:c>
      <x:c r="N46" s="6" t="str">
        <x:f>IF(Setup!$B$6="primary","",IFERROR(IF(INDEX('Primary_snapshot'!$E$2:$E$120,MATCH(C46,'Primary_snapshot'!$A$2:$A$120,0))="","",INDEX('Primary_snapshot'!$E$2:$E$120,MATCH(C46,'Primary_snapshot'!$A$2:$A$120,0))),"SNAPSHOT MISSING"))</x:f>
      </x:c>
      <x:c r="O46" s="6" t="str">
        <x:f>IF(Setup!$B$6="primary","",IFERROR(IF(INDEX('Primary_snapshot'!$F$2:$F$120,MATCH(C46,'Primary_snapshot'!$A$2:$A$120,0))="","",INDEX('Primary_snapshot'!$F$2:$F$120,MATCH(C46,'Primary_snapshot'!$A$2:$A$120,0))),"SNAPSHOT MISSING"))</x:f>
      </x:c>
      <x:c r="P46" s="6" t="str">
        <x:f>IF(Setup!$B$6="primary","",IFERROR(IF(INDEX('Primary_snapshot'!$G$2:$G$120,MATCH(C46,'Primary_snapshot'!$A$2:$A$120,0))="","",INDEX('Primary_snapshot'!$G$2:$G$120,MATCH(C46,'Primary_snapshot'!$A$2:$A$120,0))),"SNAPSHOT MISSING"))</x:f>
      </x:c>
      <x:c r="Q46" s="6" t="str">
        <x:f>IF(Setup!$B$6="primary","",IFERROR(IF(INDEX('Primary_snapshot'!$H$2:$H$120,MATCH(C46,'Primary_snapshot'!$A$2:$A$120,0))="","",INDEX('Primary_snapshot'!$H$2:$H$120,MATCH(C46,'Primary_snapshot'!$A$2:$A$120,0))),"SNAPSHOT MISSING"))</x:f>
      </x:c>
      <x:c r="R46" s="6" t="str">
        <x:f>IF(Setup!$B$6="primary","",IFERROR(IF(INDEX('Primary_snapshot'!$I$2:$I$120,MATCH(C46,'Primary_snapshot'!$A$2:$A$120,0))="","",INDEX('Primary_snapshot'!$I$2:$I$120,MATCH(C46,'Primary_snapshot'!$A$2:$A$120,0))),"SNAPSHOT MISSING"))</x:f>
      </x:c>
      <x:c r="S46" s="6" t="str">
        <x:f>IF(INDEX('C_jama.2018.14282'!$D$2:$D$29,MATCH("2018::jama.2018.14282::C001",'C_jama.2018.14282'!$A$2:$A$29,0))="","",INDEX('C_jama.2018.14282'!$D$2:$D$29,MATCH("2018::jama.2018.14282::C001",'C_jama.2018.14282'!$A$2:$A$29,0)))</x:f>
      </x:c>
      <x:c r="T46" s="6" t="str">
        <x:f>IF(INDEX('C_jama.2018.14282'!$E$2:$E$29,MATCH("2018::jama.2018.14282::C001",'C_jama.2018.14282'!$A$2:$A$29,0))="","",INDEX('C_jama.2018.14282'!$E$2:$E$29,MATCH("2018::jama.2018.14282::C001",'C_jama.2018.14282'!$A$2:$A$29,0)))</x:f>
        <x:v>statistical_results</x:v>
      </x:c>
      <x:c r="U46" s="6" t="str">
        <x:f>IF(AND(INDEX('C_jama.2018.14282'!$D$2:$D$29,MATCH("2018::jama.2018.14282::C001",'C_jama.2018.14282'!$A$2:$A$29,0))="retain",INDEX('C_jama.2018.14282'!$E$2:$E$29,MATCH("2018::jama.2018.14282::C001",'C_jama.2018.14282'!$A$2:$A$29,0))="statistical_results"),IF(INDEX('C_jama.2018.14282'!$H$2:$H$29,MATCH("2018::jama.2018.14282::C001",'C_jama.2018.14282'!$A$2:$A$29,0))="","",INDEX('C_jama.2018.14282'!$H$2:$H$29,MATCH("2018::jama.2018.14282::C001",'C_jama.2018.14282'!$A$2:$A$29,0))),"not_applicable")</x:f>
        <x:v>not_applicable</x:v>
      </x:c>
      <x:c r="V46" s="6" t="str">
        <x:f>IF(AND(INDEX('C_jama.2018.14282'!$D$2:$D$29,MATCH("2018::jama.2018.14282::C001",'C_jama.2018.14282'!$A$2:$A$29,0))="retain",INDEX('C_jama.2018.14282'!$E$2:$E$29,MATCH("2018::jama.2018.14282::C001",'C_jama.2018.14282'!$A$2:$A$29,0))="statistical_results"),IF(INDEX('C_jama.2018.14282'!$I$2:$I$29,MATCH("2018::jama.2018.14282::C001",'C_jama.2018.14282'!$A$2:$A$29,0))="","",INDEX('C_jama.2018.14282'!$I$2:$I$29,MATCH("2018::jama.2018.14282::C001",'C_jama.2018.14282'!$A$2:$A$29,0))),"not_applicable")</x:f>
        <x:v>not_applicable</x:v>
      </x:c>
      <x:c r="W46" s="6" t="str">
        <x:f>IF(AND(INDEX('C_jama.2018.14282'!$D$2:$D$29,MATCH("2018::jama.2018.14282::C001",'C_jama.2018.14282'!$A$2:$A$29,0))="retain",INDEX('C_jama.2018.14282'!$E$2:$E$29,MATCH("2018::jama.2018.14282::C001",'C_jama.2018.14282'!$A$2:$A$29,0))="statistical_results"),IF(INDEX('C_jama.2018.14282'!$J$2:$J$29,MATCH("2018::jama.2018.14282::C001",'C_jama.2018.14282'!$A$2:$A$29,0))="","",INDEX('C_jama.2018.14282'!$J$2:$J$29,MATCH("2018::jama.2018.14282::C001",'C_jama.2018.14282'!$A$2:$A$29,0))),"not_applicable")</x:f>
        <x:v>not_applicable</x:v>
      </x:c>
      <x:c r="X46" s="6" t="str">
        <x:f>IF(AND(INDEX('C_jama.2018.14282'!$D$2:$D$29,MATCH("2018::jama.2018.14282::C001",'C_jama.2018.14282'!$A$2:$A$29,0))="retain",OR(INDEX('C_jama.2018.14282'!$E$2:$E$29,MATCH("2018::jama.2018.14282::C001",'C_jama.2018.14282'!$A$2:$A$29,0))="report_internal_inconsistency",INDEX('C_jama.2018.14282'!$E$2:$E$29,MATCH("2018::jama.2018.14282::C001",'C_jama.2018.14282'!$A$2:$A$29,0))="plan_material")),IF(INDEX('C_jama.2018.14282'!$K$2:$K$29,MATCH("2018::jama.2018.14282::C001",'C_jama.2018.14282'!$A$2:$A$29,0))="","",INDEX('C_jama.2018.14282'!$K$2:$K$29,MATCH("2018::jama.2018.14282::C001",'C_jama.2018.14282'!$A$2:$A$29,0))),"not_applicable")</x:f>
        <x:v>not_applicable</x:v>
      </x:c>
      <x:c r="Y46" s="6" t="str">
        <x:f>IF(AND(INDEX('C_jama.2018.14282'!$D$2:$D$29,MATCH("2018::jama.2018.14282::C001",'C_jama.2018.14282'!$A$2:$A$29,0))="retain",INDEX('C_jama.2018.14282'!$E$2:$E$29,MATCH("2018::jama.2018.14282::C001",'C_jama.2018.14282'!$A$2:$A$29,0))="protocol_report"),IF(INDEX('C_jama.2018.14282'!$L$2:$L$29,MATCH("2018::jama.2018.14282::C001",'C_jama.2018.14282'!$A$2:$A$29,0))="","",INDEX('C_jama.2018.14282'!$L$2:$L$29,MATCH("2018::jama.2018.14282::C001",'C_jama.2018.14282'!$A$2:$A$29,0))),"not_applicable")</x:f>
        <x:v>not_applicable</x:v>
      </x:c>
      <x:c r="Z46" s="6" t="str">
        <x:f>IF(INDEX('C_jama.2018.14282'!$R$2:$R$29,MATCH("2018::jama.2018.14282::C001",'C_jama.2018.14282'!$A$2:$A$29,0))="","",INDEX('C_jama.2018.14282'!$R$2:$R$29,MATCH("2018::jama.2018.14282::C001",'C_jama.2018.14282'!$A$2:$A$29,0)))</x:f>
      </x:c>
      <x:c r="AA46" s="6" t="str">
        <x:f>IF(INDEX('C_jama.2018.14282'!$N$2:$N$29,MATCH("2018::jama.2018.14282::C001",'C_jama.2018.14282'!$A$2:$A$29,0))="","",INDEX('C_jama.2018.14282'!$N$2:$N$29,MATCH("2018::jama.2018.14282::C001",'C_jama.2018.14282'!$A$2:$A$29,0)))</x:f>
      </x:c>
      <x:c r="AB46" s="6" t="str">
        <x:f>IF(INDEX('C_jama.2018.14282'!$O$2:$O$29,MATCH("2018::jama.2018.14282::C001",'C_jama.2018.14282'!$A$2:$A$29,0))="","",INDEX('C_jama.2018.14282'!$O$2:$O$29,MATCH("2018::jama.2018.14282::C001",'C_jama.2018.14282'!$A$2:$A$29,0)))</x:f>
      </x:c>
      <x:c r="AC46" s="6" t="str">
        <x:f>IF(INDEX('C_jama.2018.14282'!$P$2:$P$29,MATCH("2018::jama.2018.14282::C001",'C_jama.2018.14282'!$A$2:$A$29,0))="","",INDEX('C_jama.2018.14282'!$P$2:$P$29,MATCH("2018::jama.2018.14282::C001",'C_jama.2018.14282'!$A$2:$A$29,0)))</x:f>
      </x:c>
      <x:c r="AD46" s="6" t="str">
        <x:f>IF(INDEX('C_jama.2018.14282'!$Q$2:$Q$29,MATCH("2018::jama.2018.14282::C001",'C_jama.2018.14282'!$A$2:$A$29,0))="","",INDEX('C_jama.2018.14282'!$Q$2:$Q$29,MATCH("2018::jama.2018.14282::C001",'C_jama.2018.14282'!$A$2:$A$29,0)))</x:f>
      </x:c>
    </x:row>
    <x:row r="47" ht="65" customHeight="1">
      <x:c r="A47" s="3" t="n">
        <x:v>2018</x:v>
      </x:c>
      <x:c r="B47" s="3" t="str">
        <x:v>jama.2018.14282</x:v>
      </x:c>
      <x:c r="C47" s="3" t="str">
        <x:v>2018::jama.2018.14282::C002</x:v>
      </x:c>
      <x:c r="D47" s="3" t="str">
        <x:v>S_W</x:v>
      </x:c>
      <x:c r="E47" s="3" t="n">
        <x:f>Setup!$B$2</x:f>
        <x:v>0</x:v>
      </x:c>
      <x:c r="F47" s="3" t="str">
        <x:f>IF(Setup!$B$4="","",Setup!$B$4)</x:f>
      </x:c>
      <x:c r="G47" s="3" t="str">
        <x:f>IFERROR(INDEX('C_jama.2018.14282'!$G$2:$G$29,MATCH("2018::jama.2018.14282::C002",'C_jama.2018.14282'!$A$2:$A$29,0)),"CHECK KEY")</x:f>
        <x:v>CHECK REVIEWER IDs</x:v>
      </x:c>
      <x:c r="H47" s="3" t="str">
        <x:f>IF(G47&lt;&gt;"FINAL READY","",IF(S47&lt;&gt;"retain","not_eligible",IF(D47="P_R","protocol_descriptive",IF(D47="P_P","plan_descriptive",IF(AND(T47="statistical_results",OR(U47="confirmed_issue",U47="probable_issue"),V47="substantive"),"primary_temporal",IF(AND(T47="report_internal_inconsistency",X47="substantive_inconsistency"),"secondary_temporal","not_eligible"))))))</x:f>
      </x:c>
      <x:c r="I47" s="3" t="str">
        <x:v>retain</x:v>
      </x:c>
      <x:c r="J47" s="3" t="str">
        <x:v>statistical_results</x:v>
      </x:c>
      <x:c r="K47" s="3" t="str">
        <x:f>IF(Setup!$B$6="primary","",IFERROR(IF(INDEX('Primary_snapshot'!$B$2:$B$120,MATCH(C47,'Primary_snapshot'!$A$2:$A$120,0))="","",INDEX('Primary_snapshot'!$B$2:$B$120,MATCH(C47,'Primary_snapshot'!$A$2:$A$120,0))),"SNAPSHOT MISSING"))</x:f>
      </x:c>
      <x:c r="L47" s="3" t="str">
        <x:f>IF(Setup!$B$6="primary","",IFERROR(IF(INDEX('Primary_snapshot'!$C$2:$C$120,MATCH(C47,'Primary_snapshot'!$A$2:$A$120,0))="","",INDEX('Primary_snapshot'!$C$2:$C$120,MATCH(C47,'Primary_snapshot'!$A$2:$A$120,0))),"SNAPSHOT MISSING"))</x:f>
      </x:c>
      <x:c r="M47" s="3" t="str">
        <x:f>IF(Setup!$B$6="primary","",IFERROR(IF(INDEX('Primary_snapshot'!$D$2:$D$120,MATCH(C47,'Primary_snapshot'!$A$2:$A$120,0))="","",INDEX('Primary_snapshot'!$D$2:$D$120,MATCH(C47,'Primary_snapshot'!$A$2:$A$120,0))),"SNAPSHOT MISSING"))</x:f>
      </x:c>
      <x:c r="N47" s="3" t="str">
        <x:f>IF(Setup!$B$6="primary","",IFERROR(IF(INDEX('Primary_snapshot'!$E$2:$E$120,MATCH(C47,'Primary_snapshot'!$A$2:$A$120,0))="","",INDEX('Primary_snapshot'!$E$2:$E$120,MATCH(C47,'Primary_snapshot'!$A$2:$A$120,0))),"SNAPSHOT MISSING"))</x:f>
      </x:c>
      <x:c r="O47" s="3" t="str">
        <x:f>IF(Setup!$B$6="primary","",IFERROR(IF(INDEX('Primary_snapshot'!$F$2:$F$120,MATCH(C47,'Primary_snapshot'!$A$2:$A$120,0))="","",INDEX('Primary_snapshot'!$F$2:$F$120,MATCH(C47,'Primary_snapshot'!$A$2:$A$120,0))),"SNAPSHOT MISSING"))</x:f>
      </x:c>
      <x:c r="P47" s="3" t="str">
        <x:f>IF(Setup!$B$6="primary","",IFERROR(IF(INDEX('Primary_snapshot'!$G$2:$G$120,MATCH(C47,'Primary_snapshot'!$A$2:$A$120,0))="","",INDEX('Primary_snapshot'!$G$2:$G$120,MATCH(C47,'Primary_snapshot'!$A$2:$A$120,0))),"SNAPSHOT MISSING"))</x:f>
      </x:c>
      <x:c r="Q47" s="3" t="str">
        <x:f>IF(Setup!$B$6="primary","",IFERROR(IF(INDEX('Primary_snapshot'!$H$2:$H$120,MATCH(C47,'Primary_snapshot'!$A$2:$A$120,0))="","",INDEX('Primary_snapshot'!$H$2:$H$120,MATCH(C47,'Primary_snapshot'!$A$2:$A$120,0))),"SNAPSHOT MISSING"))</x:f>
      </x:c>
      <x:c r="R47" s="3" t="str">
        <x:f>IF(Setup!$B$6="primary","",IFERROR(IF(INDEX('Primary_snapshot'!$I$2:$I$120,MATCH(C47,'Primary_snapshot'!$A$2:$A$120,0))="","",INDEX('Primary_snapshot'!$I$2:$I$120,MATCH(C47,'Primary_snapshot'!$A$2:$A$120,0))),"SNAPSHOT MISSING"))</x:f>
      </x:c>
      <x:c r="S47" s="3" t="str">
        <x:f>IF(INDEX('C_jama.2018.14282'!$D$2:$D$29,MATCH("2018::jama.2018.14282::C002",'C_jama.2018.14282'!$A$2:$A$29,0))="","",INDEX('C_jama.2018.14282'!$D$2:$D$29,MATCH("2018::jama.2018.14282::C002",'C_jama.2018.14282'!$A$2:$A$29,0)))</x:f>
      </x:c>
      <x:c r="T47" s="3" t="str">
        <x:f>IF(INDEX('C_jama.2018.14282'!$E$2:$E$29,MATCH("2018::jama.2018.14282::C002",'C_jama.2018.14282'!$A$2:$A$29,0))="","",INDEX('C_jama.2018.14282'!$E$2:$E$29,MATCH("2018::jama.2018.14282::C002",'C_jama.2018.14282'!$A$2:$A$29,0)))</x:f>
        <x:v>statistical_results</x:v>
      </x:c>
      <x:c r="U47" s="3" t="str">
        <x:f>IF(AND(INDEX('C_jama.2018.14282'!$D$2:$D$29,MATCH("2018::jama.2018.14282::C002",'C_jama.2018.14282'!$A$2:$A$29,0))="retain",INDEX('C_jama.2018.14282'!$E$2:$E$29,MATCH("2018::jama.2018.14282::C002",'C_jama.2018.14282'!$A$2:$A$29,0))="statistical_results"),IF(INDEX('C_jama.2018.14282'!$H$2:$H$29,MATCH("2018::jama.2018.14282::C002",'C_jama.2018.14282'!$A$2:$A$29,0))="","",INDEX('C_jama.2018.14282'!$H$2:$H$29,MATCH("2018::jama.2018.14282::C002",'C_jama.2018.14282'!$A$2:$A$29,0))),"not_applicable")</x:f>
        <x:v>not_applicable</x:v>
      </x:c>
      <x:c r="V47" s="3" t="str">
        <x:f>IF(AND(INDEX('C_jama.2018.14282'!$D$2:$D$29,MATCH("2018::jama.2018.14282::C002",'C_jama.2018.14282'!$A$2:$A$29,0))="retain",INDEX('C_jama.2018.14282'!$E$2:$E$29,MATCH("2018::jama.2018.14282::C002",'C_jama.2018.14282'!$A$2:$A$29,0))="statistical_results"),IF(INDEX('C_jama.2018.14282'!$I$2:$I$29,MATCH("2018::jama.2018.14282::C002",'C_jama.2018.14282'!$A$2:$A$29,0))="","",INDEX('C_jama.2018.14282'!$I$2:$I$29,MATCH("2018::jama.2018.14282::C002",'C_jama.2018.14282'!$A$2:$A$29,0))),"not_applicable")</x:f>
        <x:v>not_applicable</x:v>
      </x:c>
      <x:c r="W47" s="3" t="str">
        <x:f>IF(AND(INDEX('C_jama.2018.14282'!$D$2:$D$29,MATCH("2018::jama.2018.14282::C002",'C_jama.2018.14282'!$A$2:$A$29,0))="retain",INDEX('C_jama.2018.14282'!$E$2:$E$29,MATCH("2018::jama.2018.14282::C002",'C_jama.2018.14282'!$A$2:$A$29,0))="statistical_results"),IF(INDEX('C_jama.2018.14282'!$J$2:$J$29,MATCH("2018::jama.2018.14282::C002",'C_jama.2018.14282'!$A$2:$A$29,0))="","",INDEX('C_jama.2018.14282'!$J$2:$J$29,MATCH("2018::jama.2018.14282::C002",'C_jama.2018.14282'!$A$2:$A$29,0))),"not_applicable")</x:f>
        <x:v>not_applicable</x:v>
      </x:c>
      <x:c r="X47" s="3" t="str">
        <x:f>IF(AND(INDEX('C_jama.2018.14282'!$D$2:$D$29,MATCH("2018::jama.2018.14282::C002",'C_jama.2018.14282'!$A$2:$A$29,0))="retain",OR(INDEX('C_jama.2018.14282'!$E$2:$E$29,MATCH("2018::jama.2018.14282::C002",'C_jama.2018.14282'!$A$2:$A$29,0))="report_internal_inconsistency",INDEX('C_jama.2018.14282'!$E$2:$E$29,MATCH("2018::jama.2018.14282::C002",'C_jama.2018.14282'!$A$2:$A$29,0))="plan_material")),IF(INDEX('C_jama.2018.14282'!$K$2:$K$29,MATCH("2018::jama.2018.14282::C002",'C_jama.2018.14282'!$A$2:$A$29,0))="","",INDEX('C_jama.2018.14282'!$K$2:$K$29,MATCH("2018::jama.2018.14282::C002",'C_jama.2018.14282'!$A$2:$A$29,0))),"not_applicable")</x:f>
        <x:v>not_applicable</x:v>
      </x:c>
      <x:c r="Y47" s="3" t="str">
        <x:f>IF(AND(INDEX('C_jama.2018.14282'!$D$2:$D$29,MATCH("2018::jama.2018.14282::C002",'C_jama.2018.14282'!$A$2:$A$29,0))="retain",INDEX('C_jama.2018.14282'!$E$2:$E$29,MATCH("2018::jama.2018.14282::C002",'C_jama.2018.14282'!$A$2:$A$29,0))="protocol_report"),IF(INDEX('C_jama.2018.14282'!$L$2:$L$29,MATCH("2018::jama.2018.14282::C002",'C_jama.2018.14282'!$A$2:$A$29,0))="","",INDEX('C_jama.2018.14282'!$L$2:$L$29,MATCH("2018::jama.2018.14282::C002",'C_jama.2018.14282'!$A$2:$A$29,0))),"not_applicable")</x:f>
        <x:v>not_applicable</x:v>
      </x:c>
      <x:c r="Z47" s="3" t="str">
        <x:f>IF(INDEX('C_jama.2018.14282'!$R$2:$R$29,MATCH("2018::jama.2018.14282::C002",'C_jama.2018.14282'!$A$2:$A$29,0))="","",INDEX('C_jama.2018.14282'!$R$2:$R$29,MATCH("2018::jama.2018.14282::C002",'C_jama.2018.14282'!$A$2:$A$29,0)))</x:f>
      </x:c>
      <x:c r="AA47" s="3" t="str">
        <x:f>IF(INDEX('C_jama.2018.14282'!$N$2:$N$29,MATCH("2018::jama.2018.14282::C002",'C_jama.2018.14282'!$A$2:$A$29,0))="","",INDEX('C_jama.2018.14282'!$N$2:$N$29,MATCH("2018::jama.2018.14282::C002",'C_jama.2018.14282'!$A$2:$A$29,0)))</x:f>
      </x:c>
      <x:c r="AB47" s="3" t="str">
        <x:f>IF(INDEX('C_jama.2018.14282'!$O$2:$O$29,MATCH("2018::jama.2018.14282::C002",'C_jama.2018.14282'!$A$2:$A$29,0))="","",INDEX('C_jama.2018.14282'!$O$2:$O$29,MATCH("2018::jama.2018.14282::C002",'C_jama.2018.14282'!$A$2:$A$29,0)))</x:f>
      </x:c>
      <x:c r="AC47" s="3" t="str">
        <x:f>IF(INDEX('C_jama.2018.14282'!$P$2:$P$29,MATCH("2018::jama.2018.14282::C002",'C_jama.2018.14282'!$A$2:$A$29,0))="","",INDEX('C_jama.2018.14282'!$P$2:$P$29,MATCH("2018::jama.2018.14282::C002",'C_jama.2018.14282'!$A$2:$A$29,0)))</x:f>
      </x:c>
      <x:c r="AD47" s="3" t="str">
        <x:f>IF(INDEX('C_jama.2018.14282'!$Q$2:$Q$29,MATCH("2018::jama.2018.14282::C002",'C_jama.2018.14282'!$A$2:$A$29,0))="","",INDEX('C_jama.2018.14282'!$Q$2:$Q$29,MATCH("2018::jama.2018.14282::C002",'C_jama.2018.14282'!$A$2:$A$29,0)))</x:f>
      </x:c>
    </x:row>
    <x:row r="48" ht="65" customHeight="1">
      <x:c r="A48" s="6" t="n">
        <x:v>2018</x:v>
      </x:c>
      <x:c r="B48" s="6" t="str">
        <x:v>jama.2018.14282</x:v>
      </x:c>
      <x:c r="C48" s="6" t="str">
        <x:v>2018::jama.2018.14282::C003</x:v>
      </x:c>
      <x:c r="D48" s="6" t="str">
        <x:v>S_W</x:v>
      </x:c>
      <x:c r="E48" s="6" t="n">
        <x:f>Setup!$B$2</x:f>
        <x:v>0</x:v>
      </x:c>
      <x:c r="F48" s="6" t="str">
        <x:f>IF(Setup!$B$4="","",Setup!$B$4)</x:f>
      </x:c>
      <x:c r="G48" s="6" t="str">
        <x:f>IFERROR(INDEX('C_jama.2018.14282'!$G$2:$G$29,MATCH("2018::jama.2018.14282::C003",'C_jama.2018.14282'!$A$2:$A$29,0)),"CHECK KEY")</x:f>
        <x:v>CHECK REVIEWER IDs</x:v>
      </x:c>
      <x:c r="H48" s="6" t="str">
        <x:f>IF(G48&lt;&gt;"FINAL READY","",IF(S48&lt;&gt;"retain","not_eligible",IF(D48="P_R","protocol_descriptive",IF(D48="P_P","plan_descriptive",IF(AND(T48="statistical_results",OR(U48="confirmed_issue",U48="probable_issue"),V48="substantive"),"primary_temporal",IF(AND(T48="report_internal_inconsistency",X48="substantive_inconsistency"),"secondary_temporal","not_eligible"))))))</x:f>
      </x:c>
      <x:c r="I48" s="6" t="str">
        <x:v>retain</x:v>
      </x:c>
      <x:c r="J48" s="6" t="str">
        <x:v>statistical_results</x:v>
      </x:c>
      <x:c r="K48" s="6" t="str">
        <x:f>IF(Setup!$B$6="primary","",IFERROR(IF(INDEX('Primary_snapshot'!$B$2:$B$120,MATCH(C48,'Primary_snapshot'!$A$2:$A$120,0))="","",INDEX('Primary_snapshot'!$B$2:$B$120,MATCH(C48,'Primary_snapshot'!$A$2:$A$120,0))),"SNAPSHOT MISSING"))</x:f>
      </x:c>
      <x:c r="L48" s="6" t="str">
        <x:f>IF(Setup!$B$6="primary","",IFERROR(IF(INDEX('Primary_snapshot'!$C$2:$C$120,MATCH(C48,'Primary_snapshot'!$A$2:$A$120,0))="","",INDEX('Primary_snapshot'!$C$2:$C$120,MATCH(C48,'Primary_snapshot'!$A$2:$A$120,0))),"SNAPSHOT MISSING"))</x:f>
      </x:c>
      <x:c r="M48" s="6" t="str">
        <x:f>IF(Setup!$B$6="primary","",IFERROR(IF(INDEX('Primary_snapshot'!$D$2:$D$120,MATCH(C48,'Primary_snapshot'!$A$2:$A$120,0))="","",INDEX('Primary_snapshot'!$D$2:$D$120,MATCH(C48,'Primary_snapshot'!$A$2:$A$120,0))),"SNAPSHOT MISSING"))</x:f>
      </x:c>
      <x:c r="N48" s="6" t="str">
        <x:f>IF(Setup!$B$6="primary","",IFERROR(IF(INDEX('Primary_snapshot'!$E$2:$E$120,MATCH(C48,'Primary_snapshot'!$A$2:$A$120,0))="","",INDEX('Primary_snapshot'!$E$2:$E$120,MATCH(C48,'Primary_snapshot'!$A$2:$A$120,0))),"SNAPSHOT MISSING"))</x:f>
      </x:c>
      <x:c r="O48" s="6" t="str">
        <x:f>IF(Setup!$B$6="primary","",IFERROR(IF(INDEX('Primary_snapshot'!$F$2:$F$120,MATCH(C48,'Primary_snapshot'!$A$2:$A$120,0))="","",INDEX('Primary_snapshot'!$F$2:$F$120,MATCH(C48,'Primary_snapshot'!$A$2:$A$120,0))),"SNAPSHOT MISSING"))</x:f>
      </x:c>
      <x:c r="P48" s="6" t="str">
        <x:f>IF(Setup!$B$6="primary","",IFERROR(IF(INDEX('Primary_snapshot'!$G$2:$G$120,MATCH(C48,'Primary_snapshot'!$A$2:$A$120,0))="","",INDEX('Primary_snapshot'!$G$2:$G$120,MATCH(C48,'Primary_snapshot'!$A$2:$A$120,0))),"SNAPSHOT MISSING"))</x:f>
      </x:c>
      <x:c r="Q48" s="6" t="str">
        <x:f>IF(Setup!$B$6="primary","",IFERROR(IF(INDEX('Primary_snapshot'!$H$2:$H$120,MATCH(C48,'Primary_snapshot'!$A$2:$A$120,0))="","",INDEX('Primary_snapshot'!$H$2:$H$120,MATCH(C48,'Primary_snapshot'!$A$2:$A$120,0))),"SNAPSHOT MISSING"))</x:f>
      </x:c>
      <x:c r="R48" s="6" t="str">
        <x:f>IF(Setup!$B$6="primary","",IFERROR(IF(INDEX('Primary_snapshot'!$I$2:$I$120,MATCH(C48,'Primary_snapshot'!$A$2:$A$120,0))="","",INDEX('Primary_snapshot'!$I$2:$I$120,MATCH(C48,'Primary_snapshot'!$A$2:$A$120,0))),"SNAPSHOT MISSING"))</x:f>
      </x:c>
      <x:c r="S48" s="6" t="str">
        <x:f>IF(INDEX('C_jama.2018.14282'!$D$2:$D$29,MATCH("2018::jama.2018.14282::C003",'C_jama.2018.14282'!$A$2:$A$29,0))="","",INDEX('C_jama.2018.14282'!$D$2:$D$29,MATCH("2018::jama.2018.14282::C003",'C_jama.2018.14282'!$A$2:$A$29,0)))</x:f>
      </x:c>
      <x:c r="T48" s="6" t="str">
        <x:f>IF(INDEX('C_jama.2018.14282'!$E$2:$E$29,MATCH("2018::jama.2018.14282::C003",'C_jama.2018.14282'!$A$2:$A$29,0))="","",INDEX('C_jama.2018.14282'!$E$2:$E$29,MATCH("2018::jama.2018.14282::C003",'C_jama.2018.14282'!$A$2:$A$29,0)))</x:f>
        <x:v>statistical_results</x:v>
      </x:c>
      <x:c r="U48" s="6" t="str">
        <x:f>IF(AND(INDEX('C_jama.2018.14282'!$D$2:$D$29,MATCH("2018::jama.2018.14282::C003",'C_jama.2018.14282'!$A$2:$A$29,0))="retain",INDEX('C_jama.2018.14282'!$E$2:$E$29,MATCH("2018::jama.2018.14282::C003",'C_jama.2018.14282'!$A$2:$A$29,0))="statistical_results"),IF(INDEX('C_jama.2018.14282'!$H$2:$H$29,MATCH("2018::jama.2018.14282::C003",'C_jama.2018.14282'!$A$2:$A$29,0))="","",INDEX('C_jama.2018.14282'!$H$2:$H$29,MATCH("2018::jama.2018.14282::C003",'C_jama.2018.14282'!$A$2:$A$29,0))),"not_applicable")</x:f>
        <x:v>not_applicable</x:v>
      </x:c>
      <x:c r="V48" s="6" t="str">
        <x:f>IF(AND(INDEX('C_jama.2018.14282'!$D$2:$D$29,MATCH("2018::jama.2018.14282::C003",'C_jama.2018.14282'!$A$2:$A$29,0))="retain",INDEX('C_jama.2018.14282'!$E$2:$E$29,MATCH("2018::jama.2018.14282::C003",'C_jama.2018.14282'!$A$2:$A$29,0))="statistical_results"),IF(INDEX('C_jama.2018.14282'!$I$2:$I$29,MATCH("2018::jama.2018.14282::C003",'C_jama.2018.14282'!$A$2:$A$29,0))="","",INDEX('C_jama.2018.14282'!$I$2:$I$29,MATCH("2018::jama.2018.14282::C003",'C_jama.2018.14282'!$A$2:$A$29,0))),"not_applicable")</x:f>
        <x:v>not_applicable</x:v>
      </x:c>
      <x:c r="W48" s="6" t="str">
        <x:f>IF(AND(INDEX('C_jama.2018.14282'!$D$2:$D$29,MATCH("2018::jama.2018.14282::C003",'C_jama.2018.14282'!$A$2:$A$29,0))="retain",INDEX('C_jama.2018.14282'!$E$2:$E$29,MATCH("2018::jama.2018.14282::C003",'C_jama.2018.14282'!$A$2:$A$29,0))="statistical_results"),IF(INDEX('C_jama.2018.14282'!$J$2:$J$29,MATCH("2018::jama.2018.14282::C003",'C_jama.2018.14282'!$A$2:$A$29,0))="","",INDEX('C_jama.2018.14282'!$J$2:$J$29,MATCH("2018::jama.2018.14282::C003",'C_jama.2018.14282'!$A$2:$A$29,0))),"not_applicable")</x:f>
        <x:v>not_applicable</x:v>
      </x:c>
      <x:c r="X48" s="6" t="str">
        <x:f>IF(AND(INDEX('C_jama.2018.14282'!$D$2:$D$29,MATCH("2018::jama.2018.14282::C003",'C_jama.2018.14282'!$A$2:$A$29,0))="retain",OR(INDEX('C_jama.2018.14282'!$E$2:$E$29,MATCH("2018::jama.2018.14282::C003",'C_jama.2018.14282'!$A$2:$A$29,0))="report_internal_inconsistency",INDEX('C_jama.2018.14282'!$E$2:$E$29,MATCH("2018::jama.2018.14282::C003",'C_jama.2018.14282'!$A$2:$A$29,0))="plan_material")),IF(INDEX('C_jama.2018.14282'!$K$2:$K$29,MATCH("2018::jama.2018.14282::C003",'C_jama.2018.14282'!$A$2:$A$29,0))="","",INDEX('C_jama.2018.14282'!$K$2:$K$29,MATCH("2018::jama.2018.14282::C003",'C_jama.2018.14282'!$A$2:$A$29,0))),"not_applicable")</x:f>
        <x:v>not_applicable</x:v>
      </x:c>
      <x:c r="Y48" s="6" t="str">
        <x:f>IF(AND(INDEX('C_jama.2018.14282'!$D$2:$D$29,MATCH("2018::jama.2018.14282::C003",'C_jama.2018.14282'!$A$2:$A$29,0))="retain",INDEX('C_jama.2018.14282'!$E$2:$E$29,MATCH("2018::jama.2018.14282::C003",'C_jama.2018.14282'!$A$2:$A$29,0))="protocol_report"),IF(INDEX('C_jama.2018.14282'!$L$2:$L$29,MATCH("2018::jama.2018.14282::C003",'C_jama.2018.14282'!$A$2:$A$29,0))="","",INDEX('C_jama.2018.14282'!$L$2:$L$29,MATCH("2018::jama.2018.14282::C003",'C_jama.2018.14282'!$A$2:$A$29,0))),"not_applicable")</x:f>
        <x:v>not_applicable</x:v>
      </x:c>
      <x:c r="Z48" s="6" t="str">
        <x:f>IF(INDEX('C_jama.2018.14282'!$R$2:$R$29,MATCH("2018::jama.2018.14282::C003",'C_jama.2018.14282'!$A$2:$A$29,0))="","",INDEX('C_jama.2018.14282'!$R$2:$R$29,MATCH("2018::jama.2018.14282::C003",'C_jama.2018.14282'!$A$2:$A$29,0)))</x:f>
      </x:c>
      <x:c r="AA48" s="6" t="str">
        <x:f>IF(INDEX('C_jama.2018.14282'!$N$2:$N$29,MATCH("2018::jama.2018.14282::C003",'C_jama.2018.14282'!$A$2:$A$29,0))="","",INDEX('C_jama.2018.14282'!$N$2:$N$29,MATCH("2018::jama.2018.14282::C003",'C_jama.2018.14282'!$A$2:$A$29,0)))</x:f>
      </x:c>
      <x:c r="AB48" s="6" t="str">
        <x:f>IF(INDEX('C_jama.2018.14282'!$O$2:$O$29,MATCH("2018::jama.2018.14282::C003",'C_jama.2018.14282'!$A$2:$A$29,0))="","",INDEX('C_jama.2018.14282'!$O$2:$O$29,MATCH("2018::jama.2018.14282::C003",'C_jama.2018.14282'!$A$2:$A$29,0)))</x:f>
      </x:c>
      <x:c r="AC48" s="6" t="str">
        <x:f>IF(INDEX('C_jama.2018.14282'!$P$2:$P$29,MATCH("2018::jama.2018.14282::C003",'C_jama.2018.14282'!$A$2:$A$29,0))="","",INDEX('C_jama.2018.14282'!$P$2:$P$29,MATCH("2018::jama.2018.14282::C003",'C_jama.2018.14282'!$A$2:$A$29,0)))</x:f>
      </x:c>
      <x:c r="AD48" s="6" t="str">
        <x:f>IF(INDEX('C_jama.2018.14282'!$Q$2:$Q$29,MATCH("2018::jama.2018.14282::C003",'C_jama.2018.14282'!$A$2:$A$29,0))="","",INDEX('C_jama.2018.14282'!$Q$2:$Q$29,MATCH("2018::jama.2018.14282::C003",'C_jama.2018.14282'!$A$2:$A$29,0)))</x:f>
      </x:c>
    </x:row>
    <x:row r="49" ht="65" customHeight="1">
      <x:c r="A49" s="3" t="n">
        <x:v>2018</x:v>
      </x:c>
      <x:c r="B49" s="3" t="str">
        <x:v>jama.2018.14282</x:v>
      </x:c>
      <x:c r="C49" s="3" t="str">
        <x:v>2018::jama.2018.14282::C004</x:v>
      </x:c>
      <x:c r="D49" s="3" t="str">
        <x:v>S_W</x:v>
      </x:c>
      <x:c r="E49" s="3" t="n">
        <x:f>Setup!$B$2</x:f>
        <x:v>0</x:v>
      </x:c>
      <x:c r="F49" s="3" t="str">
        <x:f>IF(Setup!$B$4="","",Setup!$B$4)</x:f>
      </x:c>
      <x:c r="G49" s="3" t="str">
        <x:f>IFERROR(INDEX('C_jama.2018.14282'!$G$2:$G$29,MATCH("2018::jama.2018.14282::C004",'C_jama.2018.14282'!$A$2:$A$29,0)),"CHECK KEY")</x:f>
        <x:v>CHECK REVIEWER IDs</x:v>
      </x:c>
      <x:c r="H49" s="3" t="str">
        <x:f>IF(G49&lt;&gt;"FINAL READY","",IF(S49&lt;&gt;"retain","not_eligible",IF(D49="P_R","protocol_descriptive",IF(D49="P_P","plan_descriptive",IF(AND(T49="statistical_results",OR(U49="confirmed_issue",U49="probable_issue"),V49="substantive"),"primary_temporal",IF(AND(T49="report_internal_inconsistency",X49="substantive_inconsistency"),"secondary_temporal","not_eligible"))))))</x:f>
      </x:c>
      <x:c r="I49" s="3" t="str">
        <x:v>retain</x:v>
      </x:c>
      <x:c r="J49" s="3" t="str">
        <x:v>statistical_results</x:v>
      </x:c>
      <x:c r="K49" s="3" t="str">
        <x:f>IF(Setup!$B$6="primary","",IFERROR(IF(INDEX('Primary_snapshot'!$B$2:$B$120,MATCH(C49,'Primary_snapshot'!$A$2:$A$120,0))="","",INDEX('Primary_snapshot'!$B$2:$B$120,MATCH(C49,'Primary_snapshot'!$A$2:$A$120,0))),"SNAPSHOT MISSING"))</x:f>
      </x:c>
      <x:c r="L49" s="3" t="str">
        <x:f>IF(Setup!$B$6="primary","",IFERROR(IF(INDEX('Primary_snapshot'!$C$2:$C$120,MATCH(C49,'Primary_snapshot'!$A$2:$A$120,0))="","",INDEX('Primary_snapshot'!$C$2:$C$120,MATCH(C49,'Primary_snapshot'!$A$2:$A$120,0))),"SNAPSHOT MISSING"))</x:f>
      </x:c>
      <x:c r="M49" s="3" t="str">
        <x:f>IF(Setup!$B$6="primary","",IFERROR(IF(INDEX('Primary_snapshot'!$D$2:$D$120,MATCH(C49,'Primary_snapshot'!$A$2:$A$120,0))="","",INDEX('Primary_snapshot'!$D$2:$D$120,MATCH(C49,'Primary_snapshot'!$A$2:$A$120,0))),"SNAPSHOT MISSING"))</x:f>
      </x:c>
      <x:c r="N49" s="3" t="str">
        <x:f>IF(Setup!$B$6="primary","",IFERROR(IF(INDEX('Primary_snapshot'!$E$2:$E$120,MATCH(C49,'Primary_snapshot'!$A$2:$A$120,0))="","",INDEX('Primary_snapshot'!$E$2:$E$120,MATCH(C49,'Primary_snapshot'!$A$2:$A$120,0))),"SNAPSHOT MISSING"))</x:f>
      </x:c>
      <x:c r="O49" s="3" t="str">
        <x:f>IF(Setup!$B$6="primary","",IFERROR(IF(INDEX('Primary_snapshot'!$F$2:$F$120,MATCH(C49,'Primary_snapshot'!$A$2:$A$120,0))="","",INDEX('Primary_snapshot'!$F$2:$F$120,MATCH(C49,'Primary_snapshot'!$A$2:$A$120,0))),"SNAPSHOT MISSING"))</x:f>
      </x:c>
      <x:c r="P49" s="3" t="str">
        <x:f>IF(Setup!$B$6="primary","",IFERROR(IF(INDEX('Primary_snapshot'!$G$2:$G$120,MATCH(C49,'Primary_snapshot'!$A$2:$A$120,0))="","",INDEX('Primary_snapshot'!$G$2:$G$120,MATCH(C49,'Primary_snapshot'!$A$2:$A$120,0))),"SNAPSHOT MISSING"))</x:f>
      </x:c>
      <x:c r="Q49" s="3" t="str">
        <x:f>IF(Setup!$B$6="primary","",IFERROR(IF(INDEX('Primary_snapshot'!$H$2:$H$120,MATCH(C49,'Primary_snapshot'!$A$2:$A$120,0))="","",INDEX('Primary_snapshot'!$H$2:$H$120,MATCH(C49,'Primary_snapshot'!$A$2:$A$120,0))),"SNAPSHOT MISSING"))</x:f>
      </x:c>
      <x:c r="R49" s="3" t="str">
        <x:f>IF(Setup!$B$6="primary","",IFERROR(IF(INDEX('Primary_snapshot'!$I$2:$I$120,MATCH(C49,'Primary_snapshot'!$A$2:$A$120,0))="","",INDEX('Primary_snapshot'!$I$2:$I$120,MATCH(C49,'Primary_snapshot'!$A$2:$A$120,0))),"SNAPSHOT MISSING"))</x:f>
      </x:c>
      <x:c r="S49" s="3" t="str">
        <x:f>IF(INDEX('C_jama.2018.14282'!$D$2:$D$29,MATCH("2018::jama.2018.14282::C004",'C_jama.2018.14282'!$A$2:$A$29,0))="","",INDEX('C_jama.2018.14282'!$D$2:$D$29,MATCH("2018::jama.2018.14282::C004",'C_jama.2018.14282'!$A$2:$A$29,0)))</x:f>
      </x:c>
      <x:c r="T49" s="3" t="str">
        <x:f>IF(INDEX('C_jama.2018.14282'!$E$2:$E$29,MATCH("2018::jama.2018.14282::C004",'C_jama.2018.14282'!$A$2:$A$29,0))="","",INDEX('C_jama.2018.14282'!$E$2:$E$29,MATCH("2018::jama.2018.14282::C004",'C_jama.2018.14282'!$A$2:$A$29,0)))</x:f>
        <x:v>statistical_results</x:v>
      </x:c>
      <x:c r="U49" s="3" t="str">
        <x:f>IF(AND(INDEX('C_jama.2018.14282'!$D$2:$D$29,MATCH("2018::jama.2018.14282::C004",'C_jama.2018.14282'!$A$2:$A$29,0))="retain",INDEX('C_jama.2018.14282'!$E$2:$E$29,MATCH("2018::jama.2018.14282::C004",'C_jama.2018.14282'!$A$2:$A$29,0))="statistical_results"),IF(INDEX('C_jama.2018.14282'!$H$2:$H$29,MATCH("2018::jama.2018.14282::C004",'C_jama.2018.14282'!$A$2:$A$29,0))="","",INDEX('C_jama.2018.14282'!$H$2:$H$29,MATCH("2018::jama.2018.14282::C004",'C_jama.2018.14282'!$A$2:$A$29,0))),"not_applicable")</x:f>
        <x:v>not_applicable</x:v>
      </x:c>
      <x:c r="V49" s="3" t="str">
        <x:f>IF(AND(INDEX('C_jama.2018.14282'!$D$2:$D$29,MATCH("2018::jama.2018.14282::C004",'C_jama.2018.14282'!$A$2:$A$29,0))="retain",INDEX('C_jama.2018.14282'!$E$2:$E$29,MATCH("2018::jama.2018.14282::C004",'C_jama.2018.14282'!$A$2:$A$29,0))="statistical_results"),IF(INDEX('C_jama.2018.14282'!$I$2:$I$29,MATCH("2018::jama.2018.14282::C004",'C_jama.2018.14282'!$A$2:$A$29,0))="","",INDEX('C_jama.2018.14282'!$I$2:$I$29,MATCH("2018::jama.2018.14282::C004",'C_jama.2018.14282'!$A$2:$A$29,0))),"not_applicable")</x:f>
        <x:v>not_applicable</x:v>
      </x:c>
      <x:c r="W49" s="3" t="str">
        <x:f>IF(AND(INDEX('C_jama.2018.14282'!$D$2:$D$29,MATCH("2018::jama.2018.14282::C004",'C_jama.2018.14282'!$A$2:$A$29,0))="retain",INDEX('C_jama.2018.14282'!$E$2:$E$29,MATCH("2018::jama.2018.14282::C004",'C_jama.2018.14282'!$A$2:$A$29,0))="statistical_results"),IF(INDEX('C_jama.2018.14282'!$J$2:$J$29,MATCH("2018::jama.2018.14282::C004",'C_jama.2018.14282'!$A$2:$A$29,0))="","",INDEX('C_jama.2018.14282'!$J$2:$J$29,MATCH("2018::jama.2018.14282::C004",'C_jama.2018.14282'!$A$2:$A$29,0))),"not_applicable")</x:f>
        <x:v>not_applicable</x:v>
      </x:c>
      <x:c r="X49" s="3" t="str">
        <x:f>IF(AND(INDEX('C_jama.2018.14282'!$D$2:$D$29,MATCH("2018::jama.2018.14282::C004",'C_jama.2018.14282'!$A$2:$A$29,0))="retain",OR(INDEX('C_jama.2018.14282'!$E$2:$E$29,MATCH("2018::jama.2018.14282::C004",'C_jama.2018.14282'!$A$2:$A$29,0))="report_internal_inconsistency",INDEX('C_jama.2018.14282'!$E$2:$E$29,MATCH("2018::jama.2018.14282::C004",'C_jama.2018.14282'!$A$2:$A$29,0))="plan_material")),IF(INDEX('C_jama.2018.14282'!$K$2:$K$29,MATCH("2018::jama.2018.14282::C004",'C_jama.2018.14282'!$A$2:$A$29,0))="","",INDEX('C_jama.2018.14282'!$K$2:$K$29,MATCH("2018::jama.2018.14282::C004",'C_jama.2018.14282'!$A$2:$A$29,0))),"not_applicable")</x:f>
        <x:v>not_applicable</x:v>
      </x:c>
      <x:c r="Y49" s="3" t="str">
        <x:f>IF(AND(INDEX('C_jama.2018.14282'!$D$2:$D$29,MATCH("2018::jama.2018.14282::C004",'C_jama.2018.14282'!$A$2:$A$29,0))="retain",INDEX('C_jama.2018.14282'!$E$2:$E$29,MATCH("2018::jama.2018.14282::C004",'C_jama.2018.14282'!$A$2:$A$29,0))="protocol_report"),IF(INDEX('C_jama.2018.14282'!$L$2:$L$29,MATCH("2018::jama.2018.14282::C004",'C_jama.2018.14282'!$A$2:$A$29,0))="","",INDEX('C_jama.2018.14282'!$L$2:$L$29,MATCH("2018::jama.2018.14282::C004",'C_jama.2018.14282'!$A$2:$A$29,0))),"not_applicable")</x:f>
        <x:v>not_applicable</x:v>
      </x:c>
      <x:c r="Z49" s="3" t="str">
        <x:f>IF(INDEX('C_jama.2018.14282'!$R$2:$R$29,MATCH("2018::jama.2018.14282::C004",'C_jama.2018.14282'!$A$2:$A$29,0))="","",INDEX('C_jama.2018.14282'!$R$2:$R$29,MATCH("2018::jama.2018.14282::C004",'C_jama.2018.14282'!$A$2:$A$29,0)))</x:f>
      </x:c>
      <x:c r="AA49" s="3" t="str">
        <x:f>IF(INDEX('C_jama.2018.14282'!$N$2:$N$29,MATCH("2018::jama.2018.14282::C004",'C_jama.2018.14282'!$A$2:$A$29,0))="","",INDEX('C_jama.2018.14282'!$N$2:$N$29,MATCH("2018::jama.2018.14282::C004",'C_jama.2018.14282'!$A$2:$A$29,0)))</x:f>
      </x:c>
      <x:c r="AB49" s="3" t="str">
        <x:f>IF(INDEX('C_jama.2018.14282'!$O$2:$O$29,MATCH("2018::jama.2018.14282::C004",'C_jama.2018.14282'!$A$2:$A$29,0))="","",INDEX('C_jama.2018.14282'!$O$2:$O$29,MATCH("2018::jama.2018.14282::C004",'C_jama.2018.14282'!$A$2:$A$29,0)))</x:f>
      </x:c>
      <x:c r="AC49" s="3" t="str">
        <x:f>IF(INDEX('C_jama.2018.14282'!$P$2:$P$29,MATCH("2018::jama.2018.14282::C004",'C_jama.2018.14282'!$A$2:$A$29,0))="","",INDEX('C_jama.2018.14282'!$P$2:$P$29,MATCH("2018::jama.2018.14282::C004",'C_jama.2018.14282'!$A$2:$A$29,0)))</x:f>
      </x:c>
      <x:c r="AD49" s="3" t="str">
        <x:f>IF(INDEX('C_jama.2018.14282'!$Q$2:$Q$29,MATCH("2018::jama.2018.14282::C004",'C_jama.2018.14282'!$A$2:$A$29,0))="","",INDEX('C_jama.2018.14282'!$Q$2:$Q$29,MATCH("2018::jama.2018.14282::C004",'C_jama.2018.14282'!$A$2:$A$29,0)))</x:f>
      </x:c>
    </x:row>
    <x:row r="50" ht="65" customHeight="1">
      <x:c r="A50" s="6" t="n">
        <x:v>2018</x:v>
      </x:c>
      <x:c r="B50" s="6" t="str">
        <x:v>jama.2018.14282</x:v>
      </x:c>
      <x:c r="C50" s="6" t="str">
        <x:v>2018::jama.2018.14282::C005</x:v>
      </x:c>
      <x:c r="D50" s="6" t="str">
        <x:v>S_W</x:v>
      </x:c>
      <x:c r="E50" s="6" t="n">
        <x:f>Setup!$B$2</x:f>
        <x:v>0</x:v>
      </x:c>
      <x:c r="F50" s="6" t="str">
        <x:f>IF(Setup!$B$4="","",Setup!$B$4)</x:f>
      </x:c>
      <x:c r="G50" s="6" t="str">
        <x:f>IFERROR(INDEX('C_jama.2018.14282'!$G$2:$G$29,MATCH("2018::jama.2018.14282::C005",'C_jama.2018.14282'!$A$2:$A$29,0)),"CHECK KEY")</x:f>
        <x:v>CHECK REVIEWER IDs</x:v>
      </x:c>
      <x:c r="H50" s="6" t="str">
        <x:f>IF(G50&lt;&gt;"FINAL READY","",IF(S50&lt;&gt;"retain","not_eligible",IF(D50="P_R","protocol_descriptive",IF(D50="P_P","plan_descriptive",IF(AND(T50="statistical_results",OR(U50="confirmed_issue",U50="probable_issue"),V50="substantive"),"primary_temporal",IF(AND(T50="report_internal_inconsistency",X50="substantive_inconsistency"),"secondary_temporal","not_eligible"))))))</x:f>
      </x:c>
      <x:c r="I50" s="6" t="str">
        <x:v>retain</x:v>
      </x:c>
      <x:c r="J50" s="6" t="str">
        <x:v>statistical_results</x:v>
      </x:c>
      <x:c r="K50" s="6" t="str">
        <x:f>IF(Setup!$B$6="primary","",IFERROR(IF(INDEX('Primary_snapshot'!$B$2:$B$120,MATCH(C50,'Primary_snapshot'!$A$2:$A$120,0))="","",INDEX('Primary_snapshot'!$B$2:$B$120,MATCH(C50,'Primary_snapshot'!$A$2:$A$120,0))),"SNAPSHOT MISSING"))</x:f>
      </x:c>
      <x:c r="L50" s="6" t="str">
        <x:f>IF(Setup!$B$6="primary","",IFERROR(IF(INDEX('Primary_snapshot'!$C$2:$C$120,MATCH(C50,'Primary_snapshot'!$A$2:$A$120,0))="","",INDEX('Primary_snapshot'!$C$2:$C$120,MATCH(C50,'Primary_snapshot'!$A$2:$A$120,0))),"SNAPSHOT MISSING"))</x:f>
      </x:c>
      <x:c r="M50" s="6" t="str">
        <x:f>IF(Setup!$B$6="primary","",IFERROR(IF(INDEX('Primary_snapshot'!$D$2:$D$120,MATCH(C50,'Primary_snapshot'!$A$2:$A$120,0))="","",INDEX('Primary_snapshot'!$D$2:$D$120,MATCH(C50,'Primary_snapshot'!$A$2:$A$120,0))),"SNAPSHOT MISSING"))</x:f>
      </x:c>
      <x:c r="N50" s="6" t="str">
        <x:f>IF(Setup!$B$6="primary","",IFERROR(IF(INDEX('Primary_snapshot'!$E$2:$E$120,MATCH(C50,'Primary_snapshot'!$A$2:$A$120,0))="","",INDEX('Primary_snapshot'!$E$2:$E$120,MATCH(C50,'Primary_snapshot'!$A$2:$A$120,0))),"SNAPSHOT MISSING"))</x:f>
      </x:c>
      <x:c r="O50" s="6" t="str">
        <x:f>IF(Setup!$B$6="primary","",IFERROR(IF(INDEX('Primary_snapshot'!$F$2:$F$120,MATCH(C50,'Primary_snapshot'!$A$2:$A$120,0))="","",INDEX('Primary_snapshot'!$F$2:$F$120,MATCH(C50,'Primary_snapshot'!$A$2:$A$120,0))),"SNAPSHOT MISSING"))</x:f>
      </x:c>
      <x:c r="P50" s="6" t="str">
        <x:f>IF(Setup!$B$6="primary","",IFERROR(IF(INDEX('Primary_snapshot'!$G$2:$G$120,MATCH(C50,'Primary_snapshot'!$A$2:$A$120,0))="","",INDEX('Primary_snapshot'!$G$2:$G$120,MATCH(C50,'Primary_snapshot'!$A$2:$A$120,0))),"SNAPSHOT MISSING"))</x:f>
      </x:c>
      <x:c r="Q50" s="6" t="str">
        <x:f>IF(Setup!$B$6="primary","",IFERROR(IF(INDEX('Primary_snapshot'!$H$2:$H$120,MATCH(C50,'Primary_snapshot'!$A$2:$A$120,0))="","",INDEX('Primary_snapshot'!$H$2:$H$120,MATCH(C50,'Primary_snapshot'!$A$2:$A$120,0))),"SNAPSHOT MISSING"))</x:f>
      </x:c>
      <x:c r="R50" s="6" t="str">
        <x:f>IF(Setup!$B$6="primary","",IFERROR(IF(INDEX('Primary_snapshot'!$I$2:$I$120,MATCH(C50,'Primary_snapshot'!$A$2:$A$120,0))="","",INDEX('Primary_snapshot'!$I$2:$I$120,MATCH(C50,'Primary_snapshot'!$A$2:$A$120,0))),"SNAPSHOT MISSING"))</x:f>
      </x:c>
      <x:c r="S50" s="6" t="str">
        <x:f>IF(INDEX('C_jama.2018.14282'!$D$2:$D$29,MATCH("2018::jama.2018.14282::C005",'C_jama.2018.14282'!$A$2:$A$29,0))="","",INDEX('C_jama.2018.14282'!$D$2:$D$29,MATCH("2018::jama.2018.14282::C005",'C_jama.2018.14282'!$A$2:$A$29,0)))</x:f>
      </x:c>
      <x:c r="T50" s="6" t="str">
        <x:f>IF(INDEX('C_jama.2018.14282'!$E$2:$E$29,MATCH("2018::jama.2018.14282::C005",'C_jama.2018.14282'!$A$2:$A$29,0))="","",INDEX('C_jama.2018.14282'!$E$2:$E$29,MATCH("2018::jama.2018.14282::C005",'C_jama.2018.14282'!$A$2:$A$29,0)))</x:f>
        <x:v>statistical_results</x:v>
      </x:c>
      <x:c r="U50" s="6" t="str">
        <x:f>IF(AND(INDEX('C_jama.2018.14282'!$D$2:$D$29,MATCH("2018::jama.2018.14282::C005",'C_jama.2018.14282'!$A$2:$A$29,0))="retain",INDEX('C_jama.2018.14282'!$E$2:$E$29,MATCH("2018::jama.2018.14282::C005",'C_jama.2018.14282'!$A$2:$A$29,0))="statistical_results"),IF(INDEX('C_jama.2018.14282'!$H$2:$H$29,MATCH("2018::jama.2018.14282::C005",'C_jama.2018.14282'!$A$2:$A$29,0))="","",INDEX('C_jama.2018.14282'!$H$2:$H$29,MATCH("2018::jama.2018.14282::C005",'C_jama.2018.14282'!$A$2:$A$29,0))),"not_applicable")</x:f>
        <x:v>not_applicable</x:v>
      </x:c>
      <x:c r="V50" s="6" t="str">
        <x:f>IF(AND(INDEX('C_jama.2018.14282'!$D$2:$D$29,MATCH("2018::jama.2018.14282::C005",'C_jama.2018.14282'!$A$2:$A$29,0))="retain",INDEX('C_jama.2018.14282'!$E$2:$E$29,MATCH("2018::jama.2018.14282::C005",'C_jama.2018.14282'!$A$2:$A$29,0))="statistical_results"),IF(INDEX('C_jama.2018.14282'!$I$2:$I$29,MATCH("2018::jama.2018.14282::C005",'C_jama.2018.14282'!$A$2:$A$29,0))="","",INDEX('C_jama.2018.14282'!$I$2:$I$29,MATCH("2018::jama.2018.14282::C005",'C_jama.2018.14282'!$A$2:$A$29,0))),"not_applicable")</x:f>
        <x:v>not_applicable</x:v>
      </x:c>
      <x:c r="W50" s="6" t="str">
        <x:f>IF(AND(INDEX('C_jama.2018.14282'!$D$2:$D$29,MATCH("2018::jama.2018.14282::C005",'C_jama.2018.14282'!$A$2:$A$29,0))="retain",INDEX('C_jama.2018.14282'!$E$2:$E$29,MATCH("2018::jama.2018.14282::C005",'C_jama.2018.14282'!$A$2:$A$29,0))="statistical_results"),IF(INDEX('C_jama.2018.14282'!$J$2:$J$29,MATCH("2018::jama.2018.14282::C005",'C_jama.2018.14282'!$A$2:$A$29,0))="","",INDEX('C_jama.2018.14282'!$J$2:$J$29,MATCH("2018::jama.2018.14282::C005",'C_jama.2018.14282'!$A$2:$A$29,0))),"not_applicable")</x:f>
        <x:v>not_applicable</x:v>
      </x:c>
      <x:c r="X50" s="6" t="str">
        <x:f>IF(AND(INDEX('C_jama.2018.14282'!$D$2:$D$29,MATCH("2018::jama.2018.14282::C005",'C_jama.2018.14282'!$A$2:$A$29,0))="retain",OR(INDEX('C_jama.2018.14282'!$E$2:$E$29,MATCH("2018::jama.2018.14282::C005",'C_jama.2018.14282'!$A$2:$A$29,0))="report_internal_inconsistency",INDEX('C_jama.2018.14282'!$E$2:$E$29,MATCH("2018::jama.2018.14282::C005",'C_jama.2018.14282'!$A$2:$A$29,0))="plan_material")),IF(INDEX('C_jama.2018.14282'!$K$2:$K$29,MATCH("2018::jama.2018.14282::C005",'C_jama.2018.14282'!$A$2:$A$29,0))="","",INDEX('C_jama.2018.14282'!$K$2:$K$29,MATCH("2018::jama.2018.14282::C005",'C_jama.2018.14282'!$A$2:$A$29,0))),"not_applicable")</x:f>
        <x:v>not_applicable</x:v>
      </x:c>
      <x:c r="Y50" s="6" t="str">
        <x:f>IF(AND(INDEX('C_jama.2018.14282'!$D$2:$D$29,MATCH("2018::jama.2018.14282::C005",'C_jama.2018.14282'!$A$2:$A$29,0))="retain",INDEX('C_jama.2018.14282'!$E$2:$E$29,MATCH("2018::jama.2018.14282::C005",'C_jama.2018.14282'!$A$2:$A$29,0))="protocol_report"),IF(INDEX('C_jama.2018.14282'!$L$2:$L$29,MATCH("2018::jama.2018.14282::C005",'C_jama.2018.14282'!$A$2:$A$29,0))="","",INDEX('C_jama.2018.14282'!$L$2:$L$29,MATCH("2018::jama.2018.14282::C005",'C_jama.2018.14282'!$A$2:$A$29,0))),"not_applicable")</x:f>
        <x:v>not_applicable</x:v>
      </x:c>
      <x:c r="Z50" s="6" t="str">
        <x:f>IF(INDEX('C_jama.2018.14282'!$R$2:$R$29,MATCH("2018::jama.2018.14282::C005",'C_jama.2018.14282'!$A$2:$A$29,0))="","",INDEX('C_jama.2018.14282'!$R$2:$R$29,MATCH("2018::jama.2018.14282::C005",'C_jama.2018.14282'!$A$2:$A$29,0)))</x:f>
      </x:c>
      <x:c r="AA50" s="6" t="str">
        <x:f>IF(INDEX('C_jama.2018.14282'!$N$2:$N$29,MATCH("2018::jama.2018.14282::C005",'C_jama.2018.14282'!$A$2:$A$29,0))="","",INDEX('C_jama.2018.14282'!$N$2:$N$29,MATCH("2018::jama.2018.14282::C005",'C_jama.2018.14282'!$A$2:$A$29,0)))</x:f>
      </x:c>
      <x:c r="AB50" s="6" t="str">
        <x:f>IF(INDEX('C_jama.2018.14282'!$O$2:$O$29,MATCH("2018::jama.2018.14282::C005",'C_jama.2018.14282'!$A$2:$A$29,0))="","",INDEX('C_jama.2018.14282'!$O$2:$O$29,MATCH("2018::jama.2018.14282::C005",'C_jama.2018.14282'!$A$2:$A$29,0)))</x:f>
      </x:c>
      <x:c r="AC50" s="6" t="str">
        <x:f>IF(INDEX('C_jama.2018.14282'!$P$2:$P$29,MATCH("2018::jama.2018.14282::C005",'C_jama.2018.14282'!$A$2:$A$29,0))="","",INDEX('C_jama.2018.14282'!$P$2:$P$29,MATCH("2018::jama.2018.14282::C005",'C_jama.2018.14282'!$A$2:$A$29,0)))</x:f>
      </x:c>
      <x:c r="AD50" s="6" t="str">
        <x:f>IF(INDEX('C_jama.2018.14282'!$Q$2:$Q$29,MATCH("2018::jama.2018.14282::C005",'C_jama.2018.14282'!$A$2:$A$29,0))="","",INDEX('C_jama.2018.14282'!$Q$2:$Q$29,MATCH("2018::jama.2018.14282::C005",'C_jama.2018.14282'!$A$2:$A$29,0)))</x:f>
      </x:c>
    </x:row>
    <x:row r="51" ht="65" customHeight="1">
      <x:c r="A51" s="3" t="n">
        <x:v>2018</x:v>
      </x:c>
      <x:c r="B51" s="3" t="str">
        <x:v>jama.2018.14282</x:v>
      </x:c>
      <x:c r="C51" s="3" t="str">
        <x:v>2018::jama.2018.14282::C006</x:v>
      </x:c>
      <x:c r="D51" s="3" t="str">
        <x:v>S_W</x:v>
      </x:c>
      <x:c r="E51" s="3" t="n">
        <x:f>Setup!$B$2</x:f>
        <x:v>0</x:v>
      </x:c>
      <x:c r="F51" s="3" t="str">
        <x:f>IF(Setup!$B$4="","",Setup!$B$4)</x:f>
      </x:c>
      <x:c r="G51" s="3" t="str">
        <x:f>IFERROR(INDEX('C_jama.2018.14282'!$G$2:$G$29,MATCH("2018::jama.2018.14282::C006",'C_jama.2018.14282'!$A$2:$A$29,0)),"CHECK KEY")</x:f>
        <x:v>CHECK REVIEWER IDs</x:v>
      </x:c>
      <x:c r="H51" s="3" t="str">
        <x:f>IF(G51&lt;&gt;"FINAL READY","",IF(S51&lt;&gt;"retain","not_eligible",IF(D51="P_R","protocol_descriptive",IF(D51="P_P","plan_descriptive",IF(AND(T51="statistical_results",OR(U51="confirmed_issue",U51="probable_issue"),V51="substantive"),"primary_temporal",IF(AND(T51="report_internal_inconsistency",X51="substantive_inconsistency"),"secondary_temporal","not_eligible"))))))</x:f>
      </x:c>
      <x:c r="I51" s="3" t="str">
        <x:v>retain</x:v>
      </x:c>
      <x:c r="J51" s="3" t="str">
        <x:v>statistical_results</x:v>
      </x:c>
      <x:c r="K51" s="3" t="str">
        <x:f>IF(Setup!$B$6="primary","",IFERROR(IF(INDEX('Primary_snapshot'!$B$2:$B$120,MATCH(C51,'Primary_snapshot'!$A$2:$A$120,0))="","",INDEX('Primary_snapshot'!$B$2:$B$120,MATCH(C51,'Primary_snapshot'!$A$2:$A$120,0))),"SNAPSHOT MISSING"))</x:f>
      </x:c>
      <x:c r="L51" s="3" t="str">
        <x:f>IF(Setup!$B$6="primary","",IFERROR(IF(INDEX('Primary_snapshot'!$C$2:$C$120,MATCH(C51,'Primary_snapshot'!$A$2:$A$120,0))="","",INDEX('Primary_snapshot'!$C$2:$C$120,MATCH(C51,'Primary_snapshot'!$A$2:$A$120,0))),"SNAPSHOT MISSING"))</x:f>
      </x:c>
      <x:c r="M51" s="3" t="str">
        <x:f>IF(Setup!$B$6="primary","",IFERROR(IF(INDEX('Primary_snapshot'!$D$2:$D$120,MATCH(C51,'Primary_snapshot'!$A$2:$A$120,0))="","",INDEX('Primary_snapshot'!$D$2:$D$120,MATCH(C51,'Primary_snapshot'!$A$2:$A$120,0))),"SNAPSHOT MISSING"))</x:f>
      </x:c>
      <x:c r="N51" s="3" t="str">
        <x:f>IF(Setup!$B$6="primary","",IFERROR(IF(INDEX('Primary_snapshot'!$E$2:$E$120,MATCH(C51,'Primary_snapshot'!$A$2:$A$120,0))="","",INDEX('Primary_snapshot'!$E$2:$E$120,MATCH(C51,'Primary_snapshot'!$A$2:$A$120,0))),"SNAPSHOT MISSING"))</x:f>
      </x:c>
      <x:c r="O51" s="3" t="str">
        <x:f>IF(Setup!$B$6="primary","",IFERROR(IF(INDEX('Primary_snapshot'!$F$2:$F$120,MATCH(C51,'Primary_snapshot'!$A$2:$A$120,0))="","",INDEX('Primary_snapshot'!$F$2:$F$120,MATCH(C51,'Primary_snapshot'!$A$2:$A$120,0))),"SNAPSHOT MISSING"))</x:f>
      </x:c>
      <x:c r="P51" s="3" t="str">
        <x:f>IF(Setup!$B$6="primary","",IFERROR(IF(INDEX('Primary_snapshot'!$G$2:$G$120,MATCH(C51,'Primary_snapshot'!$A$2:$A$120,0))="","",INDEX('Primary_snapshot'!$G$2:$G$120,MATCH(C51,'Primary_snapshot'!$A$2:$A$120,0))),"SNAPSHOT MISSING"))</x:f>
      </x:c>
      <x:c r="Q51" s="3" t="str">
        <x:f>IF(Setup!$B$6="primary","",IFERROR(IF(INDEX('Primary_snapshot'!$H$2:$H$120,MATCH(C51,'Primary_snapshot'!$A$2:$A$120,0))="","",INDEX('Primary_snapshot'!$H$2:$H$120,MATCH(C51,'Primary_snapshot'!$A$2:$A$120,0))),"SNAPSHOT MISSING"))</x:f>
      </x:c>
      <x:c r="R51" s="3" t="str">
        <x:f>IF(Setup!$B$6="primary","",IFERROR(IF(INDEX('Primary_snapshot'!$I$2:$I$120,MATCH(C51,'Primary_snapshot'!$A$2:$A$120,0))="","",INDEX('Primary_snapshot'!$I$2:$I$120,MATCH(C51,'Primary_snapshot'!$A$2:$A$120,0))),"SNAPSHOT MISSING"))</x:f>
      </x:c>
      <x:c r="S51" s="3" t="str">
        <x:f>IF(INDEX('C_jama.2018.14282'!$D$2:$D$29,MATCH("2018::jama.2018.14282::C006",'C_jama.2018.14282'!$A$2:$A$29,0))="","",INDEX('C_jama.2018.14282'!$D$2:$D$29,MATCH("2018::jama.2018.14282::C006",'C_jama.2018.14282'!$A$2:$A$29,0)))</x:f>
      </x:c>
      <x:c r="T51" s="3" t="str">
        <x:f>IF(INDEX('C_jama.2018.14282'!$E$2:$E$29,MATCH("2018::jama.2018.14282::C006",'C_jama.2018.14282'!$A$2:$A$29,0))="","",INDEX('C_jama.2018.14282'!$E$2:$E$29,MATCH("2018::jama.2018.14282::C006",'C_jama.2018.14282'!$A$2:$A$29,0)))</x:f>
        <x:v>statistical_results</x:v>
      </x:c>
      <x:c r="U51" s="3" t="str">
        <x:f>IF(AND(INDEX('C_jama.2018.14282'!$D$2:$D$29,MATCH("2018::jama.2018.14282::C006",'C_jama.2018.14282'!$A$2:$A$29,0))="retain",INDEX('C_jama.2018.14282'!$E$2:$E$29,MATCH("2018::jama.2018.14282::C006",'C_jama.2018.14282'!$A$2:$A$29,0))="statistical_results"),IF(INDEX('C_jama.2018.14282'!$H$2:$H$29,MATCH("2018::jama.2018.14282::C006",'C_jama.2018.14282'!$A$2:$A$29,0))="","",INDEX('C_jama.2018.14282'!$H$2:$H$29,MATCH("2018::jama.2018.14282::C006",'C_jama.2018.14282'!$A$2:$A$29,0))),"not_applicable")</x:f>
        <x:v>not_applicable</x:v>
      </x:c>
      <x:c r="V51" s="3" t="str">
        <x:f>IF(AND(INDEX('C_jama.2018.14282'!$D$2:$D$29,MATCH("2018::jama.2018.14282::C006",'C_jama.2018.14282'!$A$2:$A$29,0))="retain",INDEX('C_jama.2018.14282'!$E$2:$E$29,MATCH("2018::jama.2018.14282::C006",'C_jama.2018.14282'!$A$2:$A$29,0))="statistical_results"),IF(INDEX('C_jama.2018.14282'!$I$2:$I$29,MATCH("2018::jama.2018.14282::C006",'C_jama.2018.14282'!$A$2:$A$29,0))="","",INDEX('C_jama.2018.14282'!$I$2:$I$29,MATCH("2018::jama.2018.14282::C006",'C_jama.2018.14282'!$A$2:$A$29,0))),"not_applicable")</x:f>
        <x:v>not_applicable</x:v>
      </x:c>
      <x:c r="W51" s="3" t="str">
        <x:f>IF(AND(INDEX('C_jama.2018.14282'!$D$2:$D$29,MATCH("2018::jama.2018.14282::C006",'C_jama.2018.14282'!$A$2:$A$29,0))="retain",INDEX('C_jama.2018.14282'!$E$2:$E$29,MATCH("2018::jama.2018.14282::C006",'C_jama.2018.14282'!$A$2:$A$29,0))="statistical_results"),IF(INDEX('C_jama.2018.14282'!$J$2:$J$29,MATCH("2018::jama.2018.14282::C006",'C_jama.2018.14282'!$A$2:$A$29,0))="","",INDEX('C_jama.2018.14282'!$J$2:$J$29,MATCH("2018::jama.2018.14282::C006",'C_jama.2018.14282'!$A$2:$A$29,0))),"not_applicable")</x:f>
        <x:v>not_applicable</x:v>
      </x:c>
      <x:c r="X51" s="3" t="str">
        <x:f>IF(AND(INDEX('C_jama.2018.14282'!$D$2:$D$29,MATCH("2018::jama.2018.14282::C006",'C_jama.2018.14282'!$A$2:$A$29,0))="retain",OR(INDEX('C_jama.2018.14282'!$E$2:$E$29,MATCH("2018::jama.2018.14282::C006",'C_jama.2018.14282'!$A$2:$A$29,0))="report_internal_inconsistency",INDEX('C_jama.2018.14282'!$E$2:$E$29,MATCH("2018::jama.2018.14282::C006",'C_jama.2018.14282'!$A$2:$A$29,0))="plan_material")),IF(INDEX('C_jama.2018.14282'!$K$2:$K$29,MATCH("2018::jama.2018.14282::C006",'C_jama.2018.14282'!$A$2:$A$29,0))="","",INDEX('C_jama.2018.14282'!$K$2:$K$29,MATCH("2018::jama.2018.14282::C006",'C_jama.2018.14282'!$A$2:$A$29,0))),"not_applicable")</x:f>
        <x:v>not_applicable</x:v>
      </x:c>
      <x:c r="Y51" s="3" t="str">
        <x:f>IF(AND(INDEX('C_jama.2018.14282'!$D$2:$D$29,MATCH("2018::jama.2018.14282::C006",'C_jama.2018.14282'!$A$2:$A$29,0))="retain",INDEX('C_jama.2018.14282'!$E$2:$E$29,MATCH("2018::jama.2018.14282::C006",'C_jama.2018.14282'!$A$2:$A$29,0))="protocol_report"),IF(INDEX('C_jama.2018.14282'!$L$2:$L$29,MATCH("2018::jama.2018.14282::C006",'C_jama.2018.14282'!$A$2:$A$29,0))="","",INDEX('C_jama.2018.14282'!$L$2:$L$29,MATCH("2018::jama.2018.14282::C006",'C_jama.2018.14282'!$A$2:$A$29,0))),"not_applicable")</x:f>
        <x:v>not_applicable</x:v>
      </x:c>
      <x:c r="Z51" s="3" t="str">
        <x:f>IF(INDEX('C_jama.2018.14282'!$R$2:$R$29,MATCH("2018::jama.2018.14282::C006",'C_jama.2018.14282'!$A$2:$A$29,0))="","",INDEX('C_jama.2018.14282'!$R$2:$R$29,MATCH("2018::jama.2018.14282::C006",'C_jama.2018.14282'!$A$2:$A$29,0)))</x:f>
      </x:c>
      <x:c r="AA51" s="3" t="str">
        <x:f>IF(INDEX('C_jama.2018.14282'!$N$2:$N$29,MATCH("2018::jama.2018.14282::C006",'C_jama.2018.14282'!$A$2:$A$29,0))="","",INDEX('C_jama.2018.14282'!$N$2:$N$29,MATCH("2018::jama.2018.14282::C006",'C_jama.2018.14282'!$A$2:$A$29,0)))</x:f>
      </x:c>
      <x:c r="AB51" s="3" t="str">
        <x:f>IF(INDEX('C_jama.2018.14282'!$O$2:$O$29,MATCH("2018::jama.2018.14282::C006",'C_jama.2018.14282'!$A$2:$A$29,0))="","",INDEX('C_jama.2018.14282'!$O$2:$O$29,MATCH("2018::jama.2018.14282::C006",'C_jama.2018.14282'!$A$2:$A$29,0)))</x:f>
      </x:c>
      <x:c r="AC51" s="3" t="str">
        <x:f>IF(INDEX('C_jama.2018.14282'!$P$2:$P$29,MATCH("2018::jama.2018.14282::C006",'C_jama.2018.14282'!$A$2:$A$29,0))="","",INDEX('C_jama.2018.14282'!$P$2:$P$29,MATCH("2018::jama.2018.14282::C006",'C_jama.2018.14282'!$A$2:$A$29,0)))</x:f>
      </x:c>
      <x:c r="AD51" s="3" t="str">
        <x:f>IF(INDEX('C_jama.2018.14282'!$Q$2:$Q$29,MATCH("2018::jama.2018.14282::C006",'C_jama.2018.14282'!$A$2:$A$29,0))="","",INDEX('C_jama.2018.14282'!$Q$2:$Q$29,MATCH("2018::jama.2018.14282::C006",'C_jama.2018.14282'!$A$2:$A$29,0)))</x:f>
      </x:c>
    </x:row>
    <x:row r="52" ht="65" customHeight="1">
      <x:c r="A52" s="6" t="n">
        <x:v>2018</x:v>
      </x:c>
      <x:c r="B52" s="6" t="str">
        <x:v>jama.2018.14282</x:v>
      </x:c>
      <x:c r="C52" s="6" t="str">
        <x:v>2018::jama.2018.14282::C007</x:v>
      </x:c>
      <x:c r="D52" s="6" t="str">
        <x:v>S_W</x:v>
      </x:c>
      <x:c r="E52" s="6" t="n">
        <x:f>Setup!$B$2</x:f>
        <x:v>0</x:v>
      </x:c>
      <x:c r="F52" s="6" t="str">
        <x:f>IF(Setup!$B$4="","",Setup!$B$4)</x:f>
      </x:c>
      <x:c r="G52" s="6" t="str">
        <x:f>IFERROR(INDEX('C_jama.2018.14282'!$G$2:$G$29,MATCH("2018::jama.2018.14282::C007",'C_jama.2018.14282'!$A$2:$A$29,0)),"CHECK KEY")</x:f>
        <x:v>CHECK REVIEWER IDs</x:v>
      </x:c>
      <x:c r="H52" s="6" t="str">
        <x:f>IF(G52&lt;&gt;"FINAL READY","",IF(S52&lt;&gt;"retain","not_eligible",IF(D52="P_R","protocol_descriptive",IF(D52="P_P","plan_descriptive",IF(AND(T52="statistical_results",OR(U52="confirmed_issue",U52="probable_issue"),V52="substantive"),"primary_temporal",IF(AND(T52="report_internal_inconsistency",X52="substantive_inconsistency"),"secondary_temporal","not_eligible"))))))</x:f>
      </x:c>
      <x:c r="I52" s="6" t="str">
        <x:v>retain</x:v>
      </x:c>
      <x:c r="J52" s="6" t="str">
        <x:v>statistical_results</x:v>
      </x:c>
      <x:c r="K52" s="6" t="str">
        <x:f>IF(Setup!$B$6="primary","",IFERROR(IF(INDEX('Primary_snapshot'!$B$2:$B$120,MATCH(C52,'Primary_snapshot'!$A$2:$A$120,0))="","",INDEX('Primary_snapshot'!$B$2:$B$120,MATCH(C52,'Primary_snapshot'!$A$2:$A$120,0))),"SNAPSHOT MISSING"))</x:f>
      </x:c>
      <x:c r="L52" s="6" t="str">
        <x:f>IF(Setup!$B$6="primary","",IFERROR(IF(INDEX('Primary_snapshot'!$C$2:$C$120,MATCH(C52,'Primary_snapshot'!$A$2:$A$120,0))="","",INDEX('Primary_snapshot'!$C$2:$C$120,MATCH(C52,'Primary_snapshot'!$A$2:$A$120,0))),"SNAPSHOT MISSING"))</x:f>
      </x:c>
      <x:c r="M52" s="6" t="str">
        <x:f>IF(Setup!$B$6="primary","",IFERROR(IF(INDEX('Primary_snapshot'!$D$2:$D$120,MATCH(C52,'Primary_snapshot'!$A$2:$A$120,0))="","",INDEX('Primary_snapshot'!$D$2:$D$120,MATCH(C52,'Primary_snapshot'!$A$2:$A$120,0))),"SNAPSHOT MISSING"))</x:f>
      </x:c>
      <x:c r="N52" s="6" t="str">
        <x:f>IF(Setup!$B$6="primary","",IFERROR(IF(INDEX('Primary_snapshot'!$E$2:$E$120,MATCH(C52,'Primary_snapshot'!$A$2:$A$120,0))="","",INDEX('Primary_snapshot'!$E$2:$E$120,MATCH(C52,'Primary_snapshot'!$A$2:$A$120,0))),"SNAPSHOT MISSING"))</x:f>
      </x:c>
      <x:c r="O52" s="6" t="str">
        <x:f>IF(Setup!$B$6="primary","",IFERROR(IF(INDEX('Primary_snapshot'!$F$2:$F$120,MATCH(C52,'Primary_snapshot'!$A$2:$A$120,0))="","",INDEX('Primary_snapshot'!$F$2:$F$120,MATCH(C52,'Primary_snapshot'!$A$2:$A$120,0))),"SNAPSHOT MISSING"))</x:f>
      </x:c>
      <x:c r="P52" s="6" t="str">
        <x:f>IF(Setup!$B$6="primary","",IFERROR(IF(INDEX('Primary_snapshot'!$G$2:$G$120,MATCH(C52,'Primary_snapshot'!$A$2:$A$120,0))="","",INDEX('Primary_snapshot'!$G$2:$G$120,MATCH(C52,'Primary_snapshot'!$A$2:$A$120,0))),"SNAPSHOT MISSING"))</x:f>
      </x:c>
      <x:c r="Q52" s="6" t="str">
        <x:f>IF(Setup!$B$6="primary","",IFERROR(IF(INDEX('Primary_snapshot'!$H$2:$H$120,MATCH(C52,'Primary_snapshot'!$A$2:$A$120,0))="","",INDEX('Primary_snapshot'!$H$2:$H$120,MATCH(C52,'Primary_snapshot'!$A$2:$A$120,0))),"SNAPSHOT MISSING"))</x:f>
      </x:c>
      <x:c r="R52" s="6" t="str">
        <x:f>IF(Setup!$B$6="primary","",IFERROR(IF(INDEX('Primary_snapshot'!$I$2:$I$120,MATCH(C52,'Primary_snapshot'!$A$2:$A$120,0))="","",INDEX('Primary_snapshot'!$I$2:$I$120,MATCH(C52,'Primary_snapshot'!$A$2:$A$120,0))),"SNAPSHOT MISSING"))</x:f>
      </x:c>
      <x:c r="S52" s="6" t="str">
        <x:f>IF(INDEX('C_jama.2018.14282'!$D$2:$D$29,MATCH("2018::jama.2018.14282::C007",'C_jama.2018.14282'!$A$2:$A$29,0))="","",INDEX('C_jama.2018.14282'!$D$2:$D$29,MATCH("2018::jama.2018.14282::C007",'C_jama.2018.14282'!$A$2:$A$29,0)))</x:f>
      </x:c>
      <x:c r="T52" s="6" t="str">
        <x:f>IF(INDEX('C_jama.2018.14282'!$E$2:$E$29,MATCH("2018::jama.2018.14282::C007",'C_jama.2018.14282'!$A$2:$A$29,0))="","",INDEX('C_jama.2018.14282'!$E$2:$E$29,MATCH("2018::jama.2018.14282::C007",'C_jama.2018.14282'!$A$2:$A$29,0)))</x:f>
        <x:v>statistical_results</x:v>
      </x:c>
      <x:c r="U52" s="6" t="str">
        <x:f>IF(AND(INDEX('C_jama.2018.14282'!$D$2:$D$29,MATCH("2018::jama.2018.14282::C007",'C_jama.2018.14282'!$A$2:$A$29,0))="retain",INDEX('C_jama.2018.14282'!$E$2:$E$29,MATCH("2018::jama.2018.14282::C007",'C_jama.2018.14282'!$A$2:$A$29,0))="statistical_results"),IF(INDEX('C_jama.2018.14282'!$H$2:$H$29,MATCH("2018::jama.2018.14282::C007",'C_jama.2018.14282'!$A$2:$A$29,0))="","",INDEX('C_jama.2018.14282'!$H$2:$H$29,MATCH("2018::jama.2018.14282::C007",'C_jama.2018.14282'!$A$2:$A$29,0))),"not_applicable")</x:f>
        <x:v>not_applicable</x:v>
      </x:c>
      <x:c r="V52" s="6" t="str">
        <x:f>IF(AND(INDEX('C_jama.2018.14282'!$D$2:$D$29,MATCH("2018::jama.2018.14282::C007",'C_jama.2018.14282'!$A$2:$A$29,0))="retain",INDEX('C_jama.2018.14282'!$E$2:$E$29,MATCH("2018::jama.2018.14282::C007",'C_jama.2018.14282'!$A$2:$A$29,0))="statistical_results"),IF(INDEX('C_jama.2018.14282'!$I$2:$I$29,MATCH("2018::jama.2018.14282::C007",'C_jama.2018.14282'!$A$2:$A$29,0))="","",INDEX('C_jama.2018.14282'!$I$2:$I$29,MATCH("2018::jama.2018.14282::C007",'C_jama.2018.14282'!$A$2:$A$29,0))),"not_applicable")</x:f>
        <x:v>not_applicable</x:v>
      </x:c>
      <x:c r="W52" s="6" t="str">
        <x:f>IF(AND(INDEX('C_jama.2018.14282'!$D$2:$D$29,MATCH("2018::jama.2018.14282::C007",'C_jama.2018.14282'!$A$2:$A$29,0))="retain",INDEX('C_jama.2018.14282'!$E$2:$E$29,MATCH("2018::jama.2018.14282::C007",'C_jama.2018.14282'!$A$2:$A$29,0))="statistical_results"),IF(INDEX('C_jama.2018.14282'!$J$2:$J$29,MATCH("2018::jama.2018.14282::C007",'C_jama.2018.14282'!$A$2:$A$29,0))="","",INDEX('C_jama.2018.14282'!$J$2:$J$29,MATCH("2018::jama.2018.14282::C007",'C_jama.2018.14282'!$A$2:$A$29,0))),"not_applicable")</x:f>
        <x:v>not_applicable</x:v>
      </x:c>
      <x:c r="X52" s="6" t="str">
        <x:f>IF(AND(INDEX('C_jama.2018.14282'!$D$2:$D$29,MATCH("2018::jama.2018.14282::C007",'C_jama.2018.14282'!$A$2:$A$29,0))="retain",OR(INDEX('C_jama.2018.14282'!$E$2:$E$29,MATCH("2018::jama.2018.14282::C007",'C_jama.2018.14282'!$A$2:$A$29,0))="report_internal_inconsistency",INDEX('C_jama.2018.14282'!$E$2:$E$29,MATCH("2018::jama.2018.14282::C007",'C_jama.2018.14282'!$A$2:$A$29,0))="plan_material")),IF(INDEX('C_jama.2018.14282'!$K$2:$K$29,MATCH("2018::jama.2018.14282::C007",'C_jama.2018.14282'!$A$2:$A$29,0))="","",INDEX('C_jama.2018.14282'!$K$2:$K$29,MATCH("2018::jama.2018.14282::C007",'C_jama.2018.14282'!$A$2:$A$29,0))),"not_applicable")</x:f>
        <x:v>not_applicable</x:v>
      </x:c>
      <x:c r="Y52" s="6" t="str">
        <x:f>IF(AND(INDEX('C_jama.2018.14282'!$D$2:$D$29,MATCH("2018::jama.2018.14282::C007",'C_jama.2018.14282'!$A$2:$A$29,0))="retain",INDEX('C_jama.2018.14282'!$E$2:$E$29,MATCH("2018::jama.2018.14282::C007",'C_jama.2018.14282'!$A$2:$A$29,0))="protocol_report"),IF(INDEX('C_jama.2018.14282'!$L$2:$L$29,MATCH("2018::jama.2018.14282::C007",'C_jama.2018.14282'!$A$2:$A$29,0))="","",INDEX('C_jama.2018.14282'!$L$2:$L$29,MATCH("2018::jama.2018.14282::C007",'C_jama.2018.14282'!$A$2:$A$29,0))),"not_applicable")</x:f>
        <x:v>not_applicable</x:v>
      </x:c>
      <x:c r="Z52" s="6" t="str">
        <x:f>IF(INDEX('C_jama.2018.14282'!$R$2:$R$29,MATCH("2018::jama.2018.14282::C007",'C_jama.2018.14282'!$A$2:$A$29,0))="","",INDEX('C_jama.2018.14282'!$R$2:$R$29,MATCH("2018::jama.2018.14282::C007",'C_jama.2018.14282'!$A$2:$A$29,0)))</x:f>
      </x:c>
      <x:c r="AA52" s="6" t="str">
        <x:f>IF(INDEX('C_jama.2018.14282'!$N$2:$N$29,MATCH("2018::jama.2018.14282::C007",'C_jama.2018.14282'!$A$2:$A$29,0))="","",INDEX('C_jama.2018.14282'!$N$2:$N$29,MATCH("2018::jama.2018.14282::C007",'C_jama.2018.14282'!$A$2:$A$29,0)))</x:f>
      </x:c>
      <x:c r="AB52" s="6" t="str">
        <x:f>IF(INDEX('C_jama.2018.14282'!$O$2:$O$29,MATCH("2018::jama.2018.14282::C007",'C_jama.2018.14282'!$A$2:$A$29,0))="","",INDEX('C_jama.2018.14282'!$O$2:$O$29,MATCH("2018::jama.2018.14282::C007",'C_jama.2018.14282'!$A$2:$A$29,0)))</x:f>
      </x:c>
      <x:c r="AC52" s="6" t="str">
        <x:f>IF(INDEX('C_jama.2018.14282'!$P$2:$P$29,MATCH("2018::jama.2018.14282::C007",'C_jama.2018.14282'!$A$2:$A$29,0))="","",INDEX('C_jama.2018.14282'!$P$2:$P$29,MATCH("2018::jama.2018.14282::C007",'C_jama.2018.14282'!$A$2:$A$29,0)))</x:f>
      </x:c>
      <x:c r="AD52" s="6" t="str">
        <x:f>IF(INDEX('C_jama.2018.14282'!$Q$2:$Q$29,MATCH("2018::jama.2018.14282::C007",'C_jama.2018.14282'!$A$2:$A$29,0))="","",INDEX('C_jama.2018.14282'!$Q$2:$Q$29,MATCH("2018::jama.2018.14282::C007",'C_jama.2018.14282'!$A$2:$A$29,0)))</x:f>
      </x:c>
    </x:row>
    <x:row r="53" ht="65" customHeight="1">
      <x:c r="A53" s="3" t="n">
        <x:v>2018</x:v>
      </x:c>
      <x:c r="B53" s="3" t="str">
        <x:v>jama.2018.14282</x:v>
      </x:c>
      <x:c r="C53" s="3" t="str">
        <x:v>2018::jama.2018.14282::C008</x:v>
      </x:c>
      <x:c r="D53" s="3" t="str">
        <x:v>S_W</x:v>
      </x:c>
      <x:c r="E53" s="3" t="n">
        <x:f>Setup!$B$2</x:f>
        <x:v>0</x:v>
      </x:c>
      <x:c r="F53" s="3" t="str">
        <x:f>IF(Setup!$B$4="","",Setup!$B$4)</x:f>
      </x:c>
      <x:c r="G53" s="3" t="str">
        <x:f>IFERROR(INDEX('C_jama.2018.14282'!$G$2:$G$29,MATCH("2018::jama.2018.14282::C008",'C_jama.2018.14282'!$A$2:$A$29,0)),"CHECK KEY")</x:f>
        <x:v>CHECK REVIEWER IDs</x:v>
      </x:c>
      <x:c r="H53" s="3" t="str">
        <x:f>IF(G53&lt;&gt;"FINAL READY","",IF(S53&lt;&gt;"retain","not_eligible",IF(D53="P_R","protocol_descriptive",IF(D53="P_P","plan_descriptive",IF(AND(T53="statistical_results",OR(U53="confirmed_issue",U53="probable_issue"),V53="substantive"),"primary_temporal",IF(AND(T53="report_internal_inconsistency",X53="substantive_inconsistency"),"secondary_temporal","not_eligible"))))))</x:f>
      </x:c>
      <x:c r="I53" s="3" t="str">
        <x:v>retain</x:v>
      </x:c>
      <x:c r="J53" s="3" t="str">
        <x:v>statistical_results</x:v>
      </x:c>
      <x:c r="K53" s="3" t="str">
        <x:f>IF(Setup!$B$6="primary","",IFERROR(IF(INDEX('Primary_snapshot'!$B$2:$B$120,MATCH(C53,'Primary_snapshot'!$A$2:$A$120,0))="","",INDEX('Primary_snapshot'!$B$2:$B$120,MATCH(C53,'Primary_snapshot'!$A$2:$A$120,0))),"SNAPSHOT MISSING"))</x:f>
      </x:c>
      <x:c r="L53" s="3" t="str">
        <x:f>IF(Setup!$B$6="primary","",IFERROR(IF(INDEX('Primary_snapshot'!$C$2:$C$120,MATCH(C53,'Primary_snapshot'!$A$2:$A$120,0))="","",INDEX('Primary_snapshot'!$C$2:$C$120,MATCH(C53,'Primary_snapshot'!$A$2:$A$120,0))),"SNAPSHOT MISSING"))</x:f>
      </x:c>
      <x:c r="M53" s="3" t="str">
        <x:f>IF(Setup!$B$6="primary","",IFERROR(IF(INDEX('Primary_snapshot'!$D$2:$D$120,MATCH(C53,'Primary_snapshot'!$A$2:$A$120,0))="","",INDEX('Primary_snapshot'!$D$2:$D$120,MATCH(C53,'Primary_snapshot'!$A$2:$A$120,0))),"SNAPSHOT MISSING"))</x:f>
      </x:c>
      <x:c r="N53" s="3" t="str">
        <x:f>IF(Setup!$B$6="primary","",IFERROR(IF(INDEX('Primary_snapshot'!$E$2:$E$120,MATCH(C53,'Primary_snapshot'!$A$2:$A$120,0))="","",INDEX('Primary_snapshot'!$E$2:$E$120,MATCH(C53,'Primary_snapshot'!$A$2:$A$120,0))),"SNAPSHOT MISSING"))</x:f>
      </x:c>
      <x:c r="O53" s="3" t="str">
        <x:f>IF(Setup!$B$6="primary","",IFERROR(IF(INDEX('Primary_snapshot'!$F$2:$F$120,MATCH(C53,'Primary_snapshot'!$A$2:$A$120,0))="","",INDEX('Primary_snapshot'!$F$2:$F$120,MATCH(C53,'Primary_snapshot'!$A$2:$A$120,0))),"SNAPSHOT MISSING"))</x:f>
      </x:c>
      <x:c r="P53" s="3" t="str">
        <x:f>IF(Setup!$B$6="primary","",IFERROR(IF(INDEX('Primary_snapshot'!$G$2:$G$120,MATCH(C53,'Primary_snapshot'!$A$2:$A$120,0))="","",INDEX('Primary_snapshot'!$G$2:$G$120,MATCH(C53,'Primary_snapshot'!$A$2:$A$120,0))),"SNAPSHOT MISSING"))</x:f>
      </x:c>
      <x:c r="Q53" s="3" t="str">
        <x:f>IF(Setup!$B$6="primary","",IFERROR(IF(INDEX('Primary_snapshot'!$H$2:$H$120,MATCH(C53,'Primary_snapshot'!$A$2:$A$120,0))="","",INDEX('Primary_snapshot'!$H$2:$H$120,MATCH(C53,'Primary_snapshot'!$A$2:$A$120,0))),"SNAPSHOT MISSING"))</x:f>
      </x:c>
      <x:c r="R53" s="3" t="str">
        <x:f>IF(Setup!$B$6="primary","",IFERROR(IF(INDEX('Primary_snapshot'!$I$2:$I$120,MATCH(C53,'Primary_snapshot'!$A$2:$A$120,0))="","",INDEX('Primary_snapshot'!$I$2:$I$120,MATCH(C53,'Primary_snapshot'!$A$2:$A$120,0))),"SNAPSHOT MISSING"))</x:f>
      </x:c>
      <x:c r="S53" s="3" t="str">
        <x:f>IF(INDEX('C_jama.2018.14282'!$D$2:$D$29,MATCH("2018::jama.2018.14282::C008",'C_jama.2018.14282'!$A$2:$A$29,0))="","",INDEX('C_jama.2018.14282'!$D$2:$D$29,MATCH("2018::jama.2018.14282::C008",'C_jama.2018.14282'!$A$2:$A$29,0)))</x:f>
      </x:c>
      <x:c r="T53" s="3" t="str">
        <x:f>IF(INDEX('C_jama.2018.14282'!$E$2:$E$29,MATCH("2018::jama.2018.14282::C008",'C_jama.2018.14282'!$A$2:$A$29,0))="","",INDEX('C_jama.2018.14282'!$E$2:$E$29,MATCH("2018::jama.2018.14282::C008",'C_jama.2018.14282'!$A$2:$A$29,0)))</x:f>
        <x:v>statistical_results</x:v>
      </x:c>
      <x:c r="U53" s="3" t="str">
        <x:f>IF(AND(INDEX('C_jama.2018.14282'!$D$2:$D$29,MATCH("2018::jama.2018.14282::C008",'C_jama.2018.14282'!$A$2:$A$29,0))="retain",INDEX('C_jama.2018.14282'!$E$2:$E$29,MATCH("2018::jama.2018.14282::C008",'C_jama.2018.14282'!$A$2:$A$29,0))="statistical_results"),IF(INDEX('C_jama.2018.14282'!$H$2:$H$29,MATCH("2018::jama.2018.14282::C008",'C_jama.2018.14282'!$A$2:$A$29,0))="","",INDEX('C_jama.2018.14282'!$H$2:$H$29,MATCH("2018::jama.2018.14282::C008",'C_jama.2018.14282'!$A$2:$A$29,0))),"not_applicable")</x:f>
        <x:v>not_applicable</x:v>
      </x:c>
      <x:c r="V53" s="3" t="str">
        <x:f>IF(AND(INDEX('C_jama.2018.14282'!$D$2:$D$29,MATCH("2018::jama.2018.14282::C008",'C_jama.2018.14282'!$A$2:$A$29,0))="retain",INDEX('C_jama.2018.14282'!$E$2:$E$29,MATCH("2018::jama.2018.14282::C008",'C_jama.2018.14282'!$A$2:$A$29,0))="statistical_results"),IF(INDEX('C_jama.2018.14282'!$I$2:$I$29,MATCH("2018::jama.2018.14282::C008",'C_jama.2018.14282'!$A$2:$A$29,0))="","",INDEX('C_jama.2018.14282'!$I$2:$I$29,MATCH("2018::jama.2018.14282::C008",'C_jama.2018.14282'!$A$2:$A$29,0))),"not_applicable")</x:f>
        <x:v>not_applicable</x:v>
      </x:c>
      <x:c r="W53" s="3" t="str">
        <x:f>IF(AND(INDEX('C_jama.2018.14282'!$D$2:$D$29,MATCH("2018::jama.2018.14282::C008",'C_jama.2018.14282'!$A$2:$A$29,0))="retain",INDEX('C_jama.2018.14282'!$E$2:$E$29,MATCH("2018::jama.2018.14282::C008",'C_jama.2018.14282'!$A$2:$A$29,0))="statistical_results"),IF(INDEX('C_jama.2018.14282'!$J$2:$J$29,MATCH("2018::jama.2018.14282::C008",'C_jama.2018.14282'!$A$2:$A$29,0))="","",INDEX('C_jama.2018.14282'!$J$2:$J$29,MATCH("2018::jama.2018.14282::C008",'C_jama.2018.14282'!$A$2:$A$29,0))),"not_applicable")</x:f>
        <x:v>not_applicable</x:v>
      </x:c>
      <x:c r="X53" s="3" t="str">
        <x:f>IF(AND(INDEX('C_jama.2018.14282'!$D$2:$D$29,MATCH("2018::jama.2018.14282::C008",'C_jama.2018.14282'!$A$2:$A$29,0))="retain",OR(INDEX('C_jama.2018.14282'!$E$2:$E$29,MATCH("2018::jama.2018.14282::C008",'C_jama.2018.14282'!$A$2:$A$29,0))="report_internal_inconsistency",INDEX('C_jama.2018.14282'!$E$2:$E$29,MATCH("2018::jama.2018.14282::C008",'C_jama.2018.14282'!$A$2:$A$29,0))="plan_material")),IF(INDEX('C_jama.2018.14282'!$K$2:$K$29,MATCH("2018::jama.2018.14282::C008",'C_jama.2018.14282'!$A$2:$A$29,0))="","",INDEX('C_jama.2018.14282'!$K$2:$K$29,MATCH("2018::jama.2018.14282::C008",'C_jama.2018.14282'!$A$2:$A$29,0))),"not_applicable")</x:f>
        <x:v>not_applicable</x:v>
      </x:c>
      <x:c r="Y53" s="3" t="str">
        <x:f>IF(AND(INDEX('C_jama.2018.14282'!$D$2:$D$29,MATCH("2018::jama.2018.14282::C008",'C_jama.2018.14282'!$A$2:$A$29,0))="retain",INDEX('C_jama.2018.14282'!$E$2:$E$29,MATCH("2018::jama.2018.14282::C008",'C_jama.2018.14282'!$A$2:$A$29,0))="protocol_report"),IF(INDEX('C_jama.2018.14282'!$L$2:$L$29,MATCH("2018::jama.2018.14282::C008",'C_jama.2018.14282'!$A$2:$A$29,0))="","",INDEX('C_jama.2018.14282'!$L$2:$L$29,MATCH("2018::jama.2018.14282::C008",'C_jama.2018.14282'!$A$2:$A$29,0))),"not_applicable")</x:f>
        <x:v>not_applicable</x:v>
      </x:c>
      <x:c r="Z53" s="3" t="str">
        <x:f>IF(INDEX('C_jama.2018.14282'!$R$2:$R$29,MATCH("2018::jama.2018.14282::C008",'C_jama.2018.14282'!$A$2:$A$29,0))="","",INDEX('C_jama.2018.14282'!$R$2:$R$29,MATCH("2018::jama.2018.14282::C008",'C_jama.2018.14282'!$A$2:$A$29,0)))</x:f>
      </x:c>
      <x:c r="AA53" s="3" t="str">
        <x:f>IF(INDEX('C_jama.2018.14282'!$N$2:$N$29,MATCH("2018::jama.2018.14282::C008",'C_jama.2018.14282'!$A$2:$A$29,0))="","",INDEX('C_jama.2018.14282'!$N$2:$N$29,MATCH("2018::jama.2018.14282::C008",'C_jama.2018.14282'!$A$2:$A$29,0)))</x:f>
      </x:c>
      <x:c r="AB53" s="3" t="str">
        <x:f>IF(INDEX('C_jama.2018.14282'!$O$2:$O$29,MATCH("2018::jama.2018.14282::C008",'C_jama.2018.14282'!$A$2:$A$29,0))="","",INDEX('C_jama.2018.14282'!$O$2:$O$29,MATCH("2018::jama.2018.14282::C008",'C_jama.2018.14282'!$A$2:$A$29,0)))</x:f>
      </x:c>
      <x:c r="AC53" s="3" t="str">
        <x:f>IF(INDEX('C_jama.2018.14282'!$P$2:$P$29,MATCH("2018::jama.2018.14282::C008",'C_jama.2018.14282'!$A$2:$A$29,0))="","",INDEX('C_jama.2018.14282'!$P$2:$P$29,MATCH("2018::jama.2018.14282::C008",'C_jama.2018.14282'!$A$2:$A$29,0)))</x:f>
      </x:c>
      <x:c r="AD53" s="3" t="str">
        <x:f>IF(INDEX('C_jama.2018.14282'!$Q$2:$Q$29,MATCH("2018::jama.2018.14282::C008",'C_jama.2018.14282'!$A$2:$A$29,0))="","",INDEX('C_jama.2018.14282'!$Q$2:$Q$29,MATCH("2018::jama.2018.14282::C008",'C_jama.2018.14282'!$A$2:$A$29,0)))</x:f>
      </x:c>
    </x:row>
    <x:row r="54" ht="65" customHeight="1">
      <x:c r="A54" s="6" t="n">
        <x:v>2018</x:v>
      </x:c>
      <x:c r="B54" s="6" t="str">
        <x:v>jama.2018.14282</x:v>
      </x:c>
      <x:c r="C54" s="6" t="str">
        <x:v>2018::jama.2018.14282::C009</x:v>
      </x:c>
      <x:c r="D54" s="6" t="str">
        <x:v>S_W</x:v>
      </x:c>
      <x:c r="E54" s="6" t="n">
        <x:f>Setup!$B$2</x:f>
        <x:v>0</x:v>
      </x:c>
      <x:c r="F54" s="6" t="str">
        <x:f>IF(Setup!$B$4="","",Setup!$B$4)</x:f>
      </x:c>
      <x:c r="G54" s="6" t="str">
        <x:f>IFERROR(INDEX('C_jama.2018.14282'!$G$2:$G$29,MATCH("2018::jama.2018.14282::C009",'C_jama.2018.14282'!$A$2:$A$29,0)),"CHECK KEY")</x:f>
        <x:v>CHECK REVIEWER IDs</x:v>
      </x:c>
      <x:c r="H54" s="6" t="str">
        <x:f>IF(G54&lt;&gt;"FINAL READY","",IF(S54&lt;&gt;"retain","not_eligible",IF(D54="P_R","protocol_descriptive",IF(D54="P_P","plan_descriptive",IF(AND(T54="statistical_results",OR(U54="confirmed_issue",U54="probable_issue"),V54="substantive"),"primary_temporal",IF(AND(T54="report_internal_inconsistency",X54="substantive_inconsistency"),"secondary_temporal","not_eligible"))))))</x:f>
      </x:c>
      <x:c r="I54" s="6" t="str">
        <x:v>retain</x:v>
      </x:c>
      <x:c r="J54" s="6" t="str">
        <x:v>statistical_results</x:v>
      </x:c>
      <x:c r="K54" s="6" t="str">
        <x:f>IF(Setup!$B$6="primary","",IFERROR(IF(INDEX('Primary_snapshot'!$B$2:$B$120,MATCH(C54,'Primary_snapshot'!$A$2:$A$120,0))="","",INDEX('Primary_snapshot'!$B$2:$B$120,MATCH(C54,'Primary_snapshot'!$A$2:$A$120,0))),"SNAPSHOT MISSING"))</x:f>
      </x:c>
      <x:c r="L54" s="6" t="str">
        <x:f>IF(Setup!$B$6="primary","",IFERROR(IF(INDEX('Primary_snapshot'!$C$2:$C$120,MATCH(C54,'Primary_snapshot'!$A$2:$A$120,0))="","",INDEX('Primary_snapshot'!$C$2:$C$120,MATCH(C54,'Primary_snapshot'!$A$2:$A$120,0))),"SNAPSHOT MISSING"))</x:f>
      </x:c>
      <x:c r="M54" s="6" t="str">
        <x:f>IF(Setup!$B$6="primary","",IFERROR(IF(INDEX('Primary_snapshot'!$D$2:$D$120,MATCH(C54,'Primary_snapshot'!$A$2:$A$120,0))="","",INDEX('Primary_snapshot'!$D$2:$D$120,MATCH(C54,'Primary_snapshot'!$A$2:$A$120,0))),"SNAPSHOT MISSING"))</x:f>
      </x:c>
      <x:c r="N54" s="6" t="str">
        <x:f>IF(Setup!$B$6="primary","",IFERROR(IF(INDEX('Primary_snapshot'!$E$2:$E$120,MATCH(C54,'Primary_snapshot'!$A$2:$A$120,0))="","",INDEX('Primary_snapshot'!$E$2:$E$120,MATCH(C54,'Primary_snapshot'!$A$2:$A$120,0))),"SNAPSHOT MISSING"))</x:f>
      </x:c>
      <x:c r="O54" s="6" t="str">
        <x:f>IF(Setup!$B$6="primary","",IFERROR(IF(INDEX('Primary_snapshot'!$F$2:$F$120,MATCH(C54,'Primary_snapshot'!$A$2:$A$120,0))="","",INDEX('Primary_snapshot'!$F$2:$F$120,MATCH(C54,'Primary_snapshot'!$A$2:$A$120,0))),"SNAPSHOT MISSING"))</x:f>
      </x:c>
      <x:c r="P54" s="6" t="str">
        <x:f>IF(Setup!$B$6="primary","",IFERROR(IF(INDEX('Primary_snapshot'!$G$2:$G$120,MATCH(C54,'Primary_snapshot'!$A$2:$A$120,0))="","",INDEX('Primary_snapshot'!$G$2:$G$120,MATCH(C54,'Primary_snapshot'!$A$2:$A$120,0))),"SNAPSHOT MISSING"))</x:f>
      </x:c>
      <x:c r="Q54" s="6" t="str">
        <x:f>IF(Setup!$B$6="primary","",IFERROR(IF(INDEX('Primary_snapshot'!$H$2:$H$120,MATCH(C54,'Primary_snapshot'!$A$2:$A$120,0))="","",INDEX('Primary_snapshot'!$H$2:$H$120,MATCH(C54,'Primary_snapshot'!$A$2:$A$120,0))),"SNAPSHOT MISSING"))</x:f>
      </x:c>
      <x:c r="R54" s="6" t="str">
        <x:f>IF(Setup!$B$6="primary","",IFERROR(IF(INDEX('Primary_snapshot'!$I$2:$I$120,MATCH(C54,'Primary_snapshot'!$A$2:$A$120,0))="","",INDEX('Primary_snapshot'!$I$2:$I$120,MATCH(C54,'Primary_snapshot'!$A$2:$A$120,0))),"SNAPSHOT MISSING"))</x:f>
      </x:c>
      <x:c r="S54" s="6" t="str">
        <x:f>IF(INDEX('C_jama.2018.14282'!$D$2:$D$29,MATCH("2018::jama.2018.14282::C009",'C_jama.2018.14282'!$A$2:$A$29,0))="","",INDEX('C_jama.2018.14282'!$D$2:$D$29,MATCH("2018::jama.2018.14282::C009",'C_jama.2018.14282'!$A$2:$A$29,0)))</x:f>
      </x:c>
      <x:c r="T54" s="6" t="str">
        <x:f>IF(INDEX('C_jama.2018.14282'!$E$2:$E$29,MATCH("2018::jama.2018.14282::C009",'C_jama.2018.14282'!$A$2:$A$29,0))="","",INDEX('C_jama.2018.14282'!$E$2:$E$29,MATCH("2018::jama.2018.14282::C009",'C_jama.2018.14282'!$A$2:$A$29,0)))</x:f>
        <x:v>statistical_results</x:v>
      </x:c>
      <x:c r="U54" s="6" t="str">
        <x:f>IF(AND(INDEX('C_jama.2018.14282'!$D$2:$D$29,MATCH("2018::jama.2018.14282::C009",'C_jama.2018.14282'!$A$2:$A$29,0))="retain",INDEX('C_jama.2018.14282'!$E$2:$E$29,MATCH("2018::jama.2018.14282::C009",'C_jama.2018.14282'!$A$2:$A$29,0))="statistical_results"),IF(INDEX('C_jama.2018.14282'!$H$2:$H$29,MATCH("2018::jama.2018.14282::C009",'C_jama.2018.14282'!$A$2:$A$29,0))="","",INDEX('C_jama.2018.14282'!$H$2:$H$29,MATCH("2018::jama.2018.14282::C009",'C_jama.2018.14282'!$A$2:$A$29,0))),"not_applicable")</x:f>
        <x:v>not_applicable</x:v>
      </x:c>
      <x:c r="V54" s="6" t="str">
        <x:f>IF(AND(INDEX('C_jama.2018.14282'!$D$2:$D$29,MATCH("2018::jama.2018.14282::C009",'C_jama.2018.14282'!$A$2:$A$29,0))="retain",INDEX('C_jama.2018.14282'!$E$2:$E$29,MATCH("2018::jama.2018.14282::C009",'C_jama.2018.14282'!$A$2:$A$29,0))="statistical_results"),IF(INDEX('C_jama.2018.14282'!$I$2:$I$29,MATCH("2018::jama.2018.14282::C009",'C_jama.2018.14282'!$A$2:$A$29,0))="","",INDEX('C_jama.2018.14282'!$I$2:$I$29,MATCH("2018::jama.2018.14282::C009",'C_jama.2018.14282'!$A$2:$A$29,0))),"not_applicable")</x:f>
        <x:v>not_applicable</x:v>
      </x:c>
      <x:c r="W54" s="6" t="str">
        <x:f>IF(AND(INDEX('C_jama.2018.14282'!$D$2:$D$29,MATCH("2018::jama.2018.14282::C009",'C_jama.2018.14282'!$A$2:$A$29,0))="retain",INDEX('C_jama.2018.14282'!$E$2:$E$29,MATCH("2018::jama.2018.14282::C009",'C_jama.2018.14282'!$A$2:$A$29,0))="statistical_results"),IF(INDEX('C_jama.2018.14282'!$J$2:$J$29,MATCH("2018::jama.2018.14282::C009",'C_jama.2018.14282'!$A$2:$A$29,0))="","",INDEX('C_jama.2018.14282'!$J$2:$J$29,MATCH("2018::jama.2018.14282::C009",'C_jama.2018.14282'!$A$2:$A$29,0))),"not_applicable")</x:f>
        <x:v>not_applicable</x:v>
      </x:c>
      <x:c r="X54" s="6" t="str">
        <x:f>IF(AND(INDEX('C_jama.2018.14282'!$D$2:$D$29,MATCH("2018::jama.2018.14282::C009",'C_jama.2018.14282'!$A$2:$A$29,0))="retain",OR(INDEX('C_jama.2018.14282'!$E$2:$E$29,MATCH("2018::jama.2018.14282::C009",'C_jama.2018.14282'!$A$2:$A$29,0))="report_internal_inconsistency",INDEX('C_jama.2018.14282'!$E$2:$E$29,MATCH("2018::jama.2018.14282::C009",'C_jama.2018.14282'!$A$2:$A$29,0))="plan_material")),IF(INDEX('C_jama.2018.14282'!$K$2:$K$29,MATCH("2018::jama.2018.14282::C009",'C_jama.2018.14282'!$A$2:$A$29,0))="","",INDEX('C_jama.2018.14282'!$K$2:$K$29,MATCH("2018::jama.2018.14282::C009",'C_jama.2018.14282'!$A$2:$A$29,0))),"not_applicable")</x:f>
        <x:v>not_applicable</x:v>
      </x:c>
      <x:c r="Y54" s="6" t="str">
        <x:f>IF(AND(INDEX('C_jama.2018.14282'!$D$2:$D$29,MATCH("2018::jama.2018.14282::C009",'C_jama.2018.14282'!$A$2:$A$29,0))="retain",INDEX('C_jama.2018.14282'!$E$2:$E$29,MATCH("2018::jama.2018.14282::C009",'C_jama.2018.14282'!$A$2:$A$29,0))="protocol_report"),IF(INDEX('C_jama.2018.14282'!$L$2:$L$29,MATCH("2018::jama.2018.14282::C009",'C_jama.2018.14282'!$A$2:$A$29,0))="","",INDEX('C_jama.2018.14282'!$L$2:$L$29,MATCH("2018::jama.2018.14282::C009",'C_jama.2018.14282'!$A$2:$A$29,0))),"not_applicable")</x:f>
        <x:v>not_applicable</x:v>
      </x:c>
      <x:c r="Z54" s="6" t="str">
        <x:f>IF(INDEX('C_jama.2018.14282'!$R$2:$R$29,MATCH("2018::jama.2018.14282::C009",'C_jama.2018.14282'!$A$2:$A$29,0))="","",INDEX('C_jama.2018.14282'!$R$2:$R$29,MATCH("2018::jama.2018.14282::C009",'C_jama.2018.14282'!$A$2:$A$29,0)))</x:f>
      </x:c>
      <x:c r="AA54" s="6" t="str">
        <x:f>IF(INDEX('C_jama.2018.14282'!$N$2:$N$29,MATCH("2018::jama.2018.14282::C009",'C_jama.2018.14282'!$A$2:$A$29,0))="","",INDEX('C_jama.2018.14282'!$N$2:$N$29,MATCH("2018::jama.2018.14282::C009",'C_jama.2018.14282'!$A$2:$A$29,0)))</x:f>
      </x:c>
      <x:c r="AB54" s="6" t="str">
        <x:f>IF(INDEX('C_jama.2018.14282'!$O$2:$O$29,MATCH("2018::jama.2018.14282::C009",'C_jama.2018.14282'!$A$2:$A$29,0))="","",INDEX('C_jama.2018.14282'!$O$2:$O$29,MATCH("2018::jama.2018.14282::C009",'C_jama.2018.14282'!$A$2:$A$29,0)))</x:f>
      </x:c>
      <x:c r="AC54" s="6" t="str">
        <x:f>IF(INDEX('C_jama.2018.14282'!$P$2:$P$29,MATCH("2018::jama.2018.14282::C009",'C_jama.2018.14282'!$A$2:$A$29,0))="","",INDEX('C_jama.2018.14282'!$P$2:$P$29,MATCH("2018::jama.2018.14282::C009",'C_jama.2018.14282'!$A$2:$A$29,0)))</x:f>
      </x:c>
      <x:c r="AD54" s="6" t="str">
        <x:f>IF(INDEX('C_jama.2018.14282'!$Q$2:$Q$29,MATCH("2018::jama.2018.14282::C009",'C_jama.2018.14282'!$A$2:$A$29,0))="","",INDEX('C_jama.2018.14282'!$Q$2:$Q$29,MATCH("2018::jama.2018.14282::C009",'C_jama.2018.14282'!$A$2:$A$29,0)))</x:f>
      </x:c>
    </x:row>
    <x:row r="55" ht="65" customHeight="1">
      <x:c r="A55" s="3" t="n">
        <x:v>2018</x:v>
      </x:c>
      <x:c r="B55" s="3" t="str">
        <x:v>jama.2018.14282</x:v>
      </x:c>
      <x:c r="C55" s="3" t="str">
        <x:v>2018::jama.2018.14282::C010</x:v>
      </x:c>
      <x:c r="D55" s="3" t="str">
        <x:v>S_W</x:v>
      </x:c>
      <x:c r="E55" s="3" t="n">
        <x:f>Setup!$B$2</x:f>
        <x:v>0</x:v>
      </x:c>
      <x:c r="F55" s="3" t="str">
        <x:f>IF(Setup!$B$4="","",Setup!$B$4)</x:f>
      </x:c>
      <x:c r="G55" s="3" t="str">
        <x:f>IFERROR(INDEX('C_jama.2018.14282'!$G$2:$G$29,MATCH("2018::jama.2018.14282::C010",'C_jama.2018.14282'!$A$2:$A$29,0)),"CHECK KEY")</x:f>
        <x:v>CHECK REVIEWER IDs</x:v>
      </x:c>
      <x:c r="H55" s="3" t="str">
        <x:f>IF(G55&lt;&gt;"FINAL READY","",IF(S55&lt;&gt;"retain","not_eligible",IF(D55="P_R","protocol_descriptive",IF(D55="P_P","plan_descriptive",IF(AND(T55="statistical_results",OR(U55="confirmed_issue",U55="probable_issue"),V55="substantive"),"primary_temporal",IF(AND(T55="report_internal_inconsistency",X55="substantive_inconsistency"),"secondary_temporal","not_eligible"))))))</x:f>
      </x:c>
      <x:c r="I55" s="3" t="str">
        <x:v>retain</x:v>
      </x:c>
      <x:c r="J55" s="3" t="str">
        <x:v>statistical_results</x:v>
      </x:c>
      <x:c r="K55" s="3" t="str">
        <x:f>IF(Setup!$B$6="primary","",IFERROR(IF(INDEX('Primary_snapshot'!$B$2:$B$120,MATCH(C55,'Primary_snapshot'!$A$2:$A$120,0))="","",INDEX('Primary_snapshot'!$B$2:$B$120,MATCH(C55,'Primary_snapshot'!$A$2:$A$120,0))),"SNAPSHOT MISSING"))</x:f>
      </x:c>
      <x:c r="L55" s="3" t="str">
        <x:f>IF(Setup!$B$6="primary","",IFERROR(IF(INDEX('Primary_snapshot'!$C$2:$C$120,MATCH(C55,'Primary_snapshot'!$A$2:$A$120,0))="","",INDEX('Primary_snapshot'!$C$2:$C$120,MATCH(C55,'Primary_snapshot'!$A$2:$A$120,0))),"SNAPSHOT MISSING"))</x:f>
      </x:c>
      <x:c r="M55" s="3" t="str">
        <x:f>IF(Setup!$B$6="primary","",IFERROR(IF(INDEX('Primary_snapshot'!$D$2:$D$120,MATCH(C55,'Primary_snapshot'!$A$2:$A$120,0))="","",INDEX('Primary_snapshot'!$D$2:$D$120,MATCH(C55,'Primary_snapshot'!$A$2:$A$120,0))),"SNAPSHOT MISSING"))</x:f>
      </x:c>
      <x:c r="N55" s="3" t="str">
        <x:f>IF(Setup!$B$6="primary","",IFERROR(IF(INDEX('Primary_snapshot'!$E$2:$E$120,MATCH(C55,'Primary_snapshot'!$A$2:$A$120,0))="","",INDEX('Primary_snapshot'!$E$2:$E$120,MATCH(C55,'Primary_snapshot'!$A$2:$A$120,0))),"SNAPSHOT MISSING"))</x:f>
      </x:c>
      <x:c r="O55" s="3" t="str">
        <x:f>IF(Setup!$B$6="primary","",IFERROR(IF(INDEX('Primary_snapshot'!$F$2:$F$120,MATCH(C55,'Primary_snapshot'!$A$2:$A$120,0))="","",INDEX('Primary_snapshot'!$F$2:$F$120,MATCH(C55,'Primary_snapshot'!$A$2:$A$120,0))),"SNAPSHOT MISSING"))</x:f>
      </x:c>
      <x:c r="P55" s="3" t="str">
        <x:f>IF(Setup!$B$6="primary","",IFERROR(IF(INDEX('Primary_snapshot'!$G$2:$G$120,MATCH(C55,'Primary_snapshot'!$A$2:$A$120,0))="","",INDEX('Primary_snapshot'!$G$2:$G$120,MATCH(C55,'Primary_snapshot'!$A$2:$A$120,0))),"SNAPSHOT MISSING"))</x:f>
      </x:c>
      <x:c r="Q55" s="3" t="str">
        <x:f>IF(Setup!$B$6="primary","",IFERROR(IF(INDEX('Primary_snapshot'!$H$2:$H$120,MATCH(C55,'Primary_snapshot'!$A$2:$A$120,0))="","",INDEX('Primary_snapshot'!$H$2:$H$120,MATCH(C55,'Primary_snapshot'!$A$2:$A$120,0))),"SNAPSHOT MISSING"))</x:f>
      </x:c>
      <x:c r="R55" s="3" t="str">
        <x:f>IF(Setup!$B$6="primary","",IFERROR(IF(INDEX('Primary_snapshot'!$I$2:$I$120,MATCH(C55,'Primary_snapshot'!$A$2:$A$120,0))="","",INDEX('Primary_snapshot'!$I$2:$I$120,MATCH(C55,'Primary_snapshot'!$A$2:$A$120,0))),"SNAPSHOT MISSING"))</x:f>
      </x:c>
      <x:c r="S55" s="3" t="str">
        <x:f>IF(INDEX('C_jama.2018.14282'!$D$2:$D$29,MATCH("2018::jama.2018.14282::C010",'C_jama.2018.14282'!$A$2:$A$29,0))="","",INDEX('C_jama.2018.14282'!$D$2:$D$29,MATCH("2018::jama.2018.14282::C010",'C_jama.2018.14282'!$A$2:$A$29,0)))</x:f>
      </x:c>
      <x:c r="T55" s="3" t="str">
        <x:f>IF(INDEX('C_jama.2018.14282'!$E$2:$E$29,MATCH("2018::jama.2018.14282::C010",'C_jama.2018.14282'!$A$2:$A$29,0))="","",INDEX('C_jama.2018.14282'!$E$2:$E$29,MATCH("2018::jama.2018.14282::C010",'C_jama.2018.14282'!$A$2:$A$29,0)))</x:f>
        <x:v>statistical_results</x:v>
      </x:c>
      <x:c r="U55" s="3" t="str">
        <x:f>IF(AND(INDEX('C_jama.2018.14282'!$D$2:$D$29,MATCH("2018::jama.2018.14282::C010",'C_jama.2018.14282'!$A$2:$A$29,0))="retain",INDEX('C_jama.2018.14282'!$E$2:$E$29,MATCH("2018::jama.2018.14282::C010",'C_jama.2018.14282'!$A$2:$A$29,0))="statistical_results"),IF(INDEX('C_jama.2018.14282'!$H$2:$H$29,MATCH("2018::jama.2018.14282::C010",'C_jama.2018.14282'!$A$2:$A$29,0))="","",INDEX('C_jama.2018.14282'!$H$2:$H$29,MATCH("2018::jama.2018.14282::C010",'C_jama.2018.14282'!$A$2:$A$29,0))),"not_applicable")</x:f>
        <x:v>not_applicable</x:v>
      </x:c>
      <x:c r="V55" s="3" t="str">
        <x:f>IF(AND(INDEX('C_jama.2018.14282'!$D$2:$D$29,MATCH("2018::jama.2018.14282::C010",'C_jama.2018.14282'!$A$2:$A$29,0))="retain",INDEX('C_jama.2018.14282'!$E$2:$E$29,MATCH("2018::jama.2018.14282::C010",'C_jama.2018.14282'!$A$2:$A$29,0))="statistical_results"),IF(INDEX('C_jama.2018.14282'!$I$2:$I$29,MATCH("2018::jama.2018.14282::C010",'C_jama.2018.14282'!$A$2:$A$29,0))="","",INDEX('C_jama.2018.14282'!$I$2:$I$29,MATCH("2018::jama.2018.14282::C010",'C_jama.2018.14282'!$A$2:$A$29,0))),"not_applicable")</x:f>
        <x:v>not_applicable</x:v>
      </x:c>
      <x:c r="W55" s="3" t="str">
        <x:f>IF(AND(INDEX('C_jama.2018.14282'!$D$2:$D$29,MATCH("2018::jama.2018.14282::C010",'C_jama.2018.14282'!$A$2:$A$29,0))="retain",INDEX('C_jama.2018.14282'!$E$2:$E$29,MATCH("2018::jama.2018.14282::C010",'C_jama.2018.14282'!$A$2:$A$29,0))="statistical_results"),IF(INDEX('C_jama.2018.14282'!$J$2:$J$29,MATCH("2018::jama.2018.14282::C010",'C_jama.2018.14282'!$A$2:$A$29,0))="","",INDEX('C_jama.2018.14282'!$J$2:$J$29,MATCH("2018::jama.2018.14282::C010",'C_jama.2018.14282'!$A$2:$A$29,0))),"not_applicable")</x:f>
        <x:v>not_applicable</x:v>
      </x:c>
      <x:c r="X55" s="3" t="str">
        <x:f>IF(AND(INDEX('C_jama.2018.14282'!$D$2:$D$29,MATCH("2018::jama.2018.14282::C010",'C_jama.2018.14282'!$A$2:$A$29,0))="retain",OR(INDEX('C_jama.2018.14282'!$E$2:$E$29,MATCH("2018::jama.2018.14282::C010",'C_jama.2018.14282'!$A$2:$A$29,0))="report_internal_inconsistency",INDEX('C_jama.2018.14282'!$E$2:$E$29,MATCH("2018::jama.2018.14282::C010",'C_jama.2018.14282'!$A$2:$A$29,0))="plan_material")),IF(INDEX('C_jama.2018.14282'!$K$2:$K$29,MATCH("2018::jama.2018.14282::C010",'C_jama.2018.14282'!$A$2:$A$29,0))="","",INDEX('C_jama.2018.14282'!$K$2:$K$29,MATCH("2018::jama.2018.14282::C010",'C_jama.2018.14282'!$A$2:$A$29,0))),"not_applicable")</x:f>
        <x:v>not_applicable</x:v>
      </x:c>
      <x:c r="Y55" s="3" t="str">
        <x:f>IF(AND(INDEX('C_jama.2018.14282'!$D$2:$D$29,MATCH("2018::jama.2018.14282::C010",'C_jama.2018.14282'!$A$2:$A$29,0))="retain",INDEX('C_jama.2018.14282'!$E$2:$E$29,MATCH("2018::jama.2018.14282::C010",'C_jama.2018.14282'!$A$2:$A$29,0))="protocol_report"),IF(INDEX('C_jama.2018.14282'!$L$2:$L$29,MATCH("2018::jama.2018.14282::C010",'C_jama.2018.14282'!$A$2:$A$29,0))="","",INDEX('C_jama.2018.14282'!$L$2:$L$29,MATCH("2018::jama.2018.14282::C010",'C_jama.2018.14282'!$A$2:$A$29,0))),"not_applicable")</x:f>
        <x:v>not_applicable</x:v>
      </x:c>
      <x:c r="Z55" s="3" t="str">
        <x:f>IF(INDEX('C_jama.2018.14282'!$R$2:$R$29,MATCH("2018::jama.2018.14282::C010",'C_jama.2018.14282'!$A$2:$A$29,0))="","",INDEX('C_jama.2018.14282'!$R$2:$R$29,MATCH("2018::jama.2018.14282::C010",'C_jama.2018.14282'!$A$2:$A$29,0)))</x:f>
      </x:c>
      <x:c r="AA55" s="3" t="str">
        <x:f>IF(INDEX('C_jama.2018.14282'!$N$2:$N$29,MATCH("2018::jama.2018.14282::C010",'C_jama.2018.14282'!$A$2:$A$29,0))="","",INDEX('C_jama.2018.14282'!$N$2:$N$29,MATCH("2018::jama.2018.14282::C010",'C_jama.2018.14282'!$A$2:$A$29,0)))</x:f>
      </x:c>
      <x:c r="AB55" s="3" t="str">
        <x:f>IF(INDEX('C_jama.2018.14282'!$O$2:$O$29,MATCH("2018::jama.2018.14282::C010",'C_jama.2018.14282'!$A$2:$A$29,0))="","",INDEX('C_jama.2018.14282'!$O$2:$O$29,MATCH("2018::jama.2018.14282::C010",'C_jama.2018.14282'!$A$2:$A$29,0)))</x:f>
      </x:c>
      <x:c r="AC55" s="3" t="str">
        <x:f>IF(INDEX('C_jama.2018.14282'!$P$2:$P$29,MATCH("2018::jama.2018.14282::C010",'C_jama.2018.14282'!$A$2:$A$29,0))="","",INDEX('C_jama.2018.14282'!$P$2:$P$29,MATCH("2018::jama.2018.14282::C010",'C_jama.2018.14282'!$A$2:$A$29,0)))</x:f>
      </x:c>
      <x:c r="AD55" s="3" t="str">
        <x:f>IF(INDEX('C_jama.2018.14282'!$Q$2:$Q$29,MATCH("2018::jama.2018.14282::C010",'C_jama.2018.14282'!$A$2:$A$29,0))="","",INDEX('C_jama.2018.14282'!$Q$2:$Q$29,MATCH("2018::jama.2018.14282::C010",'C_jama.2018.14282'!$A$2:$A$29,0)))</x:f>
      </x:c>
    </x:row>
    <x:row r="56" ht="65" customHeight="1">
      <x:c r="A56" s="6" t="n">
        <x:v>2018</x:v>
      </x:c>
      <x:c r="B56" s="6" t="str">
        <x:v>jama.2018.14282</x:v>
      </x:c>
      <x:c r="C56" s="6" t="str">
        <x:v>2018::jama.2018.14282::C011</x:v>
      </x:c>
      <x:c r="D56" s="6" t="str">
        <x:v>S_W</x:v>
      </x:c>
      <x:c r="E56" s="6" t="n">
        <x:f>Setup!$B$2</x:f>
        <x:v>0</x:v>
      </x:c>
      <x:c r="F56" s="6" t="str">
        <x:f>IF(Setup!$B$4="","",Setup!$B$4)</x:f>
      </x:c>
      <x:c r="G56" s="6" t="str">
        <x:f>IFERROR(INDEX('C_jama.2018.14282'!$G$2:$G$29,MATCH("2018::jama.2018.14282::C011",'C_jama.2018.14282'!$A$2:$A$29,0)),"CHECK KEY")</x:f>
        <x:v>CHECK REVIEWER IDs</x:v>
      </x:c>
      <x:c r="H56" s="6" t="str">
        <x:f>IF(G56&lt;&gt;"FINAL READY","",IF(S56&lt;&gt;"retain","not_eligible",IF(D56="P_R","protocol_descriptive",IF(D56="P_P","plan_descriptive",IF(AND(T56="statistical_results",OR(U56="confirmed_issue",U56="probable_issue"),V56="substantive"),"primary_temporal",IF(AND(T56="report_internal_inconsistency",X56="substantive_inconsistency"),"secondary_temporal","not_eligible"))))))</x:f>
      </x:c>
      <x:c r="I56" s="6" t="str">
        <x:v>retain</x:v>
      </x:c>
      <x:c r="J56" s="6" t="str">
        <x:v>statistical_results</x:v>
      </x:c>
      <x:c r="K56" s="6" t="str">
        <x:f>IF(Setup!$B$6="primary","",IFERROR(IF(INDEX('Primary_snapshot'!$B$2:$B$120,MATCH(C56,'Primary_snapshot'!$A$2:$A$120,0))="","",INDEX('Primary_snapshot'!$B$2:$B$120,MATCH(C56,'Primary_snapshot'!$A$2:$A$120,0))),"SNAPSHOT MISSING"))</x:f>
      </x:c>
      <x:c r="L56" s="6" t="str">
        <x:f>IF(Setup!$B$6="primary","",IFERROR(IF(INDEX('Primary_snapshot'!$C$2:$C$120,MATCH(C56,'Primary_snapshot'!$A$2:$A$120,0))="","",INDEX('Primary_snapshot'!$C$2:$C$120,MATCH(C56,'Primary_snapshot'!$A$2:$A$120,0))),"SNAPSHOT MISSING"))</x:f>
      </x:c>
      <x:c r="M56" s="6" t="str">
        <x:f>IF(Setup!$B$6="primary","",IFERROR(IF(INDEX('Primary_snapshot'!$D$2:$D$120,MATCH(C56,'Primary_snapshot'!$A$2:$A$120,0))="","",INDEX('Primary_snapshot'!$D$2:$D$120,MATCH(C56,'Primary_snapshot'!$A$2:$A$120,0))),"SNAPSHOT MISSING"))</x:f>
      </x:c>
      <x:c r="N56" s="6" t="str">
        <x:f>IF(Setup!$B$6="primary","",IFERROR(IF(INDEX('Primary_snapshot'!$E$2:$E$120,MATCH(C56,'Primary_snapshot'!$A$2:$A$120,0))="","",INDEX('Primary_snapshot'!$E$2:$E$120,MATCH(C56,'Primary_snapshot'!$A$2:$A$120,0))),"SNAPSHOT MISSING"))</x:f>
      </x:c>
      <x:c r="O56" s="6" t="str">
        <x:f>IF(Setup!$B$6="primary","",IFERROR(IF(INDEX('Primary_snapshot'!$F$2:$F$120,MATCH(C56,'Primary_snapshot'!$A$2:$A$120,0))="","",INDEX('Primary_snapshot'!$F$2:$F$120,MATCH(C56,'Primary_snapshot'!$A$2:$A$120,0))),"SNAPSHOT MISSING"))</x:f>
      </x:c>
      <x:c r="P56" s="6" t="str">
        <x:f>IF(Setup!$B$6="primary","",IFERROR(IF(INDEX('Primary_snapshot'!$G$2:$G$120,MATCH(C56,'Primary_snapshot'!$A$2:$A$120,0))="","",INDEX('Primary_snapshot'!$G$2:$G$120,MATCH(C56,'Primary_snapshot'!$A$2:$A$120,0))),"SNAPSHOT MISSING"))</x:f>
      </x:c>
      <x:c r="Q56" s="6" t="str">
        <x:f>IF(Setup!$B$6="primary","",IFERROR(IF(INDEX('Primary_snapshot'!$H$2:$H$120,MATCH(C56,'Primary_snapshot'!$A$2:$A$120,0))="","",INDEX('Primary_snapshot'!$H$2:$H$120,MATCH(C56,'Primary_snapshot'!$A$2:$A$120,0))),"SNAPSHOT MISSING"))</x:f>
      </x:c>
      <x:c r="R56" s="6" t="str">
        <x:f>IF(Setup!$B$6="primary","",IFERROR(IF(INDEX('Primary_snapshot'!$I$2:$I$120,MATCH(C56,'Primary_snapshot'!$A$2:$A$120,0))="","",INDEX('Primary_snapshot'!$I$2:$I$120,MATCH(C56,'Primary_snapshot'!$A$2:$A$120,0))),"SNAPSHOT MISSING"))</x:f>
      </x:c>
      <x:c r="S56" s="6" t="str">
        <x:f>IF(INDEX('C_jama.2018.14282'!$D$2:$D$29,MATCH("2018::jama.2018.14282::C011",'C_jama.2018.14282'!$A$2:$A$29,0))="","",INDEX('C_jama.2018.14282'!$D$2:$D$29,MATCH("2018::jama.2018.14282::C011",'C_jama.2018.14282'!$A$2:$A$29,0)))</x:f>
      </x:c>
      <x:c r="T56" s="6" t="str">
        <x:f>IF(INDEX('C_jama.2018.14282'!$E$2:$E$29,MATCH("2018::jama.2018.14282::C011",'C_jama.2018.14282'!$A$2:$A$29,0))="","",INDEX('C_jama.2018.14282'!$E$2:$E$29,MATCH("2018::jama.2018.14282::C011",'C_jama.2018.14282'!$A$2:$A$29,0)))</x:f>
        <x:v>statistical_results</x:v>
      </x:c>
      <x:c r="U56" s="6" t="str">
        <x:f>IF(AND(INDEX('C_jama.2018.14282'!$D$2:$D$29,MATCH("2018::jama.2018.14282::C011",'C_jama.2018.14282'!$A$2:$A$29,0))="retain",INDEX('C_jama.2018.14282'!$E$2:$E$29,MATCH("2018::jama.2018.14282::C011",'C_jama.2018.14282'!$A$2:$A$29,0))="statistical_results"),IF(INDEX('C_jama.2018.14282'!$H$2:$H$29,MATCH("2018::jama.2018.14282::C011",'C_jama.2018.14282'!$A$2:$A$29,0))="","",INDEX('C_jama.2018.14282'!$H$2:$H$29,MATCH("2018::jama.2018.14282::C011",'C_jama.2018.14282'!$A$2:$A$29,0))),"not_applicable")</x:f>
        <x:v>not_applicable</x:v>
      </x:c>
      <x:c r="V56" s="6" t="str">
        <x:f>IF(AND(INDEX('C_jama.2018.14282'!$D$2:$D$29,MATCH("2018::jama.2018.14282::C011",'C_jama.2018.14282'!$A$2:$A$29,0))="retain",INDEX('C_jama.2018.14282'!$E$2:$E$29,MATCH("2018::jama.2018.14282::C011",'C_jama.2018.14282'!$A$2:$A$29,0))="statistical_results"),IF(INDEX('C_jama.2018.14282'!$I$2:$I$29,MATCH("2018::jama.2018.14282::C011",'C_jama.2018.14282'!$A$2:$A$29,0))="","",INDEX('C_jama.2018.14282'!$I$2:$I$29,MATCH("2018::jama.2018.14282::C011",'C_jama.2018.14282'!$A$2:$A$29,0))),"not_applicable")</x:f>
        <x:v>not_applicable</x:v>
      </x:c>
      <x:c r="W56" s="6" t="str">
        <x:f>IF(AND(INDEX('C_jama.2018.14282'!$D$2:$D$29,MATCH("2018::jama.2018.14282::C011",'C_jama.2018.14282'!$A$2:$A$29,0))="retain",INDEX('C_jama.2018.14282'!$E$2:$E$29,MATCH("2018::jama.2018.14282::C011",'C_jama.2018.14282'!$A$2:$A$29,0))="statistical_results"),IF(INDEX('C_jama.2018.14282'!$J$2:$J$29,MATCH("2018::jama.2018.14282::C011",'C_jama.2018.14282'!$A$2:$A$29,0))="","",INDEX('C_jama.2018.14282'!$J$2:$J$29,MATCH("2018::jama.2018.14282::C011",'C_jama.2018.14282'!$A$2:$A$29,0))),"not_applicable")</x:f>
        <x:v>not_applicable</x:v>
      </x:c>
      <x:c r="X56" s="6" t="str">
        <x:f>IF(AND(INDEX('C_jama.2018.14282'!$D$2:$D$29,MATCH("2018::jama.2018.14282::C011",'C_jama.2018.14282'!$A$2:$A$29,0))="retain",OR(INDEX('C_jama.2018.14282'!$E$2:$E$29,MATCH("2018::jama.2018.14282::C011",'C_jama.2018.14282'!$A$2:$A$29,0))="report_internal_inconsistency",INDEX('C_jama.2018.14282'!$E$2:$E$29,MATCH("2018::jama.2018.14282::C011",'C_jama.2018.14282'!$A$2:$A$29,0))="plan_material")),IF(INDEX('C_jama.2018.14282'!$K$2:$K$29,MATCH("2018::jama.2018.14282::C011",'C_jama.2018.14282'!$A$2:$A$29,0))="","",INDEX('C_jama.2018.14282'!$K$2:$K$29,MATCH("2018::jama.2018.14282::C011",'C_jama.2018.14282'!$A$2:$A$29,0))),"not_applicable")</x:f>
        <x:v>not_applicable</x:v>
      </x:c>
      <x:c r="Y56" s="6" t="str">
        <x:f>IF(AND(INDEX('C_jama.2018.14282'!$D$2:$D$29,MATCH("2018::jama.2018.14282::C011",'C_jama.2018.14282'!$A$2:$A$29,0))="retain",INDEX('C_jama.2018.14282'!$E$2:$E$29,MATCH("2018::jama.2018.14282::C011",'C_jama.2018.14282'!$A$2:$A$29,0))="protocol_report"),IF(INDEX('C_jama.2018.14282'!$L$2:$L$29,MATCH("2018::jama.2018.14282::C011",'C_jama.2018.14282'!$A$2:$A$29,0))="","",INDEX('C_jama.2018.14282'!$L$2:$L$29,MATCH("2018::jama.2018.14282::C011",'C_jama.2018.14282'!$A$2:$A$29,0))),"not_applicable")</x:f>
        <x:v>not_applicable</x:v>
      </x:c>
      <x:c r="Z56" s="6" t="str">
        <x:f>IF(INDEX('C_jama.2018.14282'!$R$2:$R$29,MATCH("2018::jama.2018.14282::C011",'C_jama.2018.14282'!$A$2:$A$29,0))="","",INDEX('C_jama.2018.14282'!$R$2:$R$29,MATCH("2018::jama.2018.14282::C011",'C_jama.2018.14282'!$A$2:$A$29,0)))</x:f>
      </x:c>
      <x:c r="AA56" s="6" t="str">
        <x:f>IF(INDEX('C_jama.2018.14282'!$N$2:$N$29,MATCH("2018::jama.2018.14282::C011",'C_jama.2018.14282'!$A$2:$A$29,0))="","",INDEX('C_jama.2018.14282'!$N$2:$N$29,MATCH("2018::jama.2018.14282::C011",'C_jama.2018.14282'!$A$2:$A$29,0)))</x:f>
      </x:c>
      <x:c r="AB56" s="6" t="str">
        <x:f>IF(INDEX('C_jama.2018.14282'!$O$2:$O$29,MATCH("2018::jama.2018.14282::C011",'C_jama.2018.14282'!$A$2:$A$29,0))="","",INDEX('C_jama.2018.14282'!$O$2:$O$29,MATCH("2018::jama.2018.14282::C011",'C_jama.2018.14282'!$A$2:$A$29,0)))</x:f>
      </x:c>
      <x:c r="AC56" s="6" t="str">
        <x:f>IF(INDEX('C_jama.2018.14282'!$P$2:$P$29,MATCH("2018::jama.2018.14282::C011",'C_jama.2018.14282'!$A$2:$A$29,0))="","",INDEX('C_jama.2018.14282'!$P$2:$P$29,MATCH("2018::jama.2018.14282::C011",'C_jama.2018.14282'!$A$2:$A$29,0)))</x:f>
      </x:c>
      <x:c r="AD56" s="6" t="str">
        <x:f>IF(INDEX('C_jama.2018.14282'!$Q$2:$Q$29,MATCH("2018::jama.2018.14282::C011",'C_jama.2018.14282'!$A$2:$A$29,0))="","",INDEX('C_jama.2018.14282'!$Q$2:$Q$29,MATCH("2018::jama.2018.14282::C011",'C_jama.2018.14282'!$A$2:$A$29,0)))</x:f>
      </x:c>
    </x:row>
    <x:row r="57" ht="65" customHeight="1">
      <x:c r="A57" s="3" t="n">
        <x:v>2018</x:v>
      </x:c>
      <x:c r="B57" s="3" t="str">
        <x:v>jama.2018.14282</x:v>
      </x:c>
      <x:c r="C57" s="3" t="str">
        <x:v>2018::jama.2018.14282::C012</x:v>
      </x:c>
      <x:c r="D57" s="3" t="str">
        <x:v>S_W</x:v>
      </x:c>
      <x:c r="E57" s="3" t="n">
        <x:f>Setup!$B$2</x:f>
        <x:v>0</x:v>
      </x:c>
      <x:c r="F57" s="3" t="str">
        <x:f>IF(Setup!$B$4="","",Setup!$B$4)</x:f>
      </x:c>
      <x:c r="G57" s="3" t="str">
        <x:f>IFERROR(INDEX('C_jama.2018.14282'!$G$2:$G$29,MATCH("2018::jama.2018.14282::C012",'C_jama.2018.14282'!$A$2:$A$29,0)),"CHECK KEY")</x:f>
        <x:v>CHECK REVIEWER IDs</x:v>
      </x:c>
      <x:c r="H57" s="3" t="str">
        <x:f>IF(G57&lt;&gt;"FINAL READY","",IF(S57&lt;&gt;"retain","not_eligible",IF(D57="P_R","protocol_descriptive",IF(D57="P_P","plan_descriptive",IF(AND(T57="statistical_results",OR(U57="confirmed_issue",U57="probable_issue"),V57="substantive"),"primary_temporal",IF(AND(T57="report_internal_inconsistency",X57="substantive_inconsistency"),"secondary_temporal","not_eligible"))))))</x:f>
      </x:c>
      <x:c r="I57" s="3" t="str">
        <x:v>retain</x:v>
      </x:c>
      <x:c r="J57" s="3" t="str">
        <x:v>statistical_results</x:v>
      </x:c>
      <x:c r="K57" s="3" t="str">
        <x:f>IF(Setup!$B$6="primary","",IFERROR(IF(INDEX('Primary_snapshot'!$B$2:$B$120,MATCH(C57,'Primary_snapshot'!$A$2:$A$120,0))="","",INDEX('Primary_snapshot'!$B$2:$B$120,MATCH(C57,'Primary_snapshot'!$A$2:$A$120,0))),"SNAPSHOT MISSING"))</x:f>
      </x:c>
      <x:c r="L57" s="3" t="str">
        <x:f>IF(Setup!$B$6="primary","",IFERROR(IF(INDEX('Primary_snapshot'!$C$2:$C$120,MATCH(C57,'Primary_snapshot'!$A$2:$A$120,0))="","",INDEX('Primary_snapshot'!$C$2:$C$120,MATCH(C57,'Primary_snapshot'!$A$2:$A$120,0))),"SNAPSHOT MISSING"))</x:f>
      </x:c>
      <x:c r="M57" s="3" t="str">
        <x:f>IF(Setup!$B$6="primary","",IFERROR(IF(INDEX('Primary_snapshot'!$D$2:$D$120,MATCH(C57,'Primary_snapshot'!$A$2:$A$120,0))="","",INDEX('Primary_snapshot'!$D$2:$D$120,MATCH(C57,'Primary_snapshot'!$A$2:$A$120,0))),"SNAPSHOT MISSING"))</x:f>
      </x:c>
      <x:c r="N57" s="3" t="str">
        <x:f>IF(Setup!$B$6="primary","",IFERROR(IF(INDEX('Primary_snapshot'!$E$2:$E$120,MATCH(C57,'Primary_snapshot'!$A$2:$A$120,0))="","",INDEX('Primary_snapshot'!$E$2:$E$120,MATCH(C57,'Primary_snapshot'!$A$2:$A$120,0))),"SNAPSHOT MISSING"))</x:f>
      </x:c>
      <x:c r="O57" s="3" t="str">
        <x:f>IF(Setup!$B$6="primary","",IFERROR(IF(INDEX('Primary_snapshot'!$F$2:$F$120,MATCH(C57,'Primary_snapshot'!$A$2:$A$120,0))="","",INDEX('Primary_snapshot'!$F$2:$F$120,MATCH(C57,'Primary_snapshot'!$A$2:$A$120,0))),"SNAPSHOT MISSING"))</x:f>
      </x:c>
      <x:c r="P57" s="3" t="str">
        <x:f>IF(Setup!$B$6="primary","",IFERROR(IF(INDEX('Primary_snapshot'!$G$2:$G$120,MATCH(C57,'Primary_snapshot'!$A$2:$A$120,0))="","",INDEX('Primary_snapshot'!$G$2:$G$120,MATCH(C57,'Primary_snapshot'!$A$2:$A$120,0))),"SNAPSHOT MISSING"))</x:f>
      </x:c>
      <x:c r="Q57" s="3" t="str">
        <x:f>IF(Setup!$B$6="primary","",IFERROR(IF(INDEX('Primary_snapshot'!$H$2:$H$120,MATCH(C57,'Primary_snapshot'!$A$2:$A$120,0))="","",INDEX('Primary_snapshot'!$H$2:$H$120,MATCH(C57,'Primary_snapshot'!$A$2:$A$120,0))),"SNAPSHOT MISSING"))</x:f>
      </x:c>
      <x:c r="R57" s="3" t="str">
        <x:f>IF(Setup!$B$6="primary","",IFERROR(IF(INDEX('Primary_snapshot'!$I$2:$I$120,MATCH(C57,'Primary_snapshot'!$A$2:$A$120,0))="","",INDEX('Primary_snapshot'!$I$2:$I$120,MATCH(C57,'Primary_snapshot'!$A$2:$A$120,0))),"SNAPSHOT MISSING"))</x:f>
      </x:c>
      <x:c r="S57" s="3" t="str">
        <x:f>IF(INDEX('C_jama.2018.14282'!$D$2:$D$29,MATCH("2018::jama.2018.14282::C012",'C_jama.2018.14282'!$A$2:$A$29,0))="","",INDEX('C_jama.2018.14282'!$D$2:$D$29,MATCH("2018::jama.2018.14282::C012",'C_jama.2018.14282'!$A$2:$A$29,0)))</x:f>
      </x:c>
      <x:c r="T57" s="3" t="str">
        <x:f>IF(INDEX('C_jama.2018.14282'!$E$2:$E$29,MATCH("2018::jama.2018.14282::C012",'C_jama.2018.14282'!$A$2:$A$29,0))="","",INDEX('C_jama.2018.14282'!$E$2:$E$29,MATCH("2018::jama.2018.14282::C012",'C_jama.2018.14282'!$A$2:$A$29,0)))</x:f>
        <x:v>statistical_results</x:v>
      </x:c>
      <x:c r="U57" s="3" t="str">
        <x:f>IF(AND(INDEX('C_jama.2018.14282'!$D$2:$D$29,MATCH("2018::jama.2018.14282::C012",'C_jama.2018.14282'!$A$2:$A$29,0))="retain",INDEX('C_jama.2018.14282'!$E$2:$E$29,MATCH("2018::jama.2018.14282::C012",'C_jama.2018.14282'!$A$2:$A$29,0))="statistical_results"),IF(INDEX('C_jama.2018.14282'!$H$2:$H$29,MATCH("2018::jama.2018.14282::C012",'C_jama.2018.14282'!$A$2:$A$29,0))="","",INDEX('C_jama.2018.14282'!$H$2:$H$29,MATCH("2018::jama.2018.14282::C012",'C_jama.2018.14282'!$A$2:$A$29,0))),"not_applicable")</x:f>
        <x:v>not_applicable</x:v>
      </x:c>
      <x:c r="V57" s="3" t="str">
        <x:f>IF(AND(INDEX('C_jama.2018.14282'!$D$2:$D$29,MATCH("2018::jama.2018.14282::C012",'C_jama.2018.14282'!$A$2:$A$29,0))="retain",INDEX('C_jama.2018.14282'!$E$2:$E$29,MATCH("2018::jama.2018.14282::C012",'C_jama.2018.14282'!$A$2:$A$29,0))="statistical_results"),IF(INDEX('C_jama.2018.14282'!$I$2:$I$29,MATCH("2018::jama.2018.14282::C012",'C_jama.2018.14282'!$A$2:$A$29,0))="","",INDEX('C_jama.2018.14282'!$I$2:$I$29,MATCH("2018::jama.2018.14282::C012",'C_jama.2018.14282'!$A$2:$A$29,0))),"not_applicable")</x:f>
        <x:v>not_applicable</x:v>
      </x:c>
      <x:c r="W57" s="3" t="str">
        <x:f>IF(AND(INDEX('C_jama.2018.14282'!$D$2:$D$29,MATCH("2018::jama.2018.14282::C012",'C_jama.2018.14282'!$A$2:$A$29,0))="retain",INDEX('C_jama.2018.14282'!$E$2:$E$29,MATCH("2018::jama.2018.14282::C012",'C_jama.2018.14282'!$A$2:$A$29,0))="statistical_results"),IF(INDEX('C_jama.2018.14282'!$J$2:$J$29,MATCH("2018::jama.2018.14282::C012",'C_jama.2018.14282'!$A$2:$A$29,0))="","",INDEX('C_jama.2018.14282'!$J$2:$J$29,MATCH("2018::jama.2018.14282::C012",'C_jama.2018.14282'!$A$2:$A$29,0))),"not_applicable")</x:f>
        <x:v>not_applicable</x:v>
      </x:c>
      <x:c r="X57" s="3" t="str">
        <x:f>IF(AND(INDEX('C_jama.2018.14282'!$D$2:$D$29,MATCH("2018::jama.2018.14282::C012",'C_jama.2018.14282'!$A$2:$A$29,0))="retain",OR(INDEX('C_jama.2018.14282'!$E$2:$E$29,MATCH("2018::jama.2018.14282::C012",'C_jama.2018.14282'!$A$2:$A$29,0))="report_internal_inconsistency",INDEX('C_jama.2018.14282'!$E$2:$E$29,MATCH("2018::jama.2018.14282::C012",'C_jama.2018.14282'!$A$2:$A$29,0))="plan_material")),IF(INDEX('C_jama.2018.14282'!$K$2:$K$29,MATCH("2018::jama.2018.14282::C012",'C_jama.2018.14282'!$A$2:$A$29,0))="","",INDEX('C_jama.2018.14282'!$K$2:$K$29,MATCH("2018::jama.2018.14282::C012",'C_jama.2018.14282'!$A$2:$A$29,0))),"not_applicable")</x:f>
        <x:v>not_applicable</x:v>
      </x:c>
      <x:c r="Y57" s="3" t="str">
        <x:f>IF(AND(INDEX('C_jama.2018.14282'!$D$2:$D$29,MATCH("2018::jama.2018.14282::C012",'C_jama.2018.14282'!$A$2:$A$29,0))="retain",INDEX('C_jama.2018.14282'!$E$2:$E$29,MATCH("2018::jama.2018.14282::C012",'C_jama.2018.14282'!$A$2:$A$29,0))="protocol_report"),IF(INDEX('C_jama.2018.14282'!$L$2:$L$29,MATCH("2018::jama.2018.14282::C012",'C_jama.2018.14282'!$A$2:$A$29,0))="","",INDEX('C_jama.2018.14282'!$L$2:$L$29,MATCH("2018::jama.2018.14282::C012",'C_jama.2018.14282'!$A$2:$A$29,0))),"not_applicable")</x:f>
        <x:v>not_applicable</x:v>
      </x:c>
      <x:c r="Z57" s="3" t="str">
        <x:f>IF(INDEX('C_jama.2018.14282'!$R$2:$R$29,MATCH("2018::jama.2018.14282::C012",'C_jama.2018.14282'!$A$2:$A$29,0))="","",INDEX('C_jama.2018.14282'!$R$2:$R$29,MATCH("2018::jama.2018.14282::C012",'C_jama.2018.14282'!$A$2:$A$29,0)))</x:f>
      </x:c>
      <x:c r="AA57" s="3" t="str">
        <x:f>IF(INDEX('C_jama.2018.14282'!$N$2:$N$29,MATCH("2018::jama.2018.14282::C012",'C_jama.2018.14282'!$A$2:$A$29,0))="","",INDEX('C_jama.2018.14282'!$N$2:$N$29,MATCH("2018::jama.2018.14282::C012",'C_jama.2018.14282'!$A$2:$A$29,0)))</x:f>
      </x:c>
      <x:c r="AB57" s="3" t="str">
        <x:f>IF(INDEX('C_jama.2018.14282'!$O$2:$O$29,MATCH("2018::jama.2018.14282::C012",'C_jama.2018.14282'!$A$2:$A$29,0))="","",INDEX('C_jama.2018.14282'!$O$2:$O$29,MATCH("2018::jama.2018.14282::C012",'C_jama.2018.14282'!$A$2:$A$29,0)))</x:f>
      </x:c>
      <x:c r="AC57" s="3" t="str">
        <x:f>IF(INDEX('C_jama.2018.14282'!$P$2:$P$29,MATCH("2018::jama.2018.14282::C012",'C_jama.2018.14282'!$A$2:$A$29,0))="","",INDEX('C_jama.2018.14282'!$P$2:$P$29,MATCH("2018::jama.2018.14282::C012",'C_jama.2018.14282'!$A$2:$A$29,0)))</x:f>
      </x:c>
      <x:c r="AD57" s="3" t="str">
        <x:f>IF(INDEX('C_jama.2018.14282'!$Q$2:$Q$29,MATCH("2018::jama.2018.14282::C012",'C_jama.2018.14282'!$A$2:$A$29,0))="","",INDEX('C_jama.2018.14282'!$Q$2:$Q$29,MATCH("2018::jama.2018.14282::C012",'C_jama.2018.14282'!$A$2:$A$29,0)))</x:f>
      </x:c>
    </x:row>
    <x:row r="58" ht="65" customHeight="1">
      <x:c r="A58" s="6" t="n">
        <x:v>2018</x:v>
      </x:c>
      <x:c r="B58" s="6" t="str">
        <x:v>jama.2018.14282</x:v>
      </x:c>
      <x:c r="C58" s="6" t="str">
        <x:v>2018::jama.2018.14282::C013</x:v>
      </x:c>
      <x:c r="D58" s="6" t="str">
        <x:v>S_W</x:v>
      </x:c>
      <x:c r="E58" s="6" t="n">
        <x:f>Setup!$B$2</x:f>
        <x:v>0</x:v>
      </x:c>
      <x:c r="F58" s="6" t="str">
        <x:f>IF(Setup!$B$4="","",Setup!$B$4)</x:f>
      </x:c>
      <x:c r="G58" s="6" t="str">
        <x:f>IFERROR(INDEX('C_jama.2018.14282'!$G$2:$G$29,MATCH("2018::jama.2018.14282::C013",'C_jama.2018.14282'!$A$2:$A$29,0)),"CHECK KEY")</x:f>
        <x:v>CHECK REVIEWER IDs</x:v>
      </x:c>
      <x:c r="H58" s="6" t="str">
        <x:f>IF(G58&lt;&gt;"FINAL READY","",IF(S58&lt;&gt;"retain","not_eligible",IF(D58="P_R","protocol_descriptive",IF(D58="P_P","plan_descriptive",IF(AND(T58="statistical_results",OR(U58="confirmed_issue",U58="probable_issue"),V58="substantive"),"primary_temporal",IF(AND(T58="report_internal_inconsistency",X58="substantive_inconsistency"),"secondary_temporal","not_eligible"))))))</x:f>
      </x:c>
      <x:c r="I58" s="6" t="str">
        <x:v>retain</x:v>
      </x:c>
      <x:c r="J58" s="6" t="str">
        <x:v>statistical_results</x:v>
      </x:c>
      <x:c r="K58" s="6" t="str">
        <x:f>IF(Setup!$B$6="primary","",IFERROR(IF(INDEX('Primary_snapshot'!$B$2:$B$120,MATCH(C58,'Primary_snapshot'!$A$2:$A$120,0))="","",INDEX('Primary_snapshot'!$B$2:$B$120,MATCH(C58,'Primary_snapshot'!$A$2:$A$120,0))),"SNAPSHOT MISSING"))</x:f>
      </x:c>
      <x:c r="L58" s="6" t="str">
        <x:f>IF(Setup!$B$6="primary","",IFERROR(IF(INDEX('Primary_snapshot'!$C$2:$C$120,MATCH(C58,'Primary_snapshot'!$A$2:$A$120,0))="","",INDEX('Primary_snapshot'!$C$2:$C$120,MATCH(C58,'Primary_snapshot'!$A$2:$A$120,0))),"SNAPSHOT MISSING"))</x:f>
      </x:c>
      <x:c r="M58" s="6" t="str">
        <x:f>IF(Setup!$B$6="primary","",IFERROR(IF(INDEX('Primary_snapshot'!$D$2:$D$120,MATCH(C58,'Primary_snapshot'!$A$2:$A$120,0))="","",INDEX('Primary_snapshot'!$D$2:$D$120,MATCH(C58,'Primary_snapshot'!$A$2:$A$120,0))),"SNAPSHOT MISSING"))</x:f>
      </x:c>
      <x:c r="N58" s="6" t="str">
        <x:f>IF(Setup!$B$6="primary","",IFERROR(IF(INDEX('Primary_snapshot'!$E$2:$E$120,MATCH(C58,'Primary_snapshot'!$A$2:$A$120,0))="","",INDEX('Primary_snapshot'!$E$2:$E$120,MATCH(C58,'Primary_snapshot'!$A$2:$A$120,0))),"SNAPSHOT MISSING"))</x:f>
      </x:c>
      <x:c r="O58" s="6" t="str">
        <x:f>IF(Setup!$B$6="primary","",IFERROR(IF(INDEX('Primary_snapshot'!$F$2:$F$120,MATCH(C58,'Primary_snapshot'!$A$2:$A$120,0))="","",INDEX('Primary_snapshot'!$F$2:$F$120,MATCH(C58,'Primary_snapshot'!$A$2:$A$120,0))),"SNAPSHOT MISSING"))</x:f>
      </x:c>
      <x:c r="P58" s="6" t="str">
        <x:f>IF(Setup!$B$6="primary","",IFERROR(IF(INDEX('Primary_snapshot'!$G$2:$G$120,MATCH(C58,'Primary_snapshot'!$A$2:$A$120,0))="","",INDEX('Primary_snapshot'!$G$2:$G$120,MATCH(C58,'Primary_snapshot'!$A$2:$A$120,0))),"SNAPSHOT MISSING"))</x:f>
      </x:c>
      <x:c r="Q58" s="6" t="str">
        <x:f>IF(Setup!$B$6="primary","",IFERROR(IF(INDEX('Primary_snapshot'!$H$2:$H$120,MATCH(C58,'Primary_snapshot'!$A$2:$A$120,0))="","",INDEX('Primary_snapshot'!$H$2:$H$120,MATCH(C58,'Primary_snapshot'!$A$2:$A$120,0))),"SNAPSHOT MISSING"))</x:f>
      </x:c>
      <x:c r="R58" s="6" t="str">
        <x:f>IF(Setup!$B$6="primary","",IFERROR(IF(INDEX('Primary_snapshot'!$I$2:$I$120,MATCH(C58,'Primary_snapshot'!$A$2:$A$120,0))="","",INDEX('Primary_snapshot'!$I$2:$I$120,MATCH(C58,'Primary_snapshot'!$A$2:$A$120,0))),"SNAPSHOT MISSING"))</x:f>
      </x:c>
      <x:c r="S58" s="6" t="str">
        <x:f>IF(INDEX('C_jama.2018.14282'!$D$2:$D$29,MATCH("2018::jama.2018.14282::C013",'C_jama.2018.14282'!$A$2:$A$29,0))="","",INDEX('C_jama.2018.14282'!$D$2:$D$29,MATCH("2018::jama.2018.14282::C013",'C_jama.2018.14282'!$A$2:$A$29,0)))</x:f>
      </x:c>
      <x:c r="T58" s="6" t="str">
        <x:f>IF(INDEX('C_jama.2018.14282'!$E$2:$E$29,MATCH("2018::jama.2018.14282::C013",'C_jama.2018.14282'!$A$2:$A$29,0))="","",INDEX('C_jama.2018.14282'!$E$2:$E$29,MATCH("2018::jama.2018.14282::C013",'C_jama.2018.14282'!$A$2:$A$29,0)))</x:f>
        <x:v>statistical_results</x:v>
      </x:c>
      <x:c r="U58" s="6" t="str">
        <x:f>IF(AND(INDEX('C_jama.2018.14282'!$D$2:$D$29,MATCH("2018::jama.2018.14282::C013",'C_jama.2018.14282'!$A$2:$A$29,0))="retain",INDEX('C_jama.2018.14282'!$E$2:$E$29,MATCH("2018::jama.2018.14282::C013",'C_jama.2018.14282'!$A$2:$A$29,0))="statistical_results"),IF(INDEX('C_jama.2018.14282'!$H$2:$H$29,MATCH("2018::jama.2018.14282::C013",'C_jama.2018.14282'!$A$2:$A$29,0))="","",INDEX('C_jama.2018.14282'!$H$2:$H$29,MATCH("2018::jama.2018.14282::C013",'C_jama.2018.14282'!$A$2:$A$29,0))),"not_applicable")</x:f>
        <x:v>not_applicable</x:v>
      </x:c>
      <x:c r="V58" s="6" t="str">
        <x:f>IF(AND(INDEX('C_jama.2018.14282'!$D$2:$D$29,MATCH("2018::jama.2018.14282::C013",'C_jama.2018.14282'!$A$2:$A$29,0))="retain",INDEX('C_jama.2018.14282'!$E$2:$E$29,MATCH("2018::jama.2018.14282::C013",'C_jama.2018.14282'!$A$2:$A$29,0))="statistical_results"),IF(INDEX('C_jama.2018.14282'!$I$2:$I$29,MATCH("2018::jama.2018.14282::C013",'C_jama.2018.14282'!$A$2:$A$29,0))="","",INDEX('C_jama.2018.14282'!$I$2:$I$29,MATCH("2018::jama.2018.14282::C013",'C_jama.2018.14282'!$A$2:$A$29,0))),"not_applicable")</x:f>
        <x:v>not_applicable</x:v>
      </x:c>
      <x:c r="W58" s="6" t="str">
        <x:f>IF(AND(INDEX('C_jama.2018.14282'!$D$2:$D$29,MATCH("2018::jama.2018.14282::C013",'C_jama.2018.14282'!$A$2:$A$29,0))="retain",INDEX('C_jama.2018.14282'!$E$2:$E$29,MATCH("2018::jama.2018.14282::C013",'C_jama.2018.14282'!$A$2:$A$29,0))="statistical_results"),IF(INDEX('C_jama.2018.14282'!$J$2:$J$29,MATCH("2018::jama.2018.14282::C013",'C_jama.2018.14282'!$A$2:$A$29,0))="","",INDEX('C_jama.2018.14282'!$J$2:$J$29,MATCH("2018::jama.2018.14282::C013",'C_jama.2018.14282'!$A$2:$A$29,0))),"not_applicable")</x:f>
        <x:v>not_applicable</x:v>
      </x:c>
      <x:c r="X58" s="6" t="str">
        <x:f>IF(AND(INDEX('C_jama.2018.14282'!$D$2:$D$29,MATCH("2018::jama.2018.14282::C013",'C_jama.2018.14282'!$A$2:$A$29,0))="retain",OR(INDEX('C_jama.2018.14282'!$E$2:$E$29,MATCH("2018::jama.2018.14282::C013",'C_jama.2018.14282'!$A$2:$A$29,0))="report_internal_inconsistency",INDEX('C_jama.2018.14282'!$E$2:$E$29,MATCH("2018::jama.2018.14282::C013",'C_jama.2018.14282'!$A$2:$A$29,0))="plan_material")),IF(INDEX('C_jama.2018.14282'!$K$2:$K$29,MATCH("2018::jama.2018.14282::C013",'C_jama.2018.14282'!$A$2:$A$29,0))="","",INDEX('C_jama.2018.14282'!$K$2:$K$29,MATCH("2018::jama.2018.14282::C013",'C_jama.2018.14282'!$A$2:$A$29,0))),"not_applicable")</x:f>
        <x:v>not_applicable</x:v>
      </x:c>
      <x:c r="Y58" s="6" t="str">
        <x:f>IF(AND(INDEX('C_jama.2018.14282'!$D$2:$D$29,MATCH("2018::jama.2018.14282::C013",'C_jama.2018.14282'!$A$2:$A$29,0))="retain",INDEX('C_jama.2018.14282'!$E$2:$E$29,MATCH("2018::jama.2018.14282::C013",'C_jama.2018.14282'!$A$2:$A$29,0))="protocol_report"),IF(INDEX('C_jama.2018.14282'!$L$2:$L$29,MATCH("2018::jama.2018.14282::C013",'C_jama.2018.14282'!$A$2:$A$29,0))="","",INDEX('C_jama.2018.14282'!$L$2:$L$29,MATCH("2018::jama.2018.14282::C013",'C_jama.2018.14282'!$A$2:$A$29,0))),"not_applicable")</x:f>
        <x:v>not_applicable</x:v>
      </x:c>
      <x:c r="Z58" s="6" t="str">
        <x:f>IF(INDEX('C_jama.2018.14282'!$R$2:$R$29,MATCH("2018::jama.2018.14282::C013",'C_jama.2018.14282'!$A$2:$A$29,0))="","",INDEX('C_jama.2018.14282'!$R$2:$R$29,MATCH("2018::jama.2018.14282::C013",'C_jama.2018.14282'!$A$2:$A$29,0)))</x:f>
      </x:c>
      <x:c r="AA58" s="6" t="str">
        <x:f>IF(INDEX('C_jama.2018.14282'!$N$2:$N$29,MATCH("2018::jama.2018.14282::C013",'C_jama.2018.14282'!$A$2:$A$29,0))="","",INDEX('C_jama.2018.14282'!$N$2:$N$29,MATCH("2018::jama.2018.14282::C013",'C_jama.2018.14282'!$A$2:$A$29,0)))</x:f>
      </x:c>
      <x:c r="AB58" s="6" t="str">
        <x:f>IF(INDEX('C_jama.2018.14282'!$O$2:$O$29,MATCH("2018::jama.2018.14282::C013",'C_jama.2018.14282'!$A$2:$A$29,0))="","",INDEX('C_jama.2018.14282'!$O$2:$O$29,MATCH("2018::jama.2018.14282::C013",'C_jama.2018.14282'!$A$2:$A$29,0)))</x:f>
      </x:c>
      <x:c r="AC58" s="6" t="str">
        <x:f>IF(INDEX('C_jama.2018.14282'!$P$2:$P$29,MATCH("2018::jama.2018.14282::C013",'C_jama.2018.14282'!$A$2:$A$29,0))="","",INDEX('C_jama.2018.14282'!$P$2:$P$29,MATCH("2018::jama.2018.14282::C013",'C_jama.2018.14282'!$A$2:$A$29,0)))</x:f>
      </x:c>
      <x:c r="AD58" s="6" t="str">
        <x:f>IF(INDEX('C_jama.2018.14282'!$Q$2:$Q$29,MATCH("2018::jama.2018.14282::C013",'C_jama.2018.14282'!$A$2:$A$29,0))="","",INDEX('C_jama.2018.14282'!$Q$2:$Q$29,MATCH("2018::jama.2018.14282::C013",'C_jama.2018.14282'!$A$2:$A$29,0)))</x:f>
      </x:c>
    </x:row>
    <x:row r="59" ht="65" customHeight="1">
      <x:c r="A59" s="3" t="n">
        <x:v>2018</x:v>
      </x:c>
      <x:c r="B59" s="3" t="str">
        <x:v>jama.2018.14282</x:v>
      </x:c>
      <x:c r="C59" s="3" t="str">
        <x:v>2018::jama.2018.14282::C014</x:v>
      </x:c>
      <x:c r="D59" s="3" t="str">
        <x:v>S_W</x:v>
      </x:c>
      <x:c r="E59" s="3" t="n">
        <x:f>Setup!$B$2</x:f>
        <x:v>0</x:v>
      </x:c>
      <x:c r="F59" s="3" t="str">
        <x:f>IF(Setup!$B$4="","",Setup!$B$4)</x:f>
      </x:c>
      <x:c r="G59" s="3" t="str">
        <x:f>IFERROR(INDEX('C_jama.2018.14282'!$G$2:$G$29,MATCH("2018::jama.2018.14282::C014",'C_jama.2018.14282'!$A$2:$A$29,0)),"CHECK KEY")</x:f>
        <x:v>CHECK REVIEWER IDs</x:v>
      </x:c>
      <x:c r="H59" s="3" t="str">
        <x:f>IF(G59&lt;&gt;"FINAL READY","",IF(S59&lt;&gt;"retain","not_eligible",IF(D59="P_R","protocol_descriptive",IF(D59="P_P","plan_descriptive",IF(AND(T59="statistical_results",OR(U59="confirmed_issue",U59="probable_issue"),V59="substantive"),"primary_temporal",IF(AND(T59="report_internal_inconsistency",X59="substantive_inconsistency"),"secondary_temporal","not_eligible"))))))</x:f>
      </x:c>
      <x:c r="I59" s="3" t="str">
        <x:v>retain</x:v>
      </x:c>
      <x:c r="J59" s="3" t="str">
        <x:v>statistical_results</x:v>
      </x:c>
      <x:c r="K59" s="3" t="str">
        <x:f>IF(Setup!$B$6="primary","",IFERROR(IF(INDEX('Primary_snapshot'!$B$2:$B$120,MATCH(C59,'Primary_snapshot'!$A$2:$A$120,0))="","",INDEX('Primary_snapshot'!$B$2:$B$120,MATCH(C59,'Primary_snapshot'!$A$2:$A$120,0))),"SNAPSHOT MISSING"))</x:f>
      </x:c>
      <x:c r="L59" s="3" t="str">
        <x:f>IF(Setup!$B$6="primary","",IFERROR(IF(INDEX('Primary_snapshot'!$C$2:$C$120,MATCH(C59,'Primary_snapshot'!$A$2:$A$120,0))="","",INDEX('Primary_snapshot'!$C$2:$C$120,MATCH(C59,'Primary_snapshot'!$A$2:$A$120,0))),"SNAPSHOT MISSING"))</x:f>
      </x:c>
      <x:c r="M59" s="3" t="str">
        <x:f>IF(Setup!$B$6="primary","",IFERROR(IF(INDEX('Primary_snapshot'!$D$2:$D$120,MATCH(C59,'Primary_snapshot'!$A$2:$A$120,0))="","",INDEX('Primary_snapshot'!$D$2:$D$120,MATCH(C59,'Primary_snapshot'!$A$2:$A$120,0))),"SNAPSHOT MISSING"))</x:f>
      </x:c>
      <x:c r="N59" s="3" t="str">
        <x:f>IF(Setup!$B$6="primary","",IFERROR(IF(INDEX('Primary_snapshot'!$E$2:$E$120,MATCH(C59,'Primary_snapshot'!$A$2:$A$120,0))="","",INDEX('Primary_snapshot'!$E$2:$E$120,MATCH(C59,'Primary_snapshot'!$A$2:$A$120,0))),"SNAPSHOT MISSING"))</x:f>
      </x:c>
      <x:c r="O59" s="3" t="str">
        <x:f>IF(Setup!$B$6="primary","",IFERROR(IF(INDEX('Primary_snapshot'!$F$2:$F$120,MATCH(C59,'Primary_snapshot'!$A$2:$A$120,0))="","",INDEX('Primary_snapshot'!$F$2:$F$120,MATCH(C59,'Primary_snapshot'!$A$2:$A$120,0))),"SNAPSHOT MISSING"))</x:f>
      </x:c>
      <x:c r="P59" s="3" t="str">
        <x:f>IF(Setup!$B$6="primary","",IFERROR(IF(INDEX('Primary_snapshot'!$G$2:$G$120,MATCH(C59,'Primary_snapshot'!$A$2:$A$120,0))="","",INDEX('Primary_snapshot'!$G$2:$G$120,MATCH(C59,'Primary_snapshot'!$A$2:$A$120,0))),"SNAPSHOT MISSING"))</x:f>
      </x:c>
      <x:c r="Q59" s="3" t="str">
        <x:f>IF(Setup!$B$6="primary","",IFERROR(IF(INDEX('Primary_snapshot'!$H$2:$H$120,MATCH(C59,'Primary_snapshot'!$A$2:$A$120,0))="","",INDEX('Primary_snapshot'!$H$2:$H$120,MATCH(C59,'Primary_snapshot'!$A$2:$A$120,0))),"SNAPSHOT MISSING"))</x:f>
      </x:c>
      <x:c r="R59" s="3" t="str">
        <x:f>IF(Setup!$B$6="primary","",IFERROR(IF(INDEX('Primary_snapshot'!$I$2:$I$120,MATCH(C59,'Primary_snapshot'!$A$2:$A$120,0))="","",INDEX('Primary_snapshot'!$I$2:$I$120,MATCH(C59,'Primary_snapshot'!$A$2:$A$120,0))),"SNAPSHOT MISSING"))</x:f>
      </x:c>
      <x:c r="S59" s="3" t="str">
        <x:f>IF(INDEX('C_jama.2018.14282'!$D$2:$D$29,MATCH("2018::jama.2018.14282::C014",'C_jama.2018.14282'!$A$2:$A$29,0))="","",INDEX('C_jama.2018.14282'!$D$2:$D$29,MATCH("2018::jama.2018.14282::C014",'C_jama.2018.14282'!$A$2:$A$29,0)))</x:f>
      </x:c>
      <x:c r="T59" s="3" t="str">
        <x:f>IF(INDEX('C_jama.2018.14282'!$E$2:$E$29,MATCH("2018::jama.2018.14282::C014",'C_jama.2018.14282'!$A$2:$A$29,0))="","",INDEX('C_jama.2018.14282'!$E$2:$E$29,MATCH("2018::jama.2018.14282::C014",'C_jama.2018.14282'!$A$2:$A$29,0)))</x:f>
        <x:v>statistical_results</x:v>
      </x:c>
      <x:c r="U59" s="3" t="str">
        <x:f>IF(AND(INDEX('C_jama.2018.14282'!$D$2:$D$29,MATCH("2018::jama.2018.14282::C014",'C_jama.2018.14282'!$A$2:$A$29,0))="retain",INDEX('C_jama.2018.14282'!$E$2:$E$29,MATCH("2018::jama.2018.14282::C014",'C_jama.2018.14282'!$A$2:$A$29,0))="statistical_results"),IF(INDEX('C_jama.2018.14282'!$H$2:$H$29,MATCH("2018::jama.2018.14282::C014",'C_jama.2018.14282'!$A$2:$A$29,0))="","",INDEX('C_jama.2018.14282'!$H$2:$H$29,MATCH("2018::jama.2018.14282::C014",'C_jama.2018.14282'!$A$2:$A$29,0))),"not_applicable")</x:f>
        <x:v>not_applicable</x:v>
      </x:c>
      <x:c r="V59" s="3" t="str">
        <x:f>IF(AND(INDEX('C_jama.2018.14282'!$D$2:$D$29,MATCH("2018::jama.2018.14282::C014",'C_jama.2018.14282'!$A$2:$A$29,0))="retain",INDEX('C_jama.2018.14282'!$E$2:$E$29,MATCH("2018::jama.2018.14282::C014",'C_jama.2018.14282'!$A$2:$A$29,0))="statistical_results"),IF(INDEX('C_jama.2018.14282'!$I$2:$I$29,MATCH("2018::jama.2018.14282::C014",'C_jama.2018.14282'!$A$2:$A$29,0))="","",INDEX('C_jama.2018.14282'!$I$2:$I$29,MATCH("2018::jama.2018.14282::C014",'C_jama.2018.14282'!$A$2:$A$29,0))),"not_applicable")</x:f>
        <x:v>not_applicable</x:v>
      </x:c>
      <x:c r="W59" s="3" t="str">
        <x:f>IF(AND(INDEX('C_jama.2018.14282'!$D$2:$D$29,MATCH("2018::jama.2018.14282::C014",'C_jama.2018.14282'!$A$2:$A$29,0))="retain",INDEX('C_jama.2018.14282'!$E$2:$E$29,MATCH("2018::jama.2018.14282::C014",'C_jama.2018.14282'!$A$2:$A$29,0))="statistical_results"),IF(INDEX('C_jama.2018.14282'!$J$2:$J$29,MATCH("2018::jama.2018.14282::C014",'C_jama.2018.14282'!$A$2:$A$29,0))="","",INDEX('C_jama.2018.14282'!$J$2:$J$29,MATCH("2018::jama.2018.14282::C014",'C_jama.2018.14282'!$A$2:$A$29,0))),"not_applicable")</x:f>
        <x:v>not_applicable</x:v>
      </x:c>
      <x:c r="X59" s="3" t="str">
        <x:f>IF(AND(INDEX('C_jama.2018.14282'!$D$2:$D$29,MATCH("2018::jama.2018.14282::C014",'C_jama.2018.14282'!$A$2:$A$29,0))="retain",OR(INDEX('C_jama.2018.14282'!$E$2:$E$29,MATCH("2018::jama.2018.14282::C014",'C_jama.2018.14282'!$A$2:$A$29,0))="report_internal_inconsistency",INDEX('C_jama.2018.14282'!$E$2:$E$29,MATCH("2018::jama.2018.14282::C014",'C_jama.2018.14282'!$A$2:$A$29,0))="plan_material")),IF(INDEX('C_jama.2018.14282'!$K$2:$K$29,MATCH("2018::jama.2018.14282::C014",'C_jama.2018.14282'!$A$2:$A$29,0))="","",INDEX('C_jama.2018.14282'!$K$2:$K$29,MATCH("2018::jama.2018.14282::C014",'C_jama.2018.14282'!$A$2:$A$29,0))),"not_applicable")</x:f>
        <x:v>not_applicable</x:v>
      </x:c>
      <x:c r="Y59" s="3" t="str">
        <x:f>IF(AND(INDEX('C_jama.2018.14282'!$D$2:$D$29,MATCH("2018::jama.2018.14282::C014",'C_jama.2018.14282'!$A$2:$A$29,0))="retain",INDEX('C_jama.2018.14282'!$E$2:$E$29,MATCH("2018::jama.2018.14282::C014",'C_jama.2018.14282'!$A$2:$A$29,0))="protocol_report"),IF(INDEX('C_jama.2018.14282'!$L$2:$L$29,MATCH("2018::jama.2018.14282::C014",'C_jama.2018.14282'!$A$2:$A$29,0))="","",INDEX('C_jama.2018.14282'!$L$2:$L$29,MATCH("2018::jama.2018.14282::C014",'C_jama.2018.14282'!$A$2:$A$29,0))),"not_applicable")</x:f>
        <x:v>not_applicable</x:v>
      </x:c>
      <x:c r="Z59" s="3" t="str">
        <x:f>IF(INDEX('C_jama.2018.14282'!$R$2:$R$29,MATCH("2018::jama.2018.14282::C014",'C_jama.2018.14282'!$A$2:$A$29,0))="","",INDEX('C_jama.2018.14282'!$R$2:$R$29,MATCH("2018::jama.2018.14282::C014",'C_jama.2018.14282'!$A$2:$A$29,0)))</x:f>
      </x:c>
      <x:c r="AA59" s="3" t="str">
        <x:f>IF(INDEX('C_jama.2018.14282'!$N$2:$N$29,MATCH("2018::jama.2018.14282::C014",'C_jama.2018.14282'!$A$2:$A$29,0))="","",INDEX('C_jama.2018.14282'!$N$2:$N$29,MATCH("2018::jama.2018.14282::C014",'C_jama.2018.14282'!$A$2:$A$29,0)))</x:f>
      </x:c>
      <x:c r="AB59" s="3" t="str">
        <x:f>IF(INDEX('C_jama.2018.14282'!$O$2:$O$29,MATCH("2018::jama.2018.14282::C014",'C_jama.2018.14282'!$A$2:$A$29,0))="","",INDEX('C_jama.2018.14282'!$O$2:$O$29,MATCH("2018::jama.2018.14282::C014",'C_jama.2018.14282'!$A$2:$A$29,0)))</x:f>
      </x:c>
      <x:c r="AC59" s="3" t="str">
        <x:f>IF(INDEX('C_jama.2018.14282'!$P$2:$P$29,MATCH("2018::jama.2018.14282::C014",'C_jama.2018.14282'!$A$2:$A$29,0))="","",INDEX('C_jama.2018.14282'!$P$2:$P$29,MATCH("2018::jama.2018.14282::C014",'C_jama.2018.14282'!$A$2:$A$29,0)))</x:f>
      </x:c>
      <x:c r="AD59" s="3" t="str">
        <x:f>IF(INDEX('C_jama.2018.14282'!$Q$2:$Q$29,MATCH("2018::jama.2018.14282::C014",'C_jama.2018.14282'!$A$2:$A$29,0))="","",INDEX('C_jama.2018.14282'!$Q$2:$Q$29,MATCH("2018::jama.2018.14282::C014",'C_jama.2018.14282'!$A$2:$A$29,0)))</x:f>
      </x:c>
    </x:row>
    <x:row r="60" ht="65" customHeight="1">
      <x:c r="A60" s="6" t="n">
        <x:v>2018</x:v>
      </x:c>
      <x:c r="B60" s="6" t="str">
        <x:v>jama.2018.14282</x:v>
      </x:c>
      <x:c r="C60" s="6" t="str">
        <x:v>2018::jama.2018.14282::C015</x:v>
      </x:c>
      <x:c r="D60" s="6" t="str">
        <x:v>S_W</x:v>
      </x:c>
      <x:c r="E60" s="6" t="n">
        <x:f>Setup!$B$2</x:f>
        <x:v>0</x:v>
      </x:c>
      <x:c r="F60" s="6" t="str">
        <x:f>IF(Setup!$B$4="","",Setup!$B$4)</x:f>
      </x:c>
      <x:c r="G60" s="6" t="str">
        <x:f>IFERROR(INDEX('C_jama.2018.14282'!$G$2:$G$29,MATCH("2018::jama.2018.14282::C015",'C_jama.2018.14282'!$A$2:$A$29,0)),"CHECK KEY")</x:f>
        <x:v>CHECK REVIEWER IDs</x:v>
      </x:c>
      <x:c r="H60" s="6" t="str">
        <x:f>IF(G60&lt;&gt;"FINAL READY","",IF(S60&lt;&gt;"retain","not_eligible",IF(D60="P_R","protocol_descriptive",IF(D60="P_P","plan_descriptive",IF(AND(T60="statistical_results",OR(U60="confirmed_issue",U60="probable_issue"),V60="substantive"),"primary_temporal",IF(AND(T60="report_internal_inconsistency",X60="substantive_inconsistency"),"secondary_temporal","not_eligible"))))))</x:f>
      </x:c>
      <x:c r="I60" s="6" t="str">
        <x:v>retain</x:v>
      </x:c>
      <x:c r="J60" s="6" t="str">
        <x:v>statistical_results</x:v>
      </x:c>
      <x:c r="K60" s="6" t="str">
        <x:f>IF(Setup!$B$6="primary","",IFERROR(IF(INDEX('Primary_snapshot'!$B$2:$B$120,MATCH(C60,'Primary_snapshot'!$A$2:$A$120,0))="","",INDEX('Primary_snapshot'!$B$2:$B$120,MATCH(C60,'Primary_snapshot'!$A$2:$A$120,0))),"SNAPSHOT MISSING"))</x:f>
      </x:c>
      <x:c r="L60" s="6" t="str">
        <x:f>IF(Setup!$B$6="primary","",IFERROR(IF(INDEX('Primary_snapshot'!$C$2:$C$120,MATCH(C60,'Primary_snapshot'!$A$2:$A$120,0))="","",INDEX('Primary_snapshot'!$C$2:$C$120,MATCH(C60,'Primary_snapshot'!$A$2:$A$120,0))),"SNAPSHOT MISSING"))</x:f>
      </x:c>
      <x:c r="M60" s="6" t="str">
        <x:f>IF(Setup!$B$6="primary","",IFERROR(IF(INDEX('Primary_snapshot'!$D$2:$D$120,MATCH(C60,'Primary_snapshot'!$A$2:$A$120,0))="","",INDEX('Primary_snapshot'!$D$2:$D$120,MATCH(C60,'Primary_snapshot'!$A$2:$A$120,0))),"SNAPSHOT MISSING"))</x:f>
      </x:c>
      <x:c r="N60" s="6" t="str">
        <x:f>IF(Setup!$B$6="primary","",IFERROR(IF(INDEX('Primary_snapshot'!$E$2:$E$120,MATCH(C60,'Primary_snapshot'!$A$2:$A$120,0))="","",INDEX('Primary_snapshot'!$E$2:$E$120,MATCH(C60,'Primary_snapshot'!$A$2:$A$120,0))),"SNAPSHOT MISSING"))</x:f>
      </x:c>
      <x:c r="O60" s="6" t="str">
        <x:f>IF(Setup!$B$6="primary","",IFERROR(IF(INDEX('Primary_snapshot'!$F$2:$F$120,MATCH(C60,'Primary_snapshot'!$A$2:$A$120,0))="","",INDEX('Primary_snapshot'!$F$2:$F$120,MATCH(C60,'Primary_snapshot'!$A$2:$A$120,0))),"SNAPSHOT MISSING"))</x:f>
      </x:c>
      <x:c r="P60" s="6" t="str">
        <x:f>IF(Setup!$B$6="primary","",IFERROR(IF(INDEX('Primary_snapshot'!$G$2:$G$120,MATCH(C60,'Primary_snapshot'!$A$2:$A$120,0))="","",INDEX('Primary_snapshot'!$G$2:$G$120,MATCH(C60,'Primary_snapshot'!$A$2:$A$120,0))),"SNAPSHOT MISSING"))</x:f>
      </x:c>
      <x:c r="Q60" s="6" t="str">
        <x:f>IF(Setup!$B$6="primary","",IFERROR(IF(INDEX('Primary_snapshot'!$H$2:$H$120,MATCH(C60,'Primary_snapshot'!$A$2:$A$120,0))="","",INDEX('Primary_snapshot'!$H$2:$H$120,MATCH(C60,'Primary_snapshot'!$A$2:$A$120,0))),"SNAPSHOT MISSING"))</x:f>
      </x:c>
      <x:c r="R60" s="6" t="str">
        <x:f>IF(Setup!$B$6="primary","",IFERROR(IF(INDEX('Primary_snapshot'!$I$2:$I$120,MATCH(C60,'Primary_snapshot'!$A$2:$A$120,0))="","",INDEX('Primary_snapshot'!$I$2:$I$120,MATCH(C60,'Primary_snapshot'!$A$2:$A$120,0))),"SNAPSHOT MISSING"))</x:f>
      </x:c>
      <x:c r="S60" s="6" t="str">
        <x:f>IF(INDEX('C_jama.2018.14282'!$D$2:$D$29,MATCH("2018::jama.2018.14282::C015",'C_jama.2018.14282'!$A$2:$A$29,0))="","",INDEX('C_jama.2018.14282'!$D$2:$D$29,MATCH("2018::jama.2018.14282::C015",'C_jama.2018.14282'!$A$2:$A$29,0)))</x:f>
      </x:c>
      <x:c r="T60" s="6" t="str">
        <x:f>IF(INDEX('C_jama.2018.14282'!$E$2:$E$29,MATCH("2018::jama.2018.14282::C015",'C_jama.2018.14282'!$A$2:$A$29,0))="","",INDEX('C_jama.2018.14282'!$E$2:$E$29,MATCH("2018::jama.2018.14282::C015",'C_jama.2018.14282'!$A$2:$A$29,0)))</x:f>
        <x:v>statistical_results</x:v>
      </x:c>
      <x:c r="U60" s="6" t="str">
        <x:f>IF(AND(INDEX('C_jama.2018.14282'!$D$2:$D$29,MATCH("2018::jama.2018.14282::C015",'C_jama.2018.14282'!$A$2:$A$29,0))="retain",INDEX('C_jama.2018.14282'!$E$2:$E$29,MATCH("2018::jama.2018.14282::C015",'C_jama.2018.14282'!$A$2:$A$29,0))="statistical_results"),IF(INDEX('C_jama.2018.14282'!$H$2:$H$29,MATCH("2018::jama.2018.14282::C015",'C_jama.2018.14282'!$A$2:$A$29,0))="","",INDEX('C_jama.2018.14282'!$H$2:$H$29,MATCH("2018::jama.2018.14282::C015",'C_jama.2018.14282'!$A$2:$A$29,0))),"not_applicable")</x:f>
        <x:v>not_applicable</x:v>
      </x:c>
      <x:c r="V60" s="6" t="str">
        <x:f>IF(AND(INDEX('C_jama.2018.14282'!$D$2:$D$29,MATCH("2018::jama.2018.14282::C015",'C_jama.2018.14282'!$A$2:$A$29,0))="retain",INDEX('C_jama.2018.14282'!$E$2:$E$29,MATCH("2018::jama.2018.14282::C015",'C_jama.2018.14282'!$A$2:$A$29,0))="statistical_results"),IF(INDEX('C_jama.2018.14282'!$I$2:$I$29,MATCH("2018::jama.2018.14282::C015",'C_jama.2018.14282'!$A$2:$A$29,0))="","",INDEX('C_jama.2018.14282'!$I$2:$I$29,MATCH("2018::jama.2018.14282::C015",'C_jama.2018.14282'!$A$2:$A$29,0))),"not_applicable")</x:f>
        <x:v>not_applicable</x:v>
      </x:c>
      <x:c r="W60" s="6" t="str">
        <x:f>IF(AND(INDEX('C_jama.2018.14282'!$D$2:$D$29,MATCH("2018::jama.2018.14282::C015",'C_jama.2018.14282'!$A$2:$A$29,0))="retain",INDEX('C_jama.2018.14282'!$E$2:$E$29,MATCH("2018::jama.2018.14282::C015",'C_jama.2018.14282'!$A$2:$A$29,0))="statistical_results"),IF(INDEX('C_jama.2018.14282'!$J$2:$J$29,MATCH("2018::jama.2018.14282::C015",'C_jama.2018.14282'!$A$2:$A$29,0))="","",INDEX('C_jama.2018.14282'!$J$2:$J$29,MATCH("2018::jama.2018.14282::C015",'C_jama.2018.14282'!$A$2:$A$29,0))),"not_applicable")</x:f>
        <x:v>not_applicable</x:v>
      </x:c>
      <x:c r="X60" s="6" t="str">
        <x:f>IF(AND(INDEX('C_jama.2018.14282'!$D$2:$D$29,MATCH("2018::jama.2018.14282::C015",'C_jama.2018.14282'!$A$2:$A$29,0))="retain",OR(INDEX('C_jama.2018.14282'!$E$2:$E$29,MATCH("2018::jama.2018.14282::C015",'C_jama.2018.14282'!$A$2:$A$29,0))="report_internal_inconsistency",INDEX('C_jama.2018.14282'!$E$2:$E$29,MATCH("2018::jama.2018.14282::C015",'C_jama.2018.14282'!$A$2:$A$29,0))="plan_material")),IF(INDEX('C_jama.2018.14282'!$K$2:$K$29,MATCH("2018::jama.2018.14282::C015",'C_jama.2018.14282'!$A$2:$A$29,0))="","",INDEX('C_jama.2018.14282'!$K$2:$K$29,MATCH("2018::jama.2018.14282::C015",'C_jama.2018.14282'!$A$2:$A$29,0))),"not_applicable")</x:f>
        <x:v>not_applicable</x:v>
      </x:c>
      <x:c r="Y60" s="6" t="str">
        <x:f>IF(AND(INDEX('C_jama.2018.14282'!$D$2:$D$29,MATCH("2018::jama.2018.14282::C015",'C_jama.2018.14282'!$A$2:$A$29,0))="retain",INDEX('C_jama.2018.14282'!$E$2:$E$29,MATCH("2018::jama.2018.14282::C015",'C_jama.2018.14282'!$A$2:$A$29,0))="protocol_report"),IF(INDEX('C_jama.2018.14282'!$L$2:$L$29,MATCH("2018::jama.2018.14282::C015",'C_jama.2018.14282'!$A$2:$A$29,0))="","",INDEX('C_jama.2018.14282'!$L$2:$L$29,MATCH("2018::jama.2018.14282::C015",'C_jama.2018.14282'!$A$2:$A$29,0))),"not_applicable")</x:f>
        <x:v>not_applicable</x:v>
      </x:c>
      <x:c r="Z60" s="6" t="str">
        <x:f>IF(INDEX('C_jama.2018.14282'!$R$2:$R$29,MATCH("2018::jama.2018.14282::C015",'C_jama.2018.14282'!$A$2:$A$29,0))="","",INDEX('C_jama.2018.14282'!$R$2:$R$29,MATCH("2018::jama.2018.14282::C015",'C_jama.2018.14282'!$A$2:$A$29,0)))</x:f>
      </x:c>
      <x:c r="AA60" s="6" t="str">
        <x:f>IF(INDEX('C_jama.2018.14282'!$N$2:$N$29,MATCH("2018::jama.2018.14282::C015",'C_jama.2018.14282'!$A$2:$A$29,0))="","",INDEX('C_jama.2018.14282'!$N$2:$N$29,MATCH("2018::jama.2018.14282::C015",'C_jama.2018.14282'!$A$2:$A$29,0)))</x:f>
      </x:c>
      <x:c r="AB60" s="6" t="str">
        <x:f>IF(INDEX('C_jama.2018.14282'!$O$2:$O$29,MATCH("2018::jama.2018.14282::C015",'C_jama.2018.14282'!$A$2:$A$29,0))="","",INDEX('C_jama.2018.14282'!$O$2:$O$29,MATCH("2018::jama.2018.14282::C015",'C_jama.2018.14282'!$A$2:$A$29,0)))</x:f>
      </x:c>
      <x:c r="AC60" s="6" t="str">
        <x:f>IF(INDEX('C_jama.2018.14282'!$P$2:$P$29,MATCH("2018::jama.2018.14282::C015",'C_jama.2018.14282'!$A$2:$A$29,0))="","",INDEX('C_jama.2018.14282'!$P$2:$P$29,MATCH("2018::jama.2018.14282::C015",'C_jama.2018.14282'!$A$2:$A$29,0)))</x:f>
      </x:c>
      <x:c r="AD60" s="6" t="str">
        <x:f>IF(INDEX('C_jama.2018.14282'!$Q$2:$Q$29,MATCH("2018::jama.2018.14282::C015",'C_jama.2018.14282'!$A$2:$A$29,0))="","",INDEX('C_jama.2018.14282'!$Q$2:$Q$29,MATCH("2018::jama.2018.14282::C015",'C_jama.2018.14282'!$A$2:$A$29,0)))</x:f>
      </x:c>
    </x:row>
    <x:row r="61" ht="65" customHeight="1">
      <x:c r="A61" s="3" t="n">
        <x:v>2018</x:v>
      </x:c>
      <x:c r="B61" s="3" t="str">
        <x:v>jama.2018.14282</x:v>
      </x:c>
      <x:c r="C61" s="3" t="str">
        <x:v>2018::jama.2018.14282::C016</x:v>
      </x:c>
      <x:c r="D61" s="3" t="str">
        <x:v>S_W</x:v>
      </x:c>
      <x:c r="E61" s="3" t="n">
        <x:f>Setup!$B$2</x:f>
        <x:v>0</x:v>
      </x:c>
      <x:c r="F61" s="3" t="str">
        <x:f>IF(Setup!$B$4="","",Setup!$B$4)</x:f>
      </x:c>
      <x:c r="G61" s="3" t="str">
        <x:f>IFERROR(INDEX('C_jama.2018.14282'!$G$2:$G$29,MATCH("2018::jama.2018.14282::C016",'C_jama.2018.14282'!$A$2:$A$29,0)),"CHECK KEY")</x:f>
        <x:v>CHECK REVIEWER IDs</x:v>
      </x:c>
      <x:c r="H61" s="3" t="str">
        <x:f>IF(G61&lt;&gt;"FINAL READY","",IF(S61&lt;&gt;"retain","not_eligible",IF(D61="P_R","protocol_descriptive",IF(D61="P_P","plan_descriptive",IF(AND(T61="statistical_results",OR(U61="confirmed_issue",U61="probable_issue"),V61="substantive"),"primary_temporal",IF(AND(T61="report_internal_inconsistency",X61="substantive_inconsistency"),"secondary_temporal","not_eligible"))))))</x:f>
      </x:c>
      <x:c r="I61" s="3" t="str">
        <x:v>retain</x:v>
      </x:c>
      <x:c r="J61" s="3" t="str">
        <x:v>statistical_results</x:v>
      </x:c>
      <x:c r="K61" s="3" t="str">
        <x:f>IF(Setup!$B$6="primary","",IFERROR(IF(INDEX('Primary_snapshot'!$B$2:$B$120,MATCH(C61,'Primary_snapshot'!$A$2:$A$120,0))="","",INDEX('Primary_snapshot'!$B$2:$B$120,MATCH(C61,'Primary_snapshot'!$A$2:$A$120,0))),"SNAPSHOT MISSING"))</x:f>
      </x:c>
      <x:c r="L61" s="3" t="str">
        <x:f>IF(Setup!$B$6="primary","",IFERROR(IF(INDEX('Primary_snapshot'!$C$2:$C$120,MATCH(C61,'Primary_snapshot'!$A$2:$A$120,0))="","",INDEX('Primary_snapshot'!$C$2:$C$120,MATCH(C61,'Primary_snapshot'!$A$2:$A$120,0))),"SNAPSHOT MISSING"))</x:f>
      </x:c>
      <x:c r="M61" s="3" t="str">
        <x:f>IF(Setup!$B$6="primary","",IFERROR(IF(INDEX('Primary_snapshot'!$D$2:$D$120,MATCH(C61,'Primary_snapshot'!$A$2:$A$120,0))="","",INDEX('Primary_snapshot'!$D$2:$D$120,MATCH(C61,'Primary_snapshot'!$A$2:$A$120,0))),"SNAPSHOT MISSING"))</x:f>
      </x:c>
      <x:c r="N61" s="3" t="str">
        <x:f>IF(Setup!$B$6="primary","",IFERROR(IF(INDEX('Primary_snapshot'!$E$2:$E$120,MATCH(C61,'Primary_snapshot'!$A$2:$A$120,0))="","",INDEX('Primary_snapshot'!$E$2:$E$120,MATCH(C61,'Primary_snapshot'!$A$2:$A$120,0))),"SNAPSHOT MISSING"))</x:f>
      </x:c>
      <x:c r="O61" s="3" t="str">
        <x:f>IF(Setup!$B$6="primary","",IFERROR(IF(INDEX('Primary_snapshot'!$F$2:$F$120,MATCH(C61,'Primary_snapshot'!$A$2:$A$120,0))="","",INDEX('Primary_snapshot'!$F$2:$F$120,MATCH(C61,'Primary_snapshot'!$A$2:$A$120,0))),"SNAPSHOT MISSING"))</x:f>
      </x:c>
      <x:c r="P61" s="3" t="str">
        <x:f>IF(Setup!$B$6="primary","",IFERROR(IF(INDEX('Primary_snapshot'!$G$2:$G$120,MATCH(C61,'Primary_snapshot'!$A$2:$A$120,0))="","",INDEX('Primary_snapshot'!$G$2:$G$120,MATCH(C61,'Primary_snapshot'!$A$2:$A$120,0))),"SNAPSHOT MISSING"))</x:f>
      </x:c>
      <x:c r="Q61" s="3" t="str">
        <x:f>IF(Setup!$B$6="primary","",IFERROR(IF(INDEX('Primary_snapshot'!$H$2:$H$120,MATCH(C61,'Primary_snapshot'!$A$2:$A$120,0))="","",INDEX('Primary_snapshot'!$H$2:$H$120,MATCH(C61,'Primary_snapshot'!$A$2:$A$120,0))),"SNAPSHOT MISSING"))</x:f>
      </x:c>
      <x:c r="R61" s="3" t="str">
        <x:f>IF(Setup!$B$6="primary","",IFERROR(IF(INDEX('Primary_snapshot'!$I$2:$I$120,MATCH(C61,'Primary_snapshot'!$A$2:$A$120,0))="","",INDEX('Primary_snapshot'!$I$2:$I$120,MATCH(C61,'Primary_snapshot'!$A$2:$A$120,0))),"SNAPSHOT MISSING"))</x:f>
      </x:c>
      <x:c r="S61" s="3" t="str">
        <x:f>IF(INDEX('C_jama.2018.14282'!$D$2:$D$29,MATCH("2018::jama.2018.14282::C016",'C_jama.2018.14282'!$A$2:$A$29,0))="","",INDEX('C_jama.2018.14282'!$D$2:$D$29,MATCH("2018::jama.2018.14282::C016",'C_jama.2018.14282'!$A$2:$A$29,0)))</x:f>
      </x:c>
      <x:c r="T61" s="3" t="str">
        <x:f>IF(INDEX('C_jama.2018.14282'!$E$2:$E$29,MATCH("2018::jama.2018.14282::C016",'C_jama.2018.14282'!$A$2:$A$29,0))="","",INDEX('C_jama.2018.14282'!$E$2:$E$29,MATCH("2018::jama.2018.14282::C016",'C_jama.2018.14282'!$A$2:$A$29,0)))</x:f>
        <x:v>statistical_results</x:v>
      </x:c>
      <x:c r="U61" s="3" t="str">
        <x:f>IF(AND(INDEX('C_jama.2018.14282'!$D$2:$D$29,MATCH("2018::jama.2018.14282::C016",'C_jama.2018.14282'!$A$2:$A$29,0))="retain",INDEX('C_jama.2018.14282'!$E$2:$E$29,MATCH("2018::jama.2018.14282::C016",'C_jama.2018.14282'!$A$2:$A$29,0))="statistical_results"),IF(INDEX('C_jama.2018.14282'!$H$2:$H$29,MATCH("2018::jama.2018.14282::C016",'C_jama.2018.14282'!$A$2:$A$29,0))="","",INDEX('C_jama.2018.14282'!$H$2:$H$29,MATCH("2018::jama.2018.14282::C016",'C_jama.2018.14282'!$A$2:$A$29,0))),"not_applicable")</x:f>
        <x:v>not_applicable</x:v>
      </x:c>
      <x:c r="V61" s="3" t="str">
        <x:f>IF(AND(INDEX('C_jama.2018.14282'!$D$2:$D$29,MATCH("2018::jama.2018.14282::C016",'C_jama.2018.14282'!$A$2:$A$29,0))="retain",INDEX('C_jama.2018.14282'!$E$2:$E$29,MATCH("2018::jama.2018.14282::C016",'C_jama.2018.14282'!$A$2:$A$29,0))="statistical_results"),IF(INDEX('C_jama.2018.14282'!$I$2:$I$29,MATCH("2018::jama.2018.14282::C016",'C_jama.2018.14282'!$A$2:$A$29,0))="","",INDEX('C_jama.2018.14282'!$I$2:$I$29,MATCH("2018::jama.2018.14282::C016",'C_jama.2018.14282'!$A$2:$A$29,0))),"not_applicable")</x:f>
        <x:v>not_applicable</x:v>
      </x:c>
      <x:c r="W61" s="3" t="str">
        <x:f>IF(AND(INDEX('C_jama.2018.14282'!$D$2:$D$29,MATCH("2018::jama.2018.14282::C016",'C_jama.2018.14282'!$A$2:$A$29,0))="retain",INDEX('C_jama.2018.14282'!$E$2:$E$29,MATCH("2018::jama.2018.14282::C016",'C_jama.2018.14282'!$A$2:$A$29,0))="statistical_results"),IF(INDEX('C_jama.2018.14282'!$J$2:$J$29,MATCH("2018::jama.2018.14282::C016",'C_jama.2018.14282'!$A$2:$A$29,0))="","",INDEX('C_jama.2018.14282'!$J$2:$J$29,MATCH("2018::jama.2018.14282::C016",'C_jama.2018.14282'!$A$2:$A$29,0))),"not_applicable")</x:f>
        <x:v>not_applicable</x:v>
      </x:c>
      <x:c r="X61" s="3" t="str">
        <x:f>IF(AND(INDEX('C_jama.2018.14282'!$D$2:$D$29,MATCH("2018::jama.2018.14282::C016",'C_jama.2018.14282'!$A$2:$A$29,0))="retain",OR(INDEX('C_jama.2018.14282'!$E$2:$E$29,MATCH("2018::jama.2018.14282::C016",'C_jama.2018.14282'!$A$2:$A$29,0))="report_internal_inconsistency",INDEX('C_jama.2018.14282'!$E$2:$E$29,MATCH("2018::jama.2018.14282::C016",'C_jama.2018.14282'!$A$2:$A$29,0))="plan_material")),IF(INDEX('C_jama.2018.14282'!$K$2:$K$29,MATCH("2018::jama.2018.14282::C016",'C_jama.2018.14282'!$A$2:$A$29,0))="","",INDEX('C_jama.2018.14282'!$K$2:$K$29,MATCH("2018::jama.2018.14282::C016",'C_jama.2018.14282'!$A$2:$A$29,0))),"not_applicable")</x:f>
        <x:v>not_applicable</x:v>
      </x:c>
      <x:c r="Y61" s="3" t="str">
        <x:f>IF(AND(INDEX('C_jama.2018.14282'!$D$2:$D$29,MATCH("2018::jama.2018.14282::C016",'C_jama.2018.14282'!$A$2:$A$29,0))="retain",INDEX('C_jama.2018.14282'!$E$2:$E$29,MATCH("2018::jama.2018.14282::C016",'C_jama.2018.14282'!$A$2:$A$29,0))="protocol_report"),IF(INDEX('C_jama.2018.14282'!$L$2:$L$29,MATCH("2018::jama.2018.14282::C016",'C_jama.2018.14282'!$A$2:$A$29,0))="","",INDEX('C_jama.2018.14282'!$L$2:$L$29,MATCH("2018::jama.2018.14282::C016",'C_jama.2018.14282'!$A$2:$A$29,0))),"not_applicable")</x:f>
        <x:v>not_applicable</x:v>
      </x:c>
      <x:c r="Z61" s="3" t="str">
        <x:f>IF(INDEX('C_jama.2018.14282'!$R$2:$R$29,MATCH("2018::jama.2018.14282::C016",'C_jama.2018.14282'!$A$2:$A$29,0))="","",INDEX('C_jama.2018.14282'!$R$2:$R$29,MATCH("2018::jama.2018.14282::C016",'C_jama.2018.14282'!$A$2:$A$29,0)))</x:f>
      </x:c>
      <x:c r="AA61" s="3" t="str">
        <x:f>IF(INDEX('C_jama.2018.14282'!$N$2:$N$29,MATCH("2018::jama.2018.14282::C016",'C_jama.2018.14282'!$A$2:$A$29,0))="","",INDEX('C_jama.2018.14282'!$N$2:$N$29,MATCH("2018::jama.2018.14282::C016",'C_jama.2018.14282'!$A$2:$A$29,0)))</x:f>
      </x:c>
      <x:c r="AB61" s="3" t="str">
        <x:f>IF(INDEX('C_jama.2018.14282'!$O$2:$O$29,MATCH("2018::jama.2018.14282::C016",'C_jama.2018.14282'!$A$2:$A$29,0))="","",INDEX('C_jama.2018.14282'!$O$2:$O$29,MATCH("2018::jama.2018.14282::C016",'C_jama.2018.14282'!$A$2:$A$29,0)))</x:f>
      </x:c>
      <x:c r="AC61" s="3" t="str">
        <x:f>IF(INDEX('C_jama.2018.14282'!$P$2:$P$29,MATCH("2018::jama.2018.14282::C016",'C_jama.2018.14282'!$A$2:$A$29,0))="","",INDEX('C_jama.2018.14282'!$P$2:$P$29,MATCH("2018::jama.2018.14282::C016",'C_jama.2018.14282'!$A$2:$A$29,0)))</x:f>
      </x:c>
      <x:c r="AD61" s="3" t="str">
        <x:f>IF(INDEX('C_jama.2018.14282'!$Q$2:$Q$29,MATCH("2018::jama.2018.14282::C016",'C_jama.2018.14282'!$A$2:$A$29,0))="","",INDEX('C_jama.2018.14282'!$Q$2:$Q$29,MATCH("2018::jama.2018.14282::C016",'C_jama.2018.14282'!$A$2:$A$29,0)))</x:f>
      </x:c>
    </x:row>
    <x:row r="62" ht="65" customHeight="1">
      <x:c r="A62" s="6" t="n">
        <x:v>2018</x:v>
      </x:c>
      <x:c r="B62" s="6" t="str">
        <x:v>jama.2018.14282</x:v>
      </x:c>
      <x:c r="C62" s="6" t="str">
        <x:v>2018::jama.2018.14282::C017</x:v>
      </x:c>
      <x:c r="D62" s="6" t="str">
        <x:v>S_W</x:v>
      </x:c>
      <x:c r="E62" s="6" t="n">
        <x:f>Setup!$B$2</x:f>
        <x:v>0</x:v>
      </x:c>
      <x:c r="F62" s="6" t="str">
        <x:f>IF(Setup!$B$4="","",Setup!$B$4)</x:f>
      </x:c>
      <x:c r="G62" s="6" t="str">
        <x:f>IFERROR(INDEX('C_jama.2018.14282'!$G$2:$G$29,MATCH("2018::jama.2018.14282::C017",'C_jama.2018.14282'!$A$2:$A$29,0)),"CHECK KEY")</x:f>
        <x:v>CHECK REVIEWER IDs</x:v>
      </x:c>
      <x:c r="H62" s="6" t="str">
        <x:f>IF(G62&lt;&gt;"FINAL READY","",IF(S62&lt;&gt;"retain","not_eligible",IF(D62="P_R","protocol_descriptive",IF(D62="P_P","plan_descriptive",IF(AND(T62="statistical_results",OR(U62="confirmed_issue",U62="probable_issue"),V62="substantive"),"primary_temporal",IF(AND(T62="report_internal_inconsistency",X62="substantive_inconsistency"),"secondary_temporal","not_eligible"))))))</x:f>
      </x:c>
      <x:c r="I62" s="6" t="str">
        <x:v>retain</x:v>
      </x:c>
      <x:c r="J62" s="6" t="str">
        <x:v>report_internal_inconsistency</x:v>
      </x:c>
      <x:c r="K62" s="6" t="str">
        <x:f>IF(Setup!$B$6="primary","",IFERROR(IF(INDEX('Primary_snapshot'!$B$2:$B$120,MATCH(C62,'Primary_snapshot'!$A$2:$A$120,0))="","",INDEX('Primary_snapshot'!$B$2:$B$120,MATCH(C62,'Primary_snapshot'!$A$2:$A$120,0))),"SNAPSHOT MISSING"))</x:f>
      </x:c>
      <x:c r="L62" s="6" t="str">
        <x:f>IF(Setup!$B$6="primary","",IFERROR(IF(INDEX('Primary_snapshot'!$C$2:$C$120,MATCH(C62,'Primary_snapshot'!$A$2:$A$120,0))="","",INDEX('Primary_snapshot'!$C$2:$C$120,MATCH(C62,'Primary_snapshot'!$A$2:$A$120,0))),"SNAPSHOT MISSING"))</x:f>
      </x:c>
      <x:c r="M62" s="6" t="str">
        <x:f>IF(Setup!$B$6="primary","",IFERROR(IF(INDEX('Primary_snapshot'!$D$2:$D$120,MATCH(C62,'Primary_snapshot'!$A$2:$A$120,0))="","",INDEX('Primary_snapshot'!$D$2:$D$120,MATCH(C62,'Primary_snapshot'!$A$2:$A$120,0))),"SNAPSHOT MISSING"))</x:f>
      </x:c>
      <x:c r="N62" s="6" t="str">
        <x:f>IF(Setup!$B$6="primary","",IFERROR(IF(INDEX('Primary_snapshot'!$E$2:$E$120,MATCH(C62,'Primary_snapshot'!$A$2:$A$120,0))="","",INDEX('Primary_snapshot'!$E$2:$E$120,MATCH(C62,'Primary_snapshot'!$A$2:$A$120,0))),"SNAPSHOT MISSING"))</x:f>
      </x:c>
      <x:c r="O62" s="6" t="str">
        <x:f>IF(Setup!$B$6="primary","",IFERROR(IF(INDEX('Primary_snapshot'!$F$2:$F$120,MATCH(C62,'Primary_snapshot'!$A$2:$A$120,0))="","",INDEX('Primary_snapshot'!$F$2:$F$120,MATCH(C62,'Primary_snapshot'!$A$2:$A$120,0))),"SNAPSHOT MISSING"))</x:f>
      </x:c>
      <x:c r="P62" s="6" t="str">
        <x:f>IF(Setup!$B$6="primary","",IFERROR(IF(INDEX('Primary_snapshot'!$G$2:$G$120,MATCH(C62,'Primary_snapshot'!$A$2:$A$120,0))="","",INDEX('Primary_snapshot'!$G$2:$G$120,MATCH(C62,'Primary_snapshot'!$A$2:$A$120,0))),"SNAPSHOT MISSING"))</x:f>
      </x:c>
      <x:c r="Q62" s="6" t="str">
        <x:f>IF(Setup!$B$6="primary","",IFERROR(IF(INDEX('Primary_snapshot'!$H$2:$H$120,MATCH(C62,'Primary_snapshot'!$A$2:$A$120,0))="","",INDEX('Primary_snapshot'!$H$2:$H$120,MATCH(C62,'Primary_snapshot'!$A$2:$A$120,0))),"SNAPSHOT MISSING"))</x:f>
      </x:c>
      <x:c r="R62" s="6" t="str">
        <x:f>IF(Setup!$B$6="primary","",IFERROR(IF(INDEX('Primary_snapshot'!$I$2:$I$120,MATCH(C62,'Primary_snapshot'!$A$2:$A$120,0))="","",INDEX('Primary_snapshot'!$I$2:$I$120,MATCH(C62,'Primary_snapshot'!$A$2:$A$120,0))),"SNAPSHOT MISSING"))</x:f>
      </x:c>
      <x:c r="S62" s="6" t="str">
        <x:f>IF(INDEX('C_jama.2018.14282'!$D$2:$D$29,MATCH("2018::jama.2018.14282::C017",'C_jama.2018.14282'!$A$2:$A$29,0))="","",INDEX('C_jama.2018.14282'!$D$2:$D$29,MATCH("2018::jama.2018.14282::C017",'C_jama.2018.14282'!$A$2:$A$29,0)))</x:f>
      </x:c>
      <x:c r="T62" s="6" t="str">
        <x:f>IF(INDEX('C_jama.2018.14282'!$E$2:$E$29,MATCH("2018::jama.2018.14282::C017",'C_jama.2018.14282'!$A$2:$A$29,0))="","",INDEX('C_jama.2018.14282'!$E$2:$E$29,MATCH("2018::jama.2018.14282::C017",'C_jama.2018.14282'!$A$2:$A$29,0)))</x:f>
        <x:v>report_internal_inconsistency</x:v>
      </x:c>
      <x:c r="U62" s="6" t="str">
        <x:f>IF(AND(INDEX('C_jama.2018.14282'!$D$2:$D$29,MATCH("2018::jama.2018.14282::C017",'C_jama.2018.14282'!$A$2:$A$29,0))="retain",INDEX('C_jama.2018.14282'!$E$2:$E$29,MATCH("2018::jama.2018.14282::C017",'C_jama.2018.14282'!$A$2:$A$29,0))="statistical_results"),IF(INDEX('C_jama.2018.14282'!$H$2:$H$29,MATCH("2018::jama.2018.14282::C017",'C_jama.2018.14282'!$A$2:$A$29,0))="","",INDEX('C_jama.2018.14282'!$H$2:$H$29,MATCH("2018::jama.2018.14282::C017",'C_jama.2018.14282'!$A$2:$A$29,0))),"not_applicable")</x:f>
        <x:v>not_applicable</x:v>
      </x:c>
      <x:c r="V62" s="6" t="str">
        <x:f>IF(AND(INDEX('C_jama.2018.14282'!$D$2:$D$29,MATCH("2018::jama.2018.14282::C017",'C_jama.2018.14282'!$A$2:$A$29,0))="retain",INDEX('C_jama.2018.14282'!$E$2:$E$29,MATCH("2018::jama.2018.14282::C017",'C_jama.2018.14282'!$A$2:$A$29,0))="statistical_results"),IF(INDEX('C_jama.2018.14282'!$I$2:$I$29,MATCH("2018::jama.2018.14282::C017",'C_jama.2018.14282'!$A$2:$A$29,0))="","",INDEX('C_jama.2018.14282'!$I$2:$I$29,MATCH("2018::jama.2018.14282::C017",'C_jama.2018.14282'!$A$2:$A$29,0))),"not_applicable")</x:f>
        <x:v>not_applicable</x:v>
      </x:c>
      <x:c r="W62" s="6" t="str">
        <x:f>IF(AND(INDEX('C_jama.2018.14282'!$D$2:$D$29,MATCH("2018::jama.2018.14282::C017",'C_jama.2018.14282'!$A$2:$A$29,0))="retain",INDEX('C_jama.2018.14282'!$E$2:$E$29,MATCH("2018::jama.2018.14282::C017",'C_jama.2018.14282'!$A$2:$A$29,0))="statistical_results"),IF(INDEX('C_jama.2018.14282'!$J$2:$J$29,MATCH("2018::jama.2018.14282::C017",'C_jama.2018.14282'!$A$2:$A$29,0))="","",INDEX('C_jama.2018.14282'!$J$2:$J$29,MATCH("2018::jama.2018.14282::C017",'C_jama.2018.14282'!$A$2:$A$29,0))),"not_applicable")</x:f>
        <x:v>not_applicable</x:v>
      </x:c>
      <x:c r="X62" s="6" t="str">
        <x:f>IF(AND(INDEX('C_jama.2018.14282'!$D$2:$D$29,MATCH("2018::jama.2018.14282::C017",'C_jama.2018.14282'!$A$2:$A$29,0))="retain",OR(INDEX('C_jama.2018.14282'!$E$2:$E$29,MATCH("2018::jama.2018.14282::C017",'C_jama.2018.14282'!$A$2:$A$29,0))="report_internal_inconsistency",INDEX('C_jama.2018.14282'!$E$2:$E$29,MATCH("2018::jama.2018.14282::C017",'C_jama.2018.14282'!$A$2:$A$29,0))="plan_material")),IF(INDEX('C_jama.2018.14282'!$K$2:$K$29,MATCH("2018::jama.2018.14282::C017",'C_jama.2018.14282'!$A$2:$A$29,0))="","",INDEX('C_jama.2018.14282'!$K$2:$K$29,MATCH("2018::jama.2018.14282::C017",'C_jama.2018.14282'!$A$2:$A$29,0))),"not_applicable")</x:f>
        <x:v>not_applicable</x:v>
      </x:c>
      <x:c r="Y62" s="6" t="str">
        <x:f>IF(AND(INDEX('C_jama.2018.14282'!$D$2:$D$29,MATCH("2018::jama.2018.14282::C017",'C_jama.2018.14282'!$A$2:$A$29,0))="retain",INDEX('C_jama.2018.14282'!$E$2:$E$29,MATCH("2018::jama.2018.14282::C017",'C_jama.2018.14282'!$A$2:$A$29,0))="protocol_report"),IF(INDEX('C_jama.2018.14282'!$L$2:$L$29,MATCH("2018::jama.2018.14282::C017",'C_jama.2018.14282'!$A$2:$A$29,0))="","",INDEX('C_jama.2018.14282'!$L$2:$L$29,MATCH("2018::jama.2018.14282::C017",'C_jama.2018.14282'!$A$2:$A$29,0))),"not_applicable")</x:f>
        <x:v>not_applicable</x:v>
      </x:c>
      <x:c r="Z62" s="6" t="str">
        <x:f>IF(INDEX('C_jama.2018.14282'!$R$2:$R$29,MATCH("2018::jama.2018.14282::C017",'C_jama.2018.14282'!$A$2:$A$29,0))="","",INDEX('C_jama.2018.14282'!$R$2:$R$29,MATCH("2018::jama.2018.14282::C017",'C_jama.2018.14282'!$A$2:$A$29,0)))</x:f>
      </x:c>
      <x:c r="AA62" s="6" t="str">
        <x:f>IF(INDEX('C_jama.2018.14282'!$N$2:$N$29,MATCH("2018::jama.2018.14282::C017",'C_jama.2018.14282'!$A$2:$A$29,0))="","",INDEX('C_jama.2018.14282'!$N$2:$N$29,MATCH("2018::jama.2018.14282::C017",'C_jama.2018.14282'!$A$2:$A$29,0)))</x:f>
      </x:c>
      <x:c r="AB62" s="6" t="str">
        <x:f>IF(INDEX('C_jama.2018.14282'!$O$2:$O$29,MATCH("2018::jama.2018.14282::C017",'C_jama.2018.14282'!$A$2:$A$29,0))="","",INDEX('C_jama.2018.14282'!$O$2:$O$29,MATCH("2018::jama.2018.14282::C017",'C_jama.2018.14282'!$A$2:$A$29,0)))</x:f>
      </x:c>
      <x:c r="AC62" s="6" t="str">
        <x:f>IF(INDEX('C_jama.2018.14282'!$P$2:$P$29,MATCH("2018::jama.2018.14282::C017",'C_jama.2018.14282'!$A$2:$A$29,0))="","",INDEX('C_jama.2018.14282'!$P$2:$P$29,MATCH("2018::jama.2018.14282::C017",'C_jama.2018.14282'!$A$2:$A$29,0)))</x:f>
      </x:c>
      <x:c r="AD62" s="6" t="str">
        <x:f>IF(INDEX('C_jama.2018.14282'!$Q$2:$Q$29,MATCH("2018::jama.2018.14282::C017",'C_jama.2018.14282'!$A$2:$A$29,0))="","",INDEX('C_jama.2018.14282'!$Q$2:$Q$29,MATCH("2018::jama.2018.14282::C017",'C_jama.2018.14282'!$A$2:$A$29,0)))</x:f>
      </x:c>
    </x:row>
    <x:row r="63" ht="65" customHeight="1">
      <x:c r="A63" s="3" t="n">
        <x:v>2018</x:v>
      </x:c>
      <x:c r="B63" s="3" t="str">
        <x:v>jama.2018.14282</x:v>
      </x:c>
      <x:c r="C63" s="3" t="str">
        <x:v>2018::jama.2018.14282::C018</x:v>
      </x:c>
      <x:c r="D63" s="3" t="str">
        <x:v>S_W</x:v>
      </x:c>
      <x:c r="E63" s="3" t="n">
        <x:f>Setup!$B$2</x:f>
        <x:v>0</x:v>
      </x:c>
      <x:c r="F63" s="3" t="str">
        <x:f>IF(Setup!$B$4="","",Setup!$B$4)</x:f>
      </x:c>
      <x:c r="G63" s="3" t="str">
        <x:f>IFERROR(INDEX('C_jama.2018.14282'!$G$2:$G$29,MATCH("2018::jama.2018.14282::C018",'C_jama.2018.14282'!$A$2:$A$29,0)),"CHECK KEY")</x:f>
        <x:v>CHECK REVIEWER IDs</x:v>
      </x:c>
      <x:c r="H63" s="3" t="str">
        <x:f>IF(G63&lt;&gt;"FINAL READY","",IF(S63&lt;&gt;"retain","not_eligible",IF(D63="P_R","protocol_descriptive",IF(D63="P_P","plan_descriptive",IF(AND(T63="statistical_results",OR(U63="confirmed_issue",U63="probable_issue"),V63="substantive"),"primary_temporal",IF(AND(T63="report_internal_inconsistency",X63="substantive_inconsistency"),"secondary_temporal","not_eligible"))))))</x:f>
      </x:c>
      <x:c r="I63" s="3" t="str">
        <x:v>retain</x:v>
      </x:c>
      <x:c r="J63" s="3" t="str">
        <x:v>statistical_results</x:v>
      </x:c>
      <x:c r="K63" s="3" t="str">
        <x:f>IF(Setup!$B$6="primary","",IFERROR(IF(INDEX('Primary_snapshot'!$B$2:$B$120,MATCH(C63,'Primary_snapshot'!$A$2:$A$120,0))="","",INDEX('Primary_snapshot'!$B$2:$B$120,MATCH(C63,'Primary_snapshot'!$A$2:$A$120,0))),"SNAPSHOT MISSING"))</x:f>
      </x:c>
      <x:c r="L63" s="3" t="str">
        <x:f>IF(Setup!$B$6="primary","",IFERROR(IF(INDEX('Primary_snapshot'!$C$2:$C$120,MATCH(C63,'Primary_snapshot'!$A$2:$A$120,0))="","",INDEX('Primary_snapshot'!$C$2:$C$120,MATCH(C63,'Primary_snapshot'!$A$2:$A$120,0))),"SNAPSHOT MISSING"))</x:f>
      </x:c>
      <x:c r="M63" s="3" t="str">
        <x:f>IF(Setup!$B$6="primary","",IFERROR(IF(INDEX('Primary_snapshot'!$D$2:$D$120,MATCH(C63,'Primary_snapshot'!$A$2:$A$120,0))="","",INDEX('Primary_snapshot'!$D$2:$D$120,MATCH(C63,'Primary_snapshot'!$A$2:$A$120,0))),"SNAPSHOT MISSING"))</x:f>
      </x:c>
      <x:c r="N63" s="3" t="str">
        <x:f>IF(Setup!$B$6="primary","",IFERROR(IF(INDEX('Primary_snapshot'!$E$2:$E$120,MATCH(C63,'Primary_snapshot'!$A$2:$A$120,0))="","",INDEX('Primary_snapshot'!$E$2:$E$120,MATCH(C63,'Primary_snapshot'!$A$2:$A$120,0))),"SNAPSHOT MISSING"))</x:f>
      </x:c>
      <x:c r="O63" s="3" t="str">
        <x:f>IF(Setup!$B$6="primary","",IFERROR(IF(INDEX('Primary_snapshot'!$F$2:$F$120,MATCH(C63,'Primary_snapshot'!$A$2:$A$120,0))="","",INDEX('Primary_snapshot'!$F$2:$F$120,MATCH(C63,'Primary_snapshot'!$A$2:$A$120,0))),"SNAPSHOT MISSING"))</x:f>
      </x:c>
      <x:c r="P63" s="3" t="str">
        <x:f>IF(Setup!$B$6="primary","",IFERROR(IF(INDEX('Primary_snapshot'!$G$2:$G$120,MATCH(C63,'Primary_snapshot'!$A$2:$A$120,0))="","",INDEX('Primary_snapshot'!$G$2:$G$120,MATCH(C63,'Primary_snapshot'!$A$2:$A$120,0))),"SNAPSHOT MISSING"))</x:f>
      </x:c>
      <x:c r="Q63" s="3" t="str">
        <x:f>IF(Setup!$B$6="primary","",IFERROR(IF(INDEX('Primary_snapshot'!$H$2:$H$120,MATCH(C63,'Primary_snapshot'!$A$2:$A$120,0))="","",INDEX('Primary_snapshot'!$H$2:$H$120,MATCH(C63,'Primary_snapshot'!$A$2:$A$120,0))),"SNAPSHOT MISSING"))</x:f>
      </x:c>
      <x:c r="R63" s="3" t="str">
        <x:f>IF(Setup!$B$6="primary","",IFERROR(IF(INDEX('Primary_snapshot'!$I$2:$I$120,MATCH(C63,'Primary_snapshot'!$A$2:$A$120,0))="","",INDEX('Primary_snapshot'!$I$2:$I$120,MATCH(C63,'Primary_snapshot'!$A$2:$A$120,0))),"SNAPSHOT MISSING"))</x:f>
      </x:c>
      <x:c r="S63" s="3" t="str">
        <x:f>IF(INDEX('C_jama.2018.14282'!$D$2:$D$29,MATCH("2018::jama.2018.14282::C018",'C_jama.2018.14282'!$A$2:$A$29,0))="","",INDEX('C_jama.2018.14282'!$D$2:$D$29,MATCH("2018::jama.2018.14282::C018",'C_jama.2018.14282'!$A$2:$A$29,0)))</x:f>
      </x:c>
      <x:c r="T63" s="3" t="str">
        <x:f>IF(INDEX('C_jama.2018.14282'!$E$2:$E$29,MATCH("2018::jama.2018.14282::C018",'C_jama.2018.14282'!$A$2:$A$29,0))="","",INDEX('C_jama.2018.14282'!$E$2:$E$29,MATCH("2018::jama.2018.14282::C018",'C_jama.2018.14282'!$A$2:$A$29,0)))</x:f>
        <x:v>statistical_results</x:v>
      </x:c>
      <x:c r="U63" s="3" t="str">
        <x:f>IF(AND(INDEX('C_jama.2018.14282'!$D$2:$D$29,MATCH("2018::jama.2018.14282::C018",'C_jama.2018.14282'!$A$2:$A$29,0))="retain",INDEX('C_jama.2018.14282'!$E$2:$E$29,MATCH("2018::jama.2018.14282::C018",'C_jama.2018.14282'!$A$2:$A$29,0))="statistical_results"),IF(INDEX('C_jama.2018.14282'!$H$2:$H$29,MATCH("2018::jama.2018.14282::C018",'C_jama.2018.14282'!$A$2:$A$29,0))="","",INDEX('C_jama.2018.14282'!$H$2:$H$29,MATCH("2018::jama.2018.14282::C018",'C_jama.2018.14282'!$A$2:$A$29,0))),"not_applicable")</x:f>
        <x:v>not_applicable</x:v>
      </x:c>
      <x:c r="V63" s="3" t="str">
        <x:f>IF(AND(INDEX('C_jama.2018.14282'!$D$2:$D$29,MATCH("2018::jama.2018.14282::C018",'C_jama.2018.14282'!$A$2:$A$29,0))="retain",INDEX('C_jama.2018.14282'!$E$2:$E$29,MATCH("2018::jama.2018.14282::C018",'C_jama.2018.14282'!$A$2:$A$29,0))="statistical_results"),IF(INDEX('C_jama.2018.14282'!$I$2:$I$29,MATCH("2018::jama.2018.14282::C018",'C_jama.2018.14282'!$A$2:$A$29,0))="","",INDEX('C_jama.2018.14282'!$I$2:$I$29,MATCH("2018::jama.2018.14282::C018",'C_jama.2018.14282'!$A$2:$A$29,0))),"not_applicable")</x:f>
        <x:v>not_applicable</x:v>
      </x:c>
      <x:c r="W63" s="3" t="str">
        <x:f>IF(AND(INDEX('C_jama.2018.14282'!$D$2:$D$29,MATCH("2018::jama.2018.14282::C018",'C_jama.2018.14282'!$A$2:$A$29,0))="retain",INDEX('C_jama.2018.14282'!$E$2:$E$29,MATCH("2018::jama.2018.14282::C018",'C_jama.2018.14282'!$A$2:$A$29,0))="statistical_results"),IF(INDEX('C_jama.2018.14282'!$J$2:$J$29,MATCH("2018::jama.2018.14282::C018",'C_jama.2018.14282'!$A$2:$A$29,0))="","",INDEX('C_jama.2018.14282'!$J$2:$J$29,MATCH("2018::jama.2018.14282::C018",'C_jama.2018.14282'!$A$2:$A$29,0))),"not_applicable")</x:f>
        <x:v>not_applicable</x:v>
      </x:c>
      <x:c r="X63" s="3" t="str">
        <x:f>IF(AND(INDEX('C_jama.2018.14282'!$D$2:$D$29,MATCH("2018::jama.2018.14282::C018",'C_jama.2018.14282'!$A$2:$A$29,0))="retain",OR(INDEX('C_jama.2018.14282'!$E$2:$E$29,MATCH("2018::jama.2018.14282::C018",'C_jama.2018.14282'!$A$2:$A$29,0))="report_internal_inconsistency",INDEX('C_jama.2018.14282'!$E$2:$E$29,MATCH("2018::jama.2018.14282::C018",'C_jama.2018.14282'!$A$2:$A$29,0))="plan_material")),IF(INDEX('C_jama.2018.14282'!$K$2:$K$29,MATCH("2018::jama.2018.14282::C018",'C_jama.2018.14282'!$A$2:$A$29,0))="","",INDEX('C_jama.2018.14282'!$K$2:$K$29,MATCH("2018::jama.2018.14282::C018",'C_jama.2018.14282'!$A$2:$A$29,0))),"not_applicable")</x:f>
        <x:v>not_applicable</x:v>
      </x:c>
      <x:c r="Y63" s="3" t="str">
        <x:f>IF(AND(INDEX('C_jama.2018.14282'!$D$2:$D$29,MATCH("2018::jama.2018.14282::C018",'C_jama.2018.14282'!$A$2:$A$29,0))="retain",INDEX('C_jama.2018.14282'!$E$2:$E$29,MATCH("2018::jama.2018.14282::C018",'C_jama.2018.14282'!$A$2:$A$29,0))="protocol_report"),IF(INDEX('C_jama.2018.14282'!$L$2:$L$29,MATCH("2018::jama.2018.14282::C018",'C_jama.2018.14282'!$A$2:$A$29,0))="","",INDEX('C_jama.2018.14282'!$L$2:$L$29,MATCH("2018::jama.2018.14282::C018",'C_jama.2018.14282'!$A$2:$A$29,0))),"not_applicable")</x:f>
        <x:v>not_applicable</x:v>
      </x:c>
      <x:c r="Z63" s="3" t="str">
        <x:f>IF(INDEX('C_jama.2018.14282'!$R$2:$R$29,MATCH("2018::jama.2018.14282::C018",'C_jama.2018.14282'!$A$2:$A$29,0))="","",INDEX('C_jama.2018.14282'!$R$2:$R$29,MATCH("2018::jama.2018.14282::C018",'C_jama.2018.14282'!$A$2:$A$29,0)))</x:f>
      </x:c>
      <x:c r="AA63" s="3" t="str">
        <x:f>IF(INDEX('C_jama.2018.14282'!$N$2:$N$29,MATCH("2018::jama.2018.14282::C018",'C_jama.2018.14282'!$A$2:$A$29,0))="","",INDEX('C_jama.2018.14282'!$N$2:$N$29,MATCH("2018::jama.2018.14282::C018",'C_jama.2018.14282'!$A$2:$A$29,0)))</x:f>
      </x:c>
      <x:c r="AB63" s="3" t="str">
        <x:f>IF(INDEX('C_jama.2018.14282'!$O$2:$O$29,MATCH("2018::jama.2018.14282::C018",'C_jama.2018.14282'!$A$2:$A$29,0))="","",INDEX('C_jama.2018.14282'!$O$2:$O$29,MATCH("2018::jama.2018.14282::C018",'C_jama.2018.14282'!$A$2:$A$29,0)))</x:f>
      </x:c>
      <x:c r="AC63" s="3" t="str">
        <x:f>IF(INDEX('C_jama.2018.14282'!$P$2:$P$29,MATCH("2018::jama.2018.14282::C018",'C_jama.2018.14282'!$A$2:$A$29,0))="","",INDEX('C_jama.2018.14282'!$P$2:$P$29,MATCH("2018::jama.2018.14282::C018",'C_jama.2018.14282'!$A$2:$A$29,0)))</x:f>
      </x:c>
      <x:c r="AD63" s="3" t="str">
        <x:f>IF(INDEX('C_jama.2018.14282'!$Q$2:$Q$29,MATCH("2018::jama.2018.14282::C018",'C_jama.2018.14282'!$A$2:$A$29,0))="","",INDEX('C_jama.2018.14282'!$Q$2:$Q$29,MATCH("2018::jama.2018.14282::C018",'C_jama.2018.14282'!$A$2:$A$29,0)))</x:f>
      </x:c>
    </x:row>
    <x:row r="64" ht="65" customHeight="1">
      <x:c r="A64" s="6" t="n">
        <x:v>2018</x:v>
      </x:c>
      <x:c r="B64" s="6" t="str">
        <x:v>jama.2018.14282</x:v>
      </x:c>
      <x:c r="C64" s="6" t="str">
        <x:v>2018::jama.2018.14282::C019</x:v>
      </x:c>
      <x:c r="D64" s="6" t="str">
        <x:v>S_W</x:v>
      </x:c>
      <x:c r="E64" s="6" t="n">
        <x:f>Setup!$B$2</x:f>
        <x:v>0</x:v>
      </x:c>
      <x:c r="F64" s="6" t="str">
        <x:f>IF(Setup!$B$4="","",Setup!$B$4)</x:f>
      </x:c>
      <x:c r="G64" s="6" t="str">
        <x:f>IFERROR(INDEX('C_jama.2018.14282'!$G$2:$G$29,MATCH("2018::jama.2018.14282::C019",'C_jama.2018.14282'!$A$2:$A$29,0)),"CHECK KEY")</x:f>
        <x:v>CHECK REVIEWER IDs</x:v>
      </x:c>
      <x:c r="H64" s="6" t="str">
        <x:f>IF(G64&lt;&gt;"FINAL READY","",IF(S64&lt;&gt;"retain","not_eligible",IF(D64="P_R","protocol_descriptive",IF(D64="P_P","plan_descriptive",IF(AND(T64="statistical_results",OR(U64="confirmed_issue",U64="probable_issue"),V64="substantive"),"primary_temporal",IF(AND(T64="report_internal_inconsistency",X64="substantive_inconsistency"),"secondary_temporal","not_eligible"))))))</x:f>
      </x:c>
      <x:c r="I64" s="6" t="str">
        <x:v>retain</x:v>
      </x:c>
      <x:c r="J64" s="6" t="str">
        <x:v>statistical_results</x:v>
      </x:c>
      <x:c r="K64" s="6" t="str">
        <x:f>IF(Setup!$B$6="primary","",IFERROR(IF(INDEX('Primary_snapshot'!$B$2:$B$120,MATCH(C64,'Primary_snapshot'!$A$2:$A$120,0))="","",INDEX('Primary_snapshot'!$B$2:$B$120,MATCH(C64,'Primary_snapshot'!$A$2:$A$120,0))),"SNAPSHOT MISSING"))</x:f>
      </x:c>
      <x:c r="L64" s="6" t="str">
        <x:f>IF(Setup!$B$6="primary","",IFERROR(IF(INDEX('Primary_snapshot'!$C$2:$C$120,MATCH(C64,'Primary_snapshot'!$A$2:$A$120,0))="","",INDEX('Primary_snapshot'!$C$2:$C$120,MATCH(C64,'Primary_snapshot'!$A$2:$A$120,0))),"SNAPSHOT MISSING"))</x:f>
      </x:c>
      <x:c r="M64" s="6" t="str">
        <x:f>IF(Setup!$B$6="primary","",IFERROR(IF(INDEX('Primary_snapshot'!$D$2:$D$120,MATCH(C64,'Primary_snapshot'!$A$2:$A$120,0))="","",INDEX('Primary_snapshot'!$D$2:$D$120,MATCH(C64,'Primary_snapshot'!$A$2:$A$120,0))),"SNAPSHOT MISSING"))</x:f>
      </x:c>
      <x:c r="N64" s="6" t="str">
        <x:f>IF(Setup!$B$6="primary","",IFERROR(IF(INDEX('Primary_snapshot'!$E$2:$E$120,MATCH(C64,'Primary_snapshot'!$A$2:$A$120,0))="","",INDEX('Primary_snapshot'!$E$2:$E$120,MATCH(C64,'Primary_snapshot'!$A$2:$A$120,0))),"SNAPSHOT MISSING"))</x:f>
      </x:c>
      <x:c r="O64" s="6" t="str">
        <x:f>IF(Setup!$B$6="primary","",IFERROR(IF(INDEX('Primary_snapshot'!$F$2:$F$120,MATCH(C64,'Primary_snapshot'!$A$2:$A$120,0))="","",INDEX('Primary_snapshot'!$F$2:$F$120,MATCH(C64,'Primary_snapshot'!$A$2:$A$120,0))),"SNAPSHOT MISSING"))</x:f>
      </x:c>
      <x:c r="P64" s="6" t="str">
        <x:f>IF(Setup!$B$6="primary","",IFERROR(IF(INDEX('Primary_snapshot'!$G$2:$G$120,MATCH(C64,'Primary_snapshot'!$A$2:$A$120,0))="","",INDEX('Primary_snapshot'!$G$2:$G$120,MATCH(C64,'Primary_snapshot'!$A$2:$A$120,0))),"SNAPSHOT MISSING"))</x:f>
      </x:c>
      <x:c r="Q64" s="6" t="str">
        <x:f>IF(Setup!$B$6="primary","",IFERROR(IF(INDEX('Primary_snapshot'!$H$2:$H$120,MATCH(C64,'Primary_snapshot'!$A$2:$A$120,0))="","",INDEX('Primary_snapshot'!$H$2:$H$120,MATCH(C64,'Primary_snapshot'!$A$2:$A$120,0))),"SNAPSHOT MISSING"))</x:f>
      </x:c>
      <x:c r="R64" s="6" t="str">
        <x:f>IF(Setup!$B$6="primary","",IFERROR(IF(INDEX('Primary_snapshot'!$I$2:$I$120,MATCH(C64,'Primary_snapshot'!$A$2:$A$120,0))="","",INDEX('Primary_snapshot'!$I$2:$I$120,MATCH(C64,'Primary_snapshot'!$A$2:$A$120,0))),"SNAPSHOT MISSING"))</x:f>
      </x:c>
      <x:c r="S64" s="6" t="str">
        <x:f>IF(INDEX('C_jama.2018.14282'!$D$2:$D$29,MATCH("2018::jama.2018.14282::C019",'C_jama.2018.14282'!$A$2:$A$29,0))="","",INDEX('C_jama.2018.14282'!$D$2:$D$29,MATCH("2018::jama.2018.14282::C019",'C_jama.2018.14282'!$A$2:$A$29,0)))</x:f>
      </x:c>
      <x:c r="T64" s="6" t="str">
        <x:f>IF(INDEX('C_jama.2018.14282'!$E$2:$E$29,MATCH("2018::jama.2018.14282::C019",'C_jama.2018.14282'!$A$2:$A$29,0))="","",INDEX('C_jama.2018.14282'!$E$2:$E$29,MATCH("2018::jama.2018.14282::C019",'C_jama.2018.14282'!$A$2:$A$29,0)))</x:f>
        <x:v>statistical_results</x:v>
      </x:c>
      <x:c r="U64" s="6" t="str">
        <x:f>IF(AND(INDEX('C_jama.2018.14282'!$D$2:$D$29,MATCH("2018::jama.2018.14282::C019",'C_jama.2018.14282'!$A$2:$A$29,0))="retain",INDEX('C_jama.2018.14282'!$E$2:$E$29,MATCH("2018::jama.2018.14282::C019",'C_jama.2018.14282'!$A$2:$A$29,0))="statistical_results"),IF(INDEX('C_jama.2018.14282'!$H$2:$H$29,MATCH("2018::jama.2018.14282::C019",'C_jama.2018.14282'!$A$2:$A$29,0))="","",INDEX('C_jama.2018.14282'!$H$2:$H$29,MATCH("2018::jama.2018.14282::C019",'C_jama.2018.14282'!$A$2:$A$29,0))),"not_applicable")</x:f>
        <x:v>not_applicable</x:v>
      </x:c>
      <x:c r="V64" s="6" t="str">
        <x:f>IF(AND(INDEX('C_jama.2018.14282'!$D$2:$D$29,MATCH("2018::jama.2018.14282::C019",'C_jama.2018.14282'!$A$2:$A$29,0))="retain",INDEX('C_jama.2018.14282'!$E$2:$E$29,MATCH("2018::jama.2018.14282::C019",'C_jama.2018.14282'!$A$2:$A$29,0))="statistical_results"),IF(INDEX('C_jama.2018.14282'!$I$2:$I$29,MATCH("2018::jama.2018.14282::C019",'C_jama.2018.14282'!$A$2:$A$29,0))="","",INDEX('C_jama.2018.14282'!$I$2:$I$29,MATCH("2018::jama.2018.14282::C019",'C_jama.2018.14282'!$A$2:$A$29,0))),"not_applicable")</x:f>
        <x:v>not_applicable</x:v>
      </x:c>
      <x:c r="W64" s="6" t="str">
        <x:f>IF(AND(INDEX('C_jama.2018.14282'!$D$2:$D$29,MATCH("2018::jama.2018.14282::C019",'C_jama.2018.14282'!$A$2:$A$29,0))="retain",INDEX('C_jama.2018.14282'!$E$2:$E$29,MATCH("2018::jama.2018.14282::C019",'C_jama.2018.14282'!$A$2:$A$29,0))="statistical_results"),IF(INDEX('C_jama.2018.14282'!$J$2:$J$29,MATCH("2018::jama.2018.14282::C019",'C_jama.2018.14282'!$A$2:$A$29,0))="","",INDEX('C_jama.2018.14282'!$J$2:$J$29,MATCH("2018::jama.2018.14282::C019",'C_jama.2018.14282'!$A$2:$A$29,0))),"not_applicable")</x:f>
        <x:v>not_applicable</x:v>
      </x:c>
      <x:c r="X64" s="6" t="str">
        <x:f>IF(AND(INDEX('C_jama.2018.14282'!$D$2:$D$29,MATCH("2018::jama.2018.14282::C019",'C_jama.2018.14282'!$A$2:$A$29,0))="retain",OR(INDEX('C_jama.2018.14282'!$E$2:$E$29,MATCH("2018::jama.2018.14282::C019",'C_jama.2018.14282'!$A$2:$A$29,0))="report_internal_inconsistency",INDEX('C_jama.2018.14282'!$E$2:$E$29,MATCH("2018::jama.2018.14282::C019",'C_jama.2018.14282'!$A$2:$A$29,0))="plan_material")),IF(INDEX('C_jama.2018.14282'!$K$2:$K$29,MATCH("2018::jama.2018.14282::C019",'C_jama.2018.14282'!$A$2:$A$29,0))="","",INDEX('C_jama.2018.14282'!$K$2:$K$29,MATCH("2018::jama.2018.14282::C019",'C_jama.2018.14282'!$A$2:$A$29,0))),"not_applicable")</x:f>
        <x:v>not_applicable</x:v>
      </x:c>
      <x:c r="Y64" s="6" t="str">
        <x:f>IF(AND(INDEX('C_jama.2018.14282'!$D$2:$D$29,MATCH("2018::jama.2018.14282::C019",'C_jama.2018.14282'!$A$2:$A$29,0))="retain",INDEX('C_jama.2018.14282'!$E$2:$E$29,MATCH("2018::jama.2018.14282::C019",'C_jama.2018.14282'!$A$2:$A$29,0))="protocol_report"),IF(INDEX('C_jama.2018.14282'!$L$2:$L$29,MATCH("2018::jama.2018.14282::C019",'C_jama.2018.14282'!$A$2:$A$29,0))="","",INDEX('C_jama.2018.14282'!$L$2:$L$29,MATCH("2018::jama.2018.14282::C019",'C_jama.2018.14282'!$A$2:$A$29,0))),"not_applicable")</x:f>
        <x:v>not_applicable</x:v>
      </x:c>
      <x:c r="Z64" s="6" t="str">
        <x:f>IF(INDEX('C_jama.2018.14282'!$R$2:$R$29,MATCH("2018::jama.2018.14282::C019",'C_jama.2018.14282'!$A$2:$A$29,0))="","",INDEX('C_jama.2018.14282'!$R$2:$R$29,MATCH("2018::jama.2018.14282::C019",'C_jama.2018.14282'!$A$2:$A$29,0)))</x:f>
      </x:c>
      <x:c r="AA64" s="6" t="str">
        <x:f>IF(INDEX('C_jama.2018.14282'!$N$2:$N$29,MATCH("2018::jama.2018.14282::C019",'C_jama.2018.14282'!$A$2:$A$29,0))="","",INDEX('C_jama.2018.14282'!$N$2:$N$29,MATCH("2018::jama.2018.14282::C019",'C_jama.2018.14282'!$A$2:$A$29,0)))</x:f>
      </x:c>
      <x:c r="AB64" s="6" t="str">
        <x:f>IF(INDEX('C_jama.2018.14282'!$O$2:$O$29,MATCH("2018::jama.2018.14282::C019",'C_jama.2018.14282'!$A$2:$A$29,0))="","",INDEX('C_jama.2018.14282'!$O$2:$O$29,MATCH("2018::jama.2018.14282::C019",'C_jama.2018.14282'!$A$2:$A$29,0)))</x:f>
      </x:c>
      <x:c r="AC64" s="6" t="str">
        <x:f>IF(INDEX('C_jama.2018.14282'!$P$2:$P$29,MATCH("2018::jama.2018.14282::C019",'C_jama.2018.14282'!$A$2:$A$29,0))="","",INDEX('C_jama.2018.14282'!$P$2:$P$29,MATCH("2018::jama.2018.14282::C019",'C_jama.2018.14282'!$A$2:$A$29,0)))</x:f>
      </x:c>
      <x:c r="AD64" s="6" t="str">
        <x:f>IF(INDEX('C_jama.2018.14282'!$Q$2:$Q$29,MATCH("2018::jama.2018.14282::C019",'C_jama.2018.14282'!$A$2:$A$29,0))="","",INDEX('C_jama.2018.14282'!$Q$2:$Q$29,MATCH("2018::jama.2018.14282::C019",'C_jama.2018.14282'!$A$2:$A$29,0)))</x:f>
      </x:c>
    </x:row>
    <x:row r="65" ht="65" customHeight="1">
      <x:c r="A65" s="3" t="n">
        <x:v>2018</x:v>
      </x:c>
      <x:c r="B65" s="3" t="str">
        <x:v>jama.2018.14282</x:v>
      </x:c>
      <x:c r="C65" s="3" t="str">
        <x:v>2018::jama.2018.14282::C020</x:v>
      </x:c>
      <x:c r="D65" s="3" t="str">
        <x:v>S_W</x:v>
      </x:c>
      <x:c r="E65" s="3" t="n">
        <x:f>Setup!$B$2</x:f>
        <x:v>0</x:v>
      </x:c>
      <x:c r="F65" s="3" t="str">
        <x:f>IF(Setup!$B$4="","",Setup!$B$4)</x:f>
      </x:c>
      <x:c r="G65" s="3" t="str">
        <x:f>IFERROR(INDEX('C_jama.2018.14282'!$G$2:$G$29,MATCH("2018::jama.2018.14282::C020",'C_jama.2018.14282'!$A$2:$A$29,0)),"CHECK KEY")</x:f>
        <x:v>CHECK REVIEWER IDs</x:v>
      </x:c>
      <x:c r="H65" s="3" t="str">
        <x:f>IF(G65&lt;&gt;"FINAL READY","",IF(S65&lt;&gt;"retain","not_eligible",IF(D65="P_R","protocol_descriptive",IF(D65="P_P","plan_descriptive",IF(AND(T65="statistical_results",OR(U65="confirmed_issue",U65="probable_issue"),V65="substantive"),"primary_temporal",IF(AND(T65="report_internal_inconsistency",X65="substantive_inconsistency"),"secondary_temporal","not_eligible"))))))</x:f>
      </x:c>
      <x:c r="I65" s="3" t="str">
        <x:v>retain</x:v>
      </x:c>
      <x:c r="J65" s="3" t="str">
        <x:v>statistical_results</x:v>
      </x:c>
      <x:c r="K65" s="3" t="str">
        <x:f>IF(Setup!$B$6="primary","",IFERROR(IF(INDEX('Primary_snapshot'!$B$2:$B$120,MATCH(C65,'Primary_snapshot'!$A$2:$A$120,0))="","",INDEX('Primary_snapshot'!$B$2:$B$120,MATCH(C65,'Primary_snapshot'!$A$2:$A$120,0))),"SNAPSHOT MISSING"))</x:f>
      </x:c>
      <x:c r="L65" s="3" t="str">
        <x:f>IF(Setup!$B$6="primary","",IFERROR(IF(INDEX('Primary_snapshot'!$C$2:$C$120,MATCH(C65,'Primary_snapshot'!$A$2:$A$120,0))="","",INDEX('Primary_snapshot'!$C$2:$C$120,MATCH(C65,'Primary_snapshot'!$A$2:$A$120,0))),"SNAPSHOT MISSING"))</x:f>
      </x:c>
      <x:c r="M65" s="3" t="str">
        <x:f>IF(Setup!$B$6="primary","",IFERROR(IF(INDEX('Primary_snapshot'!$D$2:$D$120,MATCH(C65,'Primary_snapshot'!$A$2:$A$120,0))="","",INDEX('Primary_snapshot'!$D$2:$D$120,MATCH(C65,'Primary_snapshot'!$A$2:$A$120,0))),"SNAPSHOT MISSING"))</x:f>
      </x:c>
      <x:c r="N65" s="3" t="str">
        <x:f>IF(Setup!$B$6="primary","",IFERROR(IF(INDEX('Primary_snapshot'!$E$2:$E$120,MATCH(C65,'Primary_snapshot'!$A$2:$A$120,0))="","",INDEX('Primary_snapshot'!$E$2:$E$120,MATCH(C65,'Primary_snapshot'!$A$2:$A$120,0))),"SNAPSHOT MISSING"))</x:f>
      </x:c>
      <x:c r="O65" s="3" t="str">
        <x:f>IF(Setup!$B$6="primary","",IFERROR(IF(INDEX('Primary_snapshot'!$F$2:$F$120,MATCH(C65,'Primary_snapshot'!$A$2:$A$120,0))="","",INDEX('Primary_snapshot'!$F$2:$F$120,MATCH(C65,'Primary_snapshot'!$A$2:$A$120,0))),"SNAPSHOT MISSING"))</x:f>
      </x:c>
      <x:c r="P65" s="3" t="str">
        <x:f>IF(Setup!$B$6="primary","",IFERROR(IF(INDEX('Primary_snapshot'!$G$2:$G$120,MATCH(C65,'Primary_snapshot'!$A$2:$A$120,0))="","",INDEX('Primary_snapshot'!$G$2:$G$120,MATCH(C65,'Primary_snapshot'!$A$2:$A$120,0))),"SNAPSHOT MISSING"))</x:f>
      </x:c>
      <x:c r="Q65" s="3" t="str">
        <x:f>IF(Setup!$B$6="primary","",IFERROR(IF(INDEX('Primary_snapshot'!$H$2:$H$120,MATCH(C65,'Primary_snapshot'!$A$2:$A$120,0))="","",INDEX('Primary_snapshot'!$H$2:$H$120,MATCH(C65,'Primary_snapshot'!$A$2:$A$120,0))),"SNAPSHOT MISSING"))</x:f>
      </x:c>
      <x:c r="R65" s="3" t="str">
        <x:f>IF(Setup!$B$6="primary","",IFERROR(IF(INDEX('Primary_snapshot'!$I$2:$I$120,MATCH(C65,'Primary_snapshot'!$A$2:$A$120,0))="","",INDEX('Primary_snapshot'!$I$2:$I$120,MATCH(C65,'Primary_snapshot'!$A$2:$A$120,0))),"SNAPSHOT MISSING"))</x:f>
      </x:c>
      <x:c r="S65" s="3" t="str">
        <x:f>IF(INDEX('C_jama.2018.14282'!$D$2:$D$29,MATCH("2018::jama.2018.14282::C020",'C_jama.2018.14282'!$A$2:$A$29,0))="","",INDEX('C_jama.2018.14282'!$D$2:$D$29,MATCH("2018::jama.2018.14282::C020",'C_jama.2018.14282'!$A$2:$A$29,0)))</x:f>
      </x:c>
      <x:c r="T65" s="3" t="str">
        <x:f>IF(INDEX('C_jama.2018.14282'!$E$2:$E$29,MATCH("2018::jama.2018.14282::C020",'C_jama.2018.14282'!$A$2:$A$29,0))="","",INDEX('C_jama.2018.14282'!$E$2:$E$29,MATCH("2018::jama.2018.14282::C020",'C_jama.2018.14282'!$A$2:$A$29,0)))</x:f>
        <x:v>statistical_results</x:v>
      </x:c>
      <x:c r="U65" s="3" t="str">
        <x:f>IF(AND(INDEX('C_jama.2018.14282'!$D$2:$D$29,MATCH("2018::jama.2018.14282::C020",'C_jama.2018.14282'!$A$2:$A$29,0))="retain",INDEX('C_jama.2018.14282'!$E$2:$E$29,MATCH("2018::jama.2018.14282::C020",'C_jama.2018.14282'!$A$2:$A$29,0))="statistical_results"),IF(INDEX('C_jama.2018.14282'!$H$2:$H$29,MATCH("2018::jama.2018.14282::C020",'C_jama.2018.14282'!$A$2:$A$29,0))="","",INDEX('C_jama.2018.14282'!$H$2:$H$29,MATCH("2018::jama.2018.14282::C020",'C_jama.2018.14282'!$A$2:$A$29,0))),"not_applicable")</x:f>
        <x:v>not_applicable</x:v>
      </x:c>
      <x:c r="V65" s="3" t="str">
        <x:f>IF(AND(INDEX('C_jama.2018.14282'!$D$2:$D$29,MATCH("2018::jama.2018.14282::C020",'C_jama.2018.14282'!$A$2:$A$29,0))="retain",INDEX('C_jama.2018.14282'!$E$2:$E$29,MATCH("2018::jama.2018.14282::C020",'C_jama.2018.14282'!$A$2:$A$29,0))="statistical_results"),IF(INDEX('C_jama.2018.14282'!$I$2:$I$29,MATCH("2018::jama.2018.14282::C020",'C_jama.2018.14282'!$A$2:$A$29,0))="","",INDEX('C_jama.2018.14282'!$I$2:$I$29,MATCH("2018::jama.2018.14282::C020",'C_jama.2018.14282'!$A$2:$A$29,0))),"not_applicable")</x:f>
        <x:v>not_applicable</x:v>
      </x:c>
      <x:c r="W65" s="3" t="str">
        <x:f>IF(AND(INDEX('C_jama.2018.14282'!$D$2:$D$29,MATCH("2018::jama.2018.14282::C020",'C_jama.2018.14282'!$A$2:$A$29,0))="retain",INDEX('C_jama.2018.14282'!$E$2:$E$29,MATCH("2018::jama.2018.14282::C020",'C_jama.2018.14282'!$A$2:$A$29,0))="statistical_results"),IF(INDEX('C_jama.2018.14282'!$J$2:$J$29,MATCH("2018::jama.2018.14282::C020",'C_jama.2018.14282'!$A$2:$A$29,0))="","",INDEX('C_jama.2018.14282'!$J$2:$J$29,MATCH("2018::jama.2018.14282::C020",'C_jama.2018.14282'!$A$2:$A$29,0))),"not_applicable")</x:f>
        <x:v>not_applicable</x:v>
      </x:c>
      <x:c r="X65" s="3" t="str">
        <x:f>IF(AND(INDEX('C_jama.2018.14282'!$D$2:$D$29,MATCH("2018::jama.2018.14282::C020",'C_jama.2018.14282'!$A$2:$A$29,0))="retain",OR(INDEX('C_jama.2018.14282'!$E$2:$E$29,MATCH("2018::jama.2018.14282::C020",'C_jama.2018.14282'!$A$2:$A$29,0))="report_internal_inconsistency",INDEX('C_jama.2018.14282'!$E$2:$E$29,MATCH("2018::jama.2018.14282::C020",'C_jama.2018.14282'!$A$2:$A$29,0))="plan_material")),IF(INDEX('C_jama.2018.14282'!$K$2:$K$29,MATCH("2018::jama.2018.14282::C020",'C_jama.2018.14282'!$A$2:$A$29,0))="","",INDEX('C_jama.2018.14282'!$K$2:$K$29,MATCH("2018::jama.2018.14282::C020",'C_jama.2018.14282'!$A$2:$A$29,0))),"not_applicable")</x:f>
        <x:v>not_applicable</x:v>
      </x:c>
      <x:c r="Y65" s="3" t="str">
        <x:f>IF(AND(INDEX('C_jama.2018.14282'!$D$2:$D$29,MATCH("2018::jama.2018.14282::C020",'C_jama.2018.14282'!$A$2:$A$29,0))="retain",INDEX('C_jama.2018.14282'!$E$2:$E$29,MATCH("2018::jama.2018.14282::C020",'C_jama.2018.14282'!$A$2:$A$29,0))="protocol_report"),IF(INDEX('C_jama.2018.14282'!$L$2:$L$29,MATCH("2018::jama.2018.14282::C020",'C_jama.2018.14282'!$A$2:$A$29,0))="","",INDEX('C_jama.2018.14282'!$L$2:$L$29,MATCH("2018::jama.2018.14282::C020",'C_jama.2018.14282'!$A$2:$A$29,0))),"not_applicable")</x:f>
        <x:v>not_applicable</x:v>
      </x:c>
      <x:c r="Z65" s="3" t="str">
        <x:f>IF(INDEX('C_jama.2018.14282'!$R$2:$R$29,MATCH("2018::jama.2018.14282::C020",'C_jama.2018.14282'!$A$2:$A$29,0))="","",INDEX('C_jama.2018.14282'!$R$2:$R$29,MATCH("2018::jama.2018.14282::C020",'C_jama.2018.14282'!$A$2:$A$29,0)))</x:f>
      </x:c>
      <x:c r="AA65" s="3" t="str">
        <x:f>IF(INDEX('C_jama.2018.14282'!$N$2:$N$29,MATCH("2018::jama.2018.14282::C020",'C_jama.2018.14282'!$A$2:$A$29,0))="","",INDEX('C_jama.2018.14282'!$N$2:$N$29,MATCH("2018::jama.2018.14282::C020",'C_jama.2018.14282'!$A$2:$A$29,0)))</x:f>
      </x:c>
      <x:c r="AB65" s="3" t="str">
        <x:f>IF(INDEX('C_jama.2018.14282'!$O$2:$O$29,MATCH("2018::jama.2018.14282::C020",'C_jama.2018.14282'!$A$2:$A$29,0))="","",INDEX('C_jama.2018.14282'!$O$2:$O$29,MATCH("2018::jama.2018.14282::C020",'C_jama.2018.14282'!$A$2:$A$29,0)))</x:f>
      </x:c>
      <x:c r="AC65" s="3" t="str">
        <x:f>IF(INDEX('C_jama.2018.14282'!$P$2:$P$29,MATCH("2018::jama.2018.14282::C020",'C_jama.2018.14282'!$A$2:$A$29,0))="","",INDEX('C_jama.2018.14282'!$P$2:$P$29,MATCH("2018::jama.2018.14282::C020",'C_jama.2018.14282'!$A$2:$A$29,0)))</x:f>
      </x:c>
      <x:c r="AD65" s="3" t="str">
        <x:f>IF(INDEX('C_jama.2018.14282'!$Q$2:$Q$29,MATCH("2018::jama.2018.14282::C020",'C_jama.2018.14282'!$A$2:$A$29,0))="","",INDEX('C_jama.2018.14282'!$Q$2:$Q$29,MATCH("2018::jama.2018.14282::C020",'C_jama.2018.14282'!$A$2:$A$29,0)))</x:f>
      </x:c>
    </x:row>
    <x:row r="66" ht="65" customHeight="1">
      <x:c r="A66" s="6" t="n">
        <x:v>2018</x:v>
      </x:c>
      <x:c r="B66" s="6" t="str">
        <x:v>jama.2018.14282</x:v>
      </x:c>
      <x:c r="C66" s="6" t="str">
        <x:v>2018::jama.2018.14282::C021</x:v>
      </x:c>
      <x:c r="D66" s="6" t="str">
        <x:v>S_W</x:v>
      </x:c>
      <x:c r="E66" s="6" t="n">
        <x:f>Setup!$B$2</x:f>
        <x:v>0</x:v>
      </x:c>
      <x:c r="F66" s="6" t="str">
        <x:f>IF(Setup!$B$4="","",Setup!$B$4)</x:f>
      </x:c>
      <x:c r="G66" s="6" t="str">
        <x:f>IFERROR(INDEX('C_jama.2018.14282'!$G$2:$G$29,MATCH("2018::jama.2018.14282::C021",'C_jama.2018.14282'!$A$2:$A$29,0)),"CHECK KEY")</x:f>
        <x:v>CHECK REVIEWER IDs</x:v>
      </x:c>
      <x:c r="H66" s="6" t="str">
        <x:f>IF(G66&lt;&gt;"FINAL READY","",IF(S66&lt;&gt;"retain","not_eligible",IF(D66="P_R","protocol_descriptive",IF(D66="P_P","plan_descriptive",IF(AND(T66="statistical_results",OR(U66="confirmed_issue",U66="probable_issue"),V66="substantive"),"primary_temporal",IF(AND(T66="report_internal_inconsistency",X66="substantive_inconsistency"),"secondary_temporal","not_eligible"))))))</x:f>
      </x:c>
      <x:c r="I66" s="6" t="str">
        <x:v>retain</x:v>
      </x:c>
      <x:c r="J66" s="6" t="str">
        <x:v>statistical_results</x:v>
      </x:c>
      <x:c r="K66" s="6" t="str">
        <x:f>IF(Setup!$B$6="primary","",IFERROR(IF(INDEX('Primary_snapshot'!$B$2:$B$120,MATCH(C66,'Primary_snapshot'!$A$2:$A$120,0))="","",INDEX('Primary_snapshot'!$B$2:$B$120,MATCH(C66,'Primary_snapshot'!$A$2:$A$120,0))),"SNAPSHOT MISSING"))</x:f>
      </x:c>
      <x:c r="L66" s="6" t="str">
        <x:f>IF(Setup!$B$6="primary","",IFERROR(IF(INDEX('Primary_snapshot'!$C$2:$C$120,MATCH(C66,'Primary_snapshot'!$A$2:$A$120,0))="","",INDEX('Primary_snapshot'!$C$2:$C$120,MATCH(C66,'Primary_snapshot'!$A$2:$A$120,0))),"SNAPSHOT MISSING"))</x:f>
      </x:c>
      <x:c r="M66" s="6" t="str">
        <x:f>IF(Setup!$B$6="primary","",IFERROR(IF(INDEX('Primary_snapshot'!$D$2:$D$120,MATCH(C66,'Primary_snapshot'!$A$2:$A$120,0))="","",INDEX('Primary_snapshot'!$D$2:$D$120,MATCH(C66,'Primary_snapshot'!$A$2:$A$120,0))),"SNAPSHOT MISSING"))</x:f>
      </x:c>
      <x:c r="N66" s="6" t="str">
        <x:f>IF(Setup!$B$6="primary","",IFERROR(IF(INDEX('Primary_snapshot'!$E$2:$E$120,MATCH(C66,'Primary_snapshot'!$A$2:$A$120,0))="","",INDEX('Primary_snapshot'!$E$2:$E$120,MATCH(C66,'Primary_snapshot'!$A$2:$A$120,0))),"SNAPSHOT MISSING"))</x:f>
      </x:c>
      <x:c r="O66" s="6" t="str">
        <x:f>IF(Setup!$B$6="primary","",IFERROR(IF(INDEX('Primary_snapshot'!$F$2:$F$120,MATCH(C66,'Primary_snapshot'!$A$2:$A$120,0))="","",INDEX('Primary_snapshot'!$F$2:$F$120,MATCH(C66,'Primary_snapshot'!$A$2:$A$120,0))),"SNAPSHOT MISSING"))</x:f>
      </x:c>
      <x:c r="P66" s="6" t="str">
        <x:f>IF(Setup!$B$6="primary","",IFERROR(IF(INDEX('Primary_snapshot'!$G$2:$G$120,MATCH(C66,'Primary_snapshot'!$A$2:$A$120,0))="","",INDEX('Primary_snapshot'!$G$2:$G$120,MATCH(C66,'Primary_snapshot'!$A$2:$A$120,0))),"SNAPSHOT MISSING"))</x:f>
      </x:c>
      <x:c r="Q66" s="6" t="str">
        <x:f>IF(Setup!$B$6="primary","",IFERROR(IF(INDEX('Primary_snapshot'!$H$2:$H$120,MATCH(C66,'Primary_snapshot'!$A$2:$A$120,0))="","",INDEX('Primary_snapshot'!$H$2:$H$120,MATCH(C66,'Primary_snapshot'!$A$2:$A$120,0))),"SNAPSHOT MISSING"))</x:f>
      </x:c>
      <x:c r="R66" s="6" t="str">
        <x:f>IF(Setup!$B$6="primary","",IFERROR(IF(INDEX('Primary_snapshot'!$I$2:$I$120,MATCH(C66,'Primary_snapshot'!$A$2:$A$120,0))="","",INDEX('Primary_snapshot'!$I$2:$I$120,MATCH(C66,'Primary_snapshot'!$A$2:$A$120,0))),"SNAPSHOT MISSING"))</x:f>
      </x:c>
      <x:c r="S66" s="6" t="str">
        <x:f>IF(INDEX('C_jama.2018.14282'!$D$2:$D$29,MATCH("2018::jama.2018.14282::C021",'C_jama.2018.14282'!$A$2:$A$29,0))="","",INDEX('C_jama.2018.14282'!$D$2:$D$29,MATCH("2018::jama.2018.14282::C021",'C_jama.2018.14282'!$A$2:$A$29,0)))</x:f>
      </x:c>
      <x:c r="T66" s="6" t="str">
        <x:f>IF(INDEX('C_jama.2018.14282'!$E$2:$E$29,MATCH("2018::jama.2018.14282::C021",'C_jama.2018.14282'!$A$2:$A$29,0))="","",INDEX('C_jama.2018.14282'!$E$2:$E$29,MATCH("2018::jama.2018.14282::C021",'C_jama.2018.14282'!$A$2:$A$29,0)))</x:f>
        <x:v>statistical_results</x:v>
      </x:c>
      <x:c r="U66" s="6" t="str">
        <x:f>IF(AND(INDEX('C_jama.2018.14282'!$D$2:$D$29,MATCH("2018::jama.2018.14282::C021",'C_jama.2018.14282'!$A$2:$A$29,0))="retain",INDEX('C_jama.2018.14282'!$E$2:$E$29,MATCH("2018::jama.2018.14282::C021",'C_jama.2018.14282'!$A$2:$A$29,0))="statistical_results"),IF(INDEX('C_jama.2018.14282'!$H$2:$H$29,MATCH("2018::jama.2018.14282::C021",'C_jama.2018.14282'!$A$2:$A$29,0))="","",INDEX('C_jama.2018.14282'!$H$2:$H$29,MATCH("2018::jama.2018.14282::C021",'C_jama.2018.14282'!$A$2:$A$29,0))),"not_applicable")</x:f>
        <x:v>not_applicable</x:v>
      </x:c>
      <x:c r="V66" s="6" t="str">
        <x:f>IF(AND(INDEX('C_jama.2018.14282'!$D$2:$D$29,MATCH("2018::jama.2018.14282::C021",'C_jama.2018.14282'!$A$2:$A$29,0))="retain",INDEX('C_jama.2018.14282'!$E$2:$E$29,MATCH("2018::jama.2018.14282::C021",'C_jama.2018.14282'!$A$2:$A$29,0))="statistical_results"),IF(INDEX('C_jama.2018.14282'!$I$2:$I$29,MATCH("2018::jama.2018.14282::C021",'C_jama.2018.14282'!$A$2:$A$29,0))="","",INDEX('C_jama.2018.14282'!$I$2:$I$29,MATCH("2018::jama.2018.14282::C021",'C_jama.2018.14282'!$A$2:$A$29,0))),"not_applicable")</x:f>
        <x:v>not_applicable</x:v>
      </x:c>
      <x:c r="W66" s="6" t="str">
        <x:f>IF(AND(INDEX('C_jama.2018.14282'!$D$2:$D$29,MATCH("2018::jama.2018.14282::C021",'C_jama.2018.14282'!$A$2:$A$29,0))="retain",INDEX('C_jama.2018.14282'!$E$2:$E$29,MATCH("2018::jama.2018.14282::C021",'C_jama.2018.14282'!$A$2:$A$29,0))="statistical_results"),IF(INDEX('C_jama.2018.14282'!$J$2:$J$29,MATCH("2018::jama.2018.14282::C021",'C_jama.2018.14282'!$A$2:$A$29,0))="","",INDEX('C_jama.2018.14282'!$J$2:$J$29,MATCH("2018::jama.2018.14282::C021",'C_jama.2018.14282'!$A$2:$A$29,0))),"not_applicable")</x:f>
        <x:v>not_applicable</x:v>
      </x:c>
      <x:c r="X66" s="6" t="str">
        <x:f>IF(AND(INDEX('C_jama.2018.14282'!$D$2:$D$29,MATCH("2018::jama.2018.14282::C021",'C_jama.2018.14282'!$A$2:$A$29,0))="retain",OR(INDEX('C_jama.2018.14282'!$E$2:$E$29,MATCH("2018::jama.2018.14282::C021",'C_jama.2018.14282'!$A$2:$A$29,0))="report_internal_inconsistency",INDEX('C_jama.2018.14282'!$E$2:$E$29,MATCH("2018::jama.2018.14282::C021",'C_jama.2018.14282'!$A$2:$A$29,0))="plan_material")),IF(INDEX('C_jama.2018.14282'!$K$2:$K$29,MATCH("2018::jama.2018.14282::C021",'C_jama.2018.14282'!$A$2:$A$29,0))="","",INDEX('C_jama.2018.14282'!$K$2:$K$29,MATCH("2018::jama.2018.14282::C021",'C_jama.2018.14282'!$A$2:$A$29,0))),"not_applicable")</x:f>
        <x:v>not_applicable</x:v>
      </x:c>
      <x:c r="Y66" s="6" t="str">
        <x:f>IF(AND(INDEX('C_jama.2018.14282'!$D$2:$D$29,MATCH("2018::jama.2018.14282::C021",'C_jama.2018.14282'!$A$2:$A$29,0))="retain",INDEX('C_jama.2018.14282'!$E$2:$E$29,MATCH("2018::jama.2018.14282::C021",'C_jama.2018.14282'!$A$2:$A$29,0))="protocol_report"),IF(INDEX('C_jama.2018.14282'!$L$2:$L$29,MATCH("2018::jama.2018.14282::C021",'C_jama.2018.14282'!$A$2:$A$29,0))="","",INDEX('C_jama.2018.14282'!$L$2:$L$29,MATCH("2018::jama.2018.14282::C021",'C_jama.2018.14282'!$A$2:$A$29,0))),"not_applicable")</x:f>
        <x:v>not_applicable</x:v>
      </x:c>
      <x:c r="Z66" s="6" t="str">
        <x:f>IF(INDEX('C_jama.2018.14282'!$R$2:$R$29,MATCH("2018::jama.2018.14282::C021",'C_jama.2018.14282'!$A$2:$A$29,0))="","",INDEX('C_jama.2018.14282'!$R$2:$R$29,MATCH("2018::jama.2018.14282::C021",'C_jama.2018.14282'!$A$2:$A$29,0)))</x:f>
      </x:c>
      <x:c r="AA66" s="6" t="str">
        <x:f>IF(INDEX('C_jama.2018.14282'!$N$2:$N$29,MATCH("2018::jama.2018.14282::C021",'C_jama.2018.14282'!$A$2:$A$29,0))="","",INDEX('C_jama.2018.14282'!$N$2:$N$29,MATCH("2018::jama.2018.14282::C021",'C_jama.2018.14282'!$A$2:$A$29,0)))</x:f>
      </x:c>
      <x:c r="AB66" s="6" t="str">
        <x:f>IF(INDEX('C_jama.2018.14282'!$O$2:$O$29,MATCH("2018::jama.2018.14282::C021",'C_jama.2018.14282'!$A$2:$A$29,0))="","",INDEX('C_jama.2018.14282'!$O$2:$O$29,MATCH("2018::jama.2018.14282::C021",'C_jama.2018.14282'!$A$2:$A$29,0)))</x:f>
      </x:c>
      <x:c r="AC66" s="6" t="str">
        <x:f>IF(INDEX('C_jama.2018.14282'!$P$2:$P$29,MATCH("2018::jama.2018.14282::C021",'C_jama.2018.14282'!$A$2:$A$29,0))="","",INDEX('C_jama.2018.14282'!$P$2:$P$29,MATCH("2018::jama.2018.14282::C021",'C_jama.2018.14282'!$A$2:$A$29,0)))</x:f>
      </x:c>
      <x:c r="AD66" s="6" t="str">
        <x:f>IF(INDEX('C_jama.2018.14282'!$Q$2:$Q$29,MATCH("2018::jama.2018.14282::C021",'C_jama.2018.14282'!$A$2:$A$29,0))="","",INDEX('C_jama.2018.14282'!$Q$2:$Q$29,MATCH("2018::jama.2018.14282::C021",'C_jama.2018.14282'!$A$2:$A$29,0)))</x:f>
      </x:c>
    </x:row>
    <x:row r="67" ht="65" customHeight="1">
      <x:c r="A67" s="3" t="n">
        <x:v>2018</x:v>
      </x:c>
      <x:c r="B67" s="3" t="str">
        <x:v>jama.2018.14282</x:v>
      </x:c>
      <x:c r="C67" s="3" t="str">
        <x:v>2018::jama.2018.14282::C022</x:v>
      </x:c>
      <x:c r="D67" s="3" t="str">
        <x:v>S_C</x:v>
      </x:c>
      <x:c r="E67" s="3" t="n">
        <x:f>Setup!$B$2</x:f>
        <x:v>0</x:v>
      </x:c>
      <x:c r="F67" s="3" t="str">
        <x:f>IF(Setup!$B$4="","",Setup!$B$4)</x:f>
      </x:c>
      <x:c r="G67" s="3" t="str">
        <x:f>IFERROR(INDEX('C_jama.2018.14282'!$G$2:$G$29,MATCH("2018::jama.2018.14282::C022",'C_jama.2018.14282'!$A$2:$A$29,0)),"CHECK KEY")</x:f>
        <x:v>CHECK REVIEWER IDs</x:v>
      </x:c>
      <x:c r="H67" s="3" t="str">
        <x:f>IF(G67&lt;&gt;"FINAL READY","",IF(S67&lt;&gt;"retain","not_eligible",IF(D67="P_R","protocol_descriptive",IF(D67="P_P","plan_descriptive",IF(AND(T67="statistical_results",OR(U67="confirmed_issue",U67="probable_issue"),V67="substantive"),"primary_temporal",IF(AND(T67="report_internal_inconsistency",X67="substantive_inconsistency"),"secondary_temporal","not_eligible"))))))</x:f>
      </x:c>
      <x:c r="I67" s="3" t="str">
        <x:v>retain</x:v>
      </x:c>
      <x:c r="J67" s="3" t="str">
        <x:v>statistical_results</x:v>
      </x:c>
      <x:c r="K67" s="3" t="str">
        <x:f>IF(Setup!$B$6="primary","",IFERROR(IF(INDEX('Primary_snapshot'!$B$2:$B$120,MATCH(C67,'Primary_snapshot'!$A$2:$A$120,0))="","",INDEX('Primary_snapshot'!$B$2:$B$120,MATCH(C67,'Primary_snapshot'!$A$2:$A$120,0))),"SNAPSHOT MISSING"))</x:f>
      </x:c>
      <x:c r="L67" s="3" t="str">
        <x:f>IF(Setup!$B$6="primary","",IFERROR(IF(INDEX('Primary_snapshot'!$C$2:$C$120,MATCH(C67,'Primary_snapshot'!$A$2:$A$120,0))="","",INDEX('Primary_snapshot'!$C$2:$C$120,MATCH(C67,'Primary_snapshot'!$A$2:$A$120,0))),"SNAPSHOT MISSING"))</x:f>
      </x:c>
      <x:c r="M67" s="3" t="str">
        <x:f>IF(Setup!$B$6="primary","",IFERROR(IF(INDEX('Primary_snapshot'!$D$2:$D$120,MATCH(C67,'Primary_snapshot'!$A$2:$A$120,0))="","",INDEX('Primary_snapshot'!$D$2:$D$120,MATCH(C67,'Primary_snapshot'!$A$2:$A$120,0))),"SNAPSHOT MISSING"))</x:f>
      </x:c>
      <x:c r="N67" s="3" t="str">
        <x:f>IF(Setup!$B$6="primary","",IFERROR(IF(INDEX('Primary_snapshot'!$E$2:$E$120,MATCH(C67,'Primary_snapshot'!$A$2:$A$120,0))="","",INDEX('Primary_snapshot'!$E$2:$E$120,MATCH(C67,'Primary_snapshot'!$A$2:$A$120,0))),"SNAPSHOT MISSING"))</x:f>
      </x:c>
      <x:c r="O67" s="3" t="str">
        <x:f>IF(Setup!$B$6="primary","",IFERROR(IF(INDEX('Primary_snapshot'!$F$2:$F$120,MATCH(C67,'Primary_snapshot'!$A$2:$A$120,0))="","",INDEX('Primary_snapshot'!$F$2:$F$120,MATCH(C67,'Primary_snapshot'!$A$2:$A$120,0))),"SNAPSHOT MISSING"))</x:f>
      </x:c>
      <x:c r="P67" s="3" t="str">
        <x:f>IF(Setup!$B$6="primary","",IFERROR(IF(INDEX('Primary_snapshot'!$G$2:$G$120,MATCH(C67,'Primary_snapshot'!$A$2:$A$120,0))="","",INDEX('Primary_snapshot'!$G$2:$G$120,MATCH(C67,'Primary_snapshot'!$A$2:$A$120,0))),"SNAPSHOT MISSING"))</x:f>
      </x:c>
      <x:c r="Q67" s="3" t="str">
        <x:f>IF(Setup!$B$6="primary","",IFERROR(IF(INDEX('Primary_snapshot'!$H$2:$H$120,MATCH(C67,'Primary_snapshot'!$A$2:$A$120,0))="","",INDEX('Primary_snapshot'!$H$2:$H$120,MATCH(C67,'Primary_snapshot'!$A$2:$A$120,0))),"SNAPSHOT MISSING"))</x:f>
      </x:c>
      <x:c r="R67" s="3" t="str">
        <x:f>IF(Setup!$B$6="primary","",IFERROR(IF(INDEX('Primary_snapshot'!$I$2:$I$120,MATCH(C67,'Primary_snapshot'!$A$2:$A$120,0))="","",INDEX('Primary_snapshot'!$I$2:$I$120,MATCH(C67,'Primary_snapshot'!$A$2:$A$120,0))),"SNAPSHOT MISSING"))</x:f>
      </x:c>
      <x:c r="S67" s="3" t="str">
        <x:f>IF(INDEX('C_jama.2018.14282'!$D$2:$D$29,MATCH("2018::jama.2018.14282::C022",'C_jama.2018.14282'!$A$2:$A$29,0))="","",INDEX('C_jama.2018.14282'!$D$2:$D$29,MATCH("2018::jama.2018.14282::C022",'C_jama.2018.14282'!$A$2:$A$29,0)))</x:f>
      </x:c>
      <x:c r="T67" s="3" t="str">
        <x:f>IF(INDEX('C_jama.2018.14282'!$E$2:$E$29,MATCH("2018::jama.2018.14282::C022",'C_jama.2018.14282'!$A$2:$A$29,0))="","",INDEX('C_jama.2018.14282'!$E$2:$E$29,MATCH("2018::jama.2018.14282::C022",'C_jama.2018.14282'!$A$2:$A$29,0)))</x:f>
        <x:v>statistical_results</x:v>
      </x:c>
      <x:c r="U67" s="3" t="str">
        <x:f>IF(AND(INDEX('C_jama.2018.14282'!$D$2:$D$29,MATCH("2018::jama.2018.14282::C022",'C_jama.2018.14282'!$A$2:$A$29,0))="retain",INDEX('C_jama.2018.14282'!$E$2:$E$29,MATCH("2018::jama.2018.14282::C022",'C_jama.2018.14282'!$A$2:$A$29,0))="statistical_results"),IF(INDEX('C_jama.2018.14282'!$H$2:$H$29,MATCH("2018::jama.2018.14282::C022",'C_jama.2018.14282'!$A$2:$A$29,0))="","",INDEX('C_jama.2018.14282'!$H$2:$H$29,MATCH("2018::jama.2018.14282::C022",'C_jama.2018.14282'!$A$2:$A$29,0))),"not_applicable")</x:f>
        <x:v>not_applicable</x:v>
      </x:c>
      <x:c r="V67" s="3" t="str">
        <x:f>IF(AND(INDEX('C_jama.2018.14282'!$D$2:$D$29,MATCH("2018::jama.2018.14282::C022",'C_jama.2018.14282'!$A$2:$A$29,0))="retain",INDEX('C_jama.2018.14282'!$E$2:$E$29,MATCH("2018::jama.2018.14282::C022",'C_jama.2018.14282'!$A$2:$A$29,0))="statistical_results"),IF(INDEX('C_jama.2018.14282'!$I$2:$I$29,MATCH("2018::jama.2018.14282::C022",'C_jama.2018.14282'!$A$2:$A$29,0))="","",INDEX('C_jama.2018.14282'!$I$2:$I$29,MATCH("2018::jama.2018.14282::C022",'C_jama.2018.14282'!$A$2:$A$29,0))),"not_applicable")</x:f>
        <x:v>not_applicable</x:v>
      </x:c>
      <x:c r="W67" s="3" t="str">
        <x:f>IF(AND(INDEX('C_jama.2018.14282'!$D$2:$D$29,MATCH("2018::jama.2018.14282::C022",'C_jama.2018.14282'!$A$2:$A$29,0))="retain",INDEX('C_jama.2018.14282'!$E$2:$E$29,MATCH("2018::jama.2018.14282::C022",'C_jama.2018.14282'!$A$2:$A$29,0))="statistical_results"),IF(INDEX('C_jama.2018.14282'!$J$2:$J$29,MATCH("2018::jama.2018.14282::C022",'C_jama.2018.14282'!$A$2:$A$29,0))="","",INDEX('C_jama.2018.14282'!$J$2:$J$29,MATCH("2018::jama.2018.14282::C022",'C_jama.2018.14282'!$A$2:$A$29,0))),"not_applicable")</x:f>
        <x:v>not_applicable</x:v>
      </x:c>
      <x:c r="X67" s="3" t="str">
        <x:f>IF(AND(INDEX('C_jama.2018.14282'!$D$2:$D$29,MATCH("2018::jama.2018.14282::C022",'C_jama.2018.14282'!$A$2:$A$29,0))="retain",OR(INDEX('C_jama.2018.14282'!$E$2:$E$29,MATCH("2018::jama.2018.14282::C022",'C_jama.2018.14282'!$A$2:$A$29,0))="report_internal_inconsistency",INDEX('C_jama.2018.14282'!$E$2:$E$29,MATCH("2018::jama.2018.14282::C022",'C_jama.2018.14282'!$A$2:$A$29,0))="plan_material")),IF(INDEX('C_jama.2018.14282'!$K$2:$K$29,MATCH("2018::jama.2018.14282::C022",'C_jama.2018.14282'!$A$2:$A$29,0))="","",INDEX('C_jama.2018.14282'!$K$2:$K$29,MATCH("2018::jama.2018.14282::C022",'C_jama.2018.14282'!$A$2:$A$29,0))),"not_applicable")</x:f>
        <x:v>not_applicable</x:v>
      </x:c>
      <x:c r="Y67" s="3" t="str">
        <x:f>IF(AND(INDEX('C_jama.2018.14282'!$D$2:$D$29,MATCH("2018::jama.2018.14282::C022",'C_jama.2018.14282'!$A$2:$A$29,0))="retain",INDEX('C_jama.2018.14282'!$E$2:$E$29,MATCH("2018::jama.2018.14282::C022",'C_jama.2018.14282'!$A$2:$A$29,0))="protocol_report"),IF(INDEX('C_jama.2018.14282'!$L$2:$L$29,MATCH("2018::jama.2018.14282::C022",'C_jama.2018.14282'!$A$2:$A$29,0))="","",INDEX('C_jama.2018.14282'!$L$2:$L$29,MATCH("2018::jama.2018.14282::C022",'C_jama.2018.14282'!$A$2:$A$29,0))),"not_applicable")</x:f>
        <x:v>not_applicable</x:v>
      </x:c>
      <x:c r="Z67" s="3" t="str">
        <x:f>IF(INDEX('C_jama.2018.14282'!$R$2:$R$29,MATCH("2018::jama.2018.14282::C022",'C_jama.2018.14282'!$A$2:$A$29,0))="","",INDEX('C_jama.2018.14282'!$R$2:$R$29,MATCH("2018::jama.2018.14282::C022",'C_jama.2018.14282'!$A$2:$A$29,0)))</x:f>
      </x:c>
      <x:c r="AA67" s="3" t="str">
        <x:f>IF(INDEX('C_jama.2018.14282'!$N$2:$N$29,MATCH("2018::jama.2018.14282::C022",'C_jama.2018.14282'!$A$2:$A$29,0))="","",INDEX('C_jama.2018.14282'!$N$2:$N$29,MATCH("2018::jama.2018.14282::C022",'C_jama.2018.14282'!$A$2:$A$29,0)))</x:f>
      </x:c>
      <x:c r="AB67" s="3" t="str">
        <x:f>IF(INDEX('C_jama.2018.14282'!$O$2:$O$29,MATCH("2018::jama.2018.14282::C022",'C_jama.2018.14282'!$A$2:$A$29,0))="","",INDEX('C_jama.2018.14282'!$O$2:$O$29,MATCH("2018::jama.2018.14282::C022",'C_jama.2018.14282'!$A$2:$A$29,0)))</x:f>
      </x:c>
      <x:c r="AC67" s="3" t="str">
        <x:f>IF(INDEX('C_jama.2018.14282'!$P$2:$P$29,MATCH("2018::jama.2018.14282::C022",'C_jama.2018.14282'!$A$2:$A$29,0))="","",INDEX('C_jama.2018.14282'!$P$2:$P$29,MATCH("2018::jama.2018.14282::C022",'C_jama.2018.14282'!$A$2:$A$29,0)))</x:f>
      </x:c>
      <x:c r="AD67" s="3" t="str">
        <x:f>IF(INDEX('C_jama.2018.14282'!$Q$2:$Q$29,MATCH("2018::jama.2018.14282::C022",'C_jama.2018.14282'!$A$2:$A$29,0))="","",INDEX('C_jama.2018.14282'!$Q$2:$Q$29,MATCH("2018::jama.2018.14282::C022",'C_jama.2018.14282'!$A$2:$A$29,0)))</x:f>
      </x:c>
    </x:row>
    <x:row r="68" ht="65" customHeight="1">
      <x:c r="A68" s="6" t="n">
        <x:v>2018</x:v>
      </x:c>
      <x:c r="B68" s="6" t="str">
        <x:v>jama.2018.14282</x:v>
      </x:c>
      <x:c r="C68" s="6" t="str">
        <x:v>2018::jama.2018.14282::C023</x:v>
      </x:c>
      <x:c r="D68" s="6" t="str">
        <x:v>S_W</x:v>
      </x:c>
      <x:c r="E68" s="6" t="n">
        <x:f>Setup!$B$2</x:f>
        <x:v>0</x:v>
      </x:c>
      <x:c r="F68" s="6" t="str">
        <x:f>IF(Setup!$B$4="","",Setup!$B$4)</x:f>
      </x:c>
      <x:c r="G68" s="6" t="str">
        <x:f>IFERROR(INDEX('C_jama.2018.14282'!$G$2:$G$29,MATCH("2018::jama.2018.14282::C023",'C_jama.2018.14282'!$A$2:$A$29,0)),"CHECK KEY")</x:f>
        <x:v>CHECK REVIEWER IDs</x:v>
      </x:c>
      <x:c r="H68" s="6" t="str">
        <x:f>IF(G68&lt;&gt;"FINAL READY","",IF(S68&lt;&gt;"retain","not_eligible",IF(D68="P_R","protocol_descriptive",IF(D68="P_P","plan_descriptive",IF(AND(T68="statistical_results",OR(U68="confirmed_issue",U68="probable_issue"),V68="substantive"),"primary_temporal",IF(AND(T68="report_internal_inconsistency",X68="substantive_inconsistency"),"secondary_temporal","not_eligible"))))))</x:f>
      </x:c>
      <x:c r="I68" s="6" t="str">
        <x:v>retain</x:v>
      </x:c>
      <x:c r="J68" s="6" t="str">
        <x:v>report_internal_inconsistency</x:v>
      </x:c>
      <x:c r="K68" s="6" t="str">
        <x:f>IF(Setup!$B$6="primary","",IFERROR(IF(INDEX('Primary_snapshot'!$B$2:$B$120,MATCH(C68,'Primary_snapshot'!$A$2:$A$120,0))="","",INDEX('Primary_snapshot'!$B$2:$B$120,MATCH(C68,'Primary_snapshot'!$A$2:$A$120,0))),"SNAPSHOT MISSING"))</x:f>
      </x:c>
      <x:c r="L68" s="6" t="str">
        <x:f>IF(Setup!$B$6="primary","",IFERROR(IF(INDEX('Primary_snapshot'!$C$2:$C$120,MATCH(C68,'Primary_snapshot'!$A$2:$A$120,0))="","",INDEX('Primary_snapshot'!$C$2:$C$120,MATCH(C68,'Primary_snapshot'!$A$2:$A$120,0))),"SNAPSHOT MISSING"))</x:f>
      </x:c>
      <x:c r="M68" s="6" t="str">
        <x:f>IF(Setup!$B$6="primary","",IFERROR(IF(INDEX('Primary_snapshot'!$D$2:$D$120,MATCH(C68,'Primary_snapshot'!$A$2:$A$120,0))="","",INDEX('Primary_snapshot'!$D$2:$D$120,MATCH(C68,'Primary_snapshot'!$A$2:$A$120,0))),"SNAPSHOT MISSING"))</x:f>
      </x:c>
      <x:c r="N68" s="6" t="str">
        <x:f>IF(Setup!$B$6="primary","",IFERROR(IF(INDEX('Primary_snapshot'!$E$2:$E$120,MATCH(C68,'Primary_snapshot'!$A$2:$A$120,0))="","",INDEX('Primary_snapshot'!$E$2:$E$120,MATCH(C68,'Primary_snapshot'!$A$2:$A$120,0))),"SNAPSHOT MISSING"))</x:f>
      </x:c>
      <x:c r="O68" s="6" t="str">
        <x:f>IF(Setup!$B$6="primary","",IFERROR(IF(INDEX('Primary_snapshot'!$F$2:$F$120,MATCH(C68,'Primary_snapshot'!$A$2:$A$120,0))="","",INDEX('Primary_snapshot'!$F$2:$F$120,MATCH(C68,'Primary_snapshot'!$A$2:$A$120,0))),"SNAPSHOT MISSING"))</x:f>
      </x:c>
      <x:c r="P68" s="6" t="str">
        <x:f>IF(Setup!$B$6="primary","",IFERROR(IF(INDEX('Primary_snapshot'!$G$2:$G$120,MATCH(C68,'Primary_snapshot'!$A$2:$A$120,0))="","",INDEX('Primary_snapshot'!$G$2:$G$120,MATCH(C68,'Primary_snapshot'!$A$2:$A$120,0))),"SNAPSHOT MISSING"))</x:f>
      </x:c>
      <x:c r="Q68" s="6" t="str">
        <x:f>IF(Setup!$B$6="primary","",IFERROR(IF(INDEX('Primary_snapshot'!$H$2:$H$120,MATCH(C68,'Primary_snapshot'!$A$2:$A$120,0))="","",INDEX('Primary_snapshot'!$H$2:$H$120,MATCH(C68,'Primary_snapshot'!$A$2:$A$120,0))),"SNAPSHOT MISSING"))</x:f>
      </x:c>
      <x:c r="R68" s="6" t="str">
        <x:f>IF(Setup!$B$6="primary","",IFERROR(IF(INDEX('Primary_snapshot'!$I$2:$I$120,MATCH(C68,'Primary_snapshot'!$A$2:$A$120,0))="","",INDEX('Primary_snapshot'!$I$2:$I$120,MATCH(C68,'Primary_snapshot'!$A$2:$A$120,0))),"SNAPSHOT MISSING"))</x:f>
      </x:c>
      <x:c r="S68" s="6" t="str">
        <x:f>IF(INDEX('C_jama.2018.14282'!$D$2:$D$29,MATCH("2018::jama.2018.14282::C023",'C_jama.2018.14282'!$A$2:$A$29,0))="","",INDEX('C_jama.2018.14282'!$D$2:$D$29,MATCH("2018::jama.2018.14282::C023",'C_jama.2018.14282'!$A$2:$A$29,0)))</x:f>
      </x:c>
      <x:c r="T68" s="6" t="str">
        <x:f>IF(INDEX('C_jama.2018.14282'!$E$2:$E$29,MATCH("2018::jama.2018.14282::C023",'C_jama.2018.14282'!$A$2:$A$29,0))="","",INDEX('C_jama.2018.14282'!$E$2:$E$29,MATCH("2018::jama.2018.14282::C023",'C_jama.2018.14282'!$A$2:$A$29,0)))</x:f>
        <x:v>report_internal_inconsistency</x:v>
      </x:c>
      <x:c r="U68" s="6" t="str">
        <x:f>IF(AND(INDEX('C_jama.2018.14282'!$D$2:$D$29,MATCH("2018::jama.2018.14282::C023",'C_jama.2018.14282'!$A$2:$A$29,0))="retain",INDEX('C_jama.2018.14282'!$E$2:$E$29,MATCH("2018::jama.2018.14282::C023",'C_jama.2018.14282'!$A$2:$A$29,0))="statistical_results"),IF(INDEX('C_jama.2018.14282'!$H$2:$H$29,MATCH("2018::jama.2018.14282::C023",'C_jama.2018.14282'!$A$2:$A$29,0))="","",INDEX('C_jama.2018.14282'!$H$2:$H$29,MATCH("2018::jama.2018.14282::C023",'C_jama.2018.14282'!$A$2:$A$29,0))),"not_applicable")</x:f>
        <x:v>not_applicable</x:v>
      </x:c>
      <x:c r="V68" s="6" t="str">
        <x:f>IF(AND(INDEX('C_jama.2018.14282'!$D$2:$D$29,MATCH("2018::jama.2018.14282::C023",'C_jama.2018.14282'!$A$2:$A$29,0))="retain",INDEX('C_jama.2018.14282'!$E$2:$E$29,MATCH("2018::jama.2018.14282::C023",'C_jama.2018.14282'!$A$2:$A$29,0))="statistical_results"),IF(INDEX('C_jama.2018.14282'!$I$2:$I$29,MATCH("2018::jama.2018.14282::C023",'C_jama.2018.14282'!$A$2:$A$29,0))="","",INDEX('C_jama.2018.14282'!$I$2:$I$29,MATCH("2018::jama.2018.14282::C023",'C_jama.2018.14282'!$A$2:$A$29,0))),"not_applicable")</x:f>
        <x:v>not_applicable</x:v>
      </x:c>
      <x:c r="W68" s="6" t="str">
        <x:f>IF(AND(INDEX('C_jama.2018.14282'!$D$2:$D$29,MATCH("2018::jama.2018.14282::C023",'C_jama.2018.14282'!$A$2:$A$29,0))="retain",INDEX('C_jama.2018.14282'!$E$2:$E$29,MATCH("2018::jama.2018.14282::C023",'C_jama.2018.14282'!$A$2:$A$29,0))="statistical_results"),IF(INDEX('C_jama.2018.14282'!$J$2:$J$29,MATCH("2018::jama.2018.14282::C023",'C_jama.2018.14282'!$A$2:$A$29,0))="","",INDEX('C_jama.2018.14282'!$J$2:$J$29,MATCH("2018::jama.2018.14282::C023",'C_jama.2018.14282'!$A$2:$A$29,0))),"not_applicable")</x:f>
        <x:v>not_applicable</x:v>
      </x:c>
      <x:c r="X68" s="6" t="str">
        <x:f>IF(AND(INDEX('C_jama.2018.14282'!$D$2:$D$29,MATCH("2018::jama.2018.14282::C023",'C_jama.2018.14282'!$A$2:$A$29,0))="retain",OR(INDEX('C_jama.2018.14282'!$E$2:$E$29,MATCH("2018::jama.2018.14282::C023",'C_jama.2018.14282'!$A$2:$A$29,0))="report_internal_inconsistency",INDEX('C_jama.2018.14282'!$E$2:$E$29,MATCH("2018::jama.2018.14282::C023",'C_jama.2018.14282'!$A$2:$A$29,0))="plan_material")),IF(INDEX('C_jama.2018.14282'!$K$2:$K$29,MATCH("2018::jama.2018.14282::C023",'C_jama.2018.14282'!$A$2:$A$29,0))="","",INDEX('C_jama.2018.14282'!$K$2:$K$29,MATCH("2018::jama.2018.14282::C023",'C_jama.2018.14282'!$A$2:$A$29,0))),"not_applicable")</x:f>
        <x:v>not_applicable</x:v>
      </x:c>
      <x:c r="Y68" s="6" t="str">
        <x:f>IF(AND(INDEX('C_jama.2018.14282'!$D$2:$D$29,MATCH("2018::jama.2018.14282::C023",'C_jama.2018.14282'!$A$2:$A$29,0))="retain",INDEX('C_jama.2018.14282'!$E$2:$E$29,MATCH("2018::jama.2018.14282::C023",'C_jama.2018.14282'!$A$2:$A$29,0))="protocol_report"),IF(INDEX('C_jama.2018.14282'!$L$2:$L$29,MATCH("2018::jama.2018.14282::C023",'C_jama.2018.14282'!$A$2:$A$29,0))="","",INDEX('C_jama.2018.14282'!$L$2:$L$29,MATCH("2018::jama.2018.14282::C023",'C_jama.2018.14282'!$A$2:$A$29,0))),"not_applicable")</x:f>
        <x:v>not_applicable</x:v>
      </x:c>
      <x:c r="Z68" s="6" t="str">
        <x:f>IF(INDEX('C_jama.2018.14282'!$R$2:$R$29,MATCH("2018::jama.2018.14282::C023",'C_jama.2018.14282'!$A$2:$A$29,0))="","",INDEX('C_jama.2018.14282'!$R$2:$R$29,MATCH("2018::jama.2018.14282::C023",'C_jama.2018.14282'!$A$2:$A$29,0)))</x:f>
      </x:c>
      <x:c r="AA68" s="6" t="str">
        <x:f>IF(INDEX('C_jama.2018.14282'!$N$2:$N$29,MATCH("2018::jama.2018.14282::C023",'C_jama.2018.14282'!$A$2:$A$29,0))="","",INDEX('C_jama.2018.14282'!$N$2:$N$29,MATCH("2018::jama.2018.14282::C023",'C_jama.2018.14282'!$A$2:$A$29,0)))</x:f>
      </x:c>
      <x:c r="AB68" s="6" t="str">
        <x:f>IF(INDEX('C_jama.2018.14282'!$O$2:$O$29,MATCH("2018::jama.2018.14282::C023",'C_jama.2018.14282'!$A$2:$A$29,0))="","",INDEX('C_jama.2018.14282'!$O$2:$O$29,MATCH("2018::jama.2018.14282::C023",'C_jama.2018.14282'!$A$2:$A$29,0)))</x:f>
      </x:c>
      <x:c r="AC68" s="6" t="str">
        <x:f>IF(INDEX('C_jama.2018.14282'!$P$2:$P$29,MATCH("2018::jama.2018.14282::C023",'C_jama.2018.14282'!$A$2:$A$29,0))="","",INDEX('C_jama.2018.14282'!$P$2:$P$29,MATCH("2018::jama.2018.14282::C023",'C_jama.2018.14282'!$A$2:$A$29,0)))</x:f>
      </x:c>
      <x:c r="AD68" s="6" t="str">
        <x:f>IF(INDEX('C_jama.2018.14282'!$Q$2:$Q$29,MATCH("2018::jama.2018.14282::C023",'C_jama.2018.14282'!$A$2:$A$29,0))="","",INDEX('C_jama.2018.14282'!$Q$2:$Q$29,MATCH("2018::jama.2018.14282::C023",'C_jama.2018.14282'!$A$2:$A$29,0)))</x:f>
      </x:c>
    </x:row>
    <x:row r="69" ht="65" customHeight="1">
      <x:c r="A69" s="3" t="n">
        <x:v>2018</x:v>
      </x:c>
      <x:c r="B69" s="3" t="str">
        <x:v>jama.2018.14282</x:v>
      </x:c>
      <x:c r="C69" s="3" t="str">
        <x:v>2018::jama.2018.14282::C024</x:v>
      </x:c>
      <x:c r="D69" s="3" t="str">
        <x:v>S_W</x:v>
      </x:c>
      <x:c r="E69" s="3" t="n">
        <x:f>Setup!$B$2</x:f>
        <x:v>0</x:v>
      </x:c>
      <x:c r="F69" s="3" t="str">
        <x:f>IF(Setup!$B$4="","",Setup!$B$4)</x:f>
      </x:c>
      <x:c r="G69" s="3" t="str">
        <x:f>IFERROR(INDEX('C_jama.2018.14282'!$G$2:$G$29,MATCH("2018::jama.2018.14282::C024",'C_jama.2018.14282'!$A$2:$A$29,0)),"CHECK KEY")</x:f>
        <x:v>CHECK REVIEWER IDs</x:v>
      </x:c>
      <x:c r="H69" s="3" t="str">
        <x:f>IF(G69&lt;&gt;"FINAL READY","",IF(S69&lt;&gt;"retain","not_eligible",IF(D69="P_R","protocol_descriptive",IF(D69="P_P","plan_descriptive",IF(AND(T69="statistical_results",OR(U69="confirmed_issue",U69="probable_issue"),V69="substantive"),"primary_temporal",IF(AND(T69="report_internal_inconsistency",X69="substantive_inconsistency"),"secondary_temporal","not_eligible"))))))</x:f>
      </x:c>
      <x:c r="I69" s="3" t="str">
        <x:v>retain</x:v>
      </x:c>
      <x:c r="J69" s="3" t="str">
        <x:v>report_internal_inconsistency</x:v>
      </x:c>
      <x:c r="K69" s="3" t="str">
        <x:f>IF(Setup!$B$6="primary","",IFERROR(IF(INDEX('Primary_snapshot'!$B$2:$B$120,MATCH(C69,'Primary_snapshot'!$A$2:$A$120,0))="","",INDEX('Primary_snapshot'!$B$2:$B$120,MATCH(C69,'Primary_snapshot'!$A$2:$A$120,0))),"SNAPSHOT MISSING"))</x:f>
      </x:c>
      <x:c r="L69" s="3" t="str">
        <x:f>IF(Setup!$B$6="primary","",IFERROR(IF(INDEX('Primary_snapshot'!$C$2:$C$120,MATCH(C69,'Primary_snapshot'!$A$2:$A$120,0))="","",INDEX('Primary_snapshot'!$C$2:$C$120,MATCH(C69,'Primary_snapshot'!$A$2:$A$120,0))),"SNAPSHOT MISSING"))</x:f>
      </x:c>
      <x:c r="M69" s="3" t="str">
        <x:f>IF(Setup!$B$6="primary","",IFERROR(IF(INDEX('Primary_snapshot'!$D$2:$D$120,MATCH(C69,'Primary_snapshot'!$A$2:$A$120,0))="","",INDEX('Primary_snapshot'!$D$2:$D$120,MATCH(C69,'Primary_snapshot'!$A$2:$A$120,0))),"SNAPSHOT MISSING"))</x:f>
      </x:c>
      <x:c r="N69" s="3" t="str">
        <x:f>IF(Setup!$B$6="primary","",IFERROR(IF(INDEX('Primary_snapshot'!$E$2:$E$120,MATCH(C69,'Primary_snapshot'!$A$2:$A$120,0))="","",INDEX('Primary_snapshot'!$E$2:$E$120,MATCH(C69,'Primary_snapshot'!$A$2:$A$120,0))),"SNAPSHOT MISSING"))</x:f>
      </x:c>
      <x:c r="O69" s="3" t="str">
        <x:f>IF(Setup!$B$6="primary","",IFERROR(IF(INDEX('Primary_snapshot'!$F$2:$F$120,MATCH(C69,'Primary_snapshot'!$A$2:$A$120,0))="","",INDEX('Primary_snapshot'!$F$2:$F$120,MATCH(C69,'Primary_snapshot'!$A$2:$A$120,0))),"SNAPSHOT MISSING"))</x:f>
      </x:c>
      <x:c r="P69" s="3" t="str">
        <x:f>IF(Setup!$B$6="primary","",IFERROR(IF(INDEX('Primary_snapshot'!$G$2:$G$120,MATCH(C69,'Primary_snapshot'!$A$2:$A$120,0))="","",INDEX('Primary_snapshot'!$G$2:$G$120,MATCH(C69,'Primary_snapshot'!$A$2:$A$120,0))),"SNAPSHOT MISSING"))</x:f>
      </x:c>
      <x:c r="Q69" s="3" t="str">
        <x:f>IF(Setup!$B$6="primary","",IFERROR(IF(INDEX('Primary_snapshot'!$H$2:$H$120,MATCH(C69,'Primary_snapshot'!$A$2:$A$120,0))="","",INDEX('Primary_snapshot'!$H$2:$H$120,MATCH(C69,'Primary_snapshot'!$A$2:$A$120,0))),"SNAPSHOT MISSING"))</x:f>
      </x:c>
      <x:c r="R69" s="3" t="str">
        <x:f>IF(Setup!$B$6="primary","",IFERROR(IF(INDEX('Primary_snapshot'!$I$2:$I$120,MATCH(C69,'Primary_snapshot'!$A$2:$A$120,0))="","",INDEX('Primary_snapshot'!$I$2:$I$120,MATCH(C69,'Primary_snapshot'!$A$2:$A$120,0))),"SNAPSHOT MISSING"))</x:f>
      </x:c>
      <x:c r="S69" s="3" t="str">
        <x:f>IF(INDEX('C_jama.2018.14282'!$D$2:$D$29,MATCH("2018::jama.2018.14282::C024",'C_jama.2018.14282'!$A$2:$A$29,0))="","",INDEX('C_jama.2018.14282'!$D$2:$D$29,MATCH("2018::jama.2018.14282::C024",'C_jama.2018.14282'!$A$2:$A$29,0)))</x:f>
      </x:c>
      <x:c r="T69" s="3" t="str">
        <x:f>IF(INDEX('C_jama.2018.14282'!$E$2:$E$29,MATCH("2018::jama.2018.14282::C024",'C_jama.2018.14282'!$A$2:$A$29,0))="","",INDEX('C_jama.2018.14282'!$E$2:$E$29,MATCH("2018::jama.2018.14282::C024",'C_jama.2018.14282'!$A$2:$A$29,0)))</x:f>
        <x:v>report_internal_inconsistency</x:v>
      </x:c>
      <x:c r="U69" s="3" t="str">
        <x:f>IF(AND(INDEX('C_jama.2018.14282'!$D$2:$D$29,MATCH("2018::jama.2018.14282::C024",'C_jama.2018.14282'!$A$2:$A$29,0))="retain",INDEX('C_jama.2018.14282'!$E$2:$E$29,MATCH("2018::jama.2018.14282::C024",'C_jama.2018.14282'!$A$2:$A$29,0))="statistical_results"),IF(INDEX('C_jama.2018.14282'!$H$2:$H$29,MATCH("2018::jama.2018.14282::C024",'C_jama.2018.14282'!$A$2:$A$29,0))="","",INDEX('C_jama.2018.14282'!$H$2:$H$29,MATCH("2018::jama.2018.14282::C024",'C_jama.2018.14282'!$A$2:$A$29,0))),"not_applicable")</x:f>
        <x:v>not_applicable</x:v>
      </x:c>
      <x:c r="V69" s="3" t="str">
        <x:f>IF(AND(INDEX('C_jama.2018.14282'!$D$2:$D$29,MATCH("2018::jama.2018.14282::C024",'C_jama.2018.14282'!$A$2:$A$29,0))="retain",INDEX('C_jama.2018.14282'!$E$2:$E$29,MATCH("2018::jama.2018.14282::C024",'C_jama.2018.14282'!$A$2:$A$29,0))="statistical_results"),IF(INDEX('C_jama.2018.14282'!$I$2:$I$29,MATCH("2018::jama.2018.14282::C024",'C_jama.2018.14282'!$A$2:$A$29,0))="","",INDEX('C_jama.2018.14282'!$I$2:$I$29,MATCH("2018::jama.2018.14282::C024",'C_jama.2018.14282'!$A$2:$A$29,0))),"not_applicable")</x:f>
        <x:v>not_applicable</x:v>
      </x:c>
      <x:c r="W69" s="3" t="str">
        <x:f>IF(AND(INDEX('C_jama.2018.14282'!$D$2:$D$29,MATCH("2018::jama.2018.14282::C024",'C_jama.2018.14282'!$A$2:$A$29,0))="retain",INDEX('C_jama.2018.14282'!$E$2:$E$29,MATCH("2018::jama.2018.14282::C024",'C_jama.2018.14282'!$A$2:$A$29,0))="statistical_results"),IF(INDEX('C_jama.2018.14282'!$J$2:$J$29,MATCH("2018::jama.2018.14282::C024",'C_jama.2018.14282'!$A$2:$A$29,0))="","",INDEX('C_jama.2018.14282'!$J$2:$J$29,MATCH("2018::jama.2018.14282::C024",'C_jama.2018.14282'!$A$2:$A$29,0))),"not_applicable")</x:f>
        <x:v>not_applicable</x:v>
      </x:c>
      <x:c r="X69" s="3" t="str">
        <x:f>IF(AND(INDEX('C_jama.2018.14282'!$D$2:$D$29,MATCH("2018::jama.2018.14282::C024",'C_jama.2018.14282'!$A$2:$A$29,0))="retain",OR(INDEX('C_jama.2018.14282'!$E$2:$E$29,MATCH("2018::jama.2018.14282::C024",'C_jama.2018.14282'!$A$2:$A$29,0))="report_internal_inconsistency",INDEX('C_jama.2018.14282'!$E$2:$E$29,MATCH("2018::jama.2018.14282::C024",'C_jama.2018.14282'!$A$2:$A$29,0))="plan_material")),IF(INDEX('C_jama.2018.14282'!$K$2:$K$29,MATCH("2018::jama.2018.14282::C024",'C_jama.2018.14282'!$A$2:$A$29,0))="","",INDEX('C_jama.2018.14282'!$K$2:$K$29,MATCH("2018::jama.2018.14282::C024",'C_jama.2018.14282'!$A$2:$A$29,0))),"not_applicable")</x:f>
        <x:v>not_applicable</x:v>
      </x:c>
      <x:c r="Y69" s="3" t="str">
        <x:f>IF(AND(INDEX('C_jama.2018.14282'!$D$2:$D$29,MATCH("2018::jama.2018.14282::C024",'C_jama.2018.14282'!$A$2:$A$29,0))="retain",INDEX('C_jama.2018.14282'!$E$2:$E$29,MATCH("2018::jama.2018.14282::C024",'C_jama.2018.14282'!$A$2:$A$29,0))="protocol_report"),IF(INDEX('C_jama.2018.14282'!$L$2:$L$29,MATCH("2018::jama.2018.14282::C024",'C_jama.2018.14282'!$A$2:$A$29,0))="","",INDEX('C_jama.2018.14282'!$L$2:$L$29,MATCH("2018::jama.2018.14282::C024",'C_jama.2018.14282'!$A$2:$A$29,0))),"not_applicable")</x:f>
        <x:v>not_applicable</x:v>
      </x:c>
      <x:c r="Z69" s="3" t="str">
        <x:f>IF(INDEX('C_jama.2018.14282'!$R$2:$R$29,MATCH("2018::jama.2018.14282::C024",'C_jama.2018.14282'!$A$2:$A$29,0))="","",INDEX('C_jama.2018.14282'!$R$2:$R$29,MATCH("2018::jama.2018.14282::C024",'C_jama.2018.14282'!$A$2:$A$29,0)))</x:f>
      </x:c>
      <x:c r="AA69" s="3" t="str">
        <x:f>IF(INDEX('C_jama.2018.14282'!$N$2:$N$29,MATCH("2018::jama.2018.14282::C024",'C_jama.2018.14282'!$A$2:$A$29,0))="","",INDEX('C_jama.2018.14282'!$N$2:$N$29,MATCH("2018::jama.2018.14282::C024",'C_jama.2018.14282'!$A$2:$A$29,0)))</x:f>
      </x:c>
      <x:c r="AB69" s="3" t="str">
        <x:f>IF(INDEX('C_jama.2018.14282'!$O$2:$O$29,MATCH("2018::jama.2018.14282::C024",'C_jama.2018.14282'!$A$2:$A$29,0))="","",INDEX('C_jama.2018.14282'!$O$2:$O$29,MATCH("2018::jama.2018.14282::C024",'C_jama.2018.14282'!$A$2:$A$29,0)))</x:f>
      </x:c>
      <x:c r="AC69" s="3" t="str">
        <x:f>IF(INDEX('C_jama.2018.14282'!$P$2:$P$29,MATCH("2018::jama.2018.14282::C024",'C_jama.2018.14282'!$A$2:$A$29,0))="","",INDEX('C_jama.2018.14282'!$P$2:$P$29,MATCH("2018::jama.2018.14282::C024",'C_jama.2018.14282'!$A$2:$A$29,0)))</x:f>
      </x:c>
      <x:c r="AD69" s="3" t="str">
        <x:f>IF(INDEX('C_jama.2018.14282'!$Q$2:$Q$29,MATCH("2018::jama.2018.14282::C024",'C_jama.2018.14282'!$A$2:$A$29,0))="","",INDEX('C_jama.2018.14282'!$Q$2:$Q$29,MATCH("2018::jama.2018.14282::C024",'C_jama.2018.14282'!$A$2:$A$29,0)))</x:f>
      </x:c>
    </x:row>
    <x:row r="70" ht="65" customHeight="1">
      <x:c r="A70" s="6" t="n">
        <x:v>2018</x:v>
      </x:c>
      <x:c r="B70" s="6" t="str">
        <x:v>jama.2018.14282</x:v>
      </x:c>
      <x:c r="C70" s="6" t="str">
        <x:v>2018::jama.2018.14282::C025</x:v>
      </x:c>
      <x:c r="D70" s="6" t="str">
        <x:v>S_W</x:v>
      </x:c>
      <x:c r="E70" s="6" t="n">
        <x:f>Setup!$B$2</x:f>
        <x:v>0</x:v>
      </x:c>
      <x:c r="F70" s="6" t="str">
        <x:f>IF(Setup!$B$4="","",Setup!$B$4)</x:f>
      </x:c>
      <x:c r="G70" s="6" t="str">
        <x:f>IFERROR(INDEX('C_jama.2018.14282'!$G$2:$G$29,MATCH("2018::jama.2018.14282::C025",'C_jama.2018.14282'!$A$2:$A$29,0)),"CHECK KEY")</x:f>
        <x:v>CHECK REVIEWER IDs</x:v>
      </x:c>
      <x:c r="H70" s="6" t="str">
        <x:f>IF(G70&lt;&gt;"FINAL READY","",IF(S70&lt;&gt;"retain","not_eligible",IF(D70="P_R","protocol_descriptive",IF(D70="P_P","plan_descriptive",IF(AND(T70="statistical_results",OR(U70="confirmed_issue",U70="probable_issue"),V70="substantive"),"primary_temporal",IF(AND(T70="report_internal_inconsistency",X70="substantive_inconsistency"),"secondary_temporal","not_eligible"))))))</x:f>
      </x:c>
      <x:c r="I70" s="6" t="str">
        <x:v>retain</x:v>
      </x:c>
      <x:c r="J70" s="6" t="str">
        <x:v>statistical_results</x:v>
      </x:c>
      <x:c r="K70" s="6" t="str">
        <x:f>IF(Setup!$B$6="primary","",IFERROR(IF(INDEX('Primary_snapshot'!$B$2:$B$120,MATCH(C70,'Primary_snapshot'!$A$2:$A$120,0))="","",INDEX('Primary_snapshot'!$B$2:$B$120,MATCH(C70,'Primary_snapshot'!$A$2:$A$120,0))),"SNAPSHOT MISSING"))</x:f>
      </x:c>
      <x:c r="L70" s="6" t="str">
        <x:f>IF(Setup!$B$6="primary","",IFERROR(IF(INDEX('Primary_snapshot'!$C$2:$C$120,MATCH(C70,'Primary_snapshot'!$A$2:$A$120,0))="","",INDEX('Primary_snapshot'!$C$2:$C$120,MATCH(C70,'Primary_snapshot'!$A$2:$A$120,0))),"SNAPSHOT MISSING"))</x:f>
      </x:c>
      <x:c r="M70" s="6" t="str">
        <x:f>IF(Setup!$B$6="primary","",IFERROR(IF(INDEX('Primary_snapshot'!$D$2:$D$120,MATCH(C70,'Primary_snapshot'!$A$2:$A$120,0))="","",INDEX('Primary_snapshot'!$D$2:$D$120,MATCH(C70,'Primary_snapshot'!$A$2:$A$120,0))),"SNAPSHOT MISSING"))</x:f>
      </x:c>
      <x:c r="N70" s="6" t="str">
        <x:f>IF(Setup!$B$6="primary","",IFERROR(IF(INDEX('Primary_snapshot'!$E$2:$E$120,MATCH(C70,'Primary_snapshot'!$A$2:$A$120,0))="","",INDEX('Primary_snapshot'!$E$2:$E$120,MATCH(C70,'Primary_snapshot'!$A$2:$A$120,0))),"SNAPSHOT MISSING"))</x:f>
      </x:c>
      <x:c r="O70" s="6" t="str">
        <x:f>IF(Setup!$B$6="primary","",IFERROR(IF(INDEX('Primary_snapshot'!$F$2:$F$120,MATCH(C70,'Primary_snapshot'!$A$2:$A$120,0))="","",INDEX('Primary_snapshot'!$F$2:$F$120,MATCH(C70,'Primary_snapshot'!$A$2:$A$120,0))),"SNAPSHOT MISSING"))</x:f>
      </x:c>
      <x:c r="P70" s="6" t="str">
        <x:f>IF(Setup!$B$6="primary","",IFERROR(IF(INDEX('Primary_snapshot'!$G$2:$G$120,MATCH(C70,'Primary_snapshot'!$A$2:$A$120,0))="","",INDEX('Primary_snapshot'!$G$2:$G$120,MATCH(C70,'Primary_snapshot'!$A$2:$A$120,0))),"SNAPSHOT MISSING"))</x:f>
      </x:c>
      <x:c r="Q70" s="6" t="str">
        <x:f>IF(Setup!$B$6="primary","",IFERROR(IF(INDEX('Primary_snapshot'!$H$2:$H$120,MATCH(C70,'Primary_snapshot'!$A$2:$A$120,0))="","",INDEX('Primary_snapshot'!$H$2:$H$120,MATCH(C70,'Primary_snapshot'!$A$2:$A$120,0))),"SNAPSHOT MISSING"))</x:f>
      </x:c>
      <x:c r="R70" s="6" t="str">
        <x:f>IF(Setup!$B$6="primary","",IFERROR(IF(INDEX('Primary_snapshot'!$I$2:$I$120,MATCH(C70,'Primary_snapshot'!$A$2:$A$120,0))="","",INDEX('Primary_snapshot'!$I$2:$I$120,MATCH(C70,'Primary_snapshot'!$A$2:$A$120,0))),"SNAPSHOT MISSING"))</x:f>
      </x:c>
      <x:c r="S70" s="6" t="str">
        <x:f>IF(INDEX('C_jama.2018.14282'!$D$2:$D$29,MATCH("2018::jama.2018.14282::C025",'C_jama.2018.14282'!$A$2:$A$29,0))="","",INDEX('C_jama.2018.14282'!$D$2:$D$29,MATCH("2018::jama.2018.14282::C025",'C_jama.2018.14282'!$A$2:$A$29,0)))</x:f>
      </x:c>
      <x:c r="T70" s="6" t="str">
        <x:f>IF(INDEX('C_jama.2018.14282'!$E$2:$E$29,MATCH("2018::jama.2018.14282::C025",'C_jama.2018.14282'!$A$2:$A$29,0))="","",INDEX('C_jama.2018.14282'!$E$2:$E$29,MATCH("2018::jama.2018.14282::C025",'C_jama.2018.14282'!$A$2:$A$29,0)))</x:f>
        <x:v>statistical_results</x:v>
      </x:c>
      <x:c r="U70" s="6" t="str">
        <x:f>IF(AND(INDEX('C_jama.2018.14282'!$D$2:$D$29,MATCH("2018::jama.2018.14282::C025",'C_jama.2018.14282'!$A$2:$A$29,0))="retain",INDEX('C_jama.2018.14282'!$E$2:$E$29,MATCH("2018::jama.2018.14282::C025",'C_jama.2018.14282'!$A$2:$A$29,0))="statistical_results"),IF(INDEX('C_jama.2018.14282'!$H$2:$H$29,MATCH("2018::jama.2018.14282::C025",'C_jama.2018.14282'!$A$2:$A$29,0))="","",INDEX('C_jama.2018.14282'!$H$2:$H$29,MATCH("2018::jama.2018.14282::C025",'C_jama.2018.14282'!$A$2:$A$29,0))),"not_applicable")</x:f>
        <x:v>not_applicable</x:v>
      </x:c>
      <x:c r="V70" s="6" t="str">
        <x:f>IF(AND(INDEX('C_jama.2018.14282'!$D$2:$D$29,MATCH("2018::jama.2018.14282::C025",'C_jama.2018.14282'!$A$2:$A$29,0))="retain",INDEX('C_jama.2018.14282'!$E$2:$E$29,MATCH("2018::jama.2018.14282::C025",'C_jama.2018.14282'!$A$2:$A$29,0))="statistical_results"),IF(INDEX('C_jama.2018.14282'!$I$2:$I$29,MATCH("2018::jama.2018.14282::C025",'C_jama.2018.14282'!$A$2:$A$29,0))="","",INDEX('C_jama.2018.14282'!$I$2:$I$29,MATCH("2018::jama.2018.14282::C025",'C_jama.2018.14282'!$A$2:$A$29,0))),"not_applicable")</x:f>
        <x:v>not_applicable</x:v>
      </x:c>
      <x:c r="W70" s="6" t="str">
        <x:f>IF(AND(INDEX('C_jama.2018.14282'!$D$2:$D$29,MATCH("2018::jama.2018.14282::C025",'C_jama.2018.14282'!$A$2:$A$29,0))="retain",INDEX('C_jama.2018.14282'!$E$2:$E$29,MATCH("2018::jama.2018.14282::C025",'C_jama.2018.14282'!$A$2:$A$29,0))="statistical_results"),IF(INDEX('C_jama.2018.14282'!$J$2:$J$29,MATCH("2018::jama.2018.14282::C025",'C_jama.2018.14282'!$A$2:$A$29,0))="","",INDEX('C_jama.2018.14282'!$J$2:$J$29,MATCH("2018::jama.2018.14282::C025",'C_jama.2018.14282'!$A$2:$A$29,0))),"not_applicable")</x:f>
        <x:v>not_applicable</x:v>
      </x:c>
      <x:c r="X70" s="6" t="str">
        <x:f>IF(AND(INDEX('C_jama.2018.14282'!$D$2:$D$29,MATCH("2018::jama.2018.14282::C025",'C_jama.2018.14282'!$A$2:$A$29,0))="retain",OR(INDEX('C_jama.2018.14282'!$E$2:$E$29,MATCH("2018::jama.2018.14282::C025",'C_jama.2018.14282'!$A$2:$A$29,0))="report_internal_inconsistency",INDEX('C_jama.2018.14282'!$E$2:$E$29,MATCH("2018::jama.2018.14282::C025",'C_jama.2018.14282'!$A$2:$A$29,0))="plan_material")),IF(INDEX('C_jama.2018.14282'!$K$2:$K$29,MATCH("2018::jama.2018.14282::C025",'C_jama.2018.14282'!$A$2:$A$29,0))="","",INDEX('C_jama.2018.14282'!$K$2:$K$29,MATCH("2018::jama.2018.14282::C025",'C_jama.2018.14282'!$A$2:$A$29,0))),"not_applicable")</x:f>
        <x:v>not_applicable</x:v>
      </x:c>
      <x:c r="Y70" s="6" t="str">
        <x:f>IF(AND(INDEX('C_jama.2018.14282'!$D$2:$D$29,MATCH("2018::jama.2018.14282::C025",'C_jama.2018.14282'!$A$2:$A$29,0))="retain",INDEX('C_jama.2018.14282'!$E$2:$E$29,MATCH("2018::jama.2018.14282::C025",'C_jama.2018.14282'!$A$2:$A$29,0))="protocol_report"),IF(INDEX('C_jama.2018.14282'!$L$2:$L$29,MATCH("2018::jama.2018.14282::C025",'C_jama.2018.14282'!$A$2:$A$29,0))="","",INDEX('C_jama.2018.14282'!$L$2:$L$29,MATCH("2018::jama.2018.14282::C025",'C_jama.2018.14282'!$A$2:$A$29,0))),"not_applicable")</x:f>
        <x:v>not_applicable</x:v>
      </x:c>
      <x:c r="Z70" s="6" t="str">
        <x:f>IF(INDEX('C_jama.2018.14282'!$R$2:$R$29,MATCH("2018::jama.2018.14282::C025",'C_jama.2018.14282'!$A$2:$A$29,0))="","",INDEX('C_jama.2018.14282'!$R$2:$R$29,MATCH("2018::jama.2018.14282::C025",'C_jama.2018.14282'!$A$2:$A$29,0)))</x:f>
      </x:c>
      <x:c r="AA70" s="6" t="str">
        <x:f>IF(INDEX('C_jama.2018.14282'!$N$2:$N$29,MATCH("2018::jama.2018.14282::C025",'C_jama.2018.14282'!$A$2:$A$29,0))="","",INDEX('C_jama.2018.14282'!$N$2:$N$29,MATCH("2018::jama.2018.14282::C025",'C_jama.2018.14282'!$A$2:$A$29,0)))</x:f>
      </x:c>
      <x:c r="AB70" s="6" t="str">
        <x:f>IF(INDEX('C_jama.2018.14282'!$O$2:$O$29,MATCH("2018::jama.2018.14282::C025",'C_jama.2018.14282'!$A$2:$A$29,0))="","",INDEX('C_jama.2018.14282'!$O$2:$O$29,MATCH("2018::jama.2018.14282::C025",'C_jama.2018.14282'!$A$2:$A$29,0)))</x:f>
      </x:c>
      <x:c r="AC70" s="6" t="str">
        <x:f>IF(INDEX('C_jama.2018.14282'!$P$2:$P$29,MATCH("2018::jama.2018.14282::C025",'C_jama.2018.14282'!$A$2:$A$29,0))="","",INDEX('C_jama.2018.14282'!$P$2:$P$29,MATCH("2018::jama.2018.14282::C025",'C_jama.2018.14282'!$A$2:$A$29,0)))</x:f>
      </x:c>
      <x:c r="AD70" s="6" t="str">
        <x:f>IF(INDEX('C_jama.2018.14282'!$Q$2:$Q$29,MATCH("2018::jama.2018.14282::C025",'C_jama.2018.14282'!$A$2:$A$29,0))="","",INDEX('C_jama.2018.14282'!$Q$2:$Q$29,MATCH("2018::jama.2018.14282::C025",'C_jama.2018.14282'!$A$2:$A$29,0)))</x:f>
      </x:c>
    </x:row>
    <x:row r="71" ht="65" customHeight="1">
      <x:c r="A71" s="3" t="n">
        <x:v>2018</x:v>
      </x:c>
      <x:c r="B71" s="3" t="str">
        <x:v>jama.2018.14282</x:v>
      </x:c>
      <x:c r="C71" s="3" t="str">
        <x:v>2018::jama.2018.14282::C026</x:v>
      </x:c>
      <x:c r="D71" s="3" t="str">
        <x:v>P_P</x:v>
      </x:c>
      <x:c r="E71" s="3" t="n">
        <x:f>Setup!$B$2</x:f>
        <x:v>0</x:v>
      </x:c>
      <x:c r="F71" s="3" t="str">
        <x:f>IF(Setup!$B$4="","",Setup!$B$4)</x:f>
      </x:c>
      <x:c r="G71" s="3" t="str">
        <x:f>IFERROR(INDEX('C_jama.2018.14282'!$G$2:$G$29,MATCH("2018::jama.2018.14282::C026",'C_jama.2018.14282'!$A$2:$A$29,0)),"CHECK KEY")</x:f>
        <x:v>CHECK REVIEWER IDs</x:v>
      </x:c>
      <x:c r="H71" s="3" t="str">
        <x:f>IF(G71&lt;&gt;"FINAL READY","",IF(S71&lt;&gt;"retain","not_eligible",IF(D71="P_R","protocol_descriptive",IF(D71="P_P","plan_descriptive",IF(AND(T71="statistical_results",OR(U71="confirmed_issue",U71="probable_issue"),V71="substantive"),"primary_temporal",IF(AND(T71="report_internal_inconsistency",X71="substantive_inconsistency"),"secondary_temporal","not_eligible"))))))</x:f>
      </x:c>
      <x:c r="I71" s="3" t="str">
        <x:v>retain</x:v>
      </x:c>
      <x:c r="J71" s="3" t="str">
        <x:v>plan_material</x:v>
      </x:c>
      <x:c r="K71" s="3" t="str">
        <x:f>IF(Setup!$B$6="primary","",IFERROR(IF(INDEX('Primary_snapshot'!$B$2:$B$120,MATCH(C71,'Primary_snapshot'!$A$2:$A$120,0))="","",INDEX('Primary_snapshot'!$B$2:$B$120,MATCH(C71,'Primary_snapshot'!$A$2:$A$120,0))),"SNAPSHOT MISSING"))</x:f>
      </x:c>
      <x:c r="L71" s="3" t="str">
        <x:f>IF(Setup!$B$6="primary","",IFERROR(IF(INDEX('Primary_snapshot'!$C$2:$C$120,MATCH(C71,'Primary_snapshot'!$A$2:$A$120,0))="","",INDEX('Primary_snapshot'!$C$2:$C$120,MATCH(C71,'Primary_snapshot'!$A$2:$A$120,0))),"SNAPSHOT MISSING"))</x:f>
      </x:c>
      <x:c r="M71" s="3" t="str">
        <x:f>IF(Setup!$B$6="primary","",IFERROR(IF(INDEX('Primary_snapshot'!$D$2:$D$120,MATCH(C71,'Primary_snapshot'!$A$2:$A$120,0))="","",INDEX('Primary_snapshot'!$D$2:$D$120,MATCH(C71,'Primary_snapshot'!$A$2:$A$120,0))),"SNAPSHOT MISSING"))</x:f>
      </x:c>
      <x:c r="N71" s="3" t="str">
        <x:f>IF(Setup!$B$6="primary","",IFERROR(IF(INDEX('Primary_snapshot'!$E$2:$E$120,MATCH(C71,'Primary_snapshot'!$A$2:$A$120,0))="","",INDEX('Primary_snapshot'!$E$2:$E$120,MATCH(C71,'Primary_snapshot'!$A$2:$A$120,0))),"SNAPSHOT MISSING"))</x:f>
      </x:c>
      <x:c r="O71" s="3" t="str">
        <x:f>IF(Setup!$B$6="primary","",IFERROR(IF(INDEX('Primary_snapshot'!$F$2:$F$120,MATCH(C71,'Primary_snapshot'!$A$2:$A$120,0))="","",INDEX('Primary_snapshot'!$F$2:$F$120,MATCH(C71,'Primary_snapshot'!$A$2:$A$120,0))),"SNAPSHOT MISSING"))</x:f>
      </x:c>
      <x:c r="P71" s="3" t="str">
        <x:f>IF(Setup!$B$6="primary","",IFERROR(IF(INDEX('Primary_snapshot'!$G$2:$G$120,MATCH(C71,'Primary_snapshot'!$A$2:$A$120,0))="","",INDEX('Primary_snapshot'!$G$2:$G$120,MATCH(C71,'Primary_snapshot'!$A$2:$A$120,0))),"SNAPSHOT MISSING"))</x:f>
      </x:c>
      <x:c r="Q71" s="3" t="str">
        <x:f>IF(Setup!$B$6="primary","",IFERROR(IF(INDEX('Primary_snapshot'!$H$2:$H$120,MATCH(C71,'Primary_snapshot'!$A$2:$A$120,0))="","",INDEX('Primary_snapshot'!$H$2:$H$120,MATCH(C71,'Primary_snapshot'!$A$2:$A$120,0))),"SNAPSHOT MISSING"))</x:f>
      </x:c>
      <x:c r="R71" s="3" t="str">
        <x:f>IF(Setup!$B$6="primary","",IFERROR(IF(INDEX('Primary_snapshot'!$I$2:$I$120,MATCH(C71,'Primary_snapshot'!$A$2:$A$120,0))="","",INDEX('Primary_snapshot'!$I$2:$I$120,MATCH(C71,'Primary_snapshot'!$A$2:$A$120,0))),"SNAPSHOT MISSING"))</x:f>
      </x:c>
      <x:c r="S71" s="3" t="str">
        <x:f>IF(INDEX('C_jama.2018.14282'!$D$2:$D$29,MATCH("2018::jama.2018.14282::C026",'C_jama.2018.14282'!$A$2:$A$29,0))="","",INDEX('C_jama.2018.14282'!$D$2:$D$29,MATCH("2018::jama.2018.14282::C026",'C_jama.2018.14282'!$A$2:$A$29,0)))</x:f>
      </x:c>
      <x:c r="T71" s="3" t="str">
        <x:f>IF(INDEX('C_jama.2018.14282'!$E$2:$E$29,MATCH("2018::jama.2018.14282::C026",'C_jama.2018.14282'!$A$2:$A$29,0))="","",INDEX('C_jama.2018.14282'!$E$2:$E$29,MATCH("2018::jama.2018.14282::C026",'C_jama.2018.14282'!$A$2:$A$29,0)))</x:f>
        <x:v>plan_material</x:v>
      </x:c>
      <x:c r="U71" s="3" t="str">
        <x:f>IF(AND(INDEX('C_jama.2018.14282'!$D$2:$D$29,MATCH("2018::jama.2018.14282::C026",'C_jama.2018.14282'!$A$2:$A$29,0))="retain",INDEX('C_jama.2018.14282'!$E$2:$E$29,MATCH("2018::jama.2018.14282::C026",'C_jama.2018.14282'!$A$2:$A$29,0))="statistical_results"),IF(INDEX('C_jama.2018.14282'!$H$2:$H$29,MATCH("2018::jama.2018.14282::C026",'C_jama.2018.14282'!$A$2:$A$29,0))="","",INDEX('C_jama.2018.14282'!$H$2:$H$29,MATCH("2018::jama.2018.14282::C026",'C_jama.2018.14282'!$A$2:$A$29,0))),"not_applicable")</x:f>
        <x:v>not_applicable</x:v>
      </x:c>
      <x:c r="V71" s="3" t="str">
        <x:f>IF(AND(INDEX('C_jama.2018.14282'!$D$2:$D$29,MATCH("2018::jama.2018.14282::C026",'C_jama.2018.14282'!$A$2:$A$29,0))="retain",INDEX('C_jama.2018.14282'!$E$2:$E$29,MATCH("2018::jama.2018.14282::C026",'C_jama.2018.14282'!$A$2:$A$29,0))="statistical_results"),IF(INDEX('C_jama.2018.14282'!$I$2:$I$29,MATCH("2018::jama.2018.14282::C026",'C_jama.2018.14282'!$A$2:$A$29,0))="","",INDEX('C_jama.2018.14282'!$I$2:$I$29,MATCH("2018::jama.2018.14282::C026",'C_jama.2018.14282'!$A$2:$A$29,0))),"not_applicable")</x:f>
        <x:v>not_applicable</x:v>
      </x:c>
      <x:c r="W71" s="3" t="str">
        <x:f>IF(AND(INDEX('C_jama.2018.14282'!$D$2:$D$29,MATCH("2018::jama.2018.14282::C026",'C_jama.2018.14282'!$A$2:$A$29,0))="retain",INDEX('C_jama.2018.14282'!$E$2:$E$29,MATCH("2018::jama.2018.14282::C026",'C_jama.2018.14282'!$A$2:$A$29,0))="statistical_results"),IF(INDEX('C_jama.2018.14282'!$J$2:$J$29,MATCH("2018::jama.2018.14282::C026",'C_jama.2018.14282'!$A$2:$A$29,0))="","",INDEX('C_jama.2018.14282'!$J$2:$J$29,MATCH("2018::jama.2018.14282::C026",'C_jama.2018.14282'!$A$2:$A$29,0))),"not_applicable")</x:f>
        <x:v>not_applicable</x:v>
      </x:c>
      <x:c r="X71" s="3" t="str">
        <x:f>IF(AND(INDEX('C_jama.2018.14282'!$D$2:$D$29,MATCH("2018::jama.2018.14282::C026",'C_jama.2018.14282'!$A$2:$A$29,0))="retain",OR(INDEX('C_jama.2018.14282'!$E$2:$E$29,MATCH("2018::jama.2018.14282::C026",'C_jama.2018.14282'!$A$2:$A$29,0))="report_internal_inconsistency",INDEX('C_jama.2018.14282'!$E$2:$E$29,MATCH("2018::jama.2018.14282::C026",'C_jama.2018.14282'!$A$2:$A$29,0))="plan_material")),IF(INDEX('C_jama.2018.14282'!$K$2:$K$29,MATCH("2018::jama.2018.14282::C026",'C_jama.2018.14282'!$A$2:$A$29,0))="","",INDEX('C_jama.2018.14282'!$K$2:$K$29,MATCH("2018::jama.2018.14282::C026",'C_jama.2018.14282'!$A$2:$A$29,0))),"not_applicable")</x:f>
        <x:v>not_applicable</x:v>
      </x:c>
      <x:c r="Y71" s="3" t="str">
        <x:f>IF(AND(INDEX('C_jama.2018.14282'!$D$2:$D$29,MATCH("2018::jama.2018.14282::C026",'C_jama.2018.14282'!$A$2:$A$29,0))="retain",INDEX('C_jama.2018.14282'!$E$2:$E$29,MATCH("2018::jama.2018.14282::C026",'C_jama.2018.14282'!$A$2:$A$29,0))="protocol_report"),IF(INDEX('C_jama.2018.14282'!$L$2:$L$29,MATCH("2018::jama.2018.14282::C026",'C_jama.2018.14282'!$A$2:$A$29,0))="","",INDEX('C_jama.2018.14282'!$L$2:$L$29,MATCH("2018::jama.2018.14282::C026",'C_jama.2018.14282'!$A$2:$A$29,0))),"not_applicable")</x:f>
        <x:v>not_applicable</x:v>
      </x:c>
      <x:c r="Z71" s="3" t="str">
        <x:f>IF(INDEX('C_jama.2018.14282'!$R$2:$R$29,MATCH("2018::jama.2018.14282::C026",'C_jama.2018.14282'!$A$2:$A$29,0))="","",INDEX('C_jama.2018.14282'!$R$2:$R$29,MATCH("2018::jama.2018.14282::C026",'C_jama.2018.14282'!$A$2:$A$29,0)))</x:f>
      </x:c>
      <x:c r="AA71" s="3" t="str">
        <x:f>IF(INDEX('C_jama.2018.14282'!$N$2:$N$29,MATCH("2018::jama.2018.14282::C026",'C_jama.2018.14282'!$A$2:$A$29,0))="","",INDEX('C_jama.2018.14282'!$N$2:$N$29,MATCH("2018::jama.2018.14282::C026",'C_jama.2018.14282'!$A$2:$A$29,0)))</x:f>
      </x:c>
      <x:c r="AB71" s="3" t="str">
        <x:f>IF(INDEX('C_jama.2018.14282'!$O$2:$O$29,MATCH("2018::jama.2018.14282::C026",'C_jama.2018.14282'!$A$2:$A$29,0))="","",INDEX('C_jama.2018.14282'!$O$2:$O$29,MATCH("2018::jama.2018.14282::C026",'C_jama.2018.14282'!$A$2:$A$29,0)))</x:f>
      </x:c>
      <x:c r="AC71" s="3" t="str">
        <x:f>IF(INDEX('C_jama.2018.14282'!$P$2:$P$29,MATCH("2018::jama.2018.14282::C026",'C_jama.2018.14282'!$A$2:$A$29,0))="","",INDEX('C_jama.2018.14282'!$P$2:$P$29,MATCH("2018::jama.2018.14282::C026",'C_jama.2018.14282'!$A$2:$A$29,0)))</x:f>
      </x:c>
      <x:c r="AD71" s="3" t="str">
        <x:f>IF(INDEX('C_jama.2018.14282'!$Q$2:$Q$29,MATCH("2018::jama.2018.14282::C026",'C_jama.2018.14282'!$A$2:$A$29,0))="","",INDEX('C_jama.2018.14282'!$Q$2:$Q$29,MATCH("2018::jama.2018.14282::C026",'C_jama.2018.14282'!$A$2:$A$29,0)))</x:f>
      </x:c>
    </x:row>
    <x:row r="72" ht="65" customHeight="1">
      <x:c r="A72" s="6" t="n">
        <x:v>2018</x:v>
      </x:c>
      <x:c r="B72" s="6" t="str">
        <x:v>jama.2018.14282</x:v>
      </x:c>
      <x:c r="C72" s="6" t="str">
        <x:v>2018::jama.2018.14282::C027</x:v>
      </x:c>
      <x:c r="D72" s="6" t="str">
        <x:v>P_P</x:v>
      </x:c>
      <x:c r="E72" s="6" t="n">
        <x:f>Setup!$B$2</x:f>
        <x:v>0</x:v>
      </x:c>
      <x:c r="F72" s="6" t="str">
        <x:f>IF(Setup!$B$4="","",Setup!$B$4)</x:f>
      </x:c>
      <x:c r="G72" s="6" t="str">
        <x:f>IFERROR(INDEX('C_jama.2018.14282'!$G$2:$G$29,MATCH("2018::jama.2018.14282::C027",'C_jama.2018.14282'!$A$2:$A$29,0)),"CHECK KEY")</x:f>
        <x:v>CHECK REVIEWER IDs</x:v>
      </x:c>
      <x:c r="H72" s="6" t="str">
        <x:f>IF(G72&lt;&gt;"FINAL READY","",IF(S72&lt;&gt;"retain","not_eligible",IF(D72="P_R","protocol_descriptive",IF(D72="P_P","plan_descriptive",IF(AND(T72="statistical_results",OR(U72="confirmed_issue",U72="probable_issue"),V72="substantive"),"primary_temporal",IF(AND(T72="report_internal_inconsistency",X72="substantive_inconsistency"),"secondary_temporal","not_eligible"))))))</x:f>
      </x:c>
      <x:c r="I72" s="6" t="str">
        <x:v>retain</x:v>
      </x:c>
      <x:c r="J72" s="6" t="str">
        <x:v>plan_material</x:v>
      </x:c>
      <x:c r="K72" s="6" t="str">
        <x:f>IF(Setup!$B$6="primary","",IFERROR(IF(INDEX('Primary_snapshot'!$B$2:$B$120,MATCH(C72,'Primary_snapshot'!$A$2:$A$120,0))="","",INDEX('Primary_snapshot'!$B$2:$B$120,MATCH(C72,'Primary_snapshot'!$A$2:$A$120,0))),"SNAPSHOT MISSING"))</x:f>
      </x:c>
      <x:c r="L72" s="6" t="str">
        <x:f>IF(Setup!$B$6="primary","",IFERROR(IF(INDEX('Primary_snapshot'!$C$2:$C$120,MATCH(C72,'Primary_snapshot'!$A$2:$A$120,0))="","",INDEX('Primary_snapshot'!$C$2:$C$120,MATCH(C72,'Primary_snapshot'!$A$2:$A$120,0))),"SNAPSHOT MISSING"))</x:f>
      </x:c>
      <x:c r="M72" s="6" t="str">
        <x:f>IF(Setup!$B$6="primary","",IFERROR(IF(INDEX('Primary_snapshot'!$D$2:$D$120,MATCH(C72,'Primary_snapshot'!$A$2:$A$120,0))="","",INDEX('Primary_snapshot'!$D$2:$D$120,MATCH(C72,'Primary_snapshot'!$A$2:$A$120,0))),"SNAPSHOT MISSING"))</x:f>
      </x:c>
      <x:c r="N72" s="6" t="str">
        <x:f>IF(Setup!$B$6="primary","",IFERROR(IF(INDEX('Primary_snapshot'!$E$2:$E$120,MATCH(C72,'Primary_snapshot'!$A$2:$A$120,0))="","",INDEX('Primary_snapshot'!$E$2:$E$120,MATCH(C72,'Primary_snapshot'!$A$2:$A$120,0))),"SNAPSHOT MISSING"))</x:f>
      </x:c>
      <x:c r="O72" s="6" t="str">
        <x:f>IF(Setup!$B$6="primary","",IFERROR(IF(INDEX('Primary_snapshot'!$F$2:$F$120,MATCH(C72,'Primary_snapshot'!$A$2:$A$120,0))="","",INDEX('Primary_snapshot'!$F$2:$F$120,MATCH(C72,'Primary_snapshot'!$A$2:$A$120,0))),"SNAPSHOT MISSING"))</x:f>
      </x:c>
      <x:c r="P72" s="6" t="str">
        <x:f>IF(Setup!$B$6="primary","",IFERROR(IF(INDEX('Primary_snapshot'!$G$2:$G$120,MATCH(C72,'Primary_snapshot'!$A$2:$A$120,0))="","",INDEX('Primary_snapshot'!$G$2:$G$120,MATCH(C72,'Primary_snapshot'!$A$2:$A$120,0))),"SNAPSHOT MISSING"))</x:f>
      </x:c>
      <x:c r="Q72" s="6" t="str">
        <x:f>IF(Setup!$B$6="primary","",IFERROR(IF(INDEX('Primary_snapshot'!$H$2:$H$120,MATCH(C72,'Primary_snapshot'!$A$2:$A$120,0))="","",INDEX('Primary_snapshot'!$H$2:$H$120,MATCH(C72,'Primary_snapshot'!$A$2:$A$120,0))),"SNAPSHOT MISSING"))</x:f>
      </x:c>
      <x:c r="R72" s="6" t="str">
        <x:f>IF(Setup!$B$6="primary","",IFERROR(IF(INDEX('Primary_snapshot'!$I$2:$I$120,MATCH(C72,'Primary_snapshot'!$A$2:$A$120,0))="","",INDEX('Primary_snapshot'!$I$2:$I$120,MATCH(C72,'Primary_snapshot'!$A$2:$A$120,0))),"SNAPSHOT MISSING"))</x:f>
      </x:c>
      <x:c r="S72" s="6" t="str">
        <x:f>IF(INDEX('C_jama.2018.14282'!$D$2:$D$29,MATCH("2018::jama.2018.14282::C027",'C_jama.2018.14282'!$A$2:$A$29,0))="","",INDEX('C_jama.2018.14282'!$D$2:$D$29,MATCH("2018::jama.2018.14282::C027",'C_jama.2018.14282'!$A$2:$A$29,0)))</x:f>
      </x:c>
      <x:c r="T72" s="6" t="str">
        <x:f>IF(INDEX('C_jama.2018.14282'!$E$2:$E$29,MATCH("2018::jama.2018.14282::C027",'C_jama.2018.14282'!$A$2:$A$29,0))="","",INDEX('C_jama.2018.14282'!$E$2:$E$29,MATCH("2018::jama.2018.14282::C027",'C_jama.2018.14282'!$A$2:$A$29,0)))</x:f>
        <x:v>plan_material</x:v>
      </x:c>
      <x:c r="U72" s="6" t="str">
        <x:f>IF(AND(INDEX('C_jama.2018.14282'!$D$2:$D$29,MATCH("2018::jama.2018.14282::C027",'C_jama.2018.14282'!$A$2:$A$29,0))="retain",INDEX('C_jama.2018.14282'!$E$2:$E$29,MATCH("2018::jama.2018.14282::C027",'C_jama.2018.14282'!$A$2:$A$29,0))="statistical_results"),IF(INDEX('C_jama.2018.14282'!$H$2:$H$29,MATCH("2018::jama.2018.14282::C027",'C_jama.2018.14282'!$A$2:$A$29,0))="","",INDEX('C_jama.2018.14282'!$H$2:$H$29,MATCH("2018::jama.2018.14282::C027",'C_jama.2018.14282'!$A$2:$A$29,0))),"not_applicable")</x:f>
        <x:v>not_applicable</x:v>
      </x:c>
      <x:c r="V72" s="6" t="str">
        <x:f>IF(AND(INDEX('C_jama.2018.14282'!$D$2:$D$29,MATCH("2018::jama.2018.14282::C027",'C_jama.2018.14282'!$A$2:$A$29,0))="retain",INDEX('C_jama.2018.14282'!$E$2:$E$29,MATCH("2018::jama.2018.14282::C027",'C_jama.2018.14282'!$A$2:$A$29,0))="statistical_results"),IF(INDEX('C_jama.2018.14282'!$I$2:$I$29,MATCH("2018::jama.2018.14282::C027",'C_jama.2018.14282'!$A$2:$A$29,0))="","",INDEX('C_jama.2018.14282'!$I$2:$I$29,MATCH("2018::jama.2018.14282::C027",'C_jama.2018.14282'!$A$2:$A$29,0))),"not_applicable")</x:f>
        <x:v>not_applicable</x:v>
      </x:c>
      <x:c r="W72" s="6" t="str">
        <x:f>IF(AND(INDEX('C_jama.2018.14282'!$D$2:$D$29,MATCH("2018::jama.2018.14282::C027",'C_jama.2018.14282'!$A$2:$A$29,0))="retain",INDEX('C_jama.2018.14282'!$E$2:$E$29,MATCH("2018::jama.2018.14282::C027",'C_jama.2018.14282'!$A$2:$A$29,0))="statistical_results"),IF(INDEX('C_jama.2018.14282'!$J$2:$J$29,MATCH("2018::jama.2018.14282::C027",'C_jama.2018.14282'!$A$2:$A$29,0))="","",INDEX('C_jama.2018.14282'!$J$2:$J$29,MATCH("2018::jama.2018.14282::C027",'C_jama.2018.14282'!$A$2:$A$29,0))),"not_applicable")</x:f>
        <x:v>not_applicable</x:v>
      </x:c>
      <x:c r="X72" s="6" t="str">
        <x:f>IF(AND(INDEX('C_jama.2018.14282'!$D$2:$D$29,MATCH("2018::jama.2018.14282::C027",'C_jama.2018.14282'!$A$2:$A$29,0))="retain",OR(INDEX('C_jama.2018.14282'!$E$2:$E$29,MATCH("2018::jama.2018.14282::C027",'C_jama.2018.14282'!$A$2:$A$29,0))="report_internal_inconsistency",INDEX('C_jama.2018.14282'!$E$2:$E$29,MATCH("2018::jama.2018.14282::C027",'C_jama.2018.14282'!$A$2:$A$29,0))="plan_material")),IF(INDEX('C_jama.2018.14282'!$K$2:$K$29,MATCH("2018::jama.2018.14282::C027",'C_jama.2018.14282'!$A$2:$A$29,0))="","",INDEX('C_jama.2018.14282'!$K$2:$K$29,MATCH("2018::jama.2018.14282::C027",'C_jama.2018.14282'!$A$2:$A$29,0))),"not_applicable")</x:f>
        <x:v>not_applicable</x:v>
      </x:c>
      <x:c r="Y72" s="6" t="str">
        <x:f>IF(AND(INDEX('C_jama.2018.14282'!$D$2:$D$29,MATCH("2018::jama.2018.14282::C027",'C_jama.2018.14282'!$A$2:$A$29,0))="retain",INDEX('C_jama.2018.14282'!$E$2:$E$29,MATCH("2018::jama.2018.14282::C027",'C_jama.2018.14282'!$A$2:$A$29,0))="protocol_report"),IF(INDEX('C_jama.2018.14282'!$L$2:$L$29,MATCH("2018::jama.2018.14282::C027",'C_jama.2018.14282'!$A$2:$A$29,0))="","",INDEX('C_jama.2018.14282'!$L$2:$L$29,MATCH("2018::jama.2018.14282::C027",'C_jama.2018.14282'!$A$2:$A$29,0))),"not_applicable")</x:f>
        <x:v>not_applicable</x:v>
      </x:c>
      <x:c r="Z72" s="6" t="str">
        <x:f>IF(INDEX('C_jama.2018.14282'!$R$2:$R$29,MATCH("2018::jama.2018.14282::C027",'C_jama.2018.14282'!$A$2:$A$29,0))="","",INDEX('C_jama.2018.14282'!$R$2:$R$29,MATCH("2018::jama.2018.14282::C027",'C_jama.2018.14282'!$A$2:$A$29,0)))</x:f>
      </x:c>
      <x:c r="AA72" s="6" t="str">
        <x:f>IF(INDEX('C_jama.2018.14282'!$N$2:$N$29,MATCH("2018::jama.2018.14282::C027",'C_jama.2018.14282'!$A$2:$A$29,0))="","",INDEX('C_jama.2018.14282'!$N$2:$N$29,MATCH("2018::jama.2018.14282::C027",'C_jama.2018.14282'!$A$2:$A$29,0)))</x:f>
      </x:c>
      <x:c r="AB72" s="6" t="str">
        <x:f>IF(INDEX('C_jama.2018.14282'!$O$2:$O$29,MATCH("2018::jama.2018.14282::C027",'C_jama.2018.14282'!$A$2:$A$29,0))="","",INDEX('C_jama.2018.14282'!$O$2:$O$29,MATCH("2018::jama.2018.14282::C027",'C_jama.2018.14282'!$A$2:$A$29,0)))</x:f>
      </x:c>
      <x:c r="AC72" s="6" t="str">
        <x:f>IF(INDEX('C_jama.2018.14282'!$P$2:$P$29,MATCH("2018::jama.2018.14282::C027",'C_jama.2018.14282'!$A$2:$A$29,0))="","",INDEX('C_jama.2018.14282'!$P$2:$P$29,MATCH("2018::jama.2018.14282::C027",'C_jama.2018.14282'!$A$2:$A$29,0)))</x:f>
      </x:c>
      <x:c r="AD72" s="6" t="str">
        <x:f>IF(INDEX('C_jama.2018.14282'!$Q$2:$Q$29,MATCH("2018::jama.2018.14282::C027",'C_jama.2018.14282'!$A$2:$A$29,0))="","",INDEX('C_jama.2018.14282'!$Q$2:$Q$29,MATCH("2018::jama.2018.14282::C027",'C_jama.2018.14282'!$A$2:$A$29,0)))</x:f>
      </x:c>
    </x:row>
    <x:row r="73" ht="65" customHeight="1">
      <x:c r="A73" s="3" t="n">
        <x:v>2018</x:v>
      </x:c>
      <x:c r="B73" s="3" t="str">
        <x:v>jama.2018.14282</x:v>
      </x:c>
      <x:c r="C73" s="3" t="str">
        <x:v>2018::jama.2018.14282::C028</x:v>
      </x:c>
      <x:c r="D73" s="3" t="str">
        <x:v>P_P</x:v>
      </x:c>
      <x:c r="E73" s="3" t="n">
        <x:f>Setup!$B$2</x:f>
        <x:v>0</x:v>
      </x:c>
      <x:c r="F73" s="3" t="str">
        <x:f>IF(Setup!$B$4="","",Setup!$B$4)</x:f>
      </x:c>
      <x:c r="G73" s="3" t="str">
        <x:f>IFERROR(INDEX('C_jama.2018.14282'!$G$2:$G$29,MATCH("2018::jama.2018.14282::C028",'C_jama.2018.14282'!$A$2:$A$29,0)),"CHECK KEY")</x:f>
        <x:v>CHECK REVIEWER IDs</x:v>
      </x:c>
      <x:c r="H73" s="3" t="str">
        <x:f>IF(G73&lt;&gt;"FINAL READY","",IF(S73&lt;&gt;"retain","not_eligible",IF(D73="P_R","protocol_descriptive",IF(D73="P_P","plan_descriptive",IF(AND(T73="statistical_results",OR(U73="confirmed_issue",U73="probable_issue"),V73="substantive"),"primary_temporal",IF(AND(T73="report_internal_inconsistency",X73="substantive_inconsistency"),"secondary_temporal","not_eligible"))))))</x:f>
      </x:c>
      <x:c r="I73" s="3" t="str">
        <x:v>retain</x:v>
      </x:c>
      <x:c r="J73" s="3" t="str">
        <x:v>plan_material</x:v>
      </x:c>
      <x:c r="K73" s="3" t="str">
        <x:f>IF(Setup!$B$6="primary","",IFERROR(IF(INDEX('Primary_snapshot'!$B$2:$B$120,MATCH(C73,'Primary_snapshot'!$A$2:$A$120,0))="","",INDEX('Primary_snapshot'!$B$2:$B$120,MATCH(C73,'Primary_snapshot'!$A$2:$A$120,0))),"SNAPSHOT MISSING"))</x:f>
      </x:c>
      <x:c r="L73" s="3" t="str">
        <x:f>IF(Setup!$B$6="primary","",IFERROR(IF(INDEX('Primary_snapshot'!$C$2:$C$120,MATCH(C73,'Primary_snapshot'!$A$2:$A$120,0))="","",INDEX('Primary_snapshot'!$C$2:$C$120,MATCH(C73,'Primary_snapshot'!$A$2:$A$120,0))),"SNAPSHOT MISSING"))</x:f>
      </x:c>
      <x:c r="M73" s="3" t="str">
        <x:f>IF(Setup!$B$6="primary","",IFERROR(IF(INDEX('Primary_snapshot'!$D$2:$D$120,MATCH(C73,'Primary_snapshot'!$A$2:$A$120,0))="","",INDEX('Primary_snapshot'!$D$2:$D$120,MATCH(C73,'Primary_snapshot'!$A$2:$A$120,0))),"SNAPSHOT MISSING"))</x:f>
      </x:c>
      <x:c r="N73" s="3" t="str">
        <x:f>IF(Setup!$B$6="primary","",IFERROR(IF(INDEX('Primary_snapshot'!$E$2:$E$120,MATCH(C73,'Primary_snapshot'!$A$2:$A$120,0))="","",INDEX('Primary_snapshot'!$E$2:$E$120,MATCH(C73,'Primary_snapshot'!$A$2:$A$120,0))),"SNAPSHOT MISSING"))</x:f>
      </x:c>
      <x:c r="O73" s="3" t="str">
        <x:f>IF(Setup!$B$6="primary","",IFERROR(IF(INDEX('Primary_snapshot'!$F$2:$F$120,MATCH(C73,'Primary_snapshot'!$A$2:$A$120,0))="","",INDEX('Primary_snapshot'!$F$2:$F$120,MATCH(C73,'Primary_snapshot'!$A$2:$A$120,0))),"SNAPSHOT MISSING"))</x:f>
      </x:c>
      <x:c r="P73" s="3" t="str">
        <x:f>IF(Setup!$B$6="primary","",IFERROR(IF(INDEX('Primary_snapshot'!$G$2:$G$120,MATCH(C73,'Primary_snapshot'!$A$2:$A$120,0))="","",INDEX('Primary_snapshot'!$G$2:$G$120,MATCH(C73,'Primary_snapshot'!$A$2:$A$120,0))),"SNAPSHOT MISSING"))</x:f>
      </x:c>
      <x:c r="Q73" s="3" t="str">
        <x:f>IF(Setup!$B$6="primary","",IFERROR(IF(INDEX('Primary_snapshot'!$H$2:$H$120,MATCH(C73,'Primary_snapshot'!$A$2:$A$120,0))="","",INDEX('Primary_snapshot'!$H$2:$H$120,MATCH(C73,'Primary_snapshot'!$A$2:$A$120,0))),"SNAPSHOT MISSING"))</x:f>
      </x:c>
      <x:c r="R73" s="3" t="str">
        <x:f>IF(Setup!$B$6="primary","",IFERROR(IF(INDEX('Primary_snapshot'!$I$2:$I$120,MATCH(C73,'Primary_snapshot'!$A$2:$A$120,0))="","",INDEX('Primary_snapshot'!$I$2:$I$120,MATCH(C73,'Primary_snapshot'!$A$2:$A$120,0))),"SNAPSHOT MISSING"))</x:f>
      </x:c>
      <x:c r="S73" s="3" t="str">
        <x:f>IF(INDEX('C_jama.2018.14282'!$D$2:$D$29,MATCH("2018::jama.2018.14282::C028",'C_jama.2018.14282'!$A$2:$A$29,0))="","",INDEX('C_jama.2018.14282'!$D$2:$D$29,MATCH("2018::jama.2018.14282::C028",'C_jama.2018.14282'!$A$2:$A$29,0)))</x:f>
      </x:c>
      <x:c r="T73" s="3" t="str">
        <x:f>IF(INDEX('C_jama.2018.14282'!$E$2:$E$29,MATCH("2018::jama.2018.14282::C028",'C_jama.2018.14282'!$A$2:$A$29,0))="","",INDEX('C_jama.2018.14282'!$E$2:$E$29,MATCH("2018::jama.2018.14282::C028",'C_jama.2018.14282'!$A$2:$A$29,0)))</x:f>
        <x:v>plan_material</x:v>
      </x:c>
      <x:c r="U73" s="3" t="str">
        <x:f>IF(AND(INDEX('C_jama.2018.14282'!$D$2:$D$29,MATCH("2018::jama.2018.14282::C028",'C_jama.2018.14282'!$A$2:$A$29,0))="retain",INDEX('C_jama.2018.14282'!$E$2:$E$29,MATCH("2018::jama.2018.14282::C028",'C_jama.2018.14282'!$A$2:$A$29,0))="statistical_results"),IF(INDEX('C_jama.2018.14282'!$H$2:$H$29,MATCH("2018::jama.2018.14282::C028",'C_jama.2018.14282'!$A$2:$A$29,0))="","",INDEX('C_jama.2018.14282'!$H$2:$H$29,MATCH("2018::jama.2018.14282::C028",'C_jama.2018.14282'!$A$2:$A$29,0))),"not_applicable")</x:f>
        <x:v>not_applicable</x:v>
      </x:c>
      <x:c r="V73" s="3" t="str">
        <x:f>IF(AND(INDEX('C_jama.2018.14282'!$D$2:$D$29,MATCH("2018::jama.2018.14282::C028",'C_jama.2018.14282'!$A$2:$A$29,0))="retain",INDEX('C_jama.2018.14282'!$E$2:$E$29,MATCH("2018::jama.2018.14282::C028",'C_jama.2018.14282'!$A$2:$A$29,0))="statistical_results"),IF(INDEX('C_jama.2018.14282'!$I$2:$I$29,MATCH("2018::jama.2018.14282::C028",'C_jama.2018.14282'!$A$2:$A$29,0))="","",INDEX('C_jama.2018.14282'!$I$2:$I$29,MATCH("2018::jama.2018.14282::C028",'C_jama.2018.14282'!$A$2:$A$29,0))),"not_applicable")</x:f>
        <x:v>not_applicable</x:v>
      </x:c>
      <x:c r="W73" s="3" t="str">
        <x:f>IF(AND(INDEX('C_jama.2018.14282'!$D$2:$D$29,MATCH("2018::jama.2018.14282::C028",'C_jama.2018.14282'!$A$2:$A$29,0))="retain",INDEX('C_jama.2018.14282'!$E$2:$E$29,MATCH("2018::jama.2018.14282::C028",'C_jama.2018.14282'!$A$2:$A$29,0))="statistical_results"),IF(INDEX('C_jama.2018.14282'!$J$2:$J$29,MATCH("2018::jama.2018.14282::C028",'C_jama.2018.14282'!$A$2:$A$29,0))="","",INDEX('C_jama.2018.14282'!$J$2:$J$29,MATCH("2018::jama.2018.14282::C028",'C_jama.2018.14282'!$A$2:$A$29,0))),"not_applicable")</x:f>
        <x:v>not_applicable</x:v>
      </x:c>
      <x:c r="X73" s="3" t="str">
        <x:f>IF(AND(INDEX('C_jama.2018.14282'!$D$2:$D$29,MATCH("2018::jama.2018.14282::C028",'C_jama.2018.14282'!$A$2:$A$29,0))="retain",OR(INDEX('C_jama.2018.14282'!$E$2:$E$29,MATCH("2018::jama.2018.14282::C028",'C_jama.2018.14282'!$A$2:$A$29,0))="report_internal_inconsistency",INDEX('C_jama.2018.14282'!$E$2:$E$29,MATCH("2018::jama.2018.14282::C028",'C_jama.2018.14282'!$A$2:$A$29,0))="plan_material")),IF(INDEX('C_jama.2018.14282'!$K$2:$K$29,MATCH("2018::jama.2018.14282::C028",'C_jama.2018.14282'!$A$2:$A$29,0))="","",INDEX('C_jama.2018.14282'!$K$2:$K$29,MATCH("2018::jama.2018.14282::C028",'C_jama.2018.14282'!$A$2:$A$29,0))),"not_applicable")</x:f>
        <x:v>not_applicable</x:v>
      </x:c>
      <x:c r="Y73" s="3" t="str">
        <x:f>IF(AND(INDEX('C_jama.2018.14282'!$D$2:$D$29,MATCH("2018::jama.2018.14282::C028",'C_jama.2018.14282'!$A$2:$A$29,0))="retain",INDEX('C_jama.2018.14282'!$E$2:$E$29,MATCH("2018::jama.2018.14282::C028",'C_jama.2018.14282'!$A$2:$A$29,0))="protocol_report"),IF(INDEX('C_jama.2018.14282'!$L$2:$L$29,MATCH("2018::jama.2018.14282::C028",'C_jama.2018.14282'!$A$2:$A$29,0))="","",INDEX('C_jama.2018.14282'!$L$2:$L$29,MATCH("2018::jama.2018.14282::C028",'C_jama.2018.14282'!$A$2:$A$29,0))),"not_applicable")</x:f>
        <x:v>not_applicable</x:v>
      </x:c>
      <x:c r="Z73" s="3" t="str">
        <x:f>IF(INDEX('C_jama.2018.14282'!$R$2:$R$29,MATCH("2018::jama.2018.14282::C028",'C_jama.2018.14282'!$A$2:$A$29,0))="","",INDEX('C_jama.2018.14282'!$R$2:$R$29,MATCH("2018::jama.2018.14282::C028",'C_jama.2018.14282'!$A$2:$A$29,0)))</x:f>
      </x:c>
      <x:c r="AA73" s="3" t="str">
        <x:f>IF(INDEX('C_jama.2018.14282'!$N$2:$N$29,MATCH("2018::jama.2018.14282::C028",'C_jama.2018.14282'!$A$2:$A$29,0))="","",INDEX('C_jama.2018.14282'!$N$2:$N$29,MATCH("2018::jama.2018.14282::C028",'C_jama.2018.14282'!$A$2:$A$29,0)))</x:f>
      </x:c>
      <x:c r="AB73" s="3" t="str">
        <x:f>IF(INDEX('C_jama.2018.14282'!$O$2:$O$29,MATCH("2018::jama.2018.14282::C028",'C_jama.2018.14282'!$A$2:$A$29,0))="","",INDEX('C_jama.2018.14282'!$O$2:$O$29,MATCH("2018::jama.2018.14282::C028",'C_jama.2018.14282'!$A$2:$A$29,0)))</x:f>
      </x:c>
      <x:c r="AC73" s="3" t="str">
        <x:f>IF(INDEX('C_jama.2018.14282'!$P$2:$P$29,MATCH("2018::jama.2018.14282::C028",'C_jama.2018.14282'!$A$2:$A$29,0))="","",INDEX('C_jama.2018.14282'!$P$2:$P$29,MATCH("2018::jama.2018.14282::C028",'C_jama.2018.14282'!$A$2:$A$29,0)))</x:f>
      </x:c>
      <x:c r="AD73" s="3" t="str">
        <x:f>IF(INDEX('C_jama.2018.14282'!$Q$2:$Q$29,MATCH("2018::jama.2018.14282::C028",'C_jama.2018.14282'!$A$2:$A$29,0))="","",INDEX('C_jama.2018.14282'!$Q$2:$Q$29,MATCH("2018::jama.2018.14282::C028",'C_jama.2018.14282'!$A$2:$A$29,0)))</x:f>
      </x:c>
    </x:row>
    <x:row r="74" ht="65" customHeight="1">
      <x:c r="A74" s="6" t="n">
        <x:v>2018</x:v>
      </x:c>
      <x:c r="B74" s="6" t="str">
        <x:v>jama.2018.17075</x:v>
      </x:c>
      <x:c r="C74" s="6" t="str">
        <x:v>2018::jama.2018.17075::C001</x:v>
      </x:c>
      <x:c r="D74" s="6" t="str">
        <x:v>S_W</x:v>
      </x:c>
      <x:c r="E74" s="6" t="n">
        <x:f>Setup!$B$2</x:f>
        <x:v>0</x:v>
      </x:c>
      <x:c r="F74" s="6" t="str">
        <x:f>IF(Setup!$B$4="","",Setup!$B$4)</x:f>
      </x:c>
      <x:c r="G74" s="6" t="str">
        <x:f>IFERROR(INDEX('C_jama.2018.17075'!$G$2:$G$9,MATCH("2018::jama.2018.17075::C001",'C_jama.2018.17075'!$A$2:$A$9,0)),"CHECK KEY")</x:f>
        <x:v>CHECK REVIEWER IDs</x:v>
      </x:c>
      <x:c r="H74" s="6" t="str">
        <x:f>IF(G74&lt;&gt;"FINAL READY","",IF(S74&lt;&gt;"retain","not_eligible",IF(D74="P_R","protocol_descriptive",IF(D74="P_P","plan_descriptive",IF(AND(T74="statistical_results",OR(U74="confirmed_issue",U74="probable_issue"),V74="substantive"),"primary_temporal",IF(AND(T74="report_internal_inconsistency",X74="substantive_inconsistency"),"secondary_temporal","not_eligible"))))))</x:f>
      </x:c>
      <x:c r="I74" s="6" t="str">
        <x:v>retain</x:v>
      </x:c>
      <x:c r="J74" s="6" t="str">
        <x:v>statistical_results</x:v>
      </x:c>
      <x:c r="K74" s="6" t="str">
        <x:f>IF(Setup!$B$6="primary","",IFERROR(IF(INDEX('Primary_snapshot'!$B$2:$B$120,MATCH(C74,'Primary_snapshot'!$A$2:$A$120,0))="","",INDEX('Primary_snapshot'!$B$2:$B$120,MATCH(C74,'Primary_snapshot'!$A$2:$A$120,0))),"SNAPSHOT MISSING"))</x:f>
      </x:c>
      <x:c r="L74" s="6" t="str">
        <x:f>IF(Setup!$B$6="primary","",IFERROR(IF(INDEX('Primary_snapshot'!$C$2:$C$120,MATCH(C74,'Primary_snapshot'!$A$2:$A$120,0))="","",INDEX('Primary_snapshot'!$C$2:$C$120,MATCH(C74,'Primary_snapshot'!$A$2:$A$120,0))),"SNAPSHOT MISSING"))</x:f>
      </x:c>
      <x:c r="M74" s="6" t="str">
        <x:f>IF(Setup!$B$6="primary","",IFERROR(IF(INDEX('Primary_snapshot'!$D$2:$D$120,MATCH(C74,'Primary_snapshot'!$A$2:$A$120,0))="","",INDEX('Primary_snapshot'!$D$2:$D$120,MATCH(C74,'Primary_snapshot'!$A$2:$A$120,0))),"SNAPSHOT MISSING"))</x:f>
      </x:c>
      <x:c r="N74" s="6" t="str">
        <x:f>IF(Setup!$B$6="primary","",IFERROR(IF(INDEX('Primary_snapshot'!$E$2:$E$120,MATCH(C74,'Primary_snapshot'!$A$2:$A$120,0))="","",INDEX('Primary_snapshot'!$E$2:$E$120,MATCH(C74,'Primary_snapshot'!$A$2:$A$120,0))),"SNAPSHOT MISSING"))</x:f>
      </x:c>
      <x:c r="O74" s="6" t="str">
        <x:f>IF(Setup!$B$6="primary","",IFERROR(IF(INDEX('Primary_snapshot'!$F$2:$F$120,MATCH(C74,'Primary_snapshot'!$A$2:$A$120,0))="","",INDEX('Primary_snapshot'!$F$2:$F$120,MATCH(C74,'Primary_snapshot'!$A$2:$A$120,0))),"SNAPSHOT MISSING"))</x:f>
      </x:c>
      <x:c r="P74" s="6" t="str">
        <x:f>IF(Setup!$B$6="primary","",IFERROR(IF(INDEX('Primary_snapshot'!$G$2:$G$120,MATCH(C74,'Primary_snapshot'!$A$2:$A$120,0))="","",INDEX('Primary_snapshot'!$G$2:$G$120,MATCH(C74,'Primary_snapshot'!$A$2:$A$120,0))),"SNAPSHOT MISSING"))</x:f>
      </x:c>
      <x:c r="Q74" s="6" t="str">
        <x:f>IF(Setup!$B$6="primary","",IFERROR(IF(INDEX('Primary_snapshot'!$H$2:$H$120,MATCH(C74,'Primary_snapshot'!$A$2:$A$120,0))="","",INDEX('Primary_snapshot'!$H$2:$H$120,MATCH(C74,'Primary_snapshot'!$A$2:$A$120,0))),"SNAPSHOT MISSING"))</x:f>
      </x:c>
      <x:c r="R74" s="6" t="str">
        <x:f>IF(Setup!$B$6="primary","",IFERROR(IF(INDEX('Primary_snapshot'!$I$2:$I$120,MATCH(C74,'Primary_snapshot'!$A$2:$A$120,0))="","",INDEX('Primary_snapshot'!$I$2:$I$120,MATCH(C74,'Primary_snapshot'!$A$2:$A$120,0))),"SNAPSHOT MISSING"))</x:f>
      </x:c>
      <x:c r="S74" s="6" t="str">
        <x:f>IF(INDEX('C_jama.2018.17075'!$D$2:$D$9,MATCH("2018::jama.2018.17075::C001",'C_jama.2018.17075'!$A$2:$A$9,0))="","",INDEX('C_jama.2018.17075'!$D$2:$D$9,MATCH("2018::jama.2018.17075::C001",'C_jama.2018.17075'!$A$2:$A$9,0)))</x:f>
      </x:c>
      <x:c r="T74" s="6" t="str">
        <x:f>IF(INDEX('C_jama.2018.17075'!$E$2:$E$9,MATCH("2018::jama.2018.17075::C001",'C_jama.2018.17075'!$A$2:$A$9,0))="","",INDEX('C_jama.2018.17075'!$E$2:$E$9,MATCH("2018::jama.2018.17075::C001",'C_jama.2018.17075'!$A$2:$A$9,0)))</x:f>
        <x:v>statistical_results</x:v>
      </x:c>
      <x:c r="U74" s="6" t="str">
        <x:f>IF(AND(INDEX('C_jama.2018.17075'!$D$2:$D$9,MATCH("2018::jama.2018.17075::C001",'C_jama.2018.17075'!$A$2:$A$9,0))="retain",INDEX('C_jama.2018.17075'!$E$2:$E$9,MATCH("2018::jama.2018.17075::C001",'C_jama.2018.17075'!$A$2:$A$9,0))="statistical_results"),IF(INDEX('C_jama.2018.17075'!$H$2:$H$9,MATCH("2018::jama.2018.17075::C001",'C_jama.2018.17075'!$A$2:$A$9,0))="","",INDEX('C_jama.2018.17075'!$H$2:$H$9,MATCH("2018::jama.2018.17075::C001",'C_jama.2018.17075'!$A$2:$A$9,0))),"not_applicable")</x:f>
        <x:v>not_applicable</x:v>
      </x:c>
      <x:c r="V74" s="6" t="str">
        <x:f>IF(AND(INDEX('C_jama.2018.17075'!$D$2:$D$9,MATCH("2018::jama.2018.17075::C001",'C_jama.2018.17075'!$A$2:$A$9,0))="retain",INDEX('C_jama.2018.17075'!$E$2:$E$9,MATCH("2018::jama.2018.17075::C001",'C_jama.2018.17075'!$A$2:$A$9,0))="statistical_results"),IF(INDEX('C_jama.2018.17075'!$I$2:$I$9,MATCH("2018::jama.2018.17075::C001",'C_jama.2018.17075'!$A$2:$A$9,0))="","",INDEX('C_jama.2018.17075'!$I$2:$I$9,MATCH("2018::jama.2018.17075::C001",'C_jama.2018.17075'!$A$2:$A$9,0))),"not_applicable")</x:f>
        <x:v>not_applicable</x:v>
      </x:c>
      <x:c r="W74" s="6" t="str">
        <x:f>IF(AND(INDEX('C_jama.2018.17075'!$D$2:$D$9,MATCH("2018::jama.2018.17075::C001",'C_jama.2018.17075'!$A$2:$A$9,0))="retain",INDEX('C_jama.2018.17075'!$E$2:$E$9,MATCH("2018::jama.2018.17075::C001",'C_jama.2018.17075'!$A$2:$A$9,0))="statistical_results"),IF(INDEX('C_jama.2018.17075'!$J$2:$J$9,MATCH("2018::jama.2018.17075::C001",'C_jama.2018.17075'!$A$2:$A$9,0))="","",INDEX('C_jama.2018.17075'!$J$2:$J$9,MATCH("2018::jama.2018.17075::C001",'C_jama.2018.17075'!$A$2:$A$9,0))),"not_applicable")</x:f>
        <x:v>not_applicable</x:v>
      </x:c>
      <x:c r="X74" s="6" t="str">
        <x:f>IF(AND(INDEX('C_jama.2018.17075'!$D$2:$D$9,MATCH("2018::jama.2018.17075::C001",'C_jama.2018.17075'!$A$2:$A$9,0))="retain",OR(INDEX('C_jama.2018.17075'!$E$2:$E$9,MATCH("2018::jama.2018.17075::C001",'C_jama.2018.17075'!$A$2:$A$9,0))="report_internal_inconsistency",INDEX('C_jama.2018.17075'!$E$2:$E$9,MATCH("2018::jama.2018.17075::C001",'C_jama.2018.17075'!$A$2:$A$9,0))="plan_material")),IF(INDEX('C_jama.2018.17075'!$K$2:$K$9,MATCH("2018::jama.2018.17075::C001",'C_jama.2018.17075'!$A$2:$A$9,0))="","",INDEX('C_jama.2018.17075'!$K$2:$K$9,MATCH("2018::jama.2018.17075::C001",'C_jama.2018.17075'!$A$2:$A$9,0))),"not_applicable")</x:f>
        <x:v>not_applicable</x:v>
      </x:c>
      <x:c r="Y74" s="6" t="str">
        <x:f>IF(AND(INDEX('C_jama.2018.17075'!$D$2:$D$9,MATCH("2018::jama.2018.17075::C001",'C_jama.2018.17075'!$A$2:$A$9,0))="retain",INDEX('C_jama.2018.17075'!$E$2:$E$9,MATCH("2018::jama.2018.17075::C001",'C_jama.2018.17075'!$A$2:$A$9,0))="protocol_report"),IF(INDEX('C_jama.2018.17075'!$L$2:$L$9,MATCH("2018::jama.2018.17075::C001",'C_jama.2018.17075'!$A$2:$A$9,0))="","",INDEX('C_jama.2018.17075'!$L$2:$L$9,MATCH("2018::jama.2018.17075::C001",'C_jama.2018.17075'!$A$2:$A$9,0))),"not_applicable")</x:f>
        <x:v>not_applicable</x:v>
      </x:c>
      <x:c r="Z74" s="6" t="str">
        <x:f>IF(INDEX('C_jama.2018.17075'!$R$2:$R$9,MATCH("2018::jama.2018.17075::C001",'C_jama.2018.17075'!$A$2:$A$9,0))="","",INDEX('C_jama.2018.17075'!$R$2:$R$9,MATCH("2018::jama.2018.17075::C001",'C_jama.2018.17075'!$A$2:$A$9,0)))</x:f>
      </x:c>
      <x:c r="AA74" s="6" t="str">
        <x:f>IF(INDEX('C_jama.2018.17075'!$N$2:$N$9,MATCH("2018::jama.2018.17075::C001",'C_jama.2018.17075'!$A$2:$A$9,0))="","",INDEX('C_jama.2018.17075'!$N$2:$N$9,MATCH("2018::jama.2018.17075::C001",'C_jama.2018.17075'!$A$2:$A$9,0)))</x:f>
      </x:c>
      <x:c r="AB74" s="6" t="str">
        <x:f>IF(INDEX('C_jama.2018.17075'!$O$2:$O$9,MATCH("2018::jama.2018.17075::C001",'C_jama.2018.17075'!$A$2:$A$9,0))="","",INDEX('C_jama.2018.17075'!$O$2:$O$9,MATCH("2018::jama.2018.17075::C001",'C_jama.2018.17075'!$A$2:$A$9,0)))</x:f>
      </x:c>
      <x:c r="AC74" s="6" t="str">
        <x:f>IF(INDEX('C_jama.2018.17075'!$P$2:$P$9,MATCH("2018::jama.2018.17075::C001",'C_jama.2018.17075'!$A$2:$A$9,0))="","",INDEX('C_jama.2018.17075'!$P$2:$P$9,MATCH("2018::jama.2018.17075::C001",'C_jama.2018.17075'!$A$2:$A$9,0)))</x:f>
      </x:c>
      <x:c r="AD74" s="6" t="str">
        <x:f>IF(INDEX('C_jama.2018.17075'!$Q$2:$Q$9,MATCH("2018::jama.2018.17075::C001",'C_jama.2018.17075'!$A$2:$A$9,0))="","",INDEX('C_jama.2018.17075'!$Q$2:$Q$9,MATCH("2018::jama.2018.17075::C001",'C_jama.2018.17075'!$A$2:$A$9,0)))</x:f>
      </x:c>
    </x:row>
    <x:row r="75" ht="65" customHeight="1">
      <x:c r="A75" s="3" t="n">
        <x:v>2018</x:v>
      </x:c>
      <x:c r="B75" s="3" t="str">
        <x:v>jama.2018.17075</x:v>
      </x:c>
      <x:c r="C75" s="3" t="str">
        <x:v>2018::jama.2018.17075::C002</x:v>
      </x:c>
      <x:c r="D75" s="3" t="str">
        <x:v>S_W</x:v>
      </x:c>
      <x:c r="E75" s="3" t="n">
        <x:f>Setup!$B$2</x:f>
        <x:v>0</x:v>
      </x:c>
      <x:c r="F75" s="3" t="str">
        <x:f>IF(Setup!$B$4="","",Setup!$B$4)</x:f>
      </x:c>
      <x:c r="G75" s="3" t="str">
        <x:f>IFERROR(INDEX('C_jama.2018.17075'!$G$2:$G$9,MATCH("2018::jama.2018.17075::C002",'C_jama.2018.17075'!$A$2:$A$9,0)),"CHECK KEY")</x:f>
        <x:v>CHECK REVIEWER IDs</x:v>
      </x:c>
      <x:c r="H75" s="3" t="str">
        <x:f>IF(G75&lt;&gt;"FINAL READY","",IF(S75&lt;&gt;"retain","not_eligible",IF(D75="P_R","protocol_descriptive",IF(D75="P_P","plan_descriptive",IF(AND(T75="statistical_results",OR(U75="confirmed_issue",U75="probable_issue"),V75="substantive"),"primary_temporal",IF(AND(T75="report_internal_inconsistency",X75="substantive_inconsistency"),"secondary_temporal","not_eligible"))))))</x:f>
      </x:c>
      <x:c r="I75" s="3" t="str">
        <x:v>retain</x:v>
      </x:c>
      <x:c r="J75" s="3" t="str">
        <x:v>report_internal_inconsistency</x:v>
      </x:c>
      <x:c r="K75" s="3" t="str">
        <x:f>IF(Setup!$B$6="primary","",IFERROR(IF(INDEX('Primary_snapshot'!$B$2:$B$120,MATCH(C75,'Primary_snapshot'!$A$2:$A$120,0))="","",INDEX('Primary_snapshot'!$B$2:$B$120,MATCH(C75,'Primary_snapshot'!$A$2:$A$120,0))),"SNAPSHOT MISSING"))</x:f>
      </x:c>
      <x:c r="L75" s="3" t="str">
        <x:f>IF(Setup!$B$6="primary","",IFERROR(IF(INDEX('Primary_snapshot'!$C$2:$C$120,MATCH(C75,'Primary_snapshot'!$A$2:$A$120,0))="","",INDEX('Primary_snapshot'!$C$2:$C$120,MATCH(C75,'Primary_snapshot'!$A$2:$A$120,0))),"SNAPSHOT MISSING"))</x:f>
      </x:c>
      <x:c r="M75" s="3" t="str">
        <x:f>IF(Setup!$B$6="primary","",IFERROR(IF(INDEX('Primary_snapshot'!$D$2:$D$120,MATCH(C75,'Primary_snapshot'!$A$2:$A$120,0))="","",INDEX('Primary_snapshot'!$D$2:$D$120,MATCH(C75,'Primary_snapshot'!$A$2:$A$120,0))),"SNAPSHOT MISSING"))</x:f>
      </x:c>
      <x:c r="N75" s="3" t="str">
        <x:f>IF(Setup!$B$6="primary","",IFERROR(IF(INDEX('Primary_snapshot'!$E$2:$E$120,MATCH(C75,'Primary_snapshot'!$A$2:$A$120,0))="","",INDEX('Primary_snapshot'!$E$2:$E$120,MATCH(C75,'Primary_snapshot'!$A$2:$A$120,0))),"SNAPSHOT MISSING"))</x:f>
      </x:c>
      <x:c r="O75" s="3" t="str">
        <x:f>IF(Setup!$B$6="primary","",IFERROR(IF(INDEX('Primary_snapshot'!$F$2:$F$120,MATCH(C75,'Primary_snapshot'!$A$2:$A$120,0))="","",INDEX('Primary_snapshot'!$F$2:$F$120,MATCH(C75,'Primary_snapshot'!$A$2:$A$120,0))),"SNAPSHOT MISSING"))</x:f>
      </x:c>
      <x:c r="P75" s="3" t="str">
        <x:f>IF(Setup!$B$6="primary","",IFERROR(IF(INDEX('Primary_snapshot'!$G$2:$G$120,MATCH(C75,'Primary_snapshot'!$A$2:$A$120,0))="","",INDEX('Primary_snapshot'!$G$2:$G$120,MATCH(C75,'Primary_snapshot'!$A$2:$A$120,0))),"SNAPSHOT MISSING"))</x:f>
      </x:c>
      <x:c r="Q75" s="3" t="str">
        <x:f>IF(Setup!$B$6="primary","",IFERROR(IF(INDEX('Primary_snapshot'!$H$2:$H$120,MATCH(C75,'Primary_snapshot'!$A$2:$A$120,0))="","",INDEX('Primary_snapshot'!$H$2:$H$120,MATCH(C75,'Primary_snapshot'!$A$2:$A$120,0))),"SNAPSHOT MISSING"))</x:f>
      </x:c>
      <x:c r="R75" s="3" t="str">
        <x:f>IF(Setup!$B$6="primary","",IFERROR(IF(INDEX('Primary_snapshot'!$I$2:$I$120,MATCH(C75,'Primary_snapshot'!$A$2:$A$120,0))="","",INDEX('Primary_snapshot'!$I$2:$I$120,MATCH(C75,'Primary_snapshot'!$A$2:$A$120,0))),"SNAPSHOT MISSING"))</x:f>
      </x:c>
      <x:c r="S75" s="3" t="str">
        <x:f>IF(INDEX('C_jama.2018.17075'!$D$2:$D$9,MATCH("2018::jama.2018.17075::C002",'C_jama.2018.17075'!$A$2:$A$9,0))="","",INDEX('C_jama.2018.17075'!$D$2:$D$9,MATCH("2018::jama.2018.17075::C002",'C_jama.2018.17075'!$A$2:$A$9,0)))</x:f>
      </x:c>
      <x:c r="T75" s="3" t="str">
        <x:f>IF(INDEX('C_jama.2018.17075'!$E$2:$E$9,MATCH("2018::jama.2018.17075::C002",'C_jama.2018.17075'!$A$2:$A$9,0))="","",INDEX('C_jama.2018.17075'!$E$2:$E$9,MATCH("2018::jama.2018.17075::C002",'C_jama.2018.17075'!$A$2:$A$9,0)))</x:f>
        <x:v>report_internal_inconsistency</x:v>
      </x:c>
      <x:c r="U75" s="3" t="str">
        <x:f>IF(AND(INDEX('C_jama.2018.17075'!$D$2:$D$9,MATCH("2018::jama.2018.17075::C002",'C_jama.2018.17075'!$A$2:$A$9,0))="retain",INDEX('C_jama.2018.17075'!$E$2:$E$9,MATCH("2018::jama.2018.17075::C002",'C_jama.2018.17075'!$A$2:$A$9,0))="statistical_results"),IF(INDEX('C_jama.2018.17075'!$H$2:$H$9,MATCH("2018::jama.2018.17075::C002",'C_jama.2018.17075'!$A$2:$A$9,0))="","",INDEX('C_jama.2018.17075'!$H$2:$H$9,MATCH("2018::jama.2018.17075::C002",'C_jama.2018.17075'!$A$2:$A$9,0))),"not_applicable")</x:f>
        <x:v>not_applicable</x:v>
      </x:c>
      <x:c r="V75" s="3" t="str">
        <x:f>IF(AND(INDEX('C_jama.2018.17075'!$D$2:$D$9,MATCH("2018::jama.2018.17075::C002",'C_jama.2018.17075'!$A$2:$A$9,0))="retain",INDEX('C_jama.2018.17075'!$E$2:$E$9,MATCH("2018::jama.2018.17075::C002",'C_jama.2018.17075'!$A$2:$A$9,0))="statistical_results"),IF(INDEX('C_jama.2018.17075'!$I$2:$I$9,MATCH("2018::jama.2018.17075::C002",'C_jama.2018.17075'!$A$2:$A$9,0))="","",INDEX('C_jama.2018.17075'!$I$2:$I$9,MATCH("2018::jama.2018.17075::C002",'C_jama.2018.17075'!$A$2:$A$9,0))),"not_applicable")</x:f>
        <x:v>not_applicable</x:v>
      </x:c>
      <x:c r="W75" s="3" t="str">
        <x:f>IF(AND(INDEX('C_jama.2018.17075'!$D$2:$D$9,MATCH("2018::jama.2018.17075::C002",'C_jama.2018.17075'!$A$2:$A$9,0))="retain",INDEX('C_jama.2018.17075'!$E$2:$E$9,MATCH("2018::jama.2018.17075::C002",'C_jama.2018.17075'!$A$2:$A$9,0))="statistical_results"),IF(INDEX('C_jama.2018.17075'!$J$2:$J$9,MATCH("2018::jama.2018.17075::C002",'C_jama.2018.17075'!$A$2:$A$9,0))="","",INDEX('C_jama.2018.17075'!$J$2:$J$9,MATCH("2018::jama.2018.17075::C002",'C_jama.2018.17075'!$A$2:$A$9,0))),"not_applicable")</x:f>
        <x:v>not_applicable</x:v>
      </x:c>
      <x:c r="X75" s="3" t="str">
        <x:f>IF(AND(INDEX('C_jama.2018.17075'!$D$2:$D$9,MATCH("2018::jama.2018.17075::C002",'C_jama.2018.17075'!$A$2:$A$9,0))="retain",OR(INDEX('C_jama.2018.17075'!$E$2:$E$9,MATCH("2018::jama.2018.17075::C002",'C_jama.2018.17075'!$A$2:$A$9,0))="report_internal_inconsistency",INDEX('C_jama.2018.17075'!$E$2:$E$9,MATCH("2018::jama.2018.17075::C002",'C_jama.2018.17075'!$A$2:$A$9,0))="plan_material")),IF(INDEX('C_jama.2018.17075'!$K$2:$K$9,MATCH("2018::jama.2018.17075::C002",'C_jama.2018.17075'!$A$2:$A$9,0))="","",INDEX('C_jama.2018.17075'!$K$2:$K$9,MATCH("2018::jama.2018.17075::C002",'C_jama.2018.17075'!$A$2:$A$9,0))),"not_applicable")</x:f>
        <x:v>not_applicable</x:v>
      </x:c>
      <x:c r="Y75" s="3" t="str">
        <x:f>IF(AND(INDEX('C_jama.2018.17075'!$D$2:$D$9,MATCH("2018::jama.2018.17075::C002",'C_jama.2018.17075'!$A$2:$A$9,0))="retain",INDEX('C_jama.2018.17075'!$E$2:$E$9,MATCH("2018::jama.2018.17075::C002",'C_jama.2018.17075'!$A$2:$A$9,0))="protocol_report"),IF(INDEX('C_jama.2018.17075'!$L$2:$L$9,MATCH("2018::jama.2018.17075::C002",'C_jama.2018.17075'!$A$2:$A$9,0))="","",INDEX('C_jama.2018.17075'!$L$2:$L$9,MATCH("2018::jama.2018.17075::C002",'C_jama.2018.17075'!$A$2:$A$9,0))),"not_applicable")</x:f>
        <x:v>not_applicable</x:v>
      </x:c>
      <x:c r="Z75" s="3" t="str">
        <x:f>IF(INDEX('C_jama.2018.17075'!$R$2:$R$9,MATCH("2018::jama.2018.17075::C002",'C_jama.2018.17075'!$A$2:$A$9,0))="","",INDEX('C_jama.2018.17075'!$R$2:$R$9,MATCH("2018::jama.2018.17075::C002",'C_jama.2018.17075'!$A$2:$A$9,0)))</x:f>
      </x:c>
      <x:c r="AA75" s="3" t="str">
        <x:f>IF(INDEX('C_jama.2018.17075'!$N$2:$N$9,MATCH("2018::jama.2018.17075::C002",'C_jama.2018.17075'!$A$2:$A$9,0))="","",INDEX('C_jama.2018.17075'!$N$2:$N$9,MATCH("2018::jama.2018.17075::C002",'C_jama.2018.17075'!$A$2:$A$9,0)))</x:f>
      </x:c>
      <x:c r="AB75" s="3" t="str">
        <x:f>IF(INDEX('C_jama.2018.17075'!$O$2:$O$9,MATCH("2018::jama.2018.17075::C002",'C_jama.2018.17075'!$A$2:$A$9,0))="","",INDEX('C_jama.2018.17075'!$O$2:$O$9,MATCH("2018::jama.2018.17075::C002",'C_jama.2018.17075'!$A$2:$A$9,0)))</x:f>
      </x:c>
      <x:c r="AC75" s="3" t="str">
        <x:f>IF(INDEX('C_jama.2018.17075'!$P$2:$P$9,MATCH("2018::jama.2018.17075::C002",'C_jama.2018.17075'!$A$2:$A$9,0))="","",INDEX('C_jama.2018.17075'!$P$2:$P$9,MATCH("2018::jama.2018.17075::C002",'C_jama.2018.17075'!$A$2:$A$9,0)))</x:f>
      </x:c>
      <x:c r="AD75" s="3" t="str">
        <x:f>IF(INDEX('C_jama.2018.17075'!$Q$2:$Q$9,MATCH("2018::jama.2018.17075::C002",'C_jama.2018.17075'!$A$2:$A$9,0))="","",INDEX('C_jama.2018.17075'!$Q$2:$Q$9,MATCH("2018::jama.2018.17075::C002",'C_jama.2018.17075'!$A$2:$A$9,0)))</x:f>
      </x:c>
    </x:row>
    <x:row r="76" ht="65" customHeight="1">
      <x:c r="A76" s="6" t="n">
        <x:v>2018</x:v>
      </x:c>
      <x:c r="B76" s="6" t="str">
        <x:v>jama.2018.17075</x:v>
      </x:c>
      <x:c r="C76" s="6" t="str">
        <x:v>2018::jama.2018.17075::C003</x:v>
      </x:c>
      <x:c r="D76" s="6" t="str">
        <x:v>S_C</x:v>
      </x:c>
      <x:c r="E76" s="6" t="n">
        <x:f>Setup!$B$2</x:f>
        <x:v>0</x:v>
      </x:c>
      <x:c r="F76" s="6" t="str">
        <x:f>IF(Setup!$B$4="","",Setup!$B$4)</x:f>
      </x:c>
      <x:c r="G76" s="6" t="str">
        <x:f>IFERROR(INDEX('C_jama.2018.17075'!$G$2:$G$9,MATCH("2018::jama.2018.17075::C003",'C_jama.2018.17075'!$A$2:$A$9,0)),"CHECK KEY")</x:f>
        <x:v>CHECK REVIEWER IDs</x:v>
      </x:c>
      <x:c r="H76" s="6" t="str">
        <x:f>IF(G76&lt;&gt;"FINAL READY","",IF(S76&lt;&gt;"retain","not_eligible",IF(D76="P_R","protocol_descriptive",IF(D76="P_P","plan_descriptive",IF(AND(T76="statistical_results",OR(U76="confirmed_issue",U76="probable_issue"),V76="substantive"),"primary_temporal",IF(AND(T76="report_internal_inconsistency",X76="substantive_inconsistency"),"secondary_temporal","not_eligible"))))))</x:f>
      </x:c>
      <x:c r="I76" s="6" t="str">
        <x:v>retain</x:v>
      </x:c>
      <x:c r="J76" s="6" t="str">
        <x:v>statistical_results</x:v>
      </x:c>
      <x:c r="K76" s="6" t="str">
        <x:f>IF(Setup!$B$6="primary","",IFERROR(IF(INDEX('Primary_snapshot'!$B$2:$B$120,MATCH(C76,'Primary_snapshot'!$A$2:$A$120,0))="","",INDEX('Primary_snapshot'!$B$2:$B$120,MATCH(C76,'Primary_snapshot'!$A$2:$A$120,0))),"SNAPSHOT MISSING"))</x:f>
      </x:c>
      <x:c r="L76" s="6" t="str">
        <x:f>IF(Setup!$B$6="primary","",IFERROR(IF(INDEX('Primary_snapshot'!$C$2:$C$120,MATCH(C76,'Primary_snapshot'!$A$2:$A$120,0))="","",INDEX('Primary_snapshot'!$C$2:$C$120,MATCH(C76,'Primary_snapshot'!$A$2:$A$120,0))),"SNAPSHOT MISSING"))</x:f>
      </x:c>
      <x:c r="M76" s="6" t="str">
        <x:f>IF(Setup!$B$6="primary","",IFERROR(IF(INDEX('Primary_snapshot'!$D$2:$D$120,MATCH(C76,'Primary_snapshot'!$A$2:$A$120,0))="","",INDEX('Primary_snapshot'!$D$2:$D$120,MATCH(C76,'Primary_snapshot'!$A$2:$A$120,0))),"SNAPSHOT MISSING"))</x:f>
      </x:c>
      <x:c r="N76" s="6" t="str">
        <x:f>IF(Setup!$B$6="primary","",IFERROR(IF(INDEX('Primary_snapshot'!$E$2:$E$120,MATCH(C76,'Primary_snapshot'!$A$2:$A$120,0))="","",INDEX('Primary_snapshot'!$E$2:$E$120,MATCH(C76,'Primary_snapshot'!$A$2:$A$120,0))),"SNAPSHOT MISSING"))</x:f>
      </x:c>
      <x:c r="O76" s="6" t="str">
        <x:f>IF(Setup!$B$6="primary","",IFERROR(IF(INDEX('Primary_snapshot'!$F$2:$F$120,MATCH(C76,'Primary_snapshot'!$A$2:$A$120,0))="","",INDEX('Primary_snapshot'!$F$2:$F$120,MATCH(C76,'Primary_snapshot'!$A$2:$A$120,0))),"SNAPSHOT MISSING"))</x:f>
      </x:c>
      <x:c r="P76" s="6" t="str">
        <x:f>IF(Setup!$B$6="primary","",IFERROR(IF(INDEX('Primary_snapshot'!$G$2:$G$120,MATCH(C76,'Primary_snapshot'!$A$2:$A$120,0))="","",INDEX('Primary_snapshot'!$G$2:$G$120,MATCH(C76,'Primary_snapshot'!$A$2:$A$120,0))),"SNAPSHOT MISSING"))</x:f>
      </x:c>
      <x:c r="Q76" s="6" t="str">
        <x:f>IF(Setup!$B$6="primary","",IFERROR(IF(INDEX('Primary_snapshot'!$H$2:$H$120,MATCH(C76,'Primary_snapshot'!$A$2:$A$120,0))="","",INDEX('Primary_snapshot'!$H$2:$H$120,MATCH(C76,'Primary_snapshot'!$A$2:$A$120,0))),"SNAPSHOT MISSING"))</x:f>
      </x:c>
      <x:c r="R76" s="6" t="str">
        <x:f>IF(Setup!$B$6="primary","",IFERROR(IF(INDEX('Primary_snapshot'!$I$2:$I$120,MATCH(C76,'Primary_snapshot'!$A$2:$A$120,0))="","",INDEX('Primary_snapshot'!$I$2:$I$120,MATCH(C76,'Primary_snapshot'!$A$2:$A$120,0))),"SNAPSHOT MISSING"))</x:f>
      </x:c>
      <x:c r="S76" s="6" t="str">
        <x:f>IF(INDEX('C_jama.2018.17075'!$D$2:$D$9,MATCH("2018::jama.2018.17075::C003",'C_jama.2018.17075'!$A$2:$A$9,0))="","",INDEX('C_jama.2018.17075'!$D$2:$D$9,MATCH("2018::jama.2018.17075::C003",'C_jama.2018.17075'!$A$2:$A$9,0)))</x:f>
      </x:c>
      <x:c r="T76" s="6" t="str">
        <x:f>IF(INDEX('C_jama.2018.17075'!$E$2:$E$9,MATCH("2018::jama.2018.17075::C003",'C_jama.2018.17075'!$A$2:$A$9,0))="","",INDEX('C_jama.2018.17075'!$E$2:$E$9,MATCH("2018::jama.2018.17075::C003",'C_jama.2018.17075'!$A$2:$A$9,0)))</x:f>
        <x:v>statistical_results</x:v>
      </x:c>
      <x:c r="U76" s="6" t="str">
        <x:f>IF(AND(INDEX('C_jama.2018.17075'!$D$2:$D$9,MATCH("2018::jama.2018.17075::C003",'C_jama.2018.17075'!$A$2:$A$9,0))="retain",INDEX('C_jama.2018.17075'!$E$2:$E$9,MATCH("2018::jama.2018.17075::C003",'C_jama.2018.17075'!$A$2:$A$9,0))="statistical_results"),IF(INDEX('C_jama.2018.17075'!$H$2:$H$9,MATCH("2018::jama.2018.17075::C003",'C_jama.2018.17075'!$A$2:$A$9,0))="","",INDEX('C_jama.2018.17075'!$H$2:$H$9,MATCH("2018::jama.2018.17075::C003",'C_jama.2018.17075'!$A$2:$A$9,0))),"not_applicable")</x:f>
        <x:v>not_applicable</x:v>
      </x:c>
      <x:c r="V76" s="6" t="str">
        <x:f>IF(AND(INDEX('C_jama.2018.17075'!$D$2:$D$9,MATCH("2018::jama.2018.17075::C003",'C_jama.2018.17075'!$A$2:$A$9,0))="retain",INDEX('C_jama.2018.17075'!$E$2:$E$9,MATCH("2018::jama.2018.17075::C003",'C_jama.2018.17075'!$A$2:$A$9,0))="statistical_results"),IF(INDEX('C_jama.2018.17075'!$I$2:$I$9,MATCH("2018::jama.2018.17075::C003",'C_jama.2018.17075'!$A$2:$A$9,0))="","",INDEX('C_jama.2018.17075'!$I$2:$I$9,MATCH("2018::jama.2018.17075::C003",'C_jama.2018.17075'!$A$2:$A$9,0))),"not_applicable")</x:f>
        <x:v>not_applicable</x:v>
      </x:c>
      <x:c r="W76" s="6" t="str">
        <x:f>IF(AND(INDEX('C_jama.2018.17075'!$D$2:$D$9,MATCH("2018::jama.2018.17075::C003",'C_jama.2018.17075'!$A$2:$A$9,0))="retain",INDEX('C_jama.2018.17075'!$E$2:$E$9,MATCH("2018::jama.2018.17075::C003",'C_jama.2018.17075'!$A$2:$A$9,0))="statistical_results"),IF(INDEX('C_jama.2018.17075'!$J$2:$J$9,MATCH("2018::jama.2018.17075::C003",'C_jama.2018.17075'!$A$2:$A$9,0))="","",INDEX('C_jama.2018.17075'!$J$2:$J$9,MATCH("2018::jama.2018.17075::C003",'C_jama.2018.17075'!$A$2:$A$9,0))),"not_applicable")</x:f>
        <x:v>not_applicable</x:v>
      </x:c>
      <x:c r="X76" s="6" t="str">
        <x:f>IF(AND(INDEX('C_jama.2018.17075'!$D$2:$D$9,MATCH("2018::jama.2018.17075::C003",'C_jama.2018.17075'!$A$2:$A$9,0))="retain",OR(INDEX('C_jama.2018.17075'!$E$2:$E$9,MATCH("2018::jama.2018.17075::C003",'C_jama.2018.17075'!$A$2:$A$9,0))="report_internal_inconsistency",INDEX('C_jama.2018.17075'!$E$2:$E$9,MATCH("2018::jama.2018.17075::C003",'C_jama.2018.17075'!$A$2:$A$9,0))="plan_material")),IF(INDEX('C_jama.2018.17075'!$K$2:$K$9,MATCH("2018::jama.2018.17075::C003",'C_jama.2018.17075'!$A$2:$A$9,0))="","",INDEX('C_jama.2018.17075'!$K$2:$K$9,MATCH("2018::jama.2018.17075::C003",'C_jama.2018.17075'!$A$2:$A$9,0))),"not_applicable")</x:f>
        <x:v>not_applicable</x:v>
      </x:c>
      <x:c r="Y76" s="6" t="str">
        <x:f>IF(AND(INDEX('C_jama.2018.17075'!$D$2:$D$9,MATCH("2018::jama.2018.17075::C003",'C_jama.2018.17075'!$A$2:$A$9,0))="retain",INDEX('C_jama.2018.17075'!$E$2:$E$9,MATCH("2018::jama.2018.17075::C003",'C_jama.2018.17075'!$A$2:$A$9,0))="protocol_report"),IF(INDEX('C_jama.2018.17075'!$L$2:$L$9,MATCH("2018::jama.2018.17075::C003",'C_jama.2018.17075'!$A$2:$A$9,0))="","",INDEX('C_jama.2018.17075'!$L$2:$L$9,MATCH("2018::jama.2018.17075::C003",'C_jama.2018.17075'!$A$2:$A$9,0))),"not_applicable")</x:f>
        <x:v>not_applicable</x:v>
      </x:c>
      <x:c r="Z76" s="6" t="str">
        <x:f>IF(INDEX('C_jama.2018.17075'!$R$2:$R$9,MATCH("2018::jama.2018.17075::C003",'C_jama.2018.17075'!$A$2:$A$9,0))="","",INDEX('C_jama.2018.17075'!$R$2:$R$9,MATCH("2018::jama.2018.17075::C003",'C_jama.2018.17075'!$A$2:$A$9,0)))</x:f>
      </x:c>
      <x:c r="AA76" s="6" t="str">
        <x:f>IF(INDEX('C_jama.2018.17075'!$N$2:$N$9,MATCH("2018::jama.2018.17075::C003",'C_jama.2018.17075'!$A$2:$A$9,0))="","",INDEX('C_jama.2018.17075'!$N$2:$N$9,MATCH("2018::jama.2018.17075::C003",'C_jama.2018.17075'!$A$2:$A$9,0)))</x:f>
      </x:c>
      <x:c r="AB76" s="6" t="str">
        <x:f>IF(INDEX('C_jama.2018.17075'!$O$2:$O$9,MATCH("2018::jama.2018.17075::C003",'C_jama.2018.17075'!$A$2:$A$9,0))="","",INDEX('C_jama.2018.17075'!$O$2:$O$9,MATCH("2018::jama.2018.17075::C003",'C_jama.2018.17075'!$A$2:$A$9,0)))</x:f>
      </x:c>
      <x:c r="AC76" s="6" t="str">
        <x:f>IF(INDEX('C_jama.2018.17075'!$P$2:$P$9,MATCH("2018::jama.2018.17075::C003",'C_jama.2018.17075'!$A$2:$A$9,0))="","",INDEX('C_jama.2018.17075'!$P$2:$P$9,MATCH("2018::jama.2018.17075::C003",'C_jama.2018.17075'!$A$2:$A$9,0)))</x:f>
      </x:c>
      <x:c r="AD76" s="6" t="str">
        <x:f>IF(INDEX('C_jama.2018.17075'!$Q$2:$Q$9,MATCH("2018::jama.2018.17075::C003",'C_jama.2018.17075'!$A$2:$A$9,0))="","",INDEX('C_jama.2018.17075'!$Q$2:$Q$9,MATCH("2018::jama.2018.17075::C003",'C_jama.2018.17075'!$A$2:$A$9,0)))</x:f>
      </x:c>
    </x:row>
    <x:row r="77" ht="65" customHeight="1">
      <x:c r="A77" s="3" t="n">
        <x:v>2018</x:v>
      </x:c>
      <x:c r="B77" s="3" t="str">
        <x:v>jama.2018.17075</x:v>
      </x:c>
      <x:c r="C77" s="3" t="str">
        <x:v>2018::jama.2018.17075::C004</x:v>
      </x:c>
      <x:c r="D77" s="3" t="str">
        <x:v>S_C</x:v>
      </x:c>
      <x:c r="E77" s="3" t="n">
        <x:f>Setup!$B$2</x:f>
        <x:v>0</x:v>
      </x:c>
      <x:c r="F77" s="3" t="str">
        <x:f>IF(Setup!$B$4="","",Setup!$B$4)</x:f>
      </x:c>
      <x:c r="G77" s="3" t="str">
        <x:f>IFERROR(INDEX('C_jama.2018.17075'!$G$2:$G$9,MATCH("2018::jama.2018.17075::C004",'C_jama.2018.17075'!$A$2:$A$9,0)),"CHECK KEY")</x:f>
        <x:v>CHECK REVIEWER IDs</x:v>
      </x:c>
      <x:c r="H77" s="3" t="str">
        <x:f>IF(G77&lt;&gt;"FINAL READY","",IF(S77&lt;&gt;"retain","not_eligible",IF(D77="P_R","protocol_descriptive",IF(D77="P_P","plan_descriptive",IF(AND(T77="statistical_results",OR(U77="confirmed_issue",U77="probable_issue"),V77="substantive"),"primary_temporal",IF(AND(T77="report_internal_inconsistency",X77="substantive_inconsistency"),"secondary_temporal","not_eligible"))))))</x:f>
      </x:c>
      <x:c r="I77" s="3" t="str">
        <x:v>retain</x:v>
      </x:c>
      <x:c r="J77" s="3" t="str">
        <x:v>statistical_results</x:v>
      </x:c>
      <x:c r="K77" s="3" t="str">
        <x:f>IF(Setup!$B$6="primary","",IFERROR(IF(INDEX('Primary_snapshot'!$B$2:$B$120,MATCH(C77,'Primary_snapshot'!$A$2:$A$120,0))="","",INDEX('Primary_snapshot'!$B$2:$B$120,MATCH(C77,'Primary_snapshot'!$A$2:$A$120,0))),"SNAPSHOT MISSING"))</x:f>
      </x:c>
      <x:c r="L77" s="3" t="str">
        <x:f>IF(Setup!$B$6="primary","",IFERROR(IF(INDEX('Primary_snapshot'!$C$2:$C$120,MATCH(C77,'Primary_snapshot'!$A$2:$A$120,0))="","",INDEX('Primary_snapshot'!$C$2:$C$120,MATCH(C77,'Primary_snapshot'!$A$2:$A$120,0))),"SNAPSHOT MISSING"))</x:f>
      </x:c>
      <x:c r="M77" s="3" t="str">
        <x:f>IF(Setup!$B$6="primary","",IFERROR(IF(INDEX('Primary_snapshot'!$D$2:$D$120,MATCH(C77,'Primary_snapshot'!$A$2:$A$120,0))="","",INDEX('Primary_snapshot'!$D$2:$D$120,MATCH(C77,'Primary_snapshot'!$A$2:$A$120,0))),"SNAPSHOT MISSING"))</x:f>
      </x:c>
      <x:c r="N77" s="3" t="str">
        <x:f>IF(Setup!$B$6="primary","",IFERROR(IF(INDEX('Primary_snapshot'!$E$2:$E$120,MATCH(C77,'Primary_snapshot'!$A$2:$A$120,0))="","",INDEX('Primary_snapshot'!$E$2:$E$120,MATCH(C77,'Primary_snapshot'!$A$2:$A$120,0))),"SNAPSHOT MISSING"))</x:f>
      </x:c>
      <x:c r="O77" s="3" t="str">
        <x:f>IF(Setup!$B$6="primary","",IFERROR(IF(INDEX('Primary_snapshot'!$F$2:$F$120,MATCH(C77,'Primary_snapshot'!$A$2:$A$120,0))="","",INDEX('Primary_snapshot'!$F$2:$F$120,MATCH(C77,'Primary_snapshot'!$A$2:$A$120,0))),"SNAPSHOT MISSING"))</x:f>
      </x:c>
      <x:c r="P77" s="3" t="str">
        <x:f>IF(Setup!$B$6="primary","",IFERROR(IF(INDEX('Primary_snapshot'!$G$2:$G$120,MATCH(C77,'Primary_snapshot'!$A$2:$A$120,0))="","",INDEX('Primary_snapshot'!$G$2:$G$120,MATCH(C77,'Primary_snapshot'!$A$2:$A$120,0))),"SNAPSHOT MISSING"))</x:f>
      </x:c>
      <x:c r="Q77" s="3" t="str">
        <x:f>IF(Setup!$B$6="primary","",IFERROR(IF(INDEX('Primary_snapshot'!$H$2:$H$120,MATCH(C77,'Primary_snapshot'!$A$2:$A$120,0))="","",INDEX('Primary_snapshot'!$H$2:$H$120,MATCH(C77,'Primary_snapshot'!$A$2:$A$120,0))),"SNAPSHOT MISSING"))</x:f>
      </x:c>
      <x:c r="R77" s="3" t="str">
        <x:f>IF(Setup!$B$6="primary","",IFERROR(IF(INDEX('Primary_snapshot'!$I$2:$I$120,MATCH(C77,'Primary_snapshot'!$A$2:$A$120,0))="","",INDEX('Primary_snapshot'!$I$2:$I$120,MATCH(C77,'Primary_snapshot'!$A$2:$A$120,0))),"SNAPSHOT MISSING"))</x:f>
      </x:c>
      <x:c r="S77" s="3" t="str">
        <x:f>IF(INDEX('C_jama.2018.17075'!$D$2:$D$9,MATCH("2018::jama.2018.17075::C004",'C_jama.2018.17075'!$A$2:$A$9,0))="","",INDEX('C_jama.2018.17075'!$D$2:$D$9,MATCH("2018::jama.2018.17075::C004",'C_jama.2018.17075'!$A$2:$A$9,0)))</x:f>
      </x:c>
      <x:c r="T77" s="3" t="str">
        <x:f>IF(INDEX('C_jama.2018.17075'!$E$2:$E$9,MATCH("2018::jama.2018.17075::C004",'C_jama.2018.17075'!$A$2:$A$9,0))="","",INDEX('C_jama.2018.17075'!$E$2:$E$9,MATCH("2018::jama.2018.17075::C004",'C_jama.2018.17075'!$A$2:$A$9,0)))</x:f>
        <x:v>statistical_results</x:v>
      </x:c>
      <x:c r="U77" s="3" t="str">
        <x:f>IF(AND(INDEX('C_jama.2018.17075'!$D$2:$D$9,MATCH("2018::jama.2018.17075::C004",'C_jama.2018.17075'!$A$2:$A$9,0))="retain",INDEX('C_jama.2018.17075'!$E$2:$E$9,MATCH("2018::jama.2018.17075::C004",'C_jama.2018.17075'!$A$2:$A$9,0))="statistical_results"),IF(INDEX('C_jama.2018.17075'!$H$2:$H$9,MATCH("2018::jama.2018.17075::C004",'C_jama.2018.17075'!$A$2:$A$9,0))="","",INDEX('C_jama.2018.17075'!$H$2:$H$9,MATCH("2018::jama.2018.17075::C004",'C_jama.2018.17075'!$A$2:$A$9,0))),"not_applicable")</x:f>
        <x:v>not_applicable</x:v>
      </x:c>
      <x:c r="V77" s="3" t="str">
        <x:f>IF(AND(INDEX('C_jama.2018.17075'!$D$2:$D$9,MATCH("2018::jama.2018.17075::C004",'C_jama.2018.17075'!$A$2:$A$9,0))="retain",INDEX('C_jama.2018.17075'!$E$2:$E$9,MATCH("2018::jama.2018.17075::C004",'C_jama.2018.17075'!$A$2:$A$9,0))="statistical_results"),IF(INDEX('C_jama.2018.17075'!$I$2:$I$9,MATCH("2018::jama.2018.17075::C004",'C_jama.2018.17075'!$A$2:$A$9,0))="","",INDEX('C_jama.2018.17075'!$I$2:$I$9,MATCH("2018::jama.2018.17075::C004",'C_jama.2018.17075'!$A$2:$A$9,0))),"not_applicable")</x:f>
        <x:v>not_applicable</x:v>
      </x:c>
      <x:c r="W77" s="3" t="str">
        <x:f>IF(AND(INDEX('C_jama.2018.17075'!$D$2:$D$9,MATCH("2018::jama.2018.17075::C004",'C_jama.2018.17075'!$A$2:$A$9,0))="retain",INDEX('C_jama.2018.17075'!$E$2:$E$9,MATCH("2018::jama.2018.17075::C004",'C_jama.2018.17075'!$A$2:$A$9,0))="statistical_results"),IF(INDEX('C_jama.2018.17075'!$J$2:$J$9,MATCH("2018::jama.2018.17075::C004",'C_jama.2018.17075'!$A$2:$A$9,0))="","",INDEX('C_jama.2018.17075'!$J$2:$J$9,MATCH("2018::jama.2018.17075::C004",'C_jama.2018.17075'!$A$2:$A$9,0))),"not_applicable")</x:f>
        <x:v>not_applicable</x:v>
      </x:c>
      <x:c r="X77" s="3" t="str">
        <x:f>IF(AND(INDEX('C_jama.2018.17075'!$D$2:$D$9,MATCH("2018::jama.2018.17075::C004",'C_jama.2018.17075'!$A$2:$A$9,0))="retain",OR(INDEX('C_jama.2018.17075'!$E$2:$E$9,MATCH("2018::jama.2018.17075::C004",'C_jama.2018.17075'!$A$2:$A$9,0))="report_internal_inconsistency",INDEX('C_jama.2018.17075'!$E$2:$E$9,MATCH("2018::jama.2018.17075::C004",'C_jama.2018.17075'!$A$2:$A$9,0))="plan_material")),IF(INDEX('C_jama.2018.17075'!$K$2:$K$9,MATCH("2018::jama.2018.17075::C004",'C_jama.2018.17075'!$A$2:$A$9,0))="","",INDEX('C_jama.2018.17075'!$K$2:$K$9,MATCH("2018::jama.2018.17075::C004",'C_jama.2018.17075'!$A$2:$A$9,0))),"not_applicable")</x:f>
        <x:v>not_applicable</x:v>
      </x:c>
      <x:c r="Y77" s="3" t="str">
        <x:f>IF(AND(INDEX('C_jama.2018.17075'!$D$2:$D$9,MATCH("2018::jama.2018.17075::C004",'C_jama.2018.17075'!$A$2:$A$9,0))="retain",INDEX('C_jama.2018.17075'!$E$2:$E$9,MATCH("2018::jama.2018.17075::C004",'C_jama.2018.17075'!$A$2:$A$9,0))="protocol_report"),IF(INDEX('C_jama.2018.17075'!$L$2:$L$9,MATCH("2018::jama.2018.17075::C004",'C_jama.2018.17075'!$A$2:$A$9,0))="","",INDEX('C_jama.2018.17075'!$L$2:$L$9,MATCH("2018::jama.2018.17075::C004",'C_jama.2018.17075'!$A$2:$A$9,0))),"not_applicable")</x:f>
        <x:v>not_applicable</x:v>
      </x:c>
      <x:c r="Z77" s="3" t="str">
        <x:f>IF(INDEX('C_jama.2018.17075'!$R$2:$R$9,MATCH("2018::jama.2018.17075::C004",'C_jama.2018.17075'!$A$2:$A$9,0))="","",INDEX('C_jama.2018.17075'!$R$2:$R$9,MATCH("2018::jama.2018.17075::C004",'C_jama.2018.17075'!$A$2:$A$9,0)))</x:f>
      </x:c>
      <x:c r="AA77" s="3" t="str">
        <x:f>IF(INDEX('C_jama.2018.17075'!$N$2:$N$9,MATCH("2018::jama.2018.17075::C004",'C_jama.2018.17075'!$A$2:$A$9,0))="","",INDEX('C_jama.2018.17075'!$N$2:$N$9,MATCH("2018::jama.2018.17075::C004",'C_jama.2018.17075'!$A$2:$A$9,0)))</x:f>
      </x:c>
      <x:c r="AB77" s="3" t="str">
        <x:f>IF(INDEX('C_jama.2018.17075'!$O$2:$O$9,MATCH("2018::jama.2018.17075::C004",'C_jama.2018.17075'!$A$2:$A$9,0))="","",INDEX('C_jama.2018.17075'!$O$2:$O$9,MATCH("2018::jama.2018.17075::C004",'C_jama.2018.17075'!$A$2:$A$9,0)))</x:f>
      </x:c>
      <x:c r="AC77" s="3" t="str">
        <x:f>IF(INDEX('C_jama.2018.17075'!$P$2:$P$9,MATCH("2018::jama.2018.17075::C004",'C_jama.2018.17075'!$A$2:$A$9,0))="","",INDEX('C_jama.2018.17075'!$P$2:$P$9,MATCH("2018::jama.2018.17075::C004",'C_jama.2018.17075'!$A$2:$A$9,0)))</x:f>
      </x:c>
      <x:c r="AD77" s="3" t="str">
        <x:f>IF(INDEX('C_jama.2018.17075'!$Q$2:$Q$9,MATCH("2018::jama.2018.17075::C004",'C_jama.2018.17075'!$A$2:$A$9,0))="","",INDEX('C_jama.2018.17075'!$Q$2:$Q$9,MATCH("2018::jama.2018.17075::C004",'C_jama.2018.17075'!$A$2:$A$9,0)))</x:f>
      </x:c>
    </x:row>
    <x:row r="78" ht="65" customHeight="1">
      <x:c r="A78" s="6" t="n">
        <x:v>2018</x:v>
      </x:c>
      <x:c r="B78" s="6" t="str">
        <x:v>jama.2018.17075</x:v>
      </x:c>
      <x:c r="C78" s="6" t="str">
        <x:v>2018::jama.2018.17075::C005</x:v>
      </x:c>
      <x:c r="D78" s="6" t="str">
        <x:v>S_W</x:v>
      </x:c>
      <x:c r="E78" s="6" t="n">
        <x:f>Setup!$B$2</x:f>
        <x:v>0</x:v>
      </x:c>
      <x:c r="F78" s="6" t="str">
        <x:f>IF(Setup!$B$4="","",Setup!$B$4)</x:f>
      </x:c>
      <x:c r="G78" s="6" t="str">
        <x:f>IFERROR(INDEX('C_jama.2018.17075'!$G$2:$G$9,MATCH("2018::jama.2018.17075::C005",'C_jama.2018.17075'!$A$2:$A$9,0)),"CHECK KEY")</x:f>
        <x:v>CHECK REVIEWER IDs</x:v>
      </x:c>
      <x:c r="H78" s="6" t="str">
        <x:f>IF(G78&lt;&gt;"FINAL READY","",IF(S78&lt;&gt;"retain","not_eligible",IF(D78="P_R","protocol_descriptive",IF(D78="P_P","plan_descriptive",IF(AND(T78="statistical_results",OR(U78="confirmed_issue",U78="probable_issue"),V78="substantive"),"primary_temporal",IF(AND(T78="report_internal_inconsistency",X78="substantive_inconsistency"),"secondary_temporal","not_eligible"))))))</x:f>
      </x:c>
      <x:c r="I78" s="6" t="str">
        <x:v>retain</x:v>
      </x:c>
      <x:c r="J78" s="6" t="str">
        <x:v>report_internal_inconsistency</x:v>
      </x:c>
      <x:c r="K78" s="6" t="str">
        <x:f>IF(Setup!$B$6="primary","",IFERROR(IF(INDEX('Primary_snapshot'!$B$2:$B$120,MATCH(C78,'Primary_snapshot'!$A$2:$A$120,0))="","",INDEX('Primary_snapshot'!$B$2:$B$120,MATCH(C78,'Primary_snapshot'!$A$2:$A$120,0))),"SNAPSHOT MISSING"))</x:f>
      </x:c>
      <x:c r="L78" s="6" t="str">
        <x:f>IF(Setup!$B$6="primary","",IFERROR(IF(INDEX('Primary_snapshot'!$C$2:$C$120,MATCH(C78,'Primary_snapshot'!$A$2:$A$120,0))="","",INDEX('Primary_snapshot'!$C$2:$C$120,MATCH(C78,'Primary_snapshot'!$A$2:$A$120,0))),"SNAPSHOT MISSING"))</x:f>
      </x:c>
      <x:c r="M78" s="6" t="str">
        <x:f>IF(Setup!$B$6="primary","",IFERROR(IF(INDEX('Primary_snapshot'!$D$2:$D$120,MATCH(C78,'Primary_snapshot'!$A$2:$A$120,0))="","",INDEX('Primary_snapshot'!$D$2:$D$120,MATCH(C78,'Primary_snapshot'!$A$2:$A$120,0))),"SNAPSHOT MISSING"))</x:f>
      </x:c>
      <x:c r="N78" s="6" t="str">
        <x:f>IF(Setup!$B$6="primary","",IFERROR(IF(INDEX('Primary_snapshot'!$E$2:$E$120,MATCH(C78,'Primary_snapshot'!$A$2:$A$120,0))="","",INDEX('Primary_snapshot'!$E$2:$E$120,MATCH(C78,'Primary_snapshot'!$A$2:$A$120,0))),"SNAPSHOT MISSING"))</x:f>
      </x:c>
      <x:c r="O78" s="6" t="str">
        <x:f>IF(Setup!$B$6="primary","",IFERROR(IF(INDEX('Primary_snapshot'!$F$2:$F$120,MATCH(C78,'Primary_snapshot'!$A$2:$A$120,0))="","",INDEX('Primary_snapshot'!$F$2:$F$120,MATCH(C78,'Primary_snapshot'!$A$2:$A$120,0))),"SNAPSHOT MISSING"))</x:f>
      </x:c>
      <x:c r="P78" s="6" t="str">
        <x:f>IF(Setup!$B$6="primary","",IFERROR(IF(INDEX('Primary_snapshot'!$G$2:$G$120,MATCH(C78,'Primary_snapshot'!$A$2:$A$120,0))="","",INDEX('Primary_snapshot'!$G$2:$G$120,MATCH(C78,'Primary_snapshot'!$A$2:$A$120,0))),"SNAPSHOT MISSING"))</x:f>
      </x:c>
      <x:c r="Q78" s="6" t="str">
        <x:f>IF(Setup!$B$6="primary","",IFERROR(IF(INDEX('Primary_snapshot'!$H$2:$H$120,MATCH(C78,'Primary_snapshot'!$A$2:$A$120,0))="","",INDEX('Primary_snapshot'!$H$2:$H$120,MATCH(C78,'Primary_snapshot'!$A$2:$A$120,0))),"SNAPSHOT MISSING"))</x:f>
      </x:c>
      <x:c r="R78" s="6" t="str">
        <x:f>IF(Setup!$B$6="primary","",IFERROR(IF(INDEX('Primary_snapshot'!$I$2:$I$120,MATCH(C78,'Primary_snapshot'!$A$2:$A$120,0))="","",INDEX('Primary_snapshot'!$I$2:$I$120,MATCH(C78,'Primary_snapshot'!$A$2:$A$120,0))),"SNAPSHOT MISSING"))</x:f>
      </x:c>
      <x:c r="S78" s="6" t="str">
        <x:f>IF(INDEX('C_jama.2018.17075'!$D$2:$D$9,MATCH("2018::jama.2018.17075::C005",'C_jama.2018.17075'!$A$2:$A$9,0))="","",INDEX('C_jama.2018.17075'!$D$2:$D$9,MATCH("2018::jama.2018.17075::C005",'C_jama.2018.17075'!$A$2:$A$9,0)))</x:f>
      </x:c>
      <x:c r="T78" s="6" t="str">
        <x:f>IF(INDEX('C_jama.2018.17075'!$E$2:$E$9,MATCH("2018::jama.2018.17075::C005",'C_jama.2018.17075'!$A$2:$A$9,0))="","",INDEX('C_jama.2018.17075'!$E$2:$E$9,MATCH("2018::jama.2018.17075::C005",'C_jama.2018.17075'!$A$2:$A$9,0)))</x:f>
        <x:v>report_internal_inconsistency</x:v>
      </x:c>
      <x:c r="U78" s="6" t="str">
        <x:f>IF(AND(INDEX('C_jama.2018.17075'!$D$2:$D$9,MATCH("2018::jama.2018.17075::C005",'C_jama.2018.17075'!$A$2:$A$9,0))="retain",INDEX('C_jama.2018.17075'!$E$2:$E$9,MATCH("2018::jama.2018.17075::C005",'C_jama.2018.17075'!$A$2:$A$9,0))="statistical_results"),IF(INDEX('C_jama.2018.17075'!$H$2:$H$9,MATCH("2018::jama.2018.17075::C005",'C_jama.2018.17075'!$A$2:$A$9,0))="","",INDEX('C_jama.2018.17075'!$H$2:$H$9,MATCH("2018::jama.2018.17075::C005",'C_jama.2018.17075'!$A$2:$A$9,0))),"not_applicable")</x:f>
        <x:v>not_applicable</x:v>
      </x:c>
      <x:c r="V78" s="6" t="str">
        <x:f>IF(AND(INDEX('C_jama.2018.17075'!$D$2:$D$9,MATCH("2018::jama.2018.17075::C005",'C_jama.2018.17075'!$A$2:$A$9,0))="retain",INDEX('C_jama.2018.17075'!$E$2:$E$9,MATCH("2018::jama.2018.17075::C005",'C_jama.2018.17075'!$A$2:$A$9,0))="statistical_results"),IF(INDEX('C_jama.2018.17075'!$I$2:$I$9,MATCH("2018::jama.2018.17075::C005",'C_jama.2018.17075'!$A$2:$A$9,0))="","",INDEX('C_jama.2018.17075'!$I$2:$I$9,MATCH("2018::jama.2018.17075::C005",'C_jama.2018.17075'!$A$2:$A$9,0))),"not_applicable")</x:f>
        <x:v>not_applicable</x:v>
      </x:c>
      <x:c r="W78" s="6" t="str">
        <x:f>IF(AND(INDEX('C_jama.2018.17075'!$D$2:$D$9,MATCH("2018::jama.2018.17075::C005",'C_jama.2018.17075'!$A$2:$A$9,0))="retain",INDEX('C_jama.2018.17075'!$E$2:$E$9,MATCH("2018::jama.2018.17075::C005",'C_jama.2018.17075'!$A$2:$A$9,0))="statistical_results"),IF(INDEX('C_jama.2018.17075'!$J$2:$J$9,MATCH("2018::jama.2018.17075::C005",'C_jama.2018.17075'!$A$2:$A$9,0))="","",INDEX('C_jama.2018.17075'!$J$2:$J$9,MATCH("2018::jama.2018.17075::C005",'C_jama.2018.17075'!$A$2:$A$9,0))),"not_applicable")</x:f>
        <x:v>not_applicable</x:v>
      </x:c>
      <x:c r="X78" s="6" t="str">
        <x:f>IF(AND(INDEX('C_jama.2018.17075'!$D$2:$D$9,MATCH("2018::jama.2018.17075::C005",'C_jama.2018.17075'!$A$2:$A$9,0))="retain",OR(INDEX('C_jama.2018.17075'!$E$2:$E$9,MATCH("2018::jama.2018.17075::C005",'C_jama.2018.17075'!$A$2:$A$9,0))="report_internal_inconsistency",INDEX('C_jama.2018.17075'!$E$2:$E$9,MATCH("2018::jama.2018.17075::C005",'C_jama.2018.17075'!$A$2:$A$9,0))="plan_material")),IF(INDEX('C_jama.2018.17075'!$K$2:$K$9,MATCH("2018::jama.2018.17075::C005",'C_jama.2018.17075'!$A$2:$A$9,0))="","",INDEX('C_jama.2018.17075'!$K$2:$K$9,MATCH("2018::jama.2018.17075::C005",'C_jama.2018.17075'!$A$2:$A$9,0))),"not_applicable")</x:f>
        <x:v>not_applicable</x:v>
      </x:c>
      <x:c r="Y78" s="6" t="str">
        <x:f>IF(AND(INDEX('C_jama.2018.17075'!$D$2:$D$9,MATCH("2018::jama.2018.17075::C005",'C_jama.2018.17075'!$A$2:$A$9,0))="retain",INDEX('C_jama.2018.17075'!$E$2:$E$9,MATCH("2018::jama.2018.17075::C005",'C_jama.2018.17075'!$A$2:$A$9,0))="protocol_report"),IF(INDEX('C_jama.2018.17075'!$L$2:$L$9,MATCH("2018::jama.2018.17075::C005",'C_jama.2018.17075'!$A$2:$A$9,0))="","",INDEX('C_jama.2018.17075'!$L$2:$L$9,MATCH("2018::jama.2018.17075::C005",'C_jama.2018.17075'!$A$2:$A$9,0))),"not_applicable")</x:f>
        <x:v>not_applicable</x:v>
      </x:c>
      <x:c r="Z78" s="6" t="str">
        <x:f>IF(INDEX('C_jama.2018.17075'!$R$2:$R$9,MATCH("2018::jama.2018.17075::C005",'C_jama.2018.17075'!$A$2:$A$9,0))="","",INDEX('C_jama.2018.17075'!$R$2:$R$9,MATCH("2018::jama.2018.17075::C005",'C_jama.2018.17075'!$A$2:$A$9,0)))</x:f>
      </x:c>
      <x:c r="AA78" s="6" t="str">
        <x:f>IF(INDEX('C_jama.2018.17075'!$N$2:$N$9,MATCH("2018::jama.2018.17075::C005",'C_jama.2018.17075'!$A$2:$A$9,0))="","",INDEX('C_jama.2018.17075'!$N$2:$N$9,MATCH("2018::jama.2018.17075::C005",'C_jama.2018.17075'!$A$2:$A$9,0)))</x:f>
      </x:c>
      <x:c r="AB78" s="6" t="str">
        <x:f>IF(INDEX('C_jama.2018.17075'!$O$2:$O$9,MATCH("2018::jama.2018.17075::C005",'C_jama.2018.17075'!$A$2:$A$9,0))="","",INDEX('C_jama.2018.17075'!$O$2:$O$9,MATCH("2018::jama.2018.17075::C005",'C_jama.2018.17075'!$A$2:$A$9,0)))</x:f>
      </x:c>
      <x:c r="AC78" s="6" t="str">
        <x:f>IF(INDEX('C_jama.2018.17075'!$P$2:$P$9,MATCH("2018::jama.2018.17075::C005",'C_jama.2018.17075'!$A$2:$A$9,0))="","",INDEX('C_jama.2018.17075'!$P$2:$P$9,MATCH("2018::jama.2018.17075::C005",'C_jama.2018.17075'!$A$2:$A$9,0)))</x:f>
      </x:c>
      <x:c r="AD78" s="6" t="str">
        <x:f>IF(INDEX('C_jama.2018.17075'!$Q$2:$Q$9,MATCH("2018::jama.2018.17075::C005",'C_jama.2018.17075'!$A$2:$A$9,0))="","",INDEX('C_jama.2018.17075'!$Q$2:$Q$9,MATCH("2018::jama.2018.17075::C005",'C_jama.2018.17075'!$A$2:$A$9,0)))</x:f>
      </x:c>
    </x:row>
    <x:row r="79" ht="65" customHeight="1">
      <x:c r="A79" s="3" t="n">
        <x:v>2018</x:v>
      </x:c>
      <x:c r="B79" s="3" t="str">
        <x:v>jama.2018.17075</x:v>
      </x:c>
      <x:c r="C79" s="3" t="str">
        <x:v>2018::jama.2018.17075::C006</x:v>
      </x:c>
      <x:c r="D79" s="3" t="str">
        <x:v>S_W</x:v>
      </x:c>
      <x:c r="E79" s="3" t="n">
        <x:f>Setup!$B$2</x:f>
        <x:v>0</x:v>
      </x:c>
      <x:c r="F79" s="3" t="str">
        <x:f>IF(Setup!$B$4="","",Setup!$B$4)</x:f>
      </x:c>
      <x:c r="G79" s="3" t="str">
        <x:f>IFERROR(INDEX('C_jama.2018.17075'!$G$2:$G$9,MATCH("2018::jama.2018.17075::C006",'C_jama.2018.17075'!$A$2:$A$9,0)),"CHECK KEY")</x:f>
        <x:v>CHECK REVIEWER IDs</x:v>
      </x:c>
      <x:c r="H79" s="3" t="str">
        <x:f>IF(G79&lt;&gt;"FINAL READY","",IF(S79&lt;&gt;"retain","not_eligible",IF(D79="P_R","protocol_descriptive",IF(D79="P_P","plan_descriptive",IF(AND(T79="statistical_results",OR(U79="confirmed_issue",U79="probable_issue"),V79="substantive"),"primary_temporal",IF(AND(T79="report_internal_inconsistency",X79="substantive_inconsistency"),"secondary_temporal","not_eligible"))))))</x:f>
      </x:c>
      <x:c r="I79" s="3" t="str">
        <x:v>retain</x:v>
      </x:c>
      <x:c r="J79" s="3" t="str">
        <x:v>report_internal_inconsistency</x:v>
      </x:c>
      <x:c r="K79" s="3" t="str">
        <x:f>IF(Setup!$B$6="primary","",IFERROR(IF(INDEX('Primary_snapshot'!$B$2:$B$120,MATCH(C79,'Primary_snapshot'!$A$2:$A$120,0))="","",INDEX('Primary_snapshot'!$B$2:$B$120,MATCH(C79,'Primary_snapshot'!$A$2:$A$120,0))),"SNAPSHOT MISSING"))</x:f>
      </x:c>
      <x:c r="L79" s="3" t="str">
        <x:f>IF(Setup!$B$6="primary","",IFERROR(IF(INDEX('Primary_snapshot'!$C$2:$C$120,MATCH(C79,'Primary_snapshot'!$A$2:$A$120,0))="","",INDEX('Primary_snapshot'!$C$2:$C$120,MATCH(C79,'Primary_snapshot'!$A$2:$A$120,0))),"SNAPSHOT MISSING"))</x:f>
      </x:c>
      <x:c r="M79" s="3" t="str">
        <x:f>IF(Setup!$B$6="primary","",IFERROR(IF(INDEX('Primary_snapshot'!$D$2:$D$120,MATCH(C79,'Primary_snapshot'!$A$2:$A$120,0))="","",INDEX('Primary_snapshot'!$D$2:$D$120,MATCH(C79,'Primary_snapshot'!$A$2:$A$120,0))),"SNAPSHOT MISSING"))</x:f>
      </x:c>
      <x:c r="N79" s="3" t="str">
        <x:f>IF(Setup!$B$6="primary","",IFERROR(IF(INDEX('Primary_snapshot'!$E$2:$E$120,MATCH(C79,'Primary_snapshot'!$A$2:$A$120,0))="","",INDEX('Primary_snapshot'!$E$2:$E$120,MATCH(C79,'Primary_snapshot'!$A$2:$A$120,0))),"SNAPSHOT MISSING"))</x:f>
      </x:c>
      <x:c r="O79" s="3" t="str">
        <x:f>IF(Setup!$B$6="primary","",IFERROR(IF(INDEX('Primary_snapshot'!$F$2:$F$120,MATCH(C79,'Primary_snapshot'!$A$2:$A$120,0))="","",INDEX('Primary_snapshot'!$F$2:$F$120,MATCH(C79,'Primary_snapshot'!$A$2:$A$120,0))),"SNAPSHOT MISSING"))</x:f>
      </x:c>
      <x:c r="P79" s="3" t="str">
        <x:f>IF(Setup!$B$6="primary","",IFERROR(IF(INDEX('Primary_snapshot'!$G$2:$G$120,MATCH(C79,'Primary_snapshot'!$A$2:$A$120,0))="","",INDEX('Primary_snapshot'!$G$2:$G$120,MATCH(C79,'Primary_snapshot'!$A$2:$A$120,0))),"SNAPSHOT MISSING"))</x:f>
      </x:c>
      <x:c r="Q79" s="3" t="str">
        <x:f>IF(Setup!$B$6="primary","",IFERROR(IF(INDEX('Primary_snapshot'!$H$2:$H$120,MATCH(C79,'Primary_snapshot'!$A$2:$A$120,0))="","",INDEX('Primary_snapshot'!$H$2:$H$120,MATCH(C79,'Primary_snapshot'!$A$2:$A$120,0))),"SNAPSHOT MISSING"))</x:f>
      </x:c>
      <x:c r="R79" s="3" t="str">
        <x:f>IF(Setup!$B$6="primary","",IFERROR(IF(INDEX('Primary_snapshot'!$I$2:$I$120,MATCH(C79,'Primary_snapshot'!$A$2:$A$120,0))="","",INDEX('Primary_snapshot'!$I$2:$I$120,MATCH(C79,'Primary_snapshot'!$A$2:$A$120,0))),"SNAPSHOT MISSING"))</x:f>
      </x:c>
      <x:c r="S79" s="3" t="str">
        <x:f>IF(INDEX('C_jama.2018.17075'!$D$2:$D$9,MATCH("2018::jama.2018.17075::C006",'C_jama.2018.17075'!$A$2:$A$9,0))="","",INDEX('C_jama.2018.17075'!$D$2:$D$9,MATCH("2018::jama.2018.17075::C006",'C_jama.2018.17075'!$A$2:$A$9,0)))</x:f>
      </x:c>
      <x:c r="T79" s="3" t="str">
        <x:f>IF(INDEX('C_jama.2018.17075'!$E$2:$E$9,MATCH("2018::jama.2018.17075::C006",'C_jama.2018.17075'!$A$2:$A$9,0))="","",INDEX('C_jama.2018.17075'!$E$2:$E$9,MATCH("2018::jama.2018.17075::C006",'C_jama.2018.17075'!$A$2:$A$9,0)))</x:f>
        <x:v>report_internal_inconsistency</x:v>
      </x:c>
      <x:c r="U79" s="3" t="str">
        <x:f>IF(AND(INDEX('C_jama.2018.17075'!$D$2:$D$9,MATCH("2018::jama.2018.17075::C006",'C_jama.2018.17075'!$A$2:$A$9,0))="retain",INDEX('C_jama.2018.17075'!$E$2:$E$9,MATCH("2018::jama.2018.17075::C006",'C_jama.2018.17075'!$A$2:$A$9,0))="statistical_results"),IF(INDEX('C_jama.2018.17075'!$H$2:$H$9,MATCH("2018::jama.2018.17075::C006",'C_jama.2018.17075'!$A$2:$A$9,0))="","",INDEX('C_jama.2018.17075'!$H$2:$H$9,MATCH("2018::jama.2018.17075::C006",'C_jama.2018.17075'!$A$2:$A$9,0))),"not_applicable")</x:f>
        <x:v>not_applicable</x:v>
      </x:c>
      <x:c r="V79" s="3" t="str">
        <x:f>IF(AND(INDEX('C_jama.2018.17075'!$D$2:$D$9,MATCH("2018::jama.2018.17075::C006",'C_jama.2018.17075'!$A$2:$A$9,0))="retain",INDEX('C_jama.2018.17075'!$E$2:$E$9,MATCH("2018::jama.2018.17075::C006",'C_jama.2018.17075'!$A$2:$A$9,0))="statistical_results"),IF(INDEX('C_jama.2018.17075'!$I$2:$I$9,MATCH("2018::jama.2018.17075::C006",'C_jama.2018.17075'!$A$2:$A$9,0))="","",INDEX('C_jama.2018.17075'!$I$2:$I$9,MATCH("2018::jama.2018.17075::C006",'C_jama.2018.17075'!$A$2:$A$9,0))),"not_applicable")</x:f>
        <x:v>not_applicable</x:v>
      </x:c>
      <x:c r="W79" s="3" t="str">
        <x:f>IF(AND(INDEX('C_jama.2018.17075'!$D$2:$D$9,MATCH("2018::jama.2018.17075::C006",'C_jama.2018.17075'!$A$2:$A$9,0))="retain",INDEX('C_jama.2018.17075'!$E$2:$E$9,MATCH("2018::jama.2018.17075::C006",'C_jama.2018.17075'!$A$2:$A$9,0))="statistical_results"),IF(INDEX('C_jama.2018.17075'!$J$2:$J$9,MATCH("2018::jama.2018.17075::C006",'C_jama.2018.17075'!$A$2:$A$9,0))="","",INDEX('C_jama.2018.17075'!$J$2:$J$9,MATCH("2018::jama.2018.17075::C006",'C_jama.2018.17075'!$A$2:$A$9,0))),"not_applicable")</x:f>
        <x:v>not_applicable</x:v>
      </x:c>
      <x:c r="X79" s="3" t="str">
        <x:f>IF(AND(INDEX('C_jama.2018.17075'!$D$2:$D$9,MATCH("2018::jama.2018.17075::C006",'C_jama.2018.17075'!$A$2:$A$9,0))="retain",OR(INDEX('C_jama.2018.17075'!$E$2:$E$9,MATCH("2018::jama.2018.17075::C006",'C_jama.2018.17075'!$A$2:$A$9,0))="report_internal_inconsistency",INDEX('C_jama.2018.17075'!$E$2:$E$9,MATCH("2018::jama.2018.17075::C006",'C_jama.2018.17075'!$A$2:$A$9,0))="plan_material")),IF(INDEX('C_jama.2018.17075'!$K$2:$K$9,MATCH("2018::jama.2018.17075::C006",'C_jama.2018.17075'!$A$2:$A$9,0))="","",INDEX('C_jama.2018.17075'!$K$2:$K$9,MATCH("2018::jama.2018.17075::C006",'C_jama.2018.17075'!$A$2:$A$9,0))),"not_applicable")</x:f>
        <x:v>not_applicable</x:v>
      </x:c>
      <x:c r="Y79" s="3" t="str">
        <x:f>IF(AND(INDEX('C_jama.2018.17075'!$D$2:$D$9,MATCH("2018::jama.2018.17075::C006",'C_jama.2018.17075'!$A$2:$A$9,0))="retain",INDEX('C_jama.2018.17075'!$E$2:$E$9,MATCH("2018::jama.2018.17075::C006",'C_jama.2018.17075'!$A$2:$A$9,0))="protocol_report"),IF(INDEX('C_jama.2018.17075'!$L$2:$L$9,MATCH("2018::jama.2018.17075::C006",'C_jama.2018.17075'!$A$2:$A$9,0))="","",INDEX('C_jama.2018.17075'!$L$2:$L$9,MATCH("2018::jama.2018.17075::C006",'C_jama.2018.17075'!$A$2:$A$9,0))),"not_applicable")</x:f>
        <x:v>not_applicable</x:v>
      </x:c>
      <x:c r="Z79" s="3" t="str">
        <x:f>IF(INDEX('C_jama.2018.17075'!$R$2:$R$9,MATCH("2018::jama.2018.17075::C006",'C_jama.2018.17075'!$A$2:$A$9,0))="","",INDEX('C_jama.2018.17075'!$R$2:$R$9,MATCH("2018::jama.2018.17075::C006",'C_jama.2018.17075'!$A$2:$A$9,0)))</x:f>
      </x:c>
      <x:c r="AA79" s="3" t="str">
        <x:f>IF(INDEX('C_jama.2018.17075'!$N$2:$N$9,MATCH("2018::jama.2018.17075::C006",'C_jama.2018.17075'!$A$2:$A$9,0))="","",INDEX('C_jama.2018.17075'!$N$2:$N$9,MATCH("2018::jama.2018.17075::C006",'C_jama.2018.17075'!$A$2:$A$9,0)))</x:f>
      </x:c>
      <x:c r="AB79" s="3" t="str">
        <x:f>IF(INDEX('C_jama.2018.17075'!$O$2:$O$9,MATCH("2018::jama.2018.17075::C006",'C_jama.2018.17075'!$A$2:$A$9,0))="","",INDEX('C_jama.2018.17075'!$O$2:$O$9,MATCH("2018::jama.2018.17075::C006",'C_jama.2018.17075'!$A$2:$A$9,0)))</x:f>
      </x:c>
      <x:c r="AC79" s="3" t="str">
        <x:f>IF(INDEX('C_jama.2018.17075'!$P$2:$P$9,MATCH("2018::jama.2018.17075::C006",'C_jama.2018.17075'!$A$2:$A$9,0))="","",INDEX('C_jama.2018.17075'!$P$2:$P$9,MATCH("2018::jama.2018.17075::C006",'C_jama.2018.17075'!$A$2:$A$9,0)))</x:f>
      </x:c>
      <x:c r="AD79" s="3" t="str">
        <x:f>IF(INDEX('C_jama.2018.17075'!$Q$2:$Q$9,MATCH("2018::jama.2018.17075::C006",'C_jama.2018.17075'!$A$2:$A$9,0))="","",INDEX('C_jama.2018.17075'!$Q$2:$Q$9,MATCH("2018::jama.2018.17075::C006",'C_jama.2018.17075'!$A$2:$A$9,0)))</x:f>
      </x:c>
    </x:row>
    <x:row r="80" ht="65" customHeight="1">
      <x:c r="A80" s="6" t="n">
        <x:v>2018</x:v>
      </x:c>
      <x:c r="B80" s="6" t="str">
        <x:v>jama.2018.17075</x:v>
      </x:c>
      <x:c r="C80" s="6" t="str">
        <x:v>2018::jama.2018.17075::C007</x:v>
      </x:c>
      <x:c r="D80" s="6" t="str">
        <x:v>S_W</x:v>
      </x:c>
      <x:c r="E80" s="6" t="n">
        <x:f>Setup!$B$2</x:f>
        <x:v>0</x:v>
      </x:c>
      <x:c r="F80" s="6" t="str">
        <x:f>IF(Setup!$B$4="","",Setup!$B$4)</x:f>
      </x:c>
      <x:c r="G80" s="6" t="str">
        <x:f>IFERROR(INDEX('C_jama.2018.17075'!$G$2:$G$9,MATCH("2018::jama.2018.17075::C007",'C_jama.2018.17075'!$A$2:$A$9,0)),"CHECK KEY")</x:f>
        <x:v>CHECK REVIEWER IDs</x:v>
      </x:c>
      <x:c r="H80" s="6" t="str">
        <x:f>IF(G80&lt;&gt;"FINAL READY","",IF(S80&lt;&gt;"retain","not_eligible",IF(D80="P_R","protocol_descriptive",IF(D80="P_P","plan_descriptive",IF(AND(T80="statistical_results",OR(U80="confirmed_issue",U80="probable_issue"),V80="substantive"),"primary_temporal",IF(AND(T80="report_internal_inconsistency",X80="substantive_inconsistency"),"secondary_temporal","not_eligible"))))))</x:f>
      </x:c>
      <x:c r="I80" s="6" t="str">
        <x:v>retain</x:v>
      </x:c>
      <x:c r="J80" s="6" t="str">
        <x:v>statistical_results</x:v>
      </x:c>
      <x:c r="K80" s="6" t="str">
        <x:f>IF(Setup!$B$6="primary","",IFERROR(IF(INDEX('Primary_snapshot'!$B$2:$B$120,MATCH(C80,'Primary_snapshot'!$A$2:$A$120,0))="","",INDEX('Primary_snapshot'!$B$2:$B$120,MATCH(C80,'Primary_snapshot'!$A$2:$A$120,0))),"SNAPSHOT MISSING"))</x:f>
      </x:c>
      <x:c r="L80" s="6" t="str">
        <x:f>IF(Setup!$B$6="primary","",IFERROR(IF(INDEX('Primary_snapshot'!$C$2:$C$120,MATCH(C80,'Primary_snapshot'!$A$2:$A$120,0))="","",INDEX('Primary_snapshot'!$C$2:$C$120,MATCH(C80,'Primary_snapshot'!$A$2:$A$120,0))),"SNAPSHOT MISSING"))</x:f>
      </x:c>
      <x:c r="M80" s="6" t="str">
        <x:f>IF(Setup!$B$6="primary","",IFERROR(IF(INDEX('Primary_snapshot'!$D$2:$D$120,MATCH(C80,'Primary_snapshot'!$A$2:$A$120,0))="","",INDEX('Primary_snapshot'!$D$2:$D$120,MATCH(C80,'Primary_snapshot'!$A$2:$A$120,0))),"SNAPSHOT MISSING"))</x:f>
      </x:c>
      <x:c r="N80" s="6" t="str">
        <x:f>IF(Setup!$B$6="primary","",IFERROR(IF(INDEX('Primary_snapshot'!$E$2:$E$120,MATCH(C80,'Primary_snapshot'!$A$2:$A$120,0))="","",INDEX('Primary_snapshot'!$E$2:$E$120,MATCH(C80,'Primary_snapshot'!$A$2:$A$120,0))),"SNAPSHOT MISSING"))</x:f>
      </x:c>
      <x:c r="O80" s="6" t="str">
        <x:f>IF(Setup!$B$6="primary","",IFERROR(IF(INDEX('Primary_snapshot'!$F$2:$F$120,MATCH(C80,'Primary_snapshot'!$A$2:$A$120,0))="","",INDEX('Primary_snapshot'!$F$2:$F$120,MATCH(C80,'Primary_snapshot'!$A$2:$A$120,0))),"SNAPSHOT MISSING"))</x:f>
      </x:c>
      <x:c r="P80" s="6" t="str">
        <x:f>IF(Setup!$B$6="primary","",IFERROR(IF(INDEX('Primary_snapshot'!$G$2:$G$120,MATCH(C80,'Primary_snapshot'!$A$2:$A$120,0))="","",INDEX('Primary_snapshot'!$G$2:$G$120,MATCH(C80,'Primary_snapshot'!$A$2:$A$120,0))),"SNAPSHOT MISSING"))</x:f>
      </x:c>
      <x:c r="Q80" s="6" t="str">
        <x:f>IF(Setup!$B$6="primary","",IFERROR(IF(INDEX('Primary_snapshot'!$H$2:$H$120,MATCH(C80,'Primary_snapshot'!$A$2:$A$120,0))="","",INDEX('Primary_snapshot'!$H$2:$H$120,MATCH(C80,'Primary_snapshot'!$A$2:$A$120,0))),"SNAPSHOT MISSING"))</x:f>
      </x:c>
      <x:c r="R80" s="6" t="str">
        <x:f>IF(Setup!$B$6="primary","",IFERROR(IF(INDEX('Primary_snapshot'!$I$2:$I$120,MATCH(C80,'Primary_snapshot'!$A$2:$A$120,0))="","",INDEX('Primary_snapshot'!$I$2:$I$120,MATCH(C80,'Primary_snapshot'!$A$2:$A$120,0))),"SNAPSHOT MISSING"))</x:f>
      </x:c>
      <x:c r="S80" s="6" t="str">
        <x:f>IF(INDEX('C_jama.2018.17075'!$D$2:$D$9,MATCH("2018::jama.2018.17075::C007",'C_jama.2018.17075'!$A$2:$A$9,0))="","",INDEX('C_jama.2018.17075'!$D$2:$D$9,MATCH("2018::jama.2018.17075::C007",'C_jama.2018.17075'!$A$2:$A$9,0)))</x:f>
      </x:c>
      <x:c r="T80" s="6" t="str">
        <x:f>IF(INDEX('C_jama.2018.17075'!$E$2:$E$9,MATCH("2018::jama.2018.17075::C007",'C_jama.2018.17075'!$A$2:$A$9,0))="","",INDEX('C_jama.2018.17075'!$E$2:$E$9,MATCH("2018::jama.2018.17075::C007",'C_jama.2018.17075'!$A$2:$A$9,0)))</x:f>
        <x:v>statistical_results</x:v>
      </x:c>
      <x:c r="U80" s="6" t="str">
        <x:f>IF(AND(INDEX('C_jama.2018.17075'!$D$2:$D$9,MATCH("2018::jama.2018.17075::C007",'C_jama.2018.17075'!$A$2:$A$9,0))="retain",INDEX('C_jama.2018.17075'!$E$2:$E$9,MATCH("2018::jama.2018.17075::C007",'C_jama.2018.17075'!$A$2:$A$9,0))="statistical_results"),IF(INDEX('C_jama.2018.17075'!$H$2:$H$9,MATCH("2018::jama.2018.17075::C007",'C_jama.2018.17075'!$A$2:$A$9,0))="","",INDEX('C_jama.2018.17075'!$H$2:$H$9,MATCH("2018::jama.2018.17075::C007",'C_jama.2018.17075'!$A$2:$A$9,0))),"not_applicable")</x:f>
        <x:v>not_applicable</x:v>
      </x:c>
      <x:c r="V80" s="6" t="str">
        <x:f>IF(AND(INDEX('C_jama.2018.17075'!$D$2:$D$9,MATCH("2018::jama.2018.17075::C007",'C_jama.2018.17075'!$A$2:$A$9,0))="retain",INDEX('C_jama.2018.17075'!$E$2:$E$9,MATCH("2018::jama.2018.17075::C007",'C_jama.2018.17075'!$A$2:$A$9,0))="statistical_results"),IF(INDEX('C_jama.2018.17075'!$I$2:$I$9,MATCH("2018::jama.2018.17075::C007",'C_jama.2018.17075'!$A$2:$A$9,0))="","",INDEX('C_jama.2018.17075'!$I$2:$I$9,MATCH("2018::jama.2018.17075::C007",'C_jama.2018.17075'!$A$2:$A$9,0))),"not_applicable")</x:f>
        <x:v>not_applicable</x:v>
      </x:c>
      <x:c r="W80" s="6" t="str">
        <x:f>IF(AND(INDEX('C_jama.2018.17075'!$D$2:$D$9,MATCH("2018::jama.2018.17075::C007",'C_jama.2018.17075'!$A$2:$A$9,0))="retain",INDEX('C_jama.2018.17075'!$E$2:$E$9,MATCH("2018::jama.2018.17075::C007",'C_jama.2018.17075'!$A$2:$A$9,0))="statistical_results"),IF(INDEX('C_jama.2018.17075'!$J$2:$J$9,MATCH("2018::jama.2018.17075::C007",'C_jama.2018.17075'!$A$2:$A$9,0))="","",INDEX('C_jama.2018.17075'!$J$2:$J$9,MATCH("2018::jama.2018.17075::C007",'C_jama.2018.17075'!$A$2:$A$9,0))),"not_applicable")</x:f>
        <x:v>not_applicable</x:v>
      </x:c>
      <x:c r="X80" s="6" t="str">
        <x:f>IF(AND(INDEX('C_jama.2018.17075'!$D$2:$D$9,MATCH("2018::jama.2018.17075::C007",'C_jama.2018.17075'!$A$2:$A$9,0))="retain",OR(INDEX('C_jama.2018.17075'!$E$2:$E$9,MATCH("2018::jama.2018.17075::C007",'C_jama.2018.17075'!$A$2:$A$9,0))="report_internal_inconsistency",INDEX('C_jama.2018.17075'!$E$2:$E$9,MATCH("2018::jama.2018.17075::C007",'C_jama.2018.17075'!$A$2:$A$9,0))="plan_material")),IF(INDEX('C_jama.2018.17075'!$K$2:$K$9,MATCH("2018::jama.2018.17075::C007",'C_jama.2018.17075'!$A$2:$A$9,0))="","",INDEX('C_jama.2018.17075'!$K$2:$K$9,MATCH("2018::jama.2018.17075::C007",'C_jama.2018.17075'!$A$2:$A$9,0))),"not_applicable")</x:f>
        <x:v>not_applicable</x:v>
      </x:c>
      <x:c r="Y80" s="6" t="str">
        <x:f>IF(AND(INDEX('C_jama.2018.17075'!$D$2:$D$9,MATCH("2018::jama.2018.17075::C007",'C_jama.2018.17075'!$A$2:$A$9,0))="retain",INDEX('C_jama.2018.17075'!$E$2:$E$9,MATCH("2018::jama.2018.17075::C007",'C_jama.2018.17075'!$A$2:$A$9,0))="protocol_report"),IF(INDEX('C_jama.2018.17075'!$L$2:$L$9,MATCH("2018::jama.2018.17075::C007",'C_jama.2018.17075'!$A$2:$A$9,0))="","",INDEX('C_jama.2018.17075'!$L$2:$L$9,MATCH("2018::jama.2018.17075::C007",'C_jama.2018.17075'!$A$2:$A$9,0))),"not_applicable")</x:f>
        <x:v>not_applicable</x:v>
      </x:c>
      <x:c r="Z80" s="6" t="str">
        <x:f>IF(INDEX('C_jama.2018.17075'!$R$2:$R$9,MATCH("2018::jama.2018.17075::C007",'C_jama.2018.17075'!$A$2:$A$9,0))="","",INDEX('C_jama.2018.17075'!$R$2:$R$9,MATCH("2018::jama.2018.17075::C007",'C_jama.2018.17075'!$A$2:$A$9,0)))</x:f>
      </x:c>
      <x:c r="AA80" s="6" t="str">
        <x:f>IF(INDEX('C_jama.2018.17075'!$N$2:$N$9,MATCH("2018::jama.2018.17075::C007",'C_jama.2018.17075'!$A$2:$A$9,0))="","",INDEX('C_jama.2018.17075'!$N$2:$N$9,MATCH("2018::jama.2018.17075::C007",'C_jama.2018.17075'!$A$2:$A$9,0)))</x:f>
      </x:c>
      <x:c r="AB80" s="6" t="str">
        <x:f>IF(INDEX('C_jama.2018.17075'!$O$2:$O$9,MATCH("2018::jama.2018.17075::C007",'C_jama.2018.17075'!$A$2:$A$9,0))="","",INDEX('C_jama.2018.17075'!$O$2:$O$9,MATCH("2018::jama.2018.17075::C007",'C_jama.2018.17075'!$A$2:$A$9,0)))</x:f>
      </x:c>
      <x:c r="AC80" s="6" t="str">
        <x:f>IF(INDEX('C_jama.2018.17075'!$P$2:$P$9,MATCH("2018::jama.2018.17075::C007",'C_jama.2018.17075'!$A$2:$A$9,0))="","",INDEX('C_jama.2018.17075'!$P$2:$P$9,MATCH("2018::jama.2018.17075::C007",'C_jama.2018.17075'!$A$2:$A$9,0)))</x:f>
      </x:c>
      <x:c r="AD80" s="6" t="str">
        <x:f>IF(INDEX('C_jama.2018.17075'!$Q$2:$Q$9,MATCH("2018::jama.2018.17075::C007",'C_jama.2018.17075'!$A$2:$A$9,0))="","",INDEX('C_jama.2018.17075'!$Q$2:$Q$9,MATCH("2018::jama.2018.17075::C007",'C_jama.2018.17075'!$A$2:$A$9,0)))</x:f>
      </x:c>
    </x:row>
    <x:row r="81" ht="65" customHeight="1">
      <x:c r="A81" s="3" t="n">
        <x:v>2018</x:v>
      </x:c>
      <x:c r="B81" s="3" t="str">
        <x:v>jama.2018.17075</x:v>
      </x:c>
      <x:c r="C81" s="3" t="str">
        <x:v>2018::jama.2018.17075::C008</x:v>
      </x:c>
      <x:c r="D81" s="3" t="str">
        <x:v>S_W</x:v>
      </x:c>
      <x:c r="E81" s="3" t="n">
        <x:f>Setup!$B$2</x:f>
        <x:v>0</x:v>
      </x:c>
      <x:c r="F81" s="3" t="str">
        <x:f>IF(Setup!$B$4="","",Setup!$B$4)</x:f>
      </x:c>
      <x:c r="G81" s="3" t="str">
        <x:f>IFERROR(INDEX('C_jama.2018.17075'!$G$2:$G$9,MATCH("2018::jama.2018.17075::C008",'C_jama.2018.17075'!$A$2:$A$9,0)),"CHECK KEY")</x:f>
        <x:v>CHECK REVIEWER IDs</x:v>
      </x:c>
      <x:c r="H81" s="3" t="str">
        <x:f>IF(G81&lt;&gt;"FINAL READY","",IF(S81&lt;&gt;"retain","not_eligible",IF(D81="P_R","protocol_descriptive",IF(D81="P_P","plan_descriptive",IF(AND(T81="statistical_results",OR(U81="confirmed_issue",U81="probable_issue"),V81="substantive"),"primary_temporal",IF(AND(T81="report_internal_inconsistency",X81="substantive_inconsistency"),"secondary_temporal","not_eligible"))))))</x:f>
      </x:c>
      <x:c r="I81" s="3" t="str">
        <x:v>retain</x:v>
      </x:c>
      <x:c r="J81" s="3" t="str">
        <x:v>statistical_results</x:v>
      </x:c>
      <x:c r="K81" s="3" t="str">
        <x:f>IF(Setup!$B$6="primary","",IFERROR(IF(INDEX('Primary_snapshot'!$B$2:$B$120,MATCH(C81,'Primary_snapshot'!$A$2:$A$120,0))="","",INDEX('Primary_snapshot'!$B$2:$B$120,MATCH(C81,'Primary_snapshot'!$A$2:$A$120,0))),"SNAPSHOT MISSING"))</x:f>
      </x:c>
      <x:c r="L81" s="3" t="str">
        <x:f>IF(Setup!$B$6="primary","",IFERROR(IF(INDEX('Primary_snapshot'!$C$2:$C$120,MATCH(C81,'Primary_snapshot'!$A$2:$A$120,0))="","",INDEX('Primary_snapshot'!$C$2:$C$120,MATCH(C81,'Primary_snapshot'!$A$2:$A$120,0))),"SNAPSHOT MISSING"))</x:f>
      </x:c>
      <x:c r="M81" s="3" t="str">
        <x:f>IF(Setup!$B$6="primary","",IFERROR(IF(INDEX('Primary_snapshot'!$D$2:$D$120,MATCH(C81,'Primary_snapshot'!$A$2:$A$120,0))="","",INDEX('Primary_snapshot'!$D$2:$D$120,MATCH(C81,'Primary_snapshot'!$A$2:$A$120,0))),"SNAPSHOT MISSING"))</x:f>
      </x:c>
      <x:c r="N81" s="3" t="str">
        <x:f>IF(Setup!$B$6="primary","",IFERROR(IF(INDEX('Primary_snapshot'!$E$2:$E$120,MATCH(C81,'Primary_snapshot'!$A$2:$A$120,0))="","",INDEX('Primary_snapshot'!$E$2:$E$120,MATCH(C81,'Primary_snapshot'!$A$2:$A$120,0))),"SNAPSHOT MISSING"))</x:f>
      </x:c>
      <x:c r="O81" s="3" t="str">
        <x:f>IF(Setup!$B$6="primary","",IFERROR(IF(INDEX('Primary_snapshot'!$F$2:$F$120,MATCH(C81,'Primary_snapshot'!$A$2:$A$120,0))="","",INDEX('Primary_snapshot'!$F$2:$F$120,MATCH(C81,'Primary_snapshot'!$A$2:$A$120,0))),"SNAPSHOT MISSING"))</x:f>
      </x:c>
      <x:c r="P81" s="3" t="str">
        <x:f>IF(Setup!$B$6="primary","",IFERROR(IF(INDEX('Primary_snapshot'!$G$2:$G$120,MATCH(C81,'Primary_snapshot'!$A$2:$A$120,0))="","",INDEX('Primary_snapshot'!$G$2:$G$120,MATCH(C81,'Primary_snapshot'!$A$2:$A$120,0))),"SNAPSHOT MISSING"))</x:f>
      </x:c>
      <x:c r="Q81" s="3" t="str">
        <x:f>IF(Setup!$B$6="primary","",IFERROR(IF(INDEX('Primary_snapshot'!$H$2:$H$120,MATCH(C81,'Primary_snapshot'!$A$2:$A$120,0))="","",INDEX('Primary_snapshot'!$H$2:$H$120,MATCH(C81,'Primary_snapshot'!$A$2:$A$120,0))),"SNAPSHOT MISSING"))</x:f>
      </x:c>
      <x:c r="R81" s="3" t="str">
        <x:f>IF(Setup!$B$6="primary","",IFERROR(IF(INDEX('Primary_snapshot'!$I$2:$I$120,MATCH(C81,'Primary_snapshot'!$A$2:$A$120,0))="","",INDEX('Primary_snapshot'!$I$2:$I$120,MATCH(C81,'Primary_snapshot'!$A$2:$A$120,0))),"SNAPSHOT MISSING"))</x:f>
      </x:c>
      <x:c r="S81" s="3" t="str">
        <x:f>IF(INDEX('C_jama.2018.17075'!$D$2:$D$9,MATCH("2018::jama.2018.17075::C008",'C_jama.2018.17075'!$A$2:$A$9,0))="","",INDEX('C_jama.2018.17075'!$D$2:$D$9,MATCH("2018::jama.2018.17075::C008",'C_jama.2018.17075'!$A$2:$A$9,0)))</x:f>
      </x:c>
      <x:c r="T81" s="3" t="str">
        <x:f>IF(INDEX('C_jama.2018.17075'!$E$2:$E$9,MATCH("2018::jama.2018.17075::C008",'C_jama.2018.17075'!$A$2:$A$9,0))="","",INDEX('C_jama.2018.17075'!$E$2:$E$9,MATCH("2018::jama.2018.17075::C008",'C_jama.2018.17075'!$A$2:$A$9,0)))</x:f>
        <x:v>statistical_results</x:v>
      </x:c>
      <x:c r="U81" s="3" t="str">
        <x:f>IF(AND(INDEX('C_jama.2018.17075'!$D$2:$D$9,MATCH("2018::jama.2018.17075::C008",'C_jama.2018.17075'!$A$2:$A$9,0))="retain",INDEX('C_jama.2018.17075'!$E$2:$E$9,MATCH("2018::jama.2018.17075::C008",'C_jama.2018.17075'!$A$2:$A$9,0))="statistical_results"),IF(INDEX('C_jama.2018.17075'!$H$2:$H$9,MATCH("2018::jama.2018.17075::C008",'C_jama.2018.17075'!$A$2:$A$9,0))="","",INDEX('C_jama.2018.17075'!$H$2:$H$9,MATCH("2018::jama.2018.17075::C008",'C_jama.2018.17075'!$A$2:$A$9,0))),"not_applicable")</x:f>
        <x:v>not_applicable</x:v>
      </x:c>
      <x:c r="V81" s="3" t="str">
        <x:f>IF(AND(INDEX('C_jama.2018.17075'!$D$2:$D$9,MATCH("2018::jama.2018.17075::C008",'C_jama.2018.17075'!$A$2:$A$9,0))="retain",INDEX('C_jama.2018.17075'!$E$2:$E$9,MATCH("2018::jama.2018.17075::C008",'C_jama.2018.17075'!$A$2:$A$9,0))="statistical_results"),IF(INDEX('C_jama.2018.17075'!$I$2:$I$9,MATCH("2018::jama.2018.17075::C008",'C_jama.2018.17075'!$A$2:$A$9,0))="","",INDEX('C_jama.2018.17075'!$I$2:$I$9,MATCH("2018::jama.2018.17075::C008",'C_jama.2018.17075'!$A$2:$A$9,0))),"not_applicable")</x:f>
        <x:v>not_applicable</x:v>
      </x:c>
      <x:c r="W81" s="3" t="str">
        <x:f>IF(AND(INDEX('C_jama.2018.17075'!$D$2:$D$9,MATCH("2018::jama.2018.17075::C008",'C_jama.2018.17075'!$A$2:$A$9,0))="retain",INDEX('C_jama.2018.17075'!$E$2:$E$9,MATCH("2018::jama.2018.17075::C008",'C_jama.2018.17075'!$A$2:$A$9,0))="statistical_results"),IF(INDEX('C_jama.2018.17075'!$J$2:$J$9,MATCH("2018::jama.2018.17075::C008",'C_jama.2018.17075'!$A$2:$A$9,0))="","",INDEX('C_jama.2018.17075'!$J$2:$J$9,MATCH("2018::jama.2018.17075::C008",'C_jama.2018.17075'!$A$2:$A$9,0))),"not_applicable")</x:f>
        <x:v>not_applicable</x:v>
      </x:c>
      <x:c r="X81" s="3" t="str">
        <x:f>IF(AND(INDEX('C_jama.2018.17075'!$D$2:$D$9,MATCH("2018::jama.2018.17075::C008",'C_jama.2018.17075'!$A$2:$A$9,0))="retain",OR(INDEX('C_jama.2018.17075'!$E$2:$E$9,MATCH("2018::jama.2018.17075::C008",'C_jama.2018.17075'!$A$2:$A$9,0))="report_internal_inconsistency",INDEX('C_jama.2018.17075'!$E$2:$E$9,MATCH("2018::jama.2018.17075::C008",'C_jama.2018.17075'!$A$2:$A$9,0))="plan_material")),IF(INDEX('C_jama.2018.17075'!$K$2:$K$9,MATCH("2018::jama.2018.17075::C008",'C_jama.2018.17075'!$A$2:$A$9,0))="","",INDEX('C_jama.2018.17075'!$K$2:$K$9,MATCH("2018::jama.2018.17075::C008",'C_jama.2018.17075'!$A$2:$A$9,0))),"not_applicable")</x:f>
        <x:v>not_applicable</x:v>
      </x:c>
      <x:c r="Y81" s="3" t="str">
        <x:f>IF(AND(INDEX('C_jama.2018.17075'!$D$2:$D$9,MATCH("2018::jama.2018.17075::C008",'C_jama.2018.17075'!$A$2:$A$9,0))="retain",INDEX('C_jama.2018.17075'!$E$2:$E$9,MATCH("2018::jama.2018.17075::C008",'C_jama.2018.17075'!$A$2:$A$9,0))="protocol_report"),IF(INDEX('C_jama.2018.17075'!$L$2:$L$9,MATCH("2018::jama.2018.17075::C008",'C_jama.2018.17075'!$A$2:$A$9,0))="","",INDEX('C_jama.2018.17075'!$L$2:$L$9,MATCH("2018::jama.2018.17075::C008",'C_jama.2018.17075'!$A$2:$A$9,0))),"not_applicable")</x:f>
        <x:v>not_applicable</x:v>
      </x:c>
      <x:c r="Z81" s="3" t="str">
        <x:f>IF(INDEX('C_jama.2018.17075'!$R$2:$R$9,MATCH("2018::jama.2018.17075::C008",'C_jama.2018.17075'!$A$2:$A$9,0))="","",INDEX('C_jama.2018.17075'!$R$2:$R$9,MATCH("2018::jama.2018.17075::C008",'C_jama.2018.17075'!$A$2:$A$9,0)))</x:f>
      </x:c>
      <x:c r="AA81" s="3" t="str">
        <x:f>IF(INDEX('C_jama.2018.17075'!$N$2:$N$9,MATCH("2018::jama.2018.17075::C008",'C_jama.2018.17075'!$A$2:$A$9,0))="","",INDEX('C_jama.2018.17075'!$N$2:$N$9,MATCH("2018::jama.2018.17075::C008",'C_jama.2018.17075'!$A$2:$A$9,0)))</x:f>
      </x:c>
      <x:c r="AB81" s="3" t="str">
        <x:f>IF(INDEX('C_jama.2018.17075'!$O$2:$O$9,MATCH("2018::jama.2018.17075::C008",'C_jama.2018.17075'!$A$2:$A$9,0))="","",INDEX('C_jama.2018.17075'!$O$2:$O$9,MATCH("2018::jama.2018.17075::C008",'C_jama.2018.17075'!$A$2:$A$9,0)))</x:f>
      </x:c>
      <x:c r="AC81" s="3" t="str">
        <x:f>IF(INDEX('C_jama.2018.17075'!$P$2:$P$9,MATCH("2018::jama.2018.17075::C008",'C_jama.2018.17075'!$A$2:$A$9,0))="","",INDEX('C_jama.2018.17075'!$P$2:$P$9,MATCH("2018::jama.2018.17075::C008",'C_jama.2018.17075'!$A$2:$A$9,0)))</x:f>
      </x:c>
      <x:c r="AD81" s="3" t="str">
        <x:f>IF(INDEX('C_jama.2018.17075'!$Q$2:$Q$9,MATCH("2018::jama.2018.17075::C008",'C_jama.2018.17075'!$A$2:$A$9,0))="","",INDEX('C_jama.2018.17075'!$Q$2:$Q$9,MATCH("2018::jama.2018.17075::C008",'C_jama.2018.17075'!$A$2:$A$9,0)))</x:f>
      </x:c>
    </x:row>
    <x:row r="82" ht="65" customHeight="1">
      <x:c r="A82" s="6" t="n">
        <x:v>2018</x:v>
      </x:c>
      <x:c r="B82" s="6" t="str">
        <x:v>jama.2018.18020</x:v>
      </x:c>
      <x:c r="C82" s="6" t="str">
        <x:v>2018::jama.2018.18020::C001</x:v>
      </x:c>
      <x:c r="D82" s="6" t="str">
        <x:v>S_W</x:v>
      </x:c>
      <x:c r="E82" s="6" t="n">
        <x:f>Setup!$B$2</x:f>
        <x:v>0</x:v>
      </x:c>
      <x:c r="F82" s="6" t="str">
        <x:f>IF(Setup!$B$4="","",Setup!$B$4)</x:f>
      </x:c>
      <x:c r="G82" s="6" t="str">
        <x:f>IFERROR(INDEX('C_jama.2018.18020'!$G$2:$G$15,MATCH("2018::jama.2018.18020::C001",'C_jama.2018.18020'!$A$2:$A$15,0)),"CHECK KEY")</x:f>
        <x:v>CHECK REVIEWER IDs</x:v>
      </x:c>
      <x:c r="H82" s="6" t="str">
        <x:f>IF(G82&lt;&gt;"FINAL READY","",IF(S82&lt;&gt;"retain","not_eligible",IF(D82="P_R","protocol_descriptive",IF(D82="P_P","plan_descriptive",IF(AND(T82="statistical_results",OR(U82="confirmed_issue",U82="probable_issue"),V82="substantive"),"primary_temporal",IF(AND(T82="report_internal_inconsistency",X82="substantive_inconsistency"),"secondary_temporal","not_eligible"))))))</x:f>
      </x:c>
      <x:c r="I82" s="6" t="str">
        <x:v>retain</x:v>
      </x:c>
      <x:c r="J82" s="6" t="str">
        <x:v>statistical_results</x:v>
      </x:c>
      <x:c r="K82" s="6" t="str">
        <x:f>IF(Setup!$B$6="primary","",IFERROR(IF(INDEX('Primary_snapshot'!$B$2:$B$120,MATCH(C82,'Primary_snapshot'!$A$2:$A$120,0))="","",INDEX('Primary_snapshot'!$B$2:$B$120,MATCH(C82,'Primary_snapshot'!$A$2:$A$120,0))),"SNAPSHOT MISSING"))</x:f>
      </x:c>
      <x:c r="L82" s="6" t="str">
        <x:f>IF(Setup!$B$6="primary","",IFERROR(IF(INDEX('Primary_snapshot'!$C$2:$C$120,MATCH(C82,'Primary_snapshot'!$A$2:$A$120,0))="","",INDEX('Primary_snapshot'!$C$2:$C$120,MATCH(C82,'Primary_snapshot'!$A$2:$A$120,0))),"SNAPSHOT MISSING"))</x:f>
      </x:c>
      <x:c r="M82" s="6" t="str">
        <x:f>IF(Setup!$B$6="primary","",IFERROR(IF(INDEX('Primary_snapshot'!$D$2:$D$120,MATCH(C82,'Primary_snapshot'!$A$2:$A$120,0))="","",INDEX('Primary_snapshot'!$D$2:$D$120,MATCH(C82,'Primary_snapshot'!$A$2:$A$120,0))),"SNAPSHOT MISSING"))</x:f>
      </x:c>
      <x:c r="N82" s="6" t="str">
        <x:f>IF(Setup!$B$6="primary","",IFERROR(IF(INDEX('Primary_snapshot'!$E$2:$E$120,MATCH(C82,'Primary_snapshot'!$A$2:$A$120,0))="","",INDEX('Primary_snapshot'!$E$2:$E$120,MATCH(C82,'Primary_snapshot'!$A$2:$A$120,0))),"SNAPSHOT MISSING"))</x:f>
      </x:c>
      <x:c r="O82" s="6" t="str">
        <x:f>IF(Setup!$B$6="primary","",IFERROR(IF(INDEX('Primary_snapshot'!$F$2:$F$120,MATCH(C82,'Primary_snapshot'!$A$2:$A$120,0))="","",INDEX('Primary_snapshot'!$F$2:$F$120,MATCH(C82,'Primary_snapshot'!$A$2:$A$120,0))),"SNAPSHOT MISSING"))</x:f>
      </x:c>
      <x:c r="P82" s="6" t="str">
        <x:f>IF(Setup!$B$6="primary","",IFERROR(IF(INDEX('Primary_snapshot'!$G$2:$G$120,MATCH(C82,'Primary_snapshot'!$A$2:$A$120,0))="","",INDEX('Primary_snapshot'!$G$2:$G$120,MATCH(C82,'Primary_snapshot'!$A$2:$A$120,0))),"SNAPSHOT MISSING"))</x:f>
      </x:c>
      <x:c r="Q82" s="6" t="str">
        <x:f>IF(Setup!$B$6="primary","",IFERROR(IF(INDEX('Primary_snapshot'!$H$2:$H$120,MATCH(C82,'Primary_snapshot'!$A$2:$A$120,0))="","",INDEX('Primary_snapshot'!$H$2:$H$120,MATCH(C82,'Primary_snapshot'!$A$2:$A$120,0))),"SNAPSHOT MISSING"))</x:f>
      </x:c>
      <x:c r="R82" s="6" t="str">
        <x:f>IF(Setup!$B$6="primary","",IFERROR(IF(INDEX('Primary_snapshot'!$I$2:$I$120,MATCH(C82,'Primary_snapshot'!$A$2:$A$120,0))="","",INDEX('Primary_snapshot'!$I$2:$I$120,MATCH(C82,'Primary_snapshot'!$A$2:$A$120,0))),"SNAPSHOT MISSING"))</x:f>
      </x:c>
      <x:c r="S82" s="6" t="str">
        <x:f>IF(INDEX('C_jama.2018.18020'!$D$2:$D$15,MATCH("2018::jama.2018.18020::C001",'C_jama.2018.18020'!$A$2:$A$15,0))="","",INDEX('C_jama.2018.18020'!$D$2:$D$15,MATCH("2018::jama.2018.18020::C001",'C_jama.2018.18020'!$A$2:$A$15,0)))</x:f>
      </x:c>
      <x:c r="T82" s="6" t="str">
        <x:f>IF(INDEX('C_jama.2018.18020'!$E$2:$E$15,MATCH("2018::jama.2018.18020::C001",'C_jama.2018.18020'!$A$2:$A$15,0))="","",INDEX('C_jama.2018.18020'!$E$2:$E$15,MATCH("2018::jama.2018.18020::C001",'C_jama.2018.18020'!$A$2:$A$15,0)))</x:f>
        <x:v>statistical_results</x:v>
      </x:c>
      <x:c r="U82" s="6" t="str">
        <x:f>IF(AND(INDEX('C_jama.2018.18020'!$D$2:$D$15,MATCH("2018::jama.2018.18020::C001",'C_jama.2018.18020'!$A$2:$A$15,0))="retain",INDEX('C_jama.2018.18020'!$E$2:$E$15,MATCH("2018::jama.2018.18020::C001",'C_jama.2018.18020'!$A$2:$A$15,0))="statistical_results"),IF(INDEX('C_jama.2018.18020'!$H$2:$H$15,MATCH("2018::jama.2018.18020::C001",'C_jama.2018.18020'!$A$2:$A$15,0))="","",INDEX('C_jama.2018.18020'!$H$2:$H$15,MATCH("2018::jama.2018.18020::C001",'C_jama.2018.18020'!$A$2:$A$15,0))),"not_applicable")</x:f>
        <x:v>not_applicable</x:v>
      </x:c>
      <x:c r="V82" s="6" t="str">
        <x:f>IF(AND(INDEX('C_jama.2018.18020'!$D$2:$D$15,MATCH("2018::jama.2018.18020::C001",'C_jama.2018.18020'!$A$2:$A$15,0))="retain",INDEX('C_jama.2018.18020'!$E$2:$E$15,MATCH("2018::jama.2018.18020::C001",'C_jama.2018.18020'!$A$2:$A$15,0))="statistical_results"),IF(INDEX('C_jama.2018.18020'!$I$2:$I$15,MATCH("2018::jama.2018.18020::C001",'C_jama.2018.18020'!$A$2:$A$15,0))="","",INDEX('C_jama.2018.18020'!$I$2:$I$15,MATCH("2018::jama.2018.18020::C001",'C_jama.2018.18020'!$A$2:$A$15,0))),"not_applicable")</x:f>
        <x:v>not_applicable</x:v>
      </x:c>
      <x:c r="W82" s="6" t="str">
        <x:f>IF(AND(INDEX('C_jama.2018.18020'!$D$2:$D$15,MATCH("2018::jama.2018.18020::C001",'C_jama.2018.18020'!$A$2:$A$15,0))="retain",INDEX('C_jama.2018.18020'!$E$2:$E$15,MATCH("2018::jama.2018.18020::C001",'C_jama.2018.18020'!$A$2:$A$15,0))="statistical_results"),IF(INDEX('C_jama.2018.18020'!$J$2:$J$15,MATCH("2018::jama.2018.18020::C001",'C_jama.2018.18020'!$A$2:$A$15,0))="","",INDEX('C_jama.2018.18020'!$J$2:$J$15,MATCH("2018::jama.2018.18020::C001",'C_jama.2018.18020'!$A$2:$A$15,0))),"not_applicable")</x:f>
        <x:v>not_applicable</x:v>
      </x:c>
      <x:c r="X82" s="6" t="str">
        <x:f>IF(AND(INDEX('C_jama.2018.18020'!$D$2:$D$15,MATCH("2018::jama.2018.18020::C001",'C_jama.2018.18020'!$A$2:$A$15,0))="retain",OR(INDEX('C_jama.2018.18020'!$E$2:$E$15,MATCH("2018::jama.2018.18020::C001",'C_jama.2018.18020'!$A$2:$A$15,0))="report_internal_inconsistency",INDEX('C_jama.2018.18020'!$E$2:$E$15,MATCH("2018::jama.2018.18020::C001",'C_jama.2018.18020'!$A$2:$A$15,0))="plan_material")),IF(INDEX('C_jama.2018.18020'!$K$2:$K$15,MATCH("2018::jama.2018.18020::C001",'C_jama.2018.18020'!$A$2:$A$15,0))="","",INDEX('C_jama.2018.18020'!$K$2:$K$15,MATCH("2018::jama.2018.18020::C001",'C_jama.2018.18020'!$A$2:$A$15,0))),"not_applicable")</x:f>
        <x:v>not_applicable</x:v>
      </x:c>
      <x:c r="Y82" s="6" t="str">
        <x:f>IF(AND(INDEX('C_jama.2018.18020'!$D$2:$D$15,MATCH("2018::jama.2018.18020::C001",'C_jama.2018.18020'!$A$2:$A$15,0))="retain",INDEX('C_jama.2018.18020'!$E$2:$E$15,MATCH("2018::jama.2018.18020::C001",'C_jama.2018.18020'!$A$2:$A$15,0))="protocol_report"),IF(INDEX('C_jama.2018.18020'!$L$2:$L$15,MATCH("2018::jama.2018.18020::C001",'C_jama.2018.18020'!$A$2:$A$15,0))="","",INDEX('C_jama.2018.18020'!$L$2:$L$15,MATCH("2018::jama.2018.18020::C001",'C_jama.2018.18020'!$A$2:$A$15,0))),"not_applicable")</x:f>
        <x:v>not_applicable</x:v>
      </x:c>
      <x:c r="Z82" s="6" t="str">
        <x:f>IF(INDEX('C_jama.2018.18020'!$R$2:$R$15,MATCH("2018::jama.2018.18020::C001",'C_jama.2018.18020'!$A$2:$A$15,0))="","",INDEX('C_jama.2018.18020'!$R$2:$R$15,MATCH("2018::jama.2018.18020::C001",'C_jama.2018.18020'!$A$2:$A$15,0)))</x:f>
      </x:c>
      <x:c r="AA82" s="6" t="str">
        <x:f>IF(INDEX('C_jama.2018.18020'!$N$2:$N$15,MATCH("2018::jama.2018.18020::C001",'C_jama.2018.18020'!$A$2:$A$15,0))="","",INDEX('C_jama.2018.18020'!$N$2:$N$15,MATCH("2018::jama.2018.18020::C001",'C_jama.2018.18020'!$A$2:$A$15,0)))</x:f>
      </x:c>
      <x:c r="AB82" s="6" t="str">
        <x:f>IF(INDEX('C_jama.2018.18020'!$O$2:$O$15,MATCH("2018::jama.2018.18020::C001",'C_jama.2018.18020'!$A$2:$A$15,0))="","",INDEX('C_jama.2018.18020'!$O$2:$O$15,MATCH("2018::jama.2018.18020::C001",'C_jama.2018.18020'!$A$2:$A$15,0)))</x:f>
      </x:c>
      <x:c r="AC82" s="6" t="str">
        <x:f>IF(INDEX('C_jama.2018.18020'!$P$2:$P$15,MATCH("2018::jama.2018.18020::C001",'C_jama.2018.18020'!$A$2:$A$15,0))="","",INDEX('C_jama.2018.18020'!$P$2:$P$15,MATCH("2018::jama.2018.18020::C001",'C_jama.2018.18020'!$A$2:$A$15,0)))</x:f>
      </x:c>
      <x:c r="AD82" s="6" t="str">
        <x:f>IF(INDEX('C_jama.2018.18020'!$Q$2:$Q$15,MATCH("2018::jama.2018.18020::C001",'C_jama.2018.18020'!$A$2:$A$15,0))="","",INDEX('C_jama.2018.18020'!$Q$2:$Q$15,MATCH("2018::jama.2018.18020::C001",'C_jama.2018.18020'!$A$2:$A$15,0)))</x:f>
      </x:c>
    </x:row>
    <x:row r="83" ht="65" customHeight="1">
      <x:c r="A83" s="3" t="n">
        <x:v>2018</x:v>
      </x:c>
      <x:c r="B83" s="3" t="str">
        <x:v>jama.2018.18020</x:v>
      </x:c>
      <x:c r="C83" s="3" t="str">
        <x:v>2018::jama.2018.18020::C002</x:v>
      </x:c>
      <x:c r="D83" s="3" t="str">
        <x:v>S_W</x:v>
      </x:c>
      <x:c r="E83" s="3" t="n">
        <x:f>Setup!$B$2</x:f>
        <x:v>0</x:v>
      </x:c>
      <x:c r="F83" s="3" t="str">
        <x:f>IF(Setup!$B$4="","",Setup!$B$4)</x:f>
      </x:c>
      <x:c r="G83" s="3" t="str">
        <x:f>IFERROR(INDEX('C_jama.2018.18020'!$G$2:$G$15,MATCH("2018::jama.2018.18020::C002",'C_jama.2018.18020'!$A$2:$A$15,0)),"CHECK KEY")</x:f>
        <x:v>CHECK REVIEWER IDs</x:v>
      </x:c>
      <x:c r="H83" s="3" t="str">
        <x:f>IF(G83&lt;&gt;"FINAL READY","",IF(S83&lt;&gt;"retain","not_eligible",IF(D83="P_R","protocol_descriptive",IF(D83="P_P","plan_descriptive",IF(AND(T83="statistical_results",OR(U83="confirmed_issue",U83="probable_issue"),V83="substantive"),"primary_temporal",IF(AND(T83="report_internal_inconsistency",X83="substantive_inconsistency"),"secondary_temporal","not_eligible"))))))</x:f>
      </x:c>
      <x:c r="I83" s="3" t="str">
        <x:v>retain</x:v>
      </x:c>
      <x:c r="J83" s="3" t="str">
        <x:v>report_internal_inconsistency</x:v>
      </x:c>
      <x:c r="K83" s="3" t="str">
        <x:f>IF(Setup!$B$6="primary","",IFERROR(IF(INDEX('Primary_snapshot'!$B$2:$B$120,MATCH(C83,'Primary_snapshot'!$A$2:$A$120,0))="","",INDEX('Primary_snapshot'!$B$2:$B$120,MATCH(C83,'Primary_snapshot'!$A$2:$A$120,0))),"SNAPSHOT MISSING"))</x:f>
      </x:c>
      <x:c r="L83" s="3" t="str">
        <x:f>IF(Setup!$B$6="primary","",IFERROR(IF(INDEX('Primary_snapshot'!$C$2:$C$120,MATCH(C83,'Primary_snapshot'!$A$2:$A$120,0))="","",INDEX('Primary_snapshot'!$C$2:$C$120,MATCH(C83,'Primary_snapshot'!$A$2:$A$120,0))),"SNAPSHOT MISSING"))</x:f>
      </x:c>
      <x:c r="M83" s="3" t="str">
        <x:f>IF(Setup!$B$6="primary","",IFERROR(IF(INDEX('Primary_snapshot'!$D$2:$D$120,MATCH(C83,'Primary_snapshot'!$A$2:$A$120,0))="","",INDEX('Primary_snapshot'!$D$2:$D$120,MATCH(C83,'Primary_snapshot'!$A$2:$A$120,0))),"SNAPSHOT MISSING"))</x:f>
      </x:c>
      <x:c r="N83" s="3" t="str">
        <x:f>IF(Setup!$B$6="primary","",IFERROR(IF(INDEX('Primary_snapshot'!$E$2:$E$120,MATCH(C83,'Primary_snapshot'!$A$2:$A$120,0))="","",INDEX('Primary_snapshot'!$E$2:$E$120,MATCH(C83,'Primary_snapshot'!$A$2:$A$120,0))),"SNAPSHOT MISSING"))</x:f>
      </x:c>
      <x:c r="O83" s="3" t="str">
        <x:f>IF(Setup!$B$6="primary","",IFERROR(IF(INDEX('Primary_snapshot'!$F$2:$F$120,MATCH(C83,'Primary_snapshot'!$A$2:$A$120,0))="","",INDEX('Primary_snapshot'!$F$2:$F$120,MATCH(C83,'Primary_snapshot'!$A$2:$A$120,0))),"SNAPSHOT MISSING"))</x:f>
      </x:c>
      <x:c r="P83" s="3" t="str">
        <x:f>IF(Setup!$B$6="primary","",IFERROR(IF(INDEX('Primary_snapshot'!$G$2:$G$120,MATCH(C83,'Primary_snapshot'!$A$2:$A$120,0))="","",INDEX('Primary_snapshot'!$G$2:$G$120,MATCH(C83,'Primary_snapshot'!$A$2:$A$120,0))),"SNAPSHOT MISSING"))</x:f>
      </x:c>
      <x:c r="Q83" s="3" t="str">
        <x:f>IF(Setup!$B$6="primary","",IFERROR(IF(INDEX('Primary_snapshot'!$H$2:$H$120,MATCH(C83,'Primary_snapshot'!$A$2:$A$120,0))="","",INDEX('Primary_snapshot'!$H$2:$H$120,MATCH(C83,'Primary_snapshot'!$A$2:$A$120,0))),"SNAPSHOT MISSING"))</x:f>
      </x:c>
      <x:c r="R83" s="3" t="str">
        <x:f>IF(Setup!$B$6="primary","",IFERROR(IF(INDEX('Primary_snapshot'!$I$2:$I$120,MATCH(C83,'Primary_snapshot'!$A$2:$A$120,0))="","",INDEX('Primary_snapshot'!$I$2:$I$120,MATCH(C83,'Primary_snapshot'!$A$2:$A$120,0))),"SNAPSHOT MISSING"))</x:f>
      </x:c>
      <x:c r="S83" s="3" t="str">
        <x:f>IF(INDEX('C_jama.2018.18020'!$D$2:$D$15,MATCH("2018::jama.2018.18020::C002",'C_jama.2018.18020'!$A$2:$A$15,0))="","",INDEX('C_jama.2018.18020'!$D$2:$D$15,MATCH("2018::jama.2018.18020::C002",'C_jama.2018.18020'!$A$2:$A$15,0)))</x:f>
      </x:c>
      <x:c r="T83" s="3" t="str">
        <x:f>IF(INDEX('C_jama.2018.18020'!$E$2:$E$15,MATCH("2018::jama.2018.18020::C002",'C_jama.2018.18020'!$A$2:$A$15,0))="","",INDEX('C_jama.2018.18020'!$E$2:$E$15,MATCH("2018::jama.2018.18020::C002",'C_jama.2018.18020'!$A$2:$A$15,0)))</x:f>
        <x:v>report_internal_inconsistency</x:v>
      </x:c>
      <x:c r="U83" s="3" t="str">
        <x:f>IF(AND(INDEX('C_jama.2018.18020'!$D$2:$D$15,MATCH("2018::jama.2018.18020::C002",'C_jama.2018.18020'!$A$2:$A$15,0))="retain",INDEX('C_jama.2018.18020'!$E$2:$E$15,MATCH("2018::jama.2018.18020::C002",'C_jama.2018.18020'!$A$2:$A$15,0))="statistical_results"),IF(INDEX('C_jama.2018.18020'!$H$2:$H$15,MATCH("2018::jama.2018.18020::C002",'C_jama.2018.18020'!$A$2:$A$15,0))="","",INDEX('C_jama.2018.18020'!$H$2:$H$15,MATCH("2018::jama.2018.18020::C002",'C_jama.2018.18020'!$A$2:$A$15,0))),"not_applicable")</x:f>
        <x:v>not_applicable</x:v>
      </x:c>
      <x:c r="V83" s="3" t="str">
        <x:f>IF(AND(INDEX('C_jama.2018.18020'!$D$2:$D$15,MATCH("2018::jama.2018.18020::C002",'C_jama.2018.18020'!$A$2:$A$15,0))="retain",INDEX('C_jama.2018.18020'!$E$2:$E$15,MATCH("2018::jama.2018.18020::C002",'C_jama.2018.18020'!$A$2:$A$15,0))="statistical_results"),IF(INDEX('C_jama.2018.18020'!$I$2:$I$15,MATCH("2018::jama.2018.18020::C002",'C_jama.2018.18020'!$A$2:$A$15,0))="","",INDEX('C_jama.2018.18020'!$I$2:$I$15,MATCH("2018::jama.2018.18020::C002",'C_jama.2018.18020'!$A$2:$A$15,0))),"not_applicable")</x:f>
        <x:v>not_applicable</x:v>
      </x:c>
      <x:c r="W83" s="3" t="str">
        <x:f>IF(AND(INDEX('C_jama.2018.18020'!$D$2:$D$15,MATCH("2018::jama.2018.18020::C002",'C_jama.2018.18020'!$A$2:$A$15,0))="retain",INDEX('C_jama.2018.18020'!$E$2:$E$15,MATCH("2018::jama.2018.18020::C002",'C_jama.2018.18020'!$A$2:$A$15,0))="statistical_results"),IF(INDEX('C_jama.2018.18020'!$J$2:$J$15,MATCH("2018::jama.2018.18020::C002",'C_jama.2018.18020'!$A$2:$A$15,0))="","",INDEX('C_jama.2018.18020'!$J$2:$J$15,MATCH("2018::jama.2018.18020::C002",'C_jama.2018.18020'!$A$2:$A$15,0))),"not_applicable")</x:f>
        <x:v>not_applicable</x:v>
      </x:c>
      <x:c r="X83" s="3" t="str">
        <x:f>IF(AND(INDEX('C_jama.2018.18020'!$D$2:$D$15,MATCH("2018::jama.2018.18020::C002",'C_jama.2018.18020'!$A$2:$A$15,0))="retain",OR(INDEX('C_jama.2018.18020'!$E$2:$E$15,MATCH("2018::jama.2018.18020::C002",'C_jama.2018.18020'!$A$2:$A$15,0))="report_internal_inconsistency",INDEX('C_jama.2018.18020'!$E$2:$E$15,MATCH("2018::jama.2018.18020::C002",'C_jama.2018.18020'!$A$2:$A$15,0))="plan_material")),IF(INDEX('C_jama.2018.18020'!$K$2:$K$15,MATCH("2018::jama.2018.18020::C002",'C_jama.2018.18020'!$A$2:$A$15,0))="","",INDEX('C_jama.2018.18020'!$K$2:$K$15,MATCH("2018::jama.2018.18020::C002",'C_jama.2018.18020'!$A$2:$A$15,0))),"not_applicable")</x:f>
        <x:v>not_applicable</x:v>
      </x:c>
      <x:c r="Y83" s="3" t="str">
        <x:f>IF(AND(INDEX('C_jama.2018.18020'!$D$2:$D$15,MATCH("2018::jama.2018.18020::C002",'C_jama.2018.18020'!$A$2:$A$15,0))="retain",INDEX('C_jama.2018.18020'!$E$2:$E$15,MATCH("2018::jama.2018.18020::C002",'C_jama.2018.18020'!$A$2:$A$15,0))="protocol_report"),IF(INDEX('C_jama.2018.18020'!$L$2:$L$15,MATCH("2018::jama.2018.18020::C002",'C_jama.2018.18020'!$A$2:$A$15,0))="","",INDEX('C_jama.2018.18020'!$L$2:$L$15,MATCH("2018::jama.2018.18020::C002",'C_jama.2018.18020'!$A$2:$A$15,0))),"not_applicable")</x:f>
        <x:v>not_applicable</x:v>
      </x:c>
      <x:c r="Z83" s="3" t="str">
        <x:f>IF(INDEX('C_jama.2018.18020'!$R$2:$R$15,MATCH("2018::jama.2018.18020::C002",'C_jama.2018.18020'!$A$2:$A$15,0))="","",INDEX('C_jama.2018.18020'!$R$2:$R$15,MATCH("2018::jama.2018.18020::C002",'C_jama.2018.18020'!$A$2:$A$15,0)))</x:f>
      </x:c>
      <x:c r="AA83" s="3" t="str">
        <x:f>IF(INDEX('C_jama.2018.18020'!$N$2:$N$15,MATCH("2018::jama.2018.18020::C002",'C_jama.2018.18020'!$A$2:$A$15,0))="","",INDEX('C_jama.2018.18020'!$N$2:$N$15,MATCH("2018::jama.2018.18020::C002",'C_jama.2018.18020'!$A$2:$A$15,0)))</x:f>
      </x:c>
      <x:c r="AB83" s="3" t="str">
        <x:f>IF(INDEX('C_jama.2018.18020'!$O$2:$O$15,MATCH("2018::jama.2018.18020::C002",'C_jama.2018.18020'!$A$2:$A$15,0))="","",INDEX('C_jama.2018.18020'!$O$2:$O$15,MATCH("2018::jama.2018.18020::C002",'C_jama.2018.18020'!$A$2:$A$15,0)))</x:f>
      </x:c>
      <x:c r="AC83" s="3" t="str">
        <x:f>IF(INDEX('C_jama.2018.18020'!$P$2:$P$15,MATCH("2018::jama.2018.18020::C002",'C_jama.2018.18020'!$A$2:$A$15,0))="","",INDEX('C_jama.2018.18020'!$P$2:$P$15,MATCH("2018::jama.2018.18020::C002",'C_jama.2018.18020'!$A$2:$A$15,0)))</x:f>
      </x:c>
      <x:c r="AD83" s="3" t="str">
        <x:f>IF(INDEX('C_jama.2018.18020'!$Q$2:$Q$15,MATCH("2018::jama.2018.18020::C002",'C_jama.2018.18020'!$A$2:$A$15,0))="","",INDEX('C_jama.2018.18020'!$Q$2:$Q$15,MATCH("2018::jama.2018.18020::C002",'C_jama.2018.18020'!$A$2:$A$15,0)))</x:f>
      </x:c>
    </x:row>
    <x:row r="84" ht="65" customHeight="1">
      <x:c r="A84" s="6" t="n">
        <x:v>2018</x:v>
      </x:c>
      <x:c r="B84" s="6" t="str">
        <x:v>jama.2018.18020</x:v>
      </x:c>
      <x:c r="C84" s="6" t="str">
        <x:v>2018::jama.2018.18020::C003</x:v>
      </x:c>
      <x:c r="D84" s="6" t="str">
        <x:v>S_W</x:v>
      </x:c>
      <x:c r="E84" s="6" t="n">
        <x:f>Setup!$B$2</x:f>
        <x:v>0</x:v>
      </x:c>
      <x:c r="F84" s="6" t="str">
        <x:f>IF(Setup!$B$4="","",Setup!$B$4)</x:f>
      </x:c>
      <x:c r="G84" s="6" t="str">
        <x:f>IFERROR(INDEX('C_jama.2018.18020'!$G$2:$G$15,MATCH("2018::jama.2018.18020::C003",'C_jama.2018.18020'!$A$2:$A$15,0)),"CHECK KEY")</x:f>
        <x:v>CHECK REVIEWER IDs</x:v>
      </x:c>
      <x:c r="H84" s="6" t="str">
        <x:f>IF(G84&lt;&gt;"FINAL READY","",IF(S84&lt;&gt;"retain","not_eligible",IF(D84="P_R","protocol_descriptive",IF(D84="P_P","plan_descriptive",IF(AND(T84="statistical_results",OR(U84="confirmed_issue",U84="probable_issue"),V84="substantive"),"primary_temporal",IF(AND(T84="report_internal_inconsistency",X84="substantive_inconsistency"),"secondary_temporal","not_eligible"))))))</x:f>
      </x:c>
      <x:c r="I84" s="6" t="str">
        <x:v>retain</x:v>
      </x:c>
      <x:c r="J84" s="6" t="str">
        <x:v>report_internal_inconsistency</x:v>
      </x:c>
      <x:c r="K84" s="6" t="str">
        <x:f>IF(Setup!$B$6="primary","",IFERROR(IF(INDEX('Primary_snapshot'!$B$2:$B$120,MATCH(C84,'Primary_snapshot'!$A$2:$A$120,0))="","",INDEX('Primary_snapshot'!$B$2:$B$120,MATCH(C84,'Primary_snapshot'!$A$2:$A$120,0))),"SNAPSHOT MISSING"))</x:f>
      </x:c>
      <x:c r="L84" s="6" t="str">
        <x:f>IF(Setup!$B$6="primary","",IFERROR(IF(INDEX('Primary_snapshot'!$C$2:$C$120,MATCH(C84,'Primary_snapshot'!$A$2:$A$120,0))="","",INDEX('Primary_snapshot'!$C$2:$C$120,MATCH(C84,'Primary_snapshot'!$A$2:$A$120,0))),"SNAPSHOT MISSING"))</x:f>
      </x:c>
      <x:c r="M84" s="6" t="str">
        <x:f>IF(Setup!$B$6="primary","",IFERROR(IF(INDEX('Primary_snapshot'!$D$2:$D$120,MATCH(C84,'Primary_snapshot'!$A$2:$A$120,0))="","",INDEX('Primary_snapshot'!$D$2:$D$120,MATCH(C84,'Primary_snapshot'!$A$2:$A$120,0))),"SNAPSHOT MISSING"))</x:f>
      </x:c>
      <x:c r="N84" s="6" t="str">
        <x:f>IF(Setup!$B$6="primary","",IFERROR(IF(INDEX('Primary_snapshot'!$E$2:$E$120,MATCH(C84,'Primary_snapshot'!$A$2:$A$120,0))="","",INDEX('Primary_snapshot'!$E$2:$E$120,MATCH(C84,'Primary_snapshot'!$A$2:$A$120,0))),"SNAPSHOT MISSING"))</x:f>
      </x:c>
      <x:c r="O84" s="6" t="str">
        <x:f>IF(Setup!$B$6="primary","",IFERROR(IF(INDEX('Primary_snapshot'!$F$2:$F$120,MATCH(C84,'Primary_snapshot'!$A$2:$A$120,0))="","",INDEX('Primary_snapshot'!$F$2:$F$120,MATCH(C84,'Primary_snapshot'!$A$2:$A$120,0))),"SNAPSHOT MISSING"))</x:f>
      </x:c>
      <x:c r="P84" s="6" t="str">
        <x:f>IF(Setup!$B$6="primary","",IFERROR(IF(INDEX('Primary_snapshot'!$G$2:$G$120,MATCH(C84,'Primary_snapshot'!$A$2:$A$120,0))="","",INDEX('Primary_snapshot'!$G$2:$G$120,MATCH(C84,'Primary_snapshot'!$A$2:$A$120,0))),"SNAPSHOT MISSING"))</x:f>
      </x:c>
      <x:c r="Q84" s="6" t="str">
        <x:f>IF(Setup!$B$6="primary","",IFERROR(IF(INDEX('Primary_snapshot'!$H$2:$H$120,MATCH(C84,'Primary_snapshot'!$A$2:$A$120,0))="","",INDEX('Primary_snapshot'!$H$2:$H$120,MATCH(C84,'Primary_snapshot'!$A$2:$A$120,0))),"SNAPSHOT MISSING"))</x:f>
      </x:c>
      <x:c r="R84" s="6" t="str">
        <x:f>IF(Setup!$B$6="primary","",IFERROR(IF(INDEX('Primary_snapshot'!$I$2:$I$120,MATCH(C84,'Primary_snapshot'!$A$2:$A$120,0))="","",INDEX('Primary_snapshot'!$I$2:$I$120,MATCH(C84,'Primary_snapshot'!$A$2:$A$120,0))),"SNAPSHOT MISSING"))</x:f>
      </x:c>
      <x:c r="S84" s="6" t="str">
        <x:f>IF(INDEX('C_jama.2018.18020'!$D$2:$D$15,MATCH("2018::jama.2018.18020::C003",'C_jama.2018.18020'!$A$2:$A$15,0))="","",INDEX('C_jama.2018.18020'!$D$2:$D$15,MATCH("2018::jama.2018.18020::C003",'C_jama.2018.18020'!$A$2:$A$15,0)))</x:f>
      </x:c>
      <x:c r="T84" s="6" t="str">
        <x:f>IF(INDEX('C_jama.2018.18020'!$E$2:$E$15,MATCH("2018::jama.2018.18020::C003",'C_jama.2018.18020'!$A$2:$A$15,0))="","",INDEX('C_jama.2018.18020'!$E$2:$E$15,MATCH("2018::jama.2018.18020::C003",'C_jama.2018.18020'!$A$2:$A$15,0)))</x:f>
        <x:v>report_internal_inconsistency</x:v>
      </x:c>
      <x:c r="U84" s="6" t="str">
        <x:f>IF(AND(INDEX('C_jama.2018.18020'!$D$2:$D$15,MATCH("2018::jama.2018.18020::C003",'C_jama.2018.18020'!$A$2:$A$15,0))="retain",INDEX('C_jama.2018.18020'!$E$2:$E$15,MATCH("2018::jama.2018.18020::C003",'C_jama.2018.18020'!$A$2:$A$15,0))="statistical_results"),IF(INDEX('C_jama.2018.18020'!$H$2:$H$15,MATCH("2018::jama.2018.18020::C003",'C_jama.2018.18020'!$A$2:$A$15,0))="","",INDEX('C_jama.2018.18020'!$H$2:$H$15,MATCH("2018::jama.2018.18020::C003",'C_jama.2018.18020'!$A$2:$A$15,0))),"not_applicable")</x:f>
        <x:v>not_applicable</x:v>
      </x:c>
      <x:c r="V84" s="6" t="str">
        <x:f>IF(AND(INDEX('C_jama.2018.18020'!$D$2:$D$15,MATCH("2018::jama.2018.18020::C003",'C_jama.2018.18020'!$A$2:$A$15,0))="retain",INDEX('C_jama.2018.18020'!$E$2:$E$15,MATCH("2018::jama.2018.18020::C003",'C_jama.2018.18020'!$A$2:$A$15,0))="statistical_results"),IF(INDEX('C_jama.2018.18020'!$I$2:$I$15,MATCH("2018::jama.2018.18020::C003",'C_jama.2018.18020'!$A$2:$A$15,0))="","",INDEX('C_jama.2018.18020'!$I$2:$I$15,MATCH("2018::jama.2018.18020::C003",'C_jama.2018.18020'!$A$2:$A$15,0))),"not_applicable")</x:f>
        <x:v>not_applicable</x:v>
      </x:c>
      <x:c r="W84" s="6" t="str">
        <x:f>IF(AND(INDEX('C_jama.2018.18020'!$D$2:$D$15,MATCH("2018::jama.2018.18020::C003",'C_jama.2018.18020'!$A$2:$A$15,0))="retain",INDEX('C_jama.2018.18020'!$E$2:$E$15,MATCH("2018::jama.2018.18020::C003",'C_jama.2018.18020'!$A$2:$A$15,0))="statistical_results"),IF(INDEX('C_jama.2018.18020'!$J$2:$J$15,MATCH("2018::jama.2018.18020::C003",'C_jama.2018.18020'!$A$2:$A$15,0))="","",INDEX('C_jama.2018.18020'!$J$2:$J$15,MATCH("2018::jama.2018.18020::C003",'C_jama.2018.18020'!$A$2:$A$15,0))),"not_applicable")</x:f>
        <x:v>not_applicable</x:v>
      </x:c>
      <x:c r="X84" s="6" t="str">
        <x:f>IF(AND(INDEX('C_jama.2018.18020'!$D$2:$D$15,MATCH("2018::jama.2018.18020::C003",'C_jama.2018.18020'!$A$2:$A$15,0))="retain",OR(INDEX('C_jama.2018.18020'!$E$2:$E$15,MATCH("2018::jama.2018.18020::C003",'C_jama.2018.18020'!$A$2:$A$15,0))="report_internal_inconsistency",INDEX('C_jama.2018.18020'!$E$2:$E$15,MATCH("2018::jama.2018.18020::C003",'C_jama.2018.18020'!$A$2:$A$15,0))="plan_material")),IF(INDEX('C_jama.2018.18020'!$K$2:$K$15,MATCH("2018::jama.2018.18020::C003",'C_jama.2018.18020'!$A$2:$A$15,0))="","",INDEX('C_jama.2018.18020'!$K$2:$K$15,MATCH("2018::jama.2018.18020::C003",'C_jama.2018.18020'!$A$2:$A$15,0))),"not_applicable")</x:f>
        <x:v>not_applicable</x:v>
      </x:c>
      <x:c r="Y84" s="6" t="str">
        <x:f>IF(AND(INDEX('C_jama.2018.18020'!$D$2:$D$15,MATCH("2018::jama.2018.18020::C003",'C_jama.2018.18020'!$A$2:$A$15,0))="retain",INDEX('C_jama.2018.18020'!$E$2:$E$15,MATCH("2018::jama.2018.18020::C003",'C_jama.2018.18020'!$A$2:$A$15,0))="protocol_report"),IF(INDEX('C_jama.2018.18020'!$L$2:$L$15,MATCH("2018::jama.2018.18020::C003",'C_jama.2018.18020'!$A$2:$A$15,0))="","",INDEX('C_jama.2018.18020'!$L$2:$L$15,MATCH("2018::jama.2018.18020::C003",'C_jama.2018.18020'!$A$2:$A$15,0))),"not_applicable")</x:f>
        <x:v>not_applicable</x:v>
      </x:c>
      <x:c r="Z84" s="6" t="str">
        <x:f>IF(INDEX('C_jama.2018.18020'!$R$2:$R$15,MATCH("2018::jama.2018.18020::C003",'C_jama.2018.18020'!$A$2:$A$15,0))="","",INDEX('C_jama.2018.18020'!$R$2:$R$15,MATCH("2018::jama.2018.18020::C003",'C_jama.2018.18020'!$A$2:$A$15,0)))</x:f>
      </x:c>
      <x:c r="AA84" s="6" t="str">
        <x:f>IF(INDEX('C_jama.2018.18020'!$N$2:$N$15,MATCH("2018::jama.2018.18020::C003",'C_jama.2018.18020'!$A$2:$A$15,0))="","",INDEX('C_jama.2018.18020'!$N$2:$N$15,MATCH("2018::jama.2018.18020::C003",'C_jama.2018.18020'!$A$2:$A$15,0)))</x:f>
      </x:c>
      <x:c r="AB84" s="6" t="str">
        <x:f>IF(INDEX('C_jama.2018.18020'!$O$2:$O$15,MATCH("2018::jama.2018.18020::C003",'C_jama.2018.18020'!$A$2:$A$15,0))="","",INDEX('C_jama.2018.18020'!$O$2:$O$15,MATCH("2018::jama.2018.18020::C003",'C_jama.2018.18020'!$A$2:$A$15,0)))</x:f>
      </x:c>
      <x:c r="AC84" s="6" t="str">
        <x:f>IF(INDEX('C_jama.2018.18020'!$P$2:$P$15,MATCH("2018::jama.2018.18020::C003",'C_jama.2018.18020'!$A$2:$A$15,0))="","",INDEX('C_jama.2018.18020'!$P$2:$P$15,MATCH("2018::jama.2018.18020::C003",'C_jama.2018.18020'!$A$2:$A$15,0)))</x:f>
      </x:c>
      <x:c r="AD84" s="6" t="str">
        <x:f>IF(INDEX('C_jama.2018.18020'!$Q$2:$Q$15,MATCH("2018::jama.2018.18020::C003",'C_jama.2018.18020'!$A$2:$A$15,0))="","",INDEX('C_jama.2018.18020'!$Q$2:$Q$15,MATCH("2018::jama.2018.18020::C003",'C_jama.2018.18020'!$A$2:$A$15,0)))</x:f>
      </x:c>
    </x:row>
    <x:row r="85" ht="65" customHeight="1">
      <x:c r="A85" s="3" t="n">
        <x:v>2018</x:v>
      </x:c>
      <x:c r="B85" s="3" t="str">
        <x:v>jama.2018.18020</x:v>
      </x:c>
      <x:c r="C85" s="3" t="str">
        <x:v>2018::jama.2018.18020::C004</x:v>
      </x:c>
      <x:c r="D85" s="3" t="str">
        <x:v>S_W</x:v>
      </x:c>
      <x:c r="E85" s="3" t="n">
        <x:f>Setup!$B$2</x:f>
        <x:v>0</x:v>
      </x:c>
      <x:c r="F85" s="3" t="str">
        <x:f>IF(Setup!$B$4="","",Setup!$B$4)</x:f>
      </x:c>
      <x:c r="G85" s="3" t="str">
        <x:f>IFERROR(INDEX('C_jama.2018.18020'!$G$2:$G$15,MATCH("2018::jama.2018.18020::C004",'C_jama.2018.18020'!$A$2:$A$15,0)),"CHECK KEY")</x:f>
        <x:v>CHECK REVIEWER IDs</x:v>
      </x:c>
      <x:c r="H85" s="3" t="str">
        <x:f>IF(G85&lt;&gt;"FINAL READY","",IF(S85&lt;&gt;"retain","not_eligible",IF(D85="P_R","protocol_descriptive",IF(D85="P_P","plan_descriptive",IF(AND(T85="statistical_results",OR(U85="confirmed_issue",U85="probable_issue"),V85="substantive"),"primary_temporal",IF(AND(T85="report_internal_inconsistency",X85="substantive_inconsistency"),"secondary_temporal","not_eligible"))))))</x:f>
      </x:c>
      <x:c r="I85" s="3" t="str">
        <x:v>retain</x:v>
      </x:c>
      <x:c r="J85" s="3" t="str">
        <x:v>statistical_results</x:v>
      </x:c>
      <x:c r="K85" s="3" t="str">
        <x:f>IF(Setup!$B$6="primary","",IFERROR(IF(INDEX('Primary_snapshot'!$B$2:$B$120,MATCH(C85,'Primary_snapshot'!$A$2:$A$120,0))="","",INDEX('Primary_snapshot'!$B$2:$B$120,MATCH(C85,'Primary_snapshot'!$A$2:$A$120,0))),"SNAPSHOT MISSING"))</x:f>
      </x:c>
      <x:c r="L85" s="3" t="str">
        <x:f>IF(Setup!$B$6="primary","",IFERROR(IF(INDEX('Primary_snapshot'!$C$2:$C$120,MATCH(C85,'Primary_snapshot'!$A$2:$A$120,0))="","",INDEX('Primary_snapshot'!$C$2:$C$120,MATCH(C85,'Primary_snapshot'!$A$2:$A$120,0))),"SNAPSHOT MISSING"))</x:f>
      </x:c>
      <x:c r="M85" s="3" t="str">
        <x:f>IF(Setup!$B$6="primary","",IFERROR(IF(INDEX('Primary_snapshot'!$D$2:$D$120,MATCH(C85,'Primary_snapshot'!$A$2:$A$120,0))="","",INDEX('Primary_snapshot'!$D$2:$D$120,MATCH(C85,'Primary_snapshot'!$A$2:$A$120,0))),"SNAPSHOT MISSING"))</x:f>
      </x:c>
      <x:c r="N85" s="3" t="str">
        <x:f>IF(Setup!$B$6="primary","",IFERROR(IF(INDEX('Primary_snapshot'!$E$2:$E$120,MATCH(C85,'Primary_snapshot'!$A$2:$A$120,0))="","",INDEX('Primary_snapshot'!$E$2:$E$120,MATCH(C85,'Primary_snapshot'!$A$2:$A$120,0))),"SNAPSHOT MISSING"))</x:f>
      </x:c>
      <x:c r="O85" s="3" t="str">
        <x:f>IF(Setup!$B$6="primary","",IFERROR(IF(INDEX('Primary_snapshot'!$F$2:$F$120,MATCH(C85,'Primary_snapshot'!$A$2:$A$120,0))="","",INDEX('Primary_snapshot'!$F$2:$F$120,MATCH(C85,'Primary_snapshot'!$A$2:$A$120,0))),"SNAPSHOT MISSING"))</x:f>
      </x:c>
      <x:c r="P85" s="3" t="str">
        <x:f>IF(Setup!$B$6="primary","",IFERROR(IF(INDEX('Primary_snapshot'!$G$2:$G$120,MATCH(C85,'Primary_snapshot'!$A$2:$A$120,0))="","",INDEX('Primary_snapshot'!$G$2:$G$120,MATCH(C85,'Primary_snapshot'!$A$2:$A$120,0))),"SNAPSHOT MISSING"))</x:f>
      </x:c>
      <x:c r="Q85" s="3" t="str">
        <x:f>IF(Setup!$B$6="primary","",IFERROR(IF(INDEX('Primary_snapshot'!$H$2:$H$120,MATCH(C85,'Primary_snapshot'!$A$2:$A$120,0))="","",INDEX('Primary_snapshot'!$H$2:$H$120,MATCH(C85,'Primary_snapshot'!$A$2:$A$120,0))),"SNAPSHOT MISSING"))</x:f>
      </x:c>
      <x:c r="R85" s="3" t="str">
        <x:f>IF(Setup!$B$6="primary","",IFERROR(IF(INDEX('Primary_snapshot'!$I$2:$I$120,MATCH(C85,'Primary_snapshot'!$A$2:$A$120,0))="","",INDEX('Primary_snapshot'!$I$2:$I$120,MATCH(C85,'Primary_snapshot'!$A$2:$A$120,0))),"SNAPSHOT MISSING"))</x:f>
      </x:c>
      <x:c r="S85" s="3" t="str">
        <x:f>IF(INDEX('C_jama.2018.18020'!$D$2:$D$15,MATCH("2018::jama.2018.18020::C004",'C_jama.2018.18020'!$A$2:$A$15,0))="","",INDEX('C_jama.2018.18020'!$D$2:$D$15,MATCH("2018::jama.2018.18020::C004",'C_jama.2018.18020'!$A$2:$A$15,0)))</x:f>
      </x:c>
      <x:c r="T85" s="3" t="str">
        <x:f>IF(INDEX('C_jama.2018.18020'!$E$2:$E$15,MATCH("2018::jama.2018.18020::C004",'C_jama.2018.18020'!$A$2:$A$15,0))="","",INDEX('C_jama.2018.18020'!$E$2:$E$15,MATCH("2018::jama.2018.18020::C004",'C_jama.2018.18020'!$A$2:$A$15,0)))</x:f>
        <x:v>statistical_results</x:v>
      </x:c>
      <x:c r="U85" s="3" t="str">
        <x:f>IF(AND(INDEX('C_jama.2018.18020'!$D$2:$D$15,MATCH("2018::jama.2018.18020::C004",'C_jama.2018.18020'!$A$2:$A$15,0))="retain",INDEX('C_jama.2018.18020'!$E$2:$E$15,MATCH("2018::jama.2018.18020::C004",'C_jama.2018.18020'!$A$2:$A$15,0))="statistical_results"),IF(INDEX('C_jama.2018.18020'!$H$2:$H$15,MATCH("2018::jama.2018.18020::C004",'C_jama.2018.18020'!$A$2:$A$15,0))="","",INDEX('C_jama.2018.18020'!$H$2:$H$15,MATCH("2018::jama.2018.18020::C004",'C_jama.2018.18020'!$A$2:$A$15,0))),"not_applicable")</x:f>
        <x:v>not_applicable</x:v>
      </x:c>
      <x:c r="V85" s="3" t="str">
        <x:f>IF(AND(INDEX('C_jama.2018.18020'!$D$2:$D$15,MATCH("2018::jama.2018.18020::C004",'C_jama.2018.18020'!$A$2:$A$15,0))="retain",INDEX('C_jama.2018.18020'!$E$2:$E$15,MATCH("2018::jama.2018.18020::C004",'C_jama.2018.18020'!$A$2:$A$15,0))="statistical_results"),IF(INDEX('C_jama.2018.18020'!$I$2:$I$15,MATCH("2018::jama.2018.18020::C004",'C_jama.2018.18020'!$A$2:$A$15,0))="","",INDEX('C_jama.2018.18020'!$I$2:$I$15,MATCH("2018::jama.2018.18020::C004",'C_jama.2018.18020'!$A$2:$A$15,0))),"not_applicable")</x:f>
        <x:v>not_applicable</x:v>
      </x:c>
      <x:c r="W85" s="3" t="str">
        <x:f>IF(AND(INDEX('C_jama.2018.18020'!$D$2:$D$15,MATCH("2018::jama.2018.18020::C004",'C_jama.2018.18020'!$A$2:$A$15,0))="retain",INDEX('C_jama.2018.18020'!$E$2:$E$15,MATCH("2018::jama.2018.18020::C004",'C_jama.2018.18020'!$A$2:$A$15,0))="statistical_results"),IF(INDEX('C_jama.2018.18020'!$J$2:$J$15,MATCH("2018::jama.2018.18020::C004",'C_jama.2018.18020'!$A$2:$A$15,0))="","",INDEX('C_jama.2018.18020'!$J$2:$J$15,MATCH("2018::jama.2018.18020::C004",'C_jama.2018.18020'!$A$2:$A$15,0))),"not_applicable")</x:f>
        <x:v>not_applicable</x:v>
      </x:c>
      <x:c r="X85" s="3" t="str">
        <x:f>IF(AND(INDEX('C_jama.2018.18020'!$D$2:$D$15,MATCH("2018::jama.2018.18020::C004",'C_jama.2018.18020'!$A$2:$A$15,0))="retain",OR(INDEX('C_jama.2018.18020'!$E$2:$E$15,MATCH("2018::jama.2018.18020::C004",'C_jama.2018.18020'!$A$2:$A$15,0))="report_internal_inconsistency",INDEX('C_jama.2018.18020'!$E$2:$E$15,MATCH("2018::jama.2018.18020::C004",'C_jama.2018.18020'!$A$2:$A$15,0))="plan_material")),IF(INDEX('C_jama.2018.18020'!$K$2:$K$15,MATCH("2018::jama.2018.18020::C004",'C_jama.2018.18020'!$A$2:$A$15,0))="","",INDEX('C_jama.2018.18020'!$K$2:$K$15,MATCH("2018::jama.2018.18020::C004",'C_jama.2018.18020'!$A$2:$A$15,0))),"not_applicable")</x:f>
        <x:v>not_applicable</x:v>
      </x:c>
      <x:c r="Y85" s="3" t="str">
        <x:f>IF(AND(INDEX('C_jama.2018.18020'!$D$2:$D$15,MATCH("2018::jama.2018.18020::C004",'C_jama.2018.18020'!$A$2:$A$15,0))="retain",INDEX('C_jama.2018.18020'!$E$2:$E$15,MATCH("2018::jama.2018.18020::C004",'C_jama.2018.18020'!$A$2:$A$15,0))="protocol_report"),IF(INDEX('C_jama.2018.18020'!$L$2:$L$15,MATCH("2018::jama.2018.18020::C004",'C_jama.2018.18020'!$A$2:$A$15,0))="","",INDEX('C_jama.2018.18020'!$L$2:$L$15,MATCH("2018::jama.2018.18020::C004",'C_jama.2018.18020'!$A$2:$A$15,0))),"not_applicable")</x:f>
        <x:v>not_applicable</x:v>
      </x:c>
      <x:c r="Z85" s="3" t="str">
        <x:f>IF(INDEX('C_jama.2018.18020'!$R$2:$R$15,MATCH("2018::jama.2018.18020::C004",'C_jama.2018.18020'!$A$2:$A$15,0))="","",INDEX('C_jama.2018.18020'!$R$2:$R$15,MATCH("2018::jama.2018.18020::C004",'C_jama.2018.18020'!$A$2:$A$15,0)))</x:f>
      </x:c>
      <x:c r="AA85" s="3" t="str">
        <x:f>IF(INDEX('C_jama.2018.18020'!$N$2:$N$15,MATCH("2018::jama.2018.18020::C004",'C_jama.2018.18020'!$A$2:$A$15,0))="","",INDEX('C_jama.2018.18020'!$N$2:$N$15,MATCH("2018::jama.2018.18020::C004",'C_jama.2018.18020'!$A$2:$A$15,0)))</x:f>
      </x:c>
      <x:c r="AB85" s="3" t="str">
        <x:f>IF(INDEX('C_jama.2018.18020'!$O$2:$O$15,MATCH("2018::jama.2018.18020::C004",'C_jama.2018.18020'!$A$2:$A$15,0))="","",INDEX('C_jama.2018.18020'!$O$2:$O$15,MATCH("2018::jama.2018.18020::C004",'C_jama.2018.18020'!$A$2:$A$15,0)))</x:f>
      </x:c>
      <x:c r="AC85" s="3" t="str">
        <x:f>IF(INDEX('C_jama.2018.18020'!$P$2:$P$15,MATCH("2018::jama.2018.18020::C004",'C_jama.2018.18020'!$A$2:$A$15,0))="","",INDEX('C_jama.2018.18020'!$P$2:$P$15,MATCH("2018::jama.2018.18020::C004",'C_jama.2018.18020'!$A$2:$A$15,0)))</x:f>
      </x:c>
      <x:c r="AD85" s="3" t="str">
        <x:f>IF(INDEX('C_jama.2018.18020'!$Q$2:$Q$15,MATCH("2018::jama.2018.18020::C004",'C_jama.2018.18020'!$A$2:$A$15,0))="","",INDEX('C_jama.2018.18020'!$Q$2:$Q$15,MATCH("2018::jama.2018.18020::C004",'C_jama.2018.18020'!$A$2:$A$15,0)))</x:f>
      </x:c>
    </x:row>
    <x:row r="86" ht="65" customHeight="1">
      <x:c r="A86" s="6" t="n">
        <x:v>2018</x:v>
      </x:c>
      <x:c r="B86" s="6" t="str">
        <x:v>jama.2018.18020</x:v>
      </x:c>
      <x:c r="C86" s="6" t="str">
        <x:v>2018::jama.2018.18020::C005</x:v>
      </x:c>
      <x:c r="D86" s="6" t="str">
        <x:v>S_W</x:v>
      </x:c>
      <x:c r="E86" s="6" t="n">
        <x:f>Setup!$B$2</x:f>
        <x:v>0</x:v>
      </x:c>
      <x:c r="F86" s="6" t="str">
        <x:f>IF(Setup!$B$4="","",Setup!$B$4)</x:f>
      </x:c>
      <x:c r="G86" s="6" t="str">
        <x:f>IFERROR(INDEX('C_jama.2018.18020'!$G$2:$G$15,MATCH("2018::jama.2018.18020::C005",'C_jama.2018.18020'!$A$2:$A$15,0)),"CHECK KEY")</x:f>
        <x:v>CHECK REVIEWER IDs</x:v>
      </x:c>
      <x:c r="H86" s="6" t="str">
        <x:f>IF(G86&lt;&gt;"FINAL READY","",IF(S86&lt;&gt;"retain","not_eligible",IF(D86="P_R","protocol_descriptive",IF(D86="P_P","plan_descriptive",IF(AND(T86="statistical_results",OR(U86="confirmed_issue",U86="probable_issue"),V86="substantive"),"primary_temporal",IF(AND(T86="report_internal_inconsistency",X86="substantive_inconsistency"),"secondary_temporal","not_eligible"))))))</x:f>
      </x:c>
      <x:c r="I86" s="6" t="str">
        <x:v>retain</x:v>
      </x:c>
      <x:c r="J86" s="6" t="str">
        <x:v>report_internal_inconsistency</x:v>
      </x:c>
      <x:c r="K86" s="6" t="str">
        <x:f>IF(Setup!$B$6="primary","",IFERROR(IF(INDEX('Primary_snapshot'!$B$2:$B$120,MATCH(C86,'Primary_snapshot'!$A$2:$A$120,0))="","",INDEX('Primary_snapshot'!$B$2:$B$120,MATCH(C86,'Primary_snapshot'!$A$2:$A$120,0))),"SNAPSHOT MISSING"))</x:f>
      </x:c>
      <x:c r="L86" s="6" t="str">
        <x:f>IF(Setup!$B$6="primary","",IFERROR(IF(INDEX('Primary_snapshot'!$C$2:$C$120,MATCH(C86,'Primary_snapshot'!$A$2:$A$120,0))="","",INDEX('Primary_snapshot'!$C$2:$C$120,MATCH(C86,'Primary_snapshot'!$A$2:$A$120,0))),"SNAPSHOT MISSING"))</x:f>
      </x:c>
      <x:c r="M86" s="6" t="str">
        <x:f>IF(Setup!$B$6="primary","",IFERROR(IF(INDEX('Primary_snapshot'!$D$2:$D$120,MATCH(C86,'Primary_snapshot'!$A$2:$A$120,0))="","",INDEX('Primary_snapshot'!$D$2:$D$120,MATCH(C86,'Primary_snapshot'!$A$2:$A$120,0))),"SNAPSHOT MISSING"))</x:f>
      </x:c>
      <x:c r="N86" s="6" t="str">
        <x:f>IF(Setup!$B$6="primary","",IFERROR(IF(INDEX('Primary_snapshot'!$E$2:$E$120,MATCH(C86,'Primary_snapshot'!$A$2:$A$120,0))="","",INDEX('Primary_snapshot'!$E$2:$E$120,MATCH(C86,'Primary_snapshot'!$A$2:$A$120,0))),"SNAPSHOT MISSING"))</x:f>
      </x:c>
      <x:c r="O86" s="6" t="str">
        <x:f>IF(Setup!$B$6="primary","",IFERROR(IF(INDEX('Primary_snapshot'!$F$2:$F$120,MATCH(C86,'Primary_snapshot'!$A$2:$A$120,0))="","",INDEX('Primary_snapshot'!$F$2:$F$120,MATCH(C86,'Primary_snapshot'!$A$2:$A$120,0))),"SNAPSHOT MISSING"))</x:f>
      </x:c>
      <x:c r="P86" s="6" t="str">
        <x:f>IF(Setup!$B$6="primary","",IFERROR(IF(INDEX('Primary_snapshot'!$G$2:$G$120,MATCH(C86,'Primary_snapshot'!$A$2:$A$120,0))="","",INDEX('Primary_snapshot'!$G$2:$G$120,MATCH(C86,'Primary_snapshot'!$A$2:$A$120,0))),"SNAPSHOT MISSING"))</x:f>
      </x:c>
      <x:c r="Q86" s="6" t="str">
        <x:f>IF(Setup!$B$6="primary","",IFERROR(IF(INDEX('Primary_snapshot'!$H$2:$H$120,MATCH(C86,'Primary_snapshot'!$A$2:$A$120,0))="","",INDEX('Primary_snapshot'!$H$2:$H$120,MATCH(C86,'Primary_snapshot'!$A$2:$A$120,0))),"SNAPSHOT MISSING"))</x:f>
      </x:c>
      <x:c r="R86" s="6" t="str">
        <x:f>IF(Setup!$B$6="primary","",IFERROR(IF(INDEX('Primary_snapshot'!$I$2:$I$120,MATCH(C86,'Primary_snapshot'!$A$2:$A$120,0))="","",INDEX('Primary_snapshot'!$I$2:$I$120,MATCH(C86,'Primary_snapshot'!$A$2:$A$120,0))),"SNAPSHOT MISSING"))</x:f>
      </x:c>
      <x:c r="S86" s="6" t="str">
        <x:f>IF(INDEX('C_jama.2018.18020'!$D$2:$D$15,MATCH("2018::jama.2018.18020::C005",'C_jama.2018.18020'!$A$2:$A$15,0))="","",INDEX('C_jama.2018.18020'!$D$2:$D$15,MATCH("2018::jama.2018.18020::C005",'C_jama.2018.18020'!$A$2:$A$15,0)))</x:f>
      </x:c>
      <x:c r="T86" s="6" t="str">
        <x:f>IF(INDEX('C_jama.2018.18020'!$E$2:$E$15,MATCH("2018::jama.2018.18020::C005",'C_jama.2018.18020'!$A$2:$A$15,0))="","",INDEX('C_jama.2018.18020'!$E$2:$E$15,MATCH("2018::jama.2018.18020::C005",'C_jama.2018.18020'!$A$2:$A$15,0)))</x:f>
        <x:v>report_internal_inconsistency</x:v>
      </x:c>
      <x:c r="U86" s="6" t="str">
        <x:f>IF(AND(INDEX('C_jama.2018.18020'!$D$2:$D$15,MATCH("2018::jama.2018.18020::C005",'C_jama.2018.18020'!$A$2:$A$15,0))="retain",INDEX('C_jama.2018.18020'!$E$2:$E$15,MATCH("2018::jama.2018.18020::C005",'C_jama.2018.18020'!$A$2:$A$15,0))="statistical_results"),IF(INDEX('C_jama.2018.18020'!$H$2:$H$15,MATCH("2018::jama.2018.18020::C005",'C_jama.2018.18020'!$A$2:$A$15,0))="","",INDEX('C_jama.2018.18020'!$H$2:$H$15,MATCH("2018::jama.2018.18020::C005",'C_jama.2018.18020'!$A$2:$A$15,0))),"not_applicable")</x:f>
        <x:v>not_applicable</x:v>
      </x:c>
      <x:c r="V86" s="6" t="str">
        <x:f>IF(AND(INDEX('C_jama.2018.18020'!$D$2:$D$15,MATCH("2018::jama.2018.18020::C005",'C_jama.2018.18020'!$A$2:$A$15,0))="retain",INDEX('C_jama.2018.18020'!$E$2:$E$15,MATCH("2018::jama.2018.18020::C005",'C_jama.2018.18020'!$A$2:$A$15,0))="statistical_results"),IF(INDEX('C_jama.2018.18020'!$I$2:$I$15,MATCH("2018::jama.2018.18020::C005",'C_jama.2018.18020'!$A$2:$A$15,0))="","",INDEX('C_jama.2018.18020'!$I$2:$I$15,MATCH("2018::jama.2018.18020::C005",'C_jama.2018.18020'!$A$2:$A$15,0))),"not_applicable")</x:f>
        <x:v>not_applicable</x:v>
      </x:c>
      <x:c r="W86" s="6" t="str">
        <x:f>IF(AND(INDEX('C_jama.2018.18020'!$D$2:$D$15,MATCH("2018::jama.2018.18020::C005",'C_jama.2018.18020'!$A$2:$A$15,0))="retain",INDEX('C_jama.2018.18020'!$E$2:$E$15,MATCH("2018::jama.2018.18020::C005",'C_jama.2018.18020'!$A$2:$A$15,0))="statistical_results"),IF(INDEX('C_jama.2018.18020'!$J$2:$J$15,MATCH("2018::jama.2018.18020::C005",'C_jama.2018.18020'!$A$2:$A$15,0))="","",INDEX('C_jama.2018.18020'!$J$2:$J$15,MATCH("2018::jama.2018.18020::C005",'C_jama.2018.18020'!$A$2:$A$15,0))),"not_applicable")</x:f>
        <x:v>not_applicable</x:v>
      </x:c>
      <x:c r="X86" s="6" t="str">
        <x:f>IF(AND(INDEX('C_jama.2018.18020'!$D$2:$D$15,MATCH("2018::jama.2018.18020::C005",'C_jama.2018.18020'!$A$2:$A$15,0))="retain",OR(INDEX('C_jama.2018.18020'!$E$2:$E$15,MATCH("2018::jama.2018.18020::C005",'C_jama.2018.18020'!$A$2:$A$15,0))="report_internal_inconsistency",INDEX('C_jama.2018.18020'!$E$2:$E$15,MATCH("2018::jama.2018.18020::C005",'C_jama.2018.18020'!$A$2:$A$15,0))="plan_material")),IF(INDEX('C_jama.2018.18020'!$K$2:$K$15,MATCH("2018::jama.2018.18020::C005",'C_jama.2018.18020'!$A$2:$A$15,0))="","",INDEX('C_jama.2018.18020'!$K$2:$K$15,MATCH("2018::jama.2018.18020::C005",'C_jama.2018.18020'!$A$2:$A$15,0))),"not_applicable")</x:f>
        <x:v>not_applicable</x:v>
      </x:c>
      <x:c r="Y86" s="6" t="str">
        <x:f>IF(AND(INDEX('C_jama.2018.18020'!$D$2:$D$15,MATCH("2018::jama.2018.18020::C005",'C_jama.2018.18020'!$A$2:$A$15,0))="retain",INDEX('C_jama.2018.18020'!$E$2:$E$15,MATCH("2018::jama.2018.18020::C005",'C_jama.2018.18020'!$A$2:$A$15,0))="protocol_report"),IF(INDEX('C_jama.2018.18020'!$L$2:$L$15,MATCH("2018::jama.2018.18020::C005",'C_jama.2018.18020'!$A$2:$A$15,0))="","",INDEX('C_jama.2018.18020'!$L$2:$L$15,MATCH("2018::jama.2018.18020::C005",'C_jama.2018.18020'!$A$2:$A$15,0))),"not_applicable")</x:f>
        <x:v>not_applicable</x:v>
      </x:c>
      <x:c r="Z86" s="6" t="str">
        <x:f>IF(INDEX('C_jama.2018.18020'!$R$2:$R$15,MATCH("2018::jama.2018.18020::C005",'C_jama.2018.18020'!$A$2:$A$15,0))="","",INDEX('C_jama.2018.18020'!$R$2:$R$15,MATCH("2018::jama.2018.18020::C005",'C_jama.2018.18020'!$A$2:$A$15,0)))</x:f>
      </x:c>
      <x:c r="AA86" s="6" t="str">
        <x:f>IF(INDEX('C_jama.2018.18020'!$N$2:$N$15,MATCH("2018::jama.2018.18020::C005",'C_jama.2018.18020'!$A$2:$A$15,0))="","",INDEX('C_jama.2018.18020'!$N$2:$N$15,MATCH("2018::jama.2018.18020::C005",'C_jama.2018.18020'!$A$2:$A$15,0)))</x:f>
      </x:c>
      <x:c r="AB86" s="6" t="str">
        <x:f>IF(INDEX('C_jama.2018.18020'!$O$2:$O$15,MATCH("2018::jama.2018.18020::C005",'C_jama.2018.18020'!$A$2:$A$15,0))="","",INDEX('C_jama.2018.18020'!$O$2:$O$15,MATCH("2018::jama.2018.18020::C005",'C_jama.2018.18020'!$A$2:$A$15,0)))</x:f>
      </x:c>
      <x:c r="AC86" s="6" t="str">
        <x:f>IF(INDEX('C_jama.2018.18020'!$P$2:$P$15,MATCH("2018::jama.2018.18020::C005",'C_jama.2018.18020'!$A$2:$A$15,0))="","",INDEX('C_jama.2018.18020'!$P$2:$P$15,MATCH("2018::jama.2018.18020::C005",'C_jama.2018.18020'!$A$2:$A$15,0)))</x:f>
      </x:c>
      <x:c r="AD86" s="6" t="str">
        <x:f>IF(INDEX('C_jama.2018.18020'!$Q$2:$Q$15,MATCH("2018::jama.2018.18020::C005",'C_jama.2018.18020'!$A$2:$A$15,0))="","",INDEX('C_jama.2018.18020'!$Q$2:$Q$15,MATCH("2018::jama.2018.18020::C005",'C_jama.2018.18020'!$A$2:$A$15,0)))</x:f>
      </x:c>
    </x:row>
    <x:row r="87" ht="65" customHeight="1">
      <x:c r="A87" s="3" t="n">
        <x:v>2018</x:v>
      </x:c>
      <x:c r="B87" s="3" t="str">
        <x:v>jama.2018.18020</x:v>
      </x:c>
      <x:c r="C87" s="3" t="str">
        <x:v>2018::jama.2018.18020::C006</x:v>
      </x:c>
      <x:c r="D87" s="3" t="str">
        <x:v>S_W</x:v>
      </x:c>
      <x:c r="E87" s="3" t="n">
        <x:f>Setup!$B$2</x:f>
        <x:v>0</x:v>
      </x:c>
      <x:c r="F87" s="3" t="str">
        <x:f>IF(Setup!$B$4="","",Setup!$B$4)</x:f>
      </x:c>
      <x:c r="G87" s="3" t="str">
        <x:f>IFERROR(INDEX('C_jama.2018.18020'!$G$2:$G$15,MATCH("2018::jama.2018.18020::C006",'C_jama.2018.18020'!$A$2:$A$15,0)),"CHECK KEY")</x:f>
        <x:v>CHECK REVIEWER IDs</x:v>
      </x:c>
      <x:c r="H87" s="3" t="str">
        <x:f>IF(G87&lt;&gt;"FINAL READY","",IF(S87&lt;&gt;"retain","not_eligible",IF(D87="P_R","protocol_descriptive",IF(D87="P_P","plan_descriptive",IF(AND(T87="statistical_results",OR(U87="confirmed_issue",U87="probable_issue"),V87="substantive"),"primary_temporal",IF(AND(T87="report_internal_inconsistency",X87="substantive_inconsistency"),"secondary_temporal","not_eligible"))))))</x:f>
      </x:c>
      <x:c r="I87" s="3" t="str">
        <x:v>retain</x:v>
      </x:c>
      <x:c r="J87" s="3" t="str">
        <x:v>report_internal_inconsistency</x:v>
      </x:c>
      <x:c r="K87" s="3" t="str">
        <x:f>IF(Setup!$B$6="primary","",IFERROR(IF(INDEX('Primary_snapshot'!$B$2:$B$120,MATCH(C87,'Primary_snapshot'!$A$2:$A$120,0))="","",INDEX('Primary_snapshot'!$B$2:$B$120,MATCH(C87,'Primary_snapshot'!$A$2:$A$120,0))),"SNAPSHOT MISSING"))</x:f>
      </x:c>
      <x:c r="L87" s="3" t="str">
        <x:f>IF(Setup!$B$6="primary","",IFERROR(IF(INDEX('Primary_snapshot'!$C$2:$C$120,MATCH(C87,'Primary_snapshot'!$A$2:$A$120,0))="","",INDEX('Primary_snapshot'!$C$2:$C$120,MATCH(C87,'Primary_snapshot'!$A$2:$A$120,0))),"SNAPSHOT MISSING"))</x:f>
      </x:c>
      <x:c r="M87" s="3" t="str">
        <x:f>IF(Setup!$B$6="primary","",IFERROR(IF(INDEX('Primary_snapshot'!$D$2:$D$120,MATCH(C87,'Primary_snapshot'!$A$2:$A$120,0))="","",INDEX('Primary_snapshot'!$D$2:$D$120,MATCH(C87,'Primary_snapshot'!$A$2:$A$120,0))),"SNAPSHOT MISSING"))</x:f>
      </x:c>
      <x:c r="N87" s="3" t="str">
        <x:f>IF(Setup!$B$6="primary","",IFERROR(IF(INDEX('Primary_snapshot'!$E$2:$E$120,MATCH(C87,'Primary_snapshot'!$A$2:$A$120,0))="","",INDEX('Primary_snapshot'!$E$2:$E$120,MATCH(C87,'Primary_snapshot'!$A$2:$A$120,0))),"SNAPSHOT MISSING"))</x:f>
      </x:c>
      <x:c r="O87" s="3" t="str">
        <x:f>IF(Setup!$B$6="primary","",IFERROR(IF(INDEX('Primary_snapshot'!$F$2:$F$120,MATCH(C87,'Primary_snapshot'!$A$2:$A$120,0))="","",INDEX('Primary_snapshot'!$F$2:$F$120,MATCH(C87,'Primary_snapshot'!$A$2:$A$120,0))),"SNAPSHOT MISSING"))</x:f>
      </x:c>
      <x:c r="P87" s="3" t="str">
        <x:f>IF(Setup!$B$6="primary","",IFERROR(IF(INDEX('Primary_snapshot'!$G$2:$G$120,MATCH(C87,'Primary_snapshot'!$A$2:$A$120,0))="","",INDEX('Primary_snapshot'!$G$2:$G$120,MATCH(C87,'Primary_snapshot'!$A$2:$A$120,0))),"SNAPSHOT MISSING"))</x:f>
      </x:c>
      <x:c r="Q87" s="3" t="str">
        <x:f>IF(Setup!$B$6="primary","",IFERROR(IF(INDEX('Primary_snapshot'!$H$2:$H$120,MATCH(C87,'Primary_snapshot'!$A$2:$A$120,0))="","",INDEX('Primary_snapshot'!$H$2:$H$120,MATCH(C87,'Primary_snapshot'!$A$2:$A$120,0))),"SNAPSHOT MISSING"))</x:f>
      </x:c>
      <x:c r="R87" s="3" t="str">
        <x:f>IF(Setup!$B$6="primary","",IFERROR(IF(INDEX('Primary_snapshot'!$I$2:$I$120,MATCH(C87,'Primary_snapshot'!$A$2:$A$120,0))="","",INDEX('Primary_snapshot'!$I$2:$I$120,MATCH(C87,'Primary_snapshot'!$A$2:$A$120,0))),"SNAPSHOT MISSING"))</x:f>
      </x:c>
      <x:c r="S87" s="3" t="str">
        <x:f>IF(INDEX('C_jama.2018.18020'!$D$2:$D$15,MATCH("2018::jama.2018.18020::C006",'C_jama.2018.18020'!$A$2:$A$15,0))="","",INDEX('C_jama.2018.18020'!$D$2:$D$15,MATCH("2018::jama.2018.18020::C006",'C_jama.2018.18020'!$A$2:$A$15,0)))</x:f>
      </x:c>
      <x:c r="T87" s="3" t="str">
        <x:f>IF(INDEX('C_jama.2018.18020'!$E$2:$E$15,MATCH("2018::jama.2018.18020::C006",'C_jama.2018.18020'!$A$2:$A$15,0))="","",INDEX('C_jama.2018.18020'!$E$2:$E$15,MATCH("2018::jama.2018.18020::C006",'C_jama.2018.18020'!$A$2:$A$15,0)))</x:f>
        <x:v>report_internal_inconsistency</x:v>
      </x:c>
      <x:c r="U87" s="3" t="str">
        <x:f>IF(AND(INDEX('C_jama.2018.18020'!$D$2:$D$15,MATCH("2018::jama.2018.18020::C006",'C_jama.2018.18020'!$A$2:$A$15,0))="retain",INDEX('C_jama.2018.18020'!$E$2:$E$15,MATCH("2018::jama.2018.18020::C006",'C_jama.2018.18020'!$A$2:$A$15,0))="statistical_results"),IF(INDEX('C_jama.2018.18020'!$H$2:$H$15,MATCH("2018::jama.2018.18020::C006",'C_jama.2018.18020'!$A$2:$A$15,0))="","",INDEX('C_jama.2018.18020'!$H$2:$H$15,MATCH("2018::jama.2018.18020::C006",'C_jama.2018.18020'!$A$2:$A$15,0))),"not_applicable")</x:f>
        <x:v>not_applicable</x:v>
      </x:c>
      <x:c r="V87" s="3" t="str">
        <x:f>IF(AND(INDEX('C_jama.2018.18020'!$D$2:$D$15,MATCH("2018::jama.2018.18020::C006",'C_jama.2018.18020'!$A$2:$A$15,0))="retain",INDEX('C_jama.2018.18020'!$E$2:$E$15,MATCH("2018::jama.2018.18020::C006",'C_jama.2018.18020'!$A$2:$A$15,0))="statistical_results"),IF(INDEX('C_jama.2018.18020'!$I$2:$I$15,MATCH("2018::jama.2018.18020::C006",'C_jama.2018.18020'!$A$2:$A$15,0))="","",INDEX('C_jama.2018.18020'!$I$2:$I$15,MATCH("2018::jama.2018.18020::C006",'C_jama.2018.18020'!$A$2:$A$15,0))),"not_applicable")</x:f>
        <x:v>not_applicable</x:v>
      </x:c>
      <x:c r="W87" s="3" t="str">
        <x:f>IF(AND(INDEX('C_jama.2018.18020'!$D$2:$D$15,MATCH("2018::jama.2018.18020::C006",'C_jama.2018.18020'!$A$2:$A$15,0))="retain",INDEX('C_jama.2018.18020'!$E$2:$E$15,MATCH("2018::jama.2018.18020::C006",'C_jama.2018.18020'!$A$2:$A$15,0))="statistical_results"),IF(INDEX('C_jama.2018.18020'!$J$2:$J$15,MATCH("2018::jama.2018.18020::C006",'C_jama.2018.18020'!$A$2:$A$15,0))="","",INDEX('C_jama.2018.18020'!$J$2:$J$15,MATCH("2018::jama.2018.18020::C006",'C_jama.2018.18020'!$A$2:$A$15,0))),"not_applicable")</x:f>
        <x:v>not_applicable</x:v>
      </x:c>
      <x:c r="X87" s="3" t="str">
        <x:f>IF(AND(INDEX('C_jama.2018.18020'!$D$2:$D$15,MATCH("2018::jama.2018.18020::C006",'C_jama.2018.18020'!$A$2:$A$15,0))="retain",OR(INDEX('C_jama.2018.18020'!$E$2:$E$15,MATCH("2018::jama.2018.18020::C006",'C_jama.2018.18020'!$A$2:$A$15,0))="report_internal_inconsistency",INDEX('C_jama.2018.18020'!$E$2:$E$15,MATCH("2018::jama.2018.18020::C006",'C_jama.2018.18020'!$A$2:$A$15,0))="plan_material")),IF(INDEX('C_jama.2018.18020'!$K$2:$K$15,MATCH("2018::jama.2018.18020::C006",'C_jama.2018.18020'!$A$2:$A$15,0))="","",INDEX('C_jama.2018.18020'!$K$2:$K$15,MATCH("2018::jama.2018.18020::C006",'C_jama.2018.18020'!$A$2:$A$15,0))),"not_applicable")</x:f>
        <x:v>not_applicable</x:v>
      </x:c>
      <x:c r="Y87" s="3" t="str">
        <x:f>IF(AND(INDEX('C_jama.2018.18020'!$D$2:$D$15,MATCH("2018::jama.2018.18020::C006",'C_jama.2018.18020'!$A$2:$A$15,0))="retain",INDEX('C_jama.2018.18020'!$E$2:$E$15,MATCH("2018::jama.2018.18020::C006",'C_jama.2018.18020'!$A$2:$A$15,0))="protocol_report"),IF(INDEX('C_jama.2018.18020'!$L$2:$L$15,MATCH("2018::jama.2018.18020::C006",'C_jama.2018.18020'!$A$2:$A$15,0))="","",INDEX('C_jama.2018.18020'!$L$2:$L$15,MATCH("2018::jama.2018.18020::C006",'C_jama.2018.18020'!$A$2:$A$15,0))),"not_applicable")</x:f>
        <x:v>not_applicable</x:v>
      </x:c>
      <x:c r="Z87" s="3" t="str">
        <x:f>IF(INDEX('C_jama.2018.18020'!$R$2:$R$15,MATCH("2018::jama.2018.18020::C006",'C_jama.2018.18020'!$A$2:$A$15,0))="","",INDEX('C_jama.2018.18020'!$R$2:$R$15,MATCH("2018::jama.2018.18020::C006",'C_jama.2018.18020'!$A$2:$A$15,0)))</x:f>
      </x:c>
      <x:c r="AA87" s="3" t="str">
        <x:f>IF(INDEX('C_jama.2018.18020'!$N$2:$N$15,MATCH("2018::jama.2018.18020::C006",'C_jama.2018.18020'!$A$2:$A$15,0))="","",INDEX('C_jama.2018.18020'!$N$2:$N$15,MATCH("2018::jama.2018.18020::C006",'C_jama.2018.18020'!$A$2:$A$15,0)))</x:f>
      </x:c>
      <x:c r="AB87" s="3" t="str">
        <x:f>IF(INDEX('C_jama.2018.18020'!$O$2:$O$15,MATCH("2018::jama.2018.18020::C006",'C_jama.2018.18020'!$A$2:$A$15,0))="","",INDEX('C_jama.2018.18020'!$O$2:$O$15,MATCH("2018::jama.2018.18020::C006",'C_jama.2018.18020'!$A$2:$A$15,0)))</x:f>
      </x:c>
      <x:c r="AC87" s="3" t="str">
        <x:f>IF(INDEX('C_jama.2018.18020'!$P$2:$P$15,MATCH("2018::jama.2018.18020::C006",'C_jama.2018.18020'!$A$2:$A$15,0))="","",INDEX('C_jama.2018.18020'!$P$2:$P$15,MATCH("2018::jama.2018.18020::C006",'C_jama.2018.18020'!$A$2:$A$15,0)))</x:f>
      </x:c>
      <x:c r="AD87" s="3" t="str">
        <x:f>IF(INDEX('C_jama.2018.18020'!$Q$2:$Q$15,MATCH("2018::jama.2018.18020::C006",'C_jama.2018.18020'!$A$2:$A$15,0))="","",INDEX('C_jama.2018.18020'!$Q$2:$Q$15,MATCH("2018::jama.2018.18020::C006",'C_jama.2018.18020'!$A$2:$A$15,0)))</x:f>
      </x:c>
    </x:row>
    <x:row r="88" ht="65" customHeight="1">
      <x:c r="A88" s="6" t="n">
        <x:v>2018</x:v>
      </x:c>
      <x:c r="B88" s="6" t="str">
        <x:v>jama.2018.18020</x:v>
      </x:c>
      <x:c r="C88" s="6" t="str">
        <x:v>2018::jama.2018.18020::C007</x:v>
      </x:c>
      <x:c r="D88" s="6" t="str">
        <x:v>S_W</x:v>
      </x:c>
      <x:c r="E88" s="6" t="n">
        <x:f>Setup!$B$2</x:f>
        <x:v>0</x:v>
      </x:c>
      <x:c r="F88" s="6" t="str">
        <x:f>IF(Setup!$B$4="","",Setup!$B$4)</x:f>
      </x:c>
      <x:c r="G88" s="6" t="str">
        <x:f>IFERROR(INDEX('C_jama.2018.18020'!$G$2:$G$15,MATCH("2018::jama.2018.18020::C007",'C_jama.2018.18020'!$A$2:$A$15,0)),"CHECK KEY")</x:f>
        <x:v>CHECK REVIEWER IDs</x:v>
      </x:c>
      <x:c r="H88" s="6" t="str">
        <x:f>IF(G88&lt;&gt;"FINAL READY","",IF(S88&lt;&gt;"retain","not_eligible",IF(D88="P_R","protocol_descriptive",IF(D88="P_P","plan_descriptive",IF(AND(T88="statistical_results",OR(U88="confirmed_issue",U88="probable_issue"),V88="substantive"),"primary_temporal",IF(AND(T88="report_internal_inconsistency",X88="substantive_inconsistency"),"secondary_temporal","not_eligible"))))))</x:f>
      </x:c>
      <x:c r="I88" s="6" t="str">
        <x:v>retain</x:v>
      </x:c>
      <x:c r="J88" s="6" t="str">
        <x:v>report_internal_inconsistency</x:v>
      </x:c>
      <x:c r="K88" s="6" t="str">
        <x:f>IF(Setup!$B$6="primary","",IFERROR(IF(INDEX('Primary_snapshot'!$B$2:$B$120,MATCH(C88,'Primary_snapshot'!$A$2:$A$120,0))="","",INDEX('Primary_snapshot'!$B$2:$B$120,MATCH(C88,'Primary_snapshot'!$A$2:$A$120,0))),"SNAPSHOT MISSING"))</x:f>
      </x:c>
      <x:c r="L88" s="6" t="str">
        <x:f>IF(Setup!$B$6="primary","",IFERROR(IF(INDEX('Primary_snapshot'!$C$2:$C$120,MATCH(C88,'Primary_snapshot'!$A$2:$A$120,0))="","",INDEX('Primary_snapshot'!$C$2:$C$120,MATCH(C88,'Primary_snapshot'!$A$2:$A$120,0))),"SNAPSHOT MISSING"))</x:f>
      </x:c>
      <x:c r="M88" s="6" t="str">
        <x:f>IF(Setup!$B$6="primary","",IFERROR(IF(INDEX('Primary_snapshot'!$D$2:$D$120,MATCH(C88,'Primary_snapshot'!$A$2:$A$120,0))="","",INDEX('Primary_snapshot'!$D$2:$D$120,MATCH(C88,'Primary_snapshot'!$A$2:$A$120,0))),"SNAPSHOT MISSING"))</x:f>
      </x:c>
      <x:c r="N88" s="6" t="str">
        <x:f>IF(Setup!$B$6="primary","",IFERROR(IF(INDEX('Primary_snapshot'!$E$2:$E$120,MATCH(C88,'Primary_snapshot'!$A$2:$A$120,0))="","",INDEX('Primary_snapshot'!$E$2:$E$120,MATCH(C88,'Primary_snapshot'!$A$2:$A$120,0))),"SNAPSHOT MISSING"))</x:f>
      </x:c>
      <x:c r="O88" s="6" t="str">
        <x:f>IF(Setup!$B$6="primary","",IFERROR(IF(INDEX('Primary_snapshot'!$F$2:$F$120,MATCH(C88,'Primary_snapshot'!$A$2:$A$120,0))="","",INDEX('Primary_snapshot'!$F$2:$F$120,MATCH(C88,'Primary_snapshot'!$A$2:$A$120,0))),"SNAPSHOT MISSING"))</x:f>
      </x:c>
      <x:c r="P88" s="6" t="str">
        <x:f>IF(Setup!$B$6="primary","",IFERROR(IF(INDEX('Primary_snapshot'!$G$2:$G$120,MATCH(C88,'Primary_snapshot'!$A$2:$A$120,0))="","",INDEX('Primary_snapshot'!$G$2:$G$120,MATCH(C88,'Primary_snapshot'!$A$2:$A$120,0))),"SNAPSHOT MISSING"))</x:f>
      </x:c>
      <x:c r="Q88" s="6" t="str">
        <x:f>IF(Setup!$B$6="primary","",IFERROR(IF(INDEX('Primary_snapshot'!$H$2:$H$120,MATCH(C88,'Primary_snapshot'!$A$2:$A$120,0))="","",INDEX('Primary_snapshot'!$H$2:$H$120,MATCH(C88,'Primary_snapshot'!$A$2:$A$120,0))),"SNAPSHOT MISSING"))</x:f>
      </x:c>
      <x:c r="R88" s="6" t="str">
        <x:f>IF(Setup!$B$6="primary","",IFERROR(IF(INDEX('Primary_snapshot'!$I$2:$I$120,MATCH(C88,'Primary_snapshot'!$A$2:$A$120,0))="","",INDEX('Primary_snapshot'!$I$2:$I$120,MATCH(C88,'Primary_snapshot'!$A$2:$A$120,0))),"SNAPSHOT MISSING"))</x:f>
      </x:c>
      <x:c r="S88" s="6" t="str">
        <x:f>IF(INDEX('C_jama.2018.18020'!$D$2:$D$15,MATCH("2018::jama.2018.18020::C007",'C_jama.2018.18020'!$A$2:$A$15,0))="","",INDEX('C_jama.2018.18020'!$D$2:$D$15,MATCH("2018::jama.2018.18020::C007",'C_jama.2018.18020'!$A$2:$A$15,0)))</x:f>
      </x:c>
      <x:c r="T88" s="6" t="str">
        <x:f>IF(INDEX('C_jama.2018.18020'!$E$2:$E$15,MATCH("2018::jama.2018.18020::C007",'C_jama.2018.18020'!$A$2:$A$15,0))="","",INDEX('C_jama.2018.18020'!$E$2:$E$15,MATCH("2018::jama.2018.18020::C007",'C_jama.2018.18020'!$A$2:$A$15,0)))</x:f>
        <x:v>report_internal_inconsistency</x:v>
      </x:c>
      <x:c r="U88" s="6" t="str">
        <x:f>IF(AND(INDEX('C_jama.2018.18020'!$D$2:$D$15,MATCH("2018::jama.2018.18020::C007",'C_jama.2018.18020'!$A$2:$A$15,0))="retain",INDEX('C_jama.2018.18020'!$E$2:$E$15,MATCH("2018::jama.2018.18020::C007",'C_jama.2018.18020'!$A$2:$A$15,0))="statistical_results"),IF(INDEX('C_jama.2018.18020'!$H$2:$H$15,MATCH("2018::jama.2018.18020::C007",'C_jama.2018.18020'!$A$2:$A$15,0))="","",INDEX('C_jama.2018.18020'!$H$2:$H$15,MATCH("2018::jama.2018.18020::C007",'C_jama.2018.18020'!$A$2:$A$15,0))),"not_applicable")</x:f>
        <x:v>not_applicable</x:v>
      </x:c>
      <x:c r="V88" s="6" t="str">
        <x:f>IF(AND(INDEX('C_jama.2018.18020'!$D$2:$D$15,MATCH("2018::jama.2018.18020::C007",'C_jama.2018.18020'!$A$2:$A$15,0))="retain",INDEX('C_jama.2018.18020'!$E$2:$E$15,MATCH("2018::jama.2018.18020::C007",'C_jama.2018.18020'!$A$2:$A$15,0))="statistical_results"),IF(INDEX('C_jama.2018.18020'!$I$2:$I$15,MATCH("2018::jama.2018.18020::C007",'C_jama.2018.18020'!$A$2:$A$15,0))="","",INDEX('C_jama.2018.18020'!$I$2:$I$15,MATCH("2018::jama.2018.18020::C007",'C_jama.2018.18020'!$A$2:$A$15,0))),"not_applicable")</x:f>
        <x:v>not_applicable</x:v>
      </x:c>
      <x:c r="W88" s="6" t="str">
        <x:f>IF(AND(INDEX('C_jama.2018.18020'!$D$2:$D$15,MATCH("2018::jama.2018.18020::C007",'C_jama.2018.18020'!$A$2:$A$15,0))="retain",INDEX('C_jama.2018.18020'!$E$2:$E$15,MATCH("2018::jama.2018.18020::C007",'C_jama.2018.18020'!$A$2:$A$15,0))="statistical_results"),IF(INDEX('C_jama.2018.18020'!$J$2:$J$15,MATCH("2018::jama.2018.18020::C007",'C_jama.2018.18020'!$A$2:$A$15,0))="","",INDEX('C_jama.2018.18020'!$J$2:$J$15,MATCH("2018::jama.2018.18020::C007",'C_jama.2018.18020'!$A$2:$A$15,0))),"not_applicable")</x:f>
        <x:v>not_applicable</x:v>
      </x:c>
      <x:c r="X88" s="6" t="str">
        <x:f>IF(AND(INDEX('C_jama.2018.18020'!$D$2:$D$15,MATCH("2018::jama.2018.18020::C007",'C_jama.2018.18020'!$A$2:$A$15,0))="retain",OR(INDEX('C_jama.2018.18020'!$E$2:$E$15,MATCH("2018::jama.2018.18020::C007",'C_jama.2018.18020'!$A$2:$A$15,0))="report_internal_inconsistency",INDEX('C_jama.2018.18020'!$E$2:$E$15,MATCH("2018::jama.2018.18020::C007",'C_jama.2018.18020'!$A$2:$A$15,0))="plan_material")),IF(INDEX('C_jama.2018.18020'!$K$2:$K$15,MATCH("2018::jama.2018.18020::C007",'C_jama.2018.18020'!$A$2:$A$15,0))="","",INDEX('C_jama.2018.18020'!$K$2:$K$15,MATCH("2018::jama.2018.18020::C007",'C_jama.2018.18020'!$A$2:$A$15,0))),"not_applicable")</x:f>
        <x:v>not_applicable</x:v>
      </x:c>
      <x:c r="Y88" s="6" t="str">
        <x:f>IF(AND(INDEX('C_jama.2018.18020'!$D$2:$D$15,MATCH("2018::jama.2018.18020::C007",'C_jama.2018.18020'!$A$2:$A$15,0))="retain",INDEX('C_jama.2018.18020'!$E$2:$E$15,MATCH("2018::jama.2018.18020::C007",'C_jama.2018.18020'!$A$2:$A$15,0))="protocol_report"),IF(INDEX('C_jama.2018.18020'!$L$2:$L$15,MATCH("2018::jama.2018.18020::C007",'C_jama.2018.18020'!$A$2:$A$15,0))="","",INDEX('C_jama.2018.18020'!$L$2:$L$15,MATCH("2018::jama.2018.18020::C007",'C_jama.2018.18020'!$A$2:$A$15,0))),"not_applicable")</x:f>
        <x:v>not_applicable</x:v>
      </x:c>
      <x:c r="Z88" s="6" t="str">
        <x:f>IF(INDEX('C_jama.2018.18020'!$R$2:$R$15,MATCH("2018::jama.2018.18020::C007",'C_jama.2018.18020'!$A$2:$A$15,0))="","",INDEX('C_jama.2018.18020'!$R$2:$R$15,MATCH("2018::jama.2018.18020::C007",'C_jama.2018.18020'!$A$2:$A$15,0)))</x:f>
      </x:c>
      <x:c r="AA88" s="6" t="str">
        <x:f>IF(INDEX('C_jama.2018.18020'!$N$2:$N$15,MATCH("2018::jama.2018.18020::C007",'C_jama.2018.18020'!$A$2:$A$15,0))="","",INDEX('C_jama.2018.18020'!$N$2:$N$15,MATCH("2018::jama.2018.18020::C007",'C_jama.2018.18020'!$A$2:$A$15,0)))</x:f>
      </x:c>
      <x:c r="AB88" s="6" t="str">
        <x:f>IF(INDEX('C_jama.2018.18020'!$O$2:$O$15,MATCH("2018::jama.2018.18020::C007",'C_jama.2018.18020'!$A$2:$A$15,0))="","",INDEX('C_jama.2018.18020'!$O$2:$O$15,MATCH("2018::jama.2018.18020::C007",'C_jama.2018.18020'!$A$2:$A$15,0)))</x:f>
      </x:c>
      <x:c r="AC88" s="6" t="str">
        <x:f>IF(INDEX('C_jama.2018.18020'!$P$2:$P$15,MATCH("2018::jama.2018.18020::C007",'C_jama.2018.18020'!$A$2:$A$15,0))="","",INDEX('C_jama.2018.18020'!$P$2:$P$15,MATCH("2018::jama.2018.18020::C007",'C_jama.2018.18020'!$A$2:$A$15,0)))</x:f>
      </x:c>
      <x:c r="AD88" s="6" t="str">
        <x:f>IF(INDEX('C_jama.2018.18020'!$Q$2:$Q$15,MATCH("2018::jama.2018.18020::C007",'C_jama.2018.18020'!$A$2:$A$15,0))="","",INDEX('C_jama.2018.18020'!$Q$2:$Q$15,MATCH("2018::jama.2018.18020::C007",'C_jama.2018.18020'!$A$2:$A$15,0)))</x:f>
      </x:c>
    </x:row>
    <x:row r="89" ht="65" customHeight="1">
      <x:c r="A89" s="3" t="n">
        <x:v>2018</x:v>
      </x:c>
      <x:c r="B89" s="3" t="str">
        <x:v>jama.2018.18020</x:v>
      </x:c>
      <x:c r="C89" s="3" t="str">
        <x:v>2018::jama.2018.18020::C008</x:v>
      </x:c>
      <x:c r="D89" s="3" t="str">
        <x:v>S_W</x:v>
      </x:c>
      <x:c r="E89" s="3" t="n">
        <x:f>Setup!$B$2</x:f>
        <x:v>0</x:v>
      </x:c>
      <x:c r="F89" s="3" t="str">
        <x:f>IF(Setup!$B$4="","",Setup!$B$4)</x:f>
      </x:c>
      <x:c r="G89" s="3" t="str">
        <x:f>IFERROR(INDEX('C_jama.2018.18020'!$G$2:$G$15,MATCH("2018::jama.2018.18020::C008",'C_jama.2018.18020'!$A$2:$A$15,0)),"CHECK KEY")</x:f>
        <x:v>CHECK REVIEWER IDs</x:v>
      </x:c>
      <x:c r="H89" s="3" t="str">
        <x:f>IF(G89&lt;&gt;"FINAL READY","",IF(S89&lt;&gt;"retain","not_eligible",IF(D89="P_R","protocol_descriptive",IF(D89="P_P","plan_descriptive",IF(AND(T89="statistical_results",OR(U89="confirmed_issue",U89="probable_issue"),V89="substantive"),"primary_temporal",IF(AND(T89="report_internal_inconsistency",X89="substantive_inconsistency"),"secondary_temporal","not_eligible"))))))</x:f>
      </x:c>
      <x:c r="I89" s="3" t="str">
        <x:v>retain</x:v>
      </x:c>
      <x:c r="J89" s="3" t="str">
        <x:v>report_internal_inconsistency</x:v>
      </x:c>
      <x:c r="K89" s="3" t="str">
        <x:f>IF(Setup!$B$6="primary","",IFERROR(IF(INDEX('Primary_snapshot'!$B$2:$B$120,MATCH(C89,'Primary_snapshot'!$A$2:$A$120,0))="","",INDEX('Primary_snapshot'!$B$2:$B$120,MATCH(C89,'Primary_snapshot'!$A$2:$A$120,0))),"SNAPSHOT MISSING"))</x:f>
      </x:c>
      <x:c r="L89" s="3" t="str">
        <x:f>IF(Setup!$B$6="primary","",IFERROR(IF(INDEX('Primary_snapshot'!$C$2:$C$120,MATCH(C89,'Primary_snapshot'!$A$2:$A$120,0))="","",INDEX('Primary_snapshot'!$C$2:$C$120,MATCH(C89,'Primary_snapshot'!$A$2:$A$120,0))),"SNAPSHOT MISSING"))</x:f>
      </x:c>
      <x:c r="M89" s="3" t="str">
        <x:f>IF(Setup!$B$6="primary","",IFERROR(IF(INDEX('Primary_snapshot'!$D$2:$D$120,MATCH(C89,'Primary_snapshot'!$A$2:$A$120,0))="","",INDEX('Primary_snapshot'!$D$2:$D$120,MATCH(C89,'Primary_snapshot'!$A$2:$A$120,0))),"SNAPSHOT MISSING"))</x:f>
      </x:c>
      <x:c r="N89" s="3" t="str">
        <x:f>IF(Setup!$B$6="primary","",IFERROR(IF(INDEX('Primary_snapshot'!$E$2:$E$120,MATCH(C89,'Primary_snapshot'!$A$2:$A$120,0))="","",INDEX('Primary_snapshot'!$E$2:$E$120,MATCH(C89,'Primary_snapshot'!$A$2:$A$120,0))),"SNAPSHOT MISSING"))</x:f>
      </x:c>
      <x:c r="O89" s="3" t="str">
        <x:f>IF(Setup!$B$6="primary","",IFERROR(IF(INDEX('Primary_snapshot'!$F$2:$F$120,MATCH(C89,'Primary_snapshot'!$A$2:$A$120,0))="","",INDEX('Primary_snapshot'!$F$2:$F$120,MATCH(C89,'Primary_snapshot'!$A$2:$A$120,0))),"SNAPSHOT MISSING"))</x:f>
      </x:c>
      <x:c r="P89" s="3" t="str">
        <x:f>IF(Setup!$B$6="primary","",IFERROR(IF(INDEX('Primary_snapshot'!$G$2:$G$120,MATCH(C89,'Primary_snapshot'!$A$2:$A$120,0))="","",INDEX('Primary_snapshot'!$G$2:$G$120,MATCH(C89,'Primary_snapshot'!$A$2:$A$120,0))),"SNAPSHOT MISSING"))</x:f>
      </x:c>
      <x:c r="Q89" s="3" t="str">
        <x:f>IF(Setup!$B$6="primary","",IFERROR(IF(INDEX('Primary_snapshot'!$H$2:$H$120,MATCH(C89,'Primary_snapshot'!$A$2:$A$120,0))="","",INDEX('Primary_snapshot'!$H$2:$H$120,MATCH(C89,'Primary_snapshot'!$A$2:$A$120,0))),"SNAPSHOT MISSING"))</x:f>
      </x:c>
      <x:c r="R89" s="3" t="str">
        <x:f>IF(Setup!$B$6="primary","",IFERROR(IF(INDEX('Primary_snapshot'!$I$2:$I$120,MATCH(C89,'Primary_snapshot'!$A$2:$A$120,0))="","",INDEX('Primary_snapshot'!$I$2:$I$120,MATCH(C89,'Primary_snapshot'!$A$2:$A$120,0))),"SNAPSHOT MISSING"))</x:f>
      </x:c>
      <x:c r="S89" s="3" t="str">
        <x:f>IF(INDEX('C_jama.2018.18020'!$D$2:$D$15,MATCH("2018::jama.2018.18020::C008",'C_jama.2018.18020'!$A$2:$A$15,0))="","",INDEX('C_jama.2018.18020'!$D$2:$D$15,MATCH("2018::jama.2018.18020::C008",'C_jama.2018.18020'!$A$2:$A$15,0)))</x:f>
      </x:c>
      <x:c r="T89" s="3" t="str">
        <x:f>IF(INDEX('C_jama.2018.18020'!$E$2:$E$15,MATCH("2018::jama.2018.18020::C008",'C_jama.2018.18020'!$A$2:$A$15,0))="","",INDEX('C_jama.2018.18020'!$E$2:$E$15,MATCH("2018::jama.2018.18020::C008",'C_jama.2018.18020'!$A$2:$A$15,0)))</x:f>
        <x:v>report_internal_inconsistency</x:v>
      </x:c>
      <x:c r="U89" s="3" t="str">
        <x:f>IF(AND(INDEX('C_jama.2018.18020'!$D$2:$D$15,MATCH("2018::jama.2018.18020::C008",'C_jama.2018.18020'!$A$2:$A$15,0))="retain",INDEX('C_jama.2018.18020'!$E$2:$E$15,MATCH("2018::jama.2018.18020::C008",'C_jama.2018.18020'!$A$2:$A$15,0))="statistical_results"),IF(INDEX('C_jama.2018.18020'!$H$2:$H$15,MATCH("2018::jama.2018.18020::C008",'C_jama.2018.18020'!$A$2:$A$15,0))="","",INDEX('C_jama.2018.18020'!$H$2:$H$15,MATCH("2018::jama.2018.18020::C008",'C_jama.2018.18020'!$A$2:$A$15,0))),"not_applicable")</x:f>
        <x:v>not_applicable</x:v>
      </x:c>
      <x:c r="V89" s="3" t="str">
        <x:f>IF(AND(INDEX('C_jama.2018.18020'!$D$2:$D$15,MATCH("2018::jama.2018.18020::C008",'C_jama.2018.18020'!$A$2:$A$15,0))="retain",INDEX('C_jama.2018.18020'!$E$2:$E$15,MATCH("2018::jama.2018.18020::C008",'C_jama.2018.18020'!$A$2:$A$15,0))="statistical_results"),IF(INDEX('C_jama.2018.18020'!$I$2:$I$15,MATCH("2018::jama.2018.18020::C008",'C_jama.2018.18020'!$A$2:$A$15,0))="","",INDEX('C_jama.2018.18020'!$I$2:$I$15,MATCH("2018::jama.2018.18020::C008",'C_jama.2018.18020'!$A$2:$A$15,0))),"not_applicable")</x:f>
        <x:v>not_applicable</x:v>
      </x:c>
      <x:c r="W89" s="3" t="str">
        <x:f>IF(AND(INDEX('C_jama.2018.18020'!$D$2:$D$15,MATCH("2018::jama.2018.18020::C008",'C_jama.2018.18020'!$A$2:$A$15,0))="retain",INDEX('C_jama.2018.18020'!$E$2:$E$15,MATCH("2018::jama.2018.18020::C008",'C_jama.2018.18020'!$A$2:$A$15,0))="statistical_results"),IF(INDEX('C_jama.2018.18020'!$J$2:$J$15,MATCH("2018::jama.2018.18020::C008",'C_jama.2018.18020'!$A$2:$A$15,0))="","",INDEX('C_jama.2018.18020'!$J$2:$J$15,MATCH("2018::jama.2018.18020::C008",'C_jama.2018.18020'!$A$2:$A$15,0))),"not_applicable")</x:f>
        <x:v>not_applicable</x:v>
      </x:c>
      <x:c r="X89" s="3" t="str">
        <x:f>IF(AND(INDEX('C_jama.2018.18020'!$D$2:$D$15,MATCH("2018::jama.2018.18020::C008",'C_jama.2018.18020'!$A$2:$A$15,0))="retain",OR(INDEX('C_jama.2018.18020'!$E$2:$E$15,MATCH("2018::jama.2018.18020::C008",'C_jama.2018.18020'!$A$2:$A$15,0))="report_internal_inconsistency",INDEX('C_jama.2018.18020'!$E$2:$E$15,MATCH("2018::jama.2018.18020::C008",'C_jama.2018.18020'!$A$2:$A$15,0))="plan_material")),IF(INDEX('C_jama.2018.18020'!$K$2:$K$15,MATCH("2018::jama.2018.18020::C008",'C_jama.2018.18020'!$A$2:$A$15,0))="","",INDEX('C_jama.2018.18020'!$K$2:$K$15,MATCH("2018::jama.2018.18020::C008",'C_jama.2018.18020'!$A$2:$A$15,0))),"not_applicable")</x:f>
        <x:v>not_applicable</x:v>
      </x:c>
      <x:c r="Y89" s="3" t="str">
        <x:f>IF(AND(INDEX('C_jama.2018.18020'!$D$2:$D$15,MATCH("2018::jama.2018.18020::C008",'C_jama.2018.18020'!$A$2:$A$15,0))="retain",INDEX('C_jama.2018.18020'!$E$2:$E$15,MATCH("2018::jama.2018.18020::C008",'C_jama.2018.18020'!$A$2:$A$15,0))="protocol_report"),IF(INDEX('C_jama.2018.18020'!$L$2:$L$15,MATCH("2018::jama.2018.18020::C008",'C_jama.2018.18020'!$A$2:$A$15,0))="","",INDEX('C_jama.2018.18020'!$L$2:$L$15,MATCH("2018::jama.2018.18020::C008",'C_jama.2018.18020'!$A$2:$A$15,0))),"not_applicable")</x:f>
        <x:v>not_applicable</x:v>
      </x:c>
      <x:c r="Z89" s="3" t="str">
        <x:f>IF(INDEX('C_jama.2018.18020'!$R$2:$R$15,MATCH("2018::jama.2018.18020::C008",'C_jama.2018.18020'!$A$2:$A$15,0))="","",INDEX('C_jama.2018.18020'!$R$2:$R$15,MATCH("2018::jama.2018.18020::C008",'C_jama.2018.18020'!$A$2:$A$15,0)))</x:f>
      </x:c>
      <x:c r="AA89" s="3" t="str">
        <x:f>IF(INDEX('C_jama.2018.18020'!$N$2:$N$15,MATCH("2018::jama.2018.18020::C008",'C_jama.2018.18020'!$A$2:$A$15,0))="","",INDEX('C_jama.2018.18020'!$N$2:$N$15,MATCH("2018::jama.2018.18020::C008",'C_jama.2018.18020'!$A$2:$A$15,0)))</x:f>
      </x:c>
      <x:c r="AB89" s="3" t="str">
        <x:f>IF(INDEX('C_jama.2018.18020'!$O$2:$O$15,MATCH("2018::jama.2018.18020::C008",'C_jama.2018.18020'!$A$2:$A$15,0))="","",INDEX('C_jama.2018.18020'!$O$2:$O$15,MATCH("2018::jama.2018.18020::C008",'C_jama.2018.18020'!$A$2:$A$15,0)))</x:f>
      </x:c>
      <x:c r="AC89" s="3" t="str">
        <x:f>IF(INDEX('C_jama.2018.18020'!$P$2:$P$15,MATCH("2018::jama.2018.18020::C008",'C_jama.2018.18020'!$A$2:$A$15,0))="","",INDEX('C_jama.2018.18020'!$P$2:$P$15,MATCH("2018::jama.2018.18020::C008",'C_jama.2018.18020'!$A$2:$A$15,0)))</x:f>
      </x:c>
      <x:c r="AD89" s="3" t="str">
        <x:f>IF(INDEX('C_jama.2018.18020'!$Q$2:$Q$15,MATCH("2018::jama.2018.18020::C008",'C_jama.2018.18020'!$A$2:$A$15,0))="","",INDEX('C_jama.2018.18020'!$Q$2:$Q$15,MATCH("2018::jama.2018.18020::C008",'C_jama.2018.18020'!$A$2:$A$15,0)))</x:f>
      </x:c>
    </x:row>
    <x:row r="90" ht="65" customHeight="1">
      <x:c r="A90" s="6" t="n">
        <x:v>2018</x:v>
      </x:c>
      <x:c r="B90" s="6" t="str">
        <x:v>jama.2018.18020</x:v>
      </x:c>
      <x:c r="C90" s="6" t="str">
        <x:v>2018::jama.2018.18020::C009</x:v>
      </x:c>
      <x:c r="D90" s="6" t="str">
        <x:v>S_W</x:v>
      </x:c>
      <x:c r="E90" s="6" t="n">
        <x:f>Setup!$B$2</x:f>
        <x:v>0</x:v>
      </x:c>
      <x:c r="F90" s="6" t="str">
        <x:f>IF(Setup!$B$4="","",Setup!$B$4)</x:f>
      </x:c>
      <x:c r="G90" s="6" t="str">
        <x:f>IFERROR(INDEX('C_jama.2018.18020'!$G$2:$G$15,MATCH("2018::jama.2018.18020::C009",'C_jama.2018.18020'!$A$2:$A$15,0)),"CHECK KEY")</x:f>
        <x:v>CHECK REVIEWER IDs</x:v>
      </x:c>
      <x:c r="H90" s="6" t="str">
        <x:f>IF(G90&lt;&gt;"FINAL READY","",IF(S90&lt;&gt;"retain","not_eligible",IF(D90="P_R","protocol_descriptive",IF(D90="P_P","plan_descriptive",IF(AND(T90="statistical_results",OR(U90="confirmed_issue",U90="probable_issue"),V90="substantive"),"primary_temporal",IF(AND(T90="report_internal_inconsistency",X90="substantive_inconsistency"),"secondary_temporal","not_eligible"))))))</x:f>
      </x:c>
      <x:c r="I90" s="6" t="str">
        <x:v>retain</x:v>
      </x:c>
      <x:c r="J90" s="6" t="str">
        <x:v>statistical_results</x:v>
      </x:c>
      <x:c r="K90" s="6" t="str">
        <x:f>IF(Setup!$B$6="primary","",IFERROR(IF(INDEX('Primary_snapshot'!$B$2:$B$120,MATCH(C90,'Primary_snapshot'!$A$2:$A$120,0))="","",INDEX('Primary_snapshot'!$B$2:$B$120,MATCH(C90,'Primary_snapshot'!$A$2:$A$120,0))),"SNAPSHOT MISSING"))</x:f>
      </x:c>
      <x:c r="L90" s="6" t="str">
        <x:f>IF(Setup!$B$6="primary","",IFERROR(IF(INDEX('Primary_snapshot'!$C$2:$C$120,MATCH(C90,'Primary_snapshot'!$A$2:$A$120,0))="","",INDEX('Primary_snapshot'!$C$2:$C$120,MATCH(C90,'Primary_snapshot'!$A$2:$A$120,0))),"SNAPSHOT MISSING"))</x:f>
      </x:c>
      <x:c r="M90" s="6" t="str">
        <x:f>IF(Setup!$B$6="primary","",IFERROR(IF(INDEX('Primary_snapshot'!$D$2:$D$120,MATCH(C90,'Primary_snapshot'!$A$2:$A$120,0))="","",INDEX('Primary_snapshot'!$D$2:$D$120,MATCH(C90,'Primary_snapshot'!$A$2:$A$120,0))),"SNAPSHOT MISSING"))</x:f>
      </x:c>
      <x:c r="N90" s="6" t="str">
        <x:f>IF(Setup!$B$6="primary","",IFERROR(IF(INDEX('Primary_snapshot'!$E$2:$E$120,MATCH(C90,'Primary_snapshot'!$A$2:$A$120,0))="","",INDEX('Primary_snapshot'!$E$2:$E$120,MATCH(C90,'Primary_snapshot'!$A$2:$A$120,0))),"SNAPSHOT MISSING"))</x:f>
      </x:c>
      <x:c r="O90" s="6" t="str">
        <x:f>IF(Setup!$B$6="primary","",IFERROR(IF(INDEX('Primary_snapshot'!$F$2:$F$120,MATCH(C90,'Primary_snapshot'!$A$2:$A$120,0))="","",INDEX('Primary_snapshot'!$F$2:$F$120,MATCH(C90,'Primary_snapshot'!$A$2:$A$120,0))),"SNAPSHOT MISSING"))</x:f>
      </x:c>
      <x:c r="P90" s="6" t="str">
        <x:f>IF(Setup!$B$6="primary","",IFERROR(IF(INDEX('Primary_snapshot'!$G$2:$G$120,MATCH(C90,'Primary_snapshot'!$A$2:$A$120,0))="","",INDEX('Primary_snapshot'!$G$2:$G$120,MATCH(C90,'Primary_snapshot'!$A$2:$A$120,0))),"SNAPSHOT MISSING"))</x:f>
      </x:c>
      <x:c r="Q90" s="6" t="str">
        <x:f>IF(Setup!$B$6="primary","",IFERROR(IF(INDEX('Primary_snapshot'!$H$2:$H$120,MATCH(C90,'Primary_snapshot'!$A$2:$A$120,0))="","",INDEX('Primary_snapshot'!$H$2:$H$120,MATCH(C90,'Primary_snapshot'!$A$2:$A$120,0))),"SNAPSHOT MISSING"))</x:f>
      </x:c>
      <x:c r="R90" s="6" t="str">
        <x:f>IF(Setup!$B$6="primary","",IFERROR(IF(INDEX('Primary_snapshot'!$I$2:$I$120,MATCH(C90,'Primary_snapshot'!$A$2:$A$120,0))="","",INDEX('Primary_snapshot'!$I$2:$I$120,MATCH(C90,'Primary_snapshot'!$A$2:$A$120,0))),"SNAPSHOT MISSING"))</x:f>
      </x:c>
      <x:c r="S90" s="6" t="str">
        <x:f>IF(INDEX('C_jama.2018.18020'!$D$2:$D$15,MATCH("2018::jama.2018.18020::C009",'C_jama.2018.18020'!$A$2:$A$15,0))="","",INDEX('C_jama.2018.18020'!$D$2:$D$15,MATCH("2018::jama.2018.18020::C009",'C_jama.2018.18020'!$A$2:$A$15,0)))</x:f>
      </x:c>
      <x:c r="T90" s="6" t="str">
        <x:f>IF(INDEX('C_jama.2018.18020'!$E$2:$E$15,MATCH("2018::jama.2018.18020::C009",'C_jama.2018.18020'!$A$2:$A$15,0))="","",INDEX('C_jama.2018.18020'!$E$2:$E$15,MATCH("2018::jama.2018.18020::C009",'C_jama.2018.18020'!$A$2:$A$15,0)))</x:f>
        <x:v>statistical_results</x:v>
      </x:c>
      <x:c r="U90" s="6" t="str">
        <x:f>IF(AND(INDEX('C_jama.2018.18020'!$D$2:$D$15,MATCH("2018::jama.2018.18020::C009",'C_jama.2018.18020'!$A$2:$A$15,0))="retain",INDEX('C_jama.2018.18020'!$E$2:$E$15,MATCH("2018::jama.2018.18020::C009",'C_jama.2018.18020'!$A$2:$A$15,0))="statistical_results"),IF(INDEX('C_jama.2018.18020'!$H$2:$H$15,MATCH("2018::jama.2018.18020::C009",'C_jama.2018.18020'!$A$2:$A$15,0))="","",INDEX('C_jama.2018.18020'!$H$2:$H$15,MATCH("2018::jama.2018.18020::C009",'C_jama.2018.18020'!$A$2:$A$15,0))),"not_applicable")</x:f>
        <x:v>not_applicable</x:v>
      </x:c>
      <x:c r="V90" s="6" t="str">
        <x:f>IF(AND(INDEX('C_jama.2018.18020'!$D$2:$D$15,MATCH("2018::jama.2018.18020::C009",'C_jama.2018.18020'!$A$2:$A$15,0))="retain",INDEX('C_jama.2018.18020'!$E$2:$E$15,MATCH("2018::jama.2018.18020::C009",'C_jama.2018.18020'!$A$2:$A$15,0))="statistical_results"),IF(INDEX('C_jama.2018.18020'!$I$2:$I$15,MATCH("2018::jama.2018.18020::C009",'C_jama.2018.18020'!$A$2:$A$15,0))="","",INDEX('C_jama.2018.18020'!$I$2:$I$15,MATCH("2018::jama.2018.18020::C009",'C_jama.2018.18020'!$A$2:$A$15,0))),"not_applicable")</x:f>
        <x:v>not_applicable</x:v>
      </x:c>
      <x:c r="W90" s="6" t="str">
        <x:f>IF(AND(INDEX('C_jama.2018.18020'!$D$2:$D$15,MATCH("2018::jama.2018.18020::C009",'C_jama.2018.18020'!$A$2:$A$15,0))="retain",INDEX('C_jama.2018.18020'!$E$2:$E$15,MATCH("2018::jama.2018.18020::C009",'C_jama.2018.18020'!$A$2:$A$15,0))="statistical_results"),IF(INDEX('C_jama.2018.18020'!$J$2:$J$15,MATCH("2018::jama.2018.18020::C009",'C_jama.2018.18020'!$A$2:$A$15,0))="","",INDEX('C_jama.2018.18020'!$J$2:$J$15,MATCH("2018::jama.2018.18020::C009",'C_jama.2018.18020'!$A$2:$A$15,0))),"not_applicable")</x:f>
        <x:v>not_applicable</x:v>
      </x:c>
      <x:c r="X90" s="6" t="str">
        <x:f>IF(AND(INDEX('C_jama.2018.18020'!$D$2:$D$15,MATCH("2018::jama.2018.18020::C009",'C_jama.2018.18020'!$A$2:$A$15,0))="retain",OR(INDEX('C_jama.2018.18020'!$E$2:$E$15,MATCH("2018::jama.2018.18020::C009",'C_jama.2018.18020'!$A$2:$A$15,0))="report_internal_inconsistency",INDEX('C_jama.2018.18020'!$E$2:$E$15,MATCH("2018::jama.2018.18020::C009",'C_jama.2018.18020'!$A$2:$A$15,0))="plan_material")),IF(INDEX('C_jama.2018.18020'!$K$2:$K$15,MATCH("2018::jama.2018.18020::C009",'C_jama.2018.18020'!$A$2:$A$15,0))="","",INDEX('C_jama.2018.18020'!$K$2:$K$15,MATCH("2018::jama.2018.18020::C009",'C_jama.2018.18020'!$A$2:$A$15,0))),"not_applicable")</x:f>
        <x:v>not_applicable</x:v>
      </x:c>
      <x:c r="Y90" s="6" t="str">
        <x:f>IF(AND(INDEX('C_jama.2018.18020'!$D$2:$D$15,MATCH("2018::jama.2018.18020::C009",'C_jama.2018.18020'!$A$2:$A$15,0))="retain",INDEX('C_jama.2018.18020'!$E$2:$E$15,MATCH("2018::jama.2018.18020::C009",'C_jama.2018.18020'!$A$2:$A$15,0))="protocol_report"),IF(INDEX('C_jama.2018.18020'!$L$2:$L$15,MATCH("2018::jama.2018.18020::C009",'C_jama.2018.18020'!$A$2:$A$15,0))="","",INDEX('C_jama.2018.18020'!$L$2:$L$15,MATCH("2018::jama.2018.18020::C009",'C_jama.2018.18020'!$A$2:$A$15,0))),"not_applicable")</x:f>
        <x:v>not_applicable</x:v>
      </x:c>
      <x:c r="Z90" s="6" t="str">
        <x:f>IF(INDEX('C_jama.2018.18020'!$R$2:$R$15,MATCH("2018::jama.2018.18020::C009",'C_jama.2018.18020'!$A$2:$A$15,0))="","",INDEX('C_jama.2018.18020'!$R$2:$R$15,MATCH("2018::jama.2018.18020::C009",'C_jama.2018.18020'!$A$2:$A$15,0)))</x:f>
      </x:c>
      <x:c r="AA90" s="6" t="str">
        <x:f>IF(INDEX('C_jama.2018.18020'!$N$2:$N$15,MATCH("2018::jama.2018.18020::C009",'C_jama.2018.18020'!$A$2:$A$15,0))="","",INDEX('C_jama.2018.18020'!$N$2:$N$15,MATCH("2018::jama.2018.18020::C009",'C_jama.2018.18020'!$A$2:$A$15,0)))</x:f>
      </x:c>
      <x:c r="AB90" s="6" t="str">
        <x:f>IF(INDEX('C_jama.2018.18020'!$O$2:$O$15,MATCH("2018::jama.2018.18020::C009",'C_jama.2018.18020'!$A$2:$A$15,0))="","",INDEX('C_jama.2018.18020'!$O$2:$O$15,MATCH("2018::jama.2018.18020::C009",'C_jama.2018.18020'!$A$2:$A$15,0)))</x:f>
      </x:c>
      <x:c r="AC90" s="6" t="str">
        <x:f>IF(INDEX('C_jama.2018.18020'!$P$2:$P$15,MATCH("2018::jama.2018.18020::C009",'C_jama.2018.18020'!$A$2:$A$15,0))="","",INDEX('C_jama.2018.18020'!$P$2:$P$15,MATCH("2018::jama.2018.18020::C009",'C_jama.2018.18020'!$A$2:$A$15,0)))</x:f>
      </x:c>
      <x:c r="AD90" s="6" t="str">
        <x:f>IF(INDEX('C_jama.2018.18020'!$Q$2:$Q$15,MATCH("2018::jama.2018.18020::C009",'C_jama.2018.18020'!$A$2:$A$15,0))="","",INDEX('C_jama.2018.18020'!$Q$2:$Q$15,MATCH("2018::jama.2018.18020::C009",'C_jama.2018.18020'!$A$2:$A$15,0)))</x:f>
      </x:c>
    </x:row>
    <x:row r="91" ht="65" customHeight="1">
      <x:c r="A91" s="3" t="n">
        <x:v>2018</x:v>
      </x:c>
      <x:c r="B91" s="3" t="str">
        <x:v>jama.2018.18020</x:v>
      </x:c>
      <x:c r="C91" s="3" t="str">
        <x:v>2018::jama.2018.18020::C010</x:v>
      </x:c>
      <x:c r="D91" s="3" t="str">
        <x:v>S_W</x:v>
      </x:c>
      <x:c r="E91" s="3" t="n">
        <x:f>Setup!$B$2</x:f>
        <x:v>0</x:v>
      </x:c>
      <x:c r="F91" s="3" t="str">
        <x:f>IF(Setup!$B$4="","",Setup!$B$4)</x:f>
      </x:c>
      <x:c r="G91" s="3" t="str">
        <x:f>IFERROR(INDEX('C_jama.2018.18020'!$G$2:$G$15,MATCH("2018::jama.2018.18020::C010",'C_jama.2018.18020'!$A$2:$A$15,0)),"CHECK KEY")</x:f>
        <x:v>CHECK REVIEWER IDs</x:v>
      </x:c>
      <x:c r="H91" s="3" t="str">
        <x:f>IF(G91&lt;&gt;"FINAL READY","",IF(S91&lt;&gt;"retain","not_eligible",IF(D91="P_R","protocol_descriptive",IF(D91="P_P","plan_descriptive",IF(AND(T91="statistical_results",OR(U91="confirmed_issue",U91="probable_issue"),V91="substantive"),"primary_temporal",IF(AND(T91="report_internal_inconsistency",X91="substantive_inconsistency"),"secondary_temporal","not_eligible"))))))</x:f>
      </x:c>
      <x:c r="I91" s="3" t="str">
        <x:v>retain</x:v>
      </x:c>
      <x:c r="J91" s="3" t="str">
        <x:v>statistical_results</x:v>
      </x:c>
      <x:c r="K91" s="3" t="str">
        <x:f>IF(Setup!$B$6="primary","",IFERROR(IF(INDEX('Primary_snapshot'!$B$2:$B$120,MATCH(C91,'Primary_snapshot'!$A$2:$A$120,0))="","",INDEX('Primary_snapshot'!$B$2:$B$120,MATCH(C91,'Primary_snapshot'!$A$2:$A$120,0))),"SNAPSHOT MISSING"))</x:f>
      </x:c>
      <x:c r="L91" s="3" t="str">
        <x:f>IF(Setup!$B$6="primary","",IFERROR(IF(INDEX('Primary_snapshot'!$C$2:$C$120,MATCH(C91,'Primary_snapshot'!$A$2:$A$120,0))="","",INDEX('Primary_snapshot'!$C$2:$C$120,MATCH(C91,'Primary_snapshot'!$A$2:$A$120,0))),"SNAPSHOT MISSING"))</x:f>
      </x:c>
      <x:c r="M91" s="3" t="str">
        <x:f>IF(Setup!$B$6="primary","",IFERROR(IF(INDEX('Primary_snapshot'!$D$2:$D$120,MATCH(C91,'Primary_snapshot'!$A$2:$A$120,0))="","",INDEX('Primary_snapshot'!$D$2:$D$120,MATCH(C91,'Primary_snapshot'!$A$2:$A$120,0))),"SNAPSHOT MISSING"))</x:f>
      </x:c>
      <x:c r="N91" s="3" t="str">
        <x:f>IF(Setup!$B$6="primary","",IFERROR(IF(INDEX('Primary_snapshot'!$E$2:$E$120,MATCH(C91,'Primary_snapshot'!$A$2:$A$120,0))="","",INDEX('Primary_snapshot'!$E$2:$E$120,MATCH(C91,'Primary_snapshot'!$A$2:$A$120,0))),"SNAPSHOT MISSING"))</x:f>
      </x:c>
      <x:c r="O91" s="3" t="str">
        <x:f>IF(Setup!$B$6="primary","",IFERROR(IF(INDEX('Primary_snapshot'!$F$2:$F$120,MATCH(C91,'Primary_snapshot'!$A$2:$A$120,0))="","",INDEX('Primary_snapshot'!$F$2:$F$120,MATCH(C91,'Primary_snapshot'!$A$2:$A$120,0))),"SNAPSHOT MISSING"))</x:f>
      </x:c>
      <x:c r="P91" s="3" t="str">
        <x:f>IF(Setup!$B$6="primary","",IFERROR(IF(INDEX('Primary_snapshot'!$G$2:$G$120,MATCH(C91,'Primary_snapshot'!$A$2:$A$120,0))="","",INDEX('Primary_snapshot'!$G$2:$G$120,MATCH(C91,'Primary_snapshot'!$A$2:$A$120,0))),"SNAPSHOT MISSING"))</x:f>
      </x:c>
      <x:c r="Q91" s="3" t="str">
        <x:f>IF(Setup!$B$6="primary","",IFERROR(IF(INDEX('Primary_snapshot'!$H$2:$H$120,MATCH(C91,'Primary_snapshot'!$A$2:$A$120,0))="","",INDEX('Primary_snapshot'!$H$2:$H$120,MATCH(C91,'Primary_snapshot'!$A$2:$A$120,0))),"SNAPSHOT MISSING"))</x:f>
      </x:c>
      <x:c r="R91" s="3" t="str">
        <x:f>IF(Setup!$B$6="primary","",IFERROR(IF(INDEX('Primary_snapshot'!$I$2:$I$120,MATCH(C91,'Primary_snapshot'!$A$2:$A$120,0))="","",INDEX('Primary_snapshot'!$I$2:$I$120,MATCH(C91,'Primary_snapshot'!$A$2:$A$120,0))),"SNAPSHOT MISSING"))</x:f>
      </x:c>
      <x:c r="S91" s="3" t="str">
        <x:f>IF(INDEX('C_jama.2018.18020'!$D$2:$D$15,MATCH("2018::jama.2018.18020::C010",'C_jama.2018.18020'!$A$2:$A$15,0))="","",INDEX('C_jama.2018.18020'!$D$2:$D$15,MATCH("2018::jama.2018.18020::C010",'C_jama.2018.18020'!$A$2:$A$15,0)))</x:f>
      </x:c>
      <x:c r="T91" s="3" t="str">
        <x:f>IF(INDEX('C_jama.2018.18020'!$E$2:$E$15,MATCH("2018::jama.2018.18020::C010",'C_jama.2018.18020'!$A$2:$A$15,0))="","",INDEX('C_jama.2018.18020'!$E$2:$E$15,MATCH("2018::jama.2018.18020::C010",'C_jama.2018.18020'!$A$2:$A$15,0)))</x:f>
        <x:v>statistical_results</x:v>
      </x:c>
      <x:c r="U91" s="3" t="str">
        <x:f>IF(AND(INDEX('C_jama.2018.18020'!$D$2:$D$15,MATCH("2018::jama.2018.18020::C010",'C_jama.2018.18020'!$A$2:$A$15,0))="retain",INDEX('C_jama.2018.18020'!$E$2:$E$15,MATCH("2018::jama.2018.18020::C010",'C_jama.2018.18020'!$A$2:$A$15,0))="statistical_results"),IF(INDEX('C_jama.2018.18020'!$H$2:$H$15,MATCH("2018::jama.2018.18020::C010",'C_jama.2018.18020'!$A$2:$A$15,0))="","",INDEX('C_jama.2018.18020'!$H$2:$H$15,MATCH("2018::jama.2018.18020::C010",'C_jama.2018.18020'!$A$2:$A$15,0))),"not_applicable")</x:f>
        <x:v>not_applicable</x:v>
      </x:c>
      <x:c r="V91" s="3" t="str">
        <x:f>IF(AND(INDEX('C_jama.2018.18020'!$D$2:$D$15,MATCH("2018::jama.2018.18020::C010",'C_jama.2018.18020'!$A$2:$A$15,0))="retain",INDEX('C_jama.2018.18020'!$E$2:$E$15,MATCH("2018::jama.2018.18020::C010",'C_jama.2018.18020'!$A$2:$A$15,0))="statistical_results"),IF(INDEX('C_jama.2018.18020'!$I$2:$I$15,MATCH("2018::jama.2018.18020::C010",'C_jama.2018.18020'!$A$2:$A$15,0))="","",INDEX('C_jama.2018.18020'!$I$2:$I$15,MATCH("2018::jama.2018.18020::C010",'C_jama.2018.18020'!$A$2:$A$15,0))),"not_applicable")</x:f>
        <x:v>not_applicable</x:v>
      </x:c>
      <x:c r="W91" s="3" t="str">
        <x:f>IF(AND(INDEX('C_jama.2018.18020'!$D$2:$D$15,MATCH("2018::jama.2018.18020::C010",'C_jama.2018.18020'!$A$2:$A$15,0))="retain",INDEX('C_jama.2018.18020'!$E$2:$E$15,MATCH("2018::jama.2018.18020::C010",'C_jama.2018.18020'!$A$2:$A$15,0))="statistical_results"),IF(INDEX('C_jama.2018.18020'!$J$2:$J$15,MATCH("2018::jama.2018.18020::C010",'C_jama.2018.18020'!$A$2:$A$15,0))="","",INDEX('C_jama.2018.18020'!$J$2:$J$15,MATCH("2018::jama.2018.18020::C010",'C_jama.2018.18020'!$A$2:$A$15,0))),"not_applicable")</x:f>
        <x:v>not_applicable</x:v>
      </x:c>
      <x:c r="X91" s="3" t="str">
        <x:f>IF(AND(INDEX('C_jama.2018.18020'!$D$2:$D$15,MATCH("2018::jama.2018.18020::C010",'C_jama.2018.18020'!$A$2:$A$15,0))="retain",OR(INDEX('C_jama.2018.18020'!$E$2:$E$15,MATCH("2018::jama.2018.18020::C010",'C_jama.2018.18020'!$A$2:$A$15,0))="report_internal_inconsistency",INDEX('C_jama.2018.18020'!$E$2:$E$15,MATCH("2018::jama.2018.18020::C010",'C_jama.2018.18020'!$A$2:$A$15,0))="plan_material")),IF(INDEX('C_jama.2018.18020'!$K$2:$K$15,MATCH("2018::jama.2018.18020::C010",'C_jama.2018.18020'!$A$2:$A$15,0))="","",INDEX('C_jama.2018.18020'!$K$2:$K$15,MATCH("2018::jama.2018.18020::C010",'C_jama.2018.18020'!$A$2:$A$15,0))),"not_applicable")</x:f>
        <x:v>not_applicable</x:v>
      </x:c>
      <x:c r="Y91" s="3" t="str">
        <x:f>IF(AND(INDEX('C_jama.2018.18020'!$D$2:$D$15,MATCH("2018::jama.2018.18020::C010",'C_jama.2018.18020'!$A$2:$A$15,0))="retain",INDEX('C_jama.2018.18020'!$E$2:$E$15,MATCH("2018::jama.2018.18020::C010",'C_jama.2018.18020'!$A$2:$A$15,0))="protocol_report"),IF(INDEX('C_jama.2018.18020'!$L$2:$L$15,MATCH("2018::jama.2018.18020::C010",'C_jama.2018.18020'!$A$2:$A$15,0))="","",INDEX('C_jama.2018.18020'!$L$2:$L$15,MATCH("2018::jama.2018.18020::C010",'C_jama.2018.18020'!$A$2:$A$15,0))),"not_applicable")</x:f>
        <x:v>not_applicable</x:v>
      </x:c>
      <x:c r="Z91" s="3" t="str">
        <x:f>IF(INDEX('C_jama.2018.18020'!$R$2:$R$15,MATCH("2018::jama.2018.18020::C010",'C_jama.2018.18020'!$A$2:$A$15,0))="","",INDEX('C_jama.2018.18020'!$R$2:$R$15,MATCH("2018::jama.2018.18020::C010",'C_jama.2018.18020'!$A$2:$A$15,0)))</x:f>
      </x:c>
      <x:c r="AA91" s="3" t="str">
        <x:f>IF(INDEX('C_jama.2018.18020'!$N$2:$N$15,MATCH("2018::jama.2018.18020::C010",'C_jama.2018.18020'!$A$2:$A$15,0))="","",INDEX('C_jama.2018.18020'!$N$2:$N$15,MATCH("2018::jama.2018.18020::C010",'C_jama.2018.18020'!$A$2:$A$15,0)))</x:f>
      </x:c>
      <x:c r="AB91" s="3" t="str">
        <x:f>IF(INDEX('C_jama.2018.18020'!$O$2:$O$15,MATCH("2018::jama.2018.18020::C010",'C_jama.2018.18020'!$A$2:$A$15,0))="","",INDEX('C_jama.2018.18020'!$O$2:$O$15,MATCH("2018::jama.2018.18020::C010",'C_jama.2018.18020'!$A$2:$A$15,0)))</x:f>
      </x:c>
      <x:c r="AC91" s="3" t="str">
        <x:f>IF(INDEX('C_jama.2018.18020'!$P$2:$P$15,MATCH("2018::jama.2018.18020::C010",'C_jama.2018.18020'!$A$2:$A$15,0))="","",INDEX('C_jama.2018.18020'!$P$2:$P$15,MATCH("2018::jama.2018.18020::C010",'C_jama.2018.18020'!$A$2:$A$15,0)))</x:f>
      </x:c>
      <x:c r="AD91" s="3" t="str">
        <x:f>IF(INDEX('C_jama.2018.18020'!$Q$2:$Q$15,MATCH("2018::jama.2018.18020::C010",'C_jama.2018.18020'!$A$2:$A$15,0))="","",INDEX('C_jama.2018.18020'!$Q$2:$Q$15,MATCH("2018::jama.2018.18020::C010",'C_jama.2018.18020'!$A$2:$A$15,0)))</x:f>
      </x:c>
    </x:row>
    <x:row r="92" ht="65" customHeight="1">
      <x:c r="A92" s="6" t="n">
        <x:v>2018</x:v>
      </x:c>
      <x:c r="B92" s="6" t="str">
        <x:v>jama.2018.18020</x:v>
      </x:c>
      <x:c r="C92" s="6" t="str">
        <x:v>2018::jama.2018.18020::C011</x:v>
      </x:c>
      <x:c r="D92" s="6" t="str">
        <x:v>S_W</x:v>
      </x:c>
      <x:c r="E92" s="6" t="n">
        <x:f>Setup!$B$2</x:f>
        <x:v>0</x:v>
      </x:c>
      <x:c r="F92" s="6" t="str">
        <x:f>IF(Setup!$B$4="","",Setup!$B$4)</x:f>
      </x:c>
      <x:c r="G92" s="6" t="str">
        <x:f>IFERROR(INDEX('C_jama.2018.18020'!$G$2:$G$15,MATCH("2018::jama.2018.18020::C011",'C_jama.2018.18020'!$A$2:$A$15,0)),"CHECK KEY")</x:f>
        <x:v>CHECK REVIEWER IDs</x:v>
      </x:c>
      <x:c r="H92" s="6" t="str">
        <x:f>IF(G92&lt;&gt;"FINAL READY","",IF(S92&lt;&gt;"retain","not_eligible",IF(D92="P_R","protocol_descriptive",IF(D92="P_P","plan_descriptive",IF(AND(T92="statistical_results",OR(U92="confirmed_issue",U92="probable_issue"),V92="substantive"),"primary_temporal",IF(AND(T92="report_internal_inconsistency",X92="substantive_inconsistency"),"secondary_temporal","not_eligible"))))))</x:f>
      </x:c>
      <x:c r="I92" s="6" t="str">
        <x:v>retain</x:v>
      </x:c>
      <x:c r="J92" s="6" t="str">
        <x:v>statistical_results</x:v>
      </x:c>
      <x:c r="K92" s="6" t="str">
        <x:f>IF(Setup!$B$6="primary","",IFERROR(IF(INDEX('Primary_snapshot'!$B$2:$B$120,MATCH(C92,'Primary_snapshot'!$A$2:$A$120,0))="","",INDEX('Primary_snapshot'!$B$2:$B$120,MATCH(C92,'Primary_snapshot'!$A$2:$A$120,0))),"SNAPSHOT MISSING"))</x:f>
      </x:c>
      <x:c r="L92" s="6" t="str">
        <x:f>IF(Setup!$B$6="primary","",IFERROR(IF(INDEX('Primary_snapshot'!$C$2:$C$120,MATCH(C92,'Primary_snapshot'!$A$2:$A$120,0))="","",INDEX('Primary_snapshot'!$C$2:$C$120,MATCH(C92,'Primary_snapshot'!$A$2:$A$120,0))),"SNAPSHOT MISSING"))</x:f>
      </x:c>
      <x:c r="M92" s="6" t="str">
        <x:f>IF(Setup!$B$6="primary","",IFERROR(IF(INDEX('Primary_snapshot'!$D$2:$D$120,MATCH(C92,'Primary_snapshot'!$A$2:$A$120,0))="","",INDEX('Primary_snapshot'!$D$2:$D$120,MATCH(C92,'Primary_snapshot'!$A$2:$A$120,0))),"SNAPSHOT MISSING"))</x:f>
      </x:c>
      <x:c r="N92" s="6" t="str">
        <x:f>IF(Setup!$B$6="primary","",IFERROR(IF(INDEX('Primary_snapshot'!$E$2:$E$120,MATCH(C92,'Primary_snapshot'!$A$2:$A$120,0))="","",INDEX('Primary_snapshot'!$E$2:$E$120,MATCH(C92,'Primary_snapshot'!$A$2:$A$120,0))),"SNAPSHOT MISSING"))</x:f>
      </x:c>
      <x:c r="O92" s="6" t="str">
        <x:f>IF(Setup!$B$6="primary","",IFERROR(IF(INDEX('Primary_snapshot'!$F$2:$F$120,MATCH(C92,'Primary_snapshot'!$A$2:$A$120,0))="","",INDEX('Primary_snapshot'!$F$2:$F$120,MATCH(C92,'Primary_snapshot'!$A$2:$A$120,0))),"SNAPSHOT MISSING"))</x:f>
      </x:c>
      <x:c r="P92" s="6" t="str">
        <x:f>IF(Setup!$B$6="primary","",IFERROR(IF(INDEX('Primary_snapshot'!$G$2:$G$120,MATCH(C92,'Primary_snapshot'!$A$2:$A$120,0))="","",INDEX('Primary_snapshot'!$G$2:$G$120,MATCH(C92,'Primary_snapshot'!$A$2:$A$120,0))),"SNAPSHOT MISSING"))</x:f>
      </x:c>
      <x:c r="Q92" s="6" t="str">
        <x:f>IF(Setup!$B$6="primary","",IFERROR(IF(INDEX('Primary_snapshot'!$H$2:$H$120,MATCH(C92,'Primary_snapshot'!$A$2:$A$120,0))="","",INDEX('Primary_snapshot'!$H$2:$H$120,MATCH(C92,'Primary_snapshot'!$A$2:$A$120,0))),"SNAPSHOT MISSING"))</x:f>
      </x:c>
      <x:c r="R92" s="6" t="str">
        <x:f>IF(Setup!$B$6="primary","",IFERROR(IF(INDEX('Primary_snapshot'!$I$2:$I$120,MATCH(C92,'Primary_snapshot'!$A$2:$A$120,0))="","",INDEX('Primary_snapshot'!$I$2:$I$120,MATCH(C92,'Primary_snapshot'!$A$2:$A$120,0))),"SNAPSHOT MISSING"))</x:f>
      </x:c>
      <x:c r="S92" s="6" t="str">
        <x:f>IF(INDEX('C_jama.2018.18020'!$D$2:$D$15,MATCH("2018::jama.2018.18020::C011",'C_jama.2018.18020'!$A$2:$A$15,0))="","",INDEX('C_jama.2018.18020'!$D$2:$D$15,MATCH("2018::jama.2018.18020::C011",'C_jama.2018.18020'!$A$2:$A$15,0)))</x:f>
      </x:c>
      <x:c r="T92" s="6" t="str">
        <x:f>IF(INDEX('C_jama.2018.18020'!$E$2:$E$15,MATCH("2018::jama.2018.18020::C011",'C_jama.2018.18020'!$A$2:$A$15,0))="","",INDEX('C_jama.2018.18020'!$E$2:$E$15,MATCH("2018::jama.2018.18020::C011",'C_jama.2018.18020'!$A$2:$A$15,0)))</x:f>
        <x:v>statistical_results</x:v>
      </x:c>
      <x:c r="U92" s="6" t="str">
        <x:f>IF(AND(INDEX('C_jama.2018.18020'!$D$2:$D$15,MATCH("2018::jama.2018.18020::C011",'C_jama.2018.18020'!$A$2:$A$15,0))="retain",INDEX('C_jama.2018.18020'!$E$2:$E$15,MATCH("2018::jama.2018.18020::C011",'C_jama.2018.18020'!$A$2:$A$15,0))="statistical_results"),IF(INDEX('C_jama.2018.18020'!$H$2:$H$15,MATCH("2018::jama.2018.18020::C011",'C_jama.2018.18020'!$A$2:$A$15,0))="","",INDEX('C_jama.2018.18020'!$H$2:$H$15,MATCH("2018::jama.2018.18020::C011",'C_jama.2018.18020'!$A$2:$A$15,0))),"not_applicable")</x:f>
        <x:v>not_applicable</x:v>
      </x:c>
      <x:c r="V92" s="6" t="str">
        <x:f>IF(AND(INDEX('C_jama.2018.18020'!$D$2:$D$15,MATCH("2018::jama.2018.18020::C011",'C_jama.2018.18020'!$A$2:$A$15,0))="retain",INDEX('C_jama.2018.18020'!$E$2:$E$15,MATCH("2018::jama.2018.18020::C011",'C_jama.2018.18020'!$A$2:$A$15,0))="statistical_results"),IF(INDEX('C_jama.2018.18020'!$I$2:$I$15,MATCH("2018::jama.2018.18020::C011",'C_jama.2018.18020'!$A$2:$A$15,0))="","",INDEX('C_jama.2018.18020'!$I$2:$I$15,MATCH("2018::jama.2018.18020::C011",'C_jama.2018.18020'!$A$2:$A$15,0))),"not_applicable")</x:f>
        <x:v>not_applicable</x:v>
      </x:c>
      <x:c r="W92" s="6" t="str">
        <x:f>IF(AND(INDEX('C_jama.2018.18020'!$D$2:$D$15,MATCH("2018::jama.2018.18020::C011",'C_jama.2018.18020'!$A$2:$A$15,0))="retain",INDEX('C_jama.2018.18020'!$E$2:$E$15,MATCH("2018::jama.2018.18020::C011",'C_jama.2018.18020'!$A$2:$A$15,0))="statistical_results"),IF(INDEX('C_jama.2018.18020'!$J$2:$J$15,MATCH("2018::jama.2018.18020::C011",'C_jama.2018.18020'!$A$2:$A$15,0))="","",INDEX('C_jama.2018.18020'!$J$2:$J$15,MATCH("2018::jama.2018.18020::C011",'C_jama.2018.18020'!$A$2:$A$15,0))),"not_applicable")</x:f>
        <x:v>not_applicable</x:v>
      </x:c>
      <x:c r="X92" s="6" t="str">
        <x:f>IF(AND(INDEX('C_jama.2018.18020'!$D$2:$D$15,MATCH("2018::jama.2018.18020::C011",'C_jama.2018.18020'!$A$2:$A$15,0))="retain",OR(INDEX('C_jama.2018.18020'!$E$2:$E$15,MATCH("2018::jama.2018.18020::C011",'C_jama.2018.18020'!$A$2:$A$15,0))="report_internal_inconsistency",INDEX('C_jama.2018.18020'!$E$2:$E$15,MATCH("2018::jama.2018.18020::C011",'C_jama.2018.18020'!$A$2:$A$15,0))="plan_material")),IF(INDEX('C_jama.2018.18020'!$K$2:$K$15,MATCH("2018::jama.2018.18020::C011",'C_jama.2018.18020'!$A$2:$A$15,0))="","",INDEX('C_jama.2018.18020'!$K$2:$K$15,MATCH("2018::jama.2018.18020::C011",'C_jama.2018.18020'!$A$2:$A$15,0))),"not_applicable")</x:f>
        <x:v>not_applicable</x:v>
      </x:c>
      <x:c r="Y92" s="6" t="str">
        <x:f>IF(AND(INDEX('C_jama.2018.18020'!$D$2:$D$15,MATCH("2018::jama.2018.18020::C011",'C_jama.2018.18020'!$A$2:$A$15,0))="retain",INDEX('C_jama.2018.18020'!$E$2:$E$15,MATCH("2018::jama.2018.18020::C011",'C_jama.2018.18020'!$A$2:$A$15,0))="protocol_report"),IF(INDEX('C_jama.2018.18020'!$L$2:$L$15,MATCH("2018::jama.2018.18020::C011",'C_jama.2018.18020'!$A$2:$A$15,0))="","",INDEX('C_jama.2018.18020'!$L$2:$L$15,MATCH("2018::jama.2018.18020::C011",'C_jama.2018.18020'!$A$2:$A$15,0))),"not_applicable")</x:f>
        <x:v>not_applicable</x:v>
      </x:c>
      <x:c r="Z92" s="6" t="str">
        <x:f>IF(INDEX('C_jama.2018.18020'!$R$2:$R$15,MATCH("2018::jama.2018.18020::C011",'C_jama.2018.18020'!$A$2:$A$15,0))="","",INDEX('C_jama.2018.18020'!$R$2:$R$15,MATCH("2018::jama.2018.18020::C011",'C_jama.2018.18020'!$A$2:$A$15,0)))</x:f>
      </x:c>
      <x:c r="AA92" s="6" t="str">
        <x:f>IF(INDEX('C_jama.2018.18020'!$N$2:$N$15,MATCH("2018::jama.2018.18020::C011",'C_jama.2018.18020'!$A$2:$A$15,0))="","",INDEX('C_jama.2018.18020'!$N$2:$N$15,MATCH("2018::jama.2018.18020::C011",'C_jama.2018.18020'!$A$2:$A$15,0)))</x:f>
      </x:c>
      <x:c r="AB92" s="6" t="str">
        <x:f>IF(INDEX('C_jama.2018.18020'!$O$2:$O$15,MATCH("2018::jama.2018.18020::C011",'C_jama.2018.18020'!$A$2:$A$15,0))="","",INDEX('C_jama.2018.18020'!$O$2:$O$15,MATCH("2018::jama.2018.18020::C011",'C_jama.2018.18020'!$A$2:$A$15,0)))</x:f>
      </x:c>
      <x:c r="AC92" s="6" t="str">
        <x:f>IF(INDEX('C_jama.2018.18020'!$P$2:$P$15,MATCH("2018::jama.2018.18020::C011",'C_jama.2018.18020'!$A$2:$A$15,0))="","",INDEX('C_jama.2018.18020'!$P$2:$P$15,MATCH("2018::jama.2018.18020::C011",'C_jama.2018.18020'!$A$2:$A$15,0)))</x:f>
      </x:c>
      <x:c r="AD92" s="6" t="str">
        <x:f>IF(INDEX('C_jama.2018.18020'!$Q$2:$Q$15,MATCH("2018::jama.2018.18020::C011",'C_jama.2018.18020'!$A$2:$A$15,0))="","",INDEX('C_jama.2018.18020'!$Q$2:$Q$15,MATCH("2018::jama.2018.18020::C011",'C_jama.2018.18020'!$A$2:$A$15,0)))</x:f>
      </x:c>
    </x:row>
    <x:row r="93" ht="65" customHeight="1">
      <x:c r="A93" s="3" t="n">
        <x:v>2018</x:v>
      </x:c>
      <x:c r="B93" s="3" t="str">
        <x:v>jama.2018.18020</x:v>
      </x:c>
      <x:c r="C93" s="3" t="str">
        <x:v>2018::jama.2018.18020::C012</x:v>
      </x:c>
      <x:c r="D93" s="3" t="str">
        <x:v>S_W</x:v>
      </x:c>
      <x:c r="E93" s="3" t="n">
        <x:f>Setup!$B$2</x:f>
        <x:v>0</x:v>
      </x:c>
      <x:c r="F93" s="3" t="str">
        <x:f>IF(Setup!$B$4="","",Setup!$B$4)</x:f>
      </x:c>
      <x:c r="G93" s="3" t="str">
        <x:f>IFERROR(INDEX('C_jama.2018.18020'!$G$2:$G$15,MATCH("2018::jama.2018.18020::C012",'C_jama.2018.18020'!$A$2:$A$15,0)),"CHECK KEY")</x:f>
        <x:v>CHECK REVIEWER IDs</x:v>
      </x:c>
      <x:c r="H93" s="3" t="str">
        <x:f>IF(G93&lt;&gt;"FINAL READY","",IF(S93&lt;&gt;"retain","not_eligible",IF(D93="P_R","protocol_descriptive",IF(D93="P_P","plan_descriptive",IF(AND(T93="statistical_results",OR(U93="confirmed_issue",U93="probable_issue"),V93="substantive"),"primary_temporal",IF(AND(T93="report_internal_inconsistency",X93="substantive_inconsistency"),"secondary_temporal","not_eligible"))))))</x:f>
      </x:c>
      <x:c r="I93" s="3" t="str">
        <x:v>retain</x:v>
      </x:c>
      <x:c r="J93" s="3" t="str">
        <x:v>statistical_results</x:v>
      </x:c>
      <x:c r="K93" s="3" t="str">
        <x:f>IF(Setup!$B$6="primary","",IFERROR(IF(INDEX('Primary_snapshot'!$B$2:$B$120,MATCH(C93,'Primary_snapshot'!$A$2:$A$120,0))="","",INDEX('Primary_snapshot'!$B$2:$B$120,MATCH(C93,'Primary_snapshot'!$A$2:$A$120,0))),"SNAPSHOT MISSING"))</x:f>
      </x:c>
      <x:c r="L93" s="3" t="str">
        <x:f>IF(Setup!$B$6="primary","",IFERROR(IF(INDEX('Primary_snapshot'!$C$2:$C$120,MATCH(C93,'Primary_snapshot'!$A$2:$A$120,0))="","",INDEX('Primary_snapshot'!$C$2:$C$120,MATCH(C93,'Primary_snapshot'!$A$2:$A$120,0))),"SNAPSHOT MISSING"))</x:f>
      </x:c>
      <x:c r="M93" s="3" t="str">
        <x:f>IF(Setup!$B$6="primary","",IFERROR(IF(INDEX('Primary_snapshot'!$D$2:$D$120,MATCH(C93,'Primary_snapshot'!$A$2:$A$120,0))="","",INDEX('Primary_snapshot'!$D$2:$D$120,MATCH(C93,'Primary_snapshot'!$A$2:$A$120,0))),"SNAPSHOT MISSING"))</x:f>
      </x:c>
      <x:c r="N93" s="3" t="str">
        <x:f>IF(Setup!$B$6="primary","",IFERROR(IF(INDEX('Primary_snapshot'!$E$2:$E$120,MATCH(C93,'Primary_snapshot'!$A$2:$A$120,0))="","",INDEX('Primary_snapshot'!$E$2:$E$120,MATCH(C93,'Primary_snapshot'!$A$2:$A$120,0))),"SNAPSHOT MISSING"))</x:f>
      </x:c>
      <x:c r="O93" s="3" t="str">
        <x:f>IF(Setup!$B$6="primary","",IFERROR(IF(INDEX('Primary_snapshot'!$F$2:$F$120,MATCH(C93,'Primary_snapshot'!$A$2:$A$120,0))="","",INDEX('Primary_snapshot'!$F$2:$F$120,MATCH(C93,'Primary_snapshot'!$A$2:$A$120,0))),"SNAPSHOT MISSING"))</x:f>
      </x:c>
      <x:c r="P93" s="3" t="str">
        <x:f>IF(Setup!$B$6="primary","",IFERROR(IF(INDEX('Primary_snapshot'!$G$2:$G$120,MATCH(C93,'Primary_snapshot'!$A$2:$A$120,0))="","",INDEX('Primary_snapshot'!$G$2:$G$120,MATCH(C93,'Primary_snapshot'!$A$2:$A$120,0))),"SNAPSHOT MISSING"))</x:f>
      </x:c>
      <x:c r="Q93" s="3" t="str">
        <x:f>IF(Setup!$B$6="primary","",IFERROR(IF(INDEX('Primary_snapshot'!$H$2:$H$120,MATCH(C93,'Primary_snapshot'!$A$2:$A$120,0))="","",INDEX('Primary_snapshot'!$H$2:$H$120,MATCH(C93,'Primary_snapshot'!$A$2:$A$120,0))),"SNAPSHOT MISSING"))</x:f>
      </x:c>
      <x:c r="R93" s="3" t="str">
        <x:f>IF(Setup!$B$6="primary","",IFERROR(IF(INDEX('Primary_snapshot'!$I$2:$I$120,MATCH(C93,'Primary_snapshot'!$A$2:$A$120,0))="","",INDEX('Primary_snapshot'!$I$2:$I$120,MATCH(C93,'Primary_snapshot'!$A$2:$A$120,0))),"SNAPSHOT MISSING"))</x:f>
      </x:c>
      <x:c r="S93" s="3" t="str">
        <x:f>IF(INDEX('C_jama.2018.18020'!$D$2:$D$15,MATCH("2018::jama.2018.18020::C012",'C_jama.2018.18020'!$A$2:$A$15,0))="","",INDEX('C_jama.2018.18020'!$D$2:$D$15,MATCH("2018::jama.2018.18020::C012",'C_jama.2018.18020'!$A$2:$A$15,0)))</x:f>
      </x:c>
      <x:c r="T93" s="3" t="str">
        <x:f>IF(INDEX('C_jama.2018.18020'!$E$2:$E$15,MATCH("2018::jama.2018.18020::C012",'C_jama.2018.18020'!$A$2:$A$15,0))="","",INDEX('C_jama.2018.18020'!$E$2:$E$15,MATCH("2018::jama.2018.18020::C012",'C_jama.2018.18020'!$A$2:$A$15,0)))</x:f>
        <x:v>statistical_results</x:v>
      </x:c>
      <x:c r="U93" s="3" t="str">
        <x:f>IF(AND(INDEX('C_jama.2018.18020'!$D$2:$D$15,MATCH("2018::jama.2018.18020::C012",'C_jama.2018.18020'!$A$2:$A$15,0))="retain",INDEX('C_jama.2018.18020'!$E$2:$E$15,MATCH("2018::jama.2018.18020::C012",'C_jama.2018.18020'!$A$2:$A$15,0))="statistical_results"),IF(INDEX('C_jama.2018.18020'!$H$2:$H$15,MATCH("2018::jama.2018.18020::C012",'C_jama.2018.18020'!$A$2:$A$15,0))="","",INDEX('C_jama.2018.18020'!$H$2:$H$15,MATCH("2018::jama.2018.18020::C012",'C_jama.2018.18020'!$A$2:$A$15,0))),"not_applicable")</x:f>
        <x:v>not_applicable</x:v>
      </x:c>
      <x:c r="V93" s="3" t="str">
        <x:f>IF(AND(INDEX('C_jama.2018.18020'!$D$2:$D$15,MATCH("2018::jama.2018.18020::C012",'C_jama.2018.18020'!$A$2:$A$15,0))="retain",INDEX('C_jama.2018.18020'!$E$2:$E$15,MATCH("2018::jama.2018.18020::C012",'C_jama.2018.18020'!$A$2:$A$15,0))="statistical_results"),IF(INDEX('C_jama.2018.18020'!$I$2:$I$15,MATCH("2018::jama.2018.18020::C012",'C_jama.2018.18020'!$A$2:$A$15,0))="","",INDEX('C_jama.2018.18020'!$I$2:$I$15,MATCH("2018::jama.2018.18020::C012",'C_jama.2018.18020'!$A$2:$A$15,0))),"not_applicable")</x:f>
        <x:v>not_applicable</x:v>
      </x:c>
      <x:c r="W93" s="3" t="str">
        <x:f>IF(AND(INDEX('C_jama.2018.18020'!$D$2:$D$15,MATCH("2018::jama.2018.18020::C012",'C_jama.2018.18020'!$A$2:$A$15,0))="retain",INDEX('C_jama.2018.18020'!$E$2:$E$15,MATCH("2018::jama.2018.18020::C012",'C_jama.2018.18020'!$A$2:$A$15,0))="statistical_results"),IF(INDEX('C_jama.2018.18020'!$J$2:$J$15,MATCH("2018::jama.2018.18020::C012",'C_jama.2018.18020'!$A$2:$A$15,0))="","",INDEX('C_jama.2018.18020'!$J$2:$J$15,MATCH("2018::jama.2018.18020::C012",'C_jama.2018.18020'!$A$2:$A$15,0))),"not_applicable")</x:f>
        <x:v>not_applicable</x:v>
      </x:c>
      <x:c r="X93" s="3" t="str">
        <x:f>IF(AND(INDEX('C_jama.2018.18020'!$D$2:$D$15,MATCH("2018::jama.2018.18020::C012",'C_jama.2018.18020'!$A$2:$A$15,0))="retain",OR(INDEX('C_jama.2018.18020'!$E$2:$E$15,MATCH("2018::jama.2018.18020::C012",'C_jama.2018.18020'!$A$2:$A$15,0))="report_internal_inconsistency",INDEX('C_jama.2018.18020'!$E$2:$E$15,MATCH("2018::jama.2018.18020::C012",'C_jama.2018.18020'!$A$2:$A$15,0))="plan_material")),IF(INDEX('C_jama.2018.18020'!$K$2:$K$15,MATCH("2018::jama.2018.18020::C012",'C_jama.2018.18020'!$A$2:$A$15,0))="","",INDEX('C_jama.2018.18020'!$K$2:$K$15,MATCH("2018::jama.2018.18020::C012",'C_jama.2018.18020'!$A$2:$A$15,0))),"not_applicable")</x:f>
        <x:v>not_applicable</x:v>
      </x:c>
      <x:c r="Y93" s="3" t="str">
        <x:f>IF(AND(INDEX('C_jama.2018.18020'!$D$2:$D$15,MATCH("2018::jama.2018.18020::C012",'C_jama.2018.18020'!$A$2:$A$15,0))="retain",INDEX('C_jama.2018.18020'!$E$2:$E$15,MATCH("2018::jama.2018.18020::C012",'C_jama.2018.18020'!$A$2:$A$15,0))="protocol_report"),IF(INDEX('C_jama.2018.18020'!$L$2:$L$15,MATCH("2018::jama.2018.18020::C012",'C_jama.2018.18020'!$A$2:$A$15,0))="","",INDEX('C_jama.2018.18020'!$L$2:$L$15,MATCH("2018::jama.2018.18020::C012",'C_jama.2018.18020'!$A$2:$A$15,0))),"not_applicable")</x:f>
        <x:v>not_applicable</x:v>
      </x:c>
      <x:c r="Z93" s="3" t="str">
        <x:f>IF(INDEX('C_jama.2018.18020'!$R$2:$R$15,MATCH("2018::jama.2018.18020::C012",'C_jama.2018.18020'!$A$2:$A$15,0))="","",INDEX('C_jama.2018.18020'!$R$2:$R$15,MATCH("2018::jama.2018.18020::C012",'C_jama.2018.18020'!$A$2:$A$15,0)))</x:f>
      </x:c>
      <x:c r="AA93" s="3" t="str">
        <x:f>IF(INDEX('C_jama.2018.18020'!$N$2:$N$15,MATCH("2018::jama.2018.18020::C012",'C_jama.2018.18020'!$A$2:$A$15,0))="","",INDEX('C_jama.2018.18020'!$N$2:$N$15,MATCH("2018::jama.2018.18020::C012",'C_jama.2018.18020'!$A$2:$A$15,0)))</x:f>
      </x:c>
      <x:c r="AB93" s="3" t="str">
        <x:f>IF(INDEX('C_jama.2018.18020'!$O$2:$O$15,MATCH("2018::jama.2018.18020::C012",'C_jama.2018.18020'!$A$2:$A$15,0))="","",INDEX('C_jama.2018.18020'!$O$2:$O$15,MATCH("2018::jama.2018.18020::C012",'C_jama.2018.18020'!$A$2:$A$15,0)))</x:f>
      </x:c>
      <x:c r="AC93" s="3" t="str">
        <x:f>IF(INDEX('C_jama.2018.18020'!$P$2:$P$15,MATCH("2018::jama.2018.18020::C012",'C_jama.2018.18020'!$A$2:$A$15,0))="","",INDEX('C_jama.2018.18020'!$P$2:$P$15,MATCH("2018::jama.2018.18020::C012",'C_jama.2018.18020'!$A$2:$A$15,0)))</x:f>
      </x:c>
      <x:c r="AD93" s="3" t="str">
        <x:f>IF(INDEX('C_jama.2018.18020'!$Q$2:$Q$15,MATCH("2018::jama.2018.18020::C012",'C_jama.2018.18020'!$A$2:$A$15,0))="","",INDEX('C_jama.2018.18020'!$Q$2:$Q$15,MATCH("2018::jama.2018.18020::C012",'C_jama.2018.18020'!$A$2:$A$15,0)))</x:f>
      </x:c>
    </x:row>
    <x:row r="94" ht="65" customHeight="1">
      <x:c r="A94" s="6" t="n">
        <x:v>2018</x:v>
      </x:c>
      <x:c r="B94" s="6" t="str">
        <x:v>jama.2018.18020</x:v>
      </x:c>
      <x:c r="C94" s="6" t="str">
        <x:v>2018::jama.2018.18020::C013</x:v>
      </x:c>
      <x:c r="D94" s="6" t="str">
        <x:v>S_W</x:v>
      </x:c>
      <x:c r="E94" s="6" t="n">
        <x:f>Setup!$B$2</x:f>
        <x:v>0</x:v>
      </x:c>
      <x:c r="F94" s="6" t="str">
        <x:f>IF(Setup!$B$4="","",Setup!$B$4)</x:f>
      </x:c>
      <x:c r="G94" s="6" t="str">
        <x:f>IFERROR(INDEX('C_jama.2018.18020'!$G$2:$G$15,MATCH("2018::jama.2018.18020::C013",'C_jama.2018.18020'!$A$2:$A$15,0)),"CHECK KEY")</x:f>
        <x:v>CHECK REVIEWER IDs</x:v>
      </x:c>
      <x:c r="H94" s="6" t="str">
        <x:f>IF(G94&lt;&gt;"FINAL READY","",IF(S94&lt;&gt;"retain","not_eligible",IF(D94="P_R","protocol_descriptive",IF(D94="P_P","plan_descriptive",IF(AND(T94="statistical_results",OR(U94="confirmed_issue",U94="probable_issue"),V94="substantive"),"primary_temporal",IF(AND(T94="report_internal_inconsistency",X94="substantive_inconsistency"),"secondary_temporal","not_eligible"))))))</x:f>
      </x:c>
      <x:c r="I94" s="6" t="str">
        <x:v>retain</x:v>
      </x:c>
      <x:c r="J94" s="6" t="str">
        <x:v>statistical_results</x:v>
      </x:c>
      <x:c r="K94" s="6" t="str">
        <x:f>IF(Setup!$B$6="primary","",IFERROR(IF(INDEX('Primary_snapshot'!$B$2:$B$120,MATCH(C94,'Primary_snapshot'!$A$2:$A$120,0))="","",INDEX('Primary_snapshot'!$B$2:$B$120,MATCH(C94,'Primary_snapshot'!$A$2:$A$120,0))),"SNAPSHOT MISSING"))</x:f>
      </x:c>
      <x:c r="L94" s="6" t="str">
        <x:f>IF(Setup!$B$6="primary","",IFERROR(IF(INDEX('Primary_snapshot'!$C$2:$C$120,MATCH(C94,'Primary_snapshot'!$A$2:$A$120,0))="","",INDEX('Primary_snapshot'!$C$2:$C$120,MATCH(C94,'Primary_snapshot'!$A$2:$A$120,0))),"SNAPSHOT MISSING"))</x:f>
      </x:c>
      <x:c r="M94" s="6" t="str">
        <x:f>IF(Setup!$B$6="primary","",IFERROR(IF(INDEX('Primary_snapshot'!$D$2:$D$120,MATCH(C94,'Primary_snapshot'!$A$2:$A$120,0))="","",INDEX('Primary_snapshot'!$D$2:$D$120,MATCH(C94,'Primary_snapshot'!$A$2:$A$120,0))),"SNAPSHOT MISSING"))</x:f>
      </x:c>
      <x:c r="N94" s="6" t="str">
        <x:f>IF(Setup!$B$6="primary","",IFERROR(IF(INDEX('Primary_snapshot'!$E$2:$E$120,MATCH(C94,'Primary_snapshot'!$A$2:$A$120,0))="","",INDEX('Primary_snapshot'!$E$2:$E$120,MATCH(C94,'Primary_snapshot'!$A$2:$A$120,0))),"SNAPSHOT MISSING"))</x:f>
      </x:c>
      <x:c r="O94" s="6" t="str">
        <x:f>IF(Setup!$B$6="primary","",IFERROR(IF(INDEX('Primary_snapshot'!$F$2:$F$120,MATCH(C94,'Primary_snapshot'!$A$2:$A$120,0))="","",INDEX('Primary_snapshot'!$F$2:$F$120,MATCH(C94,'Primary_snapshot'!$A$2:$A$120,0))),"SNAPSHOT MISSING"))</x:f>
      </x:c>
      <x:c r="P94" s="6" t="str">
        <x:f>IF(Setup!$B$6="primary","",IFERROR(IF(INDEX('Primary_snapshot'!$G$2:$G$120,MATCH(C94,'Primary_snapshot'!$A$2:$A$120,0))="","",INDEX('Primary_snapshot'!$G$2:$G$120,MATCH(C94,'Primary_snapshot'!$A$2:$A$120,0))),"SNAPSHOT MISSING"))</x:f>
      </x:c>
      <x:c r="Q94" s="6" t="str">
        <x:f>IF(Setup!$B$6="primary","",IFERROR(IF(INDEX('Primary_snapshot'!$H$2:$H$120,MATCH(C94,'Primary_snapshot'!$A$2:$A$120,0))="","",INDEX('Primary_snapshot'!$H$2:$H$120,MATCH(C94,'Primary_snapshot'!$A$2:$A$120,0))),"SNAPSHOT MISSING"))</x:f>
      </x:c>
      <x:c r="R94" s="6" t="str">
        <x:f>IF(Setup!$B$6="primary","",IFERROR(IF(INDEX('Primary_snapshot'!$I$2:$I$120,MATCH(C94,'Primary_snapshot'!$A$2:$A$120,0))="","",INDEX('Primary_snapshot'!$I$2:$I$120,MATCH(C94,'Primary_snapshot'!$A$2:$A$120,0))),"SNAPSHOT MISSING"))</x:f>
      </x:c>
      <x:c r="S94" s="6" t="str">
        <x:f>IF(INDEX('C_jama.2018.18020'!$D$2:$D$15,MATCH("2018::jama.2018.18020::C013",'C_jama.2018.18020'!$A$2:$A$15,0))="","",INDEX('C_jama.2018.18020'!$D$2:$D$15,MATCH("2018::jama.2018.18020::C013",'C_jama.2018.18020'!$A$2:$A$15,0)))</x:f>
      </x:c>
      <x:c r="T94" s="6" t="str">
        <x:f>IF(INDEX('C_jama.2018.18020'!$E$2:$E$15,MATCH("2018::jama.2018.18020::C013",'C_jama.2018.18020'!$A$2:$A$15,0))="","",INDEX('C_jama.2018.18020'!$E$2:$E$15,MATCH("2018::jama.2018.18020::C013",'C_jama.2018.18020'!$A$2:$A$15,0)))</x:f>
        <x:v>statistical_results</x:v>
      </x:c>
      <x:c r="U94" s="6" t="str">
        <x:f>IF(AND(INDEX('C_jama.2018.18020'!$D$2:$D$15,MATCH("2018::jama.2018.18020::C013",'C_jama.2018.18020'!$A$2:$A$15,0))="retain",INDEX('C_jama.2018.18020'!$E$2:$E$15,MATCH("2018::jama.2018.18020::C013",'C_jama.2018.18020'!$A$2:$A$15,0))="statistical_results"),IF(INDEX('C_jama.2018.18020'!$H$2:$H$15,MATCH("2018::jama.2018.18020::C013",'C_jama.2018.18020'!$A$2:$A$15,0))="","",INDEX('C_jama.2018.18020'!$H$2:$H$15,MATCH("2018::jama.2018.18020::C013",'C_jama.2018.18020'!$A$2:$A$15,0))),"not_applicable")</x:f>
        <x:v>not_applicable</x:v>
      </x:c>
      <x:c r="V94" s="6" t="str">
        <x:f>IF(AND(INDEX('C_jama.2018.18020'!$D$2:$D$15,MATCH("2018::jama.2018.18020::C013",'C_jama.2018.18020'!$A$2:$A$15,0))="retain",INDEX('C_jama.2018.18020'!$E$2:$E$15,MATCH("2018::jama.2018.18020::C013",'C_jama.2018.18020'!$A$2:$A$15,0))="statistical_results"),IF(INDEX('C_jama.2018.18020'!$I$2:$I$15,MATCH("2018::jama.2018.18020::C013",'C_jama.2018.18020'!$A$2:$A$15,0))="","",INDEX('C_jama.2018.18020'!$I$2:$I$15,MATCH("2018::jama.2018.18020::C013",'C_jama.2018.18020'!$A$2:$A$15,0))),"not_applicable")</x:f>
        <x:v>not_applicable</x:v>
      </x:c>
      <x:c r="W94" s="6" t="str">
        <x:f>IF(AND(INDEX('C_jama.2018.18020'!$D$2:$D$15,MATCH("2018::jama.2018.18020::C013",'C_jama.2018.18020'!$A$2:$A$15,0))="retain",INDEX('C_jama.2018.18020'!$E$2:$E$15,MATCH("2018::jama.2018.18020::C013",'C_jama.2018.18020'!$A$2:$A$15,0))="statistical_results"),IF(INDEX('C_jama.2018.18020'!$J$2:$J$15,MATCH("2018::jama.2018.18020::C013",'C_jama.2018.18020'!$A$2:$A$15,0))="","",INDEX('C_jama.2018.18020'!$J$2:$J$15,MATCH("2018::jama.2018.18020::C013",'C_jama.2018.18020'!$A$2:$A$15,0))),"not_applicable")</x:f>
        <x:v>not_applicable</x:v>
      </x:c>
      <x:c r="X94" s="6" t="str">
        <x:f>IF(AND(INDEX('C_jama.2018.18020'!$D$2:$D$15,MATCH("2018::jama.2018.18020::C013",'C_jama.2018.18020'!$A$2:$A$15,0))="retain",OR(INDEX('C_jama.2018.18020'!$E$2:$E$15,MATCH("2018::jama.2018.18020::C013",'C_jama.2018.18020'!$A$2:$A$15,0))="report_internal_inconsistency",INDEX('C_jama.2018.18020'!$E$2:$E$15,MATCH("2018::jama.2018.18020::C013",'C_jama.2018.18020'!$A$2:$A$15,0))="plan_material")),IF(INDEX('C_jama.2018.18020'!$K$2:$K$15,MATCH("2018::jama.2018.18020::C013",'C_jama.2018.18020'!$A$2:$A$15,0))="","",INDEX('C_jama.2018.18020'!$K$2:$K$15,MATCH("2018::jama.2018.18020::C013",'C_jama.2018.18020'!$A$2:$A$15,0))),"not_applicable")</x:f>
        <x:v>not_applicable</x:v>
      </x:c>
      <x:c r="Y94" s="6" t="str">
        <x:f>IF(AND(INDEX('C_jama.2018.18020'!$D$2:$D$15,MATCH("2018::jama.2018.18020::C013",'C_jama.2018.18020'!$A$2:$A$15,0))="retain",INDEX('C_jama.2018.18020'!$E$2:$E$15,MATCH("2018::jama.2018.18020::C013",'C_jama.2018.18020'!$A$2:$A$15,0))="protocol_report"),IF(INDEX('C_jama.2018.18020'!$L$2:$L$15,MATCH("2018::jama.2018.18020::C013",'C_jama.2018.18020'!$A$2:$A$15,0))="","",INDEX('C_jama.2018.18020'!$L$2:$L$15,MATCH("2018::jama.2018.18020::C013",'C_jama.2018.18020'!$A$2:$A$15,0))),"not_applicable")</x:f>
        <x:v>not_applicable</x:v>
      </x:c>
      <x:c r="Z94" s="6" t="str">
        <x:f>IF(INDEX('C_jama.2018.18020'!$R$2:$R$15,MATCH("2018::jama.2018.18020::C013",'C_jama.2018.18020'!$A$2:$A$15,0))="","",INDEX('C_jama.2018.18020'!$R$2:$R$15,MATCH("2018::jama.2018.18020::C013",'C_jama.2018.18020'!$A$2:$A$15,0)))</x:f>
      </x:c>
      <x:c r="AA94" s="6" t="str">
        <x:f>IF(INDEX('C_jama.2018.18020'!$N$2:$N$15,MATCH("2018::jama.2018.18020::C013",'C_jama.2018.18020'!$A$2:$A$15,0))="","",INDEX('C_jama.2018.18020'!$N$2:$N$15,MATCH("2018::jama.2018.18020::C013",'C_jama.2018.18020'!$A$2:$A$15,0)))</x:f>
      </x:c>
      <x:c r="AB94" s="6" t="str">
        <x:f>IF(INDEX('C_jama.2018.18020'!$O$2:$O$15,MATCH("2018::jama.2018.18020::C013",'C_jama.2018.18020'!$A$2:$A$15,0))="","",INDEX('C_jama.2018.18020'!$O$2:$O$15,MATCH("2018::jama.2018.18020::C013",'C_jama.2018.18020'!$A$2:$A$15,0)))</x:f>
      </x:c>
      <x:c r="AC94" s="6" t="str">
        <x:f>IF(INDEX('C_jama.2018.18020'!$P$2:$P$15,MATCH("2018::jama.2018.18020::C013",'C_jama.2018.18020'!$A$2:$A$15,0))="","",INDEX('C_jama.2018.18020'!$P$2:$P$15,MATCH("2018::jama.2018.18020::C013",'C_jama.2018.18020'!$A$2:$A$15,0)))</x:f>
      </x:c>
      <x:c r="AD94" s="6" t="str">
        <x:f>IF(INDEX('C_jama.2018.18020'!$Q$2:$Q$15,MATCH("2018::jama.2018.18020::C013",'C_jama.2018.18020'!$A$2:$A$15,0))="","",INDEX('C_jama.2018.18020'!$Q$2:$Q$15,MATCH("2018::jama.2018.18020::C013",'C_jama.2018.18020'!$A$2:$A$15,0)))</x:f>
      </x:c>
    </x:row>
    <x:row r="95" ht="65" customHeight="1">
      <x:c r="A95" s="3" t="n">
        <x:v>2018</x:v>
      </x:c>
      <x:c r="B95" s="3" t="str">
        <x:v>jama.2018.18020</x:v>
      </x:c>
      <x:c r="C95" s="3" t="str">
        <x:v>2018::jama.2018.18020::C014</x:v>
      </x:c>
      <x:c r="D95" s="3" t="str">
        <x:v>S_W</x:v>
      </x:c>
      <x:c r="E95" s="3" t="n">
        <x:f>Setup!$B$2</x:f>
        <x:v>0</x:v>
      </x:c>
      <x:c r="F95" s="3" t="str">
        <x:f>IF(Setup!$B$4="","",Setup!$B$4)</x:f>
      </x:c>
      <x:c r="G95" s="3" t="str">
        <x:f>IFERROR(INDEX('C_jama.2018.18020'!$G$2:$G$15,MATCH("2018::jama.2018.18020::C014",'C_jama.2018.18020'!$A$2:$A$15,0)),"CHECK KEY")</x:f>
        <x:v>CHECK REVIEWER IDs</x:v>
      </x:c>
      <x:c r="H95" s="3" t="str">
        <x:f>IF(G95&lt;&gt;"FINAL READY","",IF(S95&lt;&gt;"retain","not_eligible",IF(D95="P_R","protocol_descriptive",IF(D95="P_P","plan_descriptive",IF(AND(T95="statistical_results",OR(U95="confirmed_issue",U95="probable_issue"),V95="substantive"),"primary_temporal",IF(AND(T95="report_internal_inconsistency",X95="substantive_inconsistency"),"secondary_temporal","not_eligible"))))))</x:f>
      </x:c>
      <x:c r="I95" s="3" t="str">
        <x:v>retain</x:v>
      </x:c>
      <x:c r="J95" s="3" t="str">
        <x:v>statistical_results</x:v>
      </x:c>
      <x:c r="K95" s="3" t="str">
        <x:f>IF(Setup!$B$6="primary","",IFERROR(IF(INDEX('Primary_snapshot'!$B$2:$B$120,MATCH(C95,'Primary_snapshot'!$A$2:$A$120,0))="","",INDEX('Primary_snapshot'!$B$2:$B$120,MATCH(C95,'Primary_snapshot'!$A$2:$A$120,0))),"SNAPSHOT MISSING"))</x:f>
      </x:c>
      <x:c r="L95" s="3" t="str">
        <x:f>IF(Setup!$B$6="primary","",IFERROR(IF(INDEX('Primary_snapshot'!$C$2:$C$120,MATCH(C95,'Primary_snapshot'!$A$2:$A$120,0))="","",INDEX('Primary_snapshot'!$C$2:$C$120,MATCH(C95,'Primary_snapshot'!$A$2:$A$120,0))),"SNAPSHOT MISSING"))</x:f>
      </x:c>
      <x:c r="M95" s="3" t="str">
        <x:f>IF(Setup!$B$6="primary","",IFERROR(IF(INDEX('Primary_snapshot'!$D$2:$D$120,MATCH(C95,'Primary_snapshot'!$A$2:$A$120,0))="","",INDEX('Primary_snapshot'!$D$2:$D$120,MATCH(C95,'Primary_snapshot'!$A$2:$A$120,0))),"SNAPSHOT MISSING"))</x:f>
      </x:c>
      <x:c r="N95" s="3" t="str">
        <x:f>IF(Setup!$B$6="primary","",IFERROR(IF(INDEX('Primary_snapshot'!$E$2:$E$120,MATCH(C95,'Primary_snapshot'!$A$2:$A$120,0))="","",INDEX('Primary_snapshot'!$E$2:$E$120,MATCH(C95,'Primary_snapshot'!$A$2:$A$120,0))),"SNAPSHOT MISSING"))</x:f>
      </x:c>
      <x:c r="O95" s="3" t="str">
        <x:f>IF(Setup!$B$6="primary","",IFERROR(IF(INDEX('Primary_snapshot'!$F$2:$F$120,MATCH(C95,'Primary_snapshot'!$A$2:$A$120,0))="","",INDEX('Primary_snapshot'!$F$2:$F$120,MATCH(C95,'Primary_snapshot'!$A$2:$A$120,0))),"SNAPSHOT MISSING"))</x:f>
      </x:c>
      <x:c r="P95" s="3" t="str">
        <x:f>IF(Setup!$B$6="primary","",IFERROR(IF(INDEX('Primary_snapshot'!$G$2:$G$120,MATCH(C95,'Primary_snapshot'!$A$2:$A$120,0))="","",INDEX('Primary_snapshot'!$G$2:$G$120,MATCH(C95,'Primary_snapshot'!$A$2:$A$120,0))),"SNAPSHOT MISSING"))</x:f>
      </x:c>
      <x:c r="Q95" s="3" t="str">
        <x:f>IF(Setup!$B$6="primary","",IFERROR(IF(INDEX('Primary_snapshot'!$H$2:$H$120,MATCH(C95,'Primary_snapshot'!$A$2:$A$120,0))="","",INDEX('Primary_snapshot'!$H$2:$H$120,MATCH(C95,'Primary_snapshot'!$A$2:$A$120,0))),"SNAPSHOT MISSING"))</x:f>
      </x:c>
      <x:c r="R95" s="3" t="str">
        <x:f>IF(Setup!$B$6="primary","",IFERROR(IF(INDEX('Primary_snapshot'!$I$2:$I$120,MATCH(C95,'Primary_snapshot'!$A$2:$A$120,0))="","",INDEX('Primary_snapshot'!$I$2:$I$120,MATCH(C95,'Primary_snapshot'!$A$2:$A$120,0))),"SNAPSHOT MISSING"))</x:f>
      </x:c>
      <x:c r="S95" s="3" t="str">
        <x:f>IF(INDEX('C_jama.2018.18020'!$D$2:$D$15,MATCH("2018::jama.2018.18020::C014",'C_jama.2018.18020'!$A$2:$A$15,0))="","",INDEX('C_jama.2018.18020'!$D$2:$D$15,MATCH("2018::jama.2018.18020::C014",'C_jama.2018.18020'!$A$2:$A$15,0)))</x:f>
      </x:c>
      <x:c r="T95" s="3" t="str">
        <x:f>IF(INDEX('C_jama.2018.18020'!$E$2:$E$15,MATCH("2018::jama.2018.18020::C014",'C_jama.2018.18020'!$A$2:$A$15,0))="","",INDEX('C_jama.2018.18020'!$E$2:$E$15,MATCH("2018::jama.2018.18020::C014",'C_jama.2018.18020'!$A$2:$A$15,0)))</x:f>
        <x:v>statistical_results</x:v>
      </x:c>
      <x:c r="U95" s="3" t="str">
        <x:f>IF(AND(INDEX('C_jama.2018.18020'!$D$2:$D$15,MATCH("2018::jama.2018.18020::C014",'C_jama.2018.18020'!$A$2:$A$15,0))="retain",INDEX('C_jama.2018.18020'!$E$2:$E$15,MATCH("2018::jama.2018.18020::C014",'C_jama.2018.18020'!$A$2:$A$15,0))="statistical_results"),IF(INDEX('C_jama.2018.18020'!$H$2:$H$15,MATCH("2018::jama.2018.18020::C014",'C_jama.2018.18020'!$A$2:$A$15,0))="","",INDEX('C_jama.2018.18020'!$H$2:$H$15,MATCH("2018::jama.2018.18020::C014",'C_jama.2018.18020'!$A$2:$A$15,0))),"not_applicable")</x:f>
        <x:v>not_applicable</x:v>
      </x:c>
      <x:c r="V95" s="3" t="str">
        <x:f>IF(AND(INDEX('C_jama.2018.18020'!$D$2:$D$15,MATCH("2018::jama.2018.18020::C014",'C_jama.2018.18020'!$A$2:$A$15,0))="retain",INDEX('C_jama.2018.18020'!$E$2:$E$15,MATCH("2018::jama.2018.18020::C014",'C_jama.2018.18020'!$A$2:$A$15,0))="statistical_results"),IF(INDEX('C_jama.2018.18020'!$I$2:$I$15,MATCH("2018::jama.2018.18020::C014",'C_jama.2018.18020'!$A$2:$A$15,0))="","",INDEX('C_jama.2018.18020'!$I$2:$I$15,MATCH("2018::jama.2018.18020::C014",'C_jama.2018.18020'!$A$2:$A$15,0))),"not_applicable")</x:f>
        <x:v>not_applicable</x:v>
      </x:c>
      <x:c r="W95" s="3" t="str">
        <x:f>IF(AND(INDEX('C_jama.2018.18020'!$D$2:$D$15,MATCH("2018::jama.2018.18020::C014",'C_jama.2018.18020'!$A$2:$A$15,0))="retain",INDEX('C_jama.2018.18020'!$E$2:$E$15,MATCH("2018::jama.2018.18020::C014",'C_jama.2018.18020'!$A$2:$A$15,0))="statistical_results"),IF(INDEX('C_jama.2018.18020'!$J$2:$J$15,MATCH("2018::jama.2018.18020::C014",'C_jama.2018.18020'!$A$2:$A$15,0))="","",INDEX('C_jama.2018.18020'!$J$2:$J$15,MATCH("2018::jama.2018.18020::C014",'C_jama.2018.18020'!$A$2:$A$15,0))),"not_applicable")</x:f>
        <x:v>not_applicable</x:v>
      </x:c>
      <x:c r="X95" s="3" t="str">
        <x:f>IF(AND(INDEX('C_jama.2018.18020'!$D$2:$D$15,MATCH("2018::jama.2018.18020::C014",'C_jama.2018.18020'!$A$2:$A$15,0))="retain",OR(INDEX('C_jama.2018.18020'!$E$2:$E$15,MATCH("2018::jama.2018.18020::C014",'C_jama.2018.18020'!$A$2:$A$15,0))="report_internal_inconsistency",INDEX('C_jama.2018.18020'!$E$2:$E$15,MATCH("2018::jama.2018.18020::C014",'C_jama.2018.18020'!$A$2:$A$15,0))="plan_material")),IF(INDEX('C_jama.2018.18020'!$K$2:$K$15,MATCH("2018::jama.2018.18020::C014",'C_jama.2018.18020'!$A$2:$A$15,0))="","",INDEX('C_jama.2018.18020'!$K$2:$K$15,MATCH("2018::jama.2018.18020::C014",'C_jama.2018.18020'!$A$2:$A$15,0))),"not_applicable")</x:f>
        <x:v>not_applicable</x:v>
      </x:c>
      <x:c r="Y95" s="3" t="str">
        <x:f>IF(AND(INDEX('C_jama.2018.18020'!$D$2:$D$15,MATCH("2018::jama.2018.18020::C014",'C_jama.2018.18020'!$A$2:$A$15,0))="retain",INDEX('C_jama.2018.18020'!$E$2:$E$15,MATCH("2018::jama.2018.18020::C014",'C_jama.2018.18020'!$A$2:$A$15,0))="protocol_report"),IF(INDEX('C_jama.2018.18020'!$L$2:$L$15,MATCH("2018::jama.2018.18020::C014",'C_jama.2018.18020'!$A$2:$A$15,0))="","",INDEX('C_jama.2018.18020'!$L$2:$L$15,MATCH("2018::jama.2018.18020::C014",'C_jama.2018.18020'!$A$2:$A$15,0))),"not_applicable")</x:f>
        <x:v>not_applicable</x:v>
      </x:c>
      <x:c r="Z95" s="3" t="str">
        <x:f>IF(INDEX('C_jama.2018.18020'!$R$2:$R$15,MATCH("2018::jama.2018.18020::C014",'C_jama.2018.18020'!$A$2:$A$15,0))="","",INDEX('C_jama.2018.18020'!$R$2:$R$15,MATCH("2018::jama.2018.18020::C014",'C_jama.2018.18020'!$A$2:$A$15,0)))</x:f>
      </x:c>
      <x:c r="AA95" s="3" t="str">
        <x:f>IF(INDEX('C_jama.2018.18020'!$N$2:$N$15,MATCH("2018::jama.2018.18020::C014",'C_jama.2018.18020'!$A$2:$A$15,0))="","",INDEX('C_jama.2018.18020'!$N$2:$N$15,MATCH("2018::jama.2018.18020::C014",'C_jama.2018.18020'!$A$2:$A$15,0)))</x:f>
      </x:c>
      <x:c r="AB95" s="3" t="str">
        <x:f>IF(INDEX('C_jama.2018.18020'!$O$2:$O$15,MATCH("2018::jama.2018.18020::C014",'C_jama.2018.18020'!$A$2:$A$15,0))="","",INDEX('C_jama.2018.18020'!$O$2:$O$15,MATCH("2018::jama.2018.18020::C014",'C_jama.2018.18020'!$A$2:$A$15,0)))</x:f>
      </x:c>
      <x:c r="AC95" s="3" t="str">
        <x:f>IF(INDEX('C_jama.2018.18020'!$P$2:$P$15,MATCH("2018::jama.2018.18020::C014",'C_jama.2018.18020'!$A$2:$A$15,0))="","",INDEX('C_jama.2018.18020'!$P$2:$P$15,MATCH("2018::jama.2018.18020::C014",'C_jama.2018.18020'!$A$2:$A$15,0)))</x:f>
      </x:c>
      <x:c r="AD95" s="3" t="str">
        <x:f>IF(INDEX('C_jama.2018.18020'!$Q$2:$Q$15,MATCH("2018::jama.2018.18020::C014",'C_jama.2018.18020'!$A$2:$A$15,0))="","",INDEX('C_jama.2018.18020'!$Q$2:$Q$15,MATCH("2018::jama.2018.18020::C014",'C_jama.2018.18020'!$A$2:$A$15,0)))</x:f>
      </x:c>
    </x:row>
    <x:row r="96" ht="65" customHeight="1">
      <x:c r="A96" s="6" t="n">
        <x:v>2018</x:v>
      </x:c>
      <x:c r="B96" s="6" t="str">
        <x:v>jama.2018.6496</x:v>
      </x:c>
      <x:c r="C96" s="6" t="str">
        <x:v>2018::jama.2018.6496::C001</x:v>
      </x:c>
      <x:c r="D96" s="6" t="str">
        <x:v>S_W</x:v>
      </x:c>
      <x:c r="E96" s="6" t="n">
        <x:f>Setup!$B$2</x:f>
        <x:v>0</x:v>
      </x:c>
      <x:c r="F96" s="6" t="str">
        <x:f>IF(Setup!$B$4="","",Setup!$B$4)</x:f>
      </x:c>
      <x:c r="G96" s="6" t="str">
        <x:f>IFERROR(INDEX('C_jama.2018.6496'!$G$2:$G$5,MATCH("2018::jama.2018.6496::C001",'C_jama.2018.6496'!$A$2:$A$5,0)),"CHECK KEY")</x:f>
        <x:v>CHECK REVIEWER IDs</x:v>
      </x:c>
      <x:c r="H96" s="6" t="str">
        <x:f>IF(G96&lt;&gt;"FINAL READY","",IF(S96&lt;&gt;"retain","not_eligible",IF(D96="P_R","protocol_descriptive",IF(D96="P_P","plan_descriptive",IF(AND(T96="statistical_results",OR(U96="confirmed_issue",U96="probable_issue"),V96="substantive"),"primary_temporal",IF(AND(T96="report_internal_inconsistency",X96="substantive_inconsistency"),"secondary_temporal","not_eligible"))))))</x:f>
      </x:c>
      <x:c r="I96" s="6" t="str">
        <x:v>retain</x:v>
      </x:c>
      <x:c r="J96" s="6" t="str">
        <x:v>statistical_results</x:v>
      </x:c>
      <x:c r="K96" s="6" t="str">
        <x:f>IF(Setup!$B$6="primary","",IFERROR(IF(INDEX('Primary_snapshot'!$B$2:$B$120,MATCH(C96,'Primary_snapshot'!$A$2:$A$120,0))="","",INDEX('Primary_snapshot'!$B$2:$B$120,MATCH(C96,'Primary_snapshot'!$A$2:$A$120,0))),"SNAPSHOT MISSING"))</x:f>
      </x:c>
      <x:c r="L96" s="6" t="str">
        <x:f>IF(Setup!$B$6="primary","",IFERROR(IF(INDEX('Primary_snapshot'!$C$2:$C$120,MATCH(C96,'Primary_snapshot'!$A$2:$A$120,0))="","",INDEX('Primary_snapshot'!$C$2:$C$120,MATCH(C96,'Primary_snapshot'!$A$2:$A$120,0))),"SNAPSHOT MISSING"))</x:f>
      </x:c>
      <x:c r="M96" s="6" t="str">
        <x:f>IF(Setup!$B$6="primary","",IFERROR(IF(INDEX('Primary_snapshot'!$D$2:$D$120,MATCH(C96,'Primary_snapshot'!$A$2:$A$120,0))="","",INDEX('Primary_snapshot'!$D$2:$D$120,MATCH(C96,'Primary_snapshot'!$A$2:$A$120,0))),"SNAPSHOT MISSING"))</x:f>
      </x:c>
      <x:c r="N96" s="6" t="str">
        <x:f>IF(Setup!$B$6="primary","",IFERROR(IF(INDEX('Primary_snapshot'!$E$2:$E$120,MATCH(C96,'Primary_snapshot'!$A$2:$A$120,0))="","",INDEX('Primary_snapshot'!$E$2:$E$120,MATCH(C96,'Primary_snapshot'!$A$2:$A$120,0))),"SNAPSHOT MISSING"))</x:f>
      </x:c>
      <x:c r="O96" s="6" t="str">
        <x:f>IF(Setup!$B$6="primary","",IFERROR(IF(INDEX('Primary_snapshot'!$F$2:$F$120,MATCH(C96,'Primary_snapshot'!$A$2:$A$120,0))="","",INDEX('Primary_snapshot'!$F$2:$F$120,MATCH(C96,'Primary_snapshot'!$A$2:$A$120,0))),"SNAPSHOT MISSING"))</x:f>
      </x:c>
      <x:c r="P96" s="6" t="str">
        <x:f>IF(Setup!$B$6="primary","",IFERROR(IF(INDEX('Primary_snapshot'!$G$2:$G$120,MATCH(C96,'Primary_snapshot'!$A$2:$A$120,0))="","",INDEX('Primary_snapshot'!$G$2:$G$120,MATCH(C96,'Primary_snapshot'!$A$2:$A$120,0))),"SNAPSHOT MISSING"))</x:f>
      </x:c>
      <x:c r="Q96" s="6" t="str">
        <x:f>IF(Setup!$B$6="primary","",IFERROR(IF(INDEX('Primary_snapshot'!$H$2:$H$120,MATCH(C96,'Primary_snapshot'!$A$2:$A$120,0))="","",INDEX('Primary_snapshot'!$H$2:$H$120,MATCH(C96,'Primary_snapshot'!$A$2:$A$120,0))),"SNAPSHOT MISSING"))</x:f>
      </x:c>
      <x:c r="R96" s="6" t="str">
        <x:f>IF(Setup!$B$6="primary","",IFERROR(IF(INDEX('Primary_snapshot'!$I$2:$I$120,MATCH(C96,'Primary_snapshot'!$A$2:$A$120,0))="","",INDEX('Primary_snapshot'!$I$2:$I$120,MATCH(C96,'Primary_snapshot'!$A$2:$A$120,0))),"SNAPSHOT MISSING"))</x:f>
      </x:c>
      <x:c r="S96" s="6" t="str">
        <x:f>IF(INDEX('C_jama.2018.6496'!$D$2:$D$5,MATCH("2018::jama.2018.6496::C001",'C_jama.2018.6496'!$A$2:$A$5,0))="","",INDEX('C_jama.2018.6496'!$D$2:$D$5,MATCH("2018::jama.2018.6496::C001",'C_jama.2018.6496'!$A$2:$A$5,0)))</x:f>
      </x:c>
      <x:c r="T96" s="6" t="str">
        <x:f>IF(INDEX('C_jama.2018.6496'!$E$2:$E$5,MATCH("2018::jama.2018.6496::C001",'C_jama.2018.6496'!$A$2:$A$5,0))="","",INDEX('C_jama.2018.6496'!$E$2:$E$5,MATCH("2018::jama.2018.6496::C001",'C_jama.2018.6496'!$A$2:$A$5,0)))</x:f>
        <x:v>statistical_results</x:v>
      </x:c>
      <x:c r="U96" s="6" t="str">
        <x:f>IF(AND(INDEX('C_jama.2018.6496'!$D$2:$D$5,MATCH("2018::jama.2018.6496::C001",'C_jama.2018.6496'!$A$2:$A$5,0))="retain",INDEX('C_jama.2018.6496'!$E$2:$E$5,MATCH("2018::jama.2018.6496::C001",'C_jama.2018.6496'!$A$2:$A$5,0))="statistical_results"),IF(INDEX('C_jama.2018.6496'!$H$2:$H$5,MATCH("2018::jama.2018.6496::C001",'C_jama.2018.6496'!$A$2:$A$5,0))="","",INDEX('C_jama.2018.6496'!$H$2:$H$5,MATCH("2018::jama.2018.6496::C001",'C_jama.2018.6496'!$A$2:$A$5,0))),"not_applicable")</x:f>
        <x:v>not_applicable</x:v>
      </x:c>
      <x:c r="V96" s="6" t="str">
        <x:f>IF(AND(INDEX('C_jama.2018.6496'!$D$2:$D$5,MATCH("2018::jama.2018.6496::C001",'C_jama.2018.6496'!$A$2:$A$5,0))="retain",INDEX('C_jama.2018.6496'!$E$2:$E$5,MATCH("2018::jama.2018.6496::C001",'C_jama.2018.6496'!$A$2:$A$5,0))="statistical_results"),IF(INDEX('C_jama.2018.6496'!$I$2:$I$5,MATCH("2018::jama.2018.6496::C001",'C_jama.2018.6496'!$A$2:$A$5,0))="","",INDEX('C_jama.2018.6496'!$I$2:$I$5,MATCH("2018::jama.2018.6496::C001",'C_jama.2018.6496'!$A$2:$A$5,0))),"not_applicable")</x:f>
        <x:v>not_applicable</x:v>
      </x:c>
      <x:c r="W96" s="6" t="str">
        <x:f>IF(AND(INDEX('C_jama.2018.6496'!$D$2:$D$5,MATCH("2018::jama.2018.6496::C001",'C_jama.2018.6496'!$A$2:$A$5,0))="retain",INDEX('C_jama.2018.6496'!$E$2:$E$5,MATCH("2018::jama.2018.6496::C001",'C_jama.2018.6496'!$A$2:$A$5,0))="statistical_results"),IF(INDEX('C_jama.2018.6496'!$J$2:$J$5,MATCH("2018::jama.2018.6496::C001",'C_jama.2018.6496'!$A$2:$A$5,0))="","",INDEX('C_jama.2018.6496'!$J$2:$J$5,MATCH("2018::jama.2018.6496::C001",'C_jama.2018.6496'!$A$2:$A$5,0))),"not_applicable")</x:f>
        <x:v>not_applicable</x:v>
      </x:c>
      <x:c r="X96" s="6" t="str">
        <x:f>IF(AND(INDEX('C_jama.2018.6496'!$D$2:$D$5,MATCH("2018::jama.2018.6496::C001",'C_jama.2018.6496'!$A$2:$A$5,0))="retain",OR(INDEX('C_jama.2018.6496'!$E$2:$E$5,MATCH("2018::jama.2018.6496::C001",'C_jama.2018.6496'!$A$2:$A$5,0))="report_internal_inconsistency",INDEX('C_jama.2018.6496'!$E$2:$E$5,MATCH("2018::jama.2018.6496::C001",'C_jama.2018.6496'!$A$2:$A$5,0))="plan_material")),IF(INDEX('C_jama.2018.6496'!$K$2:$K$5,MATCH("2018::jama.2018.6496::C001",'C_jama.2018.6496'!$A$2:$A$5,0))="","",INDEX('C_jama.2018.6496'!$K$2:$K$5,MATCH("2018::jama.2018.6496::C001",'C_jama.2018.6496'!$A$2:$A$5,0))),"not_applicable")</x:f>
        <x:v>not_applicable</x:v>
      </x:c>
      <x:c r="Y96" s="6" t="str">
        <x:f>IF(AND(INDEX('C_jama.2018.6496'!$D$2:$D$5,MATCH("2018::jama.2018.6496::C001",'C_jama.2018.6496'!$A$2:$A$5,0))="retain",INDEX('C_jama.2018.6496'!$E$2:$E$5,MATCH("2018::jama.2018.6496::C001",'C_jama.2018.6496'!$A$2:$A$5,0))="protocol_report"),IF(INDEX('C_jama.2018.6496'!$L$2:$L$5,MATCH("2018::jama.2018.6496::C001",'C_jama.2018.6496'!$A$2:$A$5,0))="","",INDEX('C_jama.2018.6496'!$L$2:$L$5,MATCH("2018::jama.2018.6496::C001",'C_jama.2018.6496'!$A$2:$A$5,0))),"not_applicable")</x:f>
        <x:v>not_applicable</x:v>
      </x:c>
      <x:c r="Z96" s="6" t="str">
        <x:f>IF(INDEX('C_jama.2018.6496'!$R$2:$R$5,MATCH("2018::jama.2018.6496::C001",'C_jama.2018.6496'!$A$2:$A$5,0))="","",INDEX('C_jama.2018.6496'!$R$2:$R$5,MATCH("2018::jama.2018.6496::C001",'C_jama.2018.6496'!$A$2:$A$5,0)))</x:f>
      </x:c>
      <x:c r="AA96" s="6" t="str">
        <x:f>IF(INDEX('C_jama.2018.6496'!$N$2:$N$5,MATCH("2018::jama.2018.6496::C001",'C_jama.2018.6496'!$A$2:$A$5,0))="","",INDEX('C_jama.2018.6496'!$N$2:$N$5,MATCH("2018::jama.2018.6496::C001",'C_jama.2018.6496'!$A$2:$A$5,0)))</x:f>
      </x:c>
      <x:c r="AB96" s="6" t="str">
        <x:f>IF(INDEX('C_jama.2018.6496'!$O$2:$O$5,MATCH("2018::jama.2018.6496::C001",'C_jama.2018.6496'!$A$2:$A$5,0))="","",INDEX('C_jama.2018.6496'!$O$2:$O$5,MATCH("2018::jama.2018.6496::C001",'C_jama.2018.6496'!$A$2:$A$5,0)))</x:f>
      </x:c>
      <x:c r="AC96" s="6" t="str">
        <x:f>IF(INDEX('C_jama.2018.6496'!$P$2:$P$5,MATCH("2018::jama.2018.6496::C001",'C_jama.2018.6496'!$A$2:$A$5,0))="","",INDEX('C_jama.2018.6496'!$P$2:$P$5,MATCH("2018::jama.2018.6496::C001",'C_jama.2018.6496'!$A$2:$A$5,0)))</x:f>
      </x:c>
      <x:c r="AD96" s="6" t="str">
        <x:f>IF(INDEX('C_jama.2018.6496'!$Q$2:$Q$5,MATCH("2018::jama.2018.6496::C001",'C_jama.2018.6496'!$A$2:$A$5,0))="","",INDEX('C_jama.2018.6496'!$Q$2:$Q$5,MATCH("2018::jama.2018.6496::C001",'C_jama.2018.6496'!$A$2:$A$5,0)))</x:f>
      </x:c>
    </x:row>
    <x:row r="97" ht="65" customHeight="1">
      <x:c r="A97" s="3" t="n">
        <x:v>2018</x:v>
      </x:c>
      <x:c r="B97" s="3" t="str">
        <x:v>jama.2018.6496</x:v>
      </x:c>
      <x:c r="C97" s="3" t="str">
        <x:v>2018::jama.2018.6496::C002</x:v>
      </x:c>
      <x:c r="D97" s="3" t="str">
        <x:v>S_W</x:v>
      </x:c>
      <x:c r="E97" s="3" t="n">
        <x:f>Setup!$B$2</x:f>
        <x:v>0</x:v>
      </x:c>
      <x:c r="F97" s="3" t="str">
        <x:f>IF(Setup!$B$4="","",Setup!$B$4)</x:f>
      </x:c>
      <x:c r="G97" s="3" t="str">
        <x:f>IFERROR(INDEX('C_jama.2018.6496'!$G$2:$G$5,MATCH("2018::jama.2018.6496::C002",'C_jama.2018.6496'!$A$2:$A$5,0)),"CHECK KEY")</x:f>
        <x:v>CHECK REVIEWER IDs</x:v>
      </x:c>
      <x:c r="H97" s="3" t="str">
        <x:f>IF(G97&lt;&gt;"FINAL READY","",IF(S97&lt;&gt;"retain","not_eligible",IF(D97="P_R","protocol_descriptive",IF(D97="P_P","plan_descriptive",IF(AND(T97="statistical_results",OR(U97="confirmed_issue",U97="probable_issue"),V97="substantive"),"primary_temporal",IF(AND(T97="report_internal_inconsistency",X97="substantive_inconsistency"),"secondary_temporal","not_eligible"))))))</x:f>
      </x:c>
      <x:c r="I97" s="3" t="str">
        <x:v>retain</x:v>
      </x:c>
      <x:c r="J97" s="3" t="str">
        <x:v>statistical_results</x:v>
      </x:c>
      <x:c r="K97" s="3" t="str">
        <x:f>IF(Setup!$B$6="primary","",IFERROR(IF(INDEX('Primary_snapshot'!$B$2:$B$120,MATCH(C97,'Primary_snapshot'!$A$2:$A$120,0))="","",INDEX('Primary_snapshot'!$B$2:$B$120,MATCH(C97,'Primary_snapshot'!$A$2:$A$120,0))),"SNAPSHOT MISSING"))</x:f>
      </x:c>
      <x:c r="L97" s="3" t="str">
        <x:f>IF(Setup!$B$6="primary","",IFERROR(IF(INDEX('Primary_snapshot'!$C$2:$C$120,MATCH(C97,'Primary_snapshot'!$A$2:$A$120,0))="","",INDEX('Primary_snapshot'!$C$2:$C$120,MATCH(C97,'Primary_snapshot'!$A$2:$A$120,0))),"SNAPSHOT MISSING"))</x:f>
      </x:c>
      <x:c r="M97" s="3" t="str">
        <x:f>IF(Setup!$B$6="primary","",IFERROR(IF(INDEX('Primary_snapshot'!$D$2:$D$120,MATCH(C97,'Primary_snapshot'!$A$2:$A$120,0))="","",INDEX('Primary_snapshot'!$D$2:$D$120,MATCH(C97,'Primary_snapshot'!$A$2:$A$120,0))),"SNAPSHOT MISSING"))</x:f>
      </x:c>
      <x:c r="N97" s="3" t="str">
        <x:f>IF(Setup!$B$6="primary","",IFERROR(IF(INDEX('Primary_snapshot'!$E$2:$E$120,MATCH(C97,'Primary_snapshot'!$A$2:$A$120,0))="","",INDEX('Primary_snapshot'!$E$2:$E$120,MATCH(C97,'Primary_snapshot'!$A$2:$A$120,0))),"SNAPSHOT MISSING"))</x:f>
      </x:c>
      <x:c r="O97" s="3" t="str">
        <x:f>IF(Setup!$B$6="primary","",IFERROR(IF(INDEX('Primary_snapshot'!$F$2:$F$120,MATCH(C97,'Primary_snapshot'!$A$2:$A$120,0))="","",INDEX('Primary_snapshot'!$F$2:$F$120,MATCH(C97,'Primary_snapshot'!$A$2:$A$120,0))),"SNAPSHOT MISSING"))</x:f>
      </x:c>
      <x:c r="P97" s="3" t="str">
        <x:f>IF(Setup!$B$6="primary","",IFERROR(IF(INDEX('Primary_snapshot'!$G$2:$G$120,MATCH(C97,'Primary_snapshot'!$A$2:$A$120,0))="","",INDEX('Primary_snapshot'!$G$2:$G$120,MATCH(C97,'Primary_snapshot'!$A$2:$A$120,0))),"SNAPSHOT MISSING"))</x:f>
      </x:c>
      <x:c r="Q97" s="3" t="str">
        <x:f>IF(Setup!$B$6="primary","",IFERROR(IF(INDEX('Primary_snapshot'!$H$2:$H$120,MATCH(C97,'Primary_snapshot'!$A$2:$A$120,0))="","",INDEX('Primary_snapshot'!$H$2:$H$120,MATCH(C97,'Primary_snapshot'!$A$2:$A$120,0))),"SNAPSHOT MISSING"))</x:f>
      </x:c>
      <x:c r="R97" s="3" t="str">
        <x:f>IF(Setup!$B$6="primary","",IFERROR(IF(INDEX('Primary_snapshot'!$I$2:$I$120,MATCH(C97,'Primary_snapshot'!$A$2:$A$120,0))="","",INDEX('Primary_snapshot'!$I$2:$I$120,MATCH(C97,'Primary_snapshot'!$A$2:$A$120,0))),"SNAPSHOT MISSING"))</x:f>
      </x:c>
      <x:c r="S97" s="3" t="str">
        <x:f>IF(INDEX('C_jama.2018.6496'!$D$2:$D$5,MATCH("2018::jama.2018.6496::C002",'C_jama.2018.6496'!$A$2:$A$5,0))="","",INDEX('C_jama.2018.6496'!$D$2:$D$5,MATCH("2018::jama.2018.6496::C002",'C_jama.2018.6496'!$A$2:$A$5,0)))</x:f>
      </x:c>
      <x:c r="T97" s="3" t="str">
        <x:f>IF(INDEX('C_jama.2018.6496'!$E$2:$E$5,MATCH("2018::jama.2018.6496::C002",'C_jama.2018.6496'!$A$2:$A$5,0))="","",INDEX('C_jama.2018.6496'!$E$2:$E$5,MATCH("2018::jama.2018.6496::C002",'C_jama.2018.6496'!$A$2:$A$5,0)))</x:f>
        <x:v>statistical_results</x:v>
      </x:c>
      <x:c r="U97" s="3" t="str">
        <x:f>IF(AND(INDEX('C_jama.2018.6496'!$D$2:$D$5,MATCH("2018::jama.2018.6496::C002",'C_jama.2018.6496'!$A$2:$A$5,0))="retain",INDEX('C_jama.2018.6496'!$E$2:$E$5,MATCH("2018::jama.2018.6496::C002",'C_jama.2018.6496'!$A$2:$A$5,0))="statistical_results"),IF(INDEX('C_jama.2018.6496'!$H$2:$H$5,MATCH("2018::jama.2018.6496::C002",'C_jama.2018.6496'!$A$2:$A$5,0))="","",INDEX('C_jama.2018.6496'!$H$2:$H$5,MATCH("2018::jama.2018.6496::C002",'C_jama.2018.6496'!$A$2:$A$5,0))),"not_applicable")</x:f>
        <x:v>not_applicable</x:v>
      </x:c>
      <x:c r="V97" s="3" t="str">
        <x:f>IF(AND(INDEX('C_jama.2018.6496'!$D$2:$D$5,MATCH("2018::jama.2018.6496::C002",'C_jama.2018.6496'!$A$2:$A$5,0))="retain",INDEX('C_jama.2018.6496'!$E$2:$E$5,MATCH("2018::jama.2018.6496::C002",'C_jama.2018.6496'!$A$2:$A$5,0))="statistical_results"),IF(INDEX('C_jama.2018.6496'!$I$2:$I$5,MATCH("2018::jama.2018.6496::C002",'C_jama.2018.6496'!$A$2:$A$5,0))="","",INDEX('C_jama.2018.6496'!$I$2:$I$5,MATCH("2018::jama.2018.6496::C002",'C_jama.2018.6496'!$A$2:$A$5,0))),"not_applicable")</x:f>
        <x:v>not_applicable</x:v>
      </x:c>
      <x:c r="W97" s="3" t="str">
        <x:f>IF(AND(INDEX('C_jama.2018.6496'!$D$2:$D$5,MATCH("2018::jama.2018.6496::C002",'C_jama.2018.6496'!$A$2:$A$5,0))="retain",INDEX('C_jama.2018.6496'!$E$2:$E$5,MATCH("2018::jama.2018.6496::C002",'C_jama.2018.6496'!$A$2:$A$5,0))="statistical_results"),IF(INDEX('C_jama.2018.6496'!$J$2:$J$5,MATCH("2018::jama.2018.6496::C002",'C_jama.2018.6496'!$A$2:$A$5,0))="","",INDEX('C_jama.2018.6496'!$J$2:$J$5,MATCH("2018::jama.2018.6496::C002",'C_jama.2018.6496'!$A$2:$A$5,0))),"not_applicable")</x:f>
        <x:v>not_applicable</x:v>
      </x:c>
      <x:c r="X97" s="3" t="str">
        <x:f>IF(AND(INDEX('C_jama.2018.6496'!$D$2:$D$5,MATCH("2018::jama.2018.6496::C002",'C_jama.2018.6496'!$A$2:$A$5,0))="retain",OR(INDEX('C_jama.2018.6496'!$E$2:$E$5,MATCH("2018::jama.2018.6496::C002",'C_jama.2018.6496'!$A$2:$A$5,0))="report_internal_inconsistency",INDEX('C_jama.2018.6496'!$E$2:$E$5,MATCH("2018::jama.2018.6496::C002",'C_jama.2018.6496'!$A$2:$A$5,0))="plan_material")),IF(INDEX('C_jama.2018.6496'!$K$2:$K$5,MATCH("2018::jama.2018.6496::C002",'C_jama.2018.6496'!$A$2:$A$5,0))="","",INDEX('C_jama.2018.6496'!$K$2:$K$5,MATCH("2018::jama.2018.6496::C002",'C_jama.2018.6496'!$A$2:$A$5,0))),"not_applicable")</x:f>
        <x:v>not_applicable</x:v>
      </x:c>
      <x:c r="Y97" s="3" t="str">
        <x:f>IF(AND(INDEX('C_jama.2018.6496'!$D$2:$D$5,MATCH("2018::jama.2018.6496::C002",'C_jama.2018.6496'!$A$2:$A$5,0))="retain",INDEX('C_jama.2018.6496'!$E$2:$E$5,MATCH("2018::jama.2018.6496::C002",'C_jama.2018.6496'!$A$2:$A$5,0))="protocol_report"),IF(INDEX('C_jama.2018.6496'!$L$2:$L$5,MATCH("2018::jama.2018.6496::C002",'C_jama.2018.6496'!$A$2:$A$5,0))="","",INDEX('C_jama.2018.6496'!$L$2:$L$5,MATCH("2018::jama.2018.6496::C002",'C_jama.2018.6496'!$A$2:$A$5,0))),"not_applicable")</x:f>
        <x:v>not_applicable</x:v>
      </x:c>
      <x:c r="Z97" s="3" t="str">
        <x:f>IF(INDEX('C_jama.2018.6496'!$R$2:$R$5,MATCH("2018::jama.2018.6496::C002",'C_jama.2018.6496'!$A$2:$A$5,0))="","",INDEX('C_jama.2018.6496'!$R$2:$R$5,MATCH("2018::jama.2018.6496::C002",'C_jama.2018.6496'!$A$2:$A$5,0)))</x:f>
      </x:c>
      <x:c r="AA97" s="3" t="str">
        <x:f>IF(INDEX('C_jama.2018.6496'!$N$2:$N$5,MATCH("2018::jama.2018.6496::C002",'C_jama.2018.6496'!$A$2:$A$5,0))="","",INDEX('C_jama.2018.6496'!$N$2:$N$5,MATCH("2018::jama.2018.6496::C002",'C_jama.2018.6496'!$A$2:$A$5,0)))</x:f>
      </x:c>
      <x:c r="AB97" s="3" t="str">
        <x:f>IF(INDEX('C_jama.2018.6496'!$O$2:$O$5,MATCH("2018::jama.2018.6496::C002",'C_jama.2018.6496'!$A$2:$A$5,0))="","",INDEX('C_jama.2018.6496'!$O$2:$O$5,MATCH("2018::jama.2018.6496::C002",'C_jama.2018.6496'!$A$2:$A$5,0)))</x:f>
      </x:c>
      <x:c r="AC97" s="3" t="str">
        <x:f>IF(INDEX('C_jama.2018.6496'!$P$2:$P$5,MATCH("2018::jama.2018.6496::C002",'C_jama.2018.6496'!$A$2:$A$5,0))="","",INDEX('C_jama.2018.6496'!$P$2:$P$5,MATCH("2018::jama.2018.6496::C002",'C_jama.2018.6496'!$A$2:$A$5,0)))</x:f>
      </x:c>
      <x:c r="AD97" s="3" t="str">
        <x:f>IF(INDEX('C_jama.2018.6496'!$Q$2:$Q$5,MATCH("2018::jama.2018.6496::C002",'C_jama.2018.6496'!$A$2:$A$5,0))="","",INDEX('C_jama.2018.6496'!$Q$2:$Q$5,MATCH("2018::jama.2018.6496::C002",'C_jama.2018.6496'!$A$2:$A$5,0)))</x:f>
      </x:c>
    </x:row>
    <x:row r="98" ht="65" customHeight="1">
      <x:c r="A98" s="6" t="n">
        <x:v>2018</x:v>
      </x:c>
      <x:c r="B98" s="6" t="str">
        <x:v>jama.2018.6496</x:v>
      </x:c>
      <x:c r="C98" s="6" t="str">
        <x:v>2018::jama.2018.6496::C003</x:v>
      </x:c>
      <x:c r="D98" s="6" t="str">
        <x:v>P_R</x:v>
      </x:c>
      <x:c r="E98" s="6" t="n">
        <x:f>Setup!$B$2</x:f>
        <x:v>0</x:v>
      </x:c>
      <x:c r="F98" s="6" t="str">
        <x:f>IF(Setup!$B$4="","",Setup!$B$4)</x:f>
      </x:c>
      <x:c r="G98" s="6" t="str">
        <x:f>IFERROR(INDEX('C_jama.2018.6496'!$G$2:$G$5,MATCH("2018::jama.2018.6496::C003",'C_jama.2018.6496'!$A$2:$A$5,0)),"CHECK KEY")</x:f>
        <x:v>CHECK REVIEWER IDs</x:v>
      </x:c>
      <x:c r="H98" s="6" t="str">
        <x:f>IF(G98&lt;&gt;"FINAL READY","",IF(S98&lt;&gt;"retain","not_eligible",IF(D98="P_R","protocol_descriptive",IF(D98="P_P","plan_descriptive",IF(AND(T98="statistical_results",OR(U98="confirmed_issue",U98="probable_issue"),V98="substantive"),"primary_temporal",IF(AND(T98="report_internal_inconsistency",X98="substantive_inconsistency"),"secondary_temporal","not_eligible"))))))</x:f>
      </x:c>
      <x:c r="I98" s="6" t="str">
        <x:v>retain</x:v>
      </x:c>
      <x:c r="J98" s="6" t="str">
        <x:v>protocol_report</x:v>
      </x:c>
      <x:c r="K98" s="6" t="str">
        <x:f>IF(Setup!$B$6="primary","",IFERROR(IF(INDEX('Primary_snapshot'!$B$2:$B$120,MATCH(C98,'Primary_snapshot'!$A$2:$A$120,0))="","",INDEX('Primary_snapshot'!$B$2:$B$120,MATCH(C98,'Primary_snapshot'!$A$2:$A$120,0))),"SNAPSHOT MISSING"))</x:f>
      </x:c>
      <x:c r="L98" s="6" t="str">
        <x:f>IF(Setup!$B$6="primary","",IFERROR(IF(INDEX('Primary_snapshot'!$C$2:$C$120,MATCH(C98,'Primary_snapshot'!$A$2:$A$120,0))="","",INDEX('Primary_snapshot'!$C$2:$C$120,MATCH(C98,'Primary_snapshot'!$A$2:$A$120,0))),"SNAPSHOT MISSING"))</x:f>
      </x:c>
      <x:c r="M98" s="6" t="str">
        <x:f>IF(Setup!$B$6="primary","",IFERROR(IF(INDEX('Primary_snapshot'!$D$2:$D$120,MATCH(C98,'Primary_snapshot'!$A$2:$A$120,0))="","",INDEX('Primary_snapshot'!$D$2:$D$120,MATCH(C98,'Primary_snapshot'!$A$2:$A$120,0))),"SNAPSHOT MISSING"))</x:f>
      </x:c>
      <x:c r="N98" s="6" t="str">
        <x:f>IF(Setup!$B$6="primary","",IFERROR(IF(INDEX('Primary_snapshot'!$E$2:$E$120,MATCH(C98,'Primary_snapshot'!$A$2:$A$120,0))="","",INDEX('Primary_snapshot'!$E$2:$E$120,MATCH(C98,'Primary_snapshot'!$A$2:$A$120,0))),"SNAPSHOT MISSING"))</x:f>
      </x:c>
      <x:c r="O98" s="6" t="str">
        <x:f>IF(Setup!$B$6="primary","",IFERROR(IF(INDEX('Primary_snapshot'!$F$2:$F$120,MATCH(C98,'Primary_snapshot'!$A$2:$A$120,0))="","",INDEX('Primary_snapshot'!$F$2:$F$120,MATCH(C98,'Primary_snapshot'!$A$2:$A$120,0))),"SNAPSHOT MISSING"))</x:f>
      </x:c>
      <x:c r="P98" s="6" t="str">
        <x:f>IF(Setup!$B$6="primary","",IFERROR(IF(INDEX('Primary_snapshot'!$G$2:$G$120,MATCH(C98,'Primary_snapshot'!$A$2:$A$120,0))="","",INDEX('Primary_snapshot'!$G$2:$G$120,MATCH(C98,'Primary_snapshot'!$A$2:$A$120,0))),"SNAPSHOT MISSING"))</x:f>
      </x:c>
      <x:c r="Q98" s="6" t="str">
        <x:f>IF(Setup!$B$6="primary","",IFERROR(IF(INDEX('Primary_snapshot'!$H$2:$H$120,MATCH(C98,'Primary_snapshot'!$A$2:$A$120,0))="","",INDEX('Primary_snapshot'!$H$2:$H$120,MATCH(C98,'Primary_snapshot'!$A$2:$A$120,0))),"SNAPSHOT MISSING"))</x:f>
      </x:c>
      <x:c r="R98" s="6" t="str">
        <x:f>IF(Setup!$B$6="primary","",IFERROR(IF(INDEX('Primary_snapshot'!$I$2:$I$120,MATCH(C98,'Primary_snapshot'!$A$2:$A$120,0))="","",INDEX('Primary_snapshot'!$I$2:$I$120,MATCH(C98,'Primary_snapshot'!$A$2:$A$120,0))),"SNAPSHOT MISSING"))</x:f>
      </x:c>
      <x:c r="S98" s="6" t="str">
        <x:f>IF(INDEX('C_jama.2018.6496'!$D$2:$D$5,MATCH("2018::jama.2018.6496::C003",'C_jama.2018.6496'!$A$2:$A$5,0))="","",INDEX('C_jama.2018.6496'!$D$2:$D$5,MATCH("2018::jama.2018.6496::C003",'C_jama.2018.6496'!$A$2:$A$5,0)))</x:f>
      </x:c>
      <x:c r="T98" s="6" t="str">
        <x:f>IF(INDEX('C_jama.2018.6496'!$E$2:$E$5,MATCH("2018::jama.2018.6496::C003",'C_jama.2018.6496'!$A$2:$A$5,0))="","",INDEX('C_jama.2018.6496'!$E$2:$E$5,MATCH("2018::jama.2018.6496::C003",'C_jama.2018.6496'!$A$2:$A$5,0)))</x:f>
        <x:v>protocol_report</x:v>
      </x:c>
      <x:c r="U98" s="6" t="str">
        <x:f>IF(AND(INDEX('C_jama.2018.6496'!$D$2:$D$5,MATCH("2018::jama.2018.6496::C003",'C_jama.2018.6496'!$A$2:$A$5,0))="retain",INDEX('C_jama.2018.6496'!$E$2:$E$5,MATCH("2018::jama.2018.6496::C003",'C_jama.2018.6496'!$A$2:$A$5,0))="statistical_results"),IF(INDEX('C_jama.2018.6496'!$H$2:$H$5,MATCH("2018::jama.2018.6496::C003",'C_jama.2018.6496'!$A$2:$A$5,0))="","",INDEX('C_jama.2018.6496'!$H$2:$H$5,MATCH("2018::jama.2018.6496::C003",'C_jama.2018.6496'!$A$2:$A$5,0))),"not_applicable")</x:f>
        <x:v>not_applicable</x:v>
      </x:c>
      <x:c r="V98" s="6" t="str">
        <x:f>IF(AND(INDEX('C_jama.2018.6496'!$D$2:$D$5,MATCH("2018::jama.2018.6496::C003",'C_jama.2018.6496'!$A$2:$A$5,0))="retain",INDEX('C_jama.2018.6496'!$E$2:$E$5,MATCH("2018::jama.2018.6496::C003",'C_jama.2018.6496'!$A$2:$A$5,0))="statistical_results"),IF(INDEX('C_jama.2018.6496'!$I$2:$I$5,MATCH("2018::jama.2018.6496::C003",'C_jama.2018.6496'!$A$2:$A$5,0))="","",INDEX('C_jama.2018.6496'!$I$2:$I$5,MATCH("2018::jama.2018.6496::C003",'C_jama.2018.6496'!$A$2:$A$5,0))),"not_applicable")</x:f>
        <x:v>not_applicable</x:v>
      </x:c>
      <x:c r="W98" s="6" t="str">
        <x:f>IF(AND(INDEX('C_jama.2018.6496'!$D$2:$D$5,MATCH("2018::jama.2018.6496::C003",'C_jama.2018.6496'!$A$2:$A$5,0))="retain",INDEX('C_jama.2018.6496'!$E$2:$E$5,MATCH("2018::jama.2018.6496::C003",'C_jama.2018.6496'!$A$2:$A$5,0))="statistical_results"),IF(INDEX('C_jama.2018.6496'!$J$2:$J$5,MATCH("2018::jama.2018.6496::C003",'C_jama.2018.6496'!$A$2:$A$5,0))="","",INDEX('C_jama.2018.6496'!$J$2:$J$5,MATCH("2018::jama.2018.6496::C003",'C_jama.2018.6496'!$A$2:$A$5,0))),"not_applicable")</x:f>
        <x:v>not_applicable</x:v>
      </x:c>
      <x:c r="X98" s="6" t="str">
        <x:f>IF(AND(INDEX('C_jama.2018.6496'!$D$2:$D$5,MATCH("2018::jama.2018.6496::C003",'C_jama.2018.6496'!$A$2:$A$5,0))="retain",OR(INDEX('C_jama.2018.6496'!$E$2:$E$5,MATCH("2018::jama.2018.6496::C003",'C_jama.2018.6496'!$A$2:$A$5,0))="report_internal_inconsistency",INDEX('C_jama.2018.6496'!$E$2:$E$5,MATCH("2018::jama.2018.6496::C003",'C_jama.2018.6496'!$A$2:$A$5,0))="plan_material")),IF(INDEX('C_jama.2018.6496'!$K$2:$K$5,MATCH("2018::jama.2018.6496::C003",'C_jama.2018.6496'!$A$2:$A$5,0))="","",INDEX('C_jama.2018.6496'!$K$2:$K$5,MATCH("2018::jama.2018.6496::C003",'C_jama.2018.6496'!$A$2:$A$5,0))),"not_applicable")</x:f>
        <x:v>not_applicable</x:v>
      </x:c>
      <x:c r="Y98" s="6" t="str">
        <x:f>IF(AND(INDEX('C_jama.2018.6496'!$D$2:$D$5,MATCH("2018::jama.2018.6496::C003",'C_jama.2018.6496'!$A$2:$A$5,0))="retain",INDEX('C_jama.2018.6496'!$E$2:$E$5,MATCH("2018::jama.2018.6496::C003",'C_jama.2018.6496'!$A$2:$A$5,0))="protocol_report"),IF(INDEX('C_jama.2018.6496'!$L$2:$L$5,MATCH("2018::jama.2018.6496::C003",'C_jama.2018.6496'!$A$2:$A$5,0))="","",INDEX('C_jama.2018.6496'!$L$2:$L$5,MATCH("2018::jama.2018.6496::C003",'C_jama.2018.6496'!$A$2:$A$5,0))),"not_applicable")</x:f>
        <x:v>not_applicable</x:v>
      </x:c>
      <x:c r="Z98" s="6" t="str">
        <x:f>IF(INDEX('C_jama.2018.6496'!$R$2:$R$5,MATCH("2018::jama.2018.6496::C003",'C_jama.2018.6496'!$A$2:$A$5,0))="","",INDEX('C_jama.2018.6496'!$R$2:$R$5,MATCH("2018::jama.2018.6496::C003",'C_jama.2018.6496'!$A$2:$A$5,0)))</x:f>
      </x:c>
      <x:c r="AA98" s="6" t="str">
        <x:f>IF(INDEX('C_jama.2018.6496'!$N$2:$N$5,MATCH("2018::jama.2018.6496::C003",'C_jama.2018.6496'!$A$2:$A$5,0))="","",INDEX('C_jama.2018.6496'!$N$2:$N$5,MATCH("2018::jama.2018.6496::C003",'C_jama.2018.6496'!$A$2:$A$5,0)))</x:f>
      </x:c>
      <x:c r="AB98" s="6" t="str">
        <x:f>IF(INDEX('C_jama.2018.6496'!$O$2:$O$5,MATCH("2018::jama.2018.6496::C003",'C_jama.2018.6496'!$A$2:$A$5,0))="","",INDEX('C_jama.2018.6496'!$O$2:$O$5,MATCH("2018::jama.2018.6496::C003",'C_jama.2018.6496'!$A$2:$A$5,0)))</x:f>
      </x:c>
      <x:c r="AC98" s="6" t="str">
        <x:f>IF(INDEX('C_jama.2018.6496'!$P$2:$P$5,MATCH("2018::jama.2018.6496::C003",'C_jama.2018.6496'!$A$2:$A$5,0))="","",INDEX('C_jama.2018.6496'!$P$2:$P$5,MATCH("2018::jama.2018.6496::C003",'C_jama.2018.6496'!$A$2:$A$5,0)))</x:f>
      </x:c>
      <x:c r="AD98" s="6" t="str">
        <x:f>IF(INDEX('C_jama.2018.6496'!$Q$2:$Q$5,MATCH("2018::jama.2018.6496::C003",'C_jama.2018.6496'!$A$2:$A$5,0))="","",INDEX('C_jama.2018.6496'!$Q$2:$Q$5,MATCH("2018::jama.2018.6496::C003",'C_jama.2018.6496'!$A$2:$A$5,0)))</x:f>
      </x:c>
    </x:row>
    <x:row r="99" ht="65" customHeight="1">
      <x:c r="A99" s="3" t="n">
        <x:v>2018</x:v>
      </x:c>
      <x:c r="B99" s="3" t="str">
        <x:v>jama.2018.6496</x:v>
      </x:c>
      <x:c r="C99" s="3" t="str">
        <x:v>2018::jama.2018.6496::C004</x:v>
      </x:c>
      <x:c r="D99" s="3" t="str">
        <x:v>P_R</x:v>
      </x:c>
      <x:c r="E99" s="3" t="n">
        <x:f>Setup!$B$2</x:f>
        <x:v>0</x:v>
      </x:c>
      <x:c r="F99" s="3" t="str">
        <x:f>IF(Setup!$B$4="","",Setup!$B$4)</x:f>
      </x:c>
      <x:c r="G99" s="3" t="str">
        <x:f>IFERROR(INDEX('C_jama.2018.6496'!$G$2:$G$5,MATCH("2018::jama.2018.6496::C004",'C_jama.2018.6496'!$A$2:$A$5,0)),"CHECK KEY")</x:f>
        <x:v>CHECK REVIEWER IDs</x:v>
      </x:c>
      <x:c r="H99" s="3" t="str">
        <x:f>IF(G99&lt;&gt;"FINAL READY","",IF(S99&lt;&gt;"retain","not_eligible",IF(D99="P_R","protocol_descriptive",IF(D99="P_P","plan_descriptive",IF(AND(T99="statistical_results",OR(U99="confirmed_issue",U99="probable_issue"),V99="substantive"),"primary_temporal",IF(AND(T99="report_internal_inconsistency",X99="substantive_inconsistency"),"secondary_temporal","not_eligible"))))))</x:f>
      </x:c>
      <x:c r="I99" s="3" t="str">
        <x:v>retain</x:v>
      </x:c>
      <x:c r="J99" s="3" t="str">
        <x:v>protocol_report</x:v>
      </x:c>
      <x:c r="K99" s="3" t="str">
        <x:f>IF(Setup!$B$6="primary","",IFERROR(IF(INDEX('Primary_snapshot'!$B$2:$B$120,MATCH(C99,'Primary_snapshot'!$A$2:$A$120,0))="","",INDEX('Primary_snapshot'!$B$2:$B$120,MATCH(C99,'Primary_snapshot'!$A$2:$A$120,0))),"SNAPSHOT MISSING"))</x:f>
      </x:c>
      <x:c r="L99" s="3" t="str">
        <x:f>IF(Setup!$B$6="primary","",IFERROR(IF(INDEX('Primary_snapshot'!$C$2:$C$120,MATCH(C99,'Primary_snapshot'!$A$2:$A$120,0))="","",INDEX('Primary_snapshot'!$C$2:$C$120,MATCH(C99,'Primary_snapshot'!$A$2:$A$120,0))),"SNAPSHOT MISSING"))</x:f>
      </x:c>
      <x:c r="M99" s="3" t="str">
        <x:f>IF(Setup!$B$6="primary","",IFERROR(IF(INDEX('Primary_snapshot'!$D$2:$D$120,MATCH(C99,'Primary_snapshot'!$A$2:$A$120,0))="","",INDEX('Primary_snapshot'!$D$2:$D$120,MATCH(C99,'Primary_snapshot'!$A$2:$A$120,0))),"SNAPSHOT MISSING"))</x:f>
      </x:c>
      <x:c r="N99" s="3" t="str">
        <x:f>IF(Setup!$B$6="primary","",IFERROR(IF(INDEX('Primary_snapshot'!$E$2:$E$120,MATCH(C99,'Primary_snapshot'!$A$2:$A$120,0))="","",INDEX('Primary_snapshot'!$E$2:$E$120,MATCH(C99,'Primary_snapshot'!$A$2:$A$120,0))),"SNAPSHOT MISSING"))</x:f>
      </x:c>
      <x:c r="O99" s="3" t="str">
        <x:f>IF(Setup!$B$6="primary","",IFERROR(IF(INDEX('Primary_snapshot'!$F$2:$F$120,MATCH(C99,'Primary_snapshot'!$A$2:$A$120,0))="","",INDEX('Primary_snapshot'!$F$2:$F$120,MATCH(C99,'Primary_snapshot'!$A$2:$A$120,0))),"SNAPSHOT MISSING"))</x:f>
      </x:c>
      <x:c r="P99" s="3" t="str">
        <x:f>IF(Setup!$B$6="primary","",IFERROR(IF(INDEX('Primary_snapshot'!$G$2:$G$120,MATCH(C99,'Primary_snapshot'!$A$2:$A$120,0))="","",INDEX('Primary_snapshot'!$G$2:$G$120,MATCH(C99,'Primary_snapshot'!$A$2:$A$120,0))),"SNAPSHOT MISSING"))</x:f>
      </x:c>
      <x:c r="Q99" s="3" t="str">
        <x:f>IF(Setup!$B$6="primary","",IFERROR(IF(INDEX('Primary_snapshot'!$H$2:$H$120,MATCH(C99,'Primary_snapshot'!$A$2:$A$120,0))="","",INDEX('Primary_snapshot'!$H$2:$H$120,MATCH(C99,'Primary_snapshot'!$A$2:$A$120,0))),"SNAPSHOT MISSING"))</x:f>
      </x:c>
      <x:c r="R99" s="3" t="str">
        <x:f>IF(Setup!$B$6="primary","",IFERROR(IF(INDEX('Primary_snapshot'!$I$2:$I$120,MATCH(C99,'Primary_snapshot'!$A$2:$A$120,0))="","",INDEX('Primary_snapshot'!$I$2:$I$120,MATCH(C99,'Primary_snapshot'!$A$2:$A$120,0))),"SNAPSHOT MISSING"))</x:f>
      </x:c>
      <x:c r="S99" s="3" t="str">
        <x:f>IF(INDEX('C_jama.2018.6496'!$D$2:$D$5,MATCH("2018::jama.2018.6496::C004",'C_jama.2018.6496'!$A$2:$A$5,0))="","",INDEX('C_jama.2018.6496'!$D$2:$D$5,MATCH("2018::jama.2018.6496::C004",'C_jama.2018.6496'!$A$2:$A$5,0)))</x:f>
      </x:c>
      <x:c r="T99" s="3" t="str">
        <x:f>IF(INDEX('C_jama.2018.6496'!$E$2:$E$5,MATCH("2018::jama.2018.6496::C004",'C_jama.2018.6496'!$A$2:$A$5,0))="","",INDEX('C_jama.2018.6496'!$E$2:$E$5,MATCH("2018::jama.2018.6496::C004",'C_jama.2018.6496'!$A$2:$A$5,0)))</x:f>
        <x:v>protocol_report</x:v>
      </x:c>
      <x:c r="U99" s="3" t="str">
        <x:f>IF(AND(INDEX('C_jama.2018.6496'!$D$2:$D$5,MATCH("2018::jama.2018.6496::C004",'C_jama.2018.6496'!$A$2:$A$5,0))="retain",INDEX('C_jama.2018.6496'!$E$2:$E$5,MATCH("2018::jama.2018.6496::C004",'C_jama.2018.6496'!$A$2:$A$5,0))="statistical_results"),IF(INDEX('C_jama.2018.6496'!$H$2:$H$5,MATCH("2018::jama.2018.6496::C004",'C_jama.2018.6496'!$A$2:$A$5,0))="","",INDEX('C_jama.2018.6496'!$H$2:$H$5,MATCH("2018::jama.2018.6496::C004",'C_jama.2018.6496'!$A$2:$A$5,0))),"not_applicable")</x:f>
        <x:v>not_applicable</x:v>
      </x:c>
      <x:c r="V99" s="3" t="str">
        <x:f>IF(AND(INDEX('C_jama.2018.6496'!$D$2:$D$5,MATCH("2018::jama.2018.6496::C004",'C_jama.2018.6496'!$A$2:$A$5,0))="retain",INDEX('C_jama.2018.6496'!$E$2:$E$5,MATCH("2018::jama.2018.6496::C004",'C_jama.2018.6496'!$A$2:$A$5,0))="statistical_results"),IF(INDEX('C_jama.2018.6496'!$I$2:$I$5,MATCH("2018::jama.2018.6496::C004",'C_jama.2018.6496'!$A$2:$A$5,0))="","",INDEX('C_jama.2018.6496'!$I$2:$I$5,MATCH("2018::jama.2018.6496::C004",'C_jama.2018.6496'!$A$2:$A$5,0))),"not_applicable")</x:f>
        <x:v>not_applicable</x:v>
      </x:c>
      <x:c r="W99" s="3" t="str">
        <x:f>IF(AND(INDEX('C_jama.2018.6496'!$D$2:$D$5,MATCH("2018::jama.2018.6496::C004",'C_jama.2018.6496'!$A$2:$A$5,0))="retain",INDEX('C_jama.2018.6496'!$E$2:$E$5,MATCH("2018::jama.2018.6496::C004",'C_jama.2018.6496'!$A$2:$A$5,0))="statistical_results"),IF(INDEX('C_jama.2018.6496'!$J$2:$J$5,MATCH("2018::jama.2018.6496::C004",'C_jama.2018.6496'!$A$2:$A$5,0))="","",INDEX('C_jama.2018.6496'!$J$2:$J$5,MATCH("2018::jama.2018.6496::C004",'C_jama.2018.6496'!$A$2:$A$5,0))),"not_applicable")</x:f>
        <x:v>not_applicable</x:v>
      </x:c>
      <x:c r="X99" s="3" t="str">
        <x:f>IF(AND(INDEX('C_jama.2018.6496'!$D$2:$D$5,MATCH("2018::jama.2018.6496::C004",'C_jama.2018.6496'!$A$2:$A$5,0))="retain",OR(INDEX('C_jama.2018.6496'!$E$2:$E$5,MATCH("2018::jama.2018.6496::C004",'C_jama.2018.6496'!$A$2:$A$5,0))="report_internal_inconsistency",INDEX('C_jama.2018.6496'!$E$2:$E$5,MATCH("2018::jama.2018.6496::C004",'C_jama.2018.6496'!$A$2:$A$5,0))="plan_material")),IF(INDEX('C_jama.2018.6496'!$K$2:$K$5,MATCH("2018::jama.2018.6496::C004",'C_jama.2018.6496'!$A$2:$A$5,0))="","",INDEX('C_jama.2018.6496'!$K$2:$K$5,MATCH("2018::jama.2018.6496::C004",'C_jama.2018.6496'!$A$2:$A$5,0))),"not_applicable")</x:f>
        <x:v>not_applicable</x:v>
      </x:c>
      <x:c r="Y99" s="3" t="str">
        <x:f>IF(AND(INDEX('C_jama.2018.6496'!$D$2:$D$5,MATCH("2018::jama.2018.6496::C004",'C_jama.2018.6496'!$A$2:$A$5,0))="retain",INDEX('C_jama.2018.6496'!$E$2:$E$5,MATCH("2018::jama.2018.6496::C004",'C_jama.2018.6496'!$A$2:$A$5,0))="protocol_report"),IF(INDEX('C_jama.2018.6496'!$L$2:$L$5,MATCH("2018::jama.2018.6496::C004",'C_jama.2018.6496'!$A$2:$A$5,0))="","",INDEX('C_jama.2018.6496'!$L$2:$L$5,MATCH("2018::jama.2018.6496::C004",'C_jama.2018.6496'!$A$2:$A$5,0))),"not_applicable")</x:f>
        <x:v>not_applicable</x:v>
      </x:c>
      <x:c r="Z99" s="3" t="str">
        <x:f>IF(INDEX('C_jama.2018.6496'!$R$2:$R$5,MATCH("2018::jama.2018.6496::C004",'C_jama.2018.6496'!$A$2:$A$5,0))="","",INDEX('C_jama.2018.6496'!$R$2:$R$5,MATCH("2018::jama.2018.6496::C004",'C_jama.2018.6496'!$A$2:$A$5,0)))</x:f>
      </x:c>
      <x:c r="AA99" s="3" t="str">
        <x:f>IF(INDEX('C_jama.2018.6496'!$N$2:$N$5,MATCH("2018::jama.2018.6496::C004",'C_jama.2018.6496'!$A$2:$A$5,0))="","",INDEX('C_jama.2018.6496'!$N$2:$N$5,MATCH("2018::jama.2018.6496::C004",'C_jama.2018.6496'!$A$2:$A$5,0)))</x:f>
      </x:c>
      <x:c r="AB99" s="3" t="str">
        <x:f>IF(INDEX('C_jama.2018.6496'!$O$2:$O$5,MATCH("2018::jama.2018.6496::C004",'C_jama.2018.6496'!$A$2:$A$5,0))="","",INDEX('C_jama.2018.6496'!$O$2:$O$5,MATCH("2018::jama.2018.6496::C004",'C_jama.2018.6496'!$A$2:$A$5,0)))</x:f>
      </x:c>
      <x:c r="AC99" s="3" t="str">
        <x:f>IF(INDEX('C_jama.2018.6496'!$P$2:$P$5,MATCH("2018::jama.2018.6496::C004",'C_jama.2018.6496'!$A$2:$A$5,0))="","",INDEX('C_jama.2018.6496'!$P$2:$P$5,MATCH("2018::jama.2018.6496::C004",'C_jama.2018.6496'!$A$2:$A$5,0)))</x:f>
      </x:c>
      <x:c r="AD99" s="3" t="str">
        <x:f>IF(INDEX('C_jama.2018.6496'!$Q$2:$Q$5,MATCH("2018::jama.2018.6496::C004",'C_jama.2018.6496'!$A$2:$A$5,0))="","",INDEX('C_jama.2018.6496'!$Q$2:$Q$5,MATCH("2018::jama.2018.6496::C004",'C_jama.2018.6496'!$A$2:$A$5,0)))</x:f>
      </x:c>
    </x:row>
    <x:row r="100" ht="65" customHeight="1">
      <x:c r="A100" s="6" t="n">
        <x:v>2018</x:v>
      </x:c>
      <x:c r="B100" s="6" t="str">
        <x:v>jama.2018.8802</x:v>
      </x:c>
      <x:c r="C100" s="6" t="str">
        <x:v>2018::jama.2018.8802::C001</x:v>
      </x:c>
      <x:c r="D100" s="6" t="str">
        <x:v>S_W</x:v>
      </x:c>
      <x:c r="E100" s="6" t="n">
        <x:f>Setup!$B$2</x:f>
        <x:v>0</x:v>
      </x:c>
      <x:c r="F100" s="6" t="str">
        <x:f>IF(Setup!$B$4="","",Setup!$B$4)</x:f>
      </x:c>
      <x:c r="G100" s="6" t="str">
        <x:f>IFERROR(INDEX('C_jama.2018.8802'!$G$2:$G$9,MATCH("2018::jama.2018.8802::C001",'C_jama.2018.8802'!$A$2:$A$9,0)),"CHECK KEY")</x:f>
        <x:v>CHECK REVIEWER IDs</x:v>
      </x:c>
      <x:c r="H100" s="6" t="str">
        <x:f>IF(G100&lt;&gt;"FINAL READY","",IF(S100&lt;&gt;"retain","not_eligible",IF(D100="P_R","protocol_descriptive",IF(D100="P_P","plan_descriptive",IF(AND(T100="statistical_results",OR(U100="confirmed_issue",U100="probable_issue"),V100="substantive"),"primary_temporal",IF(AND(T100="report_internal_inconsistency",X100="substantive_inconsistency"),"secondary_temporal","not_eligible"))))))</x:f>
      </x:c>
      <x:c r="I100" s="6" t="str">
        <x:v>retain</x:v>
      </x:c>
      <x:c r="J100" s="6" t="str">
        <x:v>statistical_results</x:v>
      </x:c>
      <x:c r="K100" s="6" t="str">
        <x:f>IF(Setup!$B$6="primary","",IFERROR(IF(INDEX('Primary_snapshot'!$B$2:$B$120,MATCH(C100,'Primary_snapshot'!$A$2:$A$120,0))="","",INDEX('Primary_snapshot'!$B$2:$B$120,MATCH(C100,'Primary_snapshot'!$A$2:$A$120,0))),"SNAPSHOT MISSING"))</x:f>
      </x:c>
      <x:c r="L100" s="6" t="str">
        <x:f>IF(Setup!$B$6="primary","",IFERROR(IF(INDEX('Primary_snapshot'!$C$2:$C$120,MATCH(C100,'Primary_snapshot'!$A$2:$A$120,0))="","",INDEX('Primary_snapshot'!$C$2:$C$120,MATCH(C100,'Primary_snapshot'!$A$2:$A$120,0))),"SNAPSHOT MISSING"))</x:f>
      </x:c>
      <x:c r="M100" s="6" t="str">
        <x:f>IF(Setup!$B$6="primary","",IFERROR(IF(INDEX('Primary_snapshot'!$D$2:$D$120,MATCH(C100,'Primary_snapshot'!$A$2:$A$120,0))="","",INDEX('Primary_snapshot'!$D$2:$D$120,MATCH(C100,'Primary_snapshot'!$A$2:$A$120,0))),"SNAPSHOT MISSING"))</x:f>
      </x:c>
      <x:c r="N100" s="6" t="str">
        <x:f>IF(Setup!$B$6="primary","",IFERROR(IF(INDEX('Primary_snapshot'!$E$2:$E$120,MATCH(C100,'Primary_snapshot'!$A$2:$A$120,0))="","",INDEX('Primary_snapshot'!$E$2:$E$120,MATCH(C100,'Primary_snapshot'!$A$2:$A$120,0))),"SNAPSHOT MISSING"))</x:f>
      </x:c>
      <x:c r="O100" s="6" t="str">
        <x:f>IF(Setup!$B$6="primary","",IFERROR(IF(INDEX('Primary_snapshot'!$F$2:$F$120,MATCH(C100,'Primary_snapshot'!$A$2:$A$120,0))="","",INDEX('Primary_snapshot'!$F$2:$F$120,MATCH(C100,'Primary_snapshot'!$A$2:$A$120,0))),"SNAPSHOT MISSING"))</x:f>
      </x:c>
      <x:c r="P100" s="6" t="str">
        <x:f>IF(Setup!$B$6="primary","",IFERROR(IF(INDEX('Primary_snapshot'!$G$2:$G$120,MATCH(C100,'Primary_snapshot'!$A$2:$A$120,0))="","",INDEX('Primary_snapshot'!$G$2:$G$120,MATCH(C100,'Primary_snapshot'!$A$2:$A$120,0))),"SNAPSHOT MISSING"))</x:f>
      </x:c>
      <x:c r="Q100" s="6" t="str">
        <x:f>IF(Setup!$B$6="primary","",IFERROR(IF(INDEX('Primary_snapshot'!$H$2:$H$120,MATCH(C100,'Primary_snapshot'!$A$2:$A$120,0))="","",INDEX('Primary_snapshot'!$H$2:$H$120,MATCH(C100,'Primary_snapshot'!$A$2:$A$120,0))),"SNAPSHOT MISSING"))</x:f>
      </x:c>
      <x:c r="R100" s="6" t="str">
        <x:f>IF(Setup!$B$6="primary","",IFERROR(IF(INDEX('Primary_snapshot'!$I$2:$I$120,MATCH(C100,'Primary_snapshot'!$A$2:$A$120,0))="","",INDEX('Primary_snapshot'!$I$2:$I$120,MATCH(C100,'Primary_snapshot'!$A$2:$A$120,0))),"SNAPSHOT MISSING"))</x:f>
      </x:c>
      <x:c r="S100" s="6" t="str">
        <x:f>IF(INDEX('C_jama.2018.8802'!$D$2:$D$9,MATCH("2018::jama.2018.8802::C001",'C_jama.2018.8802'!$A$2:$A$9,0))="","",INDEX('C_jama.2018.8802'!$D$2:$D$9,MATCH("2018::jama.2018.8802::C001",'C_jama.2018.8802'!$A$2:$A$9,0)))</x:f>
      </x:c>
      <x:c r="T100" s="6" t="str">
        <x:f>IF(INDEX('C_jama.2018.8802'!$E$2:$E$9,MATCH("2018::jama.2018.8802::C001",'C_jama.2018.8802'!$A$2:$A$9,0))="","",INDEX('C_jama.2018.8802'!$E$2:$E$9,MATCH("2018::jama.2018.8802::C001",'C_jama.2018.8802'!$A$2:$A$9,0)))</x:f>
        <x:v>statistical_results</x:v>
      </x:c>
      <x:c r="U100" s="6" t="str">
        <x:f>IF(AND(INDEX('C_jama.2018.8802'!$D$2:$D$9,MATCH("2018::jama.2018.8802::C001",'C_jama.2018.8802'!$A$2:$A$9,0))="retain",INDEX('C_jama.2018.8802'!$E$2:$E$9,MATCH("2018::jama.2018.8802::C001",'C_jama.2018.8802'!$A$2:$A$9,0))="statistical_results"),IF(INDEX('C_jama.2018.8802'!$H$2:$H$9,MATCH("2018::jama.2018.8802::C001",'C_jama.2018.8802'!$A$2:$A$9,0))="","",INDEX('C_jama.2018.8802'!$H$2:$H$9,MATCH("2018::jama.2018.8802::C001",'C_jama.2018.8802'!$A$2:$A$9,0))),"not_applicable")</x:f>
        <x:v>not_applicable</x:v>
      </x:c>
      <x:c r="V100" s="6" t="str">
        <x:f>IF(AND(INDEX('C_jama.2018.8802'!$D$2:$D$9,MATCH("2018::jama.2018.8802::C001",'C_jama.2018.8802'!$A$2:$A$9,0))="retain",INDEX('C_jama.2018.8802'!$E$2:$E$9,MATCH("2018::jama.2018.8802::C001",'C_jama.2018.8802'!$A$2:$A$9,0))="statistical_results"),IF(INDEX('C_jama.2018.8802'!$I$2:$I$9,MATCH("2018::jama.2018.8802::C001",'C_jama.2018.8802'!$A$2:$A$9,0))="","",INDEX('C_jama.2018.8802'!$I$2:$I$9,MATCH("2018::jama.2018.8802::C001",'C_jama.2018.8802'!$A$2:$A$9,0))),"not_applicable")</x:f>
        <x:v>not_applicable</x:v>
      </x:c>
      <x:c r="W100" s="6" t="str">
        <x:f>IF(AND(INDEX('C_jama.2018.8802'!$D$2:$D$9,MATCH("2018::jama.2018.8802::C001",'C_jama.2018.8802'!$A$2:$A$9,0))="retain",INDEX('C_jama.2018.8802'!$E$2:$E$9,MATCH("2018::jama.2018.8802::C001",'C_jama.2018.8802'!$A$2:$A$9,0))="statistical_results"),IF(INDEX('C_jama.2018.8802'!$J$2:$J$9,MATCH("2018::jama.2018.8802::C001",'C_jama.2018.8802'!$A$2:$A$9,0))="","",INDEX('C_jama.2018.8802'!$J$2:$J$9,MATCH("2018::jama.2018.8802::C001",'C_jama.2018.8802'!$A$2:$A$9,0))),"not_applicable")</x:f>
        <x:v>not_applicable</x:v>
      </x:c>
      <x:c r="X100" s="6" t="str">
        <x:f>IF(AND(INDEX('C_jama.2018.8802'!$D$2:$D$9,MATCH("2018::jama.2018.8802::C001",'C_jama.2018.8802'!$A$2:$A$9,0))="retain",OR(INDEX('C_jama.2018.8802'!$E$2:$E$9,MATCH("2018::jama.2018.8802::C001",'C_jama.2018.8802'!$A$2:$A$9,0))="report_internal_inconsistency",INDEX('C_jama.2018.8802'!$E$2:$E$9,MATCH("2018::jama.2018.8802::C001",'C_jama.2018.8802'!$A$2:$A$9,0))="plan_material")),IF(INDEX('C_jama.2018.8802'!$K$2:$K$9,MATCH("2018::jama.2018.8802::C001",'C_jama.2018.8802'!$A$2:$A$9,0))="","",INDEX('C_jama.2018.8802'!$K$2:$K$9,MATCH("2018::jama.2018.8802::C001",'C_jama.2018.8802'!$A$2:$A$9,0))),"not_applicable")</x:f>
        <x:v>not_applicable</x:v>
      </x:c>
      <x:c r="Y100" s="6" t="str">
        <x:f>IF(AND(INDEX('C_jama.2018.8802'!$D$2:$D$9,MATCH("2018::jama.2018.8802::C001",'C_jama.2018.8802'!$A$2:$A$9,0))="retain",INDEX('C_jama.2018.8802'!$E$2:$E$9,MATCH("2018::jama.2018.8802::C001",'C_jama.2018.8802'!$A$2:$A$9,0))="protocol_report"),IF(INDEX('C_jama.2018.8802'!$L$2:$L$9,MATCH("2018::jama.2018.8802::C001",'C_jama.2018.8802'!$A$2:$A$9,0))="","",INDEX('C_jama.2018.8802'!$L$2:$L$9,MATCH("2018::jama.2018.8802::C001",'C_jama.2018.8802'!$A$2:$A$9,0))),"not_applicable")</x:f>
        <x:v>not_applicable</x:v>
      </x:c>
      <x:c r="Z100" s="6" t="str">
        <x:f>IF(INDEX('C_jama.2018.8802'!$R$2:$R$9,MATCH("2018::jama.2018.8802::C001",'C_jama.2018.8802'!$A$2:$A$9,0))="","",INDEX('C_jama.2018.8802'!$R$2:$R$9,MATCH("2018::jama.2018.8802::C001",'C_jama.2018.8802'!$A$2:$A$9,0)))</x:f>
      </x:c>
      <x:c r="AA100" s="6" t="str">
        <x:f>IF(INDEX('C_jama.2018.8802'!$N$2:$N$9,MATCH("2018::jama.2018.8802::C001",'C_jama.2018.8802'!$A$2:$A$9,0))="","",INDEX('C_jama.2018.8802'!$N$2:$N$9,MATCH("2018::jama.2018.8802::C001",'C_jama.2018.8802'!$A$2:$A$9,0)))</x:f>
      </x:c>
      <x:c r="AB100" s="6" t="str">
        <x:f>IF(INDEX('C_jama.2018.8802'!$O$2:$O$9,MATCH("2018::jama.2018.8802::C001",'C_jama.2018.8802'!$A$2:$A$9,0))="","",INDEX('C_jama.2018.8802'!$O$2:$O$9,MATCH("2018::jama.2018.8802::C001",'C_jama.2018.8802'!$A$2:$A$9,0)))</x:f>
      </x:c>
      <x:c r="AC100" s="6" t="str">
        <x:f>IF(INDEX('C_jama.2018.8802'!$P$2:$P$9,MATCH("2018::jama.2018.8802::C001",'C_jama.2018.8802'!$A$2:$A$9,0))="","",INDEX('C_jama.2018.8802'!$P$2:$P$9,MATCH("2018::jama.2018.8802::C001",'C_jama.2018.8802'!$A$2:$A$9,0)))</x:f>
      </x:c>
      <x:c r="AD100" s="6" t="str">
        <x:f>IF(INDEX('C_jama.2018.8802'!$Q$2:$Q$9,MATCH("2018::jama.2018.8802::C001",'C_jama.2018.8802'!$A$2:$A$9,0))="","",INDEX('C_jama.2018.8802'!$Q$2:$Q$9,MATCH("2018::jama.2018.8802::C001",'C_jama.2018.8802'!$A$2:$A$9,0)))</x:f>
      </x:c>
    </x:row>
    <x:row r="101" ht="65" customHeight="1">
      <x:c r="A101" s="3" t="n">
        <x:v>2018</x:v>
      </x:c>
      <x:c r="B101" s="3" t="str">
        <x:v>jama.2018.8802</x:v>
      </x:c>
      <x:c r="C101" s="3" t="str">
        <x:v>2018::jama.2018.8802::C002</x:v>
      </x:c>
      <x:c r="D101" s="3" t="str">
        <x:v>P_R</x:v>
      </x:c>
      <x:c r="E101" s="3" t="n">
        <x:f>Setup!$B$2</x:f>
        <x:v>0</x:v>
      </x:c>
      <x:c r="F101" s="3" t="str">
        <x:f>IF(Setup!$B$4="","",Setup!$B$4)</x:f>
      </x:c>
      <x:c r="G101" s="3" t="str">
        <x:f>IFERROR(INDEX('C_jama.2018.8802'!$G$2:$G$9,MATCH("2018::jama.2018.8802::C002",'C_jama.2018.8802'!$A$2:$A$9,0)),"CHECK KEY")</x:f>
        <x:v>CHECK REVIEWER IDs</x:v>
      </x:c>
      <x:c r="H101" s="3" t="str">
        <x:f>IF(G101&lt;&gt;"FINAL READY","",IF(S101&lt;&gt;"retain","not_eligible",IF(D101="P_R","protocol_descriptive",IF(D101="P_P","plan_descriptive",IF(AND(T101="statistical_results",OR(U101="confirmed_issue",U101="probable_issue"),V101="substantive"),"primary_temporal",IF(AND(T101="report_internal_inconsistency",X101="substantive_inconsistency"),"secondary_temporal","not_eligible"))))))</x:f>
      </x:c>
      <x:c r="I101" s="3" t="str">
        <x:v>retain</x:v>
      </x:c>
      <x:c r="J101" s="3" t="str">
        <x:v>protocol_report</x:v>
      </x:c>
      <x:c r="K101" s="3" t="str">
        <x:f>IF(Setup!$B$6="primary","",IFERROR(IF(INDEX('Primary_snapshot'!$B$2:$B$120,MATCH(C101,'Primary_snapshot'!$A$2:$A$120,0))="","",INDEX('Primary_snapshot'!$B$2:$B$120,MATCH(C101,'Primary_snapshot'!$A$2:$A$120,0))),"SNAPSHOT MISSING"))</x:f>
      </x:c>
      <x:c r="L101" s="3" t="str">
        <x:f>IF(Setup!$B$6="primary","",IFERROR(IF(INDEX('Primary_snapshot'!$C$2:$C$120,MATCH(C101,'Primary_snapshot'!$A$2:$A$120,0))="","",INDEX('Primary_snapshot'!$C$2:$C$120,MATCH(C101,'Primary_snapshot'!$A$2:$A$120,0))),"SNAPSHOT MISSING"))</x:f>
      </x:c>
      <x:c r="M101" s="3" t="str">
        <x:f>IF(Setup!$B$6="primary","",IFERROR(IF(INDEX('Primary_snapshot'!$D$2:$D$120,MATCH(C101,'Primary_snapshot'!$A$2:$A$120,0))="","",INDEX('Primary_snapshot'!$D$2:$D$120,MATCH(C101,'Primary_snapshot'!$A$2:$A$120,0))),"SNAPSHOT MISSING"))</x:f>
      </x:c>
      <x:c r="N101" s="3" t="str">
        <x:f>IF(Setup!$B$6="primary","",IFERROR(IF(INDEX('Primary_snapshot'!$E$2:$E$120,MATCH(C101,'Primary_snapshot'!$A$2:$A$120,0))="","",INDEX('Primary_snapshot'!$E$2:$E$120,MATCH(C101,'Primary_snapshot'!$A$2:$A$120,0))),"SNAPSHOT MISSING"))</x:f>
      </x:c>
      <x:c r="O101" s="3" t="str">
        <x:f>IF(Setup!$B$6="primary","",IFERROR(IF(INDEX('Primary_snapshot'!$F$2:$F$120,MATCH(C101,'Primary_snapshot'!$A$2:$A$120,0))="","",INDEX('Primary_snapshot'!$F$2:$F$120,MATCH(C101,'Primary_snapshot'!$A$2:$A$120,0))),"SNAPSHOT MISSING"))</x:f>
      </x:c>
      <x:c r="P101" s="3" t="str">
        <x:f>IF(Setup!$B$6="primary","",IFERROR(IF(INDEX('Primary_snapshot'!$G$2:$G$120,MATCH(C101,'Primary_snapshot'!$A$2:$A$120,0))="","",INDEX('Primary_snapshot'!$G$2:$G$120,MATCH(C101,'Primary_snapshot'!$A$2:$A$120,0))),"SNAPSHOT MISSING"))</x:f>
      </x:c>
      <x:c r="Q101" s="3" t="str">
        <x:f>IF(Setup!$B$6="primary","",IFERROR(IF(INDEX('Primary_snapshot'!$H$2:$H$120,MATCH(C101,'Primary_snapshot'!$A$2:$A$120,0))="","",INDEX('Primary_snapshot'!$H$2:$H$120,MATCH(C101,'Primary_snapshot'!$A$2:$A$120,0))),"SNAPSHOT MISSING"))</x:f>
      </x:c>
      <x:c r="R101" s="3" t="str">
        <x:f>IF(Setup!$B$6="primary","",IFERROR(IF(INDEX('Primary_snapshot'!$I$2:$I$120,MATCH(C101,'Primary_snapshot'!$A$2:$A$120,0))="","",INDEX('Primary_snapshot'!$I$2:$I$120,MATCH(C101,'Primary_snapshot'!$A$2:$A$120,0))),"SNAPSHOT MISSING"))</x:f>
      </x:c>
      <x:c r="S101" s="3" t="str">
        <x:f>IF(INDEX('C_jama.2018.8802'!$D$2:$D$9,MATCH("2018::jama.2018.8802::C002",'C_jama.2018.8802'!$A$2:$A$9,0))="","",INDEX('C_jama.2018.8802'!$D$2:$D$9,MATCH("2018::jama.2018.8802::C002",'C_jama.2018.8802'!$A$2:$A$9,0)))</x:f>
      </x:c>
      <x:c r="T101" s="3" t="str">
        <x:f>IF(INDEX('C_jama.2018.8802'!$E$2:$E$9,MATCH("2018::jama.2018.8802::C002",'C_jama.2018.8802'!$A$2:$A$9,0))="","",INDEX('C_jama.2018.8802'!$E$2:$E$9,MATCH("2018::jama.2018.8802::C002",'C_jama.2018.8802'!$A$2:$A$9,0)))</x:f>
        <x:v>protocol_report</x:v>
      </x:c>
      <x:c r="U101" s="3" t="str">
        <x:f>IF(AND(INDEX('C_jama.2018.8802'!$D$2:$D$9,MATCH("2018::jama.2018.8802::C002",'C_jama.2018.8802'!$A$2:$A$9,0))="retain",INDEX('C_jama.2018.8802'!$E$2:$E$9,MATCH("2018::jama.2018.8802::C002",'C_jama.2018.8802'!$A$2:$A$9,0))="statistical_results"),IF(INDEX('C_jama.2018.8802'!$H$2:$H$9,MATCH("2018::jama.2018.8802::C002",'C_jama.2018.8802'!$A$2:$A$9,0))="","",INDEX('C_jama.2018.8802'!$H$2:$H$9,MATCH("2018::jama.2018.8802::C002",'C_jama.2018.8802'!$A$2:$A$9,0))),"not_applicable")</x:f>
        <x:v>not_applicable</x:v>
      </x:c>
      <x:c r="V101" s="3" t="str">
        <x:f>IF(AND(INDEX('C_jama.2018.8802'!$D$2:$D$9,MATCH("2018::jama.2018.8802::C002",'C_jama.2018.8802'!$A$2:$A$9,0))="retain",INDEX('C_jama.2018.8802'!$E$2:$E$9,MATCH("2018::jama.2018.8802::C002",'C_jama.2018.8802'!$A$2:$A$9,0))="statistical_results"),IF(INDEX('C_jama.2018.8802'!$I$2:$I$9,MATCH("2018::jama.2018.8802::C002",'C_jama.2018.8802'!$A$2:$A$9,0))="","",INDEX('C_jama.2018.8802'!$I$2:$I$9,MATCH("2018::jama.2018.8802::C002",'C_jama.2018.8802'!$A$2:$A$9,0))),"not_applicable")</x:f>
        <x:v>not_applicable</x:v>
      </x:c>
      <x:c r="W101" s="3" t="str">
        <x:f>IF(AND(INDEX('C_jama.2018.8802'!$D$2:$D$9,MATCH("2018::jama.2018.8802::C002",'C_jama.2018.8802'!$A$2:$A$9,0))="retain",INDEX('C_jama.2018.8802'!$E$2:$E$9,MATCH("2018::jama.2018.8802::C002",'C_jama.2018.8802'!$A$2:$A$9,0))="statistical_results"),IF(INDEX('C_jama.2018.8802'!$J$2:$J$9,MATCH("2018::jama.2018.8802::C002",'C_jama.2018.8802'!$A$2:$A$9,0))="","",INDEX('C_jama.2018.8802'!$J$2:$J$9,MATCH("2018::jama.2018.8802::C002",'C_jama.2018.8802'!$A$2:$A$9,0))),"not_applicable")</x:f>
        <x:v>not_applicable</x:v>
      </x:c>
      <x:c r="X101" s="3" t="str">
        <x:f>IF(AND(INDEX('C_jama.2018.8802'!$D$2:$D$9,MATCH("2018::jama.2018.8802::C002",'C_jama.2018.8802'!$A$2:$A$9,0))="retain",OR(INDEX('C_jama.2018.8802'!$E$2:$E$9,MATCH("2018::jama.2018.8802::C002",'C_jama.2018.8802'!$A$2:$A$9,0))="report_internal_inconsistency",INDEX('C_jama.2018.8802'!$E$2:$E$9,MATCH("2018::jama.2018.8802::C002",'C_jama.2018.8802'!$A$2:$A$9,0))="plan_material")),IF(INDEX('C_jama.2018.8802'!$K$2:$K$9,MATCH("2018::jama.2018.8802::C002",'C_jama.2018.8802'!$A$2:$A$9,0))="","",INDEX('C_jama.2018.8802'!$K$2:$K$9,MATCH("2018::jama.2018.8802::C002",'C_jama.2018.8802'!$A$2:$A$9,0))),"not_applicable")</x:f>
        <x:v>not_applicable</x:v>
      </x:c>
      <x:c r="Y101" s="3" t="str">
        <x:f>IF(AND(INDEX('C_jama.2018.8802'!$D$2:$D$9,MATCH("2018::jama.2018.8802::C002",'C_jama.2018.8802'!$A$2:$A$9,0))="retain",INDEX('C_jama.2018.8802'!$E$2:$E$9,MATCH("2018::jama.2018.8802::C002",'C_jama.2018.8802'!$A$2:$A$9,0))="protocol_report"),IF(INDEX('C_jama.2018.8802'!$L$2:$L$9,MATCH("2018::jama.2018.8802::C002",'C_jama.2018.8802'!$A$2:$A$9,0))="","",INDEX('C_jama.2018.8802'!$L$2:$L$9,MATCH("2018::jama.2018.8802::C002",'C_jama.2018.8802'!$A$2:$A$9,0))),"not_applicable")</x:f>
        <x:v>not_applicable</x:v>
      </x:c>
      <x:c r="Z101" s="3" t="str">
        <x:f>IF(INDEX('C_jama.2018.8802'!$R$2:$R$9,MATCH("2018::jama.2018.8802::C002",'C_jama.2018.8802'!$A$2:$A$9,0))="","",INDEX('C_jama.2018.8802'!$R$2:$R$9,MATCH("2018::jama.2018.8802::C002",'C_jama.2018.8802'!$A$2:$A$9,0)))</x:f>
      </x:c>
      <x:c r="AA101" s="3" t="str">
        <x:f>IF(INDEX('C_jama.2018.8802'!$N$2:$N$9,MATCH("2018::jama.2018.8802::C002",'C_jama.2018.8802'!$A$2:$A$9,0))="","",INDEX('C_jama.2018.8802'!$N$2:$N$9,MATCH("2018::jama.2018.8802::C002",'C_jama.2018.8802'!$A$2:$A$9,0)))</x:f>
      </x:c>
      <x:c r="AB101" s="3" t="str">
        <x:f>IF(INDEX('C_jama.2018.8802'!$O$2:$O$9,MATCH("2018::jama.2018.8802::C002",'C_jama.2018.8802'!$A$2:$A$9,0))="","",INDEX('C_jama.2018.8802'!$O$2:$O$9,MATCH("2018::jama.2018.8802::C002",'C_jama.2018.8802'!$A$2:$A$9,0)))</x:f>
      </x:c>
      <x:c r="AC101" s="3" t="str">
        <x:f>IF(INDEX('C_jama.2018.8802'!$P$2:$P$9,MATCH("2018::jama.2018.8802::C002",'C_jama.2018.8802'!$A$2:$A$9,0))="","",INDEX('C_jama.2018.8802'!$P$2:$P$9,MATCH("2018::jama.2018.8802::C002",'C_jama.2018.8802'!$A$2:$A$9,0)))</x:f>
      </x:c>
      <x:c r="AD101" s="3" t="str">
        <x:f>IF(INDEX('C_jama.2018.8802'!$Q$2:$Q$9,MATCH("2018::jama.2018.8802::C002",'C_jama.2018.8802'!$A$2:$A$9,0))="","",INDEX('C_jama.2018.8802'!$Q$2:$Q$9,MATCH("2018::jama.2018.8802::C002",'C_jama.2018.8802'!$A$2:$A$9,0)))</x:f>
      </x:c>
    </x:row>
    <x:row r="102" ht="65" customHeight="1">
      <x:c r="A102" s="6" t="n">
        <x:v>2018</x:v>
      </x:c>
      <x:c r="B102" s="6" t="str">
        <x:v>jama.2018.8802</x:v>
      </x:c>
      <x:c r="C102" s="6" t="str">
        <x:v>2018::jama.2018.8802::C003</x:v>
      </x:c>
      <x:c r="D102" s="6" t="str">
        <x:v>S_W</x:v>
      </x:c>
      <x:c r="E102" s="6" t="n">
        <x:f>Setup!$B$2</x:f>
        <x:v>0</x:v>
      </x:c>
      <x:c r="F102" s="6" t="str">
        <x:f>IF(Setup!$B$4="","",Setup!$B$4)</x:f>
      </x:c>
      <x:c r="G102" s="6" t="str">
        <x:f>IFERROR(INDEX('C_jama.2018.8802'!$G$2:$G$9,MATCH("2018::jama.2018.8802::C003",'C_jama.2018.8802'!$A$2:$A$9,0)),"CHECK KEY")</x:f>
        <x:v>CHECK REVIEWER IDs</x:v>
      </x:c>
      <x:c r="H102" s="6" t="str">
        <x:f>IF(G102&lt;&gt;"FINAL READY","",IF(S102&lt;&gt;"retain","not_eligible",IF(D102="P_R","protocol_descriptive",IF(D102="P_P","plan_descriptive",IF(AND(T102="statistical_results",OR(U102="confirmed_issue",U102="probable_issue"),V102="substantive"),"primary_temporal",IF(AND(T102="report_internal_inconsistency",X102="substantive_inconsistency"),"secondary_temporal","not_eligible"))))))</x:f>
      </x:c>
      <x:c r="I102" s="6" t="str">
        <x:v>retain</x:v>
      </x:c>
      <x:c r="J102" s="6" t="str">
        <x:v>statistical_results</x:v>
      </x:c>
      <x:c r="K102" s="6" t="str">
        <x:f>IF(Setup!$B$6="primary","",IFERROR(IF(INDEX('Primary_snapshot'!$B$2:$B$120,MATCH(C102,'Primary_snapshot'!$A$2:$A$120,0))="","",INDEX('Primary_snapshot'!$B$2:$B$120,MATCH(C102,'Primary_snapshot'!$A$2:$A$120,0))),"SNAPSHOT MISSING"))</x:f>
      </x:c>
      <x:c r="L102" s="6" t="str">
        <x:f>IF(Setup!$B$6="primary","",IFERROR(IF(INDEX('Primary_snapshot'!$C$2:$C$120,MATCH(C102,'Primary_snapshot'!$A$2:$A$120,0))="","",INDEX('Primary_snapshot'!$C$2:$C$120,MATCH(C102,'Primary_snapshot'!$A$2:$A$120,0))),"SNAPSHOT MISSING"))</x:f>
      </x:c>
      <x:c r="M102" s="6" t="str">
        <x:f>IF(Setup!$B$6="primary","",IFERROR(IF(INDEX('Primary_snapshot'!$D$2:$D$120,MATCH(C102,'Primary_snapshot'!$A$2:$A$120,0))="","",INDEX('Primary_snapshot'!$D$2:$D$120,MATCH(C102,'Primary_snapshot'!$A$2:$A$120,0))),"SNAPSHOT MISSING"))</x:f>
      </x:c>
      <x:c r="N102" s="6" t="str">
        <x:f>IF(Setup!$B$6="primary","",IFERROR(IF(INDEX('Primary_snapshot'!$E$2:$E$120,MATCH(C102,'Primary_snapshot'!$A$2:$A$120,0))="","",INDEX('Primary_snapshot'!$E$2:$E$120,MATCH(C102,'Primary_snapshot'!$A$2:$A$120,0))),"SNAPSHOT MISSING"))</x:f>
      </x:c>
      <x:c r="O102" s="6" t="str">
        <x:f>IF(Setup!$B$6="primary","",IFERROR(IF(INDEX('Primary_snapshot'!$F$2:$F$120,MATCH(C102,'Primary_snapshot'!$A$2:$A$120,0))="","",INDEX('Primary_snapshot'!$F$2:$F$120,MATCH(C102,'Primary_snapshot'!$A$2:$A$120,0))),"SNAPSHOT MISSING"))</x:f>
      </x:c>
      <x:c r="P102" s="6" t="str">
        <x:f>IF(Setup!$B$6="primary","",IFERROR(IF(INDEX('Primary_snapshot'!$G$2:$G$120,MATCH(C102,'Primary_snapshot'!$A$2:$A$120,0))="","",INDEX('Primary_snapshot'!$G$2:$G$120,MATCH(C102,'Primary_snapshot'!$A$2:$A$120,0))),"SNAPSHOT MISSING"))</x:f>
      </x:c>
      <x:c r="Q102" s="6" t="str">
        <x:f>IF(Setup!$B$6="primary","",IFERROR(IF(INDEX('Primary_snapshot'!$H$2:$H$120,MATCH(C102,'Primary_snapshot'!$A$2:$A$120,0))="","",INDEX('Primary_snapshot'!$H$2:$H$120,MATCH(C102,'Primary_snapshot'!$A$2:$A$120,0))),"SNAPSHOT MISSING"))</x:f>
      </x:c>
      <x:c r="R102" s="6" t="str">
        <x:f>IF(Setup!$B$6="primary","",IFERROR(IF(INDEX('Primary_snapshot'!$I$2:$I$120,MATCH(C102,'Primary_snapshot'!$A$2:$A$120,0))="","",INDEX('Primary_snapshot'!$I$2:$I$120,MATCH(C102,'Primary_snapshot'!$A$2:$A$120,0))),"SNAPSHOT MISSING"))</x:f>
      </x:c>
      <x:c r="S102" s="6" t="str">
        <x:f>IF(INDEX('C_jama.2018.8802'!$D$2:$D$9,MATCH("2018::jama.2018.8802::C003",'C_jama.2018.8802'!$A$2:$A$9,0))="","",INDEX('C_jama.2018.8802'!$D$2:$D$9,MATCH("2018::jama.2018.8802::C003",'C_jama.2018.8802'!$A$2:$A$9,0)))</x:f>
      </x:c>
      <x:c r="T102" s="6" t="str">
        <x:f>IF(INDEX('C_jama.2018.8802'!$E$2:$E$9,MATCH("2018::jama.2018.8802::C003",'C_jama.2018.8802'!$A$2:$A$9,0))="","",INDEX('C_jama.2018.8802'!$E$2:$E$9,MATCH("2018::jama.2018.8802::C003",'C_jama.2018.8802'!$A$2:$A$9,0)))</x:f>
        <x:v>statistical_results</x:v>
      </x:c>
      <x:c r="U102" s="6" t="str">
        <x:f>IF(AND(INDEX('C_jama.2018.8802'!$D$2:$D$9,MATCH("2018::jama.2018.8802::C003",'C_jama.2018.8802'!$A$2:$A$9,0))="retain",INDEX('C_jama.2018.8802'!$E$2:$E$9,MATCH("2018::jama.2018.8802::C003",'C_jama.2018.8802'!$A$2:$A$9,0))="statistical_results"),IF(INDEX('C_jama.2018.8802'!$H$2:$H$9,MATCH("2018::jama.2018.8802::C003",'C_jama.2018.8802'!$A$2:$A$9,0))="","",INDEX('C_jama.2018.8802'!$H$2:$H$9,MATCH("2018::jama.2018.8802::C003",'C_jama.2018.8802'!$A$2:$A$9,0))),"not_applicable")</x:f>
        <x:v>not_applicable</x:v>
      </x:c>
      <x:c r="V102" s="6" t="str">
        <x:f>IF(AND(INDEX('C_jama.2018.8802'!$D$2:$D$9,MATCH("2018::jama.2018.8802::C003",'C_jama.2018.8802'!$A$2:$A$9,0))="retain",INDEX('C_jama.2018.8802'!$E$2:$E$9,MATCH("2018::jama.2018.8802::C003",'C_jama.2018.8802'!$A$2:$A$9,0))="statistical_results"),IF(INDEX('C_jama.2018.8802'!$I$2:$I$9,MATCH("2018::jama.2018.8802::C003",'C_jama.2018.8802'!$A$2:$A$9,0))="","",INDEX('C_jama.2018.8802'!$I$2:$I$9,MATCH("2018::jama.2018.8802::C003",'C_jama.2018.8802'!$A$2:$A$9,0))),"not_applicable")</x:f>
        <x:v>not_applicable</x:v>
      </x:c>
      <x:c r="W102" s="6" t="str">
        <x:f>IF(AND(INDEX('C_jama.2018.8802'!$D$2:$D$9,MATCH("2018::jama.2018.8802::C003",'C_jama.2018.8802'!$A$2:$A$9,0))="retain",INDEX('C_jama.2018.8802'!$E$2:$E$9,MATCH("2018::jama.2018.8802::C003",'C_jama.2018.8802'!$A$2:$A$9,0))="statistical_results"),IF(INDEX('C_jama.2018.8802'!$J$2:$J$9,MATCH("2018::jama.2018.8802::C003",'C_jama.2018.8802'!$A$2:$A$9,0))="","",INDEX('C_jama.2018.8802'!$J$2:$J$9,MATCH("2018::jama.2018.8802::C003",'C_jama.2018.8802'!$A$2:$A$9,0))),"not_applicable")</x:f>
        <x:v>not_applicable</x:v>
      </x:c>
      <x:c r="X102" s="6" t="str">
        <x:f>IF(AND(INDEX('C_jama.2018.8802'!$D$2:$D$9,MATCH("2018::jama.2018.8802::C003",'C_jama.2018.8802'!$A$2:$A$9,0))="retain",OR(INDEX('C_jama.2018.8802'!$E$2:$E$9,MATCH("2018::jama.2018.8802::C003",'C_jama.2018.8802'!$A$2:$A$9,0))="report_internal_inconsistency",INDEX('C_jama.2018.8802'!$E$2:$E$9,MATCH("2018::jama.2018.8802::C003",'C_jama.2018.8802'!$A$2:$A$9,0))="plan_material")),IF(INDEX('C_jama.2018.8802'!$K$2:$K$9,MATCH("2018::jama.2018.8802::C003",'C_jama.2018.8802'!$A$2:$A$9,0))="","",INDEX('C_jama.2018.8802'!$K$2:$K$9,MATCH("2018::jama.2018.8802::C003",'C_jama.2018.8802'!$A$2:$A$9,0))),"not_applicable")</x:f>
        <x:v>not_applicable</x:v>
      </x:c>
      <x:c r="Y102" s="6" t="str">
        <x:f>IF(AND(INDEX('C_jama.2018.8802'!$D$2:$D$9,MATCH("2018::jama.2018.8802::C003",'C_jama.2018.8802'!$A$2:$A$9,0))="retain",INDEX('C_jama.2018.8802'!$E$2:$E$9,MATCH("2018::jama.2018.8802::C003",'C_jama.2018.8802'!$A$2:$A$9,0))="protocol_report"),IF(INDEX('C_jama.2018.8802'!$L$2:$L$9,MATCH("2018::jama.2018.8802::C003",'C_jama.2018.8802'!$A$2:$A$9,0))="","",INDEX('C_jama.2018.8802'!$L$2:$L$9,MATCH("2018::jama.2018.8802::C003",'C_jama.2018.8802'!$A$2:$A$9,0))),"not_applicable")</x:f>
        <x:v>not_applicable</x:v>
      </x:c>
      <x:c r="Z102" s="6" t="str">
        <x:f>IF(INDEX('C_jama.2018.8802'!$R$2:$R$9,MATCH("2018::jama.2018.8802::C003",'C_jama.2018.8802'!$A$2:$A$9,0))="","",INDEX('C_jama.2018.8802'!$R$2:$R$9,MATCH("2018::jama.2018.8802::C003",'C_jama.2018.8802'!$A$2:$A$9,0)))</x:f>
      </x:c>
      <x:c r="AA102" s="6" t="str">
        <x:f>IF(INDEX('C_jama.2018.8802'!$N$2:$N$9,MATCH("2018::jama.2018.8802::C003",'C_jama.2018.8802'!$A$2:$A$9,0))="","",INDEX('C_jama.2018.8802'!$N$2:$N$9,MATCH("2018::jama.2018.8802::C003",'C_jama.2018.8802'!$A$2:$A$9,0)))</x:f>
      </x:c>
      <x:c r="AB102" s="6" t="str">
        <x:f>IF(INDEX('C_jama.2018.8802'!$O$2:$O$9,MATCH("2018::jama.2018.8802::C003",'C_jama.2018.8802'!$A$2:$A$9,0))="","",INDEX('C_jama.2018.8802'!$O$2:$O$9,MATCH("2018::jama.2018.8802::C003",'C_jama.2018.8802'!$A$2:$A$9,0)))</x:f>
      </x:c>
      <x:c r="AC102" s="6" t="str">
        <x:f>IF(INDEX('C_jama.2018.8802'!$P$2:$P$9,MATCH("2018::jama.2018.8802::C003",'C_jama.2018.8802'!$A$2:$A$9,0))="","",INDEX('C_jama.2018.8802'!$P$2:$P$9,MATCH("2018::jama.2018.8802::C003",'C_jama.2018.8802'!$A$2:$A$9,0)))</x:f>
      </x:c>
      <x:c r="AD102" s="6" t="str">
        <x:f>IF(INDEX('C_jama.2018.8802'!$Q$2:$Q$9,MATCH("2018::jama.2018.8802::C003",'C_jama.2018.8802'!$A$2:$A$9,0))="","",INDEX('C_jama.2018.8802'!$Q$2:$Q$9,MATCH("2018::jama.2018.8802::C003",'C_jama.2018.8802'!$A$2:$A$9,0)))</x:f>
      </x:c>
    </x:row>
    <x:row r="103" ht="65" customHeight="1">
      <x:c r="A103" s="3" t="n">
        <x:v>2018</x:v>
      </x:c>
      <x:c r="B103" s="3" t="str">
        <x:v>jama.2018.8802</x:v>
      </x:c>
      <x:c r="C103" s="3" t="str">
        <x:v>2018::jama.2018.8802::C004</x:v>
      </x:c>
      <x:c r="D103" s="3" t="str">
        <x:v>S_W</x:v>
      </x:c>
      <x:c r="E103" s="3" t="n">
        <x:f>Setup!$B$2</x:f>
        <x:v>0</x:v>
      </x:c>
      <x:c r="F103" s="3" t="str">
        <x:f>IF(Setup!$B$4="","",Setup!$B$4)</x:f>
      </x:c>
      <x:c r="G103" s="3" t="str">
        <x:f>IFERROR(INDEX('C_jama.2018.8802'!$G$2:$G$9,MATCH("2018::jama.2018.8802::C004",'C_jama.2018.8802'!$A$2:$A$9,0)),"CHECK KEY")</x:f>
        <x:v>CHECK REVIEWER IDs</x:v>
      </x:c>
      <x:c r="H103" s="3" t="str">
        <x:f>IF(G103&lt;&gt;"FINAL READY","",IF(S103&lt;&gt;"retain","not_eligible",IF(D103="P_R","protocol_descriptive",IF(D103="P_P","plan_descriptive",IF(AND(T103="statistical_results",OR(U103="confirmed_issue",U103="probable_issue"),V103="substantive"),"primary_temporal",IF(AND(T103="report_internal_inconsistency",X103="substantive_inconsistency"),"secondary_temporal","not_eligible"))))))</x:f>
      </x:c>
      <x:c r="I103" s="3" t="str">
        <x:v>retain</x:v>
      </x:c>
      <x:c r="J103" s="3" t="str">
        <x:v>statistical_results</x:v>
      </x:c>
      <x:c r="K103" s="3" t="str">
        <x:f>IF(Setup!$B$6="primary","",IFERROR(IF(INDEX('Primary_snapshot'!$B$2:$B$120,MATCH(C103,'Primary_snapshot'!$A$2:$A$120,0))="","",INDEX('Primary_snapshot'!$B$2:$B$120,MATCH(C103,'Primary_snapshot'!$A$2:$A$120,0))),"SNAPSHOT MISSING"))</x:f>
      </x:c>
      <x:c r="L103" s="3" t="str">
        <x:f>IF(Setup!$B$6="primary","",IFERROR(IF(INDEX('Primary_snapshot'!$C$2:$C$120,MATCH(C103,'Primary_snapshot'!$A$2:$A$120,0))="","",INDEX('Primary_snapshot'!$C$2:$C$120,MATCH(C103,'Primary_snapshot'!$A$2:$A$120,0))),"SNAPSHOT MISSING"))</x:f>
      </x:c>
      <x:c r="M103" s="3" t="str">
        <x:f>IF(Setup!$B$6="primary","",IFERROR(IF(INDEX('Primary_snapshot'!$D$2:$D$120,MATCH(C103,'Primary_snapshot'!$A$2:$A$120,0))="","",INDEX('Primary_snapshot'!$D$2:$D$120,MATCH(C103,'Primary_snapshot'!$A$2:$A$120,0))),"SNAPSHOT MISSING"))</x:f>
      </x:c>
      <x:c r="N103" s="3" t="str">
        <x:f>IF(Setup!$B$6="primary","",IFERROR(IF(INDEX('Primary_snapshot'!$E$2:$E$120,MATCH(C103,'Primary_snapshot'!$A$2:$A$120,0))="","",INDEX('Primary_snapshot'!$E$2:$E$120,MATCH(C103,'Primary_snapshot'!$A$2:$A$120,0))),"SNAPSHOT MISSING"))</x:f>
      </x:c>
      <x:c r="O103" s="3" t="str">
        <x:f>IF(Setup!$B$6="primary","",IFERROR(IF(INDEX('Primary_snapshot'!$F$2:$F$120,MATCH(C103,'Primary_snapshot'!$A$2:$A$120,0))="","",INDEX('Primary_snapshot'!$F$2:$F$120,MATCH(C103,'Primary_snapshot'!$A$2:$A$120,0))),"SNAPSHOT MISSING"))</x:f>
      </x:c>
      <x:c r="P103" s="3" t="str">
        <x:f>IF(Setup!$B$6="primary","",IFERROR(IF(INDEX('Primary_snapshot'!$G$2:$G$120,MATCH(C103,'Primary_snapshot'!$A$2:$A$120,0))="","",INDEX('Primary_snapshot'!$G$2:$G$120,MATCH(C103,'Primary_snapshot'!$A$2:$A$120,0))),"SNAPSHOT MISSING"))</x:f>
      </x:c>
      <x:c r="Q103" s="3" t="str">
        <x:f>IF(Setup!$B$6="primary","",IFERROR(IF(INDEX('Primary_snapshot'!$H$2:$H$120,MATCH(C103,'Primary_snapshot'!$A$2:$A$120,0))="","",INDEX('Primary_snapshot'!$H$2:$H$120,MATCH(C103,'Primary_snapshot'!$A$2:$A$120,0))),"SNAPSHOT MISSING"))</x:f>
      </x:c>
      <x:c r="R103" s="3" t="str">
        <x:f>IF(Setup!$B$6="primary","",IFERROR(IF(INDEX('Primary_snapshot'!$I$2:$I$120,MATCH(C103,'Primary_snapshot'!$A$2:$A$120,0))="","",INDEX('Primary_snapshot'!$I$2:$I$120,MATCH(C103,'Primary_snapshot'!$A$2:$A$120,0))),"SNAPSHOT MISSING"))</x:f>
      </x:c>
      <x:c r="S103" s="3" t="str">
        <x:f>IF(INDEX('C_jama.2018.8802'!$D$2:$D$9,MATCH("2018::jama.2018.8802::C004",'C_jama.2018.8802'!$A$2:$A$9,0))="","",INDEX('C_jama.2018.8802'!$D$2:$D$9,MATCH("2018::jama.2018.8802::C004",'C_jama.2018.8802'!$A$2:$A$9,0)))</x:f>
      </x:c>
      <x:c r="T103" s="3" t="str">
        <x:f>IF(INDEX('C_jama.2018.8802'!$E$2:$E$9,MATCH("2018::jama.2018.8802::C004",'C_jama.2018.8802'!$A$2:$A$9,0))="","",INDEX('C_jama.2018.8802'!$E$2:$E$9,MATCH("2018::jama.2018.8802::C004",'C_jama.2018.8802'!$A$2:$A$9,0)))</x:f>
        <x:v>statistical_results</x:v>
      </x:c>
      <x:c r="U103" s="3" t="str">
        <x:f>IF(AND(INDEX('C_jama.2018.8802'!$D$2:$D$9,MATCH("2018::jama.2018.8802::C004",'C_jama.2018.8802'!$A$2:$A$9,0))="retain",INDEX('C_jama.2018.8802'!$E$2:$E$9,MATCH("2018::jama.2018.8802::C004",'C_jama.2018.8802'!$A$2:$A$9,0))="statistical_results"),IF(INDEX('C_jama.2018.8802'!$H$2:$H$9,MATCH("2018::jama.2018.8802::C004",'C_jama.2018.8802'!$A$2:$A$9,0))="","",INDEX('C_jama.2018.8802'!$H$2:$H$9,MATCH("2018::jama.2018.8802::C004",'C_jama.2018.8802'!$A$2:$A$9,0))),"not_applicable")</x:f>
        <x:v>not_applicable</x:v>
      </x:c>
      <x:c r="V103" s="3" t="str">
        <x:f>IF(AND(INDEX('C_jama.2018.8802'!$D$2:$D$9,MATCH("2018::jama.2018.8802::C004",'C_jama.2018.8802'!$A$2:$A$9,0))="retain",INDEX('C_jama.2018.8802'!$E$2:$E$9,MATCH("2018::jama.2018.8802::C004",'C_jama.2018.8802'!$A$2:$A$9,0))="statistical_results"),IF(INDEX('C_jama.2018.8802'!$I$2:$I$9,MATCH("2018::jama.2018.8802::C004",'C_jama.2018.8802'!$A$2:$A$9,0))="","",INDEX('C_jama.2018.8802'!$I$2:$I$9,MATCH("2018::jama.2018.8802::C004",'C_jama.2018.8802'!$A$2:$A$9,0))),"not_applicable")</x:f>
        <x:v>not_applicable</x:v>
      </x:c>
      <x:c r="W103" s="3" t="str">
        <x:f>IF(AND(INDEX('C_jama.2018.8802'!$D$2:$D$9,MATCH("2018::jama.2018.8802::C004",'C_jama.2018.8802'!$A$2:$A$9,0))="retain",INDEX('C_jama.2018.8802'!$E$2:$E$9,MATCH("2018::jama.2018.8802::C004",'C_jama.2018.8802'!$A$2:$A$9,0))="statistical_results"),IF(INDEX('C_jama.2018.8802'!$J$2:$J$9,MATCH("2018::jama.2018.8802::C004",'C_jama.2018.8802'!$A$2:$A$9,0))="","",INDEX('C_jama.2018.8802'!$J$2:$J$9,MATCH("2018::jama.2018.8802::C004",'C_jama.2018.8802'!$A$2:$A$9,0))),"not_applicable")</x:f>
        <x:v>not_applicable</x:v>
      </x:c>
      <x:c r="X103" s="3" t="str">
        <x:f>IF(AND(INDEX('C_jama.2018.8802'!$D$2:$D$9,MATCH("2018::jama.2018.8802::C004",'C_jama.2018.8802'!$A$2:$A$9,0))="retain",OR(INDEX('C_jama.2018.8802'!$E$2:$E$9,MATCH("2018::jama.2018.8802::C004",'C_jama.2018.8802'!$A$2:$A$9,0))="report_internal_inconsistency",INDEX('C_jama.2018.8802'!$E$2:$E$9,MATCH("2018::jama.2018.8802::C004",'C_jama.2018.8802'!$A$2:$A$9,0))="plan_material")),IF(INDEX('C_jama.2018.8802'!$K$2:$K$9,MATCH("2018::jama.2018.8802::C004",'C_jama.2018.8802'!$A$2:$A$9,0))="","",INDEX('C_jama.2018.8802'!$K$2:$K$9,MATCH("2018::jama.2018.8802::C004",'C_jama.2018.8802'!$A$2:$A$9,0))),"not_applicable")</x:f>
        <x:v>not_applicable</x:v>
      </x:c>
      <x:c r="Y103" s="3" t="str">
        <x:f>IF(AND(INDEX('C_jama.2018.8802'!$D$2:$D$9,MATCH("2018::jama.2018.8802::C004",'C_jama.2018.8802'!$A$2:$A$9,0))="retain",INDEX('C_jama.2018.8802'!$E$2:$E$9,MATCH("2018::jama.2018.8802::C004",'C_jama.2018.8802'!$A$2:$A$9,0))="protocol_report"),IF(INDEX('C_jama.2018.8802'!$L$2:$L$9,MATCH("2018::jama.2018.8802::C004",'C_jama.2018.8802'!$A$2:$A$9,0))="","",INDEX('C_jama.2018.8802'!$L$2:$L$9,MATCH("2018::jama.2018.8802::C004",'C_jama.2018.8802'!$A$2:$A$9,0))),"not_applicable")</x:f>
        <x:v>not_applicable</x:v>
      </x:c>
      <x:c r="Z103" s="3" t="str">
        <x:f>IF(INDEX('C_jama.2018.8802'!$R$2:$R$9,MATCH("2018::jama.2018.8802::C004",'C_jama.2018.8802'!$A$2:$A$9,0))="","",INDEX('C_jama.2018.8802'!$R$2:$R$9,MATCH("2018::jama.2018.8802::C004",'C_jama.2018.8802'!$A$2:$A$9,0)))</x:f>
      </x:c>
      <x:c r="AA103" s="3" t="str">
        <x:f>IF(INDEX('C_jama.2018.8802'!$N$2:$N$9,MATCH("2018::jama.2018.8802::C004",'C_jama.2018.8802'!$A$2:$A$9,0))="","",INDEX('C_jama.2018.8802'!$N$2:$N$9,MATCH("2018::jama.2018.8802::C004",'C_jama.2018.8802'!$A$2:$A$9,0)))</x:f>
      </x:c>
      <x:c r="AB103" s="3" t="str">
        <x:f>IF(INDEX('C_jama.2018.8802'!$O$2:$O$9,MATCH("2018::jama.2018.8802::C004",'C_jama.2018.8802'!$A$2:$A$9,0))="","",INDEX('C_jama.2018.8802'!$O$2:$O$9,MATCH("2018::jama.2018.8802::C004",'C_jama.2018.8802'!$A$2:$A$9,0)))</x:f>
      </x:c>
      <x:c r="AC103" s="3" t="str">
        <x:f>IF(INDEX('C_jama.2018.8802'!$P$2:$P$9,MATCH("2018::jama.2018.8802::C004",'C_jama.2018.8802'!$A$2:$A$9,0))="","",INDEX('C_jama.2018.8802'!$P$2:$P$9,MATCH("2018::jama.2018.8802::C004",'C_jama.2018.8802'!$A$2:$A$9,0)))</x:f>
      </x:c>
      <x:c r="AD103" s="3" t="str">
        <x:f>IF(INDEX('C_jama.2018.8802'!$Q$2:$Q$9,MATCH("2018::jama.2018.8802::C004",'C_jama.2018.8802'!$A$2:$A$9,0))="","",INDEX('C_jama.2018.8802'!$Q$2:$Q$9,MATCH("2018::jama.2018.8802::C004",'C_jama.2018.8802'!$A$2:$A$9,0)))</x:f>
      </x:c>
    </x:row>
    <x:row r="104" ht="65" customHeight="1">
      <x:c r="A104" s="6" t="n">
        <x:v>2018</x:v>
      </x:c>
      <x:c r="B104" s="6" t="str">
        <x:v>jama.2018.8802</x:v>
      </x:c>
      <x:c r="C104" s="6" t="str">
        <x:v>2018::jama.2018.8802::C005</x:v>
      </x:c>
      <x:c r="D104" s="6" t="str">
        <x:v>S_W</x:v>
      </x:c>
      <x:c r="E104" s="6" t="n">
        <x:f>Setup!$B$2</x:f>
        <x:v>0</x:v>
      </x:c>
      <x:c r="F104" s="6" t="str">
        <x:f>IF(Setup!$B$4="","",Setup!$B$4)</x:f>
      </x:c>
      <x:c r="G104" s="6" t="str">
        <x:f>IFERROR(INDEX('C_jama.2018.8802'!$G$2:$G$9,MATCH("2018::jama.2018.8802::C005",'C_jama.2018.8802'!$A$2:$A$9,0)),"CHECK KEY")</x:f>
        <x:v>CHECK REVIEWER IDs</x:v>
      </x:c>
      <x:c r="H104" s="6" t="str">
        <x:f>IF(G104&lt;&gt;"FINAL READY","",IF(S104&lt;&gt;"retain","not_eligible",IF(D104="P_R","protocol_descriptive",IF(D104="P_P","plan_descriptive",IF(AND(T104="statistical_results",OR(U104="confirmed_issue",U104="probable_issue"),V104="substantive"),"primary_temporal",IF(AND(T104="report_internal_inconsistency",X104="substantive_inconsistency"),"secondary_temporal","not_eligible"))))))</x:f>
      </x:c>
      <x:c r="I104" s="6" t="str">
        <x:v>retain</x:v>
      </x:c>
      <x:c r="J104" s="6" t="str">
        <x:v>statistical_results</x:v>
      </x:c>
      <x:c r="K104" s="6" t="str">
        <x:f>IF(Setup!$B$6="primary","",IFERROR(IF(INDEX('Primary_snapshot'!$B$2:$B$120,MATCH(C104,'Primary_snapshot'!$A$2:$A$120,0))="","",INDEX('Primary_snapshot'!$B$2:$B$120,MATCH(C104,'Primary_snapshot'!$A$2:$A$120,0))),"SNAPSHOT MISSING"))</x:f>
      </x:c>
      <x:c r="L104" s="6" t="str">
        <x:f>IF(Setup!$B$6="primary","",IFERROR(IF(INDEX('Primary_snapshot'!$C$2:$C$120,MATCH(C104,'Primary_snapshot'!$A$2:$A$120,0))="","",INDEX('Primary_snapshot'!$C$2:$C$120,MATCH(C104,'Primary_snapshot'!$A$2:$A$120,0))),"SNAPSHOT MISSING"))</x:f>
      </x:c>
      <x:c r="M104" s="6" t="str">
        <x:f>IF(Setup!$B$6="primary","",IFERROR(IF(INDEX('Primary_snapshot'!$D$2:$D$120,MATCH(C104,'Primary_snapshot'!$A$2:$A$120,0))="","",INDEX('Primary_snapshot'!$D$2:$D$120,MATCH(C104,'Primary_snapshot'!$A$2:$A$120,0))),"SNAPSHOT MISSING"))</x:f>
      </x:c>
      <x:c r="N104" s="6" t="str">
        <x:f>IF(Setup!$B$6="primary","",IFERROR(IF(INDEX('Primary_snapshot'!$E$2:$E$120,MATCH(C104,'Primary_snapshot'!$A$2:$A$120,0))="","",INDEX('Primary_snapshot'!$E$2:$E$120,MATCH(C104,'Primary_snapshot'!$A$2:$A$120,0))),"SNAPSHOT MISSING"))</x:f>
      </x:c>
      <x:c r="O104" s="6" t="str">
        <x:f>IF(Setup!$B$6="primary","",IFERROR(IF(INDEX('Primary_snapshot'!$F$2:$F$120,MATCH(C104,'Primary_snapshot'!$A$2:$A$120,0))="","",INDEX('Primary_snapshot'!$F$2:$F$120,MATCH(C104,'Primary_snapshot'!$A$2:$A$120,0))),"SNAPSHOT MISSING"))</x:f>
      </x:c>
      <x:c r="P104" s="6" t="str">
        <x:f>IF(Setup!$B$6="primary","",IFERROR(IF(INDEX('Primary_snapshot'!$G$2:$G$120,MATCH(C104,'Primary_snapshot'!$A$2:$A$120,0))="","",INDEX('Primary_snapshot'!$G$2:$G$120,MATCH(C104,'Primary_snapshot'!$A$2:$A$120,0))),"SNAPSHOT MISSING"))</x:f>
      </x:c>
      <x:c r="Q104" s="6" t="str">
        <x:f>IF(Setup!$B$6="primary","",IFERROR(IF(INDEX('Primary_snapshot'!$H$2:$H$120,MATCH(C104,'Primary_snapshot'!$A$2:$A$120,0))="","",INDEX('Primary_snapshot'!$H$2:$H$120,MATCH(C104,'Primary_snapshot'!$A$2:$A$120,0))),"SNAPSHOT MISSING"))</x:f>
      </x:c>
      <x:c r="R104" s="6" t="str">
        <x:f>IF(Setup!$B$6="primary","",IFERROR(IF(INDEX('Primary_snapshot'!$I$2:$I$120,MATCH(C104,'Primary_snapshot'!$A$2:$A$120,0))="","",INDEX('Primary_snapshot'!$I$2:$I$120,MATCH(C104,'Primary_snapshot'!$A$2:$A$120,0))),"SNAPSHOT MISSING"))</x:f>
      </x:c>
      <x:c r="S104" s="6" t="str">
        <x:f>IF(INDEX('C_jama.2018.8802'!$D$2:$D$9,MATCH("2018::jama.2018.8802::C005",'C_jama.2018.8802'!$A$2:$A$9,0))="","",INDEX('C_jama.2018.8802'!$D$2:$D$9,MATCH("2018::jama.2018.8802::C005",'C_jama.2018.8802'!$A$2:$A$9,0)))</x:f>
      </x:c>
      <x:c r="T104" s="6" t="str">
        <x:f>IF(INDEX('C_jama.2018.8802'!$E$2:$E$9,MATCH("2018::jama.2018.8802::C005",'C_jama.2018.8802'!$A$2:$A$9,0))="","",INDEX('C_jama.2018.8802'!$E$2:$E$9,MATCH("2018::jama.2018.8802::C005",'C_jama.2018.8802'!$A$2:$A$9,0)))</x:f>
        <x:v>statistical_results</x:v>
      </x:c>
      <x:c r="U104" s="6" t="str">
        <x:f>IF(AND(INDEX('C_jama.2018.8802'!$D$2:$D$9,MATCH("2018::jama.2018.8802::C005",'C_jama.2018.8802'!$A$2:$A$9,0))="retain",INDEX('C_jama.2018.8802'!$E$2:$E$9,MATCH("2018::jama.2018.8802::C005",'C_jama.2018.8802'!$A$2:$A$9,0))="statistical_results"),IF(INDEX('C_jama.2018.8802'!$H$2:$H$9,MATCH("2018::jama.2018.8802::C005",'C_jama.2018.8802'!$A$2:$A$9,0))="","",INDEX('C_jama.2018.8802'!$H$2:$H$9,MATCH("2018::jama.2018.8802::C005",'C_jama.2018.8802'!$A$2:$A$9,0))),"not_applicable")</x:f>
        <x:v>not_applicable</x:v>
      </x:c>
      <x:c r="V104" s="6" t="str">
        <x:f>IF(AND(INDEX('C_jama.2018.8802'!$D$2:$D$9,MATCH("2018::jama.2018.8802::C005",'C_jama.2018.8802'!$A$2:$A$9,0))="retain",INDEX('C_jama.2018.8802'!$E$2:$E$9,MATCH("2018::jama.2018.8802::C005",'C_jama.2018.8802'!$A$2:$A$9,0))="statistical_results"),IF(INDEX('C_jama.2018.8802'!$I$2:$I$9,MATCH("2018::jama.2018.8802::C005",'C_jama.2018.8802'!$A$2:$A$9,0))="","",INDEX('C_jama.2018.8802'!$I$2:$I$9,MATCH("2018::jama.2018.8802::C005",'C_jama.2018.8802'!$A$2:$A$9,0))),"not_applicable")</x:f>
        <x:v>not_applicable</x:v>
      </x:c>
      <x:c r="W104" s="6" t="str">
        <x:f>IF(AND(INDEX('C_jama.2018.8802'!$D$2:$D$9,MATCH("2018::jama.2018.8802::C005",'C_jama.2018.8802'!$A$2:$A$9,0))="retain",INDEX('C_jama.2018.8802'!$E$2:$E$9,MATCH("2018::jama.2018.8802::C005",'C_jama.2018.8802'!$A$2:$A$9,0))="statistical_results"),IF(INDEX('C_jama.2018.8802'!$J$2:$J$9,MATCH("2018::jama.2018.8802::C005",'C_jama.2018.8802'!$A$2:$A$9,0))="","",INDEX('C_jama.2018.8802'!$J$2:$J$9,MATCH("2018::jama.2018.8802::C005",'C_jama.2018.8802'!$A$2:$A$9,0))),"not_applicable")</x:f>
        <x:v>not_applicable</x:v>
      </x:c>
      <x:c r="X104" s="6" t="str">
        <x:f>IF(AND(INDEX('C_jama.2018.8802'!$D$2:$D$9,MATCH("2018::jama.2018.8802::C005",'C_jama.2018.8802'!$A$2:$A$9,0))="retain",OR(INDEX('C_jama.2018.8802'!$E$2:$E$9,MATCH("2018::jama.2018.8802::C005",'C_jama.2018.8802'!$A$2:$A$9,0))="report_internal_inconsistency",INDEX('C_jama.2018.8802'!$E$2:$E$9,MATCH("2018::jama.2018.8802::C005",'C_jama.2018.8802'!$A$2:$A$9,0))="plan_material")),IF(INDEX('C_jama.2018.8802'!$K$2:$K$9,MATCH("2018::jama.2018.8802::C005",'C_jama.2018.8802'!$A$2:$A$9,0))="","",INDEX('C_jama.2018.8802'!$K$2:$K$9,MATCH("2018::jama.2018.8802::C005",'C_jama.2018.8802'!$A$2:$A$9,0))),"not_applicable")</x:f>
        <x:v>not_applicable</x:v>
      </x:c>
      <x:c r="Y104" s="6" t="str">
        <x:f>IF(AND(INDEX('C_jama.2018.8802'!$D$2:$D$9,MATCH("2018::jama.2018.8802::C005",'C_jama.2018.8802'!$A$2:$A$9,0))="retain",INDEX('C_jama.2018.8802'!$E$2:$E$9,MATCH("2018::jama.2018.8802::C005",'C_jama.2018.8802'!$A$2:$A$9,0))="protocol_report"),IF(INDEX('C_jama.2018.8802'!$L$2:$L$9,MATCH("2018::jama.2018.8802::C005",'C_jama.2018.8802'!$A$2:$A$9,0))="","",INDEX('C_jama.2018.8802'!$L$2:$L$9,MATCH("2018::jama.2018.8802::C005",'C_jama.2018.8802'!$A$2:$A$9,0))),"not_applicable")</x:f>
        <x:v>not_applicable</x:v>
      </x:c>
      <x:c r="Z104" s="6" t="str">
        <x:f>IF(INDEX('C_jama.2018.8802'!$R$2:$R$9,MATCH("2018::jama.2018.8802::C005",'C_jama.2018.8802'!$A$2:$A$9,0))="","",INDEX('C_jama.2018.8802'!$R$2:$R$9,MATCH("2018::jama.2018.8802::C005",'C_jama.2018.8802'!$A$2:$A$9,0)))</x:f>
      </x:c>
      <x:c r="AA104" s="6" t="str">
        <x:f>IF(INDEX('C_jama.2018.8802'!$N$2:$N$9,MATCH("2018::jama.2018.8802::C005",'C_jama.2018.8802'!$A$2:$A$9,0))="","",INDEX('C_jama.2018.8802'!$N$2:$N$9,MATCH("2018::jama.2018.8802::C005",'C_jama.2018.8802'!$A$2:$A$9,0)))</x:f>
      </x:c>
      <x:c r="AB104" s="6" t="str">
        <x:f>IF(INDEX('C_jama.2018.8802'!$O$2:$O$9,MATCH("2018::jama.2018.8802::C005",'C_jama.2018.8802'!$A$2:$A$9,0))="","",INDEX('C_jama.2018.8802'!$O$2:$O$9,MATCH("2018::jama.2018.8802::C005",'C_jama.2018.8802'!$A$2:$A$9,0)))</x:f>
      </x:c>
      <x:c r="AC104" s="6" t="str">
        <x:f>IF(INDEX('C_jama.2018.8802'!$P$2:$P$9,MATCH("2018::jama.2018.8802::C005",'C_jama.2018.8802'!$A$2:$A$9,0))="","",INDEX('C_jama.2018.8802'!$P$2:$P$9,MATCH("2018::jama.2018.8802::C005",'C_jama.2018.8802'!$A$2:$A$9,0)))</x:f>
      </x:c>
      <x:c r="AD104" s="6" t="str">
        <x:f>IF(INDEX('C_jama.2018.8802'!$Q$2:$Q$9,MATCH("2018::jama.2018.8802::C005",'C_jama.2018.8802'!$A$2:$A$9,0))="","",INDEX('C_jama.2018.8802'!$Q$2:$Q$9,MATCH("2018::jama.2018.8802::C005",'C_jama.2018.8802'!$A$2:$A$9,0)))</x:f>
      </x:c>
    </x:row>
    <x:row r="105" ht="65" customHeight="1">
      <x:c r="A105" s="3" t="n">
        <x:v>2018</x:v>
      </x:c>
      <x:c r="B105" s="3" t="str">
        <x:v>jama.2018.8802</x:v>
      </x:c>
      <x:c r="C105" s="3" t="str">
        <x:v>2018::jama.2018.8802::C006</x:v>
      </x:c>
      <x:c r="D105" s="3" t="str">
        <x:v>S_W</x:v>
      </x:c>
      <x:c r="E105" s="3" t="n">
        <x:f>Setup!$B$2</x:f>
        <x:v>0</x:v>
      </x:c>
      <x:c r="F105" s="3" t="str">
        <x:f>IF(Setup!$B$4="","",Setup!$B$4)</x:f>
      </x:c>
      <x:c r="G105" s="3" t="str">
        <x:f>IFERROR(INDEX('C_jama.2018.8802'!$G$2:$G$9,MATCH("2018::jama.2018.8802::C006",'C_jama.2018.8802'!$A$2:$A$9,0)),"CHECK KEY")</x:f>
        <x:v>CHECK REVIEWER IDs</x:v>
      </x:c>
      <x:c r="H105" s="3" t="str">
        <x:f>IF(G105&lt;&gt;"FINAL READY","",IF(S105&lt;&gt;"retain","not_eligible",IF(D105="P_R","protocol_descriptive",IF(D105="P_P","plan_descriptive",IF(AND(T105="statistical_results",OR(U105="confirmed_issue",U105="probable_issue"),V105="substantive"),"primary_temporal",IF(AND(T105="report_internal_inconsistency",X105="substantive_inconsistency"),"secondary_temporal","not_eligible"))))))</x:f>
      </x:c>
      <x:c r="I105" s="3" t="str">
        <x:v>retain</x:v>
      </x:c>
      <x:c r="J105" s="3" t="str">
        <x:v>statistical_results</x:v>
      </x:c>
      <x:c r="K105" s="3" t="str">
        <x:f>IF(Setup!$B$6="primary","",IFERROR(IF(INDEX('Primary_snapshot'!$B$2:$B$120,MATCH(C105,'Primary_snapshot'!$A$2:$A$120,0))="","",INDEX('Primary_snapshot'!$B$2:$B$120,MATCH(C105,'Primary_snapshot'!$A$2:$A$120,0))),"SNAPSHOT MISSING"))</x:f>
      </x:c>
      <x:c r="L105" s="3" t="str">
        <x:f>IF(Setup!$B$6="primary","",IFERROR(IF(INDEX('Primary_snapshot'!$C$2:$C$120,MATCH(C105,'Primary_snapshot'!$A$2:$A$120,0))="","",INDEX('Primary_snapshot'!$C$2:$C$120,MATCH(C105,'Primary_snapshot'!$A$2:$A$120,0))),"SNAPSHOT MISSING"))</x:f>
      </x:c>
      <x:c r="M105" s="3" t="str">
        <x:f>IF(Setup!$B$6="primary","",IFERROR(IF(INDEX('Primary_snapshot'!$D$2:$D$120,MATCH(C105,'Primary_snapshot'!$A$2:$A$120,0))="","",INDEX('Primary_snapshot'!$D$2:$D$120,MATCH(C105,'Primary_snapshot'!$A$2:$A$120,0))),"SNAPSHOT MISSING"))</x:f>
      </x:c>
      <x:c r="N105" s="3" t="str">
        <x:f>IF(Setup!$B$6="primary","",IFERROR(IF(INDEX('Primary_snapshot'!$E$2:$E$120,MATCH(C105,'Primary_snapshot'!$A$2:$A$120,0))="","",INDEX('Primary_snapshot'!$E$2:$E$120,MATCH(C105,'Primary_snapshot'!$A$2:$A$120,0))),"SNAPSHOT MISSING"))</x:f>
      </x:c>
      <x:c r="O105" s="3" t="str">
        <x:f>IF(Setup!$B$6="primary","",IFERROR(IF(INDEX('Primary_snapshot'!$F$2:$F$120,MATCH(C105,'Primary_snapshot'!$A$2:$A$120,0))="","",INDEX('Primary_snapshot'!$F$2:$F$120,MATCH(C105,'Primary_snapshot'!$A$2:$A$120,0))),"SNAPSHOT MISSING"))</x:f>
      </x:c>
      <x:c r="P105" s="3" t="str">
        <x:f>IF(Setup!$B$6="primary","",IFERROR(IF(INDEX('Primary_snapshot'!$G$2:$G$120,MATCH(C105,'Primary_snapshot'!$A$2:$A$120,0))="","",INDEX('Primary_snapshot'!$G$2:$G$120,MATCH(C105,'Primary_snapshot'!$A$2:$A$120,0))),"SNAPSHOT MISSING"))</x:f>
      </x:c>
      <x:c r="Q105" s="3" t="str">
        <x:f>IF(Setup!$B$6="primary","",IFERROR(IF(INDEX('Primary_snapshot'!$H$2:$H$120,MATCH(C105,'Primary_snapshot'!$A$2:$A$120,0))="","",INDEX('Primary_snapshot'!$H$2:$H$120,MATCH(C105,'Primary_snapshot'!$A$2:$A$120,0))),"SNAPSHOT MISSING"))</x:f>
      </x:c>
      <x:c r="R105" s="3" t="str">
        <x:f>IF(Setup!$B$6="primary","",IFERROR(IF(INDEX('Primary_snapshot'!$I$2:$I$120,MATCH(C105,'Primary_snapshot'!$A$2:$A$120,0))="","",INDEX('Primary_snapshot'!$I$2:$I$120,MATCH(C105,'Primary_snapshot'!$A$2:$A$120,0))),"SNAPSHOT MISSING"))</x:f>
      </x:c>
      <x:c r="S105" s="3" t="str">
        <x:f>IF(INDEX('C_jama.2018.8802'!$D$2:$D$9,MATCH("2018::jama.2018.8802::C006",'C_jama.2018.8802'!$A$2:$A$9,0))="","",INDEX('C_jama.2018.8802'!$D$2:$D$9,MATCH("2018::jama.2018.8802::C006",'C_jama.2018.8802'!$A$2:$A$9,0)))</x:f>
      </x:c>
      <x:c r="T105" s="3" t="str">
        <x:f>IF(INDEX('C_jama.2018.8802'!$E$2:$E$9,MATCH("2018::jama.2018.8802::C006",'C_jama.2018.8802'!$A$2:$A$9,0))="","",INDEX('C_jama.2018.8802'!$E$2:$E$9,MATCH("2018::jama.2018.8802::C006",'C_jama.2018.8802'!$A$2:$A$9,0)))</x:f>
        <x:v>statistical_results</x:v>
      </x:c>
      <x:c r="U105" s="3" t="str">
        <x:f>IF(AND(INDEX('C_jama.2018.8802'!$D$2:$D$9,MATCH("2018::jama.2018.8802::C006",'C_jama.2018.8802'!$A$2:$A$9,0))="retain",INDEX('C_jama.2018.8802'!$E$2:$E$9,MATCH("2018::jama.2018.8802::C006",'C_jama.2018.8802'!$A$2:$A$9,0))="statistical_results"),IF(INDEX('C_jama.2018.8802'!$H$2:$H$9,MATCH("2018::jama.2018.8802::C006",'C_jama.2018.8802'!$A$2:$A$9,0))="","",INDEX('C_jama.2018.8802'!$H$2:$H$9,MATCH("2018::jama.2018.8802::C006",'C_jama.2018.8802'!$A$2:$A$9,0))),"not_applicable")</x:f>
        <x:v>not_applicable</x:v>
      </x:c>
      <x:c r="V105" s="3" t="str">
        <x:f>IF(AND(INDEX('C_jama.2018.8802'!$D$2:$D$9,MATCH("2018::jama.2018.8802::C006",'C_jama.2018.8802'!$A$2:$A$9,0))="retain",INDEX('C_jama.2018.8802'!$E$2:$E$9,MATCH("2018::jama.2018.8802::C006",'C_jama.2018.8802'!$A$2:$A$9,0))="statistical_results"),IF(INDEX('C_jama.2018.8802'!$I$2:$I$9,MATCH("2018::jama.2018.8802::C006",'C_jama.2018.8802'!$A$2:$A$9,0))="","",INDEX('C_jama.2018.8802'!$I$2:$I$9,MATCH("2018::jama.2018.8802::C006",'C_jama.2018.8802'!$A$2:$A$9,0))),"not_applicable")</x:f>
        <x:v>not_applicable</x:v>
      </x:c>
      <x:c r="W105" s="3" t="str">
        <x:f>IF(AND(INDEX('C_jama.2018.8802'!$D$2:$D$9,MATCH("2018::jama.2018.8802::C006",'C_jama.2018.8802'!$A$2:$A$9,0))="retain",INDEX('C_jama.2018.8802'!$E$2:$E$9,MATCH("2018::jama.2018.8802::C006",'C_jama.2018.8802'!$A$2:$A$9,0))="statistical_results"),IF(INDEX('C_jama.2018.8802'!$J$2:$J$9,MATCH("2018::jama.2018.8802::C006",'C_jama.2018.8802'!$A$2:$A$9,0))="","",INDEX('C_jama.2018.8802'!$J$2:$J$9,MATCH("2018::jama.2018.8802::C006",'C_jama.2018.8802'!$A$2:$A$9,0))),"not_applicable")</x:f>
        <x:v>not_applicable</x:v>
      </x:c>
      <x:c r="X105" s="3" t="str">
        <x:f>IF(AND(INDEX('C_jama.2018.8802'!$D$2:$D$9,MATCH("2018::jama.2018.8802::C006",'C_jama.2018.8802'!$A$2:$A$9,0))="retain",OR(INDEX('C_jama.2018.8802'!$E$2:$E$9,MATCH("2018::jama.2018.8802::C006",'C_jama.2018.8802'!$A$2:$A$9,0))="report_internal_inconsistency",INDEX('C_jama.2018.8802'!$E$2:$E$9,MATCH("2018::jama.2018.8802::C006",'C_jama.2018.8802'!$A$2:$A$9,0))="plan_material")),IF(INDEX('C_jama.2018.8802'!$K$2:$K$9,MATCH("2018::jama.2018.8802::C006",'C_jama.2018.8802'!$A$2:$A$9,0))="","",INDEX('C_jama.2018.8802'!$K$2:$K$9,MATCH("2018::jama.2018.8802::C006",'C_jama.2018.8802'!$A$2:$A$9,0))),"not_applicable")</x:f>
        <x:v>not_applicable</x:v>
      </x:c>
      <x:c r="Y105" s="3" t="str">
        <x:f>IF(AND(INDEX('C_jama.2018.8802'!$D$2:$D$9,MATCH("2018::jama.2018.8802::C006",'C_jama.2018.8802'!$A$2:$A$9,0))="retain",INDEX('C_jama.2018.8802'!$E$2:$E$9,MATCH("2018::jama.2018.8802::C006",'C_jama.2018.8802'!$A$2:$A$9,0))="protocol_report"),IF(INDEX('C_jama.2018.8802'!$L$2:$L$9,MATCH("2018::jama.2018.8802::C006",'C_jama.2018.8802'!$A$2:$A$9,0))="","",INDEX('C_jama.2018.8802'!$L$2:$L$9,MATCH("2018::jama.2018.8802::C006",'C_jama.2018.8802'!$A$2:$A$9,0))),"not_applicable")</x:f>
        <x:v>not_applicable</x:v>
      </x:c>
      <x:c r="Z105" s="3" t="str">
        <x:f>IF(INDEX('C_jama.2018.8802'!$R$2:$R$9,MATCH("2018::jama.2018.8802::C006",'C_jama.2018.8802'!$A$2:$A$9,0))="","",INDEX('C_jama.2018.8802'!$R$2:$R$9,MATCH("2018::jama.2018.8802::C006",'C_jama.2018.8802'!$A$2:$A$9,0)))</x:f>
      </x:c>
      <x:c r="AA105" s="3" t="str">
        <x:f>IF(INDEX('C_jama.2018.8802'!$N$2:$N$9,MATCH("2018::jama.2018.8802::C006",'C_jama.2018.8802'!$A$2:$A$9,0))="","",INDEX('C_jama.2018.8802'!$N$2:$N$9,MATCH("2018::jama.2018.8802::C006",'C_jama.2018.8802'!$A$2:$A$9,0)))</x:f>
      </x:c>
      <x:c r="AB105" s="3" t="str">
        <x:f>IF(INDEX('C_jama.2018.8802'!$O$2:$O$9,MATCH("2018::jama.2018.8802::C006",'C_jama.2018.8802'!$A$2:$A$9,0))="","",INDEX('C_jama.2018.8802'!$O$2:$O$9,MATCH("2018::jama.2018.8802::C006",'C_jama.2018.8802'!$A$2:$A$9,0)))</x:f>
      </x:c>
      <x:c r="AC105" s="3" t="str">
        <x:f>IF(INDEX('C_jama.2018.8802'!$P$2:$P$9,MATCH("2018::jama.2018.8802::C006",'C_jama.2018.8802'!$A$2:$A$9,0))="","",INDEX('C_jama.2018.8802'!$P$2:$P$9,MATCH("2018::jama.2018.8802::C006",'C_jama.2018.8802'!$A$2:$A$9,0)))</x:f>
      </x:c>
      <x:c r="AD105" s="3" t="str">
        <x:f>IF(INDEX('C_jama.2018.8802'!$Q$2:$Q$9,MATCH("2018::jama.2018.8802::C006",'C_jama.2018.8802'!$A$2:$A$9,0))="","",INDEX('C_jama.2018.8802'!$Q$2:$Q$9,MATCH("2018::jama.2018.8802::C006",'C_jama.2018.8802'!$A$2:$A$9,0)))</x:f>
      </x:c>
    </x:row>
    <x:row r="106" ht="65" customHeight="1">
      <x:c r="A106" s="6" t="n">
        <x:v>2018</x:v>
      </x:c>
      <x:c r="B106" s="6" t="str">
        <x:v>jama.2018.8802</x:v>
      </x:c>
      <x:c r="C106" s="6" t="str">
        <x:v>2018::jama.2018.8802::C007</x:v>
      </x:c>
      <x:c r="D106" s="6" t="str">
        <x:v>S_C</x:v>
      </x:c>
      <x:c r="E106" s="6" t="n">
        <x:f>Setup!$B$2</x:f>
        <x:v>0</x:v>
      </x:c>
      <x:c r="F106" s="6" t="str">
        <x:f>IF(Setup!$B$4="","",Setup!$B$4)</x:f>
      </x:c>
      <x:c r="G106" s="6" t="str">
        <x:f>IFERROR(INDEX('C_jama.2018.8802'!$G$2:$G$9,MATCH("2018::jama.2018.8802::C007",'C_jama.2018.8802'!$A$2:$A$9,0)),"CHECK KEY")</x:f>
        <x:v>CHECK REVIEWER IDs</x:v>
      </x:c>
      <x:c r="H106" s="6" t="str">
        <x:f>IF(G106&lt;&gt;"FINAL READY","",IF(S106&lt;&gt;"retain","not_eligible",IF(D106="P_R","protocol_descriptive",IF(D106="P_P","plan_descriptive",IF(AND(T106="statistical_results",OR(U106="confirmed_issue",U106="probable_issue"),V106="substantive"),"primary_temporal",IF(AND(T106="report_internal_inconsistency",X106="substantive_inconsistency"),"secondary_temporal","not_eligible"))))))</x:f>
      </x:c>
      <x:c r="I106" s="6" t="str">
        <x:v>retain</x:v>
      </x:c>
      <x:c r="J106" s="6" t="str">
        <x:v>report_internal_inconsistency</x:v>
      </x:c>
      <x:c r="K106" s="6" t="str">
        <x:f>IF(Setup!$B$6="primary","",IFERROR(IF(INDEX('Primary_snapshot'!$B$2:$B$120,MATCH(C106,'Primary_snapshot'!$A$2:$A$120,0))="","",INDEX('Primary_snapshot'!$B$2:$B$120,MATCH(C106,'Primary_snapshot'!$A$2:$A$120,0))),"SNAPSHOT MISSING"))</x:f>
      </x:c>
      <x:c r="L106" s="6" t="str">
        <x:f>IF(Setup!$B$6="primary","",IFERROR(IF(INDEX('Primary_snapshot'!$C$2:$C$120,MATCH(C106,'Primary_snapshot'!$A$2:$A$120,0))="","",INDEX('Primary_snapshot'!$C$2:$C$120,MATCH(C106,'Primary_snapshot'!$A$2:$A$120,0))),"SNAPSHOT MISSING"))</x:f>
      </x:c>
      <x:c r="M106" s="6" t="str">
        <x:f>IF(Setup!$B$6="primary","",IFERROR(IF(INDEX('Primary_snapshot'!$D$2:$D$120,MATCH(C106,'Primary_snapshot'!$A$2:$A$120,0))="","",INDEX('Primary_snapshot'!$D$2:$D$120,MATCH(C106,'Primary_snapshot'!$A$2:$A$120,0))),"SNAPSHOT MISSING"))</x:f>
      </x:c>
      <x:c r="N106" s="6" t="str">
        <x:f>IF(Setup!$B$6="primary","",IFERROR(IF(INDEX('Primary_snapshot'!$E$2:$E$120,MATCH(C106,'Primary_snapshot'!$A$2:$A$120,0))="","",INDEX('Primary_snapshot'!$E$2:$E$120,MATCH(C106,'Primary_snapshot'!$A$2:$A$120,0))),"SNAPSHOT MISSING"))</x:f>
      </x:c>
      <x:c r="O106" s="6" t="str">
        <x:f>IF(Setup!$B$6="primary","",IFERROR(IF(INDEX('Primary_snapshot'!$F$2:$F$120,MATCH(C106,'Primary_snapshot'!$A$2:$A$120,0))="","",INDEX('Primary_snapshot'!$F$2:$F$120,MATCH(C106,'Primary_snapshot'!$A$2:$A$120,0))),"SNAPSHOT MISSING"))</x:f>
      </x:c>
      <x:c r="P106" s="6" t="str">
        <x:f>IF(Setup!$B$6="primary","",IFERROR(IF(INDEX('Primary_snapshot'!$G$2:$G$120,MATCH(C106,'Primary_snapshot'!$A$2:$A$120,0))="","",INDEX('Primary_snapshot'!$G$2:$G$120,MATCH(C106,'Primary_snapshot'!$A$2:$A$120,0))),"SNAPSHOT MISSING"))</x:f>
      </x:c>
      <x:c r="Q106" s="6" t="str">
        <x:f>IF(Setup!$B$6="primary","",IFERROR(IF(INDEX('Primary_snapshot'!$H$2:$H$120,MATCH(C106,'Primary_snapshot'!$A$2:$A$120,0))="","",INDEX('Primary_snapshot'!$H$2:$H$120,MATCH(C106,'Primary_snapshot'!$A$2:$A$120,0))),"SNAPSHOT MISSING"))</x:f>
      </x:c>
      <x:c r="R106" s="6" t="str">
        <x:f>IF(Setup!$B$6="primary","",IFERROR(IF(INDEX('Primary_snapshot'!$I$2:$I$120,MATCH(C106,'Primary_snapshot'!$A$2:$A$120,0))="","",INDEX('Primary_snapshot'!$I$2:$I$120,MATCH(C106,'Primary_snapshot'!$A$2:$A$120,0))),"SNAPSHOT MISSING"))</x:f>
      </x:c>
      <x:c r="S106" s="6" t="str">
        <x:f>IF(INDEX('C_jama.2018.8802'!$D$2:$D$9,MATCH("2018::jama.2018.8802::C007",'C_jama.2018.8802'!$A$2:$A$9,0))="","",INDEX('C_jama.2018.8802'!$D$2:$D$9,MATCH("2018::jama.2018.8802::C007",'C_jama.2018.8802'!$A$2:$A$9,0)))</x:f>
      </x:c>
      <x:c r="T106" s="6" t="str">
        <x:f>IF(INDEX('C_jama.2018.8802'!$E$2:$E$9,MATCH("2018::jama.2018.8802::C007",'C_jama.2018.8802'!$A$2:$A$9,0))="","",INDEX('C_jama.2018.8802'!$E$2:$E$9,MATCH("2018::jama.2018.8802::C007",'C_jama.2018.8802'!$A$2:$A$9,0)))</x:f>
        <x:v>report_internal_inconsistency</x:v>
      </x:c>
      <x:c r="U106" s="6" t="str">
        <x:f>IF(AND(INDEX('C_jama.2018.8802'!$D$2:$D$9,MATCH("2018::jama.2018.8802::C007",'C_jama.2018.8802'!$A$2:$A$9,0))="retain",INDEX('C_jama.2018.8802'!$E$2:$E$9,MATCH("2018::jama.2018.8802::C007",'C_jama.2018.8802'!$A$2:$A$9,0))="statistical_results"),IF(INDEX('C_jama.2018.8802'!$H$2:$H$9,MATCH("2018::jama.2018.8802::C007",'C_jama.2018.8802'!$A$2:$A$9,0))="","",INDEX('C_jama.2018.8802'!$H$2:$H$9,MATCH("2018::jama.2018.8802::C007",'C_jama.2018.8802'!$A$2:$A$9,0))),"not_applicable")</x:f>
        <x:v>not_applicable</x:v>
      </x:c>
      <x:c r="V106" s="6" t="str">
        <x:f>IF(AND(INDEX('C_jama.2018.8802'!$D$2:$D$9,MATCH("2018::jama.2018.8802::C007",'C_jama.2018.8802'!$A$2:$A$9,0))="retain",INDEX('C_jama.2018.8802'!$E$2:$E$9,MATCH("2018::jama.2018.8802::C007",'C_jama.2018.8802'!$A$2:$A$9,0))="statistical_results"),IF(INDEX('C_jama.2018.8802'!$I$2:$I$9,MATCH("2018::jama.2018.8802::C007",'C_jama.2018.8802'!$A$2:$A$9,0))="","",INDEX('C_jama.2018.8802'!$I$2:$I$9,MATCH("2018::jama.2018.8802::C007",'C_jama.2018.8802'!$A$2:$A$9,0))),"not_applicable")</x:f>
        <x:v>not_applicable</x:v>
      </x:c>
      <x:c r="W106" s="6" t="str">
        <x:f>IF(AND(INDEX('C_jama.2018.8802'!$D$2:$D$9,MATCH("2018::jama.2018.8802::C007",'C_jama.2018.8802'!$A$2:$A$9,0))="retain",INDEX('C_jama.2018.8802'!$E$2:$E$9,MATCH("2018::jama.2018.8802::C007",'C_jama.2018.8802'!$A$2:$A$9,0))="statistical_results"),IF(INDEX('C_jama.2018.8802'!$J$2:$J$9,MATCH("2018::jama.2018.8802::C007",'C_jama.2018.8802'!$A$2:$A$9,0))="","",INDEX('C_jama.2018.8802'!$J$2:$J$9,MATCH("2018::jama.2018.8802::C007",'C_jama.2018.8802'!$A$2:$A$9,0))),"not_applicable")</x:f>
        <x:v>not_applicable</x:v>
      </x:c>
      <x:c r="X106" s="6" t="str">
        <x:f>IF(AND(INDEX('C_jama.2018.8802'!$D$2:$D$9,MATCH("2018::jama.2018.8802::C007",'C_jama.2018.8802'!$A$2:$A$9,0))="retain",OR(INDEX('C_jama.2018.8802'!$E$2:$E$9,MATCH("2018::jama.2018.8802::C007",'C_jama.2018.8802'!$A$2:$A$9,0))="report_internal_inconsistency",INDEX('C_jama.2018.8802'!$E$2:$E$9,MATCH("2018::jama.2018.8802::C007",'C_jama.2018.8802'!$A$2:$A$9,0))="plan_material")),IF(INDEX('C_jama.2018.8802'!$K$2:$K$9,MATCH("2018::jama.2018.8802::C007",'C_jama.2018.8802'!$A$2:$A$9,0))="","",INDEX('C_jama.2018.8802'!$K$2:$K$9,MATCH("2018::jama.2018.8802::C007",'C_jama.2018.8802'!$A$2:$A$9,0))),"not_applicable")</x:f>
        <x:v>not_applicable</x:v>
      </x:c>
      <x:c r="Y106" s="6" t="str">
        <x:f>IF(AND(INDEX('C_jama.2018.8802'!$D$2:$D$9,MATCH("2018::jama.2018.8802::C007",'C_jama.2018.8802'!$A$2:$A$9,0))="retain",INDEX('C_jama.2018.8802'!$E$2:$E$9,MATCH("2018::jama.2018.8802::C007",'C_jama.2018.8802'!$A$2:$A$9,0))="protocol_report"),IF(INDEX('C_jama.2018.8802'!$L$2:$L$9,MATCH("2018::jama.2018.8802::C007",'C_jama.2018.8802'!$A$2:$A$9,0))="","",INDEX('C_jama.2018.8802'!$L$2:$L$9,MATCH("2018::jama.2018.8802::C007",'C_jama.2018.8802'!$A$2:$A$9,0))),"not_applicable")</x:f>
        <x:v>not_applicable</x:v>
      </x:c>
      <x:c r="Z106" s="6" t="str">
        <x:f>IF(INDEX('C_jama.2018.8802'!$R$2:$R$9,MATCH("2018::jama.2018.8802::C007",'C_jama.2018.8802'!$A$2:$A$9,0))="","",INDEX('C_jama.2018.8802'!$R$2:$R$9,MATCH("2018::jama.2018.8802::C007",'C_jama.2018.8802'!$A$2:$A$9,0)))</x:f>
      </x:c>
      <x:c r="AA106" s="6" t="str">
        <x:f>IF(INDEX('C_jama.2018.8802'!$N$2:$N$9,MATCH("2018::jama.2018.8802::C007",'C_jama.2018.8802'!$A$2:$A$9,0))="","",INDEX('C_jama.2018.8802'!$N$2:$N$9,MATCH("2018::jama.2018.8802::C007",'C_jama.2018.8802'!$A$2:$A$9,0)))</x:f>
      </x:c>
      <x:c r="AB106" s="6" t="str">
        <x:f>IF(INDEX('C_jama.2018.8802'!$O$2:$O$9,MATCH("2018::jama.2018.8802::C007",'C_jama.2018.8802'!$A$2:$A$9,0))="","",INDEX('C_jama.2018.8802'!$O$2:$O$9,MATCH("2018::jama.2018.8802::C007",'C_jama.2018.8802'!$A$2:$A$9,0)))</x:f>
      </x:c>
      <x:c r="AC106" s="6" t="str">
        <x:f>IF(INDEX('C_jama.2018.8802'!$P$2:$P$9,MATCH("2018::jama.2018.8802::C007",'C_jama.2018.8802'!$A$2:$A$9,0))="","",INDEX('C_jama.2018.8802'!$P$2:$P$9,MATCH("2018::jama.2018.8802::C007",'C_jama.2018.8802'!$A$2:$A$9,0)))</x:f>
      </x:c>
      <x:c r="AD106" s="6" t="str">
        <x:f>IF(INDEX('C_jama.2018.8802'!$Q$2:$Q$9,MATCH("2018::jama.2018.8802::C007",'C_jama.2018.8802'!$A$2:$A$9,0))="","",INDEX('C_jama.2018.8802'!$Q$2:$Q$9,MATCH("2018::jama.2018.8802::C007",'C_jama.2018.8802'!$A$2:$A$9,0)))</x:f>
      </x:c>
    </x:row>
    <x:row r="107" ht="65" customHeight="1">
      <x:c r="A107" s="3" t="n">
        <x:v>2018</x:v>
      </x:c>
      <x:c r="B107" s="3" t="str">
        <x:v>jama.2018.8802</x:v>
      </x:c>
      <x:c r="C107" s="3" t="str">
        <x:v>2018::jama.2018.8802::C008</x:v>
      </x:c>
      <x:c r="D107" s="3" t="str">
        <x:v>S_W</x:v>
      </x:c>
      <x:c r="E107" s="3" t="n">
        <x:f>Setup!$B$2</x:f>
        <x:v>0</x:v>
      </x:c>
      <x:c r="F107" s="3" t="str">
        <x:f>IF(Setup!$B$4="","",Setup!$B$4)</x:f>
      </x:c>
      <x:c r="G107" s="3" t="str">
        <x:f>IFERROR(INDEX('C_jama.2018.8802'!$G$2:$G$9,MATCH("2018::jama.2018.8802::C008",'C_jama.2018.8802'!$A$2:$A$9,0)),"CHECK KEY")</x:f>
        <x:v>CHECK REVIEWER IDs</x:v>
      </x:c>
      <x:c r="H107" s="3" t="str">
        <x:f>IF(G107&lt;&gt;"FINAL READY","",IF(S107&lt;&gt;"retain","not_eligible",IF(D107="P_R","protocol_descriptive",IF(D107="P_P","plan_descriptive",IF(AND(T107="statistical_results",OR(U107="confirmed_issue",U107="probable_issue"),V107="substantive"),"primary_temporal",IF(AND(T107="report_internal_inconsistency",X107="substantive_inconsistency"),"secondary_temporal","not_eligible"))))))</x:f>
      </x:c>
      <x:c r="I107" s="3" t="str">
        <x:v>retain</x:v>
      </x:c>
      <x:c r="J107" s="3" t="str">
        <x:v>statistical_results</x:v>
      </x:c>
      <x:c r="K107" s="3" t="str">
        <x:f>IF(Setup!$B$6="primary","",IFERROR(IF(INDEX('Primary_snapshot'!$B$2:$B$120,MATCH(C107,'Primary_snapshot'!$A$2:$A$120,0))="","",INDEX('Primary_snapshot'!$B$2:$B$120,MATCH(C107,'Primary_snapshot'!$A$2:$A$120,0))),"SNAPSHOT MISSING"))</x:f>
      </x:c>
      <x:c r="L107" s="3" t="str">
        <x:f>IF(Setup!$B$6="primary","",IFERROR(IF(INDEX('Primary_snapshot'!$C$2:$C$120,MATCH(C107,'Primary_snapshot'!$A$2:$A$120,0))="","",INDEX('Primary_snapshot'!$C$2:$C$120,MATCH(C107,'Primary_snapshot'!$A$2:$A$120,0))),"SNAPSHOT MISSING"))</x:f>
      </x:c>
      <x:c r="M107" s="3" t="str">
        <x:f>IF(Setup!$B$6="primary","",IFERROR(IF(INDEX('Primary_snapshot'!$D$2:$D$120,MATCH(C107,'Primary_snapshot'!$A$2:$A$120,0))="","",INDEX('Primary_snapshot'!$D$2:$D$120,MATCH(C107,'Primary_snapshot'!$A$2:$A$120,0))),"SNAPSHOT MISSING"))</x:f>
      </x:c>
      <x:c r="N107" s="3" t="str">
        <x:f>IF(Setup!$B$6="primary","",IFERROR(IF(INDEX('Primary_snapshot'!$E$2:$E$120,MATCH(C107,'Primary_snapshot'!$A$2:$A$120,0))="","",INDEX('Primary_snapshot'!$E$2:$E$120,MATCH(C107,'Primary_snapshot'!$A$2:$A$120,0))),"SNAPSHOT MISSING"))</x:f>
      </x:c>
      <x:c r="O107" s="3" t="str">
        <x:f>IF(Setup!$B$6="primary","",IFERROR(IF(INDEX('Primary_snapshot'!$F$2:$F$120,MATCH(C107,'Primary_snapshot'!$A$2:$A$120,0))="","",INDEX('Primary_snapshot'!$F$2:$F$120,MATCH(C107,'Primary_snapshot'!$A$2:$A$120,0))),"SNAPSHOT MISSING"))</x:f>
      </x:c>
      <x:c r="P107" s="3" t="str">
        <x:f>IF(Setup!$B$6="primary","",IFERROR(IF(INDEX('Primary_snapshot'!$G$2:$G$120,MATCH(C107,'Primary_snapshot'!$A$2:$A$120,0))="","",INDEX('Primary_snapshot'!$G$2:$G$120,MATCH(C107,'Primary_snapshot'!$A$2:$A$120,0))),"SNAPSHOT MISSING"))</x:f>
      </x:c>
      <x:c r="Q107" s="3" t="str">
        <x:f>IF(Setup!$B$6="primary","",IFERROR(IF(INDEX('Primary_snapshot'!$H$2:$H$120,MATCH(C107,'Primary_snapshot'!$A$2:$A$120,0))="","",INDEX('Primary_snapshot'!$H$2:$H$120,MATCH(C107,'Primary_snapshot'!$A$2:$A$120,0))),"SNAPSHOT MISSING"))</x:f>
      </x:c>
      <x:c r="R107" s="3" t="str">
        <x:f>IF(Setup!$B$6="primary","",IFERROR(IF(INDEX('Primary_snapshot'!$I$2:$I$120,MATCH(C107,'Primary_snapshot'!$A$2:$A$120,0))="","",INDEX('Primary_snapshot'!$I$2:$I$120,MATCH(C107,'Primary_snapshot'!$A$2:$A$120,0))),"SNAPSHOT MISSING"))</x:f>
      </x:c>
      <x:c r="S107" s="3" t="str">
        <x:f>IF(INDEX('C_jama.2018.8802'!$D$2:$D$9,MATCH("2018::jama.2018.8802::C008",'C_jama.2018.8802'!$A$2:$A$9,0))="","",INDEX('C_jama.2018.8802'!$D$2:$D$9,MATCH("2018::jama.2018.8802::C008",'C_jama.2018.8802'!$A$2:$A$9,0)))</x:f>
      </x:c>
      <x:c r="T107" s="3" t="str">
        <x:f>IF(INDEX('C_jama.2018.8802'!$E$2:$E$9,MATCH("2018::jama.2018.8802::C008",'C_jama.2018.8802'!$A$2:$A$9,0))="","",INDEX('C_jama.2018.8802'!$E$2:$E$9,MATCH("2018::jama.2018.8802::C008",'C_jama.2018.8802'!$A$2:$A$9,0)))</x:f>
        <x:v>statistical_results</x:v>
      </x:c>
      <x:c r="U107" s="3" t="str">
        <x:f>IF(AND(INDEX('C_jama.2018.8802'!$D$2:$D$9,MATCH("2018::jama.2018.8802::C008",'C_jama.2018.8802'!$A$2:$A$9,0))="retain",INDEX('C_jama.2018.8802'!$E$2:$E$9,MATCH("2018::jama.2018.8802::C008",'C_jama.2018.8802'!$A$2:$A$9,0))="statistical_results"),IF(INDEX('C_jama.2018.8802'!$H$2:$H$9,MATCH("2018::jama.2018.8802::C008",'C_jama.2018.8802'!$A$2:$A$9,0))="","",INDEX('C_jama.2018.8802'!$H$2:$H$9,MATCH("2018::jama.2018.8802::C008",'C_jama.2018.8802'!$A$2:$A$9,0))),"not_applicable")</x:f>
        <x:v>not_applicable</x:v>
      </x:c>
      <x:c r="V107" s="3" t="str">
        <x:f>IF(AND(INDEX('C_jama.2018.8802'!$D$2:$D$9,MATCH("2018::jama.2018.8802::C008",'C_jama.2018.8802'!$A$2:$A$9,0))="retain",INDEX('C_jama.2018.8802'!$E$2:$E$9,MATCH("2018::jama.2018.8802::C008",'C_jama.2018.8802'!$A$2:$A$9,0))="statistical_results"),IF(INDEX('C_jama.2018.8802'!$I$2:$I$9,MATCH("2018::jama.2018.8802::C008",'C_jama.2018.8802'!$A$2:$A$9,0))="","",INDEX('C_jama.2018.8802'!$I$2:$I$9,MATCH("2018::jama.2018.8802::C008",'C_jama.2018.8802'!$A$2:$A$9,0))),"not_applicable")</x:f>
        <x:v>not_applicable</x:v>
      </x:c>
      <x:c r="W107" s="3" t="str">
        <x:f>IF(AND(INDEX('C_jama.2018.8802'!$D$2:$D$9,MATCH("2018::jama.2018.8802::C008",'C_jama.2018.8802'!$A$2:$A$9,0))="retain",INDEX('C_jama.2018.8802'!$E$2:$E$9,MATCH("2018::jama.2018.8802::C008",'C_jama.2018.8802'!$A$2:$A$9,0))="statistical_results"),IF(INDEX('C_jama.2018.8802'!$J$2:$J$9,MATCH("2018::jama.2018.8802::C008",'C_jama.2018.8802'!$A$2:$A$9,0))="","",INDEX('C_jama.2018.8802'!$J$2:$J$9,MATCH("2018::jama.2018.8802::C008",'C_jama.2018.8802'!$A$2:$A$9,0))),"not_applicable")</x:f>
        <x:v>not_applicable</x:v>
      </x:c>
      <x:c r="X107" s="3" t="str">
        <x:f>IF(AND(INDEX('C_jama.2018.8802'!$D$2:$D$9,MATCH("2018::jama.2018.8802::C008",'C_jama.2018.8802'!$A$2:$A$9,0))="retain",OR(INDEX('C_jama.2018.8802'!$E$2:$E$9,MATCH("2018::jama.2018.8802::C008",'C_jama.2018.8802'!$A$2:$A$9,0))="report_internal_inconsistency",INDEX('C_jama.2018.8802'!$E$2:$E$9,MATCH("2018::jama.2018.8802::C008",'C_jama.2018.8802'!$A$2:$A$9,0))="plan_material")),IF(INDEX('C_jama.2018.8802'!$K$2:$K$9,MATCH("2018::jama.2018.8802::C008",'C_jama.2018.8802'!$A$2:$A$9,0))="","",INDEX('C_jama.2018.8802'!$K$2:$K$9,MATCH("2018::jama.2018.8802::C008",'C_jama.2018.8802'!$A$2:$A$9,0))),"not_applicable")</x:f>
        <x:v>not_applicable</x:v>
      </x:c>
      <x:c r="Y107" s="3" t="str">
        <x:f>IF(AND(INDEX('C_jama.2018.8802'!$D$2:$D$9,MATCH("2018::jama.2018.8802::C008",'C_jama.2018.8802'!$A$2:$A$9,0))="retain",INDEX('C_jama.2018.8802'!$E$2:$E$9,MATCH("2018::jama.2018.8802::C008",'C_jama.2018.8802'!$A$2:$A$9,0))="protocol_report"),IF(INDEX('C_jama.2018.8802'!$L$2:$L$9,MATCH("2018::jama.2018.8802::C008",'C_jama.2018.8802'!$A$2:$A$9,0))="","",INDEX('C_jama.2018.8802'!$L$2:$L$9,MATCH("2018::jama.2018.8802::C008",'C_jama.2018.8802'!$A$2:$A$9,0))),"not_applicable")</x:f>
        <x:v>not_applicable</x:v>
      </x:c>
      <x:c r="Z107" s="3" t="str">
        <x:f>IF(INDEX('C_jama.2018.8802'!$R$2:$R$9,MATCH("2018::jama.2018.8802::C008",'C_jama.2018.8802'!$A$2:$A$9,0))="","",INDEX('C_jama.2018.8802'!$R$2:$R$9,MATCH("2018::jama.2018.8802::C008",'C_jama.2018.8802'!$A$2:$A$9,0)))</x:f>
      </x:c>
      <x:c r="AA107" s="3" t="str">
        <x:f>IF(INDEX('C_jama.2018.8802'!$N$2:$N$9,MATCH("2018::jama.2018.8802::C008",'C_jama.2018.8802'!$A$2:$A$9,0))="","",INDEX('C_jama.2018.8802'!$N$2:$N$9,MATCH("2018::jama.2018.8802::C008",'C_jama.2018.8802'!$A$2:$A$9,0)))</x:f>
      </x:c>
      <x:c r="AB107" s="3" t="str">
        <x:f>IF(INDEX('C_jama.2018.8802'!$O$2:$O$9,MATCH("2018::jama.2018.8802::C008",'C_jama.2018.8802'!$A$2:$A$9,0))="","",INDEX('C_jama.2018.8802'!$O$2:$O$9,MATCH("2018::jama.2018.8802::C008",'C_jama.2018.8802'!$A$2:$A$9,0)))</x:f>
      </x:c>
      <x:c r="AC107" s="3" t="str">
        <x:f>IF(INDEX('C_jama.2018.8802'!$P$2:$P$9,MATCH("2018::jama.2018.8802::C008",'C_jama.2018.8802'!$A$2:$A$9,0))="","",INDEX('C_jama.2018.8802'!$P$2:$P$9,MATCH("2018::jama.2018.8802::C008",'C_jama.2018.8802'!$A$2:$A$9,0)))</x:f>
      </x:c>
      <x:c r="AD107" s="3" t="str">
        <x:f>IF(INDEX('C_jama.2018.8802'!$Q$2:$Q$9,MATCH("2018::jama.2018.8802::C008",'C_jama.2018.8802'!$A$2:$A$9,0))="","",INDEX('C_jama.2018.8802'!$Q$2:$Q$9,MATCH("2018::jama.2018.8802::C008",'C_jama.2018.8802'!$A$2:$A$9,0)))</x:f>
      </x:c>
    </x:row>
    <x:row r="108" ht="65" customHeight="1">
      <x:c r="A108" s="6" t="n">
        <x:v>2018</x:v>
      </x:c>
      <x:c r="B108" s="6" t="str">
        <x:v>jama.2018.9128</x:v>
      </x:c>
      <x:c r="C108" s="6" t="str">
        <x:v>2018::jama.2018.9128::C001</x:v>
      </x:c>
      <x:c r="D108" s="6" t="str">
        <x:v>S_C</x:v>
      </x:c>
      <x:c r="E108" s="6" t="n">
        <x:f>Setup!$B$2</x:f>
        <x:v>0</x:v>
      </x:c>
      <x:c r="F108" s="6" t="str">
        <x:f>IF(Setup!$B$4="","",Setup!$B$4)</x:f>
      </x:c>
      <x:c r="G108" s="6" t="str">
        <x:f>IFERROR(INDEX('C_jama.2018.9128'!$G$2:$G$14,MATCH("2018::jama.2018.9128::C001",'C_jama.2018.9128'!$A$2:$A$14,0)),"CHECK KEY")</x:f>
        <x:v>CHECK REVIEWER IDs</x:v>
      </x:c>
      <x:c r="H108" s="6" t="str">
        <x:f>IF(G108&lt;&gt;"FINAL READY","",IF(S108&lt;&gt;"retain","not_eligible",IF(D108="P_R","protocol_descriptive",IF(D108="P_P","plan_descriptive",IF(AND(T108="statistical_results",OR(U108="confirmed_issue",U108="probable_issue"),V108="substantive"),"primary_temporal",IF(AND(T108="report_internal_inconsistency",X108="substantive_inconsistency"),"secondary_temporal","not_eligible"))))))</x:f>
      </x:c>
      <x:c r="I108" s="6" t="str">
        <x:v>retain</x:v>
      </x:c>
      <x:c r="J108" s="6" t="str">
        <x:v>report_internal_inconsistency</x:v>
      </x:c>
      <x:c r="K108" s="6" t="str">
        <x:f>IF(Setup!$B$6="primary","",IFERROR(IF(INDEX('Primary_snapshot'!$B$2:$B$120,MATCH(C108,'Primary_snapshot'!$A$2:$A$120,0))="","",INDEX('Primary_snapshot'!$B$2:$B$120,MATCH(C108,'Primary_snapshot'!$A$2:$A$120,0))),"SNAPSHOT MISSING"))</x:f>
      </x:c>
      <x:c r="L108" s="6" t="str">
        <x:f>IF(Setup!$B$6="primary","",IFERROR(IF(INDEX('Primary_snapshot'!$C$2:$C$120,MATCH(C108,'Primary_snapshot'!$A$2:$A$120,0))="","",INDEX('Primary_snapshot'!$C$2:$C$120,MATCH(C108,'Primary_snapshot'!$A$2:$A$120,0))),"SNAPSHOT MISSING"))</x:f>
      </x:c>
      <x:c r="M108" s="6" t="str">
        <x:f>IF(Setup!$B$6="primary","",IFERROR(IF(INDEX('Primary_snapshot'!$D$2:$D$120,MATCH(C108,'Primary_snapshot'!$A$2:$A$120,0))="","",INDEX('Primary_snapshot'!$D$2:$D$120,MATCH(C108,'Primary_snapshot'!$A$2:$A$120,0))),"SNAPSHOT MISSING"))</x:f>
      </x:c>
      <x:c r="N108" s="6" t="str">
        <x:f>IF(Setup!$B$6="primary","",IFERROR(IF(INDEX('Primary_snapshot'!$E$2:$E$120,MATCH(C108,'Primary_snapshot'!$A$2:$A$120,0))="","",INDEX('Primary_snapshot'!$E$2:$E$120,MATCH(C108,'Primary_snapshot'!$A$2:$A$120,0))),"SNAPSHOT MISSING"))</x:f>
      </x:c>
      <x:c r="O108" s="6" t="str">
        <x:f>IF(Setup!$B$6="primary","",IFERROR(IF(INDEX('Primary_snapshot'!$F$2:$F$120,MATCH(C108,'Primary_snapshot'!$A$2:$A$120,0))="","",INDEX('Primary_snapshot'!$F$2:$F$120,MATCH(C108,'Primary_snapshot'!$A$2:$A$120,0))),"SNAPSHOT MISSING"))</x:f>
      </x:c>
      <x:c r="P108" s="6" t="str">
        <x:f>IF(Setup!$B$6="primary","",IFERROR(IF(INDEX('Primary_snapshot'!$G$2:$G$120,MATCH(C108,'Primary_snapshot'!$A$2:$A$120,0))="","",INDEX('Primary_snapshot'!$G$2:$G$120,MATCH(C108,'Primary_snapshot'!$A$2:$A$120,0))),"SNAPSHOT MISSING"))</x:f>
      </x:c>
      <x:c r="Q108" s="6" t="str">
        <x:f>IF(Setup!$B$6="primary","",IFERROR(IF(INDEX('Primary_snapshot'!$H$2:$H$120,MATCH(C108,'Primary_snapshot'!$A$2:$A$120,0))="","",INDEX('Primary_snapshot'!$H$2:$H$120,MATCH(C108,'Primary_snapshot'!$A$2:$A$120,0))),"SNAPSHOT MISSING"))</x:f>
      </x:c>
      <x:c r="R108" s="6" t="str">
        <x:f>IF(Setup!$B$6="primary","",IFERROR(IF(INDEX('Primary_snapshot'!$I$2:$I$120,MATCH(C108,'Primary_snapshot'!$A$2:$A$120,0))="","",INDEX('Primary_snapshot'!$I$2:$I$120,MATCH(C108,'Primary_snapshot'!$A$2:$A$120,0))),"SNAPSHOT MISSING"))</x:f>
      </x:c>
      <x:c r="S108" s="6" t="str">
        <x:f>IF(INDEX('C_jama.2018.9128'!$D$2:$D$14,MATCH("2018::jama.2018.9128::C001",'C_jama.2018.9128'!$A$2:$A$14,0))="","",INDEX('C_jama.2018.9128'!$D$2:$D$14,MATCH("2018::jama.2018.9128::C001",'C_jama.2018.9128'!$A$2:$A$14,0)))</x:f>
      </x:c>
      <x:c r="T108" s="6" t="str">
        <x:f>IF(INDEX('C_jama.2018.9128'!$E$2:$E$14,MATCH("2018::jama.2018.9128::C001",'C_jama.2018.9128'!$A$2:$A$14,0))="","",INDEX('C_jama.2018.9128'!$E$2:$E$14,MATCH("2018::jama.2018.9128::C001",'C_jama.2018.9128'!$A$2:$A$14,0)))</x:f>
        <x:v>report_internal_inconsistency</x:v>
      </x:c>
      <x:c r="U108" s="6" t="str">
        <x:f>IF(AND(INDEX('C_jama.2018.9128'!$D$2:$D$14,MATCH("2018::jama.2018.9128::C001",'C_jama.2018.9128'!$A$2:$A$14,0))="retain",INDEX('C_jama.2018.9128'!$E$2:$E$14,MATCH("2018::jama.2018.9128::C001",'C_jama.2018.9128'!$A$2:$A$14,0))="statistical_results"),IF(INDEX('C_jama.2018.9128'!$H$2:$H$14,MATCH("2018::jama.2018.9128::C001",'C_jama.2018.9128'!$A$2:$A$14,0))="","",INDEX('C_jama.2018.9128'!$H$2:$H$14,MATCH("2018::jama.2018.9128::C001",'C_jama.2018.9128'!$A$2:$A$14,0))),"not_applicable")</x:f>
        <x:v>not_applicable</x:v>
      </x:c>
      <x:c r="V108" s="6" t="str">
        <x:f>IF(AND(INDEX('C_jama.2018.9128'!$D$2:$D$14,MATCH("2018::jama.2018.9128::C001",'C_jama.2018.9128'!$A$2:$A$14,0))="retain",INDEX('C_jama.2018.9128'!$E$2:$E$14,MATCH("2018::jama.2018.9128::C001",'C_jama.2018.9128'!$A$2:$A$14,0))="statistical_results"),IF(INDEX('C_jama.2018.9128'!$I$2:$I$14,MATCH("2018::jama.2018.9128::C001",'C_jama.2018.9128'!$A$2:$A$14,0))="","",INDEX('C_jama.2018.9128'!$I$2:$I$14,MATCH("2018::jama.2018.9128::C001",'C_jama.2018.9128'!$A$2:$A$14,0))),"not_applicable")</x:f>
        <x:v>not_applicable</x:v>
      </x:c>
      <x:c r="W108" s="6" t="str">
        <x:f>IF(AND(INDEX('C_jama.2018.9128'!$D$2:$D$14,MATCH("2018::jama.2018.9128::C001",'C_jama.2018.9128'!$A$2:$A$14,0))="retain",INDEX('C_jama.2018.9128'!$E$2:$E$14,MATCH("2018::jama.2018.9128::C001",'C_jama.2018.9128'!$A$2:$A$14,0))="statistical_results"),IF(INDEX('C_jama.2018.9128'!$J$2:$J$14,MATCH("2018::jama.2018.9128::C001",'C_jama.2018.9128'!$A$2:$A$14,0))="","",INDEX('C_jama.2018.9128'!$J$2:$J$14,MATCH("2018::jama.2018.9128::C001",'C_jama.2018.9128'!$A$2:$A$14,0))),"not_applicable")</x:f>
        <x:v>not_applicable</x:v>
      </x:c>
      <x:c r="X108" s="6" t="str">
        <x:f>IF(AND(INDEX('C_jama.2018.9128'!$D$2:$D$14,MATCH("2018::jama.2018.9128::C001",'C_jama.2018.9128'!$A$2:$A$14,0))="retain",OR(INDEX('C_jama.2018.9128'!$E$2:$E$14,MATCH("2018::jama.2018.9128::C001",'C_jama.2018.9128'!$A$2:$A$14,0))="report_internal_inconsistency",INDEX('C_jama.2018.9128'!$E$2:$E$14,MATCH("2018::jama.2018.9128::C001",'C_jama.2018.9128'!$A$2:$A$14,0))="plan_material")),IF(INDEX('C_jama.2018.9128'!$K$2:$K$14,MATCH("2018::jama.2018.9128::C001",'C_jama.2018.9128'!$A$2:$A$14,0))="","",INDEX('C_jama.2018.9128'!$K$2:$K$14,MATCH("2018::jama.2018.9128::C001",'C_jama.2018.9128'!$A$2:$A$14,0))),"not_applicable")</x:f>
        <x:v>not_applicable</x:v>
      </x:c>
      <x:c r="Y108" s="6" t="str">
        <x:f>IF(AND(INDEX('C_jama.2018.9128'!$D$2:$D$14,MATCH("2018::jama.2018.9128::C001",'C_jama.2018.9128'!$A$2:$A$14,0))="retain",INDEX('C_jama.2018.9128'!$E$2:$E$14,MATCH("2018::jama.2018.9128::C001",'C_jama.2018.9128'!$A$2:$A$14,0))="protocol_report"),IF(INDEX('C_jama.2018.9128'!$L$2:$L$14,MATCH("2018::jama.2018.9128::C001",'C_jama.2018.9128'!$A$2:$A$14,0))="","",INDEX('C_jama.2018.9128'!$L$2:$L$14,MATCH("2018::jama.2018.9128::C001",'C_jama.2018.9128'!$A$2:$A$14,0))),"not_applicable")</x:f>
        <x:v>not_applicable</x:v>
      </x:c>
      <x:c r="Z108" s="6" t="str">
        <x:f>IF(INDEX('C_jama.2018.9128'!$R$2:$R$14,MATCH("2018::jama.2018.9128::C001",'C_jama.2018.9128'!$A$2:$A$14,0))="","",INDEX('C_jama.2018.9128'!$R$2:$R$14,MATCH("2018::jama.2018.9128::C001",'C_jama.2018.9128'!$A$2:$A$14,0)))</x:f>
      </x:c>
      <x:c r="AA108" s="6" t="str">
        <x:f>IF(INDEX('C_jama.2018.9128'!$N$2:$N$14,MATCH("2018::jama.2018.9128::C001",'C_jama.2018.9128'!$A$2:$A$14,0))="","",INDEX('C_jama.2018.9128'!$N$2:$N$14,MATCH("2018::jama.2018.9128::C001",'C_jama.2018.9128'!$A$2:$A$14,0)))</x:f>
      </x:c>
      <x:c r="AB108" s="6" t="str">
        <x:f>IF(INDEX('C_jama.2018.9128'!$O$2:$O$14,MATCH("2018::jama.2018.9128::C001",'C_jama.2018.9128'!$A$2:$A$14,0))="","",INDEX('C_jama.2018.9128'!$O$2:$O$14,MATCH("2018::jama.2018.9128::C001",'C_jama.2018.9128'!$A$2:$A$14,0)))</x:f>
      </x:c>
      <x:c r="AC108" s="6" t="str">
        <x:f>IF(INDEX('C_jama.2018.9128'!$P$2:$P$14,MATCH("2018::jama.2018.9128::C001",'C_jama.2018.9128'!$A$2:$A$14,0))="","",INDEX('C_jama.2018.9128'!$P$2:$P$14,MATCH("2018::jama.2018.9128::C001",'C_jama.2018.9128'!$A$2:$A$14,0)))</x:f>
      </x:c>
      <x:c r="AD108" s="6" t="str">
        <x:f>IF(INDEX('C_jama.2018.9128'!$Q$2:$Q$14,MATCH("2018::jama.2018.9128::C001",'C_jama.2018.9128'!$A$2:$A$14,0))="","",INDEX('C_jama.2018.9128'!$Q$2:$Q$14,MATCH("2018::jama.2018.9128::C001",'C_jama.2018.9128'!$A$2:$A$14,0)))</x:f>
      </x:c>
    </x:row>
    <x:row r="109" ht="65" customHeight="1">
      <x:c r="A109" s="3" t="n">
        <x:v>2018</x:v>
      </x:c>
      <x:c r="B109" s="3" t="str">
        <x:v>jama.2018.9128</x:v>
      </x:c>
      <x:c r="C109" s="3" t="str">
        <x:v>2018::jama.2018.9128::C002</x:v>
      </x:c>
      <x:c r="D109" s="3" t="str">
        <x:v>S_C</x:v>
      </x:c>
      <x:c r="E109" s="3" t="n">
        <x:f>Setup!$B$2</x:f>
        <x:v>0</x:v>
      </x:c>
      <x:c r="F109" s="3" t="str">
        <x:f>IF(Setup!$B$4="","",Setup!$B$4)</x:f>
      </x:c>
      <x:c r="G109" s="3" t="str">
        <x:f>IFERROR(INDEX('C_jama.2018.9128'!$G$2:$G$14,MATCH("2018::jama.2018.9128::C002",'C_jama.2018.9128'!$A$2:$A$14,0)),"CHECK KEY")</x:f>
        <x:v>CHECK REVIEWER IDs</x:v>
      </x:c>
      <x:c r="H109" s="3" t="str">
        <x:f>IF(G109&lt;&gt;"FINAL READY","",IF(S109&lt;&gt;"retain","not_eligible",IF(D109="P_R","protocol_descriptive",IF(D109="P_P","plan_descriptive",IF(AND(T109="statistical_results",OR(U109="confirmed_issue",U109="probable_issue"),V109="substantive"),"primary_temporal",IF(AND(T109="report_internal_inconsistency",X109="substantive_inconsistency"),"secondary_temporal","not_eligible"))))))</x:f>
      </x:c>
      <x:c r="I109" s="3" t="str">
        <x:v>retain</x:v>
      </x:c>
      <x:c r="J109" s="3" t="str">
        <x:v>report_internal_inconsistency</x:v>
      </x:c>
      <x:c r="K109" s="3" t="str">
        <x:f>IF(Setup!$B$6="primary","",IFERROR(IF(INDEX('Primary_snapshot'!$B$2:$B$120,MATCH(C109,'Primary_snapshot'!$A$2:$A$120,0))="","",INDEX('Primary_snapshot'!$B$2:$B$120,MATCH(C109,'Primary_snapshot'!$A$2:$A$120,0))),"SNAPSHOT MISSING"))</x:f>
      </x:c>
      <x:c r="L109" s="3" t="str">
        <x:f>IF(Setup!$B$6="primary","",IFERROR(IF(INDEX('Primary_snapshot'!$C$2:$C$120,MATCH(C109,'Primary_snapshot'!$A$2:$A$120,0))="","",INDEX('Primary_snapshot'!$C$2:$C$120,MATCH(C109,'Primary_snapshot'!$A$2:$A$120,0))),"SNAPSHOT MISSING"))</x:f>
      </x:c>
      <x:c r="M109" s="3" t="str">
        <x:f>IF(Setup!$B$6="primary","",IFERROR(IF(INDEX('Primary_snapshot'!$D$2:$D$120,MATCH(C109,'Primary_snapshot'!$A$2:$A$120,0))="","",INDEX('Primary_snapshot'!$D$2:$D$120,MATCH(C109,'Primary_snapshot'!$A$2:$A$120,0))),"SNAPSHOT MISSING"))</x:f>
      </x:c>
      <x:c r="N109" s="3" t="str">
        <x:f>IF(Setup!$B$6="primary","",IFERROR(IF(INDEX('Primary_snapshot'!$E$2:$E$120,MATCH(C109,'Primary_snapshot'!$A$2:$A$120,0))="","",INDEX('Primary_snapshot'!$E$2:$E$120,MATCH(C109,'Primary_snapshot'!$A$2:$A$120,0))),"SNAPSHOT MISSING"))</x:f>
      </x:c>
      <x:c r="O109" s="3" t="str">
        <x:f>IF(Setup!$B$6="primary","",IFERROR(IF(INDEX('Primary_snapshot'!$F$2:$F$120,MATCH(C109,'Primary_snapshot'!$A$2:$A$120,0))="","",INDEX('Primary_snapshot'!$F$2:$F$120,MATCH(C109,'Primary_snapshot'!$A$2:$A$120,0))),"SNAPSHOT MISSING"))</x:f>
      </x:c>
      <x:c r="P109" s="3" t="str">
        <x:f>IF(Setup!$B$6="primary","",IFERROR(IF(INDEX('Primary_snapshot'!$G$2:$G$120,MATCH(C109,'Primary_snapshot'!$A$2:$A$120,0))="","",INDEX('Primary_snapshot'!$G$2:$G$120,MATCH(C109,'Primary_snapshot'!$A$2:$A$120,0))),"SNAPSHOT MISSING"))</x:f>
      </x:c>
      <x:c r="Q109" s="3" t="str">
        <x:f>IF(Setup!$B$6="primary","",IFERROR(IF(INDEX('Primary_snapshot'!$H$2:$H$120,MATCH(C109,'Primary_snapshot'!$A$2:$A$120,0))="","",INDEX('Primary_snapshot'!$H$2:$H$120,MATCH(C109,'Primary_snapshot'!$A$2:$A$120,0))),"SNAPSHOT MISSING"))</x:f>
      </x:c>
      <x:c r="R109" s="3" t="str">
        <x:f>IF(Setup!$B$6="primary","",IFERROR(IF(INDEX('Primary_snapshot'!$I$2:$I$120,MATCH(C109,'Primary_snapshot'!$A$2:$A$120,0))="","",INDEX('Primary_snapshot'!$I$2:$I$120,MATCH(C109,'Primary_snapshot'!$A$2:$A$120,0))),"SNAPSHOT MISSING"))</x:f>
      </x:c>
      <x:c r="S109" s="3" t="str">
        <x:f>IF(INDEX('C_jama.2018.9128'!$D$2:$D$14,MATCH("2018::jama.2018.9128::C002",'C_jama.2018.9128'!$A$2:$A$14,0))="","",INDEX('C_jama.2018.9128'!$D$2:$D$14,MATCH("2018::jama.2018.9128::C002",'C_jama.2018.9128'!$A$2:$A$14,0)))</x:f>
      </x:c>
      <x:c r="T109" s="3" t="str">
        <x:f>IF(INDEX('C_jama.2018.9128'!$E$2:$E$14,MATCH("2018::jama.2018.9128::C002",'C_jama.2018.9128'!$A$2:$A$14,0))="","",INDEX('C_jama.2018.9128'!$E$2:$E$14,MATCH("2018::jama.2018.9128::C002",'C_jama.2018.9128'!$A$2:$A$14,0)))</x:f>
        <x:v>report_internal_inconsistency</x:v>
      </x:c>
      <x:c r="U109" s="3" t="str">
        <x:f>IF(AND(INDEX('C_jama.2018.9128'!$D$2:$D$14,MATCH("2018::jama.2018.9128::C002",'C_jama.2018.9128'!$A$2:$A$14,0))="retain",INDEX('C_jama.2018.9128'!$E$2:$E$14,MATCH("2018::jama.2018.9128::C002",'C_jama.2018.9128'!$A$2:$A$14,0))="statistical_results"),IF(INDEX('C_jama.2018.9128'!$H$2:$H$14,MATCH("2018::jama.2018.9128::C002",'C_jama.2018.9128'!$A$2:$A$14,0))="","",INDEX('C_jama.2018.9128'!$H$2:$H$14,MATCH("2018::jama.2018.9128::C002",'C_jama.2018.9128'!$A$2:$A$14,0))),"not_applicable")</x:f>
        <x:v>not_applicable</x:v>
      </x:c>
      <x:c r="V109" s="3" t="str">
        <x:f>IF(AND(INDEX('C_jama.2018.9128'!$D$2:$D$14,MATCH("2018::jama.2018.9128::C002",'C_jama.2018.9128'!$A$2:$A$14,0))="retain",INDEX('C_jama.2018.9128'!$E$2:$E$14,MATCH("2018::jama.2018.9128::C002",'C_jama.2018.9128'!$A$2:$A$14,0))="statistical_results"),IF(INDEX('C_jama.2018.9128'!$I$2:$I$14,MATCH("2018::jama.2018.9128::C002",'C_jama.2018.9128'!$A$2:$A$14,0))="","",INDEX('C_jama.2018.9128'!$I$2:$I$14,MATCH("2018::jama.2018.9128::C002",'C_jama.2018.9128'!$A$2:$A$14,0))),"not_applicable")</x:f>
        <x:v>not_applicable</x:v>
      </x:c>
      <x:c r="W109" s="3" t="str">
        <x:f>IF(AND(INDEX('C_jama.2018.9128'!$D$2:$D$14,MATCH("2018::jama.2018.9128::C002",'C_jama.2018.9128'!$A$2:$A$14,0))="retain",INDEX('C_jama.2018.9128'!$E$2:$E$14,MATCH("2018::jama.2018.9128::C002",'C_jama.2018.9128'!$A$2:$A$14,0))="statistical_results"),IF(INDEX('C_jama.2018.9128'!$J$2:$J$14,MATCH("2018::jama.2018.9128::C002",'C_jama.2018.9128'!$A$2:$A$14,0))="","",INDEX('C_jama.2018.9128'!$J$2:$J$14,MATCH("2018::jama.2018.9128::C002",'C_jama.2018.9128'!$A$2:$A$14,0))),"not_applicable")</x:f>
        <x:v>not_applicable</x:v>
      </x:c>
      <x:c r="X109" s="3" t="str">
        <x:f>IF(AND(INDEX('C_jama.2018.9128'!$D$2:$D$14,MATCH("2018::jama.2018.9128::C002",'C_jama.2018.9128'!$A$2:$A$14,0))="retain",OR(INDEX('C_jama.2018.9128'!$E$2:$E$14,MATCH("2018::jama.2018.9128::C002",'C_jama.2018.9128'!$A$2:$A$14,0))="report_internal_inconsistency",INDEX('C_jama.2018.9128'!$E$2:$E$14,MATCH("2018::jama.2018.9128::C002",'C_jama.2018.9128'!$A$2:$A$14,0))="plan_material")),IF(INDEX('C_jama.2018.9128'!$K$2:$K$14,MATCH("2018::jama.2018.9128::C002",'C_jama.2018.9128'!$A$2:$A$14,0))="","",INDEX('C_jama.2018.9128'!$K$2:$K$14,MATCH("2018::jama.2018.9128::C002",'C_jama.2018.9128'!$A$2:$A$14,0))),"not_applicable")</x:f>
        <x:v>not_applicable</x:v>
      </x:c>
      <x:c r="Y109" s="3" t="str">
        <x:f>IF(AND(INDEX('C_jama.2018.9128'!$D$2:$D$14,MATCH("2018::jama.2018.9128::C002",'C_jama.2018.9128'!$A$2:$A$14,0))="retain",INDEX('C_jama.2018.9128'!$E$2:$E$14,MATCH("2018::jama.2018.9128::C002",'C_jama.2018.9128'!$A$2:$A$14,0))="protocol_report"),IF(INDEX('C_jama.2018.9128'!$L$2:$L$14,MATCH("2018::jama.2018.9128::C002",'C_jama.2018.9128'!$A$2:$A$14,0))="","",INDEX('C_jama.2018.9128'!$L$2:$L$14,MATCH("2018::jama.2018.9128::C002",'C_jama.2018.9128'!$A$2:$A$14,0))),"not_applicable")</x:f>
        <x:v>not_applicable</x:v>
      </x:c>
      <x:c r="Z109" s="3" t="str">
        <x:f>IF(INDEX('C_jama.2018.9128'!$R$2:$R$14,MATCH("2018::jama.2018.9128::C002",'C_jama.2018.9128'!$A$2:$A$14,0))="","",INDEX('C_jama.2018.9128'!$R$2:$R$14,MATCH("2018::jama.2018.9128::C002",'C_jama.2018.9128'!$A$2:$A$14,0)))</x:f>
      </x:c>
      <x:c r="AA109" s="3" t="str">
        <x:f>IF(INDEX('C_jama.2018.9128'!$N$2:$N$14,MATCH("2018::jama.2018.9128::C002",'C_jama.2018.9128'!$A$2:$A$14,0))="","",INDEX('C_jama.2018.9128'!$N$2:$N$14,MATCH("2018::jama.2018.9128::C002",'C_jama.2018.9128'!$A$2:$A$14,0)))</x:f>
      </x:c>
      <x:c r="AB109" s="3" t="str">
        <x:f>IF(INDEX('C_jama.2018.9128'!$O$2:$O$14,MATCH("2018::jama.2018.9128::C002",'C_jama.2018.9128'!$A$2:$A$14,0))="","",INDEX('C_jama.2018.9128'!$O$2:$O$14,MATCH("2018::jama.2018.9128::C002",'C_jama.2018.9128'!$A$2:$A$14,0)))</x:f>
      </x:c>
      <x:c r="AC109" s="3" t="str">
        <x:f>IF(INDEX('C_jama.2018.9128'!$P$2:$P$14,MATCH("2018::jama.2018.9128::C002",'C_jama.2018.9128'!$A$2:$A$14,0))="","",INDEX('C_jama.2018.9128'!$P$2:$P$14,MATCH("2018::jama.2018.9128::C002",'C_jama.2018.9128'!$A$2:$A$14,0)))</x:f>
      </x:c>
      <x:c r="AD109" s="3" t="str">
        <x:f>IF(INDEX('C_jama.2018.9128'!$Q$2:$Q$14,MATCH("2018::jama.2018.9128::C002",'C_jama.2018.9128'!$A$2:$A$14,0))="","",INDEX('C_jama.2018.9128'!$Q$2:$Q$14,MATCH("2018::jama.2018.9128::C002",'C_jama.2018.9128'!$A$2:$A$14,0)))</x:f>
      </x:c>
    </x:row>
    <x:row r="110" ht="65" customHeight="1">
      <x:c r="A110" s="6" t="n">
        <x:v>2018</x:v>
      </x:c>
      <x:c r="B110" s="6" t="str">
        <x:v>jama.2018.9128</x:v>
      </x:c>
      <x:c r="C110" s="6" t="str">
        <x:v>2018::jama.2018.9128::C003</x:v>
      </x:c>
      <x:c r="D110" s="6" t="str">
        <x:v>S_C</x:v>
      </x:c>
      <x:c r="E110" s="6" t="n">
        <x:f>Setup!$B$2</x:f>
        <x:v>0</x:v>
      </x:c>
      <x:c r="F110" s="6" t="str">
        <x:f>IF(Setup!$B$4="","",Setup!$B$4)</x:f>
      </x:c>
      <x:c r="G110" s="6" t="str">
        <x:f>IFERROR(INDEX('C_jama.2018.9128'!$G$2:$G$14,MATCH("2018::jama.2018.9128::C003",'C_jama.2018.9128'!$A$2:$A$14,0)),"CHECK KEY")</x:f>
        <x:v>CHECK REVIEWER IDs</x:v>
      </x:c>
      <x:c r="H110" s="6" t="str">
        <x:f>IF(G110&lt;&gt;"FINAL READY","",IF(S110&lt;&gt;"retain","not_eligible",IF(D110="P_R","protocol_descriptive",IF(D110="P_P","plan_descriptive",IF(AND(T110="statistical_results",OR(U110="confirmed_issue",U110="probable_issue"),V110="substantive"),"primary_temporal",IF(AND(T110="report_internal_inconsistency",X110="substantive_inconsistency"),"secondary_temporal","not_eligible"))))))</x:f>
      </x:c>
      <x:c r="I110" s="6" t="str">
        <x:v>retain</x:v>
      </x:c>
      <x:c r="J110" s="6" t="str">
        <x:v>report_internal_inconsistency</x:v>
      </x:c>
      <x:c r="K110" s="6" t="str">
        <x:f>IF(Setup!$B$6="primary","",IFERROR(IF(INDEX('Primary_snapshot'!$B$2:$B$120,MATCH(C110,'Primary_snapshot'!$A$2:$A$120,0))="","",INDEX('Primary_snapshot'!$B$2:$B$120,MATCH(C110,'Primary_snapshot'!$A$2:$A$120,0))),"SNAPSHOT MISSING"))</x:f>
      </x:c>
      <x:c r="L110" s="6" t="str">
        <x:f>IF(Setup!$B$6="primary","",IFERROR(IF(INDEX('Primary_snapshot'!$C$2:$C$120,MATCH(C110,'Primary_snapshot'!$A$2:$A$120,0))="","",INDEX('Primary_snapshot'!$C$2:$C$120,MATCH(C110,'Primary_snapshot'!$A$2:$A$120,0))),"SNAPSHOT MISSING"))</x:f>
      </x:c>
      <x:c r="M110" s="6" t="str">
        <x:f>IF(Setup!$B$6="primary","",IFERROR(IF(INDEX('Primary_snapshot'!$D$2:$D$120,MATCH(C110,'Primary_snapshot'!$A$2:$A$120,0))="","",INDEX('Primary_snapshot'!$D$2:$D$120,MATCH(C110,'Primary_snapshot'!$A$2:$A$120,0))),"SNAPSHOT MISSING"))</x:f>
      </x:c>
      <x:c r="N110" s="6" t="str">
        <x:f>IF(Setup!$B$6="primary","",IFERROR(IF(INDEX('Primary_snapshot'!$E$2:$E$120,MATCH(C110,'Primary_snapshot'!$A$2:$A$120,0))="","",INDEX('Primary_snapshot'!$E$2:$E$120,MATCH(C110,'Primary_snapshot'!$A$2:$A$120,0))),"SNAPSHOT MISSING"))</x:f>
      </x:c>
      <x:c r="O110" s="6" t="str">
        <x:f>IF(Setup!$B$6="primary","",IFERROR(IF(INDEX('Primary_snapshot'!$F$2:$F$120,MATCH(C110,'Primary_snapshot'!$A$2:$A$120,0))="","",INDEX('Primary_snapshot'!$F$2:$F$120,MATCH(C110,'Primary_snapshot'!$A$2:$A$120,0))),"SNAPSHOT MISSING"))</x:f>
      </x:c>
      <x:c r="P110" s="6" t="str">
        <x:f>IF(Setup!$B$6="primary","",IFERROR(IF(INDEX('Primary_snapshot'!$G$2:$G$120,MATCH(C110,'Primary_snapshot'!$A$2:$A$120,0))="","",INDEX('Primary_snapshot'!$G$2:$G$120,MATCH(C110,'Primary_snapshot'!$A$2:$A$120,0))),"SNAPSHOT MISSING"))</x:f>
      </x:c>
      <x:c r="Q110" s="6" t="str">
        <x:f>IF(Setup!$B$6="primary","",IFERROR(IF(INDEX('Primary_snapshot'!$H$2:$H$120,MATCH(C110,'Primary_snapshot'!$A$2:$A$120,0))="","",INDEX('Primary_snapshot'!$H$2:$H$120,MATCH(C110,'Primary_snapshot'!$A$2:$A$120,0))),"SNAPSHOT MISSING"))</x:f>
      </x:c>
      <x:c r="R110" s="6" t="str">
        <x:f>IF(Setup!$B$6="primary","",IFERROR(IF(INDEX('Primary_snapshot'!$I$2:$I$120,MATCH(C110,'Primary_snapshot'!$A$2:$A$120,0))="","",INDEX('Primary_snapshot'!$I$2:$I$120,MATCH(C110,'Primary_snapshot'!$A$2:$A$120,0))),"SNAPSHOT MISSING"))</x:f>
      </x:c>
      <x:c r="S110" s="6" t="str">
        <x:f>IF(INDEX('C_jama.2018.9128'!$D$2:$D$14,MATCH("2018::jama.2018.9128::C003",'C_jama.2018.9128'!$A$2:$A$14,0))="","",INDEX('C_jama.2018.9128'!$D$2:$D$14,MATCH("2018::jama.2018.9128::C003",'C_jama.2018.9128'!$A$2:$A$14,0)))</x:f>
      </x:c>
      <x:c r="T110" s="6" t="str">
        <x:f>IF(INDEX('C_jama.2018.9128'!$E$2:$E$14,MATCH("2018::jama.2018.9128::C003",'C_jama.2018.9128'!$A$2:$A$14,0))="","",INDEX('C_jama.2018.9128'!$E$2:$E$14,MATCH("2018::jama.2018.9128::C003",'C_jama.2018.9128'!$A$2:$A$14,0)))</x:f>
        <x:v>report_internal_inconsistency</x:v>
      </x:c>
      <x:c r="U110" s="6" t="str">
        <x:f>IF(AND(INDEX('C_jama.2018.9128'!$D$2:$D$14,MATCH("2018::jama.2018.9128::C003",'C_jama.2018.9128'!$A$2:$A$14,0))="retain",INDEX('C_jama.2018.9128'!$E$2:$E$14,MATCH("2018::jama.2018.9128::C003",'C_jama.2018.9128'!$A$2:$A$14,0))="statistical_results"),IF(INDEX('C_jama.2018.9128'!$H$2:$H$14,MATCH("2018::jama.2018.9128::C003",'C_jama.2018.9128'!$A$2:$A$14,0))="","",INDEX('C_jama.2018.9128'!$H$2:$H$14,MATCH("2018::jama.2018.9128::C003",'C_jama.2018.9128'!$A$2:$A$14,0))),"not_applicable")</x:f>
        <x:v>not_applicable</x:v>
      </x:c>
      <x:c r="V110" s="6" t="str">
        <x:f>IF(AND(INDEX('C_jama.2018.9128'!$D$2:$D$14,MATCH("2018::jama.2018.9128::C003",'C_jama.2018.9128'!$A$2:$A$14,0))="retain",INDEX('C_jama.2018.9128'!$E$2:$E$14,MATCH("2018::jama.2018.9128::C003",'C_jama.2018.9128'!$A$2:$A$14,0))="statistical_results"),IF(INDEX('C_jama.2018.9128'!$I$2:$I$14,MATCH("2018::jama.2018.9128::C003",'C_jama.2018.9128'!$A$2:$A$14,0))="","",INDEX('C_jama.2018.9128'!$I$2:$I$14,MATCH("2018::jama.2018.9128::C003",'C_jama.2018.9128'!$A$2:$A$14,0))),"not_applicable")</x:f>
        <x:v>not_applicable</x:v>
      </x:c>
      <x:c r="W110" s="6" t="str">
        <x:f>IF(AND(INDEX('C_jama.2018.9128'!$D$2:$D$14,MATCH("2018::jama.2018.9128::C003",'C_jama.2018.9128'!$A$2:$A$14,0))="retain",INDEX('C_jama.2018.9128'!$E$2:$E$14,MATCH("2018::jama.2018.9128::C003",'C_jama.2018.9128'!$A$2:$A$14,0))="statistical_results"),IF(INDEX('C_jama.2018.9128'!$J$2:$J$14,MATCH("2018::jama.2018.9128::C003",'C_jama.2018.9128'!$A$2:$A$14,0))="","",INDEX('C_jama.2018.9128'!$J$2:$J$14,MATCH("2018::jama.2018.9128::C003",'C_jama.2018.9128'!$A$2:$A$14,0))),"not_applicable")</x:f>
        <x:v>not_applicable</x:v>
      </x:c>
      <x:c r="X110" s="6" t="str">
        <x:f>IF(AND(INDEX('C_jama.2018.9128'!$D$2:$D$14,MATCH("2018::jama.2018.9128::C003",'C_jama.2018.9128'!$A$2:$A$14,0))="retain",OR(INDEX('C_jama.2018.9128'!$E$2:$E$14,MATCH("2018::jama.2018.9128::C003",'C_jama.2018.9128'!$A$2:$A$14,0))="report_internal_inconsistency",INDEX('C_jama.2018.9128'!$E$2:$E$14,MATCH("2018::jama.2018.9128::C003",'C_jama.2018.9128'!$A$2:$A$14,0))="plan_material")),IF(INDEX('C_jama.2018.9128'!$K$2:$K$14,MATCH("2018::jama.2018.9128::C003",'C_jama.2018.9128'!$A$2:$A$14,0))="","",INDEX('C_jama.2018.9128'!$K$2:$K$14,MATCH("2018::jama.2018.9128::C003",'C_jama.2018.9128'!$A$2:$A$14,0))),"not_applicable")</x:f>
        <x:v>not_applicable</x:v>
      </x:c>
      <x:c r="Y110" s="6" t="str">
        <x:f>IF(AND(INDEX('C_jama.2018.9128'!$D$2:$D$14,MATCH("2018::jama.2018.9128::C003",'C_jama.2018.9128'!$A$2:$A$14,0))="retain",INDEX('C_jama.2018.9128'!$E$2:$E$14,MATCH("2018::jama.2018.9128::C003",'C_jama.2018.9128'!$A$2:$A$14,0))="protocol_report"),IF(INDEX('C_jama.2018.9128'!$L$2:$L$14,MATCH("2018::jama.2018.9128::C003",'C_jama.2018.9128'!$A$2:$A$14,0))="","",INDEX('C_jama.2018.9128'!$L$2:$L$14,MATCH("2018::jama.2018.9128::C003",'C_jama.2018.9128'!$A$2:$A$14,0))),"not_applicable")</x:f>
        <x:v>not_applicable</x:v>
      </x:c>
      <x:c r="Z110" s="6" t="str">
        <x:f>IF(INDEX('C_jama.2018.9128'!$R$2:$R$14,MATCH("2018::jama.2018.9128::C003",'C_jama.2018.9128'!$A$2:$A$14,0))="","",INDEX('C_jama.2018.9128'!$R$2:$R$14,MATCH("2018::jama.2018.9128::C003",'C_jama.2018.9128'!$A$2:$A$14,0)))</x:f>
      </x:c>
      <x:c r="AA110" s="6" t="str">
        <x:f>IF(INDEX('C_jama.2018.9128'!$N$2:$N$14,MATCH("2018::jama.2018.9128::C003",'C_jama.2018.9128'!$A$2:$A$14,0))="","",INDEX('C_jama.2018.9128'!$N$2:$N$14,MATCH("2018::jama.2018.9128::C003",'C_jama.2018.9128'!$A$2:$A$14,0)))</x:f>
      </x:c>
      <x:c r="AB110" s="6" t="str">
        <x:f>IF(INDEX('C_jama.2018.9128'!$O$2:$O$14,MATCH("2018::jama.2018.9128::C003",'C_jama.2018.9128'!$A$2:$A$14,0))="","",INDEX('C_jama.2018.9128'!$O$2:$O$14,MATCH("2018::jama.2018.9128::C003",'C_jama.2018.9128'!$A$2:$A$14,0)))</x:f>
      </x:c>
      <x:c r="AC110" s="6" t="str">
        <x:f>IF(INDEX('C_jama.2018.9128'!$P$2:$P$14,MATCH("2018::jama.2018.9128::C003",'C_jama.2018.9128'!$A$2:$A$14,0))="","",INDEX('C_jama.2018.9128'!$P$2:$P$14,MATCH("2018::jama.2018.9128::C003",'C_jama.2018.9128'!$A$2:$A$14,0)))</x:f>
      </x:c>
      <x:c r="AD110" s="6" t="str">
        <x:f>IF(INDEX('C_jama.2018.9128'!$Q$2:$Q$14,MATCH("2018::jama.2018.9128::C003",'C_jama.2018.9128'!$A$2:$A$14,0))="","",INDEX('C_jama.2018.9128'!$Q$2:$Q$14,MATCH("2018::jama.2018.9128::C003",'C_jama.2018.9128'!$A$2:$A$14,0)))</x:f>
      </x:c>
    </x:row>
    <x:row r="111" ht="65" customHeight="1">
      <x:c r="A111" s="3" t="n">
        <x:v>2018</x:v>
      </x:c>
      <x:c r="B111" s="3" t="str">
        <x:v>jama.2018.9128</x:v>
      </x:c>
      <x:c r="C111" s="3" t="str">
        <x:v>2018::jama.2018.9128::C004</x:v>
      </x:c>
      <x:c r="D111" s="3" t="str">
        <x:v>S_C</x:v>
      </x:c>
      <x:c r="E111" s="3" t="n">
        <x:f>Setup!$B$2</x:f>
        <x:v>0</x:v>
      </x:c>
      <x:c r="F111" s="3" t="str">
        <x:f>IF(Setup!$B$4="","",Setup!$B$4)</x:f>
      </x:c>
      <x:c r="G111" s="3" t="str">
        <x:f>IFERROR(INDEX('C_jama.2018.9128'!$G$2:$G$14,MATCH("2018::jama.2018.9128::C004",'C_jama.2018.9128'!$A$2:$A$14,0)),"CHECK KEY")</x:f>
        <x:v>CHECK REVIEWER IDs</x:v>
      </x:c>
      <x:c r="H111" s="3" t="str">
        <x:f>IF(G111&lt;&gt;"FINAL READY","",IF(S111&lt;&gt;"retain","not_eligible",IF(D111="P_R","protocol_descriptive",IF(D111="P_P","plan_descriptive",IF(AND(T111="statistical_results",OR(U111="confirmed_issue",U111="probable_issue"),V111="substantive"),"primary_temporal",IF(AND(T111="report_internal_inconsistency",X111="substantive_inconsistency"),"secondary_temporal","not_eligible"))))))</x:f>
      </x:c>
      <x:c r="I111" s="3" t="str">
        <x:v>retain</x:v>
      </x:c>
      <x:c r="J111" s="3" t="str">
        <x:v>report_internal_inconsistency</x:v>
      </x:c>
      <x:c r="K111" s="3" t="str">
        <x:f>IF(Setup!$B$6="primary","",IFERROR(IF(INDEX('Primary_snapshot'!$B$2:$B$120,MATCH(C111,'Primary_snapshot'!$A$2:$A$120,0))="","",INDEX('Primary_snapshot'!$B$2:$B$120,MATCH(C111,'Primary_snapshot'!$A$2:$A$120,0))),"SNAPSHOT MISSING"))</x:f>
      </x:c>
      <x:c r="L111" s="3" t="str">
        <x:f>IF(Setup!$B$6="primary","",IFERROR(IF(INDEX('Primary_snapshot'!$C$2:$C$120,MATCH(C111,'Primary_snapshot'!$A$2:$A$120,0))="","",INDEX('Primary_snapshot'!$C$2:$C$120,MATCH(C111,'Primary_snapshot'!$A$2:$A$120,0))),"SNAPSHOT MISSING"))</x:f>
      </x:c>
      <x:c r="M111" s="3" t="str">
        <x:f>IF(Setup!$B$6="primary","",IFERROR(IF(INDEX('Primary_snapshot'!$D$2:$D$120,MATCH(C111,'Primary_snapshot'!$A$2:$A$120,0))="","",INDEX('Primary_snapshot'!$D$2:$D$120,MATCH(C111,'Primary_snapshot'!$A$2:$A$120,0))),"SNAPSHOT MISSING"))</x:f>
      </x:c>
      <x:c r="N111" s="3" t="str">
        <x:f>IF(Setup!$B$6="primary","",IFERROR(IF(INDEX('Primary_snapshot'!$E$2:$E$120,MATCH(C111,'Primary_snapshot'!$A$2:$A$120,0))="","",INDEX('Primary_snapshot'!$E$2:$E$120,MATCH(C111,'Primary_snapshot'!$A$2:$A$120,0))),"SNAPSHOT MISSING"))</x:f>
      </x:c>
      <x:c r="O111" s="3" t="str">
        <x:f>IF(Setup!$B$6="primary","",IFERROR(IF(INDEX('Primary_snapshot'!$F$2:$F$120,MATCH(C111,'Primary_snapshot'!$A$2:$A$120,0))="","",INDEX('Primary_snapshot'!$F$2:$F$120,MATCH(C111,'Primary_snapshot'!$A$2:$A$120,0))),"SNAPSHOT MISSING"))</x:f>
      </x:c>
      <x:c r="P111" s="3" t="str">
        <x:f>IF(Setup!$B$6="primary","",IFERROR(IF(INDEX('Primary_snapshot'!$G$2:$G$120,MATCH(C111,'Primary_snapshot'!$A$2:$A$120,0))="","",INDEX('Primary_snapshot'!$G$2:$G$120,MATCH(C111,'Primary_snapshot'!$A$2:$A$120,0))),"SNAPSHOT MISSING"))</x:f>
      </x:c>
      <x:c r="Q111" s="3" t="str">
        <x:f>IF(Setup!$B$6="primary","",IFERROR(IF(INDEX('Primary_snapshot'!$H$2:$H$120,MATCH(C111,'Primary_snapshot'!$A$2:$A$120,0))="","",INDEX('Primary_snapshot'!$H$2:$H$120,MATCH(C111,'Primary_snapshot'!$A$2:$A$120,0))),"SNAPSHOT MISSING"))</x:f>
      </x:c>
      <x:c r="R111" s="3" t="str">
        <x:f>IF(Setup!$B$6="primary","",IFERROR(IF(INDEX('Primary_snapshot'!$I$2:$I$120,MATCH(C111,'Primary_snapshot'!$A$2:$A$120,0))="","",INDEX('Primary_snapshot'!$I$2:$I$120,MATCH(C111,'Primary_snapshot'!$A$2:$A$120,0))),"SNAPSHOT MISSING"))</x:f>
      </x:c>
      <x:c r="S111" s="3" t="str">
        <x:f>IF(INDEX('C_jama.2018.9128'!$D$2:$D$14,MATCH("2018::jama.2018.9128::C004",'C_jama.2018.9128'!$A$2:$A$14,0))="","",INDEX('C_jama.2018.9128'!$D$2:$D$14,MATCH("2018::jama.2018.9128::C004",'C_jama.2018.9128'!$A$2:$A$14,0)))</x:f>
      </x:c>
      <x:c r="T111" s="3" t="str">
        <x:f>IF(INDEX('C_jama.2018.9128'!$E$2:$E$14,MATCH("2018::jama.2018.9128::C004",'C_jama.2018.9128'!$A$2:$A$14,0))="","",INDEX('C_jama.2018.9128'!$E$2:$E$14,MATCH("2018::jama.2018.9128::C004",'C_jama.2018.9128'!$A$2:$A$14,0)))</x:f>
        <x:v>report_internal_inconsistency</x:v>
      </x:c>
      <x:c r="U111" s="3" t="str">
        <x:f>IF(AND(INDEX('C_jama.2018.9128'!$D$2:$D$14,MATCH("2018::jama.2018.9128::C004",'C_jama.2018.9128'!$A$2:$A$14,0))="retain",INDEX('C_jama.2018.9128'!$E$2:$E$14,MATCH("2018::jama.2018.9128::C004",'C_jama.2018.9128'!$A$2:$A$14,0))="statistical_results"),IF(INDEX('C_jama.2018.9128'!$H$2:$H$14,MATCH("2018::jama.2018.9128::C004",'C_jama.2018.9128'!$A$2:$A$14,0))="","",INDEX('C_jama.2018.9128'!$H$2:$H$14,MATCH("2018::jama.2018.9128::C004",'C_jama.2018.9128'!$A$2:$A$14,0))),"not_applicable")</x:f>
        <x:v>not_applicable</x:v>
      </x:c>
      <x:c r="V111" s="3" t="str">
        <x:f>IF(AND(INDEX('C_jama.2018.9128'!$D$2:$D$14,MATCH("2018::jama.2018.9128::C004",'C_jama.2018.9128'!$A$2:$A$14,0))="retain",INDEX('C_jama.2018.9128'!$E$2:$E$14,MATCH("2018::jama.2018.9128::C004",'C_jama.2018.9128'!$A$2:$A$14,0))="statistical_results"),IF(INDEX('C_jama.2018.9128'!$I$2:$I$14,MATCH("2018::jama.2018.9128::C004",'C_jama.2018.9128'!$A$2:$A$14,0))="","",INDEX('C_jama.2018.9128'!$I$2:$I$14,MATCH("2018::jama.2018.9128::C004",'C_jama.2018.9128'!$A$2:$A$14,0))),"not_applicable")</x:f>
        <x:v>not_applicable</x:v>
      </x:c>
      <x:c r="W111" s="3" t="str">
        <x:f>IF(AND(INDEX('C_jama.2018.9128'!$D$2:$D$14,MATCH("2018::jama.2018.9128::C004",'C_jama.2018.9128'!$A$2:$A$14,0))="retain",INDEX('C_jama.2018.9128'!$E$2:$E$14,MATCH("2018::jama.2018.9128::C004",'C_jama.2018.9128'!$A$2:$A$14,0))="statistical_results"),IF(INDEX('C_jama.2018.9128'!$J$2:$J$14,MATCH("2018::jama.2018.9128::C004",'C_jama.2018.9128'!$A$2:$A$14,0))="","",INDEX('C_jama.2018.9128'!$J$2:$J$14,MATCH("2018::jama.2018.9128::C004",'C_jama.2018.9128'!$A$2:$A$14,0))),"not_applicable")</x:f>
        <x:v>not_applicable</x:v>
      </x:c>
      <x:c r="X111" s="3" t="str">
        <x:f>IF(AND(INDEX('C_jama.2018.9128'!$D$2:$D$14,MATCH("2018::jama.2018.9128::C004",'C_jama.2018.9128'!$A$2:$A$14,0))="retain",OR(INDEX('C_jama.2018.9128'!$E$2:$E$14,MATCH("2018::jama.2018.9128::C004",'C_jama.2018.9128'!$A$2:$A$14,0))="report_internal_inconsistency",INDEX('C_jama.2018.9128'!$E$2:$E$14,MATCH("2018::jama.2018.9128::C004",'C_jama.2018.9128'!$A$2:$A$14,0))="plan_material")),IF(INDEX('C_jama.2018.9128'!$K$2:$K$14,MATCH("2018::jama.2018.9128::C004",'C_jama.2018.9128'!$A$2:$A$14,0))="","",INDEX('C_jama.2018.9128'!$K$2:$K$14,MATCH("2018::jama.2018.9128::C004",'C_jama.2018.9128'!$A$2:$A$14,0))),"not_applicable")</x:f>
        <x:v>not_applicable</x:v>
      </x:c>
      <x:c r="Y111" s="3" t="str">
        <x:f>IF(AND(INDEX('C_jama.2018.9128'!$D$2:$D$14,MATCH("2018::jama.2018.9128::C004",'C_jama.2018.9128'!$A$2:$A$14,0))="retain",INDEX('C_jama.2018.9128'!$E$2:$E$14,MATCH("2018::jama.2018.9128::C004",'C_jama.2018.9128'!$A$2:$A$14,0))="protocol_report"),IF(INDEX('C_jama.2018.9128'!$L$2:$L$14,MATCH("2018::jama.2018.9128::C004",'C_jama.2018.9128'!$A$2:$A$14,0))="","",INDEX('C_jama.2018.9128'!$L$2:$L$14,MATCH("2018::jama.2018.9128::C004",'C_jama.2018.9128'!$A$2:$A$14,0))),"not_applicable")</x:f>
        <x:v>not_applicable</x:v>
      </x:c>
      <x:c r="Z111" s="3" t="str">
        <x:f>IF(INDEX('C_jama.2018.9128'!$R$2:$R$14,MATCH("2018::jama.2018.9128::C004",'C_jama.2018.9128'!$A$2:$A$14,0))="","",INDEX('C_jama.2018.9128'!$R$2:$R$14,MATCH("2018::jama.2018.9128::C004",'C_jama.2018.9128'!$A$2:$A$14,0)))</x:f>
      </x:c>
      <x:c r="AA111" s="3" t="str">
        <x:f>IF(INDEX('C_jama.2018.9128'!$N$2:$N$14,MATCH("2018::jama.2018.9128::C004",'C_jama.2018.9128'!$A$2:$A$14,0))="","",INDEX('C_jama.2018.9128'!$N$2:$N$14,MATCH("2018::jama.2018.9128::C004",'C_jama.2018.9128'!$A$2:$A$14,0)))</x:f>
      </x:c>
      <x:c r="AB111" s="3" t="str">
        <x:f>IF(INDEX('C_jama.2018.9128'!$O$2:$O$14,MATCH("2018::jama.2018.9128::C004",'C_jama.2018.9128'!$A$2:$A$14,0))="","",INDEX('C_jama.2018.9128'!$O$2:$O$14,MATCH("2018::jama.2018.9128::C004",'C_jama.2018.9128'!$A$2:$A$14,0)))</x:f>
      </x:c>
      <x:c r="AC111" s="3" t="str">
        <x:f>IF(INDEX('C_jama.2018.9128'!$P$2:$P$14,MATCH("2018::jama.2018.9128::C004",'C_jama.2018.9128'!$A$2:$A$14,0))="","",INDEX('C_jama.2018.9128'!$P$2:$P$14,MATCH("2018::jama.2018.9128::C004",'C_jama.2018.9128'!$A$2:$A$14,0)))</x:f>
      </x:c>
      <x:c r="AD111" s="3" t="str">
        <x:f>IF(INDEX('C_jama.2018.9128'!$Q$2:$Q$14,MATCH("2018::jama.2018.9128::C004",'C_jama.2018.9128'!$A$2:$A$14,0))="","",INDEX('C_jama.2018.9128'!$Q$2:$Q$14,MATCH("2018::jama.2018.9128::C004",'C_jama.2018.9128'!$A$2:$A$14,0)))</x:f>
      </x:c>
    </x:row>
    <x:row r="112" ht="65" customHeight="1">
      <x:c r="A112" s="6" t="n">
        <x:v>2018</x:v>
      </x:c>
      <x:c r="B112" s="6" t="str">
        <x:v>jama.2018.9128</x:v>
      </x:c>
      <x:c r="C112" s="6" t="str">
        <x:v>2018::jama.2018.9128::C005</x:v>
      </x:c>
      <x:c r="D112" s="6" t="str">
        <x:v>S_C</x:v>
      </x:c>
      <x:c r="E112" s="6" t="n">
        <x:f>Setup!$B$2</x:f>
        <x:v>0</x:v>
      </x:c>
      <x:c r="F112" s="6" t="str">
        <x:f>IF(Setup!$B$4="","",Setup!$B$4)</x:f>
      </x:c>
      <x:c r="G112" s="6" t="str">
        <x:f>IFERROR(INDEX('C_jama.2018.9128'!$G$2:$G$14,MATCH("2018::jama.2018.9128::C005",'C_jama.2018.9128'!$A$2:$A$14,0)),"CHECK KEY")</x:f>
        <x:v>CHECK REVIEWER IDs</x:v>
      </x:c>
      <x:c r="H112" s="6" t="str">
        <x:f>IF(G112&lt;&gt;"FINAL READY","",IF(S112&lt;&gt;"retain","not_eligible",IF(D112="P_R","protocol_descriptive",IF(D112="P_P","plan_descriptive",IF(AND(T112="statistical_results",OR(U112="confirmed_issue",U112="probable_issue"),V112="substantive"),"primary_temporal",IF(AND(T112="report_internal_inconsistency",X112="substantive_inconsistency"),"secondary_temporal","not_eligible"))))))</x:f>
      </x:c>
      <x:c r="I112" s="6" t="str">
        <x:v>retain</x:v>
      </x:c>
      <x:c r="J112" s="6" t="str">
        <x:v>report_internal_inconsistency</x:v>
      </x:c>
      <x:c r="K112" s="6" t="str">
        <x:f>IF(Setup!$B$6="primary","",IFERROR(IF(INDEX('Primary_snapshot'!$B$2:$B$120,MATCH(C112,'Primary_snapshot'!$A$2:$A$120,0))="","",INDEX('Primary_snapshot'!$B$2:$B$120,MATCH(C112,'Primary_snapshot'!$A$2:$A$120,0))),"SNAPSHOT MISSING"))</x:f>
      </x:c>
      <x:c r="L112" s="6" t="str">
        <x:f>IF(Setup!$B$6="primary","",IFERROR(IF(INDEX('Primary_snapshot'!$C$2:$C$120,MATCH(C112,'Primary_snapshot'!$A$2:$A$120,0))="","",INDEX('Primary_snapshot'!$C$2:$C$120,MATCH(C112,'Primary_snapshot'!$A$2:$A$120,0))),"SNAPSHOT MISSING"))</x:f>
      </x:c>
      <x:c r="M112" s="6" t="str">
        <x:f>IF(Setup!$B$6="primary","",IFERROR(IF(INDEX('Primary_snapshot'!$D$2:$D$120,MATCH(C112,'Primary_snapshot'!$A$2:$A$120,0))="","",INDEX('Primary_snapshot'!$D$2:$D$120,MATCH(C112,'Primary_snapshot'!$A$2:$A$120,0))),"SNAPSHOT MISSING"))</x:f>
      </x:c>
      <x:c r="N112" s="6" t="str">
        <x:f>IF(Setup!$B$6="primary","",IFERROR(IF(INDEX('Primary_snapshot'!$E$2:$E$120,MATCH(C112,'Primary_snapshot'!$A$2:$A$120,0))="","",INDEX('Primary_snapshot'!$E$2:$E$120,MATCH(C112,'Primary_snapshot'!$A$2:$A$120,0))),"SNAPSHOT MISSING"))</x:f>
      </x:c>
      <x:c r="O112" s="6" t="str">
        <x:f>IF(Setup!$B$6="primary","",IFERROR(IF(INDEX('Primary_snapshot'!$F$2:$F$120,MATCH(C112,'Primary_snapshot'!$A$2:$A$120,0))="","",INDEX('Primary_snapshot'!$F$2:$F$120,MATCH(C112,'Primary_snapshot'!$A$2:$A$120,0))),"SNAPSHOT MISSING"))</x:f>
      </x:c>
      <x:c r="P112" s="6" t="str">
        <x:f>IF(Setup!$B$6="primary","",IFERROR(IF(INDEX('Primary_snapshot'!$G$2:$G$120,MATCH(C112,'Primary_snapshot'!$A$2:$A$120,0))="","",INDEX('Primary_snapshot'!$G$2:$G$120,MATCH(C112,'Primary_snapshot'!$A$2:$A$120,0))),"SNAPSHOT MISSING"))</x:f>
      </x:c>
      <x:c r="Q112" s="6" t="str">
        <x:f>IF(Setup!$B$6="primary","",IFERROR(IF(INDEX('Primary_snapshot'!$H$2:$H$120,MATCH(C112,'Primary_snapshot'!$A$2:$A$120,0))="","",INDEX('Primary_snapshot'!$H$2:$H$120,MATCH(C112,'Primary_snapshot'!$A$2:$A$120,0))),"SNAPSHOT MISSING"))</x:f>
      </x:c>
      <x:c r="R112" s="6" t="str">
        <x:f>IF(Setup!$B$6="primary","",IFERROR(IF(INDEX('Primary_snapshot'!$I$2:$I$120,MATCH(C112,'Primary_snapshot'!$A$2:$A$120,0))="","",INDEX('Primary_snapshot'!$I$2:$I$120,MATCH(C112,'Primary_snapshot'!$A$2:$A$120,0))),"SNAPSHOT MISSING"))</x:f>
      </x:c>
      <x:c r="S112" s="6" t="str">
        <x:f>IF(INDEX('C_jama.2018.9128'!$D$2:$D$14,MATCH("2018::jama.2018.9128::C005",'C_jama.2018.9128'!$A$2:$A$14,0))="","",INDEX('C_jama.2018.9128'!$D$2:$D$14,MATCH("2018::jama.2018.9128::C005",'C_jama.2018.9128'!$A$2:$A$14,0)))</x:f>
      </x:c>
      <x:c r="T112" s="6" t="str">
        <x:f>IF(INDEX('C_jama.2018.9128'!$E$2:$E$14,MATCH("2018::jama.2018.9128::C005",'C_jama.2018.9128'!$A$2:$A$14,0))="","",INDEX('C_jama.2018.9128'!$E$2:$E$14,MATCH("2018::jama.2018.9128::C005",'C_jama.2018.9128'!$A$2:$A$14,0)))</x:f>
        <x:v>report_internal_inconsistency</x:v>
      </x:c>
      <x:c r="U112" s="6" t="str">
        <x:f>IF(AND(INDEX('C_jama.2018.9128'!$D$2:$D$14,MATCH("2018::jama.2018.9128::C005",'C_jama.2018.9128'!$A$2:$A$14,0))="retain",INDEX('C_jama.2018.9128'!$E$2:$E$14,MATCH("2018::jama.2018.9128::C005",'C_jama.2018.9128'!$A$2:$A$14,0))="statistical_results"),IF(INDEX('C_jama.2018.9128'!$H$2:$H$14,MATCH("2018::jama.2018.9128::C005",'C_jama.2018.9128'!$A$2:$A$14,0))="","",INDEX('C_jama.2018.9128'!$H$2:$H$14,MATCH("2018::jama.2018.9128::C005",'C_jama.2018.9128'!$A$2:$A$14,0))),"not_applicable")</x:f>
        <x:v>not_applicable</x:v>
      </x:c>
      <x:c r="V112" s="6" t="str">
        <x:f>IF(AND(INDEX('C_jama.2018.9128'!$D$2:$D$14,MATCH("2018::jama.2018.9128::C005",'C_jama.2018.9128'!$A$2:$A$14,0))="retain",INDEX('C_jama.2018.9128'!$E$2:$E$14,MATCH("2018::jama.2018.9128::C005",'C_jama.2018.9128'!$A$2:$A$14,0))="statistical_results"),IF(INDEX('C_jama.2018.9128'!$I$2:$I$14,MATCH("2018::jama.2018.9128::C005",'C_jama.2018.9128'!$A$2:$A$14,0))="","",INDEX('C_jama.2018.9128'!$I$2:$I$14,MATCH("2018::jama.2018.9128::C005",'C_jama.2018.9128'!$A$2:$A$14,0))),"not_applicable")</x:f>
        <x:v>not_applicable</x:v>
      </x:c>
      <x:c r="W112" s="6" t="str">
        <x:f>IF(AND(INDEX('C_jama.2018.9128'!$D$2:$D$14,MATCH("2018::jama.2018.9128::C005",'C_jama.2018.9128'!$A$2:$A$14,0))="retain",INDEX('C_jama.2018.9128'!$E$2:$E$14,MATCH("2018::jama.2018.9128::C005",'C_jama.2018.9128'!$A$2:$A$14,0))="statistical_results"),IF(INDEX('C_jama.2018.9128'!$J$2:$J$14,MATCH("2018::jama.2018.9128::C005",'C_jama.2018.9128'!$A$2:$A$14,0))="","",INDEX('C_jama.2018.9128'!$J$2:$J$14,MATCH("2018::jama.2018.9128::C005",'C_jama.2018.9128'!$A$2:$A$14,0))),"not_applicable")</x:f>
        <x:v>not_applicable</x:v>
      </x:c>
      <x:c r="X112" s="6" t="str">
        <x:f>IF(AND(INDEX('C_jama.2018.9128'!$D$2:$D$14,MATCH("2018::jama.2018.9128::C005",'C_jama.2018.9128'!$A$2:$A$14,0))="retain",OR(INDEX('C_jama.2018.9128'!$E$2:$E$14,MATCH("2018::jama.2018.9128::C005",'C_jama.2018.9128'!$A$2:$A$14,0))="report_internal_inconsistency",INDEX('C_jama.2018.9128'!$E$2:$E$14,MATCH("2018::jama.2018.9128::C005",'C_jama.2018.9128'!$A$2:$A$14,0))="plan_material")),IF(INDEX('C_jama.2018.9128'!$K$2:$K$14,MATCH("2018::jama.2018.9128::C005",'C_jama.2018.9128'!$A$2:$A$14,0))="","",INDEX('C_jama.2018.9128'!$K$2:$K$14,MATCH("2018::jama.2018.9128::C005",'C_jama.2018.9128'!$A$2:$A$14,0))),"not_applicable")</x:f>
        <x:v>not_applicable</x:v>
      </x:c>
      <x:c r="Y112" s="6" t="str">
        <x:f>IF(AND(INDEX('C_jama.2018.9128'!$D$2:$D$14,MATCH("2018::jama.2018.9128::C005",'C_jama.2018.9128'!$A$2:$A$14,0))="retain",INDEX('C_jama.2018.9128'!$E$2:$E$14,MATCH("2018::jama.2018.9128::C005",'C_jama.2018.9128'!$A$2:$A$14,0))="protocol_report"),IF(INDEX('C_jama.2018.9128'!$L$2:$L$14,MATCH("2018::jama.2018.9128::C005",'C_jama.2018.9128'!$A$2:$A$14,0))="","",INDEX('C_jama.2018.9128'!$L$2:$L$14,MATCH("2018::jama.2018.9128::C005",'C_jama.2018.9128'!$A$2:$A$14,0))),"not_applicable")</x:f>
        <x:v>not_applicable</x:v>
      </x:c>
      <x:c r="Z112" s="6" t="str">
        <x:f>IF(INDEX('C_jama.2018.9128'!$R$2:$R$14,MATCH("2018::jama.2018.9128::C005",'C_jama.2018.9128'!$A$2:$A$14,0))="","",INDEX('C_jama.2018.9128'!$R$2:$R$14,MATCH("2018::jama.2018.9128::C005",'C_jama.2018.9128'!$A$2:$A$14,0)))</x:f>
      </x:c>
      <x:c r="AA112" s="6" t="str">
        <x:f>IF(INDEX('C_jama.2018.9128'!$N$2:$N$14,MATCH("2018::jama.2018.9128::C005",'C_jama.2018.9128'!$A$2:$A$14,0))="","",INDEX('C_jama.2018.9128'!$N$2:$N$14,MATCH("2018::jama.2018.9128::C005",'C_jama.2018.9128'!$A$2:$A$14,0)))</x:f>
      </x:c>
      <x:c r="AB112" s="6" t="str">
        <x:f>IF(INDEX('C_jama.2018.9128'!$O$2:$O$14,MATCH("2018::jama.2018.9128::C005",'C_jama.2018.9128'!$A$2:$A$14,0))="","",INDEX('C_jama.2018.9128'!$O$2:$O$14,MATCH("2018::jama.2018.9128::C005",'C_jama.2018.9128'!$A$2:$A$14,0)))</x:f>
      </x:c>
      <x:c r="AC112" s="6" t="str">
        <x:f>IF(INDEX('C_jama.2018.9128'!$P$2:$P$14,MATCH("2018::jama.2018.9128::C005",'C_jama.2018.9128'!$A$2:$A$14,0))="","",INDEX('C_jama.2018.9128'!$P$2:$P$14,MATCH("2018::jama.2018.9128::C005",'C_jama.2018.9128'!$A$2:$A$14,0)))</x:f>
      </x:c>
      <x:c r="AD112" s="6" t="str">
        <x:f>IF(INDEX('C_jama.2018.9128'!$Q$2:$Q$14,MATCH("2018::jama.2018.9128::C005",'C_jama.2018.9128'!$A$2:$A$14,0))="","",INDEX('C_jama.2018.9128'!$Q$2:$Q$14,MATCH("2018::jama.2018.9128::C005",'C_jama.2018.9128'!$A$2:$A$14,0)))</x:f>
      </x:c>
    </x:row>
    <x:row r="113" ht="65" customHeight="1">
      <x:c r="A113" s="3" t="n">
        <x:v>2018</x:v>
      </x:c>
      <x:c r="B113" s="3" t="str">
        <x:v>jama.2018.9128</x:v>
      </x:c>
      <x:c r="C113" s="3" t="str">
        <x:v>2018::jama.2018.9128::C006</x:v>
      </x:c>
      <x:c r="D113" s="3" t="str">
        <x:v>S_C</x:v>
      </x:c>
      <x:c r="E113" s="3" t="n">
        <x:f>Setup!$B$2</x:f>
        <x:v>0</x:v>
      </x:c>
      <x:c r="F113" s="3" t="str">
        <x:f>IF(Setup!$B$4="","",Setup!$B$4)</x:f>
      </x:c>
      <x:c r="G113" s="3" t="str">
        <x:f>IFERROR(INDEX('C_jama.2018.9128'!$G$2:$G$14,MATCH("2018::jama.2018.9128::C006",'C_jama.2018.9128'!$A$2:$A$14,0)),"CHECK KEY")</x:f>
        <x:v>CHECK REVIEWER IDs</x:v>
      </x:c>
      <x:c r="H113" s="3" t="str">
        <x:f>IF(G113&lt;&gt;"FINAL READY","",IF(S113&lt;&gt;"retain","not_eligible",IF(D113="P_R","protocol_descriptive",IF(D113="P_P","plan_descriptive",IF(AND(T113="statistical_results",OR(U113="confirmed_issue",U113="probable_issue"),V113="substantive"),"primary_temporal",IF(AND(T113="report_internal_inconsistency",X113="substantive_inconsistency"),"secondary_temporal","not_eligible"))))))</x:f>
      </x:c>
      <x:c r="I113" s="3" t="str">
        <x:v>retain</x:v>
      </x:c>
      <x:c r="J113" s="3" t="str">
        <x:v>report_internal_inconsistency</x:v>
      </x:c>
      <x:c r="K113" s="3" t="str">
        <x:f>IF(Setup!$B$6="primary","",IFERROR(IF(INDEX('Primary_snapshot'!$B$2:$B$120,MATCH(C113,'Primary_snapshot'!$A$2:$A$120,0))="","",INDEX('Primary_snapshot'!$B$2:$B$120,MATCH(C113,'Primary_snapshot'!$A$2:$A$120,0))),"SNAPSHOT MISSING"))</x:f>
      </x:c>
      <x:c r="L113" s="3" t="str">
        <x:f>IF(Setup!$B$6="primary","",IFERROR(IF(INDEX('Primary_snapshot'!$C$2:$C$120,MATCH(C113,'Primary_snapshot'!$A$2:$A$120,0))="","",INDEX('Primary_snapshot'!$C$2:$C$120,MATCH(C113,'Primary_snapshot'!$A$2:$A$120,0))),"SNAPSHOT MISSING"))</x:f>
      </x:c>
      <x:c r="M113" s="3" t="str">
        <x:f>IF(Setup!$B$6="primary","",IFERROR(IF(INDEX('Primary_snapshot'!$D$2:$D$120,MATCH(C113,'Primary_snapshot'!$A$2:$A$120,0))="","",INDEX('Primary_snapshot'!$D$2:$D$120,MATCH(C113,'Primary_snapshot'!$A$2:$A$120,0))),"SNAPSHOT MISSING"))</x:f>
      </x:c>
      <x:c r="N113" s="3" t="str">
        <x:f>IF(Setup!$B$6="primary","",IFERROR(IF(INDEX('Primary_snapshot'!$E$2:$E$120,MATCH(C113,'Primary_snapshot'!$A$2:$A$120,0))="","",INDEX('Primary_snapshot'!$E$2:$E$120,MATCH(C113,'Primary_snapshot'!$A$2:$A$120,0))),"SNAPSHOT MISSING"))</x:f>
      </x:c>
      <x:c r="O113" s="3" t="str">
        <x:f>IF(Setup!$B$6="primary","",IFERROR(IF(INDEX('Primary_snapshot'!$F$2:$F$120,MATCH(C113,'Primary_snapshot'!$A$2:$A$120,0))="","",INDEX('Primary_snapshot'!$F$2:$F$120,MATCH(C113,'Primary_snapshot'!$A$2:$A$120,0))),"SNAPSHOT MISSING"))</x:f>
      </x:c>
      <x:c r="P113" s="3" t="str">
        <x:f>IF(Setup!$B$6="primary","",IFERROR(IF(INDEX('Primary_snapshot'!$G$2:$G$120,MATCH(C113,'Primary_snapshot'!$A$2:$A$120,0))="","",INDEX('Primary_snapshot'!$G$2:$G$120,MATCH(C113,'Primary_snapshot'!$A$2:$A$120,0))),"SNAPSHOT MISSING"))</x:f>
      </x:c>
      <x:c r="Q113" s="3" t="str">
        <x:f>IF(Setup!$B$6="primary","",IFERROR(IF(INDEX('Primary_snapshot'!$H$2:$H$120,MATCH(C113,'Primary_snapshot'!$A$2:$A$120,0))="","",INDEX('Primary_snapshot'!$H$2:$H$120,MATCH(C113,'Primary_snapshot'!$A$2:$A$120,0))),"SNAPSHOT MISSING"))</x:f>
      </x:c>
      <x:c r="R113" s="3" t="str">
        <x:f>IF(Setup!$B$6="primary","",IFERROR(IF(INDEX('Primary_snapshot'!$I$2:$I$120,MATCH(C113,'Primary_snapshot'!$A$2:$A$120,0))="","",INDEX('Primary_snapshot'!$I$2:$I$120,MATCH(C113,'Primary_snapshot'!$A$2:$A$120,0))),"SNAPSHOT MISSING"))</x:f>
      </x:c>
      <x:c r="S113" s="3" t="str">
        <x:f>IF(INDEX('C_jama.2018.9128'!$D$2:$D$14,MATCH("2018::jama.2018.9128::C006",'C_jama.2018.9128'!$A$2:$A$14,0))="","",INDEX('C_jama.2018.9128'!$D$2:$D$14,MATCH("2018::jama.2018.9128::C006",'C_jama.2018.9128'!$A$2:$A$14,0)))</x:f>
      </x:c>
      <x:c r="T113" s="3" t="str">
        <x:f>IF(INDEX('C_jama.2018.9128'!$E$2:$E$14,MATCH("2018::jama.2018.9128::C006",'C_jama.2018.9128'!$A$2:$A$14,0))="","",INDEX('C_jama.2018.9128'!$E$2:$E$14,MATCH("2018::jama.2018.9128::C006",'C_jama.2018.9128'!$A$2:$A$14,0)))</x:f>
        <x:v>report_internal_inconsistency</x:v>
      </x:c>
      <x:c r="U113" s="3" t="str">
        <x:f>IF(AND(INDEX('C_jama.2018.9128'!$D$2:$D$14,MATCH("2018::jama.2018.9128::C006",'C_jama.2018.9128'!$A$2:$A$14,0))="retain",INDEX('C_jama.2018.9128'!$E$2:$E$14,MATCH("2018::jama.2018.9128::C006",'C_jama.2018.9128'!$A$2:$A$14,0))="statistical_results"),IF(INDEX('C_jama.2018.9128'!$H$2:$H$14,MATCH("2018::jama.2018.9128::C006",'C_jama.2018.9128'!$A$2:$A$14,0))="","",INDEX('C_jama.2018.9128'!$H$2:$H$14,MATCH("2018::jama.2018.9128::C006",'C_jama.2018.9128'!$A$2:$A$14,0))),"not_applicable")</x:f>
        <x:v>not_applicable</x:v>
      </x:c>
      <x:c r="V113" s="3" t="str">
        <x:f>IF(AND(INDEX('C_jama.2018.9128'!$D$2:$D$14,MATCH("2018::jama.2018.9128::C006",'C_jama.2018.9128'!$A$2:$A$14,0))="retain",INDEX('C_jama.2018.9128'!$E$2:$E$14,MATCH("2018::jama.2018.9128::C006",'C_jama.2018.9128'!$A$2:$A$14,0))="statistical_results"),IF(INDEX('C_jama.2018.9128'!$I$2:$I$14,MATCH("2018::jama.2018.9128::C006",'C_jama.2018.9128'!$A$2:$A$14,0))="","",INDEX('C_jama.2018.9128'!$I$2:$I$14,MATCH("2018::jama.2018.9128::C006",'C_jama.2018.9128'!$A$2:$A$14,0))),"not_applicable")</x:f>
        <x:v>not_applicable</x:v>
      </x:c>
      <x:c r="W113" s="3" t="str">
        <x:f>IF(AND(INDEX('C_jama.2018.9128'!$D$2:$D$14,MATCH("2018::jama.2018.9128::C006",'C_jama.2018.9128'!$A$2:$A$14,0))="retain",INDEX('C_jama.2018.9128'!$E$2:$E$14,MATCH("2018::jama.2018.9128::C006",'C_jama.2018.9128'!$A$2:$A$14,0))="statistical_results"),IF(INDEX('C_jama.2018.9128'!$J$2:$J$14,MATCH("2018::jama.2018.9128::C006",'C_jama.2018.9128'!$A$2:$A$14,0))="","",INDEX('C_jama.2018.9128'!$J$2:$J$14,MATCH("2018::jama.2018.9128::C006",'C_jama.2018.9128'!$A$2:$A$14,0))),"not_applicable")</x:f>
        <x:v>not_applicable</x:v>
      </x:c>
      <x:c r="X113" s="3" t="str">
        <x:f>IF(AND(INDEX('C_jama.2018.9128'!$D$2:$D$14,MATCH("2018::jama.2018.9128::C006",'C_jama.2018.9128'!$A$2:$A$14,0))="retain",OR(INDEX('C_jama.2018.9128'!$E$2:$E$14,MATCH("2018::jama.2018.9128::C006",'C_jama.2018.9128'!$A$2:$A$14,0))="report_internal_inconsistency",INDEX('C_jama.2018.9128'!$E$2:$E$14,MATCH("2018::jama.2018.9128::C006",'C_jama.2018.9128'!$A$2:$A$14,0))="plan_material")),IF(INDEX('C_jama.2018.9128'!$K$2:$K$14,MATCH("2018::jama.2018.9128::C006",'C_jama.2018.9128'!$A$2:$A$14,0))="","",INDEX('C_jama.2018.9128'!$K$2:$K$14,MATCH("2018::jama.2018.9128::C006",'C_jama.2018.9128'!$A$2:$A$14,0))),"not_applicable")</x:f>
        <x:v>not_applicable</x:v>
      </x:c>
      <x:c r="Y113" s="3" t="str">
        <x:f>IF(AND(INDEX('C_jama.2018.9128'!$D$2:$D$14,MATCH("2018::jama.2018.9128::C006",'C_jama.2018.9128'!$A$2:$A$14,0))="retain",INDEX('C_jama.2018.9128'!$E$2:$E$14,MATCH("2018::jama.2018.9128::C006",'C_jama.2018.9128'!$A$2:$A$14,0))="protocol_report"),IF(INDEX('C_jama.2018.9128'!$L$2:$L$14,MATCH("2018::jama.2018.9128::C006",'C_jama.2018.9128'!$A$2:$A$14,0))="","",INDEX('C_jama.2018.9128'!$L$2:$L$14,MATCH("2018::jama.2018.9128::C006",'C_jama.2018.9128'!$A$2:$A$14,0))),"not_applicable")</x:f>
        <x:v>not_applicable</x:v>
      </x:c>
      <x:c r="Z113" s="3" t="str">
        <x:f>IF(INDEX('C_jama.2018.9128'!$R$2:$R$14,MATCH("2018::jama.2018.9128::C006",'C_jama.2018.9128'!$A$2:$A$14,0))="","",INDEX('C_jama.2018.9128'!$R$2:$R$14,MATCH("2018::jama.2018.9128::C006",'C_jama.2018.9128'!$A$2:$A$14,0)))</x:f>
      </x:c>
      <x:c r="AA113" s="3" t="str">
        <x:f>IF(INDEX('C_jama.2018.9128'!$N$2:$N$14,MATCH("2018::jama.2018.9128::C006",'C_jama.2018.9128'!$A$2:$A$14,0))="","",INDEX('C_jama.2018.9128'!$N$2:$N$14,MATCH("2018::jama.2018.9128::C006",'C_jama.2018.9128'!$A$2:$A$14,0)))</x:f>
      </x:c>
      <x:c r="AB113" s="3" t="str">
        <x:f>IF(INDEX('C_jama.2018.9128'!$O$2:$O$14,MATCH("2018::jama.2018.9128::C006",'C_jama.2018.9128'!$A$2:$A$14,0))="","",INDEX('C_jama.2018.9128'!$O$2:$O$14,MATCH("2018::jama.2018.9128::C006",'C_jama.2018.9128'!$A$2:$A$14,0)))</x:f>
      </x:c>
      <x:c r="AC113" s="3" t="str">
        <x:f>IF(INDEX('C_jama.2018.9128'!$P$2:$P$14,MATCH("2018::jama.2018.9128::C006",'C_jama.2018.9128'!$A$2:$A$14,0))="","",INDEX('C_jama.2018.9128'!$P$2:$P$14,MATCH("2018::jama.2018.9128::C006",'C_jama.2018.9128'!$A$2:$A$14,0)))</x:f>
      </x:c>
      <x:c r="AD113" s="3" t="str">
        <x:f>IF(INDEX('C_jama.2018.9128'!$Q$2:$Q$14,MATCH("2018::jama.2018.9128::C006",'C_jama.2018.9128'!$A$2:$A$14,0))="","",INDEX('C_jama.2018.9128'!$Q$2:$Q$14,MATCH("2018::jama.2018.9128::C006",'C_jama.2018.9128'!$A$2:$A$14,0)))</x:f>
      </x:c>
    </x:row>
    <x:row r="114" ht="65" customHeight="1">
      <x:c r="A114" s="6" t="n">
        <x:v>2018</x:v>
      </x:c>
      <x:c r="B114" s="6" t="str">
        <x:v>jama.2018.9128</x:v>
      </x:c>
      <x:c r="C114" s="6" t="str">
        <x:v>2018::jama.2018.9128::C007</x:v>
      </x:c>
      <x:c r="D114" s="6" t="str">
        <x:v>S_C</x:v>
      </x:c>
      <x:c r="E114" s="6" t="n">
        <x:f>Setup!$B$2</x:f>
        <x:v>0</x:v>
      </x:c>
      <x:c r="F114" s="6" t="str">
        <x:f>IF(Setup!$B$4="","",Setup!$B$4)</x:f>
      </x:c>
      <x:c r="G114" s="6" t="str">
        <x:f>IFERROR(INDEX('C_jama.2018.9128'!$G$2:$G$14,MATCH("2018::jama.2018.9128::C007",'C_jama.2018.9128'!$A$2:$A$14,0)),"CHECK KEY")</x:f>
        <x:v>CHECK REVIEWER IDs</x:v>
      </x:c>
      <x:c r="H114" s="6" t="str">
        <x:f>IF(G114&lt;&gt;"FINAL READY","",IF(S114&lt;&gt;"retain","not_eligible",IF(D114="P_R","protocol_descriptive",IF(D114="P_P","plan_descriptive",IF(AND(T114="statistical_results",OR(U114="confirmed_issue",U114="probable_issue"),V114="substantive"),"primary_temporal",IF(AND(T114="report_internal_inconsistency",X114="substantive_inconsistency"),"secondary_temporal","not_eligible"))))))</x:f>
      </x:c>
      <x:c r="I114" s="6" t="str">
        <x:v>retain</x:v>
      </x:c>
      <x:c r="J114" s="6" t="str">
        <x:v>report_internal_inconsistency</x:v>
      </x:c>
      <x:c r="K114" s="6" t="str">
        <x:f>IF(Setup!$B$6="primary","",IFERROR(IF(INDEX('Primary_snapshot'!$B$2:$B$120,MATCH(C114,'Primary_snapshot'!$A$2:$A$120,0))="","",INDEX('Primary_snapshot'!$B$2:$B$120,MATCH(C114,'Primary_snapshot'!$A$2:$A$120,0))),"SNAPSHOT MISSING"))</x:f>
      </x:c>
      <x:c r="L114" s="6" t="str">
        <x:f>IF(Setup!$B$6="primary","",IFERROR(IF(INDEX('Primary_snapshot'!$C$2:$C$120,MATCH(C114,'Primary_snapshot'!$A$2:$A$120,0))="","",INDEX('Primary_snapshot'!$C$2:$C$120,MATCH(C114,'Primary_snapshot'!$A$2:$A$120,0))),"SNAPSHOT MISSING"))</x:f>
      </x:c>
      <x:c r="M114" s="6" t="str">
        <x:f>IF(Setup!$B$6="primary","",IFERROR(IF(INDEX('Primary_snapshot'!$D$2:$D$120,MATCH(C114,'Primary_snapshot'!$A$2:$A$120,0))="","",INDEX('Primary_snapshot'!$D$2:$D$120,MATCH(C114,'Primary_snapshot'!$A$2:$A$120,0))),"SNAPSHOT MISSING"))</x:f>
      </x:c>
      <x:c r="N114" s="6" t="str">
        <x:f>IF(Setup!$B$6="primary","",IFERROR(IF(INDEX('Primary_snapshot'!$E$2:$E$120,MATCH(C114,'Primary_snapshot'!$A$2:$A$120,0))="","",INDEX('Primary_snapshot'!$E$2:$E$120,MATCH(C114,'Primary_snapshot'!$A$2:$A$120,0))),"SNAPSHOT MISSING"))</x:f>
      </x:c>
      <x:c r="O114" s="6" t="str">
        <x:f>IF(Setup!$B$6="primary","",IFERROR(IF(INDEX('Primary_snapshot'!$F$2:$F$120,MATCH(C114,'Primary_snapshot'!$A$2:$A$120,0))="","",INDEX('Primary_snapshot'!$F$2:$F$120,MATCH(C114,'Primary_snapshot'!$A$2:$A$120,0))),"SNAPSHOT MISSING"))</x:f>
      </x:c>
      <x:c r="P114" s="6" t="str">
        <x:f>IF(Setup!$B$6="primary","",IFERROR(IF(INDEX('Primary_snapshot'!$G$2:$G$120,MATCH(C114,'Primary_snapshot'!$A$2:$A$120,0))="","",INDEX('Primary_snapshot'!$G$2:$G$120,MATCH(C114,'Primary_snapshot'!$A$2:$A$120,0))),"SNAPSHOT MISSING"))</x:f>
      </x:c>
      <x:c r="Q114" s="6" t="str">
        <x:f>IF(Setup!$B$6="primary","",IFERROR(IF(INDEX('Primary_snapshot'!$H$2:$H$120,MATCH(C114,'Primary_snapshot'!$A$2:$A$120,0))="","",INDEX('Primary_snapshot'!$H$2:$H$120,MATCH(C114,'Primary_snapshot'!$A$2:$A$120,0))),"SNAPSHOT MISSING"))</x:f>
      </x:c>
      <x:c r="R114" s="6" t="str">
        <x:f>IF(Setup!$B$6="primary","",IFERROR(IF(INDEX('Primary_snapshot'!$I$2:$I$120,MATCH(C114,'Primary_snapshot'!$A$2:$A$120,0))="","",INDEX('Primary_snapshot'!$I$2:$I$120,MATCH(C114,'Primary_snapshot'!$A$2:$A$120,0))),"SNAPSHOT MISSING"))</x:f>
      </x:c>
      <x:c r="S114" s="6" t="str">
        <x:f>IF(INDEX('C_jama.2018.9128'!$D$2:$D$14,MATCH("2018::jama.2018.9128::C007",'C_jama.2018.9128'!$A$2:$A$14,0))="","",INDEX('C_jama.2018.9128'!$D$2:$D$14,MATCH("2018::jama.2018.9128::C007",'C_jama.2018.9128'!$A$2:$A$14,0)))</x:f>
      </x:c>
      <x:c r="T114" s="6" t="str">
        <x:f>IF(INDEX('C_jama.2018.9128'!$E$2:$E$14,MATCH("2018::jama.2018.9128::C007",'C_jama.2018.9128'!$A$2:$A$14,0))="","",INDEX('C_jama.2018.9128'!$E$2:$E$14,MATCH("2018::jama.2018.9128::C007",'C_jama.2018.9128'!$A$2:$A$14,0)))</x:f>
        <x:v>report_internal_inconsistency</x:v>
      </x:c>
      <x:c r="U114" s="6" t="str">
        <x:f>IF(AND(INDEX('C_jama.2018.9128'!$D$2:$D$14,MATCH("2018::jama.2018.9128::C007",'C_jama.2018.9128'!$A$2:$A$14,0))="retain",INDEX('C_jama.2018.9128'!$E$2:$E$14,MATCH("2018::jama.2018.9128::C007",'C_jama.2018.9128'!$A$2:$A$14,0))="statistical_results"),IF(INDEX('C_jama.2018.9128'!$H$2:$H$14,MATCH("2018::jama.2018.9128::C007",'C_jama.2018.9128'!$A$2:$A$14,0))="","",INDEX('C_jama.2018.9128'!$H$2:$H$14,MATCH("2018::jama.2018.9128::C007",'C_jama.2018.9128'!$A$2:$A$14,0))),"not_applicable")</x:f>
        <x:v>not_applicable</x:v>
      </x:c>
      <x:c r="V114" s="6" t="str">
        <x:f>IF(AND(INDEX('C_jama.2018.9128'!$D$2:$D$14,MATCH("2018::jama.2018.9128::C007",'C_jama.2018.9128'!$A$2:$A$14,0))="retain",INDEX('C_jama.2018.9128'!$E$2:$E$14,MATCH("2018::jama.2018.9128::C007",'C_jama.2018.9128'!$A$2:$A$14,0))="statistical_results"),IF(INDEX('C_jama.2018.9128'!$I$2:$I$14,MATCH("2018::jama.2018.9128::C007",'C_jama.2018.9128'!$A$2:$A$14,0))="","",INDEX('C_jama.2018.9128'!$I$2:$I$14,MATCH("2018::jama.2018.9128::C007",'C_jama.2018.9128'!$A$2:$A$14,0))),"not_applicable")</x:f>
        <x:v>not_applicable</x:v>
      </x:c>
      <x:c r="W114" s="6" t="str">
        <x:f>IF(AND(INDEX('C_jama.2018.9128'!$D$2:$D$14,MATCH("2018::jama.2018.9128::C007",'C_jama.2018.9128'!$A$2:$A$14,0))="retain",INDEX('C_jama.2018.9128'!$E$2:$E$14,MATCH("2018::jama.2018.9128::C007",'C_jama.2018.9128'!$A$2:$A$14,0))="statistical_results"),IF(INDEX('C_jama.2018.9128'!$J$2:$J$14,MATCH("2018::jama.2018.9128::C007",'C_jama.2018.9128'!$A$2:$A$14,0))="","",INDEX('C_jama.2018.9128'!$J$2:$J$14,MATCH("2018::jama.2018.9128::C007",'C_jama.2018.9128'!$A$2:$A$14,0))),"not_applicable")</x:f>
        <x:v>not_applicable</x:v>
      </x:c>
      <x:c r="X114" s="6" t="str">
        <x:f>IF(AND(INDEX('C_jama.2018.9128'!$D$2:$D$14,MATCH("2018::jama.2018.9128::C007",'C_jama.2018.9128'!$A$2:$A$14,0))="retain",OR(INDEX('C_jama.2018.9128'!$E$2:$E$14,MATCH("2018::jama.2018.9128::C007",'C_jama.2018.9128'!$A$2:$A$14,0))="report_internal_inconsistency",INDEX('C_jama.2018.9128'!$E$2:$E$14,MATCH("2018::jama.2018.9128::C007",'C_jama.2018.9128'!$A$2:$A$14,0))="plan_material")),IF(INDEX('C_jama.2018.9128'!$K$2:$K$14,MATCH("2018::jama.2018.9128::C007",'C_jama.2018.9128'!$A$2:$A$14,0))="","",INDEX('C_jama.2018.9128'!$K$2:$K$14,MATCH("2018::jama.2018.9128::C007",'C_jama.2018.9128'!$A$2:$A$14,0))),"not_applicable")</x:f>
        <x:v>not_applicable</x:v>
      </x:c>
      <x:c r="Y114" s="6" t="str">
        <x:f>IF(AND(INDEX('C_jama.2018.9128'!$D$2:$D$14,MATCH("2018::jama.2018.9128::C007",'C_jama.2018.9128'!$A$2:$A$14,0))="retain",INDEX('C_jama.2018.9128'!$E$2:$E$14,MATCH("2018::jama.2018.9128::C007",'C_jama.2018.9128'!$A$2:$A$14,0))="protocol_report"),IF(INDEX('C_jama.2018.9128'!$L$2:$L$14,MATCH("2018::jama.2018.9128::C007",'C_jama.2018.9128'!$A$2:$A$14,0))="","",INDEX('C_jama.2018.9128'!$L$2:$L$14,MATCH("2018::jama.2018.9128::C007",'C_jama.2018.9128'!$A$2:$A$14,0))),"not_applicable")</x:f>
        <x:v>not_applicable</x:v>
      </x:c>
      <x:c r="Z114" s="6" t="str">
        <x:f>IF(INDEX('C_jama.2018.9128'!$R$2:$R$14,MATCH("2018::jama.2018.9128::C007",'C_jama.2018.9128'!$A$2:$A$14,0))="","",INDEX('C_jama.2018.9128'!$R$2:$R$14,MATCH("2018::jama.2018.9128::C007",'C_jama.2018.9128'!$A$2:$A$14,0)))</x:f>
      </x:c>
      <x:c r="AA114" s="6" t="str">
        <x:f>IF(INDEX('C_jama.2018.9128'!$N$2:$N$14,MATCH("2018::jama.2018.9128::C007",'C_jama.2018.9128'!$A$2:$A$14,0))="","",INDEX('C_jama.2018.9128'!$N$2:$N$14,MATCH("2018::jama.2018.9128::C007",'C_jama.2018.9128'!$A$2:$A$14,0)))</x:f>
      </x:c>
      <x:c r="AB114" s="6" t="str">
        <x:f>IF(INDEX('C_jama.2018.9128'!$O$2:$O$14,MATCH("2018::jama.2018.9128::C007",'C_jama.2018.9128'!$A$2:$A$14,0))="","",INDEX('C_jama.2018.9128'!$O$2:$O$14,MATCH("2018::jama.2018.9128::C007",'C_jama.2018.9128'!$A$2:$A$14,0)))</x:f>
      </x:c>
      <x:c r="AC114" s="6" t="str">
        <x:f>IF(INDEX('C_jama.2018.9128'!$P$2:$P$14,MATCH("2018::jama.2018.9128::C007",'C_jama.2018.9128'!$A$2:$A$14,0))="","",INDEX('C_jama.2018.9128'!$P$2:$P$14,MATCH("2018::jama.2018.9128::C007",'C_jama.2018.9128'!$A$2:$A$14,0)))</x:f>
      </x:c>
      <x:c r="AD114" s="6" t="str">
        <x:f>IF(INDEX('C_jama.2018.9128'!$Q$2:$Q$14,MATCH("2018::jama.2018.9128::C007",'C_jama.2018.9128'!$A$2:$A$14,0))="","",INDEX('C_jama.2018.9128'!$Q$2:$Q$14,MATCH("2018::jama.2018.9128::C007",'C_jama.2018.9128'!$A$2:$A$14,0)))</x:f>
      </x:c>
    </x:row>
    <x:row r="115" ht="65" customHeight="1">
      <x:c r="A115" s="3" t="n">
        <x:v>2018</x:v>
      </x:c>
      <x:c r="B115" s="3" t="str">
        <x:v>jama.2018.9128</x:v>
      </x:c>
      <x:c r="C115" s="3" t="str">
        <x:v>2018::jama.2018.9128::C008</x:v>
      </x:c>
      <x:c r="D115" s="3" t="str">
        <x:v>S_C</x:v>
      </x:c>
      <x:c r="E115" s="3" t="n">
        <x:f>Setup!$B$2</x:f>
        <x:v>0</x:v>
      </x:c>
      <x:c r="F115" s="3" t="str">
        <x:f>IF(Setup!$B$4="","",Setup!$B$4)</x:f>
      </x:c>
      <x:c r="G115" s="3" t="str">
        <x:f>IFERROR(INDEX('C_jama.2018.9128'!$G$2:$G$14,MATCH("2018::jama.2018.9128::C008",'C_jama.2018.9128'!$A$2:$A$14,0)),"CHECK KEY")</x:f>
        <x:v>CHECK REVIEWER IDs</x:v>
      </x:c>
      <x:c r="H115" s="3" t="str">
        <x:f>IF(G115&lt;&gt;"FINAL READY","",IF(S115&lt;&gt;"retain","not_eligible",IF(D115="P_R","protocol_descriptive",IF(D115="P_P","plan_descriptive",IF(AND(T115="statistical_results",OR(U115="confirmed_issue",U115="probable_issue"),V115="substantive"),"primary_temporal",IF(AND(T115="report_internal_inconsistency",X115="substantive_inconsistency"),"secondary_temporal","not_eligible"))))))</x:f>
      </x:c>
      <x:c r="I115" s="3" t="str">
        <x:v>retain</x:v>
      </x:c>
      <x:c r="J115" s="3" t="str">
        <x:v>report_internal_inconsistency</x:v>
      </x:c>
      <x:c r="K115" s="3" t="str">
        <x:f>IF(Setup!$B$6="primary","",IFERROR(IF(INDEX('Primary_snapshot'!$B$2:$B$120,MATCH(C115,'Primary_snapshot'!$A$2:$A$120,0))="","",INDEX('Primary_snapshot'!$B$2:$B$120,MATCH(C115,'Primary_snapshot'!$A$2:$A$120,0))),"SNAPSHOT MISSING"))</x:f>
      </x:c>
      <x:c r="L115" s="3" t="str">
        <x:f>IF(Setup!$B$6="primary","",IFERROR(IF(INDEX('Primary_snapshot'!$C$2:$C$120,MATCH(C115,'Primary_snapshot'!$A$2:$A$120,0))="","",INDEX('Primary_snapshot'!$C$2:$C$120,MATCH(C115,'Primary_snapshot'!$A$2:$A$120,0))),"SNAPSHOT MISSING"))</x:f>
      </x:c>
      <x:c r="M115" s="3" t="str">
        <x:f>IF(Setup!$B$6="primary","",IFERROR(IF(INDEX('Primary_snapshot'!$D$2:$D$120,MATCH(C115,'Primary_snapshot'!$A$2:$A$120,0))="","",INDEX('Primary_snapshot'!$D$2:$D$120,MATCH(C115,'Primary_snapshot'!$A$2:$A$120,0))),"SNAPSHOT MISSING"))</x:f>
      </x:c>
      <x:c r="N115" s="3" t="str">
        <x:f>IF(Setup!$B$6="primary","",IFERROR(IF(INDEX('Primary_snapshot'!$E$2:$E$120,MATCH(C115,'Primary_snapshot'!$A$2:$A$120,0))="","",INDEX('Primary_snapshot'!$E$2:$E$120,MATCH(C115,'Primary_snapshot'!$A$2:$A$120,0))),"SNAPSHOT MISSING"))</x:f>
      </x:c>
      <x:c r="O115" s="3" t="str">
        <x:f>IF(Setup!$B$6="primary","",IFERROR(IF(INDEX('Primary_snapshot'!$F$2:$F$120,MATCH(C115,'Primary_snapshot'!$A$2:$A$120,0))="","",INDEX('Primary_snapshot'!$F$2:$F$120,MATCH(C115,'Primary_snapshot'!$A$2:$A$120,0))),"SNAPSHOT MISSING"))</x:f>
      </x:c>
      <x:c r="P115" s="3" t="str">
        <x:f>IF(Setup!$B$6="primary","",IFERROR(IF(INDEX('Primary_snapshot'!$G$2:$G$120,MATCH(C115,'Primary_snapshot'!$A$2:$A$120,0))="","",INDEX('Primary_snapshot'!$G$2:$G$120,MATCH(C115,'Primary_snapshot'!$A$2:$A$120,0))),"SNAPSHOT MISSING"))</x:f>
      </x:c>
      <x:c r="Q115" s="3" t="str">
        <x:f>IF(Setup!$B$6="primary","",IFERROR(IF(INDEX('Primary_snapshot'!$H$2:$H$120,MATCH(C115,'Primary_snapshot'!$A$2:$A$120,0))="","",INDEX('Primary_snapshot'!$H$2:$H$120,MATCH(C115,'Primary_snapshot'!$A$2:$A$120,0))),"SNAPSHOT MISSING"))</x:f>
      </x:c>
      <x:c r="R115" s="3" t="str">
        <x:f>IF(Setup!$B$6="primary","",IFERROR(IF(INDEX('Primary_snapshot'!$I$2:$I$120,MATCH(C115,'Primary_snapshot'!$A$2:$A$120,0))="","",INDEX('Primary_snapshot'!$I$2:$I$120,MATCH(C115,'Primary_snapshot'!$A$2:$A$120,0))),"SNAPSHOT MISSING"))</x:f>
      </x:c>
      <x:c r="S115" s="3" t="str">
        <x:f>IF(INDEX('C_jama.2018.9128'!$D$2:$D$14,MATCH("2018::jama.2018.9128::C008",'C_jama.2018.9128'!$A$2:$A$14,0))="","",INDEX('C_jama.2018.9128'!$D$2:$D$14,MATCH("2018::jama.2018.9128::C008",'C_jama.2018.9128'!$A$2:$A$14,0)))</x:f>
      </x:c>
      <x:c r="T115" s="3" t="str">
        <x:f>IF(INDEX('C_jama.2018.9128'!$E$2:$E$14,MATCH("2018::jama.2018.9128::C008",'C_jama.2018.9128'!$A$2:$A$14,0))="","",INDEX('C_jama.2018.9128'!$E$2:$E$14,MATCH("2018::jama.2018.9128::C008",'C_jama.2018.9128'!$A$2:$A$14,0)))</x:f>
        <x:v>report_internal_inconsistency</x:v>
      </x:c>
      <x:c r="U115" s="3" t="str">
        <x:f>IF(AND(INDEX('C_jama.2018.9128'!$D$2:$D$14,MATCH("2018::jama.2018.9128::C008",'C_jama.2018.9128'!$A$2:$A$14,0))="retain",INDEX('C_jama.2018.9128'!$E$2:$E$14,MATCH("2018::jama.2018.9128::C008",'C_jama.2018.9128'!$A$2:$A$14,0))="statistical_results"),IF(INDEX('C_jama.2018.9128'!$H$2:$H$14,MATCH("2018::jama.2018.9128::C008",'C_jama.2018.9128'!$A$2:$A$14,0))="","",INDEX('C_jama.2018.9128'!$H$2:$H$14,MATCH("2018::jama.2018.9128::C008",'C_jama.2018.9128'!$A$2:$A$14,0))),"not_applicable")</x:f>
        <x:v>not_applicable</x:v>
      </x:c>
      <x:c r="V115" s="3" t="str">
        <x:f>IF(AND(INDEX('C_jama.2018.9128'!$D$2:$D$14,MATCH("2018::jama.2018.9128::C008",'C_jama.2018.9128'!$A$2:$A$14,0))="retain",INDEX('C_jama.2018.9128'!$E$2:$E$14,MATCH("2018::jama.2018.9128::C008",'C_jama.2018.9128'!$A$2:$A$14,0))="statistical_results"),IF(INDEX('C_jama.2018.9128'!$I$2:$I$14,MATCH("2018::jama.2018.9128::C008",'C_jama.2018.9128'!$A$2:$A$14,0))="","",INDEX('C_jama.2018.9128'!$I$2:$I$14,MATCH("2018::jama.2018.9128::C008",'C_jama.2018.9128'!$A$2:$A$14,0))),"not_applicable")</x:f>
        <x:v>not_applicable</x:v>
      </x:c>
      <x:c r="W115" s="3" t="str">
        <x:f>IF(AND(INDEX('C_jama.2018.9128'!$D$2:$D$14,MATCH("2018::jama.2018.9128::C008",'C_jama.2018.9128'!$A$2:$A$14,0))="retain",INDEX('C_jama.2018.9128'!$E$2:$E$14,MATCH("2018::jama.2018.9128::C008",'C_jama.2018.9128'!$A$2:$A$14,0))="statistical_results"),IF(INDEX('C_jama.2018.9128'!$J$2:$J$14,MATCH("2018::jama.2018.9128::C008",'C_jama.2018.9128'!$A$2:$A$14,0))="","",INDEX('C_jama.2018.9128'!$J$2:$J$14,MATCH("2018::jama.2018.9128::C008",'C_jama.2018.9128'!$A$2:$A$14,0))),"not_applicable")</x:f>
        <x:v>not_applicable</x:v>
      </x:c>
      <x:c r="X115" s="3" t="str">
        <x:f>IF(AND(INDEX('C_jama.2018.9128'!$D$2:$D$14,MATCH("2018::jama.2018.9128::C008",'C_jama.2018.9128'!$A$2:$A$14,0))="retain",OR(INDEX('C_jama.2018.9128'!$E$2:$E$14,MATCH("2018::jama.2018.9128::C008",'C_jama.2018.9128'!$A$2:$A$14,0))="report_internal_inconsistency",INDEX('C_jama.2018.9128'!$E$2:$E$14,MATCH("2018::jama.2018.9128::C008",'C_jama.2018.9128'!$A$2:$A$14,0))="plan_material")),IF(INDEX('C_jama.2018.9128'!$K$2:$K$14,MATCH("2018::jama.2018.9128::C008",'C_jama.2018.9128'!$A$2:$A$14,0))="","",INDEX('C_jama.2018.9128'!$K$2:$K$14,MATCH("2018::jama.2018.9128::C008",'C_jama.2018.9128'!$A$2:$A$14,0))),"not_applicable")</x:f>
        <x:v>not_applicable</x:v>
      </x:c>
      <x:c r="Y115" s="3" t="str">
        <x:f>IF(AND(INDEX('C_jama.2018.9128'!$D$2:$D$14,MATCH("2018::jama.2018.9128::C008",'C_jama.2018.9128'!$A$2:$A$14,0))="retain",INDEX('C_jama.2018.9128'!$E$2:$E$14,MATCH("2018::jama.2018.9128::C008",'C_jama.2018.9128'!$A$2:$A$14,0))="protocol_report"),IF(INDEX('C_jama.2018.9128'!$L$2:$L$14,MATCH("2018::jama.2018.9128::C008",'C_jama.2018.9128'!$A$2:$A$14,0))="","",INDEX('C_jama.2018.9128'!$L$2:$L$14,MATCH("2018::jama.2018.9128::C008",'C_jama.2018.9128'!$A$2:$A$14,0))),"not_applicable")</x:f>
        <x:v>not_applicable</x:v>
      </x:c>
      <x:c r="Z115" s="3" t="str">
        <x:f>IF(INDEX('C_jama.2018.9128'!$R$2:$R$14,MATCH("2018::jama.2018.9128::C008",'C_jama.2018.9128'!$A$2:$A$14,0))="","",INDEX('C_jama.2018.9128'!$R$2:$R$14,MATCH("2018::jama.2018.9128::C008",'C_jama.2018.9128'!$A$2:$A$14,0)))</x:f>
      </x:c>
      <x:c r="AA115" s="3" t="str">
        <x:f>IF(INDEX('C_jama.2018.9128'!$N$2:$N$14,MATCH("2018::jama.2018.9128::C008",'C_jama.2018.9128'!$A$2:$A$14,0))="","",INDEX('C_jama.2018.9128'!$N$2:$N$14,MATCH("2018::jama.2018.9128::C008",'C_jama.2018.9128'!$A$2:$A$14,0)))</x:f>
      </x:c>
      <x:c r="AB115" s="3" t="str">
        <x:f>IF(INDEX('C_jama.2018.9128'!$O$2:$O$14,MATCH("2018::jama.2018.9128::C008",'C_jama.2018.9128'!$A$2:$A$14,0))="","",INDEX('C_jama.2018.9128'!$O$2:$O$14,MATCH("2018::jama.2018.9128::C008",'C_jama.2018.9128'!$A$2:$A$14,0)))</x:f>
      </x:c>
      <x:c r="AC115" s="3" t="str">
        <x:f>IF(INDEX('C_jama.2018.9128'!$P$2:$P$14,MATCH("2018::jama.2018.9128::C008",'C_jama.2018.9128'!$A$2:$A$14,0))="","",INDEX('C_jama.2018.9128'!$P$2:$P$14,MATCH("2018::jama.2018.9128::C008",'C_jama.2018.9128'!$A$2:$A$14,0)))</x:f>
      </x:c>
      <x:c r="AD115" s="3" t="str">
        <x:f>IF(INDEX('C_jama.2018.9128'!$Q$2:$Q$14,MATCH("2018::jama.2018.9128::C008",'C_jama.2018.9128'!$A$2:$A$14,0))="","",INDEX('C_jama.2018.9128'!$Q$2:$Q$14,MATCH("2018::jama.2018.9128::C008",'C_jama.2018.9128'!$A$2:$A$14,0)))</x:f>
      </x:c>
    </x:row>
    <x:row r="116" ht="65" customHeight="1">
      <x:c r="A116" s="6" t="n">
        <x:v>2018</x:v>
      </x:c>
      <x:c r="B116" s="6" t="str">
        <x:v>jama.2018.9128</x:v>
      </x:c>
      <x:c r="C116" s="6" t="str">
        <x:v>2018::jama.2018.9128::C009</x:v>
      </x:c>
      <x:c r="D116" s="6" t="str">
        <x:v>P_P</x:v>
      </x:c>
      <x:c r="E116" s="6" t="n">
        <x:f>Setup!$B$2</x:f>
        <x:v>0</x:v>
      </x:c>
      <x:c r="F116" s="6" t="str">
        <x:f>IF(Setup!$B$4="","",Setup!$B$4)</x:f>
      </x:c>
      <x:c r="G116" s="6" t="str">
        <x:f>IFERROR(INDEX('C_jama.2018.9128'!$G$2:$G$14,MATCH("2018::jama.2018.9128::C009",'C_jama.2018.9128'!$A$2:$A$14,0)),"CHECK KEY")</x:f>
        <x:v>CHECK REVIEWER IDs</x:v>
      </x:c>
      <x:c r="H116" s="6" t="str">
        <x:f>IF(G116&lt;&gt;"FINAL READY","",IF(S116&lt;&gt;"retain","not_eligible",IF(D116="P_R","protocol_descriptive",IF(D116="P_P","plan_descriptive",IF(AND(T116="statistical_results",OR(U116="confirmed_issue",U116="probable_issue"),V116="substantive"),"primary_temporal",IF(AND(T116="report_internal_inconsistency",X116="substantive_inconsistency"),"secondary_temporal","not_eligible"))))))</x:f>
      </x:c>
      <x:c r="I116" s="6" t="str">
        <x:v>retain</x:v>
      </x:c>
      <x:c r="J116" s="6" t="str">
        <x:v>plan_material</x:v>
      </x:c>
      <x:c r="K116" s="6" t="str">
        <x:f>IF(Setup!$B$6="primary","",IFERROR(IF(INDEX('Primary_snapshot'!$B$2:$B$120,MATCH(C116,'Primary_snapshot'!$A$2:$A$120,0))="","",INDEX('Primary_snapshot'!$B$2:$B$120,MATCH(C116,'Primary_snapshot'!$A$2:$A$120,0))),"SNAPSHOT MISSING"))</x:f>
      </x:c>
      <x:c r="L116" s="6" t="str">
        <x:f>IF(Setup!$B$6="primary","",IFERROR(IF(INDEX('Primary_snapshot'!$C$2:$C$120,MATCH(C116,'Primary_snapshot'!$A$2:$A$120,0))="","",INDEX('Primary_snapshot'!$C$2:$C$120,MATCH(C116,'Primary_snapshot'!$A$2:$A$120,0))),"SNAPSHOT MISSING"))</x:f>
      </x:c>
      <x:c r="M116" s="6" t="str">
        <x:f>IF(Setup!$B$6="primary","",IFERROR(IF(INDEX('Primary_snapshot'!$D$2:$D$120,MATCH(C116,'Primary_snapshot'!$A$2:$A$120,0))="","",INDEX('Primary_snapshot'!$D$2:$D$120,MATCH(C116,'Primary_snapshot'!$A$2:$A$120,0))),"SNAPSHOT MISSING"))</x:f>
      </x:c>
      <x:c r="N116" s="6" t="str">
        <x:f>IF(Setup!$B$6="primary","",IFERROR(IF(INDEX('Primary_snapshot'!$E$2:$E$120,MATCH(C116,'Primary_snapshot'!$A$2:$A$120,0))="","",INDEX('Primary_snapshot'!$E$2:$E$120,MATCH(C116,'Primary_snapshot'!$A$2:$A$120,0))),"SNAPSHOT MISSING"))</x:f>
      </x:c>
      <x:c r="O116" s="6" t="str">
        <x:f>IF(Setup!$B$6="primary","",IFERROR(IF(INDEX('Primary_snapshot'!$F$2:$F$120,MATCH(C116,'Primary_snapshot'!$A$2:$A$120,0))="","",INDEX('Primary_snapshot'!$F$2:$F$120,MATCH(C116,'Primary_snapshot'!$A$2:$A$120,0))),"SNAPSHOT MISSING"))</x:f>
      </x:c>
      <x:c r="P116" s="6" t="str">
        <x:f>IF(Setup!$B$6="primary","",IFERROR(IF(INDEX('Primary_snapshot'!$G$2:$G$120,MATCH(C116,'Primary_snapshot'!$A$2:$A$120,0))="","",INDEX('Primary_snapshot'!$G$2:$G$120,MATCH(C116,'Primary_snapshot'!$A$2:$A$120,0))),"SNAPSHOT MISSING"))</x:f>
      </x:c>
      <x:c r="Q116" s="6" t="str">
        <x:f>IF(Setup!$B$6="primary","",IFERROR(IF(INDEX('Primary_snapshot'!$H$2:$H$120,MATCH(C116,'Primary_snapshot'!$A$2:$A$120,0))="","",INDEX('Primary_snapshot'!$H$2:$H$120,MATCH(C116,'Primary_snapshot'!$A$2:$A$120,0))),"SNAPSHOT MISSING"))</x:f>
      </x:c>
      <x:c r="R116" s="6" t="str">
        <x:f>IF(Setup!$B$6="primary","",IFERROR(IF(INDEX('Primary_snapshot'!$I$2:$I$120,MATCH(C116,'Primary_snapshot'!$A$2:$A$120,0))="","",INDEX('Primary_snapshot'!$I$2:$I$120,MATCH(C116,'Primary_snapshot'!$A$2:$A$120,0))),"SNAPSHOT MISSING"))</x:f>
      </x:c>
      <x:c r="S116" s="6" t="str">
        <x:f>IF(INDEX('C_jama.2018.9128'!$D$2:$D$14,MATCH("2018::jama.2018.9128::C009",'C_jama.2018.9128'!$A$2:$A$14,0))="","",INDEX('C_jama.2018.9128'!$D$2:$D$14,MATCH("2018::jama.2018.9128::C009",'C_jama.2018.9128'!$A$2:$A$14,0)))</x:f>
      </x:c>
      <x:c r="T116" s="6" t="str">
        <x:f>IF(INDEX('C_jama.2018.9128'!$E$2:$E$14,MATCH("2018::jama.2018.9128::C009",'C_jama.2018.9128'!$A$2:$A$14,0))="","",INDEX('C_jama.2018.9128'!$E$2:$E$14,MATCH("2018::jama.2018.9128::C009",'C_jama.2018.9128'!$A$2:$A$14,0)))</x:f>
        <x:v>plan_material</x:v>
      </x:c>
      <x:c r="U116" s="6" t="str">
        <x:f>IF(AND(INDEX('C_jama.2018.9128'!$D$2:$D$14,MATCH("2018::jama.2018.9128::C009",'C_jama.2018.9128'!$A$2:$A$14,0))="retain",INDEX('C_jama.2018.9128'!$E$2:$E$14,MATCH("2018::jama.2018.9128::C009",'C_jama.2018.9128'!$A$2:$A$14,0))="statistical_results"),IF(INDEX('C_jama.2018.9128'!$H$2:$H$14,MATCH("2018::jama.2018.9128::C009",'C_jama.2018.9128'!$A$2:$A$14,0))="","",INDEX('C_jama.2018.9128'!$H$2:$H$14,MATCH("2018::jama.2018.9128::C009",'C_jama.2018.9128'!$A$2:$A$14,0))),"not_applicable")</x:f>
        <x:v>not_applicable</x:v>
      </x:c>
      <x:c r="V116" s="6" t="str">
        <x:f>IF(AND(INDEX('C_jama.2018.9128'!$D$2:$D$14,MATCH("2018::jama.2018.9128::C009",'C_jama.2018.9128'!$A$2:$A$14,0))="retain",INDEX('C_jama.2018.9128'!$E$2:$E$14,MATCH("2018::jama.2018.9128::C009",'C_jama.2018.9128'!$A$2:$A$14,0))="statistical_results"),IF(INDEX('C_jama.2018.9128'!$I$2:$I$14,MATCH("2018::jama.2018.9128::C009",'C_jama.2018.9128'!$A$2:$A$14,0))="","",INDEX('C_jama.2018.9128'!$I$2:$I$14,MATCH("2018::jama.2018.9128::C009",'C_jama.2018.9128'!$A$2:$A$14,0))),"not_applicable")</x:f>
        <x:v>not_applicable</x:v>
      </x:c>
      <x:c r="W116" s="6" t="str">
        <x:f>IF(AND(INDEX('C_jama.2018.9128'!$D$2:$D$14,MATCH("2018::jama.2018.9128::C009",'C_jama.2018.9128'!$A$2:$A$14,0))="retain",INDEX('C_jama.2018.9128'!$E$2:$E$14,MATCH("2018::jama.2018.9128::C009",'C_jama.2018.9128'!$A$2:$A$14,0))="statistical_results"),IF(INDEX('C_jama.2018.9128'!$J$2:$J$14,MATCH("2018::jama.2018.9128::C009",'C_jama.2018.9128'!$A$2:$A$14,0))="","",INDEX('C_jama.2018.9128'!$J$2:$J$14,MATCH("2018::jama.2018.9128::C009",'C_jama.2018.9128'!$A$2:$A$14,0))),"not_applicable")</x:f>
        <x:v>not_applicable</x:v>
      </x:c>
      <x:c r="X116" s="6" t="str">
        <x:f>IF(AND(INDEX('C_jama.2018.9128'!$D$2:$D$14,MATCH("2018::jama.2018.9128::C009",'C_jama.2018.9128'!$A$2:$A$14,0))="retain",OR(INDEX('C_jama.2018.9128'!$E$2:$E$14,MATCH("2018::jama.2018.9128::C009",'C_jama.2018.9128'!$A$2:$A$14,0))="report_internal_inconsistency",INDEX('C_jama.2018.9128'!$E$2:$E$14,MATCH("2018::jama.2018.9128::C009",'C_jama.2018.9128'!$A$2:$A$14,0))="plan_material")),IF(INDEX('C_jama.2018.9128'!$K$2:$K$14,MATCH("2018::jama.2018.9128::C009",'C_jama.2018.9128'!$A$2:$A$14,0))="","",INDEX('C_jama.2018.9128'!$K$2:$K$14,MATCH("2018::jama.2018.9128::C009",'C_jama.2018.9128'!$A$2:$A$14,0))),"not_applicable")</x:f>
        <x:v>not_applicable</x:v>
      </x:c>
      <x:c r="Y116" s="6" t="str">
        <x:f>IF(AND(INDEX('C_jama.2018.9128'!$D$2:$D$14,MATCH("2018::jama.2018.9128::C009",'C_jama.2018.9128'!$A$2:$A$14,0))="retain",INDEX('C_jama.2018.9128'!$E$2:$E$14,MATCH("2018::jama.2018.9128::C009",'C_jama.2018.9128'!$A$2:$A$14,0))="protocol_report"),IF(INDEX('C_jama.2018.9128'!$L$2:$L$14,MATCH("2018::jama.2018.9128::C009",'C_jama.2018.9128'!$A$2:$A$14,0))="","",INDEX('C_jama.2018.9128'!$L$2:$L$14,MATCH("2018::jama.2018.9128::C009",'C_jama.2018.9128'!$A$2:$A$14,0))),"not_applicable")</x:f>
        <x:v>not_applicable</x:v>
      </x:c>
      <x:c r="Z116" s="6" t="str">
        <x:f>IF(INDEX('C_jama.2018.9128'!$R$2:$R$14,MATCH("2018::jama.2018.9128::C009",'C_jama.2018.9128'!$A$2:$A$14,0))="","",INDEX('C_jama.2018.9128'!$R$2:$R$14,MATCH("2018::jama.2018.9128::C009",'C_jama.2018.9128'!$A$2:$A$14,0)))</x:f>
      </x:c>
      <x:c r="AA116" s="6" t="str">
        <x:f>IF(INDEX('C_jama.2018.9128'!$N$2:$N$14,MATCH("2018::jama.2018.9128::C009",'C_jama.2018.9128'!$A$2:$A$14,0))="","",INDEX('C_jama.2018.9128'!$N$2:$N$14,MATCH("2018::jama.2018.9128::C009",'C_jama.2018.9128'!$A$2:$A$14,0)))</x:f>
      </x:c>
      <x:c r="AB116" s="6" t="str">
        <x:f>IF(INDEX('C_jama.2018.9128'!$O$2:$O$14,MATCH("2018::jama.2018.9128::C009",'C_jama.2018.9128'!$A$2:$A$14,0))="","",INDEX('C_jama.2018.9128'!$O$2:$O$14,MATCH("2018::jama.2018.9128::C009",'C_jama.2018.9128'!$A$2:$A$14,0)))</x:f>
      </x:c>
      <x:c r="AC116" s="6" t="str">
        <x:f>IF(INDEX('C_jama.2018.9128'!$P$2:$P$14,MATCH("2018::jama.2018.9128::C009",'C_jama.2018.9128'!$A$2:$A$14,0))="","",INDEX('C_jama.2018.9128'!$P$2:$P$14,MATCH("2018::jama.2018.9128::C009",'C_jama.2018.9128'!$A$2:$A$14,0)))</x:f>
      </x:c>
      <x:c r="AD116" s="6" t="str">
        <x:f>IF(INDEX('C_jama.2018.9128'!$Q$2:$Q$14,MATCH("2018::jama.2018.9128::C009",'C_jama.2018.9128'!$A$2:$A$14,0))="","",INDEX('C_jama.2018.9128'!$Q$2:$Q$14,MATCH("2018::jama.2018.9128::C009",'C_jama.2018.9128'!$A$2:$A$14,0)))</x:f>
      </x:c>
    </x:row>
    <x:row r="117" ht="65" customHeight="1">
      <x:c r="A117" s="3" t="n">
        <x:v>2018</x:v>
      </x:c>
      <x:c r="B117" s="3" t="str">
        <x:v>jama.2018.9128</x:v>
      </x:c>
      <x:c r="C117" s="3" t="str">
        <x:v>2018::jama.2018.9128::C010</x:v>
      </x:c>
      <x:c r="D117" s="3" t="str">
        <x:v>P_P</x:v>
      </x:c>
      <x:c r="E117" s="3" t="n">
        <x:f>Setup!$B$2</x:f>
        <x:v>0</x:v>
      </x:c>
      <x:c r="F117" s="3" t="str">
        <x:f>IF(Setup!$B$4="","",Setup!$B$4)</x:f>
      </x:c>
      <x:c r="G117" s="3" t="str">
        <x:f>IFERROR(INDEX('C_jama.2018.9128'!$G$2:$G$14,MATCH("2018::jama.2018.9128::C010",'C_jama.2018.9128'!$A$2:$A$14,0)),"CHECK KEY")</x:f>
        <x:v>CHECK REVIEWER IDs</x:v>
      </x:c>
      <x:c r="H117" s="3" t="str">
        <x:f>IF(G117&lt;&gt;"FINAL READY","",IF(S117&lt;&gt;"retain","not_eligible",IF(D117="P_R","protocol_descriptive",IF(D117="P_P","plan_descriptive",IF(AND(T117="statistical_results",OR(U117="confirmed_issue",U117="probable_issue"),V117="substantive"),"primary_temporal",IF(AND(T117="report_internal_inconsistency",X117="substantive_inconsistency"),"secondary_temporal","not_eligible"))))))</x:f>
      </x:c>
      <x:c r="I117" s="3" t="str">
        <x:v>retain</x:v>
      </x:c>
      <x:c r="J117" s="3" t="str">
        <x:v>plan_material</x:v>
      </x:c>
      <x:c r="K117" s="3" t="str">
        <x:f>IF(Setup!$B$6="primary","",IFERROR(IF(INDEX('Primary_snapshot'!$B$2:$B$120,MATCH(C117,'Primary_snapshot'!$A$2:$A$120,0))="","",INDEX('Primary_snapshot'!$B$2:$B$120,MATCH(C117,'Primary_snapshot'!$A$2:$A$120,0))),"SNAPSHOT MISSING"))</x:f>
      </x:c>
      <x:c r="L117" s="3" t="str">
        <x:f>IF(Setup!$B$6="primary","",IFERROR(IF(INDEX('Primary_snapshot'!$C$2:$C$120,MATCH(C117,'Primary_snapshot'!$A$2:$A$120,0))="","",INDEX('Primary_snapshot'!$C$2:$C$120,MATCH(C117,'Primary_snapshot'!$A$2:$A$120,0))),"SNAPSHOT MISSING"))</x:f>
      </x:c>
      <x:c r="M117" s="3" t="str">
        <x:f>IF(Setup!$B$6="primary","",IFERROR(IF(INDEX('Primary_snapshot'!$D$2:$D$120,MATCH(C117,'Primary_snapshot'!$A$2:$A$120,0))="","",INDEX('Primary_snapshot'!$D$2:$D$120,MATCH(C117,'Primary_snapshot'!$A$2:$A$120,0))),"SNAPSHOT MISSING"))</x:f>
      </x:c>
      <x:c r="N117" s="3" t="str">
        <x:f>IF(Setup!$B$6="primary","",IFERROR(IF(INDEX('Primary_snapshot'!$E$2:$E$120,MATCH(C117,'Primary_snapshot'!$A$2:$A$120,0))="","",INDEX('Primary_snapshot'!$E$2:$E$120,MATCH(C117,'Primary_snapshot'!$A$2:$A$120,0))),"SNAPSHOT MISSING"))</x:f>
      </x:c>
      <x:c r="O117" s="3" t="str">
        <x:f>IF(Setup!$B$6="primary","",IFERROR(IF(INDEX('Primary_snapshot'!$F$2:$F$120,MATCH(C117,'Primary_snapshot'!$A$2:$A$120,0))="","",INDEX('Primary_snapshot'!$F$2:$F$120,MATCH(C117,'Primary_snapshot'!$A$2:$A$120,0))),"SNAPSHOT MISSING"))</x:f>
      </x:c>
      <x:c r="P117" s="3" t="str">
        <x:f>IF(Setup!$B$6="primary","",IFERROR(IF(INDEX('Primary_snapshot'!$G$2:$G$120,MATCH(C117,'Primary_snapshot'!$A$2:$A$120,0))="","",INDEX('Primary_snapshot'!$G$2:$G$120,MATCH(C117,'Primary_snapshot'!$A$2:$A$120,0))),"SNAPSHOT MISSING"))</x:f>
      </x:c>
      <x:c r="Q117" s="3" t="str">
        <x:f>IF(Setup!$B$6="primary","",IFERROR(IF(INDEX('Primary_snapshot'!$H$2:$H$120,MATCH(C117,'Primary_snapshot'!$A$2:$A$120,0))="","",INDEX('Primary_snapshot'!$H$2:$H$120,MATCH(C117,'Primary_snapshot'!$A$2:$A$120,0))),"SNAPSHOT MISSING"))</x:f>
      </x:c>
      <x:c r="R117" s="3" t="str">
        <x:f>IF(Setup!$B$6="primary","",IFERROR(IF(INDEX('Primary_snapshot'!$I$2:$I$120,MATCH(C117,'Primary_snapshot'!$A$2:$A$120,0))="","",INDEX('Primary_snapshot'!$I$2:$I$120,MATCH(C117,'Primary_snapshot'!$A$2:$A$120,0))),"SNAPSHOT MISSING"))</x:f>
      </x:c>
      <x:c r="S117" s="3" t="str">
        <x:f>IF(INDEX('C_jama.2018.9128'!$D$2:$D$14,MATCH("2018::jama.2018.9128::C010",'C_jama.2018.9128'!$A$2:$A$14,0))="","",INDEX('C_jama.2018.9128'!$D$2:$D$14,MATCH("2018::jama.2018.9128::C010",'C_jama.2018.9128'!$A$2:$A$14,0)))</x:f>
      </x:c>
      <x:c r="T117" s="3" t="str">
        <x:f>IF(INDEX('C_jama.2018.9128'!$E$2:$E$14,MATCH("2018::jama.2018.9128::C010",'C_jama.2018.9128'!$A$2:$A$14,0))="","",INDEX('C_jama.2018.9128'!$E$2:$E$14,MATCH("2018::jama.2018.9128::C010",'C_jama.2018.9128'!$A$2:$A$14,0)))</x:f>
        <x:v>plan_material</x:v>
      </x:c>
      <x:c r="U117" s="3" t="str">
        <x:f>IF(AND(INDEX('C_jama.2018.9128'!$D$2:$D$14,MATCH("2018::jama.2018.9128::C010",'C_jama.2018.9128'!$A$2:$A$14,0))="retain",INDEX('C_jama.2018.9128'!$E$2:$E$14,MATCH("2018::jama.2018.9128::C010",'C_jama.2018.9128'!$A$2:$A$14,0))="statistical_results"),IF(INDEX('C_jama.2018.9128'!$H$2:$H$14,MATCH("2018::jama.2018.9128::C010",'C_jama.2018.9128'!$A$2:$A$14,0))="","",INDEX('C_jama.2018.9128'!$H$2:$H$14,MATCH("2018::jama.2018.9128::C010",'C_jama.2018.9128'!$A$2:$A$14,0))),"not_applicable")</x:f>
        <x:v>not_applicable</x:v>
      </x:c>
      <x:c r="V117" s="3" t="str">
        <x:f>IF(AND(INDEX('C_jama.2018.9128'!$D$2:$D$14,MATCH("2018::jama.2018.9128::C010",'C_jama.2018.9128'!$A$2:$A$14,0))="retain",INDEX('C_jama.2018.9128'!$E$2:$E$14,MATCH("2018::jama.2018.9128::C010",'C_jama.2018.9128'!$A$2:$A$14,0))="statistical_results"),IF(INDEX('C_jama.2018.9128'!$I$2:$I$14,MATCH("2018::jama.2018.9128::C010",'C_jama.2018.9128'!$A$2:$A$14,0))="","",INDEX('C_jama.2018.9128'!$I$2:$I$14,MATCH("2018::jama.2018.9128::C010",'C_jama.2018.9128'!$A$2:$A$14,0))),"not_applicable")</x:f>
        <x:v>not_applicable</x:v>
      </x:c>
      <x:c r="W117" s="3" t="str">
        <x:f>IF(AND(INDEX('C_jama.2018.9128'!$D$2:$D$14,MATCH("2018::jama.2018.9128::C010",'C_jama.2018.9128'!$A$2:$A$14,0))="retain",INDEX('C_jama.2018.9128'!$E$2:$E$14,MATCH("2018::jama.2018.9128::C010",'C_jama.2018.9128'!$A$2:$A$14,0))="statistical_results"),IF(INDEX('C_jama.2018.9128'!$J$2:$J$14,MATCH("2018::jama.2018.9128::C010",'C_jama.2018.9128'!$A$2:$A$14,0))="","",INDEX('C_jama.2018.9128'!$J$2:$J$14,MATCH("2018::jama.2018.9128::C010",'C_jama.2018.9128'!$A$2:$A$14,0))),"not_applicable")</x:f>
        <x:v>not_applicable</x:v>
      </x:c>
      <x:c r="X117" s="3" t="str">
        <x:f>IF(AND(INDEX('C_jama.2018.9128'!$D$2:$D$14,MATCH("2018::jama.2018.9128::C010",'C_jama.2018.9128'!$A$2:$A$14,0))="retain",OR(INDEX('C_jama.2018.9128'!$E$2:$E$14,MATCH("2018::jama.2018.9128::C010",'C_jama.2018.9128'!$A$2:$A$14,0))="report_internal_inconsistency",INDEX('C_jama.2018.9128'!$E$2:$E$14,MATCH("2018::jama.2018.9128::C010",'C_jama.2018.9128'!$A$2:$A$14,0))="plan_material")),IF(INDEX('C_jama.2018.9128'!$K$2:$K$14,MATCH("2018::jama.2018.9128::C010",'C_jama.2018.9128'!$A$2:$A$14,0))="","",INDEX('C_jama.2018.9128'!$K$2:$K$14,MATCH("2018::jama.2018.9128::C010",'C_jama.2018.9128'!$A$2:$A$14,0))),"not_applicable")</x:f>
        <x:v>not_applicable</x:v>
      </x:c>
      <x:c r="Y117" s="3" t="str">
        <x:f>IF(AND(INDEX('C_jama.2018.9128'!$D$2:$D$14,MATCH("2018::jama.2018.9128::C010",'C_jama.2018.9128'!$A$2:$A$14,0))="retain",INDEX('C_jama.2018.9128'!$E$2:$E$14,MATCH("2018::jama.2018.9128::C010",'C_jama.2018.9128'!$A$2:$A$14,0))="protocol_report"),IF(INDEX('C_jama.2018.9128'!$L$2:$L$14,MATCH("2018::jama.2018.9128::C010",'C_jama.2018.9128'!$A$2:$A$14,0))="","",INDEX('C_jama.2018.9128'!$L$2:$L$14,MATCH("2018::jama.2018.9128::C010",'C_jama.2018.9128'!$A$2:$A$14,0))),"not_applicable")</x:f>
        <x:v>not_applicable</x:v>
      </x:c>
      <x:c r="Z117" s="3" t="str">
        <x:f>IF(INDEX('C_jama.2018.9128'!$R$2:$R$14,MATCH("2018::jama.2018.9128::C010",'C_jama.2018.9128'!$A$2:$A$14,0))="","",INDEX('C_jama.2018.9128'!$R$2:$R$14,MATCH("2018::jama.2018.9128::C010",'C_jama.2018.9128'!$A$2:$A$14,0)))</x:f>
      </x:c>
      <x:c r="AA117" s="3" t="str">
        <x:f>IF(INDEX('C_jama.2018.9128'!$N$2:$N$14,MATCH("2018::jama.2018.9128::C010",'C_jama.2018.9128'!$A$2:$A$14,0))="","",INDEX('C_jama.2018.9128'!$N$2:$N$14,MATCH("2018::jama.2018.9128::C010",'C_jama.2018.9128'!$A$2:$A$14,0)))</x:f>
      </x:c>
      <x:c r="AB117" s="3" t="str">
        <x:f>IF(INDEX('C_jama.2018.9128'!$O$2:$O$14,MATCH("2018::jama.2018.9128::C010",'C_jama.2018.9128'!$A$2:$A$14,0))="","",INDEX('C_jama.2018.9128'!$O$2:$O$14,MATCH("2018::jama.2018.9128::C010",'C_jama.2018.9128'!$A$2:$A$14,0)))</x:f>
      </x:c>
      <x:c r="AC117" s="3" t="str">
        <x:f>IF(INDEX('C_jama.2018.9128'!$P$2:$P$14,MATCH("2018::jama.2018.9128::C010",'C_jama.2018.9128'!$A$2:$A$14,0))="","",INDEX('C_jama.2018.9128'!$P$2:$P$14,MATCH("2018::jama.2018.9128::C010",'C_jama.2018.9128'!$A$2:$A$14,0)))</x:f>
      </x:c>
      <x:c r="AD117" s="3" t="str">
        <x:f>IF(INDEX('C_jama.2018.9128'!$Q$2:$Q$14,MATCH("2018::jama.2018.9128::C010",'C_jama.2018.9128'!$A$2:$A$14,0))="","",INDEX('C_jama.2018.9128'!$Q$2:$Q$14,MATCH("2018::jama.2018.9128::C010",'C_jama.2018.9128'!$A$2:$A$14,0)))</x:f>
      </x:c>
    </x:row>
    <x:row r="118" ht="65" customHeight="1">
      <x:c r="A118" s="6" t="n">
        <x:v>2018</x:v>
      </x:c>
      <x:c r="B118" s="6" t="str">
        <x:v>jama.2018.9128</x:v>
      </x:c>
      <x:c r="C118" s="6" t="str">
        <x:v>2018::jama.2018.9128::C011</x:v>
      </x:c>
      <x:c r="D118" s="6" t="str">
        <x:v>P_R</x:v>
      </x:c>
      <x:c r="E118" s="6" t="n">
        <x:f>Setup!$B$2</x:f>
        <x:v>0</x:v>
      </x:c>
      <x:c r="F118" s="6" t="str">
        <x:f>IF(Setup!$B$4="","",Setup!$B$4)</x:f>
      </x:c>
      <x:c r="G118" s="6" t="str">
        <x:f>IFERROR(INDEX('C_jama.2018.9128'!$G$2:$G$14,MATCH("2018::jama.2018.9128::C011",'C_jama.2018.9128'!$A$2:$A$14,0)),"CHECK KEY")</x:f>
        <x:v>CHECK REVIEWER IDs</x:v>
      </x:c>
      <x:c r="H118" s="6" t="str">
        <x:f>IF(G118&lt;&gt;"FINAL READY","",IF(S118&lt;&gt;"retain","not_eligible",IF(D118="P_R","protocol_descriptive",IF(D118="P_P","plan_descriptive",IF(AND(T118="statistical_results",OR(U118="confirmed_issue",U118="probable_issue"),V118="substantive"),"primary_temporal",IF(AND(T118="report_internal_inconsistency",X118="substantive_inconsistency"),"secondary_temporal","not_eligible"))))))</x:f>
      </x:c>
      <x:c r="I118" s="6" t="str">
        <x:v>retain</x:v>
      </x:c>
      <x:c r="J118" s="6" t="str">
        <x:v>protocol_report</x:v>
      </x:c>
      <x:c r="K118" s="6" t="str">
        <x:f>IF(Setup!$B$6="primary","",IFERROR(IF(INDEX('Primary_snapshot'!$B$2:$B$120,MATCH(C118,'Primary_snapshot'!$A$2:$A$120,0))="","",INDEX('Primary_snapshot'!$B$2:$B$120,MATCH(C118,'Primary_snapshot'!$A$2:$A$120,0))),"SNAPSHOT MISSING"))</x:f>
      </x:c>
      <x:c r="L118" s="6" t="str">
        <x:f>IF(Setup!$B$6="primary","",IFERROR(IF(INDEX('Primary_snapshot'!$C$2:$C$120,MATCH(C118,'Primary_snapshot'!$A$2:$A$120,0))="","",INDEX('Primary_snapshot'!$C$2:$C$120,MATCH(C118,'Primary_snapshot'!$A$2:$A$120,0))),"SNAPSHOT MISSING"))</x:f>
      </x:c>
      <x:c r="M118" s="6" t="str">
        <x:f>IF(Setup!$B$6="primary","",IFERROR(IF(INDEX('Primary_snapshot'!$D$2:$D$120,MATCH(C118,'Primary_snapshot'!$A$2:$A$120,0))="","",INDEX('Primary_snapshot'!$D$2:$D$120,MATCH(C118,'Primary_snapshot'!$A$2:$A$120,0))),"SNAPSHOT MISSING"))</x:f>
      </x:c>
      <x:c r="N118" s="6" t="str">
        <x:f>IF(Setup!$B$6="primary","",IFERROR(IF(INDEX('Primary_snapshot'!$E$2:$E$120,MATCH(C118,'Primary_snapshot'!$A$2:$A$120,0))="","",INDEX('Primary_snapshot'!$E$2:$E$120,MATCH(C118,'Primary_snapshot'!$A$2:$A$120,0))),"SNAPSHOT MISSING"))</x:f>
      </x:c>
      <x:c r="O118" s="6" t="str">
        <x:f>IF(Setup!$B$6="primary","",IFERROR(IF(INDEX('Primary_snapshot'!$F$2:$F$120,MATCH(C118,'Primary_snapshot'!$A$2:$A$120,0))="","",INDEX('Primary_snapshot'!$F$2:$F$120,MATCH(C118,'Primary_snapshot'!$A$2:$A$120,0))),"SNAPSHOT MISSING"))</x:f>
      </x:c>
      <x:c r="P118" s="6" t="str">
        <x:f>IF(Setup!$B$6="primary","",IFERROR(IF(INDEX('Primary_snapshot'!$G$2:$G$120,MATCH(C118,'Primary_snapshot'!$A$2:$A$120,0))="","",INDEX('Primary_snapshot'!$G$2:$G$120,MATCH(C118,'Primary_snapshot'!$A$2:$A$120,0))),"SNAPSHOT MISSING"))</x:f>
      </x:c>
      <x:c r="Q118" s="6" t="str">
        <x:f>IF(Setup!$B$6="primary","",IFERROR(IF(INDEX('Primary_snapshot'!$H$2:$H$120,MATCH(C118,'Primary_snapshot'!$A$2:$A$120,0))="","",INDEX('Primary_snapshot'!$H$2:$H$120,MATCH(C118,'Primary_snapshot'!$A$2:$A$120,0))),"SNAPSHOT MISSING"))</x:f>
      </x:c>
      <x:c r="R118" s="6" t="str">
        <x:f>IF(Setup!$B$6="primary","",IFERROR(IF(INDEX('Primary_snapshot'!$I$2:$I$120,MATCH(C118,'Primary_snapshot'!$A$2:$A$120,0))="","",INDEX('Primary_snapshot'!$I$2:$I$120,MATCH(C118,'Primary_snapshot'!$A$2:$A$120,0))),"SNAPSHOT MISSING"))</x:f>
      </x:c>
      <x:c r="S118" s="6" t="str">
        <x:f>IF(INDEX('C_jama.2018.9128'!$D$2:$D$14,MATCH("2018::jama.2018.9128::C011",'C_jama.2018.9128'!$A$2:$A$14,0))="","",INDEX('C_jama.2018.9128'!$D$2:$D$14,MATCH("2018::jama.2018.9128::C011",'C_jama.2018.9128'!$A$2:$A$14,0)))</x:f>
      </x:c>
      <x:c r="T118" s="6" t="str">
        <x:f>IF(INDEX('C_jama.2018.9128'!$E$2:$E$14,MATCH("2018::jama.2018.9128::C011",'C_jama.2018.9128'!$A$2:$A$14,0))="","",INDEX('C_jama.2018.9128'!$E$2:$E$14,MATCH("2018::jama.2018.9128::C011",'C_jama.2018.9128'!$A$2:$A$14,0)))</x:f>
        <x:v>protocol_report</x:v>
      </x:c>
      <x:c r="U118" s="6" t="str">
        <x:f>IF(AND(INDEX('C_jama.2018.9128'!$D$2:$D$14,MATCH("2018::jama.2018.9128::C011",'C_jama.2018.9128'!$A$2:$A$14,0))="retain",INDEX('C_jama.2018.9128'!$E$2:$E$14,MATCH("2018::jama.2018.9128::C011",'C_jama.2018.9128'!$A$2:$A$14,0))="statistical_results"),IF(INDEX('C_jama.2018.9128'!$H$2:$H$14,MATCH("2018::jama.2018.9128::C011",'C_jama.2018.9128'!$A$2:$A$14,0))="","",INDEX('C_jama.2018.9128'!$H$2:$H$14,MATCH("2018::jama.2018.9128::C011",'C_jama.2018.9128'!$A$2:$A$14,0))),"not_applicable")</x:f>
        <x:v>not_applicable</x:v>
      </x:c>
      <x:c r="V118" s="6" t="str">
        <x:f>IF(AND(INDEX('C_jama.2018.9128'!$D$2:$D$14,MATCH("2018::jama.2018.9128::C011",'C_jama.2018.9128'!$A$2:$A$14,0))="retain",INDEX('C_jama.2018.9128'!$E$2:$E$14,MATCH("2018::jama.2018.9128::C011",'C_jama.2018.9128'!$A$2:$A$14,0))="statistical_results"),IF(INDEX('C_jama.2018.9128'!$I$2:$I$14,MATCH("2018::jama.2018.9128::C011",'C_jama.2018.9128'!$A$2:$A$14,0))="","",INDEX('C_jama.2018.9128'!$I$2:$I$14,MATCH("2018::jama.2018.9128::C011",'C_jama.2018.9128'!$A$2:$A$14,0))),"not_applicable")</x:f>
        <x:v>not_applicable</x:v>
      </x:c>
      <x:c r="W118" s="6" t="str">
        <x:f>IF(AND(INDEX('C_jama.2018.9128'!$D$2:$D$14,MATCH("2018::jama.2018.9128::C011",'C_jama.2018.9128'!$A$2:$A$14,0))="retain",INDEX('C_jama.2018.9128'!$E$2:$E$14,MATCH("2018::jama.2018.9128::C011",'C_jama.2018.9128'!$A$2:$A$14,0))="statistical_results"),IF(INDEX('C_jama.2018.9128'!$J$2:$J$14,MATCH("2018::jama.2018.9128::C011",'C_jama.2018.9128'!$A$2:$A$14,0))="","",INDEX('C_jama.2018.9128'!$J$2:$J$14,MATCH("2018::jama.2018.9128::C011",'C_jama.2018.9128'!$A$2:$A$14,0))),"not_applicable")</x:f>
        <x:v>not_applicable</x:v>
      </x:c>
      <x:c r="X118" s="6" t="str">
        <x:f>IF(AND(INDEX('C_jama.2018.9128'!$D$2:$D$14,MATCH("2018::jama.2018.9128::C011",'C_jama.2018.9128'!$A$2:$A$14,0))="retain",OR(INDEX('C_jama.2018.9128'!$E$2:$E$14,MATCH("2018::jama.2018.9128::C011",'C_jama.2018.9128'!$A$2:$A$14,0))="report_internal_inconsistency",INDEX('C_jama.2018.9128'!$E$2:$E$14,MATCH("2018::jama.2018.9128::C011",'C_jama.2018.9128'!$A$2:$A$14,0))="plan_material")),IF(INDEX('C_jama.2018.9128'!$K$2:$K$14,MATCH("2018::jama.2018.9128::C011",'C_jama.2018.9128'!$A$2:$A$14,0))="","",INDEX('C_jama.2018.9128'!$K$2:$K$14,MATCH("2018::jama.2018.9128::C011",'C_jama.2018.9128'!$A$2:$A$14,0))),"not_applicable")</x:f>
        <x:v>not_applicable</x:v>
      </x:c>
      <x:c r="Y118" s="6" t="str">
        <x:f>IF(AND(INDEX('C_jama.2018.9128'!$D$2:$D$14,MATCH("2018::jama.2018.9128::C011",'C_jama.2018.9128'!$A$2:$A$14,0))="retain",INDEX('C_jama.2018.9128'!$E$2:$E$14,MATCH("2018::jama.2018.9128::C011",'C_jama.2018.9128'!$A$2:$A$14,0))="protocol_report"),IF(INDEX('C_jama.2018.9128'!$L$2:$L$14,MATCH("2018::jama.2018.9128::C011",'C_jama.2018.9128'!$A$2:$A$14,0))="","",INDEX('C_jama.2018.9128'!$L$2:$L$14,MATCH("2018::jama.2018.9128::C011",'C_jama.2018.9128'!$A$2:$A$14,0))),"not_applicable")</x:f>
        <x:v>not_applicable</x:v>
      </x:c>
      <x:c r="Z118" s="6" t="str">
        <x:f>IF(INDEX('C_jama.2018.9128'!$R$2:$R$14,MATCH("2018::jama.2018.9128::C011",'C_jama.2018.9128'!$A$2:$A$14,0))="","",INDEX('C_jama.2018.9128'!$R$2:$R$14,MATCH("2018::jama.2018.9128::C011",'C_jama.2018.9128'!$A$2:$A$14,0)))</x:f>
      </x:c>
      <x:c r="AA118" s="6" t="str">
        <x:f>IF(INDEX('C_jama.2018.9128'!$N$2:$N$14,MATCH("2018::jama.2018.9128::C011",'C_jama.2018.9128'!$A$2:$A$14,0))="","",INDEX('C_jama.2018.9128'!$N$2:$N$14,MATCH("2018::jama.2018.9128::C011",'C_jama.2018.9128'!$A$2:$A$14,0)))</x:f>
      </x:c>
      <x:c r="AB118" s="6" t="str">
        <x:f>IF(INDEX('C_jama.2018.9128'!$O$2:$O$14,MATCH("2018::jama.2018.9128::C011",'C_jama.2018.9128'!$A$2:$A$14,0))="","",INDEX('C_jama.2018.9128'!$O$2:$O$14,MATCH("2018::jama.2018.9128::C011",'C_jama.2018.9128'!$A$2:$A$14,0)))</x:f>
      </x:c>
      <x:c r="AC118" s="6" t="str">
        <x:f>IF(INDEX('C_jama.2018.9128'!$P$2:$P$14,MATCH("2018::jama.2018.9128::C011",'C_jama.2018.9128'!$A$2:$A$14,0))="","",INDEX('C_jama.2018.9128'!$P$2:$P$14,MATCH("2018::jama.2018.9128::C011",'C_jama.2018.9128'!$A$2:$A$14,0)))</x:f>
      </x:c>
      <x:c r="AD118" s="6" t="str">
        <x:f>IF(INDEX('C_jama.2018.9128'!$Q$2:$Q$14,MATCH("2018::jama.2018.9128::C011",'C_jama.2018.9128'!$A$2:$A$14,0))="","",INDEX('C_jama.2018.9128'!$Q$2:$Q$14,MATCH("2018::jama.2018.9128::C011",'C_jama.2018.9128'!$A$2:$A$14,0)))</x:f>
      </x:c>
    </x:row>
    <x:row r="119" ht="65" customHeight="1">
      <x:c r="A119" s="3" t="n">
        <x:v>2018</x:v>
      </x:c>
      <x:c r="B119" s="3" t="str">
        <x:v>jama.2018.9128</x:v>
      </x:c>
      <x:c r="C119" s="3" t="str">
        <x:v>2018::jama.2018.9128::C012</x:v>
      </x:c>
      <x:c r="D119" s="3" t="str">
        <x:v>P_R</x:v>
      </x:c>
      <x:c r="E119" s="3" t="n">
        <x:f>Setup!$B$2</x:f>
        <x:v>0</x:v>
      </x:c>
      <x:c r="F119" s="3" t="str">
        <x:f>IF(Setup!$B$4="","",Setup!$B$4)</x:f>
      </x:c>
      <x:c r="G119" s="3" t="str">
        <x:f>IFERROR(INDEX('C_jama.2018.9128'!$G$2:$G$14,MATCH("2018::jama.2018.9128::C012",'C_jama.2018.9128'!$A$2:$A$14,0)),"CHECK KEY")</x:f>
        <x:v>CHECK REVIEWER IDs</x:v>
      </x:c>
      <x:c r="H119" s="3" t="str">
        <x:f>IF(G119&lt;&gt;"FINAL READY","",IF(S119&lt;&gt;"retain","not_eligible",IF(D119="P_R","protocol_descriptive",IF(D119="P_P","plan_descriptive",IF(AND(T119="statistical_results",OR(U119="confirmed_issue",U119="probable_issue"),V119="substantive"),"primary_temporal",IF(AND(T119="report_internal_inconsistency",X119="substantive_inconsistency"),"secondary_temporal","not_eligible"))))))</x:f>
      </x:c>
      <x:c r="I119" s="3" t="str">
        <x:v>retain</x:v>
      </x:c>
      <x:c r="J119" s="3" t="str">
        <x:v>protocol_report</x:v>
      </x:c>
      <x:c r="K119" s="3" t="str">
        <x:f>IF(Setup!$B$6="primary","",IFERROR(IF(INDEX('Primary_snapshot'!$B$2:$B$120,MATCH(C119,'Primary_snapshot'!$A$2:$A$120,0))="","",INDEX('Primary_snapshot'!$B$2:$B$120,MATCH(C119,'Primary_snapshot'!$A$2:$A$120,0))),"SNAPSHOT MISSING"))</x:f>
      </x:c>
      <x:c r="L119" s="3" t="str">
        <x:f>IF(Setup!$B$6="primary","",IFERROR(IF(INDEX('Primary_snapshot'!$C$2:$C$120,MATCH(C119,'Primary_snapshot'!$A$2:$A$120,0))="","",INDEX('Primary_snapshot'!$C$2:$C$120,MATCH(C119,'Primary_snapshot'!$A$2:$A$120,0))),"SNAPSHOT MISSING"))</x:f>
      </x:c>
      <x:c r="M119" s="3" t="str">
        <x:f>IF(Setup!$B$6="primary","",IFERROR(IF(INDEX('Primary_snapshot'!$D$2:$D$120,MATCH(C119,'Primary_snapshot'!$A$2:$A$120,0))="","",INDEX('Primary_snapshot'!$D$2:$D$120,MATCH(C119,'Primary_snapshot'!$A$2:$A$120,0))),"SNAPSHOT MISSING"))</x:f>
      </x:c>
      <x:c r="N119" s="3" t="str">
        <x:f>IF(Setup!$B$6="primary","",IFERROR(IF(INDEX('Primary_snapshot'!$E$2:$E$120,MATCH(C119,'Primary_snapshot'!$A$2:$A$120,0))="","",INDEX('Primary_snapshot'!$E$2:$E$120,MATCH(C119,'Primary_snapshot'!$A$2:$A$120,0))),"SNAPSHOT MISSING"))</x:f>
      </x:c>
      <x:c r="O119" s="3" t="str">
        <x:f>IF(Setup!$B$6="primary","",IFERROR(IF(INDEX('Primary_snapshot'!$F$2:$F$120,MATCH(C119,'Primary_snapshot'!$A$2:$A$120,0))="","",INDEX('Primary_snapshot'!$F$2:$F$120,MATCH(C119,'Primary_snapshot'!$A$2:$A$120,0))),"SNAPSHOT MISSING"))</x:f>
      </x:c>
      <x:c r="P119" s="3" t="str">
        <x:f>IF(Setup!$B$6="primary","",IFERROR(IF(INDEX('Primary_snapshot'!$G$2:$G$120,MATCH(C119,'Primary_snapshot'!$A$2:$A$120,0))="","",INDEX('Primary_snapshot'!$G$2:$G$120,MATCH(C119,'Primary_snapshot'!$A$2:$A$120,0))),"SNAPSHOT MISSING"))</x:f>
      </x:c>
      <x:c r="Q119" s="3" t="str">
        <x:f>IF(Setup!$B$6="primary","",IFERROR(IF(INDEX('Primary_snapshot'!$H$2:$H$120,MATCH(C119,'Primary_snapshot'!$A$2:$A$120,0))="","",INDEX('Primary_snapshot'!$H$2:$H$120,MATCH(C119,'Primary_snapshot'!$A$2:$A$120,0))),"SNAPSHOT MISSING"))</x:f>
      </x:c>
      <x:c r="R119" s="3" t="str">
        <x:f>IF(Setup!$B$6="primary","",IFERROR(IF(INDEX('Primary_snapshot'!$I$2:$I$120,MATCH(C119,'Primary_snapshot'!$A$2:$A$120,0))="","",INDEX('Primary_snapshot'!$I$2:$I$120,MATCH(C119,'Primary_snapshot'!$A$2:$A$120,0))),"SNAPSHOT MISSING"))</x:f>
      </x:c>
      <x:c r="S119" s="3" t="str">
        <x:f>IF(INDEX('C_jama.2018.9128'!$D$2:$D$14,MATCH("2018::jama.2018.9128::C012",'C_jama.2018.9128'!$A$2:$A$14,0))="","",INDEX('C_jama.2018.9128'!$D$2:$D$14,MATCH("2018::jama.2018.9128::C012",'C_jama.2018.9128'!$A$2:$A$14,0)))</x:f>
      </x:c>
      <x:c r="T119" s="3" t="str">
        <x:f>IF(INDEX('C_jama.2018.9128'!$E$2:$E$14,MATCH("2018::jama.2018.9128::C012",'C_jama.2018.9128'!$A$2:$A$14,0))="","",INDEX('C_jama.2018.9128'!$E$2:$E$14,MATCH("2018::jama.2018.9128::C012",'C_jama.2018.9128'!$A$2:$A$14,0)))</x:f>
        <x:v>protocol_report</x:v>
      </x:c>
      <x:c r="U119" s="3" t="str">
        <x:f>IF(AND(INDEX('C_jama.2018.9128'!$D$2:$D$14,MATCH("2018::jama.2018.9128::C012",'C_jama.2018.9128'!$A$2:$A$14,0))="retain",INDEX('C_jama.2018.9128'!$E$2:$E$14,MATCH("2018::jama.2018.9128::C012",'C_jama.2018.9128'!$A$2:$A$14,0))="statistical_results"),IF(INDEX('C_jama.2018.9128'!$H$2:$H$14,MATCH("2018::jama.2018.9128::C012",'C_jama.2018.9128'!$A$2:$A$14,0))="","",INDEX('C_jama.2018.9128'!$H$2:$H$14,MATCH("2018::jama.2018.9128::C012",'C_jama.2018.9128'!$A$2:$A$14,0))),"not_applicable")</x:f>
        <x:v>not_applicable</x:v>
      </x:c>
      <x:c r="V119" s="3" t="str">
        <x:f>IF(AND(INDEX('C_jama.2018.9128'!$D$2:$D$14,MATCH("2018::jama.2018.9128::C012",'C_jama.2018.9128'!$A$2:$A$14,0))="retain",INDEX('C_jama.2018.9128'!$E$2:$E$14,MATCH("2018::jama.2018.9128::C012",'C_jama.2018.9128'!$A$2:$A$14,0))="statistical_results"),IF(INDEX('C_jama.2018.9128'!$I$2:$I$14,MATCH("2018::jama.2018.9128::C012",'C_jama.2018.9128'!$A$2:$A$14,0))="","",INDEX('C_jama.2018.9128'!$I$2:$I$14,MATCH("2018::jama.2018.9128::C012",'C_jama.2018.9128'!$A$2:$A$14,0))),"not_applicable")</x:f>
        <x:v>not_applicable</x:v>
      </x:c>
      <x:c r="W119" s="3" t="str">
        <x:f>IF(AND(INDEX('C_jama.2018.9128'!$D$2:$D$14,MATCH("2018::jama.2018.9128::C012",'C_jama.2018.9128'!$A$2:$A$14,0))="retain",INDEX('C_jama.2018.9128'!$E$2:$E$14,MATCH("2018::jama.2018.9128::C012",'C_jama.2018.9128'!$A$2:$A$14,0))="statistical_results"),IF(INDEX('C_jama.2018.9128'!$J$2:$J$14,MATCH("2018::jama.2018.9128::C012",'C_jama.2018.9128'!$A$2:$A$14,0))="","",INDEX('C_jama.2018.9128'!$J$2:$J$14,MATCH("2018::jama.2018.9128::C012",'C_jama.2018.9128'!$A$2:$A$14,0))),"not_applicable")</x:f>
        <x:v>not_applicable</x:v>
      </x:c>
      <x:c r="X119" s="3" t="str">
        <x:f>IF(AND(INDEX('C_jama.2018.9128'!$D$2:$D$14,MATCH("2018::jama.2018.9128::C012",'C_jama.2018.9128'!$A$2:$A$14,0))="retain",OR(INDEX('C_jama.2018.9128'!$E$2:$E$14,MATCH("2018::jama.2018.9128::C012",'C_jama.2018.9128'!$A$2:$A$14,0))="report_internal_inconsistency",INDEX('C_jama.2018.9128'!$E$2:$E$14,MATCH("2018::jama.2018.9128::C012",'C_jama.2018.9128'!$A$2:$A$14,0))="plan_material")),IF(INDEX('C_jama.2018.9128'!$K$2:$K$14,MATCH("2018::jama.2018.9128::C012",'C_jama.2018.9128'!$A$2:$A$14,0))="","",INDEX('C_jama.2018.9128'!$K$2:$K$14,MATCH("2018::jama.2018.9128::C012",'C_jama.2018.9128'!$A$2:$A$14,0))),"not_applicable")</x:f>
        <x:v>not_applicable</x:v>
      </x:c>
      <x:c r="Y119" s="3" t="str">
        <x:f>IF(AND(INDEX('C_jama.2018.9128'!$D$2:$D$14,MATCH("2018::jama.2018.9128::C012",'C_jama.2018.9128'!$A$2:$A$14,0))="retain",INDEX('C_jama.2018.9128'!$E$2:$E$14,MATCH("2018::jama.2018.9128::C012",'C_jama.2018.9128'!$A$2:$A$14,0))="protocol_report"),IF(INDEX('C_jama.2018.9128'!$L$2:$L$14,MATCH("2018::jama.2018.9128::C012",'C_jama.2018.9128'!$A$2:$A$14,0))="","",INDEX('C_jama.2018.9128'!$L$2:$L$14,MATCH("2018::jama.2018.9128::C012",'C_jama.2018.9128'!$A$2:$A$14,0))),"not_applicable")</x:f>
        <x:v>not_applicable</x:v>
      </x:c>
      <x:c r="Z119" s="3" t="str">
        <x:f>IF(INDEX('C_jama.2018.9128'!$R$2:$R$14,MATCH("2018::jama.2018.9128::C012",'C_jama.2018.9128'!$A$2:$A$14,0))="","",INDEX('C_jama.2018.9128'!$R$2:$R$14,MATCH("2018::jama.2018.9128::C012",'C_jama.2018.9128'!$A$2:$A$14,0)))</x:f>
      </x:c>
      <x:c r="AA119" s="3" t="str">
        <x:f>IF(INDEX('C_jama.2018.9128'!$N$2:$N$14,MATCH("2018::jama.2018.9128::C012",'C_jama.2018.9128'!$A$2:$A$14,0))="","",INDEX('C_jama.2018.9128'!$N$2:$N$14,MATCH("2018::jama.2018.9128::C012",'C_jama.2018.9128'!$A$2:$A$14,0)))</x:f>
      </x:c>
      <x:c r="AB119" s="3" t="str">
        <x:f>IF(INDEX('C_jama.2018.9128'!$O$2:$O$14,MATCH("2018::jama.2018.9128::C012",'C_jama.2018.9128'!$A$2:$A$14,0))="","",INDEX('C_jama.2018.9128'!$O$2:$O$14,MATCH("2018::jama.2018.9128::C012",'C_jama.2018.9128'!$A$2:$A$14,0)))</x:f>
      </x:c>
      <x:c r="AC119" s="3" t="str">
        <x:f>IF(INDEX('C_jama.2018.9128'!$P$2:$P$14,MATCH("2018::jama.2018.9128::C012",'C_jama.2018.9128'!$A$2:$A$14,0))="","",INDEX('C_jama.2018.9128'!$P$2:$P$14,MATCH("2018::jama.2018.9128::C012",'C_jama.2018.9128'!$A$2:$A$14,0)))</x:f>
      </x:c>
      <x:c r="AD119" s="3" t="str">
        <x:f>IF(INDEX('C_jama.2018.9128'!$Q$2:$Q$14,MATCH("2018::jama.2018.9128::C012",'C_jama.2018.9128'!$A$2:$A$14,0))="","",INDEX('C_jama.2018.9128'!$Q$2:$Q$14,MATCH("2018::jama.2018.9128::C012",'C_jama.2018.9128'!$A$2:$A$14,0)))</x:f>
      </x:c>
    </x:row>
    <x:row r="120" ht="65" customHeight="1">
      <x:c r="A120" s="6" t="n">
        <x:v>2018</x:v>
      </x:c>
      <x:c r="B120" s="6" t="str">
        <x:v>jama.2018.9128</x:v>
      </x:c>
      <x:c r="C120" s="6" t="str">
        <x:v>2018::jama.2018.9128::C013</x:v>
      </x:c>
      <x:c r="D120" s="6" t="str">
        <x:v>S_C</x:v>
      </x:c>
      <x:c r="E120" s="6" t="n">
        <x:f>Setup!$B$2</x:f>
        <x:v>0</x:v>
      </x:c>
      <x:c r="F120" s="6" t="str">
        <x:f>IF(Setup!$B$4="","",Setup!$B$4)</x:f>
      </x:c>
      <x:c r="G120" s="6" t="str">
        <x:f>IFERROR(INDEX('C_jama.2018.9128'!$G$2:$G$14,MATCH("2018::jama.2018.9128::C013",'C_jama.2018.9128'!$A$2:$A$14,0)),"CHECK KEY")</x:f>
        <x:v>CHECK REVIEWER IDs</x:v>
      </x:c>
      <x:c r="H120" s="6" t="str">
        <x:f>IF(G120&lt;&gt;"FINAL READY","",IF(S120&lt;&gt;"retain","not_eligible",IF(D120="P_R","protocol_descriptive",IF(D120="P_P","plan_descriptive",IF(AND(T120="statistical_results",OR(U120="confirmed_issue",U120="probable_issue"),V120="substantive"),"primary_temporal",IF(AND(T120="report_internal_inconsistency",X120="substantive_inconsistency"),"secondary_temporal","not_eligible"))))))</x:f>
      </x:c>
      <x:c r="I120" s="6" t="str">
        <x:v>retain</x:v>
      </x:c>
      <x:c r="J120" s="6" t="str">
        <x:v>report_internal_inconsistency</x:v>
      </x:c>
      <x:c r="K120" s="6" t="str">
        <x:f>IF(Setup!$B$6="primary","",IFERROR(IF(INDEX('Primary_snapshot'!$B$2:$B$120,MATCH(C120,'Primary_snapshot'!$A$2:$A$120,0))="","",INDEX('Primary_snapshot'!$B$2:$B$120,MATCH(C120,'Primary_snapshot'!$A$2:$A$120,0))),"SNAPSHOT MISSING"))</x:f>
      </x:c>
      <x:c r="L120" s="6" t="str">
        <x:f>IF(Setup!$B$6="primary","",IFERROR(IF(INDEX('Primary_snapshot'!$C$2:$C$120,MATCH(C120,'Primary_snapshot'!$A$2:$A$120,0))="","",INDEX('Primary_snapshot'!$C$2:$C$120,MATCH(C120,'Primary_snapshot'!$A$2:$A$120,0))),"SNAPSHOT MISSING"))</x:f>
      </x:c>
      <x:c r="M120" s="6" t="str">
        <x:f>IF(Setup!$B$6="primary","",IFERROR(IF(INDEX('Primary_snapshot'!$D$2:$D$120,MATCH(C120,'Primary_snapshot'!$A$2:$A$120,0))="","",INDEX('Primary_snapshot'!$D$2:$D$120,MATCH(C120,'Primary_snapshot'!$A$2:$A$120,0))),"SNAPSHOT MISSING"))</x:f>
      </x:c>
      <x:c r="N120" s="6" t="str">
        <x:f>IF(Setup!$B$6="primary","",IFERROR(IF(INDEX('Primary_snapshot'!$E$2:$E$120,MATCH(C120,'Primary_snapshot'!$A$2:$A$120,0))="","",INDEX('Primary_snapshot'!$E$2:$E$120,MATCH(C120,'Primary_snapshot'!$A$2:$A$120,0))),"SNAPSHOT MISSING"))</x:f>
      </x:c>
      <x:c r="O120" s="6" t="str">
        <x:f>IF(Setup!$B$6="primary","",IFERROR(IF(INDEX('Primary_snapshot'!$F$2:$F$120,MATCH(C120,'Primary_snapshot'!$A$2:$A$120,0))="","",INDEX('Primary_snapshot'!$F$2:$F$120,MATCH(C120,'Primary_snapshot'!$A$2:$A$120,0))),"SNAPSHOT MISSING"))</x:f>
      </x:c>
      <x:c r="P120" s="6" t="str">
        <x:f>IF(Setup!$B$6="primary","",IFERROR(IF(INDEX('Primary_snapshot'!$G$2:$G$120,MATCH(C120,'Primary_snapshot'!$A$2:$A$120,0))="","",INDEX('Primary_snapshot'!$G$2:$G$120,MATCH(C120,'Primary_snapshot'!$A$2:$A$120,0))),"SNAPSHOT MISSING"))</x:f>
      </x:c>
      <x:c r="Q120" s="6" t="str">
        <x:f>IF(Setup!$B$6="primary","",IFERROR(IF(INDEX('Primary_snapshot'!$H$2:$H$120,MATCH(C120,'Primary_snapshot'!$A$2:$A$120,0))="","",INDEX('Primary_snapshot'!$H$2:$H$120,MATCH(C120,'Primary_snapshot'!$A$2:$A$120,0))),"SNAPSHOT MISSING"))</x:f>
      </x:c>
      <x:c r="R120" s="6" t="str">
        <x:f>IF(Setup!$B$6="primary","",IFERROR(IF(INDEX('Primary_snapshot'!$I$2:$I$120,MATCH(C120,'Primary_snapshot'!$A$2:$A$120,0))="","",INDEX('Primary_snapshot'!$I$2:$I$120,MATCH(C120,'Primary_snapshot'!$A$2:$A$120,0))),"SNAPSHOT MISSING"))</x:f>
      </x:c>
      <x:c r="S120" s="6" t="str">
        <x:f>IF(INDEX('C_jama.2018.9128'!$D$2:$D$14,MATCH("2018::jama.2018.9128::C013",'C_jama.2018.9128'!$A$2:$A$14,0))="","",INDEX('C_jama.2018.9128'!$D$2:$D$14,MATCH("2018::jama.2018.9128::C013",'C_jama.2018.9128'!$A$2:$A$14,0)))</x:f>
      </x:c>
      <x:c r="T120" s="6" t="str">
        <x:f>IF(INDEX('C_jama.2018.9128'!$E$2:$E$14,MATCH("2018::jama.2018.9128::C013",'C_jama.2018.9128'!$A$2:$A$14,0))="","",INDEX('C_jama.2018.9128'!$E$2:$E$14,MATCH("2018::jama.2018.9128::C013",'C_jama.2018.9128'!$A$2:$A$14,0)))</x:f>
        <x:v>report_internal_inconsistency</x:v>
      </x:c>
      <x:c r="U120" s="6" t="str">
        <x:f>IF(AND(INDEX('C_jama.2018.9128'!$D$2:$D$14,MATCH("2018::jama.2018.9128::C013",'C_jama.2018.9128'!$A$2:$A$14,0))="retain",INDEX('C_jama.2018.9128'!$E$2:$E$14,MATCH("2018::jama.2018.9128::C013",'C_jama.2018.9128'!$A$2:$A$14,0))="statistical_results"),IF(INDEX('C_jama.2018.9128'!$H$2:$H$14,MATCH("2018::jama.2018.9128::C013",'C_jama.2018.9128'!$A$2:$A$14,0))="","",INDEX('C_jama.2018.9128'!$H$2:$H$14,MATCH("2018::jama.2018.9128::C013",'C_jama.2018.9128'!$A$2:$A$14,0))),"not_applicable")</x:f>
        <x:v>not_applicable</x:v>
      </x:c>
      <x:c r="V120" s="6" t="str">
        <x:f>IF(AND(INDEX('C_jama.2018.9128'!$D$2:$D$14,MATCH("2018::jama.2018.9128::C013",'C_jama.2018.9128'!$A$2:$A$14,0))="retain",INDEX('C_jama.2018.9128'!$E$2:$E$14,MATCH("2018::jama.2018.9128::C013",'C_jama.2018.9128'!$A$2:$A$14,0))="statistical_results"),IF(INDEX('C_jama.2018.9128'!$I$2:$I$14,MATCH("2018::jama.2018.9128::C013",'C_jama.2018.9128'!$A$2:$A$14,0))="","",INDEX('C_jama.2018.9128'!$I$2:$I$14,MATCH("2018::jama.2018.9128::C013",'C_jama.2018.9128'!$A$2:$A$14,0))),"not_applicable")</x:f>
        <x:v>not_applicable</x:v>
      </x:c>
      <x:c r="W120" s="6" t="str">
        <x:f>IF(AND(INDEX('C_jama.2018.9128'!$D$2:$D$14,MATCH("2018::jama.2018.9128::C013",'C_jama.2018.9128'!$A$2:$A$14,0))="retain",INDEX('C_jama.2018.9128'!$E$2:$E$14,MATCH("2018::jama.2018.9128::C013",'C_jama.2018.9128'!$A$2:$A$14,0))="statistical_results"),IF(INDEX('C_jama.2018.9128'!$J$2:$J$14,MATCH("2018::jama.2018.9128::C013",'C_jama.2018.9128'!$A$2:$A$14,0))="","",INDEX('C_jama.2018.9128'!$J$2:$J$14,MATCH("2018::jama.2018.9128::C013",'C_jama.2018.9128'!$A$2:$A$14,0))),"not_applicable")</x:f>
        <x:v>not_applicable</x:v>
      </x:c>
      <x:c r="X120" s="6" t="str">
        <x:f>IF(AND(INDEX('C_jama.2018.9128'!$D$2:$D$14,MATCH("2018::jama.2018.9128::C013",'C_jama.2018.9128'!$A$2:$A$14,0))="retain",OR(INDEX('C_jama.2018.9128'!$E$2:$E$14,MATCH("2018::jama.2018.9128::C013",'C_jama.2018.9128'!$A$2:$A$14,0))="report_internal_inconsistency",INDEX('C_jama.2018.9128'!$E$2:$E$14,MATCH("2018::jama.2018.9128::C013",'C_jama.2018.9128'!$A$2:$A$14,0))="plan_material")),IF(INDEX('C_jama.2018.9128'!$K$2:$K$14,MATCH("2018::jama.2018.9128::C013",'C_jama.2018.9128'!$A$2:$A$14,0))="","",INDEX('C_jama.2018.9128'!$K$2:$K$14,MATCH("2018::jama.2018.9128::C013",'C_jama.2018.9128'!$A$2:$A$14,0))),"not_applicable")</x:f>
        <x:v>not_applicable</x:v>
      </x:c>
      <x:c r="Y120" s="6" t="str">
        <x:f>IF(AND(INDEX('C_jama.2018.9128'!$D$2:$D$14,MATCH("2018::jama.2018.9128::C013",'C_jama.2018.9128'!$A$2:$A$14,0))="retain",INDEX('C_jama.2018.9128'!$E$2:$E$14,MATCH("2018::jama.2018.9128::C013",'C_jama.2018.9128'!$A$2:$A$14,0))="protocol_report"),IF(INDEX('C_jama.2018.9128'!$L$2:$L$14,MATCH("2018::jama.2018.9128::C013",'C_jama.2018.9128'!$A$2:$A$14,0))="","",INDEX('C_jama.2018.9128'!$L$2:$L$14,MATCH("2018::jama.2018.9128::C013",'C_jama.2018.9128'!$A$2:$A$14,0))),"not_applicable")</x:f>
        <x:v>not_applicable</x:v>
      </x:c>
      <x:c r="Z120" s="6" t="str">
        <x:f>IF(INDEX('C_jama.2018.9128'!$R$2:$R$14,MATCH("2018::jama.2018.9128::C013",'C_jama.2018.9128'!$A$2:$A$14,0))="","",INDEX('C_jama.2018.9128'!$R$2:$R$14,MATCH("2018::jama.2018.9128::C013",'C_jama.2018.9128'!$A$2:$A$14,0)))</x:f>
      </x:c>
      <x:c r="AA120" s="6" t="str">
        <x:f>IF(INDEX('C_jama.2018.9128'!$N$2:$N$14,MATCH("2018::jama.2018.9128::C013",'C_jama.2018.9128'!$A$2:$A$14,0))="","",INDEX('C_jama.2018.9128'!$N$2:$N$14,MATCH("2018::jama.2018.9128::C013",'C_jama.2018.9128'!$A$2:$A$14,0)))</x:f>
      </x:c>
      <x:c r="AB120" s="6" t="str">
        <x:f>IF(INDEX('C_jama.2018.9128'!$O$2:$O$14,MATCH("2018::jama.2018.9128::C013",'C_jama.2018.9128'!$A$2:$A$14,0))="","",INDEX('C_jama.2018.9128'!$O$2:$O$14,MATCH("2018::jama.2018.9128::C013",'C_jama.2018.9128'!$A$2:$A$14,0)))</x:f>
      </x:c>
      <x:c r="AC120" s="6" t="str">
        <x:f>IF(INDEX('C_jama.2018.9128'!$P$2:$P$14,MATCH("2018::jama.2018.9128::C013",'C_jama.2018.9128'!$A$2:$A$14,0))="","",INDEX('C_jama.2018.9128'!$P$2:$P$14,MATCH("2018::jama.2018.9128::C013",'C_jama.2018.9128'!$A$2:$A$14,0)))</x:f>
      </x:c>
      <x:c r="AD120" s="6" t="str">
        <x:f>IF(INDEX('C_jama.2018.9128'!$Q$2:$Q$14,MATCH("2018::jama.2018.9128::C013",'C_jama.2018.9128'!$A$2:$A$14,0))="","",INDEX('C_jama.2018.9128'!$Q$2:$Q$14,MATCH("2018::jama.2018.9128::C013",'C_jama.2018.9128'!$A$2:$A$14,0)))</x:f>
      </x:c>
    </x:row>
  </x:sheetData>
  <x:pageMargins left="0.7" right="0.7" top="0.75" bottom="0.75" header="0.3" footer="0.3"/>
  <x:tableParts count="1">
    <x:tablePart xmlns:r="http://schemas.openxmlformats.org/officeDocument/2006/relationships" r:id="Rd4d7f7051876453b"/>
  </x:tableParts>
</x:worksheet>
</file>

<file path=xl/worksheets/sheet17.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2" hidden="0" customWidth="1"/>
    <x:col min="2" max="2" width="30" hidden="0" customWidth="1"/>
    <x:col min="3" max="3" width="18" hidden="0" customWidth="1"/>
    <x:col min="4" max="4" width="18" hidden="0" customWidth="1"/>
    <x:col min="5" max="5" width="18" hidden="0" customWidth="1"/>
    <x:col min="6" max="6" width="22" hidden="0" customWidth="1"/>
    <x:col min="7" max="7" width="24" hidden="0" customWidth="1"/>
    <x:col min="8" max="8" width="26" hidden="0" customWidth="1"/>
    <x:col min="9" max="9" width="26" hidden="0" customWidth="1"/>
    <x:col min="10" max="10" width="26" hidden="0" customWidth="1"/>
  </x:cols>
  <x:sheetData>
    <x:row r="1" ht="42" customHeight="1">
      <x:c r="A1" s="5" t="str">
        <x:v>year</x:v>
      </x:c>
      <x:c r="B1" s="5" t="str">
        <x:v>paper</x:v>
      </x:c>
      <x:c r="C1" s="5" t="str">
        <x:v>candidates</x:v>
      </x:c>
      <x:c r="D1" s="5" t="str">
        <x:v>pending</x:v>
      </x:c>
      <x:c r="E1" s="5" t="str">
        <x:v>unresolved</x:v>
      </x:c>
      <x:c r="F1" s="5" t="str">
        <x:v>paper_complete</x:v>
      </x:c>
      <x:c r="G1" s="5" t="str">
        <x:v>primary_temporal</x:v>
      </x:c>
      <x:c r="H1" s="5" t="str">
        <x:v>secondary_temporal</x:v>
      </x:c>
      <x:c r="I1" s="5" t="str">
        <x:v>protocol_descriptive</x:v>
      </x:c>
      <x:c r="J1" s="5" t="str">
        <x:v>plan_descriptive</x:v>
      </x:c>
    </x:row>
    <x:row r="2" ht="42" customHeight="1">
      <x:c r="A2" s="6" t="n">
        <x:v>2018</x:v>
      </x:c>
      <x:c r="B2" s="6" t="str">
        <x:v>jama.2017.21906</x:v>
      </x:c>
      <x:c r="C2" s="6" t="n">
        <x:v>6</x:v>
      </x:c>
      <x:c r="D2" s="6" t="n">
        <x:f>C2-COUNTIFS(Decisions!$B$2:$B$120,B2,Decisions!$G$2:$G$120,"FINAL READY")-E2</x:f>
        <x:v>6</x:v>
      </x:c>
      <x:c r="E2" s="6" t="n">
        <x:f>COUNTIFS(Decisions!$B$2:$B$120,B2,Decisions!$G$2:$G$120,"DISCUSS")</x:f>
        <x:v>0</x:v>
      </x:c>
      <x:c r="F2" s="6" t="str">
        <x:f>IF(D2+E2=0,"yes","no")</x:f>
        <x:v>no</x:v>
      </x:c>
      <x:c r="G2" s="6" t="str">
        <x:f>IF(F2&lt;&gt;"yes","",COUNTIFS(Decisions!$B$2:$B$120,B2,Decisions!$H$2:$H$120,"primary_temporal"))</x:f>
      </x:c>
      <x:c r="H2" s="6" t="str">
        <x:f>IF(F2&lt;&gt;"yes","",COUNTIFS(Decisions!$B$2:$B$120,B2,Decisions!$H$2:$H$120,"secondary_temporal"))</x:f>
      </x:c>
      <x:c r="I2" s="6" t="str">
        <x:f>IF(F2&lt;&gt;"yes","",COUNTIFS(Decisions!$B$2:$B$120,B2,Decisions!$H$2:$H$120,"protocol_descriptive"))</x:f>
      </x:c>
      <x:c r="J2" s="6" t="str">
        <x:f>IF(F2&lt;&gt;"yes","",COUNTIFS(Decisions!$B$2:$B$120,B2,Decisions!$H$2:$H$120,"plan_descriptive"))</x:f>
      </x:c>
    </x:row>
    <x:row r="3" ht="42" customHeight="1">
      <x:c r="A3" s="3" t="n">
        <x:v>2018</x:v>
      </x:c>
      <x:c r="B3" s="3" t="str">
        <x:v>jama.2018.0156</x:v>
      </x:c>
      <x:c r="C3" s="3" t="n">
        <x:v>8</x:v>
      </x:c>
      <x:c r="D3" s="3" t="n">
        <x:f>C3-COUNTIFS(Decisions!$B$2:$B$120,B3,Decisions!$G$2:$G$120,"FINAL READY")-E3</x:f>
        <x:v>8</x:v>
      </x:c>
      <x:c r="E3" s="3" t="n">
        <x:f>COUNTIFS(Decisions!$B$2:$B$120,B3,Decisions!$G$2:$G$120,"DISCUSS")</x:f>
        <x:v>0</x:v>
      </x:c>
      <x:c r="F3" s="3" t="str">
        <x:f>IF(D3+E3=0,"yes","no")</x:f>
        <x:v>no</x:v>
      </x:c>
      <x:c r="G3" s="3" t="str">
        <x:f>IF(F3&lt;&gt;"yes","",COUNTIFS(Decisions!$B$2:$B$120,B3,Decisions!$H$2:$H$120,"primary_temporal"))</x:f>
      </x:c>
      <x:c r="H3" s="3" t="str">
        <x:f>IF(F3&lt;&gt;"yes","",COUNTIFS(Decisions!$B$2:$B$120,B3,Decisions!$H$2:$H$120,"secondary_temporal"))</x:f>
      </x:c>
      <x:c r="I3" s="3" t="str">
        <x:f>IF(F3&lt;&gt;"yes","",COUNTIFS(Decisions!$B$2:$B$120,B3,Decisions!$H$2:$H$120,"protocol_descriptive"))</x:f>
      </x:c>
      <x:c r="J3" s="3" t="str">
        <x:f>IF(F3&lt;&gt;"yes","",COUNTIFS(Decisions!$B$2:$B$120,B3,Decisions!$H$2:$H$120,"plan_descriptive"))</x:f>
      </x:c>
    </x:row>
    <x:row r="4" ht="42" customHeight="1">
      <x:c r="A4" s="6" t="n">
        <x:v>2018</x:v>
      </x:c>
      <x:c r="B4" s="6" t="str">
        <x:v>jama.2018.0948</x:v>
      </x:c>
      <x:c r="C4" s="6" t="n">
        <x:v>7</x:v>
      </x:c>
      <x:c r="D4" s="6" t="n">
        <x:f>C4-COUNTIFS(Decisions!$B$2:$B$120,B4,Decisions!$G$2:$G$120,"FINAL READY")-E4</x:f>
        <x:v>7</x:v>
      </x:c>
      <x:c r="E4" s="6" t="n">
        <x:f>COUNTIFS(Decisions!$B$2:$B$120,B4,Decisions!$G$2:$G$120,"DISCUSS")</x:f>
        <x:v>0</x:v>
      </x:c>
      <x:c r="F4" s="6" t="str">
        <x:f>IF(D4+E4=0,"yes","no")</x:f>
        <x:v>no</x:v>
      </x:c>
      <x:c r="G4" s="6" t="str">
        <x:f>IF(F4&lt;&gt;"yes","",COUNTIFS(Decisions!$B$2:$B$120,B4,Decisions!$H$2:$H$120,"primary_temporal"))</x:f>
      </x:c>
      <x:c r="H4" s="6" t="str">
        <x:f>IF(F4&lt;&gt;"yes","",COUNTIFS(Decisions!$B$2:$B$120,B4,Decisions!$H$2:$H$120,"secondary_temporal"))</x:f>
      </x:c>
      <x:c r="I4" s="6" t="str">
        <x:f>IF(F4&lt;&gt;"yes","",COUNTIFS(Decisions!$B$2:$B$120,B4,Decisions!$H$2:$H$120,"protocol_descriptive"))</x:f>
      </x:c>
      <x:c r="J4" s="6" t="str">
        <x:f>IF(F4&lt;&gt;"yes","",COUNTIFS(Decisions!$B$2:$B$120,B4,Decisions!$H$2:$H$120,"plan_descriptive"))</x:f>
      </x:c>
    </x:row>
    <x:row r="5" ht="42" customHeight="1">
      <x:c r="A5" s="3" t="n">
        <x:v>2018</x:v>
      </x:c>
      <x:c r="B5" s="3" t="str">
        <x:v>jama.2018.14280</x:v>
      </x:c>
      <x:c r="C5" s="3" t="n">
        <x:v>23</x:v>
      </x:c>
      <x:c r="D5" s="3" t="n">
        <x:f>C5-COUNTIFS(Decisions!$B$2:$B$120,B5,Decisions!$G$2:$G$120,"FINAL READY")-E5</x:f>
        <x:v>23</x:v>
      </x:c>
      <x:c r="E5" s="3" t="n">
        <x:f>COUNTIFS(Decisions!$B$2:$B$120,B5,Decisions!$G$2:$G$120,"DISCUSS")</x:f>
        <x:v>0</x:v>
      </x:c>
      <x:c r="F5" s="3" t="str">
        <x:f>IF(D5+E5=0,"yes","no")</x:f>
        <x:v>no</x:v>
      </x:c>
      <x:c r="G5" s="3" t="str">
        <x:f>IF(F5&lt;&gt;"yes","",COUNTIFS(Decisions!$B$2:$B$120,B5,Decisions!$H$2:$H$120,"primary_temporal"))</x:f>
      </x:c>
      <x:c r="H5" s="3" t="str">
        <x:f>IF(F5&lt;&gt;"yes","",COUNTIFS(Decisions!$B$2:$B$120,B5,Decisions!$H$2:$H$120,"secondary_temporal"))</x:f>
      </x:c>
      <x:c r="I5" s="3" t="str">
        <x:f>IF(F5&lt;&gt;"yes","",COUNTIFS(Decisions!$B$2:$B$120,B5,Decisions!$H$2:$H$120,"protocol_descriptive"))</x:f>
      </x:c>
      <x:c r="J5" s="3" t="str">
        <x:f>IF(F5&lt;&gt;"yes","",COUNTIFS(Decisions!$B$2:$B$120,B5,Decisions!$H$2:$H$120,"plan_descriptive"))</x:f>
      </x:c>
    </x:row>
    <x:row r="6" ht="42" customHeight="1">
      <x:c r="A6" s="6" t="n">
        <x:v>2018</x:v>
      </x:c>
      <x:c r="B6" s="6" t="str">
        <x:v>jama.2018.14282</x:v>
      </x:c>
      <x:c r="C6" s="6" t="n">
        <x:v>28</x:v>
      </x:c>
      <x:c r="D6" s="6" t="n">
        <x:f>C6-COUNTIFS(Decisions!$B$2:$B$120,B6,Decisions!$G$2:$G$120,"FINAL READY")-E6</x:f>
        <x:v>28</x:v>
      </x:c>
      <x:c r="E6" s="6" t="n">
        <x:f>COUNTIFS(Decisions!$B$2:$B$120,B6,Decisions!$G$2:$G$120,"DISCUSS")</x:f>
        <x:v>0</x:v>
      </x:c>
      <x:c r="F6" s="6" t="str">
        <x:f>IF(D6+E6=0,"yes","no")</x:f>
        <x:v>no</x:v>
      </x:c>
      <x:c r="G6" s="6" t="str">
        <x:f>IF(F6&lt;&gt;"yes","",COUNTIFS(Decisions!$B$2:$B$120,B6,Decisions!$H$2:$H$120,"primary_temporal"))</x:f>
      </x:c>
      <x:c r="H6" s="6" t="str">
        <x:f>IF(F6&lt;&gt;"yes","",COUNTIFS(Decisions!$B$2:$B$120,B6,Decisions!$H$2:$H$120,"secondary_temporal"))</x:f>
      </x:c>
      <x:c r="I6" s="6" t="str">
        <x:f>IF(F6&lt;&gt;"yes","",COUNTIFS(Decisions!$B$2:$B$120,B6,Decisions!$H$2:$H$120,"protocol_descriptive"))</x:f>
      </x:c>
      <x:c r="J6" s="6" t="str">
        <x:f>IF(F6&lt;&gt;"yes","",COUNTIFS(Decisions!$B$2:$B$120,B6,Decisions!$H$2:$H$120,"plan_descriptive"))</x:f>
      </x:c>
    </x:row>
    <x:row r="7" ht="42" customHeight="1">
      <x:c r="A7" s="3" t="n">
        <x:v>2018</x:v>
      </x:c>
      <x:c r="B7" s="3" t="str">
        <x:v>jama.2018.17075</x:v>
      </x:c>
      <x:c r="C7" s="3" t="n">
        <x:v>8</x:v>
      </x:c>
      <x:c r="D7" s="3" t="n">
        <x:f>C7-COUNTIFS(Decisions!$B$2:$B$120,B7,Decisions!$G$2:$G$120,"FINAL READY")-E7</x:f>
        <x:v>8</x:v>
      </x:c>
      <x:c r="E7" s="3" t="n">
        <x:f>COUNTIFS(Decisions!$B$2:$B$120,B7,Decisions!$G$2:$G$120,"DISCUSS")</x:f>
        <x:v>0</x:v>
      </x:c>
      <x:c r="F7" s="3" t="str">
        <x:f>IF(D7+E7=0,"yes","no")</x:f>
        <x:v>no</x:v>
      </x:c>
      <x:c r="G7" s="3" t="str">
        <x:f>IF(F7&lt;&gt;"yes","",COUNTIFS(Decisions!$B$2:$B$120,B7,Decisions!$H$2:$H$120,"primary_temporal"))</x:f>
      </x:c>
      <x:c r="H7" s="3" t="str">
        <x:f>IF(F7&lt;&gt;"yes","",COUNTIFS(Decisions!$B$2:$B$120,B7,Decisions!$H$2:$H$120,"secondary_temporal"))</x:f>
      </x:c>
      <x:c r="I7" s="3" t="str">
        <x:f>IF(F7&lt;&gt;"yes","",COUNTIFS(Decisions!$B$2:$B$120,B7,Decisions!$H$2:$H$120,"protocol_descriptive"))</x:f>
      </x:c>
      <x:c r="J7" s="3" t="str">
        <x:f>IF(F7&lt;&gt;"yes","",COUNTIFS(Decisions!$B$2:$B$120,B7,Decisions!$H$2:$H$120,"plan_descriptive"))</x:f>
      </x:c>
    </x:row>
    <x:row r="8" ht="42" customHeight="1">
      <x:c r="A8" s="6" t="n">
        <x:v>2018</x:v>
      </x:c>
      <x:c r="B8" s="6" t="str">
        <x:v>jama.2018.18020</x:v>
      </x:c>
      <x:c r="C8" s="6" t="n">
        <x:v>14</x:v>
      </x:c>
      <x:c r="D8" s="6" t="n">
        <x:f>C8-COUNTIFS(Decisions!$B$2:$B$120,B8,Decisions!$G$2:$G$120,"FINAL READY")-E8</x:f>
        <x:v>14</x:v>
      </x:c>
      <x:c r="E8" s="6" t="n">
        <x:f>COUNTIFS(Decisions!$B$2:$B$120,B8,Decisions!$G$2:$G$120,"DISCUSS")</x:f>
        <x:v>0</x:v>
      </x:c>
      <x:c r="F8" s="6" t="str">
        <x:f>IF(D8+E8=0,"yes","no")</x:f>
        <x:v>no</x:v>
      </x:c>
      <x:c r="G8" s="6" t="str">
        <x:f>IF(F8&lt;&gt;"yes","",COUNTIFS(Decisions!$B$2:$B$120,B8,Decisions!$H$2:$H$120,"primary_temporal"))</x:f>
      </x:c>
      <x:c r="H8" s="6" t="str">
        <x:f>IF(F8&lt;&gt;"yes","",COUNTIFS(Decisions!$B$2:$B$120,B8,Decisions!$H$2:$H$120,"secondary_temporal"))</x:f>
      </x:c>
      <x:c r="I8" s="6" t="str">
        <x:f>IF(F8&lt;&gt;"yes","",COUNTIFS(Decisions!$B$2:$B$120,B8,Decisions!$H$2:$H$120,"protocol_descriptive"))</x:f>
      </x:c>
      <x:c r="J8" s="6" t="str">
        <x:f>IF(F8&lt;&gt;"yes","",COUNTIFS(Decisions!$B$2:$B$120,B8,Decisions!$H$2:$H$120,"plan_descriptive"))</x:f>
      </x:c>
    </x:row>
    <x:row r="9" ht="42" customHeight="1">
      <x:c r="A9" s="3" t="n">
        <x:v>2018</x:v>
      </x:c>
      <x:c r="B9" s="3" t="str">
        <x:v>jama.2018.6496</x:v>
      </x:c>
      <x:c r="C9" s="3" t="n">
        <x:v>4</x:v>
      </x:c>
      <x:c r="D9" s="3" t="n">
        <x:f>C9-COUNTIFS(Decisions!$B$2:$B$120,B9,Decisions!$G$2:$G$120,"FINAL READY")-E9</x:f>
        <x:v>4</x:v>
      </x:c>
      <x:c r="E9" s="3" t="n">
        <x:f>COUNTIFS(Decisions!$B$2:$B$120,B9,Decisions!$G$2:$G$120,"DISCUSS")</x:f>
        <x:v>0</x:v>
      </x:c>
      <x:c r="F9" s="3" t="str">
        <x:f>IF(D9+E9=0,"yes","no")</x:f>
        <x:v>no</x:v>
      </x:c>
      <x:c r="G9" s="3" t="str">
        <x:f>IF(F9&lt;&gt;"yes","",COUNTIFS(Decisions!$B$2:$B$120,B9,Decisions!$H$2:$H$120,"primary_temporal"))</x:f>
      </x:c>
      <x:c r="H9" s="3" t="str">
        <x:f>IF(F9&lt;&gt;"yes","",COUNTIFS(Decisions!$B$2:$B$120,B9,Decisions!$H$2:$H$120,"secondary_temporal"))</x:f>
      </x:c>
      <x:c r="I9" s="3" t="str">
        <x:f>IF(F9&lt;&gt;"yes","",COUNTIFS(Decisions!$B$2:$B$120,B9,Decisions!$H$2:$H$120,"protocol_descriptive"))</x:f>
      </x:c>
      <x:c r="J9" s="3" t="str">
        <x:f>IF(F9&lt;&gt;"yes","",COUNTIFS(Decisions!$B$2:$B$120,B9,Decisions!$H$2:$H$120,"plan_descriptive"))</x:f>
      </x:c>
    </x:row>
    <x:row r="10" ht="42" customHeight="1">
      <x:c r="A10" s="6" t="n">
        <x:v>2018</x:v>
      </x:c>
      <x:c r="B10" s="6" t="str">
        <x:v>jama.2018.8802</x:v>
      </x:c>
      <x:c r="C10" s="6" t="n">
        <x:v>8</x:v>
      </x:c>
      <x:c r="D10" s="6" t="n">
        <x:f>C10-COUNTIFS(Decisions!$B$2:$B$120,B10,Decisions!$G$2:$G$120,"FINAL READY")-E10</x:f>
        <x:v>8</x:v>
      </x:c>
      <x:c r="E10" s="6" t="n">
        <x:f>COUNTIFS(Decisions!$B$2:$B$120,B10,Decisions!$G$2:$G$120,"DISCUSS")</x:f>
        <x:v>0</x:v>
      </x:c>
      <x:c r="F10" s="6" t="str">
        <x:f>IF(D10+E10=0,"yes","no")</x:f>
        <x:v>no</x:v>
      </x:c>
      <x:c r="G10" s="6" t="str">
        <x:f>IF(F10&lt;&gt;"yes","",COUNTIFS(Decisions!$B$2:$B$120,B10,Decisions!$H$2:$H$120,"primary_temporal"))</x:f>
      </x:c>
      <x:c r="H10" s="6" t="str">
        <x:f>IF(F10&lt;&gt;"yes","",COUNTIFS(Decisions!$B$2:$B$120,B10,Decisions!$H$2:$H$120,"secondary_temporal"))</x:f>
      </x:c>
      <x:c r="I10" s="6" t="str">
        <x:f>IF(F10&lt;&gt;"yes","",COUNTIFS(Decisions!$B$2:$B$120,B10,Decisions!$H$2:$H$120,"protocol_descriptive"))</x:f>
      </x:c>
      <x:c r="J10" s="6" t="str">
        <x:f>IF(F10&lt;&gt;"yes","",COUNTIFS(Decisions!$B$2:$B$120,B10,Decisions!$H$2:$H$120,"plan_descriptive"))</x:f>
      </x:c>
    </x:row>
    <x:row r="11" ht="42" customHeight="1">
      <x:c r="A11" s="3" t="n">
        <x:v>2018</x:v>
      </x:c>
      <x:c r="B11" s="3" t="str">
        <x:v>jama.2018.9128</x:v>
      </x:c>
      <x:c r="C11" s="3" t="n">
        <x:v>13</x:v>
      </x:c>
      <x:c r="D11" s="3" t="n">
        <x:f>C11-COUNTIFS(Decisions!$B$2:$B$120,B11,Decisions!$G$2:$G$120,"FINAL READY")-E11</x:f>
        <x:v>13</x:v>
      </x:c>
      <x:c r="E11" s="3" t="n">
        <x:f>COUNTIFS(Decisions!$B$2:$B$120,B11,Decisions!$G$2:$G$120,"DISCUSS")</x:f>
        <x:v>0</x:v>
      </x:c>
      <x:c r="F11" s="3" t="str">
        <x:f>IF(D11+E11=0,"yes","no")</x:f>
        <x:v>no</x:v>
      </x:c>
      <x:c r="G11" s="3" t="str">
        <x:f>IF(F11&lt;&gt;"yes","",COUNTIFS(Decisions!$B$2:$B$120,B11,Decisions!$H$2:$H$120,"primary_temporal"))</x:f>
      </x:c>
      <x:c r="H11" s="3" t="str">
        <x:f>IF(F11&lt;&gt;"yes","",COUNTIFS(Decisions!$B$2:$B$120,B11,Decisions!$H$2:$H$120,"secondary_temporal"))</x:f>
      </x:c>
      <x:c r="I11" s="3" t="str">
        <x:f>IF(F11&lt;&gt;"yes","",COUNTIFS(Decisions!$B$2:$B$120,B11,Decisions!$H$2:$H$120,"protocol_descriptive"))</x:f>
      </x:c>
      <x:c r="J11" s="3" t="str">
        <x:f>IF(F11&lt;&gt;"yes","",COUNTIFS(Decisions!$B$2:$B$120,B11,Decisions!$H$2:$H$120,"plan_descriptive"))</x:f>
      </x:c>
    </x:row>
  </x:sheetData>
  <x:pageMargins left="0.7" right="0.7" top="0.75" bottom="0.75" header="0.3" footer="0.3"/>
</x:worksheet>
</file>

<file path=xl/worksheets/sheet18.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2" hidden="0" customWidth="1"/>
    <x:col min="2" max="2" width="27" hidden="0" customWidth="1"/>
    <x:col min="3" max="3" width="44" hidden="0" customWidth="1"/>
    <x:col min="4" max="4" width="18" hidden="0" customWidth="1"/>
    <x:col min="5" max="5" width="60" hidden="0" customWidth="1"/>
    <x:col min="6" max="6" width="90" hidden="0" customWidth="1"/>
    <x:col min="7" max="7" width="24" hidden="0" customWidth="1"/>
    <x:col min="8" max="8" width="20" hidden="0" customWidth="1"/>
    <x:col min="9" max="9" width="28" hidden="0" customWidth="1"/>
    <x:col min="10" max="10" width="30" hidden="0" customWidth="1"/>
    <x:col min="11" max="11" width="60" hidden="0" customWidth="1"/>
  </x:cols>
  <x:sheetData>
    <x:row r="1" ht="42" customHeight="1">
      <x:c r="A1" s="5" t="str">
        <x:v>year</x:v>
      </x:c>
      <x:c r="B1" s="5" t="str">
        <x:v>paper</x:v>
      </x:c>
      <x:c r="C1" s="5" t="str">
        <x:v>key</x:v>
      </x:c>
      <x:c r="D1" s="5" t="str">
        <x:v>relationship</x:v>
      </x:c>
      <x:c r="E1" s="5" t="str">
        <x:v>title</x:v>
      </x:c>
      <x:c r="F1" s="5" t="str">
        <x:v>statement</x:v>
      </x:c>
      <x:c r="G1" s="5" t="str">
        <x:v>status</x:v>
      </x:c>
      <x:c r="H1" s="5" t="str">
        <x:v>disposition</x:v>
      </x:c>
      <x:c r="I1" s="5" t="str">
        <x:v>interpretation</x:v>
      </x:c>
      <x:c r="J1" s="5" t="str">
        <x:v>internalStatus</x:v>
      </x:c>
      <x:c r="K1" s="5" t="str">
        <x:v>notes</x:v>
      </x:c>
    </x:row>
    <x:row r="2" ht="90" customHeight="1">
      <x:c r="A2" s="6" t="n">
        <x:v>2018</x:v>
      </x:c>
      <x:c r="B2" s="6" t="str">
        <x:v>jama.2017.21906</x:v>
      </x:c>
      <x:c r="C2" s="6" t="str">
        <x:v>2018::jama.2017.21906::C004</x:v>
      </x:c>
      <x:c r="D2" s="6" t="str">
        <x:v>P_R</x:v>
      </x:c>
      <x:c r="E2" s="6" t="str">
        <x:v>Reported prespecified age-subgroup boundaries differ from the supplied SAP</x:v>
      </x:c>
      <x:c r="F2" s="6" t="str">
        <x:v>The article calls its Figure 3 age subgroups prespecified, but their numeric boundaries differ from the supplied SAP.</x:v>
      </x:c>
      <x:c r="G2" s="6" t="str">
        <x:f>IF(INDEX('Decisions'!$G$2:$G$120,MATCH(C2,'Decisions'!$C$2:$C$120,0))="","",INDEX('Decisions'!$G$2:$G$120,MATCH(C2,'Decisions'!$C$2:$C$120,0)))</x:f>
        <x:v>CHECK REVIEWER IDs</x:v>
      </x:c>
      <x:c r="H2" s="6" t="str">
        <x:f>IF(INDEX('Decisions'!$S$2:$S$120,MATCH(C2,'Decisions'!$C$2:$C$120,0))="","",INDEX('Decisions'!$S$2:$S$120,MATCH(C2,'Decisions'!$C$2:$C$120,0)))</x:f>
      </x:c>
      <x:c r="I2" s="6" t="str">
        <x:f>IF(INDEX('Decisions'!$Y$2:$Y$120,MATCH(C2,'Decisions'!$C$2:$C$120,0))="","",INDEX('Decisions'!$Y$2:$Y$120,MATCH(C2,'Decisions'!$C$2:$C$120,0)))</x:f>
        <x:v>not_applicable</x:v>
      </x:c>
      <x:c r="J2" s="6" t="str">
        <x:f>IF(INDEX('Decisions'!$X$2:$X$120,MATCH(C2,'Decisions'!$C$2:$C$120,0))="","",INDEX('Decisions'!$X$2:$X$120,MATCH(C2,'Decisions'!$C$2:$C$120,0)))</x:f>
        <x:v>not_applicable</x:v>
      </x:c>
      <x:c r="K2" s="6" t="str">
        <x:f>IF(INDEX('Decisions'!$Z$2:$Z$120,MATCH(C2,'Decisions'!$C$2:$C$120,0))="","",INDEX('Decisions'!$Z$2:$Z$120,MATCH(C2,'Decisions'!$C$2:$C$120,0)))</x:f>
      </x:c>
    </x:row>
    <x:row r="3" ht="90" customHeight="1">
      <x:c r="A3" s="3" t="n">
        <x:v>2018</x:v>
      </x:c>
      <x:c r="B3" s="3" t="str">
        <x:v>jama.2017.21906</x:v>
      </x:c>
      <x:c r="C3" s="3" t="str">
        <x:v>2018::jama.2017.21906::C006</x:v>
      </x:c>
      <x:c r="D3" s="3" t="str">
        <x:v>P_R</x:v>
      </x:c>
      <x:c r="E3" s="3" t="str">
        <x:v>Hospital-type subgroup is reported as prespecified but is absent from the supplied SAP subgroup list</x:v>
      </x:c>
      <x:c r="F3" s="3" t="str">
        <x:v>The article calls the hospital-type Figure 3 subgroup prespecified, while the supplied SAP's a priori site-level subgroup list does not name hospital type.</x:v>
      </x:c>
      <x:c r="G3" s="3" t="str">
        <x:f>IF(INDEX('Decisions'!$G$2:$G$120,MATCH(C3,'Decisions'!$C$2:$C$120,0))="","",INDEX('Decisions'!$G$2:$G$120,MATCH(C3,'Decisions'!$C$2:$C$120,0)))</x:f>
        <x:v>CHECK REVIEWER IDs</x:v>
      </x:c>
      <x:c r="H3" s="3" t="str">
        <x:f>IF(INDEX('Decisions'!$S$2:$S$120,MATCH(C3,'Decisions'!$C$2:$C$120,0))="","",INDEX('Decisions'!$S$2:$S$120,MATCH(C3,'Decisions'!$C$2:$C$120,0)))</x:f>
      </x:c>
      <x:c r="I3" s="3" t="str">
        <x:f>IF(INDEX('Decisions'!$Y$2:$Y$120,MATCH(C3,'Decisions'!$C$2:$C$120,0))="","",INDEX('Decisions'!$Y$2:$Y$120,MATCH(C3,'Decisions'!$C$2:$C$120,0)))</x:f>
        <x:v>not_applicable</x:v>
      </x:c>
      <x:c r="J3" s="3" t="str">
        <x:f>IF(INDEX('Decisions'!$X$2:$X$120,MATCH(C3,'Decisions'!$C$2:$C$120,0))="","",INDEX('Decisions'!$X$2:$X$120,MATCH(C3,'Decisions'!$C$2:$C$120,0)))</x:f>
        <x:v>not_applicable</x:v>
      </x:c>
      <x:c r="K3" s="3" t="str">
        <x:f>IF(INDEX('Decisions'!$Z$2:$Z$120,MATCH(C3,'Decisions'!$C$2:$C$120,0))="","",INDEX('Decisions'!$Z$2:$Z$120,MATCH(C3,'Decisions'!$C$2:$C$120,0)))</x:f>
      </x:c>
    </x:row>
    <x:row r="4" ht="90" customHeight="1">
      <x:c r="A4" s="6" t="n">
        <x:v>2018</x:v>
      </x:c>
      <x:c r="B4" s="6" t="str">
        <x:v>jama.2018.0156</x:v>
      </x:c>
      <x:c r="C4" s="6" t="str">
        <x:v>2018::jama.2018.0156::C007</x:v>
      </x:c>
      <x:c r="D4" s="6" t="str">
        <x:v>P_R</x:v>
      </x:c>
      <x:c r="E4" s="6" t="str">
        <x:v>Published primary-endpoint description omits the amended baseline-disability qualification</x:v>
      </x:c>
      <x:c r="F4" s="6" t="str">
        <x:v>The article’s CPC-1-or-2 endpoint description omits the amendment’s qualification for survivors with baseline neurologic disability.</x:v>
      </x:c>
      <x:c r="G4" s="6" t="str">
        <x:f>IF(INDEX('Decisions'!$G$2:$G$120,MATCH(C4,'Decisions'!$C$2:$C$120,0))="","",INDEX('Decisions'!$G$2:$G$120,MATCH(C4,'Decisions'!$C$2:$C$120,0)))</x:f>
        <x:v>CHECK REVIEWER IDs</x:v>
      </x:c>
      <x:c r="H4" s="6" t="str">
        <x:f>IF(INDEX('Decisions'!$S$2:$S$120,MATCH(C4,'Decisions'!$C$2:$C$120,0))="","",INDEX('Decisions'!$S$2:$S$120,MATCH(C4,'Decisions'!$C$2:$C$120,0)))</x:f>
      </x:c>
      <x:c r="I4" s="6" t="str">
        <x:f>IF(INDEX('Decisions'!$Y$2:$Y$120,MATCH(C4,'Decisions'!$C$2:$C$120,0))="","",INDEX('Decisions'!$Y$2:$Y$120,MATCH(C4,'Decisions'!$C$2:$C$120,0)))</x:f>
        <x:v>not_applicable</x:v>
      </x:c>
      <x:c r="J4" s="6" t="str">
        <x:f>IF(INDEX('Decisions'!$X$2:$X$120,MATCH(C4,'Decisions'!$C$2:$C$120,0))="","",INDEX('Decisions'!$X$2:$X$120,MATCH(C4,'Decisions'!$C$2:$C$120,0)))</x:f>
        <x:v>not_applicable</x:v>
      </x:c>
      <x:c r="K4" s="6" t="str">
        <x:f>IF(INDEX('Decisions'!$Z$2:$Z$120,MATCH(C4,'Decisions'!$C$2:$C$120,0))="","",INDEX('Decisions'!$Z$2:$Z$120,MATCH(C4,'Decisions'!$C$2:$C$120,0)))</x:f>
      </x:c>
    </x:row>
    <x:row r="5" ht="90" customHeight="1">
      <x:c r="A5" s="3" t="n">
        <x:v>2018</x:v>
      </x:c>
      <x:c r="B5" s="3" t="str">
        <x:v>jama.2018.0156</x:v>
      </x:c>
      <x:c r="C5" s="3" t="str">
        <x:v>2018::jama.2018.0156::C008</x:v>
      </x:c>
      <x:c r="D5" s="3" t="str">
        <x:v>P_R</x:v>
      </x:c>
      <x:c r="E5" s="3" t="str">
        <x:v>Protocol composite technique-failure definition cannot reconcile with the article’s smaller ETI failure count if they are the same endpoint</x:v>
      </x:c>
      <x:c r="F5" s="3" t="str">
        <x:v>If the protocol composite and article Table 3 row denote the same endpoint and aligned population, aggregate displays cannot reconcile.</x:v>
      </x:c>
      <x:c r="G5" s="3" t="str">
        <x:f>IF(INDEX('Decisions'!$G$2:$G$120,MATCH(C5,'Decisions'!$C$2:$C$120,0))="","",INDEX('Decisions'!$G$2:$G$120,MATCH(C5,'Decisions'!$C$2:$C$120,0)))</x:f>
        <x:v>CHECK REVIEWER IDs</x:v>
      </x:c>
      <x:c r="H5" s="3" t="str">
        <x:f>IF(INDEX('Decisions'!$S$2:$S$120,MATCH(C5,'Decisions'!$C$2:$C$120,0))="","",INDEX('Decisions'!$S$2:$S$120,MATCH(C5,'Decisions'!$C$2:$C$120,0)))</x:f>
      </x:c>
      <x:c r="I5" s="3" t="str">
        <x:f>IF(INDEX('Decisions'!$Y$2:$Y$120,MATCH(C5,'Decisions'!$C$2:$C$120,0))="","",INDEX('Decisions'!$Y$2:$Y$120,MATCH(C5,'Decisions'!$C$2:$C$120,0)))</x:f>
        <x:v>not_applicable</x:v>
      </x:c>
      <x:c r="J5" s="3" t="str">
        <x:f>IF(INDEX('Decisions'!$X$2:$X$120,MATCH(C5,'Decisions'!$C$2:$C$120,0))="","",INDEX('Decisions'!$X$2:$X$120,MATCH(C5,'Decisions'!$C$2:$C$120,0)))</x:f>
        <x:v>not_applicable</x:v>
      </x:c>
      <x:c r="K5" s="3" t="str">
        <x:f>IF(INDEX('Decisions'!$Z$2:$Z$120,MATCH(C5,'Decisions'!$C$2:$C$120,0))="","",INDEX('Decisions'!$Z$2:$Z$120,MATCH(C5,'Decisions'!$C$2:$C$120,0)))</x:f>
      </x:c>
    </x:row>
    <x:row r="6" ht="90" customHeight="1">
      <x:c r="A6" s="6" t="n">
        <x:v>2018</x:v>
      </x:c>
      <x:c r="B6" s="6" t="str">
        <x:v>jama.2018.0948</x:v>
      </x:c>
      <x:c r="C6" s="6" t="str">
        <x:v>2018::jama.2018.0948::C001</x:v>
      </x:c>
      <x:c r="D6" s="6" t="str">
        <x:v>P_R</x:v>
      </x:c>
      <x:c r="E6" s="6" t="str">
        <x:v>Inclusive versus exclusive fluid threshold in the SCD definition</x:v>
      </x:c>
      <x:c r="F6" s="6" t="str">
        <x:v>The same SCD fluid component is printed with inclusive and exclusive 60 mL/kg thresholds.</x:v>
      </x:c>
      <x:c r="G6" s="6" t="str">
        <x:f>IF(INDEX('Decisions'!$G$2:$G$120,MATCH(C6,'Decisions'!$C$2:$C$120,0))="","",INDEX('Decisions'!$G$2:$G$120,MATCH(C6,'Decisions'!$C$2:$C$120,0)))</x:f>
        <x:v>CHECK REVIEWER IDs</x:v>
      </x:c>
      <x:c r="H6" s="6" t="str">
        <x:f>IF(INDEX('Decisions'!$S$2:$S$120,MATCH(C6,'Decisions'!$C$2:$C$120,0))="","",INDEX('Decisions'!$S$2:$S$120,MATCH(C6,'Decisions'!$C$2:$C$120,0)))</x:f>
      </x:c>
      <x:c r="I6" s="6" t="str">
        <x:f>IF(INDEX('Decisions'!$Y$2:$Y$120,MATCH(C6,'Decisions'!$C$2:$C$120,0))="","",INDEX('Decisions'!$Y$2:$Y$120,MATCH(C6,'Decisions'!$C$2:$C$120,0)))</x:f>
        <x:v>not_applicable</x:v>
      </x:c>
      <x:c r="J6" s="6" t="str">
        <x:f>IF(INDEX('Decisions'!$X$2:$X$120,MATCH(C6,'Decisions'!$C$2:$C$120,0))="","",INDEX('Decisions'!$X$2:$X$120,MATCH(C6,'Decisions'!$C$2:$C$120,0)))</x:f>
        <x:v>not_applicable</x:v>
      </x:c>
      <x:c r="K6" s="6" t="str">
        <x:f>IF(INDEX('Decisions'!$Z$2:$Z$120,MATCH(C6,'Decisions'!$C$2:$C$120,0))="","",INDEX('Decisions'!$Z$2:$Z$120,MATCH(C6,'Decisions'!$C$2:$C$120,0)))</x:f>
      </x:c>
    </x:row>
    <x:row r="7" ht="90" customHeight="1">
      <x:c r="A7" s="3" t="n">
        <x:v>2018</x:v>
      </x:c>
      <x:c r="B7" s="3" t="str">
        <x:v>jama.2018.0948</x:v>
      </x:c>
      <x:c r="C7" s="3" t="str">
        <x:v>2018::jama.2018.0948::C002</x:v>
      </x:c>
      <x:c r="D7" s="3" t="str">
        <x:v>P_P</x:v>
      </x:c>
      <x:c r="E7" s="3" t="str">
        <x:v>Mortality absolute-risk-reduction percent/unit conflict</x:v>
      </x:c>
      <x:c r="F7" s="3" t="str">
        <x:v>A matched mortality planning reduction is printed as 0.9% at one location but as 0.9 per 1,000/0.09% elsewhere.</x:v>
      </x:c>
      <x:c r="G7" s="3" t="str">
        <x:f>IF(INDEX('Decisions'!$G$2:$G$120,MATCH(C7,'Decisions'!$C$2:$C$120,0))="","",INDEX('Decisions'!$G$2:$G$120,MATCH(C7,'Decisions'!$C$2:$C$120,0)))</x:f>
        <x:v>CHECK REVIEWER IDs</x:v>
      </x:c>
      <x:c r="H7" s="3" t="str">
        <x:f>IF(INDEX('Decisions'!$S$2:$S$120,MATCH(C7,'Decisions'!$C$2:$C$120,0))="","",INDEX('Decisions'!$S$2:$S$120,MATCH(C7,'Decisions'!$C$2:$C$120,0)))</x:f>
      </x:c>
      <x:c r="I7" s="3" t="str">
        <x:f>IF(INDEX('Decisions'!$Y$2:$Y$120,MATCH(C7,'Decisions'!$C$2:$C$120,0))="","",INDEX('Decisions'!$Y$2:$Y$120,MATCH(C7,'Decisions'!$C$2:$C$120,0)))</x:f>
        <x:v>not_applicable</x:v>
      </x:c>
      <x:c r="J7" s="3" t="str">
        <x:f>IF(INDEX('Decisions'!$X$2:$X$120,MATCH(C7,'Decisions'!$C$2:$C$120,0))="","",INDEX('Decisions'!$X$2:$X$120,MATCH(C7,'Decisions'!$C$2:$C$120,0)))</x:f>
        <x:v>not_applicable</x:v>
      </x:c>
      <x:c r="K7" s="3" t="str">
        <x:f>IF(INDEX('Decisions'!$Z$2:$Z$120,MATCH(C7,'Decisions'!$C$2:$C$120,0))="","",INDEX('Decisions'!$Z$2:$Z$120,MATCH(C7,'Decisions'!$C$2:$C$120,0)))</x:f>
      </x:c>
    </x:row>
    <x:row r="8" ht="90" customHeight="1">
      <x:c r="A8" s="6" t="n">
        <x:v>2018</x:v>
      </x:c>
      <x:c r="B8" s="6" t="str">
        <x:v>jama.2018.0948</x:v>
      </x:c>
      <x:c r="C8" s="6" t="str">
        <x:v>2018::jama.2018.0948::C003</x:v>
      </x:c>
      <x:c r="D8" s="6" t="str">
        <x:v>P_P</x:v>
      </x:c>
      <x:c r="E8" s="6" t="str">
        <x:v>Cardiac-arrest events assigned incompatible resuscitation-scale categories</x:v>
      </x:c>
      <x:c r="F8" s="6" t="str">
        <x:v>Cardiac-arrest events are described as categories 6/7 but a Table 6 legend calls events including cardiac arrest 4/5.</x:v>
      </x:c>
      <x:c r="G8" s="6" t="str">
        <x:f>IF(INDEX('Decisions'!$G$2:$G$120,MATCH(C8,'Decisions'!$C$2:$C$120,0))="","",INDEX('Decisions'!$G$2:$G$120,MATCH(C8,'Decisions'!$C$2:$C$120,0)))</x:f>
        <x:v>CHECK REVIEWER IDs</x:v>
      </x:c>
      <x:c r="H8" s="6" t="str">
        <x:f>IF(INDEX('Decisions'!$S$2:$S$120,MATCH(C8,'Decisions'!$C$2:$C$120,0))="","",INDEX('Decisions'!$S$2:$S$120,MATCH(C8,'Decisions'!$C$2:$C$120,0)))</x:f>
      </x:c>
      <x:c r="I8" s="6" t="str">
        <x:f>IF(INDEX('Decisions'!$Y$2:$Y$120,MATCH(C8,'Decisions'!$C$2:$C$120,0))="","",INDEX('Decisions'!$Y$2:$Y$120,MATCH(C8,'Decisions'!$C$2:$C$120,0)))</x:f>
        <x:v>not_applicable</x:v>
      </x:c>
      <x:c r="J8" s="6" t="str">
        <x:f>IF(INDEX('Decisions'!$X$2:$X$120,MATCH(C8,'Decisions'!$C$2:$C$120,0))="","",INDEX('Decisions'!$X$2:$X$120,MATCH(C8,'Decisions'!$C$2:$C$120,0)))</x:f>
        <x:v>not_applicable</x:v>
      </x:c>
      <x:c r="K8" s="6" t="str">
        <x:f>IF(INDEX('Decisions'!$Z$2:$Z$120,MATCH(C8,'Decisions'!$C$2:$C$120,0))="","",INDEX('Decisions'!$Z$2:$Z$120,MATCH(C8,'Decisions'!$C$2:$C$120,0)))</x:f>
      </x:c>
    </x:row>
    <x:row r="9" ht="90" customHeight="1">
      <x:c r="A9" s="3" t="n">
        <x:v>2018</x:v>
      </x:c>
      <x:c r="B9" s="3" t="str">
        <x:v>jama.2018.0948</x:v>
      </x:c>
      <x:c r="C9" s="3" t="str">
        <x:v>2018::jama.2018.0948::C004</x:v>
      </x:c>
      <x:c r="D9" s="3" t="str">
        <x:v>P_P</x:v>
      </x:c>
      <x:c r="E9" s="3" t="str">
        <x:v>Preventability threshold excludes and includes rating 4</x:v>
      </x:c>
      <x:c r="F9" s="3" t="str">
        <x:v>The preventability definition says &gt;4 while nearby and cross-source descriptions include rating 4.</x:v>
      </x:c>
      <x:c r="G9" s="3" t="str">
        <x:f>IF(INDEX('Decisions'!$G$2:$G$120,MATCH(C9,'Decisions'!$C$2:$C$120,0))="","",INDEX('Decisions'!$G$2:$G$120,MATCH(C9,'Decisions'!$C$2:$C$120,0)))</x:f>
        <x:v>CHECK REVIEWER IDs</x:v>
      </x:c>
      <x:c r="H9" s="3" t="str">
        <x:f>IF(INDEX('Decisions'!$S$2:$S$120,MATCH(C9,'Decisions'!$C$2:$C$120,0))="","",INDEX('Decisions'!$S$2:$S$120,MATCH(C9,'Decisions'!$C$2:$C$120,0)))</x:f>
      </x:c>
      <x:c r="I9" s="3" t="str">
        <x:f>IF(INDEX('Decisions'!$Y$2:$Y$120,MATCH(C9,'Decisions'!$C$2:$C$120,0))="","",INDEX('Decisions'!$Y$2:$Y$120,MATCH(C9,'Decisions'!$C$2:$C$120,0)))</x:f>
        <x:v>not_applicable</x:v>
      </x:c>
      <x:c r="J9" s="3" t="str">
        <x:f>IF(INDEX('Decisions'!$X$2:$X$120,MATCH(C9,'Decisions'!$C$2:$C$120,0))="","",INDEX('Decisions'!$X$2:$X$120,MATCH(C9,'Decisions'!$C$2:$C$120,0)))</x:f>
        <x:v>not_applicable</x:v>
      </x:c>
      <x:c r="K9" s="3" t="str">
        <x:f>IF(INDEX('Decisions'!$Z$2:$Z$120,MATCH(C9,'Decisions'!$C$2:$C$120,0))="","",INDEX('Decisions'!$Z$2:$Z$120,MATCH(C9,'Decisions'!$C$2:$C$120,0)))</x:f>
      </x:c>
    </x:row>
    <x:row r="10" ht="90" customHeight="1">
      <x:c r="A10" s="6" t="n">
        <x:v>2018</x:v>
      </x:c>
      <x:c r="B10" s="6" t="str">
        <x:v>jama.2018.0948</x:v>
      </x:c>
      <x:c r="C10" s="6" t="str">
        <x:v>2018::jama.2018.0948::C005</x:v>
      </x:c>
      <x:c r="D10" s="6" t="str">
        <x:v>P_P</x:v>
      </x:c>
      <x:c r="E10" s="6" t="str">
        <x:v>The same SCDE reference count is labelled annual and two-year</x:v>
      </x:c>
      <x:c r="F10" s="6" t="str">
        <x:v>The same 1,052 urgent ICU/PICU admission count is labelled annual and as a two-year total.</x:v>
      </x:c>
      <x:c r="G10" s="6" t="str">
        <x:f>IF(INDEX('Decisions'!$G$2:$G$120,MATCH(C10,'Decisions'!$C$2:$C$120,0))="","",INDEX('Decisions'!$G$2:$G$120,MATCH(C10,'Decisions'!$C$2:$C$120,0)))</x:f>
        <x:v>CHECK REVIEWER IDs</x:v>
      </x:c>
      <x:c r="H10" s="6" t="str">
        <x:f>IF(INDEX('Decisions'!$S$2:$S$120,MATCH(C10,'Decisions'!$C$2:$C$120,0))="","",INDEX('Decisions'!$S$2:$S$120,MATCH(C10,'Decisions'!$C$2:$C$120,0)))</x:f>
      </x:c>
      <x:c r="I10" s="6" t="str">
        <x:f>IF(INDEX('Decisions'!$Y$2:$Y$120,MATCH(C10,'Decisions'!$C$2:$C$120,0))="","",INDEX('Decisions'!$Y$2:$Y$120,MATCH(C10,'Decisions'!$C$2:$C$120,0)))</x:f>
        <x:v>not_applicable</x:v>
      </x:c>
      <x:c r="J10" s="6" t="str">
        <x:f>IF(INDEX('Decisions'!$X$2:$X$120,MATCH(C10,'Decisions'!$C$2:$C$120,0))="","",INDEX('Decisions'!$X$2:$X$120,MATCH(C10,'Decisions'!$C$2:$C$120,0)))</x:f>
        <x:v>not_applicable</x:v>
      </x:c>
      <x:c r="K10" s="6" t="str">
        <x:f>IF(INDEX('Decisions'!$Z$2:$Z$120,MATCH(C10,'Decisions'!$C$2:$C$120,0))="","",INDEX('Decisions'!$Z$2:$Z$120,MATCH(C10,'Decisions'!$C$2:$C$120,0)))</x:f>
      </x:c>
    </x:row>
    <x:row r="11" ht="90" customHeight="1">
      <x:c r="A11" s="3" t="n">
        <x:v>2018</x:v>
      </x:c>
      <x:c r="B11" s="3" t="str">
        <x:v>jama.2018.0948</x:v>
      </x:c>
      <x:c r="C11" s="3" t="str">
        <x:v>2018::jama.2018.0948::C006</x:v>
      </x:c>
      <x:c r="D11" s="3" t="str">
        <x:v>P_P</x:v>
      </x:c>
      <x:c r="E11" s="3" t="str">
        <x:v>Stat-call absolute reduction does not reproduce from the printed inputs</x:v>
      </x:c>
      <x:c r="F11" s="3" t="str">
        <x:v>The printed stat-call absolute reduction does not reproduce from the displayed baseline rate and relative reduction.</x:v>
      </x:c>
      <x:c r="G11" s="3" t="str">
        <x:f>IF(INDEX('Decisions'!$G$2:$G$120,MATCH(C11,'Decisions'!$C$2:$C$120,0))="","",INDEX('Decisions'!$G$2:$G$120,MATCH(C11,'Decisions'!$C$2:$C$120,0)))</x:f>
        <x:v>CHECK REVIEWER IDs</x:v>
      </x:c>
      <x:c r="H11" s="3" t="str">
        <x:f>IF(INDEX('Decisions'!$S$2:$S$120,MATCH(C11,'Decisions'!$C$2:$C$120,0))="","",INDEX('Decisions'!$S$2:$S$120,MATCH(C11,'Decisions'!$C$2:$C$120,0)))</x:f>
      </x:c>
      <x:c r="I11" s="3" t="str">
        <x:f>IF(INDEX('Decisions'!$Y$2:$Y$120,MATCH(C11,'Decisions'!$C$2:$C$120,0))="","",INDEX('Decisions'!$Y$2:$Y$120,MATCH(C11,'Decisions'!$C$2:$C$120,0)))</x:f>
        <x:v>not_applicable</x:v>
      </x:c>
      <x:c r="J11" s="3" t="str">
        <x:f>IF(INDEX('Decisions'!$X$2:$X$120,MATCH(C11,'Decisions'!$C$2:$C$120,0))="","",INDEX('Decisions'!$X$2:$X$120,MATCH(C11,'Decisions'!$C$2:$C$120,0)))</x:f>
        <x:v>not_applicable</x:v>
      </x:c>
      <x:c r="K11" s="3" t="str">
        <x:f>IF(INDEX('Decisions'!$Z$2:$Z$120,MATCH(C11,'Decisions'!$C$2:$C$120,0))="","",INDEX('Decisions'!$Z$2:$Z$120,MATCH(C11,'Decisions'!$C$2:$C$120,0)))</x:f>
      </x:c>
    </x:row>
    <x:row r="12" ht="90" customHeight="1">
      <x:c r="A12" s="6" t="n">
        <x:v>2018</x:v>
      </x:c>
      <x:c r="B12" s="6" t="str">
        <x:v>jama.2018.0948</x:v>
      </x:c>
      <x:c r="C12" s="6" t="str">
        <x:v>2018::jama.2018.0948::C007</x:v>
      </x:c>
      <x:c r="D12" s="6" t="str">
        <x:v>P_P</x:v>
      </x:c>
      <x:c r="E12" s="6" t="str">
        <x:v>Urgent PICU admission rates do not match the printed counts and denominators at conventional rounding</x:v>
      </x:c>
      <x:c r="F12" s="6" t="str">
        <x:v>Two printed urgent-PICU rates do not conventionally round from the displayed numerator and denominators.</x:v>
      </x:c>
      <x:c r="G12" s="6" t="str">
        <x:f>IF(INDEX('Decisions'!$G$2:$G$120,MATCH(C12,'Decisions'!$C$2:$C$120,0))="","",INDEX('Decisions'!$G$2:$G$120,MATCH(C12,'Decisions'!$C$2:$C$120,0)))</x:f>
        <x:v>CHECK REVIEWER IDs</x:v>
      </x:c>
      <x:c r="H12" s="6" t="str">
        <x:f>IF(INDEX('Decisions'!$S$2:$S$120,MATCH(C12,'Decisions'!$C$2:$C$120,0))="","",INDEX('Decisions'!$S$2:$S$120,MATCH(C12,'Decisions'!$C$2:$C$120,0)))</x:f>
      </x:c>
      <x:c r="I12" s="6" t="str">
        <x:f>IF(INDEX('Decisions'!$Y$2:$Y$120,MATCH(C12,'Decisions'!$C$2:$C$120,0))="","",INDEX('Decisions'!$Y$2:$Y$120,MATCH(C12,'Decisions'!$C$2:$C$120,0)))</x:f>
        <x:v>not_applicable</x:v>
      </x:c>
      <x:c r="J12" s="6" t="str">
        <x:f>IF(INDEX('Decisions'!$X$2:$X$120,MATCH(C12,'Decisions'!$C$2:$C$120,0))="","",INDEX('Decisions'!$X$2:$X$120,MATCH(C12,'Decisions'!$C$2:$C$120,0)))</x:f>
        <x:v>not_applicable</x:v>
      </x:c>
      <x:c r="K12" s="6" t="str">
        <x:f>IF(INDEX('Decisions'!$Z$2:$Z$120,MATCH(C12,'Decisions'!$C$2:$C$120,0))="","",INDEX('Decisions'!$Z$2:$Z$120,MATCH(C12,'Decisions'!$C$2:$C$120,0)))</x:f>
      </x:c>
    </x:row>
    <x:row r="13" ht="90" customHeight="1">
      <x:c r="A13" s="3" t="n">
        <x:v>2018</x:v>
      </x:c>
      <x:c r="B13" s="3" t="str">
        <x:v>jama.2018.14280</x:v>
      </x:c>
      <x:c r="C13" s="3" t="str">
        <x:v>2018::jama.2018.14280::C023</x:v>
      </x:c>
      <x:c r="D13" s="3" t="str">
        <x:v>P_R</x:v>
      </x:c>
      <x:c r="E13" s="3" t="str">
        <x:v>Enrollment completion dates differ by two days</x:v>
      </x:c>
      <x:c r="F13" s="3" t="str">
        <x:v>The main article reports enrollment through August 20, 2017, while the SAP reports enrollment complete on August 22, 2017.</x:v>
      </x:c>
      <x:c r="G13" s="3" t="str">
        <x:f>IF(INDEX('Decisions'!$G$2:$G$120,MATCH(C13,'Decisions'!$C$2:$C$120,0))="","",INDEX('Decisions'!$G$2:$G$120,MATCH(C13,'Decisions'!$C$2:$C$120,0)))</x:f>
        <x:v>CHECK REVIEWER IDs</x:v>
      </x:c>
      <x:c r="H13" s="3" t="str">
        <x:f>IF(INDEX('Decisions'!$S$2:$S$120,MATCH(C13,'Decisions'!$C$2:$C$120,0))="","",INDEX('Decisions'!$S$2:$S$120,MATCH(C13,'Decisions'!$C$2:$C$120,0)))</x:f>
      </x:c>
      <x:c r="I13" s="3" t="str">
        <x:f>IF(INDEX('Decisions'!$Y$2:$Y$120,MATCH(C13,'Decisions'!$C$2:$C$120,0))="","",INDEX('Decisions'!$Y$2:$Y$120,MATCH(C13,'Decisions'!$C$2:$C$120,0)))</x:f>
        <x:v>not_applicable</x:v>
      </x:c>
      <x:c r="J13" s="3" t="str">
        <x:f>IF(INDEX('Decisions'!$X$2:$X$120,MATCH(C13,'Decisions'!$C$2:$C$120,0))="","",INDEX('Decisions'!$X$2:$X$120,MATCH(C13,'Decisions'!$C$2:$C$120,0)))</x:f>
        <x:v>not_applicable</x:v>
      </x:c>
      <x:c r="K13" s="3" t="str">
        <x:f>IF(INDEX('Decisions'!$Z$2:$Z$120,MATCH(C13,'Decisions'!$C$2:$C$120,0))="","",INDEX('Decisions'!$Z$2:$Z$120,MATCH(C13,'Decisions'!$C$2:$C$120,0)))</x:f>
      </x:c>
    </x:row>
    <x:row r="14" ht="90" customHeight="1">
      <x:c r="A14" s="6" t="n">
        <x:v>2018</x:v>
      </x:c>
      <x:c r="B14" s="6" t="str">
        <x:v>jama.2018.14282</x:v>
      </x:c>
      <x:c r="C14" s="6" t="str">
        <x:v>2018::jama.2018.14282::C026</x:v>
      </x:c>
      <x:c r="D14" s="6" t="str">
        <x:v>P_P</x:v>
      </x:c>
      <x:c r="E14" s="6" t="str">
        <x:v>Noninferiority bound/sign wording conflicts with its explanatory axis</x:v>
      </x:c>
      <x:c r="F14" s="6" t="str">
        <x:v>Noninferiority wording uses a positive less than 9% lower-bound statement that is not reconciled with the negative-side margin on a new-treatment-minus-active-control axis.</x:v>
      </x:c>
      <x:c r="G14" s="6" t="str">
        <x:f>IF(INDEX('Decisions'!$G$2:$G$120,MATCH(C14,'Decisions'!$C$2:$C$120,0))="","",INDEX('Decisions'!$G$2:$G$120,MATCH(C14,'Decisions'!$C$2:$C$120,0)))</x:f>
        <x:v>CHECK REVIEWER IDs</x:v>
      </x:c>
      <x:c r="H14" s="6" t="str">
        <x:f>IF(INDEX('Decisions'!$S$2:$S$120,MATCH(C14,'Decisions'!$C$2:$C$120,0))="","",INDEX('Decisions'!$S$2:$S$120,MATCH(C14,'Decisions'!$C$2:$C$120,0)))</x:f>
      </x:c>
      <x:c r="I14" s="6" t="str">
        <x:f>IF(INDEX('Decisions'!$Y$2:$Y$120,MATCH(C14,'Decisions'!$C$2:$C$120,0))="","",INDEX('Decisions'!$Y$2:$Y$120,MATCH(C14,'Decisions'!$C$2:$C$120,0)))</x:f>
        <x:v>not_applicable</x:v>
      </x:c>
      <x:c r="J14" s="6" t="str">
        <x:f>IF(INDEX('Decisions'!$X$2:$X$120,MATCH(C14,'Decisions'!$C$2:$C$120,0))="","",INDEX('Decisions'!$X$2:$X$120,MATCH(C14,'Decisions'!$C$2:$C$120,0)))</x:f>
        <x:v>not_applicable</x:v>
      </x:c>
      <x:c r="K14" s="6" t="str">
        <x:f>IF(INDEX('Decisions'!$Z$2:$Z$120,MATCH(C14,'Decisions'!$C$2:$C$120,0))="","",INDEX('Decisions'!$Z$2:$Z$120,MATCH(C14,'Decisions'!$C$2:$C$120,0)))</x:f>
      </x:c>
    </x:row>
    <x:row r="15" ht="90" customHeight="1">
      <x:c r="A15" s="3" t="n">
        <x:v>2018</x:v>
      </x:c>
      <x:c r="B15" s="3" t="str">
        <x:v>jama.2018.14282</x:v>
      </x:c>
      <x:c r="C15" s="3" t="str">
        <x:v>2018::jama.2018.14282::C027</x:v>
      </x:c>
      <x:c r="D15" s="3" t="str">
        <x:v>P_P</x:v>
      </x:c>
      <x:c r="E15" s="3" t="str">
        <x:v>Primary-hypothesis intervention is labelled NIV while plans identify HFNO</x:v>
      </x:c>
      <x:c r="F15" s="3" t="str">
        <x:v>Primary-hypothesis sentences label the intervention NIV while adjacent and repeated plan wording identifies HFNO as the experimental intervention.</x:v>
      </x:c>
      <x:c r="G15" s="3" t="str">
        <x:f>IF(INDEX('Decisions'!$G$2:$G$120,MATCH(C15,'Decisions'!$C$2:$C$120,0))="","",INDEX('Decisions'!$G$2:$G$120,MATCH(C15,'Decisions'!$C$2:$C$120,0)))</x:f>
        <x:v>CHECK REVIEWER IDs</x:v>
      </x:c>
      <x:c r="H15" s="3" t="str">
        <x:f>IF(INDEX('Decisions'!$S$2:$S$120,MATCH(C15,'Decisions'!$C$2:$C$120,0))="","",INDEX('Decisions'!$S$2:$S$120,MATCH(C15,'Decisions'!$C$2:$C$120,0)))</x:f>
      </x:c>
      <x:c r="I15" s="3" t="str">
        <x:f>IF(INDEX('Decisions'!$Y$2:$Y$120,MATCH(C15,'Decisions'!$C$2:$C$120,0))="","",INDEX('Decisions'!$Y$2:$Y$120,MATCH(C15,'Decisions'!$C$2:$C$120,0)))</x:f>
        <x:v>not_applicable</x:v>
      </x:c>
      <x:c r="J15" s="3" t="str">
        <x:f>IF(INDEX('Decisions'!$X$2:$X$120,MATCH(C15,'Decisions'!$C$2:$C$120,0))="","",INDEX('Decisions'!$X$2:$X$120,MATCH(C15,'Decisions'!$C$2:$C$120,0)))</x:f>
        <x:v>not_applicable</x:v>
      </x:c>
      <x:c r="K15" s="3" t="str">
        <x:f>IF(INDEX('Decisions'!$Z$2:$Z$120,MATCH(C15,'Decisions'!$C$2:$C$120,0))="","",INDEX('Decisions'!$Z$2:$Z$120,MATCH(C15,'Decisions'!$C$2:$C$120,0)))</x:f>
      </x:c>
    </x:row>
    <x:row r="16" ht="90" customHeight="1">
      <x:c r="A16" s="6" t="n">
        <x:v>2018</x:v>
      </x:c>
      <x:c r="B16" s="6" t="str">
        <x:v>jama.2018.14282</x:v>
      </x:c>
      <x:c r="C16" s="6" t="str">
        <x:v>2018::jama.2018.14282::C028</x:v>
      </x:c>
      <x:c r="D16" s="6" t="str">
        <x:v>P_P</x:v>
      </x:c>
      <x:c r="E16" s="6" t="str">
        <x:v>Planned primary outcome alternates between day-28 vital status and hospital death</x:v>
      </x:c>
      <x:c r="F16" s="6" t="str">
        <x:v>Plan passages classify patients by day-28 vital status but then specify a relative risk of hospital death without explicitly equating the endpoints.</x:v>
      </x:c>
      <x:c r="G16" s="6" t="str">
        <x:f>IF(INDEX('Decisions'!$G$2:$G$120,MATCH(C16,'Decisions'!$C$2:$C$120,0))="","",INDEX('Decisions'!$G$2:$G$120,MATCH(C16,'Decisions'!$C$2:$C$120,0)))</x:f>
        <x:v>CHECK REVIEWER IDs</x:v>
      </x:c>
      <x:c r="H16" s="6" t="str">
        <x:f>IF(INDEX('Decisions'!$S$2:$S$120,MATCH(C16,'Decisions'!$C$2:$C$120,0))="","",INDEX('Decisions'!$S$2:$S$120,MATCH(C16,'Decisions'!$C$2:$C$120,0)))</x:f>
      </x:c>
      <x:c r="I16" s="6" t="str">
        <x:f>IF(INDEX('Decisions'!$Y$2:$Y$120,MATCH(C16,'Decisions'!$C$2:$C$120,0))="","",INDEX('Decisions'!$Y$2:$Y$120,MATCH(C16,'Decisions'!$C$2:$C$120,0)))</x:f>
        <x:v>not_applicable</x:v>
      </x:c>
      <x:c r="J16" s="6" t="str">
        <x:f>IF(INDEX('Decisions'!$X$2:$X$120,MATCH(C16,'Decisions'!$C$2:$C$120,0))="","",INDEX('Decisions'!$X$2:$X$120,MATCH(C16,'Decisions'!$C$2:$C$120,0)))</x:f>
        <x:v>not_applicable</x:v>
      </x:c>
      <x:c r="K16" s="6" t="str">
        <x:f>IF(INDEX('Decisions'!$Z$2:$Z$120,MATCH(C16,'Decisions'!$C$2:$C$120,0))="","",INDEX('Decisions'!$Z$2:$Z$120,MATCH(C16,'Decisions'!$C$2:$C$120,0)))</x:f>
      </x:c>
    </x:row>
    <x:row r="17" ht="90" customHeight="1">
      <x:c r="A17" s="3" t="n">
        <x:v>2018</x:v>
      </x:c>
      <x:c r="B17" s="3" t="str">
        <x:v>jama.2018.6496</x:v>
      </x:c>
      <x:c r="C17" s="3" t="str">
        <x:v>2018::jama.2018.6496::C003</x:v>
      </x:c>
      <x:c r="D17" s="3" t="str">
        <x:v>P_R</x:v>
      </x:c>
      <x:c r="E17" s="3" t="str">
        <x:v>Protocol and published hypoxemia observation windows use different endpoint events</x:v>
      </x:c>
      <x:c r="F17" s="3" t="str">
        <x:v>The protocol ends hypoxemia surveillance one minute after ETT-cuff inflation, while the published materials end it one minute after intubation-attempt completion; the supplied package does not document whether those events were treated as equivalent or whether the definition changed.</x:v>
      </x:c>
      <x:c r="G17" s="3" t="str">
        <x:f>IF(INDEX('Decisions'!$G$2:$G$120,MATCH(C17,'Decisions'!$C$2:$C$120,0))="","",INDEX('Decisions'!$G$2:$G$120,MATCH(C17,'Decisions'!$C$2:$C$120,0)))</x:f>
        <x:v>CHECK REVIEWER IDs</x:v>
      </x:c>
      <x:c r="H17" s="3" t="str">
        <x:f>IF(INDEX('Decisions'!$S$2:$S$120,MATCH(C17,'Decisions'!$C$2:$C$120,0))="","",INDEX('Decisions'!$S$2:$S$120,MATCH(C17,'Decisions'!$C$2:$C$120,0)))</x:f>
      </x:c>
      <x:c r="I17" s="3" t="str">
        <x:f>IF(INDEX('Decisions'!$Y$2:$Y$120,MATCH(C17,'Decisions'!$C$2:$C$120,0))="","",INDEX('Decisions'!$Y$2:$Y$120,MATCH(C17,'Decisions'!$C$2:$C$120,0)))</x:f>
        <x:v>not_applicable</x:v>
      </x:c>
      <x:c r="J17" s="3" t="str">
        <x:f>IF(INDEX('Decisions'!$X$2:$X$120,MATCH(C17,'Decisions'!$C$2:$C$120,0))="","",INDEX('Decisions'!$X$2:$X$120,MATCH(C17,'Decisions'!$C$2:$C$120,0)))</x:f>
        <x:v>not_applicable</x:v>
      </x:c>
      <x:c r="K17" s="3" t="str">
        <x:f>IF(INDEX('Decisions'!$Z$2:$Z$120,MATCH(C17,'Decisions'!$C$2:$C$120,0))="","",INDEX('Decisions'!$Z$2:$Z$120,MATCH(C17,'Decisions'!$C$2:$C$120,0)))</x:f>
      </x:c>
    </x:row>
    <x:row r="18" ht="90" customHeight="1">
      <x:c r="A18" s="6" t="n">
        <x:v>2018</x:v>
      </x:c>
      <x:c r="B18" s="6" t="str">
        <x:v>jama.2018.6496</x:v>
      </x:c>
      <x:c r="C18" s="6" t="str">
        <x:v>2018::jama.2018.6496::C004</x:v>
      </x:c>
      <x:c r="D18" s="6" t="str">
        <x:v>P_R</x:v>
      </x:c>
      <x:c r="E18" s="6" t="str">
        <x:v>Protocol and published first-attempt-duration measures use different endpoint events</x:v>
      </x:c>
      <x:c r="F18" s="6" t="str">
        <x:v>The protocol defines first-attempt time to intubation through ETT-cuff inflation, whereas the published analyses use blade removal; the supplied package does not document how or why the measurement endpoint changed.</x:v>
      </x:c>
      <x:c r="G18" s="6" t="str">
        <x:f>IF(INDEX('Decisions'!$G$2:$G$120,MATCH(C18,'Decisions'!$C$2:$C$120,0))="","",INDEX('Decisions'!$G$2:$G$120,MATCH(C18,'Decisions'!$C$2:$C$120,0)))</x:f>
        <x:v>CHECK REVIEWER IDs</x:v>
      </x:c>
      <x:c r="H18" s="6" t="str">
        <x:f>IF(INDEX('Decisions'!$S$2:$S$120,MATCH(C18,'Decisions'!$C$2:$C$120,0))="","",INDEX('Decisions'!$S$2:$S$120,MATCH(C18,'Decisions'!$C$2:$C$120,0)))</x:f>
      </x:c>
      <x:c r="I18" s="6" t="str">
        <x:f>IF(INDEX('Decisions'!$Y$2:$Y$120,MATCH(C18,'Decisions'!$C$2:$C$120,0))="","",INDEX('Decisions'!$Y$2:$Y$120,MATCH(C18,'Decisions'!$C$2:$C$120,0)))</x:f>
        <x:v>not_applicable</x:v>
      </x:c>
      <x:c r="J18" s="6" t="str">
        <x:f>IF(INDEX('Decisions'!$X$2:$X$120,MATCH(C18,'Decisions'!$C$2:$C$120,0))="","",INDEX('Decisions'!$X$2:$X$120,MATCH(C18,'Decisions'!$C$2:$C$120,0)))</x:f>
        <x:v>not_applicable</x:v>
      </x:c>
      <x:c r="K18" s="6" t="str">
        <x:f>IF(INDEX('Decisions'!$Z$2:$Z$120,MATCH(C18,'Decisions'!$C$2:$C$120,0))="","",INDEX('Decisions'!$Z$2:$Z$120,MATCH(C18,'Decisions'!$C$2:$C$120,0)))</x:f>
      </x:c>
    </x:row>
    <x:row r="19" ht="90" customHeight="1">
      <x:c r="A19" s="3" t="n">
        <x:v>2018</x:v>
      </x:c>
      <x:c r="B19" s="3" t="str">
        <x:v>jama.2018.8802</x:v>
      </x:c>
      <x:c r="C19" s="3" t="str">
        <x:v>2018::jama.2018.8802::C002</x:v>
      </x:c>
      <x:c r="D19" s="3" t="str">
        <x:v>P_R</x:v>
      </x:c>
      <x:c r="E19" s="3" t="str">
        <x:v>LDL eligibility boundary differs between result labels and supplied measure definition</x:v>
      </x:c>
      <x:c r="F19" s="3" t="str">
        <x:v>The main and sensitivity result rows use LDL &gt;100 mg/dL, while supplied formal measure definitions use LDL ≥100 mg/dL.</x:v>
      </x:c>
      <x:c r="G19" s="3" t="str">
        <x:f>IF(INDEX('Decisions'!$G$2:$G$120,MATCH(C19,'Decisions'!$C$2:$C$120,0))="","",INDEX('Decisions'!$G$2:$G$120,MATCH(C19,'Decisions'!$C$2:$C$120,0)))</x:f>
        <x:v>CHECK REVIEWER IDs</x:v>
      </x:c>
      <x:c r="H19" s="3" t="str">
        <x:f>IF(INDEX('Decisions'!$S$2:$S$120,MATCH(C19,'Decisions'!$C$2:$C$120,0))="","",INDEX('Decisions'!$S$2:$S$120,MATCH(C19,'Decisions'!$C$2:$C$120,0)))</x:f>
      </x:c>
      <x:c r="I19" s="3" t="str">
        <x:f>IF(INDEX('Decisions'!$Y$2:$Y$120,MATCH(C19,'Decisions'!$C$2:$C$120,0))="","",INDEX('Decisions'!$Y$2:$Y$120,MATCH(C19,'Decisions'!$C$2:$C$120,0)))</x:f>
        <x:v>not_applicable</x:v>
      </x:c>
      <x:c r="J19" s="3" t="str">
        <x:f>IF(INDEX('Decisions'!$X$2:$X$120,MATCH(C19,'Decisions'!$C$2:$C$120,0))="","",INDEX('Decisions'!$X$2:$X$120,MATCH(C19,'Decisions'!$C$2:$C$120,0)))</x:f>
        <x:v>not_applicable</x:v>
      </x:c>
      <x:c r="K19" s="3" t="str">
        <x:f>IF(INDEX('Decisions'!$Z$2:$Z$120,MATCH(C19,'Decisions'!$C$2:$C$120,0))="","",INDEX('Decisions'!$Z$2:$Z$120,MATCH(C19,'Decisions'!$C$2:$C$120,0)))</x:f>
      </x:c>
    </x:row>
    <x:row r="20" ht="90" customHeight="1">
      <x:c r="A20" s="6" t="n">
        <x:v>2018</x:v>
      </x:c>
      <x:c r="B20" s="6" t="str">
        <x:v>jama.2018.9128</x:v>
      </x:c>
      <x:c r="C20" s="6" t="str">
        <x:v>2018::jama.2018.9128::C009</x:v>
      </x:c>
      <x:c r="D20" s="6" t="str">
        <x:v>P_P</x:v>
      </x:c>
      <x:c r="E20" s="6" t="str">
        <x:v>Final SAP says six assessment points but enumerates five</x:v>
      </x:c>
      <x:c r="F20" s="6" t="str">
        <x:v>The final SAP states six time points but its parenthetical schedule lists only baseline, 3, 9, 12, and 36 months.</x:v>
      </x:c>
      <x:c r="G20" s="6" t="str">
        <x:f>IF(INDEX('Decisions'!$G$2:$G$120,MATCH(C20,'Decisions'!$C$2:$C$120,0))="","",INDEX('Decisions'!$G$2:$G$120,MATCH(C20,'Decisions'!$C$2:$C$120,0)))</x:f>
        <x:v>CHECK REVIEWER IDs</x:v>
      </x:c>
      <x:c r="H20" s="6" t="str">
        <x:f>IF(INDEX('Decisions'!$S$2:$S$120,MATCH(C20,'Decisions'!$C$2:$C$120,0))="","",INDEX('Decisions'!$S$2:$S$120,MATCH(C20,'Decisions'!$C$2:$C$120,0)))</x:f>
      </x:c>
      <x:c r="I20" s="6" t="str">
        <x:f>IF(INDEX('Decisions'!$Y$2:$Y$120,MATCH(C20,'Decisions'!$C$2:$C$120,0))="","",INDEX('Decisions'!$Y$2:$Y$120,MATCH(C20,'Decisions'!$C$2:$C$120,0)))</x:f>
        <x:v>not_applicable</x:v>
      </x:c>
      <x:c r="J20" s="6" t="str">
        <x:f>IF(INDEX('Decisions'!$X$2:$X$120,MATCH(C20,'Decisions'!$C$2:$C$120,0))="","",INDEX('Decisions'!$X$2:$X$120,MATCH(C20,'Decisions'!$C$2:$C$120,0)))</x:f>
        <x:v>not_applicable</x:v>
      </x:c>
      <x:c r="K20" s="6" t="str">
        <x:f>IF(INDEX('Decisions'!$Z$2:$Z$120,MATCH(C20,'Decisions'!$C$2:$C$120,0))="","",INDEX('Decisions'!$Z$2:$Z$120,MATCH(C20,'Decisions'!$C$2:$C$120,0)))</x:f>
      </x:c>
    </x:row>
    <x:row r="21" ht="90" customHeight="1">
      <x:c r="A21" s="3" t="n">
        <x:v>2018</x:v>
      </x:c>
      <x:c r="B21" s="3" t="str">
        <x:v>jama.2018.9128</x:v>
      </x:c>
      <x:c r="C21" s="3" t="str">
        <x:v>2018::jama.2018.9128::C010</x:v>
      </x:c>
      <x:c r="D21" s="3" t="str">
        <x:v>P_P</x:v>
      </x:c>
      <x:c r="E21" s="3" t="str">
        <x:v>Revised protocol gives six points but lists seven including 48 months</x:v>
      </x:c>
      <x:c r="F21" s="3" t="str">
        <x:v>The revised protocol calls the schedule six points/T1-T6 while listing seven occasions, including 48 months.</x:v>
      </x:c>
      <x:c r="G21" s="3" t="str">
        <x:f>IF(INDEX('Decisions'!$G$2:$G$120,MATCH(C21,'Decisions'!$C$2:$C$120,0))="","",INDEX('Decisions'!$G$2:$G$120,MATCH(C21,'Decisions'!$C$2:$C$120,0)))</x:f>
        <x:v>CHECK REVIEWER IDs</x:v>
      </x:c>
      <x:c r="H21" s="3" t="str">
        <x:f>IF(INDEX('Decisions'!$S$2:$S$120,MATCH(C21,'Decisions'!$C$2:$C$120,0))="","",INDEX('Decisions'!$S$2:$S$120,MATCH(C21,'Decisions'!$C$2:$C$120,0)))</x:f>
      </x:c>
      <x:c r="I21" s="3" t="str">
        <x:f>IF(INDEX('Decisions'!$Y$2:$Y$120,MATCH(C21,'Decisions'!$C$2:$C$120,0))="","",INDEX('Decisions'!$Y$2:$Y$120,MATCH(C21,'Decisions'!$C$2:$C$120,0)))</x:f>
        <x:v>not_applicable</x:v>
      </x:c>
      <x:c r="J21" s="3" t="str">
        <x:f>IF(INDEX('Decisions'!$X$2:$X$120,MATCH(C21,'Decisions'!$C$2:$C$120,0))="","",INDEX('Decisions'!$X$2:$X$120,MATCH(C21,'Decisions'!$C$2:$C$120,0)))</x:f>
        <x:v>not_applicable</x:v>
      </x:c>
      <x:c r="K21" s="3" t="str">
        <x:f>IF(INDEX('Decisions'!$Z$2:$Z$120,MATCH(C21,'Decisions'!$C$2:$C$120,0))="","",INDEX('Decisions'!$Z$2:$Z$120,MATCH(C21,'Decisions'!$C$2:$C$120,0)))</x:f>
      </x:c>
    </x:row>
    <x:row r="22" ht="90" customHeight="1">
      <x:c r="A22" s="6" t="n">
        <x:v>2018</x:v>
      </x:c>
      <x:c r="B22" s="6" t="str">
        <x:v>jama.2018.9128</x:v>
      </x:c>
      <x:c r="C22" s="6" t="str">
        <x:v>2018::jama.2018.9128::C011</x:v>
      </x:c>
      <x:c r="D22" s="6" t="str">
        <x:v>P_R</x:v>
      </x:c>
      <x:c r="E22" s="6" t="str">
        <x:v>Original protocol labels primary outcome as BMI percentile/BMI% while results use BMI kg/m²</x:v>
      </x:c>
      <x:c r="F22" s="6" t="str">
        <x:v>The original protocol labels the primary outcome BMI Percentile/BMI%, whereas the final SAP, article, and eTable report raw BMI in kg/m².</x:v>
      </x:c>
      <x:c r="G22" s="6" t="str">
        <x:f>IF(INDEX('Decisions'!$G$2:$G$120,MATCH(C22,'Decisions'!$C$2:$C$120,0))="","",INDEX('Decisions'!$G$2:$G$120,MATCH(C22,'Decisions'!$C$2:$C$120,0)))</x:f>
        <x:v>CHECK REVIEWER IDs</x:v>
      </x:c>
      <x:c r="H22" s="6" t="str">
        <x:f>IF(INDEX('Decisions'!$S$2:$S$120,MATCH(C22,'Decisions'!$C$2:$C$120,0))="","",INDEX('Decisions'!$S$2:$S$120,MATCH(C22,'Decisions'!$C$2:$C$120,0)))</x:f>
      </x:c>
      <x:c r="I22" s="6" t="str">
        <x:f>IF(INDEX('Decisions'!$Y$2:$Y$120,MATCH(C22,'Decisions'!$C$2:$C$120,0))="","",INDEX('Decisions'!$Y$2:$Y$120,MATCH(C22,'Decisions'!$C$2:$C$120,0)))</x:f>
        <x:v>not_applicable</x:v>
      </x:c>
      <x:c r="J22" s="6" t="str">
        <x:f>IF(INDEX('Decisions'!$X$2:$X$120,MATCH(C22,'Decisions'!$C$2:$C$120,0))="","",INDEX('Decisions'!$X$2:$X$120,MATCH(C22,'Decisions'!$C$2:$C$120,0)))</x:f>
        <x:v>not_applicable</x:v>
      </x:c>
      <x:c r="K22" s="6" t="str">
        <x:f>IF(INDEX('Decisions'!$Z$2:$Z$120,MATCH(C22,'Decisions'!$C$2:$C$120,0))="","",INDEX('Decisions'!$Z$2:$Z$120,MATCH(C22,'Decisions'!$C$2:$C$120,0)))</x:f>
      </x:c>
    </x:row>
    <x:row r="23" ht="90" customHeight="1">
      <x:c r="A23" s="3" t="n">
        <x:v>2018</x:v>
      </x:c>
      <x:c r="B23" s="3" t="str">
        <x:v>jama.2018.9128</x:v>
      </x:c>
      <x:c r="C23" s="3" t="str">
        <x:v>2018::jama.2018.9128::C012</x:v>
      </x:c>
      <x:c r="D23" s="3" t="str">
        <x:v>P_R</x:v>
      </x:c>
      <x:c r="E23" s="3" t="str">
        <x:v>Control-condition session count and duration differ across protocol versions and article</x:v>
      </x:c>
      <x:c r="F23" s="3" t="str">
        <x:v>The supplied original protocol, revised protocol, and article describe control exposure as 12×60, 7×45, and 6×30 minutes, respectively, without a supplied component mapping.</x:v>
      </x:c>
      <x:c r="G23" s="3" t="str">
        <x:f>IF(INDEX('Decisions'!$G$2:$G$120,MATCH(C23,'Decisions'!$C$2:$C$120,0))="","",INDEX('Decisions'!$G$2:$G$120,MATCH(C23,'Decisions'!$C$2:$C$120,0)))</x:f>
        <x:v>CHECK REVIEWER IDs</x:v>
      </x:c>
      <x:c r="H23" s="3" t="str">
        <x:f>IF(INDEX('Decisions'!$S$2:$S$120,MATCH(C23,'Decisions'!$C$2:$C$120,0))="","",INDEX('Decisions'!$S$2:$S$120,MATCH(C23,'Decisions'!$C$2:$C$120,0)))</x:f>
      </x:c>
      <x:c r="I23" s="3" t="str">
        <x:f>IF(INDEX('Decisions'!$Y$2:$Y$120,MATCH(C23,'Decisions'!$C$2:$C$120,0))="","",INDEX('Decisions'!$Y$2:$Y$120,MATCH(C23,'Decisions'!$C$2:$C$120,0)))</x:f>
        <x:v>not_applicable</x:v>
      </x:c>
      <x:c r="J23" s="3" t="str">
        <x:f>IF(INDEX('Decisions'!$X$2:$X$120,MATCH(C23,'Decisions'!$C$2:$C$120,0))="","",INDEX('Decisions'!$X$2:$X$120,MATCH(C23,'Decisions'!$C$2:$C$120,0)))</x:f>
        <x:v>not_applicable</x:v>
      </x:c>
      <x:c r="K23" s="3" t="str">
        <x:f>IF(INDEX('Decisions'!$Z$2:$Z$120,MATCH(C23,'Decisions'!$C$2:$C$120,0))="","",INDEX('Decisions'!$Z$2:$Z$120,MATCH(C23,'Decisions'!$C$2:$C$120,0)))</x:f>
      </x:c>
    </x:row>
  </x:sheetData>
  <x:pageMargins left="0.7" right="0.7" top="0.75" bottom="0.75" header="0.3" footer="0.3"/>
</x:worksheet>
</file>

<file path=xl/worksheets/sheet19.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6" hidden="0" customWidth="1"/>
    <x:col min="2" max="2" width="26" hidden="0" customWidth="1"/>
    <x:col min="3" max="3" width="26" hidden="0" customWidth="1"/>
    <x:col min="4" max="4" width="26" hidden="0" customWidth="1"/>
    <x:col min="5" max="5" width="26" hidden="0" customWidth="1"/>
    <x:col min="6" max="6" width="26" hidden="0" customWidth="1"/>
    <x:col min="7" max="7" width="44" hidden="0" customWidth="1"/>
    <x:col min="8" max="8" width="26" hidden="0" customWidth="1"/>
    <x:col min="9" max="9" width="75" hidden="0" customWidth="1"/>
    <x:col min="10" max="10" width="26" hidden="0" customWidth="1"/>
    <x:col min="11" max="11" width="26" hidden="0" customWidth="1"/>
    <x:col min="12" max="12" width="26" hidden="0" customWidth="1"/>
    <x:col min="13" max="13" width="26" hidden="0" customWidth="1"/>
    <x:col min="14" max="14" width="80" hidden="0" customWidth="1"/>
    <x:col min="15" max="15" width="26" hidden="0" customWidth="1"/>
    <x:col min="16" max="16" width="26" hidden="0" customWidth="1"/>
    <x:col min="17" max="17" width="26" hidden="0" customWidth="1"/>
    <x:col min="18" max="18" width="26" hidden="0" customWidth="1"/>
    <x:col min="19" max="19" width="90" hidden="0" customWidth="1"/>
    <x:col min="20" max="20" width="26" hidden="0" customWidth="1"/>
    <x:col min="21" max="21" width="26" hidden="0" customWidth="1"/>
    <x:col min="22" max="22" width="26" hidden="0" customWidth="1"/>
    <x:col min="23" max="23" width="65" hidden="0" customWidth="1"/>
    <x:col min="24" max="24" width="26" hidden="0" customWidth="1"/>
    <x:col min="25" max="25" width="26" hidden="0" customWidth="1"/>
    <x:col min="26" max="26" width="26" hidden="0" customWidth="1"/>
    <x:col min="27" max="27" width="26" hidden="0" customWidth="1"/>
    <x:col min="28" max="28" width="26" hidden="0" customWidth="1"/>
  </x:cols>
  <x:sheetData>
    <x:row r="1" ht="42" customHeight="1">
      <x:c r="A1" s="5" t="str">
        <x:v>additionalSensitivityExclude</x:v>
      </x:c>
      <x:c r="B1" s="5" t="str">
        <x:v>ambiguity</x:v>
      </x:c>
      <x:c r="C1" s="5" t="str">
        <x:v>broadPlanInvolved</x:v>
      </x:c>
      <x:c r="D1" s="5" t="str">
        <x:v>category</x:v>
      </x:c>
      <x:c r="E1" s="5" t="str">
        <x:v>currentReportCrossDocument</x:v>
      </x:c>
      <x:c r="F1" s="5" t="str">
        <x:v>id</x:v>
      </x:c>
      <x:c r="G1" s="5" t="str">
        <x:v>key</x:v>
      </x:c>
      <x:c r="H1" s="5" t="str">
        <x:v>legacyRelationship</x:v>
      </x:c>
      <x:c r="I1" s="5" t="str">
        <x:v>locations</x:v>
      </x:c>
      <x:c r="J1" s="5" t="str">
        <x:v>originalCrossDocument</x:v>
      </x:c>
      <x:c r="K1" s="5" t="str">
        <x:v>package</x:v>
      </x:c>
      <x:c r="L1" s="5" t="str">
        <x:v>planMechanism</x:v>
      </x:c>
      <x:c r="M1" s="5" t="str">
        <x:v>primary</x:v>
      </x:c>
      <x:c r="N1" s="5" t="str">
        <x:v>rationale</x:v>
      </x:c>
      <x:c r="O1" s="5" t="str">
        <x:v>reportHref</x:v>
      </x:c>
      <x:c r="P1" s="5" t="str">
        <x:v>reportPath</x:v>
      </x:c>
      <x:c r="Q1" s="5" t="str">
        <x:v>sourceId</x:v>
      </x:c>
      <x:c r="R1" s="5" t="str">
        <x:v>sourceStatus</x:v>
      </x:c>
      <x:c r="S1" s="5" t="str">
        <x:v>statement</x:v>
      </x:c>
      <x:c r="T1" s="5" t="str">
        <x:v>submissionInvolved</x:v>
      </x:c>
      <x:c r="U1" s="5" t="str">
        <x:v>subtype</x:v>
      </x:c>
      <x:c r="V1" s="5" t="str">
        <x:v>suggestedDomain</x:v>
      </x:c>
      <x:c r="W1" s="5" t="str">
        <x:v>title</x:v>
      </x:c>
      <x:c r="X1" s="5" t="str">
        <x:v>year</x:v>
      </x:c>
      <x:c r="Y1" s="5" t="str">
        <x:v>ai_source</x:v>
      </x:c>
      <x:c r="Z1" s="5" t="str">
        <x:v>ai_relationship</x:v>
      </x:c>
      <x:c r="AA1" s="5" t="str">
        <x:v>ai_domain</x:v>
      </x:c>
      <x:c r="AB1" s="5" t="str">
        <x:v>ai_disposition</x:v>
      </x:c>
    </x:row>
    <x:row r="2" ht="90" customHeight="1">
      <x:c r="A2" s="12" t="b">
        <x:v>0</x:v>
      </x:c>
      <x:c r="B2" s="6"/>
      <x:c r="C2" s="12" t="b">
        <x:v>0</x:v>
      </x:c>
      <x:c r="D2" s="6" t="str">
        <x:v>Statistical reporting inconsistency</x:v>
      </x:c>
      <x:c r="E2" s="12" t="b">
        <x:v>0</x:v>
      </x:c>
      <x:c r="F2" s="6" t="str">
        <x:v>C001</x:v>
      </x:c>
      <x:c r="G2" s="6" t="str">
        <x:v>2018::jama.2017.21906::C001</x:v>
      </x:c>
      <x:c r="H2" s="6"/>
      <x:c r="I2" s="6" t="str">
        <x:v>Main article — PDF p. 6, Table 2 In-hospital β-blocker row and adjacent Results narrative.</x:v>
      </x:c>
      <x:c r="J2" s="12" t="b">
        <x:v>0</x:v>
      </x:c>
      <x:c r="K2" s="6" t="str">
        <x:v>jama.2017.21906</x:v>
      </x:c>
      <x:c r="L2" s="6"/>
      <x:c r="M2" s="6" t="str">
        <x:v>S_W</x:v>
      </x:c>
      <x:c r="N2" s="6" t="str">
        <x:v>The same named adjusted in-hospital beta-blocker result prints different upper risk-difference CI endpoints. The focal mismatch is within the main article.</x:v>
      </x:c>
      <x:c r="O2" s="6" t="str">
        <x:v>../../2018/jama.2017.21906/.ai_paper_validation/final_report_1_5_2.html</x:v>
      </x:c>
      <x:c r="P2" s="6" t="str">
        <x:v>2018/jama.2017.21906/.ai_paper_validation/final_report_1_5_2.md</x:v>
      </x:c>
      <x:c r="Q2" s="6" t="str">
        <x:v>C001</x:v>
      </x:c>
      <x:c r="R2" s="6" t="str">
        <x:v>Pending Human Adjudication</x:v>
      </x:c>
      <x:c r="S2" s="6" t="str">
        <x:v>The same named adjusted in-hospital beta-blocker result prints different upper risk-difference CI endpoints.</x:v>
      </x:c>
      <x:c r="T2" s="12" t="b">
        <x:v>1</x:v>
      </x:c>
      <x:c r="U2" s="6" t="str">
        <x:v>repeated_ci_endpoint</x:v>
      </x:c>
      <x:c r="V2" s="6" t="str">
        <x:v>statistical_results</x:v>
      </x:c>
      <x:c r="W2" s="6" t="str">
        <x:v>In-hospital beta-blocker adjusted-risk-difference CI endpoint differs between Table 2 and narrative</x:v>
      </x:c>
      <x:c r="X2" s="6" t="str">
        <x:v>2018</x:v>
      </x:c>
      <x:c r="Y2" s="6" t="str">
        <x:v>meta_report/consistency_reclassification_2026-09-04/reclassified_candidates.json</x:v>
      </x:c>
      <x:c r="Z2" s="6" t="str">
        <x:v>S_W</x:v>
      </x:c>
      <x:c r="AA2" s="6" t="str">
        <x:v>statistical_results</x:v>
      </x:c>
      <x:c r="AB2" s="6" t="str">
        <x:v>retain</x:v>
      </x:c>
    </x:row>
    <x:row r="3" ht="90" customHeight="1">
      <x:c r="A3" s="11" t="b">
        <x:v>0</x:v>
      </x:c>
      <x:c r="B3" s="3"/>
      <x:c r="C3" s="11" t="b">
        <x:v>0</x:v>
      </x:c>
      <x:c r="D3" s="3" t="str">
        <x:v>Cross-document numeric inconsistency</x:v>
      </x:c>
      <x:c r="E3" s="11" t="b">
        <x:v>0</x:v>
      </x:c>
      <x:c r="F3" s="3" t="str">
        <x:v>C002</x:v>
      </x:c>
      <x:c r="G3" s="3" t="str">
        <x:v>2018::jama.2017.21906::C002</x:v>
      </x:c>
      <x:c r="H3" s="3"/>
      <x:c r="I3" s="3" t="str">
        <x:v>Main article — PDF p. 6, Table 2 Discharge β-blocker row; Main article — PDF p. 7, Results narrative.</x:v>
      </x:c>
      <x:c r="J3" s="11" t="b">
        <x:v>1</x:v>
      </x:c>
      <x:c r="K3" s="3" t="str">
        <x:v>jama.2017.21906</x:v>
      </x:c>
      <x:c r="L3" s="3"/>
      <x:c r="M3" s="3" t="str">
        <x:v>S_W</x:v>
      </x:c>
      <x:c r="N3" s="3" t="str">
        <x:v>Table 2 and Results narrative in the same main PDF report discharge beta-blocker RD 6.69 versus 6.63 and OR 1.48 versus 1.47 with identical intervals. Despite its original cross-document category, both discrepant occurrences are within the main article.</x:v>
      </x:c>
      <x:c r="O3" s="3" t="str">
        <x:v>../../2018/jama.2017.21906/.ai_paper_validation/final_report_1_5_2.html</x:v>
      </x:c>
      <x:c r="P3" s="3" t="str">
        <x:v>2018/jama.2017.21906/.ai_paper_validation/final_report_1_5_2.md</x:v>
      </x:c>
      <x:c r="Q3" s="3" t="str">
        <x:v>C002</x:v>
      </x:c>
      <x:c r="R3" s="3" t="str">
        <x:v>Pending Human Adjudication</x:v>
      </x:c>
      <x:c r="S3" s="3" t="str">
        <x:v>Table 2 and the narrative print different adjusted discharge beta-blocker risk differences and ORs while printing identical intervals.</x:v>
      </x:c>
      <x:c r="T3" s="11" t="b">
        <x:v>1</x:v>
      </x:c>
      <x:c r="U3" s="3" t="str">
        <x:v>repeated_effect_estimate</x:v>
      </x:c>
      <x:c r="V3" s="3" t="str">
        <x:v>report_internal_inconsistency</x:v>
      </x:c>
      <x:c r="W3" s="3" t="str">
        <x:v>Discharge beta-blocker adjusted point estimates differ between Table 2 and narrative</x:v>
      </x:c>
      <x:c r="X3" s="3" t="str">
        <x:v>2018</x:v>
      </x:c>
      <x:c r="Y3" s="3" t="str">
        <x:v>meta_report/consistency_reclassification_2026-09-04/reclassified_candidates.json</x:v>
      </x:c>
      <x:c r="Z3" s="3" t="str">
        <x:v>S_W</x:v>
      </x:c>
      <x:c r="AA3" s="3" t="str">
        <x:v>report_internal_inconsistency</x:v>
      </x:c>
      <x:c r="AB3" s="3" t="str">
        <x:v>retain</x:v>
      </x:c>
    </x:row>
    <x:row r="4" ht="90" customHeight="1">
      <x:c r="A4" s="12" t="b">
        <x:v>0</x:v>
      </x:c>
      <x:c r="B4" s="6"/>
      <x:c r="C4" s="12" t="b">
        <x:v>0</x:v>
      </x:c>
      <x:c r="D4" s="6" t="str">
        <x:v>Measure, label, or scale inconsistency</x:v>
      </x:c>
      <x:c r="E4" s="12" t="b">
        <x:v>0</x:v>
      </x:c>
      <x:c r="F4" s="6" t="str">
        <x:v>C003</x:v>
      </x:c>
      <x:c r="G4" s="6" t="str">
        <x:v>2018::jama.2017.21906::C003</x:v>
      </x:c>
      <x:c r="H4" s="6"/>
      <x:c r="I4" s="6" t="str">
        <x:v>Online supplement — PDF p. 17, eTable 1 title, headers, values, and footnote a.</x:v>
      </x:c>
      <x:c r="J4" s="12" t="b">
        <x:v>0</x:v>
      </x:c>
      <x:c r="K4" s="6" t="str">
        <x:v>jama.2017.21906</x:v>
      </x:c>
      <x:c r="L4" s="6"/>
      <x:c r="M4" s="6" t="str">
        <x:v>S_W</x:v>
      </x:c>
      <x:c r="N4" s="6" t="str">
        <x:v>eTable 1 displays complete- and missing-follow-up groups, but its difference footnote defines an intervention-minus-control contrast. The focal mismatch is within one non-plan results supplement.</x:v>
      </x:c>
      <x:c r="O4" s="6" t="str">
        <x:v>../../2018/jama.2017.21906/.ai_paper_validation/final_report_1_5_2.html</x:v>
      </x:c>
      <x:c r="P4" s="6" t="str">
        <x:v>2018/jama.2017.21906/.ai_paper_validation/final_report_1_5_2.md</x:v>
      </x:c>
      <x:c r="Q4" s="6" t="str">
        <x:v>C003</x:v>
      </x:c>
      <x:c r="R4" s="6" t="str">
        <x:v>Pending Human Adjudication</x:v>
      </x:c>
      <x:c r="S4" s="6" t="str">
        <x:v>eTable 1 displays complete- and missing-follow-up groups, but its difference footnote defines an intervention-minus-control contrast.</x:v>
      </x:c>
      <x:c r="T4" s="12" t="b">
        <x:v>1</x:v>
      </x:c>
      <x:c r="U4" s="6" t="str">
        <x:v>comparator_label</x:v>
      </x:c>
      <x:c r="V4" s="6" t="str">
        <x:v>report_internal_inconsistency</x:v>
      </x:c>
      <x:c r="W4" s="6" t="str">
        <x:v>eTable 1 difference footnote names groups not displayed in the table</x:v>
      </x:c>
      <x:c r="X4" s="6" t="str">
        <x:v>2018</x:v>
      </x:c>
      <x:c r="Y4" s="6" t="str">
        <x:v>meta_report/consistency_reclassification_2026-09-04/reclassified_candidates.json</x:v>
      </x:c>
      <x:c r="Z4" s="6" t="str">
        <x:v>S_W</x:v>
      </x:c>
      <x:c r="AA4" s="6" t="str">
        <x:v>report_internal_inconsistency</x:v>
      </x:c>
      <x:c r="AB4" s="6" t="str">
        <x:v>retain</x:v>
      </x:c>
    </x:row>
    <x:row r="5" ht="90" customHeight="1">
      <x:c r="A5" s="11" t="b">
        <x:v>0</x:v>
      </x:c>
      <x:c r="B5" s="3" t="str">
        <x:v>A later or separate prespecification could authorize the published cutpoints; no such dated record is supplied. The SAP age-65 gap is contextual, not a separate counted relationship.</x:v>
      </x:c>
      <x:c r="C5" s="11" t="b">
        <x:v>1</x:v>
      </x:c>
      <x:c r="D5" s="3" t="str">
        <x:v>Cross-document numeric inconsistency</x:v>
      </x:c>
      <x:c r="E5" s="11" t="b">
        <x:v>1</x:v>
      </x:c>
      <x:c r="F5" s="3" t="str">
        <x:v>C004</x:v>
      </x:c>
      <x:c r="G5" s="3" t="str">
        <x:v>2018::jama.2017.21906::C004</x:v>
      </x:c>
      <x:c r="H5" s="3"/>
      <x:c r="I5" s="3" t="str">
        <x:v>SAP — PDF p. 7, section 7.5.2; main article — PDF p. 3, Statistical Analysis; main article — PDF p. 9, Figure 3 and adjacent Results narrative.</x:v>
      </x:c>
      <x:c r="J5" s="11" t="b">
        <x:v>1</x:v>
      </x:c>
      <x:c r="K5" s="3" t="str">
        <x:v>jama.2017.21906</x:v>
      </x:c>
      <x:c r="L5" s="3" t="str">
        <x:v>analysis_specification</x:v>
      </x:c>
      <x:c r="M5" s="3" t="str">
        <x:v>P_R</x:v>
      </x:c>
      <x:c r="N5" s="3" t="str">
        <x:v>The main article calls age strata &lt;50, 50-69, and &gt;=70 prespecified, whereas the supplied SAP specifies two groups split at 65; this is a reported-versus-prespecified subgroup definition discrepancy.</x:v>
      </x:c>
      <x:c r="O5" s="3" t="str">
        <x:v>../../2018/jama.2017.21906/.ai_paper_validation/final_report_1_5_2.html</x:v>
      </x:c>
      <x:c r="P5" s="3" t="str">
        <x:v>2018/jama.2017.21906/.ai_paper_validation/final_report_1_5_2.md</x:v>
      </x:c>
      <x:c r="Q5" s="3" t="str">
        <x:v>C004</x:v>
      </x:c>
      <x:c r="R5" s="3" t="str">
        <x:v>Pending Human Adjudication</x:v>
      </x:c>
      <x:c r="S5" s="3" t="str">
        <x:v>The article calls its Figure 3 age subgroups prespecified, but their numeric boundaries differ from the supplied SAP.</x:v>
      </x:c>
      <x:c r="T5" s="11" t="b">
        <x:v>0</x:v>
      </x:c>
      <x:c r="U5" s="3" t="str">
        <x:v>subgroup_cutpoint_prespecification</x:v>
      </x:c>
      <x:c r="V5" s="3" t="str">
        <x:v>protocol_report</x:v>
      </x:c>
      <x:c r="W5" s="3" t="str">
        <x:v>Reported prespecified age-subgroup boundaries differ from the supplied SAP</x:v>
      </x:c>
      <x:c r="X5" s="3" t="str">
        <x:v>2018</x:v>
      </x:c>
      <x:c r="Y5" s="3" t="str">
        <x:v>meta_report/consistency_reclassification_2026-09-04/reclassified_candidates.json</x:v>
      </x:c>
      <x:c r="Z5" s="3" t="str">
        <x:v>P_R</x:v>
      </x:c>
      <x:c r="AA5" s="3" t="str">
        <x:v>protocol_report</x:v>
      </x:c>
      <x:c r="AB5" s="3" t="str">
        <x:v>retain</x:v>
      </x:c>
    </x:row>
    <x:row r="6" ht="90" customHeight="1">
      <x:c r="A6" s="12" t="b">
        <x:v>0</x:v>
      </x:c>
      <x:c r="B6" s="6" t="str">
        <x:v>Mixed cross-file and within-supplement relationship. Heparin may exhaust the operative anticoagulant class; operational equivalence is unknown.</x:v>
      </x:c>
      <x:c r="C6" s="12" t="b">
        <x:v>0</x:v>
      </x:c>
      <x:c r="D6" s="6" t="str">
        <x:v>Measure, label, or scale inconsistency</x:v>
      </x:c>
      <x:c r="E6" s="12" t="b">
        <x:v>1</x:v>
      </x:c>
      <x:c r="F6" s="6" t="str">
        <x:v>C005</x:v>
      </x:c>
      <x:c r="G6" s="6" t="str">
        <x:v>2018::jama.2017.21906::C005</x:v>
      </x:c>
      <x:c r="H6" s="6"/>
      <x:c r="I6" s="6" t="str">
        <x:v>Main article — PDF p. 3, Outcomes; main article — PDF p. 7, Table 3 footnote c; online supplement — PDF p. 21, eTable 5 footnote c; online supplement — PDF p. 22, eTable 6 footnote b.</x:v>
      </x:c>
      <x:c r="J6" s="12" t="b">
        <x:v>0</x:v>
      </x:c>
      <x:c r="K6" s="6" t="str">
        <x:v>jama.2017.21906</x:v>
      </x:c>
      <x:c r="L6" s="6"/>
      <x:c r="M6" s="6" t="str">
        <x:v>S_C</x:v>
      </x:c>
      <x:c r="N6" s="6" t="str">
        <x:v>The main article and results-supplement eTable 5 define the medication composite using anticoagulant; eTable 6 in the same results supplement says heparin. The cross-file component mismatch and the eTable 5/eTable 6 within-file mismatch are both substantive.</x:v>
      </x:c>
      <x:c r="O6" s="6" t="str">
        <x:v>../../2018/jama.2017.21906/.ai_paper_validation/final_report_1_5_2.html</x:v>
      </x:c>
      <x:c r="P6" s="6" t="str">
        <x:v>2018/jama.2017.21906/.ai_paper_validation/final_report_1_5_2.md</x:v>
      </x:c>
      <x:c r="Q6" s="6" t="str">
        <x:v>C005</x:v>
      </x:c>
      <x:c r="R6" s="6" t="str">
        <x:v>Pending Human Adjudication</x:v>
      </x:c>
      <x:c r="S6" s="6" t="str">
        <x:v>The same named optimal in-hospital medication composite is defined with anticoagulant in the article/eTable 5 and heparin in eTable 6.</x:v>
      </x:c>
      <x:c r="T6" s="12" t="b">
        <x:v>1</x:v>
      </x:c>
      <x:c r="U6" s="6" t="str">
        <x:v>composite_component_definition</x:v>
      </x:c>
      <x:c r="V6" s="6" t="str">
        <x:v>report_internal_inconsistency</x:v>
      </x:c>
      <x:c r="W6" s="6" t="str">
        <x:v>The named optimal in-hospital medication composite uses different component labels across final-result tables</x:v>
      </x:c>
      <x:c r="X6" s="6" t="str">
        <x:v>2018</x:v>
      </x:c>
      <x:c r="Y6" s="6" t="str">
        <x:v>meta_report/consistency_reclassification_2026-09-04/reclassified_candidates.json</x:v>
      </x:c>
      <x:c r="Z6" s="6" t="str">
        <x:v>S_C</x:v>
      </x:c>
      <x:c r="AA6" s="6" t="str">
        <x:v>report_internal_inconsistency</x:v>
      </x:c>
      <x:c r="AB6" s="6" t="str">
        <x:v>retain</x:v>
      </x:c>
    </x:row>
    <x:row r="7" ht="90" customHeight="1">
      <x:c r="A7" s="11" t="b">
        <x:v>0</x:v>
      </x:c>
      <x:c r="B7" s="3" t="str">
        <x:v>An amended or separate plan may account for hospital type; the record establishes differing lists rather than intentional substitution.</x:v>
      </x:c>
      <x:c r="C7" s="11" t="b">
        <x:v>1</x:v>
      </x:c>
      <x:c r="D7" s="3" t="str">
        <x:v>Cross-document numeric inconsistency</x:v>
      </x:c>
      <x:c r="E7" s="11" t="b">
        <x:v>1</x:v>
      </x:c>
      <x:c r="F7" s="3" t="str">
        <x:v>C006</x:v>
      </x:c>
      <x:c r="G7" s="3" t="str">
        <x:v>2018::jama.2017.21906::C006</x:v>
      </x:c>
      <x:c r="H7" s="3"/>
      <x:c r="I7" s="3" t="str">
        <x:v>Main article — PDF p. 3, Statistical Analysis; main article — PDF p. 9, Figure 3 and adjacent Results narrative; SAP — PDF p. 7, section 7.5.2.</x:v>
      </x:c>
      <x:c r="J7" s="11" t="b">
        <x:v>1</x:v>
      </x:c>
      <x:c r="K7" s="3" t="str">
        <x:v>jama.2017.21906</x:v>
      </x:c>
      <x:c r="L7" s="3" t="str">
        <x:v>analysis_specification</x:v>
      </x:c>
      <x:c r="M7" s="3" t="str">
        <x:v>P_R</x:v>
      </x:c>
      <x:c r="N7" s="3" t="str">
        <x:v>Hospital type (government/nonprofit/private) is presented as prespecified in the main Figure 3 but absent from the supplied SAP site-level subgroup list. This compares reported prespecification with the plan, not main versus ordinary supplementary results.</x:v>
      </x:c>
      <x:c r="O7" s="3" t="str">
        <x:v>../../2018/jama.2017.21906/.ai_paper_validation/final_report_1_5_2.html</x:v>
      </x:c>
      <x:c r="P7" s="3" t="str">
        <x:v>2018/jama.2017.21906/.ai_paper_validation/final_report_1_5_2.md</x:v>
      </x:c>
      <x:c r="Q7" s="3" t="str">
        <x:v>C006</x:v>
      </x:c>
      <x:c r="R7" s="3" t="str">
        <x:v>Pending Human Adjudication</x:v>
      </x:c>
      <x:c r="S7" s="3" t="str">
        <x:v>The article calls the hospital-type Figure 3 subgroup prespecified, while the supplied SAP's a priori site-level subgroup list does not name hospital type.</x:v>
      </x:c>
      <x:c r="T7" s="11" t="b">
        <x:v>0</x:v>
      </x:c>
      <x:c r="U7" s="3" t="str">
        <x:v>subgroup_prespecification</x:v>
      </x:c>
      <x:c r="V7" s="3" t="str">
        <x:v>protocol_report</x:v>
      </x:c>
      <x:c r="W7" s="3" t="str">
        <x:v>Hospital-type subgroup is reported as prespecified but is absent from the supplied SAP subgroup list</x:v>
      </x:c>
      <x:c r="X7" s="3" t="str">
        <x:v>2018</x:v>
      </x:c>
      <x:c r="Y7" s="3" t="str">
        <x:v>meta_report/consistency_reclassification_2026-09-04/reclassified_candidates.json</x:v>
      </x:c>
      <x:c r="Z7" s="3" t="str">
        <x:v>P_R</x:v>
      </x:c>
      <x:c r="AA7" s="3" t="str">
        <x:v>protocol_report</x:v>
      </x:c>
      <x:c r="AB7" s="3" t="str">
        <x:v>retain</x:v>
      </x:c>
    </x:row>
    <x:row r="8" ht="90" customHeight="1">
      <x:c r="A8" s="12" t="b">
        <x:v>0</x:v>
      </x:c>
      <x:c r="B8" s="6"/>
      <x:c r="C8" s="12" t="b">
        <x:v>0</x:v>
      </x:c>
      <x:c r="D8" s="6" t="str">
        <x:v>Statistical reporting inconsistency</x:v>
      </x:c>
      <x:c r="E8" s="12" t="b">
        <x:v>0</x:v>
      </x:c>
      <x:c r="F8" s="6" t="str">
        <x:v>C001</x:v>
      </x:c>
      <x:c r="G8" s="6" t="str">
        <x:v>2018::jama.2018.0156::C001</x:v>
      </x:c>
      <x:c r="H8" s="6"/>
      <x:c r="I8" s="6" t="str">
        <x:v>jama_jabre_2018_oi_180004.pdf — PDF p. 3 (rule); jama_jabre_2018_oi_180004.pdf — PDF p. 4 (result/narrative).</x:v>
      </x:c>
      <x:c r="J8" s="12" t="b">
        <x:v>0</x:v>
      </x:c>
      <x:c r="K8" s="6" t="str">
        <x:v>jama.2018.0156</x:v>
      </x:c>
      <x:c r="L8" s="6"/>
      <x:c r="M8" s="6" t="str">
        <x:v>S_W</x:v>
      </x:c>
      <x:c r="N8" s="6" t="str">
        <x:v>The narrative calls a lower CI limit greater than the threshold although the displayed lower limit is below it; the printed conclusion remains compatible with the displayed values. The focal mismatch is within the main article.</x:v>
      </x:c>
      <x:c r="O8" s="6" t="str">
        <x:v>../../2018/jama.2018.0156/.ai_paper_validation/final_report_1_5_2.html</x:v>
      </x:c>
      <x:c r="P8" s="6" t="str">
        <x:v>2018/jama.2018.0156/.ai_paper_validation/final_report_1_5_2.md</x:v>
      </x:c>
      <x:c r="Q8" s="6" t="str">
        <x:v>C001</x:v>
      </x:c>
      <x:c r="R8" s="6" t="str">
        <x:v>Pending Human Adjudication</x:v>
      </x:c>
      <x:c r="S8" s="6" t="str">
        <x:v>The narrative calls a lower CI limit greater than the threshold although the displayed lower limit is below it; the printed conclusion remains compatible with the displayed values.</x:v>
      </x:c>
      <x:c r="T8" s="12" t="b">
        <x:v>1</x:v>
      </x:c>
      <x:c r="U8" s="6" t="str">
        <x:v>noninferiority_direction_word</x:v>
      </x:c>
      <x:c r="V8" s="6" t="str">
        <x:v>statistical_results</x:v>
      </x:c>
      <x:c r="W8" s="6" t="str">
        <x:v>Noninferiority narrative reverses the displayed bound direction</x:v>
      </x:c>
      <x:c r="X8" s="6" t="str">
        <x:v>2018</x:v>
      </x:c>
      <x:c r="Y8" s="6" t="str">
        <x:v>meta_report/consistency_reclassification_2026-09-04/reclassified_candidates.json</x:v>
      </x:c>
      <x:c r="Z8" s="6" t="str">
        <x:v>S_W</x:v>
      </x:c>
      <x:c r="AA8" s="6" t="str">
        <x:v>statistical_results</x:v>
      </x:c>
      <x:c r="AB8" s="6" t="str">
        <x:v>retain</x:v>
      </x:c>
    </x:row>
    <x:row r="9" ht="90" customHeight="1">
      <x:c r="A9" s="11" t="b">
        <x:v>0</x:v>
      </x:c>
      <x:c r="B9" s="3"/>
      <x:c r="C9" s="11" t="b">
        <x:v>0</x:v>
      </x:c>
      <x:c r="D9" s="3" t="str">
        <x:v>Measure, label, or scale inconsistency</x:v>
      </x:c>
      <x:c r="E9" s="11" t="b">
        <x:v>0</x:v>
      </x:c>
      <x:c r="F9" s="3" t="str">
        <x:v>C002</x:v>
      </x:c>
      <x:c r="G9" s="3" t="str">
        <x:v>2018::jama.2018.0156::C002</x:v>
      </x:c>
      <x:c r="H9" s="3"/>
      <x:c r="I9" s="3" t="str">
        <x:v>jama_jabre_2018_oi_180004.pdf — PDF p. 3 (definition); jama_jabre_2018_oi_180004.pdf — PDF p. 4 (contrast).</x:v>
      </x:c>
      <x:c r="J9" s="11" t="b">
        <x:v>0</x:v>
      </x:c>
      <x:c r="K9" s="3" t="str">
        <x:v>jama.2018.0156</x:v>
      </x:c>
      <x:c r="L9" s="3"/>
      <x:c r="M9" s="3" t="str">
        <x:v>S_W</x:v>
      </x:c>
      <x:c r="N9" s="3" t="str">
        <x:v>A contrast for the number of qualifying pauses is labelled in seconds. The focal mismatch is within the main article.</x:v>
      </x:c>
      <x:c r="O9" s="3" t="str">
        <x:v>../../2018/jama.2018.0156/.ai_paper_validation/final_report_1_5_2.html</x:v>
      </x:c>
      <x:c r="P9" s="3" t="str">
        <x:v>2018/jama.2018.0156/.ai_paper_validation/final_report_1_5_2.md</x:v>
      </x:c>
      <x:c r="Q9" s="3" t="str">
        <x:v>C002</x:v>
      </x:c>
      <x:c r="R9" s="3" t="str">
        <x:v>Pending Human Adjudication</x:v>
      </x:c>
      <x:c r="S9" s="3" t="str">
        <x:v>A contrast for the number of qualifying pauses is labelled in seconds.</x:v>
      </x:c>
      <x:c r="T9" s="11" t="b">
        <x:v>1</x:v>
      </x:c>
      <x:c r="U9" s="3" t="str">
        <x:v>count_vs_duration_unit</x:v>
      </x:c>
      <x:c r="V9" s="3" t="str">
        <x:v>report_internal_inconsistency</x:v>
      </x:c>
      <x:c r="W9" s="3" t="str">
        <x:v>Centre-5 pause contrast mixes a count outcome with seconds</x:v>
      </x:c>
      <x:c r="X9" s="3" t="str">
        <x:v>2018</x:v>
      </x:c>
      <x:c r="Y9" s="3" t="str">
        <x:v>meta_report/consistency_reclassification_2026-09-04/reclassified_candidates.json</x:v>
      </x:c>
      <x:c r="Z9" s="3" t="str">
        <x:v>S_W</x:v>
      </x:c>
      <x:c r="AA9" s="3" t="str">
        <x:v>report_internal_inconsistency</x:v>
      </x:c>
      <x:c r="AB9" s="3" t="str">
        <x:v>retain</x:v>
      </x:c>
    </x:row>
    <x:row r="10" ht="90" customHeight="1">
      <x:c r="A10" s="12" t="b">
        <x:v>0</x:v>
      </x:c>
      <x:c r="B10" s="6" t="str">
        <x:v>The SAP explicitly rounds categorical percentages, not separately differences; an unreported estimator/denominator may explain the displayed 0.1.</x:v>
      </x:c>
      <x:c r="C10" s="12" t="b">
        <x:v>0</x:v>
      </x:c>
      <x:c r="D10" s="6" t="str">
        <x:v>Numeric or arithmetic inconsistency</x:v>
      </x:c>
      <x:c r="E10" s="12" t="b">
        <x:v>0</x:v>
      </x:c>
      <x:c r="F10" s="6" t="str">
        <x:v>C003</x:v>
      </x:c>
      <x:c r="G10" s="6" t="str">
        <x:v>2018::jama.2018.0156::C003</x:v>
      </x:c>
      <x:c r="H10" s="6"/>
      <x:c r="I10" s="6" t="str">
        <x:v>jama_jabre_2018_oi_180004.pdf — PDF p. 6 (Table 2); joi180004supp1_prod.pdf — PDF p. 123 (rounding rule).</x:v>
      </x:c>
      <x:c r="J10" s="12" t="b">
        <x:v>0</x:v>
      </x:c>
      <x:c r="K10" s="6" t="str">
        <x:v>jama.2018.0156</x:v>
      </x:c>
      <x:c r="L10" s="6"/>
      <x:c r="M10" s="6" t="str">
        <x:v>S_W</x:v>
      </x:c>
      <x:c r="N10" s="6" t="str">
        <x:v>The main Table 2 PP-survival difference 0.1 does not round from its displayed 54/995 and 51/943 inputs, which yield 0.0189 percentage points. The SAP rounding sentence is a supporting convention, not a separate reported-versus-plan discrepancy.</x:v>
      </x:c>
      <x:c r="O10" s="6" t="str">
        <x:v>../../2018/jama.2018.0156/.ai_paper_validation/final_report_1_5_2.html</x:v>
      </x:c>
      <x:c r="P10" s="6" t="str">
        <x:v>2018/jama.2018.0156/.ai_paper_validation/final_report_1_5_2.md</x:v>
      </x:c>
      <x:c r="Q10" s="6" t="str">
        <x:v>C003</x:v>
      </x:c>
      <x:c r="R10" s="6" t="str">
        <x:v>Pending Human Adjudication</x:v>
      </x:c>
      <x:c r="S10" s="6" t="str">
        <x:v>The PP survival difference 0.1 percentage points does not ordinarily round from the displayed counts and denominators.</x:v>
      </x:c>
      <x:c r="T10" s="12" t="b">
        <x:v>1</x:v>
      </x:c>
      <x:c r="U10" s="6" t="str">
        <x:v>risk_difference_arithmetic</x:v>
      </x:c>
      <x:c r="V10" s="6" t="str">
        <x:v>statistical_results</x:v>
      </x:c>
      <x:c r="W10" s="6" t="str">
        <x:v>PP day-28 survival point difference does not round from the printed inputs</x:v>
      </x:c>
      <x:c r="X10" s="6" t="str">
        <x:v>2018</x:v>
      </x:c>
      <x:c r="Y10" s="6" t="str">
        <x:v>meta_report/consistency_reclassification_2026-09-04/reclassified_candidates.json</x:v>
      </x:c>
      <x:c r="Z10" s="6" t="str">
        <x:v>S_W</x:v>
      </x:c>
      <x:c r="AA10" s="6" t="str">
        <x:v>statistical_results</x:v>
      </x:c>
      <x:c r="AB10" s="6" t="str">
        <x:v>retain</x:v>
      </x:c>
    </x:row>
    <x:row r="11" ht="90" customHeight="1">
      <x:c r="A11" s="11" t="b">
        <x:v>0</x:v>
      </x:c>
      <x:c r="B11" s="3" t="str">
        <x:v>The diagnostic Wald interval is not an authoritative replacement; exact source CI construction is absent. Distinct from C003 point-estimate arithmetic although the same row is involved.</x:v>
      </x:c>
      <x:c r="C11" s="11" t="b">
        <x:v>0</x:v>
      </x:c>
      <x:c r="D11" s="3" t="str">
        <x:v>Statistical reporting inconsistency</x:v>
      </x:c>
      <x:c r="E11" s="11" t="b">
        <x:v>0</x:v>
      </x:c>
      <x:c r="F11" s="3" t="str">
        <x:v>C004</x:v>
      </x:c>
      <x:c r="G11" s="3" t="str">
        <x:v>2018::jama.2018.0156::C004</x:v>
      </x:c>
      <x:c r="H11" s="3"/>
      <x:c r="I11" s="3" t="str">
        <x:v>jama_jabre_2018_oi_180004.pdf — PDF p. 3 (rule); PDF p. 6 (Table 2); joi180004supp1_prod.pdf — PDF p. 124 (CI rule).</x:v>
      </x:c>
      <x:c r="J11" s="11" t="b">
        <x:v>0</x:v>
      </x:c>
      <x:c r="K11" s="3" t="str">
        <x:v>jama.2018.0156</x:v>
      </x:c>
      <x:c r="L11" s="3"/>
      <x:c r="M11" s="3" t="str">
        <x:v>S_W</x:v>
      </x:c>
      <x:c r="N11" s="3" t="str">
        <x:v>The main Table 2 interval -10 to 9.7 has unresolved scale/precision relative to the same row counts, effect scale, and P=.99. SAP CI wording corroborates the general method and does not itself conflict with reported analysis.</x:v>
      </x:c>
      <x:c r="O11" s="3" t="str">
        <x:v>../../2018/jama.2018.0156/.ai_paper_validation/final_report_1_5_2.html</x:v>
      </x:c>
      <x:c r="P11" s="3" t="str">
        <x:v>2018/jama.2018.0156/.ai_paper_validation/final_report_1_5_2.md</x:v>
      </x:c>
      <x:c r="Q11" s="3" t="str">
        <x:v>C004</x:v>
      </x:c>
      <x:c r="R11" s="3" t="str">
        <x:v>Pending Human Adjudication</x:v>
      </x:c>
      <x:c r="S11" s="3" t="str">
        <x:v>The PP survival interval in a percentage-point column has a scale/precision appearance unresolved by supplied row-level methods or inputs.</x:v>
      </x:c>
      <x:c r="T11" s="11" t="b">
        <x:v>1</x:v>
      </x:c>
      <x:c r="U11" s="3" t="str">
        <x:v>ci_scale_precision</x:v>
      </x:c>
      <x:c r="V11" s="3" t="str">
        <x:v>statistical_results</x:v>
      </x:c>
      <x:c r="W11" s="3" t="str">
        <x:v>PP day-28 survival confidence interval has an unresolved scale/precision inconsistency</x:v>
      </x:c>
      <x:c r="X11" s="3" t="str">
        <x:v>2018</x:v>
      </x:c>
      <x:c r="Y11" s="3" t="str">
        <x:v>meta_report/consistency_reclassification_2026-09-04/reclassified_candidates.json</x:v>
      </x:c>
      <x:c r="Z11" s="3" t="str">
        <x:v>S_W</x:v>
      </x:c>
      <x:c r="AA11" s="3" t="str">
        <x:v>statistical_results</x:v>
      </x:c>
      <x:c r="AB11" s="3" t="str">
        <x:v>retain</x:v>
      </x:c>
    </x:row>
    <x:row r="12" ht="90" customHeight="1">
      <x:c r="A12" s="12" t="b">
        <x:v>0</x:v>
      </x:c>
      <x:c r="B12" s="6"/>
      <x:c r="C12" s="12" t="b">
        <x:v>0</x:v>
      </x:c>
      <x:c r="D12" s="6" t="str">
        <x:v>Denominator, proportion, or total inconsistency</x:v>
      </x:c>
      <x:c r="E12" s="12" t="b">
        <x:v>0</x:v>
      </x:c>
      <x:c r="F12" s="6" t="str">
        <x:v>C005</x:v>
      </x:c>
      <x:c r="G12" s="6" t="str">
        <x:v>2018::jama.2018.0156::C005</x:v>
      </x:c>
      <x:c r="H12" s="6"/>
      <x:c r="I12" s="6" t="str">
        <x:v>jama_jabre_2018_oi_180004.pdf — PDF p. 6 (Table 2 PP ROSC row).</x:v>
      </x:c>
      <x:c r="J12" s="12" t="b">
        <x:v>0</x:v>
      </x:c>
      <x:c r="K12" s="6" t="str">
        <x:v>jama.2018.0156</x:v>
      </x:c>
      <x:c r="L12" s="6"/>
      <x:c r="M12" s="6" t="str">
        <x:v>S_W</x:v>
      </x:c>
      <x:c r="N12" s="6" t="str">
        <x:v>The ETI PP ROSC percentage conflicts with its numerator/denominator and signed BMV-minus-ETI contrast. The focal mismatch is within the main article.</x:v>
      </x:c>
      <x:c r="O12" s="6" t="str">
        <x:v>../../2018/jama.2018.0156/.ai_paper_validation/final_report_1_5_2.html</x:v>
      </x:c>
      <x:c r="P12" s="6" t="str">
        <x:v>2018/jama.2018.0156/.ai_paper_validation/final_report_1_5_2.md</x:v>
      </x:c>
      <x:c r="Q12" s="6" t="str">
        <x:v>C005</x:v>
      </x:c>
      <x:c r="R12" s="6" t="str">
        <x:v>Pending Human Adjudication</x:v>
      </x:c>
      <x:c r="S12" s="6" t="str">
        <x:v>The ETI PP ROSC percentage conflicts with its numerator/denominator and signed BMV-minus-ETI contrast.</x:v>
      </x:c>
      <x:c r="T12" s="12" t="b">
        <x:v>1</x:v>
      </x:c>
      <x:c r="U12" s="6" t="str">
        <x:v>proportion_and_contrast_direction</x:v>
      </x:c>
      <x:c r="V12" s="6" t="str">
        <x:v>statistical_results</x:v>
      </x:c>
      <x:c r="W12" s="6" t="str">
        <x:v>PP ROSC ETI percentage conflicts with its count, denominator, and signed difference</x:v>
      </x:c>
      <x:c r="X12" s="6" t="str">
        <x:v>2018</x:v>
      </x:c>
      <x:c r="Y12" s="6" t="str">
        <x:v>meta_report/consistency_reclassification_2026-09-04/reclassified_candidates.json</x:v>
      </x:c>
      <x:c r="Z12" s="6" t="str">
        <x:v>S_W</x:v>
      </x:c>
      <x:c r="AA12" s="6" t="str">
        <x:v>statistical_results</x:v>
      </x:c>
      <x:c r="AB12" s="6" t="str">
        <x:v>retain</x:v>
      </x:c>
    </x:row>
    <x:row r="13" ht="90" customHeight="1">
      <x:c r="A13" s="11" t="b">
        <x:v>0</x:v>
      </x:c>
      <x:c r="B13" s="3" t="str">
        <x:v>Twenty EMS centres versus 21 investigator-centre rows may reflect different counting units; no centre-to-investigator crosswalk is supplied.</x:v>
      </x:c>
      <x:c r="C13" s="11" t="b">
        <x:v>0</x:v>
      </x:c>
      <x:c r="D13" s="3" t="str">
        <x:v>Cross-document numeric inconsistency</x:v>
      </x:c>
      <x:c r="E13" s="11" t="b">
        <x:v>1</x:v>
      </x:c>
      <x:c r="F13" s="3" t="str">
        <x:v>C006</x:v>
      </x:c>
      <x:c r="G13" s="3" t="str">
        <x:v>2018::jama.2018.0156::C006</x:v>
      </x:c>
      <x:c r="H13" s="3"/>
      <x:c r="I13" s="3" t="str">
        <x:v>jama_jabre_2018_oi_180004.pdf — PDF p. 2; joi180004supp2_prod.pdf — PDF p. 2 (eTable 1).</x:v>
      </x:c>
      <x:c r="J13" s="11" t="b">
        <x:v>1</x:v>
      </x:c>
      <x:c r="K13" s="3" t="str">
        <x:v>jama.2018.0156</x:v>
      </x:c>
      <x:c r="L13" s="3"/>
      <x:c r="M13" s="3" t="str">
        <x:v>S_C</x:v>
      </x:c>
      <x:c r="N13" s="3" t="str">
        <x:v>The article reports 20 EMS centres whereas eTable 1 shows 21 contributing investigator-centre rows. The focal comparison is the main article versus a non-plan results supplement.</x:v>
      </x:c>
      <x:c r="O13" s="3" t="str">
        <x:v>../../2018/jama.2018.0156/.ai_paper_validation/final_report_1_5_2.html</x:v>
      </x:c>
      <x:c r="P13" s="3" t="str">
        <x:v>2018/jama.2018.0156/.ai_paper_validation/final_report_1_5_2.md</x:v>
      </x:c>
      <x:c r="Q13" s="3" t="str">
        <x:v>C006</x:v>
      </x:c>
      <x:c r="R13" s="3" t="str">
        <x:v>Pending Human Adjudication</x:v>
      </x:c>
      <x:c r="S13" s="3" t="str">
        <x:v>The article reports 20 EMS centres whereas eTable 1 shows 21 contributing investigator-centre rows.</x:v>
      </x:c>
      <x:c r="T13" s="11" t="b">
        <x:v>1</x:v>
      </x:c>
      <x:c r="U13" s="3" t="str">
        <x:v>centre_count_unit</x:v>
      </x:c>
      <x:c r="V13" s="3" t="str">
        <x:v>report_internal_inconsistency</x:v>
      </x:c>
      <x:c r="W13" s="3" t="str">
        <x:v>Main article and eTable report different contributing-centre counts</x:v>
      </x:c>
      <x:c r="X13" s="3" t="str">
        <x:v>2018</x:v>
      </x:c>
      <x:c r="Y13" s="3" t="str">
        <x:v>meta_report/consistency_reclassification_2026-09-04/reclassified_candidates.json</x:v>
      </x:c>
      <x:c r="Z13" s="3" t="str">
        <x:v>S_C</x:v>
      </x:c>
      <x:c r="AA13" s="3" t="str">
        <x:v>report_internal_inconsistency</x:v>
      </x:c>
      <x:c r="AB13" s="3" t="str">
        <x:v>retain</x:v>
      </x:c>
    </x:row>
    <x:row r="14" ht="90" customHeight="1">
      <x:c r="A14" s="12" t="b">
        <x:v>0</x:v>
      </x:c>
      <x:c r="B14" s="6" t="str">
        <x:v>An abbreviated article definition or no affected participants could reconcile the result; aggregate counts cannot establish actual coding or count changes.</x:v>
      </x:c>
      <x:c r="C14" s="12" t="b">
        <x:v>1</x:v>
      </x:c>
      <x:c r="D14" s="6" t="str">
        <x:v>Measure, label, or scale inconsistency</x:v>
      </x:c>
      <x:c r="E14" s="12" t="b">
        <x:v>1</x:v>
      </x:c>
      <x:c r="F14" s="6" t="str">
        <x:v>C007</x:v>
      </x:c>
      <x:c r="G14" s="6" t="str">
        <x:v>2018::jama.2018.0156::C007</x:v>
      </x:c>
      <x:c r="H14" s="6"/>
      <x:c r="I14" s="6" t="str">
        <x:v>jama_jabre_2018_oi_180004.pdf — PDF p. 1 and PDF p. 3; joi180004supp1_prod.pdf — PDF p. 110.</x:v>
      </x:c>
      <x:c r="J14" s="12" t="b">
        <x:v>0</x:v>
      </x:c>
      <x:c r="K14" s="6" t="str">
        <x:v>jama.2018.0156</x:v>
      </x:c>
      <x:c r="L14" s="6" t="str">
        <x:v>endpoint_definition_window_hierarchy</x:v>
      </x:c>
      <x:c r="M14" s="6" t="str">
        <x:v>P_R</x:v>
      </x:c>
      <x:c r="N14" s="6" t="str">
        <x:v>The main article defines favorable outcome as CPC 1 or 2, while a supplied amended protocol also qualifies baseline-disabled survivors whose disability is unchanged. The potential outcome-definition difference is directly report versus amended plan.</x:v>
      </x:c>
      <x:c r="O14" s="6" t="str">
        <x:v>../../2018/jama.2018.0156/.ai_paper_validation/final_report_1_5_2.html</x:v>
      </x:c>
      <x:c r="P14" s="6" t="str">
        <x:v>2018/jama.2018.0156/.ai_paper_validation/final_report_1_5_2.md</x:v>
      </x:c>
      <x:c r="Q14" s="6" t="str">
        <x:v>C007</x:v>
      </x:c>
      <x:c r="R14" s="6" t="str">
        <x:v>Pending Human Adjudication</x:v>
      </x:c>
      <x:c r="S14" s="6" t="str">
        <x:v>The article’s CPC-1-or-2 endpoint description omits the amendment’s qualification for survivors with baseline neurologic disability.</x:v>
      </x:c>
      <x:c r="T14" s="12" t="b">
        <x:v>0</x:v>
      </x:c>
      <x:c r="U14" s="6" t="str">
        <x:v>outcome_definition_amendment</x:v>
      </x:c>
      <x:c r="V14" s="6" t="str">
        <x:v>protocol_report</x:v>
      </x:c>
      <x:c r="W14" s="6" t="str">
        <x:v>Published primary-endpoint description omits the amended baseline-disability qualification</x:v>
      </x:c>
      <x:c r="X14" s="6" t="str">
        <x:v>2018</x:v>
      </x:c>
      <x:c r="Y14" s="6" t="str">
        <x:v>meta_report/consistency_reclassification_2026-09-04/reclassified_candidates.json</x:v>
      </x:c>
      <x:c r="Z14" s="6" t="str">
        <x:v>P_R</x:v>
      </x:c>
      <x:c r="AA14" s="6" t="str">
        <x:v>protocol_report</x:v>
      </x:c>
      <x:c r="AB14" s="6" t="str">
        <x:v>retain</x:v>
      </x:c>
    </x:row>
    <x:row r="15" ht="90" customHeight="1">
      <x:c r="A15" s="11" t="b">
        <x:v>1</x:v>
      </x:c>
      <x:c r="B15" s="3" t="str">
        <x:v>The failure row may intentionally be procedural-only and uses actual-treatment safety data. The 27-versus-21 aggregate bound assumes participant-set alignment; recheck expressly says that assumption is not mechanically established. Additional source-derivative check: the final card and recheck call 54/1022 ETI deaths, but main native text explicitly labels 54/1022 day-28 survival. Thus the recorded 27-versus-21 mortality bound uses a mislabeled input and is not source-confirmed; the document-role endpoint-definition comparison is retained. Exact main-abstract derivative wording: global survival at day 28 (55/1018 [5.4%] in the BMV group vs 54/1022 [5.3%] in the ETI group).</x:v>
      </x:c>
      <x:c r="C15" s="11" t="b">
        <x:v>1</x:v>
      </x:c>
      <x:c r="D15" s="3" t="str">
        <x:v>Measure, label, or scale inconsistency</x:v>
      </x:c>
      <x:c r="E15" s="11" t="b">
        <x:v>1</x:v>
      </x:c>
      <x:c r="F15" s="3" t="str">
        <x:v>C008</x:v>
      </x:c>
      <x:c r="G15" s="3" t="str">
        <x:v>2018::jama.2018.0156::C008</x:v>
      </x:c>
      <x:c r="H15" s="3"/>
      <x:c r="I15" s="3" t="str">
        <x:v>joi180004supp1_prod.pdf — PDF p. 110; jama_jabre_2018_oi_180004.pdf — PDF p. 1, PDF p. 4, and PDF p. 6.</x:v>
      </x:c>
      <x:c r="J15" s="11" t="b">
        <x:v>0</x:v>
      </x:c>
      <x:c r="K15" s="3" t="str">
        <x:v>jama.2018.0156</x:v>
      </x:c>
      <x:c r="L15" s="3" t="str">
        <x:v>endpoint_definition_window_hierarchy</x:v>
      </x:c>
      <x:c r="M15" s="3" t="str">
        <x:v>P_R</x:v>
      </x:c>
      <x:c r="N15" s="3" t="str">
        <x:v>A supplied amended protocol defines technique failure as a composite including mortality/regurgitation/procedural failure, while the main Table 3 ETI failure row reports 21/996 without that composite definition. This is a conditional report-versus-plan endpoint/population mismatch.</x:v>
      </x:c>
      <x:c r="O15" s="3" t="str">
        <x:v>../../2018/jama.2018.0156/.ai_paper_validation/final_report_1_5_2.html</x:v>
      </x:c>
      <x:c r="P15" s="3" t="str">
        <x:v>2018/jama.2018.0156/.ai_paper_validation/final_report_1_5_2.md</x:v>
      </x:c>
      <x:c r="Q15" s="3" t="str">
        <x:v>C008</x:v>
      </x:c>
      <x:c r="R15" s="3" t="str">
        <x:v>Pending Human Adjudication</x:v>
      </x:c>
      <x:c r="S15" s="3" t="str">
        <x:v>If the protocol composite and article Table 3 row denote the same endpoint and aligned population, aggregate displays cannot reconcile.</x:v>
      </x:c>
      <x:c r="T15" s="11" t="b">
        <x:v>0</x:v>
      </x:c>
      <x:c r="U15" s="3" t="str">
        <x:v>composite_vs_reported_endpoint</x:v>
      </x:c>
      <x:c r="V15" s="3" t="str">
        <x:v>protocol_report</x:v>
      </x:c>
      <x:c r="W15" s="3" t="str">
        <x:v>Protocol composite technique-failure definition cannot reconcile with the article’s smaller ETI failure count if they are the same endpoint</x:v>
      </x:c>
      <x:c r="X15" s="3" t="str">
        <x:v>2018</x:v>
      </x:c>
      <x:c r="Y15" s="3" t="str">
        <x:v>meta_report/consistency_reclassification_2026-09-04/reclassified_candidates.json</x:v>
      </x:c>
      <x:c r="Z15" s="3" t="str">
        <x:v>P_R</x:v>
      </x:c>
      <x:c r="AA15" s="3" t="str">
        <x:v>protocol_report</x:v>
      </x:c>
      <x:c r="AB15" s="3" t="str">
        <x:v>discuss</x:v>
      </x:c>
    </x:row>
    <x:row r="16" ht="90" customHeight="1">
      <x:c r="A16" s="12" t="b">
        <x:v>0</x:v>
      </x:c>
      <x:c r="B16" s="6" t="str">
        <x:v>Mixed reported-versus-plan and submitted cross-file definition discrepancy; operative rule and any exact-boundary cases are unknown.</x:v>
      </x:c>
      <x:c r="C16" s="12" t="b">
        <x:v>1</x:v>
      </x:c>
      <x:c r="D16" s="6" t="str">
        <x:v>Measure, label, or scale inconsistency</x:v>
      </x:c>
      <x:c r="E16" s="12" t="b">
        <x:v>1</x:v>
      </x:c>
      <x:c r="F16" s="6" t="str">
        <x:v>C001</x:v>
      </x:c>
      <x:c r="G16" s="6" t="str">
        <x:v>2018::jama.2018.0948::C001</x:v>
      </x:c>
      <x:c r="H16" s="6"/>
      <x:c r="I16" s="6" t="str">
        <x:v>main article — PDF p. 4; Supplement 1 Table 5 — PDF p. 24; Supplement 3 eTable 1 — PDF p. 6.</x:v>
      </x:c>
      <x:c r="J16" s="12" t="b">
        <x:v>0</x:v>
      </x:c>
      <x:c r="K16" s="6" t="str">
        <x:v>jama.2018.0948</x:v>
      </x:c>
      <x:c r="L16" s="6" t="str">
        <x:v>endpoint_definition_window_hierarchy</x:v>
      </x:c>
      <x:c r="M16" s="6" t="str">
        <x:v>P_R</x:v>
      </x:c>
      <x:c r="N16" s="6" t="str">
        <x:v>The main article uses fluid &gt;=60 mL/kg, while protocol Table 5 and the non-plan results-supplement eTable use &gt;60 for the same SCD component. The article is discrepant with both the plan and ordinary results supplement.</x:v>
      </x:c>
      <x:c r="O16" s="6" t="str">
        <x:v>../../2018/jama.2018.0948/.ai_paper_validation/final_report_1_5_2.html</x:v>
      </x:c>
      <x:c r="P16" s="6" t="str">
        <x:v>2018/jama.2018.0948/.ai_paper_validation/final_report_1_5_2.md</x:v>
      </x:c>
      <x:c r="Q16" s="6" t="str">
        <x:v>C001</x:v>
      </x:c>
      <x:c r="R16" s="6" t="str">
        <x:v>Pending Human Adjudication</x:v>
      </x:c>
      <x:c r="S16" s="6" t="str">
        <x:v>The same SCD fluid component is printed with inclusive and exclusive 60 mL/kg thresholds.</x:v>
      </x:c>
      <x:c r="T16" s="12" t="b">
        <x:v>1</x:v>
      </x:c>
      <x:c r="U16" s="6" t="str">
        <x:v>outcome_threshold_boundary</x:v>
      </x:c>
      <x:c r="V16" s="6" t="str">
        <x:v>protocol_report</x:v>
      </x:c>
      <x:c r="W16" s="6" t="str">
        <x:v>Inclusive versus exclusive fluid threshold in the SCD definition</x:v>
      </x:c>
      <x:c r="X16" s="6" t="str">
        <x:v>2018</x:v>
      </x:c>
      <x:c r="Y16" s="6" t="str">
        <x:v>meta_report/consistency_reclassification_2026-09-04/reclassified_candidates.json</x:v>
      </x:c>
      <x:c r="Z16" s="6" t="str">
        <x:v>P_R</x:v>
      </x:c>
      <x:c r="AA16" s="6" t="str">
        <x:v>protocol_report</x:v>
      </x:c>
      <x:c r="AB16" s="6" t="str">
        <x:v>retain</x:v>
      </x:c>
    </x:row>
    <x:row r="17" ht="90" customHeight="1">
      <x:c r="A17" s="11" t="b">
        <x:v>0</x:v>
      </x:c>
      <x:c r="B17" s="3" t="str">
        <x:v>Boundary decision: P_P only. Counting every transitive numerical disagreement would also involve the article, but the recorded issue is the internal planning percent/unit typo.</x:v>
      </x:c>
      <x:c r="C17" s="11" t="b">
        <x:v>1</x:v>
      </x:c>
      <x:c r="D17" s="3" t="str">
        <x:v>Cross-document numeric inconsistency</x:v>
      </x:c>
      <x:c r="E17" s="11" t="b">
        <x:v>0</x:v>
      </x:c>
      <x:c r="F17" s="3" t="str">
        <x:v>C002</x:v>
      </x:c>
      <x:c r="G17" s="3" t="str">
        <x:v>2018::jama.2018.0948::C002</x:v>
      </x:c>
      <x:c r="H17" s="3"/>
      <x:c r="I17" s="3" t="str">
        <x:v>Supplement 1 — PDF p. 1, p. 14, p. 29; main article — PDF p. 4.</x:v>
      </x:c>
      <x:c r="J17" s="11" t="b">
        <x:v>1</x:v>
      </x:c>
      <x:c r="K17" s="3" t="str">
        <x:v>jama.2018.0948</x:v>
      </x:c>
      <x:c r="L17" s="3"/>
      <x:c r="M17" s="3" t="str">
        <x:v>P_P</x:v>
      </x:c>
      <x:c r="N17" s="3" t="str">
        <x:v>The protocol appendix gives 0.9% for an approximately 18% reduction from 5.1 deaths/1000, whereas other passages in the same protocol give 0.9/1000 or 0.09%. The article repeats the coherent planning value and corroborates the internal plan unit-conversion defect; it is not counted as a separate plan-versus-report change.</x:v>
      </x:c>
      <x:c r="O17" s="3" t="str">
        <x:v>../../2018/jama.2018.0948/.ai_paper_validation/final_report_1_5_2.html</x:v>
      </x:c>
      <x:c r="P17" s="3" t="str">
        <x:v>2018/jama.2018.0948/.ai_paper_validation/final_report_1_5_2.md</x:v>
      </x:c>
      <x:c r="Q17" s="3" t="str">
        <x:v>C002</x:v>
      </x:c>
      <x:c r="R17" s="3" t="str">
        <x:v>Pending Human Adjudication</x:v>
      </x:c>
      <x:c r="S17" s="3" t="str">
        <x:v>A matched mortality planning reduction is printed as 0.9% at one location but as 0.9 per 1,000/0.09% elsewhere.</x:v>
      </x:c>
      <x:c r="T17" s="11" t="b">
        <x:v>0</x:v>
      </x:c>
      <x:c r="U17" s="3" t="str">
        <x:v>planning_unit_conversion</x:v>
      </x:c>
      <x:c r="V17" s="3" t="str">
        <x:v>plan_material</x:v>
      </x:c>
      <x:c r="W17" s="3" t="str">
        <x:v>Mortality absolute-risk-reduction percent/unit conflict</x:v>
      </x:c>
      <x:c r="X17" s="3" t="str">
        <x:v>2018</x:v>
      </x:c>
      <x:c r="Y17" s="3" t="str">
        <x:v>meta_report/consistency_reclassification_2026-09-04/reclassified_candidates.json</x:v>
      </x:c>
      <x:c r="Z17" s="3" t="str">
        <x:v>P_P</x:v>
      </x:c>
      <x:c r="AA17" s="3" t="str">
        <x:v>plan_material</x:v>
      </x:c>
      <x:c r="AB17" s="3" t="str">
        <x:v>retain</x:v>
      </x:c>
    </x:row>
    <x:row r="18" ht="90" customHeight="1">
      <x:c r="A18" s="12" t="b">
        <x:v>0</x:v>
      </x:c>
      <x:c r="B18" s="6"/>
      <x:c r="C18" s="12" t="b">
        <x:v>1</x:v>
      </x:c>
      <x:c r="D18" s="6" t="str">
        <x:v>Measure, label, or scale inconsistency</x:v>
      </x:c>
      <x:c r="E18" s="12" t="b">
        <x:v>0</x:v>
      </x:c>
      <x:c r="F18" s="6" t="str">
        <x:v>C003</x:v>
      </x:c>
      <x:c r="G18" s="6" t="str">
        <x:v>2018::jama.2018.0948::C003</x:v>
      </x:c>
      <x:c r="H18" s="6"/>
      <x:c r="I18" s="6" t="str">
        <x:v>Supplement 1 — PDF p. 11, Table 5 — PDF p. 24, Table 6 legend — PDF p. 27.</x:v>
      </x:c>
      <x:c r="J18" s="12" t="b">
        <x:v>0</x:v>
      </x:c>
      <x:c r="K18" s="6" t="str">
        <x:v>jama.2018.0948</x:v>
      </x:c>
      <x:c r="L18" s="6"/>
      <x:c r="M18" s="6" t="str">
        <x:v>P_P</x:v>
      </x:c>
      <x:c r="N18" s="6" t="str">
        <x:v>Cardiac-arrest events are described as categories 6/7 but a Table 6 legend calls events including cardiac arrest 4/5. The focal discrepancy is internal to the protocol/SAP material, including plan-version passages in a bound bundle.</x:v>
      </x:c>
      <x:c r="O18" s="6" t="str">
        <x:v>../../2018/jama.2018.0948/.ai_paper_validation/final_report_1_5_2.html</x:v>
      </x:c>
      <x:c r="P18" s="6" t="str">
        <x:v>2018/jama.2018.0948/.ai_paper_validation/final_report_1_5_2.md</x:v>
      </x:c>
      <x:c r="Q18" s="6" t="str">
        <x:v>C003</x:v>
      </x:c>
      <x:c r="R18" s="6" t="str">
        <x:v>Pending Human Adjudication</x:v>
      </x:c>
      <x:c r="S18" s="6" t="str">
        <x:v>Cardiac-arrest events are described as categories 6/7 but a Table 6 legend calls events including cardiac arrest 4/5.</x:v>
      </x:c>
      <x:c r="T18" s="12" t="b">
        <x:v>0</x:v>
      </x:c>
      <x:c r="U18" s="6" t="str">
        <x:v>resuscitation_category_definition</x:v>
      </x:c>
      <x:c r="V18" s="6" t="str">
        <x:v>plan_material</x:v>
      </x:c>
      <x:c r="W18" s="6" t="str">
        <x:v>Cardiac-arrest events assigned incompatible resuscitation-scale categories</x:v>
      </x:c>
      <x:c r="X18" s="6" t="str">
        <x:v>2018</x:v>
      </x:c>
      <x:c r="Y18" s="6" t="str">
        <x:v>meta_report/consistency_reclassification_2026-09-04/reclassified_candidates.json</x:v>
      </x:c>
      <x:c r="Z18" s="6" t="str">
        <x:v>P_P</x:v>
      </x:c>
      <x:c r="AA18" s="6" t="str">
        <x:v>plan_material</x:v>
      </x:c>
      <x:c r="AB18" s="6" t="str">
        <x:v>retain</x:v>
      </x:c>
    </x:row>
    <x:row r="19" ht="90" customHeight="1">
      <x:c r="A19" s="11" t="b">
        <x:v>0</x:v>
      </x:c>
      <x:c r="B19" s="3" t="str">
        <x:v>Boundary decision: P_P only; final reporting corroborates the internally stated &gt;=4 rule. The actual rating-4 event classification is unknown.</x:v>
      </x:c>
      <x:c r="C19" s="11" t="b">
        <x:v>1</x:v>
      </x:c>
      <x:c r="D19" s="3" t="str">
        <x:v>Measure, label, or scale inconsistency</x:v>
      </x:c>
      <x:c r="E19" s="11" t="b">
        <x:v>0</x:v>
      </x:c>
      <x:c r="F19" s="3" t="str">
        <x:v>C004</x:v>
      </x:c>
      <x:c r="G19" s="3" t="str">
        <x:v>2018::jama.2018.0948::C004</x:v>
      </x:c>
      <x:c r="H19" s="3"/>
      <x:c r="I19" s="3" t="str">
        <x:v>Supplement 1 — PDF p. 11, Table 7 — PDF p. 28; Supplement 3 eTable 1 — PDF p. 6; main article — PDF p. 7.</x:v>
      </x:c>
      <x:c r="J19" s="11" t="b">
        <x:v>0</x:v>
      </x:c>
      <x:c r="K19" s="3" t="str">
        <x:v>jama.2018.0948</x:v>
      </x:c>
      <x:c r="L19" s="3"/>
      <x:c r="M19" s="3" t="str">
        <x:v>P_P</x:v>
      </x:c>
      <x:c r="N19" s="3" t="str">
        <x:v>Protocol p11 says &gt;4 and immediately lists ratings 4, 5, 6; its own Table 7 says &gt;=4. The main article and results supplement corroborate the inclusive list. The focal operator/list contradiction is internal to the protocol.</x:v>
      </x:c>
      <x:c r="O19" s="3" t="str">
        <x:v>../../2018/jama.2018.0948/.ai_paper_validation/final_report_1_5_2.html</x:v>
      </x:c>
      <x:c r="P19" s="3" t="str">
        <x:v>2018/jama.2018.0948/.ai_paper_validation/final_report_1_5_2.md</x:v>
      </x:c>
      <x:c r="Q19" s="3" t="str">
        <x:v>C004</x:v>
      </x:c>
      <x:c r="R19" s="3" t="str">
        <x:v>Pending Human Adjudication</x:v>
      </x:c>
      <x:c r="S19" s="3" t="str">
        <x:v>The preventability definition says &gt;4 while nearby and cross-source descriptions include rating 4.</x:v>
      </x:c>
      <x:c r="T19" s="11" t="b">
        <x:v>0</x:v>
      </x:c>
      <x:c r="U19" s="3" t="str">
        <x:v>preventability_threshold</x:v>
      </x:c>
      <x:c r="V19" s="3" t="str">
        <x:v>plan_material</x:v>
      </x:c>
      <x:c r="W19" s="3" t="str">
        <x:v>Preventability threshold excludes and includes rating 4</x:v>
      </x:c>
      <x:c r="X19" s="3" t="str">
        <x:v>2018</x:v>
      </x:c>
      <x:c r="Y19" s="3" t="str">
        <x:v>meta_report/consistency_reclassification_2026-09-04/reclassified_candidates.json</x:v>
      </x:c>
      <x:c r="Z19" s="3" t="str">
        <x:v>P_P</x:v>
      </x:c>
      <x:c r="AA19" s="3" t="str">
        <x:v>plan_material</x:v>
      </x:c>
      <x:c r="AB19" s="3" t="str">
        <x:v>retain</x:v>
      </x:c>
    </x:row>
    <x:row r="20" ht="90" customHeight="1">
      <x:c r="A20" s="12" t="b">
        <x:v>0</x:v>
      </x:c>
      <x:c r="B20" s="6" t="str">
        <x:v>Historical evidence inside protocol. The p14 planning context uses this historical count, but the candidate does not independently challenge a prospective power calculation. Year-stratified data are absent.</x:v>
      </x:c>
      <x:c r="C20" s="12" t="b">
        <x:v>1</x:v>
      </x:c>
      <x:c r="D20" s="6" t="str">
        <x:v>Denominator, proportion, or total inconsistency</x:v>
      </x:c>
      <x:c r="E20" s="12" t="b">
        <x:v>0</x:v>
      </x:c>
      <x:c r="F20" s="6" t="str">
        <x:v>C005</x:v>
      </x:c>
      <x:c r="G20" s="6" t="str">
        <x:v>2018::jama.2018.0948::C005</x:v>
      </x:c>
      <x:c r="H20" s="6" t="str">
        <x:v>P_B</x:v>
      </x:c>
      <x:c r="I20" s="6" t="str">
        <x:v>Supplement 1 — PDF p. 14 and PDF p. 30.</x:v>
      </x:c>
      <x:c r="J20" s="12" t="b">
        <x:v>0</x:v>
      </x:c>
      <x:c r="K20" s="6" t="str">
        <x:v>jama.2018.0948</x:v>
      </x:c>
      <x:c r="L20" s="6"/>
      <x:c r="M20" s="6" t="str">
        <x:v>P_P</x:v>
      </x:c>
      <x:c r="N20" s="6" t="str">
        <x:v>The same historical Ontario four-hospital 1052 urgent ICU/PICU admissions count is called annual in protocol power-assumption text and two-year in the historical reference-data appendix. The conflicting quantity is a prior-data observation period reused as a planning input, and therefore does not represent the current trial plan or report.</x:v>
      </x:c>
      <x:c r="O20" s="6" t="str">
        <x:v>../../2018/jama.2018.0948/.ai_paper_validation/final_report_1_5_2.html</x:v>
      </x:c>
      <x:c r="P20" s="6" t="str">
        <x:v>2018/jama.2018.0948/.ai_paper_validation/final_report_1_5_2.md</x:v>
      </x:c>
      <x:c r="Q20" s="6" t="str">
        <x:v>C005</x:v>
      </x:c>
      <x:c r="R20" s="6" t="str">
        <x:v>Pending Human Adjudication</x:v>
      </x:c>
      <x:c r="S20" s="6" t="str">
        <x:v>The same 1,052 urgent ICU/PICU admission count is labelled annual and as a two-year total.</x:v>
      </x:c>
      <x:c r="T20" s="12" t="b">
        <x:v>0</x:v>
      </x:c>
      <x:c r="U20" s="6" t="str">
        <x:v>planning_reference_period</x:v>
      </x:c>
      <x:c r="V20" s="6" t="str">
        <x:v>plan_material</x:v>
      </x:c>
      <x:c r="W20" s="6" t="str">
        <x:v>The same SCDE reference count is labelled annual and two-year</x:v>
      </x:c>
      <x:c r="X20" s="6" t="str">
        <x:v>2018</x:v>
      </x:c>
      <x:c r="Y20" s="6" t="str">
        <x:v>meta_report/consistency_reclassification_2026-09-04/reclassified_candidates.json</x:v>
      </x:c>
      <x:c r="Z20" s="6" t="str">
        <x:v>P_P</x:v>
      </x:c>
      <x:c r="AA20" s="6" t="str">
        <x:v>plan_material</x:v>
      </x:c>
      <x:c r="AB20" s="6" t="str">
        <x:v>retain</x:v>
      </x:c>
    </x:row>
    <x:row r="21" ht="90" customHeight="1">
      <x:c r="A21" s="11" t="b">
        <x:v>0</x:v>
      </x:c>
      <x:c r="B21" s="3"/>
      <x:c r="C21" s="11" t="b">
        <x:v>1</x:v>
      </x:c>
      <x:c r="D21" s="3" t="str">
        <x:v>Numeric or arithmetic inconsistency</x:v>
      </x:c>
      <x:c r="E21" s="11" t="b">
        <x:v>0</x:v>
      </x:c>
      <x:c r="F21" s="3" t="str">
        <x:v>C006</x:v>
      </x:c>
      <x:c r="G21" s="3" t="str">
        <x:v>2018::jama.2018.0948::C006</x:v>
      </x:c>
      <x:c r="H21" s="3"/>
      <x:c r="I21" s="3" t="str">
        <x:v>Supplement 1 — PDF p. 30.</x:v>
      </x:c>
      <x:c r="J21" s="11" t="b">
        <x:v>0</x:v>
      </x:c>
      <x:c r="K21" s="3" t="str">
        <x:v>jama.2018.0948</x:v>
      </x:c>
      <x:c r="L21" s="3"/>
      <x:c r="M21" s="3" t="str">
        <x:v>P_P</x:v>
      </x:c>
      <x:c r="N21" s="3" t="str">
        <x:v>The printed stat-call absolute reduction does not reproduce from the displayed baseline rate and relative reduction. The focal discrepancy is internal to the protocol/SAP material, including plan-version passages in a bound bundle.</x:v>
      </x:c>
      <x:c r="O21" s="3" t="str">
        <x:v>../../2018/jama.2018.0948/.ai_paper_validation/final_report_1_5_2.html</x:v>
      </x:c>
      <x:c r="P21" s="3" t="str">
        <x:v>2018/jama.2018.0948/.ai_paper_validation/final_report_1_5_2.md</x:v>
      </x:c>
      <x:c r="Q21" s="3" t="str">
        <x:v>C006</x:v>
      </x:c>
      <x:c r="R21" s="3" t="str">
        <x:v>Pending Human Adjudication</x:v>
      </x:c>
      <x:c r="S21" s="3" t="str">
        <x:v>The printed stat-call absolute reduction does not reproduce from the displayed baseline rate and relative reduction.</x:v>
      </x:c>
      <x:c r="T21" s="11" t="b">
        <x:v>0</x:v>
      </x:c>
      <x:c r="U21" s="3" t="str">
        <x:v>planning_product_arithmetic</x:v>
      </x:c>
      <x:c r="V21" s="3" t="str">
        <x:v>plan_material</x:v>
      </x:c>
      <x:c r="W21" s="3" t="str">
        <x:v>Stat-call absolute reduction does not reproduce from the printed inputs</x:v>
      </x:c>
      <x:c r="X21" s="3" t="str">
        <x:v>2018</x:v>
      </x:c>
      <x:c r="Y21" s="3" t="str">
        <x:v>meta_report/consistency_reclassification_2026-09-04/reclassified_candidates.json</x:v>
      </x:c>
      <x:c r="Z21" s="3" t="str">
        <x:v>P_P</x:v>
      </x:c>
      <x:c r="AA21" s="3" t="str">
        <x:v>plan_material</x:v>
      </x:c>
      <x:c r="AB21" s="3" t="str">
        <x:v>retain</x:v>
      </x:c>
    </x:row>
    <x:row r="22" ht="90" customHeight="1">
      <x:c r="A22" s="12" t="b">
        <x:v>0</x:v>
      </x:c>
      <x:c r="B22" s="6" t="str">
        <x:v>Historical reference-table data can be planning inputs, but this candidate targets the pre-existing counts/rates themselves. The original external report was not obtained for new adjudication.</x:v>
      </x:c>
      <x:c r="C22" s="12" t="b">
        <x:v>1</x:v>
      </x:c>
      <x:c r="D22" s="6" t="str">
        <x:v>Denominator, proportion, or total inconsistency</x:v>
      </x:c>
      <x:c r="E22" s="12" t="b">
        <x:v>0</x:v>
      </x:c>
      <x:c r="F22" s="6" t="str">
        <x:v>C007</x:v>
      </x:c>
      <x:c r="G22" s="6" t="str">
        <x:v>2018::jama.2018.0948::C007</x:v>
      </x:c>
      <x:c r="H22" s="6" t="str">
        <x:v>P_B</x:v>
      </x:c>
      <x:c r="I22" s="6" t="str">
        <x:v>Supplement 1 — PDF p. 30.</x:v>
      </x:c>
      <x:c r="J22" s="12" t="b">
        <x:v>0</x:v>
      </x:c>
      <x:c r="K22" s="6" t="str">
        <x:v>jama.2018.0948</x:v>
      </x:c>
      <x:c r="L22" s="6"/>
      <x:c r="M22" s="6" t="str">
        <x:v>P_P</x:v>
      </x:c>
      <x:c r="N22" s="6" t="str">
        <x:v>The protocol Sample Size Appendix reproduces Ontario 2007-8 historical data attributed to the Kotsakis 2009 collaborative report: 1052 admissions, denominators 7300/55963, and rates 14.5%/18 per 1000. The rates do not round from those historical integers. In v.2.0.3 this is background material within consolidated P_P, not current trial reported-versus-planned results.</x:v>
      </x:c>
      <x:c r="O22" s="6" t="str">
        <x:v>../../2018/jama.2018.0948/.ai_paper_validation/final_report_1_5_2.html</x:v>
      </x:c>
      <x:c r="P22" s="6" t="str">
        <x:v>2018/jama.2018.0948/.ai_paper_validation/final_report_1_5_2.md</x:v>
      </x:c>
      <x:c r="Q22" s="6" t="str">
        <x:v>C007</x:v>
      </x:c>
      <x:c r="R22" s="6" t="str">
        <x:v>Pending Human Adjudication</x:v>
      </x:c>
      <x:c r="S22" s="6" t="str">
        <x:v>Two printed urgent-PICU rates do not conventionally round from the displayed numerator and denominators.</x:v>
      </x:c>
      <x:c r="T22" s="12" t="b">
        <x:v>0</x:v>
      </x:c>
      <x:c r="U22" s="6" t="str">
        <x:v>planning_reference_rates</x:v>
      </x:c>
      <x:c r="V22" s="6" t="str">
        <x:v>plan_material</x:v>
      </x:c>
      <x:c r="W22" s="6" t="str">
        <x:v>Urgent PICU admission rates do not match the printed counts and denominators at conventional rounding</x:v>
      </x:c>
      <x:c r="X22" s="6" t="str">
        <x:v>2018</x:v>
      </x:c>
      <x:c r="Y22" s="6" t="str">
        <x:v>meta_report/consistency_reclassification_2026-09-04/reclassified_candidates.json</x:v>
      </x:c>
      <x:c r="Z22" s="6" t="str">
        <x:v>P_P</x:v>
      </x:c>
      <x:c r="AA22" s="6" t="str">
        <x:v>plan_material</x:v>
      </x:c>
      <x:c r="AB22" s="6" t="str">
        <x:v>retain</x:v>
      </x:c>
    </x:row>
    <x:row r="23" ht="90" customHeight="1">
      <x:c r="A23" s="11" t="b">
        <x:v>0</x:v>
      </x:c>
      <x:c r="B23" s="3"/>
      <x:c r="C23" s="11" t="b">
        <x:v>0</x:v>
      </x:c>
      <x:c r="D23" s="3" t="str">
        <x:v>Numeric or arithmetic inconsistency</x:v>
      </x:c>
      <x:c r="E23" s="11" t="b">
        <x:v>0</x:v>
      </x:c>
      <x:c r="F23" s="3" t="str">
        <x:v>C001</x:v>
      </x:c>
      <x:c r="G23" s="3" t="str">
        <x:v>2018::jama.2018.14280::C001</x:v>
      </x:c>
      <x:c r="H23" s="3"/>
      <x:c r="I23" s="3" t="str">
        <x:v>DOC-004, Supplement 3, eTable 2, Other Mode of Ventilation, after titration on randomization day, intermediate arm, PEEP.</x:v>
      </x:c>
      <x:c r="J23" s="11" t="b">
        <x:v>0</x:v>
      </x:c>
      <x:c r="K23" s="3" t="str">
        <x:v>jama.2018.14280</x:v>
      </x:c>
      <x:c r="L23" s="3"/>
      <x:c r="M23" s="3" t="str">
        <x:v>S_W</x:v>
      </x:c>
      <x:c r="N23" s="3" t="str">
        <x:v>The intermediate-arm PEEP value 8 (5-1) is incompatible with the table's median (IQR) definition. The focal mismatch is within one non-plan results supplement.</x:v>
      </x:c>
      <x:c r="O23" s="3" t="str">
        <x:v>../../2018/jama.2018.14280/.ai_paper_validation/final_report_1_5_2.html</x:v>
      </x:c>
      <x:c r="P23" s="3" t="str">
        <x:v>2018/jama.2018.14280/.ai_paper_validation/final_report_1_5_2.md</x:v>
      </x:c>
      <x:c r="Q23" s="3" t="str">
        <x:v>C001</x:v>
      </x:c>
      <x:c r="R23" s="3" t="str">
        <x:v>Pending Human Adjudication</x:v>
      </x:c>
      <x:c r="S23" s="3" t="str">
        <x:v>The intermediate-arm PEEP value 8 (5-1) is incompatible with the table's median (IQR) definition.</x:v>
      </x:c>
      <x:c r="T23" s="11" t="b">
        <x:v>1</x:v>
      </x:c>
      <x:c r="U23" s="3" t="str">
        <x:v>iqr_order</x:v>
      </x:c>
      <x:c r="V23" s="3" t="str">
        <x:v>statistical_results</x:v>
      </x:c>
      <x:c r="W23" s="3" t="str">
        <x:v>Reversed endpoint in the eTable 2 PEEP interquartile range</x:v>
      </x:c>
      <x:c r="X23" s="3" t="str">
        <x:v>2018</x:v>
      </x:c>
      <x:c r="Y23" s="3" t="str">
        <x:v>meta_report/consistency_reclassification_2026-09-04/reclassified_candidates.json</x:v>
      </x:c>
      <x:c r="Z23" s="3" t="str">
        <x:v>S_W</x:v>
      </x:c>
      <x:c r="AA23" s="3" t="str">
        <x:v>statistical_results</x:v>
      </x:c>
      <x:c r="AB23" s="3" t="str">
        <x:v>retain</x:v>
      </x:c>
    </x:row>
    <x:row r="24" ht="90" customHeight="1">
      <x:c r="A24" s="12" t="b">
        <x:v>0</x:v>
      </x:c>
      <x:c r="B24" s="6"/>
      <x:c r="C24" s="12" t="b">
        <x:v>0</x:v>
      </x:c>
      <x:c r="D24" s="6" t="str">
        <x:v>Denominator, proportion, or total inconsistency</x:v>
      </x:c>
      <x:c r="E24" s="12" t="b">
        <x:v>0</x:v>
      </x:c>
      <x:c r="F24" s="6" t="str">
        <x:v>C002</x:v>
      </x:c>
      <x:c r="G24" s="6" t="str">
        <x:v>2018::jama.2018.14280::C002</x:v>
      </x:c>
      <x:c r="H24" s="6"/>
      <x:c r="I24" s="6" t="str">
        <x:v>DOC-001, Table 1, Patients at risk for ARDS, low and intermediate arms.</x:v>
      </x:c>
      <x:c r="J24" s="12" t="b">
        <x:v>0</x:v>
      </x:c>
      <x:c r="K24" s="6" t="str">
        <x:v>jama.2018.14280</x:v>
      </x:c>
      <x:c r="L24" s="6"/>
      <x:c r="M24" s="6" t="str">
        <x:v>S_W</x:v>
      </x:c>
      <x:c r="N24" s="6" t="str">
        <x:v>Printed percentages do not reproduce from Table 1 arm headers, while smaller denominators reproduce them. The focal mismatch is within the main article.</x:v>
      </x:c>
      <x:c r="O24" s="6" t="str">
        <x:v>../../2018/jama.2018.14280/.ai_paper_validation/final_report_1_5_2.html</x:v>
      </x:c>
      <x:c r="P24" s="6" t="str">
        <x:v>2018/jama.2018.14280/.ai_paper_validation/final_report_1_5_2.md</x:v>
      </x:c>
      <x:c r="Q24" s="6" t="str">
        <x:v>C002</x:v>
      </x:c>
      <x:c r="R24" s="6" t="str">
        <x:v>Pending Human Adjudication</x:v>
      </x:c>
      <x:c r="S24" s="6" t="str">
        <x:v>Printed percentages do not reproduce from Table 1 arm headers, while smaller denominators reproduce them.</x:v>
      </x:c>
      <x:c r="T24" s="12" t="b">
        <x:v>1</x:v>
      </x:c>
      <x:c r="U24" s="6" t="str">
        <x:v>undisclosed_denominator</x:v>
      </x:c>
      <x:c r="V24" s="6" t="str">
        <x:v>statistical_results</x:v>
      </x:c>
      <x:c r="W24" s="6" t="str">
        <x:v>At-risk-for-ARDS percentages use undisclosed denominators</x:v>
      </x:c>
      <x:c r="X24" s="6" t="str">
        <x:v>2018</x:v>
      </x:c>
      <x:c r="Y24" s="6" t="str">
        <x:v>meta_report/consistency_reclassification_2026-09-04/reclassified_candidates.json</x:v>
      </x:c>
      <x:c r="Z24" s="6" t="str">
        <x:v>S_W</x:v>
      </x:c>
      <x:c r="AA24" s="6" t="str">
        <x:v>statistical_results</x:v>
      </x:c>
      <x:c r="AB24" s="6" t="str">
        <x:v>retain</x:v>
      </x:c>
    </x:row>
    <x:row r="25" ht="90" customHeight="1">
      <x:c r="A25" s="11" t="b">
        <x:v>0</x:v>
      </x:c>
      <x:c r="B25" s="3"/>
      <x:c r="C25" s="11" t="b">
        <x:v>0</x:v>
      </x:c>
      <x:c r="D25" s="3" t="str">
        <x:v>Denominator, proportion, or total inconsistency</x:v>
      </x:c>
      <x:c r="E25" s="11" t="b">
        <x:v>0</x:v>
      </x:c>
      <x:c r="F25" s="3" t="str">
        <x:v>C003</x:v>
      </x:c>
      <x:c r="G25" s="3" t="str">
        <x:v>2018::jama.2018.14280::C003</x:v>
      </x:c>
      <x:c r="H25" s="3"/>
      <x:c r="I25" s="3" t="str">
        <x:v>DOC-001, Table 1, Septic shock, low and intermediate arms.</x:v>
      </x:c>
      <x:c r="J25" s="11" t="b">
        <x:v>0</x:v>
      </x:c>
      <x:c r="K25" s="3" t="str">
        <x:v>jama.2018.14280</x:v>
      </x:c>
      <x:c r="L25" s="3"/>
      <x:c r="M25" s="3" t="str">
        <x:v>S_W</x:v>
      </x:c>
      <x:c r="N25" s="3" t="str">
        <x:v>The displayed septic-shock percentages do not reproduce from the Table 1 arm headers. The focal mismatch is within the main article.</x:v>
      </x:c>
      <x:c r="O25" s="3" t="str">
        <x:v>../../2018/jama.2018.14280/.ai_paper_validation/final_report_1_5_2.html</x:v>
      </x:c>
      <x:c r="P25" s="3" t="str">
        <x:v>2018/jama.2018.14280/.ai_paper_validation/final_report_1_5_2.md</x:v>
      </x:c>
      <x:c r="Q25" s="3" t="str">
        <x:v>C003</x:v>
      </x:c>
      <x:c r="R25" s="3" t="str">
        <x:v>Pending Human Adjudication</x:v>
      </x:c>
      <x:c r="S25" s="3" t="str">
        <x:v>The displayed septic-shock percentages do not reproduce from the Table 1 arm headers.</x:v>
      </x:c>
      <x:c r="T25" s="11" t="b">
        <x:v>1</x:v>
      </x:c>
      <x:c r="U25" s="3" t="str">
        <x:v>undisclosed_denominator</x:v>
      </x:c>
      <x:c r="V25" s="3" t="str">
        <x:v>statistical_results</x:v>
      </x:c>
      <x:c r="W25" s="3" t="str">
        <x:v>Septic-shock percentages use undisclosed denominators</x:v>
      </x:c>
      <x:c r="X25" s="3" t="str">
        <x:v>2018</x:v>
      </x:c>
      <x:c r="Y25" s="3" t="str">
        <x:v>meta_report/consistency_reclassification_2026-09-04/reclassified_candidates.json</x:v>
      </x:c>
      <x:c r="Z25" s="3" t="str">
        <x:v>S_W</x:v>
      </x:c>
      <x:c r="AA25" s="3" t="str">
        <x:v>statistical_results</x:v>
      </x:c>
      <x:c r="AB25" s="3" t="str">
        <x:v>retain</x:v>
      </x:c>
    </x:row>
    <x:row r="26" ht="90" customHeight="1">
      <x:c r="A26" s="12" t="b">
        <x:v>0</x:v>
      </x:c>
      <x:c r="B26" s="6"/>
      <x:c r="C26" s="12" t="b">
        <x:v>0</x:v>
      </x:c>
      <x:c r="D26" s="6" t="str">
        <x:v>Denominator, proportion, or total inconsistency</x:v>
      </x:c>
      <x:c r="E26" s="12" t="b">
        <x:v>0</x:v>
      </x:c>
      <x:c r="F26" s="6" t="str">
        <x:v>C004</x:v>
      </x:c>
      <x:c r="G26" s="6" t="str">
        <x:v>2018::jama.2018.14280::C004</x:v>
      </x:c>
      <x:c r="H26" s="6"/>
      <x:c r="I26" s="6" t="str">
        <x:v>DOC-001, Table 1, Patient tobacco use, both arms.</x:v>
      </x:c>
      <x:c r="J26" s="12" t="b">
        <x:v>0</x:v>
      </x:c>
      <x:c r="K26" s="6" t="str">
        <x:v>jama.2018.14280</x:v>
      </x:c>
      <x:c r="L26" s="6"/>
      <x:c r="M26" s="6" t="str">
        <x:v>S_W</x:v>
      </x:c>
      <x:c r="N26" s="6" t="str">
        <x:v>Tobacco-use counts and percentages reconcile to 475/482 rather than the 477/484 arm headers. The focal mismatch is within the main article.</x:v>
      </x:c>
      <x:c r="O26" s="6" t="str">
        <x:v>../../2018/jama.2018.14280/.ai_paper_validation/final_report_1_5_2.html</x:v>
      </x:c>
      <x:c r="P26" s="6" t="str">
        <x:v>2018/jama.2018.14280/.ai_paper_validation/final_report_1_5_2.md</x:v>
      </x:c>
      <x:c r="Q26" s="6" t="str">
        <x:v>C004</x:v>
      </x:c>
      <x:c r="R26" s="6" t="str">
        <x:v>Pending Human Adjudication</x:v>
      </x:c>
      <x:c r="S26" s="6" t="str">
        <x:v>Tobacco-use counts and percentages reconcile to 475/482 rather than the 477/484 arm headers.</x:v>
      </x:c>
      <x:c r="T26" s="12" t="b">
        <x:v>1</x:v>
      </x:c>
      <x:c r="U26" s="6" t="str">
        <x:v>undisclosed_denominator</x:v>
      </x:c>
      <x:c r="V26" s="6" t="str">
        <x:v>statistical_results</x:v>
      </x:c>
      <x:c r="W26" s="6" t="str">
        <x:v>Tobacco-use categories use undisclosed denominators</x:v>
      </x:c>
      <x:c r="X26" s="6" t="str">
        <x:v>2018</x:v>
      </x:c>
      <x:c r="Y26" s="6" t="str">
        <x:v>meta_report/consistency_reclassification_2026-09-04/reclassified_candidates.json</x:v>
      </x:c>
      <x:c r="Z26" s="6" t="str">
        <x:v>S_W</x:v>
      </x:c>
      <x:c r="AA26" s="6" t="str">
        <x:v>statistical_results</x:v>
      </x:c>
      <x:c r="AB26" s="6" t="str">
        <x:v>retain</x:v>
      </x:c>
    </x:row>
    <x:row r="27" ht="90" customHeight="1">
      <x:c r="A27" s="11" t="b">
        <x:v>0</x:v>
      </x:c>
      <x:c r="B27" s="3"/>
      <x:c r="C27" s="11" t="b">
        <x:v>0</x:v>
      </x:c>
      <x:c r="D27" s="3" t="str">
        <x:v>Denominator, proportion, or total inconsistency</x:v>
      </x:c>
      <x:c r="E27" s="11" t="b">
        <x:v>0</x:v>
      </x:c>
      <x:c r="F27" s="3" t="str">
        <x:v>C005</x:v>
      </x:c>
      <x:c r="G27" s="3" t="str">
        <x:v>2018::jama.2018.14280::C005</x:v>
      </x:c>
      <x:c r="H27" s="3"/>
      <x:c r="I27" s="3" t="str">
        <x:v>DOC-001, Table 1, Patient alcohol use, both arms.</x:v>
      </x:c>
      <x:c r="J27" s="11" t="b">
        <x:v>0</x:v>
      </x:c>
      <x:c r="K27" s="3" t="str">
        <x:v>jama.2018.14280</x:v>
      </x:c>
      <x:c r="L27" s="3"/>
      <x:c r="M27" s="3" t="str">
        <x:v>S_W</x:v>
      </x:c>
      <x:c r="N27" s="3" t="str">
        <x:v>Alcohol-use counts and percentages reconcile to 475/482 rather than Table 1 arm headers. The focal mismatch is within the main article.</x:v>
      </x:c>
      <x:c r="O27" s="3" t="str">
        <x:v>../../2018/jama.2018.14280/.ai_paper_validation/final_report_1_5_2.html</x:v>
      </x:c>
      <x:c r="P27" s="3" t="str">
        <x:v>2018/jama.2018.14280/.ai_paper_validation/final_report_1_5_2.md</x:v>
      </x:c>
      <x:c r="Q27" s="3" t="str">
        <x:v>C005</x:v>
      </x:c>
      <x:c r="R27" s="3" t="str">
        <x:v>Pending Human Adjudication</x:v>
      </x:c>
      <x:c r="S27" s="3" t="str">
        <x:v>Alcohol-use counts and percentages reconcile to 475/482 rather than Table 1 arm headers.</x:v>
      </x:c>
      <x:c r="T27" s="11" t="b">
        <x:v>1</x:v>
      </x:c>
      <x:c r="U27" s="3" t="str">
        <x:v>undisclosed_denominator</x:v>
      </x:c>
      <x:c r="V27" s="3" t="str">
        <x:v>statistical_results</x:v>
      </x:c>
      <x:c r="W27" s="3" t="str">
        <x:v>Alcohol-use categories use undisclosed denominators</x:v>
      </x:c>
      <x:c r="X27" s="3" t="str">
        <x:v>2018</x:v>
      </x:c>
      <x:c r="Y27" s="3" t="str">
        <x:v>meta_report/consistency_reclassification_2026-09-04/reclassified_candidates.json</x:v>
      </x:c>
      <x:c r="Z27" s="3" t="str">
        <x:v>S_W</x:v>
      </x:c>
      <x:c r="AA27" s="3" t="str">
        <x:v>statistical_results</x:v>
      </x:c>
      <x:c r="AB27" s="3" t="str">
        <x:v>retain</x:v>
      </x:c>
    </x:row>
    <x:row r="28" ht="90" customHeight="1">
      <x:c r="A28" s="12" t="b">
        <x:v>0</x:v>
      </x:c>
      <x:c r="B28" s="6"/>
      <x:c r="C28" s="12" t="b">
        <x:v>0</x:v>
      </x:c>
      <x:c r="D28" s="6" t="str">
        <x:v>Denominator, proportion, or total inconsistency</x:v>
      </x:c>
      <x:c r="E28" s="12" t="b">
        <x:v>0</x:v>
      </x:c>
      <x:c r="F28" s="6" t="str">
        <x:v>C006</x:v>
      </x:c>
      <x:c r="G28" s="6" t="str">
        <x:v>2018::jama.2018.14280::C006</x:v>
      </x:c>
      <x:c r="H28" s="6"/>
      <x:c r="I28" s="6" t="str">
        <x:v>DOC-001, Table 1, Reason for ICU admission, both arms.</x:v>
      </x:c>
      <x:c r="J28" s="12" t="b">
        <x:v>0</x:v>
      </x:c>
      <x:c r="K28" s="6" t="str">
        <x:v>jama.2018.14280</x:v>
      </x:c>
      <x:c r="L28" s="6"/>
      <x:c r="M28" s="6" t="str">
        <x:v>S_W</x:v>
      </x:c>
      <x:c r="N28" s="6" t="str">
        <x:v>Surgical/medical ICU-admission counts and percentages reconcile to 475/482 rather than arm headers. The focal mismatch is within the main article.</x:v>
      </x:c>
      <x:c r="O28" s="6" t="str">
        <x:v>../../2018/jama.2018.14280/.ai_paper_validation/final_report_1_5_2.html</x:v>
      </x:c>
      <x:c r="P28" s="6" t="str">
        <x:v>2018/jama.2018.14280/.ai_paper_validation/final_report_1_5_2.md</x:v>
      </x:c>
      <x:c r="Q28" s="6" t="str">
        <x:v>C006</x:v>
      </x:c>
      <x:c r="R28" s="6" t="str">
        <x:v>Pending Human Adjudication</x:v>
      </x:c>
      <x:c r="S28" s="6" t="str">
        <x:v>Surgical/medical ICU-admission counts and percentages reconcile to 475/482 rather than arm headers.</x:v>
      </x:c>
      <x:c r="T28" s="12" t="b">
        <x:v>1</x:v>
      </x:c>
      <x:c r="U28" s="6" t="str">
        <x:v>undisclosed_denominator</x:v>
      </x:c>
      <x:c r="V28" s="6" t="str">
        <x:v>statistical_results</x:v>
      </x:c>
      <x:c r="W28" s="6" t="str">
        <x:v>ICU-admission categories use undisclosed denominators</x:v>
      </x:c>
      <x:c r="X28" s="6" t="str">
        <x:v>2018</x:v>
      </x:c>
      <x:c r="Y28" s="6" t="str">
        <x:v>meta_report/consistency_reclassification_2026-09-04/reclassified_candidates.json</x:v>
      </x:c>
      <x:c r="Z28" s="6" t="str">
        <x:v>S_W</x:v>
      </x:c>
      <x:c r="AA28" s="6" t="str">
        <x:v>statistical_results</x:v>
      </x:c>
      <x:c r="AB28" s="6" t="str">
        <x:v>retain</x:v>
      </x:c>
    </x:row>
    <x:row r="29" ht="90" customHeight="1">
      <x:c r="A29" s="11" t="b">
        <x:v>0</x:v>
      </x:c>
      <x:c r="B29" s="3"/>
      <x:c r="C29" s="11" t="b">
        <x:v>0</x:v>
      </x:c>
      <x:c r="D29" s="3" t="str">
        <x:v>Denominator, proportion, or total inconsistency</x:v>
      </x:c>
      <x:c r="E29" s="11" t="b">
        <x:v>0</x:v>
      </x:c>
      <x:c r="F29" s="3" t="str">
        <x:v>C007</x:v>
      </x:c>
      <x:c r="G29" s="3" t="str">
        <x:v>2018::jama.2018.14280::C007</x:v>
      </x:c>
      <x:c r="H29" s="3"/>
      <x:c r="I29" s="3" t="str">
        <x:v>DOC-004, Supplement 3, eTable 4, Sedative infusion.</x:v>
      </x:c>
      <x:c r="J29" s="11" t="b">
        <x:v>0</x:v>
      </x:c>
      <x:c r="K29" s="3" t="str">
        <x:v>jama.2018.14280</x:v>
      </x:c>
      <x:c r="L29" s="3"/>
      <x:c r="M29" s="3" t="str">
        <x:v>S_W</x:v>
      </x:c>
      <x:c r="N29" s="3" t="str">
        <x:v>Sedative-infusion percentages reproduce from unprinted 453/462 denominators, not arm headers. The focal mismatch is within one non-plan results supplement.</x:v>
      </x:c>
      <x:c r="O29" s="3" t="str">
        <x:v>../../2018/jama.2018.14280/.ai_paper_validation/final_report_1_5_2.html</x:v>
      </x:c>
      <x:c r="P29" s="3" t="str">
        <x:v>2018/jama.2018.14280/.ai_paper_validation/final_report_1_5_2.md</x:v>
      </x:c>
      <x:c r="Q29" s="3" t="str">
        <x:v>C007</x:v>
      </x:c>
      <x:c r="R29" s="3" t="str">
        <x:v>Pending Human Adjudication</x:v>
      </x:c>
      <x:c r="S29" s="3" t="str">
        <x:v>Sedative-infusion percentages reproduce from unprinted 453/462 denominators, not arm headers.</x:v>
      </x:c>
      <x:c r="T29" s="11" t="b">
        <x:v>1</x:v>
      </x:c>
      <x:c r="U29" s="3" t="str">
        <x:v>undisclosed_denominator</x:v>
      </x:c>
      <x:c r="V29" s="3" t="str">
        <x:v>statistical_results</x:v>
      </x:c>
      <x:c r="W29" s="3" t="str">
        <x:v>Sedative-infusion percentages omit effective denominators</x:v>
      </x:c>
      <x:c r="X29" s="3" t="str">
        <x:v>2018</x:v>
      </x:c>
      <x:c r="Y29" s="3" t="str">
        <x:v>meta_report/consistency_reclassification_2026-09-04/reclassified_candidates.json</x:v>
      </x:c>
      <x:c r="Z29" s="3" t="str">
        <x:v>S_W</x:v>
      </x:c>
      <x:c r="AA29" s="3" t="str">
        <x:v>statistical_results</x:v>
      </x:c>
      <x:c r="AB29" s="3" t="str">
        <x:v>retain</x:v>
      </x:c>
    </x:row>
    <x:row r="30" ht="90" customHeight="1">
      <x:c r="A30" s="12" t="b">
        <x:v>0</x:v>
      </x:c>
      <x:c r="B30" s="6"/>
      <x:c r="C30" s="12" t="b">
        <x:v>0</x:v>
      </x:c>
      <x:c r="D30" s="6" t="str">
        <x:v>Denominator, proportion, or total inconsistency</x:v>
      </x:c>
      <x:c r="E30" s="12" t="b">
        <x:v>0</x:v>
      </x:c>
      <x:c r="F30" s="6" t="str">
        <x:v>C008</x:v>
      </x:c>
      <x:c r="G30" s="6" t="str">
        <x:v>2018::jama.2018.14280::C008</x:v>
      </x:c>
      <x:c r="H30" s="6"/>
      <x:c r="I30" s="6" t="str">
        <x:v>DOC-004, Supplement 3, eTable 4, Analgesic infusion.</x:v>
      </x:c>
      <x:c r="J30" s="12" t="b">
        <x:v>0</x:v>
      </x:c>
      <x:c r="K30" s="6" t="str">
        <x:v>jama.2018.14280</x:v>
      </x:c>
      <x:c r="L30" s="6"/>
      <x:c r="M30" s="6" t="str">
        <x:v>S_W</x:v>
      </x:c>
      <x:c r="N30" s="6" t="str">
        <x:v>Analgesic-infusion percentages reproduce from unprinted 453/462 denominators, not arm headers. The focal mismatch is within one non-plan results supplement.</x:v>
      </x:c>
      <x:c r="O30" s="6" t="str">
        <x:v>../../2018/jama.2018.14280/.ai_paper_validation/final_report_1_5_2.html</x:v>
      </x:c>
      <x:c r="P30" s="6" t="str">
        <x:v>2018/jama.2018.14280/.ai_paper_validation/final_report_1_5_2.md</x:v>
      </x:c>
      <x:c r="Q30" s="6" t="str">
        <x:v>C008</x:v>
      </x:c>
      <x:c r="R30" s="6" t="str">
        <x:v>Pending Human Adjudication</x:v>
      </x:c>
      <x:c r="S30" s="6" t="str">
        <x:v>Analgesic-infusion percentages reproduce from unprinted 453/462 denominators, not arm headers.</x:v>
      </x:c>
      <x:c r="T30" s="12" t="b">
        <x:v>1</x:v>
      </x:c>
      <x:c r="U30" s="6" t="str">
        <x:v>undisclosed_denominator</x:v>
      </x:c>
      <x:c r="V30" s="6" t="str">
        <x:v>statistical_results</x:v>
      </x:c>
      <x:c r="W30" s="6" t="str">
        <x:v>Analgesic-infusion percentages omit effective denominators</x:v>
      </x:c>
      <x:c r="X30" s="6" t="str">
        <x:v>2018</x:v>
      </x:c>
      <x:c r="Y30" s="6" t="str">
        <x:v>meta_report/consistency_reclassification_2026-09-04/reclassified_candidates.json</x:v>
      </x:c>
      <x:c r="Z30" s="6" t="str">
        <x:v>S_W</x:v>
      </x:c>
      <x:c r="AA30" s="6" t="str">
        <x:v>statistical_results</x:v>
      </x:c>
      <x:c r="AB30" s="6" t="str">
        <x:v>retain</x:v>
      </x:c>
    </x:row>
    <x:row r="31" ht="90" customHeight="1">
      <x:c r="A31" s="11" t="b">
        <x:v>0</x:v>
      </x:c>
      <x:c r="B31" s="3"/>
      <x:c r="C31" s="11" t="b">
        <x:v>0</x:v>
      </x:c>
      <x:c r="D31" s="3" t="str">
        <x:v>Denominator, proportion, or total inconsistency</x:v>
      </x:c>
      <x:c r="E31" s="11" t="b">
        <x:v>0</x:v>
      </x:c>
      <x:c r="F31" s="3" t="str">
        <x:v>C009</x:v>
      </x:c>
      <x:c r="G31" s="3" t="str">
        <x:v>2018::jama.2018.14280::C009</x:v>
      </x:c>
      <x:c r="H31" s="3"/>
      <x:c r="I31" s="3" t="str">
        <x:v>DOC-004, Supplement 3, eTable 4, Neuromuscular blockade.</x:v>
      </x:c>
      <x:c r="J31" s="11" t="b">
        <x:v>0</x:v>
      </x:c>
      <x:c r="K31" s="3" t="str">
        <x:v>jama.2018.14280</x:v>
      </x:c>
      <x:c r="L31" s="3"/>
      <x:c r="M31" s="3" t="str">
        <x:v>S_W</x:v>
      </x:c>
      <x:c r="N31" s="3" t="str">
        <x:v>Neuromuscular-blockade percentages reproduce from unprinted 453/462 denominators, not arm headers. The focal mismatch is within one non-plan results supplement.</x:v>
      </x:c>
      <x:c r="O31" s="3" t="str">
        <x:v>../../2018/jama.2018.14280/.ai_paper_validation/final_report_1_5_2.html</x:v>
      </x:c>
      <x:c r="P31" s="3" t="str">
        <x:v>2018/jama.2018.14280/.ai_paper_validation/final_report_1_5_2.md</x:v>
      </x:c>
      <x:c r="Q31" s="3" t="str">
        <x:v>C009</x:v>
      </x:c>
      <x:c r="R31" s="3" t="str">
        <x:v>Pending Human Adjudication</x:v>
      </x:c>
      <x:c r="S31" s="3" t="str">
        <x:v>Neuromuscular-blockade percentages reproduce from unprinted 453/462 denominators, not arm headers.</x:v>
      </x:c>
      <x:c r="T31" s="11" t="b">
        <x:v>1</x:v>
      </x:c>
      <x:c r="U31" s="3" t="str">
        <x:v>undisclosed_denominator</x:v>
      </x:c>
      <x:c r="V31" s="3" t="str">
        <x:v>statistical_results</x:v>
      </x:c>
      <x:c r="W31" s="3" t="str">
        <x:v>Neuromuscular-blockade percentages omit effective denominators</x:v>
      </x:c>
      <x:c r="X31" s="3" t="str">
        <x:v>2018</x:v>
      </x:c>
      <x:c r="Y31" s="3" t="str">
        <x:v>meta_report/consistency_reclassification_2026-09-04/reclassified_candidates.json</x:v>
      </x:c>
      <x:c r="Z31" s="3" t="str">
        <x:v>S_W</x:v>
      </x:c>
      <x:c r="AA31" s="3" t="str">
        <x:v>statistical_results</x:v>
      </x:c>
      <x:c r="AB31" s="3" t="str">
        <x:v>retain</x:v>
      </x:c>
    </x:row>
    <x:row r="32" ht="90" customHeight="1">
      <x:c r="A32" s="12" t="b">
        <x:v>0</x:v>
      </x:c>
      <x:c r="B32" s="6"/>
      <x:c r="C32" s="12" t="b">
        <x:v>0</x:v>
      </x:c>
      <x:c r="D32" s="6" t="str">
        <x:v>Denominator, proportion, or total inconsistency</x:v>
      </x:c>
      <x:c r="E32" s="12" t="b">
        <x:v>0</x:v>
      </x:c>
      <x:c r="F32" s="6" t="str">
        <x:v>C010</x:v>
      </x:c>
      <x:c r="G32" s="6" t="str">
        <x:v>2018::jama.2018.14280::C010</x:v>
      </x:c>
      <x:c r="H32" s="6"/>
      <x:c r="I32" s="6" t="str">
        <x:v>DOC-004, Supplement 3, eTable 4, Use of vasopressors.</x:v>
      </x:c>
      <x:c r="J32" s="12" t="b">
        <x:v>0</x:v>
      </x:c>
      <x:c r="K32" s="6" t="str">
        <x:v>jama.2018.14280</x:v>
      </x:c>
      <x:c r="L32" s="6"/>
      <x:c r="M32" s="6" t="str">
        <x:v>S_W</x:v>
      </x:c>
      <x:c r="N32" s="6" t="str">
        <x:v>Vasopressor-use percentages reproduce from 454/462, not displayed arm headers. The focal mismatch is within one non-plan results supplement.</x:v>
      </x:c>
      <x:c r="O32" s="6" t="str">
        <x:v>../../2018/jama.2018.14280/.ai_paper_validation/final_report_1_5_2.html</x:v>
      </x:c>
      <x:c r="P32" s="6" t="str">
        <x:v>2018/jama.2018.14280/.ai_paper_validation/final_report_1_5_2.md</x:v>
      </x:c>
      <x:c r="Q32" s="6" t="str">
        <x:v>C010</x:v>
      </x:c>
      <x:c r="R32" s="6" t="str">
        <x:v>Pending Human Adjudication</x:v>
      </x:c>
      <x:c r="S32" s="6" t="str">
        <x:v>Vasopressor-use percentages reproduce from 454/462, not displayed arm headers.</x:v>
      </x:c>
      <x:c r="T32" s="12" t="b">
        <x:v>1</x:v>
      </x:c>
      <x:c r="U32" s="6" t="str">
        <x:v>undisclosed_denominator</x:v>
      </x:c>
      <x:c r="V32" s="6" t="str">
        <x:v>statistical_results</x:v>
      </x:c>
      <x:c r="W32" s="6" t="str">
        <x:v>Vasopressor-use percentages omit effective denominators</x:v>
      </x:c>
      <x:c r="X32" s="6" t="str">
        <x:v>2018</x:v>
      </x:c>
      <x:c r="Y32" s="6" t="str">
        <x:v>meta_report/consistency_reclassification_2026-09-04/reclassified_candidates.json</x:v>
      </x:c>
      <x:c r="Z32" s="6" t="str">
        <x:v>S_W</x:v>
      </x:c>
      <x:c r="AA32" s="6" t="str">
        <x:v>statistical_results</x:v>
      </x:c>
      <x:c r="AB32" s="6" t="str">
        <x:v>retain</x:v>
      </x:c>
    </x:row>
    <x:row r="33" ht="90" customHeight="1">
      <x:c r="A33" s="11" t="b">
        <x:v>0</x:v>
      </x:c>
      <x:c r="B33" s="3" t="str">
        <x:v>The Methods sentence may intend only time-indexed 28/90-day mortality. No independent report-versus-plan departure is counted merely because SAP wording supports the table.</x:v>
      </x:c>
      <x:c r="C33" s="11" t="b">
        <x:v>0</x:v>
      </x:c>
      <x:c r="D33" s="3" t="str">
        <x:v>Measure, label, or scale inconsistency</x:v>
      </x:c>
      <x:c r="E33" s="11" t="b">
        <x:v>0</x:v>
      </x:c>
      <x:c r="F33" s="3" t="str">
        <x:v>C011</x:v>
      </x:c>
      <x:c r="G33" s="3" t="str">
        <x:v>2018::jama.2018.14280::C011</x:v>
      </x:c>
      <x:c r="H33" s="3"/>
      <x:c r="I33" s="3" t="str">
        <x:v>DOC-001 Statistical Analysis and Table 2/footnotes; DOC-003 SAP secondary outcomes.</x:v>
      </x:c>
      <x:c r="J33" s="11" t="b">
        <x:v>0</x:v>
      </x:c>
      <x:c r="K33" s="3" t="str">
        <x:v>jama.2018.14280</x:v>
      </x:c>
      <x:c r="L33" s="3"/>
      <x:c r="M33" s="3" t="str">
        <x:v>S_W</x:v>
      </x:c>
      <x:c r="N33" s="3" t="str">
        <x:v>Main Methods broadly assigns mortality Cox HRs while main Table 2 labels ICU/hospital mortality RR. The SAP agrees with Table 2 and is corroboration of a Methods-versus-results wording discrepancy inside the main article.</x:v>
      </x:c>
      <x:c r="O33" s="3" t="str">
        <x:v>../../2018/jama.2018.14280/.ai_paper_validation/final_report_1_5_2.html</x:v>
      </x:c>
      <x:c r="P33" s="3" t="str">
        <x:v>2018/jama.2018.14280/.ai_paper_validation/final_report_1_5_2.md</x:v>
      </x:c>
      <x:c r="Q33" s="3" t="str">
        <x:v>C011</x:v>
      </x:c>
      <x:c r="R33" s="3" t="str">
        <x:v>Pending Human Adjudication</x:v>
      </x:c>
      <x:c r="S33" s="3" t="str">
        <x:v>The main Methods wording can assign Cox HRs to ICU/hospital mortality, while Table 2 and the SAP assign RRs.</x:v>
      </x:c>
      <x:c r="T33" s="11" t="b">
        <x:v>1</x:v>
      </x:c>
      <x:c r="U33" s="3" t="str">
        <x:v>effect_measure_methods_vs_table</x:v>
      </x:c>
      <x:c r="V33" s="3" t="str">
        <x:v>report_internal_inconsistency</x:v>
      </x:c>
      <x:c r="W33" s="3" t="str">
        <x:v>Mortality effect-measure wording conflicts with Table 2 and the SAP</x:v>
      </x:c>
      <x:c r="X33" s="3" t="str">
        <x:v>2018</x:v>
      </x:c>
      <x:c r="Y33" s="3" t="str">
        <x:v>meta_report/consistency_reclassification_2026-09-04/reclassified_candidates.json</x:v>
      </x:c>
      <x:c r="Z33" s="3" t="str">
        <x:v>S_W</x:v>
      </x:c>
      <x:c r="AA33" s="3" t="str">
        <x:v>report_internal_inconsistency</x:v>
      </x:c>
      <x:c r="AB33" s="3" t="str">
        <x:v>retain</x:v>
      </x:c>
    </x:row>
    <x:row r="34" ht="90" customHeight="1">
      <x:c r="A34" s="12" t="b">
        <x:v>0</x:v>
      </x:c>
      <x:c r="B34" s="6" t="str">
        <x:v>Diagnostic comparison assumes the printed RR is crude; the exact estimator, weighting, or analysis population is not supplied. These are separate outcome rows, not proven instances of a single underlying coding error.</x:v>
      </x:c>
      <x:c r="C34" s="12" t="b">
        <x:v>0</x:v>
      </x:c>
      <x:c r="D34" s="6" t="str">
        <x:v>Statistical reporting inconsistency</x:v>
      </x:c>
      <x:c r="E34" s="12" t="b">
        <x:v>0</x:v>
      </x:c>
      <x:c r="F34" s="6" t="str">
        <x:v>C012</x:v>
      </x:c>
      <x:c r="G34" s="6" t="str">
        <x:v>2018::jama.2018.14280::C012</x:v>
      </x:c>
      <x:c r="H34" s="6"/>
      <x:c r="I34" s="6" t="str">
        <x:v>DOC-001, Table 2, ICU mortality and footnote c.</x:v>
      </x:c>
      <x:c r="J34" s="12" t="b">
        <x:v>0</x:v>
      </x:c>
      <x:c r="K34" s="6" t="str">
        <x:v>jama.2018.14280</x:v>
      </x:c>
      <x:c r="L34" s="6"/>
      <x:c r="M34" s="6" t="str">
        <x:v>S_W</x:v>
      </x:c>
      <x:c r="N34" s="6" t="str">
        <x:v>Printed ICU-mortality RR 1.11 does not reproduce as the crude low/intermediate ratio from displayed risks. The focal mismatch is within the main article.</x:v>
      </x:c>
      <x:c r="O34" s="6" t="str">
        <x:v>../../2018/jama.2018.14280/.ai_paper_validation/final_report_1_5_2.html</x:v>
      </x:c>
      <x:c r="P34" s="6" t="str">
        <x:v>2018/jama.2018.14280/.ai_paper_validation/final_report_1_5_2.md</x:v>
      </x:c>
      <x:c r="Q34" s="6" t="str">
        <x:v>C012</x:v>
      </x:c>
      <x:c r="R34" s="6" t="str">
        <x:v>Pending Human Adjudication</x:v>
      </x:c>
      <x:c r="S34" s="6" t="str">
        <x:v>Printed ICU-mortality RR 1.11 does not reproduce as the crude low/intermediate ratio from displayed risks.</x:v>
      </x:c>
      <x:c r="T34" s="12" t="b">
        <x:v>1</x:v>
      </x:c>
      <x:c r="U34" s="6" t="str">
        <x:v>rr_vs_displayed_risks</x:v>
      </x:c>
      <x:c r="V34" s="6" t="str">
        <x:v>statistical_results</x:v>
      </x:c>
      <x:c r="W34" s="6" t="str">
        <x:v>ICU-mortality RR does not reproduce from printed risks</x:v>
      </x:c>
      <x:c r="X34" s="6" t="str">
        <x:v>2018</x:v>
      </x:c>
      <x:c r="Y34" s="6" t="str">
        <x:v>meta_report/consistency_reclassification_2026-09-04/reclassified_candidates.json</x:v>
      </x:c>
      <x:c r="Z34" s="6" t="str">
        <x:v>S_W</x:v>
      </x:c>
      <x:c r="AA34" s="6" t="str">
        <x:v>statistical_results</x:v>
      </x:c>
      <x:c r="AB34" s="6" t="str">
        <x:v>retain</x:v>
      </x:c>
    </x:row>
    <x:row r="35" ht="90" customHeight="1">
      <x:c r="A35" s="11" t="b">
        <x:v>0</x:v>
      </x:c>
      <x:c r="B35" s="3" t="str">
        <x:v>Diagnostic comparison assumes the printed RR is crude; the exact estimator, weighting, or analysis population is not supplied. These are separate outcome rows, not proven instances of a single underlying coding error.</x:v>
      </x:c>
      <x:c r="C35" s="11" t="b">
        <x:v>0</x:v>
      </x:c>
      <x:c r="D35" s="3" t="str">
        <x:v>Statistical reporting inconsistency</x:v>
      </x:c>
      <x:c r="E35" s="11" t="b">
        <x:v>0</x:v>
      </x:c>
      <x:c r="F35" s="3" t="str">
        <x:v>C013</x:v>
      </x:c>
      <x:c r="G35" s="3" t="str">
        <x:v>2018::jama.2018.14280::C013</x:v>
      </x:c>
      <x:c r="H35" s="3"/>
      <x:c r="I35" s="3" t="str">
        <x:v>DOC-001, Table 2, hospital mortality and footnote c.</x:v>
      </x:c>
      <x:c r="J35" s="11" t="b">
        <x:v>0</x:v>
      </x:c>
      <x:c r="K35" s="3" t="str">
        <x:v>jama.2018.14280</x:v>
      </x:c>
      <x:c r="L35" s="3"/>
      <x:c r="M35" s="3" t="str">
        <x:v>S_W</x:v>
      </x:c>
      <x:c r="N35" s="3" t="str">
        <x:v>Printed hospital-mortality RR 1.06 does not reproduce from displayed risks under the crude comparator. The focal mismatch is within the main article.</x:v>
      </x:c>
      <x:c r="O35" s="3" t="str">
        <x:v>../../2018/jama.2018.14280/.ai_paper_validation/final_report_1_5_2.html</x:v>
      </x:c>
      <x:c r="P35" s="3" t="str">
        <x:v>2018/jama.2018.14280/.ai_paper_validation/final_report_1_5_2.md</x:v>
      </x:c>
      <x:c r="Q35" s="3" t="str">
        <x:v>C013</x:v>
      </x:c>
      <x:c r="R35" s="3" t="str">
        <x:v>Pending Human Adjudication</x:v>
      </x:c>
      <x:c r="S35" s="3" t="str">
        <x:v>Printed hospital-mortality RR 1.06 does not reproduce from displayed risks under the crude comparator.</x:v>
      </x:c>
      <x:c r="T35" s="11" t="b">
        <x:v>1</x:v>
      </x:c>
      <x:c r="U35" s="3" t="str">
        <x:v>rr_vs_displayed_risks</x:v>
      </x:c>
      <x:c r="V35" s="3" t="str">
        <x:v>statistical_results</x:v>
      </x:c>
      <x:c r="W35" s="3" t="str">
        <x:v>Hospital-mortality RR does not reproduce from printed risks</x:v>
      </x:c>
      <x:c r="X35" s="3" t="str">
        <x:v>2018</x:v>
      </x:c>
      <x:c r="Y35" s="3" t="str">
        <x:v>meta_report/consistency_reclassification_2026-09-04/reclassified_candidates.json</x:v>
      </x:c>
      <x:c r="Z35" s="3" t="str">
        <x:v>S_W</x:v>
      </x:c>
      <x:c r="AA35" s="3" t="str">
        <x:v>statistical_results</x:v>
      </x:c>
      <x:c r="AB35" s="3" t="str">
        <x:v>retain</x:v>
      </x:c>
    </x:row>
    <x:row r="36" ht="90" customHeight="1">
      <x:c r="A36" s="12" t="b">
        <x:v>0</x:v>
      </x:c>
      <x:c r="B36" s="6" t="str">
        <x:v>Diagnostic comparison assumes the printed RR is crude; the exact estimator, weighting, or analysis population is not supplied. These are separate outcome rows, not proven instances of a single underlying coding error.</x:v>
      </x:c>
      <x:c r="C36" s="12" t="b">
        <x:v>0</x:v>
      </x:c>
      <x:c r="D36" s="6" t="str">
        <x:v>Statistical reporting inconsistency</x:v>
      </x:c>
      <x:c r="E36" s="12" t="b">
        <x:v>0</x:v>
      </x:c>
      <x:c r="F36" s="6" t="str">
        <x:v>C014</x:v>
      </x:c>
      <x:c r="G36" s="6" t="str">
        <x:v>2018::jama.2018.14280::C014</x:v>
      </x:c>
      <x:c r="H36" s="6"/>
      <x:c r="I36" s="6" t="str">
        <x:v>DOC-001, Table 2, Development of ARDS and footnote c.</x:v>
      </x:c>
      <x:c r="J36" s="12" t="b">
        <x:v>0</x:v>
      </x:c>
      <x:c r="K36" s="6" t="str">
        <x:v>jama.2018.14280</x:v>
      </x:c>
      <x:c r="L36" s="6"/>
      <x:c r="M36" s="6" t="str">
        <x:v>S_W</x:v>
      </x:c>
      <x:c r="N36" s="6" t="str">
        <x:v>Printed ARDS RR 0.86 does not reproduce from displayed risks under the crude comparator. The focal mismatch is within the main article.</x:v>
      </x:c>
      <x:c r="O36" s="6" t="str">
        <x:v>../../2018/jama.2018.14280/.ai_paper_validation/final_report_1_5_2.html</x:v>
      </x:c>
      <x:c r="P36" s="6" t="str">
        <x:v>2018/jama.2018.14280/.ai_paper_validation/final_report_1_5_2.md</x:v>
      </x:c>
      <x:c r="Q36" s="6" t="str">
        <x:v>C014</x:v>
      </x:c>
      <x:c r="R36" s="6" t="str">
        <x:v>Pending Human Adjudication</x:v>
      </x:c>
      <x:c r="S36" s="6" t="str">
        <x:v>Printed ARDS RR 0.86 does not reproduce from displayed risks under the crude comparator.</x:v>
      </x:c>
      <x:c r="T36" s="12" t="b">
        <x:v>1</x:v>
      </x:c>
      <x:c r="U36" s="6" t="str">
        <x:v>rr_vs_displayed_risks</x:v>
      </x:c>
      <x:c r="V36" s="6" t="str">
        <x:v>statistical_results</x:v>
      </x:c>
      <x:c r="W36" s="6" t="str">
        <x:v>ARDS RR does not reproduce from printed risks</x:v>
      </x:c>
      <x:c r="X36" s="6" t="str">
        <x:v>2018</x:v>
      </x:c>
      <x:c r="Y36" s="6" t="str">
        <x:v>meta_report/consistency_reclassification_2026-09-04/reclassified_candidates.json</x:v>
      </x:c>
      <x:c r="Z36" s="6" t="str">
        <x:v>S_W</x:v>
      </x:c>
      <x:c r="AA36" s="6" t="str">
        <x:v>statistical_results</x:v>
      </x:c>
      <x:c r="AB36" s="6" t="str">
        <x:v>retain</x:v>
      </x:c>
    </x:row>
    <x:row r="37" ht="90" customHeight="1">
      <x:c r="A37" s="11" t="b">
        <x:v>0</x:v>
      </x:c>
      <x:c r="B37" s="3" t="str">
        <x:v>Diagnostic comparison assumes the printed RR is crude; the exact estimator, weighting, or analysis population is not supplied. These are separate outcome rows, not proven instances of a single underlying coding error.</x:v>
      </x:c>
      <x:c r="C37" s="11" t="b">
        <x:v>0</x:v>
      </x:c>
      <x:c r="D37" s="3" t="str">
        <x:v>Statistical reporting inconsistency</x:v>
      </x:c>
      <x:c r="E37" s="11" t="b">
        <x:v>0</x:v>
      </x:c>
      <x:c r="F37" s="3" t="str">
        <x:v>C015</x:v>
      </x:c>
      <x:c r="G37" s="3" t="str">
        <x:v>2018::jama.2018.14280::C015</x:v>
      </x:c>
      <x:c r="H37" s="3"/>
      <x:c r="I37" s="3" t="str">
        <x:v>DOC-001, Table 2, Development of pneumonia and footnote c.</x:v>
      </x:c>
      <x:c r="J37" s="11" t="b">
        <x:v>0</x:v>
      </x:c>
      <x:c r="K37" s="3" t="str">
        <x:v>jama.2018.14280</x:v>
      </x:c>
      <x:c r="L37" s="3"/>
      <x:c r="M37" s="3" t="str">
        <x:v>S_W</x:v>
      </x:c>
      <x:c r="N37" s="3" t="str">
        <x:v>Printed pneumonia RR 1.07 does not reproduce from displayed risks under the crude comparator. The focal mismatch is within the main article.</x:v>
      </x:c>
      <x:c r="O37" s="3" t="str">
        <x:v>../../2018/jama.2018.14280/.ai_paper_validation/final_report_1_5_2.html</x:v>
      </x:c>
      <x:c r="P37" s="3" t="str">
        <x:v>2018/jama.2018.14280/.ai_paper_validation/final_report_1_5_2.md</x:v>
      </x:c>
      <x:c r="Q37" s="3" t="str">
        <x:v>C015</x:v>
      </x:c>
      <x:c r="R37" s="3" t="str">
        <x:v>Pending Human Adjudication</x:v>
      </x:c>
      <x:c r="S37" s="3" t="str">
        <x:v>Printed pneumonia RR 1.07 does not reproduce from displayed risks under the crude comparator.</x:v>
      </x:c>
      <x:c r="T37" s="11" t="b">
        <x:v>1</x:v>
      </x:c>
      <x:c r="U37" s="3" t="str">
        <x:v>rr_vs_displayed_risks</x:v>
      </x:c>
      <x:c r="V37" s="3" t="str">
        <x:v>statistical_results</x:v>
      </x:c>
      <x:c r="W37" s="3" t="str">
        <x:v>Pneumonia RR does not reproduce from printed risks</x:v>
      </x:c>
      <x:c r="X37" s="3" t="str">
        <x:v>2018</x:v>
      </x:c>
      <x:c r="Y37" s="3" t="str">
        <x:v>meta_report/consistency_reclassification_2026-09-04/reclassified_candidates.json</x:v>
      </x:c>
      <x:c r="Z37" s="3" t="str">
        <x:v>S_W</x:v>
      </x:c>
      <x:c r="AA37" s="3" t="str">
        <x:v>statistical_results</x:v>
      </x:c>
      <x:c r="AB37" s="3" t="str">
        <x:v>retain</x:v>
      </x:c>
    </x:row>
    <x:row r="38" ht="90" customHeight="1">
      <x:c r="A38" s="12" t="b">
        <x:v>0</x:v>
      </x:c>
      <x:c r="B38" s="6" t="str">
        <x:v>Diagnostic comparison assumes the printed RR is crude; the exact estimator, weighting, or analysis population is not supplied. These are separate outcome rows, not proven instances of a single underlying coding error.</x:v>
      </x:c>
      <x:c r="C38" s="12" t="b">
        <x:v>0</x:v>
      </x:c>
      <x:c r="D38" s="6" t="str">
        <x:v>Statistical reporting inconsistency</x:v>
      </x:c>
      <x:c r="E38" s="12" t="b">
        <x:v>0</x:v>
      </x:c>
      <x:c r="F38" s="6" t="str">
        <x:v>C016</x:v>
      </x:c>
      <x:c r="G38" s="6" t="str">
        <x:v>2018::jama.2018.14280::C016</x:v>
      </x:c>
      <x:c r="H38" s="6"/>
      <x:c r="I38" s="6" t="str">
        <x:v>DOC-001, Table 2, Pneumothorax and footnote c.</x:v>
      </x:c>
      <x:c r="J38" s="12" t="b">
        <x:v>0</x:v>
      </x:c>
      <x:c r="K38" s="6" t="str">
        <x:v>jama.2018.14280</x:v>
      </x:c>
      <x:c r="L38" s="6"/>
      <x:c r="M38" s="6" t="str">
        <x:v>S_W</x:v>
      </x:c>
      <x:c r="N38" s="6" t="str">
        <x:v>Printed pneumothorax RR 1.16 does not reproduce from displayed risks under the crude comparator. The focal mismatch is within the main article.</x:v>
      </x:c>
      <x:c r="O38" s="6" t="str">
        <x:v>../../2018/jama.2018.14280/.ai_paper_validation/final_report_1_5_2.html</x:v>
      </x:c>
      <x:c r="P38" s="6" t="str">
        <x:v>2018/jama.2018.14280/.ai_paper_validation/final_report_1_5_2.md</x:v>
      </x:c>
      <x:c r="Q38" s="6" t="str">
        <x:v>C016</x:v>
      </x:c>
      <x:c r="R38" s="6" t="str">
        <x:v>Pending Human Adjudication</x:v>
      </x:c>
      <x:c r="S38" s="6" t="str">
        <x:v>Printed pneumothorax RR 1.16 does not reproduce from displayed risks under the crude comparator.</x:v>
      </x:c>
      <x:c r="T38" s="12" t="b">
        <x:v>1</x:v>
      </x:c>
      <x:c r="U38" s="6" t="str">
        <x:v>rr_vs_displayed_risks</x:v>
      </x:c>
      <x:c r="V38" s="6" t="str">
        <x:v>statistical_results</x:v>
      </x:c>
      <x:c r="W38" s="6" t="str">
        <x:v>Pneumothorax RR does not reproduce from printed risks</x:v>
      </x:c>
      <x:c r="X38" s="6" t="str">
        <x:v>2018</x:v>
      </x:c>
      <x:c r="Y38" s="6" t="str">
        <x:v>meta_report/consistency_reclassification_2026-09-04/reclassified_candidates.json</x:v>
      </x:c>
      <x:c r="Z38" s="6" t="str">
        <x:v>S_W</x:v>
      </x:c>
      <x:c r="AA38" s="6" t="str">
        <x:v>statistical_results</x:v>
      </x:c>
      <x:c r="AB38" s="6" t="str">
        <x:v>retain</x:v>
      </x:c>
    </x:row>
    <x:row r="39" ht="90" customHeight="1">
      <x:c r="A39" s="11" t="b">
        <x:v>0</x:v>
      </x:c>
      <x:c r="B39" s="3" t="str">
        <x:v>Diagnostic comparison assumes the printed RR is crude; the exact estimator, weighting, or analysis population is not supplied. These are separate outcome rows, not proven instances of a single underlying coding error.</x:v>
      </x:c>
      <x:c r="C39" s="11" t="b">
        <x:v>0</x:v>
      </x:c>
      <x:c r="D39" s="3" t="str">
        <x:v>Statistical reporting inconsistency</x:v>
      </x:c>
      <x:c r="E39" s="11" t="b">
        <x:v>0</x:v>
      </x:c>
      <x:c r="F39" s="3" t="str">
        <x:v>C017</x:v>
      </x:c>
      <x:c r="G39" s="3" t="str">
        <x:v>2018::jama.2018.14280::C017</x:v>
      </x:c>
      <x:c r="H39" s="3"/>
      <x:c r="I39" s="3" t="str">
        <x:v>DOC-001, Table 2, Atelectasis and footnote c.</x:v>
      </x:c>
      <x:c r="J39" s="11" t="b">
        <x:v>0</x:v>
      </x:c>
      <x:c r="K39" s="3" t="str">
        <x:v>jama.2018.14280</x:v>
      </x:c>
      <x:c r="L39" s="3"/>
      <x:c r="M39" s="3" t="str">
        <x:v>S_W</x:v>
      </x:c>
      <x:c r="N39" s="3" t="str">
        <x:v>Printed atelectasis RR 1.00 does not reproduce from displayed risks under the crude comparator. The focal mismatch is within the main article.</x:v>
      </x:c>
      <x:c r="O39" s="3" t="str">
        <x:v>../../2018/jama.2018.14280/.ai_paper_validation/final_report_1_5_2.html</x:v>
      </x:c>
      <x:c r="P39" s="3" t="str">
        <x:v>2018/jama.2018.14280/.ai_paper_validation/final_report_1_5_2.md</x:v>
      </x:c>
      <x:c r="Q39" s="3" t="str">
        <x:v>C017</x:v>
      </x:c>
      <x:c r="R39" s="3" t="str">
        <x:v>Pending Human Adjudication</x:v>
      </x:c>
      <x:c r="S39" s="3" t="str">
        <x:v>Printed atelectasis RR 1.00 does not reproduce from displayed risks under the crude comparator.</x:v>
      </x:c>
      <x:c r="T39" s="11" t="b">
        <x:v>1</x:v>
      </x:c>
      <x:c r="U39" s="3" t="str">
        <x:v>rr_vs_displayed_risks</x:v>
      </x:c>
      <x:c r="V39" s="3" t="str">
        <x:v>statistical_results</x:v>
      </x:c>
      <x:c r="W39" s="3" t="str">
        <x:v>Atelectasis RR does not reproduce from printed risks</x:v>
      </x:c>
      <x:c r="X39" s="3" t="str">
        <x:v>2018</x:v>
      </x:c>
      <x:c r="Y39" s="3" t="str">
        <x:v>meta_report/consistency_reclassification_2026-09-04/reclassified_candidates.json</x:v>
      </x:c>
      <x:c r="Z39" s="3" t="str">
        <x:v>S_W</x:v>
      </x:c>
      <x:c r="AA39" s="3" t="str">
        <x:v>statistical_results</x:v>
      </x:c>
      <x:c r="AB39" s="3" t="str">
        <x:v>retain</x:v>
      </x:c>
    </x:row>
    <x:row r="40" ht="90" customHeight="1">
      <x:c r="A40" s="12" t="b">
        <x:v>0</x:v>
      </x:c>
      <x:c r="B40" s="6" t="str">
        <x:v>Diagnostic comparison assumes the printed RR is crude; the exact estimator, weighting, or analysis population is not supplied. These are separate outcome rows, not proven instances of a single underlying coding error.</x:v>
      </x:c>
      <x:c r="C40" s="12" t="b">
        <x:v>0</x:v>
      </x:c>
      <x:c r="D40" s="6" t="str">
        <x:v>Statistical reporting inconsistency</x:v>
      </x:c>
      <x:c r="E40" s="12" t="b">
        <x:v>0</x:v>
      </x:c>
      <x:c r="F40" s="6" t="str">
        <x:v>C018</x:v>
      </x:c>
      <x:c r="G40" s="6" t="str">
        <x:v>2018::jama.2018.14280::C018</x:v>
      </x:c>
      <x:c r="H40" s="6"/>
      <x:c r="I40" s="6" t="str">
        <x:v>DOC-001, Table 2, Extrapulmonary infection and footnote c.</x:v>
      </x:c>
      <x:c r="J40" s="12" t="b">
        <x:v>0</x:v>
      </x:c>
      <x:c r="K40" s="6" t="str">
        <x:v>jama.2018.14280</x:v>
      </x:c>
      <x:c r="L40" s="6"/>
      <x:c r="M40" s="6" t="str">
        <x:v>S_W</x:v>
      </x:c>
      <x:c r="N40" s="6" t="str">
        <x:v>Printed extrapulmonary-infection RR 0.84 does not reproduce from displayed risks under the crude comparator. The focal mismatch is within the main article.</x:v>
      </x:c>
      <x:c r="O40" s="6" t="str">
        <x:v>../../2018/jama.2018.14280/.ai_paper_validation/final_report_1_5_2.html</x:v>
      </x:c>
      <x:c r="P40" s="6" t="str">
        <x:v>2018/jama.2018.14280/.ai_paper_validation/final_report_1_5_2.md</x:v>
      </x:c>
      <x:c r="Q40" s="6" t="str">
        <x:v>C018</x:v>
      </x:c>
      <x:c r="R40" s="6" t="str">
        <x:v>Pending Human Adjudication</x:v>
      </x:c>
      <x:c r="S40" s="6" t="str">
        <x:v>Printed extrapulmonary-infection RR 0.84 does not reproduce from displayed risks under the crude comparator.</x:v>
      </x:c>
      <x:c r="T40" s="12" t="b">
        <x:v>1</x:v>
      </x:c>
      <x:c r="U40" s="6" t="str">
        <x:v>rr_vs_displayed_risks</x:v>
      </x:c>
      <x:c r="V40" s="6" t="str">
        <x:v>statistical_results</x:v>
      </x:c>
      <x:c r="W40" s="6" t="str">
        <x:v>Extrapulmonary-infection RR does not reproduce from printed risks</x:v>
      </x:c>
      <x:c r="X40" s="6" t="str">
        <x:v>2018</x:v>
      </x:c>
      <x:c r="Y40" s="6" t="str">
        <x:v>meta_report/consistency_reclassification_2026-09-04/reclassified_candidates.json</x:v>
      </x:c>
      <x:c r="Z40" s="6" t="str">
        <x:v>S_W</x:v>
      </x:c>
      <x:c r="AA40" s="6" t="str">
        <x:v>statistical_results</x:v>
      </x:c>
      <x:c r="AB40" s="6" t="str">
        <x:v>retain</x:v>
      </x:c>
    </x:row>
    <x:row r="41" ht="90" customHeight="1">
      <x:c r="A41" s="11" t="b">
        <x:v>0</x:v>
      </x:c>
      <x:c r="B41" s="3" t="str">
        <x:v>Diagnostic comparison assumes the printed RR is crude; the exact estimator, weighting, or analysis population is not supplied. These are separate outcome rows, not proven instances of a single underlying coding error.</x:v>
      </x:c>
      <x:c r="C41" s="11" t="b">
        <x:v>0</x:v>
      </x:c>
      <x:c r="D41" s="3" t="str">
        <x:v>Statistical reporting inconsistency</x:v>
      </x:c>
      <x:c r="E41" s="11" t="b">
        <x:v>0</x:v>
      </x:c>
      <x:c r="F41" s="3" t="str">
        <x:v>C019</x:v>
      </x:c>
      <x:c r="G41" s="3" t="str">
        <x:v>2018::jama.2018.14280::C019</x:v>
      </x:c>
      <x:c r="H41" s="3"/>
      <x:c r="I41" s="3" t="str">
        <x:v>DOC-001, Table 2, Extrapulmonary sepsis and footnote c.</x:v>
      </x:c>
      <x:c r="J41" s="11" t="b">
        <x:v>0</x:v>
      </x:c>
      <x:c r="K41" s="3" t="str">
        <x:v>jama.2018.14280</x:v>
      </x:c>
      <x:c r="L41" s="3"/>
      <x:c r="M41" s="3" t="str">
        <x:v>S_W</x:v>
      </x:c>
      <x:c r="N41" s="3" t="str">
        <x:v>Printed extrapulmonary-sepsis RR 0.87 does not reproduce from displayed risks under the crude comparator. The focal mismatch is within the main article.</x:v>
      </x:c>
      <x:c r="O41" s="3" t="str">
        <x:v>../../2018/jama.2018.14280/.ai_paper_validation/final_report_1_5_2.html</x:v>
      </x:c>
      <x:c r="P41" s="3" t="str">
        <x:v>2018/jama.2018.14280/.ai_paper_validation/final_report_1_5_2.md</x:v>
      </x:c>
      <x:c r="Q41" s="3" t="str">
        <x:v>C019</x:v>
      </x:c>
      <x:c r="R41" s="3" t="str">
        <x:v>Pending Human Adjudication</x:v>
      </x:c>
      <x:c r="S41" s="3" t="str">
        <x:v>Printed extrapulmonary-sepsis RR 0.87 does not reproduce from displayed risks under the crude comparator.</x:v>
      </x:c>
      <x:c r="T41" s="11" t="b">
        <x:v>1</x:v>
      </x:c>
      <x:c r="U41" s="3" t="str">
        <x:v>rr_vs_displayed_risks</x:v>
      </x:c>
      <x:c r="V41" s="3" t="str">
        <x:v>statistical_results</x:v>
      </x:c>
      <x:c r="W41" s="3" t="str">
        <x:v>Extrapulmonary-sepsis RR does not reproduce from printed risks</x:v>
      </x:c>
      <x:c r="X41" s="3" t="str">
        <x:v>2018</x:v>
      </x:c>
      <x:c r="Y41" s="3" t="str">
        <x:v>meta_report/consistency_reclassification_2026-09-04/reclassified_candidates.json</x:v>
      </x:c>
      <x:c r="Z41" s="3" t="str">
        <x:v>S_W</x:v>
      </x:c>
      <x:c r="AA41" s="3" t="str">
        <x:v>statistical_results</x:v>
      </x:c>
      <x:c r="AB41" s="3" t="str">
        <x:v>retain</x:v>
      </x:c>
    </x:row>
    <x:row r="42" ht="90" customHeight="1">
      <x:c r="A42" s="12" t="b">
        <x:v>0</x:v>
      </x:c>
      <x:c r="B42" s="6" t="str">
        <x:v>Diagnostic comparison assumes the printed RR is crude; the exact estimator, weighting, or analysis population is not supplied. These are separate outcome rows, not proven instances of a single underlying coding error.</x:v>
      </x:c>
      <x:c r="C42" s="12" t="b">
        <x:v>0</x:v>
      </x:c>
      <x:c r="D42" s="6" t="str">
        <x:v>Statistical reporting inconsistency</x:v>
      </x:c>
      <x:c r="E42" s="12" t="b">
        <x:v>0</x:v>
      </x:c>
      <x:c r="F42" s="6" t="str">
        <x:v>C020</x:v>
      </x:c>
      <x:c r="G42" s="6" t="str">
        <x:v>2018::jama.2018.14280::C020</x:v>
      </x:c>
      <x:c r="H42" s="6"/>
      <x:c r="I42" s="6" t="str">
        <x:v>DOC-001, Table 2, Delirium and footnote c.</x:v>
      </x:c>
      <x:c r="J42" s="12" t="b">
        <x:v>0</x:v>
      </x:c>
      <x:c r="K42" s="6" t="str">
        <x:v>jama.2018.14280</x:v>
      </x:c>
      <x:c r="L42" s="6"/>
      <x:c r="M42" s="6" t="str">
        <x:v>S_W</x:v>
      </x:c>
      <x:c r="N42" s="6" t="str">
        <x:v>Printed delirium RR 1.15 does not reproduce from displayed risks under the crude comparator. The focal mismatch is within the main article.</x:v>
      </x:c>
      <x:c r="O42" s="6" t="str">
        <x:v>../../2018/jama.2018.14280/.ai_paper_validation/final_report_1_5_2.html</x:v>
      </x:c>
      <x:c r="P42" s="6" t="str">
        <x:v>2018/jama.2018.14280/.ai_paper_validation/final_report_1_5_2.md</x:v>
      </x:c>
      <x:c r="Q42" s="6" t="str">
        <x:v>C020</x:v>
      </x:c>
      <x:c r="R42" s="6" t="str">
        <x:v>Pending Human Adjudication</x:v>
      </x:c>
      <x:c r="S42" s="6" t="str">
        <x:v>Printed delirium RR 1.15 does not reproduce from displayed risks under the crude comparator.</x:v>
      </x:c>
      <x:c r="T42" s="12" t="b">
        <x:v>1</x:v>
      </x:c>
      <x:c r="U42" s="6" t="str">
        <x:v>rr_vs_displayed_risks</x:v>
      </x:c>
      <x:c r="V42" s="6" t="str">
        <x:v>statistical_results</x:v>
      </x:c>
      <x:c r="W42" s="6" t="str">
        <x:v>Delirium RR does not reproduce from printed risks</x:v>
      </x:c>
      <x:c r="X42" s="6" t="str">
        <x:v>2018</x:v>
      </x:c>
      <x:c r="Y42" s="6" t="str">
        <x:v>meta_report/consistency_reclassification_2026-09-04/reclassified_candidates.json</x:v>
      </x:c>
      <x:c r="Z42" s="6" t="str">
        <x:v>S_W</x:v>
      </x:c>
      <x:c r="AA42" s="6" t="str">
        <x:v>statistical_results</x:v>
      </x:c>
      <x:c r="AB42" s="6" t="str">
        <x:v>retain</x:v>
      </x:c>
    </x:row>
    <x:row r="43" ht="90" customHeight="1">
      <x:c r="A43" s="11" t="b">
        <x:v>0</x:v>
      </x:c>
      <x:c r="B43" s="3" t="str">
        <x:v>Diagnostic comparison assumes the printed RR is crude; the exact estimator, weighting, or analysis population is not supplied. These are separate outcome rows, not proven instances of a single underlying coding error.</x:v>
      </x:c>
      <x:c r="C43" s="11" t="b">
        <x:v>0</x:v>
      </x:c>
      <x:c r="D43" s="3" t="str">
        <x:v>Statistical reporting inconsistency</x:v>
      </x:c>
      <x:c r="E43" s="11" t="b">
        <x:v>0</x:v>
      </x:c>
      <x:c r="F43" s="3" t="str">
        <x:v>C021</x:v>
      </x:c>
      <x:c r="G43" s="3" t="str">
        <x:v>2018::jama.2018.14280::C021</x:v>
      </x:c>
      <x:c r="H43" s="3"/>
      <x:c r="I43" s="3" t="str">
        <x:v>DOC-001, Table 2, Need for tracheostomy and footnote c.</x:v>
      </x:c>
      <x:c r="J43" s="11" t="b">
        <x:v>0</x:v>
      </x:c>
      <x:c r="K43" s="3" t="str">
        <x:v>jama.2018.14280</x:v>
      </x:c>
      <x:c r="L43" s="3"/>
      <x:c r="M43" s="3" t="str">
        <x:v>S_W</x:v>
      </x:c>
      <x:c r="N43" s="3" t="str">
        <x:v>Printed tracheostomy RR 1.03 does not reproduce from displayed risks under the crude comparator. The focal mismatch is within the main article.</x:v>
      </x:c>
      <x:c r="O43" s="3" t="str">
        <x:v>../../2018/jama.2018.14280/.ai_paper_validation/final_report_1_5_2.html</x:v>
      </x:c>
      <x:c r="P43" s="3" t="str">
        <x:v>2018/jama.2018.14280/.ai_paper_validation/final_report_1_5_2.md</x:v>
      </x:c>
      <x:c r="Q43" s="3" t="str">
        <x:v>C021</x:v>
      </x:c>
      <x:c r="R43" s="3" t="str">
        <x:v>Pending Human Adjudication</x:v>
      </x:c>
      <x:c r="S43" s="3" t="str">
        <x:v>Printed tracheostomy RR 1.03 does not reproduce from displayed risks under the crude comparator.</x:v>
      </x:c>
      <x:c r="T43" s="11" t="b">
        <x:v>1</x:v>
      </x:c>
      <x:c r="U43" s="3" t="str">
        <x:v>rr_vs_displayed_risks</x:v>
      </x:c>
      <x:c r="V43" s="3" t="str">
        <x:v>statistical_results</x:v>
      </x:c>
      <x:c r="W43" s="3" t="str">
        <x:v>Tracheostomy RR does not reproduce from printed risks</x:v>
      </x:c>
      <x:c r="X43" s="3" t="str">
        <x:v>2018</x:v>
      </x:c>
      <x:c r="Y43" s="3" t="str">
        <x:v>meta_report/consistency_reclassification_2026-09-04/reclassified_candidates.json</x:v>
      </x:c>
      <x:c r="Z43" s="3" t="str">
        <x:v>S_W</x:v>
      </x:c>
      <x:c r="AA43" s="3" t="str">
        <x:v>statistical_results</x:v>
      </x:c>
      <x:c r="AB43" s="3" t="str">
        <x:v>retain</x:v>
      </x:c>
    </x:row>
    <x:row r="44" ht="90" customHeight="1">
      <x:c r="A44" s="12" t="b">
        <x:v>0</x:v>
      </x:c>
      <x:c r="B44" s="6"/>
      <x:c r="C44" s="12" t="b">
        <x:v>0</x:v>
      </x:c>
      <x:c r="D44" s="6" t="str">
        <x:v>Measure, label, or scale inconsistency</x:v>
      </x:c>
      <x:c r="E44" s="12" t="b">
        <x:v>1</x:v>
      </x:c>
      <x:c r="F44" s="6" t="str">
        <x:v>C022</x:v>
      </x:c>
      <x:c r="G44" s="6" t="str">
        <x:v>2018::jama.2018.14280::C022</x:v>
      </x:c>
      <x:c r="H44" s="6"/>
      <x:c r="I44" s="6" t="str">
        <x:v>DOC-001, Subgroups and Exploratory Analyses; DOC-004, Supplement 3 eTable 5.</x:v>
      </x:c>
      <x:c r="J44" s="12" t="b">
        <x:v>0</x:v>
      </x:c>
      <x:c r="K44" s="6" t="str">
        <x:v>jama.2018.14280</x:v>
      </x:c>
      <x:c r="L44" s="6"/>
      <x:c r="M44" s="6" t="str">
        <x:v>S_C</x:v>
      </x:c>
      <x:c r="N44" s="6" t="str">
        <x:v>Identical subgroup intervals are labelled IQR in the main text and 95% CI in eTable 5. The focal comparison is the main article versus a non-plan results supplement.</x:v>
      </x:c>
      <x:c r="O44" s="6" t="str">
        <x:v>../../2018/jama.2018.14280/.ai_paper_validation/final_report_1_5_2.html</x:v>
      </x:c>
      <x:c r="P44" s="6" t="str">
        <x:v>2018/jama.2018.14280/.ai_paper_validation/final_report_1_5_2.md</x:v>
      </x:c>
      <x:c r="Q44" s="6" t="str">
        <x:v>C022</x:v>
      </x:c>
      <x:c r="R44" s="6" t="str">
        <x:v>Pending Human Adjudication</x:v>
      </x:c>
      <x:c r="S44" s="6" t="str">
        <x:v>Identical subgroup intervals are labelled IQR in the main text and 95% CI in eTable 5.</x:v>
      </x:c>
      <x:c r="T44" s="12" t="b">
        <x:v>1</x:v>
      </x:c>
      <x:c r="U44" s="6" t="str">
        <x:v>iqr_vs_ci_label</x:v>
      </x:c>
      <x:c r="V44" s="6" t="str">
        <x:v>report_internal_inconsistency</x:v>
      </x:c>
      <x:c r="W44" s="6" t="str">
        <x:v>The same subgroup intervals are labelled IQR and 95% CI</x:v>
      </x:c>
      <x:c r="X44" s="6" t="str">
        <x:v>2018</x:v>
      </x:c>
      <x:c r="Y44" s="6" t="str">
        <x:v>meta_report/consistency_reclassification_2026-09-04/reclassified_candidates.json</x:v>
      </x:c>
      <x:c r="Z44" s="6" t="str">
        <x:v>S_C</x:v>
      </x:c>
      <x:c r="AA44" s="6" t="str">
        <x:v>report_internal_inconsistency</x:v>
      </x:c>
      <x:c r="AB44" s="6" t="str">
        <x:v>retain</x:v>
      </x:c>
    </x:row>
    <x:row r="45" ht="90" customHeight="1">
      <x:c r="A45" s="11" t="b">
        <x:v>0</x:v>
      </x:c>
      <x:c r="B45" s="3" t="str">
        <x:v>The SAP is an update after enrollment; clinical last-patient date versus administrative completion could explain the two days. P_R denotes document roles, not a proven prospective-plan violation.</x:v>
      </x:c>
      <x:c r="C45" s="11" t="b">
        <x:v>1</x:v>
      </x:c>
      <x:c r="D45" s="3" t="str">
        <x:v>Cross-document numeric inconsistency</x:v>
      </x:c>
      <x:c r="E45" s="11" t="b">
        <x:v>1</x:v>
      </x:c>
      <x:c r="F45" s="3" t="str">
        <x:v>C023</x:v>
      </x:c>
      <x:c r="G45" s="3" t="str">
        <x:v>2018::jama.2018.14280::C023</x:v>
      </x:c>
      <x:c r="H45" s="3"/>
      <x:c r="I45" s="3" t="str">
        <x:v>DOC-001 abstract and Results/Patients; DOC-003 SAP abstract and introduction.</x:v>
      </x:c>
      <x:c r="J45" s="11" t="b">
        <x:v>1</x:v>
      </x:c>
      <x:c r="K45" s="3" t="str">
        <x:v>jama.2018.14280</x:v>
      </x:c>
      <x:c r="L45" s="3" t="str">
        <x:v>population_recruitment_sites</x:v>
      </x:c>
      <x:c r="M45" s="3" t="str">
        <x:v>P_R</x:v>
      </x:c>
      <x:c r="N45" s="3" t="str">
        <x:v>The main article gives August 20, 2017 as enrollment end, whereas the supplied SAP/update gives August 22, 2017. This is a main-report versus SAP factual date discrepancy, rather than an ordinary results-supplement discrepancy.</x:v>
      </x:c>
      <x:c r="O45" s="3" t="str">
        <x:v>../../2018/jama.2018.14280/.ai_paper_validation/final_report_1_5_2.html</x:v>
      </x:c>
      <x:c r="P45" s="3" t="str">
        <x:v>2018/jama.2018.14280/.ai_paper_validation/final_report_1_5_2.md</x:v>
      </x:c>
      <x:c r="Q45" s="3" t="str">
        <x:v>C023</x:v>
      </x:c>
      <x:c r="R45" s="3" t="str">
        <x:v>Pending Human Adjudication</x:v>
      </x:c>
      <x:c r="S45" s="3" t="str">
        <x:v>The main article reports enrollment through August 20, 2017, while the SAP reports enrollment complete on August 22, 2017.</x:v>
      </x:c>
      <x:c r="T45" s="11" t="b">
        <x:v>0</x:v>
      </x:c>
      <x:c r="U45" s="3" t="str">
        <x:v>enrollment_end_date</x:v>
      </x:c>
      <x:c r="V45" s="3" t="str">
        <x:v>protocol_report</x:v>
      </x:c>
      <x:c r="W45" s="3" t="str">
        <x:v>Enrollment completion dates differ by two days</x:v>
      </x:c>
      <x:c r="X45" s="3" t="str">
        <x:v>2018</x:v>
      </x:c>
      <x:c r="Y45" s="3" t="str">
        <x:v>meta_report/consistency_reclassification_2026-09-04/reclassified_candidates.json</x:v>
      </x:c>
      <x:c r="Z45" s="3" t="str">
        <x:v>P_R</x:v>
      </x:c>
      <x:c r="AA45" s="3" t="str">
        <x:v>protocol_report</x:v>
      </x:c>
      <x:c r="AB45" s="3" t="str">
        <x:v>retain</x:v>
      </x:c>
    </x:row>
    <x:row r="46" ht="90" customHeight="1">
      <x:c r="A46" s="12" t="b">
        <x:v>0</x:v>
      </x:c>
      <x:c r="B46" s="6"/>
      <x:c r="C46" s="12" t="b">
        <x:v>0</x:v>
      </x:c>
      <x:c r="D46" s="6" t="str">
        <x:v>Denominator, proportion, or total inconsistency</x:v>
      </x:c>
      <x:c r="E46" s="12" t="b">
        <x:v>0</x:v>
      </x:c>
      <x:c r="F46" s="6" t="str">
        <x:v>C001</x:v>
      </x:c>
      <x:c r="G46" s="6" t="str">
        <x:v>2018::jama.2018.14282::C001</x:v>
      </x:c>
      <x:c r="H46" s="6"/>
      <x:c r="I46" s="6" t="str">
        <x:v>DOC-001 Table 1 — PDF p. 4</x:v>
      </x:c>
      <x:c r="J46" s="12" t="b">
        <x:v>0</x:v>
      </x:c>
      <x:c r="K46" s="6" t="str">
        <x:v>jama.2018.14282</x:v>
      </x:c>
      <x:c r="L46" s="6"/>
      <x:c r="M46" s="6" t="str">
        <x:v>S_W</x:v>
      </x:c>
      <x:c r="N46" s="6" t="str">
        <x:v>The printed standard-arm men count and percentage do not reconcile under nearest one-decimal rounding. The focal mismatch is within the main article.</x:v>
      </x:c>
      <x:c r="O46" s="6" t="str">
        <x:v>../../2018/jama.2018.14282/.ai_paper_validation/final_report_1_5_2.html</x:v>
      </x:c>
      <x:c r="P46" s="6" t="str">
        <x:v>2018/jama.2018.14282/.ai_paper_validation/final_report_1_5_2.md</x:v>
      </x:c>
      <x:c r="Q46" s="6" t="str">
        <x:v>C001</x:v>
      </x:c>
      <x:c r="R46" s="6" t="str">
        <x:v>Pending Human Adjudication</x:v>
      </x:c>
      <x:c r="S46" s="6" t="str">
        <x:v>The printed standard-arm men count and percentage do not reconcile under nearest one-decimal rounding.</x:v>
      </x:c>
      <x:c r="T46" s="12" t="b">
        <x:v>1</x:v>
      </x:c>
      <x:c r="U46" s="6" t="str">
        <x:v>count_percentage_rounding</x:v>
      </x:c>
      <x:c r="V46" s="6" t="str">
        <x:v>statistical_results</x:v>
      </x:c>
      <x:c r="W46" s="6" t="str">
        <x:v>Standard-arm men percentage does not reconcile</x:v>
      </x:c>
      <x:c r="X46" s="6" t="str">
        <x:v>2018</x:v>
      </x:c>
      <x:c r="Y46" s="6" t="str">
        <x:v>meta_report/consistency_reclassification_2026-09-04/reclassified_candidates.json</x:v>
      </x:c>
      <x:c r="Z46" s="6" t="str">
        <x:v>S_W</x:v>
      </x:c>
      <x:c r="AA46" s="6" t="str">
        <x:v>statistical_results</x:v>
      </x:c>
      <x:c r="AB46" s="6" t="str">
        <x:v>retain</x:v>
      </x:c>
    </x:row>
    <x:row r="47" ht="90" customHeight="1">
      <x:c r="A47" s="11" t="b">
        <x:v>0</x:v>
      </x:c>
      <x:c r="B47" s="3"/>
      <x:c r="C47" s="11" t="b">
        <x:v>0</x:v>
      </x:c>
      <x:c r="D47" s="3" t="str">
        <x:v>Denominator, proportion, or total inconsistency</x:v>
      </x:c>
      <x:c r="E47" s="11" t="b">
        <x:v>0</x:v>
      </x:c>
      <x:c r="F47" s="3" t="str">
        <x:v>C002</x:v>
      </x:c>
      <x:c r="G47" s="3" t="str">
        <x:v>2018::jama.2018.14282::C002</x:v>
      </x:c>
      <x:c r="H47" s="3"/>
      <x:c r="I47" s="3" t="str">
        <x:v>DOC-001 Table 1 — PDF p. 4</x:v>
      </x:c>
      <x:c r="J47" s="11" t="b">
        <x:v>0</x:v>
      </x:c>
      <x:c r="K47" s="3" t="str">
        <x:v>jama.2018.14282</x:v>
      </x:c>
      <x:c r="L47" s="3"/>
      <x:c r="M47" s="3" t="str">
        <x:v>S_W</x:v>
      </x:c>
      <x:c r="N47" s="3" t="str">
        <x:v>The printed standard-arm women count and percentage do not reconcile under nearest one-decimal rounding. The focal mismatch is within the main article.</x:v>
      </x:c>
      <x:c r="O47" s="3" t="str">
        <x:v>../../2018/jama.2018.14282/.ai_paper_validation/final_report_1_5_2.html</x:v>
      </x:c>
      <x:c r="P47" s="3" t="str">
        <x:v>2018/jama.2018.14282/.ai_paper_validation/final_report_1_5_2.md</x:v>
      </x:c>
      <x:c r="Q47" s="3" t="str">
        <x:v>C002</x:v>
      </x:c>
      <x:c r="R47" s="3" t="str">
        <x:v>Pending Human Adjudication</x:v>
      </x:c>
      <x:c r="S47" s="3" t="str">
        <x:v>The printed standard-arm women count and percentage do not reconcile under nearest one-decimal rounding.</x:v>
      </x:c>
      <x:c r="T47" s="11" t="b">
        <x:v>1</x:v>
      </x:c>
      <x:c r="U47" s="3" t="str">
        <x:v>count_percentage_rounding</x:v>
      </x:c>
      <x:c r="V47" s="3" t="str">
        <x:v>statistical_results</x:v>
      </x:c>
      <x:c r="W47" s="3" t="str">
        <x:v>Standard-arm women percentage does not reconcile</x:v>
      </x:c>
      <x:c r="X47" s="3" t="str">
        <x:v>2018</x:v>
      </x:c>
      <x:c r="Y47" s="3" t="str">
        <x:v>meta_report/consistency_reclassification_2026-09-04/reclassified_candidates.json</x:v>
      </x:c>
      <x:c r="Z47" s="3" t="str">
        <x:v>S_W</x:v>
      </x:c>
      <x:c r="AA47" s="3" t="str">
        <x:v>statistical_results</x:v>
      </x:c>
      <x:c r="AB47" s="3" t="str">
        <x:v>retain</x:v>
      </x:c>
    </x:row>
    <x:row r="48" ht="90" customHeight="1">
      <x:c r="A48" s="12" t="b">
        <x:v>0</x:v>
      </x:c>
      <x:c r="B48" s="6"/>
      <x:c r="C48" s="12" t="b">
        <x:v>0</x:v>
      </x:c>
      <x:c r="D48" s="6" t="str">
        <x:v>Denominator, proportion, or total inconsistency</x:v>
      </x:c>
      <x:c r="E48" s="12" t="b">
        <x:v>0</x:v>
      </x:c>
      <x:c r="F48" s="6" t="str">
        <x:v>C003</x:v>
      </x:c>
      <x:c r="G48" s="6" t="str">
        <x:v>2018::jama.2018.14282::C003</x:v>
      </x:c>
      <x:c r="H48" s="6"/>
      <x:c r="I48" s="6" t="str">
        <x:v>DOC-001 Table 1 — PDF p. 4</x:v>
      </x:c>
      <x:c r="J48" s="12" t="b">
        <x:v>0</x:v>
      </x:c>
      <x:c r="K48" s="6" t="str">
        <x:v>jama.2018.14282</x:v>
      </x:c>
      <x:c r="L48" s="6"/>
      <x:c r="M48" s="6" t="str">
        <x:v>S_W</x:v>
      </x:c>
      <x:c r="N48" s="6" t="str">
        <x:v>The standard-arm heart-failure percentage does not reconcile under nearest one-decimal rounding. The focal mismatch is within the main article.</x:v>
      </x:c>
      <x:c r="O48" s="6" t="str">
        <x:v>../../2018/jama.2018.14282/.ai_paper_validation/final_report_1_5_2.html</x:v>
      </x:c>
      <x:c r="P48" s="6" t="str">
        <x:v>2018/jama.2018.14282/.ai_paper_validation/final_report_1_5_2.md</x:v>
      </x:c>
      <x:c r="Q48" s="6" t="str">
        <x:v>C003</x:v>
      </x:c>
      <x:c r="R48" s="6" t="str">
        <x:v>Pending Human Adjudication</x:v>
      </x:c>
      <x:c r="S48" s="6" t="str">
        <x:v>The standard-arm heart-failure percentage does not reconcile under nearest one-decimal rounding.</x:v>
      </x:c>
      <x:c r="T48" s="12" t="b">
        <x:v>1</x:v>
      </x:c>
      <x:c r="U48" s="6" t="str">
        <x:v>count_percentage_rounding</x:v>
      </x:c>
      <x:c r="V48" s="6" t="str">
        <x:v>statistical_results</x:v>
      </x:c>
      <x:c r="W48" s="6" t="str">
        <x:v>Standard-arm heart-failure percentage does not reconcile</x:v>
      </x:c>
      <x:c r="X48" s="6" t="str">
        <x:v>2018</x:v>
      </x:c>
      <x:c r="Y48" s="6" t="str">
        <x:v>meta_report/consistency_reclassification_2026-09-04/reclassified_candidates.json</x:v>
      </x:c>
      <x:c r="Z48" s="6" t="str">
        <x:v>S_W</x:v>
      </x:c>
      <x:c r="AA48" s="6" t="str">
        <x:v>statistical_results</x:v>
      </x:c>
      <x:c r="AB48" s="6" t="str">
        <x:v>retain</x:v>
      </x:c>
    </x:row>
    <x:row r="49" ht="90" customHeight="1">
      <x:c r="A49" s="11" t="b">
        <x:v>0</x:v>
      </x:c>
      <x:c r="B49" s="3"/>
      <x:c r="C49" s="11" t="b">
        <x:v>0</x:v>
      </x:c>
      <x:c r="D49" s="3" t="str">
        <x:v>Denominator, proportion, or total inconsistency</x:v>
      </x:c>
      <x:c r="E49" s="11" t="b">
        <x:v>0</x:v>
      </x:c>
      <x:c r="F49" s="3" t="str">
        <x:v>C004</x:v>
      </x:c>
      <x:c r="G49" s="3" t="str">
        <x:v>2018::jama.2018.14282::C004</x:v>
      </x:c>
      <x:c r="H49" s="3"/>
      <x:c r="I49" s="3" t="str">
        <x:v>DOC-001 Table 1 — PDF p. 4</x:v>
      </x:c>
      <x:c r="J49" s="11" t="b">
        <x:v>0</x:v>
      </x:c>
      <x:c r="K49" s="3" t="str">
        <x:v>jama.2018.14282</x:v>
      </x:c>
      <x:c r="L49" s="3"/>
      <x:c r="M49" s="3" t="str">
        <x:v>S_W</x:v>
      </x:c>
      <x:c r="N49" s="3" t="str">
        <x:v>The high-flow liver-disease count and percentage do not reconcile with the displayed arm denominator. The focal mismatch is within the main article.</x:v>
      </x:c>
      <x:c r="O49" s="3" t="str">
        <x:v>../../2018/jama.2018.14282/.ai_paper_validation/final_report_1_5_2.html</x:v>
      </x:c>
      <x:c r="P49" s="3" t="str">
        <x:v>2018/jama.2018.14282/.ai_paper_validation/final_report_1_5_2.md</x:v>
      </x:c>
      <x:c r="Q49" s="3" t="str">
        <x:v>C004</x:v>
      </x:c>
      <x:c r="R49" s="3" t="str">
        <x:v>Pending Human Adjudication</x:v>
      </x:c>
      <x:c r="S49" s="3" t="str">
        <x:v>The high-flow liver-disease count and percentage do not reconcile with the displayed arm denominator.</x:v>
      </x:c>
      <x:c r="T49" s="11" t="b">
        <x:v>1</x:v>
      </x:c>
      <x:c r="U49" s="3" t="str">
        <x:v>count_percentage_rounding</x:v>
      </x:c>
      <x:c r="V49" s="3" t="str">
        <x:v>statistical_results</x:v>
      </x:c>
      <x:c r="W49" s="3" t="str">
        <x:v>High-flow liver-disease percentage conflicts with displayed count</x:v>
      </x:c>
      <x:c r="X49" s="3" t="str">
        <x:v>2018</x:v>
      </x:c>
      <x:c r="Y49" s="3" t="str">
        <x:v>meta_report/consistency_reclassification_2026-09-04/reclassified_candidates.json</x:v>
      </x:c>
      <x:c r="Z49" s="3" t="str">
        <x:v>S_W</x:v>
      </x:c>
      <x:c r="AA49" s="3" t="str">
        <x:v>statistical_results</x:v>
      </x:c>
      <x:c r="AB49" s="3" t="str">
        <x:v>retain</x:v>
      </x:c>
    </x:row>
    <x:row r="50" ht="90" customHeight="1">
      <x:c r="A50" s="12" t="b">
        <x:v>0</x:v>
      </x:c>
      <x:c r="B50" s="6"/>
      <x:c r="C50" s="12" t="b">
        <x:v>0</x:v>
      </x:c>
      <x:c r="D50" s="6" t="str">
        <x:v>Denominator, proportion, or total inconsistency</x:v>
      </x:c>
      <x:c r="E50" s="12" t="b">
        <x:v>0</x:v>
      </x:c>
      <x:c r="F50" s="6" t="str">
        <x:v>C005</x:v>
      </x:c>
      <x:c r="G50" s="6" t="str">
        <x:v>2018::jama.2018.14282::C005</x:v>
      </x:c>
      <x:c r="H50" s="6"/>
      <x:c r="I50" s="6" t="str">
        <x:v>DOC-001 Table 1 — PDF p. 4</x:v>
      </x:c>
      <x:c r="J50" s="12" t="b">
        <x:v>0</x:v>
      </x:c>
      <x:c r="K50" s="6" t="str">
        <x:v>jama.2018.14282</x:v>
      </x:c>
      <x:c r="L50" s="6"/>
      <x:c r="M50" s="6" t="str">
        <x:v>S_W</x:v>
      </x:c>
      <x:c r="N50" s="6" t="str">
        <x:v>The standard-arm kidney-disease count and percentage do not reconcile with the displayed arm denominator. The focal mismatch is within the main article.</x:v>
      </x:c>
      <x:c r="O50" s="6" t="str">
        <x:v>../../2018/jama.2018.14282/.ai_paper_validation/final_report_1_5_2.html</x:v>
      </x:c>
      <x:c r="P50" s="6" t="str">
        <x:v>2018/jama.2018.14282/.ai_paper_validation/final_report_1_5_2.md</x:v>
      </x:c>
      <x:c r="Q50" s="6" t="str">
        <x:v>C005</x:v>
      </x:c>
      <x:c r="R50" s="6" t="str">
        <x:v>Pending Human Adjudication</x:v>
      </x:c>
      <x:c r="S50" s="6" t="str">
        <x:v>The standard-arm kidney-disease count and percentage do not reconcile with the displayed arm denominator.</x:v>
      </x:c>
      <x:c r="T50" s="12" t="b">
        <x:v>1</x:v>
      </x:c>
      <x:c r="U50" s="6" t="str">
        <x:v>count_percentage_rounding</x:v>
      </x:c>
      <x:c r="V50" s="6" t="str">
        <x:v>statistical_results</x:v>
      </x:c>
      <x:c r="W50" s="6" t="str">
        <x:v>Standard-arm kidney-disease percentage conflicts with displayed count</x:v>
      </x:c>
      <x:c r="X50" s="6" t="str">
        <x:v>2018</x:v>
      </x:c>
      <x:c r="Y50" s="6" t="str">
        <x:v>meta_report/consistency_reclassification_2026-09-04/reclassified_candidates.json</x:v>
      </x:c>
      <x:c r="Z50" s="6" t="str">
        <x:v>S_W</x:v>
      </x:c>
      <x:c r="AA50" s="6" t="str">
        <x:v>statistical_results</x:v>
      </x:c>
      <x:c r="AB50" s="6" t="str">
        <x:v>retain</x:v>
      </x:c>
    </x:row>
    <x:row r="51" ht="90" customHeight="1">
      <x:c r="A51" s="11" t="b">
        <x:v>0</x:v>
      </x:c>
      <x:c r="B51" s="3"/>
      <x:c r="C51" s="11" t="b">
        <x:v>0</x:v>
      </x:c>
      <x:c r="D51" s="3" t="str">
        <x:v>Denominator, proportion, or total inconsistency</x:v>
      </x:c>
      <x:c r="E51" s="11" t="b">
        <x:v>0</x:v>
      </x:c>
      <x:c r="F51" s="3" t="str">
        <x:v>C006</x:v>
      </x:c>
      <x:c r="G51" s="3" t="str">
        <x:v>2018::jama.2018.14282::C006</x:v>
      </x:c>
      <x:c r="H51" s="3"/>
      <x:c r="I51" s="3" t="str">
        <x:v>DOC-001 Table 1 — PDF p. 4</x:v>
      </x:c>
      <x:c r="J51" s="11" t="b">
        <x:v>0</x:v>
      </x:c>
      <x:c r="K51" s="3" t="str">
        <x:v>jama.2018.14282</x:v>
      </x:c>
      <x:c r="L51" s="3"/>
      <x:c r="M51" s="3" t="str">
        <x:v>S_W</x:v>
      </x:c>
      <x:c r="N51" s="3" t="str">
        <x:v>The standard-arm nontransplant immunosuppression percentage does not reconcile under nearest one-decimal rounding. The focal mismatch is within the main article.</x:v>
      </x:c>
      <x:c r="O51" s="3" t="str">
        <x:v>../../2018/jama.2018.14282/.ai_paper_validation/final_report_1_5_2.html</x:v>
      </x:c>
      <x:c r="P51" s="3" t="str">
        <x:v>2018/jama.2018.14282/.ai_paper_validation/final_report_1_5_2.md</x:v>
      </x:c>
      <x:c r="Q51" s="3" t="str">
        <x:v>C006</x:v>
      </x:c>
      <x:c r="R51" s="3" t="str">
        <x:v>Pending Human Adjudication</x:v>
      </x:c>
      <x:c r="S51" s="3" t="str">
        <x:v>The standard-arm nontransplant immunosuppression percentage does not reconcile under nearest one-decimal rounding.</x:v>
      </x:c>
      <x:c r="T51" s="11" t="b">
        <x:v>1</x:v>
      </x:c>
      <x:c r="U51" s="3" t="str">
        <x:v>count_percentage_rounding</x:v>
      </x:c>
      <x:c r="V51" s="3" t="str">
        <x:v>statistical_results</x:v>
      </x:c>
      <x:c r="W51" s="3" t="str">
        <x:v>Standard-arm nontransplant immunosuppression percentage does not reconcile</x:v>
      </x:c>
      <x:c r="X51" s="3" t="str">
        <x:v>2018</x:v>
      </x:c>
      <x:c r="Y51" s="3" t="str">
        <x:v>meta_report/consistency_reclassification_2026-09-04/reclassified_candidates.json</x:v>
      </x:c>
      <x:c r="Z51" s="3" t="str">
        <x:v>S_W</x:v>
      </x:c>
      <x:c r="AA51" s="3" t="str">
        <x:v>statistical_results</x:v>
      </x:c>
      <x:c r="AB51" s="3" t="str">
        <x:v>retain</x:v>
      </x:c>
    </x:row>
    <x:row r="52" ht="90" customHeight="1">
      <x:c r="A52" s="12" t="b">
        <x:v>0</x:v>
      </x:c>
      <x:c r="B52" s="6"/>
      <x:c r="C52" s="12" t="b">
        <x:v>0</x:v>
      </x:c>
      <x:c r="D52" s="6" t="str">
        <x:v>Denominator, proportion, or total inconsistency</x:v>
      </x:c>
      <x:c r="E52" s="12" t="b">
        <x:v>0</x:v>
      </x:c>
      <x:c r="F52" s="6" t="str">
        <x:v>C007</x:v>
      </x:c>
      <x:c r="G52" s="6" t="str">
        <x:v>2018::jama.2018.14282::C007</x:v>
      </x:c>
      <x:c r="H52" s="6"/>
      <x:c r="I52" s="6" t="str">
        <x:v>DOC-001 Table 1 — PDF p. 4</x:v>
      </x:c>
      <x:c r="J52" s="12" t="b">
        <x:v>0</x:v>
      </x:c>
      <x:c r="K52" s="6" t="str">
        <x:v>jama.2018.14282</x:v>
      </x:c>
      <x:c r="L52" s="6"/>
      <x:c r="M52" s="6" t="str">
        <x:v>S_W</x:v>
      </x:c>
      <x:c r="N52" s="6" t="str">
        <x:v>The high-flow ≥3-days-after-admission percentage does not reconcile under nearest one-decimal rounding. The focal mismatch is within the main article.</x:v>
      </x:c>
      <x:c r="O52" s="6" t="str">
        <x:v>../../2018/jama.2018.14282/.ai_paper_validation/final_report_1_5_2.html</x:v>
      </x:c>
      <x:c r="P52" s="6" t="str">
        <x:v>2018/jama.2018.14282/.ai_paper_validation/final_report_1_5_2.md</x:v>
      </x:c>
      <x:c r="Q52" s="6" t="str">
        <x:v>C007</x:v>
      </x:c>
      <x:c r="R52" s="6" t="str">
        <x:v>Pending Human Adjudication</x:v>
      </x:c>
      <x:c r="S52" s="6" t="str">
        <x:v>The high-flow ≥3-days-after-admission percentage does not reconcile under nearest one-decimal rounding.</x:v>
      </x:c>
      <x:c r="T52" s="12" t="b">
        <x:v>1</x:v>
      </x:c>
      <x:c r="U52" s="6" t="str">
        <x:v>count_percentage_rounding</x:v>
      </x:c>
      <x:c r="V52" s="6" t="str">
        <x:v>statistical_results</x:v>
      </x:c>
      <x:c r="W52" s="6" t="str">
        <x:v>High-flow ≥3-days-after-ICU-admission percentage does not reconcile</x:v>
      </x:c>
      <x:c r="X52" s="6" t="str">
        <x:v>2018</x:v>
      </x:c>
      <x:c r="Y52" s="6" t="str">
        <x:v>meta_report/consistency_reclassification_2026-09-04/reclassified_candidates.json</x:v>
      </x:c>
      <x:c r="Z52" s="6" t="str">
        <x:v>S_W</x:v>
      </x:c>
      <x:c r="AA52" s="6" t="str">
        <x:v>statistical_results</x:v>
      </x:c>
      <x:c r="AB52" s="6" t="str">
        <x:v>retain</x:v>
      </x:c>
    </x:row>
    <x:row r="53" ht="90" customHeight="1">
      <x:c r="A53" s="11" t="b">
        <x:v>0</x:v>
      </x:c>
      <x:c r="B53" s="3"/>
      <x:c r="C53" s="11" t="b">
        <x:v>0</x:v>
      </x:c>
      <x:c r="D53" s="3" t="str">
        <x:v>Denominator, proportion, or total inconsistency</x:v>
      </x:c>
      <x:c r="E53" s="11" t="b">
        <x:v>0</x:v>
      </x:c>
      <x:c r="F53" s="3" t="str">
        <x:v>C008</x:v>
      </x:c>
      <x:c r="G53" s="3" t="str">
        <x:v>2018::jama.2018.14282::C008</x:v>
      </x:c>
      <x:c r="H53" s="3"/>
      <x:c r="I53" s="3" t="str">
        <x:v>DOC-001 Table 1 — PDF p. 4</x:v>
      </x:c>
      <x:c r="J53" s="11" t="b">
        <x:v>0</x:v>
      </x:c>
      <x:c r="K53" s="3" t="str">
        <x:v>jama.2018.14282</x:v>
      </x:c>
      <x:c r="L53" s="3"/>
      <x:c r="M53" s="3" t="str">
        <x:v>S_W</x:v>
      </x:c>
      <x:c r="N53" s="3" t="str">
        <x:v>The standard-arm ≥3-days-after-admission percentage does not reconcile under nearest one-decimal rounding. The focal mismatch is within the main article.</x:v>
      </x:c>
      <x:c r="O53" s="3" t="str">
        <x:v>../../2018/jama.2018.14282/.ai_paper_validation/final_report_1_5_2.html</x:v>
      </x:c>
      <x:c r="P53" s="3" t="str">
        <x:v>2018/jama.2018.14282/.ai_paper_validation/final_report_1_5_2.md</x:v>
      </x:c>
      <x:c r="Q53" s="3" t="str">
        <x:v>C008</x:v>
      </x:c>
      <x:c r="R53" s="3" t="str">
        <x:v>Pending Human Adjudication</x:v>
      </x:c>
      <x:c r="S53" s="3" t="str">
        <x:v>The standard-arm ≥3-days-after-admission percentage does not reconcile under nearest one-decimal rounding.</x:v>
      </x:c>
      <x:c r="T53" s="11" t="b">
        <x:v>1</x:v>
      </x:c>
      <x:c r="U53" s="3" t="str">
        <x:v>count_percentage_rounding</x:v>
      </x:c>
      <x:c r="V53" s="3" t="str">
        <x:v>statistical_results</x:v>
      </x:c>
      <x:c r="W53" s="3" t="str">
        <x:v>Standard-arm ≥3-days-after-ICU-admission percentage does not reconcile</x:v>
      </x:c>
      <x:c r="X53" s="3" t="str">
        <x:v>2018</x:v>
      </x:c>
      <x:c r="Y53" s="3" t="str">
        <x:v>meta_report/consistency_reclassification_2026-09-04/reclassified_candidates.json</x:v>
      </x:c>
      <x:c r="Z53" s="3" t="str">
        <x:v>S_W</x:v>
      </x:c>
      <x:c r="AA53" s="3" t="str">
        <x:v>statistical_results</x:v>
      </x:c>
      <x:c r="AB53" s="3" t="str">
        <x:v>retain</x:v>
      </x:c>
    </x:row>
    <x:row r="54" ht="90" customHeight="1">
      <x:c r="A54" s="12" t="b">
        <x:v>0</x:v>
      </x:c>
      <x:c r="B54" s="6"/>
      <x:c r="C54" s="12" t="b">
        <x:v>0</x:v>
      </x:c>
      <x:c r="D54" s="6" t="str">
        <x:v>Denominator, proportion, or total inconsistency</x:v>
      </x:c>
      <x:c r="E54" s="12" t="b">
        <x:v>0</x:v>
      </x:c>
      <x:c r="F54" s="6" t="str">
        <x:v>C009</x:v>
      </x:c>
      <x:c r="G54" s="6" t="str">
        <x:v>2018::jama.2018.14282::C009</x:v>
      </x:c>
      <x:c r="H54" s="6"/>
      <x:c r="I54" s="6" t="str">
        <x:v>DOC-001 Table 1 — PDF p. 4</x:v>
      </x:c>
      <x:c r="J54" s="12" t="b">
        <x:v>0</x:v>
      </x:c>
      <x:c r="K54" s="6" t="str">
        <x:v>jama.2018.14282</x:v>
      </x:c>
      <x:c r="L54" s="6"/>
      <x:c r="M54" s="6" t="str">
        <x:v>S_W</x:v>
      </x:c>
      <x:c r="N54" s="6" t="str">
        <x:v>The standard-arm vasopressor percentage does not reconcile under nearest one-decimal rounding. The focal mismatch is within the main article.</x:v>
      </x:c>
      <x:c r="O54" s="6" t="str">
        <x:v>../../2018/jama.2018.14282/.ai_paper_validation/final_report_1_5_2.html</x:v>
      </x:c>
      <x:c r="P54" s="6" t="str">
        <x:v>2018/jama.2018.14282/.ai_paper_validation/final_report_1_5_2.md</x:v>
      </x:c>
      <x:c r="Q54" s="6" t="str">
        <x:v>C009</x:v>
      </x:c>
      <x:c r="R54" s="6" t="str">
        <x:v>Pending Human Adjudication</x:v>
      </x:c>
      <x:c r="S54" s="6" t="str">
        <x:v>The standard-arm vasopressor percentage does not reconcile under nearest one-decimal rounding.</x:v>
      </x:c>
      <x:c r="T54" s="12" t="b">
        <x:v>1</x:v>
      </x:c>
      <x:c r="U54" s="6" t="str">
        <x:v>count_percentage_rounding</x:v>
      </x:c>
      <x:c r="V54" s="6" t="str">
        <x:v>statistical_results</x:v>
      </x:c>
      <x:c r="W54" s="6" t="str">
        <x:v>Standard-arm vasopressor percentage does not reconcile</x:v>
      </x:c>
      <x:c r="X54" s="6" t="str">
        <x:v>2018</x:v>
      </x:c>
      <x:c r="Y54" s="6" t="str">
        <x:v>meta_report/consistency_reclassification_2026-09-04/reclassified_candidates.json</x:v>
      </x:c>
      <x:c r="Z54" s="6" t="str">
        <x:v>S_W</x:v>
      </x:c>
      <x:c r="AA54" s="6" t="str">
        <x:v>statistical_results</x:v>
      </x:c>
      <x:c r="AB54" s="6" t="str">
        <x:v>retain</x:v>
      </x:c>
    </x:row>
    <x:row r="55" ht="90" customHeight="1">
      <x:c r="A55" s="11" t="b">
        <x:v>0</x:v>
      </x:c>
      <x:c r="B55" s="3"/>
      <x:c r="C55" s="11" t="b">
        <x:v>0</x:v>
      </x:c>
      <x:c r="D55" s="3" t="str">
        <x:v>Denominator, proportion, or total inconsistency</x:v>
      </x:c>
      <x:c r="E55" s="11" t="b">
        <x:v>0</x:v>
      </x:c>
      <x:c r="F55" s="3" t="str">
        <x:v>C010</x:v>
      </x:c>
      <x:c r="G55" s="3" t="str">
        <x:v>2018::jama.2018.14282::C010</x:v>
      </x:c>
      <x:c r="H55" s="3"/>
      <x:c r="I55" s="3" t="str">
        <x:v>DOC-001 Table 1 — PDF p. 4</x:v>
      </x:c>
      <x:c r="J55" s="11" t="b">
        <x:v>0</x:v>
      </x:c>
      <x:c r="K55" s="3" t="str">
        <x:v>jama.2018.14282</x:v>
      </x:c>
      <x:c r="L55" s="3"/>
      <x:c r="M55" s="3" t="str">
        <x:v>S_W</x:v>
      </x:c>
      <x:c r="N55" s="3" t="str">
        <x:v>The high-flow do-not-intubate percentage does not reconcile under nearest one-decimal rounding. The focal mismatch is within the main article.</x:v>
      </x:c>
      <x:c r="O55" s="3" t="str">
        <x:v>../../2018/jama.2018.14282/.ai_paper_validation/final_report_1_5_2.html</x:v>
      </x:c>
      <x:c r="P55" s="3" t="str">
        <x:v>2018/jama.2018.14282/.ai_paper_validation/final_report_1_5_2.md</x:v>
      </x:c>
      <x:c r="Q55" s="3" t="str">
        <x:v>C010</x:v>
      </x:c>
      <x:c r="R55" s="3" t="str">
        <x:v>Pending Human Adjudication</x:v>
      </x:c>
      <x:c r="S55" s="3" t="str">
        <x:v>The high-flow do-not-intubate percentage does not reconcile under nearest one-decimal rounding.</x:v>
      </x:c>
      <x:c r="T55" s="11" t="b">
        <x:v>1</x:v>
      </x:c>
      <x:c r="U55" s="3" t="str">
        <x:v>count_percentage_rounding</x:v>
      </x:c>
      <x:c r="V55" s="3" t="str">
        <x:v>statistical_results</x:v>
      </x:c>
      <x:c r="W55" s="3" t="str">
        <x:v>High-flow do-not-intubate percentage does not reconcile</x:v>
      </x:c>
      <x:c r="X55" s="3" t="str">
        <x:v>2018</x:v>
      </x:c>
      <x:c r="Y55" s="3" t="str">
        <x:v>meta_report/consistency_reclassification_2026-09-04/reclassified_candidates.json</x:v>
      </x:c>
      <x:c r="Z55" s="3" t="str">
        <x:v>S_W</x:v>
      </x:c>
      <x:c r="AA55" s="3" t="str">
        <x:v>statistical_results</x:v>
      </x:c>
      <x:c r="AB55" s="3" t="str">
        <x:v>retain</x:v>
      </x:c>
    </x:row>
    <x:row r="56" ht="90" customHeight="1">
      <x:c r="A56" s="12" t="b">
        <x:v>0</x:v>
      </x:c>
      <x:c r="B56" s="6"/>
      <x:c r="C56" s="12" t="b">
        <x:v>0</x:v>
      </x:c>
      <x:c r="D56" s="6" t="str">
        <x:v>Denominator, proportion, or total inconsistency</x:v>
      </x:c>
      <x:c r="E56" s="12" t="b">
        <x:v>0</x:v>
      </x:c>
      <x:c r="F56" s="6" t="str">
        <x:v>C011</x:v>
      </x:c>
      <x:c r="G56" s="6" t="str">
        <x:v>2018::jama.2018.14282::C011</x:v>
      </x:c>
      <x:c r="H56" s="6"/>
      <x:c r="I56" s="6" t="str">
        <x:v>DOC-001 Table 1 — PDF p. 4</x:v>
      </x:c>
      <x:c r="J56" s="12" t="b">
        <x:v>0</x:v>
      </x:c>
      <x:c r="K56" s="6" t="str">
        <x:v>jama.2018.14282</x:v>
      </x:c>
      <x:c r="L56" s="6"/>
      <x:c r="M56" s="6" t="str">
        <x:v>S_W</x:v>
      </x:c>
      <x:c r="N56" s="6" t="str">
        <x:v>The high-flow do-not-resuscitate percentage does not reconcile under nearest one-decimal rounding. The focal mismatch is within the main article.</x:v>
      </x:c>
      <x:c r="O56" s="6" t="str">
        <x:v>../../2018/jama.2018.14282/.ai_paper_validation/final_report_1_5_2.html</x:v>
      </x:c>
      <x:c r="P56" s="6" t="str">
        <x:v>2018/jama.2018.14282/.ai_paper_validation/final_report_1_5_2.md</x:v>
      </x:c>
      <x:c r="Q56" s="6" t="str">
        <x:v>C011</x:v>
      </x:c>
      <x:c r="R56" s="6" t="str">
        <x:v>Pending Human Adjudication</x:v>
      </x:c>
      <x:c r="S56" s="6" t="str">
        <x:v>The high-flow do-not-resuscitate percentage does not reconcile under nearest one-decimal rounding.</x:v>
      </x:c>
      <x:c r="T56" s="12" t="b">
        <x:v>1</x:v>
      </x:c>
      <x:c r="U56" s="6" t="str">
        <x:v>count_percentage_rounding</x:v>
      </x:c>
      <x:c r="V56" s="6" t="str">
        <x:v>statistical_results</x:v>
      </x:c>
      <x:c r="W56" s="6" t="str">
        <x:v>High-flow do-not-resuscitate percentage does not reconcile</x:v>
      </x:c>
      <x:c r="X56" s="6" t="str">
        <x:v>2018</x:v>
      </x:c>
      <x:c r="Y56" s="6" t="str">
        <x:v>meta_report/consistency_reclassification_2026-09-04/reclassified_candidates.json</x:v>
      </x:c>
      <x:c r="Z56" s="6" t="str">
        <x:v>S_W</x:v>
      </x:c>
      <x:c r="AA56" s="6" t="str">
        <x:v>statistical_results</x:v>
      </x:c>
      <x:c r="AB56" s="6" t="str">
        <x:v>retain</x:v>
      </x:c>
    </x:row>
    <x:row r="57" ht="90" customHeight="1">
      <x:c r="A57" s="11" t="b">
        <x:v>0</x:v>
      </x:c>
      <x:c r="B57" s="3"/>
      <x:c r="C57" s="11" t="b">
        <x:v>0</x:v>
      </x:c>
      <x:c r="D57" s="3" t="str">
        <x:v>Denominator, proportion, or total inconsistency</x:v>
      </x:c>
      <x:c r="E57" s="11" t="b">
        <x:v>0</x:v>
      </x:c>
      <x:c r="F57" s="3" t="str">
        <x:v>C012</x:v>
      </x:c>
      <x:c r="G57" s="3" t="str">
        <x:v>2018::jama.2018.14282::C012</x:v>
      </x:c>
      <x:c r="H57" s="3"/>
      <x:c r="I57" s="3" t="str">
        <x:v>DOC-001 Table 1 — PDF p. 4</x:v>
      </x:c>
      <x:c r="J57" s="11" t="b">
        <x:v>0</x:v>
      </x:c>
      <x:c r="K57" s="3" t="str">
        <x:v>jama.2018.14282</x:v>
      </x:c>
      <x:c r="L57" s="3"/>
      <x:c r="M57" s="3" t="str">
        <x:v>S_W</x:v>
      </x:c>
      <x:c r="N57" s="3" t="str">
        <x:v>The standard-arm do-not-resuscitate percentage does not reconcile under nearest one-decimal rounding. The focal mismatch is within the main article.</x:v>
      </x:c>
      <x:c r="O57" s="3" t="str">
        <x:v>../../2018/jama.2018.14282/.ai_paper_validation/final_report_1_5_2.html</x:v>
      </x:c>
      <x:c r="P57" s="3" t="str">
        <x:v>2018/jama.2018.14282/.ai_paper_validation/final_report_1_5_2.md</x:v>
      </x:c>
      <x:c r="Q57" s="3" t="str">
        <x:v>C012</x:v>
      </x:c>
      <x:c r="R57" s="3" t="str">
        <x:v>Pending Human Adjudication</x:v>
      </x:c>
      <x:c r="S57" s="3" t="str">
        <x:v>The standard-arm do-not-resuscitate percentage does not reconcile under nearest one-decimal rounding.</x:v>
      </x:c>
      <x:c r="T57" s="11" t="b">
        <x:v>1</x:v>
      </x:c>
      <x:c r="U57" s="3" t="str">
        <x:v>count_percentage_rounding</x:v>
      </x:c>
      <x:c r="V57" s="3" t="str">
        <x:v>statistical_results</x:v>
      </x:c>
      <x:c r="W57" s="3" t="str">
        <x:v>Standard-arm do-not-resuscitate percentage does not reconcile</x:v>
      </x:c>
      <x:c r="X57" s="3" t="str">
        <x:v>2018</x:v>
      </x:c>
      <x:c r="Y57" s="3" t="str">
        <x:v>meta_report/consistency_reclassification_2026-09-04/reclassified_candidates.json</x:v>
      </x:c>
      <x:c r="Z57" s="3" t="str">
        <x:v>S_W</x:v>
      </x:c>
      <x:c r="AA57" s="3" t="str">
        <x:v>statistical_results</x:v>
      </x:c>
      <x:c r="AB57" s="3" t="str">
        <x:v>retain</x:v>
      </x:c>
    </x:row>
    <x:row r="58" ht="90" customHeight="1">
      <x:c r="A58" s="12" t="b">
        <x:v>0</x:v>
      </x:c>
      <x:c r="B58" s="6"/>
      <x:c r="C58" s="12" t="b">
        <x:v>0</x:v>
      </x:c>
      <x:c r="D58" s="6" t="str">
        <x:v>Denominator, proportion, or total inconsistency</x:v>
      </x:c>
      <x:c r="E58" s="12" t="b">
        <x:v>0</x:v>
      </x:c>
      <x:c r="F58" s="6" t="str">
        <x:v>C013</x:v>
      </x:c>
      <x:c r="G58" s="6" t="str">
        <x:v>2018::jama.2018.14282::C013</x:v>
      </x:c>
      <x:c r="H58" s="6"/>
      <x:c r="I58" s="6" t="str">
        <x:v>DOC-001 Table 1 — PDF p. 4</x:v>
      </x:c>
      <x:c r="J58" s="12" t="b">
        <x:v>0</x:v>
      </x:c>
      <x:c r="K58" s="6" t="str">
        <x:v>jama.2018.14282</x:v>
      </x:c>
      <x:c r="L58" s="6"/>
      <x:c r="M58" s="6" t="str">
        <x:v>S_W</x:v>
      </x:c>
      <x:c r="N58" s="6" t="str">
        <x:v>The standard-arm unknown-goals-of-care percentage does not reconcile under nearest one-decimal rounding. The focal mismatch is within the main article.</x:v>
      </x:c>
      <x:c r="O58" s="6" t="str">
        <x:v>../../2018/jama.2018.14282/.ai_paper_validation/final_report_1_5_2.html</x:v>
      </x:c>
      <x:c r="P58" s="6" t="str">
        <x:v>2018/jama.2018.14282/.ai_paper_validation/final_report_1_5_2.md</x:v>
      </x:c>
      <x:c r="Q58" s="6" t="str">
        <x:v>C013</x:v>
      </x:c>
      <x:c r="R58" s="6" t="str">
        <x:v>Pending Human Adjudication</x:v>
      </x:c>
      <x:c r="S58" s="6" t="str">
        <x:v>The standard-arm unknown-goals-of-care percentage does not reconcile under nearest one-decimal rounding.</x:v>
      </x:c>
      <x:c r="T58" s="12" t="b">
        <x:v>1</x:v>
      </x:c>
      <x:c r="U58" s="6" t="str">
        <x:v>count_percentage_rounding</x:v>
      </x:c>
      <x:c r="V58" s="6" t="str">
        <x:v>statistical_results</x:v>
      </x:c>
      <x:c r="W58" s="6" t="str">
        <x:v>Standard-arm unknown-goals percentage does not reconcile</x:v>
      </x:c>
      <x:c r="X58" s="6" t="str">
        <x:v>2018</x:v>
      </x:c>
      <x:c r="Y58" s="6" t="str">
        <x:v>meta_report/consistency_reclassification_2026-09-04/reclassified_candidates.json</x:v>
      </x:c>
      <x:c r="Z58" s="6" t="str">
        <x:v>S_W</x:v>
      </x:c>
      <x:c r="AA58" s="6" t="str">
        <x:v>statistical_results</x:v>
      </x:c>
      <x:c r="AB58" s="6" t="str">
        <x:v>retain</x:v>
      </x:c>
    </x:row>
    <x:row r="59" ht="90" customHeight="1">
      <x:c r="A59" s="11" t="b">
        <x:v>0</x:v>
      </x:c>
      <x:c r="B59" s="3"/>
      <x:c r="C59" s="11" t="b">
        <x:v>0</x:v>
      </x:c>
      <x:c r="D59" s="3" t="str">
        <x:v>Denominator, proportion, or total inconsistency</x:v>
      </x:c>
      <x:c r="E59" s="11" t="b">
        <x:v>0</x:v>
      </x:c>
      <x:c r="F59" s="3" t="str">
        <x:v>C014</x:v>
      </x:c>
      <x:c r="G59" s="3" t="str">
        <x:v>2018::jama.2018.14282::C014</x:v>
      </x:c>
      <x:c r="H59" s="3"/>
      <x:c r="I59" s="3" t="str">
        <x:v>DOC-001 Table 1 — PDF p. 4</x:v>
      </x:c>
      <x:c r="J59" s="11" t="b">
        <x:v>0</x:v>
      </x:c>
      <x:c r="K59" s="3" t="str">
        <x:v>jama.2018.14282</x:v>
      </x:c>
      <x:c r="L59" s="3"/>
      <x:c r="M59" s="3" t="str">
        <x:v>S_W</x:v>
      </x:c>
      <x:c r="N59" s="3" t="str">
        <x:v>The high-flow pre-randomization standard-oxygen percentage does not reconcile under nearest one-decimal rounding. The focal mismatch is within the main article.</x:v>
      </x:c>
      <x:c r="O59" s="3" t="str">
        <x:v>../../2018/jama.2018.14282/.ai_paper_validation/final_report_1_5_2.html</x:v>
      </x:c>
      <x:c r="P59" s="3" t="str">
        <x:v>2018/jama.2018.14282/.ai_paper_validation/final_report_1_5_2.md</x:v>
      </x:c>
      <x:c r="Q59" s="3" t="str">
        <x:v>C014</x:v>
      </x:c>
      <x:c r="R59" s="3" t="str">
        <x:v>Pending Human Adjudication</x:v>
      </x:c>
      <x:c r="S59" s="3" t="str">
        <x:v>The high-flow pre-randomization standard-oxygen percentage does not reconcile under nearest one-decimal rounding.</x:v>
      </x:c>
      <x:c r="T59" s="11" t="b">
        <x:v>1</x:v>
      </x:c>
      <x:c r="U59" s="3" t="str">
        <x:v>count_percentage_rounding</x:v>
      </x:c>
      <x:c r="V59" s="3" t="str">
        <x:v>statistical_results</x:v>
      </x:c>
      <x:c r="W59" s="3" t="str">
        <x:v>High-flow pre-randomization standard-oxygen percentage does not reconcile</x:v>
      </x:c>
      <x:c r="X59" s="3" t="str">
        <x:v>2018</x:v>
      </x:c>
      <x:c r="Y59" s="3" t="str">
        <x:v>meta_report/consistency_reclassification_2026-09-04/reclassified_candidates.json</x:v>
      </x:c>
      <x:c r="Z59" s="3" t="str">
        <x:v>S_W</x:v>
      </x:c>
      <x:c r="AA59" s="3" t="str">
        <x:v>statistical_results</x:v>
      </x:c>
      <x:c r="AB59" s="3" t="str">
        <x:v>retain</x:v>
      </x:c>
    </x:row>
    <x:row r="60" ht="90" customHeight="1">
      <x:c r="A60" s="12" t="b">
        <x:v>0</x:v>
      </x:c>
      <x:c r="B60" s="6"/>
      <x:c r="C60" s="12" t="b">
        <x:v>0</x:v>
      </x:c>
      <x:c r="D60" s="6" t="str">
        <x:v>Denominator, proportion, or total inconsistency</x:v>
      </x:c>
      <x:c r="E60" s="12" t="b">
        <x:v>0</x:v>
      </x:c>
      <x:c r="F60" s="6" t="str">
        <x:v>C015</x:v>
      </x:c>
      <x:c r="G60" s="6" t="str">
        <x:v>2018::jama.2018.14282::C015</x:v>
      </x:c>
      <x:c r="H60" s="6"/>
      <x:c r="I60" s="6" t="str">
        <x:v>DOC-001 Table 2 — PDF p. 5</x:v>
      </x:c>
      <x:c r="J60" s="12" t="b">
        <x:v>0</x:v>
      </x:c>
      <x:c r="K60" s="6" t="str">
        <x:v>jama.2018.14282</x:v>
      </x:c>
      <x:c r="L60" s="6"/>
      <x:c r="M60" s="6" t="str">
        <x:v>S_W</x:v>
      </x:c>
      <x:c r="N60" s="6" t="str">
        <x:v>The high-flow ICU-acquired-infection percentage does not reconcile under nearest one-decimal rounding. The focal mismatch is within the main article.</x:v>
      </x:c>
      <x:c r="O60" s="6" t="str">
        <x:v>../../2018/jama.2018.14282/.ai_paper_validation/final_report_1_5_2.html</x:v>
      </x:c>
      <x:c r="P60" s="6" t="str">
        <x:v>2018/jama.2018.14282/.ai_paper_validation/final_report_1_5_2.md</x:v>
      </x:c>
      <x:c r="Q60" s="6" t="str">
        <x:v>C015</x:v>
      </x:c>
      <x:c r="R60" s="6" t="str">
        <x:v>Pending Human Adjudication</x:v>
      </x:c>
      <x:c r="S60" s="6" t="str">
        <x:v>The high-flow ICU-acquired-infection percentage does not reconcile under nearest one-decimal rounding.</x:v>
      </x:c>
      <x:c r="T60" s="12" t="b">
        <x:v>1</x:v>
      </x:c>
      <x:c r="U60" s="6" t="str">
        <x:v>count_percentage_rounding</x:v>
      </x:c>
      <x:c r="V60" s="6" t="str">
        <x:v>statistical_results</x:v>
      </x:c>
      <x:c r="W60" s="6" t="str">
        <x:v>High-flow ICU-acquired-infection percentage does not reconcile</x:v>
      </x:c>
      <x:c r="X60" s="6" t="str">
        <x:v>2018</x:v>
      </x:c>
      <x:c r="Y60" s="6" t="str">
        <x:v>meta_report/consistency_reclassification_2026-09-04/reclassified_candidates.json</x:v>
      </x:c>
      <x:c r="Z60" s="6" t="str">
        <x:v>S_W</x:v>
      </x:c>
      <x:c r="AA60" s="6" t="str">
        <x:v>statistical_results</x:v>
      </x:c>
      <x:c r="AB60" s="6" t="str">
        <x:v>retain</x:v>
      </x:c>
    </x:row>
    <x:row r="61" ht="90" customHeight="1">
      <x:c r="A61" s="11" t="b">
        <x:v>0</x:v>
      </x:c>
      <x:c r="B61" s="3"/>
      <x:c r="C61" s="11" t="b">
        <x:v>0</x:v>
      </x:c>
      <x:c r="D61" s="3" t="str">
        <x:v>Denominator, proportion, or total inconsistency</x:v>
      </x:c>
      <x:c r="E61" s="11" t="b">
        <x:v>0</x:v>
      </x:c>
      <x:c r="F61" s="3" t="str">
        <x:v>C016</x:v>
      </x:c>
      <x:c r="G61" s="3" t="str">
        <x:v>2018::jama.2018.14282::C016</x:v>
      </x:c>
      <x:c r="H61" s="3"/>
      <x:c r="I61" s="3" t="str">
        <x:v>DOC-001 Table 2 — PDF p. 5</x:v>
      </x:c>
      <x:c r="J61" s="11" t="b">
        <x:v>0</x:v>
      </x:c>
      <x:c r="K61" s="3" t="str">
        <x:v>jama.2018.14282</x:v>
      </x:c>
      <x:c r="L61" s="3"/>
      <x:c r="M61" s="3" t="str">
        <x:v>S_W</x:v>
      </x:c>
      <x:c r="N61" s="3" t="str">
        <x:v>The standard-arm hospital-mortality percentage does not reconcile under nearest one-decimal rounding. The focal mismatch is within the main article.</x:v>
      </x:c>
      <x:c r="O61" s="3" t="str">
        <x:v>../../2018/jama.2018.14282/.ai_paper_validation/final_report_1_5_2.html</x:v>
      </x:c>
      <x:c r="P61" s="3" t="str">
        <x:v>2018/jama.2018.14282/.ai_paper_validation/final_report_1_5_2.md</x:v>
      </x:c>
      <x:c r="Q61" s="3" t="str">
        <x:v>C016</x:v>
      </x:c>
      <x:c r="R61" s="3" t="str">
        <x:v>Pending Human Adjudication</x:v>
      </x:c>
      <x:c r="S61" s="3" t="str">
        <x:v>The standard-arm hospital-mortality percentage does not reconcile under nearest one-decimal rounding.</x:v>
      </x:c>
      <x:c r="T61" s="11" t="b">
        <x:v>1</x:v>
      </x:c>
      <x:c r="U61" s="3" t="str">
        <x:v>count_percentage_rounding</x:v>
      </x:c>
      <x:c r="V61" s="3" t="str">
        <x:v>statistical_results</x:v>
      </x:c>
      <x:c r="W61" s="3" t="str">
        <x:v>Standard-arm hospital-mortality percentage does not reconcile</x:v>
      </x:c>
      <x:c r="X61" s="3" t="str">
        <x:v>2018</x:v>
      </x:c>
      <x:c r="Y61" s="3" t="str">
        <x:v>meta_report/consistency_reclassification_2026-09-04/reclassified_candidates.json</x:v>
      </x:c>
      <x:c r="Z61" s="3" t="str">
        <x:v>S_W</x:v>
      </x:c>
      <x:c r="AA61" s="3" t="str">
        <x:v>statistical_results</x:v>
      </x:c>
      <x:c r="AB61" s="3" t="str">
        <x:v>retain</x:v>
      </x:c>
    </x:row>
    <x:row r="62" ht="90" customHeight="1">
      <x:c r="A62" s="12" t="b">
        <x:v>0</x:v>
      </x:c>
      <x:c r="B62" s="6"/>
      <x:c r="C62" s="12" t="b">
        <x:v>0</x:v>
      </x:c>
      <x:c r="D62" s="6" t="str">
        <x:v>Cross-document numeric inconsistency</x:v>
      </x:c>
      <x:c r="E62" s="12" t="b">
        <x:v>0</x:v>
      </x:c>
      <x:c r="F62" s="6" t="str">
        <x:v>C017</x:v>
      </x:c>
      <x:c r="G62" s="6" t="str">
        <x:v>2018::jama.2018.14282::C017</x:v>
      </x:c>
      <x:c r="H62" s="6"/>
      <x:c r="I62" s="6" t="str">
        <x:v>DOC-001 abstract — PDF p. 1; DOC-001 results — PDF p. 6</x:v>
      </x:c>
      <x:c r="J62" s="12" t="b">
        <x:v>1</x:v>
      </x:c>
      <x:c r="K62" s="6" t="str">
        <x:v>jama.2018.14282</x:v>
      </x:c>
      <x:c r="L62" s="6"/>
      <x:c r="M62" s="6" t="str">
        <x:v>S_W</x:v>
      </x:c>
      <x:c r="N62" s="6" t="str">
        <x:v>The abstract and Results of the same main PDF report upper CI endpoints -0.2 and -0.3/min for the matched six-hour respiratory-rate result. The original cross-document category is a within-main repetition discrepancy.</x:v>
      </x:c>
      <x:c r="O62" s="6" t="str">
        <x:v>../../2018/jama.2018.14282/.ai_paper_validation/final_report_1_5_2.html</x:v>
      </x:c>
      <x:c r="P62" s="6" t="str">
        <x:v>2018/jama.2018.14282/.ai_paper_validation/final_report_1_5_2.md</x:v>
      </x:c>
      <x:c r="Q62" s="6" t="str">
        <x:v>C017</x:v>
      </x:c>
      <x:c r="R62" s="6" t="str">
        <x:v>Pending Human Adjudication</x:v>
      </x:c>
      <x:c r="S62" s="6" t="str">
        <x:v>Matched abstract and results displays give different upper 95% confidence-interval endpoints for the same six-hour respiratory-rate comparison.</x:v>
      </x:c>
      <x:c r="T62" s="12" t="b">
        <x:v>1</x:v>
      </x:c>
      <x:c r="U62" s="6" t="str">
        <x:v>repeated_ci_endpoint</x:v>
      </x:c>
      <x:c r="V62" s="6" t="str">
        <x:v>report_internal_inconsistency</x:v>
      </x:c>
      <x:c r="W62" s="6" t="str">
        <x:v>Respiratory-rate confidence-interval endpoint differs between matched occurrences</x:v>
      </x:c>
      <x:c r="X62" s="6" t="str">
        <x:v>2018</x:v>
      </x:c>
      <x:c r="Y62" s="6" t="str">
        <x:v>meta_report/consistency_reclassification_2026-09-04/reclassified_candidates.json</x:v>
      </x:c>
      <x:c r="Z62" s="6" t="str">
        <x:v>S_W</x:v>
      </x:c>
      <x:c r="AA62" s="6" t="str">
        <x:v>report_internal_inconsistency</x:v>
      </x:c>
      <x:c r="AB62" s="6" t="str">
        <x:v>retain</x:v>
      </x:c>
    </x:row>
    <x:row r="63" ht="90" customHeight="1">
      <x:c r="A63" s="11" t="b">
        <x:v>0</x:v>
      </x:c>
      <x:c r="B63" s="3" t="str">
        <x:v>Communication-only candidate: arithmetic reproduces under the printed overall-population context. It is not an explicit failed evidence recheck, so evidence_state remains recorded_candidate; do not describe it as a confirmed inconsistency.</x:v>
      </x:c>
      <x:c r="C63" s="11" t="b">
        <x:v>0</x:v>
      </x:c>
      <x:c r="D63" s="3" t="str">
        <x:v>Denominator, proportion, or total inconsistency</x:v>
      </x:c>
      <x:c r="E63" s="11" t="b">
        <x:v>0</x:v>
      </x:c>
      <x:c r="F63" s="3" t="str">
        <x:v>C018</x:v>
      </x:c>
      <x:c r="G63" s="3" t="str">
        <x:v>2018::jama.2018.14282::C018</x:v>
      </x:c>
      <x:c r="H63" s="3"/>
      <x:c r="I63" s="3" t="str">
        <x:v>DOC-001 post hoc outcomes — PDF p. 6</x:v>
      </x:c>
      <x:c r="J63" s="11" t="b">
        <x:v>0</x:v>
      </x:c>
      <x:c r="K63" s="3" t="str">
        <x:v>jama.2018.14282</x:v>
      </x:c>
      <x:c r="L63" s="3"/>
      <x:c r="M63" s="3" t="str">
        <x:v>S_W</x:v>
      </x:c>
      <x:c r="N63" s="3" t="str">
        <x:v>The main paragraph explicitly begins In the overall population; 153/776=19.7% and 31/776=4.0% are correct, but the arm-attributed wording could be misread as within-arm risks. The retained candidate is within-main denominator communication, not an established numerical contradiction.</x:v>
      </x:c>
      <x:c r="O63" s="3" t="str">
        <x:v>../../2018/jama.2018.14282/.ai_paper_validation/final_report_1_5_2.html</x:v>
      </x:c>
      <x:c r="P63" s="3" t="str">
        <x:v>2018/jama.2018.14282/.ai_paper_validation/final_report_1_5_2.md</x:v>
      </x:c>
      <x:c r="Q63" s="3" t="str">
        <x:v>C018</x:v>
      </x:c>
      <x:c r="R63" s="3" t="str">
        <x:v>Pending Human Adjudication</x:v>
      </x:c>
      <x:c r="S63" s="3" t="str">
        <x:v>Arm-attributed support-needs counts are paired with overall-population percentages, creating a denominator-communication question rather than a demonstrated arithmetic error.</x:v>
      </x:c>
      <x:c r="T63" s="11" t="b">
        <x:v>1</x:v>
      </x:c>
      <x:c r="U63" s="3" t="str">
        <x:v>denominator_communication</x:v>
      </x:c>
      <x:c r="V63" s="3" t="str">
        <x:v>statistical_results</x:v>
      </x:c>
      <x:c r="W63" s="3" t="str">
        <x:v>Arm-attributed support-needs percentages use the overall-population denominator</x:v>
      </x:c>
      <x:c r="X63" s="3" t="str">
        <x:v>2018</x:v>
      </x:c>
      <x:c r="Y63" s="3" t="str">
        <x:v>meta_report/consistency_reclassification_2026-09-04/reclassified_candidates.json</x:v>
      </x:c>
      <x:c r="Z63" s="3" t="str">
        <x:v>S_W</x:v>
      </x:c>
      <x:c r="AA63" s="3" t="str">
        <x:v>statistical_results</x:v>
      </x:c>
      <x:c r="AB63" s="3" t="str">
        <x:v>retain</x:v>
      </x:c>
    </x:row>
    <x:row r="64" ht="90" customHeight="1">
      <x:c r="A64" s="12" t="b">
        <x:v>0</x:v>
      </x:c>
      <x:c r="B64" s="6"/>
      <x:c r="C64" s="12" t="b">
        <x:v>0</x:v>
      </x:c>
      <x:c r="D64" s="6" t="str">
        <x:v>Denominator, proportion, or total inconsistency</x:v>
      </x:c>
      <x:c r="E64" s="12" t="b">
        <x:v>0</x:v>
      </x:c>
      <x:c r="F64" s="6" t="str">
        <x:v>C019</x:v>
      </x:c>
      <x:c r="G64" s="6" t="str">
        <x:v>2018::jama.2018.14282::C019</x:v>
      </x:c>
      <x:c r="H64" s="6"/>
      <x:c r="I64" s="6" t="str">
        <x:v>DOC-003 eTable — PDF p. 2</x:v>
      </x:c>
      <x:c r="J64" s="12" t="b">
        <x:v>0</x:v>
      </x:c>
      <x:c r="K64" s="6" t="str">
        <x:v>jama.2018.14282</x:v>
      </x:c>
      <x:c r="L64" s="6"/>
      <x:c r="M64" s="6" t="str">
        <x:v>S_W</x:v>
      </x:c>
      <x:c r="N64" s="6" t="str">
        <x:v>The eTable high-flow invasive-mechanical-ventilation percentage does not reconcile under nearest one-decimal rounding. The focal mismatch is within one non-plan results supplement.</x:v>
      </x:c>
      <x:c r="O64" s="6" t="str">
        <x:v>../../2018/jama.2018.14282/.ai_paper_validation/final_report_1_5_2.html</x:v>
      </x:c>
      <x:c r="P64" s="6" t="str">
        <x:v>2018/jama.2018.14282/.ai_paper_validation/final_report_1_5_2.md</x:v>
      </x:c>
      <x:c r="Q64" s="6" t="str">
        <x:v>C019</x:v>
      </x:c>
      <x:c r="R64" s="6" t="str">
        <x:v>Pending Human Adjudication</x:v>
      </x:c>
      <x:c r="S64" s="6" t="str">
        <x:v>The eTable high-flow invasive-mechanical-ventilation percentage does not reconcile under nearest one-decimal rounding.</x:v>
      </x:c>
      <x:c r="T64" s="12" t="b">
        <x:v>1</x:v>
      </x:c>
      <x:c r="U64" s="6" t="str">
        <x:v>count_percentage_rounding</x:v>
      </x:c>
      <x:c r="V64" s="6" t="str">
        <x:v>statistical_results</x:v>
      </x:c>
      <x:c r="W64" s="6" t="str">
        <x:v>eTable high-flow invasive-MV percentage does not reconcile</x:v>
      </x:c>
      <x:c r="X64" s="6" t="str">
        <x:v>2018</x:v>
      </x:c>
      <x:c r="Y64" s="6" t="str">
        <x:v>meta_report/consistency_reclassification_2026-09-04/reclassified_candidates.json</x:v>
      </x:c>
      <x:c r="Z64" s="6" t="str">
        <x:v>S_W</x:v>
      </x:c>
      <x:c r="AA64" s="6" t="str">
        <x:v>statistical_results</x:v>
      </x:c>
      <x:c r="AB64" s="6" t="str">
        <x:v>retain</x:v>
      </x:c>
    </x:row>
    <x:row r="65" ht="90" customHeight="1">
      <x:c r="A65" s="11" t="b">
        <x:v>0</x:v>
      </x:c>
      <x:c r="B65" s="3" t="str">
        <x:v>Complementary to C021 and may share a forced-total percentage-production rule; separate printed count/percentage cell, so not marked an identical duplicate.</x:v>
      </x:c>
      <x:c r="C65" s="11" t="b">
        <x:v>0</x:v>
      </x:c>
      <x:c r="D65" s="3" t="str">
        <x:v>Denominator, proportion, or total inconsistency</x:v>
      </x:c>
      <x:c r="E65" s="11" t="b">
        <x:v>0</x:v>
      </x:c>
      <x:c r="F65" s="3" t="str">
        <x:v>C020</x:v>
      </x:c>
      <x:c r="G65" s="3" t="str">
        <x:v>2018::jama.2018.14282::C020</x:v>
      </x:c>
      <x:c r="H65" s="3"/>
      <x:c r="I65" s="3" t="str">
        <x:v>DOC-003 eTable — PDF p. 2</x:v>
      </x:c>
      <x:c r="J65" s="11" t="b">
        <x:v>0</x:v>
      </x:c>
      <x:c r="K65" s="3" t="str">
        <x:v>jama.2018.14282</x:v>
      </x:c>
      <x:c r="L65" s="3"/>
      <x:c r="M65" s="3" t="str">
        <x:v>S_W</x:v>
      </x:c>
      <x:c r="N65" s="3" t="str">
        <x:v>The eTable standard-arm invasive-mechanical-ventilation percentage does not reconcile under nearest one-decimal rounding. The focal mismatch is within one non-plan results supplement.</x:v>
      </x:c>
      <x:c r="O65" s="3" t="str">
        <x:v>../../2018/jama.2018.14282/.ai_paper_validation/final_report_1_5_2.html</x:v>
      </x:c>
      <x:c r="P65" s="3" t="str">
        <x:v>2018/jama.2018.14282/.ai_paper_validation/final_report_1_5_2.md</x:v>
      </x:c>
      <x:c r="Q65" s="3" t="str">
        <x:v>C020</x:v>
      </x:c>
      <x:c r="R65" s="3" t="str">
        <x:v>Pending Human Adjudication</x:v>
      </x:c>
      <x:c r="S65" s="3" t="str">
        <x:v>The eTable standard-arm invasive-mechanical-ventilation percentage does not reconcile under nearest one-decimal rounding.</x:v>
      </x:c>
      <x:c r="T65" s="11" t="b">
        <x:v>1</x:v>
      </x:c>
      <x:c r="U65" s="3" t="str">
        <x:v>count_percentage_rounding</x:v>
      </x:c>
      <x:c r="V65" s="3" t="str">
        <x:v>statistical_results</x:v>
      </x:c>
      <x:c r="W65" s="3" t="str">
        <x:v>eTable standard-arm invasive-MV percentage does not reconcile</x:v>
      </x:c>
      <x:c r="X65" s="3" t="str">
        <x:v>2018</x:v>
      </x:c>
      <x:c r="Y65" s="3" t="str">
        <x:v>meta_report/consistency_reclassification_2026-09-04/reclassified_candidates.json</x:v>
      </x:c>
      <x:c r="Z65" s="3" t="str">
        <x:v>S_W</x:v>
      </x:c>
      <x:c r="AA65" s="3" t="str">
        <x:v>statistical_results</x:v>
      </x:c>
      <x:c r="AB65" s="3" t="str">
        <x:v>retain</x:v>
      </x:c>
    </x:row>
    <x:row r="66" ht="90" customHeight="1">
      <x:c r="A66" s="12" t="b">
        <x:v>0</x:v>
      </x:c>
      <x:c r="B66" s="6" t="str">
        <x:v>Complementary to C020 and may share a forced-total percentage-production rule; separate printed count/percentage cell, so not marked an identical duplicate.</x:v>
      </x:c>
      <x:c r="C66" s="12" t="b">
        <x:v>0</x:v>
      </x:c>
      <x:c r="D66" s="6" t="str">
        <x:v>Denominator, proportion, or total inconsistency</x:v>
      </x:c>
      <x:c r="E66" s="12" t="b">
        <x:v>0</x:v>
      </x:c>
      <x:c r="F66" s="6" t="str">
        <x:v>C021</x:v>
      </x:c>
      <x:c r="G66" s="6" t="str">
        <x:v>2018::jama.2018.14282::C021</x:v>
      </x:c>
      <x:c r="H66" s="6"/>
      <x:c r="I66" s="6" t="str">
        <x:v>DOC-003 eTable — PDF p. 2</x:v>
      </x:c>
      <x:c r="J66" s="12" t="b">
        <x:v>0</x:v>
      </x:c>
      <x:c r="K66" s="6" t="str">
        <x:v>jama.2018.14282</x:v>
      </x:c>
      <x:c r="L66" s="6"/>
      <x:c r="M66" s="6" t="str">
        <x:v>S_W</x:v>
      </x:c>
      <x:c r="N66" s="6" t="str">
        <x:v>The eTable standard-oxygen-only percentage does not reconcile under nearest one-decimal rounding. The focal mismatch is within one non-plan results supplement.</x:v>
      </x:c>
      <x:c r="O66" s="6" t="str">
        <x:v>../../2018/jama.2018.14282/.ai_paper_validation/final_report_1_5_2.html</x:v>
      </x:c>
      <x:c r="P66" s="6" t="str">
        <x:v>2018/jama.2018.14282/.ai_paper_validation/final_report_1_5_2.md</x:v>
      </x:c>
      <x:c r="Q66" s="6" t="str">
        <x:v>C021</x:v>
      </x:c>
      <x:c r="R66" s="6" t="str">
        <x:v>Pending Human Adjudication</x:v>
      </x:c>
      <x:c r="S66" s="6" t="str">
        <x:v>The eTable standard-oxygen-only percentage does not reconcile under nearest one-decimal rounding.</x:v>
      </x:c>
      <x:c r="T66" s="12" t="b">
        <x:v>1</x:v>
      </x:c>
      <x:c r="U66" s="6" t="str">
        <x:v>count_percentage_rounding</x:v>
      </x:c>
      <x:c r="V66" s="6" t="str">
        <x:v>statistical_results</x:v>
      </x:c>
      <x:c r="W66" s="6" t="str">
        <x:v>eTable standard-oxygen-only percentage does not reconcile</x:v>
      </x:c>
      <x:c r="X66" s="6" t="str">
        <x:v>2018</x:v>
      </x:c>
      <x:c r="Y66" s="6" t="str">
        <x:v>meta_report/consistency_reclassification_2026-09-04/reclassified_candidates.json</x:v>
      </x:c>
      <x:c r="Z66" s="6" t="str">
        <x:v>S_W</x:v>
      </x:c>
      <x:c r="AA66" s="6" t="str">
        <x:v>statistical_results</x:v>
      </x:c>
      <x:c r="AB66" s="6" t="str">
        <x:v>retain</x:v>
      </x:c>
    </x:row>
    <x:row r="67" ht="90" customHeight="1">
      <x:c r="A67" s="11" t="b">
        <x:v>0</x:v>
      </x:c>
      <x:c r="B67" s="3"/>
      <x:c r="C67" s="11" t="b">
        <x:v>0</x:v>
      </x:c>
      <x:c r="D67" s="3" t="str">
        <x:v>Statistical reporting inconsistency</x:v>
      </x:c>
      <x:c r="E67" s="11" t="b">
        <x:v>1</x:v>
      </x:c>
      <x:c r="F67" s="3" t="str">
        <x:v>C022</x:v>
      </x:c>
      <x:c r="G67" s="3" t="str">
        <x:v>2018::jama.2018.14282::C022</x:v>
      </x:c>
      <x:c r="H67" s="3"/>
      <x:c r="I67" s="3" t="str">
        <x:v>DOC-001 methods — PDF p. 4; DOC-001 results — PDF p. 6; DOC-003 eFigure 1 — PDF p. 3</x:v>
      </x:c>
      <x:c r="J67" s="11" t="b">
        <x:v>0</x:v>
      </x:c>
      <x:c r="K67" s="3" t="str">
        <x:v>jama.2018.14282</x:v>
      </x:c>
      <x:c r="L67" s="3"/>
      <x:c r="M67" s="3" t="str">
        <x:v>S_C</x:v>
      </x:c>
      <x:c r="N67" s="3" t="str">
        <x:v>A matched invasive-mechanical-ventilation cumulative-incidence comparison is described with Gray testing in the main article and a log-rank label in the linked eFigure. The focal comparison is the main article versus a non-plan results supplement.</x:v>
      </x:c>
      <x:c r="O67" s="3" t="str">
        <x:v>../../2018/jama.2018.14282/.ai_paper_validation/final_report_1_5_2.html</x:v>
      </x:c>
      <x:c r="P67" s="3" t="str">
        <x:v>2018/jama.2018.14282/.ai_paper_validation/final_report_1_5_2.md</x:v>
      </x:c>
      <x:c r="Q67" s="3" t="str">
        <x:v>C022</x:v>
      </x:c>
      <x:c r="R67" s="3" t="str">
        <x:v>Pending Human Adjudication</x:v>
      </x:c>
      <x:c r="S67" s="3" t="str">
        <x:v>A matched invasive-mechanical-ventilation cumulative-incidence comparison is described with Gray testing in the main article and a log-rank label in the linked eFigure.</x:v>
      </x:c>
      <x:c r="T67" s="11" t="b">
        <x:v>1</x:v>
      </x:c>
      <x:c r="U67" s="3" t="str">
        <x:v>test_label</x:v>
      </x:c>
      <x:c r="V67" s="3" t="str">
        <x:v>statistical_results</x:v>
      </x:c>
      <x:c r="W67" s="3" t="str">
        <x:v>IMV cumulative-incidence comparison has incompatible printed test labels</x:v>
      </x:c>
      <x:c r="X67" s="3" t="str">
        <x:v>2018</x:v>
      </x:c>
      <x:c r="Y67" s="3" t="str">
        <x:v>meta_report/consistency_reclassification_2026-09-04/reclassified_candidates.json</x:v>
      </x:c>
      <x:c r="Z67" s="3" t="str">
        <x:v>S_C</x:v>
      </x:c>
      <x:c r="AA67" s="3" t="str">
        <x:v>statistical_results</x:v>
      </x:c>
      <x:c r="AB67" s="3" t="str">
        <x:v>retain</x:v>
      </x:c>
    </x:row>
    <x:row r="68" ht="90" customHeight="1">
      <x:c r="A68" s="12" t="b">
        <x:v>0</x:v>
      </x:c>
      <x:c r="B68" s="6" t="str">
        <x:v>Figure reference group is not defined. Recheck rejects exact reciprocal agreement from all rounded values, while preserving near-reciprocal orientation compatible with hidden precision; this is not a wholly non-reproduced candidate.</x:v>
      </x:c>
      <x:c r="C68" s="12" t="b">
        <x:v>0</x:v>
      </x:c>
      <x:c r="D68" s="6" t="str">
        <x:v>Measure, label, or scale inconsistency</x:v>
      </x:c>
      <x:c r="E68" s="12" t="b">
        <x:v>0</x:v>
      </x:c>
      <x:c r="F68" s="6" t="str">
        <x:v>C023</x:v>
      </x:c>
      <x:c r="G68" s="6" t="str">
        <x:v>2018::jama.2018.14282::C023</x:v>
      </x:c>
      <x:c r="H68" s="6"/>
      <x:c r="I68" s="6" t="str">
        <x:v>DOC-001 Table 2 and narrative — PDF p. 5; DOC-001 Figure 3A — PDF p. 7</x:v>
      </x:c>
      <x:c r="J68" s="12" t="b">
        <x:v>0</x:v>
      </x:c>
      <x:c r="K68" s="6" t="str">
        <x:v>jama.2018.14282</x:v>
      </x:c>
      <x:c r="L68" s="6"/>
      <x:c r="M68" s="6" t="str">
        <x:v>S_W</x:v>
      </x:c>
      <x:c r="N68" s="6" t="str">
        <x:v>Figure 3A mortality HRs are near reciprocals of the matched Table 2/narrative HRs under favor labels, but the figure reference group is not printed. The focal mismatch is within the main article.</x:v>
      </x:c>
      <x:c r="O68" s="6" t="str">
        <x:v>../../2018/jama.2018.14282/.ai_paper_validation/final_report_1_5_2.html</x:v>
      </x:c>
      <x:c r="P68" s="6" t="str">
        <x:v>2018/jama.2018.14282/.ai_paper_validation/final_report_1_5_2.md</x:v>
      </x:c>
      <x:c r="Q68" s="6" t="str">
        <x:v>C023</x:v>
      </x:c>
      <x:c r="R68" s="6" t="str">
        <x:v>Pending Human Adjudication</x:v>
      </x:c>
      <x:c r="S68" s="6" t="str">
        <x:v>Figure 3A mortality HRs are near reciprocals of the matched Table 2/narrative HRs under favor labels, but the figure reference group is not printed.</x:v>
      </x:c>
      <x:c r="T68" s="12" t="b">
        <x:v>1</x:v>
      </x:c>
      <x:c r="U68" s="6" t="str">
        <x:v>hr_orientation</x:v>
      </x:c>
      <x:c r="V68" s="6" t="str">
        <x:v>report_internal_inconsistency</x:v>
      </x:c>
      <x:c r="W68" s="6" t="str">
        <x:v>Figure 3A mortality HR has a near-reciprocal orientation relative to Table 2</x:v>
      </x:c>
      <x:c r="X68" s="6" t="str">
        <x:v>2018</x:v>
      </x:c>
      <x:c r="Y68" s="6" t="str">
        <x:v>meta_report/consistency_reclassification_2026-09-04/reclassified_candidates.json</x:v>
      </x:c>
      <x:c r="Z68" s="6" t="str">
        <x:v>S_W</x:v>
      </x:c>
      <x:c r="AA68" s="6" t="str">
        <x:v>report_internal_inconsistency</x:v>
      </x:c>
      <x:c r="AB68" s="6" t="str">
        <x:v>retain</x:v>
      </x:c>
    </x:row>
    <x:row r="69" ht="90" customHeight="1">
      <x:c r="A69" s="11" t="b">
        <x:v>0</x:v>
      </x:c>
      <x:c r="B69" s="3" t="str">
        <x:v>Figure reference group is not defined. Recheck rejects exact reciprocal agreement from all rounded values, while preserving near-reciprocal orientation compatible with hidden precision; this is not a wholly non-reproduced candidate.</x:v>
      </x:c>
      <x:c r="C69" s="11" t="b">
        <x:v>0</x:v>
      </x:c>
      <x:c r="D69" s="3" t="str">
        <x:v>Measure, label, or scale inconsistency</x:v>
      </x:c>
      <x:c r="E69" s="11" t="b">
        <x:v>0</x:v>
      </x:c>
      <x:c r="F69" s="3" t="str">
        <x:v>C024</x:v>
      </x:c>
      <x:c r="G69" s="3" t="str">
        <x:v>2018::jama.2018.14282::C024</x:v>
      </x:c>
      <x:c r="H69" s="3"/>
      <x:c r="I69" s="3" t="str">
        <x:v>DOC-001 Table 2 — PDF p. 5; DOC-001 narrative — PDF p. 6; DOC-001 Figure 3B — PDF p. 7</x:v>
      </x:c>
      <x:c r="J69" s="11" t="b">
        <x:v>0</x:v>
      </x:c>
      <x:c r="K69" s="3" t="str">
        <x:v>jama.2018.14282</x:v>
      </x:c>
      <x:c r="L69" s="3"/>
      <x:c r="M69" s="3" t="str">
        <x:v>S_W</x:v>
      </x:c>
      <x:c r="N69" s="3" t="str">
        <x:v>Figure 3B IMV HRs are near reciprocals of the matched Table 2/narrative cause-specific HRs under favor labels, but figure reference/estimand definition is not printed. The focal mismatch is within the main article.</x:v>
      </x:c>
      <x:c r="O69" s="3" t="str">
        <x:v>../../2018/jama.2018.14282/.ai_paper_validation/final_report_1_5_2.html</x:v>
      </x:c>
      <x:c r="P69" s="3" t="str">
        <x:v>2018/jama.2018.14282/.ai_paper_validation/final_report_1_5_2.md</x:v>
      </x:c>
      <x:c r="Q69" s="3" t="str">
        <x:v>C024</x:v>
      </x:c>
      <x:c r="R69" s="3" t="str">
        <x:v>Pending Human Adjudication</x:v>
      </x:c>
      <x:c r="S69" s="3" t="str">
        <x:v>Figure 3B IMV HRs are near reciprocals of the matched Table 2/narrative cause-specific HRs under favor labels, but figure reference/estimand definition is not printed.</x:v>
      </x:c>
      <x:c r="T69" s="11" t="b">
        <x:v>1</x:v>
      </x:c>
      <x:c r="U69" s="3" t="str">
        <x:v>hr_orientation</x:v>
      </x:c>
      <x:c r="V69" s="3" t="str">
        <x:v>report_internal_inconsistency</x:v>
      </x:c>
      <x:c r="W69" s="3" t="str">
        <x:v>Figure 3B IMV HR has a near-reciprocal orientation relative to Table 2</x:v>
      </x:c>
      <x:c r="X69" s="3" t="str">
        <x:v>2018</x:v>
      </x:c>
      <x:c r="Y69" s="3" t="str">
        <x:v>meta_report/consistency_reclassification_2026-09-04/reclassified_candidates.json</x:v>
      </x:c>
      <x:c r="Z69" s="3" t="str">
        <x:v>S_W</x:v>
      </x:c>
      <x:c r="AA69" s="3" t="str">
        <x:v>report_internal_inconsistency</x:v>
      </x:c>
      <x:c r="AB69" s="3" t="str">
        <x:v>retain</x:v>
      </x:c>
    </x:row>
    <x:row r="70" ht="90" customHeight="1">
      <x:c r="A70" s="12" t="b">
        <x:v>0</x:v>
      </x:c>
      <x:c r="B70" s="6" t="str">
        <x:v>Boundary decision: S_W only; the plan comparison supports the internal total error. An unreported earlier unequal target remains possible.</x:v>
      </x:c>
      <x:c r="C70" s="12" t="b">
        <x:v>0</x:v>
      </x:c>
      <x:c r="D70" s="6" t="str">
        <x:v>Numeric or arithmetic inconsistency</x:v>
      </x:c>
      <x:c r="E70" s="12" t="b">
        <x:v>0</x:v>
      </x:c>
      <x:c r="F70" s="6" t="str">
        <x:v>C025</x:v>
      </x:c>
      <x:c r="G70" s="6" t="str">
        <x:v>2018::jama.2018.14282::C025</x:v>
      </x:c>
      <x:c r="H70" s="6"/>
      <x:c r="I70" s="6" t="str">
        <x:v>DOC-001 — PDF p. 3; DOC-002 completed published-protocol abstract sentence — PDF p. 91; DOC-002 statistical-plan comparator — PDF p. 103</x:v>
      </x:c>
      <x:c r="J70" s="12" t="b">
        <x:v>0</x:v>
      </x:c>
      <x:c r="K70" s="6" t="str">
        <x:v>jama.2018.14282</x:v>
      </x:c>
      <x:c r="L70" s="6"/>
      <x:c r="M70" s="6" t="str">
        <x:v>S_W</x:v>
      </x:c>
      <x:c r="N70" s="6" t="str">
        <x:v>The main article states 779 patients with 389 in each of two arms, internally contradicting 389+389=778. The protocol/SAP 778 total corroborates that arithmetic; it is not counted as a separate implemented-versus-planned sample-size departure.</x:v>
      </x:c>
      <x:c r="O70" s="6" t="str">
        <x:v>../../2018/jama.2018.14282/.ai_paper_validation/final_report_1_5_2.html</x:v>
      </x:c>
      <x:c r="P70" s="6" t="str">
        <x:v>2018/jama.2018.14282/.ai_paper_validation/final_report_1_5_2.md</x:v>
      </x:c>
      <x:c r="Q70" s="6" t="str">
        <x:v>C025</x:v>
      </x:c>
      <x:c r="R70" s="6" t="str">
        <x:v>Pending Human Adjudication</x:v>
      </x:c>
      <x:c r="S70" s="6" t="str">
        <x:v>The main article's revised-superiority total of 779 conflicts with two stated 389-person groups and the matched protocol/SAP total of 778.</x:v>
      </x:c>
      <x:c r="T70" s="12" t="b">
        <x:v>1</x:v>
      </x:c>
      <x:c r="U70" s="6" t="str">
        <x:v>sample_size_sum</x:v>
      </x:c>
      <x:c r="V70" s="6" t="str">
        <x:v>statistical_results</x:v>
      </x:c>
      <x:c r="W70" s="6" t="str">
        <x:v>Revised-superiority sample-size total conflicts with equal arm counts</x:v>
      </x:c>
      <x:c r="X70" s="6" t="str">
        <x:v>2018</x:v>
      </x:c>
      <x:c r="Y70" s="6" t="str">
        <x:v>meta_report/consistency_reclassification_2026-09-04/reclassified_candidates.json</x:v>
      </x:c>
      <x:c r="Z70" s="6" t="str">
        <x:v>S_W</x:v>
      </x:c>
      <x:c r="AA70" s="6" t="str">
        <x:v>statistical_results</x:v>
      </x:c>
      <x:c r="AB70" s="6" t="str">
        <x:v>retain</x:v>
      </x:c>
    </x:row>
    <x:row r="71" ht="90" customHeight="1">
      <x:c r="A71" s="11" t="b">
        <x:v>0</x:v>
      </x:c>
      <x:c r="B71" s="3"/>
      <x:c r="C71" s="11" t="b">
        <x:v>1</x:v>
      </x:c>
      <x:c r="D71" s="3" t="str">
        <x:v>Statistical reporting inconsistency</x:v>
      </x:c>
      <x:c r="E71" s="11" t="b">
        <x:v>0</x:v>
      </x:c>
      <x:c r="F71" s="3" t="str">
        <x:v>C026</x:v>
      </x:c>
      <x:c r="G71" s="3" t="str">
        <x:v>2018::jama.2018.14282::C026</x:v>
      </x:c>
      <x:c r="H71" s="3"/>
      <x:c r="I71" s="3" t="str">
        <x:v>DOC-002 Figure 4 — PDF p. 40; DOC-002 — PDF p. 42</x:v>
      </x:c>
      <x:c r="J71" s="11" t="b">
        <x:v>0</x:v>
      </x:c>
      <x:c r="K71" s="3" t="str">
        <x:v>jama.2018.14282</x:v>
      </x:c>
      <x:c r="L71" s="3"/>
      <x:c r="M71" s="3" t="str">
        <x:v>P_P</x:v>
      </x:c>
      <x:c r="N71" s="3" t="str">
        <x:v>Noninferiority wording uses a positive less than 9% lower-bound statement that is not reconciled with the negative-side margin on a new-treatment-minus-active-control axis. The focal discrepancy is internal to the protocol/SAP material, including plan-version passages in a bound bundle.</x:v>
      </x:c>
      <x:c r="O71" s="3" t="str">
        <x:v>../../2018/jama.2018.14282/.ai_paper_validation/final_report_1_5_2.html</x:v>
      </x:c>
      <x:c r="P71" s="3" t="str">
        <x:v>2018/jama.2018.14282/.ai_paper_validation/final_report_1_5_2.md</x:v>
      </x:c>
      <x:c r="Q71" s="3" t="str">
        <x:v>C026</x:v>
      </x:c>
      <x:c r="R71" s="3" t="str">
        <x:v>Pending Human Adjudication</x:v>
      </x:c>
      <x:c r="S71" s="3" t="str">
        <x:v>Noninferiority wording uses a positive less than 9% lower-bound statement that is not reconciled with the negative-side margin on a new-treatment-minus-active-control axis.</x:v>
      </x:c>
      <x:c r="T71" s="11" t="b">
        <x:v>0</x:v>
      </x:c>
      <x:c r="U71" s="3" t="str">
        <x:v>noninferiority_margin_sign</x:v>
      </x:c>
      <x:c r="V71" s="3" t="str">
        <x:v>plan_material</x:v>
      </x:c>
      <x:c r="W71" s="3" t="str">
        <x:v>Noninferiority bound/sign wording conflicts with its explanatory axis</x:v>
      </x:c>
      <x:c r="X71" s="3" t="str">
        <x:v>2018</x:v>
      </x:c>
      <x:c r="Y71" s="3" t="str">
        <x:v>meta_report/consistency_reclassification_2026-09-04/reclassified_candidates.json</x:v>
      </x:c>
      <x:c r="Z71" s="3" t="str">
        <x:v>P_P</x:v>
      </x:c>
      <x:c r="AA71" s="3" t="str">
        <x:v>plan_material</x:v>
      </x:c>
      <x:c r="AB71" s="3" t="str">
        <x:v>retain</x:v>
      </x:c>
    </x:row>
    <x:row r="72" ht="90" customHeight="1">
      <x:c r="A72" s="12" t="b">
        <x:v>0</x:v>
      </x:c>
      <x:c r="B72" s="6"/>
      <x:c r="C72" s="12" t="b">
        <x:v>1</x:v>
      </x:c>
      <x:c r="D72" s="6" t="str">
        <x:v>Measure, label, or scale inconsistency</x:v>
      </x:c>
      <x:c r="E72" s="12" t="b">
        <x:v>0</x:v>
      </x:c>
      <x:c r="F72" s="6" t="str">
        <x:v>C027</x:v>
      </x:c>
      <x:c r="G72" s="6" t="str">
        <x:v>2018::jama.2018.14282::C027</x:v>
      </x:c>
      <x:c r="H72" s="6"/>
      <x:c r="I72" s="6" t="str">
        <x:v>DOC-002 — PDF p. 52; DOC-002 — PDF p. 104</x:v>
      </x:c>
      <x:c r="J72" s="12" t="b">
        <x:v>0</x:v>
      </x:c>
      <x:c r="K72" s="6" t="str">
        <x:v>jama.2018.14282</x:v>
      </x:c>
      <x:c r="L72" s="6"/>
      <x:c r="M72" s="6" t="str">
        <x:v>P_P</x:v>
      </x:c>
      <x:c r="N72" s="6" t="str">
        <x:v>Primary-hypothesis sentences label the intervention NIV while adjacent and repeated plan wording identifies HFNO as the experimental intervention. The focal discrepancy is internal to the protocol/SAP material, including plan-version passages in a bound bundle.</x:v>
      </x:c>
      <x:c r="O72" s="6" t="str">
        <x:v>../../2018/jama.2018.14282/.ai_paper_validation/final_report_1_5_2.html</x:v>
      </x:c>
      <x:c r="P72" s="6" t="str">
        <x:v>2018/jama.2018.14282/.ai_paper_validation/final_report_1_5_2.md</x:v>
      </x:c>
      <x:c r="Q72" s="6" t="str">
        <x:v>C027</x:v>
      </x:c>
      <x:c r="R72" s="6" t="str">
        <x:v>Pending Human Adjudication</x:v>
      </x:c>
      <x:c r="S72" s="6" t="str">
        <x:v>Primary-hypothesis sentences label the intervention NIV while adjacent and repeated plan wording identifies HFNO as the experimental intervention.</x:v>
      </x:c>
      <x:c r="T72" s="12" t="b">
        <x:v>0</x:v>
      </x:c>
      <x:c r="U72" s="6" t="str">
        <x:v>planned_intervention_label</x:v>
      </x:c>
      <x:c r="V72" s="6" t="str">
        <x:v>plan_material</x:v>
      </x:c>
      <x:c r="W72" s="6" t="str">
        <x:v>Primary-hypothesis intervention is labelled NIV while plans identify HFNO</x:v>
      </x:c>
      <x:c r="X72" s="6" t="str">
        <x:v>2018</x:v>
      </x:c>
      <x:c r="Y72" s="6" t="str">
        <x:v>meta_report/consistency_reclassification_2026-09-04/reclassified_candidates.json</x:v>
      </x:c>
      <x:c r="Z72" s="6" t="str">
        <x:v>P_P</x:v>
      </x:c>
      <x:c r="AA72" s="6" t="str">
        <x:v>plan_material</x:v>
      </x:c>
      <x:c r="AB72" s="6" t="str">
        <x:v>retain</x:v>
      </x:c>
    </x:row>
    <x:row r="73" ht="90" customHeight="1">
      <x:c r="A73" s="11" t="b">
        <x:v>0</x:v>
      </x:c>
      <x:c r="B73" s="3"/>
      <x:c r="C73" s="11" t="b">
        <x:v>1</x:v>
      </x:c>
      <x:c r="D73" s="3" t="str">
        <x:v>Measure, label, or scale inconsistency</x:v>
      </x:c>
      <x:c r="E73" s="11" t="b">
        <x:v>0</x:v>
      </x:c>
      <x:c r="F73" s="3" t="str">
        <x:v>C028</x:v>
      </x:c>
      <x:c r="G73" s="3" t="str">
        <x:v>2018::jama.2018.14282::C028</x:v>
      </x:c>
      <x:c r="H73" s="3"/>
      <x:c r="I73" s="3" t="str">
        <x:v>DOC-002 — PDF p. 54; DOC-002 — PDF p. 82; DOC-002 — PDF p. 104</x:v>
      </x:c>
      <x:c r="J73" s="11" t="b">
        <x:v>0</x:v>
      </x:c>
      <x:c r="K73" s="3" t="str">
        <x:v>jama.2018.14282</x:v>
      </x:c>
      <x:c r="L73" s="3"/>
      <x:c r="M73" s="3" t="str">
        <x:v>P_P</x:v>
      </x:c>
      <x:c r="N73" s="3" t="str">
        <x:v>Plan passages classify patients by day-28 vital status but then specify a relative risk of hospital death without explicitly equating the endpoints. The focal discrepancy is internal to the protocol/SAP material, including plan-version passages in a bound bundle.</x:v>
      </x:c>
      <x:c r="O73" s="3" t="str">
        <x:v>../../2018/jama.2018.14282/.ai_paper_validation/final_report_1_5_2.html</x:v>
      </x:c>
      <x:c r="P73" s="3" t="str">
        <x:v>2018/jama.2018.14282/.ai_paper_validation/final_report_1_5_2.md</x:v>
      </x:c>
      <x:c r="Q73" s="3" t="str">
        <x:v>C028</x:v>
      </x:c>
      <x:c r="R73" s="3" t="str">
        <x:v>Pending Human Adjudication</x:v>
      </x:c>
      <x:c r="S73" s="3" t="str">
        <x:v>Plan passages classify patients by day-28 vital status but then specify a relative risk of hospital death without explicitly equating the endpoints.</x:v>
      </x:c>
      <x:c r="T73" s="11" t="b">
        <x:v>0</x:v>
      </x:c>
      <x:c r="U73" s="3" t="str">
        <x:v>planned_endpoint_horizon</x:v>
      </x:c>
      <x:c r="V73" s="3" t="str">
        <x:v>plan_material</x:v>
      </x:c>
      <x:c r="W73" s="3" t="str">
        <x:v>Planned primary outcome alternates between day-28 vital status and hospital death</x:v>
      </x:c>
      <x:c r="X73" s="3" t="str">
        <x:v>2018</x:v>
      </x:c>
      <x:c r="Y73" s="3" t="str">
        <x:v>meta_report/consistency_reclassification_2026-09-04/reclassified_candidates.json</x:v>
      </x:c>
      <x:c r="Z73" s="3" t="str">
        <x:v>P_P</x:v>
      </x:c>
      <x:c r="AA73" s="3" t="str">
        <x:v>plan_material</x:v>
      </x:c>
      <x:c r="AB73" s="3" t="str">
        <x:v>retain</x:v>
      </x:c>
    </x:row>
    <x:row r="74" ht="90" customHeight="1">
      <x:c r="A74" s="12" t="b">
        <x:v>0</x:v>
      </x:c>
      <x:c r="B74" s="6"/>
      <x:c r="C74" s="12" t="b">
        <x:v>0</x:v>
      </x:c>
      <x:c r="D74" s="6" t="str">
        <x:v>Numeric or arithmetic inconsistency</x:v>
      </x:c>
      <x:c r="E74" s="12" t="b">
        <x:v>0</x:v>
      </x:c>
      <x:c r="F74" s="6" t="str">
        <x:v>C001</x:v>
      </x:c>
      <x:c r="G74" s="6" t="str">
        <x:v>2018::jama.2018.17075::C001</x:v>
      </x:c>
      <x:c r="H74" s="6"/>
      <x:c r="I74" s="6" t="str">
        <x:v>jama_cooper_2018_oi_180132.pdf — PDF p. 5, Table 1, normothermia Injury Severity Score.</x:v>
      </x:c>
      <x:c r="J74" s="12" t="b">
        <x:v>0</x:v>
      </x:c>
      <x:c r="K74" s="6" t="str">
        <x:v>jama.2018.17075</x:v>
      </x:c>
      <x:c r="L74" s="6"/>
      <x:c r="M74" s="6" t="str">
        <x:v>S_W</x:v>
      </x:c>
      <x:c r="N74" s="6" t="str">
        <x:v>The normothermia Injury Severity Score median is lower than the lower endpoint of its printed IQR. The focal mismatch is within the main article.</x:v>
      </x:c>
      <x:c r="O74" s="6" t="str">
        <x:v>../../2018/jama.2018.17075/.ai_paper_validation/final_report_1_5_2.html</x:v>
      </x:c>
      <x:c r="P74" s="6" t="str">
        <x:v>2018/jama.2018.17075/.ai_paper_validation/final_report_1_5_2.md</x:v>
      </x:c>
      <x:c r="Q74" s="6" t="str">
        <x:v>C001</x:v>
      </x:c>
      <x:c r="R74" s="6" t="str">
        <x:v>Pending Human Adjudication</x:v>
      </x:c>
      <x:c r="S74" s="6" t="str">
        <x:v>The normothermia Injury Severity Score median is lower than the lower endpoint of its printed IQR.</x:v>
      </x:c>
      <x:c r="T74" s="12" t="b">
        <x:v>1</x:v>
      </x:c>
      <x:c r="U74" s="6" t="str">
        <x:v>median_iqr_order</x:v>
      </x:c>
      <x:c r="V74" s="6" t="str">
        <x:v>statistical_results</x:v>
      </x:c>
      <x:c r="W74" s="6" t="str">
        <x:v>Normothermia Injury Severity Score median is below its printed IQR lower endpoint</x:v>
      </x:c>
      <x:c r="X74" s="6" t="str">
        <x:v>2018</x:v>
      </x:c>
      <x:c r="Y74" s="6" t="str">
        <x:v>meta_report/consistency_reclassification_2026-09-04/reclassified_candidates.json</x:v>
      </x:c>
      <x:c r="Z74" s="6" t="str">
        <x:v>S_W</x:v>
      </x:c>
      <x:c r="AA74" s="6" t="str">
        <x:v>statistical_results</x:v>
      </x:c>
      <x:c r="AB74" s="6" t="str">
        <x:v>retain</x:v>
      </x:c>
    </x:row>
    <x:row r="75" ht="90" customHeight="1">
      <x:c r="A75" s="11" t="b">
        <x:v>0</x:v>
      </x:c>
      <x:c r="B75" s="3"/>
      <x:c r="C75" s="11" t="b">
        <x:v>0</x:v>
      </x:c>
      <x:c r="D75" s="3" t="str">
        <x:v>Cross-document numeric inconsistency</x:v>
      </x:c>
      <x:c r="E75" s="11" t="b">
        <x:v>0</x:v>
      </x:c>
      <x:c r="F75" s="3" t="str">
        <x:v>C002</x:v>
      </x:c>
      <x:c r="G75" s="3" t="str">
        <x:v>2018::jama.2018.17075::C002</x:v>
      </x:c>
      <x:c r="H75" s="3"/>
      <x:c r="I75" s="3" t="str">
        <x:v>jama_cooper_2018_oi_180132.pdf — PDF p. 1, abstract Results; PDF p. 5, Primary Outcome Results; PDF p. 7, Table 2 favorable outcome.</x:v>
      </x:c>
      <x:c r="J75" s="11" t="b">
        <x:v>1</x:v>
      </x:c>
      <x:c r="K75" s="3" t="str">
        <x:v>jama.2018.17075</x:v>
      </x:c>
      <x:c r="L75" s="3"/>
      <x:c r="M75" s="3" t="str">
        <x:v>S_W</x:v>
      </x:c>
      <x:c r="N75" s="3" t="str">
        <x:v>The abstract prints a positive primary risk difference while matched Results and Table 2 locations print a negative risk difference with the same displayed counts and CI. The focal mismatch is within the main article.</x:v>
      </x:c>
      <x:c r="O75" s="3" t="str">
        <x:v>../../2018/jama.2018.17075/.ai_paper_validation/final_report_1_5_2.html</x:v>
      </x:c>
      <x:c r="P75" s="3" t="str">
        <x:v>2018/jama.2018.17075/.ai_paper_validation/final_report_1_5_2.md</x:v>
      </x:c>
      <x:c r="Q75" s="3" t="str">
        <x:v>C002</x:v>
      </x:c>
      <x:c r="R75" s="3" t="str">
        <x:v>Pending Human Adjudication</x:v>
      </x:c>
      <x:c r="S75" s="3" t="str">
        <x:v>The abstract prints a positive primary risk difference while matched Results and Table 2 locations print a negative risk difference with the same displayed counts and CI.</x:v>
      </x:c>
      <x:c r="T75" s="11" t="b">
        <x:v>1</x:v>
      </x:c>
      <x:c r="U75" s="3" t="str">
        <x:v>repeated_effect_sign</x:v>
      </x:c>
      <x:c r="V75" s="3" t="str">
        <x:v>report_internal_inconsistency</x:v>
      </x:c>
      <x:c r="W75" s="3" t="str">
        <x:v>Primary risk difference has opposite signs in matched main-article locations</x:v>
      </x:c>
      <x:c r="X75" s="3" t="str">
        <x:v>2018</x:v>
      </x:c>
      <x:c r="Y75" s="3" t="str">
        <x:v>meta_report/consistency_reclassification_2026-09-04/reclassified_candidates.json</x:v>
      </x:c>
      <x:c r="Z75" s="3" t="str">
        <x:v>S_W</x:v>
      </x:c>
      <x:c r="AA75" s="3" t="str">
        <x:v>report_internal_inconsistency</x:v>
      </x:c>
      <x:c r="AB75" s="3" t="str">
        <x:v>retain</x:v>
      </x:c>
    </x:row>
    <x:row r="76" ht="90" customHeight="1">
      <x:c r="A76" s="12" t="b">
        <x:v>0</x:v>
      </x:c>
      <x:c r="B76" s="6" t="str">
        <x:v>Mixed main-versus-results-supplement P-value mismatch and within-main RR/count incompatibility. Adjacent intra-/extracranial bleeding rows may have swapped effect tokens, but they are distinct outcomes and are not merged as duplicate IDs.</x:v>
      </x:c>
      <x:c r="C76" s="12" t="b">
        <x:v>0</x:v>
      </x:c>
      <x:c r="D76" s="6" t="str">
        <x:v>Statistical reporting inconsistency</x:v>
      </x:c>
      <x:c r="E76" s="12" t="b">
        <x:v>1</x:v>
      </x:c>
      <x:c r="F76" s="6" t="str">
        <x:v>C003</x:v>
      </x:c>
      <x:c r="G76" s="6" t="str">
        <x:v>2018::jama.2018.17075::C003</x:v>
      </x:c>
      <x:c r="H76" s="6"/>
      <x:c r="I76" s="6" t="str">
        <x:v>jama_cooper_2018_oi_180132.pdf — PDF p. 7, Table 2, new or increased intracranial bleeding; joi180132supp2_prod.pdf — PDF p. 10, eTable 6, same outcome; jama_cooper_2018_oi_180132.pdf — PDF p. 3, Statistical Analysis.</x:v>
      </x:c>
      <x:c r="J76" s="12" t="b">
        <x:v>0</x:v>
      </x:c>
      <x:c r="K76" s="6" t="str">
        <x:v>jama.2018.17075</x:v>
      </x:c>
      <x:c r="L76" s="6"/>
      <x:c r="M76" s="6" t="str">
        <x:v>S_C</x:v>
      </x:c>
      <x:c r="N76" s="6" t="str">
        <x:v>The intracranial-bleeding Table 2 RR/CI/P display conflicts with its printed counts and with the matched supplement P value. The focal comparison is the main article versus a non-plan results supplement.</x:v>
      </x:c>
      <x:c r="O76" s="6" t="str">
        <x:v>../../2018/jama.2018.17075/.ai_paper_validation/final_report_1_5_2.html</x:v>
      </x:c>
      <x:c r="P76" s="6" t="str">
        <x:v>2018/jama.2018.17075/.ai_paper_validation/final_report_1_5_2.md</x:v>
      </x:c>
      <x:c r="Q76" s="6" t="str">
        <x:v>C003</x:v>
      </x:c>
      <x:c r="R76" s="6" t="str">
        <x:v>Pending Human Adjudication</x:v>
      </x:c>
      <x:c r="S76" s="6" t="str">
        <x:v>The intracranial-bleeding Table 2 RR/CI/P display conflicts with its printed counts and with the matched supplement P value.</x:v>
      </x:c>
      <x:c r="T76" s="12" t="b">
        <x:v>1</x:v>
      </x:c>
      <x:c r="U76" s="6" t="str">
        <x:v>bleeding_effect_and_p_attachment</x:v>
      </x:c>
      <x:c r="V76" s="6" t="str">
        <x:v>statistical_results</x:v>
      </x:c>
      <x:c r="W76" s="6" t="str">
        <x:v>Intracranial-bleeding effect and P-value reporting conflicts with matched evidence</x:v>
      </x:c>
      <x:c r="X76" s="6" t="str">
        <x:v>2018</x:v>
      </x:c>
      <x:c r="Y76" s="6" t="str">
        <x:v>meta_report/consistency_reclassification_2026-09-04/reclassified_candidates.json</x:v>
      </x:c>
      <x:c r="Z76" s="6" t="str">
        <x:v>S_C</x:v>
      </x:c>
      <x:c r="AA76" s="6" t="str">
        <x:v>statistical_results</x:v>
      </x:c>
      <x:c r="AB76" s="6" t="str">
        <x:v>retain</x:v>
      </x:c>
    </x:row>
    <x:row r="77" ht="90" customHeight="1">
      <x:c r="A77" s="11" t="b">
        <x:v>0</x:v>
      </x:c>
      <x:c r="B77" s="3" t="str">
        <x:v>Mixed main-versus-results-supplement P-value mismatch and within-main RR/count incompatibility. Adjacent intra-/extracranial bleeding rows may have swapped effect tokens, but they are distinct outcomes and are not merged as duplicate IDs.</x:v>
      </x:c>
      <x:c r="C77" s="11" t="b">
        <x:v>0</x:v>
      </x:c>
      <x:c r="D77" s="3" t="str">
        <x:v>Statistical reporting inconsistency</x:v>
      </x:c>
      <x:c r="E77" s="11" t="b">
        <x:v>1</x:v>
      </x:c>
      <x:c r="F77" s="3" t="str">
        <x:v>C004</x:v>
      </x:c>
      <x:c r="G77" s="3" t="str">
        <x:v>2018::jama.2018.17075::C004</x:v>
      </x:c>
      <x:c r="H77" s="3"/>
      <x:c r="I77" s="3" t="str">
        <x:v>jama_cooper_2018_oi_180132.pdf — PDF p. 7, Table 2, new significant extracranial bleeding; joi180132supp2_prod.pdf — PDF p. 10, eTable 6, same outcome; jama_cooper_2018_oi_180132.pdf — PDF p. 3, Statistical Analysis.</x:v>
      </x:c>
      <x:c r="J77" s="11" t="b">
        <x:v>0</x:v>
      </x:c>
      <x:c r="K77" s="3" t="str">
        <x:v>jama.2018.17075</x:v>
      </x:c>
      <x:c r="L77" s="3"/>
      <x:c r="M77" s="3" t="str">
        <x:v>S_C</x:v>
      </x:c>
      <x:c r="N77" s="3" t="str">
        <x:v>The extracranial-bleeding Table 2 RR/CI/P display conflicts with its printed counts and with the matched supplement P value. The focal comparison is the main article versus a non-plan results supplement.</x:v>
      </x:c>
      <x:c r="O77" s="3" t="str">
        <x:v>../../2018/jama.2018.17075/.ai_paper_validation/final_report_1_5_2.html</x:v>
      </x:c>
      <x:c r="P77" s="3" t="str">
        <x:v>2018/jama.2018.17075/.ai_paper_validation/final_report_1_5_2.md</x:v>
      </x:c>
      <x:c r="Q77" s="3" t="str">
        <x:v>C004</x:v>
      </x:c>
      <x:c r="R77" s="3" t="str">
        <x:v>Pending Human Adjudication</x:v>
      </x:c>
      <x:c r="S77" s="3" t="str">
        <x:v>The extracranial-bleeding Table 2 RR/CI/P display conflicts with its printed counts and with the matched supplement P value.</x:v>
      </x:c>
      <x:c r="T77" s="11" t="b">
        <x:v>1</x:v>
      </x:c>
      <x:c r="U77" s="3" t="str">
        <x:v>bleeding_effect_and_p_attachment</x:v>
      </x:c>
      <x:c r="V77" s="3" t="str">
        <x:v>statistical_results</x:v>
      </x:c>
      <x:c r="W77" s="3" t="str">
        <x:v>Extracranial-bleeding effect and P-value reporting conflicts with matched evidence</x:v>
      </x:c>
      <x:c r="X77" s="3" t="str">
        <x:v>2018</x:v>
      </x:c>
      <x:c r="Y77" s="3" t="str">
        <x:v>meta_report/consistency_reclassification_2026-09-04/reclassified_candidates.json</x:v>
      </x:c>
      <x:c r="Z77" s="3" t="str">
        <x:v>S_C</x:v>
      </x:c>
      <x:c r="AA77" s="3" t="str">
        <x:v>statistical_results</x:v>
      </x:c>
      <x:c r="AB77" s="3" t="str">
        <x:v>retain</x:v>
      </x:c>
    </x:row>
    <x:row r="78" ht="90" customHeight="1">
      <x:c r="A78" s="12" t="b">
        <x:v>0</x:v>
      </x:c>
      <x:c r="B78" s="6"/>
      <x:c r="C78" s="12" t="b">
        <x:v>0</x:v>
      </x:c>
      <x:c r="D78" s="6" t="str">
        <x:v>Measure, label, or scale inconsistency</x:v>
      </x:c>
      <x:c r="E78" s="12" t="b">
        <x:v>0</x:v>
      </x:c>
      <x:c r="F78" s="6" t="str">
        <x:v>C005</x:v>
      </x:c>
      <x:c r="G78" s="6" t="str">
        <x:v>2018::jama.2018.17075::C005</x:v>
      </x:c>
      <x:c r="H78" s="6"/>
      <x:c r="I78" s="6" t="str">
        <x:v>joi180132supp2_prod.pdf — PDF p. 18, eTable 10, CT Marshall classification, evacuated mass lesion V, normothermia.</x:v>
      </x:c>
      <x:c r="J78" s="12" t="b">
        <x:v>0</x:v>
      </x:c>
      <x:c r="K78" s="6" t="str">
        <x:v>jama.2018.17075</x:v>
      </x:c>
      <x:c r="L78" s="6"/>
      <x:c r="M78" s="6" t="str">
        <x:v>S_W</x:v>
      </x:c>
      <x:c r="N78" s="6" t="str">
        <x:v>An as-treated normothermia CT cell is inconsistent with its No. (%) header and displayed denominator. The focal mismatch is within one non-plan results supplement.</x:v>
      </x:c>
      <x:c r="O78" s="6" t="str">
        <x:v>../../2018/jama.2018.17075/.ai_paper_validation/final_report_1_5_2.html</x:v>
      </x:c>
      <x:c r="P78" s="6" t="str">
        <x:v>2018/jama.2018.17075/.ai_paper_validation/final_report_1_5_2.md</x:v>
      </x:c>
      <x:c r="Q78" s="6" t="str">
        <x:v>C005</x:v>
      </x:c>
      <x:c r="R78" s="6" t="str">
        <x:v>Pending Human Adjudication</x:v>
      </x:c>
      <x:c r="S78" s="6" t="str">
        <x:v>An as-treated normothermia CT cell is inconsistent with its No. (%) header and displayed denominator.</x:v>
      </x:c>
      <x:c r="T78" s="12" t="b">
        <x:v>1</x:v>
      </x:c>
      <x:c r="U78" s="6" t="str">
        <x:v>count_percentage_order</x:v>
      </x:c>
      <x:c r="V78" s="6" t="str">
        <x:v>report_internal_inconsistency</x:v>
      </x:c>
      <x:c r="W78" s="6" t="str">
        <x:v>As-treated evacuated-mass-lesion cell reverses count and percentage order</x:v>
      </x:c>
      <x:c r="X78" s="6" t="str">
        <x:v>2018</x:v>
      </x:c>
      <x:c r="Y78" s="6" t="str">
        <x:v>meta_report/consistency_reclassification_2026-09-04/reclassified_candidates.json</x:v>
      </x:c>
      <x:c r="Z78" s="6" t="str">
        <x:v>S_W</x:v>
      </x:c>
      <x:c r="AA78" s="6" t="str">
        <x:v>report_internal_inconsistency</x:v>
      </x:c>
      <x:c r="AB78" s="6" t="str">
        <x:v>retain</x:v>
      </x:c>
    </x:row>
    <x:row r="79" ht="90" customHeight="1">
      <x:c r="A79" s="11" t="b">
        <x:v>0</x:v>
      </x:c>
      <x:c r="B79" s="3"/>
      <x:c r="C79" s="11" t="b">
        <x:v>0</x:v>
      </x:c>
      <x:c r="D79" s="3" t="str">
        <x:v>Measure, label, or scale inconsistency</x:v>
      </x:c>
      <x:c r="E79" s="11" t="b">
        <x:v>0</x:v>
      </x:c>
      <x:c r="F79" s="3" t="str">
        <x:v>C006</x:v>
      </x:c>
      <x:c r="G79" s="3" t="str">
        <x:v>2018::jama.2018.17075::C006</x:v>
      </x:c>
      <x:c r="H79" s="3"/>
      <x:c r="I79" s="3" t="str">
        <x:v>joi180132supp2_prod.pdf — PDF p. 18, eTable 10, CT Marshall classification, non-evacuated mass lesion VI, normothermia.</x:v>
      </x:c>
      <x:c r="J79" s="11" t="b">
        <x:v>0</x:v>
      </x:c>
      <x:c r="K79" s="3" t="str">
        <x:v>jama.2018.17075</x:v>
      </x:c>
      <x:c r="L79" s="3"/>
      <x:c r="M79" s="3" t="str">
        <x:v>S_W</x:v>
      </x:c>
      <x:c r="N79" s="3" t="str">
        <x:v>An as-treated normothermia CT cell does not reconcile with its No. (%) header, printed denominator, or displayed category total. The focal mismatch is within one non-plan results supplement.</x:v>
      </x:c>
      <x:c r="O79" s="3" t="str">
        <x:v>../../2018/jama.2018.17075/.ai_paper_validation/final_report_1_5_2.html</x:v>
      </x:c>
      <x:c r="P79" s="3" t="str">
        <x:v>2018/jama.2018.17075/.ai_paper_validation/final_report_1_5_2.md</x:v>
      </x:c>
      <x:c r="Q79" s="3" t="str">
        <x:v>C006</x:v>
      </x:c>
      <x:c r="R79" s="3" t="str">
        <x:v>Pending Human Adjudication</x:v>
      </x:c>
      <x:c r="S79" s="3" t="str">
        <x:v>An as-treated normothermia CT cell does not reconcile with its No. (%) header, printed denominator, or displayed category total.</x:v>
      </x:c>
      <x:c r="T79" s="11" t="b">
        <x:v>1</x:v>
      </x:c>
      <x:c r="U79" s="3" t="str">
        <x:v>count_percentage_order</x:v>
      </x:c>
      <x:c r="V79" s="3" t="str">
        <x:v>report_internal_inconsistency</x:v>
      </x:c>
      <x:c r="W79" s="3" t="str">
        <x:v>As-treated non-evacuated-mass-lesion cell reverses count and percentage order</x:v>
      </x:c>
      <x:c r="X79" s="3" t="str">
        <x:v>2018</x:v>
      </x:c>
      <x:c r="Y79" s="3" t="str">
        <x:v>meta_report/consistency_reclassification_2026-09-04/reclassified_candidates.json</x:v>
      </x:c>
      <x:c r="Z79" s="3" t="str">
        <x:v>S_W</x:v>
      </x:c>
      <x:c r="AA79" s="3" t="str">
        <x:v>report_internal_inconsistency</x:v>
      </x:c>
      <x:c r="AB79" s="3" t="str">
        <x:v>retain</x:v>
      </x:c>
    </x:row>
    <x:row r="80" ht="90" customHeight="1">
      <x:c r="A80" s="12" t="b">
        <x:v>0</x:v>
      </x:c>
      <x:c r="B80" s="6"/>
      <x:c r="C80" s="12" t="b">
        <x:v>0</x:v>
      </x:c>
      <x:c r="D80" s="6" t="str">
        <x:v>Statistical reporting inconsistency</x:v>
      </x:c>
      <x:c r="E80" s="12" t="b">
        <x:v>0</x:v>
      </x:c>
      <x:c r="F80" s="6" t="str">
        <x:v>C007</x:v>
      </x:c>
      <x:c r="G80" s="6" t="str">
        <x:v>2018::jama.2018.17075::C007</x:v>
      </x:c>
      <x:c r="H80" s="6"/>
      <x:c r="I80" s="6" t="str">
        <x:v>joi180132supp2_prod.pdf — PDF p. 22, post-hoc adequate-cooling Results, final sentence.</x:v>
      </x:c>
      <x:c r="J80" s="12" t="b">
        <x:v>0</x:v>
      </x:c>
      <x:c r="K80" s="6" t="str">
        <x:v>jama.2018.17075</x:v>
      </x:c>
      <x:c r="L80" s="6"/>
      <x:c r="M80" s="6" t="str">
        <x:v>S_W</x:v>
      </x:c>
      <x:c r="N80" s="6" t="str">
        <x:v>The printed adjusted odds-ratio confidence-interval string does not provide two unambiguous endpoints. The focal mismatch is within one non-plan results supplement.</x:v>
      </x:c>
      <x:c r="O80" s="6" t="str">
        <x:v>../../2018/jama.2018.17075/.ai_paper_validation/final_report_1_5_2.html</x:v>
      </x:c>
      <x:c r="P80" s="6" t="str">
        <x:v>2018/jama.2018.17075/.ai_paper_validation/final_report_1_5_2.md</x:v>
      </x:c>
      <x:c r="Q80" s="6" t="str">
        <x:v>C007</x:v>
      </x:c>
      <x:c r="R80" s="6" t="str">
        <x:v>Pending Human Adjudication</x:v>
      </x:c>
      <x:c r="S80" s="6" t="str">
        <x:v>The printed adjusted odds-ratio confidence-interval string does not provide two unambiguous endpoints.</x:v>
      </x:c>
      <x:c r="T80" s="12" t="b">
        <x:v>1</x:v>
      </x:c>
      <x:c r="U80" s="6" t="str">
        <x:v>malformed_ci_string</x:v>
      </x:c>
      <x:c r="V80" s="6" t="str">
        <x:v>statistical_results</x:v>
      </x:c>
      <x:c r="W80" s="6" t="str">
        <x:v>Adjusted odds-ratio confidence-interval string is malformed</x:v>
      </x:c>
      <x:c r="X80" s="6" t="str">
        <x:v>2018</x:v>
      </x:c>
      <x:c r="Y80" s="6" t="str">
        <x:v>meta_report/consistency_reclassification_2026-09-04/reclassified_candidates.json</x:v>
      </x:c>
      <x:c r="Z80" s="6" t="str">
        <x:v>S_W</x:v>
      </x:c>
      <x:c r="AA80" s="6" t="str">
        <x:v>statistical_results</x:v>
      </x:c>
      <x:c r="AB80" s="6" t="str">
        <x:v>retain</x:v>
      </x:c>
    </x:row>
    <x:row r="81" ht="90" customHeight="1">
      <x:c r="A81" s="11" t="b">
        <x:v>0</x:v>
      </x:c>
      <x:c r="B81" s="3"/>
      <x:c r="C81" s="11" t="b">
        <x:v>0</x:v>
      </x:c>
      <x:c r="D81" s="3" t="str">
        <x:v>Denominator, proportion, or total inconsistency</x:v>
      </x:c>
      <x:c r="E81" s="11" t="b">
        <x:v>0</x:v>
      </x:c>
      <x:c r="F81" s="3" t="str">
        <x:v>C008</x:v>
      </x:c>
      <x:c r="G81" s="3" t="str">
        <x:v>2018::jama.2018.17075::C008</x:v>
      </x:c>
      <x:c r="H81" s="3"/>
      <x:c r="I81" s="3" t="str">
        <x:v>jama_cooper_2018_oi_180132.pdf — PDF p. 1, abstract Results; PDF p. 5, Table 1, Men and Women rows.</x:v>
      </x:c>
      <x:c r="J81" s="11" t="b">
        <x:v>0</x:v>
      </x:c>
      <x:c r="K81" s="3" t="str">
        <x:v>jama.2018.17075</x:v>
      </x:c>
      <x:c r="L81" s="3"/>
      <x:c r="M81" s="3" t="str">
        <x:v>S_W</x:v>
      </x:c>
      <x:c r="N81" s="3" t="str">
        <x:v>The abstract's male count conflicts with both its stated percentage and the Table 1 arm total. The focal mismatch is within the main article.</x:v>
      </x:c>
      <x:c r="O81" s="3" t="str">
        <x:v>../../2018/jama.2018.17075/.ai_paper_validation/final_report_1_5_2.html</x:v>
      </x:c>
      <x:c r="P81" s="3" t="str">
        <x:v>2018/jama.2018.17075/.ai_paper_validation/final_report_1_5_2.md</x:v>
      </x:c>
      <x:c r="Q81" s="3" t="str">
        <x:v>C008</x:v>
      </x:c>
      <x:c r="R81" s="3" t="str">
        <x:v>Pending Human Adjudication</x:v>
      </x:c>
      <x:c r="S81" s="3" t="str">
        <x:v>The abstract's male count conflicts with both its stated percentage and the Table 1 arm total.</x:v>
      </x:c>
      <x:c r="T81" s="11" t="b">
        <x:v>1</x:v>
      </x:c>
      <x:c r="U81" s="3" t="str">
        <x:v>sex_count_and_percentage</x:v>
      </x:c>
      <x:c r="V81" s="3" t="str">
        <x:v>statistical_results</x:v>
      </x:c>
      <x:c r="W81" s="3" t="str">
        <x:v>Abstract male count conflicts with its percentage and Table 1 total</x:v>
      </x:c>
      <x:c r="X81" s="3" t="str">
        <x:v>2018</x:v>
      </x:c>
      <x:c r="Y81" s="3" t="str">
        <x:v>meta_report/consistency_reclassification_2026-09-04/reclassified_candidates.json</x:v>
      </x:c>
      <x:c r="Z81" s="3" t="str">
        <x:v>S_W</x:v>
      </x:c>
      <x:c r="AA81" s="3" t="str">
        <x:v>statistical_results</x:v>
      </x:c>
      <x:c r="AB81" s="3" t="str">
        <x:v>retain</x:v>
      </x:c>
    </x:row>
    <x:row r="82" ht="90" customHeight="1">
      <x:c r="A82" s="12" t="b">
        <x:v>0</x:v>
      </x:c>
      <x:c r="B82" s="6"/>
      <x:c r="C82" s="12" t="b">
        <x:v>0</x:v>
      </x:c>
      <x:c r="D82" s="6" t="str">
        <x:v>Denominator, proportion, or total inconsistency</x:v>
      </x:c>
      <x:c r="E82" s="12" t="b">
        <x:v>0</x:v>
      </x:c>
      <x:c r="F82" s="6" t="str">
        <x:v>C001</x:v>
      </x:c>
      <x:c r="G82" s="6" t="str">
        <x:v>2018::jama.2018.18020::C001</x:v>
      </x:c>
      <x:c r="H82" s="6"/>
      <x:c r="I82" s="6" t="str">
        <x:v>jama_stunnenberg_2018_oi_180136.pdf — PDF p. 1, Abstract Results; jama_stunnenberg_2018_oi_180136.pdf — PDF p. 4, Baseline Data.</x:v>
      </x:c>
      <x:c r="J82" s="12" t="b">
        <x:v>0</x:v>
      </x:c>
      <x:c r="K82" s="6" t="str">
        <x:v>jama.2018.18020</x:v>
      </x:c>
      <x:c r="L82" s="6"/>
      <x:c r="M82" s="6" t="str">
        <x:v>S_W</x:v>
      </x:c>
      <x:c r="N82" s="6" t="str">
        <x:v>The abstract's 22% men is incompatible with its enrolled total and the later count of 22 men and 8 women. The focal mismatch is within the main article.</x:v>
      </x:c>
      <x:c r="O82" s="6" t="str">
        <x:v>../../2018/jama.2018.18020/.ai_paper_validation/final_report_1_5_2.html</x:v>
      </x:c>
      <x:c r="P82" s="6" t="str">
        <x:v>2018/jama.2018.18020/.ai_paper_validation/final_report_1_5_2.md</x:v>
      </x:c>
      <x:c r="Q82" s="6" t="str">
        <x:v>C001</x:v>
      </x:c>
      <x:c r="R82" s="6" t="str">
        <x:v>Pending Human Adjudication</x:v>
      </x:c>
      <x:c r="S82" s="6" t="str">
        <x:v>The abstract's 22% men is incompatible with its enrolled total and the later count of 22 men and 8 women.</x:v>
      </x:c>
      <x:c r="T82" s="12" t="b">
        <x:v>1</x:v>
      </x:c>
      <x:c r="U82" s="6" t="str">
        <x:v>sex_count_vs_percentage</x:v>
      </x:c>
      <x:c r="V82" s="6" t="str">
        <x:v>statistical_results</x:v>
      </x:c>
      <x:c r="W82" s="6" t="str">
        <x:v>Abstract sex percentage conflicts with the enrolled sex count</x:v>
      </x:c>
      <x:c r="X82" s="6" t="str">
        <x:v>2018</x:v>
      </x:c>
      <x:c r="Y82" s="6" t="str">
        <x:v>meta_report/consistency_reclassification_2026-09-04/reclassified_candidates.json</x:v>
      </x:c>
      <x:c r="Z82" s="6" t="str">
        <x:v>S_W</x:v>
      </x:c>
      <x:c r="AA82" s="6" t="str">
        <x:v>statistical_results</x:v>
      </x:c>
      <x:c r="AB82" s="6" t="str">
        <x:v>retain</x:v>
      </x:c>
    </x:row>
    <x:row r="83" ht="90" customHeight="1">
      <x:c r="A83" s="11" t="b">
        <x:v>0</x:v>
      </x:c>
      <x:c r="B83" s="3"/>
      <x:c r="C83" s="11" t="b">
        <x:v>0</x:v>
      </x:c>
      <x:c r="D83" s="3" t="str">
        <x:v>Measure, label, or scale inconsistency</x:v>
      </x:c>
      <x:c r="E83" s="11" t="b">
        <x:v>0</x:v>
      </x:c>
      <x:c r="F83" s="3" t="str">
        <x:v>C002</x:v>
      </x:c>
      <x:c r="G83" s="3" t="str">
        <x:v>2018::jama.2018.18020::C002</x:v>
      </x:c>
      <x:c r="H83" s="3"/>
      <x:c r="I83" s="3" t="str">
        <x:v>jama_stunnenberg_2018_oi_180136.pdf — PDF p. 5, Table 1 and footnote f; jama_stunnenberg_2018_oi_180136.pdf — PDF p. 8, Table 2 footnote g.</x:v>
      </x:c>
      <x:c r="J83" s="11" t="b">
        <x:v>0</x:v>
      </x:c>
      <x:c r="K83" s="3" t="str">
        <x:v>jama.2018.18020</x:v>
      </x:c>
      <x:c r="L83" s="3"/>
      <x:c r="M83" s="3" t="str">
        <x:v>S_W</x:v>
      </x:c>
      <x:c r="N83" s="3" t="str">
        <x:v>Table 1 reports INQoL upper IQR endpoints above the table's stated maximum of 100. The focal mismatch is within the main article.</x:v>
      </x:c>
      <x:c r="O83" s="3" t="str">
        <x:v>../../2018/jama.2018.18020/.ai_paper_validation/final_report_1_5_2.html</x:v>
      </x:c>
      <x:c r="P83" s="3" t="str">
        <x:v>2018/jama.2018.18020/.ai_paper_validation/final_report_1_5_2.md</x:v>
      </x:c>
      <x:c r="Q83" s="3" t="str">
        <x:v>C002</x:v>
      </x:c>
      <x:c r="R83" s="3" t="str">
        <x:v>Pending Human Adjudication</x:v>
      </x:c>
      <x:c r="S83" s="3" t="str">
        <x:v>Table 1 reports INQoL upper IQR endpoints above the table's stated maximum of 100.</x:v>
      </x:c>
      <x:c r="T83" s="11" t="b">
        <x:v>1</x:v>
      </x:c>
      <x:c r="U83" s="3" t="str">
        <x:v>score_scale_bound</x:v>
      </x:c>
      <x:c r="V83" s="3" t="str">
        <x:v>report_internal_inconsistency</x:v>
      </x:c>
      <x:c r="W83" s="3" t="str">
        <x:v>INQoL IQR endpoints exceed the stated 0-to-100 scale</x:v>
      </x:c>
      <x:c r="X83" s="3" t="str">
        <x:v>2018</x:v>
      </x:c>
      <x:c r="Y83" s="3" t="str">
        <x:v>meta_report/consistency_reclassification_2026-09-04/reclassified_candidates.json</x:v>
      </x:c>
      <x:c r="Z83" s="3" t="str">
        <x:v>S_W</x:v>
      </x:c>
      <x:c r="AA83" s="3" t="str">
        <x:v>report_internal_inconsistency</x:v>
      </x:c>
      <x:c r="AB83" s="3" t="str">
        <x:v>retain</x:v>
      </x:c>
    </x:row>
    <x:row r="84" ht="90" customHeight="1">
      <x:c r="A84" s="12" t="b">
        <x:v>0</x:v>
      </x:c>
      <x:c r="B84" s="6"/>
      <x:c r="C84" s="12" t="b">
        <x:v>0</x:v>
      </x:c>
      <x:c r="D84" s="6" t="str">
        <x:v>Measure, label, or scale inconsistency</x:v>
      </x:c>
      <x:c r="E84" s="12" t="b">
        <x:v>0</x:v>
      </x:c>
      <x:c r="F84" s="6" t="str">
        <x:v>C003</x:v>
      </x:c>
      <x:c r="G84" s="6" t="str">
        <x:v>2018::jama.2018.18020::C003</x:v>
      </x:c>
      <x:c r="H84" s="6"/>
      <x:c r="I84" s="6" t="str">
        <x:v>jama_stunnenberg_2018_oi_180136.pdf — PDF p. 7, Table 2 header and change-score rows; jama_stunnenberg_2018_oi_180136.pdf — PDF p. 8, Table 2 footnotes.</x:v>
      </x:c>
      <x:c r="J84" s="12" t="b">
        <x:v>0</x:v>
      </x:c>
      <x:c r="K84" s="6" t="str">
        <x:v>jama.2018.18020</x:v>
      </x:c>
      <x:c r="L84" s="6"/>
      <x:c r="M84" s="6" t="str">
        <x:v>S_W</x:v>
      </x:c>
      <x:c r="N84" s="6" t="str">
        <x:v>The Table 2 header states placebo minus mexiletine, whereas repeated displayed change rows follow mexiletine minus placebo. The focal mismatch is within the main article.</x:v>
      </x:c>
      <x:c r="O84" s="6" t="str">
        <x:v>../../2018/jama.2018.18020/.ai_paper_validation/final_report_1_5_2.html</x:v>
      </x:c>
      <x:c r="P84" s="6" t="str">
        <x:v>2018/jama.2018.18020/.ai_paper_validation/final_report_1_5_2.md</x:v>
      </x:c>
      <x:c r="Q84" s="6" t="str">
        <x:v>C003</x:v>
      </x:c>
      <x:c r="R84" s="6" t="str">
        <x:v>Pending Human Adjudication</x:v>
      </x:c>
      <x:c r="S84" s="6" t="str">
        <x:v>The Table 2 header states placebo minus mexiletine, whereas repeated displayed change rows follow mexiletine minus placebo.</x:v>
      </x:c>
      <x:c r="T84" s="12" t="b">
        <x:v>1</x:v>
      </x:c>
      <x:c r="U84" s="6" t="str">
        <x:v>contrast_direction</x:v>
      </x:c>
      <x:c r="V84" s="6" t="str">
        <x:v>report_internal_inconsistency</x:v>
      </x:c>
      <x:c r="W84" s="6" t="str">
        <x:v>Table 2 secondary-outcome contrast header is opposite to the displayed effect signs</x:v>
      </x:c>
      <x:c r="X84" s="6" t="str">
        <x:v>2018</x:v>
      </x:c>
      <x:c r="Y84" s="6" t="str">
        <x:v>meta_report/consistency_reclassification_2026-09-04/reclassified_candidates.json</x:v>
      </x:c>
      <x:c r="Z84" s="6" t="str">
        <x:v>S_W</x:v>
      </x:c>
      <x:c r="AA84" s="6" t="str">
        <x:v>report_internal_inconsistency</x:v>
      </x:c>
      <x:c r="AB84" s="6" t="str">
        <x:v>retain</x:v>
      </x:c>
    </x:row>
    <x:row r="85" ht="90" customHeight="1">
      <x:c r="A85" s="11" t="b">
        <x:v>0</x:v>
      </x:c>
      <x:c r="B85" s="3" t="str">
        <x:v>Conditional denominator: 31 treatment-set exposures, mentioned in the main article, could produce 6%; the table supplies neither analysis unit nor denominator.</x:v>
      </x:c>
      <x:c r="C85" s="11" t="b">
        <x:v>0</x:v>
      </x:c>
      <x:c r="D85" s="3" t="str">
        <x:v>Denominator, proportion, or total inconsistency</x:v>
      </x:c>
      <x:c r="E85" s="11" t="b">
        <x:v>0</x:v>
      </x:c>
      <x:c r="F85" s="3" t="str">
        <x:v>C004</x:v>
      </x:c>
      <x:c r="G85" s="3" t="str">
        <x:v>2018::jama.2018.18020::C004</x:v>
      </x:c>
      <x:c r="H85" s="3"/>
      <x:c r="I85" s="3" t="str">
        <x:v>joi180136supp2_prod.pdf — PDF p. 6, eTable 4; jama_stunnenberg_2018_oi_180136.pdf — PDF p. 8, Adverse Events.</x:v>
      </x:c>
      <x:c r="J85" s="11" t="b">
        <x:v>0</x:v>
      </x:c>
      <x:c r="K85" s="3" t="str">
        <x:v>jama.2018.18020</x:v>
      </x:c>
      <x:c r="L85" s="3"/>
      <x:c r="M85" s="3" t="str">
        <x:v>S_W</x:v>
      </x:c>
      <x:c r="N85" s="3" t="str">
        <x:v>Results-supplement eTable 4 prints placebo Any 2 (6%) against neighboring count-2 values of 7% and other pairs implying 30 participants. The main 21/30 statement supports that apparent denominator; the focal discrepancy is an internal eTable denominator/display issue, not a conflicting matched main result.</x:v>
      </x:c>
      <x:c r="O85" s="3" t="str">
        <x:v>../../2018/jama.2018.18020/.ai_paper_validation/final_report_1_5_2.html</x:v>
      </x:c>
      <x:c r="P85" s="3" t="str">
        <x:v>2018/jama.2018.18020/.ai_paper_validation/final_report_1_5_2.md</x:v>
      </x:c>
      <x:c r="Q85" s="3" t="str">
        <x:v>C004</x:v>
      </x:c>
      <x:c r="R85" s="3" t="str">
        <x:v>Pending Human Adjudication</x:v>
      </x:c>
      <x:c r="S85" s="3" t="str">
        <x:v>eTable 4's placebo Any 2 (6%) is not compatible with the apparent 30-patient denominator and neighboring nearest-whole-percent displays.</x:v>
      </x:c>
      <x:c r="T85" s="11" t="b">
        <x:v>1</x:v>
      </x:c>
      <x:c r="U85" s="3" t="str">
        <x:v>adverse_event_denominator</x:v>
      </x:c>
      <x:c r="V85" s="3" t="str">
        <x:v>statistical_results</x:v>
      </x:c>
      <x:c r="W85" s="3" t="str">
        <x:v>Placebo “Any” adverse-reaction percentage does not reconcile with the apparent denominator</x:v>
      </x:c>
      <x:c r="X85" s="3" t="str">
        <x:v>2018</x:v>
      </x:c>
      <x:c r="Y85" s="3" t="str">
        <x:v>meta_report/consistency_reclassification_2026-09-04/reclassified_candidates.json</x:v>
      </x:c>
      <x:c r="Z85" s="3" t="str">
        <x:v>S_W</x:v>
      </x:c>
      <x:c r="AA85" s="3" t="str">
        <x:v>statistical_results</x:v>
      </x:c>
      <x:c r="AB85" s="3" t="str">
        <x:v>retain</x:v>
      </x:c>
    </x:row>
    <x:row r="86" ht="90" customHeight="1">
      <x:c r="A86" s="12" t="b">
        <x:v>0</x:v>
      </x:c>
      <x:c r="B86" s="6"/>
      <x:c r="C86" s="12" t="b">
        <x:v>0</x:v>
      </x:c>
      <x:c r="D86" s="6" t="str">
        <x:v>Measure, label, or scale inconsistency</x:v>
      </x:c>
      <x:c r="E86" s="12" t="b">
        <x:v>0</x:v>
      </x:c>
      <x:c r="F86" s="6" t="str">
        <x:v>C005</x:v>
      </x:c>
      <x:c r="G86" s="6" t="str">
        <x:v>2018::jama.2018.18020::C005</x:v>
      </x:c>
      <x:c r="H86" s="6"/>
      <x:c r="I86" s="6" t="str">
        <x:v>joi180136supp2_prod.pdf — PDF p. 11, eMethods 2 code/dictionary; joi180136supp2_prod.pdf — PDF p. 13, eMethods 3 code; joi180136supp2_prod.pdf — PDF p. 14, eMethods 3 dictionary.</x:v>
      </x:c>
      <x:c r="J86" s="12" t="b">
        <x:v>0</x:v>
      </x:c>
      <x:c r="K86" s="6" t="str">
        <x:v>jama.2018.18020</x:v>
      </x:c>
      <x:c r="L86" s="6"/>
      <x:c r="M86" s="6" t="str">
        <x:v>S_W</x:v>
      </x:c>
      <x:c r="N86" s="6" t="str">
        <x:v>The displayed Bayesian-code mappings and adjacent prose assign opposite treatment meanings to mu_mex[i] and mu_plac[i]. The focal mismatch is within one non-plan results supplement.</x:v>
      </x:c>
      <x:c r="O86" s="6" t="str">
        <x:v>../../2018/jama.2018.18020/.ai_paper_validation/final_report_1_5_2.html</x:v>
      </x:c>
      <x:c r="P86" s="6" t="str">
        <x:v>2018/jama.2018.18020/.ai_paper_validation/final_report_1_5_2.md</x:v>
      </x:c>
      <x:c r="Q86" s="6" t="str">
        <x:v>C005</x:v>
      </x:c>
      <x:c r="R86" s="6" t="str">
        <x:v>Pending Human Adjudication</x:v>
      </x:c>
      <x:c r="S86" s="6" t="str">
        <x:v>The displayed Bayesian-code mappings and adjacent prose assign opposite treatment meanings to mu_mex[i] and mu_plac[i].</x:v>
      </x:c>
      <x:c r="T86" s="12" t="b">
        <x:v>1</x:v>
      </x:c>
      <x:c r="U86" s="6" t="str">
        <x:v>parameter_treatment_label</x:v>
      </x:c>
      <x:c r="V86" s="6" t="str">
        <x:v>report_internal_inconsistency</x:v>
      </x:c>
      <x:c r="W86" s="6" t="str">
        <x:v>Bayesian parameter prose swaps mu_mex[i] and mu_plac[i] treatment labels</x:v>
      </x:c>
      <x:c r="X86" s="6" t="str">
        <x:v>2018</x:v>
      </x:c>
      <x:c r="Y86" s="6" t="str">
        <x:v>meta_report/consistency_reclassification_2026-09-04/reclassified_candidates.json</x:v>
      </x:c>
      <x:c r="Z86" s="6" t="str">
        <x:v>S_W</x:v>
      </x:c>
      <x:c r="AA86" s="6" t="str">
        <x:v>report_internal_inconsistency</x:v>
      </x:c>
      <x:c r="AB86" s="6" t="str">
        <x:v>retain</x:v>
      </x:c>
    </x:row>
    <x:row r="87" ht="90" customHeight="1">
      <x:c r="A87" s="11" t="b">
        <x:v>0</x:v>
      </x:c>
      <x:c r="B87" s="3"/>
      <x:c r="C87" s="11" t="b">
        <x:v>0</x:v>
      </x:c>
      <x:c r="D87" s="3" t="str">
        <x:v>Measure, label, or scale inconsistency</x:v>
      </x:c>
      <x:c r="E87" s="11" t="b">
        <x:v>0</x:v>
      </x:c>
      <x:c r="F87" s="3" t="str">
        <x:v>C006</x:v>
      </x:c>
      <x:c r="G87" s="3" t="str">
        <x:v>2018::jama.2018.18020::C006</x:v>
      </x:c>
      <x:c r="H87" s="3"/>
      <x:c r="I87" s="3" t="str">
        <x:v>joi180136supp2_prod.pdf — PDF p. 13, eMethods 3 code; joi180136supp2_prod.pdf — PDF p. 14, parameter dictionary.</x:v>
      </x:c>
      <x:c r="J87" s="11" t="b">
        <x:v>0</x:v>
      </x:c>
      <x:c r="K87" s="3" t="str">
        <x:v>jama.2018.18020</x:v>
      </x:c>
      <x:c r="L87" s="3"/>
      <x:c r="M87" s="3" t="str">
        <x:v>S_W</x:v>
      </x:c>
      <x:c r="N87" s="3" t="str">
        <x:v>The dictionary describes diff_CLCN1 as SCN4A although its displayed code components are CLCN1. The focal mismatch is within one non-plan results supplement.</x:v>
      </x:c>
      <x:c r="O87" s="3" t="str">
        <x:v>../../2018/jama.2018.18020/.ai_paper_validation/final_report_1_5_2.html</x:v>
      </x:c>
      <x:c r="P87" s="3" t="str">
        <x:v>2018/jama.2018.18020/.ai_paper_validation/final_report_1_5_2.md</x:v>
      </x:c>
      <x:c r="Q87" s="3" t="str">
        <x:v>C006</x:v>
      </x:c>
      <x:c r="R87" s="3" t="str">
        <x:v>Pending Human Adjudication</x:v>
      </x:c>
      <x:c r="S87" s="3" t="str">
        <x:v>The dictionary describes diff_CLCN1 as SCN4A although its displayed code components are CLCN1.</x:v>
      </x:c>
      <x:c r="T87" s="11" t="b">
        <x:v>1</x:v>
      </x:c>
      <x:c r="U87" s="3" t="str">
        <x:v>parameter_genotype_label</x:v>
      </x:c>
      <x:c r="V87" s="3" t="str">
        <x:v>report_internal_inconsistency</x:v>
      </x:c>
      <x:c r="W87" s="3" t="str">
        <x:v>diff_CLCN1 is described as an SCN4A contrast</x:v>
      </x:c>
      <x:c r="X87" s="3" t="str">
        <x:v>2018</x:v>
      </x:c>
      <x:c r="Y87" s="3" t="str">
        <x:v>meta_report/consistency_reclassification_2026-09-04/reclassified_candidates.json</x:v>
      </x:c>
      <x:c r="Z87" s="3" t="str">
        <x:v>S_W</x:v>
      </x:c>
      <x:c r="AA87" s="3" t="str">
        <x:v>report_internal_inconsistency</x:v>
      </x:c>
      <x:c r="AB87" s="3" t="str">
        <x:v>retain</x:v>
      </x:c>
    </x:row>
    <x:row r="88" ht="90" customHeight="1">
      <x:c r="A88" s="12" t="b">
        <x:v>0</x:v>
      </x:c>
      <x:c r="B88" s="6"/>
      <x:c r="C88" s="12" t="b">
        <x:v>0</x:v>
      </x:c>
      <x:c r="D88" s="6" t="str">
        <x:v>Measure, label, or scale inconsistency</x:v>
      </x:c>
      <x:c r="E88" s="12" t="b">
        <x:v>0</x:v>
      </x:c>
      <x:c r="F88" s="6" t="str">
        <x:v>C007</x:v>
      </x:c>
      <x:c r="G88" s="6" t="str">
        <x:v>2018::jama.2018.18020::C007</x:v>
      </x:c>
      <x:c r="H88" s="6"/>
      <x:c r="I88" s="6" t="str">
        <x:v>joi180136supp2_prod.pdf — PDF p. 11, eMethods 2 code; joi180136supp2_prod.pdf — PDF p. 12, eMethods 2 dictionary; joi180136supp2_prod.pdf — PDF p. 13, eMethods 3 code; joi180136supp2_prod.pdf — PDF p. 14, eMethods 3 dictionary.</x:v>
      </x:c>
      <x:c r="J88" s="12" t="b">
        <x:v>0</x:v>
      </x:c>
      <x:c r="K88" s="6" t="str">
        <x:v>jama.2018.18020</x:v>
      </x:c>
      <x:c r="L88" s="6"/>
      <x:c r="M88" s="6" t="str">
        <x:v>S_W</x:v>
      </x:c>
      <x:c r="N88" s="6" t="str">
        <x:v>Both parameter dictionaries describe sigma.mex as placebo variability despite the displayed mexiletine model branch. The focal mismatch is within one non-plan results supplement.</x:v>
      </x:c>
      <x:c r="O88" s="6" t="str">
        <x:v>../../2018/jama.2018.18020/.ai_paper_validation/final_report_1_5_2.html</x:v>
      </x:c>
      <x:c r="P88" s="6" t="str">
        <x:v>2018/jama.2018.18020/.ai_paper_validation/final_report_1_5_2.md</x:v>
      </x:c>
      <x:c r="Q88" s="6" t="str">
        <x:v>C007</x:v>
      </x:c>
      <x:c r="R88" s="6" t="str">
        <x:v>Pending Human Adjudication</x:v>
      </x:c>
      <x:c r="S88" s="6" t="str">
        <x:v>Both parameter dictionaries describe sigma.mex as placebo variability despite the displayed mexiletine model branch.</x:v>
      </x:c>
      <x:c r="T88" s="12" t="b">
        <x:v>1</x:v>
      </x:c>
      <x:c r="U88" s="6" t="str">
        <x:v>variance_treatment_label</x:v>
      </x:c>
      <x:c r="V88" s="6" t="str">
        <x:v>report_internal_inconsistency</x:v>
      </x:c>
      <x:c r="W88" s="6" t="str">
        <x:v>sigma.mex is described as placebo-period variability</x:v>
      </x:c>
      <x:c r="X88" s="6" t="str">
        <x:v>2018</x:v>
      </x:c>
      <x:c r="Y88" s="6" t="str">
        <x:v>meta_report/consistency_reclassification_2026-09-04/reclassified_candidates.json</x:v>
      </x:c>
      <x:c r="Z88" s="6" t="str">
        <x:v>S_W</x:v>
      </x:c>
      <x:c r="AA88" s="6" t="str">
        <x:v>report_internal_inconsistency</x:v>
      </x:c>
      <x:c r="AB88" s="6" t="str">
        <x:v>retain</x:v>
      </x:c>
    </x:row>
    <x:row r="89" ht="90" customHeight="1">
      <x:c r="A89" s="11" t="b">
        <x:v>0</x:v>
      </x:c>
      <x:c r="B89" s="3" t="str">
        <x:v>Boundary decision: S_W only; the supplementary gene definition is corroborating context rather than a separate mismatched reported result.</x:v>
      </x:c>
      <x:c r="C89" s="11" t="b">
        <x:v>0</x:v>
      </x:c>
      <x:c r="D89" s="3" t="str">
        <x:v>Measure, label, or scale inconsistency</x:v>
      </x:c>
      <x:c r="E89" s="11" t="b">
        <x:v>0</x:v>
      </x:c>
      <x:c r="F89" s="3" t="str">
        <x:v>C008</x:v>
      </x:c>
      <x:c r="G89" s="3" t="str">
        <x:v>2018::jama.2018.18020::C008</x:v>
      </x:c>
      <x:c r="H89" s="3"/>
      <x:c r="I89" s="3" t="str">
        <x:v>jama_stunnenberg_2018_oi_180136.pdf — PDF p. 4, Primary Outcome; jama_stunnenberg_2018_oi_180136.pdf — PDF p. 5, Table 1/Figure 2; jama_stunnenberg_2018_oi_180136.pdf — PDF p. 6, Figure 3; joi180136supp2_prod.pdf — PDF p. 4, eTable 2 footnote.</x:v>
      </x:c>
      <x:c r="J89" s="11" t="b">
        <x:v>0</x:v>
      </x:c>
      <x:c r="K89" s="3" t="str">
        <x:v>jama.2018.18020</x:v>
      </x:c>
      <x:c r="L89" s="3"/>
      <x:c r="M89" s="3" t="str">
        <x:v>S_W</x:v>
      </x:c>
      <x:c r="N89" s="3" t="str">
        <x:v>The main narrative attaches CLNC1 to the n=16 subgroup, while the same page gene definition and main figures use CLCN1. The results-supplement footnote corroborates the gene name, so the focal typo is within the main article.</x:v>
      </x:c>
      <x:c r="O89" s="3" t="str">
        <x:v>../../2018/jama.2018.18020/.ai_paper_validation/final_report_1_5_2.html</x:v>
      </x:c>
      <x:c r="P89" s="3" t="str">
        <x:v>2018/jama.2018.18020/.ai_paper_validation/final_report_1_5_2.md</x:v>
      </x:c>
      <x:c r="Q89" s="3" t="str">
        <x:v>C008</x:v>
      </x:c>
      <x:c r="R89" s="3" t="str">
        <x:v>Pending Human Adjudication</x:v>
      </x:c>
      <x:c r="S89" s="3" t="str">
        <x:v>A main-text subgroup result is labeled CLNC1 while matched displays and the supplement identify CLCN1.</x:v>
      </x:c>
      <x:c r="T89" s="11" t="b">
        <x:v>1</x:v>
      </x:c>
      <x:c r="U89" s="3" t="str">
        <x:v>genotype_symbol_typo</x:v>
      </x:c>
      <x:c r="V89" s="3" t="str">
        <x:v>report_internal_inconsistency</x:v>
      </x:c>
      <x:c r="W89" s="3" t="str">
        <x:v>Main text prints CLNC1 for the matched CLCN1 genotype subgroup</x:v>
      </x:c>
      <x:c r="X89" s="3" t="str">
        <x:v>2018</x:v>
      </x:c>
      <x:c r="Y89" s="3" t="str">
        <x:v>meta_report/consistency_reclassification_2026-09-04/reclassified_candidates.json</x:v>
      </x:c>
      <x:c r="Z89" s="3" t="str">
        <x:v>S_W</x:v>
      </x:c>
      <x:c r="AA89" s="3" t="str">
        <x:v>report_internal_inconsistency</x:v>
      </x:c>
      <x:c r="AB89" s="3" t="str">
        <x:v>retain</x:v>
      </x:c>
    </x:row>
    <x:row r="90" ht="90" customHeight="1">
      <x:c r="A90" s="12" t="b">
        <x:v>0</x:v>
      </x:c>
      <x:c r="B90" s="6"/>
      <x:c r="C90" s="12" t="b">
        <x:v>0</x:v>
      </x:c>
      <x:c r="D90" s="6" t="str">
        <x:v>Statistical reporting inconsistency</x:v>
      </x:c>
      <x:c r="E90" s="12" t="b">
        <x:v>0</x:v>
      </x:c>
      <x:c r="F90" s="6" t="str">
        <x:v>C009</x:v>
      </x:c>
      <x:c r="G90" s="6" t="str">
        <x:v>2018::jama.2018.18020::C009</x:v>
      </x:c>
      <x:c r="H90" s="6"/>
      <x:c r="I90" s="6" t="str">
        <x:v>jama_stunnenberg_2018_oi_180136.pdf — PDF p. 7, Table 2; jama_stunnenberg_2018_oi_180136.pdf — PDF p. 3, dependent-t method; jama_stunnenberg_2018_oi_180136.pdf — PDF p. 4, two-sided P-value convention.</x:v>
      </x:c>
      <x:c r="J90" s="12" t="b">
        <x:v>0</x:v>
      </x:c>
      <x:c r="K90" s="6" t="str">
        <x:v>jama.2018.18020</x:v>
      </x:c>
      <x:c r="L90" s="6"/>
      <x:c r="M90" s="6" t="str">
        <x:v>S_W</x:v>
      </x:c>
      <x:c r="N90" s="6" t="str">
        <x:v>The SF-36 mental-component effect, CI, P value, and printed dependent-t context do not reconcile under the table-level N=27 assumption. The focal mismatch is within the main article.</x:v>
      </x:c>
      <x:c r="O90" s="6" t="str">
        <x:v>../../2018/jama.2018.18020/.ai_paper_validation/final_report_1_5_2.html</x:v>
      </x:c>
      <x:c r="P90" s="6" t="str">
        <x:v>2018/jama.2018.18020/.ai_paper_validation/final_report_1_5_2.md</x:v>
      </x:c>
      <x:c r="Q90" s="6" t="str">
        <x:v>C009</x:v>
      </x:c>
      <x:c r="R90" s="6" t="str">
        <x:v>Pending Human Adjudication</x:v>
      </x:c>
      <x:c r="S90" s="6" t="str">
        <x:v>The SF-36 mental-component effect, CI, P value, and printed dependent-t context do not reconcile under the table-level N=27 assumption.</x:v>
      </x:c>
      <x:c r="T90" s="12" t="b">
        <x:v>1</x:v>
      </x:c>
      <x:c r="U90" s="6" t="str">
        <x:v>ci_p_compatibility</x:v>
      </x:c>
      <x:c r="V90" s="6" t="str">
        <x:v>statistical_results</x:v>
      </x:c>
      <x:c r="W90" s="6" t="str">
        <x:v>SF-36 mental-component P value conflicts with the dependent-t 95% CI</x:v>
      </x:c>
      <x:c r="X90" s="6" t="str">
        <x:v>2018</x:v>
      </x:c>
      <x:c r="Y90" s="6" t="str">
        <x:v>meta_report/consistency_reclassification_2026-09-04/reclassified_candidates.json</x:v>
      </x:c>
      <x:c r="Z90" s="6" t="str">
        <x:v>S_W</x:v>
      </x:c>
      <x:c r="AA90" s="6" t="str">
        <x:v>statistical_results</x:v>
      </x:c>
      <x:c r="AB90" s="6" t="str">
        <x:v>retain</x:v>
      </x:c>
    </x:row>
    <x:row r="91" ht="90" customHeight="1">
      <x:c r="A91" s="11" t="b">
        <x:v>0</x:v>
      </x:c>
      <x:c r="B91" s="3"/>
      <x:c r="C91" s="11" t="b">
        <x:v>0</x:v>
      </x:c>
      <x:c r="D91" s="3" t="str">
        <x:v>Statistical reporting inconsistency</x:v>
      </x:c>
      <x:c r="E91" s="11" t="b">
        <x:v>0</x:v>
      </x:c>
      <x:c r="F91" s="3" t="str">
        <x:v>C010</x:v>
      </x:c>
      <x:c r="G91" s="3" t="str">
        <x:v>2018::jama.2018.18020::C010</x:v>
      </x:c>
      <x:c r="H91" s="3"/>
      <x:c r="I91" s="3" t="str">
        <x:v>jama_stunnenberg_2018_oi_180136.pdf — PDF p. 7, Table 2 row; jama_stunnenberg_2018_oi_180136.pdf — PDF p. 8, Table 2 footnotes; jama_stunnenberg_2018_oi_180136.pdf — PDF p. 3, method; jama_stunnenberg_2018_oi_180136.pdf — PDF p. 4, sidedness.</x:v>
      </x:c>
      <x:c r="J91" s="11" t="b">
        <x:v>0</x:v>
      </x:c>
      <x:c r="K91" s="3" t="str">
        <x:v>jama.2018.18020</x:v>
      </x:c>
      <x:c r="L91" s="3"/>
      <x:c r="M91" s="3" t="str">
        <x:v>S_W</x:v>
      </x:c>
      <x:c r="N91" s="3" t="str">
        <x:v>The SCN4A fifth handgrip effect, zero-crossing CI, and P=.009 do not reconcile under the printed subgroup dependent-t context. The focal mismatch is within the main article.</x:v>
      </x:c>
      <x:c r="O91" s="3" t="str">
        <x:v>../../2018/jama.2018.18020/.ai_paper_validation/final_report_1_5_2.html</x:v>
      </x:c>
      <x:c r="P91" s="3" t="str">
        <x:v>2018/jama.2018.18020/.ai_paper_validation/final_report_1_5_2.md</x:v>
      </x:c>
      <x:c r="Q91" s="3" t="str">
        <x:v>C010</x:v>
      </x:c>
      <x:c r="R91" s="3" t="str">
        <x:v>Pending Human Adjudication</x:v>
      </x:c>
      <x:c r="S91" s="3" t="str">
        <x:v>The SCN4A fifth handgrip effect, zero-crossing CI, and P=.009 do not reconcile under the printed subgroup dependent-t context.</x:v>
      </x:c>
      <x:c r="T91" s="11" t="b">
        <x:v>1</x:v>
      </x:c>
      <x:c r="U91" s="3" t="str">
        <x:v>ci_p_compatibility</x:v>
      </x:c>
      <x:c r="V91" s="3" t="str">
        <x:v>statistical_results</x:v>
      </x:c>
      <x:c r="W91" s="3" t="str">
        <x:v>SCN4A fifth handgrip-action-myotonia P value conflicts with its 95% CI</x:v>
      </x:c>
      <x:c r="X91" s="3" t="str">
        <x:v>2018</x:v>
      </x:c>
      <x:c r="Y91" s="3" t="str">
        <x:v>meta_report/consistency_reclassification_2026-09-04/reclassified_candidates.json</x:v>
      </x:c>
      <x:c r="Z91" s="3" t="str">
        <x:v>S_W</x:v>
      </x:c>
      <x:c r="AA91" s="3" t="str">
        <x:v>statistical_results</x:v>
      </x:c>
      <x:c r="AB91" s="3" t="str">
        <x:v>retain</x:v>
      </x:c>
    </x:row>
    <x:row r="92" ht="90" customHeight="1">
      <x:c r="A92" s="12" t="b">
        <x:v>0</x:v>
      </x:c>
      <x:c r="B92" s="6"/>
      <x:c r="C92" s="12" t="b">
        <x:v>0</x:v>
      </x:c>
      <x:c r="D92" s="6" t="str">
        <x:v>Statistical reporting inconsistency</x:v>
      </x:c>
      <x:c r="E92" s="12" t="b">
        <x:v>0</x:v>
      </x:c>
      <x:c r="F92" s="6" t="str">
        <x:v>C011</x:v>
      </x:c>
      <x:c r="G92" s="6" t="str">
        <x:v>2018::jama.2018.18020::C011</x:v>
      </x:c>
      <x:c r="H92" s="6"/>
      <x:c r="I92" s="6" t="str">
        <x:v>jama_stunnenberg_2018_oi_180136.pdf — PDF p. 7, Table 2 row; jama_stunnenberg_2018_oi_180136.pdf — PDF p. 6, narrative repetition; jama_stunnenberg_2018_oi_180136.pdf — PDF p. 8, footnotes; jama_stunnenberg_2018_oi_180136.pdf — PDF p. 3, method; jama_stunnenberg_2018_oi_180136.pdf — PDF p. 4, sidedness.</x:v>
      </x:c>
      <x:c r="J92" s="12" t="b">
        <x:v>0</x:v>
      </x:c>
      <x:c r="K92" s="6" t="str">
        <x:v>jama.2018.18020</x:v>
      </x:c>
      <x:c r="L92" s="6"/>
      <x:c r="M92" s="6" t="str">
        <x:v>S_W</x:v>
      </x:c>
      <x:c r="N92" s="6" t="str">
        <x:v>The SCN4A fifth transient-paresis estimate, interval, and P value are mutually incompatible under the printed dependent-t context. The focal mismatch is within the main article.</x:v>
      </x:c>
      <x:c r="O92" s="6" t="str">
        <x:v>../../2018/jama.2018.18020/.ai_paper_validation/final_report_1_5_2.html</x:v>
      </x:c>
      <x:c r="P92" s="6" t="str">
        <x:v>2018/jama.2018.18020/.ai_paper_validation/final_report_1_5_2.md</x:v>
      </x:c>
      <x:c r="Q92" s="6" t="str">
        <x:v>C011</x:v>
      </x:c>
      <x:c r="R92" s="6" t="str">
        <x:v>Pending Human Adjudication</x:v>
      </x:c>
      <x:c r="S92" s="6" t="str">
        <x:v>The SCN4A fifth transient-paresis estimate, interval, and P value are mutually incompatible under the printed dependent-t context.</x:v>
      </x:c>
      <x:c r="T92" s="12" t="b">
        <x:v>1</x:v>
      </x:c>
      <x:c r="U92" s="6" t="str">
        <x:v>estimate_ci_p_compatibility</x:v>
      </x:c>
      <x:c r="V92" s="6" t="str">
        <x:v>statistical_results</x:v>
      </x:c>
      <x:c r="W92" s="6" t="str">
        <x:v>SCN4A fifth transient-paresis estimate, interval, and P value do not form a compatible dependent-t result</x:v>
      </x:c>
      <x:c r="X92" s="6" t="str">
        <x:v>2018</x:v>
      </x:c>
      <x:c r="Y92" s="6" t="str">
        <x:v>meta_report/consistency_reclassification_2026-09-04/reclassified_candidates.json</x:v>
      </x:c>
      <x:c r="Z92" s="6" t="str">
        <x:v>S_W</x:v>
      </x:c>
      <x:c r="AA92" s="6" t="str">
        <x:v>statistical_results</x:v>
      </x:c>
      <x:c r="AB92" s="6" t="str">
        <x:v>retain</x:v>
      </x:c>
    </x:row>
    <x:row r="93" ht="90" customHeight="1">
      <x:c r="A93" s="11" t="b">
        <x:v>0</x:v>
      </x:c>
      <x:c r="B93" s="3"/>
      <x:c r="C93" s="11" t="b">
        <x:v>0</x:v>
      </x:c>
      <x:c r="D93" s="3" t="str">
        <x:v>Statistical reporting inconsistency</x:v>
      </x:c>
      <x:c r="E93" s="11" t="b">
        <x:v>0</x:v>
      </x:c>
      <x:c r="F93" s="3" t="str">
        <x:v>C012</x:v>
      </x:c>
      <x:c r="G93" s="3" t="str">
        <x:v>2018::jama.2018.18020::C012</x:v>
      </x:c>
      <x:c r="H93" s="3"/>
      <x:c r="I93" s="3" t="str">
        <x:v>jama_stunnenberg_2018_oi_180136.pdf — PDF p. 8, Table 2 continuation and footnotes; jama_stunnenberg_2018_oi_180136.pdf — PDF p. 3, dependent-t method; jama_stunnenberg_2018_oi_180136.pdf — PDF p. 4, two-sided convention.</x:v>
      </x:c>
      <x:c r="J93" s="11" t="b">
        <x:v>0</x:v>
      </x:c>
      <x:c r="K93" s="3" t="str">
        <x:v>jama.2018.18020</x:v>
      </x:c>
      <x:c r="L93" s="3"/>
      <x:c r="M93" s="3" t="str">
        <x:v>S_W</x:v>
      </x:c>
      <x:c r="N93" s="3" t="str">
        <x:v>The myotonic-discharge effect, CI, and P&lt;.001 do not reconcile under the printed N=27 dependent-t context. The focal mismatch is within the main article.</x:v>
      </x:c>
      <x:c r="O93" s="3" t="str">
        <x:v>../../2018/jama.2018.18020/.ai_paper_validation/final_report_1_5_2.html</x:v>
      </x:c>
      <x:c r="P93" s="3" t="str">
        <x:v>2018/jama.2018.18020/.ai_paper_validation/final_report_1_5_2.md</x:v>
      </x:c>
      <x:c r="Q93" s="3" t="str">
        <x:v>C012</x:v>
      </x:c>
      <x:c r="R93" s="3" t="str">
        <x:v>Pending Human Adjudication</x:v>
      </x:c>
      <x:c r="S93" s="3" t="str">
        <x:v>The myotonic-discharge effect, CI, and P&lt;.001 do not reconcile under the printed N=27 dependent-t context.</x:v>
      </x:c>
      <x:c r="T93" s="11" t="b">
        <x:v>1</x:v>
      </x:c>
      <x:c r="U93" s="3" t="str">
        <x:v>ci_p_compatibility</x:v>
      </x:c>
      <x:c r="V93" s="3" t="str">
        <x:v>statistical_results</x:v>
      </x:c>
      <x:c r="W93" s="3" t="str">
        <x:v>Myotonic-discharge P value conflicts with the dependent-t 95% CI</x:v>
      </x:c>
      <x:c r="X93" s="3" t="str">
        <x:v>2018</x:v>
      </x:c>
      <x:c r="Y93" s="3" t="str">
        <x:v>meta_report/consistency_reclassification_2026-09-04/reclassified_candidates.json</x:v>
      </x:c>
      <x:c r="Z93" s="3" t="str">
        <x:v>S_W</x:v>
      </x:c>
      <x:c r="AA93" s="3" t="str">
        <x:v>statistical_results</x:v>
      </x:c>
      <x:c r="AB93" s="3" t="str">
        <x:v>retain</x:v>
      </x:c>
    </x:row>
    <x:row r="94" ht="90" customHeight="1">
      <x:c r="A94" s="12" t="b">
        <x:v>0</x:v>
      </x:c>
      <x:c r="B94" s="6"/>
      <x:c r="C94" s="12" t="b">
        <x:v>0</x:v>
      </x:c>
      <x:c r="D94" s="6" t="str">
        <x:v>Statistical reporting inconsistency</x:v>
      </x:c>
      <x:c r="E94" s="12" t="b">
        <x:v>0</x:v>
      </x:c>
      <x:c r="F94" s="6" t="str">
        <x:v>C013</x:v>
      </x:c>
      <x:c r="G94" s="6" t="str">
        <x:v>2018::jama.2018.18020::C013</x:v>
      </x:c>
      <x:c r="H94" s="6"/>
      <x:c r="I94" s="6" t="str">
        <x:v>jama_stunnenberg_2018_oi_180136.pdf — PDF p. 7, Table 2 first-attempt handgrip action-myotonia placebo-period change.</x:v>
      </x:c>
      <x:c r="J94" s="12" t="b">
        <x:v>0</x:v>
      </x:c>
      <x:c r="K94" s="6" t="str">
        <x:v>jama.2018.18020</x:v>
      </x:c>
      <x:c r="L94" s="6"/>
      <x:c r="M94" s="6" t="str">
        <x:v>S_W</x:v>
      </x:c>
      <x:c r="N94" s="6" t="str">
        <x:v>The first-attempt handgrip placebo-period cell prints an interval in reverse order that also excludes its printed point estimate. The focal mismatch is within the main article.</x:v>
      </x:c>
      <x:c r="O94" s="6" t="str">
        <x:v>../../2018/jama.2018.18020/.ai_paper_validation/final_report_1_5_2.html</x:v>
      </x:c>
      <x:c r="P94" s="6" t="str">
        <x:v>2018/jama.2018.18020/.ai_paper_validation/final_report_1_5_2.md</x:v>
      </x:c>
      <x:c r="Q94" s="6" t="str">
        <x:v>C013</x:v>
      </x:c>
      <x:c r="R94" s="6" t="str">
        <x:v>Pending Human Adjudication</x:v>
      </x:c>
      <x:c r="S94" s="6" t="str">
        <x:v>The first-attempt handgrip placebo-period cell prints an interval in reverse order that also excludes its printed point estimate.</x:v>
      </x:c>
      <x:c r="T94" s="12" t="b">
        <x:v>1</x:v>
      </x:c>
      <x:c r="U94" s="6" t="str">
        <x:v>interval_order_and_containment</x:v>
      </x:c>
      <x:c r="V94" s="6" t="str">
        <x:v>statistical_results</x:v>
      </x:c>
      <x:c r="W94" s="6" t="str">
        <x:v>First handgrip placebo-period interval is reversed and excludes its estimate</x:v>
      </x:c>
      <x:c r="X94" s="6" t="str">
        <x:v>2018</x:v>
      </x:c>
      <x:c r="Y94" s="6" t="str">
        <x:v>meta_report/consistency_reclassification_2026-09-04/reclassified_candidates.json</x:v>
      </x:c>
      <x:c r="Z94" s="6" t="str">
        <x:v>S_W</x:v>
      </x:c>
      <x:c r="AA94" s="6" t="str">
        <x:v>statistical_results</x:v>
      </x:c>
      <x:c r="AB94" s="6" t="str">
        <x:v>retain</x:v>
      </x:c>
    </x:row>
    <x:row r="95" ht="90" customHeight="1">
      <x:c r="A95" s="11" t="b">
        <x:v>0</x:v>
      </x:c>
      <x:c r="B95" s="3"/>
      <x:c r="C95" s="11" t="b">
        <x:v>0</x:v>
      </x:c>
      <x:c r="D95" s="3" t="str">
        <x:v>Statistical reporting inconsistency</x:v>
      </x:c>
      <x:c r="E95" s="11" t="b">
        <x:v>0</x:v>
      </x:c>
      <x:c r="F95" s="3" t="str">
        <x:v>C014</x:v>
      </x:c>
      <x:c r="G95" s="3" t="str">
        <x:v>2018::jama.2018.18020::C014</x:v>
      </x:c>
      <x:c r="H95" s="3"/>
      <x:c r="I95" s="3" t="str">
        <x:v>jama_stunnenberg_2018_oi_180136.pdf — PDF p. 7, Table 2 mean Timed Up&amp;Go placebo-period change.</x:v>
      </x:c>
      <x:c r="J95" s="11" t="b">
        <x:v>0</x:v>
      </x:c>
      <x:c r="K95" s="3" t="str">
        <x:v>jama.2018.18020</x:v>
      </x:c>
      <x:c r="L95" s="3"/>
      <x:c r="M95" s="3" t="str">
        <x:v>S_W</x:v>
      </x:c>
      <x:c r="N95" s="3" t="str">
        <x:v>The mean Timed Up&amp;Go placebo-period estimate exceeds the upper endpoint of its printed interval. The focal mismatch is within the main article.</x:v>
      </x:c>
      <x:c r="O95" s="3" t="str">
        <x:v>../../2018/jama.2018.18020/.ai_paper_validation/final_report_1_5_2.html</x:v>
      </x:c>
      <x:c r="P95" s="3" t="str">
        <x:v>2018/jama.2018.18020/.ai_paper_validation/final_report_1_5_2.md</x:v>
      </x:c>
      <x:c r="Q95" s="3" t="str">
        <x:v>C014</x:v>
      </x:c>
      <x:c r="R95" s="3" t="str">
        <x:v>Pending Human Adjudication</x:v>
      </x:c>
      <x:c r="S95" s="3" t="str">
        <x:v>The mean Timed Up&amp;Go placebo-period estimate exceeds the upper endpoint of its printed interval.</x:v>
      </x:c>
      <x:c r="T95" s="11" t="b">
        <x:v>1</x:v>
      </x:c>
      <x:c r="U95" s="3" t="str">
        <x:v>estimate_interval_containment</x:v>
      </x:c>
      <x:c r="V95" s="3" t="str">
        <x:v>statistical_results</x:v>
      </x:c>
      <x:c r="W95" s="3" t="str">
        <x:v>Mean Timed Up&amp;Go placebo-period estimate lies outside its interval</x:v>
      </x:c>
      <x:c r="X95" s="3" t="str">
        <x:v>2018</x:v>
      </x:c>
      <x:c r="Y95" s="3" t="str">
        <x:v>meta_report/consistency_reclassification_2026-09-04/reclassified_candidates.json</x:v>
      </x:c>
      <x:c r="Z95" s="3" t="str">
        <x:v>S_W</x:v>
      </x:c>
      <x:c r="AA95" s="3" t="str">
        <x:v>statistical_results</x:v>
      </x:c>
      <x:c r="AB95" s="3" t="str">
        <x:v>retain</x:v>
      </x:c>
    </x:row>
    <x:row r="96" ht="90" customHeight="1">
      <x:c r="A96" s="12" t="b">
        <x:v>0</x:v>
      </x:c>
      <x:c r="B96" s="6" t="str">
        <x:v>The clustered -1 to 4 interval cannot establish the intended unclustered endpoints.</x:v>
      </x:c>
      <x:c r="C96" s="12" t="b">
        <x:v>0</x:v>
      </x:c>
      <x:c r="D96" s="6" t="str">
        <x:v>Statistical reporting inconsistency</x:v>
      </x:c>
      <x:c r="E96" s="12" t="b">
        <x:v>0</x:v>
      </x:c>
      <x:c r="F96" s="6" t="str">
        <x:v>C001</x:v>
      </x:c>
      <x:c r="G96" s="6" t="str">
        <x:v>2018::jama.2018.6496::C001</x:v>
      </x:c>
      <x:c r="H96" s="6"/>
      <x:c r="I96" s="6" t="str">
        <x:v>DOC-001 Table 3 — PDF p. 7; DOC-003 eTable 1 — PDF p. 2; DOC-003 eTable 1 note — PDF p. 3; DOC-001 statistical-analysis methods — PDF p. 4.</x:v>
      </x:c>
      <x:c r="J96" s="12" t="b">
        <x:v>0</x:v>
      </x:c>
      <x:c r="K96" s="6" t="str">
        <x:v>jama.2018.6496</x:v>
      </x:c>
      <x:c r="L96" s="6"/>
      <x:c r="M96" s="6" t="str">
        <x:v>S_W</x:v>
      </x:c>
      <x:c r="N96" s="6" t="str">
        <x:v>The main Table 3 CI is printed 4 to -1, a reversed order inside one table. The supplement explicitly recalculates inference for physician clustering and therefore is distinct-model context, not a same-analysis cross-file mismatch.</x:v>
      </x:c>
      <x:c r="O96" s="6" t="str">
        <x:v>../../2018/jama.2018.6496/.ai_paper_validation/final_report_1_5_2.html</x:v>
      </x:c>
      <x:c r="P96" s="6" t="str">
        <x:v>2018/jama.2018.6496/.ai_paper_validation/final_report_1_5_2.md</x:v>
      </x:c>
      <x:c r="Q96" s="6" t="str">
        <x:v>C001</x:v>
      </x:c>
      <x:c r="R96" s="6" t="str">
        <x:v>Pending Human Adjudication</x:v>
      </x:c>
      <x:c r="S96" s="6" t="str">
        <x:v>DOC-001 Table 3 prints the all-patient first-attempt-duration confidence limits in descending order (4 to -1); the intended unclustered limits remain unresolved.</x:v>
      </x:c>
      <x:c r="T96" s="12" t="b">
        <x:v>1</x:v>
      </x:c>
      <x:c r="U96" s="6" t="str">
        <x:v>ci_endpoint_order</x:v>
      </x:c>
      <x:c r="V96" s="6" t="str">
        <x:v>statistical_results</x:v>
      </x:c>
      <x:c r="W96" s="6" t="str">
        <x:v>Reverse-ordered confidence-interval endpoints for all-patient first-attempt duration</x:v>
      </x:c>
      <x:c r="X96" s="6" t="str">
        <x:v>2018</x:v>
      </x:c>
      <x:c r="Y96" s="6" t="str">
        <x:v>meta_report/consistency_reclassification_2026-09-04/reclassified_candidates.json</x:v>
      </x:c>
      <x:c r="Z96" s="6" t="str">
        <x:v>S_W</x:v>
      </x:c>
      <x:c r="AA96" s="6" t="str">
        <x:v>statistical_results</x:v>
      </x:c>
      <x:c r="AB96" s="6" t="str">
        <x:v>retain</x:v>
      </x:c>
    </x:row>
    <x:row r="97" ht="90" customHeight="1">
      <x:c r="A97" s="11" t="b">
        <x:v>0</x:v>
      </x:c>
      <x:c r="B97" s="3" t="str">
        <x:v>Known first-attempt failures may be classifiable as composite failures without a valid hypoxemia waveform, allowing different denominators. The discrepancy remains conditional and within the main article.</x:v>
      </x:c>
      <x:c r="C97" s="11" t="b">
        <x:v>0</x:v>
      </x:c>
      <x:c r="D97" s="3" t="str">
        <x:v>Denominator, proportion, or total inconsistency</x:v>
      </x:c>
      <x:c r="E97" s="11" t="b">
        <x:v>0</x:v>
      </x:c>
      <x:c r="F97" s="3" t="str">
        <x:v>C002</x:v>
      </x:c>
      <x:c r="G97" s="3" t="str">
        <x:v>2018::jama.2018.6496::C002</x:v>
      </x:c>
      <x:c r="H97" s="3"/>
      <x:c r="I97" s="3" t="str">
        <x:v>DOC-001 Table 3 — PDF p. 7; DOC-001 Table 5 — PDF p. 9; DOC-002 protocol secondary outcomes — PDF p. 9; DOC-002 analytic issues — PDF p. 21.</x:v>
      </x:c>
      <x:c r="J97" s="11" t="b">
        <x:v>0</x:v>
      </x:c>
      <x:c r="K97" s="3" t="str">
        <x:v>jama.2018.6496</x:v>
      </x:c>
      <x:c r="L97" s="3"/>
      <x:c r="M97" s="3" t="str">
        <x:v>S_W</x:v>
      </x:c>
      <x:c r="N97" s="3" t="str">
        <x:v>Main Tables 3 and 5 use ETT+stylet denominators 366 and 364 for linked composite/hypoxemia outcomes. Protocol definitions explain the relationship and even support outcome-specific missingness; there is no independent inconsistency with the protocol.</x:v>
      </x:c>
      <x:c r="O97" s="3" t="str">
        <x:v>../../2018/jama.2018.6496/.ai_paper_validation/final_report_1_5_2.html</x:v>
      </x:c>
      <x:c r="P97" s="3" t="str">
        <x:v>2018/jama.2018.6496/.ai_paper_validation/final_report_1_5_2.md</x:v>
      </x:c>
      <x:c r="Q97" s="3" t="str">
        <x:v>C002</x:v>
      </x:c>
      <x:c r="R97" s="3" t="str">
        <x:v>Pending Human Adjudication</x:v>
      </x:c>
      <x:c r="S97" s="3" t="str">
        <x:v>The ETT+stylet denominators differ by two across linked waveform-dependent outcomes (366 versus 364), and the supplied aggregate sources do not establish whether the difference is intentional under an outcome-specific denominator rule.</x:v>
      </x:c>
      <x:c r="T97" s="11" t="b">
        <x:v>1</x:v>
      </x:c>
      <x:c r="U97" s="3" t="str">
        <x:v>linked_outcome_denominators</x:v>
      </x:c>
      <x:c r="V97" s="3" t="str">
        <x:v>statistical_results</x:v>
      </x:c>
      <x:c r="W97" s="3" t="str">
        <x:v>Two-patient ETT+stylet denominator difference across linked hypoxemia outcomes</x:v>
      </x:c>
      <x:c r="X97" s="3" t="str">
        <x:v>2018</x:v>
      </x:c>
      <x:c r="Y97" s="3" t="str">
        <x:v>meta_report/consistency_reclassification_2026-09-04/reclassified_candidates.json</x:v>
      </x:c>
      <x:c r="Z97" s="3" t="str">
        <x:v>S_W</x:v>
      </x:c>
      <x:c r="AA97" s="3" t="str">
        <x:v>statistical_results</x:v>
      </x:c>
      <x:c r="AB97" s="3" t="str">
        <x:v>retain</x:v>
      </x:c>
    </x:row>
    <x:row r="98" ht="90" customHeight="1">
      <x:c r="A98" s="12" t="b">
        <x:v>0</x:v>
      </x:c>
      <x:c r="B98" s="6" t="str">
        <x:v>The planned cuff-inflation and reported blade-removal events may have been harmonized or intentionally changed, but no amendment/equivalence rule is supplied. The data form corroborates the reported operational event; it is not a separately counted protocol-versus-manual discrepancy.</x:v>
      </x:c>
      <x:c r="C98" s="12" t="b">
        <x:v>1</x:v>
      </x:c>
      <x:c r="D98" s="6" t="str">
        <x:v>Measure, label, or scale inconsistency</x:v>
      </x:c>
      <x:c r="E98" s="12" t="b">
        <x:v>1</x:v>
      </x:c>
      <x:c r="F98" s="6" t="str">
        <x:v>C003</x:v>
      </x:c>
      <x:c r="G98" s="6" t="str">
        <x:v>2018::jama.2018.6496::C003</x:v>
      </x:c>
      <x:c r="H98" s="6"/>
      <x:c r="I98" s="6" t="str">
        <x:v>DOC-002 protocol secondary outcomes — PDF p. 9; DOC-002 protocol measurement procedure — PDF p. 10; DOC-001 Table 3 — PDF p. 7; DOC-001 Table 5 — PDF p. 9; DOC-003 eTable 1 note — PDF p. 3; DOC-003 postintubation form — PDF p. 10.</x:v>
      </x:c>
      <x:c r="J98" s="12" t="b">
        <x:v>0</x:v>
      </x:c>
      <x:c r="K98" s="6" t="str">
        <x:v>jama.2018.6496</x:v>
      </x:c>
      <x:c r="L98" s="6" t="str">
        <x:v>endpoint_definition_window_hierarchy</x:v>
      </x:c>
      <x:c r="M98" s="6" t="str">
        <x:v>P_R</x:v>
      </x:c>
      <x:c r="N98" s="6" t="str">
        <x:v>The protocol ends hypoxemia surveillance one minute after ETT-cuff inflation, while the published materials end it one minute after intubation-attempt completion; the supplied package does not document whether those events were treated as equivalent or whether the definition changed. The reported article/results definition is compared substantively with the supplied protocol or SAP.</x:v>
      </x:c>
      <x:c r="O98" s="6" t="str">
        <x:v>../../2018/jama.2018.6496/.ai_paper_validation/final_report_1_5_2.html</x:v>
      </x:c>
      <x:c r="P98" s="6" t="str">
        <x:v>2018/jama.2018.6496/.ai_paper_validation/final_report_1_5_2.md</x:v>
      </x:c>
      <x:c r="Q98" s="6" t="str">
        <x:v>C003</x:v>
      </x:c>
      <x:c r="R98" s="6" t="str">
        <x:v>Pending Human Adjudication</x:v>
      </x:c>
      <x:c r="S98" s="6" t="str">
        <x:v>The protocol ends hypoxemia surveillance one minute after ETT-cuff inflation, while the published materials end it one minute after intubation-attempt completion; the supplied package does not document whether those events were treated as equivalent or whether the definition changed.</x:v>
      </x:c>
      <x:c r="T98" s="12" t="b">
        <x:v>0</x:v>
      </x:c>
      <x:c r="U98" s="6" t="str">
        <x:v>outcome_surveillance_window</x:v>
      </x:c>
      <x:c r="V98" s="6" t="str">
        <x:v>protocol_report</x:v>
      </x:c>
      <x:c r="W98" s="6" t="str">
        <x:v>Protocol and published hypoxemia observation windows use different endpoint events</x:v>
      </x:c>
      <x:c r="X98" s="6" t="str">
        <x:v>2018</x:v>
      </x:c>
      <x:c r="Y98" s="6" t="str">
        <x:v>meta_report/consistency_reclassification_2026-09-04/reclassified_candidates.json</x:v>
      </x:c>
      <x:c r="Z98" s="6" t="str">
        <x:v>P_R</x:v>
      </x:c>
      <x:c r="AA98" s="6" t="str">
        <x:v>protocol_report</x:v>
      </x:c>
      <x:c r="AB98" s="6" t="str">
        <x:v>retain</x:v>
      </x:c>
    </x:row>
    <x:row r="99" ht="90" customHeight="1">
      <x:c r="A99" s="11" t="b">
        <x:v>0</x:v>
      </x:c>
      <x:c r="B99" s="3" t="str">
        <x:v>The planned cuff-inflation and reported blade-removal events may have been harmonized or intentionally changed, but no amendment/equivalence rule is supplied. The data form corroborates the reported operational event; it is not a separately counted protocol-versus-manual discrepancy.</x:v>
      </x:c>
      <x:c r="C99" s="11" t="b">
        <x:v>1</x:v>
      </x:c>
      <x:c r="D99" s="3" t="str">
        <x:v>Measure, label, or scale inconsistency</x:v>
      </x:c>
      <x:c r="E99" s="11" t="b">
        <x:v>1</x:v>
      </x:c>
      <x:c r="F99" s="3" t="str">
        <x:v>C004</x:v>
      </x:c>
      <x:c r="G99" s="3" t="str">
        <x:v>2018::jama.2018.6496::C004</x:v>
      </x:c>
      <x:c r="H99" s="3"/>
      <x:c r="I99" s="3" t="str">
        <x:v>DOC-002 protocol — PDF p. 9; DOC-001 outcome methods — PDF p. 3; DOC-001 Table 3 — PDF p. 7; DOC-003 eTable 1 note — PDF p. 3; DOC-003 data form — PDF p. 10.</x:v>
      </x:c>
      <x:c r="J99" s="11" t="b">
        <x:v>0</x:v>
      </x:c>
      <x:c r="K99" s="3" t="str">
        <x:v>jama.2018.6496</x:v>
      </x:c>
      <x:c r="L99" s="3" t="str">
        <x:v>endpoint_definition_window_hierarchy</x:v>
      </x:c>
      <x:c r="M99" s="3" t="str">
        <x:v>P_R</x:v>
      </x:c>
      <x:c r="N99" s="3" t="str">
        <x:v>The protocol defines first-attempt time to intubation through ETT-cuff inflation, whereas the published analyses use blade removal; the supplied package does not document how or why the measurement endpoint changed. The reported article/results definition is compared substantively with the supplied protocol or SAP.</x:v>
      </x:c>
      <x:c r="O99" s="3" t="str">
        <x:v>../../2018/jama.2018.6496/.ai_paper_validation/final_report_1_5_2.html</x:v>
      </x:c>
      <x:c r="P99" s="3" t="str">
        <x:v>2018/jama.2018.6496/.ai_paper_validation/final_report_1_5_2.md</x:v>
      </x:c>
      <x:c r="Q99" s="3" t="str">
        <x:v>C004</x:v>
      </x:c>
      <x:c r="R99" s="3" t="str">
        <x:v>Pending Human Adjudication</x:v>
      </x:c>
      <x:c r="S99" s="3" t="str">
        <x:v>The protocol defines first-attempt time to intubation through ETT-cuff inflation, whereas the published analyses use blade removal; the supplied package does not document how or why the measurement endpoint changed.</x:v>
      </x:c>
      <x:c r="T99" s="11" t="b">
        <x:v>0</x:v>
      </x:c>
      <x:c r="U99" s="3" t="str">
        <x:v>duration_endpoint_definition</x:v>
      </x:c>
      <x:c r="V99" s="3" t="str">
        <x:v>protocol_report</x:v>
      </x:c>
      <x:c r="W99" s="3" t="str">
        <x:v>Protocol and published first-attempt-duration measures use different endpoint events</x:v>
      </x:c>
      <x:c r="X99" s="3" t="str">
        <x:v>2018</x:v>
      </x:c>
      <x:c r="Y99" s="3" t="str">
        <x:v>meta_report/consistency_reclassification_2026-09-04/reclassified_candidates.json</x:v>
      </x:c>
      <x:c r="Z99" s="3" t="str">
        <x:v>P_R</x:v>
      </x:c>
      <x:c r="AA99" s="3" t="str">
        <x:v>protocol_report</x:v>
      </x:c>
      <x:c r="AB99" s="3" t="str">
        <x:v>retain</x:v>
      </x:c>
    </x:row>
    <x:row r="100" ht="90" customHeight="1">
      <x:c r="A100" s="12" t="b">
        <x:v>0</x:v>
      </x:c>
      <x:c r="B100" s="6"/>
      <x:c r="C100" s="12" t="b">
        <x:v>0</x:v>
      </x:c>
      <x:c r="D100" s="6" t="str">
        <x:v>Numeric or arithmetic inconsistency</x:v>
      </x:c>
      <x:c r="E100" s="12" t="b">
        <x:v>0</x:v>
      </x:c>
      <x:c r="F100" s="6" t="str">
        <x:v>C001</x:v>
      </x:c>
      <x:c r="G100" s="6" t="str">
        <x:v>2018::jama.2018.8802::C001</x:v>
      </x:c>
      <x:c r="H100" s="6"/>
      <x:c r="I100" s="6" t="str">
        <x:v>jama_wang_2018_oi_180070.pdf — PDF p. 6, Table 1, CAD/previous myocardial infarction, intervention column and Patients, No. header.</x:v>
      </x:c>
      <x:c r="J100" s="12" t="b">
        <x:v>0</x:v>
      </x:c>
      <x:c r="K100" s="6" t="str">
        <x:v>jama.2018.8802</x:v>
      </x:c>
      <x:c r="L100" s="6"/>
      <x:c r="M100" s="6" t="str">
        <x:v>S_W</x:v>
      </x:c>
      <x:c r="N100" s="6" t="str">
        <x:v>The intervention cell prints 311 (13.05) under a 2,400-patient column, but the displayed fraction does not yield 13.05%. The focal mismatch is within the main article.</x:v>
      </x:c>
      <x:c r="O100" s="6" t="str">
        <x:v>../../2018/jama.2018.8802/.ai_paper_validation/final_report_1_5_2.html</x:v>
      </x:c>
      <x:c r="P100" s="6" t="str">
        <x:v>2018/jama.2018.8802/.ai_paper_validation/final_report_1_5_2.md</x:v>
      </x:c>
      <x:c r="Q100" s="6" t="str">
        <x:v>C001</x:v>
      </x:c>
      <x:c r="R100" s="6" t="str">
        <x:v>Pending Human Adjudication</x:v>
      </x:c>
      <x:c r="S100" s="6" t="str">
        <x:v>The intervention cell prints 311 (13.05) under a 2,400-patient column, but the displayed fraction does not yield 13.05%.</x:v>
      </x:c>
      <x:c r="T100" s="12" t="b">
        <x:v>1</x:v>
      </x:c>
      <x:c r="U100" s="6" t="str">
        <x:v>count_percentage_arithmetic</x:v>
      </x:c>
      <x:c r="V100" s="6" t="str">
        <x:v>statistical_results</x:v>
      </x:c>
      <x:c r="W100" s="6" t="str">
        <x:v>Table 1 CAD/previous-myocardial-infarction percentage does not reproduce</x:v>
      </x:c>
      <x:c r="X100" s="6" t="str">
        <x:v>2018</x:v>
      </x:c>
      <x:c r="Y100" s="6" t="str">
        <x:v>meta_report/consistency_reclassification_2026-09-04/reclassified_candidates.json</x:v>
      </x:c>
      <x:c r="Z100" s="6" t="str">
        <x:v>S_W</x:v>
      </x:c>
      <x:c r="AA100" s="6" t="str">
        <x:v>statistical_results</x:v>
      </x:c>
      <x:c r="AB100" s="6" t="str">
        <x:v>retain</x:v>
      </x:c>
    </x:row>
    <x:row r="101" ht="90" customHeight="1">
      <x:c r="A101" s="11" t="b">
        <x:v>0</x:v>
      </x:c>
      <x:c r="B101" s="3" t="str">
        <x:v>Mixed planned/reported and submission-internal definition relationships. Labels may be abbreviations while the inclusive definition governed the denominators; participant-level LDL-at-100 data are absent.</x:v>
      </x:c>
      <x:c r="C101" s="11" t="b">
        <x:v>1</x:v>
      </x:c>
      <x:c r="D101" s="3" t="str">
        <x:v>Measure, label, or scale inconsistency</x:v>
      </x:c>
      <x:c r="E101" s="11" t="b">
        <x:v>1</x:v>
      </x:c>
      <x:c r="F101" s="3" t="str">
        <x:v>C002</x:v>
      </x:c>
      <x:c r="G101" s="3" t="str">
        <x:v>2018::jama.2018.8802::C002</x:v>
      </x:c>
      <x:c r="H101" s="3"/>
      <x:c r="I101" s="3" t="str">
        <x:v>jama_wang_2018_oi_180070.pdf — PDF p. 7, Table 2 lipid-lowering row; joi180070supp1_prod.pdf — PDF p. 15, definition; joi180070supp2_prod.pdf — PDF p. 3, eTable 1 definition; and joi180070supp2_prod.pdf — PDF p. 8, eTable 4 label.</x:v>
      </x:c>
      <x:c r="J101" s="11" t="b">
        <x:v>0</x:v>
      </x:c>
      <x:c r="K101" s="3" t="str">
        <x:v>jama.2018.8802</x:v>
      </x:c>
      <x:c r="L101" s="3" t="str">
        <x:v>population_recruitment_sites</x:v>
      </x:c>
      <x:c r="M101" s="3" t="str">
        <x:v>P_R</x:v>
      </x:c>
      <x:c r="N101" s="3" t="str">
        <x:v>Main Table 2 and the sensitivity-results eTable use LDL &gt;100; the protocol formal definition and results-supplement eTable 1 use &gt;=100. The target is eligibility as formally defined versus attached to reported results, giving P_R; the main-versus-results-definition and within-supplement definition/label differences also substantively occur.</x:v>
      </x:c>
      <x:c r="O101" s="3" t="str">
        <x:v>../../2018/jama.2018.8802/.ai_paper_validation/final_report_1_5_2.html</x:v>
      </x:c>
      <x:c r="P101" s="3" t="str">
        <x:v>2018/jama.2018.8802/.ai_paper_validation/final_report_1_5_2.md</x:v>
      </x:c>
      <x:c r="Q101" s="3" t="str">
        <x:v>C002</x:v>
      </x:c>
      <x:c r="R101" s="3" t="str">
        <x:v>Pending Human Adjudication</x:v>
      </x:c>
      <x:c r="S101" s="3" t="str">
        <x:v>The main and sensitivity result rows use LDL &gt;100 mg/dL, while supplied formal measure definitions use LDL ≥100 mg/dL.</x:v>
      </x:c>
      <x:c r="T101" s="11" t="b">
        <x:v>1</x:v>
      </x:c>
      <x:c r="U101" s="3" t="str">
        <x:v>eligibility_threshold</x:v>
      </x:c>
      <x:c r="V101" s="3" t="str">
        <x:v>protocol_report</x:v>
      </x:c>
      <x:c r="W101" s="3" t="str">
        <x:v>LDL eligibility boundary differs between result labels and supplied measure definition</x:v>
      </x:c>
      <x:c r="X101" s="3" t="str">
        <x:v>2018</x:v>
      </x:c>
      <x:c r="Y101" s="3" t="str">
        <x:v>meta_report/consistency_reclassification_2026-09-04/reclassified_candidates.json</x:v>
      </x:c>
      <x:c r="Z101" s="3" t="str">
        <x:v>P_R</x:v>
      </x:c>
      <x:c r="AA101" s="3" t="str">
        <x:v>protocol_report</x:v>
      </x:c>
      <x:c r="AB101" s="3" t="str">
        <x:v>retain</x:v>
      </x:c>
    </x:row>
    <x:row r="102" ht="90" customHeight="1">
      <x:c r="A102" s="12" t="b">
        <x:v>0</x:v>
      </x:c>
      <x:c r="B102" s="6"/>
      <x:c r="C102" s="12" t="b">
        <x:v>0</x:v>
      </x:c>
      <x:c r="D102" s="6" t="str">
        <x:v>Denominator, proportion, or total inconsistency</x:v>
      </x:c>
      <x:c r="E102" s="12" t="b">
        <x:v>0</x:v>
      </x:c>
      <x:c r="F102" s="6" t="str">
        <x:v>C003</x:v>
      </x:c>
      <x:c r="G102" s="6" t="str">
        <x:v>2018::jama.2018.8802::C003</x:v>
      </x:c>
      <x:c r="H102" s="6"/>
      <x:c r="I102" s="6" t="str">
        <x:v>joi180070supp2_prod.pdf — PDF p. 8, eTable 4, Antithrombotics, control cell.</x:v>
      </x:c>
      <x:c r="J102" s="12" t="b">
        <x:v>0</x:v>
      </x:c>
      <x:c r="K102" s="6" t="str">
        <x:v>jama.2018.8802</x:v>
      </x:c>
      <x:c r="L102" s="6"/>
      <x:c r="M102" s="6" t="str">
        <x:v>S_W</x:v>
      </x:c>
      <x:c r="N102" s="6" t="str">
        <x:v>The control cell prints 2141/2400 (89.3), but the fraction rounds to 89.2% at one decimal. The focal mismatch is within one non-plan results supplement.</x:v>
      </x:c>
      <x:c r="O102" s="6" t="str">
        <x:v>../../2018/jama.2018.8802/.ai_paper_validation/final_report_1_5_2.html</x:v>
      </x:c>
      <x:c r="P102" s="6" t="str">
        <x:v>2018/jama.2018.8802/.ai_paper_validation/final_report_1_5_2.md</x:v>
      </x:c>
      <x:c r="Q102" s="6" t="str">
        <x:v>C003</x:v>
      </x:c>
      <x:c r="R102" s="6" t="str">
        <x:v>Pending Human Adjudication</x:v>
      </x:c>
      <x:c r="S102" s="6" t="str">
        <x:v>The control cell prints 2141/2400 (89.3), but the fraction rounds to 89.2% at one decimal.</x:v>
      </x:c>
      <x:c r="T102" s="12" t="b">
        <x:v>1</x:v>
      </x:c>
      <x:c r="U102" s="6" t="str">
        <x:v>count_percentage_rounding</x:v>
      </x:c>
      <x:c r="V102" s="6" t="str">
        <x:v>statistical_results</x:v>
      </x:c>
      <x:c r="W102" s="6" t="str">
        <x:v>eTable 4 discharge-antithrombotics control percentage does not reproduce</x:v>
      </x:c>
      <x:c r="X102" s="6" t="str">
        <x:v>2018</x:v>
      </x:c>
      <x:c r="Y102" s="6" t="str">
        <x:v>meta_report/consistency_reclassification_2026-09-04/reclassified_candidates.json</x:v>
      </x:c>
      <x:c r="Z102" s="6" t="str">
        <x:v>S_W</x:v>
      </x:c>
      <x:c r="AA102" s="6" t="str">
        <x:v>statistical_results</x:v>
      </x:c>
      <x:c r="AB102" s="6" t="str">
        <x:v>retain</x:v>
      </x:c>
    </x:row>
    <x:row r="103" ht="90" customHeight="1">
      <x:c r="A103" s="11" t="b">
        <x:v>0</x:v>
      </x:c>
      <x:c r="B103" s="3"/>
      <x:c r="C103" s="11" t="b">
        <x:v>0</x:v>
      </x:c>
      <x:c r="D103" s="3" t="str">
        <x:v>Denominator, proportion, or total inconsistency</x:v>
      </x:c>
      <x:c r="E103" s="11" t="b">
        <x:v>0</x:v>
      </x:c>
      <x:c r="F103" s="3" t="str">
        <x:v>C004</x:v>
      </x:c>
      <x:c r="G103" s="3" t="str">
        <x:v>2018::jama.2018.8802::C004</x:v>
      </x:c>
      <x:c r="H103" s="3"/>
      <x:c r="I103" s="3" t="str">
        <x:v>joi180070supp2_prod.pdf — PDF p. 8, eTable 4, Anticoagulation for Atrial Fibrillation, control cell.</x:v>
      </x:c>
      <x:c r="J103" s="11" t="b">
        <x:v>0</x:v>
      </x:c>
      <x:c r="K103" s="3" t="str">
        <x:v>jama.2018.8802</x:v>
      </x:c>
      <x:c r="L103" s="3"/>
      <x:c r="M103" s="3" t="str">
        <x:v>S_W</x:v>
      </x:c>
      <x:c r="N103" s="3" t="str">
        <x:v>The control cell prints 39/174 (22.5), but the fraction rounds to 22.4% at one decimal. The focal mismatch is within one non-plan results supplement.</x:v>
      </x:c>
      <x:c r="O103" s="3" t="str">
        <x:v>../../2018/jama.2018.8802/.ai_paper_validation/final_report_1_5_2.html</x:v>
      </x:c>
      <x:c r="P103" s="3" t="str">
        <x:v>2018/jama.2018.8802/.ai_paper_validation/final_report_1_5_2.md</x:v>
      </x:c>
      <x:c r="Q103" s="3" t="str">
        <x:v>C004</x:v>
      </x:c>
      <x:c r="R103" s="3" t="str">
        <x:v>Pending Human Adjudication</x:v>
      </x:c>
      <x:c r="S103" s="3" t="str">
        <x:v>The control cell prints 39/174 (22.5), but the fraction rounds to 22.4% at one decimal.</x:v>
      </x:c>
      <x:c r="T103" s="11" t="b">
        <x:v>1</x:v>
      </x:c>
      <x:c r="U103" s="3" t="str">
        <x:v>count_percentage_rounding</x:v>
      </x:c>
      <x:c r="V103" s="3" t="str">
        <x:v>statistical_results</x:v>
      </x:c>
      <x:c r="W103" s="3" t="str">
        <x:v>eTable 4 AF-anticoagulation control percentage does not reproduce</x:v>
      </x:c>
      <x:c r="X103" s="3" t="str">
        <x:v>2018</x:v>
      </x:c>
      <x:c r="Y103" s="3" t="str">
        <x:v>meta_report/consistency_reclassification_2026-09-04/reclassified_candidates.json</x:v>
      </x:c>
      <x:c r="Z103" s="3" t="str">
        <x:v>S_W</x:v>
      </x:c>
      <x:c r="AA103" s="3" t="str">
        <x:v>statistical_results</x:v>
      </x:c>
      <x:c r="AB103" s="3" t="str">
        <x:v>retain</x:v>
      </x:c>
    </x:row>
    <x:row r="104" ht="90" customHeight="1">
      <x:c r="A104" s="12" t="b">
        <x:v>0</x:v>
      </x:c>
      <x:c r="B104" s="6"/>
      <x:c r="C104" s="12" t="b">
        <x:v>0</x:v>
      </x:c>
      <x:c r="D104" s="6" t="str">
        <x:v>Denominator, proportion, or total inconsistency</x:v>
      </x:c>
      <x:c r="E104" s="12" t="b">
        <x:v>0</x:v>
      </x:c>
      <x:c r="F104" s="6" t="str">
        <x:v>C005</x:v>
      </x:c>
      <x:c r="G104" s="6" t="str">
        <x:v>2018::jama.2018.8802::C005</x:v>
      </x:c>
      <x:c r="H104" s="6"/>
      <x:c r="I104" s="6" t="str">
        <x:v>joi180070supp2_prod.pdf — PDF p. 8, eTable 4, Lipid-lowering for LDL &gt;100 mg/dL, control cell.</x:v>
      </x:c>
      <x:c r="J104" s="12" t="b">
        <x:v>0</x:v>
      </x:c>
      <x:c r="K104" s="6" t="str">
        <x:v>jama.2018.8802</x:v>
      </x:c>
      <x:c r="L104" s="6"/>
      <x:c r="M104" s="6" t="str">
        <x:v>S_W</x:v>
      </x:c>
      <x:c r="N104" s="6" t="str">
        <x:v>The control cell prints 1439/1586 (90.8), but the fraction rounds to 90.7% at one decimal. The focal mismatch is within one non-plan results supplement.</x:v>
      </x:c>
      <x:c r="O104" s="6" t="str">
        <x:v>../../2018/jama.2018.8802/.ai_paper_validation/final_report_1_5_2.html</x:v>
      </x:c>
      <x:c r="P104" s="6" t="str">
        <x:v>2018/jama.2018.8802/.ai_paper_validation/final_report_1_5_2.md</x:v>
      </x:c>
      <x:c r="Q104" s="6" t="str">
        <x:v>C005</x:v>
      </x:c>
      <x:c r="R104" s="6" t="str">
        <x:v>Pending Human Adjudication</x:v>
      </x:c>
      <x:c r="S104" s="6" t="str">
        <x:v>The control cell prints 1439/1586 (90.8), but the fraction rounds to 90.7% at one decimal.</x:v>
      </x:c>
      <x:c r="T104" s="12" t="b">
        <x:v>1</x:v>
      </x:c>
      <x:c r="U104" s="6" t="str">
        <x:v>count_percentage_rounding</x:v>
      </x:c>
      <x:c r="V104" s="6" t="str">
        <x:v>statistical_results</x:v>
      </x:c>
      <x:c r="W104" s="6" t="str">
        <x:v>eTable 4 lipid-lowering control percentage does not reproduce</x:v>
      </x:c>
      <x:c r="X104" s="6" t="str">
        <x:v>2018</x:v>
      </x:c>
      <x:c r="Y104" s="6" t="str">
        <x:v>meta_report/consistency_reclassification_2026-09-04/reclassified_candidates.json</x:v>
      </x:c>
      <x:c r="Z104" s="6" t="str">
        <x:v>S_W</x:v>
      </x:c>
      <x:c r="AA104" s="6" t="str">
        <x:v>statistical_results</x:v>
      </x:c>
      <x:c r="AB104" s="6" t="str">
        <x:v>retain</x:v>
      </x:c>
    </x:row>
    <x:row r="105" ht="90" customHeight="1">
      <x:c r="A105" s="11" t="b">
        <x:v>0</x:v>
      </x:c>
      <x:c r="B105" s="3"/>
      <x:c r="C105" s="11" t="b">
        <x:v>0</x:v>
      </x:c>
      <x:c r="D105" s="3" t="str">
        <x:v>Denominator, proportion, or total inconsistency</x:v>
      </x:c>
      <x:c r="E105" s="11" t="b">
        <x:v>0</x:v>
      </x:c>
      <x:c r="F105" s="3" t="str">
        <x:v>C006</x:v>
      </x:c>
      <x:c r="G105" s="3" t="str">
        <x:v>2018::jama.2018.8802::C006</x:v>
      </x:c>
      <x:c r="H105" s="3"/>
      <x:c r="I105" s="3" t="str">
        <x:v>joi180070supp2_prod.pdf — PDF p. 8, eTable 4, Antidiabetic Medication, control cell.</x:v>
      </x:c>
      <x:c r="J105" s="11" t="b">
        <x:v>0</x:v>
      </x:c>
      <x:c r="K105" s="3" t="str">
        <x:v>jama.2018.8802</x:v>
      </x:c>
      <x:c r="L105" s="3"/>
      <x:c r="M105" s="3" t="str">
        <x:v>S_W</x:v>
      </x:c>
      <x:c r="N105" s="3" t="str">
        <x:v>The control cell prints 557/688 (81.1), but the fraction rounds to 81.0% at one decimal. The focal mismatch is within one non-plan results supplement.</x:v>
      </x:c>
      <x:c r="O105" s="3" t="str">
        <x:v>../../2018/jama.2018.8802/.ai_paper_validation/final_report_1_5_2.html</x:v>
      </x:c>
      <x:c r="P105" s="3" t="str">
        <x:v>2018/jama.2018.8802/.ai_paper_validation/final_report_1_5_2.md</x:v>
      </x:c>
      <x:c r="Q105" s="3" t="str">
        <x:v>C006</x:v>
      </x:c>
      <x:c r="R105" s="3" t="str">
        <x:v>Pending Human Adjudication</x:v>
      </x:c>
      <x:c r="S105" s="3" t="str">
        <x:v>The control cell prints 557/688 (81.1), but the fraction rounds to 81.0% at one decimal.</x:v>
      </x:c>
      <x:c r="T105" s="11" t="b">
        <x:v>1</x:v>
      </x:c>
      <x:c r="U105" s="3" t="str">
        <x:v>count_percentage_rounding</x:v>
      </x:c>
      <x:c r="V105" s="3" t="str">
        <x:v>statistical_results</x:v>
      </x:c>
      <x:c r="W105" s="3" t="str">
        <x:v>eTable 4 antidiabetic-medication control percentage does not reproduce</x:v>
      </x:c>
      <x:c r="X105" s="3" t="str">
        <x:v>2018</x:v>
      </x:c>
      <x:c r="Y105" s="3" t="str">
        <x:v>meta_report/consistency_reclassification_2026-09-04/reclassified_candidates.json</x:v>
      </x:c>
      <x:c r="Z105" s="3" t="str">
        <x:v>S_W</x:v>
      </x:c>
      <x:c r="AA105" s="3" t="str">
        <x:v>statistical_results</x:v>
      </x:c>
      <x:c r="AB105" s="3" t="str">
        <x:v>retain</x:v>
      </x:c>
    </x:row>
    <x:row r="106" ht="90" customHeight="1">
      <x:c r="A106" s="12" t="b">
        <x:v>0</x:v>
      </x:c>
      <x:c r="B106" s="6" t="str">
        <x:v>Twenty may be a target, with one cluster enrolling 21; the printed retrospective inclusion claim lacks that qualification. No additional plan discrepancy is counted.</x:v>
      </x:c>
      <x:c r="C106" s="12" t="b">
        <x:v>0</x:v>
      </x:c>
      <x:c r="D106" s="6" t="str">
        <x:v>Cross-document numeric inconsistency</x:v>
      </x:c>
      <x:c r="E106" s="12" t="b">
        <x:v>1</x:v>
      </x:c>
      <x:c r="F106" s="6" t="str">
        <x:v>C007</x:v>
      </x:c>
      <x:c r="G106" s="6" t="str">
        <x:v>2018::jama.2018.8802::C007</x:v>
      </x:c>
      <x:c r="H106" s="6"/>
      <x:c r="I106" s="6" t="str">
        <x:v>jama_wang_2018_oi_180070.pdf — PDF p. 6, Table 1 baseline-survey Hospitals, No. = 40 and Patients, No. = 801; joi180070supp2_prod.pdf — PDF p. 2, eAppendix baseline-survey statement; jama_wang_2018_oi_180070.pdf — PDF p. 5, Figure 1; joi180070supp1_prod.pdf — PDF p. 4 and PDF p. 7, 40-cluster statements.</x:v>
      </x:c>
      <x:c r="J106" s="12" t="b">
        <x:v>1</x:v>
      </x:c>
      <x:c r="K106" s="6" t="str">
        <x:v>jama.2018.8802</x:v>
      </x:c>
      <x:c r="L106" s="6"/>
      <x:c r="M106" s="6" t="str">
        <x:v>S_C</x:v>
      </x:c>
      <x:c r="N106" s="6" t="str">
        <x:v>Main Table 1 reports 801 baseline-survey patients in 40 hospitals, while the ordinary results-supplement eAppendix says 20 patients per cluster were included, implying 800. Protocol 40-cluster statements corroborate the cluster count; the discrepant total versus per-cluster inclusion claim is main versus non-plan supplement.</x:v>
      </x:c>
      <x:c r="O106" s="6" t="str">
        <x:v>../../2018/jama.2018.8802/.ai_paper_validation/final_report_1_5_2.html</x:v>
      </x:c>
      <x:c r="P106" s="6" t="str">
        <x:v>2018/jama.2018.8802/.ai_paper_validation/final_report_1_5_2.md</x:v>
      </x:c>
      <x:c r="Q106" s="6" t="str">
        <x:v>C007</x:v>
      </x:c>
      <x:c r="R106" s="6" t="str">
        <x:v>Pending Human Adjudication</x:v>
      </x:c>
      <x:c r="S106" s="6" t="str">
        <x:v>Table 1 reports 801 baseline-survey patients and 40 survey hospitals, while the supplement states that 20 patients per cluster were prospectively included, implying 800 under an exact fixed-count reading.</x:v>
      </x:c>
      <x:c r="T106" s="12" t="b">
        <x:v>1</x:v>
      </x:c>
      <x:c r="U106" s="6" t="str">
        <x:v>sampling_count_vs_total</x:v>
      </x:c>
      <x:c r="V106" s="6" t="str">
        <x:v>report_internal_inconsistency</x:v>
      </x:c>
      <x:c r="W106" s="6" t="str">
        <x:v>baseline-survey patient total does not reconcile with stated per-cluster inclusion</x:v>
      </x:c>
      <x:c r="X106" s="6" t="str">
        <x:v>2018</x:v>
      </x:c>
      <x:c r="Y106" s="6" t="str">
        <x:v>meta_report/consistency_reclassification_2026-09-04/reclassified_candidates.json</x:v>
      </x:c>
      <x:c r="Z106" s="6" t="str">
        <x:v>S_C</x:v>
      </x:c>
      <x:c r="AA106" s="6" t="str">
        <x:v>report_internal_inconsistency</x:v>
      </x:c>
      <x:c r="AB106" s="6" t="str">
        <x:v>retain</x:v>
      </x:c>
    </x:row>
    <x:row r="107" ht="90" customHeight="1">
      <x:c r="A107" s="11" t="b">
        <x:v>0</x:v>
      </x:c>
      <x:c r="B107" s="3"/>
      <x:c r="C107" s="11" t="b">
        <x:v>0</x:v>
      </x:c>
      <x:c r="D107" s="3" t="str">
        <x:v>Statistical reporting inconsistency</x:v>
      </x:c>
      <x:c r="E107" s="11" t="b">
        <x:v>0</x:v>
      </x:c>
      <x:c r="F107" s="3" t="str">
        <x:v>C008</x:v>
      </x:c>
      <x:c r="G107" s="3" t="str">
        <x:v>2018::jama.2018.8802::C008</x:v>
      </x:c>
      <x:c r="H107" s="3"/>
      <x:c r="I107" s="3" t="str">
        <x:v>jama_wang_2018_oi_180070.pdf — PDF p. 8, Table 3 Death / In hospital row, absolute-difference and adjacent P-value columns; jama_wang_2018_oi_180070.pdf — PDF p. 4, data-analysis statements.</x:v>
      </x:c>
      <x:c r="J107" s="11" t="b">
        <x:v>0</x:v>
      </x:c>
      <x:c r="K107" s="3" t="str">
        <x:v>jama.2018.8802</x:v>
      </x:c>
      <x:c r="L107" s="3"/>
      <x:c r="M107" s="3" t="str">
        <x:v>S_W</x:v>
      </x:c>
      <x:c r="N107" s="3" t="str">
        <x:v>The in-hospital-death adjusted absolute-difference 95% CI contains zero, while the adjacent absolute-difference P-value cell is .009 under the article's two-sided testing statement. The focal mismatch is within the main article.</x:v>
      </x:c>
      <x:c r="O107" s="3" t="str">
        <x:v>../../2018/jama.2018.8802/.ai_paper_validation/final_report_1_5_2.html</x:v>
      </x:c>
      <x:c r="P107" s="3" t="str">
        <x:v>2018/jama.2018.8802/.ai_paper_validation/final_report_1_5_2.md</x:v>
      </x:c>
      <x:c r="Q107" s="3" t="str">
        <x:v>C008</x:v>
      </x:c>
      <x:c r="R107" s="3" t="str">
        <x:v>Pending Human Adjudication</x:v>
      </x:c>
      <x:c r="S107" s="3" t="str">
        <x:v>The in-hospital-death adjusted absolute-difference 95% CI contains zero, while the adjacent absolute-difference P-value cell is .009 under the article's two-sided testing statement.</x:v>
      </x:c>
      <x:c r="T107" s="11" t="b">
        <x:v>1</x:v>
      </x:c>
      <x:c r="U107" s="3" t="str">
        <x:v>ci_p_compatibility</x:v>
      </x:c>
      <x:c r="V107" s="3" t="str">
        <x:v>statistical_results</x:v>
      </x:c>
      <x:c r="W107" s="3" t="str">
        <x:v>in-hospital death absolute-difference CI and P value do not reconcile</x:v>
      </x:c>
      <x:c r="X107" s="3" t="str">
        <x:v>2018</x:v>
      </x:c>
      <x:c r="Y107" s="3" t="str">
        <x:v>meta_report/consistency_reclassification_2026-09-04/reclassified_candidates.json</x:v>
      </x:c>
      <x:c r="Z107" s="3" t="str">
        <x:v>S_W</x:v>
      </x:c>
      <x:c r="AA107" s="3" t="str">
        <x:v>statistical_results</x:v>
      </x:c>
      <x:c r="AB107" s="3" t="str">
        <x:v>retain</x:v>
      </x:c>
    </x:row>
    <x:row r="108" ht="90" customHeight="1">
      <x:c r="A108" s="12" t="b">
        <x:v>0</x:v>
      </x:c>
      <x:c r="B108" s="6" t="str">
        <x:v>Mixed main-flow versus main-graph and main-flow versus results-eTable comparison; graph/eTable agree. A cleaned descriptive subset could explain the counts, but its inclusion rule is absent. Each arm/visit is a distinct repeated-result record, not an identical duplicate.</x:v>
      </x:c>
      <x:c r="C108" s="12" t="b">
        <x:v>0</x:v>
      </x:c>
      <x:c r="D108" s="6" t="str">
        <x:v>Cross-document numeric inconsistency</x:v>
      </x:c>
      <x:c r="E108" s="12" t="b">
        <x:v>1</x:v>
      </x:c>
      <x:c r="F108" s="6" t="str">
        <x:v>C001</x:v>
      </x:c>
      <x:c r="G108" s="6" t="str">
        <x:v>2018::jama.2018.9128::C001</x:v>
      </x:c>
      <x:c r="H108" s="6"/>
      <x:c r="I108" s="6" t="str">
        <x:v>DOC-001 Figure 1 — PDF p. 3; DOC-001 Figure 2 — PDF p. 7; DOC-003 eTable 1 — PDF p. 2.</x:v>
      </x:c>
      <x:c r="J108" s="12" t="b">
        <x:v>1</x:v>
      </x:c>
      <x:c r="K108" s="6" t="str">
        <x:v>jama.2018.9128</x:v>
      </x:c>
      <x:c r="L108" s="6"/>
      <x:c r="M108" s="6" t="str">
        <x:v>S_C</x:v>
      </x:c>
      <x:c r="N108" s="6" t="str">
        <x:v>The intervention 3-month BMI count is 288 in the flow diagram and 279 in both the observed-BMI figure and eTable. The focal comparison is the main article versus a non-plan results supplement.</x:v>
      </x:c>
      <x:c r="O108" s="6" t="str">
        <x:v>../../2018/jama.2018.9128/.ai_paper_validation/final_report_1_5_2.html</x:v>
      </x:c>
      <x:c r="P108" s="6" t="str">
        <x:v>2018/jama.2018.9128/.ai_paper_validation/final_report_1_5_2.md</x:v>
      </x:c>
      <x:c r="Q108" s="6" t="str">
        <x:v>C001</x:v>
      </x:c>
      <x:c r="R108" s="6" t="str">
        <x:v>Pending Human Adjudication</x:v>
      </x:c>
      <x:c r="S108" s="6" t="str">
        <x:v>The intervention 3-month BMI count is 288 in the flow diagram and 279 in both the observed-BMI figure and eTable.</x:v>
      </x:c>
      <x:c r="T108" s="12" t="b">
        <x:v>1</x:v>
      </x:c>
      <x:c r="U108" s="6" t="str">
        <x:v>repeated_bmi_observation_count</x:v>
      </x:c>
      <x:c r="V108" s="6" t="str">
        <x:v>report_internal_inconsistency</x:v>
      </x:c>
      <x:c r="W108" s="6" t="str">
        <x:v>Intervention 3-month BMI-observation count differs across result displays</x:v>
      </x:c>
      <x:c r="X108" s="6" t="str">
        <x:v>2018</x:v>
      </x:c>
      <x:c r="Y108" s="6" t="str">
        <x:v>meta_report/consistency_reclassification_2026-09-04/reclassified_candidates.json</x:v>
      </x:c>
      <x:c r="Z108" s="6" t="str">
        <x:v>S_C</x:v>
      </x:c>
      <x:c r="AA108" s="6" t="str">
        <x:v>report_internal_inconsistency</x:v>
      </x:c>
      <x:c r="AB108" s="6" t="str">
        <x:v>retain</x:v>
      </x:c>
    </x:row>
    <x:row r="109" ht="90" customHeight="1">
      <x:c r="A109" s="11" t="b">
        <x:v>0</x:v>
      </x:c>
      <x:c r="B109" s="3" t="str">
        <x:v>Mixed main-flow versus main-graph and main-flow versus results-eTable comparison; graph/eTable agree. A cleaned descriptive subset could explain the counts, but its inclusion rule is absent. Each arm/visit is a distinct repeated-result record, not an identical duplicate.</x:v>
      </x:c>
      <x:c r="C109" s="11" t="b">
        <x:v>0</x:v>
      </x:c>
      <x:c r="D109" s="3" t="str">
        <x:v>Cross-document numeric inconsistency</x:v>
      </x:c>
      <x:c r="E109" s="11" t="b">
        <x:v>1</x:v>
      </x:c>
      <x:c r="F109" s="3" t="str">
        <x:v>C002</x:v>
      </x:c>
      <x:c r="G109" s="3" t="str">
        <x:v>2018::jama.2018.9128::C002</x:v>
      </x:c>
      <x:c r="H109" s="3"/>
      <x:c r="I109" s="3" t="str">
        <x:v>DOC-001 Figure 1 — PDF p. 3; DOC-001 Figure 2 — PDF p. 7; DOC-003 eTable 1 — PDF p. 2.</x:v>
      </x:c>
      <x:c r="J109" s="11" t="b">
        <x:v>1</x:v>
      </x:c>
      <x:c r="K109" s="3" t="str">
        <x:v>jama.2018.9128</x:v>
      </x:c>
      <x:c r="L109" s="3"/>
      <x:c r="M109" s="3" t="str">
        <x:v>S_C</x:v>
      </x:c>
      <x:c r="N109" s="3" t="str">
        <x:v>The control 3-month BMI count is 277 in the flow diagram and 271 in both the observed-BMI figure and eTable. The focal comparison is the main article versus a non-plan results supplement.</x:v>
      </x:c>
      <x:c r="O109" s="3" t="str">
        <x:v>../../2018/jama.2018.9128/.ai_paper_validation/final_report_1_5_2.html</x:v>
      </x:c>
      <x:c r="P109" s="3" t="str">
        <x:v>2018/jama.2018.9128/.ai_paper_validation/final_report_1_5_2.md</x:v>
      </x:c>
      <x:c r="Q109" s="3" t="str">
        <x:v>C002</x:v>
      </x:c>
      <x:c r="R109" s="3" t="str">
        <x:v>Pending Human Adjudication</x:v>
      </x:c>
      <x:c r="S109" s="3" t="str">
        <x:v>The control 3-month BMI count is 277 in the flow diagram and 271 in both the observed-BMI figure and eTable.</x:v>
      </x:c>
      <x:c r="T109" s="11" t="b">
        <x:v>1</x:v>
      </x:c>
      <x:c r="U109" s="3" t="str">
        <x:v>repeated_bmi_observation_count</x:v>
      </x:c>
      <x:c r="V109" s="3" t="str">
        <x:v>report_internal_inconsistency</x:v>
      </x:c>
      <x:c r="W109" s="3" t="str">
        <x:v>Control 3-month BMI-observation count differs across result displays</x:v>
      </x:c>
      <x:c r="X109" s="3" t="str">
        <x:v>2018</x:v>
      </x:c>
      <x:c r="Y109" s="3" t="str">
        <x:v>meta_report/consistency_reclassification_2026-09-04/reclassified_candidates.json</x:v>
      </x:c>
      <x:c r="Z109" s="3" t="str">
        <x:v>S_C</x:v>
      </x:c>
      <x:c r="AA109" s="3" t="str">
        <x:v>report_internal_inconsistency</x:v>
      </x:c>
      <x:c r="AB109" s="3" t="str">
        <x:v>retain</x:v>
      </x:c>
    </x:row>
    <x:row r="110" ht="90" customHeight="1">
      <x:c r="A110" s="12" t="b">
        <x:v>0</x:v>
      </x:c>
      <x:c r="B110" s="6" t="str">
        <x:v>Mixed main-flow versus main-graph and main-flow versus results-eTable comparison; graph/eTable agree. A cleaned descriptive subset could explain the counts, but its inclusion rule is absent. Each arm/visit is a distinct repeated-result record, not an identical duplicate.</x:v>
      </x:c>
      <x:c r="C110" s="12" t="b">
        <x:v>0</x:v>
      </x:c>
      <x:c r="D110" s="6" t="str">
        <x:v>Cross-document numeric inconsistency</x:v>
      </x:c>
      <x:c r="E110" s="12" t="b">
        <x:v>1</x:v>
      </x:c>
      <x:c r="F110" s="6" t="str">
        <x:v>C003</x:v>
      </x:c>
      <x:c r="G110" s="6" t="str">
        <x:v>2018::jama.2018.9128::C003</x:v>
      </x:c>
      <x:c r="H110" s="6"/>
      <x:c r="I110" s="6" t="str">
        <x:v>DOC-001 Figure 1 — PDF p. 3; DOC-001 Figure 2 — PDF p. 7; DOC-003 eTable 1 — PDF p. 2.</x:v>
      </x:c>
      <x:c r="J110" s="12" t="b">
        <x:v>1</x:v>
      </x:c>
      <x:c r="K110" s="6" t="str">
        <x:v>jama.2018.9128</x:v>
      </x:c>
      <x:c r="L110" s="6"/>
      <x:c r="M110" s="6" t="str">
        <x:v>S_C</x:v>
      </x:c>
      <x:c r="N110" s="6" t="str">
        <x:v>The intervention 9-month BMI count is 282 in the flow diagram and 280 in both the observed-BMI figure and eTable. The focal comparison is the main article versus a non-plan results supplement.</x:v>
      </x:c>
      <x:c r="O110" s="6" t="str">
        <x:v>../../2018/jama.2018.9128/.ai_paper_validation/final_report_1_5_2.html</x:v>
      </x:c>
      <x:c r="P110" s="6" t="str">
        <x:v>2018/jama.2018.9128/.ai_paper_validation/final_report_1_5_2.md</x:v>
      </x:c>
      <x:c r="Q110" s="6" t="str">
        <x:v>C003</x:v>
      </x:c>
      <x:c r="R110" s="6" t="str">
        <x:v>Pending Human Adjudication</x:v>
      </x:c>
      <x:c r="S110" s="6" t="str">
        <x:v>The intervention 9-month BMI count is 282 in the flow diagram and 280 in both the observed-BMI figure and eTable.</x:v>
      </x:c>
      <x:c r="T110" s="12" t="b">
        <x:v>1</x:v>
      </x:c>
      <x:c r="U110" s="6" t="str">
        <x:v>repeated_bmi_observation_count</x:v>
      </x:c>
      <x:c r="V110" s="6" t="str">
        <x:v>report_internal_inconsistency</x:v>
      </x:c>
      <x:c r="W110" s="6" t="str">
        <x:v>Intervention 9-month BMI-observation count differs across result displays</x:v>
      </x:c>
      <x:c r="X110" s="6" t="str">
        <x:v>2018</x:v>
      </x:c>
      <x:c r="Y110" s="6" t="str">
        <x:v>meta_report/consistency_reclassification_2026-09-04/reclassified_candidates.json</x:v>
      </x:c>
      <x:c r="Z110" s="6" t="str">
        <x:v>S_C</x:v>
      </x:c>
      <x:c r="AA110" s="6" t="str">
        <x:v>report_internal_inconsistency</x:v>
      </x:c>
      <x:c r="AB110" s="6" t="str">
        <x:v>retain</x:v>
      </x:c>
    </x:row>
    <x:row r="111" ht="90" customHeight="1">
      <x:c r="A111" s="11" t="b">
        <x:v>0</x:v>
      </x:c>
      <x:c r="B111" s="3" t="str">
        <x:v>Mixed main-flow versus main-graph and main-flow versus results-eTable comparison; graph/eTable agree. A cleaned descriptive subset could explain the counts, but its inclusion rule is absent. Each arm/visit is a distinct repeated-result record, not an identical duplicate.</x:v>
      </x:c>
      <x:c r="C111" s="11" t="b">
        <x:v>0</x:v>
      </x:c>
      <x:c r="D111" s="3" t="str">
        <x:v>Cross-document numeric inconsistency</x:v>
      </x:c>
      <x:c r="E111" s="11" t="b">
        <x:v>1</x:v>
      </x:c>
      <x:c r="F111" s="3" t="str">
        <x:v>C004</x:v>
      </x:c>
      <x:c r="G111" s="3" t="str">
        <x:v>2018::jama.2018.9128::C004</x:v>
      </x:c>
      <x:c r="H111" s="3"/>
      <x:c r="I111" s="3" t="str">
        <x:v>DOC-001 Figure 1 — PDF p. 3; DOC-001 Figure 2 — PDF p. 7; DOC-003 eTable 1 — PDF p. 2.</x:v>
      </x:c>
      <x:c r="J111" s="11" t="b">
        <x:v>1</x:v>
      </x:c>
      <x:c r="K111" s="3" t="str">
        <x:v>jama.2018.9128</x:v>
      </x:c>
      <x:c r="L111" s="3"/>
      <x:c r="M111" s="3" t="str">
        <x:v>S_C</x:v>
      </x:c>
      <x:c r="N111" s="3" t="str">
        <x:v>The intervention 12-month BMI count is 275 in the flow diagram and 274 in both the observed-BMI figure and eTable. The focal comparison is the main article versus a non-plan results supplement.</x:v>
      </x:c>
      <x:c r="O111" s="3" t="str">
        <x:v>../../2018/jama.2018.9128/.ai_paper_validation/final_report_1_5_2.html</x:v>
      </x:c>
      <x:c r="P111" s="3" t="str">
        <x:v>2018/jama.2018.9128/.ai_paper_validation/final_report_1_5_2.md</x:v>
      </x:c>
      <x:c r="Q111" s="3" t="str">
        <x:v>C004</x:v>
      </x:c>
      <x:c r="R111" s="3" t="str">
        <x:v>Pending Human Adjudication</x:v>
      </x:c>
      <x:c r="S111" s="3" t="str">
        <x:v>The intervention 12-month BMI count is 275 in the flow diagram and 274 in both the observed-BMI figure and eTable.</x:v>
      </x:c>
      <x:c r="T111" s="11" t="b">
        <x:v>1</x:v>
      </x:c>
      <x:c r="U111" s="3" t="str">
        <x:v>repeated_bmi_observation_count</x:v>
      </x:c>
      <x:c r="V111" s="3" t="str">
        <x:v>report_internal_inconsistency</x:v>
      </x:c>
      <x:c r="W111" s="3" t="str">
        <x:v>Intervention 12-month BMI-observation count differs across result displays</x:v>
      </x:c>
      <x:c r="X111" s="3" t="str">
        <x:v>2018</x:v>
      </x:c>
      <x:c r="Y111" s="3" t="str">
        <x:v>meta_report/consistency_reclassification_2026-09-04/reclassified_candidates.json</x:v>
      </x:c>
      <x:c r="Z111" s="3" t="str">
        <x:v>S_C</x:v>
      </x:c>
      <x:c r="AA111" s="3" t="str">
        <x:v>report_internal_inconsistency</x:v>
      </x:c>
      <x:c r="AB111" s="3" t="str">
        <x:v>retain</x:v>
      </x:c>
    </x:row>
    <x:row r="112" ht="90" customHeight="1">
      <x:c r="A112" s="12" t="b">
        <x:v>0</x:v>
      </x:c>
      <x:c r="B112" s="6" t="str">
        <x:v>Mixed main-flow versus main-graph and main-flow versus results-eTable comparison; graph/eTable agree. A cleaned descriptive subset could explain the counts, but its inclusion rule is absent. Each arm/visit is a distinct repeated-result record, not an identical duplicate.</x:v>
      </x:c>
      <x:c r="C112" s="12" t="b">
        <x:v>0</x:v>
      </x:c>
      <x:c r="D112" s="6" t="str">
        <x:v>Cross-document numeric inconsistency</x:v>
      </x:c>
      <x:c r="E112" s="12" t="b">
        <x:v>1</x:v>
      </x:c>
      <x:c r="F112" s="6" t="str">
        <x:v>C005</x:v>
      </x:c>
      <x:c r="G112" s="6" t="str">
        <x:v>2018::jama.2018.9128::C005</x:v>
      </x:c>
      <x:c r="H112" s="6"/>
      <x:c r="I112" s="6" t="str">
        <x:v>DOC-001 Figure 1 — PDF p. 3; DOC-001 Figure 2 — PDF p. 7; DOC-003 eTable 1 — PDF p. 2.</x:v>
      </x:c>
      <x:c r="J112" s="12" t="b">
        <x:v>1</x:v>
      </x:c>
      <x:c r="K112" s="6" t="str">
        <x:v>jama.2018.9128</x:v>
      </x:c>
      <x:c r="L112" s="6"/>
      <x:c r="M112" s="6" t="str">
        <x:v>S_C</x:v>
      </x:c>
      <x:c r="N112" s="6" t="str">
        <x:v>The control 12-month BMI count is 276 in the flow diagram and 275 in both the observed-BMI figure and eTable. The focal comparison is the main article versus a non-plan results supplement.</x:v>
      </x:c>
      <x:c r="O112" s="6" t="str">
        <x:v>../../2018/jama.2018.9128/.ai_paper_validation/final_report_1_5_2.html</x:v>
      </x:c>
      <x:c r="P112" s="6" t="str">
        <x:v>2018/jama.2018.9128/.ai_paper_validation/final_report_1_5_2.md</x:v>
      </x:c>
      <x:c r="Q112" s="6" t="str">
        <x:v>C005</x:v>
      </x:c>
      <x:c r="R112" s="6" t="str">
        <x:v>Pending Human Adjudication</x:v>
      </x:c>
      <x:c r="S112" s="6" t="str">
        <x:v>The control 12-month BMI count is 276 in the flow diagram and 275 in both the observed-BMI figure and eTable.</x:v>
      </x:c>
      <x:c r="T112" s="12" t="b">
        <x:v>1</x:v>
      </x:c>
      <x:c r="U112" s="6" t="str">
        <x:v>repeated_bmi_observation_count</x:v>
      </x:c>
      <x:c r="V112" s="6" t="str">
        <x:v>report_internal_inconsistency</x:v>
      </x:c>
      <x:c r="W112" s="6" t="str">
        <x:v>Control 12-month BMI-observation count differs across result displays</x:v>
      </x:c>
      <x:c r="X112" s="6" t="str">
        <x:v>2018</x:v>
      </x:c>
      <x:c r="Y112" s="6" t="str">
        <x:v>meta_report/consistency_reclassification_2026-09-04/reclassified_candidates.json</x:v>
      </x:c>
      <x:c r="Z112" s="6" t="str">
        <x:v>S_C</x:v>
      </x:c>
      <x:c r="AA112" s="6" t="str">
        <x:v>report_internal_inconsistency</x:v>
      </x:c>
      <x:c r="AB112" s="6" t="str">
        <x:v>retain</x:v>
      </x:c>
    </x:row>
    <x:row r="113" ht="90" customHeight="1">
      <x:c r="A113" s="11" t="b">
        <x:v>0</x:v>
      </x:c>
      <x:c r="B113" s="3" t="str">
        <x:v>Mixed main-flow versus main-graph and main-flow versus results-eTable comparison; graph/eTable agree. A cleaned descriptive subset could explain the counts, but its inclusion rule is absent. Each arm/visit is a distinct repeated-result record, not an identical duplicate.</x:v>
      </x:c>
      <x:c r="C113" s="11" t="b">
        <x:v>0</x:v>
      </x:c>
      <x:c r="D113" s="3" t="str">
        <x:v>Cross-document numeric inconsistency</x:v>
      </x:c>
      <x:c r="E113" s="11" t="b">
        <x:v>1</x:v>
      </x:c>
      <x:c r="F113" s="3" t="str">
        <x:v>C006</x:v>
      </x:c>
      <x:c r="G113" s="3" t="str">
        <x:v>2018::jama.2018.9128::C006</x:v>
      </x:c>
      <x:c r="H113" s="3"/>
      <x:c r="I113" s="3" t="str">
        <x:v>DOC-001 Figure 1 — PDF p. 3; DOC-001 Figure 2 — PDF p. 7; DOC-003 eTable 1 — PDF p. 2.</x:v>
      </x:c>
      <x:c r="J113" s="11" t="b">
        <x:v>1</x:v>
      </x:c>
      <x:c r="K113" s="3" t="str">
        <x:v>jama.2018.9128</x:v>
      </x:c>
      <x:c r="L113" s="3"/>
      <x:c r="M113" s="3" t="str">
        <x:v>S_C</x:v>
      </x:c>
      <x:c r="N113" s="3" t="str">
        <x:v>The intervention 24-month BMI count is 280 in the flow diagram and 278 in both the observed-BMI figure and eTable. The focal comparison is the main article versus a non-plan results supplement.</x:v>
      </x:c>
      <x:c r="O113" s="3" t="str">
        <x:v>../../2018/jama.2018.9128/.ai_paper_validation/final_report_1_5_2.html</x:v>
      </x:c>
      <x:c r="P113" s="3" t="str">
        <x:v>2018/jama.2018.9128/.ai_paper_validation/final_report_1_5_2.md</x:v>
      </x:c>
      <x:c r="Q113" s="3" t="str">
        <x:v>C006</x:v>
      </x:c>
      <x:c r="R113" s="3" t="str">
        <x:v>Pending Human Adjudication</x:v>
      </x:c>
      <x:c r="S113" s="3" t="str">
        <x:v>The intervention 24-month BMI count is 280 in the flow diagram and 278 in both the observed-BMI figure and eTable.</x:v>
      </x:c>
      <x:c r="T113" s="11" t="b">
        <x:v>1</x:v>
      </x:c>
      <x:c r="U113" s="3" t="str">
        <x:v>repeated_bmi_observation_count</x:v>
      </x:c>
      <x:c r="V113" s="3" t="str">
        <x:v>report_internal_inconsistency</x:v>
      </x:c>
      <x:c r="W113" s="3" t="str">
        <x:v>Intervention 24-month BMI-observation count differs across result displays</x:v>
      </x:c>
      <x:c r="X113" s="3" t="str">
        <x:v>2018</x:v>
      </x:c>
      <x:c r="Y113" s="3" t="str">
        <x:v>meta_report/consistency_reclassification_2026-09-04/reclassified_candidates.json</x:v>
      </x:c>
      <x:c r="Z113" s="3" t="str">
        <x:v>S_C</x:v>
      </x:c>
      <x:c r="AA113" s="3" t="str">
        <x:v>report_internal_inconsistency</x:v>
      </x:c>
      <x:c r="AB113" s="3" t="str">
        <x:v>retain</x:v>
      </x:c>
    </x:row>
    <x:row r="114" ht="90" customHeight="1">
      <x:c r="A114" s="12" t="b">
        <x:v>0</x:v>
      </x:c>
      <x:c r="B114" s="6" t="str">
        <x:v>Mixed main-flow versus main-graph and main-flow versus results-eTable comparison; graph/eTable agree. A cleaned descriptive subset could explain the counts, but its inclusion rule is absent. Each arm/visit is a distinct repeated-result record, not an identical duplicate.</x:v>
      </x:c>
      <x:c r="C114" s="12" t="b">
        <x:v>0</x:v>
      </x:c>
      <x:c r="D114" s="6" t="str">
        <x:v>Cross-document numeric inconsistency</x:v>
      </x:c>
      <x:c r="E114" s="12" t="b">
        <x:v>1</x:v>
      </x:c>
      <x:c r="F114" s="6" t="str">
        <x:v>C007</x:v>
      </x:c>
      <x:c r="G114" s="6" t="str">
        <x:v>2018::jama.2018.9128::C007</x:v>
      </x:c>
      <x:c r="H114" s="6"/>
      <x:c r="I114" s="6" t="str">
        <x:v>DOC-001 Figure 1 — PDF p. 3; DOC-001 Figure 2 — PDF p. 7; DOC-003 eTable 1 — PDF p. 2.</x:v>
      </x:c>
      <x:c r="J114" s="12" t="b">
        <x:v>1</x:v>
      </x:c>
      <x:c r="K114" s="6" t="str">
        <x:v>jama.2018.9128</x:v>
      </x:c>
      <x:c r="L114" s="6"/>
      <x:c r="M114" s="6" t="str">
        <x:v>S_C</x:v>
      </x:c>
      <x:c r="N114" s="6" t="str">
        <x:v>The control 24-month BMI count is 267 in the flow diagram and 266 in both the observed-BMI figure and eTable. The focal comparison is the main article versus a non-plan results supplement.</x:v>
      </x:c>
      <x:c r="O114" s="6" t="str">
        <x:v>../../2018/jama.2018.9128/.ai_paper_validation/final_report_1_5_2.html</x:v>
      </x:c>
      <x:c r="P114" s="6" t="str">
        <x:v>2018/jama.2018.9128/.ai_paper_validation/final_report_1_5_2.md</x:v>
      </x:c>
      <x:c r="Q114" s="6" t="str">
        <x:v>C007</x:v>
      </x:c>
      <x:c r="R114" s="6" t="str">
        <x:v>Pending Human Adjudication</x:v>
      </x:c>
      <x:c r="S114" s="6" t="str">
        <x:v>The control 24-month BMI count is 267 in the flow diagram and 266 in both the observed-BMI figure and eTable.</x:v>
      </x:c>
      <x:c r="T114" s="12" t="b">
        <x:v>1</x:v>
      </x:c>
      <x:c r="U114" s="6" t="str">
        <x:v>repeated_bmi_observation_count</x:v>
      </x:c>
      <x:c r="V114" s="6" t="str">
        <x:v>report_internal_inconsistency</x:v>
      </x:c>
      <x:c r="W114" s="6" t="str">
        <x:v>Control 24-month BMI-observation count differs across result displays</x:v>
      </x:c>
      <x:c r="X114" s="6" t="str">
        <x:v>2018</x:v>
      </x:c>
      <x:c r="Y114" s="6" t="str">
        <x:v>meta_report/consistency_reclassification_2026-09-04/reclassified_candidates.json</x:v>
      </x:c>
      <x:c r="Z114" s="6" t="str">
        <x:v>S_C</x:v>
      </x:c>
      <x:c r="AA114" s="6" t="str">
        <x:v>report_internal_inconsistency</x:v>
      </x:c>
      <x:c r="AB114" s="6" t="str">
        <x:v>retain</x:v>
      </x:c>
    </x:row>
    <x:row r="115" ht="90" customHeight="1">
      <x:c r="A115" s="11" t="b">
        <x:v>0</x:v>
      </x:c>
      <x:c r="B115" s="3" t="str">
        <x:v>Mixed main-flow versus main-graph and main-flow versus results-eTable comparison; graph/eTable agree. A cleaned descriptive subset could explain the counts, but its inclusion rule is absent. Each arm/visit is a distinct repeated-result record, not an identical duplicate.</x:v>
      </x:c>
      <x:c r="C115" s="11" t="b">
        <x:v>0</x:v>
      </x:c>
      <x:c r="D115" s="3" t="str">
        <x:v>Cross-document numeric inconsistency</x:v>
      </x:c>
      <x:c r="E115" s="11" t="b">
        <x:v>1</x:v>
      </x:c>
      <x:c r="F115" s="3" t="str">
        <x:v>C008</x:v>
      </x:c>
      <x:c r="G115" s="3" t="str">
        <x:v>2018::jama.2018.9128::C008</x:v>
      </x:c>
      <x:c r="H115" s="3"/>
      <x:c r="I115" s="3" t="str">
        <x:v>DOC-001 Figure 1 — PDF p. 3; DOC-001 Figure 2 — PDF p. 7; DOC-003 eTable 1 — PDF p. 2.</x:v>
      </x:c>
      <x:c r="J115" s="11" t="b">
        <x:v>1</x:v>
      </x:c>
      <x:c r="K115" s="3" t="str">
        <x:v>jama.2018.9128</x:v>
      </x:c>
      <x:c r="L115" s="3"/>
      <x:c r="M115" s="3" t="str">
        <x:v>S_C</x:v>
      </x:c>
      <x:c r="N115" s="3" t="str">
        <x:v>The intervention 36-month count is 278 retained/BMI collected in the flow diagram and 276 in both the observed-BMI figure and eTable. The focal comparison is the main article versus a non-plan results supplement.</x:v>
      </x:c>
      <x:c r="O115" s="3" t="str">
        <x:v>../../2018/jama.2018.9128/.ai_paper_validation/final_report_1_5_2.html</x:v>
      </x:c>
      <x:c r="P115" s="3" t="str">
        <x:v>2018/jama.2018.9128/.ai_paper_validation/final_report_1_5_2.md</x:v>
      </x:c>
      <x:c r="Q115" s="3" t="str">
        <x:v>C008</x:v>
      </x:c>
      <x:c r="R115" s="3" t="str">
        <x:v>Pending Human Adjudication</x:v>
      </x:c>
      <x:c r="S115" s="3" t="str">
        <x:v>The intervention 36-month count is 278 retained/BMI collected in the flow diagram and 276 in both the observed-BMI figure and eTable.</x:v>
      </x:c>
      <x:c r="T115" s="11" t="b">
        <x:v>1</x:v>
      </x:c>
      <x:c r="U115" s="3" t="str">
        <x:v>repeated_bmi_observation_count</x:v>
      </x:c>
      <x:c r="V115" s="3" t="str">
        <x:v>report_internal_inconsistency</x:v>
      </x:c>
      <x:c r="W115" s="3" t="str">
        <x:v>Intervention 36-month BMI-observation count differs across result displays</x:v>
      </x:c>
      <x:c r="X115" s="3" t="str">
        <x:v>2018</x:v>
      </x:c>
      <x:c r="Y115" s="3" t="str">
        <x:v>meta_report/consistency_reclassification_2026-09-04/reclassified_candidates.json</x:v>
      </x:c>
      <x:c r="Z115" s="3" t="str">
        <x:v>S_C</x:v>
      </x:c>
      <x:c r="AA115" s="3" t="str">
        <x:v>report_internal_inconsistency</x:v>
      </x:c>
      <x:c r="AB115" s="3" t="str">
        <x:v>retain</x:v>
      </x:c>
    </x:row>
    <x:row r="116" ht="90" customHeight="1">
      <x:c r="A116" s="12" t="b">
        <x:v>0</x:v>
      </x:c>
      <x:c r="B116" s="6" t="str">
        <x:v>P_P only; printed 24-month results do not establish that the primary model used that occasion.</x:v>
      </x:c>
      <x:c r="C116" s="12" t="b">
        <x:v>1</x:v>
      </x:c>
      <x:c r="D116" s="6" t="str">
        <x:v>Numeric or arithmetic inconsistency</x:v>
      </x:c>
      <x:c r="E116" s="12" t="b">
        <x:v>0</x:v>
      </x:c>
      <x:c r="F116" s="6" t="str">
        <x:v>C009</x:v>
      </x:c>
      <x:c r="G116" s="6" t="str">
        <x:v>2018::jama.2018.9128::C009</x:v>
      </x:c>
      <x:c r="H116" s="6"/>
      <x:c r="I116" s="6" t="str">
        <x:v>DOC-002 final SAP — PDF p. 110; DOC-002 protocol schedule — PDF p. 15; DOC-001 Methods — PDF p. 4; DOC-003 eTable 1 — PDF p. 2.</x:v>
      </x:c>
      <x:c r="J116" s="12" t="b">
        <x:v>0</x:v>
      </x:c>
      <x:c r="K116" s="6" t="str">
        <x:v>jama.2018.9128</x:v>
      </x:c>
      <x:c r="L116" s="6"/>
      <x:c r="M116" s="6" t="str">
        <x:v>P_P</x:v>
      </x:c>
      <x:c r="N116" s="6" t="str">
        <x:v>The final SAP says six timepoints but enumerates only five. The protocol schedule and article/eTable corroborate 24 months as the likely missing item; the focal contradiction is the SAP total versus its own list.</x:v>
      </x:c>
      <x:c r="O116" s="6" t="str">
        <x:v>../../2018/jama.2018.9128/.ai_paper_validation/final_report_1_5_2.html</x:v>
      </x:c>
      <x:c r="P116" s="6" t="str">
        <x:v>2018/jama.2018.9128/.ai_paper_validation/final_report_1_5_2.md</x:v>
      </x:c>
      <x:c r="Q116" s="6" t="str">
        <x:v>C009</x:v>
      </x:c>
      <x:c r="R116" s="6" t="str">
        <x:v>Pending Human Adjudication</x:v>
      </x:c>
      <x:c r="S116" s="6" t="str">
        <x:v>The final SAP states six time points but its parenthetical schedule lists only baseline, 3, 9, 12, and 36 months.</x:v>
      </x:c>
      <x:c r="T116" s="12" t="b">
        <x:v>0</x:v>
      </x:c>
      <x:c r="U116" s="6" t="str">
        <x:v>planned_schedule_list_count</x:v>
      </x:c>
      <x:c r="V116" s="6" t="str">
        <x:v>plan_material</x:v>
      </x:c>
      <x:c r="W116" s="6" t="str">
        <x:v>Final SAP says six assessment points but enumerates five</x:v>
      </x:c>
      <x:c r="X116" s="6" t="str">
        <x:v>2018</x:v>
      </x:c>
      <x:c r="Y116" s="6" t="str">
        <x:v>meta_report/consistency_reclassification_2026-09-04/reclassified_candidates.json</x:v>
      </x:c>
      <x:c r="Z116" s="6" t="str">
        <x:v>P_P</x:v>
      </x:c>
      <x:c r="AA116" s="6" t="str">
        <x:v>plan_material</x:v>
      </x:c>
      <x:c r="AB116" s="6" t="str">
        <x:v>retain</x:v>
      </x:c>
    </x:row>
    <x:row r="117" ht="90" customHeight="1">
      <x:c r="A117" s="11" t="b">
        <x:v>0</x:v>
      </x:c>
      <x:c r="B117" s="3" t="str">
        <x:v>A separately approved 48-month extension outside the six core visits could reconcile the wording; amendment chronology is absent.</x:v>
      </x:c>
      <x:c r="C117" s="11" t="b">
        <x:v>1</x:v>
      </x:c>
      <x:c r="D117" s="3" t="str">
        <x:v>Denominator, proportion, or total inconsistency</x:v>
      </x:c>
      <x:c r="E117" s="11" t="b">
        <x:v>0</x:v>
      </x:c>
      <x:c r="F117" s="3" t="str">
        <x:v>C010</x:v>
      </x:c>
      <x:c r="G117" s="3" t="str">
        <x:v>2018::jama.2018.9128::C010</x:v>
      </x:c>
      <x:c r="H117" s="3"/>
      <x:c r="I117" s="3" t="str">
        <x:v>DOC-002 revised protocol — PDF p. 64; DOC-001 Methods — PDF p. 4; DOC-003 eTable 1 — PDF p. 2.</x:v>
      </x:c>
      <x:c r="J117" s="11" t="b">
        <x:v>0</x:v>
      </x:c>
      <x:c r="K117" s="3" t="str">
        <x:v>jama.2018.9128</x:v>
      </x:c>
      <x:c r="L117" s="3"/>
      <x:c r="M117" s="3" t="str">
        <x:v>P_P</x:v>
      </x:c>
      <x:c r="N117" s="3" t="str">
        <x:v>The revised protocol says six points/T1-T6 but enumerates seven including 48 months, and elsewhere on the page says seven. The article/eTable 36-month horizon is contextual; no missing published 48-month outcome is counted as a report-versus-plan discrepancy.</x:v>
      </x:c>
      <x:c r="O117" s="3" t="str">
        <x:v>../../2018/jama.2018.9128/.ai_paper_validation/final_report_1_5_2.html</x:v>
      </x:c>
      <x:c r="P117" s="3" t="str">
        <x:v>2018/jama.2018.9128/.ai_paper_validation/final_report_1_5_2.md</x:v>
      </x:c>
      <x:c r="Q117" s="3" t="str">
        <x:v>C010</x:v>
      </x:c>
      <x:c r="R117" s="3" t="str">
        <x:v>Pending Human Adjudication</x:v>
      </x:c>
      <x:c r="S117" s="3" t="str">
        <x:v>The revised protocol calls the schedule six points/T1-T6 while listing seven occasions, including 48 months.</x:v>
      </x:c>
      <x:c r="T117" s="11" t="b">
        <x:v>0</x:v>
      </x:c>
      <x:c r="U117" s="3" t="str">
        <x:v>planned_schedule_list_count</x:v>
      </x:c>
      <x:c r="V117" s="3" t="str">
        <x:v>plan_material</x:v>
      </x:c>
      <x:c r="W117" s="3" t="str">
        <x:v>Revised protocol gives six points but lists seven including 48 months</x:v>
      </x:c>
      <x:c r="X117" s="3" t="str">
        <x:v>2018</x:v>
      </x:c>
      <x:c r="Y117" s="3" t="str">
        <x:v>meta_report/consistency_reclassification_2026-09-04/reclassified_candidates.json</x:v>
      </x:c>
      <x:c r="Z117" s="3" t="str">
        <x:v>P_P</x:v>
      </x:c>
      <x:c r="AA117" s="3" t="str">
        <x:v>plan_material</x:v>
      </x:c>
      <x:c r="AB117" s="3" t="str">
        <x:v>retain</x:v>
      </x:c>
    </x:row>
    <x:row r="118" ht="90" customHeight="1">
      <x:c r="A118" s="12" t="b">
        <x:v>0</x:v>
      </x:c>
      <x:c r="B118" s="6" t="str">
        <x:v>Mixed plan/report and plan-internal relationships. The original label may have been shorthand/typo or the scale may have changed; the amendment summary mentions model changes but does not explain this label transition.</x:v>
      </x:c>
      <x:c r="C118" s="12" t="b">
        <x:v>1</x:v>
      </x:c>
      <x:c r="D118" s="6" t="str">
        <x:v>Measure, label, or scale inconsistency</x:v>
      </x:c>
      <x:c r="E118" s="12" t="b">
        <x:v>1</x:v>
      </x:c>
      <x:c r="F118" s="6" t="str">
        <x:v>C011</x:v>
      </x:c>
      <x:c r="G118" s="6" t="str">
        <x:v>2018::jama.2018.9128::C011</x:v>
      </x:c>
      <x:c r="H118" s="6"/>
      <x:c r="I118" s="6" t="str">
        <x:v>DOC-002 original protocol — PDF p. 16; DOC-002 final SAP — PDF p. 110; DOC-001 Outcomes — PDF p. 3; DOC-003 eTable 1 — PDF p. 2.</x:v>
      </x:c>
      <x:c r="J118" s="12" t="b">
        <x:v>0</x:v>
      </x:c>
      <x:c r="K118" s="6" t="str">
        <x:v>jama.2018.9128</x:v>
      </x:c>
      <x:c r="L118" s="6" t="str">
        <x:v>endpoint_definition_window_hierarchy</x:v>
      </x:c>
      <x:c r="M118" s="6" t="str">
        <x:v>P_R</x:v>
      </x:c>
      <x:c r="N118" s="6" t="str">
        <x:v>Original protocol BMI Percentile/BMI% wording differs from the final SAP and article/results raw BMI kg/m2 measure, and the original protocol itself supplies the raw-BMI formula. This is explicitly a planned-versus-reported outcome-scale comparison plus an internal/across-version plan-label inconsistency.</x:v>
      </x:c>
      <x:c r="O118" s="6" t="str">
        <x:v>../../2018/jama.2018.9128/.ai_paper_validation/final_report_1_5_2.html</x:v>
      </x:c>
      <x:c r="P118" s="6" t="str">
        <x:v>2018/jama.2018.9128/.ai_paper_validation/final_report_1_5_2.md</x:v>
      </x:c>
      <x:c r="Q118" s="6" t="str">
        <x:v>C011</x:v>
      </x:c>
      <x:c r="R118" s="6" t="str">
        <x:v>Pending Human Adjudication</x:v>
      </x:c>
      <x:c r="S118" s="6" t="str">
        <x:v>The original protocol labels the primary outcome BMI Percentile/BMI%, whereas the final SAP, article, and eTable report raw BMI in kg/m².</x:v>
      </x:c>
      <x:c r="T118" s="12" t="b">
        <x:v>0</x:v>
      </x:c>
      <x:c r="U118" s="6" t="str">
        <x:v>planned_vs_reported_outcome_scale</x:v>
      </x:c>
      <x:c r="V118" s="6" t="str">
        <x:v>protocol_report</x:v>
      </x:c>
      <x:c r="W118" s="6" t="str">
        <x:v>Original protocol labels primary outcome as BMI percentile/BMI% while results use BMI kg/m²</x:v>
      </x:c>
      <x:c r="X118" s="6" t="str">
        <x:v>2018</x:v>
      </x:c>
      <x:c r="Y118" s="6" t="str">
        <x:v>meta_report/consistency_reclassification_2026-09-04/reclassified_candidates.json</x:v>
      </x:c>
      <x:c r="Z118" s="6" t="str">
        <x:v>P_R</x:v>
      </x:c>
      <x:c r="AA118" s="6" t="str">
        <x:v>protocol_report</x:v>
      </x:c>
      <x:c r="AB118" s="6" t="str">
        <x:v>retain</x:v>
      </x:c>
    </x:row>
    <x:row r="119" ht="90" customHeight="1">
      <x:c r="A119" s="11" t="b">
        <x:v>0</x:v>
      </x:c>
      <x:c r="B119" s="3" t="str">
        <x:v>Mixed between-plan-version and report-versus-plan relationships. Successive amendments, ancillary components, baseline/48-month visits, and actual delivery could explain the differences; no mapping or delivery logs are supplied.</x:v>
      </x:c>
      <x:c r="C119" s="11" t="b">
        <x:v>1</x:v>
      </x:c>
      <x:c r="D119" s="3" t="str">
        <x:v>Cross-document numeric inconsistency</x:v>
      </x:c>
      <x:c r="E119" s="11" t="b">
        <x:v>1</x:v>
      </x:c>
      <x:c r="F119" s="3" t="str">
        <x:v>C012</x:v>
      </x:c>
      <x:c r="G119" s="3" t="str">
        <x:v>2018::jama.2018.9128::C012</x:v>
      </x:c>
      <x:c r="H119" s="3"/>
      <x:c r="I119" s="3" t="str">
        <x:v>DOC-002 original protocol — PDF p. 14; DOC-002 revised protocol — PDF p. 64; DOC-001 abstract — PDF p. 1; DOC-001 Methods — PDF p. 3.</x:v>
      </x:c>
      <x:c r="J119" s="11" t="b">
        <x:v>1</x:v>
      </x:c>
      <x:c r="K119" s="3" t="str">
        <x:v>jama.2018.9128</x:v>
      </x:c>
      <x:c r="L119" s="3" t="str">
        <x:v>intervention_delivery</x:v>
      </x:c>
      <x:c r="M119" s="3" t="str">
        <x:v>P_R</x:v>
      </x:c>
      <x:c r="N119" s="3" t="str">
        <x:v>Control exposure is 12x60 minutes in the original protocol, 7x45 in the revised protocol, and 6x30 in the article. The card expressly compares both plan versions and their relation to the reported intervention, so P_R and P_P apply.</x:v>
      </x:c>
      <x:c r="O119" s="3" t="str">
        <x:v>../../2018/jama.2018.9128/.ai_paper_validation/final_report_1_5_2.html</x:v>
      </x:c>
      <x:c r="P119" s="3" t="str">
        <x:v>2018/jama.2018.9128/.ai_paper_validation/final_report_1_5_2.md</x:v>
      </x:c>
      <x:c r="Q119" s="3" t="str">
        <x:v>C012</x:v>
      </x:c>
      <x:c r="R119" s="3" t="str">
        <x:v>Pending Human Adjudication</x:v>
      </x:c>
      <x:c r="S119" s="3" t="str">
        <x:v>The supplied original protocol, revised protocol, and article describe control exposure as 12×60, 7×45, and 6×30 minutes, respectively, without a supplied component mapping.</x:v>
      </x:c>
      <x:c r="T119" s="11" t="b">
        <x:v>0</x:v>
      </x:c>
      <x:c r="U119" s="3" t="str">
        <x:v>planned_vs_reported_control_exposure</x:v>
      </x:c>
      <x:c r="V119" s="3" t="str">
        <x:v>protocol_report</x:v>
      </x:c>
      <x:c r="W119" s="3" t="str">
        <x:v>Control-condition session count and duration differ across protocol versions and article</x:v>
      </x:c>
      <x:c r="X119" s="3" t="str">
        <x:v>2018</x:v>
      </x:c>
      <x:c r="Y119" s="3" t="str">
        <x:v>meta_report/consistency_reclassification_2026-09-04/reclassified_candidates.json</x:v>
      </x:c>
      <x:c r="Z119" s="3" t="str">
        <x:v>P_R</x:v>
      </x:c>
      <x:c r="AA119" s="3" t="str">
        <x:v>protocol_report</x:v>
      </x:c>
      <x:c r="AB119" s="3" t="str">
        <x:v>retain</x:v>
      </x:c>
    </x:row>
    <x:row r="120" ht="90" customHeight="1">
      <x:c r="A120" s="12" t="b">
        <x:v>0</x:v>
      </x:c>
      <x:c r="B120" s="6" t="str">
        <x:v>Mixed main-flow versus main-graph and main-flow versus results-eTable comparison; graph/eTable agree. A cleaned descriptive subset could explain the counts, but its inclusion rule is absent. Each arm/visit is a distinct repeated-result record, not an identical duplicate.</x:v>
      </x:c>
      <x:c r="C120" s="12" t="b">
        <x:v>0</x:v>
      </x:c>
      <x:c r="D120" s="6" t="str">
        <x:v>Cross-document numeric inconsistency</x:v>
      </x:c>
      <x:c r="E120" s="12" t="b">
        <x:v>1</x:v>
      </x:c>
      <x:c r="F120" s="6" t="str">
        <x:v>C013</x:v>
      </x:c>
      <x:c r="G120" s="6" t="str">
        <x:v>2018::jama.2018.9128::C013</x:v>
      </x:c>
      <x:c r="H120" s="6"/>
      <x:c r="I120" s="6" t="str">
        <x:v>DOC-001 Figure 1 — PDF p. 3; DOC-001 Figure 2 — PDF p. 7; DOC-003 eTable 1 — PDF p. 2.</x:v>
      </x:c>
      <x:c r="J120" s="12" t="b">
        <x:v>1</x:v>
      </x:c>
      <x:c r="K120" s="6" t="str">
        <x:v>jama.2018.9128</x:v>
      </x:c>
      <x:c r="L120" s="6"/>
      <x:c r="M120" s="6" t="str">
        <x:v>S_C</x:v>
      </x:c>
      <x:c r="N120" s="6" t="str">
        <x:v>The control 9-month BMI count is 282 in the flow diagram and 280 in both the observed-BMI figure and eTable. The focal comparison is the main article versus a non-plan results supplement.</x:v>
      </x:c>
      <x:c r="O120" s="6" t="str">
        <x:v>../../2018/jama.2018.9128/.ai_paper_validation/final_report_1_5_2.html</x:v>
      </x:c>
      <x:c r="P120" s="6" t="str">
        <x:v>2018/jama.2018.9128/.ai_paper_validation/final_report_1_5_2.md</x:v>
      </x:c>
      <x:c r="Q120" s="6" t="str">
        <x:v>C013</x:v>
      </x:c>
      <x:c r="R120" s="6" t="str">
        <x:v>Pending Human Adjudication</x:v>
      </x:c>
      <x:c r="S120" s="6" t="str">
        <x:v>The control 9-month BMI count is 282 in the flow diagram and 280 in both the observed-BMI figure and eTable.</x:v>
      </x:c>
      <x:c r="T120" s="12" t="b">
        <x:v>1</x:v>
      </x:c>
      <x:c r="U120" s="6" t="str">
        <x:v>repeated_bmi_observation_count</x:v>
      </x:c>
      <x:c r="V120" s="6" t="str">
        <x:v>report_internal_inconsistency</x:v>
      </x:c>
      <x:c r="W120" s="6" t="str">
        <x:v>Control 9-month BMI-observation count differs across result displays</x:v>
      </x:c>
      <x:c r="X120" s="6" t="str">
        <x:v>2018</x:v>
      </x:c>
      <x:c r="Y120" s="6" t="str">
        <x:v>meta_report/consistency_reclassification_2026-09-04/reclassified_candidates.json</x:v>
      </x:c>
      <x:c r="Z120" s="6" t="str">
        <x:v>S_C</x:v>
      </x:c>
      <x:c r="AA120" s="6" t="str">
        <x:v>report_internal_inconsistency</x:v>
      </x:c>
      <x:c r="AB120" s="6" t="str">
        <x:v>retain</x:v>
      </x:c>
    </x:row>
  </x:sheetData>
  <x:pageMargins left="0.7" right="0.7" top="0.75" bottom="0.75" header="0.3" footer="0.3"/>
  <x:tableParts count="1">
    <x:tablePart xmlns:r="http://schemas.openxmlformats.org/officeDocument/2006/relationships" r:id="R20a6a30723394b0f"/>
  </x:tableParts>
</x:worksheet>
</file>

<file path=xl/worksheets/sheet20.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44" hidden="0" customWidth="1"/>
    <x:col min="2" max="2" width="26" hidden="0" customWidth="1"/>
    <x:col min="3" max="3" width="26" hidden="0" customWidth="1"/>
    <x:col min="4" max="4" width="115" hidden="0" customWidth="1"/>
  </x:cols>
  <x:sheetData>
    <x:row r="1" ht="42" customHeight="1">
      <x:c r="A1" s="5" t="str">
        <x:v>key</x:v>
      </x:c>
      <x:c r="B1" s="5" t="str">
        <x:v>order</x:v>
      </x:c>
      <x:c r="C1" s="5" t="str">
        <x:v>section</x:v>
      </x:c>
      <x:c r="D1" s="5" t="str">
        <x:v>text</x:v>
      </x:c>
    </x:row>
    <x:row r="2" ht="180" customHeight="1">
      <x:c r="A2" s="6" t="str">
        <x:v>2018::jama.2017.21906::C001</x:v>
      </x:c>
      <x:c r="B2" s="6" t="n">
        <x:v>0</x:v>
      </x:c>
      <x:c r="C2" s="6" t="str">
        <x:v>Source evidence</x:v>
      </x:c>
      <x:c r="D2" s="6" t="str">
        <x:v>Table 2 prints adjusted risk difference 6.25% (95% CI, 4.10% to 8.40%) and OR 1.46 (1.29 to 1.65). The adjacent narrative prints 6.25% (4.10% to 8.10%) and OR 1.46 (1.29 to 1.65).</x:v>
      </x:c>
    </x:row>
    <x:row r="3" ht="180" customHeight="1">
      <x:c r="A3" s="3" t="str">
        <x:v>2018::jama.2017.21906::C001</x:v>
      </x:c>
      <x:c r="B3" s="3" t="n">
        <x:v>1</x:v>
      </x:c>
      <x:c r="C3" s="3" t="str">
        <x:v>Reported-versus-comparator</x:v>
      </x:c>
      <x:c r="D3" s="3" t="str">
        <x:v>Table upper endpoint 8.40% versus narrative upper endpoint 8.10%; the point estimate, lower endpoint, OR, and OR interval agree as printed.</x:v>
      </x:c>
    </x:row>
    <x:row r="4" ht="180" customHeight="1">
      <x:c r="A4" s="6" t="str">
        <x:v>2018::jama.2017.21906::C001</x:v>
      </x:c>
      <x:c r="B4" s="6" t="n">
        <x:v>2</x:v>
      </x:c>
      <x:c r="C4" s="6" t="str">
        <x:v>Calculation</x:v>
      </x:c>
      <x:c r="D4" s="6" t="str">
        <x:v>8.40 - 8.10 = 0.30 percentage point.</x:v>
      </x:c>
    </x:row>
    <x:row r="5" ht="180" customHeight="1">
      <x:c r="A5" s="3" t="str">
        <x:v>2018::jama.2017.21906::C001</x:v>
      </x:c>
      <x:c r="B5" s="3" t="n">
        <x:v>3</x:v>
      </x:c>
      <x:c r="C5" s="3" t="str">
        <x:v>Alternative source-grounded interpretations</x:v>
      </x:c>
      <x:c r="D5" s="3" t="str">
        <x:v>One occurrence may be a transcription/production error, or the narrative may use an unlabelled distinct output. The supplied package does not establish either explanation or which endpoint is supported by final model output.</x:v>
      </x:c>
    </x:row>
    <x:row r="6" ht="180" customHeight="1">
      <x:c r="A6" s="6" t="str">
        <x:v>2018::jama.2017.21906::C002</x:v>
      </x:c>
      <x:c r="B6" s="6" t="n">
        <x:v>0</x:v>
      </x:c>
      <x:c r="C6" s="6" t="str">
        <x:v>Source evidence</x:v>
      </x:c>
      <x:c r="D6" s="6" t="str">
        <x:v>Table 2 prints risk difference 6.69% (4.43% to 8.95%) and OR 1.48 (1.30 to 1.68). The narrative prints 6.63% with 4.43% to 8.95% and OR 1.47 with 1.30 to 1.68.</x:v>
      </x:c>
    </x:row>
    <x:row r="7" ht="180" customHeight="1">
      <x:c r="A7" s="3" t="str">
        <x:v>2018::jama.2017.21906::C002</x:v>
      </x:c>
      <x:c r="B7" s="3" t="n">
        <x:v>1</x:v>
      </x:c>
      <x:c r="C7" s="3" t="str">
        <x:v>Reported-versus-comparator</x:v>
      </x:c>
      <x:c r="D7" s="3" t="str">
        <x:v>Table 2 6.69%/1.48 versus narrative 6.63%/1.47, with both printed risk-difference and OR intervals identical.</x:v>
      </x:c>
    </x:row>
    <x:row r="8" ht="180" customHeight="1">
      <x:c r="A8" s="6" t="str">
        <x:v>2018::jama.2017.21906::C002</x:v>
      </x:c>
      <x:c r="B8" s="6" t="n">
        <x:v>2</x:v>
      </x:c>
      <x:c r="C8" s="6" t="str">
        <x:v>Calculation</x:v>
      </x:c>
      <x:c r="D8" s="6" t="str">
        <x:v>6.69 - 6.63 = 0.06 percentage point; 1.48 - 1.47 = 0.01.</x:v>
      </x:c>
    </x:row>
    <x:row r="9" ht="180" customHeight="1">
      <x:c r="A9" s="3" t="str">
        <x:v>2018::jama.2017.21906::C002</x:v>
      </x:c>
      <x:c r="B9" s="3" t="n">
        <x:v>3</x:v>
      </x:c>
      <x:c r="C9" s="3" t="str">
        <x:v>Alternative source-grounded interpretations</x:v>
      </x:c>
      <x:c r="D9" s="3" t="str">
        <x:v>A transcription/output-selection issue or an unlabelled distinct analytic run could explain the values. The package lacks unrounded output, code, and production history, so no cause is established.</x:v>
      </x:c>
    </x:row>
    <x:row r="10" ht="180" customHeight="1">
      <x:c r="A10" s="6" t="str">
        <x:v>2018::jama.2017.21906::C003</x:v>
      </x:c>
      <x:c r="B10" s="6" t="n">
        <x:v>0</x:v>
      </x:c>
      <x:c r="C10" s="6" t="str">
        <x:v>Source evidence</x:v>
      </x:c>
      <x:c r="D10" s="6" t="str">
        <x:v>The columns are Complete Follow Up (n=21,079), Missing Follow Up (n=295), and Difference (95% CI); footnote a states Difference = intervention minus control.</x:v>
      </x:c>
    </x:row>
    <x:row r="11" ht="180" customHeight="1">
      <x:c r="A11" s="3" t="str">
        <x:v>2018::jama.2017.21906::C003</x:v>
      </x:c>
      <x:c r="B11" s="3" t="n">
        <x:v>1</x:v>
      </x:c>
      <x:c r="C11" s="3" t="str">
        <x:v>Reported-versus-comparator</x:v>
      </x:c>
      <x:c r="D11" s="3" t="str">
        <x:v>The footnote names intervention/control, while the displayed comparison groups are complete/missing follow-up.</x:v>
      </x:c>
    </x:row>
    <x:row r="12" ht="180" customHeight="1">
      <x:c r="A12" s="6" t="str">
        <x:v>2018::jama.2017.21906::C003</x:v>
      </x:c>
      <x:c r="B12" s="6" t="n">
        <x:v>2</x:v>
      </x:c>
      <x:c r="C12" s="6" t="str">
        <x:v>Calculation</x:v>
      </x:c>
      <x:c r="D12" s="6" t="str">
        <x:v>Age: 60.0 - 60.6 = -0.6; male percentage: 71.2 - 75.8 = -4.6; initial troponin: 4.6 - 1.3 = 3.3.</x:v>
      </x:c>
    </x:row>
    <x:row r="13" ht="180" customHeight="1">
      <x:c r="A13" s="3" t="str">
        <x:v>2018::jama.2017.21906::C003</x:v>
      </x:c>
      <x:c r="B13" s="3" t="n">
        <x:v>3</x:v>
      </x:c>
      <x:c r="C13" s="3" t="str">
        <x:v>Alternative source-grounded interpretations</x:v>
      </x:c>
      <x:c r="D13" s="3" t="str">
        <x:v>The footnote may have been carried over from eTable 2, while eTable 1 may intentionally use missing minus complete. The source does not define every CI contrast or table-production history.</x:v>
      </x:c>
    </x:row>
    <x:row r="14" ht="180" customHeight="1">
      <x:c r="A14" s="6" t="str">
        <x:v>2018::jama.2017.21906::C004</x:v>
      </x:c>
      <x:c r="B14" s="6" t="n">
        <x:v>0</x:v>
      </x:c>
      <x:c r="C14" s="6" t="str">
        <x:v>Source evidence</x:v>
      </x:c>
      <x:c r="D14" s="6" t="str">
        <x:v>The SAP lists a priori age subgroups &lt;65 years and &gt;65 years. The article labels results prespecified and Figure 3 displays &lt;50, 50-69, and ≥70 years.</x:v>
      </x:c>
    </x:row>
    <x:row r="15" ht="180" customHeight="1">
      <x:c r="A15" s="3" t="str">
        <x:v>2018::jama.2017.21906::C004</x:v>
      </x:c>
      <x:c r="B15" s="3" t="n">
        <x:v>1</x:v>
      </x:c>
      <x:c r="C15" s="3" t="str">
        <x:v>Reported-versus-comparator</x:v>
      </x:c>
      <x:c r="D15" s="3" t="str">
        <x:v>Two SAP groups bounded at 65 versus three reported groups bounded at 50 and 70.</x:v>
      </x:c>
    </x:row>
    <x:row r="16" ht="180" customHeight="1">
      <x:c r="A16" s="6" t="str">
        <x:v>2018::jama.2017.21906::C004</x:v>
      </x:c>
      <x:c r="B16" s="6" t="n">
        <x:v>2</x:v>
      </x:c>
      <x:c r="C16" s="6" t="str">
        <x:v>Calculation</x:v>
      </x:c>
      <x:c r="D16" s="6" t="str">
        <x:v>The number of groups changes from 2 to 3; neither Figure 3 boundary is 65 years.</x:v>
      </x:c>
    </x:row>
    <x:row r="17" ht="180" customHeight="1">
      <x:c r="A17" s="3" t="str">
        <x:v>2018::jama.2017.21906::C004</x:v>
      </x:c>
      <x:c r="B17" s="3" t="n">
        <x:v>3</x:v>
      </x:c>
      <x:c r="C17" s="3" t="str">
        <x:v>Alternative source-grounded interpretations</x:v>
      </x:c>
      <x:c r="D17" s="3" t="str">
        <x:v>A final/amended plan could have authorized the Figure 3 categories, or the article could refer to a broader prespecification record. No such record is supplied. The SAP's literal wording also leaves age 65 unspecified.</x:v>
      </x:c>
    </x:row>
    <x:row r="18" ht="180" customHeight="1">
      <x:c r="A18" s="6" t="str">
        <x:v>2018::jama.2017.21906::C005</x:v>
      </x:c>
      <x:c r="B18" s="6" t="n">
        <x:v>0</x:v>
      </x:c>
      <x:c r="C18" s="6" t="str">
        <x:v>Source evidence</x:v>
      </x:c>
      <x:c r="D18" s="6" t="str">
        <x:v>Article/Table 3/eTable 5 list aspirin, an ADP-receptor antagonist, anticoagulant, and beta-blocker. eTable 6 uses the same composite name but lists heparin as the fourth component.</x:v>
      </x:c>
    </x:row>
    <x:row r="19" ht="180" customHeight="1">
      <x:c r="A19" s="3" t="str">
        <x:v>2018::jama.2017.21906::C005</x:v>
      </x:c>
      <x:c r="B19" s="3" t="n">
        <x:v>1</x:v>
      </x:c>
      <x:c r="C19" s="3" t="str">
        <x:v>Reported-versus-comparator</x:v>
      </x:c>
      <x:c r="D19" s="3" t="str">
        <x:v>Three components match; the fourth is anticoagulant versus heparin.</x:v>
      </x:c>
    </x:row>
    <x:row r="20" ht="180" customHeight="1">
      <x:c r="A20" s="6" t="str">
        <x:v>2018::jama.2017.21906::C005</x:v>
      </x:c>
      <x:c r="B20" s="6" t="n">
        <x:v>2</x:v>
      </x:c>
      <x:c r="C20" s="6" t="str">
        <x:v>Calculation</x:v>
      </x:c>
      <x:c r="D20" s="6" t="str">
        <x:v>Set comparison: aspirin, ADP-receptor antagonist, and beta-blocker are shared; the fourth printed label differs.</x:v>
      </x:c>
    </x:row>
    <x:row r="21" ht="180" customHeight="1">
      <x:c r="A21" s="3" t="str">
        <x:v>2018::jama.2017.21906::C005</x:v>
      </x:c>
      <x:c r="B21" s="3" t="n">
        <x:v>3</x:v>
      </x:c>
      <x:c r="C21" s="3" t="str">
        <x:v>Alternative source-grounded interpretations</x:v>
      </x:c>
      <x:c r="D21" s="3" t="str">
        <x:v>If heparin was the only qualifying anticoagulant in analyzed records, the labels may be extensionally equivalent. Medication coding, eligibility rules, and table-generation code are absent.</x:v>
      </x:c>
    </x:row>
    <x:row r="22" ht="180" customHeight="1">
      <x:c r="A22" s="6" t="str">
        <x:v>2018::jama.2017.21906::C006</x:v>
      </x:c>
      <x:c r="B22" s="6" t="n">
        <x:v>0</x:v>
      </x:c>
      <x:c r="C22" s="6" t="str">
        <x:v>Source evidence</x:v>
      </x:c>
      <x:c r="D22" s="6" t="str">
        <x:v>The article labels hospital type prespecified and Figure 3 prints government (9 hospitals), nonprofit (12), and private (42). The SAP lists hospital size and use of quality-improvement toolkit components as site-level a priori subgroups, not hospital type.</x:v>
      </x:c>
    </x:row>
    <x:row r="23" ht="180" customHeight="1">
      <x:c r="A23" s="3" t="str">
        <x:v>2018::jama.2017.21906::C006</x:v>
      </x:c>
      <x:c r="B23" s="3" t="n">
        <x:v>1</x:v>
      </x:c>
      <x:c r="C23" s="3" t="str">
        <x:v>Reported-versus-comparator</x:v>
      </x:c>
      <x:c r="D23" s="3" t="str">
        <x:v>Article/Figure 3 includes hospital type; the supplied SAP list includes toolkit-component use and does not name hospital type.</x:v>
      </x:c>
    </x:row>
    <x:row r="24" ht="180" customHeight="1">
      <x:c r="A24" s="6" t="str">
        <x:v>2018::jama.2017.21906::C006</x:v>
      </x:c>
      <x:c r="B24" s="6" t="n">
        <x:v>2</x:v>
      </x:c>
      <x:c r="C24" s="6" t="str">
        <x:v>Calculation</x:v>
      </x:c>
      <x:c r="D24" s="6" t="str">
        <x:v>9 + 12 + 42 = 63 hospitals. This confirms an implemented full hospital partition, not prespecification.</x:v>
      </x:c>
    </x:row>
    <x:row r="25" ht="180" customHeight="1">
      <x:c r="A25" s="3" t="str">
        <x:v>2018::jama.2017.21906::C006</x:v>
      </x:c>
      <x:c r="B25" s="3" t="n">
        <x:v>3</x:v>
      </x:c>
      <x:c r="C25" s="3" t="str">
        <x:v>Alternative source-grounded interpretations</x:v>
      </x:c>
      <x:c r="D25" s="3" t="str">
        <x:v>A separate or amended plan could have added hospital type and changed/omitted toolkit-component use before analysis. No such record is included.</x:v>
      </x:c>
    </x:row>
    <x:row r="26" ht="180" customHeight="1">
      <x:c r="A26" s="6" t="str">
        <x:v>2018::jama.2018.0156::C001</x:v>
      </x:c>
      <x:c r="B26" s="6" t="n">
        <x:v>0</x:v>
      </x:c>
      <x:c r="C26" s="6" t="str">
        <x:v>Source evidence</x:v>
      </x:c>
      <x:c r="D26" s="6" t="str">
        <x:v>Noninferiority requires a BMV-minus-ETI lower endpoint greater than -1.00%; the result prints -1.64% and says it was “greater than the threshold,” then says noninferiority was not demonstrated.</x:v>
      </x:c>
    </x:row>
    <x:row r="27" ht="180" customHeight="1">
      <x:c r="A27" s="3" t="str">
        <x:v>2018::jama.2018.0156::C001</x:v>
      </x:c>
      <x:c r="B27" s="3" t="n">
        <x:v>1</x:v>
      </x:c>
      <x:c r="C27" s="3" t="str">
        <x:v>Reported-versus-comparator</x:v>
      </x:c>
      <x:c r="D27" s="3" t="str">
        <x:v>Reported “greater”; comparator -1.64% versus -1.00% under the stated strict rule.</x:v>
      </x:c>
    </x:row>
    <x:row r="28" ht="180" customHeight="1">
      <x:c r="A28" s="6" t="str">
        <x:v>2018::jama.2018.0156::C001</x:v>
      </x:c>
      <x:c r="B28" s="6" t="n">
        <x:v>2</x:v>
      </x:c>
      <x:c r="C28" s="6" t="str">
        <x:v>Calculation</x:v>
      </x:c>
      <x:c r="D28" s="6" t="str">
        <x:v>-1.64% &lt; -1.00%; difference -0.64 percentage points.</x:v>
      </x:c>
    </x:row>
    <x:row r="29" ht="180" customHeight="1">
      <x:c r="A29" s="3" t="str">
        <x:v>2018::jama.2018.0156::C001</x:v>
      </x:c>
      <x:c r="B29" s="3" t="n">
        <x:v>3</x:v>
      </x:c>
      <x:c r="C29" s="3" t="str">
        <x:v>Alternative source-grounded interpretations</x:v>
      </x:c>
      <x:c r="D29" s="3" t="str">
        <x:v>A direction word may be reversed or omitted; intended replacement wording is not supplied, while the conclusion is source-consistent.</x:v>
      </x:c>
    </x:row>
    <x:row r="30" ht="180" customHeight="1">
      <x:c r="A30" s="6" t="str">
        <x:v>2018::jama.2018.0156::C002</x:v>
      </x:c>
      <x:c r="B30" s="6" t="n">
        <x:v>0</x:v>
      </x:c>
      <x:c r="C30" s="6" t="str">
        <x:v>Source evidence</x:v>
      </x:c>
      <x:c r="D30" s="6" t="str">
        <x:v>The outcome is the “number of pauses” lasting more than 2 seconds; BMV is 27, ETI 16, and the difference is printed as 11 seconds (95% CI 7 to 15).</x:v>
      </x:c>
    </x:row>
    <x:row r="31" ht="180" customHeight="1">
      <x:c r="A31" s="3" t="str">
        <x:v>2018::jama.2018.0156::C002</x:v>
      </x:c>
      <x:c r="B31" s="3" t="n">
        <x:v>1</x:v>
      </x:c>
      <x:c r="C31" s="3" t="str">
        <x:v>Reported-versus-comparator</x:v>
      </x:c>
      <x:c r="D31" s="3" t="str">
        <x:v>Reported 11 seconds; comparator is a difference in the stated number of qualifying pauses.</x:v>
      </x:c>
    </x:row>
    <x:row r="32" ht="180" customHeight="1">
      <x:c r="A32" s="6" t="str">
        <x:v>2018::jama.2018.0156::C002</x:v>
      </x:c>
      <x:c r="B32" s="6" t="n">
        <x:v>2</x:v>
      </x:c>
      <x:c r="C32" s="6" t="str">
        <x:v>Calculation</x:v>
      </x:c>
      <x:c r="D32" s="6" t="str">
        <x:v>27 - 16 = 11 qualifying pauses under the printed wording.</x:v>
      </x:c>
    </x:row>
    <x:row r="33" ht="180" customHeight="1">
      <x:c r="A33" s="3" t="str">
        <x:v>2018::jama.2018.0156::C002</x:v>
      </x:c>
      <x:c r="B33" s="3" t="n">
        <x:v>3</x:v>
      </x:c>
      <x:c r="C33" s="3" t="str">
        <x:v>Alternative source-grounded interpretations</x:v>
      </x:c>
      <x:c r="D33" s="3" t="str">
        <x:v>The source does not say whether values are totals, means, medians, or another summary; a time interpretation conflicts with “number of pauses.”</x:v>
      </x:c>
    </x:row>
    <x:row r="34" ht="180" customHeight="1">
      <x:c r="A34" s="6" t="str">
        <x:v>2018::jama.2018.0156::C003</x:v>
      </x:c>
      <x:c r="B34" s="6" t="n">
        <x:v>0</x:v>
      </x:c>
      <x:c r="C34" s="6" t="str">
        <x:v>Source evidence</x:v>
      </x:c>
      <x:c r="D34" s="6" t="str">
        <x:v>BMV is 54/995 (5.4%), ETI 51/943 (5.4%), and BMV-minus-ETI is 0.1 percentage points.</x:v>
      </x:c>
    </x:row>
    <x:row r="35" ht="180" customHeight="1">
      <x:c r="A35" s="3" t="str">
        <x:v>2018::jama.2018.0156::C003</x:v>
      </x:c>
      <x:c r="B35" s="3" t="n">
        <x:v>1</x:v>
      </x:c>
      <x:c r="C35" s="3" t="str">
        <x:v>Reported-versus-comparator</x:v>
      </x:c>
      <x:c r="D35" s="3" t="str">
        <x:v>Reported 0.1; comparator from printed inputs is 0.0189 percentage points, ordinarily 0.0 to one decimal.</x:v>
      </x:c>
    </x:row>
    <x:row r="36" ht="180" customHeight="1">
      <x:c r="A36" s="6" t="str">
        <x:v>2018::jama.2018.0156::C003</x:v>
      </x:c>
      <x:c r="B36" s="6" t="n">
        <x:v>2</x:v>
      </x:c>
      <x:c r="C36" s="6" t="str">
        <x:v>Calculation</x:v>
      </x:c>
      <x:c r="D36" s="6" t="str">
        <x:v>100 × (54/995 - 51/943) = 0.0189 percentage points, rounding to 0.0.</x:v>
      </x:c>
    </x:row>
    <x:row r="37" ht="180" customHeight="1">
      <x:c r="A37" s="3" t="str">
        <x:v>2018::jama.2018.0156::C003</x:v>
      </x:c>
      <x:c r="B37" s="3" t="n">
        <x:v>3</x:v>
      </x:c>
      <x:c r="C37" s="3" t="str">
        <x:v>Alternative source-grounded interpretations</x:v>
      </x:c>
      <x:c r="D37" s="3" t="str">
        <x:v>An unstated retained estimator, denominator, adjustment, weighting, or rounding procedure could explain the display; no correction is adjudicated.</x:v>
      </x:c>
    </x:row>
    <x:row r="38" ht="180" customHeight="1">
      <x:c r="A38" s="6" t="str">
        <x:v>2018::jama.2018.0156::C004</x:v>
      </x:c>
      <x:c r="B38" s="6" t="n">
        <x:v>0</x:v>
      </x:c>
      <x:c r="C38" s="6" t="str">
        <x:v>Source evidence</x:v>
      </x:c>
      <x:c r="D38" s="6" t="str">
        <x:v>The column prints difference 0.1, 95% CI -10 to 9.7, and P=.99 for 54/995 versus 51/943.</x:v>
      </x:c>
    </x:row>
    <x:row r="39" ht="180" customHeight="1">
      <x:c r="A39" s="3" t="str">
        <x:v>2018::jama.2018.0156::C004</x:v>
      </x:c>
      <x:c r="B39" s="3" t="n">
        <x:v>1</x:v>
      </x:c>
      <x:c r="C39" s="3" t="str">
        <x:v>Reported-versus-comparator</x:v>
      </x:c>
      <x:c r="D39" s="3" t="str">
        <x:v>Reported interval -10 to 9.7 percentage points; diagnostic ordinary unpooled-binomial comparator is about -2.00 to 2.04 points.</x:v>
      </x:c>
    </x:row>
    <x:row r="40" ht="180" customHeight="1">
      <x:c r="A40" s="6" t="str">
        <x:v>2018::jama.2018.0156::C004</x:v>
      </x:c>
      <x:c r="B40" s="6" t="n">
        <x:v>2</x:v>
      </x:c>
      <x:c r="C40" s="6" t="str">
        <x:v>Calculation</x:v>
      </x:c>
      <x:c r="D40" s="6" t="str">
        <x:v>Diagnostic SE 1.028756 points; with difference 0.018864, Wald 95% interval -1.997498 to 2.035226 points.</x:v>
      </x:c>
    </x:row>
    <x:row r="41" ht="180" customHeight="1">
      <x:c r="A41" s="3" t="str">
        <x:v>2018::jama.2018.0156::C004</x:v>
      </x:c>
      <x:c r="B41" s="3" t="n">
        <x:v>3</x:v>
      </x:c>
      <x:c r="C41" s="3" t="str">
        <x:v>Alternative source-grounded interpretations</x:v>
      </x:c>
      <x:c r="D41" s="3" t="str">
        <x:v>Nonstandard method, retained data, adjustment, correction, or decimal production issue may explain the display; exact construction is absent.</x:v>
      </x:c>
    </x:row>
    <x:row r="42" ht="180" customHeight="1">
      <x:c r="A42" s="6" t="str">
        <x:v>2018::jama.2018.0156::C005</x:v>
      </x:c>
      <x:c r="B42" s="6" t="n">
        <x:v>0</x:v>
      </x:c>
      <x:c r="C42" s="6" t="str">
        <x:v>Source evidence</x:v>
      </x:c>
      <x:c r="D42" s="6" t="str">
        <x:v>BMV 342/995 (34.4%), ETI 377/943 (30.0%), and BMV-minus-ETI -5.6 points are printed.</x:v>
      </x:c>
    </x:row>
    <x:row r="43" ht="180" customHeight="1">
      <x:c r="A43" s="3" t="str">
        <x:v>2018::jama.2018.0156::C005</x:v>
      </x:c>
      <x:c r="B43" s="3" t="n">
        <x:v>1</x:v>
      </x:c>
      <x:c r="C43" s="3" t="str">
        <x:v>Reported-versus-comparator</x:v>
      </x:c>
      <x:c r="D43" s="3" t="str">
        <x:v>Reported ETI 30.0%; 377/943 = 39.979% (rounds 40.0%), and count-derived contrast is negative while displayed percentages imply positive.</x:v>
      </x:c>
    </x:row>
    <x:row r="44" ht="180" customHeight="1">
      <x:c r="A44" s="6" t="str">
        <x:v>2018::jama.2018.0156::C005</x:v>
      </x:c>
      <x:c r="B44" s="6" t="n">
        <x:v>2</x:v>
      </x:c>
      <x:c r="C44" s="6" t="str">
        <x:v>Calculation</x:v>
      </x:c>
      <x:c r="D44" s="6" t="str">
        <x:v>100 × 377/943 = 39.979%; 100 × (342/995 - 377/943) = -5.607 points, matching -5.6; printed percentages give +4.4 points.</x:v>
      </x:c>
    </x:row>
    <x:row r="45" ht="180" customHeight="1">
      <x:c r="A45" s="3" t="str">
        <x:v>2018::jama.2018.0156::C005</x:v>
      </x:c>
      <x:c r="B45" s="3" t="n">
        <x:v>3</x:v>
      </x:c>
      <x:c r="C45" s="3" t="str">
        <x:v>Alternative source-grounded interpretations</x:v>
      </x:c>
      <x:c r="D45" s="3" t="str">
        <x:v>The source does not establish which printed value or retained estimator was intended; no correction is adjudicated.</x:v>
      </x:c>
    </x:row>
    <x:row r="46" ht="180" customHeight="1">
      <x:c r="A46" s="6" t="str">
        <x:v>2018::jama.2018.0156::C006</x:v>
      </x:c>
      <x:c r="B46" s="6" t="n">
        <x:v>0</x:v>
      </x:c>
      <x:c r="C46" s="6" t="str">
        <x:v>Source evidence</x:v>
      </x:c>
      <x:c r="D46" s="6" t="str">
        <x:v>Methods state 20 EMS centres (15 France, 5 Belgium); eTable 1 has 21 nonempty investigator-centre rows, whose arm totals reconcile to 1018 and 1022.</x:v>
      </x:c>
    </x:row>
    <x:row r="47" ht="180" customHeight="1">
      <x:c r="A47" s="3" t="str">
        <x:v>2018::jama.2018.0156::C006</x:v>
      </x:c>
      <x:c r="B47" s="3" t="n">
        <x:v>1</x:v>
      </x:c>
      <x:c r="C47" s="3" t="str">
        <x:v>Reported-versus-comparator</x:v>
      </x:c>
      <x:c r="D47" s="3" t="str">
        <x:v>Reported count 20; comparator 21 displayed rows.</x:v>
      </x:c>
    </x:row>
    <x:row r="48" ht="180" customHeight="1">
      <x:c r="A48" s="6" t="str">
        <x:v>2018::jama.2018.0156::C006</x:v>
      </x:c>
      <x:c r="B48" s="6" t="n">
        <x:v>2</x:v>
      </x:c>
      <x:c r="C48" s="6" t="str">
        <x:v>Calculation</x:v>
      </x:c>
      <x:c r="D48" s="6" t="str">
        <x:v>15 + 5 = 20; eTable rows = 21.</x:v>
      </x:c>
    </x:row>
    <x:row r="49" ht="180" customHeight="1">
      <x:c r="A49" s="3" t="str">
        <x:v>2018::jama.2018.0156::C006</x:v>
      </x:c>
      <x:c r="B49" s="3" t="n">
        <x:v>3</x:v>
      </x:c>
      <x:c r="C49" s="3" t="str">
        <x:v>Alternative source-grounded interpretations</x:v>
      </x:c>
      <x:c r="D49" s="3" t="str">
        <x:v>One EMS centre may map to multiple investigator-centre records; no crosswalk is supplied.</x:v>
      </x:c>
    </x:row>
    <x:row r="50" ht="180" customHeight="1">
      <x:c r="A50" s="6" t="str">
        <x:v>2018::jama.2018.0156::C007</x:v>
      </x:c>
      <x:c r="B50" s="6" t="n">
        <x:v>0</x:v>
      </x:c>
      <x:c r="C50" s="6" t="str">
        <x:v>Source evidence</x:v>
      </x:c>
      <x:c r="D50" s="6" t="str">
        <x:v>Article: favourable outcome CPC 1 or 2. Amendment: a baseline-disabled survivor is favourable if survival retains the same disability degree.</x:v>
      </x:c>
    </x:row>
    <x:row r="51" ht="180" customHeight="1">
      <x:c r="A51" s="3" t="str">
        <x:v>2018::jama.2018.0156::C007</x:v>
      </x:c>
      <x:c r="B51" s="3" t="n">
        <x:v>1</x:v>
      </x:c>
      <x:c r="C51" s="3" t="str">
        <x:v>Reported-versus-comparator</x:v>
      </x:c>
      <x:c r="D51" s="3" t="str">
        <x:v>Reported CPC-1-or-2 description; comparator is the additional amendment qualification.</x:v>
      </x:c>
    </x:row>
    <x:row r="52" ht="180" customHeight="1">
      <x:c r="A52" s="6" t="str">
        <x:v>2018::jama.2018.0156::C007</x:v>
      </x:c>
      <x:c r="B52" s="6" t="n">
        <x:v>2</x:v>
      </x:c>
      <x:c r="C52" s="6" t="str">
        <x:v>Calculation</x:v>
      </x:c>
      <x:c r="D52" s="6" t="str">
        <x:v>No aggregate calculation: a survivor can satisfy the amendment qualification without a literal CPC-1-or-2-only classification.</x:v>
      </x:c>
    </x:row>
    <x:row r="53" ht="180" customHeight="1">
      <x:c r="A53" s="3" t="str">
        <x:v>2018::jama.2018.0156::C007</x:v>
      </x:c>
      <x:c r="B53" s="3" t="n">
        <x:v>3</x:v>
      </x:c>
      <x:c r="C53" s="3" t="str">
        <x:v>Alternative source-grounded interpretations</x:v>
      </x:c>
      <x:c r="D53" s="3" t="str">
        <x:v>Article wording may be abbreviated or no participant may require the qualification; final coding and affected count are absent.</x:v>
      </x:c>
    </x:row>
    <x:row r="54" ht="180" customHeight="1">
      <x:c r="A54" s="6" t="str">
        <x:v>2018::jama.2018.0156::C008</x:v>
      </x:c>
      <x:c r="B54" s="6" t="n">
        <x:v>0</x:v>
      </x:c>
      <x:c r="C54" s="6" t="str">
        <x:v>Source evidence</x:v>
      </x:c>
      <x:c r="D54" s="6" t="str">
        <x:v>Amended protocol technique failure includes 28-day mortality, regurgitation, or failure to ventilate/intubate. Article prints ETI failure 21/996 (2.1%) and ITT ETI deaths 54/1022.</x:v>
      </x:c>
    </x:row>
    <x:row r="55" ht="180" customHeight="1">
      <x:c r="A55" s="3" t="str">
        <x:v>2018::jama.2018.0156::C008</x:v>
      </x:c>
      <x:c r="B55" s="3" t="n">
        <x:v>1</x:v>
      </x:c>
      <x:c r="C55" s="3" t="str">
        <x:v>Reported-versus-comparator</x:v>
      </x:c>
      <x:c r="D55" s="3" t="str">
        <x:v>Reported 21/996; conditional conservative comparator is at least 27 before other composite components.</x:v>
      </x:c>
    </x:row>
    <x:row r="56" ht="180" customHeight="1">
      <x:c r="A56" s="6" t="str">
        <x:v>2018::jama.2018.0156::C008</x:v>
      </x:c>
      <x:c r="B56" s="6" t="n">
        <x:v>2</x:v>
      </x:c>
      <x:c r="C56" s="6" t="str">
        <x:v>Calculation</x:v>
      </x:c>
      <x:c r="D56" s="6" t="str">
        <x:v>54 - 24 - 3 = 27, and 27 &gt; 21.</x:v>
      </x:c>
    </x:row>
    <x:row r="57" ht="180" customHeight="1">
      <x:c r="A57" s="3" t="str">
        <x:v>2018::jama.2018.0156::C008</x:v>
      </x:c>
      <x:c r="B57" s="3" t="n">
        <x:v>3</x:v>
      </x:c>
      <x:c r="C57" s="3" t="str">
        <x:v>Alternative source-grounded interpretations</x:v>
      </x:c>
      <x:c r="D57" s="3" t="str">
        <x:v>Article row may be narrower, use another final definition, or use actual-treatment population; aggregate displays do not establish participant alignment.</x:v>
      </x:c>
    </x:row>
    <x:row r="58" ht="180" customHeight="1">
      <x:c r="A58" s="6" t="str">
        <x:v>2018::jama.2018.0948::C001</x:v>
      </x:c>
      <x:c r="B58" s="6" t="n">
        <x:v>0</x:v>
      </x:c>
      <x:c r="C58" s="6" t="str">
        <x:v>Source evidence</x:v>
      </x:c>
      <x:c r="D58" s="6" t="str">
        <x:v>The article says 60 mL/kg or greater within 12 hours; Supplement 1 and Supplement 3 say &gt;60 mL/kg for the matched component.</x:v>
      </x:c>
    </x:row>
    <x:row r="59" ht="180" customHeight="1">
      <x:c r="A59" s="3" t="str">
        <x:v>2018::jama.2018.0948::C001</x:v>
      </x:c>
      <x:c r="B59" s="3" t="n">
        <x:v>1</x:v>
      </x:c>
      <x:c r="C59" s="3" t="str">
        <x:v>Reported-versus-comparator</x:v>
      </x:c>
      <x:c r="D59" s="3" t="str">
        <x:v>x &gt;= 60 versus x &gt; 60 on the same unit and 12-hour window.</x:v>
      </x:c>
    </x:row>
    <x:row r="60" ht="180" customHeight="1">
      <x:c r="A60" s="6" t="str">
        <x:v>2018::jama.2018.0948::C001</x:v>
      </x:c>
      <x:c r="B60" s="6" t="n">
        <x:v>2</x:v>
      </x:c>
      <x:c r="C60" s="6" t="str">
        <x:v>Calculation</x:v>
      </x:c>
      <x:c r="D60" s="6" t="str">
        <x:v>At x = 60, x &gt;= 60 is true and x &gt; 60 is false; Table 5 also leaves 60 outside its printed &lt;60 and &gt;60 bands.</x:v>
      </x:c>
    </x:row>
    <x:row r="61" ht="180" customHeight="1">
      <x:c r="A61" s="3" t="str">
        <x:v>2018::jama.2018.0948::C001</x:v>
      </x:c>
      <x:c r="B61" s="3" t="n">
        <x:v>3</x:v>
      </x:c>
      <x:c r="C61" s="3" t="str">
        <x:v>Alternative source-grounded interpretations</x:v>
      </x:c>
      <x:c r="D61" s="3" t="str">
        <x:v>The article may paraphrase a strict operational rule, or the support sources may retain a strict sign while an inclusive rule was applied; supplied sources do not decide.</x:v>
      </x:c>
    </x:row>
    <x:row r="62" ht="180" customHeight="1">
      <x:c r="A62" s="6" t="str">
        <x:v>2018::jama.2018.0948::C002</x:v>
      </x:c>
      <x:c r="B62" s="6" t="n">
        <x:v>0</x:v>
      </x:c>
      <x:c r="C62" s="6" t="str">
        <x:v>Source evidence</x:v>
      </x:c>
      <x:c r="D62" s="6" t="str">
        <x:v>The matched 18% reduction from 5.1 deaths/1,000 is 0.9 per 1,000 and 0.09% at matched locations, while Supplement 1 p. 29 says 0.9%.</x:v>
      </x:c>
    </x:row>
    <x:row r="63" ht="180" customHeight="1">
      <x:c r="A63" s="3" t="str">
        <x:v>2018::jama.2018.0948::C002</x:v>
      </x:c>
      <x:c r="B63" s="3" t="n">
        <x:v>1</x:v>
      </x:c>
      <x:c r="C63" s="3" t="str">
        <x:v>Reported-versus-comparator</x:v>
      </x:c>
      <x:c r="D63" s="3" t="str">
        <x:v>0.9% versus the corresponding 0.9 per 1,000 = 0.09%.</x:v>
      </x:c>
    </x:row>
    <x:row r="64" ht="180" customHeight="1">
      <x:c r="A64" s="6" t="str">
        <x:v>2018::jama.2018.0948::C002</x:v>
      </x:c>
      <x:c r="B64" s="6" t="n">
        <x:v>2</x:v>
      </x:c>
      <x:c r="C64" s="6" t="str">
        <x:v>Calculation</x:v>
      </x:c>
      <x:c r="D64" s="6" t="str">
        <x:v>5.1 × 0.178 = 0.9078 per 1,000 = 0.09078%, conventionally 0.09%; 0.9% equals 9 per 1,000 and is tenfold larger.</x:v>
      </x:c>
    </x:row>
    <x:row r="65" ht="180" customHeight="1">
      <x:c r="A65" s="3" t="str">
        <x:v>2018::jama.2018.0948::C002</x:v>
      </x:c>
      <x:c r="B65" s="3" t="n">
        <x:v>3</x:v>
      </x:c>
      <x:c r="C65" s="3" t="str">
        <x:v>Alternative source-grounded interpretations</x:v>
      </x:c>
      <x:c r="D65" s="3" t="str">
        <x:v>P. 29 may have intended 0.09% or 0.9 per 1,000; the package does not establish editorial intent.</x:v>
      </x:c>
    </x:row>
    <x:row r="66" ht="180" customHeight="1">
      <x:c r="A66" s="6" t="str">
        <x:v>2018::jama.2018.0948::C003</x:v>
      </x:c>
      <x:c r="B66" s="6" t="n">
        <x:v>0</x:v>
      </x:c>
      <x:c r="C66" s="6" t="str">
        <x:v>Source evidence</x:v>
      </x:c>
      <x:c r="D66" s="6" t="str">
        <x:v>P. 11 defines cardiac arrest without preceding DNR as 6 or 7; Table 5 maps CPR to 6 and death to 7; Table 6 names events including cardiac arrest as scale 4 or 5.</x:v>
      </x:c>
    </x:row>
    <x:row r="67" ht="180" customHeight="1">
      <x:c r="A67" s="3" t="str">
        <x:v>2018::jama.2018.0948::C003</x:v>
      </x:c>
      <x:c r="B67" s="3" t="n">
        <x:v>1</x:v>
      </x:c>
      <x:c r="C67" s="3" t="str">
        <x:v>Reported-versus-comparator</x:v>
      </x:c>
      <x:c r="D67" s="3" t="str">
        <x:v>{4,5} versus {6,7} under the named seven-category Children’s Resuscitation Intensity Scale.</x:v>
      </x:c>
    </x:row>
    <x:row r="68" ht="180" customHeight="1">
      <x:c r="A68" s="6" t="str">
        <x:v>2018::jama.2018.0948::C003</x:v>
      </x:c>
      <x:c r="B68" s="6" t="n">
        <x:v>2</x:v>
      </x:c>
      <x:c r="C68" s="6" t="str">
        <x:v>Calculation</x:v>
      </x:c>
      <x:c r="D68" s="6" t="str">
        <x:v>{4,5} ∩ {6,7} = ∅; the labels cannot reconcile under one unchanged scale.</x:v>
      </x:c>
    </x:row>
    <x:row r="69" ht="180" customHeight="1">
      <x:c r="A69" s="3" t="str">
        <x:v>2018::jama.2018.0948::C003</x:v>
      </x:c>
      <x:c r="B69" s="3" t="n">
        <x:v>3</x:v>
      </x:c>
      <x:c r="C69" s="3" t="str">
        <x:v>Alternative source-grounded interpretations</x:v>
      </x:c>
      <x:c r="D69" s="3" t="str">
        <x:v>P. 27 could refer to a different, undefined scale; a residual or transcription explanation is inferential.</x:v>
      </x:c>
    </x:row>
    <x:row r="70" ht="180" customHeight="1">
      <x:c r="A70" s="6" t="str">
        <x:v>2018::jama.2018.0948::C004</x:v>
      </x:c>
      <x:c r="B70" s="6" t="n">
        <x:v>0</x:v>
      </x:c>
      <x:c r="C70" s="6" t="str">
        <x:v>Source evidence</x:v>
      </x:c>
      <x:c r="D70" s="6" t="str">
        <x:v>P. 11 prints &gt;4 but immediately includes ratings 4, 5, and 6; Table 7 says 4 or more, Supplement 3 says 4–6, and the article describes rating 4 as more than likely preventable.</x:v>
      </x:c>
    </x:row>
    <x:row r="71" ht="180" customHeight="1">
      <x:c r="A71" s="3" t="str">
        <x:v>2018::jama.2018.0948::C004</x:v>
      </x:c>
      <x:c r="B71" s="3" t="n">
        <x:v>1</x:v>
      </x:c>
      <x:c r="C71" s="3" t="str">
        <x:v>Reported-versus-comparator</x:v>
      </x:c>
      <x:c r="D71" s="3" t="str">
        <x:v>&gt;4 versus &gt;=4 on the stated six-point scale.</x:v>
      </x:c>
    </x:row>
    <x:row r="72" ht="180" customHeight="1">
      <x:c r="A72" s="6" t="str">
        <x:v>2018::jama.2018.0948::C004</x:v>
      </x:c>
      <x:c r="B72" s="6" t="n">
        <x:v>2</x:v>
      </x:c>
      <x:c r="C72" s="6" t="str">
        <x:v>Calculation</x:v>
      </x:c>
      <x:c r="D72" s="6" t="str">
        <x:v>4 &gt; 4 is false, whereas 4 &gt;= 4 is true; the printed definitions classify rating 4 differently.</x:v>
      </x:c>
    </x:row>
    <x:row r="73" ht="180" customHeight="1">
      <x:c r="A73" s="3" t="str">
        <x:v>2018::jama.2018.0948::C004</x:v>
      </x:c>
      <x:c r="B73" s="3" t="n">
        <x:v>3</x:v>
      </x:c>
      <x:c r="C73" s="3" t="str">
        <x:v>Alternative source-grounded interpretations</x:v>
      </x:c>
      <x:c r="D73" s="3" t="str">
        <x:v>Table 7/final reporting may state the operative rule, or p. 11 may reflect a stricter intended threshold; sources do not decide.</x:v>
      </x:c>
    </x:row>
    <x:row r="74" ht="180" customHeight="1">
      <x:c r="A74" s="6" t="str">
        <x:v>2018::jama.2018.0948::C005</x:v>
      </x:c>
      <x:c r="B74" s="6" t="n">
        <x:v>0</x:v>
      </x:c>
      <x:c r="C74" s="6" t="str">
        <x:v>Source evidence</x:v>
      </x:c>
      <x:c r="D74" s="6" t="str">
        <x:v>P. 14 says 1,052 urgent ICU admissions per year; p. 30 says 1,052 urgent PICU admissions occurred in two years after 31 January 2007.</x:v>
      </x:c>
    </x:row>
    <x:row r="75" ht="180" customHeight="1">
      <x:c r="A75" s="3" t="str">
        <x:v>2018::jama.2018.0948::C005</x:v>
      </x:c>
      <x:c r="B75" s="3" t="n">
        <x:v>1</x:v>
      </x:c>
      <x:c r="C75" s="3" t="str">
        <x:v>Reported-versus-comparator</x:v>
      </x:c>
      <x:c r="D75" s="3" t="str">
        <x:v>One identical reference count with annual versus two-year period labels.</x:v>
      </x:c>
    </x:row>
    <x:row r="76" ht="180" customHeight="1">
      <x:c r="A76" s="6" t="str">
        <x:v>2018::jama.2018.0948::C005</x:v>
      </x:c>
      <x:c r="B76" s="6" t="n">
        <x:v>2</x:v>
      </x:c>
      <x:c r="C76" s="6" t="str">
        <x:v>Calculation</x:v>
      </x:c>
      <x:c r="D76" s="6" t="str">
        <x:v>If unannualized over two years, 1052 / 2 = 526 per year. Diagnostic reconstruction using printed assumptions is 1052 × .40 / (55,963 × 4) × 1,000 = 1.88, approximately 2 per 1,000; this does not establish an exact patient-day denominator.</x:v>
      </x:c>
    </x:row>
    <x:row r="77" ht="180" customHeight="1">
      <x:c r="A77" s="3" t="str">
        <x:v>2018::jama.2018.0948::C005</x:v>
      </x:c>
      <x:c r="B77" s="3" t="n">
        <x:v>3</x:v>
      </x:c>
      <x:c r="C77" s="3" t="str">
        <x:v>Alternative source-grounded interpretations</x:v>
      </x:c>
      <x:c r="D77" s="3" t="str">
        <x:v>P. 14 may annualize another dataset, or p. 30 may describe a broader window; no year-stratified data or exact patient-days are supplied.</x:v>
      </x:c>
    </x:row>
    <x:row r="78" ht="180" customHeight="1">
      <x:c r="A78" s="6" t="str">
        <x:v>2018::jama.2018.0948::C006</x:v>
      </x:c>
      <x:c r="B78" s="6" t="n">
        <x:v>0</x:v>
      </x:c>
      <x:c r="C78" s="6" t="str">
        <x:v>Source evidence</x:v>
      </x:c>
      <x:c r="D78" s="6" t="str">
        <x:v>The paragraph prints 8.13 calls/1,000 patient-days, maximum relative risk reduction 0.181, and a corresponding absolute reduction of 1.45 calls/1,000 patient-days.</x:v>
      </x:c>
    </x:row>
    <x:row r="79" ht="180" customHeight="1">
      <x:c r="A79" s="3" t="str">
        <x:v>2018::jama.2018.0948::C006</x:v>
      </x:c>
      <x:c r="B79" s="3" t="n">
        <x:v>1</x:v>
      </x:c>
      <x:c r="C79" s="3" t="str">
        <x:v>Reported-versus-comparator</x:v>
      </x:c>
      <x:c r="D79" s="3" t="str">
        <x:v>Printed 1.45 versus the product of printed inputs.</x:v>
      </x:c>
    </x:row>
    <x:row r="80" ht="180" customHeight="1">
      <x:c r="A80" s="6" t="str">
        <x:v>2018::jama.2018.0948::C006</x:v>
      </x:c>
      <x:c r="B80" s="6" t="n">
        <x:v>2</x:v>
      </x:c>
      <x:c r="C80" s="6" t="str">
        <x:v>Calculation</x:v>
      </x:c>
      <x:c r="D80" s="6" t="str">
        <x:v>8.13 × .181 = 1.47153, conventionally 1.47. Display bounds 8.125 × .1805 = 1.4665625 through values below 8.135 × .1815 = 1.4765025 do not overlap the 1.445 to below 1.455 range displaying as 1.45.</x:v>
      </x:c>
    </x:row>
    <x:row r="81" ht="180" customHeight="1">
      <x:c r="A81" s="3" t="str">
        <x:v>2018::jama.2018.0948::C006</x:v>
      </x:c>
      <x:c r="B81" s="3" t="n">
        <x:v>3</x:v>
      </x:c>
      <x:c r="C81" s="3" t="str">
        <x:v>Alternative source-grounded interpretations</x:v>
      </x:c>
      <x:c r="D81" s="3" t="str">
        <x:v>More precise undisplayed inputs, a transcription step, or a nonstandard display method could explain the value; none is supplied.</x:v>
      </x:c>
    </x:row>
    <x:row r="82" ht="180" customHeight="1">
      <x:c r="A82" s="6" t="str">
        <x:v>2018::jama.2018.0948::C007</x:v>
      </x:c>
      <x:c r="B82" s="6" t="n">
        <x:v>0</x:v>
      </x:c>
      <x:c r="C82" s="6" t="str">
        <x:v>Source evidence</x:v>
      </x:c>
      <x:c r="D82" s="6" t="str">
        <x:v>The four-hospital table prints 1,052 unplanned PICU admissions, 7,300 PICU discharges, 55,963 hospital discharges, 14.5%, and 18 per 1,000.</x:v>
      </x:c>
    </x:row>
    <x:row r="83" ht="180" customHeight="1">
      <x:c r="A83" s="3" t="str">
        <x:v>2018::jama.2018.0948::C007</x:v>
      </x:c>
      <x:c r="B83" s="3" t="n">
        <x:v>1</x:v>
      </x:c>
      <x:c r="C83" s="3" t="str">
        <x:v>Reported-versus-comparator</x:v>
      </x:c>
      <x:c r="D83" s="3" t="str">
        <x:v>Printed 14.5% and 18 per 1,000 versus rates calculated from the displayed integers.</x:v>
      </x:c>
    </x:row>
    <x:row r="84" ht="180" customHeight="1">
      <x:c r="A84" s="6" t="str">
        <x:v>2018::jama.2018.0948::C007</x:v>
      </x:c>
      <x:c r="B84" s="6" t="n">
        <x:v>2</x:v>
      </x:c>
      <x:c r="C84" s="6" t="str">
        <x:v>Calculation</x:v>
      </x:c>
      <x:c r="D84" s="6" t="str">
        <x:v>1052/7300 × 100 = 14.4109589%, conventionally 14.4%; 1052/55963 × 1,000 = 18.7977778, conventionally 19. The printed denominators fall outside the respective nearest-rounding denominator ranges 7,231–7,280 and 56,865–60,114.</x:v>
      </x:c>
    </x:row>
    <x:row r="85" ht="180" customHeight="1">
      <x:c r="A85" s="3" t="str">
        <x:v>2018::jama.2018.0948::C007</x:v>
      </x:c>
      <x:c r="B85" s="3" t="n">
        <x:v>3</x:v>
      </x:c>
      <x:c r="C85" s="3" t="str">
        <x:v>Alternative source-grounded interpretations</x:v>
      </x:c>
      <x:c r="D85" s="3" t="str">
        <x:v>Undisplayed denominators, weighting, extraction history, or a display convention could explain one or both rates; truncation could explain 18 but not 14.5 from 14.4109589.</x:v>
      </x:c>
    </x:row>
    <x:row r="86" ht="180" customHeight="1">
      <x:c r="A86" s="6" t="str">
        <x:v>2018::jama.2018.14280::C001</x:v>
      </x:c>
      <x:c r="B86" s="6" t="n">
        <x:v>0</x:v>
      </x:c>
      <x:c r="C86" s="6" t="str">
        <x:v>Source evidence</x:v>
      </x:c>
      <x:c r="D86" s="6" t="str">
        <x:v>Supplement 3 — PDF p. 6 prints 8 (5-1) cm H2O; the note defines median (interquartile range).</x:v>
      </x:c>
    </x:row>
    <x:row r="87" ht="180" customHeight="1">
      <x:c r="A87" s="3" t="str">
        <x:v>2018::jama.2018.14280::C001</x:v>
      </x:c>
      <x:c r="B87" s="3" t="n">
        <x:v>1</x:v>
      </x:c>
      <x:c r="C87" s="3" t="str">
        <x:v>Reported-versus-comparator</x:v>
      </x:c>
      <x:c r="D87" s="3" t="str">
        <x:v>Reported median/IQR 8 (5-1) versus the ordering required for lower quartile, median, upper quartile.</x:v>
      </x:c>
    </x:row>
    <x:row r="88" ht="180" customHeight="1">
      <x:c r="A88" s="6" t="str">
        <x:v>2018::jama.2018.14280::C001</x:v>
      </x:c>
      <x:c r="B88" s="6" t="n">
        <x:v>2</x:v>
      </x:c>
      <x:c r="C88" s="6" t="str">
        <x:v>Calculation</x:v>
      </x:c>
      <x:c r="D88" s="6" t="str">
        <x:v>5 &lt;= 8 is true; 8 &lt;= 1 is false.</x:v>
      </x:c>
    </x:row>
    <x:row r="89" ht="180" customHeight="1">
      <x:c r="A89" s="3" t="str">
        <x:v>2018::jama.2018.14280::C001</x:v>
      </x:c>
      <x:c r="B89" s="3" t="n">
        <x:v>3</x:v>
      </x:c>
      <x:c r="C89" s="3" t="str">
        <x:v>Alternative source-grounded interpretations</x:v>
      </x:c>
      <x:c r="D89" s="3" t="str">
        <x:v>The final endpoint may be truncated or mistyped; no supplied source gives a replacement.</x:v>
      </x:c>
    </x:row>
    <x:row r="90" ht="180" customHeight="1">
      <x:c r="A90" s="6" t="str">
        <x:v>2018::jama.2018.14280::C002</x:v>
      </x:c>
      <x:c r="B90" s="6" t="n">
        <x:v>0</x:v>
      </x:c>
      <x:c r="C90" s="6" t="str">
        <x:v>Source evidence</x:v>
      </x:c>
      <x:c r="D90" s="6" t="str">
        <x:v>Main article — PDF p. 5 prints 292 (61.6) and 290 (60.3) under n=477 and n=484.</x:v>
      </x:c>
    </x:row>
    <x:row r="91" ht="180" customHeight="1">
      <x:c r="A91" s="3" t="str">
        <x:v>2018::jama.2018.14280::C002</x:v>
      </x:c>
      <x:c r="B91" s="3" t="n">
        <x:v>1</x:v>
      </x:c>
      <x:c r="C91" s="3" t="str">
        <x:v>Reported-versus-comparator</x:v>
      </x:c>
      <x:c r="D91" s="3" t="str">
        <x:v>61.6%/60.3% versus percentages calculated from displayed arm totals.</x:v>
      </x:c>
    </x:row>
    <x:row r="92" ht="180" customHeight="1">
      <x:c r="A92" s="6" t="str">
        <x:v>2018::jama.2018.14280::C002</x:v>
      </x:c>
      <x:c r="B92" s="6" t="n">
        <x:v>2</x:v>
      </x:c>
      <x:c r="C92" s="6" t="str">
        <x:v>Calculation</x:v>
      </x:c>
      <x:c r="D92" s="6" t="str">
        <x:v>292/477=61.2%, 290/484=59.9%; 292/474=61.6%, 290/481=60.3%.</x:v>
      </x:c>
    </x:row>
    <x:row r="93" ht="180" customHeight="1">
      <x:c r="A93" s="3" t="str">
        <x:v>2018::jama.2018.14280::C002</x:v>
      </x:c>
      <x:c r="B93" s="3" t="n">
        <x:v>3</x:v>
      </x:c>
      <x:c r="C93" s="3" t="str">
        <x:v>Alternative source-grounded interpretations</x:v>
      </x:c>
      <x:c r="D93" s="3" t="str">
        <x:v>Available-case denominators 474 and 481 may have been used but are not printed.</x:v>
      </x:c>
    </x:row>
    <x:row r="94" ht="180" customHeight="1">
      <x:c r="A94" s="6" t="str">
        <x:v>2018::jama.2018.14280::C003</x:v>
      </x:c>
      <x:c r="B94" s="6" t="n">
        <x:v>0</x:v>
      </x:c>
      <x:c r="C94" s="6" t="str">
        <x:v>Source evidence</x:v>
      </x:c>
      <x:c r="D94" s="6" t="str">
        <x:v>Main article — PDF p. 5 prints 82 (17.6) and 74 (15.5) under n=477 and n=484.</x:v>
      </x:c>
    </x:row>
    <x:row r="95" ht="180" customHeight="1">
      <x:c r="A95" s="3" t="str">
        <x:v>2018::jama.2018.14280::C003</x:v>
      </x:c>
      <x:c r="B95" s="3" t="n">
        <x:v>1</x:v>
      </x:c>
      <x:c r="C95" s="3" t="str">
        <x:v>Reported-versus-comparator</x:v>
      </x:c>
      <x:c r="D95" s="3" t="str">
        <x:v>17.6%/15.5% versus header-total calculations.</x:v>
      </x:c>
    </x:row>
    <x:row r="96" ht="180" customHeight="1">
      <x:c r="A96" s="6" t="str">
        <x:v>2018::jama.2018.14280::C003</x:v>
      </x:c>
      <x:c r="B96" s="6" t="n">
        <x:v>2</x:v>
      </x:c>
      <x:c r="C96" s="6" t="str">
        <x:v>Calculation</x:v>
      </x:c>
      <x:c r="D96" s="6" t="str">
        <x:v>82/477=17.2%; 74/484=15.3%, not the displayed values.</x:v>
      </x:c>
    </x:row>
    <x:row r="97" ht="180" customHeight="1">
      <x:c r="A97" s="3" t="str">
        <x:v>2018::jama.2018.14280::C003</x:v>
      </x:c>
      <x:c r="B97" s="3" t="n">
        <x:v>3</x:v>
      </x:c>
      <x:c r="C97" s="3" t="str">
        <x:v>Alternative source-grounded interpretations</x:v>
      </x:c>
      <x:c r="D97" s="3" t="str">
        <x:v>Smaller available-case denominators may have been used; exact denominators are not supplied.</x:v>
      </x:c>
    </x:row>
    <x:row r="98" ht="180" customHeight="1">
      <x:c r="A98" s="6" t="str">
        <x:v>2018::jama.2018.14280::C004</x:v>
      </x:c>
      <x:c r="B98" s="6" t="n">
        <x:v>0</x:v>
      </x:c>
      <x:c r="C98" s="6" t="str">
        <x:v>Source evidence</x:v>
      </x:c>
      <x:c r="D98" s="6" t="str">
        <x:v>Main article — PDF p. 5 lists never/current/previous/unknown tobacco categories.</x:v>
      </x:c>
    </x:row>
    <x:row r="99" ht="180" customHeight="1">
      <x:c r="A99" s="3" t="str">
        <x:v>2018::jama.2018.14280::C004</x:v>
      </x:c>
      <x:c r="B99" s="3" t="n">
        <x:v>1</x:v>
      </x:c>
      <x:c r="C99" s="3" t="str">
        <x:v>Reported-versus-comparator</x:v>
      </x:c>
      <x:c r="D99" s="3" t="str">
        <x:v>Four category counts versus Table 1 arm headers.</x:v>
      </x:c>
    </x:row>
    <x:row r="100" ht="180" customHeight="1">
      <x:c r="A100" s="6" t="str">
        <x:v>2018::jama.2018.14280::C004</x:v>
      </x:c>
      <x:c r="B100" s="6" t="n">
        <x:v>2</x:v>
      </x:c>
      <x:c r="C100" s="6" t="str">
        <x:v>Calculation</x:v>
      </x:c>
      <x:c r="D100" s="6" t="str">
        <x:v>Low 106+97+75+197=475; intermediate 111+97+80+194=482; 106/475=22.3%, 111/482=23.0%.</x:v>
      </x:c>
    </x:row>
    <x:row r="101" ht="180" customHeight="1">
      <x:c r="A101" s="3" t="str">
        <x:v>2018::jama.2018.14280::C004</x:v>
      </x:c>
      <x:c r="B101" s="3" t="n">
        <x:v>3</x:v>
      </x:c>
      <x:c r="C101" s="3" t="str">
        <x:v>Alternative source-grounded interpretations</x:v>
      </x:c>
      <x:c r="D101" s="3" t="str">
        <x:v>475/482 available records may be intended despite an Unknown category.</x:v>
      </x:c>
    </x:row>
    <x:row r="102" ht="180" customHeight="1">
      <x:c r="A102" s="6" t="str">
        <x:v>2018::jama.2018.14280::C005</x:v>
      </x:c>
      <x:c r="B102" s="6" t="n">
        <x:v>0</x:v>
      </x:c>
      <x:c r="C102" s="6" t="str">
        <x:v>Source evidence</x:v>
      </x:c>
      <x:c r="D102" s="6" t="str">
        <x:v>Main article — PDF p. 5 prints the five alcohol-use categories.</x:v>
      </x:c>
    </x:row>
    <x:row r="103" ht="180" customHeight="1">
      <x:c r="A103" s="3" t="str">
        <x:v>2018::jama.2018.14280::C005</x:v>
      </x:c>
      <x:c r="B103" s="3" t="n">
        <x:v>1</x:v>
      </x:c>
      <x:c r="C103" s="3" t="str">
        <x:v>Reported-versus-comparator</x:v>
      </x:c>
      <x:c r="D103" s="3" t="str">
        <x:v>Category totals and percentage bases versus n=477/n=484 headers.</x:v>
      </x:c>
    </x:row>
    <x:row r="104" ht="180" customHeight="1">
      <x:c r="A104" s="6" t="str">
        <x:v>2018::jama.2018.14280::C005</x:v>
      </x:c>
      <x:c r="B104" s="6" t="n">
        <x:v>2</x:v>
      </x:c>
      <x:c r="C104" s="6" t="str">
        <x:v>Calculation</x:v>
      </x:c>
      <x:c r="D104" s="6" t="str">
        <x:v>Low 121+47+26+59+222=475; intermediate 92+61+30+56+243=482; 121/475=25.5%, 92/482=19.1%.</x:v>
      </x:c>
    </x:row>
    <x:row r="105" ht="180" customHeight="1">
      <x:c r="A105" s="3" t="str">
        <x:v>2018::jama.2018.14280::C005</x:v>
      </x:c>
      <x:c r="B105" s="3" t="n">
        <x:v>3</x:v>
      </x:c>
      <x:c r="C105" s="3" t="str">
        <x:v>Alternative source-grounded interpretations</x:v>
      </x:c>
      <x:c r="D105" s="3" t="str">
        <x:v>Variable-specific available-case bases may have been intended.</x:v>
      </x:c>
    </x:row>
    <x:row r="106" ht="180" customHeight="1">
      <x:c r="A106" s="6" t="str">
        <x:v>2018::jama.2018.14280::C006</x:v>
      </x:c>
      <x:c r="B106" s="6" t="n">
        <x:v>0</x:v>
      </x:c>
      <x:c r="C106" s="6" t="str">
        <x:v>Source evidence</x:v>
      </x:c>
      <x:c r="D106" s="6" t="str">
        <x:v>Main article — PDF p. 5 prints surgical 82 (17.3), medical 393 (82.7), and intermediate 79 (16.4), 403 (83.6).</x:v>
      </x:c>
    </x:row>
    <x:row r="107" ht="180" customHeight="1">
      <x:c r="A107" s="3" t="str">
        <x:v>2018::jama.2018.14280::C006</x:v>
      </x:c>
      <x:c r="B107" s="3" t="n">
        <x:v>1</x:v>
      </x:c>
      <x:c r="C107" s="3" t="str">
        <x:v>Reported-versus-comparator</x:v>
      </x:c>
      <x:c r="D107" s="3" t="str">
        <x:v>Binary-category totals versus Table 1 arm headers.</x:v>
      </x:c>
    </x:row>
    <x:row r="108" ht="180" customHeight="1">
      <x:c r="A108" s="6" t="str">
        <x:v>2018::jama.2018.14280::C006</x:v>
      </x:c>
      <x:c r="B108" s="6" t="n">
        <x:v>2</x:v>
      </x:c>
      <x:c r="C108" s="6" t="str">
        <x:v>Calculation</x:v>
      </x:c>
      <x:c r="D108" s="6" t="str">
        <x:v>82+393=475, 79+403=482; 82/475=17.3%, 79/482=16.4%.</x:v>
      </x:c>
    </x:row>
    <x:row r="109" ht="180" customHeight="1">
      <x:c r="A109" s="3" t="str">
        <x:v>2018::jama.2018.14280::C006</x:v>
      </x:c>
      <x:c r="B109" s="3" t="n">
        <x:v>3</x:v>
      </x:c>
      <x:c r="C109" s="3" t="str">
        <x:v>Alternative source-grounded interpretations</x:v>
      </x:c>
      <x:c r="D109" s="3" t="str">
        <x:v>Surgical/medical status may exist only for 475/482 patients.</x:v>
      </x:c>
    </x:row>
    <x:row r="110" ht="180" customHeight="1">
      <x:c r="A110" s="6" t="str">
        <x:v>2018::jama.2018.14280::C007</x:v>
      </x:c>
      <x:c r="B110" s="6" t="n">
        <x:v>0</x:v>
      </x:c>
      <x:c r="C110" s="6" t="str">
        <x:v>Source evidence</x:v>
      </x:c>
      <x:c r="D110" s="6" t="str">
        <x:v>Supplement 3 — PDF p. 8 prints 320 (70.6) and 333 (72.1) under headers 477/484.</x:v>
      </x:c>
    </x:row>
    <x:row r="111" ht="180" customHeight="1">
      <x:c r="A111" s="3" t="str">
        <x:v>2018::jama.2018.14280::C007</x:v>
      </x:c>
      <x:c r="B111" s="3" t="n">
        <x:v>1</x:v>
      </x:c>
      <x:c r="C111" s="3" t="str">
        <x:v>Reported-versus-comparator</x:v>
      </x:c>
      <x:c r="D111" s="3" t="str">
        <x:v>Printed percentages versus arm-header and recovered available-case denominators.</x:v>
      </x:c>
    </x:row>
    <x:row r="112" ht="180" customHeight="1">
      <x:c r="A112" s="6" t="str">
        <x:v>2018::jama.2018.14280::C007</x:v>
      </x:c>
      <x:c r="B112" s="6" t="n">
        <x:v>2</x:v>
      </x:c>
      <x:c r="C112" s="6" t="str">
        <x:v>Calculation</x:v>
      </x:c>
      <x:c r="D112" s="6" t="str">
        <x:v>320/477=67.1%, 333/484=68.8%; 320/453=70.6%, 333/462=72.1%.</x:v>
      </x:c>
    </x:row>
    <x:row r="113" ht="180" customHeight="1">
      <x:c r="A113" s="3" t="str">
        <x:v>2018::jama.2018.14280::C007</x:v>
      </x:c>
      <x:c r="B113" s="3" t="n">
        <x:v>3</x:v>
      </x:c>
      <x:c r="C113" s="3" t="str">
        <x:v>Alternative source-grounded interpretations</x:v>
      </x:c>
      <x:c r="D113" s="3" t="str">
        <x:v>A complete-case subset may apply; eTable 4 uses reduced denominators elsewhere.</x:v>
      </x:c>
    </x:row>
    <x:row r="114" ht="180" customHeight="1">
      <x:c r="A114" s="6" t="str">
        <x:v>2018::jama.2018.14280::C008</x:v>
      </x:c>
      <x:c r="B114" s="6" t="n">
        <x:v>0</x:v>
      </x:c>
      <x:c r="C114" s="6" t="str">
        <x:v>Source evidence</x:v>
      </x:c>
      <x:c r="D114" s="6" t="str">
        <x:v>Supplement 3 — PDF p. 8 prints 277 (61.1) and 273 (59.1).</x:v>
      </x:c>
    </x:row>
    <x:row r="115" ht="180" customHeight="1">
      <x:c r="A115" s="3" t="str">
        <x:v>2018::jama.2018.14280::C008</x:v>
      </x:c>
      <x:c r="B115" s="3" t="n">
        <x:v>1</x:v>
      </x:c>
      <x:c r="C115" s="3" t="str">
        <x:v>Reported-versus-comparator</x:v>
      </x:c>
      <x:c r="D115" s="3" t="str">
        <x:v>Printed percentages versus header and recovered denominator calculations.</x:v>
      </x:c>
    </x:row>
    <x:row r="116" ht="180" customHeight="1">
      <x:c r="A116" s="6" t="str">
        <x:v>2018::jama.2018.14280::C008</x:v>
      </x:c>
      <x:c r="B116" s="6" t="n">
        <x:v>2</x:v>
      </x:c>
      <x:c r="C116" s="6" t="str">
        <x:v>Calculation</x:v>
      </x:c>
      <x:c r="D116" s="6" t="str">
        <x:v>277/477=58.1%, 273/484=56.4%; 277/453=61.1%, 273/462=59.1%.</x:v>
      </x:c>
    </x:row>
    <x:row r="117" ht="180" customHeight="1">
      <x:c r="A117" s="3" t="str">
        <x:v>2018::jama.2018.14280::C008</x:v>
      </x:c>
      <x:c r="B117" s="3" t="n">
        <x:v>3</x:v>
      </x:c>
      <x:c r="C117" s="3" t="str">
        <x:v>Alternative source-grounded interpretations</x:v>
      </x:c>
      <x:c r="D117" s="3" t="str">
        <x:v>A 453/462 complete-case population may be intended.</x:v>
      </x:c>
    </x:row>
    <x:row r="118" ht="180" customHeight="1">
      <x:c r="A118" s="6" t="str">
        <x:v>2018::jama.2018.14280::C009</x:v>
      </x:c>
      <x:c r="B118" s="6" t="n">
        <x:v>0</x:v>
      </x:c>
      <x:c r="C118" s="6" t="str">
        <x:v>Source evidence</x:v>
      </x:c>
      <x:c r="D118" s="6" t="str">
        <x:v>Supplement 3 — PDF p. 8 prints 53 (11.7) and 60 (13.0).</x:v>
      </x:c>
    </x:row>
    <x:row r="119" ht="180" customHeight="1">
      <x:c r="A119" s="3" t="str">
        <x:v>2018::jama.2018.14280::C009</x:v>
      </x:c>
      <x:c r="B119" s="3" t="n">
        <x:v>1</x:v>
      </x:c>
      <x:c r="C119" s="3" t="str">
        <x:v>Reported-versus-comparator</x:v>
      </x:c>
      <x:c r="D119" s="3" t="str">
        <x:v>Printed percentages versus arm-header and recovered denominator calculations.</x:v>
      </x:c>
    </x:row>
    <x:row r="120" ht="180" customHeight="1">
      <x:c r="A120" s="6" t="str">
        <x:v>2018::jama.2018.14280::C009</x:v>
      </x:c>
      <x:c r="B120" s="6" t="n">
        <x:v>2</x:v>
      </x:c>
      <x:c r="C120" s="6" t="str">
        <x:v>Calculation</x:v>
      </x:c>
      <x:c r="D120" s="6" t="str">
        <x:v>53/477=11.1%, 60/484=12.4%; 53/453=11.7%, 60/462=13.0%.</x:v>
      </x:c>
    </x:row>
    <x:row r="121" ht="180" customHeight="1">
      <x:c r="A121" s="3" t="str">
        <x:v>2018::jama.2018.14280::C009</x:v>
      </x:c>
      <x:c r="B121" s="3" t="n">
        <x:v>3</x:v>
      </x:c>
      <x:c r="C121" s="3" t="str">
        <x:v>Alternative source-grounded interpretations</x:v>
      </x:c>
      <x:c r="D121" s="3" t="str">
        <x:v>A 453/462 available-case subset may be used.</x:v>
      </x:c>
    </x:row>
    <x:row r="122" ht="180" customHeight="1">
      <x:c r="A122" s="6" t="str">
        <x:v>2018::jama.2018.14280::C010</x:v>
      </x:c>
      <x:c r="B122" s="6" t="n">
        <x:v>0</x:v>
      </x:c>
      <x:c r="C122" s="6" t="str">
        <x:v>Source evidence</x:v>
      </x:c>
      <x:c r="D122" s="6" t="str">
        <x:v>Supplement 3 — PDF p. 8 prints 363 (80.0) and 353 (76.4).</x:v>
      </x:c>
    </x:row>
    <x:row r="123" ht="180" customHeight="1">
      <x:c r="A123" s="3" t="str">
        <x:v>2018::jama.2018.14280::C010</x:v>
      </x:c>
      <x:c r="B123" s="3" t="n">
        <x:v>1</x:v>
      </x:c>
      <x:c r="C123" s="3" t="str">
        <x:v>Reported-versus-comparator</x:v>
      </x:c>
      <x:c r="D123" s="3" t="str">
        <x:v>Printed percentages versus header and recoverable denominator calculations.</x:v>
      </x:c>
    </x:row>
    <x:row r="124" ht="180" customHeight="1">
      <x:c r="A124" s="6" t="str">
        <x:v>2018::jama.2018.14280::C010</x:v>
      </x:c>
      <x:c r="B124" s="6" t="n">
        <x:v>2</x:v>
      </x:c>
      <x:c r="C124" s="6" t="str">
        <x:v>Calculation</x:v>
      </x:c>
      <x:c r="D124" s="6" t="str">
        <x:v>363/477=76.1%, 353/484=72.9%; 363/454=80.0%, 353/462=76.4%.</x:v>
      </x:c>
    </x:row>
    <x:row r="125" ht="180" customHeight="1">
      <x:c r="A125" s="3" t="str">
        <x:v>2018::jama.2018.14280::C010</x:v>
      </x:c>
      <x:c r="B125" s="3" t="n">
        <x:v>3</x:v>
      </x:c>
      <x:c r="C125" s="3" t="str">
        <x:v>Alternative source-grounded interpretations</x:v>
      </x:c>
      <x:c r="D125" s="3" t="str">
        <x:v>Different available-case subsets may have been used; the source does not state whether nearby subsets are shared.</x:v>
      </x:c>
    </x:row>
    <x:row r="126" ht="180" customHeight="1">
      <x:c r="A126" s="6" t="str">
        <x:v>2018::jama.2018.14280::C011</x:v>
      </x:c>
      <x:c r="B126" s="6" t="n">
        <x:v>0</x:v>
      </x:c>
      <x:c r="C126" s="6" t="str">
        <x:v>Source evidence</x:v>
      </x:c>
      <x:c r="D126" s="6" t="str">
        <x:v>Main article Methods — PDF p. 4, Table 2 — PDF p. 6, and SAP — PDF p. 13.</x:v>
      </x:c>
    </x:row>
    <x:row r="127" ht="180" customHeight="1">
      <x:c r="A127" s="3" t="str">
        <x:v>2018::jama.2018.14280::C011</x:v>
      </x:c>
      <x:c r="B127" s="3" t="n">
        <x:v>1</x:v>
      </x:c>
      <x:c r="C127" s="3" t="str">
        <x:v>Reported-versus-comparator</x:v>
      </x:c>
      <x:c r="D127" s="3" t="str">
        <x:v>Methods says mortality rates were compared with Kaplan-Meier/Cox HRs; Table 2/SAP specify RR for ICU/hospital mortality and HR for 28/90-day mortality.</x:v>
      </x:c>
    </x:row>
    <x:row r="128" ht="180" customHeight="1">
      <x:c r="A128" s="6" t="str">
        <x:v>2018::jama.2018.14280::C011</x:v>
      </x:c>
      <x:c r="B128" s="6" t="n">
        <x:v>2</x:v>
      </x:c>
      <x:c r="C128" s="6" t="str">
        <x:v>Calculation</x:v>
      </x:c>
      <x:c r="D128" s="6" t="str">
        <x:v>Semantic comparison: Methods -&gt; HR/Cox if read broadly; Table 2 and SAP -&gt; RR/Wald for ICU/hospital mortality.</x:v>
      </x:c>
    </x:row>
    <x:row r="129" ht="180" customHeight="1">
      <x:c r="A129" s="3" t="str">
        <x:v>2018::jama.2018.14280::C011</x:v>
      </x:c>
      <x:c r="B129" s="3" t="n">
        <x:v>3</x:v>
      </x:c>
      <x:c r="C129" s="3" t="str">
        <x:v>Alternative source-grounded interpretations</x:v>
      </x:c>
      <x:c r="D129" s="3" t="str">
        <x:v>The Methods sentence may be overbroad and intended Cox only for time-indexed mortality.</x:v>
      </x:c>
    </x:row>
    <x:row r="130" ht="180" customHeight="1">
      <x:c r="A130" s="6" t="str">
        <x:v>2018::jama.2018.14280::C012</x:v>
      </x:c>
      <x:c r="B130" s="6" t="n">
        <x:v>0</x:v>
      </x:c>
      <x:c r="C130" s="6" t="str">
        <x:v>Source evidence</x:v>
      </x:c>
      <x:c r="D130" s="6" t="str">
        <x:v>Main article — PDF p. 6 prints low 132/450 (29.3), intermediate 115/458 (25.1), and RR, 1.11 (0.96-1.27).</x:v>
      </x:c>
    </x:row>
    <x:row r="131" ht="180" customHeight="1">
      <x:c r="A131" s="3" t="str">
        <x:v>2018::jama.2018.14280::C012</x:v>
      </x:c>
      <x:c r="B131" s="3" t="n">
        <x:v>1</x:v>
      </x:c>
      <x:c r="C131" s="3" t="str">
        <x:v>Reported-versus-comparator</x:v>
      </x:c>
      <x:c r="D131" s="3" t="str">
        <x:v>Reported RR 1.11 versus crude ratio of printed risks.</x:v>
      </x:c>
    </x:row>
    <x:row r="132" ht="180" customHeight="1">
      <x:c r="A132" s="6" t="str">
        <x:v>2018::jama.2018.14280::C012</x:v>
      </x:c>
      <x:c r="B132" s="6" t="n">
        <x:v>2</x:v>
      </x:c>
      <x:c r="C132" s="6" t="str">
        <x:v>Calculation</x:v>
      </x:c>
      <x:c r="D132" s="6" t="str">
        <x:v>(132/450)/(115/458)=1.168231884, rounding to 1.17, not 1.11.</x:v>
      </x:c>
    </x:row>
    <x:row r="133" ht="180" customHeight="1">
      <x:c r="A133" s="3" t="str">
        <x:v>2018::jama.2018.14280::C012</x:v>
      </x:c>
      <x:c r="B133" s="3" t="n">
        <x:v>3</x:v>
      </x:c>
      <x:c r="C133" s="3" t="str">
        <x:v>Alternative source-grounded interpretations</x:v>
      </x:c>
      <x:c r="D133" s="3" t="str">
        <x:v>A non-crude estimator, different population, weighting, or strata may underlie 1.11.</x:v>
      </x:c>
    </x:row>
    <x:row r="134" ht="180" customHeight="1">
      <x:c r="A134" s="6" t="str">
        <x:v>2018::jama.2018.14280::C013</x:v>
      </x:c>
      <x:c r="B134" s="6" t="n">
        <x:v>0</x:v>
      </x:c>
      <x:c r="C134" s="6" t="str">
        <x:v>Source evidence</x:v>
      </x:c>
      <x:c r="D134" s="6" t="str">
        <x:v>Main article — PDF p. 6 prints low 151/477 (31.7), intermediate 140/484 (28.9), and RR 1.06.</x:v>
      </x:c>
    </x:row>
    <x:row r="135" ht="180" customHeight="1">
      <x:c r="A135" s="3" t="str">
        <x:v>2018::jama.2018.14280::C013</x:v>
      </x:c>
      <x:c r="B135" s="3" t="n">
        <x:v>1</x:v>
      </x:c>
      <x:c r="C135" s="3" t="str">
        <x:v>Reported-versus-comparator</x:v>
      </x:c>
      <x:c r="D135" s="3" t="str">
        <x:v>Reported RR 1.06 versus displayed-risk ratio.</x:v>
      </x:c>
    </x:row>
    <x:row r="136" ht="180" customHeight="1">
      <x:c r="A136" s="6" t="str">
        <x:v>2018::jama.2018.14280::C013</x:v>
      </x:c>
      <x:c r="B136" s="6" t="n">
        <x:v>2</x:v>
      </x:c>
      <x:c r="C136" s="6" t="str">
        <x:v>Calculation</x:v>
      </x:c>
      <x:c r="D136" s="6" t="str">
        <x:v>(151/477)/(140/484)=1.094399521, rounding to 1.09, not 1.06.</x:v>
      </x:c>
    </x:row>
    <x:row r="137" ht="180" customHeight="1">
      <x:c r="A137" s="3" t="str">
        <x:v>2018::jama.2018.14280::C013</x:v>
      </x:c>
      <x:c r="B137" s="3" t="n">
        <x:v>3</x:v>
      </x:c>
      <x:c r="C137" s="3" t="str">
        <x:v>Alternative source-grounded interpretations</x:v>
      </x:c>
      <x:c r="D137" s="3" t="str">
        <x:v>A differently defined estimator or analysis population may underlie the printed RR.</x:v>
      </x:c>
    </x:row>
    <x:row r="138" ht="180" customHeight="1">
      <x:c r="A138" s="6" t="str">
        <x:v>2018::jama.2018.14280::C014</x:v>
      </x:c>
      <x:c r="B138" s="6" t="n">
        <x:v>0</x:v>
      </x:c>
      <x:c r="C138" s="6" t="str">
        <x:v>Source evidence</x:v>
      </x:c>
      <x:c r="D138" s="6" t="str">
        <x:v>Main article — PDF p. 6 prints 17/448 (3.8), 23/462 (5.0), and RR 0.86.</x:v>
      </x:c>
    </x:row>
    <x:row r="139" ht="180" customHeight="1">
      <x:c r="A139" s="3" t="str">
        <x:v>2018::jama.2018.14280::C014</x:v>
      </x:c>
      <x:c r="B139" s="3" t="n">
        <x:v>1</x:v>
      </x:c>
      <x:c r="C139" s="3" t="str">
        <x:v>Reported-versus-comparator</x:v>
      </x:c>
      <x:c r="D139" s="3" t="str">
        <x:v>Reported RR 0.86 versus printed-risk ratio.</x:v>
      </x:c>
    </x:row>
    <x:row r="140" ht="180" customHeight="1">
      <x:c r="A140" s="6" t="str">
        <x:v>2018::jama.2018.14280::C014</x:v>
      </x:c>
      <x:c r="B140" s="6" t="n">
        <x:v>2</x:v>
      </x:c>
      <x:c r="C140" s="6" t="str">
        <x:v>Calculation</x:v>
      </x:c>
      <x:c r="D140" s="6" t="str">
        <x:v>(17/448)/(23/462)=0.762228261, rounding to 0.76, not 0.86.</x:v>
      </x:c>
    </x:row>
    <x:row r="141" ht="180" customHeight="1">
      <x:c r="A141" s="3" t="str">
        <x:v>2018::jama.2018.14280::C014</x:v>
      </x:c>
      <x:c r="B141" s="3" t="n">
        <x:v>3</x:v>
      </x:c>
      <x:c r="C141" s="3" t="str">
        <x:v>Alternative source-grounded interpretations</x:v>
      </x:c>
      <x:c r="D141" s="3" t="str">
        <x:v>A model- or test-derived RR beyond displayed margins may have been used but is not described.</x:v>
      </x:c>
    </x:row>
    <x:row r="142" ht="180" customHeight="1">
      <x:c r="A142" s="6" t="str">
        <x:v>2018::jama.2018.14280::C015</x:v>
      </x:c>
      <x:c r="B142" s="6" t="n">
        <x:v>0</x:v>
      </x:c>
      <x:c r="C142" s="6" t="str">
        <x:v>Source evidence</x:v>
      </x:c>
      <x:c r="D142" s="6" t="str">
        <x:v>Main article — PDF p. 6 prints 19/450 (4.2), 17/462 (3.7), and RR 1.07.</x:v>
      </x:c>
    </x:row>
    <x:row r="143" ht="180" customHeight="1">
      <x:c r="A143" s="3" t="str">
        <x:v>2018::jama.2018.14280::C015</x:v>
      </x:c>
      <x:c r="B143" s="3" t="n">
        <x:v>1</x:v>
      </x:c>
      <x:c r="C143" s="3" t="str">
        <x:v>Reported-versus-comparator</x:v>
      </x:c>
      <x:c r="D143" s="3" t="str">
        <x:v>Reported RR 1.07 versus printed-risk ratio.</x:v>
      </x:c>
    </x:row>
    <x:row r="144" ht="180" customHeight="1">
      <x:c r="A144" s="6" t="str">
        <x:v>2018::jama.2018.14280::C015</x:v>
      </x:c>
      <x:c r="B144" s="6" t="n">
        <x:v>2</x:v>
      </x:c>
      <x:c r="C144" s="6" t="str">
        <x:v>Calculation</x:v>
      </x:c>
      <x:c r="D144" s="6" t="str">
        <x:v>(19/450)/(17/462)=1.147450980, rounding to 1.15, not 1.07.</x:v>
      </x:c>
    </x:row>
    <x:row r="145" ht="180" customHeight="1">
      <x:c r="A145" s="3" t="str">
        <x:v>2018::jama.2018.14280::C015</x:v>
      </x:c>
      <x:c r="B145" s="3" t="n">
        <x:v>3</x:v>
      </x:c>
      <x:c r="C145" s="3" t="str">
        <x:v>Alternative source-grounded interpretations</x:v>
      </x:c>
      <x:c r="D145" s="3" t="str">
        <x:v>A procedure using information beyond displayed margins is possible but not described.</x:v>
      </x:c>
    </x:row>
    <x:row r="146" ht="180" customHeight="1">
      <x:c r="A146" s="6" t="str">
        <x:v>2018::jama.2018.14280::C016</x:v>
      </x:c>
      <x:c r="B146" s="6" t="n">
        <x:v>0</x:v>
      </x:c>
      <x:c r="C146" s="6" t="str">
        <x:v>Source evidence</x:v>
      </x:c>
      <x:c r="D146" s="6" t="str">
        <x:v>Main article — PDF p. 6 prints 8/448 (1.8), 6/462 (1.3), and RR 1.16.</x:v>
      </x:c>
    </x:row>
    <x:row r="147" ht="180" customHeight="1">
      <x:c r="A147" s="3" t="str">
        <x:v>2018::jama.2018.14280::C016</x:v>
      </x:c>
      <x:c r="B147" s="3" t="n">
        <x:v>1</x:v>
      </x:c>
      <x:c r="C147" s="3" t="str">
        <x:v>Reported-versus-comparator</x:v>
      </x:c>
      <x:c r="D147" s="3" t="str">
        <x:v>Reported RR 1.16 versus printed-risk ratio.</x:v>
      </x:c>
    </x:row>
    <x:row r="148" ht="180" customHeight="1">
      <x:c r="A148" s="6" t="str">
        <x:v>2018::jama.2018.14280::C016</x:v>
      </x:c>
      <x:c r="B148" s="6" t="n">
        <x:v>2</x:v>
      </x:c>
      <x:c r="C148" s="6" t="str">
        <x:v>Calculation</x:v>
      </x:c>
      <x:c r="D148" s="6" t="str">
        <x:v>(8/448)/(6/462)=1.375, rounding to 1.38, not 1.16.</x:v>
      </x:c>
    </x:row>
    <x:row r="149" ht="180" customHeight="1">
      <x:c r="A149" s="3" t="str">
        <x:v>2018::jama.2018.14280::C016</x:v>
      </x:c>
      <x:c r="B149" s="3" t="n">
        <x:v>3</x:v>
      </x:c>
      <x:c r="C149" s="3" t="str">
        <x:v>Alternative source-grounded interpretations</x:v>
      </x:c>
      <x:c r="D149" s="3" t="str">
        <x:v>A model or test using unprinted information may produce a different effect.</x:v>
      </x:c>
    </x:row>
    <x:row r="150" ht="180" customHeight="1">
      <x:c r="A150" s="6" t="str">
        <x:v>2018::jama.2018.14280::C017</x:v>
      </x:c>
      <x:c r="B150" s="6" t="n">
        <x:v>0</x:v>
      </x:c>
      <x:c r="C150" s="6" t="str">
        <x:v>Source evidence</x:v>
      </x:c>
      <x:c r="D150" s="6" t="str">
        <x:v>Main article — PDF p. 6 prints 51/449 (11.4), 52/464 (11.2), and RR 1.00.</x:v>
      </x:c>
    </x:row>
    <x:row r="151" ht="180" customHeight="1">
      <x:c r="A151" s="3" t="str">
        <x:v>2018::jama.2018.14280::C017</x:v>
      </x:c>
      <x:c r="B151" s="3" t="n">
        <x:v>1</x:v>
      </x:c>
      <x:c r="C151" s="3" t="str">
        <x:v>Reported-versus-comparator</x:v>
      </x:c>
      <x:c r="D151" s="3" t="str">
        <x:v>Reported RR 1.00 versus printed-risk ratio.</x:v>
      </x:c>
    </x:row>
    <x:row r="152" ht="180" customHeight="1">
      <x:c r="A152" s="6" t="str">
        <x:v>2018::jama.2018.14280::C017</x:v>
      </x:c>
      <x:c r="B152" s="6" t="n">
        <x:v>2</x:v>
      </x:c>
      <x:c r="C152" s="6" t="str">
        <x:v>Calculation</x:v>
      </x:c>
      <x:c r="D152" s="6" t="str">
        <x:v>(51/449)/(52/464)=1.013534350, rounding to 1.01, not 1.00.</x:v>
      </x:c>
    </x:row>
    <x:row r="153" ht="180" customHeight="1">
      <x:c r="A153" s="3" t="str">
        <x:v>2018::jama.2018.14280::C017</x:v>
      </x:c>
      <x:c r="B153" s="3" t="n">
        <x:v>3</x:v>
      </x:c>
      <x:c r="C153" s="3" t="str">
        <x:v>Alternative source-grounded interpretations</x:v>
      </x:c>
      <x:c r="D153" s="3" t="str">
        <x:v>A separately estimated or more heavily rounded effect could print as 1.00, but the source does not disclose the computation.</x:v>
      </x:c>
    </x:row>
    <x:row r="154" ht="180" customHeight="1">
      <x:c r="A154" s="6" t="str">
        <x:v>2018::jama.2018.14280::C018</x:v>
      </x:c>
      <x:c r="B154" s="6" t="n">
        <x:v>0</x:v>
      </x:c>
      <x:c r="C154" s="6" t="str">
        <x:v>Source evidence</x:v>
      </x:c>
      <x:c r="D154" s="6" t="str">
        <x:v>Main article — PDF p. 6 prints 20/448 (4.5), 28/463 (6.0), and RR 0.84.</x:v>
      </x:c>
    </x:row>
    <x:row r="155" ht="180" customHeight="1">
      <x:c r="A155" s="3" t="str">
        <x:v>2018::jama.2018.14280::C018</x:v>
      </x:c>
      <x:c r="B155" s="3" t="n">
        <x:v>1</x:v>
      </x:c>
      <x:c r="C155" s="3" t="str">
        <x:v>Reported-versus-comparator</x:v>
      </x:c>
      <x:c r="D155" s="3" t="str">
        <x:v>Reported RR 0.84 versus printed-risk ratio.</x:v>
      </x:c>
    </x:row>
    <x:row r="156" ht="180" customHeight="1">
      <x:c r="A156" s="6" t="str">
        <x:v>2018::jama.2018.14280::C018</x:v>
      </x:c>
      <x:c r="B156" s="6" t="n">
        <x:v>2</x:v>
      </x:c>
      <x:c r="C156" s="6" t="str">
        <x:v>Calculation</x:v>
      </x:c>
      <x:c r="D156" s="6" t="str">
        <x:v>(20/448)/(28/463)=0.738201531, rounding to 0.74, not 0.84.</x:v>
      </x:c>
    </x:row>
    <x:row r="157" ht="180" customHeight="1">
      <x:c r="A157" s="3" t="str">
        <x:v>2018::jama.2018.14280::C018</x:v>
      </x:c>
      <x:c r="B157" s="3" t="n">
        <x:v>3</x:v>
      </x:c>
      <x:c r="C157" s="3" t="str">
        <x:v>Alternative source-grounded interpretations</x:v>
      </x:c>
      <x:c r="D157" s="3" t="str">
        <x:v>An unspecified procedure beyond the margins could yield the printed RR.</x:v>
      </x:c>
    </x:row>
    <x:row r="158" ht="180" customHeight="1">
      <x:c r="A158" s="6" t="str">
        <x:v>2018::jama.2018.14280::C019</x:v>
      </x:c>
      <x:c r="B158" s="6" t="n">
        <x:v>0</x:v>
      </x:c>
      <x:c r="C158" s="6" t="str">
        <x:v>Source evidence</x:v>
      </x:c>
      <x:c r="D158" s="6" t="str">
        <x:v>Main article — PDF p. 6 prints 12/448 (2.7), 16/463 (3.5), and RR 0.87.</x:v>
      </x:c>
    </x:row>
    <x:row r="159" ht="180" customHeight="1">
      <x:c r="A159" s="3" t="str">
        <x:v>2018::jama.2018.14280::C019</x:v>
      </x:c>
      <x:c r="B159" s="3" t="n">
        <x:v>1</x:v>
      </x:c>
      <x:c r="C159" s="3" t="str">
        <x:v>Reported-versus-comparator</x:v>
      </x:c>
      <x:c r="D159" s="3" t="str">
        <x:v>Reported RR 0.87 versus printed-risk ratio.</x:v>
      </x:c>
    </x:row>
    <x:row r="160" ht="180" customHeight="1">
      <x:c r="A160" s="6" t="str">
        <x:v>2018::jama.2018.14280::C019</x:v>
      </x:c>
      <x:c r="B160" s="6" t="n">
        <x:v>2</x:v>
      </x:c>
      <x:c r="C160" s="6" t="str">
        <x:v>Calculation</x:v>
      </x:c>
      <x:c r="D160" s="6" t="str">
        <x:v>(12/448)/(16/463)=0.775111607, rounding to 0.78, not 0.87.</x:v>
      </x:c>
    </x:row>
    <x:row r="161" ht="180" customHeight="1">
      <x:c r="A161" s="3" t="str">
        <x:v>2018::jama.2018.14280::C019</x:v>
      </x:c>
      <x:c r="B161" s="3" t="n">
        <x:v>3</x:v>
      </x:c>
      <x:c r="C161" s="3" t="str">
        <x:v>Alternative source-grounded interpretations</x:v>
      </x:c>
      <x:c r="D161" s="3" t="str">
        <x:v>A non-crude RR may differ from table margins, but no implementation is identified.</x:v>
      </x:c>
    </x:row>
    <x:row r="162" ht="180" customHeight="1">
      <x:c r="A162" s="6" t="str">
        <x:v>2018::jama.2018.14280::C020</x:v>
      </x:c>
      <x:c r="B162" s="6" t="n">
        <x:v>0</x:v>
      </x:c>
      <x:c r="C162" s="6" t="str">
        <x:v>Source evidence</x:v>
      </x:c>
      <x:c r="D162" s="6" t="str">
        <x:v>Main article — PDF p. 6 prints 149/343 (43.4), 132/361 (36.6), and RR 1.15.</x:v>
      </x:c>
    </x:row>
    <x:row r="163" ht="180" customHeight="1">
      <x:c r="A163" s="3" t="str">
        <x:v>2018::jama.2018.14280::C020</x:v>
      </x:c>
      <x:c r="B163" s="3" t="n">
        <x:v>1</x:v>
      </x:c>
      <x:c r="C163" s="3" t="str">
        <x:v>Reported-versus-comparator</x:v>
      </x:c>
      <x:c r="D163" s="3" t="str">
        <x:v>Reported RR 1.15 versus printed-risk ratio.</x:v>
      </x:c>
    </x:row>
    <x:row r="164" ht="180" customHeight="1">
      <x:c r="A164" s="6" t="str">
        <x:v>2018::jama.2018.14280::C020</x:v>
      </x:c>
      <x:c r="B164" s="6" t="n">
        <x:v>2</x:v>
      </x:c>
      <x:c r="C164" s="6" t="str">
        <x:v>Calculation</x:v>
      </x:c>
      <x:c r="D164" s="6" t="str">
        <x:v>(149/343)/(132/361)=1.188024560, rounding to 1.19, not 1.15.</x:v>
      </x:c>
    </x:row>
    <x:row r="165" ht="180" customHeight="1">
      <x:c r="A165" s="3" t="str">
        <x:v>2018::jama.2018.14280::C020</x:v>
      </x:c>
      <x:c r="B165" s="3" t="n">
        <x:v>3</x:v>
      </x:c>
      <x:c r="C165" s="3" t="str">
        <x:v>Alternative source-grounded interpretations</x:v>
      </x:c>
      <x:c r="D165" s="3" t="str">
        <x:v>A non-crude analysis or population not fully represented by margins may yield another RR.</x:v>
      </x:c>
    </x:row>
    <x:row r="166" ht="180" customHeight="1">
      <x:c r="A166" s="6" t="str">
        <x:v>2018::jama.2018.14280::C021</x:v>
      </x:c>
      <x:c r="B166" s="6" t="n">
        <x:v>0</x:v>
      </x:c>
      <x:c r="C166" s="6" t="str">
        <x:v>Source evidence</x:v>
      </x:c>
      <x:c r="D166" s="6" t="str">
        <x:v>Main article — PDF p. 6 prints 54/477 (11.3), 52/484 (10.7), and RR 1.03.</x:v>
      </x:c>
    </x:row>
    <x:row r="167" ht="180" customHeight="1">
      <x:c r="A167" s="3" t="str">
        <x:v>2018::jama.2018.14280::C021</x:v>
      </x:c>
      <x:c r="B167" s="3" t="n">
        <x:v>1</x:v>
      </x:c>
      <x:c r="C167" s="3" t="str">
        <x:v>Reported-versus-comparator</x:v>
      </x:c>
      <x:c r="D167" s="3" t="str">
        <x:v>Reported RR 1.03 versus printed-risk ratio.</x:v>
      </x:c>
    </x:row>
    <x:row r="168" ht="180" customHeight="1">
      <x:c r="A168" s="6" t="str">
        <x:v>2018::jama.2018.14280::C021</x:v>
      </x:c>
      <x:c r="B168" s="6" t="n">
        <x:v>2</x:v>
      </x:c>
      <x:c r="C168" s="6" t="str">
        <x:v>Calculation</x:v>
      </x:c>
      <x:c r="D168" s="6" t="str">
        <x:v>(54/477)/(52/484)=1.053701016, rounding to 1.05, not 1.03.</x:v>
      </x:c>
    </x:row>
    <x:row r="169" ht="180" customHeight="1">
      <x:c r="A169" s="3" t="str">
        <x:v>2018::jama.2018.14280::C021</x:v>
      </x:c>
      <x:c r="B169" s="3" t="n">
        <x:v>3</x:v>
      </x:c>
      <x:c r="C169" s="3" t="str">
        <x:v>Alternative source-grounded interpretations</x:v>
      </x:c>
      <x:c r="D169" s="3" t="str">
        <x:v>A procedure not reducible to displayed margins may have been used, but it is not specified.</x:v>
      </x:c>
    </x:row>
    <x:row r="170" ht="180" customHeight="1">
      <x:c r="A170" s="6" t="str">
        <x:v>2018::jama.2018.14280::C022</x:v>
      </x:c>
      <x:c r="B170" s="6" t="n">
        <x:v>0</x:v>
      </x:c>
      <x:c r="C170" s="6" t="str">
        <x:v>Source evidence</x:v>
      </x:c>
      <x:c r="D170" s="6" t="str">
        <x:v>Main article — PDF p. 6 prints inside-ICU -2.50 [IQR, -4.63 to -0.36] and outside-ICU 1.45 [IQR, -0.52 to 3.43]; Supplement 3 — PDF p. 9 labels the identical values Mean Difference (95% CI).</x:v>
      </x:c>
    </x:row>
    <x:row r="171" ht="180" customHeight="1">
      <x:c r="A171" s="3" t="str">
        <x:v>2018::jama.2018.14280::C022</x:v>
      </x:c>
      <x:c r="B171" s="3" t="n">
        <x:v>1</x:v>
      </x:c>
      <x:c r="C171" s="3" t="str">
        <x:v>Reported-versus-comparator</x:v>
      </x:c>
      <x:c r="D171" s="3" t="str">
        <x:v>Main-text IQR labels versus eTable 5 95% CI labels for identical point estimates and endpoints.</x:v>
      </x:c>
    </x:row>
    <x:row r="172" ht="180" customHeight="1">
      <x:c r="A172" s="6" t="str">
        <x:v>2018::jama.2018.14280::C022</x:v>
      </x:c>
      <x:c r="B172" s="6" t="n">
        <x:v>2</x:v>
      </x:c>
      <x:c r="C172" s="6" t="str">
        <x:v>Calculation</x:v>
      </x:c>
      <x:c r="D172" s="6" t="str">
        <x:v>Both sources show -2.50 (-4.63 to -0.36) and 1.45 (-0.52 to 3.43); only IQR versus 95% CI differs.</x:v>
      </x:c>
    </x:row>
    <x:row r="173" ht="180" customHeight="1">
      <x:c r="A173" s="3" t="str">
        <x:v>2018::jama.2018.14280::C022</x:v>
      </x:c>
      <x:c r="B173" s="3" t="n">
        <x:v>3</x:v>
      </x:c>
      <x:c r="C173" s="3" t="str">
        <x:v>Alternative source-grounded interpretations</x:v>
      </x:c>
      <x:c r="D173" s="3" t="str">
        <x:v>The narrative label may be a transcription error; the supplied sources do not establish intended wording.</x:v>
      </x:c>
    </x:row>
    <x:row r="174" ht="180" customHeight="1">
      <x:c r="A174" s="6" t="str">
        <x:v>2018::jama.2018.14280::C023</x:v>
      </x:c>
      <x:c r="B174" s="6" t="n">
        <x:v>0</x:v>
      </x:c>
      <x:c r="C174" s="6" t="str">
        <x:v>Source evidence</x:v>
      </x:c>
      <x:c r="D174" s="6" t="str">
        <x:v>Main article abstract — PDF p. 1 and Results/Patients — PDF p. 5 print August 20, 2017. SAP abstract — PDF p. 3 and SAP introduction — PDF p. 5 print August 22, 2017.</x:v>
      </x:c>
    </x:row>
    <x:row r="175" ht="180" customHeight="1">
      <x:c r="A175" s="3" t="str">
        <x:v>2018::jama.2018.14280::C023</x:v>
      </x:c>
      <x:c r="B175" s="3" t="n">
        <x:v>1</x:v>
      </x:c>
      <x:c r="C175" s="3" t="str">
        <x:v>Reported-versus-comparator</x:v>
      </x:c>
      <x:c r="D175" s="3" t="str">
        <x:v>Main-article enrollment end date August 20, 2017 versus SAP enrollment-completion date August 22, 2017.</x:v>
      </x:c>
    </x:row>
    <x:row r="176" ht="180" customHeight="1">
      <x:c r="A176" s="6" t="str">
        <x:v>2018::jama.2018.14280::C023</x:v>
      </x:c>
      <x:c r="B176" s="6" t="n">
        <x:v>2</x:v>
      </x:c>
      <x:c r="C176" s="6" t="str">
        <x:v>Calculation</x:v>
      </x:c>
      <x:c r="D176" s="6" t="str">
        <x:v>August 22, 2017 is two calendar days after August 20, 2017.</x:v>
      </x:c>
    </x:row>
    <x:row r="177" ht="180" customHeight="1">
      <x:c r="A177" s="3" t="str">
        <x:v>2018::jama.2018.14280::C023</x:v>
      </x:c>
      <x:c r="B177" s="3" t="n">
        <x:v>3</x:v>
      </x:c>
      <x:c r="C177" s="3" t="str">
        <x:v>Alternative source-grounded interpretations</x:v>
      </x:c>
      <x:c r="D177" s="3" t="str">
        <x:v>August 20 may be the last screened/enrolled/randomized patient and August 22 administrative completion; the supplied sources do not define distinct events.</x:v>
      </x:c>
    </x:row>
    <x:row r="178" ht="180" customHeight="1">
      <x:c r="A178" s="6" t="str">
        <x:v>2018::jama.2018.14282::C001</x:v>
      </x:c>
      <x:c r="B178" s="6" t="n">
        <x:v>0</x:v>
      </x:c>
      <x:c r="C178" s="6" t="str">
        <x:v>Source evidence</x:v>
      </x:c>
      <x:c r="D178" s="6" t="str">
        <x:v>Standard Oxygen Therapy n=388, men 247 (63.6).</x:v>
      </x:c>
    </x:row>
    <x:row r="179" ht="180" customHeight="1">
      <x:c r="A179" s="3" t="str">
        <x:v>2018::jama.2018.14282::C001</x:v>
      </x:c>
      <x:c r="B179" s="3" t="n">
        <x:v>1</x:v>
      </x:c>
      <x:c r="C179" s="3" t="str">
        <x:v>Reported-versus-comparator</x:v>
      </x:c>
      <x:c r="D179" s="3" t="str">
        <x:v>Reported 63.6% versus 63.7% from 247/388.</x:v>
      </x:c>
    </x:row>
    <x:row r="180" ht="180" customHeight="1">
      <x:c r="A180" s="6" t="str">
        <x:v>2018::jama.2018.14282::C001</x:v>
      </x:c>
      <x:c r="B180" s="6" t="n">
        <x:v>2</x:v>
      </x:c>
      <x:c r="C180" s="6" t="str">
        <x:v>Calculation</x:v>
      </x:c>
      <x:c r="D180" s="6" t="str">
        <x:v>247/388×100=63.6598%; nearest one decimal=63.7%.</x:v>
      </x:c>
    </x:row>
    <x:row r="181" ht="180" customHeight="1">
      <x:c r="A181" s="3" t="str">
        <x:v>2018::jama.2018.14282::C001</x:v>
      </x:c>
      <x:c r="B181" s="3" t="n">
        <x:v>3</x:v>
      </x:c>
      <x:c r="C181" s="3" t="str">
        <x:v>Alternative source-grounded interpretations</x:v>
      </x:c>
      <x:c r="D181" s="3" t="str">
        <x:v>An unstated denominator or rounding convention could explain the display.</x:v>
      </x:c>
    </x:row>
    <x:row r="182" ht="180" customHeight="1">
      <x:c r="A182" s="6" t="str">
        <x:v>2018::jama.2018.14282::C002</x:v>
      </x:c>
      <x:c r="B182" s="6" t="n">
        <x:v>0</x:v>
      </x:c>
      <x:c r="C182" s="6" t="str">
        <x:v>Source evidence</x:v>
      </x:c>
      <x:c r="D182" s="6" t="str">
        <x:v>Standard Oxygen Therapy n=388, women 141 (36.4).</x:v>
      </x:c>
    </x:row>
    <x:row r="183" ht="180" customHeight="1">
      <x:c r="A183" s="3" t="str">
        <x:v>2018::jama.2018.14282::C002</x:v>
      </x:c>
      <x:c r="B183" s="3" t="n">
        <x:v>1</x:v>
      </x:c>
      <x:c r="C183" s="3" t="str">
        <x:v>Reported-versus-comparator</x:v>
      </x:c>
      <x:c r="D183" s="3" t="str">
        <x:v>Reported 36.4% versus 36.3% from 141/388.</x:v>
      </x:c>
    </x:row>
    <x:row r="184" ht="180" customHeight="1">
      <x:c r="A184" s="6" t="str">
        <x:v>2018::jama.2018.14282::C002</x:v>
      </x:c>
      <x:c r="B184" s="6" t="n">
        <x:v>2</x:v>
      </x:c>
      <x:c r="C184" s="6" t="str">
        <x:v>Calculation</x:v>
      </x:c>
      <x:c r="D184" s="6" t="str">
        <x:v>141/388×100=36.3402%; nearest one decimal=36.3%.</x:v>
      </x:c>
    </x:row>
    <x:row r="185" ht="180" customHeight="1">
      <x:c r="A185" s="3" t="str">
        <x:v>2018::jama.2018.14282::C002</x:v>
      </x:c>
      <x:c r="B185" s="3" t="n">
        <x:v>3</x:v>
      </x:c>
      <x:c r="C185" s="3" t="str">
        <x:v>Alternative source-grounded interpretations</x:v>
      </x:c>
      <x:c r="D185" s="3" t="str">
        <x:v>An unstated denominator or rounding convention could explain the display.</x:v>
      </x:c>
    </x:row>
    <x:row r="186" ht="180" customHeight="1">
      <x:c r="A186" s="6" t="str">
        <x:v>2018::jama.2018.14282::C003</x:v>
      </x:c>
      <x:c r="B186" s="6" t="n">
        <x:v>0</x:v>
      </x:c>
      <x:c r="C186" s="6" t="str">
        <x:v>Source evidence</x:v>
      </x:c>
      <x:c r="D186" s="6" t="str">
        <x:v>Standard Oxygen Therapy n=388, heart failure 27 (6.9).</x:v>
      </x:c>
    </x:row>
    <x:row r="187" ht="180" customHeight="1">
      <x:c r="A187" s="3" t="str">
        <x:v>2018::jama.2018.14282::C003</x:v>
      </x:c>
      <x:c r="B187" s="3" t="n">
        <x:v>1</x:v>
      </x:c>
      <x:c r="C187" s="3" t="str">
        <x:v>Reported-versus-comparator</x:v>
      </x:c>
      <x:c r="D187" s="3" t="str">
        <x:v>Reported 6.9% versus 7.0% from 27/388.</x:v>
      </x:c>
    </x:row>
    <x:row r="188" ht="180" customHeight="1">
      <x:c r="A188" s="6" t="str">
        <x:v>2018::jama.2018.14282::C003</x:v>
      </x:c>
      <x:c r="B188" s="6" t="n">
        <x:v>2</x:v>
      </x:c>
      <x:c r="C188" s="6" t="str">
        <x:v>Calculation</x:v>
      </x:c>
      <x:c r="D188" s="6" t="str">
        <x:v>27/388×100=6.9588%; nearest one decimal=7.0%.</x:v>
      </x:c>
    </x:row>
    <x:row r="189" ht="180" customHeight="1">
      <x:c r="A189" s="3" t="str">
        <x:v>2018::jama.2018.14282::C003</x:v>
      </x:c>
      <x:c r="B189" s="3" t="n">
        <x:v>3</x:v>
      </x:c>
      <x:c r="C189" s="3" t="str">
        <x:v>Alternative source-grounded interpretations</x:v>
      </x:c>
      <x:c r="D189" s="3" t="str">
        <x:v>A row-specific denominator or another rounding convention is not documented.</x:v>
      </x:c>
    </x:row>
    <x:row r="190" ht="180" customHeight="1">
      <x:c r="A190" s="6" t="str">
        <x:v>2018::jama.2018.14282::C004</x:v>
      </x:c>
      <x:c r="B190" s="6" t="n">
        <x:v>0</x:v>
      </x:c>
      <x:c r="C190" s="6" t="str">
        <x:v>Source evidence</x:v>
      </x:c>
      <x:c r="D190" s="6" t="str">
        <x:v>High-Flow Oxygen Therapy n=388, liver disease 45 (13.3).</x:v>
      </x:c>
    </x:row>
    <x:row r="191" ht="180" customHeight="1">
      <x:c r="A191" s="3" t="str">
        <x:v>2018::jama.2018.14282::C004</x:v>
      </x:c>
      <x:c r="B191" s="3" t="n">
        <x:v>1</x:v>
      </x:c>
      <x:c r="C191" s="3" t="str">
        <x:v>Reported-versus-comparator</x:v>
      </x:c>
      <x:c r="D191" s="3" t="str">
        <x:v>Reported 13.3% versus 11.6% from 45/388.</x:v>
      </x:c>
    </x:row>
    <x:row r="192" ht="180" customHeight="1">
      <x:c r="A192" s="6" t="str">
        <x:v>2018::jama.2018.14282::C004</x:v>
      </x:c>
      <x:c r="B192" s="6" t="n">
        <x:v>2</x:v>
      </x:c>
      <x:c r="C192" s="6" t="str">
        <x:v>Calculation</x:v>
      </x:c>
      <x:c r="D192" s="6" t="str">
        <x:v>45/388×100=11.5979%; nearest one decimal=11.6%.</x:v>
      </x:c>
    </x:row>
    <x:row r="193" ht="180" customHeight="1">
      <x:c r="A193" s="3" t="str">
        <x:v>2018::jama.2018.14282::C004</x:v>
      </x:c>
      <x:c r="B193" s="3" t="n">
        <x:v>3</x:v>
      </x:c>
      <x:c r="C193" s="3" t="str">
        <x:v>Alternative source-grounded interpretations</x:v>
      </x:c>
      <x:c r="D193" s="3" t="str">
        <x:v>A different population, transcription, or column-placement issue could explain the pair; none is identified in the source.</x:v>
      </x:c>
    </x:row>
    <x:row r="194" ht="180" customHeight="1">
      <x:c r="A194" s="6" t="str">
        <x:v>2018::jama.2018.14282::C005</x:v>
      </x:c>
      <x:c r="B194" s="6" t="n">
        <x:v>0</x:v>
      </x:c>
      <x:c r="C194" s="6" t="str">
        <x:v>Source evidence</x:v>
      </x:c>
      <x:c r="D194" s="6" t="str">
        <x:v>Standard Oxygen Therapy n=388, kidney disease 69 (20.4).</x:v>
      </x:c>
    </x:row>
    <x:row r="195" ht="180" customHeight="1">
      <x:c r="A195" s="3" t="str">
        <x:v>2018::jama.2018.14282::C005</x:v>
      </x:c>
      <x:c r="B195" s="3" t="n">
        <x:v>1</x:v>
      </x:c>
      <x:c r="C195" s="3" t="str">
        <x:v>Reported-versus-comparator</x:v>
      </x:c>
      <x:c r="D195" s="3" t="str">
        <x:v>Reported 20.4% versus 17.8% from 69/388.</x:v>
      </x:c>
    </x:row>
    <x:row r="196" ht="180" customHeight="1">
      <x:c r="A196" s="6" t="str">
        <x:v>2018::jama.2018.14282::C005</x:v>
      </x:c>
      <x:c r="B196" s="6" t="n">
        <x:v>2</x:v>
      </x:c>
      <x:c r="C196" s="6" t="str">
        <x:v>Calculation</x:v>
      </x:c>
      <x:c r="D196" s="6" t="str">
        <x:v>69/388×100=17.7835%; nearest one decimal=17.8%.</x:v>
      </x:c>
    </x:row>
    <x:row r="197" ht="180" customHeight="1">
      <x:c r="A197" s="3" t="str">
        <x:v>2018::jama.2018.14282::C005</x:v>
      </x:c>
      <x:c r="B197" s="3" t="n">
        <x:v>3</x:v>
      </x:c>
      <x:c r="C197" s="3" t="str">
        <x:v>Alternative source-grounded interpretations</x:v>
      </x:c>
      <x:c r="D197" s="3" t="str">
        <x:v>A different population, transcription, or column-placement issue is possible but not identified.</x:v>
      </x:c>
    </x:row>
    <x:row r="198" ht="180" customHeight="1">
      <x:c r="A198" s="6" t="str">
        <x:v>2018::jama.2018.14282::C006</x:v>
      </x:c>
      <x:c r="B198" s="6" t="n">
        <x:v>0</x:v>
      </x:c>
      <x:c r="C198" s="6" t="str">
        <x:v>Source evidence</x:v>
      </x:c>
      <x:c r="D198" s="6" t="str">
        <x:v>Non-transplant-related reasons, Standard Oxygen Therapy n=388, 98 (25.2).</x:v>
      </x:c>
    </x:row>
    <x:row r="199" ht="180" customHeight="1">
      <x:c r="A199" s="3" t="str">
        <x:v>2018::jama.2018.14282::C006</x:v>
      </x:c>
      <x:c r="B199" s="3" t="n">
        <x:v>1</x:v>
      </x:c>
      <x:c r="C199" s="3" t="str">
        <x:v>Reported-versus-comparator</x:v>
      </x:c>
      <x:c r="D199" s="3" t="str">
        <x:v>Reported 25.2% versus 25.3% from 98/388.</x:v>
      </x:c>
    </x:row>
    <x:row r="200" ht="180" customHeight="1">
      <x:c r="A200" s="6" t="str">
        <x:v>2018::jama.2018.14282::C006</x:v>
      </x:c>
      <x:c r="B200" s="6" t="n">
        <x:v>2</x:v>
      </x:c>
      <x:c r="C200" s="6" t="str">
        <x:v>Calculation</x:v>
      </x:c>
      <x:c r="D200" s="6" t="str">
        <x:v>98/388×100=25.2577%; nearest one decimal=25.3%; child counts 98+37=135 reconcile to the parent.</x:v>
      </x:c>
    </x:row>
    <x:row r="201" ht="180" customHeight="1">
      <x:c r="A201" s="3" t="str">
        <x:v>2018::jama.2018.14282::C006</x:v>
      </x:c>
      <x:c r="B201" s="3" t="n">
        <x:v>3</x:v>
      </x:c>
      <x:c r="C201" s="3" t="str">
        <x:v>Alternative source-grounded interpretations</x:v>
      </x:c>
      <x:c r="D201" s="3" t="str">
        <x:v>An undocumented adjustment across child percentages is possible; the count subtotal is coherent.</x:v>
      </x:c>
    </x:row>
    <x:row r="202" ht="180" customHeight="1">
      <x:c r="A202" s="6" t="str">
        <x:v>2018::jama.2018.14282::C007</x:v>
      </x:c>
      <x:c r="B202" s="6" t="n">
        <x:v>0</x:v>
      </x:c>
      <x:c r="C202" s="6" t="str">
        <x:v>Source evidence</x:v>
      </x:c>
      <x:c r="D202" s="6" t="str">
        <x:v>High-flow arm n=388, randomization ≥3 days after, 20 (5.1).</x:v>
      </x:c>
    </x:row>
    <x:row r="203" ht="180" customHeight="1">
      <x:c r="A203" s="3" t="str">
        <x:v>2018::jama.2018.14282::C007</x:v>
      </x:c>
      <x:c r="B203" s="3" t="n">
        <x:v>1</x:v>
      </x:c>
      <x:c r="C203" s="3" t="str">
        <x:v>Reported-versus-comparator</x:v>
      </x:c>
      <x:c r="D203" s="3" t="str">
        <x:v>Reported 5.1% versus 5.2% from 20/388.</x:v>
      </x:c>
    </x:row>
    <x:row r="204" ht="180" customHeight="1">
      <x:c r="A204" s="6" t="str">
        <x:v>2018::jama.2018.14282::C007</x:v>
      </x:c>
      <x:c r="B204" s="6" t="n">
        <x:v>2</x:v>
      </x:c>
      <x:c r="C204" s="6" t="str">
        <x:v>Calculation</x:v>
      </x:c>
      <x:c r="D204" s="6" t="str">
        <x:v>20/388×100=5.1546%; nearest one decimal=5.2%; timing counts sum to 388.</x:v>
      </x:c>
    </x:row>
    <x:row r="205" ht="180" customHeight="1">
      <x:c r="A205" s="3" t="str">
        <x:v>2018::jama.2018.14282::C007</x:v>
      </x:c>
      <x:c r="B205" s="3" t="n">
        <x:v>3</x:v>
      </x:c>
      <x:c r="C205" s="3" t="str">
        <x:v>Alternative source-grounded interpretations</x:v>
      </x:c>
      <x:c r="D205" s="3" t="str">
        <x:v>An undocumented category-level adjustment could explain the display.</x:v>
      </x:c>
    </x:row>
    <x:row r="206" ht="180" customHeight="1">
      <x:c r="A206" s="6" t="str">
        <x:v>2018::jama.2018.14282::C008</x:v>
      </x:c>
      <x:c r="B206" s="6" t="n">
        <x:v>0</x:v>
      </x:c>
      <x:c r="C206" s="6" t="str">
        <x:v>Source evidence</x:v>
      </x:c>
      <x:c r="D206" s="6" t="str">
        <x:v>Standard arm n=388, randomization ≥3 days after, 20 (5.1).</x:v>
      </x:c>
    </x:row>
    <x:row r="207" ht="180" customHeight="1">
      <x:c r="A207" s="3" t="str">
        <x:v>2018::jama.2018.14282::C008</x:v>
      </x:c>
      <x:c r="B207" s="3" t="n">
        <x:v>1</x:v>
      </x:c>
      <x:c r="C207" s="3" t="str">
        <x:v>Reported-versus-comparator</x:v>
      </x:c>
      <x:c r="D207" s="3" t="str">
        <x:v>Reported 5.1% versus 5.2% from 20/388.</x:v>
      </x:c>
    </x:row>
    <x:row r="208" ht="180" customHeight="1">
      <x:c r="A208" s="6" t="str">
        <x:v>2018::jama.2018.14282::C008</x:v>
      </x:c>
      <x:c r="B208" s="6" t="n">
        <x:v>2</x:v>
      </x:c>
      <x:c r="C208" s="6" t="str">
        <x:v>Calculation</x:v>
      </x:c>
      <x:c r="D208" s="6" t="str">
        <x:v>20/388×100=5.1546%; nearest one decimal=5.2%; timing counts sum to 388.</x:v>
      </x:c>
    </x:row>
    <x:row r="209" ht="180" customHeight="1">
      <x:c r="A209" s="3" t="str">
        <x:v>2018::jama.2018.14282::C008</x:v>
      </x:c>
      <x:c r="B209" s="3" t="n">
        <x:v>3</x:v>
      </x:c>
      <x:c r="C209" s="3" t="str">
        <x:v>Alternative source-grounded interpretations</x:v>
      </x:c>
      <x:c r="D209" s="3" t="str">
        <x:v>An undocumented category-level adjustment could explain the display.</x:v>
      </x:c>
    </x:row>
    <x:row r="210" ht="180" customHeight="1">
      <x:c r="A210" s="6" t="str">
        <x:v>2018::jama.2018.14282::C009</x:v>
      </x:c>
      <x:c r="B210" s="6" t="n">
        <x:v>0</x:v>
      </x:c>
      <x:c r="C210" s="6" t="str">
        <x:v>Source evidence</x:v>
      </x:c>
      <x:c r="D210" s="6" t="str">
        <x:v>Standard arm n=388, vasopressors 39 (10.0).</x:v>
      </x:c>
    </x:row>
    <x:row r="211" ht="180" customHeight="1">
      <x:c r="A211" s="3" t="str">
        <x:v>2018::jama.2018.14282::C009</x:v>
      </x:c>
      <x:c r="B211" s="3" t="n">
        <x:v>1</x:v>
      </x:c>
      <x:c r="C211" s="3" t="str">
        <x:v>Reported-versus-comparator</x:v>
      </x:c>
      <x:c r="D211" s="3" t="str">
        <x:v>Reported 10.0% versus 10.1% from 39/388.</x:v>
      </x:c>
    </x:row>
    <x:row r="212" ht="180" customHeight="1">
      <x:c r="A212" s="6" t="str">
        <x:v>2018::jama.2018.14282::C009</x:v>
      </x:c>
      <x:c r="B212" s="6" t="n">
        <x:v>2</x:v>
      </x:c>
      <x:c r="C212" s="6" t="str">
        <x:v>Calculation</x:v>
      </x:c>
      <x:c r="D212" s="6" t="str">
        <x:v>39/388×100=10.0515%; nearest one decimal=10.1%.</x:v>
      </x:c>
    </x:row>
    <x:row r="213" ht="180" customHeight="1">
      <x:c r="A213" s="3" t="str">
        <x:v>2018::jama.2018.14282::C009</x:v>
      </x:c>
      <x:c r="B213" s="3" t="n">
        <x:v>3</x:v>
      </x:c>
      <x:c r="C213" s="3" t="str">
        <x:v>Alternative source-grounded interpretations</x:v>
      </x:c>
      <x:c r="D213" s="3" t="str">
        <x:v>Truncation or a hidden denominator could explain the last-place difference, but neither is documented.</x:v>
      </x:c>
    </x:row>
    <x:row r="214" ht="180" customHeight="1">
      <x:c r="A214" s="6" t="str">
        <x:v>2018::jama.2018.14282::C010</x:v>
      </x:c>
      <x:c r="B214" s="6" t="n">
        <x:v>0</x:v>
      </x:c>
      <x:c r="C214" s="6" t="str">
        <x:v>Source evidence</x:v>
      </x:c>
      <x:c r="D214" s="6" t="str">
        <x:v>High-flow arm n=388, do not intubate 13 (3.3).</x:v>
      </x:c>
    </x:row>
    <x:row r="215" ht="180" customHeight="1">
      <x:c r="A215" s="3" t="str">
        <x:v>2018::jama.2018.14282::C010</x:v>
      </x:c>
      <x:c r="B215" s="3" t="n">
        <x:v>1</x:v>
      </x:c>
      <x:c r="C215" s="3" t="str">
        <x:v>Reported-versus-comparator</x:v>
      </x:c>
      <x:c r="D215" s="3" t="str">
        <x:v>Reported 3.3% versus 3.4% from 13/388.</x:v>
      </x:c>
    </x:row>
    <x:row r="216" ht="180" customHeight="1">
      <x:c r="A216" s="6" t="str">
        <x:v>2018::jama.2018.14282::C010</x:v>
      </x:c>
      <x:c r="B216" s="6" t="n">
        <x:v>2</x:v>
      </x:c>
      <x:c r="C216" s="6" t="str">
        <x:v>Calculation</x:v>
      </x:c>
      <x:c r="D216" s="6" t="str">
        <x:v>13/388×100=3.3505%; nearest one decimal=3.4%.</x:v>
      </x:c>
    </x:row>
    <x:row r="217" ht="180" customHeight="1">
      <x:c r="A217" s="3" t="str">
        <x:v>2018::jama.2018.14282::C010</x:v>
      </x:c>
      <x:c r="B217" s="3" t="n">
        <x:v>3</x:v>
      </x:c>
      <x:c r="C217" s="3" t="str">
        <x:v>Alternative source-grounded interpretations</x:v>
      </x:c>
      <x:c r="D217" s="3" t="str">
        <x:v>Decimal truncation could reproduce 3.3%, but no uniform truncation policy is supplied.</x:v>
      </x:c>
    </x:row>
    <x:row r="218" ht="180" customHeight="1">
      <x:c r="A218" s="6" t="str">
        <x:v>2018::jama.2018.14282::C011</x:v>
      </x:c>
      <x:c r="B218" s="6" t="n">
        <x:v>0</x:v>
      </x:c>
      <x:c r="C218" s="6" t="str">
        <x:v>Source evidence</x:v>
      </x:c>
      <x:c r="D218" s="6" t="str">
        <x:v>High-flow arm n=388, do not resuscitate 3 (0.7).</x:v>
      </x:c>
    </x:row>
    <x:row r="219" ht="180" customHeight="1">
      <x:c r="A219" s="3" t="str">
        <x:v>2018::jama.2018.14282::C011</x:v>
      </x:c>
      <x:c r="B219" s="3" t="n">
        <x:v>1</x:v>
      </x:c>
      <x:c r="C219" s="3" t="str">
        <x:v>Reported-versus-comparator</x:v>
      </x:c>
      <x:c r="D219" s="3" t="str">
        <x:v>Reported 0.7% versus 0.8% from 3/388.</x:v>
      </x:c>
    </x:row>
    <x:row r="220" ht="180" customHeight="1">
      <x:c r="A220" s="6" t="str">
        <x:v>2018::jama.2018.14282::C011</x:v>
      </x:c>
      <x:c r="B220" s="6" t="n">
        <x:v>2</x:v>
      </x:c>
      <x:c r="C220" s="6" t="str">
        <x:v>Calculation</x:v>
      </x:c>
      <x:c r="D220" s="6" t="str">
        <x:v>3/388×100=0.7732%; nearest one decimal=0.8%.</x:v>
      </x:c>
    </x:row>
    <x:row r="221" ht="180" customHeight="1">
      <x:c r="A221" s="3" t="str">
        <x:v>2018::jama.2018.14282::C011</x:v>
      </x:c>
      <x:c r="B221" s="3" t="n">
        <x:v>3</x:v>
      </x:c>
      <x:c r="C221" s="3" t="str">
        <x:v>Alternative source-grounded interpretations</x:v>
      </x:c>
      <x:c r="D221" s="3" t="str">
        <x:v>Truncation is possible but unstated.</x:v>
      </x:c>
    </x:row>
    <x:row r="222" ht="180" customHeight="1">
      <x:c r="A222" s="6" t="str">
        <x:v>2018::jama.2018.14282::C012</x:v>
      </x:c>
      <x:c r="B222" s="6" t="n">
        <x:v>0</x:v>
      </x:c>
      <x:c r="C222" s="6" t="str">
        <x:v>Source evidence</x:v>
      </x:c>
      <x:c r="D222" s="6" t="str">
        <x:v>Standard arm n=388, do not resuscitate 1 (0.2).</x:v>
      </x:c>
    </x:row>
    <x:row r="223" ht="180" customHeight="1">
      <x:c r="A223" s="3" t="str">
        <x:v>2018::jama.2018.14282::C012</x:v>
      </x:c>
      <x:c r="B223" s="3" t="n">
        <x:v>1</x:v>
      </x:c>
      <x:c r="C223" s="3" t="str">
        <x:v>Reported-versus-comparator</x:v>
      </x:c>
      <x:c r="D223" s="3" t="str">
        <x:v>Reported 0.2% versus 0.3% from 1/388.</x:v>
      </x:c>
    </x:row>
    <x:row r="224" ht="180" customHeight="1">
      <x:c r="A224" s="6" t="str">
        <x:v>2018::jama.2018.14282::C012</x:v>
      </x:c>
      <x:c r="B224" s="6" t="n">
        <x:v>2</x:v>
      </x:c>
      <x:c r="C224" s="6" t="str">
        <x:v>Calculation</x:v>
      </x:c>
      <x:c r="D224" s="6" t="str">
        <x:v>1/388×100=0.2577%; nearest one decimal=0.3%.</x:v>
      </x:c>
    </x:row>
    <x:row r="225" ht="180" customHeight="1">
      <x:c r="A225" s="3" t="str">
        <x:v>2018::jama.2018.14282::C012</x:v>
      </x:c>
      <x:c r="B225" s="3" t="n">
        <x:v>3</x:v>
      </x:c>
      <x:c r="C225" s="3" t="str">
        <x:v>Alternative source-grounded interpretations</x:v>
      </x:c>
      <x:c r="D225" s="3" t="str">
        <x:v>Truncation is possible but unstated.</x:v>
      </x:c>
    </x:row>
    <x:row r="226" ht="180" customHeight="1">
      <x:c r="A226" s="6" t="str">
        <x:v>2018::jama.2018.14282::C013</x:v>
      </x:c>
      <x:c r="B226" s="6" t="n">
        <x:v>0</x:v>
      </x:c>
      <x:c r="C226" s="6" t="str">
        <x:v>Source evidence</x:v>
      </x:c>
      <x:c r="D226" s="6" t="str">
        <x:v>Standard arm n=388, unknown goals of care 27 (6.9).</x:v>
      </x:c>
    </x:row>
    <x:row r="227" ht="180" customHeight="1">
      <x:c r="A227" s="3" t="str">
        <x:v>2018::jama.2018.14282::C013</x:v>
      </x:c>
      <x:c r="B227" s="3" t="n">
        <x:v>1</x:v>
      </x:c>
      <x:c r="C227" s="3" t="str">
        <x:v>Reported-versus-comparator</x:v>
      </x:c>
      <x:c r="D227" s="3" t="str">
        <x:v>Reported 6.9% versus 7.0% from 27/388.</x:v>
      </x:c>
    </x:row>
    <x:row r="228" ht="180" customHeight="1">
      <x:c r="A228" s="6" t="str">
        <x:v>2018::jama.2018.14282::C013</x:v>
      </x:c>
      <x:c r="B228" s="6" t="n">
        <x:v>2</x:v>
      </x:c>
      <x:c r="C228" s="6" t="str">
        <x:v>Calculation</x:v>
      </x:c>
      <x:c r="D228" s="6" t="str">
        <x:v>27/388×100=6.9588%; nearest one decimal=7.0%; all five goals-of-care counts sum to 388.</x:v>
      </x:c>
    </x:row>
    <x:row r="229" ht="180" customHeight="1">
      <x:c r="A229" s="3" t="str">
        <x:v>2018::jama.2018.14282::C013</x:v>
      </x:c>
      <x:c r="B229" s="3" t="n">
        <x:v>3</x:v>
      </x:c>
      <x:c r="C229" s="3" t="str">
        <x:v>Alternative source-grounded interpretations</x:v>
      </x:c>
      <x:c r="D229" s="3" t="str">
        <x:v>An adjusted display across exhaustive categories is possible; the count distribution is complete.</x:v>
      </x:c>
    </x:row>
    <x:row r="230" ht="180" customHeight="1">
      <x:c r="A230" s="6" t="str">
        <x:v>2018::jama.2018.14282::C014</x:v>
      </x:c>
      <x:c r="B230" s="6" t="n">
        <x:v>0</x:v>
      </x:c>
      <x:c r="C230" s="6" t="str">
        <x:v>Source evidence</x:v>
      </x:c>
      <x:c r="D230" s="6" t="str">
        <x:v>High-flow arm n=388, received standard oxygen before randomization 311 (80.1).</x:v>
      </x:c>
    </x:row>
    <x:row r="231" ht="180" customHeight="1">
      <x:c r="A231" s="3" t="str">
        <x:v>2018::jama.2018.14282::C014</x:v>
      </x:c>
      <x:c r="B231" s="3" t="n">
        <x:v>1</x:v>
      </x:c>
      <x:c r="C231" s="3" t="str">
        <x:v>Reported-versus-comparator</x:v>
      </x:c>
      <x:c r="D231" s="3" t="str">
        <x:v>Reported 80.1% versus 80.2% from 311/388.</x:v>
      </x:c>
    </x:row>
    <x:row r="232" ht="180" customHeight="1">
      <x:c r="A232" s="6" t="str">
        <x:v>2018::jama.2018.14282::C014</x:v>
      </x:c>
      <x:c r="B232" s="6" t="n">
        <x:v>2</x:v>
      </x:c>
      <x:c r="C232" s="6" t="str">
        <x:v>Calculation</x:v>
      </x:c>
      <x:c r="D232" s="6" t="str">
        <x:v>311/388×100=80.1546%; nearest one decimal=80.2%.</x:v>
      </x:c>
    </x:row>
    <x:row r="233" ht="180" customHeight="1">
      <x:c r="A233" s="3" t="str">
        <x:v>2018::jama.2018.14282::C014</x:v>
      </x:c>
      <x:c r="B233" s="3" t="n">
        <x:v>3</x:v>
      </x:c>
      <x:c r="C233" s="3" t="str">
        <x:v>Alternative source-grounded interpretations</x:v>
      </x:c>
      <x:c r="D233" s="3" t="str">
        <x:v>A data-availability denominator is conceivable, but no missingness count or alternate denominator is printed.</x:v>
      </x:c>
    </x:row>
    <x:row r="234" ht="180" customHeight="1">
      <x:c r="A234" s="6" t="str">
        <x:v>2018::jama.2018.14282::C015</x:v>
      </x:c>
      <x:c r="B234" s="6" t="n">
        <x:v>0</x:v>
      </x:c>
      <x:c r="C234" s="6" t="str">
        <x:v>Source evidence</x:v>
      </x:c>
      <x:c r="D234" s="6" t="str">
        <x:v>High-flow arm n=388, ICU-acquired infection 39 (10.0).</x:v>
      </x:c>
    </x:row>
    <x:row r="235" ht="180" customHeight="1">
      <x:c r="A235" s="3" t="str">
        <x:v>2018::jama.2018.14282::C015</x:v>
      </x:c>
      <x:c r="B235" s="3" t="n">
        <x:v>1</x:v>
      </x:c>
      <x:c r="C235" s="3" t="str">
        <x:v>Reported-versus-comparator</x:v>
      </x:c>
      <x:c r="D235" s="3" t="str">
        <x:v>Reported 10.0% versus 10.1% from 39/388.</x:v>
      </x:c>
    </x:row>
    <x:row r="236" ht="180" customHeight="1">
      <x:c r="A236" s="6" t="str">
        <x:v>2018::jama.2018.14282::C015</x:v>
      </x:c>
      <x:c r="B236" s="6" t="n">
        <x:v>2</x:v>
      </x:c>
      <x:c r="C236" s="6" t="str">
        <x:v>Calculation</x:v>
      </x:c>
      <x:c r="D236" s="6" t="str">
        <x:v>39/388×100=10.0515%; nearest one decimal=10.1%; standard comparator 41/388=10.6% reconciles.</x:v>
      </x:c>
    </x:row>
    <x:row r="237" ht="180" customHeight="1">
      <x:c r="A237" s="3" t="str">
        <x:v>2018::jama.2018.14282::C015</x:v>
      </x:c>
      <x:c r="B237" s="3" t="n">
        <x:v>3</x:v>
      </x:c>
      <x:c r="C237" s="3" t="str">
        <x:v>Alternative source-grounded interpretations</x:v>
      </x:c>
      <x:c r="D237" s="3" t="str">
        <x:v>An infection-at-risk denominator is possible but not supplied in Table 2.</x:v>
      </x:c>
    </x:row>
    <x:row r="238" ht="180" customHeight="1">
      <x:c r="A238" s="6" t="str">
        <x:v>2018::jama.2018.14282::C016</x:v>
      </x:c>
      <x:c r="B238" s="6" t="n">
        <x:v>0</x:v>
      </x:c>
      <x:c r="C238" s="6" t="str">
        <x:v>Source evidence</x:v>
      </x:c>
      <x:c r="D238" s="6" t="str">
        <x:v>Standard arm n=388, hospital mortality 162 (41.7).</x:v>
      </x:c>
    </x:row>
    <x:row r="239" ht="180" customHeight="1">
      <x:c r="A239" s="3" t="str">
        <x:v>2018::jama.2018.14282::C016</x:v>
      </x:c>
      <x:c r="B239" s="3" t="n">
        <x:v>1</x:v>
      </x:c>
      <x:c r="C239" s="3" t="str">
        <x:v>Reported-versus-comparator</x:v>
      </x:c>
      <x:c r="D239" s="3" t="str">
        <x:v>Reported 41.7% versus 41.8% from 162/388.</x:v>
      </x:c>
    </x:row>
    <x:row r="240" ht="180" customHeight="1">
      <x:c r="A240" s="6" t="str">
        <x:v>2018::jama.2018.14282::C016</x:v>
      </x:c>
      <x:c r="B240" s="6" t="n">
        <x:v>2</x:v>
      </x:c>
      <x:c r="C240" s="6" t="str">
        <x:v>Calculation</x:v>
      </x:c>
      <x:c r="D240" s="6" t="str">
        <x:v>162/388×100=41.7526%; nearest one decimal=41.8%.</x:v>
      </x:c>
    </x:row>
    <x:row r="241" ht="180" customHeight="1">
      <x:c r="A241" s="3" t="str">
        <x:v>2018::jama.2018.14282::C016</x:v>
      </x:c>
      <x:c r="B241" s="3" t="n">
        <x:v>3</x:v>
      </x:c>
      <x:c r="C241" s="3" t="str">
        <x:v>Alternative source-grounded interpretations</x:v>
      </x:c>
      <x:c r="D241" s="3" t="str">
        <x:v>An alternate hospital-disposition denominator is not supplied; no loss to follow-up is printed.</x:v>
      </x:c>
    </x:row>
    <x:row r="242" ht="180" customHeight="1">
      <x:c r="A242" s="6" t="str">
        <x:v>2018::jama.2018.14282::C017</x:v>
      </x:c>
      <x:c r="B242" s="6" t="n">
        <x:v>0</x:v>
      </x:c>
      <x:c r="C242" s="6" t="str">
        <x:v>Source evidence</x:v>
      </x:c>
      <x:c r="D242" s="6" t="str">
        <x:v>Both occurrences report 25 versus 26/min, difference −1.8, and lower endpoint −3.2; the abstract upper endpoint is −0.2 and results upper endpoint is −0.3.</x:v>
      </x:c>
    </x:row>
    <x:row r="243" ht="180" customHeight="1">
      <x:c r="A243" s="3" t="str">
        <x:v>2018::jama.2018.14282::C017</x:v>
      </x:c>
      <x:c r="B243" s="3" t="n">
        <x:v>1</x:v>
      </x:c>
      <x:c r="C243" s="3" t="str">
        <x:v>Reported-versus-comparator</x:v>
      </x:c>
      <x:c r="D243" s="3" t="str">
        <x:v>Abstract 95% CI upper endpoint −0.2/min versus results −0.3/min.</x:v>
      </x:c>
    </x:row>
    <x:row r="244" ht="180" customHeight="1">
      <x:c r="A244" s="6" t="str">
        <x:v>2018::jama.2018.14282::C017</x:v>
      </x:c>
      <x:c r="B244" s="6" t="n">
        <x:v>2</x:v>
      </x:c>
      <x:c r="C244" s="6" t="str">
        <x:v>Calculation</x:v>
      </x:c>
      <x:c r="D244" s="6" t="str">
        <x:v>The printed endpoint difference is 0.1/min.</x:v>
      </x:c>
    </x:row>
    <x:row r="245" ht="180" customHeight="1">
      <x:c r="A245" s="3" t="str">
        <x:v>2018::jama.2018.14282::C017</x:v>
      </x:c>
      <x:c r="B245" s="3" t="n">
        <x:v>3</x:v>
      </x:c>
      <x:c r="C245" s="3" t="str">
        <x:v>Alternative source-grounded interpretations</x:v>
      </x:c>
      <x:c r="D245" s="3" t="str">
        <x:v>Separately rounded or calculated intervals are possible, but unrounded endpoints, model identity, and the display rule are not supplied.</x:v>
      </x:c>
    </x:row>
    <x:row r="246" ht="180" customHeight="1">
      <x:c r="A246" s="6" t="str">
        <x:v>2018::jama.2018.14282::C018</x:v>
      </x:c>
      <x:c r="B246" s="6" t="n">
        <x:v>0</x:v>
      </x:c>
      <x:c r="C246" s="6" t="str">
        <x:v>Source evidence</x:v>
      </x:c>
      <x:c r="D246" s="6" t="str">
        <x:v>The paragraph begins In the overall population and reports 153 patients (19.7%) randomized to high-flow and 31 patients (4.0%) randomized to standard oxygen.</x:v>
      </x:c>
    </x:row>
    <x:row r="247" ht="180" customHeight="1">
      <x:c r="A247" s="3" t="str">
        <x:v>2018::jama.2018.14282::C018</x:v>
      </x:c>
      <x:c r="B247" s="3" t="n">
        <x:v>1</x:v>
      </x:c>
      <x:c r="C247" s="3" t="str">
        <x:v>Reported-versus-comparator</x:v>
      </x:c>
      <x:c r="D247" s="3" t="str">
        <x:v>Reported 19.7% and 4.0% equal 153/776 and 31/776; within-arm values would be 39.4% and 8.0% using 388 per arm.</x:v>
      </x:c>
    </x:row>
    <x:row r="248" ht="180" customHeight="1">
      <x:c r="A248" s="6" t="str">
        <x:v>2018::jama.2018.14282::C018</x:v>
      </x:c>
      <x:c r="B248" s="6" t="n">
        <x:v>2</x:v>
      </x:c>
      <x:c r="C248" s="6" t="str">
        <x:v>Calculation</x:v>
      </x:c>
      <x:c r="D248" s="6" t="str">
        <x:v>153/776=19.7%; 31/776=4.0%; 153/388=39.4%; 31/388=8.0%.</x:v>
      </x:c>
    </x:row>
    <x:row r="249" ht="180" customHeight="1">
      <x:c r="A249" s="3" t="str">
        <x:v>2018::jama.2018.14282::C018</x:v>
      </x:c>
      <x:c r="B249" s="3" t="n">
        <x:v>3</x:v>
      </x:c>
      <x:c r="C249" s="3" t="str">
        <x:v>Alternative source-grounded interpretations</x:v>
      </x:c>
      <x:c r="D249" s="3" t="str">
        <x:v>The introductory overall-population phrase supports intentional overall denominators; the remaining issue is possible within-arm-risk misreading.</x:v>
      </x:c>
    </x:row>
    <x:row r="250" ht="180" customHeight="1">
      <x:c r="A250" s="6" t="str">
        <x:v>2018::jama.2018.14282::C019</x:v>
      </x:c>
      <x:c r="B250" s="6" t="n">
        <x:v>0</x:v>
      </x:c>
      <x:c r="C250" s="6" t="str">
        <x:v>Source evidence</x:v>
      </x:c>
      <x:c r="D250" s="6" t="str">
        <x:v>High-flow N=388, invasive mechanical ventilation 39 (10.0).</x:v>
      </x:c>
    </x:row>
    <x:row r="251" ht="180" customHeight="1">
      <x:c r="A251" s="3" t="str">
        <x:v>2018::jama.2018.14282::C019</x:v>
      </x:c>
      <x:c r="B251" s="3" t="n">
        <x:v>1</x:v>
      </x:c>
      <x:c r="C251" s="3" t="str">
        <x:v>Reported-versus-comparator</x:v>
      </x:c>
      <x:c r="D251" s="3" t="str">
        <x:v>Reported 10.0% versus 10.1% from 39/388.</x:v>
      </x:c>
    </x:row>
    <x:row r="252" ht="180" customHeight="1">
      <x:c r="A252" s="6" t="str">
        <x:v>2018::jama.2018.14282::C019</x:v>
      </x:c>
      <x:c r="B252" s="6" t="n">
        <x:v>2</x:v>
      </x:c>
      <x:c r="C252" s="6" t="str">
        <x:v>Calculation</x:v>
      </x:c>
      <x:c r="D252" s="6" t="str">
        <x:v>39/388×100=10.0515%; nearest one decimal=10.1%; 39+349=388.</x:v>
      </x:c>
    </x:row>
    <x:row r="253" ht="180" customHeight="1">
      <x:c r="A253" s="3" t="str">
        <x:v>2018::jama.2018.14282::C019</x:v>
      </x:c>
      <x:c r="B253" s="3" t="n">
        <x:v>3</x:v>
      </x:c>
      <x:c r="C253" s="3" t="str">
        <x:v>Alternative source-grounded interpretations</x:v>
      </x:c>
      <x:c r="D253" s="3" t="str">
        <x:v>A six-hour evaluable denominator or truncation is possible but not printed.</x:v>
      </x:c>
    </x:row>
    <x:row r="254" ht="180" customHeight="1">
      <x:c r="A254" s="6" t="str">
        <x:v>2018::jama.2018.14282::C020</x:v>
      </x:c>
      <x:c r="B254" s="6" t="n">
        <x:v>0</x:v>
      </x:c>
      <x:c r="C254" s="6" t="str">
        <x:v>Source evidence</x:v>
      </x:c>
      <x:c r="D254" s="6" t="str">
        <x:v>Standard arm N=388, invasive mechanical ventilation 46 (11.8).</x:v>
      </x:c>
    </x:row>
    <x:row r="255" ht="180" customHeight="1">
      <x:c r="A255" s="3" t="str">
        <x:v>2018::jama.2018.14282::C020</x:v>
      </x:c>
      <x:c r="B255" s="3" t="n">
        <x:v>1</x:v>
      </x:c>
      <x:c r="C255" s="3" t="str">
        <x:v>Reported-versus-comparator</x:v>
      </x:c>
      <x:c r="D255" s="3" t="str">
        <x:v>Reported 11.8% versus 11.9% from 46/388.</x:v>
      </x:c>
    </x:row>
    <x:row r="256" ht="180" customHeight="1">
      <x:c r="A256" s="6" t="str">
        <x:v>2018::jama.2018.14282::C020</x:v>
      </x:c>
      <x:c r="B256" s="6" t="n">
        <x:v>2</x:v>
      </x:c>
      <x:c r="C256" s="6" t="str">
        <x:v>Calculation</x:v>
      </x:c>
      <x:c r="D256" s="6" t="str">
        <x:v>46/388×100=11.8557%; nearest one decimal=11.9%; 46+342=388.</x:v>
      </x:c>
    </x:row>
    <x:row r="257" ht="180" customHeight="1">
      <x:c r="A257" s="3" t="str">
        <x:v>2018::jama.2018.14282::C020</x:v>
      </x:c>
      <x:c r="B257" s="3" t="n">
        <x:v>3</x:v>
      </x:c>
      <x:c r="C257" s="3" t="str">
        <x:v>Alternative source-grounded interpretations</x:v>
      </x:c>
      <x:c r="D257" s="3" t="str">
        <x:v>The 11.8%/88.2% pair totals 100.0%, supporting a possible forced-complement rule that is not documented.</x:v>
      </x:c>
    </x:row>
    <x:row r="258" ht="180" customHeight="1">
      <x:c r="A258" s="6" t="str">
        <x:v>2018::jama.2018.14282::C021</x:v>
      </x:c>
      <x:c r="B258" s="6" t="n">
        <x:v>0</x:v>
      </x:c>
      <x:c r="C258" s="6" t="str">
        <x:v>Source evidence</x:v>
      </x:c>
      <x:c r="D258" s="6" t="str">
        <x:v>Standard arm N=388, standard oxygen only 342 (88.2).</x:v>
      </x:c>
    </x:row>
    <x:row r="259" ht="180" customHeight="1">
      <x:c r="A259" s="3" t="str">
        <x:v>2018::jama.2018.14282::C021</x:v>
      </x:c>
      <x:c r="B259" s="3" t="n">
        <x:v>1</x:v>
      </x:c>
      <x:c r="C259" s="3" t="str">
        <x:v>Reported-versus-comparator</x:v>
      </x:c>
      <x:c r="D259" s="3" t="str">
        <x:v>Reported 88.2% versus 88.1% from 342/388.</x:v>
      </x:c>
    </x:row>
    <x:row r="260" ht="180" customHeight="1">
      <x:c r="A260" s="6" t="str">
        <x:v>2018::jama.2018.14282::C021</x:v>
      </x:c>
      <x:c r="B260" s="6" t="n">
        <x:v>2</x:v>
      </x:c>
      <x:c r="C260" s="6" t="str">
        <x:v>Calculation</x:v>
      </x:c>
      <x:c r="D260" s="6" t="str">
        <x:v>342/388×100=88.1443%; nearest one decimal=88.1%; 342+46=388.</x:v>
      </x:c>
    </x:row>
    <x:row r="261" ht="180" customHeight="1">
      <x:c r="A261" s="3" t="str">
        <x:v>2018::jama.2018.14282::C021</x:v>
      </x:c>
      <x:c r="B261" s="3" t="n">
        <x:v>3</x:v>
      </x:c>
      <x:c r="C261" s="3" t="str">
        <x:v>Alternative source-grounded interpretations</x:v>
      </x:c>
      <x:c r="D261" s="3" t="str">
        <x:v>88.2% is exactly the complement of printed 11.8%, so a forced complementary display is possible but not confirmed.</x:v>
      </x:c>
    </x:row>
    <x:row r="262" ht="180" customHeight="1">
      <x:c r="A262" s="6" t="str">
        <x:v>2018::jama.2018.14282::C022</x:v>
      </x:c>
      <x:c r="B262" s="6" t="n">
        <x:v>0</x:v>
      </x:c>
      <x:c r="C262" s="6" t="str">
        <x:v>Source evidence</x:v>
      </x:c>
      <x:c r="D262" s="6" t="str">
        <x:v>Methods specify death without IMV as a competing risk and Gray testing; the eFigure prints P (log Rank test) = 0.17, matching the main P=.17.</x:v>
      </x:c>
    </x:row>
    <x:row r="263" ht="180" customHeight="1">
      <x:c r="A263" s="3" t="str">
        <x:v>2018::jama.2018.14282::C022</x:v>
      </x:c>
      <x:c r="B263" s="3" t="n">
        <x:v>1</x:v>
      </x:c>
      <x:c r="C263" s="3" t="str">
        <x:v>Reported-versus-comparator</x:v>
      </x:c>
      <x:c r="D263" s="3" t="str">
        <x:v>Gray test/competing-risk description versus log Rank test label for a matched result.</x:v>
      </x:c>
    </x:row>
    <x:row r="264" ht="180" customHeight="1">
      <x:c r="A264" s="6" t="str">
        <x:v>2018::jama.2018.14282::C022</x:v>
      </x:c>
      <x:c r="B264" s="6" t="n">
        <x:v>2</x:v>
      </x:c>
      <x:c r="C264" s="6" t="str">
        <x:v>Calculation</x:v>
      </x:c>
      <x:c r="D264" s="6" t="str">
        <x:v>No reconstruction is used; Gray and log-rank are distinct named tests.</x:v>
      </x:c>
    </x:row>
    <x:row r="265" ht="180" customHeight="1">
      <x:c r="A265" s="3" t="str">
        <x:v>2018::jama.2018.14282::C022</x:v>
      </x:c>
      <x:c r="B265" s="3" t="n">
        <x:v>3</x:v>
      </x:c>
      <x:c r="C265" s="3" t="str">
        <x:v>Alternative source-grounded interpretations</x:v>
      </x:c>
      <x:c r="D265" s="3" t="str">
        <x:v>Separate tests could both round to .17; test statistics, event/censoring data, and generating output are absent.</x:v>
      </x:c>
    </x:row>
    <x:row r="266" ht="180" customHeight="1">
      <x:c r="A266" s="6" t="str">
        <x:v>2018::jama.2018.14282::C023</x:v>
      </x:c>
      <x:c r="B266" s="6" t="n">
        <x:v>0</x:v>
      </x:c>
      <x:c r="C266" s="6" t="str">
        <x:v>Source evidence</x:v>
      </x:c>
      <x:c r="D266" s="6" t="str">
        <x:v>Same 138/388 versus 140/388 day-28 deaths: Table/narrative HR 0.98 (0.77–1.24); Figure 3A HR 1.02 (0.81–1.29), with Favors High-Flow left and Favors Standard right.</x:v>
      </x:c>
    </x:row>
    <x:row r="267" ht="180" customHeight="1">
      <x:c r="A267" s="3" t="str">
        <x:v>2018::jama.2018.14282::C023</x:v>
      </x:c>
      <x:c r="B267" s="3" t="n">
        <x:v>1</x:v>
      </x:c>
      <x:c r="C267" s="3" t="str">
        <x:v>Reported-versus-comparator</x:v>
      </x:c>
      <x:c r="D267" s="3" t="str">
        <x:v>Table/narrative 0.98 (0.77–1.24) versus Figure 3A 1.02 (0.81–1.29).</x:v>
      </x:c>
    </x:row>
    <x:row r="268" ht="180" customHeight="1">
      <x:c r="A268" s="6" t="str">
        <x:v>2018::jama.2018.14282::C023</x:v>
      </x:c>
      <x:c r="B268" s="6" t="n">
        <x:v>2</x:v>
      </x:c>
      <x:c r="C268" s="6" t="str">
        <x:v>Calculation</x:v>
      </x:c>
      <x:c r="D268" s="6" t="str">
        <x:v>1/0.98=1.020 and 1/1.24=0.806 reproduce 1.02 and 0.81; 1/0.77=1.299 rounds to 1.30, not 1.29.</x:v>
      </x:c>
    </x:row>
    <x:row r="269" ht="180" customHeight="1">
      <x:c r="A269" s="3" t="str">
        <x:v>2018::jama.2018.14282::C023</x:v>
      </x:c>
      <x:c r="B269" s="3" t="n">
        <x:v>3</x:v>
      </x:c>
      <x:c r="C269" s="3" t="str">
        <x:v>Alternative source-grounded interpretations</x:v>
      </x:c>
      <x:c r="D269" s="3" t="str">
        <x:v>Opposite orientation is compatible with hidden precision; exact reciprocal identity from all rounded values is not established, and reference group/unrounded values are absent.</x:v>
      </x:c>
    </x:row>
    <x:row r="270" ht="180" customHeight="1">
      <x:c r="A270" s="6" t="str">
        <x:v>2018::jama.2018.14282::C024</x:v>
      </x:c>
      <x:c r="B270" s="6" t="n">
        <x:v>0</x:v>
      </x:c>
      <x:c r="C270" s="6" t="str">
        <x:v>Source evidence</x:v>
      </x:c>
      <x:c r="D270" s="6" t="str">
        <x:v>Same 150/388 versus 170/388 IMV events: Table/narrative cause-specific HR 0.85 (0.68–1.06); Figure 3B HR 1.17 (0.94–1.46) under the same favor labels.</x:v>
      </x:c>
    </x:row>
    <x:row r="271" ht="180" customHeight="1">
      <x:c r="A271" s="3" t="str">
        <x:v>2018::jama.2018.14282::C024</x:v>
      </x:c>
      <x:c r="B271" s="3" t="n">
        <x:v>1</x:v>
      </x:c>
      <x:c r="C271" s="3" t="str">
        <x:v>Reported-versus-comparator</x:v>
      </x:c>
      <x:c r="D271" s="3" t="str">
        <x:v>Table/narrative 0.85 (0.68–1.06) versus Figure 3B 1.17 (0.94–1.46).</x:v>
      </x:c>
    </x:row>
    <x:row r="272" ht="180" customHeight="1">
      <x:c r="A272" s="6" t="str">
        <x:v>2018::jama.2018.14282::C024</x:v>
      </x:c>
      <x:c r="B272" s="6" t="n">
        <x:v>2</x:v>
      </x:c>
      <x:c r="C272" s="6" t="str">
        <x:v>Calculation</x:v>
      </x:c>
      <x:c r="D272" s="6" t="str">
        <x:v>1/1.06=0.943 gives 0.94; 1/0.85=1.176 gives 1.18 and 1/0.68=1.471 gives 1.47, not 1.17 and 1.46.</x:v>
      </x:c>
    </x:row>
    <x:row r="273" ht="180" customHeight="1">
      <x:c r="A273" s="3" t="str">
        <x:v>2018::jama.2018.14282::C024</x:v>
      </x:c>
      <x:c r="B273" s="3" t="n">
        <x:v>3</x:v>
      </x:c>
      <x:c r="C273" s="3" t="str">
        <x:v>Alternative source-grounded interpretations</x:v>
      </x:c>
      <x:c r="D273" s="3" t="str">
        <x:v>Hidden precision can support opposite orientation, but exact reciprocity cannot be derived from all rounded inputs; figure-specific reference group and estimand are absent.</x:v>
      </x:c>
    </x:row>
    <x:row r="274" ht="180" customHeight="1">
      <x:c r="A274" s="6" t="str">
        <x:v>2018::jama.2018.14282::C025</x:v>
      </x:c>
      <x:c r="B274" s="6" t="n">
        <x:v>0</x:v>
      </x:c>
      <x:c r="C274" s="6" t="str">
        <x:v>Source evidence</x:v>
      </x:c>
      <x:c r="D274" s="6" t="str">
        <x:v>DOC-001 prints 779 patients (389 in each group); DOC-002 prints 778 with 389 per group under matching revised-superiority assumptions. The abstract sentence begins on p.90 and completes with 778 patients overall on p.91.</x:v>
      </x:c>
    </x:row>
    <x:row r="275" ht="180" customHeight="1">
      <x:c r="A275" s="3" t="str">
        <x:v>2018::jama.2018.14282::C025</x:v>
      </x:c>
      <x:c r="B275" s="3" t="n">
        <x:v>1</x:v>
      </x:c>
      <x:c r="C275" s="3" t="str">
        <x:v>Reported-versus-comparator</x:v>
      </x:c>
      <x:c r="D275" s="3" t="str">
        <x:v>Main 779 total with 389 each versus protocol/SAP 778 total with 389 each.</x:v>
      </x:c>
    </x:row>
    <x:row r="276" ht="180" customHeight="1">
      <x:c r="A276" s="6" t="str">
        <x:v>2018::jama.2018.14282::C025</x:v>
      </x:c>
      <x:c r="B276" s="6" t="n">
        <x:v>2</x:v>
      </x:c>
      <x:c r="C276" s="6" t="str">
        <x:v>Calculation</x:v>
      </x:c>
      <x:c r="D276" s="6" t="str">
        <x:v>389+389=778, not 779.</x:v>
      </x:c>
    </x:row>
    <x:row r="277" ht="180" customHeight="1">
      <x:c r="A277" s="3" t="str">
        <x:v>2018::jama.2018.14282::C025</x:v>
      </x:c>
      <x:c r="B277" s="3" t="n">
        <x:v>3</x:v>
      </x:c>
      <x:c r="C277" s="3" t="str">
        <x:v>Alternative source-grounded interpretations</x:v>
      </x:c>
      <x:c r="D277" s="3" t="str">
        <x:v>An earlier unequal or rounded target is possible but not supplied; version history is absent.</x:v>
      </x:c>
    </x:row>
    <x:row r="278" ht="180" customHeight="1">
      <x:c r="A278" s="6" t="str">
        <x:v>2018::jama.2018.14282::C026</x:v>
      </x:c>
      <x:c r="B278" s="6" t="n">
        <x:v>0</x:v>
      </x:c>
      <x:c r="C278" s="6" t="str">
        <x:v>Source evidence</x:v>
      </x:c>
      <x:c r="D278" s="6" t="str">
        <x:v>Figure 4 axis is Difference in Efficacy (New Treatment Minus Active Control) with margin on the negative side; text says noninferiority occurs if lower 95% CI boundary is less than 9%.</x:v>
      </x:c>
    </x:row>
    <x:row r="279" ht="180" customHeight="1">
      <x:c r="A279" s="3" t="str">
        <x:v>2018::jama.2018.14282::C026</x:v>
      </x:c>
      <x:c r="B279" s="3" t="n">
        <x:v>1</x:v>
      </x:c>
      <x:c r="C279" s="3" t="str">
        <x:v>Reported-versus-comparator</x:v>
      </x:c>
      <x:c r="D279" s="3" t="str">
        <x:v>Positive less than 9% wording versus negative-side margin on the printed scale.</x:v>
      </x:c>
    </x:row>
    <x:row r="280" ht="180" customHeight="1">
      <x:c r="A280" s="6" t="str">
        <x:v>2018::jama.2018.14282::C026</x:v>
      </x:c>
      <x:c r="B280" s="6" t="n">
        <x:v>2</x:v>
      </x:c>
      <x:c r="C280" s="6" t="str">
        <x:v>Calculation</x:v>
      </x:c>
      <x:c r="D280" s="6" t="str">
        <x:v>No numerical reconstruction is used; the positive bound/inequality is not mapped to the plotted signed scale.</x:v>
      </x:c>
    </x:row>
    <x:row r="281" ht="180" customHeight="1">
      <x:c r="A281" s="3" t="str">
        <x:v>2018::jama.2018.14282::C026</x:v>
      </x:c>
      <x:c r="B281" s="3" t="n">
        <x:v>3</x:v>
      </x:c>
      <x:c r="C281" s="3" t="str">
        <x:v>Alternative source-grounded interpretations</x:v>
      </x:c>
      <x:c r="D281" s="3" t="str">
        <x:v>A missing minus sign, opposite risk scale, or inequality could explain it; signed estimand and prespecified rule are absent.</x:v>
      </x:c>
    </x:row>
    <x:row r="282" ht="180" customHeight="1">
      <x:c r="A282" s="6" t="str">
        <x:v>2018::jama.2018.14282::C027</x:v>
      </x:c>
      <x:c r="B282" s="6" t="n">
        <x:v>0</x:v>
      </x:c>
      <x:c r="C282" s="6" t="str">
        <x:v>Source evidence</x:v>
      </x:c>
      <x:c r="D282" s="6" t="str">
        <x:v>Primary-hypothesis sentences say noninferiority/superiority of NIV; adjacent and repeated plan wording identifies HFNO against standard oxygen.</x:v>
      </x:c>
    </x:row>
    <x:row r="283" ht="180" customHeight="1">
      <x:c r="A283" s="3" t="str">
        <x:v>2018::jama.2018.14282::C027</x:v>
      </x:c>
      <x:c r="B283" s="3" t="n">
        <x:v>1</x:v>
      </x:c>
      <x:c r="C283" s="3" t="str">
        <x:v>Reported-versus-comparator</x:v>
      </x:c>
      <x:c r="D283" s="3" t="str">
        <x:v>NIV primary-hypothesis label versus HFNO experimental-intervention definition.</x:v>
      </x:c>
    </x:row>
    <x:row r="284" ht="180" customHeight="1">
      <x:c r="A284" s="6" t="str">
        <x:v>2018::jama.2018.14282::C027</x:v>
      </x:c>
      <x:c r="B284" s="6" t="n">
        <x:v>2</x:v>
      </x:c>
      <x:c r="C284" s="6" t="str">
        <x:v>Calculation</x:v>
      </x:c>
      <x:c r="D284" s="6" t="str">
        <x:v>Not applicable; this is a source-text label comparison.</x:v>
      </x:c>
    </x:row>
    <x:row r="285" ht="180" customHeight="1">
      <x:c r="A285" s="3" t="str">
        <x:v>2018::jama.2018.14282::C027</x:v>
      </x:c>
      <x:c r="B285" s="3" t="n">
        <x:v>3</x:v>
      </x:c>
      <x:c r="C285" s="3" t="str">
        <x:v>Alternative source-grounded interpretations</x:v>
      </x:c>
      <x:c r="D285" s="3" t="str">
        <x:v>NIV may be a carried-forward label, but no cited passage defines it as equivalent to HFNO in the primary hypothesis.</x:v>
      </x:c>
    </x:row>
    <x:row r="286" ht="180" customHeight="1">
      <x:c r="A286" s="6" t="str">
        <x:v>2018::jama.2018.14282::C028</x:v>
      </x:c>
      <x:c r="B286" s="6" t="n">
        <x:v>0</x:v>
      </x:c>
      <x:c r="C286" s="6" t="str">
        <x:v>Source evidence</x:v>
      </x:c>
      <x:c r="D286" s="6" t="str">
        <x:v>Each plan occurrence says patients are followed to day 28 and classified alive/dead, then specifies a relative risk of hospital death.</x:v>
      </x:c>
    </x:row>
    <x:row r="287" ht="180" customHeight="1">
      <x:c r="A287" s="3" t="str">
        <x:v>2018::jama.2018.14282::C028</x:v>
      </x:c>
      <x:c r="B287" s="3" t="n">
        <x:v>1</x:v>
      </x:c>
      <x:c r="C287" s="3" t="str">
        <x:v>Reported-versus-comparator</x:v>
      </x:c>
      <x:c r="D287" s="3" t="str">
        <x:v>Day-28 all-cause vital-status endpoint versus hospital-death label.</x:v>
      </x:c>
    </x:row>
    <x:row r="288" ht="180" customHeight="1">
      <x:c r="A288" s="6" t="str">
        <x:v>2018::jama.2018.14282::C028</x:v>
      </x:c>
      <x:c r="B288" s="6" t="n">
        <x:v>2</x:v>
      </x:c>
      <x:c r="C288" s="6" t="str">
        <x:v>Calculation</x:v>
      </x:c>
      <x:c r="D288" s="6" t="str">
        <x:v>Not applicable; the endpoints/time horizons are distinct unless explicitly equated.</x:v>
      </x:c>
    </x:row>
    <x:row r="289" ht="180" customHeight="1">
      <x:c r="A289" s="3" t="str">
        <x:v>2018::jama.2018.14282::C028</x:v>
      </x:c>
      <x:c r="B289" s="3" t="n">
        <x:v>3</x:v>
      </x:c>
      <x:c r="C289" s="3" t="str">
        <x:v>Alternative source-grounded interpretations</x:v>
      </x:c>
      <x:c r="D289" s="3" t="str">
        <x:v>Hospital death may be shorthand for day-28 death during admission, but hospital-death definition, discharge handling, post-discharge deaths, and equivalence are not supplied.</x:v>
      </x:c>
    </x:row>
    <x:row r="290" ht="180" customHeight="1">
      <x:c r="A290" s="6" t="str">
        <x:v>2018::jama.2018.17075::C001</x:v>
      </x:c>
      <x:c r="B290" s="6" t="n">
        <x:v>0</x:v>
      </x:c>
      <x:c r="C290" s="6" t="str">
        <x:v>Source evidence</x:v>
      </x:c>
      <x:c r="D290" s="6" t="str">
        <x:v>The median (IQR) cell prints 20.0 (20.5-35.0) for normothermia.</x:v>
      </x:c>
    </x:row>
    <x:row r="291" ht="180" customHeight="1">
      <x:c r="A291" s="3" t="str">
        <x:v>2018::jama.2018.17075::C001</x:v>
      </x:c>
      <x:c r="B291" s="3" t="n">
        <x:v>1</x:v>
      </x:c>
      <x:c r="C291" s="3" t="str">
        <x:v>Reported-versus-comparator</x:v>
      </x:c>
      <x:c r="D291" s="3" t="str">
        <x:v>Reported median 20.0; comparator IQR lower endpoint 20.5 under the same explicit median (IQR) label.</x:v>
      </x:c>
    </x:row>
    <x:row r="292" ht="180" customHeight="1">
      <x:c r="A292" s="6" t="str">
        <x:v>2018::jama.2018.17075::C001</x:v>
      </x:c>
      <x:c r="B292" s="6" t="n">
        <x:v>2</x:v>
      </x:c>
      <x:c r="C292" s="6" t="str">
        <x:v>Calculation</x:v>
      </x:c>
      <x:c r="D292" s="6" t="str">
        <x:v>20.5 - 20.0 = 0.5 Injury Severity Score points; the labelled lower endpoint exceeds the labelled median.</x:v>
      </x:c>
    </x:row>
    <x:row r="293" ht="180" customHeight="1">
      <x:c r="A293" s="3" t="str">
        <x:v>2018::jama.2018.17075::C001</x:v>
      </x:c>
      <x:c r="B293" s="3" t="n">
        <x:v>3</x:v>
      </x:c>
      <x:c r="C293" s="3" t="str">
        <x:v>Alternative source-grounded interpretations</x:v>
      </x:c>
      <x:c r="D293" s="3" t="str">
        <x:v>An unstated convention could theoretically alter the reading, but the cell label, parentheses, and parallel hypothermia median/IQR layout support the ordinary interpretation. No alternative definition is printed.</x:v>
      </x:c>
    </x:row>
    <x:row r="294" ht="180" customHeight="1">
      <x:c r="A294" s="6" t="str">
        <x:v>2018::jama.2018.17075::C002</x:v>
      </x:c>
      <x:c r="B294" s="6" t="n">
        <x:v>0</x:v>
      </x:c>
      <x:c r="C294" s="6" t="str">
        <x:v>Source evidence</x:v>
      </x:c>
      <x:c r="D294" s="6" t="str">
        <x:v>All locations report hypothermia 117/240 (48.8%), normothermia 111/226 (49.1%), and CI -9.4 to 8.7. The abstract prints risk difference 0.4%; Results and Table 2 print -0.4 percentage points.</x:v>
      </x:c>
    </x:row>
    <x:row r="295" ht="180" customHeight="1">
      <x:c r="A295" s="3" t="str">
        <x:v>2018::jama.2018.17075::C002</x:v>
      </x:c>
      <x:c r="B295" s="3" t="n">
        <x:v>1</x:v>
      </x:c>
      <x:c r="C295" s="3" t="str">
        <x:v>Reported-versus-comparator</x:v>
      </x:c>
      <x:c r="D295" s="3" t="str">
        <x:v>Reported abstract point estimate +0.4%; matched comparator Results/Table 2 point estimate -0.4, with the same group order and CI.</x:v>
      </x:c>
    </x:row>
    <x:row r="296" ht="180" customHeight="1">
      <x:c r="A296" s="6" t="str">
        <x:v>2018::jama.2018.17075::C002</x:v>
      </x:c>
      <x:c r="B296" s="6" t="n">
        <x:v>2</x:v>
      </x:c>
      <x:c r="C296" s="6" t="str">
        <x:v>Calculation</x:v>
      </x:c>
      <x:c r="D296" s="6" t="str">
        <x:v>(117/240 - 111/226) x 100 = -0.3650 percentage points, rounding to -0.4.</x:v>
      </x:c>
    </x:row>
    <x:row r="297" ht="180" customHeight="1">
      <x:c r="A297" s="3" t="str">
        <x:v>2018::jama.2018.17075::C002</x:v>
      </x:c>
      <x:c r="B297" s="3" t="n">
        <x:v>3</x:v>
      </x:c>
      <x:c r="C297" s="3" t="str">
        <x:v>Alternative source-grounded interpretations</x:v>
      </x:c>
      <x:c r="D297" s="3" t="str">
        <x:v>A reversed abstract contrast could produce approximately +0.4, but a correspondingly reversed CI would ordinarily be -8.7 to 9.4; the unchanged printed abstract CI does not fully reconcile that reading.</x:v>
      </x:c>
    </x:row>
    <x:row r="298" ht="180" customHeight="1">
      <x:c r="A298" s="6" t="str">
        <x:v>2018::jama.2018.17075::C003</x:v>
      </x:c>
      <x:c r="B298" s="6" t="n">
        <x:v>0</x:v>
      </x:c>
      <x:c r="C298" s="6" t="str">
        <x:v>Source evidence</x:v>
      </x:c>
      <x:c r="D298" s="6" t="str">
        <x:v>Both result locations print 47/260 (18.1%) versus 37/240 (15.4%). Table 2 prints RR 1.23 (0.43-3.5), P=.70; eTable 6 prints P=.43.</x:v>
      </x:c>
    </x:row>
    <x:row r="299" ht="180" customHeight="1">
      <x:c r="A299" s="3" t="str">
        <x:v>2018::jama.2018.17075::C003</x:v>
      </x:c>
      <x:c r="B299" s="3" t="n">
        <x:v>1</x:v>
      </x:c>
      <x:c r="C299" s="3" t="str">
        <x:v>Reported-versus-comparator</x:v>
      </x:c>
      <x:c r="D299" s="3" t="str">
        <x:v>Reported Table 2 RR 1.23 and P=.70; comparator printed-proportion RR is approximately 1.17, and the matched eTable P is .43.</x:v>
      </x:c>
    </x:row>
    <x:row r="300" ht="180" customHeight="1">
      <x:c r="A300" s="6" t="str">
        <x:v>2018::jama.2018.17075::C003</x:v>
      </x:c>
      <x:c r="B300" s="6" t="n">
        <x:v>2</x:v>
      </x:c>
      <x:c r="C300" s="6" t="str">
        <x:v>Calculation</x:v>
      </x:c>
      <x:c r="D300" s="6" t="str">
        <x:v>(47/260)/(37/240) = 1.1726, rounding to 1.17, not 1.23. A diagnostic log-scale CI is approximately 0.79-1.74 and an uncorrected two-proportion comparison approximately P=.43; these diagnostics do not replace the reported analysis.</x:v>
      </x:c>
    </x:row>
    <x:row r="301" ht="180" customHeight="1">
      <x:c r="A301" s="3" t="str">
        <x:v>2018::jama.2018.17075::C003</x:v>
      </x:c>
      <x:c r="B301" s="3" t="n">
        <x:v>3</x:v>
      </x:c>
      <x:c r="C301" s="3" t="str">
        <x:v>Alternative source-grounded interpretations</x:v>
      </x:c>
      <x:c r="D301" s="3" t="str">
        <x:v>A differently modelled effect is conceivable, but Table 2 is labelled Relative Risk and no row-specific adjusted analysis is identified. The neighboring row is a possible source-grounded token-assignment hypothesis only.</x:v>
      </x:c>
    </x:row>
    <x:row r="302" ht="180" customHeight="1">
      <x:c r="A302" s="6" t="str">
        <x:v>2018::jama.2018.17075::C004</x:v>
      </x:c>
      <x:c r="B302" s="6" t="n">
        <x:v>0</x:v>
      </x:c>
      <x:c r="C302" s="6" t="str">
        <x:v>Source evidence</x:v>
      </x:c>
      <x:c r="D302" s="6" t="str">
        <x:v>Both result locations print 8/260 (3.1%) versus 6/240 (2.5%). Table 2 prints RR 1.17 (0.79-1.74), P=.43; eTable 6 prints P=.70.</x:v>
      </x:c>
    </x:row>
    <x:row r="303" ht="180" customHeight="1">
      <x:c r="A303" s="3" t="str">
        <x:v>2018::jama.2018.17075::C004</x:v>
      </x:c>
      <x:c r="B303" s="3" t="n">
        <x:v>1</x:v>
      </x:c>
      <x:c r="C303" s="3" t="str">
        <x:v>Reported-versus-comparator</x:v>
      </x:c>
      <x:c r="D303" s="3" t="str">
        <x:v>Reported Table 2 RR 1.17 and P=.43; comparator printed-proportion RR is approximately 1.23, and the matched eTable P is .70.</x:v>
      </x:c>
    </x:row>
    <x:row r="304" ht="180" customHeight="1">
      <x:c r="A304" s="6" t="str">
        <x:v>2018::jama.2018.17075::C004</x:v>
      </x:c>
      <x:c r="B304" s="6" t="n">
        <x:v>2</x:v>
      </x:c>
      <x:c r="C304" s="6" t="str">
        <x:v>Calculation</x:v>
      </x:c>
      <x:c r="D304" s="6" t="str">
        <x:v>(8/260)/(6/240) = 1.2308, rounding to 1.23, not 1.17. A diagnostic log-scale CI is approximately 0.43-3.50 and an uncorrected two-proportion comparison approximately P=.70; these diagnostics do not reconstruct the reported analysis.</x:v>
      </x:c>
    </x:row>
    <x:row r="305" ht="180" customHeight="1">
      <x:c r="A305" s="3" t="str">
        <x:v>2018::jama.2018.17075::C004</x:v>
      </x:c>
      <x:c r="B305" s="3" t="n">
        <x:v>3</x:v>
      </x:c>
      <x:c r="C305" s="3" t="str">
        <x:v>Alternative source-grounded interpretations</x:v>
      </x:c>
      <x:c r="D305" s="3" t="str">
        <x:v>A differently modelled effect is possible in theory, but no row-specific adjusted analysis is supplied. The adjacent intracranial row mathematically aligns with the printed 1.17 (0.79-1.74), P=.43, which is a hypothesis about token assignment, not an established explanation.</x:v>
      </x:c>
    </x:row>
    <x:row r="306" ht="180" customHeight="1">
      <x:c r="A306" s="6" t="str">
        <x:v>2018::jama.2018.17075::C005</x:v>
      </x:c>
      <x:c r="B306" s="6" t="n">
        <x:v>0</x:v>
      </x:c>
      <x:c r="C306" s="6" t="str">
        <x:v>Source evidence</x:v>
      </x:c>
      <x:c r="D306" s="6" t="str">
        <x:v>Under No. (%), normothermia (n=196) prints 34.7 (68); surrounding cells use count followed by percentage.</x:v>
      </x:c>
    </x:row>
    <x:row r="307" ht="180" customHeight="1">
      <x:c r="A307" s="3" t="str">
        <x:v>2018::jama.2018.17075::C005</x:v>
      </x:c>
      <x:c r="B307" s="3" t="n">
        <x:v>1</x:v>
      </x:c>
      <x:c r="C307" s="3" t="str">
        <x:v>Reported-versus-comparator</x:v>
      </x:c>
      <x:c r="D307" s="3" t="str">
        <x:v>Reported token order 34.7 (68) versus the count-first header and denominator relationship represented by 68/196.</x:v>
      </x:c>
    </x:row>
    <x:row r="308" ht="180" customHeight="1">
      <x:c r="A308" s="6" t="str">
        <x:v>2018::jama.2018.17075::C005</x:v>
      </x:c>
      <x:c r="B308" s="6" t="n">
        <x:v>2</x:v>
      </x:c>
      <x:c r="C308" s="6" t="str">
        <x:v>Calculation</x:v>
      </x:c>
      <x:c r="D308" s="6" t="str">
        <x:v>68/196 x 100 = 34.6939%, rounding to 34.7%; 34.7 is noninteger in the count position. With the adjacent reconciled category reading, the five CT counts can close at 3 + 108 + 15 + 68 + 2 = 196.</x:v>
      </x:c>
    </x:row>
    <x:row r="309" ht="180" customHeight="1">
      <x:c r="A309" s="3" t="str">
        <x:v>2018::jama.2018.17075::C005</x:v>
      </x:c>
      <x:c r="B309" s="3" t="n">
        <x:v>3</x:v>
      </x:c>
      <x:c r="C309" s="3" t="str">
        <x:v>Alternative source-grounded interpretations</x:v>
      </x:c>
      <x:c r="D309" s="3" t="str">
        <x:v>A percentage-first convention would reconcile this one cell, but conflicts with No. (%) and surrounding count-first cells; no row-specific exception is printed.</x:v>
      </x:c>
    </x:row>
    <x:row r="310" ht="180" customHeight="1">
      <x:c r="A310" s="6" t="str">
        <x:v>2018::jama.2018.17075::C006</x:v>
      </x:c>
      <x:c r="B310" s="6" t="n">
        <x:v>0</x:v>
      </x:c>
      <x:c r="C310" s="6" t="str">
        <x:v>Source evidence</x:v>
      </x:c>
      <x:c r="D310" s="6" t="str">
        <x:v>Under No. (%), normothermia (n=196) prints 1 (2); other CT rows print 3 (1.5), 108 (55.1), 15 (7.7), and the adjacent cell 34.7 (68).</x:v>
      </x:c>
    </x:row>
    <x:row r="311" ht="180" customHeight="1">
      <x:c r="A311" s="3" t="str">
        <x:v>2018::jama.2018.17075::C006</x:v>
      </x:c>
      <x:c r="B311" s="3" t="n">
        <x:v>1</x:v>
      </x:c>
      <x:c r="C311" s="3" t="str">
        <x:v>Reported-versus-comparator</x:v>
      </x:c>
      <x:c r="D311" s="3" t="str">
        <x:v>Reported literal count/percentage 1 (2) versus 1/196 and the count-total relationship across the five displayed categories.</x:v>
      </x:c>
    </x:row>
    <x:row r="312" ht="180" customHeight="1">
      <x:c r="A312" s="6" t="str">
        <x:v>2018::jama.2018.17075::C006</x:v>
      </x:c>
      <x:c r="B312" s="6" t="n">
        <x:v>2</x:v>
      </x:c>
      <x:c r="C312" s="6" t="str">
        <x:v>Calculation</x:v>
      </x:c>
      <x:c r="D312" s="6" t="str">
        <x:v>1/196 x 100 = 0.5102%, not 2%. Reading count 2 and percentage 1 gives 2/196 x 100 = 1.0204%, and 3 + 108 + 15 + 68 + 2 = 196; literal count 1 produces 195.</x:v>
      </x:c>
    </x:row>
    <x:row r="313" ht="180" customHeight="1">
      <x:c r="A313" s="3" t="str">
        <x:v>2018::jama.2018.17075::C006</x:v>
      </x:c>
      <x:c r="B313" s="3" t="n">
        <x:v>3</x:v>
      </x:c>
      <x:c r="C313" s="3" t="str">
        <x:v>Alternative source-grounded interpretations</x:v>
      </x:c>
      <x:c r="D313" s="3" t="str">
        <x:v>A row-specific denominator of 50 could make 1 (2) arithmetically possible, but the table prints n=196, no row-specific denominator/missingness note, and five exhaustive categories.</x:v>
      </x:c>
    </x:row>
    <x:row r="314" ht="180" customHeight="1">
      <x:c r="A314" s="6" t="str">
        <x:v>2018::jama.2018.17075::C007</x:v>
      </x:c>
      <x:c r="B314" s="6" t="n">
        <x:v>0</x:v>
      </x:c>
      <x:c r="C314" s="6" t="str">
        <x:v>Source evidence</x:v>
      </x:c>
      <x:c r="D314" s="6" t="str">
        <x:v>The source prints adjusted odds ratio hypothermia vs normothermia; 0.95 (0.55-275 1.64) P = .84.</x:v>
      </x:c>
    </x:row>
    <x:row r="315" ht="180" customHeight="1">
      <x:c r="A315" s="3" t="str">
        <x:v>2018::jama.2018.17075::C007</x:v>
      </x:c>
      <x:c r="B315" s="3" t="n">
        <x:v>1</x:v>
      </x:c>
      <x:c r="C315" s="3" t="str">
        <x:v>Reported-versus-comparator</x:v>
      </x:c>
      <x:c r="D315" s="3" t="str">
        <x:v>Reported parenthesized sequence 0.55-275 1.64 versus the same page's explicit odds-ratio (95% CI) convention requiring two identifiable endpoints; the unadjusted example is 0.91 (0.59-1.41) P=.68.</x:v>
      </x:c>
    </x:row>
    <x:row r="316" ht="180" customHeight="1">
      <x:c r="A316" s="6" t="str">
        <x:v>2018::jama.2018.17075::C007</x:v>
      </x:c>
      <x:c r="B316" s="6" t="n">
        <x:v>2</x:v>
      </x:c>
      <x:c r="C316" s="6" t="str">
        <x:v>Calculation</x:v>
      </x:c>
      <x:c r="D316" s="6" t="str">
        <x:v>The ordered sequence is 0.55, 275, 1.64. Although point estimate 0.95 lies between 0.55 and 1.64, no source-based calculation identifies the role of 275 or licenses removal of it.</x:v>
      </x:c>
    </x:row>
    <x:row r="317" ht="180" customHeight="1">
      <x:c r="A317" s="3" t="str">
        <x:v>2018::jama.2018.17075::C007</x:v>
      </x:c>
      <x:c r="B317" s="3" t="n">
        <x:v>3</x:v>
      </x:c>
      <x:c r="C317" s="3" t="str">
        <x:v>Alternative source-grounded interpretations</x:v>
      </x:c>
      <x:c r="D317" s="3" t="str">
        <x:v>The same-page syntax supports a possible 0.55-1.64 interval with an extraneous token, but the PDF does not define 275; punctuation or digits may instead be missing.</x:v>
      </x:c>
    </x:row>
    <x:row r="318" ht="180" customHeight="1">
      <x:c r="A318" s="6" t="str">
        <x:v>2018::jama.2018.17075::C008</x:v>
      </x:c>
      <x:c r="B318" s="6" t="n">
        <x:v>0</x:v>
      </x:c>
      <x:c r="C318" s="6" t="str">
        <x:v>Source evidence</x:v>
      </x:c>
      <x:c r="D318" s="6" t="str">
        <x:v>The abstract states 500 provided ongoing consent and 402 men [80.2%]. Table 1 gives hypothermia 207 (79.6) and normothermia 194 (80.8) men, and women 53 (20.4) and 46 (19.2).</x:v>
      </x:c>
    </x:row>
    <x:row r="319" ht="180" customHeight="1">
      <x:c r="A319" s="3" t="str">
        <x:v>2018::jama.2018.17075::C008</x:v>
      </x:c>
      <x:c r="B319" s="3" t="n">
        <x:v>1</x:v>
      </x:c>
      <x:c r="C319" s="3" t="str">
        <x:v>Reported-versus-comparator</x:v>
      </x:c>
      <x:c r="D319" s="3" t="str">
        <x:v>Reported abstract 402/500 (80.2%) versus the arithmetic percentage 80.4% and Table 1 male subtotal 207+194=401, which is 80.2% of 500.</x:v>
      </x:c>
    </x:row>
    <x:row r="320" ht="180" customHeight="1">
      <x:c r="A320" s="6" t="str">
        <x:v>2018::jama.2018.17075::C008</x:v>
      </x:c>
      <x:c r="B320" s="6" t="n">
        <x:v>2</x:v>
      </x:c>
      <x:c r="C320" s="6" t="str">
        <x:v>Calculation</x:v>
      </x:c>
      <x:c r="D320" s="6" t="str">
        <x:v>402/500 x 100 = 80.4%. 207 + 194 = 401; 401/500 x 100 = 80.2%; sex-category totals close as 401 + 53 + 46 = 500.</x:v>
      </x:c>
    </x:row>
    <x:row r="321" ht="180" customHeight="1">
      <x:c r="A321" s="3" t="str">
        <x:v>2018::jama.2018.17075::C008</x:v>
      </x:c>
      <x:c r="B321" s="3" t="n">
        <x:v>3</x:v>
      </x:c>
      <x:c r="C321" s="3" t="str">
        <x:v>Alternative source-grounded interpretations</x:v>
      </x:c>
      <x:c r="D321" s="3" t="str">
        <x:v>A denominator near 501 could approximate 402 at 80.2%, but the abstract anchors the text to 500 and Table 1 reports all 500 without a missingness note.</x:v>
      </x:c>
    </x:row>
    <x:row r="322" ht="180" customHeight="1">
      <x:c r="A322" s="6" t="str">
        <x:v>2018::jama.2018.18020::C001</x:v>
      </x:c>
      <x:c r="B322" s="6" t="n">
        <x:v>0</x:v>
      </x:c>
      <x:c r="C322" s="6" t="str">
        <x:v>Source evidence</x:v>
      </x:c>
      <x:c r="D322" s="6" t="str">
        <x:v>The abstract prints 30 enrolled patients and 22% men; Baseline Data prints 22 men and 8 women.</x:v>
      </x:c>
    </x:row>
    <x:row r="323" ht="180" customHeight="1">
      <x:c r="A323" s="3" t="str">
        <x:v>2018::jama.2018.18020::C001</x:v>
      </x:c>
      <x:c r="B323" s="3" t="n">
        <x:v>1</x:v>
      </x:c>
      <x:c r="C323" s="3" t="str">
        <x:v>Reported-versus-comparator</x:v>
      </x:c>
      <x:c r="D323" s="3" t="str">
        <x:v>Reported 22% men versus comparator 22/30 men.</x:v>
      </x:c>
    </x:row>
    <x:row r="324" ht="180" customHeight="1">
      <x:c r="A324" s="6" t="str">
        <x:v>2018::jama.2018.18020::C001</x:v>
      </x:c>
      <x:c r="B324" s="6" t="n">
        <x:v>2</x:v>
      </x:c>
      <x:c r="C324" s="6" t="str">
        <x:v>Calculation</x:v>
      </x:c>
      <x:c r="D324" s="6" t="str">
        <x:v>22 + 8 = 30; 22/30 × 100 = 73.33%; 22% × 30 = 6.6, not 22 patients.</x:v>
      </x:c>
    </x:row>
    <x:row r="325" ht="180" customHeight="1">
      <x:c r="A325" s="3" t="str">
        <x:v>2018::jama.2018.18020::C001</x:v>
      </x:c>
      <x:c r="B325" s="3" t="n">
        <x:v>3</x:v>
      </x:c>
      <x:c r="C325" s="3" t="str">
        <x:v>Alternative source-grounded interpretations</x:v>
      </x:c>
      <x:c r="D325" s="3" t="str">
        <x:v>The abstract may have intended 22 men or approximately 73% men; enrollment-level data and proof history are unavailable.</x:v>
      </x:c>
    </x:row>
    <x:row r="326" ht="180" customHeight="1">
      <x:c r="A326" s="6" t="str">
        <x:v>2018::jama.2018.18020::C002</x:v>
      </x:c>
      <x:c r="B326" s="6" t="n">
        <x:v>0</x:v>
      </x:c>
      <x:c r="C326" s="6" t="str">
        <x:v>Source evidence</x:v>
      </x:c>
      <x:c r="D326" s="6" t="str">
        <x:v>CLCN1 is 84.0 (74.5-110.3) and SCN4A is 98.0 (56.0-120.0) while the footnote states Scale, 0 to 100.</x:v>
      </x:c>
    </x:row>
    <x:row r="327" ht="180" customHeight="1">
      <x:c r="A327" s="3" t="str">
        <x:v>2018::jama.2018.18020::C002</x:v>
      </x:c>
      <x:c r="B327" s="3" t="n">
        <x:v>1</x:v>
      </x:c>
      <x:c r="C327" s="3" t="str">
        <x:v>Reported-versus-comparator</x:v>
      </x:c>
      <x:c r="D327" s="3" t="str">
        <x:v>Reported upper endpoints 110.3 and 120.0 versus stated upper scale bound 100.</x:v>
      </x:c>
    </x:row>
    <x:row r="328" ht="180" customHeight="1">
      <x:c r="A328" s="6" t="str">
        <x:v>2018::jama.2018.18020::C002</x:v>
      </x:c>
      <x:c r="B328" s="6" t="n">
        <x:v>2</x:v>
      </x:c>
      <x:c r="C328" s="6" t="str">
        <x:v>Calculation</x:v>
      </x:c>
      <x:c r="D328" s="6" t="str">
        <x:v>110.3 - 100 = 10.3 and 120.0 - 100 = 20.0; a bounded score's quantile cannot exceed its bound.</x:v>
      </x:c>
    </x:row>
    <x:row r="329" ht="180" customHeight="1">
      <x:c r="A329" s="3" t="str">
        <x:v>2018::jama.2018.18020::C002</x:v>
      </x:c>
      <x:c r="B329" s="3" t="n">
        <x:v>3</x:v>
      </x:c>
      <x:c r="C329" s="3" t="str">
        <x:v>Alternative source-grounded interpretations</x:v>
      </x:c>
      <x:c r="D329" s="3" t="str">
        <x:v>The footnote may be incomplete or the displayed values may use an undocumented summed/transformed scale.</x:v>
      </x:c>
    </x:row>
    <x:row r="330" ht="180" customHeight="1">
      <x:c r="A330" s="6" t="str">
        <x:v>2018::jama.2018.18020::C003</x:v>
      </x:c>
      <x:c r="B330" s="6" t="n">
        <x:v>0</x:v>
      </x:c>
      <x:c r="C330" s="6" t="str">
        <x:v>Source evidence</x:v>
      </x:c>
      <x:c r="D330" s="6" t="str">
        <x:v>The header says Treatment Effect (Placebo-Mexiletine); effects include -14.22 and -2.85 under rows whose period changes are -7.22/-21.44 and 0.46/-2.39.</x:v>
      </x:c>
    </x:row>
    <x:row r="331" ht="180" customHeight="1">
      <x:c r="A331" s="3" t="str">
        <x:v>2018::jama.2018.18020::C003</x:v>
      </x:c>
      <x:c r="B331" s="3" t="n">
        <x:v>1</x:v>
      </x:c>
      <x:c r="C331" s="3" t="str">
        <x:v>Reported-versus-comparator</x:v>
      </x:c>
      <x:c r="D331" s="3" t="str">
        <x:v>Printed placebo-minus-mexiletine header versus row arithmetic consistent with mexiletine-minus-placebo.</x:v>
      </x:c>
    </x:row>
    <x:row r="332" ht="180" customHeight="1">
      <x:c r="A332" s="6" t="str">
        <x:v>2018::jama.2018.18020::C003</x:v>
      </x:c>
      <x:c r="B332" s="6" t="n">
        <x:v>2</x:v>
      </x:c>
      <x:c r="C332" s="6" t="str">
        <x:v>Calculation</x:v>
      </x:c>
      <x:c r="D332" s="6" t="str">
        <x:v>-21.44 - (-7.22) = -14.22; -2.39 - 0.46 = -2.85; reversing the subtraction reverses both signs.</x:v>
      </x:c>
    </x:row>
    <x:row r="333" ht="180" customHeight="1">
      <x:c r="A333" s="3" t="str">
        <x:v>2018::jama.2018.18020::C003</x:v>
      </x:c>
      <x:c r="B333" s="3" t="n">
        <x:v>3</x:v>
      </x:c>
      <x:c r="C333" s="3" t="str">
        <x:v>Alternative source-grounded interpretations</x:v>
      </x:c>
      <x:c r="D333" s="3" t="str">
        <x:v>The header may be reversed, or an undocumented favorable-direction convention may be applied; unrounded paired data are absent.</x:v>
      </x:c>
    </x:row>
    <x:row r="334" ht="180" customHeight="1">
      <x:c r="A334" s="6" t="str">
        <x:v>2018::jama.2018.18020::C004</x:v>
      </x:c>
      <x:c r="B334" s="6" t="n">
        <x:v>0</x:v>
      </x:c>
      <x:c r="C334" s="6" t="str">
        <x:v>Source evidence</x:v>
      </x:c>
      <x:c r="D334" s="6" t="str">
        <x:v>eTable 4 prints placebo Any 2 (6%), mexiletine Any 27 (90%), and count-2 rows displayed as 7%; main text prints 21 of 30 patients (70%).</x:v>
      </x:c>
    </x:row>
    <x:row r="335" ht="180" customHeight="1">
      <x:c r="A335" s="3" t="str">
        <x:v>2018::jama.2018.18020::C004</x:v>
      </x:c>
      <x:c r="B335" s="3" t="n">
        <x:v>1</x:v>
      </x:c>
      <x:c r="C335" s="3" t="str">
        <x:v>Reported-versus-comparator</x:v>
      </x:c>
      <x:c r="D335" s="3" t="str">
        <x:v>Reported 2 (6%) versus the apparent 30-patient denominator and surrounding count/percentage convention.</x:v>
      </x:c>
    </x:row>
    <x:row r="336" ht="180" customHeight="1">
      <x:c r="A336" s="6" t="str">
        <x:v>2018::jama.2018.18020::C004</x:v>
      </x:c>
      <x:c r="B336" s="6" t="n">
        <x:v>2</x:v>
      </x:c>
      <x:c r="C336" s="6" t="str">
        <x:v>Calculation</x:v>
      </x:c>
      <x:c r="D336" s="6" t="str">
        <x:v>2/30 × 100 = 6.67%, ordinarily 7%; a denominator of 31 gives 6.45%, which can round to 6%.</x:v>
      </x:c>
    </x:row>
    <x:row r="337" ht="180" customHeight="1">
      <x:c r="A337" s="3" t="str">
        <x:v>2018::jama.2018.18020::C004</x:v>
      </x:c>
      <x:c r="B337" s="3" t="n">
        <x:v>3</x:v>
      </x:c>
      <x:c r="C337" s="3" t="str">
        <x:v>Alternative source-grounded interpretations</x:v>
      </x:c>
      <x:c r="D337" s="3" t="str">
        <x:v>The row may use 31 treatment-set exposures or truncation; eTable 4 does not print a denominator, unit, or rounding rule.</x:v>
      </x:c>
    </x:row>
    <x:row r="338" ht="180" customHeight="1">
      <x:c r="A338" s="6" t="str">
        <x:v>2018::jama.2018.18020::C005</x:v>
      </x:c>
      <x:c r="B338" s="6" t="n">
        <x:v>0</x:v>
      </x:c>
      <x:c r="C338" s="6" t="str">
        <x:v>Source evidence</x:v>
      </x:c>
      <x:c r="D338" s="6" t="str">
        <x:v>Code maps Stiff_Plac to mu_plac and Stiff_Mex to mu_mex; dictionaries describe mu_mex[i] as placebo and mu_plac[i] as mexiletine.</x:v>
      </x:c>
    </x:row>
    <x:row r="339" ht="180" customHeight="1">
      <x:c r="A339" s="3" t="str">
        <x:v>2018::jama.2018.18020::C005</x:v>
      </x:c>
      <x:c r="B339" s="3" t="n">
        <x:v>1</x:v>
      </x:c>
      <x:c r="C339" s="3" t="str">
        <x:v>Reported-versus-comparator</x:v>
      </x:c>
      <x:c r="D339" s="3" t="str">
        <x:v>Prose treatment labels versus likelihood/data-to-parameter mappings and named population parameters.</x:v>
      </x:c>
    </x:row>
    <x:row r="340" ht="180" customHeight="1">
      <x:c r="A340" s="6" t="str">
        <x:v>2018::jama.2018.18020::C005</x:v>
      </x:c>
      <x:c r="B340" s="6" t="n">
        <x:v>2</x:v>
      </x:c>
      <x:c r="C340" s="6" t="str">
        <x:v>Calculation</x:v>
      </x:c>
      <x:c r="D340" s="6" t="str">
        <x:v>Stiff_Plac -&gt; mu_plac and Stiff_Mex -&gt; mu_mex; diff_patient &lt;- mu_plac[i] - mu_mex[i] follows that code mapping.</x:v>
      </x:c>
    </x:row>
    <x:row r="341" ht="180" customHeight="1">
      <x:c r="A341" s="3" t="str">
        <x:v>2018::jama.2018.18020::C005</x:v>
      </x:c>
      <x:c r="B341" s="3" t="n">
        <x:v>3</x:v>
      </x:c>
      <x:c r="C341" s="3" t="str">
        <x:v>Alternative source-grounded interpretations</x:v>
      </x:c>
      <x:c r="D341" s="3" t="str">
        <x:v>Two prose rows may be transposed while executed code/output remained correct; executed files and logs are not supplied.</x:v>
      </x:c>
    </x:row>
    <x:row r="342" ht="180" customHeight="1">
      <x:c r="A342" s="6" t="str">
        <x:v>2018::jama.2018.18020::C006</x:v>
      </x:c>
      <x:c r="B342" s="6" t="n">
        <x:v>0</x:v>
      </x:c>
      <x:c r="C342" s="6" t="str">
        <x:v>Source evidence</x:v>
      </x:c>
      <x:c r="D342" s="6" t="str">
        <x:v>Code defines diff_CLCN1 &lt;- mu.plac_CLCN1 - mu.mex_CLCN1; the dictionary says mu.plac-mu.mex for SCN4A patients.</x:v>
      </x:c>
    </x:row>
    <x:row r="343" ht="180" customHeight="1">
      <x:c r="A343" s="3" t="str">
        <x:v>2018::jama.2018.18020::C006</x:v>
      </x:c>
      <x:c r="B343" s="3" t="n">
        <x:v>1</x:v>
      </x:c>
      <x:c r="C343" s="3" t="str">
        <x:v>Reported-versus-comparator</x:v>
      </x:c>
      <x:c r="D343" s="3" t="str">
        <x:v>SCN4A prose description versus the CLCN1 parameter suffix and both CLCN1 code components.</x:v>
      </x:c>
    </x:row>
    <x:row r="344" ht="180" customHeight="1">
      <x:c r="A344" s="6" t="str">
        <x:v>2018::jama.2018.18020::C006</x:v>
      </x:c>
      <x:c r="B344" s="6" t="n">
        <x:v>2</x:v>
      </x:c>
      <x:c r="C344" s="6" t="str">
        <x:v>Calculation</x:v>
      </x:c>
      <x:c r="D344" s="6" t="str">
        <x:v>Substituting the displayed components produces the CLCN1 placebo-minus-mexiletine contrast, not an SCN4A contrast.</x:v>
      </x:c>
    </x:row>
    <x:row r="345" ht="180" customHeight="1">
      <x:c r="A345" s="3" t="str">
        <x:v>2018::jama.2018.18020::C006</x:v>
      </x:c>
      <x:c r="B345" s="3" t="n">
        <x:v>3</x:v>
      </x:c>
      <x:c r="C345" s="3" t="str">
        <x:v>Alternative source-grounded interpretations</x:v>
      </x:c>
      <x:c r="D345" s="3" t="str">
        <x:v>The row may be a copy-forward of the preceding SCN4A description; executed output is unavailable.</x:v>
      </x:c>
    </x:row>
    <x:row r="346" ht="180" customHeight="1">
      <x:c r="A346" s="6" t="str">
        <x:v>2018::jama.2018.18020::C007</x:v>
      </x:c>
      <x:c r="B346" s="6" t="n">
        <x:v>0</x:v>
      </x:c>
      <x:c r="C346" s="6" t="str">
        <x:v>Source evidence</x:v>
      </x:c>
      <x:c r="D346" s="6" t="str">
        <x:v>tau.mex &lt;- 1/(sigma.mex*sigma.mex) is used with mu_mex and Stiff_Mex, while prose calls sigma.mex placebo-period variability.</x:v>
      </x:c>
    </x:row>
    <x:row r="347" ht="180" customHeight="1">
      <x:c r="A347" s="3" t="str">
        <x:v>2018::jama.2018.18020::C007</x:v>
      </x:c>
      <x:c r="B347" s="3" t="n">
        <x:v>1</x:v>
      </x:c>
      <x:c r="C347" s="3" t="str">
        <x:v>Reported-versus-comparator</x:v>
      </x:c>
      <x:c r="D347" s="3" t="str">
        <x:v>Placebo wording versus .mex likelihood branch, mean parameter, and parallel .plac parameter.</x:v>
      </x:c>
    </x:row>
    <x:row r="348" ht="180" customHeight="1">
      <x:c r="A348" s="6" t="str">
        <x:v>2018::jama.2018.18020::C007</x:v>
      </x:c>
      <x:c r="B348" s="6" t="n">
        <x:v>2</x:v>
      </x:c>
      <x:c r="C348" s="6" t="str">
        <x:v>Calculation</x:v>
      </x:c>
      <x:c r="D348" s="6" t="str">
        <x:v>tau.mex = 1/sigma.mex^2 supplies precision for mu_mex, which is used for Stiff_Mex.</x:v>
      </x:c>
    </x:row>
    <x:row r="349" ht="180" customHeight="1">
      <x:c r="A349" s="3" t="str">
        <x:v>2018::jama.2018.18020::C007</x:v>
      </x:c>
      <x:c r="B349" s="3" t="n">
        <x:v>3</x:v>
      </x:c>
      <x:c r="C349" s="3" t="str">
        <x:v>Alternative source-grounded interpretations</x:v>
      </x:c>
      <x:c r="D349" s="3" t="str">
        <x:v>The wording may be repeated copy-forward text while code remains correct; executed models/logs are not supplied.</x:v>
      </x:c>
    </x:row>
    <x:row r="350" ht="180" customHeight="1">
      <x:c r="A350" s="6" t="str">
        <x:v>2018::jama.2018.18020::C008</x:v>
      </x:c>
      <x:c r="B350" s="6" t="n">
        <x:v>0</x:v>
      </x:c>
      <x:c r="C350" s="6" t="str">
        <x:v>Source evidence</x:v>
      </x:c>
      <x:c r="D350" s="6" t="str">
        <x:v>Page 4 assigns 3.84 (95% CrI 2.52-5.16; n=16) to CLNC1; matched displays and gene definition use CLCN1.</x:v>
      </x:c>
    </x:row>
    <x:row r="351" ht="180" customHeight="1">
      <x:c r="A351" s="3" t="str">
        <x:v>2018::jama.2018.18020::C008</x:v>
      </x:c>
      <x:c r="B351" s="3" t="n">
        <x:v>1</x:v>
      </x:c>
      <x:c r="C351" s="3" t="str">
        <x:v>Reported-versus-comparator</x:v>
      </x:c>
      <x:c r="D351" s="3" t="str">
        <x:v>CLNC1 in narrative versus CLCN1 in matched subgroup displays with identical estimate, interval, and n.</x:v>
      </x:c>
    </x:row>
    <x:row r="352" ht="180" customHeight="1">
      <x:c r="A352" s="6" t="str">
        <x:v>2018::jama.2018.18020::C008</x:v>
      </x:c>
      <x:c r="B352" s="6" t="n">
        <x:v>2</x:v>
      </x:c>
      <x:c r="C352" s="6" t="str">
        <x:v>Calculation</x:v>
      </x:c>
      <x:c r="D352" s="6" t="str">
        <x:v>The numeric keys 3.84, 2.52-5.16, and n=16 identify one subgroup; only the gene-symbol character order differs.</x:v>
      </x:c>
    </x:row>
    <x:row r="353" ht="180" customHeight="1">
      <x:c r="A353" s="3" t="str">
        <x:v>2018::jama.2018.18020::C008</x:v>
      </x:c>
      <x:c r="B353" s="3" t="n">
        <x:v>3</x:v>
      </x:c>
      <x:c r="C353" s="3" t="str">
        <x:v>Alternative source-grounded interpretations</x:v>
      </x:c>
      <x:c r="D353" s="3" t="str">
        <x:v>This may be a local typographical transposition; supplied evidence does not establish an effect on analysis.</x:v>
      </x:c>
    </x:row>
    <x:row r="354" ht="180" customHeight="1">
      <x:c r="A354" s="6" t="str">
        <x:v>2018::jama.2018.18020::C009</x:v>
      </x:c>
      <x:c r="B354" s="6" t="n">
        <x:v>0</x:v>
      </x:c>
      <x:c r="C354" s="6" t="str">
        <x:v>Source evidence</x:v>
      </x:c>
      <x:c r="D354" s="6" t="str">
        <x:v>The row reports effect 6.78, 95% CI 1.64 to 11.92, and P=.001; Table 2 states N=27 and dependent t tests for non-IVR secondary outcomes.</x:v>
      </x:c>
    </x:row>
    <x:row r="355" ht="180" customHeight="1">
      <x:c r="A355" s="3" t="str">
        <x:v>2018::jama.2018.18020::C009</x:v>
      </x:c>
      <x:c r="B355" s="3" t="n">
        <x:v>1</x:v>
      </x:c>
      <x:c r="C355" s="3" t="str">
        <x:v>Reported-versus-comparator</x:v>
      </x:c>
      <x:c r="D355" s="3" t="str">
        <x:v>Reported .001 versus CI-derived two-sided diagnostic under df=26.</x:v>
      </x:c>
    </x:row>
    <x:row r="356" ht="180" customHeight="1">
      <x:c r="A356" s="6" t="str">
        <x:v>2018::jama.2018.18020::C009</x:v>
      </x:c>
      <x:c r="B356" s="6" t="n">
        <x:v>2</x:v>
      </x:c>
      <x:c r="C356" s="6" t="str">
        <x:v>Calculation</x:v>
      </x:c>
      <x:c r="D356" s="6" t="str">
        <x:v>Half-width 5.14 gives SE about 5.14/2.056 = 2.50; t ≈ 6.78/2.50 = 2.71; two-sided P is about .012, not .001.</x:v>
      </x:c>
    </x:row>
    <x:row r="357" ht="180" customHeight="1">
      <x:c r="A357" s="3" t="str">
        <x:v>2018::jama.2018.18020::C009</x:v>
      </x:c>
      <x:c r="B357" s="3" t="n">
        <x:v>3</x:v>
      </x:c>
      <x:c r="C357" s="3" t="str">
        <x:v>Alternative source-grounded interpretations</x:v>
      </x:c>
      <x:c r="D357" s="3" t="str">
        <x:v>Row-specific paired n, CI construction, or inferential procedure could differ but are not supplied.</x:v>
      </x:c>
    </x:row>
    <x:row r="358" ht="180" customHeight="1">
      <x:c r="A358" s="6" t="str">
        <x:v>2018::jama.2018.18020::C010</x:v>
      </x:c>
      <x:c r="B358" s="6" t="n">
        <x:v>0</x:v>
      </x:c>
      <x:c r="C358" s="6" t="str">
        <x:v>Source evidence</x:v>
      </x:c>
      <x:c r="D358" s="6" t="str">
        <x:v>The row prints -1.96, 95% CI -3.41 to 0.51, P=.009; subgroup n=11 and dependent t test are stated.</x:v>
      </x:c>
    </x:row>
    <x:row r="359" ht="180" customHeight="1">
      <x:c r="A359" s="3" t="str">
        <x:v>2018::jama.2018.18020::C010</x:v>
      </x:c>
      <x:c r="B359" s="3" t="n">
        <x:v>1</x:v>
      </x:c>
      <x:c r="C359" s="3" t="str">
        <x:v>Reported-versus-comparator</x:v>
      </x:c>
      <x:c r="D359" s="3" t="str">
        <x:v>Reported .009 versus a CI that crosses zero and the conditional df=10 diagnostic.</x:v>
      </x:c>
    </x:row>
    <x:row r="360" ht="180" customHeight="1">
      <x:c r="A360" s="6" t="str">
        <x:v>2018::jama.2018.18020::C010</x:v>
      </x:c>
      <x:c r="B360" s="6" t="n">
        <x:v>2</x:v>
      </x:c>
      <x:c r="C360" s="6" t="str">
        <x:v>Calculation</x:v>
      </x:c>
      <x:c r="D360" s="6" t="str">
        <x:v>CI half-width 1.96 with df=10 gives SE about 1.96/2.228 = 0.88; |t| ≈ 1.96/0.88 = 2.23, two-sided P about .05.</x:v>
      </x:c>
    </x:row>
    <x:row r="361" ht="180" customHeight="1">
      <x:c r="A361" s="3" t="str">
        <x:v>2018::jama.2018.18020::C010</x:v>
      </x:c>
      <x:c r="B361" s="3" t="n">
        <x:v>3</x:v>
      </x:c>
      <x:c r="C361" s="3" t="str">
        <x:v>Alternative source-grounded interpretations</x:v>
      </x:c>
      <x:c r="D361" s="3" t="str">
        <x:v>A P value, endpoint, subgroup n, or CI/test definition may differ from the table-level rule.</x:v>
      </x:c>
    </x:row>
    <x:row r="362" ht="180" customHeight="1">
      <x:c r="A362" s="6" t="str">
        <x:v>2018::jama.2018.18020::C011</x:v>
      </x:c>
      <x:c r="B362" s="6" t="n">
        <x:v>0</x:v>
      </x:c>
      <x:c r="C362" s="6" t="str">
        <x:v>Source evidence</x:v>
      </x:c>
      <x:c r="D362" s="6" t="str">
        <x:v>The row prints 13.71, 95% CI -1.96 to 25.47, and P=.02; subgroup n=11 and dependent t test are stated.</x:v>
      </x:c>
    </x:row>
    <x:row r="363" ht="180" customHeight="1">
      <x:c r="A363" s="3" t="str">
        <x:v>2018::jama.2018.18020::C011</x:v>
      </x:c>
      <x:c r="B363" s="3" t="n">
        <x:v>1</x:v>
      </x:c>
      <x:c r="C363" s="3" t="str">
        <x:v>Reported-versus-comparator</x:v>
      </x:c>
      <x:c r="D363" s="3" t="str">
        <x:v>Reported estimate/CI/P versus interval midpoint, zero crossing, and conditional df=10 diagnostic.</x:v>
      </x:c>
    </x:row>
    <x:row r="364" ht="180" customHeight="1">
      <x:c r="A364" s="6" t="str">
        <x:v>2018::jama.2018.18020::C011</x:v>
      </x:c>
      <x:c r="B364" s="6" t="n">
        <x:v>2</x:v>
      </x:c>
      <x:c r="C364" s="6" t="str">
        <x:v>Calculation</x:v>
      </x:c>
      <x:c r="D364" s="6" t="str">
        <x:v>Midpoint is (-1.96 + 25.47)/2 = 11.755, not 13.71; CI crosses zero; half-width 13.715 gives a two-sided diagnostic near .05, not .02.</x:v>
      </x:c>
    </x:row>
    <x:row r="365" ht="180" customHeight="1">
      <x:c r="A365" s="3" t="str">
        <x:v>2018::jama.2018.18020::C011</x:v>
      </x:c>
      <x:c r="B365" s="3" t="n">
        <x:v>3</x:v>
      </x:c>
      <x:c r="C365" s="3" t="str">
        <x:v>Alternative source-grounded interpretations</x:v>
      </x:c>
      <x:c r="D365" s="3" t="str">
        <x:v>A lower-endpoint sign/transcription, P value, n, or procedure may be different; raw output is absent.</x:v>
      </x:c>
    </x:row>
    <x:row r="366" ht="180" customHeight="1">
      <x:c r="A366" s="6" t="str">
        <x:v>2018::jama.2018.18020::C012</x:v>
      </x:c>
      <x:c r="B366" s="6" t="n">
        <x:v>0</x:v>
      </x:c>
      <x:c r="C366" s="6" t="str">
        <x:v>Source evidence</x:v>
      </x:c>
      <x:c r="D366" s="6" t="str">
        <x:v>The row reports effect 0.67, 95% CI 0.23 to 1.11, and P&lt;.001; Table 2 states N=27 and dependent t tests for non-IVR outcomes.</x:v>
      </x:c>
    </x:row>
    <x:row r="367" ht="180" customHeight="1">
      <x:c r="A367" s="3" t="str">
        <x:v>2018::jama.2018.18020::C012</x:v>
      </x:c>
      <x:c r="B367" s="3" t="n">
        <x:v>1</x:v>
      </x:c>
      <x:c r="C367" s="3" t="str">
        <x:v>Reported-versus-comparator</x:v>
      </x:c>
      <x:c r="D367" s="3" t="str">
        <x:v>Reported P&lt;.001 versus a CI-derived two-sided diagnostic under df=26.</x:v>
      </x:c>
    </x:row>
    <x:row r="368" ht="180" customHeight="1">
      <x:c r="A368" s="6" t="str">
        <x:v>2018::jama.2018.18020::C012</x:v>
      </x:c>
      <x:c r="B368" s="6" t="n">
        <x:v>2</x:v>
      </x:c>
      <x:c r="C368" s="6" t="str">
        <x:v>Calculation</x:v>
      </x:c>
      <x:c r="D368" s="6" t="str">
        <x:v>Half-width .44 gives SE about .44/2.056 = .214; t ≈ .67/.214 = 3.13; two-sided P about .004, not below .001.</x:v>
      </x:c>
    </x:row>
    <x:row r="369" ht="180" customHeight="1">
      <x:c r="A369" s="3" t="str">
        <x:v>2018::jama.2018.18020::C012</x:v>
      </x:c>
      <x:c r="B369" s="3" t="n">
        <x:v>3</x:v>
      </x:c>
      <x:c r="C369" s="3" t="str">
        <x:v>Alternative source-grounded interpretations</x:v>
      </x:c>
      <x:c r="D369" s="3" t="str">
        <x:v>Row-specific n, paired-difference variability, or exact CI/P calculation may differ but are not printed.</x:v>
      </x:c>
    </x:row>
    <x:row r="370" ht="180" customHeight="1">
      <x:c r="A370" s="6" t="str">
        <x:v>2018::jama.2018.18020::C013</x:v>
      </x:c>
      <x:c r="B370" s="6" t="n">
        <x:v>0</x:v>
      </x:c>
      <x:c r="C370" s="6" t="str">
        <x:v>Source evidence</x:v>
      </x:c>
      <x:c r="D370" s="6" t="str">
        <x:v>The cell prints 0.46 (-0.30 to -1.23).</x:v>
      </x:c>
    </x:row>
    <x:row r="371" ht="180" customHeight="1">
      <x:c r="A371" s="3" t="str">
        <x:v>2018::jama.2018.18020::C013</x:v>
      </x:c>
      <x:c r="B371" s="3" t="n">
        <x:v>1</x:v>
      </x:c>
      <x:c r="C371" s="3" t="str">
        <x:v>Reported-versus-comparator</x:v>
      </x:c>
      <x:c r="D371" s="3" t="str">
        <x:v>Printed estimate 0.46 versus printed endpoints -0.30 and -1.23.</x:v>
      </x:c>
    </x:row>
    <x:row r="372" ht="180" customHeight="1">
      <x:c r="A372" s="6" t="str">
        <x:v>2018::jama.2018.18020::C013</x:v>
      </x:c>
      <x:c r="B372" s="6" t="n">
        <x:v>2</x:v>
      </x:c>
      <x:c r="C372" s="6" t="str">
        <x:v>Calculation</x:v>
      </x:c>
      <x:c r="D372" s="6" t="str">
        <x:v>-0.30 &gt; -1.23; even when ordered as -1.23 to -0.30, 0.46 is outside. The same row gives -2.39 - 0.46 = -2.85 for the observed treatment-effect direction.</x:v>
      </x:c>
    </x:row>
    <x:row r="373" ht="180" customHeight="1">
      <x:c r="A373" s="3" t="str">
        <x:v>2018::jama.2018.18020::C013</x:v>
      </x:c>
      <x:c r="B373" s="3" t="n">
        <x:v>3</x:v>
      </x:c>
      <x:c r="C373" s="3" t="str">
        <x:v>Alternative source-grounded interpretations</x:v>
      </x:c>
      <x:c r="D373" s="3" t="str">
        <x:v>Endpoints may be transposed, or an endpoint sign/value or point estimate may be misprinted.</x:v>
      </x:c>
    </x:row>
    <x:row r="374" ht="180" customHeight="1">
      <x:c r="A374" s="6" t="str">
        <x:v>2018::jama.2018.18020::C014</x:v>
      </x:c>
      <x:c r="B374" s="6" t="n">
        <x:v>0</x:v>
      </x:c>
      <x:c r="C374" s="6" t="str">
        <x:v>Source evidence</x:v>
      </x:c>
      <x:c r="D374" s="6" t="str">
        <x:v>The cell prints 0.07 (-0.67 to 0.01).</x:v>
      </x:c>
    </x:row>
    <x:row r="375" ht="180" customHeight="1">
      <x:c r="A375" s="3" t="str">
        <x:v>2018::jama.2018.18020::C014</x:v>
      </x:c>
      <x:c r="B375" s="3" t="n">
        <x:v>1</x:v>
      </x:c>
      <x:c r="C375" s="3" t="str">
        <x:v>Reported-versus-comparator</x:v>
      </x:c>
      <x:c r="D375" s="3" t="str">
        <x:v>Printed estimate 0.07 versus ordered interval -0.67 to 0.01.</x:v>
      </x:c>
    </x:row>
    <x:row r="376" ht="180" customHeight="1">
      <x:c r="A376" s="6" t="str">
        <x:v>2018::jama.2018.18020::C014</x:v>
      </x:c>
      <x:c r="B376" s="6" t="n">
        <x:v>2</x:v>
      </x:c>
      <x:c r="C376" s="6" t="str">
        <x:v>Calculation</x:v>
      </x:c>
      <x:c r="D376" s="6" t="str">
        <x:v>0.07 &gt; 0.01; the estimate exceeds the printed upper endpoint by 0.06. Same-row arithmetic gives -1.05 - 0.07 = -1.12 under the observed table direction.</x:v>
      </x:c>
    </x:row>
    <x:row r="377" ht="180" customHeight="1">
      <x:c r="A377" s="3" t="str">
        <x:v>2018::jama.2018.18020::C014</x:v>
      </x:c>
      <x:c r="B377" s="3" t="n">
        <x:v>3</x:v>
      </x:c>
      <x:c r="C377" s="3" t="str">
        <x:v>Alternative source-grounded interpretations</x:v>
      </x:c>
      <x:c r="D377" s="3" t="str">
        <x:v>An endpoint digit, estimate sign/value, or other table field may be transcribed incorrectly.</x:v>
      </x:c>
    </x:row>
    <x:row r="378" ht="180" customHeight="1">
      <x:c r="A378" s="6" t="str">
        <x:v>2018::jama.2018.6496::C001</x:v>
      </x:c>
      <x:c r="B378" s="6" t="n">
        <x:v>0</x:v>
      </x:c>
      <x:c r="C378" s="6" t="str">
        <x:v>Source evidence</x:v>
      </x:c>
      <x:c r="D378" s="6" t="str">
        <x:v>Table 3 prints all-patient medians of 38 (29 to 51) and 36 (25 to 54) seconds, difference 1 (4 to -1), and P=.24. The main methods name Hodges-Lehmann median between-group differences with associated 95% confidence intervals. The clustered eTable prints 1 s (-1 s to 4 s), P=.95 and states that inferential columns were recalculated for physician clustering.</x:v>
      </x:c>
    </x:row>
    <x:row r="379" ht="180" customHeight="1">
      <x:c r="A379" s="3" t="str">
        <x:v>2018::jama.2018.6496::C001</x:v>
      </x:c>
      <x:c r="B379" s="3" t="n">
        <x:v>1</x:v>
      </x:c>
      <x:c r="C379" s="3" t="str">
        <x:v>Reported-versus-comparator</x:v>
      </x:c>
      <x:c r="D379" s="3" t="str">
        <x:v>The reported main-table interval is 4 to -1; the applicable lower-to-upper display convention requires a lower endpoint not greater than the upper endpoint. The clustered interval is contextual distinct-model evidence, not an unclustered replacement.</x:v>
      </x:c>
    </x:row>
    <x:row r="380" ht="180" customHeight="1">
      <x:c r="A380" s="6" t="str">
        <x:v>2018::jama.2018.6496::C001</x:v>
      </x:c>
      <x:c r="B380" s="6" t="n">
        <x:v>2</x:v>
      </x:c>
      <x:c r="C380" s="6" t="str">
        <x:v>Calculation</x:v>
      </x:c>
      <x:c r="D380" s="6" t="str">
        <x:v>4 &gt; -1; the displayed sequence is decreasing. Reordering to -1 to 4 is only a diagnostic possibility, not an assigned correction.</x:v>
      </x:c>
    </x:row>
    <x:row r="381" ht="180" customHeight="1">
      <x:c r="A381" s="3" t="str">
        <x:v>2018::jama.2018.6496::C001</x:v>
      </x:c>
      <x:c r="B381" s="3" t="n">
        <x:v>3</x:v>
      </x:c>
      <x:c r="C381" s="3" t="str">
        <x:v>Alternative source-grounded interpretations</x:v>
      </x:c>
      <x:c r="D381" s="3" t="str">
        <x:v>An unstated reverse-order convention or source-specific transcription could explain the display. The clustered result supports the possibility of a reversed display, but its stated recalculation for physician clustering means it does not establish the intended unclustered values.</x:v>
      </x:c>
    </x:row>
    <x:row r="382" ht="180" customHeight="1">
      <x:c r="A382" s="6" t="str">
        <x:v>2018::jama.2018.6496::C002</x:v>
      </x:c>
      <x:c r="B382" s="6" t="n">
        <x:v>0</x:v>
      </x:c>
      <x:c r="C382" s="6" t="str">
        <x:v>Source evidence</x:v>
      </x:c>
      <x:c r="D382" s="6" t="str">
        <x:v>Table 3 reports ETT+stylet first-attempt success without hypoxemia as 282/366 (77%). Table 5 reports ETT+stylet hypoxemia as 50/364 (14%). Both footnotes invoke matching hypoxemia threshold/window language and unavailable valid waveform; the Bougie denominators are 371 in both linked rows. The protocol defines success without hypoxemia as first-attempt success plus no hypoxemia.</x:v>
      </x:c>
    </x:row>
    <x:row r="383" ht="180" customHeight="1">
      <x:c r="A383" s="3" t="str">
        <x:v>2018::jama.2018.6496::C002</x:v>
      </x:c>
      <x:c r="B383" s="3" t="n">
        <x:v>1</x:v>
      </x:c>
      <x:c r="C383" s="3" t="str">
        <x:v>Reported-versus-comparator</x:v>
      </x:c>
      <x:c r="D383" s="3" t="str">
        <x:v>The ETT+stylet denominators are 366 for the composite and 364 for hypoxemia alone. Denominator identity is expected only if both rows require an observed hypoxemia classification for every denominator member; the printed sources do not state the implemented denominator-construction rule.</x:v>
      </x:c>
    </x:row>
    <x:row r="384" ht="180" customHeight="1">
      <x:c r="A384" s="6" t="str">
        <x:v>2018::jama.2018.6496::C002</x:v>
      </x:c>
      <x:c r="B384" s="6" t="n">
        <x:v>2</x:v>
      </x:c>
      <x:c r="C384" s="6" t="str">
        <x:v>Calculation</x:v>
      </x:c>
      <x:c r="D384" s="6" t="str">
        <x:v>366 - 364 = 2. Relative to the randomized ETT+stylet total, 376 - 366 = 10 and 376 - 364 = 12. Aggregate counts cannot identify the two patients.</x:v>
      </x:c>
    </x:row>
    <x:row r="385" ht="180" customHeight="1">
      <x:c r="A385" s="3" t="str">
        <x:v>2018::jama.2018.6496::C002</x:v>
      </x:c>
      <x:c r="B385" s="3" t="n">
        <x:v>3</x:v>
      </x:c>
      <x:c r="C385" s="3" t="str">
        <x:v>Alternative source-grounded interpretations</x:v>
      </x:c>
      <x:c r="D385" s="3" t="str">
        <x:v>A patient known to have failed the first attempt may be deterministically classifiable as not achieving the composite without a usable waveform, while lacking a hypoxemia-only classification. Outcome-specific missing-data handling could therefore make the composite denominator larger. The aggregate sources do not show whether either explanation accounts for these two patients.</x:v>
      </x:c>
    </x:row>
    <x:row r="386" ht="180" customHeight="1">
      <x:c r="A386" s="6" t="str">
        <x:v>2018::jama.2018.6496::C003</x:v>
      </x:c>
      <x:c r="B386" s="6" t="n">
        <x:v>0</x:v>
      </x:c>
      <x:c r="C386" s="6" t="str">
        <x:v>Source evidence</x:v>
      </x:c>
      <x:c r="D386" s="6" t="str">
        <x:v>DOC-002 states that hypoxemia observation begins at first-attempt start and ends one minute after ETT-cuff inflation; page 10 repeats the cuff-inflation endpoint and 20-second recording schedule. DOC-001 Tables 3 and 5 and DOC-003 eTable 1 describe hypoxemia during or within one minute after completion of the intubation attempt. DOC-003 defines attempt 1 end as blade removal.</x:v>
      </x:c>
    </x:row>
    <x:row r="387" ht="180" customHeight="1">
      <x:c r="A387" s="3" t="str">
        <x:v>2018::jama.2018.6496::C003</x:v>
      </x:c>
      <x:c r="B387" s="3" t="n">
        <x:v>1</x:v>
      </x:c>
      <x:c r="C387" s="3" t="str">
        <x:v>Reported-versus-comparator</x:v>
      </x:c>
      <x:c r="D387" s="3" t="str">
        <x:v>The threshold and starting event agree. The planned endpoint is one minute after cuff inflation; the published endpoint is one minute after attempt completion/blade removal. These are nonidentical named procedural events.</x:v>
      </x:c>
    </x:row>
    <x:row r="388" ht="180" customHeight="1">
      <x:c r="A388" s="6" t="str">
        <x:v>2018::jama.2018.6496::C003</x:v>
      </x:c>
      <x:c r="B388" s="6" t="n">
        <x:v>2</x:v>
      </x:c>
      <x:c r="C388" s="6" t="str">
        <x:v>Calculation</x:v>
      </x:c>
      <x:c r="D388" s="6" t="str">
        <x:v>No numeric recalculation is applicable. The reproducible comparison is one minute after ETT-cuff inflation versus one minute after attempt completion/blade removal.</x:v>
      </x:c>
    </x:row>
    <x:row r="389" ht="180" customHeight="1">
      <x:c r="A389" s="3" t="str">
        <x:v>2018::jama.2018.6496::C003</x:v>
      </x:c>
      <x:c r="B389" s="3" t="n">
        <x:v>3</x:v>
      </x:c>
      <x:c r="C389" s="3" t="str">
        <x:v>Alternative source-grounded interpretations</x:v>
      </x:c>
      <x:c r="D389" s="3" t="str">
        <x:v>“Attempt completion” could be shorthand for cuff inflation, or the events could have occurred close together in practice. The data form explicitly defines attempt end as blade removal, so operational equivalence is not established by the supplied package.</x:v>
      </x:c>
    </x:row>
    <x:row r="390" ht="180" customHeight="1">
      <x:c r="A390" s="6" t="str">
        <x:v>2018::jama.2018.6496::C004</x:v>
      </x:c>
      <x:c r="B390" s="6" t="n">
        <x:v>0</x:v>
      </x:c>
      <x:c r="C390" s="6" t="str">
        <x:v>Source evidence</x:v>
      </x:c>
      <x:c r="D390" s="6" t="str">
        <x:v>The protocol defines first-attempt time to intubation from attempt start through ETT-cuff inflation with the tube in the trachea. The article and eTable define duration from laryngoscope-blade insertion through blade removal and report all-patient medians of 38 versus 36 seconds. The data form also identifies blade removal as attempt end.</x:v>
      </x:c>
    </x:row>
    <x:row r="391" ht="180" customHeight="1">
      <x:c r="A391" s="3" t="str">
        <x:v>2018::jama.2018.6496::C004</x:v>
      </x:c>
      <x:c r="B391" s="3" t="n">
        <x:v>1</x:v>
      </x:c>
      <x:c r="C391" s="3" t="str">
        <x:v>Reported-versus-comparator</x:v>
      </x:c>
      <x:c r="D391" s="3" t="str">
        <x:v>The start event is compatible. The planned endpoint is cuff inflation; the published endpoint is blade removal. The latter can define a different time scale and a duration for failed attempts.</x:v>
      </x:c>
    </x:row>
    <x:row r="392" ht="180" customHeight="1">
      <x:c r="A392" s="6" t="str">
        <x:v>2018::jama.2018.6496::C004</x:v>
      </x:c>
      <x:c r="B392" s="6" t="n">
        <x:v>2</x:v>
      </x:c>
      <x:c r="C392" s="6" t="str">
        <x:v>Calculation</x:v>
      </x:c>
      <x:c r="D392" s="6" t="str">
        <x:v>No numeric recalculation is applicable. The patient-level difference would be time(blade removal) - time(cuff inflation), but neither paired timestamps nor a defined equivalence are supplied.</x:v>
      </x:c>
    </x:row>
    <x:row r="393" ht="180" customHeight="1">
      <x:c r="A393" s="3" t="str">
        <x:v>2018::jama.2018.6496::C004</x:v>
      </x:c>
      <x:c r="B393" s="3" t="n">
        <x:v>3</x:v>
      </x:c>
      <x:c r="C393" s="3" t="str">
        <x:v>Alternative source-grounded interpretations</x:v>
      </x:c>
      <x:c r="D393" s="3" t="str">
        <x:v>The final analysis may deliberately use blade removal so failed attempts receive a duration, or the labels may refer to a harmonized timing procedure not described in the sources. Repetition in article, supplement, and form supports use of the published operational measure but does not document its relation to the protocol endpoint.</x:v>
      </x:c>
    </x:row>
    <x:row r="394" ht="180" customHeight="1">
      <x:c r="A394" s="6" t="str">
        <x:v>2018::jama.2018.8802::C001</x:v>
      </x:c>
      <x:c r="B394" s="6" t="n">
        <x:v>0</x:v>
      </x:c>
      <x:c r="C394" s="6" t="str">
        <x:v>Source evidence</x:v>
      </x:c>
      <x:c r="D394" s="6" t="str">
        <x:v>The direct PDF prints intervention Patients, No. = 2400 and the row cell 311 (13.05).</x:v>
      </x:c>
    </x:row>
    <x:row r="395" ht="180" customHeight="1">
      <x:c r="A395" s="3" t="str">
        <x:v>2018::jama.2018.8802::C001</x:v>
      </x:c>
      <x:c r="B395" s="3" t="n">
        <x:v>1</x:v>
      </x:c>
      <x:c r="C395" s="3" t="str">
        <x:v>Reported-versus-comparator</x:v>
      </x:c>
      <x:c r="D395" s="3" t="str">
        <x:v>Reported 13.05% versus 311/2400.</x:v>
      </x:c>
    </x:row>
    <x:row r="396" ht="180" customHeight="1">
      <x:c r="A396" s="6" t="str">
        <x:v>2018::jama.2018.8802::C001</x:v>
      </x:c>
      <x:c r="B396" s="6" t="n">
        <x:v>2</x:v>
      </x:c>
      <x:c r="C396" s="6" t="str">
        <x:v>Calculation</x:v>
      </x:c>
      <x:c r="D396" s="6" t="str">
        <x:v>311 / 2400 × 100 = 12.9583%, which rounds to 13.0% at one decimal or 12.96% at two decimals, not 13.05%.</x:v>
      </x:c>
    </x:row>
    <x:row r="397" ht="180" customHeight="1">
      <x:c r="A397" s="3" t="str">
        <x:v>2018::jama.2018.8802::C001</x:v>
      </x:c>
      <x:c r="B397" s="3" t="n">
        <x:v>3</x:v>
      </x:c>
      <x:c r="C397" s="3" t="str">
        <x:v>Alternative source-grounded interpretations</x:v>
      </x:c>
      <x:c r="D397" s="3" t="str">
        <x:v>A row-specific denominator or nonstandard calculation may have been used, but neither is supplied.</x:v>
      </x:c>
    </x:row>
    <x:row r="398" ht="180" customHeight="1">
      <x:c r="A398" s="6" t="str">
        <x:v>2018::jama.2018.8802::C002</x:v>
      </x:c>
      <x:c r="B398" s="6" t="n">
        <x:v>0</x:v>
      </x:c>
      <x:c r="C398" s="6" t="str">
        <x:v>Source evidence</x:v>
      </x:c>
      <x:c r="D398" s="6" t="str">
        <x:v>The result labels print &gt;100 mg/dL; both supplied definitions print ≥100 mg/dL with additional eligibility conditions.</x:v>
      </x:c>
    </x:row>
    <x:row r="399" ht="180" customHeight="1">
      <x:c r="A399" s="3" t="str">
        <x:v>2018::jama.2018.8802::C002</x:v>
      </x:c>
      <x:c r="B399" s="3" t="n">
        <x:v>1</x:v>
      </x:c>
      <x:c r="C399" s="3" t="str">
        <x:v>Reported-versus-comparator</x:v>
      </x:c>
      <x:c r="D399" s="3" t="str">
        <x:v>A strict threshold excludes LDL exactly 100 mg/dL; an inclusive threshold includes it.</x:v>
      </x:c>
    </x:row>
    <x:row r="400" ht="180" customHeight="1">
      <x:c r="A400" s="6" t="str">
        <x:v>2018::jama.2018.8802::C002</x:v>
      </x:c>
      <x:c r="B400" s="6" t="n">
        <x:v>2</x:v>
      </x:c>
      <x:c r="C400" s="6" t="str">
        <x:v>Calculation</x:v>
      </x:c>
      <x:c r="D400" s="6" t="str">
        <x:v>&gt;100 ≠ ≥100; no rounding tolerance applies.</x:v>
      </x:c>
    </x:row>
    <x:row r="401" ht="180" customHeight="1">
      <x:c r="A401" s="3" t="str">
        <x:v>2018::jama.2018.8802::C002</x:v>
      </x:c>
      <x:c r="B401" s="3" t="n">
        <x:v>3</x:v>
      </x:c>
      <x:c r="C401" s="3" t="str">
        <x:v>Alternative source-grounded interpretations</x:v>
      </x:c>
      <x:c r="D401" s="3" t="str">
        <x:v>The result-row wording may be abbreviated while the formal inclusive definition governed eligibility; the supplied package does not state this.</x:v>
      </x:c>
    </x:row>
    <x:row r="402" ht="180" customHeight="1">
      <x:c r="A402" s="6" t="str">
        <x:v>2018::jama.2018.8802::C003</x:v>
      </x:c>
      <x:c r="B402" s="6" t="n">
        <x:v>0</x:v>
      </x:c>
      <x:c r="C402" s="6" t="str">
        <x:v>Source evidence</x:v>
      </x:c>
      <x:c r="D402" s="6" t="str">
        <x:v>The cell under No. / Total (%) prints 2141/2400 (89.3).</x:v>
      </x:c>
    </x:row>
    <x:row r="403" ht="180" customHeight="1">
      <x:c r="A403" s="3" t="str">
        <x:v>2018::jama.2018.8802::C003</x:v>
      </x:c>
      <x:c r="B403" s="3" t="n">
        <x:v>1</x:v>
      </x:c>
      <x:c r="C403" s="3" t="str">
        <x:v>Reported-versus-comparator</x:v>
      </x:c>
      <x:c r="D403" s="3" t="str">
        <x:v>Reported 89.3% versus fraction-derived 89.2083%.</x:v>
      </x:c>
    </x:row>
    <x:row r="404" ht="180" customHeight="1">
      <x:c r="A404" s="6" t="str">
        <x:v>2018::jama.2018.8802::C003</x:v>
      </x:c>
      <x:c r="B404" s="6" t="n">
        <x:v>2</x:v>
      </x:c>
      <x:c r="C404" s="6" t="str">
        <x:v>Calculation</x:v>
      </x:c>
      <x:c r="D404" s="6" t="str">
        <x:v>2141 / 2400 × 100 = 89.2083%, which rounds to 89.2%; the nearest-tenth interval for 89.3% begins at 89.25%.</x:v>
      </x:c>
    </x:row>
    <x:row r="405" ht="180" customHeight="1">
      <x:c r="A405" s="3" t="str">
        <x:v>2018::jama.2018.8802::C003</x:v>
      </x:c>
      <x:c r="B405" s="3" t="n">
        <x:v>3</x:v>
      </x:c>
      <x:c r="C405" s="3" t="str">
        <x:v>Alternative source-grounded interpretations</x:v>
      </x:c>
      <x:c r="D405" s="3" t="str">
        <x:v>No alternative denominator or rounding convention is supplied; the header defines the displayed fraction.</x:v>
      </x:c>
    </x:row>
    <x:row r="406" ht="180" customHeight="1">
      <x:c r="A406" s="6" t="str">
        <x:v>2018::jama.2018.8802::C004</x:v>
      </x:c>
      <x:c r="B406" s="6" t="n">
        <x:v>0</x:v>
      </x:c>
      <x:c r="C406" s="6" t="str">
        <x:v>Source evidence</x:v>
      </x:c>
      <x:c r="D406" s="6" t="str">
        <x:v>The direct PDF prints 39/174 (22.5) beneath No. / Total (%).</x:v>
      </x:c>
    </x:row>
    <x:row r="407" ht="180" customHeight="1">
      <x:c r="A407" s="3" t="str">
        <x:v>2018::jama.2018.8802::C004</x:v>
      </x:c>
      <x:c r="B407" s="3" t="n">
        <x:v>1</x:v>
      </x:c>
      <x:c r="C407" s="3" t="str">
        <x:v>Reported-versus-comparator</x:v>
      </x:c>
      <x:c r="D407" s="3" t="str">
        <x:v>Reported 22.5% versus fraction-derived 22.4138%.</x:v>
      </x:c>
    </x:row>
    <x:row r="408" ht="180" customHeight="1">
      <x:c r="A408" s="6" t="str">
        <x:v>2018::jama.2018.8802::C004</x:v>
      </x:c>
      <x:c r="B408" s="6" t="n">
        <x:v>2</x:v>
      </x:c>
      <x:c r="C408" s="6" t="str">
        <x:v>Calculation</x:v>
      </x:c>
      <x:c r="D408" s="6" t="str">
        <x:v>39 / 174 × 100 = 22.4138%, which rounds to 22.4%, below the 22.45% lower boundary for 22.5%.</x:v>
      </x:c>
    </x:row>
    <x:row r="409" ht="180" customHeight="1">
      <x:c r="A409" s="3" t="str">
        <x:v>2018::jama.2018.8802::C004</x:v>
      </x:c>
      <x:c r="B409" s="3" t="n">
        <x:v>3</x:v>
      </x:c>
      <x:c r="C409" s="3" t="str">
        <x:v>Alternative source-grounded interpretations</x:v>
      </x:c>
      <x:c r="D409" s="3" t="str">
        <x:v>No alternative denominator or rounding convention is supplied.</x:v>
      </x:c>
    </x:row>
    <x:row r="410" ht="180" customHeight="1">
      <x:c r="A410" s="6" t="str">
        <x:v>2018::jama.2018.8802::C005</x:v>
      </x:c>
      <x:c r="B410" s="6" t="n">
        <x:v>0</x:v>
      </x:c>
      <x:c r="C410" s="6" t="str">
        <x:v>Source evidence</x:v>
      </x:c>
      <x:c r="D410" s="6" t="str">
        <x:v>The direct PDF prints 1439/1586 (90.8) beneath No. / Total (%).</x:v>
      </x:c>
    </x:row>
    <x:row r="411" ht="180" customHeight="1">
      <x:c r="A411" s="3" t="str">
        <x:v>2018::jama.2018.8802::C005</x:v>
      </x:c>
      <x:c r="B411" s="3" t="n">
        <x:v>1</x:v>
      </x:c>
      <x:c r="C411" s="3" t="str">
        <x:v>Reported-versus-comparator</x:v>
      </x:c>
      <x:c r="D411" s="3" t="str">
        <x:v>Reported 90.8% versus fraction-derived 90.7314%.</x:v>
      </x:c>
    </x:row>
    <x:row r="412" ht="180" customHeight="1">
      <x:c r="A412" s="6" t="str">
        <x:v>2018::jama.2018.8802::C005</x:v>
      </x:c>
      <x:c r="B412" s="6" t="n">
        <x:v>2</x:v>
      </x:c>
      <x:c r="C412" s="6" t="str">
        <x:v>Calculation</x:v>
      </x:c>
      <x:c r="D412" s="6" t="str">
        <x:v>1439 / 1586 × 100 = 90.7314%, which rounds to 90.7%, below the 90.75% lower boundary for 90.8%.</x:v>
      </x:c>
    </x:row>
    <x:row r="413" ht="180" customHeight="1">
      <x:c r="A413" s="3" t="str">
        <x:v>2018::jama.2018.8802::C005</x:v>
      </x:c>
      <x:c r="B413" s="3" t="n">
        <x:v>3</x:v>
      </x:c>
      <x:c r="C413" s="3" t="str">
        <x:v>Alternative source-grounded interpretations</x:v>
      </x:c>
      <x:c r="D413" s="3" t="str">
        <x:v>No alternative denominator or rounding convention is supplied; C002 is a separate label/definition comparator.</x:v>
      </x:c>
    </x:row>
    <x:row r="414" ht="180" customHeight="1">
      <x:c r="A414" s="6" t="str">
        <x:v>2018::jama.2018.8802::C006</x:v>
      </x:c>
      <x:c r="B414" s="6" t="n">
        <x:v>0</x:v>
      </x:c>
      <x:c r="C414" s="6" t="str">
        <x:v>Source evidence</x:v>
      </x:c>
      <x:c r="D414" s="6" t="str">
        <x:v>The direct PDF prints 557/688 (81.1) beneath No. / Total (%).</x:v>
      </x:c>
    </x:row>
    <x:row r="415" ht="180" customHeight="1">
      <x:c r="A415" s="3" t="str">
        <x:v>2018::jama.2018.8802::C006</x:v>
      </x:c>
      <x:c r="B415" s="3" t="n">
        <x:v>1</x:v>
      </x:c>
      <x:c r="C415" s="3" t="str">
        <x:v>Reported-versus-comparator</x:v>
      </x:c>
      <x:c r="D415" s="3" t="str">
        <x:v>Reported 81.1% versus fraction-derived 80.9593%.</x:v>
      </x:c>
    </x:row>
    <x:row r="416" ht="180" customHeight="1">
      <x:c r="A416" s="6" t="str">
        <x:v>2018::jama.2018.8802::C006</x:v>
      </x:c>
      <x:c r="B416" s="6" t="n">
        <x:v>2</x:v>
      </x:c>
      <x:c r="C416" s="6" t="str">
        <x:v>Calculation</x:v>
      </x:c>
      <x:c r="D416" s="6" t="str">
        <x:v>557 / 688 × 100 = 80.9593%, which rounds to 81.0%, below the 81.05% lower boundary for 81.1%.</x:v>
      </x:c>
    </x:row>
    <x:row r="417" ht="180" customHeight="1">
      <x:c r="A417" s="3" t="str">
        <x:v>2018::jama.2018.8802::C006</x:v>
      </x:c>
      <x:c r="B417" s="3" t="n">
        <x:v>3</x:v>
      </x:c>
      <x:c r="C417" s="3" t="str">
        <x:v>Alternative source-grounded interpretations</x:v>
      </x:c>
      <x:c r="D417" s="3" t="str">
        <x:v>No alternative denominator or rounding convention is supplied.</x:v>
      </x:c>
    </x:row>
    <x:row r="418" ht="180" customHeight="1">
      <x:c r="A418" s="6" t="str">
        <x:v>2018::jama.2018.8802::C007</x:v>
      </x:c>
      <x:c r="B418" s="6" t="n">
        <x:v>0</x:v>
      </x:c>
      <x:c r="C418" s="6" t="str">
        <x:v>Source evidence</x:v>
      </x:c>
      <x:c r="D418" s="6" t="str">
        <x:v>Table 1 prints 40 hospitals and 801 patients in the baseline-survey column; the eAppendix prints 20 patients per cluster were prospectively included.</x:v>
      </x:c>
    </x:row>
    <x:row r="419" ht="180" customHeight="1">
      <x:c r="A419" s="3" t="str">
        <x:v>2018::jama.2018.8802::C007</x:v>
      </x:c>
      <x:c r="B419" s="3" t="n">
        <x:v>1</x:v>
      </x:c>
      <x:c r="C419" s="3" t="str">
        <x:v>Reported-versus-comparator</x:v>
      </x:c>
      <x:c r="D419" s="3" t="str">
        <x:v>Reported total 801 versus 20 × 40 = 800 under the stated same-survey, exact-count interpretation.</x:v>
      </x:c>
    </x:row>
    <x:row r="420" ht="180" customHeight="1">
      <x:c r="A420" s="6" t="str">
        <x:v>2018::jama.2018.8802::C007</x:v>
      </x:c>
      <x:c r="B420" s="6" t="n">
        <x:v>2</x:v>
      </x:c>
      <x:c r="C420" s="6" t="str">
        <x:v>Calculation</x:v>
      </x:c>
      <x:c r="D420" s="6" t="str">
        <x:v>20 × 40 = 800; the difference from the Table 1 total is one patient.</x:v>
      </x:c>
    </x:row>
    <x:row r="421" ht="180" customHeight="1">
      <x:c r="A421" s="3" t="str">
        <x:v>2018::jama.2018.8802::C007</x:v>
      </x:c>
      <x:c r="B421" s="3" t="n">
        <x:v>3</x:v>
      </x:c>
      <x:c r="C421" s="3" t="str">
        <x:v>Alternative source-grounded interpretations</x:v>
      </x:c>
      <x:c r="D421" s="3" t="str">
        <x:v>Twenty may be an operational target rather than exact realized count, or one cluster may have contributed 21 patients; neither qualification is supplied.</x:v>
      </x:c>
    </x:row>
    <x:row r="422" ht="180" customHeight="1">
      <x:c r="A422" s="6" t="str">
        <x:v>2018::jama.2018.8802::C008</x:v>
      </x:c>
      <x:c r="B422" s="6" t="n">
        <x:v>0</x:v>
      </x:c>
      <x:c r="C422" s="6" t="str">
        <x:v>Source evidence</x:v>
      </x:c>
      <x:c r="D422" s="6" t="str">
        <x:v>Table 3 prints adjusted absolute difference −0.7% with 95% CI −1.1% to 0.2% and adjacent .009; page 4 describes adjusted absolute differences, 95% CIs, and two-sided tests.</x:v>
      </x:c>
    </x:row>
    <x:row r="423" ht="180" customHeight="1">
      <x:c r="A423" s="3" t="str">
        <x:v>2018::jama.2018.8802::C008</x:v>
      </x:c>
      <x:c r="B423" s="3" t="n">
        <x:v>1</x:v>
      </x:c>
      <x:c r="C423" s="3" t="str">
        <x:v>Reported-versus-comparator</x:v>
      </x:c>
      <x:c r="D423" s="3" t="str">
        <x:v>The CI includes zero, while .009 &lt; .05 for the corresponding adjacent absolute-difference pairing.</x:v>
      </x:c>
    </x:row>
    <x:row r="424" ht="180" customHeight="1">
      <x:c r="A424" s="6" t="str">
        <x:v>2018::jama.2018.8802::C008</x:v>
      </x:c>
      <x:c r="B424" s="6" t="n">
        <x:v>2</x:v>
      </x:c>
      <x:c r="C424" s="6" t="str">
        <x:v>Calculation</x:v>
      </x:c>
      <x:c r="D424" s="6" t="str">
        <x:v>−1.1 &lt; 0 &lt; 0.2, so zero is inside the printed CI; .009 &lt; .05.</x:v>
      </x:c>
    </x:row>
    <x:row r="425" ht="180" customHeight="1">
      <x:c r="A425" s="3" t="str">
        <x:v>2018::jama.2018.8802::C008</x:v>
      </x:c>
      <x:c r="B425" s="3" t="n">
        <x:v>3</x:v>
      </x:c>
      <x:c r="C425" s="3" t="str">
        <x:v>Alternative source-grounded interpretations</x:v>
      </x:c>
      <x:c r="D425" s="3" t="str">
        <x:v>The P value may use a different estimand, model, or inferential construction, but the table places it adjacent to the absolute-difference column and supplies no distinction.</x:v>
      </x:c>
    </x:row>
    <x:row r="426" ht="180" customHeight="1">
      <x:c r="A426" s="6" t="str">
        <x:v>2018::jama.2018.9128::C001</x:v>
      </x:c>
      <x:c r="B426" s="6" t="n">
        <x:v>0</x:v>
      </x:c>
      <x:c r="C426" s="6" t="str">
        <x:v>Source evidence</x:v>
      </x:c>
      <x:c r="D426" s="6" t="str">
        <x:v>Figure 1 prints 288 BMI measured at 3 mo for intervention and defines the retained count as children for whom BMI was collected. Figure 2 and eTable 1 each print intervention 279 at 3 months.</x:v>
      </x:c>
    </x:row>
    <x:row r="427" ht="180" customHeight="1">
      <x:c r="A427" s="3" t="str">
        <x:v>2018::jama.2018.9128::C001</x:v>
      </x:c>
      <x:c r="B427" s="3" t="n">
        <x:v>1</x:v>
      </x:c>
      <x:c r="C427" s="3" t="str">
        <x:v>Reported-versus-comparator</x:v>
      </x:c>
      <x:c r="D427" s="3" t="str">
        <x:v>288 versus 279 for intervention, 3 months; Figure 2 and eTable 1 agree with each other.</x:v>
      </x:c>
    </x:row>
    <x:row r="428" ht="180" customHeight="1">
      <x:c r="A428" s="6" t="str">
        <x:v>2018::jama.2018.9128::C001</x:v>
      </x:c>
      <x:c r="B428" s="6" t="n">
        <x:v>2</x:v>
      </x:c>
      <x:c r="C428" s="6" t="str">
        <x:v>Calculation</x:v>
      </x:c>
      <x:c r="D428" s="6" t="str">
        <x:v>288 - 279 = 9.</x:v>
      </x:c>
    </x:row>
    <x:row r="429" ht="180" customHeight="1">
      <x:c r="A429" s="3" t="str">
        <x:v>2018::jama.2018.9128::C001</x:v>
      </x:c>
      <x:c r="B429" s="3" t="n">
        <x:v>3</x:v>
      </x:c>
      <x:c r="C429" s="3" t="str">
        <x:v>Alternative source-grounded interpretations</x:v>
      </x:c>
      <x:c r="D429" s="3" t="str">
        <x:v>Figure 1 may count all collected measurements while Figure 2/eTable 1 may use a cleaned descriptive subset; no supplied caption or method defines that distinction.</x:v>
      </x:c>
    </x:row>
    <x:row r="430" ht="180" customHeight="1">
      <x:c r="A430" s="6" t="str">
        <x:v>2018::jama.2018.9128::C002</x:v>
      </x:c>
      <x:c r="B430" s="6" t="n">
        <x:v>0</x:v>
      </x:c>
      <x:c r="C430" s="6" t="str">
        <x:v>Source evidence</x:v>
      </x:c>
      <x:c r="D430" s="6" t="str">
        <x:v>Figure 1 prints 277 BMI measured at 3 mo for control; Figure 2 and eTable 1 each print control 271 at 3 months.</x:v>
      </x:c>
    </x:row>
    <x:row r="431" ht="180" customHeight="1">
      <x:c r="A431" s="3" t="str">
        <x:v>2018::jama.2018.9128::C002</x:v>
      </x:c>
      <x:c r="B431" s="3" t="n">
        <x:v>1</x:v>
      </x:c>
      <x:c r="C431" s="3" t="str">
        <x:v>Reported-versus-comparator</x:v>
      </x:c>
      <x:c r="D431" s="3" t="str">
        <x:v>277 versus 271 for control, 3 months.</x:v>
      </x:c>
    </x:row>
    <x:row r="432" ht="180" customHeight="1">
      <x:c r="A432" s="6" t="str">
        <x:v>2018::jama.2018.9128::C002</x:v>
      </x:c>
      <x:c r="B432" s="6" t="n">
        <x:v>2</x:v>
      </x:c>
      <x:c r="C432" s="6" t="str">
        <x:v>Calculation</x:v>
      </x:c>
      <x:c r="D432" s="6" t="str">
        <x:v>277 - 271 = 6.</x:v>
      </x:c>
    </x:row>
    <x:row r="433" ht="180" customHeight="1">
      <x:c r="A433" s="3" t="str">
        <x:v>2018::jama.2018.9128::C002</x:v>
      </x:c>
      <x:c r="B433" s="3" t="n">
        <x:v>3</x:v>
      </x:c>
      <x:c r="C433" s="3" t="str">
        <x:v>Alternative source-grounded interpretations</x:v>
      </x:c>
      <x:c r="D433" s="3" t="str">
        <x:v>Figure 2/eTable 1 may be a cleaned descriptive subset, but the supplied package does not define a cleaning or inclusion rule.</x:v>
      </x:c>
    </x:row>
    <x:row r="434" ht="180" customHeight="1">
      <x:c r="A434" s="6" t="str">
        <x:v>2018::jama.2018.9128::C003</x:v>
      </x:c>
      <x:c r="B434" s="6" t="n">
        <x:v>0</x:v>
      </x:c>
      <x:c r="C434" s="6" t="str">
        <x:v>Source evidence</x:v>
      </x:c>
      <x:c r="D434" s="6" t="str">
        <x:v>Figure 1 prints intervention 282 BMI measured at 9 mo; Figure 2 and eTable 1 each print 280.</x:v>
      </x:c>
    </x:row>
    <x:row r="435" ht="180" customHeight="1">
      <x:c r="A435" s="3" t="str">
        <x:v>2018::jama.2018.9128::C003</x:v>
      </x:c>
      <x:c r="B435" s="3" t="n">
        <x:v>1</x:v>
      </x:c>
      <x:c r="C435" s="3" t="str">
        <x:v>Reported-versus-comparator</x:v>
      </x:c>
      <x:c r="D435" s="3" t="str">
        <x:v>282 versus 280 for intervention, 9 months.</x:v>
      </x:c>
    </x:row>
    <x:row r="436" ht="180" customHeight="1">
      <x:c r="A436" s="6" t="str">
        <x:v>2018::jama.2018.9128::C003</x:v>
      </x:c>
      <x:c r="B436" s="6" t="n">
        <x:v>2</x:v>
      </x:c>
      <x:c r="C436" s="6" t="str">
        <x:v>Calculation</x:v>
      </x:c>
      <x:c r="D436" s="6" t="str">
        <x:v>282 - 280 = 2.</x:v>
      </x:c>
    </x:row>
    <x:row r="437" ht="180" customHeight="1">
      <x:c r="A437" s="3" t="str">
        <x:v>2018::jama.2018.9128::C003</x:v>
      </x:c>
      <x:c r="B437" s="3" t="n">
        <x:v>3</x:v>
      </x:c>
      <x:c r="C437" s="3" t="str">
        <x:v>Alternative source-grounded interpretations</x:v>
      </x:c>
      <x:c r="D437" s="3" t="str">
        <x:v>A post-collection analytic or descriptive subset could explain the difference, but the package supplies no definition.</x:v>
      </x:c>
    </x:row>
    <x:row r="438" ht="180" customHeight="1">
      <x:c r="A438" s="6" t="str">
        <x:v>2018::jama.2018.9128::C004</x:v>
      </x:c>
      <x:c r="B438" s="6" t="n">
        <x:v>0</x:v>
      </x:c>
      <x:c r="C438" s="6" t="str">
        <x:v>Source evidence</x:v>
      </x:c>
      <x:c r="D438" s="6" t="str">
        <x:v>Figure 1 prints intervention 275 BMI measured at 12 mo; Figure 2 and eTable 1 each print 274.</x:v>
      </x:c>
    </x:row>
    <x:row r="439" ht="180" customHeight="1">
      <x:c r="A439" s="3" t="str">
        <x:v>2018::jama.2018.9128::C004</x:v>
      </x:c>
      <x:c r="B439" s="3" t="n">
        <x:v>1</x:v>
      </x:c>
      <x:c r="C439" s="3" t="str">
        <x:v>Reported-versus-comparator</x:v>
      </x:c>
      <x:c r="D439" s="3" t="str">
        <x:v>275 versus 274 for intervention, 12 months.</x:v>
      </x:c>
    </x:row>
    <x:row r="440" ht="180" customHeight="1">
      <x:c r="A440" s="6" t="str">
        <x:v>2018::jama.2018.9128::C004</x:v>
      </x:c>
      <x:c r="B440" s="6" t="n">
        <x:v>2</x:v>
      </x:c>
      <x:c r="C440" s="6" t="str">
        <x:v>Calculation</x:v>
      </x:c>
      <x:c r="D440" s="6" t="str">
        <x:v>275 - 274 = 1.</x:v>
      </x:c>
    </x:row>
    <x:row r="441" ht="180" customHeight="1">
      <x:c r="A441" s="3" t="str">
        <x:v>2018::jama.2018.9128::C004</x:v>
      </x:c>
      <x:c r="B441" s="3" t="n">
        <x:v>3</x:v>
      </x:c>
      <x:c r="C441" s="3" t="str">
        <x:v>Alternative source-grounded interpretations</x:v>
      </x:c>
      <x:c r="D441" s="3" t="str">
        <x:v>One record may have been excluded from a descriptive subset, but no supplied rule establishes that.</x:v>
      </x:c>
    </x:row>
    <x:row r="442" ht="180" customHeight="1">
      <x:c r="A442" s="6" t="str">
        <x:v>2018::jama.2018.9128::C005</x:v>
      </x:c>
      <x:c r="B442" s="6" t="n">
        <x:v>0</x:v>
      </x:c>
      <x:c r="C442" s="6" t="str">
        <x:v>Source evidence</x:v>
      </x:c>
      <x:c r="D442" s="6" t="str">
        <x:v>Figure 1 prints control 276 BMI measured at 12 mo; Figure 2 and eTable 1 each print 275.</x:v>
      </x:c>
    </x:row>
    <x:row r="443" ht="180" customHeight="1">
      <x:c r="A443" s="3" t="str">
        <x:v>2018::jama.2018.9128::C005</x:v>
      </x:c>
      <x:c r="B443" s="3" t="n">
        <x:v>1</x:v>
      </x:c>
      <x:c r="C443" s="3" t="str">
        <x:v>Reported-versus-comparator</x:v>
      </x:c>
      <x:c r="D443" s="3" t="str">
        <x:v>276 versus 275 for control, 12 months.</x:v>
      </x:c>
    </x:row>
    <x:row r="444" ht="180" customHeight="1">
      <x:c r="A444" s="6" t="str">
        <x:v>2018::jama.2018.9128::C005</x:v>
      </x:c>
      <x:c r="B444" s="6" t="n">
        <x:v>2</x:v>
      </x:c>
      <x:c r="C444" s="6" t="str">
        <x:v>Calculation</x:v>
      </x:c>
      <x:c r="D444" s="6" t="str">
        <x:v>276 - 275 = 1.</x:v>
      </x:c>
    </x:row>
    <x:row r="445" ht="180" customHeight="1">
      <x:c r="A445" s="3" t="str">
        <x:v>2018::jama.2018.9128::C005</x:v>
      </x:c>
      <x:c r="B445" s="3" t="n">
        <x:v>3</x:v>
      </x:c>
      <x:c r="C445" s="3" t="str">
        <x:v>Alternative source-grounded interpretations</x:v>
      </x:c>
      <x:c r="D445" s="3" t="str">
        <x:v>A cleaned descriptive subset is possible but is not defined by the supplied materials.</x:v>
      </x:c>
    </x:row>
    <x:row r="446" ht="180" customHeight="1">
      <x:c r="A446" s="6" t="str">
        <x:v>2018::jama.2018.9128::C006</x:v>
      </x:c>
      <x:c r="B446" s="6" t="n">
        <x:v>0</x:v>
      </x:c>
      <x:c r="C446" s="6" t="str">
        <x:v>Source evidence</x:v>
      </x:c>
      <x:c r="D446" s="6" t="str">
        <x:v>Figure 1 prints intervention 280 BMI measured at 24 mo; Figure 2 and eTable 1 each print 278.</x:v>
      </x:c>
    </x:row>
    <x:row r="447" ht="180" customHeight="1">
      <x:c r="A447" s="3" t="str">
        <x:v>2018::jama.2018.9128::C006</x:v>
      </x:c>
      <x:c r="B447" s="3" t="n">
        <x:v>1</x:v>
      </x:c>
      <x:c r="C447" s="3" t="str">
        <x:v>Reported-versus-comparator</x:v>
      </x:c>
      <x:c r="D447" s="3" t="str">
        <x:v>280 versus 278 for intervention, 24 months.</x:v>
      </x:c>
    </x:row>
    <x:row r="448" ht="180" customHeight="1">
      <x:c r="A448" s="6" t="str">
        <x:v>2018::jama.2018.9128::C006</x:v>
      </x:c>
      <x:c r="B448" s="6" t="n">
        <x:v>2</x:v>
      </x:c>
      <x:c r="C448" s="6" t="str">
        <x:v>Calculation</x:v>
      </x:c>
      <x:c r="D448" s="6" t="str">
        <x:v>280 - 278 = 2.</x:v>
      </x:c>
    </x:row>
    <x:row r="449" ht="180" customHeight="1">
      <x:c r="A449" s="3" t="str">
        <x:v>2018::jama.2018.9128::C006</x:v>
      </x:c>
      <x:c r="B449" s="3" t="n">
        <x:v>3</x:v>
      </x:c>
      <x:c r="C449" s="3" t="str">
        <x:v>Alternative source-grounded interpretations</x:v>
      </x:c>
      <x:c r="D449" s="3" t="str">
        <x:v>A post-collection descriptive-display subset could account for the difference, but the package does not state one.</x:v>
      </x:c>
    </x:row>
    <x:row r="450" ht="180" customHeight="1">
      <x:c r="A450" s="6" t="str">
        <x:v>2018::jama.2018.9128::C007</x:v>
      </x:c>
      <x:c r="B450" s="6" t="n">
        <x:v>0</x:v>
      </x:c>
      <x:c r="C450" s="6" t="str">
        <x:v>Source evidence</x:v>
      </x:c>
      <x:c r="D450" s="6" t="str">
        <x:v>Figure 1 prints control 267 BMI measured at 24 mo; Figure 2 and eTable 1 each print 266.</x:v>
      </x:c>
    </x:row>
    <x:row r="451" ht="180" customHeight="1">
      <x:c r="A451" s="3" t="str">
        <x:v>2018::jama.2018.9128::C007</x:v>
      </x:c>
      <x:c r="B451" s="3" t="n">
        <x:v>1</x:v>
      </x:c>
      <x:c r="C451" s="3" t="str">
        <x:v>Reported-versus-comparator</x:v>
      </x:c>
      <x:c r="D451" s="3" t="str">
        <x:v>267 versus 266 for control, 24 months.</x:v>
      </x:c>
    </x:row>
    <x:row r="452" ht="180" customHeight="1">
      <x:c r="A452" s="6" t="str">
        <x:v>2018::jama.2018.9128::C007</x:v>
      </x:c>
      <x:c r="B452" s="6" t="n">
        <x:v>2</x:v>
      </x:c>
      <x:c r="C452" s="6" t="str">
        <x:v>Calculation</x:v>
      </x:c>
      <x:c r="D452" s="6" t="str">
        <x:v>267 - 266 = 1.</x:v>
      </x:c>
    </x:row>
    <x:row r="453" ht="180" customHeight="1">
      <x:c r="A453" s="3" t="str">
        <x:v>2018::jama.2018.9128::C007</x:v>
      </x:c>
      <x:c r="B453" s="3" t="n">
        <x:v>3</x:v>
      </x:c>
      <x:c r="C453" s="3" t="str">
        <x:v>Alternative source-grounded interpretations</x:v>
      </x:c>
      <x:c r="D453" s="3" t="str">
        <x:v>A cleaning or descriptive-subset distinction is possible but unreported.</x:v>
      </x:c>
    </x:row>
    <x:row r="454" ht="180" customHeight="1">
      <x:c r="A454" s="6" t="str">
        <x:v>2018::jama.2018.9128::C008</x:v>
      </x:c>
      <x:c r="B454" s="6" t="n">
        <x:v>0</x:v>
      </x:c>
      <x:c r="C454" s="6" t="str">
        <x:v>Source evidence</x:v>
      </x:c>
      <x:c r="D454" s="6" t="str">
        <x:v>Figure 1 prints intervention 278 Retained at 36 mo; its caption defines retained as BMI collected. Figure 2 and eTable 1 each print 276.</x:v>
      </x:c>
    </x:row>
    <x:row r="455" ht="180" customHeight="1">
      <x:c r="A455" s="3" t="str">
        <x:v>2018::jama.2018.9128::C008</x:v>
      </x:c>
      <x:c r="B455" s="3" t="n">
        <x:v>1</x:v>
      </x:c>
      <x:c r="C455" s="3" t="str">
        <x:v>Reported-versus-comparator</x:v>
      </x:c>
      <x:c r="D455" s="3" t="str">
        <x:v>278 versus 276 for intervention, 36 months.</x:v>
      </x:c>
    </x:row>
    <x:row r="456" ht="180" customHeight="1">
      <x:c r="A456" s="6" t="str">
        <x:v>2018::jama.2018.9128::C008</x:v>
      </x:c>
      <x:c r="B456" s="6" t="n">
        <x:v>2</x:v>
      </x:c>
      <x:c r="C456" s="6" t="str">
        <x:v>Calculation</x:v>
      </x:c>
      <x:c r="D456" s="6" t="str">
        <x:v>278 - 276 = 2.</x:v>
      </x:c>
    </x:row>
    <x:row r="457" ht="180" customHeight="1">
      <x:c r="A457" s="3" t="str">
        <x:v>2018::jama.2018.9128::C008</x:v>
      </x:c>
      <x:c r="B457" s="3" t="n">
        <x:v>3</x:v>
      </x:c>
      <x:c r="C457" s="3" t="str">
        <x:v>Alternative source-grounded interpretations</x:v>
      </x:c>
      <x:c r="D457" s="3" t="str">
        <x:v>Retained may have been used more broadly despite the caption, or a post-collection subset may have been used; neither is defined.</x:v>
      </x:c>
    </x:row>
    <x:row r="458" ht="180" customHeight="1">
      <x:c r="A458" s="6" t="str">
        <x:v>2018::jama.2018.9128::C009</x:v>
      </x:c>
      <x:c r="B458" s="6" t="n">
        <x:v>0</x:v>
      </x:c>
      <x:c r="C458" s="6" t="str">
        <x:v>Source evidence</x:v>
      </x:c>
      <x:c r="D458" s="6" t="str">
        <x:v>The SAP says 6 time points while enumerating five occasions. Other supplied schedules/results include 24 months; the SAP also describes six repeated measurements on p. 112.</x:v>
      </x:c>
    </x:row>
    <x:row r="459" ht="180" customHeight="1">
      <x:c r="A459" s="3" t="str">
        <x:v>2018::jama.2018.9128::C009</x:v>
      </x:c>
      <x:c r="B459" s="3" t="n">
        <x:v>1</x:v>
      </x:c>
      <x:c r="C459" s="3" t="str">
        <x:v>Reported-versus-comparator</x:v>
      </x:c>
      <x:c r="D459" s="3" t="str">
        <x:v>Stated total of six versus five listed occasions; matching sources show the otherwise omitted 24-month occasion.</x:v>
      </x:c>
    </x:row>
    <x:row r="460" ht="180" customHeight="1">
      <x:c r="A460" s="6" t="str">
        <x:v>2018::jama.2018.9128::C009</x:v>
      </x:c>
      <x:c r="B460" s="6" t="n">
        <x:v>2</x:v>
      </x:c>
      <x:c r="C460" s="6" t="str">
        <x:v>Calculation</x:v>
      </x:c>
      <x:c r="D460" s="6" t="str">
        <x:v>count(baseline, 3, 9, 12, 36) = 5; including 24 months yields 6.</x:v>
      </x:c>
    </x:row>
    <x:row r="461" ht="180" customHeight="1">
      <x:c r="A461" s="3" t="str">
        <x:v>2018::jama.2018.9128::C009</x:v>
      </x:c>
      <x:c r="B461" s="3" t="n">
        <x:v>3</x:v>
      </x:c>
      <x:c r="C461" s="3" t="str">
        <x:v>Alternative source-grounded interpretations</x:v>
      </x:c>
      <x:c r="D461" s="3" t="str">
        <x:v>The final-SAP prose may have an editorial omission, and the model may still have used 24-month data; the package does not provide the archived analysis input schedule.</x:v>
      </x:c>
    </x:row>
    <x:row r="462" ht="180" customHeight="1">
      <x:c r="A462" s="6" t="str">
        <x:v>2018::jama.2018.9128::C010</x:v>
      </x:c>
      <x:c r="B462" s="6" t="n">
        <x:v>0</x:v>
      </x:c>
      <x:c r="C462" s="6" t="str">
        <x:v>Source evidence</x:v>
      </x:c>
      <x:c r="D462" s="6" t="str">
        <x:v>The revised protocol states 6-points in time (T1-T6) and lists baseline, 3, 9, 12, 24, 36, and 48 months; it also says six collection points. The article and eTable report through 36 months.</x:v>
      </x:c>
    </x:row>
    <x:row r="463" ht="180" customHeight="1">
      <x:c r="A463" s="3" t="str">
        <x:v>2018::jama.2018.9128::C010</x:v>
      </x:c>
      <x:c r="B463" s="3" t="n">
        <x:v>1</x:v>
      </x:c>
      <x:c r="C463" s="3" t="str">
        <x:v>Reported-versus-comparator</x:v>
      </x:c>
      <x:c r="D463" s="3" t="str">
        <x:v>Six claimed points versus seven listed occasions; baseline-to-36-month reported schedule has six occasions.</x:v>
      </x:c>
    </x:row>
    <x:row r="464" ht="180" customHeight="1">
      <x:c r="A464" s="6" t="str">
        <x:v>2018::jama.2018.9128::C010</x:v>
      </x:c>
      <x:c r="B464" s="6" t="n">
        <x:v>2</x:v>
      </x:c>
      <x:c r="C464" s="6" t="str">
        <x:v>Calculation</x:v>
      </x:c>
      <x:c r="D464" s="6" t="str">
        <x:v>count(baseline, 3, 9, 12, 24, 36, 48) = 7, not 6.</x:v>
      </x:c>
    </x:row>
    <x:row r="465" ht="180" customHeight="1">
      <x:c r="A465" s="3" t="str">
        <x:v>2018::jama.2018.9128::C010</x:v>
      </x:c>
      <x:c r="B465" s="3" t="n">
        <x:v>3</x:v>
      </x:c>
      <x:c r="C465" s="3" t="str">
        <x:v>Alternative source-grounded interpretations</x:v>
      </x:c>
      <x:c r="D465" s="3" t="str">
        <x:v>The 48-month visit may have been a separate approved extension outside T1-T6; amendment chronology and the intended distinction are not supplied.</x:v>
      </x:c>
    </x:row>
    <x:row r="466" ht="180" customHeight="1">
      <x:c r="A466" s="6" t="str">
        <x:v>2018::jama.2018.9128::C011</x:v>
      </x:c>
      <x:c r="B466" s="6" t="n">
        <x:v>0</x:v>
      </x:c>
      <x:c r="C466" s="6" t="str">
        <x:v>Source evidence</x:v>
      </x:c>
      <x:c r="D466" s="6" t="str">
        <x:v>The original protocol uses child's BMI Percentile and BMI% while displaying a weight(kg)/height(m²) formula. The final sources analyze/report raw BMI in kg/m², including values such as 17.8.</x:v>
      </x:c>
    </x:row>
    <x:row r="467" ht="180" customHeight="1">
      <x:c r="A467" s="3" t="str">
        <x:v>2018::jama.2018.9128::C011</x:v>
      </x:c>
      <x:c r="B467" s="3" t="n">
        <x:v>1</x:v>
      </x:c>
      <x:c r="C467" s="3" t="str">
        <x:v>Reported-versus-comparator</x:v>
      </x:c>
      <x:c r="D467" s="3" t="str">
        <x:v>BMI percentile/BMI% label versus raw-BMI kg/m² formula, analysis label, and reported values.</x:v>
      </x:c>
    </x:row>
    <x:row r="468" ht="180" customHeight="1">
      <x:c r="A468" s="6" t="str">
        <x:v>2018::jama.2018.9128::C011</x:v>
      </x:c>
      <x:c r="B468" s="6" t="n">
        <x:v>2</x:v>
      </x:c>
      <x:c r="C468" s="6" t="str">
        <x:v>Calculation</x:v>
      </x:c>
      <x:c r="D468" s="6" t="str">
        <x:v>No arithmetic reconstruction is applicable; this is a categorical scale comparison.</x:v>
      </x:c>
    </x:row>
    <x:row r="469" ht="180" customHeight="1">
      <x:c r="A469" s="3" t="str">
        <x:v>2018::jama.2018.9128::C011</x:v>
      </x:c>
      <x:c r="B469" s="3" t="n">
        <x:v>3</x:v>
      </x:c>
      <x:c r="C469" s="3" t="str">
        <x:v>Alternative source-grounded interpretations</x:v>
      </x:c>
      <x:c r="D469" s="3" t="str">
        <x:v>BMI% may be erroneous shorthand for raw BMI, or a protocol amendment may have changed the primary outcome scale; neither explanation is resolved in the supplied package.</x:v>
      </x:c>
    </x:row>
    <x:row r="470" ht="180" customHeight="1">
      <x:c r="A470" s="6" t="str">
        <x:v>2018::jama.2018.9128::C012</x:v>
      </x:c>
      <x:c r="B470" s="6" t="n">
        <x:v>0</x:v>
      </x:c>
      <x:c r="C470" s="6" t="str">
        <x:v>Source evidence</x:v>
      </x:c>
      <x:c r="D470" s="6" t="str">
        <x:v>Original protocol: 12 quarterly 60-minute control sessions. Revised protocol: seven 45-minute school-readiness/success programs. Article: six 30-minute group activities.</x:v>
      </x:c>
    </x:row>
    <x:row r="471" ht="180" customHeight="1">
      <x:c r="A471" s="3" t="str">
        <x:v>2018::jama.2018.9128::C012</x:v>
      </x:c>
      <x:c r="B471" s="3" t="n">
        <x:v>1</x:v>
      </x:c>
      <x:c r="C471" s="3" t="str">
        <x:v>Reported-versus-comparator</x:v>
      </x:c>
      <x:c r="D471" s="3" t="str">
        <x:v>12 × 60 versus 7 × 45 versus 6 × 30 minutes for descriptions of the control school-readiness exposure.</x:v>
      </x:c>
    </x:row>
    <x:row r="472" ht="180" customHeight="1">
      <x:c r="A472" s="6" t="str">
        <x:v>2018::jama.2018.9128::C012</x:v>
      </x:c>
      <x:c r="B472" s="6" t="n">
        <x:v>2</x:v>
      </x:c>
      <x:c r="C472" s="6" t="str">
        <x:v>Calculation</x:v>
      </x:c>
      <x:c r="D472" s="6" t="str">
        <x:v>12 × 60 = 720 minutes; 7 × 45 = 315 minutes; 6 × 30 = 180 minutes.</x:v>
      </x:c>
    </x:row>
    <x:row r="473" ht="180" customHeight="1">
      <x:c r="A473" s="3" t="str">
        <x:v>2018::jama.2018.9128::C012</x:v>
      </x:c>
      <x:c r="B473" s="3" t="n">
        <x:v>3</x:v>
      </x:c>
      <x:c r="C473" s="3" t="str">
        <x:v>Alternative source-grounded interpretations</x:v>
      </x:c>
      <x:c r="D473" s="3" t="str">
        <x:v>The versions may describe changed plans, ancillary components, or actual delivery. Session logs and a chronology/mapping of newsletters, field trips, baseline sessions, and activities are not supplied.</x:v>
      </x:c>
    </x:row>
    <x:row r="474" ht="180" customHeight="1">
      <x:c r="A474" s="6" t="str">
        <x:v>2018::jama.2018.9128::C013</x:v>
      </x:c>
      <x:c r="B474" s="6" t="n">
        <x:v>0</x:v>
      </x:c>
      <x:c r="C474" s="6" t="str">
        <x:v>Source evidence</x:v>
      </x:c>
      <x:c r="D474" s="6" t="str">
        <x:v>Figure 1 prints control 282 BMI measured at 9 mo; Figure 2 and eTable 1 each print 280.</x:v>
      </x:c>
    </x:row>
    <x:row r="475" ht="180" customHeight="1">
      <x:c r="A475" s="3" t="str">
        <x:v>2018::jama.2018.9128::C013</x:v>
      </x:c>
      <x:c r="B475" s="3" t="n">
        <x:v>1</x:v>
      </x:c>
      <x:c r="C475" s="3" t="str">
        <x:v>Reported-versus-comparator</x:v>
      </x:c>
      <x:c r="D475" s="3" t="str">
        <x:v>282 versus 280 for control, 9 months.</x:v>
      </x:c>
    </x:row>
    <x:row r="476" ht="180" customHeight="1">
      <x:c r="A476" s="6" t="str">
        <x:v>2018::jama.2018.9128::C013</x:v>
      </x:c>
      <x:c r="B476" s="6" t="n">
        <x:v>2</x:v>
      </x:c>
      <x:c r="C476" s="6" t="str">
        <x:v>Calculation</x:v>
      </x:c>
      <x:c r="D476" s="6" t="str">
        <x:v>282 - 280 = 2.</x:v>
      </x:c>
    </x:row>
    <x:row r="477" ht="180" customHeight="1">
      <x:c r="A477" s="3" t="str">
        <x:v>2018::jama.2018.9128::C013</x:v>
      </x:c>
      <x:c r="B477" s="3" t="n">
        <x:v>3</x:v>
      </x:c>
      <x:c r="C477" s="3" t="str">
        <x:v>Alternative source-grounded interpretations</x:v>
      </x:c>
      <x:c r="D477" s="3" t="str">
        <x:v>An unreported post-collection analytic or descriptive subset could explain the difference, but the supplied sources do not define it.</x:v>
      </x:c>
    </x:row>
  </x:sheetData>
  <x:pageMargins left="0.7" right="0.7" top="0.75" bottom="0.75" header="0.3" footer="0.3"/>
  <x:tableParts count="1">
    <x:tablePart xmlns:r="http://schemas.openxmlformats.org/officeDocument/2006/relationships" r:id="R75366f9de19740a8"/>
  </x:tableParts>
</x:worksheet>
</file>

<file path=xl/worksheets/sheet21.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44" hidden="0" customWidth="1"/>
    <x:col min="2" max="2" width="26" hidden="0" customWidth="1"/>
    <x:col min="3" max="3" width="26" hidden="0" customWidth="1"/>
    <x:col min="4" max="4" width="26" hidden="0" customWidth="1"/>
    <x:col min="5" max="5" width="90" hidden="0" customWidth="1"/>
  </x:cols>
  <x:sheetData>
    <x:row r="1" ht="42" customHeight="1">
      <x:c r="A1" s="5" t="str">
        <x:v>key</x:v>
      </x:c>
      <x:c r="B1" s="5" t="str">
        <x:v>kind</x:v>
      </x:c>
      <x:c r="C1" s="5" t="str">
        <x:v>order</x:v>
      </x:c>
      <x:c r="D1" s="5" t="str">
        <x:v>label</x:v>
      </x:c>
      <x:c r="E1" s="5" t="str">
        <x:v>href</x:v>
      </x:c>
    </x:row>
    <x:row r="2" ht="90" customHeight="1">
      <x:c r="A2" s="6" t="str">
        <x:v>2018::jama.2017.21906::C001</x:v>
      </x:c>
      <x:c r="B2" s="6" t="str">
        <x:v>sourceLinks</x:v>
      </x:c>
      <x:c r="C2" s="6" t="n">
        <x:v>0</x:v>
      </x:c>
      <x:c r="D2" s="6" t="str">
        <x:v>Main article — PDF p. 6</x:v>
      </x:c>
      <x:c r="E2" s="6" t="str">
        <x:v>../../2018/jama.2017.21906/jama_huffman_2018_oi_170166.pdf#page=6</x:v>
      </x:c>
    </x:row>
    <x:row r="3" ht="90" customHeight="1">
      <x:c r="A3" s="3" t="str">
        <x:v>2018::jama.2017.21906::C001</x:v>
      </x:c>
      <x:c r="B3" s="3" t="str">
        <x:v>evidencePaths</x:v>
      </x:c>
      <x:c r="C3" s="3" t="n">
        <x:v>0</x:v>
      </x:c>
      <x:c r="D3" s="3" t="str">
        <x:v>2018/jama.2017.21906/.ai_paper_validation/review_1_5_2/source_inventory.md</x:v>
      </x:c>
      <x:c r="E3" s="3" t="str">
        <x:v>../../2018/jama.2017.21906/.ai_paper_validation/review_1_5_2/source_inventory.md</x:v>
      </x:c>
    </x:row>
    <x:row r="4" ht="90" customHeight="1">
      <x:c r="A4" s="6" t="str">
        <x:v>2018::jama.2017.21906::C001</x:v>
      </x:c>
      <x:c r="B4" s="6" t="str">
        <x:v>evidencePaths</x:v>
      </x:c>
      <x:c r="C4" s="6" t="n">
        <x:v>1</x:v>
      </x:c>
      <x:c r="D4" s="6" t="str">
        <x:v>2018/jama.2017.21906/.ai_paper_validation/review_1_5_2/verification/evidence_recheck.md</x:v>
      </x:c>
      <x:c r="E4" s="6" t="str">
        <x:v>../../2018/jama.2017.21906/.ai_paper_validation/review_1_5_2/verification/evidence_recheck.md</x:v>
      </x:c>
    </x:row>
    <x:row r="5" ht="90" customHeight="1">
      <x:c r="A5" s="3" t="str">
        <x:v>2018::jama.2017.21906::C002</x:v>
      </x:c>
      <x:c r="B5" s="3" t="str">
        <x:v>sourceLinks</x:v>
      </x:c>
      <x:c r="C5" s="3" t="n">
        <x:v>0</x:v>
      </x:c>
      <x:c r="D5" s="3" t="str">
        <x:v>Main article — PDF p. 6</x:v>
      </x:c>
      <x:c r="E5" s="3" t="str">
        <x:v>../../2018/jama.2017.21906/jama_huffman_2018_oi_170166.pdf#page=6</x:v>
      </x:c>
    </x:row>
    <x:row r="6" ht="90" customHeight="1">
      <x:c r="A6" s="6" t="str">
        <x:v>2018::jama.2017.21906::C002</x:v>
      </x:c>
      <x:c r="B6" s="6" t="str">
        <x:v>sourceLinks</x:v>
      </x:c>
      <x:c r="C6" s="6" t="n">
        <x:v>1</x:v>
      </x:c>
      <x:c r="D6" s="6" t="str">
        <x:v>Main article — PDF p. 7</x:v>
      </x:c>
      <x:c r="E6" s="6" t="str">
        <x:v>../../2018/jama.2017.21906/jama_huffman_2018_oi_170166.pdf#page=7</x:v>
      </x:c>
    </x:row>
    <x:row r="7" ht="90" customHeight="1">
      <x:c r="A7" s="3" t="str">
        <x:v>2018::jama.2017.21906::C002</x:v>
      </x:c>
      <x:c r="B7" s="3" t="str">
        <x:v>evidencePaths</x:v>
      </x:c>
      <x:c r="C7" s="3" t="n">
        <x:v>0</x:v>
      </x:c>
      <x:c r="D7" s="3" t="str">
        <x:v>2018/jama.2017.21906/.ai_paper_validation/review_1_5_2/source_inventory.md</x:v>
      </x:c>
      <x:c r="E7" s="3" t="str">
        <x:v>../../2018/jama.2017.21906/.ai_paper_validation/review_1_5_2/source_inventory.md</x:v>
      </x:c>
    </x:row>
    <x:row r="8" ht="90" customHeight="1">
      <x:c r="A8" s="6" t="str">
        <x:v>2018::jama.2017.21906::C002</x:v>
      </x:c>
      <x:c r="B8" s="6" t="str">
        <x:v>evidencePaths</x:v>
      </x:c>
      <x:c r="C8" s="6" t="n">
        <x:v>1</x:v>
      </x:c>
      <x:c r="D8" s="6" t="str">
        <x:v>2018/jama.2017.21906/.ai_paper_validation/review_1_5_2/verification/evidence_recheck.md</x:v>
      </x:c>
      <x:c r="E8" s="6" t="str">
        <x:v>../../2018/jama.2017.21906/.ai_paper_validation/review_1_5_2/verification/evidence_recheck.md</x:v>
      </x:c>
    </x:row>
    <x:row r="9" ht="90" customHeight="1">
      <x:c r="A9" s="3" t="str">
        <x:v>2018::jama.2017.21906::C003</x:v>
      </x:c>
      <x:c r="B9" s="3" t="str">
        <x:v>sourceLinks</x:v>
      </x:c>
      <x:c r="C9" s="3" t="n">
        <x:v>0</x:v>
      </x:c>
      <x:c r="D9" s="3" t="str">
        <x:v>Online supplement — PDF p. 17</x:v>
      </x:c>
      <x:c r="E9" s="3" t="str">
        <x:v>../../2018/jama.2017.21906/joi170166supp3_prod.pdf#page=17</x:v>
      </x:c>
    </x:row>
    <x:row r="10" ht="90" customHeight="1">
      <x:c r="A10" s="6" t="str">
        <x:v>2018::jama.2017.21906::C003</x:v>
      </x:c>
      <x:c r="B10" s="6" t="str">
        <x:v>evidencePaths</x:v>
      </x:c>
      <x:c r="C10" s="6" t="n">
        <x:v>0</x:v>
      </x:c>
      <x:c r="D10" s="6" t="str">
        <x:v>2018/jama.2017.21906/.ai_paper_validation/review_1_5_2/source_inventory.md</x:v>
      </x:c>
      <x:c r="E10" s="6" t="str">
        <x:v>../../2018/jama.2017.21906/.ai_paper_validation/review_1_5_2/source_inventory.md</x:v>
      </x:c>
    </x:row>
    <x:row r="11" ht="90" customHeight="1">
      <x:c r="A11" s="3" t="str">
        <x:v>2018::jama.2017.21906::C003</x:v>
      </x:c>
      <x:c r="B11" s="3" t="str">
        <x:v>evidencePaths</x:v>
      </x:c>
      <x:c r="C11" s="3" t="n">
        <x:v>1</x:v>
      </x:c>
      <x:c r="D11" s="3" t="str">
        <x:v>2018/jama.2017.21906/.ai_paper_validation/review_1_5_2/verification/evidence_recheck.md</x:v>
      </x:c>
      <x:c r="E11" s="3" t="str">
        <x:v>../../2018/jama.2017.21906/.ai_paper_validation/review_1_5_2/verification/evidence_recheck.md</x:v>
      </x:c>
    </x:row>
    <x:row r="12" ht="90" customHeight="1">
      <x:c r="A12" s="6" t="str">
        <x:v>2018::jama.2017.21906::C004</x:v>
      </x:c>
      <x:c r="B12" s="6" t="str">
        <x:v>sourceLinks</x:v>
      </x:c>
      <x:c r="C12" s="6" t="n">
        <x:v>0</x:v>
      </x:c>
      <x:c r="D12" s="6" t="str">
        <x:v>SAP — PDF p. 7</x:v>
      </x:c>
      <x:c r="E12" s="6" t="str">
        <x:v>../../2018/jama.2017.21906/joi170166supp2_prod.pdf#page=7</x:v>
      </x:c>
    </x:row>
    <x:row r="13" ht="90" customHeight="1">
      <x:c r="A13" s="3" t="str">
        <x:v>2018::jama.2017.21906::C004</x:v>
      </x:c>
      <x:c r="B13" s="3" t="str">
        <x:v>sourceLinks</x:v>
      </x:c>
      <x:c r="C13" s="3" t="n">
        <x:v>1</x:v>
      </x:c>
      <x:c r="D13" s="3" t="str">
        <x:v>main article — PDF p. 3</x:v>
      </x:c>
      <x:c r="E13" s="3" t="str">
        <x:v>../../2018/jama.2017.21906/jama_huffman_2018_oi_170166.pdf#page=3</x:v>
      </x:c>
    </x:row>
    <x:row r="14" ht="90" customHeight="1">
      <x:c r="A14" s="6" t="str">
        <x:v>2018::jama.2017.21906::C004</x:v>
      </x:c>
      <x:c r="B14" s="6" t="str">
        <x:v>sourceLinks</x:v>
      </x:c>
      <x:c r="C14" s="6" t="n">
        <x:v>2</x:v>
      </x:c>
      <x:c r="D14" s="6" t="str">
        <x:v>main article — PDF p. 9</x:v>
      </x:c>
      <x:c r="E14" s="6" t="str">
        <x:v>../../2018/jama.2017.21906/jama_huffman_2018_oi_170166.pdf#page=9</x:v>
      </x:c>
    </x:row>
    <x:row r="15" ht="90" customHeight="1">
      <x:c r="A15" s="3" t="str">
        <x:v>2018::jama.2017.21906::C004</x:v>
      </x:c>
      <x:c r="B15" s="3" t="str">
        <x:v>evidencePaths</x:v>
      </x:c>
      <x:c r="C15" s="3" t="n">
        <x:v>0</x:v>
      </x:c>
      <x:c r="D15" s="3" t="str">
        <x:v>2018/jama.2017.21906/.ai_paper_validation/review_1_5_2/source_inventory.md</x:v>
      </x:c>
      <x:c r="E15" s="3" t="str">
        <x:v>../../2018/jama.2017.21906/.ai_paper_validation/review_1_5_2/source_inventory.md</x:v>
      </x:c>
    </x:row>
    <x:row r="16" ht="90" customHeight="1">
      <x:c r="A16" s="6" t="str">
        <x:v>2018::jama.2017.21906::C004</x:v>
      </x:c>
      <x:c r="B16" s="6" t="str">
        <x:v>evidencePaths</x:v>
      </x:c>
      <x:c r="C16" s="6" t="n">
        <x:v>1</x:v>
      </x:c>
      <x:c r="D16" s="6" t="str">
        <x:v>2018/jama.2017.21906/.ai_paper_validation/review_1_5_2/verification/evidence_recheck.md</x:v>
      </x:c>
      <x:c r="E16" s="6" t="str">
        <x:v>../../2018/jama.2017.21906/.ai_paper_validation/review_1_5_2/verification/evidence_recheck.md</x:v>
      </x:c>
    </x:row>
    <x:row r="17" ht="90" customHeight="1">
      <x:c r="A17" s="3" t="str">
        <x:v>2018::jama.2017.21906::C005</x:v>
      </x:c>
      <x:c r="B17" s="3" t="str">
        <x:v>sourceLinks</x:v>
      </x:c>
      <x:c r="C17" s="3" t="n">
        <x:v>0</x:v>
      </x:c>
      <x:c r="D17" s="3" t="str">
        <x:v>Main article — PDF p. 3</x:v>
      </x:c>
      <x:c r="E17" s="3" t="str">
        <x:v>../../2018/jama.2017.21906/jama_huffman_2018_oi_170166.pdf#page=3</x:v>
      </x:c>
    </x:row>
    <x:row r="18" ht="90" customHeight="1">
      <x:c r="A18" s="6" t="str">
        <x:v>2018::jama.2017.21906::C005</x:v>
      </x:c>
      <x:c r="B18" s="6" t="str">
        <x:v>sourceLinks</x:v>
      </x:c>
      <x:c r="C18" s="6" t="n">
        <x:v>1</x:v>
      </x:c>
      <x:c r="D18" s="6" t="str">
        <x:v>main article — PDF p. 7</x:v>
      </x:c>
      <x:c r="E18" s="6" t="str">
        <x:v>../../2018/jama.2017.21906/jama_huffman_2018_oi_170166.pdf#page=7</x:v>
      </x:c>
    </x:row>
    <x:row r="19" ht="90" customHeight="1">
      <x:c r="A19" s="3" t="str">
        <x:v>2018::jama.2017.21906::C005</x:v>
      </x:c>
      <x:c r="B19" s="3" t="str">
        <x:v>sourceLinks</x:v>
      </x:c>
      <x:c r="C19" s="3" t="n">
        <x:v>2</x:v>
      </x:c>
      <x:c r="D19" s="3" t="str">
        <x:v>online supplement — PDF p. 21</x:v>
      </x:c>
      <x:c r="E19" s="3" t="str">
        <x:v>../../2018/jama.2017.21906/joi170166supp3_prod.pdf#page=21</x:v>
      </x:c>
    </x:row>
    <x:row r="20" ht="90" customHeight="1">
      <x:c r="A20" s="6" t="str">
        <x:v>2018::jama.2017.21906::C005</x:v>
      </x:c>
      <x:c r="B20" s="6" t="str">
        <x:v>sourceLinks</x:v>
      </x:c>
      <x:c r="C20" s="6" t="n">
        <x:v>3</x:v>
      </x:c>
      <x:c r="D20" s="6" t="str">
        <x:v>online supplement — PDF p. 22</x:v>
      </x:c>
      <x:c r="E20" s="6" t="str">
        <x:v>../../2018/jama.2017.21906/joi170166supp3_prod.pdf#page=22</x:v>
      </x:c>
    </x:row>
    <x:row r="21" ht="90" customHeight="1">
      <x:c r="A21" s="3" t="str">
        <x:v>2018::jama.2017.21906::C005</x:v>
      </x:c>
      <x:c r="B21" s="3" t="str">
        <x:v>evidencePaths</x:v>
      </x:c>
      <x:c r="C21" s="3" t="n">
        <x:v>0</x:v>
      </x:c>
      <x:c r="D21" s="3" t="str">
        <x:v>2018/jama.2017.21906/.ai_paper_validation/review_1_5_2/source_inventory.md</x:v>
      </x:c>
      <x:c r="E21" s="3" t="str">
        <x:v>../../2018/jama.2017.21906/.ai_paper_validation/review_1_5_2/source_inventory.md</x:v>
      </x:c>
    </x:row>
    <x:row r="22" ht="90" customHeight="1">
      <x:c r="A22" s="6" t="str">
        <x:v>2018::jama.2017.21906::C005</x:v>
      </x:c>
      <x:c r="B22" s="6" t="str">
        <x:v>evidencePaths</x:v>
      </x:c>
      <x:c r="C22" s="6" t="n">
        <x:v>1</x:v>
      </x:c>
      <x:c r="D22" s="6" t="str">
        <x:v>2018/jama.2017.21906/.ai_paper_validation/review_1_5_2/verification/evidence_recheck.md</x:v>
      </x:c>
      <x:c r="E22" s="6" t="str">
        <x:v>../../2018/jama.2017.21906/.ai_paper_validation/review_1_5_2/verification/evidence_recheck.md</x:v>
      </x:c>
    </x:row>
    <x:row r="23" ht="90" customHeight="1">
      <x:c r="A23" s="3" t="str">
        <x:v>2018::jama.2017.21906::C006</x:v>
      </x:c>
      <x:c r="B23" s="3" t="str">
        <x:v>sourceLinks</x:v>
      </x:c>
      <x:c r="C23" s="3" t="n">
        <x:v>0</x:v>
      </x:c>
      <x:c r="D23" s="3" t="str">
        <x:v>Main article — PDF p. 3</x:v>
      </x:c>
      <x:c r="E23" s="3" t="str">
        <x:v>../../2018/jama.2017.21906/jama_huffman_2018_oi_170166.pdf#page=3</x:v>
      </x:c>
    </x:row>
    <x:row r="24" ht="90" customHeight="1">
      <x:c r="A24" s="6" t="str">
        <x:v>2018::jama.2017.21906::C006</x:v>
      </x:c>
      <x:c r="B24" s="6" t="str">
        <x:v>sourceLinks</x:v>
      </x:c>
      <x:c r="C24" s="6" t="n">
        <x:v>1</x:v>
      </x:c>
      <x:c r="D24" s="6" t="str">
        <x:v>main article — PDF p. 9</x:v>
      </x:c>
      <x:c r="E24" s="6" t="str">
        <x:v>../../2018/jama.2017.21906/jama_huffman_2018_oi_170166.pdf#page=9</x:v>
      </x:c>
    </x:row>
    <x:row r="25" ht="90" customHeight="1">
      <x:c r="A25" s="3" t="str">
        <x:v>2018::jama.2017.21906::C006</x:v>
      </x:c>
      <x:c r="B25" s="3" t="str">
        <x:v>sourceLinks</x:v>
      </x:c>
      <x:c r="C25" s="3" t="n">
        <x:v>2</x:v>
      </x:c>
      <x:c r="D25" s="3" t="str">
        <x:v>SAP — PDF p. 7</x:v>
      </x:c>
      <x:c r="E25" s="3" t="str">
        <x:v>../../2018/jama.2017.21906/joi170166supp2_prod.pdf#page=7</x:v>
      </x:c>
    </x:row>
    <x:row r="26" ht="90" customHeight="1">
      <x:c r="A26" s="6" t="str">
        <x:v>2018::jama.2017.21906::C006</x:v>
      </x:c>
      <x:c r="B26" s="6" t="str">
        <x:v>evidencePaths</x:v>
      </x:c>
      <x:c r="C26" s="6" t="n">
        <x:v>0</x:v>
      </x:c>
      <x:c r="D26" s="6" t="str">
        <x:v>2018/jama.2017.21906/.ai_paper_validation/review_1_5_2/source_inventory.md</x:v>
      </x:c>
      <x:c r="E26" s="6" t="str">
        <x:v>../../2018/jama.2017.21906/.ai_paper_validation/review_1_5_2/source_inventory.md</x:v>
      </x:c>
    </x:row>
    <x:row r="27" ht="90" customHeight="1">
      <x:c r="A27" s="3" t="str">
        <x:v>2018::jama.2018.0156::C001</x:v>
      </x:c>
      <x:c r="B27" s="3" t="str">
        <x:v>sourceLinks</x:v>
      </x:c>
      <x:c r="C27" s="3" t="n">
        <x:v>0</x:v>
      </x:c>
      <x:c r="D27" s="3" t="str">
        <x:v>jama_jabre_2018_oi_180004.pdf — PDF p. 3</x:v>
      </x:c>
      <x:c r="E27" s="3" t="str">
        <x:v>../../2018/jama.2018.0156/jama_jabre_2018_oi_180004.pdf#page=3</x:v>
      </x:c>
    </x:row>
    <x:row r="28" ht="90" customHeight="1">
      <x:c r="A28" s="6" t="str">
        <x:v>2018::jama.2018.0156::C001</x:v>
      </x:c>
      <x:c r="B28" s="6" t="str">
        <x:v>sourceLinks</x:v>
      </x:c>
      <x:c r="C28" s="6" t="n">
        <x:v>1</x:v>
      </x:c>
      <x:c r="D28" s="6" t="str">
        <x:v>jama_jabre_2018_oi_180004.pdf — PDF p. 4</x:v>
      </x:c>
      <x:c r="E28" s="6" t="str">
        <x:v>../../2018/jama.2018.0156/jama_jabre_2018_oi_180004.pdf#page=4</x:v>
      </x:c>
    </x:row>
    <x:row r="29" ht="90" customHeight="1">
      <x:c r="A29" s="3" t="str">
        <x:v>2018::jama.2018.0156::C001</x:v>
      </x:c>
      <x:c r="B29" s="3" t="str">
        <x:v>evidencePaths</x:v>
      </x:c>
      <x:c r="C29" s="3" t="n">
        <x:v>0</x:v>
      </x:c>
      <x:c r="D29" s="3" t="str">
        <x:v>2018/jama.2018.0156/.ai_paper_validation/review_1_5_2/source_inventory.md</x:v>
      </x:c>
      <x:c r="E29" s="3" t="str">
        <x:v>../../2018/jama.2018.0156/.ai_paper_validation/review_1_5_2/source_inventory.md</x:v>
      </x:c>
    </x:row>
    <x:row r="30" ht="90" customHeight="1">
      <x:c r="A30" s="6" t="str">
        <x:v>2018::jama.2018.0156::C002</x:v>
      </x:c>
      <x:c r="B30" s="6" t="str">
        <x:v>sourceLinks</x:v>
      </x:c>
      <x:c r="C30" s="6" t="n">
        <x:v>0</x:v>
      </x:c>
      <x:c r="D30" s="6" t="str">
        <x:v>jama_jabre_2018_oi_180004.pdf — PDF p. 3</x:v>
      </x:c>
      <x:c r="E30" s="6" t="str">
        <x:v>../../2018/jama.2018.0156/jama_jabre_2018_oi_180004.pdf#page=3</x:v>
      </x:c>
    </x:row>
    <x:row r="31" ht="90" customHeight="1">
      <x:c r="A31" s="3" t="str">
        <x:v>2018::jama.2018.0156::C002</x:v>
      </x:c>
      <x:c r="B31" s="3" t="str">
        <x:v>sourceLinks</x:v>
      </x:c>
      <x:c r="C31" s="3" t="n">
        <x:v>1</x:v>
      </x:c>
      <x:c r="D31" s="3" t="str">
        <x:v>jama_jabre_2018_oi_180004.pdf — PDF p. 4</x:v>
      </x:c>
      <x:c r="E31" s="3" t="str">
        <x:v>../../2018/jama.2018.0156/jama_jabre_2018_oi_180004.pdf#page=4</x:v>
      </x:c>
    </x:row>
    <x:row r="32" ht="90" customHeight="1">
      <x:c r="A32" s="6" t="str">
        <x:v>2018::jama.2018.0156::C002</x:v>
      </x:c>
      <x:c r="B32" s="6" t="str">
        <x:v>evidencePaths</x:v>
      </x:c>
      <x:c r="C32" s="6" t="n">
        <x:v>0</x:v>
      </x:c>
      <x:c r="D32" s="6" t="str">
        <x:v>2018/jama.2018.0156/.ai_paper_validation/review_1_5_2/source_inventory.md</x:v>
      </x:c>
      <x:c r="E32" s="6" t="str">
        <x:v>../../2018/jama.2018.0156/.ai_paper_validation/review_1_5_2/source_inventory.md</x:v>
      </x:c>
    </x:row>
    <x:row r="33" ht="90" customHeight="1">
      <x:c r="A33" s="3" t="str">
        <x:v>2018::jama.2018.0156::C003</x:v>
      </x:c>
      <x:c r="B33" s="3" t="str">
        <x:v>sourceLinks</x:v>
      </x:c>
      <x:c r="C33" s="3" t="n">
        <x:v>0</x:v>
      </x:c>
      <x:c r="D33" s="3" t="str">
        <x:v>jama_jabre_2018_oi_180004.pdf — PDF p. 6</x:v>
      </x:c>
      <x:c r="E33" s="3" t="str">
        <x:v>../../2018/jama.2018.0156/jama_jabre_2018_oi_180004.pdf#page=6</x:v>
      </x:c>
    </x:row>
    <x:row r="34" ht="90" customHeight="1">
      <x:c r="A34" s="6" t="str">
        <x:v>2018::jama.2018.0156::C003</x:v>
      </x:c>
      <x:c r="B34" s="6" t="str">
        <x:v>sourceLinks</x:v>
      </x:c>
      <x:c r="C34" s="6" t="n">
        <x:v>1</x:v>
      </x:c>
      <x:c r="D34" s="6" t="str">
        <x:v>joi180004supp1_prod.pdf — PDF p. 123</x:v>
      </x:c>
      <x:c r="E34" s="6" t="str">
        <x:v>../../2018/jama.2018.0156/joi180004supp1_prod.pdf#page=123</x:v>
      </x:c>
    </x:row>
    <x:row r="35" ht="90" customHeight="1">
      <x:c r="A35" s="3" t="str">
        <x:v>2018::jama.2018.0156::C003</x:v>
      </x:c>
      <x:c r="B35" s="3" t="str">
        <x:v>evidencePaths</x:v>
      </x:c>
      <x:c r="C35" s="3" t="n">
        <x:v>0</x:v>
      </x:c>
      <x:c r="D35" s="3" t="str">
        <x:v>2018/jama.2018.0156/.ai_paper_validation/review_1_5_2/source_inventory.md</x:v>
      </x:c>
      <x:c r="E35" s="3" t="str">
        <x:v>../../2018/jama.2018.0156/.ai_paper_validation/review_1_5_2/source_inventory.md</x:v>
      </x:c>
    </x:row>
    <x:row r="36" ht="90" customHeight="1">
      <x:c r="A36" s="6" t="str">
        <x:v>2018::jama.2018.0156::C003</x:v>
      </x:c>
      <x:c r="B36" s="6" t="str">
        <x:v>evidencePaths</x:v>
      </x:c>
      <x:c r="C36" s="6" t="n">
        <x:v>1</x:v>
      </x:c>
      <x:c r="D36" s="6" t="str">
        <x:v>2018/jama.2018.0156/.ai_paper_validation/review_1_5_2/verification/evidence_recheck.md</x:v>
      </x:c>
      <x:c r="E36" s="6" t="str">
        <x:v>../../2018/jama.2018.0156/.ai_paper_validation/review_1_5_2/verification/evidence_recheck.md</x:v>
      </x:c>
    </x:row>
    <x:row r="37" ht="90" customHeight="1">
      <x:c r="A37" s="3" t="str">
        <x:v>2018::jama.2018.0156::C004</x:v>
      </x:c>
      <x:c r="B37" s="3" t="str">
        <x:v>sourceLinks</x:v>
      </x:c>
      <x:c r="C37" s="3" t="n">
        <x:v>0</x:v>
      </x:c>
      <x:c r="D37" s="3" t="str">
        <x:v>jama_jabre_2018_oi_180004.pdf — PDF p. 3</x:v>
      </x:c>
      <x:c r="E37" s="3" t="str">
        <x:v>../../2018/jama.2018.0156/jama_jabre_2018_oi_180004.pdf#page=3</x:v>
      </x:c>
    </x:row>
    <x:row r="38" ht="90" customHeight="1">
      <x:c r="A38" s="6" t="str">
        <x:v>2018::jama.2018.0156::C004</x:v>
      </x:c>
      <x:c r="B38" s="6" t="str">
        <x:v>sourceLinks</x:v>
      </x:c>
      <x:c r="C38" s="6" t="n">
        <x:v>1</x:v>
      </x:c>
      <x:c r="D38" s="6" t="str">
        <x:v>PDF p. 6</x:v>
      </x:c>
      <x:c r="E38" s="6" t="str">
        <x:v>../../2018/jama.2018.0156/jama_jabre_2018_oi_180004.pdf#page=6</x:v>
      </x:c>
    </x:row>
    <x:row r="39" ht="90" customHeight="1">
      <x:c r="A39" s="3" t="str">
        <x:v>2018::jama.2018.0156::C004</x:v>
      </x:c>
      <x:c r="B39" s="3" t="str">
        <x:v>sourceLinks</x:v>
      </x:c>
      <x:c r="C39" s="3" t="n">
        <x:v>2</x:v>
      </x:c>
      <x:c r="D39" s="3" t="str">
        <x:v>joi180004supp1_prod.pdf — PDF p. 124</x:v>
      </x:c>
      <x:c r="E39" s="3" t="str">
        <x:v>../../2018/jama.2018.0156/joi180004supp1_prod.pdf#page=124</x:v>
      </x:c>
    </x:row>
    <x:row r="40" ht="90" customHeight="1">
      <x:c r="A40" s="6" t="str">
        <x:v>2018::jama.2018.0156::C004</x:v>
      </x:c>
      <x:c r="B40" s="6" t="str">
        <x:v>evidencePaths</x:v>
      </x:c>
      <x:c r="C40" s="6" t="n">
        <x:v>0</x:v>
      </x:c>
      <x:c r="D40" s="6" t="str">
        <x:v>2018/jama.2018.0156/.ai_paper_validation/review_1_5_2/source_inventory.md</x:v>
      </x:c>
      <x:c r="E40" s="6" t="str">
        <x:v>../../2018/jama.2018.0156/.ai_paper_validation/review_1_5_2/source_inventory.md</x:v>
      </x:c>
    </x:row>
    <x:row r="41" ht="90" customHeight="1">
      <x:c r="A41" s="3" t="str">
        <x:v>2018::jama.2018.0156::C004</x:v>
      </x:c>
      <x:c r="B41" s="3" t="str">
        <x:v>evidencePaths</x:v>
      </x:c>
      <x:c r="C41" s="3" t="n">
        <x:v>1</x:v>
      </x:c>
      <x:c r="D41" s="3" t="str">
        <x:v>2018/jama.2018.0156/.ai_paper_validation/review_1_5_2/verification/evidence_recheck.md</x:v>
      </x:c>
      <x:c r="E41" s="3" t="str">
        <x:v>../../2018/jama.2018.0156/.ai_paper_validation/review_1_5_2/verification/evidence_recheck.md</x:v>
      </x:c>
    </x:row>
    <x:row r="42" ht="90" customHeight="1">
      <x:c r="A42" s="6" t="str">
        <x:v>2018::jama.2018.0156::C005</x:v>
      </x:c>
      <x:c r="B42" s="6" t="str">
        <x:v>sourceLinks</x:v>
      </x:c>
      <x:c r="C42" s="6" t="n">
        <x:v>0</x:v>
      </x:c>
      <x:c r="D42" s="6" t="str">
        <x:v>jama_jabre_2018_oi_180004.pdf — PDF p. 6</x:v>
      </x:c>
      <x:c r="E42" s="6" t="str">
        <x:v>../../2018/jama.2018.0156/jama_jabre_2018_oi_180004.pdf#page=6</x:v>
      </x:c>
    </x:row>
    <x:row r="43" ht="90" customHeight="1">
      <x:c r="A43" s="3" t="str">
        <x:v>2018::jama.2018.0156::C005</x:v>
      </x:c>
      <x:c r="B43" s="3" t="str">
        <x:v>evidencePaths</x:v>
      </x:c>
      <x:c r="C43" s="3" t="n">
        <x:v>0</x:v>
      </x:c>
      <x:c r="D43" s="3" t="str">
        <x:v>2018/jama.2018.0156/.ai_paper_validation/review_1_5_2/source_inventory.md</x:v>
      </x:c>
      <x:c r="E43" s="3" t="str">
        <x:v>../../2018/jama.2018.0156/.ai_paper_validation/review_1_5_2/source_inventory.md</x:v>
      </x:c>
    </x:row>
    <x:row r="44" ht="90" customHeight="1">
      <x:c r="A44" s="6" t="str">
        <x:v>2018::jama.2018.0156::C006</x:v>
      </x:c>
      <x:c r="B44" s="6" t="str">
        <x:v>sourceLinks</x:v>
      </x:c>
      <x:c r="C44" s="6" t="n">
        <x:v>0</x:v>
      </x:c>
      <x:c r="D44" s="6" t="str">
        <x:v>jama_jabre_2018_oi_180004.pdf — PDF p. 2</x:v>
      </x:c>
      <x:c r="E44" s="6" t="str">
        <x:v>../../2018/jama.2018.0156/jama_jabre_2018_oi_180004.pdf#page=2</x:v>
      </x:c>
    </x:row>
    <x:row r="45" ht="90" customHeight="1">
      <x:c r="A45" s="3" t="str">
        <x:v>2018::jama.2018.0156::C006</x:v>
      </x:c>
      <x:c r="B45" s="3" t="str">
        <x:v>sourceLinks</x:v>
      </x:c>
      <x:c r="C45" s="3" t="n">
        <x:v>1</x:v>
      </x:c>
      <x:c r="D45" s="3" t="str">
        <x:v>joi180004supp2_prod.pdf — PDF p. 2</x:v>
      </x:c>
      <x:c r="E45" s="3" t="str">
        <x:v>../../2018/jama.2018.0156/joi180004supp2_prod.pdf#page=2</x:v>
      </x:c>
    </x:row>
    <x:row r="46" ht="90" customHeight="1">
      <x:c r="A46" s="6" t="str">
        <x:v>2018::jama.2018.0156::C006</x:v>
      </x:c>
      <x:c r="B46" s="6" t="str">
        <x:v>evidencePaths</x:v>
      </x:c>
      <x:c r="C46" s="6" t="n">
        <x:v>0</x:v>
      </x:c>
      <x:c r="D46" s="6" t="str">
        <x:v>2018/jama.2018.0156/.ai_paper_validation/review_1_5_2/source_inventory.md</x:v>
      </x:c>
      <x:c r="E46" s="6" t="str">
        <x:v>../../2018/jama.2018.0156/.ai_paper_validation/review_1_5_2/source_inventory.md</x:v>
      </x:c>
    </x:row>
    <x:row r="47" ht="90" customHeight="1">
      <x:c r="A47" s="3" t="str">
        <x:v>2018::jama.2018.0156::C007</x:v>
      </x:c>
      <x:c r="B47" s="3" t="str">
        <x:v>sourceLinks</x:v>
      </x:c>
      <x:c r="C47" s="3" t="n">
        <x:v>0</x:v>
      </x:c>
      <x:c r="D47" s="3" t="str">
        <x:v>jama_jabre_2018_oi_180004.pdf — PDF p. 1</x:v>
      </x:c>
      <x:c r="E47" s="3" t="str">
        <x:v>../../2018/jama.2018.0156/jama_jabre_2018_oi_180004.pdf#page=1</x:v>
      </x:c>
    </x:row>
    <x:row r="48" ht="90" customHeight="1">
      <x:c r="A48" s="6" t="str">
        <x:v>2018::jama.2018.0156::C007</x:v>
      </x:c>
      <x:c r="B48" s="6" t="str">
        <x:v>sourceLinks</x:v>
      </x:c>
      <x:c r="C48" s="6" t="n">
        <x:v>1</x:v>
      </x:c>
      <x:c r="D48" s="6" t="str">
        <x:v>PDF p. 3</x:v>
      </x:c>
      <x:c r="E48" s="6" t="str">
        <x:v>../../2018/jama.2018.0156/jama_jabre_2018_oi_180004.pdf#page=3</x:v>
      </x:c>
    </x:row>
    <x:row r="49" ht="90" customHeight="1">
      <x:c r="A49" s="3" t="str">
        <x:v>2018::jama.2018.0156::C007</x:v>
      </x:c>
      <x:c r="B49" s="3" t="str">
        <x:v>sourceLinks</x:v>
      </x:c>
      <x:c r="C49" s="3" t="n">
        <x:v>2</x:v>
      </x:c>
      <x:c r="D49" s="3" t="str">
        <x:v>joi180004supp1_prod.pdf — PDF p. 110</x:v>
      </x:c>
      <x:c r="E49" s="3" t="str">
        <x:v>../../2018/jama.2018.0156/joi180004supp1_prod.pdf#page=110</x:v>
      </x:c>
    </x:row>
    <x:row r="50" ht="90" customHeight="1">
      <x:c r="A50" s="6" t="str">
        <x:v>2018::jama.2018.0156::C007</x:v>
      </x:c>
      <x:c r="B50" s="6" t="str">
        <x:v>evidencePaths</x:v>
      </x:c>
      <x:c r="C50" s="6" t="n">
        <x:v>0</x:v>
      </x:c>
      <x:c r="D50" s="6" t="str">
        <x:v>2018/jama.2018.0156/.ai_paper_validation/review_1_5_2/source_inventory.md</x:v>
      </x:c>
      <x:c r="E50" s="6" t="str">
        <x:v>../../2018/jama.2018.0156/.ai_paper_validation/review_1_5_2/source_inventory.md</x:v>
      </x:c>
    </x:row>
    <x:row r="51" ht="90" customHeight="1">
      <x:c r="A51" s="3" t="str">
        <x:v>2018::jama.2018.0156::C007</x:v>
      </x:c>
      <x:c r="B51" s="3" t="str">
        <x:v>evidencePaths</x:v>
      </x:c>
      <x:c r="C51" s="3" t="n">
        <x:v>1</x:v>
      </x:c>
      <x:c r="D51" s="3" t="str">
        <x:v>2018/jama.2018.0156/.ai_paper_validation/review_1_5_2/verification/evidence_recheck.md</x:v>
      </x:c>
      <x:c r="E51" s="3" t="str">
        <x:v>../../2018/jama.2018.0156/.ai_paper_validation/review_1_5_2/verification/evidence_recheck.md</x:v>
      </x:c>
    </x:row>
    <x:row r="52" ht="90" customHeight="1">
      <x:c r="A52" s="6" t="str">
        <x:v>2018::jama.2018.0156::C008</x:v>
      </x:c>
      <x:c r="B52" s="6" t="str">
        <x:v>sourceLinks</x:v>
      </x:c>
      <x:c r="C52" s="6" t="n">
        <x:v>0</x:v>
      </x:c>
      <x:c r="D52" s="6" t="str">
        <x:v>joi180004supp1_prod.pdf — PDF p. 110</x:v>
      </x:c>
      <x:c r="E52" s="6" t="str">
        <x:v>../../2018/jama.2018.0156/joi180004supp1_prod.pdf#page=110</x:v>
      </x:c>
    </x:row>
    <x:row r="53" ht="90" customHeight="1">
      <x:c r="A53" s="3" t="str">
        <x:v>2018::jama.2018.0156::C008</x:v>
      </x:c>
      <x:c r="B53" s="3" t="str">
        <x:v>sourceLinks</x:v>
      </x:c>
      <x:c r="C53" s="3" t="n">
        <x:v>1</x:v>
      </x:c>
      <x:c r="D53" s="3" t="str">
        <x:v>jama_jabre_2018_oi_180004.pdf — PDF p. 1</x:v>
      </x:c>
      <x:c r="E53" s="3" t="str">
        <x:v>../../2018/jama.2018.0156/jama_jabre_2018_oi_180004.pdf#page=1</x:v>
      </x:c>
    </x:row>
    <x:row r="54" ht="90" customHeight="1">
      <x:c r="A54" s="6" t="str">
        <x:v>2018::jama.2018.0156::C008</x:v>
      </x:c>
      <x:c r="B54" s="6" t="str">
        <x:v>sourceLinks</x:v>
      </x:c>
      <x:c r="C54" s="6" t="n">
        <x:v>2</x:v>
      </x:c>
      <x:c r="D54" s="6" t="str">
        <x:v>PDF p. 4</x:v>
      </x:c>
      <x:c r="E54" s="6" t="str">
        <x:v>../../2018/jama.2018.0156/jama_jabre_2018_oi_180004.pdf#page=4</x:v>
      </x:c>
    </x:row>
    <x:row r="55" ht="90" customHeight="1">
      <x:c r="A55" s="3" t="str">
        <x:v>2018::jama.2018.0156::C008</x:v>
      </x:c>
      <x:c r="B55" s="3" t="str">
        <x:v>sourceLinks</x:v>
      </x:c>
      <x:c r="C55" s="3" t="n">
        <x:v>3</x:v>
      </x:c>
      <x:c r="D55" s="3" t="str">
        <x:v>PDF p. 6</x:v>
      </x:c>
      <x:c r="E55" s="3" t="str">
        <x:v>../../2018/jama.2018.0156/jama_jabre_2018_oi_180004.pdf#page=6</x:v>
      </x:c>
    </x:row>
    <x:row r="56" ht="90" customHeight="1">
      <x:c r="A56" s="6" t="str">
        <x:v>2018::jama.2018.0156::C008</x:v>
      </x:c>
      <x:c r="B56" s="6" t="str">
        <x:v>evidencePaths</x:v>
      </x:c>
      <x:c r="C56" s="6" t="n">
        <x:v>0</x:v>
      </x:c>
      <x:c r="D56" s="6" t="str">
        <x:v>2018/jama.2018.0156/.ai_paper_validation/review_1_5_2/source_inventory.md</x:v>
      </x:c>
      <x:c r="E56" s="6" t="str">
        <x:v>../../2018/jama.2018.0156/.ai_paper_validation/review_1_5_2/source_inventory.md</x:v>
      </x:c>
    </x:row>
    <x:row r="57" ht="90" customHeight="1">
      <x:c r="A57" s="3" t="str">
        <x:v>2018::jama.2018.0156::C008</x:v>
      </x:c>
      <x:c r="B57" s="3" t="str">
        <x:v>evidencePaths</x:v>
      </x:c>
      <x:c r="C57" s="3" t="n">
        <x:v>1</x:v>
      </x:c>
      <x:c r="D57" s="3" t="str">
        <x:v>2018/jama.2018.0156/.ai_paper_validation/review_1_5_2/verification/evidence_recheck.md</x:v>
      </x:c>
      <x:c r="E57" s="3" t="str">
        <x:v>../../2018/jama.2018.0156/.ai_paper_validation/review_1_5_2/verification/evidence_recheck.md</x:v>
      </x:c>
    </x:row>
    <x:row r="58" ht="90" customHeight="1">
      <x:c r="A58" s="6" t="str">
        <x:v>2018::jama.2018.0156::C008</x:v>
      </x:c>
      <x:c r="B58" s="6" t="str">
        <x:v>evidencePaths</x:v>
      </x:c>
      <x:c r="C58" s="6" t="n">
        <x:v>2</x:v>
      </x:c>
      <x:c r="D58" s="6" t="str">
        <x:v>2018/jama.2018.0156/.ai_paper_validation/review_1_5_2/preprocessing/native_text/jama_jabre_2018_oi_180004.txt</x:v>
      </x:c>
      <x:c r="E58" s="6" t="str">
        <x:v>../../2018/jama.2018.0156/.ai_paper_validation/review_1_5_2/preprocessing/native_text/jama_jabre_2018_oi_180004.txt</x:v>
      </x:c>
    </x:row>
    <x:row r="59" ht="90" customHeight="1">
      <x:c r="A59" s="3" t="str">
        <x:v>2018::jama.2018.0948::C001</x:v>
      </x:c>
      <x:c r="B59" s="3" t="str">
        <x:v>sourceLinks</x:v>
      </x:c>
      <x:c r="C59" s="3" t="n">
        <x:v>0</x:v>
      </x:c>
      <x:c r="D59" s="3" t="str">
        <x:v>main article — PDF p. 4</x:v>
      </x:c>
      <x:c r="E59" s="3" t="str">
        <x:v>../../2018/jama.2018.0948/jama_parshuram_2018_oi_180015.pdf#page=4</x:v>
      </x:c>
    </x:row>
    <x:row r="60" ht="90" customHeight="1">
      <x:c r="A60" s="6" t="str">
        <x:v>2018::jama.2018.0948::C001</x:v>
      </x:c>
      <x:c r="B60" s="6" t="str">
        <x:v>sourceLinks</x:v>
      </x:c>
      <x:c r="C60" s="6" t="n">
        <x:v>1</x:v>
      </x:c>
      <x:c r="D60" s="6" t="str">
        <x:v>Supplement 1 Table 5 — PDF p. 24</x:v>
      </x:c>
      <x:c r="E60" s="6" t="str">
        <x:v>../../2018/jama.2018.0948/joi180015supp1_prod.pdf#page=24</x:v>
      </x:c>
    </x:row>
    <x:row r="61" ht="90" customHeight="1">
      <x:c r="A61" s="3" t="str">
        <x:v>2018::jama.2018.0948::C001</x:v>
      </x:c>
      <x:c r="B61" s="3" t="str">
        <x:v>sourceLinks</x:v>
      </x:c>
      <x:c r="C61" s="3" t="n">
        <x:v>2</x:v>
      </x:c>
      <x:c r="D61" s="3" t="str">
        <x:v>Supplement 3 eTable 1 — PDF p. 6</x:v>
      </x:c>
      <x:c r="E61" s="3" t="str">
        <x:v>../../2018/jama.2018.0948/joi180015supp3_prod.pdf#page=6</x:v>
      </x:c>
    </x:row>
    <x:row r="62" ht="90" customHeight="1">
      <x:c r="A62" s="6" t="str">
        <x:v>2018::jama.2018.0948::C001</x:v>
      </x:c>
      <x:c r="B62" s="6" t="str">
        <x:v>evidencePaths</x:v>
      </x:c>
      <x:c r="C62" s="6" t="n">
        <x:v>0</x:v>
      </x:c>
      <x:c r="D62" s="6" t="str">
        <x:v>2018/jama.2018.0948/.ai_paper_validation/review_1_5_2/source_inventory.md</x:v>
      </x:c>
      <x:c r="E62" s="6" t="str">
        <x:v>../../2018/jama.2018.0948/.ai_paper_validation/review_1_5_2/source_inventory.md</x:v>
      </x:c>
    </x:row>
    <x:row r="63" ht="90" customHeight="1">
      <x:c r="A63" s="3" t="str">
        <x:v>2018::jama.2018.0948::C001</x:v>
      </x:c>
      <x:c r="B63" s="3" t="str">
        <x:v>evidencePaths</x:v>
      </x:c>
      <x:c r="C63" s="3" t="n">
        <x:v>1</x:v>
      </x:c>
      <x:c r="D63" s="3" t="str">
        <x:v>2018/jama.2018.0948/.ai_paper_validation/review_1_5_2/candidate_ledger.md</x:v>
      </x:c>
      <x:c r="E63" s="3" t="str">
        <x:v>../../2018/jama.2018.0948/.ai_paper_validation/review_1_5_2/candidate_ledger.md</x:v>
      </x:c>
    </x:row>
    <x:row r="64" ht="90" customHeight="1">
      <x:c r="A64" s="6" t="str">
        <x:v>2018::jama.2018.0948::C002</x:v>
      </x:c>
      <x:c r="B64" s="6" t="str">
        <x:v>sourceLinks</x:v>
      </x:c>
      <x:c r="C64" s="6" t="n">
        <x:v>0</x:v>
      </x:c>
      <x:c r="D64" s="6" t="str">
        <x:v>Supplement 1 — PDF p. 1</x:v>
      </x:c>
      <x:c r="E64" s="6" t="str">
        <x:v>../../2018/jama.2018.0948/joi180015supp1_prod.pdf#page=1</x:v>
      </x:c>
    </x:row>
    <x:row r="65" ht="90" customHeight="1">
      <x:c r="A65" s="3" t="str">
        <x:v>2018::jama.2018.0948::C002</x:v>
      </x:c>
      <x:c r="B65" s="3" t="str">
        <x:v>sourceLinks</x:v>
      </x:c>
      <x:c r="C65" s="3" t="n">
        <x:v>1</x:v>
      </x:c>
      <x:c r="D65" s="3" t="str">
        <x:v>p. 14</x:v>
      </x:c>
      <x:c r="E65" s="3" t="str">
        <x:v>../../2018/jama.2018.0948/joi180015supp1_prod.pdf#page=14</x:v>
      </x:c>
    </x:row>
    <x:row r="66" ht="90" customHeight="1">
      <x:c r="A66" s="6" t="str">
        <x:v>2018::jama.2018.0948::C002</x:v>
      </x:c>
      <x:c r="B66" s="6" t="str">
        <x:v>sourceLinks</x:v>
      </x:c>
      <x:c r="C66" s="6" t="n">
        <x:v>2</x:v>
      </x:c>
      <x:c r="D66" s="6" t="str">
        <x:v>p. 29</x:v>
      </x:c>
      <x:c r="E66" s="6" t="str">
        <x:v>../../2018/jama.2018.0948/joi180015supp1_prod.pdf#page=29</x:v>
      </x:c>
    </x:row>
    <x:row r="67" ht="90" customHeight="1">
      <x:c r="A67" s="3" t="str">
        <x:v>2018::jama.2018.0948::C002</x:v>
      </x:c>
      <x:c r="B67" s="3" t="str">
        <x:v>sourceLinks</x:v>
      </x:c>
      <x:c r="C67" s="3" t="n">
        <x:v>3</x:v>
      </x:c>
      <x:c r="D67" s="3" t="str">
        <x:v>main article — PDF p. 4</x:v>
      </x:c>
      <x:c r="E67" s="3" t="str">
        <x:v>../../2018/jama.2018.0948/jama_parshuram_2018_oi_180015.pdf#page=4</x:v>
      </x:c>
    </x:row>
    <x:row r="68" ht="90" customHeight="1">
      <x:c r="A68" s="6" t="str">
        <x:v>2018::jama.2018.0948::C002</x:v>
      </x:c>
      <x:c r="B68" s="6" t="str">
        <x:v>evidencePaths</x:v>
      </x:c>
      <x:c r="C68" s="6" t="n">
        <x:v>0</x:v>
      </x:c>
      <x:c r="D68" s="6" t="str">
        <x:v>2018/jama.2018.0948/.ai_paper_validation/review_1_5_2/source_inventory.md</x:v>
      </x:c>
      <x:c r="E68" s="6" t="str">
        <x:v>../../2018/jama.2018.0948/.ai_paper_validation/review_1_5_2/source_inventory.md</x:v>
      </x:c>
    </x:row>
    <x:row r="69" ht="90" customHeight="1">
      <x:c r="A69" s="3" t="str">
        <x:v>2018::jama.2018.0948::C002</x:v>
      </x:c>
      <x:c r="B69" s="3" t="str">
        <x:v>evidencePaths</x:v>
      </x:c>
      <x:c r="C69" s="3" t="n">
        <x:v>1</x:v>
      </x:c>
      <x:c r="D69" s="3" t="str">
        <x:v>2018/jama.2018.0948/.ai_paper_validation/review_1_5_2/candidate_ledger.md</x:v>
      </x:c>
      <x:c r="E69" s="3" t="str">
        <x:v>../../2018/jama.2018.0948/.ai_paper_validation/review_1_5_2/candidate_ledger.md</x:v>
      </x:c>
    </x:row>
    <x:row r="70" ht="90" customHeight="1">
      <x:c r="A70" s="6" t="str">
        <x:v>2018::jama.2018.0948::C003</x:v>
      </x:c>
      <x:c r="B70" s="6" t="str">
        <x:v>sourceLinks</x:v>
      </x:c>
      <x:c r="C70" s="6" t="n">
        <x:v>0</x:v>
      </x:c>
      <x:c r="D70" s="6" t="str">
        <x:v>Supplement 1 — PDF p. 11</x:v>
      </x:c>
      <x:c r="E70" s="6" t="str">
        <x:v>../../2018/jama.2018.0948/joi180015supp1_prod.pdf#page=11</x:v>
      </x:c>
    </x:row>
    <x:row r="71" ht="90" customHeight="1">
      <x:c r="A71" s="3" t="str">
        <x:v>2018::jama.2018.0948::C003</x:v>
      </x:c>
      <x:c r="B71" s="3" t="str">
        <x:v>sourceLinks</x:v>
      </x:c>
      <x:c r="C71" s="3" t="n">
        <x:v>1</x:v>
      </x:c>
      <x:c r="D71" s="3" t="str">
        <x:v>Table 5 — PDF p. 24</x:v>
      </x:c>
      <x:c r="E71" s="3" t="str">
        <x:v>../../2018/jama.2018.0948/joi180015supp1_prod.pdf#page=24</x:v>
      </x:c>
    </x:row>
    <x:row r="72" ht="90" customHeight="1">
      <x:c r="A72" s="6" t="str">
        <x:v>2018::jama.2018.0948::C003</x:v>
      </x:c>
      <x:c r="B72" s="6" t="str">
        <x:v>sourceLinks</x:v>
      </x:c>
      <x:c r="C72" s="6" t="n">
        <x:v>2</x:v>
      </x:c>
      <x:c r="D72" s="6" t="str">
        <x:v>Table 6 legend — PDF p. 27</x:v>
      </x:c>
      <x:c r="E72" s="6" t="str">
        <x:v>../../2018/jama.2018.0948/joi180015supp1_prod.pdf#page=27</x:v>
      </x:c>
    </x:row>
    <x:row r="73" ht="90" customHeight="1">
      <x:c r="A73" s="3" t="str">
        <x:v>2018::jama.2018.0948::C003</x:v>
      </x:c>
      <x:c r="B73" s="3" t="str">
        <x:v>evidencePaths</x:v>
      </x:c>
      <x:c r="C73" s="3" t="n">
        <x:v>0</x:v>
      </x:c>
      <x:c r="D73" s="3" t="str">
        <x:v>2018/jama.2018.0948/.ai_paper_validation/review_1_5_2/source_inventory.md</x:v>
      </x:c>
      <x:c r="E73" s="3" t="str">
        <x:v>../../2018/jama.2018.0948/.ai_paper_validation/review_1_5_2/source_inventory.md</x:v>
      </x:c>
    </x:row>
    <x:row r="74" ht="90" customHeight="1">
      <x:c r="A74" s="6" t="str">
        <x:v>2018::jama.2018.0948::C003</x:v>
      </x:c>
      <x:c r="B74" s="6" t="str">
        <x:v>evidencePaths</x:v>
      </x:c>
      <x:c r="C74" s="6" t="n">
        <x:v>1</x:v>
      </x:c>
      <x:c r="D74" s="6" t="str">
        <x:v>2018/jama.2018.0948/.ai_paper_validation/review_1_5_2/candidate_ledger.md</x:v>
      </x:c>
      <x:c r="E74" s="6" t="str">
        <x:v>../../2018/jama.2018.0948/.ai_paper_validation/review_1_5_2/candidate_ledger.md</x:v>
      </x:c>
    </x:row>
    <x:row r="75" ht="90" customHeight="1">
      <x:c r="A75" s="3" t="str">
        <x:v>2018::jama.2018.0948::C004</x:v>
      </x:c>
      <x:c r="B75" s="3" t="str">
        <x:v>sourceLinks</x:v>
      </x:c>
      <x:c r="C75" s="3" t="n">
        <x:v>0</x:v>
      </x:c>
      <x:c r="D75" s="3" t="str">
        <x:v>Supplement 1 — PDF p. 11</x:v>
      </x:c>
      <x:c r="E75" s="3" t="str">
        <x:v>../../2018/jama.2018.0948/joi180015supp1_prod.pdf#page=11</x:v>
      </x:c>
    </x:row>
    <x:row r="76" ht="90" customHeight="1">
      <x:c r="A76" s="6" t="str">
        <x:v>2018::jama.2018.0948::C004</x:v>
      </x:c>
      <x:c r="B76" s="6" t="str">
        <x:v>sourceLinks</x:v>
      </x:c>
      <x:c r="C76" s="6" t="n">
        <x:v>1</x:v>
      </x:c>
      <x:c r="D76" s="6" t="str">
        <x:v>Table 7 — PDF p. 28</x:v>
      </x:c>
      <x:c r="E76" s="6" t="str">
        <x:v>../../2018/jama.2018.0948/joi180015supp1_prod.pdf#page=28</x:v>
      </x:c>
    </x:row>
    <x:row r="77" ht="90" customHeight="1">
      <x:c r="A77" s="3" t="str">
        <x:v>2018::jama.2018.0948::C004</x:v>
      </x:c>
      <x:c r="B77" s="3" t="str">
        <x:v>sourceLinks</x:v>
      </x:c>
      <x:c r="C77" s="3" t="n">
        <x:v>2</x:v>
      </x:c>
      <x:c r="D77" s="3" t="str">
        <x:v>Supplement 3 eTable 1 — PDF p. 6</x:v>
      </x:c>
      <x:c r="E77" s="3" t="str">
        <x:v>../../2018/jama.2018.0948/joi180015supp3_prod.pdf#page=6</x:v>
      </x:c>
    </x:row>
    <x:row r="78" ht="90" customHeight="1">
      <x:c r="A78" s="6" t="str">
        <x:v>2018::jama.2018.0948::C004</x:v>
      </x:c>
      <x:c r="B78" s="6" t="str">
        <x:v>sourceLinks</x:v>
      </x:c>
      <x:c r="C78" s="6" t="n">
        <x:v>3</x:v>
      </x:c>
      <x:c r="D78" s="6" t="str">
        <x:v>main article — PDF p. 7</x:v>
      </x:c>
      <x:c r="E78" s="6" t="str">
        <x:v>../../2018/jama.2018.0948/jama_parshuram_2018_oi_180015.pdf#page=7</x:v>
      </x:c>
    </x:row>
    <x:row r="79" ht="90" customHeight="1">
      <x:c r="A79" s="3" t="str">
        <x:v>2018::jama.2018.0948::C004</x:v>
      </x:c>
      <x:c r="B79" s="3" t="str">
        <x:v>evidencePaths</x:v>
      </x:c>
      <x:c r="C79" s="3" t="n">
        <x:v>0</x:v>
      </x:c>
      <x:c r="D79" s="3" t="str">
        <x:v>2018/jama.2018.0948/.ai_paper_validation/review_1_5_2/source_inventory.md</x:v>
      </x:c>
      <x:c r="E79" s="3" t="str">
        <x:v>../../2018/jama.2018.0948/.ai_paper_validation/review_1_5_2/source_inventory.md</x:v>
      </x:c>
    </x:row>
    <x:row r="80" ht="90" customHeight="1">
      <x:c r="A80" s="6" t="str">
        <x:v>2018::jama.2018.0948::C004</x:v>
      </x:c>
      <x:c r="B80" s="6" t="str">
        <x:v>evidencePaths</x:v>
      </x:c>
      <x:c r="C80" s="6" t="n">
        <x:v>1</x:v>
      </x:c>
      <x:c r="D80" s="6" t="str">
        <x:v>2018/jama.2018.0948/.ai_paper_validation/review_1_5_2/verification/evidence_recheck.md</x:v>
      </x:c>
      <x:c r="E80" s="6" t="str">
        <x:v>../../2018/jama.2018.0948/.ai_paper_validation/review_1_5_2/verification/evidence_recheck.md</x:v>
      </x:c>
    </x:row>
    <x:row r="81" ht="90" customHeight="1">
      <x:c r="A81" s="3" t="str">
        <x:v>2018::jama.2018.0948::C004</x:v>
      </x:c>
      <x:c r="B81" s="3" t="str">
        <x:v>evidencePaths</x:v>
      </x:c>
      <x:c r="C81" s="3" t="n">
        <x:v>2</x:v>
      </x:c>
      <x:c r="D81" s="3" t="str">
        <x:v>2018/jama.2018.0948/.ai_paper_validation/review_1_5_2/candidate_ledger.md</x:v>
      </x:c>
      <x:c r="E81" s="3" t="str">
        <x:v>../../2018/jama.2018.0948/.ai_paper_validation/review_1_5_2/candidate_ledger.md</x:v>
      </x:c>
    </x:row>
    <x:row r="82" ht="90" customHeight="1">
      <x:c r="A82" s="6" t="str">
        <x:v>2018::jama.2018.0948::C005</x:v>
      </x:c>
      <x:c r="B82" s="6" t="str">
        <x:v>sourceLinks</x:v>
      </x:c>
      <x:c r="C82" s="6" t="n">
        <x:v>0</x:v>
      </x:c>
      <x:c r="D82" s="6" t="str">
        <x:v>Supplement 1 — PDF p. 14</x:v>
      </x:c>
      <x:c r="E82" s="6" t="str">
        <x:v>../../2018/jama.2018.0948/joi180015supp1_prod.pdf#page=14</x:v>
      </x:c>
    </x:row>
    <x:row r="83" ht="90" customHeight="1">
      <x:c r="A83" s="3" t="str">
        <x:v>2018::jama.2018.0948::C005</x:v>
      </x:c>
      <x:c r="B83" s="3" t="str">
        <x:v>sourceLinks</x:v>
      </x:c>
      <x:c r="C83" s="3" t="n">
        <x:v>1</x:v>
      </x:c>
      <x:c r="D83" s="3" t="str">
        <x:v>PDF p. 30</x:v>
      </x:c>
      <x:c r="E83" s="3" t="str">
        <x:v>../../2018/jama.2018.0948/joi180015supp1_prod.pdf#page=30</x:v>
      </x:c>
    </x:row>
    <x:row r="84" ht="90" customHeight="1">
      <x:c r="A84" s="6" t="str">
        <x:v>2018::jama.2018.0948::C005</x:v>
      </x:c>
      <x:c r="B84" s="6" t="str">
        <x:v>evidencePaths</x:v>
      </x:c>
      <x:c r="C84" s="6" t="n">
        <x:v>0</x:v>
      </x:c>
      <x:c r="D84" s="6" t="str">
        <x:v>2018/jama.2018.0948/.ai_paper_validation/review_1_5_2/source_inventory.md</x:v>
      </x:c>
      <x:c r="E84" s="6" t="str">
        <x:v>../../2018/jama.2018.0948/.ai_paper_validation/review_1_5_2/source_inventory.md</x:v>
      </x:c>
    </x:row>
    <x:row r="85" ht="90" customHeight="1">
      <x:c r="A85" s="3" t="str">
        <x:v>2018::jama.2018.0948::C005</x:v>
      </x:c>
      <x:c r="B85" s="3" t="str">
        <x:v>evidencePaths</x:v>
      </x:c>
      <x:c r="C85" s="3" t="n">
        <x:v>1</x:v>
      </x:c>
      <x:c r="D85" s="3" t="str">
        <x:v>2018/jama.2018.0948/.ai_paper_validation/review_1_5_2/candidate_ledger.md</x:v>
      </x:c>
      <x:c r="E85" s="3" t="str">
        <x:v>../../2018/jama.2018.0948/.ai_paper_validation/review_1_5_2/candidate_ledger.md</x:v>
      </x:c>
    </x:row>
    <x:row r="86" ht="90" customHeight="1">
      <x:c r="A86" s="6" t="str">
        <x:v>2018::jama.2018.0948::C005</x:v>
      </x:c>
      <x:c r="B86" s="6" t="str">
        <x:v>evidencePaths</x:v>
      </x:c>
      <x:c r="C86" s="6" t="n">
        <x:v>2</x:v>
      </x:c>
      <x:c r="D86" s="6" t="str">
        <x:v>2018/jama.2018.0948/.ai_paper_validation/review_1_5_2/preprocessing/native_text/joi180015supp1_prod.txt</x:v>
      </x:c>
      <x:c r="E86" s="6" t="str">
        <x:v>../../2018/jama.2018.0948/.ai_paper_validation/review_1_5_2/preprocessing/native_text/joi180015supp1_prod.txt</x:v>
      </x:c>
    </x:row>
    <x:row r="87" ht="90" customHeight="1">
      <x:c r="A87" s="3" t="str">
        <x:v>2018::jama.2018.0948::C006</x:v>
      </x:c>
      <x:c r="B87" s="3" t="str">
        <x:v>sourceLinks</x:v>
      </x:c>
      <x:c r="C87" s="3" t="n">
        <x:v>0</x:v>
      </x:c>
      <x:c r="D87" s="3" t="str">
        <x:v>Supplement 1 — PDF p. 30</x:v>
      </x:c>
      <x:c r="E87" s="3" t="str">
        <x:v>../../2018/jama.2018.0948/joi180015supp1_prod.pdf#page=30</x:v>
      </x:c>
    </x:row>
    <x:row r="88" ht="90" customHeight="1">
      <x:c r="A88" s="6" t="str">
        <x:v>2018::jama.2018.0948::C006</x:v>
      </x:c>
      <x:c r="B88" s="6" t="str">
        <x:v>evidencePaths</x:v>
      </x:c>
      <x:c r="C88" s="6" t="n">
        <x:v>0</x:v>
      </x:c>
      <x:c r="D88" s="6" t="str">
        <x:v>2018/jama.2018.0948/.ai_paper_validation/review_1_5_2/source_inventory.md</x:v>
      </x:c>
      <x:c r="E88" s="6" t="str">
        <x:v>../../2018/jama.2018.0948/.ai_paper_validation/review_1_5_2/source_inventory.md</x:v>
      </x:c>
    </x:row>
    <x:row r="89" ht="90" customHeight="1">
      <x:c r="A89" s="3" t="str">
        <x:v>2018::jama.2018.0948::C006</x:v>
      </x:c>
      <x:c r="B89" s="3" t="str">
        <x:v>evidencePaths</x:v>
      </x:c>
      <x:c r="C89" s="3" t="n">
        <x:v>1</x:v>
      </x:c>
      <x:c r="D89" s="3" t="str">
        <x:v>2018/jama.2018.0948/.ai_paper_validation/review_1_5_2/candidate_ledger.md</x:v>
      </x:c>
      <x:c r="E89" s="3" t="str">
        <x:v>../../2018/jama.2018.0948/.ai_paper_validation/review_1_5_2/candidate_ledger.md</x:v>
      </x:c>
    </x:row>
    <x:row r="90" ht="90" customHeight="1">
      <x:c r="A90" s="6" t="str">
        <x:v>2018::jama.2018.0948::C007</x:v>
      </x:c>
      <x:c r="B90" s="6" t="str">
        <x:v>sourceLinks</x:v>
      </x:c>
      <x:c r="C90" s="6" t="n">
        <x:v>0</x:v>
      </x:c>
      <x:c r="D90" s="6" t="str">
        <x:v>Supplement 1 — PDF p. 30</x:v>
      </x:c>
      <x:c r="E90" s="6" t="str">
        <x:v>../../2018/jama.2018.0948/joi180015supp1_prod.pdf#page=30</x:v>
      </x:c>
    </x:row>
    <x:row r="91" ht="90" customHeight="1">
      <x:c r="A91" s="3" t="str">
        <x:v>2018::jama.2018.0948::C007</x:v>
      </x:c>
      <x:c r="B91" s="3" t="str">
        <x:v>evidencePaths</x:v>
      </x:c>
      <x:c r="C91" s="3" t="n">
        <x:v>0</x:v>
      </x:c>
      <x:c r="D91" s="3" t="str">
        <x:v>2018/jama.2018.0948/.ai_paper_validation/review_1_5_2/source_inventory.md</x:v>
      </x:c>
      <x:c r="E91" s="3" t="str">
        <x:v>../../2018/jama.2018.0948/.ai_paper_validation/review_1_5_2/source_inventory.md</x:v>
      </x:c>
    </x:row>
    <x:row r="92" ht="90" customHeight="1">
      <x:c r="A92" s="6" t="str">
        <x:v>2018::jama.2018.0948::C007</x:v>
      </x:c>
      <x:c r="B92" s="6" t="str">
        <x:v>evidencePaths</x:v>
      </x:c>
      <x:c r="C92" s="6" t="n">
        <x:v>1</x:v>
      </x:c>
      <x:c r="D92" s="6" t="str">
        <x:v>2018/jama.2018.0948/.ai_paper_validation/review_1_5_2/candidate_ledger.md</x:v>
      </x:c>
      <x:c r="E92" s="6" t="str">
        <x:v>../../2018/jama.2018.0948/.ai_paper_validation/review_1_5_2/candidate_ledger.md</x:v>
      </x:c>
    </x:row>
    <x:row r="93" ht="90" customHeight="1">
      <x:c r="A93" s="3" t="str">
        <x:v>2018::jama.2018.0948::C007</x:v>
      </x:c>
      <x:c r="B93" s="3" t="str">
        <x:v>evidencePaths</x:v>
      </x:c>
      <x:c r="C93" s="3" t="n">
        <x:v>2</x:v>
      </x:c>
      <x:c r="D93" s="3" t="str">
        <x:v>2018/jama.2018.0948/.ai_paper_validation/review_1_5_2/preprocessing/native_text/joi180015supp1_prod.txt</x:v>
      </x:c>
      <x:c r="E93" s="3" t="str">
        <x:v>../../2018/jama.2018.0948/.ai_paper_validation/review_1_5_2/preprocessing/native_text/joi180015supp1_prod.txt</x:v>
      </x:c>
    </x:row>
    <x:row r="94" ht="90" customHeight="1">
      <x:c r="A94" s="6" t="str">
        <x:v>2018::jama.2018.14280::C001</x:v>
      </x:c>
      <x:c r="B94" s="6" t="str">
        <x:v>evidencePaths</x:v>
      </x:c>
      <x:c r="C94" s="6" t="n">
        <x:v>0</x:v>
      </x:c>
      <x:c r="D94" s="6" t="str">
        <x:v>2018/jama.2018.14280/.ai_paper_validation/review_1_5_2/source_inventory.md</x:v>
      </x:c>
      <x:c r="E94" s="6" t="str">
        <x:v>../../2018/jama.2018.14280/.ai_paper_validation/review_1_5_2/source_inventory.md</x:v>
      </x:c>
    </x:row>
    <x:row r="95" ht="90" customHeight="1">
      <x:c r="A95" s="3" t="str">
        <x:v>2018::jama.2018.14280::C002</x:v>
      </x:c>
      <x:c r="B95" s="3" t="str">
        <x:v>evidencePaths</x:v>
      </x:c>
      <x:c r="C95" s="3" t="n">
        <x:v>0</x:v>
      </x:c>
      <x:c r="D95" s="3" t="str">
        <x:v>2018/jama.2018.14280/.ai_paper_validation/review_1_5_2/source_inventory.md</x:v>
      </x:c>
      <x:c r="E95" s="3" t="str">
        <x:v>../../2018/jama.2018.14280/.ai_paper_validation/review_1_5_2/source_inventory.md</x:v>
      </x:c>
    </x:row>
    <x:row r="96" ht="90" customHeight="1">
      <x:c r="A96" s="6" t="str">
        <x:v>2018::jama.2018.14280::C003</x:v>
      </x:c>
      <x:c r="B96" s="6" t="str">
        <x:v>evidencePaths</x:v>
      </x:c>
      <x:c r="C96" s="6" t="n">
        <x:v>0</x:v>
      </x:c>
      <x:c r="D96" s="6" t="str">
        <x:v>2018/jama.2018.14280/.ai_paper_validation/review_1_5_2/source_inventory.md</x:v>
      </x:c>
      <x:c r="E96" s="6" t="str">
        <x:v>../../2018/jama.2018.14280/.ai_paper_validation/review_1_5_2/source_inventory.md</x:v>
      </x:c>
    </x:row>
    <x:row r="97" ht="90" customHeight="1">
      <x:c r="A97" s="3" t="str">
        <x:v>2018::jama.2018.14280::C004</x:v>
      </x:c>
      <x:c r="B97" s="3" t="str">
        <x:v>evidencePaths</x:v>
      </x:c>
      <x:c r="C97" s="3" t="n">
        <x:v>0</x:v>
      </x:c>
      <x:c r="D97" s="3" t="str">
        <x:v>2018/jama.2018.14280/.ai_paper_validation/review_1_5_2/source_inventory.md</x:v>
      </x:c>
      <x:c r="E97" s="3" t="str">
        <x:v>../../2018/jama.2018.14280/.ai_paper_validation/review_1_5_2/source_inventory.md</x:v>
      </x:c>
    </x:row>
    <x:row r="98" ht="90" customHeight="1">
      <x:c r="A98" s="6" t="str">
        <x:v>2018::jama.2018.14280::C005</x:v>
      </x:c>
      <x:c r="B98" s="6" t="str">
        <x:v>evidencePaths</x:v>
      </x:c>
      <x:c r="C98" s="6" t="n">
        <x:v>0</x:v>
      </x:c>
      <x:c r="D98" s="6" t="str">
        <x:v>2018/jama.2018.14280/.ai_paper_validation/review_1_5_2/source_inventory.md</x:v>
      </x:c>
      <x:c r="E98" s="6" t="str">
        <x:v>../../2018/jama.2018.14280/.ai_paper_validation/review_1_5_2/source_inventory.md</x:v>
      </x:c>
    </x:row>
    <x:row r="99" ht="90" customHeight="1">
      <x:c r="A99" s="3" t="str">
        <x:v>2018::jama.2018.14280::C006</x:v>
      </x:c>
      <x:c r="B99" s="3" t="str">
        <x:v>evidencePaths</x:v>
      </x:c>
      <x:c r="C99" s="3" t="n">
        <x:v>0</x:v>
      </x:c>
      <x:c r="D99" s="3" t="str">
        <x:v>2018/jama.2018.14280/.ai_paper_validation/review_1_5_2/source_inventory.md</x:v>
      </x:c>
      <x:c r="E99" s="3" t="str">
        <x:v>../../2018/jama.2018.14280/.ai_paper_validation/review_1_5_2/source_inventory.md</x:v>
      </x:c>
    </x:row>
    <x:row r="100" ht="90" customHeight="1">
      <x:c r="A100" s="6" t="str">
        <x:v>2018::jama.2018.14280::C007</x:v>
      </x:c>
      <x:c r="B100" s="6" t="str">
        <x:v>evidencePaths</x:v>
      </x:c>
      <x:c r="C100" s="6" t="n">
        <x:v>0</x:v>
      </x:c>
      <x:c r="D100" s="6" t="str">
        <x:v>2018/jama.2018.14280/.ai_paper_validation/review_1_5_2/source_inventory.md</x:v>
      </x:c>
      <x:c r="E100" s="6" t="str">
        <x:v>../../2018/jama.2018.14280/.ai_paper_validation/review_1_5_2/source_inventory.md</x:v>
      </x:c>
    </x:row>
    <x:row r="101" ht="90" customHeight="1">
      <x:c r="A101" s="3" t="str">
        <x:v>2018::jama.2018.14280::C008</x:v>
      </x:c>
      <x:c r="B101" s="3" t="str">
        <x:v>evidencePaths</x:v>
      </x:c>
      <x:c r="C101" s="3" t="n">
        <x:v>0</x:v>
      </x:c>
      <x:c r="D101" s="3" t="str">
        <x:v>2018/jama.2018.14280/.ai_paper_validation/review_1_5_2/source_inventory.md</x:v>
      </x:c>
      <x:c r="E101" s="3" t="str">
        <x:v>../../2018/jama.2018.14280/.ai_paper_validation/review_1_5_2/source_inventory.md</x:v>
      </x:c>
    </x:row>
    <x:row r="102" ht="90" customHeight="1">
      <x:c r="A102" s="6" t="str">
        <x:v>2018::jama.2018.14280::C009</x:v>
      </x:c>
      <x:c r="B102" s="6" t="str">
        <x:v>evidencePaths</x:v>
      </x:c>
      <x:c r="C102" s="6" t="n">
        <x:v>0</x:v>
      </x:c>
      <x:c r="D102" s="6" t="str">
        <x:v>2018/jama.2018.14280/.ai_paper_validation/review_1_5_2/source_inventory.md</x:v>
      </x:c>
      <x:c r="E102" s="6" t="str">
        <x:v>../../2018/jama.2018.14280/.ai_paper_validation/review_1_5_2/source_inventory.md</x:v>
      </x:c>
    </x:row>
    <x:row r="103" ht="90" customHeight="1">
      <x:c r="A103" s="3" t="str">
        <x:v>2018::jama.2018.14280::C010</x:v>
      </x:c>
      <x:c r="B103" s="3" t="str">
        <x:v>evidencePaths</x:v>
      </x:c>
      <x:c r="C103" s="3" t="n">
        <x:v>0</x:v>
      </x:c>
      <x:c r="D103" s="3" t="str">
        <x:v>2018/jama.2018.14280/.ai_paper_validation/review_1_5_2/source_inventory.md</x:v>
      </x:c>
      <x:c r="E103" s="3" t="str">
        <x:v>../../2018/jama.2018.14280/.ai_paper_validation/review_1_5_2/source_inventory.md</x:v>
      </x:c>
    </x:row>
    <x:row r="104" ht="90" customHeight="1">
      <x:c r="A104" s="6" t="str">
        <x:v>2018::jama.2018.14280::C011</x:v>
      </x:c>
      <x:c r="B104" s="6" t="str">
        <x:v>evidencePaths</x:v>
      </x:c>
      <x:c r="C104" s="6" t="n">
        <x:v>0</x:v>
      </x:c>
      <x:c r="D104" s="6" t="str">
        <x:v>2018/jama.2018.14280/.ai_paper_validation/review_1_5_2/source_inventory.md</x:v>
      </x:c>
      <x:c r="E104" s="6" t="str">
        <x:v>../../2018/jama.2018.14280/.ai_paper_validation/review_1_5_2/source_inventory.md</x:v>
      </x:c>
    </x:row>
    <x:row r="105" ht="90" customHeight="1">
      <x:c r="A105" s="3" t="str">
        <x:v>2018::jama.2018.14280::C011</x:v>
      </x:c>
      <x:c r="B105" s="3" t="str">
        <x:v>evidencePaths</x:v>
      </x:c>
      <x:c r="C105" s="3" t="n">
        <x:v>1</x:v>
      </x:c>
      <x:c r="D105" s="3" t="str">
        <x:v>2018/jama.2018.14280/.ai_paper_validation/review_1_5_2/verification/evidence_recheck.md</x:v>
      </x:c>
      <x:c r="E105" s="3" t="str">
        <x:v>../../2018/jama.2018.14280/.ai_paper_validation/review_1_5_2/verification/evidence_recheck.md</x:v>
      </x:c>
    </x:row>
    <x:row r="106" ht="90" customHeight="1">
      <x:c r="A106" s="6" t="str">
        <x:v>2018::jama.2018.14280::C012</x:v>
      </x:c>
      <x:c r="B106" s="6" t="str">
        <x:v>evidencePaths</x:v>
      </x:c>
      <x:c r="C106" s="6" t="n">
        <x:v>0</x:v>
      </x:c>
      <x:c r="D106" s="6" t="str">
        <x:v>2018/jama.2018.14280/.ai_paper_validation/review_1_5_2/source_inventory.md</x:v>
      </x:c>
      <x:c r="E106" s="6" t="str">
        <x:v>../../2018/jama.2018.14280/.ai_paper_validation/review_1_5_2/source_inventory.md</x:v>
      </x:c>
    </x:row>
    <x:row r="107" ht="90" customHeight="1">
      <x:c r="A107" s="3" t="str">
        <x:v>2018::jama.2018.14280::C013</x:v>
      </x:c>
      <x:c r="B107" s="3" t="str">
        <x:v>evidencePaths</x:v>
      </x:c>
      <x:c r="C107" s="3" t="n">
        <x:v>0</x:v>
      </x:c>
      <x:c r="D107" s="3" t="str">
        <x:v>2018/jama.2018.14280/.ai_paper_validation/review_1_5_2/source_inventory.md</x:v>
      </x:c>
      <x:c r="E107" s="3" t="str">
        <x:v>../../2018/jama.2018.14280/.ai_paper_validation/review_1_5_2/source_inventory.md</x:v>
      </x:c>
    </x:row>
    <x:row r="108" ht="90" customHeight="1">
      <x:c r="A108" s="6" t="str">
        <x:v>2018::jama.2018.14280::C014</x:v>
      </x:c>
      <x:c r="B108" s="6" t="str">
        <x:v>evidencePaths</x:v>
      </x:c>
      <x:c r="C108" s="6" t="n">
        <x:v>0</x:v>
      </x:c>
      <x:c r="D108" s="6" t="str">
        <x:v>2018/jama.2018.14280/.ai_paper_validation/review_1_5_2/source_inventory.md</x:v>
      </x:c>
      <x:c r="E108" s="6" t="str">
        <x:v>../../2018/jama.2018.14280/.ai_paper_validation/review_1_5_2/source_inventory.md</x:v>
      </x:c>
    </x:row>
    <x:row r="109" ht="90" customHeight="1">
      <x:c r="A109" s="3" t="str">
        <x:v>2018::jama.2018.14280::C015</x:v>
      </x:c>
      <x:c r="B109" s="3" t="str">
        <x:v>evidencePaths</x:v>
      </x:c>
      <x:c r="C109" s="3" t="n">
        <x:v>0</x:v>
      </x:c>
      <x:c r="D109" s="3" t="str">
        <x:v>2018/jama.2018.14280/.ai_paper_validation/review_1_5_2/source_inventory.md</x:v>
      </x:c>
      <x:c r="E109" s="3" t="str">
        <x:v>../../2018/jama.2018.14280/.ai_paper_validation/review_1_5_2/source_inventory.md</x:v>
      </x:c>
    </x:row>
    <x:row r="110" ht="90" customHeight="1">
      <x:c r="A110" s="6" t="str">
        <x:v>2018::jama.2018.14280::C016</x:v>
      </x:c>
      <x:c r="B110" s="6" t="str">
        <x:v>evidencePaths</x:v>
      </x:c>
      <x:c r="C110" s="6" t="n">
        <x:v>0</x:v>
      </x:c>
      <x:c r="D110" s="6" t="str">
        <x:v>2018/jama.2018.14280/.ai_paper_validation/review_1_5_2/source_inventory.md</x:v>
      </x:c>
      <x:c r="E110" s="6" t="str">
        <x:v>../../2018/jama.2018.14280/.ai_paper_validation/review_1_5_2/source_inventory.md</x:v>
      </x:c>
    </x:row>
    <x:row r="111" ht="90" customHeight="1">
      <x:c r="A111" s="3" t="str">
        <x:v>2018::jama.2018.14280::C017</x:v>
      </x:c>
      <x:c r="B111" s="3" t="str">
        <x:v>evidencePaths</x:v>
      </x:c>
      <x:c r="C111" s="3" t="n">
        <x:v>0</x:v>
      </x:c>
      <x:c r="D111" s="3" t="str">
        <x:v>2018/jama.2018.14280/.ai_paper_validation/review_1_5_2/source_inventory.md</x:v>
      </x:c>
      <x:c r="E111" s="3" t="str">
        <x:v>../../2018/jama.2018.14280/.ai_paper_validation/review_1_5_2/source_inventory.md</x:v>
      </x:c>
    </x:row>
    <x:row r="112" ht="90" customHeight="1">
      <x:c r="A112" s="6" t="str">
        <x:v>2018::jama.2018.14280::C018</x:v>
      </x:c>
      <x:c r="B112" s="6" t="str">
        <x:v>evidencePaths</x:v>
      </x:c>
      <x:c r="C112" s="6" t="n">
        <x:v>0</x:v>
      </x:c>
      <x:c r="D112" s="6" t="str">
        <x:v>2018/jama.2018.14280/.ai_paper_validation/review_1_5_2/source_inventory.md</x:v>
      </x:c>
      <x:c r="E112" s="6" t="str">
        <x:v>../../2018/jama.2018.14280/.ai_paper_validation/review_1_5_2/source_inventory.md</x:v>
      </x:c>
    </x:row>
    <x:row r="113" ht="90" customHeight="1">
      <x:c r="A113" s="3" t="str">
        <x:v>2018::jama.2018.14280::C019</x:v>
      </x:c>
      <x:c r="B113" s="3" t="str">
        <x:v>evidencePaths</x:v>
      </x:c>
      <x:c r="C113" s="3" t="n">
        <x:v>0</x:v>
      </x:c>
      <x:c r="D113" s="3" t="str">
        <x:v>2018/jama.2018.14280/.ai_paper_validation/review_1_5_2/source_inventory.md</x:v>
      </x:c>
      <x:c r="E113" s="3" t="str">
        <x:v>../../2018/jama.2018.14280/.ai_paper_validation/review_1_5_2/source_inventory.md</x:v>
      </x:c>
    </x:row>
    <x:row r="114" ht="90" customHeight="1">
      <x:c r="A114" s="6" t="str">
        <x:v>2018::jama.2018.14280::C020</x:v>
      </x:c>
      <x:c r="B114" s="6" t="str">
        <x:v>evidencePaths</x:v>
      </x:c>
      <x:c r="C114" s="6" t="n">
        <x:v>0</x:v>
      </x:c>
      <x:c r="D114" s="6" t="str">
        <x:v>2018/jama.2018.14280/.ai_paper_validation/review_1_5_2/source_inventory.md</x:v>
      </x:c>
      <x:c r="E114" s="6" t="str">
        <x:v>../../2018/jama.2018.14280/.ai_paper_validation/review_1_5_2/source_inventory.md</x:v>
      </x:c>
    </x:row>
    <x:row r="115" ht="90" customHeight="1">
      <x:c r="A115" s="3" t="str">
        <x:v>2018::jama.2018.14280::C021</x:v>
      </x:c>
      <x:c r="B115" s="3" t="str">
        <x:v>evidencePaths</x:v>
      </x:c>
      <x:c r="C115" s="3" t="n">
        <x:v>0</x:v>
      </x:c>
      <x:c r="D115" s="3" t="str">
        <x:v>2018/jama.2018.14280/.ai_paper_validation/review_1_5_2/source_inventory.md</x:v>
      </x:c>
      <x:c r="E115" s="3" t="str">
        <x:v>../../2018/jama.2018.14280/.ai_paper_validation/review_1_5_2/source_inventory.md</x:v>
      </x:c>
    </x:row>
    <x:row r="116" ht="90" customHeight="1">
      <x:c r="A116" s="6" t="str">
        <x:v>2018::jama.2018.14280::C022</x:v>
      </x:c>
      <x:c r="B116" s="6" t="str">
        <x:v>evidencePaths</x:v>
      </x:c>
      <x:c r="C116" s="6" t="n">
        <x:v>0</x:v>
      </x:c>
      <x:c r="D116" s="6" t="str">
        <x:v>2018/jama.2018.14280/.ai_paper_validation/review_1_5_2/source_inventory.md</x:v>
      </x:c>
      <x:c r="E116" s="6" t="str">
        <x:v>../../2018/jama.2018.14280/.ai_paper_validation/review_1_5_2/source_inventory.md</x:v>
      </x:c>
    </x:row>
    <x:row r="117" ht="90" customHeight="1">
      <x:c r="A117" s="3" t="str">
        <x:v>2018::jama.2018.14280::C023</x:v>
      </x:c>
      <x:c r="B117" s="3" t="str">
        <x:v>evidencePaths</x:v>
      </x:c>
      <x:c r="C117" s="3" t="n">
        <x:v>0</x:v>
      </x:c>
      <x:c r="D117" s="3" t="str">
        <x:v>2018/jama.2018.14280/.ai_paper_validation/review_1_5_2/source_inventory.md</x:v>
      </x:c>
      <x:c r="E117" s="3" t="str">
        <x:v>../../2018/jama.2018.14280/.ai_paper_validation/review_1_5_2/source_inventory.md</x:v>
      </x:c>
    </x:row>
    <x:row r="118" ht="90" customHeight="1">
      <x:c r="A118" s="6" t="str">
        <x:v>2018::jama.2018.14280::C023</x:v>
      </x:c>
      <x:c r="B118" s="6" t="str">
        <x:v>evidencePaths</x:v>
      </x:c>
      <x:c r="C118" s="6" t="n">
        <x:v>1</x:v>
      </x:c>
      <x:c r="D118" s="6" t="str">
        <x:v>2018/jama.2018.14280/.ai_paper_validation/review_1_5_2/verification/evidence_recheck.md</x:v>
      </x:c>
      <x:c r="E118" s="6" t="str">
        <x:v>../../2018/jama.2018.14280/.ai_paper_validation/review_1_5_2/verification/evidence_recheck.md</x:v>
      </x:c>
    </x:row>
    <x:row r="119" ht="90" customHeight="1">
      <x:c r="A119" s="3" t="str">
        <x:v>2018::jama.2018.14282::C001</x:v>
      </x:c>
      <x:c r="B119" s="3" t="str">
        <x:v>sourceLinks</x:v>
      </x:c>
      <x:c r="C119" s="3" t="n">
        <x:v>0</x:v>
      </x:c>
      <x:c r="D119" s="3" t="str">
        <x:v>DOC-001 Table 1 — PDF p. 4</x:v>
      </x:c>
      <x:c r="E119" s="3" t="str">
        <x:v>../../2018/jama.2018.14282/jama_azoulay_2018_oi_180109.pdf#page=4</x:v>
      </x:c>
    </x:row>
    <x:row r="120" ht="90" customHeight="1">
      <x:c r="A120" s="6" t="str">
        <x:v>2018::jama.2018.14282::C001</x:v>
      </x:c>
      <x:c r="B120" s="6" t="str">
        <x:v>evidencePaths</x:v>
      </x:c>
      <x:c r="C120" s="6" t="n">
        <x:v>0</x:v>
      </x:c>
      <x:c r="D120" s="6" t="str">
        <x:v>2018/jama.2018.14282/.ai_paper_validation/review_1_5_2/source_inventory.md</x:v>
      </x:c>
      <x:c r="E120" s="6" t="str">
        <x:v>../../2018/jama.2018.14282/.ai_paper_validation/review_1_5_2/source_inventory.md</x:v>
      </x:c>
    </x:row>
    <x:row r="121" ht="90" customHeight="1">
      <x:c r="A121" s="3" t="str">
        <x:v>2018::jama.2018.14282::C002</x:v>
      </x:c>
      <x:c r="B121" s="3" t="str">
        <x:v>sourceLinks</x:v>
      </x:c>
      <x:c r="C121" s="3" t="n">
        <x:v>0</x:v>
      </x:c>
      <x:c r="D121" s="3" t="str">
        <x:v>DOC-001 Table 1 — PDF p. 4</x:v>
      </x:c>
      <x:c r="E121" s="3" t="str">
        <x:v>../../2018/jama.2018.14282/jama_azoulay_2018_oi_180109.pdf#page=4</x:v>
      </x:c>
    </x:row>
    <x:row r="122" ht="90" customHeight="1">
      <x:c r="A122" s="6" t="str">
        <x:v>2018::jama.2018.14282::C002</x:v>
      </x:c>
      <x:c r="B122" s="6" t="str">
        <x:v>evidencePaths</x:v>
      </x:c>
      <x:c r="C122" s="6" t="n">
        <x:v>0</x:v>
      </x:c>
      <x:c r="D122" s="6" t="str">
        <x:v>2018/jama.2018.14282/.ai_paper_validation/review_1_5_2/source_inventory.md</x:v>
      </x:c>
      <x:c r="E122" s="6" t="str">
        <x:v>../../2018/jama.2018.14282/.ai_paper_validation/review_1_5_2/source_inventory.md</x:v>
      </x:c>
    </x:row>
    <x:row r="123" ht="90" customHeight="1">
      <x:c r="A123" s="3" t="str">
        <x:v>2018::jama.2018.14282::C003</x:v>
      </x:c>
      <x:c r="B123" s="3" t="str">
        <x:v>sourceLinks</x:v>
      </x:c>
      <x:c r="C123" s="3" t="n">
        <x:v>0</x:v>
      </x:c>
      <x:c r="D123" s="3" t="str">
        <x:v>DOC-001 Table 1 — PDF p. 4</x:v>
      </x:c>
      <x:c r="E123" s="3" t="str">
        <x:v>../../2018/jama.2018.14282/jama_azoulay_2018_oi_180109.pdf#page=4</x:v>
      </x:c>
    </x:row>
    <x:row r="124" ht="90" customHeight="1">
      <x:c r="A124" s="6" t="str">
        <x:v>2018::jama.2018.14282::C003</x:v>
      </x:c>
      <x:c r="B124" s="6" t="str">
        <x:v>evidencePaths</x:v>
      </x:c>
      <x:c r="C124" s="6" t="n">
        <x:v>0</x:v>
      </x:c>
      <x:c r="D124" s="6" t="str">
        <x:v>2018/jama.2018.14282/.ai_paper_validation/review_1_5_2/source_inventory.md</x:v>
      </x:c>
      <x:c r="E124" s="6" t="str">
        <x:v>../../2018/jama.2018.14282/.ai_paper_validation/review_1_5_2/source_inventory.md</x:v>
      </x:c>
    </x:row>
    <x:row r="125" ht="90" customHeight="1">
      <x:c r="A125" s="3" t="str">
        <x:v>2018::jama.2018.14282::C004</x:v>
      </x:c>
      <x:c r="B125" s="3" t="str">
        <x:v>sourceLinks</x:v>
      </x:c>
      <x:c r="C125" s="3" t="n">
        <x:v>0</x:v>
      </x:c>
      <x:c r="D125" s="3" t="str">
        <x:v>DOC-001 Table 1 — PDF p. 4</x:v>
      </x:c>
      <x:c r="E125" s="3" t="str">
        <x:v>../../2018/jama.2018.14282/jama_azoulay_2018_oi_180109.pdf#page=4</x:v>
      </x:c>
    </x:row>
    <x:row r="126" ht="90" customHeight="1">
      <x:c r="A126" s="6" t="str">
        <x:v>2018::jama.2018.14282::C004</x:v>
      </x:c>
      <x:c r="B126" s="6" t="str">
        <x:v>evidencePaths</x:v>
      </x:c>
      <x:c r="C126" s="6" t="n">
        <x:v>0</x:v>
      </x:c>
      <x:c r="D126" s="6" t="str">
        <x:v>2018/jama.2018.14282/.ai_paper_validation/review_1_5_2/source_inventory.md</x:v>
      </x:c>
      <x:c r="E126" s="6" t="str">
        <x:v>../../2018/jama.2018.14282/.ai_paper_validation/review_1_5_2/source_inventory.md</x:v>
      </x:c>
    </x:row>
    <x:row r="127" ht="90" customHeight="1">
      <x:c r="A127" s="3" t="str">
        <x:v>2018::jama.2018.14282::C005</x:v>
      </x:c>
      <x:c r="B127" s="3" t="str">
        <x:v>sourceLinks</x:v>
      </x:c>
      <x:c r="C127" s="3" t="n">
        <x:v>0</x:v>
      </x:c>
      <x:c r="D127" s="3" t="str">
        <x:v>DOC-001 Table 1 — PDF p. 4</x:v>
      </x:c>
      <x:c r="E127" s="3" t="str">
        <x:v>../../2018/jama.2018.14282/jama_azoulay_2018_oi_180109.pdf#page=4</x:v>
      </x:c>
    </x:row>
    <x:row r="128" ht="90" customHeight="1">
      <x:c r="A128" s="6" t="str">
        <x:v>2018::jama.2018.14282::C005</x:v>
      </x:c>
      <x:c r="B128" s="6" t="str">
        <x:v>evidencePaths</x:v>
      </x:c>
      <x:c r="C128" s="6" t="n">
        <x:v>0</x:v>
      </x:c>
      <x:c r="D128" s="6" t="str">
        <x:v>2018/jama.2018.14282/.ai_paper_validation/review_1_5_2/source_inventory.md</x:v>
      </x:c>
      <x:c r="E128" s="6" t="str">
        <x:v>../../2018/jama.2018.14282/.ai_paper_validation/review_1_5_2/source_inventory.md</x:v>
      </x:c>
    </x:row>
    <x:row r="129" ht="90" customHeight="1">
      <x:c r="A129" s="3" t="str">
        <x:v>2018::jama.2018.14282::C006</x:v>
      </x:c>
      <x:c r="B129" s="3" t="str">
        <x:v>sourceLinks</x:v>
      </x:c>
      <x:c r="C129" s="3" t="n">
        <x:v>0</x:v>
      </x:c>
      <x:c r="D129" s="3" t="str">
        <x:v>DOC-001 Table 1 — PDF p. 4</x:v>
      </x:c>
      <x:c r="E129" s="3" t="str">
        <x:v>../../2018/jama.2018.14282/jama_azoulay_2018_oi_180109.pdf#page=4</x:v>
      </x:c>
    </x:row>
    <x:row r="130" ht="90" customHeight="1">
      <x:c r="A130" s="6" t="str">
        <x:v>2018::jama.2018.14282::C006</x:v>
      </x:c>
      <x:c r="B130" s="6" t="str">
        <x:v>evidencePaths</x:v>
      </x:c>
      <x:c r="C130" s="6" t="n">
        <x:v>0</x:v>
      </x:c>
      <x:c r="D130" s="6" t="str">
        <x:v>2018/jama.2018.14282/.ai_paper_validation/review_1_5_2/source_inventory.md</x:v>
      </x:c>
      <x:c r="E130" s="6" t="str">
        <x:v>../../2018/jama.2018.14282/.ai_paper_validation/review_1_5_2/source_inventory.md</x:v>
      </x:c>
    </x:row>
    <x:row r="131" ht="90" customHeight="1">
      <x:c r="A131" s="3" t="str">
        <x:v>2018::jama.2018.14282::C007</x:v>
      </x:c>
      <x:c r="B131" s="3" t="str">
        <x:v>sourceLinks</x:v>
      </x:c>
      <x:c r="C131" s="3" t="n">
        <x:v>0</x:v>
      </x:c>
      <x:c r="D131" s="3" t="str">
        <x:v>DOC-001 Table 1 — PDF p. 4</x:v>
      </x:c>
      <x:c r="E131" s="3" t="str">
        <x:v>../../2018/jama.2018.14282/jama_azoulay_2018_oi_180109.pdf#page=4</x:v>
      </x:c>
    </x:row>
    <x:row r="132" ht="90" customHeight="1">
      <x:c r="A132" s="6" t="str">
        <x:v>2018::jama.2018.14282::C007</x:v>
      </x:c>
      <x:c r="B132" s="6" t="str">
        <x:v>evidencePaths</x:v>
      </x:c>
      <x:c r="C132" s="6" t="n">
        <x:v>0</x:v>
      </x:c>
      <x:c r="D132" s="6" t="str">
        <x:v>2018/jama.2018.14282/.ai_paper_validation/review_1_5_2/source_inventory.md</x:v>
      </x:c>
      <x:c r="E132" s="6" t="str">
        <x:v>../../2018/jama.2018.14282/.ai_paper_validation/review_1_5_2/source_inventory.md</x:v>
      </x:c>
    </x:row>
    <x:row r="133" ht="90" customHeight="1">
      <x:c r="A133" s="3" t="str">
        <x:v>2018::jama.2018.14282::C008</x:v>
      </x:c>
      <x:c r="B133" s="3" t="str">
        <x:v>sourceLinks</x:v>
      </x:c>
      <x:c r="C133" s="3" t="n">
        <x:v>0</x:v>
      </x:c>
      <x:c r="D133" s="3" t="str">
        <x:v>DOC-001 Table 1 — PDF p. 4</x:v>
      </x:c>
      <x:c r="E133" s="3" t="str">
        <x:v>../../2018/jama.2018.14282/jama_azoulay_2018_oi_180109.pdf#page=4</x:v>
      </x:c>
    </x:row>
    <x:row r="134" ht="90" customHeight="1">
      <x:c r="A134" s="6" t="str">
        <x:v>2018::jama.2018.14282::C008</x:v>
      </x:c>
      <x:c r="B134" s="6" t="str">
        <x:v>evidencePaths</x:v>
      </x:c>
      <x:c r="C134" s="6" t="n">
        <x:v>0</x:v>
      </x:c>
      <x:c r="D134" s="6" t="str">
        <x:v>2018/jama.2018.14282/.ai_paper_validation/review_1_5_2/source_inventory.md</x:v>
      </x:c>
      <x:c r="E134" s="6" t="str">
        <x:v>../../2018/jama.2018.14282/.ai_paper_validation/review_1_5_2/source_inventory.md</x:v>
      </x:c>
    </x:row>
    <x:row r="135" ht="90" customHeight="1">
      <x:c r="A135" s="3" t="str">
        <x:v>2018::jama.2018.14282::C009</x:v>
      </x:c>
      <x:c r="B135" s="3" t="str">
        <x:v>sourceLinks</x:v>
      </x:c>
      <x:c r="C135" s="3" t="n">
        <x:v>0</x:v>
      </x:c>
      <x:c r="D135" s="3" t="str">
        <x:v>DOC-001 Table 1 — PDF p. 4</x:v>
      </x:c>
      <x:c r="E135" s="3" t="str">
        <x:v>../../2018/jama.2018.14282/jama_azoulay_2018_oi_180109.pdf#page=4</x:v>
      </x:c>
    </x:row>
    <x:row r="136" ht="90" customHeight="1">
      <x:c r="A136" s="6" t="str">
        <x:v>2018::jama.2018.14282::C009</x:v>
      </x:c>
      <x:c r="B136" s="6" t="str">
        <x:v>evidencePaths</x:v>
      </x:c>
      <x:c r="C136" s="6" t="n">
        <x:v>0</x:v>
      </x:c>
      <x:c r="D136" s="6" t="str">
        <x:v>2018/jama.2018.14282/.ai_paper_validation/review_1_5_2/source_inventory.md</x:v>
      </x:c>
      <x:c r="E136" s="6" t="str">
        <x:v>../../2018/jama.2018.14282/.ai_paper_validation/review_1_5_2/source_inventory.md</x:v>
      </x:c>
    </x:row>
    <x:row r="137" ht="90" customHeight="1">
      <x:c r="A137" s="3" t="str">
        <x:v>2018::jama.2018.14282::C010</x:v>
      </x:c>
      <x:c r="B137" s="3" t="str">
        <x:v>sourceLinks</x:v>
      </x:c>
      <x:c r="C137" s="3" t="n">
        <x:v>0</x:v>
      </x:c>
      <x:c r="D137" s="3" t="str">
        <x:v>DOC-001 Table 1 — PDF p. 4</x:v>
      </x:c>
      <x:c r="E137" s="3" t="str">
        <x:v>../../2018/jama.2018.14282/jama_azoulay_2018_oi_180109.pdf#page=4</x:v>
      </x:c>
    </x:row>
    <x:row r="138" ht="90" customHeight="1">
      <x:c r="A138" s="6" t="str">
        <x:v>2018::jama.2018.14282::C010</x:v>
      </x:c>
      <x:c r="B138" s="6" t="str">
        <x:v>evidencePaths</x:v>
      </x:c>
      <x:c r="C138" s="6" t="n">
        <x:v>0</x:v>
      </x:c>
      <x:c r="D138" s="6" t="str">
        <x:v>2018/jama.2018.14282/.ai_paper_validation/review_1_5_2/source_inventory.md</x:v>
      </x:c>
      <x:c r="E138" s="6" t="str">
        <x:v>../../2018/jama.2018.14282/.ai_paper_validation/review_1_5_2/source_inventory.md</x:v>
      </x:c>
    </x:row>
    <x:row r="139" ht="90" customHeight="1">
      <x:c r="A139" s="3" t="str">
        <x:v>2018::jama.2018.14282::C011</x:v>
      </x:c>
      <x:c r="B139" s="3" t="str">
        <x:v>sourceLinks</x:v>
      </x:c>
      <x:c r="C139" s="3" t="n">
        <x:v>0</x:v>
      </x:c>
      <x:c r="D139" s="3" t="str">
        <x:v>DOC-001 Table 1 — PDF p. 4</x:v>
      </x:c>
      <x:c r="E139" s="3" t="str">
        <x:v>../../2018/jama.2018.14282/jama_azoulay_2018_oi_180109.pdf#page=4</x:v>
      </x:c>
    </x:row>
    <x:row r="140" ht="90" customHeight="1">
      <x:c r="A140" s="6" t="str">
        <x:v>2018::jama.2018.14282::C011</x:v>
      </x:c>
      <x:c r="B140" s="6" t="str">
        <x:v>evidencePaths</x:v>
      </x:c>
      <x:c r="C140" s="6" t="n">
        <x:v>0</x:v>
      </x:c>
      <x:c r="D140" s="6" t="str">
        <x:v>2018/jama.2018.14282/.ai_paper_validation/review_1_5_2/source_inventory.md</x:v>
      </x:c>
      <x:c r="E140" s="6" t="str">
        <x:v>../../2018/jama.2018.14282/.ai_paper_validation/review_1_5_2/source_inventory.md</x:v>
      </x:c>
    </x:row>
    <x:row r="141" ht="90" customHeight="1">
      <x:c r="A141" s="3" t="str">
        <x:v>2018::jama.2018.14282::C012</x:v>
      </x:c>
      <x:c r="B141" s="3" t="str">
        <x:v>sourceLinks</x:v>
      </x:c>
      <x:c r="C141" s="3" t="n">
        <x:v>0</x:v>
      </x:c>
      <x:c r="D141" s="3" t="str">
        <x:v>DOC-001 Table 1 — PDF p. 4</x:v>
      </x:c>
      <x:c r="E141" s="3" t="str">
        <x:v>../../2018/jama.2018.14282/jama_azoulay_2018_oi_180109.pdf#page=4</x:v>
      </x:c>
    </x:row>
    <x:row r="142" ht="90" customHeight="1">
      <x:c r="A142" s="6" t="str">
        <x:v>2018::jama.2018.14282::C012</x:v>
      </x:c>
      <x:c r="B142" s="6" t="str">
        <x:v>evidencePaths</x:v>
      </x:c>
      <x:c r="C142" s="6" t="n">
        <x:v>0</x:v>
      </x:c>
      <x:c r="D142" s="6" t="str">
        <x:v>2018/jama.2018.14282/.ai_paper_validation/review_1_5_2/source_inventory.md</x:v>
      </x:c>
      <x:c r="E142" s="6" t="str">
        <x:v>../../2018/jama.2018.14282/.ai_paper_validation/review_1_5_2/source_inventory.md</x:v>
      </x:c>
    </x:row>
    <x:row r="143" ht="90" customHeight="1">
      <x:c r="A143" s="3" t="str">
        <x:v>2018::jama.2018.14282::C013</x:v>
      </x:c>
      <x:c r="B143" s="3" t="str">
        <x:v>sourceLinks</x:v>
      </x:c>
      <x:c r="C143" s="3" t="n">
        <x:v>0</x:v>
      </x:c>
      <x:c r="D143" s="3" t="str">
        <x:v>DOC-001 Table 1 — PDF p. 4</x:v>
      </x:c>
      <x:c r="E143" s="3" t="str">
        <x:v>../../2018/jama.2018.14282/jama_azoulay_2018_oi_180109.pdf#page=4</x:v>
      </x:c>
    </x:row>
    <x:row r="144" ht="90" customHeight="1">
      <x:c r="A144" s="6" t="str">
        <x:v>2018::jama.2018.14282::C013</x:v>
      </x:c>
      <x:c r="B144" s="6" t="str">
        <x:v>evidencePaths</x:v>
      </x:c>
      <x:c r="C144" s="6" t="n">
        <x:v>0</x:v>
      </x:c>
      <x:c r="D144" s="6" t="str">
        <x:v>2018/jama.2018.14282/.ai_paper_validation/review_1_5_2/source_inventory.md</x:v>
      </x:c>
      <x:c r="E144" s="6" t="str">
        <x:v>../../2018/jama.2018.14282/.ai_paper_validation/review_1_5_2/source_inventory.md</x:v>
      </x:c>
    </x:row>
    <x:row r="145" ht="90" customHeight="1">
      <x:c r="A145" s="3" t="str">
        <x:v>2018::jama.2018.14282::C014</x:v>
      </x:c>
      <x:c r="B145" s="3" t="str">
        <x:v>sourceLinks</x:v>
      </x:c>
      <x:c r="C145" s="3" t="n">
        <x:v>0</x:v>
      </x:c>
      <x:c r="D145" s="3" t="str">
        <x:v>DOC-001 Table 1 — PDF p. 4</x:v>
      </x:c>
      <x:c r="E145" s="3" t="str">
        <x:v>../../2018/jama.2018.14282/jama_azoulay_2018_oi_180109.pdf#page=4</x:v>
      </x:c>
    </x:row>
    <x:row r="146" ht="90" customHeight="1">
      <x:c r="A146" s="6" t="str">
        <x:v>2018::jama.2018.14282::C014</x:v>
      </x:c>
      <x:c r="B146" s="6" t="str">
        <x:v>evidencePaths</x:v>
      </x:c>
      <x:c r="C146" s="6" t="n">
        <x:v>0</x:v>
      </x:c>
      <x:c r="D146" s="6" t="str">
        <x:v>2018/jama.2018.14282/.ai_paper_validation/review_1_5_2/source_inventory.md</x:v>
      </x:c>
      <x:c r="E146" s="6" t="str">
        <x:v>../../2018/jama.2018.14282/.ai_paper_validation/review_1_5_2/source_inventory.md</x:v>
      </x:c>
    </x:row>
    <x:row r="147" ht="90" customHeight="1">
      <x:c r="A147" s="3" t="str">
        <x:v>2018::jama.2018.14282::C015</x:v>
      </x:c>
      <x:c r="B147" s="3" t="str">
        <x:v>sourceLinks</x:v>
      </x:c>
      <x:c r="C147" s="3" t="n">
        <x:v>0</x:v>
      </x:c>
      <x:c r="D147" s="3" t="str">
        <x:v>DOC-001 Table 2 — PDF p. 5</x:v>
      </x:c>
      <x:c r="E147" s="3" t="str">
        <x:v>../../2018/jama.2018.14282/jama_azoulay_2018_oi_180109.pdf#page=5</x:v>
      </x:c>
    </x:row>
    <x:row r="148" ht="90" customHeight="1">
      <x:c r="A148" s="6" t="str">
        <x:v>2018::jama.2018.14282::C015</x:v>
      </x:c>
      <x:c r="B148" s="6" t="str">
        <x:v>evidencePaths</x:v>
      </x:c>
      <x:c r="C148" s="6" t="n">
        <x:v>0</x:v>
      </x:c>
      <x:c r="D148" s="6" t="str">
        <x:v>2018/jama.2018.14282/.ai_paper_validation/review_1_5_2/source_inventory.md</x:v>
      </x:c>
      <x:c r="E148" s="6" t="str">
        <x:v>../../2018/jama.2018.14282/.ai_paper_validation/review_1_5_2/source_inventory.md</x:v>
      </x:c>
    </x:row>
    <x:row r="149" ht="90" customHeight="1">
      <x:c r="A149" s="3" t="str">
        <x:v>2018::jama.2018.14282::C016</x:v>
      </x:c>
      <x:c r="B149" s="3" t="str">
        <x:v>sourceLinks</x:v>
      </x:c>
      <x:c r="C149" s="3" t="n">
        <x:v>0</x:v>
      </x:c>
      <x:c r="D149" s="3" t="str">
        <x:v>DOC-001 Table 2 — PDF p. 5</x:v>
      </x:c>
      <x:c r="E149" s="3" t="str">
        <x:v>../../2018/jama.2018.14282/jama_azoulay_2018_oi_180109.pdf#page=5</x:v>
      </x:c>
    </x:row>
    <x:row r="150" ht="90" customHeight="1">
      <x:c r="A150" s="6" t="str">
        <x:v>2018::jama.2018.14282::C016</x:v>
      </x:c>
      <x:c r="B150" s="6" t="str">
        <x:v>evidencePaths</x:v>
      </x:c>
      <x:c r="C150" s="6" t="n">
        <x:v>0</x:v>
      </x:c>
      <x:c r="D150" s="6" t="str">
        <x:v>2018/jama.2018.14282/.ai_paper_validation/review_1_5_2/source_inventory.md</x:v>
      </x:c>
      <x:c r="E150" s="6" t="str">
        <x:v>../../2018/jama.2018.14282/.ai_paper_validation/review_1_5_2/source_inventory.md</x:v>
      </x:c>
    </x:row>
    <x:row r="151" ht="90" customHeight="1">
      <x:c r="A151" s="3" t="str">
        <x:v>2018::jama.2018.14282::C017</x:v>
      </x:c>
      <x:c r="B151" s="3" t="str">
        <x:v>sourceLinks</x:v>
      </x:c>
      <x:c r="C151" s="3" t="n">
        <x:v>0</x:v>
      </x:c>
      <x:c r="D151" s="3" t="str">
        <x:v>DOC-001 abstract — PDF p. 1</x:v>
      </x:c>
      <x:c r="E151" s="3" t="str">
        <x:v>../../2018/jama.2018.14282/jama_azoulay_2018_oi_180109.pdf#page=1</x:v>
      </x:c>
    </x:row>
    <x:row r="152" ht="90" customHeight="1">
      <x:c r="A152" s="6" t="str">
        <x:v>2018::jama.2018.14282::C017</x:v>
      </x:c>
      <x:c r="B152" s="6" t="str">
        <x:v>sourceLinks</x:v>
      </x:c>
      <x:c r="C152" s="6" t="n">
        <x:v>1</x:v>
      </x:c>
      <x:c r="D152" s="6" t="str">
        <x:v>DOC-001 results — PDF p. 6</x:v>
      </x:c>
      <x:c r="E152" s="6" t="str">
        <x:v>../../2018/jama.2018.14282/jama_azoulay_2018_oi_180109.pdf#page=6</x:v>
      </x:c>
    </x:row>
    <x:row r="153" ht="90" customHeight="1">
      <x:c r="A153" s="3" t="str">
        <x:v>2018::jama.2018.14282::C017</x:v>
      </x:c>
      <x:c r="B153" s="3" t="str">
        <x:v>evidencePaths</x:v>
      </x:c>
      <x:c r="C153" s="3" t="n">
        <x:v>0</x:v>
      </x:c>
      <x:c r="D153" s="3" t="str">
        <x:v>2018/jama.2018.14282/.ai_paper_validation/review_1_5_2/source_inventory.md</x:v>
      </x:c>
      <x:c r="E153" s="3" t="str">
        <x:v>../../2018/jama.2018.14282/.ai_paper_validation/review_1_5_2/source_inventory.md</x:v>
      </x:c>
    </x:row>
    <x:row r="154" ht="90" customHeight="1">
      <x:c r="A154" s="6" t="str">
        <x:v>2018::jama.2018.14282::C017</x:v>
      </x:c>
      <x:c r="B154" s="6" t="str">
        <x:v>evidencePaths</x:v>
      </x:c>
      <x:c r="C154" s="6" t="n">
        <x:v>1</x:v>
      </x:c>
      <x:c r="D154" s="6" t="str">
        <x:v>2018/jama.2018.14282/.ai_paper_validation/review_1_5_2/candidate_ledger.md</x:v>
      </x:c>
      <x:c r="E154" s="6" t="str">
        <x:v>../../2018/jama.2018.14282/.ai_paper_validation/review_1_5_2/candidate_ledger.md</x:v>
      </x:c>
    </x:row>
    <x:row r="155" ht="90" customHeight="1">
      <x:c r="A155" s="3" t="str">
        <x:v>2018::jama.2018.14282::C018</x:v>
      </x:c>
      <x:c r="B155" s="3" t="str">
        <x:v>sourceLinks</x:v>
      </x:c>
      <x:c r="C155" s="3" t="n">
        <x:v>0</x:v>
      </x:c>
      <x:c r="D155" s="3" t="str">
        <x:v>DOC-001 post hoc outcomes — PDF p. 6</x:v>
      </x:c>
      <x:c r="E155" s="3" t="str">
        <x:v>../../2018/jama.2018.14282/jama_azoulay_2018_oi_180109.pdf#page=6</x:v>
      </x:c>
    </x:row>
    <x:row r="156" ht="90" customHeight="1">
      <x:c r="A156" s="6" t="str">
        <x:v>2018::jama.2018.14282::C018</x:v>
      </x:c>
      <x:c r="B156" s="6" t="str">
        <x:v>evidencePaths</x:v>
      </x:c>
      <x:c r="C156" s="6" t="n">
        <x:v>0</x:v>
      </x:c>
      <x:c r="D156" s="6" t="str">
        <x:v>2018/jama.2018.14282/.ai_paper_validation/review_1_5_2/source_inventory.md</x:v>
      </x:c>
      <x:c r="E156" s="6" t="str">
        <x:v>../../2018/jama.2018.14282/.ai_paper_validation/review_1_5_2/source_inventory.md</x:v>
      </x:c>
    </x:row>
    <x:row r="157" ht="90" customHeight="1">
      <x:c r="A157" s="3" t="str">
        <x:v>2018::jama.2018.14282::C018</x:v>
      </x:c>
      <x:c r="B157" s="3" t="str">
        <x:v>evidencePaths</x:v>
      </x:c>
      <x:c r="C157" s="3" t="n">
        <x:v>1</x:v>
      </x:c>
      <x:c r="D157" s="3" t="str">
        <x:v>2018/jama.2018.14282/.ai_paper_validation/review_1_5_2/verification/evidence_recheck.md</x:v>
      </x:c>
      <x:c r="E157" s="3" t="str">
        <x:v>../../2018/jama.2018.14282/.ai_paper_validation/review_1_5_2/verification/evidence_recheck.md</x:v>
      </x:c>
    </x:row>
    <x:row r="158" ht="90" customHeight="1">
      <x:c r="A158" s="6" t="str">
        <x:v>2018::jama.2018.14282::C018</x:v>
      </x:c>
      <x:c r="B158" s="6" t="str">
        <x:v>evidencePaths</x:v>
      </x:c>
      <x:c r="C158" s="6" t="n">
        <x:v>2</x:v>
      </x:c>
      <x:c r="D158" s="6" t="str">
        <x:v>2018/jama.2018.14282/.ai_paper_validation/review_1_5_2/candidate_ledger.md</x:v>
      </x:c>
      <x:c r="E158" s="6" t="str">
        <x:v>../../2018/jama.2018.14282/.ai_paper_validation/review_1_5_2/candidate_ledger.md</x:v>
      </x:c>
    </x:row>
    <x:row r="159" ht="90" customHeight="1">
      <x:c r="A159" s="3" t="str">
        <x:v>2018::jama.2018.14282::C019</x:v>
      </x:c>
      <x:c r="B159" s="3" t="str">
        <x:v>sourceLinks</x:v>
      </x:c>
      <x:c r="C159" s="3" t="n">
        <x:v>0</x:v>
      </x:c>
      <x:c r="D159" s="3" t="str">
        <x:v>DOC-003 eTable — PDF p. 2</x:v>
      </x:c>
      <x:c r="E159" s="3" t="str">
        <x:v>../../2018/jama.2018.14282/joi180109supp2_prod.pdf#page=2</x:v>
      </x:c>
    </x:row>
    <x:row r="160" ht="90" customHeight="1">
      <x:c r="A160" s="6" t="str">
        <x:v>2018::jama.2018.14282::C019</x:v>
      </x:c>
      <x:c r="B160" s="6" t="str">
        <x:v>evidencePaths</x:v>
      </x:c>
      <x:c r="C160" s="6" t="n">
        <x:v>0</x:v>
      </x:c>
      <x:c r="D160" s="6" t="str">
        <x:v>2018/jama.2018.14282/.ai_paper_validation/review_1_5_2/source_inventory.md</x:v>
      </x:c>
      <x:c r="E160" s="6" t="str">
        <x:v>../../2018/jama.2018.14282/.ai_paper_validation/review_1_5_2/source_inventory.md</x:v>
      </x:c>
    </x:row>
    <x:row r="161" ht="90" customHeight="1">
      <x:c r="A161" s="3" t="str">
        <x:v>2018::jama.2018.14282::C019</x:v>
      </x:c>
      <x:c r="B161" s="3" t="str">
        <x:v>evidencePaths</x:v>
      </x:c>
      <x:c r="C161" s="3" t="n">
        <x:v>1</x:v>
      </x:c>
      <x:c r="D161" s="3" t="str">
        <x:v>2018/jama.2018.14282/.ai_paper_validation/review_1_5_2/candidate_ledger.md</x:v>
      </x:c>
      <x:c r="E161" s="3" t="str">
        <x:v>../../2018/jama.2018.14282/.ai_paper_validation/review_1_5_2/candidate_ledger.md</x:v>
      </x:c>
    </x:row>
    <x:row r="162" ht="90" customHeight="1">
      <x:c r="A162" s="6" t="str">
        <x:v>2018::jama.2018.14282::C020</x:v>
      </x:c>
      <x:c r="B162" s="6" t="str">
        <x:v>sourceLinks</x:v>
      </x:c>
      <x:c r="C162" s="6" t="n">
        <x:v>0</x:v>
      </x:c>
      <x:c r="D162" s="6" t="str">
        <x:v>DOC-003 eTable — PDF p. 2</x:v>
      </x:c>
      <x:c r="E162" s="6" t="str">
        <x:v>../../2018/jama.2018.14282/joi180109supp2_prod.pdf#page=2</x:v>
      </x:c>
    </x:row>
    <x:row r="163" ht="90" customHeight="1">
      <x:c r="A163" s="3" t="str">
        <x:v>2018::jama.2018.14282::C020</x:v>
      </x:c>
      <x:c r="B163" s="3" t="str">
        <x:v>evidencePaths</x:v>
      </x:c>
      <x:c r="C163" s="3" t="n">
        <x:v>0</x:v>
      </x:c>
      <x:c r="D163" s="3" t="str">
        <x:v>2018/jama.2018.14282/.ai_paper_validation/review_1_5_2/source_inventory.md</x:v>
      </x:c>
      <x:c r="E163" s="3" t="str">
        <x:v>../../2018/jama.2018.14282/.ai_paper_validation/review_1_5_2/source_inventory.md</x:v>
      </x:c>
    </x:row>
    <x:row r="164" ht="90" customHeight="1">
      <x:c r="A164" s="6" t="str">
        <x:v>2018::jama.2018.14282::C020</x:v>
      </x:c>
      <x:c r="B164" s="6" t="str">
        <x:v>evidencePaths</x:v>
      </x:c>
      <x:c r="C164" s="6" t="n">
        <x:v>1</x:v>
      </x:c>
      <x:c r="D164" s="6" t="str">
        <x:v>2018/jama.2018.14282/.ai_paper_validation/review_1_5_2/candidate_ledger.md</x:v>
      </x:c>
      <x:c r="E164" s="6" t="str">
        <x:v>../../2018/jama.2018.14282/.ai_paper_validation/review_1_5_2/candidate_ledger.md</x:v>
      </x:c>
    </x:row>
    <x:row r="165" ht="90" customHeight="1">
      <x:c r="A165" s="3" t="str">
        <x:v>2018::jama.2018.14282::C021</x:v>
      </x:c>
      <x:c r="B165" s="3" t="str">
        <x:v>sourceLinks</x:v>
      </x:c>
      <x:c r="C165" s="3" t="n">
        <x:v>0</x:v>
      </x:c>
      <x:c r="D165" s="3" t="str">
        <x:v>DOC-003 eTable — PDF p. 2</x:v>
      </x:c>
      <x:c r="E165" s="3" t="str">
        <x:v>../../2018/jama.2018.14282/joi180109supp2_prod.pdf#page=2</x:v>
      </x:c>
    </x:row>
    <x:row r="166" ht="90" customHeight="1">
      <x:c r="A166" s="6" t="str">
        <x:v>2018::jama.2018.14282::C021</x:v>
      </x:c>
      <x:c r="B166" s="6" t="str">
        <x:v>evidencePaths</x:v>
      </x:c>
      <x:c r="C166" s="6" t="n">
        <x:v>0</x:v>
      </x:c>
      <x:c r="D166" s="6" t="str">
        <x:v>2018/jama.2018.14282/.ai_paper_validation/review_1_5_2/source_inventory.md</x:v>
      </x:c>
      <x:c r="E166" s="6" t="str">
        <x:v>../../2018/jama.2018.14282/.ai_paper_validation/review_1_5_2/source_inventory.md</x:v>
      </x:c>
    </x:row>
    <x:row r="167" ht="90" customHeight="1">
      <x:c r="A167" s="3" t="str">
        <x:v>2018::jama.2018.14282::C021</x:v>
      </x:c>
      <x:c r="B167" s="3" t="str">
        <x:v>evidencePaths</x:v>
      </x:c>
      <x:c r="C167" s="3" t="n">
        <x:v>1</x:v>
      </x:c>
      <x:c r="D167" s="3" t="str">
        <x:v>2018/jama.2018.14282/.ai_paper_validation/review_1_5_2/candidate_ledger.md</x:v>
      </x:c>
      <x:c r="E167" s="3" t="str">
        <x:v>../../2018/jama.2018.14282/.ai_paper_validation/review_1_5_2/candidate_ledger.md</x:v>
      </x:c>
    </x:row>
    <x:row r="168" ht="90" customHeight="1">
      <x:c r="A168" s="6" t="str">
        <x:v>2018::jama.2018.14282::C022</x:v>
      </x:c>
      <x:c r="B168" s="6" t="str">
        <x:v>sourceLinks</x:v>
      </x:c>
      <x:c r="C168" s="6" t="n">
        <x:v>0</x:v>
      </x:c>
      <x:c r="D168" s="6" t="str">
        <x:v>DOC-001 methods — PDF p. 4</x:v>
      </x:c>
      <x:c r="E168" s="6" t="str">
        <x:v>../../2018/jama.2018.14282/jama_azoulay_2018_oi_180109.pdf#page=4</x:v>
      </x:c>
    </x:row>
    <x:row r="169" ht="90" customHeight="1">
      <x:c r="A169" s="3" t="str">
        <x:v>2018::jama.2018.14282::C022</x:v>
      </x:c>
      <x:c r="B169" s="3" t="str">
        <x:v>sourceLinks</x:v>
      </x:c>
      <x:c r="C169" s="3" t="n">
        <x:v>1</x:v>
      </x:c>
      <x:c r="D169" s="3" t="str">
        <x:v>DOC-001 results — PDF p. 6</x:v>
      </x:c>
      <x:c r="E169" s="3" t="str">
        <x:v>../../2018/jama.2018.14282/jama_azoulay_2018_oi_180109.pdf#page=6</x:v>
      </x:c>
    </x:row>
    <x:row r="170" ht="90" customHeight="1">
      <x:c r="A170" s="6" t="str">
        <x:v>2018::jama.2018.14282::C022</x:v>
      </x:c>
      <x:c r="B170" s="6" t="str">
        <x:v>sourceLinks</x:v>
      </x:c>
      <x:c r="C170" s="6" t="n">
        <x:v>2</x:v>
      </x:c>
      <x:c r="D170" s="6" t="str">
        <x:v>DOC-003 eFigure 1 — PDF p. 3</x:v>
      </x:c>
      <x:c r="E170" s="6" t="str">
        <x:v>../../2018/jama.2018.14282/joi180109supp2_prod.pdf#page=3</x:v>
      </x:c>
    </x:row>
    <x:row r="171" ht="90" customHeight="1">
      <x:c r="A171" s="3" t="str">
        <x:v>2018::jama.2018.14282::C022</x:v>
      </x:c>
      <x:c r="B171" s="3" t="str">
        <x:v>evidencePaths</x:v>
      </x:c>
      <x:c r="C171" s="3" t="n">
        <x:v>0</x:v>
      </x:c>
      <x:c r="D171" s="3" t="str">
        <x:v>2018/jama.2018.14282/.ai_paper_validation/review_1_5_2/source_inventory.md</x:v>
      </x:c>
      <x:c r="E171" s="3" t="str">
        <x:v>../../2018/jama.2018.14282/.ai_paper_validation/review_1_5_2/source_inventory.md</x:v>
      </x:c>
    </x:row>
    <x:row r="172" ht="90" customHeight="1">
      <x:c r="A172" s="6" t="str">
        <x:v>2018::jama.2018.14282::C022</x:v>
      </x:c>
      <x:c r="B172" s="6" t="str">
        <x:v>evidencePaths</x:v>
      </x:c>
      <x:c r="C172" s="6" t="n">
        <x:v>1</x:v>
      </x:c>
      <x:c r="D172" s="6" t="str">
        <x:v>2018/jama.2018.14282/.ai_paper_validation/review_1_5_2/candidate_ledger.md</x:v>
      </x:c>
      <x:c r="E172" s="6" t="str">
        <x:v>../../2018/jama.2018.14282/.ai_paper_validation/review_1_5_2/candidate_ledger.md</x:v>
      </x:c>
    </x:row>
    <x:row r="173" ht="90" customHeight="1">
      <x:c r="A173" s="3" t="str">
        <x:v>2018::jama.2018.14282::C023</x:v>
      </x:c>
      <x:c r="B173" s="3" t="str">
        <x:v>sourceLinks</x:v>
      </x:c>
      <x:c r="C173" s="3" t="n">
        <x:v>0</x:v>
      </x:c>
      <x:c r="D173" s="3" t="str">
        <x:v>DOC-001 Table 2 and narrative — PDF p. 5</x:v>
      </x:c>
      <x:c r="E173" s="3" t="str">
        <x:v>../../2018/jama.2018.14282/jama_azoulay_2018_oi_180109.pdf#page=5</x:v>
      </x:c>
    </x:row>
    <x:row r="174" ht="90" customHeight="1">
      <x:c r="A174" s="6" t="str">
        <x:v>2018::jama.2018.14282::C023</x:v>
      </x:c>
      <x:c r="B174" s="6" t="str">
        <x:v>sourceLinks</x:v>
      </x:c>
      <x:c r="C174" s="6" t="n">
        <x:v>1</x:v>
      </x:c>
      <x:c r="D174" s="6" t="str">
        <x:v>DOC-001 Figure 3A — PDF p. 7</x:v>
      </x:c>
      <x:c r="E174" s="6" t="str">
        <x:v>../../2018/jama.2018.14282/jama_azoulay_2018_oi_180109.pdf#page=7</x:v>
      </x:c>
    </x:row>
    <x:row r="175" ht="90" customHeight="1">
      <x:c r="A175" s="3" t="str">
        <x:v>2018::jama.2018.14282::C023</x:v>
      </x:c>
      <x:c r="B175" s="3" t="str">
        <x:v>evidencePaths</x:v>
      </x:c>
      <x:c r="C175" s="3" t="n">
        <x:v>0</x:v>
      </x:c>
      <x:c r="D175" s="3" t="str">
        <x:v>2018/jama.2018.14282/.ai_paper_validation/review_1_5_2/source_inventory.md</x:v>
      </x:c>
      <x:c r="E175" s="3" t="str">
        <x:v>../../2018/jama.2018.14282/.ai_paper_validation/review_1_5_2/source_inventory.md</x:v>
      </x:c>
    </x:row>
    <x:row r="176" ht="90" customHeight="1">
      <x:c r="A176" s="6" t="str">
        <x:v>2018::jama.2018.14282::C023</x:v>
      </x:c>
      <x:c r="B176" s="6" t="str">
        <x:v>evidencePaths</x:v>
      </x:c>
      <x:c r="C176" s="6" t="n">
        <x:v>1</x:v>
      </x:c>
      <x:c r="D176" s="6" t="str">
        <x:v>2018/jama.2018.14282/.ai_paper_validation/review_1_5_2/candidate_ledger.md</x:v>
      </x:c>
      <x:c r="E176" s="6" t="str">
        <x:v>../../2018/jama.2018.14282/.ai_paper_validation/review_1_5_2/candidate_ledger.md</x:v>
      </x:c>
    </x:row>
    <x:row r="177" ht="90" customHeight="1">
      <x:c r="A177" s="3" t="str">
        <x:v>2018::jama.2018.14282::C024</x:v>
      </x:c>
      <x:c r="B177" s="3" t="str">
        <x:v>sourceLinks</x:v>
      </x:c>
      <x:c r="C177" s="3" t="n">
        <x:v>0</x:v>
      </x:c>
      <x:c r="D177" s="3" t="str">
        <x:v>DOC-001 Table 2 — PDF p. 5</x:v>
      </x:c>
      <x:c r="E177" s="3" t="str">
        <x:v>../../2018/jama.2018.14282/jama_azoulay_2018_oi_180109.pdf#page=5</x:v>
      </x:c>
    </x:row>
    <x:row r="178" ht="90" customHeight="1">
      <x:c r="A178" s="6" t="str">
        <x:v>2018::jama.2018.14282::C024</x:v>
      </x:c>
      <x:c r="B178" s="6" t="str">
        <x:v>sourceLinks</x:v>
      </x:c>
      <x:c r="C178" s="6" t="n">
        <x:v>1</x:v>
      </x:c>
      <x:c r="D178" s="6" t="str">
        <x:v>DOC-001 narrative — PDF p. 6</x:v>
      </x:c>
      <x:c r="E178" s="6" t="str">
        <x:v>../../2018/jama.2018.14282/jama_azoulay_2018_oi_180109.pdf#page=6</x:v>
      </x:c>
    </x:row>
    <x:row r="179" ht="90" customHeight="1">
      <x:c r="A179" s="3" t="str">
        <x:v>2018::jama.2018.14282::C024</x:v>
      </x:c>
      <x:c r="B179" s="3" t="str">
        <x:v>sourceLinks</x:v>
      </x:c>
      <x:c r="C179" s="3" t="n">
        <x:v>2</x:v>
      </x:c>
      <x:c r="D179" s="3" t="str">
        <x:v>DOC-001 Figure 3B — PDF p. 7</x:v>
      </x:c>
      <x:c r="E179" s="3" t="str">
        <x:v>../../2018/jama.2018.14282/jama_azoulay_2018_oi_180109.pdf#page=7</x:v>
      </x:c>
    </x:row>
    <x:row r="180" ht="90" customHeight="1">
      <x:c r="A180" s="6" t="str">
        <x:v>2018::jama.2018.14282::C024</x:v>
      </x:c>
      <x:c r="B180" s="6" t="str">
        <x:v>evidencePaths</x:v>
      </x:c>
      <x:c r="C180" s="6" t="n">
        <x:v>0</x:v>
      </x:c>
      <x:c r="D180" s="6" t="str">
        <x:v>2018/jama.2018.14282/.ai_paper_validation/review_1_5_2/source_inventory.md</x:v>
      </x:c>
      <x:c r="E180" s="6" t="str">
        <x:v>../../2018/jama.2018.14282/.ai_paper_validation/review_1_5_2/source_inventory.md</x:v>
      </x:c>
    </x:row>
    <x:row r="181" ht="90" customHeight="1">
      <x:c r="A181" s="3" t="str">
        <x:v>2018::jama.2018.14282::C024</x:v>
      </x:c>
      <x:c r="B181" s="3" t="str">
        <x:v>evidencePaths</x:v>
      </x:c>
      <x:c r="C181" s="3" t="n">
        <x:v>1</x:v>
      </x:c>
      <x:c r="D181" s="3" t="str">
        <x:v>2018/jama.2018.14282/.ai_paper_validation/review_1_5_2/candidate_ledger.md</x:v>
      </x:c>
      <x:c r="E181" s="3" t="str">
        <x:v>../../2018/jama.2018.14282/.ai_paper_validation/review_1_5_2/candidate_ledger.md</x:v>
      </x:c>
    </x:row>
    <x:row r="182" ht="90" customHeight="1">
      <x:c r="A182" s="6" t="str">
        <x:v>2018::jama.2018.14282::C025</x:v>
      </x:c>
      <x:c r="B182" s="6" t="str">
        <x:v>sourceLinks</x:v>
      </x:c>
      <x:c r="C182" s="6" t="n">
        <x:v>0</x:v>
      </x:c>
      <x:c r="D182" s="6" t="str">
        <x:v>DOC-001 — PDF p. 3</x:v>
      </x:c>
      <x:c r="E182" s="6" t="str">
        <x:v>../../2018/jama.2018.14282/jama_azoulay_2018_oi_180109.pdf#page=3</x:v>
      </x:c>
    </x:row>
    <x:row r="183" ht="90" customHeight="1">
      <x:c r="A183" s="3" t="str">
        <x:v>2018::jama.2018.14282::C025</x:v>
      </x:c>
      <x:c r="B183" s="3" t="str">
        <x:v>sourceLinks</x:v>
      </x:c>
      <x:c r="C183" s="3" t="n">
        <x:v>1</x:v>
      </x:c>
      <x:c r="D183" s="3" t="str">
        <x:v>DOC-002 completed published-protocol abstract sentence — PDF p. 91</x:v>
      </x:c>
      <x:c r="E183" s="3" t="str">
        <x:v>../../2018/jama.2018.14282/joi180109supp1_prod.pdf#page=91</x:v>
      </x:c>
    </x:row>
    <x:row r="184" ht="90" customHeight="1">
      <x:c r="A184" s="6" t="str">
        <x:v>2018::jama.2018.14282::C025</x:v>
      </x:c>
      <x:c r="B184" s="6" t="str">
        <x:v>sourceLinks</x:v>
      </x:c>
      <x:c r="C184" s="6" t="n">
        <x:v>2</x:v>
      </x:c>
      <x:c r="D184" s="6" t="str">
        <x:v>DOC-002 statistical-plan comparator — PDF p. 103</x:v>
      </x:c>
      <x:c r="E184" s="6" t="str">
        <x:v>../../2018/jama.2018.14282/joi180109supp1_prod.pdf#page=103</x:v>
      </x:c>
    </x:row>
    <x:row r="185" ht="90" customHeight="1">
      <x:c r="A185" s="3" t="str">
        <x:v>2018::jama.2018.14282::C025</x:v>
      </x:c>
      <x:c r="B185" s="3" t="str">
        <x:v>evidencePaths</x:v>
      </x:c>
      <x:c r="C185" s="3" t="n">
        <x:v>0</x:v>
      </x:c>
      <x:c r="D185" s="3" t="str">
        <x:v>2018/jama.2018.14282/.ai_paper_validation/review_1_5_2/source_inventory.md</x:v>
      </x:c>
      <x:c r="E185" s="3" t="str">
        <x:v>../../2018/jama.2018.14282/.ai_paper_validation/review_1_5_2/source_inventory.md</x:v>
      </x:c>
    </x:row>
    <x:row r="186" ht="90" customHeight="1">
      <x:c r="A186" s="6" t="str">
        <x:v>2018::jama.2018.14282::C025</x:v>
      </x:c>
      <x:c r="B186" s="6" t="str">
        <x:v>evidencePaths</x:v>
      </x:c>
      <x:c r="C186" s="6" t="n">
        <x:v>1</x:v>
      </x:c>
      <x:c r="D186" s="6" t="str">
        <x:v>2018/jama.2018.14282/.ai_paper_validation/review_1_5_2/verification/evidence_recheck.md</x:v>
      </x:c>
      <x:c r="E186" s="6" t="str">
        <x:v>../../2018/jama.2018.14282/.ai_paper_validation/review_1_5_2/verification/evidence_recheck.md</x:v>
      </x:c>
    </x:row>
    <x:row r="187" ht="90" customHeight="1">
      <x:c r="A187" s="3" t="str">
        <x:v>2018::jama.2018.14282::C025</x:v>
      </x:c>
      <x:c r="B187" s="3" t="str">
        <x:v>evidencePaths</x:v>
      </x:c>
      <x:c r="C187" s="3" t="n">
        <x:v>2</x:v>
      </x:c>
      <x:c r="D187" s="3" t="str">
        <x:v>2018/jama.2018.14282/.ai_paper_validation/review_1_5_2/candidate_ledger.md</x:v>
      </x:c>
      <x:c r="E187" s="3" t="str">
        <x:v>../../2018/jama.2018.14282/.ai_paper_validation/review_1_5_2/candidate_ledger.md</x:v>
      </x:c>
    </x:row>
    <x:row r="188" ht="90" customHeight="1">
      <x:c r="A188" s="6" t="str">
        <x:v>2018::jama.2018.14282::C026</x:v>
      </x:c>
      <x:c r="B188" s="6" t="str">
        <x:v>sourceLinks</x:v>
      </x:c>
      <x:c r="C188" s="6" t="n">
        <x:v>0</x:v>
      </x:c>
      <x:c r="D188" s="6" t="str">
        <x:v>DOC-002 Figure 4 — PDF p. 40</x:v>
      </x:c>
      <x:c r="E188" s="6" t="str">
        <x:v>../../2018/jama.2018.14282/joi180109supp1_prod.pdf#page=40</x:v>
      </x:c>
    </x:row>
    <x:row r="189" ht="90" customHeight="1">
      <x:c r="A189" s="3" t="str">
        <x:v>2018::jama.2018.14282::C026</x:v>
      </x:c>
      <x:c r="B189" s="3" t="str">
        <x:v>sourceLinks</x:v>
      </x:c>
      <x:c r="C189" s="3" t="n">
        <x:v>1</x:v>
      </x:c>
      <x:c r="D189" s="3" t="str">
        <x:v>DOC-002 — PDF p. 42</x:v>
      </x:c>
      <x:c r="E189" s="3" t="str">
        <x:v>../../2018/jama.2018.14282/joi180109supp1_prod.pdf#page=42</x:v>
      </x:c>
    </x:row>
    <x:row r="190" ht="90" customHeight="1">
      <x:c r="A190" s="6" t="str">
        <x:v>2018::jama.2018.14282::C026</x:v>
      </x:c>
      <x:c r="B190" s="6" t="str">
        <x:v>evidencePaths</x:v>
      </x:c>
      <x:c r="C190" s="6" t="n">
        <x:v>0</x:v>
      </x:c>
      <x:c r="D190" s="6" t="str">
        <x:v>2018/jama.2018.14282/.ai_paper_validation/review_1_5_2/source_inventory.md</x:v>
      </x:c>
      <x:c r="E190" s="6" t="str">
        <x:v>../../2018/jama.2018.14282/.ai_paper_validation/review_1_5_2/source_inventory.md</x:v>
      </x:c>
    </x:row>
    <x:row r="191" ht="90" customHeight="1">
      <x:c r="A191" s="3" t="str">
        <x:v>2018::jama.2018.14282::C026</x:v>
      </x:c>
      <x:c r="B191" s="3" t="str">
        <x:v>evidencePaths</x:v>
      </x:c>
      <x:c r="C191" s="3" t="n">
        <x:v>1</x:v>
      </x:c>
      <x:c r="D191" s="3" t="str">
        <x:v>2018/jama.2018.14282/.ai_paper_validation/review_1_5_2/verification/evidence_recheck.md</x:v>
      </x:c>
      <x:c r="E191" s="3" t="str">
        <x:v>../../2018/jama.2018.14282/.ai_paper_validation/review_1_5_2/verification/evidence_recheck.md</x:v>
      </x:c>
    </x:row>
    <x:row r="192" ht="90" customHeight="1">
      <x:c r="A192" s="6" t="str">
        <x:v>2018::jama.2018.14282::C026</x:v>
      </x:c>
      <x:c r="B192" s="6" t="str">
        <x:v>evidencePaths</x:v>
      </x:c>
      <x:c r="C192" s="6" t="n">
        <x:v>2</x:v>
      </x:c>
      <x:c r="D192" s="6" t="str">
        <x:v>2018/jama.2018.14282/.ai_paper_validation/review_1_5_2/candidate_ledger.md</x:v>
      </x:c>
      <x:c r="E192" s="6" t="str">
        <x:v>../../2018/jama.2018.14282/.ai_paper_validation/review_1_5_2/candidate_ledger.md</x:v>
      </x:c>
    </x:row>
    <x:row r="193" ht="90" customHeight="1">
      <x:c r="A193" s="3" t="str">
        <x:v>2018::jama.2018.14282::C027</x:v>
      </x:c>
      <x:c r="B193" s="3" t="str">
        <x:v>sourceLinks</x:v>
      </x:c>
      <x:c r="C193" s="3" t="n">
        <x:v>0</x:v>
      </x:c>
      <x:c r="D193" s="3" t="str">
        <x:v>DOC-002 — PDF p. 52</x:v>
      </x:c>
      <x:c r="E193" s="3" t="str">
        <x:v>../../2018/jama.2018.14282/joi180109supp1_prod.pdf#page=52</x:v>
      </x:c>
    </x:row>
    <x:row r="194" ht="90" customHeight="1">
      <x:c r="A194" s="6" t="str">
        <x:v>2018::jama.2018.14282::C027</x:v>
      </x:c>
      <x:c r="B194" s="6" t="str">
        <x:v>sourceLinks</x:v>
      </x:c>
      <x:c r="C194" s="6" t="n">
        <x:v>1</x:v>
      </x:c>
      <x:c r="D194" s="6" t="str">
        <x:v>DOC-002 — PDF p. 104</x:v>
      </x:c>
      <x:c r="E194" s="6" t="str">
        <x:v>../../2018/jama.2018.14282/joi180109supp1_prod.pdf#page=104</x:v>
      </x:c>
    </x:row>
    <x:row r="195" ht="90" customHeight="1">
      <x:c r="A195" s="3" t="str">
        <x:v>2018::jama.2018.14282::C027</x:v>
      </x:c>
      <x:c r="B195" s="3" t="str">
        <x:v>evidencePaths</x:v>
      </x:c>
      <x:c r="C195" s="3" t="n">
        <x:v>0</x:v>
      </x:c>
      <x:c r="D195" s="3" t="str">
        <x:v>2018/jama.2018.14282/.ai_paper_validation/review_1_5_2/source_inventory.md</x:v>
      </x:c>
      <x:c r="E195" s="3" t="str">
        <x:v>../../2018/jama.2018.14282/.ai_paper_validation/review_1_5_2/source_inventory.md</x:v>
      </x:c>
    </x:row>
    <x:row r="196" ht="90" customHeight="1">
      <x:c r="A196" s="6" t="str">
        <x:v>2018::jama.2018.14282::C027</x:v>
      </x:c>
      <x:c r="B196" s="6" t="str">
        <x:v>evidencePaths</x:v>
      </x:c>
      <x:c r="C196" s="6" t="n">
        <x:v>1</x:v>
      </x:c>
      <x:c r="D196" s="6" t="str">
        <x:v>2018/jama.2018.14282/.ai_paper_validation/review_1_5_2/verification/evidence_recheck.md</x:v>
      </x:c>
      <x:c r="E196" s="6" t="str">
        <x:v>../../2018/jama.2018.14282/.ai_paper_validation/review_1_5_2/verification/evidence_recheck.md</x:v>
      </x:c>
    </x:row>
    <x:row r="197" ht="90" customHeight="1">
      <x:c r="A197" s="3" t="str">
        <x:v>2018::jama.2018.14282::C027</x:v>
      </x:c>
      <x:c r="B197" s="3" t="str">
        <x:v>evidencePaths</x:v>
      </x:c>
      <x:c r="C197" s="3" t="n">
        <x:v>2</x:v>
      </x:c>
      <x:c r="D197" s="3" t="str">
        <x:v>2018/jama.2018.14282/.ai_paper_validation/review_1_5_2/candidate_ledger.md</x:v>
      </x:c>
      <x:c r="E197" s="3" t="str">
        <x:v>../../2018/jama.2018.14282/.ai_paper_validation/review_1_5_2/candidate_ledger.md</x:v>
      </x:c>
    </x:row>
    <x:row r="198" ht="90" customHeight="1">
      <x:c r="A198" s="6" t="str">
        <x:v>2018::jama.2018.14282::C028</x:v>
      </x:c>
      <x:c r="B198" s="6" t="str">
        <x:v>sourceLinks</x:v>
      </x:c>
      <x:c r="C198" s="6" t="n">
        <x:v>0</x:v>
      </x:c>
      <x:c r="D198" s="6" t="str">
        <x:v>DOC-002 — PDF p. 54</x:v>
      </x:c>
      <x:c r="E198" s="6" t="str">
        <x:v>../../2018/jama.2018.14282/joi180109supp1_prod.pdf#page=54</x:v>
      </x:c>
    </x:row>
    <x:row r="199" ht="90" customHeight="1">
      <x:c r="A199" s="3" t="str">
        <x:v>2018::jama.2018.14282::C028</x:v>
      </x:c>
      <x:c r="B199" s="3" t="str">
        <x:v>sourceLinks</x:v>
      </x:c>
      <x:c r="C199" s="3" t="n">
        <x:v>1</x:v>
      </x:c>
      <x:c r="D199" s="3" t="str">
        <x:v>DOC-002 — PDF p. 82</x:v>
      </x:c>
      <x:c r="E199" s="3" t="str">
        <x:v>../../2018/jama.2018.14282/joi180109supp1_prod.pdf#page=82</x:v>
      </x:c>
    </x:row>
    <x:row r="200" ht="90" customHeight="1">
      <x:c r="A200" s="6" t="str">
        <x:v>2018::jama.2018.14282::C028</x:v>
      </x:c>
      <x:c r="B200" s="6" t="str">
        <x:v>sourceLinks</x:v>
      </x:c>
      <x:c r="C200" s="6" t="n">
        <x:v>2</x:v>
      </x:c>
      <x:c r="D200" s="6" t="str">
        <x:v>DOC-002 — PDF p. 104</x:v>
      </x:c>
      <x:c r="E200" s="6" t="str">
        <x:v>../../2018/jama.2018.14282/joi180109supp1_prod.pdf#page=104</x:v>
      </x:c>
    </x:row>
    <x:row r="201" ht="90" customHeight="1">
      <x:c r="A201" s="3" t="str">
        <x:v>2018::jama.2018.14282::C028</x:v>
      </x:c>
      <x:c r="B201" s="3" t="str">
        <x:v>evidencePaths</x:v>
      </x:c>
      <x:c r="C201" s="3" t="n">
        <x:v>0</x:v>
      </x:c>
      <x:c r="D201" s="3" t="str">
        <x:v>2018/jama.2018.14282/.ai_paper_validation/review_1_5_2/source_inventory.md</x:v>
      </x:c>
      <x:c r="E201" s="3" t="str">
        <x:v>../../2018/jama.2018.14282/.ai_paper_validation/review_1_5_2/source_inventory.md</x:v>
      </x:c>
    </x:row>
    <x:row r="202" ht="90" customHeight="1">
      <x:c r="A202" s="6" t="str">
        <x:v>2018::jama.2018.14282::C028</x:v>
      </x:c>
      <x:c r="B202" s="6" t="str">
        <x:v>evidencePaths</x:v>
      </x:c>
      <x:c r="C202" s="6" t="n">
        <x:v>1</x:v>
      </x:c>
      <x:c r="D202" s="6" t="str">
        <x:v>2018/jama.2018.14282/.ai_paper_validation/review_1_5_2/verification/evidence_recheck.md</x:v>
      </x:c>
      <x:c r="E202" s="6" t="str">
        <x:v>../../2018/jama.2018.14282/.ai_paper_validation/review_1_5_2/verification/evidence_recheck.md</x:v>
      </x:c>
    </x:row>
    <x:row r="203" ht="90" customHeight="1">
      <x:c r="A203" s="3" t="str">
        <x:v>2018::jama.2018.14282::C028</x:v>
      </x:c>
      <x:c r="B203" s="3" t="str">
        <x:v>evidencePaths</x:v>
      </x:c>
      <x:c r="C203" s="3" t="n">
        <x:v>2</x:v>
      </x:c>
      <x:c r="D203" s="3" t="str">
        <x:v>2018/jama.2018.14282/.ai_paper_validation/review_1_5_2/candidate_ledger.md</x:v>
      </x:c>
      <x:c r="E203" s="3" t="str">
        <x:v>../../2018/jama.2018.14282/.ai_paper_validation/review_1_5_2/candidate_ledger.md</x:v>
      </x:c>
    </x:row>
    <x:row r="204" ht="90" customHeight="1">
      <x:c r="A204" s="6" t="str">
        <x:v>2018::jama.2018.17075::C001</x:v>
      </x:c>
      <x:c r="B204" s="6" t="str">
        <x:v>sourceLinks</x:v>
      </x:c>
      <x:c r="C204" s="6" t="n">
        <x:v>0</x:v>
      </x:c>
      <x:c r="D204" s="6" t="str">
        <x:v>jama_cooper_2018_oi_180132.pdf — PDF p. 5, Table 1, normothermia Injury Severity Score</x:v>
      </x:c>
      <x:c r="E204" s="6" t="str">
        <x:v>../../2018/jama.2018.17075/jama_cooper_2018_oi_180132.pdf#page=5</x:v>
      </x:c>
    </x:row>
    <x:row r="205" ht="90" customHeight="1">
      <x:c r="A205" s="3" t="str">
        <x:v>2018::jama.2018.17075::C001</x:v>
      </x:c>
      <x:c r="B205" s="3" t="str">
        <x:v>evidencePaths</x:v>
      </x:c>
      <x:c r="C205" s="3" t="n">
        <x:v>0</x:v>
      </x:c>
      <x:c r="D205" s="3" t="str">
        <x:v>2018/jama.2018.17075/.ai_paper_validation/review_1_5_2/source_inventory.md</x:v>
      </x:c>
      <x:c r="E205" s="3" t="str">
        <x:v>../../2018/jama.2018.17075/.ai_paper_validation/review_1_5_2/source_inventory.md</x:v>
      </x:c>
    </x:row>
    <x:row r="206" ht="90" customHeight="1">
      <x:c r="A206" s="6" t="str">
        <x:v>2018::jama.2018.17075::C002</x:v>
      </x:c>
      <x:c r="B206" s="6" t="str">
        <x:v>sourceLinks</x:v>
      </x:c>
      <x:c r="C206" s="6" t="n">
        <x:v>0</x:v>
      </x:c>
      <x:c r="D206" s="6" t="str">
        <x:v>jama_cooper_2018_oi_180132.pdf — PDF p. 1, abstract Results</x:v>
      </x:c>
      <x:c r="E206" s="6" t="str">
        <x:v>../../2018/jama.2018.17075/jama_cooper_2018_oi_180132.pdf#page=1</x:v>
      </x:c>
    </x:row>
    <x:row r="207" ht="90" customHeight="1">
      <x:c r="A207" s="3" t="str">
        <x:v>2018::jama.2018.17075::C002</x:v>
      </x:c>
      <x:c r="B207" s="3" t="str">
        <x:v>sourceLinks</x:v>
      </x:c>
      <x:c r="C207" s="3" t="n">
        <x:v>1</x:v>
      </x:c>
      <x:c r="D207" s="3" t="str">
        <x:v>PDF p. 5, Primary Outcome Results</x:v>
      </x:c>
      <x:c r="E207" s="3" t="str">
        <x:v>../../2018/jama.2018.17075/jama_cooper_2018_oi_180132.pdf#page=5</x:v>
      </x:c>
    </x:row>
    <x:row r="208" ht="90" customHeight="1">
      <x:c r="A208" s="6" t="str">
        <x:v>2018::jama.2018.17075::C002</x:v>
      </x:c>
      <x:c r="B208" s="6" t="str">
        <x:v>sourceLinks</x:v>
      </x:c>
      <x:c r="C208" s="6" t="n">
        <x:v>2</x:v>
      </x:c>
      <x:c r="D208" s="6" t="str">
        <x:v>PDF p. 7, Table 2 favorable outcome</x:v>
      </x:c>
      <x:c r="E208" s="6" t="str">
        <x:v>../../2018/jama.2018.17075/jama_cooper_2018_oi_180132.pdf#page=7</x:v>
      </x:c>
    </x:row>
    <x:row r="209" ht="90" customHeight="1">
      <x:c r="A209" s="3" t="str">
        <x:v>2018::jama.2018.17075::C002</x:v>
      </x:c>
      <x:c r="B209" s="3" t="str">
        <x:v>evidencePaths</x:v>
      </x:c>
      <x:c r="C209" s="3" t="n">
        <x:v>0</x:v>
      </x:c>
      <x:c r="D209" s="3" t="str">
        <x:v>2018/jama.2018.17075/.ai_paper_validation/review_1_5_2/source_inventory.md</x:v>
      </x:c>
      <x:c r="E209" s="3" t="str">
        <x:v>../../2018/jama.2018.17075/.ai_paper_validation/review_1_5_2/source_inventory.md</x:v>
      </x:c>
    </x:row>
    <x:row r="210" ht="90" customHeight="1">
      <x:c r="A210" s="6" t="str">
        <x:v>2018::jama.2018.17075::C003</x:v>
      </x:c>
      <x:c r="B210" s="6" t="str">
        <x:v>sourceLinks</x:v>
      </x:c>
      <x:c r="C210" s="6" t="n">
        <x:v>0</x:v>
      </x:c>
      <x:c r="D210" s="6" t="str">
        <x:v>jama_cooper_2018_oi_180132.pdf — PDF p. 7, Table 2, new or increased intracranial bleeding</x:v>
      </x:c>
      <x:c r="E210" s="6" t="str">
        <x:v>../../2018/jama.2018.17075/jama_cooper_2018_oi_180132.pdf#page=7</x:v>
      </x:c>
    </x:row>
    <x:row r="211" ht="90" customHeight="1">
      <x:c r="A211" s="3" t="str">
        <x:v>2018::jama.2018.17075::C003</x:v>
      </x:c>
      <x:c r="B211" s="3" t="str">
        <x:v>sourceLinks</x:v>
      </x:c>
      <x:c r="C211" s="3" t="n">
        <x:v>1</x:v>
      </x:c>
      <x:c r="D211" s="3" t="str">
        <x:v>joi180132supp2_prod.pdf — PDF p. 10, eTable 6, same outcome</x:v>
      </x:c>
      <x:c r="E211" s="3" t="str">
        <x:v>../../2018/jama.2018.17075/joi180132supp2_prod.pdf#page=10</x:v>
      </x:c>
    </x:row>
    <x:row r="212" ht="90" customHeight="1">
      <x:c r="A212" s="6" t="str">
        <x:v>2018::jama.2018.17075::C003</x:v>
      </x:c>
      <x:c r="B212" s="6" t="str">
        <x:v>sourceLinks</x:v>
      </x:c>
      <x:c r="C212" s="6" t="n">
        <x:v>2</x:v>
      </x:c>
      <x:c r="D212" s="6" t="str">
        <x:v>jama_cooper_2018_oi_180132.pdf — PDF p. 3, Statistical Analysis</x:v>
      </x:c>
      <x:c r="E212" s="6" t="str">
        <x:v>../../2018/jama.2018.17075/jama_cooper_2018_oi_180132.pdf#page=3</x:v>
      </x:c>
    </x:row>
    <x:row r="213" ht="90" customHeight="1">
      <x:c r="A213" s="3" t="str">
        <x:v>2018::jama.2018.17075::C003</x:v>
      </x:c>
      <x:c r="B213" s="3" t="str">
        <x:v>evidencePaths</x:v>
      </x:c>
      <x:c r="C213" s="3" t="n">
        <x:v>0</x:v>
      </x:c>
      <x:c r="D213" s="3" t="str">
        <x:v>2018/jama.2018.17075/.ai_paper_validation/review_1_5_2/source_inventory.md</x:v>
      </x:c>
      <x:c r="E213" s="3" t="str">
        <x:v>../../2018/jama.2018.17075/.ai_paper_validation/review_1_5_2/source_inventory.md</x:v>
      </x:c>
    </x:row>
    <x:row r="214" ht="90" customHeight="1">
      <x:c r="A214" s="6" t="str">
        <x:v>2018::jama.2018.17075::C003</x:v>
      </x:c>
      <x:c r="B214" s="6" t="str">
        <x:v>evidencePaths</x:v>
      </x:c>
      <x:c r="C214" s="6" t="n">
        <x:v>1</x:v>
      </x:c>
      <x:c r="D214" s="6" t="str">
        <x:v>2018/jama.2018.17075/.ai_paper_validation/review_1_5_2/verification/evidence_recheck.md</x:v>
      </x:c>
      <x:c r="E214" s="6" t="str">
        <x:v>../../2018/jama.2018.17075/.ai_paper_validation/review_1_5_2/verification/evidence_recheck.md</x:v>
      </x:c>
    </x:row>
    <x:row r="215" ht="90" customHeight="1">
      <x:c r="A215" s="3" t="str">
        <x:v>2018::jama.2018.17075::C004</x:v>
      </x:c>
      <x:c r="B215" s="3" t="str">
        <x:v>sourceLinks</x:v>
      </x:c>
      <x:c r="C215" s="3" t="n">
        <x:v>0</x:v>
      </x:c>
      <x:c r="D215" s="3" t="str">
        <x:v>jama_cooper_2018_oi_180132.pdf — PDF p. 7, Table 2, new significant extracranial bleeding</x:v>
      </x:c>
      <x:c r="E215" s="3" t="str">
        <x:v>../../2018/jama.2018.17075/jama_cooper_2018_oi_180132.pdf#page=7</x:v>
      </x:c>
    </x:row>
    <x:row r="216" ht="90" customHeight="1">
      <x:c r="A216" s="6" t="str">
        <x:v>2018::jama.2018.17075::C004</x:v>
      </x:c>
      <x:c r="B216" s="6" t="str">
        <x:v>sourceLinks</x:v>
      </x:c>
      <x:c r="C216" s="6" t="n">
        <x:v>1</x:v>
      </x:c>
      <x:c r="D216" s="6" t="str">
        <x:v>joi180132supp2_prod.pdf — PDF p. 10, eTable 6, same outcome</x:v>
      </x:c>
      <x:c r="E216" s="6" t="str">
        <x:v>../../2018/jama.2018.17075/joi180132supp2_prod.pdf#page=10</x:v>
      </x:c>
    </x:row>
    <x:row r="217" ht="90" customHeight="1">
      <x:c r="A217" s="3" t="str">
        <x:v>2018::jama.2018.17075::C004</x:v>
      </x:c>
      <x:c r="B217" s="3" t="str">
        <x:v>sourceLinks</x:v>
      </x:c>
      <x:c r="C217" s="3" t="n">
        <x:v>2</x:v>
      </x:c>
      <x:c r="D217" s="3" t="str">
        <x:v>jama_cooper_2018_oi_180132.pdf — PDF p. 3, Statistical Analysis</x:v>
      </x:c>
      <x:c r="E217" s="3" t="str">
        <x:v>../../2018/jama.2018.17075/jama_cooper_2018_oi_180132.pdf#page=3</x:v>
      </x:c>
    </x:row>
    <x:row r="218" ht="90" customHeight="1">
      <x:c r="A218" s="6" t="str">
        <x:v>2018::jama.2018.17075::C004</x:v>
      </x:c>
      <x:c r="B218" s="6" t="str">
        <x:v>evidencePaths</x:v>
      </x:c>
      <x:c r="C218" s="6" t="n">
        <x:v>0</x:v>
      </x:c>
      <x:c r="D218" s="6" t="str">
        <x:v>2018/jama.2018.17075/.ai_paper_validation/review_1_5_2/source_inventory.md</x:v>
      </x:c>
      <x:c r="E218" s="6" t="str">
        <x:v>../../2018/jama.2018.17075/.ai_paper_validation/review_1_5_2/source_inventory.md</x:v>
      </x:c>
    </x:row>
    <x:row r="219" ht="90" customHeight="1">
      <x:c r="A219" s="3" t="str">
        <x:v>2018::jama.2018.17075::C004</x:v>
      </x:c>
      <x:c r="B219" s="3" t="str">
        <x:v>evidencePaths</x:v>
      </x:c>
      <x:c r="C219" s="3" t="n">
        <x:v>1</x:v>
      </x:c>
      <x:c r="D219" s="3" t="str">
        <x:v>2018/jama.2018.17075/.ai_paper_validation/review_1_5_2/verification/evidence_recheck.md</x:v>
      </x:c>
      <x:c r="E219" s="3" t="str">
        <x:v>../../2018/jama.2018.17075/.ai_paper_validation/review_1_5_2/verification/evidence_recheck.md</x:v>
      </x:c>
    </x:row>
    <x:row r="220" ht="90" customHeight="1">
      <x:c r="A220" s="6" t="str">
        <x:v>2018::jama.2018.17075::C005</x:v>
      </x:c>
      <x:c r="B220" s="6" t="str">
        <x:v>sourceLinks</x:v>
      </x:c>
      <x:c r="C220" s="6" t="n">
        <x:v>0</x:v>
      </x:c>
      <x:c r="D220" s="6" t="str">
        <x:v>joi180132supp2_prod.pdf — PDF p. 18, eTable 10, CT Marshall classification, evacuated mass lesion V, normothermia</x:v>
      </x:c>
      <x:c r="E220" s="6" t="str">
        <x:v>../../2018/jama.2018.17075/joi180132supp2_prod.pdf#page=18</x:v>
      </x:c>
    </x:row>
    <x:row r="221" ht="90" customHeight="1">
      <x:c r="A221" s="3" t="str">
        <x:v>2018::jama.2018.17075::C005</x:v>
      </x:c>
      <x:c r="B221" s="3" t="str">
        <x:v>evidencePaths</x:v>
      </x:c>
      <x:c r="C221" s="3" t="n">
        <x:v>0</x:v>
      </x:c>
      <x:c r="D221" s="3" t="str">
        <x:v>2018/jama.2018.17075/.ai_paper_validation/review_1_5_2/source_inventory.md</x:v>
      </x:c>
      <x:c r="E221" s="3" t="str">
        <x:v>../../2018/jama.2018.17075/.ai_paper_validation/review_1_5_2/source_inventory.md</x:v>
      </x:c>
    </x:row>
    <x:row r="222" ht="90" customHeight="1">
      <x:c r="A222" s="6" t="str">
        <x:v>2018::jama.2018.17075::C006</x:v>
      </x:c>
      <x:c r="B222" s="6" t="str">
        <x:v>sourceLinks</x:v>
      </x:c>
      <x:c r="C222" s="6" t="n">
        <x:v>0</x:v>
      </x:c>
      <x:c r="D222" s="6" t="str">
        <x:v>joi180132supp2_prod.pdf — PDF p. 18, eTable 10, CT Marshall classification, non-evacuated mass lesion VI, normothermia</x:v>
      </x:c>
      <x:c r="E222" s="6" t="str">
        <x:v>../../2018/jama.2018.17075/joi180132supp2_prod.pdf#page=18</x:v>
      </x:c>
    </x:row>
    <x:row r="223" ht="90" customHeight="1">
      <x:c r="A223" s="3" t="str">
        <x:v>2018::jama.2018.17075::C006</x:v>
      </x:c>
      <x:c r="B223" s="3" t="str">
        <x:v>evidencePaths</x:v>
      </x:c>
      <x:c r="C223" s="3" t="n">
        <x:v>0</x:v>
      </x:c>
      <x:c r="D223" s="3" t="str">
        <x:v>2018/jama.2018.17075/.ai_paper_validation/review_1_5_2/source_inventory.md</x:v>
      </x:c>
      <x:c r="E223" s="3" t="str">
        <x:v>../../2018/jama.2018.17075/.ai_paper_validation/review_1_5_2/source_inventory.md</x:v>
      </x:c>
    </x:row>
    <x:row r="224" ht="90" customHeight="1">
      <x:c r="A224" s="6" t="str">
        <x:v>2018::jama.2018.17075::C007</x:v>
      </x:c>
      <x:c r="B224" s="6" t="str">
        <x:v>sourceLinks</x:v>
      </x:c>
      <x:c r="C224" s="6" t="n">
        <x:v>0</x:v>
      </x:c>
      <x:c r="D224" s="6" t="str">
        <x:v>joi180132supp2_prod.pdf — PDF p. 22, post-hoc adequate-cooling Results, final sentence</x:v>
      </x:c>
      <x:c r="E224" s="6" t="str">
        <x:v>../../2018/jama.2018.17075/joi180132supp2_prod.pdf#page=22</x:v>
      </x:c>
    </x:row>
    <x:row r="225" ht="90" customHeight="1">
      <x:c r="A225" s="3" t="str">
        <x:v>2018::jama.2018.17075::C007</x:v>
      </x:c>
      <x:c r="B225" s="3" t="str">
        <x:v>evidencePaths</x:v>
      </x:c>
      <x:c r="C225" s="3" t="n">
        <x:v>0</x:v>
      </x:c>
      <x:c r="D225" s="3" t="str">
        <x:v>2018/jama.2018.17075/.ai_paper_validation/review_1_5_2/source_inventory.md</x:v>
      </x:c>
      <x:c r="E225" s="3" t="str">
        <x:v>../../2018/jama.2018.17075/.ai_paper_validation/review_1_5_2/source_inventory.md</x:v>
      </x:c>
    </x:row>
    <x:row r="226" ht="90" customHeight="1">
      <x:c r="A226" s="6" t="str">
        <x:v>2018::jama.2018.17075::C008</x:v>
      </x:c>
      <x:c r="B226" s="6" t="str">
        <x:v>sourceLinks</x:v>
      </x:c>
      <x:c r="C226" s="6" t="n">
        <x:v>0</x:v>
      </x:c>
      <x:c r="D226" s="6" t="str">
        <x:v>jama_cooper_2018_oi_180132.pdf — PDF p. 1, abstract Results</x:v>
      </x:c>
      <x:c r="E226" s="6" t="str">
        <x:v>../../2018/jama.2018.17075/jama_cooper_2018_oi_180132.pdf#page=1</x:v>
      </x:c>
    </x:row>
    <x:row r="227" ht="90" customHeight="1">
      <x:c r="A227" s="3" t="str">
        <x:v>2018::jama.2018.17075::C008</x:v>
      </x:c>
      <x:c r="B227" s="3" t="str">
        <x:v>sourceLinks</x:v>
      </x:c>
      <x:c r="C227" s="3" t="n">
        <x:v>1</x:v>
      </x:c>
      <x:c r="D227" s="3" t="str">
        <x:v>PDF p. 5, Table 1, Men and Women rows</x:v>
      </x:c>
      <x:c r="E227" s="3" t="str">
        <x:v>../../2018/jama.2018.17075/jama_cooper_2018_oi_180132.pdf#page=5</x:v>
      </x:c>
    </x:row>
    <x:row r="228" ht="90" customHeight="1">
      <x:c r="A228" s="6" t="str">
        <x:v>2018::jama.2018.17075::C008</x:v>
      </x:c>
      <x:c r="B228" s="6" t="str">
        <x:v>evidencePaths</x:v>
      </x:c>
      <x:c r="C228" s="6" t="n">
        <x:v>0</x:v>
      </x:c>
      <x:c r="D228" s="6" t="str">
        <x:v>2018/jama.2018.17075/.ai_paper_validation/review_1_5_2/source_inventory.md</x:v>
      </x:c>
      <x:c r="E228" s="6" t="str">
        <x:v>../../2018/jama.2018.17075/.ai_paper_validation/review_1_5_2/source_inventory.md</x:v>
      </x:c>
    </x:row>
    <x:row r="229" ht="90" customHeight="1">
      <x:c r="A229" s="3" t="str">
        <x:v>2018::jama.2018.18020::C001</x:v>
      </x:c>
      <x:c r="B229" s="3" t="str">
        <x:v>sourceLinks</x:v>
      </x:c>
      <x:c r="C229" s="3" t="n">
        <x:v>0</x:v>
      </x:c>
      <x:c r="D229" s="3" t="str">
        <x:v>jama_stunnenberg_2018_oi_180136.pdf — PDF p. 1</x:v>
      </x:c>
      <x:c r="E229" s="3" t="str">
        <x:v>../../2018/jama.2018.18020/jama_stunnenberg_2018_oi_180136.pdf#page=1</x:v>
      </x:c>
    </x:row>
    <x:row r="230" ht="90" customHeight="1">
      <x:c r="A230" s="6" t="str">
        <x:v>2018::jama.2018.18020::C001</x:v>
      </x:c>
      <x:c r="B230" s="6" t="str">
        <x:v>sourceLinks</x:v>
      </x:c>
      <x:c r="C230" s="6" t="n">
        <x:v>1</x:v>
      </x:c>
      <x:c r="D230" s="6" t="str">
        <x:v>jama_stunnenberg_2018_oi_180136.pdf — PDF p. 4</x:v>
      </x:c>
      <x:c r="E230" s="6" t="str">
        <x:v>../../2018/jama.2018.18020/jama_stunnenberg_2018_oi_180136.pdf#page=4</x:v>
      </x:c>
    </x:row>
    <x:row r="231" ht="90" customHeight="1">
      <x:c r="A231" s="3" t="str">
        <x:v>2018::jama.2018.18020::C001</x:v>
      </x:c>
      <x:c r="B231" s="3" t="str">
        <x:v>evidencePaths</x:v>
      </x:c>
      <x:c r="C231" s="3" t="n">
        <x:v>0</x:v>
      </x:c>
      <x:c r="D231" s="3" t="str">
        <x:v>2018/jama.2018.18020/.ai_paper_validation/review_1_5_2/source_inventory.md</x:v>
      </x:c>
      <x:c r="E231" s="3" t="str">
        <x:v>../../2018/jama.2018.18020/.ai_paper_validation/review_1_5_2/source_inventory.md</x:v>
      </x:c>
    </x:row>
    <x:row r="232" ht="90" customHeight="1">
      <x:c r="A232" s="6" t="str">
        <x:v>2018::jama.2018.18020::C002</x:v>
      </x:c>
      <x:c r="B232" s="6" t="str">
        <x:v>sourceLinks</x:v>
      </x:c>
      <x:c r="C232" s="6" t="n">
        <x:v>0</x:v>
      </x:c>
      <x:c r="D232" s="6" t="str">
        <x:v>jama_stunnenberg_2018_oi_180136.pdf — PDF p. 5</x:v>
      </x:c>
      <x:c r="E232" s="6" t="str">
        <x:v>../../2018/jama.2018.18020/jama_stunnenberg_2018_oi_180136.pdf#page=5</x:v>
      </x:c>
    </x:row>
    <x:row r="233" ht="90" customHeight="1">
      <x:c r="A233" s="3" t="str">
        <x:v>2018::jama.2018.18020::C002</x:v>
      </x:c>
      <x:c r="B233" s="3" t="str">
        <x:v>sourceLinks</x:v>
      </x:c>
      <x:c r="C233" s="3" t="n">
        <x:v>1</x:v>
      </x:c>
      <x:c r="D233" s="3" t="str">
        <x:v>jama_stunnenberg_2018_oi_180136.pdf — PDF p. 8</x:v>
      </x:c>
      <x:c r="E233" s="3" t="str">
        <x:v>../../2018/jama.2018.18020/jama_stunnenberg_2018_oi_180136.pdf#page=8</x:v>
      </x:c>
    </x:row>
    <x:row r="234" ht="90" customHeight="1">
      <x:c r="A234" s="6" t="str">
        <x:v>2018::jama.2018.18020::C002</x:v>
      </x:c>
      <x:c r="B234" s="6" t="str">
        <x:v>evidencePaths</x:v>
      </x:c>
      <x:c r="C234" s="6" t="n">
        <x:v>0</x:v>
      </x:c>
      <x:c r="D234" s="6" t="str">
        <x:v>2018/jama.2018.18020/.ai_paper_validation/review_1_5_2/source_inventory.md</x:v>
      </x:c>
      <x:c r="E234" s="6" t="str">
        <x:v>../../2018/jama.2018.18020/.ai_paper_validation/review_1_5_2/source_inventory.md</x:v>
      </x:c>
    </x:row>
    <x:row r="235" ht="90" customHeight="1">
      <x:c r="A235" s="3" t="str">
        <x:v>2018::jama.2018.18020::C003</x:v>
      </x:c>
      <x:c r="B235" s="3" t="str">
        <x:v>sourceLinks</x:v>
      </x:c>
      <x:c r="C235" s="3" t="n">
        <x:v>0</x:v>
      </x:c>
      <x:c r="D235" s="3" t="str">
        <x:v>jama_stunnenberg_2018_oi_180136.pdf — PDF p. 7</x:v>
      </x:c>
      <x:c r="E235" s="3" t="str">
        <x:v>../../2018/jama.2018.18020/jama_stunnenberg_2018_oi_180136.pdf#page=7</x:v>
      </x:c>
    </x:row>
    <x:row r="236" ht="90" customHeight="1">
      <x:c r="A236" s="6" t="str">
        <x:v>2018::jama.2018.18020::C003</x:v>
      </x:c>
      <x:c r="B236" s="6" t="str">
        <x:v>sourceLinks</x:v>
      </x:c>
      <x:c r="C236" s="6" t="n">
        <x:v>1</x:v>
      </x:c>
      <x:c r="D236" s="6" t="str">
        <x:v>jama_stunnenberg_2018_oi_180136.pdf — PDF p. 8</x:v>
      </x:c>
      <x:c r="E236" s="6" t="str">
        <x:v>../../2018/jama.2018.18020/jama_stunnenberg_2018_oi_180136.pdf#page=8</x:v>
      </x:c>
    </x:row>
    <x:row r="237" ht="90" customHeight="1">
      <x:c r="A237" s="3" t="str">
        <x:v>2018::jama.2018.18020::C003</x:v>
      </x:c>
      <x:c r="B237" s="3" t="str">
        <x:v>evidencePaths</x:v>
      </x:c>
      <x:c r="C237" s="3" t="n">
        <x:v>0</x:v>
      </x:c>
      <x:c r="D237" s="3" t="str">
        <x:v>2018/jama.2018.18020/.ai_paper_validation/review_1_5_2/source_inventory.md</x:v>
      </x:c>
      <x:c r="E237" s="3" t="str">
        <x:v>../../2018/jama.2018.18020/.ai_paper_validation/review_1_5_2/source_inventory.md</x:v>
      </x:c>
    </x:row>
    <x:row r="238" ht="90" customHeight="1">
      <x:c r="A238" s="6" t="str">
        <x:v>2018::jama.2018.18020::C004</x:v>
      </x:c>
      <x:c r="B238" s="6" t="str">
        <x:v>sourceLinks</x:v>
      </x:c>
      <x:c r="C238" s="6" t="n">
        <x:v>0</x:v>
      </x:c>
      <x:c r="D238" s="6" t="str">
        <x:v>joi180136supp2_prod.pdf — PDF p. 6</x:v>
      </x:c>
      <x:c r="E238" s="6" t="str">
        <x:v>../../2018/jama.2018.18020/joi180136supp2_prod.pdf#page=6</x:v>
      </x:c>
    </x:row>
    <x:row r="239" ht="90" customHeight="1">
      <x:c r="A239" s="3" t="str">
        <x:v>2018::jama.2018.18020::C004</x:v>
      </x:c>
      <x:c r="B239" s="3" t="str">
        <x:v>sourceLinks</x:v>
      </x:c>
      <x:c r="C239" s="3" t="n">
        <x:v>1</x:v>
      </x:c>
      <x:c r="D239" s="3" t="str">
        <x:v>jama_stunnenberg_2018_oi_180136.pdf — PDF p. 8</x:v>
      </x:c>
      <x:c r="E239" s="3" t="str">
        <x:v>../../2018/jama.2018.18020/jama_stunnenberg_2018_oi_180136.pdf#page=8</x:v>
      </x:c>
    </x:row>
    <x:row r="240" ht="90" customHeight="1">
      <x:c r="A240" s="6" t="str">
        <x:v>2018::jama.2018.18020::C004</x:v>
      </x:c>
      <x:c r="B240" s="6" t="str">
        <x:v>evidencePaths</x:v>
      </x:c>
      <x:c r="C240" s="6" t="n">
        <x:v>0</x:v>
      </x:c>
      <x:c r="D240" s="6" t="str">
        <x:v>2018/jama.2018.18020/.ai_paper_validation/review_1_5_2/source_inventory.md</x:v>
      </x:c>
      <x:c r="E240" s="6" t="str">
        <x:v>../../2018/jama.2018.18020/.ai_paper_validation/review_1_5_2/source_inventory.md</x:v>
      </x:c>
    </x:row>
    <x:row r="241" ht="90" customHeight="1">
      <x:c r="A241" s="3" t="str">
        <x:v>2018::jama.2018.18020::C004</x:v>
      </x:c>
      <x:c r="B241" s="3" t="str">
        <x:v>evidencePaths</x:v>
      </x:c>
      <x:c r="C241" s="3" t="n">
        <x:v>1</x:v>
      </x:c>
      <x:c r="D241" s="3" t="str">
        <x:v>2018/jama.2018.18020/.ai_paper_validation/review_1_5_2/verification/evidence_recheck.md</x:v>
      </x:c>
      <x:c r="E241" s="3" t="str">
        <x:v>../../2018/jama.2018.18020/.ai_paper_validation/review_1_5_2/verification/evidence_recheck.md</x:v>
      </x:c>
    </x:row>
    <x:row r="242" ht="90" customHeight="1">
      <x:c r="A242" s="6" t="str">
        <x:v>2018::jama.2018.18020::C005</x:v>
      </x:c>
      <x:c r="B242" s="6" t="str">
        <x:v>sourceLinks</x:v>
      </x:c>
      <x:c r="C242" s="6" t="n">
        <x:v>0</x:v>
      </x:c>
      <x:c r="D242" s="6" t="str">
        <x:v>joi180136supp2_prod.pdf — PDF p. 11</x:v>
      </x:c>
      <x:c r="E242" s="6" t="str">
        <x:v>../../2018/jama.2018.18020/joi180136supp2_prod.pdf#page=11</x:v>
      </x:c>
    </x:row>
    <x:row r="243" ht="90" customHeight="1">
      <x:c r="A243" s="3" t="str">
        <x:v>2018::jama.2018.18020::C005</x:v>
      </x:c>
      <x:c r="B243" s="3" t="str">
        <x:v>sourceLinks</x:v>
      </x:c>
      <x:c r="C243" s="3" t="n">
        <x:v>1</x:v>
      </x:c>
      <x:c r="D243" s="3" t="str">
        <x:v>joi180136supp2_prod.pdf — PDF p. 13</x:v>
      </x:c>
      <x:c r="E243" s="3" t="str">
        <x:v>../../2018/jama.2018.18020/joi180136supp2_prod.pdf#page=13</x:v>
      </x:c>
    </x:row>
    <x:row r="244" ht="90" customHeight="1">
      <x:c r="A244" s="6" t="str">
        <x:v>2018::jama.2018.18020::C005</x:v>
      </x:c>
      <x:c r="B244" s="6" t="str">
        <x:v>sourceLinks</x:v>
      </x:c>
      <x:c r="C244" s="6" t="n">
        <x:v>2</x:v>
      </x:c>
      <x:c r="D244" s="6" t="str">
        <x:v>joi180136supp2_prod.pdf — PDF p. 14</x:v>
      </x:c>
      <x:c r="E244" s="6" t="str">
        <x:v>../../2018/jama.2018.18020/joi180136supp2_prod.pdf#page=14</x:v>
      </x:c>
    </x:row>
    <x:row r="245" ht="90" customHeight="1">
      <x:c r="A245" s="3" t="str">
        <x:v>2018::jama.2018.18020::C005</x:v>
      </x:c>
      <x:c r="B245" s="3" t="str">
        <x:v>evidencePaths</x:v>
      </x:c>
      <x:c r="C245" s="3" t="n">
        <x:v>0</x:v>
      </x:c>
      <x:c r="D245" s="3" t="str">
        <x:v>2018/jama.2018.18020/.ai_paper_validation/review_1_5_2/source_inventory.md</x:v>
      </x:c>
      <x:c r="E245" s="3" t="str">
        <x:v>../../2018/jama.2018.18020/.ai_paper_validation/review_1_5_2/source_inventory.md</x:v>
      </x:c>
    </x:row>
    <x:row r="246" ht="90" customHeight="1">
      <x:c r="A246" s="6" t="str">
        <x:v>2018::jama.2018.18020::C005</x:v>
      </x:c>
      <x:c r="B246" s="6" t="str">
        <x:v>evidencePaths</x:v>
      </x:c>
      <x:c r="C246" s="6" t="n">
        <x:v>1</x:v>
      </x:c>
      <x:c r="D246" s="6" t="str">
        <x:v>2018/jama.2018.18020/.ai_paper_validation/review_1_5_2/verification/evidence_recheck.md</x:v>
      </x:c>
      <x:c r="E246" s="6" t="str">
        <x:v>../../2018/jama.2018.18020/.ai_paper_validation/review_1_5_2/verification/evidence_recheck.md</x:v>
      </x:c>
    </x:row>
    <x:row r="247" ht="90" customHeight="1">
      <x:c r="A247" s="3" t="str">
        <x:v>2018::jama.2018.18020::C006</x:v>
      </x:c>
      <x:c r="B247" s="3" t="str">
        <x:v>sourceLinks</x:v>
      </x:c>
      <x:c r="C247" s="3" t="n">
        <x:v>0</x:v>
      </x:c>
      <x:c r="D247" s="3" t="str">
        <x:v>joi180136supp2_prod.pdf — PDF p. 13</x:v>
      </x:c>
      <x:c r="E247" s="3" t="str">
        <x:v>../../2018/jama.2018.18020/joi180136supp2_prod.pdf#page=13</x:v>
      </x:c>
    </x:row>
    <x:row r="248" ht="90" customHeight="1">
      <x:c r="A248" s="6" t="str">
        <x:v>2018::jama.2018.18020::C006</x:v>
      </x:c>
      <x:c r="B248" s="6" t="str">
        <x:v>sourceLinks</x:v>
      </x:c>
      <x:c r="C248" s="6" t="n">
        <x:v>1</x:v>
      </x:c>
      <x:c r="D248" s="6" t="str">
        <x:v>joi180136supp2_prod.pdf — PDF p. 14</x:v>
      </x:c>
      <x:c r="E248" s="6" t="str">
        <x:v>../../2018/jama.2018.18020/joi180136supp2_prod.pdf#page=14</x:v>
      </x:c>
    </x:row>
    <x:row r="249" ht="90" customHeight="1">
      <x:c r="A249" s="3" t="str">
        <x:v>2018::jama.2018.18020::C006</x:v>
      </x:c>
      <x:c r="B249" s="3" t="str">
        <x:v>evidencePaths</x:v>
      </x:c>
      <x:c r="C249" s="3" t="n">
        <x:v>0</x:v>
      </x:c>
      <x:c r="D249" s="3" t="str">
        <x:v>2018/jama.2018.18020/.ai_paper_validation/review_1_5_2/source_inventory.md</x:v>
      </x:c>
      <x:c r="E249" s="3" t="str">
        <x:v>../../2018/jama.2018.18020/.ai_paper_validation/review_1_5_2/source_inventory.md</x:v>
      </x:c>
    </x:row>
    <x:row r="250" ht="90" customHeight="1">
      <x:c r="A250" s="6" t="str">
        <x:v>2018::jama.2018.18020::C006</x:v>
      </x:c>
      <x:c r="B250" s="6" t="str">
        <x:v>evidencePaths</x:v>
      </x:c>
      <x:c r="C250" s="6" t="n">
        <x:v>1</x:v>
      </x:c>
      <x:c r="D250" s="6" t="str">
        <x:v>2018/jama.2018.18020/.ai_paper_validation/review_1_5_2/verification/evidence_recheck.md</x:v>
      </x:c>
      <x:c r="E250" s="6" t="str">
        <x:v>../../2018/jama.2018.18020/.ai_paper_validation/review_1_5_2/verification/evidence_recheck.md</x:v>
      </x:c>
    </x:row>
    <x:row r="251" ht="90" customHeight="1">
      <x:c r="A251" s="3" t="str">
        <x:v>2018::jama.2018.18020::C007</x:v>
      </x:c>
      <x:c r="B251" s="3" t="str">
        <x:v>sourceLinks</x:v>
      </x:c>
      <x:c r="C251" s="3" t="n">
        <x:v>0</x:v>
      </x:c>
      <x:c r="D251" s="3" t="str">
        <x:v>joi180136supp2_prod.pdf — PDF p. 11</x:v>
      </x:c>
      <x:c r="E251" s="3" t="str">
        <x:v>../../2018/jama.2018.18020/joi180136supp2_prod.pdf#page=11</x:v>
      </x:c>
    </x:row>
    <x:row r="252" ht="90" customHeight="1">
      <x:c r="A252" s="6" t="str">
        <x:v>2018::jama.2018.18020::C007</x:v>
      </x:c>
      <x:c r="B252" s="6" t="str">
        <x:v>sourceLinks</x:v>
      </x:c>
      <x:c r="C252" s="6" t="n">
        <x:v>1</x:v>
      </x:c>
      <x:c r="D252" s="6" t="str">
        <x:v>joi180136supp2_prod.pdf — PDF p. 12</x:v>
      </x:c>
      <x:c r="E252" s="6" t="str">
        <x:v>../../2018/jama.2018.18020/joi180136supp2_prod.pdf#page=12</x:v>
      </x:c>
    </x:row>
    <x:row r="253" ht="90" customHeight="1">
      <x:c r="A253" s="3" t="str">
        <x:v>2018::jama.2018.18020::C007</x:v>
      </x:c>
      <x:c r="B253" s="3" t="str">
        <x:v>sourceLinks</x:v>
      </x:c>
      <x:c r="C253" s="3" t="n">
        <x:v>2</x:v>
      </x:c>
      <x:c r="D253" s="3" t="str">
        <x:v>joi180136supp2_prod.pdf — PDF p. 13</x:v>
      </x:c>
      <x:c r="E253" s="3" t="str">
        <x:v>../../2018/jama.2018.18020/joi180136supp2_prod.pdf#page=13</x:v>
      </x:c>
    </x:row>
    <x:row r="254" ht="90" customHeight="1">
      <x:c r="A254" s="6" t="str">
        <x:v>2018::jama.2018.18020::C007</x:v>
      </x:c>
      <x:c r="B254" s="6" t="str">
        <x:v>sourceLinks</x:v>
      </x:c>
      <x:c r="C254" s="6" t="n">
        <x:v>3</x:v>
      </x:c>
      <x:c r="D254" s="6" t="str">
        <x:v>joi180136supp2_prod.pdf — PDF p. 14</x:v>
      </x:c>
      <x:c r="E254" s="6" t="str">
        <x:v>../../2018/jama.2018.18020/joi180136supp2_prod.pdf#page=14</x:v>
      </x:c>
    </x:row>
    <x:row r="255" ht="90" customHeight="1">
      <x:c r="A255" s="3" t="str">
        <x:v>2018::jama.2018.18020::C007</x:v>
      </x:c>
      <x:c r="B255" s="3" t="str">
        <x:v>evidencePaths</x:v>
      </x:c>
      <x:c r="C255" s="3" t="n">
        <x:v>0</x:v>
      </x:c>
      <x:c r="D255" s="3" t="str">
        <x:v>2018/jama.2018.18020/.ai_paper_validation/review_1_5_2/source_inventory.md</x:v>
      </x:c>
      <x:c r="E255" s="3" t="str">
        <x:v>../../2018/jama.2018.18020/.ai_paper_validation/review_1_5_2/source_inventory.md</x:v>
      </x:c>
    </x:row>
    <x:row r="256" ht="90" customHeight="1">
      <x:c r="A256" s="6" t="str">
        <x:v>2018::jama.2018.18020::C007</x:v>
      </x:c>
      <x:c r="B256" s="6" t="str">
        <x:v>evidencePaths</x:v>
      </x:c>
      <x:c r="C256" s="6" t="n">
        <x:v>1</x:v>
      </x:c>
      <x:c r="D256" s="6" t="str">
        <x:v>2018/jama.2018.18020/.ai_paper_validation/review_1_5_2/verification/evidence_recheck.md</x:v>
      </x:c>
      <x:c r="E256" s="6" t="str">
        <x:v>../../2018/jama.2018.18020/.ai_paper_validation/review_1_5_2/verification/evidence_recheck.md</x:v>
      </x:c>
    </x:row>
    <x:row r="257" ht="90" customHeight="1">
      <x:c r="A257" s="3" t="str">
        <x:v>2018::jama.2018.18020::C008</x:v>
      </x:c>
      <x:c r="B257" s="3" t="str">
        <x:v>sourceLinks</x:v>
      </x:c>
      <x:c r="C257" s="3" t="n">
        <x:v>0</x:v>
      </x:c>
      <x:c r="D257" s="3" t="str">
        <x:v>jama_stunnenberg_2018_oi_180136.pdf — PDF p. 4</x:v>
      </x:c>
      <x:c r="E257" s="3" t="str">
        <x:v>../../2018/jama.2018.18020/jama_stunnenberg_2018_oi_180136.pdf#page=4</x:v>
      </x:c>
    </x:row>
    <x:row r="258" ht="90" customHeight="1">
      <x:c r="A258" s="6" t="str">
        <x:v>2018::jama.2018.18020::C008</x:v>
      </x:c>
      <x:c r="B258" s="6" t="str">
        <x:v>sourceLinks</x:v>
      </x:c>
      <x:c r="C258" s="6" t="n">
        <x:v>1</x:v>
      </x:c>
      <x:c r="D258" s="6" t="str">
        <x:v>jama_stunnenberg_2018_oi_180136.pdf — PDF p. 5</x:v>
      </x:c>
      <x:c r="E258" s="6" t="str">
        <x:v>../../2018/jama.2018.18020/jama_stunnenberg_2018_oi_180136.pdf#page=5</x:v>
      </x:c>
    </x:row>
    <x:row r="259" ht="90" customHeight="1">
      <x:c r="A259" s="3" t="str">
        <x:v>2018::jama.2018.18020::C008</x:v>
      </x:c>
      <x:c r="B259" s="3" t="str">
        <x:v>sourceLinks</x:v>
      </x:c>
      <x:c r="C259" s="3" t="n">
        <x:v>2</x:v>
      </x:c>
      <x:c r="D259" s="3" t="str">
        <x:v>jama_stunnenberg_2018_oi_180136.pdf — PDF p. 6</x:v>
      </x:c>
      <x:c r="E259" s="3" t="str">
        <x:v>../../2018/jama.2018.18020/jama_stunnenberg_2018_oi_180136.pdf#page=6</x:v>
      </x:c>
    </x:row>
    <x:row r="260" ht="90" customHeight="1">
      <x:c r="A260" s="6" t="str">
        <x:v>2018::jama.2018.18020::C008</x:v>
      </x:c>
      <x:c r="B260" s="6" t="str">
        <x:v>sourceLinks</x:v>
      </x:c>
      <x:c r="C260" s="6" t="n">
        <x:v>3</x:v>
      </x:c>
      <x:c r="D260" s="6" t="str">
        <x:v>joi180136supp2_prod.pdf — PDF p. 4</x:v>
      </x:c>
      <x:c r="E260" s="6" t="str">
        <x:v>../../2018/jama.2018.18020/joi180136supp2_prod.pdf#page=4</x:v>
      </x:c>
    </x:row>
    <x:row r="261" ht="90" customHeight="1">
      <x:c r="A261" s="3" t="str">
        <x:v>2018::jama.2018.18020::C008</x:v>
      </x:c>
      <x:c r="B261" s="3" t="str">
        <x:v>evidencePaths</x:v>
      </x:c>
      <x:c r="C261" s="3" t="n">
        <x:v>0</x:v>
      </x:c>
      <x:c r="D261" s="3" t="str">
        <x:v>2018/jama.2018.18020/.ai_paper_validation/review_1_5_2/source_inventory.md</x:v>
      </x:c>
      <x:c r="E261" s="3" t="str">
        <x:v>../../2018/jama.2018.18020/.ai_paper_validation/review_1_5_2/source_inventory.md</x:v>
      </x:c>
    </x:row>
    <x:row r="262" ht="90" customHeight="1">
      <x:c r="A262" s="6" t="str">
        <x:v>2018::jama.2018.18020::C008</x:v>
      </x:c>
      <x:c r="B262" s="6" t="str">
        <x:v>evidencePaths</x:v>
      </x:c>
      <x:c r="C262" s="6" t="n">
        <x:v>1</x:v>
      </x:c>
      <x:c r="D262" s="6" t="str">
        <x:v>2018/jama.2018.18020/.ai_paper_validation/review_1_5_2/verification/evidence_recheck.md</x:v>
      </x:c>
      <x:c r="E262" s="6" t="str">
        <x:v>../../2018/jama.2018.18020/.ai_paper_validation/review_1_5_2/verification/evidence_recheck.md</x:v>
      </x:c>
    </x:row>
    <x:row r="263" ht="90" customHeight="1">
      <x:c r="A263" s="3" t="str">
        <x:v>2018::jama.2018.18020::C009</x:v>
      </x:c>
      <x:c r="B263" s="3" t="str">
        <x:v>sourceLinks</x:v>
      </x:c>
      <x:c r="C263" s="3" t="n">
        <x:v>0</x:v>
      </x:c>
      <x:c r="D263" s="3" t="str">
        <x:v>jama_stunnenberg_2018_oi_180136.pdf — PDF p. 7</x:v>
      </x:c>
      <x:c r="E263" s="3" t="str">
        <x:v>../../2018/jama.2018.18020/jama_stunnenberg_2018_oi_180136.pdf#page=7</x:v>
      </x:c>
    </x:row>
    <x:row r="264" ht="90" customHeight="1">
      <x:c r="A264" s="6" t="str">
        <x:v>2018::jama.2018.18020::C009</x:v>
      </x:c>
      <x:c r="B264" s="6" t="str">
        <x:v>sourceLinks</x:v>
      </x:c>
      <x:c r="C264" s="6" t="n">
        <x:v>1</x:v>
      </x:c>
      <x:c r="D264" s="6" t="str">
        <x:v>jama_stunnenberg_2018_oi_180136.pdf — PDF p. 3</x:v>
      </x:c>
      <x:c r="E264" s="6" t="str">
        <x:v>../../2018/jama.2018.18020/jama_stunnenberg_2018_oi_180136.pdf#page=3</x:v>
      </x:c>
    </x:row>
    <x:row r="265" ht="90" customHeight="1">
      <x:c r="A265" s="3" t="str">
        <x:v>2018::jama.2018.18020::C009</x:v>
      </x:c>
      <x:c r="B265" s="3" t="str">
        <x:v>sourceLinks</x:v>
      </x:c>
      <x:c r="C265" s="3" t="n">
        <x:v>2</x:v>
      </x:c>
      <x:c r="D265" s="3" t="str">
        <x:v>jama_stunnenberg_2018_oi_180136.pdf — PDF p. 4</x:v>
      </x:c>
      <x:c r="E265" s="3" t="str">
        <x:v>../../2018/jama.2018.18020/jama_stunnenberg_2018_oi_180136.pdf#page=4</x:v>
      </x:c>
    </x:row>
    <x:row r="266" ht="90" customHeight="1">
      <x:c r="A266" s="6" t="str">
        <x:v>2018::jama.2018.18020::C009</x:v>
      </x:c>
      <x:c r="B266" s="6" t="str">
        <x:v>evidencePaths</x:v>
      </x:c>
      <x:c r="C266" s="6" t="n">
        <x:v>0</x:v>
      </x:c>
      <x:c r="D266" s="6" t="str">
        <x:v>2018/jama.2018.18020/.ai_paper_validation/review_1_5_2/source_inventory.md</x:v>
      </x:c>
      <x:c r="E266" s="6" t="str">
        <x:v>../../2018/jama.2018.18020/.ai_paper_validation/review_1_5_2/source_inventory.md</x:v>
      </x:c>
    </x:row>
    <x:row r="267" ht="90" customHeight="1">
      <x:c r="A267" s="3" t="str">
        <x:v>2018::jama.2018.18020::C010</x:v>
      </x:c>
      <x:c r="B267" s="3" t="str">
        <x:v>sourceLinks</x:v>
      </x:c>
      <x:c r="C267" s="3" t="n">
        <x:v>0</x:v>
      </x:c>
      <x:c r="D267" s="3" t="str">
        <x:v>jama_stunnenberg_2018_oi_180136.pdf — PDF p. 7</x:v>
      </x:c>
      <x:c r="E267" s="3" t="str">
        <x:v>../../2018/jama.2018.18020/jama_stunnenberg_2018_oi_180136.pdf#page=7</x:v>
      </x:c>
    </x:row>
    <x:row r="268" ht="90" customHeight="1">
      <x:c r="A268" s="6" t="str">
        <x:v>2018::jama.2018.18020::C010</x:v>
      </x:c>
      <x:c r="B268" s="6" t="str">
        <x:v>sourceLinks</x:v>
      </x:c>
      <x:c r="C268" s="6" t="n">
        <x:v>1</x:v>
      </x:c>
      <x:c r="D268" s="6" t="str">
        <x:v>jama_stunnenberg_2018_oi_180136.pdf — PDF p. 8</x:v>
      </x:c>
      <x:c r="E268" s="6" t="str">
        <x:v>../../2018/jama.2018.18020/jama_stunnenberg_2018_oi_180136.pdf#page=8</x:v>
      </x:c>
    </x:row>
    <x:row r="269" ht="90" customHeight="1">
      <x:c r="A269" s="3" t="str">
        <x:v>2018::jama.2018.18020::C010</x:v>
      </x:c>
      <x:c r="B269" s="3" t="str">
        <x:v>sourceLinks</x:v>
      </x:c>
      <x:c r="C269" s="3" t="n">
        <x:v>2</x:v>
      </x:c>
      <x:c r="D269" s="3" t="str">
        <x:v>jama_stunnenberg_2018_oi_180136.pdf — PDF p. 3</x:v>
      </x:c>
      <x:c r="E269" s="3" t="str">
        <x:v>../../2018/jama.2018.18020/jama_stunnenberg_2018_oi_180136.pdf#page=3</x:v>
      </x:c>
    </x:row>
    <x:row r="270" ht="90" customHeight="1">
      <x:c r="A270" s="6" t="str">
        <x:v>2018::jama.2018.18020::C010</x:v>
      </x:c>
      <x:c r="B270" s="6" t="str">
        <x:v>sourceLinks</x:v>
      </x:c>
      <x:c r="C270" s="6" t="n">
        <x:v>3</x:v>
      </x:c>
      <x:c r="D270" s="6" t="str">
        <x:v>jama_stunnenberg_2018_oi_180136.pdf — PDF p. 4</x:v>
      </x:c>
      <x:c r="E270" s="6" t="str">
        <x:v>../../2018/jama.2018.18020/jama_stunnenberg_2018_oi_180136.pdf#page=4</x:v>
      </x:c>
    </x:row>
    <x:row r="271" ht="90" customHeight="1">
      <x:c r="A271" s="3" t="str">
        <x:v>2018::jama.2018.18020::C010</x:v>
      </x:c>
      <x:c r="B271" s="3" t="str">
        <x:v>evidencePaths</x:v>
      </x:c>
      <x:c r="C271" s="3" t="n">
        <x:v>0</x:v>
      </x:c>
      <x:c r="D271" s="3" t="str">
        <x:v>2018/jama.2018.18020/.ai_paper_validation/review_1_5_2/source_inventory.md</x:v>
      </x:c>
      <x:c r="E271" s="3" t="str">
        <x:v>../../2018/jama.2018.18020/.ai_paper_validation/review_1_5_2/source_inventory.md</x:v>
      </x:c>
    </x:row>
    <x:row r="272" ht="90" customHeight="1">
      <x:c r="A272" s="6" t="str">
        <x:v>2018::jama.2018.18020::C011</x:v>
      </x:c>
      <x:c r="B272" s="6" t="str">
        <x:v>sourceLinks</x:v>
      </x:c>
      <x:c r="C272" s="6" t="n">
        <x:v>0</x:v>
      </x:c>
      <x:c r="D272" s="6" t="str">
        <x:v>jama_stunnenberg_2018_oi_180136.pdf — PDF p. 7</x:v>
      </x:c>
      <x:c r="E272" s="6" t="str">
        <x:v>../../2018/jama.2018.18020/jama_stunnenberg_2018_oi_180136.pdf#page=7</x:v>
      </x:c>
    </x:row>
    <x:row r="273" ht="90" customHeight="1">
      <x:c r="A273" s="3" t="str">
        <x:v>2018::jama.2018.18020::C011</x:v>
      </x:c>
      <x:c r="B273" s="3" t="str">
        <x:v>sourceLinks</x:v>
      </x:c>
      <x:c r="C273" s="3" t="n">
        <x:v>1</x:v>
      </x:c>
      <x:c r="D273" s="3" t="str">
        <x:v>jama_stunnenberg_2018_oi_180136.pdf — PDF p. 6</x:v>
      </x:c>
      <x:c r="E273" s="3" t="str">
        <x:v>../../2018/jama.2018.18020/jama_stunnenberg_2018_oi_180136.pdf#page=6</x:v>
      </x:c>
    </x:row>
    <x:row r="274" ht="90" customHeight="1">
      <x:c r="A274" s="6" t="str">
        <x:v>2018::jama.2018.18020::C011</x:v>
      </x:c>
      <x:c r="B274" s="6" t="str">
        <x:v>sourceLinks</x:v>
      </x:c>
      <x:c r="C274" s="6" t="n">
        <x:v>2</x:v>
      </x:c>
      <x:c r="D274" s="6" t="str">
        <x:v>jama_stunnenberg_2018_oi_180136.pdf — PDF p. 8</x:v>
      </x:c>
      <x:c r="E274" s="6" t="str">
        <x:v>../../2018/jama.2018.18020/jama_stunnenberg_2018_oi_180136.pdf#page=8</x:v>
      </x:c>
    </x:row>
    <x:row r="275" ht="90" customHeight="1">
      <x:c r="A275" s="3" t="str">
        <x:v>2018::jama.2018.18020::C011</x:v>
      </x:c>
      <x:c r="B275" s="3" t="str">
        <x:v>sourceLinks</x:v>
      </x:c>
      <x:c r="C275" s="3" t="n">
        <x:v>3</x:v>
      </x:c>
      <x:c r="D275" s="3" t="str">
        <x:v>jama_stunnenberg_2018_oi_180136.pdf — PDF p. 3</x:v>
      </x:c>
      <x:c r="E275" s="3" t="str">
        <x:v>../../2018/jama.2018.18020/jama_stunnenberg_2018_oi_180136.pdf#page=3</x:v>
      </x:c>
    </x:row>
    <x:row r="276" ht="90" customHeight="1">
      <x:c r="A276" s="6" t="str">
        <x:v>2018::jama.2018.18020::C011</x:v>
      </x:c>
      <x:c r="B276" s="6" t="str">
        <x:v>sourceLinks</x:v>
      </x:c>
      <x:c r="C276" s="6" t="n">
        <x:v>4</x:v>
      </x:c>
      <x:c r="D276" s="6" t="str">
        <x:v>jama_stunnenberg_2018_oi_180136.pdf — PDF p. 4</x:v>
      </x:c>
      <x:c r="E276" s="6" t="str">
        <x:v>../../2018/jama.2018.18020/jama_stunnenberg_2018_oi_180136.pdf#page=4</x:v>
      </x:c>
    </x:row>
    <x:row r="277" ht="90" customHeight="1">
      <x:c r="A277" s="3" t="str">
        <x:v>2018::jama.2018.18020::C011</x:v>
      </x:c>
      <x:c r="B277" s="3" t="str">
        <x:v>evidencePaths</x:v>
      </x:c>
      <x:c r="C277" s="3" t="n">
        <x:v>0</x:v>
      </x:c>
      <x:c r="D277" s="3" t="str">
        <x:v>2018/jama.2018.18020/.ai_paper_validation/review_1_5_2/source_inventory.md</x:v>
      </x:c>
      <x:c r="E277" s="3" t="str">
        <x:v>../../2018/jama.2018.18020/.ai_paper_validation/review_1_5_2/source_inventory.md</x:v>
      </x:c>
    </x:row>
    <x:row r="278" ht="90" customHeight="1">
      <x:c r="A278" s="6" t="str">
        <x:v>2018::jama.2018.18020::C012</x:v>
      </x:c>
      <x:c r="B278" s="6" t="str">
        <x:v>sourceLinks</x:v>
      </x:c>
      <x:c r="C278" s="6" t="n">
        <x:v>0</x:v>
      </x:c>
      <x:c r="D278" s="6" t="str">
        <x:v>jama_stunnenberg_2018_oi_180136.pdf — PDF p. 8</x:v>
      </x:c>
      <x:c r="E278" s="6" t="str">
        <x:v>../../2018/jama.2018.18020/jama_stunnenberg_2018_oi_180136.pdf#page=8</x:v>
      </x:c>
    </x:row>
    <x:row r="279" ht="90" customHeight="1">
      <x:c r="A279" s="3" t="str">
        <x:v>2018::jama.2018.18020::C012</x:v>
      </x:c>
      <x:c r="B279" s="3" t="str">
        <x:v>sourceLinks</x:v>
      </x:c>
      <x:c r="C279" s="3" t="n">
        <x:v>1</x:v>
      </x:c>
      <x:c r="D279" s="3" t="str">
        <x:v>jama_stunnenberg_2018_oi_180136.pdf — PDF p. 3</x:v>
      </x:c>
      <x:c r="E279" s="3" t="str">
        <x:v>../../2018/jama.2018.18020/jama_stunnenberg_2018_oi_180136.pdf#page=3</x:v>
      </x:c>
    </x:row>
    <x:row r="280" ht="90" customHeight="1">
      <x:c r="A280" s="6" t="str">
        <x:v>2018::jama.2018.18020::C012</x:v>
      </x:c>
      <x:c r="B280" s="6" t="str">
        <x:v>sourceLinks</x:v>
      </x:c>
      <x:c r="C280" s="6" t="n">
        <x:v>2</x:v>
      </x:c>
      <x:c r="D280" s="6" t="str">
        <x:v>jama_stunnenberg_2018_oi_180136.pdf — PDF p. 4</x:v>
      </x:c>
      <x:c r="E280" s="6" t="str">
        <x:v>../../2018/jama.2018.18020/jama_stunnenberg_2018_oi_180136.pdf#page=4</x:v>
      </x:c>
    </x:row>
    <x:row r="281" ht="90" customHeight="1">
      <x:c r="A281" s="3" t="str">
        <x:v>2018::jama.2018.18020::C012</x:v>
      </x:c>
      <x:c r="B281" s="3" t="str">
        <x:v>evidencePaths</x:v>
      </x:c>
      <x:c r="C281" s="3" t="n">
        <x:v>0</x:v>
      </x:c>
      <x:c r="D281" s="3" t="str">
        <x:v>2018/jama.2018.18020/.ai_paper_validation/review_1_5_2/source_inventory.md</x:v>
      </x:c>
      <x:c r="E281" s="3" t="str">
        <x:v>../../2018/jama.2018.18020/.ai_paper_validation/review_1_5_2/source_inventory.md</x:v>
      </x:c>
    </x:row>
    <x:row r="282" ht="90" customHeight="1">
      <x:c r="A282" s="6" t="str">
        <x:v>2018::jama.2018.18020::C013</x:v>
      </x:c>
      <x:c r="B282" s="6" t="str">
        <x:v>sourceLinks</x:v>
      </x:c>
      <x:c r="C282" s="6" t="n">
        <x:v>0</x:v>
      </x:c>
      <x:c r="D282" s="6" t="str">
        <x:v>jama_stunnenberg_2018_oi_180136.pdf — PDF p. 7</x:v>
      </x:c>
      <x:c r="E282" s="6" t="str">
        <x:v>../../2018/jama.2018.18020/jama_stunnenberg_2018_oi_180136.pdf#page=7</x:v>
      </x:c>
    </x:row>
    <x:row r="283" ht="90" customHeight="1">
      <x:c r="A283" s="3" t="str">
        <x:v>2018::jama.2018.18020::C013</x:v>
      </x:c>
      <x:c r="B283" s="3" t="str">
        <x:v>evidencePaths</x:v>
      </x:c>
      <x:c r="C283" s="3" t="n">
        <x:v>0</x:v>
      </x:c>
      <x:c r="D283" s="3" t="str">
        <x:v>2018/jama.2018.18020/.ai_paper_validation/review_1_5_2/source_inventory.md</x:v>
      </x:c>
      <x:c r="E283" s="3" t="str">
        <x:v>../../2018/jama.2018.18020/.ai_paper_validation/review_1_5_2/source_inventory.md</x:v>
      </x:c>
    </x:row>
    <x:row r="284" ht="90" customHeight="1">
      <x:c r="A284" s="6" t="str">
        <x:v>2018::jama.2018.18020::C014</x:v>
      </x:c>
      <x:c r="B284" s="6" t="str">
        <x:v>sourceLinks</x:v>
      </x:c>
      <x:c r="C284" s="6" t="n">
        <x:v>0</x:v>
      </x:c>
      <x:c r="D284" s="6" t="str">
        <x:v>jama_stunnenberg_2018_oi_180136.pdf — PDF p. 7</x:v>
      </x:c>
      <x:c r="E284" s="6" t="str">
        <x:v>../../2018/jama.2018.18020/jama_stunnenberg_2018_oi_180136.pdf#page=7</x:v>
      </x:c>
    </x:row>
    <x:row r="285" ht="90" customHeight="1">
      <x:c r="A285" s="3" t="str">
        <x:v>2018::jama.2018.18020::C014</x:v>
      </x:c>
      <x:c r="B285" s="3" t="str">
        <x:v>evidencePaths</x:v>
      </x:c>
      <x:c r="C285" s="3" t="n">
        <x:v>0</x:v>
      </x:c>
      <x:c r="D285" s="3" t="str">
        <x:v>2018/jama.2018.18020/.ai_paper_validation/review_1_5_2/source_inventory.md</x:v>
      </x:c>
      <x:c r="E285" s="3" t="str">
        <x:v>../../2018/jama.2018.18020/.ai_paper_validation/review_1_5_2/source_inventory.md</x:v>
      </x:c>
    </x:row>
    <x:row r="286" ht="90" customHeight="1">
      <x:c r="A286" s="6" t="str">
        <x:v>2018::jama.2018.6496::C001</x:v>
      </x:c>
      <x:c r="B286" s="6" t="str">
        <x:v>sourceLinks</x:v>
      </x:c>
      <x:c r="C286" s="6" t="n">
        <x:v>0</x:v>
      </x:c>
      <x:c r="D286" s="6" t="str">
        <x:v>DOC-001 Table 3 — PDF p. 7</x:v>
      </x:c>
      <x:c r="E286" s="6" t="str">
        <x:v>../../2018/jama.2018.6496/jama_driver_2018_oi_180054.pdf#page=7</x:v>
      </x:c>
    </x:row>
    <x:row r="287" ht="90" customHeight="1">
      <x:c r="A287" s="3" t="str">
        <x:v>2018::jama.2018.6496::C001</x:v>
      </x:c>
      <x:c r="B287" s="3" t="str">
        <x:v>sourceLinks</x:v>
      </x:c>
      <x:c r="C287" s="3" t="n">
        <x:v>1</x:v>
      </x:c>
      <x:c r="D287" s="3" t="str">
        <x:v>DOC-003 eTable 1 — PDF p. 2</x:v>
      </x:c>
      <x:c r="E287" s="3" t="str">
        <x:v>../../2018/jama.2018.6496/joi180054supp2_prod.pdf#page=2</x:v>
      </x:c>
    </x:row>
    <x:row r="288" ht="90" customHeight="1">
      <x:c r="A288" s="6" t="str">
        <x:v>2018::jama.2018.6496::C001</x:v>
      </x:c>
      <x:c r="B288" s="6" t="str">
        <x:v>sourceLinks</x:v>
      </x:c>
      <x:c r="C288" s="6" t="n">
        <x:v>2</x:v>
      </x:c>
      <x:c r="D288" s="6" t="str">
        <x:v>DOC-003 eTable 1 note — PDF p. 3</x:v>
      </x:c>
      <x:c r="E288" s="6" t="str">
        <x:v>../../2018/jama.2018.6496/joi180054supp2_prod.pdf#page=3</x:v>
      </x:c>
    </x:row>
    <x:row r="289" ht="90" customHeight="1">
      <x:c r="A289" s="3" t="str">
        <x:v>2018::jama.2018.6496::C001</x:v>
      </x:c>
      <x:c r="B289" s="3" t="str">
        <x:v>sourceLinks</x:v>
      </x:c>
      <x:c r="C289" s="3" t="n">
        <x:v>3</x:v>
      </x:c>
      <x:c r="D289" s="3" t="str">
        <x:v>DOC-001 statistical-analysis methods — PDF p. 4</x:v>
      </x:c>
      <x:c r="E289" s="3" t="str">
        <x:v>../../2018/jama.2018.6496/jama_driver_2018_oi_180054.pdf#page=4</x:v>
      </x:c>
    </x:row>
    <x:row r="290" ht="90" customHeight="1">
      <x:c r="A290" s="6" t="str">
        <x:v>2018::jama.2018.6496::C001</x:v>
      </x:c>
      <x:c r="B290" s="6" t="str">
        <x:v>evidencePaths</x:v>
      </x:c>
      <x:c r="C290" s="6" t="n">
        <x:v>0</x:v>
      </x:c>
      <x:c r="D290" s="6" t="str">
        <x:v>2018/jama.2018.6496/.ai_paper_validation/review_1_5_2/source_inventory.md</x:v>
      </x:c>
      <x:c r="E290" s="6" t="str">
        <x:v>../../2018/jama.2018.6496/.ai_paper_validation/review_1_5_2/source_inventory.md</x:v>
      </x:c>
    </x:row>
    <x:row r="291" ht="90" customHeight="1">
      <x:c r="A291" s="3" t="str">
        <x:v>2018::jama.2018.6496::C001</x:v>
      </x:c>
      <x:c r="B291" s="3" t="str">
        <x:v>evidencePaths</x:v>
      </x:c>
      <x:c r="C291" s="3" t="n">
        <x:v>1</x:v>
      </x:c>
      <x:c r="D291" s="3" t="str">
        <x:v>2018/jama.2018.6496/.ai_paper_validation/review_1_5_2/verification/evidence_recheck.md</x:v>
      </x:c>
      <x:c r="E291" s="3" t="str">
        <x:v>../../2018/jama.2018.6496/.ai_paper_validation/review_1_5_2/verification/evidence_recheck.md</x:v>
      </x:c>
    </x:row>
    <x:row r="292" ht="90" customHeight="1">
      <x:c r="A292" s="6" t="str">
        <x:v>2018::jama.2018.6496::C002</x:v>
      </x:c>
      <x:c r="B292" s="6" t="str">
        <x:v>sourceLinks</x:v>
      </x:c>
      <x:c r="C292" s="6" t="n">
        <x:v>0</x:v>
      </x:c>
      <x:c r="D292" s="6" t="str">
        <x:v>DOC-001 Table 3 — PDF p. 7</x:v>
      </x:c>
      <x:c r="E292" s="6" t="str">
        <x:v>../../2018/jama.2018.6496/jama_driver_2018_oi_180054.pdf#page=7</x:v>
      </x:c>
    </x:row>
    <x:row r="293" ht="90" customHeight="1">
      <x:c r="A293" s="3" t="str">
        <x:v>2018::jama.2018.6496::C002</x:v>
      </x:c>
      <x:c r="B293" s="3" t="str">
        <x:v>sourceLinks</x:v>
      </x:c>
      <x:c r="C293" s="3" t="n">
        <x:v>1</x:v>
      </x:c>
      <x:c r="D293" s="3" t="str">
        <x:v>DOC-001 Table 5 — PDF p. 9</x:v>
      </x:c>
      <x:c r="E293" s="3" t="str">
        <x:v>../../2018/jama.2018.6496/jama_driver_2018_oi_180054.pdf#page=9</x:v>
      </x:c>
    </x:row>
    <x:row r="294" ht="90" customHeight="1">
      <x:c r="A294" s="6" t="str">
        <x:v>2018::jama.2018.6496::C002</x:v>
      </x:c>
      <x:c r="B294" s="6" t="str">
        <x:v>sourceLinks</x:v>
      </x:c>
      <x:c r="C294" s="6" t="n">
        <x:v>2</x:v>
      </x:c>
      <x:c r="D294" s="6" t="str">
        <x:v>DOC-002 protocol secondary outcomes — PDF p. 9</x:v>
      </x:c>
      <x:c r="E294" s="6" t="str">
        <x:v>../../2018/jama.2018.6496/joi180054supp1_prod.pdf#page=9</x:v>
      </x:c>
    </x:row>
    <x:row r="295" ht="90" customHeight="1">
      <x:c r="A295" s="3" t="str">
        <x:v>2018::jama.2018.6496::C002</x:v>
      </x:c>
      <x:c r="B295" s="3" t="str">
        <x:v>sourceLinks</x:v>
      </x:c>
      <x:c r="C295" s="3" t="n">
        <x:v>3</x:v>
      </x:c>
      <x:c r="D295" s="3" t="str">
        <x:v>DOC-002 analytic issues — PDF p. 21</x:v>
      </x:c>
      <x:c r="E295" s="3" t="str">
        <x:v>../../2018/jama.2018.6496/joi180054supp1_prod.pdf#page=21</x:v>
      </x:c>
    </x:row>
    <x:row r="296" ht="90" customHeight="1">
      <x:c r="A296" s="6" t="str">
        <x:v>2018::jama.2018.6496::C002</x:v>
      </x:c>
      <x:c r="B296" s="6" t="str">
        <x:v>evidencePaths</x:v>
      </x:c>
      <x:c r="C296" s="6" t="n">
        <x:v>0</x:v>
      </x:c>
      <x:c r="D296" s="6" t="str">
        <x:v>2018/jama.2018.6496/.ai_paper_validation/review_1_5_2/source_inventory.md</x:v>
      </x:c>
      <x:c r="E296" s="6" t="str">
        <x:v>../../2018/jama.2018.6496/.ai_paper_validation/review_1_5_2/source_inventory.md</x:v>
      </x:c>
    </x:row>
    <x:row r="297" ht="90" customHeight="1">
      <x:c r="A297" s="3" t="str">
        <x:v>2018::jama.2018.6496::C002</x:v>
      </x:c>
      <x:c r="B297" s="3" t="str">
        <x:v>evidencePaths</x:v>
      </x:c>
      <x:c r="C297" s="3" t="n">
        <x:v>1</x:v>
      </x:c>
      <x:c r="D297" s="3" t="str">
        <x:v>2018/jama.2018.6496/.ai_paper_validation/review_1_5_2/verification/evidence_recheck.md</x:v>
      </x:c>
      <x:c r="E297" s="3" t="str">
        <x:v>../../2018/jama.2018.6496/.ai_paper_validation/review_1_5_2/verification/evidence_recheck.md</x:v>
      </x:c>
    </x:row>
    <x:row r="298" ht="90" customHeight="1">
      <x:c r="A298" s="6" t="str">
        <x:v>2018::jama.2018.6496::C003</x:v>
      </x:c>
      <x:c r="B298" s="6" t="str">
        <x:v>sourceLinks</x:v>
      </x:c>
      <x:c r="C298" s="6" t="n">
        <x:v>0</x:v>
      </x:c>
      <x:c r="D298" s="6" t="str">
        <x:v>DOC-002 protocol secondary outcomes — PDF p. 9</x:v>
      </x:c>
      <x:c r="E298" s="6" t="str">
        <x:v>../../2018/jama.2018.6496/joi180054supp1_prod.pdf#page=9</x:v>
      </x:c>
    </x:row>
    <x:row r="299" ht="90" customHeight="1">
      <x:c r="A299" s="3" t="str">
        <x:v>2018::jama.2018.6496::C003</x:v>
      </x:c>
      <x:c r="B299" s="3" t="str">
        <x:v>sourceLinks</x:v>
      </x:c>
      <x:c r="C299" s="3" t="n">
        <x:v>1</x:v>
      </x:c>
      <x:c r="D299" s="3" t="str">
        <x:v>DOC-002 protocol measurement procedure — PDF p. 10</x:v>
      </x:c>
      <x:c r="E299" s="3" t="str">
        <x:v>../../2018/jama.2018.6496/joi180054supp1_prod.pdf#page=10</x:v>
      </x:c>
    </x:row>
    <x:row r="300" ht="90" customHeight="1">
      <x:c r="A300" s="6" t="str">
        <x:v>2018::jama.2018.6496::C003</x:v>
      </x:c>
      <x:c r="B300" s="6" t="str">
        <x:v>sourceLinks</x:v>
      </x:c>
      <x:c r="C300" s="6" t="n">
        <x:v>2</x:v>
      </x:c>
      <x:c r="D300" s="6" t="str">
        <x:v>DOC-001 Table 3 — PDF p. 7</x:v>
      </x:c>
      <x:c r="E300" s="6" t="str">
        <x:v>../../2018/jama.2018.6496/jama_driver_2018_oi_180054.pdf#page=7</x:v>
      </x:c>
    </x:row>
    <x:row r="301" ht="90" customHeight="1">
      <x:c r="A301" s="3" t="str">
        <x:v>2018::jama.2018.6496::C003</x:v>
      </x:c>
      <x:c r="B301" s="3" t="str">
        <x:v>sourceLinks</x:v>
      </x:c>
      <x:c r="C301" s="3" t="n">
        <x:v>3</x:v>
      </x:c>
      <x:c r="D301" s="3" t="str">
        <x:v>DOC-001 Table 5 — PDF p. 9</x:v>
      </x:c>
      <x:c r="E301" s="3" t="str">
        <x:v>../../2018/jama.2018.6496/jama_driver_2018_oi_180054.pdf#page=9</x:v>
      </x:c>
    </x:row>
    <x:row r="302" ht="90" customHeight="1">
      <x:c r="A302" s="6" t="str">
        <x:v>2018::jama.2018.6496::C003</x:v>
      </x:c>
      <x:c r="B302" s="6" t="str">
        <x:v>sourceLinks</x:v>
      </x:c>
      <x:c r="C302" s="6" t="n">
        <x:v>4</x:v>
      </x:c>
      <x:c r="D302" s="6" t="str">
        <x:v>DOC-003 eTable 1 note — PDF p. 3</x:v>
      </x:c>
      <x:c r="E302" s="6" t="str">
        <x:v>../../2018/jama.2018.6496/joi180054supp2_prod.pdf#page=3</x:v>
      </x:c>
    </x:row>
    <x:row r="303" ht="90" customHeight="1">
      <x:c r="A303" s="3" t="str">
        <x:v>2018::jama.2018.6496::C003</x:v>
      </x:c>
      <x:c r="B303" s="3" t="str">
        <x:v>sourceLinks</x:v>
      </x:c>
      <x:c r="C303" s="3" t="n">
        <x:v>5</x:v>
      </x:c>
      <x:c r="D303" s="3" t="str">
        <x:v>DOC-003 postintubation form — PDF p. 10</x:v>
      </x:c>
      <x:c r="E303" s="3" t="str">
        <x:v>../../2018/jama.2018.6496/joi180054supp2_prod.pdf#page=10</x:v>
      </x:c>
    </x:row>
    <x:row r="304" ht="90" customHeight="1">
      <x:c r="A304" s="6" t="str">
        <x:v>2018::jama.2018.6496::C003</x:v>
      </x:c>
      <x:c r="B304" s="6" t="str">
        <x:v>evidencePaths</x:v>
      </x:c>
      <x:c r="C304" s="6" t="n">
        <x:v>0</x:v>
      </x:c>
      <x:c r="D304" s="6" t="str">
        <x:v>2018/jama.2018.6496/.ai_paper_validation/review_1_5_2/source_inventory.md</x:v>
      </x:c>
      <x:c r="E304" s="6" t="str">
        <x:v>../../2018/jama.2018.6496/.ai_paper_validation/review_1_5_2/source_inventory.md</x:v>
      </x:c>
    </x:row>
    <x:row r="305" ht="90" customHeight="1">
      <x:c r="A305" s="3" t="str">
        <x:v>2018::jama.2018.6496::C003</x:v>
      </x:c>
      <x:c r="B305" s="3" t="str">
        <x:v>evidencePaths</x:v>
      </x:c>
      <x:c r="C305" s="3" t="n">
        <x:v>1</x:v>
      </x:c>
      <x:c r="D305" s="3" t="str">
        <x:v>2018/jama.2018.6496/.ai_paper_validation/review_1_5_2/verification/evidence_recheck.md</x:v>
      </x:c>
      <x:c r="E305" s="3" t="str">
        <x:v>../../2018/jama.2018.6496/.ai_paper_validation/review_1_5_2/verification/evidence_recheck.md</x:v>
      </x:c>
    </x:row>
    <x:row r="306" ht="90" customHeight="1">
      <x:c r="A306" s="6" t="str">
        <x:v>2018::jama.2018.6496::C004</x:v>
      </x:c>
      <x:c r="B306" s="6" t="str">
        <x:v>sourceLinks</x:v>
      </x:c>
      <x:c r="C306" s="6" t="n">
        <x:v>0</x:v>
      </x:c>
      <x:c r="D306" s="6" t="str">
        <x:v>DOC-002 protocol — PDF p. 9</x:v>
      </x:c>
      <x:c r="E306" s="6" t="str">
        <x:v>../../2018/jama.2018.6496/joi180054supp1_prod.pdf#page=9</x:v>
      </x:c>
    </x:row>
    <x:row r="307" ht="90" customHeight="1">
      <x:c r="A307" s="3" t="str">
        <x:v>2018::jama.2018.6496::C004</x:v>
      </x:c>
      <x:c r="B307" s="3" t="str">
        <x:v>sourceLinks</x:v>
      </x:c>
      <x:c r="C307" s="3" t="n">
        <x:v>1</x:v>
      </x:c>
      <x:c r="D307" s="3" t="str">
        <x:v>DOC-001 outcome methods — PDF p. 3</x:v>
      </x:c>
      <x:c r="E307" s="3" t="str">
        <x:v>../../2018/jama.2018.6496/jama_driver_2018_oi_180054.pdf#page=3</x:v>
      </x:c>
    </x:row>
    <x:row r="308" ht="90" customHeight="1">
      <x:c r="A308" s="6" t="str">
        <x:v>2018::jama.2018.6496::C004</x:v>
      </x:c>
      <x:c r="B308" s="6" t="str">
        <x:v>sourceLinks</x:v>
      </x:c>
      <x:c r="C308" s="6" t="n">
        <x:v>2</x:v>
      </x:c>
      <x:c r="D308" s="6" t="str">
        <x:v>DOC-001 Table 3 — PDF p. 7</x:v>
      </x:c>
      <x:c r="E308" s="6" t="str">
        <x:v>../../2018/jama.2018.6496/jama_driver_2018_oi_180054.pdf#page=7</x:v>
      </x:c>
    </x:row>
    <x:row r="309" ht="90" customHeight="1">
      <x:c r="A309" s="3" t="str">
        <x:v>2018::jama.2018.6496::C004</x:v>
      </x:c>
      <x:c r="B309" s="3" t="str">
        <x:v>sourceLinks</x:v>
      </x:c>
      <x:c r="C309" s="3" t="n">
        <x:v>3</x:v>
      </x:c>
      <x:c r="D309" s="3" t="str">
        <x:v>DOC-003 eTable 1 note — PDF p. 3</x:v>
      </x:c>
      <x:c r="E309" s="3" t="str">
        <x:v>../../2018/jama.2018.6496/joi180054supp2_prod.pdf#page=3</x:v>
      </x:c>
    </x:row>
    <x:row r="310" ht="90" customHeight="1">
      <x:c r="A310" s="6" t="str">
        <x:v>2018::jama.2018.6496::C004</x:v>
      </x:c>
      <x:c r="B310" s="6" t="str">
        <x:v>sourceLinks</x:v>
      </x:c>
      <x:c r="C310" s="6" t="n">
        <x:v>4</x:v>
      </x:c>
      <x:c r="D310" s="6" t="str">
        <x:v>DOC-003 data form — PDF p. 10</x:v>
      </x:c>
      <x:c r="E310" s="6" t="str">
        <x:v>../../2018/jama.2018.6496/joi180054supp2_prod.pdf#page=10</x:v>
      </x:c>
    </x:row>
    <x:row r="311" ht="90" customHeight="1">
      <x:c r="A311" s="3" t="str">
        <x:v>2018::jama.2018.6496::C004</x:v>
      </x:c>
      <x:c r="B311" s="3" t="str">
        <x:v>evidencePaths</x:v>
      </x:c>
      <x:c r="C311" s="3" t="n">
        <x:v>0</x:v>
      </x:c>
      <x:c r="D311" s="3" t="str">
        <x:v>2018/jama.2018.6496/.ai_paper_validation/review_1_5_2/source_inventory.md</x:v>
      </x:c>
      <x:c r="E311" s="3" t="str">
        <x:v>../../2018/jama.2018.6496/.ai_paper_validation/review_1_5_2/source_inventory.md</x:v>
      </x:c>
    </x:row>
    <x:row r="312" ht="90" customHeight="1">
      <x:c r="A312" s="6" t="str">
        <x:v>2018::jama.2018.6496::C004</x:v>
      </x:c>
      <x:c r="B312" s="6" t="str">
        <x:v>evidencePaths</x:v>
      </x:c>
      <x:c r="C312" s="6" t="n">
        <x:v>1</x:v>
      </x:c>
      <x:c r="D312" s="6" t="str">
        <x:v>2018/jama.2018.6496/.ai_paper_validation/review_1_5_2/verification/evidence_recheck.md</x:v>
      </x:c>
      <x:c r="E312" s="6" t="str">
        <x:v>../../2018/jama.2018.6496/.ai_paper_validation/review_1_5_2/verification/evidence_recheck.md</x:v>
      </x:c>
    </x:row>
    <x:row r="313" ht="90" customHeight="1">
      <x:c r="A313" s="3" t="str">
        <x:v>2018::jama.2018.8802::C001</x:v>
      </x:c>
      <x:c r="B313" s="3" t="str">
        <x:v>sourceLinks</x:v>
      </x:c>
      <x:c r="C313" s="3" t="n">
        <x:v>0</x:v>
      </x:c>
      <x:c r="D313" s="3" t="str">
        <x:v>jama_wang_2018_oi_180070.pdf — PDF p. 6</x:v>
      </x:c>
      <x:c r="E313" s="3" t="str">
        <x:v>../../2018/jama.2018.8802/jama_wang_2018_oi_180070.pdf#page=6</x:v>
      </x:c>
    </x:row>
    <x:row r="314" ht="90" customHeight="1">
      <x:c r="A314" s="6" t="str">
        <x:v>2018::jama.2018.8802::C001</x:v>
      </x:c>
      <x:c r="B314" s="6" t="str">
        <x:v>evidencePaths</x:v>
      </x:c>
      <x:c r="C314" s="6" t="n">
        <x:v>0</x:v>
      </x:c>
      <x:c r="D314" s="6" t="str">
        <x:v>2018/jama.2018.8802/.ai_paper_validation/review_1_5_2/source_inventory.md</x:v>
      </x:c>
      <x:c r="E314" s="6" t="str">
        <x:v>../../2018/jama.2018.8802/.ai_paper_validation/review_1_5_2/source_inventory.md</x:v>
      </x:c>
    </x:row>
    <x:row r="315" ht="90" customHeight="1">
      <x:c r="A315" s="3" t="str">
        <x:v>2018::jama.2018.8802::C002</x:v>
      </x:c>
      <x:c r="B315" s="3" t="str">
        <x:v>sourceLinks</x:v>
      </x:c>
      <x:c r="C315" s="3" t="n">
        <x:v>0</x:v>
      </x:c>
      <x:c r="D315" s="3" t="str">
        <x:v>jama_wang_2018_oi_180070.pdf — PDF p. 7</x:v>
      </x:c>
      <x:c r="E315" s="3" t="str">
        <x:v>../../2018/jama.2018.8802/jama_wang_2018_oi_180070.pdf#page=7</x:v>
      </x:c>
    </x:row>
    <x:row r="316" ht="90" customHeight="1">
      <x:c r="A316" s="6" t="str">
        <x:v>2018::jama.2018.8802::C002</x:v>
      </x:c>
      <x:c r="B316" s="6" t="str">
        <x:v>sourceLinks</x:v>
      </x:c>
      <x:c r="C316" s="6" t="n">
        <x:v>1</x:v>
      </x:c>
      <x:c r="D316" s="6" t="str">
        <x:v>joi180070supp1_prod.pdf — PDF p. 15</x:v>
      </x:c>
      <x:c r="E316" s="6" t="str">
        <x:v>../../2018/jama.2018.8802/joi180070supp1_prod.pdf#page=15</x:v>
      </x:c>
    </x:row>
    <x:row r="317" ht="90" customHeight="1">
      <x:c r="A317" s="3" t="str">
        <x:v>2018::jama.2018.8802::C002</x:v>
      </x:c>
      <x:c r="B317" s="3" t="str">
        <x:v>sourceLinks</x:v>
      </x:c>
      <x:c r="C317" s="3" t="n">
        <x:v>2</x:v>
      </x:c>
      <x:c r="D317" s="3" t="str">
        <x:v>joi180070supp2_prod.pdf — PDF p. 3</x:v>
      </x:c>
      <x:c r="E317" s="3" t="str">
        <x:v>../../2018/jama.2018.8802/joi180070supp2_prod.pdf#page=3</x:v>
      </x:c>
    </x:row>
    <x:row r="318" ht="90" customHeight="1">
      <x:c r="A318" s="6" t="str">
        <x:v>2018::jama.2018.8802::C002</x:v>
      </x:c>
      <x:c r="B318" s="6" t="str">
        <x:v>sourceLinks</x:v>
      </x:c>
      <x:c r="C318" s="6" t="n">
        <x:v>3</x:v>
      </x:c>
      <x:c r="D318" s="6" t="str">
        <x:v>joi180070supp2_prod.pdf — PDF p. 8</x:v>
      </x:c>
      <x:c r="E318" s="6" t="str">
        <x:v>../../2018/jama.2018.8802/joi180070supp2_prod.pdf#page=8</x:v>
      </x:c>
    </x:row>
    <x:row r="319" ht="90" customHeight="1">
      <x:c r="A319" s="3" t="str">
        <x:v>2018::jama.2018.8802::C002</x:v>
      </x:c>
      <x:c r="B319" s="3" t="str">
        <x:v>evidencePaths</x:v>
      </x:c>
      <x:c r="C319" s="3" t="n">
        <x:v>0</x:v>
      </x:c>
      <x:c r="D319" s="3" t="str">
        <x:v>2018/jama.2018.8802/.ai_paper_validation/review_1_5_2/source_inventory.md</x:v>
      </x:c>
      <x:c r="E319" s="3" t="str">
        <x:v>../../2018/jama.2018.8802/.ai_paper_validation/review_1_5_2/source_inventory.md</x:v>
      </x:c>
    </x:row>
    <x:row r="320" ht="90" customHeight="1">
      <x:c r="A320" s="6" t="str">
        <x:v>2018::jama.2018.8802::C002</x:v>
      </x:c>
      <x:c r="B320" s="6" t="str">
        <x:v>evidencePaths</x:v>
      </x:c>
      <x:c r="C320" s="6" t="n">
        <x:v>1</x:v>
      </x:c>
      <x:c r="D320" s="6" t="str">
        <x:v>2018/jama.2018.8802/.ai_paper_validation/review_1_5_2/verification/evidence_recheck.md</x:v>
      </x:c>
      <x:c r="E320" s="6" t="str">
        <x:v>../../2018/jama.2018.8802/.ai_paper_validation/review_1_5_2/verification/evidence_recheck.md</x:v>
      </x:c>
    </x:row>
    <x:row r="321" ht="90" customHeight="1">
      <x:c r="A321" s="3" t="str">
        <x:v>2018::jama.2018.8802::C003</x:v>
      </x:c>
      <x:c r="B321" s="3" t="str">
        <x:v>sourceLinks</x:v>
      </x:c>
      <x:c r="C321" s="3" t="n">
        <x:v>0</x:v>
      </x:c>
      <x:c r="D321" s="3" t="str">
        <x:v>joi180070supp2_prod.pdf — PDF p. 8</x:v>
      </x:c>
      <x:c r="E321" s="3" t="str">
        <x:v>../../2018/jama.2018.8802/joi180070supp2_prod.pdf#page=8</x:v>
      </x:c>
    </x:row>
    <x:row r="322" ht="90" customHeight="1">
      <x:c r="A322" s="6" t="str">
        <x:v>2018::jama.2018.8802::C003</x:v>
      </x:c>
      <x:c r="B322" s="6" t="str">
        <x:v>evidencePaths</x:v>
      </x:c>
      <x:c r="C322" s="6" t="n">
        <x:v>0</x:v>
      </x:c>
      <x:c r="D322" s="6" t="str">
        <x:v>2018/jama.2018.8802/.ai_paper_validation/review_1_5_2/source_inventory.md</x:v>
      </x:c>
      <x:c r="E322" s="6" t="str">
        <x:v>../../2018/jama.2018.8802/.ai_paper_validation/review_1_5_2/source_inventory.md</x:v>
      </x:c>
    </x:row>
    <x:row r="323" ht="90" customHeight="1">
      <x:c r="A323" s="3" t="str">
        <x:v>2018::jama.2018.8802::C004</x:v>
      </x:c>
      <x:c r="B323" s="3" t="str">
        <x:v>sourceLinks</x:v>
      </x:c>
      <x:c r="C323" s="3" t="n">
        <x:v>0</x:v>
      </x:c>
      <x:c r="D323" s="3" t="str">
        <x:v>joi180070supp2_prod.pdf — PDF p. 8</x:v>
      </x:c>
      <x:c r="E323" s="3" t="str">
        <x:v>../../2018/jama.2018.8802/joi180070supp2_prod.pdf#page=8</x:v>
      </x:c>
    </x:row>
    <x:row r="324" ht="90" customHeight="1">
      <x:c r="A324" s="6" t="str">
        <x:v>2018::jama.2018.8802::C004</x:v>
      </x:c>
      <x:c r="B324" s="6" t="str">
        <x:v>evidencePaths</x:v>
      </x:c>
      <x:c r="C324" s="6" t="n">
        <x:v>0</x:v>
      </x:c>
      <x:c r="D324" s="6" t="str">
        <x:v>2018/jama.2018.8802/.ai_paper_validation/review_1_5_2/source_inventory.md</x:v>
      </x:c>
      <x:c r="E324" s="6" t="str">
        <x:v>../../2018/jama.2018.8802/.ai_paper_validation/review_1_5_2/source_inventory.md</x:v>
      </x:c>
    </x:row>
    <x:row r="325" ht="90" customHeight="1">
      <x:c r="A325" s="3" t="str">
        <x:v>2018::jama.2018.8802::C005</x:v>
      </x:c>
      <x:c r="B325" s="3" t="str">
        <x:v>sourceLinks</x:v>
      </x:c>
      <x:c r="C325" s="3" t="n">
        <x:v>0</x:v>
      </x:c>
      <x:c r="D325" s="3" t="str">
        <x:v>joi180070supp2_prod.pdf — PDF p. 8</x:v>
      </x:c>
      <x:c r="E325" s="3" t="str">
        <x:v>../../2018/jama.2018.8802/joi180070supp2_prod.pdf#page=8</x:v>
      </x:c>
    </x:row>
    <x:row r="326" ht="90" customHeight="1">
      <x:c r="A326" s="6" t="str">
        <x:v>2018::jama.2018.8802::C005</x:v>
      </x:c>
      <x:c r="B326" s="6" t="str">
        <x:v>evidencePaths</x:v>
      </x:c>
      <x:c r="C326" s="6" t="n">
        <x:v>0</x:v>
      </x:c>
      <x:c r="D326" s="6" t="str">
        <x:v>2018/jama.2018.8802/.ai_paper_validation/review_1_5_2/source_inventory.md</x:v>
      </x:c>
      <x:c r="E326" s="6" t="str">
        <x:v>../../2018/jama.2018.8802/.ai_paper_validation/review_1_5_2/source_inventory.md</x:v>
      </x:c>
    </x:row>
    <x:row r="327" ht="90" customHeight="1">
      <x:c r="A327" s="3" t="str">
        <x:v>2018::jama.2018.8802::C006</x:v>
      </x:c>
      <x:c r="B327" s="3" t="str">
        <x:v>sourceLinks</x:v>
      </x:c>
      <x:c r="C327" s="3" t="n">
        <x:v>0</x:v>
      </x:c>
      <x:c r="D327" s="3" t="str">
        <x:v>joi180070supp2_prod.pdf — PDF p. 8</x:v>
      </x:c>
      <x:c r="E327" s="3" t="str">
        <x:v>../../2018/jama.2018.8802/joi180070supp2_prod.pdf#page=8</x:v>
      </x:c>
    </x:row>
    <x:row r="328" ht="90" customHeight="1">
      <x:c r="A328" s="6" t="str">
        <x:v>2018::jama.2018.8802::C006</x:v>
      </x:c>
      <x:c r="B328" s="6" t="str">
        <x:v>evidencePaths</x:v>
      </x:c>
      <x:c r="C328" s="6" t="n">
        <x:v>0</x:v>
      </x:c>
      <x:c r="D328" s="6" t="str">
        <x:v>2018/jama.2018.8802/.ai_paper_validation/review_1_5_2/source_inventory.md</x:v>
      </x:c>
      <x:c r="E328" s="6" t="str">
        <x:v>../../2018/jama.2018.8802/.ai_paper_validation/review_1_5_2/source_inventory.md</x:v>
      </x:c>
    </x:row>
    <x:row r="329" ht="90" customHeight="1">
      <x:c r="A329" s="3" t="str">
        <x:v>2018::jama.2018.8802::C007</x:v>
      </x:c>
      <x:c r="B329" s="3" t="str">
        <x:v>sourceLinks</x:v>
      </x:c>
      <x:c r="C329" s="3" t="n">
        <x:v>0</x:v>
      </x:c>
      <x:c r="D329" s="3" t="str">
        <x:v>jama_wang_2018_oi_180070.pdf — PDF p. 6</x:v>
      </x:c>
      <x:c r="E329" s="3" t="str">
        <x:v>../../2018/jama.2018.8802/jama_wang_2018_oi_180070.pdf#page=6</x:v>
      </x:c>
    </x:row>
    <x:row r="330" ht="90" customHeight="1">
      <x:c r="A330" s="6" t="str">
        <x:v>2018::jama.2018.8802::C007</x:v>
      </x:c>
      <x:c r="B330" s="6" t="str">
        <x:v>sourceLinks</x:v>
      </x:c>
      <x:c r="C330" s="6" t="n">
        <x:v>1</x:v>
      </x:c>
      <x:c r="D330" s="6" t="str">
        <x:v>joi180070supp2_prod.pdf — PDF p. 2</x:v>
      </x:c>
      <x:c r="E330" s="6" t="str">
        <x:v>../../2018/jama.2018.8802/joi180070supp2_prod.pdf#page=2</x:v>
      </x:c>
    </x:row>
    <x:row r="331" ht="90" customHeight="1">
      <x:c r="A331" s="3" t="str">
        <x:v>2018::jama.2018.8802::C007</x:v>
      </x:c>
      <x:c r="B331" s="3" t="str">
        <x:v>sourceLinks</x:v>
      </x:c>
      <x:c r="C331" s="3" t="n">
        <x:v>2</x:v>
      </x:c>
      <x:c r="D331" s="3" t="str">
        <x:v>jama_wang_2018_oi_180070.pdf — PDF p. 5</x:v>
      </x:c>
      <x:c r="E331" s="3" t="str">
        <x:v>../../2018/jama.2018.8802/jama_wang_2018_oi_180070.pdf#page=5</x:v>
      </x:c>
    </x:row>
    <x:row r="332" ht="90" customHeight="1">
      <x:c r="A332" s="6" t="str">
        <x:v>2018::jama.2018.8802::C007</x:v>
      </x:c>
      <x:c r="B332" s="6" t="str">
        <x:v>sourceLinks</x:v>
      </x:c>
      <x:c r="C332" s="6" t="n">
        <x:v>3</x:v>
      </x:c>
      <x:c r="D332" s="6" t="str">
        <x:v>joi180070supp1_prod.pdf — PDF p. 4</x:v>
      </x:c>
      <x:c r="E332" s="6" t="str">
        <x:v>../../2018/jama.2018.8802/joi180070supp1_prod.pdf#page=4</x:v>
      </x:c>
    </x:row>
    <x:row r="333" ht="90" customHeight="1">
      <x:c r="A333" s="3" t="str">
        <x:v>2018::jama.2018.8802::C007</x:v>
      </x:c>
      <x:c r="B333" s="3" t="str">
        <x:v>sourceLinks</x:v>
      </x:c>
      <x:c r="C333" s="3" t="n">
        <x:v>4</x:v>
      </x:c>
      <x:c r="D333" s="3" t="str">
        <x:v>PDF p. 7</x:v>
      </x:c>
      <x:c r="E333" s="3" t="str">
        <x:v>../../2018/jama.2018.8802/joi180070supp1_prod.pdf#page=7</x:v>
      </x:c>
    </x:row>
    <x:row r="334" ht="90" customHeight="1">
      <x:c r="A334" s="6" t="str">
        <x:v>2018::jama.2018.8802::C007</x:v>
      </x:c>
      <x:c r="B334" s="6" t="str">
        <x:v>evidencePaths</x:v>
      </x:c>
      <x:c r="C334" s="6" t="n">
        <x:v>0</x:v>
      </x:c>
      <x:c r="D334" s="6" t="str">
        <x:v>2018/jama.2018.8802/.ai_paper_validation/review_1_5_2/source_inventory.md</x:v>
      </x:c>
      <x:c r="E334" s="6" t="str">
        <x:v>../../2018/jama.2018.8802/.ai_paper_validation/review_1_5_2/source_inventory.md</x:v>
      </x:c>
    </x:row>
    <x:row r="335" ht="90" customHeight="1">
      <x:c r="A335" s="3" t="str">
        <x:v>2018::jama.2018.8802::C007</x:v>
      </x:c>
      <x:c r="B335" s="3" t="str">
        <x:v>evidencePaths</x:v>
      </x:c>
      <x:c r="C335" s="3" t="n">
        <x:v>1</x:v>
      </x:c>
      <x:c r="D335" s="3" t="str">
        <x:v>2018/jama.2018.8802/.ai_paper_validation/review_1_5_2/verification/evidence_recheck.md</x:v>
      </x:c>
      <x:c r="E335" s="3" t="str">
        <x:v>../../2018/jama.2018.8802/.ai_paper_validation/review_1_5_2/verification/evidence_recheck.md</x:v>
      </x:c>
    </x:row>
    <x:row r="336" ht="90" customHeight="1">
      <x:c r="A336" s="6" t="str">
        <x:v>2018::jama.2018.8802::C008</x:v>
      </x:c>
      <x:c r="B336" s="6" t="str">
        <x:v>sourceLinks</x:v>
      </x:c>
      <x:c r="C336" s="6" t="n">
        <x:v>0</x:v>
      </x:c>
      <x:c r="D336" s="6" t="str">
        <x:v>jama_wang_2018_oi_180070.pdf — PDF p. 8</x:v>
      </x:c>
      <x:c r="E336" s="6" t="str">
        <x:v>../../2018/jama.2018.8802/jama_wang_2018_oi_180070.pdf#page=8</x:v>
      </x:c>
    </x:row>
    <x:row r="337" ht="90" customHeight="1">
      <x:c r="A337" s="3" t="str">
        <x:v>2018::jama.2018.8802::C008</x:v>
      </x:c>
      <x:c r="B337" s="3" t="str">
        <x:v>sourceLinks</x:v>
      </x:c>
      <x:c r="C337" s="3" t="n">
        <x:v>1</x:v>
      </x:c>
      <x:c r="D337" s="3" t="str">
        <x:v>jama_wang_2018_oi_180070.pdf — PDF p. 4</x:v>
      </x:c>
      <x:c r="E337" s="3" t="str">
        <x:v>../../2018/jama.2018.8802/jama_wang_2018_oi_180070.pdf#page=4</x:v>
      </x:c>
    </x:row>
    <x:row r="338" ht="90" customHeight="1">
      <x:c r="A338" s="6" t="str">
        <x:v>2018::jama.2018.8802::C008</x:v>
      </x:c>
      <x:c r="B338" s="6" t="str">
        <x:v>evidencePaths</x:v>
      </x:c>
      <x:c r="C338" s="6" t="n">
        <x:v>0</x:v>
      </x:c>
      <x:c r="D338" s="6" t="str">
        <x:v>2018/jama.2018.8802/.ai_paper_validation/review_1_5_2/source_inventory.md</x:v>
      </x:c>
      <x:c r="E338" s="6" t="str">
        <x:v>../../2018/jama.2018.8802/.ai_paper_validation/review_1_5_2/source_inventory.md</x:v>
      </x:c>
    </x:row>
    <x:row r="339" ht="90" customHeight="1">
      <x:c r="A339" s="3" t="str">
        <x:v>2018::jama.2018.9128::C001</x:v>
      </x:c>
      <x:c r="B339" s="3" t="str">
        <x:v>sourceLinks</x:v>
      </x:c>
      <x:c r="C339" s="3" t="n">
        <x:v>0</x:v>
      </x:c>
      <x:c r="D339" s="3" t="str">
        <x:v>DOC-001 Figure 1 — PDF p. 3</x:v>
      </x:c>
      <x:c r="E339" s="3" t="str">
        <x:v>../../2018/jama.2018.9128/jama_barkin_2018_oi_180075.pdf#page=3</x:v>
      </x:c>
    </x:row>
    <x:row r="340" ht="90" customHeight="1">
      <x:c r="A340" s="6" t="str">
        <x:v>2018::jama.2018.9128::C001</x:v>
      </x:c>
      <x:c r="B340" s="6" t="str">
        <x:v>sourceLinks</x:v>
      </x:c>
      <x:c r="C340" s="6" t="n">
        <x:v>1</x:v>
      </x:c>
      <x:c r="D340" s="6" t="str">
        <x:v>DOC-001 Figure 2 — PDF p. 7</x:v>
      </x:c>
      <x:c r="E340" s="6" t="str">
        <x:v>../../2018/jama.2018.9128/jama_barkin_2018_oi_180075.pdf#page=7</x:v>
      </x:c>
    </x:row>
    <x:row r="341" ht="90" customHeight="1">
      <x:c r="A341" s="3" t="str">
        <x:v>2018::jama.2018.9128::C001</x:v>
      </x:c>
      <x:c r="B341" s="3" t="str">
        <x:v>sourceLinks</x:v>
      </x:c>
      <x:c r="C341" s="3" t="n">
        <x:v>2</x:v>
      </x:c>
      <x:c r="D341" s="3" t="str">
        <x:v>DOC-003 eTable 1 — PDF p. 2</x:v>
      </x:c>
      <x:c r="E341" s="3" t="str">
        <x:v>../../2018/jama.2018.9128/joi180075supp2_prod.pdf#page=2</x:v>
      </x:c>
    </x:row>
    <x:row r="342" ht="90" customHeight="1">
      <x:c r="A342" s="6" t="str">
        <x:v>2018::jama.2018.9128::C001</x:v>
      </x:c>
      <x:c r="B342" s="6" t="str">
        <x:v>evidencePaths</x:v>
      </x:c>
      <x:c r="C342" s="6" t="n">
        <x:v>0</x:v>
      </x:c>
      <x:c r="D342" s="6" t="str">
        <x:v>2018/jama.2018.9128/.ai_paper_validation/review_1_5_2/source_inventory.md</x:v>
      </x:c>
      <x:c r="E342" s="6" t="str">
        <x:v>../../2018/jama.2018.9128/.ai_paper_validation/review_1_5_2/source_inventory.md</x:v>
      </x:c>
    </x:row>
    <x:row r="343" ht="90" customHeight="1">
      <x:c r="A343" s="3" t="str">
        <x:v>2018::jama.2018.9128::C002</x:v>
      </x:c>
      <x:c r="B343" s="3" t="str">
        <x:v>sourceLinks</x:v>
      </x:c>
      <x:c r="C343" s="3" t="n">
        <x:v>0</x:v>
      </x:c>
      <x:c r="D343" s="3" t="str">
        <x:v>DOC-001 Figure 1 — PDF p. 3</x:v>
      </x:c>
      <x:c r="E343" s="3" t="str">
        <x:v>../../2018/jama.2018.9128/jama_barkin_2018_oi_180075.pdf#page=3</x:v>
      </x:c>
    </x:row>
    <x:row r="344" ht="90" customHeight="1">
      <x:c r="A344" s="6" t="str">
        <x:v>2018::jama.2018.9128::C002</x:v>
      </x:c>
      <x:c r="B344" s="6" t="str">
        <x:v>sourceLinks</x:v>
      </x:c>
      <x:c r="C344" s="6" t="n">
        <x:v>1</x:v>
      </x:c>
      <x:c r="D344" s="6" t="str">
        <x:v>DOC-001 Figure 2 — PDF p. 7</x:v>
      </x:c>
      <x:c r="E344" s="6" t="str">
        <x:v>../../2018/jama.2018.9128/jama_barkin_2018_oi_180075.pdf#page=7</x:v>
      </x:c>
    </x:row>
    <x:row r="345" ht="90" customHeight="1">
      <x:c r="A345" s="3" t="str">
        <x:v>2018::jama.2018.9128::C002</x:v>
      </x:c>
      <x:c r="B345" s="3" t="str">
        <x:v>sourceLinks</x:v>
      </x:c>
      <x:c r="C345" s="3" t="n">
        <x:v>2</x:v>
      </x:c>
      <x:c r="D345" s="3" t="str">
        <x:v>DOC-003 eTable 1 — PDF p. 2</x:v>
      </x:c>
      <x:c r="E345" s="3" t="str">
        <x:v>../../2018/jama.2018.9128/joi180075supp2_prod.pdf#page=2</x:v>
      </x:c>
    </x:row>
    <x:row r="346" ht="90" customHeight="1">
      <x:c r="A346" s="6" t="str">
        <x:v>2018::jama.2018.9128::C002</x:v>
      </x:c>
      <x:c r="B346" s="6" t="str">
        <x:v>evidencePaths</x:v>
      </x:c>
      <x:c r="C346" s="6" t="n">
        <x:v>0</x:v>
      </x:c>
      <x:c r="D346" s="6" t="str">
        <x:v>2018/jama.2018.9128/.ai_paper_validation/review_1_5_2/source_inventory.md</x:v>
      </x:c>
      <x:c r="E346" s="6" t="str">
        <x:v>../../2018/jama.2018.9128/.ai_paper_validation/review_1_5_2/source_inventory.md</x:v>
      </x:c>
    </x:row>
    <x:row r="347" ht="90" customHeight="1">
      <x:c r="A347" s="3" t="str">
        <x:v>2018::jama.2018.9128::C003</x:v>
      </x:c>
      <x:c r="B347" s="3" t="str">
        <x:v>sourceLinks</x:v>
      </x:c>
      <x:c r="C347" s="3" t="n">
        <x:v>0</x:v>
      </x:c>
      <x:c r="D347" s="3" t="str">
        <x:v>DOC-001 Figure 1 — PDF p. 3</x:v>
      </x:c>
      <x:c r="E347" s="3" t="str">
        <x:v>../../2018/jama.2018.9128/jama_barkin_2018_oi_180075.pdf#page=3</x:v>
      </x:c>
    </x:row>
    <x:row r="348" ht="90" customHeight="1">
      <x:c r="A348" s="6" t="str">
        <x:v>2018::jama.2018.9128::C003</x:v>
      </x:c>
      <x:c r="B348" s="6" t="str">
        <x:v>sourceLinks</x:v>
      </x:c>
      <x:c r="C348" s="6" t="n">
        <x:v>1</x:v>
      </x:c>
      <x:c r="D348" s="6" t="str">
        <x:v>DOC-001 Figure 2 — PDF p. 7</x:v>
      </x:c>
      <x:c r="E348" s="6" t="str">
        <x:v>../../2018/jama.2018.9128/jama_barkin_2018_oi_180075.pdf#page=7</x:v>
      </x:c>
    </x:row>
    <x:row r="349" ht="90" customHeight="1">
      <x:c r="A349" s="3" t="str">
        <x:v>2018::jama.2018.9128::C003</x:v>
      </x:c>
      <x:c r="B349" s="3" t="str">
        <x:v>sourceLinks</x:v>
      </x:c>
      <x:c r="C349" s="3" t="n">
        <x:v>2</x:v>
      </x:c>
      <x:c r="D349" s="3" t="str">
        <x:v>DOC-003 eTable 1 — PDF p. 2</x:v>
      </x:c>
      <x:c r="E349" s="3" t="str">
        <x:v>../../2018/jama.2018.9128/joi180075supp2_prod.pdf#page=2</x:v>
      </x:c>
    </x:row>
    <x:row r="350" ht="90" customHeight="1">
      <x:c r="A350" s="6" t="str">
        <x:v>2018::jama.2018.9128::C003</x:v>
      </x:c>
      <x:c r="B350" s="6" t="str">
        <x:v>evidencePaths</x:v>
      </x:c>
      <x:c r="C350" s="6" t="n">
        <x:v>0</x:v>
      </x:c>
      <x:c r="D350" s="6" t="str">
        <x:v>2018/jama.2018.9128/.ai_paper_validation/review_1_5_2/source_inventory.md</x:v>
      </x:c>
      <x:c r="E350" s="6" t="str">
        <x:v>../../2018/jama.2018.9128/.ai_paper_validation/review_1_5_2/source_inventory.md</x:v>
      </x:c>
    </x:row>
    <x:row r="351" ht="90" customHeight="1">
      <x:c r="A351" s="3" t="str">
        <x:v>2018::jama.2018.9128::C004</x:v>
      </x:c>
      <x:c r="B351" s="3" t="str">
        <x:v>sourceLinks</x:v>
      </x:c>
      <x:c r="C351" s="3" t="n">
        <x:v>0</x:v>
      </x:c>
      <x:c r="D351" s="3" t="str">
        <x:v>DOC-001 Figure 1 — PDF p. 3</x:v>
      </x:c>
      <x:c r="E351" s="3" t="str">
        <x:v>../../2018/jama.2018.9128/jama_barkin_2018_oi_180075.pdf#page=3</x:v>
      </x:c>
    </x:row>
    <x:row r="352" ht="90" customHeight="1">
      <x:c r="A352" s="6" t="str">
        <x:v>2018::jama.2018.9128::C004</x:v>
      </x:c>
      <x:c r="B352" s="6" t="str">
        <x:v>sourceLinks</x:v>
      </x:c>
      <x:c r="C352" s="6" t="n">
        <x:v>1</x:v>
      </x:c>
      <x:c r="D352" s="6" t="str">
        <x:v>DOC-001 Figure 2 — PDF p. 7</x:v>
      </x:c>
      <x:c r="E352" s="6" t="str">
        <x:v>../../2018/jama.2018.9128/jama_barkin_2018_oi_180075.pdf#page=7</x:v>
      </x:c>
    </x:row>
    <x:row r="353" ht="90" customHeight="1">
      <x:c r="A353" s="3" t="str">
        <x:v>2018::jama.2018.9128::C004</x:v>
      </x:c>
      <x:c r="B353" s="3" t="str">
        <x:v>sourceLinks</x:v>
      </x:c>
      <x:c r="C353" s="3" t="n">
        <x:v>2</x:v>
      </x:c>
      <x:c r="D353" s="3" t="str">
        <x:v>DOC-003 eTable 1 — PDF p. 2</x:v>
      </x:c>
      <x:c r="E353" s="3" t="str">
        <x:v>../../2018/jama.2018.9128/joi180075supp2_prod.pdf#page=2</x:v>
      </x:c>
    </x:row>
    <x:row r="354" ht="90" customHeight="1">
      <x:c r="A354" s="6" t="str">
        <x:v>2018::jama.2018.9128::C004</x:v>
      </x:c>
      <x:c r="B354" s="6" t="str">
        <x:v>evidencePaths</x:v>
      </x:c>
      <x:c r="C354" s="6" t="n">
        <x:v>0</x:v>
      </x:c>
      <x:c r="D354" s="6" t="str">
        <x:v>2018/jama.2018.9128/.ai_paper_validation/review_1_5_2/source_inventory.md</x:v>
      </x:c>
      <x:c r="E354" s="6" t="str">
        <x:v>../../2018/jama.2018.9128/.ai_paper_validation/review_1_5_2/source_inventory.md</x:v>
      </x:c>
    </x:row>
    <x:row r="355" ht="90" customHeight="1">
      <x:c r="A355" s="3" t="str">
        <x:v>2018::jama.2018.9128::C005</x:v>
      </x:c>
      <x:c r="B355" s="3" t="str">
        <x:v>sourceLinks</x:v>
      </x:c>
      <x:c r="C355" s="3" t="n">
        <x:v>0</x:v>
      </x:c>
      <x:c r="D355" s="3" t="str">
        <x:v>DOC-001 Figure 1 — PDF p. 3</x:v>
      </x:c>
      <x:c r="E355" s="3" t="str">
        <x:v>../../2018/jama.2018.9128/jama_barkin_2018_oi_180075.pdf#page=3</x:v>
      </x:c>
    </x:row>
    <x:row r="356" ht="90" customHeight="1">
      <x:c r="A356" s="6" t="str">
        <x:v>2018::jama.2018.9128::C005</x:v>
      </x:c>
      <x:c r="B356" s="6" t="str">
        <x:v>sourceLinks</x:v>
      </x:c>
      <x:c r="C356" s="6" t="n">
        <x:v>1</x:v>
      </x:c>
      <x:c r="D356" s="6" t="str">
        <x:v>DOC-001 Figure 2 — PDF p. 7</x:v>
      </x:c>
      <x:c r="E356" s="6" t="str">
        <x:v>../../2018/jama.2018.9128/jama_barkin_2018_oi_180075.pdf#page=7</x:v>
      </x:c>
    </x:row>
    <x:row r="357" ht="90" customHeight="1">
      <x:c r="A357" s="3" t="str">
        <x:v>2018::jama.2018.9128::C005</x:v>
      </x:c>
      <x:c r="B357" s="3" t="str">
        <x:v>sourceLinks</x:v>
      </x:c>
      <x:c r="C357" s="3" t="n">
        <x:v>2</x:v>
      </x:c>
      <x:c r="D357" s="3" t="str">
        <x:v>DOC-003 eTable 1 — PDF p. 2</x:v>
      </x:c>
      <x:c r="E357" s="3" t="str">
        <x:v>../../2018/jama.2018.9128/joi180075supp2_prod.pdf#page=2</x:v>
      </x:c>
    </x:row>
    <x:row r="358" ht="90" customHeight="1">
      <x:c r="A358" s="6" t="str">
        <x:v>2018::jama.2018.9128::C005</x:v>
      </x:c>
      <x:c r="B358" s="6" t="str">
        <x:v>evidencePaths</x:v>
      </x:c>
      <x:c r="C358" s="6" t="n">
        <x:v>0</x:v>
      </x:c>
      <x:c r="D358" s="6" t="str">
        <x:v>2018/jama.2018.9128/.ai_paper_validation/review_1_5_2/source_inventory.md</x:v>
      </x:c>
      <x:c r="E358" s="6" t="str">
        <x:v>../../2018/jama.2018.9128/.ai_paper_validation/review_1_5_2/source_inventory.md</x:v>
      </x:c>
    </x:row>
    <x:row r="359" ht="90" customHeight="1">
      <x:c r="A359" s="3" t="str">
        <x:v>2018::jama.2018.9128::C006</x:v>
      </x:c>
      <x:c r="B359" s="3" t="str">
        <x:v>sourceLinks</x:v>
      </x:c>
      <x:c r="C359" s="3" t="n">
        <x:v>0</x:v>
      </x:c>
      <x:c r="D359" s="3" t="str">
        <x:v>DOC-001 Figure 1 — PDF p. 3</x:v>
      </x:c>
      <x:c r="E359" s="3" t="str">
        <x:v>../../2018/jama.2018.9128/jama_barkin_2018_oi_180075.pdf#page=3</x:v>
      </x:c>
    </x:row>
    <x:row r="360" ht="90" customHeight="1">
      <x:c r="A360" s="6" t="str">
        <x:v>2018::jama.2018.9128::C006</x:v>
      </x:c>
      <x:c r="B360" s="6" t="str">
        <x:v>sourceLinks</x:v>
      </x:c>
      <x:c r="C360" s="6" t="n">
        <x:v>1</x:v>
      </x:c>
      <x:c r="D360" s="6" t="str">
        <x:v>DOC-001 Figure 2 — PDF p. 7</x:v>
      </x:c>
      <x:c r="E360" s="6" t="str">
        <x:v>../../2018/jama.2018.9128/jama_barkin_2018_oi_180075.pdf#page=7</x:v>
      </x:c>
    </x:row>
    <x:row r="361" ht="90" customHeight="1">
      <x:c r="A361" s="3" t="str">
        <x:v>2018::jama.2018.9128::C006</x:v>
      </x:c>
      <x:c r="B361" s="3" t="str">
        <x:v>sourceLinks</x:v>
      </x:c>
      <x:c r="C361" s="3" t="n">
        <x:v>2</x:v>
      </x:c>
      <x:c r="D361" s="3" t="str">
        <x:v>DOC-003 eTable 1 — PDF p. 2</x:v>
      </x:c>
      <x:c r="E361" s="3" t="str">
        <x:v>../../2018/jama.2018.9128/joi180075supp2_prod.pdf#page=2</x:v>
      </x:c>
    </x:row>
    <x:row r="362" ht="90" customHeight="1">
      <x:c r="A362" s="6" t="str">
        <x:v>2018::jama.2018.9128::C006</x:v>
      </x:c>
      <x:c r="B362" s="6" t="str">
        <x:v>evidencePaths</x:v>
      </x:c>
      <x:c r="C362" s="6" t="n">
        <x:v>0</x:v>
      </x:c>
      <x:c r="D362" s="6" t="str">
        <x:v>2018/jama.2018.9128/.ai_paper_validation/review_1_5_2/source_inventory.md</x:v>
      </x:c>
      <x:c r="E362" s="6" t="str">
        <x:v>../../2018/jama.2018.9128/.ai_paper_validation/review_1_5_2/source_inventory.md</x:v>
      </x:c>
    </x:row>
    <x:row r="363" ht="90" customHeight="1">
      <x:c r="A363" s="3" t="str">
        <x:v>2018::jama.2018.9128::C007</x:v>
      </x:c>
      <x:c r="B363" s="3" t="str">
        <x:v>sourceLinks</x:v>
      </x:c>
      <x:c r="C363" s="3" t="n">
        <x:v>0</x:v>
      </x:c>
      <x:c r="D363" s="3" t="str">
        <x:v>DOC-001 Figure 1 — PDF p. 3</x:v>
      </x:c>
      <x:c r="E363" s="3" t="str">
        <x:v>../../2018/jama.2018.9128/jama_barkin_2018_oi_180075.pdf#page=3</x:v>
      </x:c>
    </x:row>
    <x:row r="364" ht="90" customHeight="1">
      <x:c r="A364" s="6" t="str">
        <x:v>2018::jama.2018.9128::C007</x:v>
      </x:c>
      <x:c r="B364" s="6" t="str">
        <x:v>sourceLinks</x:v>
      </x:c>
      <x:c r="C364" s="6" t="n">
        <x:v>1</x:v>
      </x:c>
      <x:c r="D364" s="6" t="str">
        <x:v>DOC-001 Figure 2 — PDF p. 7</x:v>
      </x:c>
      <x:c r="E364" s="6" t="str">
        <x:v>../../2018/jama.2018.9128/jama_barkin_2018_oi_180075.pdf#page=7</x:v>
      </x:c>
    </x:row>
    <x:row r="365" ht="90" customHeight="1">
      <x:c r="A365" s="3" t="str">
        <x:v>2018::jama.2018.9128::C007</x:v>
      </x:c>
      <x:c r="B365" s="3" t="str">
        <x:v>sourceLinks</x:v>
      </x:c>
      <x:c r="C365" s="3" t="n">
        <x:v>2</x:v>
      </x:c>
      <x:c r="D365" s="3" t="str">
        <x:v>DOC-003 eTable 1 — PDF p. 2</x:v>
      </x:c>
      <x:c r="E365" s="3" t="str">
        <x:v>../../2018/jama.2018.9128/joi180075supp2_prod.pdf#page=2</x:v>
      </x:c>
    </x:row>
    <x:row r="366" ht="90" customHeight="1">
      <x:c r="A366" s="6" t="str">
        <x:v>2018::jama.2018.9128::C007</x:v>
      </x:c>
      <x:c r="B366" s="6" t="str">
        <x:v>evidencePaths</x:v>
      </x:c>
      <x:c r="C366" s="6" t="n">
        <x:v>0</x:v>
      </x:c>
      <x:c r="D366" s="6" t="str">
        <x:v>2018/jama.2018.9128/.ai_paper_validation/review_1_5_2/source_inventory.md</x:v>
      </x:c>
      <x:c r="E366" s="6" t="str">
        <x:v>../../2018/jama.2018.9128/.ai_paper_validation/review_1_5_2/source_inventory.md</x:v>
      </x:c>
    </x:row>
    <x:row r="367" ht="90" customHeight="1">
      <x:c r="A367" s="3" t="str">
        <x:v>2018::jama.2018.9128::C008</x:v>
      </x:c>
      <x:c r="B367" s="3" t="str">
        <x:v>sourceLinks</x:v>
      </x:c>
      <x:c r="C367" s="3" t="n">
        <x:v>0</x:v>
      </x:c>
      <x:c r="D367" s="3" t="str">
        <x:v>DOC-001 Figure 1 — PDF p. 3</x:v>
      </x:c>
      <x:c r="E367" s="3" t="str">
        <x:v>../../2018/jama.2018.9128/jama_barkin_2018_oi_180075.pdf#page=3</x:v>
      </x:c>
    </x:row>
    <x:row r="368" ht="90" customHeight="1">
      <x:c r="A368" s="6" t="str">
        <x:v>2018::jama.2018.9128::C008</x:v>
      </x:c>
      <x:c r="B368" s="6" t="str">
        <x:v>sourceLinks</x:v>
      </x:c>
      <x:c r="C368" s="6" t="n">
        <x:v>1</x:v>
      </x:c>
      <x:c r="D368" s="6" t="str">
        <x:v>DOC-001 Figure 2 — PDF p. 7</x:v>
      </x:c>
      <x:c r="E368" s="6" t="str">
        <x:v>../../2018/jama.2018.9128/jama_barkin_2018_oi_180075.pdf#page=7</x:v>
      </x:c>
    </x:row>
    <x:row r="369" ht="90" customHeight="1">
      <x:c r="A369" s="3" t="str">
        <x:v>2018::jama.2018.9128::C008</x:v>
      </x:c>
      <x:c r="B369" s="3" t="str">
        <x:v>sourceLinks</x:v>
      </x:c>
      <x:c r="C369" s="3" t="n">
        <x:v>2</x:v>
      </x:c>
      <x:c r="D369" s="3" t="str">
        <x:v>DOC-003 eTable 1 — PDF p. 2</x:v>
      </x:c>
      <x:c r="E369" s="3" t="str">
        <x:v>../../2018/jama.2018.9128/joi180075supp2_prod.pdf#page=2</x:v>
      </x:c>
    </x:row>
    <x:row r="370" ht="90" customHeight="1">
      <x:c r="A370" s="6" t="str">
        <x:v>2018::jama.2018.9128::C008</x:v>
      </x:c>
      <x:c r="B370" s="6" t="str">
        <x:v>evidencePaths</x:v>
      </x:c>
      <x:c r="C370" s="6" t="n">
        <x:v>0</x:v>
      </x:c>
      <x:c r="D370" s="6" t="str">
        <x:v>2018/jama.2018.9128/.ai_paper_validation/review_1_5_2/source_inventory.md</x:v>
      </x:c>
      <x:c r="E370" s="6" t="str">
        <x:v>../../2018/jama.2018.9128/.ai_paper_validation/review_1_5_2/source_inventory.md</x:v>
      </x:c>
    </x:row>
    <x:row r="371" ht="90" customHeight="1">
      <x:c r="A371" s="3" t="str">
        <x:v>2018::jama.2018.9128::C009</x:v>
      </x:c>
      <x:c r="B371" s="3" t="str">
        <x:v>sourceLinks</x:v>
      </x:c>
      <x:c r="C371" s="3" t="n">
        <x:v>0</x:v>
      </x:c>
      <x:c r="D371" s="3" t="str">
        <x:v>DOC-002 final SAP — PDF p. 110</x:v>
      </x:c>
      <x:c r="E371" s="3" t="str">
        <x:v>../../2018/jama.2018.9128/joi180075supp1_prod.pdf#page=110</x:v>
      </x:c>
    </x:row>
    <x:row r="372" ht="90" customHeight="1">
      <x:c r="A372" s="6" t="str">
        <x:v>2018::jama.2018.9128::C009</x:v>
      </x:c>
      <x:c r="B372" s="6" t="str">
        <x:v>sourceLinks</x:v>
      </x:c>
      <x:c r="C372" s="6" t="n">
        <x:v>1</x:v>
      </x:c>
      <x:c r="D372" s="6" t="str">
        <x:v>DOC-002 protocol schedule — PDF p. 15</x:v>
      </x:c>
      <x:c r="E372" s="6" t="str">
        <x:v>../../2018/jama.2018.9128/joi180075supp1_prod.pdf#page=15</x:v>
      </x:c>
    </x:row>
    <x:row r="373" ht="90" customHeight="1">
      <x:c r="A373" s="3" t="str">
        <x:v>2018::jama.2018.9128::C009</x:v>
      </x:c>
      <x:c r="B373" s="3" t="str">
        <x:v>sourceLinks</x:v>
      </x:c>
      <x:c r="C373" s="3" t="n">
        <x:v>2</x:v>
      </x:c>
      <x:c r="D373" s="3" t="str">
        <x:v>DOC-001 Methods — PDF p. 4</x:v>
      </x:c>
      <x:c r="E373" s="3" t="str">
        <x:v>../../2018/jama.2018.9128/jama_barkin_2018_oi_180075.pdf#page=4</x:v>
      </x:c>
    </x:row>
    <x:row r="374" ht="90" customHeight="1">
      <x:c r="A374" s="6" t="str">
        <x:v>2018::jama.2018.9128::C009</x:v>
      </x:c>
      <x:c r="B374" s="6" t="str">
        <x:v>sourceLinks</x:v>
      </x:c>
      <x:c r="C374" s="6" t="n">
        <x:v>3</x:v>
      </x:c>
      <x:c r="D374" s="6" t="str">
        <x:v>DOC-003 eTable 1 — PDF p. 2</x:v>
      </x:c>
      <x:c r="E374" s="6" t="str">
        <x:v>../../2018/jama.2018.9128/joi180075supp2_prod.pdf#page=2</x:v>
      </x:c>
    </x:row>
    <x:row r="375" ht="90" customHeight="1">
      <x:c r="A375" s="3" t="str">
        <x:v>2018::jama.2018.9128::C009</x:v>
      </x:c>
      <x:c r="B375" s="3" t="str">
        <x:v>evidencePaths</x:v>
      </x:c>
      <x:c r="C375" s="3" t="n">
        <x:v>0</x:v>
      </x:c>
      <x:c r="D375" s="3" t="str">
        <x:v>2018/jama.2018.9128/.ai_paper_validation/review_1_5_2/source_inventory.md</x:v>
      </x:c>
      <x:c r="E375" s="3" t="str">
        <x:v>../../2018/jama.2018.9128/.ai_paper_validation/review_1_5_2/source_inventory.md</x:v>
      </x:c>
    </x:row>
    <x:row r="376" ht="90" customHeight="1">
      <x:c r="A376" s="6" t="str">
        <x:v>2018::jama.2018.9128::C009</x:v>
      </x:c>
      <x:c r="B376" s="6" t="str">
        <x:v>evidencePaths</x:v>
      </x:c>
      <x:c r="C376" s="6" t="n">
        <x:v>1</x:v>
      </x:c>
      <x:c r="D376" s="6" t="str">
        <x:v>2018/jama.2018.9128/.ai_paper_validation/review_1_5_2/verification/evidence_recheck.md</x:v>
      </x:c>
      <x:c r="E376" s="6" t="str">
        <x:v>../../2018/jama.2018.9128/.ai_paper_validation/review_1_5_2/verification/evidence_recheck.md</x:v>
      </x:c>
    </x:row>
    <x:row r="377" ht="90" customHeight="1">
      <x:c r="A377" s="3" t="str">
        <x:v>2018::jama.2018.9128::C010</x:v>
      </x:c>
      <x:c r="B377" s="3" t="str">
        <x:v>sourceLinks</x:v>
      </x:c>
      <x:c r="C377" s="3" t="n">
        <x:v>0</x:v>
      </x:c>
      <x:c r="D377" s="3" t="str">
        <x:v>DOC-002 revised protocol — PDF p. 64</x:v>
      </x:c>
      <x:c r="E377" s="3" t="str">
        <x:v>../../2018/jama.2018.9128/joi180075supp1_prod.pdf#page=64</x:v>
      </x:c>
    </x:row>
    <x:row r="378" ht="90" customHeight="1">
      <x:c r="A378" s="6" t="str">
        <x:v>2018::jama.2018.9128::C010</x:v>
      </x:c>
      <x:c r="B378" s="6" t="str">
        <x:v>sourceLinks</x:v>
      </x:c>
      <x:c r="C378" s="6" t="n">
        <x:v>1</x:v>
      </x:c>
      <x:c r="D378" s="6" t="str">
        <x:v>DOC-001 Methods — PDF p. 4</x:v>
      </x:c>
      <x:c r="E378" s="6" t="str">
        <x:v>../../2018/jama.2018.9128/jama_barkin_2018_oi_180075.pdf#page=4</x:v>
      </x:c>
    </x:row>
    <x:row r="379" ht="90" customHeight="1">
      <x:c r="A379" s="3" t="str">
        <x:v>2018::jama.2018.9128::C010</x:v>
      </x:c>
      <x:c r="B379" s="3" t="str">
        <x:v>sourceLinks</x:v>
      </x:c>
      <x:c r="C379" s="3" t="n">
        <x:v>2</x:v>
      </x:c>
      <x:c r="D379" s="3" t="str">
        <x:v>DOC-003 eTable 1 — PDF p. 2</x:v>
      </x:c>
      <x:c r="E379" s="3" t="str">
        <x:v>../../2018/jama.2018.9128/joi180075supp2_prod.pdf#page=2</x:v>
      </x:c>
    </x:row>
    <x:row r="380" ht="90" customHeight="1">
      <x:c r="A380" s="6" t="str">
        <x:v>2018::jama.2018.9128::C010</x:v>
      </x:c>
      <x:c r="B380" s="6" t="str">
        <x:v>evidencePaths</x:v>
      </x:c>
      <x:c r="C380" s="6" t="n">
        <x:v>0</x:v>
      </x:c>
      <x:c r="D380" s="6" t="str">
        <x:v>2018/jama.2018.9128/.ai_paper_validation/review_1_5_2/source_inventory.md</x:v>
      </x:c>
      <x:c r="E380" s="6" t="str">
        <x:v>../../2018/jama.2018.9128/.ai_paper_validation/review_1_5_2/source_inventory.md</x:v>
      </x:c>
    </x:row>
    <x:row r="381" ht="90" customHeight="1">
      <x:c r="A381" s="3" t="str">
        <x:v>2018::jama.2018.9128::C010</x:v>
      </x:c>
      <x:c r="B381" s="3" t="str">
        <x:v>evidencePaths</x:v>
      </x:c>
      <x:c r="C381" s="3" t="n">
        <x:v>1</x:v>
      </x:c>
      <x:c r="D381" s="3" t="str">
        <x:v>2018/jama.2018.9128/.ai_paper_validation/review_1_5_2/verification/evidence_recheck.md</x:v>
      </x:c>
      <x:c r="E381" s="3" t="str">
        <x:v>../../2018/jama.2018.9128/.ai_paper_validation/review_1_5_2/verification/evidence_recheck.md</x:v>
      </x:c>
    </x:row>
    <x:row r="382" ht="90" customHeight="1">
      <x:c r="A382" s="6" t="str">
        <x:v>2018::jama.2018.9128::C011</x:v>
      </x:c>
      <x:c r="B382" s="6" t="str">
        <x:v>sourceLinks</x:v>
      </x:c>
      <x:c r="C382" s="6" t="n">
        <x:v>0</x:v>
      </x:c>
      <x:c r="D382" s="6" t="str">
        <x:v>DOC-002 original protocol — PDF p. 16</x:v>
      </x:c>
      <x:c r="E382" s="6" t="str">
        <x:v>../../2018/jama.2018.9128/joi180075supp1_prod.pdf#page=16</x:v>
      </x:c>
    </x:row>
    <x:row r="383" ht="90" customHeight="1">
      <x:c r="A383" s="3" t="str">
        <x:v>2018::jama.2018.9128::C011</x:v>
      </x:c>
      <x:c r="B383" s="3" t="str">
        <x:v>sourceLinks</x:v>
      </x:c>
      <x:c r="C383" s="3" t="n">
        <x:v>1</x:v>
      </x:c>
      <x:c r="D383" s="3" t="str">
        <x:v>DOC-002 final SAP — PDF p. 110</x:v>
      </x:c>
      <x:c r="E383" s="3" t="str">
        <x:v>../../2018/jama.2018.9128/joi180075supp1_prod.pdf#page=110</x:v>
      </x:c>
    </x:row>
    <x:row r="384" ht="90" customHeight="1">
      <x:c r="A384" s="6" t="str">
        <x:v>2018::jama.2018.9128::C011</x:v>
      </x:c>
      <x:c r="B384" s="6" t="str">
        <x:v>sourceLinks</x:v>
      </x:c>
      <x:c r="C384" s="6" t="n">
        <x:v>2</x:v>
      </x:c>
      <x:c r="D384" s="6" t="str">
        <x:v>DOC-001 Outcomes — PDF p. 3</x:v>
      </x:c>
      <x:c r="E384" s="6" t="str">
        <x:v>../../2018/jama.2018.9128/jama_barkin_2018_oi_180075.pdf#page=3</x:v>
      </x:c>
    </x:row>
    <x:row r="385" ht="90" customHeight="1">
      <x:c r="A385" s="3" t="str">
        <x:v>2018::jama.2018.9128::C011</x:v>
      </x:c>
      <x:c r="B385" s="3" t="str">
        <x:v>sourceLinks</x:v>
      </x:c>
      <x:c r="C385" s="3" t="n">
        <x:v>3</x:v>
      </x:c>
      <x:c r="D385" s="3" t="str">
        <x:v>DOC-003 eTable 1 — PDF p. 2</x:v>
      </x:c>
      <x:c r="E385" s="3" t="str">
        <x:v>../../2018/jama.2018.9128/joi180075supp2_prod.pdf#page=2</x:v>
      </x:c>
    </x:row>
    <x:row r="386" ht="90" customHeight="1">
      <x:c r="A386" s="6" t="str">
        <x:v>2018::jama.2018.9128::C011</x:v>
      </x:c>
      <x:c r="B386" s="6" t="str">
        <x:v>evidencePaths</x:v>
      </x:c>
      <x:c r="C386" s="6" t="n">
        <x:v>0</x:v>
      </x:c>
      <x:c r="D386" s="6" t="str">
        <x:v>2018/jama.2018.9128/.ai_paper_validation/review_1_5_2/source_inventory.md</x:v>
      </x:c>
      <x:c r="E386" s="6" t="str">
        <x:v>../../2018/jama.2018.9128/.ai_paper_validation/review_1_5_2/source_inventory.md</x:v>
      </x:c>
    </x:row>
    <x:row r="387" ht="90" customHeight="1">
      <x:c r="A387" s="3" t="str">
        <x:v>2018::jama.2018.9128::C011</x:v>
      </x:c>
      <x:c r="B387" s="3" t="str">
        <x:v>evidencePaths</x:v>
      </x:c>
      <x:c r="C387" s="3" t="n">
        <x:v>1</x:v>
      </x:c>
      <x:c r="D387" s="3" t="str">
        <x:v>2018/jama.2018.9128/.ai_paper_validation/review_1_5_2/verification/evidence_recheck.md</x:v>
      </x:c>
      <x:c r="E387" s="3" t="str">
        <x:v>../../2018/jama.2018.9128/.ai_paper_validation/review_1_5_2/verification/evidence_recheck.md</x:v>
      </x:c>
    </x:row>
    <x:row r="388" ht="90" customHeight="1">
      <x:c r="A388" s="6" t="str">
        <x:v>2018::jama.2018.9128::C012</x:v>
      </x:c>
      <x:c r="B388" s="6" t="str">
        <x:v>sourceLinks</x:v>
      </x:c>
      <x:c r="C388" s="6" t="n">
        <x:v>0</x:v>
      </x:c>
      <x:c r="D388" s="6" t="str">
        <x:v>DOC-002 original protocol — PDF p. 14</x:v>
      </x:c>
      <x:c r="E388" s="6" t="str">
        <x:v>../../2018/jama.2018.9128/joi180075supp1_prod.pdf#page=14</x:v>
      </x:c>
    </x:row>
    <x:row r="389" ht="90" customHeight="1">
      <x:c r="A389" s="3" t="str">
        <x:v>2018::jama.2018.9128::C012</x:v>
      </x:c>
      <x:c r="B389" s="3" t="str">
        <x:v>sourceLinks</x:v>
      </x:c>
      <x:c r="C389" s="3" t="n">
        <x:v>1</x:v>
      </x:c>
      <x:c r="D389" s="3" t="str">
        <x:v>DOC-002 revised protocol — PDF p. 64</x:v>
      </x:c>
      <x:c r="E389" s="3" t="str">
        <x:v>../../2018/jama.2018.9128/joi180075supp1_prod.pdf#page=64</x:v>
      </x:c>
    </x:row>
    <x:row r="390" ht="90" customHeight="1">
      <x:c r="A390" s="6" t="str">
        <x:v>2018::jama.2018.9128::C012</x:v>
      </x:c>
      <x:c r="B390" s="6" t="str">
        <x:v>sourceLinks</x:v>
      </x:c>
      <x:c r="C390" s="6" t="n">
        <x:v>2</x:v>
      </x:c>
      <x:c r="D390" s="6" t="str">
        <x:v>DOC-001 abstract — PDF p. 1</x:v>
      </x:c>
      <x:c r="E390" s="6" t="str">
        <x:v>../../2018/jama.2018.9128/jama_barkin_2018_oi_180075.pdf#page=1</x:v>
      </x:c>
    </x:row>
    <x:row r="391" ht="90" customHeight="1">
      <x:c r="A391" s="3" t="str">
        <x:v>2018::jama.2018.9128::C012</x:v>
      </x:c>
      <x:c r="B391" s="3" t="str">
        <x:v>sourceLinks</x:v>
      </x:c>
      <x:c r="C391" s="3" t="n">
        <x:v>3</x:v>
      </x:c>
      <x:c r="D391" s="3" t="str">
        <x:v>DOC-001 Methods — PDF p. 3</x:v>
      </x:c>
      <x:c r="E391" s="3" t="str">
        <x:v>../../2018/jama.2018.9128/jama_barkin_2018_oi_180075.pdf#page=3</x:v>
      </x:c>
    </x:row>
    <x:row r="392" ht="90" customHeight="1">
      <x:c r="A392" s="6" t="str">
        <x:v>2018::jama.2018.9128::C012</x:v>
      </x:c>
      <x:c r="B392" s="6" t="str">
        <x:v>evidencePaths</x:v>
      </x:c>
      <x:c r="C392" s="6" t="n">
        <x:v>0</x:v>
      </x:c>
      <x:c r="D392" s="6" t="str">
        <x:v>2018/jama.2018.9128/.ai_paper_validation/review_1_5_2/source_inventory.md</x:v>
      </x:c>
      <x:c r="E392" s="6" t="str">
        <x:v>../../2018/jama.2018.9128/.ai_paper_validation/review_1_5_2/source_inventory.md</x:v>
      </x:c>
    </x:row>
    <x:row r="393" ht="90" customHeight="1">
      <x:c r="A393" s="3" t="str">
        <x:v>2018::jama.2018.9128::C012</x:v>
      </x:c>
      <x:c r="B393" s="3" t="str">
        <x:v>evidencePaths</x:v>
      </x:c>
      <x:c r="C393" s="3" t="n">
        <x:v>1</x:v>
      </x:c>
      <x:c r="D393" s="3" t="str">
        <x:v>2018/jama.2018.9128/.ai_paper_validation/review_1_5_2/verification/evidence_recheck.md</x:v>
      </x:c>
      <x:c r="E393" s="3" t="str">
        <x:v>../../2018/jama.2018.9128/.ai_paper_validation/review_1_5_2/verification/evidence_recheck.md</x:v>
      </x:c>
    </x:row>
    <x:row r="394" ht="90" customHeight="1">
      <x:c r="A394" s="6" t="str">
        <x:v>2018::jama.2018.9128::C013</x:v>
      </x:c>
      <x:c r="B394" s="6" t="str">
        <x:v>sourceLinks</x:v>
      </x:c>
      <x:c r="C394" s="6" t="n">
        <x:v>0</x:v>
      </x:c>
      <x:c r="D394" s="6" t="str">
        <x:v>DOC-001 Figure 1 — PDF p. 3</x:v>
      </x:c>
      <x:c r="E394" s="6" t="str">
        <x:v>../../2018/jama.2018.9128/jama_barkin_2018_oi_180075.pdf#page=3</x:v>
      </x:c>
    </x:row>
    <x:row r="395" ht="90" customHeight="1">
      <x:c r="A395" s="3" t="str">
        <x:v>2018::jama.2018.9128::C013</x:v>
      </x:c>
      <x:c r="B395" s="3" t="str">
        <x:v>sourceLinks</x:v>
      </x:c>
      <x:c r="C395" s="3" t="n">
        <x:v>1</x:v>
      </x:c>
      <x:c r="D395" s="3" t="str">
        <x:v>DOC-001 Figure 2 — PDF p. 7</x:v>
      </x:c>
      <x:c r="E395" s="3" t="str">
        <x:v>../../2018/jama.2018.9128/jama_barkin_2018_oi_180075.pdf#page=7</x:v>
      </x:c>
    </x:row>
    <x:row r="396" ht="90" customHeight="1">
      <x:c r="A396" s="6" t="str">
        <x:v>2018::jama.2018.9128::C013</x:v>
      </x:c>
      <x:c r="B396" s="6" t="str">
        <x:v>sourceLinks</x:v>
      </x:c>
      <x:c r="C396" s="6" t="n">
        <x:v>2</x:v>
      </x:c>
      <x:c r="D396" s="6" t="str">
        <x:v>DOC-003 eTable 1 — PDF p. 2</x:v>
      </x:c>
      <x:c r="E396" s="6" t="str">
        <x:v>../../2018/jama.2018.9128/joi180075supp2_prod.pdf#page=2</x:v>
      </x:c>
    </x:row>
    <x:row r="397" ht="90" customHeight="1">
      <x:c r="A397" s="3" t="str">
        <x:v>2018::jama.2018.9128::C013</x:v>
      </x:c>
      <x:c r="B397" s="3" t="str">
        <x:v>evidencePaths</x:v>
      </x:c>
      <x:c r="C397" s="3" t="n">
        <x:v>0</x:v>
      </x:c>
      <x:c r="D397" s="3" t="str">
        <x:v>2018/jama.2018.9128/.ai_paper_validation/review_1_5_2/source_inventory.md</x:v>
      </x:c>
      <x:c r="E397" s="3" t="str">
        <x:v>../../2018/jama.2018.9128/.ai_paper_validation/review_1_5_2/source_inventory.md</x:v>
      </x:c>
    </x:row>
  </x:sheetData>
  <x:pageMargins left="0.7" right="0.7" top="0.75" bottom="0.75" header="0.3" footer="0.3"/>
</x:worksheet>
</file>

<file path=xl/worksheets/sheet22.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44" hidden="0" customWidth="1"/>
    <x:col min="2" max="2" width="26" hidden="0" customWidth="1"/>
    <x:col min="3" max="3" width="26" hidden="0" customWidth="1"/>
    <x:col min="4" max="4" width="26" hidden="0" customWidth="1"/>
  </x:cols>
  <x:sheetData>
    <x:row r="1" ht="42" customHeight="1">
      <x:c r="A1" s="5" t="str">
        <x:v>key</x:v>
      </x:c>
      <x:c r="B1" s="5" t="str">
        <x:v>kind</x:v>
      </x:c>
      <x:c r="C1" s="5" t="str">
        <x:v>order</x:v>
      </x:c>
      <x:c r="D1" s="5" t="str">
        <x:v>relationship</x:v>
      </x:c>
    </x:row>
    <x:row r="2" ht="90" customHeight="1">
      <x:c r="A2" s="6" t="str">
        <x:v>2018::jama.2017.21906::C001</x:v>
      </x:c>
      <x:c r="B2" s="6" t="str">
        <x:v>relations</x:v>
      </x:c>
      <x:c r="C2" s="6" t="n">
        <x:v>0</x:v>
      </x:c>
      <x:c r="D2" s="6" t="str">
        <x:v>S_W</x:v>
      </x:c>
    </x:row>
    <x:row r="3" ht="90" customHeight="1">
      <x:c r="A3" s="3" t="str">
        <x:v>2018::jama.2017.21906::C002</x:v>
      </x:c>
      <x:c r="B3" s="3" t="str">
        <x:v>relations</x:v>
      </x:c>
      <x:c r="C3" s="3" t="n">
        <x:v>0</x:v>
      </x:c>
      <x:c r="D3" s="3" t="str">
        <x:v>S_W</x:v>
      </x:c>
    </x:row>
    <x:row r="4" ht="90" customHeight="1">
      <x:c r="A4" s="6" t="str">
        <x:v>2018::jama.2017.21906::C003</x:v>
      </x:c>
      <x:c r="B4" s="6" t="str">
        <x:v>relations</x:v>
      </x:c>
      <x:c r="C4" s="6" t="n">
        <x:v>0</x:v>
      </x:c>
      <x:c r="D4" s="6" t="str">
        <x:v>S_W</x:v>
      </x:c>
    </x:row>
    <x:row r="5" ht="90" customHeight="1">
      <x:c r="A5" s="3" t="str">
        <x:v>2018::jama.2017.21906::C004</x:v>
      </x:c>
      <x:c r="B5" s="3" t="str">
        <x:v>relations</x:v>
      </x:c>
      <x:c r="C5" s="3" t="n">
        <x:v>0</x:v>
      </x:c>
      <x:c r="D5" s="3" t="str">
        <x:v>P_R</x:v>
      </x:c>
    </x:row>
    <x:row r="6" ht="90" customHeight="1">
      <x:c r="A6" s="6" t="str">
        <x:v>2018::jama.2017.21906::C005</x:v>
      </x:c>
      <x:c r="B6" s="6" t="str">
        <x:v>relations</x:v>
      </x:c>
      <x:c r="C6" s="6" t="n">
        <x:v>0</x:v>
      </x:c>
      <x:c r="D6" s="6" t="str">
        <x:v>S_C</x:v>
      </x:c>
    </x:row>
    <x:row r="7" ht="90" customHeight="1">
      <x:c r="A7" s="3" t="str">
        <x:v>2018::jama.2017.21906::C005</x:v>
      </x:c>
      <x:c r="B7" s="3" t="str">
        <x:v>relations</x:v>
      </x:c>
      <x:c r="C7" s="3" t="n">
        <x:v>1</x:v>
      </x:c>
      <x:c r="D7" s="3" t="str">
        <x:v>S_W</x:v>
      </x:c>
    </x:row>
    <x:row r="8" ht="90" customHeight="1">
      <x:c r="A8" s="6" t="str">
        <x:v>2018::jama.2017.21906::C006</x:v>
      </x:c>
      <x:c r="B8" s="6" t="str">
        <x:v>relations</x:v>
      </x:c>
      <x:c r="C8" s="6" t="n">
        <x:v>0</x:v>
      </x:c>
      <x:c r="D8" s="6" t="str">
        <x:v>P_R</x:v>
      </x:c>
    </x:row>
    <x:row r="9" ht="90" customHeight="1">
      <x:c r="A9" s="3" t="str">
        <x:v>2018::jama.2018.0156::C001</x:v>
      </x:c>
      <x:c r="B9" s="3" t="str">
        <x:v>relations</x:v>
      </x:c>
      <x:c r="C9" s="3" t="n">
        <x:v>0</x:v>
      </x:c>
      <x:c r="D9" s="3" t="str">
        <x:v>S_W</x:v>
      </x:c>
    </x:row>
    <x:row r="10" ht="90" customHeight="1">
      <x:c r="A10" s="6" t="str">
        <x:v>2018::jama.2018.0156::C002</x:v>
      </x:c>
      <x:c r="B10" s="6" t="str">
        <x:v>relations</x:v>
      </x:c>
      <x:c r="C10" s="6" t="n">
        <x:v>0</x:v>
      </x:c>
      <x:c r="D10" s="6" t="str">
        <x:v>S_W</x:v>
      </x:c>
    </x:row>
    <x:row r="11" ht="90" customHeight="1">
      <x:c r="A11" s="3" t="str">
        <x:v>2018::jama.2018.0156::C003</x:v>
      </x:c>
      <x:c r="B11" s="3" t="str">
        <x:v>relations</x:v>
      </x:c>
      <x:c r="C11" s="3" t="n">
        <x:v>0</x:v>
      </x:c>
      <x:c r="D11" s="3" t="str">
        <x:v>S_W</x:v>
      </x:c>
    </x:row>
    <x:row r="12" ht="90" customHeight="1">
      <x:c r="A12" s="6" t="str">
        <x:v>2018::jama.2018.0156::C004</x:v>
      </x:c>
      <x:c r="B12" s="6" t="str">
        <x:v>relations</x:v>
      </x:c>
      <x:c r="C12" s="6" t="n">
        <x:v>0</x:v>
      </x:c>
      <x:c r="D12" s="6" t="str">
        <x:v>S_W</x:v>
      </x:c>
    </x:row>
    <x:row r="13" ht="90" customHeight="1">
      <x:c r="A13" s="3" t="str">
        <x:v>2018::jama.2018.0156::C005</x:v>
      </x:c>
      <x:c r="B13" s="3" t="str">
        <x:v>relations</x:v>
      </x:c>
      <x:c r="C13" s="3" t="n">
        <x:v>0</x:v>
      </x:c>
      <x:c r="D13" s="3" t="str">
        <x:v>S_W</x:v>
      </x:c>
    </x:row>
    <x:row r="14" ht="90" customHeight="1">
      <x:c r="A14" s="6" t="str">
        <x:v>2018::jama.2018.0156::C006</x:v>
      </x:c>
      <x:c r="B14" s="6" t="str">
        <x:v>relations</x:v>
      </x:c>
      <x:c r="C14" s="6" t="n">
        <x:v>0</x:v>
      </x:c>
      <x:c r="D14" s="6" t="str">
        <x:v>S_C</x:v>
      </x:c>
    </x:row>
    <x:row r="15" ht="90" customHeight="1">
      <x:c r="A15" s="3" t="str">
        <x:v>2018::jama.2018.0156::C007</x:v>
      </x:c>
      <x:c r="B15" s="3" t="str">
        <x:v>relations</x:v>
      </x:c>
      <x:c r="C15" s="3" t="n">
        <x:v>0</x:v>
      </x:c>
      <x:c r="D15" s="3" t="str">
        <x:v>P_R</x:v>
      </x:c>
    </x:row>
    <x:row r="16" ht="90" customHeight="1">
      <x:c r="A16" s="6" t="str">
        <x:v>2018::jama.2018.0156::C008</x:v>
      </x:c>
      <x:c r="B16" s="6" t="str">
        <x:v>relations</x:v>
      </x:c>
      <x:c r="C16" s="6" t="n">
        <x:v>0</x:v>
      </x:c>
      <x:c r="D16" s="6" t="str">
        <x:v>P_R</x:v>
      </x:c>
    </x:row>
    <x:row r="17" ht="90" customHeight="1">
      <x:c r="A17" s="3" t="str">
        <x:v>2018::jama.2018.0948::C001</x:v>
      </x:c>
      <x:c r="B17" s="3" t="str">
        <x:v>relations</x:v>
      </x:c>
      <x:c r="C17" s="3" t="n">
        <x:v>0</x:v>
      </x:c>
      <x:c r="D17" s="3" t="str">
        <x:v>P_R</x:v>
      </x:c>
    </x:row>
    <x:row r="18" ht="90" customHeight="1">
      <x:c r="A18" s="6" t="str">
        <x:v>2018::jama.2018.0948::C001</x:v>
      </x:c>
      <x:c r="B18" s="6" t="str">
        <x:v>relations</x:v>
      </x:c>
      <x:c r="C18" s="6" t="n">
        <x:v>1</x:v>
      </x:c>
      <x:c r="D18" s="6" t="str">
        <x:v>S_C</x:v>
      </x:c>
    </x:row>
    <x:row r="19" ht="90" customHeight="1">
      <x:c r="A19" s="3" t="str">
        <x:v>2018::jama.2018.0948::C002</x:v>
      </x:c>
      <x:c r="B19" s="3" t="str">
        <x:v>relations</x:v>
      </x:c>
      <x:c r="C19" s="3" t="n">
        <x:v>0</x:v>
      </x:c>
      <x:c r="D19" s="3" t="str">
        <x:v>P_P</x:v>
      </x:c>
    </x:row>
    <x:row r="20" ht="90" customHeight="1">
      <x:c r="A20" s="6" t="str">
        <x:v>2018::jama.2018.0948::C003</x:v>
      </x:c>
      <x:c r="B20" s="6" t="str">
        <x:v>relations</x:v>
      </x:c>
      <x:c r="C20" s="6" t="n">
        <x:v>0</x:v>
      </x:c>
      <x:c r="D20" s="6" t="str">
        <x:v>P_P</x:v>
      </x:c>
    </x:row>
    <x:row r="21" ht="90" customHeight="1">
      <x:c r="A21" s="3" t="str">
        <x:v>2018::jama.2018.0948::C004</x:v>
      </x:c>
      <x:c r="B21" s="3" t="str">
        <x:v>relations</x:v>
      </x:c>
      <x:c r="C21" s="3" t="n">
        <x:v>0</x:v>
      </x:c>
      <x:c r="D21" s="3" t="str">
        <x:v>P_P</x:v>
      </x:c>
    </x:row>
    <x:row r="22" ht="90" customHeight="1">
      <x:c r="A22" s="6" t="str">
        <x:v>2018::jama.2018.0948::C005</x:v>
      </x:c>
      <x:c r="B22" s="6" t="str">
        <x:v>relations</x:v>
      </x:c>
      <x:c r="C22" s="6" t="n">
        <x:v>0</x:v>
      </x:c>
      <x:c r="D22" s="6" t="str">
        <x:v>P_P</x:v>
      </x:c>
    </x:row>
    <x:row r="23" ht="90" customHeight="1">
      <x:c r="A23" s="3" t="str">
        <x:v>2018::jama.2018.0948::C005</x:v>
      </x:c>
      <x:c r="B23" s="3" t="str">
        <x:v>legacyRelations</x:v>
      </x:c>
      <x:c r="C23" s="3" t="n">
        <x:v>0</x:v>
      </x:c>
      <x:c r="D23" s="3" t="str">
        <x:v>P_B</x:v>
      </x:c>
    </x:row>
    <x:row r="24" ht="90" customHeight="1">
      <x:c r="A24" s="6" t="str">
        <x:v>2018::jama.2018.0948::C006</x:v>
      </x:c>
      <x:c r="B24" s="6" t="str">
        <x:v>relations</x:v>
      </x:c>
      <x:c r="C24" s="6" t="n">
        <x:v>0</x:v>
      </x:c>
      <x:c r="D24" s="6" t="str">
        <x:v>P_P</x:v>
      </x:c>
    </x:row>
    <x:row r="25" ht="90" customHeight="1">
      <x:c r="A25" s="3" t="str">
        <x:v>2018::jama.2018.0948::C007</x:v>
      </x:c>
      <x:c r="B25" s="3" t="str">
        <x:v>relations</x:v>
      </x:c>
      <x:c r="C25" s="3" t="n">
        <x:v>0</x:v>
      </x:c>
      <x:c r="D25" s="3" t="str">
        <x:v>P_P</x:v>
      </x:c>
    </x:row>
    <x:row r="26" ht="90" customHeight="1">
      <x:c r="A26" s="6" t="str">
        <x:v>2018::jama.2018.0948::C007</x:v>
      </x:c>
      <x:c r="B26" s="6" t="str">
        <x:v>legacyRelations</x:v>
      </x:c>
      <x:c r="C26" s="6" t="n">
        <x:v>0</x:v>
      </x:c>
      <x:c r="D26" s="6" t="str">
        <x:v>P_B</x:v>
      </x:c>
    </x:row>
    <x:row r="27" ht="90" customHeight="1">
      <x:c r="A27" s="3" t="str">
        <x:v>2018::jama.2018.14280::C001</x:v>
      </x:c>
      <x:c r="B27" s="3" t="str">
        <x:v>relations</x:v>
      </x:c>
      <x:c r="C27" s="3" t="n">
        <x:v>0</x:v>
      </x:c>
      <x:c r="D27" s="3" t="str">
        <x:v>S_W</x:v>
      </x:c>
    </x:row>
    <x:row r="28" ht="90" customHeight="1">
      <x:c r="A28" s="6" t="str">
        <x:v>2018::jama.2018.14280::C002</x:v>
      </x:c>
      <x:c r="B28" s="6" t="str">
        <x:v>relations</x:v>
      </x:c>
      <x:c r="C28" s="6" t="n">
        <x:v>0</x:v>
      </x:c>
      <x:c r="D28" s="6" t="str">
        <x:v>S_W</x:v>
      </x:c>
    </x:row>
    <x:row r="29" ht="90" customHeight="1">
      <x:c r="A29" s="3" t="str">
        <x:v>2018::jama.2018.14280::C003</x:v>
      </x:c>
      <x:c r="B29" s="3" t="str">
        <x:v>relations</x:v>
      </x:c>
      <x:c r="C29" s="3" t="n">
        <x:v>0</x:v>
      </x:c>
      <x:c r="D29" s="3" t="str">
        <x:v>S_W</x:v>
      </x:c>
    </x:row>
    <x:row r="30" ht="90" customHeight="1">
      <x:c r="A30" s="6" t="str">
        <x:v>2018::jama.2018.14280::C004</x:v>
      </x:c>
      <x:c r="B30" s="6" t="str">
        <x:v>relations</x:v>
      </x:c>
      <x:c r="C30" s="6" t="n">
        <x:v>0</x:v>
      </x:c>
      <x:c r="D30" s="6" t="str">
        <x:v>S_W</x:v>
      </x:c>
    </x:row>
    <x:row r="31" ht="90" customHeight="1">
      <x:c r="A31" s="3" t="str">
        <x:v>2018::jama.2018.14280::C005</x:v>
      </x:c>
      <x:c r="B31" s="3" t="str">
        <x:v>relations</x:v>
      </x:c>
      <x:c r="C31" s="3" t="n">
        <x:v>0</x:v>
      </x:c>
      <x:c r="D31" s="3" t="str">
        <x:v>S_W</x:v>
      </x:c>
    </x:row>
    <x:row r="32" ht="90" customHeight="1">
      <x:c r="A32" s="6" t="str">
        <x:v>2018::jama.2018.14280::C006</x:v>
      </x:c>
      <x:c r="B32" s="6" t="str">
        <x:v>relations</x:v>
      </x:c>
      <x:c r="C32" s="6" t="n">
        <x:v>0</x:v>
      </x:c>
      <x:c r="D32" s="6" t="str">
        <x:v>S_W</x:v>
      </x:c>
    </x:row>
    <x:row r="33" ht="90" customHeight="1">
      <x:c r="A33" s="3" t="str">
        <x:v>2018::jama.2018.14280::C007</x:v>
      </x:c>
      <x:c r="B33" s="3" t="str">
        <x:v>relations</x:v>
      </x:c>
      <x:c r="C33" s="3" t="n">
        <x:v>0</x:v>
      </x:c>
      <x:c r="D33" s="3" t="str">
        <x:v>S_W</x:v>
      </x:c>
    </x:row>
    <x:row r="34" ht="90" customHeight="1">
      <x:c r="A34" s="6" t="str">
        <x:v>2018::jama.2018.14280::C008</x:v>
      </x:c>
      <x:c r="B34" s="6" t="str">
        <x:v>relations</x:v>
      </x:c>
      <x:c r="C34" s="6" t="n">
        <x:v>0</x:v>
      </x:c>
      <x:c r="D34" s="6" t="str">
        <x:v>S_W</x:v>
      </x:c>
    </x:row>
    <x:row r="35" ht="90" customHeight="1">
      <x:c r="A35" s="3" t="str">
        <x:v>2018::jama.2018.14280::C009</x:v>
      </x:c>
      <x:c r="B35" s="3" t="str">
        <x:v>relations</x:v>
      </x:c>
      <x:c r="C35" s="3" t="n">
        <x:v>0</x:v>
      </x:c>
      <x:c r="D35" s="3" t="str">
        <x:v>S_W</x:v>
      </x:c>
    </x:row>
    <x:row r="36" ht="90" customHeight="1">
      <x:c r="A36" s="6" t="str">
        <x:v>2018::jama.2018.14280::C010</x:v>
      </x:c>
      <x:c r="B36" s="6" t="str">
        <x:v>relations</x:v>
      </x:c>
      <x:c r="C36" s="6" t="n">
        <x:v>0</x:v>
      </x:c>
      <x:c r="D36" s="6" t="str">
        <x:v>S_W</x:v>
      </x:c>
    </x:row>
    <x:row r="37" ht="90" customHeight="1">
      <x:c r="A37" s="3" t="str">
        <x:v>2018::jama.2018.14280::C011</x:v>
      </x:c>
      <x:c r="B37" s="3" t="str">
        <x:v>relations</x:v>
      </x:c>
      <x:c r="C37" s="3" t="n">
        <x:v>0</x:v>
      </x:c>
      <x:c r="D37" s="3" t="str">
        <x:v>S_W</x:v>
      </x:c>
    </x:row>
    <x:row r="38" ht="90" customHeight="1">
      <x:c r="A38" s="6" t="str">
        <x:v>2018::jama.2018.14280::C012</x:v>
      </x:c>
      <x:c r="B38" s="6" t="str">
        <x:v>relations</x:v>
      </x:c>
      <x:c r="C38" s="6" t="n">
        <x:v>0</x:v>
      </x:c>
      <x:c r="D38" s="6" t="str">
        <x:v>S_W</x:v>
      </x:c>
    </x:row>
    <x:row r="39" ht="90" customHeight="1">
      <x:c r="A39" s="3" t="str">
        <x:v>2018::jama.2018.14280::C013</x:v>
      </x:c>
      <x:c r="B39" s="3" t="str">
        <x:v>relations</x:v>
      </x:c>
      <x:c r="C39" s="3" t="n">
        <x:v>0</x:v>
      </x:c>
      <x:c r="D39" s="3" t="str">
        <x:v>S_W</x:v>
      </x:c>
    </x:row>
    <x:row r="40" ht="90" customHeight="1">
      <x:c r="A40" s="6" t="str">
        <x:v>2018::jama.2018.14280::C014</x:v>
      </x:c>
      <x:c r="B40" s="6" t="str">
        <x:v>relations</x:v>
      </x:c>
      <x:c r="C40" s="6" t="n">
        <x:v>0</x:v>
      </x:c>
      <x:c r="D40" s="6" t="str">
        <x:v>S_W</x:v>
      </x:c>
    </x:row>
    <x:row r="41" ht="90" customHeight="1">
      <x:c r="A41" s="3" t="str">
        <x:v>2018::jama.2018.14280::C015</x:v>
      </x:c>
      <x:c r="B41" s="3" t="str">
        <x:v>relations</x:v>
      </x:c>
      <x:c r="C41" s="3" t="n">
        <x:v>0</x:v>
      </x:c>
      <x:c r="D41" s="3" t="str">
        <x:v>S_W</x:v>
      </x:c>
    </x:row>
    <x:row r="42" ht="90" customHeight="1">
      <x:c r="A42" s="6" t="str">
        <x:v>2018::jama.2018.14280::C016</x:v>
      </x:c>
      <x:c r="B42" s="6" t="str">
        <x:v>relations</x:v>
      </x:c>
      <x:c r="C42" s="6" t="n">
        <x:v>0</x:v>
      </x:c>
      <x:c r="D42" s="6" t="str">
        <x:v>S_W</x:v>
      </x:c>
    </x:row>
    <x:row r="43" ht="90" customHeight="1">
      <x:c r="A43" s="3" t="str">
        <x:v>2018::jama.2018.14280::C017</x:v>
      </x:c>
      <x:c r="B43" s="3" t="str">
        <x:v>relations</x:v>
      </x:c>
      <x:c r="C43" s="3" t="n">
        <x:v>0</x:v>
      </x:c>
      <x:c r="D43" s="3" t="str">
        <x:v>S_W</x:v>
      </x:c>
    </x:row>
    <x:row r="44" ht="90" customHeight="1">
      <x:c r="A44" s="6" t="str">
        <x:v>2018::jama.2018.14280::C018</x:v>
      </x:c>
      <x:c r="B44" s="6" t="str">
        <x:v>relations</x:v>
      </x:c>
      <x:c r="C44" s="6" t="n">
        <x:v>0</x:v>
      </x:c>
      <x:c r="D44" s="6" t="str">
        <x:v>S_W</x:v>
      </x:c>
    </x:row>
    <x:row r="45" ht="90" customHeight="1">
      <x:c r="A45" s="3" t="str">
        <x:v>2018::jama.2018.14280::C019</x:v>
      </x:c>
      <x:c r="B45" s="3" t="str">
        <x:v>relations</x:v>
      </x:c>
      <x:c r="C45" s="3" t="n">
        <x:v>0</x:v>
      </x:c>
      <x:c r="D45" s="3" t="str">
        <x:v>S_W</x:v>
      </x:c>
    </x:row>
    <x:row r="46" ht="90" customHeight="1">
      <x:c r="A46" s="6" t="str">
        <x:v>2018::jama.2018.14280::C020</x:v>
      </x:c>
      <x:c r="B46" s="6" t="str">
        <x:v>relations</x:v>
      </x:c>
      <x:c r="C46" s="6" t="n">
        <x:v>0</x:v>
      </x:c>
      <x:c r="D46" s="6" t="str">
        <x:v>S_W</x:v>
      </x:c>
    </x:row>
    <x:row r="47" ht="90" customHeight="1">
      <x:c r="A47" s="3" t="str">
        <x:v>2018::jama.2018.14280::C021</x:v>
      </x:c>
      <x:c r="B47" s="3" t="str">
        <x:v>relations</x:v>
      </x:c>
      <x:c r="C47" s="3" t="n">
        <x:v>0</x:v>
      </x:c>
      <x:c r="D47" s="3" t="str">
        <x:v>S_W</x:v>
      </x:c>
    </x:row>
    <x:row r="48" ht="90" customHeight="1">
      <x:c r="A48" s="6" t="str">
        <x:v>2018::jama.2018.14280::C022</x:v>
      </x:c>
      <x:c r="B48" s="6" t="str">
        <x:v>relations</x:v>
      </x:c>
      <x:c r="C48" s="6" t="n">
        <x:v>0</x:v>
      </x:c>
      <x:c r="D48" s="6" t="str">
        <x:v>S_C</x:v>
      </x:c>
    </x:row>
    <x:row r="49" ht="90" customHeight="1">
      <x:c r="A49" s="3" t="str">
        <x:v>2018::jama.2018.14280::C023</x:v>
      </x:c>
      <x:c r="B49" s="3" t="str">
        <x:v>relations</x:v>
      </x:c>
      <x:c r="C49" s="3" t="n">
        <x:v>0</x:v>
      </x:c>
      <x:c r="D49" s="3" t="str">
        <x:v>P_R</x:v>
      </x:c>
    </x:row>
    <x:row r="50" ht="90" customHeight="1">
      <x:c r="A50" s="6" t="str">
        <x:v>2018::jama.2018.14282::C001</x:v>
      </x:c>
      <x:c r="B50" s="6" t="str">
        <x:v>relations</x:v>
      </x:c>
      <x:c r="C50" s="6" t="n">
        <x:v>0</x:v>
      </x:c>
      <x:c r="D50" s="6" t="str">
        <x:v>S_W</x:v>
      </x:c>
    </x:row>
    <x:row r="51" ht="90" customHeight="1">
      <x:c r="A51" s="3" t="str">
        <x:v>2018::jama.2018.14282::C002</x:v>
      </x:c>
      <x:c r="B51" s="3" t="str">
        <x:v>relations</x:v>
      </x:c>
      <x:c r="C51" s="3" t="n">
        <x:v>0</x:v>
      </x:c>
      <x:c r="D51" s="3" t="str">
        <x:v>S_W</x:v>
      </x:c>
    </x:row>
    <x:row r="52" ht="90" customHeight="1">
      <x:c r="A52" s="6" t="str">
        <x:v>2018::jama.2018.14282::C003</x:v>
      </x:c>
      <x:c r="B52" s="6" t="str">
        <x:v>relations</x:v>
      </x:c>
      <x:c r="C52" s="6" t="n">
        <x:v>0</x:v>
      </x:c>
      <x:c r="D52" s="6" t="str">
        <x:v>S_W</x:v>
      </x:c>
    </x:row>
    <x:row r="53" ht="90" customHeight="1">
      <x:c r="A53" s="3" t="str">
        <x:v>2018::jama.2018.14282::C004</x:v>
      </x:c>
      <x:c r="B53" s="3" t="str">
        <x:v>relations</x:v>
      </x:c>
      <x:c r="C53" s="3" t="n">
        <x:v>0</x:v>
      </x:c>
      <x:c r="D53" s="3" t="str">
        <x:v>S_W</x:v>
      </x:c>
    </x:row>
    <x:row r="54" ht="90" customHeight="1">
      <x:c r="A54" s="6" t="str">
        <x:v>2018::jama.2018.14282::C005</x:v>
      </x:c>
      <x:c r="B54" s="6" t="str">
        <x:v>relations</x:v>
      </x:c>
      <x:c r="C54" s="6" t="n">
        <x:v>0</x:v>
      </x:c>
      <x:c r="D54" s="6" t="str">
        <x:v>S_W</x:v>
      </x:c>
    </x:row>
    <x:row r="55" ht="90" customHeight="1">
      <x:c r="A55" s="3" t="str">
        <x:v>2018::jama.2018.14282::C006</x:v>
      </x:c>
      <x:c r="B55" s="3" t="str">
        <x:v>relations</x:v>
      </x:c>
      <x:c r="C55" s="3" t="n">
        <x:v>0</x:v>
      </x:c>
      <x:c r="D55" s="3" t="str">
        <x:v>S_W</x:v>
      </x:c>
    </x:row>
    <x:row r="56" ht="90" customHeight="1">
      <x:c r="A56" s="6" t="str">
        <x:v>2018::jama.2018.14282::C007</x:v>
      </x:c>
      <x:c r="B56" s="6" t="str">
        <x:v>relations</x:v>
      </x:c>
      <x:c r="C56" s="6" t="n">
        <x:v>0</x:v>
      </x:c>
      <x:c r="D56" s="6" t="str">
        <x:v>S_W</x:v>
      </x:c>
    </x:row>
    <x:row r="57" ht="90" customHeight="1">
      <x:c r="A57" s="3" t="str">
        <x:v>2018::jama.2018.14282::C008</x:v>
      </x:c>
      <x:c r="B57" s="3" t="str">
        <x:v>relations</x:v>
      </x:c>
      <x:c r="C57" s="3" t="n">
        <x:v>0</x:v>
      </x:c>
      <x:c r="D57" s="3" t="str">
        <x:v>S_W</x:v>
      </x:c>
    </x:row>
    <x:row r="58" ht="90" customHeight="1">
      <x:c r="A58" s="6" t="str">
        <x:v>2018::jama.2018.14282::C009</x:v>
      </x:c>
      <x:c r="B58" s="6" t="str">
        <x:v>relations</x:v>
      </x:c>
      <x:c r="C58" s="6" t="n">
        <x:v>0</x:v>
      </x:c>
      <x:c r="D58" s="6" t="str">
        <x:v>S_W</x:v>
      </x:c>
    </x:row>
    <x:row r="59" ht="90" customHeight="1">
      <x:c r="A59" s="3" t="str">
        <x:v>2018::jama.2018.14282::C010</x:v>
      </x:c>
      <x:c r="B59" s="3" t="str">
        <x:v>relations</x:v>
      </x:c>
      <x:c r="C59" s="3" t="n">
        <x:v>0</x:v>
      </x:c>
      <x:c r="D59" s="3" t="str">
        <x:v>S_W</x:v>
      </x:c>
    </x:row>
    <x:row r="60" ht="90" customHeight="1">
      <x:c r="A60" s="6" t="str">
        <x:v>2018::jama.2018.14282::C011</x:v>
      </x:c>
      <x:c r="B60" s="6" t="str">
        <x:v>relations</x:v>
      </x:c>
      <x:c r="C60" s="6" t="n">
        <x:v>0</x:v>
      </x:c>
      <x:c r="D60" s="6" t="str">
        <x:v>S_W</x:v>
      </x:c>
    </x:row>
    <x:row r="61" ht="90" customHeight="1">
      <x:c r="A61" s="3" t="str">
        <x:v>2018::jama.2018.14282::C012</x:v>
      </x:c>
      <x:c r="B61" s="3" t="str">
        <x:v>relations</x:v>
      </x:c>
      <x:c r="C61" s="3" t="n">
        <x:v>0</x:v>
      </x:c>
      <x:c r="D61" s="3" t="str">
        <x:v>S_W</x:v>
      </x:c>
    </x:row>
    <x:row r="62" ht="90" customHeight="1">
      <x:c r="A62" s="6" t="str">
        <x:v>2018::jama.2018.14282::C013</x:v>
      </x:c>
      <x:c r="B62" s="6" t="str">
        <x:v>relations</x:v>
      </x:c>
      <x:c r="C62" s="6" t="n">
        <x:v>0</x:v>
      </x:c>
      <x:c r="D62" s="6" t="str">
        <x:v>S_W</x:v>
      </x:c>
    </x:row>
    <x:row r="63" ht="90" customHeight="1">
      <x:c r="A63" s="3" t="str">
        <x:v>2018::jama.2018.14282::C014</x:v>
      </x:c>
      <x:c r="B63" s="3" t="str">
        <x:v>relations</x:v>
      </x:c>
      <x:c r="C63" s="3" t="n">
        <x:v>0</x:v>
      </x:c>
      <x:c r="D63" s="3" t="str">
        <x:v>S_W</x:v>
      </x:c>
    </x:row>
    <x:row r="64" ht="90" customHeight="1">
      <x:c r="A64" s="6" t="str">
        <x:v>2018::jama.2018.14282::C015</x:v>
      </x:c>
      <x:c r="B64" s="6" t="str">
        <x:v>relations</x:v>
      </x:c>
      <x:c r="C64" s="6" t="n">
        <x:v>0</x:v>
      </x:c>
      <x:c r="D64" s="6" t="str">
        <x:v>S_W</x:v>
      </x:c>
    </x:row>
    <x:row r="65" ht="90" customHeight="1">
      <x:c r="A65" s="3" t="str">
        <x:v>2018::jama.2018.14282::C016</x:v>
      </x:c>
      <x:c r="B65" s="3" t="str">
        <x:v>relations</x:v>
      </x:c>
      <x:c r="C65" s="3" t="n">
        <x:v>0</x:v>
      </x:c>
      <x:c r="D65" s="3" t="str">
        <x:v>S_W</x:v>
      </x:c>
    </x:row>
    <x:row r="66" ht="90" customHeight="1">
      <x:c r="A66" s="6" t="str">
        <x:v>2018::jama.2018.14282::C017</x:v>
      </x:c>
      <x:c r="B66" s="6" t="str">
        <x:v>relations</x:v>
      </x:c>
      <x:c r="C66" s="6" t="n">
        <x:v>0</x:v>
      </x:c>
      <x:c r="D66" s="6" t="str">
        <x:v>S_W</x:v>
      </x:c>
    </x:row>
    <x:row r="67" ht="90" customHeight="1">
      <x:c r="A67" s="3" t="str">
        <x:v>2018::jama.2018.14282::C018</x:v>
      </x:c>
      <x:c r="B67" s="3" t="str">
        <x:v>relations</x:v>
      </x:c>
      <x:c r="C67" s="3" t="n">
        <x:v>0</x:v>
      </x:c>
      <x:c r="D67" s="3" t="str">
        <x:v>S_W</x:v>
      </x:c>
    </x:row>
    <x:row r="68" ht="90" customHeight="1">
      <x:c r="A68" s="6" t="str">
        <x:v>2018::jama.2018.14282::C019</x:v>
      </x:c>
      <x:c r="B68" s="6" t="str">
        <x:v>relations</x:v>
      </x:c>
      <x:c r="C68" s="6" t="n">
        <x:v>0</x:v>
      </x:c>
      <x:c r="D68" s="6" t="str">
        <x:v>S_W</x:v>
      </x:c>
    </x:row>
    <x:row r="69" ht="90" customHeight="1">
      <x:c r="A69" s="3" t="str">
        <x:v>2018::jama.2018.14282::C020</x:v>
      </x:c>
      <x:c r="B69" s="3" t="str">
        <x:v>relations</x:v>
      </x:c>
      <x:c r="C69" s="3" t="n">
        <x:v>0</x:v>
      </x:c>
      <x:c r="D69" s="3" t="str">
        <x:v>S_W</x:v>
      </x:c>
    </x:row>
    <x:row r="70" ht="90" customHeight="1">
      <x:c r="A70" s="6" t="str">
        <x:v>2018::jama.2018.14282::C021</x:v>
      </x:c>
      <x:c r="B70" s="6" t="str">
        <x:v>relations</x:v>
      </x:c>
      <x:c r="C70" s="6" t="n">
        <x:v>0</x:v>
      </x:c>
      <x:c r="D70" s="6" t="str">
        <x:v>S_W</x:v>
      </x:c>
    </x:row>
    <x:row r="71" ht="90" customHeight="1">
      <x:c r="A71" s="3" t="str">
        <x:v>2018::jama.2018.14282::C022</x:v>
      </x:c>
      <x:c r="B71" s="3" t="str">
        <x:v>relations</x:v>
      </x:c>
      <x:c r="C71" s="3" t="n">
        <x:v>0</x:v>
      </x:c>
      <x:c r="D71" s="3" t="str">
        <x:v>S_C</x:v>
      </x:c>
    </x:row>
    <x:row r="72" ht="90" customHeight="1">
      <x:c r="A72" s="6" t="str">
        <x:v>2018::jama.2018.14282::C023</x:v>
      </x:c>
      <x:c r="B72" s="6" t="str">
        <x:v>relations</x:v>
      </x:c>
      <x:c r="C72" s="6" t="n">
        <x:v>0</x:v>
      </x:c>
      <x:c r="D72" s="6" t="str">
        <x:v>S_W</x:v>
      </x:c>
    </x:row>
    <x:row r="73" ht="90" customHeight="1">
      <x:c r="A73" s="3" t="str">
        <x:v>2018::jama.2018.14282::C024</x:v>
      </x:c>
      <x:c r="B73" s="3" t="str">
        <x:v>relations</x:v>
      </x:c>
      <x:c r="C73" s="3" t="n">
        <x:v>0</x:v>
      </x:c>
      <x:c r="D73" s="3" t="str">
        <x:v>S_W</x:v>
      </x:c>
    </x:row>
    <x:row r="74" ht="90" customHeight="1">
      <x:c r="A74" s="6" t="str">
        <x:v>2018::jama.2018.14282::C025</x:v>
      </x:c>
      <x:c r="B74" s="6" t="str">
        <x:v>relations</x:v>
      </x:c>
      <x:c r="C74" s="6" t="n">
        <x:v>0</x:v>
      </x:c>
      <x:c r="D74" s="6" t="str">
        <x:v>S_W</x:v>
      </x:c>
    </x:row>
    <x:row r="75" ht="90" customHeight="1">
      <x:c r="A75" s="3" t="str">
        <x:v>2018::jama.2018.14282::C026</x:v>
      </x:c>
      <x:c r="B75" s="3" t="str">
        <x:v>relations</x:v>
      </x:c>
      <x:c r="C75" s="3" t="n">
        <x:v>0</x:v>
      </x:c>
      <x:c r="D75" s="3" t="str">
        <x:v>P_P</x:v>
      </x:c>
    </x:row>
    <x:row r="76" ht="90" customHeight="1">
      <x:c r="A76" s="6" t="str">
        <x:v>2018::jama.2018.14282::C027</x:v>
      </x:c>
      <x:c r="B76" s="6" t="str">
        <x:v>relations</x:v>
      </x:c>
      <x:c r="C76" s="6" t="n">
        <x:v>0</x:v>
      </x:c>
      <x:c r="D76" s="6" t="str">
        <x:v>P_P</x:v>
      </x:c>
    </x:row>
    <x:row r="77" ht="90" customHeight="1">
      <x:c r="A77" s="3" t="str">
        <x:v>2018::jama.2018.14282::C028</x:v>
      </x:c>
      <x:c r="B77" s="3" t="str">
        <x:v>relations</x:v>
      </x:c>
      <x:c r="C77" s="3" t="n">
        <x:v>0</x:v>
      </x:c>
      <x:c r="D77" s="3" t="str">
        <x:v>P_P</x:v>
      </x:c>
    </x:row>
    <x:row r="78" ht="90" customHeight="1">
      <x:c r="A78" s="6" t="str">
        <x:v>2018::jama.2018.17075::C001</x:v>
      </x:c>
      <x:c r="B78" s="6" t="str">
        <x:v>relations</x:v>
      </x:c>
      <x:c r="C78" s="6" t="n">
        <x:v>0</x:v>
      </x:c>
      <x:c r="D78" s="6" t="str">
        <x:v>S_W</x:v>
      </x:c>
    </x:row>
    <x:row r="79" ht="90" customHeight="1">
      <x:c r="A79" s="3" t="str">
        <x:v>2018::jama.2018.17075::C002</x:v>
      </x:c>
      <x:c r="B79" s="3" t="str">
        <x:v>relations</x:v>
      </x:c>
      <x:c r="C79" s="3" t="n">
        <x:v>0</x:v>
      </x:c>
      <x:c r="D79" s="3" t="str">
        <x:v>S_W</x:v>
      </x:c>
    </x:row>
    <x:row r="80" ht="90" customHeight="1">
      <x:c r="A80" s="6" t="str">
        <x:v>2018::jama.2018.17075::C003</x:v>
      </x:c>
      <x:c r="B80" s="6" t="str">
        <x:v>relations</x:v>
      </x:c>
      <x:c r="C80" s="6" t="n">
        <x:v>0</x:v>
      </x:c>
      <x:c r="D80" s="6" t="str">
        <x:v>S_C</x:v>
      </x:c>
    </x:row>
    <x:row r="81" ht="90" customHeight="1">
      <x:c r="A81" s="3" t="str">
        <x:v>2018::jama.2018.17075::C003</x:v>
      </x:c>
      <x:c r="B81" s="3" t="str">
        <x:v>relations</x:v>
      </x:c>
      <x:c r="C81" s="3" t="n">
        <x:v>1</x:v>
      </x:c>
      <x:c r="D81" s="3" t="str">
        <x:v>S_W</x:v>
      </x:c>
    </x:row>
    <x:row r="82" ht="90" customHeight="1">
      <x:c r="A82" s="6" t="str">
        <x:v>2018::jama.2018.17075::C004</x:v>
      </x:c>
      <x:c r="B82" s="6" t="str">
        <x:v>relations</x:v>
      </x:c>
      <x:c r="C82" s="6" t="n">
        <x:v>0</x:v>
      </x:c>
      <x:c r="D82" s="6" t="str">
        <x:v>S_C</x:v>
      </x:c>
    </x:row>
    <x:row r="83" ht="90" customHeight="1">
      <x:c r="A83" s="3" t="str">
        <x:v>2018::jama.2018.17075::C004</x:v>
      </x:c>
      <x:c r="B83" s="3" t="str">
        <x:v>relations</x:v>
      </x:c>
      <x:c r="C83" s="3" t="n">
        <x:v>1</x:v>
      </x:c>
      <x:c r="D83" s="3" t="str">
        <x:v>S_W</x:v>
      </x:c>
    </x:row>
    <x:row r="84" ht="90" customHeight="1">
      <x:c r="A84" s="6" t="str">
        <x:v>2018::jama.2018.17075::C005</x:v>
      </x:c>
      <x:c r="B84" s="6" t="str">
        <x:v>relations</x:v>
      </x:c>
      <x:c r="C84" s="6" t="n">
        <x:v>0</x:v>
      </x:c>
      <x:c r="D84" s="6" t="str">
        <x:v>S_W</x:v>
      </x:c>
    </x:row>
    <x:row r="85" ht="90" customHeight="1">
      <x:c r="A85" s="3" t="str">
        <x:v>2018::jama.2018.17075::C006</x:v>
      </x:c>
      <x:c r="B85" s="3" t="str">
        <x:v>relations</x:v>
      </x:c>
      <x:c r="C85" s="3" t="n">
        <x:v>0</x:v>
      </x:c>
      <x:c r="D85" s="3" t="str">
        <x:v>S_W</x:v>
      </x:c>
    </x:row>
    <x:row r="86" ht="90" customHeight="1">
      <x:c r="A86" s="6" t="str">
        <x:v>2018::jama.2018.17075::C007</x:v>
      </x:c>
      <x:c r="B86" s="6" t="str">
        <x:v>relations</x:v>
      </x:c>
      <x:c r="C86" s="6" t="n">
        <x:v>0</x:v>
      </x:c>
      <x:c r="D86" s="6" t="str">
        <x:v>S_W</x:v>
      </x:c>
    </x:row>
    <x:row r="87" ht="90" customHeight="1">
      <x:c r="A87" s="3" t="str">
        <x:v>2018::jama.2018.17075::C008</x:v>
      </x:c>
      <x:c r="B87" s="3" t="str">
        <x:v>relations</x:v>
      </x:c>
      <x:c r="C87" s="3" t="n">
        <x:v>0</x:v>
      </x:c>
      <x:c r="D87" s="3" t="str">
        <x:v>S_W</x:v>
      </x:c>
    </x:row>
    <x:row r="88" ht="90" customHeight="1">
      <x:c r="A88" s="6" t="str">
        <x:v>2018::jama.2018.18020::C001</x:v>
      </x:c>
      <x:c r="B88" s="6" t="str">
        <x:v>relations</x:v>
      </x:c>
      <x:c r="C88" s="6" t="n">
        <x:v>0</x:v>
      </x:c>
      <x:c r="D88" s="6" t="str">
        <x:v>S_W</x:v>
      </x:c>
    </x:row>
    <x:row r="89" ht="90" customHeight="1">
      <x:c r="A89" s="3" t="str">
        <x:v>2018::jama.2018.18020::C002</x:v>
      </x:c>
      <x:c r="B89" s="3" t="str">
        <x:v>relations</x:v>
      </x:c>
      <x:c r="C89" s="3" t="n">
        <x:v>0</x:v>
      </x:c>
      <x:c r="D89" s="3" t="str">
        <x:v>S_W</x:v>
      </x:c>
    </x:row>
    <x:row r="90" ht="90" customHeight="1">
      <x:c r="A90" s="6" t="str">
        <x:v>2018::jama.2018.18020::C003</x:v>
      </x:c>
      <x:c r="B90" s="6" t="str">
        <x:v>relations</x:v>
      </x:c>
      <x:c r="C90" s="6" t="n">
        <x:v>0</x:v>
      </x:c>
      <x:c r="D90" s="6" t="str">
        <x:v>S_W</x:v>
      </x:c>
    </x:row>
    <x:row r="91" ht="90" customHeight="1">
      <x:c r="A91" s="3" t="str">
        <x:v>2018::jama.2018.18020::C004</x:v>
      </x:c>
      <x:c r="B91" s="3" t="str">
        <x:v>relations</x:v>
      </x:c>
      <x:c r="C91" s="3" t="n">
        <x:v>0</x:v>
      </x:c>
      <x:c r="D91" s="3" t="str">
        <x:v>S_W</x:v>
      </x:c>
    </x:row>
    <x:row r="92" ht="90" customHeight="1">
      <x:c r="A92" s="6" t="str">
        <x:v>2018::jama.2018.18020::C005</x:v>
      </x:c>
      <x:c r="B92" s="6" t="str">
        <x:v>relations</x:v>
      </x:c>
      <x:c r="C92" s="6" t="n">
        <x:v>0</x:v>
      </x:c>
      <x:c r="D92" s="6" t="str">
        <x:v>S_W</x:v>
      </x:c>
    </x:row>
    <x:row r="93" ht="90" customHeight="1">
      <x:c r="A93" s="3" t="str">
        <x:v>2018::jama.2018.18020::C006</x:v>
      </x:c>
      <x:c r="B93" s="3" t="str">
        <x:v>relations</x:v>
      </x:c>
      <x:c r="C93" s="3" t="n">
        <x:v>0</x:v>
      </x:c>
      <x:c r="D93" s="3" t="str">
        <x:v>S_W</x:v>
      </x:c>
    </x:row>
    <x:row r="94" ht="90" customHeight="1">
      <x:c r="A94" s="6" t="str">
        <x:v>2018::jama.2018.18020::C007</x:v>
      </x:c>
      <x:c r="B94" s="6" t="str">
        <x:v>relations</x:v>
      </x:c>
      <x:c r="C94" s="6" t="n">
        <x:v>0</x:v>
      </x:c>
      <x:c r="D94" s="6" t="str">
        <x:v>S_W</x:v>
      </x:c>
    </x:row>
    <x:row r="95" ht="90" customHeight="1">
      <x:c r="A95" s="3" t="str">
        <x:v>2018::jama.2018.18020::C008</x:v>
      </x:c>
      <x:c r="B95" s="3" t="str">
        <x:v>relations</x:v>
      </x:c>
      <x:c r="C95" s="3" t="n">
        <x:v>0</x:v>
      </x:c>
      <x:c r="D95" s="3" t="str">
        <x:v>S_W</x:v>
      </x:c>
    </x:row>
    <x:row r="96" ht="90" customHeight="1">
      <x:c r="A96" s="6" t="str">
        <x:v>2018::jama.2018.18020::C009</x:v>
      </x:c>
      <x:c r="B96" s="6" t="str">
        <x:v>relations</x:v>
      </x:c>
      <x:c r="C96" s="6" t="n">
        <x:v>0</x:v>
      </x:c>
      <x:c r="D96" s="6" t="str">
        <x:v>S_W</x:v>
      </x:c>
    </x:row>
    <x:row r="97" ht="90" customHeight="1">
      <x:c r="A97" s="3" t="str">
        <x:v>2018::jama.2018.18020::C010</x:v>
      </x:c>
      <x:c r="B97" s="3" t="str">
        <x:v>relations</x:v>
      </x:c>
      <x:c r="C97" s="3" t="n">
        <x:v>0</x:v>
      </x:c>
      <x:c r="D97" s="3" t="str">
        <x:v>S_W</x:v>
      </x:c>
    </x:row>
    <x:row r="98" ht="90" customHeight="1">
      <x:c r="A98" s="6" t="str">
        <x:v>2018::jama.2018.18020::C011</x:v>
      </x:c>
      <x:c r="B98" s="6" t="str">
        <x:v>relations</x:v>
      </x:c>
      <x:c r="C98" s="6" t="n">
        <x:v>0</x:v>
      </x:c>
      <x:c r="D98" s="6" t="str">
        <x:v>S_W</x:v>
      </x:c>
    </x:row>
    <x:row r="99" ht="90" customHeight="1">
      <x:c r="A99" s="3" t="str">
        <x:v>2018::jama.2018.18020::C012</x:v>
      </x:c>
      <x:c r="B99" s="3" t="str">
        <x:v>relations</x:v>
      </x:c>
      <x:c r="C99" s="3" t="n">
        <x:v>0</x:v>
      </x:c>
      <x:c r="D99" s="3" t="str">
        <x:v>S_W</x:v>
      </x:c>
    </x:row>
    <x:row r="100" ht="90" customHeight="1">
      <x:c r="A100" s="6" t="str">
        <x:v>2018::jama.2018.18020::C013</x:v>
      </x:c>
      <x:c r="B100" s="6" t="str">
        <x:v>relations</x:v>
      </x:c>
      <x:c r="C100" s="6" t="n">
        <x:v>0</x:v>
      </x:c>
      <x:c r="D100" s="6" t="str">
        <x:v>S_W</x:v>
      </x:c>
    </x:row>
    <x:row r="101" ht="90" customHeight="1">
      <x:c r="A101" s="3" t="str">
        <x:v>2018::jama.2018.18020::C014</x:v>
      </x:c>
      <x:c r="B101" s="3" t="str">
        <x:v>relations</x:v>
      </x:c>
      <x:c r="C101" s="3" t="n">
        <x:v>0</x:v>
      </x:c>
      <x:c r="D101" s="3" t="str">
        <x:v>S_W</x:v>
      </x:c>
    </x:row>
    <x:row r="102" ht="90" customHeight="1">
      <x:c r="A102" s="6" t="str">
        <x:v>2018::jama.2018.6496::C001</x:v>
      </x:c>
      <x:c r="B102" s="6" t="str">
        <x:v>relations</x:v>
      </x:c>
      <x:c r="C102" s="6" t="n">
        <x:v>0</x:v>
      </x:c>
      <x:c r="D102" s="6" t="str">
        <x:v>S_W</x:v>
      </x:c>
    </x:row>
    <x:row r="103" ht="90" customHeight="1">
      <x:c r="A103" s="3" t="str">
        <x:v>2018::jama.2018.6496::C002</x:v>
      </x:c>
      <x:c r="B103" s="3" t="str">
        <x:v>relations</x:v>
      </x:c>
      <x:c r="C103" s="3" t="n">
        <x:v>0</x:v>
      </x:c>
      <x:c r="D103" s="3" t="str">
        <x:v>S_W</x:v>
      </x:c>
    </x:row>
    <x:row r="104" ht="90" customHeight="1">
      <x:c r="A104" s="6" t="str">
        <x:v>2018::jama.2018.6496::C003</x:v>
      </x:c>
      <x:c r="B104" s="6" t="str">
        <x:v>relations</x:v>
      </x:c>
      <x:c r="C104" s="6" t="n">
        <x:v>0</x:v>
      </x:c>
      <x:c r="D104" s="6" t="str">
        <x:v>P_R</x:v>
      </x:c>
    </x:row>
    <x:row r="105" ht="90" customHeight="1">
      <x:c r="A105" s="3" t="str">
        <x:v>2018::jama.2018.6496::C004</x:v>
      </x:c>
      <x:c r="B105" s="3" t="str">
        <x:v>relations</x:v>
      </x:c>
      <x:c r="C105" s="3" t="n">
        <x:v>0</x:v>
      </x:c>
      <x:c r="D105" s="3" t="str">
        <x:v>P_R</x:v>
      </x:c>
    </x:row>
    <x:row r="106" ht="90" customHeight="1">
      <x:c r="A106" s="6" t="str">
        <x:v>2018::jama.2018.8802::C001</x:v>
      </x:c>
      <x:c r="B106" s="6" t="str">
        <x:v>relations</x:v>
      </x:c>
      <x:c r="C106" s="6" t="n">
        <x:v>0</x:v>
      </x:c>
      <x:c r="D106" s="6" t="str">
        <x:v>S_W</x:v>
      </x:c>
    </x:row>
    <x:row r="107" ht="90" customHeight="1">
      <x:c r="A107" s="3" t="str">
        <x:v>2018::jama.2018.8802::C002</x:v>
      </x:c>
      <x:c r="B107" s="3" t="str">
        <x:v>relations</x:v>
      </x:c>
      <x:c r="C107" s="3" t="n">
        <x:v>0</x:v>
      </x:c>
      <x:c r="D107" s="3" t="str">
        <x:v>P_R</x:v>
      </x:c>
    </x:row>
    <x:row r="108" ht="90" customHeight="1">
      <x:c r="A108" s="6" t="str">
        <x:v>2018::jama.2018.8802::C002</x:v>
      </x:c>
      <x:c r="B108" s="6" t="str">
        <x:v>relations</x:v>
      </x:c>
      <x:c r="C108" s="6" t="n">
        <x:v>1</x:v>
      </x:c>
      <x:c r="D108" s="6" t="str">
        <x:v>S_C</x:v>
      </x:c>
    </x:row>
    <x:row r="109" ht="90" customHeight="1">
      <x:c r="A109" s="3" t="str">
        <x:v>2018::jama.2018.8802::C002</x:v>
      </x:c>
      <x:c r="B109" s="3" t="str">
        <x:v>relations</x:v>
      </x:c>
      <x:c r="C109" s="3" t="n">
        <x:v>2</x:v>
      </x:c>
      <x:c r="D109" s="3" t="str">
        <x:v>S_W</x:v>
      </x:c>
    </x:row>
    <x:row r="110" ht="90" customHeight="1">
      <x:c r="A110" s="6" t="str">
        <x:v>2018::jama.2018.8802::C003</x:v>
      </x:c>
      <x:c r="B110" s="6" t="str">
        <x:v>relations</x:v>
      </x:c>
      <x:c r="C110" s="6" t="n">
        <x:v>0</x:v>
      </x:c>
      <x:c r="D110" s="6" t="str">
        <x:v>S_W</x:v>
      </x:c>
    </x:row>
    <x:row r="111" ht="90" customHeight="1">
      <x:c r="A111" s="3" t="str">
        <x:v>2018::jama.2018.8802::C004</x:v>
      </x:c>
      <x:c r="B111" s="3" t="str">
        <x:v>relations</x:v>
      </x:c>
      <x:c r="C111" s="3" t="n">
        <x:v>0</x:v>
      </x:c>
      <x:c r="D111" s="3" t="str">
        <x:v>S_W</x:v>
      </x:c>
    </x:row>
    <x:row r="112" ht="90" customHeight="1">
      <x:c r="A112" s="6" t="str">
        <x:v>2018::jama.2018.8802::C005</x:v>
      </x:c>
      <x:c r="B112" s="6" t="str">
        <x:v>relations</x:v>
      </x:c>
      <x:c r="C112" s="6" t="n">
        <x:v>0</x:v>
      </x:c>
      <x:c r="D112" s="6" t="str">
        <x:v>S_W</x:v>
      </x:c>
    </x:row>
    <x:row r="113" ht="90" customHeight="1">
      <x:c r="A113" s="3" t="str">
        <x:v>2018::jama.2018.8802::C006</x:v>
      </x:c>
      <x:c r="B113" s="3" t="str">
        <x:v>relations</x:v>
      </x:c>
      <x:c r="C113" s="3" t="n">
        <x:v>0</x:v>
      </x:c>
      <x:c r="D113" s="3" t="str">
        <x:v>S_W</x:v>
      </x:c>
    </x:row>
    <x:row r="114" ht="90" customHeight="1">
      <x:c r="A114" s="6" t="str">
        <x:v>2018::jama.2018.8802::C007</x:v>
      </x:c>
      <x:c r="B114" s="6" t="str">
        <x:v>relations</x:v>
      </x:c>
      <x:c r="C114" s="6" t="n">
        <x:v>0</x:v>
      </x:c>
      <x:c r="D114" s="6" t="str">
        <x:v>S_C</x:v>
      </x:c>
    </x:row>
    <x:row r="115" ht="90" customHeight="1">
      <x:c r="A115" s="3" t="str">
        <x:v>2018::jama.2018.8802::C008</x:v>
      </x:c>
      <x:c r="B115" s="3" t="str">
        <x:v>relations</x:v>
      </x:c>
      <x:c r="C115" s="3" t="n">
        <x:v>0</x:v>
      </x:c>
      <x:c r="D115" s="3" t="str">
        <x:v>S_W</x:v>
      </x:c>
    </x:row>
    <x:row r="116" ht="90" customHeight="1">
      <x:c r="A116" s="6" t="str">
        <x:v>2018::jama.2018.9128::C001</x:v>
      </x:c>
      <x:c r="B116" s="6" t="str">
        <x:v>relations</x:v>
      </x:c>
      <x:c r="C116" s="6" t="n">
        <x:v>0</x:v>
      </x:c>
      <x:c r="D116" s="6" t="str">
        <x:v>S_C</x:v>
      </x:c>
    </x:row>
    <x:row r="117" ht="90" customHeight="1">
      <x:c r="A117" s="3" t="str">
        <x:v>2018::jama.2018.9128::C001</x:v>
      </x:c>
      <x:c r="B117" s="3" t="str">
        <x:v>relations</x:v>
      </x:c>
      <x:c r="C117" s="3" t="n">
        <x:v>1</x:v>
      </x:c>
      <x:c r="D117" s="3" t="str">
        <x:v>S_W</x:v>
      </x:c>
    </x:row>
    <x:row r="118" ht="90" customHeight="1">
      <x:c r="A118" s="6" t="str">
        <x:v>2018::jama.2018.9128::C002</x:v>
      </x:c>
      <x:c r="B118" s="6" t="str">
        <x:v>relations</x:v>
      </x:c>
      <x:c r="C118" s="6" t="n">
        <x:v>0</x:v>
      </x:c>
      <x:c r="D118" s="6" t="str">
        <x:v>S_C</x:v>
      </x:c>
    </x:row>
    <x:row r="119" ht="90" customHeight="1">
      <x:c r="A119" s="3" t="str">
        <x:v>2018::jama.2018.9128::C002</x:v>
      </x:c>
      <x:c r="B119" s="3" t="str">
        <x:v>relations</x:v>
      </x:c>
      <x:c r="C119" s="3" t="n">
        <x:v>1</x:v>
      </x:c>
      <x:c r="D119" s="3" t="str">
        <x:v>S_W</x:v>
      </x:c>
    </x:row>
    <x:row r="120" ht="90" customHeight="1">
      <x:c r="A120" s="6" t="str">
        <x:v>2018::jama.2018.9128::C003</x:v>
      </x:c>
      <x:c r="B120" s="6" t="str">
        <x:v>relations</x:v>
      </x:c>
      <x:c r="C120" s="6" t="n">
        <x:v>0</x:v>
      </x:c>
      <x:c r="D120" s="6" t="str">
        <x:v>S_C</x:v>
      </x:c>
    </x:row>
    <x:row r="121" ht="90" customHeight="1">
      <x:c r="A121" s="3" t="str">
        <x:v>2018::jama.2018.9128::C003</x:v>
      </x:c>
      <x:c r="B121" s="3" t="str">
        <x:v>relations</x:v>
      </x:c>
      <x:c r="C121" s="3" t="n">
        <x:v>1</x:v>
      </x:c>
      <x:c r="D121" s="3" t="str">
        <x:v>S_W</x:v>
      </x:c>
    </x:row>
    <x:row r="122" ht="90" customHeight="1">
      <x:c r="A122" s="6" t="str">
        <x:v>2018::jama.2018.9128::C004</x:v>
      </x:c>
      <x:c r="B122" s="6" t="str">
        <x:v>relations</x:v>
      </x:c>
      <x:c r="C122" s="6" t="n">
        <x:v>0</x:v>
      </x:c>
      <x:c r="D122" s="6" t="str">
        <x:v>S_C</x:v>
      </x:c>
    </x:row>
    <x:row r="123" ht="90" customHeight="1">
      <x:c r="A123" s="3" t="str">
        <x:v>2018::jama.2018.9128::C004</x:v>
      </x:c>
      <x:c r="B123" s="3" t="str">
        <x:v>relations</x:v>
      </x:c>
      <x:c r="C123" s="3" t="n">
        <x:v>1</x:v>
      </x:c>
      <x:c r="D123" s="3" t="str">
        <x:v>S_W</x:v>
      </x:c>
    </x:row>
    <x:row r="124" ht="90" customHeight="1">
      <x:c r="A124" s="6" t="str">
        <x:v>2018::jama.2018.9128::C005</x:v>
      </x:c>
      <x:c r="B124" s="6" t="str">
        <x:v>relations</x:v>
      </x:c>
      <x:c r="C124" s="6" t="n">
        <x:v>0</x:v>
      </x:c>
      <x:c r="D124" s="6" t="str">
        <x:v>S_C</x:v>
      </x:c>
    </x:row>
    <x:row r="125" ht="90" customHeight="1">
      <x:c r="A125" s="3" t="str">
        <x:v>2018::jama.2018.9128::C005</x:v>
      </x:c>
      <x:c r="B125" s="3" t="str">
        <x:v>relations</x:v>
      </x:c>
      <x:c r="C125" s="3" t="n">
        <x:v>1</x:v>
      </x:c>
      <x:c r="D125" s="3" t="str">
        <x:v>S_W</x:v>
      </x:c>
    </x:row>
    <x:row r="126" ht="90" customHeight="1">
      <x:c r="A126" s="6" t="str">
        <x:v>2018::jama.2018.9128::C006</x:v>
      </x:c>
      <x:c r="B126" s="6" t="str">
        <x:v>relations</x:v>
      </x:c>
      <x:c r="C126" s="6" t="n">
        <x:v>0</x:v>
      </x:c>
      <x:c r="D126" s="6" t="str">
        <x:v>S_C</x:v>
      </x:c>
    </x:row>
    <x:row r="127" ht="90" customHeight="1">
      <x:c r="A127" s="3" t="str">
        <x:v>2018::jama.2018.9128::C006</x:v>
      </x:c>
      <x:c r="B127" s="3" t="str">
        <x:v>relations</x:v>
      </x:c>
      <x:c r="C127" s="3" t="n">
        <x:v>1</x:v>
      </x:c>
      <x:c r="D127" s="3" t="str">
        <x:v>S_W</x:v>
      </x:c>
    </x:row>
    <x:row r="128" ht="90" customHeight="1">
      <x:c r="A128" s="6" t="str">
        <x:v>2018::jama.2018.9128::C007</x:v>
      </x:c>
      <x:c r="B128" s="6" t="str">
        <x:v>relations</x:v>
      </x:c>
      <x:c r="C128" s="6" t="n">
        <x:v>0</x:v>
      </x:c>
      <x:c r="D128" s="6" t="str">
        <x:v>S_C</x:v>
      </x:c>
    </x:row>
    <x:row r="129" ht="90" customHeight="1">
      <x:c r="A129" s="3" t="str">
        <x:v>2018::jama.2018.9128::C007</x:v>
      </x:c>
      <x:c r="B129" s="3" t="str">
        <x:v>relations</x:v>
      </x:c>
      <x:c r="C129" s="3" t="n">
        <x:v>1</x:v>
      </x:c>
      <x:c r="D129" s="3" t="str">
        <x:v>S_W</x:v>
      </x:c>
    </x:row>
    <x:row r="130" ht="90" customHeight="1">
      <x:c r="A130" s="6" t="str">
        <x:v>2018::jama.2018.9128::C008</x:v>
      </x:c>
      <x:c r="B130" s="6" t="str">
        <x:v>relations</x:v>
      </x:c>
      <x:c r="C130" s="6" t="n">
        <x:v>0</x:v>
      </x:c>
      <x:c r="D130" s="6" t="str">
        <x:v>S_C</x:v>
      </x:c>
    </x:row>
    <x:row r="131" ht="90" customHeight="1">
      <x:c r="A131" s="3" t="str">
        <x:v>2018::jama.2018.9128::C008</x:v>
      </x:c>
      <x:c r="B131" s="3" t="str">
        <x:v>relations</x:v>
      </x:c>
      <x:c r="C131" s="3" t="n">
        <x:v>1</x:v>
      </x:c>
      <x:c r="D131" s="3" t="str">
        <x:v>S_W</x:v>
      </x:c>
    </x:row>
    <x:row r="132" ht="90" customHeight="1">
      <x:c r="A132" s="6" t="str">
        <x:v>2018::jama.2018.9128::C009</x:v>
      </x:c>
      <x:c r="B132" s="6" t="str">
        <x:v>relations</x:v>
      </x:c>
      <x:c r="C132" s="6" t="n">
        <x:v>0</x:v>
      </x:c>
      <x:c r="D132" s="6" t="str">
        <x:v>P_P</x:v>
      </x:c>
    </x:row>
    <x:row r="133" ht="90" customHeight="1">
      <x:c r="A133" s="3" t="str">
        <x:v>2018::jama.2018.9128::C010</x:v>
      </x:c>
      <x:c r="B133" s="3" t="str">
        <x:v>relations</x:v>
      </x:c>
      <x:c r="C133" s="3" t="n">
        <x:v>0</x:v>
      </x:c>
      <x:c r="D133" s="3" t="str">
        <x:v>P_P</x:v>
      </x:c>
    </x:row>
    <x:row r="134" ht="90" customHeight="1">
      <x:c r="A134" s="6" t="str">
        <x:v>2018::jama.2018.9128::C011</x:v>
      </x:c>
      <x:c r="B134" s="6" t="str">
        <x:v>relations</x:v>
      </x:c>
      <x:c r="C134" s="6" t="n">
        <x:v>0</x:v>
      </x:c>
      <x:c r="D134" s="6" t="str">
        <x:v>P_R</x:v>
      </x:c>
    </x:row>
    <x:row r="135" ht="90" customHeight="1">
      <x:c r="A135" s="3" t="str">
        <x:v>2018::jama.2018.9128::C011</x:v>
      </x:c>
      <x:c r="B135" s="3" t="str">
        <x:v>relations</x:v>
      </x:c>
      <x:c r="C135" s="3" t="n">
        <x:v>1</x:v>
      </x:c>
      <x:c r="D135" s="3" t="str">
        <x:v>P_P</x:v>
      </x:c>
    </x:row>
    <x:row r="136" ht="90" customHeight="1">
      <x:c r="A136" s="6" t="str">
        <x:v>2018::jama.2018.9128::C012</x:v>
      </x:c>
      <x:c r="B136" s="6" t="str">
        <x:v>relations</x:v>
      </x:c>
      <x:c r="C136" s="6" t="n">
        <x:v>0</x:v>
      </x:c>
      <x:c r="D136" s="6" t="str">
        <x:v>P_R</x:v>
      </x:c>
    </x:row>
    <x:row r="137" ht="90" customHeight="1">
      <x:c r="A137" s="3" t="str">
        <x:v>2018::jama.2018.9128::C012</x:v>
      </x:c>
      <x:c r="B137" s="3" t="str">
        <x:v>relations</x:v>
      </x:c>
      <x:c r="C137" s="3" t="n">
        <x:v>1</x:v>
      </x:c>
      <x:c r="D137" s="3" t="str">
        <x:v>P_P</x:v>
      </x:c>
    </x:row>
    <x:row r="138" ht="90" customHeight="1">
      <x:c r="A138" s="6" t="str">
        <x:v>2018::jama.2018.9128::C013</x:v>
      </x:c>
      <x:c r="B138" s="6" t="str">
        <x:v>relations</x:v>
      </x:c>
      <x:c r="C138" s="6" t="n">
        <x:v>0</x:v>
      </x:c>
      <x:c r="D138" s="6" t="str">
        <x:v>S_C</x:v>
      </x:c>
    </x:row>
    <x:row r="139" ht="90" customHeight="1">
      <x:c r="A139" s="3" t="str">
        <x:v>2018::jama.2018.9128::C013</x:v>
      </x:c>
      <x:c r="B139" s="3" t="str">
        <x:v>relations</x:v>
      </x:c>
      <x:c r="C139" s="3" t="n">
        <x:v>1</x:v>
      </x:c>
      <x:c r="D139" s="3" t="str">
        <x:v>S_W</x:v>
      </x:c>
    </x:row>
  </x:sheetData>
  <x:pageMargins left="0.7" right="0.7" top="0.75" bottom="0.75" header="0.3" footer="0.3"/>
</x:worksheet>
</file>

<file path=xl/worksheets/sheet23.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4" hidden="0" customWidth="1"/>
    <x:col min="2" max="2" width="28" hidden="0" customWidth="1"/>
    <x:col min="3" max="3" width="38" hidden="0" customWidth="1"/>
    <x:col min="4" max="4" width="92" hidden="0" customWidth="1"/>
    <x:col min="5" max="5" width="26" hidden="0" customWidth="1"/>
  </x:cols>
  <x:sheetData>
    <x:row r="1" ht="42" customHeight="1">
      <x:c r="A1" s="5" t="str">
        <x:v>Field name</x:v>
      </x:c>
      <x:c r="B1" s="5" t="str">
        <x:v>Option / value</x:v>
      </x:c>
      <x:c r="C1" s="5" t="str">
        <x:v>Requirement / scope</x:v>
      </x:c>
      <x:c r="D1" s="5" t="str">
        <x:v>Explanation and example</x:v>
      </x:c>
      <x:c r="E1" s="5" t="str">
        <x:v>Internal key</x:v>
      </x:c>
    </x:row>
    <x:row r="2" ht="86" customHeight="1">
      <x:c r="A2" s="6" t="str">
        <x:v>Working method</x:v>
      </x:c>
      <x:c r="B2" s="6" t="str">
        <x:v>GUIDE</x:v>
      </x:c>
      <x:c r="C2" s="6" t="str">
        <x:v>Both stages</x:v>
      </x:c>
      <x:c r="D2" s="6" t="str">
        <x:v>No inherited blanks or control words. Keep the existing answers; edit directly. Blank = no answer; indeterminate/unknown = uncertain; not_applicable = inactive. Clear obsolete answers after changing a branch.</x:v>
      </x:c>
      <x:c r="E2" s="6" t="str"/>
    </x:row>
    <x:row r="3" ht="86" customHeight="1">
      <x:c r="A3" s="3" t="str">
        <x:v>Required judgments</x:v>
      </x:c>
      <x:c r="B3" s="3" t="str">
        <x:v>GUIDE</x:v>
      </x:c>
      <x:c r="C3" s="3" t="str">
        <x:v>Retain only</x:v>
      </x:c>
      <x:c r="D3" s="3" t="str">
        <x:v>statistical_results: issue + substantiveness; report_internal_inconsistency or plan_material: internalStatus. protocol_report: no extra required judgment; interpretation is optional.</x:v>
      </x:c>
      <x:c r="E3" s="3" t="str"/>
    </x:row>
    <x:row r="4" ht="86" customHeight="1">
      <x:c r="A4" s="6" t="str">
        <x:v>How to read this Codebook</x:v>
      </x:c>
      <x:c r="B4" s="6"/>
      <x:c r="C4" s="6"/>
      <x:c r="D4" s="6"/>
      <x:c r="E4" s="6"/>
    </x:row>
    <x:row r="5" ht="86" customHeight="1">
      <x:c r="A5" s="3" t="str">
        <x:v>1  |  Common decisions and optional notes</x:v>
      </x:c>
      <x:c r="B5" s="3"/>
      <x:c r="C5" s="3"/>
      <x:c r="D5" s="3"/>
      <x:c r="E5" s="3"/>
    </x:row>
    <x:row r="6" ht="86" customHeight="1">
      <x:c r="A6" s="6" t="str">
        <x:v>Disposition</x:v>
      </x:c>
      <x:c r="B6" s="6" t="str">
        <x:v>FIELD</x:v>
      </x:c>
      <x:c r="C6" s="6" t="str">
        <x:v>Required; all domains</x:v>
      </x:c>
      <x:c r="D6" s="6" t="str">
        <x:v>Keep, exclude, or defer for discussion. Blank means untouched, not discuss. No AI disposition is preselected. Checker edits the existing answer directly.</x:v>
      </x:c>
      <x:c r="E6" s="6" t="str">
        <x:v>disposition</x:v>
      </x:c>
    </x:row>
    <x:row r="7" ht="86" customHeight="1">
      <x:c r="A7" s="3"/>
      <x:c r="B7" s="3" t="str">
        <x:v>retain</x:v>
      </x:c>
      <x:c r="C7" s="3" t="str">
        <x:v>Option</x:v>
      </x:c>
      <x:c r="D7" s="3" t="str">
        <x:v>Retain candidate. After human review, keep this finding in the applicable review results; retaining a protocol discrepancy does not automatically confirm an issue.</x:v>
      </x:c>
      <x:c r="E7" s="3"/>
    </x:row>
    <x:row r="8" ht="86" customHeight="1">
      <x:c r="A8" s="6"/>
      <x:c r="B8" s="6" t="str">
        <x:v>exclude</x:v>
      </x:c>
      <x:c r="C8" s="6" t="str">
        <x:v>Option</x:v>
      </x:c>
      <x:c r="D8" s="6" t="str">
        <x:v>Do not retain. The candidate has been assessed and should not remain as a finding, for example because the apparent mismatch has a satisfactory explanation.</x:v>
      </x:c>
      <x:c r="E8" s="6"/>
    </x:row>
    <x:row r="9" ht="86" customHeight="1">
      <x:c r="A9" s="3"/>
      <x:c r="B9" s="3" t="str">
        <x:v>discuss</x:v>
      </x:c>
      <x:c r="C9" s="3" t="str">
        <x:v>Option</x:v>
      </x:c>
      <x:c r="D9" s="3" t="str">
        <x:v>Needs discussion. The reviewer has considered the candidate but cannot settle the disposition without further discussion. This is a decision to defer, not an untouched blank.</x:v>
      </x:c>
      <x:c r="E9" s="3"/>
    </x:row>
    <x:row r="10" ht="86" customHeight="1">
      <x:c r="A10" s="6" t="str">
        <x:v>Review domain</x:v>
      </x:c>
      <x:c r="B10" s="6" t="str">
        <x:v>FIELD</x:v>
      </x:c>
      <x:c r="C10" s="6" t="str">
        <x:v>Required; all domains</x:v>
      </x:c>
      <x:c r="D10" s="6" t="str">
        <x:v>Choose the assessment branch first. It controls automatic not_applicable defaults and which judgments are required. All four choices are available; the frozen document relationship code does not change.</x:v>
      </x:c>
      <x:c r="E10" s="6" t="str">
        <x:v>domain</x:v>
      </x:c>
    </x:row>
    <x:row r="11" ht="86" customHeight="1">
      <x:c r="A11" s="3"/>
      <x:c r="B11" s="3" t="str">
        <x:v>statistical_results</x:v>
      </x:c>
      <x:c r="C11" s="3" t="str">
        <x:v>Option</x:v>
      </x:c>
      <x:c r="D11" s="3" t="str">
        <x:v>Statistical results (S_C / S_W). Assess reported numbers, estimates, intervals, denominators or statistical claims in the current report materials.</x:v>
      </x:c>
      <x:c r="E11" s="3"/>
    </x:row>
    <x:row r="12" ht="86" customHeight="1">
      <x:c r="A12" s="6"/>
      <x:c r="B12" s="6" t="str">
        <x:v>report_internal_inconsistency</x:v>
      </x:c>
      <x:c r="C12" s="6" t="str">
        <x:v>Option</x:v>
      </x:c>
      <x:c r="D12" s="6" t="str">
        <x:v>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x:v>
      </x:c>
      <x:c r="E12" s="6"/>
    </x:row>
    <x:row r="13" ht="86" customHeight="1">
      <x:c r="A13" s="3"/>
      <x:c r="B13" s="3" t="str">
        <x:v>protocol_report</x:v>
      </x:c>
      <x:c r="C13" s="3" t="str">
        <x:v>Option</x:v>
      </x:c>
      <x:c r="D13" s="3" t="str">
        <x:v>Protocol-report (P_R). Assess whether planned and reported conduct or analyses meaningfully differ, using the compared materials. No search for acknowledgment or reasons for changes is required.</x:v>
      </x:c>
      <x:c r="E13" s="3"/>
    </x:row>
    <x:row r="14" ht="86" customHeight="1">
      <x:c r="A14" s="6"/>
      <x:c r="B14" s="6" t="str">
        <x:v>plan_material</x:v>
      </x:c>
      <x:c r="C14" s="6" t="str">
        <x:v>Option</x:v>
      </x:c>
      <x:c r="D14" s="6" t="str">
        <x:v>Plan material (P_P). Assess an inconsistency involving planning materials themselves rather than a planned-versus-reported result. The original relationship code remains unchanged.</x:v>
      </x:c>
      <x:c r="E14" s="6"/>
    </x:row>
    <x:row r="15" ht="86" customHeight="1">
      <x:c r="A15" s="3" t="str">
        <x:v>Complete</x:v>
      </x:c>
      <x:c r="B15" s="3" t="str">
        <x:v>FIELD</x:v>
      </x:c>
      <x:c r="C15" s="3" t="str">
        <x:v>Required; each stage</x:v>
      </x:c>
      <x:c r="D15" s="3" t="str">
        <x:v>Use no while drafting, primary_done after primary review, checker_done after checking. Reset to no after editing a completed row; then review again. Initial completion never implies checker completion.</x:v>
      </x:c>
      <x:c r="E15" s="3" t="str">
        <x:v>reviewComplete</x:v>
      </x:c>
    </x:row>
    <x:row r="16" ht="86" customHeight="1">
      <x:c r="A16" s="6"/>
      <x:c r="B16" s="6" t="str">
        <x:v>no</x:v>
      </x:c>
      <x:c r="C16" s="6" t="str">
        <x:v>Option</x:v>
      </x:c>
      <x:c r="D16" s="6" t="str">
        <x:v>Draft. This review stage is not yet confirmed complete; AI suggestions or partially filled fields do not count as completed human review.</x:v>
      </x:c>
      <x:c r="E16" s="6"/>
    </x:row>
    <x:row r="17" ht="86" customHeight="1">
      <x:c r="A17" s="3" t="str">
        <x:v>Validation hint</x:v>
      </x:c>
      <x:c r="B17" s="3" t="str">
        <x:v>FIELD</x:v>
      </x:c>
      <x:c r="C17" s="3" t="str">
        <x:v>Calculated</x:v>
      </x:c>
      <x:c r="D17" s="3" t="str">
        <x:v>Calculated entry checks for the current stage. PRIMARY READY allows handoff; FINAL READY allows final delivery. Other messages identify missing inputs or unresolved discussion. Checks does not establish scientific accuracy or prevent edits to source/formula cells.</x:v>
      </x:c>
      <x:c r="E17" s="3" t="str">
        <x:v>readiness</x:v>
      </x:c>
    </x:row>
    <x:row r="18" ht="86" customHeight="1">
      <x:c r="A18" s="6" t="str">
        <x:v>Notes (optional)</x:v>
      </x:c>
      <x:c r="B18" s="6" t="str">
        <x:v>FIELD</x:v>
      </x:c>
      <x:c r="C18" s="6" t="str">
        <x:v>Optional</x:v>
      </x:c>
      <x:c r="D18" s="6" t="str">
        <x:v>Optional English context. Clearing removes the text; no inheritance and no control words.</x:v>
      </x:c>
      <x:c r="E18" s="6" t="str">
        <x:v>notes</x:v>
      </x:c>
    </x:row>
    <x:row r="19" ht="86" customHeight="1">
      <x:c r="A19" s="3" t="str">
        <x:v>2  |  Statistical results: two required judgments</x:v>
      </x:c>
      <x:c r="B19" s="3"/>
      <x:c r="C19" s="3"/>
      <x:c r="D19" s="3"/>
      <x:c r="E19" s="3"/>
    </x:row>
    <x:row r="20" ht="86" customHeight="1">
      <x:c r="A20" s="6" t="str">
        <x:v>Statistcal_or_numerical issue</x:v>
      </x:c>
      <x:c r="B20" s="6" t="str">
        <x:v>FIELD</x:v>
      </x:c>
      <x:c r="C20" s="6" t="str">
        <x:v>Required; retained statistical_results</x:v>
      </x:c>
      <x:c r="D20" s="6" t="str">
        <x:v>Does a statistical or numerical reporting issue exist? Example: a reported percentage conflicts with its stated numerator and denominator after checking definitions. Certainty is separate from importance.</x:v>
      </x:c>
      <x:c r="E20" s="6" t="str">
        <x:v>statisticalIssueStatus</x:v>
      </x:c>
    </x:row>
    <x:row r="21" ht="86" customHeight="1">
      <x:c r="A21" s="3"/>
      <x:c r="B21" s="3" t="str">
        <x:v>confirmed_issue</x:v>
      </x:c>
      <x:c r="C21" s="3" t="str">
        <x:v>Option</x:v>
      </x:c>
      <x:c r="D21" s="3" t="str">
        <x:v>Confirmed statistical or numerical reporting issue. The available evidence establishes a reporting issue or contradiction, even if the correct replacement value is not known.</x:v>
      </x:c>
      <x:c r="E21" s="3"/>
    </x:row>
    <x:row r="22" ht="86" customHeight="1">
      <x:c r="A22" s="6"/>
      <x:c r="B22" s="6" t="str">
        <x:v>probable_issue</x:v>
      </x:c>
      <x:c r="C22" s="6" t="str">
        <x:v>Option</x:v>
      </x:c>
      <x:c r="D22" s="6" t="str">
        <x:v>Probable statistical or numerical reporting issue. The evidence favors a reporting issue, but an unresolved limitation or plausible alternative prevents confirmation.</x:v>
      </x:c>
      <x:c r="E22" s="6"/>
    </x:row>
    <x:row r="23" ht="86" customHeight="1">
      <x:c r="A23" s="3"/>
      <x:c r="B23" s="3" t="str">
        <x:v>not_issue</x:v>
      </x:c>
      <x:c r="C23" s="3" t="str">
        <x:v>Option</x:v>
      </x:c>
      <x:c r="D23" s="3" t="str">
        <x:v>Not a statistical or numerical issue. The apparent discrepancy is consistent with a valid calculation, definition, analysis method or reporting context.</x:v>
      </x:c>
      <x:c r="E23" s="3"/>
    </x:row>
    <x:row r="24" ht="86" customHeight="1">
      <x:c r="A24" s="6"/>
      <x:c r="B24" s="6" t="str">
        <x:v>indeterminate</x:v>
      </x:c>
      <x:c r="C24" s="6" t="str">
        <x:v>Option</x:v>
      </x:c>
      <x:c r="D24" s="6" t="str">
        <x:v>Indeterminate. The available evidence does not support deciding whether a statistical or numerical reporting issue exists; neither confirmation nor dismissal is justified.</x:v>
      </x:c>
      <x:c r="E24" s="6"/>
    </x:row>
    <x:row r="25" ht="86" customHeight="1">
      <x:c r="A25" s="3"/>
      <x:c r="B25" s="3" t="str">
        <x:v>not_applicable</x:v>
      </x:c>
      <x:c r="C25" s="3" t="str">
        <x:v>Option</x:v>
      </x:c>
      <x:c r="D25" s="3" t="str">
        <x:v>Automatic default outside this field's review domain or for a non-retained candidate. It is not an issue verdict, missing evidence, or an unanswered applicable question. Do not choose it for an applicable field.</x:v>
      </x:c>
      <x:c r="E25" s="3"/>
    </x:row>
    <x:row r="26" ht="86" customHeight="1">
      <x:c r="A26" s="6" t="str">
        <x:v>Substantiveness</x:v>
      </x:c>
      <x:c r="B26" s="6" t="str">
        <x:v>FIELD</x:v>
      </x:c>
      <x:c r="C26" s="6" t="str">
        <x:v>Required; retained statistical_results</x:v>
      </x:c>
      <x:c r="D26" s="6" t="str">
        <x:v>Could the issue meaningfully affect interpretation or data use? A harmless spacing typo is minor_presentation; an ambiguous extractable effect estimate may be substantive. An issue can be confirmed yet minor.</x:v>
      </x:c>
      <x:c r="E26" s="6" t="str">
        <x:v>substantiveStatus</x:v>
      </x:c>
    </x:row>
    <x:row r="27" ht="86" customHeight="1">
      <x:c r="A27" s="3"/>
      <x:c r="B27" s="3" t="str">
        <x:v>substantive</x:v>
      </x:c>
      <x:c r="C27" s="3" t="str">
        <x:v>Option</x:v>
      </x:c>
      <x:c r="D27" s="3" t="str">
        <x:v>Substantive. The issue could meaningfully change interpretation, data extraction or downstream analysis, rather than only the presentation of the result.</x:v>
      </x:c>
      <x:c r="E27" s="3"/>
    </x:row>
    <x:row r="28" ht="86" customHeight="1">
      <x:c r="A28" s="6"/>
      <x:c r="B28" s="6" t="str">
        <x:v>minor_presentation</x:v>
      </x:c>
      <x:c r="C28" s="6" t="str">
        <x:v>Option</x:v>
      </x:c>
      <x:c r="D28" s="6" t="str">
        <x:v>Minor or presentation only. The intended result remains clear and the issue is a small formatting, labeling or typographic problem without a meaningful change in interpretation.</x:v>
      </x:c>
      <x:c r="E28" s="6"/>
    </x:row>
    <x:row r="29" ht="86" customHeight="1">
      <x:c r="A29" s="3"/>
      <x:c r="B29" s="3" t="str">
        <x:v>indeterminate</x:v>
      </x:c>
      <x:c r="C29" s="3" t="str">
        <x:v>Option</x:v>
      </x:c>
      <x:c r="D29" s="3" t="str">
        <x:v>Indeterminate. There is not enough information to decide whether the issue is substantive or limited to presentation.</x:v>
      </x:c>
      <x:c r="E29" s="3"/>
    </x:row>
    <x:row r="30" ht="86" customHeight="1">
      <x:c r="A30" s="6"/>
      <x:c r="B30" s="6" t="str">
        <x:v>not_applicable</x:v>
      </x:c>
      <x:c r="C30" s="6" t="str">
        <x:v>Option</x:v>
      </x:c>
      <x:c r="D30" s="6" t="str">
        <x:v>Automatic default outside this field's review domain or for a non-retained candidate. It is not an issue verdict, missing evidence, or an unanswered applicable question. Do not choose it for an applicable field.</x:v>
      </x:c>
      <x:c r="E30" s="6"/>
    </x:row>
    <x:row r="31" ht="86" customHeight="1">
      <x:c r="A31" s="3" t="str">
        <x:v>Downstream impact</x:v>
      </x:c>
      <x:c r="B31" s="3" t="str">
        <x:v>FIELD</x:v>
      </x:c>
      <x:c r="C31" s="3" t="str">
        <x:v>Optional; retained statistical_results</x:v>
      </x:c>
      <x:c r="D31" s="3" t="str">
        <x:v>Add only useful information about later extraction or analysis. direct means the affected value itself may be extracted, not that harm has occurred. Blank is allowed and means not assessed; it is not unlikely or not_applicable. This field does not determine temporal eligibility.</x:v>
      </x:c>
      <x:c r="E31" s="3" t="str">
        <x:v>downstreamImpact</x:v>
      </x:c>
    </x:row>
    <x:row r="32" ht="86" customHeight="1">
      <x:c r="A32" s="6"/>
      <x:c r="B32" s="6" t="str">
        <x:v>direct</x:v>
      </x:c>
      <x:c r="C32" s="6" t="str">
        <x:v>Option</x:v>
      </x:c>
      <x:c r="D32" s="6" t="str">
        <x:v>Direct extraction or analysis impact. The affected value or definition is itself an input to data extraction or subsequent analysis; this describes potential impact, not proven downstream harm.</x:v>
      </x:c>
      <x:c r="E32" s="6"/>
    </x:row>
    <x:row r="33" ht="86" customHeight="1">
      <x:c r="A33" s="3"/>
      <x:c r="B33" s="3" t="str">
        <x:v>possible</x:v>
      </x:c>
      <x:c r="C33" s="3" t="str">
        <x:v>Option</x:v>
      </x:c>
      <x:c r="D33" s="3" t="str">
        <x:v>Possible downstream impact. A plausible route to affecting later interpretation, extraction or analysis exists, but the connection is indirect or uncertain.</x:v>
      </x:c>
      <x:c r="E33" s="3"/>
    </x:row>
    <x:row r="34" ht="86" customHeight="1">
      <x:c r="A34" s="6"/>
      <x:c r="B34" s="6" t="str">
        <x:v>unlikely</x:v>
      </x:c>
      <x:c r="C34" s="6" t="str">
        <x:v>Option</x:v>
      </x:c>
      <x:c r="D34" s="6" t="str">
        <x:v>Unlikely downstream impact. The issue is unlikely to change extracted information or later analysis because the relevant result remains clear and usable.</x:v>
      </x:c>
      <x:c r="E34" s="6"/>
    </x:row>
    <x:row r="35" ht="86" customHeight="1">
      <x:c r="A35" s="3"/>
      <x:c r="B35" s="3" t="str">
        <x:v>unknown</x:v>
      </x:c>
      <x:c r="C35" s="3" t="str">
        <x:v>Option</x:v>
      </x:c>
      <x:c r="D35" s="3" t="str">
        <x:v>Unable to assess. The materials do not establish enough about the affected information or its likely use to judge downstream impact.</x:v>
      </x:c>
      <x:c r="E35" s="3"/>
    </x:row>
    <x:row r="36" ht="86" customHeight="1">
      <x:c r="A36" s="6"/>
      <x:c r="B36" s="6" t="str">
        <x:v>not_applicable</x:v>
      </x:c>
      <x:c r="C36" s="6" t="str">
        <x:v>Option</x:v>
      </x:c>
      <x:c r="D36" s="6" t="str">
        <x:v>Automatic default outside this field's review domain or for a non-retained candidate. It is not an issue verdict, missing evidence, or an unanswered applicable question. Do not choose it for an applicable field.</x:v>
      </x:c>
      <x:c r="E36" s="6"/>
    </x:row>
    <x:row r="37" ht="86" customHeight="1">
      <x:c r="A37" s="3" t="str">
        <x:v>3  |  Report internal or planning-material inconsistency</x:v>
      </x:c>
      <x:c r="B37" s="3"/>
      <x:c r="C37" s="3"/>
      <x:c r="D37" s="3"/>
      <x:c r="E37" s="3"/>
    </x:row>
    <x:row r="38" ht="86" customHeight="1">
      <x:c r="A38" s="6" t="str">
        <x:v>Report-internal or planning-material inconsistency</x:v>
      </x:c>
      <x:c r="B38" s="6" t="str">
        <x:v>FIELD</x:v>
      </x:c>
      <x:c r="C38" s="6" t="str">
        <x:v>Required; retained report_internal_inconsistency or plan_material</x:v>
      </x:c>
      <x:c r="D38" s="6" t="str">
        <x:v>Judge whether the compared materials are inconsistent and how much that matters. For report_internal_inconsistency, compare content within the main paper, within the updated supplement, or between those two report materials. For plan_material, compare planning materials such as protocol versus protocol or SAP. Plan versus final report belongs to protocol_report. Use statistical_results when specifically judging a statistical or numerical reporting issue.</x:v>
      </x:c>
      <x:c r="E38" s="6" t="str">
        <x:v>internalStatus</x:v>
      </x:c>
    </x:row>
    <x:row r="39" ht="86" customHeight="1">
      <x:c r="A39" s="3"/>
      <x:c r="B39" s="3" t="str">
        <x:v>substantive_inconsistency</x:v>
      </x:c>
      <x:c r="C39" s="3" t="str">
        <x:v>Option</x:v>
      </x:c>
      <x:c r="D39" s="3" t="str">
        <x:v>Substantive inconsistency. Conflicting statements, values, labels, or descriptions in the compared report or planning materials could materially change how the study, population, procedures or results are understood.</x:v>
      </x:c>
      <x:c r="E39" s="3"/>
    </x:row>
    <x:row r="40" ht="86" customHeight="1">
      <x:c r="A40" s="6"/>
      <x:c r="B40" s="6" t="str">
        <x:v>minor_presentation</x:v>
      </x:c>
      <x:c r="C40" s="6" t="str">
        <x:v>Option</x:v>
      </x:c>
      <x:c r="D40" s="6" t="str">
        <x:v>Minor presentation inconsistency. A real discrepancy exists, but it mainly affects presentation, including minor wording or labeling problems, and the intended meaning remains clear. Example: an imprecise label whose intended meaning is clear from context.</x:v>
      </x:c>
      <x:c r="E40" s="6"/>
    </x:row>
    <x:row r="41" ht="86" customHeight="1">
      <x:c r="A41" s="3"/>
      <x:c r="B41" s="3" t="str">
        <x:v>non_inconsistency</x:v>
      </x:c>
      <x:c r="C41" s="3" t="str">
        <x:v>Option</x:v>
      </x:c>
      <x:c r="D41" s="3" t="str">
        <x:v>Not an inconsistency. The statements are compatible once their definitions, populations, time points or other context are taken into account. This includes different wording with the same substantive meaning. Example: participants and study participants refer to the same group.</x:v>
      </x:c>
      <x:c r="E41" s="3"/>
    </x:row>
    <x:row r="42" ht="86" customHeight="1">
      <x:c r="A42" s="6"/>
      <x:c r="B42" s="6" t="str">
        <x:v>indeterminate</x:v>
      </x:c>
      <x:c r="C42" s="6" t="str">
        <x:v>Option</x:v>
      </x:c>
      <x:c r="D42" s="6" t="str">
        <x:v>Indeterminate. The available material is insufficient to establish whether the statements conflict or how important any conflict is.</x:v>
      </x:c>
      <x:c r="E42" s="6"/>
    </x:row>
    <x:row r="43" ht="86" customHeight="1">
      <x:c r="A43" s="3"/>
      <x:c r="B43" s="3" t="str">
        <x:v>not_applicable</x:v>
      </x:c>
      <x:c r="C43" s="3" t="str">
        <x:v>Option</x:v>
      </x:c>
      <x:c r="D43" s="3" t="str">
        <x:v>Automatic default outside this field's review domain or for a non-retained candidate. It is not an issue verdict, missing evidence, or an unanswered applicable question. Do not choose it for an applicable field.</x:v>
      </x:c>
      <x:c r="E43" s="3"/>
    </x:row>
    <x:row r="44" ht="86" customHeight="1">
      <x:c r="A44" s="6" t="str">
        <x:v>4  |  Protocol versus report: optional description only</x:v>
      </x:c>
      <x:c r="B44" s="6"/>
      <x:c r="C44" s="6"/>
      <x:c r="D44" s="6"/>
      <x:c r="E44" s="6"/>
    </x:row>
    <x:row r="45" ht="86" customHeight="1">
      <x:c r="A45" s="3" t="str">
        <x:v>Protocol interpretation</x:v>
      </x:c>
      <x:c r="B45" s="3" t="str">
        <x:v>FIELD</x:v>
      </x:c>
      <x:c r="C45" s="3" t="str">
        <x:v>Optional; retained protocol_report</x:v>
      </x:c>
      <x:c r="D45" s="3" t="str">
        <x:v>Describe the compared plan and report only when useful: meaningful difference, minor presentation issue, version/timing ambiguity, no inconsistency, or indeterminate. Use minor_presentation for a small wording problem and non_inconsistency for equivalent wording with no actual conflict. Use the available comparison evidence; no additional search for change records or reasons is required. Blank is allowed and never blocks completion. Retained protocol differences are descriptive and excluded from temporal analysis.</x:v>
      </x:c>
      <x:c r="E45" s="3" t="str">
        <x:v>protocolInterpretation</x:v>
      </x:c>
    </x:row>
    <x:row r="46" ht="86" customHeight="1">
      <x:c r="A46" s="6"/>
      <x:c r="B46" s="6" t="str">
        <x:v>substantive_difference</x:v>
      </x:c>
      <x:c r="C46" s="6" t="str">
        <x:v>Option</x:v>
      </x:c>
      <x:c r="D46" s="6" t="str">
        <x:v>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x:v>
      </x:c>
      <x:c r="E46" s="6"/>
    </x:row>
    <x:row r="47" ht="86" customHeight="1">
      <x:c r="A47" s="3"/>
      <x:c r="B47" s="3" t="str">
        <x:v>minor_presentation</x:v>
      </x:c>
      <x:c r="C47" s="3" t="str">
        <x:v>Option</x:v>
      </x:c>
      <x:c r="D47" s="3" t="str">
        <x:v>Minor presentation difference. A minor wording, labeling or presentation problem exists, but the intended planned and reported meaning or conduct remains clear. Example: an imprecise outcome label clarified by the same definition in both documents.</x:v>
      </x:c>
      <x:c r="E47" s="3"/>
    </x:row>
    <x:row r="48" ht="86" customHeight="1">
      <x:c r="A48" s="6"/>
      <x:c r="B48" s="6" t="str">
        <x:v>version_timing</x:v>
      </x:c>
      <x:c r="C48" s="6" t="str">
        <x:v>Option</x:v>
      </x:c>
      <x:c r="D48" s="6" t="str">
        <x:v>Version or timing ambiguity. The difference may reflect which protocol version or date is being compared; the sequence cannot be resolved from the available material.</x:v>
      </x:c>
      <x:c r="E48" s="6"/>
    </x:row>
    <x:row r="49" ht="86" customHeight="1">
      <x:c r="A49" s="3"/>
      <x:c r="B49" s="3" t="str">
        <x:v>non_inconsistency</x:v>
      </x:c>
      <x:c r="C49" s="3" t="str">
        <x:v>Option</x:v>
      </x:c>
      <x:c r="D49" s="3" t="str">
        <x:v>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x:v>
      </x:c>
      <x:c r="E49" s="3"/>
    </x:row>
    <x:row r="50" ht="86" customHeight="1">
      <x:c r="A50" s="6"/>
      <x:c r="B50" s="6" t="str">
        <x:v>indeterminate</x:v>
      </x:c>
      <x:c r="C50" s="6" t="str">
        <x:v>Option</x:v>
      </x:c>
      <x:c r="D50" s="6" t="str">
        <x:v>Indeterminate. The available evidence cannot support a more specific interpretation of the planned-versus-reported difference.</x:v>
      </x:c>
      <x:c r="E50" s="6"/>
    </x:row>
    <x:row r="51" ht="86" customHeight="1">
      <x:c r="A51" s="3"/>
      <x:c r="B51" s="3" t="str">
        <x:v>not_applicable</x:v>
      </x:c>
      <x:c r="C51" s="3" t="str">
        <x:v>Option</x:v>
      </x:c>
      <x:c r="D51" s="3" t="str">
        <x:v>Automatic default outside this field's review domain or for a non-retained candidate. It is not an issue verdict, missing evidence, or an unanswered applicable question. Do not choose it for an applicable field.</x:v>
      </x:c>
      <x:c r="E51" s="3"/>
    </x:row>
    <x:row r="52" ht="86" customHeight="1">
      <x:c r="A52" s="6" t="str">
        <x:v>5  |  Second-person checking and discussion</x:v>
      </x:c>
      <x:c r="B52" s="6"/>
      <x:c r="C52" s="6"/>
      <x:c r="D52" s="6"/>
      <x:c r="E52" s="6"/>
    </x:row>
    <x:row r="53" ht="86" customHeight="1">
      <x:c r="A53" s="3" t="str">
        <x:v>Checker result</x:v>
      </x:c>
      <x:c r="B53" s="3" t="str">
        <x:v>FIELD</x:v>
      </x:c>
      <x:c r="C53" s="3" t="str">
        <x:v>Required; completed Checker</x:v>
      </x:c>
      <x:c r="D53" s="3" t="str">
        <x:v>Required in checker stage. Keep answers unchanged for agree. Every other result needs a comment; disagreements or uncertainty also require resolved discussion before final delivery.</x:v>
      </x:c>
      <x:c r="E53" s="3" t="str">
        <x:v>checkStatus</x:v>
      </x:c>
    </x:row>
    <x:row r="54" ht="86" customHeight="1">
      <x:c r="A54" s="6"/>
      <x:c r="B54" s="6" t="str">
        <x:v>agree</x:v>
      </x:c>
      <x:c r="C54" s="6" t="str">
        <x:v>Option</x:v>
      </x:c>
      <x:c r="D54" s="6" t="str">
        <x:v>Accept the unchanged primary assessment. Keep the existing answers; select agree and checker_done. No comment is required.</x:v>
      </x:c>
      <x:c r="E54" s="6"/>
    </x:row>
    <x:row r="55" ht="86" customHeight="1">
      <x:c r="A55" s="3"/>
      <x:c r="B55" s="3" t="str">
        <x:v>agree_clarification</x:v>
      </x:c>
      <x:c r="C55" s="3" t="str">
        <x:v>Option</x:v>
      </x:c>
      <x:c r="D55" s="3" t="str">
        <x:v>Accept the main assessment with clarification. Edit relevant answers directly and explain in Checker comment.</x:v>
      </x:c>
      <x:c r="E55" s="3"/>
    </x:row>
    <x:row r="56" ht="86" customHeight="1">
      <x:c r="A56" s="6"/>
      <x:c r="B56" s="6" t="str">
        <x:v>disagree</x:v>
      </x:c>
      <x:c r="C56" s="6" t="str">
        <x:v>Option</x:v>
      </x:c>
      <x:c r="D56" s="6" t="str">
        <x:v>Disagree, proposal pending discussion. Recommend a different assessment, explain why in a comment, and enter proposed changes. The proposal is not final consensus until discussion is resolved.</x:v>
      </x:c>
      <x:c r="E56" s="6"/>
    </x:row>
    <x:row r="57" ht="86" customHeight="1">
      <x:c r="A57" s="3"/>
      <x:c r="B57" s="3" t="str">
        <x:v>unable</x:v>
      </x:c>
      <x:c r="C57" s="3" t="str">
        <x:v>Option</x:v>
      </x:c>
      <x:c r="D57" s="3" t="str">
        <x:v>Unable to resolve. The checker cannot settle the issue from the available information. State what remains uncertain in a comment and refer it for discussion.</x:v>
      </x:c>
      <x:c r="E57" s="3"/>
    </x:row>
    <x:row r="58" ht="86" customHeight="1">
      <x:c r="A58" s="6" t="str">
        <x:v>Checker comment</x:v>
      </x:c>
      <x:c r="B58" s="6" t="str">
        <x:v>FIELD</x:v>
      </x:c>
      <x:c r="C58" s="6" t="str">
        <x:v>Required unless Checker result is agree</x:v>
      </x:c>
      <x:c r="D58" s="6" t="str">
        <x:v>Explain the clarification, disagreement, or uncertainty in English. An unchanged agreement does not require a comment.</x:v>
      </x:c>
      <x:c r="E58" s="6" t="str">
        <x:v>checkerComment</x:v>
      </x:c>
    </x:row>
    <x:row r="59" ht="86" customHeight="1">
      <x:c r="A59" s="3" t="str">
        <x:v>Discussion resolution</x:v>
      </x:c>
      <x:c r="B59" s="3" t="str">
        <x:v>FIELD</x:v>
      </x:c>
      <x:c r="C59" s="3" t="str">
        <x:v>Conditional; discussion</x:v>
      </x:c>
      <x:c r="D59" s="3" t="str">
        <x:v>For disagree, unable, or any primary discuss, discuss together and select resolved. Record participants and the conclusion in Resolution note; update the final assessment.</x:v>
      </x:c>
      <x:c r="E59" s="3" t="str">
        <x:v>resolutionStatus</x:v>
      </x:c>
    </x:row>
    <x:row r="60" ht="86" customHeight="1">
      <x:c r="A60" s="6"/>
      <x:c r="B60" s="6" t="str">
        <x:v>pending</x:v>
      </x:c>
      <x:c r="C60" s="6" t="str">
        <x:v>Option</x:v>
      </x:c>
      <x:c r="D60" s="6" t="str">
        <x:v>Discussion not resolved. A required discussion is not yet settled. For an unchanged agreement this default can be left as-is because no separate resolution is required.</x:v>
      </x:c>
      <x:c r="E60" s="6"/>
    </x:row>
    <x:row r="61" ht="86" customHeight="1">
      <x:c r="A61" s="3"/>
      <x:c r="B61" s="3" t="str">
        <x:v>resolved</x:v>
      </x:c>
      <x:c r="C61" s="3" t="str">
        <x:v>Option</x:v>
      </x:c>
      <x:c r="D61" s="3" t="str">
        <x:v>Joint discussion resolved. Record the participants and agreed conclusion in Resolution note, update the proposed assessment, and do not leave disposition as discuss.</x:v>
      </x:c>
      <x:c r="E61" s="3"/>
    </x:row>
    <x:row r="62" ht="86" customHeight="1">
      <x:c r="A62" s="6" t="str">
        <x:v>Resolution note</x:v>
      </x:c>
      <x:c r="B62" s="6" t="str">
        <x:v>FIELD</x:v>
      </x:c>
      <x:c r="C62" s="6" t="str">
        <x:v>Required when resolved</x:v>
      </x:c>
      <x:c r="D62" s="6" t="str">
        <x:v>Record participants and the agreed conclusion in English. Update proposed judgments and do not leave Disposition=discuss. Checker completion alone does not settle disagreement.</x:v>
      </x:c>
      <x:c r="E62" s="6" t="str">
        <x:v>resolutionNote</x:v>
      </x:c>
    </x:row>
    <x:row r="63" ht="86" customHeight="1">
      <x:c r="A63" s="3" t="str">
        <x:v>6  |  Candidate context</x:v>
      </x:c>
      <x:c r="B63" s="3"/>
      <x:c r="C63" s="3"/>
      <x:c r="D63" s="3"/>
      <x:c r="E63" s="3"/>
    </x:row>
    <x:row r="64" ht="86" customHeight="1">
      <x:c r="A64" s="6" t="str">
        <x:v>Candidate key</x:v>
      </x:c>
      <x:c r="B64" s="6" t="str">
        <x:v>FIELD</x:v>
      </x:c>
      <x:c r="C64" s="6" t="str">
        <x:v>Reference</x:v>
      </x:c>
      <x:c r="D64" s="6" t="str">
        <x:v>Unique candidate identity used for matching, even after complete rows are reordered. Never edit this value.</x:v>
      </x:c>
      <x:c r="E64" s="6" t="str">
        <x:v>key</x:v>
      </x:c>
    </x:row>
    <x:row r="65" ht="86" customHeight="1">
      <x:c r="A65" s="3" t="str">
        <x:v>Candidate title</x:v>
      </x:c>
      <x:c r="B65" s="3" t="str">
        <x:v>FIELD</x:v>
      </x:c>
      <x:c r="C65" s="3" t="str">
        <x:v>Reference</x:v>
      </x:c>
      <x:c r="D65" s="3" t="str">
        <x:v>Short candidate title. A candidate is an AI flag for human assessment, not a confirmed issue.</x:v>
      </x:c>
      <x:c r="E65" s="3" t="str">
        <x:v>title</x:v>
      </x:c>
    </x:row>
    <x:row r="66" ht="86" customHeight="1">
      <x:c r="A66" s="6" t="str">
        <x:v>Source location</x:v>
      </x:c>
      <x:c r="B66" s="6" t="str">
        <x:v>FIELD</x:v>
      </x:c>
      <x:c r="C66" s="6" t="str">
        <x:v>Source reference; both roles</x:v>
      </x:c>
      <x:c r="D66" s="6" t="str">
        <x:v>Where to check the source claim. Both Primary and Checker show this column in the same position. Use Candidates and Evidence for context and the shared paper folders for originals.</x:v>
      </x:c>
      <x:c r="E66" s="6" t="str">
        <x:v>locations</x:v>
      </x:c>
    </x:row>
    <x:row r="67" ht="86" customHeight="1">
      <x:c r="A67" s="3" t="str">
        <x:v>Primary assessment</x:v>
      </x:c>
      <x:c r="B67" s="3" t="str">
        <x:v>FIELD</x:v>
      </x:c>
      <x:c r="C67" s="3" t="str">
        <x:v>Reference</x:v>
      </x:c>
      <x:c r="D67" s="3" t="str">
        <x:v>Blank during primary review. In checker stage, shows the saved initial assessment matched by Candidate key. Current answers remain in the editable fields; blanks do not inherit.</x:v>
      </x:c>
      <x:c r="E67" s="3" t="str">
        <x:v>primarySummary</x:v>
      </x:c>
    </x:row>
    <x:row r="68" ht="86" customHeight="1">
      <x:c r="A68" s="6" t="str">
        <x:v>Complete</x:v>
      </x:c>
      <x:c r="B68" s="6" t="str">
        <x:v>primary_done</x:v>
      </x:c>
      <x:c r="C68" s="6" t="str">
        <x:v>Primary only</x:v>
      </x:c>
      <x:c r="D68" s="6" t="str">
        <x:v>Human reviewed; initial stage complete. This never counts as checker completion.</x:v>
      </x:c>
      <x:c r="E68" s="6" t="str">
        <x:v>reviewComplete</x:v>
      </x:c>
    </x:row>
    <x:row r="69" ht="86" customHeight="1">
      <x:c r="A69" s="3" t="str">
        <x:v>Complete</x:v>
      </x:c>
      <x:c r="B69" s="3" t="str">
        <x:v>checker_done</x:v>
      </x:c>
      <x:c r="C69" s="3" t="str">
        <x:v>Checker only</x:v>
      </x:c>
      <x:c r="D69" s="3" t="str">
        <x:v>Second person reviewed; checker stage complete. Required discussion must also be resolved.</x:v>
      </x:c>
      <x:c r="E69" s="3" t="str">
        <x:v>reviewComplete</x:v>
      </x:c>
    </x:row>
  </x:sheetData>
  <x:pageMargins left="0.7" right="0.7" top="0.75" bottom="0.75" header="0.3" footer="0.3"/>
</x:worksheet>
</file>

<file path=xl/worksheets/sheet24.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0" hidden="0" customWidth="1"/>
    <x:col min="2" max="2" width="100" hidden="0" customWidth="1"/>
  </x:cols>
  <x:sheetData>
    <x:row r="1" ht="42" customHeight="1">
      <x:c r="A1" s="5" t="str">
        <x:v>field</x:v>
      </x:c>
      <x:c r="B1" s="5" t="str">
        <x:v>value</x:v>
      </x:c>
    </x:row>
    <x:row r="2" ht="44" customHeight="1">
      <x:c r="A2" s="6" t="str">
        <x:v>version</x:v>
      </x:c>
      <x:c r="B2" s="6" t="str">
        <x:v>v.2.1.5.3</x:v>
      </x:c>
    </x:row>
    <x:row r="3" ht="44" customHeight="1">
      <x:c r="A3" s="3" t="str">
        <x:v>schema</x:v>
      </x:c>
      <x:c r="B3" s="3" t="str">
        <x:v>xlsx-adjudication-excel-9</x:v>
      </x:c>
    </x:row>
    <x:row r="4" ht="44" customHeight="1">
      <x:c r="A4" s="6" t="str">
        <x:v>workflow</x:v>
      </x:c>
      <x:c r="B4" s="6" t="str">
        <x:v>Excel-only; Setup stage is authoritative</x:v>
      </x:c>
    </x:row>
    <x:row r="5" ht="44" customHeight="1">
      <x:c r="A5" s="3" t="str">
        <x:v>year</x:v>
      </x:c>
      <x:c r="B5" s="3" t="n">
        <x:v>2018</x:v>
      </x:c>
    </x:row>
    <x:row r="6" ht="44" customHeight="1">
      <x:c r="A6" s="6" t="str">
        <x:v>provenance</x:v>
      </x:c>
      <x:c r="B6" s="6" t="str">
        <x:v>Frozen source catalog; candidate content unchanged. Primary backup plus value snapshot preserve original review.</x:v>
      </x:c>
    </x:row>
    <x:row r="7" ht="44" customHeight="1">
      <x:c r="A7" s="3" t="str">
        <x:v>protection</x:v>
      </x:c>
      <x:c r="B7" s="3" t="str">
        <x:v>None: all sheets, cells and workbook structure are unprotected.</x:v>
      </x:c>
    </x:row>
  </x:sheetData>
  <x:pageMargins left="0.7" right="0.7" top="0.75" bottom="0.75" header="0.3" footer="0.3"/>
</x:worksheet>
</file>