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P_jama.2019.0556" sheetId="4" state="visible" r:id="rId4"/>
    <sheet name="P_jama.2019.10517" sheetId="5" state="visible" r:id="rId5"/>
    <sheet name="P_jama.2019.12618" sheetId="6" state="visible" r:id="rId6"/>
    <sheet name="P_jama.2019.14231" sheetId="7" state="visible" r:id="rId7"/>
    <sheet name="P_jama.2019.14630" sheetId="8" state="visible" r:id="rId8"/>
    <sheet name="P_jama.2019.14901" sheetId="9" state="visible" r:id="rId9"/>
    <sheet name="P_jama.2019.17380" sheetId="10" state="visible" r:id="rId10"/>
    <sheet name="P_jama.2019.2210" sheetId="11" state="visible" r:id="rId11"/>
    <sheet name="P_jama.2019.4755" sheetId="12" state="visible" r:id="rId12"/>
    <sheet name="P_jama.2019.7505" sheetId="13" state="visible" r:id="rId13"/>
    <sheet name="Checker" sheetId="14" state="visible" r:id="rId14"/>
    <sheet name="Candidates" sheetId="15" state="visible" r:id="rId15"/>
    <sheet name="Evidence" sheetId="16" state="visible" r:id="rId16"/>
    <sheet name="Codebook" sheetId="17" state="visible" r:id="rId17"/>
    <sheet name="Manifest" sheetId="18" state="hidden" r:id="rId18"/>
    <sheet name="Links" sheetId="19" state="hidden" r:id="rId19"/>
    <sheet name="Relations" sheetId="20" state="hidden" r:id="rId20"/>
  </sheets>
  <definedNames>
    <definedName name="opt_disposition">'Codebook'!$B$2:$B$5</definedName>
    <definedName name="opt_domain">'Codebook'!$B$6:$B$9</definedName>
    <definedName name="opt_statisticalErrorStatus">'Codebook'!$B$10:$B$13</definedName>
    <definedName name="opt_substantiveStatus">'Codebook'!$B$14:$B$16</definedName>
    <definedName name="opt_downstreamImpact">'Codebook'!$B$17:$B$20</definedName>
    <definedName name="opt_internalStatus">'Codebook'!$B$21:$B$25</definedName>
    <definedName name="opt_documentationStatus">'Codebook'!$B$26:$B$30</definedName>
    <definedName name="opt_justificationStatus">'Codebook'!$B$31:$B$34</definedName>
    <definedName name="opt_protocolInterpretation">'Codebook'!$B$35:$B$40</definedName>
    <definedName name="opt_reviewComplete">'Codebook'!$B$41:$B$42</definedName>
    <definedName name="opt_checkStatus">'Codebook'!$B$43:$B$46</definedName>
    <definedName name="opt_resolutionStatus">'Codebook'!$B$47:$B$48</definedName>
    <definedName name="_xlnm._FilterDatabase" localSheetId="0" hidden="1">'Start'!$A$1:$B$14</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'P_jama.2019.0556'!$A$1:$P$10</definedName>
    <definedName name="_xlnm.Print_Titles" localSheetId="3">'P_jama.2019.0556'!$1:$1</definedName>
    <definedName name="_xlnm._FilterDatabase" localSheetId="4" hidden="1">'P_jama.2019.10517'!$A$1:$P$4</definedName>
    <definedName name="_xlnm.Print_Titles" localSheetId="4">'P_jama.2019.10517'!$1:$1</definedName>
    <definedName name="_xlnm._FilterDatabase" localSheetId="5" hidden="1">'P_jama.2019.12618'!$A$1:$P$9</definedName>
    <definedName name="_xlnm.Print_Titles" localSheetId="5">'P_jama.2019.12618'!$1:$1</definedName>
    <definedName name="_xlnm._FilterDatabase" localSheetId="6" hidden="1">'P_jama.2019.14231'!$A$1:$P$12</definedName>
    <definedName name="_xlnm.Print_Titles" localSheetId="6">'P_jama.2019.14231'!$1:$1</definedName>
    <definedName name="_xlnm._FilterDatabase" localSheetId="7" hidden="1">'P_jama.2019.14630'!$A$1:$P$10</definedName>
    <definedName name="_xlnm.Print_Titles" localSheetId="7">'P_jama.2019.14630'!$1:$1</definedName>
    <definedName name="_xlnm._FilterDatabase" localSheetId="8" hidden="1">'P_jama.2019.14901'!$A$1:$P$7</definedName>
    <definedName name="_xlnm.Print_Titles" localSheetId="8">'P_jama.2019.14901'!$1:$1</definedName>
    <definedName name="_xlnm._FilterDatabase" localSheetId="9" hidden="1">'P_jama.2019.17380'!$A$1:$P$8</definedName>
    <definedName name="_xlnm.Print_Titles" localSheetId="9">'P_jama.2019.17380'!$1:$1</definedName>
    <definedName name="_xlnm._FilterDatabase" localSheetId="10" hidden="1">'P_jama.2019.2210'!$A$1:$P$10</definedName>
    <definedName name="_xlnm.Print_Titles" localSheetId="10">'P_jama.2019.2210'!$1:$1</definedName>
    <definedName name="_xlnm._FilterDatabase" localSheetId="11" hidden="1">'P_jama.2019.4755'!$A$1:$P$6</definedName>
    <definedName name="_xlnm.Print_Titles" localSheetId="11">'P_jama.2019.4755'!$1:$1</definedName>
    <definedName name="_xlnm._FilterDatabase" localSheetId="12" hidden="1">'P_jama.2019.7505'!$A$1:$P$5</definedName>
    <definedName name="_xlnm.Print_Titles" localSheetId="12">'P_jama.2019.7505'!$1:$1</definedName>
    <definedName name="_xlnm._FilterDatabase" localSheetId="13" hidden="1">'Checker'!$A$1:$T$72</definedName>
    <definedName name="_xlnm.Print_Titles" localSheetId="13">'Checker'!$1:$1</definedName>
    <definedName name="_xlnm._FilterDatabase" localSheetId="14" hidden="1">'Candidates'!$A$1:$AB$72</definedName>
    <definedName name="_xlnm.Print_Titles" localSheetId="14">'Candidates'!$1:$1</definedName>
    <definedName name="_xlnm._FilterDatabase" localSheetId="15" hidden="1">'Evidence'!$A$1:$D$261</definedName>
    <definedName name="_xlnm.Print_Titles" localSheetId="15">'Evidence'!$1:$1</definedName>
    <definedName name="_xlnm._FilterDatabase" localSheetId="16" hidden="1">'Codebook'!$A$1:$C$55</definedName>
    <definedName name="_xlnm.Print_Titles" localSheetId="16">'Codebook'!$1:$1</definedName>
    <definedName name="_xlnm._FilterDatabase" localSheetId="17" hidden="1">'Manifest'!$A$1:$B$11</definedName>
    <definedName name="_xlnm.Print_Titles" localSheetId="17">'Manifest'!$1:$1</definedName>
    <definedName name="_xlnm._FilterDatabase" localSheetId="18" hidden="1">'Links'!$A$1:$E$312</definedName>
    <definedName name="_xlnm.Print_Titles" localSheetId="18">'Links'!$1:$1</definedName>
    <definedName name="_xlnm._FilterDatabase" localSheetId="19" hidden="1">'Relations'!$A$1:$D$79</definedName>
    <definedName name="_xlnm.Print_Titles" localSheetId="19">'Relations'!$1:$1</definedName>
  </definedNames>
  <calcPr calcId="124519" calcMode="auto"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5">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cellXfs>
  <cellStyles count="1">
    <cellStyle name="Normal" xfId="0" builtinId="0" hidden="0"/>
  </cellStyles>
  <dxfs count="1">
    <dxf>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2.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3.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4.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5.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6.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7.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8.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9.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10.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11.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Paper
See Start and Codebook for instructions.</t>
      </text>
    </comment>
    <comment ref="C1" authorId="0" shapeId="0">
      <text>
        <t>Candidate title
See Start and Codebook for instructions.</t>
      </text>
    </comment>
    <comment ref="D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E1" authorId="0" shapeId="0">
      <text>
        <t>Checker comment
See Start and Codebook for instructions.</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I1" authorId="0" shapeId="0">
      <text>
        <t>Resolution note
See Start and Codebook for instructions.</t>
      </text>
    </comment>
    <comment ref="J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K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L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M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N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O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P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Q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R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S1" authorId="0" shapeId="0">
      <text>
        <t>Related cluster (optional)
See Start and Codebook for instructions.</t>
      </text>
    </comment>
    <comment ref="T1" authorId="0" shapeId="0">
      <text>
        <t>Notes (optional)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outlinePr summaryBelow="1" summaryRight="1"/>
    <pageSetUpPr fitToPage="1"/>
  </sheetPr>
  <dimension ref="A1:B1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v.2.1.1 | revision v.2.1.1 | 2019 | workbook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P_&lt;paper&gt; worksheet contains primary review for one paper only. Papers lists worksheet names and candidate counts. Checker remains the annual second-person review table.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Only yellow cells are inputs. Disposition starts blank: choose it yourself after review. The suggested domain remains editable; previous AI disposition is reference-only on Candidates. Use English for names, notes and comments; Codebook explains when to use each option.</t>
        </is>
      </c>
    </row>
    <row r="7" ht="68" customHeight="1">
      <c r="A7" s="3" t="inlineStr">
        <is>
          <t>4. Retain module</t>
        </is>
      </c>
      <c r="B7" s="3" t="inlineStr">
        <is>
          <t>retain + statistical_results: error, substantiveness, impact; protocol_report: documentation, justification, interpretation; other two domains: internalStatus. Other dispositions only need a valid domain.</t>
        </is>
      </c>
    </row>
    <row r="8" ht="68" customHeight="1">
      <c r="A8" s="2" t="inlineStr">
        <is>
          <t>5. Save</t>
        </is>
      </c>
      <c r="B8" s="2" t="inlineStr">
        <is>
          <t>Set Complete=yes only after review; Ctrl+S saves the XLSX. After editing a completed row, reset to no, recheck, then yes. No macros and no automatic per-edit timestamp/reset.</t>
        </is>
      </c>
    </row>
    <row r="9" ht="68" customHeight="1">
      <c r="A9" s="3" t="inlineStr">
        <is>
          <t>6. Handoff</t>
        </is>
      </c>
      <c r="B9" s="3" t="inlineStr">
        <is>
          <t>Save the primary-completed workbook as a dated copy and pass it to the checker. The checker fills Checker in the same XLSX, leaving all P_&lt;paper&gt; worksheets unchanged. No script is needed for handoff.</t>
        </is>
      </c>
    </row>
    <row r="10" ht="68" customHeight="1">
      <c r="A10" s="2" t="inlineStr">
        <is>
          <t>7. Checker</t>
        </is>
      </c>
      <c r="B10" s="2" t="inlineStr">
        <is>
          <t>Non-agree requires a comment. agree requires identical assessment. Disagree/unable stays unresolved until resolutionStatus=resolved plus resolutionNote. Primary discuss changed to a decision also needs documented resolution.</t>
        </is>
      </c>
    </row>
    <row r="11" ht="68" customHeight="1">
      <c r="A11" s="3" t="inlineStr">
        <is>
          <t>8. Validation</t>
        </is>
      </c>
      <c r="B11" s="3" t="inlineStr">
        <is>
          <t>Dropdowns restrict choices. Validation hint is a convenience; optional Python validation checks saved answers, including pasted values.</t>
        </is>
      </c>
    </row>
    <row r="12" ht="68" customHeight="1">
      <c r="A12" s="2" t="inlineStr">
        <is>
          <t>9. Minimal checker entry</t>
        </is>
      </c>
      <c r="B12" s="2" t="inlineStr">
        <is>
          <t>For agreement: select agree and Complete=yes. Blank assessment cells inherit the same candidate key from its P_&lt;paper&gt; worksheet. Fill only changes; &lt;clear&gt; clears inherited notes/cluster.</t>
        </is>
      </c>
    </row>
    <row r="13" ht="68" customHeight="1">
      <c r="A13" s="3" t="inlineStr">
        <is>
          <t>10. Research</t>
        </is>
      </c>
      <c r="B13"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4" ht="68" customHeight="1">
      <c r="A14" s="2" t="inlineStr">
        <is>
          <t>11. Current status</t>
        </is>
      </c>
      <c r="B14" s="2" t="inlineStr">
        <is>
          <t>412 frozen AI candidates in 45 papers; human review is pending. Do not report AI retained counts as confirmed errors. See USAGE.md for workflow and project rationale.</t>
        </is>
      </c>
    </row>
  </sheetData>
  <sheetProtection selectLockedCells="0" selectUnlockedCells="0" sheet="1" objects="0" insertRows="1" insertHyperlinks="1" autoFilter="0" scenarios="0" formatColumns="1" deleteColumns="1" insertColumns="1" pivotTables="1" deleteRows="1" formatCells="1" formatRows="1" sort="1"/>
  <autoFilter ref="A1:B14"/>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4" t="inlineStr"/>
    </row>
    <row r="5" ht="30" customHeight="1">
      <c r="A5" s="3" t="inlineStr">
        <is>
          <t>checkerName</t>
        </is>
      </c>
      <c r="B5" s="4"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primary_worksheet</t>
        </is>
      </c>
      <c r="C1" s="1" t="inlineStr">
        <is>
          <t>candidates</t>
        </is>
      </c>
    </row>
    <row r="2" ht="30" customHeight="1">
      <c r="A2" s="2" t="inlineStr">
        <is>
          <t>jama.2019.0556</t>
        </is>
      </c>
      <c r="B2" s="2" t="inlineStr">
        <is>
          <t>P_jama.2019.0556</t>
        </is>
      </c>
      <c r="C2" s="2" t="n">
        <v>9</v>
      </c>
    </row>
    <row r="3" ht="30" customHeight="1">
      <c r="A3" s="3" t="inlineStr">
        <is>
          <t>jama.2019.10517</t>
        </is>
      </c>
      <c r="B3" s="3" t="inlineStr">
        <is>
          <t>P_jama.2019.10517</t>
        </is>
      </c>
      <c r="C3" s="3" t="n">
        <v>3</v>
      </c>
    </row>
    <row r="4" ht="30" customHeight="1">
      <c r="A4" s="2" t="inlineStr">
        <is>
          <t>jama.2019.12618</t>
        </is>
      </c>
      <c r="B4" s="2" t="inlineStr">
        <is>
          <t>P_jama.2019.12618</t>
        </is>
      </c>
      <c r="C4" s="2" t="n">
        <v>8</v>
      </c>
    </row>
    <row r="5" ht="30" customHeight="1">
      <c r="A5" s="3" t="inlineStr">
        <is>
          <t>jama.2019.14231</t>
        </is>
      </c>
      <c r="B5" s="3" t="inlineStr">
        <is>
          <t>P_jama.2019.14231</t>
        </is>
      </c>
      <c r="C5" s="3" t="n">
        <v>11</v>
      </c>
    </row>
    <row r="6" ht="30" customHeight="1">
      <c r="A6" s="2" t="inlineStr">
        <is>
          <t>jama.2019.14630</t>
        </is>
      </c>
      <c r="B6" s="2" t="inlineStr">
        <is>
          <t>P_jama.2019.14630</t>
        </is>
      </c>
      <c r="C6" s="2" t="n">
        <v>9</v>
      </c>
    </row>
    <row r="7" ht="30" customHeight="1">
      <c r="A7" s="3" t="inlineStr">
        <is>
          <t>jama.2019.14901</t>
        </is>
      </c>
      <c r="B7" s="3" t="inlineStr">
        <is>
          <t>P_jama.2019.14901</t>
        </is>
      </c>
      <c r="C7" s="3" t="n">
        <v>6</v>
      </c>
    </row>
    <row r="8" ht="30" customHeight="1">
      <c r="A8" s="2" t="inlineStr">
        <is>
          <t>jama.2019.17380</t>
        </is>
      </c>
      <c r="B8" s="2" t="inlineStr">
        <is>
          <t>P_jama.2019.17380</t>
        </is>
      </c>
      <c r="C8" s="2" t="n">
        <v>7</v>
      </c>
    </row>
    <row r="9" ht="30" customHeight="1">
      <c r="A9" s="3" t="inlineStr">
        <is>
          <t>jama.2019.2210</t>
        </is>
      </c>
      <c r="B9" s="3" t="inlineStr">
        <is>
          <t>P_jama.2019.2210</t>
        </is>
      </c>
      <c r="C9" s="3" t="n">
        <v>9</v>
      </c>
    </row>
    <row r="10" ht="30" customHeight="1">
      <c r="A10" s="2" t="inlineStr">
        <is>
          <t>jama.2019.4755</t>
        </is>
      </c>
      <c r="B10" s="2" t="inlineStr">
        <is>
          <t>P_jama.2019.4755</t>
        </is>
      </c>
      <c r="C10" s="2" t="n">
        <v>5</v>
      </c>
    </row>
    <row r="11" ht="30" customHeight="1">
      <c r="A11" s="3" t="inlineStr">
        <is>
          <t>jama.2019.7505</t>
        </is>
      </c>
      <c r="B11" s="3" t="inlineStr">
        <is>
          <t>P_jama.2019.7505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P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2019::jama.2019.0556::C001</t>
        </is>
      </c>
      <c r="B2" s="2" t="inlineStr">
        <is>
          <t>Table 2 footnote duplicates the supplements-without-therapy label</t>
        </is>
      </c>
      <c r="C2" s="2" t="inlineStr">
        <is>
          <t>DOC-001 Table 2 — PDF p. 6; Figure 1 — PDF p. 3; Results — PDF p. 7.</t>
        </is>
      </c>
      <c r="D2" s="4" t="inlineStr"/>
      <c r="E2" s="4" t="inlineStr">
        <is>
          <t>internal_nonstatistical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2019::jama.2019.0556::C003</t>
        </is>
      </c>
      <c r="B4" s="2" t="inlineStr">
        <is>
          <t>eAppendix 8 footnote markers point to unrelated adherence rows</t>
        </is>
      </c>
      <c r="C4" s="2" t="inlineStr">
        <is>
          <t>DOC-004 eAppendix 8 — PDF p. 16.</t>
        </is>
      </c>
      <c r="D4" s="4" t="inlineStr"/>
      <c r="E4" s="4" t="inlineStr">
        <is>
          <t>internal_nonstatistical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2019::jama.2019.0556::C004</t>
        </is>
      </c>
      <c r="B5" s="3" t="inlineStr">
        <is>
          <t>eAppendix 10 prints a literal P value of zero</t>
        </is>
      </c>
      <c r="C5" s="3" t="inlineStr">
        <is>
          <t>DOC-004 eAppendix 10B — PDF p. 19.</t>
        </is>
      </c>
      <c r="D5" s="4" t="inlineStr"/>
      <c r="E5" s="4" t="inlineStr">
        <is>
          <t>statistical_results</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2019::jama.2019.0556::C005</t>
        </is>
      </c>
      <c r="B6" s="2" t="inlineStr">
        <is>
          <t>Main-article sample-size total conflicts with four stated cell counts</t>
        </is>
      </c>
      <c r="C6" s="2" t="inlineStr">
        <is>
          <t>DOC-001 Sample Size — PDF p. 4.</t>
        </is>
      </c>
      <c r="D6" s="4" t="inlineStr"/>
      <c r="E6" s="4" t="inlineStr">
        <is>
          <t>statistical_results</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2019::jama.2019.0556::C006</t>
        </is>
      </c>
      <c r="B7" s="3" t="inlineStr">
        <is>
          <t>Protocol calls a 30% versus 15% contrast a 25% difference</t>
        </is>
      </c>
      <c r="C7" s="3" t="inlineStr">
        <is>
          <t>DOC-002 Sample Size — PDF p. 16.</t>
        </is>
      </c>
      <c r="D7" s="4" t="inlineStr"/>
      <c r="E7" s="4" t="inlineStr">
        <is>
          <t>plan_material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4" t="inlineStr"/>
      <c r="E8" s="4" t="inlineStr">
        <is>
          <t>protocol_report</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4" t="inlineStr"/>
      <c r="E9" s="4" t="inlineStr">
        <is>
          <t>plan_material</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4" t="inlineStr"/>
      <c r="E10" s="4" t="inlineStr">
        <is>
          <t>plan_material</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sheetData>
  <sheetProtection selectLockedCells="0" selectUnlockedCells="0" sheet="1" objects="0" insertRows="1" insertHyperlinks="1" autoFilter="0" scenarios="0" formatColumns="1" deleteColumns="1" insertColumns="1" pivotTables="1" deleteRows="1" formatCells="1" formatRows="1" sort="1"/>
  <autoFilter ref="A1:P10"/>
  <conditionalFormatting sqref="H2:H10">
    <cfRule type="expression" priority="1" dxfId="0">
      <formula>OR($D2&lt;&gt;"retain",NOT(OR($E2="statistical_results")))</formula>
    </cfRule>
  </conditionalFormatting>
  <conditionalFormatting sqref="I2:I10">
    <cfRule type="expression" priority="2" dxfId="0">
      <formula>OR($D2&lt;&gt;"retain",NOT(OR($E2="statistical_results")))</formula>
    </cfRule>
  </conditionalFormatting>
  <conditionalFormatting sqref="J2:J10">
    <cfRule type="expression" priority="3" dxfId="0">
      <formula>OR($D2&lt;&gt;"retain",NOT(OR($E2="statistical_results")))</formula>
    </cfRule>
  </conditionalFormatting>
  <conditionalFormatting sqref="K2:K10">
    <cfRule type="expression" priority="4" dxfId="0">
      <formula>OR($D2&lt;&gt;"retain",NOT(OR($E2="internal_nonstatistical",$E2="plan_material")))</formula>
    </cfRule>
  </conditionalFormatting>
  <conditionalFormatting sqref="L2:L10">
    <cfRule type="expression" priority="5" dxfId="0">
      <formula>OR($D2&lt;&gt;"retain",NOT(OR($E2="protocol_report")))</formula>
    </cfRule>
  </conditionalFormatting>
  <conditionalFormatting sqref="M2:M10">
    <cfRule type="expression" priority="6" dxfId="0">
      <formula>OR($D2&lt;&gt;"retain",NOT(OR($E2="protocol_report")))</formula>
    </cfRule>
  </conditionalFormatting>
  <conditionalFormatting sqref="N2:N10">
    <cfRule type="expression" priority="7" dxfId="0">
      <formula>OR($D2&lt;&gt;"retain",NOT(OR($E2="protocol_report")))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domain" prompt="See Codebook for meanings." type="list" errorStyle="stop">
      <formula1>opt_domain</formula1>
    </dataValidation>
    <dataValidation sqref="F2:F10" showDropDown="0" showInputMessage="1" showErrorMessage="1" allowBlank="1" errorTitle="Invalid option" error="Choose a listed value." promptTitle="reviewComplete" prompt="See Codebook for meanings." type="list" errorStyle="stop">
      <formula1>opt_reviewComplete</formula1>
    </dataValidation>
    <dataValidation sqref="H2:H10"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10" showDropDown="0" showInputMessage="1" showErrorMessage="1" allowBlank="1" errorTitle="Invalid option" error="Choose a listed value." promptTitle="substantiveStatus" prompt="See Codebook for meanings." type="list" errorStyle="stop">
      <formula1>opt_substantiveStatus</formula1>
    </dataValidation>
    <dataValidation sqref="J2:J10" showDropDown="0" showInputMessage="1" showErrorMessage="1" allowBlank="1" errorTitle="Invalid option" error="Choose a listed value." promptTitle="downstreamImpact" prompt="See Codebook for meanings." type="list" errorStyle="stop">
      <formula1>opt_downstreamImpact</formula1>
    </dataValidation>
    <dataValidation sqref="K2:K10" showDropDown="0" showInputMessage="1" showErrorMessage="1" allowBlank="1" errorTitle="Invalid option" error="Choose a listed value." promptTitle="internalStatus" prompt="See Codebook for meanings." type="list" errorStyle="stop">
      <formula1>opt_internalStatus</formula1>
    </dataValidation>
    <dataValidation sqref="L2:L10"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10"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10"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P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4" t="inlineStr"/>
      <c r="E4" s="4" t="inlineStr">
        <is>
          <t>plan_material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sheetData>
  <sheetProtection selectLockedCells="0" selectUnlockedCells="0" sheet="1" objects="0" insertRows="1" insertHyperlinks="1" autoFilter="0" scenarios="0" formatColumns="1" deleteColumns="1" insertColumns="1" pivotTables="1" deleteRows="1" formatCells="1" formatRows="1" sort="1"/>
  <autoFilter ref="A1:P4"/>
  <conditionalFormatting sqref="H2:H4">
    <cfRule type="expression" priority="1" dxfId="0">
      <formula>OR($D2&lt;&gt;"retain",NOT(OR($E2="statistical_results")))</formula>
    </cfRule>
  </conditionalFormatting>
  <conditionalFormatting sqref="I2:I4">
    <cfRule type="expression" priority="2" dxfId="0">
      <formula>OR($D2&lt;&gt;"retain",NOT(OR($E2="statistical_results")))</formula>
    </cfRule>
  </conditionalFormatting>
  <conditionalFormatting sqref="J2:J4">
    <cfRule type="expression" priority="3" dxfId="0">
      <formula>OR($D2&lt;&gt;"retain",NOT(OR($E2="statistical_results")))</formula>
    </cfRule>
  </conditionalFormatting>
  <conditionalFormatting sqref="K2:K4">
    <cfRule type="expression" priority="4" dxfId="0">
      <formula>OR($D2&lt;&gt;"retain",NOT(OR($E2="internal_nonstatistical",$E2="plan_material")))</formula>
    </cfRule>
  </conditionalFormatting>
  <conditionalFormatting sqref="L2:L4">
    <cfRule type="expression" priority="5" dxfId="0">
      <formula>OR($D2&lt;&gt;"retain",NOT(OR($E2="protocol_report")))</formula>
    </cfRule>
  </conditionalFormatting>
  <conditionalFormatting sqref="M2:M4">
    <cfRule type="expression" priority="6" dxfId="0">
      <formula>OR($D2&lt;&gt;"retain",NOT(OR($E2="protocol_report")))</formula>
    </cfRule>
  </conditionalFormatting>
  <conditionalFormatting sqref="N2:N4">
    <cfRule type="expression" priority="7" dxfId="0">
      <formula>OR($D2&lt;&gt;"retain",NOT(OR($E2="protocol_report")))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domain" prompt="See Codebook for meanings." type="list" errorStyle="stop">
      <formula1>opt_domain</formula1>
    </dataValidation>
    <dataValidation sqref="F2:F4" showDropDown="0" showInputMessage="1" showErrorMessage="1" allowBlank="1" errorTitle="Invalid option" error="Choose a listed value." promptTitle="reviewComplete" prompt="See Codebook for meanings." type="list" errorStyle="stop">
      <formula1>opt_reviewComplete</formula1>
    </dataValidation>
    <dataValidation sqref="H2:H4"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4" showDropDown="0" showInputMessage="1" showErrorMessage="1" allowBlank="1" errorTitle="Invalid option" error="Choose a listed value." promptTitle="substantiveStatus" prompt="See Codebook for meanings." type="list" errorStyle="stop">
      <formula1>opt_substantiveStatus</formula1>
    </dataValidation>
    <dataValidation sqref="J2:J4" showDropDown="0" showInputMessage="1" showErrorMessage="1" allowBlank="1" errorTitle="Invalid option" error="Choose a listed value." promptTitle="downstreamImpact" prompt="See Codebook for meanings." type="list" errorStyle="stop">
      <formula1>opt_downstreamImpact</formula1>
    </dataValidation>
    <dataValidation sqref="K2:K4" showDropDown="0" showInputMessage="1" showErrorMessage="1" allowBlank="1" errorTitle="Invalid option" error="Choose a listed value." promptTitle="internalStatus" prompt="See Codebook for meanings." type="list" errorStyle="stop">
      <formula1>opt_internalStatus</formula1>
    </dataValidation>
    <dataValidation sqref="L2:L4"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4"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4"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P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2019::jama.2019.12618::C001</t>
        </is>
      </c>
      <c r="B2" s="2" t="inlineStr">
        <is>
          <t>protocol timeline end date</t>
        </is>
      </c>
      <c r="C2" s="2" t="inlineStr">
        <is>
          <t>joi190092supp2_prod.pdf — PDF p. 11, Table 1.</t>
        </is>
      </c>
      <c r="D2" s="4" t="inlineStr"/>
      <c r="E2" s="4" t="inlineStr">
        <is>
          <t>plan_material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4" t="inlineStr"/>
      <c r="E4" s="4" t="inlineStr">
        <is>
          <t>protocol_report</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4" t="inlineStr"/>
      <c r="E5" s="4" t="inlineStr">
        <is>
          <t>protocol_report</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2019::jama.2019.12618::C005</t>
        </is>
      </c>
      <c r="B6" s="2" t="inlineStr">
        <is>
          <t>missed-dose Welch P=.87 compatibility</t>
        </is>
      </c>
      <c r="C6" s="2" t="inlineStr">
        <is>
          <t>jama_rathinam_2019_oi_190092.pdf — PDF p. 4; jama_rathinam_2019_oi_190092.pdf — PDF p. 6, Table 2.</t>
        </is>
      </c>
      <c r="D6" s="4" t="inlineStr"/>
      <c r="E6" s="4" t="inlineStr">
        <is>
          <t>statistical_results</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4" t="inlineStr"/>
      <c r="E7" s="4" t="inlineStr">
        <is>
          <t>internal_nonstatistical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2019::jama.2019.12618::C007</t>
        </is>
      </c>
      <c r="B8" s="2" t="inlineStr">
        <is>
          <t>eTable 9 MMF serious diarrhea 1 (3.4) vs N=20</t>
        </is>
      </c>
      <c r="C8" s="2" t="inlineStr">
        <is>
          <t>joi190092supp1_prod.pdf — PDF p. 15, eTable 9, MMF N=20, Serious Systemic diarrhea row.</t>
        </is>
      </c>
      <c r="D8" s="4" t="inlineStr"/>
      <c r="E8" s="4" t="inlineStr">
        <is>
          <t>statistical_results</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4" t="inlineStr"/>
      <c r="E9" s="4" t="inlineStr">
        <is>
          <t>internal_nonstatistical</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sheetData>
  <sheetProtection selectLockedCells="0" selectUnlockedCells="0" sheet="1" objects="0" insertRows="1" insertHyperlinks="1" autoFilter="0" scenarios="0" formatColumns="1" deleteColumns="1" insertColumns="1" pivotTables="1" deleteRows="1" formatCells="1" formatRows="1" sort="1"/>
  <autoFilter ref="A1:P9"/>
  <conditionalFormatting sqref="H2:H9">
    <cfRule type="expression" priority="1" dxfId="0">
      <formula>OR($D2&lt;&gt;"retain",NOT(OR($E2="statistical_results")))</formula>
    </cfRule>
  </conditionalFormatting>
  <conditionalFormatting sqref="I2:I9">
    <cfRule type="expression" priority="2" dxfId="0">
      <formula>OR($D2&lt;&gt;"retain",NOT(OR($E2="statistical_results")))</formula>
    </cfRule>
  </conditionalFormatting>
  <conditionalFormatting sqref="J2:J9">
    <cfRule type="expression" priority="3" dxfId="0">
      <formula>OR($D2&lt;&gt;"retain",NOT(OR($E2="statistical_results")))</formula>
    </cfRule>
  </conditionalFormatting>
  <conditionalFormatting sqref="K2:K9">
    <cfRule type="expression" priority="4" dxfId="0">
      <formula>OR($D2&lt;&gt;"retain",NOT(OR($E2="internal_nonstatistical",$E2="plan_material")))</formula>
    </cfRule>
  </conditionalFormatting>
  <conditionalFormatting sqref="L2:L9">
    <cfRule type="expression" priority="5" dxfId="0">
      <formula>OR($D2&lt;&gt;"retain",NOT(OR($E2="protocol_report")))</formula>
    </cfRule>
  </conditionalFormatting>
  <conditionalFormatting sqref="M2:M9">
    <cfRule type="expression" priority="6" dxfId="0">
      <formula>OR($D2&lt;&gt;"retain",NOT(OR($E2="protocol_report")))</formula>
    </cfRule>
  </conditionalFormatting>
  <conditionalFormatting sqref="N2:N9">
    <cfRule type="expression" priority="7" dxfId="0">
      <formula>OR($D2&lt;&gt;"retain",NOT(OR($E2="protocol_report")))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domain" prompt="See Codebook for meanings." type="list" errorStyle="stop">
      <formula1>opt_domain</formula1>
    </dataValidation>
    <dataValidation sqref="F2:F9" showDropDown="0" showInputMessage="1" showErrorMessage="1" allowBlank="1" errorTitle="Invalid option" error="Choose a listed value." promptTitle="reviewComplete" prompt="See Codebook for meanings." type="list" errorStyle="stop">
      <formula1>opt_reviewComplete</formula1>
    </dataValidation>
    <dataValidation sqref="H2:H9"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9" showDropDown="0" showInputMessage="1" showErrorMessage="1" allowBlank="1" errorTitle="Invalid option" error="Choose a listed value." promptTitle="substantiveStatus" prompt="See Codebook for meanings." type="list" errorStyle="stop">
      <formula1>opt_substantiveStatus</formula1>
    </dataValidation>
    <dataValidation sqref="J2:J9" showDropDown="0" showInputMessage="1" showErrorMessage="1" allowBlank="1" errorTitle="Invalid option" error="Choose a listed value." promptTitle="downstreamImpact" prompt="See Codebook for meanings." type="list" errorStyle="stop">
      <formula1>opt_downstreamImpact</formula1>
    </dataValidation>
    <dataValidation sqref="K2:K9" showDropDown="0" showInputMessage="1" showErrorMessage="1" allowBlank="1" errorTitle="Invalid option" error="Choose a listed value." promptTitle="internalStatus" prompt="See Codebook for meanings." type="list" errorStyle="stop">
      <formula1>opt_internalStatus</formula1>
    </dataValidation>
    <dataValidation sqref="L2:L9"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9"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9"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P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4" t="inlineStr"/>
      <c r="E2" s="4" t="inlineStr">
        <is>
          <t>protocol_report</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2019::jama.2019.14231::C002</t>
        </is>
      </c>
      <c r="B3" s="3" t="inlineStr">
        <is>
          <t>Heart-failure ARD does not reconcile with displayed 8-year incidences</t>
        </is>
      </c>
      <c r="C3" s="3" t="inlineStr">
        <is>
          <t>Main article — PDF p. 4, PDF p. 7; Supplement 1 — PDF p. 7.</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2019::jama.2019.14231::C003</t>
        </is>
      </c>
      <c r="B4" s="2" t="inlineStr">
        <is>
          <t>Coronary-disease ARD does not reconcile with displayed 8-year incidences</t>
        </is>
      </c>
      <c r="C4" s="2" t="inlineStr">
        <is>
          <t>Main article — PDF p. 4, PDF p. 7; Supplement 1 — PDF p. 7.</t>
        </is>
      </c>
      <c r="D4" s="4" t="inlineStr"/>
      <c r="E4" s="4" t="inlineStr">
        <is>
          <t>statistical_results</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4" t="inlineStr"/>
      <c r="E5" s="4" t="inlineStr">
        <is>
          <t>statistical_results</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2019::jama.2019.14231::C005</t>
        </is>
      </c>
      <c r="B6" s="2" t="inlineStr">
        <is>
          <t>Nephropathy ARD does not reconcile with displayed 8-year incidences</t>
        </is>
      </c>
      <c r="C6" s="2" t="inlineStr">
        <is>
          <t>Main article — PDF p. 4, PDF p. 7; Supplement 1 — PDF p. 7.</t>
        </is>
      </c>
      <c r="D6" s="4" t="inlineStr"/>
      <c r="E6" s="4" t="inlineStr">
        <is>
          <t>statistical_results</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2019::jama.2019.14231::C006</t>
        </is>
      </c>
      <c r="B7" s="3" t="inlineStr">
        <is>
          <t>Atrial-fibrillation ARD does not reconcile with displayed 8-year incidences</t>
        </is>
      </c>
      <c r="C7" s="3" t="inlineStr">
        <is>
          <t>Main article — PDF p. 4, PDF p. 7; Supplement 1 — PDF p. 7.</t>
        </is>
      </c>
      <c r="D7" s="4" t="inlineStr"/>
      <c r="E7" s="4" t="inlineStr">
        <is>
          <t>statistical_results</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2019::jama.2019.14231::C007</t>
        </is>
      </c>
      <c r="B8" s="2" t="inlineStr">
        <is>
          <t>Supplement tables use different nonsurgical medication denominators at baseline</t>
        </is>
      </c>
      <c r="C8" s="2" t="inlineStr">
        <is>
          <t>Supplement 1 — PDF p. 5, PDF p. 14.</t>
        </is>
      </c>
      <c r="D8" s="4" t="inlineStr"/>
      <c r="E8" s="4" t="inlineStr">
        <is>
          <t>statistical_results</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2019::jama.2019.14231::C008</t>
        </is>
      </c>
      <c r="B9" s="3" t="inlineStr">
        <is>
          <t>Medication comparison is labeled as two different named tests</t>
        </is>
      </c>
      <c r="C9" s="3" t="inlineStr">
        <is>
          <t>Main article — PDF p. 4, PDF p. 10; Supplement 1 — PDF p. 12.</t>
        </is>
      </c>
      <c r="D9" s="4" t="inlineStr"/>
      <c r="E9" s="4" t="inlineStr">
        <is>
          <t>internal_nonstatistical</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2019::jama.2019.14231::C009</t>
        </is>
      </c>
      <c r="B10" s="2" t="inlineStr">
        <is>
          <t>Time-varying-HR narrative cites eTable 4 while the displayed table is eTable 7</t>
        </is>
      </c>
      <c r="C10" s="2" t="inlineStr">
        <is>
          <t>Supplement 1 — PDF p. 6, PDF p. 10, PDF p. 19.</t>
        </is>
      </c>
      <c r="D10" s="4" t="inlineStr"/>
      <c r="E10" s="4" t="inlineStr">
        <is>
          <t>internal_nonstatistical</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row r="11" ht="76" customHeight="1">
      <c r="A11" s="3" t="inlineStr">
        <is>
          <t>2019::jama.2019.14231::C010</t>
        </is>
      </c>
      <c r="B11" s="3" t="inlineStr">
        <is>
          <t>Biguanide count and percentage do not reconcile in eTable 3</t>
        </is>
      </c>
      <c r="C11" s="3" t="inlineStr">
        <is>
          <t>Supplement 1 — PDF p. 5.</t>
        </is>
      </c>
      <c r="D11" s="4" t="inlineStr"/>
      <c r="E11" s="4" t="inlineStr">
        <is>
          <t>statistical_results</t>
        </is>
      </c>
      <c r="F11" s="4" t="inlineStr">
        <is>
          <t>no</t>
        </is>
      </c>
      <c r="G11" s="3">
        <f>IF(OR(COUNTIF(opt_disposition,D11)&lt;&gt;1,COUNTIF(opt_domain,E11)&lt;&gt;1,AND(D11="retain",E11="statistical_results",OR(COUNTIF(opt_statisticalErrorStatus,H11)&lt;&gt;1,COUNTIF(opt_substantiveStatus,I11)&lt;&gt;1,COUNTIF(opt_downstreamImpact,J11)&lt;&gt;1)),AND(D11="retain",E11="internal_nonstatistical",OR(COUNTIF(opt_internalStatus,K11)&lt;&gt;1)),AND(D11="retain",E11="plan_material",OR(COUNTIF(opt_internalStatus,K11)&lt;&gt;1)),AND(D11="retain",E11="protocol_report",OR(COUNTIF(opt_documentationStatus,L11)&lt;&gt;1,COUNTIF(opt_justificationStatus,M11)&lt;&gt;1,COUNTIF(opt_protocolInterpretation,N11)&lt;&gt;1))),"CHECK FIELDS",IF(F11="yes","READY - validate saved file","DRAFT"))</f>
        <v/>
      </c>
      <c r="H11" s="4" t="inlineStr"/>
      <c r="I11" s="4" t="inlineStr"/>
      <c r="J11" s="4" t="inlineStr"/>
      <c r="K11" s="4" t="inlineStr"/>
      <c r="L11" s="4" t="inlineStr"/>
      <c r="M11" s="4" t="inlineStr"/>
      <c r="N11" s="4" t="inlineStr"/>
      <c r="O11" s="4" t="inlineStr"/>
      <c r="P11" s="4" t="inlineStr"/>
    </row>
    <row r="12" ht="76" customHeight="1">
      <c r="A12" s="2" t="inlineStr">
        <is>
          <t>2019::jama.2019.14231::C011</t>
        </is>
      </c>
      <c r="B12" s="2" t="inlineStr">
        <is>
          <t>Standardized-difference footnote says absolute value while columns contain negative values</t>
        </is>
      </c>
      <c r="C12" s="2" t="inlineStr">
        <is>
          <t>Main article — PDF p. 5, PDF p. 6.</t>
        </is>
      </c>
      <c r="D12" s="4" t="inlineStr"/>
      <c r="E12" s="4" t="inlineStr">
        <is>
          <t>internal_nonstatistical</t>
        </is>
      </c>
      <c r="F12" s="4" t="inlineStr">
        <is>
          <t>no</t>
        </is>
      </c>
      <c r="G12" s="2">
        <f>IF(OR(COUNTIF(opt_disposition,D12)&lt;&gt;1,COUNTIF(opt_domain,E12)&lt;&gt;1,AND(D12="retain",E12="statistical_results",OR(COUNTIF(opt_statisticalErrorStatus,H12)&lt;&gt;1,COUNTIF(opt_substantiveStatus,I12)&lt;&gt;1,COUNTIF(opt_downstreamImpact,J12)&lt;&gt;1)),AND(D12="retain",E12="internal_nonstatistical",OR(COUNTIF(opt_internalStatus,K12)&lt;&gt;1)),AND(D12="retain",E12="plan_material",OR(COUNTIF(opt_internalStatus,K12)&lt;&gt;1)),AND(D12="retain",E12="protocol_report",OR(COUNTIF(opt_documentationStatus,L12)&lt;&gt;1,COUNTIF(opt_justificationStatus,M12)&lt;&gt;1,COUNTIF(opt_protocolInterpretation,N12)&lt;&gt;1))),"CHECK FIELDS",IF(F12="yes","READY - validate saved file","DRAFT"))</f>
        <v/>
      </c>
      <c r="H12" s="4" t="inlineStr"/>
      <c r="I12" s="4" t="inlineStr"/>
      <c r="J12" s="4" t="inlineStr"/>
      <c r="K12" s="4" t="inlineStr"/>
      <c r="L12" s="4" t="inlineStr"/>
      <c r="M12" s="4" t="inlineStr"/>
      <c r="N12" s="4" t="inlineStr"/>
      <c r="O12" s="4" t="inlineStr"/>
      <c r="P12" s="4" t="inlineStr"/>
    </row>
  </sheetData>
  <sheetProtection selectLockedCells="0" selectUnlockedCells="0" sheet="1" objects="0" insertRows="1" insertHyperlinks="1" autoFilter="0" scenarios="0" formatColumns="1" deleteColumns="1" insertColumns="1" pivotTables="1" deleteRows="1" formatCells="1" formatRows="1" sort="1"/>
  <autoFilter ref="A1:P12"/>
  <conditionalFormatting sqref="H2:H12">
    <cfRule type="expression" priority="1" dxfId="0">
      <formula>OR($D2&lt;&gt;"retain",NOT(OR($E2="statistical_results")))</formula>
    </cfRule>
  </conditionalFormatting>
  <conditionalFormatting sqref="I2:I12">
    <cfRule type="expression" priority="2" dxfId="0">
      <formula>OR($D2&lt;&gt;"retain",NOT(OR($E2="statistical_results")))</formula>
    </cfRule>
  </conditionalFormatting>
  <conditionalFormatting sqref="J2:J12">
    <cfRule type="expression" priority="3" dxfId="0">
      <formula>OR($D2&lt;&gt;"retain",NOT(OR($E2="statistical_results")))</formula>
    </cfRule>
  </conditionalFormatting>
  <conditionalFormatting sqref="K2:K12">
    <cfRule type="expression" priority="4" dxfId="0">
      <formula>OR($D2&lt;&gt;"retain",NOT(OR($E2="internal_nonstatistical",$E2="plan_material")))</formula>
    </cfRule>
  </conditionalFormatting>
  <conditionalFormatting sqref="L2:L12">
    <cfRule type="expression" priority="5" dxfId="0">
      <formula>OR($D2&lt;&gt;"retain",NOT(OR($E2="protocol_report")))</formula>
    </cfRule>
  </conditionalFormatting>
  <conditionalFormatting sqref="M2:M12">
    <cfRule type="expression" priority="6" dxfId="0">
      <formula>OR($D2&lt;&gt;"retain",NOT(OR($E2="protocol_report")))</formula>
    </cfRule>
  </conditionalFormatting>
  <conditionalFormatting sqref="N2:N12">
    <cfRule type="expression" priority="7" dxfId="0">
      <formula>OR($D2&lt;&gt;"retain",NOT(OR($E2="protocol_report")))</formula>
    </cfRule>
  </conditionalFormatting>
  <dataValidations count="10">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domain" prompt="See Codebook for meanings." type="list" errorStyle="stop">
      <formula1>opt_domain</formula1>
    </dataValidation>
    <dataValidation sqref="F2:F12" showDropDown="0" showInputMessage="1" showErrorMessage="1" allowBlank="1" errorTitle="Invalid option" error="Choose a listed value." promptTitle="reviewComplete" prompt="See Codebook for meanings." type="list" errorStyle="stop">
      <formula1>opt_reviewComplete</formula1>
    </dataValidation>
    <dataValidation sqref="H2:H12"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12" showDropDown="0" showInputMessage="1" showErrorMessage="1" allowBlank="1" errorTitle="Invalid option" error="Choose a listed value." promptTitle="substantiveStatus" prompt="See Codebook for meanings." type="list" errorStyle="stop">
      <formula1>opt_substantiveStatus</formula1>
    </dataValidation>
    <dataValidation sqref="J2:J12" showDropDown="0" showInputMessage="1" showErrorMessage="1" allowBlank="1" errorTitle="Invalid option" error="Choose a listed value." promptTitle="downstreamImpact" prompt="See Codebook for meanings." type="list" errorStyle="stop">
      <formula1>opt_downstreamImpact</formula1>
    </dataValidation>
    <dataValidation sqref="K2:K12" showDropDown="0" showInputMessage="1" showErrorMessage="1" allowBlank="1" errorTitle="Invalid option" error="Choose a listed value." promptTitle="internalStatus" prompt="See Codebook for meanings." type="list" errorStyle="stop">
      <formula1>opt_internalStatus</formula1>
    </dataValidation>
    <dataValidation sqref="L2:L12"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12"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12"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P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4" t="inlineStr"/>
      <c r="E2" s="4" t="inlineStr">
        <is>
          <t>internal_nonstatistical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2019::jama.2019.14630::C002</t>
        </is>
      </c>
      <c r="B3" s="3" t="inlineStr">
        <is>
          <t>eTable 2 red-wine median lies above its printed upper quartile</t>
        </is>
      </c>
      <c r="C3" s="3" t="inlineStr">
        <is>
          <t>Supplement 3 eTable 2 red-wine row and footnote — PDF p. 7.</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4" t="inlineStr"/>
      <c r="E4" s="4" t="inlineStr">
        <is>
          <t>internal_nonstatistical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4" t="inlineStr"/>
      <c r="E5" s="4" t="inlineStr">
        <is>
          <t>internal_nonstatistical</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4" t="inlineStr"/>
      <c r="E6" s="4" t="inlineStr">
        <is>
          <t>internal_nonstatistical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2019::jama.2019.14630::C006</t>
        </is>
      </c>
      <c r="B7" s="3" t="inlineStr">
        <is>
          <t>baseline body-weight summaries differ between Table 1 and eTable 9</t>
        </is>
      </c>
      <c r="C7" s="3" t="inlineStr">
        <is>
          <t>main article Table 1 — PDF p. 4; Supplement 3 eTable 9 — PDF p. 23.</t>
        </is>
      </c>
      <c r="D7" s="4" t="inlineStr"/>
      <c r="E7" s="4" t="inlineStr">
        <is>
          <t>internal_nonstatistical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2019::jama.2019.14630::C007</t>
        </is>
      </c>
      <c r="B8" s="2" t="inlineStr">
        <is>
          <t>baseline BMI means differ between Table 1 and eTable 9</t>
        </is>
      </c>
      <c r="C8" s="2" t="inlineStr">
        <is>
          <t>main article Table 1 — PDF p. 4; Supplement 3 eTable 9 — PDF p. 23.</t>
        </is>
      </c>
      <c r="D8" s="4" t="inlineStr"/>
      <c r="E8" s="4" t="inlineStr">
        <is>
          <t>internal_nonstatistical</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4" t="inlineStr"/>
      <c r="E9" s="4" t="inlineStr">
        <is>
          <t>internal_nonstatistical</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4" t="inlineStr"/>
      <c r="E10" s="4" t="inlineStr">
        <is>
          <t>internal_nonstatistical</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sheetData>
  <sheetProtection selectLockedCells="0" selectUnlockedCells="0" sheet="1" objects="0" insertRows="1" insertHyperlinks="1" autoFilter="0" scenarios="0" formatColumns="1" deleteColumns="1" insertColumns="1" pivotTables="1" deleteRows="1" formatCells="1" formatRows="1" sort="1"/>
  <autoFilter ref="A1:P10"/>
  <conditionalFormatting sqref="H2:H10">
    <cfRule type="expression" priority="1" dxfId="0">
      <formula>OR($D2&lt;&gt;"retain",NOT(OR($E2="statistical_results")))</formula>
    </cfRule>
  </conditionalFormatting>
  <conditionalFormatting sqref="I2:I10">
    <cfRule type="expression" priority="2" dxfId="0">
      <formula>OR($D2&lt;&gt;"retain",NOT(OR($E2="statistical_results")))</formula>
    </cfRule>
  </conditionalFormatting>
  <conditionalFormatting sqref="J2:J10">
    <cfRule type="expression" priority="3" dxfId="0">
      <formula>OR($D2&lt;&gt;"retain",NOT(OR($E2="statistical_results")))</formula>
    </cfRule>
  </conditionalFormatting>
  <conditionalFormatting sqref="K2:K10">
    <cfRule type="expression" priority="4" dxfId="0">
      <formula>OR($D2&lt;&gt;"retain",NOT(OR($E2="internal_nonstatistical",$E2="plan_material")))</formula>
    </cfRule>
  </conditionalFormatting>
  <conditionalFormatting sqref="L2:L10">
    <cfRule type="expression" priority="5" dxfId="0">
      <formula>OR($D2&lt;&gt;"retain",NOT(OR($E2="protocol_report")))</formula>
    </cfRule>
  </conditionalFormatting>
  <conditionalFormatting sqref="M2:M10">
    <cfRule type="expression" priority="6" dxfId="0">
      <formula>OR($D2&lt;&gt;"retain",NOT(OR($E2="protocol_report")))</formula>
    </cfRule>
  </conditionalFormatting>
  <conditionalFormatting sqref="N2:N10">
    <cfRule type="expression" priority="7" dxfId="0">
      <formula>OR($D2&lt;&gt;"retain",NOT(OR($E2="protocol_report")))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domain" prompt="See Codebook for meanings." type="list" errorStyle="stop">
      <formula1>opt_domain</formula1>
    </dataValidation>
    <dataValidation sqref="F2:F10" showDropDown="0" showInputMessage="1" showErrorMessage="1" allowBlank="1" errorTitle="Invalid option" error="Choose a listed value." promptTitle="reviewComplete" prompt="See Codebook for meanings." type="list" errorStyle="stop">
      <formula1>opt_reviewComplete</formula1>
    </dataValidation>
    <dataValidation sqref="H2:H10"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10" showDropDown="0" showInputMessage="1" showErrorMessage="1" allowBlank="1" errorTitle="Invalid option" error="Choose a listed value." promptTitle="substantiveStatus" prompt="See Codebook for meanings." type="list" errorStyle="stop">
      <formula1>opt_substantiveStatus</formula1>
    </dataValidation>
    <dataValidation sqref="J2:J10" showDropDown="0" showInputMessage="1" showErrorMessage="1" allowBlank="1" errorTitle="Invalid option" error="Choose a listed value." promptTitle="downstreamImpact" prompt="See Codebook for meanings." type="list" errorStyle="stop">
      <formula1>opt_downstreamImpact</formula1>
    </dataValidation>
    <dataValidation sqref="K2:K10" showDropDown="0" showInputMessage="1" showErrorMessage="1" allowBlank="1" errorTitle="Invalid option" error="Choose a listed value." promptTitle="internalStatus" prompt="See Codebook for meanings." type="list" errorStyle="stop">
      <formula1>opt_internalStatus</formula1>
    </dataValidation>
    <dataValidation sqref="L2:L10"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10"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10"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P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2019::jama.2019.14901::C001</t>
        </is>
      </c>
      <c r="B2" s="2" t="inlineStr">
        <is>
          <t>Day-7 respiratory-failure absolute difference differs across matched article locations</t>
        </is>
      </c>
      <c r="C2" s="2" t="inlineStr"/>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2019::jama.2019.14901::C002</t>
        </is>
      </c>
      <c r="B3" s="3" t="inlineStr">
        <is>
          <t>Reintubation respiratory-acidosis cutoff differs between article and protocol</t>
        </is>
      </c>
      <c r="C3" s="3" t="inlineStr"/>
      <c r="D3" s="4" t="inlineStr"/>
      <c r="E3" s="4" t="inlineStr">
        <is>
          <t>protocol_report</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2019::jama.2019.14901::C003</t>
        </is>
      </c>
      <c r="B4" s="2" t="inlineStr">
        <is>
          <t>Hypercapnic ineffective-cough percentages conflict with printed fractions</t>
        </is>
      </c>
      <c r="C4" s="2" t="inlineStr"/>
      <c r="D4" s="4" t="inlineStr"/>
      <c r="E4" s="4" t="inlineStr">
        <is>
          <t>statistical_results</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2019::jama.2019.14901::C004</t>
        </is>
      </c>
      <c r="B5" s="3" t="inlineStr">
        <is>
          <t>Hypercapnic abundant-secretion percentages conflict with printed fractions</t>
        </is>
      </c>
      <c r="C5" s="3" t="inlineStr"/>
      <c r="D5" s="4" t="inlineStr"/>
      <c r="E5" s="4" t="inlineStr">
        <is>
          <t>statistical_results</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2019::jama.2019.14901::C005</t>
        </is>
      </c>
      <c r="B6" s="2" t="inlineStr">
        <is>
          <t>Matched nonhypercapnic day-7 reintubation P values differ across article and supplement</t>
        </is>
      </c>
      <c r="C6" s="2" t="inlineStr"/>
      <c r="D6" s="4" t="inlineStr"/>
      <c r="E6" s="4" t="inlineStr">
        <is>
          <t>internal_nonstatistical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2019::jama.2019.14901::C006</t>
        </is>
      </c>
      <c r="B7" s="3" t="inlineStr">
        <is>
          <t>Protocol total-duration breakdown does not arithmetically reach the printed total</t>
        </is>
      </c>
      <c r="C7" s="3" t="inlineStr"/>
      <c r="D7" s="4" t="inlineStr"/>
      <c r="E7" s="4" t="inlineStr">
        <is>
          <t>plan_material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sheetData>
  <sheetProtection selectLockedCells="0" selectUnlockedCells="0" sheet="1" objects="0" insertRows="1" insertHyperlinks="1" autoFilter="0" scenarios="0" formatColumns="1" deleteColumns="1" insertColumns="1" pivotTables="1" deleteRows="1" formatCells="1" formatRows="1" sort="1"/>
  <autoFilter ref="A1:P7"/>
  <conditionalFormatting sqref="H2:H7">
    <cfRule type="expression" priority="1" dxfId="0">
      <formula>OR($D2&lt;&gt;"retain",NOT(OR($E2="statistical_results")))</formula>
    </cfRule>
  </conditionalFormatting>
  <conditionalFormatting sqref="I2:I7">
    <cfRule type="expression" priority="2" dxfId="0">
      <formula>OR($D2&lt;&gt;"retain",NOT(OR($E2="statistical_results")))</formula>
    </cfRule>
  </conditionalFormatting>
  <conditionalFormatting sqref="J2:J7">
    <cfRule type="expression" priority="3" dxfId="0">
      <formula>OR($D2&lt;&gt;"retain",NOT(OR($E2="statistical_results")))</formula>
    </cfRule>
  </conditionalFormatting>
  <conditionalFormatting sqref="K2:K7">
    <cfRule type="expression" priority="4" dxfId="0">
      <formula>OR($D2&lt;&gt;"retain",NOT(OR($E2="internal_nonstatistical",$E2="plan_material")))</formula>
    </cfRule>
  </conditionalFormatting>
  <conditionalFormatting sqref="L2:L7">
    <cfRule type="expression" priority="5" dxfId="0">
      <formula>OR($D2&lt;&gt;"retain",NOT(OR($E2="protocol_report")))</formula>
    </cfRule>
  </conditionalFormatting>
  <conditionalFormatting sqref="M2:M7">
    <cfRule type="expression" priority="6" dxfId="0">
      <formula>OR($D2&lt;&gt;"retain",NOT(OR($E2="protocol_report")))</formula>
    </cfRule>
  </conditionalFormatting>
  <conditionalFormatting sqref="N2:N7">
    <cfRule type="expression" priority="7" dxfId="0">
      <formula>OR($D2&lt;&gt;"retain",NOT(OR($E2="protocol_report")))</formula>
    </cfRule>
  </conditionalFormatting>
  <dataValidations count="10">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domain" prompt="See Codebook for meanings." type="list" errorStyle="stop">
      <formula1>opt_domain</formula1>
    </dataValidation>
    <dataValidation sqref="F2:F7" showDropDown="0" showInputMessage="1" showErrorMessage="1" allowBlank="1" errorTitle="Invalid option" error="Choose a listed value." promptTitle="reviewComplete" prompt="See Codebook for meanings." type="list" errorStyle="stop">
      <formula1>opt_reviewComplete</formula1>
    </dataValidation>
    <dataValidation sqref="H2:H7"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7" showDropDown="0" showInputMessage="1" showErrorMessage="1" allowBlank="1" errorTitle="Invalid option" error="Choose a listed value." promptTitle="substantiveStatus" prompt="See Codebook for meanings." type="list" errorStyle="stop">
      <formula1>opt_substantiveStatus</formula1>
    </dataValidation>
    <dataValidation sqref="J2:J7" showDropDown="0" showInputMessage="1" showErrorMessage="1" allowBlank="1" errorTitle="Invalid option" error="Choose a listed value." promptTitle="downstreamImpact" prompt="See Codebook for meanings." type="list" errorStyle="stop">
      <formula1>opt_downstreamImpact</formula1>
    </dataValidation>
    <dataValidation sqref="K2:K7" showDropDown="0" showInputMessage="1" showErrorMessage="1" allowBlank="1" errorTitle="Invalid option" error="Choose a listed value." promptTitle="internalStatus" prompt="See Codebook for meanings." type="list" errorStyle="stop">
      <formula1>opt_internalStatus</formula1>
    </dataValidation>
    <dataValidation sqref="L2:L7"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7"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7"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P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2019::jama.2019.17380::C001</t>
        </is>
      </c>
      <c r="B2" s="2" t="inlineStr">
        <is>
          <t>Figure 2 omega-3 eGFR contributor counts conflict with Table 2</t>
        </is>
      </c>
      <c r="C2" s="2" t="inlineStr">
        <is>
          <t>Figure 2 panel B — PDF p. 7; Table 2 — PDF p. 8.</t>
        </is>
      </c>
      <c r="D2" s="4" t="inlineStr"/>
      <c r="E2" s="4" t="inlineStr">
        <is>
          <t>internal_nonstatistical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2019::jama.2019.17380::C002</t>
        </is>
      </c>
      <c r="B3" s="3" t="inlineStr">
        <is>
          <t>Figure 2 omega-3 urine-ACR contributor counts conflict with eTable 6</t>
        </is>
      </c>
      <c r="C3" s="3" t="inlineStr">
        <is>
          <t>Figure 2 panel D — PDF p. 7; eTable 6 — PDF p. 11.</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2019::jama.2019.17380::C003</t>
        </is>
      </c>
      <c r="B4" s="2" t="inlineStr">
        <is>
          <t>Figure 3 assigns vitamin-D arm sizes to the opposite column labels</t>
        </is>
      </c>
      <c r="C4" s="2" t="inlineStr">
        <is>
          <t>Abstract — PDF p. 1; Table 2 and Figure 3 — PDF p. 8.</t>
        </is>
      </c>
      <c r="D4" s="4" t="inlineStr"/>
      <c r="E4" s="4" t="inlineStr">
        <is>
          <t>internal_nonstatistical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2019::jama.2019.17380::C004</t>
        </is>
      </c>
      <c r="B5" s="3" t="inlineStr">
        <is>
          <t>Figure 4 assigns omega-3 arm sizes to the opposite column labels</t>
        </is>
      </c>
      <c r="C5" s="3" t="inlineStr">
        <is>
          <t>Abstract — PDF p. 1; Table 2 — PDF p. 8; Figure 4 — PDF p. 9.</t>
        </is>
      </c>
      <c r="D5" s="4" t="inlineStr"/>
      <c r="E5" s="4" t="inlineStr">
        <is>
          <t>internal_nonstatistical</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4" t="inlineStr"/>
      <c r="E6" s="4" t="inlineStr">
        <is>
          <t>internal_nonstatistical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2019::jama.2019.17380::C006</t>
        </is>
      </c>
      <c r="B7" s="3" t="inlineStr">
        <is>
          <t>eFigure 3 places omega-3 participant counts under the opposite headings</t>
        </is>
      </c>
      <c r="C7" s="3" t="inlineStr">
        <is>
          <t>Abstract — PDF p. 1; eTable 6 — PDF p. 11; eFigure 3 — PDF p. 19.</t>
        </is>
      </c>
      <c r="D7" s="4" t="inlineStr"/>
      <c r="E7" s="4" t="inlineStr">
        <is>
          <t>internal_nonstatistical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4" t="inlineStr"/>
      <c r="E8" s="4" t="inlineStr">
        <is>
          <t>protocol_report</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sheetData>
  <sheetProtection selectLockedCells="0" selectUnlockedCells="0" sheet="1" objects="0" insertRows="1" insertHyperlinks="1" autoFilter="0" scenarios="0" formatColumns="1" deleteColumns="1" insertColumns="1" pivotTables="1" deleteRows="1" formatCells="1" formatRows="1" sort="1"/>
  <autoFilter ref="A1:P8"/>
  <conditionalFormatting sqref="H2:H8">
    <cfRule type="expression" priority="1" dxfId="0">
      <formula>OR($D2&lt;&gt;"retain",NOT(OR($E2="statistical_results")))</formula>
    </cfRule>
  </conditionalFormatting>
  <conditionalFormatting sqref="I2:I8">
    <cfRule type="expression" priority="2" dxfId="0">
      <formula>OR($D2&lt;&gt;"retain",NOT(OR($E2="statistical_results")))</formula>
    </cfRule>
  </conditionalFormatting>
  <conditionalFormatting sqref="J2:J8">
    <cfRule type="expression" priority="3" dxfId="0">
      <formula>OR($D2&lt;&gt;"retain",NOT(OR($E2="statistical_results")))</formula>
    </cfRule>
  </conditionalFormatting>
  <conditionalFormatting sqref="K2:K8">
    <cfRule type="expression" priority="4" dxfId="0">
      <formula>OR($D2&lt;&gt;"retain",NOT(OR($E2="internal_nonstatistical",$E2="plan_material")))</formula>
    </cfRule>
  </conditionalFormatting>
  <conditionalFormatting sqref="L2:L8">
    <cfRule type="expression" priority="5" dxfId="0">
      <formula>OR($D2&lt;&gt;"retain",NOT(OR($E2="protocol_report")))</formula>
    </cfRule>
  </conditionalFormatting>
  <conditionalFormatting sqref="M2:M8">
    <cfRule type="expression" priority="6" dxfId="0">
      <formula>OR($D2&lt;&gt;"retain",NOT(OR($E2="protocol_report")))</formula>
    </cfRule>
  </conditionalFormatting>
  <conditionalFormatting sqref="N2:N8">
    <cfRule type="expression" priority="7" dxfId="0">
      <formula>OR($D2&lt;&gt;"retain",NOT(OR($E2="protocol_report")))</formula>
    </cfRule>
  </conditionalFormatting>
  <dataValidations count="10">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domain" prompt="See Codebook for meanings." type="list" errorStyle="stop">
      <formula1>opt_domain</formula1>
    </dataValidation>
    <dataValidation sqref="F2:F8" showDropDown="0" showInputMessage="1" showErrorMessage="1" allowBlank="1" errorTitle="Invalid option" error="Choose a listed value." promptTitle="reviewComplete" prompt="See Codebook for meanings." type="list" errorStyle="stop">
      <formula1>opt_reviewComplete</formula1>
    </dataValidation>
    <dataValidation sqref="H2:H8"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8" showDropDown="0" showInputMessage="1" showErrorMessage="1" allowBlank="1" errorTitle="Invalid option" error="Choose a listed value." promptTitle="substantiveStatus" prompt="See Codebook for meanings." type="list" errorStyle="stop">
      <formula1>opt_substantiveStatus</formula1>
    </dataValidation>
    <dataValidation sqref="J2:J8" showDropDown="0" showInputMessage="1" showErrorMessage="1" allowBlank="1" errorTitle="Invalid option" error="Choose a listed value." promptTitle="downstreamImpact" prompt="See Codebook for meanings." type="list" errorStyle="stop">
      <formula1>opt_downstreamImpact</formula1>
    </dataValidation>
    <dataValidation sqref="K2:K8" showDropDown="0" showInputMessage="1" showErrorMessage="1" allowBlank="1" errorTitle="Invalid option" error="Choose a listed value." promptTitle="internalStatus" prompt="See Codebook for meanings." type="list" errorStyle="stop">
      <formula1>opt_internalStatus</formula1>
    </dataValidation>
    <dataValidation sqref="L2:L8"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8"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8"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P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2019::jama.2019.2210::C002</t>
        </is>
      </c>
      <c r="B3" s="3" t="inlineStr">
        <is>
          <t>Figure 3 caption says panel-C risk numbers are absent although the panel prints them</t>
        </is>
      </c>
      <c r="C3" s="3" t="inlineStr">
        <is>
          <t>main article — PDF p. 7.</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2019::jama.2019.2210::C003</t>
        </is>
      </c>
      <c r="B4" s="2" t="inlineStr">
        <is>
          <t>Final protocol gives different accrual stopping thresholds</t>
        </is>
      </c>
      <c r="C4" s="2" t="inlineStr">
        <is>
          <t>Supplement 1 — PDF p. 18 and Supplement 1 — PDF p. 31.</t>
        </is>
      </c>
      <c r="D4" s="4" t="inlineStr"/>
      <c r="E4" s="4" t="inlineStr">
        <is>
          <t>plan_material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4" t="inlineStr"/>
      <c r="E5" s="4" t="inlineStr">
        <is>
          <t>protocol_report</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2019::jama.2019.2210::C005</t>
        </is>
      </c>
      <c r="B6" s="2" t="inlineStr">
        <is>
          <t>One final-protocol high-25(OH)D stratum label omits the boundary operator</t>
        </is>
      </c>
      <c r="C6" s="2" t="inlineStr">
        <is>
          <t>Supplement 1 — PDF p. 23 and p. 31; main article — PDF p. 3.</t>
        </is>
      </c>
      <c r="D6" s="4" t="inlineStr"/>
      <c r="E6" s="4" t="inlineStr">
        <is>
          <t>plan_material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2019::jama.2019.2210::C006</t>
        </is>
      </c>
      <c r="B7" s="3" t="inlineStr">
        <is>
          <t>Supplement labels Cdx2 genotype panels as CDK2</t>
        </is>
      </c>
      <c r="C7" s="3" t="inlineStr">
        <is>
          <t>main article — PDF p. 5; Supplement 1 — PDF p. 27; Supplement 2 — PDF p. 13, p. 14, and p. 15.</t>
        </is>
      </c>
      <c r="D7" s="4" t="inlineStr"/>
      <c r="E7" s="4" t="inlineStr">
        <is>
          <t>internal_nonstatistical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4" t="inlineStr"/>
      <c r="E8" s="4" t="inlineStr">
        <is>
          <t>statistical_results</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4" t="inlineStr"/>
      <c r="E9" s="4" t="inlineStr">
        <is>
          <t>protocol_report</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2019::jama.2019.2210::C009</t>
        </is>
      </c>
      <c r="B10" s="2" t="inlineStr">
        <is>
          <t>Table 2 hazard-ratio direction footnote is opposite the displayed outcome direction</t>
        </is>
      </c>
      <c r="C10" s="2" t="inlineStr">
        <is>
          <t>main article — PDF p. 4, p. 6, and p. 7.</t>
        </is>
      </c>
      <c r="D10" s="4" t="inlineStr"/>
      <c r="E10" s="4" t="inlineStr">
        <is>
          <t>internal_nonstatistical</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sheetData>
  <sheetProtection selectLockedCells="0" selectUnlockedCells="0" sheet="1" objects="0" insertRows="1" insertHyperlinks="1" autoFilter="0" scenarios="0" formatColumns="1" deleteColumns="1" insertColumns="1" pivotTables="1" deleteRows="1" formatCells="1" formatRows="1" sort="1"/>
  <autoFilter ref="A1:P10"/>
  <conditionalFormatting sqref="H2:H10">
    <cfRule type="expression" priority="1" dxfId="0">
      <formula>OR($D2&lt;&gt;"retain",NOT(OR($E2="statistical_results")))</formula>
    </cfRule>
  </conditionalFormatting>
  <conditionalFormatting sqref="I2:I10">
    <cfRule type="expression" priority="2" dxfId="0">
      <formula>OR($D2&lt;&gt;"retain",NOT(OR($E2="statistical_results")))</formula>
    </cfRule>
  </conditionalFormatting>
  <conditionalFormatting sqref="J2:J10">
    <cfRule type="expression" priority="3" dxfId="0">
      <formula>OR($D2&lt;&gt;"retain",NOT(OR($E2="statistical_results")))</formula>
    </cfRule>
  </conditionalFormatting>
  <conditionalFormatting sqref="K2:K10">
    <cfRule type="expression" priority="4" dxfId="0">
      <formula>OR($D2&lt;&gt;"retain",NOT(OR($E2="internal_nonstatistical",$E2="plan_material")))</formula>
    </cfRule>
  </conditionalFormatting>
  <conditionalFormatting sqref="L2:L10">
    <cfRule type="expression" priority="5" dxfId="0">
      <formula>OR($D2&lt;&gt;"retain",NOT(OR($E2="protocol_report")))</formula>
    </cfRule>
  </conditionalFormatting>
  <conditionalFormatting sqref="M2:M10">
    <cfRule type="expression" priority="6" dxfId="0">
      <formula>OR($D2&lt;&gt;"retain",NOT(OR($E2="protocol_report")))</formula>
    </cfRule>
  </conditionalFormatting>
  <conditionalFormatting sqref="N2:N10">
    <cfRule type="expression" priority="7" dxfId="0">
      <formula>OR($D2&lt;&gt;"retain",NOT(OR($E2="protocol_report")))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domain" prompt="See Codebook for meanings." type="list" errorStyle="stop">
      <formula1>opt_domain</formula1>
    </dataValidation>
    <dataValidation sqref="F2:F10" showDropDown="0" showInputMessage="1" showErrorMessage="1" allowBlank="1" errorTitle="Invalid option" error="Choose a listed value." promptTitle="reviewComplete" prompt="See Codebook for meanings." type="list" errorStyle="stop">
      <formula1>opt_reviewComplete</formula1>
    </dataValidation>
    <dataValidation sqref="H2:H10"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10" showDropDown="0" showInputMessage="1" showErrorMessage="1" allowBlank="1" errorTitle="Invalid option" error="Choose a listed value." promptTitle="substantiveStatus" prompt="See Codebook for meanings." type="list" errorStyle="stop">
      <formula1>opt_substantiveStatus</formula1>
    </dataValidation>
    <dataValidation sqref="J2:J10" showDropDown="0" showInputMessage="1" showErrorMessage="1" allowBlank="1" errorTitle="Invalid option" error="Choose a listed value." promptTitle="downstreamImpact" prompt="See Codebook for meanings." type="list" errorStyle="stop">
      <formula1>opt_downstreamImpact</formula1>
    </dataValidation>
    <dataValidation sqref="K2:K10" showDropDown="0" showInputMessage="1" showErrorMessage="1" allowBlank="1" errorTitle="Invalid option" error="Choose a listed value." promptTitle="internalStatus" prompt="See Codebook for meanings." type="list" errorStyle="stop">
      <formula1>opt_internalStatus</formula1>
    </dataValidation>
    <dataValidation sqref="L2:L10"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10"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10"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P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4" t="inlineStr"/>
      <c r="E4" s="4" t="inlineStr">
        <is>
          <t>statistical_results</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4" t="inlineStr"/>
      <c r="E5" s="4" t="inlineStr">
        <is>
          <t>internal_nonstatistical</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4" t="inlineStr"/>
      <c r="E6" s="4" t="inlineStr">
        <is>
          <t>plan_material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sheetData>
  <sheetProtection selectLockedCells="0" selectUnlockedCells="0" sheet="1" objects="0" insertRows="1" insertHyperlinks="1" autoFilter="0" scenarios="0" formatColumns="1" deleteColumns="1" insertColumns="1" pivotTables="1" deleteRows="1" formatCells="1" formatRows="1" sort="1"/>
  <autoFilter ref="A1:P6"/>
  <conditionalFormatting sqref="H2:H6">
    <cfRule type="expression" priority="1" dxfId="0">
      <formula>OR($D2&lt;&gt;"retain",NOT(OR($E2="statistical_results")))</formula>
    </cfRule>
  </conditionalFormatting>
  <conditionalFormatting sqref="I2:I6">
    <cfRule type="expression" priority="2" dxfId="0">
      <formula>OR($D2&lt;&gt;"retain",NOT(OR($E2="statistical_results")))</formula>
    </cfRule>
  </conditionalFormatting>
  <conditionalFormatting sqref="J2:J6">
    <cfRule type="expression" priority="3" dxfId="0">
      <formula>OR($D2&lt;&gt;"retain",NOT(OR($E2="statistical_results")))</formula>
    </cfRule>
  </conditionalFormatting>
  <conditionalFormatting sqref="K2:K6">
    <cfRule type="expression" priority="4" dxfId="0">
      <formula>OR($D2&lt;&gt;"retain",NOT(OR($E2="internal_nonstatistical",$E2="plan_material")))</formula>
    </cfRule>
  </conditionalFormatting>
  <conditionalFormatting sqref="L2:L6">
    <cfRule type="expression" priority="5" dxfId="0">
      <formula>OR($D2&lt;&gt;"retain",NOT(OR($E2="protocol_report")))</formula>
    </cfRule>
  </conditionalFormatting>
  <conditionalFormatting sqref="M2:M6">
    <cfRule type="expression" priority="6" dxfId="0">
      <formula>OR($D2&lt;&gt;"retain",NOT(OR($E2="protocol_report")))</formula>
    </cfRule>
  </conditionalFormatting>
  <conditionalFormatting sqref="N2:N6">
    <cfRule type="expression" priority="7" dxfId="0">
      <formula>OR($D2&lt;&gt;"retain",NOT(OR($E2="protocol_report")))</formula>
    </cfRule>
  </conditionalFormatting>
  <dataValidations count="10">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domain" prompt="See Codebook for meanings." type="list" errorStyle="stop">
      <formula1>opt_domain</formula1>
    </dataValidation>
    <dataValidation sqref="F2:F6" showDropDown="0" showInputMessage="1" showErrorMessage="1" allowBlank="1" errorTitle="Invalid option" error="Choose a listed value." promptTitle="reviewComplete" prompt="See Codebook for meanings." type="list" errorStyle="stop">
      <formula1>opt_reviewComplete</formula1>
    </dataValidation>
    <dataValidation sqref="H2:H6"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6" showDropDown="0" showInputMessage="1" showErrorMessage="1" allowBlank="1" errorTitle="Invalid option" error="Choose a listed value." promptTitle="substantiveStatus" prompt="See Codebook for meanings." type="list" errorStyle="stop">
      <formula1>opt_substantiveStatus</formula1>
    </dataValidation>
    <dataValidation sqref="J2:J6" showDropDown="0" showInputMessage="1" showErrorMessage="1" allowBlank="1" errorTitle="Invalid option" error="Choose a listed value." promptTitle="downstreamImpact" prompt="See Codebook for meanings." type="list" errorStyle="stop">
      <formula1>opt_downstreamImpact</formula1>
    </dataValidation>
    <dataValidation sqref="K2:K6" showDropDown="0" showInputMessage="1" showErrorMessage="1" allowBlank="1" errorTitle="Invalid option" error="Choose a listed value." promptTitle="internalStatus" prompt="See Codebook for meanings." type="list" errorStyle="stop">
      <formula1>opt_internalStatus</formula1>
    </dataValidation>
    <dataValidation sqref="L2:L6"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6"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6"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P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4" t="inlineStr"/>
      <c r="E2" s="4" t="inlineStr">
        <is>
          <t>internal_nonstatistical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4" t="inlineStr"/>
      <c r="E4" s="4" t="inlineStr">
        <is>
          <t>plan_material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4" t="inlineStr"/>
      <c r="E5" s="4" t="inlineStr">
        <is>
          <t>internal_nonstatistical</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sheetData>
  <sheetProtection selectLockedCells="0" selectUnlockedCells="0" sheet="1" objects="0" insertRows="1" insertHyperlinks="1" autoFilter="0" scenarios="0" formatColumns="1" deleteColumns="1" insertColumns="1" pivotTables="1" deleteRows="1" formatCells="1" formatRows="1" sort="1"/>
  <autoFilter ref="A1:P5"/>
  <conditionalFormatting sqref="H2:H5">
    <cfRule type="expression" priority="1" dxfId="0">
      <formula>OR($D2&lt;&gt;"retain",NOT(OR($E2="statistical_results")))</formula>
    </cfRule>
  </conditionalFormatting>
  <conditionalFormatting sqref="I2:I5">
    <cfRule type="expression" priority="2" dxfId="0">
      <formula>OR($D2&lt;&gt;"retain",NOT(OR($E2="statistical_results")))</formula>
    </cfRule>
  </conditionalFormatting>
  <conditionalFormatting sqref="J2:J5">
    <cfRule type="expression" priority="3" dxfId="0">
      <formula>OR($D2&lt;&gt;"retain",NOT(OR($E2="statistical_results")))</formula>
    </cfRule>
  </conditionalFormatting>
  <conditionalFormatting sqref="K2:K5">
    <cfRule type="expression" priority="4" dxfId="0">
      <formula>OR($D2&lt;&gt;"retain",NOT(OR($E2="internal_nonstatistical",$E2="plan_material")))</formula>
    </cfRule>
  </conditionalFormatting>
  <conditionalFormatting sqref="L2:L5">
    <cfRule type="expression" priority="5" dxfId="0">
      <formula>OR($D2&lt;&gt;"retain",NOT(OR($E2="protocol_report")))</formula>
    </cfRule>
  </conditionalFormatting>
  <conditionalFormatting sqref="M2:M5">
    <cfRule type="expression" priority="6" dxfId="0">
      <formula>OR($D2&lt;&gt;"retain",NOT(OR($E2="protocol_report")))</formula>
    </cfRule>
  </conditionalFormatting>
  <conditionalFormatting sqref="N2:N5">
    <cfRule type="expression" priority="7" dxfId="0">
      <formula>OR($D2&lt;&gt;"retain",NOT(OR($E2="protocol_report")))</formula>
    </cfRule>
  </conditionalFormatting>
  <dataValidations count="10">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domain" prompt="See Codebook for meanings." type="list" errorStyle="stop">
      <formula1>opt_domain</formula1>
    </dataValidation>
    <dataValidation sqref="F2:F5" showDropDown="0" showInputMessage="1" showErrorMessage="1" allowBlank="1" errorTitle="Invalid option" error="Choose a listed value." promptTitle="reviewComplete" prompt="See Codebook for meanings." type="list" errorStyle="stop">
      <formula1>opt_reviewComplete</formula1>
    </dataValidation>
    <dataValidation sqref="H2:H5"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5" showDropDown="0" showInputMessage="1" showErrorMessage="1" allowBlank="1" errorTitle="Invalid option" error="Choose a listed value." promptTitle="substantiveStatus" prompt="See Codebook for meanings." type="list" errorStyle="stop">
      <formula1>opt_substantiveStatus</formula1>
    </dataValidation>
    <dataValidation sqref="J2:J5" showDropDown="0" showInputMessage="1" showErrorMessage="1" allowBlank="1" errorTitle="Invalid option" error="Choose a listed value." promptTitle="downstreamImpact" prompt="See Codebook for meanings." type="list" errorStyle="stop">
      <formula1>opt_downstreamImpact</formula1>
    </dataValidation>
    <dataValidation sqref="K2:K5" showDropDown="0" showInputMessage="1" showErrorMessage="1" allowBlank="1" errorTitle="Invalid option" error="Choose a listed value." promptTitle="internalStatus" prompt="See Codebook for meanings." type="list" errorStyle="stop">
      <formula1>opt_internalStatus</formula1>
    </dataValidation>
    <dataValidation sqref="L2:L5"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5"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5"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D7B95C"/>
    <outlinePr summaryBelow="1" summaryRight="1"/>
    <pageSetUpPr fitToPage="1"/>
  </sheetPr>
  <dimension ref="A1:T7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0" customWidth="1" min="2" max="2"/>
    <col width="28" customWidth="1" min="3" max="3"/>
    <col width="18" customWidth="1" min="4" max="4"/>
    <col width="32" customWidth="1" min="5" max="5"/>
    <col width="12" customWidth="1" min="6" max="6"/>
    <col width="22" customWidth="1" min="7" max="7"/>
    <col width="18" customWidth="1" min="8" max="8"/>
    <col width="32" customWidth="1" min="9" max="9"/>
    <col width="18" customWidth="1" min="10" max="10"/>
    <col width="24" customWidth="1" min="11" max="11"/>
    <col width="18" customWidth="1" min="12" max="12"/>
    <col width="18" customWidth="1" min="13" max="13"/>
    <col width="18" customWidth="1" min="14" max="14"/>
    <col width="22" customWidth="1" min="15" max="15"/>
    <col width="18" customWidth="1" min="16" max="16"/>
    <col width="18" customWidth="1" min="17" max="17"/>
    <col width="18" customWidth="1" min="18" max="18"/>
    <col width="18" customWidth="1" min="19" max="19"/>
    <col width="32" customWidth="1" min="20" max="20"/>
  </cols>
  <sheetData>
    <row r="1" ht="40" customHeight="1">
      <c r="A1" s="1" t="inlineStr">
        <is>
          <t>Candidate key</t>
        </is>
      </c>
      <c r="B1" s="1" t="inlineStr">
        <is>
          <t>Paper</t>
        </is>
      </c>
      <c r="C1" s="1" t="inlineStr">
        <is>
          <t>Candidate title</t>
        </is>
      </c>
      <c r="D1" s="1" t="inlineStr">
        <is>
          <t>Checker result</t>
        </is>
      </c>
      <c r="E1" s="1" t="inlineStr">
        <is>
          <t>Checker comment</t>
        </is>
      </c>
      <c r="F1" s="1" t="inlineStr">
        <is>
          <t>Complete</t>
        </is>
      </c>
      <c r="G1" s="1" t="inlineStr">
        <is>
          <t>Validation hint</t>
        </is>
      </c>
      <c r="H1" s="1" t="inlineStr">
        <is>
          <t>Discussion resolution</t>
        </is>
      </c>
      <c r="I1" s="1" t="inlineStr">
        <is>
          <t>Resolution note</t>
        </is>
      </c>
      <c r="J1" s="1" t="inlineStr">
        <is>
          <t>Disposition</t>
        </is>
      </c>
      <c r="K1" s="1" t="inlineStr">
        <is>
          <t>Review domain</t>
        </is>
      </c>
      <c r="L1" s="1" t="inlineStr">
        <is>
          <t>Statistical error</t>
        </is>
      </c>
      <c r="M1" s="1" t="inlineStr">
        <is>
          <t>Substantiveness</t>
        </is>
      </c>
      <c r="N1" s="1" t="inlineStr">
        <is>
          <t>Downstream impact</t>
        </is>
      </c>
      <c r="O1" s="1" t="inlineStr">
        <is>
          <t>Internal or plan assessment</t>
        </is>
      </c>
      <c r="P1" s="1" t="inlineStr">
        <is>
          <t>Documentation</t>
        </is>
      </c>
      <c r="Q1" s="1" t="inlineStr">
        <is>
          <t>Justification</t>
        </is>
      </c>
      <c r="R1" s="1" t="inlineStr">
        <is>
          <t>Protocol interpretation</t>
        </is>
      </c>
      <c r="S1" s="1" t="inlineStr">
        <is>
          <t>Related cluster (optional)</t>
        </is>
      </c>
      <c r="T1" s="1" t="inlineStr">
        <is>
          <t>Notes (optional)</t>
        </is>
      </c>
    </row>
    <row r="2" ht="76" customHeight="1">
      <c r="A2" s="2" t="inlineStr">
        <is>
          <t>2019::jama.2019.0556::C001</t>
        </is>
      </c>
      <c r="B2" s="2" t="inlineStr">
        <is>
          <t>jama.2019.0556</t>
        </is>
      </c>
      <c r="C2" s="2" t="inlineStr">
        <is>
          <t>Table 2 footnote duplicates the supplements-without-therapy label</t>
        </is>
      </c>
      <c r="D2" s="4" t="inlineStr"/>
      <c r="E2" s="4" t="inlineStr"/>
      <c r="F2" s="4" t="inlineStr">
        <is>
          <t>no</t>
        </is>
      </c>
      <c r="G2" s="2">
        <f>IF(D2="","PENDING",IF(AND(D2&lt;&gt;"agree",LEN(TRIM(E2))=0),"COMMENT NEEDED",IF(F2="yes","CHECKED - see resolution","DRAFT")))</f>
        <v/>
      </c>
      <c r="H2" s="4" t="inlineStr">
        <is>
          <t>pending</t>
        </is>
      </c>
      <c r="I2" s="4" t="inlineStr"/>
      <c r="J2" s="4" t="inlineStr"/>
      <c r="K2" s="4" t="inlineStr"/>
      <c r="L2" s="4" t="inlineStr"/>
      <c r="M2" s="4" t="inlineStr"/>
      <c r="N2" s="4" t="inlineStr"/>
      <c r="O2" s="4" t="inlineStr"/>
      <c r="P2" s="4" t="inlineStr"/>
      <c r="Q2" s="4" t="inlineStr"/>
      <c r="R2" s="4" t="inlineStr"/>
      <c r="S2" s="4" t="inlineStr"/>
      <c r="T2" s="4" t="inlineStr"/>
    </row>
    <row r="3" ht="76" customHeight="1">
      <c r="A3" s="3" t="inlineStr">
        <is>
          <t>2019::jama.2019.0556::C002</t>
        </is>
      </c>
      <c r="B3" s="3" t="inlineStr">
        <is>
          <t>jama.2019.0556</t>
        </is>
      </c>
      <c r="C3" s="3" t="inlineStr">
        <is>
          <t>Supplement-adherence cutoff changes from inclusive to strict wording</t>
        </is>
      </c>
      <c r="D3" s="4" t="inlineStr"/>
      <c r="E3" s="4" t="inlineStr"/>
      <c r="F3" s="4" t="inlineStr">
        <is>
          <t>no</t>
        </is>
      </c>
      <c r="G3" s="3">
        <f>IF(D3="","PENDING",IF(AND(D3&lt;&gt;"agree",LEN(TRIM(E3))=0),"COMMENT NEEDED",IF(F3="yes","CHECKED - see resolution","DRAFT")))</f>
        <v/>
      </c>
      <c r="H3" s="4" t="inlineStr">
        <is>
          <t>pending</t>
        </is>
      </c>
      <c r="I3" s="4" t="inlineStr"/>
      <c r="J3" s="4" t="inlineStr"/>
      <c r="K3" s="4" t="inlineStr"/>
      <c r="L3" s="4" t="inlineStr"/>
      <c r="M3" s="4" t="inlineStr"/>
      <c r="N3" s="4" t="inlineStr"/>
      <c r="O3" s="4" t="inlineStr"/>
      <c r="P3" s="4" t="inlineStr"/>
      <c r="Q3" s="4" t="inlineStr"/>
      <c r="R3" s="4" t="inlineStr"/>
      <c r="S3" s="4" t="inlineStr"/>
      <c r="T3" s="4" t="inlineStr"/>
    </row>
    <row r="4" ht="76" customHeight="1">
      <c r="A4" s="2" t="inlineStr">
        <is>
          <t>2019::jama.2019.0556::C003</t>
        </is>
      </c>
      <c r="B4" s="2" t="inlineStr">
        <is>
          <t>jama.2019.0556</t>
        </is>
      </c>
      <c r="C4" s="2" t="inlineStr">
        <is>
          <t>eAppendix 8 footnote markers point to unrelated adherence rows</t>
        </is>
      </c>
      <c r="D4" s="4" t="inlineStr"/>
      <c r="E4" s="4" t="inlineStr"/>
      <c r="F4" s="4" t="inlineStr">
        <is>
          <t>no</t>
        </is>
      </c>
      <c r="G4" s="2">
        <f>IF(D4="","PENDING",IF(AND(D4&lt;&gt;"agree",LEN(TRIM(E4))=0),"COMMENT NEEDED",IF(F4="yes","CHECKED - see resolution","DRAFT")))</f>
        <v/>
      </c>
      <c r="H4" s="4" t="inlineStr">
        <is>
          <t>pending</t>
        </is>
      </c>
      <c r="I4" s="4" t="inlineStr"/>
      <c r="J4" s="4" t="inlineStr"/>
      <c r="K4" s="4" t="inlineStr"/>
      <c r="L4" s="4" t="inlineStr"/>
      <c r="M4" s="4" t="inlineStr"/>
      <c r="N4" s="4" t="inlineStr"/>
      <c r="O4" s="4" t="inlineStr"/>
      <c r="P4" s="4" t="inlineStr"/>
      <c r="Q4" s="4" t="inlineStr"/>
      <c r="R4" s="4" t="inlineStr"/>
      <c r="S4" s="4" t="inlineStr"/>
      <c r="T4" s="4" t="inlineStr"/>
    </row>
    <row r="5" ht="76" customHeight="1">
      <c r="A5" s="3" t="inlineStr">
        <is>
          <t>2019::jama.2019.0556::C004</t>
        </is>
      </c>
      <c r="B5" s="3" t="inlineStr">
        <is>
          <t>jama.2019.0556</t>
        </is>
      </c>
      <c r="C5" s="3" t="inlineStr">
        <is>
          <t>eAppendix 10 prints a literal P value of zero</t>
        </is>
      </c>
      <c r="D5" s="4" t="inlineStr"/>
      <c r="E5" s="4" t="inlineStr"/>
      <c r="F5" s="4" t="inlineStr">
        <is>
          <t>no</t>
        </is>
      </c>
      <c r="G5" s="3">
        <f>IF(D5="","PENDING",IF(AND(D5&lt;&gt;"agree",LEN(TRIM(E5))=0),"COMMENT NEEDED",IF(F5="yes","CHECKED - see resolution","DRAFT")))</f>
        <v/>
      </c>
      <c r="H5" s="4" t="inlineStr">
        <is>
          <t>pending</t>
        </is>
      </c>
      <c r="I5" s="4" t="inlineStr"/>
      <c r="J5" s="4" t="inlineStr"/>
      <c r="K5" s="4" t="inlineStr"/>
      <c r="L5" s="4" t="inlineStr"/>
      <c r="M5" s="4" t="inlineStr"/>
      <c r="N5" s="4" t="inlineStr"/>
      <c r="O5" s="4" t="inlineStr"/>
      <c r="P5" s="4" t="inlineStr"/>
      <c r="Q5" s="4" t="inlineStr"/>
      <c r="R5" s="4" t="inlineStr"/>
      <c r="S5" s="4" t="inlineStr"/>
      <c r="T5" s="4" t="inlineStr"/>
    </row>
    <row r="6" ht="76" customHeight="1">
      <c r="A6" s="2" t="inlineStr">
        <is>
          <t>2019::jama.2019.0556::C005</t>
        </is>
      </c>
      <c r="B6" s="2" t="inlineStr">
        <is>
          <t>jama.2019.0556</t>
        </is>
      </c>
      <c r="C6" s="2" t="inlineStr">
        <is>
          <t>Main-article sample-size total conflicts with four stated cell counts</t>
        </is>
      </c>
      <c r="D6" s="4" t="inlineStr"/>
      <c r="E6" s="4" t="inlineStr"/>
      <c r="F6" s="4" t="inlineStr">
        <is>
          <t>no</t>
        </is>
      </c>
      <c r="G6" s="2">
        <f>IF(D6="","PENDING",IF(AND(D6&lt;&gt;"agree",LEN(TRIM(E6))=0),"COMMENT NEEDED",IF(F6="yes","CHECKED - see resolution","DRAFT")))</f>
        <v/>
      </c>
      <c r="H6" s="4" t="inlineStr">
        <is>
          <t>pending</t>
        </is>
      </c>
      <c r="I6" s="4" t="inlineStr"/>
      <c r="J6" s="4" t="inlineStr"/>
      <c r="K6" s="4" t="inlineStr"/>
      <c r="L6" s="4" t="inlineStr"/>
      <c r="M6" s="4" t="inlineStr"/>
      <c r="N6" s="4" t="inlineStr"/>
      <c r="O6" s="4" t="inlineStr"/>
      <c r="P6" s="4" t="inlineStr"/>
      <c r="Q6" s="4" t="inlineStr"/>
      <c r="R6" s="4" t="inlineStr"/>
      <c r="S6" s="4" t="inlineStr"/>
      <c r="T6" s="4" t="inlineStr"/>
    </row>
    <row r="7" ht="76" customHeight="1">
      <c r="A7" s="3" t="inlineStr">
        <is>
          <t>2019::jama.2019.0556::C006</t>
        </is>
      </c>
      <c r="B7" s="3" t="inlineStr">
        <is>
          <t>jama.2019.0556</t>
        </is>
      </c>
      <c r="C7" s="3" t="inlineStr">
        <is>
          <t>Protocol calls a 30% versus 15% contrast a 25% difference</t>
        </is>
      </c>
      <c r="D7" s="4" t="inlineStr"/>
      <c r="E7" s="4" t="inlineStr"/>
      <c r="F7" s="4" t="inlineStr">
        <is>
          <t>no</t>
        </is>
      </c>
      <c r="G7" s="3">
        <f>IF(D7="","PENDING",IF(AND(D7&lt;&gt;"agree",LEN(TRIM(E7))=0),"COMMENT NEEDED",IF(F7="yes","CHECKED - see resolution","DRAFT")))</f>
        <v/>
      </c>
      <c r="H7" s="4" t="inlineStr">
        <is>
          <t>pending</t>
        </is>
      </c>
      <c r="I7" s="4" t="inlineStr"/>
      <c r="J7" s="4" t="inlineStr"/>
      <c r="K7" s="4" t="inlineStr"/>
      <c r="L7" s="4" t="inlineStr"/>
      <c r="M7" s="4" t="inlineStr"/>
      <c r="N7" s="4" t="inlineStr"/>
      <c r="O7" s="4" t="inlineStr"/>
      <c r="P7" s="4" t="inlineStr"/>
      <c r="Q7" s="4" t="inlineStr"/>
      <c r="R7" s="4" t="inlineStr"/>
      <c r="S7" s="4" t="inlineStr"/>
      <c r="T7" s="4" t="inlineStr"/>
    </row>
    <row r="8" ht="76" customHeight="1">
      <c r="A8" s="2" t="inlineStr">
        <is>
          <t>2019::jama.2019.0556::C007</t>
        </is>
      </c>
      <c r="B8" s="2" t="inlineStr">
        <is>
          <t>jama.2019.0556</t>
        </is>
      </c>
      <c r="C8" s="2" t="inlineStr">
        <is>
          <t>Protocol and publication state different sample-size assumptions</t>
        </is>
      </c>
      <c r="D8" s="4" t="inlineStr"/>
      <c r="E8" s="4" t="inlineStr"/>
      <c r="F8" s="4" t="inlineStr">
        <is>
          <t>no</t>
        </is>
      </c>
      <c r="G8" s="2">
        <f>IF(D8="","PENDING",IF(AND(D8&lt;&gt;"agree",LEN(TRIM(E8))=0),"COMMENT NEEDED",IF(F8="yes","CHECKED - see resolution","DRAFT")))</f>
        <v/>
      </c>
      <c r="H8" s="4" t="inlineStr">
        <is>
          <t>pending</t>
        </is>
      </c>
      <c r="I8" s="4" t="inlineStr"/>
      <c r="J8" s="4" t="inlineStr"/>
      <c r="K8" s="4" t="inlineStr"/>
      <c r="L8" s="4" t="inlineStr"/>
      <c r="M8" s="4" t="inlineStr"/>
      <c r="N8" s="4" t="inlineStr"/>
      <c r="O8" s="4" t="inlineStr"/>
      <c r="P8" s="4" t="inlineStr"/>
      <c r="Q8" s="4" t="inlineStr"/>
      <c r="R8" s="4" t="inlineStr"/>
      <c r="S8" s="4" t="inlineStr"/>
      <c r="T8" s="4" t="inlineStr"/>
    </row>
    <row r="9" ht="76" customHeight="1">
      <c r="A9" s="3" t="inlineStr">
        <is>
          <t>2019::jama.2019.0556::C008</t>
        </is>
      </c>
      <c r="B9" s="3" t="inlineStr">
        <is>
          <t>jama.2019.0556</t>
        </is>
      </c>
      <c r="C9" s="3" t="inlineStr">
        <is>
          <t>Protocol uses incompatible DSM editions for the primary endpoint</t>
        </is>
      </c>
      <c r="D9" s="4" t="inlineStr"/>
      <c r="E9" s="4" t="inlineStr"/>
      <c r="F9" s="4" t="inlineStr">
        <is>
          <t>no</t>
        </is>
      </c>
      <c r="G9" s="3">
        <f>IF(D9="","PENDING",IF(AND(D9&lt;&gt;"agree",LEN(TRIM(E9))=0),"COMMENT NEEDED",IF(F9="yes","CHECKED - see resolution","DRAFT")))</f>
        <v/>
      </c>
      <c r="H9" s="4" t="inlineStr">
        <is>
          <t>pending</t>
        </is>
      </c>
      <c r="I9" s="4" t="inlineStr"/>
      <c r="J9" s="4" t="inlineStr"/>
      <c r="K9" s="4" t="inlineStr"/>
      <c r="L9" s="4" t="inlineStr"/>
      <c r="M9" s="4" t="inlineStr"/>
      <c r="N9" s="4" t="inlineStr"/>
      <c r="O9" s="4" t="inlineStr"/>
      <c r="P9" s="4" t="inlineStr"/>
      <c r="Q9" s="4" t="inlineStr"/>
      <c r="R9" s="4" t="inlineStr"/>
      <c r="S9" s="4" t="inlineStr"/>
      <c r="T9" s="4" t="inlineStr"/>
    </row>
    <row r="10" ht="76" customHeight="1">
      <c r="A10" s="2" t="inlineStr">
        <is>
          <t>2019::jama.2019.0556::C009</t>
        </is>
      </c>
      <c r="B10" s="2" t="inlineStr">
        <is>
          <t>jama.2019.0556</t>
        </is>
      </c>
      <c r="C10" s="2" t="inlineStr">
        <is>
          <t>Analysis-plan significance threshold lacks a comparison operator</t>
        </is>
      </c>
      <c r="D10" s="4" t="inlineStr"/>
      <c r="E10" s="4" t="inlineStr"/>
      <c r="F10" s="4" t="inlineStr">
        <is>
          <t>no</t>
        </is>
      </c>
      <c r="G10" s="2">
        <f>IF(D10="","PENDING",IF(AND(D10&lt;&gt;"agree",LEN(TRIM(E10))=0),"COMMENT NEEDED",IF(F10="yes","CHECKED - see resolution","DRAFT")))</f>
        <v/>
      </c>
      <c r="H10" s="4" t="inlineStr">
        <is>
          <t>pending</t>
        </is>
      </c>
      <c r="I10" s="4" t="inlineStr"/>
      <c r="J10" s="4" t="inlineStr"/>
      <c r="K10" s="4" t="inlineStr"/>
      <c r="L10" s="4" t="inlineStr"/>
      <c r="M10" s="4" t="inlineStr"/>
      <c r="N10" s="4" t="inlineStr"/>
      <c r="O10" s="4" t="inlineStr"/>
      <c r="P10" s="4" t="inlineStr"/>
      <c r="Q10" s="4" t="inlineStr"/>
      <c r="R10" s="4" t="inlineStr"/>
      <c r="S10" s="4" t="inlineStr"/>
      <c r="T10" s="4" t="inlineStr"/>
    </row>
    <row r="11" ht="76" customHeight="1">
      <c r="A11" s="3" t="inlineStr">
        <is>
          <t>2019::jama.2019.10517::C001</t>
        </is>
      </c>
      <c r="B11" s="3" t="inlineStr">
        <is>
          <t>jama.2019.10517</t>
        </is>
      </c>
      <c r="C11" s="3" t="inlineStr">
        <is>
          <t>Table 5 absolute difference does not reproduce from the displayed counts</t>
        </is>
      </c>
      <c r="D11" s="4" t="inlineStr"/>
      <c r="E11" s="4" t="inlineStr"/>
      <c r="F11" s="4" t="inlineStr">
        <is>
          <t>no</t>
        </is>
      </c>
      <c r="G11" s="3">
        <f>IF(D11="","PENDING",IF(AND(D11&lt;&gt;"agree",LEN(TRIM(E11))=0),"COMMENT NEEDED",IF(F11="yes","CHECKED - see resolution","DRAFT")))</f>
        <v/>
      </c>
      <c r="H11" s="4" t="inlineStr">
        <is>
          <t>pending</t>
        </is>
      </c>
      <c r="I11" s="4" t="inlineStr"/>
      <c r="J11" s="4" t="inlineStr"/>
      <c r="K11" s="4" t="inlineStr"/>
      <c r="L11" s="4" t="inlineStr"/>
      <c r="M11" s="4" t="inlineStr"/>
      <c r="N11" s="4" t="inlineStr"/>
      <c r="O11" s="4" t="inlineStr"/>
      <c r="P11" s="4" t="inlineStr"/>
      <c r="Q11" s="4" t="inlineStr"/>
      <c r="R11" s="4" t="inlineStr"/>
      <c r="S11" s="4" t="inlineStr"/>
      <c r="T11" s="4" t="inlineStr"/>
    </row>
    <row r="12" ht="76" customHeight="1">
      <c r="A12" s="2" t="inlineStr">
        <is>
          <t>2019::jama.2019.10517::C002</t>
        </is>
      </c>
      <c r="B12" s="2" t="inlineStr">
        <is>
          <t>jama.2019.10517</t>
        </is>
      </c>
      <c r="C12" s="2" t="inlineStr">
        <is>
          <t>HbA1c interaction is labelled with a concentration unit while matched displays use percent</t>
        </is>
      </c>
      <c r="D12" s="4" t="inlineStr"/>
      <c r="E12" s="4" t="inlineStr"/>
      <c r="F12" s="4" t="inlineStr">
        <is>
          <t>no</t>
        </is>
      </c>
      <c r="G12" s="2">
        <f>IF(D12="","PENDING",IF(AND(D12&lt;&gt;"agree",LEN(TRIM(E12))=0),"COMMENT NEEDED",IF(F12="yes","CHECKED - see resolution","DRAFT")))</f>
        <v/>
      </c>
      <c r="H12" s="4" t="inlineStr">
        <is>
          <t>pending</t>
        </is>
      </c>
      <c r="I12" s="4" t="inlineStr"/>
      <c r="J12" s="4" t="inlineStr"/>
      <c r="K12" s="4" t="inlineStr"/>
      <c r="L12" s="4" t="inlineStr"/>
      <c r="M12" s="4" t="inlineStr"/>
      <c r="N12" s="4" t="inlineStr"/>
      <c r="O12" s="4" t="inlineStr"/>
      <c r="P12" s="4" t="inlineStr"/>
      <c r="Q12" s="4" t="inlineStr"/>
      <c r="R12" s="4" t="inlineStr"/>
      <c r="S12" s="4" t="inlineStr"/>
      <c r="T12" s="4" t="inlineStr"/>
    </row>
    <row r="13" ht="76" customHeight="1">
      <c r="A13" s="3" t="inlineStr">
        <is>
          <t>2019::jama.2019.10517::C003</t>
        </is>
      </c>
      <c r="B13" s="3" t="inlineStr">
        <is>
          <t>jama.2019.10517</t>
        </is>
      </c>
      <c r="C13" s="3" t="inlineStr">
        <is>
          <t>Protocol recruitment target conflicts between 82 and 98 participants per site</t>
        </is>
      </c>
      <c r="D13" s="4" t="inlineStr"/>
      <c r="E13" s="4" t="inlineStr"/>
      <c r="F13" s="4" t="inlineStr">
        <is>
          <t>no</t>
        </is>
      </c>
      <c r="G13" s="3">
        <f>IF(D13="","PENDING",IF(AND(D13&lt;&gt;"agree",LEN(TRIM(E13))=0),"COMMENT NEEDED",IF(F13="yes","CHECKED - see resolution","DRAFT")))</f>
        <v/>
      </c>
      <c r="H13" s="4" t="inlineStr">
        <is>
          <t>pending</t>
        </is>
      </c>
      <c r="I13" s="4" t="inlineStr"/>
      <c r="J13" s="4" t="inlineStr"/>
      <c r="K13" s="4" t="inlineStr"/>
      <c r="L13" s="4" t="inlineStr"/>
      <c r="M13" s="4" t="inlineStr"/>
      <c r="N13" s="4" t="inlineStr"/>
      <c r="O13" s="4" t="inlineStr"/>
      <c r="P13" s="4" t="inlineStr"/>
      <c r="Q13" s="4" t="inlineStr"/>
      <c r="R13" s="4" t="inlineStr"/>
      <c r="S13" s="4" t="inlineStr"/>
      <c r="T13" s="4" t="inlineStr"/>
    </row>
    <row r="14" ht="76" customHeight="1">
      <c r="A14" s="2" t="inlineStr">
        <is>
          <t>2019::jama.2019.12618::C001</t>
        </is>
      </c>
      <c r="B14" s="2" t="inlineStr">
        <is>
          <t>jama.2019.12618</t>
        </is>
      </c>
      <c r="C14" s="2" t="inlineStr">
        <is>
          <t>protocol timeline end date</t>
        </is>
      </c>
      <c r="D14" s="4" t="inlineStr"/>
      <c r="E14" s="4" t="inlineStr"/>
      <c r="F14" s="4" t="inlineStr">
        <is>
          <t>no</t>
        </is>
      </c>
      <c r="G14" s="2">
        <f>IF(D14="","PENDING",IF(AND(D14&lt;&gt;"agree",LEN(TRIM(E14))=0),"COMMENT NEEDED",IF(F14="yes","CHECKED - see resolution","DRAFT")))</f>
        <v/>
      </c>
      <c r="H14" s="4" t="inlineStr">
        <is>
          <t>pending</t>
        </is>
      </c>
      <c r="I14" s="4" t="inlineStr"/>
      <c r="J14" s="4" t="inlineStr"/>
      <c r="K14" s="4" t="inlineStr"/>
      <c r="L14" s="4" t="inlineStr"/>
      <c r="M14" s="4" t="inlineStr"/>
      <c r="N14" s="4" t="inlineStr"/>
      <c r="O14" s="4" t="inlineStr"/>
      <c r="P14" s="4" t="inlineStr"/>
      <c r="Q14" s="4" t="inlineStr"/>
      <c r="R14" s="4" t="inlineStr"/>
      <c r="S14" s="4" t="inlineStr"/>
      <c r="T14" s="4" t="inlineStr"/>
    </row>
    <row r="15" ht="76" customHeight="1">
      <c r="A15" s="3" t="inlineStr">
        <is>
          <t>2019::jama.2019.12618::C002</t>
        </is>
      </c>
      <c r="B15" s="3" t="inlineStr">
        <is>
          <t>jama.2019.12618</t>
        </is>
      </c>
      <c r="C15" s="3" t="inlineStr">
        <is>
          <t>eligible failure total vs switching denominators</t>
        </is>
      </c>
      <c r="D15" s="4" t="inlineStr"/>
      <c r="E15" s="4" t="inlineStr"/>
      <c r="F15" s="4" t="inlineStr">
        <is>
          <t>no</t>
        </is>
      </c>
      <c r="G15" s="3">
        <f>IF(D15="","PENDING",IF(AND(D15&lt;&gt;"agree",LEN(TRIM(E15))=0),"COMMENT NEEDED",IF(F15="yes","CHECKED - see resolution","DRAFT")))</f>
        <v/>
      </c>
      <c r="H15" s="4" t="inlineStr">
        <is>
          <t>pending</t>
        </is>
      </c>
      <c r="I15" s="4" t="inlineStr"/>
      <c r="J15" s="4" t="inlineStr"/>
      <c r="K15" s="4" t="inlineStr"/>
      <c r="L15" s="4" t="inlineStr"/>
      <c r="M15" s="4" t="inlineStr"/>
      <c r="N15" s="4" t="inlineStr"/>
      <c r="O15" s="4" t="inlineStr"/>
      <c r="P15" s="4" t="inlineStr"/>
      <c r="Q15" s="4" t="inlineStr"/>
      <c r="R15" s="4" t="inlineStr"/>
      <c r="S15" s="4" t="inlineStr"/>
      <c r="T15" s="4" t="inlineStr"/>
    </row>
    <row r="16" ht="76" customHeight="1">
      <c r="A16" s="2" t="inlineStr">
        <is>
          <t>2019::jama.2019.12618::C003</t>
        </is>
      </c>
      <c r="B16" s="2" t="inlineStr">
        <is>
          <t>jama.2019.12618</t>
        </is>
      </c>
      <c r="C16" s="2" t="inlineStr">
        <is>
          <t>allocation block sizes</t>
        </is>
      </c>
      <c r="D16" s="4" t="inlineStr"/>
      <c r="E16" s="4" t="inlineStr"/>
      <c r="F16" s="4" t="inlineStr">
        <is>
          <t>no</t>
        </is>
      </c>
      <c r="G16" s="2">
        <f>IF(D16="","PENDING",IF(AND(D16&lt;&gt;"agree",LEN(TRIM(E16))=0),"COMMENT NEEDED",IF(F16="yes","CHECKED - see resolution","DRAFT")))</f>
        <v/>
      </c>
      <c r="H16" s="4" t="inlineStr">
        <is>
          <t>pending</t>
        </is>
      </c>
      <c r="I16" s="4" t="inlineStr"/>
      <c r="J16" s="4" t="inlineStr"/>
      <c r="K16" s="4" t="inlineStr"/>
      <c r="L16" s="4" t="inlineStr"/>
      <c r="M16" s="4" t="inlineStr"/>
      <c r="N16" s="4" t="inlineStr"/>
      <c r="O16" s="4" t="inlineStr"/>
      <c r="P16" s="4" t="inlineStr"/>
      <c r="Q16" s="4" t="inlineStr"/>
      <c r="R16" s="4" t="inlineStr"/>
      <c r="S16" s="4" t="inlineStr"/>
      <c r="T16" s="4" t="inlineStr"/>
    </row>
    <row r="17" ht="76" customHeight="1">
      <c r="A17" s="3" t="inlineStr">
        <is>
          <t>2019::jama.2019.12618::C004</t>
        </is>
      </c>
      <c r="B17" s="3" t="inlineStr">
        <is>
          <t>jama.2019.12618</t>
        </is>
      </c>
      <c r="C17" s="3" t="inlineStr">
        <is>
          <t>six-month success injection-after-90-days criterion</t>
        </is>
      </c>
      <c r="D17" s="4" t="inlineStr"/>
      <c r="E17" s="4" t="inlineStr"/>
      <c r="F17" s="4" t="inlineStr">
        <is>
          <t>no</t>
        </is>
      </c>
      <c r="G17" s="3">
        <f>IF(D17="","PENDING",IF(AND(D17&lt;&gt;"agree",LEN(TRIM(E17))=0),"COMMENT NEEDED",IF(F17="yes","CHECKED - see resolution","DRAFT")))</f>
        <v/>
      </c>
      <c r="H17" s="4" t="inlineStr">
        <is>
          <t>pending</t>
        </is>
      </c>
      <c r="I17" s="4" t="inlineStr"/>
      <c r="J17" s="4" t="inlineStr"/>
      <c r="K17" s="4" t="inlineStr"/>
      <c r="L17" s="4" t="inlineStr"/>
      <c r="M17" s="4" t="inlineStr"/>
      <c r="N17" s="4" t="inlineStr"/>
      <c r="O17" s="4" t="inlineStr"/>
      <c r="P17" s="4" t="inlineStr"/>
      <c r="Q17" s="4" t="inlineStr"/>
      <c r="R17" s="4" t="inlineStr"/>
      <c r="S17" s="4" t="inlineStr"/>
      <c r="T17" s="4" t="inlineStr"/>
    </row>
    <row r="18" ht="76" customHeight="1">
      <c r="A18" s="2" t="inlineStr">
        <is>
          <t>2019::jama.2019.12618::C005</t>
        </is>
      </c>
      <c r="B18" s="2" t="inlineStr">
        <is>
          <t>jama.2019.12618</t>
        </is>
      </c>
      <c r="C18" s="2" t="inlineStr">
        <is>
          <t>missed-dose Welch P=.87 compatibility</t>
        </is>
      </c>
      <c r="D18" s="4" t="inlineStr"/>
      <c r="E18" s="4" t="inlineStr"/>
      <c r="F18" s="4" t="inlineStr">
        <is>
          <t>no</t>
        </is>
      </c>
      <c r="G18" s="2">
        <f>IF(D18="","PENDING",IF(AND(D18&lt;&gt;"agree",LEN(TRIM(E18))=0),"COMMENT NEEDED",IF(F18="yes","CHECKED - see resolution","DRAFT")))</f>
        <v/>
      </c>
      <c r="H18" s="4" t="inlineStr">
        <is>
          <t>pending</t>
        </is>
      </c>
      <c r="I18" s="4" t="inlineStr"/>
      <c r="J18" s="4" t="inlineStr"/>
      <c r="K18" s="4" t="inlineStr"/>
      <c r="L18" s="4" t="inlineStr"/>
      <c r="M18" s="4" t="inlineStr"/>
      <c r="N18" s="4" t="inlineStr"/>
      <c r="O18" s="4" t="inlineStr"/>
      <c r="P18" s="4" t="inlineStr"/>
      <c r="Q18" s="4" t="inlineStr"/>
      <c r="R18" s="4" t="inlineStr"/>
      <c r="S18" s="4" t="inlineStr"/>
      <c r="T18" s="4" t="inlineStr"/>
    </row>
    <row r="19" ht="76" customHeight="1">
      <c r="A19" s="3" t="inlineStr">
        <is>
          <t>2019::jama.2019.12618::C006</t>
        </is>
      </c>
      <c r="B19" s="3" t="inlineStr">
        <is>
          <t>jama.2019.12618</t>
        </is>
      </c>
      <c r="C19" s="3" t="inlineStr">
        <is>
          <t>main Table 3 MMF n=109 header vs supplement N=108/percentages</t>
        </is>
      </c>
      <c r="D19" s="4" t="inlineStr"/>
      <c r="E19" s="4" t="inlineStr"/>
      <c r="F19" s="4" t="inlineStr">
        <is>
          <t>no</t>
        </is>
      </c>
      <c r="G19" s="3">
        <f>IF(D19="","PENDING",IF(AND(D19&lt;&gt;"agree",LEN(TRIM(E19))=0),"COMMENT NEEDED",IF(F19="yes","CHECKED - see resolution","DRAFT")))</f>
        <v/>
      </c>
      <c r="H19" s="4" t="inlineStr">
        <is>
          <t>pending</t>
        </is>
      </c>
      <c r="I19" s="4" t="inlineStr"/>
      <c r="J19" s="4" t="inlineStr"/>
      <c r="K19" s="4" t="inlineStr"/>
      <c r="L19" s="4" t="inlineStr"/>
      <c r="M19" s="4" t="inlineStr"/>
      <c r="N19" s="4" t="inlineStr"/>
      <c r="O19" s="4" t="inlineStr"/>
      <c r="P19" s="4" t="inlineStr"/>
      <c r="Q19" s="4" t="inlineStr"/>
      <c r="R19" s="4" t="inlineStr"/>
      <c r="S19" s="4" t="inlineStr"/>
      <c r="T19" s="4" t="inlineStr"/>
    </row>
    <row r="20" ht="76" customHeight="1">
      <c r="A20" s="2" t="inlineStr">
        <is>
          <t>2019::jama.2019.12618::C007</t>
        </is>
      </c>
      <c r="B20" s="2" t="inlineStr">
        <is>
          <t>jama.2019.12618</t>
        </is>
      </c>
      <c r="C20" s="2" t="inlineStr">
        <is>
          <t>eTable 9 MMF serious diarrhea 1 (3.4) vs N=20</t>
        </is>
      </c>
      <c r="D20" s="4" t="inlineStr"/>
      <c r="E20" s="4" t="inlineStr"/>
      <c r="F20" s="4" t="inlineStr">
        <is>
          <t>no</t>
        </is>
      </c>
      <c r="G20" s="2">
        <f>IF(D20="","PENDING",IF(AND(D20&lt;&gt;"agree",LEN(TRIM(E20))=0),"COMMENT NEEDED",IF(F20="yes","CHECKED - see resolution","DRAFT")))</f>
        <v/>
      </c>
      <c r="H20" s="4" t="inlineStr">
        <is>
          <t>pending</t>
        </is>
      </c>
      <c r="I20" s="4" t="inlineStr"/>
      <c r="J20" s="4" t="inlineStr"/>
      <c r="K20" s="4" t="inlineStr"/>
      <c r="L20" s="4" t="inlineStr"/>
      <c r="M20" s="4" t="inlineStr"/>
      <c r="N20" s="4" t="inlineStr"/>
      <c r="O20" s="4" t="inlineStr"/>
      <c r="P20" s="4" t="inlineStr"/>
      <c r="Q20" s="4" t="inlineStr"/>
      <c r="R20" s="4" t="inlineStr"/>
      <c r="S20" s="4" t="inlineStr"/>
      <c r="T20" s="4" t="inlineStr"/>
    </row>
    <row r="21" ht="76" customHeight="1">
      <c r="A21" s="3" t="inlineStr">
        <is>
          <t>2019::jama.2019.12618::C008</t>
        </is>
      </c>
      <c r="B21" s="3" t="inlineStr">
        <is>
          <t>jama.2019.12618</t>
        </is>
      </c>
      <c r="C21" s="3" t="inlineStr">
        <is>
          <t>eTable 8 serious-ocular hypertension label vs eTable 1 surgery-required definition</t>
        </is>
      </c>
      <c r="D21" s="4" t="inlineStr"/>
      <c r="E21" s="4" t="inlineStr"/>
      <c r="F21" s="4" t="inlineStr">
        <is>
          <t>no</t>
        </is>
      </c>
      <c r="G21" s="3">
        <f>IF(D21="","PENDING",IF(AND(D21&lt;&gt;"agree",LEN(TRIM(E21))=0),"COMMENT NEEDED",IF(F21="yes","CHECKED - see resolution","DRAFT")))</f>
        <v/>
      </c>
      <c r="H21" s="4" t="inlineStr">
        <is>
          <t>pending</t>
        </is>
      </c>
      <c r="I21" s="4" t="inlineStr"/>
      <c r="J21" s="4" t="inlineStr"/>
      <c r="K21" s="4" t="inlineStr"/>
      <c r="L21" s="4" t="inlineStr"/>
      <c r="M21" s="4" t="inlineStr"/>
      <c r="N21" s="4" t="inlineStr"/>
      <c r="O21" s="4" t="inlineStr"/>
      <c r="P21" s="4" t="inlineStr"/>
      <c r="Q21" s="4" t="inlineStr"/>
      <c r="R21" s="4" t="inlineStr"/>
      <c r="S21" s="4" t="inlineStr"/>
      <c r="T21" s="4" t="inlineStr"/>
    </row>
    <row r="22" ht="76" customHeight="1">
      <c r="A22" s="2" t="inlineStr">
        <is>
          <t>2019::jama.2019.14231::C001</t>
        </is>
      </c>
      <c r="B22" s="2" t="inlineStr">
        <is>
          <t>jama.2019.14231</t>
        </is>
      </c>
      <c r="C22" s="2" t="inlineStr">
        <is>
          <t>Protocol matching direction conflicts with the final matched cohort</t>
        </is>
      </c>
      <c r="D22" s="4" t="inlineStr"/>
      <c r="E22" s="4" t="inlineStr"/>
      <c r="F22" s="4" t="inlineStr">
        <is>
          <t>no</t>
        </is>
      </c>
      <c r="G22" s="2">
        <f>IF(D22="","PENDING",IF(AND(D22&lt;&gt;"agree",LEN(TRIM(E22))=0),"COMMENT NEEDED",IF(F22="yes","CHECKED - see resolution","DRAFT")))</f>
        <v/>
      </c>
      <c r="H22" s="4" t="inlineStr">
        <is>
          <t>pending</t>
        </is>
      </c>
      <c r="I22" s="4" t="inlineStr"/>
      <c r="J22" s="4" t="inlineStr"/>
      <c r="K22" s="4" t="inlineStr"/>
      <c r="L22" s="4" t="inlineStr"/>
      <c r="M22" s="4" t="inlineStr"/>
      <c r="N22" s="4" t="inlineStr"/>
      <c r="O22" s="4" t="inlineStr"/>
      <c r="P22" s="4" t="inlineStr"/>
      <c r="Q22" s="4" t="inlineStr"/>
      <c r="R22" s="4" t="inlineStr"/>
      <c r="S22" s="4" t="inlineStr"/>
      <c r="T22" s="4" t="inlineStr"/>
    </row>
    <row r="23" ht="76" customHeight="1">
      <c r="A23" s="3" t="inlineStr">
        <is>
          <t>2019::jama.2019.14231::C002</t>
        </is>
      </c>
      <c r="B23" s="3" t="inlineStr">
        <is>
          <t>jama.2019.14231</t>
        </is>
      </c>
      <c r="C23" s="3" t="inlineStr">
        <is>
          <t>Heart-failure ARD does not reconcile with displayed 8-year incidences</t>
        </is>
      </c>
      <c r="D23" s="4" t="inlineStr"/>
      <c r="E23" s="4" t="inlineStr"/>
      <c r="F23" s="4" t="inlineStr">
        <is>
          <t>no</t>
        </is>
      </c>
      <c r="G23" s="3">
        <f>IF(D23="","PENDING",IF(AND(D23&lt;&gt;"agree",LEN(TRIM(E23))=0),"COMMENT NEEDED",IF(F23="yes","CHECKED - see resolution","DRAFT")))</f>
        <v/>
      </c>
      <c r="H23" s="4" t="inlineStr">
        <is>
          <t>pending</t>
        </is>
      </c>
      <c r="I23" s="4" t="inlineStr"/>
      <c r="J23" s="4" t="inlineStr"/>
      <c r="K23" s="4" t="inlineStr"/>
      <c r="L23" s="4" t="inlineStr"/>
      <c r="M23" s="4" t="inlineStr"/>
      <c r="N23" s="4" t="inlineStr"/>
      <c r="O23" s="4" t="inlineStr"/>
      <c r="P23" s="4" t="inlineStr"/>
      <c r="Q23" s="4" t="inlineStr"/>
      <c r="R23" s="4" t="inlineStr"/>
      <c r="S23" s="4" t="inlineStr"/>
      <c r="T23" s="4" t="inlineStr"/>
    </row>
    <row r="24" ht="76" customHeight="1">
      <c r="A24" s="2" t="inlineStr">
        <is>
          <t>2019::jama.2019.14231::C003</t>
        </is>
      </c>
      <c r="B24" s="2" t="inlineStr">
        <is>
          <t>jama.2019.14231</t>
        </is>
      </c>
      <c r="C24" s="2" t="inlineStr">
        <is>
          <t>Coronary-disease ARD does not reconcile with displayed 8-year incidences</t>
        </is>
      </c>
      <c r="D24" s="4" t="inlineStr"/>
      <c r="E24" s="4" t="inlineStr"/>
      <c r="F24" s="4" t="inlineStr">
        <is>
          <t>no</t>
        </is>
      </c>
      <c r="G24" s="2">
        <f>IF(D24="","PENDING",IF(AND(D24&lt;&gt;"agree",LEN(TRIM(E24))=0),"COMMENT NEEDED",IF(F24="yes","CHECKED - see resolution","DRAFT")))</f>
        <v/>
      </c>
      <c r="H24" s="4" t="inlineStr">
        <is>
          <t>pending</t>
        </is>
      </c>
      <c r="I24" s="4" t="inlineStr"/>
      <c r="J24" s="4" t="inlineStr"/>
      <c r="K24" s="4" t="inlineStr"/>
      <c r="L24" s="4" t="inlineStr"/>
      <c r="M24" s="4" t="inlineStr"/>
      <c r="N24" s="4" t="inlineStr"/>
      <c r="O24" s="4" t="inlineStr"/>
      <c r="P24" s="4" t="inlineStr"/>
      <c r="Q24" s="4" t="inlineStr"/>
      <c r="R24" s="4" t="inlineStr"/>
      <c r="S24" s="4" t="inlineStr"/>
      <c r="T24" s="4" t="inlineStr"/>
    </row>
    <row r="25" ht="76" customHeight="1">
      <c r="A25" s="3" t="inlineStr">
        <is>
          <t>2019::jama.2019.14231::C004</t>
        </is>
      </c>
      <c r="B25" s="3" t="inlineStr">
        <is>
          <t>jama.2019.14231</t>
        </is>
      </c>
      <c r="C25" s="3" t="inlineStr">
        <is>
          <t>Cerebrovascular-disease ARD does not reconcile with displayed 8-year incidences</t>
        </is>
      </c>
      <c r="D25" s="4" t="inlineStr"/>
      <c r="E25" s="4" t="inlineStr"/>
      <c r="F25" s="4" t="inlineStr">
        <is>
          <t>no</t>
        </is>
      </c>
      <c r="G25" s="3">
        <f>IF(D25="","PENDING",IF(AND(D25&lt;&gt;"agree",LEN(TRIM(E25))=0),"COMMENT NEEDED",IF(F25="yes","CHECKED - see resolution","DRAFT")))</f>
        <v/>
      </c>
      <c r="H25" s="4" t="inlineStr">
        <is>
          <t>pending</t>
        </is>
      </c>
      <c r="I25" s="4" t="inlineStr"/>
      <c r="J25" s="4" t="inlineStr"/>
      <c r="K25" s="4" t="inlineStr"/>
      <c r="L25" s="4" t="inlineStr"/>
      <c r="M25" s="4" t="inlineStr"/>
      <c r="N25" s="4" t="inlineStr"/>
      <c r="O25" s="4" t="inlineStr"/>
      <c r="P25" s="4" t="inlineStr"/>
      <c r="Q25" s="4" t="inlineStr"/>
      <c r="R25" s="4" t="inlineStr"/>
      <c r="S25" s="4" t="inlineStr"/>
      <c r="T25" s="4" t="inlineStr"/>
    </row>
    <row r="26" ht="76" customHeight="1">
      <c r="A26" s="2" t="inlineStr">
        <is>
          <t>2019::jama.2019.14231::C005</t>
        </is>
      </c>
      <c r="B26" s="2" t="inlineStr">
        <is>
          <t>jama.2019.14231</t>
        </is>
      </c>
      <c r="C26" s="2" t="inlineStr">
        <is>
          <t>Nephropathy ARD does not reconcile with displayed 8-year incidences</t>
        </is>
      </c>
      <c r="D26" s="4" t="inlineStr"/>
      <c r="E26" s="4" t="inlineStr"/>
      <c r="F26" s="4" t="inlineStr">
        <is>
          <t>no</t>
        </is>
      </c>
      <c r="G26" s="2">
        <f>IF(D26="","PENDING",IF(AND(D26&lt;&gt;"agree",LEN(TRIM(E26))=0),"COMMENT NEEDED",IF(F26="yes","CHECKED - see resolution","DRAFT")))</f>
        <v/>
      </c>
      <c r="H26" s="4" t="inlineStr">
        <is>
          <t>pending</t>
        </is>
      </c>
      <c r="I26" s="4" t="inlineStr"/>
      <c r="J26" s="4" t="inlineStr"/>
      <c r="K26" s="4" t="inlineStr"/>
      <c r="L26" s="4" t="inlineStr"/>
      <c r="M26" s="4" t="inlineStr"/>
      <c r="N26" s="4" t="inlineStr"/>
      <c r="O26" s="4" t="inlineStr"/>
      <c r="P26" s="4" t="inlineStr"/>
      <c r="Q26" s="4" t="inlineStr"/>
      <c r="R26" s="4" t="inlineStr"/>
      <c r="S26" s="4" t="inlineStr"/>
      <c r="T26" s="4" t="inlineStr"/>
    </row>
    <row r="27" ht="76" customHeight="1">
      <c r="A27" s="3" t="inlineStr">
        <is>
          <t>2019::jama.2019.14231::C006</t>
        </is>
      </c>
      <c r="B27" s="3" t="inlineStr">
        <is>
          <t>jama.2019.14231</t>
        </is>
      </c>
      <c r="C27" s="3" t="inlineStr">
        <is>
          <t>Atrial-fibrillation ARD does not reconcile with displayed 8-year incidences</t>
        </is>
      </c>
      <c r="D27" s="4" t="inlineStr"/>
      <c r="E27" s="4" t="inlineStr"/>
      <c r="F27" s="4" t="inlineStr">
        <is>
          <t>no</t>
        </is>
      </c>
      <c r="G27" s="3">
        <f>IF(D27="","PENDING",IF(AND(D27&lt;&gt;"agree",LEN(TRIM(E27))=0),"COMMENT NEEDED",IF(F27="yes","CHECKED - see resolution","DRAFT")))</f>
        <v/>
      </c>
      <c r="H27" s="4" t="inlineStr">
        <is>
          <t>pending</t>
        </is>
      </c>
      <c r="I27" s="4" t="inlineStr"/>
      <c r="J27" s="4" t="inlineStr"/>
      <c r="K27" s="4" t="inlineStr"/>
      <c r="L27" s="4" t="inlineStr"/>
      <c r="M27" s="4" t="inlineStr"/>
      <c r="N27" s="4" t="inlineStr"/>
      <c r="O27" s="4" t="inlineStr"/>
      <c r="P27" s="4" t="inlineStr"/>
      <c r="Q27" s="4" t="inlineStr"/>
      <c r="R27" s="4" t="inlineStr"/>
      <c r="S27" s="4" t="inlineStr"/>
      <c r="T27" s="4" t="inlineStr"/>
    </row>
    <row r="28" ht="76" customHeight="1">
      <c r="A28" s="2" t="inlineStr">
        <is>
          <t>2019::jama.2019.14231::C007</t>
        </is>
      </c>
      <c r="B28" s="2" t="inlineStr">
        <is>
          <t>jama.2019.14231</t>
        </is>
      </c>
      <c r="C28" s="2" t="inlineStr">
        <is>
          <t>Supplement tables use different nonsurgical medication denominators at baseline</t>
        </is>
      </c>
      <c r="D28" s="4" t="inlineStr"/>
      <c r="E28" s="4" t="inlineStr"/>
      <c r="F28" s="4" t="inlineStr">
        <is>
          <t>no</t>
        </is>
      </c>
      <c r="G28" s="2">
        <f>IF(D28="","PENDING",IF(AND(D28&lt;&gt;"agree",LEN(TRIM(E28))=0),"COMMENT NEEDED",IF(F28="yes","CHECKED - see resolution","DRAFT")))</f>
        <v/>
      </c>
      <c r="H28" s="4" t="inlineStr">
        <is>
          <t>pending</t>
        </is>
      </c>
      <c r="I28" s="4" t="inlineStr"/>
      <c r="J28" s="4" t="inlineStr"/>
      <c r="K28" s="4" t="inlineStr"/>
      <c r="L28" s="4" t="inlineStr"/>
      <c r="M28" s="4" t="inlineStr"/>
      <c r="N28" s="4" t="inlineStr"/>
      <c r="O28" s="4" t="inlineStr"/>
      <c r="P28" s="4" t="inlineStr"/>
      <c r="Q28" s="4" t="inlineStr"/>
      <c r="R28" s="4" t="inlineStr"/>
      <c r="S28" s="4" t="inlineStr"/>
      <c r="T28" s="4" t="inlineStr"/>
    </row>
    <row r="29" ht="76" customHeight="1">
      <c r="A29" s="3" t="inlineStr">
        <is>
          <t>2019::jama.2019.14231::C008</t>
        </is>
      </c>
      <c r="B29" s="3" t="inlineStr">
        <is>
          <t>jama.2019.14231</t>
        </is>
      </c>
      <c r="C29" s="3" t="inlineStr">
        <is>
          <t>Medication comparison is labeled as two different named tests</t>
        </is>
      </c>
      <c r="D29" s="4" t="inlineStr"/>
      <c r="E29" s="4" t="inlineStr"/>
      <c r="F29" s="4" t="inlineStr">
        <is>
          <t>no</t>
        </is>
      </c>
      <c r="G29" s="3">
        <f>IF(D29="","PENDING",IF(AND(D29&lt;&gt;"agree",LEN(TRIM(E29))=0),"COMMENT NEEDED",IF(F29="yes","CHECKED - see resolution","DRAFT")))</f>
        <v/>
      </c>
      <c r="H29" s="4" t="inlineStr">
        <is>
          <t>pending</t>
        </is>
      </c>
      <c r="I29" s="4" t="inlineStr"/>
      <c r="J29" s="4" t="inlineStr"/>
      <c r="K29" s="4" t="inlineStr"/>
      <c r="L29" s="4" t="inlineStr"/>
      <c r="M29" s="4" t="inlineStr"/>
      <c r="N29" s="4" t="inlineStr"/>
      <c r="O29" s="4" t="inlineStr"/>
      <c r="P29" s="4" t="inlineStr"/>
      <c r="Q29" s="4" t="inlineStr"/>
      <c r="R29" s="4" t="inlineStr"/>
      <c r="S29" s="4" t="inlineStr"/>
      <c r="T29" s="4" t="inlineStr"/>
    </row>
    <row r="30" ht="76" customHeight="1">
      <c r="A30" s="2" t="inlineStr">
        <is>
          <t>2019::jama.2019.14231::C009</t>
        </is>
      </c>
      <c r="B30" s="2" t="inlineStr">
        <is>
          <t>jama.2019.14231</t>
        </is>
      </c>
      <c r="C30" s="2" t="inlineStr">
        <is>
          <t>Time-varying-HR narrative cites eTable 4 while the displayed table is eTable 7</t>
        </is>
      </c>
      <c r="D30" s="4" t="inlineStr"/>
      <c r="E30" s="4" t="inlineStr"/>
      <c r="F30" s="4" t="inlineStr">
        <is>
          <t>no</t>
        </is>
      </c>
      <c r="G30" s="2">
        <f>IF(D30="","PENDING",IF(AND(D30&lt;&gt;"agree",LEN(TRIM(E30))=0),"COMMENT NEEDED",IF(F30="yes","CHECKED - see resolution","DRAFT")))</f>
        <v/>
      </c>
      <c r="H30" s="4" t="inlineStr">
        <is>
          <t>pending</t>
        </is>
      </c>
      <c r="I30" s="4" t="inlineStr"/>
      <c r="J30" s="4" t="inlineStr"/>
      <c r="K30" s="4" t="inlineStr"/>
      <c r="L30" s="4" t="inlineStr"/>
      <c r="M30" s="4" t="inlineStr"/>
      <c r="N30" s="4" t="inlineStr"/>
      <c r="O30" s="4" t="inlineStr"/>
      <c r="P30" s="4" t="inlineStr"/>
      <c r="Q30" s="4" t="inlineStr"/>
      <c r="R30" s="4" t="inlineStr"/>
      <c r="S30" s="4" t="inlineStr"/>
      <c r="T30" s="4" t="inlineStr"/>
    </row>
    <row r="31" ht="76" customHeight="1">
      <c r="A31" s="3" t="inlineStr">
        <is>
          <t>2019::jama.2019.14231::C010</t>
        </is>
      </c>
      <c r="B31" s="3" t="inlineStr">
        <is>
          <t>jama.2019.14231</t>
        </is>
      </c>
      <c r="C31" s="3" t="inlineStr">
        <is>
          <t>Biguanide count and percentage do not reconcile in eTable 3</t>
        </is>
      </c>
      <c r="D31" s="4" t="inlineStr"/>
      <c r="E31" s="4" t="inlineStr"/>
      <c r="F31" s="4" t="inlineStr">
        <is>
          <t>no</t>
        </is>
      </c>
      <c r="G31" s="3">
        <f>IF(D31="","PENDING",IF(AND(D31&lt;&gt;"agree",LEN(TRIM(E31))=0),"COMMENT NEEDED",IF(F31="yes","CHECKED - see resolution","DRAFT")))</f>
        <v/>
      </c>
      <c r="H31" s="4" t="inlineStr">
        <is>
          <t>pending</t>
        </is>
      </c>
      <c r="I31" s="4" t="inlineStr"/>
      <c r="J31" s="4" t="inlineStr"/>
      <c r="K31" s="4" t="inlineStr"/>
      <c r="L31" s="4" t="inlineStr"/>
      <c r="M31" s="4" t="inlineStr"/>
      <c r="N31" s="4" t="inlineStr"/>
      <c r="O31" s="4" t="inlineStr"/>
      <c r="P31" s="4" t="inlineStr"/>
      <c r="Q31" s="4" t="inlineStr"/>
      <c r="R31" s="4" t="inlineStr"/>
      <c r="S31" s="4" t="inlineStr"/>
      <c r="T31" s="4" t="inlineStr"/>
    </row>
    <row r="32" ht="76" customHeight="1">
      <c r="A32" s="2" t="inlineStr">
        <is>
          <t>2019::jama.2019.14231::C011</t>
        </is>
      </c>
      <c r="B32" s="2" t="inlineStr">
        <is>
          <t>jama.2019.14231</t>
        </is>
      </c>
      <c r="C32" s="2" t="inlineStr">
        <is>
          <t>Standardized-difference footnote says absolute value while columns contain negative values</t>
        </is>
      </c>
      <c r="D32" s="4" t="inlineStr"/>
      <c r="E32" s="4" t="inlineStr"/>
      <c r="F32" s="4" t="inlineStr">
        <is>
          <t>no</t>
        </is>
      </c>
      <c r="G32" s="2">
        <f>IF(D32="","PENDING",IF(AND(D32&lt;&gt;"agree",LEN(TRIM(E32))=0),"COMMENT NEEDED",IF(F32="yes","CHECKED - see resolution","DRAFT")))</f>
        <v/>
      </c>
      <c r="H32" s="4" t="inlineStr">
        <is>
          <t>pending</t>
        </is>
      </c>
      <c r="I32" s="4" t="inlineStr"/>
      <c r="J32" s="4" t="inlineStr"/>
      <c r="K32" s="4" t="inlineStr"/>
      <c r="L32" s="4" t="inlineStr"/>
      <c r="M32" s="4" t="inlineStr"/>
      <c r="N32" s="4" t="inlineStr"/>
      <c r="O32" s="4" t="inlineStr"/>
      <c r="P32" s="4" t="inlineStr"/>
      <c r="Q32" s="4" t="inlineStr"/>
      <c r="R32" s="4" t="inlineStr"/>
      <c r="S32" s="4" t="inlineStr"/>
      <c r="T32" s="4" t="inlineStr"/>
    </row>
    <row r="33" ht="76" customHeight="1">
      <c r="A33" s="3" t="inlineStr">
        <is>
          <t>2019::jama.2019.14630::C001</t>
        </is>
      </c>
      <c r="B33" s="3" t="inlineStr">
        <is>
          <t>jama.2019.14630</t>
        </is>
      </c>
      <c r="C33" s="3" t="inlineStr">
        <is>
          <t>eTable 2 assigns the N=3,311 column a second intervention-group label</t>
        </is>
      </c>
      <c r="D33" s="4" t="inlineStr"/>
      <c r="E33" s="4" t="inlineStr"/>
      <c r="F33" s="4" t="inlineStr">
        <is>
          <t>no</t>
        </is>
      </c>
      <c r="G33" s="3">
        <f>IF(D33="","PENDING",IF(AND(D33&lt;&gt;"agree",LEN(TRIM(E33))=0),"COMMENT NEEDED",IF(F33="yes","CHECKED - see resolution","DRAFT")))</f>
        <v/>
      </c>
      <c r="H33" s="4" t="inlineStr">
        <is>
          <t>pending</t>
        </is>
      </c>
      <c r="I33" s="4" t="inlineStr"/>
      <c r="J33" s="4" t="inlineStr"/>
      <c r="K33" s="4" t="inlineStr"/>
      <c r="L33" s="4" t="inlineStr"/>
      <c r="M33" s="4" t="inlineStr"/>
      <c r="N33" s="4" t="inlineStr"/>
      <c r="O33" s="4" t="inlineStr"/>
      <c r="P33" s="4" t="inlineStr"/>
      <c r="Q33" s="4" t="inlineStr"/>
      <c r="R33" s="4" t="inlineStr"/>
      <c r="S33" s="4" t="inlineStr"/>
      <c r="T33" s="4" t="inlineStr"/>
    </row>
    <row r="34" ht="76" customHeight="1">
      <c r="A34" s="2" t="inlineStr">
        <is>
          <t>2019::jama.2019.14630::C002</t>
        </is>
      </c>
      <c r="B34" s="2" t="inlineStr">
        <is>
          <t>jama.2019.14630</t>
        </is>
      </c>
      <c r="C34" s="2" t="inlineStr">
        <is>
          <t>eTable 2 red-wine median lies above its printed upper quartile</t>
        </is>
      </c>
      <c r="D34" s="4" t="inlineStr"/>
      <c r="E34" s="4" t="inlineStr"/>
      <c r="F34" s="4" t="inlineStr">
        <is>
          <t>no</t>
        </is>
      </c>
      <c r="G34" s="2">
        <f>IF(D34="","PENDING",IF(AND(D34&lt;&gt;"agree",LEN(TRIM(E34))=0),"COMMENT NEEDED",IF(F34="yes","CHECKED - see resolution","DRAFT")))</f>
        <v/>
      </c>
      <c r="H34" s="4" t="inlineStr">
        <is>
          <t>pending</t>
        </is>
      </c>
      <c r="I34" s="4" t="inlineStr"/>
      <c r="J34" s="4" t="inlineStr"/>
      <c r="K34" s="4" t="inlineStr"/>
      <c r="L34" s="4" t="inlineStr"/>
      <c r="M34" s="4" t="inlineStr"/>
      <c r="N34" s="4" t="inlineStr"/>
      <c r="O34" s="4" t="inlineStr"/>
      <c r="P34" s="4" t="inlineStr"/>
      <c r="Q34" s="4" t="inlineStr"/>
      <c r="R34" s="4" t="inlineStr"/>
      <c r="S34" s="4" t="inlineStr"/>
      <c r="T34" s="4" t="inlineStr"/>
    </row>
    <row r="35" ht="76" customHeight="1">
      <c r="A35" s="3" t="inlineStr">
        <is>
          <t>2019::jama.2019.14630::C003</t>
        </is>
      </c>
      <c r="B35" s="3" t="inlineStr">
        <is>
          <t>jama.2019.14630</t>
        </is>
      </c>
      <c r="C35" s="3" t="inlineStr">
        <is>
          <t>all-randomized red-wine baseline summaries differ between eTables 2 and 7</t>
        </is>
      </c>
      <c r="D35" s="4" t="inlineStr"/>
      <c r="E35" s="4" t="inlineStr"/>
      <c r="F35" s="4" t="inlineStr">
        <is>
          <t>no</t>
        </is>
      </c>
      <c r="G35" s="3">
        <f>IF(D35="","PENDING",IF(AND(D35&lt;&gt;"agree",LEN(TRIM(E35))=0),"COMMENT NEEDED",IF(F35="yes","CHECKED - see resolution","DRAFT")))</f>
        <v/>
      </c>
      <c r="H35" s="4" t="inlineStr">
        <is>
          <t>pending</t>
        </is>
      </c>
      <c r="I35" s="4" t="inlineStr"/>
      <c r="J35" s="4" t="inlineStr"/>
      <c r="K35" s="4" t="inlineStr"/>
      <c r="L35" s="4" t="inlineStr"/>
      <c r="M35" s="4" t="inlineStr"/>
      <c r="N35" s="4" t="inlineStr"/>
      <c r="O35" s="4" t="inlineStr"/>
      <c r="P35" s="4" t="inlineStr"/>
      <c r="Q35" s="4" t="inlineStr"/>
      <c r="R35" s="4" t="inlineStr"/>
      <c r="S35" s="4" t="inlineStr"/>
      <c r="T35" s="4" t="inlineStr"/>
    </row>
    <row r="36" ht="76" customHeight="1">
      <c r="A36" s="2" t="inlineStr">
        <is>
          <t>2019::jama.2019.14630::C004</t>
        </is>
      </c>
      <c r="B36" s="2" t="inlineStr">
        <is>
          <t>jama.2019.14630</t>
        </is>
      </c>
      <c r="C36" s="2" t="inlineStr">
        <is>
          <t>PDQS baseline mean differs between the principal and baseline-value-carried-forward tables</t>
        </is>
      </c>
      <c r="D36" s="4" t="inlineStr"/>
      <c r="E36" s="4" t="inlineStr"/>
      <c r="F36" s="4" t="inlineStr">
        <is>
          <t>no</t>
        </is>
      </c>
      <c r="G36" s="2">
        <f>IF(D36="","PENDING",IF(AND(D36&lt;&gt;"agree",LEN(TRIM(E36))=0),"COMMENT NEEDED",IF(F36="yes","CHECKED - see resolution","DRAFT")))</f>
        <v/>
      </c>
      <c r="H36" s="4" t="inlineStr">
        <is>
          <t>pending</t>
        </is>
      </c>
      <c r="I36" s="4" t="inlineStr"/>
      <c r="J36" s="4" t="inlineStr"/>
      <c r="K36" s="4" t="inlineStr"/>
      <c r="L36" s="4" t="inlineStr"/>
      <c r="M36" s="4" t="inlineStr"/>
      <c r="N36" s="4" t="inlineStr"/>
      <c r="O36" s="4" t="inlineStr"/>
      <c r="P36" s="4" t="inlineStr"/>
      <c r="Q36" s="4" t="inlineStr"/>
      <c r="R36" s="4" t="inlineStr"/>
      <c r="S36" s="4" t="inlineStr"/>
      <c r="T36" s="4" t="inlineStr"/>
    </row>
    <row r="37" ht="76" customHeight="1">
      <c r="A37" s="3" t="inlineStr">
        <is>
          <t>2019::jama.2019.14630::C005</t>
        </is>
      </c>
      <c r="B37" s="3" t="inlineStr">
        <is>
          <t>jama.2019.14630</t>
        </is>
      </c>
      <c r="C37" s="3" t="inlineStr">
        <is>
          <t>intervention baseline energy SD differs between Table 3 and eTable 8</t>
        </is>
      </c>
      <c r="D37" s="4" t="inlineStr"/>
      <c r="E37" s="4" t="inlineStr"/>
      <c r="F37" s="4" t="inlineStr">
        <is>
          <t>no</t>
        </is>
      </c>
      <c r="G37" s="3">
        <f>IF(D37="","PENDING",IF(AND(D37&lt;&gt;"agree",LEN(TRIM(E37))=0),"COMMENT NEEDED",IF(F37="yes","CHECKED - see resolution","DRAFT")))</f>
        <v/>
      </c>
      <c r="H37" s="4" t="inlineStr">
        <is>
          <t>pending</t>
        </is>
      </c>
      <c r="I37" s="4" t="inlineStr"/>
      <c r="J37" s="4" t="inlineStr"/>
      <c r="K37" s="4" t="inlineStr"/>
      <c r="L37" s="4" t="inlineStr"/>
      <c r="M37" s="4" t="inlineStr"/>
      <c r="N37" s="4" t="inlineStr"/>
      <c r="O37" s="4" t="inlineStr"/>
      <c r="P37" s="4" t="inlineStr"/>
      <c r="Q37" s="4" t="inlineStr"/>
      <c r="R37" s="4" t="inlineStr"/>
      <c r="S37" s="4" t="inlineStr"/>
      <c r="T37" s="4" t="inlineStr"/>
    </row>
    <row r="38" ht="76" customHeight="1">
      <c r="A38" s="2" t="inlineStr">
        <is>
          <t>2019::jama.2019.14630::C006</t>
        </is>
      </c>
      <c r="B38" s="2" t="inlineStr">
        <is>
          <t>jama.2019.14630</t>
        </is>
      </c>
      <c r="C38" s="2" t="inlineStr">
        <is>
          <t>baseline body-weight summaries differ between Table 1 and eTable 9</t>
        </is>
      </c>
      <c r="D38" s="4" t="inlineStr"/>
      <c r="E38" s="4" t="inlineStr"/>
      <c r="F38" s="4" t="inlineStr">
        <is>
          <t>no</t>
        </is>
      </c>
      <c r="G38" s="2">
        <f>IF(D38="","PENDING",IF(AND(D38&lt;&gt;"agree",LEN(TRIM(E38))=0),"COMMENT NEEDED",IF(F38="yes","CHECKED - see resolution","DRAFT")))</f>
        <v/>
      </c>
      <c r="H38" s="4" t="inlineStr">
        <is>
          <t>pending</t>
        </is>
      </c>
      <c r="I38" s="4" t="inlineStr"/>
      <c r="J38" s="4" t="inlineStr"/>
      <c r="K38" s="4" t="inlineStr"/>
      <c r="L38" s="4" t="inlineStr"/>
      <c r="M38" s="4" t="inlineStr"/>
      <c r="N38" s="4" t="inlineStr"/>
      <c r="O38" s="4" t="inlineStr"/>
      <c r="P38" s="4" t="inlineStr"/>
      <c r="Q38" s="4" t="inlineStr"/>
      <c r="R38" s="4" t="inlineStr"/>
      <c r="S38" s="4" t="inlineStr"/>
      <c r="T38" s="4" t="inlineStr"/>
    </row>
    <row r="39" ht="76" customHeight="1">
      <c r="A39" s="3" t="inlineStr">
        <is>
          <t>2019::jama.2019.14630::C007</t>
        </is>
      </c>
      <c r="B39" s="3" t="inlineStr">
        <is>
          <t>jama.2019.14630</t>
        </is>
      </c>
      <c r="C39" s="3" t="inlineStr">
        <is>
          <t>baseline BMI means differ between Table 1 and eTable 9</t>
        </is>
      </c>
      <c r="D39" s="4" t="inlineStr"/>
      <c r="E39" s="4" t="inlineStr"/>
      <c r="F39" s="4" t="inlineStr">
        <is>
          <t>no</t>
        </is>
      </c>
      <c r="G39" s="3">
        <f>IF(D39="","PENDING",IF(AND(D39&lt;&gt;"agree",LEN(TRIM(E39))=0),"COMMENT NEEDED",IF(F39="yes","CHECKED - see resolution","DRAFT")))</f>
        <v/>
      </c>
      <c r="H39" s="4" t="inlineStr">
        <is>
          <t>pending</t>
        </is>
      </c>
      <c r="I39" s="4" t="inlineStr"/>
      <c r="J39" s="4" t="inlineStr"/>
      <c r="K39" s="4" t="inlineStr"/>
      <c r="L39" s="4" t="inlineStr"/>
      <c r="M39" s="4" t="inlineStr"/>
      <c r="N39" s="4" t="inlineStr"/>
      <c r="O39" s="4" t="inlineStr"/>
      <c r="P39" s="4" t="inlineStr"/>
      <c r="Q39" s="4" t="inlineStr"/>
      <c r="R39" s="4" t="inlineStr"/>
      <c r="S39" s="4" t="inlineStr"/>
      <c r="T39" s="4" t="inlineStr"/>
    </row>
    <row r="40" ht="76" customHeight="1">
      <c r="A40" s="2" t="inlineStr">
        <is>
          <t>2019::jama.2019.14630::C008</t>
        </is>
      </c>
      <c r="B40" s="2" t="inlineStr">
        <is>
          <t>jama.2019.14630</t>
        </is>
      </c>
      <c r="C40" s="2" t="inlineStr">
        <is>
          <t>Figure 4 threshold labels do not preserve the Methods boundary operators</t>
        </is>
      </c>
      <c r="D40" s="4" t="inlineStr"/>
      <c r="E40" s="4" t="inlineStr"/>
      <c r="F40" s="4" t="inlineStr">
        <is>
          <t>no</t>
        </is>
      </c>
      <c r="G40" s="2">
        <f>IF(D40="","PENDING",IF(AND(D40&lt;&gt;"agree",LEN(TRIM(E40))=0),"COMMENT NEEDED",IF(F40="yes","CHECKED - see resolution","DRAFT")))</f>
        <v/>
      </c>
      <c r="H40" s="4" t="inlineStr">
        <is>
          <t>pending</t>
        </is>
      </c>
      <c r="I40" s="4" t="inlineStr"/>
      <c r="J40" s="4" t="inlineStr"/>
      <c r="K40" s="4" t="inlineStr"/>
      <c r="L40" s="4" t="inlineStr"/>
      <c r="M40" s="4" t="inlineStr"/>
      <c r="N40" s="4" t="inlineStr"/>
      <c r="O40" s="4" t="inlineStr"/>
      <c r="P40" s="4" t="inlineStr"/>
      <c r="Q40" s="4" t="inlineStr"/>
      <c r="R40" s="4" t="inlineStr"/>
      <c r="S40" s="4" t="inlineStr"/>
      <c r="T40" s="4" t="inlineStr"/>
    </row>
    <row r="41" ht="76" customHeight="1">
      <c r="A41" s="3" t="inlineStr">
        <is>
          <t>2019::jama.2019.14630::C009</t>
        </is>
      </c>
      <c r="B41" s="3" t="inlineStr">
        <is>
          <t>jama.2019.14630</t>
        </is>
      </c>
      <c r="C41" s="3" t="inlineStr">
        <is>
          <t>eTable 4 total-olive-oil baseline row conflicts with the table’s median/IQR convention</t>
        </is>
      </c>
      <c r="D41" s="4" t="inlineStr"/>
      <c r="E41" s="4" t="inlineStr"/>
      <c r="F41" s="4" t="inlineStr">
        <is>
          <t>no</t>
        </is>
      </c>
      <c r="G41" s="3">
        <f>IF(D41="","PENDING",IF(AND(D41&lt;&gt;"agree",LEN(TRIM(E41))=0),"COMMENT NEEDED",IF(F41="yes","CHECKED - see resolution","DRAFT")))</f>
        <v/>
      </c>
      <c r="H41" s="4" t="inlineStr">
        <is>
          <t>pending</t>
        </is>
      </c>
      <c r="I41" s="4" t="inlineStr"/>
      <c r="J41" s="4" t="inlineStr"/>
      <c r="K41" s="4" t="inlineStr"/>
      <c r="L41" s="4" t="inlineStr"/>
      <c r="M41" s="4" t="inlineStr"/>
      <c r="N41" s="4" t="inlineStr"/>
      <c r="O41" s="4" t="inlineStr"/>
      <c r="P41" s="4" t="inlineStr"/>
      <c r="Q41" s="4" t="inlineStr"/>
      <c r="R41" s="4" t="inlineStr"/>
      <c r="S41" s="4" t="inlineStr"/>
      <c r="T41" s="4" t="inlineStr"/>
    </row>
    <row r="42" ht="76" customHeight="1">
      <c r="A42" s="2" t="inlineStr">
        <is>
          <t>2019::jama.2019.14901::C001</t>
        </is>
      </c>
      <c r="B42" s="2" t="inlineStr">
        <is>
          <t>jama.2019.14901</t>
        </is>
      </c>
      <c r="C42" s="2" t="inlineStr">
        <is>
          <t>Day-7 respiratory-failure absolute difference differs across matched article locations</t>
        </is>
      </c>
      <c r="D42" s="4" t="inlineStr"/>
      <c r="E42" s="4" t="inlineStr"/>
      <c r="F42" s="4" t="inlineStr">
        <is>
          <t>no</t>
        </is>
      </c>
      <c r="G42" s="2">
        <f>IF(D42="","PENDING",IF(AND(D42&lt;&gt;"agree",LEN(TRIM(E42))=0),"COMMENT NEEDED",IF(F42="yes","CHECKED - see resolution","DRAFT")))</f>
        <v/>
      </c>
      <c r="H42" s="4" t="inlineStr">
        <is>
          <t>pending</t>
        </is>
      </c>
      <c r="I42" s="4" t="inlineStr"/>
      <c r="J42" s="4" t="inlineStr"/>
      <c r="K42" s="4" t="inlineStr"/>
      <c r="L42" s="4" t="inlineStr"/>
      <c r="M42" s="4" t="inlineStr"/>
      <c r="N42" s="4" t="inlineStr"/>
      <c r="O42" s="4" t="inlineStr"/>
      <c r="P42" s="4" t="inlineStr"/>
      <c r="Q42" s="4" t="inlineStr"/>
      <c r="R42" s="4" t="inlineStr"/>
      <c r="S42" s="4" t="inlineStr"/>
      <c r="T42" s="4" t="inlineStr"/>
    </row>
    <row r="43" ht="76" customHeight="1">
      <c r="A43" s="3" t="inlineStr">
        <is>
          <t>2019::jama.2019.14901::C002</t>
        </is>
      </c>
      <c r="B43" s="3" t="inlineStr">
        <is>
          <t>jama.2019.14901</t>
        </is>
      </c>
      <c r="C43" s="3" t="inlineStr">
        <is>
          <t>Reintubation respiratory-acidosis cutoff differs between article and protocol</t>
        </is>
      </c>
      <c r="D43" s="4" t="inlineStr"/>
      <c r="E43" s="4" t="inlineStr"/>
      <c r="F43" s="4" t="inlineStr">
        <is>
          <t>no</t>
        </is>
      </c>
      <c r="G43" s="3">
        <f>IF(D43="","PENDING",IF(AND(D43&lt;&gt;"agree",LEN(TRIM(E43))=0),"COMMENT NEEDED",IF(F43="yes","CHECKED - see resolution","DRAFT")))</f>
        <v/>
      </c>
      <c r="H43" s="4" t="inlineStr">
        <is>
          <t>pending</t>
        </is>
      </c>
      <c r="I43" s="4" t="inlineStr"/>
      <c r="J43" s="4" t="inlineStr"/>
      <c r="K43" s="4" t="inlineStr"/>
      <c r="L43" s="4" t="inlineStr"/>
      <c r="M43" s="4" t="inlineStr"/>
      <c r="N43" s="4" t="inlineStr"/>
      <c r="O43" s="4" t="inlineStr"/>
      <c r="P43" s="4" t="inlineStr"/>
      <c r="Q43" s="4" t="inlineStr"/>
      <c r="R43" s="4" t="inlineStr"/>
      <c r="S43" s="4" t="inlineStr"/>
      <c r="T43" s="4" t="inlineStr"/>
    </row>
    <row r="44" ht="76" customHeight="1">
      <c r="A44" s="2" t="inlineStr">
        <is>
          <t>2019::jama.2019.14901::C003</t>
        </is>
      </c>
      <c r="B44" s="2" t="inlineStr">
        <is>
          <t>jama.2019.14901</t>
        </is>
      </c>
      <c r="C44" s="2" t="inlineStr">
        <is>
          <t>Hypercapnic ineffective-cough percentages conflict with printed fractions</t>
        </is>
      </c>
      <c r="D44" s="4" t="inlineStr"/>
      <c r="E44" s="4" t="inlineStr"/>
      <c r="F44" s="4" t="inlineStr">
        <is>
          <t>no</t>
        </is>
      </c>
      <c r="G44" s="2">
        <f>IF(D44="","PENDING",IF(AND(D44&lt;&gt;"agree",LEN(TRIM(E44))=0),"COMMENT NEEDED",IF(F44="yes","CHECKED - see resolution","DRAFT")))</f>
        <v/>
      </c>
      <c r="H44" s="4" t="inlineStr">
        <is>
          <t>pending</t>
        </is>
      </c>
      <c r="I44" s="4" t="inlineStr"/>
      <c r="J44" s="4" t="inlineStr"/>
      <c r="K44" s="4" t="inlineStr"/>
      <c r="L44" s="4" t="inlineStr"/>
      <c r="M44" s="4" t="inlineStr"/>
      <c r="N44" s="4" t="inlineStr"/>
      <c r="O44" s="4" t="inlineStr"/>
      <c r="P44" s="4" t="inlineStr"/>
      <c r="Q44" s="4" t="inlineStr"/>
      <c r="R44" s="4" t="inlineStr"/>
      <c r="S44" s="4" t="inlineStr"/>
      <c r="T44" s="4" t="inlineStr"/>
    </row>
    <row r="45" ht="76" customHeight="1">
      <c r="A45" s="3" t="inlineStr">
        <is>
          <t>2019::jama.2019.14901::C004</t>
        </is>
      </c>
      <c r="B45" s="3" t="inlineStr">
        <is>
          <t>jama.2019.14901</t>
        </is>
      </c>
      <c r="C45" s="3" t="inlineStr">
        <is>
          <t>Hypercapnic abundant-secretion percentages conflict with printed fractions</t>
        </is>
      </c>
      <c r="D45" s="4" t="inlineStr"/>
      <c r="E45" s="4" t="inlineStr"/>
      <c r="F45" s="4" t="inlineStr">
        <is>
          <t>no</t>
        </is>
      </c>
      <c r="G45" s="3">
        <f>IF(D45="","PENDING",IF(AND(D45&lt;&gt;"agree",LEN(TRIM(E45))=0),"COMMENT NEEDED",IF(F45="yes","CHECKED - see resolution","DRAFT")))</f>
        <v/>
      </c>
      <c r="H45" s="4" t="inlineStr">
        <is>
          <t>pending</t>
        </is>
      </c>
      <c r="I45" s="4" t="inlineStr"/>
      <c r="J45" s="4" t="inlineStr"/>
      <c r="K45" s="4" t="inlineStr"/>
      <c r="L45" s="4" t="inlineStr"/>
      <c r="M45" s="4" t="inlineStr"/>
      <c r="N45" s="4" t="inlineStr"/>
      <c r="O45" s="4" t="inlineStr"/>
      <c r="P45" s="4" t="inlineStr"/>
      <c r="Q45" s="4" t="inlineStr"/>
      <c r="R45" s="4" t="inlineStr"/>
      <c r="S45" s="4" t="inlineStr"/>
      <c r="T45" s="4" t="inlineStr"/>
    </row>
    <row r="46" ht="76" customHeight="1">
      <c r="A46" s="2" t="inlineStr">
        <is>
          <t>2019::jama.2019.14901::C005</t>
        </is>
      </c>
      <c r="B46" s="2" t="inlineStr">
        <is>
          <t>jama.2019.14901</t>
        </is>
      </c>
      <c r="C46" s="2" t="inlineStr">
        <is>
          <t>Matched nonhypercapnic day-7 reintubation P values differ across article and supplement</t>
        </is>
      </c>
      <c r="D46" s="4" t="inlineStr"/>
      <c r="E46" s="4" t="inlineStr"/>
      <c r="F46" s="4" t="inlineStr">
        <is>
          <t>no</t>
        </is>
      </c>
      <c r="G46" s="2">
        <f>IF(D46="","PENDING",IF(AND(D46&lt;&gt;"agree",LEN(TRIM(E46))=0),"COMMENT NEEDED",IF(F46="yes","CHECKED - see resolution","DRAFT")))</f>
        <v/>
      </c>
      <c r="H46" s="4" t="inlineStr">
        <is>
          <t>pending</t>
        </is>
      </c>
      <c r="I46" s="4" t="inlineStr"/>
      <c r="J46" s="4" t="inlineStr"/>
      <c r="K46" s="4" t="inlineStr"/>
      <c r="L46" s="4" t="inlineStr"/>
      <c r="M46" s="4" t="inlineStr"/>
      <c r="N46" s="4" t="inlineStr"/>
      <c r="O46" s="4" t="inlineStr"/>
      <c r="P46" s="4" t="inlineStr"/>
      <c r="Q46" s="4" t="inlineStr"/>
      <c r="R46" s="4" t="inlineStr"/>
      <c r="S46" s="4" t="inlineStr"/>
      <c r="T46" s="4" t="inlineStr"/>
    </row>
    <row r="47" ht="76" customHeight="1">
      <c r="A47" s="3" t="inlineStr">
        <is>
          <t>2019::jama.2019.14901::C006</t>
        </is>
      </c>
      <c r="B47" s="3" t="inlineStr">
        <is>
          <t>jama.2019.14901</t>
        </is>
      </c>
      <c r="C47" s="3" t="inlineStr">
        <is>
          <t>Protocol total-duration breakdown does not arithmetically reach the printed total</t>
        </is>
      </c>
      <c r="D47" s="4" t="inlineStr"/>
      <c r="E47" s="4" t="inlineStr"/>
      <c r="F47" s="4" t="inlineStr">
        <is>
          <t>no</t>
        </is>
      </c>
      <c r="G47" s="3">
        <f>IF(D47="","PENDING",IF(AND(D47&lt;&gt;"agree",LEN(TRIM(E47))=0),"COMMENT NEEDED",IF(F47="yes","CHECKED - see resolution","DRAFT")))</f>
        <v/>
      </c>
      <c r="H47" s="4" t="inlineStr">
        <is>
          <t>pending</t>
        </is>
      </c>
      <c r="I47" s="4" t="inlineStr"/>
      <c r="J47" s="4" t="inlineStr"/>
      <c r="K47" s="4" t="inlineStr"/>
      <c r="L47" s="4" t="inlineStr"/>
      <c r="M47" s="4" t="inlineStr"/>
      <c r="N47" s="4" t="inlineStr"/>
      <c r="O47" s="4" t="inlineStr"/>
      <c r="P47" s="4" t="inlineStr"/>
      <c r="Q47" s="4" t="inlineStr"/>
      <c r="R47" s="4" t="inlineStr"/>
      <c r="S47" s="4" t="inlineStr"/>
      <c r="T47" s="4" t="inlineStr"/>
    </row>
    <row r="48" ht="76" customHeight="1">
      <c r="A48" s="2" t="inlineStr">
        <is>
          <t>2019::jama.2019.17380::C001</t>
        </is>
      </c>
      <c r="B48" s="2" t="inlineStr">
        <is>
          <t>jama.2019.17380</t>
        </is>
      </c>
      <c r="C48" s="2" t="inlineStr">
        <is>
          <t>Figure 2 omega-3 eGFR contributor counts conflict with Table 2</t>
        </is>
      </c>
      <c r="D48" s="4" t="inlineStr"/>
      <c r="E48" s="4" t="inlineStr"/>
      <c r="F48" s="4" t="inlineStr">
        <is>
          <t>no</t>
        </is>
      </c>
      <c r="G48" s="2">
        <f>IF(D48="","PENDING",IF(AND(D48&lt;&gt;"agree",LEN(TRIM(E48))=0),"COMMENT NEEDED",IF(F48="yes","CHECKED - see resolution","DRAFT")))</f>
        <v/>
      </c>
      <c r="H48" s="4" t="inlineStr">
        <is>
          <t>pending</t>
        </is>
      </c>
      <c r="I48" s="4" t="inlineStr"/>
      <c r="J48" s="4" t="inlineStr"/>
      <c r="K48" s="4" t="inlineStr"/>
      <c r="L48" s="4" t="inlineStr"/>
      <c r="M48" s="4" t="inlineStr"/>
      <c r="N48" s="4" t="inlineStr"/>
      <c r="O48" s="4" t="inlineStr"/>
      <c r="P48" s="4" t="inlineStr"/>
      <c r="Q48" s="4" t="inlineStr"/>
      <c r="R48" s="4" t="inlineStr"/>
      <c r="S48" s="4" t="inlineStr"/>
      <c r="T48" s="4" t="inlineStr"/>
    </row>
    <row r="49" ht="76" customHeight="1">
      <c r="A49" s="3" t="inlineStr">
        <is>
          <t>2019::jama.2019.17380::C002</t>
        </is>
      </c>
      <c r="B49" s="3" t="inlineStr">
        <is>
          <t>jama.2019.17380</t>
        </is>
      </c>
      <c r="C49" s="3" t="inlineStr">
        <is>
          <t>Figure 2 omega-3 urine-ACR contributor counts conflict with eTable 6</t>
        </is>
      </c>
      <c r="D49" s="4" t="inlineStr"/>
      <c r="E49" s="4" t="inlineStr"/>
      <c r="F49" s="4" t="inlineStr">
        <is>
          <t>no</t>
        </is>
      </c>
      <c r="G49" s="3">
        <f>IF(D49="","PENDING",IF(AND(D49&lt;&gt;"agree",LEN(TRIM(E49))=0),"COMMENT NEEDED",IF(F49="yes","CHECKED - see resolution","DRAFT")))</f>
        <v/>
      </c>
      <c r="H49" s="4" t="inlineStr">
        <is>
          <t>pending</t>
        </is>
      </c>
      <c r="I49" s="4" t="inlineStr"/>
      <c r="J49" s="4" t="inlineStr"/>
      <c r="K49" s="4" t="inlineStr"/>
      <c r="L49" s="4" t="inlineStr"/>
      <c r="M49" s="4" t="inlineStr"/>
      <c r="N49" s="4" t="inlineStr"/>
      <c r="O49" s="4" t="inlineStr"/>
      <c r="P49" s="4" t="inlineStr"/>
      <c r="Q49" s="4" t="inlineStr"/>
      <c r="R49" s="4" t="inlineStr"/>
      <c r="S49" s="4" t="inlineStr"/>
      <c r="T49" s="4" t="inlineStr"/>
    </row>
    <row r="50" ht="76" customHeight="1">
      <c r="A50" s="2" t="inlineStr">
        <is>
          <t>2019::jama.2019.17380::C003</t>
        </is>
      </c>
      <c r="B50" s="2" t="inlineStr">
        <is>
          <t>jama.2019.17380</t>
        </is>
      </c>
      <c r="C50" s="2" t="inlineStr">
        <is>
          <t>Figure 3 assigns vitamin-D arm sizes to the opposite column labels</t>
        </is>
      </c>
      <c r="D50" s="4" t="inlineStr"/>
      <c r="E50" s="4" t="inlineStr"/>
      <c r="F50" s="4" t="inlineStr">
        <is>
          <t>no</t>
        </is>
      </c>
      <c r="G50" s="2">
        <f>IF(D50="","PENDING",IF(AND(D50&lt;&gt;"agree",LEN(TRIM(E50))=0),"COMMENT NEEDED",IF(F50="yes","CHECKED - see resolution","DRAFT")))</f>
        <v/>
      </c>
      <c r="H50" s="4" t="inlineStr">
        <is>
          <t>pending</t>
        </is>
      </c>
      <c r="I50" s="4" t="inlineStr"/>
      <c r="J50" s="4" t="inlineStr"/>
      <c r="K50" s="4" t="inlineStr"/>
      <c r="L50" s="4" t="inlineStr"/>
      <c r="M50" s="4" t="inlineStr"/>
      <c r="N50" s="4" t="inlineStr"/>
      <c r="O50" s="4" t="inlineStr"/>
      <c r="P50" s="4" t="inlineStr"/>
      <c r="Q50" s="4" t="inlineStr"/>
      <c r="R50" s="4" t="inlineStr"/>
      <c r="S50" s="4" t="inlineStr"/>
      <c r="T50" s="4" t="inlineStr"/>
    </row>
    <row r="51" ht="76" customHeight="1">
      <c r="A51" s="3" t="inlineStr">
        <is>
          <t>2019::jama.2019.17380::C004</t>
        </is>
      </c>
      <c r="B51" s="3" t="inlineStr">
        <is>
          <t>jama.2019.17380</t>
        </is>
      </c>
      <c r="C51" s="3" t="inlineStr">
        <is>
          <t>Figure 4 assigns omega-3 arm sizes to the opposite column labels</t>
        </is>
      </c>
      <c r="D51" s="4" t="inlineStr"/>
      <c r="E51" s="4" t="inlineStr"/>
      <c r="F51" s="4" t="inlineStr">
        <is>
          <t>no</t>
        </is>
      </c>
      <c r="G51" s="3">
        <f>IF(D51="","PENDING",IF(AND(D51&lt;&gt;"agree",LEN(TRIM(E51))=0),"COMMENT NEEDED",IF(F51="yes","CHECKED - see resolution","DRAFT")))</f>
        <v/>
      </c>
      <c r="H51" s="4" t="inlineStr">
        <is>
          <t>pending</t>
        </is>
      </c>
      <c r="I51" s="4" t="inlineStr"/>
      <c r="J51" s="4" t="inlineStr"/>
      <c r="K51" s="4" t="inlineStr"/>
      <c r="L51" s="4" t="inlineStr"/>
      <c r="M51" s="4" t="inlineStr"/>
      <c r="N51" s="4" t="inlineStr"/>
      <c r="O51" s="4" t="inlineStr"/>
      <c r="P51" s="4" t="inlineStr"/>
      <c r="Q51" s="4" t="inlineStr"/>
      <c r="R51" s="4" t="inlineStr"/>
      <c r="S51" s="4" t="inlineStr"/>
      <c r="T51" s="4" t="inlineStr"/>
    </row>
    <row r="52" ht="76" customHeight="1">
      <c r="A52" s="2" t="inlineStr">
        <is>
          <t>2019::jama.2019.17380::C005</t>
        </is>
      </c>
      <c r="B52" s="2" t="inlineStr">
        <is>
          <t>jama.2019.17380</t>
        </is>
      </c>
      <c r="C52" s="2" t="inlineStr">
        <is>
          <t>eFigure 2 places vitamin-D participant counts under the opposite headings</t>
        </is>
      </c>
      <c r="D52" s="4" t="inlineStr"/>
      <c r="E52" s="4" t="inlineStr"/>
      <c r="F52" s="4" t="inlineStr">
        <is>
          <t>no</t>
        </is>
      </c>
      <c r="G52" s="2">
        <f>IF(D52="","PENDING",IF(AND(D52&lt;&gt;"agree",LEN(TRIM(E52))=0),"COMMENT NEEDED",IF(F52="yes","CHECKED - see resolution","DRAFT")))</f>
        <v/>
      </c>
      <c r="H52" s="4" t="inlineStr">
        <is>
          <t>pending</t>
        </is>
      </c>
      <c r="I52" s="4" t="inlineStr"/>
      <c r="J52" s="4" t="inlineStr"/>
      <c r="K52" s="4" t="inlineStr"/>
      <c r="L52" s="4" t="inlineStr"/>
      <c r="M52" s="4" t="inlineStr"/>
      <c r="N52" s="4" t="inlineStr"/>
      <c r="O52" s="4" t="inlineStr"/>
      <c r="P52" s="4" t="inlineStr"/>
      <c r="Q52" s="4" t="inlineStr"/>
      <c r="R52" s="4" t="inlineStr"/>
      <c r="S52" s="4" t="inlineStr"/>
      <c r="T52" s="4" t="inlineStr"/>
    </row>
    <row r="53" ht="76" customHeight="1">
      <c r="A53" s="3" t="inlineStr">
        <is>
          <t>2019::jama.2019.17380::C006</t>
        </is>
      </c>
      <c r="B53" s="3" t="inlineStr">
        <is>
          <t>jama.2019.17380</t>
        </is>
      </c>
      <c r="C53" s="3" t="inlineStr">
        <is>
          <t>eFigure 3 places omega-3 participant counts under the opposite headings</t>
        </is>
      </c>
      <c r="D53" s="4" t="inlineStr"/>
      <c r="E53" s="4" t="inlineStr"/>
      <c r="F53" s="4" t="inlineStr">
        <is>
          <t>no</t>
        </is>
      </c>
      <c r="G53" s="3">
        <f>IF(D53="","PENDING",IF(AND(D53&lt;&gt;"agree",LEN(TRIM(E53))=0),"COMMENT NEEDED",IF(F53="yes","CHECKED - see resolution","DRAFT")))</f>
        <v/>
      </c>
      <c r="H53" s="4" t="inlineStr">
        <is>
          <t>pending</t>
        </is>
      </c>
      <c r="I53" s="4" t="inlineStr"/>
      <c r="J53" s="4" t="inlineStr"/>
      <c r="K53" s="4" t="inlineStr"/>
      <c r="L53" s="4" t="inlineStr"/>
      <c r="M53" s="4" t="inlineStr"/>
      <c r="N53" s="4" t="inlineStr"/>
      <c r="O53" s="4" t="inlineStr"/>
      <c r="P53" s="4" t="inlineStr"/>
      <c r="Q53" s="4" t="inlineStr"/>
      <c r="R53" s="4" t="inlineStr"/>
      <c r="S53" s="4" t="inlineStr"/>
      <c r="T53" s="4" t="inlineStr"/>
    </row>
    <row r="54" ht="76" customHeight="1">
      <c r="A54" s="2" t="inlineStr">
        <is>
          <t>2019::jama.2019.17380::C007</t>
        </is>
      </c>
      <c r="B54" s="2" t="inlineStr">
        <is>
          <t>jama.2019.17380</t>
        </is>
      </c>
      <c r="C54" s="2" t="inlineStr">
        <is>
          <t>Imputation count differs between the analytic-plan addendum and article methods</t>
        </is>
      </c>
      <c r="D54" s="4" t="inlineStr"/>
      <c r="E54" s="4" t="inlineStr"/>
      <c r="F54" s="4" t="inlineStr">
        <is>
          <t>no</t>
        </is>
      </c>
      <c r="G54" s="2">
        <f>IF(D54="","PENDING",IF(AND(D54&lt;&gt;"agree",LEN(TRIM(E54))=0),"COMMENT NEEDED",IF(F54="yes","CHECKED - see resolution","DRAFT")))</f>
        <v/>
      </c>
      <c r="H54" s="4" t="inlineStr">
        <is>
          <t>pending</t>
        </is>
      </c>
      <c r="I54" s="4" t="inlineStr"/>
      <c r="J54" s="4" t="inlineStr"/>
      <c r="K54" s="4" t="inlineStr"/>
      <c r="L54" s="4" t="inlineStr"/>
      <c r="M54" s="4" t="inlineStr"/>
      <c r="N54" s="4" t="inlineStr"/>
      <c r="O54" s="4" t="inlineStr"/>
      <c r="P54" s="4" t="inlineStr"/>
      <c r="Q54" s="4" t="inlineStr"/>
      <c r="R54" s="4" t="inlineStr"/>
      <c r="S54" s="4" t="inlineStr"/>
      <c r="T54" s="4" t="inlineStr"/>
    </row>
    <row r="55" ht="76" customHeight="1">
      <c r="A55" s="3" t="inlineStr">
        <is>
          <t>2019::jama.2019.2210::C001</t>
        </is>
      </c>
      <c r="B55" s="3" t="inlineStr">
        <is>
          <t>jama.2019.2210</t>
        </is>
      </c>
      <c r="C55" s="3" t="inlineStr">
        <is>
          <t>Table 1 SNP percentages use unlabelled, variable available-case denominators</t>
        </is>
      </c>
      <c r="D55" s="4" t="inlineStr"/>
      <c r="E55" s="4" t="inlineStr"/>
      <c r="F55" s="4" t="inlineStr">
        <is>
          <t>no</t>
        </is>
      </c>
      <c r="G55" s="3">
        <f>IF(D55="","PENDING",IF(AND(D55&lt;&gt;"agree",LEN(TRIM(E55))=0),"COMMENT NEEDED",IF(F55="yes","CHECKED - see resolution","DRAFT")))</f>
        <v/>
      </c>
      <c r="H55" s="4" t="inlineStr">
        <is>
          <t>pending</t>
        </is>
      </c>
      <c r="I55" s="4" t="inlineStr"/>
      <c r="J55" s="4" t="inlineStr"/>
      <c r="K55" s="4" t="inlineStr"/>
      <c r="L55" s="4" t="inlineStr"/>
      <c r="M55" s="4" t="inlineStr"/>
      <c r="N55" s="4" t="inlineStr"/>
      <c r="O55" s="4" t="inlineStr"/>
      <c r="P55" s="4" t="inlineStr"/>
      <c r="Q55" s="4" t="inlineStr"/>
      <c r="R55" s="4" t="inlineStr"/>
      <c r="S55" s="4" t="inlineStr"/>
      <c r="T55" s="4" t="inlineStr"/>
    </row>
    <row r="56" ht="76" customHeight="1">
      <c r="A56" s="2" t="inlineStr">
        <is>
          <t>2019::jama.2019.2210::C002</t>
        </is>
      </c>
      <c r="B56" s="2" t="inlineStr">
        <is>
          <t>jama.2019.2210</t>
        </is>
      </c>
      <c r="C56" s="2" t="inlineStr">
        <is>
          <t>Figure 3 caption says panel-C risk numbers are absent although the panel prints them</t>
        </is>
      </c>
      <c r="D56" s="4" t="inlineStr"/>
      <c r="E56" s="4" t="inlineStr"/>
      <c r="F56" s="4" t="inlineStr">
        <is>
          <t>no</t>
        </is>
      </c>
      <c r="G56" s="2">
        <f>IF(D56="","PENDING",IF(AND(D56&lt;&gt;"agree",LEN(TRIM(E56))=0),"COMMENT NEEDED",IF(F56="yes","CHECKED - see resolution","DRAFT")))</f>
        <v/>
      </c>
      <c r="H56" s="4" t="inlineStr">
        <is>
          <t>pending</t>
        </is>
      </c>
      <c r="I56" s="4" t="inlineStr"/>
      <c r="J56" s="4" t="inlineStr"/>
      <c r="K56" s="4" t="inlineStr"/>
      <c r="L56" s="4" t="inlineStr"/>
      <c r="M56" s="4" t="inlineStr"/>
      <c r="N56" s="4" t="inlineStr"/>
      <c r="O56" s="4" t="inlineStr"/>
      <c r="P56" s="4" t="inlineStr"/>
      <c r="Q56" s="4" t="inlineStr"/>
      <c r="R56" s="4" t="inlineStr"/>
      <c r="S56" s="4" t="inlineStr"/>
      <c r="T56" s="4" t="inlineStr"/>
    </row>
    <row r="57" ht="76" customHeight="1">
      <c r="A57" s="3" t="inlineStr">
        <is>
          <t>2019::jama.2019.2210::C003</t>
        </is>
      </c>
      <c r="B57" s="3" t="inlineStr">
        <is>
          <t>jama.2019.2210</t>
        </is>
      </c>
      <c r="C57" s="3" t="inlineStr">
        <is>
          <t>Final protocol gives different accrual stopping thresholds</t>
        </is>
      </c>
      <c r="D57" s="4" t="inlineStr"/>
      <c r="E57" s="4" t="inlineStr"/>
      <c r="F57" s="4" t="inlineStr">
        <is>
          <t>no</t>
        </is>
      </c>
      <c r="G57" s="3">
        <f>IF(D57="","PENDING",IF(AND(D57&lt;&gt;"agree",LEN(TRIM(E57))=0),"COMMENT NEEDED",IF(F57="yes","CHECKED - see resolution","DRAFT")))</f>
        <v/>
      </c>
      <c r="H57" s="4" t="inlineStr">
        <is>
          <t>pending</t>
        </is>
      </c>
      <c r="I57" s="4" t="inlineStr"/>
      <c r="J57" s="4" t="inlineStr"/>
      <c r="K57" s="4" t="inlineStr"/>
      <c r="L57" s="4" t="inlineStr"/>
      <c r="M57" s="4" t="inlineStr"/>
      <c r="N57" s="4" t="inlineStr"/>
      <c r="O57" s="4" t="inlineStr"/>
      <c r="P57" s="4" t="inlineStr"/>
      <c r="Q57" s="4" t="inlineStr"/>
      <c r="R57" s="4" t="inlineStr"/>
      <c r="S57" s="4" t="inlineStr"/>
      <c r="T57" s="4" t="inlineStr"/>
    </row>
    <row r="58" ht="76" customHeight="1">
      <c r="A58" s="2" t="inlineStr">
        <is>
          <t>2019::jama.2019.2210::C004</t>
        </is>
      </c>
      <c r="B58" s="2" t="inlineStr">
        <is>
          <t>jama.2019.2210</t>
        </is>
      </c>
      <c r="C58" s="2" t="inlineStr">
        <is>
          <t>Final protocol assigns de novo cancer incompatible endpoint labels</t>
        </is>
      </c>
      <c r="D58" s="4" t="inlineStr"/>
      <c r="E58" s="4" t="inlineStr"/>
      <c r="F58" s="4" t="inlineStr">
        <is>
          <t>no</t>
        </is>
      </c>
      <c r="G58" s="2">
        <f>IF(D58="","PENDING",IF(AND(D58&lt;&gt;"agree",LEN(TRIM(E58))=0),"COMMENT NEEDED",IF(F58="yes","CHECKED - see resolution","DRAFT")))</f>
        <v/>
      </c>
      <c r="H58" s="4" t="inlineStr">
        <is>
          <t>pending</t>
        </is>
      </c>
      <c r="I58" s="4" t="inlineStr"/>
      <c r="J58" s="4" t="inlineStr"/>
      <c r="K58" s="4" t="inlineStr"/>
      <c r="L58" s="4" t="inlineStr"/>
      <c r="M58" s="4" t="inlineStr"/>
      <c r="N58" s="4" t="inlineStr"/>
      <c r="O58" s="4" t="inlineStr"/>
      <c r="P58" s="4" t="inlineStr"/>
      <c r="Q58" s="4" t="inlineStr"/>
      <c r="R58" s="4" t="inlineStr"/>
      <c r="S58" s="4" t="inlineStr"/>
      <c r="T58" s="4" t="inlineStr"/>
    </row>
    <row r="59" ht="76" customHeight="1">
      <c r="A59" s="3" t="inlineStr">
        <is>
          <t>2019::jama.2019.2210::C005</t>
        </is>
      </c>
      <c r="B59" s="3" t="inlineStr">
        <is>
          <t>jama.2019.2210</t>
        </is>
      </c>
      <c r="C59" s="3" t="inlineStr">
        <is>
          <t>One final-protocol high-25(OH)D stratum label omits the boundary operator</t>
        </is>
      </c>
      <c r="D59" s="4" t="inlineStr"/>
      <c r="E59" s="4" t="inlineStr"/>
      <c r="F59" s="4" t="inlineStr">
        <is>
          <t>no</t>
        </is>
      </c>
      <c r="G59" s="3">
        <f>IF(D59="","PENDING",IF(AND(D59&lt;&gt;"agree",LEN(TRIM(E59))=0),"COMMENT NEEDED",IF(F59="yes","CHECKED - see resolution","DRAFT")))</f>
        <v/>
      </c>
      <c r="H59" s="4" t="inlineStr">
        <is>
          <t>pending</t>
        </is>
      </c>
      <c r="I59" s="4" t="inlineStr"/>
      <c r="J59" s="4" t="inlineStr"/>
      <c r="K59" s="4" t="inlineStr"/>
      <c r="L59" s="4" t="inlineStr"/>
      <c r="M59" s="4" t="inlineStr"/>
      <c r="N59" s="4" t="inlineStr"/>
      <c r="O59" s="4" t="inlineStr"/>
      <c r="P59" s="4" t="inlineStr"/>
      <c r="Q59" s="4" t="inlineStr"/>
      <c r="R59" s="4" t="inlineStr"/>
      <c r="S59" s="4" t="inlineStr"/>
      <c r="T59" s="4" t="inlineStr"/>
    </row>
    <row r="60" ht="76" customHeight="1">
      <c r="A60" s="2" t="inlineStr">
        <is>
          <t>2019::jama.2019.2210::C006</t>
        </is>
      </c>
      <c r="B60" s="2" t="inlineStr">
        <is>
          <t>jama.2019.2210</t>
        </is>
      </c>
      <c r="C60" s="2" t="inlineStr">
        <is>
          <t>Supplement labels Cdx2 genotype panels as CDK2</t>
        </is>
      </c>
      <c r="D60" s="4" t="inlineStr"/>
      <c r="E60" s="4" t="inlineStr"/>
      <c r="F60" s="4" t="inlineStr">
        <is>
          <t>no</t>
        </is>
      </c>
      <c r="G60" s="2">
        <f>IF(D60="","PENDING",IF(AND(D60&lt;&gt;"agree",LEN(TRIM(E60))=0),"COMMENT NEEDED",IF(F60="yes","CHECKED - see resolution","DRAFT")))</f>
        <v/>
      </c>
      <c r="H60" s="4" t="inlineStr">
        <is>
          <t>pending</t>
        </is>
      </c>
      <c r="I60" s="4" t="inlineStr"/>
      <c r="J60" s="4" t="inlineStr"/>
      <c r="K60" s="4" t="inlineStr"/>
      <c r="L60" s="4" t="inlineStr"/>
      <c r="M60" s="4" t="inlineStr"/>
      <c r="N60" s="4" t="inlineStr"/>
      <c r="O60" s="4" t="inlineStr"/>
      <c r="P60" s="4" t="inlineStr"/>
      <c r="Q60" s="4" t="inlineStr"/>
      <c r="R60" s="4" t="inlineStr"/>
      <c r="S60" s="4" t="inlineStr"/>
      <c r="T60" s="4" t="inlineStr"/>
    </row>
    <row r="61" ht="76" customHeight="1">
      <c r="A61" s="3" t="inlineStr">
        <is>
          <t>2019::jama.2019.2210::C007</t>
        </is>
      </c>
      <c r="B61" s="3" t="inlineStr">
        <is>
          <t>jama.2019.2210</t>
        </is>
      </c>
      <c r="C61" s="3" t="inlineStr">
        <is>
          <t>Table 1 BMI categories use smaller, unlabelled denominators than the arm headers</t>
        </is>
      </c>
      <c r="D61" s="4" t="inlineStr"/>
      <c r="E61" s="4" t="inlineStr"/>
      <c r="F61" s="4" t="inlineStr">
        <is>
          <t>no</t>
        </is>
      </c>
      <c r="G61" s="3">
        <f>IF(D61="","PENDING",IF(AND(D61&lt;&gt;"agree",LEN(TRIM(E61))=0),"COMMENT NEEDED",IF(F61="yes","CHECKED - see resolution","DRAFT")))</f>
        <v/>
      </c>
      <c r="H61" s="4" t="inlineStr">
        <is>
          <t>pending</t>
        </is>
      </c>
      <c r="I61" s="4" t="inlineStr"/>
      <c r="J61" s="4" t="inlineStr"/>
      <c r="K61" s="4" t="inlineStr"/>
      <c r="L61" s="4" t="inlineStr"/>
      <c r="M61" s="4" t="inlineStr"/>
      <c r="N61" s="4" t="inlineStr"/>
      <c r="O61" s="4" t="inlineStr"/>
      <c r="P61" s="4" t="inlineStr"/>
      <c r="Q61" s="4" t="inlineStr"/>
      <c r="R61" s="4" t="inlineStr"/>
      <c r="S61" s="4" t="inlineStr"/>
      <c r="T61" s="4" t="inlineStr"/>
    </row>
    <row r="62" ht="76" customHeight="1">
      <c r="A62" s="2" t="inlineStr">
        <is>
          <t>2019::jama.2019.2210::C008</t>
        </is>
      </c>
      <c r="B62" s="2" t="inlineStr">
        <is>
          <t>jama.2019.2210</t>
        </is>
      </c>
      <c r="C62" s="2" t="inlineStr">
        <is>
          <t>Report and protocol use different time-origin labels despite a same-visit equivalence statement</t>
        </is>
      </c>
      <c r="D62" s="4" t="inlineStr"/>
      <c r="E62" s="4" t="inlineStr"/>
      <c r="F62" s="4" t="inlineStr">
        <is>
          <t>no</t>
        </is>
      </c>
      <c r="G62" s="2">
        <f>IF(D62="","PENDING",IF(AND(D62&lt;&gt;"agree",LEN(TRIM(E62))=0),"COMMENT NEEDED",IF(F62="yes","CHECKED - see resolution","DRAFT")))</f>
        <v/>
      </c>
      <c r="H62" s="4" t="inlineStr">
        <is>
          <t>pending</t>
        </is>
      </c>
      <c r="I62" s="4" t="inlineStr"/>
      <c r="J62" s="4" t="inlineStr"/>
      <c r="K62" s="4" t="inlineStr"/>
      <c r="L62" s="4" t="inlineStr"/>
      <c r="M62" s="4" t="inlineStr"/>
      <c r="N62" s="4" t="inlineStr"/>
      <c r="O62" s="4" t="inlineStr"/>
      <c r="P62" s="4" t="inlineStr"/>
      <c r="Q62" s="4" t="inlineStr"/>
      <c r="R62" s="4" t="inlineStr"/>
      <c r="S62" s="4" t="inlineStr"/>
      <c r="T62" s="4" t="inlineStr"/>
    </row>
    <row r="63" ht="76" customHeight="1">
      <c r="A63" s="3" t="inlineStr">
        <is>
          <t>2019::jama.2019.2210::C009</t>
        </is>
      </c>
      <c r="B63" s="3" t="inlineStr">
        <is>
          <t>jama.2019.2210</t>
        </is>
      </c>
      <c r="C63" s="3" t="inlineStr">
        <is>
          <t>Table 2 hazard-ratio direction footnote is opposite the displayed outcome direction</t>
        </is>
      </c>
      <c r="D63" s="4" t="inlineStr"/>
      <c r="E63" s="4" t="inlineStr"/>
      <c r="F63" s="4" t="inlineStr">
        <is>
          <t>no</t>
        </is>
      </c>
      <c r="G63" s="3">
        <f>IF(D63="","PENDING",IF(AND(D63&lt;&gt;"agree",LEN(TRIM(E63))=0),"COMMENT NEEDED",IF(F63="yes","CHECKED - see resolution","DRAFT")))</f>
        <v/>
      </c>
      <c r="H63" s="4" t="inlineStr">
        <is>
          <t>pending</t>
        </is>
      </c>
      <c r="I63" s="4" t="inlineStr"/>
      <c r="J63" s="4" t="inlineStr"/>
      <c r="K63" s="4" t="inlineStr"/>
      <c r="L63" s="4" t="inlineStr"/>
      <c r="M63" s="4" t="inlineStr"/>
      <c r="N63" s="4" t="inlineStr"/>
      <c r="O63" s="4" t="inlineStr"/>
      <c r="P63" s="4" t="inlineStr"/>
      <c r="Q63" s="4" t="inlineStr"/>
      <c r="R63" s="4" t="inlineStr"/>
      <c r="S63" s="4" t="inlineStr"/>
      <c r="T63" s="4" t="inlineStr"/>
    </row>
    <row r="64" ht="76" customHeight="1">
      <c r="A64" s="2" t="inlineStr">
        <is>
          <t>2019::jama.2019.4755::C001</t>
        </is>
      </c>
      <c r="B64" s="2" t="inlineStr">
        <is>
          <t>jama.2019.4755</t>
        </is>
      </c>
      <c r="C64" s="2" t="inlineStr">
        <is>
          <t>Women’s quantitative 10.2 µg Hb/g PPV difference point estimate is absent</t>
        </is>
      </c>
      <c r="D64" s="4" t="inlineStr"/>
      <c r="E64" s="4" t="inlineStr"/>
      <c r="F64" s="4" t="inlineStr">
        <is>
          <t>no</t>
        </is>
      </c>
      <c r="G64" s="2">
        <f>IF(D64="","PENDING",IF(AND(D64&lt;&gt;"agree",LEN(TRIM(E64))=0),"COMMENT NEEDED",IF(F64="yes","CHECKED - see resolution","DRAFT")))</f>
        <v/>
      </c>
      <c r="H64" s="4" t="inlineStr">
        <is>
          <t>pending</t>
        </is>
      </c>
      <c r="I64" s="4" t="inlineStr"/>
      <c r="J64" s="4" t="inlineStr"/>
      <c r="K64" s="4" t="inlineStr"/>
      <c r="L64" s="4" t="inlineStr"/>
      <c r="M64" s="4" t="inlineStr"/>
      <c r="N64" s="4" t="inlineStr"/>
      <c r="O64" s="4" t="inlineStr"/>
      <c r="P64" s="4" t="inlineStr"/>
      <c r="Q64" s="4" t="inlineStr"/>
      <c r="R64" s="4" t="inlineStr"/>
      <c r="S64" s="4" t="inlineStr"/>
      <c r="T64" s="4" t="inlineStr"/>
    </row>
    <row r="65" ht="76" customHeight="1">
      <c r="A65" s="3" t="inlineStr">
        <is>
          <t>2019::jama.2019.4755::C002</t>
        </is>
      </c>
      <c r="B65" s="3" t="inlineStr">
        <is>
          <t>jama.2019.4755</t>
        </is>
      </c>
      <c r="C65" s="3" t="inlineStr">
        <is>
          <t>Women’s quantitative 17.0 µg Hb/g PPV difference point estimate is absent</t>
        </is>
      </c>
      <c r="D65" s="4" t="inlineStr"/>
      <c r="E65" s="4" t="inlineStr"/>
      <c r="F65" s="4" t="inlineStr">
        <is>
          <t>no</t>
        </is>
      </c>
      <c r="G65" s="3">
        <f>IF(D65="","PENDING",IF(AND(D65&lt;&gt;"agree",LEN(TRIM(E65))=0),"COMMENT NEEDED",IF(F65="yes","CHECKED - see resolution","DRAFT")))</f>
        <v/>
      </c>
      <c r="H65" s="4" t="inlineStr">
        <is>
          <t>pending</t>
        </is>
      </c>
      <c r="I65" s="4" t="inlineStr"/>
      <c r="J65" s="4" t="inlineStr"/>
      <c r="K65" s="4" t="inlineStr"/>
      <c r="L65" s="4" t="inlineStr"/>
      <c r="M65" s="4" t="inlineStr"/>
      <c r="N65" s="4" t="inlineStr"/>
      <c r="O65" s="4" t="inlineStr"/>
      <c r="P65" s="4" t="inlineStr"/>
      <c r="Q65" s="4" t="inlineStr"/>
      <c r="R65" s="4" t="inlineStr"/>
      <c r="S65" s="4" t="inlineStr"/>
      <c r="T65" s="4" t="inlineStr"/>
    </row>
    <row r="66" ht="76" customHeight="1">
      <c r="A66" s="2" t="inlineStr">
        <is>
          <t>2019::jama.2019.4755::C003</t>
        </is>
      </c>
      <c r="B66" s="2" t="inlineStr">
        <is>
          <t>jama.2019.4755</t>
        </is>
      </c>
      <c r="C66" s="2" t="inlineStr">
        <is>
          <t>Women’s qualitative 10.2 µg Hb/g PPV difference point estimate is absent</t>
        </is>
      </c>
      <c r="D66" s="4" t="inlineStr"/>
      <c r="E66" s="4" t="inlineStr"/>
      <c r="F66" s="4" t="inlineStr">
        <is>
          <t>no</t>
        </is>
      </c>
      <c r="G66" s="2">
        <f>IF(D66="","PENDING",IF(AND(D66&lt;&gt;"agree",LEN(TRIM(E66))=0),"COMMENT NEEDED",IF(F66="yes","CHECKED - see resolution","DRAFT")))</f>
        <v/>
      </c>
      <c r="H66" s="4" t="inlineStr">
        <is>
          <t>pending</t>
        </is>
      </c>
      <c r="I66" s="4" t="inlineStr"/>
      <c r="J66" s="4" t="inlineStr"/>
      <c r="K66" s="4" t="inlineStr"/>
      <c r="L66" s="4" t="inlineStr"/>
      <c r="M66" s="4" t="inlineStr"/>
      <c r="N66" s="4" t="inlineStr"/>
      <c r="O66" s="4" t="inlineStr"/>
      <c r="P66" s="4" t="inlineStr"/>
      <c r="Q66" s="4" t="inlineStr"/>
      <c r="R66" s="4" t="inlineStr"/>
      <c r="S66" s="4" t="inlineStr"/>
      <c r="T66" s="4" t="inlineStr"/>
    </row>
    <row r="67" ht="76" customHeight="1">
      <c r="A67" s="3" t="inlineStr">
        <is>
          <t>2019::jama.2019.4755::C004</t>
        </is>
      </c>
      <c r="B67" s="3" t="inlineStr">
        <is>
          <t>jama.2019.4755</t>
        </is>
      </c>
      <c r="C67" s="3" t="inlineStr">
        <is>
          <t>eTable 5 visible cutoff header truncates after [µg</t>
        </is>
      </c>
      <c r="D67" s="4" t="inlineStr"/>
      <c r="E67" s="4" t="inlineStr"/>
      <c r="F67" s="4" t="inlineStr">
        <is>
          <t>no</t>
        </is>
      </c>
      <c r="G67" s="3">
        <f>IF(D67="","PENDING",IF(AND(D67&lt;&gt;"agree",LEN(TRIM(E67))=0),"COMMENT NEEDED",IF(F67="yes","CHECKED - see resolution","DRAFT")))</f>
        <v/>
      </c>
      <c r="H67" s="4" t="inlineStr">
        <is>
          <t>pending</t>
        </is>
      </c>
      <c r="I67" s="4" t="inlineStr"/>
      <c r="J67" s="4" t="inlineStr"/>
      <c r="K67" s="4" t="inlineStr"/>
      <c r="L67" s="4" t="inlineStr"/>
      <c r="M67" s="4" t="inlineStr"/>
      <c r="N67" s="4" t="inlineStr"/>
      <c r="O67" s="4" t="inlineStr"/>
      <c r="P67" s="4" t="inlineStr"/>
      <c r="Q67" s="4" t="inlineStr"/>
      <c r="R67" s="4" t="inlineStr"/>
      <c r="S67" s="4" t="inlineStr"/>
      <c r="T67" s="4" t="inlineStr"/>
    </row>
    <row r="68" ht="76" customHeight="1">
      <c r="A68" s="2" t="inlineStr">
        <is>
          <t>2019::jama.2019.4755::C005</t>
        </is>
      </c>
      <c r="B68" s="2" t="inlineStr">
        <is>
          <t>jama.2019.4755</t>
        </is>
      </c>
      <c r="C68" s="2" t="inlineStr">
        <is>
          <t>One SAP occurrence omits the microgram prefix from the 10.2 cutoff</t>
        </is>
      </c>
      <c r="D68" s="4" t="inlineStr"/>
      <c r="E68" s="4" t="inlineStr"/>
      <c r="F68" s="4" t="inlineStr">
        <is>
          <t>no</t>
        </is>
      </c>
      <c r="G68" s="2">
        <f>IF(D68="","PENDING",IF(AND(D68&lt;&gt;"agree",LEN(TRIM(E68))=0),"COMMENT NEEDED",IF(F68="yes","CHECKED - see resolution","DRAFT")))</f>
        <v/>
      </c>
      <c r="H68" s="4" t="inlineStr">
        <is>
          <t>pending</t>
        </is>
      </c>
      <c r="I68" s="4" t="inlineStr"/>
      <c r="J68" s="4" t="inlineStr"/>
      <c r="K68" s="4" t="inlineStr"/>
      <c r="L68" s="4" t="inlineStr"/>
      <c r="M68" s="4" t="inlineStr"/>
      <c r="N68" s="4" t="inlineStr"/>
      <c r="O68" s="4" t="inlineStr"/>
      <c r="P68" s="4" t="inlineStr"/>
      <c r="Q68" s="4" t="inlineStr"/>
      <c r="R68" s="4" t="inlineStr"/>
      <c r="S68" s="4" t="inlineStr"/>
      <c r="T68" s="4" t="inlineStr"/>
    </row>
    <row r="69" ht="76" customHeight="1">
      <c r="A69" s="3" t="inlineStr">
        <is>
          <t>2019::jama.2019.7505::C001</t>
        </is>
      </c>
      <c r="B69" s="3" t="inlineStr">
        <is>
          <t>jama.2019.7505</t>
        </is>
      </c>
      <c r="C69" s="3" t="inlineStr">
        <is>
          <t>Hypoxemia confidence-interval endpoint sign differs between abstract and Table 3</t>
        </is>
      </c>
      <c r="D69" s="4" t="inlineStr"/>
      <c r="E69" s="4" t="inlineStr"/>
      <c r="F69" s="4" t="inlineStr">
        <is>
          <t>no</t>
        </is>
      </c>
      <c r="G69" s="3">
        <f>IF(D69="","PENDING",IF(AND(D69&lt;&gt;"agree",LEN(TRIM(E69))=0),"COMMENT NEEDED",IF(F69="yes","CHECKED - see resolution","DRAFT")))</f>
        <v/>
      </c>
      <c r="H69" s="4" t="inlineStr">
        <is>
          <t>pending</t>
        </is>
      </c>
      <c r="I69" s="4" t="inlineStr"/>
      <c r="J69" s="4" t="inlineStr"/>
      <c r="K69" s="4" t="inlineStr"/>
      <c r="L69" s="4" t="inlineStr"/>
      <c r="M69" s="4" t="inlineStr"/>
      <c r="N69" s="4" t="inlineStr"/>
      <c r="O69" s="4" t="inlineStr"/>
      <c r="P69" s="4" t="inlineStr"/>
      <c r="Q69" s="4" t="inlineStr"/>
      <c r="R69" s="4" t="inlineStr"/>
      <c r="S69" s="4" t="inlineStr"/>
      <c r="T69" s="4" t="inlineStr"/>
    </row>
    <row r="70" ht="76" customHeight="1">
      <c r="A70" s="2" t="inlineStr">
        <is>
          <t>2019::jama.2019.7505::C002</t>
        </is>
      </c>
      <c r="B70" s="2" t="inlineStr">
        <is>
          <t>jama.2019.7505</t>
        </is>
      </c>
      <c r="C70" s="2" t="inlineStr">
        <is>
          <t>DIC row finite risk ratio and narrow interval do not reconcile with zero comparator events</t>
        </is>
      </c>
      <c r="D70" s="4" t="inlineStr"/>
      <c r="E70" s="4" t="inlineStr"/>
      <c r="F70" s="4" t="inlineStr">
        <is>
          <t>no</t>
        </is>
      </c>
      <c r="G70" s="2">
        <f>IF(D70="","PENDING",IF(AND(D70&lt;&gt;"agree",LEN(TRIM(E70))=0),"COMMENT NEEDED",IF(F70="yes","CHECKED - see resolution","DRAFT")))</f>
        <v/>
      </c>
      <c r="H70" s="4" t="inlineStr">
        <is>
          <t>pending</t>
        </is>
      </c>
      <c r="I70" s="4" t="inlineStr"/>
      <c r="J70" s="4" t="inlineStr"/>
      <c r="K70" s="4" t="inlineStr"/>
      <c r="L70" s="4" t="inlineStr"/>
      <c r="M70" s="4" t="inlineStr"/>
      <c r="N70" s="4" t="inlineStr"/>
      <c r="O70" s="4" t="inlineStr"/>
      <c r="P70" s="4" t="inlineStr"/>
      <c r="Q70" s="4" t="inlineStr"/>
      <c r="R70" s="4" t="inlineStr"/>
      <c r="S70" s="4" t="inlineStr"/>
      <c r="T70" s="4" t="inlineStr"/>
    </row>
    <row r="71" ht="76" customHeight="1">
      <c r="A71" s="3" t="inlineStr">
        <is>
          <t>2019::jama.2019.7505::C003</t>
        </is>
      </c>
      <c r="B71" s="3" t="inlineStr">
        <is>
          <t>jama.2019.7505</t>
        </is>
      </c>
      <c r="C71" s="3" t="inlineStr">
        <is>
          <t>Protocol analysis sentence combines odds-ratio and relative-risk labels</t>
        </is>
      </c>
      <c r="D71" s="4" t="inlineStr"/>
      <c r="E71" s="4" t="inlineStr"/>
      <c r="F71" s="4" t="inlineStr">
        <is>
          <t>no</t>
        </is>
      </c>
      <c r="G71" s="3">
        <f>IF(D71="","PENDING",IF(AND(D71&lt;&gt;"agree",LEN(TRIM(E71))=0),"COMMENT NEEDED",IF(F71="yes","CHECKED - see resolution","DRAFT")))</f>
        <v/>
      </c>
      <c r="H71" s="4" t="inlineStr">
        <is>
          <t>pending</t>
        </is>
      </c>
      <c r="I71" s="4" t="inlineStr"/>
      <c r="J71" s="4" t="inlineStr"/>
      <c r="K71" s="4" t="inlineStr"/>
      <c r="L71" s="4" t="inlineStr"/>
      <c r="M71" s="4" t="inlineStr"/>
      <c r="N71" s="4" t="inlineStr"/>
      <c r="O71" s="4" t="inlineStr"/>
      <c r="P71" s="4" t="inlineStr"/>
      <c r="Q71" s="4" t="inlineStr"/>
      <c r="R71" s="4" t="inlineStr"/>
      <c r="S71" s="4" t="inlineStr"/>
      <c r="T71" s="4" t="inlineStr"/>
    </row>
    <row r="72" ht="76" customHeight="1">
      <c r="A72" s="2" t="inlineStr">
        <is>
          <t>2019::jama.2019.7505::C004</t>
        </is>
      </c>
      <c r="B72" s="2" t="inlineStr">
        <is>
          <t>jama.2019.7505</t>
        </is>
      </c>
      <c r="C72" s="2" t="inlineStr">
        <is>
          <t>eFigure 11 mortality values are described as extra-pulmonary complications</t>
        </is>
      </c>
      <c r="D72" s="4" t="inlineStr"/>
      <c r="E72" s="4" t="inlineStr"/>
      <c r="F72" s="4" t="inlineStr">
        <is>
          <t>no</t>
        </is>
      </c>
      <c r="G72" s="2">
        <f>IF(D72="","PENDING",IF(AND(D72&lt;&gt;"agree",LEN(TRIM(E72))=0),"COMMENT NEEDED",IF(F72="yes","CHECKED - see resolution","DRAFT")))</f>
        <v/>
      </c>
      <c r="H72" s="4" t="inlineStr">
        <is>
          <t>pending</t>
        </is>
      </c>
      <c r="I72" s="4" t="inlineStr"/>
      <c r="J72" s="4" t="inlineStr"/>
      <c r="K72" s="4" t="inlineStr"/>
      <c r="L72" s="4" t="inlineStr"/>
      <c r="M72" s="4" t="inlineStr"/>
      <c r="N72" s="4" t="inlineStr"/>
      <c r="O72" s="4" t="inlineStr"/>
      <c r="P72" s="4" t="inlineStr"/>
      <c r="Q72" s="4" t="inlineStr"/>
      <c r="R72" s="4" t="inlineStr"/>
      <c r="S72" s="4" t="inlineStr"/>
      <c r="T72" s="4" t="inlineStr"/>
    </row>
  </sheetData>
  <sheetProtection selectLockedCells="0" selectUnlockedCells="0" sheet="1" objects="0" insertRows="1" insertHyperlinks="1" autoFilter="0" scenarios="0" formatColumns="1" deleteColumns="1" insertColumns="1" pivotTables="1" deleteRows="1" formatCells="1" formatRows="1" sort="1"/>
  <autoFilter ref="A1:T72"/>
  <dataValidations count="12">
    <dataValidation sqref="D2:D72" showDropDown="0" showInputMessage="1" showErrorMessage="1" allowBlank="1" errorTitle="Invalid option" error="Choose a listed value." promptTitle="checkStatus" prompt="See Codebook for meanings." type="list" errorStyle="stop">
      <formula1>opt_checkStatus</formula1>
    </dataValidation>
    <dataValidation sqref="F2:F72" showDropDown="0" showInputMessage="1" showErrorMessage="1" allowBlank="1" errorTitle="Invalid option" error="Choose a listed value." promptTitle="reviewComplete" prompt="See Codebook for meanings." type="list" errorStyle="stop">
      <formula1>opt_reviewComplete</formula1>
    </dataValidation>
    <dataValidation sqref="H2:H72" showDropDown="0" showInputMessage="1" showErrorMessage="1" allowBlank="1" errorTitle="Invalid option" error="Choose a listed value." promptTitle="resolutionStatus" prompt="See Codebook for meanings." type="list" errorStyle="stop">
      <formula1>opt_resolutionStatus</formula1>
    </dataValidation>
    <dataValidation sqref="J2:J72" showDropDown="0" showInputMessage="1" showErrorMessage="1" allowBlank="1" errorTitle="Invalid option" error="Choose a listed value." promptTitle="disposition" prompt="See Codebook for meanings." type="list" errorStyle="stop">
      <formula1>opt_disposition</formula1>
    </dataValidation>
    <dataValidation sqref="K2:K72" showDropDown="0" showInputMessage="1" showErrorMessage="1" allowBlank="1" errorTitle="Invalid option" error="Choose a listed value." promptTitle="domain" prompt="See Codebook for meanings." type="list" errorStyle="stop">
      <formula1>opt_domain</formula1>
    </dataValidation>
    <dataValidation sqref="L2:L72"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M2:M72" showDropDown="0" showInputMessage="1" showErrorMessage="1" allowBlank="1" errorTitle="Invalid option" error="Choose a listed value." promptTitle="substantiveStatus" prompt="See Codebook for meanings." type="list" errorStyle="stop">
      <formula1>opt_substantiveStatus</formula1>
    </dataValidation>
    <dataValidation sqref="N2:N72" showDropDown="0" showInputMessage="1" showErrorMessage="1" allowBlank="1" errorTitle="Invalid option" error="Choose a listed value." promptTitle="downstreamImpact" prompt="See Codebook for meanings." type="list" errorStyle="stop">
      <formula1>opt_downstreamImpact</formula1>
    </dataValidation>
    <dataValidation sqref="O2:O72" showDropDown="0" showInputMessage="1" showErrorMessage="1" allowBlank="1" errorTitle="Invalid option" error="Choose a listed value." promptTitle="internalStatus" prompt="See Codebook for meanings." type="list" errorStyle="stop">
      <formula1>opt_internalStatus</formula1>
    </dataValidation>
    <dataValidation sqref="P2:P72" showDropDown="0" showInputMessage="1" showErrorMessage="1" allowBlank="1" errorTitle="Invalid option" error="Choose a listed value." promptTitle="documentationStatus" prompt="See Codebook for meanings." type="list" errorStyle="stop">
      <formula1>opt_documentationStatus</formula1>
    </dataValidation>
    <dataValidation sqref="Q2:Q72" showDropDown="0" showInputMessage="1" showErrorMessage="1" allowBlank="1" errorTitle="Invalid option" error="Choose a listed value." promptTitle="justificationStatus" prompt="See Codebook for meanings." type="list" errorStyle="stop">
      <formula1>opt_justificationStatus</formula1>
    </dataValidation>
    <dataValidation sqref="R2:R72"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internal_nonstatistical</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internal_nonstatistical</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internal_nonstatistical</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internal_nonstatistical</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internal_nonstatistical</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internal_nonstatistical</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internal_nonstatistical</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internal_nonstatistical</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internal_nonstatistical</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internal_nonstatistical</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internal_nonstatistical</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internal_nonstatistical</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internal_nonstatistical</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internal_nonstatistical</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internal_nonstatistical</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internal_nonstatistical</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internal_nonstatistical</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internal_nonstatistical</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internal_nonstatistical</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internal_nonstatistical</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internal_nonstatistical</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internal_nonstatistical</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internal_nonstatistical</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internal_nonstatistical</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internal_nonstatistical</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internal_nonstatistical</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internal_nonstatistical</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internal_nonstatistical</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internal_nonstatistical</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internal_nonstatistical</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internal_nonstatistical</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internal_nonstatistical</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internal_nonstatistical</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internal_nonstatistical</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internal_nonstatistical</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internal_nonstatistical</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internal_nonstatistical</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internal_nonstatistical</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internal_nonstatistical</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internal_nonstatistical</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internal_nonstatistical</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internal_nonstatistical</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internal_nonstatistical</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internal_nonstatistical</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internal_nonstatistical</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internal_nonstatistical</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internal_nonstatistical</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internal_nonstatistical</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internal_nonstatistical</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internal_nonstatistical</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internal_nonstatistical</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internal_nonstatistical</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internal_nonstatistical</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internal_nonstatistical</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internal_nonstatistical</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internal_nonstatistical</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internal_nonstatistical</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6.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C5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115" customWidth="1" min="3" max="3"/>
  </cols>
  <sheetData>
    <row r="1" ht="40" customHeight="1">
      <c r="A1" s="1" t="inlineStr">
        <is>
          <t>field</t>
        </is>
      </c>
      <c r="B1" s="1" t="inlineStr">
        <is>
          <t>code</t>
        </is>
      </c>
      <c r="C1" s="1" t="inlineStr">
        <is>
          <t>meaning</t>
        </is>
      </c>
    </row>
    <row r="2" ht="40" customHeight="1">
      <c r="A2" s="2" t="inlineStr">
        <is>
          <t>disposition</t>
        </is>
      </c>
      <c r="B2" s="2" t="inlineStr">
        <is>
          <t>retain</t>
        </is>
      </c>
      <c r="C2" s="2" t="inlineStr">
        <is>
          <t>Retain candidate. After human review, keep this finding in the applicable review results; retaining a protocol discrepancy does not automatically confirm an error.</t>
        </is>
      </c>
    </row>
    <row r="3" ht="40" customHeight="1">
      <c r="A3" s="3" t="inlineStr">
        <is>
          <t>disposition</t>
        </is>
      </c>
      <c r="B3" s="3" t="inlineStr">
        <is>
          <t>exclude</t>
        </is>
      </c>
      <c r="C3" s="3" t="inlineStr">
        <is>
          <t>Do not retain. The candidate has been assessed and should not remain as a finding, for example because the apparent mismatch has a satisfactory explanation.</t>
        </is>
      </c>
    </row>
    <row r="4" ht="40" customHeight="1">
      <c r="A4" s="2" t="inlineStr">
        <is>
          <t>disposition</t>
        </is>
      </c>
      <c r="B4" s="2" t="inlineStr">
        <is>
          <t>out_of_scope</t>
        </is>
      </c>
      <c r="C4" s="2" t="inlineStr">
        <is>
          <t>Outside review scope. The candidate falls outside the agreed review question or eligible material, regardless of whether the observation is correct.</t>
        </is>
      </c>
    </row>
    <row r="5" ht="40" customHeight="1">
      <c r="A5" s="3" t="inlineStr">
        <is>
          <t>disposition</t>
        </is>
      </c>
      <c r="B5" s="3" t="inlineStr">
        <is>
          <t>discuss</t>
        </is>
      </c>
      <c r="C5" s="3" t="inlineStr">
        <is>
          <t>Needs discussion. The reviewer has considered the candidate but cannot settle the disposition without further discussion. This is a decision to defer, not an untouched blank.</t>
        </is>
      </c>
    </row>
    <row r="6" ht="40" customHeight="1">
      <c r="A6" s="2" t="inlineStr">
        <is>
          <t>domain</t>
        </is>
      </c>
      <c r="B6" s="2" t="inlineStr">
        <is>
          <t>statistical_results</t>
        </is>
      </c>
      <c r="C6" s="2" t="inlineStr">
        <is>
          <t>Statistical results (S_C / S_W). Assess reported numbers, estimates, intervals, denominators or statistical claims in the current report materials.</t>
        </is>
      </c>
    </row>
    <row r="7" ht="40" customHeight="1">
      <c r="A7" s="3" t="inlineStr">
        <is>
          <t>domain</t>
        </is>
      </c>
      <c r="B7" s="3" t="inlineStr">
        <is>
          <t>internal_nonstatistical</t>
        </is>
      </c>
      <c r="C7" s="3" t="inlineStr">
        <is>
          <t>Internal nonstatistical (S_C / S_W). Assess inconsistent labels, descriptions or other nonstatistical content within or between current report materials.</t>
        </is>
      </c>
    </row>
    <row r="8" ht="40" customHeight="1">
      <c r="A8" s="2" t="inlineStr">
        <is>
          <t>domain</t>
        </is>
      </c>
      <c r="B8" s="2" t="inlineStr">
        <is>
          <t>protocol_report</t>
        </is>
      </c>
      <c r="C8" s="2" t="inlineStr">
        <is>
          <t>Protocol-report (P_R). Assess a difference between planned and reported conduct or analyses, including whether the change was documented and justified.</t>
        </is>
      </c>
    </row>
    <row r="9" ht="40" customHeight="1">
      <c r="A9" s="3" t="inlineStr">
        <is>
          <t>domain</t>
        </is>
      </c>
      <c r="B9" s="3" t="inlineStr">
        <is>
          <t>plan_material</t>
        </is>
      </c>
      <c r="C9" s="3" t="inlineStr">
        <is>
          <t>Plan material (P_P). Assess an inconsistency involving planning materials themselves rather than a planned-versus-reported result. The original relationship code remains unchanged.</t>
        </is>
      </c>
    </row>
    <row r="10" ht="40" customHeight="1">
      <c r="A10" s="2" t="inlineStr">
        <is>
          <t>statisticalErrorStatus</t>
        </is>
      </c>
      <c r="B10" s="2" t="inlineStr">
        <is>
          <t>confirmed_error</t>
        </is>
      </c>
      <c r="C10" s="2" t="inlineStr">
        <is>
          <t>Confirmed statistical reporting error. The available evidence establishes a reporting error or contradiction, even if the correct replacement value is not known.</t>
        </is>
      </c>
    </row>
    <row r="11" ht="40" customHeight="1">
      <c r="A11" s="3" t="inlineStr">
        <is>
          <t>statisticalErrorStatus</t>
        </is>
      </c>
      <c r="B11" s="3" t="inlineStr">
        <is>
          <t>probable_error</t>
        </is>
      </c>
      <c r="C11" s="3" t="inlineStr">
        <is>
          <t>Probable statistical reporting error. The evidence favors a reporting error, but an unresolved limitation or plausible alternative prevents confirmation.</t>
        </is>
      </c>
    </row>
    <row r="12" ht="40" customHeight="1">
      <c r="A12" s="2" t="inlineStr">
        <is>
          <t>statisticalErrorStatus</t>
        </is>
      </c>
      <c r="B12" s="2" t="inlineStr">
        <is>
          <t>not_error</t>
        </is>
      </c>
      <c r="C12" s="2" t="inlineStr">
        <is>
          <t>Not a statistical error. The apparent discrepancy is consistent with a valid calculation, definition, analysis method or reporting context.</t>
        </is>
      </c>
    </row>
    <row r="13" ht="40" customHeight="1">
      <c r="A13" s="3" t="inlineStr">
        <is>
          <t>statisticalErrorStatus</t>
        </is>
      </c>
      <c r="B13" s="3" t="inlineStr">
        <is>
          <t>indeterminate</t>
        </is>
      </c>
      <c r="C13" s="3" t="inlineStr">
        <is>
          <t>Indeterminate. The available evidence does not support deciding whether a statistical reporting error exists; neither confirmation nor dismissal is justified.</t>
        </is>
      </c>
    </row>
    <row r="14" ht="40" customHeight="1">
      <c r="A14" s="2" t="inlineStr">
        <is>
          <t>substantiveStatus</t>
        </is>
      </c>
      <c r="B14" s="2" t="inlineStr">
        <is>
          <t>substantive</t>
        </is>
      </c>
      <c r="C14" s="2" t="inlineStr">
        <is>
          <t>Substantive. The issue could meaningfully change interpretation, data extraction or downstream analysis, rather than only the presentation of the result.</t>
        </is>
      </c>
    </row>
    <row r="15" ht="40" customHeight="1">
      <c r="A15" s="3" t="inlineStr">
        <is>
          <t>substantiveStatus</t>
        </is>
      </c>
      <c r="B15" s="3" t="inlineStr">
        <is>
          <t>minor_presentation</t>
        </is>
      </c>
      <c r="C15" s="3" t="inlineStr">
        <is>
          <t>Minor or presentation only. The intended result remains clear and the issue is a small formatting, labeling or typographic problem without a meaningful change in interpretation.</t>
        </is>
      </c>
    </row>
    <row r="16" ht="40" customHeight="1">
      <c r="A16" s="2" t="inlineStr">
        <is>
          <t>substantiveStatus</t>
        </is>
      </c>
      <c r="B16" s="2" t="inlineStr">
        <is>
          <t>indeterminate</t>
        </is>
      </c>
      <c r="C16" s="2" t="inlineStr">
        <is>
          <t>Indeterminate. There is not enough information to decide whether the issue is substantive or limited to presentation.</t>
        </is>
      </c>
    </row>
    <row r="17" ht="40" customHeight="1">
      <c r="A17" s="3" t="inlineStr">
        <is>
          <t>downstreamImpact</t>
        </is>
      </c>
      <c r="B17" s="3" t="inlineStr">
        <is>
          <t>direct</t>
        </is>
      </c>
      <c r="C17" s="3" t="inlineStr">
        <is>
          <t>Direct extraction or analysis impact. The affected value or definition is itself an input to data extraction or subsequent analysis; this describes potential impact, not proven downstream harm.</t>
        </is>
      </c>
    </row>
    <row r="18" ht="40" customHeight="1">
      <c r="A18" s="2" t="inlineStr">
        <is>
          <t>downstreamImpact</t>
        </is>
      </c>
      <c r="B18" s="2" t="inlineStr">
        <is>
          <t>possible</t>
        </is>
      </c>
      <c r="C18" s="2" t="inlineStr">
        <is>
          <t>Possible downstream impact. A plausible route to affecting later interpretation, extraction or analysis exists, but the connection is indirect or uncertain.</t>
        </is>
      </c>
    </row>
    <row r="19" ht="40" customHeight="1">
      <c r="A19" s="3" t="inlineStr">
        <is>
          <t>downstreamImpact</t>
        </is>
      </c>
      <c r="B19" s="3" t="inlineStr">
        <is>
          <t>unlikely</t>
        </is>
      </c>
      <c r="C19" s="3" t="inlineStr">
        <is>
          <t>Unlikely downstream impact. The issue is unlikely to change extracted information or later analysis because the relevant result remains clear and usable.</t>
        </is>
      </c>
    </row>
    <row r="20" ht="40" customHeight="1">
      <c r="A20" s="2" t="inlineStr">
        <is>
          <t>downstreamImpact</t>
        </is>
      </c>
      <c r="B20" s="2" t="inlineStr">
        <is>
          <t>unknown</t>
        </is>
      </c>
      <c r="C20" s="2" t="inlineStr">
        <is>
          <t>Unable to assess. The materials do not establish enough about the affected information or its likely use to judge downstream impact.</t>
        </is>
      </c>
    </row>
    <row r="21" ht="40" customHeight="1">
      <c r="A21" s="3" t="inlineStr">
        <is>
          <t>internalStatus</t>
        </is>
      </c>
      <c r="B21" s="3" t="inlineStr">
        <is>
          <t>substantive_inconsistency</t>
        </is>
      </c>
      <c r="C21" s="3" t="inlineStr">
        <is>
          <t>Substantive inconsistency. The conflicting descriptions or planning statements could materially change how the study, population, procedures or results are understood.</t>
        </is>
      </c>
    </row>
    <row r="22" ht="40" customHeight="1">
      <c r="A22" s="2" t="inlineStr">
        <is>
          <t>internalStatus</t>
        </is>
      </c>
      <c r="B22" s="2" t="inlineStr">
        <is>
          <t>minor_presentation</t>
        </is>
      </c>
      <c r="C22" s="2" t="inlineStr">
        <is>
          <t>Minor presentation inconsistency. A real discrepancy exists, but it mainly affects presentation and the intended meaning remains clear.</t>
        </is>
      </c>
    </row>
    <row r="23" ht="40" customHeight="1">
      <c r="A23" s="3" t="inlineStr">
        <is>
          <t>internalStatus</t>
        </is>
      </c>
      <c r="B23" s="3" t="inlineStr">
        <is>
          <t>wording_only</t>
        </is>
      </c>
      <c r="C23" s="3" t="inlineStr">
        <is>
          <t>Wording only. Different phrases express the same substantive meaning; there is no meaningful conflict between the statements.</t>
        </is>
      </c>
    </row>
    <row r="24" ht="40" customHeight="1">
      <c r="A24" s="2" t="inlineStr">
        <is>
          <t>internalStatus</t>
        </is>
      </c>
      <c r="B24" s="2" t="inlineStr">
        <is>
          <t>not_inconsistency</t>
        </is>
      </c>
      <c r="C24" s="2" t="inlineStr">
        <is>
          <t>Not an inconsistency. The statements are compatible once their definitions, populations, time points or other context are taken into account.</t>
        </is>
      </c>
    </row>
    <row r="25" ht="40" customHeight="1">
      <c r="A25" s="3" t="inlineStr">
        <is>
          <t>internalStatus</t>
        </is>
      </c>
      <c r="B25" s="3" t="inlineStr">
        <is>
          <t>indeterminate</t>
        </is>
      </c>
      <c r="C25" s="3" t="inlineStr">
        <is>
          <t>Indeterminate. The available material is insufficient to establish whether the statements conflict or how important any conflict is.</t>
        </is>
      </c>
    </row>
    <row r="26" ht="40" customHeight="1">
      <c r="A26" s="2" t="inlineStr">
        <is>
          <t>documentationStatus</t>
        </is>
      </c>
      <c r="B26" s="2" t="inlineStr">
        <is>
          <t>explicit</t>
        </is>
      </c>
      <c r="C26" s="2" t="inlineStr">
        <is>
          <t>Explicitly documented. The reviewed material directly identifies the change from the plan, rather than merely presenting a different method or result.</t>
        </is>
      </c>
    </row>
    <row r="27" ht="40" customHeight="1">
      <c r="A27" s="3" t="inlineStr">
        <is>
          <t>documentationStatus</t>
        </is>
      </c>
      <c r="B27" s="3" t="inlineStr">
        <is>
          <t>partial</t>
        </is>
      </c>
      <c r="C27" s="3" t="inlineStr">
        <is>
          <t>Partial or implicit documentation. Some acknowledgment or description of the change exists, but its nature or extent is not fully stated.</t>
        </is>
      </c>
    </row>
    <row r="28" ht="40" customHeight="1">
      <c r="A28" s="2" t="inlineStr">
        <is>
          <t>documentationStatus</t>
        </is>
      </c>
      <c r="B28" s="2" t="inlineStr">
        <is>
          <t>none_located</t>
        </is>
      </c>
      <c r="C28" s="2" t="inlineStr">
        <is>
          <t>No documentation located. No acknowledgment of the change was found in the reviewed materials; this does not prove that documentation does not exist elsewhere.</t>
        </is>
      </c>
    </row>
    <row r="29" ht="30" customHeight="1">
      <c r="A29" s="3" t="inlineStr">
        <is>
          <t>documentationStatus</t>
        </is>
      </c>
      <c r="B29" s="3" t="inlineStr">
        <is>
          <t>cannot_assess</t>
        </is>
      </c>
      <c r="C29" s="3" t="inlineStr">
        <is>
          <t>Cannot assess. Missing material or unclear version history prevents judging whether the change was documented.</t>
        </is>
      </c>
    </row>
    <row r="30" ht="40" customHeight="1">
      <c r="A30" s="2" t="inlineStr">
        <is>
          <t>documentationStatus</t>
        </is>
      </c>
      <c r="B30" s="2" t="inlineStr">
        <is>
          <t>not_applicable</t>
        </is>
      </c>
      <c r="C30" s="2" t="inlineStr">
        <is>
          <t>Not applicable. Documentation of a change is not relevant to this candidate, for example when no substantive change is being assessed.</t>
        </is>
      </c>
    </row>
    <row r="31" ht="40" customHeight="1">
      <c r="A31" s="3" t="inlineStr">
        <is>
          <t>justificationStatus</t>
        </is>
      </c>
      <c r="B31" s="3" t="inlineStr">
        <is>
          <t>explicit</t>
        </is>
      </c>
      <c r="C31" s="3" t="inlineStr">
        <is>
          <t>Explicit justification located. The reviewed material states a reason for the change. Recording that reason exists does not by itself establish that the reason is adequate.</t>
        </is>
      </c>
    </row>
    <row r="32" ht="40" customHeight="1">
      <c r="A32" s="2" t="inlineStr">
        <is>
          <t>justificationStatus</t>
        </is>
      </c>
      <c r="B32" s="2" t="inlineStr">
        <is>
          <t>none_located</t>
        </is>
      </c>
      <c r="C32" s="2" t="inlineStr">
        <is>
          <t>No justification located. A reason for the change was not found in the reviewed materials; this is distinct from proving that the change had no valid reason.</t>
        </is>
      </c>
    </row>
    <row r="33" ht="40" customHeight="1">
      <c r="A33" s="3" t="inlineStr">
        <is>
          <t>justificationStatus</t>
        </is>
      </c>
      <c r="B33" s="3" t="inlineStr">
        <is>
          <t>cannot_assess</t>
        </is>
      </c>
      <c r="C33" s="3" t="inlineStr">
        <is>
          <t>Cannot assess. The materials are insufficient to determine whether a reason was provided or how it relates to the change.</t>
        </is>
      </c>
    </row>
    <row r="34" ht="40" customHeight="1">
      <c r="A34" s="2" t="inlineStr">
        <is>
          <t>justificationStatus</t>
        </is>
      </c>
      <c r="B34" s="2" t="inlineStr">
        <is>
          <t>not_applicable</t>
        </is>
      </c>
      <c r="C34" s="2" t="inlineStr">
        <is>
          <t>Not applicable. A justification for change is not relevant to the candidate being assessed, for example when the difference is wording only.</t>
        </is>
      </c>
    </row>
    <row r="35" ht="40" customHeight="1">
      <c r="A35" s="3" t="inlineStr">
        <is>
          <t>protocolInterpretation</t>
        </is>
      </c>
      <c r="B35" s="3" t="inlineStr">
        <is>
          <t>documented_justified</t>
        </is>
      </c>
      <c r="C35" s="3" t="inlineStr">
        <is>
          <t>Documented and justified. The change is acknowledged and its stated rationale adequately explains it in the reviewer's judgment; the difference is not automatically a reporting error.</t>
        </is>
      </c>
    </row>
    <row r="36" ht="40" customHeight="1">
      <c r="A36" s="2" t="inlineStr">
        <is>
          <t>protocolInterpretation</t>
        </is>
      </c>
      <c r="B36" s="2" t="inlineStr">
        <is>
          <t>documented_no_justification</t>
        </is>
      </c>
      <c r="C36" s="2" t="inlineStr">
        <is>
          <t>Documented; no justification located. The change is acknowledged, but the reviewed materials do not provide a reason explaining it.</t>
        </is>
      </c>
    </row>
    <row r="37" ht="40" customHeight="1">
      <c r="A37" s="3" t="inlineStr">
        <is>
          <t>protocolInterpretation</t>
        </is>
      </c>
      <c r="B37" s="3" t="inlineStr">
        <is>
          <t>undocumented_change_candidate</t>
        </is>
      </c>
      <c r="C37" s="3" t="inlineStr">
        <is>
          <t>Possible undocumented change. A substantive planned-versus-reported difference appears present, but acknowledgment of the change was not located in the reviewed materials.</t>
        </is>
      </c>
    </row>
    <row r="38" ht="40" customHeight="1">
      <c r="A38" s="2" t="inlineStr">
        <is>
          <t>protocolInterpretation</t>
        </is>
      </c>
      <c r="B38" s="2" t="inlineStr">
        <is>
          <t>wording_only</t>
        </is>
      </c>
      <c r="C38" s="2" t="inlineStr">
        <is>
          <t>Wording only. The apparent planned-versus-reported difference does not represent a substantive change in meaning or conduct.</t>
        </is>
      </c>
    </row>
    <row r="39" ht="40" customHeight="1">
      <c r="A39" s="3" t="inlineStr">
        <is>
          <t>protocolInterpretation</t>
        </is>
      </c>
      <c r="B39" s="3" t="inlineStr">
        <is>
          <t>version_timing</t>
        </is>
      </c>
      <c r="C39" s="3" t="inlineStr">
        <is>
          <t>Version or timing ambiguity. The difference may reflect which protocol version or date is being compared; the sequence cannot be resolved from the available material.</t>
        </is>
      </c>
    </row>
    <row r="40" ht="40" customHeight="1">
      <c r="A40" s="2" t="inlineStr">
        <is>
          <t>protocolInterpretation</t>
        </is>
      </c>
      <c r="B40" s="2" t="inlineStr">
        <is>
          <t>indeterminate</t>
        </is>
      </c>
      <c r="C40" s="2" t="inlineStr">
        <is>
          <t>Indeterminate. The available evidence cannot support a more specific interpretation of the planned-versus-reported difference.</t>
        </is>
      </c>
    </row>
    <row r="41" ht="40" customHeight="1">
      <c r="A41" s="3" t="inlineStr">
        <is>
          <t>reviewComplete</t>
        </is>
      </c>
      <c r="B41" s="3" t="inlineStr">
        <is>
          <t>no</t>
        </is>
      </c>
      <c r="C41" s="3" t="inlineStr">
        <is>
          <t>Draft. This review stage is not yet confirmed complete; AI suggestions or partially filled fields do not count as completed human review.</t>
        </is>
      </c>
    </row>
    <row r="42" ht="40" customHeight="1">
      <c r="A42" s="2" t="inlineStr">
        <is>
          <t>reviewComplete</t>
        </is>
      </c>
      <c r="B42" s="2" t="inlineStr">
        <is>
          <t>yes</t>
        </is>
      </c>
      <c r="C42" s="2" t="inlineStr">
        <is>
          <t>Human reviewed and complete. The reviewer has checked this row and its required fields. A discussion item may still be unresolved even though this review stage is complete.</t>
        </is>
      </c>
    </row>
    <row r="43" ht="40" customHeight="1">
      <c r="A43" s="3" t="inlineStr">
        <is>
          <t>checkStatus</t>
        </is>
      </c>
      <c r="B43" s="3" t="inlineStr">
        <is>
          <t>agree</t>
        </is>
      </c>
      <c r="C43" s="3" t="inlineStr">
        <is>
          <t>Agree, assessment unchanged. Accept the primary assessment as recorded. Leave override cells blank; no checker comment is required.</t>
        </is>
      </c>
    </row>
    <row r="44" ht="40" customHeight="1">
      <c r="A44" s="2" t="inlineStr">
        <is>
          <t>checkStatus</t>
        </is>
      </c>
      <c r="B44" s="2" t="inlineStr">
        <is>
          <t>agree_clarification</t>
        </is>
      </c>
      <c r="C44" s="2" t="inlineStr">
        <is>
          <t>Agree with clarification. Accept the main assessment but add context or a clarifying amendment. Explain it in a checker comment and fill only any changed fields.</t>
        </is>
      </c>
    </row>
    <row r="45" ht="40" customHeight="1">
      <c r="A45" s="3" t="inlineStr">
        <is>
          <t>checkStatus</t>
        </is>
      </c>
      <c r="B45" s="3" t="inlineStr">
        <is>
          <t>disagree</t>
        </is>
      </c>
      <c r="C45" s="3" t="inlineStr">
        <is>
          <t>Disagree, proposal pending discussion. Recommend a different assessment, explain why in a comment, and enter proposed changes. The proposal is not final consensus until discussion is resolved.</t>
        </is>
      </c>
    </row>
    <row r="46" ht="40" customHeight="1">
      <c r="A46" s="2" t="inlineStr">
        <is>
          <t>checkStatus</t>
        </is>
      </c>
      <c r="B46" s="2" t="inlineStr">
        <is>
          <t>unable</t>
        </is>
      </c>
      <c r="C46" s="2" t="inlineStr">
        <is>
          <t>Unable to resolve. The checker cannot settle the issue from the available information. State what remains uncertain in a comment and refer it for discussion.</t>
        </is>
      </c>
    </row>
    <row r="47" ht="40" customHeight="1">
      <c r="A47" s="3" t="inlineStr">
        <is>
          <t>resolutionStatus</t>
        </is>
      </c>
      <c r="B47" s="3" t="inlineStr">
        <is>
          <t>pending</t>
        </is>
      </c>
      <c r="C47" s="3" t="inlineStr">
        <is>
          <t>Discussion not resolved. A required discussion is not yet settled. For an unchanged agreement this default can be left as-is because no separate resolution is required.</t>
        </is>
      </c>
    </row>
    <row r="48" ht="40" customHeight="1">
      <c r="A48" s="2" t="inlineStr">
        <is>
          <t>resolutionStatus</t>
        </is>
      </c>
      <c r="B48" s="2" t="inlineStr">
        <is>
          <t>resolved</t>
        </is>
      </c>
      <c r="C48" s="2" t="inlineStr">
        <is>
          <t>Joint discussion resolved. Record the participants and agreed conclusion in Resolution note, update the proposed assessment, and do not leave disposition as discuss.</t>
        </is>
      </c>
    </row>
    <row r="49" ht="40" customHeight="1">
      <c r="A49" s="3" t="inlineStr">
        <is>
          <t>disposition</t>
        </is>
      </c>
      <c r="B49" s="3" t="inlineStr"/>
      <c r="C49" s="3" t="inlineStr">
        <is>
          <t>Blank means no human disposition has been selected. It is not retain, exclude or discuss. Choose an option before marking primary review complete; previous AI disposition is reference-only on Candidates.</t>
        </is>
      </c>
    </row>
    <row r="50" ht="30" customHeight="1">
      <c r="A50" s="2" t="inlineStr">
        <is>
          <t>relatedClusterId</t>
        </is>
      </c>
      <c r="B50" s="2" t="inlineStr"/>
      <c r="C50" s="2" t="inlineStr">
        <is>
          <t>Optional grouping of distinct candidates; never deduplicates</t>
        </is>
      </c>
    </row>
    <row r="51" ht="30" customHeight="1">
      <c r="A51" s="3" t="inlineStr">
        <is>
          <t>domain</t>
        </is>
      </c>
      <c r="B51" s="3" t="inlineStr"/>
      <c r="C51" s="3" t="inlineStr">
        <is>
          <t>All four choices are editable for every candidate; source relationship remains fixed</t>
        </is>
      </c>
    </row>
    <row r="52" ht="30" customHeight="1">
      <c r="A52" s="2" t="inlineStr">
        <is>
          <t>reviewComplete</t>
        </is>
      </c>
      <c r="B52" s="2" t="inlineStr"/>
      <c r="C52" s="2" t="inlineStr">
        <is>
          <t>Choose yes only after checking this row. After any edit, set no and recheck</t>
        </is>
      </c>
    </row>
    <row r="53" ht="30" customHeight="1">
      <c r="A53" s="3" t="inlineStr">
        <is>
          <t>notes</t>
        </is>
      </c>
      <c r="B53" s="3" t="inlineStr"/>
      <c r="C53" s="3" t="inlineStr">
        <is>
          <t>Optional. No mandatory reproduction log or primary rationale</t>
        </is>
      </c>
    </row>
    <row r="54" ht="40" customHeight="1">
      <c r="A54" s="2" t="inlineStr">
        <is>
          <t>resolutionNote</t>
        </is>
      </c>
      <c r="B54" s="2" t="inlineStr"/>
      <c r="C54" s="2" t="inlineStr">
        <is>
          <t>Required for resolved disagreement/unable or a primary discuss changed to a decision. Record participants and conclusion</t>
        </is>
      </c>
    </row>
    <row r="55" ht="40" customHeight="1">
      <c r="A55" s="3" t="inlineStr">
        <is>
          <t>Checker overrides</t>
        </is>
      </c>
      <c r="B55" s="3" t="inlineStr"/>
      <c r="C55" s="3" t="inlineStr">
        <is>
          <t>Blank assessment cells inherit the matching candidate on its P_&lt;paper&gt; worksheet. Fill only changes; &lt;clear&gt; clears inherited notes/cluster.</t>
        </is>
      </c>
    </row>
  </sheetData>
  <sheetProtection selectLockedCells="0" selectUnlockedCells="0" sheet="1" objects="0" insertRows="1" insertHyperlinks="1" autoFilter="0" scenarios="0" formatColumns="1" deleteColumns="1" insertColumns="1" pivotTables="1" deleteRows="1" formatCells="1" formatRows="1" sort="1"/>
  <autoFilter ref="A1:C55"/>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v.2.1.1</t>
        </is>
      </c>
    </row>
    <row r="3" ht="30" customHeight="1">
      <c r="A3" s="3" t="inlineStr">
        <is>
          <t>schema</t>
        </is>
      </c>
      <c r="B3" s="3" t="inlineStr">
        <is>
          <t>xlsx-adjudication-3</t>
        </is>
      </c>
    </row>
    <row r="4" ht="30" customHeight="1">
      <c r="A4" s="2" t="inlineStr">
        <is>
          <t>stage</t>
        </is>
      </c>
      <c r="B4" s="2" t="inlineStr">
        <is>
          <t>workbook</t>
        </is>
      </c>
    </row>
    <row r="5" ht="30" customHeight="1">
      <c r="A5" s="3" t="inlineStr">
        <is>
          <t>year</t>
        </is>
      </c>
      <c r="B5" s="3" t="inlineStr">
        <is>
          <t>2019</t>
        </is>
      </c>
    </row>
    <row r="6" ht="30" customHeight="1">
      <c r="A6" s="2" t="inlineStr">
        <is>
          <t>createdAt</t>
        </is>
      </c>
      <c r="B6" s="2" t="inlineStr">
        <is>
          <t>2026-09-13T01:28:42+00:00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6a93e5f04914657766d696bbfa5182449d1f9acdabb3f09852e2894e56f10548</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v.2.1.1</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2026-09-13T01:28:41Z</dcterms:created>
  <dcterms:modified xsi:type="dcterms:W3CDTF">2026-09-13T01:28:42Z</dcterms:modified>
</cp:coreProperties>
</file>