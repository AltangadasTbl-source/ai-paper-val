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Setup" sheetId="2" state="visible" r:id="rId2"/>
    <sheet xmlns:r="http://schemas.openxmlformats.org/officeDocument/2006/relationships" name="Papers" sheetId="3" state="visible" r:id="rId3"/>
    <sheet xmlns:r="http://schemas.openxmlformats.org/officeDocument/2006/relationships" name="C_jama.2019.0556" sheetId="4" state="visible" r:id="rId4"/>
    <sheet xmlns:r="http://schemas.openxmlformats.org/officeDocument/2006/relationships" name="C_jama.2019.10517" sheetId="5" state="visible" r:id="rId5"/>
    <sheet xmlns:r="http://schemas.openxmlformats.org/officeDocument/2006/relationships" name="C_jama.2019.12618" sheetId="6" state="visible" r:id="rId6"/>
    <sheet xmlns:r="http://schemas.openxmlformats.org/officeDocument/2006/relationships" name="C_jama.2019.14231" sheetId="7" state="visible" r:id="rId7"/>
    <sheet xmlns:r="http://schemas.openxmlformats.org/officeDocument/2006/relationships" name="C_jama.2019.14630" sheetId="8" state="visible" r:id="rId8"/>
    <sheet xmlns:r="http://schemas.openxmlformats.org/officeDocument/2006/relationships" name="C_jama.2019.14901" sheetId="9" state="visible" r:id="rId9"/>
    <sheet xmlns:r="http://schemas.openxmlformats.org/officeDocument/2006/relationships" name="C_jama.2019.17380" sheetId="10" state="visible" r:id="rId10"/>
    <sheet xmlns:r="http://schemas.openxmlformats.org/officeDocument/2006/relationships" name="C_jama.2019.2210" sheetId="11" state="visible" r:id="rId11"/>
    <sheet xmlns:r="http://schemas.openxmlformats.org/officeDocument/2006/relationships" name="C_jama.2019.4755" sheetId="12" state="visible" r:id="rId12"/>
    <sheet xmlns:r="http://schemas.openxmlformats.org/officeDocument/2006/relationships" name="C_jama.2019.7505" sheetId="13" state="visible" r:id="rId13"/>
    <sheet xmlns:r="http://schemas.openxmlformats.org/officeDocument/2006/relationships" name="Candidates" sheetId="14" state="visible" r:id="rId14"/>
    <sheet xmlns:r="http://schemas.openxmlformats.org/officeDocument/2006/relationships" name="Evidence" sheetId="15" state="visible" r:id="rId15"/>
    <sheet xmlns:r="http://schemas.openxmlformats.org/officeDocument/2006/relationships" name="Codebook" sheetId="16" state="visible" r:id="rId16"/>
    <sheet xmlns:r="http://schemas.openxmlformats.org/officeDocument/2006/relationships" name="Manifest" sheetId="17" state="hidden" r:id="rId17"/>
    <sheet xmlns:r="http://schemas.openxmlformats.org/officeDocument/2006/relationships" name="Links" sheetId="18" state="hidden" r:id="rId18"/>
    <sheet xmlns:r="http://schemas.openxmlformats.org/officeDocument/2006/relationships" name="Relations" sheetId="19" state="hidden" r:id="rId19"/>
    <sheet xmlns:r="http://schemas.openxmlformats.org/officeDocument/2006/relationships" name="_Primary" sheetId="20" state="veryHidden" r:id="rId20"/>
  </sheets>
  <definedNames>
    <definedName name="opt_disposition">'Codebook'!$B$10:$B$12</definedName>
    <definedName name="opt_domain">'Codebook'!$B$14:$B$17</definedName>
    <definedName name="opt_reviewComplete">'Codebook'!$B$19:$B$20</definedName>
    <definedName name="opt_statisticalIssueStatus">'Codebook'!$B$25:$B$29</definedName>
    <definedName name="opt_substantiveStatus">'Codebook'!$B$31:$B$34</definedName>
    <definedName name="opt_downstreamImpact">'Codebook'!$B$36:$B$41</definedName>
    <definedName name="opt_internalStatus">'Codebook'!$B$44:$B$48</definedName>
    <definedName name="opt_protocolInterpretation">'Codebook'!$B$51:$B$57</definedName>
    <definedName name="opt_checkStatus">'Codebook'!$B$60:$B$63</definedName>
    <definedName name="opt_resolutionStatus">'Codebook'!$B$66:$B$67</definedName>
    <definedName name="primary_jama_2019_0556_key">'_Primary'!$A$2:$A$72</definedName>
    <definedName name="primary_jama_2019_0556_disposition">'_Primary'!$B$2:$B$72</definedName>
    <definedName name="primary_jama_2019_0556_domain">'_Primary'!$C$2:$C$72</definedName>
    <definedName name="primary_jama_2019_10517_key">'_Primary'!$A$2:$A$72</definedName>
    <definedName name="primary_jama_2019_10517_disposition">'_Primary'!$B$2:$B$72</definedName>
    <definedName name="primary_jama_2019_10517_domain">'_Primary'!$C$2:$C$72</definedName>
    <definedName name="primary_jama_2019_12618_key">'_Primary'!$A$2:$A$72</definedName>
    <definedName name="primary_jama_2019_12618_disposition">'_Primary'!$B$2:$B$72</definedName>
    <definedName name="primary_jama_2019_12618_domain">'_Primary'!$C$2:$C$72</definedName>
    <definedName name="primary_jama_2019_14231_key">'_Primary'!$A$2:$A$72</definedName>
    <definedName name="primary_jama_2019_14231_disposition">'_Primary'!$B$2:$B$72</definedName>
    <definedName name="primary_jama_2019_14231_domain">'_Primary'!$C$2:$C$72</definedName>
    <definedName name="primary_jama_2019_14630_key">'_Primary'!$A$2:$A$72</definedName>
    <definedName name="primary_jama_2019_14630_disposition">'_Primary'!$B$2:$B$72</definedName>
    <definedName name="primary_jama_2019_14630_domain">'_Primary'!$C$2:$C$72</definedName>
    <definedName name="primary_jama_2019_14901_key">'_Primary'!$A$2:$A$72</definedName>
    <definedName name="primary_jama_2019_14901_disposition">'_Primary'!$B$2:$B$72</definedName>
    <definedName name="primary_jama_2019_14901_domain">'_Primary'!$C$2:$C$72</definedName>
    <definedName name="primary_jama_2019_17380_key">'_Primary'!$A$2:$A$72</definedName>
    <definedName name="primary_jama_2019_17380_disposition">'_Primary'!$B$2:$B$72</definedName>
    <definedName name="primary_jama_2019_17380_domain">'_Primary'!$C$2:$C$72</definedName>
    <definedName name="primary_jama_2019_2210_key">'_Primary'!$A$2:$A$72</definedName>
    <definedName name="primary_jama_2019_2210_disposition">'_Primary'!$B$2:$B$72</definedName>
    <definedName name="primary_jama_2019_2210_domain">'_Primary'!$C$2:$C$72</definedName>
    <definedName name="primary_jama_2019_4755_key">'_Primary'!$A$2:$A$72</definedName>
    <definedName name="primary_jama_2019_4755_disposition">'_Primary'!$B$2:$B$72</definedName>
    <definedName name="primary_jama_2019_4755_domain">'_Primary'!$C$2:$C$72</definedName>
    <definedName name="primary_jama_2019_7505_key">'_Primary'!$A$2:$A$72</definedName>
    <definedName name="primary_jama_2019_7505_disposition">'_Primary'!$B$2:$B$72</definedName>
    <definedName name="primary_jama_2019_7505_domain">'_Primary'!$C$2:$C$72</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'C_jama.2019.0556'!$A$1:$R$10</definedName>
    <definedName name="_xlnm.Print_Titles" localSheetId="3">'C_jama.2019.0556'!$1:$1</definedName>
    <definedName name="_xlnm._FilterDatabase" localSheetId="4" hidden="1">'C_jama.2019.10517'!$A$1:$R$4</definedName>
    <definedName name="_xlnm.Print_Titles" localSheetId="4">'C_jama.2019.10517'!$1:$1</definedName>
    <definedName name="_xlnm._FilterDatabase" localSheetId="5" hidden="1">'C_jama.2019.12618'!$A$1:$R$9</definedName>
    <definedName name="_xlnm.Print_Titles" localSheetId="5">'C_jama.2019.12618'!$1:$1</definedName>
    <definedName name="_xlnm._FilterDatabase" localSheetId="6" hidden="1">'C_jama.2019.14231'!$A$1:$R$12</definedName>
    <definedName name="_xlnm.Print_Titles" localSheetId="6">'C_jama.2019.14231'!$1:$1</definedName>
    <definedName name="_xlnm._FilterDatabase" localSheetId="7" hidden="1">'C_jama.2019.14630'!$A$1:$R$10</definedName>
    <definedName name="_xlnm.Print_Titles" localSheetId="7">'C_jama.2019.14630'!$1:$1</definedName>
    <definedName name="_xlnm._FilterDatabase" localSheetId="8" hidden="1">'C_jama.2019.14901'!$A$1:$R$7</definedName>
    <definedName name="_xlnm.Print_Titles" localSheetId="8">'C_jama.2019.14901'!$1:$1</definedName>
    <definedName name="_xlnm._FilterDatabase" localSheetId="9" hidden="1">'C_jama.2019.17380'!$A$1:$R$8</definedName>
    <definedName name="_xlnm.Print_Titles" localSheetId="9">'C_jama.2019.17380'!$1:$1</definedName>
    <definedName name="_xlnm._FilterDatabase" localSheetId="10" hidden="1">'C_jama.2019.2210'!$A$1:$R$10</definedName>
    <definedName name="_xlnm.Print_Titles" localSheetId="10">'C_jama.2019.2210'!$1:$1</definedName>
    <definedName name="_xlnm._FilterDatabase" localSheetId="11" hidden="1">'C_jama.2019.4755'!$A$1:$R$6</definedName>
    <definedName name="_xlnm.Print_Titles" localSheetId="11">'C_jama.2019.4755'!$1:$1</definedName>
    <definedName name="_xlnm._FilterDatabase" localSheetId="12" hidden="1">'C_jama.2019.7505'!$A$1:$R$5</definedName>
    <definedName name="_xlnm.Print_Titles" localSheetId="12">'C_jama.2019.7505'!$1:$1</definedName>
    <definedName name="_xlnm._FilterDatabase" localSheetId="13" hidden="1">'Candidates'!$A$1:$AB$72</definedName>
    <definedName name="_xlnm.Print_Titles" localSheetId="13">'Candidates'!$1:$1</definedName>
    <definedName name="_xlnm._FilterDatabase" localSheetId="14" hidden="1">'Evidence'!$A$1:$D$261</definedName>
    <definedName name="_xlnm.Print_Titles" localSheetId="14">'Evidence'!$1:$1</definedName>
    <definedName name="_xlnm.Print_Titles" localSheetId="15">'Codebook'!$1:$1</definedName>
    <definedName name="_xlnm._FilterDatabase" localSheetId="16" hidden="1">'Manifest'!$A$1:$B$11</definedName>
    <definedName name="_xlnm.Print_Titles" localSheetId="16">'Manifest'!$1:$1</definedName>
    <definedName name="_xlnm._FilterDatabase" localSheetId="17" hidden="1">'Links'!$A$1:$E$312</definedName>
    <definedName name="_xlnm.Print_Titles" localSheetId="17">'Links'!$1:$1</definedName>
    <definedName name="_xlnm._FilterDatabase" localSheetId="18" hidden="1">'Relations'!$A$1:$D$79</definedName>
    <definedName name="_xlnm.Print_Titles" localSheetId="18">'Relations'!$1:$1</definedName>
    <definedName name="_xlnm._FilterDatabase" localSheetId="19" hidden="1">'_Primary'!$A$1:$J$72</definedName>
    <definedName name="_xlnm.Print_Titles" localSheetId="19">'_Primary'!$1:$1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2">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49">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4" borderId="0" applyAlignment="1" applyProtection="1" pivotButton="0" quotePrefix="0" xfId="0">
      <alignment horizontal="left" vertical="center" wrapText="1"/>
      <protection locked="0" hidden="0"/>
    </xf>
    <xf numFmtId="0" fontId="2" fillId="11" borderId="0" applyAlignment="1" applyProtection="1" pivotButton="0" quotePrefix="0" xfId="0">
      <alignment horizontal="left" vertical="center" wrapText="1"/>
      <protection locked="0" hidden="0"/>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0" borderId="1" applyAlignment="1" pivotButton="0" quotePrefix="0" xfId="0">
      <alignment horizontal="center" vertical="center" wrapText="1"/>
    </xf>
    <xf numFmtId="0" fontId="16" fillId="3"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3" borderId="1" applyAlignment="1" pivotButton="0" quotePrefix="0" xfId="0">
      <alignment horizontal="center" vertical="center" wrapText="1"/>
    </xf>
    <xf numFmtId="0" fontId="19" fillId="0"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omments/comment1.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2.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3.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4.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5.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6.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7.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8.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9.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10.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theme/theme1.xml><?xml version="1.0" encoding="utf-8"?>
<ns0:theme xmlns:ns0="http://schemas.openxmlformats.org/drawingml/2006/main" name="Office Theme">
  <ns0:themeElements>
    <ns0:clrScheme name="Office">
      <ns0:dk1>
        <ns0:sysClr val="windowText" lastClr="000000"/>
      </ns0:dk1>
      <ns0:lt1>
        <ns0:sysClr val="window" lastClr="FFFFFF"/>
      </ns0:lt1>
      <ns0:dk2>
        <ns0:srgbClr val="1F497D"/>
      </ns0:dk2>
      <ns0:lt2>
        <ns0:srgbClr val="EEECE1"/>
      </ns0:lt2>
      <ns0:accent1>
        <ns0:srgbClr val="4F81BD"/>
      </ns0:accent1>
      <ns0:accent2>
        <ns0:srgbClr val="C0504D"/>
      </ns0:accent2>
      <ns0:accent3>
        <ns0:srgbClr val="9BBB59"/>
      </ns0:accent3>
      <ns0:accent4>
        <ns0:srgbClr val="8064A2"/>
      </ns0:accent4>
      <ns0:accent5>
        <ns0:srgbClr val="4BACC6"/>
      </ns0:accent5>
      <ns0:accent6>
        <ns0:srgbClr val="F79646"/>
      </ns0:accent6>
      <ns0:hlink>
        <ns0:srgbClr val="0000FF"/>
      </ns0:hlink>
      <ns0:folHlink>
        <ns0:srgbClr val="800080"/>
      </ns0:folHlink>
    </ns0:clrScheme>
    <ns0:fontScheme name="Office">
      <ns0:majorFont>
        <ns0:latin typeface="Cambria"/>
        <ns0:ea typeface=""/>
        <ns0:cs typeface=""/>
        <ns0:font script="Jpan" typeface="ＭＳ Ｐゴシック"/>
        <ns0:font script="Hang" typeface="맑은 고딕"/>
        <ns0:font script="Hans" typeface="SimSun"/>
        <ns0:font script="Hant" typeface="PMingLiU"/>
        <ns0:font script="Arab" typeface="Times New Roman"/>
        <ns0:font script="Hebr" typeface="Times New Roman"/>
        <ns0:font script="Thai" typeface="Tahoma"/>
        <ns0:font script="Ethi" typeface="Nyala"/>
        <ns0:font script="Beng" typeface="Vrinda"/>
        <ns0:font script="Gujr" typeface="Shruti"/>
        <ns0:font script="Khmr" typeface="MoolBoran"/>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Times New Roman"/>
        <ns0:font script="Uigh" typeface="Microsoft Uighur"/>
      </ns0:majorFont>
      <ns0:minorFont>
        <ns0:latin typeface="Calibri"/>
        <ns0:ea typeface=""/>
        <ns0:cs typeface=""/>
        <ns0:font script="Jpan" typeface="ＭＳ Ｐゴシック"/>
        <ns0:font script="Hang" typeface="맑은 고딕"/>
        <ns0:font script="Hans" typeface="SimSun"/>
        <ns0:font script="Hant" typeface="PMingLiU"/>
        <ns0:font script="Arab" typeface="Arial"/>
        <ns0:font script="Hebr" typeface="Arial"/>
        <ns0:font script="Thai" typeface="Tahoma"/>
        <ns0:font script="Ethi" typeface="Nyala"/>
        <ns0:font script="Beng" typeface="Vrinda"/>
        <ns0:font script="Gujr" typeface="Shruti"/>
        <ns0:font script="Khmr" typeface="DaunPenh"/>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Arial"/>
        <ns0:font script="Uigh" typeface="Microsoft Uighur"/>
      </ns0:minorFont>
    </ns0:fontScheme>
    <ns0:fmtScheme name="Office">
      <ns0:fillStyleLst>
        <ns0:solidFill>
          <ns0:schemeClr val="phClr"/>
        </ns0:solidFill>
        <ns0:gradFill rotWithShape="1">
          <ns0:gsLst>
            <ns0:gs pos="0">
              <ns0:schemeClr val="phClr">
                <ns0:tint val="50000"/>
                <ns0:satMod val="300000"/>
              </ns0:schemeClr>
            </ns0:gs>
            <ns0:gs pos="35000">
              <ns0:schemeClr val="phClr">
                <ns0:tint val="37000"/>
                <ns0:satMod val="300000"/>
              </ns0:schemeClr>
            </ns0:gs>
            <ns0:gs pos="100000">
              <ns0:schemeClr val="phClr">
                <ns0:tint val="15000"/>
                <ns0:satMod val="350000"/>
              </ns0:schemeClr>
            </ns0:gs>
          </ns0:gsLst>
          <ns0:lin ang="16200000" scaled="1"/>
        </ns0:gradFill>
        <ns0:gradFill rotWithShape="1">
          <ns0:gsLst>
            <ns0:gs pos="0">
              <ns0:schemeClr val="phClr">
                <ns0:shade val="51000"/>
                <ns0:satMod val="130000"/>
              </ns0:schemeClr>
            </ns0:gs>
            <ns0:gs pos="80000">
              <ns0:schemeClr val="phClr">
                <ns0:shade val="93000"/>
                <ns0:satMod val="130000"/>
              </ns0:schemeClr>
            </ns0:gs>
            <ns0:gs pos="100000">
              <ns0:schemeClr val="phClr">
                <ns0:shade val="94000"/>
                <ns0:satMod val="135000"/>
              </ns0:schemeClr>
            </ns0:gs>
          </ns0:gsLst>
          <ns0:lin ang="16200000" scaled="0"/>
        </ns0:gradFill>
      </ns0:fillStyleLst>
      <ns0:lnStyleLst>
        <ns0:ln w="9525" cap="flat" cmpd="sng" algn="ctr">
          <ns0:solidFill>
            <ns0:schemeClr val="phClr">
              <ns0:shade val="95000"/>
              <ns0:satMod val="105000"/>
            </ns0:schemeClr>
          </ns0:solidFill>
          <ns0:prstDash val="solid"/>
        </ns0:ln>
        <ns0:ln w="25400" cap="flat" cmpd="sng" algn="ctr">
          <ns0:solidFill>
            <ns0:schemeClr val="phClr"/>
          </ns0:solidFill>
          <ns0:prstDash val="solid"/>
        </ns0:ln>
        <ns0:ln w="38100" cap="flat" cmpd="sng" algn="ctr">
          <ns0:solidFill>
            <ns0:schemeClr val="phClr"/>
          </ns0:solidFill>
          <ns0:prstDash val="solid"/>
        </ns0:ln>
      </ns0:lnStyleLst>
      <ns0:effectStyleLst>
        <ns0:effectStyle>
          <ns0:effectLst>
            <ns0:outerShdw blurRad="40000" dist="20000" dir="5400000" rotWithShape="0">
              <ns0:srgbClr val="000000">
                <ns0:alpha val="38000"/>
              </ns0:srgbClr>
            </ns0:outerShdw>
          </ns0:effectLst>
        </ns0:effectStyle>
        <ns0:effectStyle>
          <ns0:effectLst>
            <ns0:outerShdw blurRad="40000" dist="23000" dir="5400000" rotWithShape="0">
              <ns0:srgbClr val="000000">
                <ns0:alpha val="35000"/>
              </ns0:srgbClr>
            </ns0:outerShdw>
          </ns0:effectLst>
        </ns0:effectStyle>
        <ns0:effectStyle>
          <ns0:effectLst>
            <ns0:outerShdw blurRad="40000" dist="23000" dir="5400000" rotWithShape="0">
              <ns0:srgbClr val="000000">
                <ns0:alpha val="35000"/>
              </ns0:srgbClr>
            </ns0:outerShdw>
          </ns0:effectLst>
          <ns0:scene3d>
            <ns0:camera prst="orthographicFront">
              <ns0:rot lat="0" lon="0" rev="0"/>
            </ns0:camera>
            <ns0:lightRig rig="threePt" dir="t">
              <ns0:rot lat="0" lon="0" rev="1200000"/>
            </ns0:lightRig>
          </ns0:scene3d>
          <ns0:sp3d>
            <ns0:bevelT w="63500" h="25400"/>
          </ns0:sp3d>
        </ns0:effectStyle>
      </ns0:effectStyleLst>
      <ns0:bgFillStyleLst>
        <ns0:solidFill>
          <ns0:schemeClr val="phClr"/>
        </ns0:solidFill>
        <ns0:gradFill rotWithShape="1">
          <ns0:gsLst>
            <ns0:gs pos="0">
              <ns0:schemeClr val="phClr">
                <ns0:tint val="40000"/>
                <ns0:satMod val="350000"/>
              </ns0:schemeClr>
            </ns0:gs>
            <ns0:gs pos="40000">
              <ns0:schemeClr val="phClr">
                <ns0:tint val="45000"/>
                <ns0:shade val="99000"/>
                <ns0:satMod val="350000"/>
              </ns0:schemeClr>
            </ns0:gs>
            <ns0:gs pos="100000">
              <ns0:schemeClr val="phClr">
                <ns0:shade val="20000"/>
                <ns0:satMod val="255000"/>
              </ns0:schemeClr>
            </ns0:gs>
          </ns0:gsLst>
          <ns0:path path="circle">
            <ns0:fillToRect l="50000" t="-80000" r="50000" b="180000"/>
          </ns0:path>
        </ns0:gradFill>
        <ns0:gradFill rotWithShape="1">
          <ns0:gsLst>
            <ns0:gs pos="0">
              <ns0:schemeClr val="phClr">
                <ns0:tint val="80000"/>
                <ns0:satMod val="300000"/>
              </ns0:schemeClr>
            </ns0:gs>
            <ns0:gs pos="100000">
              <ns0:schemeClr val="phClr">
                <ns0:shade val="30000"/>
                <ns0:satMod val="200000"/>
              </ns0:schemeClr>
            </ns0:gs>
          </ns0:gsLst>
          <ns0:path path="circle">
            <ns0:fillToRect l="50000" t="50000" r="50000" b="50000"/>
          </ns0:path>
        </ns0:gradFill>
      </ns0:bgFillStyleLst>
    </ns0:fmtScheme>
  </ns0:themeElements>
  <ns0:objectDefaults/>
  <ns0:extraClrSchemeLst/>
</ns0: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1.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2.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3.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v.2.1.5.2 | 2019 | SYNTHETIC TEST DATA ONLY | ready for checking</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Four annual templates, one file per year. Each paper has a C_&lt;paper&gt; worksheet with the same 18-column Checker layout in both stages. Every file contains Papers, Candidates, Evidence and Codebook. The C_ prefix identifies the shared layout; see File status for the current stage.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Statistcal_or_numerical issue + Substantiveness required; Downstream impact optional. protocol_report: Protocol interpretation optional; no extra required module fields. Other two domains: Report-internal or planning-material inconsistency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Start primary review in the annual template. Checker-only columns are locked until handoff. Save a completed primary backup; the manager runs prepare-checker to create the next working copy with the same paper sheets and layout. It embeds the primary snapshot and resets Complete for checking. Both review stages are retained in that file; no external workbook links or manual answer copying are needed.</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or optional judgments.</t>
        </is>
      </c>
    </row>
    <row r="15" ht="68" customHeight="1">
      <c r="A15" s="3" t="inlineStr">
        <is>
          <t>10. Research</t>
        </is>
      </c>
      <c r="B15" s="3" t="inlineStr">
        <is>
          <t>Exploratory audit aid: human judgment remains responsible. Protocol/plan discrepancies remain descriptive and are not automatically confirmed issues. Temporal outcomes require substantive S_C/S_W judgments. Visible-answer checking is not blinded inter-rater reliability.</t>
        </is>
      </c>
    </row>
    <row r="16" ht="68" customHeight="1">
      <c r="A16" s="2" t="inlineStr">
        <is>
          <t>11. File status</t>
        </is>
      </c>
      <c r="B16" s="2" t="inlineStr">
        <is>
          <t>READY FOR CHECKING: primary answers are preserved in this file. Assessment cells now record changes; Complete refers to checker completion.</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2" t="inlineStr">
        <is>
          <t>TEST_primary_2019</t>
        </is>
      </c>
    </row>
    <row r="3" ht="30" customHeight="1">
      <c r="A3" s="3" t="inlineStr">
        <is>
          <t>primaryReviewerName</t>
        </is>
      </c>
      <c r="B3" s="3" t="inlineStr">
        <is>
          <t>SYNTHETIC TEST REVIEWER - not a real adjudicator</t>
        </is>
      </c>
    </row>
    <row r="4" ht="30" customHeight="1">
      <c r="A4" s="2" t="inlineStr">
        <is>
          <t>checkerId</t>
        </is>
      </c>
      <c r="B4" s="4" t="inlineStr">
        <is>
          <t>TEST_checker_2019</t>
        </is>
      </c>
    </row>
    <row r="5" ht="30" customHeight="1">
      <c r="A5" s="3" t="inlineStr">
        <is>
          <t>checkerName</t>
        </is>
      </c>
      <c r="B5" s="4" t="inlineStr">
        <is>
          <t>SYNTHETIC TEST REVIEWER - not a real adjudicator</t>
        </is>
      </c>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jama.2019.0556</t>
        </is>
      </c>
      <c r="B2" s="2" t="inlineStr">
        <is>
          <t>C_jama.2019.0556</t>
        </is>
      </c>
      <c r="C2" s="2" t="n">
        <v>9</v>
      </c>
    </row>
    <row r="3" ht="30" customHeight="1">
      <c r="A3" s="3" t="inlineStr">
        <is>
          <t>jama.2019.10517</t>
        </is>
      </c>
      <c r="B3" s="3" t="inlineStr">
        <is>
          <t>C_jama.2019.10517</t>
        </is>
      </c>
      <c r="C3" s="3" t="n">
        <v>3</v>
      </c>
    </row>
    <row r="4" ht="30" customHeight="1">
      <c r="A4" s="2" t="inlineStr">
        <is>
          <t>jama.2019.12618</t>
        </is>
      </c>
      <c r="B4" s="2" t="inlineStr">
        <is>
          <t>C_jama.2019.12618</t>
        </is>
      </c>
      <c r="C4" s="2" t="n">
        <v>8</v>
      </c>
    </row>
    <row r="5" ht="30" customHeight="1">
      <c r="A5" s="3" t="inlineStr">
        <is>
          <t>jama.2019.14231</t>
        </is>
      </c>
      <c r="B5" s="3" t="inlineStr">
        <is>
          <t>C_jama.2019.14231</t>
        </is>
      </c>
      <c r="C5" s="3" t="n">
        <v>11</v>
      </c>
    </row>
    <row r="6" ht="30" customHeight="1">
      <c r="A6" s="2" t="inlineStr">
        <is>
          <t>jama.2019.14630</t>
        </is>
      </c>
      <c r="B6" s="2" t="inlineStr">
        <is>
          <t>C_jama.2019.14630</t>
        </is>
      </c>
      <c r="C6" s="2" t="n">
        <v>9</v>
      </c>
    </row>
    <row r="7" ht="30" customHeight="1">
      <c r="A7" s="3" t="inlineStr">
        <is>
          <t>jama.2019.14901</t>
        </is>
      </c>
      <c r="B7" s="3" t="inlineStr">
        <is>
          <t>C_jama.2019.14901</t>
        </is>
      </c>
      <c r="C7" s="3" t="n">
        <v>6</v>
      </c>
    </row>
    <row r="8" ht="30" customHeight="1">
      <c r="A8" s="2" t="inlineStr">
        <is>
          <t>jama.2019.17380</t>
        </is>
      </c>
      <c r="B8" s="2" t="inlineStr">
        <is>
          <t>C_jama.2019.17380</t>
        </is>
      </c>
      <c r="C8" s="2" t="n">
        <v>7</v>
      </c>
    </row>
    <row r="9" ht="30" customHeight="1">
      <c r="A9" s="3" t="inlineStr">
        <is>
          <t>jama.2019.2210</t>
        </is>
      </c>
      <c r="B9" s="3" t="inlineStr">
        <is>
          <t>C_jama.2019.2210</t>
        </is>
      </c>
      <c r="C9" s="3" t="n">
        <v>9</v>
      </c>
    </row>
    <row r="10" ht="30" customHeight="1">
      <c r="A10" s="2" t="inlineStr">
        <is>
          <t>jama.2019.4755</t>
        </is>
      </c>
      <c r="B10" s="2" t="inlineStr">
        <is>
          <t>C_jama.2019.4755</t>
        </is>
      </c>
      <c r="C10" s="2" t="n">
        <v>5</v>
      </c>
    </row>
    <row r="11" ht="30" customHeight="1">
      <c r="A11" s="3" t="inlineStr">
        <is>
          <t>jama.2019.7505</t>
        </is>
      </c>
      <c r="B11" s="3" t="inlineStr">
        <is>
          <t>C_jama.2019.7505</t>
        </is>
      </c>
      <c r="C11" s="3" t="n">
        <v>4</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R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2019::jama.2019.0556::C001</t>
        </is>
      </c>
      <c r="B2" s="2" t="inlineStr">
        <is>
          <t>Table 2 footnote duplicates the supplements-without-therapy label</t>
        </is>
      </c>
      <c r="C2" s="2" t="inlineStr">
        <is>
          <t>DOC-001 Table 2 — PDF p. 6; Figure 1 — PDF p. 3; Results — PDF p. 7.</t>
        </is>
      </c>
      <c r="D2" s="8" t="inlineStr"/>
      <c r="E2" s="8" t="inlineStr"/>
      <c r="F2" s="8" t="inlineStr">
        <is>
          <t>no</t>
        </is>
      </c>
      <c r="G2" s="2">
        <f>IF(OR(AND(OR(AND(IF($D2="",INDEX(primary_jama_2019_0556_disposition,MATCH($A2,primary_jama_2019_0556_key,0)),$D2)&lt;&gt;"",IF($D2="",INDEX(primary_jama_2019_0556_disposition,MATCH($A2,primary_jama_2019_0556_key,0)),$D2)&lt;&gt;"retain"),NOT(OR(IF($E2="",INDEX(primary_jama_2019_0556_domain,MATCH($A2,primary_jama_2019_0556_key,0)),$E2)="statistical_results"))),H2&lt;&gt;"",H2&lt;&gt;"not_applicable"),AND(OR(AND(IF($D2="",INDEX(primary_jama_2019_0556_disposition,MATCH($A2,primary_jama_2019_0556_key,0)),$D2)&lt;&gt;"",IF($D2="",INDEX(primary_jama_2019_0556_disposition,MATCH($A2,primary_jama_2019_0556_key,0)),$D2)&lt;&gt;"retain"),NOT(OR(IF($E2="",INDEX(primary_jama_2019_0556_domain,MATCH($A2,primary_jama_2019_0556_key,0)),$E2)="statistical_results"))),I2&lt;&gt;"",I2&lt;&gt;"not_applicable"),AND(OR(AND(IF($D2="",INDEX(primary_jama_2019_0556_disposition,MATCH($A2,primary_jama_2019_0556_key,0)),$D2)&lt;&gt;"",IF($D2="",INDEX(primary_jama_2019_0556_disposition,MATCH($A2,primary_jama_2019_0556_key,0)),$D2)&lt;&gt;"retain"),NOT(OR(IF($E2="",INDEX(primary_jama_2019_0556_domain,MATCH($A2,primary_jama_2019_0556_key,0)),$E2)="statistical_results"))),J2&lt;&gt;"",J2&lt;&gt;"not_applicable"),AND(OR(AND(IF($D2="",INDEX(primary_jama_2019_0556_disposition,MATCH($A2,primary_jama_2019_0556_key,0)),$D2)&lt;&gt;"",IF($D2="",INDEX(primary_jama_2019_0556_disposition,MATCH($A2,primary_jama_2019_0556_key,0)),$D2)&lt;&gt;"retain"),NOT(OR(IF($E2="",INDEX(primary_jama_2019_0556_domain,MATCH($A2,primary_jama_2019_0556_key,0)),$E2)="report_internal_inconsistency",IF($E2="",INDEX(primary_jama_2019_0556_domain,MATCH($A2,primary_jama_2019_0556_key,0)),$E2)="plan_material"))),K2&lt;&gt;"",K2&lt;&gt;"not_applicable"),AND(OR(AND(IF($D2="",INDEX(primary_jama_2019_0556_disposition,MATCH($A2,primary_jama_2019_0556_key,0)),$D2)&lt;&gt;"",IF($D2="",INDEX(primary_jama_2019_0556_disposition,MATCH($A2,primary_jama_2019_0556_key,0)),$D2)&lt;&gt;"retain"),NOT(OR(IF($E2="",INDEX(primary_jama_2019_0556_domain,MATCH($A2,primary_jama_2019_0556_key,0)),$E2)="protocol_report"))),L2&lt;&gt;"",L2&lt;&gt;"not_applicable")),"CLEAR INACTIVE VALUES",IF(N2="","PENDING",IF(AND(N2&lt;&gt;"agree",LEN(TRIM(O2))=0),"COMMENT NEEDED",IF(F2="yes","CHECKED - see resolution","DRAFT"))))</f>
        <v/>
      </c>
      <c r="H2" s="8">
        <f>IF(OR(AND(IF($D2="",INDEX(primary_jama_2019_0556_disposition,MATCH($A2,primary_jama_2019_0556_key,0)),$D2)&lt;&gt;"",IF($D2="",INDEX(primary_jama_2019_0556_disposition,MATCH($A2,primary_jama_2019_0556_key,0)),$D2)&lt;&gt;"retain"),NOT(OR(IF($E2="",INDEX(primary_jama_2019_0556_domain,MATCH($A2,primary_jama_2019_0556_key,0)),$E2)="statistical_results"))),"not_applicable","")</f>
        <v/>
      </c>
      <c r="I2" s="8">
        <f>IF(OR(AND(IF($D2="",INDEX(primary_jama_2019_0556_disposition,MATCH($A2,primary_jama_2019_0556_key,0)),$D2)&lt;&gt;"",IF($D2="",INDEX(primary_jama_2019_0556_disposition,MATCH($A2,primary_jama_2019_0556_key,0)),$D2)&lt;&gt;"retain"),NOT(OR(IF($E2="",INDEX(primary_jama_2019_0556_domain,MATCH($A2,primary_jama_2019_0556_key,0)),$E2)="statistical_results"))),"not_applicable","")</f>
        <v/>
      </c>
      <c r="J2" s="9">
        <f>IF(OR(AND(IF($D2="",INDEX(primary_jama_2019_0556_disposition,MATCH($A2,primary_jama_2019_0556_key,0)),$D2)&lt;&gt;"",IF($D2="",INDEX(primary_jama_2019_0556_disposition,MATCH($A2,primary_jama_2019_0556_key,0)),$D2)&lt;&gt;"retain"),NOT(OR(IF($E2="",INDEX(primary_jama_2019_0556_domain,MATCH($A2,primary_jama_2019_0556_key,0)),$E2)="statistical_results"))),"not_applicable","")</f>
        <v/>
      </c>
      <c r="K2" s="8">
        <f>IF(OR(AND(IF($D2="",INDEX(primary_jama_2019_0556_disposition,MATCH($A2,primary_jama_2019_0556_key,0)),$D2)&lt;&gt;"",IF($D2="",INDEX(primary_jama_2019_0556_disposition,MATCH($A2,primary_jama_2019_0556_key,0)),$D2)&lt;&gt;"retain"),NOT(OR(IF($E2="",INDEX(primary_jama_2019_0556_domain,MATCH($A2,primary_jama_2019_0556_key,0)),$E2)="report_internal_inconsistency",IF($E2="",INDEX(primary_jama_2019_0556_domain,MATCH($A2,primary_jama_2019_0556_key,0)),$E2)="plan_material"))),"not_applicable","")</f>
        <v/>
      </c>
      <c r="L2" s="9">
        <f>IF(OR(AND(IF($D2="",INDEX(primary_jama_2019_0556_disposition,MATCH($A2,primary_jama_2019_0556_key,0)),$D2)&lt;&gt;"",IF($D2="",INDEX(primary_jama_2019_0556_disposition,MATCH($A2,primary_jama_2019_0556_key,0)),$D2)&lt;&gt;"retain"),NOT(OR(IF($E2="",INDEX(primary_jama_2019_0556_domain,MATCH($A2,primary_jama_2019_0556_key,0)),$E2)="protocol_report"))),"not_applicable","")</f>
        <v/>
      </c>
      <c r="M2" s="2" t="inlineStr">
        <is>
          <t>Disposition: exclude
Review domain: report_internal_inconsistency
Notes (optional): SYNTHETIC TEST DATA ONLY. Exclude is a placeholder for testing the checker workflow, not a scientific assessment. Do not use this sample in research results.</t>
        </is>
      </c>
      <c r="N2" s="8" t="inlineStr"/>
      <c r="O2" s="10" t="inlineStr"/>
      <c r="P2" s="8" t="inlineStr">
        <is>
          <t>pending</t>
        </is>
      </c>
      <c r="Q2" s="10" t="inlineStr"/>
      <c r="R2" s="11" t="inlineStr"/>
    </row>
    <row r="3" ht="76" customHeight="1">
      <c r="A3" s="3" t="inlineStr">
        <is>
          <t>2019::jama.2019.0556::C002</t>
        </is>
      </c>
      <c r="B3" s="3" t="inlineStr">
        <is>
          <t>Supplement-adherence cutoff changes from inclusive to strict wording</t>
        </is>
      </c>
      <c r="C3" s="3" t="inlineStr">
        <is>
          <t>DOC-001 Methods — PDF p. 4; Results — PDF p. 6; DOC-004 eAppendix 8 — PDF p. 16; eAppendix 12 — PDF p. 22.</t>
        </is>
      </c>
      <c r="D3" s="8" t="inlineStr"/>
      <c r="E3" s="8" t="inlineStr"/>
      <c r="F3" s="8" t="inlineStr">
        <is>
          <t>no</t>
        </is>
      </c>
      <c r="G3" s="3">
        <f>IF(OR(AND(OR(AND(IF($D3="",INDEX(primary_jama_2019_0556_disposition,MATCH($A3,primary_jama_2019_0556_key,0)),$D3)&lt;&gt;"",IF($D3="",INDEX(primary_jama_2019_0556_disposition,MATCH($A3,primary_jama_2019_0556_key,0)),$D3)&lt;&gt;"retain"),NOT(OR(IF($E3="",INDEX(primary_jama_2019_0556_domain,MATCH($A3,primary_jama_2019_0556_key,0)),$E3)="statistical_results"))),H3&lt;&gt;"",H3&lt;&gt;"not_applicable"),AND(OR(AND(IF($D3="",INDEX(primary_jama_2019_0556_disposition,MATCH($A3,primary_jama_2019_0556_key,0)),$D3)&lt;&gt;"",IF($D3="",INDEX(primary_jama_2019_0556_disposition,MATCH($A3,primary_jama_2019_0556_key,0)),$D3)&lt;&gt;"retain"),NOT(OR(IF($E3="",INDEX(primary_jama_2019_0556_domain,MATCH($A3,primary_jama_2019_0556_key,0)),$E3)="statistical_results"))),I3&lt;&gt;"",I3&lt;&gt;"not_applicable"),AND(OR(AND(IF($D3="",INDEX(primary_jama_2019_0556_disposition,MATCH($A3,primary_jama_2019_0556_key,0)),$D3)&lt;&gt;"",IF($D3="",INDEX(primary_jama_2019_0556_disposition,MATCH($A3,primary_jama_2019_0556_key,0)),$D3)&lt;&gt;"retain"),NOT(OR(IF($E3="",INDEX(primary_jama_2019_0556_domain,MATCH($A3,primary_jama_2019_0556_key,0)),$E3)="statistical_results"))),J3&lt;&gt;"",J3&lt;&gt;"not_applicable"),AND(OR(AND(IF($D3="",INDEX(primary_jama_2019_0556_disposition,MATCH($A3,primary_jama_2019_0556_key,0)),$D3)&lt;&gt;"",IF($D3="",INDEX(primary_jama_2019_0556_disposition,MATCH($A3,primary_jama_2019_0556_key,0)),$D3)&lt;&gt;"retain"),NOT(OR(IF($E3="",INDEX(primary_jama_2019_0556_domain,MATCH($A3,primary_jama_2019_0556_key,0)),$E3)="report_internal_inconsistency",IF($E3="",INDEX(primary_jama_2019_0556_domain,MATCH($A3,primary_jama_2019_0556_key,0)),$E3)="plan_material"))),K3&lt;&gt;"",K3&lt;&gt;"not_applicable"),AND(OR(AND(IF($D3="",INDEX(primary_jama_2019_0556_disposition,MATCH($A3,primary_jama_2019_0556_key,0)),$D3)&lt;&gt;"",IF($D3="",INDEX(primary_jama_2019_0556_disposition,MATCH($A3,primary_jama_2019_0556_key,0)),$D3)&lt;&gt;"retain"),NOT(OR(IF($E3="",INDEX(primary_jama_2019_0556_domain,MATCH($A3,primary_jama_2019_0556_key,0)),$E3)="protocol_report"))),L3&lt;&gt;"",L3&lt;&gt;"not_applicable")),"CLEAR INACTIVE VALUES",IF(N3="","PENDING",IF(AND(N3&lt;&gt;"agree",LEN(TRIM(O3))=0),"COMMENT NEEDED",IF(F3="yes","CHECKED - see resolution","DRAFT"))))</f>
        <v/>
      </c>
      <c r="H3" s="8">
        <f>IF(OR(AND(IF($D3="",INDEX(primary_jama_2019_0556_disposition,MATCH($A3,primary_jama_2019_0556_key,0)),$D3)&lt;&gt;"",IF($D3="",INDEX(primary_jama_2019_0556_disposition,MATCH($A3,primary_jama_2019_0556_key,0)),$D3)&lt;&gt;"retain"),NOT(OR(IF($E3="",INDEX(primary_jama_2019_0556_domain,MATCH($A3,primary_jama_2019_0556_key,0)),$E3)="statistical_results"))),"not_applicable","")</f>
        <v/>
      </c>
      <c r="I3" s="8">
        <f>IF(OR(AND(IF($D3="",INDEX(primary_jama_2019_0556_disposition,MATCH($A3,primary_jama_2019_0556_key,0)),$D3)&lt;&gt;"",IF($D3="",INDEX(primary_jama_2019_0556_disposition,MATCH($A3,primary_jama_2019_0556_key,0)),$D3)&lt;&gt;"retain"),NOT(OR(IF($E3="",INDEX(primary_jama_2019_0556_domain,MATCH($A3,primary_jama_2019_0556_key,0)),$E3)="statistical_results"))),"not_applicable","")</f>
        <v/>
      </c>
      <c r="J3" s="9">
        <f>IF(OR(AND(IF($D3="",INDEX(primary_jama_2019_0556_disposition,MATCH($A3,primary_jama_2019_0556_key,0)),$D3)&lt;&gt;"",IF($D3="",INDEX(primary_jama_2019_0556_disposition,MATCH($A3,primary_jama_2019_0556_key,0)),$D3)&lt;&gt;"retain"),NOT(OR(IF($E3="",INDEX(primary_jama_2019_0556_domain,MATCH($A3,primary_jama_2019_0556_key,0)),$E3)="statistical_results"))),"not_applicable","")</f>
        <v/>
      </c>
      <c r="K3" s="8">
        <f>IF(OR(AND(IF($D3="",INDEX(primary_jama_2019_0556_disposition,MATCH($A3,primary_jama_2019_0556_key,0)),$D3)&lt;&gt;"",IF($D3="",INDEX(primary_jama_2019_0556_disposition,MATCH($A3,primary_jama_2019_0556_key,0)),$D3)&lt;&gt;"retain"),NOT(OR(IF($E3="",INDEX(primary_jama_2019_0556_domain,MATCH($A3,primary_jama_2019_0556_key,0)),$E3)="report_internal_inconsistency",IF($E3="",INDEX(primary_jama_2019_0556_domain,MATCH($A3,primary_jama_2019_0556_key,0)),$E3)="plan_material"))),"not_applicable","")</f>
        <v/>
      </c>
      <c r="L3" s="9">
        <f>IF(OR(AND(IF($D3="",INDEX(primary_jama_2019_0556_disposition,MATCH($A3,primary_jama_2019_0556_key,0)),$D3)&lt;&gt;"",IF($D3="",INDEX(primary_jama_2019_0556_disposition,MATCH($A3,primary_jama_2019_0556_key,0)),$D3)&lt;&gt;"retain"),NOT(OR(IF($E3="",INDEX(primary_jama_2019_0556_domain,MATCH($A3,primary_jama_2019_0556_key,0)),$E3)="protocol_report"))),"not_applicable","")</f>
        <v/>
      </c>
      <c r="M3" s="3" t="inlineStr">
        <is>
          <t>Disposition: exclude
Review domain: report_internal_inconsistency
Notes (optional): SYNTHETIC TEST DATA ONLY. Exclude is a placeholder for testing the checker workflow, not a scientific assessment. Do not use this sample in research results.</t>
        </is>
      </c>
      <c r="N3" s="8" t="inlineStr"/>
      <c r="O3" s="10" t="inlineStr"/>
      <c r="P3" s="8" t="inlineStr">
        <is>
          <t>pending</t>
        </is>
      </c>
      <c r="Q3" s="10" t="inlineStr"/>
      <c r="R3" s="11" t="inlineStr"/>
    </row>
    <row r="4" ht="76" customHeight="1">
      <c r="A4" s="2" t="inlineStr">
        <is>
          <t>2019::jama.2019.0556::C003</t>
        </is>
      </c>
      <c r="B4" s="2" t="inlineStr">
        <is>
          <t>eAppendix 8 footnote markers point to unrelated adherence rows</t>
        </is>
      </c>
      <c r="C4" s="2" t="inlineStr">
        <is>
          <t>DOC-004 eAppendix 8 — PDF p. 16.</t>
        </is>
      </c>
      <c r="D4" s="8" t="inlineStr"/>
      <c r="E4" s="8" t="inlineStr"/>
      <c r="F4" s="8" t="inlineStr">
        <is>
          <t>no</t>
        </is>
      </c>
      <c r="G4" s="2">
        <f>IF(OR(AND(OR(AND(IF($D4="",INDEX(primary_jama_2019_0556_disposition,MATCH($A4,primary_jama_2019_0556_key,0)),$D4)&lt;&gt;"",IF($D4="",INDEX(primary_jama_2019_0556_disposition,MATCH($A4,primary_jama_2019_0556_key,0)),$D4)&lt;&gt;"retain"),NOT(OR(IF($E4="",INDEX(primary_jama_2019_0556_domain,MATCH($A4,primary_jama_2019_0556_key,0)),$E4)="statistical_results"))),H4&lt;&gt;"",H4&lt;&gt;"not_applicable"),AND(OR(AND(IF($D4="",INDEX(primary_jama_2019_0556_disposition,MATCH($A4,primary_jama_2019_0556_key,0)),$D4)&lt;&gt;"",IF($D4="",INDEX(primary_jama_2019_0556_disposition,MATCH($A4,primary_jama_2019_0556_key,0)),$D4)&lt;&gt;"retain"),NOT(OR(IF($E4="",INDEX(primary_jama_2019_0556_domain,MATCH($A4,primary_jama_2019_0556_key,0)),$E4)="statistical_results"))),I4&lt;&gt;"",I4&lt;&gt;"not_applicable"),AND(OR(AND(IF($D4="",INDEX(primary_jama_2019_0556_disposition,MATCH($A4,primary_jama_2019_0556_key,0)),$D4)&lt;&gt;"",IF($D4="",INDEX(primary_jama_2019_0556_disposition,MATCH($A4,primary_jama_2019_0556_key,0)),$D4)&lt;&gt;"retain"),NOT(OR(IF($E4="",INDEX(primary_jama_2019_0556_domain,MATCH($A4,primary_jama_2019_0556_key,0)),$E4)="statistical_results"))),J4&lt;&gt;"",J4&lt;&gt;"not_applicable"),AND(OR(AND(IF($D4="",INDEX(primary_jama_2019_0556_disposition,MATCH($A4,primary_jama_2019_0556_key,0)),$D4)&lt;&gt;"",IF($D4="",INDEX(primary_jama_2019_0556_disposition,MATCH($A4,primary_jama_2019_0556_key,0)),$D4)&lt;&gt;"retain"),NOT(OR(IF($E4="",INDEX(primary_jama_2019_0556_domain,MATCH($A4,primary_jama_2019_0556_key,0)),$E4)="report_internal_inconsistency",IF($E4="",INDEX(primary_jama_2019_0556_domain,MATCH($A4,primary_jama_2019_0556_key,0)),$E4)="plan_material"))),K4&lt;&gt;"",K4&lt;&gt;"not_applicable"),AND(OR(AND(IF($D4="",INDEX(primary_jama_2019_0556_disposition,MATCH($A4,primary_jama_2019_0556_key,0)),$D4)&lt;&gt;"",IF($D4="",INDEX(primary_jama_2019_0556_disposition,MATCH($A4,primary_jama_2019_0556_key,0)),$D4)&lt;&gt;"retain"),NOT(OR(IF($E4="",INDEX(primary_jama_2019_0556_domain,MATCH($A4,primary_jama_2019_0556_key,0)),$E4)="protocol_report"))),L4&lt;&gt;"",L4&lt;&gt;"not_applicable")),"CLEAR INACTIVE VALUES",IF(N4="","PENDING",IF(AND(N4&lt;&gt;"agree",LEN(TRIM(O4))=0),"COMMENT NEEDED",IF(F4="yes","CHECKED - see resolution","DRAFT"))))</f>
        <v/>
      </c>
      <c r="H4" s="8">
        <f>IF(OR(AND(IF($D4="",INDEX(primary_jama_2019_0556_disposition,MATCH($A4,primary_jama_2019_0556_key,0)),$D4)&lt;&gt;"",IF($D4="",INDEX(primary_jama_2019_0556_disposition,MATCH($A4,primary_jama_2019_0556_key,0)),$D4)&lt;&gt;"retain"),NOT(OR(IF($E4="",INDEX(primary_jama_2019_0556_domain,MATCH($A4,primary_jama_2019_0556_key,0)),$E4)="statistical_results"))),"not_applicable","")</f>
        <v/>
      </c>
      <c r="I4" s="8">
        <f>IF(OR(AND(IF($D4="",INDEX(primary_jama_2019_0556_disposition,MATCH($A4,primary_jama_2019_0556_key,0)),$D4)&lt;&gt;"",IF($D4="",INDEX(primary_jama_2019_0556_disposition,MATCH($A4,primary_jama_2019_0556_key,0)),$D4)&lt;&gt;"retain"),NOT(OR(IF($E4="",INDEX(primary_jama_2019_0556_domain,MATCH($A4,primary_jama_2019_0556_key,0)),$E4)="statistical_results"))),"not_applicable","")</f>
        <v/>
      </c>
      <c r="J4" s="9">
        <f>IF(OR(AND(IF($D4="",INDEX(primary_jama_2019_0556_disposition,MATCH($A4,primary_jama_2019_0556_key,0)),$D4)&lt;&gt;"",IF($D4="",INDEX(primary_jama_2019_0556_disposition,MATCH($A4,primary_jama_2019_0556_key,0)),$D4)&lt;&gt;"retain"),NOT(OR(IF($E4="",INDEX(primary_jama_2019_0556_domain,MATCH($A4,primary_jama_2019_0556_key,0)),$E4)="statistical_results"))),"not_applicable","")</f>
        <v/>
      </c>
      <c r="K4" s="8">
        <f>IF(OR(AND(IF($D4="",INDEX(primary_jama_2019_0556_disposition,MATCH($A4,primary_jama_2019_0556_key,0)),$D4)&lt;&gt;"",IF($D4="",INDEX(primary_jama_2019_0556_disposition,MATCH($A4,primary_jama_2019_0556_key,0)),$D4)&lt;&gt;"retain"),NOT(OR(IF($E4="",INDEX(primary_jama_2019_0556_domain,MATCH($A4,primary_jama_2019_0556_key,0)),$E4)="report_internal_inconsistency",IF($E4="",INDEX(primary_jama_2019_0556_domain,MATCH($A4,primary_jama_2019_0556_key,0)),$E4)="plan_material"))),"not_applicable","")</f>
        <v/>
      </c>
      <c r="L4" s="9">
        <f>IF(OR(AND(IF($D4="",INDEX(primary_jama_2019_0556_disposition,MATCH($A4,primary_jama_2019_0556_key,0)),$D4)&lt;&gt;"",IF($D4="",INDEX(primary_jama_2019_0556_disposition,MATCH($A4,primary_jama_2019_0556_key,0)),$D4)&lt;&gt;"retain"),NOT(OR(IF($E4="",INDEX(primary_jama_2019_0556_domain,MATCH($A4,primary_jama_2019_0556_key,0)),$E4)="protocol_report"))),"not_applicable","")</f>
        <v/>
      </c>
      <c r="M4" s="2" t="inlineStr">
        <is>
          <t>Disposition: exclude
Review domain: report_internal_inconsistency
Notes (optional): SYNTHETIC TEST DATA ONLY. Exclude is a placeholder for testing the checker workflow, not a scientific assessment. Do not use this sample in research results.</t>
        </is>
      </c>
      <c r="N4" s="8" t="inlineStr"/>
      <c r="O4" s="10" t="inlineStr"/>
      <c r="P4" s="8" t="inlineStr">
        <is>
          <t>pending</t>
        </is>
      </c>
      <c r="Q4" s="10" t="inlineStr"/>
      <c r="R4" s="11" t="inlineStr"/>
    </row>
    <row r="5" ht="76" customHeight="1">
      <c r="A5" s="3" t="inlineStr">
        <is>
          <t>2019::jama.2019.0556::C004</t>
        </is>
      </c>
      <c r="B5" s="3" t="inlineStr">
        <is>
          <t>eAppendix 10 prints a literal P value of zero</t>
        </is>
      </c>
      <c r="C5" s="3" t="inlineStr">
        <is>
          <t>DOC-004 eAppendix 10B — PDF p. 19.</t>
        </is>
      </c>
      <c r="D5" s="8" t="inlineStr"/>
      <c r="E5" s="8" t="inlineStr"/>
      <c r="F5" s="8" t="inlineStr">
        <is>
          <t>no</t>
        </is>
      </c>
      <c r="G5" s="3">
        <f>IF(OR(AND(OR(AND(IF($D5="",INDEX(primary_jama_2019_0556_disposition,MATCH($A5,primary_jama_2019_0556_key,0)),$D5)&lt;&gt;"",IF($D5="",INDEX(primary_jama_2019_0556_disposition,MATCH($A5,primary_jama_2019_0556_key,0)),$D5)&lt;&gt;"retain"),NOT(OR(IF($E5="",INDEX(primary_jama_2019_0556_domain,MATCH($A5,primary_jama_2019_0556_key,0)),$E5)="statistical_results"))),H5&lt;&gt;"",H5&lt;&gt;"not_applicable"),AND(OR(AND(IF($D5="",INDEX(primary_jama_2019_0556_disposition,MATCH($A5,primary_jama_2019_0556_key,0)),$D5)&lt;&gt;"",IF($D5="",INDEX(primary_jama_2019_0556_disposition,MATCH($A5,primary_jama_2019_0556_key,0)),$D5)&lt;&gt;"retain"),NOT(OR(IF($E5="",INDEX(primary_jama_2019_0556_domain,MATCH($A5,primary_jama_2019_0556_key,0)),$E5)="statistical_results"))),I5&lt;&gt;"",I5&lt;&gt;"not_applicable"),AND(OR(AND(IF($D5="",INDEX(primary_jama_2019_0556_disposition,MATCH($A5,primary_jama_2019_0556_key,0)),$D5)&lt;&gt;"",IF($D5="",INDEX(primary_jama_2019_0556_disposition,MATCH($A5,primary_jama_2019_0556_key,0)),$D5)&lt;&gt;"retain"),NOT(OR(IF($E5="",INDEX(primary_jama_2019_0556_domain,MATCH($A5,primary_jama_2019_0556_key,0)),$E5)="statistical_results"))),J5&lt;&gt;"",J5&lt;&gt;"not_applicable"),AND(OR(AND(IF($D5="",INDEX(primary_jama_2019_0556_disposition,MATCH($A5,primary_jama_2019_0556_key,0)),$D5)&lt;&gt;"",IF($D5="",INDEX(primary_jama_2019_0556_disposition,MATCH($A5,primary_jama_2019_0556_key,0)),$D5)&lt;&gt;"retain"),NOT(OR(IF($E5="",INDEX(primary_jama_2019_0556_domain,MATCH($A5,primary_jama_2019_0556_key,0)),$E5)="report_internal_inconsistency",IF($E5="",INDEX(primary_jama_2019_0556_domain,MATCH($A5,primary_jama_2019_0556_key,0)),$E5)="plan_material"))),K5&lt;&gt;"",K5&lt;&gt;"not_applicable"),AND(OR(AND(IF($D5="",INDEX(primary_jama_2019_0556_disposition,MATCH($A5,primary_jama_2019_0556_key,0)),$D5)&lt;&gt;"",IF($D5="",INDEX(primary_jama_2019_0556_disposition,MATCH($A5,primary_jama_2019_0556_key,0)),$D5)&lt;&gt;"retain"),NOT(OR(IF($E5="",INDEX(primary_jama_2019_0556_domain,MATCH($A5,primary_jama_2019_0556_key,0)),$E5)="protocol_report"))),L5&lt;&gt;"",L5&lt;&gt;"not_applicable")),"CLEAR INACTIVE VALUES",IF(N5="","PENDING",IF(AND(N5&lt;&gt;"agree",LEN(TRIM(O5))=0),"COMMENT NEEDED",IF(F5="yes","CHECKED - see resolution","DRAFT"))))</f>
        <v/>
      </c>
      <c r="H5" s="8">
        <f>IF(OR(AND(IF($D5="",INDEX(primary_jama_2019_0556_disposition,MATCH($A5,primary_jama_2019_0556_key,0)),$D5)&lt;&gt;"",IF($D5="",INDEX(primary_jama_2019_0556_disposition,MATCH($A5,primary_jama_2019_0556_key,0)),$D5)&lt;&gt;"retain"),NOT(OR(IF($E5="",INDEX(primary_jama_2019_0556_domain,MATCH($A5,primary_jama_2019_0556_key,0)),$E5)="statistical_results"))),"not_applicable","")</f>
        <v/>
      </c>
      <c r="I5" s="8">
        <f>IF(OR(AND(IF($D5="",INDEX(primary_jama_2019_0556_disposition,MATCH($A5,primary_jama_2019_0556_key,0)),$D5)&lt;&gt;"",IF($D5="",INDEX(primary_jama_2019_0556_disposition,MATCH($A5,primary_jama_2019_0556_key,0)),$D5)&lt;&gt;"retain"),NOT(OR(IF($E5="",INDEX(primary_jama_2019_0556_domain,MATCH($A5,primary_jama_2019_0556_key,0)),$E5)="statistical_results"))),"not_applicable","")</f>
        <v/>
      </c>
      <c r="J5" s="9">
        <f>IF(OR(AND(IF($D5="",INDEX(primary_jama_2019_0556_disposition,MATCH($A5,primary_jama_2019_0556_key,0)),$D5)&lt;&gt;"",IF($D5="",INDEX(primary_jama_2019_0556_disposition,MATCH($A5,primary_jama_2019_0556_key,0)),$D5)&lt;&gt;"retain"),NOT(OR(IF($E5="",INDEX(primary_jama_2019_0556_domain,MATCH($A5,primary_jama_2019_0556_key,0)),$E5)="statistical_results"))),"not_applicable","")</f>
        <v/>
      </c>
      <c r="K5" s="8">
        <f>IF(OR(AND(IF($D5="",INDEX(primary_jama_2019_0556_disposition,MATCH($A5,primary_jama_2019_0556_key,0)),$D5)&lt;&gt;"",IF($D5="",INDEX(primary_jama_2019_0556_disposition,MATCH($A5,primary_jama_2019_0556_key,0)),$D5)&lt;&gt;"retain"),NOT(OR(IF($E5="",INDEX(primary_jama_2019_0556_domain,MATCH($A5,primary_jama_2019_0556_key,0)),$E5)="report_internal_inconsistency",IF($E5="",INDEX(primary_jama_2019_0556_domain,MATCH($A5,primary_jama_2019_0556_key,0)),$E5)="plan_material"))),"not_applicable","")</f>
        <v/>
      </c>
      <c r="L5" s="9">
        <f>IF(OR(AND(IF($D5="",INDEX(primary_jama_2019_0556_disposition,MATCH($A5,primary_jama_2019_0556_key,0)),$D5)&lt;&gt;"",IF($D5="",INDEX(primary_jama_2019_0556_disposition,MATCH($A5,primary_jama_2019_0556_key,0)),$D5)&lt;&gt;"retain"),NOT(OR(IF($E5="",INDEX(primary_jama_2019_0556_domain,MATCH($A5,primary_jama_2019_0556_key,0)),$E5)="protocol_report"))),"not_applicable","")</f>
        <v/>
      </c>
      <c r="M5" s="3" t="inlineStr">
        <is>
          <t>Disposition: exclude
Review domain: statistical_results
Notes (optional): SYNTHETIC TEST DATA ONLY. Exclude is a placeholder for testing the checker workflow, not a scientific assessment. Do not use this sample in research results.</t>
        </is>
      </c>
      <c r="N5" s="8" t="inlineStr"/>
      <c r="O5" s="10" t="inlineStr"/>
      <c r="P5" s="8" t="inlineStr">
        <is>
          <t>pending</t>
        </is>
      </c>
      <c r="Q5" s="10" t="inlineStr"/>
      <c r="R5" s="11" t="inlineStr"/>
    </row>
    <row r="6" ht="76" customHeight="1">
      <c r="A6" s="2" t="inlineStr">
        <is>
          <t>2019::jama.2019.0556::C005</t>
        </is>
      </c>
      <c r="B6" s="2" t="inlineStr">
        <is>
          <t>Main-article sample-size total conflicts with four stated cell counts</t>
        </is>
      </c>
      <c r="C6" s="2" t="inlineStr">
        <is>
          <t>DOC-001 Sample Size — PDF p. 4.</t>
        </is>
      </c>
      <c r="D6" s="8" t="inlineStr"/>
      <c r="E6" s="8" t="inlineStr"/>
      <c r="F6" s="8" t="inlineStr">
        <is>
          <t>no</t>
        </is>
      </c>
      <c r="G6" s="2">
        <f>IF(OR(AND(OR(AND(IF($D6="",INDEX(primary_jama_2019_0556_disposition,MATCH($A6,primary_jama_2019_0556_key,0)),$D6)&lt;&gt;"",IF($D6="",INDEX(primary_jama_2019_0556_disposition,MATCH($A6,primary_jama_2019_0556_key,0)),$D6)&lt;&gt;"retain"),NOT(OR(IF($E6="",INDEX(primary_jama_2019_0556_domain,MATCH($A6,primary_jama_2019_0556_key,0)),$E6)="statistical_results"))),H6&lt;&gt;"",H6&lt;&gt;"not_applicable"),AND(OR(AND(IF($D6="",INDEX(primary_jama_2019_0556_disposition,MATCH($A6,primary_jama_2019_0556_key,0)),$D6)&lt;&gt;"",IF($D6="",INDEX(primary_jama_2019_0556_disposition,MATCH($A6,primary_jama_2019_0556_key,0)),$D6)&lt;&gt;"retain"),NOT(OR(IF($E6="",INDEX(primary_jama_2019_0556_domain,MATCH($A6,primary_jama_2019_0556_key,0)),$E6)="statistical_results"))),I6&lt;&gt;"",I6&lt;&gt;"not_applicable"),AND(OR(AND(IF($D6="",INDEX(primary_jama_2019_0556_disposition,MATCH($A6,primary_jama_2019_0556_key,0)),$D6)&lt;&gt;"",IF($D6="",INDEX(primary_jama_2019_0556_disposition,MATCH($A6,primary_jama_2019_0556_key,0)),$D6)&lt;&gt;"retain"),NOT(OR(IF($E6="",INDEX(primary_jama_2019_0556_domain,MATCH($A6,primary_jama_2019_0556_key,0)),$E6)="statistical_results"))),J6&lt;&gt;"",J6&lt;&gt;"not_applicable"),AND(OR(AND(IF($D6="",INDEX(primary_jama_2019_0556_disposition,MATCH($A6,primary_jama_2019_0556_key,0)),$D6)&lt;&gt;"",IF($D6="",INDEX(primary_jama_2019_0556_disposition,MATCH($A6,primary_jama_2019_0556_key,0)),$D6)&lt;&gt;"retain"),NOT(OR(IF($E6="",INDEX(primary_jama_2019_0556_domain,MATCH($A6,primary_jama_2019_0556_key,0)),$E6)="report_internal_inconsistency",IF($E6="",INDEX(primary_jama_2019_0556_domain,MATCH($A6,primary_jama_2019_0556_key,0)),$E6)="plan_material"))),K6&lt;&gt;"",K6&lt;&gt;"not_applicable"),AND(OR(AND(IF($D6="",INDEX(primary_jama_2019_0556_disposition,MATCH($A6,primary_jama_2019_0556_key,0)),$D6)&lt;&gt;"",IF($D6="",INDEX(primary_jama_2019_0556_disposition,MATCH($A6,primary_jama_2019_0556_key,0)),$D6)&lt;&gt;"retain"),NOT(OR(IF($E6="",INDEX(primary_jama_2019_0556_domain,MATCH($A6,primary_jama_2019_0556_key,0)),$E6)="protocol_report"))),L6&lt;&gt;"",L6&lt;&gt;"not_applicable")),"CLEAR INACTIVE VALUES",IF(N6="","PENDING",IF(AND(N6&lt;&gt;"agree",LEN(TRIM(O6))=0),"COMMENT NEEDED",IF(F6="yes","CHECKED - see resolution","DRAFT"))))</f>
        <v/>
      </c>
      <c r="H6" s="8">
        <f>IF(OR(AND(IF($D6="",INDEX(primary_jama_2019_0556_disposition,MATCH($A6,primary_jama_2019_0556_key,0)),$D6)&lt;&gt;"",IF($D6="",INDEX(primary_jama_2019_0556_disposition,MATCH($A6,primary_jama_2019_0556_key,0)),$D6)&lt;&gt;"retain"),NOT(OR(IF($E6="",INDEX(primary_jama_2019_0556_domain,MATCH($A6,primary_jama_2019_0556_key,0)),$E6)="statistical_results"))),"not_applicable","")</f>
        <v/>
      </c>
      <c r="I6" s="8">
        <f>IF(OR(AND(IF($D6="",INDEX(primary_jama_2019_0556_disposition,MATCH($A6,primary_jama_2019_0556_key,0)),$D6)&lt;&gt;"",IF($D6="",INDEX(primary_jama_2019_0556_disposition,MATCH($A6,primary_jama_2019_0556_key,0)),$D6)&lt;&gt;"retain"),NOT(OR(IF($E6="",INDEX(primary_jama_2019_0556_domain,MATCH($A6,primary_jama_2019_0556_key,0)),$E6)="statistical_results"))),"not_applicable","")</f>
        <v/>
      </c>
      <c r="J6" s="9">
        <f>IF(OR(AND(IF($D6="",INDEX(primary_jama_2019_0556_disposition,MATCH($A6,primary_jama_2019_0556_key,0)),$D6)&lt;&gt;"",IF($D6="",INDEX(primary_jama_2019_0556_disposition,MATCH($A6,primary_jama_2019_0556_key,0)),$D6)&lt;&gt;"retain"),NOT(OR(IF($E6="",INDEX(primary_jama_2019_0556_domain,MATCH($A6,primary_jama_2019_0556_key,0)),$E6)="statistical_results"))),"not_applicable","")</f>
        <v/>
      </c>
      <c r="K6" s="8">
        <f>IF(OR(AND(IF($D6="",INDEX(primary_jama_2019_0556_disposition,MATCH($A6,primary_jama_2019_0556_key,0)),$D6)&lt;&gt;"",IF($D6="",INDEX(primary_jama_2019_0556_disposition,MATCH($A6,primary_jama_2019_0556_key,0)),$D6)&lt;&gt;"retain"),NOT(OR(IF($E6="",INDEX(primary_jama_2019_0556_domain,MATCH($A6,primary_jama_2019_0556_key,0)),$E6)="report_internal_inconsistency",IF($E6="",INDEX(primary_jama_2019_0556_domain,MATCH($A6,primary_jama_2019_0556_key,0)),$E6)="plan_material"))),"not_applicable","")</f>
        <v/>
      </c>
      <c r="L6" s="9">
        <f>IF(OR(AND(IF($D6="",INDEX(primary_jama_2019_0556_disposition,MATCH($A6,primary_jama_2019_0556_key,0)),$D6)&lt;&gt;"",IF($D6="",INDEX(primary_jama_2019_0556_disposition,MATCH($A6,primary_jama_2019_0556_key,0)),$D6)&lt;&gt;"retain"),NOT(OR(IF($E6="",INDEX(primary_jama_2019_0556_domain,MATCH($A6,primary_jama_2019_0556_key,0)),$E6)="protocol_report"))),"not_applicable","")</f>
        <v/>
      </c>
      <c r="M6" s="2" t="inlineStr">
        <is>
          <t>Disposition: exclude
Review domain: statistical_results
Notes (optional): SYNTHETIC TEST DATA ONLY. Exclude is a placeholder for testing the checker workflow, not a scientific assessment. Do not use this sample in research results.</t>
        </is>
      </c>
      <c r="N6" s="8" t="inlineStr"/>
      <c r="O6" s="10" t="inlineStr"/>
      <c r="P6" s="8" t="inlineStr">
        <is>
          <t>pending</t>
        </is>
      </c>
      <c r="Q6" s="10" t="inlineStr"/>
      <c r="R6" s="11" t="inlineStr"/>
    </row>
    <row r="7" ht="76" customHeight="1">
      <c r="A7" s="3" t="inlineStr">
        <is>
          <t>2019::jama.2019.0556::C006</t>
        </is>
      </c>
      <c r="B7" s="3" t="inlineStr">
        <is>
          <t>Protocol calls a 30% versus 15% contrast a 25% difference</t>
        </is>
      </c>
      <c r="C7" s="3" t="inlineStr">
        <is>
          <t>DOC-002 Sample Size — PDF p. 16.</t>
        </is>
      </c>
      <c r="D7" s="8" t="inlineStr"/>
      <c r="E7" s="8" t="inlineStr"/>
      <c r="F7" s="8" t="inlineStr">
        <is>
          <t>no</t>
        </is>
      </c>
      <c r="G7" s="3">
        <f>IF(OR(AND(OR(AND(IF($D7="",INDEX(primary_jama_2019_0556_disposition,MATCH($A7,primary_jama_2019_0556_key,0)),$D7)&lt;&gt;"",IF($D7="",INDEX(primary_jama_2019_0556_disposition,MATCH($A7,primary_jama_2019_0556_key,0)),$D7)&lt;&gt;"retain"),NOT(OR(IF($E7="",INDEX(primary_jama_2019_0556_domain,MATCH($A7,primary_jama_2019_0556_key,0)),$E7)="statistical_results"))),H7&lt;&gt;"",H7&lt;&gt;"not_applicable"),AND(OR(AND(IF($D7="",INDEX(primary_jama_2019_0556_disposition,MATCH($A7,primary_jama_2019_0556_key,0)),$D7)&lt;&gt;"",IF($D7="",INDEX(primary_jama_2019_0556_disposition,MATCH($A7,primary_jama_2019_0556_key,0)),$D7)&lt;&gt;"retain"),NOT(OR(IF($E7="",INDEX(primary_jama_2019_0556_domain,MATCH($A7,primary_jama_2019_0556_key,0)),$E7)="statistical_results"))),I7&lt;&gt;"",I7&lt;&gt;"not_applicable"),AND(OR(AND(IF($D7="",INDEX(primary_jama_2019_0556_disposition,MATCH($A7,primary_jama_2019_0556_key,0)),$D7)&lt;&gt;"",IF($D7="",INDEX(primary_jama_2019_0556_disposition,MATCH($A7,primary_jama_2019_0556_key,0)),$D7)&lt;&gt;"retain"),NOT(OR(IF($E7="",INDEX(primary_jama_2019_0556_domain,MATCH($A7,primary_jama_2019_0556_key,0)),$E7)="statistical_results"))),J7&lt;&gt;"",J7&lt;&gt;"not_applicable"),AND(OR(AND(IF($D7="",INDEX(primary_jama_2019_0556_disposition,MATCH($A7,primary_jama_2019_0556_key,0)),$D7)&lt;&gt;"",IF($D7="",INDEX(primary_jama_2019_0556_disposition,MATCH($A7,primary_jama_2019_0556_key,0)),$D7)&lt;&gt;"retain"),NOT(OR(IF($E7="",INDEX(primary_jama_2019_0556_domain,MATCH($A7,primary_jama_2019_0556_key,0)),$E7)="report_internal_inconsistency",IF($E7="",INDEX(primary_jama_2019_0556_domain,MATCH($A7,primary_jama_2019_0556_key,0)),$E7)="plan_material"))),K7&lt;&gt;"",K7&lt;&gt;"not_applicable"),AND(OR(AND(IF($D7="",INDEX(primary_jama_2019_0556_disposition,MATCH($A7,primary_jama_2019_0556_key,0)),$D7)&lt;&gt;"",IF($D7="",INDEX(primary_jama_2019_0556_disposition,MATCH($A7,primary_jama_2019_0556_key,0)),$D7)&lt;&gt;"retain"),NOT(OR(IF($E7="",INDEX(primary_jama_2019_0556_domain,MATCH($A7,primary_jama_2019_0556_key,0)),$E7)="protocol_report"))),L7&lt;&gt;"",L7&lt;&gt;"not_applicable")),"CLEAR INACTIVE VALUES",IF(N7="","PENDING",IF(AND(N7&lt;&gt;"agree",LEN(TRIM(O7))=0),"COMMENT NEEDED",IF(F7="yes","CHECKED - see resolution","DRAFT"))))</f>
        <v/>
      </c>
      <c r="H7" s="8">
        <f>IF(OR(AND(IF($D7="",INDEX(primary_jama_2019_0556_disposition,MATCH($A7,primary_jama_2019_0556_key,0)),$D7)&lt;&gt;"",IF($D7="",INDEX(primary_jama_2019_0556_disposition,MATCH($A7,primary_jama_2019_0556_key,0)),$D7)&lt;&gt;"retain"),NOT(OR(IF($E7="",INDEX(primary_jama_2019_0556_domain,MATCH($A7,primary_jama_2019_0556_key,0)),$E7)="statistical_results"))),"not_applicable","")</f>
        <v/>
      </c>
      <c r="I7" s="8">
        <f>IF(OR(AND(IF($D7="",INDEX(primary_jama_2019_0556_disposition,MATCH($A7,primary_jama_2019_0556_key,0)),$D7)&lt;&gt;"",IF($D7="",INDEX(primary_jama_2019_0556_disposition,MATCH($A7,primary_jama_2019_0556_key,0)),$D7)&lt;&gt;"retain"),NOT(OR(IF($E7="",INDEX(primary_jama_2019_0556_domain,MATCH($A7,primary_jama_2019_0556_key,0)),$E7)="statistical_results"))),"not_applicable","")</f>
        <v/>
      </c>
      <c r="J7" s="9">
        <f>IF(OR(AND(IF($D7="",INDEX(primary_jama_2019_0556_disposition,MATCH($A7,primary_jama_2019_0556_key,0)),$D7)&lt;&gt;"",IF($D7="",INDEX(primary_jama_2019_0556_disposition,MATCH($A7,primary_jama_2019_0556_key,0)),$D7)&lt;&gt;"retain"),NOT(OR(IF($E7="",INDEX(primary_jama_2019_0556_domain,MATCH($A7,primary_jama_2019_0556_key,0)),$E7)="statistical_results"))),"not_applicable","")</f>
        <v/>
      </c>
      <c r="K7" s="8">
        <f>IF(OR(AND(IF($D7="",INDEX(primary_jama_2019_0556_disposition,MATCH($A7,primary_jama_2019_0556_key,0)),$D7)&lt;&gt;"",IF($D7="",INDEX(primary_jama_2019_0556_disposition,MATCH($A7,primary_jama_2019_0556_key,0)),$D7)&lt;&gt;"retain"),NOT(OR(IF($E7="",INDEX(primary_jama_2019_0556_domain,MATCH($A7,primary_jama_2019_0556_key,0)),$E7)="report_internal_inconsistency",IF($E7="",INDEX(primary_jama_2019_0556_domain,MATCH($A7,primary_jama_2019_0556_key,0)),$E7)="plan_material"))),"not_applicable","")</f>
        <v/>
      </c>
      <c r="L7" s="9">
        <f>IF(OR(AND(IF($D7="",INDEX(primary_jama_2019_0556_disposition,MATCH($A7,primary_jama_2019_0556_key,0)),$D7)&lt;&gt;"",IF($D7="",INDEX(primary_jama_2019_0556_disposition,MATCH($A7,primary_jama_2019_0556_key,0)),$D7)&lt;&gt;"retain"),NOT(OR(IF($E7="",INDEX(primary_jama_2019_0556_domain,MATCH($A7,primary_jama_2019_0556_key,0)),$E7)="protocol_report"))),"not_applicable","")</f>
        <v/>
      </c>
      <c r="M7" s="3" t="inlineStr">
        <is>
          <t>Disposition: exclude
Review domain: plan_material
Notes (optional): SYNTHETIC TEST DATA ONLY. Exclude is a placeholder for testing the checker workflow, not a scientific assessment. Do not use this sample in research results.</t>
        </is>
      </c>
      <c r="N7" s="8" t="inlineStr"/>
      <c r="O7" s="10" t="inlineStr"/>
      <c r="P7" s="8" t="inlineStr">
        <is>
          <t>pending</t>
        </is>
      </c>
      <c r="Q7" s="10" t="inlineStr"/>
      <c r="R7" s="11" t="inlineStr"/>
    </row>
    <row r="8" ht="76" customHeight="1">
      <c r="A8" s="2" t="inlineStr">
        <is>
          <t>2019::jama.2019.0556::C007</t>
        </is>
      </c>
      <c r="B8" s="2" t="inlineStr">
        <is>
          <t>Protocol and publication state different sample-size assumptions</t>
        </is>
      </c>
      <c r="C8" s="2" t="inlineStr">
        <is>
          <t>DOC-001 Sample Size — PDF p. 4; DOC-002 Sample Size — PDF p. 16; DOC-002 continuation — PDF p. 17.</t>
        </is>
      </c>
      <c r="D8" s="8" t="inlineStr"/>
      <c r="E8" s="8" t="inlineStr"/>
      <c r="F8" s="8" t="inlineStr">
        <is>
          <t>no</t>
        </is>
      </c>
      <c r="G8" s="2">
        <f>IF(OR(AND(OR(AND(IF($D8="",INDEX(primary_jama_2019_0556_disposition,MATCH($A8,primary_jama_2019_0556_key,0)),$D8)&lt;&gt;"",IF($D8="",INDEX(primary_jama_2019_0556_disposition,MATCH($A8,primary_jama_2019_0556_key,0)),$D8)&lt;&gt;"retain"),NOT(OR(IF($E8="",INDEX(primary_jama_2019_0556_domain,MATCH($A8,primary_jama_2019_0556_key,0)),$E8)="statistical_results"))),H8&lt;&gt;"",H8&lt;&gt;"not_applicable"),AND(OR(AND(IF($D8="",INDEX(primary_jama_2019_0556_disposition,MATCH($A8,primary_jama_2019_0556_key,0)),$D8)&lt;&gt;"",IF($D8="",INDEX(primary_jama_2019_0556_disposition,MATCH($A8,primary_jama_2019_0556_key,0)),$D8)&lt;&gt;"retain"),NOT(OR(IF($E8="",INDEX(primary_jama_2019_0556_domain,MATCH($A8,primary_jama_2019_0556_key,0)),$E8)="statistical_results"))),I8&lt;&gt;"",I8&lt;&gt;"not_applicable"),AND(OR(AND(IF($D8="",INDEX(primary_jama_2019_0556_disposition,MATCH($A8,primary_jama_2019_0556_key,0)),$D8)&lt;&gt;"",IF($D8="",INDEX(primary_jama_2019_0556_disposition,MATCH($A8,primary_jama_2019_0556_key,0)),$D8)&lt;&gt;"retain"),NOT(OR(IF($E8="",INDEX(primary_jama_2019_0556_domain,MATCH($A8,primary_jama_2019_0556_key,0)),$E8)="statistical_results"))),J8&lt;&gt;"",J8&lt;&gt;"not_applicable"),AND(OR(AND(IF($D8="",INDEX(primary_jama_2019_0556_disposition,MATCH($A8,primary_jama_2019_0556_key,0)),$D8)&lt;&gt;"",IF($D8="",INDEX(primary_jama_2019_0556_disposition,MATCH($A8,primary_jama_2019_0556_key,0)),$D8)&lt;&gt;"retain"),NOT(OR(IF($E8="",INDEX(primary_jama_2019_0556_domain,MATCH($A8,primary_jama_2019_0556_key,0)),$E8)="report_internal_inconsistency",IF($E8="",INDEX(primary_jama_2019_0556_domain,MATCH($A8,primary_jama_2019_0556_key,0)),$E8)="plan_material"))),K8&lt;&gt;"",K8&lt;&gt;"not_applicable"),AND(OR(AND(IF($D8="",INDEX(primary_jama_2019_0556_disposition,MATCH($A8,primary_jama_2019_0556_key,0)),$D8)&lt;&gt;"",IF($D8="",INDEX(primary_jama_2019_0556_disposition,MATCH($A8,primary_jama_2019_0556_key,0)),$D8)&lt;&gt;"retain"),NOT(OR(IF($E8="",INDEX(primary_jama_2019_0556_domain,MATCH($A8,primary_jama_2019_0556_key,0)),$E8)="protocol_report"))),L8&lt;&gt;"",L8&lt;&gt;"not_applicable")),"CLEAR INACTIVE VALUES",IF(N8="","PENDING",IF(AND(N8&lt;&gt;"agree",LEN(TRIM(O8))=0),"COMMENT NEEDED",IF(F8="yes","CHECKED - see resolution","DRAFT"))))</f>
        <v/>
      </c>
      <c r="H8" s="8">
        <f>IF(OR(AND(IF($D8="",INDEX(primary_jama_2019_0556_disposition,MATCH($A8,primary_jama_2019_0556_key,0)),$D8)&lt;&gt;"",IF($D8="",INDEX(primary_jama_2019_0556_disposition,MATCH($A8,primary_jama_2019_0556_key,0)),$D8)&lt;&gt;"retain"),NOT(OR(IF($E8="",INDEX(primary_jama_2019_0556_domain,MATCH($A8,primary_jama_2019_0556_key,0)),$E8)="statistical_results"))),"not_applicable","")</f>
        <v/>
      </c>
      <c r="I8" s="8">
        <f>IF(OR(AND(IF($D8="",INDEX(primary_jama_2019_0556_disposition,MATCH($A8,primary_jama_2019_0556_key,0)),$D8)&lt;&gt;"",IF($D8="",INDEX(primary_jama_2019_0556_disposition,MATCH($A8,primary_jama_2019_0556_key,0)),$D8)&lt;&gt;"retain"),NOT(OR(IF($E8="",INDEX(primary_jama_2019_0556_domain,MATCH($A8,primary_jama_2019_0556_key,0)),$E8)="statistical_results"))),"not_applicable","")</f>
        <v/>
      </c>
      <c r="J8" s="9">
        <f>IF(OR(AND(IF($D8="",INDEX(primary_jama_2019_0556_disposition,MATCH($A8,primary_jama_2019_0556_key,0)),$D8)&lt;&gt;"",IF($D8="",INDEX(primary_jama_2019_0556_disposition,MATCH($A8,primary_jama_2019_0556_key,0)),$D8)&lt;&gt;"retain"),NOT(OR(IF($E8="",INDEX(primary_jama_2019_0556_domain,MATCH($A8,primary_jama_2019_0556_key,0)),$E8)="statistical_results"))),"not_applicable","")</f>
        <v/>
      </c>
      <c r="K8" s="8">
        <f>IF(OR(AND(IF($D8="",INDEX(primary_jama_2019_0556_disposition,MATCH($A8,primary_jama_2019_0556_key,0)),$D8)&lt;&gt;"",IF($D8="",INDEX(primary_jama_2019_0556_disposition,MATCH($A8,primary_jama_2019_0556_key,0)),$D8)&lt;&gt;"retain"),NOT(OR(IF($E8="",INDEX(primary_jama_2019_0556_domain,MATCH($A8,primary_jama_2019_0556_key,0)),$E8)="report_internal_inconsistency",IF($E8="",INDEX(primary_jama_2019_0556_domain,MATCH($A8,primary_jama_2019_0556_key,0)),$E8)="plan_material"))),"not_applicable","")</f>
        <v/>
      </c>
      <c r="L8" s="9">
        <f>IF(OR(AND(IF($D8="",INDEX(primary_jama_2019_0556_disposition,MATCH($A8,primary_jama_2019_0556_key,0)),$D8)&lt;&gt;"",IF($D8="",INDEX(primary_jama_2019_0556_disposition,MATCH($A8,primary_jama_2019_0556_key,0)),$D8)&lt;&gt;"retain"),NOT(OR(IF($E8="",INDEX(primary_jama_2019_0556_domain,MATCH($A8,primary_jama_2019_0556_key,0)),$E8)="protocol_report"))),"not_applicable","")</f>
        <v/>
      </c>
      <c r="M8" s="2" t="inlineStr">
        <is>
          <t>Disposition: exclude
Review domain: protocol_report
Notes (optional): SYNTHETIC TEST DATA ONLY. Exclude is a placeholder for testing the checker workflow, not a scientific assessment. Do not use this sample in research results.</t>
        </is>
      </c>
      <c r="N8" s="8" t="inlineStr"/>
      <c r="O8" s="10" t="inlineStr"/>
      <c r="P8" s="8" t="inlineStr">
        <is>
          <t>pending</t>
        </is>
      </c>
      <c r="Q8" s="10" t="inlineStr"/>
      <c r="R8" s="11" t="inlineStr"/>
    </row>
    <row r="9" ht="76" customHeight="1">
      <c r="A9" s="3" t="inlineStr">
        <is>
          <t>2019::jama.2019.0556::C008</t>
        </is>
      </c>
      <c r="B9" s="3" t="inlineStr">
        <is>
          <t>Protocol uses incompatible DSM editions for the primary endpoint</t>
        </is>
      </c>
      <c r="C9" s="3" t="inlineStr">
        <is>
          <t>DOC-002 endpoint summary — PDF p. 8; DOC-002 Methods 8.1.1 — PDF p. 28; DOC-001 Primary Outcome — PDF p. 4.</t>
        </is>
      </c>
      <c r="D9" s="8" t="inlineStr"/>
      <c r="E9" s="8" t="inlineStr"/>
      <c r="F9" s="8" t="inlineStr">
        <is>
          <t>no</t>
        </is>
      </c>
      <c r="G9" s="3">
        <f>IF(OR(AND(OR(AND(IF($D9="",INDEX(primary_jama_2019_0556_disposition,MATCH($A9,primary_jama_2019_0556_key,0)),$D9)&lt;&gt;"",IF($D9="",INDEX(primary_jama_2019_0556_disposition,MATCH($A9,primary_jama_2019_0556_key,0)),$D9)&lt;&gt;"retain"),NOT(OR(IF($E9="",INDEX(primary_jama_2019_0556_domain,MATCH($A9,primary_jama_2019_0556_key,0)),$E9)="statistical_results"))),H9&lt;&gt;"",H9&lt;&gt;"not_applicable"),AND(OR(AND(IF($D9="",INDEX(primary_jama_2019_0556_disposition,MATCH($A9,primary_jama_2019_0556_key,0)),$D9)&lt;&gt;"",IF($D9="",INDEX(primary_jama_2019_0556_disposition,MATCH($A9,primary_jama_2019_0556_key,0)),$D9)&lt;&gt;"retain"),NOT(OR(IF($E9="",INDEX(primary_jama_2019_0556_domain,MATCH($A9,primary_jama_2019_0556_key,0)),$E9)="statistical_results"))),I9&lt;&gt;"",I9&lt;&gt;"not_applicable"),AND(OR(AND(IF($D9="",INDEX(primary_jama_2019_0556_disposition,MATCH($A9,primary_jama_2019_0556_key,0)),$D9)&lt;&gt;"",IF($D9="",INDEX(primary_jama_2019_0556_disposition,MATCH($A9,primary_jama_2019_0556_key,0)),$D9)&lt;&gt;"retain"),NOT(OR(IF($E9="",INDEX(primary_jama_2019_0556_domain,MATCH($A9,primary_jama_2019_0556_key,0)),$E9)="statistical_results"))),J9&lt;&gt;"",J9&lt;&gt;"not_applicable"),AND(OR(AND(IF($D9="",INDEX(primary_jama_2019_0556_disposition,MATCH($A9,primary_jama_2019_0556_key,0)),$D9)&lt;&gt;"",IF($D9="",INDEX(primary_jama_2019_0556_disposition,MATCH($A9,primary_jama_2019_0556_key,0)),$D9)&lt;&gt;"retain"),NOT(OR(IF($E9="",INDEX(primary_jama_2019_0556_domain,MATCH($A9,primary_jama_2019_0556_key,0)),$E9)="report_internal_inconsistency",IF($E9="",INDEX(primary_jama_2019_0556_domain,MATCH($A9,primary_jama_2019_0556_key,0)),$E9)="plan_material"))),K9&lt;&gt;"",K9&lt;&gt;"not_applicable"),AND(OR(AND(IF($D9="",INDEX(primary_jama_2019_0556_disposition,MATCH($A9,primary_jama_2019_0556_key,0)),$D9)&lt;&gt;"",IF($D9="",INDEX(primary_jama_2019_0556_disposition,MATCH($A9,primary_jama_2019_0556_key,0)),$D9)&lt;&gt;"retain"),NOT(OR(IF($E9="",INDEX(primary_jama_2019_0556_domain,MATCH($A9,primary_jama_2019_0556_key,0)),$E9)="protocol_report"))),L9&lt;&gt;"",L9&lt;&gt;"not_applicable")),"CLEAR INACTIVE VALUES",IF(N9="","PENDING",IF(AND(N9&lt;&gt;"agree",LEN(TRIM(O9))=0),"COMMENT NEEDED",IF(F9="yes","CHECKED - see resolution","DRAFT"))))</f>
        <v/>
      </c>
      <c r="H9" s="8">
        <f>IF(OR(AND(IF($D9="",INDEX(primary_jama_2019_0556_disposition,MATCH($A9,primary_jama_2019_0556_key,0)),$D9)&lt;&gt;"",IF($D9="",INDEX(primary_jama_2019_0556_disposition,MATCH($A9,primary_jama_2019_0556_key,0)),$D9)&lt;&gt;"retain"),NOT(OR(IF($E9="",INDEX(primary_jama_2019_0556_domain,MATCH($A9,primary_jama_2019_0556_key,0)),$E9)="statistical_results"))),"not_applicable","")</f>
        <v/>
      </c>
      <c r="I9" s="8">
        <f>IF(OR(AND(IF($D9="",INDEX(primary_jama_2019_0556_disposition,MATCH($A9,primary_jama_2019_0556_key,0)),$D9)&lt;&gt;"",IF($D9="",INDEX(primary_jama_2019_0556_disposition,MATCH($A9,primary_jama_2019_0556_key,0)),$D9)&lt;&gt;"retain"),NOT(OR(IF($E9="",INDEX(primary_jama_2019_0556_domain,MATCH($A9,primary_jama_2019_0556_key,0)),$E9)="statistical_results"))),"not_applicable","")</f>
        <v/>
      </c>
      <c r="J9" s="9">
        <f>IF(OR(AND(IF($D9="",INDEX(primary_jama_2019_0556_disposition,MATCH($A9,primary_jama_2019_0556_key,0)),$D9)&lt;&gt;"",IF($D9="",INDEX(primary_jama_2019_0556_disposition,MATCH($A9,primary_jama_2019_0556_key,0)),$D9)&lt;&gt;"retain"),NOT(OR(IF($E9="",INDEX(primary_jama_2019_0556_domain,MATCH($A9,primary_jama_2019_0556_key,0)),$E9)="statistical_results"))),"not_applicable","")</f>
        <v/>
      </c>
      <c r="K9" s="8">
        <f>IF(OR(AND(IF($D9="",INDEX(primary_jama_2019_0556_disposition,MATCH($A9,primary_jama_2019_0556_key,0)),$D9)&lt;&gt;"",IF($D9="",INDEX(primary_jama_2019_0556_disposition,MATCH($A9,primary_jama_2019_0556_key,0)),$D9)&lt;&gt;"retain"),NOT(OR(IF($E9="",INDEX(primary_jama_2019_0556_domain,MATCH($A9,primary_jama_2019_0556_key,0)),$E9)="report_internal_inconsistency",IF($E9="",INDEX(primary_jama_2019_0556_domain,MATCH($A9,primary_jama_2019_0556_key,0)),$E9)="plan_material"))),"not_applicable","")</f>
        <v/>
      </c>
      <c r="L9" s="9">
        <f>IF(OR(AND(IF($D9="",INDEX(primary_jama_2019_0556_disposition,MATCH($A9,primary_jama_2019_0556_key,0)),$D9)&lt;&gt;"",IF($D9="",INDEX(primary_jama_2019_0556_disposition,MATCH($A9,primary_jama_2019_0556_key,0)),$D9)&lt;&gt;"retain"),NOT(OR(IF($E9="",INDEX(primary_jama_2019_0556_domain,MATCH($A9,primary_jama_2019_0556_key,0)),$E9)="protocol_report"))),"not_applicable","")</f>
        <v/>
      </c>
      <c r="M9" s="3" t="inlineStr">
        <is>
          <t>Disposition: exclude
Review domain: plan_material
Notes (optional): SYNTHETIC TEST DATA ONLY. Exclude is a placeholder for testing the checker workflow, not a scientific assessment. Do not use this sample in research results.</t>
        </is>
      </c>
      <c r="N9" s="8" t="inlineStr"/>
      <c r="O9" s="10" t="inlineStr"/>
      <c r="P9" s="8" t="inlineStr">
        <is>
          <t>pending</t>
        </is>
      </c>
      <c r="Q9" s="10" t="inlineStr"/>
      <c r="R9" s="11" t="inlineStr"/>
    </row>
    <row r="10" ht="76" customHeight="1">
      <c r="A10" s="2" t="inlineStr">
        <is>
          <t>2019::jama.2019.0556::C009</t>
        </is>
      </c>
      <c r="B10" s="2" t="inlineStr">
        <is>
          <t>Analysis-plan significance threshold lacks a comparison operator</t>
        </is>
      </c>
      <c r="C10" s="2" t="inlineStr">
        <is>
          <t>DOC-003 statistical analysis plan — PDF p. 3; local interaction rule — PDF p. 5.</t>
        </is>
      </c>
      <c r="D10" s="8" t="inlineStr"/>
      <c r="E10" s="8" t="inlineStr"/>
      <c r="F10" s="8" t="inlineStr">
        <is>
          <t>no</t>
        </is>
      </c>
      <c r="G10" s="2">
        <f>IF(OR(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H10&lt;&gt;"",H10&lt;&gt;"not_applicable"),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I10&lt;&gt;"",I10&lt;&gt;"not_applicable"),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J10&lt;&gt;"",J10&lt;&gt;"not_applicable"),AND(OR(AND(IF($D10="",INDEX(primary_jama_2019_0556_disposition,MATCH($A10,primary_jama_2019_0556_key,0)),$D10)&lt;&gt;"",IF($D10="",INDEX(primary_jama_2019_0556_disposition,MATCH($A10,primary_jama_2019_0556_key,0)),$D10)&lt;&gt;"retain"),NOT(OR(IF($E10="",INDEX(primary_jama_2019_0556_domain,MATCH($A10,primary_jama_2019_0556_key,0)),$E10)="report_internal_inconsistency",IF($E10="",INDEX(primary_jama_2019_0556_domain,MATCH($A10,primary_jama_2019_0556_key,0)),$E10)="plan_material"))),K10&lt;&gt;"",K10&lt;&gt;"not_applicable"),AND(OR(AND(IF($D10="",INDEX(primary_jama_2019_0556_disposition,MATCH($A10,primary_jama_2019_0556_key,0)),$D10)&lt;&gt;"",IF($D10="",INDEX(primary_jama_2019_0556_disposition,MATCH($A10,primary_jama_2019_0556_key,0)),$D10)&lt;&gt;"retain"),NOT(OR(IF($E10="",INDEX(primary_jama_2019_0556_domain,MATCH($A10,primary_jama_2019_0556_key,0)),$E10)="protocol_report"))),L10&lt;&gt;"",L10&lt;&gt;"not_applicable")),"CLEAR INACTIVE VALUES",IF(N10="","PENDING",IF(AND(N10&lt;&gt;"agree",LEN(TRIM(O10))=0),"COMMENT NEEDED",IF(F10="yes","CHECKED - see resolution","DRAFT"))))</f>
        <v/>
      </c>
      <c r="H10" s="8">
        <f>IF(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not_applicable","")</f>
        <v/>
      </c>
      <c r="I10" s="8">
        <f>IF(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not_applicable","")</f>
        <v/>
      </c>
      <c r="J10" s="9">
        <f>IF(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not_applicable","")</f>
        <v/>
      </c>
      <c r="K10" s="8">
        <f>IF(OR(AND(IF($D10="",INDEX(primary_jama_2019_0556_disposition,MATCH($A10,primary_jama_2019_0556_key,0)),$D10)&lt;&gt;"",IF($D10="",INDEX(primary_jama_2019_0556_disposition,MATCH($A10,primary_jama_2019_0556_key,0)),$D10)&lt;&gt;"retain"),NOT(OR(IF($E10="",INDEX(primary_jama_2019_0556_domain,MATCH($A10,primary_jama_2019_0556_key,0)),$E10)="report_internal_inconsistency",IF($E10="",INDEX(primary_jama_2019_0556_domain,MATCH($A10,primary_jama_2019_0556_key,0)),$E10)="plan_material"))),"not_applicable","")</f>
        <v/>
      </c>
      <c r="L10" s="9">
        <f>IF(OR(AND(IF($D10="",INDEX(primary_jama_2019_0556_disposition,MATCH($A10,primary_jama_2019_0556_key,0)),$D10)&lt;&gt;"",IF($D10="",INDEX(primary_jama_2019_0556_disposition,MATCH($A10,primary_jama_2019_0556_key,0)),$D10)&lt;&gt;"retain"),NOT(OR(IF($E10="",INDEX(primary_jama_2019_0556_domain,MATCH($A10,primary_jama_2019_0556_key,0)),$E10)="protocol_report"))),"not_applicable","")</f>
        <v/>
      </c>
      <c r="M10" s="2" t="inlineStr">
        <is>
          <t>Disposition: exclude
Review domain: plan_material
Notes (optional): SYNTHETIC TEST DATA ONLY. Exclude is a placeholder for testing the checker workflow, not a scientific assessment. Do not use this sample in research results.</t>
        </is>
      </c>
      <c r="N10" s="8" t="inlineStr"/>
      <c r="O10" s="10" t="inlineStr"/>
      <c r="P10" s="8" t="inlineStr">
        <is>
          <t>pending</t>
        </is>
      </c>
      <c r="Q10" s="10" t="inlineStr"/>
      <c r="R10" s="11" t="inlineStr"/>
    </row>
  </sheetData>
  <sheetProtection selectLockedCells="0" selectUnlockedCells="0" sheet="1" objects="0" insertRows="1" insertHyperlinks="1" autoFilter="0" scenarios="0" formatColumns="1" deleteColumns="1" insertColumns="1" pivotTables="1" deleteRows="1" formatCells="1" formatRows="1" sort="1"/>
  <autoFilter ref="A1:R10"/>
  <conditionalFormatting sqref="H2">
    <cfRule type="expression" priority="1" dxfId="0" stopIfTrue="1">
      <formula>AND(OR(AND(IF($D2="",INDEX(primary_jama_2019_0556_disposition,MATCH($A2,primary_jama_2019_0556_key,0)),$D2)&lt;&gt;"",IF($D2="",INDEX(primary_jama_2019_0556_disposition,MATCH($A2,primary_jama_2019_0556_key,0)),$D2)&lt;&gt;"retain"),NOT(OR(IF($E2="",INDEX(primary_jama_2019_0556_domain,MATCH($A2,primary_jama_2019_0556_key,0)),$E2)="statistical_results"))),H2&lt;&gt;"",H2&lt;&gt;"not_applicable")</formula>
    </cfRule>
    <cfRule type="expression" priority="2" dxfId="1">
      <formula>OR(AND(IF($D2="",INDEX(primary_jama_2019_0556_disposition,MATCH($A2,primary_jama_2019_0556_key,0)),$D2)&lt;&gt;"",IF($D2="",INDEX(primary_jama_2019_0556_disposition,MATCH($A2,primary_jama_2019_0556_key,0)),$D2)&lt;&gt;"retain"),NOT(OR(IF($E2="",INDEX(primary_jama_2019_0556_domain,MATCH($A2,primary_jama_2019_0556_key,0)),$E2)="statistical_results")))</formula>
    </cfRule>
  </conditionalFormatting>
  <conditionalFormatting sqref="H3">
    <cfRule type="expression" priority="3" dxfId="0" stopIfTrue="1">
      <formula>AND(OR(AND(IF($D3="",INDEX(primary_jama_2019_0556_disposition,MATCH($A3,primary_jama_2019_0556_key,0)),$D3)&lt;&gt;"",IF($D3="",INDEX(primary_jama_2019_0556_disposition,MATCH($A3,primary_jama_2019_0556_key,0)),$D3)&lt;&gt;"retain"),NOT(OR(IF($E3="",INDEX(primary_jama_2019_0556_domain,MATCH($A3,primary_jama_2019_0556_key,0)),$E3)="statistical_results"))),H3&lt;&gt;"",H3&lt;&gt;"not_applicable")</formula>
    </cfRule>
    <cfRule type="expression" priority="4" dxfId="1">
      <formula>OR(AND(IF($D3="",INDEX(primary_jama_2019_0556_disposition,MATCH($A3,primary_jama_2019_0556_key,0)),$D3)&lt;&gt;"",IF($D3="",INDEX(primary_jama_2019_0556_disposition,MATCH($A3,primary_jama_2019_0556_key,0)),$D3)&lt;&gt;"retain"),NOT(OR(IF($E3="",INDEX(primary_jama_2019_0556_domain,MATCH($A3,primary_jama_2019_0556_key,0)),$E3)="statistical_results")))</formula>
    </cfRule>
  </conditionalFormatting>
  <conditionalFormatting sqref="H4">
    <cfRule type="expression" priority="5" dxfId="0" stopIfTrue="1">
      <formula>AND(OR(AND(IF($D4="",INDEX(primary_jama_2019_0556_disposition,MATCH($A4,primary_jama_2019_0556_key,0)),$D4)&lt;&gt;"",IF($D4="",INDEX(primary_jama_2019_0556_disposition,MATCH($A4,primary_jama_2019_0556_key,0)),$D4)&lt;&gt;"retain"),NOT(OR(IF($E4="",INDEX(primary_jama_2019_0556_domain,MATCH($A4,primary_jama_2019_0556_key,0)),$E4)="statistical_results"))),H4&lt;&gt;"",H4&lt;&gt;"not_applicable")</formula>
    </cfRule>
    <cfRule type="expression" priority="6" dxfId="1">
      <formula>OR(AND(IF($D4="",INDEX(primary_jama_2019_0556_disposition,MATCH($A4,primary_jama_2019_0556_key,0)),$D4)&lt;&gt;"",IF($D4="",INDEX(primary_jama_2019_0556_disposition,MATCH($A4,primary_jama_2019_0556_key,0)),$D4)&lt;&gt;"retain"),NOT(OR(IF($E4="",INDEX(primary_jama_2019_0556_domain,MATCH($A4,primary_jama_2019_0556_key,0)),$E4)="statistical_results")))</formula>
    </cfRule>
  </conditionalFormatting>
  <conditionalFormatting sqref="H5">
    <cfRule type="expression" priority="7" dxfId="0" stopIfTrue="1">
      <formula>AND(OR(AND(IF($D5="",INDEX(primary_jama_2019_0556_disposition,MATCH($A5,primary_jama_2019_0556_key,0)),$D5)&lt;&gt;"",IF($D5="",INDEX(primary_jama_2019_0556_disposition,MATCH($A5,primary_jama_2019_0556_key,0)),$D5)&lt;&gt;"retain"),NOT(OR(IF($E5="",INDEX(primary_jama_2019_0556_domain,MATCH($A5,primary_jama_2019_0556_key,0)),$E5)="statistical_results"))),H5&lt;&gt;"",H5&lt;&gt;"not_applicable")</formula>
    </cfRule>
    <cfRule type="expression" priority="8" dxfId="1">
      <formula>OR(AND(IF($D5="",INDEX(primary_jama_2019_0556_disposition,MATCH($A5,primary_jama_2019_0556_key,0)),$D5)&lt;&gt;"",IF($D5="",INDEX(primary_jama_2019_0556_disposition,MATCH($A5,primary_jama_2019_0556_key,0)),$D5)&lt;&gt;"retain"),NOT(OR(IF($E5="",INDEX(primary_jama_2019_0556_domain,MATCH($A5,primary_jama_2019_0556_key,0)),$E5)="statistical_results")))</formula>
    </cfRule>
  </conditionalFormatting>
  <conditionalFormatting sqref="H6">
    <cfRule type="expression" priority="9" dxfId="0" stopIfTrue="1">
      <formula>AND(OR(AND(IF($D6="",INDEX(primary_jama_2019_0556_disposition,MATCH($A6,primary_jama_2019_0556_key,0)),$D6)&lt;&gt;"",IF($D6="",INDEX(primary_jama_2019_0556_disposition,MATCH($A6,primary_jama_2019_0556_key,0)),$D6)&lt;&gt;"retain"),NOT(OR(IF($E6="",INDEX(primary_jama_2019_0556_domain,MATCH($A6,primary_jama_2019_0556_key,0)),$E6)="statistical_results"))),H6&lt;&gt;"",H6&lt;&gt;"not_applicable")</formula>
    </cfRule>
    <cfRule type="expression" priority="10" dxfId="1">
      <formula>OR(AND(IF($D6="",INDEX(primary_jama_2019_0556_disposition,MATCH($A6,primary_jama_2019_0556_key,0)),$D6)&lt;&gt;"",IF($D6="",INDEX(primary_jama_2019_0556_disposition,MATCH($A6,primary_jama_2019_0556_key,0)),$D6)&lt;&gt;"retain"),NOT(OR(IF($E6="",INDEX(primary_jama_2019_0556_domain,MATCH($A6,primary_jama_2019_0556_key,0)),$E6)="statistical_results")))</formula>
    </cfRule>
  </conditionalFormatting>
  <conditionalFormatting sqref="H7">
    <cfRule type="expression" priority="11" dxfId="0" stopIfTrue="1">
      <formula>AND(OR(AND(IF($D7="",INDEX(primary_jama_2019_0556_disposition,MATCH($A7,primary_jama_2019_0556_key,0)),$D7)&lt;&gt;"",IF($D7="",INDEX(primary_jama_2019_0556_disposition,MATCH($A7,primary_jama_2019_0556_key,0)),$D7)&lt;&gt;"retain"),NOT(OR(IF($E7="",INDEX(primary_jama_2019_0556_domain,MATCH($A7,primary_jama_2019_0556_key,0)),$E7)="statistical_results"))),H7&lt;&gt;"",H7&lt;&gt;"not_applicable")</formula>
    </cfRule>
    <cfRule type="expression" priority="12" dxfId="1">
      <formula>OR(AND(IF($D7="",INDEX(primary_jama_2019_0556_disposition,MATCH($A7,primary_jama_2019_0556_key,0)),$D7)&lt;&gt;"",IF($D7="",INDEX(primary_jama_2019_0556_disposition,MATCH($A7,primary_jama_2019_0556_key,0)),$D7)&lt;&gt;"retain"),NOT(OR(IF($E7="",INDEX(primary_jama_2019_0556_domain,MATCH($A7,primary_jama_2019_0556_key,0)),$E7)="statistical_results")))</formula>
    </cfRule>
  </conditionalFormatting>
  <conditionalFormatting sqref="H8">
    <cfRule type="expression" priority="13" dxfId="0" stopIfTrue="1">
      <formula>AND(OR(AND(IF($D8="",INDEX(primary_jama_2019_0556_disposition,MATCH($A8,primary_jama_2019_0556_key,0)),$D8)&lt;&gt;"",IF($D8="",INDEX(primary_jama_2019_0556_disposition,MATCH($A8,primary_jama_2019_0556_key,0)),$D8)&lt;&gt;"retain"),NOT(OR(IF($E8="",INDEX(primary_jama_2019_0556_domain,MATCH($A8,primary_jama_2019_0556_key,0)),$E8)="statistical_results"))),H8&lt;&gt;"",H8&lt;&gt;"not_applicable")</formula>
    </cfRule>
    <cfRule type="expression" priority="14" dxfId="1">
      <formula>OR(AND(IF($D8="",INDEX(primary_jama_2019_0556_disposition,MATCH($A8,primary_jama_2019_0556_key,0)),$D8)&lt;&gt;"",IF($D8="",INDEX(primary_jama_2019_0556_disposition,MATCH($A8,primary_jama_2019_0556_key,0)),$D8)&lt;&gt;"retain"),NOT(OR(IF($E8="",INDEX(primary_jama_2019_0556_domain,MATCH($A8,primary_jama_2019_0556_key,0)),$E8)="statistical_results")))</formula>
    </cfRule>
  </conditionalFormatting>
  <conditionalFormatting sqref="H9">
    <cfRule type="expression" priority="15" dxfId="0" stopIfTrue="1">
      <formula>AND(OR(AND(IF($D9="",INDEX(primary_jama_2019_0556_disposition,MATCH($A9,primary_jama_2019_0556_key,0)),$D9)&lt;&gt;"",IF($D9="",INDEX(primary_jama_2019_0556_disposition,MATCH($A9,primary_jama_2019_0556_key,0)),$D9)&lt;&gt;"retain"),NOT(OR(IF($E9="",INDEX(primary_jama_2019_0556_domain,MATCH($A9,primary_jama_2019_0556_key,0)),$E9)="statistical_results"))),H9&lt;&gt;"",H9&lt;&gt;"not_applicable")</formula>
    </cfRule>
    <cfRule type="expression" priority="16" dxfId="1">
      <formula>OR(AND(IF($D9="",INDEX(primary_jama_2019_0556_disposition,MATCH($A9,primary_jama_2019_0556_key,0)),$D9)&lt;&gt;"",IF($D9="",INDEX(primary_jama_2019_0556_disposition,MATCH($A9,primary_jama_2019_0556_key,0)),$D9)&lt;&gt;"retain"),NOT(OR(IF($E9="",INDEX(primary_jama_2019_0556_domain,MATCH($A9,primary_jama_2019_0556_key,0)),$E9)="statistical_results")))</formula>
    </cfRule>
  </conditionalFormatting>
  <conditionalFormatting sqref="H10">
    <cfRule type="expression" priority="17" dxfId="0" stopIfTrue="1">
      <formula>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H10&lt;&gt;"",H10&lt;&gt;"not_applicable")</formula>
    </cfRule>
    <cfRule type="expression" priority="18" dxfId="1">
      <formula>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formula>
    </cfRule>
  </conditionalFormatting>
  <conditionalFormatting sqref="I2">
    <cfRule type="expression" priority="19" dxfId="0" stopIfTrue="1">
      <formula>AND(OR(AND(IF($D2="",INDEX(primary_jama_2019_0556_disposition,MATCH($A2,primary_jama_2019_0556_key,0)),$D2)&lt;&gt;"",IF($D2="",INDEX(primary_jama_2019_0556_disposition,MATCH($A2,primary_jama_2019_0556_key,0)),$D2)&lt;&gt;"retain"),NOT(OR(IF($E2="",INDEX(primary_jama_2019_0556_domain,MATCH($A2,primary_jama_2019_0556_key,0)),$E2)="statistical_results"))),I2&lt;&gt;"",I2&lt;&gt;"not_applicable")</formula>
    </cfRule>
    <cfRule type="expression" priority="20" dxfId="1">
      <formula>OR(AND(IF($D2="",INDEX(primary_jama_2019_0556_disposition,MATCH($A2,primary_jama_2019_0556_key,0)),$D2)&lt;&gt;"",IF($D2="",INDEX(primary_jama_2019_0556_disposition,MATCH($A2,primary_jama_2019_0556_key,0)),$D2)&lt;&gt;"retain"),NOT(OR(IF($E2="",INDEX(primary_jama_2019_0556_domain,MATCH($A2,primary_jama_2019_0556_key,0)),$E2)="statistical_results")))</formula>
    </cfRule>
  </conditionalFormatting>
  <conditionalFormatting sqref="I3">
    <cfRule type="expression" priority="21" dxfId="0" stopIfTrue="1">
      <formula>AND(OR(AND(IF($D3="",INDEX(primary_jama_2019_0556_disposition,MATCH($A3,primary_jama_2019_0556_key,0)),$D3)&lt;&gt;"",IF($D3="",INDEX(primary_jama_2019_0556_disposition,MATCH($A3,primary_jama_2019_0556_key,0)),$D3)&lt;&gt;"retain"),NOT(OR(IF($E3="",INDEX(primary_jama_2019_0556_domain,MATCH($A3,primary_jama_2019_0556_key,0)),$E3)="statistical_results"))),I3&lt;&gt;"",I3&lt;&gt;"not_applicable")</formula>
    </cfRule>
    <cfRule type="expression" priority="22" dxfId="1">
      <formula>OR(AND(IF($D3="",INDEX(primary_jama_2019_0556_disposition,MATCH($A3,primary_jama_2019_0556_key,0)),$D3)&lt;&gt;"",IF($D3="",INDEX(primary_jama_2019_0556_disposition,MATCH($A3,primary_jama_2019_0556_key,0)),$D3)&lt;&gt;"retain"),NOT(OR(IF($E3="",INDEX(primary_jama_2019_0556_domain,MATCH($A3,primary_jama_2019_0556_key,0)),$E3)="statistical_results")))</formula>
    </cfRule>
  </conditionalFormatting>
  <conditionalFormatting sqref="I4">
    <cfRule type="expression" priority="23" dxfId="0" stopIfTrue="1">
      <formula>AND(OR(AND(IF($D4="",INDEX(primary_jama_2019_0556_disposition,MATCH($A4,primary_jama_2019_0556_key,0)),$D4)&lt;&gt;"",IF($D4="",INDEX(primary_jama_2019_0556_disposition,MATCH($A4,primary_jama_2019_0556_key,0)),$D4)&lt;&gt;"retain"),NOT(OR(IF($E4="",INDEX(primary_jama_2019_0556_domain,MATCH($A4,primary_jama_2019_0556_key,0)),$E4)="statistical_results"))),I4&lt;&gt;"",I4&lt;&gt;"not_applicable")</formula>
    </cfRule>
    <cfRule type="expression" priority="24" dxfId="1">
      <formula>OR(AND(IF($D4="",INDEX(primary_jama_2019_0556_disposition,MATCH($A4,primary_jama_2019_0556_key,0)),$D4)&lt;&gt;"",IF($D4="",INDEX(primary_jama_2019_0556_disposition,MATCH($A4,primary_jama_2019_0556_key,0)),$D4)&lt;&gt;"retain"),NOT(OR(IF($E4="",INDEX(primary_jama_2019_0556_domain,MATCH($A4,primary_jama_2019_0556_key,0)),$E4)="statistical_results")))</formula>
    </cfRule>
  </conditionalFormatting>
  <conditionalFormatting sqref="I5">
    <cfRule type="expression" priority="25" dxfId="0" stopIfTrue="1">
      <formula>AND(OR(AND(IF($D5="",INDEX(primary_jama_2019_0556_disposition,MATCH($A5,primary_jama_2019_0556_key,0)),$D5)&lt;&gt;"",IF($D5="",INDEX(primary_jama_2019_0556_disposition,MATCH($A5,primary_jama_2019_0556_key,0)),$D5)&lt;&gt;"retain"),NOT(OR(IF($E5="",INDEX(primary_jama_2019_0556_domain,MATCH($A5,primary_jama_2019_0556_key,0)),$E5)="statistical_results"))),I5&lt;&gt;"",I5&lt;&gt;"not_applicable")</formula>
    </cfRule>
    <cfRule type="expression" priority="26" dxfId="1">
      <formula>OR(AND(IF($D5="",INDEX(primary_jama_2019_0556_disposition,MATCH($A5,primary_jama_2019_0556_key,0)),$D5)&lt;&gt;"",IF($D5="",INDEX(primary_jama_2019_0556_disposition,MATCH($A5,primary_jama_2019_0556_key,0)),$D5)&lt;&gt;"retain"),NOT(OR(IF($E5="",INDEX(primary_jama_2019_0556_domain,MATCH($A5,primary_jama_2019_0556_key,0)),$E5)="statistical_results")))</formula>
    </cfRule>
  </conditionalFormatting>
  <conditionalFormatting sqref="I6">
    <cfRule type="expression" priority="27" dxfId="0" stopIfTrue="1">
      <formula>AND(OR(AND(IF($D6="",INDEX(primary_jama_2019_0556_disposition,MATCH($A6,primary_jama_2019_0556_key,0)),$D6)&lt;&gt;"",IF($D6="",INDEX(primary_jama_2019_0556_disposition,MATCH($A6,primary_jama_2019_0556_key,0)),$D6)&lt;&gt;"retain"),NOT(OR(IF($E6="",INDEX(primary_jama_2019_0556_domain,MATCH($A6,primary_jama_2019_0556_key,0)),$E6)="statistical_results"))),I6&lt;&gt;"",I6&lt;&gt;"not_applicable")</formula>
    </cfRule>
    <cfRule type="expression" priority="28" dxfId="1">
      <formula>OR(AND(IF($D6="",INDEX(primary_jama_2019_0556_disposition,MATCH($A6,primary_jama_2019_0556_key,0)),$D6)&lt;&gt;"",IF($D6="",INDEX(primary_jama_2019_0556_disposition,MATCH($A6,primary_jama_2019_0556_key,0)),$D6)&lt;&gt;"retain"),NOT(OR(IF($E6="",INDEX(primary_jama_2019_0556_domain,MATCH($A6,primary_jama_2019_0556_key,0)),$E6)="statistical_results")))</formula>
    </cfRule>
  </conditionalFormatting>
  <conditionalFormatting sqref="I7">
    <cfRule type="expression" priority="29" dxfId="0" stopIfTrue="1">
      <formula>AND(OR(AND(IF($D7="",INDEX(primary_jama_2019_0556_disposition,MATCH($A7,primary_jama_2019_0556_key,0)),$D7)&lt;&gt;"",IF($D7="",INDEX(primary_jama_2019_0556_disposition,MATCH($A7,primary_jama_2019_0556_key,0)),$D7)&lt;&gt;"retain"),NOT(OR(IF($E7="",INDEX(primary_jama_2019_0556_domain,MATCH($A7,primary_jama_2019_0556_key,0)),$E7)="statistical_results"))),I7&lt;&gt;"",I7&lt;&gt;"not_applicable")</formula>
    </cfRule>
    <cfRule type="expression" priority="30" dxfId="1">
      <formula>OR(AND(IF($D7="",INDEX(primary_jama_2019_0556_disposition,MATCH($A7,primary_jama_2019_0556_key,0)),$D7)&lt;&gt;"",IF($D7="",INDEX(primary_jama_2019_0556_disposition,MATCH($A7,primary_jama_2019_0556_key,0)),$D7)&lt;&gt;"retain"),NOT(OR(IF($E7="",INDEX(primary_jama_2019_0556_domain,MATCH($A7,primary_jama_2019_0556_key,0)),$E7)="statistical_results")))</formula>
    </cfRule>
  </conditionalFormatting>
  <conditionalFormatting sqref="I8">
    <cfRule type="expression" priority="31" dxfId="0" stopIfTrue="1">
      <formula>AND(OR(AND(IF($D8="",INDEX(primary_jama_2019_0556_disposition,MATCH($A8,primary_jama_2019_0556_key,0)),$D8)&lt;&gt;"",IF($D8="",INDEX(primary_jama_2019_0556_disposition,MATCH($A8,primary_jama_2019_0556_key,0)),$D8)&lt;&gt;"retain"),NOT(OR(IF($E8="",INDEX(primary_jama_2019_0556_domain,MATCH($A8,primary_jama_2019_0556_key,0)),$E8)="statistical_results"))),I8&lt;&gt;"",I8&lt;&gt;"not_applicable")</formula>
    </cfRule>
    <cfRule type="expression" priority="32" dxfId="1">
      <formula>OR(AND(IF($D8="",INDEX(primary_jama_2019_0556_disposition,MATCH($A8,primary_jama_2019_0556_key,0)),$D8)&lt;&gt;"",IF($D8="",INDEX(primary_jama_2019_0556_disposition,MATCH($A8,primary_jama_2019_0556_key,0)),$D8)&lt;&gt;"retain"),NOT(OR(IF($E8="",INDEX(primary_jama_2019_0556_domain,MATCH($A8,primary_jama_2019_0556_key,0)),$E8)="statistical_results")))</formula>
    </cfRule>
  </conditionalFormatting>
  <conditionalFormatting sqref="I9">
    <cfRule type="expression" priority="33" dxfId="0" stopIfTrue="1">
      <formula>AND(OR(AND(IF($D9="",INDEX(primary_jama_2019_0556_disposition,MATCH($A9,primary_jama_2019_0556_key,0)),$D9)&lt;&gt;"",IF($D9="",INDEX(primary_jama_2019_0556_disposition,MATCH($A9,primary_jama_2019_0556_key,0)),$D9)&lt;&gt;"retain"),NOT(OR(IF($E9="",INDEX(primary_jama_2019_0556_domain,MATCH($A9,primary_jama_2019_0556_key,0)),$E9)="statistical_results"))),I9&lt;&gt;"",I9&lt;&gt;"not_applicable")</formula>
    </cfRule>
    <cfRule type="expression" priority="34" dxfId="1">
      <formula>OR(AND(IF($D9="",INDEX(primary_jama_2019_0556_disposition,MATCH($A9,primary_jama_2019_0556_key,0)),$D9)&lt;&gt;"",IF($D9="",INDEX(primary_jama_2019_0556_disposition,MATCH($A9,primary_jama_2019_0556_key,0)),$D9)&lt;&gt;"retain"),NOT(OR(IF($E9="",INDEX(primary_jama_2019_0556_domain,MATCH($A9,primary_jama_2019_0556_key,0)),$E9)="statistical_results")))</formula>
    </cfRule>
  </conditionalFormatting>
  <conditionalFormatting sqref="I10">
    <cfRule type="expression" priority="35" dxfId="0" stopIfTrue="1">
      <formula>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I10&lt;&gt;"",I10&lt;&gt;"not_applicable")</formula>
    </cfRule>
    <cfRule type="expression" priority="36" dxfId="1">
      <formula>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formula>
    </cfRule>
  </conditionalFormatting>
  <conditionalFormatting sqref="J2">
    <cfRule type="expression" priority="37" dxfId="0" stopIfTrue="1">
      <formula>AND(OR(AND(IF($D2="",INDEX(primary_jama_2019_0556_disposition,MATCH($A2,primary_jama_2019_0556_key,0)),$D2)&lt;&gt;"",IF($D2="",INDEX(primary_jama_2019_0556_disposition,MATCH($A2,primary_jama_2019_0556_key,0)),$D2)&lt;&gt;"retain"),NOT(OR(IF($E2="",INDEX(primary_jama_2019_0556_domain,MATCH($A2,primary_jama_2019_0556_key,0)),$E2)="statistical_results"))),J2&lt;&gt;"",J2&lt;&gt;"not_applicable")</formula>
    </cfRule>
    <cfRule type="expression" priority="38" dxfId="1">
      <formula>OR(AND(IF($D2="",INDEX(primary_jama_2019_0556_disposition,MATCH($A2,primary_jama_2019_0556_key,0)),$D2)&lt;&gt;"",IF($D2="",INDEX(primary_jama_2019_0556_disposition,MATCH($A2,primary_jama_2019_0556_key,0)),$D2)&lt;&gt;"retain"),NOT(OR(IF($E2="",INDEX(primary_jama_2019_0556_domain,MATCH($A2,primary_jama_2019_0556_key,0)),$E2)="statistical_results")))</formula>
    </cfRule>
  </conditionalFormatting>
  <conditionalFormatting sqref="J3">
    <cfRule type="expression" priority="39" dxfId="0" stopIfTrue="1">
      <formula>AND(OR(AND(IF($D3="",INDEX(primary_jama_2019_0556_disposition,MATCH($A3,primary_jama_2019_0556_key,0)),$D3)&lt;&gt;"",IF($D3="",INDEX(primary_jama_2019_0556_disposition,MATCH($A3,primary_jama_2019_0556_key,0)),$D3)&lt;&gt;"retain"),NOT(OR(IF($E3="",INDEX(primary_jama_2019_0556_domain,MATCH($A3,primary_jama_2019_0556_key,0)),$E3)="statistical_results"))),J3&lt;&gt;"",J3&lt;&gt;"not_applicable")</formula>
    </cfRule>
    <cfRule type="expression" priority="40" dxfId="1">
      <formula>OR(AND(IF($D3="",INDEX(primary_jama_2019_0556_disposition,MATCH($A3,primary_jama_2019_0556_key,0)),$D3)&lt;&gt;"",IF($D3="",INDEX(primary_jama_2019_0556_disposition,MATCH($A3,primary_jama_2019_0556_key,0)),$D3)&lt;&gt;"retain"),NOT(OR(IF($E3="",INDEX(primary_jama_2019_0556_domain,MATCH($A3,primary_jama_2019_0556_key,0)),$E3)="statistical_results")))</formula>
    </cfRule>
  </conditionalFormatting>
  <conditionalFormatting sqref="J4">
    <cfRule type="expression" priority="41" dxfId="0" stopIfTrue="1">
      <formula>AND(OR(AND(IF($D4="",INDEX(primary_jama_2019_0556_disposition,MATCH($A4,primary_jama_2019_0556_key,0)),$D4)&lt;&gt;"",IF($D4="",INDEX(primary_jama_2019_0556_disposition,MATCH($A4,primary_jama_2019_0556_key,0)),$D4)&lt;&gt;"retain"),NOT(OR(IF($E4="",INDEX(primary_jama_2019_0556_domain,MATCH($A4,primary_jama_2019_0556_key,0)),$E4)="statistical_results"))),J4&lt;&gt;"",J4&lt;&gt;"not_applicable")</formula>
    </cfRule>
    <cfRule type="expression" priority="42" dxfId="1">
      <formula>OR(AND(IF($D4="",INDEX(primary_jama_2019_0556_disposition,MATCH($A4,primary_jama_2019_0556_key,0)),$D4)&lt;&gt;"",IF($D4="",INDEX(primary_jama_2019_0556_disposition,MATCH($A4,primary_jama_2019_0556_key,0)),$D4)&lt;&gt;"retain"),NOT(OR(IF($E4="",INDEX(primary_jama_2019_0556_domain,MATCH($A4,primary_jama_2019_0556_key,0)),$E4)="statistical_results")))</formula>
    </cfRule>
  </conditionalFormatting>
  <conditionalFormatting sqref="J5">
    <cfRule type="expression" priority="43" dxfId="0" stopIfTrue="1">
      <formula>AND(OR(AND(IF($D5="",INDEX(primary_jama_2019_0556_disposition,MATCH($A5,primary_jama_2019_0556_key,0)),$D5)&lt;&gt;"",IF($D5="",INDEX(primary_jama_2019_0556_disposition,MATCH($A5,primary_jama_2019_0556_key,0)),$D5)&lt;&gt;"retain"),NOT(OR(IF($E5="",INDEX(primary_jama_2019_0556_domain,MATCH($A5,primary_jama_2019_0556_key,0)),$E5)="statistical_results"))),J5&lt;&gt;"",J5&lt;&gt;"not_applicable")</formula>
    </cfRule>
    <cfRule type="expression" priority="44" dxfId="1">
      <formula>OR(AND(IF($D5="",INDEX(primary_jama_2019_0556_disposition,MATCH($A5,primary_jama_2019_0556_key,0)),$D5)&lt;&gt;"",IF($D5="",INDEX(primary_jama_2019_0556_disposition,MATCH($A5,primary_jama_2019_0556_key,0)),$D5)&lt;&gt;"retain"),NOT(OR(IF($E5="",INDEX(primary_jama_2019_0556_domain,MATCH($A5,primary_jama_2019_0556_key,0)),$E5)="statistical_results")))</formula>
    </cfRule>
  </conditionalFormatting>
  <conditionalFormatting sqref="J6">
    <cfRule type="expression" priority="45" dxfId="0" stopIfTrue="1">
      <formula>AND(OR(AND(IF($D6="",INDEX(primary_jama_2019_0556_disposition,MATCH($A6,primary_jama_2019_0556_key,0)),$D6)&lt;&gt;"",IF($D6="",INDEX(primary_jama_2019_0556_disposition,MATCH($A6,primary_jama_2019_0556_key,0)),$D6)&lt;&gt;"retain"),NOT(OR(IF($E6="",INDEX(primary_jama_2019_0556_domain,MATCH($A6,primary_jama_2019_0556_key,0)),$E6)="statistical_results"))),J6&lt;&gt;"",J6&lt;&gt;"not_applicable")</formula>
    </cfRule>
    <cfRule type="expression" priority="46" dxfId="1">
      <formula>OR(AND(IF($D6="",INDEX(primary_jama_2019_0556_disposition,MATCH($A6,primary_jama_2019_0556_key,0)),$D6)&lt;&gt;"",IF($D6="",INDEX(primary_jama_2019_0556_disposition,MATCH($A6,primary_jama_2019_0556_key,0)),$D6)&lt;&gt;"retain"),NOT(OR(IF($E6="",INDEX(primary_jama_2019_0556_domain,MATCH($A6,primary_jama_2019_0556_key,0)),$E6)="statistical_results")))</formula>
    </cfRule>
  </conditionalFormatting>
  <conditionalFormatting sqref="J7">
    <cfRule type="expression" priority="47" dxfId="0" stopIfTrue="1">
      <formula>AND(OR(AND(IF($D7="",INDEX(primary_jama_2019_0556_disposition,MATCH($A7,primary_jama_2019_0556_key,0)),$D7)&lt;&gt;"",IF($D7="",INDEX(primary_jama_2019_0556_disposition,MATCH($A7,primary_jama_2019_0556_key,0)),$D7)&lt;&gt;"retain"),NOT(OR(IF($E7="",INDEX(primary_jama_2019_0556_domain,MATCH($A7,primary_jama_2019_0556_key,0)),$E7)="statistical_results"))),J7&lt;&gt;"",J7&lt;&gt;"not_applicable")</formula>
    </cfRule>
    <cfRule type="expression" priority="48" dxfId="1">
      <formula>OR(AND(IF($D7="",INDEX(primary_jama_2019_0556_disposition,MATCH($A7,primary_jama_2019_0556_key,0)),$D7)&lt;&gt;"",IF($D7="",INDEX(primary_jama_2019_0556_disposition,MATCH($A7,primary_jama_2019_0556_key,0)),$D7)&lt;&gt;"retain"),NOT(OR(IF($E7="",INDEX(primary_jama_2019_0556_domain,MATCH($A7,primary_jama_2019_0556_key,0)),$E7)="statistical_results")))</formula>
    </cfRule>
  </conditionalFormatting>
  <conditionalFormatting sqref="J8">
    <cfRule type="expression" priority="49" dxfId="0" stopIfTrue="1">
      <formula>AND(OR(AND(IF($D8="",INDEX(primary_jama_2019_0556_disposition,MATCH($A8,primary_jama_2019_0556_key,0)),$D8)&lt;&gt;"",IF($D8="",INDEX(primary_jama_2019_0556_disposition,MATCH($A8,primary_jama_2019_0556_key,0)),$D8)&lt;&gt;"retain"),NOT(OR(IF($E8="",INDEX(primary_jama_2019_0556_domain,MATCH($A8,primary_jama_2019_0556_key,0)),$E8)="statistical_results"))),J8&lt;&gt;"",J8&lt;&gt;"not_applicable")</formula>
    </cfRule>
    <cfRule type="expression" priority="50" dxfId="1">
      <formula>OR(AND(IF($D8="",INDEX(primary_jama_2019_0556_disposition,MATCH($A8,primary_jama_2019_0556_key,0)),$D8)&lt;&gt;"",IF($D8="",INDEX(primary_jama_2019_0556_disposition,MATCH($A8,primary_jama_2019_0556_key,0)),$D8)&lt;&gt;"retain"),NOT(OR(IF($E8="",INDEX(primary_jama_2019_0556_domain,MATCH($A8,primary_jama_2019_0556_key,0)),$E8)="statistical_results")))</formula>
    </cfRule>
  </conditionalFormatting>
  <conditionalFormatting sqref="J9">
    <cfRule type="expression" priority="51" dxfId="0" stopIfTrue="1">
      <formula>AND(OR(AND(IF($D9="",INDEX(primary_jama_2019_0556_disposition,MATCH($A9,primary_jama_2019_0556_key,0)),$D9)&lt;&gt;"",IF($D9="",INDEX(primary_jama_2019_0556_disposition,MATCH($A9,primary_jama_2019_0556_key,0)),$D9)&lt;&gt;"retain"),NOT(OR(IF($E9="",INDEX(primary_jama_2019_0556_domain,MATCH($A9,primary_jama_2019_0556_key,0)),$E9)="statistical_results"))),J9&lt;&gt;"",J9&lt;&gt;"not_applicable")</formula>
    </cfRule>
    <cfRule type="expression" priority="52" dxfId="1">
      <formula>OR(AND(IF($D9="",INDEX(primary_jama_2019_0556_disposition,MATCH($A9,primary_jama_2019_0556_key,0)),$D9)&lt;&gt;"",IF($D9="",INDEX(primary_jama_2019_0556_disposition,MATCH($A9,primary_jama_2019_0556_key,0)),$D9)&lt;&gt;"retain"),NOT(OR(IF($E9="",INDEX(primary_jama_2019_0556_domain,MATCH($A9,primary_jama_2019_0556_key,0)),$E9)="statistical_results")))</formula>
    </cfRule>
  </conditionalFormatting>
  <conditionalFormatting sqref="J10">
    <cfRule type="expression" priority="53" dxfId="0" stopIfTrue="1">
      <formula>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J10&lt;&gt;"",J10&lt;&gt;"not_applicable")</formula>
    </cfRule>
    <cfRule type="expression" priority="54" dxfId="1">
      <formula>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formula>
    </cfRule>
  </conditionalFormatting>
  <conditionalFormatting sqref="K2">
    <cfRule type="expression" priority="55" dxfId="0" stopIfTrue="1">
      <formula>AND(OR(AND(IF($D2="",INDEX(primary_jama_2019_0556_disposition,MATCH($A2,primary_jama_2019_0556_key,0)),$D2)&lt;&gt;"",IF($D2="",INDEX(primary_jama_2019_0556_disposition,MATCH($A2,primary_jama_2019_0556_key,0)),$D2)&lt;&gt;"retain"),NOT(OR(IF($E2="",INDEX(primary_jama_2019_0556_domain,MATCH($A2,primary_jama_2019_0556_key,0)),$E2)="report_internal_inconsistency",IF($E2="",INDEX(primary_jama_2019_0556_domain,MATCH($A2,primary_jama_2019_0556_key,0)),$E2)="plan_material"))),K2&lt;&gt;"",K2&lt;&gt;"not_applicable")</formula>
    </cfRule>
    <cfRule type="expression" priority="56" dxfId="1">
      <formula>OR(AND(IF($D2="",INDEX(primary_jama_2019_0556_disposition,MATCH($A2,primary_jama_2019_0556_key,0)),$D2)&lt;&gt;"",IF($D2="",INDEX(primary_jama_2019_0556_disposition,MATCH($A2,primary_jama_2019_0556_key,0)),$D2)&lt;&gt;"retain"),NOT(OR(IF($E2="",INDEX(primary_jama_2019_0556_domain,MATCH($A2,primary_jama_2019_0556_key,0)),$E2)="report_internal_inconsistency",IF($E2="",INDEX(primary_jama_2019_0556_domain,MATCH($A2,primary_jama_2019_0556_key,0)),$E2)="plan_material")))</formula>
    </cfRule>
  </conditionalFormatting>
  <conditionalFormatting sqref="K3">
    <cfRule type="expression" priority="57" dxfId="0" stopIfTrue="1">
      <formula>AND(OR(AND(IF($D3="",INDEX(primary_jama_2019_0556_disposition,MATCH($A3,primary_jama_2019_0556_key,0)),$D3)&lt;&gt;"",IF($D3="",INDEX(primary_jama_2019_0556_disposition,MATCH($A3,primary_jama_2019_0556_key,0)),$D3)&lt;&gt;"retain"),NOT(OR(IF($E3="",INDEX(primary_jama_2019_0556_domain,MATCH($A3,primary_jama_2019_0556_key,0)),$E3)="report_internal_inconsistency",IF($E3="",INDEX(primary_jama_2019_0556_domain,MATCH($A3,primary_jama_2019_0556_key,0)),$E3)="plan_material"))),K3&lt;&gt;"",K3&lt;&gt;"not_applicable")</formula>
    </cfRule>
    <cfRule type="expression" priority="58" dxfId="1">
      <formula>OR(AND(IF($D3="",INDEX(primary_jama_2019_0556_disposition,MATCH($A3,primary_jama_2019_0556_key,0)),$D3)&lt;&gt;"",IF($D3="",INDEX(primary_jama_2019_0556_disposition,MATCH($A3,primary_jama_2019_0556_key,0)),$D3)&lt;&gt;"retain"),NOT(OR(IF($E3="",INDEX(primary_jama_2019_0556_domain,MATCH($A3,primary_jama_2019_0556_key,0)),$E3)="report_internal_inconsistency",IF($E3="",INDEX(primary_jama_2019_0556_domain,MATCH($A3,primary_jama_2019_0556_key,0)),$E3)="plan_material")))</formula>
    </cfRule>
  </conditionalFormatting>
  <conditionalFormatting sqref="K4">
    <cfRule type="expression" priority="59" dxfId="0" stopIfTrue="1">
      <formula>AND(OR(AND(IF($D4="",INDEX(primary_jama_2019_0556_disposition,MATCH($A4,primary_jama_2019_0556_key,0)),$D4)&lt;&gt;"",IF($D4="",INDEX(primary_jama_2019_0556_disposition,MATCH($A4,primary_jama_2019_0556_key,0)),$D4)&lt;&gt;"retain"),NOT(OR(IF($E4="",INDEX(primary_jama_2019_0556_domain,MATCH($A4,primary_jama_2019_0556_key,0)),$E4)="report_internal_inconsistency",IF($E4="",INDEX(primary_jama_2019_0556_domain,MATCH($A4,primary_jama_2019_0556_key,0)),$E4)="plan_material"))),K4&lt;&gt;"",K4&lt;&gt;"not_applicable")</formula>
    </cfRule>
    <cfRule type="expression" priority="60" dxfId="1">
      <formula>OR(AND(IF($D4="",INDEX(primary_jama_2019_0556_disposition,MATCH($A4,primary_jama_2019_0556_key,0)),$D4)&lt;&gt;"",IF($D4="",INDEX(primary_jama_2019_0556_disposition,MATCH($A4,primary_jama_2019_0556_key,0)),$D4)&lt;&gt;"retain"),NOT(OR(IF($E4="",INDEX(primary_jama_2019_0556_domain,MATCH($A4,primary_jama_2019_0556_key,0)),$E4)="report_internal_inconsistency",IF($E4="",INDEX(primary_jama_2019_0556_domain,MATCH($A4,primary_jama_2019_0556_key,0)),$E4)="plan_material")))</formula>
    </cfRule>
  </conditionalFormatting>
  <conditionalFormatting sqref="K5">
    <cfRule type="expression" priority="61" dxfId="0" stopIfTrue="1">
      <formula>AND(OR(AND(IF($D5="",INDEX(primary_jama_2019_0556_disposition,MATCH($A5,primary_jama_2019_0556_key,0)),$D5)&lt;&gt;"",IF($D5="",INDEX(primary_jama_2019_0556_disposition,MATCH($A5,primary_jama_2019_0556_key,0)),$D5)&lt;&gt;"retain"),NOT(OR(IF($E5="",INDEX(primary_jama_2019_0556_domain,MATCH($A5,primary_jama_2019_0556_key,0)),$E5)="report_internal_inconsistency",IF($E5="",INDEX(primary_jama_2019_0556_domain,MATCH($A5,primary_jama_2019_0556_key,0)),$E5)="plan_material"))),K5&lt;&gt;"",K5&lt;&gt;"not_applicable")</formula>
    </cfRule>
    <cfRule type="expression" priority="62" dxfId="1">
      <formula>OR(AND(IF($D5="",INDEX(primary_jama_2019_0556_disposition,MATCH($A5,primary_jama_2019_0556_key,0)),$D5)&lt;&gt;"",IF($D5="",INDEX(primary_jama_2019_0556_disposition,MATCH($A5,primary_jama_2019_0556_key,0)),$D5)&lt;&gt;"retain"),NOT(OR(IF($E5="",INDEX(primary_jama_2019_0556_domain,MATCH($A5,primary_jama_2019_0556_key,0)),$E5)="report_internal_inconsistency",IF($E5="",INDEX(primary_jama_2019_0556_domain,MATCH($A5,primary_jama_2019_0556_key,0)),$E5)="plan_material")))</formula>
    </cfRule>
  </conditionalFormatting>
  <conditionalFormatting sqref="K6">
    <cfRule type="expression" priority="63" dxfId="0" stopIfTrue="1">
      <formula>AND(OR(AND(IF($D6="",INDEX(primary_jama_2019_0556_disposition,MATCH($A6,primary_jama_2019_0556_key,0)),$D6)&lt;&gt;"",IF($D6="",INDEX(primary_jama_2019_0556_disposition,MATCH($A6,primary_jama_2019_0556_key,0)),$D6)&lt;&gt;"retain"),NOT(OR(IF($E6="",INDEX(primary_jama_2019_0556_domain,MATCH($A6,primary_jama_2019_0556_key,0)),$E6)="report_internal_inconsistency",IF($E6="",INDEX(primary_jama_2019_0556_domain,MATCH($A6,primary_jama_2019_0556_key,0)),$E6)="plan_material"))),K6&lt;&gt;"",K6&lt;&gt;"not_applicable")</formula>
    </cfRule>
    <cfRule type="expression" priority="64" dxfId="1">
      <formula>OR(AND(IF($D6="",INDEX(primary_jama_2019_0556_disposition,MATCH($A6,primary_jama_2019_0556_key,0)),$D6)&lt;&gt;"",IF($D6="",INDEX(primary_jama_2019_0556_disposition,MATCH($A6,primary_jama_2019_0556_key,0)),$D6)&lt;&gt;"retain"),NOT(OR(IF($E6="",INDEX(primary_jama_2019_0556_domain,MATCH($A6,primary_jama_2019_0556_key,0)),$E6)="report_internal_inconsistency",IF($E6="",INDEX(primary_jama_2019_0556_domain,MATCH($A6,primary_jama_2019_0556_key,0)),$E6)="plan_material")))</formula>
    </cfRule>
  </conditionalFormatting>
  <conditionalFormatting sqref="K7">
    <cfRule type="expression" priority="65" dxfId="0" stopIfTrue="1">
      <formula>AND(OR(AND(IF($D7="",INDEX(primary_jama_2019_0556_disposition,MATCH($A7,primary_jama_2019_0556_key,0)),$D7)&lt;&gt;"",IF($D7="",INDEX(primary_jama_2019_0556_disposition,MATCH($A7,primary_jama_2019_0556_key,0)),$D7)&lt;&gt;"retain"),NOT(OR(IF($E7="",INDEX(primary_jama_2019_0556_domain,MATCH($A7,primary_jama_2019_0556_key,0)),$E7)="report_internal_inconsistency",IF($E7="",INDEX(primary_jama_2019_0556_domain,MATCH($A7,primary_jama_2019_0556_key,0)),$E7)="plan_material"))),K7&lt;&gt;"",K7&lt;&gt;"not_applicable")</formula>
    </cfRule>
    <cfRule type="expression" priority="66" dxfId="1">
      <formula>OR(AND(IF($D7="",INDEX(primary_jama_2019_0556_disposition,MATCH($A7,primary_jama_2019_0556_key,0)),$D7)&lt;&gt;"",IF($D7="",INDEX(primary_jama_2019_0556_disposition,MATCH($A7,primary_jama_2019_0556_key,0)),$D7)&lt;&gt;"retain"),NOT(OR(IF($E7="",INDEX(primary_jama_2019_0556_domain,MATCH($A7,primary_jama_2019_0556_key,0)),$E7)="report_internal_inconsistency",IF($E7="",INDEX(primary_jama_2019_0556_domain,MATCH($A7,primary_jama_2019_0556_key,0)),$E7)="plan_material")))</formula>
    </cfRule>
  </conditionalFormatting>
  <conditionalFormatting sqref="K8">
    <cfRule type="expression" priority="67" dxfId="0" stopIfTrue="1">
      <formula>AND(OR(AND(IF($D8="",INDEX(primary_jama_2019_0556_disposition,MATCH($A8,primary_jama_2019_0556_key,0)),$D8)&lt;&gt;"",IF($D8="",INDEX(primary_jama_2019_0556_disposition,MATCH($A8,primary_jama_2019_0556_key,0)),$D8)&lt;&gt;"retain"),NOT(OR(IF($E8="",INDEX(primary_jama_2019_0556_domain,MATCH($A8,primary_jama_2019_0556_key,0)),$E8)="report_internal_inconsistency",IF($E8="",INDEX(primary_jama_2019_0556_domain,MATCH($A8,primary_jama_2019_0556_key,0)),$E8)="plan_material"))),K8&lt;&gt;"",K8&lt;&gt;"not_applicable")</formula>
    </cfRule>
    <cfRule type="expression" priority="68" dxfId="1">
      <formula>OR(AND(IF($D8="",INDEX(primary_jama_2019_0556_disposition,MATCH($A8,primary_jama_2019_0556_key,0)),$D8)&lt;&gt;"",IF($D8="",INDEX(primary_jama_2019_0556_disposition,MATCH($A8,primary_jama_2019_0556_key,0)),$D8)&lt;&gt;"retain"),NOT(OR(IF($E8="",INDEX(primary_jama_2019_0556_domain,MATCH($A8,primary_jama_2019_0556_key,0)),$E8)="report_internal_inconsistency",IF($E8="",INDEX(primary_jama_2019_0556_domain,MATCH($A8,primary_jama_2019_0556_key,0)),$E8)="plan_material")))</formula>
    </cfRule>
  </conditionalFormatting>
  <conditionalFormatting sqref="K9">
    <cfRule type="expression" priority="69" dxfId="0" stopIfTrue="1">
      <formula>AND(OR(AND(IF($D9="",INDEX(primary_jama_2019_0556_disposition,MATCH($A9,primary_jama_2019_0556_key,0)),$D9)&lt;&gt;"",IF($D9="",INDEX(primary_jama_2019_0556_disposition,MATCH($A9,primary_jama_2019_0556_key,0)),$D9)&lt;&gt;"retain"),NOT(OR(IF($E9="",INDEX(primary_jama_2019_0556_domain,MATCH($A9,primary_jama_2019_0556_key,0)),$E9)="report_internal_inconsistency",IF($E9="",INDEX(primary_jama_2019_0556_domain,MATCH($A9,primary_jama_2019_0556_key,0)),$E9)="plan_material"))),K9&lt;&gt;"",K9&lt;&gt;"not_applicable")</formula>
    </cfRule>
    <cfRule type="expression" priority="70" dxfId="1">
      <formula>OR(AND(IF($D9="",INDEX(primary_jama_2019_0556_disposition,MATCH($A9,primary_jama_2019_0556_key,0)),$D9)&lt;&gt;"",IF($D9="",INDEX(primary_jama_2019_0556_disposition,MATCH($A9,primary_jama_2019_0556_key,0)),$D9)&lt;&gt;"retain"),NOT(OR(IF($E9="",INDEX(primary_jama_2019_0556_domain,MATCH($A9,primary_jama_2019_0556_key,0)),$E9)="report_internal_inconsistency",IF($E9="",INDEX(primary_jama_2019_0556_domain,MATCH($A9,primary_jama_2019_0556_key,0)),$E9)="plan_material")))</formula>
    </cfRule>
  </conditionalFormatting>
  <conditionalFormatting sqref="K10">
    <cfRule type="expression" priority="71" dxfId="0" stopIfTrue="1">
      <formula>AND(OR(AND(IF($D10="",INDEX(primary_jama_2019_0556_disposition,MATCH($A10,primary_jama_2019_0556_key,0)),$D10)&lt;&gt;"",IF($D10="",INDEX(primary_jama_2019_0556_disposition,MATCH($A10,primary_jama_2019_0556_key,0)),$D10)&lt;&gt;"retain"),NOT(OR(IF($E10="",INDEX(primary_jama_2019_0556_domain,MATCH($A10,primary_jama_2019_0556_key,0)),$E10)="report_internal_inconsistency",IF($E10="",INDEX(primary_jama_2019_0556_domain,MATCH($A10,primary_jama_2019_0556_key,0)),$E10)="plan_material"))),K10&lt;&gt;"",K10&lt;&gt;"not_applicable")</formula>
    </cfRule>
    <cfRule type="expression" priority="72" dxfId="1">
      <formula>OR(AND(IF($D10="",INDEX(primary_jama_2019_0556_disposition,MATCH($A10,primary_jama_2019_0556_key,0)),$D10)&lt;&gt;"",IF($D10="",INDEX(primary_jama_2019_0556_disposition,MATCH($A10,primary_jama_2019_0556_key,0)),$D10)&lt;&gt;"retain"),NOT(OR(IF($E10="",INDEX(primary_jama_2019_0556_domain,MATCH($A10,primary_jama_2019_0556_key,0)),$E10)="report_internal_inconsistency",IF($E10="",INDEX(primary_jama_2019_0556_domain,MATCH($A10,primary_jama_2019_0556_key,0)),$E10)="plan_material")))</formula>
    </cfRule>
  </conditionalFormatting>
  <conditionalFormatting sqref="L2">
    <cfRule type="expression" priority="73" dxfId="0" stopIfTrue="1">
      <formula>AND(OR(AND(IF($D2="",INDEX(primary_jama_2019_0556_disposition,MATCH($A2,primary_jama_2019_0556_key,0)),$D2)&lt;&gt;"",IF($D2="",INDEX(primary_jama_2019_0556_disposition,MATCH($A2,primary_jama_2019_0556_key,0)),$D2)&lt;&gt;"retain"),NOT(OR(IF($E2="",INDEX(primary_jama_2019_0556_domain,MATCH($A2,primary_jama_2019_0556_key,0)),$E2)="protocol_report"))),L2&lt;&gt;"",L2&lt;&gt;"not_applicable")</formula>
    </cfRule>
    <cfRule type="expression" priority="74" dxfId="1">
      <formula>OR(AND(IF($D2="",INDEX(primary_jama_2019_0556_disposition,MATCH($A2,primary_jama_2019_0556_key,0)),$D2)&lt;&gt;"",IF($D2="",INDEX(primary_jama_2019_0556_disposition,MATCH($A2,primary_jama_2019_0556_key,0)),$D2)&lt;&gt;"retain"),NOT(OR(IF($E2="",INDEX(primary_jama_2019_0556_domain,MATCH($A2,primary_jama_2019_0556_key,0)),$E2)="protocol_report")))</formula>
    </cfRule>
  </conditionalFormatting>
  <conditionalFormatting sqref="L3">
    <cfRule type="expression" priority="75" dxfId="0" stopIfTrue="1">
      <formula>AND(OR(AND(IF($D3="",INDEX(primary_jama_2019_0556_disposition,MATCH($A3,primary_jama_2019_0556_key,0)),$D3)&lt;&gt;"",IF($D3="",INDEX(primary_jama_2019_0556_disposition,MATCH($A3,primary_jama_2019_0556_key,0)),$D3)&lt;&gt;"retain"),NOT(OR(IF($E3="",INDEX(primary_jama_2019_0556_domain,MATCH($A3,primary_jama_2019_0556_key,0)),$E3)="protocol_report"))),L3&lt;&gt;"",L3&lt;&gt;"not_applicable")</formula>
    </cfRule>
    <cfRule type="expression" priority="76" dxfId="1">
      <formula>OR(AND(IF($D3="",INDEX(primary_jama_2019_0556_disposition,MATCH($A3,primary_jama_2019_0556_key,0)),$D3)&lt;&gt;"",IF($D3="",INDEX(primary_jama_2019_0556_disposition,MATCH($A3,primary_jama_2019_0556_key,0)),$D3)&lt;&gt;"retain"),NOT(OR(IF($E3="",INDEX(primary_jama_2019_0556_domain,MATCH($A3,primary_jama_2019_0556_key,0)),$E3)="protocol_report")))</formula>
    </cfRule>
  </conditionalFormatting>
  <conditionalFormatting sqref="L4">
    <cfRule type="expression" priority="77" dxfId="0" stopIfTrue="1">
      <formula>AND(OR(AND(IF($D4="",INDEX(primary_jama_2019_0556_disposition,MATCH($A4,primary_jama_2019_0556_key,0)),$D4)&lt;&gt;"",IF($D4="",INDEX(primary_jama_2019_0556_disposition,MATCH($A4,primary_jama_2019_0556_key,0)),$D4)&lt;&gt;"retain"),NOT(OR(IF($E4="",INDEX(primary_jama_2019_0556_domain,MATCH($A4,primary_jama_2019_0556_key,0)),$E4)="protocol_report"))),L4&lt;&gt;"",L4&lt;&gt;"not_applicable")</formula>
    </cfRule>
    <cfRule type="expression" priority="78" dxfId="1">
      <formula>OR(AND(IF($D4="",INDEX(primary_jama_2019_0556_disposition,MATCH($A4,primary_jama_2019_0556_key,0)),$D4)&lt;&gt;"",IF($D4="",INDEX(primary_jama_2019_0556_disposition,MATCH($A4,primary_jama_2019_0556_key,0)),$D4)&lt;&gt;"retain"),NOT(OR(IF($E4="",INDEX(primary_jama_2019_0556_domain,MATCH($A4,primary_jama_2019_0556_key,0)),$E4)="protocol_report")))</formula>
    </cfRule>
  </conditionalFormatting>
  <conditionalFormatting sqref="L5">
    <cfRule type="expression" priority="79" dxfId="0" stopIfTrue="1">
      <formula>AND(OR(AND(IF($D5="",INDEX(primary_jama_2019_0556_disposition,MATCH($A5,primary_jama_2019_0556_key,0)),$D5)&lt;&gt;"",IF($D5="",INDEX(primary_jama_2019_0556_disposition,MATCH($A5,primary_jama_2019_0556_key,0)),$D5)&lt;&gt;"retain"),NOT(OR(IF($E5="",INDEX(primary_jama_2019_0556_domain,MATCH($A5,primary_jama_2019_0556_key,0)),$E5)="protocol_report"))),L5&lt;&gt;"",L5&lt;&gt;"not_applicable")</formula>
    </cfRule>
    <cfRule type="expression" priority="80" dxfId="1">
      <formula>OR(AND(IF($D5="",INDEX(primary_jama_2019_0556_disposition,MATCH($A5,primary_jama_2019_0556_key,0)),$D5)&lt;&gt;"",IF($D5="",INDEX(primary_jama_2019_0556_disposition,MATCH($A5,primary_jama_2019_0556_key,0)),$D5)&lt;&gt;"retain"),NOT(OR(IF($E5="",INDEX(primary_jama_2019_0556_domain,MATCH($A5,primary_jama_2019_0556_key,0)),$E5)="protocol_report")))</formula>
    </cfRule>
  </conditionalFormatting>
  <conditionalFormatting sqref="L6">
    <cfRule type="expression" priority="81" dxfId="0" stopIfTrue="1">
      <formula>AND(OR(AND(IF($D6="",INDEX(primary_jama_2019_0556_disposition,MATCH($A6,primary_jama_2019_0556_key,0)),$D6)&lt;&gt;"",IF($D6="",INDEX(primary_jama_2019_0556_disposition,MATCH($A6,primary_jama_2019_0556_key,0)),$D6)&lt;&gt;"retain"),NOT(OR(IF($E6="",INDEX(primary_jama_2019_0556_domain,MATCH($A6,primary_jama_2019_0556_key,0)),$E6)="protocol_report"))),L6&lt;&gt;"",L6&lt;&gt;"not_applicable")</formula>
    </cfRule>
    <cfRule type="expression" priority="82" dxfId="1">
      <formula>OR(AND(IF($D6="",INDEX(primary_jama_2019_0556_disposition,MATCH($A6,primary_jama_2019_0556_key,0)),$D6)&lt;&gt;"",IF($D6="",INDEX(primary_jama_2019_0556_disposition,MATCH($A6,primary_jama_2019_0556_key,0)),$D6)&lt;&gt;"retain"),NOT(OR(IF($E6="",INDEX(primary_jama_2019_0556_domain,MATCH($A6,primary_jama_2019_0556_key,0)),$E6)="protocol_report")))</formula>
    </cfRule>
  </conditionalFormatting>
  <conditionalFormatting sqref="L7">
    <cfRule type="expression" priority="83" dxfId="0" stopIfTrue="1">
      <formula>AND(OR(AND(IF($D7="",INDEX(primary_jama_2019_0556_disposition,MATCH($A7,primary_jama_2019_0556_key,0)),$D7)&lt;&gt;"",IF($D7="",INDEX(primary_jama_2019_0556_disposition,MATCH($A7,primary_jama_2019_0556_key,0)),$D7)&lt;&gt;"retain"),NOT(OR(IF($E7="",INDEX(primary_jama_2019_0556_domain,MATCH($A7,primary_jama_2019_0556_key,0)),$E7)="protocol_report"))),L7&lt;&gt;"",L7&lt;&gt;"not_applicable")</formula>
    </cfRule>
    <cfRule type="expression" priority="84" dxfId="1">
      <formula>OR(AND(IF($D7="",INDEX(primary_jama_2019_0556_disposition,MATCH($A7,primary_jama_2019_0556_key,0)),$D7)&lt;&gt;"",IF($D7="",INDEX(primary_jama_2019_0556_disposition,MATCH($A7,primary_jama_2019_0556_key,0)),$D7)&lt;&gt;"retain"),NOT(OR(IF($E7="",INDEX(primary_jama_2019_0556_domain,MATCH($A7,primary_jama_2019_0556_key,0)),$E7)="protocol_report")))</formula>
    </cfRule>
  </conditionalFormatting>
  <conditionalFormatting sqref="L8">
    <cfRule type="expression" priority="85" dxfId="0" stopIfTrue="1">
      <formula>AND(OR(AND(IF($D8="",INDEX(primary_jama_2019_0556_disposition,MATCH($A8,primary_jama_2019_0556_key,0)),$D8)&lt;&gt;"",IF($D8="",INDEX(primary_jama_2019_0556_disposition,MATCH($A8,primary_jama_2019_0556_key,0)),$D8)&lt;&gt;"retain"),NOT(OR(IF($E8="",INDEX(primary_jama_2019_0556_domain,MATCH($A8,primary_jama_2019_0556_key,0)),$E8)="protocol_report"))),L8&lt;&gt;"",L8&lt;&gt;"not_applicable")</formula>
    </cfRule>
    <cfRule type="expression" priority="86" dxfId="1">
      <formula>OR(AND(IF($D8="",INDEX(primary_jama_2019_0556_disposition,MATCH($A8,primary_jama_2019_0556_key,0)),$D8)&lt;&gt;"",IF($D8="",INDEX(primary_jama_2019_0556_disposition,MATCH($A8,primary_jama_2019_0556_key,0)),$D8)&lt;&gt;"retain"),NOT(OR(IF($E8="",INDEX(primary_jama_2019_0556_domain,MATCH($A8,primary_jama_2019_0556_key,0)),$E8)="protocol_report")))</formula>
    </cfRule>
  </conditionalFormatting>
  <conditionalFormatting sqref="L9">
    <cfRule type="expression" priority="87" dxfId="0" stopIfTrue="1">
      <formula>AND(OR(AND(IF($D9="",INDEX(primary_jama_2019_0556_disposition,MATCH($A9,primary_jama_2019_0556_key,0)),$D9)&lt;&gt;"",IF($D9="",INDEX(primary_jama_2019_0556_disposition,MATCH($A9,primary_jama_2019_0556_key,0)),$D9)&lt;&gt;"retain"),NOT(OR(IF($E9="",INDEX(primary_jama_2019_0556_domain,MATCH($A9,primary_jama_2019_0556_key,0)),$E9)="protocol_report"))),L9&lt;&gt;"",L9&lt;&gt;"not_applicable")</formula>
    </cfRule>
    <cfRule type="expression" priority="88" dxfId="1">
      <formula>OR(AND(IF($D9="",INDEX(primary_jama_2019_0556_disposition,MATCH($A9,primary_jama_2019_0556_key,0)),$D9)&lt;&gt;"",IF($D9="",INDEX(primary_jama_2019_0556_disposition,MATCH($A9,primary_jama_2019_0556_key,0)),$D9)&lt;&gt;"retain"),NOT(OR(IF($E9="",INDEX(primary_jama_2019_0556_domain,MATCH($A9,primary_jama_2019_0556_key,0)),$E9)="protocol_report")))</formula>
    </cfRule>
  </conditionalFormatting>
  <conditionalFormatting sqref="L10">
    <cfRule type="expression" priority="89" dxfId="0" stopIfTrue="1">
      <formula>AND(OR(AND(IF($D10="",INDEX(primary_jama_2019_0556_disposition,MATCH($A10,primary_jama_2019_0556_key,0)),$D10)&lt;&gt;"",IF($D10="",INDEX(primary_jama_2019_0556_disposition,MATCH($A10,primary_jama_2019_0556_key,0)),$D10)&lt;&gt;"retain"),NOT(OR(IF($E10="",INDEX(primary_jama_2019_0556_domain,MATCH($A10,primary_jama_2019_0556_key,0)),$E10)="protocol_report"))),L10&lt;&gt;"",L10&lt;&gt;"not_applicable")</formula>
    </cfRule>
    <cfRule type="expression" priority="90" dxfId="1">
      <formula>OR(AND(IF($D10="",INDEX(primary_jama_2019_0556_disposition,MATCH($A10,primary_jama_2019_0556_key,0)),$D10)&lt;&gt;"",IF($D10="",INDEX(primary_jama_2019_0556_disposition,MATCH($A10,primary_jama_2019_0556_key,0)),$D10)&lt;&gt;"retain"),NOT(OR(IF($E10="",INDEX(primary_jama_2019_0556_domain,MATCH($A10,primary_jama_2019_0556_key,0)),$E10)="protocol_report")))</formula>
    </cfRule>
  </conditionalFormatting>
  <dataValidations count="10">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N2:N10" showDropDown="0" showInputMessage="1" showErrorMessage="1" allowBlank="1" errorTitle="Invalid option" error="Choose a listed value." promptTitle="Checker result" prompt="See Codebook for meanings." type="list" errorStyle="stop">
      <formula1>opt_checkStatus</formula1>
    </dataValidation>
    <dataValidation sqref="P2:P10"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R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2019::jama.2019.10517::C001</t>
        </is>
      </c>
      <c r="B2" s="2" t="inlineStr">
        <is>
          <t>Table 5 absolute difference does not reproduce from the displayed counts</t>
        </is>
      </c>
      <c r="C2" s="2" t="inlineStr">
        <is>
          <t>jama_flint_2019_oi_190079.pdf — PDF p. 9, Table 5, total-cholesterol and LDL rows.</t>
        </is>
      </c>
      <c r="D2" s="8" t="inlineStr"/>
      <c r="E2" s="8" t="inlineStr"/>
      <c r="F2" s="8" t="inlineStr">
        <is>
          <t>no</t>
        </is>
      </c>
      <c r="G2" s="2">
        <f>IF(OR(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H2&lt;&gt;"",H2&lt;&gt;"not_applicable"),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I2&lt;&gt;"",I2&lt;&gt;"not_applicable"),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J2&lt;&gt;"",J2&lt;&gt;"not_applicable"),AND(OR(AND(IF($D2="",INDEX(primary_jama_2019_10517_disposition,MATCH($A2,primary_jama_2019_10517_key,0)),$D2)&lt;&gt;"",IF($D2="",INDEX(primary_jama_2019_10517_disposition,MATCH($A2,primary_jama_2019_10517_key,0)),$D2)&lt;&gt;"retain"),NOT(OR(IF($E2="",INDEX(primary_jama_2019_10517_domain,MATCH($A2,primary_jama_2019_10517_key,0)),$E2)="report_internal_inconsistency",IF($E2="",INDEX(primary_jama_2019_10517_domain,MATCH($A2,primary_jama_2019_10517_key,0)),$E2)="plan_material"))),K2&lt;&gt;"",K2&lt;&gt;"not_applicable"),AND(OR(AND(IF($D2="",INDEX(primary_jama_2019_10517_disposition,MATCH($A2,primary_jama_2019_10517_key,0)),$D2)&lt;&gt;"",IF($D2="",INDEX(primary_jama_2019_10517_disposition,MATCH($A2,primary_jama_2019_10517_key,0)),$D2)&lt;&gt;"retain"),NOT(OR(IF($E2="",INDEX(primary_jama_2019_10517_domain,MATCH($A2,primary_jama_2019_10517_key,0)),$E2)="protocol_report"))),L2&lt;&gt;"",L2&lt;&gt;"not_applicable")),"CLEAR INACTIVE VALUES",IF(N2="","PENDING",IF(AND(N2&lt;&gt;"agree",LEN(TRIM(O2))=0),"COMMENT NEEDED",IF(F2="yes","CHECKED - see resolution","DRAFT"))))</f>
        <v/>
      </c>
      <c r="H2" s="8">
        <f>IF(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not_applicable","")</f>
        <v/>
      </c>
      <c r="I2" s="8">
        <f>IF(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not_applicable","")</f>
        <v/>
      </c>
      <c r="J2" s="9">
        <f>IF(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not_applicable","")</f>
        <v/>
      </c>
      <c r="K2" s="8">
        <f>IF(OR(AND(IF($D2="",INDEX(primary_jama_2019_10517_disposition,MATCH($A2,primary_jama_2019_10517_key,0)),$D2)&lt;&gt;"",IF($D2="",INDEX(primary_jama_2019_10517_disposition,MATCH($A2,primary_jama_2019_10517_key,0)),$D2)&lt;&gt;"retain"),NOT(OR(IF($E2="",INDEX(primary_jama_2019_10517_domain,MATCH($A2,primary_jama_2019_10517_key,0)),$E2)="report_internal_inconsistency",IF($E2="",INDEX(primary_jama_2019_10517_domain,MATCH($A2,primary_jama_2019_10517_key,0)),$E2)="plan_material"))),"not_applicable","")</f>
        <v/>
      </c>
      <c r="L2" s="9">
        <f>IF(OR(AND(IF($D2="",INDEX(primary_jama_2019_10517_disposition,MATCH($A2,primary_jama_2019_10517_key,0)),$D2)&lt;&gt;"",IF($D2="",INDEX(primary_jama_2019_10517_disposition,MATCH($A2,primary_jama_2019_10517_key,0)),$D2)&lt;&gt;"retain"),NOT(OR(IF($E2="",INDEX(primary_jama_2019_10517_domain,MATCH($A2,primary_jama_2019_10517_key,0)),$E2)="protocol_report"))),"not_applicable","")</f>
        <v/>
      </c>
      <c r="M2" s="2" t="inlineStr">
        <is>
          <t>Disposition: exclude
Review domain: statistical_results
Notes (optional): SYNTHETIC TEST DATA ONLY. Exclude is a placeholder for testing the checker workflow, not a scientific assessment. Do not use this sample in research results.</t>
        </is>
      </c>
      <c r="N2" s="8" t="inlineStr"/>
      <c r="O2" s="10" t="inlineStr"/>
      <c r="P2" s="8" t="inlineStr">
        <is>
          <t>pending</t>
        </is>
      </c>
      <c r="Q2" s="10" t="inlineStr"/>
      <c r="R2" s="11" t="inlineStr"/>
    </row>
    <row r="3" ht="76" customHeight="1">
      <c r="A3" s="3" t="inlineStr">
        <is>
          <t>2019::jama.2019.10517::C002</t>
        </is>
      </c>
      <c r="B3" s="3" t="inlineStr">
        <is>
          <t>HbA1c interaction is labelled with a concentration unit while matched displays use percent</t>
        </is>
      </c>
      <c r="C3" s="3" t="inlineStr">
        <is>
          <t>jama_flint_2019_oi_190079.pdf — PDF p. 1, abstract Results; jama_flint_2019_oi_190079.pdf — PDF p. 7, Secondary Outcomes; jama_flint_2019_oi_190079.pdf — PDF p. 8, Table 4; and joi190079supp2_prod.pdf — PDF p. 9, eFigure 8.</t>
        </is>
      </c>
      <c r="D3" s="8" t="inlineStr"/>
      <c r="E3" s="8" t="inlineStr"/>
      <c r="F3" s="8" t="inlineStr">
        <is>
          <t>no</t>
        </is>
      </c>
      <c r="G3" s="3">
        <f>IF(OR(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H3&lt;&gt;"",H3&lt;&gt;"not_applicable"),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I3&lt;&gt;"",I3&lt;&gt;"not_applicable"),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J3&lt;&gt;"",J3&lt;&gt;"not_applicable"),AND(OR(AND(IF($D3="",INDEX(primary_jama_2019_10517_disposition,MATCH($A3,primary_jama_2019_10517_key,0)),$D3)&lt;&gt;"",IF($D3="",INDEX(primary_jama_2019_10517_disposition,MATCH($A3,primary_jama_2019_10517_key,0)),$D3)&lt;&gt;"retain"),NOT(OR(IF($E3="",INDEX(primary_jama_2019_10517_domain,MATCH($A3,primary_jama_2019_10517_key,0)),$E3)="report_internal_inconsistency",IF($E3="",INDEX(primary_jama_2019_10517_domain,MATCH($A3,primary_jama_2019_10517_key,0)),$E3)="plan_material"))),K3&lt;&gt;"",K3&lt;&gt;"not_applicable"),AND(OR(AND(IF($D3="",INDEX(primary_jama_2019_10517_disposition,MATCH($A3,primary_jama_2019_10517_key,0)),$D3)&lt;&gt;"",IF($D3="",INDEX(primary_jama_2019_10517_disposition,MATCH($A3,primary_jama_2019_10517_key,0)),$D3)&lt;&gt;"retain"),NOT(OR(IF($E3="",INDEX(primary_jama_2019_10517_domain,MATCH($A3,primary_jama_2019_10517_key,0)),$E3)="protocol_report"))),L3&lt;&gt;"",L3&lt;&gt;"not_applicable")),"CLEAR INACTIVE VALUES",IF(N3="","PENDING",IF(AND(N3&lt;&gt;"agree",LEN(TRIM(O3))=0),"COMMENT NEEDED",IF(F3="yes","CHECKED - see resolution","DRAFT"))))</f>
        <v/>
      </c>
      <c r="H3" s="8">
        <f>IF(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not_applicable","")</f>
        <v/>
      </c>
      <c r="I3" s="8">
        <f>IF(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not_applicable","")</f>
        <v/>
      </c>
      <c r="J3" s="9">
        <f>IF(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not_applicable","")</f>
        <v/>
      </c>
      <c r="K3" s="8">
        <f>IF(OR(AND(IF($D3="",INDEX(primary_jama_2019_10517_disposition,MATCH($A3,primary_jama_2019_10517_key,0)),$D3)&lt;&gt;"",IF($D3="",INDEX(primary_jama_2019_10517_disposition,MATCH($A3,primary_jama_2019_10517_key,0)),$D3)&lt;&gt;"retain"),NOT(OR(IF($E3="",INDEX(primary_jama_2019_10517_domain,MATCH($A3,primary_jama_2019_10517_key,0)),$E3)="report_internal_inconsistency",IF($E3="",INDEX(primary_jama_2019_10517_domain,MATCH($A3,primary_jama_2019_10517_key,0)),$E3)="plan_material"))),"not_applicable","")</f>
        <v/>
      </c>
      <c r="L3" s="9">
        <f>IF(OR(AND(IF($D3="",INDEX(primary_jama_2019_10517_disposition,MATCH($A3,primary_jama_2019_10517_key,0)),$D3)&lt;&gt;"",IF($D3="",INDEX(primary_jama_2019_10517_disposition,MATCH($A3,primary_jama_2019_10517_key,0)),$D3)&lt;&gt;"retain"),NOT(OR(IF($E3="",INDEX(primary_jama_2019_10517_domain,MATCH($A3,primary_jama_2019_10517_key,0)),$E3)="protocol_report"))),"not_applicable","")</f>
        <v/>
      </c>
      <c r="M3" s="3" t="inlineStr">
        <is>
          <t>Disposition: exclude
Review domain: report_internal_inconsistency
Notes (optional): SYNTHETIC TEST DATA ONLY. Exclude is a placeholder for testing the checker workflow, not a scientific assessment. Do not use this sample in research results.</t>
        </is>
      </c>
      <c r="N3" s="8" t="inlineStr"/>
      <c r="O3" s="10" t="inlineStr"/>
      <c r="P3" s="8" t="inlineStr">
        <is>
          <t>pending</t>
        </is>
      </c>
      <c r="Q3" s="10" t="inlineStr"/>
      <c r="R3" s="11" t="inlineStr"/>
    </row>
    <row r="4" ht="76" customHeight="1">
      <c r="A4" s="2" t="inlineStr">
        <is>
          <t>2019::jama.2019.10517::C003</t>
        </is>
      </c>
      <c r="B4" s="2" t="inlineStr">
        <is>
          <t>Protocol recruitment target conflicts between 82 and 98 participants per site</t>
        </is>
      </c>
      <c r="C4" s="2" t="inlineStr">
        <is>
          <t>joi190079supp1_prod.pdf — PDF p. 7, Figure 1 and Section 3.9.1; joi190079supp1_prod.pdf — PDF p. 17, Table 4; and joi190079supp1_prod.pdf — PDF p. 21, Section 4.2.1.</t>
        </is>
      </c>
      <c r="D4" s="8" t="inlineStr"/>
      <c r="E4" s="8" t="inlineStr"/>
      <c r="F4" s="8" t="inlineStr">
        <is>
          <t>no</t>
        </is>
      </c>
      <c r="G4" s="2">
        <f>IF(OR(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H4&lt;&gt;"",H4&lt;&gt;"not_applicable"),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I4&lt;&gt;"",I4&lt;&gt;"not_applicable"),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J4&lt;&gt;"",J4&lt;&gt;"not_applicable"),AND(OR(AND(IF($D4="",INDEX(primary_jama_2019_10517_disposition,MATCH($A4,primary_jama_2019_10517_key,0)),$D4)&lt;&gt;"",IF($D4="",INDEX(primary_jama_2019_10517_disposition,MATCH($A4,primary_jama_2019_10517_key,0)),$D4)&lt;&gt;"retain"),NOT(OR(IF($E4="",INDEX(primary_jama_2019_10517_domain,MATCH($A4,primary_jama_2019_10517_key,0)),$E4)="report_internal_inconsistency",IF($E4="",INDEX(primary_jama_2019_10517_domain,MATCH($A4,primary_jama_2019_10517_key,0)),$E4)="plan_material"))),K4&lt;&gt;"",K4&lt;&gt;"not_applicable"),AND(OR(AND(IF($D4="",INDEX(primary_jama_2019_10517_disposition,MATCH($A4,primary_jama_2019_10517_key,0)),$D4)&lt;&gt;"",IF($D4="",INDEX(primary_jama_2019_10517_disposition,MATCH($A4,primary_jama_2019_10517_key,0)),$D4)&lt;&gt;"retain"),NOT(OR(IF($E4="",INDEX(primary_jama_2019_10517_domain,MATCH($A4,primary_jama_2019_10517_key,0)),$E4)="protocol_report"))),L4&lt;&gt;"",L4&lt;&gt;"not_applicable")),"CLEAR INACTIVE VALUES",IF(N4="","PENDING",IF(AND(N4&lt;&gt;"agree",LEN(TRIM(O4))=0),"COMMENT NEEDED",IF(F4="yes","CHECKED - see resolution","DRAFT"))))</f>
        <v/>
      </c>
      <c r="H4" s="8">
        <f>IF(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not_applicable","")</f>
        <v/>
      </c>
      <c r="I4" s="8">
        <f>IF(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not_applicable","")</f>
        <v/>
      </c>
      <c r="J4" s="9">
        <f>IF(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not_applicable","")</f>
        <v/>
      </c>
      <c r="K4" s="8">
        <f>IF(OR(AND(IF($D4="",INDEX(primary_jama_2019_10517_disposition,MATCH($A4,primary_jama_2019_10517_key,0)),$D4)&lt;&gt;"",IF($D4="",INDEX(primary_jama_2019_10517_disposition,MATCH($A4,primary_jama_2019_10517_key,0)),$D4)&lt;&gt;"retain"),NOT(OR(IF($E4="",INDEX(primary_jama_2019_10517_domain,MATCH($A4,primary_jama_2019_10517_key,0)),$E4)="report_internal_inconsistency",IF($E4="",INDEX(primary_jama_2019_10517_domain,MATCH($A4,primary_jama_2019_10517_key,0)),$E4)="plan_material"))),"not_applicable","")</f>
        <v/>
      </c>
      <c r="L4" s="9">
        <f>IF(OR(AND(IF($D4="",INDEX(primary_jama_2019_10517_disposition,MATCH($A4,primary_jama_2019_10517_key,0)),$D4)&lt;&gt;"",IF($D4="",INDEX(primary_jama_2019_10517_disposition,MATCH($A4,primary_jama_2019_10517_key,0)),$D4)&lt;&gt;"retain"),NOT(OR(IF($E4="",INDEX(primary_jama_2019_10517_domain,MATCH($A4,primary_jama_2019_10517_key,0)),$E4)="protocol_report"))),"not_applicable","")</f>
        <v/>
      </c>
      <c r="M4" s="2" t="inlineStr">
        <is>
          <t>Disposition: exclude
Review domain: plan_material
Notes (optional): SYNTHETIC TEST DATA ONLY. Exclude is a placeholder for testing the checker workflow, not a scientific assessment. Do not use this sample in research results.</t>
        </is>
      </c>
      <c r="N4" s="8" t="inlineStr"/>
      <c r="O4" s="10" t="inlineStr"/>
      <c r="P4" s="8" t="inlineStr">
        <is>
          <t>pending</t>
        </is>
      </c>
      <c r="Q4" s="10" t="inlineStr"/>
      <c r="R4" s="11" t="inlineStr"/>
    </row>
  </sheetData>
  <sheetProtection selectLockedCells="0" selectUnlockedCells="0" sheet="1" objects="0" insertRows="1" insertHyperlinks="1" autoFilter="0" scenarios="0" formatColumns="1" deleteColumns="1" insertColumns="1" pivotTables="1" deleteRows="1" formatCells="1" formatRows="1" sort="1"/>
  <autoFilter ref="A1:R4"/>
  <conditionalFormatting sqref="H2">
    <cfRule type="expression" priority="1" dxfId="0" stopIfTrue="1">
      <formula>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H2&lt;&gt;"",H2&lt;&gt;"not_applicable")</formula>
    </cfRule>
    <cfRule type="expression" priority="2" dxfId="1">
      <formula>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formula>
    </cfRule>
  </conditionalFormatting>
  <conditionalFormatting sqref="H3">
    <cfRule type="expression" priority="3" dxfId="0" stopIfTrue="1">
      <formula>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H3&lt;&gt;"",H3&lt;&gt;"not_applicable")</formula>
    </cfRule>
    <cfRule type="expression" priority="4" dxfId="1">
      <formula>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formula>
    </cfRule>
  </conditionalFormatting>
  <conditionalFormatting sqref="H4">
    <cfRule type="expression" priority="5" dxfId="0" stopIfTrue="1">
      <formula>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H4&lt;&gt;"",H4&lt;&gt;"not_applicable")</formula>
    </cfRule>
    <cfRule type="expression" priority="6" dxfId="1">
      <formula>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formula>
    </cfRule>
  </conditionalFormatting>
  <conditionalFormatting sqref="I2">
    <cfRule type="expression" priority="7" dxfId="0" stopIfTrue="1">
      <formula>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I2&lt;&gt;"",I2&lt;&gt;"not_applicable")</formula>
    </cfRule>
    <cfRule type="expression" priority="8" dxfId="1">
      <formula>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formula>
    </cfRule>
  </conditionalFormatting>
  <conditionalFormatting sqref="I3">
    <cfRule type="expression" priority="9" dxfId="0" stopIfTrue="1">
      <formula>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I3&lt;&gt;"",I3&lt;&gt;"not_applicable")</formula>
    </cfRule>
    <cfRule type="expression" priority="10" dxfId="1">
      <formula>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formula>
    </cfRule>
  </conditionalFormatting>
  <conditionalFormatting sqref="I4">
    <cfRule type="expression" priority="11" dxfId="0" stopIfTrue="1">
      <formula>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I4&lt;&gt;"",I4&lt;&gt;"not_applicable")</formula>
    </cfRule>
    <cfRule type="expression" priority="12" dxfId="1">
      <formula>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formula>
    </cfRule>
  </conditionalFormatting>
  <conditionalFormatting sqref="J2">
    <cfRule type="expression" priority="13" dxfId="0" stopIfTrue="1">
      <formula>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J2&lt;&gt;"",J2&lt;&gt;"not_applicable")</formula>
    </cfRule>
    <cfRule type="expression" priority="14" dxfId="1">
      <formula>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formula>
    </cfRule>
  </conditionalFormatting>
  <conditionalFormatting sqref="J3">
    <cfRule type="expression" priority="15" dxfId="0" stopIfTrue="1">
      <formula>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J3&lt;&gt;"",J3&lt;&gt;"not_applicable")</formula>
    </cfRule>
    <cfRule type="expression" priority="16" dxfId="1">
      <formula>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formula>
    </cfRule>
  </conditionalFormatting>
  <conditionalFormatting sqref="J4">
    <cfRule type="expression" priority="17" dxfId="0" stopIfTrue="1">
      <formula>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J4&lt;&gt;"",J4&lt;&gt;"not_applicable")</formula>
    </cfRule>
    <cfRule type="expression" priority="18" dxfId="1">
      <formula>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formula>
    </cfRule>
  </conditionalFormatting>
  <conditionalFormatting sqref="K2">
    <cfRule type="expression" priority="19" dxfId="0" stopIfTrue="1">
      <formula>AND(OR(AND(IF($D2="",INDEX(primary_jama_2019_10517_disposition,MATCH($A2,primary_jama_2019_10517_key,0)),$D2)&lt;&gt;"",IF($D2="",INDEX(primary_jama_2019_10517_disposition,MATCH($A2,primary_jama_2019_10517_key,0)),$D2)&lt;&gt;"retain"),NOT(OR(IF($E2="",INDEX(primary_jama_2019_10517_domain,MATCH($A2,primary_jama_2019_10517_key,0)),$E2)="report_internal_inconsistency",IF($E2="",INDEX(primary_jama_2019_10517_domain,MATCH($A2,primary_jama_2019_10517_key,0)),$E2)="plan_material"))),K2&lt;&gt;"",K2&lt;&gt;"not_applicable")</formula>
    </cfRule>
    <cfRule type="expression" priority="20" dxfId="1">
      <formula>OR(AND(IF($D2="",INDEX(primary_jama_2019_10517_disposition,MATCH($A2,primary_jama_2019_10517_key,0)),$D2)&lt;&gt;"",IF($D2="",INDEX(primary_jama_2019_10517_disposition,MATCH($A2,primary_jama_2019_10517_key,0)),$D2)&lt;&gt;"retain"),NOT(OR(IF($E2="",INDEX(primary_jama_2019_10517_domain,MATCH($A2,primary_jama_2019_10517_key,0)),$E2)="report_internal_inconsistency",IF($E2="",INDEX(primary_jama_2019_10517_domain,MATCH($A2,primary_jama_2019_10517_key,0)),$E2)="plan_material")))</formula>
    </cfRule>
  </conditionalFormatting>
  <conditionalFormatting sqref="K3">
    <cfRule type="expression" priority="21" dxfId="0" stopIfTrue="1">
      <formula>AND(OR(AND(IF($D3="",INDEX(primary_jama_2019_10517_disposition,MATCH($A3,primary_jama_2019_10517_key,0)),$D3)&lt;&gt;"",IF($D3="",INDEX(primary_jama_2019_10517_disposition,MATCH($A3,primary_jama_2019_10517_key,0)),$D3)&lt;&gt;"retain"),NOT(OR(IF($E3="",INDEX(primary_jama_2019_10517_domain,MATCH($A3,primary_jama_2019_10517_key,0)),$E3)="report_internal_inconsistency",IF($E3="",INDEX(primary_jama_2019_10517_domain,MATCH($A3,primary_jama_2019_10517_key,0)),$E3)="plan_material"))),K3&lt;&gt;"",K3&lt;&gt;"not_applicable")</formula>
    </cfRule>
    <cfRule type="expression" priority="22" dxfId="1">
      <formula>OR(AND(IF($D3="",INDEX(primary_jama_2019_10517_disposition,MATCH($A3,primary_jama_2019_10517_key,0)),$D3)&lt;&gt;"",IF($D3="",INDEX(primary_jama_2019_10517_disposition,MATCH($A3,primary_jama_2019_10517_key,0)),$D3)&lt;&gt;"retain"),NOT(OR(IF($E3="",INDEX(primary_jama_2019_10517_domain,MATCH($A3,primary_jama_2019_10517_key,0)),$E3)="report_internal_inconsistency",IF($E3="",INDEX(primary_jama_2019_10517_domain,MATCH($A3,primary_jama_2019_10517_key,0)),$E3)="plan_material")))</formula>
    </cfRule>
  </conditionalFormatting>
  <conditionalFormatting sqref="K4">
    <cfRule type="expression" priority="23" dxfId="0" stopIfTrue="1">
      <formula>AND(OR(AND(IF($D4="",INDEX(primary_jama_2019_10517_disposition,MATCH($A4,primary_jama_2019_10517_key,0)),$D4)&lt;&gt;"",IF($D4="",INDEX(primary_jama_2019_10517_disposition,MATCH($A4,primary_jama_2019_10517_key,0)),$D4)&lt;&gt;"retain"),NOT(OR(IF($E4="",INDEX(primary_jama_2019_10517_domain,MATCH($A4,primary_jama_2019_10517_key,0)),$E4)="report_internal_inconsistency",IF($E4="",INDEX(primary_jama_2019_10517_domain,MATCH($A4,primary_jama_2019_10517_key,0)),$E4)="plan_material"))),K4&lt;&gt;"",K4&lt;&gt;"not_applicable")</formula>
    </cfRule>
    <cfRule type="expression" priority="24" dxfId="1">
      <formula>OR(AND(IF($D4="",INDEX(primary_jama_2019_10517_disposition,MATCH($A4,primary_jama_2019_10517_key,0)),$D4)&lt;&gt;"",IF($D4="",INDEX(primary_jama_2019_10517_disposition,MATCH($A4,primary_jama_2019_10517_key,0)),$D4)&lt;&gt;"retain"),NOT(OR(IF($E4="",INDEX(primary_jama_2019_10517_domain,MATCH($A4,primary_jama_2019_10517_key,0)),$E4)="report_internal_inconsistency",IF($E4="",INDEX(primary_jama_2019_10517_domain,MATCH($A4,primary_jama_2019_10517_key,0)),$E4)="plan_material")))</formula>
    </cfRule>
  </conditionalFormatting>
  <conditionalFormatting sqref="L2">
    <cfRule type="expression" priority="25" dxfId="0" stopIfTrue="1">
      <formula>AND(OR(AND(IF($D2="",INDEX(primary_jama_2019_10517_disposition,MATCH($A2,primary_jama_2019_10517_key,0)),$D2)&lt;&gt;"",IF($D2="",INDEX(primary_jama_2019_10517_disposition,MATCH($A2,primary_jama_2019_10517_key,0)),$D2)&lt;&gt;"retain"),NOT(OR(IF($E2="",INDEX(primary_jama_2019_10517_domain,MATCH($A2,primary_jama_2019_10517_key,0)),$E2)="protocol_report"))),L2&lt;&gt;"",L2&lt;&gt;"not_applicable")</formula>
    </cfRule>
    <cfRule type="expression" priority="26" dxfId="1">
      <formula>OR(AND(IF($D2="",INDEX(primary_jama_2019_10517_disposition,MATCH($A2,primary_jama_2019_10517_key,0)),$D2)&lt;&gt;"",IF($D2="",INDEX(primary_jama_2019_10517_disposition,MATCH($A2,primary_jama_2019_10517_key,0)),$D2)&lt;&gt;"retain"),NOT(OR(IF($E2="",INDEX(primary_jama_2019_10517_domain,MATCH($A2,primary_jama_2019_10517_key,0)),$E2)="protocol_report")))</formula>
    </cfRule>
  </conditionalFormatting>
  <conditionalFormatting sqref="L3">
    <cfRule type="expression" priority="27" dxfId="0" stopIfTrue="1">
      <formula>AND(OR(AND(IF($D3="",INDEX(primary_jama_2019_10517_disposition,MATCH($A3,primary_jama_2019_10517_key,0)),$D3)&lt;&gt;"",IF($D3="",INDEX(primary_jama_2019_10517_disposition,MATCH($A3,primary_jama_2019_10517_key,0)),$D3)&lt;&gt;"retain"),NOT(OR(IF($E3="",INDEX(primary_jama_2019_10517_domain,MATCH($A3,primary_jama_2019_10517_key,0)),$E3)="protocol_report"))),L3&lt;&gt;"",L3&lt;&gt;"not_applicable")</formula>
    </cfRule>
    <cfRule type="expression" priority="28" dxfId="1">
      <formula>OR(AND(IF($D3="",INDEX(primary_jama_2019_10517_disposition,MATCH($A3,primary_jama_2019_10517_key,0)),$D3)&lt;&gt;"",IF($D3="",INDEX(primary_jama_2019_10517_disposition,MATCH($A3,primary_jama_2019_10517_key,0)),$D3)&lt;&gt;"retain"),NOT(OR(IF($E3="",INDEX(primary_jama_2019_10517_domain,MATCH($A3,primary_jama_2019_10517_key,0)),$E3)="protocol_report")))</formula>
    </cfRule>
  </conditionalFormatting>
  <conditionalFormatting sqref="L4">
    <cfRule type="expression" priority="29" dxfId="0" stopIfTrue="1">
      <formula>AND(OR(AND(IF($D4="",INDEX(primary_jama_2019_10517_disposition,MATCH($A4,primary_jama_2019_10517_key,0)),$D4)&lt;&gt;"",IF($D4="",INDEX(primary_jama_2019_10517_disposition,MATCH($A4,primary_jama_2019_10517_key,0)),$D4)&lt;&gt;"retain"),NOT(OR(IF($E4="",INDEX(primary_jama_2019_10517_domain,MATCH($A4,primary_jama_2019_10517_key,0)),$E4)="protocol_report"))),L4&lt;&gt;"",L4&lt;&gt;"not_applicable")</formula>
    </cfRule>
    <cfRule type="expression" priority="30" dxfId="1">
      <formula>OR(AND(IF($D4="",INDEX(primary_jama_2019_10517_disposition,MATCH($A4,primary_jama_2019_10517_key,0)),$D4)&lt;&gt;"",IF($D4="",INDEX(primary_jama_2019_10517_disposition,MATCH($A4,primary_jama_2019_10517_key,0)),$D4)&lt;&gt;"retain"),NOT(OR(IF($E4="",INDEX(primary_jama_2019_10517_domain,MATCH($A4,primary_jama_2019_10517_key,0)),$E4)="protocol_report")))</formula>
    </cfRule>
  </conditionalFormatting>
  <dataValidations count="10">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N2:N4" showDropDown="0" showInputMessage="1" showErrorMessage="1" allowBlank="1" errorTitle="Invalid option" error="Choose a listed value." promptTitle="Checker result" prompt="See Codebook for meanings." type="list" errorStyle="stop">
      <formula1>opt_checkStatus</formula1>
    </dataValidation>
    <dataValidation sqref="P2:P4"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R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2019::jama.2019.12618::C001</t>
        </is>
      </c>
      <c r="B2" s="2" t="inlineStr">
        <is>
          <t>protocol timeline end date</t>
        </is>
      </c>
      <c r="C2" s="2" t="inlineStr">
        <is>
          <t>joi190092supp2_prod.pdf — PDF p. 11, Table 1.</t>
        </is>
      </c>
      <c r="D2" s="8" t="inlineStr"/>
      <c r="E2" s="8" t="inlineStr"/>
      <c r="F2" s="8" t="inlineStr">
        <is>
          <t>no</t>
        </is>
      </c>
      <c r="G2" s="2">
        <f>IF(OR(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H2&lt;&gt;"",H2&lt;&gt;"not_applicable"),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I2&lt;&gt;"",I2&lt;&gt;"not_applicable"),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J2&lt;&gt;"",J2&lt;&gt;"not_applicable"),AND(OR(AND(IF($D2="",INDEX(primary_jama_2019_12618_disposition,MATCH($A2,primary_jama_2019_12618_key,0)),$D2)&lt;&gt;"",IF($D2="",INDEX(primary_jama_2019_12618_disposition,MATCH($A2,primary_jama_2019_12618_key,0)),$D2)&lt;&gt;"retain"),NOT(OR(IF($E2="",INDEX(primary_jama_2019_12618_domain,MATCH($A2,primary_jama_2019_12618_key,0)),$E2)="report_internal_inconsistency",IF($E2="",INDEX(primary_jama_2019_12618_domain,MATCH($A2,primary_jama_2019_12618_key,0)),$E2)="plan_material"))),K2&lt;&gt;"",K2&lt;&gt;"not_applicable"),AND(OR(AND(IF($D2="",INDEX(primary_jama_2019_12618_disposition,MATCH($A2,primary_jama_2019_12618_key,0)),$D2)&lt;&gt;"",IF($D2="",INDEX(primary_jama_2019_12618_disposition,MATCH($A2,primary_jama_2019_12618_key,0)),$D2)&lt;&gt;"retain"),NOT(OR(IF($E2="",INDEX(primary_jama_2019_12618_domain,MATCH($A2,primary_jama_2019_12618_key,0)),$E2)="protocol_report"))),L2&lt;&gt;"",L2&lt;&gt;"not_applicable")),"CLEAR INACTIVE VALUES",IF(N2="","PENDING",IF(AND(N2&lt;&gt;"agree",LEN(TRIM(O2))=0),"COMMENT NEEDED",IF(F2="yes","CHECKED - see resolution","DRAFT"))))</f>
        <v/>
      </c>
      <c r="H2" s="8">
        <f>IF(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not_applicable","")</f>
        <v/>
      </c>
      <c r="I2" s="8">
        <f>IF(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not_applicable","")</f>
        <v/>
      </c>
      <c r="J2" s="9">
        <f>IF(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not_applicable","")</f>
        <v/>
      </c>
      <c r="K2" s="8">
        <f>IF(OR(AND(IF($D2="",INDEX(primary_jama_2019_12618_disposition,MATCH($A2,primary_jama_2019_12618_key,0)),$D2)&lt;&gt;"",IF($D2="",INDEX(primary_jama_2019_12618_disposition,MATCH($A2,primary_jama_2019_12618_key,0)),$D2)&lt;&gt;"retain"),NOT(OR(IF($E2="",INDEX(primary_jama_2019_12618_domain,MATCH($A2,primary_jama_2019_12618_key,0)),$E2)="report_internal_inconsistency",IF($E2="",INDEX(primary_jama_2019_12618_domain,MATCH($A2,primary_jama_2019_12618_key,0)),$E2)="plan_material"))),"not_applicable","")</f>
        <v/>
      </c>
      <c r="L2" s="9">
        <f>IF(OR(AND(IF($D2="",INDEX(primary_jama_2019_12618_disposition,MATCH($A2,primary_jama_2019_12618_key,0)),$D2)&lt;&gt;"",IF($D2="",INDEX(primary_jama_2019_12618_disposition,MATCH($A2,primary_jama_2019_12618_key,0)),$D2)&lt;&gt;"retain"),NOT(OR(IF($E2="",INDEX(primary_jama_2019_12618_domain,MATCH($A2,primary_jama_2019_12618_key,0)),$E2)="protocol_report"))),"not_applicable","")</f>
        <v/>
      </c>
      <c r="M2" s="2" t="inlineStr">
        <is>
          <t>Disposition: exclude
Review domain: plan_material
Notes (optional): SYNTHETIC TEST DATA ONLY. Exclude is a placeholder for testing the checker workflow, not a scientific assessment. Do not use this sample in research results.</t>
        </is>
      </c>
      <c r="N2" s="8" t="inlineStr"/>
      <c r="O2" s="10" t="inlineStr"/>
      <c r="P2" s="8" t="inlineStr">
        <is>
          <t>pending</t>
        </is>
      </c>
      <c r="Q2" s="10" t="inlineStr"/>
      <c r="R2" s="11" t="inlineStr"/>
    </row>
    <row r="3" ht="76" customHeight="1">
      <c r="A3" s="3" t="inlineStr">
        <is>
          <t>2019::jama.2019.12618::C002</t>
        </is>
      </c>
      <c r="B3" s="3" t="inlineStr">
        <is>
          <t>eligible failure total vs switching denominators</t>
        </is>
      </c>
      <c r="C3" s="3" t="inlineStr">
        <is>
          <t>jama_rathinam_2019_oi_190092.pdf — PDF p. 7; jama_rathinam_2019_oi_190092.pdf — PDF p. 6, Table 2; jama_rathinam_2019_oi_190092.pdf — PDF p. 3, Figure 1.</t>
        </is>
      </c>
      <c r="D3" s="8" t="inlineStr"/>
      <c r="E3" s="8" t="inlineStr"/>
      <c r="F3" s="8" t="inlineStr">
        <is>
          <t>no</t>
        </is>
      </c>
      <c r="G3" s="3">
        <f>IF(OR(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H3&lt;&gt;"",H3&lt;&gt;"not_applicable"),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I3&lt;&gt;"",I3&lt;&gt;"not_applicable"),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J3&lt;&gt;"",J3&lt;&gt;"not_applicable"),AND(OR(AND(IF($D3="",INDEX(primary_jama_2019_12618_disposition,MATCH($A3,primary_jama_2019_12618_key,0)),$D3)&lt;&gt;"",IF($D3="",INDEX(primary_jama_2019_12618_disposition,MATCH($A3,primary_jama_2019_12618_key,0)),$D3)&lt;&gt;"retain"),NOT(OR(IF($E3="",INDEX(primary_jama_2019_12618_domain,MATCH($A3,primary_jama_2019_12618_key,0)),$E3)="report_internal_inconsistency",IF($E3="",INDEX(primary_jama_2019_12618_domain,MATCH($A3,primary_jama_2019_12618_key,0)),$E3)="plan_material"))),K3&lt;&gt;"",K3&lt;&gt;"not_applicable"),AND(OR(AND(IF($D3="",INDEX(primary_jama_2019_12618_disposition,MATCH($A3,primary_jama_2019_12618_key,0)),$D3)&lt;&gt;"",IF($D3="",INDEX(primary_jama_2019_12618_disposition,MATCH($A3,primary_jama_2019_12618_key,0)),$D3)&lt;&gt;"retain"),NOT(OR(IF($E3="",INDEX(primary_jama_2019_12618_domain,MATCH($A3,primary_jama_2019_12618_key,0)),$E3)="protocol_report"))),L3&lt;&gt;"",L3&lt;&gt;"not_applicable")),"CLEAR INACTIVE VALUES",IF(N3="","PENDING",IF(AND(N3&lt;&gt;"agree",LEN(TRIM(O3))=0),"COMMENT NEEDED",IF(F3="yes","CHECKED - see resolution","DRAFT"))))</f>
        <v/>
      </c>
      <c r="H3" s="8">
        <f>IF(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not_applicable","")</f>
        <v/>
      </c>
      <c r="I3" s="8">
        <f>IF(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not_applicable","")</f>
        <v/>
      </c>
      <c r="J3" s="9">
        <f>IF(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not_applicable","")</f>
        <v/>
      </c>
      <c r="K3" s="8">
        <f>IF(OR(AND(IF($D3="",INDEX(primary_jama_2019_12618_disposition,MATCH($A3,primary_jama_2019_12618_key,0)),$D3)&lt;&gt;"",IF($D3="",INDEX(primary_jama_2019_12618_disposition,MATCH($A3,primary_jama_2019_12618_key,0)),$D3)&lt;&gt;"retain"),NOT(OR(IF($E3="",INDEX(primary_jama_2019_12618_domain,MATCH($A3,primary_jama_2019_12618_key,0)),$E3)="report_internal_inconsistency",IF($E3="",INDEX(primary_jama_2019_12618_domain,MATCH($A3,primary_jama_2019_12618_key,0)),$E3)="plan_material"))),"not_applicable","")</f>
        <v/>
      </c>
      <c r="L3" s="9">
        <f>IF(OR(AND(IF($D3="",INDEX(primary_jama_2019_12618_disposition,MATCH($A3,primary_jama_2019_12618_key,0)),$D3)&lt;&gt;"",IF($D3="",INDEX(primary_jama_2019_12618_disposition,MATCH($A3,primary_jama_2019_12618_key,0)),$D3)&lt;&gt;"retain"),NOT(OR(IF($E3="",INDEX(primary_jama_2019_12618_domain,MATCH($A3,primary_jama_2019_12618_key,0)),$E3)="protocol_report"))),"not_applicable","")</f>
        <v/>
      </c>
      <c r="M3" s="3" t="inlineStr">
        <is>
          <t>Disposition: exclude
Review domain: statistical_results
Notes (optional): SYNTHETIC TEST DATA ONLY. Exclude is a placeholder for testing the checker workflow, not a scientific assessment. Do not use this sample in research results.</t>
        </is>
      </c>
      <c r="N3" s="8" t="inlineStr"/>
      <c r="O3" s="10" t="inlineStr"/>
      <c r="P3" s="8" t="inlineStr">
        <is>
          <t>pending</t>
        </is>
      </c>
      <c r="Q3" s="10" t="inlineStr"/>
      <c r="R3" s="11" t="inlineStr"/>
    </row>
    <row r="4" ht="76" customHeight="1">
      <c r="A4" s="2" t="inlineStr">
        <is>
          <t>2019::jama.2019.12618::C003</t>
        </is>
      </c>
      <c r="B4" s="2" t="inlineStr">
        <is>
          <t>allocation block sizes</t>
        </is>
      </c>
      <c r="C4" s="2" t="inlineStr">
        <is>
          <t>jama_rathinam_2019_oi_190092.pdf — PDF p. 2; joi190092supp2_prod.pdf — PDF p. 13; joi190092supp3_prod.pdf — PDF p. 9; joi190092supp3_prod.pdf — PDF pp. 49–50 and p. 50.</t>
        </is>
      </c>
      <c r="D4" s="8" t="inlineStr"/>
      <c r="E4" s="8" t="inlineStr"/>
      <c r="F4" s="8" t="inlineStr">
        <is>
          <t>no</t>
        </is>
      </c>
      <c r="G4" s="2">
        <f>IF(OR(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H4&lt;&gt;"",H4&lt;&gt;"not_applicable"),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I4&lt;&gt;"",I4&lt;&gt;"not_applicable"),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J4&lt;&gt;"",J4&lt;&gt;"not_applicable"),AND(OR(AND(IF($D4="",INDEX(primary_jama_2019_12618_disposition,MATCH($A4,primary_jama_2019_12618_key,0)),$D4)&lt;&gt;"",IF($D4="",INDEX(primary_jama_2019_12618_disposition,MATCH($A4,primary_jama_2019_12618_key,0)),$D4)&lt;&gt;"retain"),NOT(OR(IF($E4="",INDEX(primary_jama_2019_12618_domain,MATCH($A4,primary_jama_2019_12618_key,0)),$E4)="report_internal_inconsistency",IF($E4="",INDEX(primary_jama_2019_12618_domain,MATCH($A4,primary_jama_2019_12618_key,0)),$E4)="plan_material"))),K4&lt;&gt;"",K4&lt;&gt;"not_applicable"),AND(OR(AND(IF($D4="",INDEX(primary_jama_2019_12618_disposition,MATCH($A4,primary_jama_2019_12618_key,0)),$D4)&lt;&gt;"",IF($D4="",INDEX(primary_jama_2019_12618_disposition,MATCH($A4,primary_jama_2019_12618_key,0)),$D4)&lt;&gt;"retain"),NOT(OR(IF($E4="",INDEX(primary_jama_2019_12618_domain,MATCH($A4,primary_jama_2019_12618_key,0)),$E4)="protocol_report"))),L4&lt;&gt;"",L4&lt;&gt;"not_applicable")),"CLEAR INACTIVE VALUES",IF(N4="","PENDING",IF(AND(N4&lt;&gt;"agree",LEN(TRIM(O4))=0),"COMMENT NEEDED",IF(F4="yes","CHECKED - see resolution","DRAFT"))))</f>
        <v/>
      </c>
      <c r="H4" s="8">
        <f>IF(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not_applicable","")</f>
        <v/>
      </c>
      <c r="I4" s="8">
        <f>IF(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not_applicable","")</f>
        <v/>
      </c>
      <c r="J4" s="9">
        <f>IF(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not_applicable","")</f>
        <v/>
      </c>
      <c r="K4" s="8">
        <f>IF(OR(AND(IF($D4="",INDEX(primary_jama_2019_12618_disposition,MATCH($A4,primary_jama_2019_12618_key,0)),$D4)&lt;&gt;"",IF($D4="",INDEX(primary_jama_2019_12618_disposition,MATCH($A4,primary_jama_2019_12618_key,0)),$D4)&lt;&gt;"retain"),NOT(OR(IF($E4="",INDEX(primary_jama_2019_12618_domain,MATCH($A4,primary_jama_2019_12618_key,0)),$E4)="report_internal_inconsistency",IF($E4="",INDEX(primary_jama_2019_12618_domain,MATCH($A4,primary_jama_2019_12618_key,0)),$E4)="plan_material"))),"not_applicable","")</f>
        <v/>
      </c>
      <c r="L4" s="9">
        <f>IF(OR(AND(IF($D4="",INDEX(primary_jama_2019_12618_disposition,MATCH($A4,primary_jama_2019_12618_key,0)),$D4)&lt;&gt;"",IF($D4="",INDEX(primary_jama_2019_12618_disposition,MATCH($A4,primary_jama_2019_12618_key,0)),$D4)&lt;&gt;"retain"),NOT(OR(IF($E4="",INDEX(primary_jama_2019_12618_domain,MATCH($A4,primary_jama_2019_12618_key,0)),$E4)="protocol_report"))),"not_applicable","")</f>
        <v/>
      </c>
      <c r="M4" s="2" t="inlineStr">
        <is>
          <t>Disposition: exclude
Review domain: protocol_report
Notes (optional): SYNTHETIC TEST DATA ONLY. Exclude is a placeholder for testing the checker workflow, not a scientific assessment. Do not use this sample in research results.</t>
        </is>
      </c>
      <c r="N4" s="8" t="inlineStr"/>
      <c r="O4" s="10" t="inlineStr"/>
      <c r="P4" s="8" t="inlineStr">
        <is>
          <t>pending</t>
        </is>
      </c>
      <c r="Q4" s="10" t="inlineStr"/>
      <c r="R4" s="11" t="inlineStr"/>
    </row>
    <row r="5" ht="76" customHeight="1">
      <c r="A5" s="3" t="inlineStr">
        <is>
          <t>2019::jama.2019.12618::C004</t>
        </is>
      </c>
      <c r="B5" s="3" t="inlineStr">
        <is>
          <t>six-month success injection-after-90-days criterion</t>
        </is>
      </c>
      <c r="C5" s="3" t="inlineStr">
        <is>
          <t>jama_rathinam_2019_oi_190092.pdf — PDF p. 3; jama_rathinam_2019_oi_190092.pdf — PDF p. 6; joi190092supp2_prod.pdf — PDF p. 80, §2.5.1; joi190092supp3_prod.pdf — PDF p. 70.</t>
        </is>
      </c>
      <c r="D5" s="8" t="inlineStr"/>
      <c r="E5" s="8" t="inlineStr"/>
      <c r="F5" s="8" t="inlineStr">
        <is>
          <t>no</t>
        </is>
      </c>
      <c r="G5" s="3">
        <f>IF(OR(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H5&lt;&gt;"",H5&lt;&gt;"not_applicable"),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I5&lt;&gt;"",I5&lt;&gt;"not_applicable"),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J5&lt;&gt;"",J5&lt;&gt;"not_applicable"),AND(OR(AND(IF($D5="",INDEX(primary_jama_2019_12618_disposition,MATCH($A5,primary_jama_2019_12618_key,0)),$D5)&lt;&gt;"",IF($D5="",INDEX(primary_jama_2019_12618_disposition,MATCH($A5,primary_jama_2019_12618_key,0)),$D5)&lt;&gt;"retain"),NOT(OR(IF($E5="",INDEX(primary_jama_2019_12618_domain,MATCH($A5,primary_jama_2019_12618_key,0)),$E5)="report_internal_inconsistency",IF($E5="",INDEX(primary_jama_2019_12618_domain,MATCH($A5,primary_jama_2019_12618_key,0)),$E5)="plan_material"))),K5&lt;&gt;"",K5&lt;&gt;"not_applicable"),AND(OR(AND(IF($D5="",INDEX(primary_jama_2019_12618_disposition,MATCH($A5,primary_jama_2019_12618_key,0)),$D5)&lt;&gt;"",IF($D5="",INDEX(primary_jama_2019_12618_disposition,MATCH($A5,primary_jama_2019_12618_key,0)),$D5)&lt;&gt;"retain"),NOT(OR(IF($E5="",INDEX(primary_jama_2019_12618_domain,MATCH($A5,primary_jama_2019_12618_key,0)),$E5)="protocol_report"))),L5&lt;&gt;"",L5&lt;&gt;"not_applicable")),"CLEAR INACTIVE VALUES",IF(N5="","PENDING",IF(AND(N5&lt;&gt;"agree",LEN(TRIM(O5))=0),"COMMENT NEEDED",IF(F5="yes","CHECKED - see resolution","DRAFT"))))</f>
        <v/>
      </c>
      <c r="H5" s="8">
        <f>IF(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not_applicable","")</f>
        <v/>
      </c>
      <c r="I5" s="8">
        <f>IF(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not_applicable","")</f>
        <v/>
      </c>
      <c r="J5" s="9">
        <f>IF(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not_applicable","")</f>
        <v/>
      </c>
      <c r="K5" s="8">
        <f>IF(OR(AND(IF($D5="",INDEX(primary_jama_2019_12618_disposition,MATCH($A5,primary_jama_2019_12618_key,0)),$D5)&lt;&gt;"",IF($D5="",INDEX(primary_jama_2019_12618_disposition,MATCH($A5,primary_jama_2019_12618_key,0)),$D5)&lt;&gt;"retain"),NOT(OR(IF($E5="",INDEX(primary_jama_2019_12618_domain,MATCH($A5,primary_jama_2019_12618_key,0)),$E5)="report_internal_inconsistency",IF($E5="",INDEX(primary_jama_2019_12618_domain,MATCH($A5,primary_jama_2019_12618_key,0)),$E5)="plan_material"))),"not_applicable","")</f>
        <v/>
      </c>
      <c r="L5" s="9">
        <f>IF(OR(AND(IF($D5="",INDEX(primary_jama_2019_12618_disposition,MATCH($A5,primary_jama_2019_12618_key,0)),$D5)&lt;&gt;"",IF($D5="",INDEX(primary_jama_2019_12618_disposition,MATCH($A5,primary_jama_2019_12618_key,0)),$D5)&lt;&gt;"retain"),NOT(OR(IF($E5="",INDEX(primary_jama_2019_12618_domain,MATCH($A5,primary_jama_2019_12618_key,0)),$E5)="protocol_report"))),"not_applicable","")</f>
        <v/>
      </c>
      <c r="M5" s="3" t="inlineStr">
        <is>
          <t>Disposition: exclude
Review domain: protocol_report
Notes (optional): SYNTHETIC TEST DATA ONLY. Exclude is a placeholder for testing the checker workflow, not a scientific assessment. Do not use this sample in research results.</t>
        </is>
      </c>
      <c r="N5" s="8" t="inlineStr"/>
      <c r="O5" s="10" t="inlineStr"/>
      <c r="P5" s="8" t="inlineStr">
        <is>
          <t>pending</t>
        </is>
      </c>
      <c r="Q5" s="10" t="inlineStr"/>
      <c r="R5" s="11" t="inlineStr"/>
    </row>
    <row r="6" ht="76" customHeight="1">
      <c r="A6" s="2" t="inlineStr">
        <is>
          <t>2019::jama.2019.12618::C005</t>
        </is>
      </c>
      <c r="B6" s="2" t="inlineStr">
        <is>
          <t>missed-dose Welch P=.87 compatibility</t>
        </is>
      </c>
      <c r="C6" s="2" t="inlineStr">
        <is>
          <t>jama_rathinam_2019_oi_190092.pdf — PDF p. 4; jama_rathinam_2019_oi_190092.pdf — PDF p. 6, Table 2.</t>
        </is>
      </c>
      <c r="D6" s="8" t="inlineStr"/>
      <c r="E6" s="8" t="inlineStr"/>
      <c r="F6" s="8" t="inlineStr">
        <is>
          <t>no</t>
        </is>
      </c>
      <c r="G6" s="2">
        <f>IF(OR(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H6&lt;&gt;"",H6&lt;&gt;"not_applicable"),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I6&lt;&gt;"",I6&lt;&gt;"not_applicable"),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J6&lt;&gt;"",J6&lt;&gt;"not_applicable"),AND(OR(AND(IF($D6="",INDEX(primary_jama_2019_12618_disposition,MATCH($A6,primary_jama_2019_12618_key,0)),$D6)&lt;&gt;"",IF($D6="",INDEX(primary_jama_2019_12618_disposition,MATCH($A6,primary_jama_2019_12618_key,0)),$D6)&lt;&gt;"retain"),NOT(OR(IF($E6="",INDEX(primary_jama_2019_12618_domain,MATCH($A6,primary_jama_2019_12618_key,0)),$E6)="report_internal_inconsistency",IF($E6="",INDEX(primary_jama_2019_12618_domain,MATCH($A6,primary_jama_2019_12618_key,0)),$E6)="plan_material"))),K6&lt;&gt;"",K6&lt;&gt;"not_applicable"),AND(OR(AND(IF($D6="",INDEX(primary_jama_2019_12618_disposition,MATCH($A6,primary_jama_2019_12618_key,0)),$D6)&lt;&gt;"",IF($D6="",INDEX(primary_jama_2019_12618_disposition,MATCH($A6,primary_jama_2019_12618_key,0)),$D6)&lt;&gt;"retain"),NOT(OR(IF($E6="",INDEX(primary_jama_2019_12618_domain,MATCH($A6,primary_jama_2019_12618_key,0)),$E6)="protocol_report"))),L6&lt;&gt;"",L6&lt;&gt;"not_applicable")),"CLEAR INACTIVE VALUES",IF(N6="","PENDING",IF(AND(N6&lt;&gt;"agree",LEN(TRIM(O6))=0),"COMMENT NEEDED",IF(F6="yes","CHECKED - see resolution","DRAFT"))))</f>
        <v/>
      </c>
      <c r="H6" s="8">
        <f>IF(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not_applicable","")</f>
        <v/>
      </c>
      <c r="I6" s="8">
        <f>IF(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not_applicable","")</f>
        <v/>
      </c>
      <c r="J6" s="9">
        <f>IF(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not_applicable","")</f>
        <v/>
      </c>
      <c r="K6" s="8">
        <f>IF(OR(AND(IF($D6="",INDEX(primary_jama_2019_12618_disposition,MATCH($A6,primary_jama_2019_12618_key,0)),$D6)&lt;&gt;"",IF($D6="",INDEX(primary_jama_2019_12618_disposition,MATCH($A6,primary_jama_2019_12618_key,0)),$D6)&lt;&gt;"retain"),NOT(OR(IF($E6="",INDEX(primary_jama_2019_12618_domain,MATCH($A6,primary_jama_2019_12618_key,0)),$E6)="report_internal_inconsistency",IF($E6="",INDEX(primary_jama_2019_12618_domain,MATCH($A6,primary_jama_2019_12618_key,0)),$E6)="plan_material"))),"not_applicable","")</f>
        <v/>
      </c>
      <c r="L6" s="9">
        <f>IF(OR(AND(IF($D6="",INDEX(primary_jama_2019_12618_disposition,MATCH($A6,primary_jama_2019_12618_key,0)),$D6)&lt;&gt;"",IF($D6="",INDEX(primary_jama_2019_12618_disposition,MATCH($A6,primary_jama_2019_12618_key,0)),$D6)&lt;&gt;"retain"),NOT(OR(IF($E6="",INDEX(primary_jama_2019_12618_domain,MATCH($A6,primary_jama_2019_12618_key,0)),$E6)="protocol_report"))),"not_applicable","")</f>
        <v/>
      </c>
      <c r="M6" s="2" t="inlineStr">
        <is>
          <t>Disposition: exclude
Review domain: statistical_results
Notes (optional): SYNTHETIC TEST DATA ONLY. Exclude is a placeholder for testing the checker workflow, not a scientific assessment. Do not use this sample in research results.</t>
        </is>
      </c>
      <c r="N6" s="8" t="inlineStr"/>
      <c r="O6" s="10" t="inlineStr"/>
      <c r="P6" s="8" t="inlineStr">
        <is>
          <t>pending</t>
        </is>
      </c>
      <c r="Q6" s="10" t="inlineStr"/>
      <c r="R6" s="11" t="inlineStr"/>
    </row>
    <row r="7" ht="76" customHeight="1">
      <c r="A7" s="3" t="inlineStr">
        <is>
          <t>2019::jama.2019.12618::C006</t>
        </is>
      </c>
      <c r="B7" s="3" t="inlineStr">
        <is>
          <t>main Table 3 MMF n=109 header vs supplement N=108/percentages</t>
        </is>
      </c>
      <c r="C7" s="3" t="inlineStr">
        <is>
          <t>jama_rathinam_2019_oi_190092.pdf — PDF p. 8, Table 3; joi190092supp1_prod.pdf — PDF p. 10, eTable 4; joi190092supp1_prod.pdf — PDF p. 11, eTable 5; joi190092supp1_prod.pdf — PDF p. 12, eTable 6.</t>
        </is>
      </c>
      <c r="D7" s="8" t="inlineStr"/>
      <c r="E7" s="8" t="inlineStr"/>
      <c r="F7" s="8" t="inlineStr">
        <is>
          <t>no</t>
        </is>
      </c>
      <c r="G7" s="3">
        <f>IF(OR(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H7&lt;&gt;"",H7&lt;&gt;"not_applicable"),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I7&lt;&gt;"",I7&lt;&gt;"not_applicable"),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J7&lt;&gt;"",J7&lt;&gt;"not_applicable"),AND(OR(AND(IF($D7="",INDEX(primary_jama_2019_12618_disposition,MATCH($A7,primary_jama_2019_12618_key,0)),$D7)&lt;&gt;"",IF($D7="",INDEX(primary_jama_2019_12618_disposition,MATCH($A7,primary_jama_2019_12618_key,0)),$D7)&lt;&gt;"retain"),NOT(OR(IF($E7="",INDEX(primary_jama_2019_12618_domain,MATCH($A7,primary_jama_2019_12618_key,0)),$E7)="report_internal_inconsistency",IF($E7="",INDEX(primary_jama_2019_12618_domain,MATCH($A7,primary_jama_2019_12618_key,0)),$E7)="plan_material"))),K7&lt;&gt;"",K7&lt;&gt;"not_applicable"),AND(OR(AND(IF($D7="",INDEX(primary_jama_2019_12618_disposition,MATCH($A7,primary_jama_2019_12618_key,0)),$D7)&lt;&gt;"",IF($D7="",INDEX(primary_jama_2019_12618_disposition,MATCH($A7,primary_jama_2019_12618_key,0)),$D7)&lt;&gt;"retain"),NOT(OR(IF($E7="",INDEX(primary_jama_2019_12618_domain,MATCH($A7,primary_jama_2019_12618_key,0)),$E7)="protocol_report"))),L7&lt;&gt;"",L7&lt;&gt;"not_applicable")),"CLEAR INACTIVE VALUES",IF(N7="","PENDING",IF(AND(N7&lt;&gt;"agree",LEN(TRIM(O7))=0),"COMMENT NEEDED",IF(F7="yes","CHECKED - see resolution","DRAFT"))))</f>
        <v/>
      </c>
      <c r="H7" s="8">
        <f>IF(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not_applicable","")</f>
        <v/>
      </c>
      <c r="I7" s="8">
        <f>IF(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not_applicable","")</f>
        <v/>
      </c>
      <c r="J7" s="9">
        <f>IF(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not_applicable","")</f>
        <v/>
      </c>
      <c r="K7" s="8">
        <f>IF(OR(AND(IF($D7="",INDEX(primary_jama_2019_12618_disposition,MATCH($A7,primary_jama_2019_12618_key,0)),$D7)&lt;&gt;"",IF($D7="",INDEX(primary_jama_2019_12618_disposition,MATCH($A7,primary_jama_2019_12618_key,0)),$D7)&lt;&gt;"retain"),NOT(OR(IF($E7="",INDEX(primary_jama_2019_12618_domain,MATCH($A7,primary_jama_2019_12618_key,0)),$E7)="report_internal_inconsistency",IF($E7="",INDEX(primary_jama_2019_12618_domain,MATCH($A7,primary_jama_2019_12618_key,0)),$E7)="plan_material"))),"not_applicable","")</f>
        <v/>
      </c>
      <c r="L7" s="9">
        <f>IF(OR(AND(IF($D7="",INDEX(primary_jama_2019_12618_disposition,MATCH($A7,primary_jama_2019_12618_key,0)),$D7)&lt;&gt;"",IF($D7="",INDEX(primary_jama_2019_12618_disposition,MATCH($A7,primary_jama_2019_12618_key,0)),$D7)&lt;&gt;"retain"),NOT(OR(IF($E7="",INDEX(primary_jama_2019_12618_domain,MATCH($A7,primary_jama_2019_12618_key,0)),$E7)="protocol_report"))),"not_applicable","")</f>
        <v/>
      </c>
      <c r="M7" s="3" t="inlineStr">
        <is>
          <t>Disposition: exclude
Review domain: report_internal_inconsistency
Notes (optional): SYNTHETIC TEST DATA ONLY. Exclude is a placeholder for testing the checker workflow, not a scientific assessment. Do not use this sample in research results.</t>
        </is>
      </c>
      <c r="N7" s="8" t="inlineStr"/>
      <c r="O7" s="10" t="inlineStr"/>
      <c r="P7" s="8" t="inlineStr">
        <is>
          <t>pending</t>
        </is>
      </c>
      <c r="Q7" s="10" t="inlineStr"/>
      <c r="R7" s="11" t="inlineStr"/>
    </row>
    <row r="8" ht="76" customHeight="1">
      <c r="A8" s="2" t="inlineStr">
        <is>
          <t>2019::jama.2019.12618::C007</t>
        </is>
      </c>
      <c r="B8" s="2" t="inlineStr">
        <is>
          <t>eTable 9 MMF serious diarrhea 1 (3.4) vs N=20</t>
        </is>
      </c>
      <c r="C8" s="2" t="inlineStr">
        <is>
          <t>joi190092supp1_prod.pdf — PDF p. 15, eTable 9, MMF N=20, Serious Systemic diarrhea row.</t>
        </is>
      </c>
      <c r="D8" s="8" t="inlineStr"/>
      <c r="E8" s="8" t="inlineStr"/>
      <c r="F8" s="8" t="inlineStr">
        <is>
          <t>no</t>
        </is>
      </c>
      <c r="G8" s="2">
        <f>IF(OR(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H8&lt;&gt;"",H8&lt;&gt;"not_applicable"),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I8&lt;&gt;"",I8&lt;&gt;"not_applicable"),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J8&lt;&gt;"",J8&lt;&gt;"not_applicable"),AND(OR(AND(IF($D8="",INDEX(primary_jama_2019_12618_disposition,MATCH($A8,primary_jama_2019_12618_key,0)),$D8)&lt;&gt;"",IF($D8="",INDEX(primary_jama_2019_12618_disposition,MATCH($A8,primary_jama_2019_12618_key,0)),$D8)&lt;&gt;"retain"),NOT(OR(IF($E8="",INDEX(primary_jama_2019_12618_domain,MATCH($A8,primary_jama_2019_12618_key,0)),$E8)="report_internal_inconsistency",IF($E8="",INDEX(primary_jama_2019_12618_domain,MATCH($A8,primary_jama_2019_12618_key,0)),$E8)="plan_material"))),K8&lt;&gt;"",K8&lt;&gt;"not_applicable"),AND(OR(AND(IF($D8="",INDEX(primary_jama_2019_12618_disposition,MATCH($A8,primary_jama_2019_12618_key,0)),$D8)&lt;&gt;"",IF($D8="",INDEX(primary_jama_2019_12618_disposition,MATCH($A8,primary_jama_2019_12618_key,0)),$D8)&lt;&gt;"retain"),NOT(OR(IF($E8="",INDEX(primary_jama_2019_12618_domain,MATCH($A8,primary_jama_2019_12618_key,0)),$E8)="protocol_report"))),L8&lt;&gt;"",L8&lt;&gt;"not_applicable")),"CLEAR INACTIVE VALUES",IF(N8="","PENDING",IF(AND(N8&lt;&gt;"agree",LEN(TRIM(O8))=0),"COMMENT NEEDED",IF(F8="yes","CHECKED - see resolution","DRAFT"))))</f>
        <v/>
      </c>
      <c r="H8" s="8">
        <f>IF(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not_applicable","")</f>
        <v/>
      </c>
      <c r="I8" s="8">
        <f>IF(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not_applicable","")</f>
        <v/>
      </c>
      <c r="J8" s="9">
        <f>IF(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not_applicable","")</f>
        <v/>
      </c>
      <c r="K8" s="8">
        <f>IF(OR(AND(IF($D8="",INDEX(primary_jama_2019_12618_disposition,MATCH($A8,primary_jama_2019_12618_key,0)),$D8)&lt;&gt;"",IF($D8="",INDEX(primary_jama_2019_12618_disposition,MATCH($A8,primary_jama_2019_12618_key,0)),$D8)&lt;&gt;"retain"),NOT(OR(IF($E8="",INDEX(primary_jama_2019_12618_domain,MATCH($A8,primary_jama_2019_12618_key,0)),$E8)="report_internal_inconsistency",IF($E8="",INDEX(primary_jama_2019_12618_domain,MATCH($A8,primary_jama_2019_12618_key,0)),$E8)="plan_material"))),"not_applicable","")</f>
        <v/>
      </c>
      <c r="L8" s="9">
        <f>IF(OR(AND(IF($D8="",INDEX(primary_jama_2019_12618_disposition,MATCH($A8,primary_jama_2019_12618_key,0)),$D8)&lt;&gt;"",IF($D8="",INDEX(primary_jama_2019_12618_disposition,MATCH($A8,primary_jama_2019_12618_key,0)),$D8)&lt;&gt;"retain"),NOT(OR(IF($E8="",INDEX(primary_jama_2019_12618_domain,MATCH($A8,primary_jama_2019_12618_key,0)),$E8)="protocol_report"))),"not_applicable","")</f>
        <v/>
      </c>
      <c r="M8" s="2" t="inlineStr">
        <is>
          <t>Disposition: exclude
Review domain: statistical_results
Notes (optional): SYNTHETIC TEST DATA ONLY. Exclude is a placeholder for testing the checker workflow, not a scientific assessment. Do not use this sample in research results.</t>
        </is>
      </c>
      <c r="N8" s="8" t="inlineStr"/>
      <c r="O8" s="10" t="inlineStr"/>
      <c r="P8" s="8" t="inlineStr">
        <is>
          <t>pending</t>
        </is>
      </c>
      <c r="Q8" s="10" t="inlineStr"/>
      <c r="R8" s="11" t="inlineStr"/>
    </row>
    <row r="9" ht="76" customHeight="1">
      <c r="A9" s="3" t="inlineStr">
        <is>
          <t>2019::jama.2019.12618::C008</t>
        </is>
      </c>
      <c r="B9" s="3" t="inlineStr">
        <is>
          <t>eTable 8 serious-ocular hypertension label vs eTable 1 surgery-required definition</t>
        </is>
      </c>
      <c r="C9" s="3" t="inlineStr">
        <is>
          <t>joi190092supp1_prod.pdf — PDF p. 5, eTable 1; joi190092supp1_prod.pdf — PDF p. 14, eTable 8; joi190092supp1_prod.pdf — PDF p. 15, eTable 9.</t>
        </is>
      </c>
      <c r="D9" s="8" t="inlineStr"/>
      <c r="E9" s="8" t="inlineStr"/>
      <c r="F9" s="8" t="inlineStr">
        <is>
          <t>no</t>
        </is>
      </c>
      <c r="G9" s="3">
        <f>IF(OR(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H9&lt;&gt;"",H9&lt;&gt;"not_applicable"),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I9&lt;&gt;"",I9&lt;&gt;"not_applicable"),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J9&lt;&gt;"",J9&lt;&gt;"not_applicable"),AND(OR(AND(IF($D9="",INDEX(primary_jama_2019_12618_disposition,MATCH($A9,primary_jama_2019_12618_key,0)),$D9)&lt;&gt;"",IF($D9="",INDEX(primary_jama_2019_12618_disposition,MATCH($A9,primary_jama_2019_12618_key,0)),$D9)&lt;&gt;"retain"),NOT(OR(IF($E9="",INDEX(primary_jama_2019_12618_domain,MATCH($A9,primary_jama_2019_12618_key,0)),$E9)="report_internal_inconsistency",IF($E9="",INDEX(primary_jama_2019_12618_domain,MATCH($A9,primary_jama_2019_12618_key,0)),$E9)="plan_material"))),K9&lt;&gt;"",K9&lt;&gt;"not_applicable"),AND(OR(AND(IF($D9="",INDEX(primary_jama_2019_12618_disposition,MATCH($A9,primary_jama_2019_12618_key,0)),$D9)&lt;&gt;"",IF($D9="",INDEX(primary_jama_2019_12618_disposition,MATCH($A9,primary_jama_2019_12618_key,0)),$D9)&lt;&gt;"retain"),NOT(OR(IF($E9="",INDEX(primary_jama_2019_12618_domain,MATCH($A9,primary_jama_2019_12618_key,0)),$E9)="protocol_report"))),L9&lt;&gt;"",L9&lt;&gt;"not_applicable")),"CLEAR INACTIVE VALUES",IF(N9="","PENDING",IF(AND(N9&lt;&gt;"agree",LEN(TRIM(O9))=0),"COMMENT NEEDED",IF(F9="yes","CHECKED - see resolution","DRAFT"))))</f>
        <v/>
      </c>
      <c r="H9" s="8">
        <f>IF(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not_applicable","")</f>
        <v/>
      </c>
      <c r="I9" s="8">
        <f>IF(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not_applicable","")</f>
        <v/>
      </c>
      <c r="J9" s="9">
        <f>IF(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not_applicable","")</f>
        <v/>
      </c>
      <c r="K9" s="8">
        <f>IF(OR(AND(IF($D9="",INDEX(primary_jama_2019_12618_disposition,MATCH($A9,primary_jama_2019_12618_key,0)),$D9)&lt;&gt;"",IF($D9="",INDEX(primary_jama_2019_12618_disposition,MATCH($A9,primary_jama_2019_12618_key,0)),$D9)&lt;&gt;"retain"),NOT(OR(IF($E9="",INDEX(primary_jama_2019_12618_domain,MATCH($A9,primary_jama_2019_12618_key,0)),$E9)="report_internal_inconsistency",IF($E9="",INDEX(primary_jama_2019_12618_domain,MATCH($A9,primary_jama_2019_12618_key,0)),$E9)="plan_material"))),"not_applicable","")</f>
        <v/>
      </c>
      <c r="L9" s="9">
        <f>IF(OR(AND(IF($D9="",INDEX(primary_jama_2019_12618_disposition,MATCH($A9,primary_jama_2019_12618_key,0)),$D9)&lt;&gt;"",IF($D9="",INDEX(primary_jama_2019_12618_disposition,MATCH($A9,primary_jama_2019_12618_key,0)),$D9)&lt;&gt;"retain"),NOT(OR(IF($E9="",INDEX(primary_jama_2019_12618_domain,MATCH($A9,primary_jama_2019_12618_key,0)),$E9)="protocol_report"))),"not_applicable","")</f>
        <v/>
      </c>
      <c r="M9" s="3" t="inlineStr">
        <is>
          <t>Disposition: exclude
Review domain: report_internal_inconsistency
Notes (optional): SYNTHETIC TEST DATA ONLY. Exclude is a placeholder for testing the checker workflow, not a scientific assessment. Do not use this sample in research results.</t>
        </is>
      </c>
      <c r="N9" s="8" t="inlineStr"/>
      <c r="O9" s="10" t="inlineStr"/>
      <c r="P9" s="8" t="inlineStr">
        <is>
          <t>pending</t>
        </is>
      </c>
      <c r="Q9" s="10" t="inlineStr"/>
      <c r="R9" s="11" t="inlineStr"/>
    </row>
  </sheetData>
  <sheetProtection selectLockedCells="0" selectUnlockedCells="0" sheet="1" objects="0" insertRows="1" insertHyperlinks="1" autoFilter="0" scenarios="0" formatColumns="1" deleteColumns="1" insertColumns="1" pivotTables="1" deleteRows="1" formatCells="1" formatRows="1" sort="1"/>
  <autoFilter ref="A1:R9"/>
  <conditionalFormatting sqref="H2">
    <cfRule type="expression" priority="1" dxfId="0" stopIfTrue="1">
      <formula>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H2&lt;&gt;"",H2&lt;&gt;"not_applicable")</formula>
    </cfRule>
    <cfRule type="expression" priority="2" dxfId="1">
      <formula>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formula>
    </cfRule>
  </conditionalFormatting>
  <conditionalFormatting sqref="H3">
    <cfRule type="expression" priority="3" dxfId="0" stopIfTrue="1">
      <formula>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H3&lt;&gt;"",H3&lt;&gt;"not_applicable")</formula>
    </cfRule>
    <cfRule type="expression" priority="4" dxfId="1">
      <formula>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formula>
    </cfRule>
  </conditionalFormatting>
  <conditionalFormatting sqref="H4">
    <cfRule type="expression" priority="5" dxfId="0" stopIfTrue="1">
      <formula>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H4&lt;&gt;"",H4&lt;&gt;"not_applicable")</formula>
    </cfRule>
    <cfRule type="expression" priority="6" dxfId="1">
      <formula>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formula>
    </cfRule>
  </conditionalFormatting>
  <conditionalFormatting sqref="H5">
    <cfRule type="expression" priority="7" dxfId="0" stopIfTrue="1">
      <formula>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H5&lt;&gt;"",H5&lt;&gt;"not_applicable")</formula>
    </cfRule>
    <cfRule type="expression" priority="8" dxfId="1">
      <formula>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formula>
    </cfRule>
  </conditionalFormatting>
  <conditionalFormatting sqref="H6">
    <cfRule type="expression" priority="9" dxfId="0" stopIfTrue="1">
      <formula>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H6&lt;&gt;"",H6&lt;&gt;"not_applicable")</formula>
    </cfRule>
    <cfRule type="expression" priority="10" dxfId="1">
      <formula>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formula>
    </cfRule>
  </conditionalFormatting>
  <conditionalFormatting sqref="H7">
    <cfRule type="expression" priority="11" dxfId="0" stopIfTrue="1">
      <formula>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H7&lt;&gt;"",H7&lt;&gt;"not_applicable")</formula>
    </cfRule>
    <cfRule type="expression" priority="12" dxfId="1">
      <formula>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formula>
    </cfRule>
  </conditionalFormatting>
  <conditionalFormatting sqref="H8">
    <cfRule type="expression" priority="13" dxfId="0" stopIfTrue="1">
      <formula>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H8&lt;&gt;"",H8&lt;&gt;"not_applicable")</formula>
    </cfRule>
    <cfRule type="expression" priority="14" dxfId="1">
      <formula>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formula>
    </cfRule>
  </conditionalFormatting>
  <conditionalFormatting sqref="H9">
    <cfRule type="expression" priority="15" dxfId="0" stopIfTrue="1">
      <formula>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H9&lt;&gt;"",H9&lt;&gt;"not_applicable")</formula>
    </cfRule>
    <cfRule type="expression" priority="16" dxfId="1">
      <formula>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formula>
    </cfRule>
  </conditionalFormatting>
  <conditionalFormatting sqref="I2">
    <cfRule type="expression" priority="17" dxfId="0" stopIfTrue="1">
      <formula>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I2&lt;&gt;"",I2&lt;&gt;"not_applicable")</formula>
    </cfRule>
    <cfRule type="expression" priority="18" dxfId="1">
      <formula>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formula>
    </cfRule>
  </conditionalFormatting>
  <conditionalFormatting sqref="I3">
    <cfRule type="expression" priority="19" dxfId="0" stopIfTrue="1">
      <formula>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I3&lt;&gt;"",I3&lt;&gt;"not_applicable")</formula>
    </cfRule>
    <cfRule type="expression" priority="20" dxfId="1">
      <formula>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formula>
    </cfRule>
  </conditionalFormatting>
  <conditionalFormatting sqref="I4">
    <cfRule type="expression" priority="21" dxfId="0" stopIfTrue="1">
      <formula>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I4&lt;&gt;"",I4&lt;&gt;"not_applicable")</formula>
    </cfRule>
    <cfRule type="expression" priority="22" dxfId="1">
      <formula>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formula>
    </cfRule>
  </conditionalFormatting>
  <conditionalFormatting sqref="I5">
    <cfRule type="expression" priority="23" dxfId="0" stopIfTrue="1">
      <formula>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I5&lt;&gt;"",I5&lt;&gt;"not_applicable")</formula>
    </cfRule>
    <cfRule type="expression" priority="24" dxfId="1">
      <formula>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formula>
    </cfRule>
  </conditionalFormatting>
  <conditionalFormatting sqref="I6">
    <cfRule type="expression" priority="25" dxfId="0" stopIfTrue="1">
      <formula>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I6&lt;&gt;"",I6&lt;&gt;"not_applicable")</formula>
    </cfRule>
    <cfRule type="expression" priority="26" dxfId="1">
      <formula>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formula>
    </cfRule>
  </conditionalFormatting>
  <conditionalFormatting sqref="I7">
    <cfRule type="expression" priority="27" dxfId="0" stopIfTrue="1">
      <formula>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I7&lt;&gt;"",I7&lt;&gt;"not_applicable")</formula>
    </cfRule>
    <cfRule type="expression" priority="28" dxfId="1">
      <formula>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formula>
    </cfRule>
  </conditionalFormatting>
  <conditionalFormatting sqref="I8">
    <cfRule type="expression" priority="29" dxfId="0" stopIfTrue="1">
      <formula>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I8&lt;&gt;"",I8&lt;&gt;"not_applicable")</formula>
    </cfRule>
    <cfRule type="expression" priority="30" dxfId="1">
      <formula>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formula>
    </cfRule>
  </conditionalFormatting>
  <conditionalFormatting sqref="I9">
    <cfRule type="expression" priority="31" dxfId="0" stopIfTrue="1">
      <formula>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I9&lt;&gt;"",I9&lt;&gt;"not_applicable")</formula>
    </cfRule>
    <cfRule type="expression" priority="32" dxfId="1">
      <formula>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formula>
    </cfRule>
  </conditionalFormatting>
  <conditionalFormatting sqref="J2">
    <cfRule type="expression" priority="33" dxfId="0" stopIfTrue="1">
      <formula>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J2&lt;&gt;"",J2&lt;&gt;"not_applicable")</formula>
    </cfRule>
    <cfRule type="expression" priority="34" dxfId="1">
      <formula>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formula>
    </cfRule>
  </conditionalFormatting>
  <conditionalFormatting sqref="J3">
    <cfRule type="expression" priority="35" dxfId="0" stopIfTrue="1">
      <formula>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J3&lt;&gt;"",J3&lt;&gt;"not_applicable")</formula>
    </cfRule>
    <cfRule type="expression" priority="36" dxfId="1">
      <formula>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formula>
    </cfRule>
  </conditionalFormatting>
  <conditionalFormatting sqref="J4">
    <cfRule type="expression" priority="37" dxfId="0" stopIfTrue="1">
      <formula>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J4&lt;&gt;"",J4&lt;&gt;"not_applicable")</formula>
    </cfRule>
    <cfRule type="expression" priority="38" dxfId="1">
      <formula>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formula>
    </cfRule>
  </conditionalFormatting>
  <conditionalFormatting sqref="J5">
    <cfRule type="expression" priority="39" dxfId="0" stopIfTrue="1">
      <formula>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J5&lt;&gt;"",J5&lt;&gt;"not_applicable")</formula>
    </cfRule>
    <cfRule type="expression" priority="40" dxfId="1">
      <formula>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formula>
    </cfRule>
  </conditionalFormatting>
  <conditionalFormatting sqref="J6">
    <cfRule type="expression" priority="41" dxfId="0" stopIfTrue="1">
      <formula>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J6&lt;&gt;"",J6&lt;&gt;"not_applicable")</formula>
    </cfRule>
    <cfRule type="expression" priority="42" dxfId="1">
      <formula>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formula>
    </cfRule>
  </conditionalFormatting>
  <conditionalFormatting sqref="J7">
    <cfRule type="expression" priority="43" dxfId="0" stopIfTrue="1">
      <formula>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J7&lt;&gt;"",J7&lt;&gt;"not_applicable")</formula>
    </cfRule>
    <cfRule type="expression" priority="44" dxfId="1">
      <formula>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formula>
    </cfRule>
  </conditionalFormatting>
  <conditionalFormatting sqref="J8">
    <cfRule type="expression" priority="45" dxfId="0" stopIfTrue="1">
      <formula>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J8&lt;&gt;"",J8&lt;&gt;"not_applicable")</formula>
    </cfRule>
    <cfRule type="expression" priority="46" dxfId="1">
      <formula>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formula>
    </cfRule>
  </conditionalFormatting>
  <conditionalFormatting sqref="J9">
    <cfRule type="expression" priority="47" dxfId="0" stopIfTrue="1">
      <formula>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J9&lt;&gt;"",J9&lt;&gt;"not_applicable")</formula>
    </cfRule>
    <cfRule type="expression" priority="48" dxfId="1">
      <formula>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formula>
    </cfRule>
  </conditionalFormatting>
  <conditionalFormatting sqref="K2">
    <cfRule type="expression" priority="49" dxfId="0" stopIfTrue="1">
      <formula>AND(OR(AND(IF($D2="",INDEX(primary_jama_2019_12618_disposition,MATCH($A2,primary_jama_2019_12618_key,0)),$D2)&lt;&gt;"",IF($D2="",INDEX(primary_jama_2019_12618_disposition,MATCH($A2,primary_jama_2019_12618_key,0)),$D2)&lt;&gt;"retain"),NOT(OR(IF($E2="",INDEX(primary_jama_2019_12618_domain,MATCH($A2,primary_jama_2019_12618_key,0)),$E2)="report_internal_inconsistency",IF($E2="",INDEX(primary_jama_2019_12618_domain,MATCH($A2,primary_jama_2019_12618_key,0)),$E2)="plan_material"))),K2&lt;&gt;"",K2&lt;&gt;"not_applicable")</formula>
    </cfRule>
    <cfRule type="expression" priority="50" dxfId="1">
      <formula>OR(AND(IF($D2="",INDEX(primary_jama_2019_12618_disposition,MATCH($A2,primary_jama_2019_12618_key,0)),$D2)&lt;&gt;"",IF($D2="",INDEX(primary_jama_2019_12618_disposition,MATCH($A2,primary_jama_2019_12618_key,0)),$D2)&lt;&gt;"retain"),NOT(OR(IF($E2="",INDEX(primary_jama_2019_12618_domain,MATCH($A2,primary_jama_2019_12618_key,0)),$E2)="report_internal_inconsistency",IF($E2="",INDEX(primary_jama_2019_12618_domain,MATCH($A2,primary_jama_2019_12618_key,0)),$E2)="plan_material")))</formula>
    </cfRule>
  </conditionalFormatting>
  <conditionalFormatting sqref="K3">
    <cfRule type="expression" priority="51" dxfId="0" stopIfTrue="1">
      <formula>AND(OR(AND(IF($D3="",INDEX(primary_jama_2019_12618_disposition,MATCH($A3,primary_jama_2019_12618_key,0)),$D3)&lt;&gt;"",IF($D3="",INDEX(primary_jama_2019_12618_disposition,MATCH($A3,primary_jama_2019_12618_key,0)),$D3)&lt;&gt;"retain"),NOT(OR(IF($E3="",INDEX(primary_jama_2019_12618_domain,MATCH($A3,primary_jama_2019_12618_key,0)),$E3)="report_internal_inconsistency",IF($E3="",INDEX(primary_jama_2019_12618_domain,MATCH($A3,primary_jama_2019_12618_key,0)),$E3)="plan_material"))),K3&lt;&gt;"",K3&lt;&gt;"not_applicable")</formula>
    </cfRule>
    <cfRule type="expression" priority="52" dxfId="1">
      <formula>OR(AND(IF($D3="",INDEX(primary_jama_2019_12618_disposition,MATCH($A3,primary_jama_2019_12618_key,0)),$D3)&lt;&gt;"",IF($D3="",INDEX(primary_jama_2019_12618_disposition,MATCH($A3,primary_jama_2019_12618_key,0)),$D3)&lt;&gt;"retain"),NOT(OR(IF($E3="",INDEX(primary_jama_2019_12618_domain,MATCH($A3,primary_jama_2019_12618_key,0)),$E3)="report_internal_inconsistency",IF($E3="",INDEX(primary_jama_2019_12618_domain,MATCH($A3,primary_jama_2019_12618_key,0)),$E3)="plan_material")))</formula>
    </cfRule>
  </conditionalFormatting>
  <conditionalFormatting sqref="K4">
    <cfRule type="expression" priority="53" dxfId="0" stopIfTrue="1">
      <formula>AND(OR(AND(IF($D4="",INDEX(primary_jama_2019_12618_disposition,MATCH($A4,primary_jama_2019_12618_key,0)),$D4)&lt;&gt;"",IF($D4="",INDEX(primary_jama_2019_12618_disposition,MATCH($A4,primary_jama_2019_12618_key,0)),$D4)&lt;&gt;"retain"),NOT(OR(IF($E4="",INDEX(primary_jama_2019_12618_domain,MATCH($A4,primary_jama_2019_12618_key,0)),$E4)="report_internal_inconsistency",IF($E4="",INDEX(primary_jama_2019_12618_domain,MATCH($A4,primary_jama_2019_12618_key,0)),$E4)="plan_material"))),K4&lt;&gt;"",K4&lt;&gt;"not_applicable")</formula>
    </cfRule>
    <cfRule type="expression" priority="54" dxfId="1">
      <formula>OR(AND(IF($D4="",INDEX(primary_jama_2019_12618_disposition,MATCH($A4,primary_jama_2019_12618_key,0)),$D4)&lt;&gt;"",IF($D4="",INDEX(primary_jama_2019_12618_disposition,MATCH($A4,primary_jama_2019_12618_key,0)),$D4)&lt;&gt;"retain"),NOT(OR(IF($E4="",INDEX(primary_jama_2019_12618_domain,MATCH($A4,primary_jama_2019_12618_key,0)),$E4)="report_internal_inconsistency",IF($E4="",INDEX(primary_jama_2019_12618_domain,MATCH($A4,primary_jama_2019_12618_key,0)),$E4)="plan_material")))</formula>
    </cfRule>
  </conditionalFormatting>
  <conditionalFormatting sqref="K5">
    <cfRule type="expression" priority="55" dxfId="0" stopIfTrue="1">
      <formula>AND(OR(AND(IF($D5="",INDEX(primary_jama_2019_12618_disposition,MATCH($A5,primary_jama_2019_12618_key,0)),$D5)&lt;&gt;"",IF($D5="",INDEX(primary_jama_2019_12618_disposition,MATCH($A5,primary_jama_2019_12618_key,0)),$D5)&lt;&gt;"retain"),NOT(OR(IF($E5="",INDEX(primary_jama_2019_12618_domain,MATCH($A5,primary_jama_2019_12618_key,0)),$E5)="report_internal_inconsistency",IF($E5="",INDEX(primary_jama_2019_12618_domain,MATCH($A5,primary_jama_2019_12618_key,0)),$E5)="plan_material"))),K5&lt;&gt;"",K5&lt;&gt;"not_applicable")</formula>
    </cfRule>
    <cfRule type="expression" priority="56" dxfId="1">
      <formula>OR(AND(IF($D5="",INDEX(primary_jama_2019_12618_disposition,MATCH($A5,primary_jama_2019_12618_key,0)),$D5)&lt;&gt;"",IF($D5="",INDEX(primary_jama_2019_12618_disposition,MATCH($A5,primary_jama_2019_12618_key,0)),$D5)&lt;&gt;"retain"),NOT(OR(IF($E5="",INDEX(primary_jama_2019_12618_domain,MATCH($A5,primary_jama_2019_12618_key,0)),$E5)="report_internal_inconsistency",IF($E5="",INDEX(primary_jama_2019_12618_domain,MATCH($A5,primary_jama_2019_12618_key,0)),$E5)="plan_material")))</formula>
    </cfRule>
  </conditionalFormatting>
  <conditionalFormatting sqref="K6">
    <cfRule type="expression" priority="57" dxfId="0" stopIfTrue="1">
      <formula>AND(OR(AND(IF($D6="",INDEX(primary_jama_2019_12618_disposition,MATCH($A6,primary_jama_2019_12618_key,0)),$D6)&lt;&gt;"",IF($D6="",INDEX(primary_jama_2019_12618_disposition,MATCH($A6,primary_jama_2019_12618_key,0)),$D6)&lt;&gt;"retain"),NOT(OR(IF($E6="",INDEX(primary_jama_2019_12618_domain,MATCH($A6,primary_jama_2019_12618_key,0)),$E6)="report_internal_inconsistency",IF($E6="",INDEX(primary_jama_2019_12618_domain,MATCH($A6,primary_jama_2019_12618_key,0)),$E6)="plan_material"))),K6&lt;&gt;"",K6&lt;&gt;"not_applicable")</formula>
    </cfRule>
    <cfRule type="expression" priority="58" dxfId="1">
      <formula>OR(AND(IF($D6="",INDEX(primary_jama_2019_12618_disposition,MATCH($A6,primary_jama_2019_12618_key,0)),$D6)&lt;&gt;"",IF($D6="",INDEX(primary_jama_2019_12618_disposition,MATCH($A6,primary_jama_2019_12618_key,0)),$D6)&lt;&gt;"retain"),NOT(OR(IF($E6="",INDEX(primary_jama_2019_12618_domain,MATCH($A6,primary_jama_2019_12618_key,0)),$E6)="report_internal_inconsistency",IF($E6="",INDEX(primary_jama_2019_12618_domain,MATCH($A6,primary_jama_2019_12618_key,0)),$E6)="plan_material")))</formula>
    </cfRule>
  </conditionalFormatting>
  <conditionalFormatting sqref="K7">
    <cfRule type="expression" priority="59" dxfId="0" stopIfTrue="1">
      <formula>AND(OR(AND(IF($D7="",INDEX(primary_jama_2019_12618_disposition,MATCH($A7,primary_jama_2019_12618_key,0)),$D7)&lt;&gt;"",IF($D7="",INDEX(primary_jama_2019_12618_disposition,MATCH($A7,primary_jama_2019_12618_key,0)),$D7)&lt;&gt;"retain"),NOT(OR(IF($E7="",INDEX(primary_jama_2019_12618_domain,MATCH($A7,primary_jama_2019_12618_key,0)),$E7)="report_internal_inconsistency",IF($E7="",INDEX(primary_jama_2019_12618_domain,MATCH($A7,primary_jama_2019_12618_key,0)),$E7)="plan_material"))),K7&lt;&gt;"",K7&lt;&gt;"not_applicable")</formula>
    </cfRule>
    <cfRule type="expression" priority="60" dxfId="1">
      <formula>OR(AND(IF($D7="",INDEX(primary_jama_2019_12618_disposition,MATCH($A7,primary_jama_2019_12618_key,0)),$D7)&lt;&gt;"",IF($D7="",INDEX(primary_jama_2019_12618_disposition,MATCH($A7,primary_jama_2019_12618_key,0)),$D7)&lt;&gt;"retain"),NOT(OR(IF($E7="",INDEX(primary_jama_2019_12618_domain,MATCH($A7,primary_jama_2019_12618_key,0)),$E7)="report_internal_inconsistency",IF($E7="",INDEX(primary_jama_2019_12618_domain,MATCH($A7,primary_jama_2019_12618_key,0)),$E7)="plan_material")))</formula>
    </cfRule>
  </conditionalFormatting>
  <conditionalFormatting sqref="K8">
    <cfRule type="expression" priority="61" dxfId="0" stopIfTrue="1">
      <formula>AND(OR(AND(IF($D8="",INDEX(primary_jama_2019_12618_disposition,MATCH($A8,primary_jama_2019_12618_key,0)),$D8)&lt;&gt;"",IF($D8="",INDEX(primary_jama_2019_12618_disposition,MATCH($A8,primary_jama_2019_12618_key,0)),$D8)&lt;&gt;"retain"),NOT(OR(IF($E8="",INDEX(primary_jama_2019_12618_domain,MATCH($A8,primary_jama_2019_12618_key,0)),$E8)="report_internal_inconsistency",IF($E8="",INDEX(primary_jama_2019_12618_domain,MATCH($A8,primary_jama_2019_12618_key,0)),$E8)="plan_material"))),K8&lt;&gt;"",K8&lt;&gt;"not_applicable")</formula>
    </cfRule>
    <cfRule type="expression" priority="62" dxfId="1">
      <formula>OR(AND(IF($D8="",INDEX(primary_jama_2019_12618_disposition,MATCH($A8,primary_jama_2019_12618_key,0)),$D8)&lt;&gt;"",IF($D8="",INDEX(primary_jama_2019_12618_disposition,MATCH($A8,primary_jama_2019_12618_key,0)),$D8)&lt;&gt;"retain"),NOT(OR(IF($E8="",INDEX(primary_jama_2019_12618_domain,MATCH($A8,primary_jama_2019_12618_key,0)),$E8)="report_internal_inconsistency",IF($E8="",INDEX(primary_jama_2019_12618_domain,MATCH($A8,primary_jama_2019_12618_key,0)),$E8)="plan_material")))</formula>
    </cfRule>
  </conditionalFormatting>
  <conditionalFormatting sqref="K9">
    <cfRule type="expression" priority="63" dxfId="0" stopIfTrue="1">
      <formula>AND(OR(AND(IF($D9="",INDEX(primary_jama_2019_12618_disposition,MATCH($A9,primary_jama_2019_12618_key,0)),$D9)&lt;&gt;"",IF($D9="",INDEX(primary_jama_2019_12618_disposition,MATCH($A9,primary_jama_2019_12618_key,0)),$D9)&lt;&gt;"retain"),NOT(OR(IF($E9="",INDEX(primary_jama_2019_12618_domain,MATCH($A9,primary_jama_2019_12618_key,0)),$E9)="report_internal_inconsistency",IF($E9="",INDEX(primary_jama_2019_12618_domain,MATCH($A9,primary_jama_2019_12618_key,0)),$E9)="plan_material"))),K9&lt;&gt;"",K9&lt;&gt;"not_applicable")</formula>
    </cfRule>
    <cfRule type="expression" priority="64" dxfId="1">
      <formula>OR(AND(IF($D9="",INDEX(primary_jama_2019_12618_disposition,MATCH($A9,primary_jama_2019_12618_key,0)),$D9)&lt;&gt;"",IF($D9="",INDEX(primary_jama_2019_12618_disposition,MATCH($A9,primary_jama_2019_12618_key,0)),$D9)&lt;&gt;"retain"),NOT(OR(IF($E9="",INDEX(primary_jama_2019_12618_domain,MATCH($A9,primary_jama_2019_12618_key,0)),$E9)="report_internal_inconsistency",IF($E9="",INDEX(primary_jama_2019_12618_domain,MATCH($A9,primary_jama_2019_12618_key,0)),$E9)="plan_material")))</formula>
    </cfRule>
  </conditionalFormatting>
  <conditionalFormatting sqref="L2">
    <cfRule type="expression" priority="65" dxfId="0" stopIfTrue="1">
      <formula>AND(OR(AND(IF($D2="",INDEX(primary_jama_2019_12618_disposition,MATCH($A2,primary_jama_2019_12618_key,0)),$D2)&lt;&gt;"",IF($D2="",INDEX(primary_jama_2019_12618_disposition,MATCH($A2,primary_jama_2019_12618_key,0)),$D2)&lt;&gt;"retain"),NOT(OR(IF($E2="",INDEX(primary_jama_2019_12618_domain,MATCH($A2,primary_jama_2019_12618_key,0)),$E2)="protocol_report"))),L2&lt;&gt;"",L2&lt;&gt;"not_applicable")</formula>
    </cfRule>
    <cfRule type="expression" priority="66" dxfId="1">
      <formula>OR(AND(IF($D2="",INDEX(primary_jama_2019_12618_disposition,MATCH($A2,primary_jama_2019_12618_key,0)),$D2)&lt;&gt;"",IF($D2="",INDEX(primary_jama_2019_12618_disposition,MATCH($A2,primary_jama_2019_12618_key,0)),$D2)&lt;&gt;"retain"),NOT(OR(IF($E2="",INDEX(primary_jama_2019_12618_domain,MATCH($A2,primary_jama_2019_12618_key,0)),$E2)="protocol_report")))</formula>
    </cfRule>
  </conditionalFormatting>
  <conditionalFormatting sqref="L3">
    <cfRule type="expression" priority="67" dxfId="0" stopIfTrue="1">
      <formula>AND(OR(AND(IF($D3="",INDEX(primary_jama_2019_12618_disposition,MATCH($A3,primary_jama_2019_12618_key,0)),$D3)&lt;&gt;"",IF($D3="",INDEX(primary_jama_2019_12618_disposition,MATCH($A3,primary_jama_2019_12618_key,0)),$D3)&lt;&gt;"retain"),NOT(OR(IF($E3="",INDEX(primary_jama_2019_12618_domain,MATCH($A3,primary_jama_2019_12618_key,0)),$E3)="protocol_report"))),L3&lt;&gt;"",L3&lt;&gt;"not_applicable")</formula>
    </cfRule>
    <cfRule type="expression" priority="68" dxfId="1">
      <formula>OR(AND(IF($D3="",INDEX(primary_jama_2019_12618_disposition,MATCH($A3,primary_jama_2019_12618_key,0)),$D3)&lt;&gt;"",IF($D3="",INDEX(primary_jama_2019_12618_disposition,MATCH($A3,primary_jama_2019_12618_key,0)),$D3)&lt;&gt;"retain"),NOT(OR(IF($E3="",INDEX(primary_jama_2019_12618_domain,MATCH($A3,primary_jama_2019_12618_key,0)),$E3)="protocol_report")))</formula>
    </cfRule>
  </conditionalFormatting>
  <conditionalFormatting sqref="L4">
    <cfRule type="expression" priority="69" dxfId="0" stopIfTrue="1">
      <formula>AND(OR(AND(IF($D4="",INDEX(primary_jama_2019_12618_disposition,MATCH($A4,primary_jama_2019_12618_key,0)),$D4)&lt;&gt;"",IF($D4="",INDEX(primary_jama_2019_12618_disposition,MATCH($A4,primary_jama_2019_12618_key,0)),$D4)&lt;&gt;"retain"),NOT(OR(IF($E4="",INDEX(primary_jama_2019_12618_domain,MATCH($A4,primary_jama_2019_12618_key,0)),$E4)="protocol_report"))),L4&lt;&gt;"",L4&lt;&gt;"not_applicable")</formula>
    </cfRule>
    <cfRule type="expression" priority="70" dxfId="1">
      <formula>OR(AND(IF($D4="",INDEX(primary_jama_2019_12618_disposition,MATCH($A4,primary_jama_2019_12618_key,0)),$D4)&lt;&gt;"",IF($D4="",INDEX(primary_jama_2019_12618_disposition,MATCH($A4,primary_jama_2019_12618_key,0)),$D4)&lt;&gt;"retain"),NOT(OR(IF($E4="",INDEX(primary_jama_2019_12618_domain,MATCH($A4,primary_jama_2019_12618_key,0)),$E4)="protocol_report")))</formula>
    </cfRule>
  </conditionalFormatting>
  <conditionalFormatting sqref="L5">
    <cfRule type="expression" priority="71" dxfId="0" stopIfTrue="1">
      <formula>AND(OR(AND(IF($D5="",INDEX(primary_jama_2019_12618_disposition,MATCH($A5,primary_jama_2019_12618_key,0)),$D5)&lt;&gt;"",IF($D5="",INDEX(primary_jama_2019_12618_disposition,MATCH($A5,primary_jama_2019_12618_key,0)),$D5)&lt;&gt;"retain"),NOT(OR(IF($E5="",INDEX(primary_jama_2019_12618_domain,MATCH($A5,primary_jama_2019_12618_key,0)),$E5)="protocol_report"))),L5&lt;&gt;"",L5&lt;&gt;"not_applicable")</formula>
    </cfRule>
    <cfRule type="expression" priority="72" dxfId="1">
      <formula>OR(AND(IF($D5="",INDEX(primary_jama_2019_12618_disposition,MATCH($A5,primary_jama_2019_12618_key,0)),$D5)&lt;&gt;"",IF($D5="",INDEX(primary_jama_2019_12618_disposition,MATCH($A5,primary_jama_2019_12618_key,0)),$D5)&lt;&gt;"retain"),NOT(OR(IF($E5="",INDEX(primary_jama_2019_12618_domain,MATCH($A5,primary_jama_2019_12618_key,0)),$E5)="protocol_report")))</formula>
    </cfRule>
  </conditionalFormatting>
  <conditionalFormatting sqref="L6">
    <cfRule type="expression" priority="73" dxfId="0" stopIfTrue="1">
      <formula>AND(OR(AND(IF($D6="",INDEX(primary_jama_2019_12618_disposition,MATCH($A6,primary_jama_2019_12618_key,0)),$D6)&lt;&gt;"",IF($D6="",INDEX(primary_jama_2019_12618_disposition,MATCH($A6,primary_jama_2019_12618_key,0)),$D6)&lt;&gt;"retain"),NOT(OR(IF($E6="",INDEX(primary_jama_2019_12618_domain,MATCH($A6,primary_jama_2019_12618_key,0)),$E6)="protocol_report"))),L6&lt;&gt;"",L6&lt;&gt;"not_applicable")</formula>
    </cfRule>
    <cfRule type="expression" priority="74" dxfId="1">
      <formula>OR(AND(IF($D6="",INDEX(primary_jama_2019_12618_disposition,MATCH($A6,primary_jama_2019_12618_key,0)),$D6)&lt;&gt;"",IF($D6="",INDEX(primary_jama_2019_12618_disposition,MATCH($A6,primary_jama_2019_12618_key,0)),$D6)&lt;&gt;"retain"),NOT(OR(IF($E6="",INDEX(primary_jama_2019_12618_domain,MATCH($A6,primary_jama_2019_12618_key,0)),$E6)="protocol_report")))</formula>
    </cfRule>
  </conditionalFormatting>
  <conditionalFormatting sqref="L7">
    <cfRule type="expression" priority="75" dxfId="0" stopIfTrue="1">
      <formula>AND(OR(AND(IF($D7="",INDEX(primary_jama_2019_12618_disposition,MATCH($A7,primary_jama_2019_12618_key,0)),$D7)&lt;&gt;"",IF($D7="",INDEX(primary_jama_2019_12618_disposition,MATCH($A7,primary_jama_2019_12618_key,0)),$D7)&lt;&gt;"retain"),NOT(OR(IF($E7="",INDEX(primary_jama_2019_12618_domain,MATCH($A7,primary_jama_2019_12618_key,0)),$E7)="protocol_report"))),L7&lt;&gt;"",L7&lt;&gt;"not_applicable")</formula>
    </cfRule>
    <cfRule type="expression" priority="76" dxfId="1">
      <formula>OR(AND(IF($D7="",INDEX(primary_jama_2019_12618_disposition,MATCH($A7,primary_jama_2019_12618_key,0)),$D7)&lt;&gt;"",IF($D7="",INDEX(primary_jama_2019_12618_disposition,MATCH($A7,primary_jama_2019_12618_key,0)),$D7)&lt;&gt;"retain"),NOT(OR(IF($E7="",INDEX(primary_jama_2019_12618_domain,MATCH($A7,primary_jama_2019_12618_key,0)),$E7)="protocol_report")))</formula>
    </cfRule>
  </conditionalFormatting>
  <conditionalFormatting sqref="L8">
    <cfRule type="expression" priority="77" dxfId="0" stopIfTrue="1">
      <formula>AND(OR(AND(IF($D8="",INDEX(primary_jama_2019_12618_disposition,MATCH($A8,primary_jama_2019_12618_key,0)),$D8)&lt;&gt;"",IF($D8="",INDEX(primary_jama_2019_12618_disposition,MATCH($A8,primary_jama_2019_12618_key,0)),$D8)&lt;&gt;"retain"),NOT(OR(IF($E8="",INDEX(primary_jama_2019_12618_domain,MATCH($A8,primary_jama_2019_12618_key,0)),$E8)="protocol_report"))),L8&lt;&gt;"",L8&lt;&gt;"not_applicable")</formula>
    </cfRule>
    <cfRule type="expression" priority="78" dxfId="1">
      <formula>OR(AND(IF($D8="",INDEX(primary_jama_2019_12618_disposition,MATCH($A8,primary_jama_2019_12618_key,0)),$D8)&lt;&gt;"",IF($D8="",INDEX(primary_jama_2019_12618_disposition,MATCH($A8,primary_jama_2019_12618_key,0)),$D8)&lt;&gt;"retain"),NOT(OR(IF($E8="",INDEX(primary_jama_2019_12618_domain,MATCH($A8,primary_jama_2019_12618_key,0)),$E8)="protocol_report")))</formula>
    </cfRule>
  </conditionalFormatting>
  <conditionalFormatting sqref="L9">
    <cfRule type="expression" priority="79" dxfId="0" stopIfTrue="1">
      <formula>AND(OR(AND(IF($D9="",INDEX(primary_jama_2019_12618_disposition,MATCH($A9,primary_jama_2019_12618_key,0)),$D9)&lt;&gt;"",IF($D9="",INDEX(primary_jama_2019_12618_disposition,MATCH($A9,primary_jama_2019_12618_key,0)),$D9)&lt;&gt;"retain"),NOT(OR(IF($E9="",INDEX(primary_jama_2019_12618_domain,MATCH($A9,primary_jama_2019_12618_key,0)),$E9)="protocol_report"))),L9&lt;&gt;"",L9&lt;&gt;"not_applicable")</formula>
    </cfRule>
    <cfRule type="expression" priority="80" dxfId="1">
      <formula>OR(AND(IF($D9="",INDEX(primary_jama_2019_12618_disposition,MATCH($A9,primary_jama_2019_12618_key,0)),$D9)&lt;&gt;"",IF($D9="",INDEX(primary_jama_2019_12618_disposition,MATCH($A9,primary_jama_2019_12618_key,0)),$D9)&lt;&gt;"retain"),NOT(OR(IF($E9="",INDEX(primary_jama_2019_12618_domain,MATCH($A9,primary_jama_2019_12618_key,0)),$E9)="protocol_report")))</formula>
    </cfRule>
  </conditionalFormatting>
  <dataValidations count="10">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N2:N9" showDropDown="0" showInputMessage="1" showErrorMessage="1" allowBlank="1" errorTitle="Invalid option" error="Choose a listed value." promptTitle="Checker result" prompt="See Codebook for meanings." type="list" errorStyle="stop">
      <formula1>opt_checkStatus</formula1>
    </dataValidation>
    <dataValidation sqref="P2:P9"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R1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2019::jama.2019.14231::C001</t>
        </is>
      </c>
      <c r="B2" s="2" t="inlineStr">
        <is>
          <t>Protocol matching direction conflicts with the final matched cohort</t>
        </is>
      </c>
      <c r="C2" s="2" t="inlineStr">
        <is>
          <t>Main article — PDF p. 1, PDF p. 3, PDF p. 4; protocol — PDF p. 3.</t>
        </is>
      </c>
      <c r="D2" s="8" t="inlineStr"/>
      <c r="E2" s="8" t="inlineStr"/>
      <c r="F2" s="8" t="inlineStr">
        <is>
          <t>no</t>
        </is>
      </c>
      <c r="G2" s="2">
        <f>IF(OR(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H2&lt;&gt;"",H2&lt;&gt;"not_applicable"),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I2&lt;&gt;"",I2&lt;&gt;"not_applicable"),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J2&lt;&gt;"",J2&lt;&gt;"not_applicable"),AND(OR(AND(IF($D2="",INDEX(primary_jama_2019_14231_disposition,MATCH($A2,primary_jama_2019_14231_key,0)),$D2)&lt;&gt;"",IF($D2="",INDEX(primary_jama_2019_14231_disposition,MATCH($A2,primary_jama_2019_14231_key,0)),$D2)&lt;&gt;"retain"),NOT(OR(IF($E2="",INDEX(primary_jama_2019_14231_domain,MATCH($A2,primary_jama_2019_14231_key,0)),$E2)="report_internal_inconsistency",IF($E2="",INDEX(primary_jama_2019_14231_domain,MATCH($A2,primary_jama_2019_14231_key,0)),$E2)="plan_material"))),K2&lt;&gt;"",K2&lt;&gt;"not_applicable"),AND(OR(AND(IF($D2="",INDEX(primary_jama_2019_14231_disposition,MATCH($A2,primary_jama_2019_14231_key,0)),$D2)&lt;&gt;"",IF($D2="",INDEX(primary_jama_2019_14231_disposition,MATCH($A2,primary_jama_2019_14231_key,0)),$D2)&lt;&gt;"retain"),NOT(OR(IF($E2="",INDEX(primary_jama_2019_14231_domain,MATCH($A2,primary_jama_2019_14231_key,0)),$E2)="protocol_report"))),L2&lt;&gt;"",L2&lt;&gt;"not_applicable")),"CLEAR INACTIVE VALUES",IF(N2="","PENDING",IF(AND(N2&lt;&gt;"agree",LEN(TRIM(O2))=0),"COMMENT NEEDED",IF(F2="yes","CHECKED - see resolution","DRAFT"))))</f>
        <v/>
      </c>
      <c r="H2" s="8">
        <f>IF(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not_applicable","")</f>
        <v/>
      </c>
      <c r="I2" s="8">
        <f>IF(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not_applicable","")</f>
        <v/>
      </c>
      <c r="J2" s="9">
        <f>IF(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not_applicable","")</f>
        <v/>
      </c>
      <c r="K2" s="8">
        <f>IF(OR(AND(IF($D2="",INDEX(primary_jama_2019_14231_disposition,MATCH($A2,primary_jama_2019_14231_key,0)),$D2)&lt;&gt;"",IF($D2="",INDEX(primary_jama_2019_14231_disposition,MATCH($A2,primary_jama_2019_14231_key,0)),$D2)&lt;&gt;"retain"),NOT(OR(IF($E2="",INDEX(primary_jama_2019_14231_domain,MATCH($A2,primary_jama_2019_14231_key,0)),$E2)="report_internal_inconsistency",IF($E2="",INDEX(primary_jama_2019_14231_domain,MATCH($A2,primary_jama_2019_14231_key,0)),$E2)="plan_material"))),"not_applicable","")</f>
        <v/>
      </c>
      <c r="L2" s="9">
        <f>IF(OR(AND(IF($D2="",INDEX(primary_jama_2019_14231_disposition,MATCH($A2,primary_jama_2019_14231_key,0)),$D2)&lt;&gt;"",IF($D2="",INDEX(primary_jama_2019_14231_disposition,MATCH($A2,primary_jama_2019_14231_key,0)),$D2)&lt;&gt;"retain"),NOT(OR(IF($E2="",INDEX(primary_jama_2019_14231_domain,MATCH($A2,primary_jama_2019_14231_key,0)),$E2)="protocol_report"))),"not_applicable","")</f>
        <v/>
      </c>
      <c r="M2" s="2" t="inlineStr">
        <is>
          <t>Disposition: exclude
Review domain: protocol_report
Notes (optional): SYNTHETIC TEST DATA ONLY. Exclude is a placeholder for testing the checker workflow, not a scientific assessment. Do not use this sample in research results.</t>
        </is>
      </c>
      <c r="N2" s="8" t="inlineStr"/>
      <c r="O2" s="10" t="inlineStr"/>
      <c r="P2" s="8" t="inlineStr">
        <is>
          <t>pending</t>
        </is>
      </c>
      <c r="Q2" s="10" t="inlineStr"/>
      <c r="R2" s="11" t="inlineStr"/>
    </row>
    <row r="3" ht="76" customHeight="1">
      <c r="A3" s="3" t="inlineStr">
        <is>
          <t>2019::jama.2019.14231::C002</t>
        </is>
      </c>
      <c r="B3" s="3" t="inlineStr">
        <is>
          <t>Heart-failure ARD does not reconcile with displayed 8-year incidences</t>
        </is>
      </c>
      <c r="C3" s="3" t="inlineStr">
        <is>
          <t>Main article — PDF p. 4, PDF p. 7; Supplement 1 — PDF p. 7.</t>
        </is>
      </c>
      <c r="D3" s="8" t="inlineStr"/>
      <c r="E3" s="8" t="inlineStr"/>
      <c r="F3" s="8" t="inlineStr">
        <is>
          <t>no</t>
        </is>
      </c>
      <c r="G3" s="3">
        <f>IF(OR(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H3&lt;&gt;"",H3&lt;&gt;"not_applicable"),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I3&lt;&gt;"",I3&lt;&gt;"not_applicable"),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J3&lt;&gt;"",J3&lt;&gt;"not_applicable"),AND(OR(AND(IF($D3="",INDEX(primary_jama_2019_14231_disposition,MATCH($A3,primary_jama_2019_14231_key,0)),$D3)&lt;&gt;"",IF($D3="",INDEX(primary_jama_2019_14231_disposition,MATCH($A3,primary_jama_2019_14231_key,0)),$D3)&lt;&gt;"retain"),NOT(OR(IF($E3="",INDEX(primary_jama_2019_14231_domain,MATCH($A3,primary_jama_2019_14231_key,0)),$E3)="report_internal_inconsistency",IF($E3="",INDEX(primary_jama_2019_14231_domain,MATCH($A3,primary_jama_2019_14231_key,0)),$E3)="plan_material"))),K3&lt;&gt;"",K3&lt;&gt;"not_applicable"),AND(OR(AND(IF($D3="",INDEX(primary_jama_2019_14231_disposition,MATCH($A3,primary_jama_2019_14231_key,0)),$D3)&lt;&gt;"",IF($D3="",INDEX(primary_jama_2019_14231_disposition,MATCH($A3,primary_jama_2019_14231_key,0)),$D3)&lt;&gt;"retain"),NOT(OR(IF($E3="",INDEX(primary_jama_2019_14231_domain,MATCH($A3,primary_jama_2019_14231_key,0)),$E3)="protocol_report"))),L3&lt;&gt;"",L3&lt;&gt;"not_applicable")),"CLEAR INACTIVE VALUES",IF(N3="","PENDING",IF(AND(N3&lt;&gt;"agree",LEN(TRIM(O3))=0),"COMMENT NEEDED",IF(F3="yes","CHECKED - see resolution","DRAFT"))))</f>
        <v/>
      </c>
      <c r="H3" s="8">
        <f>IF(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not_applicable","")</f>
        <v/>
      </c>
      <c r="I3" s="8">
        <f>IF(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not_applicable","")</f>
        <v/>
      </c>
      <c r="J3" s="9">
        <f>IF(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not_applicable","")</f>
        <v/>
      </c>
      <c r="K3" s="8">
        <f>IF(OR(AND(IF($D3="",INDEX(primary_jama_2019_14231_disposition,MATCH($A3,primary_jama_2019_14231_key,0)),$D3)&lt;&gt;"",IF($D3="",INDEX(primary_jama_2019_14231_disposition,MATCH($A3,primary_jama_2019_14231_key,0)),$D3)&lt;&gt;"retain"),NOT(OR(IF($E3="",INDEX(primary_jama_2019_14231_domain,MATCH($A3,primary_jama_2019_14231_key,0)),$E3)="report_internal_inconsistency",IF($E3="",INDEX(primary_jama_2019_14231_domain,MATCH($A3,primary_jama_2019_14231_key,0)),$E3)="plan_material"))),"not_applicable","")</f>
        <v/>
      </c>
      <c r="L3" s="9">
        <f>IF(OR(AND(IF($D3="",INDEX(primary_jama_2019_14231_disposition,MATCH($A3,primary_jama_2019_14231_key,0)),$D3)&lt;&gt;"",IF($D3="",INDEX(primary_jama_2019_14231_disposition,MATCH($A3,primary_jama_2019_14231_key,0)),$D3)&lt;&gt;"retain"),NOT(OR(IF($E3="",INDEX(primary_jama_2019_14231_domain,MATCH($A3,primary_jama_2019_14231_key,0)),$E3)="protocol_report"))),"not_applicable","")</f>
        <v/>
      </c>
      <c r="M3" s="3" t="inlineStr">
        <is>
          <t>Disposition: exclude
Review domain: statistical_results
Notes (optional): SYNTHETIC TEST DATA ONLY. Exclude is a placeholder for testing the checker workflow, not a scientific assessment. Do not use this sample in research results.</t>
        </is>
      </c>
      <c r="N3" s="8" t="inlineStr"/>
      <c r="O3" s="10" t="inlineStr"/>
      <c r="P3" s="8" t="inlineStr">
        <is>
          <t>pending</t>
        </is>
      </c>
      <c r="Q3" s="10" t="inlineStr"/>
      <c r="R3" s="11" t="inlineStr"/>
    </row>
    <row r="4" ht="76" customHeight="1">
      <c r="A4" s="2" t="inlineStr">
        <is>
          <t>2019::jama.2019.14231::C003</t>
        </is>
      </c>
      <c r="B4" s="2" t="inlineStr">
        <is>
          <t>Coronary-disease ARD does not reconcile with displayed 8-year incidences</t>
        </is>
      </c>
      <c r="C4" s="2" t="inlineStr">
        <is>
          <t>Main article — PDF p. 4, PDF p. 7; Supplement 1 — PDF p. 7.</t>
        </is>
      </c>
      <c r="D4" s="8" t="inlineStr"/>
      <c r="E4" s="8" t="inlineStr"/>
      <c r="F4" s="8" t="inlineStr">
        <is>
          <t>no</t>
        </is>
      </c>
      <c r="G4" s="2">
        <f>IF(OR(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H4&lt;&gt;"",H4&lt;&gt;"not_applicable"),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I4&lt;&gt;"",I4&lt;&gt;"not_applicable"),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J4&lt;&gt;"",J4&lt;&gt;"not_applicable"),AND(OR(AND(IF($D4="",INDEX(primary_jama_2019_14231_disposition,MATCH($A4,primary_jama_2019_14231_key,0)),$D4)&lt;&gt;"",IF($D4="",INDEX(primary_jama_2019_14231_disposition,MATCH($A4,primary_jama_2019_14231_key,0)),$D4)&lt;&gt;"retain"),NOT(OR(IF($E4="",INDEX(primary_jama_2019_14231_domain,MATCH($A4,primary_jama_2019_14231_key,0)),$E4)="report_internal_inconsistency",IF($E4="",INDEX(primary_jama_2019_14231_domain,MATCH($A4,primary_jama_2019_14231_key,0)),$E4)="plan_material"))),K4&lt;&gt;"",K4&lt;&gt;"not_applicable"),AND(OR(AND(IF($D4="",INDEX(primary_jama_2019_14231_disposition,MATCH($A4,primary_jama_2019_14231_key,0)),$D4)&lt;&gt;"",IF($D4="",INDEX(primary_jama_2019_14231_disposition,MATCH($A4,primary_jama_2019_14231_key,0)),$D4)&lt;&gt;"retain"),NOT(OR(IF($E4="",INDEX(primary_jama_2019_14231_domain,MATCH($A4,primary_jama_2019_14231_key,0)),$E4)="protocol_report"))),L4&lt;&gt;"",L4&lt;&gt;"not_applicable")),"CLEAR INACTIVE VALUES",IF(N4="","PENDING",IF(AND(N4&lt;&gt;"agree",LEN(TRIM(O4))=0),"COMMENT NEEDED",IF(F4="yes","CHECKED - see resolution","DRAFT"))))</f>
        <v/>
      </c>
      <c r="H4" s="8">
        <f>IF(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not_applicable","")</f>
        <v/>
      </c>
      <c r="I4" s="8">
        <f>IF(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not_applicable","")</f>
        <v/>
      </c>
      <c r="J4" s="9">
        <f>IF(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not_applicable","")</f>
        <v/>
      </c>
      <c r="K4" s="8">
        <f>IF(OR(AND(IF($D4="",INDEX(primary_jama_2019_14231_disposition,MATCH($A4,primary_jama_2019_14231_key,0)),$D4)&lt;&gt;"",IF($D4="",INDEX(primary_jama_2019_14231_disposition,MATCH($A4,primary_jama_2019_14231_key,0)),$D4)&lt;&gt;"retain"),NOT(OR(IF($E4="",INDEX(primary_jama_2019_14231_domain,MATCH($A4,primary_jama_2019_14231_key,0)),$E4)="report_internal_inconsistency",IF($E4="",INDEX(primary_jama_2019_14231_domain,MATCH($A4,primary_jama_2019_14231_key,0)),$E4)="plan_material"))),"not_applicable","")</f>
        <v/>
      </c>
      <c r="L4" s="9">
        <f>IF(OR(AND(IF($D4="",INDEX(primary_jama_2019_14231_disposition,MATCH($A4,primary_jama_2019_14231_key,0)),$D4)&lt;&gt;"",IF($D4="",INDEX(primary_jama_2019_14231_disposition,MATCH($A4,primary_jama_2019_14231_key,0)),$D4)&lt;&gt;"retain"),NOT(OR(IF($E4="",INDEX(primary_jama_2019_14231_domain,MATCH($A4,primary_jama_2019_14231_key,0)),$E4)="protocol_report"))),"not_applicable","")</f>
        <v/>
      </c>
      <c r="M4" s="2" t="inlineStr">
        <is>
          <t>Disposition: exclude
Review domain: statistical_results
Notes (optional): SYNTHETIC TEST DATA ONLY. Exclude is a placeholder for testing the checker workflow, not a scientific assessment. Do not use this sample in research results.</t>
        </is>
      </c>
      <c r="N4" s="8" t="inlineStr"/>
      <c r="O4" s="10" t="inlineStr"/>
      <c r="P4" s="8" t="inlineStr">
        <is>
          <t>pending</t>
        </is>
      </c>
      <c r="Q4" s="10" t="inlineStr"/>
      <c r="R4" s="11" t="inlineStr"/>
    </row>
    <row r="5" ht="76" customHeight="1">
      <c r="A5" s="3" t="inlineStr">
        <is>
          <t>2019::jama.2019.14231::C004</t>
        </is>
      </c>
      <c r="B5" s="3" t="inlineStr">
        <is>
          <t>Cerebrovascular-disease ARD does not reconcile with displayed 8-year incidences</t>
        </is>
      </c>
      <c r="C5" s="3" t="inlineStr">
        <is>
          <t>Main article — PDF p. 4, PDF p. 7; Supplement 1 — PDF p. 7.</t>
        </is>
      </c>
      <c r="D5" s="8" t="inlineStr"/>
      <c r="E5" s="8" t="inlineStr"/>
      <c r="F5" s="8" t="inlineStr">
        <is>
          <t>no</t>
        </is>
      </c>
      <c r="G5" s="3">
        <f>IF(OR(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H5&lt;&gt;"",H5&lt;&gt;"not_applicable"),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I5&lt;&gt;"",I5&lt;&gt;"not_applicable"),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J5&lt;&gt;"",J5&lt;&gt;"not_applicable"),AND(OR(AND(IF($D5="",INDEX(primary_jama_2019_14231_disposition,MATCH($A5,primary_jama_2019_14231_key,0)),$D5)&lt;&gt;"",IF($D5="",INDEX(primary_jama_2019_14231_disposition,MATCH($A5,primary_jama_2019_14231_key,0)),$D5)&lt;&gt;"retain"),NOT(OR(IF($E5="",INDEX(primary_jama_2019_14231_domain,MATCH($A5,primary_jama_2019_14231_key,0)),$E5)="report_internal_inconsistency",IF($E5="",INDEX(primary_jama_2019_14231_domain,MATCH($A5,primary_jama_2019_14231_key,0)),$E5)="plan_material"))),K5&lt;&gt;"",K5&lt;&gt;"not_applicable"),AND(OR(AND(IF($D5="",INDEX(primary_jama_2019_14231_disposition,MATCH($A5,primary_jama_2019_14231_key,0)),$D5)&lt;&gt;"",IF($D5="",INDEX(primary_jama_2019_14231_disposition,MATCH($A5,primary_jama_2019_14231_key,0)),$D5)&lt;&gt;"retain"),NOT(OR(IF($E5="",INDEX(primary_jama_2019_14231_domain,MATCH($A5,primary_jama_2019_14231_key,0)),$E5)="protocol_report"))),L5&lt;&gt;"",L5&lt;&gt;"not_applicable")),"CLEAR INACTIVE VALUES",IF(N5="","PENDING",IF(AND(N5&lt;&gt;"agree",LEN(TRIM(O5))=0),"COMMENT NEEDED",IF(F5="yes","CHECKED - see resolution","DRAFT"))))</f>
        <v/>
      </c>
      <c r="H5" s="8">
        <f>IF(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not_applicable","")</f>
        <v/>
      </c>
      <c r="I5" s="8">
        <f>IF(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not_applicable","")</f>
        <v/>
      </c>
      <c r="J5" s="9">
        <f>IF(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not_applicable","")</f>
        <v/>
      </c>
      <c r="K5" s="8">
        <f>IF(OR(AND(IF($D5="",INDEX(primary_jama_2019_14231_disposition,MATCH($A5,primary_jama_2019_14231_key,0)),$D5)&lt;&gt;"",IF($D5="",INDEX(primary_jama_2019_14231_disposition,MATCH($A5,primary_jama_2019_14231_key,0)),$D5)&lt;&gt;"retain"),NOT(OR(IF($E5="",INDEX(primary_jama_2019_14231_domain,MATCH($A5,primary_jama_2019_14231_key,0)),$E5)="report_internal_inconsistency",IF($E5="",INDEX(primary_jama_2019_14231_domain,MATCH($A5,primary_jama_2019_14231_key,0)),$E5)="plan_material"))),"not_applicable","")</f>
        <v/>
      </c>
      <c r="L5" s="9">
        <f>IF(OR(AND(IF($D5="",INDEX(primary_jama_2019_14231_disposition,MATCH($A5,primary_jama_2019_14231_key,0)),$D5)&lt;&gt;"",IF($D5="",INDEX(primary_jama_2019_14231_disposition,MATCH($A5,primary_jama_2019_14231_key,0)),$D5)&lt;&gt;"retain"),NOT(OR(IF($E5="",INDEX(primary_jama_2019_14231_domain,MATCH($A5,primary_jama_2019_14231_key,0)),$E5)="protocol_report"))),"not_applicable","")</f>
        <v/>
      </c>
      <c r="M5" s="3" t="inlineStr">
        <is>
          <t>Disposition: exclude
Review domain: statistical_results
Notes (optional): SYNTHETIC TEST DATA ONLY. Exclude is a placeholder for testing the checker workflow, not a scientific assessment. Do not use this sample in research results.</t>
        </is>
      </c>
      <c r="N5" s="8" t="inlineStr"/>
      <c r="O5" s="10" t="inlineStr"/>
      <c r="P5" s="8" t="inlineStr">
        <is>
          <t>pending</t>
        </is>
      </c>
      <c r="Q5" s="10" t="inlineStr"/>
      <c r="R5" s="11" t="inlineStr"/>
    </row>
    <row r="6" ht="76" customHeight="1">
      <c r="A6" s="2" t="inlineStr">
        <is>
          <t>2019::jama.2019.14231::C005</t>
        </is>
      </c>
      <c r="B6" s="2" t="inlineStr">
        <is>
          <t>Nephropathy ARD does not reconcile with displayed 8-year incidences</t>
        </is>
      </c>
      <c r="C6" s="2" t="inlineStr">
        <is>
          <t>Main article — PDF p. 4, PDF p. 7; Supplement 1 — PDF p. 7.</t>
        </is>
      </c>
      <c r="D6" s="8" t="inlineStr"/>
      <c r="E6" s="8" t="inlineStr"/>
      <c r="F6" s="8" t="inlineStr">
        <is>
          <t>no</t>
        </is>
      </c>
      <c r="G6" s="2">
        <f>IF(OR(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H6&lt;&gt;"",H6&lt;&gt;"not_applicable"),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I6&lt;&gt;"",I6&lt;&gt;"not_applicable"),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J6&lt;&gt;"",J6&lt;&gt;"not_applicable"),AND(OR(AND(IF($D6="",INDEX(primary_jama_2019_14231_disposition,MATCH($A6,primary_jama_2019_14231_key,0)),$D6)&lt;&gt;"",IF($D6="",INDEX(primary_jama_2019_14231_disposition,MATCH($A6,primary_jama_2019_14231_key,0)),$D6)&lt;&gt;"retain"),NOT(OR(IF($E6="",INDEX(primary_jama_2019_14231_domain,MATCH($A6,primary_jama_2019_14231_key,0)),$E6)="report_internal_inconsistency",IF($E6="",INDEX(primary_jama_2019_14231_domain,MATCH($A6,primary_jama_2019_14231_key,0)),$E6)="plan_material"))),K6&lt;&gt;"",K6&lt;&gt;"not_applicable"),AND(OR(AND(IF($D6="",INDEX(primary_jama_2019_14231_disposition,MATCH($A6,primary_jama_2019_14231_key,0)),$D6)&lt;&gt;"",IF($D6="",INDEX(primary_jama_2019_14231_disposition,MATCH($A6,primary_jama_2019_14231_key,0)),$D6)&lt;&gt;"retain"),NOT(OR(IF($E6="",INDEX(primary_jama_2019_14231_domain,MATCH($A6,primary_jama_2019_14231_key,0)),$E6)="protocol_report"))),L6&lt;&gt;"",L6&lt;&gt;"not_applicable")),"CLEAR INACTIVE VALUES",IF(N6="","PENDING",IF(AND(N6&lt;&gt;"agree",LEN(TRIM(O6))=0),"COMMENT NEEDED",IF(F6="yes","CHECKED - see resolution","DRAFT"))))</f>
        <v/>
      </c>
      <c r="H6" s="8">
        <f>IF(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not_applicable","")</f>
        <v/>
      </c>
      <c r="I6" s="8">
        <f>IF(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not_applicable","")</f>
        <v/>
      </c>
      <c r="J6" s="9">
        <f>IF(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not_applicable","")</f>
        <v/>
      </c>
      <c r="K6" s="8">
        <f>IF(OR(AND(IF($D6="",INDEX(primary_jama_2019_14231_disposition,MATCH($A6,primary_jama_2019_14231_key,0)),$D6)&lt;&gt;"",IF($D6="",INDEX(primary_jama_2019_14231_disposition,MATCH($A6,primary_jama_2019_14231_key,0)),$D6)&lt;&gt;"retain"),NOT(OR(IF($E6="",INDEX(primary_jama_2019_14231_domain,MATCH($A6,primary_jama_2019_14231_key,0)),$E6)="report_internal_inconsistency",IF($E6="",INDEX(primary_jama_2019_14231_domain,MATCH($A6,primary_jama_2019_14231_key,0)),$E6)="plan_material"))),"not_applicable","")</f>
        <v/>
      </c>
      <c r="L6" s="9">
        <f>IF(OR(AND(IF($D6="",INDEX(primary_jama_2019_14231_disposition,MATCH($A6,primary_jama_2019_14231_key,0)),$D6)&lt;&gt;"",IF($D6="",INDEX(primary_jama_2019_14231_disposition,MATCH($A6,primary_jama_2019_14231_key,0)),$D6)&lt;&gt;"retain"),NOT(OR(IF($E6="",INDEX(primary_jama_2019_14231_domain,MATCH($A6,primary_jama_2019_14231_key,0)),$E6)="protocol_report"))),"not_applicable","")</f>
        <v/>
      </c>
      <c r="M6" s="2" t="inlineStr">
        <is>
          <t>Disposition: exclude
Review domain: statistical_results
Notes (optional): SYNTHETIC TEST DATA ONLY. Exclude is a placeholder for testing the checker workflow, not a scientific assessment. Do not use this sample in research results.</t>
        </is>
      </c>
      <c r="N6" s="8" t="inlineStr"/>
      <c r="O6" s="10" t="inlineStr"/>
      <c r="P6" s="8" t="inlineStr">
        <is>
          <t>pending</t>
        </is>
      </c>
      <c r="Q6" s="10" t="inlineStr"/>
      <c r="R6" s="11" t="inlineStr"/>
    </row>
    <row r="7" ht="76" customHeight="1">
      <c r="A7" s="3" t="inlineStr">
        <is>
          <t>2019::jama.2019.14231::C006</t>
        </is>
      </c>
      <c r="B7" s="3" t="inlineStr">
        <is>
          <t>Atrial-fibrillation ARD does not reconcile with displayed 8-year incidences</t>
        </is>
      </c>
      <c r="C7" s="3" t="inlineStr">
        <is>
          <t>Main article — PDF p. 4, PDF p. 7; Supplement 1 — PDF p. 7.</t>
        </is>
      </c>
      <c r="D7" s="8" t="inlineStr"/>
      <c r="E7" s="8" t="inlineStr"/>
      <c r="F7" s="8" t="inlineStr">
        <is>
          <t>no</t>
        </is>
      </c>
      <c r="G7" s="3">
        <f>IF(OR(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H7&lt;&gt;"",H7&lt;&gt;"not_applicable"),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I7&lt;&gt;"",I7&lt;&gt;"not_applicable"),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J7&lt;&gt;"",J7&lt;&gt;"not_applicable"),AND(OR(AND(IF($D7="",INDEX(primary_jama_2019_14231_disposition,MATCH($A7,primary_jama_2019_14231_key,0)),$D7)&lt;&gt;"",IF($D7="",INDEX(primary_jama_2019_14231_disposition,MATCH($A7,primary_jama_2019_14231_key,0)),$D7)&lt;&gt;"retain"),NOT(OR(IF($E7="",INDEX(primary_jama_2019_14231_domain,MATCH($A7,primary_jama_2019_14231_key,0)),$E7)="report_internal_inconsistency",IF($E7="",INDEX(primary_jama_2019_14231_domain,MATCH($A7,primary_jama_2019_14231_key,0)),$E7)="plan_material"))),K7&lt;&gt;"",K7&lt;&gt;"not_applicable"),AND(OR(AND(IF($D7="",INDEX(primary_jama_2019_14231_disposition,MATCH($A7,primary_jama_2019_14231_key,0)),$D7)&lt;&gt;"",IF($D7="",INDEX(primary_jama_2019_14231_disposition,MATCH($A7,primary_jama_2019_14231_key,0)),$D7)&lt;&gt;"retain"),NOT(OR(IF($E7="",INDEX(primary_jama_2019_14231_domain,MATCH($A7,primary_jama_2019_14231_key,0)),$E7)="protocol_report"))),L7&lt;&gt;"",L7&lt;&gt;"not_applicable")),"CLEAR INACTIVE VALUES",IF(N7="","PENDING",IF(AND(N7&lt;&gt;"agree",LEN(TRIM(O7))=0),"COMMENT NEEDED",IF(F7="yes","CHECKED - see resolution","DRAFT"))))</f>
        <v/>
      </c>
      <c r="H7" s="8">
        <f>IF(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not_applicable","")</f>
        <v/>
      </c>
      <c r="I7" s="8">
        <f>IF(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not_applicable","")</f>
        <v/>
      </c>
      <c r="J7" s="9">
        <f>IF(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not_applicable","")</f>
        <v/>
      </c>
      <c r="K7" s="8">
        <f>IF(OR(AND(IF($D7="",INDEX(primary_jama_2019_14231_disposition,MATCH($A7,primary_jama_2019_14231_key,0)),$D7)&lt;&gt;"",IF($D7="",INDEX(primary_jama_2019_14231_disposition,MATCH($A7,primary_jama_2019_14231_key,0)),$D7)&lt;&gt;"retain"),NOT(OR(IF($E7="",INDEX(primary_jama_2019_14231_domain,MATCH($A7,primary_jama_2019_14231_key,0)),$E7)="report_internal_inconsistency",IF($E7="",INDEX(primary_jama_2019_14231_domain,MATCH($A7,primary_jama_2019_14231_key,0)),$E7)="plan_material"))),"not_applicable","")</f>
        <v/>
      </c>
      <c r="L7" s="9">
        <f>IF(OR(AND(IF($D7="",INDEX(primary_jama_2019_14231_disposition,MATCH($A7,primary_jama_2019_14231_key,0)),$D7)&lt;&gt;"",IF($D7="",INDEX(primary_jama_2019_14231_disposition,MATCH($A7,primary_jama_2019_14231_key,0)),$D7)&lt;&gt;"retain"),NOT(OR(IF($E7="",INDEX(primary_jama_2019_14231_domain,MATCH($A7,primary_jama_2019_14231_key,0)),$E7)="protocol_report"))),"not_applicable","")</f>
        <v/>
      </c>
      <c r="M7" s="3" t="inlineStr">
        <is>
          <t>Disposition: exclude
Review domain: statistical_results
Notes (optional): SYNTHETIC TEST DATA ONLY. Exclude is a placeholder for testing the checker workflow, not a scientific assessment. Do not use this sample in research results.</t>
        </is>
      </c>
      <c r="N7" s="8" t="inlineStr"/>
      <c r="O7" s="10" t="inlineStr"/>
      <c r="P7" s="8" t="inlineStr">
        <is>
          <t>pending</t>
        </is>
      </c>
      <c r="Q7" s="10" t="inlineStr"/>
      <c r="R7" s="11" t="inlineStr"/>
    </row>
    <row r="8" ht="76" customHeight="1">
      <c r="A8" s="2" t="inlineStr">
        <is>
          <t>2019::jama.2019.14231::C007</t>
        </is>
      </c>
      <c r="B8" s="2" t="inlineStr">
        <is>
          <t>Supplement tables use different nonsurgical medication denominators at baseline</t>
        </is>
      </c>
      <c r="C8" s="2" t="inlineStr">
        <is>
          <t>Supplement 1 — PDF p. 5, PDF p. 14.</t>
        </is>
      </c>
      <c r="D8" s="8" t="inlineStr"/>
      <c r="E8" s="8" t="inlineStr"/>
      <c r="F8" s="8" t="inlineStr">
        <is>
          <t>no</t>
        </is>
      </c>
      <c r="G8" s="2">
        <f>IF(OR(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H8&lt;&gt;"",H8&lt;&gt;"not_applicable"),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I8&lt;&gt;"",I8&lt;&gt;"not_applicable"),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J8&lt;&gt;"",J8&lt;&gt;"not_applicable"),AND(OR(AND(IF($D8="",INDEX(primary_jama_2019_14231_disposition,MATCH($A8,primary_jama_2019_14231_key,0)),$D8)&lt;&gt;"",IF($D8="",INDEX(primary_jama_2019_14231_disposition,MATCH($A8,primary_jama_2019_14231_key,0)),$D8)&lt;&gt;"retain"),NOT(OR(IF($E8="",INDEX(primary_jama_2019_14231_domain,MATCH($A8,primary_jama_2019_14231_key,0)),$E8)="report_internal_inconsistency",IF($E8="",INDEX(primary_jama_2019_14231_domain,MATCH($A8,primary_jama_2019_14231_key,0)),$E8)="plan_material"))),K8&lt;&gt;"",K8&lt;&gt;"not_applicable"),AND(OR(AND(IF($D8="",INDEX(primary_jama_2019_14231_disposition,MATCH($A8,primary_jama_2019_14231_key,0)),$D8)&lt;&gt;"",IF($D8="",INDEX(primary_jama_2019_14231_disposition,MATCH($A8,primary_jama_2019_14231_key,0)),$D8)&lt;&gt;"retain"),NOT(OR(IF($E8="",INDEX(primary_jama_2019_14231_domain,MATCH($A8,primary_jama_2019_14231_key,0)),$E8)="protocol_report"))),L8&lt;&gt;"",L8&lt;&gt;"not_applicable")),"CLEAR INACTIVE VALUES",IF(N8="","PENDING",IF(AND(N8&lt;&gt;"agree",LEN(TRIM(O8))=0),"COMMENT NEEDED",IF(F8="yes","CHECKED - see resolution","DRAFT"))))</f>
        <v/>
      </c>
      <c r="H8" s="8">
        <f>IF(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not_applicable","")</f>
        <v/>
      </c>
      <c r="I8" s="8">
        <f>IF(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not_applicable","")</f>
        <v/>
      </c>
      <c r="J8" s="9">
        <f>IF(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not_applicable","")</f>
        <v/>
      </c>
      <c r="K8" s="8">
        <f>IF(OR(AND(IF($D8="",INDEX(primary_jama_2019_14231_disposition,MATCH($A8,primary_jama_2019_14231_key,0)),$D8)&lt;&gt;"",IF($D8="",INDEX(primary_jama_2019_14231_disposition,MATCH($A8,primary_jama_2019_14231_key,0)),$D8)&lt;&gt;"retain"),NOT(OR(IF($E8="",INDEX(primary_jama_2019_14231_domain,MATCH($A8,primary_jama_2019_14231_key,0)),$E8)="report_internal_inconsistency",IF($E8="",INDEX(primary_jama_2019_14231_domain,MATCH($A8,primary_jama_2019_14231_key,0)),$E8)="plan_material"))),"not_applicable","")</f>
        <v/>
      </c>
      <c r="L8" s="9">
        <f>IF(OR(AND(IF($D8="",INDEX(primary_jama_2019_14231_disposition,MATCH($A8,primary_jama_2019_14231_key,0)),$D8)&lt;&gt;"",IF($D8="",INDEX(primary_jama_2019_14231_disposition,MATCH($A8,primary_jama_2019_14231_key,0)),$D8)&lt;&gt;"retain"),NOT(OR(IF($E8="",INDEX(primary_jama_2019_14231_domain,MATCH($A8,primary_jama_2019_14231_key,0)),$E8)="protocol_report"))),"not_applicable","")</f>
        <v/>
      </c>
      <c r="M8" s="2" t="inlineStr">
        <is>
          <t>Disposition: exclude
Review domain: statistical_results
Notes (optional): SYNTHETIC TEST DATA ONLY. Exclude is a placeholder for testing the checker workflow, not a scientific assessment. Do not use this sample in research results.</t>
        </is>
      </c>
      <c r="N8" s="8" t="inlineStr"/>
      <c r="O8" s="10" t="inlineStr"/>
      <c r="P8" s="8" t="inlineStr">
        <is>
          <t>pending</t>
        </is>
      </c>
      <c r="Q8" s="10" t="inlineStr"/>
      <c r="R8" s="11" t="inlineStr"/>
    </row>
    <row r="9" ht="76" customHeight="1">
      <c r="A9" s="3" t="inlineStr">
        <is>
          <t>2019::jama.2019.14231::C008</t>
        </is>
      </c>
      <c r="B9" s="3" t="inlineStr">
        <is>
          <t>Medication comparison is labeled as two different named tests</t>
        </is>
      </c>
      <c r="C9" s="3" t="inlineStr">
        <is>
          <t>Main article — PDF p. 4, PDF p. 10; Supplement 1 — PDF p. 12.</t>
        </is>
      </c>
      <c r="D9" s="8" t="inlineStr"/>
      <c r="E9" s="8" t="inlineStr"/>
      <c r="F9" s="8" t="inlineStr">
        <is>
          <t>no</t>
        </is>
      </c>
      <c r="G9" s="3">
        <f>IF(OR(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H9&lt;&gt;"",H9&lt;&gt;"not_applicable"),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I9&lt;&gt;"",I9&lt;&gt;"not_applicable"),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J9&lt;&gt;"",J9&lt;&gt;"not_applicable"),AND(OR(AND(IF($D9="",INDEX(primary_jama_2019_14231_disposition,MATCH($A9,primary_jama_2019_14231_key,0)),$D9)&lt;&gt;"",IF($D9="",INDEX(primary_jama_2019_14231_disposition,MATCH($A9,primary_jama_2019_14231_key,0)),$D9)&lt;&gt;"retain"),NOT(OR(IF($E9="",INDEX(primary_jama_2019_14231_domain,MATCH($A9,primary_jama_2019_14231_key,0)),$E9)="report_internal_inconsistency",IF($E9="",INDEX(primary_jama_2019_14231_domain,MATCH($A9,primary_jama_2019_14231_key,0)),$E9)="plan_material"))),K9&lt;&gt;"",K9&lt;&gt;"not_applicable"),AND(OR(AND(IF($D9="",INDEX(primary_jama_2019_14231_disposition,MATCH($A9,primary_jama_2019_14231_key,0)),$D9)&lt;&gt;"",IF($D9="",INDEX(primary_jama_2019_14231_disposition,MATCH($A9,primary_jama_2019_14231_key,0)),$D9)&lt;&gt;"retain"),NOT(OR(IF($E9="",INDEX(primary_jama_2019_14231_domain,MATCH($A9,primary_jama_2019_14231_key,0)),$E9)="protocol_report"))),L9&lt;&gt;"",L9&lt;&gt;"not_applicable")),"CLEAR INACTIVE VALUES",IF(N9="","PENDING",IF(AND(N9&lt;&gt;"agree",LEN(TRIM(O9))=0),"COMMENT NEEDED",IF(F9="yes","CHECKED - see resolution","DRAFT"))))</f>
        <v/>
      </c>
      <c r="H9" s="8">
        <f>IF(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not_applicable","")</f>
        <v/>
      </c>
      <c r="I9" s="8">
        <f>IF(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not_applicable","")</f>
        <v/>
      </c>
      <c r="J9" s="9">
        <f>IF(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not_applicable","")</f>
        <v/>
      </c>
      <c r="K9" s="8">
        <f>IF(OR(AND(IF($D9="",INDEX(primary_jama_2019_14231_disposition,MATCH($A9,primary_jama_2019_14231_key,0)),$D9)&lt;&gt;"",IF($D9="",INDEX(primary_jama_2019_14231_disposition,MATCH($A9,primary_jama_2019_14231_key,0)),$D9)&lt;&gt;"retain"),NOT(OR(IF($E9="",INDEX(primary_jama_2019_14231_domain,MATCH($A9,primary_jama_2019_14231_key,0)),$E9)="report_internal_inconsistency",IF($E9="",INDEX(primary_jama_2019_14231_domain,MATCH($A9,primary_jama_2019_14231_key,0)),$E9)="plan_material"))),"not_applicable","")</f>
        <v/>
      </c>
      <c r="L9" s="9">
        <f>IF(OR(AND(IF($D9="",INDEX(primary_jama_2019_14231_disposition,MATCH($A9,primary_jama_2019_14231_key,0)),$D9)&lt;&gt;"",IF($D9="",INDEX(primary_jama_2019_14231_disposition,MATCH($A9,primary_jama_2019_14231_key,0)),$D9)&lt;&gt;"retain"),NOT(OR(IF($E9="",INDEX(primary_jama_2019_14231_domain,MATCH($A9,primary_jama_2019_14231_key,0)),$E9)="protocol_report"))),"not_applicable","")</f>
        <v/>
      </c>
      <c r="M9" s="3" t="inlineStr">
        <is>
          <t>Disposition: exclude
Review domain: report_internal_inconsistency
Notes (optional): SYNTHETIC TEST DATA ONLY. Exclude is a placeholder for testing the checker workflow, not a scientific assessment. Do not use this sample in research results.</t>
        </is>
      </c>
      <c r="N9" s="8" t="inlineStr"/>
      <c r="O9" s="10" t="inlineStr"/>
      <c r="P9" s="8" t="inlineStr">
        <is>
          <t>pending</t>
        </is>
      </c>
      <c r="Q9" s="10" t="inlineStr"/>
      <c r="R9" s="11" t="inlineStr"/>
    </row>
    <row r="10" ht="76" customHeight="1">
      <c r="A10" s="2" t="inlineStr">
        <is>
          <t>2019::jama.2019.14231::C009</t>
        </is>
      </c>
      <c r="B10" s="2" t="inlineStr">
        <is>
          <t>Time-varying-HR narrative cites eTable 4 while the displayed table is eTable 7</t>
        </is>
      </c>
      <c r="C10" s="2" t="inlineStr">
        <is>
          <t>Supplement 1 — PDF p. 6, PDF p. 10, PDF p. 19.</t>
        </is>
      </c>
      <c r="D10" s="8" t="inlineStr"/>
      <c r="E10" s="8" t="inlineStr"/>
      <c r="F10" s="8" t="inlineStr">
        <is>
          <t>no</t>
        </is>
      </c>
      <c r="G10" s="2">
        <f>IF(OR(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H10&lt;&gt;"",H10&lt;&gt;"not_applicable"),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I10&lt;&gt;"",I10&lt;&gt;"not_applicable"),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J10&lt;&gt;"",J10&lt;&gt;"not_applicable"),AND(OR(AND(IF($D10="",INDEX(primary_jama_2019_14231_disposition,MATCH($A10,primary_jama_2019_14231_key,0)),$D10)&lt;&gt;"",IF($D10="",INDEX(primary_jama_2019_14231_disposition,MATCH($A10,primary_jama_2019_14231_key,0)),$D10)&lt;&gt;"retain"),NOT(OR(IF($E10="",INDEX(primary_jama_2019_14231_domain,MATCH($A10,primary_jama_2019_14231_key,0)),$E10)="report_internal_inconsistency",IF($E10="",INDEX(primary_jama_2019_14231_domain,MATCH($A10,primary_jama_2019_14231_key,0)),$E10)="plan_material"))),K10&lt;&gt;"",K10&lt;&gt;"not_applicable"),AND(OR(AND(IF($D10="",INDEX(primary_jama_2019_14231_disposition,MATCH($A10,primary_jama_2019_14231_key,0)),$D10)&lt;&gt;"",IF($D10="",INDEX(primary_jama_2019_14231_disposition,MATCH($A10,primary_jama_2019_14231_key,0)),$D10)&lt;&gt;"retain"),NOT(OR(IF($E10="",INDEX(primary_jama_2019_14231_domain,MATCH($A10,primary_jama_2019_14231_key,0)),$E10)="protocol_report"))),L10&lt;&gt;"",L10&lt;&gt;"not_applicable")),"CLEAR INACTIVE VALUES",IF(N10="","PENDING",IF(AND(N10&lt;&gt;"agree",LEN(TRIM(O10))=0),"COMMENT NEEDED",IF(F10="yes","CHECKED - see resolution","DRAFT"))))</f>
        <v/>
      </c>
      <c r="H10" s="8">
        <f>IF(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not_applicable","")</f>
        <v/>
      </c>
      <c r="I10" s="8">
        <f>IF(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not_applicable","")</f>
        <v/>
      </c>
      <c r="J10" s="9">
        <f>IF(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not_applicable","")</f>
        <v/>
      </c>
      <c r="K10" s="8">
        <f>IF(OR(AND(IF($D10="",INDEX(primary_jama_2019_14231_disposition,MATCH($A10,primary_jama_2019_14231_key,0)),$D10)&lt;&gt;"",IF($D10="",INDEX(primary_jama_2019_14231_disposition,MATCH($A10,primary_jama_2019_14231_key,0)),$D10)&lt;&gt;"retain"),NOT(OR(IF($E10="",INDEX(primary_jama_2019_14231_domain,MATCH($A10,primary_jama_2019_14231_key,0)),$E10)="report_internal_inconsistency",IF($E10="",INDEX(primary_jama_2019_14231_domain,MATCH($A10,primary_jama_2019_14231_key,0)),$E10)="plan_material"))),"not_applicable","")</f>
        <v/>
      </c>
      <c r="L10" s="9">
        <f>IF(OR(AND(IF($D10="",INDEX(primary_jama_2019_14231_disposition,MATCH($A10,primary_jama_2019_14231_key,0)),$D10)&lt;&gt;"",IF($D10="",INDEX(primary_jama_2019_14231_disposition,MATCH($A10,primary_jama_2019_14231_key,0)),$D10)&lt;&gt;"retain"),NOT(OR(IF($E10="",INDEX(primary_jama_2019_14231_domain,MATCH($A10,primary_jama_2019_14231_key,0)),$E10)="protocol_report"))),"not_applicable","")</f>
        <v/>
      </c>
      <c r="M10" s="2" t="inlineStr">
        <is>
          <t>Disposition: exclude
Review domain: report_internal_inconsistency
Notes (optional): SYNTHETIC TEST DATA ONLY. Exclude is a placeholder for testing the checker workflow, not a scientific assessment. Do not use this sample in research results.</t>
        </is>
      </c>
      <c r="N10" s="8" t="inlineStr"/>
      <c r="O10" s="10" t="inlineStr"/>
      <c r="P10" s="8" t="inlineStr">
        <is>
          <t>pending</t>
        </is>
      </c>
      <c r="Q10" s="10" t="inlineStr"/>
      <c r="R10" s="11" t="inlineStr"/>
    </row>
    <row r="11" ht="76" customHeight="1">
      <c r="A11" s="3" t="inlineStr">
        <is>
          <t>2019::jama.2019.14231::C010</t>
        </is>
      </c>
      <c r="B11" s="3" t="inlineStr">
        <is>
          <t>Biguanide count and percentage do not reconcile in eTable 3</t>
        </is>
      </c>
      <c r="C11" s="3" t="inlineStr">
        <is>
          <t>Supplement 1 — PDF p. 5.</t>
        </is>
      </c>
      <c r="D11" s="8" t="inlineStr"/>
      <c r="E11" s="8" t="inlineStr"/>
      <c r="F11" s="8" t="inlineStr">
        <is>
          <t>no</t>
        </is>
      </c>
      <c r="G11" s="3">
        <f>IF(OR(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H11&lt;&gt;"",H11&lt;&gt;"not_applicable"),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I11&lt;&gt;"",I11&lt;&gt;"not_applicable"),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J11&lt;&gt;"",J11&lt;&gt;"not_applicable"),AND(OR(AND(IF($D11="",INDEX(primary_jama_2019_14231_disposition,MATCH($A11,primary_jama_2019_14231_key,0)),$D11)&lt;&gt;"",IF($D11="",INDEX(primary_jama_2019_14231_disposition,MATCH($A11,primary_jama_2019_14231_key,0)),$D11)&lt;&gt;"retain"),NOT(OR(IF($E11="",INDEX(primary_jama_2019_14231_domain,MATCH($A11,primary_jama_2019_14231_key,0)),$E11)="report_internal_inconsistency",IF($E11="",INDEX(primary_jama_2019_14231_domain,MATCH($A11,primary_jama_2019_14231_key,0)),$E11)="plan_material"))),K11&lt;&gt;"",K11&lt;&gt;"not_applicable"),AND(OR(AND(IF($D11="",INDEX(primary_jama_2019_14231_disposition,MATCH($A11,primary_jama_2019_14231_key,0)),$D11)&lt;&gt;"",IF($D11="",INDEX(primary_jama_2019_14231_disposition,MATCH($A11,primary_jama_2019_14231_key,0)),$D11)&lt;&gt;"retain"),NOT(OR(IF($E11="",INDEX(primary_jama_2019_14231_domain,MATCH($A11,primary_jama_2019_14231_key,0)),$E11)="protocol_report"))),L11&lt;&gt;"",L11&lt;&gt;"not_applicable")),"CLEAR INACTIVE VALUES",IF(N11="","PENDING",IF(AND(N11&lt;&gt;"agree",LEN(TRIM(O11))=0),"COMMENT NEEDED",IF(F11="yes","CHECKED - see resolution","DRAFT"))))</f>
        <v/>
      </c>
      <c r="H11" s="8">
        <f>IF(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not_applicable","")</f>
        <v/>
      </c>
      <c r="I11" s="8">
        <f>IF(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not_applicable","")</f>
        <v/>
      </c>
      <c r="J11" s="9">
        <f>IF(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not_applicable","")</f>
        <v/>
      </c>
      <c r="K11" s="8">
        <f>IF(OR(AND(IF($D11="",INDEX(primary_jama_2019_14231_disposition,MATCH($A11,primary_jama_2019_14231_key,0)),$D11)&lt;&gt;"",IF($D11="",INDEX(primary_jama_2019_14231_disposition,MATCH($A11,primary_jama_2019_14231_key,0)),$D11)&lt;&gt;"retain"),NOT(OR(IF($E11="",INDEX(primary_jama_2019_14231_domain,MATCH($A11,primary_jama_2019_14231_key,0)),$E11)="report_internal_inconsistency",IF($E11="",INDEX(primary_jama_2019_14231_domain,MATCH($A11,primary_jama_2019_14231_key,0)),$E11)="plan_material"))),"not_applicable","")</f>
        <v/>
      </c>
      <c r="L11" s="9">
        <f>IF(OR(AND(IF($D11="",INDEX(primary_jama_2019_14231_disposition,MATCH($A11,primary_jama_2019_14231_key,0)),$D11)&lt;&gt;"",IF($D11="",INDEX(primary_jama_2019_14231_disposition,MATCH($A11,primary_jama_2019_14231_key,0)),$D11)&lt;&gt;"retain"),NOT(OR(IF($E11="",INDEX(primary_jama_2019_14231_domain,MATCH($A11,primary_jama_2019_14231_key,0)),$E11)="protocol_report"))),"not_applicable","")</f>
        <v/>
      </c>
      <c r="M11" s="3" t="inlineStr">
        <is>
          <t>Disposition: exclude
Review domain: statistical_results
Notes (optional): SYNTHETIC TEST DATA ONLY. Exclude is a placeholder for testing the checker workflow, not a scientific assessment. Do not use this sample in research results.</t>
        </is>
      </c>
      <c r="N11" s="8" t="inlineStr"/>
      <c r="O11" s="10" t="inlineStr"/>
      <c r="P11" s="8" t="inlineStr">
        <is>
          <t>pending</t>
        </is>
      </c>
      <c r="Q11" s="10" t="inlineStr"/>
      <c r="R11" s="11" t="inlineStr"/>
    </row>
    <row r="12" ht="76" customHeight="1">
      <c r="A12" s="2" t="inlineStr">
        <is>
          <t>2019::jama.2019.14231::C011</t>
        </is>
      </c>
      <c r="B12" s="2" t="inlineStr">
        <is>
          <t>Standardized-difference footnote says absolute value while columns contain negative values</t>
        </is>
      </c>
      <c r="C12" s="2" t="inlineStr">
        <is>
          <t>Main article — PDF p. 5, PDF p. 6.</t>
        </is>
      </c>
      <c r="D12" s="8" t="inlineStr"/>
      <c r="E12" s="8" t="inlineStr"/>
      <c r="F12" s="8" t="inlineStr">
        <is>
          <t>no</t>
        </is>
      </c>
      <c r="G12" s="2">
        <f>IF(OR(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H12&lt;&gt;"",H12&lt;&gt;"not_applicable"),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I12&lt;&gt;"",I12&lt;&gt;"not_applicable"),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J12&lt;&gt;"",J12&lt;&gt;"not_applicable"),AND(OR(AND(IF($D12="",INDEX(primary_jama_2019_14231_disposition,MATCH($A12,primary_jama_2019_14231_key,0)),$D12)&lt;&gt;"",IF($D12="",INDEX(primary_jama_2019_14231_disposition,MATCH($A12,primary_jama_2019_14231_key,0)),$D12)&lt;&gt;"retain"),NOT(OR(IF($E12="",INDEX(primary_jama_2019_14231_domain,MATCH($A12,primary_jama_2019_14231_key,0)),$E12)="report_internal_inconsistency",IF($E12="",INDEX(primary_jama_2019_14231_domain,MATCH($A12,primary_jama_2019_14231_key,0)),$E12)="plan_material"))),K12&lt;&gt;"",K12&lt;&gt;"not_applicable"),AND(OR(AND(IF($D12="",INDEX(primary_jama_2019_14231_disposition,MATCH($A12,primary_jama_2019_14231_key,0)),$D12)&lt;&gt;"",IF($D12="",INDEX(primary_jama_2019_14231_disposition,MATCH($A12,primary_jama_2019_14231_key,0)),$D12)&lt;&gt;"retain"),NOT(OR(IF($E12="",INDEX(primary_jama_2019_14231_domain,MATCH($A12,primary_jama_2019_14231_key,0)),$E12)="protocol_report"))),L12&lt;&gt;"",L12&lt;&gt;"not_applicable")),"CLEAR INACTIVE VALUES",IF(N12="","PENDING",IF(AND(N12&lt;&gt;"agree",LEN(TRIM(O12))=0),"COMMENT NEEDED",IF(F12="yes","CHECKED - see resolution","DRAFT"))))</f>
        <v/>
      </c>
      <c r="H12" s="8">
        <f>IF(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not_applicable","")</f>
        <v/>
      </c>
      <c r="I12" s="8">
        <f>IF(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not_applicable","")</f>
        <v/>
      </c>
      <c r="J12" s="9">
        <f>IF(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not_applicable","")</f>
        <v/>
      </c>
      <c r="K12" s="8">
        <f>IF(OR(AND(IF($D12="",INDEX(primary_jama_2019_14231_disposition,MATCH($A12,primary_jama_2019_14231_key,0)),$D12)&lt;&gt;"",IF($D12="",INDEX(primary_jama_2019_14231_disposition,MATCH($A12,primary_jama_2019_14231_key,0)),$D12)&lt;&gt;"retain"),NOT(OR(IF($E12="",INDEX(primary_jama_2019_14231_domain,MATCH($A12,primary_jama_2019_14231_key,0)),$E12)="report_internal_inconsistency",IF($E12="",INDEX(primary_jama_2019_14231_domain,MATCH($A12,primary_jama_2019_14231_key,0)),$E12)="plan_material"))),"not_applicable","")</f>
        <v/>
      </c>
      <c r="L12" s="9">
        <f>IF(OR(AND(IF($D12="",INDEX(primary_jama_2019_14231_disposition,MATCH($A12,primary_jama_2019_14231_key,0)),$D12)&lt;&gt;"",IF($D12="",INDEX(primary_jama_2019_14231_disposition,MATCH($A12,primary_jama_2019_14231_key,0)),$D12)&lt;&gt;"retain"),NOT(OR(IF($E12="",INDEX(primary_jama_2019_14231_domain,MATCH($A12,primary_jama_2019_14231_key,0)),$E12)="protocol_report"))),"not_applicable","")</f>
        <v/>
      </c>
      <c r="M12" s="2" t="inlineStr">
        <is>
          <t>Disposition: exclude
Review domain: report_internal_inconsistency
Notes (optional): SYNTHETIC TEST DATA ONLY. Exclude is a placeholder for testing the checker workflow, not a scientific assessment. Do not use this sample in research results.</t>
        </is>
      </c>
      <c r="N12" s="8" t="inlineStr"/>
      <c r="O12" s="10" t="inlineStr"/>
      <c r="P12" s="8" t="inlineStr">
        <is>
          <t>pending</t>
        </is>
      </c>
      <c r="Q12" s="10" t="inlineStr"/>
      <c r="R12" s="11" t="inlineStr"/>
    </row>
  </sheetData>
  <sheetProtection selectLockedCells="0" selectUnlockedCells="0" sheet="1" objects="0" insertRows="1" insertHyperlinks="1" autoFilter="0" scenarios="0" formatColumns="1" deleteColumns="1" insertColumns="1" pivotTables="1" deleteRows="1" formatCells="1" formatRows="1" sort="1"/>
  <autoFilter ref="A1:R12"/>
  <conditionalFormatting sqref="H2">
    <cfRule type="expression" priority="1" dxfId="0" stopIfTrue="1">
      <formula>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H2&lt;&gt;"",H2&lt;&gt;"not_applicable")</formula>
    </cfRule>
    <cfRule type="expression" priority="2" dxfId="1">
      <formula>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formula>
    </cfRule>
  </conditionalFormatting>
  <conditionalFormatting sqref="H3">
    <cfRule type="expression" priority="3" dxfId="0" stopIfTrue="1">
      <formula>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H3&lt;&gt;"",H3&lt;&gt;"not_applicable")</formula>
    </cfRule>
    <cfRule type="expression" priority="4" dxfId="1">
      <formula>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formula>
    </cfRule>
  </conditionalFormatting>
  <conditionalFormatting sqref="H4">
    <cfRule type="expression" priority="5" dxfId="0" stopIfTrue="1">
      <formula>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H4&lt;&gt;"",H4&lt;&gt;"not_applicable")</formula>
    </cfRule>
    <cfRule type="expression" priority="6" dxfId="1">
      <formula>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formula>
    </cfRule>
  </conditionalFormatting>
  <conditionalFormatting sqref="H5">
    <cfRule type="expression" priority="7" dxfId="0" stopIfTrue="1">
      <formula>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H5&lt;&gt;"",H5&lt;&gt;"not_applicable")</formula>
    </cfRule>
    <cfRule type="expression" priority="8" dxfId="1">
      <formula>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formula>
    </cfRule>
  </conditionalFormatting>
  <conditionalFormatting sqref="H6">
    <cfRule type="expression" priority="9" dxfId="0" stopIfTrue="1">
      <formula>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H6&lt;&gt;"",H6&lt;&gt;"not_applicable")</formula>
    </cfRule>
    <cfRule type="expression" priority="10" dxfId="1">
      <formula>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formula>
    </cfRule>
  </conditionalFormatting>
  <conditionalFormatting sqref="H7">
    <cfRule type="expression" priority="11" dxfId="0" stopIfTrue="1">
      <formula>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H7&lt;&gt;"",H7&lt;&gt;"not_applicable")</formula>
    </cfRule>
    <cfRule type="expression" priority="12" dxfId="1">
      <formula>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formula>
    </cfRule>
  </conditionalFormatting>
  <conditionalFormatting sqref="H8">
    <cfRule type="expression" priority="13" dxfId="0" stopIfTrue="1">
      <formula>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H8&lt;&gt;"",H8&lt;&gt;"not_applicable")</formula>
    </cfRule>
    <cfRule type="expression" priority="14" dxfId="1">
      <formula>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formula>
    </cfRule>
  </conditionalFormatting>
  <conditionalFormatting sqref="H9">
    <cfRule type="expression" priority="15" dxfId="0" stopIfTrue="1">
      <formula>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H9&lt;&gt;"",H9&lt;&gt;"not_applicable")</formula>
    </cfRule>
    <cfRule type="expression" priority="16" dxfId="1">
      <formula>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formula>
    </cfRule>
  </conditionalFormatting>
  <conditionalFormatting sqref="H10">
    <cfRule type="expression" priority="17" dxfId="0" stopIfTrue="1">
      <formula>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H10&lt;&gt;"",H10&lt;&gt;"not_applicable")</formula>
    </cfRule>
    <cfRule type="expression" priority="18" dxfId="1">
      <formula>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formula>
    </cfRule>
  </conditionalFormatting>
  <conditionalFormatting sqref="H11">
    <cfRule type="expression" priority="19" dxfId="0" stopIfTrue="1">
      <formula>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H11&lt;&gt;"",H11&lt;&gt;"not_applicable")</formula>
    </cfRule>
    <cfRule type="expression" priority="20" dxfId="1">
      <formula>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formula>
    </cfRule>
  </conditionalFormatting>
  <conditionalFormatting sqref="H12">
    <cfRule type="expression" priority="21" dxfId="0" stopIfTrue="1">
      <formula>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H12&lt;&gt;"",H12&lt;&gt;"not_applicable")</formula>
    </cfRule>
    <cfRule type="expression" priority="22" dxfId="1">
      <formula>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formula>
    </cfRule>
  </conditionalFormatting>
  <conditionalFormatting sqref="I2">
    <cfRule type="expression" priority="23" dxfId="0" stopIfTrue="1">
      <formula>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I2&lt;&gt;"",I2&lt;&gt;"not_applicable")</formula>
    </cfRule>
    <cfRule type="expression" priority="24" dxfId="1">
      <formula>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formula>
    </cfRule>
  </conditionalFormatting>
  <conditionalFormatting sqref="I3">
    <cfRule type="expression" priority="25" dxfId="0" stopIfTrue="1">
      <formula>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I3&lt;&gt;"",I3&lt;&gt;"not_applicable")</formula>
    </cfRule>
    <cfRule type="expression" priority="26" dxfId="1">
      <formula>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formula>
    </cfRule>
  </conditionalFormatting>
  <conditionalFormatting sqref="I4">
    <cfRule type="expression" priority="27" dxfId="0" stopIfTrue="1">
      <formula>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I4&lt;&gt;"",I4&lt;&gt;"not_applicable")</formula>
    </cfRule>
    <cfRule type="expression" priority="28" dxfId="1">
      <formula>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formula>
    </cfRule>
  </conditionalFormatting>
  <conditionalFormatting sqref="I5">
    <cfRule type="expression" priority="29" dxfId="0" stopIfTrue="1">
      <formula>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I5&lt;&gt;"",I5&lt;&gt;"not_applicable")</formula>
    </cfRule>
    <cfRule type="expression" priority="30" dxfId="1">
      <formula>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formula>
    </cfRule>
  </conditionalFormatting>
  <conditionalFormatting sqref="I6">
    <cfRule type="expression" priority="31" dxfId="0" stopIfTrue="1">
      <formula>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I6&lt;&gt;"",I6&lt;&gt;"not_applicable")</formula>
    </cfRule>
    <cfRule type="expression" priority="32" dxfId="1">
      <formula>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formula>
    </cfRule>
  </conditionalFormatting>
  <conditionalFormatting sqref="I7">
    <cfRule type="expression" priority="33" dxfId="0" stopIfTrue="1">
      <formula>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I7&lt;&gt;"",I7&lt;&gt;"not_applicable")</formula>
    </cfRule>
    <cfRule type="expression" priority="34" dxfId="1">
      <formula>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formula>
    </cfRule>
  </conditionalFormatting>
  <conditionalFormatting sqref="I8">
    <cfRule type="expression" priority="35" dxfId="0" stopIfTrue="1">
      <formula>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I8&lt;&gt;"",I8&lt;&gt;"not_applicable")</formula>
    </cfRule>
    <cfRule type="expression" priority="36" dxfId="1">
      <formula>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formula>
    </cfRule>
  </conditionalFormatting>
  <conditionalFormatting sqref="I9">
    <cfRule type="expression" priority="37" dxfId="0" stopIfTrue="1">
      <formula>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I9&lt;&gt;"",I9&lt;&gt;"not_applicable")</formula>
    </cfRule>
    <cfRule type="expression" priority="38" dxfId="1">
      <formula>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formula>
    </cfRule>
  </conditionalFormatting>
  <conditionalFormatting sqref="I10">
    <cfRule type="expression" priority="39" dxfId="0" stopIfTrue="1">
      <formula>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I10&lt;&gt;"",I10&lt;&gt;"not_applicable")</formula>
    </cfRule>
    <cfRule type="expression" priority="40" dxfId="1">
      <formula>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formula>
    </cfRule>
  </conditionalFormatting>
  <conditionalFormatting sqref="I11">
    <cfRule type="expression" priority="41" dxfId="0" stopIfTrue="1">
      <formula>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I11&lt;&gt;"",I11&lt;&gt;"not_applicable")</formula>
    </cfRule>
    <cfRule type="expression" priority="42" dxfId="1">
      <formula>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formula>
    </cfRule>
  </conditionalFormatting>
  <conditionalFormatting sqref="I12">
    <cfRule type="expression" priority="43" dxfId="0" stopIfTrue="1">
      <formula>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I12&lt;&gt;"",I12&lt;&gt;"not_applicable")</formula>
    </cfRule>
    <cfRule type="expression" priority="44" dxfId="1">
      <formula>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formula>
    </cfRule>
  </conditionalFormatting>
  <conditionalFormatting sqref="J2">
    <cfRule type="expression" priority="45" dxfId="0" stopIfTrue="1">
      <formula>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J2&lt;&gt;"",J2&lt;&gt;"not_applicable")</formula>
    </cfRule>
    <cfRule type="expression" priority="46" dxfId="1">
      <formula>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formula>
    </cfRule>
  </conditionalFormatting>
  <conditionalFormatting sqref="J3">
    <cfRule type="expression" priority="47" dxfId="0" stopIfTrue="1">
      <formula>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J3&lt;&gt;"",J3&lt;&gt;"not_applicable")</formula>
    </cfRule>
    <cfRule type="expression" priority="48" dxfId="1">
      <formula>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formula>
    </cfRule>
  </conditionalFormatting>
  <conditionalFormatting sqref="J4">
    <cfRule type="expression" priority="49" dxfId="0" stopIfTrue="1">
      <formula>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J4&lt;&gt;"",J4&lt;&gt;"not_applicable")</formula>
    </cfRule>
    <cfRule type="expression" priority="50" dxfId="1">
      <formula>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formula>
    </cfRule>
  </conditionalFormatting>
  <conditionalFormatting sqref="J5">
    <cfRule type="expression" priority="51" dxfId="0" stopIfTrue="1">
      <formula>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J5&lt;&gt;"",J5&lt;&gt;"not_applicable")</formula>
    </cfRule>
    <cfRule type="expression" priority="52" dxfId="1">
      <formula>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formula>
    </cfRule>
  </conditionalFormatting>
  <conditionalFormatting sqref="J6">
    <cfRule type="expression" priority="53" dxfId="0" stopIfTrue="1">
      <formula>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J6&lt;&gt;"",J6&lt;&gt;"not_applicable")</formula>
    </cfRule>
    <cfRule type="expression" priority="54" dxfId="1">
      <formula>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formula>
    </cfRule>
  </conditionalFormatting>
  <conditionalFormatting sqref="J7">
    <cfRule type="expression" priority="55" dxfId="0" stopIfTrue="1">
      <formula>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J7&lt;&gt;"",J7&lt;&gt;"not_applicable")</formula>
    </cfRule>
    <cfRule type="expression" priority="56" dxfId="1">
      <formula>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formula>
    </cfRule>
  </conditionalFormatting>
  <conditionalFormatting sqref="J8">
    <cfRule type="expression" priority="57" dxfId="0" stopIfTrue="1">
      <formula>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J8&lt;&gt;"",J8&lt;&gt;"not_applicable")</formula>
    </cfRule>
    <cfRule type="expression" priority="58" dxfId="1">
      <formula>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formula>
    </cfRule>
  </conditionalFormatting>
  <conditionalFormatting sqref="J9">
    <cfRule type="expression" priority="59" dxfId="0" stopIfTrue="1">
      <formula>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J9&lt;&gt;"",J9&lt;&gt;"not_applicable")</formula>
    </cfRule>
    <cfRule type="expression" priority="60" dxfId="1">
      <formula>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formula>
    </cfRule>
  </conditionalFormatting>
  <conditionalFormatting sqref="J10">
    <cfRule type="expression" priority="61" dxfId="0" stopIfTrue="1">
      <formula>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J10&lt;&gt;"",J10&lt;&gt;"not_applicable")</formula>
    </cfRule>
    <cfRule type="expression" priority="62" dxfId="1">
      <formula>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formula>
    </cfRule>
  </conditionalFormatting>
  <conditionalFormatting sqref="J11">
    <cfRule type="expression" priority="63" dxfId="0" stopIfTrue="1">
      <formula>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J11&lt;&gt;"",J11&lt;&gt;"not_applicable")</formula>
    </cfRule>
    <cfRule type="expression" priority="64" dxfId="1">
      <formula>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formula>
    </cfRule>
  </conditionalFormatting>
  <conditionalFormatting sqref="J12">
    <cfRule type="expression" priority="65" dxfId="0" stopIfTrue="1">
      <formula>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J12&lt;&gt;"",J12&lt;&gt;"not_applicable")</formula>
    </cfRule>
    <cfRule type="expression" priority="66" dxfId="1">
      <formula>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formula>
    </cfRule>
  </conditionalFormatting>
  <conditionalFormatting sqref="K2">
    <cfRule type="expression" priority="67" dxfId="0" stopIfTrue="1">
      <formula>AND(OR(AND(IF($D2="",INDEX(primary_jama_2019_14231_disposition,MATCH($A2,primary_jama_2019_14231_key,0)),$D2)&lt;&gt;"",IF($D2="",INDEX(primary_jama_2019_14231_disposition,MATCH($A2,primary_jama_2019_14231_key,0)),$D2)&lt;&gt;"retain"),NOT(OR(IF($E2="",INDEX(primary_jama_2019_14231_domain,MATCH($A2,primary_jama_2019_14231_key,0)),$E2)="report_internal_inconsistency",IF($E2="",INDEX(primary_jama_2019_14231_domain,MATCH($A2,primary_jama_2019_14231_key,0)),$E2)="plan_material"))),K2&lt;&gt;"",K2&lt;&gt;"not_applicable")</formula>
    </cfRule>
    <cfRule type="expression" priority="68" dxfId="1">
      <formula>OR(AND(IF($D2="",INDEX(primary_jama_2019_14231_disposition,MATCH($A2,primary_jama_2019_14231_key,0)),$D2)&lt;&gt;"",IF($D2="",INDEX(primary_jama_2019_14231_disposition,MATCH($A2,primary_jama_2019_14231_key,0)),$D2)&lt;&gt;"retain"),NOT(OR(IF($E2="",INDEX(primary_jama_2019_14231_domain,MATCH($A2,primary_jama_2019_14231_key,0)),$E2)="report_internal_inconsistency",IF($E2="",INDEX(primary_jama_2019_14231_domain,MATCH($A2,primary_jama_2019_14231_key,0)),$E2)="plan_material")))</formula>
    </cfRule>
  </conditionalFormatting>
  <conditionalFormatting sqref="K3">
    <cfRule type="expression" priority="69" dxfId="0" stopIfTrue="1">
      <formula>AND(OR(AND(IF($D3="",INDEX(primary_jama_2019_14231_disposition,MATCH($A3,primary_jama_2019_14231_key,0)),$D3)&lt;&gt;"",IF($D3="",INDEX(primary_jama_2019_14231_disposition,MATCH($A3,primary_jama_2019_14231_key,0)),$D3)&lt;&gt;"retain"),NOT(OR(IF($E3="",INDEX(primary_jama_2019_14231_domain,MATCH($A3,primary_jama_2019_14231_key,0)),$E3)="report_internal_inconsistency",IF($E3="",INDEX(primary_jama_2019_14231_domain,MATCH($A3,primary_jama_2019_14231_key,0)),$E3)="plan_material"))),K3&lt;&gt;"",K3&lt;&gt;"not_applicable")</formula>
    </cfRule>
    <cfRule type="expression" priority="70" dxfId="1">
      <formula>OR(AND(IF($D3="",INDEX(primary_jama_2019_14231_disposition,MATCH($A3,primary_jama_2019_14231_key,0)),$D3)&lt;&gt;"",IF($D3="",INDEX(primary_jama_2019_14231_disposition,MATCH($A3,primary_jama_2019_14231_key,0)),$D3)&lt;&gt;"retain"),NOT(OR(IF($E3="",INDEX(primary_jama_2019_14231_domain,MATCH($A3,primary_jama_2019_14231_key,0)),$E3)="report_internal_inconsistency",IF($E3="",INDEX(primary_jama_2019_14231_domain,MATCH($A3,primary_jama_2019_14231_key,0)),$E3)="plan_material")))</formula>
    </cfRule>
  </conditionalFormatting>
  <conditionalFormatting sqref="K4">
    <cfRule type="expression" priority="71" dxfId="0" stopIfTrue="1">
      <formula>AND(OR(AND(IF($D4="",INDEX(primary_jama_2019_14231_disposition,MATCH($A4,primary_jama_2019_14231_key,0)),$D4)&lt;&gt;"",IF($D4="",INDEX(primary_jama_2019_14231_disposition,MATCH($A4,primary_jama_2019_14231_key,0)),$D4)&lt;&gt;"retain"),NOT(OR(IF($E4="",INDEX(primary_jama_2019_14231_domain,MATCH($A4,primary_jama_2019_14231_key,0)),$E4)="report_internal_inconsistency",IF($E4="",INDEX(primary_jama_2019_14231_domain,MATCH($A4,primary_jama_2019_14231_key,0)),$E4)="plan_material"))),K4&lt;&gt;"",K4&lt;&gt;"not_applicable")</formula>
    </cfRule>
    <cfRule type="expression" priority="72" dxfId="1">
      <formula>OR(AND(IF($D4="",INDEX(primary_jama_2019_14231_disposition,MATCH($A4,primary_jama_2019_14231_key,0)),$D4)&lt;&gt;"",IF($D4="",INDEX(primary_jama_2019_14231_disposition,MATCH($A4,primary_jama_2019_14231_key,0)),$D4)&lt;&gt;"retain"),NOT(OR(IF($E4="",INDEX(primary_jama_2019_14231_domain,MATCH($A4,primary_jama_2019_14231_key,0)),$E4)="report_internal_inconsistency",IF($E4="",INDEX(primary_jama_2019_14231_domain,MATCH($A4,primary_jama_2019_14231_key,0)),$E4)="plan_material")))</formula>
    </cfRule>
  </conditionalFormatting>
  <conditionalFormatting sqref="K5">
    <cfRule type="expression" priority="73" dxfId="0" stopIfTrue="1">
      <formula>AND(OR(AND(IF($D5="",INDEX(primary_jama_2019_14231_disposition,MATCH($A5,primary_jama_2019_14231_key,0)),$D5)&lt;&gt;"",IF($D5="",INDEX(primary_jama_2019_14231_disposition,MATCH($A5,primary_jama_2019_14231_key,0)),$D5)&lt;&gt;"retain"),NOT(OR(IF($E5="",INDEX(primary_jama_2019_14231_domain,MATCH($A5,primary_jama_2019_14231_key,0)),$E5)="report_internal_inconsistency",IF($E5="",INDEX(primary_jama_2019_14231_domain,MATCH($A5,primary_jama_2019_14231_key,0)),$E5)="plan_material"))),K5&lt;&gt;"",K5&lt;&gt;"not_applicable")</formula>
    </cfRule>
    <cfRule type="expression" priority="74" dxfId="1">
      <formula>OR(AND(IF($D5="",INDEX(primary_jama_2019_14231_disposition,MATCH($A5,primary_jama_2019_14231_key,0)),$D5)&lt;&gt;"",IF($D5="",INDEX(primary_jama_2019_14231_disposition,MATCH($A5,primary_jama_2019_14231_key,0)),$D5)&lt;&gt;"retain"),NOT(OR(IF($E5="",INDEX(primary_jama_2019_14231_domain,MATCH($A5,primary_jama_2019_14231_key,0)),$E5)="report_internal_inconsistency",IF($E5="",INDEX(primary_jama_2019_14231_domain,MATCH($A5,primary_jama_2019_14231_key,0)),$E5)="plan_material")))</formula>
    </cfRule>
  </conditionalFormatting>
  <conditionalFormatting sqref="K6">
    <cfRule type="expression" priority="75" dxfId="0" stopIfTrue="1">
      <formula>AND(OR(AND(IF($D6="",INDEX(primary_jama_2019_14231_disposition,MATCH($A6,primary_jama_2019_14231_key,0)),$D6)&lt;&gt;"",IF($D6="",INDEX(primary_jama_2019_14231_disposition,MATCH($A6,primary_jama_2019_14231_key,0)),$D6)&lt;&gt;"retain"),NOT(OR(IF($E6="",INDEX(primary_jama_2019_14231_domain,MATCH($A6,primary_jama_2019_14231_key,0)),$E6)="report_internal_inconsistency",IF($E6="",INDEX(primary_jama_2019_14231_domain,MATCH($A6,primary_jama_2019_14231_key,0)),$E6)="plan_material"))),K6&lt;&gt;"",K6&lt;&gt;"not_applicable")</formula>
    </cfRule>
    <cfRule type="expression" priority="76" dxfId="1">
      <formula>OR(AND(IF($D6="",INDEX(primary_jama_2019_14231_disposition,MATCH($A6,primary_jama_2019_14231_key,0)),$D6)&lt;&gt;"",IF($D6="",INDEX(primary_jama_2019_14231_disposition,MATCH($A6,primary_jama_2019_14231_key,0)),$D6)&lt;&gt;"retain"),NOT(OR(IF($E6="",INDEX(primary_jama_2019_14231_domain,MATCH($A6,primary_jama_2019_14231_key,0)),$E6)="report_internal_inconsistency",IF($E6="",INDEX(primary_jama_2019_14231_domain,MATCH($A6,primary_jama_2019_14231_key,0)),$E6)="plan_material")))</formula>
    </cfRule>
  </conditionalFormatting>
  <conditionalFormatting sqref="K7">
    <cfRule type="expression" priority="77" dxfId="0" stopIfTrue="1">
      <formula>AND(OR(AND(IF($D7="",INDEX(primary_jama_2019_14231_disposition,MATCH($A7,primary_jama_2019_14231_key,0)),$D7)&lt;&gt;"",IF($D7="",INDEX(primary_jama_2019_14231_disposition,MATCH($A7,primary_jama_2019_14231_key,0)),$D7)&lt;&gt;"retain"),NOT(OR(IF($E7="",INDEX(primary_jama_2019_14231_domain,MATCH($A7,primary_jama_2019_14231_key,0)),$E7)="report_internal_inconsistency",IF($E7="",INDEX(primary_jama_2019_14231_domain,MATCH($A7,primary_jama_2019_14231_key,0)),$E7)="plan_material"))),K7&lt;&gt;"",K7&lt;&gt;"not_applicable")</formula>
    </cfRule>
    <cfRule type="expression" priority="78" dxfId="1">
      <formula>OR(AND(IF($D7="",INDEX(primary_jama_2019_14231_disposition,MATCH($A7,primary_jama_2019_14231_key,0)),$D7)&lt;&gt;"",IF($D7="",INDEX(primary_jama_2019_14231_disposition,MATCH($A7,primary_jama_2019_14231_key,0)),$D7)&lt;&gt;"retain"),NOT(OR(IF($E7="",INDEX(primary_jama_2019_14231_domain,MATCH($A7,primary_jama_2019_14231_key,0)),$E7)="report_internal_inconsistency",IF($E7="",INDEX(primary_jama_2019_14231_domain,MATCH($A7,primary_jama_2019_14231_key,0)),$E7)="plan_material")))</formula>
    </cfRule>
  </conditionalFormatting>
  <conditionalFormatting sqref="K8">
    <cfRule type="expression" priority="79" dxfId="0" stopIfTrue="1">
      <formula>AND(OR(AND(IF($D8="",INDEX(primary_jama_2019_14231_disposition,MATCH($A8,primary_jama_2019_14231_key,0)),$D8)&lt;&gt;"",IF($D8="",INDEX(primary_jama_2019_14231_disposition,MATCH($A8,primary_jama_2019_14231_key,0)),$D8)&lt;&gt;"retain"),NOT(OR(IF($E8="",INDEX(primary_jama_2019_14231_domain,MATCH($A8,primary_jama_2019_14231_key,0)),$E8)="report_internal_inconsistency",IF($E8="",INDEX(primary_jama_2019_14231_domain,MATCH($A8,primary_jama_2019_14231_key,0)),$E8)="plan_material"))),K8&lt;&gt;"",K8&lt;&gt;"not_applicable")</formula>
    </cfRule>
    <cfRule type="expression" priority="80" dxfId="1">
      <formula>OR(AND(IF($D8="",INDEX(primary_jama_2019_14231_disposition,MATCH($A8,primary_jama_2019_14231_key,0)),$D8)&lt;&gt;"",IF($D8="",INDEX(primary_jama_2019_14231_disposition,MATCH($A8,primary_jama_2019_14231_key,0)),$D8)&lt;&gt;"retain"),NOT(OR(IF($E8="",INDEX(primary_jama_2019_14231_domain,MATCH($A8,primary_jama_2019_14231_key,0)),$E8)="report_internal_inconsistency",IF($E8="",INDEX(primary_jama_2019_14231_domain,MATCH($A8,primary_jama_2019_14231_key,0)),$E8)="plan_material")))</formula>
    </cfRule>
  </conditionalFormatting>
  <conditionalFormatting sqref="K9">
    <cfRule type="expression" priority="81" dxfId="0" stopIfTrue="1">
      <formula>AND(OR(AND(IF($D9="",INDEX(primary_jama_2019_14231_disposition,MATCH($A9,primary_jama_2019_14231_key,0)),$D9)&lt;&gt;"",IF($D9="",INDEX(primary_jama_2019_14231_disposition,MATCH($A9,primary_jama_2019_14231_key,0)),$D9)&lt;&gt;"retain"),NOT(OR(IF($E9="",INDEX(primary_jama_2019_14231_domain,MATCH($A9,primary_jama_2019_14231_key,0)),$E9)="report_internal_inconsistency",IF($E9="",INDEX(primary_jama_2019_14231_domain,MATCH($A9,primary_jama_2019_14231_key,0)),$E9)="plan_material"))),K9&lt;&gt;"",K9&lt;&gt;"not_applicable")</formula>
    </cfRule>
    <cfRule type="expression" priority="82" dxfId="1">
      <formula>OR(AND(IF($D9="",INDEX(primary_jama_2019_14231_disposition,MATCH($A9,primary_jama_2019_14231_key,0)),$D9)&lt;&gt;"",IF($D9="",INDEX(primary_jama_2019_14231_disposition,MATCH($A9,primary_jama_2019_14231_key,0)),$D9)&lt;&gt;"retain"),NOT(OR(IF($E9="",INDEX(primary_jama_2019_14231_domain,MATCH($A9,primary_jama_2019_14231_key,0)),$E9)="report_internal_inconsistency",IF($E9="",INDEX(primary_jama_2019_14231_domain,MATCH($A9,primary_jama_2019_14231_key,0)),$E9)="plan_material")))</formula>
    </cfRule>
  </conditionalFormatting>
  <conditionalFormatting sqref="K10">
    <cfRule type="expression" priority="83" dxfId="0" stopIfTrue="1">
      <formula>AND(OR(AND(IF($D10="",INDEX(primary_jama_2019_14231_disposition,MATCH($A10,primary_jama_2019_14231_key,0)),$D10)&lt;&gt;"",IF($D10="",INDEX(primary_jama_2019_14231_disposition,MATCH($A10,primary_jama_2019_14231_key,0)),$D10)&lt;&gt;"retain"),NOT(OR(IF($E10="",INDEX(primary_jama_2019_14231_domain,MATCH($A10,primary_jama_2019_14231_key,0)),$E10)="report_internal_inconsistency",IF($E10="",INDEX(primary_jama_2019_14231_domain,MATCH($A10,primary_jama_2019_14231_key,0)),$E10)="plan_material"))),K10&lt;&gt;"",K10&lt;&gt;"not_applicable")</formula>
    </cfRule>
    <cfRule type="expression" priority="84" dxfId="1">
      <formula>OR(AND(IF($D10="",INDEX(primary_jama_2019_14231_disposition,MATCH($A10,primary_jama_2019_14231_key,0)),$D10)&lt;&gt;"",IF($D10="",INDEX(primary_jama_2019_14231_disposition,MATCH($A10,primary_jama_2019_14231_key,0)),$D10)&lt;&gt;"retain"),NOT(OR(IF($E10="",INDEX(primary_jama_2019_14231_domain,MATCH($A10,primary_jama_2019_14231_key,0)),$E10)="report_internal_inconsistency",IF($E10="",INDEX(primary_jama_2019_14231_domain,MATCH($A10,primary_jama_2019_14231_key,0)),$E10)="plan_material")))</formula>
    </cfRule>
  </conditionalFormatting>
  <conditionalFormatting sqref="K11">
    <cfRule type="expression" priority="85" dxfId="0" stopIfTrue="1">
      <formula>AND(OR(AND(IF($D11="",INDEX(primary_jama_2019_14231_disposition,MATCH($A11,primary_jama_2019_14231_key,0)),$D11)&lt;&gt;"",IF($D11="",INDEX(primary_jama_2019_14231_disposition,MATCH($A11,primary_jama_2019_14231_key,0)),$D11)&lt;&gt;"retain"),NOT(OR(IF($E11="",INDEX(primary_jama_2019_14231_domain,MATCH($A11,primary_jama_2019_14231_key,0)),$E11)="report_internal_inconsistency",IF($E11="",INDEX(primary_jama_2019_14231_domain,MATCH($A11,primary_jama_2019_14231_key,0)),$E11)="plan_material"))),K11&lt;&gt;"",K11&lt;&gt;"not_applicable")</formula>
    </cfRule>
    <cfRule type="expression" priority="86" dxfId="1">
      <formula>OR(AND(IF($D11="",INDEX(primary_jama_2019_14231_disposition,MATCH($A11,primary_jama_2019_14231_key,0)),$D11)&lt;&gt;"",IF($D11="",INDEX(primary_jama_2019_14231_disposition,MATCH($A11,primary_jama_2019_14231_key,0)),$D11)&lt;&gt;"retain"),NOT(OR(IF($E11="",INDEX(primary_jama_2019_14231_domain,MATCH($A11,primary_jama_2019_14231_key,0)),$E11)="report_internal_inconsistency",IF($E11="",INDEX(primary_jama_2019_14231_domain,MATCH($A11,primary_jama_2019_14231_key,0)),$E11)="plan_material")))</formula>
    </cfRule>
  </conditionalFormatting>
  <conditionalFormatting sqref="K12">
    <cfRule type="expression" priority="87" dxfId="0" stopIfTrue="1">
      <formula>AND(OR(AND(IF($D12="",INDEX(primary_jama_2019_14231_disposition,MATCH($A12,primary_jama_2019_14231_key,0)),$D12)&lt;&gt;"",IF($D12="",INDEX(primary_jama_2019_14231_disposition,MATCH($A12,primary_jama_2019_14231_key,0)),$D12)&lt;&gt;"retain"),NOT(OR(IF($E12="",INDEX(primary_jama_2019_14231_domain,MATCH($A12,primary_jama_2019_14231_key,0)),$E12)="report_internal_inconsistency",IF($E12="",INDEX(primary_jama_2019_14231_domain,MATCH($A12,primary_jama_2019_14231_key,0)),$E12)="plan_material"))),K12&lt;&gt;"",K12&lt;&gt;"not_applicable")</formula>
    </cfRule>
    <cfRule type="expression" priority="88" dxfId="1">
      <formula>OR(AND(IF($D12="",INDEX(primary_jama_2019_14231_disposition,MATCH($A12,primary_jama_2019_14231_key,0)),$D12)&lt;&gt;"",IF($D12="",INDEX(primary_jama_2019_14231_disposition,MATCH($A12,primary_jama_2019_14231_key,0)),$D12)&lt;&gt;"retain"),NOT(OR(IF($E12="",INDEX(primary_jama_2019_14231_domain,MATCH($A12,primary_jama_2019_14231_key,0)),$E12)="report_internal_inconsistency",IF($E12="",INDEX(primary_jama_2019_14231_domain,MATCH($A12,primary_jama_2019_14231_key,0)),$E12)="plan_material")))</formula>
    </cfRule>
  </conditionalFormatting>
  <conditionalFormatting sqref="L2">
    <cfRule type="expression" priority="89" dxfId="0" stopIfTrue="1">
      <formula>AND(OR(AND(IF($D2="",INDEX(primary_jama_2019_14231_disposition,MATCH($A2,primary_jama_2019_14231_key,0)),$D2)&lt;&gt;"",IF($D2="",INDEX(primary_jama_2019_14231_disposition,MATCH($A2,primary_jama_2019_14231_key,0)),$D2)&lt;&gt;"retain"),NOT(OR(IF($E2="",INDEX(primary_jama_2019_14231_domain,MATCH($A2,primary_jama_2019_14231_key,0)),$E2)="protocol_report"))),L2&lt;&gt;"",L2&lt;&gt;"not_applicable")</formula>
    </cfRule>
    <cfRule type="expression" priority="90" dxfId="1">
      <formula>OR(AND(IF($D2="",INDEX(primary_jama_2019_14231_disposition,MATCH($A2,primary_jama_2019_14231_key,0)),$D2)&lt;&gt;"",IF($D2="",INDEX(primary_jama_2019_14231_disposition,MATCH($A2,primary_jama_2019_14231_key,0)),$D2)&lt;&gt;"retain"),NOT(OR(IF($E2="",INDEX(primary_jama_2019_14231_domain,MATCH($A2,primary_jama_2019_14231_key,0)),$E2)="protocol_report")))</formula>
    </cfRule>
  </conditionalFormatting>
  <conditionalFormatting sqref="L3">
    <cfRule type="expression" priority="91" dxfId="0" stopIfTrue="1">
      <formula>AND(OR(AND(IF($D3="",INDEX(primary_jama_2019_14231_disposition,MATCH($A3,primary_jama_2019_14231_key,0)),$D3)&lt;&gt;"",IF($D3="",INDEX(primary_jama_2019_14231_disposition,MATCH($A3,primary_jama_2019_14231_key,0)),$D3)&lt;&gt;"retain"),NOT(OR(IF($E3="",INDEX(primary_jama_2019_14231_domain,MATCH($A3,primary_jama_2019_14231_key,0)),$E3)="protocol_report"))),L3&lt;&gt;"",L3&lt;&gt;"not_applicable")</formula>
    </cfRule>
    <cfRule type="expression" priority="92" dxfId="1">
      <formula>OR(AND(IF($D3="",INDEX(primary_jama_2019_14231_disposition,MATCH($A3,primary_jama_2019_14231_key,0)),$D3)&lt;&gt;"",IF($D3="",INDEX(primary_jama_2019_14231_disposition,MATCH($A3,primary_jama_2019_14231_key,0)),$D3)&lt;&gt;"retain"),NOT(OR(IF($E3="",INDEX(primary_jama_2019_14231_domain,MATCH($A3,primary_jama_2019_14231_key,0)),$E3)="protocol_report")))</formula>
    </cfRule>
  </conditionalFormatting>
  <conditionalFormatting sqref="L4">
    <cfRule type="expression" priority="93" dxfId="0" stopIfTrue="1">
      <formula>AND(OR(AND(IF($D4="",INDEX(primary_jama_2019_14231_disposition,MATCH($A4,primary_jama_2019_14231_key,0)),$D4)&lt;&gt;"",IF($D4="",INDEX(primary_jama_2019_14231_disposition,MATCH($A4,primary_jama_2019_14231_key,0)),$D4)&lt;&gt;"retain"),NOT(OR(IF($E4="",INDEX(primary_jama_2019_14231_domain,MATCH($A4,primary_jama_2019_14231_key,0)),$E4)="protocol_report"))),L4&lt;&gt;"",L4&lt;&gt;"not_applicable")</formula>
    </cfRule>
    <cfRule type="expression" priority="94" dxfId="1">
      <formula>OR(AND(IF($D4="",INDEX(primary_jama_2019_14231_disposition,MATCH($A4,primary_jama_2019_14231_key,0)),$D4)&lt;&gt;"",IF($D4="",INDEX(primary_jama_2019_14231_disposition,MATCH($A4,primary_jama_2019_14231_key,0)),$D4)&lt;&gt;"retain"),NOT(OR(IF($E4="",INDEX(primary_jama_2019_14231_domain,MATCH($A4,primary_jama_2019_14231_key,0)),$E4)="protocol_report")))</formula>
    </cfRule>
  </conditionalFormatting>
  <conditionalFormatting sqref="L5">
    <cfRule type="expression" priority="95" dxfId="0" stopIfTrue="1">
      <formula>AND(OR(AND(IF($D5="",INDEX(primary_jama_2019_14231_disposition,MATCH($A5,primary_jama_2019_14231_key,0)),$D5)&lt;&gt;"",IF($D5="",INDEX(primary_jama_2019_14231_disposition,MATCH($A5,primary_jama_2019_14231_key,0)),$D5)&lt;&gt;"retain"),NOT(OR(IF($E5="",INDEX(primary_jama_2019_14231_domain,MATCH($A5,primary_jama_2019_14231_key,0)),$E5)="protocol_report"))),L5&lt;&gt;"",L5&lt;&gt;"not_applicable")</formula>
    </cfRule>
    <cfRule type="expression" priority="96" dxfId="1">
      <formula>OR(AND(IF($D5="",INDEX(primary_jama_2019_14231_disposition,MATCH($A5,primary_jama_2019_14231_key,0)),$D5)&lt;&gt;"",IF($D5="",INDEX(primary_jama_2019_14231_disposition,MATCH($A5,primary_jama_2019_14231_key,0)),$D5)&lt;&gt;"retain"),NOT(OR(IF($E5="",INDEX(primary_jama_2019_14231_domain,MATCH($A5,primary_jama_2019_14231_key,0)),$E5)="protocol_report")))</formula>
    </cfRule>
  </conditionalFormatting>
  <conditionalFormatting sqref="L6">
    <cfRule type="expression" priority="97" dxfId="0" stopIfTrue="1">
      <formula>AND(OR(AND(IF($D6="",INDEX(primary_jama_2019_14231_disposition,MATCH($A6,primary_jama_2019_14231_key,0)),$D6)&lt;&gt;"",IF($D6="",INDEX(primary_jama_2019_14231_disposition,MATCH($A6,primary_jama_2019_14231_key,0)),$D6)&lt;&gt;"retain"),NOT(OR(IF($E6="",INDEX(primary_jama_2019_14231_domain,MATCH($A6,primary_jama_2019_14231_key,0)),$E6)="protocol_report"))),L6&lt;&gt;"",L6&lt;&gt;"not_applicable")</formula>
    </cfRule>
    <cfRule type="expression" priority="98" dxfId="1">
      <formula>OR(AND(IF($D6="",INDEX(primary_jama_2019_14231_disposition,MATCH($A6,primary_jama_2019_14231_key,0)),$D6)&lt;&gt;"",IF($D6="",INDEX(primary_jama_2019_14231_disposition,MATCH($A6,primary_jama_2019_14231_key,0)),$D6)&lt;&gt;"retain"),NOT(OR(IF($E6="",INDEX(primary_jama_2019_14231_domain,MATCH($A6,primary_jama_2019_14231_key,0)),$E6)="protocol_report")))</formula>
    </cfRule>
  </conditionalFormatting>
  <conditionalFormatting sqref="L7">
    <cfRule type="expression" priority="99" dxfId="0" stopIfTrue="1">
      <formula>AND(OR(AND(IF($D7="",INDEX(primary_jama_2019_14231_disposition,MATCH($A7,primary_jama_2019_14231_key,0)),$D7)&lt;&gt;"",IF($D7="",INDEX(primary_jama_2019_14231_disposition,MATCH($A7,primary_jama_2019_14231_key,0)),$D7)&lt;&gt;"retain"),NOT(OR(IF($E7="",INDEX(primary_jama_2019_14231_domain,MATCH($A7,primary_jama_2019_14231_key,0)),$E7)="protocol_report"))),L7&lt;&gt;"",L7&lt;&gt;"not_applicable")</formula>
    </cfRule>
    <cfRule type="expression" priority="100" dxfId="1">
      <formula>OR(AND(IF($D7="",INDEX(primary_jama_2019_14231_disposition,MATCH($A7,primary_jama_2019_14231_key,0)),$D7)&lt;&gt;"",IF($D7="",INDEX(primary_jama_2019_14231_disposition,MATCH($A7,primary_jama_2019_14231_key,0)),$D7)&lt;&gt;"retain"),NOT(OR(IF($E7="",INDEX(primary_jama_2019_14231_domain,MATCH($A7,primary_jama_2019_14231_key,0)),$E7)="protocol_report")))</formula>
    </cfRule>
  </conditionalFormatting>
  <conditionalFormatting sqref="L8">
    <cfRule type="expression" priority="101" dxfId="0" stopIfTrue="1">
      <formula>AND(OR(AND(IF($D8="",INDEX(primary_jama_2019_14231_disposition,MATCH($A8,primary_jama_2019_14231_key,0)),$D8)&lt;&gt;"",IF($D8="",INDEX(primary_jama_2019_14231_disposition,MATCH($A8,primary_jama_2019_14231_key,0)),$D8)&lt;&gt;"retain"),NOT(OR(IF($E8="",INDEX(primary_jama_2019_14231_domain,MATCH($A8,primary_jama_2019_14231_key,0)),$E8)="protocol_report"))),L8&lt;&gt;"",L8&lt;&gt;"not_applicable")</formula>
    </cfRule>
    <cfRule type="expression" priority="102" dxfId="1">
      <formula>OR(AND(IF($D8="",INDEX(primary_jama_2019_14231_disposition,MATCH($A8,primary_jama_2019_14231_key,0)),$D8)&lt;&gt;"",IF($D8="",INDEX(primary_jama_2019_14231_disposition,MATCH($A8,primary_jama_2019_14231_key,0)),$D8)&lt;&gt;"retain"),NOT(OR(IF($E8="",INDEX(primary_jama_2019_14231_domain,MATCH($A8,primary_jama_2019_14231_key,0)),$E8)="protocol_report")))</formula>
    </cfRule>
  </conditionalFormatting>
  <conditionalFormatting sqref="L9">
    <cfRule type="expression" priority="103" dxfId="0" stopIfTrue="1">
      <formula>AND(OR(AND(IF($D9="",INDEX(primary_jama_2019_14231_disposition,MATCH($A9,primary_jama_2019_14231_key,0)),$D9)&lt;&gt;"",IF($D9="",INDEX(primary_jama_2019_14231_disposition,MATCH($A9,primary_jama_2019_14231_key,0)),$D9)&lt;&gt;"retain"),NOT(OR(IF($E9="",INDEX(primary_jama_2019_14231_domain,MATCH($A9,primary_jama_2019_14231_key,0)),$E9)="protocol_report"))),L9&lt;&gt;"",L9&lt;&gt;"not_applicable")</formula>
    </cfRule>
    <cfRule type="expression" priority="104" dxfId="1">
      <formula>OR(AND(IF($D9="",INDEX(primary_jama_2019_14231_disposition,MATCH($A9,primary_jama_2019_14231_key,0)),$D9)&lt;&gt;"",IF($D9="",INDEX(primary_jama_2019_14231_disposition,MATCH($A9,primary_jama_2019_14231_key,0)),$D9)&lt;&gt;"retain"),NOT(OR(IF($E9="",INDEX(primary_jama_2019_14231_domain,MATCH($A9,primary_jama_2019_14231_key,0)),$E9)="protocol_report")))</formula>
    </cfRule>
  </conditionalFormatting>
  <conditionalFormatting sqref="L10">
    <cfRule type="expression" priority="105" dxfId="0" stopIfTrue="1">
      <formula>AND(OR(AND(IF($D10="",INDEX(primary_jama_2019_14231_disposition,MATCH($A10,primary_jama_2019_14231_key,0)),$D10)&lt;&gt;"",IF($D10="",INDEX(primary_jama_2019_14231_disposition,MATCH($A10,primary_jama_2019_14231_key,0)),$D10)&lt;&gt;"retain"),NOT(OR(IF($E10="",INDEX(primary_jama_2019_14231_domain,MATCH($A10,primary_jama_2019_14231_key,0)),$E10)="protocol_report"))),L10&lt;&gt;"",L10&lt;&gt;"not_applicable")</formula>
    </cfRule>
    <cfRule type="expression" priority="106" dxfId="1">
      <formula>OR(AND(IF($D10="",INDEX(primary_jama_2019_14231_disposition,MATCH($A10,primary_jama_2019_14231_key,0)),$D10)&lt;&gt;"",IF($D10="",INDEX(primary_jama_2019_14231_disposition,MATCH($A10,primary_jama_2019_14231_key,0)),$D10)&lt;&gt;"retain"),NOT(OR(IF($E10="",INDEX(primary_jama_2019_14231_domain,MATCH($A10,primary_jama_2019_14231_key,0)),$E10)="protocol_report")))</formula>
    </cfRule>
  </conditionalFormatting>
  <conditionalFormatting sqref="L11">
    <cfRule type="expression" priority="107" dxfId="0" stopIfTrue="1">
      <formula>AND(OR(AND(IF($D11="",INDEX(primary_jama_2019_14231_disposition,MATCH($A11,primary_jama_2019_14231_key,0)),$D11)&lt;&gt;"",IF($D11="",INDEX(primary_jama_2019_14231_disposition,MATCH($A11,primary_jama_2019_14231_key,0)),$D11)&lt;&gt;"retain"),NOT(OR(IF($E11="",INDEX(primary_jama_2019_14231_domain,MATCH($A11,primary_jama_2019_14231_key,0)),$E11)="protocol_report"))),L11&lt;&gt;"",L11&lt;&gt;"not_applicable")</formula>
    </cfRule>
    <cfRule type="expression" priority="108" dxfId="1">
      <formula>OR(AND(IF($D11="",INDEX(primary_jama_2019_14231_disposition,MATCH($A11,primary_jama_2019_14231_key,0)),$D11)&lt;&gt;"",IF($D11="",INDEX(primary_jama_2019_14231_disposition,MATCH($A11,primary_jama_2019_14231_key,0)),$D11)&lt;&gt;"retain"),NOT(OR(IF($E11="",INDEX(primary_jama_2019_14231_domain,MATCH($A11,primary_jama_2019_14231_key,0)),$E11)="protocol_report")))</formula>
    </cfRule>
  </conditionalFormatting>
  <conditionalFormatting sqref="L12">
    <cfRule type="expression" priority="109" dxfId="0" stopIfTrue="1">
      <formula>AND(OR(AND(IF($D12="",INDEX(primary_jama_2019_14231_disposition,MATCH($A12,primary_jama_2019_14231_key,0)),$D12)&lt;&gt;"",IF($D12="",INDEX(primary_jama_2019_14231_disposition,MATCH($A12,primary_jama_2019_14231_key,0)),$D12)&lt;&gt;"retain"),NOT(OR(IF($E12="",INDEX(primary_jama_2019_14231_domain,MATCH($A12,primary_jama_2019_14231_key,0)),$E12)="protocol_report"))),L12&lt;&gt;"",L12&lt;&gt;"not_applicable")</formula>
    </cfRule>
    <cfRule type="expression" priority="110" dxfId="1">
      <formula>OR(AND(IF($D12="",INDEX(primary_jama_2019_14231_disposition,MATCH($A12,primary_jama_2019_14231_key,0)),$D12)&lt;&gt;"",IF($D12="",INDEX(primary_jama_2019_14231_disposition,MATCH($A12,primary_jama_2019_14231_key,0)),$D12)&lt;&gt;"retain"),NOT(OR(IF($E12="",INDEX(primary_jama_2019_14231_domain,MATCH($A12,primary_jama_2019_14231_key,0)),$E12)="protocol_report")))</formula>
    </cfRule>
  </conditionalFormatting>
  <dataValidations count="10">
    <dataValidation sqref="D2:D12" showDropDown="0" showInputMessage="1" showErrorMessage="1" allowBlank="1" errorTitle="Invalid option" error="Choose a listed value." promptTitle="Disposition" prompt="See Codebook for meanings." type="list" errorStyle="stop">
      <formula1>opt_disposition</formula1>
    </dataValidation>
    <dataValidation sqref="E2:E12" showDropDown="0" showInputMessage="1" showErrorMessage="1" allowBlank="1" errorTitle="Invalid option" error="Choose a listed value." promptTitle="Review domain" prompt="See Codebook for meanings." type="list" errorStyle="stop">
      <formula1>opt_domain</formula1>
    </dataValidation>
    <dataValidation sqref="F2:F12" showDropDown="0" showInputMessage="1" showErrorMessage="1" allowBlank="1" errorTitle="Invalid option" error="Choose a listed value." promptTitle="Complete" prompt="See Codebook for meanings." type="list" errorStyle="stop">
      <formula1>opt_reviewComplete</formula1>
    </dataValidation>
    <dataValidation sqref="H2:H12"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2" showDropDown="0" showInputMessage="1" showErrorMessage="1" allowBlank="1" errorTitle="Invalid option" error="Choose a listed value." promptTitle="Substantiveness" prompt="See Codebook for meanings." type="list" errorStyle="stop">
      <formula1>opt_substantiveStatus</formula1>
    </dataValidation>
    <dataValidation sqref="J2:J12" showDropDown="0" showInputMessage="1" showErrorMessage="1" allowBlank="1" errorTitle="Invalid option" error="Choose a listed value." promptTitle="Downstream impact" prompt="See Codebook for meanings." type="list" errorStyle="stop">
      <formula1>opt_downstreamImpact</formula1>
    </dataValidation>
    <dataValidation sqref="K2:K12"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2"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N2:N12" showDropDown="0" showInputMessage="1" showErrorMessage="1" allowBlank="1" errorTitle="Invalid option" error="Choose a listed value." promptTitle="Checker result" prompt="See Codebook for meanings." type="list" errorStyle="stop">
      <formula1>opt_checkStatus</formula1>
    </dataValidation>
    <dataValidation sqref="P2:P12"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R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2019::jama.2019.14630::C001</t>
        </is>
      </c>
      <c r="B2" s="2" t="inlineStr">
        <is>
          <t>eTable 2 assigns the N=3,311 column a second intervention-group label</t>
        </is>
      </c>
      <c r="C2" s="2" t="inlineStr">
        <is>
          <t>Supplement 3 eTable 2 opening header — PDF p. 3; Supplement 3 eTable 2 continuation — PDF p. 5; main article Table 2 — PDF p. 5.</t>
        </is>
      </c>
      <c r="D2" s="8" t="inlineStr"/>
      <c r="E2" s="8" t="inlineStr"/>
      <c r="F2" s="8" t="inlineStr">
        <is>
          <t>no</t>
        </is>
      </c>
      <c r="G2" s="2">
        <f>IF(OR(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H2&lt;&gt;"",H2&lt;&gt;"not_applicable"),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I2&lt;&gt;"",I2&lt;&gt;"not_applicable"),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J2&lt;&gt;"",J2&lt;&gt;"not_applicable"),AND(OR(AND(IF($D2="",INDEX(primary_jama_2019_14630_disposition,MATCH($A2,primary_jama_2019_14630_key,0)),$D2)&lt;&gt;"",IF($D2="",INDEX(primary_jama_2019_14630_disposition,MATCH($A2,primary_jama_2019_14630_key,0)),$D2)&lt;&gt;"retain"),NOT(OR(IF($E2="",INDEX(primary_jama_2019_14630_domain,MATCH($A2,primary_jama_2019_14630_key,0)),$E2)="report_internal_inconsistency",IF($E2="",INDEX(primary_jama_2019_14630_domain,MATCH($A2,primary_jama_2019_14630_key,0)),$E2)="plan_material"))),K2&lt;&gt;"",K2&lt;&gt;"not_applicable"),AND(OR(AND(IF($D2="",INDEX(primary_jama_2019_14630_disposition,MATCH($A2,primary_jama_2019_14630_key,0)),$D2)&lt;&gt;"",IF($D2="",INDEX(primary_jama_2019_14630_disposition,MATCH($A2,primary_jama_2019_14630_key,0)),$D2)&lt;&gt;"retain"),NOT(OR(IF($E2="",INDEX(primary_jama_2019_14630_domain,MATCH($A2,primary_jama_2019_14630_key,0)),$E2)="protocol_report"))),L2&lt;&gt;"",L2&lt;&gt;"not_applicable")),"CLEAR INACTIVE VALUES",IF(N2="","PENDING",IF(AND(N2&lt;&gt;"agree",LEN(TRIM(O2))=0),"COMMENT NEEDED",IF(F2="yes","CHECKED - see resolution","DRAFT"))))</f>
        <v/>
      </c>
      <c r="H2" s="8">
        <f>IF(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not_applicable","")</f>
        <v/>
      </c>
      <c r="I2" s="8">
        <f>IF(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not_applicable","")</f>
        <v/>
      </c>
      <c r="J2" s="9">
        <f>IF(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not_applicable","")</f>
        <v/>
      </c>
      <c r="K2" s="8">
        <f>IF(OR(AND(IF($D2="",INDEX(primary_jama_2019_14630_disposition,MATCH($A2,primary_jama_2019_14630_key,0)),$D2)&lt;&gt;"",IF($D2="",INDEX(primary_jama_2019_14630_disposition,MATCH($A2,primary_jama_2019_14630_key,0)),$D2)&lt;&gt;"retain"),NOT(OR(IF($E2="",INDEX(primary_jama_2019_14630_domain,MATCH($A2,primary_jama_2019_14630_key,0)),$E2)="report_internal_inconsistency",IF($E2="",INDEX(primary_jama_2019_14630_domain,MATCH($A2,primary_jama_2019_14630_key,0)),$E2)="plan_material"))),"not_applicable","")</f>
        <v/>
      </c>
      <c r="L2" s="9">
        <f>IF(OR(AND(IF($D2="",INDEX(primary_jama_2019_14630_disposition,MATCH($A2,primary_jama_2019_14630_key,0)),$D2)&lt;&gt;"",IF($D2="",INDEX(primary_jama_2019_14630_disposition,MATCH($A2,primary_jama_2019_14630_key,0)),$D2)&lt;&gt;"retain"),NOT(OR(IF($E2="",INDEX(primary_jama_2019_14630_domain,MATCH($A2,primary_jama_2019_14630_key,0)),$E2)="protocol_report"))),"not_applicable","")</f>
        <v/>
      </c>
      <c r="M2" s="2" t="inlineStr">
        <is>
          <t>Disposition: exclude
Review domain: report_internal_inconsistency
Notes (optional): SYNTHETIC TEST DATA ONLY. Exclude is a placeholder for testing the checker workflow, not a scientific assessment. Do not use this sample in research results.</t>
        </is>
      </c>
      <c r="N2" s="8" t="inlineStr"/>
      <c r="O2" s="10" t="inlineStr"/>
      <c r="P2" s="8" t="inlineStr">
        <is>
          <t>pending</t>
        </is>
      </c>
      <c r="Q2" s="10" t="inlineStr"/>
      <c r="R2" s="11" t="inlineStr"/>
    </row>
    <row r="3" ht="76" customHeight="1">
      <c r="A3" s="3" t="inlineStr">
        <is>
          <t>2019::jama.2019.14630::C002</t>
        </is>
      </c>
      <c r="B3" s="3" t="inlineStr">
        <is>
          <t>eTable 2 red-wine median lies above its printed upper quartile</t>
        </is>
      </c>
      <c r="C3" s="3" t="inlineStr">
        <is>
          <t>Supplement 3 eTable 2 red-wine row and footnote — PDF p. 7.</t>
        </is>
      </c>
      <c r="D3" s="8" t="inlineStr"/>
      <c r="E3" s="8" t="inlineStr"/>
      <c r="F3" s="8" t="inlineStr">
        <is>
          <t>no</t>
        </is>
      </c>
      <c r="G3" s="3">
        <f>IF(OR(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H3&lt;&gt;"",H3&lt;&gt;"not_applicable"),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I3&lt;&gt;"",I3&lt;&gt;"not_applicable"),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J3&lt;&gt;"",J3&lt;&gt;"not_applicable"),AND(OR(AND(IF($D3="",INDEX(primary_jama_2019_14630_disposition,MATCH($A3,primary_jama_2019_14630_key,0)),$D3)&lt;&gt;"",IF($D3="",INDEX(primary_jama_2019_14630_disposition,MATCH($A3,primary_jama_2019_14630_key,0)),$D3)&lt;&gt;"retain"),NOT(OR(IF($E3="",INDEX(primary_jama_2019_14630_domain,MATCH($A3,primary_jama_2019_14630_key,0)),$E3)="report_internal_inconsistency",IF($E3="",INDEX(primary_jama_2019_14630_domain,MATCH($A3,primary_jama_2019_14630_key,0)),$E3)="plan_material"))),K3&lt;&gt;"",K3&lt;&gt;"not_applicable"),AND(OR(AND(IF($D3="",INDEX(primary_jama_2019_14630_disposition,MATCH($A3,primary_jama_2019_14630_key,0)),$D3)&lt;&gt;"",IF($D3="",INDEX(primary_jama_2019_14630_disposition,MATCH($A3,primary_jama_2019_14630_key,0)),$D3)&lt;&gt;"retain"),NOT(OR(IF($E3="",INDEX(primary_jama_2019_14630_domain,MATCH($A3,primary_jama_2019_14630_key,0)),$E3)="protocol_report"))),L3&lt;&gt;"",L3&lt;&gt;"not_applicable")),"CLEAR INACTIVE VALUES",IF(N3="","PENDING",IF(AND(N3&lt;&gt;"agree",LEN(TRIM(O3))=0),"COMMENT NEEDED",IF(F3="yes","CHECKED - see resolution","DRAFT"))))</f>
        <v/>
      </c>
      <c r="H3" s="8">
        <f>IF(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not_applicable","")</f>
        <v/>
      </c>
      <c r="I3" s="8">
        <f>IF(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not_applicable","")</f>
        <v/>
      </c>
      <c r="J3" s="9">
        <f>IF(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not_applicable","")</f>
        <v/>
      </c>
      <c r="K3" s="8">
        <f>IF(OR(AND(IF($D3="",INDEX(primary_jama_2019_14630_disposition,MATCH($A3,primary_jama_2019_14630_key,0)),$D3)&lt;&gt;"",IF($D3="",INDEX(primary_jama_2019_14630_disposition,MATCH($A3,primary_jama_2019_14630_key,0)),$D3)&lt;&gt;"retain"),NOT(OR(IF($E3="",INDEX(primary_jama_2019_14630_domain,MATCH($A3,primary_jama_2019_14630_key,0)),$E3)="report_internal_inconsistency",IF($E3="",INDEX(primary_jama_2019_14630_domain,MATCH($A3,primary_jama_2019_14630_key,0)),$E3)="plan_material"))),"not_applicable","")</f>
        <v/>
      </c>
      <c r="L3" s="9">
        <f>IF(OR(AND(IF($D3="",INDEX(primary_jama_2019_14630_disposition,MATCH($A3,primary_jama_2019_14630_key,0)),$D3)&lt;&gt;"",IF($D3="",INDEX(primary_jama_2019_14630_disposition,MATCH($A3,primary_jama_2019_14630_key,0)),$D3)&lt;&gt;"retain"),NOT(OR(IF($E3="",INDEX(primary_jama_2019_14630_domain,MATCH($A3,primary_jama_2019_14630_key,0)),$E3)="protocol_report"))),"not_applicable","")</f>
        <v/>
      </c>
      <c r="M3" s="3" t="inlineStr">
        <is>
          <t>Disposition: exclude
Review domain: statistical_results
Notes (optional): SYNTHETIC TEST DATA ONLY. Exclude is a placeholder for testing the checker workflow, not a scientific assessment. Do not use this sample in research results.</t>
        </is>
      </c>
      <c r="N3" s="8" t="inlineStr"/>
      <c r="O3" s="10" t="inlineStr"/>
      <c r="P3" s="8" t="inlineStr">
        <is>
          <t>pending</t>
        </is>
      </c>
      <c r="Q3" s="10" t="inlineStr"/>
      <c r="R3" s="11" t="inlineStr"/>
    </row>
    <row r="4" ht="76" customHeight="1">
      <c r="A4" s="2" t="inlineStr">
        <is>
          <t>2019::jama.2019.14630::C003</t>
        </is>
      </c>
      <c r="B4" s="2" t="inlineStr">
        <is>
          <t>all-randomized red-wine baseline summaries differ between eTables 2 and 7</t>
        </is>
      </c>
      <c r="C4" s="2" t="inlineStr">
        <is>
          <t>Supplement 3 eTable 2 — PDF p. 7; Supplement 3 eTable 7 — PDF p. 19.</t>
        </is>
      </c>
      <c r="D4" s="8" t="inlineStr"/>
      <c r="E4" s="8" t="inlineStr"/>
      <c r="F4" s="8" t="inlineStr">
        <is>
          <t>no</t>
        </is>
      </c>
      <c r="G4" s="2">
        <f>IF(OR(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H4&lt;&gt;"",H4&lt;&gt;"not_applicable"),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I4&lt;&gt;"",I4&lt;&gt;"not_applicable"),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J4&lt;&gt;"",J4&lt;&gt;"not_applicable"),AND(OR(AND(IF($D4="",INDEX(primary_jama_2019_14630_disposition,MATCH($A4,primary_jama_2019_14630_key,0)),$D4)&lt;&gt;"",IF($D4="",INDEX(primary_jama_2019_14630_disposition,MATCH($A4,primary_jama_2019_14630_key,0)),$D4)&lt;&gt;"retain"),NOT(OR(IF($E4="",INDEX(primary_jama_2019_14630_domain,MATCH($A4,primary_jama_2019_14630_key,0)),$E4)="report_internal_inconsistency",IF($E4="",INDEX(primary_jama_2019_14630_domain,MATCH($A4,primary_jama_2019_14630_key,0)),$E4)="plan_material"))),K4&lt;&gt;"",K4&lt;&gt;"not_applicable"),AND(OR(AND(IF($D4="",INDEX(primary_jama_2019_14630_disposition,MATCH($A4,primary_jama_2019_14630_key,0)),$D4)&lt;&gt;"",IF($D4="",INDEX(primary_jama_2019_14630_disposition,MATCH($A4,primary_jama_2019_14630_key,0)),$D4)&lt;&gt;"retain"),NOT(OR(IF($E4="",INDEX(primary_jama_2019_14630_domain,MATCH($A4,primary_jama_2019_14630_key,0)),$E4)="protocol_report"))),L4&lt;&gt;"",L4&lt;&gt;"not_applicable")),"CLEAR INACTIVE VALUES",IF(N4="","PENDING",IF(AND(N4&lt;&gt;"agree",LEN(TRIM(O4))=0),"COMMENT NEEDED",IF(F4="yes","CHECKED - see resolution","DRAFT"))))</f>
        <v/>
      </c>
      <c r="H4" s="8">
        <f>IF(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not_applicable","")</f>
        <v/>
      </c>
      <c r="I4" s="8">
        <f>IF(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not_applicable","")</f>
        <v/>
      </c>
      <c r="J4" s="9">
        <f>IF(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not_applicable","")</f>
        <v/>
      </c>
      <c r="K4" s="8">
        <f>IF(OR(AND(IF($D4="",INDEX(primary_jama_2019_14630_disposition,MATCH($A4,primary_jama_2019_14630_key,0)),$D4)&lt;&gt;"",IF($D4="",INDEX(primary_jama_2019_14630_disposition,MATCH($A4,primary_jama_2019_14630_key,0)),$D4)&lt;&gt;"retain"),NOT(OR(IF($E4="",INDEX(primary_jama_2019_14630_domain,MATCH($A4,primary_jama_2019_14630_key,0)),$E4)="report_internal_inconsistency",IF($E4="",INDEX(primary_jama_2019_14630_domain,MATCH($A4,primary_jama_2019_14630_key,0)),$E4)="plan_material"))),"not_applicable","")</f>
        <v/>
      </c>
      <c r="L4" s="9">
        <f>IF(OR(AND(IF($D4="",INDEX(primary_jama_2019_14630_disposition,MATCH($A4,primary_jama_2019_14630_key,0)),$D4)&lt;&gt;"",IF($D4="",INDEX(primary_jama_2019_14630_disposition,MATCH($A4,primary_jama_2019_14630_key,0)),$D4)&lt;&gt;"retain"),NOT(OR(IF($E4="",INDEX(primary_jama_2019_14630_domain,MATCH($A4,primary_jama_2019_14630_key,0)),$E4)="protocol_report"))),"not_applicable","")</f>
        <v/>
      </c>
      <c r="M4" s="2" t="inlineStr">
        <is>
          <t>Disposition: exclude
Review domain: report_internal_inconsistency
Notes (optional): SYNTHETIC TEST DATA ONLY. Exclude is a placeholder for testing the checker workflow, not a scientific assessment. Do not use this sample in research results.</t>
        </is>
      </c>
      <c r="N4" s="8" t="inlineStr"/>
      <c r="O4" s="10" t="inlineStr"/>
      <c r="P4" s="8" t="inlineStr">
        <is>
          <t>pending</t>
        </is>
      </c>
      <c r="Q4" s="10" t="inlineStr"/>
      <c r="R4" s="11" t="inlineStr"/>
    </row>
    <row r="5" ht="76" customHeight="1">
      <c r="A5" s="3" t="inlineStr">
        <is>
          <t>2019::jama.2019.14630::C004</t>
        </is>
      </c>
      <c r="B5" s="3" t="inlineStr">
        <is>
          <t>PDQS baseline mean differs between the principal and baseline-value-carried-forward tables</t>
        </is>
      </c>
      <c r="C5" s="3" t="inlineStr">
        <is>
          <t>main article Table 2 — PDF p. 5; Supplement 3 eTable 6 — PDF p. 16.</t>
        </is>
      </c>
      <c r="D5" s="8" t="inlineStr"/>
      <c r="E5" s="8" t="inlineStr"/>
      <c r="F5" s="8" t="inlineStr">
        <is>
          <t>no</t>
        </is>
      </c>
      <c r="G5" s="3">
        <f>IF(OR(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H5&lt;&gt;"",H5&lt;&gt;"not_applicable"),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I5&lt;&gt;"",I5&lt;&gt;"not_applicable"),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J5&lt;&gt;"",J5&lt;&gt;"not_applicable"),AND(OR(AND(IF($D5="",INDEX(primary_jama_2019_14630_disposition,MATCH($A5,primary_jama_2019_14630_key,0)),$D5)&lt;&gt;"",IF($D5="",INDEX(primary_jama_2019_14630_disposition,MATCH($A5,primary_jama_2019_14630_key,0)),$D5)&lt;&gt;"retain"),NOT(OR(IF($E5="",INDEX(primary_jama_2019_14630_domain,MATCH($A5,primary_jama_2019_14630_key,0)),$E5)="report_internal_inconsistency",IF($E5="",INDEX(primary_jama_2019_14630_domain,MATCH($A5,primary_jama_2019_14630_key,0)),$E5)="plan_material"))),K5&lt;&gt;"",K5&lt;&gt;"not_applicable"),AND(OR(AND(IF($D5="",INDEX(primary_jama_2019_14630_disposition,MATCH($A5,primary_jama_2019_14630_key,0)),$D5)&lt;&gt;"",IF($D5="",INDEX(primary_jama_2019_14630_disposition,MATCH($A5,primary_jama_2019_14630_key,0)),$D5)&lt;&gt;"retain"),NOT(OR(IF($E5="",INDEX(primary_jama_2019_14630_domain,MATCH($A5,primary_jama_2019_14630_key,0)),$E5)="protocol_report"))),L5&lt;&gt;"",L5&lt;&gt;"not_applicable")),"CLEAR INACTIVE VALUES",IF(N5="","PENDING",IF(AND(N5&lt;&gt;"agree",LEN(TRIM(O5))=0),"COMMENT NEEDED",IF(F5="yes","CHECKED - see resolution","DRAFT"))))</f>
        <v/>
      </c>
      <c r="H5" s="8">
        <f>IF(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not_applicable","")</f>
        <v/>
      </c>
      <c r="I5" s="8">
        <f>IF(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not_applicable","")</f>
        <v/>
      </c>
      <c r="J5" s="9">
        <f>IF(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not_applicable","")</f>
        <v/>
      </c>
      <c r="K5" s="8">
        <f>IF(OR(AND(IF($D5="",INDEX(primary_jama_2019_14630_disposition,MATCH($A5,primary_jama_2019_14630_key,0)),$D5)&lt;&gt;"",IF($D5="",INDEX(primary_jama_2019_14630_disposition,MATCH($A5,primary_jama_2019_14630_key,0)),$D5)&lt;&gt;"retain"),NOT(OR(IF($E5="",INDEX(primary_jama_2019_14630_domain,MATCH($A5,primary_jama_2019_14630_key,0)),$E5)="report_internal_inconsistency",IF($E5="",INDEX(primary_jama_2019_14630_domain,MATCH($A5,primary_jama_2019_14630_key,0)),$E5)="plan_material"))),"not_applicable","")</f>
        <v/>
      </c>
      <c r="L5" s="9">
        <f>IF(OR(AND(IF($D5="",INDEX(primary_jama_2019_14630_disposition,MATCH($A5,primary_jama_2019_14630_key,0)),$D5)&lt;&gt;"",IF($D5="",INDEX(primary_jama_2019_14630_disposition,MATCH($A5,primary_jama_2019_14630_key,0)),$D5)&lt;&gt;"retain"),NOT(OR(IF($E5="",INDEX(primary_jama_2019_14630_domain,MATCH($A5,primary_jama_2019_14630_key,0)),$E5)="protocol_report"))),"not_applicable","")</f>
        <v/>
      </c>
      <c r="M5" s="3" t="inlineStr">
        <is>
          <t>Disposition: exclude
Review domain: report_internal_inconsistency
Notes (optional): SYNTHETIC TEST DATA ONLY. Exclude is a placeholder for testing the checker workflow, not a scientific assessment. Do not use this sample in research results.</t>
        </is>
      </c>
      <c r="N5" s="8" t="inlineStr"/>
      <c r="O5" s="10" t="inlineStr"/>
      <c r="P5" s="8" t="inlineStr">
        <is>
          <t>pending</t>
        </is>
      </c>
      <c r="Q5" s="10" t="inlineStr"/>
      <c r="R5" s="11" t="inlineStr"/>
    </row>
    <row r="6" ht="76" customHeight="1">
      <c r="A6" s="2" t="inlineStr">
        <is>
          <t>2019::jama.2019.14630::C005</t>
        </is>
      </c>
      <c r="B6" s="2" t="inlineStr">
        <is>
          <t>intervention baseline energy SD differs between Table 3 and eTable 8</t>
        </is>
      </c>
      <c r="C6" s="2" t="inlineStr">
        <is>
          <t>main article Statistical Analysis — PDF p. 4; main article Table 3 — PDF p. 7; Supplement 3 eTable 8 — PDF p. 21.</t>
        </is>
      </c>
      <c r="D6" s="8" t="inlineStr"/>
      <c r="E6" s="8" t="inlineStr"/>
      <c r="F6" s="8" t="inlineStr">
        <is>
          <t>no</t>
        </is>
      </c>
      <c r="G6" s="2">
        <f>IF(OR(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H6&lt;&gt;"",H6&lt;&gt;"not_applicable"),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I6&lt;&gt;"",I6&lt;&gt;"not_applicable"),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J6&lt;&gt;"",J6&lt;&gt;"not_applicable"),AND(OR(AND(IF($D6="",INDEX(primary_jama_2019_14630_disposition,MATCH($A6,primary_jama_2019_14630_key,0)),$D6)&lt;&gt;"",IF($D6="",INDEX(primary_jama_2019_14630_disposition,MATCH($A6,primary_jama_2019_14630_key,0)),$D6)&lt;&gt;"retain"),NOT(OR(IF($E6="",INDEX(primary_jama_2019_14630_domain,MATCH($A6,primary_jama_2019_14630_key,0)),$E6)="report_internal_inconsistency",IF($E6="",INDEX(primary_jama_2019_14630_domain,MATCH($A6,primary_jama_2019_14630_key,0)),$E6)="plan_material"))),K6&lt;&gt;"",K6&lt;&gt;"not_applicable"),AND(OR(AND(IF($D6="",INDEX(primary_jama_2019_14630_disposition,MATCH($A6,primary_jama_2019_14630_key,0)),$D6)&lt;&gt;"",IF($D6="",INDEX(primary_jama_2019_14630_disposition,MATCH($A6,primary_jama_2019_14630_key,0)),$D6)&lt;&gt;"retain"),NOT(OR(IF($E6="",INDEX(primary_jama_2019_14630_domain,MATCH($A6,primary_jama_2019_14630_key,0)),$E6)="protocol_report"))),L6&lt;&gt;"",L6&lt;&gt;"not_applicable")),"CLEAR INACTIVE VALUES",IF(N6="","PENDING",IF(AND(N6&lt;&gt;"agree",LEN(TRIM(O6))=0),"COMMENT NEEDED",IF(F6="yes","CHECKED - see resolution","DRAFT"))))</f>
        <v/>
      </c>
      <c r="H6" s="8">
        <f>IF(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not_applicable","")</f>
        <v/>
      </c>
      <c r="I6" s="8">
        <f>IF(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not_applicable","")</f>
        <v/>
      </c>
      <c r="J6" s="9">
        <f>IF(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not_applicable","")</f>
        <v/>
      </c>
      <c r="K6" s="8">
        <f>IF(OR(AND(IF($D6="",INDEX(primary_jama_2019_14630_disposition,MATCH($A6,primary_jama_2019_14630_key,0)),$D6)&lt;&gt;"",IF($D6="",INDEX(primary_jama_2019_14630_disposition,MATCH($A6,primary_jama_2019_14630_key,0)),$D6)&lt;&gt;"retain"),NOT(OR(IF($E6="",INDEX(primary_jama_2019_14630_domain,MATCH($A6,primary_jama_2019_14630_key,0)),$E6)="report_internal_inconsistency",IF($E6="",INDEX(primary_jama_2019_14630_domain,MATCH($A6,primary_jama_2019_14630_key,0)),$E6)="plan_material"))),"not_applicable","")</f>
        <v/>
      </c>
      <c r="L6" s="9">
        <f>IF(OR(AND(IF($D6="",INDEX(primary_jama_2019_14630_disposition,MATCH($A6,primary_jama_2019_14630_key,0)),$D6)&lt;&gt;"",IF($D6="",INDEX(primary_jama_2019_14630_disposition,MATCH($A6,primary_jama_2019_14630_key,0)),$D6)&lt;&gt;"retain"),NOT(OR(IF($E6="",INDEX(primary_jama_2019_14630_domain,MATCH($A6,primary_jama_2019_14630_key,0)),$E6)="protocol_report"))),"not_applicable","")</f>
        <v/>
      </c>
      <c r="M6" s="2" t="inlineStr">
        <is>
          <t>Disposition: exclude
Review domain: report_internal_inconsistency
Notes (optional): SYNTHETIC TEST DATA ONLY. Exclude is a placeholder for testing the checker workflow, not a scientific assessment. Do not use this sample in research results.</t>
        </is>
      </c>
      <c r="N6" s="8" t="inlineStr"/>
      <c r="O6" s="10" t="inlineStr"/>
      <c r="P6" s="8" t="inlineStr">
        <is>
          <t>pending</t>
        </is>
      </c>
      <c r="Q6" s="10" t="inlineStr"/>
      <c r="R6" s="11" t="inlineStr"/>
    </row>
    <row r="7" ht="76" customHeight="1">
      <c r="A7" s="3" t="inlineStr">
        <is>
          <t>2019::jama.2019.14630::C006</t>
        </is>
      </c>
      <c r="B7" s="3" t="inlineStr">
        <is>
          <t>baseline body-weight summaries differ between Table 1 and eTable 9</t>
        </is>
      </c>
      <c r="C7" s="3" t="inlineStr">
        <is>
          <t>main article Table 1 — PDF p. 4; Supplement 3 eTable 9 — PDF p. 23.</t>
        </is>
      </c>
      <c r="D7" s="8" t="inlineStr"/>
      <c r="E7" s="8" t="inlineStr"/>
      <c r="F7" s="8" t="inlineStr">
        <is>
          <t>no</t>
        </is>
      </c>
      <c r="G7" s="3">
        <f>IF(OR(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H7&lt;&gt;"",H7&lt;&gt;"not_applicable"),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I7&lt;&gt;"",I7&lt;&gt;"not_applicable"),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J7&lt;&gt;"",J7&lt;&gt;"not_applicable"),AND(OR(AND(IF($D7="",INDEX(primary_jama_2019_14630_disposition,MATCH($A7,primary_jama_2019_14630_key,0)),$D7)&lt;&gt;"",IF($D7="",INDEX(primary_jama_2019_14630_disposition,MATCH($A7,primary_jama_2019_14630_key,0)),$D7)&lt;&gt;"retain"),NOT(OR(IF($E7="",INDEX(primary_jama_2019_14630_domain,MATCH($A7,primary_jama_2019_14630_key,0)),$E7)="report_internal_inconsistency",IF($E7="",INDEX(primary_jama_2019_14630_domain,MATCH($A7,primary_jama_2019_14630_key,0)),$E7)="plan_material"))),K7&lt;&gt;"",K7&lt;&gt;"not_applicable"),AND(OR(AND(IF($D7="",INDEX(primary_jama_2019_14630_disposition,MATCH($A7,primary_jama_2019_14630_key,0)),$D7)&lt;&gt;"",IF($D7="",INDEX(primary_jama_2019_14630_disposition,MATCH($A7,primary_jama_2019_14630_key,0)),$D7)&lt;&gt;"retain"),NOT(OR(IF($E7="",INDEX(primary_jama_2019_14630_domain,MATCH($A7,primary_jama_2019_14630_key,0)),$E7)="protocol_report"))),L7&lt;&gt;"",L7&lt;&gt;"not_applicable")),"CLEAR INACTIVE VALUES",IF(N7="","PENDING",IF(AND(N7&lt;&gt;"agree",LEN(TRIM(O7))=0),"COMMENT NEEDED",IF(F7="yes","CHECKED - see resolution","DRAFT"))))</f>
        <v/>
      </c>
      <c r="H7" s="8">
        <f>IF(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not_applicable","")</f>
        <v/>
      </c>
      <c r="I7" s="8">
        <f>IF(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not_applicable","")</f>
        <v/>
      </c>
      <c r="J7" s="9">
        <f>IF(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not_applicable","")</f>
        <v/>
      </c>
      <c r="K7" s="8">
        <f>IF(OR(AND(IF($D7="",INDEX(primary_jama_2019_14630_disposition,MATCH($A7,primary_jama_2019_14630_key,0)),$D7)&lt;&gt;"",IF($D7="",INDEX(primary_jama_2019_14630_disposition,MATCH($A7,primary_jama_2019_14630_key,0)),$D7)&lt;&gt;"retain"),NOT(OR(IF($E7="",INDEX(primary_jama_2019_14630_domain,MATCH($A7,primary_jama_2019_14630_key,0)),$E7)="report_internal_inconsistency",IF($E7="",INDEX(primary_jama_2019_14630_domain,MATCH($A7,primary_jama_2019_14630_key,0)),$E7)="plan_material"))),"not_applicable","")</f>
        <v/>
      </c>
      <c r="L7" s="9">
        <f>IF(OR(AND(IF($D7="",INDEX(primary_jama_2019_14630_disposition,MATCH($A7,primary_jama_2019_14630_key,0)),$D7)&lt;&gt;"",IF($D7="",INDEX(primary_jama_2019_14630_disposition,MATCH($A7,primary_jama_2019_14630_key,0)),$D7)&lt;&gt;"retain"),NOT(OR(IF($E7="",INDEX(primary_jama_2019_14630_domain,MATCH($A7,primary_jama_2019_14630_key,0)),$E7)="protocol_report"))),"not_applicable","")</f>
        <v/>
      </c>
      <c r="M7" s="3" t="inlineStr">
        <is>
          <t>Disposition: exclude
Review domain: report_internal_inconsistency
Notes (optional): SYNTHETIC TEST DATA ONLY. Exclude is a placeholder for testing the checker workflow, not a scientific assessment. Do not use this sample in research results.</t>
        </is>
      </c>
      <c r="N7" s="8" t="inlineStr"/>
      <c r="O7" s="10" t="inlineStr"/>
      <c r="P7" s="8" t="inlineStr">
        <is>
          <t>pending</t>
        </is>
      </c>
      <c r="Q7" s="10" t="inlineStr"/>
      <c r="R7" s="11" t="inlineStr"/>
    </row>
    <row r="8" ht="76" customHeight="1">
      <c r="A8" s="2" t="inlineStr">
        <is>
          <t>2019::jama.2019.14630::C007</t>
        </is>
      </c>
      <c r="B8" s="2" t="inlineStr">
        <is>
          <t>baseline BMI means differ between Table 1 and eTable 9</t>
        </is>
      </c>
      <c r="C8" s="2" t="inlineStr">
        <is>
          <t>main article Table 1 — PDF p. 4; Supplement 3 eTable 9 — PDF p. 23.</t>
        </is>
      </c>
      <c r="D8" s="8" t="inlineStr"/>
      <c r="E8" s="8" t="inlineStr"/>
      <c r="F8" s="8" t="inlineStr">
        <is>
          <t>no</t>
        </is>
      </c>
      <c r="G8" s="2">
        <f>IF(OR(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H8&lt;&gt;"",H8&lt;&gt;"not_applicable"),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I8&lt;&gt;"",I8&lt;&gt;"not_applicable"),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J8&lt;&gt;"",J8&lt;&gt;"not_applicable"),AND(OR(AND(IF($D8="",INDEX(primary_jama_2019_14630_disposition,MATCH($A8,primary_jama_2019_14630_key,0)),$D8)&lt;&gt;"",IF($D8="",INDEX(primary_jama_2019_14630_disposition,MATCH($A8,primary_jama_2019_14630_key,0)),$D8)&lt;&gt;"retain"),NOT(OR(IF($E8="",INDEX(primary_jama_2019_14630_domain,MATCH($A8,primary_jama_2019_14630_key,0)),$E8)="report_internal_inconsistency",IF($E8="",INDEX(primary_jama_2019_14630_domain,MATCH($A8,primary_jama_2019_14630_key,0)),$E8)="plan_material"))),K8&lt;&gt;"",K8&lt;&gt;"not_applicable"),AND(OR(AND(IF($D8="",INDEX(primary_jama_2019_14630_disposition,MATCH($A8,primary_jama_2019_14630_key,0)),$D8)&lt;&gt;"",IF($D8="",INDEX(primary_jama_2019_14630_disposition,MATCH($A8,primary_jama_2019_14630_key,0)),$D8)&lt;&gt;"retain"),NOT(OR(IF($E8="",INDEX(primary_jama_2019_14630_domain,MATCH($A8,primary_jama_2019_14630_key,0)),$E8)="protocol_report"))),L8&lt;&gt;"",L8&lt;&gt;"not_applicable")),"CLEAR INACTIVE VALUES",IF(N8="","PENDING",IF(AND(N8&lt;&gt;"agree",LEN(TRIM(O8))=0),"COMMENT NEEDED",IF(F8="yes","CHECKED - see resolution","DRAFT"))))</f>
        <v/>
      </c>
      <c r="H8" s="8">
        <f>IF(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not_applicable","")</f>
        <v/>
      </c>
      <c r="I8" s="8">
        <f>IF(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not_applicable","")</f>
        <v/>
      </c>
      <c r="J8" s="9">
        <f>IF(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not_applicable","")</f>
        <v/>
      </c>
      <c r="K8" s="8">
        <f>IF(OR(AND(IF($D8="",INDEX(primary_jama_2019_14630_disposition,MATCH($A8,primary_jama_2019_14630_key,0)),$D8)&lt;&gt;"",IF($D8="",INDEX(primary_jama_2019_14630_disposition,MATCH($A8,primary_jama_2019_14630_key,0)),$D8)&lt;&gt;"retain"),NOT(OR(IF($E8="",INDEX(primary_jama_2019_14630_domain,MATCH($A8,primary_jama_2019_14630_key,0)),$E8)="report_internal_inconsistency",IF($E8="",INDEX(primary_jama_2019_14630_domain,MATCH($A8,primary_jama_2019_14630_key,0)),$E8)="plan_material"))),"not_applicable","")</f>
        <v/>
      </c>
      <c r="L8" s="9">
        <f>IF(OR(AND(IF($D8="",INDEX(primary_jama_2019_14630_disposition,MATCH($A8,primary_jama_2019_14630_key,0)),$D8)&lt;&gt;"",IF($D8="",INDEX(primary_jama_2019_14630_disposition,MATCH($A8,primary_jama_2019_14630_key,0)),$D8)&lt;&gt;"retain"),NOT(OR(IF($E8="",INDEX(primary_jama_2019_14630_domain,MATCH($A8,primary_jama_2019_14630_key,0)),$E8)="protocol_report"))),"not_applicable","")</f>
        <v/>
      </c>
      <c r="M8" s="2" t="inlineStr">
        <is>
          <t>Disposition: exclude
Review domain: report_internal_inconsistency
Notes (optional): SYNTHETIC TEST DATA ONLY. Exclude is a placeholder for testing the checker workflow, not a scientific assessment. Do not use this sample in research results.</t>
        </is>
      </c>
      <c r="N8" s="8" t="inlineStr"/>
      <c r="O8" s="10" t="inlineStr"/>
      <c r="P8" s="8" t="inlineStr">
        <is>
          <t>pending</t>
        </is>
      </c>
      <c r="Q8" s="10" t="inlineStr"/>
      <c r="R8" s="11" t="inlineStr"/>
    </row>
    <row r="9" ht="76" customHeight="1">
      <c r="A9" s="3" t="inlineStr">
        <is>
          <t>2019::jama.2019.14630::C008</t>
        </is>
      </c>
      <c r="B9" s="3" t="inlineStr">
        <is>
          <t>Figure 4 threshold labels do not preserve the Methods boundary operators</t>
        </is>
      </c>
      <c r="C9" s="3" t="inlineStr">
        <is>
          <t>main article Outcomes — PDF p. 4; main article Figure 4 — PDF p. 10.</t>
        </is>
      </c>
      <c r="D9" s="8" t="inlineStr"/>
      <c r="E9" s="8" t="inlineStr"/>
      <c r="F9" s="8" t="inlineStr">
        <is>
          <t>no</t>
        </is>
      </c>
      <c r="G9" s="3">
        <f>IF(OR(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H9&lt;&gt;"",H9&lt;&gt;"not_applicable"),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I9&lt;&gt;"",I9&lt;&gt;"not_applicable"),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J9&lt;&gt;"",J9&lt;&gt;"not_applicable"),AND(OR(AND(IF($D9="",INDEX(primary_jama_2019_14630_disposition,MATCH($A9,primary_jama_2019_14630_key,0)),$D9)&lt;&gt;"",IF($D9="",INDEX(primary_jama_2019_14630_disposition,MATCH($A9,primary_jama_2019_14630_key,0)),$D9)&lt;&gt;"retain"),NOT(OR(IF($E9="",INDEX(primary_jama_2019_14630_domain,MATCH($A9,primary_jama_2019_14630_key,0)),$E9)="report_internal_inconsistency",IF($E9="",INDEX(primary_jama_2019_14630_domain,MATCH($A9,primary_jama_2019_14630_key,0)),$E9)="plan_material"))),K9&lt;&gt;"",K9&lt;&gt;"not_applicable"),AND(OR(AND(IF($D9="",INDEX(primary_jama_2019_14630_disposition,MATCH($A9,primary_jama_2019_14630_key,0)),$D9)&lt;&gt;"",IF($D9="",INDEX(primary_jama_2019_14630_disposition,MATCH($A9,primary_jama_2019_14630_key,0)),$D9)&lt;&gt;"retain"),NOT(OR(IF($E9="",INDEX(primary_jama_2019_14630_domain,MATCH($A9,primary_jama_2019_14630_key,0)),$E9)="protocol_report"))),L9&lt;&gt;"",L9&lt;&gt;"not_applicable")),"CLEAR INACTIVE VALUES",IF(N9="","PENDING",IF(AND(N9&lt;&gt;"agree",LEN(TRIM(O9))=0),"COMMENT NEEDED",IF(F9="yes","CHECKED - see resolution","DRAFT"))))</f>
        <v/>
      </c>
      <c r="H9" s="8">
        <f>IF(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not_applicable","")</f>
        <v/>
      </c>
      <c r="I9" s="8">
        <f>IF(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not_applicable","")</f>
        <v/>
      </c>
      <c r="J9" s="9">
        <f>IF(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not_applicable","")</f>
        <v/>
      </c>
      <c r="K9" s="8">
        <f>IF(OR(AND(IF($D9="",INDEX(primary_jama_2019_14630_disposition,MATCH($A9,primary_jama_2019_14630_key,0)),$D9)&lt;&gt;"",IF($D9="",INDEX(primary_jama_2019_14630_disposition,MATCH($A9,primary_jama_2019_14630_key,0)),$D9)&lt;&gt;"retain"),NOT(OR(IF($E9="",INDEX(primary_jama_2019_14630_domain,MATCH($A9,primary_jama_2019_14630_key,0)),$E9)="report_internal_inconsistency",IF($E9="",INDEX(primary_jama_2019_14630_domain,MATCH($A9,primary_jama_2019_14630_key,0)),$E9)="plan_material"))),"not_applicable","")</f>
        <v/>
      </c>
      <c r="L9" s="9">
        <f>IF(OR(AND(IF($D9="",INDEX(primary_jama_2019_14630_disposition,MATCH($A9,primary_jama_2019_14630_key,0)),$D9)&lt;&gt;"",IF($D9="",INDEX(primary_jama_2019_14630_disposition,MATCH($A9,primary_jama_2019_14630_key,0)),$D9)&lt;&gt;"retain"),NOT(OR(IF($E9="",INDEX(primary_jama_2019_14630_domain,MATCH($A9,primary_jama_2019_14630_key,0)),$E9)="protocol_report"))),"not_applicable","")</f>
        <v/>
      </c>
      <c r="M9" s="3" t="inlineStr">
        <is>
          <t>Disposition: exclude
Review domain: report_internal_inconsistency
Notes (optional): SYNTHETIC TEST DATA ONLY. Exclude is a placeholder for testing the checker workflow, not a scientific assessment. Do not use this sample in research results.</t>
        </is>
      </c>
      <c r="N9" s="8" t="inlineStr"/>
      <c r="O9" s="10" t="inlineStr"/>
      <c r="P9" s="8" t="inlineStr">
        <is>
          <t>pending</t>
        </is>
      </c>
      <c r="Q9" s="10" t="inlineStr"/>
      <c r="R9" s="11" t="inlineStr"/>
    </row>
    <row r="10" ht="76" customHeight="1">
      <c r="A10" s="2" t="inlineStr">
        <is>
          <t>2019::jama.2019.14630::C009</t>
        </is>
      </c>
      <c r="B10" s="2" t="inlineStr">
        <is>
          <t>eTable 4 total-olive-oil baseline row conflicts with the table’s median/IQR convention</t>
        </is>
      </c>
      <c r="C10" s="2" t="inlineStr">
        <is>
          <t>Supplement 3 eTable 4 row — PDF p. 10; Supplement 3 eTable 4 footnote — PDF p. 11; Supplement 3 eTable 2 comparator — PDF p. 3; Supplement 3 eTable 7 comparator — PDF p. 17.</t>
        </is>
      </c>
      <c r="D10" s="8" t="inlineStr"/>
      <c r="E10" s="8" t="inlineStr"/>
      <c r="F10" s="8" t="inlineStr">
        <is>
          <t>no</t>
        </is>
      </c>
      <c r="G10" s="2">
        <f>IF(OR(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H10&lt;&gt;"",H10&lt;&gt;"not_applicable"),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I10&lt;&gt;"",I10&lt;&gt;"not_applicable"),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J10&lt;&gt;"",J10&lt;&gt;"not_applicable"),AND(OR(AND(IF($D10="",INDEX(primary_jama_2019_14630_disposition,MATCH($A10,primary_jama_2019_14630_key,0)),$D10)&lt;&gt;"",IF($D10="",INDEX(primary_jama_2019_14630_disposition,MATCH($A10,primary_jama_2019_14630_key,0)),$D10)&lt;&gt;"retain"),NOT(OR(IF($E10="",INDEX(primary_jama_2019_14630_domain,MATCH($A10,primary_jama_2019_14630_key,0)),$E10)="report_internal_inconsistency",IF($E10="",INDEX(primary_jama_2019_14630_domain,MATCH($A10,primary_jama_2019_14630_key,0)),$E10)="plan_material"))),K10&lt;&gt;"",K10&lt;&gt;"not_applicable"),AND(OR(AND(IF($D10="",INDEX(primary_jama_2019_14630_disposition,MATCH($A10,primary_jama_2019_14630_key,0)),$D10)&lt;&gt;"",IF($D10="",INDEX(primary_jama_2019_14630_disposition,MATCH($A10,primary_jama_2019_14630_key,0)),$D10)&lt;&gt;"retain"),NOT(OR(IF($E10="",INDEX(primary_jama_2019_14630_domain,MATCH($A10,primary_jama_2019_14630_key,0)),$E10)="protocol_report"))),L10&lt;&gt;"",L10&lt;&gt;"not_applicable")),"CLEAR INACTIVE VALUES",IF(N10="","PENDING",IF(AND(N10&lt;&gt;"agree",LEN(TRIM(O10))=0),"COMMENT NEEDED",IF(F10="yes","CHECKED - see resolution","DRAFT"))))</f>
        <v/>
      </c>
      <c r="H10" s="8">
        <f>IF(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not_applicable","")</f>
        <v/>
      </c>
      <c r="I10" s="8">
        <f>IF(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not_applicable","")</f>
        <v/>
      </c>
      <c r="J10" s="9">
        <f>IF(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not_applicable","")</f>
        <v/>
      </c>
      <c r="K10" s="8">
        <f>IF(OR(AND(IF($D10="",INDEX(primary_jama_2019_14630_disposition,MATCH($A10,primary_jama_2019_14630_key,0)),$D10)&lt;&gt;"",IF($D10="",INDEX(primary_jama_2019_14630_disposition,MATCH($A10,primary_jama_2019_14630_key,0)),$D10)&lt;&gt;"retain"),NOT(OR(IF($E10="",INDEX(primary_jama_2019_14630_domain,MATCH($A10,primary_jama_2019_14630_key,0)),$E10)="report_internal_inconsistency",IF($E10="",INDEX(primary_jama_2019_14630_domain,MATCH($A10,primary_jama_2019_14630_key,0)),$E10)="plan_material"))),"not_applicable","")</f>
        <v/>
      </c>
      <c r="L10" s="9">
        <f>IF(OR(AND(IF($D10="",INDEX(primary_jama_2019_14630_disposition,MATCH($A10,primary_jama_2019_14630_key,0)),$D10)&lt;&gt;"",IF($D10="",INDEX(primary_jama_2019_14630_disposition,MATCH($A10,primary_jama_2019_14630_key,0)),$D10)&lt;&gt;"retain"),NOT(OR(IF($E10="",INDEX(primary_jama_2019_14630_domain,MATCH($A10,primary_jama_2019_14630_key,0)),$E10)="protocol_report"))),"not_applicable","")</f>
        <v/>
      </c>
      <c r="M10" s="2" t="inlineStr">
        <is>
          <t>Disposition: exclude
Review domain: report_internal_inconsistency
Notes (optional): SYNTHETIC TEST DATA ONLY. Exclude is a placeholder for testing the checker workflow, not a scientific assessment. Do not use this sample in research results.</t>
        </is>
      </c>
      <c r="N10" s="8" t="inlineStr"/>
      <c r="O10" s="10" t="inlineStr"/>
      <c r="P10" s="8" t="inlineStr">
        <is>
          <t>pending</t>
        </is>
      </c>
      <c r="Q10" s="10" t="inlineStr"/>
      <c r="R10" s="11" t="inlineStr"/>
    </row>
  </sheetData>
  <sheetProtection selectLockedCells="0" selectUnlockedCells="0" sheet="1" objects="0" insertRows="1" insertHyperlinks="1" autoFilter="0" scenarios="0" formatColumns="1" deleteColumns="1" insertColumns="1" pivotTables="1" deleteRows="1" formatCells="1" formatRows="1" sort="1"/>
  <autoFilter ref="A1:R10"/>
  <conditionalFormatting sqref="H2">
    <cfRule type="expression" priority="1" dxfId="0" stopIfTrue="1">
      <formula>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H2&lt;&gt;"",H2&lt;&gt;"not_applicable")</formula>
    </cfRule>
    <cfRule type="expression" priority="2" dxfId="1">
      <formula>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formula>
    </cfRule>
  </conditionalFormatting>
  <conditionalFormatting sqref="H3">
    <cfRule type="expression" priority="3" dxfId="0" stopIfTrue="1">
      <formula>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H3&lt;&gt;"",H3&lt;&gt;"not_applicable")</formula>
    </cfRule>
    <cfRule type="expression" priority="4" dxfId="1">
      <formula>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formula>
    </cfRule>
  </conditionalFormatting>
  <conditionalFormatting sqref="H4">
    <cfRule type="expression" priority="5" dxfId="0" stopIfTrue="1">
      <formula>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H4&lt;&gt;"",H4&lt;&gt;"not_applicable")</formula>
    </cfRule>
    <cfRule type="expression" priority="6" dxfId="1">
      <formula>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formula>
    </cfRule>
  </conditionalFormatting>
  <conditionalFormatting sqref="H5">
    <cfRule type="expression" priority="7" dxfId="0" stopIfTrue="1">
      <formula>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H5&lt;&gt;"",H5&lt;&gt;"not_applicable")</formula>
    </cfRule>
    <cfRule type="expression" priority="8" dxfId="1">
      <formula>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formula>
    </cfRule>
  </conditionalFormatting>
  <conditionalFormatting sqref="H6">
    <cfRule type="expression" priority="9" dxfId="0" stopIfTrue="1">
      <formula>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H6&lt;&gt;"",H6&lt;&gt;"not_applicable")</formula>
    </cfRule>
    <cfRule type="expression" priority="10" dxfId="1">
      <formula>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formula>
    </cfRule>
  </conditionalFormatting>
  <conditionalFormatting sqref="H7">
    <cfRule type="expression" priority="11" dxfId="0" stopIfTrue="1">
      <formula>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H7&lt;&gt;"",H7&lt;&gt;"not_applicable")</formula>
    </cfRule>
    <cfRule type="expression" priority="12" dxfId="1">
      <formula>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formula>
    </cfRule>
  </conditionalFormatting>
  <conditionalFormatting sqref="H8">
    <cfRule type="expression" priority="13" dxfId="0" stopIfTrue="1">
      <formula>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H8&lt;&gt;"",H8&lt;&gt;"not_applicable")</formula>
    </cfRule>
    <cfRule type="expression" priority="14" dxfId="1">
      <formula>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formula>
    </cfRule>
  </conditionalFormatting>
  <conditionalFormatting sqref="H9">
    <cfRule type="expression" priority="15" dxfId="0" stopIfTrue="1">
      <formula>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H9&lt;&gt;"",H9&lt;&gt;"not_applicable")</formula>
    </cfRule>
    <cfRule type="expression" priority="16" dxfId="1">
      <formula>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formula>
    </cfRule>
  </conditionalFormatting>
  <conditionalFormatting sqref="H10">
    <cfRule type="expression" priority="17" dxfId="0" stopIfTrue="1">
      <formula>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H10&lt;&gt;"",H10&lt;&gt;"not_applicable")</formula>
    </cfRule>
    <cfRule type="expression" priority="18" dxfId="1">
      <formula>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formula>
    </cfRule>
  </conditionalFormatting>
  <conditionalFormatting sqref="I2">
    <cfRule type="expression" priority="19" dxfId="0" stopIfTrue="1">
      <formula>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I2&lt;&gt;"",I2&lt;&gt;"not_applicable")</formula>
    </cfRule>
    <cfRule type="expression" priority="20" dxfId="1">
      <formula>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formula>
    </cfRule>
  </conditionalFormatting>
  <conditionalFormatting sqref="I3">
    <cfRule type="expression" priority="21" dxfId="0" stopIfTrue="1">
      <formula>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I3&lt;&gt;"",I3&lt;&gt;"not_applicable")</formula>
    </cfRule>
    <cfRule type="expression" priority="22" dxfId="1">
      <formula>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formula>
    </cfRule>
  </conditionalFormatting>
  <conditionalFormatting sqref="I4">
    <cfRule type="expression" priority="23" dxfId="0" stopIfTrue="1">
      <formula>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I4&lt;&gt;"",I4&lt;&gt;"not_applicable")</formula>
    </cfRule>
    <cfRule type="expression" priority="24" dxfId="1">
      <formula>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formula>
    </cfRule>
  </conditionalFormatting>
  <conditionalFormatting sqref="I5">
    <cfRule type="expression" priority="25" dxfId="0" stopIfTrue="1">
      <formula>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I5&lt;&gt;"",I5&lt;&gt;"not_applicable")</formula>
    </cfRule>
    <cfRule type="expression" priority="26" dxfId="1">
      <formula>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formula>
    </cfRule>
  </conditionalFormatting>
  <conditionalFormatting sqref="I6">
    <cfRule type="expression" priority="27" dxfId="0" stopIfTrue="1">
      <formula>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I6&lt;&gt;"",I6&lt;&gt;"not_applicable")</formula>
    </cfRule>
    <cfRule type="expression" priority="28" dxfId="1">
      <formula>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formula>
    </cfRule>
  </conditionalFormatting>
  <conditionalFormatting sqref="I7">
    <cfRule type="expression" priority="29" dxfId="0" stopIfTrue="1">
      <formula>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I7&lt;&gt;"",I7&lt;&gt;"not_applicable")</formula>
    </cfRule>
    <cfRule type="expression" priority="30" dxfId="1">
      <formula>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formula>
    </cfRule>
  </conditionalFormatting>
  <conditionalFormatting sqref="I8">
    <cfRule type="expression" priority="31" dxfId="0" stopIfTrue="1">
      <formula>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I8&lt;&gt;"",I8&lt;&gt;"not_applicable")</formula>
    </cfRule>
    <cfRule type="expression" priority="32" dxfId="1">
      <formula>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formula>
    </cfRule>
  </conditionalFormatting>
  <conditionalFormatting sqref="I9">
    <cfRule type="expression" priority="33" dxfId="0" stopIfTrue="1">
      <formula>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I9&lt;&gt;"",I9&lt;&gt;"not_applicable")</formula>
    </cfRule>
    <cfRule type="expression" priority="34" dxfId="1">
      <formula>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formula>
    </cfRule>
  </conditionalFormatting>
  <conditionalFormatting sqref="I10">
    <cfRule type="expression" priority="35" dxfId="0" stopIfTrue="1">
      <formula>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I10&lt;&gt;"",I10&lt;&gt;"not_applicable")</formula>
    </cfRule>
    <cfRule type="expression" priority="36" dxfId="1">
      <formula>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formula>
    </cfRule>
  </conditionalFormatting>
  <conditionalFormatting sqref="J2">
    <cfRule type="expression" priority="37" dxfId="0" stopIfTrue="1">
      <formula>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J2&lt;&gt;"",J2&lt;&gt;"not_applicable")</formula>
    </cfRule>
    <cfRule type="expression" priority="38" dxfId="1">
      <formula>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formula>
    </cfRule>
  </conditionalFormatting>
  <conditionalFormatting sqref="J3">
    <cfRule type="expression" priority="39" dxfId="0" stopIfTrue="1">
      <formula>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J3&lt;&gt;"",J3&lt;&gt;"not_applicable")</formula>
    </cfRule>
    <cfRule type="expression" priority="40" dxfId="1">
      <formula>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formula>
    </cfRule>
  </conditionalFormatting>
  <conditionalFormatting sqref="J4">
    <cfRule type="expression" priority="41" dxfId="0" stopIfTrue="1">
      <formula>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J4&lt;&gt;"",J4&lt;&gt;"not_applicable")</formula>
    </cfRule>
    <cfRule type="expression" priority="42" dxfId="1">
      <formula>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formula>
    </cfRule>
  </conditionalFormatting>
  <conditionalFormatting sqref="J5">
    <cfRule type="expression" priority="43" dxfId="0" stopIfTrue="1">
      <formula>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J5&lt;&gt;"",J5&lt;&gt;"not_applicable")</formula>
    </cfRule>
    <cfRule type="expression" priority="44" dxfId="1">
      <formula>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formula>
    </cfRule>
  </conditionalFormatting>
  <conditionalFormatting sqref="J6">
    <cfRule type="expression" priority="45" dxfId="0" stopIfTrue="1">
      <formula>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J6&lt;&gt;"",J6&lt;&gt;"not_applicable")</formula>
    </cfRule>
    <cfRule type="expression" priority="46" dxfId="1">
      <formula>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formula>
    </cfRule>
  </conditionalFormatting>
  <conditionalFormatting sqref="J7">
    <cfRule type="expression" priority="47" dxfId="0" stopIfTrue="1">
      <formula>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J7&lt;&gt;"",J7&lt;&gt;"not_applicable")</formula>
    </cfRule>
    <cfRule type="expression" priority="48" dxfId="1">
      <formula>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formula>
    </cfRule>
  </conditionalFormatting>
  <conditionalFormatting sqref="J8">
    <cfRule type="expression" priority="49" dxfId="0" stopIfTrue="1">
      <formula>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J8&lt;&gt;"",J8&lt;&gt;"not_applicable")</formula>
    </cfRule>
    <cfRule type="expression" priority="50" dxfId="1">
      <formula>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formula>
    </cfRule>
  </conditionalFormatting>
  <conditionalFormatting sqref="J9">
    <cfRule type="expression" priority="51" dxfId="0" stopIfTrue="1">
      <formula>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J9&lt;&gt;"",J9&lt;&gt;"not_applicable")</formula>
    </cfRule>
    <cfRule type="expression" priority="52" dxfId="1">
      <formula>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formula>
    </cfRule>
  </conditionalFormatting>
  <conditionalFormatting sqref="J10">
    <cfRule type="expression" priority="53" dxfId="0" stopIfTrue="1">
      <formula>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J10&lt;&gt;"",J10&lt;&gt;"not_applicable")</formula>
    </cfRule>
    <cfRule type="expression" priority="54" dxfId="1">
      <formula>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formula>
    </cfRule>
  </conditionalFormatting>
  <conditionalFormatting sqref="K2">
    <cfRule type="expression" priority="55" dxfId="0" stopIfTrue="1">
      <formula>AND(OR(AND(IF($D2="",INDEX(primary_jama_2019_14630_disposition,MATCH($A2,primary_jama_2019_14630_key,0)),$D2)&lt;&gt;"",IF($D2="",INDEX(primary_jama_2019_14630_disposition,MATCH($A2,primary_jama_2019_14630_key,0)),$D2)&lt;&gt;"retain"),NOT(OR(IF($E2="",INDEX(primary_jama_2019_14630_domain,MATCH($A2,primary_jama_2019_14630_key,0)),$E2)="report_internal_inconsistency",IF($E2="",INDEX(primary_jama_2019_14630_domain,MATCH($A2,primary_jama_2019_14630_key,0)),$E2)="plan_material"))),K2&lt;&gt;"",K2&lt;&gt;"not_applicable")</formula>
    </cfRule>
    <cfRule type="expression" priority="56" dxfId="1">
      <formula>OR(AND(IF($D2="",INDEX(primary_jama_2019_14630_disposition,MATCH($A2,primary_jama_2019_14630_key,0)),$D2)&lt;&gt;"",IF($D2="",INDEX(primary_jama_2019_14630_disposition,MATCH($A2,primary_jama_2019_14630_key,0)),$D2)&lt;&gt;"retain"),NOT(OR(IF($E2="",INDEX(primary_jama_2019_14630_domain,MATCH($A2,primary_jama_2019_14630_key,0)),$E2)="report_internal_inconsistency",IF($E2="",INDEX(primary_jama_2019_14630_domain,MATCH($A2,primary_jama_2019_14630_key,0)),$E2)="plan_material")))</formula>
    </cfRule>
  </conditionalFormatting>
  <conditionalFormatting sqref="K3">
    <cfRule type="expression" priority="57" dxfId="0" stopIfTrue="1">
      <formula>AND(OR(AND(IF($D3="",INDEX(primary_jama_2019_14630_disposition,MATCH($A3,primary_jama_2019_14630_key,0)),$D3)&lt;&gt;"",IF($D3="",INDEX(primary_jama_2019_14630_disposition,MATCH($A3,primary_jama_2019_14630_key,0)),$D3)&lt;&gt;"retain"),NOT(OR(IF($E3="",INDEX(primary_jama_2019_14630_domain,MATCH($A3,primary_jama_2019_14630_key,0)),$E3)="report_internal_inconsistency",IF($E3="",INDEX(primary_jama_2019_14630_domain,MATCH($A3,primary_jama_2019_14630_key,0)),$E3)="plan_material"))),K3&lt;&gt;"",K3&lt;&gt;"not_applicable")</formula>
    </cfRule>
    <cfRule type="expression" priority="58" dxfId="1">
      <formula>OR(AND(IF($D3="",INDEX(primary_jama_2019_14630_disposition,MATCH($A3,primary_jama_2019_14630_key,0)),$D3)&lt;&gt;"",IF($D3="",INDEX(primary_jama_2019_14630_disposition,MATCH($A3,primary_jama_2019_14630_key,0)),$D3)&lt;&gt;"retain"),NOT(OR(IF($E3="",INDEX(primary_jama_2019_14630_domain,MATCH($A3,primary_jama_2019_14630_key,0)),$E3)="report_internal_inconsistency",IF($E3="",INDEX(primary_jama_2019_14630_domain,MATCH($A3,primary_jama_2019_14630_key,0)),$E3)="plan_material")))</formula>
    </cfRule>
  </conditionalFormatting>
  <conditionalFormatting sqref="K4">
    <cfRule type="expression" priority="59" dxfId="0" stopIfTrue="1">
      <formula>AND(OR(AND(IF($D4="",INDEX(primary_jama_2019_14630_disposition,MATCH($A4,primary_jama_2019_14630_key,0)),$D4)&lt;&gt;"",IF($D4="",INDEX(primary_jama_2019_14630_disposition,MATCH($A4,primary_jama_2019_14630_key,0)),$D4)&lt;&gt;"retain"),NOT(OR(IF($E4="",INDEX(primary_jama_2019_14630_domain,MATCH($A4,primary_jama_2019_14630_key,0)),$E4)="report_internal_inconsistency",IF($E4="",INDEX(primary_jama_2019_14630_domain,MATCH($A4,primary_jama_2019_14630_key,0)),$E4)="plan_material"))),K4&lt;&gt;"",K4&lt;&gt;"not_applicable")</formula>
    </cfRule>
    <cfRule type="expression" priority="60" dxfId="1">
      <formula>OR(AND(IF($D4="",INDEX(primary_jama_2019_14630_disposition,MATCH($A4,primary_jama_2019_14630_key,0)),$D4)&lt;&gt;"",IF($D4="",INDEX(primary_jama_2019_14630_disposition,MATCH($A4,primary_jama_2019_14630_key,0)),$D4)&lt;&gt;"retain"),NOT(OR(IF($E4="",INDEX(primary_jama_2019_14630_domain,MATCH($A4,primary_jama_2019_14630_key,0)),$E4)="report_internal_inconsistency",IF($E4="",INDEX(primary_jama_2019_14630_domain,MATCH($A4,primary_jama_2019_14630_key,0)),$E4)="plan_material")))</formula>
    </cfRule>
  </conditionalFormatting>
  <conditionalFormatting sqref="K5">
    <cfRule type="expression" priority="61" dxfId="0" stopIfTrue="1">
      <formula>AND(OR(AND(IF($D5="",INDEX(primary_jama_2019_14630_disposition,MATCH($A5,primary_jama_2019_14630_key,0)),$D5)&lt;&gt;"",IF($D5="",INDEX(primary_jama_2019_14630_disposition,MATCH($A5,primary_jama_2019_14630_key,0)),$D5)&lt;&gt;"retain"),NOT(OR(IF($E5="",INDEX(primary_jama_2019_14630_domain,MATCH($A5,primary_jama_2019_14630_key,0)),$E5)="report_internal_inconsistency",IF($E5="",INDEX(primary_jama_2019_14630_domain,MATCH($A5,primary_jama_2019_14630_key,0)),$E5)="plan_material"))),K5&lt;&gt;"",K5&lt;&gt;"not_applicable")</formula>
    </cfRule>
    <cfRule type="expression" priority="62" dxfId="1">
      <formula>OR(AND(IF($D5="",INDEX(primary_jama_2019_14630_disposition,MATCH($A5,primary_jama_2019_14630_key,0)),$D5)&lt;&gt;"",IF($D5="",INDEX(primary_jama_2019_14630_disposition,MATCH($A5,primary_jama_2019_14630_key,0)),$D5)&lt;&gt;"retain"),NOT(OR(IF($E5="",INDEX(primary_jama_2019_14630_domain,MATCH($A5,primary_jama_2019_14630_key,0)),$E5)="report_internal_inconsistency",IF($E5="",INDEX(primary_jama_2019_14630_domain,MATCH($A5,primary_jama_2019_14630_key,0)),$E5)="plan_material")))</formula>
    </cfRule>
  </conditionalFormatting>
  <conditionalFormatting sqref="K6">
    <cfRule type="expression" priority="63" dxfId="0" stopIfTrue="1">
      <formula>AND(OR(AND(IF($D6="",INDEX(primary_jama_2019_14630_disposition,MATCH($A6,primary_jama_2019_14630_key,0)),$D6)&lt;&gt;"",IF($D6="",INDEX(primary_jama_2019_14630_disposition,MATCH($A6,primary_jama_2019_14630_key,0)),$D6)&lt;&gt;"retain"),NOT(OR(IF($E6="",INDEX(primary_jama_2019_14630_domain,MATCH($A6,primary_jama_2019_14630_key,0)),$E6)="report_internal_inconsistency",IF($E6="",INDEX(primary_jama_2019_14630_domain,MATCH($A6,primary_jama_2019_14630_key,0)),$E6)="plan_material"))),K6&lt;&gt;"",K6&lt;&gt;"not_applicable")</formula>
    </cfRule>
    <cfRule type="expression" priority="64" dxfId="1">
      <formula>OR(AND(IF($D6="",INDEX(primary_jama_2019_14630_disposition,MATCH($A6,primary_jama_2019_14630_key,0)),$D6)&lt;&gt;"",IF($D6="",INDEX(primary_jama_2019_14630_disposition,MATCH($A6,primary_jama_2019_14630_key,0)),$D6)&lt;&gt;"retain"),NOT(OR(IF($E6="",INDEX(primary_jama_2019_14630_domain,MATCH($A6,primary_jama_2019_14630_key,0)),$E6)="report_internal_inconsistency",IF($E6="",INDEX(primary_jama_2019_14630_domain,MATCH($A6,primary_jama_2019_14630_key,0)),$E6)="plan_material")))</formula>
    </cfRule>
  </conditionalFormatting>
  <conditionalFormatting sqref="K7">
    <cfRule type="expression" priority="65" dxfId="0" stopIfTrue="1">
      <formula>AND(OR(AND(IF($D7="",INDEX(primary_jama_2019_14630_disposition,MATCH($A7,primary_jama_2019_14630_key,0)),$D7)&lt;&gt;"",IF($D7="",INDEX(primary_jama_2019_14630_disposition,MATCH($A7,primary_jama_2019_14630_key,0)),$D7)&lt;&gt;"retain"),NOT(OR(IF($E7="",INDEX(primary_jama_2019_14630_domain,MATCH($A7,primary_jama_2019_14630_key,0)),$E7)="report_internal_inconsistency",IF($E7="",INDEX(primary_jama_2019_14630_domain,MATCH($A7,primary_jama_2019_14630_key,0)),$E7)="plan_material"))),K7&lt;&gt;"",K7&lt;&gt;"not_applicable")</formula>
    </cfRule>
    <cfRule type="expression" priority="66" dxfId="1">
      <formula>OR(AND(IF($D7="",INDEX(primary_jama_2019_14630_disposition,MATCH($A7,primary_jama_2019_14630_key,0)),$D7)&lt;&gt;"",IF($D7="",INDEX(primary_jama_2019_14630_disposition,MATCH($A7,primary_jama_2019_14630_key,0)),$D7)&lt;&gt;"retain"),NOT(OR(IF($E7="",INDEX(primary_jama_2019_14630_domain,MATCH($A7,primary_jama_2019_14630_key,0)),$E7)="report_internal_inconsistency",IF($E7="",INDEX(primary_jama_2019_14630_domain,MATCH($A7,primary_jama_2019_14630_key,0)),$E7)="plan_material")))</formula>
    </cfRule>
  </conditionalFormatting>
  <conditionalFormatting sqref="K8">
    <cfRule type="expression" priority="67" dxfId="0" stopIfTrue="1">
      <formula>AND(OR(AND(IF($D8="",INDEX(primary_jama_2019_14630_disposition,MATCH($A8,primary_jama_2019_14630_key,0)),$D8)&lt;&gt;"",IF($D8="",INDEX(primary_jama_2019_14630_disposition,MATCH($A8,primary_jama_2019_14630_key,0)),$D8)&lt;&gt;"retain"),NOT(OR(IF($E8="",INDEX(primary_jama_2019_14630_domain,MATCH($A8,primary_jama_2019_14630_key,0)),$E8)="report_internal_inconsistency",IF($E8="",INDEX(primary_jama_2019_14630_domain,MATCH($A8,primary_jama_2019_14630_key,0)),$E8)="plan_material"))),K8&lt;&gt;"",K8&lt;&gt;"not_applicable")</formula>
    </cfRule>
    <cfRule type="expression" priority="68" dxfId="1">
      <formula>OR(AND(IF($D8="",INDEX(primary_jama_2019_14630_disposition,MATCH($A8,primary_jama_2019_14630_key,0)),$D8)&lt;&gt;"",IF($D8="",INDEX(primary_jama_2019_14630_disposition,MATCH($A8,primary_jama_2019_14630_key,0)),$D8)&lt;&gt;"retain"),NOT(OR(IF($E8="",INDEX(primary_jama_2019_14630_domain,MATCH($A8,primary_jama_2019_14630_key,0)),$E8)="report_internal_inconsistency",IF($E8="",INDEX(primary_jama_2019_14630_domain,MATCH($A8,primary_jama_2019_14630_key,0)),$E8)="plan_material")))</formula>
    </cfRule>
  </conditionalFormatting>
  <conditionalFormatting sqref="K9">
    <cfRule type="expression" priority="69" dxfId="0" stopIfTrue="1">
      <formula>AND(OR(AND(IF($D9="",INDEX(primary_jama_2019_14630_disposition,MATCH($A9,primary_jama_2019_14630_key,0)),$D9)&lt;&gt;"",IF($D9="",INDEX(primary_jama_2019_14630_disposition,MATCH($A9,primary_jama_2019_14630_key,0)),$D9)&lt;&gt;"retain"),NOT(OR(IF($E9="",INDEX(primary_jama_2019_14630_domain,MATCH($A9,primary_jama_2019_14630_key,0)),$E9)="report_internal_inconsistency",IF($E9="",INDEX(primary_jama_2019_14630_domain,MATCH($A9,primary_jama_2019_14630_key,0)),$E9)="plan_material"))),K9&lt;&gt;"",K9&lt;&gt;"not_applicable")</formula>
    </cfRule>
    <cfRule type="expression" priority="70" dxfId="1">
      <formula>OR(AND(IF($D9="",INDEX(primary_jama_2019_14630_disposition,MATCH($A9,primary_jama_2019_14630_key,0)),$D9)&lt;&gt;"",IF($D9="",INDEX(primary_jama_2019_14630_disposition,MATCH($A9,primary_jama_2019_14630_key,0)),$D9)&lt;&gt;"retain"),NOT(OR(IF($E9="",INDEX(primary_jama_2019_14630_domain,MATCH($A9,primary_jama_2019_14630_key,0)),$E9)="report_internal_inconsistency",IF($E9="",INDEX(primary_jama_2019_14630_domain,MATCH($A9,primary_jama_2019_14630_key,0)),$E9)="plan_material")))</formula>
    </cfRule>
  </conditionalFormatting>
  <conditionalFormatting sqref="K10">
    <cfRule type="expression" priority="71" dxfId="0" stopIfTrue="1">
      <formula>AND(OR(AND(IF($D10="",INDEX(primary_jama_2019_14630_disposition,MATCH($A10,primary_jama_2019_14630_key,0)),$D10)&lt;&gt;"",IF($D10="",INDEX(primary_jama_2019_14630_disposition,MATCH($A10,primary_jama_2019_14630_key,0)),$D10)&lt;&gt;"retain"),NOT(OR(IF($E10="",INDEX(primary_jama_2019_14630_domain,MATCH($A10,primary_jama_2019_14630_key,0)),$E10)="report_internal_inconsistency",IF($E10="",INDEX(primary_jama_2019_14630_domain,MATCH($A10,primary_jama_2019_14630_key,0)),$E10)="plan_material"))),K10&lt;&gt;"",K10&lt;&gt;"not_applicable")</formula>
    </cfRule>
    <cfRule type="expression" priority="72" dxfId="1">
      <formula>OR(AND(IF($D10="",INDEX(primary_jama_2019_14630_disposition,MATCH($A10,primary_jama_2019_14630_key,0)),$D10)&lt;&gt;"",IF($D10="",INDEX(primary_jama_2019_14630_disposition,MATCH($A10,primary_jama_2019_14630_key,0)),$D10)&lt;&gt;"retain"),NOT(OR(IF($E10="",INDEX(primary_jama_2019_14630_domain,MATCH($A10,primary_jama_2019_14630_key,0)),$E10)="report_internal_inconsistency",IF($E10="",INDEX(primary_jama_2019_14630_domain,MATCH($A10,primary_jama_2019_14630_key,0)),$E10)="plan_material")))</formula>
    </cfRule>
  </conditionalFormatting>
  <conditionalFormatting sqref="L2">
    <cfRule type="expression" priority="73" dxfId="0" stopIfTrue="1">
      <formula>AND(OR(AND(IF($D2="",INDEX(primary_jama_2019_14630_disposition,MATCH($A2,primary_jama_2019_14630_key,0)),$D2)&lt;&gt;"",IF($D2="",INDEX(primary_jama_2019_14630_disposition,MATCH($A2,primary_jama_2019_14630_key,0)),$D2)&lt;&gt;"retain"),NOT(OR(IF($E2="",INDEX(primary_jama_2019_14630_domain,MATCH($A2,primary_jama_2019_14630_key,0)),$E2)="protocol_report"))),L2&lt;&gt;"",L2&lt;&gt;"not_applicable")</formula>
    </cfRule>
    <cfRule type="expression" priority="74" dxfId="1">
      <formula>OR(AND(IF($D2="",INDEX(primary_jama_2019_14630_disposition,MATCH($A2,primary_jama_2019_14630_key,0)),$D2)&lt;&gt;"",IF($D2="",INDEX(primary_jama_2019_14630_disposition,MATCH($A2,primary_jama_2019_14630_key,0)),$D2)&lt;&gt;"retain"),NOT(OR(IF($E2="",INDEX(primary_jama_2019_14630_domain,MATCH($A2,primary_jama_2019_14630_key,0)),$E2)="protocol_report")))</formula>
    </cfRule>
  </conditionalFormatting>
  <conditionalFormatting sqref="L3">
    <cfRule type="expression" priority="75" dxfId="0" stopIfTrue="1">
      <formula>AND(OR(AND(IF($D3="",INDEX(primary_jama_2019_14630_disposition,MATCH($A3,primary_jama_2019_14630_key,0)),$D3)&lt;&gt;"",IF($D3="",INDEX(primary_jama_2019_14630_disposition,MATCH($A3,primary_jama_2019_14630_key,0)),$D3)&lt;&gt;"retain"),NOT(OR(IF($E3="",INDEX(primary_jama_2019_14630_domain,MATCH($A3,primary_jama_2019_14630_key,0)),$E3)="protocol_report"))),L3&lt;&gt;"",L3&lt;&gt;"not_applicable")</formula>
    </cfRule>
    <cfRule type="expression" priority="76" dxfId="1">
      <formula>OR(AND(IF($D3="",INDEX(primary_jama_2019_14630_disposition,MATCH($A3,primary_jama_2019_14630_key,0)),$D3)&lt;&gt;"",IF($D3="",INDEX(primary_jama_2019_14630_disposition,MATCH($A3,primary_jama_2019_14630_key,0)),$D3)&lt;&gt;"retain"),NOT(OR(IF($E3="",INDEX(primary_jama_2019_14630_domain,MATCH($A3,primary_jama_2019_14630_key,0)),$E3)="protocol_report")))</formula>
    </cfRule>
  </conditionalFormatting>
  <conditionalFormatting sqref="L4">
    <cfRule type="expression" priority="77" dxfId="0" stopIfTrue="1">
      <formula>AND(OR(AND(IF($D4="",INDEX(primary_jama_2019_14630_disposition,MATCH($A4,primary_jama_2019_14630_key,0)),$D4)&lt;&gt;"",IF($D4="",INDEX(primary_jama_2019_14630_disposition,MATCH($A4,primary_jama_2019_14630_key,0)),$D4)&lt;&gt;"retain"),NOT(OR(IF($E4="",INDEX(primary_jama_2019_14630_domain,MATCH($A4,primary_jama_2019_14630_key,0)),$E4)="protocol_report"))),L4&lt;&gt;"",L4&lt;&gt;"not_applicable")</formula>
    </cfRule>
    <cfRule type="expression" priority="78" dxfId="1">
      <formula>OR(AND(IF($D4="",INDEX(primary_jama_2019_14630_disposition,MATCH($A4,primary_jama_2019_14630_key,0)),$D4)&lt;&gt;"",IF($D4="",INDEX(primary_jama_2019_14630_disposition,MATCH($A4,primary_jama_2019_14630_key,0)),$D4)&lt;&gt;"retain"),NOT(OR(IF($E4="",INDEX(primary_jama_2019_14630_domain,MATCH($A4,primary_jama_2019_14630_key,0)),$E4)="protocol_report")))</formula>
    </cfRule>
  </conditionalFormatting>
  <conditionalFormatting sqref="L5">
    <cfRule type="expression" priority="79" dxfId="0" stopIfTrue="1">
      <formula>AND(OR(AND(IF($D5="",INDEX(primary_jama_2019_14630_disposition,MATCH($A5,primary_jama_2019_14630_key,0)),$D5)&lt;&gt;"",IF($D5="",INDEX(primary_jama_2019_14630_disposition,MATCH($A5,primary_jama_2019_14630_key,0)),$D5)&lt;&gt;"retain"),NOT(OR(IF($E5="",INDEX(primary_jama_2019_14630_domain,MATCH($A5,primary_jama_2019_14630_key,0)),$E5)="protocol_report"))),L5&lt;&gt;"",L5&lt;&gt;"not_applicable")</formula>
    </cfRule>
    <cfRule type="expression" priority="80" dxfId="1">
      <formula>OR(AND(IF($D5="",INDEX(primary_jama_2019_14630_disposition,MATCH($A5,primary_jama_2019_14630_key,0)),$D5)&lt;&gt;"",IF($D5="",INDEX(primary_jama_2019_14630_disposition,MATCH($A5,primary_jama_2019_14630_key,0)),$D5)&lt;&gt;"retain"),NOT(OR(IF($E5="",INDEX(primary_jama_2019_14630_domain,MATCH($A5,primary_jama_2019_14630_key,0)),$E5)="protocol_report")))</formula>
    </cfRule>
  </conditionalFormatting>
  <conditionalFormatting sqref="L6">
    <cfRule type="expression" priority="81" dxfId="0" stopIfTrue="1">
      <formula>AND(OR(AND(IF($D6="",INDEX(primary_jama_2019_14630_disposition,MATCH($A6,primary_jama_2019_14630_key,0)),$D6)&lt;&gt;"",IF($D6="",INDEX(primary_jama_2019_14630_disposition,MATCH($A6,primary_jama_2019_14630_key,0)),$D6)&lt;&gt;"retain"),NOT(OR(IF($E6="",INDEX(primary_jama_2019_14630_domain,MATCH($A6,primary_jama_2019_14630_key,0)),$E6)="protocol_report"))),L6&lt;&gt;"",L6&lt;&gt;"not_applicable")</formula>
    </cfRule>
    <cfRule type="expression" priority="82" dxfId="1">
      <formula>OR(AND(IF($D6="",INDEX(primary_jama_2019_14630_disposition,MATCH($A6,primary_jama_2019_14630_key,0)),$D6)&lt;&gt;"",IF($D6="",INDEX(primary_jama_2019_14630_disposition,MATCH($A6,primary_jama_2019_14630_key,0)),$D6)&lt;&gt;"retain"),NOT(OR(IF($E6="",INDEX(primary_jama_2019_14630_domain,MATCH($A6,primary_jama_2019_14630_key,0)),$E6)="protocol_report")))</formula>
    </cfRule>
  </conditionalFormatting>
  <conditionalFormatting sqref="L7">
    <cfRule type="expression" priority="83" dxfId="0" stopIfTrue="1">
      <formula>AND(OR(AND(IF($D7="",INDEX(primary_jama_2019_14630_disposition,MATCH($A7,primary_jama_2019_14630_key,0)),$D7)&lt;&gt;"",IF($D7="",INDEX(primary_jama_2019_14630_disposition,MATCH($A7,primary_jama_2019_14630_key,0)),$D7)&lt;&gt;"retain"),NOT(OR(IF($E7="",INDEX(primary_jama_2019_14630_domain,MATCH($A7,primary_jama_2019_14630_key,0)),$E7)="protocol_report"))),L7&lt;&gt;"",L7&lt;&gt;"not_applicable")</formula>
    </cfRule>
    <cfRule type="expression" priority="84" dxfId="1">
      <formula>OR(AND(IF($D7="",INDEX(primary_jama_2019_14630_disposition,MATCH($A7,primary_jama_2019_14630_key,0)),$D7)&lt;&gt;"",IF($D7="",INDEX(primary_jama_2019_14630_disposition,MATCH($A7,primary_jama_2019_14630_key,0)),$D7)&lt;&gt;"retain"),NOT(OR(IF($E7="",INDEX(primary_jama_2019_14630_domain,MATCH($A7,primary_jama_2019_14630_key,0)),$E7)="protocol_report")))</formula>
    </cfRule>
  </conditionalFormatting>
  <conditionalFormatting sqref="L8">
    <cfRule type="expression" priority="85" dxfId="0" stopIfTrue="1">
      <formula>AND(OR(AND(IF($D8="",INDEX(primary_jama_2019_14630_disposition,MATCH($A8,primary_jama_2019_14630_key,0)),$D8)&lt;&gt;"",IF($D8="",INDEX(primary_jama_2019_14630_disposition,MATCH($A8,primary_jama_2019_14630_key,0)),$D8)&lt;&gt;"retain"),NOT(OR(IF($E8="",INDEX(primary_jama_2019_14630_domain,MATCH($A8,primary_jama_2019_14630_key,0)),$E8)="protocol_report"))),L8&lt;&gt;"",L8&lt;&gt;"not_applicable")</formula>
    </cfRule>
    <cfRule type="expression" priority="86" dxfId="1">
      <formula>OR(AND(IF($D8="",INDEX(primary_jama_2019_14630_disposition,MATCH($A8,primary_jama_2019_14630_key,0)),$D8)&lt;&gt;"",IF($D8="",INDEX(primary_jama_2019_14630_disposition,MATCH($A8,primary_jama_2019_14630_key,0)),$D8)&lt;&gt;"retain"),NOT(OR(IF($E8="",INDEX(primary_jama_2019_14630_domain,MATCH($A8,primary_jama_2019_14630_key,0)),$E8)="protocol_report")))</formula>
    </cfRule>
  </conditionalFormatting>
  <conditionalFormatting sqref="L9">
    <cfRule type="expression" priority="87" dxfId="0" stopIfTrue="1">
      <formula>AND(OR(AND(IF($D9="",INDEX(primary_jama_2019_14630_disposition,MATCH($A9,primary_jama_2019_14630_key,0)),$D9)&lt;&gt;"",IF($D9="",INDEX(primary_jama_2019_14630_disposition,MATCH($A9,primary_jama_2019_14630_key,0)),$D9)&lt;&gt;"retain"),NOT(OR(IF($E9="",INDEX(primary_jama_2019_14630_domain,MATCH($A9,primary_jama_2019_14630_key,0)),$E9)="protocol_report"))),L9&lt;&gt;"",L9&lt;&gt;"not_applicable")</formula>
    </cfRule>
    <cfRule type="expression" priority="88" dxfId="1">
      <formula>OR(AND(IF($D9="",INDEX(primary_jama_2019_14630_disposition,MATCH($A9,primary_jama_2019_14630_key,0)),$D9)&lt;&gt;"",IF($D9="",INDEX(primary_jama_2019_14630_disposition,MATCH($A9,primary_jama_2019_14630_key,0)),$D9)&lt;&gt;"retain"),NOT(OR(IF($E9="",INDEX(primary_jama_2019_14630_domain,MATCH($A9,primary_jama_2019_14630_key,0)),$E9)="protocol_report")))</formula>
    </cfRule>
  </conditionalFormatting>
  <conditionalFormatting sqref="L10">
    <cfRule type="expression" priority="89" dxfId="0" stopIfTrue="1">
      <formula>AND(OR(AND(IF($D10="",INDEX(primary_jama_2019_14630_disposition,MATCH($A10,primary_jama_2019_14630_key,0)),$D10)&lt;&gt;"",IF($D10="",INDEX(primary_jama_2019_14630_disposition,MATCH($A10,primary_jama_2019_14630_key,0)),$D10)&lt;&gt;"retain"),NOT(OR(IF($E10="",INDEX(primary_jama_2019_14630_domain,MATCH($A10,primary_jama_2019_14630_key,0)),$E10)="protocol_report"))),L10&lt;&gt;"",L10&lt;&gt;"not_applicable")</formula>
    </cfRule>
    <cfRule type="expression" priority="90" dxfId="1">
      <formula>OR(AND(IF($D10="",INDEX(primary_jama_2019_14630_disposition,MATCH($A10,primary_jama_2019_14630_key,0)),$D10)&lt;&gt;"",IF($D10="",INDEX(primary_jama_2019_14630_disposition,MATCH($A10,primary_jama_2019_14630_key,0)),$D10)&lt;&gt;"retain"),NOT(OR(IF($E10="",INDEX(primary_jama_2019_14630_domain,MATCH($A10,primary_jama_2019_14630_key,0)),$E10)="protocol_report")))</formula>
    </cfRule>
  </conditionalFormatting>
  <dataValidations count="10">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N2:N10" showDropDown="0" showInputMessage="1" showErrorMessage="1" allowBlank="1" errorTitle="Invalid option" error="Choose a listed value." promptTitle="Checker result" prompt="See Codebook for meanings." type="list" errorStyle="stop">
      <formula1>opt_checkStatus</formula1>
    </dataValidation>
    <dataValidation sqref="P2:P10"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R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2019::jama.2019.14901::C001</t>
        </is>
      </c>
      <c r="B2" s="2" t="inlineStr">
        <is>
          <t>Day-7 respiratory-failure absolute difference differs across matched article locations</t>
        </is>
      </c>
      <c r="C2" s="2" t="inlineStr"/>
      <c r="D2" s="8" t="inlineStr"/>
      <c r="E2" s="8" t="inlineStr"/>
      <c r="F2" s="8" t="inlineStr">
        <is>
          <t>no</t>
        </is>
      </c>
      <c r="G2" s="2">
        <f>IF(OR(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H2&lt;&gt;"",H2&lt;&gt;"not_applicable"),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I2&lt;&gt;"",I2&lt;&gt;"not_applicable"),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J2&lt;&gt;"",J2&lt;&gt;"not_applicable"),AND(OR(AND(IF($D2="",INDEX(primary_jama_2019_14901_disposition,MATCH($A2,primary_jama_2019_14901_key,0)),$D2)&lt;&gt;"",IF($D2="",INDEX(primary_jama_2019_14901_disposition,MATCH($A2,primary_jama_2019_14901_key,0)),$D2)&lt;&gt;"retain"),NOT(OR(IF($E2="",INDEX(primary_jama_2019_14901_domain,MATCH($A2,primary_jama_2019_14901_key,0)),$E2)="report_internal_inconsistency",IF($E2="",INDEX(primary_jama_2019_14901_domain,MATCH($A2,primary_jama_2019_14901_key,0)),$E2)="plan_material"))),K2&lt;&gt;"",K2&lt;&gt;"not_applicable"),AND(OR(AND(IF($D2="",INDEX(primary_jama_2019_14901_disposition,MATCH($A2,primary_jama_2019_14901_key,0)),$D2)&lt;&gt;"",IF($D2="",INDEX(primary_jama_2019_14901_disposition,MATCH($A2,primary_jama_2019_14901_key,0)),$D2)&lt;&gt;"retain"),NOT(OR(IF($E2="",INDEX(primary_jama_2019_14901_domain,MATCH($A2,primary_jama_2019_14901_key,0)),$E2)="protocol_report"))),L2&lt;&gt;"",L2&lt;&gt;"not_applicable")),"CLEAR INACTIVE VALUES",IF(N2="","PENDING",IF(AND(N2&lt;&gt;"agree",LEN(TRIM(O2))=0),"COMMENT NEEDED",IF(F2="yes","CHECKED - see resolution","DRAFT"))))</f>
        <v/>
      </c>
      <c r="H2" s="8">
        <f>IF(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not_applicable","")</f>
        <v/>
      </c>
      <c r="I2" s="8">
        <f>IF(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not_applicable","")</f>
        <v/>
      </c>
      <c r="J2" s="9">
        <f>IF(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not_applicable","")</f>
        <v/>
      </c>
      <c r="K2" s="8">
        <f>IF(OR(AND(IF($D2="",INDEX(primary_jama_2019_14901_disposition,MATCH($A2,primary_jama_2019_14901_key,0)),$D2)&lt;&gt;"",IF($D2="",INDEX(primary_jama_2019_14901_disposition,MATCH($A2,primary_jama_2019_14901_key,0)),$D2)&lt;&gt;"retain"),NOT(OR(IF($E2="",INDEX(primary_jama_2019_14901_domain,MATCH($A2,primary_jama_2019_14901_key,0)),$E2)="report_internal_inconsistency",IF($E2="",INDEX(primary_jama_2019_14901_domain,MATCH($A2,primary_jama_2019_14901_key,0)),$E2)="plan_material"))),"not_applicable","")</f>
        <v/>
      </c>
      <c r="L2" s="9">
        <f>IF(OR(AND(IF($D2="",INDEX(primary_jama_2019_14901_disposition,MATCH($A2,primary_jama_2019_14901_key,0)),$D2)&lt;&gt;"",IF($D2="",INDEX(primary_jama_2019_14901_disposition,MATCH($A2,primary_jama_2019_14901_key,0)),$D2)&lt;&gt;"retain"),NOT(OR(IF($E2="",INDEX(primary_jama_2019_14901_domain,MATCH($A2,primary_jama_2019_14901_key,0)),$E2)="protocol_report"))),"not_applicable","")</f>
        <v/>
      </c>
      <c r="M2" s="2" t="inlineStr">
        <is>
          <t>Disposition: exclude
Review domain: statistical_results
Notes (optional): SYNTHETIC TEST DATA ONLY. Exclude is a placeholder for testing the checker workflow, not a scientific assessment. Do not use this sample in research results.</t>
        </is>
      </c>
      <c r="N2" s="8" t="inlineStr"/>
      <c r="O2" s="10" t="inlineStr"/>
      <c r="P2" s="8" t="inlineStr">
        <is>
          <t>pending</t>
        </is>
      </c>
      <c r="Q2" s="10" t="inlineStr"/>
      <c r="R2" s="11" t="inlineStr"/>
    </row>
    <row r="3" ht="76" customHeight="1">
      <c r="A3" s="3" t="inlineStr">
        <is>
          <t>2019::jama.2019.14901::C002</t>
        </is>
      </c>
      <c r="B3" s="3" t="inlineStr">
        <is>
          <t>Reintubation respiratory-acidosis cutoff differs between article and protocol</t>
        </is>
      </c>
      <c r="C3" s="3" t="inlineStr"/>
      <c r="D3" s="8" t="inlineStr"/>
      <c r="E3" s="8" t="inlineStr"/>
      <c r="F3" s="8" t="inlineStr">
        <is>
          <t>no</t>
        </is>
      </c>
      <c r="G3" s="3">
        <f>IF(OR(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H3&lt;&gt;"",H3&lt;&gt;"not_applicable"),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I3&lt;&gt;"",I3&lt;&gt;"not_applicable"),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J3&lt;&gt;"",J3&lt;&gt;"not_applicable"),AND(OR(AND(IF($D3="",INDEX(primary_jama_2019_14901_disposition,MATCH($A3,primary_jama_2019_14901_key,0)),$D3)&lt;&gt;"",IF($D3="",INDEX(primary_jama_2019_14901_disposition,MATCH($A3,primary_jama_2019_14901_key,0)),$D3)&lt;&gt;"retain"),NOT(OR(IF($E3="",INDEX(primary_jama_2019_14901_domain,MATCH($A3,primary_jama_2019_14901_key,0)),$E3)="report_internal_inconsistency",IF($E3="",INDEX(primary_jama_2019_14901_domain,MATCH($A3,primary_jama_2019_14901_key,0)),$E3)="plan_material"))),K3&lt;&gt;"",K3&lt;&gt;"not_applicable"),AND(OR(AND(IF($D3="",INDEX(primary_jama_2019_14901_disposition,MATCH($A3,primary_jama_2019_14901_key,0)),$D3)&lt;&gt;"",IF($D3="",INDEX(primary_jama_2019_14901_disposition,MATCH($A3,primary_jama_2019_14901_key,0)),$D3)&lt;&gt;"retain"),NOT(OR(IF($E3="",INDEX(primary_jama_2019_14901_domain,MATCH($A3,primary_jama_2019_14901_key,0)),$E3)="protocol_report"))),L3&lt;&gt;"",L3&lt;&gt;"not_applicable")),"CLEAR INACTIVE VALUES",IF(N3="","PENDING",IF(AND(N3&lt;&gt;"agree",LEN(TRIM(O3))=0),"COMMENT NEEDED",IF(F3="yes","CHECKED - see resolution","DRAFT"))))</f>
        <v/>
      </c>
      <c r="H3" s="8">
        <f>IF(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not_applicable","")</f>
        <v/>
      </c>
      <c r="I3" s="8">
        <f>IF(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not_applicable","")</f>
        <v/>
      </c>
      <c r="J3" s="9">
        <f>IF(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not_applicable","")</f>
        <v/>
      </c>
      <c r="K3" s="8">
        <f>IF(OR(AND(IF($D3="",INDEX(primary_jama_2019_14901_disposition,MATCH($A3,primary_jama_2019_14901_key,0)),$D3)&lt;&gt;"",IF($D3="",INDEX(primary_jama_2019_14901_disposition,MATCH($A3,primary_jama_2019_14901_key,0)),$D3)&lt;&gt;"retain"),NOT(OR(IF($E3="",INDEX(primary_jama_2019_14901_domain,MATCH($A3,primary_jama_2019_14901_key,0)),$E3)="report_internal_inconsistency",IF($E3="",INDEX(primary_jama_2019_14901_domain,MATCH($A3,primary_jama_2019_14901_key,0)),$E3)="plan_material"))),"not_applicable","")</f>
        <v/>
      </c>
      <c r="L3" s="9">
        <f>IF(OR(AND(IF($D3="",INDEX(primary_jama_2019_14901_disposition,MATCH($A3,primary_jama_2019_14901_key,0)),$D3)&lt;&gt;"",IF($D3="",INDEX(primary_jama_2019_14901_disposition,MATCH($A3,primary_jama_2019_14901_key,0)),$D3)&lt;&gt;"retain"),NOT(OR(IF($E3="",INDEX(primary_jama_2019_14901_domain,MATCH($A3,primary_jama_2019_14901_key,0)),$E3)="protocol_report"))),"not_applicable","")</f>
        <v/>
      </c>
      <c r="M3" s="3" t="inlineStr">
        <is>
          <t>Disposition: exclude
Review domain: protocol_report
Notes (optional): SYNTHETIC TEST DATA ONLY. Exclude is a placeholder for testing the checker workflow, not a scientific assessment. Do not use this sample in research results.</t>
        </is>
      </c>
      <c r="N3" s="8" t="inlineStr"/>
      <c r="O3" s="10" t="inlineStr"/>
      <c r="P3" s="8" t="inlineStr">
        <is>
          <t>pending</t>
        </is>
      </c>
      <c r="Q3" s="10" t="inlineStr"/>
      <c r="R3" s="11" t="inlineStr"/>
    </row>
    <row r="4" ht="76" customHeight="1">
      <c r="A4" s="2" t="inlineStr">
        <is>
          <t>2019::jama.2019.14901::C003</t>
        </is>
      </c>
      <c r="B4" s="2" t="inlineStr">
        <is>
          <t>Hypercapnic ineffective-cough percentages conflict with printed fractions</t>
        </is>
      </c>
      <c r="C4" s="2" t="inlineStr"/>
      <c r="D4" s="8" t="inlineStr"/>
      <c r="E4" s="8" t="inlineStr"/>
      <c r="F4" s="8" t="inlineStr">
        <is>
          <t>no</t>
        </is>
      </c>
      <c r="G4" s="2">
        <f>IF(OR(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H4&lt;&gt;"",H4&lt;&gt;"not_applicable"),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I4&lt;&gt;"",I4&lt;&gt;"not_applicable"),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J4&lt;&gt;"",J4&lt;&gt;"not_applicable"),AND(OR(AND(IF($D4="",INDEX(primary_jama_2019_14901_disposition,MATCH($A4,primary_jama_2019_14901_key,0)),$D4)&lt;&gt;"",IF($D4="",INDEX(primary_jama_2019_14901_disposition,MATCH($A4,primary_jama_2019_14901_key,0)),$D4)&lt;&gt;"retain"),NOT(OR(IF($E4="",INDEX(primary_jama_2019_14901_domain,MATCH($A4,primary_jama_2019_14901_key,0)),$E4)="report_internal_inconsistency",IF($E4="",INDEX(primary_jama_2019_14901_domain,MATCH($A4,primary_jama_2019_14901_key,0)),$E4)="plan_material"))),K4&lt;&gt;"",K4&lt;&gt;"not_applicable"),AND(OR(AND(IF($D4="",INDEX(primary_jama_2019_14901_disposition,MATCH($A4,primary_jama_2019_14901_key,0)),$D4)&lt;&gt;"",IF($D4="",INDEX(primary_jama_2019_14901_disposition,MATCH($A4,primary_jama_2019_14901_key,0)),$D4)&lt;&gt;"retain"),NOT(OR(IF($E4="",INDEX(primary_jama_2019_14901_domain,MATCH($A4,primary_jama_2019_14901_key,0)),$E4)="protocol_report"))),L4&lt;&gt;"",L4&lt;&gt;"not_applicable")),"CLEAR INACTIVE VALUES",IF(N4="","PENDING",IF(AND(N4&lt;&gt;"agree",LEN(TRIM(O4))=0),"COMMENT NEEDED",IF(F4="yes","CHECKED - see resolution","DRAFT"))))</f>
        <v/>
      </c>
      <c r="H4" s="8">
        <f>IF(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not_applicable","")</f>
        <v/>
      </c>
      <c r="I4" s="8">
        <f>IF(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not_applicable","")</f>
        <v/>
      </c>
      <c r="J4" s="9">
        <f>IF(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not_applicable","")</f>
        <v/>
      </c>
      <c r="K4" s="8">
        <f>IF(OR(AND(IF($D4="",INDEX(primary_jama_2019_14901_disposition,MATCH($A4,primary_jama_2019_14901_key,0)),$D4)&lt;&gt;"",IF($D4="",INDEX(primary_jama_2019_14901_disposition,MATCH($A4,primary_jama_2019_14901_key,0)),$D4)&lt;&gt;"retain"),NOT(OR(IF($E4="",INDEX(primary_jama_2019_14901_domain,MATCH($A4,primary_jama_2019_14901_key,0)),$E4)="report_internal_inconsistency",IF($E4="",INDEX(primary_jama_2019_14901_domain,MATCH($A4,primary_jama_2019_14901_key,0)),$E4)="plan_material"))),"not_applicable","")</f>
        <v/>
      </c>
      <c r="L4" s="9">
        <f>IF(OR(AND(IF($D4="",INDEX(primary_jama_2019_14901_disposition,MATCH($A4,primary_jama_2019_14901_key,0)),$D4)&lt;&gt;"",IF($D4="",INDEX(primary_jama_2019_14901_disposition,MATCH($A4,primary_jama_2019_14901_key,0)),$D4)&lt;&gt;"retain"),NOT(OR(IF($E4="",INDEX(primary_jama_2019_14901_domain,MATCH($A4,primary_jama_2019_14901_key,0)),$E4)="protocol_report"))),"not_applicable","")</f>
        <v/>
      </c>
      <c r="M4" s="2" t="inlineStr">
        <is>
          <t>Disposition: exclude
Review domain: statistical_results
Notes (optional): SYNTHETIC TEST DATA ONLY. Exclude is a placeholder for testing the checker workflow, not a scientific assessment. Do not use this sample in research results.</t>
        </is>
      </c>
      <c r="N4" s="8" t="inlineStr"/>
      <c r="O4" s="10" t="inlineStr"/>
      <c r="P4" s="8" t="inlineStr">
        <is>
          <t>pending</t>
        </is>
      </c>
      <c r="Q4" s="10" t="inlineStr"/>
      <c r="R4" s="11" t="inlineStr"/>
    </row>
    <row r="5" ht="76" customHeight="1">
      <c r="A5" s="3" t="inlineStr">
        <is>
          <t>2019::jama.2019.14901::C004</t>
        </is>
      </c>
      <c r="B5" s="3" t="inlineStr">
        <is>
          <t>Hypercapnic abundant-secretion percentages conflict with printed fractions</t>
        </is>
      </c>
      <c r="C5" s="3" t="inlineStr"/>
      <c r="D5" s="8" t="inlineStr"/>
      <c r="E5" s="8" t="inlineStr"/>
      <c r="F5" s="8" t="inlineStr">
        <is>
          <t>no</t>
        </is>
      </c>
      <c r="G5" s="3">
        <f>IF(OR(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H5&lt;&gt;"",H5&lt;&gt;"not_applicable"),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I5&lt;&gt;"",I5&lt;&gt;"not_applicable"),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J5&lt;&gt;"",J5&lt;&gt;"not_applicable"),AND(OR(AND(IF($D5="",INDEX(primary_jama_2019_14901_disposition,MATCH($A5,primary_jama_2019_14901_key,0)),$D5)&lt;&gt;"",IF($D5="",INDEX(primary_jama_2019_14901_disposition,MATCH($A5,primary_jama_2019_14901_key,0)),$D5)&lt;&gt;"retain"),NOT(OR(IF($E5="",INDEX(primary_jama_2019_14901_domain,MATCH($A5,primary_jama_2019_14901_key,0)),$E5)="report_internal_inconsistency",IF($E5="",INDEX(primary_jama_2019_14901_domain,MATCH($A5,primary_jama_2019_14901_key,0)),$E5)="plan_material"))),K5&lt;&gt;"",K5&lt;&gt;"not_applicable"),AND(OR(AND(IF($D5="",INDEX(primary_jama_2019_14901_disposition,MATCH($A5,primary_jama_2019_14901_key,0)),$D5)&lt;&gt;"",IF($D5="",INDEX(primary_jama_2019_14901_disposition,MATCH($A5,primary_jama_2019_14901_key,0)),$D5)&lt;&gt;"retain"),NOT(OR(IF($E5="",INDEX(primary_jama_2019_14901_domain,MATCH($A5,primary_jama_2019_14901_key,0)),$E5)="protocol_report"))),L5&lt;&gt;"",L5&lt;&gt;"not_applicable")),"CLEAR INACTIVE VALUES",IF(N5="","PENDING",IF(AND(N5&lt;&gt;"agree",LEN(TRIM(O5))=0),"COMMENT NEEDED",IF(F5="yes","CHECKED - see resolution","DRAFT"))))</f>
        <v/>
      </c>
      <c r="H5" s="8">
        <f>IF(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not_applicable","")</f>
        <v/>
      </c>
      <c r="I5" s="8">
        <f>IF(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not_applicable","")</f>
        <v/>
      </c>
      <c r="J5" s="9">
        <f>IF(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not_applicable","")</f>
        <v/>
      </c>
      <c r="K5" s="8">
        <f>IF(OR(AND(IF($D5="",INDEX(primary_jama_2019_14901_disposition,MATCH($A5,primary_jama_2019_14901_key,0)),$D5)&lt;&gt;"",IF($D5="",INDEX(primary_jama_2019_14901_disposition,MATCH($A5,primary_jama_2019_14901_key,0)),$D5)&lt;&gt;"retain"),NOT(OR(IF($E5="",INDEX(primary_jama_2019_14901_domain,MATCH($A5,primary_jama_2019_14901_key,0)),$E5)="report_internal_inconsistency",IF($E5="",INDEX(primary_jama_2019_14901_domain,MATCH($A5,primary_jama_2019_14901_key,0)),$E5)="plan_material"))),"not_applicable","")</f>
        <v/>
      </c>
      <c r="L5" s="9">
        <f>IF(OR(AND(IF($D5="",INDEX(primary_jama_2019_14901_disposition,MATCH($A5,primary_jama_2019_14901_key,0)),$D5)&lt;&gt;"",IF($D5="",INDEX(primary_jama_2019_14901_disposition,MATCH($A5,primary_jama_2019_14901_key,0)),$D5)&lt;&gt;"retain"),NOT(OR(IF($E5="",INDEX(primary_jama_2019_14901_domain,MATCH($A5,primary_jama_2019_14901_key,0)),$E5)="protocol_report"))),"not_applicable","")</f>
        <v/>
      </c>
      <c r="M5" s="3" t="inlineStr">
        <is>
          <t>Disposition: exclude
Review domain: statistical_results
Notes (optional): SYNTHETIC TEST DATA ONLY. Exclude is a placeholder for testing the checker workflow, not a scientific assessment. Do not use this sample in research results.</t>
        </is>
      </c>
      <c r="N5" s="8" t="inlineStr"/>
      <c r="O5" s="10" t="inlineStr"/>
      <c r="P5" s="8" t="inlineStr">
        <is>
          <t>pending</t>
        </is>
      </c>
      <c r="Q5" s="10" t="inlineStr"/>
      <c r="R5" s="11" t="inlineStr"/>
    </row>
    <row r="6" ht="76" customHeight="1">
      <c r="A6" s="2" t="inlineStr">
        <is>
          <t>2019::jama.2019.14901::C005</t>
        </is>
      </c>
      <c r="B6" s="2" t="inlineStr">
        <is>
          <t>Matched nonhypercapnic day-7 reintubation P values differ across article and supplement</t>
        </is>
      </c>
      <c r="C6" s="2" t="inlineStr"/>
      <c r="D6" s="8" t="inlineStr"/>
      <c r="E6" s="8" t="inlineStr"/>
      <c r="F6" s="8" t="inlineStr">
        <is>
          <t>no</t>
        </is>
      </c>
      <c r="G6" s="2">
        <f>IF(OR(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H6&lt;&gt;"",H6&lt;&gt;"not_applicable"),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I6&lt;&gt;"",I6&lt;&gt;"not_applicable"),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J6&lt;&gt;"",J6&lt;&gt;"not_applicable"),AND(OR(AND(IF($D6="",INDEX(primary_jama_2019_14901_disposition,MATCH($A6,primary_jama_2019_14901_key,0)),$D6)&lt;&gt;"",IF($D6="",INDEX(primary_jama_2019_14901_disposition,MATCH($A6,primary_jama_2019_14901_key,0)),$D6)&lt;&gt;"retain"),NOT(OR(IF($E6="",INDEX(primary_jama_2019_14901_domain,MATCH($A6,primary_jama_2019_14901_key,0)),$E6)="report_internal_inconsistency",IF($E6="",INDEX(primary_jama_2019_14901_domain,MATCH($A6,primary_jama_2019_14901_key,0)),$E6)="plan_material"))),K6&lt;&gt;"",K6&lt;&gt;"not_applicable"),AND(OR(AND(IF($D6="",INDEX(primary_jama_2019_14901_disposition,MATCH($A6,primary_jama_2019_14901_key,0)),$D6)&lt;&gt;"",IF($D6="",INDEX(primary_jama_2019_14901_disposition,MATCH($A6,primary_jama_2019_14901_key,0)),$D6)&lt;&gt;"retain"),NOT(OR(IF($E6="",INDEX(primary_jama_2019_14901_domain,MATCH($A6,primary_jama_2019_14901_key,0)),$E6)="protocol_report"))),L6&lt;&gt;"",L6&lt;&gt;"not_applicable")),"CLEAR INACTIVE VALUES",IF(N6="","PENDING",IF(AND(N6&lt;&gt;"agree",LEN(TRIM(O6))=0),"COMMENT NEEDED",IF(F6="yes","CHECKED - see resolution","DRAFT"))))</f>
        <v/>
      </c>
      <c r="H6" s="8">
        <f>IF(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not_applicable","")</f>
        <v/>
      </c>
      <c r="I6" s="8">
        <f>IF(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not_applicable","")</f>
        <v/>
      </c>
      <c r="J6" s="9">
        <f>IF(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not_applicable","")</f>
        <v/>
      </c>
      <c r="K6" s="8">
        <f>IF(OR(AND(IF($D6="",INDEX(primary_jama_2019_14901_disposition,MATCH($A6,primary_jama_2019_14901_key,0)),$D6)&lt;&gt;"",IF($D6="",INDEX(primary_jama_2019_14901_disposition,MATCH($A6,primary_jama_2019_14901_key,0)),$D6)&lt;&gt;"retain"),NOT(OR(IF($E6="",INDEX(primary_jama_2019_14901_domain,MATCH($A6,primary_jama_2019_14901_key,0)),$E6)="report_internal_inconsistency",IF($E6="",INDEX(primary_jama_2019_14901_domain,MATCH($A6,primary_jama_2019_14901_key,0)),$E6)="plan_material"))),"not_applicable","")</f>
        <v/>
      </c>
      <c r="L6" s="9">
        <f>IF(OR(AND(IF($D6="",INDEX(primary_jama_2019_14901_disposition,MATCH($A6,primary_jama_2019_14901_key,0)),$D6)&lt;&gt;"",IF($D6="",INDEX(primary_jama_2019_14901_disposition,MATCH($A6,primary_jama_2019_14901_key,0)),$D6)&lt;&gt;"retain"),NOT(OR(IF($E6="",INDEX(primary_jama_2019_14901_domain,MATCH($A6,primary_jama_2019_14901_key,0)),$E6)="protocol_report"))),"not_applicable","")</f>
        <v/>
      </c>
      <c r="M6" s="2" t="inlineStr">
        <is>
          <t>Disposition: exclude
Review domain: report_internal_inconsistency
Notes (optional): SYNTHETIC TEST DATA ONLY. Exclude is a placeholder for testing the checker workflow, not a scientific assessment. Do not use this sample in research results.</t>
        </is>
      </c>
      <c r="N6" s="8" t="inlineStr"/>
      <c r="O6" s="10" t="inlineStr"/>
      <c r="P6" s="8" t="inlineStr">
        <is>
          <t>pending</t>
        </is>
      </c>
      <c r="Q6" s="10" t="inlineStr"/>
      <c r="R6" s="11" t="inlineStr"/>
    </row>
    <row r="7" ht="76" customHeight="1">
      <c r="A7" s="3" t="inlineStr">
        <is>
          <t>2019::jama.2019.14901::C006</t>
        </is>
      </c>
      <c r="B7" s="3" t="inlineStr">
        <is>
          <t>Protocol total-duration breakdown does not arithmetically reach the printed total</t>
        </is>
      </c>
      <c r="C7" s="3" t="inlineStr"/>
      <c r="D7" s="8" t="inlineStr"/>
      <c r="E7" s="8" t="inlineStr"/>
      <c r="F7" s="8" t="inlineStr">
        <is>
          <t>no</t>
        </is>
      </c>
      <c r="G7" s="3">
        <f>IF(OR(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H7&lt;&gt;"",H7&lt;&gt;"not_applicable"),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I7&lt;&gt;"",I7&lt;&gt;"not_applicable"),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J7&lt;&gt;"",J7&lt;&gt;"not_applicable"),AND(OR(AND(IF($D7="",INDEX(primary_jama_2019_14901_disposition,MATCH($A7,primary_jama_2019_14901_key,0)),$D7)&lt;&gt;"",IF($D7="",INDEX(primary_jama_2019_14901_disposition,MATCH($A7,primary_jama_2019_14901_key,0)),$D7)&lt;&gt;"retain"),NOT(OR(IF($E7="",INDEX(primary_jama_2019_14901_domain,MATCH($A7,primary_jama_2019_14901_key,0)),$E7)="report_internal_inconsistency",IF($E7="",INDEX(primary_jama_2019_14901_domain,MATCH($A7,primary_jama_2019_14901_key,0)),$E7)="plan_material"))),K7&lt;&gt;"",K7&lt;&gt;"not_applicable"),AND(OR(AND(IF($D7="",INDEX(primary_jama_2019_14901_disposition,MATCH($A7,primary_jama_2019_14901_key,0)),$D7)&lt;&gt;"",IF($D7="",INDEX(primary_jama_2019_14901_disposition,MATCH($A7,primary_jama_2019_14901_key,0)),$D7)&lt;&gt;"retain"),NOT(OR(IF($E7="",INDEX(primary_jama_2019_14901_domain,MATCH($A7,primary_jama_2019_14901_key,0)),$E7)="protocol_report"))),L7&lt;&gt;"",L7&lt;&gt;"not_applicable")),"CLEAR INACTIVE VALUES",IF(N7="","PENDING",IF(AND(N7&lt;&gt;"agree",LEN(TRIM(O7))=0),"COMMENT NEEDED",IF(F7="yes","CHECKED - see resolution","DRAFT"))))</f>
        <v/>
      </c>
      <c r="H7" s="8">
        <f>IF(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not_applicable","")</f>
        <v/>
      </c>
      <c r="I7" s="8">
        <f>IF(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not_applicable","")</f>
        <v/>
      </c>
      <c r="J7" s="9">
        <f>IF(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not_applicable","")</f>
        <v/>
      </c>
      <c r="K7" s="8">
        <f>IF(OR(AND(IF($D7="",INDEX(primary_jama_2019_14901_disposition,MATCH($A7,primary_jama_2019_14901_key,0)),$D7)&lt;&gt;"",IF($D7="",INDEX(primary_jama_2019_14901_disposition,MATCH($A7,primary_jama_2019_14901_key,0)),$D7)&lt;&gt;"retain"),NOT(OR(IF($E7="",INDEX(primary_jama_2019_14901_domain,MATCH($A7,primary_jama_2019_14901_key,0)),$E7)="report_internal_inconsistency",IF($E7="",INDEX(primary_jama_2019_14901_domain,MATCH($A7,primary_jama_2019_14901_key,0)),$E7)="plan_material"))),"not_applicable","")</f>
        <v/>
      </c>
      <c r="L7" s="9">
        <f>IF(OR(AND(IF($D7="",INDEX(primary_jama_2019_14901_disposition,MATCH($A7,primary_jama_2019_14901_key,0)),$D7)&lt;&gt;"",IF($D7="",INDEX(primary_jama_2019_14901_disposition,MATCH($A7,primary_jama_2019_14901_key,0)),$D7)&lt;&gt;"retain"),NOT(OR(IF($E7="",INDEX(primary_jama_2019_14901_domain,MATCH($A7,primary_jama_2019_14901_key,0)),$E7)="protocol_report"))),"not_applicable","")</f>
        <v/>
      </c>
      <c r="M7" s="3" t="inlineStr">
        <is>
          <t>Disposition: exclude
Review domain: plan_material
Notes (optional): SYNTHETIC TEST DATA ONLY. Exclude is a placeholder for testing the checker workflow, not a scientific assessment. Do not use this sample in research results.</t>
        </is>
      </c>
      <c r="N7" s="8" t="inlineStr"/>
      <c r="O7" s="10" t="inlineStr"/>
      <c r="P7" s="8" t="inlineStr">
        <is>
          <t>pending</t>
        </is>
      </c>
      <c r="Q7" s="10" t="inlineStr"/>
      <c r="R7" s="11" t="inlineStr"/>
    </row>
  </sheetData>
  <sheetProtection selectLockedCells="0" selectUnlockedCells="0" sheet="1" objects="0" insertRows="1" insertHyperlinks="1" autoFilter="0" scenarios="0" formatColumns="1" deleteColumns="1" insertColumns="1" pivotTables="1" deleteRows="1" formatCells="1" formatRows="1" sort="1"/>
  <autoFilter ref="A1:R7"/>
  <conditionalFormatting sqref="H2">
    <cfRule type="expression" priority="1" dxfId="0" stopIfTrue="1">
      <formula>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H2&lt;&gt;"",H2&lt;&gt;"not_applicable")</formula>
    </cfRule>
    <cfRule type="expression" priority="2" dxfId="1">
      <formula>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formula>
    </cfRule>
  </conditionalFormatting>
  <conditionalFormatting sqref="H3">
    <cfRule type="expression" priority="3" dxfId="0" stopIfTrue="1">
      <formula>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H3&lt;&gt;"",H3&lt;&gt;"not_applicable")</formula>
    </cfRule>
    <cfRule type="expression" priority="4" dxfId="1">
      <formula>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formula>
    </cfRule>
  </conditionalFormatting>
  <conditionalFormatting sqref="H4">
    <cfRule type="expression" priority="5" dxfId="0" stopIfTrue="1">
      <formula>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H4&lt;&gt;"",H4&lt;&gt;"not_applicable")</formula>
    </cfRule>
    <cfRule type="expression" priority="6" dxfId="1">
      <formula>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formula>
    </cfRule>
  </conditionalFormatting>
  <conditionalFormatting sqref="H5">
    <cfRule type="expression" priority="7" dxfId="0" stopIfTrue="1">
      <formula>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H5&lt;&gt;"",H5&lt;&gt;"not_applicable")</formula>
    </cfRule>
    <cfRule type="expression" priority="8" dxfId="1">
      <formula>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formula>
    </cfRule>
  </conditionalFormatting>
  <conditionalFormatting sqref="H6">
    <cfRule type="expression" priority="9" dxfId="0" stopIfTrue="1">
      <formula>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H6&lt;&gt;"",H6&lt;&gt;"not_applicable")</formula>
    </cfRule>
    <cfRule type="expression" priority="10" dxfId="1">
      <formula>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formula>
    </cfRule>
  </conditionalFormatting>
  <conditionalFormatting sqref="H7">
    <cfRule type="expression" priority="11" dxfId="0" stopIfTrue="1">
      <formula>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H7&lt;&gt;"",H7&lt;&gt;"not_applicable")</formula>
    </cfRule>
    <cfRule type="expression" priority="12" dxfId="1">
      <formula>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formula>
    </cfRule>
  </conditionalFormatting>
  <conditionalFormatting sqref="I2">
    <cfRule type="expression" priority="13" dxfId="0" stopIfTrue="1">
      <formula>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I2&lt;&gt;"",I2&lt;&gt;"not_applicable")</formula>
    </cfRule>
    <cfRule type="expression" priority="14" dxfId="1">
      <formula>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formula>
    </cfRule>
  </conditionalFormatting>
  <conditionalFormatting sqref="I3">
    <cfRule type="expression" priority="15" dxfId="0" stopIfTrue="1">
      <formula>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I3&lt;&gt;"",I3&lt;&gt;"not_applicable")</formula>
    </cfRule>
    <cfRule type="expression" priority="16" dxfId="1">
      <formula>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formula>
    </cfRule>
  </conditionalFormatting>
  <conditionalFormatting sqref="I4">
    <cfRule type="expression" priority="17" dxfId="0" stopIfTrue="1">
      <formula>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I4&lt;&gt;"",I4&lt;&gt;"not_applicable")</formula>
    </cfRule>
    <cfRule type="expression" priority="18" dxfId="1">
      <formula>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formula>
    </cfRule>
  </conditionalFormatting>
  <conditionalFormatting sqref="I5">
    <cfRule type="expression" priority="19" dxfId="0" stopIfTrue="1">
      <formula>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I5&lt;&gt;"",I5&lt;&gt;"not_applicable")</formula>
    </cfRule>
    <cfRule type="expression" priority="20" dxfId="1">
      <formula>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formula>
    </cfRule>
  </conditionalFormatting>
  <conditionalFormatting sqref="I6">
    <cfRule type="expression" priority="21" dxfId="0" stopIfTrue="1">
      <formula>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I6&lt;&gt;"",I6&lt;&gt;"not_applicable")</formula>
    </cfRule>
    <cfRule type="expression" priority="22" dxfId="1">
      <formula>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formula>
    </cfRule>
  </conditionalFormatting>
  <conditionalFormatting sqref="I7">
    <cfRule type="expression" priority="23" dxfId="0" stopIfTrue="1">
      <formula>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I7&lt;&gt;"",I7&lt;&gt;"not_applicable")</formula>
    </cfRule>
    <cfRule type="expression" priority="24" dxfId="1">
      <formula>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formula>
    </cfRule>
  </conditionalFormatting>
  <conditionalFormatting sqref="J2">
    <cfRule type="expression" priority="25" dxfId="0" stopIfTrue="1">
      <formula>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J2&lt;&gt;"",J2&lt;&gt;"not_applicable")</formula>
    </cfRule>
    <cfRule type="expression" priority="26" dxfId="1">
      <formula>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formula>
    </cfRule>
  </conditionalFormatting>
  <conditionalFormatting sqref="J3">
    <cfRule type="expression" priority="27" dxfId="0" stopIfTrue="1">
      <formula>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J3&lt;&gt;"",J3&lt;&gt;"not_applicable")</formula>
    </cfRule>
    <cfRule type="expression" priority="28" dxfId="1">
      <formula>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formula>
    </cfRule>
  </conditionalFormatting>
  <conditionalFormatting sqref="J4">
    <cfRule type="expression" priority="29" dxfId="0" stopIfTrue="1">
      <formula>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J4&lt;&gt;"",J4&lt;&gt;"not_applicable")</formula>
    </cfRule>
    <cfRule type="expression" priority="30" dxfId="1">
      <formula>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formula>
    </cfRule>
  </conditionalFormatting>
  <conditionalFormatting sqref="J5">
    <cfRule type="expression" priority="31" dxfId="0" stopIfTrue="1">
      <formula>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J5&lt;&gt;"",J5&lt;&gt;"not_applicable")</formula>
    </cfRule>
    <cfRule type="expression" priority="32" dxfId="1">
      <formula>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formula>
    </cfRule>
  </conditionalFormatting>
  <conditionalFormatting sqref="J6">
    <cfRule type="expression" priority="33" dxfId="0" stopIfTrue="1">
      <formula>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J6&lt;&gt;"",J6&lt;&gt;"not_applicable")</formula>
    </cfRule>
    <cfRule type="expression" priority="34" dxfId="1">
      <formula>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formula>
    </cfRule>
  </conditionalFormatting>
  <conditionalFormatting sqref="J7">
    <cfRule type="expression" priority="35" dxfId="0" stopIfTrue="1">
      <formula>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J7&lt;&gt;"",J7&lt;&gt;"not_applicable")</formula>
    </cfRule>
    <cfRule type="expression" priority="36" dxfId="1">
      <formula>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formula>
    </cfRule>
  </conditionalFormatting>
  <conditionalFormatting sqref="K2">
    <cfRule type="expression" priority="37" dxfId="0" stopIfTrue="1">
      <formula>AND(OR(AND(IF($D2="",INDEX(primary_jama_2019_14901_disposition,MATCH($A2,primary_jama_2019_14901_key,0)),$D2)&lt;&gt;"",IF($D2="",INDEX(primary_jama_2019_14901_disposition,MATCH($A2,primary_jama_2019_14901_key,0)),$D2)&lt;&gt;"retain"),NOT(OR(IF($E2="",INDEX(primary_jama_2019_14901_domain,MATCH($A2,primary_jama_2019_14901_key,0)),$E2)="report_internal_inconsistency",IF($E2="",INDEX(primary_jama_2019_14901_domain,MATCH($A2,primary_jama_2019_14901_key,0)),$E2)="plan_material"))),K2&lt;&gt;"",K2&lt;&gt;"not_applicable")</formula>
    </cfRule>
    <cfRule type="expression" priority="38" dxfId="1">
      <formula>OR(AND(IF($D2="",INDEX(primary_jama_2019_14901_disposition,MATCH($A2,primary_jama_2019_14901_key,0)),$D2)&lt;&gt;"",IF($D2="",INDEX(primary_jama_2019_14901_disposition,MATCH($A2,primary_jama_2019_14901_key,0)),$D2)&lt;&gt;"retain"),NOT(OR(IF($E2="",INDEX(primary_jama_2019_14901_domain,MATCH($A2,primary_jama_2019_14901_key,0)),$E2)="report_internal_inconsistency",IF($E2="",INDEX(primary_jama_2019_14901_domain,MATCH($A2,primary_jama_2019_14901_key,0)),$E2)="plan_material")))</formula>
    </cfRule>
  </conditionalFormatting>
  <conditionalFormatting sqref="K3">
    <cfRule type="expression" priority="39" dxfId="0" stopIfTrue="1">
      <formula>AND(OR(AND(IF($D3="",INDEX(primary_jama_2019_14901_disposition,MATCH($A3,primary_jama_2019_14901_key,0)),$D3)&lt;&gt;"",IF($D3="",INDEX(primary_jama_2019_14901_disposition,MATCH($A3,primary_jama_2019_14901_key,0)),$D3)&lt;&gt;"retain"),NOT(OR(IF($E3="",INDEX(primary_jama_2019_14901_domain,MATCH($A3,primary_jama_2019_14901_key,0)),$E3)="report_internal_inconsistency",IF($E3="",INDEX(primary_jama_2019_14901_domain,MATCH($A3,primary_jama_2019_14901_key,0)),$E3)="plan_material"))),K3&lt;&gt;"",K3&lt;&gt;"not_applicable")</formula>
    </cfRule>
    <cfRule type="expression" priority="40" dxfId="1">
      <formula>OR(AND(IF($D3="",INDEX(primary_jama_2019_14901_disposition,MATCH($A3,primary_jama_2019_14901_key,0)),$D3)&lt;&gt;"",IF($D3="",INDEX(primary_jama_2019_14901_disposition,MATCH($A3,primary_jama_2019_14901_key,0)),$D3)&lt;&gt;"retain"),NOT(OR(IF($E3="",INDEX(primary_jama_2019_14901_domain,MATCH($A3,primary_jama_2019_14901_key,0)),$E3)="report_internal_inconsistency",IF($E3="",INDEX(primary_jama_2019_14901_domain,MATCH($A3,primary_jama_2019_14901_key,0)),$E3)="plan_material")))</formula>
    </cfRule>
  </conditionalFormatting>
  <conditionalFormatting sqref="K4">
    <cfRule type="expression" priority="41" dxfId="0" stopIfTrue="1">
      <formula>AND(OR(AND(IF($D4="",INDEX(primary_jama_2019_14901_disposition,MATCH($A4,primary_jama_2019_14901_key,0)),$D4)&lt;&gt;"",IF($D4="",INDEX(primary_jama_2019_14901_disposition,MATCH($A4,primary_jama_2019_14901_key,0)),$D4)&lt;&gt;"retain"),NOT(OR(IF($E4="",INDEX(primary_jama_2019_14901_domain,MATCH($A4,primary_jama_2019_14901_key,0)),$E4)="report_internal_inconsistency",IF($E4="",INDEX(primary_jama_2019_14901_domain,MATCH($A4,primary_jama_2019_14901_key,0)),$E4)="plan_material"))),K4&lt;&gt;"",K4&lt;&gt;"not_applicable")</formula>
    </cfRule>
    <cfRule type="expression" priority="42" dxfId="1">
      <formula>OR(AND(IF($D4="",INDEX(primary_jama_2019_14901_disposition,MATCH($A4,primary_jama_2019_14901_key,0)),$D4)&lt;&gt;"",IF($D4="",INDEX(primary_jama_2019_14901_disposition,MATCH($A4,primary_jama_2019_14901_key,0)),$D4)&lt;&gt;"retain"),NOT(OR(IF($E4="",INDEX(primary_jama_2019_14901_domain,MATCH($A4,primary_jama_2019_14901_key,0)),$E4)="report_internal_inconsistency",IF($E4="",INDEX(primary_jama_2019_14901_domain,MATCH($A4,primary_jama_2019_14901_key,0)),$E4)="plan_material")))</formula>
    </cfRule>
  </conditionalFormatting>
  <conditionalFormatting sqref="K5">
    <cfRule type="expression" priority="43" dxfId="0" stopIfTrue="1">
      <formula>AND(OR(AND(IF($D5="",INDEX(primary_jama_2019_14901_disposition,MATCH($A5,primary_jama_2019_14901_key,0)),$D5)&lt;&gt;"",IF($D5="",INDEX(primary_jama_2019_14901_disposition,MATCH($A5,primary_jama_2019_14901_key,0)),$D5)&lt;&gt;"retain"),NOT(OR(IF($E5="",INDEX(primary_jama_2019_14901_domain,MATCH($A5,primary_jama_2019_14901_key,0)),$E5)="report_internal_inconsistency",IF($E5="",INDEX(primary_jama_2019_14901_domain,MATCH($A5,primary_jama_2019_14901_key,0)),$E5)="plan_material"))),K5&lt;&gt;"",K5&lt;&gt;"not_applicable")</formula>
    </cfRule>
    <cfRule type="expression" priority="44" dxfId="1">
      <formula>OR(AND(IF($D5="",INDEX(primary_jama_2019_14901_disposition,MATCH($A5,primary_jama_2019_14901_key,0)),$D5)&lt;&gt;"",IF($D5="",INDEX(primary_jama_2019_14901_disposition,MATCH($A5,primary_jama_2019_14901_key,0)),$D5)&lt;&gt;"retain"),NOT(OR(IF($E5="",INDEX(primary_jama_2019_14901_domain,MATCH($A5,primary_jama_2019_14901_key,0)),$E5)="report_internal_inconsistency",IF($E5="",INDEX(primary_jama_2019_14901_domain,MATCH($A5,primary_jama_2019_14901_key,0)),$E5)="plan_material")))</formula>
    </cfRule>
  </conditionalFormatting>
  <conditionalFormatting sqref="K6">
    <cfRule type="expression" priority="45" dxfId="0" stopIfTrue="1">
      <formula>AND(OR(AND(IF($D6="",INDEX(primary_jama_2019_14901_disposition,MATCH($A6,primary_jama_2019_14901_key,0)),$D6)&lt;&gt;"",IF($D6="",INDEX(primary_jama_2019_14901_disposition,MATCH($A6,primary_jama_2019_14901_key,0)),$D6)&lt;&gt;"retain"),NOT(OR(IF($E6="",INDEX(primary_jama_2019_14901_domain,MATCH($A6,primary_jama_2019_14901_key,0)),$E6)="report_internal_inconsistency",IF($E6="",INDEX(primary_jama_2019_14901_domain,MATCH($A6,primary_jama_2019_14901_key,0)),$E6)="plan_material"))),K6&lt;&gt;"",K6&lt;&gt;"not_applicable")</formula>
    </cfRule>
    <cfRule type="expression" priority="46" dxfId="1">
      <formula>OR(AND(IF($D6="",INDEX(primary_jama_2019_14901_disposition,MATCH($A6,primary_jama_2019_14901_key,0)),$D6)&lt;&gt;"",IF($D6="",INDEX(primary_jama_2019_14901_disposition,MATCH($A6,primary_jama_2019_14901_key,0)),$D6)&lt;&gt;"retain"),NOT(OR(IF($E6="",INDEX(primary_jama_2019_14901_domain,MATCH($A6,primary_jama_2019_14901_key,0)),$E6)="report_internal_inconsistency",IF($E6="",INDEX(primary_jama_2019_14901_domain,MATCH($A6,primary_jama_2019_14901_key,0)),$E6)="plan_material")))</formula>
    </cfRule>
  </conditionalFormatting>
  <conditionalFormatting sqref="K7">
    <cfRule type="expression" priority="47" dxfId="0" stopIfTrue="1">
      <formula>AND(OR(AND(IF($D7="",INDEX(primary_jama_2019_14901_disposition,MATCH($A7,primary_jama_2019_14901_key,0)),$D7)&lt;&gt;"",IF($D7="",INDEX(primary_jama_2019_14901_disposition,MATCH($A7,primary_jama_2019_14901_key,0)),$D7)&lt;&gt;"retain"),NOT(OR(IF($E7="",INDEX(primary_jama_2019_14901_domain,MATCH($A7,primary_jama_2019_14901_key,0)),$E7)="report_internal_inconsistency",IF($E7="",INDEX(primary_jama_2019_14901_domain,MATCH($A7,primary_jama_2019_14901_key,0)),$E7)="plan_material"))),K7&lt;&gt;"",K7&lt;&gt;"not_applicable")</formula>
    </cfRule>
    <cfRule type="expression" priority="48" dxfId="1">
      <formula>OR(AND(IF($D7="",INDEX(primary_jama_2019_14901_disposition,MATCH($A7,primary_jama_2019_14901_key,0)),$D7)&lt;&gt;"",IF($D7="",INDEX(primary_jama_2019_14901_disposition,MATCH($A7,primary_jama_2019_14901_key,0)),$D7)&lt;&gt;"retain"),NOT(OR(IF($E7="",INDEX(primary_jama_2019_14901_domain,MATCH($A7,primary_jama_2019_14901_key,0)),$E7)="report_internal_inconsistency",IF($E7="",INDEX(primary_jama_2019_14901_domain,MATCH($A7,primary_jama_2019_14901_key,0)),$E7)="plan_material")))</formula>
    </cfRule>
  </conditionalFormatting>
  <conditionalFormatting sqref="L2">
    <cfRule type="expression" priority="49" dxfId="0" stopIfTrue="1">
      <formula>AND(OR(AND(IF($D2="",INDEX(primary_jama_2019_14901_disposition,MATCH($A2,primary_jama_2019_14901_key,0)),$D2)&lt;&gt;"",IF($D2="",INDEX(primary_jama_2019_14901_disposition,MATCH($A2,primary_jama_2019_14901_key,0)),$D2)&lt;&gt;"retain"),NOT(OR(IF($E2="",INDEX(primary_jama_2019_14901_domain,MATCH($A2,primary_jama_2019_14901_key,0)),$E2)="protocol_report"))),L2&lt;&gt;"",L2&lt;&gt;"not_applicable")</formula>
    </cfRule>
    <cfRule type="expression" priority="50" dxfId="1">
      <formula>OR(AND(IF($D2="",INDEX(primary_jama_2019_14901_disposition,MATCH($A2,primary_jama_2019_14901_key,0)),$D2)&lt;&gt;"",IF($D2="",INDEX(primary_jama_2019_14901_disposition,MATCH($A2,primary_jama_2019_14901_key,0)),$D2)&lt;&gt;"retain"),NOT(OR(IF($E2="",INDEX(primary_jama_2019_14901_domain,MATCH($A2,primary_jama_2019_14901_key,0)),$E2)="protocol_report")))</formula>
    </cfRule>
  </conditionalFormatting>
  <conditionalFormatting sqref="L3">
    <cfRule type="expression" priority="51" dxfId="0" stopIfTrue="1">
      <formula>AND(OR(AND(IF($D3="",INDEX(primary_jama_2019_14901_disposition,MATCH($A3,primary_jama_2019_14901_key,0)),$D3)&lt;&gt;"",IF($D3="",INDEX(primary_jama_2019_14901_disposition,MATCH($A3,primary_jama_2019_14901_key,0)),$D3)&lt;&gt;"retain"),NOT(OR(IF($E3="",INDEX(primary_jama_2019_14901_domain,MATCH($A3,primary_jama_2019_14901_key,0)),$E3)="protocol_report"))),L3&lt;&gt;"",L3&lt;&gt;"not_applicable")</formula>
    </cfRule>
    <cfRule type="expression" priority="52" dxfId="1">
      <formula>OR(AND(IF($D3="",INDEX(primary_jama_2019_14901_disposition,MATCH($A3,primary_jama_2019_14901_key,0)),$D3)&lt;&gt;"",IF($D3="",INDEX(primary_jama_2019_14901_disposition,MATCH($A3,primary_jama_2019_14901_key,0)),$D3)&lt;&gt;"retain"),NOT(OR(IF($E3="",INDEX(primary_jama_2019_14901_domain,MATCH($A3,primary_jama_2019_14901_key,0)),$E3)="protocol_report")))</formula>
    </cfRule>
  </conditionalFormatting>
  <conditionalFormatting sqref="L4">
    <cfRule type="expression" priority="53" dxfId="0" stopIfTrue="1">
      <formula>AND(OR(AND(IF($D4="",INDEX(primary_jama_2019_14901_disposition,MATCH($A4,primary_jama_2019_14901_key,0)),$D4)&lt;&gt;"",IF($D4="",INDEX(primary_jama_2019_14901_disposition,MATCH($A4,primary_jama_2019_14901_key,0)),$D4)&lt;&gt;"retain"),NOT(OR(IF($E4="",INDEX(primary_jama_2019_14901_domain,MATCH($A4,primary_jama_2019_14901_key,0)),$E4)="protocol_report"))),L4&lt;&gt;"",L4&lt;&gt;"not_applicable")</formula>
    </cfRule>
    <cfRule type="expression" priority="54" dxfId="1">
      <formula>OR(AND(IF($D4="",INDEX(primary_jama_2019_14901_disposition,MATCH($A4,primary_jama_2019_14901_key,0)),$D4)&lt;&gt;"",IF($D4="",INDEX(primary_jama_2019_14901_disposition,MATCH($A4,primary_jama_2019_14901_key,0)),$D4)&lt;&gt;"retain"),NOT(OR(IF($E4="",INDEX(primary_jama_2019_14901_domain,MATCH($A4,primary_jama_2019_14901_key,0)),$E4)="protocol_report")))</formula>
    </cfRule>
  </conditionalFormatting>
  <conditionalFormatting sqref="L5">
    <cfRule type="expression" priority="55" dxfId="0" stopIfTrue="1">
      <formula>AND(OR(AND(IF($D5="",INDEX(primary_jama_2019_14901_disposition,MATCH($A5,primary_jama_2019_14901_key,0)),$D5)&lt;&gt;"",IF($D5="",INDEX(primary_jama_2019_14901_disposition,MATCH($A5,primary_jama_2019_14901_key,0)),$D5)&lt;&gt;"retain"),NOT(OR(IF($E5="",INDEX(primary_jama_2019_14901_domain,MATCH($A5,primary_jama_2019_14901_key,0)),$E5)="protocol_report"))),L5&lt;&gt;"",L5&lt;&gt;"not_applicable")</formula>
    </cfRule>
    <cfRule type="expression" priority="56" dxfId="1">
      <formula>OR(AND(IF($D5="",INDEX(primary_jama_2019_14901_disposition,MATCH($A5,primary_jama_2019_14901_key,0)),$D5)&lt;&gt;"",IF($D5="",INDEX(primary_jama_2019_14901_disposition,MATCH($A5,primary_jama_2019_14901_key,0)),$D5)&lt;&gt;"retain"),NOT(OR(IF($E5="",INDEX(primary_jama_2019_14901_domain,MATCH($A5,primary_jama_2019_14901_key,0)),$E5)="protocol_report")))</formula>
    </cfRule>
  </conditionalFormatting>
  <conditionalFormatting sqref="L6">
    <cfRule type="expression" priority="57" dxfId="0" stopIfTrue="1">
      <formula>AND(OR(AND(IF($D6="",INDEX(primary_jama_2019_14901_disposition,MATCH($A6,primary_jama_2019_14901_key,0)),$D6)&lt;&gt;"",IF($D6="",INDEX(primary_jama_2019_14901_disposition,MATCH($A6,primary_jama_2019_14901_key,0)),$D6)&lt;&gt;"retain"),NOT(OR(IF($E6="",INDEX(primary_jama_2019_14901_domain,MATCH($A6,primary_jama_2019_14901_key,0)),$E6)="protocol_report"))),L6&lt;&gt;"",L6&lt;&gt;"not_applicable")</formula>
    </cfRule>
    <cfRule type="expression" priority="58" dxfId="1">
      <formula>OR(AND(IF($D6="",INDEX(primary_jama_2019_14901_disposition,MATCH($A6,primary_jama_2019_14901_key,0)),$D6)&lt;&gt;"",IF($D6="",INDEX(primary_jama_2019_14901_disposition,MATCH($A6,primary_jama_2019_14901_key,0)),$D6)&lt;&gt;"retain"),NOT(OR(IF($E6="",INDEX(primary_jama_2019_14901_domain,MATCH($A6,primary_jama_2019_14901_key,0)),$E6)="protocol_report")))</formula>
    </cfRule>
  </conditionalFormatting>
  <conditionalFormatting sqref="L7">
    <cfRule type="expression" priority="59" dxfId="0" stopIfTrue="1">
      <formula>AND(OR(AND(IF($D7="",INDEX(primary_jama_2019_14901_disposition,MATCH($A7,primary_jama_2019_14901_key,0)),$D7)&lt;&gt;"",IF($D7="",INDEX(primary_jama_2019_14901_disposition,MATCH($A7,primary_jama_2019_14901_key,0)),$D7)&lt;&gt;"retain"),NOT(OR(IF($E7="",INDEX(primary_jama_2019_14901_domain,MATCH($A7,primary_jama_2019_14901_key,0)),$E7)="protocol_report"))),L7&lt;&gt;"",L7&lt;&gt;"not_applicable")</formula>
    </cfRule>
    <cfRule type="expression" priority="60" dxfId="1">
      <formula>OR(AND(IF($D7="",INDEX(primary_jama_2019_14901_disposition,MATCH($A7,primary_jama_2019_14901_key,0)),$D7)&lt;&gt;"",IF($D7="",INDEX(primary_jama_2019_14901_disposition,MATCH($A7,primary_jama_2019_14901_key,0)),$D7)&lt;&gt;"retain"),NOT(OR(IF($E7="",INDEX(primary_jama_2019_14901_domain,MATCH($A7,primary_jama_2019_14901_key,0)),$E7)="protocol_report")))</formula>
    </cfRule>
  </conditionalFormatting>
  <dataValidations count="10">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N2:N7" showDropDown="0" showInputMessage="1" showErrorMessage="1" allowBlank="1" errorTitle="Invalid option" error="Choose a listed value." promptTitle="Checker result" prompt="See Codebook for meanings." type="list" errorStyle="stop">
      <formula1>opt_checkStatus</formula1>
    </dataValidation>
    <dataValidation sqref="P2:P7"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R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2019::jama.2019.17380::C001</t>
        </is>
      </c>
      <c r="B2" s="2" t="inlineStr">
        <is>
          <t>Figure 2 omega-3 eGFR contributor counts conflict with Table 2</t>
        </is>
      </c>
      <c r="C2" s="2" t="inlineStr">
        <is>
          <t>Figure 2 panel B — PDF p. 7; Table 2 — PDF p. 8.</t>
        </is>
      </c>
      <c r="D2" s="8" t="inlineStr"/>
      <c r="E2" s="8" t="inlineStr"/>
      <c r="F2" s="8" t="inlineStr">
        <is>
          <t>no</t>
        </is>
      </c>
      <c r="G2" s="2">
        <f>IF(OR(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H2&lt;&gt;"",H2&lt;&gt;"not_applicable"),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I2&lt;&gt;"",I2&lt;&gt;"not_applicable"),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J2&lt;&gt;"",J2&lt;&gt;"not_applicable"),AND(OR(AND(IF($D2="",INDEX(primary_jama_2019_17380_disposition,MATCH($A2,primary_jama_2019_17380_key,0)),$D2)&lt;&gt;"",IF($D2="",INDEX(primary_jama_2019_17380_disposition,MATCH($A2,primary_jama_2019_17380_key,0)),$D2)&lt;&gt;"retain"),NOT(OR(IF($E2="",INDEX(primary_jama_2019_17380_domain,MATCH($A2,primary_jama_2019_17380_key,0)),$E2)="report_internal_inconsistency",IF($E2="",INDEX(primary_jama_2019_17380_domain,MATCH($A2,primary_jama_2019_17380_key,0)),$E2)="plan_material"))),K2&lt;&gt;"",K2&lt;&gt;"not_applicable"),AND(OR(AND(IF($D2="",INDEX(primary_jama_2019_17380_disposition,MATCH($A2,primary_jama_2019_17380_key,0)),$D2)&lt;&gt;"",IF($D2="",INDEX(primary_jama_2019_17380_disposition,MATCH($A2,primary_jama_2019_17380_key,0)),$D2)&lt;&gt;"retain"),NOT(OR(IF($E2="",INDEX(primary_jama_2019_17380_domain,MATCH($A2,primary_jama_2019_17380_key,0)),$E2)="protocol_report"))),L2&lt;&gt;"",L2&lt;&gt;"not_applicable")),"CLEAR INACTIVE VALUES",IF(N2="","PENDING",IF(AND(N2&lt;&gt;"agree",LEN(TRIM(O2))=0),"COMMENT NEEDED",IF(F2="yes","CHECKED - see resolution","DRAFT"))))</f>
        <v/>
      </c>
      <c r="H2" s="8">
        <f>IF(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not_applicable","")</f>
        <v/>
      </c>
      <c r="I2" s="8">
        <f>IF(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not_applicable","")</f>
        <v/>
      </c>
      <c r="J2" s="9">
        <f>IF(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not_applicable","")</f>
        <v/>
      </c>
      <c r="K2" s="8">
        <f>IF(OR(AND(IF($D2="",INDEX(primary_jama_2019_17380_disposition,MATCH($A2,primary_jama_2019_17380_key,0)),$D2)&lt;&gt;"",IF($D2="",INDEX(primary_jama_2019_17380_disposition,MATCH($A2,primary_jama_2019_17380_key,0)),$D2)&lt;&gt;"retain"),NOT(OR(IF($E2="",INDEX(primary_jama_2019_17380_domain,MATCH($A2,primary_jama_2019_17380_key,0)),$E2)="report_internal_inconsistency",IF($E2="",INDEX(primary_jama_2019_17380_domain,MATCH($A2,primary_jama_2019_17380_key,0)),$E2)="plan_material"))),"not_applicable","")</f>
        <v/>
      </c>
      <c r="L2" s="9">
        <f>IF(OR(AND(IF($D2="",INDEX(primary_jama_2019_17380_disposition,MATCH($A2,primary_jama_2019_17380_key,0)),$D2)&lt;&gt;"",IF($D2="",INDEX(primary_jama_2019_17380_disposition,MATCH($A2,primary_jama_2019_17380_key,0)),$D2)&lt;&gt;"retain"),NOT(OR(IF($E2="",INDEX(primary_jama_2019_17380_domain,MATCH($A2,primary_jama_2019_17380_key,0)),$E2)="protocol_report"))),"not_applicable","")</f>
        <v/>
      </c>
      <c r="M2" s="2" t="inlineStr">
        <is>
          <t>Disposition: exclude
Review domain: report_internal_inconsistency
Notes (optional): SYNTHETIC TEST DATA ONLY. Exclude is a placeholder for testing the checker workflow, not a scientific assessment. Do not use this sample in research results.</t>
        </is>
      </c>
      <c r="N2" s="8" t="inlineStr"/>
      <c r="O2" s="10" t="inlineStr"/>
      <c r="P2" s="8" t="inlineStr">
        <is>
          <t>pending</t>
        </is>
      </c>
      <c r="Q2" s="10" t="inlineStr"/>
      <c r="R2" s="11" t="inlineStr"/>
    </row>
    <row r="3" ht="76" customHeight="1">
      <c r="A3" s="3" t="inlineStr">
        <is>
          <t>2019::jama.2019.17380::C002</t>
        </is>
      </c>
      <c r="B3" s="3" t="inlineStr">
        <is>
          <t>Figure 2 omega-3 urine-ACR contributor counts conflict with eTable 6</t>
        </is>
      </c>
      <c r="C3" s="3" t="inlineStr">
        <is>
          <t>Figure 2 panel D — PDF p. 7; eTable 6 — PDF p. 11.</t>
        </is>
      </c>
      <c r="D3" s="8" t="inlineStr"/>
      <c r="E3" s="8" t="inlineStr"/>
      <c r="F3" s="8" t="inlineStr">
        <is>
          <t>no</t>
        </is>
      </c>
      <c r="G3" s="3">
        <f>IF(OR(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H3&lt;&gt;"",H3&lt;&gt;"not_applicable"),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I3&lt;&gt;"",I3&lt;&gt;"not_applicable"),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J3&lt;&gt;"",J3&lt;&gt;"not_applicable"),AND(OR(AND(IF($D3="",INDEX(primary_jama_2019_17380_disposition,MATCH($A3,primary_jama_2019_17380_key,0)),$D3)&lt;&gt;"",IF($D3="",INDEX(primary_jama_2019_17380_disposition,MATCH($A3,primary_jama_2019_17380_key,0)),$D3)&lt;&gt;"retain"),NOT(OR(IF($E3="",INDEX(primary_jama_2019_17380_domain,MATCH($A3,primary_jama_2019_17380_key,0)),$E3)="report_internal_inconsistency",IF($E3="",INDEX(primary_jama_2019_17380_domain,MATCH($A3,primary_jama_2019_17380_key,0)),$E3)="plan_material"))),K3&lt;&gt;"",K3&lt;&gt;"not_applicable"),AND(OR(AND(IF($D3="",INDEX(primary_jama_2019_17380_disposition,MATCH($A3,primary_jama_2019_17380_key,0)),$D3)&lt;&gt;"",IF($D3="",INDEX(primary_jama_2019_17380_disposition,MATCH($A3,primary_jama_2019_17380_key,0)),$D3)&lt;&gt;"retain"),NOT(OR(IF($E3="",INDEX(primary_jama_2019_17380_domain,MATCH($A3,primary_jama_2019_17380_key,0)),$E3)="protocol_report"))),L3&lt;&gt;"",L3&lt;&gt;"not_applicable")),"CLEAR INACTIVE VALUES",IF(N3="","PENDING",IF(AND(N3&lt;&gt;"agree",LEN(TRIM(O3))=0),"COMMENT NEEDED",IF(F3="yes","CHECKED - see resolution","DRAFT"))))</f>
        <v/>
      </c>
      <c r="H3" s="8">
        <f>IF(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not_applicable","")</f>
        <v/>
      </c>
      <c r="I3" s="8">
        <f>IF(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not_applicable","")</f>
        <v/>
      </c>
      <c r="J3" s="9">
        <f>IF(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not_applicable","")</f>
        <v/>
      </c>
      <c r="K3" s="8">
        <f>IF(OR(AND(IF($D3="",INDEX(primary_jama_2019_17380_disposition,MATCH($A3,primary_jama_2019_17380_key,0)),$D3)&lt;&gt;"",IF($D3="",INDEX(primary_jama_2019_17380_disposition,MATCH($A3,primary_jama_2019_17380_key,0)),$D3)&lt;&gt;"retain"),NOT(OR(IF($E3="",INDEX(primary_jama_2019_17380_domain,MATCH($A3,primary_jama_2019_17380_key,0)),$E3)="report_internal_inconsistency",IF($E3="",INDEX(primary_jama_2019_17380_domain,MATCH($A3,primary_jama_2019_17380_key,0)),$E3)="plan_material"))),"not_applicable","")</f>
        <v/>
      </c>
      <c r="L3" s="9">
        <f>IF(OR(AND(IF($D3="",INDEX(primary_jama_2019_17380_disposition,MATCH($A3,primary_jama_2019_17380_key,0)),$D3)&lt;&gt;"",IF($D3="",INDEX(primary_jama_2019_17380_disposition,MATCH($A3,primary_jama_2019_17380_key,0)),$D3)&lt;&gt;"retain"),NOT(OR(IF($E3="",INDEX(primary_jama_2019_17380_domain,MATCH($A3,primary_jama_2019_17380_key,0)),$E3)="protocol_report"))),"not_applicable","")</f>
        <v/>
      </c>
      <c r="M3" s="3" t="inlineStr">
        <is>
          <t>Disposition: exclude
Review domain: report_internal_inconsistency
Notes (optional): SYNTHETIC TEST DATA ONLY. Exclude is a placeholder for testing the checker workflow, not a scientific assessment. Do not use this sample in research results.</t>
        </is>
      </c>
      <c r="N3" s="8" t="inlineStr"/>
      <c r="O3" s="10" t="inlineStr"/>
      <c r="P3" s="8" t="inlineStr">
        <is>
          <t>pending</t>
        </is>
      </c>
      <c r="Q3" s="10" t="inlineStr"/>
      <c r="R3" s="11" t="inlineStr"/>
    </row>
    <row r="4" ht="76" customHeight="1">
      <c r="A4" s="2" t="inlineStr">
        <is>
          <t>2019::jama.2019.17380::C003</t>
        </is>
      </c>
      <c r="B4" s="2" t="inlineStr">
        <is>
          <t>Figure 3 assigns vitamin-D arm sizes to the opposite column labels</t>
        </is>
      </c>
      <c r="C4" s="2" t="inlineStr">
        <is>
          <t>Abstract — PDF p. 1; Table 2 and Figure 3 — PDF p. 8.</t>
        </is>
      </c>
      <c r="D4" s="8" t="inlineStr"/>
      <c r="E4" s="8" t="inlineStr"/>
      <c r="F4" s="8" t="inlineStr">
        <is>
          <t>no</t>
        </is>
      </c>
      <c r="G4" s="2">
        <f>IF(OR(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H4&lt;&gt;"",H4&lt;&gt;"not_applicable"),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I4&lt;&gt;"",I4&lt;&gt;"not_applicable"),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J4&lt;&gt;"",J4&lt;&gt;"not_applicable"),AND(OR(AND(IF($D4="",INDEX(primary_jama_2019_17380_disposition,MATCH($A4,primary_jama_2019_17380_key,0)),$D4)&lt;&gt;"",IF($D4="",INDEX(primary_jama_2019_17380_disposition,MATCH($A4,primary_jama_2019_17380_key,0)),$D4)&lt;&gt;"retain"),NOT(OR(IF($E4="",INDEX(primary_jama_2019_17380_domain,MATCH($A4,primary_jama_2019_17380_key,0)),$E4)="report_internal_inconsistency",IF($E4="",INDEX(primary_jama_2019_17380_domain,MATCH($A4,primary_jama_2019_17380_key,0)),$E4)="plan_material"))),K4&lt;&gt;"",K4&lt;&gt;"not_applicable"),AND(OR(AND(IF($D4="",INDEX(primary_jama_2019_17380_disposition,MATCH($A4,primary_jama_2019_17380_key,0)),$D4)&lt;&gt;"",IF($D4="",INDEX(primary_jama_2019_17380_disposition,MATCH($A4,primary_jama_2019_17380_key,0)),$D4)&lt;&gt;"retain"),NOT(OR(IF($E4="",INDEX(primary_jama_2019_17380_domain,MATCH($A4,primary_jama_2019_17380_key,0)),$E4)="protocol_report"))),L4&lt;&gt;"",L4&lt;&gt;"not_applicable")),"CLEAR INACTIVE VALUES",IF(N4="","PENDING",IF(AND(N4&lt;&gt;"agree",LEN(TRIM(O4))=0),"COMMENT NEEDED",IF(F4="yes","CHECKED - see resolution","DRAFT"))))</f>
        <v/>
      </c>
      <c r="H4" s="8">
        <f>IF(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not_applicable","")</f>
        <v/>
      </c>
      <c r="I4" s="8">
        <f>IF(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not_applicable","")</f>
        <v/>
      </c>
      <c r="J4" s="9">
        <f>IF(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not_applicable","")</f>
        <v/>
      </c>
      <c r="K4" s="8">
        <f>IF(OR(AND(IF($D4="",INDEX(primary_jama_2019_17380_disposition,MATCH($A4,primary_jama_2019_17380_key,0)),$D4)&lt;&gt;"",IF($D4="",INDEX(primary_jama_2019_17380_disposition,MATCH($A4,primary_jama_2019_17380_key,0)),$D4)&lt;&gt;"retain"),NOT(OR(IF($E4="",INDEX(primary_jama_2019_17380_domain,MATCH($A4,primary_jama_2019_17380_key,0)),$E4)="report_internal_inconsistency",IF($E4="",INDEX(primary_jama_2019_17380_domain,MATCH($A4,primary_jama_2019_17380_key,0)),$E4)="plan_material"))),"not_applicable","")</f>
        <v/>
      </c>
      <c r="L4" s="9">
        <f>IF(OR(AND(IF($D4="",INDEX(primary_jama_2019_17380_disposition,MATCH($A4,primary_jama_2019_17380_key,0)),$D4)&lt;&gt;"",IF($D4="",INDEX(primary_jama_2019_17380_disposition,MATCH($A4,primary_jama_2019_17380_key,0)),$D4)&lt;&gt;"retain"),NOT(OR(IF($E4="",INDEX(primary_jama_2019_17380_domain,MATCH($A4,primary_jama_2019_17380_key,0)),$E4)="protocol_report"))),"not_applicable","")</f>
        <v/>
      </c>
      <c r="M4" s="2" t="inlineStr">
        <is>
          <t>Disposition: exclude
Review domain: report_internal_inconsistency
Notes (optional): SYNTHETIC TEST DATA ONLY. Exclude is a placeholder for testing the checker workflow, not a scientific assessment. Do not use this sample in research results.</t>
        </is>
      </c>
      <c r="N4" s="8" t="inlineStr"/>
      <c r="O4" s="10" t="inlineStr"/>
      <c r="P4" s="8" t="inlineStr">
        <is>
          <t>pending</t>
        </is>
      </c>
      <c r="Q4" s="10" t="inlineStr"/>
      <c r="R4" s="11" t="inlineStr"/>
    </row>
    <row r="5" ht="76" customHeight="1">
      <c r="A5" s="3" t="inlineStr">
        <is>
          <t>2019::jama.2019.17380::C004</t>
        </is>
      </c>
      <c r="B5" s="3" t="inlineStr">
        <is>
          <t>Figure 4 assigns omega-3 arm sizes to the opposite column labels</t>
        </is>
      </c>
      <c r="C5" s="3" t="inlineStr">
        <is>
          <t>Abstract — PDF p. 1; Table 2 — PDF p. 8; Figure 4 — PDF p. 9.</t>
        </is>
      </c>
      <c r="D5" s="8" t="inlineStr"/>
      <c r="E5" s="8" t="inlineStr"/>
      <c r="F5" s="8" t="inlineStr">
        <is>
          <t>no</t>
        </is>
      </c>
      <c r="G5" s="3">
        <f>IF(OR(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H5&lt;&gt;"",H5&lt;&gt;"not_applicable"),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I5&lt;&gt;"",I5&lt;&gt;"not_applicable"),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J5&lt;&gt;"",J5&lt;&gt;"not_applicable"),AND(OR(AND(IF($D5="",INDEX(primary_jama_2019_17380_disposition,MATCH($A5,primary_jama_2019_17380_key,0)),$D5)&lt;&gt;"",IF($D5="",INDEX(primary_jama_2019_17380_disposition,MATCH($A5,primary_jama_2019_17380_key,0)),$D5)&lt;&gt;"retain"),NOT(OR(IF($E5="",INDEX(primary_jama_2019_17380_domain,MATCH($A5,primary_jama_2019_17380_key,0)),$E5)="report_internal_inconsistency",IF($E5="",INDEX(primary_jama_2019_17380_domain,MATCH($A5,primary_jama_2019_17380_key,0)),$E5)="plan_material"))),K5&lt;&gt;"",K5&lt;&gt;"not_applicable"),AND(OR(AND(IF($D5="",INDEX(primary_jama_2019_17380_disposition,MATCH($A5,primary_jama_2019_17380_key,0)),$D5)&lt;&gt;"",IF($D5="",INDEX(primary_jama_2019_17380_disposition,MATCH($A5,primary_jama_2019_17380_key,0)),$D5)&lt;&gt;"retain"),NOT(OR(IF($E5="",INDEX(primary_jama_2019_17380_domain,MATCH($A5,primary_jama_2019_17380_key,0)),$E5)="protocol_report"))),L5&lt;&gt;"",L5&lt;&gt;"not_applicable")),"CLEAR INACTIVE VALUES",IF(N5="","PENDING",IF(AND(N5&lt;&gt;"agree",LEN(TRIM(O5))=0),"COMMENT NEEDED",IF(F5="yes","CHECKED - see resolution","DRAFT"))))</f>
        <v/>
      </c>
      <c r="H5" s="8">
        <f>IF(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not_applicable","")</f>
        <v/>
      </c>
      <c r="I5" s="8">
        <f>IF(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not_applicable","")</f>
        <v/>
      </c>
      <c r="J5" s="9">
        <f>IF(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not_applicable","")</f>
        <v/>
      </c>
      <c r="K5" s="8">
        <f>IF(OR(AND(IF($D5="",INDEX(primary_jama_2019_17380_disposition,MATCH($A5,primary_jama_2019_17380_key,0)),$D5)&lt;&gt;"",IF($D5="",INDEX(primary_jama_2019_17380_disposition,MATCH($A5,primary_jama_2019_17380_key,0)),$D5)&lt;&gt;"retain"),NOT(OR(IF($E5="",INDEX(primary_jama_2019_17380_domain,MATCH($A5,primary_jama_2019_17380_key,0)),$E5)="report_internal_inconsistency",IF($E5="",INDEX(primary_jama_2019_17380_domain,MATCH($A5,primary_jama_2019_17380_key,0)),$E5)="plan_material"))),"not_applicable","")</f>
        <v/>
      </c>
      <c r="L5" s="9">
        <f>IF(OR(AND(IF($D5="",INDEX(primary_jama_2019_17380_disposition,MATCH($A5,primary_jama_2019_17380_key,0)),$D5)&lt;&gt;"",IF($D5="",INDEX(primary_jama_2019_17380_disposition,MATCH($A5,primary_jama_2019_17380_key,0)),$D5)&lt;&gt;"retain"),NOT(OR(IF($E5="",INDEX(primary_jama_2019_17380_domain,MATCH($A5,primary_jama_2019_17380_key,0)),$E5)="protocol_report"))),"not_applicable","")</f>
        <v/>
      </c>
      <c r="M5" s="3" t="inlineStr">
        <is>
          <t>Disposition: exclude
Review domain: report_internal_inconsistency
Notes (optional): SYNTHETIC TEST DATA ONLY. Exclude is a placeholder for testing the checker workflow, not a scientific assessment. Do not use this sample in research results.</t>
        </is>
      </c>
      <c r="N5" s="8" t="inlineStr"/>
      <c r="O5" s="10" t="inlineStr"/>
      <c r="P5" s="8" t="inlineStr">
        <is>
          <t>pending</t>
        </is>
      </c>
      <c r="Q5" s="10" t="inlineStr"/>
      <c r="R5" s="11" t="inlineStr"/>
    </row>
    <row r="6" ht="76" customHeight="1">
      <c r="A6" s="2" t="inlineStr">
        <is>
          <t>2019::jama.2019.17380::C005</t>
        </is>
      </c>
      <c r="B6" s="2" t="inlineStr">
        <is>
          <t>eFigure 2 places vitamin-D participant counts under the opposite headings</t>
        </is>
      </c>
      <c r="C6" s="2" t="inlineStr">
        <is>
          <t>Abstract — PDF p. 1; eTable 6 — PDF p. 11; eFigure 2 — PDF p. 18.</t>
        </is>
      </c>
      <c r="D6" s="8" t="inlineStr"/>
      <c r="E6" s="8" t="inlineStr"/>
      <c r="F6" s="8" t="inlineStr">
        <is>
          <t>no</t>
        </is>
      </c>
      <c r="G6" s="2">
        <f>IF(OR(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H6&lt;&gt;"",H6&lt;&gt;"not_applicable"),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I6&lt;&gt;"",I6&lt;&gt;"not_applicable"),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J6&lt;&gt;"",J6&lt;&gt;"not_applicable"),AND(OR(AND(IF($D6="",INDEX(primary_jama_2019_17380_disposition,MATCH($A6,primary_jama_2019_17380_key,0)),$D6)&lt;&gt;"",IF($D6="",INDEX(primary_jama_2019_17380_disposition,MATCH($A6,primary_jama_2019_17380_key,0)),$D6)&lt;&gt;"retain"),NOT(OR(IF($E6="",INDEX(primary_jama_2019_17380_domain,MATCH($A6,primary_jama_2019_17380_key,0)),$E6)="report_internal_inconsistency",IF($E6="",INDEX(primary_jama_2019_17380_domain,MATCH($A6,primary_jama_2019_17380_key,0)),$E6)="plan_material"))),K6&lt;&gt;"",K6&lt;&gt;"not_applicable"),AND(OR(AND(IF($D6="",INDEX(primary_jama_2019_17380_disposition,MATCH($A6,primary_jama_2019_17380_key,0)),$D6)&lt;&gt;"",IF($D6="",INDEX(primary_jama_2019_17380_disposition,MATCH($A6,primary_jama_2019_17380_key,0)),$D6)&lt;&gt;"retain"),NOT(OR(IF($E6="",INDEX(primary_jama_2019_17380_domain,MATCH($A6,primary_jama_2019_17380_key,0)),$E6)="protocol_report"))),L6&lt;&gt;"",L6&lt;&gt;"not_applicable")),"CLEAR INACTIVE VALUES",IF(N6="","PENDING",IF(AND(N6&lt;&gt;"agree",LEN(TRIM(O6))=0),"COMMENT NEEDED",IF(F6="yes","CHECKED - see resolution","DRAFT"))))</f>
        <v/>
      </c>
      <c r="H6" s="8">
        <f>IF(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not_applicable","")</f>
        <v/>
      </c>
      <c r="I6" s="8">
        <f>IF(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not_applicable","")</f>
        <v/>
      </c>
      <c r="J6" s="9">
        <f>IF(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not_applicable","")</f>
        <v/>
      </c>
      <c r="K6" s="8">
        <f>IF(OR(AND(IF($D6="",INDEX(primary_jama_2019_17380_disposition,MATCH($A6,primary_jama_2019_17380_key,0)),$D6)&lt;&gt;"",IF($D6="",INDEX(primary_jama_2019_17380_disposition,MATCH($A6,primary_jama_2019_17380_key,0)),$D6)&lt;&gt;"retain"),NOT(OR(IF($E6="",INDEX(primary_jama_2019_17380_domain,MATCH($A6,primary_jama_2019_17380_key,0)),$E6)="report_internal_inconsistency",IF($E6="",INDEX(primary_jama_2019_17380_domain,MATCH($A6,primary_jama_2019_17380_key,0)),$E6)="plan_material"))),"not_applicable","")</f>
        <v/>
      </c>
      <c r="L6" s="9">
        <f>IF(OR(AND(IF($D6="",INDEX(primary_jama_2019_17380_disposition,MATCH($A6,primary_jama_2019_17380_key,0)),$D6)&lt;&gt;"",IF($D6="",INDEX(primary_jama_2019_17380_disposition,MATCH($A6,primary_jama_2019_17380_key,0)),$D6)&lt;&gt;"retain"),NOT(OR(IF($E6="",INDEX(primary_jama_2019_17380_domain,MATCH($A6,primary_jama_2019_17380_key,0)),$E6)="protocol_report"))),"not_applicable","")</f>
        <v/>
      </c>
      <c r="M6" s="2" t="inlineStr">
        <is>
          <t>Disposition: exclude
Review domain: report_internal_inconsistency
Notes (optional): SYNTHETIC TEST DATA ONLY. Exclude is a placeholder for testing the checker workflow, not a scientific assessment. Do not use this sample in research results.</t>
        </is>
      </c>
      <c r="N6" s="8" t="inlineStr"/>
      <c r="O6" s="10" t="inlineStr"/>
      <c r="P6" s="8" t="inlineStr">
        <is>
          <t>pending</t>
        </is>
      </c>
      <c r="Q6" s="10" t="inlineStr"/>
      <c r="R6" s="11" t="inlineStr"/>
    </row>
    <row r="7" ht="76" customHeight="1">
      <c r="A7" s="3" t="inlineStr">
        <is>
          <t>2019::jama.2019.17380::C006</t>
        </is>
      </c>
      <c r="B7" s="3" t="inlineStr">
        <is>
          <t>eFigure 3 places omega-3 participant counts under the opposite headings</t>
        </is>
      </c>
      <c r="C7" s="3" t="inlineStr">
        <is>
          <t>Abstract — PDF p. 1; eTable 6 — PDF p. 11; eFigure 3 — PDF p. 19.</t>
        </is>
      </c>
      <c r="D7" s="8" t="inlineStr"/>
      <c r="E7" s="8" t="inlineStr"/>
      <c r="F7" s="8" t="inlineStr">
        <is>
          <t>no</t>
        </is>
      </c>
      <c r="G7" s="3">
        <f>IF(OR(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H7&lt;&gt;"",H7&lt;&gt;"not_applicable"),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I7&lt;&gt;"",I7&lt;&gt;"not_applicable"),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J7&lt;&gt;"",J7&lt;&gt;"not_applicable"),AND(OR(AND(IF($D7="",INDEX(primary_jama_2019_17380_disposition,MATCH($A7,primary_jama_2019_17380_key,0)),$D7)&lt;&gt;"",IF($D7="",INDEX(primary_jama_2019_17380_disposition,MATCH($A7,primary_jama_2019_17380_key,0)),$D7)&lt;&gt;"retain"),NOT(OR(IF($E7="",INDEX(primary_jama_2019_17380_domain,MATCH($A7,primary_jama_2019_17380_key,0)),$E7)="report_internal_inconsistency",IF($E7="",INDEX(primary_jama_2019_17380_domain,MATCH($A7,primary_jama_2019_17380_key,0)),$E7)="plan_material"))),K7&lt;&gt;"",K7&lt;&gt;"not_applicable"),AND(OR(AND(IF($D7="",INDEX(primary_jama_2019_17380_disposition,MATCH($A7,primary_jama_2019_17380_key,0)),$D7)&lt;&gt;"",IF($D7="",INDEX(primary_jama_2019_17380_disposition,MATCH($A7,primary_jama_2019_17380_key,0)),$D7)&lt;&gt;"retain"),NOT(OR(IF($E7="",INDEX(primary_jama_2019_17380_domain,MATCH($A7,primary_jama_2019_17380_key,0)),$E7)="protocol_report"))),L7&lt;&gt;"",L7&lt;&gt;"not_applicable")),"CLEAR INACTIVE VALUES",IF(N7="","PENDING",IF(AND(N7&lt;&gt;"agree",LEN(TRIM(O7))=0),"COMMENT NEEDED",IF(F7="yes","CHECKED - see resolution","DRAFT"))))</f>
        <v/>
      </c>
      <c r="H7" s="8">
        <f>IF(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not_applicable","")</f>
        <v/>
      </c>
      <c r="I7" s="8">
        <f>IF(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not_applicable","")</f>
        <v/>
      </c>
      <c r="J7" s="9">
        <f>IF(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not_applicable","")</f>
        <v/>
      </c>
      <c r="K7" s="8">
        <f>IF(OR(AND(IF($D7="",INDEX(primary_jama_2019_17380_disposition,MATCH($A7,primary_jama_2019_17380_key,0)),$D7)&lt;&gt;"",IF($D7="",INDEX(primary_jama_2019_17380_disposition,MATCH($A7,primary_jama_2019_17380_key,0)),$D7)&lt;&gt;"retain"),NOT(OR(IF($E7="",INDEX(primary_jama_2019_17380_domain,MATCH($A7,primary_jama_2019_17380_key,0)),$E7)="report_internal_inconsistency",IF($E7="",INDEX(primary_jama_2019_17380_domain,MATCH($A7,primary_jama_2019_17380_key,0)),$E7)="plan_material"))),"not_applicable","")</f>
        <v/>
      </c>
      <c r="L7" s="9">
        <f>IF(OR(AND(IF($D7="",INDEX(primary_jama_2019_17380_disposition,MATCH($A7,primary_jama_2019_17380_key,0)),$D7)&lt;&gt;"",IF($D7="",INDEX(primary_jama_2019_17380_disposition,MATCH($A7,primary_jama_2019_17380_key,0)),$D7)&lt;&gt;"retain"),NOT(OR(IF($E7="",INDEX(primary_jama_2019_17380_domain,MATCH($A7,primary_jama_2019_17380_key,0)),$E7)="protocol_report"))),"not_applicable","")</f>
        <v/>
      </c>
      <c r="M7" s="3" t="inlineStr">
        <is>
          <t>Disposition: exclude
Review domain: report_internal_inconsistency
Notes (optional): SYNTHETIC TEST DATA ONLY. Exclude is a placeholder for testing the checker workflow, not a scientific assessment. Do not use this sample in research results.</t>
        </is>
      </c>
      <c r="N7" s="8" t="inlineStr"/>
      <c r="O7" s="10" t="inlineStr"/>
      <c r="P7" s="8" t="inlineStr">
        <is>
          <t>pending</t>
        </is>
      </c>
      <c r="Q7" s="10" t="inlineStr"/>
      <c r="R7" s="11" t="inlineStr"/>
    </row>
    <row r="8" ht="76" customHeight="1">
      <c r="A8" s="2" t="inlineStr">
        <is>
          <t>2019::jama.2019.17380::C007</t>
        </is>
      </c>
      <c r="B8" s="2" t="inlineStr">
        <is>
          <t>Imputation count differs between the analytic-plan addendum and article methods</t>
        </is>
      </c>
      <c r="C8" s="2" t="inlineStr">
        <is>
          <t>Analytic-plan addendum, Section 15c — PDF p. 32; Article Data Analysis — PDF p. 3.</t>
        </is>
      </c>
      <c r="D8" s="8" t="inlineStr"/>
      <c r="E8" s="8" t="inlineStr"/>
      <c r="F8" s="8" t="inlineStr">
        <is>
          <t>no</t>
        </is>
      </c>
      <c r="G8" s="2">
        <f>IF(OR(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H8&lt;&gt;"",H8&lt;&gt;"not_applicable"),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I8&lt;&gt;"",I8&lt;&gt;"not_applicable"),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J8&lt;&gt;"",J8&lt;&gt;"not_applicable"),AND(OR(AND(IF($D8="",INDEX(primary_jama_2019_17380_disposition,MATCH($A8,primary_jama_2019_17380_key,0)),$D8)&lt;&gt;"",IF($D8="",INDEX(primary_jama_2019_17380_disposition,MATCH($A8,primary_jama_2019_17380_key,0)),$D8)&lt;&gt;"retain"),NOT(OR(IF($E8="",INDEX(primary_jama_2019_17380_domain,MATCH($A8,primary_jama_2019_17380_key,0)),$E8)="report_internal_inconsistency",IF($E8="",INDEX(primary_jama_2019_17380_domain,MATCH($A8,primary_jama_2019_17380_key,0)),$E8)="plan_material"))),K8&lt;&gt;"",K8&lt;&gt;"not_applicable"),AND(OR(AND(IF($D8="",INDEX(primary_jama_2019_17380_disposition,MATCH($A8,primary_jama_2019_17380_key,0)),$D8)&lt;&gt;"",IF($D8="",INDEX(primary_jama_2019_17380_disposition,MATCH($A8,primary_jama_2019_17380_key,0)),$D8)&lt;&gt;"retain"),NOT(OR(IF($E8="",INDEX(primary_jama_2019_17380_domain,MATCH($A8,primary_jama_2019_17380_key,0)),$E8)="protocol_report"))),L8&lt;&gt;"",L8&lt;&gt;"not_applicable")),"CLEAR INACTIVE VALUES",IF(N8="","PENDING",IF(AND(N8&lt;&gt;"agree",LEN(TRIM(O8))=0),"COMMENT NEEDED",IF(F8="yes","CHECKED - see resolution","DRAFT"))))</f>
        <v/>
      </c>
      <c r="H8" s="8">
        <f>IF(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not_applicable","")</f>
        <v/>
      </c>
      <c r="I8" s="8">
        <f>IF(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not_applicable","")</f>
        <v/>
      </c>
      <c r="J8" s="9">
        <f>IF(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not_applicable","")</f>
        <v/>
      </c>
      <c r="K8" s="8">
        <f>IF(OR(AND(IF($D8="",INDEX(primary_jama_2019_17380_disposition,MATCH($A8,primary_jama_2019_17380_key,0)),$D8)&lt;&gt;"",IF($D8="",INDEX(primary_jama_2019_17380_disposition,MATCH($A8,primary_jama_2019_17380_key,0)),$D8)&lt;&gt;"retain"),NOT(OR(IF($E8="",INDEX(primary_jama_2019_17380_domain,MATCH($A8,primary_jama_2019_17380_key,0)),$E8)="report_internal_inconsistency",IF($E8="",INDEX(primary_jama_2019_17380_domain,MATCH($A8,primary_jama_2019_17380_key,0)),$E8)="plan_material"))),"not_applicable","")</f>
        <v/>
      </c>
      <c r="L8" s="9">
        <f>IF(OR(AND(IF($D8="",INDEX(primary_jama_2019_17380_disposition,MATCH($A8,primary_jama_2019_17380_key,0)),$D8)&lt;&gt;"",IF($D8="",INDEX(primary_jama_2019_17380_disposition,MATCH($A8,primary_jama_2019_17380_key,0)),$D8)&lt;&gt;"retain"),NOT(OR(IF($E8="",INDEX(primary_jama_2019_17380_domain,MATCH($A8,primary_jama_2019_17380_key,0)),$E8)="protocol_report"))),"not_applicable","")</f>
        <v/>
      </c>
      <c r="M8" s="2" t="inlineStr">
        <is>
          <t>Disposition: exclude
Review domain: protocol_report
Notes (optional): SYNTHETIC TEST DATA ONLY. Exclude is a placeholder for testing the checker workflow, not a scientific assessment. Do not use this sample in research results.</t>
        </is>
      </c>
      <c r="N8" s="8" t="inlineStr"/>
      <c r="O8" s="10" t="inlineStr"/>
      <c r="P8" s="8" t="inlineStr">
        <is>
          <t>pending</t>
        </is>
      </c>
      <c r="Q8" s="10" t="inlineStr"/>
      <c r="R8" s="11" t="inlineStr"/>
    </row>
  </sheetData>
  <sheetProtection selectLockedCells="0" selectUnlockedCells="0" sheet="1" objects="0" insertRows="1" insertHyperlinks="1" autoFilter="0" scenarios="0" formatColumns="1" deleteColumns="1" insertColumns="1" pivotTables="1" deleteRows="1" formatCells="1" formatRows="1" sort="1"/>
  <autoFilter ref="A1:R8"/>
  <conditionalFormatting sqref="H2">
    <cfRule type="expression" priority="1" dxfId="0" stopIfTrue="1">
      <formula>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H2&lt;&gt;"",H2&lt;&gt;"not_applicable")</formula>
    </cfRule>
    <cfRule type="expression" priority="2" dxfId="1">
      <formula>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formula>
    </cfRule>
  </conditionalFormatting>
  <conditionalFormatting sqref="H3">
    <cfRule type="expression" priority="3" dxfId="0" stopIfTrue="1">
      <formula>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H3&lt;&gt;"",H3&lt;&gt;"not_applicable")</formula>
    </cfRule>
    <cfRule type="expression" priority="4" dxfId="1">
      <formula>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formula>
    </cfRule>
  </conditionalFormatting>
  <conditionalFormatting sqref="H4">
    <cfRule type="expression" priority="5" dxfId="0" stopIfTrue="1">
      <formula>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H4&lt;&gt;"",H4&lt;&gt;"not_applicable")</formula>
    </cfRule>
    <cfRule type="expression" priority="6" dxfId="1">
      <formula>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formula>
    </cfRule>
  </conditionalFormatting>
  <conditionalFormatting sqref="H5">
    <cfRule type="expression" priority="7" dxfId="0" stopIfTrue="1">
      <formula>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H5&lt;&gt;"",H5&lt;&gt;"not_applicable")</formula>
    </cfRule>
    <cfRule type="expression" priority="8" dxfId="1">
      <formula>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formula>
    </cfRule>
  </conditionalFormatting>
  <conditionalFormatting sqref="H6">
    <cfRule type="expression" priority="9" dxfId="0" stopIfTrue="1">
      <formula>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H6&lt;&gt;"",H6&lt;&gt;"not_applicable")</formula>
    </cfRule>
    <cfRule type="expression" priority="10" dxfId="1">
      <formula>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formula>
    </cfRule>
  </conditionalFormatting>
  <conditionalFormatting sqref="H7">
    <cfRule type="expression" priority="11" dxfId="0" stopIfTrue="1">
      <formula>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H7&lt;&gt;"",H7&lt;&gt;"not_applicable")</formula>
    </cfRule>
    <cfRule type="expression" priority="12" dxfId="1">
      <formula>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formula>
    </cfRule>
  </conditionalFormatting>
  <conditionalFormatting sqref="H8">
    <cfRule type="expression" priority="13" dxfId="0" stopIfTrue="1">
      <formula>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H8&lt;&gt;"",H8&lt;&gt;"not_applicable")</formula>
    </cfRule>
    <cfRule type="expression" priority="14" dxfId="1">
      <formula>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formula>
    </cfRule>
  </conditionalFormatting>
  <conditionalFormatting sqref="I2">
    <cfRule type="expression" priority="15" dxfId="0" stopIfTrue="1">
      <formula>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I2&lt;&gt;"",I2&lt;&gt;"not_applicable")</formula>
    </cfRule>
    <cfRule type="expression" priority="16" dxfId="1">
      <formula>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formula>
    </cfRule>
  </conditionalFormatting>
  <conditionalFormatting sqref="I3">
    <cfRule type="expression" priority="17" dxfId="0" stopIfTrue="1">
      <formula>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I3&lt;&gt;"",I3&lt;&gt;"not_applicable")</formula>
    </cfRule>
    <cfRule type="expression" priority="18" dxfId="1">
      <formula>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formula>
    </cfRule>
  </conditionalFormatting>
  <conditionalFormatting sqref="I4">
    <cfRule type="expression" priority="19" dxfId="0" stopIfTrue="1">
      <formula>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I4&lt;&gt;"",I4&lt;&gt;"not_applicable")</formula>
    </cfRule>
    <cfRule type="expression" priority="20" dxfId="1">
      <formula>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formula>
    </cfRule>
  </conditionalFormatting>
  <conditionalFormatting sqref="I5">
    <cfRule type="expression" priority="21" dxfId="0" stopIfTrue="1">
      <formula>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I5&lt;&gt;"",I5&lt;&gt;"not_applicable")</formula>
    </cfRule>
    <cfRule type="expression" priority="22" dxfId="1">
      <formula>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formula>
    </cfRule>
  </conditionalFormatting>
  <conditionalFormatting sqref="I6">
    <cfRule type="expression" priority="23" dxfId="0" stopIfTrue="1">
      <formula>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I6&lt;&gt;"",I6&lt;&gt;"not_applicable")</formula>
    </cfRule>
    <cfRule type="expression" priority="24" dxfId="1">
      <formula>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formula>
    </cfRule>
  </conditionalFormatting>
  <conditionalFormatting sqref="I7">
    <cfRule type="expression" priority="25" dxfId="0" stopIfTrue="1">
      <formula>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I7&lt;&gt;"",I7&lt;&gt;"not_applicable")</formula>
    </cfRule>
    <cfRule type="expression" priority="26" dxfId="1">
      <formula>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formula>
    </cfRule>
  </conditionalFormatting>
  <conditionalFormatting sqref="I8">
    <cfRule type="expression" priority="27" dxfId="0" stopIfTrue="1">
      <formula>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I8&lt;&gt;"",I8&lt;&gt;"not_applicable")</formula>
    </cfRule>
    <cfRule type="expression" priority="28" dxfId="1">
      <formula>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formula>
    </cfRule>
  </conditionalFormatting>
  <conditionalFormatting sqref="J2">
    <cfRule type="expression" priority="29" dxfId="0" stopIfTrue="1">
      <formula>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J2&lt;&gt;"",J2&lt;&gt;"not_applicable")</formula>
    </cfRule>
    <cfRule type="expression" priority="30" dxfId="1">
      <formula>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formula>
    </cfRule>
  </conditionalFormatting>
  <conditionalFormatting sqref="J3">
    <cfRule type="expression" priority="31" dxfId="0" stopIfTrue="1">
      <formula>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J3&lt;&gt;"",J3&lt;&gt;"not_applicable")</formula>
    </cfRule>
    <cfRule type="expression" priority="32" dxfId="1">
      <formula>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formula>
    </cfRule>
  </conditionalFormatting>
  <conditionalFormatting sqref="J4">
    <cfRule type="expression" priority="33" dxfId="0" stopIfTrue="1">
      <formula>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J4&lt;&gt;"",J4&lt;&gt;"not_applicable")</formula>
    </cfRule>
    <cfRule type="expression" priority="34" dxfId="1">
      <formula>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formula>
    </cfRule>
  </conditionalFormatting>
  <conditionalFormatting sqref="J5">
    <cfRule type="expression" priority="35" dxfId="0" stopIfTrue="1">
      <formula>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J5&lt;&gt;"",J5&lt;&gt;"not_applicable")</formula>
    </cfRule>
    <cfRule type="expression" priority="36" dxfId="1">
      <formula>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formula>
    </cfRule>
  </conditionalFormatting>
  <conditionalFormatting sqref="J6">
    <cfRule type="expression" priority="37" dxfId="0" stopIfTrue="1">
      <formula>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J6&lt;&gt;"",J6&lt;&gt;"not_applicable")</formula>
    </cfRule>
    <cfRule type="expression" priority="38" dxfId="1">
      <formula>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formula>
    </cfRule>
  </conditionalFormatting>
  <conditionalFormatting sqref="J7">
    <cfRule type="expression" priority="39" dxfId="0" stopIfTrue="1">
      <formula>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J7&lt;&gt;"",J7&lt;&gt;"not_applicable")</formula>
    </cfRule>
    <cfRule type="expression" priority="40" dxfId="1">
      <formula>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formula>
    </cfRule>
  </conditionalFormatting>
  <conditionalFormatting sqref="J8">
    <cfRule type="expression" priority="41" dxfId="0" stopIfTrue="1">
      <formula>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J8&lt;&gt;"",J8&lt;&gt;"not_applicable")</formula>
    </cfRule>
    <cfRule type="expression" priority="42" dxfId="1">
      <formula>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formula>
    </cfRule>
  </conditionalFormatting>
  <conditionalFormatting sqref="K2">
    <cfRule type="expression" priority="43" dxfId="0" stopIfTrue="1">
      <formula>AND(OR(AND(IF($D2="",INDEX(primary_jama_2019_17380_disposition,MATCH($A2,primary_jama_2019_17380_key,0)),$D2)&lt;&gt;"",IF($D2="",INDEX(primary_jama_2019_17380_disposition,MATCH($A2,primary_jama_2019_17380_key,0)),$D2)&lt;&gt;"retain"),NOT(OR(IF($E2="",INDEX(primary_jama_2019_17380_domain,MATCH($A2,primary_jama_2019_17380_key,0)),$E2)="report_internal_inconsistency",IF($E2="",INDEX(primary_jama_2019_17380_domain,MATCH($A2,primary_jama_2019_17380_key,0)),$E2)="plan_material"))),K2&lt;&gt;"",K2&lt;&gt;"not_applicable")</formula>
    </cfRule>
    <cfRule type="expression" priority="44" dxfId="1">
      <formula>OR(AND(IF($D2="",INDEX(primary_jama_2019_17380_disposition,MATCH($A2,primary_jama_2019_17380_key,0)),$D2)&lt;&gt;"",IF($D2="",INDEX(primary_jama_2019_17380_disposition,MATCH($A2,primary_jama_2019_17380_key,0)),$D2)&lt;&gt;"retain"),NOT(OR(IF($E2="",INDEX(primary_jama_2019_17380_domain,MATCH($A2,primary_jama_2019_17380_key,0)),$E2)="report_internal_inconsistency",IF($E2="",INDEX(primary_jama_2019_17380_domain,MATCH($A2,primary_jama_2019_17380_key,0)),$E2)="plan_material")))</formula>
    </cfRule>
  </conditionalFormatting>
  <conditionalFormatting sqref="K3">
    <cfRule type="expression" priority="45" dxfId="0" stopIfTrue="1">
      <formula>AND(OR(AND(IF($D3="",INDEX(primary_jama_2019_17380_disposition,MATCH($A3,primary_jama_2019_17380_key,0)),$D3)&lt;&gt;"",IF($D3="",INDEX(primary_jama_2019_17380_disposition,MATCH($A3,primary_jama_2019_17380_key,0)),$D3)&lt;&gt;"retain"),NOT(OR(IF($E3="",INDEX(primary_jama_2019_17380_domain,MATCH($A3,primary_jama_2019_17380_key,0)),$E3)="report_internal_inconsistency",IF($E3="",INDEX(primary_jama_2019_17380_domain,MATCH($A3,primary_jama_2019_17380_key,0)),$E3)="plan_material"))),K3&lt;&gt;"",K3&lt;&gt;"not_applicable")</formula>
    </cfRule>
    <cfRule type="expression" priority="46" dxfId="1">
      <formula>OR(AND(IF($D3="",INDEX(primary_jama_2019_17380_disposition,MATCH($A3,primary_jama_2019_17380_key,0)),$D3)&lt;&gt;"",IF($D3="",INDEX(primary_jama_2019_17380_disposition,MATCH($A3,primary_jama_2019_17380_key,0)),$D3)&lt;&gt;"retain"),NOT(OR(IF($E3="",INDEX(primary_jama_2019_17380_domain,MATCH($A3,primary_jama_2019_17380_key,0)),$E3)="report_internal_inconsistency",IF($E3="",INDEX(primary_jama_2019_17380_domain,MATCH($A3,primary_jama_2019_17380_key,0)),$E3)="plan_material")))</formula>
    </cfRule>
  </conditionalFormatting>
  <conditionalFormatting sqref="K4">
    <cfRule type="expression" priority="47" dxfId="0" stopIfTrue="1">
      <formula>AND(OR(AND(IF($D4="",INDEX(primary_jama_2019_17380_disposition,MATCH($A4,primary_jama_2019_17380_key,0)),$D4)&lt;&gt;"",IF($D4="",INDEX(primary_jama_2019_17380_disposition,MATCH($A4,primary_jama_2019_17380_key,0)),$D4)&lt;&gt;"retain"),NOT(OR(IF($E4="",INDEX(primary_jama_2019_17380_domain,MATCH($A4,primary_jama_2019_17380_key,0)),$E4)="report_internal_inconsistency",IF($E4="",INDEX(primary_jama_2019_17380_domain,MATCH($A4,primary_jama_2019_17380_key,0)),$E4)="plan_material"))),K4&lt;&gt;"",K4&lt;&gt;"not_applicable")</formula>
    </cfRule>
    <cfRule type="expression" priority="48" dxfId="1">
      <formula>OR(AND(IF($D4="",INDEX(primary_jama_2019_17380_disposition,MATCH($A4,primary_jama_2019_17380_key,0)),$D4)&lt;&gt;"",IF($D4="",INDEX(primary_jama_2019_17380_disposition,MATCH($A4,primary_jama_2019_17380_key,0)),$D4)&lt;&gt;"retain"),NOT(OR(IF($E4="",INDEX(primary_jama_2019_17380_domain,MATCH($A4,primary_jama_2019_17380_key,0)),$E4)="report_internal_inconsistency",IF($E4="",INDEX(primary_jama_2019_17380_domain,MATCH($A4,primary_jama_2019_17380_key,0)),$E4)="plan_material")))</formula>
    </cfRule>
  </conditionalFormatting>
  <conditionalFormatting sqref="K5">
    <cfRule type="expression" priority="49" dxfId="0" stopIfTrue="1">
      <formula>AND(OR(AND(IF($D5="",INDEX(primary_jama_2019_17380_disposition,MATCH($A5,primary_jama_2019_17380_key,0)),$D5)&lt;&gt;"",IF($D5="",INDEX(primary_jama_2019_17380_disposition,MATCH($A5,primary_jama_2019_17380_key,0)),$D5)&lt;&gt;"retain"),NOT(OR(IF($E5="",INDEX(primary_jama_2019_17380_domain,MATCH($A5,primary_jama_2019_17380_key,0)),$E5)="report_internal_inconsistency",IF($E5="",INDEX(primary_jama_2019_17380_domain,MATCH($A5,primary_jama_2019_17380_key,0)),$E5)="plan_material"))),K5&lt;&gt;"",K5&lt;&gt;"not_applicable")</formula>
    </cfRule>
    <cfRule type="expression" priority="50" dxfId="1">
      <formula>OR(AND(IF($D5="",INDEX(primary_jama_2019_17380_disposition,MATCH($A5,primary_jama_2019_17380_key,0)),$D5)&lt;&gt;"",IF($D5="",INDEX(primary_jama_2019_17380_disposition,MATCH($A5,primary_jama_2019_17380_key,0)),$D5)&lt;&gt;"retain"),NOT(OR(IF($E5="",INDEX(primary_jama_2019_17380_domain,MATCH($A5,primary_jama_2019_17380_key,0)),$E5)="report_internal_inconsistency",IF($E5="",INDEX(primary_jama_2019_17380_domain,MATCH($A5,primary_jama_2019_17380_key,0)),$E5)="plan_material")))</formula>
    </cfRule>
  </conditionalFormatting>
  <conditionalFormatting sqref="K6">
    <cfRule type="expression" priority="51" dxfId="0" stopIfTrue="1">
      <formula>AND(OR(AND(IF($D6="",INDEX(primary_jama_2019_17380_disposition,MATCH($A6,primary_jama_2019_17380_key,0)),$D6)&lt;&gt;"",IF($D6="",INDEX(primary_jama_2019_17380_disposition,MATCH($A6,primary_jama_2019_17380_key,0)),$D6)&lt;&gt;"retain"),NOT(OR(IF($E6="",INDEX(primary_jama_2019_17380_domain,MATCH($A6,primary_jama_2019_17380_key,0)),$E6)="report_internal_inconsistency",IF($E6="",INDEX(primary_jama_2019_17380_domain,MATCH($A6,primary_jama_2019_17380_key,0)),$E6)="plan_material"))),K6&lt;&gt;"",K6&lt;&gt;"not_applicable")</formula>
    </cfRule>
    <cfRule type="expression" priority="52" dxfId="1">
      <formula>OR(AND(IF($D6="",INDEX(primary_jama_2019_17380_disposition,MATCH($A6,primary_jama_2019_17380_key,0)),$D6)&lt;&gt;"",IF($D6="",INDEX(primary_jama_2019_17380_disposition,MATCH($A6,primary_jama_2019_17380_key,0)),$D6)&lt;&gt;"retain"),NOT(OR(IF($E6="",INDEX(primary_jama_2019_17380_domain,MATCH($A6,primary_jama_2019_17380_key,0)),$E6)="report_internal_inconsistency",IF($E6="",INDEX(primary_jama_2019_17380_domain,MATCH($A6,primary_jama_2019_17380_key,0)),$E6)="plan_material")))</formula>
    </cfRule>
  </conditionalFormatting>
  <conditionalFormatting sqref="K7">
    <cfRule type="expression" priority="53" dxfId="0" stopIfTrue="1">
      <formula>AND(OR(AND(IF($D7="",INDEX(primary_jama_2019_17380_disposition,MATCH($A7,primary_jama_2019_17380_key,0)),$D7)&lt;&gt;"",IF($D7="",INDEX(primary_jama_2019_17380_disposition,MATCH($A7,primary_jama_2019_17380_key,0)),$D7)&lt;&gt;"retain"),NOT(OR(IF($E7="",INDEX(primary_jama_2019_17380_domain,MATCH($A7,primary_jama_2019_17380_key,0)),$E7)="report_internal_inconsistency",IF($E7="",INDEX(primary_jama_2019_17380_domain,MATCH($A7,primary_jama_2019_17380_key,0)),$E7)="plan_material"))),K7&lt;&gt;"",K7&lt;&gt;"not_applicable")</formula>
    </cfRule>
    <cfRule type="expression" priority="54" dxfId="1">
      <formula>OR(AND(IF($D7="",INDEX(primary_jama_2019_17380_disposition,MATCH($A7,primary_jama_2019_17380_key,0)),$D7)&lt;&gt;"",IF($D7="",INDEX(primary_jama_2019_17380_disposition,MATCH($A7,primary_jama_2019_17380_key,0)),$D7)&lt;&gt;"retain"),NOT(OR(IF($E7="",INDEX(primary_jama_2019_17380_domain,MATCH($A7,primary_jama_2019_17380_key,0)),$E7)="report_internal_inconsistency",IF($E7="",INDEX(primary_jama_2019_17380_domain,MATCH($A7,primary_jama_2019_17380_key,0)),$E7)="plan_material")))</formula>
    </cfRule>
  </conditionalFormatting>
  <conditionalFormatting sqref="K8">
    <cfRule type="expression" priority="55" dxfId="0" stopIfTrue="1">
      <formula>AND(OR(AND(IF($D8="",INDEX(primary_jama_2019_17380_disposition,MATCH($A8,primary_jama_2019_17380_key,0)),$D8)&lt;&gt;"",IF($D8="",INDEX(primary_jama_2019_17380_disposition,MATCH($A8,primary_jama_2019_17380_key,0)),$D8)&lt;&gt;"retain"),NOT(OR(IF($E8="",INDEX(primary_jama_2019_17380_domain,MATCH($A8,primary_jama_2019_17380_key,0)),$E8)="report_internal_inconsistency",IF($E8="",INDEX(primary_jama_2019_17380_domain,MATCH($A8,primary_jama_2019_17380_key,0)),$E8)="plan_material"))),K8&lt;&gt;"",K8&lt;&gt;"not_applicable")</formula>
    </cfRule>
    <cfRule type="expression" priority="56" dxfId="1">
      <formula>OR(AND(IF($D8="",INDEX(primary_jama_2019_17380_disposition,MATCH($A8,primary_jama_2019_17380_key,0)),$D8)&lt;&gt;"",IF($D8="",INDEX(primary_jama_2019_17380_disposition,MATCH($A8,primary_jama_2019_17380_key,0)),$D8)&lt;&gt;"retain"),NOT(OR(IF($E8="",INDEX(primary_jama_2019_17380_domain,MATCH($A8,primary_jama_2019_17380_key,0)),$E8)="report_internal_inconsistency",IF($E8="",INDEX(primary_jama_2019_17380_domain,MATCH($A8,primary_jama_2019_17380_key,0)),$E8)="plan_material")))</formula>
    </cfRule>
  </conditionalFormatting>
  <conditionalFormatting sqref="L2">
    <cfRule type="expression" priority="57" dxfId="0" stopIfTrue="1">
      <formula>AND(OR(AND(IF($D2="",INDEX(primary_jama_2019_17380_disposition,MATCH($A2,primary_jama_2019_17380_key,0)),$D2)&lt;&gt;"",IF($D2="",INDEX(primary_jama_2019_17380_disposition,MATCH($A2,primary_jama_2019_17380_key,0)),$D2)&lt;&gt;"retain"),NOT(OR(IF($E2="",INDEX(primary_jama_2019_17380_domain,MATCH($A2,primary_jama_2019_17380_key,0)),$E2)="protocol_report"))),L2&lt;&gt;"",L2&lt;&gt;"not_applicable")</formula>
    </cfRule>
    <cfRule type="expression" priority="58" dxfId="1">
      <formula>OR(AND(IF($D2="",INDEX(primary_jama_2019_17380_disposition,MATCH($A2,primary_jama_2019_17380_key,0)),$D2)&lt;&gt;"",IF($D2="",INDEX(primary_jama_2019_17380_disposition,MATCH($A2,primary_jama_2019_17380_key,0)),$D2)&lt;&gt;"retain"),NOT(OR(IF($E2="",INDEX(primary_jama_2019_17380_domain,MATCH($A2,primary_jama_2019_17380_key,0)),$E2)="protocol_report")))</formula>
    </cfRule>
  </conditionalFormatting>
  <conditionalFormatting sqref="L3">
    <cfRule type="expression" priority="59" dxfId="0" stopIfTrue="1">
      <formula>AND(OR(AND(IF($D3="",INDEX(primary_jama_2019_17380_disposition,MATCH($A3,primary_jama_2019_17380_key,0)),$D3)&lt;&gt;"",IF($D3="",INDEX(primary_jama_2019_17380_disposition,MATCH($A3,primary_jama_2019_17380_key,0)),$D3)&lt;&gt;"retain"),NOT(OR(IF($E3="",INDEX(primary_jama_2019_17380_domain,MATCH($A3,primary_jama_2019_17380_key,0)),$E3)="protocol_report"))),L3&lt;&gt;"",L3&lt;&gt;"not_applicable")</formula>
    </cfRule>
    <cfRule type="expression" priority="60" dxfId="1">
      <formula>OR(AND(IF($D3="",INDEX(primary_jama_2019_17380_disposition,MATCH($A3,primary_jama_2019_17380_key,0)),$D3)&lt;&gt;"",IF($D3="",INDEX(primary_jama_2019_17380_disposition,MATCH($A3,primary_jama_2019_17380_key,0)),$D3)&lt;&gt;"retain"),NOT(OR(IF($E3="",INDEX(primary_jama_2019_17380_domain,MATCH($A3,primary_jama_2019_17380_key,0)),$E3)="protocol_report")))</formula>
    </cfRule>
  </conditionalFormatting>
  <conditionalFormatting sqref="L4">
    <cfRule type="expression" priority="61" dxfId="0" stopIfTrue="1">
      <formula>AND(OR(AND(IF($D4="",INDEX(primary_jama_2019_17380_disposition,MATCH($A4,primary_jama_2019_17380_key,0)),$D4)&lt;&gt;"",IF($D4="",INDEX(primary_jama_2019_17380_disposition,MATCH($A4,primary_jama_2019_17380_key,0)),$D4)&lt;&gt;"retain"),NOT(OR(IF($E4="",INDEX(primary_jama_2019_17380_domain,MATCH($A4,primary_jama_2019_17380_key,0)),$E4)="protocol_report"))),L4&lt;&gt;"",L4&lt;&gt;"not_applicable")</formula>
    </cfRule>
    <cfRule type="expression" priority="62" dxfId="1">
      <formula>OR(AND(IF($D4="",INDEX(primary_jama_2019_17380_disposition,MATCH($A4,primary_jama_2019_17380_key,0)),$D4)&lt;&gt;"",IF($D4="",INDEX(primary_jama_2019_17380_disposition,MATCH($A4,primary_jama_2019_17380_key,0)),$D4)&lt;&gt;"retain"),NOT(OR(IF($E4="",INDEX(primary_jama_2019_17380_domain,MATCH($A4,primary_jama_2019_17380_key,0)),$E4)="protocol_report")))</formula>
    </cfRule>
  </conditionalFormatting>
  <conditionalFormatting sqref="L5">
    <cfRule type="expression" priority="63" dxfId="0" stopIfTrue="1">
      <formula>AND(OR(AND(IF($D5="",INDEX(primary_jama_2019_17380_disposition,MATCH($A5,primary_jama_2019_17380_key,0)),$D5)&lt;&gt;"",IF($D5="",INDEX(primary_jama_2019_17380_disposition,MATCH($A5,primary_jama_2019_17380_key,0)),$D5)&lt;&gt;"retain"),NOT(OR(IF($E5="",INDEX(primary_jama_2019_17380_domain,MATCH($A5,primary_jama_2019_17380_key,0)),$E5)="protocol_report"))),L5&lt;&gt;"",L5&lt;&gt;"not_applicable")</formula>
    </cfRule>
    <cfRule type="expression" priority="64" dxfId="1">
      <formula>OR(AND(IF($D5="",INDEX(primary_jama_2019_17380_disposition,MATCH($A5,primary_jama_2019_17380_key,0)),$D5)&lt;&gt;"",IF($D5="",INDEX(primary_jama_2019_17380_disposition,MATCH($A5,primary_jama_2019_17380_key,0)),$D5)&lt;&gt;"retain"),NOT(OR(IF($E5="",INDEX(primary_jama_2019_17380_domain,MATCH($A5,primary_jama_2019_17380_key,0)),$E5)="protocol_report")))</formula>
    </cfRule>
  </conditionalFormatting>
  <conditionalFormatting sqref="L6">
    <cfRule type="expression" priority="65" dxfId="0" stopIfTrue="1">
      <formula>AND(OR(AND(IF($D6="",INDEX(primary_jama_2019_17380_disposition,MATCH($A6,primary_jama_2019_17380_key,0)),$D6)&lt;&gt;"",IF($D6="",INDEX(primary_jama_2019_17380_disposition,MATCH($A6,primary_jama_2019_17380_key,0)),$D6)&lt;&gt;"retain"),NOT(OR(IF($E6="",INDEX(primary_jama_2019_17380_domain,MATCH($A6,primary_jama_2019_17380_key,0)),$E6)="protocol_report"))),L6&lt;&gt;"",L6&lt;&gt;"not_applicable")</formula>
    </cfRule>
    <cfRule type="expression" priority="66" dxfId="1">
      <formula>OR(AND(IF($D6="",INDEX(primary_jama_2019_17380_disposition,MATCH($A6,primary_jama_2019_17380_key,0)),$D6)&lt;&gt;"",IF($D6="",INDEX(primary_jama_2019_17380_disposition,MATCH($A6,primary_jama_2019_17380_key,0)),$D6)&lt;&gt;"retain"),NOT(OR(IF($E6="",INDEX(primary_jama_2019_17380_domain,MATCH($A6,primary_jama_2019_17380_key,0)),$E6)="protocol_report")))</formula>
    </cfRule>
  </conditionalFormatting>
  <conditionalFormatting sqref="L7">
    <cfRule type="expression" priority="67" dxfId="0" stopIfTrue="1">
      <formula>AND(OR(AND(IF($D7="",INDEX(primary_jama_2019_17380_disposition,MATCH($A7,primary_jama_2019_17380_key,0)),$D7)&lt;&gt;"",IF($D7="",INDEX(primary_jama_2019_17380_disposition,MATCH($A7,primary_jama_2019_17380_key,0)),$D7)&lt;&gt;"retain"),NOT(OR(IF($E7="",INDEX(primary_jama_2019_17380_domain,MATCH($A7,primary_jama_2019_17380_key,0)),$E7)="protocol_report"))),L7&lt;&gt;"",L7&lt;&gt;"not_applicable")</formula>
    </cfRule>
    <cfRule type="expression" priority="68" dxfId="1">
      <formula>OR(AND(IF($D7="",INDEX(primary_jama_2019_17380_disposition,MATCH($A7,primary_jama_2019_17380_key,0)),$D7)&lt;&gt;"",IF($D7="",INDEX(primary_jama_2019_17380_disposition,MATCH($A7,primary_jama_2019_17380_key,0)),$D7)&lt;&gt;"retain"),NOT(OR(IF($E7="",INDEX(primary_jama_2019_17380_domain,MATCH($A7,primary_jama_2019_17380_key,0)),$E7)="protocol_report")))</formula>
    </cfRule>
  </conditionalFormatting>
  <conditionalFormatting sqref="L8">
    <cfRule type="expression" priority="69" dxfId="0" stopIfTrue="1">
      <formula>AND(OR(AND(IF($D8="",INDEX(primary_jama_2019_17380_disposition,MATCH($A8,primary_jama_2019_17380_key,0)),$D8)&lt;&gt;"",IF($D8="",INDEX(primary_jama_2019_17380_disposition,MATCH($A8,primary_jama_2019_17380_key,0)),$D8)&lt;&gt;"retain"),NOT(OR(IF($E8="",INDEX(primary_jama_2019_17380_domain,MATCH($A8,primary_jama_2019_17380_key,0)),$E8)="protocol_report"))),L8&lt;&gt;"",L8&lt;&gt;"not_applicable")</formula>
    </cfRule>
    <cfRule type="expression" priority="70" dxfId="1">
      <formula>OR(AND(IF($D8="",INDEX(primary_jama_2019_17380_disposition,MATCH($A8,primary_jama_2019_17380_key,0)),$D8)&lt;&gt;"",IF($D8="",INDEX(primary_jama_2019_17380_disposition,MATCH($A8,primary_jama_2019_17380_key,0)),$D8)&lt;&gt;"retain"),NOT(OR(IF($E8="",INDEX(primary_jama_2019_17380_domain,MATCH($A8,primary_jama_2019_17380_key,0)),$E8)="protocol_report")))</formula>
    </cfRule>
  </conditionalFormatting>
  <dataValidations count="10">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N2:N8" showDropDown="0" showInputMessage="1" showErrorMessage="1" allowBlank="1" errorTitle="Invalid option" error="Choose a listed value." promptTitle="Checker result" prompt="See Codebook for meanings." type="list" errorStyle="stop">
      <formula1>opt_checkStatus</formula1>
    </dataValidation>
    <dataValidation sqref="P2:P8"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R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2019::jama.2019.2210::C001</t>
        </is>
      </c>
      <c r="B2" s="2" t="inlineStr">
        <is>
          <t>Table 1 SNP percentages use unlabelled, variable available-case denominators</t>
        </is>
      </c>
      <c r="C2" s="2" t="inlineStr">
        <is>
          <t>main article — PDF p. 5; Supplement 2 — PDF p. 7, p. 13, and p. 27.</t>
        </is>
      </c>
      <c r="D2" s="8" t="inlineStr"/>
      <c r="E2" s="8" t="inlineStr"/>
      <c r="F2" s="8" t="inlineStr">
        <is>
          <t>no</t>
        </is>
      </c>
      <c r="G2" s="2">
        <f>IF(OR(AND(OR(AND(IF($D2="",INDEX(primary_jama_2019_2210_disposition,MATCH($A2,primary_jama_2019_2210_key,0)),$D2)&lt;&gt;"",IF($D2="",INDEX(primary_jama_2019_2210_disposition,MATCH($A2,primary_jama_2019_2210_key,0)),$D2)&lt;&gt;"retain"),NOT(OR(IF($E2="",INDEX(primary_jama_2019_2210_domain,MATCH($A2,primary_jama_2019_2210_key,0)),$E2)="statistical_results"))),H2&lt;&gt;"",H2&lt;&gt;"not_applicable"),AND(OR(AND(IF($D2="",INDEX(primary_jama_2019_2210_disposition,MATCH($A2,primary_jama_2019_2210_key,0)),$D2)&lt;&gt;"",IF($D2="",INDEX(primary_jama_2019_2210_disposition,MATCH($A2,primary_jama_2019_2210_key,0)),$D2)&lt;&gt;"retain"),NOT(OR(IF($E2="",INDEX(primary_jama_2019_2210_domain,MATCH($A2,primary_jama_2019_2210_key,0)),$E2)="statistical_results"))),I2&lt;&gt;"",I2&lt;&gt;"not_applicable"),AND(OR(AND(IF($D2="",INDEX(primary_jama_2019_2210_disposition,MATCH($A2,primary_jama_2019_2210_key,0)),$D2)&lt;&gt;"",IF($D2="",INDEX(primary_jama_2019_2210_disposition,MATCH($A2,primary_jama_2019_2210_key,0)),$D2)&lt;&gt;"retain"),NOT(OR(IF($E2="",INDEX(primary_jama_2019_2210_domain,MATCH($A2,primary_jama_2019_2210_key,0)),$E2)="statistical_results"))),J2&lt;&gt;"",J2&lt;&gt;"not_applicable"),AND(OR(AND(IF($D2="",INDEX(primary_jama_2019_2210_disposition,MATCH($A2,primary_jama_2019_2210_key,0)),$D2)&lt;&gt;"",IF($D2="",INDEX(primary_jama_2019_2210_disposition,MATCH($A2,primary_jama_2019_2210_key,0)),$D2)&lt;&gt;"retain"),NOT(OR(IF($E2="",INDEX(primary_jama_2019_2210_domain,MATCH($A2,primary_jama_2019_2210_key,0)),$E2)="report_internal_inconsistency",IF($E2="",INDEX(primary_jama_2019_2210_domain,MATCH($A2,primary_jama_2019_2210_key,0)),$E2)="plan_material"))),K2&lt;&gt;"",K2&lt;&gt;"not_applicable"),AND(OR(AND(IF($D2="",INDEX(primary_jama_2019_2210_disposition,MATCH($A2,primary_jama_2019_2210_key,0)),$D2)&lt;&gt;"",IF($D2="",INDEX(primary_jama_2019_2210_disposition,MATCH($A2,primary_jama_2019_2210_key,0)),$D2)&lt;&gt;"retain"),NOT(OR(IF($E2="",INDEX(primary_jama_2019_2210_domain,MATCH($A2,primary_jama_2019_2210_key,0)),$E2)="protocol_report"))),L2&lt;&gt;"",L2&lt;&gt;"not_applicable")),"CLEAR INACTIVE VALUES",IF(N2="","PENDING",IF(AND(N2&lt;&gt;"agree",LEN(TRIM(O2))=0),"COMMENT NEEDED",IF(F2="yes","CHECKED - see resolution","DRAFT"))))</f>
        <v/>
      </c>
      <c r="H2" s="8">
        <f>IF(OR(AND(IF($D2="",INDEX(primary_jama_2019_2210_disposition,MATCH($A2,primary_jama_2019_2210_key,0)),$D2)&lt;&gt;"",IF($D2="",INDEX(primary_jama_2019_2210_disposition,MATCH($A2,primary_jama_2019_2210_key,0)),$D2)&lt;&gt;"retain"),NOT(OR(IF($E2="",INDEX(primary_jama_2019_2210_domain,MATCH($A2,primary_jama_2019_2210_key,0)),$E2)="statistical_results"))),"not_applicable","")</f>
        <v/>
      </c>
      <c r="I2" s="8">
        <f>IF(OR(AND(IF($D2="",INDEX(primary_jama_2019_2210_disposition,MATCH($A2,primary_jama_2019_2210_key,0)),$D2)&lt;&gt;"",IF($D2="",INDEX(primary_jama_2019_2210_disposition,MATCH($A2,primary_jama_2019_2210_key,0)),$D2)&lt;&gt;"retain"),NOT(OR(IF($E2="",INDEX(primary_jama_2019_2210_domain,MATCH($A2,primary_jama_2019_2210_key,0)),$E2)="statistical_results"))),"not_applicable","")</f>
        <v/>
      </c>
      <c r="J2" s="9">
        <f>IF(OR(AND(IF($D2="",INDEX(primary_jama_2019_2210_disposition,MATCH($A2,primary_jama_2019_2210_key,0)),$D2)&lt;&gt;"",IF($D2="",INDEX(primary_jama_2019_2210_disposition,MATCH($A2,primary_jama_2019_2210_key,0)),$D2)&lt;&gt;"retain"),NOT(OR(IF($E2="",INDEX(primary_jama_2019_2210_domain,MATCH($A2,primary_jama_2019_2210_key,0)),$E2)="statistical_results"))),"not_applicable","")</f>
        <v/>
      </c>
      <c r="K2" s="8">
        <f>IF(OR(AND(IF($D2="",INDEX(primary_jama_2019_2210_disposition,MATCH($A2,primary_jama_2019_2210_key,0)),$D2)&lt;&gt;"",IF($D2="",INDEX(primary_jama_2019_2210_disposition,MATCH($A2,primary_jama_2019_2210_key,0)),$D2)&lt;&gt;"retain"),NOT(OR(IF($E2="",INDEX(primary_jama_2019_2210_domain,MATCH($A2,primary_jama_2019_2210_key,0)),$E2)="report_internal_inconsistency",IF($E2="",INDEX(primary_jama_2019_2210_domain,MATCH($A2,primary_jama_2019_2210_key,0)),$E2)="plan_material"))),"not_applicable","")</f>
        <v/>
      </c>
      <c r="L2" s="9">
        <f>IF(OR(AND(IF($D2="",INDEX(primary_jama_2019_2210_disposition,MATCH($A2,primary_jama_2019_2210_key,0)),$D2)&lt;&gt;"",IF($D2="",INDEX(primary_jama_2019_2210_disposition,MATCH($A2,primary_jama_2019_2210_key,0)),$D2)&lt;&gt;"retain"),NOT(OR(IF($E2="",INDEX(primary_jama_2019_2210_domain,MATCH($A2,primary_jama_2019_2210_key,0)),$E2)="protocol_report"))),"not_applicable","")</f>
        <v/>
      </c>
      <c r="M2" s="2" t="inlineStr">
        <is>
          <t>Disposition: exclude
Review domain: statistical_results
Notes (optional): SYNTHETIC TEST DATA ONLY. Exclude is a placeholder for testing the checker workflow, not a scientific assessment. Do not use this sample in research results.</t>
        </is>
      </c>
      <c r="N2" s="8" t="inlineStr"/>
      <c r="O2" s="10" t="inlineStr"/>
      <c r="P2" s="8" t="inlineStr">
        <is>
          <t>pending</t>
        </is>
      </c>
      <c r="Q2" s="10" t="inlineStr"/>
      <c r="R2" s="11" t="inlineStr"/>
    </row>
    <row r="3" ht="76" customHeight="1">
      <c r="A3" s="3" t="inlineStr">
        <is>
          <t>2019::jama.2019.2210::C002</t>
        </is>
      </c>
      <c r="B3" s="3" t="inlineStr">
        <is>
          <t>Figure 3 caption says panel-C risk numbers are absent although the panel prints them</t>
        </is>
      </c>
      <c r="C3" s="3" t="inlineStr">
        <is>
          <t>main article — PDF p. 7.</t>
        </is>
      </c>
      <c r="D3" s="8" t="inlineStr"/>
      <c r="E3" s="8" t="inlineStr"/>
      <c r="F3" s="8" t="inlineStr">
        <is>
          <t>no</t>
        </is>
      </c>
      <c r="G3" s="3">
        <f>IF(OR(AND(OR(AND(IF($D3="",INDEX(primary_jama_2019_2210_disposition,MATCH($A3,primary_jama_2019_2210_key,0)),$D3)&lt;&gt;"",IF($D3="",INDEX(primary_jama_2019_2210_disposition,MATCH($A3,primary_jama_2019_2210_key,0)),$D3)&lt;&gt;"retain"),NOT(OR(IF($E3="",INDEX(primary_jama_2019_2210_domain,MATCH($A3,primary_jama_2019_2210_key,0)),$E3)="statistical_results"))),H3&lt;&gt;"",H3&lt;&gt;"not_applicable"),AND(OR(AND(IF($D3="",INDEX(primary_jama_2019_2210_disposition,MATCH($A3,primary_jama_2019_2210_key,0)),$D3)&lt;&gt;"",IF($D3="",INDEX(primary_jama_2019_2210_disposition,MATCH($A3,primary_jama_2019_2210_key,0)),$D3)&lt;&gt;"retain"),NOT(OR(IF($E3="",INDEX(primary_jama_2019_2210_domain,MATCH($A3,primary_jama_2019_2210_key,0)),$E3)="statistical_results"))),I3&lt;&gt;"",I3&lt;&gt;"not_applicable"),AND(OR(AND(IF($D3="",INDEX(primary_jama_2019_2210_disposition,MATCH($A3,primary_jama_2019_2210_key,0)),$D3)&lt;&gt;"",IF($D3="",INDEX(primary_jama_2019_2210_disposition,MATCH($A3,primary_jama_2019_2210_key,0)),$D3)&lt;&gt;"retain"),NOT(OR(IF($E3="",INDEX(primary_jama_2019_2210_domain,MATCH($A3,primary_jama_2019_2210_key,0)),$E3)="statistical_results"))),J3&lt;&gt;"",J3&lt;&gt;"not_applicable"),AND(OR(AND(IF($D3="",INDEX(primary_jama_2019_2210_disposition,MATCH($A3,primary_jama_2019_2210_key,0)),$D3)&lt;&gt;"",IF($D3="",INDEX(primary_jama_2019_2210_disposition,MATCH($A3,primary_jama_2019_2210_key,0)),$D3)&lt;&gt;"retain"),NOT(OR(IF($E3="",INDEX(primary_jama_2019_2210_domain,MATCH($A3,primary_jama_2019_2210_key,0)),$E3)="report_internal_inconsistency",IF($E3="",INDEX(primary_jama_2019_2210_domain,MATCH($A3,primary_jama_2019_2210_key,0)),$E3)="plan_material"))),K3&lt;&gt;"",K3&lt;&gt;"not_applicable"),AND(OR(AND(IF($D3="",INDEX(primary_jama_2019_2210_disposition,MATCH($A3,primary_jama_2019_2210_key,0)),$D3)&lt;&gt;"",IF($D3="",INDEX(primary_jama_2019_2210_disposition,MATCH($A3,primary_jama_2019_2210_key,0)),$D3)&lt;&gt;"retain"),NOT(OR(IF($E3="",INDEX(primary_jama_2019_2210_domain,MATCH($A3,primary_jama_2019_2210_key,0)),$E3)="protocol_report"))),L3&lt;&gt;"",L3&lt;&gt;"not_applicable")),"CLEAR INACTIVE VALUES",IF(N3="","PENDING",IF(AND(N3&lt;&gt;"agree",LEN(TRIM(O3))=0),"COMMENT NEEDED",IF(F3="yes","CHECKED - see resolution","DRAFT"))))</f>
        <v/>
      </c>
      <c r="H3" s="8">
        <f>IF(OR(AND(IF($D3="",INDEX(primary_jama_2019_2210_disposition,MATCH($A3,primary_jama_2019_2210_key,0)),$D3)&lt;&gt;"",IF($D3="",INDEX(primary_jama_2019_2210_disposition,MATCH($A3,primary_jama_2019_2210_key,0)),$D3)&lt;&gt;"retain"),NOT(OR(IF($E3="",INDEX(primary_jama_2019_2210_domain,MATCH($A3,primary_jama_2019_2210_key,0)),$E3)="statistical_results"))),"not_applicable","")</f>
        <v/>
      </c>
      <c r="I3" s="8">
        <f>IF(OR(AND(IF($D3="",INDEX(primary_jama_2019_2210_disposition,MATCH($A3,primary_jama_2019_2210_key,0)),$D3)&lt;&gt;"",IF($D3="",INDEX(primary_jama_2019_2210_disposition,MATCH($A3,primary_jama_2019_2210_key,0)),$D3)&lt;&gt;"retain"),NOT(OR(IF($E3="",INDEX(primary_jama_2019_2210_domain,MATCH($A3,primary_jama_2019_2210_key,0)),$E3)="statistical_results"))),"not_applicable","")</f>
        <v/>
      </c>
      <c r="J3" s="9">
        <f>IF(OR(AND(IF($D3="",INDEX(primary_jama_2019_2210_disposition,MATCH($A3,primary_jama_2019_2210_key,0)),$D3)&lt;&gt;"",IF($D3="",INDEX(primary_jama_2019_2210_disposition,MATCH($A3,primary_jama_2019_2210_key,0)),$D3)&lt;&gt;"retain"),NOT(OR(IF($E3="",INDEX(primary_jama_2019_2210_domain,MATCH($A3,primary_jama_2019_2210_key,0)),$E3)="statistical_results"))),"not_applicable","")</f>
        <v/>
      </c>
      <c r="K3" s="8">
        <f>IF(OR(AND(IF($D3="",INDEX(primary_jama_2019_2210_disposition,MATCH($A3,primary_jama_2019_2210_key,0)),$D3)&lt;&gt;"",IF($D3="",INDEX(primary_jama_2019_2210_disposition,MATCH($A3,primary_jama_2019_2210_key,0)),$D3)&lt;&gt;"retain"),NOT(OR(IF($E3="",INDEX(primary_jama_2019_2210_domain,MATCH($A3,primary_jama_2019_2210_key,0)),$E3)="report_internal_inconsistency",IF($E3="",INDEX(primary_jama_2019_2210_domain,MATCH($A3,primary_jama_2019_2210_key,0)),$E3)="plan_material"))),"not_applicable","")</f>
        <v/>
      </c>
      <c r="L3" s="9">
        <f>IF(OR(AND(IF($D3="",INDEX(primary_jama_2019_2210_disposition,MATCH($A3,primary_jama_2019_2210_key,0)),$D3)&lt;&gt;"",IF($D3="",INDEX(primary_jama_2019_2210_disposition,MATCH($A3,primary_jama_2019_2210_key,0)),$D3)&lt;&gt;"retain"),NOT(OR(IF($E3="",INDEX(primary_jama_2019_2210_domain,MATCH($A3,primary_jama_2019_2210_key,0)),$E3)="protocol_report"))),"not_applicable","")</f>
        <v/>
      </c>
      <c r="M3" s="3" t="inlineStr">
        <is>
          <t>Disposition: exclude
Review domain: statistical_results
Notes (optional): SYNTHETIC TEST DATA ONLY. Exclude is a placeholder for testing the checker workflow, not a scientific assessment. Do not use this sample in research results.</t>
        </is>
      </c>
      <c r="N3" s="8" t="inlineStr"/>
      <c r="O3" s="10" t="inlineStr"/>
      <c r="P3" s="8" t="inlineStr">
        <is>
          <t>pending</t>
        </is>
      </c>
      <c r="Q3" s="10" t="inlineStr"/>
      <c r="R3" s="11" t="inlineStr"/>
    </row>
    <row r="4" ht="76" customHeight="1">
      <c r="A4" s="2" t="inlineStr">
        <is>
          <t>2019::jama.2019.2210::C003</t>
        </is>
      </c>
      <c r="B4" s="2" t="inlineStr">
        <is>
          <t>Final protocol gives different accrual stopping thresholds</t>
        </is>
      </c>
      <c r="C4" s="2" t="inlineStr">
        <is>
          <t>Supplement 1 — PDF p. 18 and Supplement 1 — PDF p. 31.</t>
        </is>
      </c>
      <c r="D4" s="8" t="inlineStr"/>
      <c r="E4" s="8" t="inlineStr"/>
      <c r="F4" s="8" t="inlineStr">
        <is>
          <t>no</t>
        </is>
      </c>
      <c r="G4" s="2">
        <f>IF(OR(AND(OR(AND(IF($D4="",INDEX(primary_jama_2019_2210_disposition,MATCH($A4,primary_jama_2019_2210_key,0)),$D4)&lt;&gt;"",IF($D4="",INDEX(primary_jama_2019_2210_disposition,MATCH($A4,primary_jama_2019_2210_key,0)),$D4)&lt;&gt;"retain"),NOT(OR(IF($E4="",INDEX(primary_jama_2019_2210_domain,MATCH($A4,primary_jama_2019_2210_key,0)),$E4)="statistical_results"))),H4&lt;&gt;"",H4&lt;&gt;"not_applicable"),AND(OR(AND(IF($D4="",INDEX(primary_jama_2019_2210_disposition,MATCH($A4,primary_jama_2019_2210_key,0)),$D4)&lt;&gt;"",IF($D4="",INDEX(primary_jama_2019_2210_disposition,MATCH($A4,primary_jama_2019_2210_key,0)),$D4)&lt;&gt;"retain"),NOT(OR(IF($E4="",INDEX(primary_jama_2019_2210_domain,MATCH($A4,primary_jama_2019_2210_key,0)),$E4)="statistical_results"))),I4&lt;&gt;"",I4&lt;&gt;"not_applicable"),AND(OR(AND(IF($D4="",INDEX(primary_jama_2019_2210_disposition,MATCH($A4,primary_jama_2019_2210_key,0)),$D4)&lt;&gt;"",IF($D4="",INDEX(primary_jama_2019_2210_disposition,MATCH($A4,primary_jama_2019_2210_key,0)),$D4)&lt;&gt;"retain"),NOT(OR(IF($E4="",INDEX(primary_jama_2019_2210_domain,MATCH($A4,primary_jama_2019_2210_key,0)),$E4)="statistical_results"))),J4&lt;&gt;"",J4&lt;&gt;"not_applicable"),AND(OR(AND(IF($D4="",INDEX(primary_jama_2019_2210_disposition,MATCH($A4,primary_jama_2019_2210_key,0)),$D4)&lt;&gt;"",IF($D4="",INDEX(primary_jama_2019_2210_disposition,MATCH($A4,primary_jama_2019_2210_key,0)),$D4)&lt;&gt;"retain"),NOT(OR(IF($E4="",INDEX(primary_jama_2019_2210_domain,MATCH($A4,primary_jama_2019_2210_key,0)),$E4)="report_internal_inconsistency",IF($E4="",INDEX(primary_jama_2019_2210_domain,MATCH($A4,primary_jama_2019_2210_key,0)),$E4)="plan_material"))),K4&lt;&gt;"",K4&lt;&gt;"not_applicable"),AND(OR(AND(IF($D4="",INDEX(primary_jama_2019_2210_disposition,MATCH($A4,primary_jama_2019_2210_key,0)),$D4)&lt;&gt;"",IF($D4="",INDEX(primary_jama_2019_2210_disposition,MATCH($A4,primary_jama_2019_2210_key,0)),$D4)&lt;&gt;"retain"),NOT(OR(IF($E4="",INDEX(primary_jama_2019_2210_domain,MATCH($A4,primary_jama_2019_2210_key,0)),$E4)="protocol_report"))),L4&lt;&gt;"",L4&lt;&gt;"not_applicable")),"CLEAR INACTIVE VALUES",IF(N4="","PENDING",IF(AND(N4&lt;&gt;"agree",LEN(TRIM(O4))=0),"COMMENT NEEDED",IF(F4="yes","CHECKED - see resolution","DRAFT"))))</f>
        <v/>
      </c>
      <c r="H4" s="8">
        <f>IF(OR(AND(IF($D4="",INDEX(primary_jama_2019_2210_disposition,MATCH($A4,primary_jama_2019_2210_key,0)),$D4)&lt;&gt;"",IF($D4="",INDEX(primary_jama_2019_2210_disposition,MATCH($A4,primary_jama_2019_2210_key,0)),$D4)&lt;&gt;"retain"),NOT(OR(IF($E4="",INDEX(primary_jama_2019_2210_domain,MATCH($A4,primary_jama_2019_2210_key,0)),$E4)="statistical_results"))),"not_applicable","")</f>
        <v/>
      </c>
      <c r="I4" s="8">
        <f>IF(OR(AND(IF($D4="",INDEX(primary_jama_2019_2210_disposition,MATCH($A4,primary_jama_2019_2210_key,0)),$D4)&lt;&gt;"",IF($D4="",INDEX(primary_jama_2019_2210_disposition,MATCH($A4,primary_jama_2019_2210_key,0)),$D4)&lt;&gt;"retain"),NOT(OR(IF($E4="",INDEX(primary_jama_2019_2210_domain,MATCH($A4,primary_jama_2019_2210_key,0)),$E4)="statistical_results"))),"not_applicable","")</f>
        <v/>
      </c>
      <c r="J4" s="9">
        <f>IF(OR(AND(IF($D4="",INDEX(primary_jama_2019_2210_disposition,MATCH($A4,primary_jama_2019_2210_key,0)),$D4)&lt;&gt;"",IF($D4="",INDEX(primary_jama_2019_2210_disposition,MATCH($A4,primary_jama_2019_2210_key,0)),$D4)&lt;&gt;"retain"),NOT(OR(IF($E4="",INDEX(primary_jama_2019_2210_domain,MATCH($A4,primary_jama_2019_2210_key,0)),$E4)="statistical_results"))),"not_applicable","")</f>
        <v/>
      </c>
      <c r="K4" s="8">
        <f>IF(OR(AND(IF($D4="",INDEX(primary_jama_2019_2210_disposition,MATCH($A4,primary_jama_2019_2210_key,0)),$D4)&lt;&gt;"",IF($D4="",INDEX(primary_jama_2019_2210_disposition,MATCH($A4,primary_jama_2019_2210_key,0)),$D4)&lt;&gt;"retain"),NOT(OR(IF($E4="",INDEX(primary_jama_2019_2210_domain,MATCH($A4,primary_jama_2019_2210_key,0)),$E4)="report_internal_inconsistency",IF($E4="",INDEX(primary_jama_2019_2210_domain,MATCH($A4,primary_jama_2019_2210_key,0)),$E4)="plan_material"))),"not_applicable","")</f>
        <v/>
      </c>
      <c r="L4" s="9">
        <f>IF(OR(AND(IF($D4="",INDEX(primary_jama_2019_2210_disposition,MATCH($A4,primary_jama_2019_2210_key,0)),$D4)&lt;&gt;"",IF($D4="",INDEX(primary_jama_2019_2210_disposition,MATCH($A4,primary_jama_2019_2210_key,0)),$D4)&lt;&gt;"retain"),NOT(OR(IF($E4="",INDEX(primary_jama_2019_2210_domain,MATCH($A4,primary_jama_2019_2210_key,0)),$E4)="protocol_report"))),"not_applicable","")</f>
        <v/>
      </c>
      <c r="M4" s="2" t="inlineStr">
        <is>
          <t>Disposition: exclude
Review domain: plan_material
Notes (optional): SYNTHETIC TEST DATA ONLY. Exclude is a placeholder for testing the checker workflow, not a scientific assessment. Do not use this sample in research results.</t>
        </is>
      </c>
      <c r="N4" s="8" t="inlineStr"/>
      <c r="O4" s="10" t="inlineStr"/>
      <c r="P4" s="8" t="inlineStr">
        <is>
          <t>pending</t>
        </is>
      </c>
      <c r="Q4" s="10" t="inlineStr"/>
      <c r="R4" s="11" t="inlineStr"/>
    </row>
    <row r="5" ht="76" customHeight="1">
      <c r="A5" s="3" t="inlineStr">
        <is>
          <t>2019::jama.2019.2210::C004</t>
        </is>
      </c>
      <c r="B5" s="3" t="inlineStr">
        <is>
          <t>Final protocol assigns de novo cancer incompatible endpoint labels</t>
        </is>
      </c>
      <c r="C5" s="3" t="inlineStr">
        <is>
          <t>Supplement 1 — PDF p. 19, p. 25, p. 26, and p. 45; main article — PDF p. 8.</t>
        </is>
      </c>
      <c r="D5" s="8" t="inlineStr"/>
      <c r="E5" s="8" t="inlineStr"/>
      <c r="F5" s="8" t="inlineStr">
        <is>
          <t>no</t>
        </is>
      </c>
      <c r="G5" s="3">
        <f>IF(OR(AND(OR(AND(IF($D5="",INDEX(primary_jama_2019_2210_disposition,MATCH($A5,primary_jama_2019_2210_key,0)),$D5)&lt;&gt;"",IF($D5="",INDEX(primary_jama_2019_2210_disposition,MATCH($A5,primary_jama_2019_2210_key,0)),$D5)&lt;&gt;"retain"),NOT(OR(IF($E5="",INDEX(primary_jama_2019_2210_domain,MATCH($A5,primary_jama_2019_2210_key,0)),$E5)="statistical_results"))),H5&lt;&gt;"",H5&lt;&gt;"not_applicable"),AND(OR(AND(IF($D5="",INDEX(primary_jama_2019_2210_disposition,MATCH($A5,primary_jama_2019_2210_key,0)),$D5)&lt;&gt;"",IF($D5="",INDEX(primary_jama_2019_2210_disposition,MATCH($A5,primary_jama_2019_2210_key,0)),$D5)&lt;&gt;"retain"),NOT(OR(IF($E5="",INDEX(primary_jama_2019_2210_domain,MATCH($A5,primary_jama_2019_2210_key,0)),$E5)="statistical_results"))),I5&lt;&gt;"",I5&lt;&gt;"not_applicable"),AND(OR(AND(IF($D5="",INDEX(primary_jama_2019_2210_disposition,MATCH($A5,primary_jama_2019_2210_key,0)),$D5)&lt;&gt;"",IF($D5="",INDEX(primary_jama_2019_2210_disposition,MATCH($A5,primary_jama_2019_2210_key,0)),$D5)&lt;&gt;"retain"),NOT(OR(IF($E5="",INDEX(primary_jama_2019_2210_domain,MATCH($A5,primary_jama_2019_2210_key,0)),$E5)="statistical_results"))),J5&lt;&gt;"",J5&lt;&gt;"not_applicable"),AND(OR(AND(IF($D5="",INDEX(primary_jama_2019_2210_disposition,MATCH($A5,primary_jama_2019_2210_key,0)),$D5)&lt;&gt;"",IF($D5="",INDEX(primary_jama_2019_2210_disposition,MATCH($A5,primary_jama_2019_2210_key,0)),$D5)&lt;&gt;"retain"),NOT(OR(IF($E5="",INDEX(primary_jama_2019_2210_domain,MATCH($A5,primary_jama_2019_2210_key,0)),$E5)="report_internal_inconsistency",IF($E5="",INDEX(primary_jama_2019_2210_domain,MATCH($A5,primary_jama_2019_2210_key,0)),$E5)="plan_material"))),K5&lt;&gt;"",K5&lt;&gt;"not_applicable"),AND(OR(AND(IF($D5="",INDEX(primary_jama_2019_2210_disposition,MATCH($A5,primary_jama_2019_2210_key,0)),$D5)&lt;&gt;"",IF($D5="",INDEX(primary_jama_2019_2210_disposition,MATCH($A5,primary_jama_2019_2210_key,0)),$D5)&lt;&gt;"retain"),NOT(OR(IF($E5="",INDEX(primary_jama_2019_2210_domain,MATCH($A5,primary_jama_2019_2210_key,0)),$E5)="protocol_report"))),L5&lt;&gt;"",L5&lt;&gt;"not_applicable")),"CLEAR INACTIVE VALUES",IF(N5="","PENDING",IF(AND(N5&lt;&gt;"agree",LEN(TRIM(O5))=0),"COMMENT NEEDED",IF(F5="yes","CHECKED - see resolution","DRAFT"))))</f>
        <v/>
      </c>
      <c r="H5" s="8">
        <f>IF(OR(AND(IF($D5="",INDEX(primary_jama_2019_2210_disposition,MATCH($A5,primary_jama_2019_2210_key,0)),$D5)&lt;&gt;"",IF($D5="",INDEX(primary_jama_2019_2210_disposition,MATCH($A5,primary_jama_2019_2210_key,0)),$D5)&lt;&gt;"retain"),NOT(OR(IF($E5="",INDEX(primary_jama_2019_2210_domain,MATCH($A5,primary_jama_2019_2210_key,0)),$E5)="statistical_results"))),"not_applicable","")</f>
        <v/>
      </c>
      <c r="I5" s="8">
        <f>IF(OR(AND(IF($D5="",INDEX(primary_jama_2019_2210_disposition,MATCH($A5,primary_jama_2019_2210_key,0)),$D5)&lt;&gt;"",IF($D5="",INDEX(primary_jama_2019_2210_disposition,MATCH($A5,primary_jama_2019_2210_key,0)),$D5)&lt;&gt;"retain"),NOT(OR(IF($E5="",INDEX(primary_jama_2019_2210_domain,MATCH($A5,primary_jama_2019_2210_key,0)),$E5)="statistical_results"))),"not_applicable","")</f>
        <v/>
      </c>
      <c r="J5" s="9">
        <f>IF(OR(AND(IF($D5="",INDEX(primary_jama_2019_2210_disposition,MATCH($A5,primary_jama_2019_2210_key,0)),$D5)&lt;&gt;"",IF($D5="",INDEX(primary_jama_2019_2210_disposition,MATCH($A5,primary_jama_2019_2210_key,0)),$D5)&lt;&gt;"retain"),NOT(OR(IF($E5="",INDEX(primary_jama_2019_2210_domain,MATCH($A5,primary_jama_2019_2210_key,0)),$E5)="statistical_results"))),"not_applicable","")</f>
        <v/>
      </c>
      <c r="K5" s="8">
        <f>IF(OR(AND(IF($D5="",INDEX(primary_jama_2019_2210_disposition,MATCH($A5,primary_jama_2019_2210_key,0)),$D5)&lt;&gt;"",IF($D5="",INDEX(primary_jama_2019_2210_disposition,MATCH($A5,primary_jama_2019_2210_key,0)),$D5)&lt;&gt;"retain"),NOT(OR(IF($E5="",INDEX(primary_jama_2019_2210_domain,MATCH($A5,primary_jama_2019_2210_key,0)),$E5)="report_internal_inconsistency",IF($E5="",INDEX(primary_jama_2019_2210_domain,MATCH($A5,primary_jama_2019_2210_key,0)),$E5)="plan_material"))),"not_applicable","")</f>
        <v/>
      </c>
      <c r="L5" s="9">
        <f>IF(OR(AND(IF($D5="",INDEX(primary_jama_2019_2210_disposition,MATCH($A5,primary_jama_2019_2210_key,0)),$D5)&lt;&gt;"",IF($D5="",INDEX(primary_jama_2019_2210_disposition,MATCH($A5,primary_jama_2019_2210_key,0)),$D5)&lt;&gt;"retain"),NOT(OR(IF($E5="",INDEX(primary_jama_2019_2210_domain,MATCH($A5,primary_jama_2019_2210_key,0)),$E5)="protocol_report"))),"not_applicable","")</f>
        <v/>
      </c>
      <c r="M5" s="3" t="inlineStr">
        <is>
          <t>Disposition: exclude
Review domain: protocol_report
Notes (optional): SYNTHETIC TEST DATA ONLY. Exclude is a placeholder for testing the checker workflow, not a scientific assessment. Do not use this sample in research results.</t>
        </is>
      </c>
      <c r="N5" s="8" t="inlineStr"/>
      <c r="O5" s="10" t="inlineStr"/>
      <c r="P5" s="8" t="inlineStr">
        <is>
          <t>pending</t>
        </is>
      </c>
      <c r="Q5" s="10" t="inlineStr"/>
      <c r="R5" s="11" t="inlineStr"/>
    </row>
    <row r="6" ht="76" customHeight="1">
      <c r="A6" s="2" t="inlineStr">
        <is>
          <t>2019::jama.2019.2210::C005</t>
        </is>
      </c>
      <c r="B6" s="2" t="inlineStr">
        <is>
          <t>One final-protocol high-25(OH)D stratum label omits the boundary operator</t>
        </is>
      </c>
      <c r="C6" s="2" t="inlineStr">
        <is>
          <t>Supplement 1 — PDF p. 23 and p. 31; main article — PDF p. 3.</t>
        </is>
      </c>
      <c r="D6" s="8" t="inlineStr"/>
      <c r="E6" s="8" t="inlineStr"/>
      <c r="F6" s="8" t="inlineStr">
        <is>
          <t>no</t>
        </is>
      </c>
      <c r="G6" s="2">
        <f>IF(OR(AND(OR(AND(IF($D6="",INDEX(primary_jama_2019_2210_disposition,MATCH($A6,primary_jama_2019_2210_key,0)),$D6)&lt;&gt;"",IF($D6="",INDEX(primary_jama_2019_2210_disposition,MATCH($A6,primary_jama_2019_2210_key,0)),$D6)&lt;&gt;"retain"),NOT(OR(IF($E6="",INDEX(primary_jama_2019_2210_domain,MATCH($A6,primary_jama_2019_2210_key,0)),$E6)="statistical_results"))),H6&lt;&gt;"",H6&lt;&gt;"not_applicable"),AND(OR(AND(IF($D6="",INDEX(primary_jama_2019_2210_disposition,MATCH($A6,primary_jama_2019_2210_key,0)),$D6)&lt;&gt;"",IF($D6="",INDEX(primary_jama_2019_2210_disposition,MATCH($A6,primary_jama_2019_2210_key,0)),$D6)&lt;&gt;"retain"),NOT(OR(IF($E6="",INDEX(primary_jama_2019_2210_domain,MATCH($A6,primary_jama_2019_2210_key,0)),$E6)="statistical_results"))),I6&lt;&gt;"",I6&lt;&gt;"not_applicable"),AND(OR(AND(IF($D6="",INDEX(primary_jama_2019_2210_disposition,MATCH($A6,primary_jama_2019_2210_key,0)),$D6)&lt;&gt;"",IF($D6="",INDEX(primary_jama_2019_2210_disposition,MATCH($A6,primary_jama_2019_2210_key,0)),$D6)&lt;&gt;"retain"),NOT(OR(IF($E6="",INDEX(primary_jama_2019_2210_domain,MATCH($A6,primary_jama_2019_2210_key,0)),$E6)="statistical_results"))),J6&lt;&gt;"",J6&lt;&gt;"not_applicable"),AND(OR(AND(IF($D6="",INDEX(primary_jama_2019_2210_disposition,MATCH($A6,primary_jama_2019_2210_key,0)),$D6)&lt;&gt;"",IF($D6="",INDEX(primary_jama_2019_2210_disposition,MATCH($A6,primary_jama_2019_2210_key,0)),$D6)&lt;&gt;"retain"),NOT(OR(IF($E6="",INDEX(primary_jama_2019_2210_domain,MATCH($A6,primary_jama_2019_2210_key,0)),$E6)="report_internal_inconsistency",IF($E6="",INDEX(primary_jama_2019_2210_domain,MATCH($A6,primary_jama_2019_2210_key,0)),$E6)="plan_material"))),K6&lt;&gt;"",K6&lt;&gt;"not_applicable"),AND(OR(AND(IF($D6="",INDEX(primary_jama_2019_2210_disposition,MATCH($A6,primary_jama_2019_2210_key,0)),$D6)&lt;&gt;"",IF($D6="",INDEX(primary_jama_2019_2210_disposition,MATCH($A6,primary_jama_2019_2210_key,0)),$D6)&lt;&gt;"retain"),NOT(OR(IF($E6="",INDEX(primary_jama_2019_2210_domain,MATCH($A6,primary_jama_2019_2210_key,0)),$E6)="protocol_report"))),L6&lt;&gt;"",L6&lt;&gt;"not_applicable")),"CLEAR INACTIVE VALUES",IF(N6="","PENDING",IF(AND(N6&lt;&gt;"agree",LEN(TRIM(O6))=0),"COMMENT NEEDED",IF(F6="yes","CHECKED - see resolution","DRAFT"))))</f>
        <v/>
      </c>
      <c r="H6" s="8">
        <f>IF(OR(AND(IF($D6="",INDEX(primary_jama_2019_2210_disposition,MATCH($A6,primary_jama_2019_2210_key,0)),$D6)&lt;&gt;"",IF($D6="",INDEX(primary_jama_2019_2210_disposition,MATCH($A6,primary_jama_2019_2210_key,0)),$D6)&lt;&gt;"retain"),NOT(OR(IF($E6="",INDEX(primary_jama_2019_2210_domain,MATCH($A6,primary_jama_2019_2210_key,0)),$E6)="statistical_results"))),"not_applicable","")</f>
        <v/>
      </c>
      <c r="I6" s="8">
        <f>IF(OR(AND(IF($D6="",INDEX(primary_jama_2019_2210_disposition,MATCH($A6,primary_jama_2019_2210_key,0)),$D6)&lt;&gt;"",IF($D6="",INDEX(primary_jama_2019_2210_disposition,MATCH($A6,primary_jama_2019_2210_key,0)),$D6)&lt;&gt;"retain"),NOT(OR(IF($E6="",INDEX(primary_jama_2019_2210_domain,MATCH($A6,primary_jama_2019_2210_key,0)),$E6)="statistical_results"))),"not_applicable","")</f>
        <v/>
      </c>
      <c r="J6" s="9">
        <f>IF(OR(AND(IF($D6="",INDEX(primary_jama_2019_2210_disposition,MATCH($A6,primary_jama_2019_2210_key,0)),$D6)&lt;&gt;"",IF($D6="",INDEX(primary_jama_2019_2210_disposition,MATCH($A6,primary_jama_2019_2210_key,0)),$D6)&lt;&gt;"retain"),NOT(OR(IF($E6="",INDEX(primary_jama_2019_2210_domain,MATCH($A6,primary_jama_2019_2210_key,0)),$E6)="statistical_results"))),"not_applicable","")</f>
        <v/>
      </c>
      <c r="K6" s="8">
        <f>IF(OR(AND(IF($D6="",INDEX(primary_jama_2019_2210_disposition,MATCH($A6,primary_jama_2019_2210_key,0)),$D6)&lt;&gt;"",IF($D6="",INDEX(primary_jama_2019_2210_disposition,MATCH($A6,primary_jama_2019_2210_key,0)),$D6)&lt;&gt;"retain"),NOT(OR(IF($E6="",INDEX(primary_jama_2019_2210_domain,MATCH($A6,primary_jama_2019_2210_key,0)),$E6)="report_internal_inconsistency",IF($E6="",INDEX(primary_jama_2019_2210_domain,MATCH($A6,primary_jama_2019_2210_key,0)),$E6)="plan_material"))),"not_applicable","")</f>
        <v/>
      </c>
      <c r="L6" s="9">
        <f>IF(OR(AND(IF($D6="",INDEX(primary_jama_2019_2210_disposition,MATCH($A6,primary_jama_2019_2210_key,0)),$D6)&lt;&gt;"",IF($D6="",INDEX(primary_jama_2019_2210_disposition,MATCH($A6,primary_jama_2019_2210_key,0)),$D6)&lt;&gt;"retain"),NOT(OR(IF($E6="",INDEX(primary_jama_2019_2210_domain,MATCH($A6,primary_jama_2019_2210_key,0)),$E6)="protocol_report"))),"not_applicable","")</f>
        <v/>
      </c>
      <c r="M6" s="2" t="inlineStr">
        <is>
          <t>Disposition: exclude
Review domain: plan_material
Notes (optional): SYNTHETIC TEST DATA ONLY. Exclude is a placeholder for testing the checker workflow, not a scientific assessment. Do not use this sample in research results.</t>
        </is>
      </c>
      <c r="N6" s="8" t="inlineStr"/>
      <c r="O6" s="10" t="inlineStr"/>
      <c r="P6" s="8" t="inlineStr">
        <is>
          <t>pending</t>
        </is>
      </c>
      <c r="Q6" s="10" t="inlineStr"/>
      <c r="R6" s="11" t="inlineStr"/>
    </row>
    <row r="7" ht="76" customHeight="1">
      <c r="A7" s="3" t="inlineStr">
        <is>
          <t>2019::jama.2019.2210::C006</t>
        </is>
      </c>
      <c r="B7" s="3" t="inlineStr">
        <is>
          <t>Supplement labels Cdx2 genotype panels as CDK2</t>
        </is>
      </c>
      <c r="C7" s="3" t="inlineStr">
        <is>
          <t>main article — PDF p. 5; Supplement 1 — PDF p. 27; Supplement 2 — PDF p. 13, p. 14, and p. 15.</t>
        </is>
      </c>
      <c r="D7" s="8" t="inlineStr"/>
      <c r="E7" s="8" t="inlineStr"/>
      <c r="F7" s="8" t="inlineStr">
        <is>
          <t>no</t>
        </is>
      </c>
      <c r="G7" s="3">
        <f>IF(OR(AND(OR(AND(IF($D7="",INDEX(primary_jama_2019_2210_disposition,MATCH($A7,primary_jama_2019_2210_key,0)),$D7)&lt;&gt;"",IF($D7="",INDEX(primary_jama_2019_2210_disposition,MATCH($A7,primary_jama_2019_2210_key,0)),$D7)&lt;&gt;"retain"),NOT(OR(IF($E7="",INDEX(primary_jama_2019_2210_domain,MATCH($A7,primary_jama_2019_2210_key,0)),$E7)="statistical_results"))),H7&lt;&gt;"",H7&lt;&gt;"not_applicable"),AND(OR(AND(IF($D7="",INDEX(primary_jama_2019_2210_disposition,MATCH($A7,primary_jama_2019_2210_key,0)),$D7)&lt;&gt;"",IF($D7="",INDEX(primary_jama_2019_2210_disposition,MATCH($A7,primary_jama_2019_2210_key,0)),$D7)&lt;&gt;"retain"),NOT(OR(IF($E7="",INDEX(primary_jama_2019_2210_domain,MATCH($A7,primary_jama_2019_2210_key,0)),$E7)="statistical_results"))),I7&lt;&gt;"",I7&lt;&gt;"not_applicable"),AND(OR(AND(IF($D7="",INDEX(primary_jama_2019_2210_disposition,MATCH($A7,primary_jama_2019_2210_key,0)),$D7)&lt;&gt;"",IF($D7="",INDEX(primary_jama_2019_2210_disposition,MATCH($A7,primary_jama_2019_2210_key,0)),$D7)&lt;&gt;"retain"),NOT(OR(IF($E7="",INDEX(primary_jama_2019_2210_domain,MATCH($A7,primary_jama_2019_2210_key,0)),$E7)="statistical_results"))),J7&lt;&gt;"",J7&lt;&gt;"not_applicable"),AND(OR(AND(IF($D7="",INDEX(primary_jama_2019_2210_disposition,MATCH($A7,primary_jama_2019_2210_key,0)),$D7)&lt;&gt;"",IF($D7="",INDEX(primary_jama_2019_2210_disposition,MATCH($A7,primary_jama_2019_2210_key,0)),$D7)&lt;&gt;"retain"),NOT(OR(IF($E7="",INDEX(primary_jama_2019_2210_domain,MATCH($A7,primary_jama_2019_2210_key,0)),$E7)="report_internal_inconsistency",IF($E7="",INDEX(primary_jama_2019_2210_domain,MATCH($A7,primary_jama_2019_2210_key,0)),$E7)="plan_material"))),K7&lt;&gt;"",K7&lt;&gt;"not_applicable"),AND(OR(AND(IF($D7="",INDEX(primary_jama_2019_2210_disposition,MATCH($A7,primary_jama_2019_2210_key,0)),$D7)&lt;&gt;"",IF($D7="",INDEX(primary_jama_2019_2210_disposition,MATCH($A7,primary_jama_2019_2210_key,0)),$D7)&lt;&gt;"retain"),NOT(OR(IF($E7="",INDEX(primary_jama_2019_2210_domain,MATCH($A7,primary_jama_2019_2210_key,0)),$E7)="protocol_report"))),L7&lt;&gt;"",L7&lt;&gt;"not_applicable")),"CLEAR INACTIVE VALUES",IF(N7="","PENDING",IF(AND(N7&lt;&gt;"agree",LEN(TRIM(O7))=0),"COMMENT NEEDED",IF(F7="yes","CHECKED - see resolution","DRAFT"))))</f>
        <v/>
      </c>
      <c r="H7" s="8">
        <f>IF(OR(AND(IF($D7="",INDEX(primary_jama_2019_2210_disposition,MATCH($A7,primary_jama_2019_2210_key,0)),$D7)&lt;&gt;"",IF($D7="",INDEX(primary_jama_2019_2210_disposition,MATCH($A7,primary_jama_2019_2210_key,0)),$D7)&lt;&gt;"retain"),NOT(OR(IF($E7="",INDEX(primary_jama_2019_2210_domain,MATCH($A7,primary_jama_2019_2210_key,0)),$E7)="statistical_results"))),"not_applicable","")</f>
        <v/>
      </c>
      <c r="I7" s="8">
        <f>IF(OR(AND(IF($D7="",INDEX(primary_jama_2019_2210_disposition,MATCH($A7,primary_jama_2019_2210_key,0)),$D7)&lt;&gt;"",IF($D7="",INDEX(primary_jama_2019_2210_disposition,MATCH($A7,primary_jama_2019_2210_key,0)),$D7)&lt;&gt;"retain"),NOT(OR(IF($E7="",INDEX(primary_jama_2019_2210_domain,MATCH($A7,primary_jama_2019_2210_key,0)),$E7)="statistical_results"))),"not_applicable","")</f>
        <v/>
      </c>
      <c r="J7" s="9">
        <f>IF(OR(AND(IF($D7="",INDEX(primary_jama_2019_2210_disposition,MATCH($A7,primary_jama_2019_2210_key,0)),$D7)&lt;&gt;"",IF($D7="",INDEX(primary_jama_2019_2210_disposition,MATCH($A7,primary_jama_2019_2210_key,0)),$D7)&lt;&gt;"retain"),NOT(OR(IF($E7="",INDEX(primary_jama_2019_2210_domain,MATCH($A7,primary_jama_2019_2210_key,0)),$E7)="statistical_results"))),"not_applicable","")</f>
        <v/>
      </c>
      <c r="K7" s="8">
        <f>IF(OR(AND(IF($D7="",INDEX(primary_jama_2019_2210_disposition,MATCH($A7,primary_jama_2019_2210_key,0)),$D7)&lt;&gt;"",IF($D7="",INDEX(primary_jama_2019_2210_disposition,MATCH($A7,primary_jama_2019_2210_key,0)),$D7)&lt;&gt;"retain"),NOT(OR(IF($E7="",INDEX(primary_jama_2019_2210_domain,MATCH($A7,primary_jama_2019_2210_key,0)),$E7)="report_internal_inconsistency",IF($E7="",INDEX(primary_jama_2019_2210_domain,MATCH($A7,primary_jama_2019_2210_key,0)),$E7)="plan_material"))),"not_applicable","")</f>
        <v/>
      </c>
      <c r="L7" s="9">
        <f>IF(OR(AND(IF($D7="",INDEX(primary_jama_2019_2210_disposition,MATCH($A7,primary_jama_2019_2210_key,0)),$D7)&lt;&gt;"",IF($D7="",INDEX(primary_jama_2019_2210_disposition,MATCH($A7,primary_jama_2019_2210_key,0)),$D7)&lt;&gt;"retain"),NOT(OR(IF($E7="",INDEX(primary_jama_2019_2210_domain,MATCH($A7,primary_jama_2019_2210_key,0)),$E7)="protocol_report"))),"not_applicable","")</f>
        <v/>
      </c>
      <c r="M7" s="3" t="inlineStr">
        <is>
          <t>Disposition: exclude
Review domain: report_internal_inconsistency
Notes (optional): SYNTHETIC TEST DATA ONLY. Exclude is a placeholder for testing the checker workflow, not a scientific assessment. Do not use this sample in research results.</t>
        </is>
      </c>
      <c r="N7" s="8" t="inlineStr"/>
      <c r="O7" s="10" t="inlineStr"/>
      <c r="P7" s="8" t="inlineStr">
        <is>
          <t>pending</t>
        </is>
      </c>
      <c r="Q7" s="10" t="inlineStr"/>
      <c r="R7" s="11" t="inlineStr"/>
    </row>
    <row r="8" ht="76" customHeight="1">
      <c r="A8" s="2" t="inlineStr">
        <is>
          <t>2019::jama.2019.2210::C007</t>
        </is>
      </c>
      <c r="B8" s="2" t="inlineStr">
        <is>
          <t>Table 1 BMI categories use smaller, unlabelled denominators than the arm headers</t>
        </is>
      </c>
      <c r="C8" s="2" t="inlineStr">
        <is>
          <t>main article — PDF p. 5; Supplement 2 — PDF p. 32 and p. 33.</t>
        </is>
      </c>
      <c r="D8" s="8" t="inlineStr"/>
      <c r="E8" s="8" t="inlineStr"/>
      <c r="F8" s="8" t="inlineStr">
        <is>
          <t>no</t>
        </is>
      </c>
      <c r="G8" s="2">
        <f>IF(OR(AND(OR(AND(IF($D8="",INDEX(primary_jama_2019_2210_disposition,MATCH($A8,primary_jama_2019_2210_key,0)),$D8)&lt;&gt;"",IF($D8="",INDEX(primary_jama_2019_2210_disposition,MATCH($A8,primary_jama_2019_2210_key,0)),$D8)&lt;&gt;"retain"),NOT(OR(IF($E8="",INDEX(primary_jama_2019_2210_domain,MATCH($A8,primary_jama_2019_2210_key,0)),$E8)="statistical_results"))),H8&lt;&gt;"",H8&lt;&gt;"not_applicable"),AND(OR(AND(IF($D8="",INDEX(primary_jama_2019_2210_disposition,MATCH($A8,primary_jama_2019_2210_key,0)),$D8)&lt;&gt;"",IF($D8="",INDEX(primary_jama_2019_2210_disposition,MATCH($A8,primary_jama_2019_2210_key,0)),$D8)&lt;&gt;"retain"),NOT(OR(IF($E8="",INDEX(primary_jama_2019_2210_domain,MATCH($A8,primary_jama_2019_2210_key,0)),$E8)="statistical_results"))),I8&lt;&gt;"",I8&lt;&gt;"not_applicable"),AND(OR(AND(IF($D8="",INDEX(primary_jama_2019_2210_disposition,MATCH($A8,primary_jama_2019_2210_key,0)),$D8)&lt;&gt;"",IF($D8="",INDEX(primary_jama_2019_2210_disposition,MATCH($A8,primary_jama_2019_2210_key,0)),$D8)&lt;&gt;"retain"),NOT(OR(IF($E8="",INDEX(primary_jama_2019_2210_domain,MATCH($A8,primary_jama_2019_2210_key,0)),$E8)="statistical_results"))),J8&lt;&gt;"",J8&lt;&gt;"not_applicable"),AND(OR(AND(IF($D8="",INDEX(primary_jama_2019_2210_disposition,MATCH($A8,primary_jama_2019_2210_key,0)),$D8)&lt;&gt;"",IF($D8="",INDEX(primary_jama_2019_2210_disposition,MATCH($A8,primary_jama_2019_2210_key,0)),$D8)&lt;&gt;"retain"),NOT(OR(IF($E8="",INDEX(primary_jama_2019_2210_domain,MATCH($A8,primary_jama_2019_2210_key,0)),$E8)="report_internal_inconsistency",IF($E8="",INDEX(primary_jama_2019_2210_domain,MATCH($A8,primary_jama_2019_2210_key,0)),$E8)="plan_material"))),K8&lt;&gt;"",K8&lt;&gt;"not_applicable"),AND(OR(AND(IF($D8="",INDEX(primary_jama_2019_2210_disposition,MATCH($A8,primary_jama_2019_2210_key,0)),$D8)&lt;&gt;"",IF($D8="",INDEX(primary_jama_2019_2210_disposition,MATCH($A8,primary_jama_2019_2210_key,0)),$D8)&lt;&gt;"retain"),NOT(OR(IF($E8="",INDEX(primary_jama_2019_2210_domain,MATCH($A8,primary_jama_2019_2210_key,0)),$E8)="protocol_report"))),L8&lt;&gt;"",L8&lt;&gt;"not_applicable")),"CLEAR INACTIVE VALUES",IF(N8="","PENDING",IF(AND(N8&lt;&gt;"agree",LEN(TRIM(O8))=0),"COMMENT NEEDED",IF(F8="yes","CHECKED - see resolution","DRAFT"))))</f>
        <v/>
      </c>
      <c r="H8" s="8">
        <f>IF(OR(AND(IF($D8="",INDEX(primary_jama_2019_2210_disposition,MATCH($A8,primary_jama_2019_2210_key,0)),$D8)&lt;&gt;"",IF($D8="",INDEX(primary_jama_2019_2210_disposition,MATCH($A8,primary_jama_2019_2210_key,0)),$D8)&lt;&gt;"retain"),NOT(OR(IF($E8="",INDEX(primary_jama_2019_2210_domain,MATCH($A8,primary_jama_2019_2210_key,0)),$E8)="statistical_results"))),"not_applicable","")</f>
        <v/>
      </c>
      <c r="I8" s="8">
        <f>IF(OR(AND(IF($D8="",INDEX(primary_jama_2019_2210_disposition,MATCH($A8,primary_jama_2019_2210_key,0)),$D8)&lt;&gt;"",IF($D8="",INDEX(primary_jama_2019_2210_disposition,MATCH($A8,primary_jama_2019_2210_key,0)),$D8)&lt;&gt;"retain"),NOT(OR(IF($E8="",INDEX(primary_jama_2019_2210_domain,MATCH($A8,primary_jama_2019_2210_key,0)),$E8)="statistical_results"))),"not_applicable","")</f>
        <v/>
      </c>
      <c r="J8" s="9">
        <f>IF(OR(AND(IF($D8="",INDEX(primary_jama_2019_2210_disposition,MATCH($A8,primary_jama_2019_2210_key,0)),$D8)&lt;&gt;"",IF($D8="",INDEX(primary_jama_2019_2210_disposition,MATCH($A8,primary_jama_2019_2210_key,0)),$D8)&lt;&gt;"retain"),NOT(OR(IF($E8="",INDEX(primary_jama_2019_2210_domain,MATCH($A8,primary_jama_2019_2210_key,0)),$E8)="statistical_results"))),"not_applicable","")</f>
        <v/>
      </c>
      <c r="K8" s="8">
        <f>IF(OR(AND(IF($D8="",INDEX(primary_jama_2019_2210_disposition,MATCH($A8,primary_jama_2019_2210_key,0)),$D8)&lt;&gt;"",IF($D8="",INDEX(primary_jama_2019_2210_disposition,MATCH($A8,primary_jama_2019_2210_key,0)),$D8)&lt;&gt;"retain"),NOT(OR(IF($E8="",INDEX(primary_jama_2019_2210_domain,MATCH($A8,primary_jama_2019_2210_key,0)),$E8)="report_internal_inconsistency",IF($E8="",INDEX(primary_jama_2019_2210_domain,MATCH($A8,primary_jama_2019_2210_key,0)),$E8)="plan_material"))),"not_applicable","")</f>
        <v/>
      </c>
      <c r="L8" s="9">
        <f>IF(OR(AND(IF($D8="",INDEX(primary_jama_2019_2210_disposition,MATCH($A8,primary_jama_2019_2210_key,0)),$D8)&lt;&gt;"",IF($D8="",INDEX(primary_jama_2019_2210_disposition,MATCH($A8,primary_jama_2019_2210_key,0)),$D8)&lt;&gt;"retain"),NOT(OR(IF($E8="",INDEX(primary_jama_2019_2210_domain,MATCH($A8,primary_jama_2019_2210_key,0)),$E8)="protocol_report"))),"not_applicable","")</f>
        <v/>
      </c>
      <c r="M8" s="2" t="inlineStr">
        <is>
          <t>Disposition: exclude
Review domain: statistical_results
Notes (optional): SYNTHETIC TEST DATA ONLY. Exclude is a placeholder for testing the checker workflow, not a scientific assessment. Do not use this sample in research results.</t>
        </is>
      </c>
      <c r="N8" s="8" t="inlineStr"/>
      <c r="O8" s="10" t="inlineStr"/>
      <c r="P8" s="8" t="inlineStr">
        <is>
          <t>pending</t>
        </is>
      </c>
      <c r="Q8" s="10" t="inlineStr"/>
      <c r="R8" s="11" t="inlineStr"/>
    </row>
    <row r="9" ht="76" customHeight="1">
      <c r="A9" s="3" t="inlineStr">
        <is>
          <t>2019::jama.2019.2210::C008</t>
        </is>
      </c>
      <c r="B9" s="3" t="inlineStr">
        <is>
          <t>Report and protocol use different time-origin labels despite a same-visit equivalence statement</t>
        </is>
      </c>
      <c r="C9" s="3" t="inlineStr">
        <is>
          <t>main article — PDF p. 2 and p. 6; Supplement 1 — PDF p. 25 and p. 29; Supplement 2 — PDF p. 2 and p. 3.</t>
        </is>
      </c>
      <c r="D9" s="8" t="inlineStr"/>
      <c r="E9" s="8" t="inlineStr"/>
      <c r="F9" s="8" t="inlineStr">
        <is>
          <t>no</t>
        </is>
      </c>
      <c r="G9" s="3">
        <f>IF(OR(AND(OR(AND(IF($D9="",INDEX(primary_jama_2019_2210_disposition,MATCH($A9,primary_jama_2019_2210_key,0)),$D9)&lt;&gt;"",IF($D9="",INDEX(primary_jama_2019_2210_disposition,MATCH($A9,primary_jama_2019_2210_key,0)),$D9)&lt;&gt;"retain"),NOT(OR(IF($E9="",INDEX(primary_jama_2019_2210_domain,MATCH($A9,primary_jama_2019_2210_key,0)),$E9)="statistical_results"))),H9&lt;&gt;"",H9&lt;&gt;"not_applicable"),AND(OR(AND(IF($D9="",INDEX(primary_jama_2019_2210_disposition,MATCH($A9,primary_jama_2019_2210_key,0)),$D9)&lt;&gt;"",IF($D9="",INDEX(primary_jama_2019_2210_disposition,MATCH($A9,primary_jama_2019_2210_key,0)),$D9)&lt;&gt;"retain"),NOT(OR(IF($E9="",INDEX(primary_jama_2019_2210_domain,MATCH($A9,primary_jama_2019_2210_key,0)),$E9)="statistical_results"))),I9&lt;&gt;"",I9&lt;&gt;"not_applicable"),AND(OR(AND(IF($D9="",INDEX(primary_jama_2019_2210_disposition,MATCH($A9,primary_jama_2019_2210_key,0)),$D9)&lt;&gt;"",IF($D9="",INDEX(primary_jama_2019_2210_disposition,MATCH($A9,primary_jama_2019_2210_key,0)),$D9)&lt;&gt;"retain"),NOT(OR(IF($E9="",INDEX(primary_jama_2019_2210_domain,MATCH($A9,primary_jama_2019_2210_key,0)),$E9)="statistical_results"))),J9&lt;&gt;"",J9&lt;&gt;"not_applicable"),AND(OR(AND(IF($D9="",INDEX(primary_jama_2019_2210_disposition,MATCH($A9,primary_jama_2019_2210_key,0)),$D9)&lt;&gt;"",IF($D9="",INDEX(primary_jama_2019_2210_disposition,MATCH($A9,primary_jama_2019_2210_key,0)),$D9)&lt;&gt;"retain"),NOT(OR(IF($E9="",INDEX(primary_jama_2019_2210_domain,MATCH($A9,primary_jama_2019_2210_key,0)),$E9)="report_internal_inconsistency",IF($E9="",INDEX(primary_jama_2019_2210_domain,MATCH($A9,primary_jama_2019_2210_key,0)),$E9)="plan_material"))),K9&lt;&gt;"",K9&lt;&gt;"not_applicable"),AND(OR(AND(IF($D9="",INDEX(primary_jama_2019_2210_disposition,MATCH($A9,primary_jama_2019_2210_key,0)),$D9)&lt;&gt;"",IF($D9="",INDEX(primary_jama_2019_2210_disposition,MATCH($A9,primary_jama_2019_2210_key,0)),$D9)&lt;&gt;"retain"),NOT(OR(IF($E9="",INDEX(primary_jama_2019_2210_domain,MATCH($A9,primary_jama_2019_2210_key,0)),$E9)="protocol_report"))),L9&lt;&gt;"",L9&lt;&gt;"not_applicable")),"CLEAR INACTIVE VALUES",IF(N9="","PENDING",IF(AND(N9&lt;&gt;"agree",LEN(TRIM(O9))=0),"COMMENT NEEDED",IF(F9="yes","CHECKED - see resolution","DRAFT"))))</f>
        <v/>
      </c>
      <c r="H9" s="8">
        <f>IF(OR(AND(IF($D9="",INDEX(primary_jama_2019_2210_disposition,MATCH($A9,primary_jama_2019_2210_key,0)),$D9)&lt;&gt;"",IF($D9="",INDEX(primary_jama_2019_2210_disposition,MATCH($A9,primary_jama_2019_2210_key,0)),$D9)&lt;&gt;"retain"),NOT(OR(IF($E9="",INDEX(primary_jama_2019_2210_domain,MATCH($A9,primary_jama_2019_2210_key,0)),$E9)="statistical_results"))),"not_applicable","")</f>
        <v/>
      </c>
      <c r="I9" s="8">
        <f>IF(OR(AND(IF($D9="",INDEX(primary_jama_2019_2210_disposition,MATCH($A9,primary_jama_2019_2210_key,0)),$D9)&lt;&gt;"",IF($D9="",INDEX(primary_jama_2019_2210_disposition,MATCH($A9,primary_jama_2019_2210_key,0)),$D9)&lt;&gt;"retain"),NOT(OR(IF($E9="",INDEX(primary_jama_2019_2210_domain,MATCH($A9,primary_jama_2019_2210_key,0)),$E9)="statistical_results"))),"not_applicable","")</f>
        <v/>
      </c>
      <c r="J9" s="9">
        <f>IF(OR(AND(IF($D9="",INDEX(primary_jama_2019_2210_disposition,MATCH($A9,primary_jama_2019_2210_key,0)),$D9)&lt;&gt;"",IF($D9="",INDEX(primary_jama_2019_2210_disposition,MATCH($A9,primary_jama_2019_2210_key,0)),$D9)&lt;&gt;"retain"),NOT(OR(IF($E9="",INDEX(primary_jama_2019_2210_domain,MATCH($A9,primary_jama_2019_2210_key,0)),$E9)="statistical_results"))),"not_applicable","")</f>
        <v/>
      </c>
      <c r="K9" s="8">
        <f>IF(OR(AND(IF($D9="",INDEX(primary_jama_2019_2210_disposition,MATCH($A9,primary_jama_2019_2210_key,0)),$D9)&lt;&gt;"",IF($D9="",INDEX(primary_jama_2019_2210_disposition,MATCH($A9,primary_jama_2019_2210_key,0)),$D9)&lt;&gt;"retain"),NOT(OR(IF($E9="",INDEX(primary_jama_2019_2210_domain,MATCH($A9,primary_jama_2019_2210_key,0)),$E9)="report_internal_inconsistency",IF($E9="",INDEX(primary_jama_2019_2210_domain,MATCH($A9,primary_jama_2019_2210_key,0)),$E9)="plan_material"))),"not_applicable","")</f>
        <v/>
      </c>
      <c r="L9" s="9">
        <f>IF(OR(AND(IF($D9="",INDEX(primary_jama_2019_2210_disposition,MATCH($A9,primary_jama_2019_2210_key,0)),$D9)&lt;&gt;"",IF($D9="",INDEX(primary_jama_2019_2210_disposition,MATCH($A9,primary_jama_2019_2210_key,0)),$D9)&lt;&gt;"retain"),NOT(OR(IF($E9="",INDEX(primary_jama_2019_2210_domain,MATCH($A9,primary_jama_2019_2210_key,0)),$E9)="protocol_report"))),"not_applicable","")</f>
        <v/>
      </c>
      <c r="M9" s="3" t="inlineStr">
        <is>
          <t>Disposition: exclude
Review domain: protocol_report
Notes (optional): SYNTHETIC TEST DATA ONLY. Exclude is a placeholder for testing the checker workflow, not a scientific assessment. Do not use this sample in research results.</t>
        </is>
      </c>
      <c r="N9" s="8" t="inlineStr"/>
      <c r="O9" s="10" t="inlineStr"/>
      <c r="P9" s="8" t="inlineStr">
        <is>
          <t>pending</t>
        </is>
      </c>
      <c r="Q9" s="10" t="inlineStr"/>
      <c r="R9" s="11" t="inlineStr"/>
    </row>
    <row r="10" ht="76" customHeight="1">
      <c r="A10" s="2" t="inlineStr">
        <is>
          <t>2019::jama.2019.2210::C009</t>
        </is>
      </c>
      <c r="B10" s="2" t="inlineStr">
        <is>
          <t>Table 2 hazard-ratio direction footnote is opposite the displayed outcome direction</t>
        </is>
      </c>
      <c r="C10" s="2" t="inlineStr">
        <is>
          <t>main article — PDF p. 4, p. 6, and p. 7.</t>
        </is>
      </c>
      <c r="D10" s="8" t="inlineStr"/>
      <c r="E10" s="8" t="inlineStr"/>
      <c r="F10" s="8" t="inlineStr">
        <is>
          <t>no</t>
        </is>
      </c>
      <c r="G10" s="2">
        <f>IF(OR(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H10&lt;&gt;"",H10&lt;&gt;"not_applicable"),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I10&lt;&gt;"",I10&lt;&gt;"not_applicable"),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J10&lt;&gt;"",J10&lt;&gt;"not_applicable"),AND(OR(AND(IF($D10="",INDEX(primary_jama_2019_2210_disposition,MATCH($A10,primary_jama_2019_2210_key,0)),$D10)&lt;&gt;"",IF($D10="",INDEX(primary_jama_2019_2210_disposition,MATCH($A10,primary_jama_2019_2210_key,0)),$D10)&lt;&gt;"retain"),NOT(OR(IF($E10="",INDEX(primary_jama_2019_2210_domain,MATCH($A10,primary_jama_2019_2210_key,0)),$E10)="report_internal_inconsistency",IF($E10="",INDEX(primary_jama_2019_2210_domain,MATCH($A10,primary_jama_2019_2210_key,0)),$E10)="plan_material"))),K10&lt;&gt;"",K10&lt;&gt;"not_applicable"),AND(OR(AND(IF($D10="",INDEX(primary_jama_2019_2210_disposition,MATCH($A10,primary_jama_2019_2210_key,0)),$D10)&lt;&gt;"",IF($D10="",INDEX(primary_jama_2019_2210_disposition,MATCH($A10,primary_jama_2019_2210_key,0)),$D10)&lt;&gt;"retain"),NOT(OR(IF($E10="",INDEX(primary_jama_2019_2210_domain,MATCH($A10,primary_jama_2019_2210_key,0)),$E10)="protocol_report"))),L10&lt;&gt;"",L10&lt;&gt;"not_applicable")),"CLEAR INACTIVE VALUES",IF(N10="","PENDING",IF(AND(N10&lt;&gt;"agree",LEN(TRIM(O10))=0),"COMMENT NEEDED",IF(F10="yes","CHECKED - see resolution","DRAFT"))))</f>
        <v/>
      </c>
      <c r="H10" s="8">
        <f>IF(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not_applicable","")</f>
        <v/>
      </c>
      <c r="I10" s="8">
        <f>IF(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not_applicable","")</f>
        <v/>
      </c>
      <c r="J10" s="9">
        <f>IF(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not_applicable","")</f>
        <v/>
      </c>
      <c r="K10" s="8">
        <f>IF(OR(AND(IF($D10="",INDEX(primary_jama_2019_2210_disposition,MATCH($A10,primary_jama_2019_2210_key,0)),$D10)&lt;&gt;"",IF($D10="",INDEX(primary_jama_2019_2210_disposition,MATCH($A10,primary_jama_2019_2210_key,0)),$D10)&lt;&gt;"retain"),NOT(OR(IF($E10="",INDEX(primary_jama_2019_2210_domain,MATCH($A10,primary_jama_2019_2210_key,0)),$E10)="report_internal_inconsistency",IF($E10="",INDEX(primary_jama_2019_2210_domain,MATCH($A10,primary_jama_2019_2210_key,0)),$E10)="plan_material"))),"not_applicable","")</f>
        <v/>
      </c>
      <c r="L10" s="9">
        <f>IF(OR(AND(IF($D10="",INDEX(primary_jama_2019_2210_disposition,MATCH($A10,primary_jama_2019_2210_key,0)),$D10)&lt;&gt;"",IF($D10="",INDEX(primary_jama_2019_2210_disposition,MATCH($A10,primary_jama_2019_2210_key,0)),$D10)&lt;&gt;"retain"),NOT(OR(IF($E10="",INDEX(primary_jama_2019_2210_domain,MATCH($A10,primary_jama_2019_2210_key,0)),$E10)="protocol_report"))),"not_applicable","")</f>
        <v/>
      </c>
      <c r="M10" s="2" t="inlineStr">
        <is>
          <t>Disposition: exclude
Review domain: report_internal_inconsistency
Notes (optional): SYNTHETIC TEST DATA ONLY. Exclude is a placeholder for testing the checker workflow, not a scientific assessment. Do not use this sample in research results.</t>
        </is>
      </c>
      <c r="N10" s="8" t="inlineStr"/>
      <c r="O10" s="10" t="inlineStr"/>
      <c r="P10" s="8" t="inlineStr">
        <is>
          <t>pending</t>
        </is>
      </c>
      <c r="Q10" s="10" t="inlineStr"/>
      <c r="R10" s="11" t="inlineStr"/>
    </row>
  </sheetData>
  <sheetProtection selectLockedCells="0" selectUnlockedCells="0" sheet="1" objects="0" insertRows="1" insertHyperlinks="1" autoFilter="0" scenarios="0" formatColumns="1" deleteColumns="1" insertColumns="1" pivotTables="1" deleteRows="1" formatCells="1" formatRows="1" sort="1"/>
  <autoFilter ref="A1:R10"/>
  <conditionalFormatting sqref="H2">
    <cfRule type="expression" priority="1" dxfId="0" stopIfTrue="1">
      <formula>AND(OR(AND(IF($D2="",INDEX(primary_jama_2019_2210_disposition,MATCH($A2,primary_jama_2019_2210_key,0)),$D2)&lt;&gt;"",IF($D2="",INDEX(primary_jama_2019_2210_disposition,MATCH($A2,primary_jama_2019_2210_key,0)),$D2)&lt;&gt;"retain"),NOT(OR(IF($E2="",INDEX(primary_jama_2019_2210_domain,MATCH($A2,primary_jama_2019_2210_key,0)),$E2)="statistical_results"))),H2&lt;&gt;"",H2&lt;&gt;"not_applicable")</formula>
    </cfRule>
    <cfRule type="expression" priority="2" dxfId="1">
      <formula>OR(AND(IF($D2="",INDEX(primary_jama_2019_2210_disposition,MATCH($A2,primary_jama_2019_2210_key,0)),$D2)&lt;&gt;"",IF($D2="",INDEX(primary_jama_2019_2210_disposition,MATCH($A2,primary_jama_2019_2210_key,0)),$D2)&lt;&gt;"retain"),NOT(OR(IF($E2="",INDEX(primary_jama_2019_2210_domain,MATCH($A2,primary_jama_2019_2210_key,0)),$E2)="statistical_results")))</formula>
    </cfRule>
  </conditionalFormatting>
  <conditionalFormatting sqref="H3">
    <cfRule type="expression" priority="3" dxfId="0" stopIfTrue="1">
      <formula>AND(OR(AND(IF($D3="",INDEX(primary_jama_2019_2210_disposition,MATCH($A3,primary_jama_2019_2210_key,0)),$D3)&lt;&gt;"",IF($D3="",INDEX(primary_jama_2019_2210_disposition,MATCH($A3,primary_jama_2019_2210_key,0)),$D3)&lt;&gt;"retain"),NOT(OR(IF($E3="",INDEX(primary_jama_2019_2210_domain,MATCH($A3,primary_jama_2019_2210_key,0)),$E3)="statistical_results"))),H3&lt;&gt;"",H3&lt;&gt;"not_applicable")</formula>
    </cfRule>
    <cfRule type="expression" priority="4" dxfId="1">
      <formula>OR(AND(IF($D3="",INDEX(primary_jama_2019_2210_disposition,MATCH($A3,primary_jama_2019_2210_key,0)),$D3)&lt;&gt;"",IF($D3="",INDEX(primary_jama_2019_2210_disposition,MATCH($A3,primary_jama_2019_2210_key,0)),$D3)&lt;&gt;"retain"),NOT(OR(IF($E3="",INDEX(primary_jama_2019_2210_domain,MATCH($A3,primary_jama_2019_2210_key,0)),$E3)="statistical_results")))</formula>
    </cfRule>
  </conditionalFormatting>
  <conditionalFormatting sqref="H4">
    <cfRule type="expression" priority="5" dxfId="0" stopIfTrue="1">
      <formula>AND(OR(AND(IF($D4="",INDEX(primary_jama_2019_2210_disposition,MATCH($A4,primary_jama_2019_2210_key,0)),$D4)&lt;&gt;"",IF($D4="",INDEX(primary_jama_2019_2210_disposition,MATCH($A4,primary_jama_2019_2210_key,0)),$D4)&lt;&gt;"retain"),NOT(OR(IF($E4="",INDEX(primary_jama_2019_2210_domain,MATCH($A4,primary_jama_2019_2210_key,0)),$E4)="statistical_results"))),H4&lt;&gt;"",H4&lt;&gt;"not_applicable")</formula>
    </cfRule>
    <cfRule type="expression" priority="6" dxfId="1">
      <formula>OR(AND(IF($D4="",INDEX(primary_jama_2019_2210_disposition,MATCH($A4,primary_jama_2019_2210_key,0)),$D4)&lt;&gt;"",IF($D4="",INDEX(primary_jama_2019_2210_disposition,MATCH($A4,primary_jama_2019_2210_key,0)),$D4)&lt;&gt;"retain"),NOT(OR(IF($E4="",INDEX(primary_jama_2019_2210_domain,MATCH($A4,primary_jama_2019_2210_key,0)),$E4)="statistical_results")))</formula>
    </cfRule>
  </conditionalFormatting>
  <conditionalFormatting sqref="H5">
    <cfRule type="expression" priority="7" dxfId="0" stopIfTrue="1">
      <formula>AND(OR(AND(IF($D5="",INDEX(primary_jama_2019_2210_disposition,MATCH($A5,primary_jama_2019_2210_key,0)),$D5)&lt;&gt;"",IF($D5="",INDEX(primary_jama_2019_2210_disposition,MATCH($A5,primary_jama_2019_2210_key,0)),$D5)&lt;&gt;"retain"),NOT(OR(IF($E5="",INDEX(primary_jama_2019_2210_domain,MATCH($A5,primary_jama_2019_2210_key,0)),$E5)="statistical_results"))),H5&lt;&gt;"",H5&lt;&gt;"not_applicable")</formula>
    </cfRule>
    <cfRule type="expression" priority="8" dxfId="1">
      <formula>OR(AND(IF($D5="",INDEX(primary_jama_2019_2210_disposition,MATCH($A5,primary_jama_2019_2210_key,0)),$D5)&lt;&gt;"",IF($D5="",INDEX(primary_jama_2019_2210_disposition,MATCH($A5,primary_jama_2019_2210_key,0)),$D5)&lt;&gt;"retain"),NOT(OR(IF($E5="",INDEX(primary_jama_2019_2210_domain,MATCH($A5,primary_jama_2019_2210_key,0)),$E5)="statistical_results")))</formula>
    </cfRule>
  </conditionalFormatting>
  <conditionalFormatting sqref="H6">
    <cfRule type="expression" priority="9" dxfId="0" stopIfTrue="1">
      <formula>AND(OR(AND(IF($D6="",INDEX(primary_jama_2019_2210_disposition,MATCH($A6,primary_jama_2019_2210_key,0)),$D6)&lt;&gt;"",IF($D6="",INDEX(primary_jama_2019_2210_disposition,MATCH($A6,primary_jama_2019_2210_key,0)),$D6)&lt;&gt;"retain"),NOT(OR(IF($E6="",INDEX(primary_jama_2019_2210_domain,MATCH($A6,primary_jama_2019_2210_key,0)),$E6)="statistical_results"))),H6&lt;&gt;"",H6&lt;&gt;"not_applicable")</formula>
    </cfRule>
    <cfRule type="expression" priority="10" dxfId="1">
      <formula>OR(AND(IF($D6="",INDEX(primary_jama_2019_2210_disposition,MATCH($A6,primary_jama_2019_2210_key,0)),$D6)&lt;&gt;"",IF($D6="",INDEX(primary_jama_2019_2210_disposition,MATCH($A6,primary_jama_2019_2210_key,0)),$D6)&lt;&gt;"retain"),NOT(OR(IF($E6="",INDEX(primary_jama_2019_2210_domain,MATCH($A6,primary_jama_2019_2210_key,0)),$E6)="statistical_results")))</formula>
    </cfRule>
  </conditionalFormatting>
  <conditionalFormatting sqref="H7">
    <cfRule type="expression" priority="11" dxfId="0" stopIfTrue="1">
      <formula>AND(OR(AND(IF($D7="",INDEX(primary_jama_2019_2210_disposition,MATCH($A7,primary_jama_2019_2210_key,0)),$D7)&lt;&gt;"",IF($D7="",INDEX(primary_jama_2019_2210_disposition,MATCH($A7,primary_jama_2019_2210_key,0)),$D7)&lt;&gt;"retain"),NOT(OR(IF($E7="",INDEX(primary_jama_2019_2210_domain,MATCH($A7,primary_jama_2019_2210_key,0)),$E7)="statistical_results"))),H7&lt;&gt;"",H7&lt;&gt;"not_applicable")</formula>
    </cfRule>
    <cfRule type="expression" priority="12" dxfId="1">
      <formula>OR(AND(IF($D7="",INDEX(primary_jama_2019_2210_disposition,MATCH($A7,primary_jama_2019_2210_key,0)),$D7)&lt;&gt;"",IF($D7="",INDEX(primary_jama_2019_2210_disposition,MATCH($A7,primary_jama_2019_2210_key,0)),$D7)&lt;&gt;"retain"),NOT(OR(IF($E7="",INDEX(primary_jama_2019_2210_domain,MATCH($A7,primary_jama_2019_2210_key,0)),$E7)="statistical_results")))</formula>
    </cfRule>
  </conditionalFormatting>
  <conditionalFormatting sqref="H8">
    <cfRule type="expression" priority="13" dxfId="0" stopIfTrue="1">
      <formula>AND(OR(AND(IF($D8="",INDEX(primary_jama_2019_2210_disposition,MATCH($A8,primary_jama_2019_2210_key,0)),$D8)&lt;&gt;"",IF($D8="",INDEX(primary_jama_2019_2210_disposition,MATCH($A8,primary_jama_2019_2210_key,0)),$D8)&lt;&gt;"retain"),NOT(OR(IF($E8="",INDEX(primary_jama_2019_2210_domain,MATCH($A8,primary_jama_2019_2210_key,0)),$E8)="statistical_results"))),H8&lt;&gt;"",H8&lt;&gt;"not_applicable")</formula>
    </cfRule>
    <cfRule type="expression" priority="14" dxfId="1">
      <formula>OR(AND(IF($D8="",INDEX(primary_jama_2019_2210_disposition,MATCH($A8,primary_jama_2019_2210_key,0)),$D8)&lt;&gt;"",IF($D8="",INDEX(primary_jama_2019_2210_disposition,MATCH($A8,primary_jama_2019_2210_key,0)),$D8)&lt;&gt;"retain"),NOT(OR(IF($E8="",INDEX(primary_jama_2019_2210_domain,MATCH($A8,primary_jama_2019_2210_key,0)),$E8)="statistical_results")))</formula>
    </cfRule>
  </conditionalFormatting>
  <conditionalFormatting sqref="H9">
    <cfRule type="expression" priority="15" dxfId="0" stopIfTrue="1">
      <formula>AND(OR(AND(IF($D9="",INDEX(primary_jama_2019_2210_disposition,MATCH($A9,primary_jama_2019_2210_key,0)),$D9)&lt;&gt;"",IF($D9="",INDEX(primary_jama_2019_2210_disposition,MATCH($A9,primary_jama_2019_2210_key,0)),$D9)&lt;&gt;"retain"),NOT(OR(IF($E9="",INDEX(primary_jama_2019_2210_domain,MATCH($A9,primary_jama_2019_2210_key,0)),$E9)="statistical_results"))),H9&lt;&gt;"",H9&lt;&gt;"not_applicable")</formula>
    </cfRule>
    <cfRule type="expression" priority="16" dxfId="1">
      <formula>OR(AND(IF($D9="",INDEX(primary_jama_2019_2210_disposition,MATCH($A9,primary_jama_2019_2210_key,0)),$D9)&lt;&gt;"",IF($D9="",INDEX(primary_jama_2019_2210_disposition,MATCH($A9,primary_jama_2019_2210_key,0)),$D9)&lt;&gt;"retain"),NOT(OR(IF($E9="",INDEX(primary_jama_2019_2210_domain,MATCH($A9,primary_jama_2019_2210_key,0)),$E9)="statistical_results")))</formula>
    </cfRule>
  </conditionalFormatting>
  <conditionalFormatting sqref="H10">
    <cfRule type="expression" priority="17" dxfId="0" stopIfTrue="1">
      <formula>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H10&lt;&gt;"",H10&lt;&gt;"not_applicable")</formula>
    </cfRule>
    <cfRule type="expression" priority="18" dxfId="1">
      <formula>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formula>
    </cfRule>
  </conditionalFormatting>
  <conditionalFormatting sqref="I2">
    <cfRule type="expression" priority="19" dxfId="0" stopIfTrue="1">
      <formula>AND(OR(AND(IF($D2="",INDEX(primary_jama_2019_2210_disposition,MATCH($A2,primary_jama_2019_2210_key,0)),$D2)&lt;&gt;"",IF($D2="",INDEX(primary_jama_2019_2210_disposition,MATCH($A2,primary_jama_2019_2210_key,0)),$D2)&lt;&gt;"retain"),NOT(OR(IF($E2="",INDEX(primary_jama_2019_2210_domain,MATCH($A2,primary_jama_2019_2210_key,0)),$E2)="statistical_results"))),I2&lt;&gt;"",I2&lt;&gt;"not_applicable")</formula>
    </cfRule>
    <cfRule type="expression" priority="20" dxfId="1">
      <formula>OR(AND(IF($D2="",INDEX(primary_jama_2019_2210_disposition,MATCH($A2,primary_jama_2019_2210_key,0)),$D2)&lt;&gt;"",IF($D2="",INDEX(primary_jama_2019_2210_disposition,MATCH($A2,primary_jama_2019_2210_key,0)),$D2)&lt;&gt;"retain"),NOT(OR(IF($E2="",INDEX(primary_jama_2019_2210_domain,MATCH($A2,primary_jama_2019_2210_key,0)),$E2)="statistical_results")))</formula>
    </cfRule>
  </conditionalFormatting>
  <conditionalFormatting sqref="I3">
    <cfRule type="expression" priority="21" dxfId="0" stopIfTrue="1">
      <formula>AND(OR(AND(IF($D3="",INDEX(primary_jama_2019_2210_disposition,MATCH($A3,primary_jama_2019_2210_key,0)),$D3)&lt;&gt;"",IF($D3="",INDEX(primary_jama_2019_2210_disposition,MATCH($A3,primary_jama_2019_2210_key,0)),$D3)&lt;&gt;"retain"),NOT(OR(IF($E3="",INDEX(primary_jama_2019_2210_domain,MATCH($A3,primary_jama_2019_2210_key,0)),$E3)="statistical_results"))),I3&lt;&gt;"",I3&lt;&gt;"not_applicable")</formula>
    </cfRule>
    <cfRule type="expression" priority="22" dxfId="1">
      <formula>OR(AND(IF($D3="",INDEX(primary_jama_2019_2210_disposition,MATCH($A3,primary_jama_2019_2210_key,0)),$D3)&lt;&gt;"",IF($D3="",INDEX(primary_jama_2019_2210_disposition,MATCH($A3,primary_jama_2019_2210_key,0)),$D3)&lt;&gt;"retain"),NOT(OR(IF($E3="",INDEX(primary_jama_2019_2210_domain,MATCH($A3,primary_jama_2019_2210_key,0)),$E3)="statistical_results")))</formula>
    </cfRule>
  </conditionalFormatting>
  <conditionalFormatting sqref="I4">
    <cfRule type="expression" priority="23" dxfId="0" stopIfTrue="1">
      <formula>AND(OR(AND(IF($D4="",INDEX(primary_jama_2019_2210_disposition,MATCH($A4,primary_jama_2019_2210_key,0)),$D4)&lt;&gt;"",IF($D4="",INDEX(primary_jama_2019_2210_disposition,MATCH($A4,primary_jama_2019_2210_key,0)),$D4)&lt;&gt;"retain"),NOT(OR(IF($E4="",INDEX(primary_jama_2019_2210_domain,MATCH($A4,primary_jama_2019_2210_key,0)),$E4)="statistical_results"))),I4&lt;&gt;"",I4&lt;&gt;"not_applicable")</formula>
    </cfRule>
    <cfRule type="expression" priority="24" dxfId="1">
      <formula>OR(AND(IF($D4="",INDEX(primary_jama_2019_2210_disposition,MATCH($A4,primary_jama_2019_2210_key,0)),$D4)&lt;&gt;"",IF($D4="",INDEX(primary_jama_2019_2210_disposition,MATCH($A4,primary_jama_2019_2210_key,0)),$D4)&lt;&gt;"retain"),NOT(OR(IF($E4="",INDEX(primary_jama_2019_2210_domain,MATCH($A4,primary_jama_2019_2210_key,0)),$E4)="statistical_results")))</formula>
    </cfRule>
  </conditionalFormatting>
  <conditionalFormatting sqref="I5">
    <cfRule type="expression" priority="25" dxfId="0" stopIfTrue="1">
      <formula>AND(OR(AND(IF($D5="",INDEX(primary_jama_2019_2210_disposition,MATCH($A5,primary_jama_2019_2210_key,0)),$D5)&lt;&gt;"",IF($D5="",INDEX(primary_jama_2019_2210_disposition,MATCH($A5,primary_jama_2019_2210_key,0)),$D5)&lt;&gt;"retain"),NOT(OR(IF($E5="",INDEX(primary_jama_2019_2210_domain,MATCH($A5,primary_jama_2019_2210_key,0)),$E5)="statistical_results"))),I5&lt;&gt;"",I5&lt;&gt;"not_applicable")</formula>
    </cfRule>
    <cfRule type="expression" priority="26" dxfId="1">
      <formula>OR(AND(IF($D5="",INDEX(primary_jama_2019_2210_disposition,MATCH($A5,primary_jama_2019_2210_key,0)),$D5)&lt;&gt;"",IF($D5="",INDEX(primary_jama_2019_2210_disposition,MATCH($A5,primary_jama_2019_2210_key,0)),$D5)&lt;&gt;"retain"),NOT(OR(IF($E5="",INDEX(primary_jama_2019_2210_domain,MATCH($A5,primary_jama_2019_2210_key,0)),$E5)="statistical_results")))</formula>
    </cfRule>
  </conditionalFormatting>
  <conditionalFormatting sqref="I6">
    <cfRule type="expression" priority="27" dxfId="0" stopIfTrue="1">
      <formula>AND(OR(AND(IF($D6="",INDEX(primary_jama_2019_2210_disposition,MATCH($A6,primary_jama_2019_2210_key,0)),$D6)&lt;&gt;"",IF($D6="",INDEX(primary_jama_2019_2210_disposition,MATCH($A6,primary_jama_2019_2210_key,0)),$D6)&lt;&gt;"retain"),NOT(OR(IF($E6="",INDEX(primary_jama_2019_2210_domain,MATCH($A6,primary_jama_2019_2210_key,0)),$E6)="statistical_results"))),I6&lt;&gt;"",I6&lt;&gt;"not_applicable")</formula>
    </cfRule>
    <cfRule type="expression" priority="28" dxfId="1">
      <formula>OR(AND(IF($D6="",INDEX(primary_jama_2019_2210_disposition,MATCH($A6,primary_jama_2019_2210_key,0)),$D6)&lt;&gt;"",IF($D6="",INDEX(primary_jama_2019_2210_disposition,MATCH($A6,primary_jama_2019_2210_key,0)),$D6)&lt;&gt;"retain"),NOT(OR(IF($E6="",INDEX(primary_jama_2019_2210_domain,MATCH($A6,primary_jama_2019_2210_key,0)),$E6)="statistical_results")))</formula>
    </cfRule>
  </conditionalFormatting>
  <conditionalFormatting sqref="I7">
    <cfRule type="expression" priority="29" dxfId="0" stopIfTrue="1">
      <formula>AND(OR(AND(IF($D7="",INDEX(primary_jama_2019_2210_disposition,MATCH($A7,primary_jama_2019_2210_key,0)),$D7)&lt;&gt;"",IF($D7="",INDEX(primary_jama_2019_2210_disposition,MATCH($A7,primary_jama_2019_2210_key,0)),$D7)&lt;&gt;"retain"),NOT(OR(IF($E7="",INDEX(primary_jama_2019_2210_domain,MATCH($A7,primary_jama_2019_2210_key,0)),$E7)="statistical_results"))),I7&lt;&gt;"",I7&lt;&gt;"not_applicable")</formula>
    </cfRule>
    <cfRule type="expression" priority="30" dxfId="1">
      <formula>OR(AND(IF($D7="",INDEX(primary_jama_2019_2210_disposition,MATCH($A7,primary_jama_2019_2210_key,0)),$D7)&lt;&gt;"",IF($D7="",INDEX(primary_jama_2019_2210_disposition,MATCH($A7,primary_jama_2019_2210_key,0)),$D7)&lt;&gt;"retain"),NOT(OR(IF($E7="",INDEX(primary_jama_2019_2210_domain,MATCH($A7,primary_jama_2019_2210_key,0)),$E7)="statistical_results")))</formula>
    </cfRule>
  </conditionalFormatting>
  <conditionalFormatting sqref="I8">
    <cfRule type="expression" priority="31" dxfId="0" stopIfTrue="1">
      <formula>AND(OR(AND(IF($D8="",INDEX(primary_jama_2019_2210_disposition,MATCH($A8,primary_jama_2019_2210_key,0)),$D8)&lt;&gt;"",IF($D8="",INDEX(primary_jama_2019_2210_disposition,MATCH($A8,primary_jama_2019_2210_key,0)),$D8)&lt;&gt;"retain"),NOT(OR(IF($E8="",INDEX(primary_jama_2019_2210_domain,MATCH($A8,primary_jama_2019_2210_key,0)),$E8)="statistical_results"))),I8&lt;&gt;"",I8&lt;&gt;"not_applicable")</formula>
    </cfRule>
    <cfRule type="expression" priority="32" dxfId="1">
      <formula>OR(AND(IF($D8="",INDEX(primary_jama_2019_2210_disposition,MATCH($A8,primary_jama_2019_2210_key,0)),$D8)&lt;&gt;"",IF($D8="",INDEX(primary_jama_2019_2210_disposition,MATCH($A8,primary_jama_2019_2210_key,0)),$D8)&lt;&gt;"retain"),NOT(OR(IF($E8="",INDEX(primary_jama_2019_2210_domain,MATCH($A8,primary_jama_2019_2210_key,0)),$E8)="statistical_results")))</formula>
    </cfRule>
  </conditionalFormatting>
  <conditionalFormatting sqref="I9">
    <cfRule type="expression" priority="33" dxfId="0" stopIfTrue="1">
      <formula>AND(OR(AND(IF($D9="",INDEX(primary_jama_2019_2210_disposition,MATCH($A9,primary_jama_2019_2210_key,0)),$D9)&lt;&gt;"",IF($D9="",INDEX(primary_jama_2019_2210_disposition,MATCH($A9,primary_jama_2019_2210_key,0)),$D9)&lt;&gt;"retain"),NOT(OR(IF($E9="",INDEX(primary_jama_2019_2210_domain,MATCH($A9,primary_jama_2019_2210_key,0)),$E9)="statistical_results"))),I9&lt;&gt;"",I9&lt;&gt;"not_applicable")</formula>
    </cfRule>
    <cfRule type="expression" priority="34" dxfId="1">
      <formula>OR(AND(IF($D9="",INDEX(primary_jama_2019_2210_disposition,MATCH($A9,primary_jama_2019_2210_key,0)),$D9)&lt;&gt;"",IF($D9="",INDEX(primary_jama_2019_2210_disposition,MATCH($A9,primary_jama_2019_2210_key,0)),$D9)&lt;&gt;"retain"),NOT(OR(IF($E9="",INDEX(primary_jama_2019_2210_domain,MATCH($A9,primary_jama_2019_2210_key,0)),$E9)="statistical_results")))</formula>
    </cfRule>
  </conditionalFormatting>
  <conditionalFormatting sqref="I10">
    <cfRule type="expression" priority="35" dxfId="0" stopIfTrue="1">
      <formula>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I10&lt;&gt;"",I10&lt;&gt;"not_applicable")</formula>
    </cfRule>
    <cfRule type="expression" priority="36" dxfId="1">
      <formula>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formula>
    </cfRule>
  </conditionalFormatting>
  <conditionalFormatting sqref="J2">
    <cfRule type="expression" priority="37" dxfId="0" stopIfTrue="1">
      <formula>AND(OR(AND(IF($D2="",INDEX(primary_jama_2019_2210_disposition,MATCH($A2,primary_jama_2019_2210_key,0)),$D2)&lt;&gt;"",IF($D2="",INDEX(primary_jama_2019_2210_disposition,MATCH($A2,primary_jama_2019_2210_key,0)),$D2)&lt;&gt;"retain"),NOT(OR(IF($E2="",INDEX(primary_jama_2019_2210_domain,MATCH($A2,primary_jama_2019_2210_key,0)),$E2)="statistical_results"))),J2&lt;&gt;"",J2&lt;&gt;"not_applicable")</formula>
    </cfRule>
    <cfRule type="expression" priority="38" dxfId="1">
      <formula>OR(AND(IF($D2="",INDEX(primary_jama_2019_2210_disposition,MATCH($A2,primary_jama_2019_2210_key,0)),$D2)&lt;&gt;"",IF($D2="",INDEX(primary_jama_2019_2210_disposition,MATCH($A2,primary_jama_2019_2210_key,0)),$D2)&lt;&gt;"retain"),NOT(OR(IF($E2="",INDEX(primary_jama_2019_2210_domain,MATCH($A2,primary_jama_2019_2210_key,0)),$E2)="statistical_results")))</formula>
    </cfRule>
  </conditionalFormatting>
  <conditionalFormatting sqref="J3">
    <cfRule type="expression" priority="39" dxfId="0" stopIfTrue="1">
      <formula>AND(OR(AND(IF($D3="",INDEX(primary_jama_2019_2210_disposition,MATCH($A3,primary_jama_2019_2210_key,0)),$D3)&lt;&gt;"",IF($D3="",INDEX(primary_jama_2019_2210_disposition,MATCH($A3,primary_jama_2019_2210_key,0)),$D3)&lt;&gt;"retain"),NOT(OR(IF($E3="",INDEX(primary_jama_2019_2210_domain,MATCH($A3,primary_jama_2019_2210_key,0)),$E3)="statistical_results"))),J3&lt;&gt;"",J3&lt;&gt;"not_applicable")</formula>
    </cfRule>
    <cfRule type="expression" priority="40" dxfId="1">
      <formula>OR(AND(IF($D3="",INDEX(primary_jama_2019_2210_disposition,MATCH($A3,primary_jama_2019_2210_key,0)),$D3)&lt;&gt;"",IF($D3="",INDEX(primary_jama_2019_2210_disposition,MATCH($A3,primary_jama_2019_2210_key,0)),$D3)&lt;&gt;"retain"),NOT(OR(IF($E3="",INDEX(primary_jama_2019_2210_domain,MATCH($A3,primary_jama_2019_2210_key,0)),$E3)="statistical_results")))</formula>
    </cfRule>
  </conditionalFormatting>
  <conditionalFormatting sqref="J4">
    <cfRule type="expression" priority="41" dxfId="0" stopIfTrue="1">
      <formula>AND(OR(AND(IF($D4="",INDEX(primary_jama_2019_2210_disposition,MATCH($A4,primary_jama_2019_2210_key,0)),$D4)&lt;&gt;"",IF($D4="",INDEX(primary_jama_2019_2210_disposition,MATCH($A4,primary_jama_2019_2210_key,0)),$D4)&lt;&gt;"retain"),NOT(OR(IF($E4="",INDEX(primary_jama_2019_2210_domain,MATCH($A4,primary_jama_2019_2210_key,0)),$E4)="statistical_results"))),J4&lt;&gt;"",J4&lt;&gt;"not_applicable")</formula>
    </cfRule>
    <cfRule type="expression" priority="42" dxfId="1">
      <formula>OR(AND(IF($D4="",INDEX(primary_jama_2019_2210_disposition,MATCH($A4,primary_jama_2019_2210_key,0)),$D4)&lt;&gt;"",IF($D4="",INDEX(primary_jama_2019_2210_disposition,MATCH($A4,primary_jama_2019_2210_key,0)),$D4)&lt;&gt;"retain"),NOT(OR(IF($E4="",INDEX(primary_jama_2019_2210_domain,MATCH($A4,primary_jama_2019_2210_key,0)),$E4)="statistical_results")))</formula>
    </cfRule>
  </conditionalFormatting>
  <conditionalFormatting sqref="J5">
    <cfRule type="expression" priority="43" dxfId="0" stopIfTrue="1">
      <formula>AND(OR(AND(IF($D5="",INDEX(primary_jama_2019_2210_disposition,MATCH($A5,primary_jama_2019_2210_key,0)),$D5)&lt;&gt;"",IF($D5="",INDEX(primary_jama_2019_2210_disposition,MATCH($A5,primary_jama_2019_2210_key,0)),$D5)&lt;&gt;"retain"),NOT(OR(IF($E5="",INDEX(primary_jama_2019_2210_domain,MATCH($A5,primary_jama_2019_2210_key,0)),$E5)="statistical_results"))),J5&lt;&gt;"",J5&lt;&gt;"not_applicable")</formula>
    </cfRule>
    <cfRule type="expression" priority="44" dxfId="1">
      <formula>OR(AND(IF($D5="",INDEX(primary_jama_2019_2210_disposition,MATCH($A5,primary_jama_2019_2210_key,0)),$D5)&lt;&gt;"",IF($D5="",INDEX(primary_jama_2019_2210_disposition,MATCH($A5,primary_jama_2019_2210_key,0)),$D5)&lt;&gt;"retain"),NOT(OR(IF($E5="",INDEX(primary_jama_2019_2210_domain,MATCH($A5,primary_jama_2019_2210_key,0)),$E5)="statistical_results")))</formula>
    </cfRule>
  </conditionalFormatting>
  <conditionalFormatting sqref="J6">
    <cfRule type="expression" priority="45" dxfId="0" stopIfTrue="1">
      <formula>AND(OR(AND(IF($D6="",INDEX(primary_jama_2019_2210_disposition,MATCH($A6,primary_jama_2019_2210_key,0)),$D6)&lt;&gt;"",IF($D6="",INDEX(primary_jama_2019_2210_disposition,MATCH($A6,primary_jama_2019_2210_key,0)),$D6)&lt;&gt;"retain"),NOT(OR(IF($E6="",INDEX(primary_jama_2019_2210_domain,MATCH($A6,primary_jama_2019_2210_key,0)),$E6)="statistical_results"))),J6&lt;&gt;"",J6&lt;&gt;"not_applicable")</formula>
    </cfRule>
    <cfRule type="expression" priority="46" dxfId="1">
      <formula>OR(AND(IF($D6="",INDEX(primary_jama_2019_2210_disposition,MATCH($A6,primary_jama_2019_2210_key,0)),$D6)&lt;&gt;"",IF($D6="",INDEX(primary_jama_2019_2210_disposition,MATCH($A6,primary_jama_2019_2210_key,0)),$D6)&lt;&gt;"retain"),NOT(OR(IF($E6="",INDEX(primary_jama_2019_2210_domain,MATCH($A6,primary_jama_2019_2210_key,0)),$E6)="statistical_results")))</formula>
    </cfRule>
  </conditionalFormatting>
  <conditionalFormatting sqref="J7">
    <cfRule type="expression" priority="47" dxfId="0" stopIfTrue="1">
      <formula>AND(OR(AND(IF($D7="",INDEX(primary_jama_2019_2210_disposition,MATCH($A7,primary_jama_2019_2210_key,0)),$D7)&lt;&gt;"",IF($D7="",INDEX(primary_jama_2019_2210_disposition,MATCH($A7,primary_jama_2019_2210_key,0)),$D7)&lt;&gt;"retain"),NOT(OR(IF($E7="",INDEX(primary_jama_2019_2210_domain,MATCH($A7,primary_jama_2019_2210_key,0)),$E7)="statistical_results"))),J7&lt;&gt;"",J7&lt;&gt;"not_applicable")</formula>
    </cfRule>
    <cfRule type="expression" priority="48" dxfId="1">
      <formula>OR(AND(IF($D7="",INDEX(primary_jama_2019_2210_disposition,MATCH($A7,primary_jama_2019_2210_key,0)),$D7)&lt;&gt;"",IF($D7="",INDEX(primary_jama_2019_2210_disposition,MATCH($A7,primary_jama_2019_2210_key,0)),$D7)&lt;&gt;"retain"),NOT(OR(IF($E7="",INDEX(primary_jama_2019_2210_domain,MATCH($A7,primary_jama_2019_2210_key,0)),$E7)="statistical_results")))</formula>
    </cfRule>
  </conditionalFormatting>
  <conditionalFormatting sqref="J8">
    <cfRule type="expression" priority="49" dxfId="0" stopIfTrue="1">
      <formula>AND(OR(AND(IF($D8="",INDEX(primary_jama_2019_2210_disposition,MATCH($A8,primary_jama_2019_2210_key,0)),$D8)&lt;&gt;"",IF($D8="",INDEX(primary_jama_2019_2210_disposition,MATCH($A8,primary_jama_2019_2210_key,0)),$D8)&lt;&gt;"retain"),NOT(OR(IF($E8="",INDEX(primary_jama_2019_2210_domain,MATCH($A8,primary_jama_2019_2210_key,0)),$E8)="statistical_results"))),J8&lt;&gt;"",J8&lt;&gt;"not_applicable")</formula>
    </cfRule>
    <cfRule type="expression" priority="50" dxfId="1">
      <formula>OR(AND(IF($D8="",INDEX(primary_jama_2019_2210_disposition,MATCH($A8,primary_jama_2019_2210_key,0)),$D8)&lt;&gt;"",IF($D8="",INDEX(primary_jama_2019_2210_disposition,MATCH($A8,primary_jama_2019_2210_key,0)),$D8)&lt;&gt;"retain"),NOT(OR(IF($E8="",INDEX(primary_jama_2019_2210_domain,MATCH($A8,primary_jama_2019_2210_key,0)),$E8)="statistical_results")))</formula>
    </cfRule>
  </conditionalFormatting>
  <conditionalFormatting sqref="J9">
    <cfRule type="expression" priority="51" dxfId="0" stopIfTrue="1">
      <formula>AND(OR(AND(IF($D9="",INDEX(primary_jama_2019_2210_disposition,MATCH($A9,primary_jama_2019_2210_key,0)),$D9)&lt;&gt;"",IF($D9="",INDEX(primary_jama_2019_2210_disposition,MATCH($A9,primary_jama_2019_2210_key,0)),$D9)&lt;&gt;"retain"),NOT(OR(IF($E9="",INDEX(primary_jama_2019_2210_domain,MATCH($A9,primary_jama_2019_2210_key,0)),$E9)="statistical_results"))),J9&lt;&gt;"",J9&lt;&gt;"not_applicable")</formula>
    </cfRule>
    <cfRule type="expression" priority="52" dxfId="1">
      <formula>OR(AND(IF($D9="",INDEX(primary_jama_2019_2210_disposition,MATCH($A9,primary_jama_2019_2210_key,0)),$D9)&lt;&gt;"",IF($D9="",INDEX(primary_jama_2019_2210_disposition,MATCH($A9,primary_jama_2019_2210_key,0)),$D9)&lt;&gt;"retain"),NOT(OR(IF($E9="",INDEX(primary_jama_2019_2210_domain,MATCH($A9,primary_jama_2019_2210_key,0)),$E9)="statistical_results")))</formula>
    </cfRule>
  </conditionalFormatting>
  <conditionalFormatting sqref="J10">
    <cfRule type="expression" priority="53" dxfId="0" stopIfTrue="1">
      <formula>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J10&lt;&gt;"",J10&lt;&gt;"not_applicable")</formula>
    </cfRule>
    <cfRule type="expression" priority="54" dxfId="1">
      <formula>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formula>
    </cfRule>
  </conditionalFormatting>
  <conditionalFormatting sqref="K2">
    <cfRule type="expression" priority="55" dxfId="0" stopIfTrue="1">
      <formula>AND(OR(AND(IF($D2="",INDEX(primary_jama_2019_2210_disposition,MATCH($A2,primary_jama_2019_2210_key,0)),$D2)&lt;&gt;"",IF($D2="",INDEX(primary_jama_2019_2210_disposition,MATCH($A2,primary_jama_2019_2210_key,0)),$D2)&lt;&gt;"retain"),NOT(OR(IF($E2="",INDEX(primary_jama_2019_2210_domain,MATCH($A2,primary_jama_2019_2210_key,0)),$E2)="report_internal_inconsistency",IF($E2="",INDEX(primary_jama_2019_2210_domain,MATCH($A2,primary_jama_2019_2210_key,0)),$E2)="plan_material"))),K2&lt;&gt;"",K2&lt;&gt;"not_applicable")</formula>
    </cfRule>
    <cfRule type="expression" priority="56" dxfId="1">
      <formula>OR(AND(IF($D2="",INDEX(primary_jama_2019_2210_disposition,MATCH($A2,primary_jama_2019_2210_key,0)),$D2)&lt;&gt;"",IF($D2="",INDEX(primary_jama_2019_2210_disposition,MATCH($A2,primary_jama_2019_2210_key,0)),$D2)&lt;&gt;"retain"),NOT(OR(IF($E2="",INDEX(primary_jama_2019_2210_domain,MATCH($A2,primary_jama_2019_2210_key,0)),$E2)="report_internal_inconsistency",IF($E2="",INDEX(primary_jama_2019_2210_domain,MATCH($A2,primary_jama_2019_2210_key,0)),$E2)="plan_material")))</formula>
    </cfRule>
  </conditionalFormatting>
  <conditionalFormatting sqref="K3">
    <cfRule type="expression" priority="57" dxfId="0" stopIfTrue="1">
      <formula>AND(OR(AND(IF($D3="",INDEX(primary_jama_2019_2210_disposition,MATCH($A3,primary_jama_2019_2210_key,0)),$D3)&lt;&gt;"",IF($D3="",INDEX(primary_jama_2019_2210_disposition,MATCH($A3,primary_jama_2019_2210_key,0)),$D3)&lt;&gt;"retain"),NOT(OR(IF($E3="",INDEX(primary_jama_2019_2210_domain,MATCH($A3,primary_jama_2019_2210_key,0)),$E3)="report_internal_inconsistency",IF($E3="",INDEX(primary_jama_2019_2210_domain,MATCH($A3,primary_jama_2019_2210_key,0)),$E3)="plan_material"))),K3&lt;&gt;"",K3&lt;&gt;"not_applicable")</formula>
    </cfRule>
    <cfRule type="expression" priority="58" dxfId="1">
      <formula>OR(AND(IF($D3="",INDEX(primary_jama_2019_2210_disposition,MATCH($A3,primary_jama_2019_2210_key,0)),$D3)&lt;&gt;"",IF($D3="",INDEX(primary_jama_2019_2210_disposition,MATCH($A3,primary_jama_2019_2210_key,0)),$D3)&lt;&gt;"retain"),NOT(OR(IF($E3="",INDEX(primary_jama_2019_2210_domain,MATCH($A3,primary_jama_2019_2210_key,0)),$E3)="report_internal_inconsistency",IF($E3="",INDEX(primary_jama_2019_2210_domain,MATCH($A3,primary_jama_2019_2210_key,0)),$E3)="plan_material")))</formula>
    </cfRule>
  </conditionalFormatting>
  <conditionalFormatting sqref="K4">
    <cfRule type="expression" priority="59" dxfId="0" stopIfTrue="1">
      <formula>AND(OR(AND(IF($D4="",INDEX(primary_jama_2019_2210_disposition,MATCH($A4,primary_jama_2019_2210_key,0)),$D4)&lt;&gt;"",IF($D4="",INDEX(primary_jama_2019_2210_disposition,MATCH($A4,primary_jama_2019_2210_key,0)),$D4)&lt;&gt;"retain"),NOT(OR(IF($E4="",INDEX(primary_jama_2019_2210_domain,MATCH($A4,primary_jama_2019_2210_key,0)),$E4)="report_internal_inconsistency",IF($E4="",INDEX(primary_jama_2019_2210_domain,MATCH($A4,primary_jama_2019_2210_key,0)),$E4)="plan_material"))),K4&lt;&gt;"",K4&lt;&gt;"not_applicable")</formula>
    </cfRule>
    <cfRule type="expression" priority="60" dxfId="1">
      <formula>OR(AND(IF($D4="",INDEX(primary_jama_2019_2210_disposition,MATCH($A4,primary_jama_2019_2210_key,0)),$D4)&lt;&gt;"",IF($D4="",INDEX(primary_jama_2019_2210_disposition,MATCH($A4,primary_jama_2019_2210_key,0)),$D4)&lt;&gt;"retain"),NOT(OR(IF($E4="",INDEX(primary_jama_2019_2210_domain,MATCH($A4,primary_jama_2019_2210_key,0)),$E4)="report_internal_inconsistency",IF($E4="",INDEX(primary_jama_2019_2210_domain,MATCH($A4,primary_jama_2019_2210_key,0)),$E4)="plan_material")))</formula>
    </cfRule>
  </conditionalFormatting>
  <conditionalFormatting sqref="K5">
    <cfRule type="expression" priority="61" dxfId="0" stopIfTrue="1">
      <formula>AND(OR(AND(IF($D5="",INDEX(primary_jama_2019_2210_disposition,MATCH($A5,primary_jama_2019_2210_key,0)),$D5)&lt;&gt;"",IF($D5="",INDEX(primary_jama_2019_2210_disposition,MATCH($A5,primary_jama_2019_2210_key,0)),$D5)&lt;&gt;"retain"),NOT(OR(IF($E5="",INDEX(primary_jama_2019_2210_domain,MATCH($A5,primary_jama_2019_2210_key,0)),$E5)="report_internal_inconsistency",IF($E5="",INDEX(primary_jama_2019_2210_domain,MATCH($A5,primary_jama_2019_2210_key,0)),$E5)="plan_material"))),K5&lt;&gt;"",K5&lt;&gt;"not_applicable")</formula>
    </cfRule>
    <cfRule type="expression" priority="62" dxfId="1">
      <formula>OR(AND(IF($D5="",INDEX(primary_jama_2019_2210_disposition,MATCH($A5,primary_jama_2019_2210_key,0)),$D5)&lt;&gt;"",IF($D5="",INDEX(primary_jama_2019_2210_disposition,MATCH($A5,primary_jama_2019_2210_key,0)),$D5)&lt;&gt;"retain"),NOT(OR(IF($E5="",INDEX(primary_jama_2019_2210_domain,MATCH($A5,primary_jama_2019_2210_key,0)),$E5)="report_internal_inconsistency",IF($E5="",INDEX(primary_jama_2019_2210_domain,MATCH($A5,primary_jama_2019_2210_key,0)),$E5)="plan_material")))</formula>
    </cfRule>
  </conditionalFormatting>
  <conditionalFormatting sqref="K6">
    <cfRule type="expression" priority="63" dxfId="0" stopIfTrue="1">
      <formula>AND(OR(AND(IF($D6="",INDEX(primary_jama_2019_2210_disposition,MATCH($A6,primary_jama_2019_2210_key,0)),$D6)&lt;&gt;"",IF($D6="",INDEX(primary_jama_2019_2210_disposition,MATCH($A6,primary_jama_2019_2210_key,0)),$D6)&lt;&gt;"retain"),NOT(OR(IF($E6="",INDEX(primary_jama_2019_2210_domain,MATCH($A6,primary_jama_2019_2210_key,0)),$E6)="report_internal_inconsistency",IF($E6="",INDEX(primary_jama_2019_2210_domain,MATCH($A6,primary_jama_2019_2210_key,0)),$E6)="plan_material"))),K6&lt;&gt;"",K6&lt;&gt;"not_applicable")</formula>
    </cfRule>
    <cfRule type="expression" priority="64" dxfId="1">
      <formula>OR(AND(IF($D6="",INDEX(primary_jama_2019_2210_disposition,MATCH($A6,primary_jama_2019_2210_key,0)),$D6)&lt;&gt;"",IF($D6="",INDEX(primary_jama_2019_2210_disposition,MATCH($A6,primary_jama_2019_2210_key,0)),$D6)&lt;&gt;"retain"),NOT(OR(IF($E6="",INDEX(primary_jama_2019_2210_domain,MATCH($A6,primary_jama_2019_2210_key,0)),$E6)="report_internal_inconsistency",IF($E6="",INDEX(primary_jama_2019_2210_domain,MATCH($A6,primary_jama_2019_2210_key,0)),$E6)="plan_material")))</formula>
    </cfRule>
  </conditionalFormatting>
  <conditionalFormatting sqref="K7">
    <cfRule type="expression" priority="65" dxfId="0" stopIfTrue="1">
      <formula>AND(OR(AND(IF($D7="",INDEX(primary_jama_2019_2210_disposition,MATCH($A7,primary_jama_2019_2210_key,0)),$D7)&lt;&gt;"",IF($D7="",INDEX(primary_jama_2019_2210_disposition,MATCH($A7,primary_jama_2019_2210_key,0)),$D7)&lt;&gt;"retain"),NOT(OR(IF($E7="",INDEX(primary_jama_2019_2210_domain,MATCH($A7,primary_jama_2019_2210_key,0)),$E7)="report_internal_inconsistency",IF($E7="",INDEX(primary_jama_2019_2210_domain,MATCH($A7,primary_jama_2019_2210_key,0)),$E7)="plan_material"))),K7&lt;&gt;"",K7&lt;&gt;"not_applicable")</formula>
    </cfRule>
    <cfRule type="expression" priority="66" dxfId="1">
      <formula>OR(AND(IF($D7="",INDEX(primary_jama_2019_2210_disposition,MATCH($A7,primary_jama_2019_2210_key,0)),$D7)&lt;&gt;"",IF($D7="",INDEX(primary_jama_2019_2210_disposition,MATCH($A7,primary_jama_2019_2210_key,0)),$D7)&lt;&gt;"retain"),NOT(OR(IF($E7="",INDEX(primary_jama_2019_2210_domain,MATCH($A7,primary_jama_2019_2210_key,0)),$E7)="report_internal_inconsistency",IF($E7="",INDEX(primary_jama_2019_2210_domain,MATCH($A7,primary_jama_2019_2210_key,0)),$E7)="plan_material")))</formula>
    </cfRule>
  </conditionalFormatting>
  <conditionalFormatting sqref="K8">
    <cfRule type="expression" priority="67" dxfId="0" stopIfTrue="1">
      <formula>AND(OR(AND(IF($D8="",INDEX(primary_jama_2019_2210_disposition,MATCH($A8,primary_jama_2019_2210_key,0)),$D8)&lt;&gt;"",IF($D8="",INDEX(primary_jama_2019_2210_disposition,MATCH($A8,primary_jama_2019_2210_key,0)),$D8)&lt;&gt;"retain"),NOT(OR(IF($E8="",INDEX(primary_jama_2019_2210_domain,MATCH($A8,primary_jama_2019_2210_key,0)),$E8)="report_internal_inconsistency",IF($E8="",INDEX(primary_jama_2019_2210_domain,MATCH($A8,primary_jama_2019_2210_key,0)),$E8)="plan_material"))),K8&lt;&gt;"",K8&lt;&gt;"not_applicable")</formula>
    </cfRule>
    <cfRule type="expression" priority="68" dxfId="1">
      <formula>OR(AND(IF($D8="",INDEX(primary_jama_2019_2210_disposition,MATCH($A8,primary_jama_2019_2210_key,0)),$D8)&lt;&gt;"",IF($D8="",INDEX(primary_jama_2019_2210_disposition,MATCH($A8,primary_jama_2019_2210_key,0)),$D8)&lt;&gt;"retain"),NOT(OR(IF($E8="",INDEX(primary_jama_2019_2210_domain,MATCH($A8,primary_jama_2019_2210_key,0)),$E8)="report_internal_inconsistency",IF($E8="",INDEX(primary_jama_2019_2210_domain,MATCH($A8,primary_jama_2019_2210_key,0)),$E8)="plan_material")))</formula>
    </cfRule>
  </conditionalFormatting>
  <conditionalFormatting sqref="K9">
    <cfRule type="expression" priority="69" dxfId="0" stopIfTrue="1">
      <formula>AND(OR(AND(IF($D9="",INDEX(primary_jama_2019_2210_disposition,MATCH($A9,primary_jama_2019_2210_key,0)),$D9)&lt;&gt;"",IF($D9="",INDEX(primary_jama_2019_2210_disposition,MATCH($A9,primary_jama_2019_2210_key,0)),$D9)&lt;&gt;"retain"),NOT(OR(IF($E9="",INDEX(primary_jama_2019_2210_domain,MATCH($A9,primary_jama_2019_2210_key,0)),$E9)="report_internal_inconsistency",IF($E9="",INDEX(primary_jama_2019_2210_domain,MATCH($A9,primary_jama_2019_2210_key,0)),$E9)="plan_material"))),K9&lt;&gt;"",K9&lt;&gt;"not_applicable")</formula>
    </cfRule>
    <cfRule type="expression" priority="70" dxfId="1">
      <formula>OR(AND(IF($D9="",INDEX(primary_jama_2019_2210_disposition,MATCH($A9,primary_jama_2019_2210_key,0)),$D9)&lt;&gt;"",IF($D9="",INDEX(primary_jama_2019_2210_disposition,MATCH($A9,primary_jama_2019_2210_key,0)),$D9)&lt;&gt;"retain"),NOT(OR(IF($E9="",INDEX(primary_jama_2019_2210_domain,MATCH($A9,primary_jama_2019_2210_key,0)),$E9)="report_internal_inconsistency",IF($E9="",INDEX(primary_jama_2019_2210_domain,MATCH($A9,primary_jama_2019_2210_key,0)),$E9)="plan_material")))</formula>
    </cfRule>
  </conditionalFormatting>
  <conditionalFormatting sqref="K10">
    <cfRule type="expression" priority="71" dxfId="0" stopIfTrue="1">
      <formula>AND(OR(AND(IF($D10="",INDEX(primary_jama_2019_2210_disposition,MATCH($A10,primary_jama_2019_2210_key,0)),$D10)&lt;&gt;"",IF($D10="",INDEX(primary_jama_2019_2210_disposition,MATCH($A10,primary_jama_2019_2210_key,0)),$D10)&lt;&gt;"retain"),NOT(OR(IF($E10="",INDEX(primary_jama_2019_2210_domain,MATCH($A10,primary_jama_2019_2210_key,0)),$E10)="report_internal_inconsistency",IF($E10="",INDEX(primary_jama_2019_2210_domain,MATCH($A10,primary_jama_2019_2210_key,0)),$E10)="plan_material"))),K10&lt;&gt;"",K10&lt;&gt;"not_applicable")</formula>
    </cfRule>
    <cfRule type="expression" priority="72" dxfId="1">
      <formula>OR(AND(IF($D10="",INDEX(primary_jama_2019_2210_disposition,MATCH($A10,primary_jama_2019_2210_key,0)),$D10)&lt;&gt;"",IF($D10="",INDEX(primary_jama_2019_2210_disposition,MATCH($A10,primary_jama_2019_2210_key,0)),$D10)&lt;&gt;"retain"),NOT(OR(IF($E10="",INDEX(primary_jama_2019_2210_domain,MATCH($A10,primary_jama_2019_2210_key,0)),$E10)="report_internal_inconsistency",IF($E10="",INDEX(primary_jama_2019_2210_domain,MATCH($A10,primary_jama_2019_2210_key,0)),$E10)="plan_material")))</formula>
    </cfRule>
  </conditionalFormatting>
  <conditionalFormatting sqref="L2">
    <cfRule type="expression" priority="73" dxfId="0" stopIfTrue="1">
      <formula>AND(OR(AND(IF($D2="",INDEX(primary_jama_2019_2210_disposition,MATCH($A2,primary_jama_2019_2210_key,0)),$D2)&lt;&gt;"",IF($D2="",INDEX(primary_jama_2019_2210_disposition,MATCH($A2,primary_jama_2019_2210_key,0)),$D2)&lt;&gt;"retain"),NOT(OR(IF($E2="",INDEX(primary_jama_2019_2210_domain,MATCH($A2,primary_jama_2019_2210_key,0)),$E2)="protocol_report"))),L2&lt;&gt;"",L2&lt;&gt;"not_applicable")</formula>
    </cfRule>
    <cfRule type="expression" priority="74" dxfId="1">
      <formula>OR(AND(IF($D2="",INDEX(primary_jama_2019_2210_disposition,MATCH($A2,primary_jama_2019_2210_key,0)),$D2)&lt;&gt;"",IF($D2="",INDEX(primary_jama_2019_2210_disposition,MATCH($A2,primary_jama_2019_2210_key,0)),$D2)&lt;&gt;"retain"),NOT(OR(IF($E2="",INDEX(primary_jama_2019_2210_domain,MATCH($A2,primary_jama_2019_2210_key,0)),$E2)="protocol_report")))</formula>
    </cfRule>
  </conditionalFormatting>
  <conditionalFormatting sqref="L3">
    <cfRule type="expression" priority="75" dxfId="0" stopIfTrue="1">
      <formula>AND(OR(AND(IF($D3="",INDEX(primary_jama_2019_2210_disposition,MATCH($A3,primary_jama_2019_2210_key,0)),$D3)&lt;&gt;"",IF($D3="",INDEX(primary_jama_2019_2210_disposition,MATCH($A3,primary_jama_2019_2210_key,0)),$D3)&lt;&gt;"retain"),NOT(OR(IF($E3="",INDEX(primary_jama_2019_2210_domain,MATCH($A3,primary_jama_2019_2210_key,0)),$E3)="protocol_report"))),L3&lt;&gt;"",L3&lt;&gt;"not_applicable")</formula>
    </cfRule>
    <cfRule type="expression" priority="76" dxfId="1">
      <formula>OR(AND(IF($D3="",INDEX(primary_jama_2019_2210_disposition,MATCH($A3,primary_jama_2019_2210_key,0)),$D3)&lt;&gt;"",IF($D3="",INDEX(primary_jama_2019_2210_disposition,MATCH($A3,primary_jama_2019_2210_key,0)),$D3)&lt;&gt;"retain"),NOT(OR(IF($E3="",INDEX(primary_jama_2019_2210_domain,MATCH($A3,primary_jama_2019_2210_key,0)),$E3)="protocol_report")))</formula>
    </cfRule>
  </conditionalFormatting>
  <conditionalFormatting sqref="L4">
    <cfRule type="expression" priority="77" dxfId="0" stopIfTrue="1">
      <formula>AND(OR(AND(IF($D4="",INDEX(primary_jama_2019_2210_disposition,MATCH($A4,primary_jama_2019_2210_key,0)),$D4)&lt;&gt;"",IF($D4="",INDEX(primary_jama_2019_2210_disposition,MATCH($A4,primary_jama_2019_2210_key,0)),$D4)&lt;&gt;"retain"),NOT(OR(IF($E4="",INDEX(primary_jama_2019_2210_domain,MATCH($A4,primary_jama_2019_2210_key,0)),$E4)="protocol_report"))),L4&lt;&gt;"",L4&lt;&gt;"not_applicable")</formula>
    </cfRule>
    <cfRule type="expression" priority="78" dxfId="1">
      <formula>OR(AND(IF($D4="",INDEX(primary_jama_2019_2210_disposition,MATCH($A4,primary_jama_2019_2210_key,0)),$D4)&lt;&gt;"",IF($D4="",INDEX(primary_jama_2019_2210_disposition,MATCH($A4,primary_jama_2019_2210_key,0)),$D4)&lt;&gt;"retain"),NOT(OR(IF($E4="",INDEX(primary_jama_2019_2210_domain,MATCH($A4,primary_jama_2019_2210_key,0)),$E4)="protocol_report")))</formula>
    </cfRule>
  </conditionalFormatting>
  <conditionalFormatting sqref="L5">
    <cfRule type="expression" priority="79" dxfId="0" stopIfTrue="1">
      <formula>AND(OR(AND(IF($D5="",INDEX(primary_jama_2019_2210_disposition,MATCH($A5,primary_jama_2019_2210_key,0)),$D5)&lt;&gt;"",IF($D5="",INDEX(primary_jama_2019_2210_disposition,MATCH($A5,primary_jama_2019_2210_key,0)),$D5)&lt;&gt;"retain"),NOT(OR(IF($E5="",INDEX(primary_jama_2019_2210_domain,MATCH($A5,primary_jama_2019_2210_key,0)),$E5)="protocol_report"))),L5&lt;&gt;"",L5&lt;&gt;"not_applicable")</formula>
    </cfRule>
    <cfRule type="expression" priority="80" dxfId="1">
      <formula>OR(AND(IF($D5="",INDEX(primary_jama_2019_2210_disposition,MATCH($A5,primary_jama_2019_2210_key,0)),$D5)&lt;&gt;"",IF($D5="",INDEX(primary_jama_2019_2210_disposition,MATCH($A5,primary_jama_2019_2210_key,0)),$D5)&lt;&gt;"retain"),NOT(OR(IF($E5="",INDEX(primary_jama_2019_2210_domain,MATCH($A5,primary_jama_2019_2210_key,0)),$E5)="protocol_report")))</formula>
    </cfRule>
  </conditionalFormatting>
  <conditionalFormatting sqref="L6">
    <cfRule type="expression" priority="81" dxfId="0" stopIfTrue="1">
      <formula>AND(OR(AND(IF($D6="",INDEX(primary_jama_2019_2210_disposition,MATCH($A6,primary_jama_2019_2210_key,0)),$D6)&lt;&gt;"",IF($D6="",INDEX(primary_jama_2019_2210_disposition,MATCH($A6,primary_jama_2019_2210_key,0)),$D6)&lt;&gt;"retain"),NOT(OR(IF($E6="",INDEX(primary_jama_2019_2210_domain,MATCH($A6,primary_jama_2019_2210_key,0)),$E6)="protocol_report"))),L6&lt;&gt;"",L6&lt;&gt;"not_applicable")</formula>
    </cfRule>
    <cfRule type="expression" priority="82" dxfId="1">
      <formula>OR(AND(IF($D6="",INDEX(primary_jama_2019_2210_disposition,MATCH($A6,primary_jama_2019_2210_key,0)),$D6)&lt;&gt;"",IF($D6="",INDEX(primary_jama_2019_2210_disposition,MATCH($A6,primary_jama_2019_2210_key,0)),$D6)&lt;&gt;"retain"),NOT(OR(IF($E6="",INDEX(primary_jama_2019_2210_domain,MATCH($A6,primary_jama_2019_2210_key,0)),$E6)="protocol_report")))</formula>
    </cfRule>
  </conditionalFormatting>
  <conditionalFormatting sqref="L7">
    <cfRule type="expression" priority="83" dxfId="0" stopIfTrue="1">
      <formula>AND(OR(AND(IF($D7="",INDEX(primary_jama_2019_2210_disposition,MATCH($A7,primary_jama_2019_2210_key,0)),$D7)&lt;&gt;"",IF($D7="",INDEX(primary_jama_2019_2210_disposition,MATCH($A7,primary_jama_2019_2210_key,0)),$D7)&lt;&gt;"retain"),NOT(OR(IF($E7="",INDEX(primary_jama_2019_2210_domain,MATCH($A7,primary_jama_2019_2210_key,0)),$E7)="protocol_report"))),L7&lt;&gt;"",L7&lt;&gt;"not_applicable")</formula>
    </cfRule>
    <cfRule type="expression" priority="84" dxfId="1">
      <formula>OR(AND(IF($D7="",INDEX(primary_jama_2019_2210_disposition,MATCH($A7,primary_jama_2019_2210_key,0)),$D7)&lt;&gt;"",IF($D7="",INDEX(primary_jama_2019_2210_disposition,MATCH($A7,primary_jama_2019_2210_key,0)),$D7)&lt;&gt;"retain"),NOT(OR(IF($E7="",INDEX(primary_jama_2019_2210_domain,MATCH($A7,primary_jama_2019_2210_key,0)),$E7)="protocol_report")))</formula>
    </cfRule>
  </conditionalFormatting>
  <conditionalFormatting sqref="L8">
    <cfRule type="expression" priority="85" dxfId="0" stopIfTrue="1">
      <formula>AND(OR(AND(IF($D8="",INDEX(primary_jama_2019_2210_disposition,MATCH($A8,primary_jama_2019_2210_key,0)),$D8)&lt;&gt;"",IF($D8="",INDEX(primary_jama_2019_2210_disposition,MATCH($A8,primary_jama_2019_2210_key,0)),$D8)&lt;&gt;"retain"),NOT(OR(IF($E8="",INDEX(primary_jama_2019_2210_domain,MATCH($A8,primary_jama_2019_2210_key,0)),$E8)="protocol_report"))),L8&lt;&gt;"",L8&lt;&gt;"not_applicable")</formula>
    </cfRule>
    <cfRule type="expression" priority="86" dxfId="1">
      <formula>OR(AND(IF($D8="",INDEX(primary_jama_2019_2210_disposition,MATCH($A8,primary_jama_2019_2210_key,0)),$D8)&lt;&gt;"",IF($D8="",INDEX(primary_jama_2019_2210_disposition,MATCH($A8,primary_jama_2019_2210_key,0)),$D8)&lt;&gt;"retain"),NOT(OR(IF($E8="",INDEX(primary_jama_2019_2210_domain,MATCH($A8,primary_jama_2019_2210_key,0)),$E8)="protocol_report")))</formula>
    </cfRule>
  </conditionalFormatting>
  <conditionalFormatting sqref="L9">
    <cfRule type="expression" priority="87" dxfId="0" stopIfTrue="1">
      <formula>AND(OR(AND(IF($D9="",INDEX(primary_jama_2019_2210_disposition,MATCH($A9,primary_jama_2019_2210_key,0)),$D9)&lt;&gt;"",IF($D9="",INDEX(primary_jama_2019_2210_disposition,MATCH($A9,primary_jama_2019_2210_key,0)),$D9)&lt;&gt;"retain"),NOT(OR(IF($E9="",INDEX(primary_jama_2019_2210_domain,MATCH($A9,primary_jama_2019_2210_key,0)),$E9)="protocol_report"))),L9&lt;&gt;"",L9&lt;&gt;"not_applicable")</formula>
    </cfRule>
    <cfRule type="expression" priority="88" dxfId="1">
      <formula>OR(AND(IF($D9="",INDEX(primary_jama_2019_2210_disposition,MATCH($A9,primary_jama_2019_2210_key,0)),$D9)&lt;&gt;"",IF($D9="",INDEX(primary_jama_2019_2210_disposition,MATCH($A9,primary_jama_2019_2210_key,0)),$D9)&lt;&gt;"retain"),NOT(OR(IF($E9="",INDEX(primary_jama_2019_2210_domain,MATCH($A9,primary_jama_2019_2210_key,0)),$E9)="protocol_report")))</formula>
    </cfRule>
  </conditionalFormatting>
  <conditionalFormatting sqref="L10">
    <cfRule type="expression" priority="89" dxfId="0" stopIfTrue="1">
      <formula>AND(OR(AND(IF($D10="",INDEX(primary_jama_2019_2210_disposition,MATCH($A10,primary_jama_2019_2210_key,0)),$D10)&lt;&gt;"",IF($D10="",INDEX(primary_jama_2019_2210_disposition,MATCH($A10,primary_jama_2019_2210_key,0)),$D10)&lt;&gt;"retain"),NOT(OR(IF($E10="",INDEX(primary_jama_2019_2210_domain,MATCH($A10,primary_jama_2019_2210_key,0)),$E10)="protocol_report"))),L10&lt;&gt;"",L10&lt;&gt;"not_applicable")</formula>
    </cfRule>
    <cfRule type="expression" priority="90" dxfId="1">
      <formula>OR(AND(IF($D10="",INDEX(primary_jama_2019_2210_disposition,MATCH($A10,primary_jama_2019_2210_key,0)),$D10)&lt;&gt;"",IF($D10="",INDEX(primary_jama_2019_2210_disposition,MATCH($A10,primary_jama_2019_2210_key,0)),$D10)&lt;&gt;"retain"),NOT(OR(IF($E10="",INDEX(primary_jama_2019_2210_domain,MATCH($A10,primary_jama_2019_2210_key,0)),$E10)="protocol_report")))</formula>
    </cfRule>
  </conditionalFormatting>
  <dataValidations count="10">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N2:N10" showDropDown="0" showInputMessage="1" showErrorMessage="1" allowBlank="1" errorTitle="Invalid option" error="Choose a listed value." promptTitle="Checker result" prompt="See Codebook for meanings." type="list" errorStyle="stop">
      <formula1>opt_checkStatus</formula1>
    </dataValidation>
    <dataValidation sqref="P2:P10"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R6"/>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2019::jama.2019.4755::C001</t>
        </is>
      </c>
      <c r="B2" s="2" t="inlineStr">
        <is>
          <t>Women’s quantitative 10.2 µg Hb/g PPV difference point estimate is absent</t>
        </is>
      </c>
      <c r="C2" s="2" t="inlineStr">
        <is>
          <t>joi190039supp3_prod.pdf — PDF p. 7, DOC-004 eTable 5, Women/Quantitative/10.2, Difference in PPV; comparator joi190039supp3_prod.pdf — PDF p. 6, DOC-004 eTable 4, same population, test, cutoff, day, and per-protocol analysis.</t>
        </is>
      </c>
      <c r="D2" s="8" t="inlineStr"/>
      <c r="E2" s="8" t="inlineStr"/>
      <c r="F2" s="8" t="inlineStr">
        <is>
          <t>no</t>
        </is>
      </c>
      <c r="G2" s="2">
        <f>IF(OR(AND(OR(AND(IF($D2="",INDEX(primary_jama_2019_4755_disposition,MATCH($A2,primary_jama_2019_4755_key,0)),$D2)&lt;&gt;"",IF($D2="",INDEX(primary_jama_2019_4755_disposition,MATCH($A2,primary_jama_2019_4755_key,0)),$D2)&lt;&gt;"retain"),NOT(OR(IF($E2="",INDEX(primary_jama_2019_4755_domain,MATCH($A2,primary_jama_2019_4755_key,0)),$E2)="statistical_results"))),H2&lt;&gt;"",H2&lt;&gt;"not_applicable"),AND(OR(AND(IF($D2="",INDEX(primary_jama_2019_4755_disposition,MATCH($A2,primary_jama_2019_4755_key,0)),$D2)&lt;&gt;"",IF($D2="",INDEX(primary_jama_2019_4755_disposition,MATCH($A2,primary_jama_2019_4755_key,0)),$D2)&lt;&gt;"retain"),NOT(OR(IF($E2="",INDEX(primary_jama_2019_4755_domain,MATCH($A2,primary_jama_2019_4755_key,0)),$E2)="statistical_results"))),I2&lt;&gt;"",I2&lt;&gt;"not_applicable"),AND(OR(AND(IF($D2="",INDEX(primary_jama_2019_4755_disposition,MATCH($A2,primary_jama_2019_4755_key,0)),$D2)&lt;&gt;"",IF($D2="",INDEX(primary_jama_2019_4755_disposition,MATCH($A2,primary_jama_2019_4755_key,0)),$D2)&lt;&gt;"retain"),NOT(OR(IF($E2="",INDEX(primary_jama_2019_4755_domain,MATCH($A2,primary_jama_2019_4755_key,0)),$E2)="statistical_results"))),J2&lt;&gt;"",J2&lt;&gt;"not_applicable"),AND(OR(AND(IF($D2="",INDEX(primary_jama_2019_4755_disposition,MATCH($A2,primary_jama_2019_4755_key,0)),$D2)&lt;&gt;"",IF($D2="",INDEX(primary_jama_2019_4755_disposition,MATCH($A2,primary_jama_2019_4755_key,0)),$D2)&lt;&gt;"retain"),NOT(OR(IF($E2="",INDEX(primary_jama_2019_4755_domain,MATCH($A2,primary_jama_2019_4755_key,0)),$E2)="report_internal_inconsistency",IF($E2="",INDEX(primary_jama_2019_4755_domain,MATCH($A2,primary_jama_2019_4755_key,0)),$E2)="plan_material"))),K2&lt;&gt;"",K2&lt;&gt;"not_applicable"),AND(OR(AND(IF($D2="",INDEX(primary_jama_2019_4755_disposition,MATCH($A2,primary_jama_2019_4755_key,0)),$D2)&lt;&gt;"",IF($D2="",INDEX(primary_jama_2019_4755_disposition,MATCH($A2,primary_jama_2019_4755_key,0)),$D2)&lt;&gt;"retain"),NOT(OR(IF($E2="",INDEX(primary_jama_2019_4755_domain,MATCH($A2,primary_jama_2019_4755_key,0)),$E2)="protocol_report"))),L2&lt;&gt;"",L2&lt;&gt;"not_applicable")),"CLEAR INACTIVE VALUES",IF(N2="","PENDING",IF(AND(N2&lt;&gt;"agree",LEN(TRIM(O2))=0),"COMMENT NEEDED",IF(F2="yes","CHECKED - see resolution","DRAFT"))))</f>
        <v/>
      </c>
      <c r="H2" s="8">
        <f>IF(OR(AND(IF($D2="",INDEX(primary_jama_2019_4755_disposition,MATCH($A2,primary_jama_2019_4755_key,0)),$D2)&lt;&gt;"",IF($D2="",INDEX(primary_jama_2019_4755_disposition,MATCH($A2,primary_jama_2019_4755_key,0)),$D2)&lt;&gt;"retain"),NOT(OR(IF($E2="",INDEX(primary_jama_2019_4755_domain,MATCH($A2,primary_jama_2019_4755_key,0)),$E2)="statistical_results"))),"not_applicable","")</f>
        <v/>
      </c>
      <c r="I2" s="8">
        <f>IF(OR(AND(IF($D2="",INDEX(primary_jama_2019_4755_disposition,MATCH($A2,primary_jama_2019_4755_key,0)),$D2)&lt;&gt;"",IF($D2="",INDEX(primary_jama_2019_4755_disposition,MATCH($A2,primary_jama_2019_4755_key,0)),$D2)&lt;&gt;"retain"),NOT(OR(IF($E2="",INDEX(primary_jama_2019_4755_domain,MATCH($A2,primary_jama_2019_4755_key,0)),$E2)="statistical_results"))),"not_applicable","")</f>
        <v/>
      </c>
      <c r="J2" s="9">
        <f>IF(OR(AND(IF($D2="",INDEX(primary_jama_2019_4755_disposition,MATCH($A2,primary_jama_2019_4755_key,0)),$D2)&lt;&gt;"",IF($D2="",INDEX(primary_jama_2019_4755_disposition,MATCH($A2,primary_jama_2019_4755_key,0)),$D2)&lt;&gt;"retain"),NOT(OR(IF($E2="",INDEX(primary_jama_2019_4755_domain,MATCH($A2,primary_jama_2019_4755_key,0)),$E2)="statistical_results"))),"not_applicable","")</f>
        <v/>
      </c>
      <c r="K2" s="8">
        <f>IF(OR(AND(IF($D2="",INDEX(primary_jama_2019_4755_disposition,MATCH($A2,primary_jama_2019_4755_key,0)),$D2)&lt;&gt;"",IF($D2="",INDEX(primary_jama_2019_4755_disposition,MATCH($A2,primary_jama_2019_4755_key,0)),$D2)&lt;&gt;"retain"),NOT(OR(IF($E2="",INDEX(primary_jama_2019_4755_domain,MATCH($A2,primary_jama_2019_4755_key,0)),$E2)="report_internal_inconsistency",IF($E2="",INDEX(primary_jama_2019_4755_domain,MATCH($A2,primary_jama_2019_4755_key,0)),$E2)="plan_material"))),"not_applicable","")</f>
        <v/>
      </c>
      <c r="L2" s="9">
        <f>IF(OR(AND(IF($D2="",INDEX(primary_jama_2019_4755_disposition,MATCH($A2,primary_jama_2019_4755_key,0)),$D2)&lt;&gt;"",IF($D2="",INDEX(primary_jama_2019_4755_disposition,MATCH($A2,primary_jama_2019_4755_key,0)),$D2)&lt;&gt;"retain"),NOT(OR(IF($E2="",INDEX(primary_jama_2019_4755_domain,MATCH($A2,primary_jama_2019_4755_key,0)),$E2)="protocol_report"))),"not_applicable","")</f>
        <v/>
      </c>
      <c r="M2" s="2" t="inlineStr">
        <is>
          <t>Disposition: exclude
Review domain: statistical_results
Notes (optional): SYNTHETIC TEST DATA ONLY. Exclude is a placeholder for testing the checker workflow, not a scientific assessment. Do not use this sample in research results.</t>
        </is>
      </c>
      <c r="N2" s="8" t="inlineStr"/>
      <c r="O2" s="10" t="inlineStr"/>
      <c r="P2" s="8" t="inlineStr">
        <is>
          <t>pending</t>
        </is>
      </c>
      <c r="Q2" s="10" t="inlineStr"/>
      <c r="R2" s="11" t="inlineStr"/>
    </row>
    <row r="3" ht="76" customHeight="1">
      <c r="A3" s="3" t="inlineStr">
        <is>
          <t>2019::jama.2019.4755::C002</t>
        </is>
      </c>
      <c r="B3" s="3" t="inlineStr">
        <is>
          <t>Women’s quantitative 17.0 µg Hb/g PPV difference point estimate is absent</t>
        </is>
      </c>
      <c r="C3" s="3" t="inlineStr">
        <is>
          <t>joi190039supp3_prod.pdf — PDF p. 7, DOC-004 eTable 5, Women/Quantitative/17.0, Difference in PPV; comparator joi190039supp3_prod.pdf — PDF p. 6, DOC-004 eTable 4, same population, test, cutoff, day, and per-protocol analysis.</t>
        </is>
      </c>
      <c r="D3" s="8" t="inlineStr"/>
      <c r="E3" s="8" t="inlineStr"/>
      <c r="F3" s="8" t="inlineStr">
        <is>
          <t>no</t>
        </is>
      </c>
      <c r="G3" s="3">
        <f>IF(OR(AND(OR(AND(IF($D3="",INDEX(primary_jama_2019_4755_disposition,MATCH($A3,primary_jama_2019_4755_key,0)),$D3)&lt;&gt;"",IF($D3="",INDEX(primary_jama_2019_4755_disposition,MATCH($A3,primary_jama_2019_4755_key,0)),$D3)&lt;&gt;"retain"),NOT(OR(IF($E3="",INDEX(primary_jama_2019_4755_domain,MATCH($A3,primary_jama_2019_4755_key,0)),$E3)="statistical_results"))),H3&lt;&gt;"",H3&lt;&gt;"not_applicable"),AND(OR(AND(IF($D3="",INDEX(primary_jama_2019_4755_disposition,MATCH($A3,primary_jama_2019_4755_key,0)),$D3)&lt;&gt;"",IF($D3="",INDEX(primary_jama_2019_4755_disposition,MATCH($A3,primary_jama_2019_4755_key,0)),$D3)&lt;&gt;"retain"),NOT(OR(IF($E3="",INDEX(primary_jama_2019_4755_domain,MATCH($A3,primary_jama_2019_4755_key,0)),$E3)="statistical_results"))),I3&lt;&gt;"",I3&lt;&gt;"not_applicable"),AND(OR(AND(IF($D3="",INDEX(primary_jama_2019_4755_disposition,MATCH($A3,primary_jama_2019_4755_key,0)),$D3)&lt;&gt;"",IF($D3="",INDEX(primary_jama_2019_4755_disposition,MATCH($A3,primary_jama_2019_4755_key,0)),$D3)&lt;&gt;"retain"),NOT(OR(IF($E3="",INDEX(primary_jama_2019_4755_domain,MATCH($A3,primary_jama_2019_4755_key,0)),$E3)="statistical_results"))),J3&lt;&gt;"",J3&lt;&gt;"not_applicable"),AND(OR(AND(IF($D3="",INDEX(primary_jama_2019_4755_disposition,MATCH($A3,primary_jama_2019_4755_key,0)),$D3)&lt;&gt;"",IF($D3="",INDEX(primary_jama_2019_4755_disposition,MATCH($A3,primary_jama_2019_4755_key,0)),$D3)&lt;&gt;"retain"),NOT(OR(IF($E3="",INDEX(primary_jama_2019_4755_domain,MATCH($A3,primary_jama_2019_4755_key,0)),$E3)="report_internal_inconsistency",IF($E3="",INDEX(primary_jama_2019_4755_domain,MATCH($A3,primary_jama_2019_4755_key,0)),$E3)="plan_material"))),K3&lt;&gt;"",K3&lt;&gt;"not_applicable"),AND(OR(AND(IF($D3="",INDEX(primary_jama_2019_4755_disposition,MATCH($A3,primary_jama_2019_4755_key,0)),$D3)&lt;&gt;"",IF($D3="",INDEX(primary_jama_2019_4755_disposition,MATCH($A3,primary_jama_2019_4755_key,0)),$D3)&lt;&gt;"retain"),NOT(OR(IF($E3="",INDEX(primary_jama_2019_4755_domain,MATCH($A3,primary_jama_2019_4755_key,0)),$E3)="protocol_report"))),L3&lt;&gt;"",L3&lt;&gt;"not_applicable")),"CLEAR INACTIVE VALUES",IF(N3="","PENDING",IF(AND(N3&lt;&gt;"agree",LEN(TRIM(O3))=0),"COMMENT NEEDED",IF(F3="yes","CHECKED - see resolution","DRAFT"))))</f>
        <v/>
      </c>
      <c r="H3" s="8">
        <f>IF(OR(AND(IF($D3="",INDEX(primary_jama_2019_4755_disposition,MATCH($A3,primary_jama_2019_4755_key,0)),$D3)&lt;&gt;"",IF($D3="",INDEX(primary_jama_2019_4755_disposition,MATCH($A3,primary_jama_2019_4755_key,0)),$D3)&lt;&gt;"retain"),NOT(OR(IF($E3="",INDEX(primary_jama_2019_4755_domain,MATCH($A3,primary_jama_2019_4755_key,0)),$E3)="statistical_results"))),"not_applicable","")</f>
        <v/>
      </c>
      <c r="I3" s="8">
        <f>IF(OR(AND(IF($D3="",INDEX(primary_jama_2019_4755_disposition,MATCH($A3,primary_jama_2019_4755_key,0)),$D3)&lt;&gt;"",IF($D3="",INDEX(primary_jama_2019_4755_disposition,MATCH($A3,primary_jama_2019_4755_key,0)),$D3)&lt;&gt;"retain"),NOT(OR(IF($E3="",INDEX(primary_jama_2019_4755_domain,MATCH($A3,primary_jama_2019_4755_key,0)),$E3)="statistical_results"))),"not_applicable","")</f>
        <v/>
      </c>
      <c r="J3" s="9">
        <f>IF(OR(AND(IF($D3="",INDEX(primary_jama_2019_4755_disposition,MATCH($A3,primary_jama_2019_4755_key,0)),$D3)&lt;&gt;"",IF($D3="",INDEX(primary_jama_2019_4755_disposition,MATCH($A3,primary_jama_2019_4755_key,0)),$D3)&lt;&gt;"retain"),NOT(OR(IF($E3="",INDEX(primary_jama_2019_4755_domain,MATCH($A3,primary_jama_2019_4755_key,0)),$E3)="statistical_results"))),"not_applicable","")</f>
        <v/>
      </c>
      <c r="K3" s="8">
        <f>IF(OR(AND(IF($D3="",INDEX(primary_jama_2019_4755_disposition,MATCH($A3,primary_jama_2019_4755_key,0)),$D3)&lt;&gt;"",IF($D3="",INDEX(primary_jama_2019_4755_disposition,MATCH($A3,primary_jama_2019_4755_key,0)),$D3)&lt;&gt;"retain"),NOT(OR(IF($E3="",INDEX(primary_jama_2019_4755_domain,MATCH($A3,primary_jama_2019_4755_key,0)),$E3)="report_internal_inconsistency",IF($E3="",INDEX(primary_jama_2019_4755_domain,MATCH($A3,primary_jama_2019_4755_key,0)),$E3)="plan_material"))),"not_applicable","")</f>
        <v/>
      </c>
      <c r="L3" s="9">
        <f>IF(OR(AND(IF($D3="",INDEX(primary_jama_2019_4755_disposition,MATCH($A3,primary_jama_2019_4755_key,0)),$D3)&lt;&gt;"",IF($D3="",INDEX(primary_jama_2019_4755_disposition,MATCH($A3,primary_jama_2019_4755_key,0)),$D3)&lt;&gt;"retain"),NOT(OR(IF($E3="",INDEX(primary_jama_2019_4755_domain,MATCH($A3,primary_jama_2019_4755_key,0)),$E3)="protocol_report"))),"not_applicable","")</f>
        <v/>
      </c>
      <c r="M3" s="3" t="inlineStr">
        <is>
          <t>Disposition: exclude
Review domain: statistical_results
Notes (optional): SYNTHETIC TEST DATA ONLY. Exclude is a placeholder for testing the checker workflow, not a scientific assessment. Do not use this sample in research results.</t>
        </is>
      </c>
      <c r="N3" s="8" t="inlineStr"/>
      <c r="O3" s="10" t="inlineStr"/>
      <c r="P3" s="8" t="inlineStr">
        <is>
          <t>pending</t>
        </is>
      </c>
      <c r="Q3" s="10" t="inlineStr"/>
      <c r="R3" s="11" t="inlineStr"/>
    </row>
    <row r="4" ht="76" customHeight="1">
      <c r="A4" s="2" t="inlineStr">
        <is>
          <t>2019::jama.2019.4755::C003</t>
        </is>
      </c>
      <c r="B4" s="2" t="inlineStr">
        <is>
          <t>Women’s qualitative 10.2 µg Hb/g PPV difference point estimate is absent</t>
        </is>
      </c>
      <c r="C4" s="2" t="inlineStr">
        <is>
          <t>joi190039supp3_prod.pdf — PDF p. 7, DOC-004 eTable 5, Women/Qualitative/10.2, Difference in PPV; comparator joi190039supp3_prod.pdf — PDF p. 6, DOC-004 eTable 4, same population, test, cutoff, day, and per-protocol analysis.</t>
        </is>
      </c>
      <c r="D4" s="8" t="inlineStr"/>
      <c r="E4" s="8" t="inlineStr"/>
      <c r="F4" s="8" t="inlineStr">
        <is>
          <t>no</t>
        </is>
      </c>
      <c r="G4" s="2">
        <f>IF(OR(AND(OR(AND(IF($D4="",INDEX(primary_jama_2019_4755_disposition,MATCH($A4,primary_jama_2019_4755_key,0)),$D4)&lt;&gt;"",IF($D4="",INDEX(primary_jama_2019_4755_disposition,MATCH($A4,primary_jama_2019_4755_key,0)),$D4)&lt;&gt;"retain"),NOT(OR(IF($E4="",INDEX(primary_jama_2019_4755_domain,MATCH($A4,primary_jama_2019_4755_key,0)),$E4)="statistical_results"))),H4&lt;&gt;"",H4&lt;&gt;"not_applicable"),AND(OR(AND(IF($D4="",INDEX(primary_jama_2019_4755_disposition,MATCH($A4,primary_jama_2019_4755_key,0)),$D4)&lt;&gt;"",IF($D4="",INDEX(primary_jama_2019_4755_disposition,MATCH($A4,primary_jama_2019_4755_key,0)),$D4)&lt;&gt;"retain"),NOT(OR(IF($E4="",INDEX(primary_jama_2019_4755_domain,MATCH($A4,primary_jama_2019_4755_key,0)),$E4)="statistical_results"))),I4&lt;&gt;"",I4&lt;&gt;"not_applicable"),AND(OR(AND(IF($D4="",INDEX(primary_jama_2019_4755_disposition,MATCH($A4,primary_jama_2019_4755_key,0)),$D4)&lt;&gt;"",IF($D4="",INDEX(primary_jama_2019_4755_disposition,MATCH($A4,primary_jama_2019_4755_key,0)),$D4)&lt;&gt;"retain"),NOT(OR(IF($E4="",INDEX(primary_jama_2019_4755_domain,MATCH($A4,primary_jama_2019_4755_key,0)),$E4)="statistical_results"))),J4&lt;&gt;"",J4&lt;&gt;"not_applicable"),AND(OR(AND(IF($D4="",INDEX(primary_jama_2019_4755_disposition,MATCH($A4,primary_jama_2019_4755_key,0)),$D4)&lt;&gt;"",IF($D4="",INDEX(primary_jama_2019_4755_disposition,MATCH($A4,primary_jama_2019_4755_key,0)),$D4)&lt;&gt;"retain"),NOT(OR(IF($E4="",INDEX(primary_jama_2019_4755_domain,MATCH($A4,primary_jama_2019_4755_key,0)),$E4)="report_internal_inconsistency",IF($E4="",INDEX(primary_jama_2019_4755_domain,MATCH($A4,primary_jama_2019_4755_key,0)),$E4)="plan_material"))),K4&lt;&gt;"",K4&lt;&gt;"not_applicable"),AND(OR(AND(IF($D4="",INDEX(primary_jama_2019_4755_disposition,MATCH($A4,primary_jama_2019_4755_key,0)),$D4)&lt;&gt;"",IF($D4="",INDEX(primary_jama_2019_4755_disposition,MATCH($A4,primary_jama_2019_4755_key,0)),$D4)&lt;&gt;"retain"),NOT(OR(IF($E4="",INDEX(primary_jama_2019_4755_domain,MATCH($A4,primary_jama_2019_4755_key,0)),$E4)="protocol_report"))),L4&lt;&gt;"",L4&lt;&gt;"not_applicable")),"CLEAR INACTIVE VALUES",IF(N4="","PENDING",IF(AND(N4&lt;&gt;"agree",LEN(TRIM(O4))=0),"COMMENT NEEDED",IF(F4="yes","CHECKED - see resolution","DRAFT"))))</f>
        <v/>
      </c>
      <c r="H4" s="8">
        <f>IF(OR(AND(IF($D4="",INDEX(primary_jama_2019_4755_disposition,MATCH($A4,primary_jama_2019_4755_key,0)),$D4)&lt;&gt;"",IF($D4="",INDEX(primary_jama_2019_4755_disposition,MATCH($A4,primary_jama_2019_4755_key,0)),$D4)&lt;&gt;"retain"),NOT(OR(IF($E4="",INDEX(primary_jama_2019_4755_domain,MATCH($A4,primary_jama_2019_4755_key,0)),$E4)="statistical_results"))),"not_applicable","")</f>
        <v/>
      </c>
      <c r="I4" s="8">
        <f>IF(OR(AND(IF($D4="",INDEX(primary_jama_2019_4755_disposition,MATCH($A4,primary_jama_2019_4755_key,0)),$D4)&lt;&gt;"",IF($D4="",INDEX(primary_jama_2019_4755_disposition,MATCH($A4,primary_jama_2019_4755_key,0)),$D4)&lt;&gt;"retain"),NOT(OR(IF($E4="",INDEX(primary_jama_2019_4755_domain,MATCH($A4,primary_jama_2019_4755_key,0)),$E4)="statistical_results"))),"not_applicable","")</f>
        <v/>
      </c>
      <c r="J4" s="9">
        <f>IF(OR(AND(IF($D4="",INDEX(primary_jama_2019_4755_disposition,MATCH($A4,primary_jama_2019_4755_key,0)),$D4)&lt;&gt;"",IF($D4="",INDEX(primary_jama_2019_4755_disposition,MATCH($A4,primary_jama_2019_4755_key,0)),$D4)&lt;&gt;"retain"),NOT(OR(IF($E4="",INDEX(primary_jama_2019_4755_domain,MATCH($A4,primary_jama_2019_4755_key,0)),$E4)="statistical_results"))),"not_applicable","")</f>
        <v/>
      </c>
      <c r="K4" s="8">
        <f>IF(OR(AND(IF($D4="",INDEX(primary_jama_2019_4755_disposition,MATCH($A4,primary_jama_2019_4755_key,0)),$D4)&lt;&gt;"",IF($D4="",INDEX(primary_jama_2019_4755_disposition,MATCH($A4,primary_jama_2019_4755_key,0)),$D4)&lt;&gt;"retain"),NOT(OR(IF($E4="",INDEX(primary_jama_2019_4755_domain,MATCH($A4,primary_jama_2019_4755_key,0)),$E4)="report_internal_inconsistency",IF($E4="",INDEX(primary_jama_2019_4755_domain,MATCH($A4,primary_jama_2019_4755_key,0)),$E4)="plan_material"))),"not_applicable","")</f>
        <v/>
      </c>
      <c r="L4" s="9">
        <f>IF(OR(AND(IF($D4="",INDEX(primary_jama_2019_4755_disposition,MATCH($A4,primary_jama_2019_4755_key,0)),$D4)&lt;&gt;"",IF($D4="",INDEX(primary_jama_2019_4755_disposition,MATCH($A4,primary_jama_2019_4755_key,0)),$D4)&lt;&gt;"retain"),NOT(OR(IF($E4="",INDEX(primary_jama_2019_4755_domain,MATCH($A4,primary_jama_2019_4755_key,0)),$E4)="protocol_report"))),"not_applicable","")</f>
        <v/>
      </c>
      <c r="M4" s="2" t="inlineStr">
        <is>
          <t>Disposition: exclude
Review domain: statistical_results
Notes (optional): SYNTHETIC TEST DATA ONLY. Exclude is a placeholder for testing the checker workflow, not a scientific assessment. Do not use this sample in research results.</t>
        </is>
      </c>
      <c r="N4" s="8" t="inlineStr"/>
      <c r="O4" s="10" t="inlineStr"/>
      <c r="P4" s="8" t="inlineStr">
        <is>
          <t>pending</t>
        </is>
      </c>
      <c r="Q4" s="10" t="inlineStr"/>
      <c r="R4" s="11" t="inlineStr"/>
    </row>
    <row r="5" ht="76" customHeight="1">
      <c r="A5" s="3" t="inlineStr">
        <is>
          <t>2019::jama.2019.4755::C004</t>
        </is>
      </c>
      <c r="B5" s="3" t="inlineStr">
        <is>
          <t>eTable 5 visible cutoff header truncates after [µg</t>
        </is>
      </c>
      <c r="C5" s="3" t="inlineStr">
        <is>
          <t>joi190039supp3_prod.pdf — PDF p. 7, DOC-004 eTable 5 visible cutoff header; comparator joi190039supp3_prod.pdf — PDF p. 6, DOC-004 eTable 4 header Cutoff [µg Hb/g]; additional matched main-table display jama_brenner_2019_oi_190039.pdf — PDF p. 5.</t>
        </is>
      </c>
      <c r="D5" s="8" t="inlineStr"/>
      <c r="E5" s="8" t="inlineStr"/>
      <c r="F5" s="8" t="inlineStr">
        <is>
          <t>no</t>
        </is>
      </c>
      <c r="G5" s="3">
        <f>IF(OR(AND(OR(AND(IF($D5="",INDEX(primary_jama_2019_4755_disposition,MATCH($A5,primary_jama_2019_4755_key,0)),$D5)&lt;&gt;"",IF($D5="",INDEX(primary_jama_2019_4755_disposition,MATCH($A5,primary_jama_2019_4755_key,0)),$D5)&lt;&gt;"retain"),NOT(OR(IF($E5="",INDEX(primary_jama_2019_4755_domain,MATCH($A5,primary_jama_2019_4755_key,0)),$E5)="statistical_results"))),H5&lt;&gt;"",H5&lt;&gt;"not_applicable"),AND(OR(AND(IF($D5="",INDEX(primary_jama_2019_4755_disposition,MATCH($A5,primary_jama_2019_4755_key,0)),$D5)&lt;&gt;"",IF($D5="",INDEX(primary_jama_2019_4755_disposition,MATCH($A5,primary_jama_2019_4755_key,0)),$D5)&lt;&gt;"retain"),NOT(OR(IF($E5="",INDEX(primary_jama_2019_4755_domain,MATCH($A5,primary_jama_2019_4755_key,0)),$E5)="statistical_results"))),I5&lt;&gt;"",I5&lt;&gt;"not_applicable"),AND(OR(AND(IF($D5="",INDEX(primary_jama_2019_4755_disposition,MATCH($A5,primary_jama_2019_4755_key,0)),$D5)&lt;&gt;"",IF($D5="",INDEX(primary_jama_2019_4755_disposition,MATCH($A5,primary_jama_2019_4755_key,0)),$D5)&lt;&gt;"retain"),NOT(OR(IF($E5="",INDEX(primary_jama_2019_4755_domain,MATCH($A5,primary_jama_2019_4755_key,0)),$E5)="statistical_results"))),J5&lt;&gt;"",J5&lt;&gt;"not_applicable"),AND(OR(AND(IF($D5="",INDEX(primary_jama_2019_4755_disposition,MATCH($A5,primary_jama_2019_4755_key,0)),$D5)&lt;&gt;"",IF($D5="",INDEX(primary_jama_2019_4755_disposition,MATCH($A5,primary_jama_2019_4755_key,0)),$D5)&lt;&gt;"retain"),NOT(OR(IF($E5="",INDEX(primary_jama_2019_4755_domain,MATCH($A5,primary_jama_2019_4755_key,0)),$E5)="report_internal_inconsistency",IF($E5="",INDEX(primary_jama_2019_4755_domain,MATCH($A5,primary_jama_2019_4755_key,0)),$E5)="plan_material"))),K5&lt;&gt;"",K5&lt;&gt;"not_applicable"),AND(OR(AND(IF($D5="",INDEX(primary_jama_2019_4755_disposition,MATCH($A5,primary_jama_2019_4755_key,0)),$D5)&lt;&gt;"",IF($D5="",INDEX(primary_jama_2019_4755_disposition,MATCH($A5,primary_jama_2019_4755_key,0)),$D5)&lt;&gt;"retain"),NOT(OR(IF($E5="",INDEX(primary_jama_2019_4755_domain,MATCH($A5,primary_jama_2019_4755_key,0)),$E5)="protocol_report"))),L5&lt;&gt;"",L5&lt;&gt;"not_applicable")),"CLEAR INACTIVE VALUES",IF(N5="","PENDING",IF(AND(N5&lt;&gt;"agree",LEN(TRIM(O5))=0),"COMMENT NEEDED",IF(F5="yes","CHECKED - see resolution","DRAFT"))))</f>
        <v/>
      </c>
      <c r="H5" s="8">
        <f>IF(OR(AND(IF($D5="",INDEX(primary_jama_2019_4755_disposition,MATCH($A5,primary_jama_2019_4755_key,0)),$D5)&lt;&gt;"",IF($D5="",INDEX(primary_jama_2019_4755_disposition,MATCH($A5,primary_jama_2019_4755_key,0)),$D5)&lt;&gt;"retain"),NOT(OR(IF($E5="",INDEX(primary_jama_2019_4755_domain,MATCH($A5,primary_jama_2019_4755_key,0)),$E5)="statistical_results"))),"not_applicable","")</f>
        <v/>
      </c>
      <c r="I5" s="8">
        <f>IF(OR(AND(IF($D5="",INDEX(primary_jama_2019_4755_disposition,MATCH($A5,primary_jama_2019_4755_key,0)),$D5)&lt;&gt;"",IF($D5="",INDEX(primary_jama_2019_4755_disposition,MATCH($A5,primary_jama_2019_4755_key,0)),$D5)&lt;&gt;"retain"),NOT(OR(IF($E5="",INDEX(primary_jama_2019_4755_domain,MATCH($A5,primary_jama_2019_4755_key,0)),$E5)="statistical_results"))),"not_applicable","")</f>
        <v/>
      </c>
      <c r="J5" s="9">
        <f>IF(OR(AND(IF($D5="",INDEX(primary_jama_2019_4755_disposition,MATCH($A5,primary_jama_2019_4755_key,0)),$D5)&lt;&gt;"",IF($D5="",INDEX(primary_jama_2019_4755_disposition,MATCH($A5,primary_jama_2019_4755_key,0)),$D5)&lt;&gt;"retain"),NOT(OR(IF($E5="",INDEX(primary_jama_2019_4755_domain,MATCH($A5,primary_jama_2019_4755_key,0)),$E5)="statistical_results"))),"not_applicable","")</f>
        <v/>
      </c>
      <c r="K5" s="8">
        <f>IF(OR(AND(IF($D5="",INDEX(primary_jama_2019_4755_disposition,MATCH($A5,primary_jama_2019_4755_key,0)),$D5)&lt;&gt;"",IF($D5="",INDEX(primary_jama_2019_4755_disposition,MATCH($A5,primary_jama_2019_4755_key,0)),$D5)&lt;&gt;"retain"),NOT(OR(IF($E5="",INDEX(primary_jama_2019_4755_domain,MATCH($A5,primary_jama_2019_4755_key,0)),$E5)="report_internal_inconsistency",IF($E5="",INDEX(primary_jama_2019_4755_domain,MATCH($A5,primary_jama_2019_4755_key,0)),$E5)="plan_material"))),"not_applicable","")</f>
        <v/>
      </c>
      <c r="L5" s="9">
        <f>IF(OR(AND(IF($D5="",INDEX(primary_jama_2019_4755_disposition,MATCH($A5,primary_jama_2019_4755_key,0)),$D5)&lt;&gt;"",IF($D5="",INDEX(primary_jama_2019_4755_disposition,MATCH($A5,primary_jama_2019_4755_key,0)),$D5)&lt;&gt;"retain"),NOT(OR(IF($E5="",INDEX(primary_jama_2019_4755_domain,MATCH($A5,primary_jama_2019_4755_key,0)),$E5)="protocol_report"))),"not_applicable","")</f>
        <v/>
      </c>
      <c r="M5" s="3" t="inlineStr">
        <is>
          <t>Disposition: exclude
Review domain: report_internal_inconsistency
Notes (optional): SYNTHETIC TEST DATA ONLY. Exclude is a placeholder for testing the checker workflow, not a scientific assessment. Do not use this sample in research results.</t>
        </is>
      </c>
      <c r="N5" s="8" t="inlineStr"/>
      <c r="O5" s="10" t="inlineStr"/>
      <c r="P5" s="8" t="inlineStr">
        <is>
          <t>pending</t>
        </is>
      </c>
      <c r="Q5" s="10" t="inlineStr"/>
      <c r="R5" s="11" t="inlineStr"/>
    </row>
    <row r="6" ht="76" customHeight="1">
      <c r="A6" s="2" t="inlineStr">
        <is>
          <t>2019::jama.2019.4755::C005</t>
        </is>
      </c>
      <c r="B6" s="2" t="inlineStr">
        <is>
          <t>One SAP occurrence omits the microgram prefix from the 10.2 cutoff</t>
        </is>
      </c>
      <c r="C6" s="2" t="inlineStr">
        <is>
          <t>joi190039supp2_prod.pdf — PDF p. 6, DOC-003 §3.2; comparator joi190039supp2_prod.pdf — PDF p. 8, DOC-003 §5.4; matched context jama_brenner_2019_oi_190039.pdf — PDF p. 1 and jama_brenner_2019_oi_190039.pdf — PDF p. 5.</t>
        </is>
      </c>
      <c r="D6" s="8" t="inlineStr"/>
      <c r="E6" s="8" t="inlineStr"/>
      <c r="F6" s="8" t="inlineStr">
        <is>
          <t>no</t>
        </is>
      </c>
      <c r="G6" s="2">
        <f>IF(OR(AND(OR(AND(IF($D6="",INDEX(primary_jama_2019_4755_disposition,MATCH($A6,primary_jama_2019_4755_key,0)),$D6)&lt;&gt;"",IF($D6="",INDEX(primary_jama_2019_4755_disposition,MATCH($A6,primary_jama_2019_4755_key,0)),$D6)&lt;&gt;"retain"),NOT(OR(IF($E6="",INDEX(primary_jama_2019_4755_domain,MATCH($A6,primary_jama_2019_4755_key,0)),$E6)="statistical_results"))),H6&lt;&gt;"",H6&lt;&gt;"not_applicable"),AND(OR(AND(IF($D6="",INDEX(primary_jama_2019_4755_disposition,MATCH($A6,primary_jama_2019_4755_key,0)),$D6)&lt;&gt;"",IF($D6="",INDEX(primary_jama_2019_4755_disposition,MATCH($A6,primary_jama_2019_4755_key,0)),$D6)&lt;&gt;"retain"),NOT(OR(IF($E6="",INDEX(primary_jama_2019_4755_domain,MATCH($A6,primary_jama_2019_4755_key,0)),$E6)="statistical_results"))),I6&lt;&gt;"",I6&lt;&gt;"not_applicable"),AND(OR(AND(IF($D6="",INDEX(primary_jama_2019_4755_disposition,MATCH($A6,primary_jama_2019_4755_key,0)),$D6)&lt;&gt;"",IF($D6="",INDEX(primary_jama_2019_4755_disposition,MATCH($A6,primary_jama_2019_4755_key,0)),$D6)&lt;&gt;"retain"),NOT(OR(IF($E6="",INDEX(primary_jama_2019_4755_domain,MATCH($A6,primary_jama_2019_4755_key,0)),$E6)="statistical_results"))),J6&lt;&gt;"",J6&lt;&gt;"not_applicable"),AND(OR(AND(IF($D6="",INDEX(primary_jama_2019_4755_disposition,MATCH($A6,primary_jama_2019_4755_key,0)),$D6)&lt;&gt;"",IF($D6="",INDEX(primary_jama_2019_4755_disposition,MATCH($A6,primary_jama_2019_4755_key,0)),$D6)&lt;&gt;"retain"),NOT(OR(IF($E6="",INDEX(primary_jama_2019_4755_domain,MATCH($A6,primary_jama_2019_4755_key,0)),$E6)="report_internal_inconsistency",IF($E6="",INDEX(primary_jama_2019_4755_domain,MATCH($A6,primary_jama_2019_4755_key,0)),$E6)="plan_material"))),K6&lt;&gt;"",K6&lt;&gt;"not_applicable"),AND(OR(AND(IF($D6="",INDEX(primary_jama_2019_4755_disposition,MATCH($A6,primary_jama_2019_4755_key,0)),$D6)&lt;&gt;"",IF($D6="",INDEX(primary_jama_2019_4755_disposition,MATCH($A6,primary_jama_2019_4755_key,0)),$D6)&lt;&gt;"retain"),NOT(OR(IF($E6="",INDEX(primary_jama_2019_4755_domain,MATCH($A6,primary_jama_2019_4755_key,0)),$E6)="protocol_report"))),L6&lt;&gt;"",L6&lt;&gt;"not_applicable")),"CLEAR INACTIVE VALUES",IF(N6="","PENDING",IF(AND(N6&lt;&gt;"agree",LEN(TRIM(O6))=0),"COMMENT NEEDED",IF(F6="yes","CHECKED - see resolution","DRAFT"))))</f>
        <v/>
      </c>
      <c r="H6" s="8">
        <f>IF(OR(AND(IF($D6="",INDEX(primary_jama_2019_4755_disposition,MATCH($A6,primary_jama_2019_4755_key,0)),$D6)&lt;&gt;"",IF($D6="",INDEX(primary_jama_2019_4755_disposition,MATCH($A6,primary_jama_2019_4755_key,0)),$D6)&lt;&gt;"retain"),NOT(OR(IF($E6="",INDEX(primary_jama_2019_4755_domain,MATCH($A6,primary_jama_2019_4755_key,0)),$E6)="statistical_results"))),"not_applicable","")</f>
        <v/>
      </c>
      <c r="I6" s="8">
        <f>IF(OR(AND(IF($D6="",INDEX(primary_jama_2019_4755_disposition,MATCH($A6,primary_jama_2019_4755_key,0)),$D6)&lt;&gt;"",IF($D6="",INDEX(primary_jama_2019_4755_disposition,MATCH($A6,primary_jama_2019_4755_key,0)),$D6)&lt;&gt;"retain"),NOT(OR(IF($E6="",INDEX(primary_jama_2019_4755_domain,MATCH($A6,primary_jama_2019_4755_key,0)),$E6)="statistical_results"))),"not_applicable","")</f>
        <v/>
      </c>
      <c r="J6" s="9">
        <f>IF(OR(AND(IF($D6="",INDEX(primary_jama_2019_4755_disposition,MATCH($A6,primary_jama_2019_4755_key,0)),$D6)&lt;&gt;"",IF($D6="",INDEX(primary_jama_2019_4755_disposition,MATCH($A6,primary_jama_2019_4755_key,0)),$D6)&lt;&gt;"retain"),NOT(OR(IF($E6="",INDEX(primary_jama_2019_4755_domain,MATCH($A6,primary_jama_2019_4755_key,0)),$E6)="statistical_results"))),"not_applicable","")</f>
        <v/>
      </c>
      <c r="K6" s="8">
        <f>IF(OR(AND(IF($D6="",INDEX(primary_jama_2019_4755_disposition,MATCH($A6,primary_jama_2019_4755_key,0)),$D6)&lt;&gt;"",IF($D6="",INDEX(primary_jama_2019_4755_disposition,MATCH($A6,primary_jama_2019_4755_key,0)),$D6)&lt;&gt;"retain"),NOT(OR(IF($E6="",INDEX(primary_jama_2019_4755_domain,MATCH($A6,primary_jama_2019_4755_key,0)),$E6)="report_internal_inconsistency",IF($E6="",INDEX(primary_jama_2019_4755_domain,MATCH($A6,primary_jama_2019_4755_key,0)),$E6)="plan_material"))),"not_applicable","")</f>
        <v/>
      </c>
      <c r="L6" s="9">
        <f>IF(OR(AND(IF($D6="",INDEX(primary_jama_2019_4755_disposition,MATCH($A6,primary_jama_2019_4755_key,0)),$D6)&lt;&gt;"",IF($D6="",INDEX(primary_jama_2019_4755_disposition,MATCH($A6,primary_jama_2019_4755_key,0)),$D6)&lt;&gt;"retain"),NOT(OR(IF($E6="",INDEX(primary_jama_2019_4755_domain,MATCH($A6,primary_jama_2019_4755_key,0)),$E6)="protocol_report"))),"not_applicable","")</f>
        <v/>
      </c>
      <c r="M6" s="2" t="inlineStr">
        <is>
          <t>Disposition: exclude
Review domain: plan_material
Notes (optional): SYNTHETIC TEST DATA ONLY. Exclude is a placeholder for testing the checker workflow, not a scientific assessment. Do not use this sample in research results.</t>
        </is>
      </c>
      <c r="N6" s="8" t="inlineStr"/>
      <c r="O6" s="10" t="inlineStr"/>
      <c r="P6" s="8" t="inlineStr">
        <is>
          <t>pending</t>
        </is>
      </c>
      <c r="Q6" s="10" t="inlineStr"/>
      <c r="R6" s="11" t="inlineStr"/>
    </row>
  </sheetData>
  <sheetProtection selectLockedCells="0" selectUnlockedCells="0" sheet="1" objects="0" insertRows="1" insertHyperlinks="1" autoFilter="0" scenarios="0" formatColumns="1" deleteColumns="1" insertColumns="1" pivotTables="1" deleteRows="1" formatCells="1" formatRows="1" sort="1"/>
  <autoFilter ref="A1:R6"/>
  <conditionalFormatting sqref="H2">
    <cfRule type="expression" priority="1" dxfId="0" stopIfTrue="1">
      <formula>AND(OR(AND(IF($D2="",INDEX(primary_jama_2019_4755_disposition,MATCH($A2,primary_jama_2019_4755_key,0)),$D2)&lt;&gt;"",IF($D2="",INDEX(primary_jama_2019_4755_disposition,MATCH($A2,primary_jama_2019_4755_key,0)),$D2)&lt;&gt;"retain"),NOT(OR(IF($E2="",INDEX(primary_jama_2019_4755_domain,MATCH($A2,primary_jama_2019_4755_key,0)),$E2)="statistical_results"))),H2&lt;&gt;"",H2&lt;&gt;"not_applicable")</formula>
    </cfRule>
    <cfRule type="expression" priority="2" dxfId="1">
      <formula>OR(AND(IF($D2="",INDEX(primary_jama_2019_4755_disposition,MATCH($A2,primary_jama_2019_4755_key,0)),$D2)&lt;&gt;"",IF($D2="",INDEX(primary_jama_2019_4755_disposition,MATCH($A2,primary_jama_2019_4755_key,0)),$D2)&lt;&gt;"retain"),NOT(OR(IF($E2="",INDEX(primary_jama_2019_4755_domain,MATCH($A2,primary_jama_2019_4755_key,0)),$E2)="statistical_results")))</formula>
    </cfRule>
  </conditionalFormatting>
  <conditionalFormatting sqref="H3">
    <cfRule type="expression" priority="3" dxfId="0" stopIfTrue="1">
      <formula>AND(OR(AND(IF($D3="",INDEX(primary_jama_2019_4755_disposition,MATCH($A3,primary_jama_2019_4755_key,0)),$D3)&lt;&gt;"",IF($D3="",INDEX(primary_jama_2019_4755_disposition,MATCH($A3,primary_jama_2019_4755_key,0)),$D3)&lt;&gt;"retain"),NOT(OR(IF($E3="",INDEX(primary_jama_2019_4755_domain,MATCH($A3,primary_jama_2019_4755_key,0)),$E3)="statistical_results"))),H3&lt;&gt;"",H3&lt;&gt;"not_applicable")</formula>
    </cfRule>
    <cfRule type="expression" priority="4" dxfId="1">
      <formula>OR(AND(IF($D3="",INDEX(primary_jama_2019_4755_disposition,MATCH($A3,primary_jama_2019_4755_key,0)),$D3)&lt;&gt;"",IF($D3="",INDEX(primary_jama_2019_4755_disposition,MATCH($A3,primary_jama_2019_4755_key,0)),$D3)&lt;&gt;"retain"),NOT(OR(IF($E3="",INDEX(primary_jama_2019_4755_domain,MATCH($A3,primary_jama_2019_4755_key,0)),$E3)="statistical_results")))</formula>
    </cfRule>
  </conditionalFormatting>
  <conditionalFormatting sqref="H4">
    <cfRule type="expression" priority="5" dxfId="0" stopIfTrue="1">
      <formula>AND(OR(AND(IF($D4="",INDEX(primary_jama_2019_4755_disposition,MATCH($A4,primary_jama_2019_4755_key,0)),$D4)&lt;&gt;"",IF($D4="",INDEX(primary_jama_2019_4755_disposition,MATCH($A4,primary_jama_2019_4755_key,0)),$D4)&lt;&gt;"retain"),NOT(OR(IF($E4="",INDEX(primary_jama_2019_4755_domain,MATCH($A4,primary_jama_2019_4755_key,0)),$E4)="statistical_results"))),H4&lt;&gt;"",H4&lt;&gt;"not_applicable")</formula>
    </cfRule>
    <cfRule type="expression" priority="6" dxfId="1">
      <formula>OR(AND(IF($D4="",INDEX(primary_jama_2019_4755_disposition,MATCH($A4,primary_jama_2019_4755_key,0)),$D4)&lt;&gt;"",IF($D4="",INDEX(primary_jama_2019_4755_disposition,MATCH($A4,primary_jama_2019_4755_key,0)),$D4)&lt;&gt;"retain"),NOT(OR(IF($E4="",INDEX(primary_jama_2019_4755_domain,MATCH($A4,primary_jama_2019_4755_key,0)),$E4)="statistical_results")))</formula>
    </cfRule>
  </conditionalFormatting>
  <conditionalFormatting sqref="H5">
    <cfRule type="expression" priority="7" dxfId="0" stopIfTrue="1">
      <formula>AND(OR(AND(IF($D5="",INDEX(primary_jama_2019_4755_disposition,MATCH($A5,primary_jama_2019_4755_key,0)),$D5)&lt;&gt;"",IF($D5="",INDEX(primary_jama_2019_4755_disposition,MATCH($A5,primary_jama_2019_4755_key,0)),$D5)&lt;&gt;"retain"),NOT(OR(IF($E5="",INDEX(primary_jama_2019_4755_domain,MATCH($A5,primary_jama_2019_4755_key,0)),$E5)="statistical_results"))),H5&lt;&gt;"",H5&lt;&gt;"not_applicable")</formula>
    </cfRule>
    <cfRule type="expression" priority="8" dxfId="1">
      <formula>OR(AND(IF($D5="",INDEX(primary_jama_2019_4755_disposition,MATCH($A5,primary_jama_2019_4755_key,0)),$D5)&lt;&gt;"",IF($D5="",INDEX(primary_jama_2019_4755_disposition,MATCH($A5,primary_jama_2019_4755_key,0)),$D5)&lt;&gt;"retain"),NOT(OR(IF($E5="",INDEX(primary_jama_2019_4755_domain,MATCH($A5,primary_jama_2019_4755_key,0)),$E5)="statistical_results")))</formula>
    </cfRule>
  </conditionalFormatting>
  <conditionalFormatting sqref="H6">
    <cfRule type="expression" priority="9" dxfId="0" stopIfTrue="1">
      <formula>AND(OR(AND(IF($D6="",INDEX(primary_jama_2019_4755_disposition,MATCH($A6,primary_jama_2019_4755_key,0)),$D6)&lt;&gt;"",IF($D6="",INDEX(primary_jama_2019_4755_disposition,MATCH($A6,primary_jama_2019_4755_key,0)),$D6)&lt;&gt;"retain"),NOT(OR(IF($E6="",INDEX(primary_jama_2019_4755_domain,MATCH($A6,primary_jama_2019_4755_key,0)),$E6)="statistical_results"))),H6&lt;&gt;"",H6&lt;&gt;"not_applicable")</formula>
    </cfRule>
    <cfRule type="expression" priority="10" dxfId="1">
      <formula>OR(AND(IF($D6="",INDEX(primary_jama_2019_4755_disposition,MATCH($A6,primary_jama_2019_4755_key,0)),$D6)&lt;&gt;"",IF($D6="",INDEX(primary_jama_2019_4755_disposition,MATCH($A6,primary_jama_2019_4755_key,0)),$D6)&lt;&gt;"retain"),NOT(OR(IF($E6="",INDEX(primary_jama_2019_4755_domain,MATCH($A6,primary_jama_2019_4755_key,0)),$E6)="statistical_results")))</formula>
    </cfRule>
  </conditionalFormatting>
  <conditionalFormatting sqref="I2">
    <cfRule type="expression" priority="11" dxfId="0" stopIfTrue="1">
      <formula>AND(OR(AND(IF($D2="",INDEX(primary_jama_2019_4755_disposition,MATCH($A2,primary_jama_2019_4755_key,0)),$D2)&lt;&gt;"",IF($D2="",INDEX(primary_jama_2019_4755_disposition,MATCH($A2,primary_jama_2019_4755_key,0)),$D2)&lt;&gt;"retain"),NOT(OR(IF($E2="",INDEX(primary_jama_2019_4755_domain,MATCH($A2,primary_jama_2019_4755_key,0)),$E2)="statistical_results"))),I2&lt;&gt;"",I2&lt;&gt;"not_applicable")</formula>
    </cfRule>
    <cfRule type="expression" priority="12" dxfId="1">
      <formula>OR(AND(IF($D2="",INDEX(primary_jama_2019_4755_disposition,MATCH($A2,primary_jama_2019_4755_key,0)),$D2)&lt;&gt;"",IF($D2="",INDEX(primary_jama_2019_4755_disposition,MATCH($A2,primary_jama_2019_4755_key,0)),$D2)&lt;&gt;"retain"),NOT(OR(IF($E2="",INDEX(primary_jama_2019_4755_domain,MATCH($A2,primary_jama_2019_4755_key,0)),$E2)="statistical_results")))</formula>
    </cfRule>
  </conditionalFormatting>
  <conditionalFormatting sqref="I3">
    <cfRule type="expression" priority="13" dxfId="0" stopIfTrue="1">
      <formula>AND(OR(AND(IF($D3="",INDEX(primary_jama_2019_4755_disposition,MATCH($A3,primary_jama_2019_4755_key,0)),$D3)&lt;&gt;"",IF($D3="",INDEX(primary_jama_2019_4755_disposition,MATCH($A3,primary_jama_2019_4755_key,0)),$D3)&lt;&gt;"retain"),NOT(OR(IF($E3="",INDEX(primary_jama_2019_4755_domain,MATCH($A3,primary_jama_2019_4755_key,0)),$E3)="statistical_results"))),I3&lt;&gt;"",I3&lt;&gt;"not_applicable")</formula>
    </cfRule>
    <cfRule type="expression" priority="14" dxfId="1">
      <formula>OR(AND(IF($D3="",INDEX(primary_jama_2019_4755_disposition,MATCH($A3,primary_jama_2019_4755_key,0)),$D3)&lt;&gt;"",IF($D3="",INDEX(primary_jama_2019_4755_disposition,MATCH($A3,primary_jama_2019_4755_key,0)),$D3)&lt;&gt;"retain"),NOT(OR(IF($E3="",INDEX(primary_jama_2019_4755_domain,MATCH($A3,primary_jama_2019_4755_key,0)),$E3)="statistical_results")))</formula>
    </cfRule>
  </conditionalFormatting>
  <conditionalFormatting sqref="I4">
    <cfRule type="expression" priority="15" dxfId="0" stopIfTrue="1">
      <formula>AND(OR(AND(IF($D4="",INDEX(primary_jama_2019_4755_disposition,MATCH($A4,primary_jama_2019_4755_key,0)),$D4)&lt;&gt;"",IF($D4="",INDEX(primary_jama_2019_4755_disposition,MATCH($A4,primary_jama_2019_4755_key,0)),$D4)&lt;&gt;"retain"),NOT(OR(IF($E4="",INDEX(primary_jama_2019_4755_domain,MATCH($A4,primary_jama_2019_4755_key,0)),$E4)="statistical_results"))),I4&lt;&gt;"",I4&lt;&gt;"not_applicable")</formula>
    </cfRule>
    <cfRule type="expression" priority="16" dxfId="1">
      <formula>OR(AND(IF($D4="",INDEX(primary_jama_2019_4755_disposition,MATCH($A4,primary_jama_2019_4755_key,0)),$D4)&lt;&gt;"",IF($D4="",INDEX(primary_jama_2019_4755_disposition,MATCH($A4,primary_jama_2019_4755_key,0)),$D4)&lt;&gt;"retain"),NOT(OR(IF($E4="",INDEX(primary_jama_2019_4755_domain,MATCH($A4,primary_jama_2019_4755_key,0)),$E4)="statistical_results")))</formula>
    </cfRule>
  </conditionalFormatting>
  <conditionalFormatting sqref="I5">
    <cfRule type="expression" priority="17" dxfId="0" stopIfTrue="1">
      <formula>AND(OR(AND(IF($D5="",INDEX(primary_jama_2019_4755_disposition,MATCH($A5,primary_jama_2019_4755_key,0)),$D5)&lt;&gt;"",IF($D5="",INDEX(primary_jama_2019_4755_disposition,MATCH($A5,primary_jama_2019_4755_key,0)),$D5)&lt;&gt;"retain"),NOT(OR(IF($E5="",INDEX(primary_jama_2019_4755_domain,MATCH($A5,primary_jama_2019_4755_key,0)),$E5)="statistical_results"))),I5&lt;&gt;"",I5&lt;&gt;"not_applicable")</formula>
    </cfRule>
    <cfRule type="expression" priority="18" dxfId="1">
      <formula>OR(AND(IF($D5="",INDEX(primary_jama_2019_4755_disposition,MATCH($A5,primary_jama_2019_4755_key,0)),$D5)&lt;&gt;"",IF($D5="",INDEX(primary_jama_2019_4755_disposition,MATCH($A5,primary_jama_2019_4755_key,0)),$D5)&lt;&gt;"retain"),NOT(OR(IF($E5="",INDEX(primary_jama_2019_4755_domain,MATCH($A5,primary_jama_2019_4755_key,0)),$E5)="statistical_results")))</formula>
    </cfRule>
  </conditionalFormatting>
  <conditionalFormatting sqref="I6">
    <cfRule type="expression" priority="19" dxfId="0" stopIfTrue="1">
      <formula>AND(OR(AND(IF($D6="",INDEX(primary_jama_2019_4755_disposition,MATCH($A6,primary_jama_2019_4755_key,0)),$D6)&lt;&gt;"",IF($D6="",INDEX(primary_jama_2019_4755_disposition,MATCH($A6,primary_jama_2019_4755_key,0)),$D6)&lt;&gt;"retain"),NOT(OR(IF($E6="",INDEX(primary_jama_2019_4755_domain,MATCH($A6,primary_jama_2019_4755_key,0)),$E6)="statistical_results"))),I6&lt;&gt;"",I6&lt;&gt;"not_applicable")</formula>
    </cfRule>
    <cfRule type="expression" priority="20" dxfId="1">
      <formula>OR(AND(IF($D6="",INDEX(primary_jama_2019_4755_disposition,MATCH($A6,primary_jama_2019_4755_key,0)),$D6)&lt;&gt;"",IF($D6="",INDEX(primary_jama_2019_4755_disposition,MATCH($A6,primary_jama_2019_4755_key,0)),$D6)&lt;&gt;"retain"),NOT(OR(IF($E6="",INDEX(primary_jama_2019_4755_domain,MATCH($A6,primary_jama_2019_4755_key,0)),$E6)="statistical_results")))</formula>
    </cfRule>
  </conditionalFormatting>
  <conditionalFormatting sqref="J2">
    <cfRule type="expression" priority="21" dxfId="0" stopIfTrue="1">
      <formula>AND(OR(AND(IF($D2="",INDEX(primary_jama_2019_4755_disposition,MATCH($A2,primary_jama_2019_4755_key,0)),$D2)&lt;&gt;"",IF($D2="",INDEX(primary_jama_2019_4755_disposition,MATCH($A2,primary_jama_2019_4755_key,0)),$D2)&lt;&gt;"retain"),NOT(OR(IF($E2="",INDEX(primary_jama_2019_4755_domain,MATCH($A2,primary_jama_2019_4755_key,0)),$E2)="statistical_results"))),J2&lt;&gt;"",J2&lt;&gt;"not_applicable")</formula>
    </cfRule>
    <cfRule type="expression" priority="22" dxfId="1">
      <formula>OR(AND(IF($D2="",INDEX(primary_jama_2019_4755_disposition,MATCH($A2,primary_jama_2019_4755_key,0)),$D2)&lt;&gt;"",IF($D2="",INDEX(primary_jama_2019_4755_disposition,MATCH($A2,primary_jama_2019_4755_key,0)),$D2)&lt;&gt;"retain"),NOT(OR(IF($E2="",INDEX(primary_jama_2019_4755_domain,MATCH($A2,primary_jama_2019_4755_key,0)),$E2)="statistical_results")))</formula>
    </cfRule>
  </conditionalFormatting>
  <conditionalFormatting sqref="J3">
    <cfRule type="expression" priority="23" dxfId="0" stopIfTrue="1">
      <formula>AND(OR(AND(IF($D3="",INDEX(primary_jama_2019_4755_disposition,MATCH($A3,primary_jama_2019_4755_key,0)),$D3)&lt;&gt;"",IF($D3="",INDEX(primary_jama_2019_4755_disposition,MATCH($A3,primary_jama_2019_4755_key,0)),$D3)&lt;&gt;"retain"),NOT(OR(IF($E3="",INDEX(primary_jama_2019_4755_domain,MATCH($A3,primary_jama_2019_4755_key,0)),$E3)="statistical_results"))),J3&lt;&gt;"",J3&lt;&gt;"not_applicable")</formula>
    </cfRule>
    <cfRule type="expression" priority="24" dxfId="1">
      <formula>OR(AND(IF($D3="",INDEX(primary_jama_2019_4755_disposition,MATCH($A3,primary_jama_2019_4755_key,0)),$D3)&lt;&gt;"",IF($D3="",INDEX(primary_jama_2019_4755_disposition,MATCH($A3,primary_jama_2019_4755_key,0)),$D3)&lt;&gt;"retain"),NOT(OR(IF($E3="",INDEX(primary_jama_2019_4755_domain,MATCH($A3,primary_jama_2019_4755_key,0)),$E3)="statistical_results")))</formula>
    </cfRule>
  </conditionalFormatting>
  <conditionalFormatting sqref="J4">
    <cfRule type="expression" priority="25" dxfId="0" stopIfTrue="1">
      <formula>AND(OR(AND(IF($D4="",INDEX(primary_jama_2019_4755_disposition,MATCH($A4,primary_jama_2019_4755_key,0)),$D4)&lt;&gt;"",IF($D4="",INDEX(primary_jama_2019_4755_disposition,MATCH($A4,primary_jama_2019_4755_key,0)),$D4)&lt;&gt;"retain"),NOT(OR(IF($E4="",INDEX(primary_jama_2019_4755_domain,MATCH($A4,primary_jama_2019_4755_key,0)),$E4)="statistical_results"))),J4&lt;&gt;"",J4&lt;&gt;"not_applicable")</formula>
    </cfRule>
    <cfRule type="expression" priority="26" dxfId="1">
      <formula>OR(AND(IF($D4="",INDEX(primary_jama_2019_4755_disposition,MATCH($A4,primary_jama_2019_4755_key,0)),$D4)&lt;&gt;"",IF($D4="",INDEX(primary_jama_2019_4755_disposition,MATCH($A4,primary_jama_2019_4755_key,0)),$D4)&lt;&gt;"retain"),NOT(OR(IF($E4="",INDEX(primary_jama_2019_4755_domain,MATCH($A4,primary_jama_2019_4755_key,0)),$E4)="statistical_results")))</formula>
    </cfRule>
  </conditionalFormatting>
  <conditionalFormatting sqref="J5">
    <cfRule type="expression" priority="27" dxfId="0" stopIfTrue="1">
      <formula>AND(OR(AND(IF($D5="",INDEX(primary_jama_2019_4755_disposition,MATCH($A5,primary_jama_2019_4755_key,0)),$D5)&lt;&gt;"",IF($D5="",INDEX(primary_jama_2019_4755_disposition,MATCH($A5,primary_jama_2019_4755_key,0)),$D5)&lt;&gt;"retain"),NOT(OR(IF($E5="",INDEX(primary_jama_2019_4755_domain,MATCH($A5,primary_jama_2019_4755_key,0)),$E5)="statistical_results"))),J5&lt;&gt;"",J5&lt;&gt;"not_applicable")</formula>
    </cfRule>
    <cfRule type="expression" priority="28" dxfId="1">
      <formula>OR(AND(IF($D5="",INDEX(primary_jama_2019_4755_disposition,MATCH($A5,primary_jama_2019_4755_key,0)),$D5)&lt;&gt;"",IF($D5="",INDEX(primary_jama_2019_4755_disposition,MATCH($A5,primary_jama_2019_4755_key,0)),$D5)&lt;&gt;"retain"),NOT(OR(IF($E5="",INDEX(primary_jama_2019_4755_domain,MATCH($A5,primary_jama_2019_4755_key,0)),$E5)="statistical_results")))</formula>
    </cfRule>
  </conditionalFormatting>
  <conditionalFormatting sqref="J6">
    <cfRule type="expression" priority="29" dxfId="0" stopIfTrue="1">
      <formula>AND(OR(AND(IF($D6="",INDEX(primary_jama_2019_4755_disposition,MATCH($A6,primary_jama_2019_4755_key,0)),$D6)&lt;&gt;"",IF($D6="",INDEX(primary_jama_2019_4755_disposition,MATCH($A6,primary_jama_2019_4755_key,0)),$D6)&lt;&gt;"retain"),NOT(OR(IF($E6="",INDEX(primary_jama_2019_4755_domain,MATCH($A6,primary_jama_2019_4755_key,0)),$E6)="statistical_results"))),J6&lt;&gt;"",J6&lt;&gt;"not_applicable")</formula>
    </cfRule>
    <cfRule type="expression" priority="30" dxfId="1">
      <formula>OR(AND(IF($D6="",INDEX(primary_jama_2019_4755_disposition,MATCH($A6,primary_jama_2019_4755_key,0)),$D6)&lt;&gt;"",IF($D6="",INDEX(primary_jama_2019_4755_disposition,MATCH($A6,primary_jama_2019_4755_key,0)),$D6)&lt;&gt;"retain"),NOT(OR(IF($E6="",INDEX(primary_jama_2019_4755_domain,MATCH($A6,primary_jama_2019_4755_key,0)),$E6)="statistical_results")))</formula>
    </cfRule>
  </conditionalFormatting>
  <conditionalFormatting sqref="K2">
    <cfRule type="expression" priority="31" dxfId="0" stopIfTrue="1">
      <formula>AND(OR(AND(IF($D2="",INDEX(primary_jama_2019_4755_disposition,MATCH($A2,primary_jama_2019_4755_key,0)),$D2)&lt;&gt;"",IF($D2="",INDEX(primary_jama_2019_4755_disposition,MATCH($A2,primary_jama_2019_4755_key,0)),$D2)&lt;&gt;"retain"),NOT(OR(IF($E2="",INDEX(primary_jama_2019_4755_domain,MATCH($A2,primary_jama_2019_4755_key,0)),$E2)="report_internal_inconsistency",IF($E2="",INDEX(primary_jama_2019_4755_domain,MATCH($A2,primary_jama_2019_4755_key,0)),$E2)="plan_material"))),K2&lt;&gt;"",K2&lt;&gt;"not_applicable")</formula>
    </cfRule>
    <cfRule type="expression" priority="32" dxfId="1">
      <formula>OR(AND(IF($D2="",INDEX(primary_jama_2019_4755_disposition,MATCH($A2,primary_jama_2019_4755_key,0)),$D2)&lt;&gt;"",IF($D2="",INDEX(primary_jama_2019_4755_disposition,MATCH($A2,primary_jama_2019_4755_key,0)),$D2)&lt;&gt;"retain"),NOT(OR(IF($E2="",INDEX(primary_jama_2019_4755_domain,MATCH($A2,primary_jama_2019_4755_key,0)),$E2)="report_internal_inconsistency",IF($E2="",INDEX(primary_jama_2019_4755_domain,MATCH($A2,primary_jama_2019_4755_key,0)),$E2)="plan_material")))</formula>
    </cfRule>
  </conditionalFormatting>
  <conditionalFormatting sqref="K3">
    <cfRule type="expression" priority="33" dxfId="0" stopIfTrue="1">
      <formula>AND(OR(AND(IF($D3="",INDEX(primary_jama_2019_4755_disposition,MATCH($A3,primary_jama_2019_4755_key,0)),$D3)&lt;&gt;"",IF($D3="",INDEX(primary_jama_2019_4755_disposition,MATCH($A3,primary_jama_2019_4755_key,0)),$D3)&lt;&gt;"retain"),NOT(OR(IF($E3="",INDEX(primary_jama_2019_4755_domain,MATCH($A3,primary_jama_2019_4755_key,0)),$E3)="report_internal_inconsistency",IF($E3="",INDEX(primary_jama_2019_4755_domain,MATCH($A3,primary_jama_2019_4755_key,0)),$E3)="plan_material"))),K3&lt;&gt;"",K3&lt;&gt;"not_applicable")</formula>
    </cfRule>
    <cfRule type="expression" priority="34" dxfId="1">
      <formula>OR(AND(IF($D3="",INDEX(primary_jama_2019_4755_disposition,MATCH($A3,primary_jama_2019_4755_key,0)),$D3)&lt;&gt;"",IF($D3="",INDEX(primary_jama_2019_4755_disposition,MATCH($A3,primary_jama_2019_4755_key,0)),$D3)&lt;&gt;"retain"),NOT(OR(IF($E3="",INDEX(primary_jama_2019_4755_domain,MATCH($A3,primary_jama_2019_4755_key,0)),$E3)="report_internal_inconsistency",IF($E3="",INDEX(primary_jama_2019_4755_domain,MATCH($A3,primary_jama_2019_4755_key,0)),$E3)="plan_material")))</formula>
    </cfRule>
  </conditionalFormatting>
  <conditionalFormatting sqref="K4">
    <cfRule type="expression" priority="35" dxfId="0" stopIfTrue="1">
      <formula>AND(OR(AND(IF($D4="",INDEX(primary_jama_2019_4755_disposition,MATCH($A4,primary_jama_2019_4755_key,0)),$D4)&lt;&gt;"",IF($D4="",INDEX(primary_jama_2019_4755_disposition,MATCH($A4,primary_jama_2019_4755_key,0)),$D4)&lt;&gt;"retain"),NOT(OR(IF($E4="",INDEX(primary_jama_2019_4755_domain,MATCH($A4,primary_jama_2019_4755_key,0)),$E4)="report_internal_inconsistency",IF($E4="",INDEX(primary_jama_2019_4755_domain,MATCH($A4,primary_jama_2019_4755_key,0)),$E4)="plan_material"))),K4&lt;&gt;"",K4&lt;&gt;"not_applicable")</formula>
    </cfRule>
    <cfRule type="expression" priority="36" dxfId="1">
      <formula>OR(AND(IF($D4="",INDEX(primary_jama_2019_4755_disposition,MATCH($A4,primary_jama_2019_4755_key,0)),$D4)&lt;&gt;"",IF($D4="",INDEX(primary_jama_2019_4755_disposition,MATCH($A4,primary_jama_2019_4755_key,0)),$D4)&lt;&gt;"retain"),NOT(OR(IF($E4="",INDEX(primary_jama_2019_4755_domain,MATCH($A4,primary_jama_2019_4755_key,0)),$E4)="report_internal_inconsistency",IF($E4="",INDEX(primary_jama_2019_4755_domain,MATCH($A4,primary_jama_2019_4755_key,0)),$E4)="plan_material")))</formula>
    </cfRule>
  </conditionalFormatting>
  <conditionalFormatting sqref="K5">
    <cfRule type="expression" priority="37" dxfId="0" stopIfTrue="1">
      <formula>AND(OR(AND(IF($D5="",INDEX(primary_jama_2019_4755_disposition,MATCH($A5,primary_jama_2019_4755_key,0)),$D5)&lt;&gt;"",IF($D5="",INDEX(primary_jama_2019_4755_disposition,MATCH($A5,primary_jama_2019_4755_key,0)),$D5)&lt;&gt;"retain"),NOT(OR(IF($E5="",INDEX(primary_jama_2019_4755_domain,MATCH($A5,primary_jama_2019_4755_key,0)),$E5)="report_internal_inconsistency",IF($E5="",INDEX(primary_jama_2019_4755_domain,MATCH($A5,primary_jama_2019_4755_key,0)),$E5)="plan_material"))),K5&lt;&gt;"",K5&lt;&gt;"not_applicable")</formula>
    </cfRule>
    <cfRule type="expression" priority="38" dxfId="1">
      <formula>OR(AND(IF($D5="",INDEX(primary_jama_2019_4755_disposition,MATCH($A5,primary_jama_2019_4755_key,0)),$D5)&lt;&gt;"",IF($D5="",INDEX(primary_jama_2019_4755_disposition,MATCH($A5,primary_jama_2019_4755_key,0)),$D5)&lt;&gt;"retain"),NOT(OR(IF($E5="",INDEX(primary_jama_2019_4755_domain,MATCH($A5,primary_jama_2019_4755_key,0)),$E5)="report_internal_inconsistency",IF($E5="",INDEX(primary_jama_2019_4755_domain,MATCH($A5,primary_jama_2019_4755_key,0)),$E5)="plan_material")))</formula>
    </cfRule>
  </conditionalFormatting>
  <conditionalFormatting sqref="K6">
    <cfRule type="expression" priority="39" dxfId="0" stopIfTrue="1">
      <formula>AND(OR(AND(IF($D6="",INDEX(primary_jama_2019_4755_disposition,MATCH($A6,primary_jama_2019_4755_key,0)),$D6)&lt;&gt;"",IF($D6="",INDEX(primary_jama_2019_4755_disposition,MATCH($A6,primary_jama_2019_4755_key,0)),$D6)&lt;&gt;"retain"),NOT(OR(IF($E6="",INDEX(primary_jama_2019_4755_domain,MATCH($A6,primary_jama_2019_4755_key,0)),$E6)="report_internal_inconsistency",IF($E6="",INDEX(primary_jama_2019_4755_domain,MATCH($A6,primary_jama_2019_4755_key,0)),$E6)="plan_material"))),K6&lt;&gt;"",K6&lt;&gt;"not_applicable")</formula>
    </cfRule>
    <cfRule type="expression" priority="40" dxfId="1">
      <formula>OR(AND(IF($D6="",INDEX(primary_jama_2019_4755_disposition,MATCH($A6,primary_jama_2019_4755_key,0)),$D6)&lt;&gt;"",IF($D6="",INDEX(primary_jama_2019_4755_disposition,MATCH($A6,primary_jama_2019_4755_key,0)),$D6)&lt;&gt;"retain"),NOT(OR(IF($E6="",INDEX(primary_jama_2019_4755_domain,MATCH($A6,primary_jama_2019_4755_key,0)),$E6)="report_internal_inconsistency",IF($E6="",INDEX(primary_jama_2019_4755_domain,MATCH($A6,primary_jama_2019_4755_key,0)),$E6)="plan_material")))</formula>
    </cfRule>
  </conditionalFormatting>
  <conditionalFormatting sqref="L2">
    <cfRule type="expression" priority="41" dxfId="0" stopIfTrue="1">
      <formula>AND(OR(AND(IF($D2="",INDEX(primary_jama_2019_4755_disposition,MATCH($A2,primary_jama_2019_4755_key,0)),$D2)&lt;&gt;"",IF($D2="",INDEX(primary_jama_2019_4755_disposition,MATCH($A2,primary_jama_2019_4755_key,0)),$D2)&lt;&gt;"retain"),NOT(OR(IF($E2="",INDEX(primary_jama_2019_4755_domain,MATCH($A2,primary_jama_2019_4755_key,0)),$E2)="protocol_report"))),L2&lt;&gt;"",L2&lt;&gt;"not_applicable")</formula>
    </cfRule>
    <cfRule type="expression" priority="42" dxfId="1">
      <formula>OR(AND(IF($D2="",INDEX(primary_jama_2019_4755_disposition,MATCH($A2,primary_jama_2019_4755_key,0)),$D2)&lt;&gt;"",IF($D2="",INDEX(primary_jama_2019_4755_disposition,MATCH($A2,primary_jama_2019_4755_key,0)),$D2)&lt;&gt;"retain"),NOT(OR(IF($E2="",INDEX(primary_jama_2019_4755_domain,MATCH($A2,primary_jama_2019_4755_key,0)),$E2)="protocol_report")))</formula>
    </cfRule>
  </conditionalFormatting>
  <conditionalFormatting sqref="L3">
    <cfRule type="expression" priority="43" dxfId="0" stopIfTrue="1">
      <formula>AND(OR(AND(IF($D3="",INDEX(primary_jama_2019_4755_disposition,MATCH($A3,primary_jama_2019_4755_key,0)),$D3)&lt;&gt;"",IF($D3="",INDEX(primary_jama_2019_4755_disposition,MATCH($A3,primary_jama_2019_4755_key,0)),$D3)&lt;&gt;"retain"),NOT(OR(IF($E3="",INDEX(primary_jama_2019_4755_domain,MATCH($A3,primary_jama_2019_4755_key,0)),$E3)="protocol_report"))),L3&lt;&gt;"",L3&lt;&gt;"not_applicable")</formula>
    </cfRule>
    <cfRule type="expression" priority="44" dxfId="1">
      <formula>OR(AND(IF($D3="",INDEX(primary_jama_2019_4755_disposition,MATCH($A3,primary_jama_2019_4755_key,0)),$D3)&lt;&gt;"",IF($D3="",INDEX(primary_jama_2019_4755_disposition,MATCH($A3,primary_jama_2019_4755_key,0)),$D3)&lt;&gt;"retain"),NOT(OR(IF($E3="",INDEX(primary_jama_2019_4755_domain,MATCH($A3,primary_jama_2019_4755_key,0)),$E3)="protocol_report")))</formula>
    </cfRule>
  </conditionalFormatting>
  <conditionalFormatting sqref="L4">
    <cfRule type="expression" priority="45" dxfId="0" stopIfTrue="1">
      <formula>AND(OR(AND(IF($D4="",INDEX(primary_jama_2019_4755_disposition,MATCH($A4,primary_jama_2019_4755_key,0)),$D4)&lt;&gt;"",IF($D4="",INDEX(primary_jama_2019_4755_disposition,MATCH($A4,primary_jama_2019_4755_key,0)),$D4)&lt;&gt;"retain"),NOT(OR(IF($E4="",INDEX(primary_jama_2019_4755_domain,MATCH($A4,primary_jama_2019_4755_key,0)),$E4)="protocol_report"))),L4&lt;&gt;"",L4&lt;&gt;"not_applicable")</formula>
    </cfRule>
    <cfRule type="expression" priority="46" dxfId="1">
      <formula>OR(AND(IF($D4="",INDEX(primary_jama_2019_4755_disposition,MATCH($A4,primary_jama_2019_4755_key,0)),$D4)&lt;&gt;"",IF($D4="",INDEX(primary_jama_2019_4755_disposition,MATCH($A4,primary_jama_2019_4755_key,0)),$D4)&lt;&gt;"retain"),NOT(OR(IF($E4="",INDEX(primary_jama_2019_4755_domain,MATCH($A4,primary_jama_2019_4755_key,0)),$E4)="protocol_report")))</formula>
    </cfRule>
  </conditionalFormatting>
  <conditionalFormatting sqref="L5">
    <cfRule type="expression" priority="47" dxfId="0" stopIfTrue="1">
      <formula>AND(OR(AND(IF($D5="",INDEX(primary_jama_2019_4755_disposition,MATCH($A5,primary_jama_2019_4755_key,0)),$D5)&lt;&gt;"",IF($D5="",INDEX(primary_jama_2019_4755_disposition,MATCH($A5,primary_jama_2019_4755_key,0)),$D5)&lt;&gt;"retain"),NOT(OR(IF($E5="",INDEX(primary_jama_2019_4755_domain,MATCH($A5,primary_jama_2019_4755_key,0)),$E5)="protocol_report"))),L5&lt;&gt;"",L5&lt;&gt;"not_applicable")</formula>
    </cfRule>
    <cfRule type="expression" priority="48" dxfId="1">
      <formula>OR(AND(IF($D5="",INDEX(primary_jama_2019_4755_disposition,MATCH($A5,primary_jama_2019_4755_key,0)),$D5)&lt;&gt;"",IF($D5="",INDEX(primary_jama_2019_4755_disposition,MATCH($A5,primary_jama_2019_4755_key,0)),$D5)&lt;&gt;"retain"),NOT(OR(IF($E5="",INDEX(primary_jama_2019_4755_domain,MATCH($A5,primary_jama_2019_4755_key,0)),$E5)="protocol_report")))</formula>
    </cfRule>
  </conditionalFormatting>
  <conditionalFormatting sqref="L6">
    <cfRule type="expression" priority="49" dxfId="0" stopIfTrue="1">
      <formula>AND(OR(AND(IF($D6="",INDEX(primary_jama_2019_4755_disposition,MATCH($A6,primary_jama_2019_4755_key,0)),$D6)&lt;&gt;"",IF($D6="",INDEX(primary_jama_2019_4755_disposition,MATCH($A6,primary_jama_2019_4755_key,0)),$D6)&lt;&gt;"retain"),NOT(OR(IF($E6="",INDEX(primary_jama_2019_4755_domain,MATCH($A6,primary_jama_2019_4755_key,0)),$E6)="protocol_report"))),L6&lt;&gt;"",L6&lt;&gt;"not_applicable")</formula>
    </cfRule>
    <cfRule type="expression" priority="50" dxfId="1">
      <formula>OR(AND(IF($D6="",INDEX(primary_jama_2019_4755_disposition,MATCH($A6,primary_jama_2019_4755_key,0)),$D6)&lt;&gt;"",IF($D6="",INDEX(primary_jama_2019_4755_disposition,MATCH($A6,primary_jama_2019_4755_key,0)),$D6)&lt;&gt;"retain"),NOT(OR(IF($E6="",INDEX(primary_jama_2019_4755_domain,MATCH($A6,primary_jama_2019_4755_key,0)),$E6)="protocol_report")))</formula>
    </cfRule>
  </conditionalFormatting>
  <dataValidations count="10">
    <dataValidation sqref="D2:D6" showDropDown="0" showInputMessage="1" showErrorMessage="1" allowBlank="1" errorTitle="Invalid option" error="Choose a listed value." promptTitle="Disposition" prompt="See Codebook for meanings." type="list" errorStyle="stop">
      <formula1>opt_disposition</formula1>
    </dataValidation>
    <dataValidation sqref="E2:E6" showDropDown="0" showInputMessage="1" showErrorMessage="1" allowBlank="1" errorTitle="Invalid option" error="Choose a listed value." promptTitle="Review domain" prompt="See Codebook for meanings." type="list" errorStyle="stop">
      <formula1>opt_domain</formula1>
    </dataValidation>
    <dataValidation sqref="F2:F6" showDropDown="0" showInputMessage="1" showErrorMessage="1" allowBlank="1" errorTitle="Invalid option" error="Choose a listed value." promptTitle="Complete" prompt="See Codebook for meanings." type="list" errorStyle="stop">
      <formula1>opt_reviewComplete</formula1>
    </dataValidation>
    <dataValidation sqref="H2:H6"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6" showDropDown="0" showInputMessage="1" showErrorMessage="1" allowBlank="1" errorTitle="Invalid option" error="Choose a listed value." promptTitle="Substantiveness" prompt="See Codebook for meanings." type="list" errorStyle="stop">
      <formula1>opt_substantiveStatus</formula1>
    </dataValidation>
    <dataValidation sqref="J2:J6" showDropDown="0" showInputMessage="1" showErrorMessage="1" allowBlank="1" errorTitle="Invalid option" error="Choose a listed value." promptTitle="Downstream impact" prompt="See Codebook for meanings." type="list" errorStyle="stop">
      <formula1>opt_downstreamImpact</formula1>
    </dataValidation>
    <dataValidation sqref="K2:K6"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6"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N2:N6" showDropDown="0" showInputMessage="1" showErrorMessage="1" allowBlank="1" errorTitle="Invalid option" error="Choose a listed value." promptTitle="Checker result" prompt="See Codebook for meanings." type="list" errorStyle="stop">
      <formula1>opt_checkStatus</formula1>
    </dataValidation>
    <dataValidation sqref="P2:P6"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R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2019::jama.2019.7505::C001</t>
        </is>
      </c>
      <c r="B2" s="2" t="inlineStr">
        <is>
          <t>Hypoxemia confidence-interval endpoint sign differs between abstract and Table 3</t>
        </is>
      </c>
      <c r="C2" s="2" t="inlineStr">
        <is>
          <t>DOC-001, jama_bluth_2019_oi_190055_16092.pdf — PDF p. 1, abstract and PDF p. 9, Table 3.</t>
        </is>
      </c>
      <c r="D2" s="8" t="inlineStr"/>
      <c r="E2" s="8" t="inlineStr"/>
      <c r="F2" s="8" t="inlineStr">
        <is>
          <t>no</t>
        </is>
      </c>
      <c r="G2" s="2">
        <f>IF(OR(AND(OR(AND(IF($D2="",INDEX(primary_jama_2019_7505_disposition,MATCH($A2,primary_jama_2019_7505_key,0)),$D2)&lt;&gt;"",IF($D2="",INDEX(primary_jama_2019_7505_disposition,MATCH($A2,primary_jama_2019_7505_key,0)),$D2)&lt;&gt;"retain"),NOT(OR(IF($E2="",INDEX(primary_jama_2019_7505_domain,MATCH($A2,primary_jama_2019_7505_key,0)),$E2)="statistical_results"))),H2&lt;&gt;"",H2&lt;&gt;"not_applicable"),AND(OR(AND(IF($D2="",INDEX(primary_jama_2019_7505_disposition,MATCH($A2,primary_jama_2019_7505_key,0)),$D2)&lt;&gt;"",IF($D2="",INDEX(primary_jama_2019_7505_disposition,MATCH($A2,primary_jama_2019_7505_key,0)),$D2)&lt;&gt;"retain"),NOT(OR(IF($E2="",INDEX(primary_jama_2019_7505_domain,MATCH($A2,primary_jama_2019_7505_key,0)),$E2)="statistical_results"))),I2&lt;&gt;"",I2&lt;&gt;"not_applicable"),AND(OR(AND(IF($D2="",INDEX(primary_jama_2019_7505_disposition,MATCH($A2,primary_jama_2019_7505_key,0)),$D2)&lt;&gt;"",IF($D2="",INDEX(primary_jama_2019_7505_disposition,MATCH($A2,primary_jama_2019_7505_key,0)),$D2)&lt;&gt;"retain"),NOT(OR(IF($E2="",INDEX(primary_jama_2019_7505_domain,MATCH($A2,primary_jama_2019_7505_key,0)),$E2)="statistical_results"))),J2&lt;&gt;"",J2&lt;&gt;"not_applicable"),AND(OR(AND(IF($D2="",INDEX(primary_jama_2019_7505_disposition,MATCH($A2,primary_jama_2019_7505_key,0)),$D2)&lt;&gt;"",IF($D2="",INDEX(primary_jama_2019_7505_disposition,MATCH($A2,primary_jama_2019_7505_key,0)),$D2)&lt;&gt;"retain"),NOT(OR(IF($E2="",INDEX(primary_jama_2019_7505_domain,MATCH($A2,primary_jama_2019_7505_key,0)),$E2)="report_internal_inconsistency",IF($E2="",INDEX(primary_jama_2019_7505_domain,MATCH($A2,primary_jama_2019_7505_key,0)),$E2)="plan_material"))),K2&lt;&gt;"",K2&lt;&gt;"not_applicable"),AND(OR(AND(IF($D2="",INDEX(primary_jama_2019_7505_disposition,MATCH($A2,primary_jama_2019_7505_key,0)),$D2)&lt;&gt;"",IF($D2="",INDEX(primary_jama_2019_7505_disposition,MATCH($A2,primary_jama_2019_7505_key,0)),$D2)&lt;&gt;"retain"),NOT(OR(IF($E2="",INDEX(primary_jama_2019_7505_domain,MATCH($A2,primary_jama_2019_7505_key,0)),$E2)="protocol_report"))),L2&lt;&gt;"",L2&lt;&gt;"not_applicable")),"CLEAR INACTIVE VALUES",IF(N2="","PENDING",IF(AND(N2&lt;&gt;"agree",LEN(TRIM(O2))=0),"COMMENT NEEDED",IF(F2="yes","CHECKED - see resolution","DRAFT"))))</f>
        <v/>
      </c>
      <c r="H2" s="8">
        <f>IF(OR(AND(IF($D2="",INDEX(primary_jama_2019_7505_disposition,MATCH($A2,primary_jama_2019_7505_key,0)),$D2)&lt;&gt;"",IF($D2="",INDEX(primary_jama_2019_7505_disposition,MATCH($A2,primary_jama_2019_7505_key,0)),$D2)&lt;&gt;"retain"),NOT(OR(IF($E2="",INDEX(primary_jama_2019_7505_domain,MATCH($A2,primary_jama_2019_7505_key,0)),$E2)="statistical_results"))),"not_applicable","")</f>
        <v/>
      </c>
      <c r="I2" s="8">
        <f>IF(OR(AND(IF($D2="",INDEX(primary_jama_2019_7505_disposition,MATCH($A2,primary_jama_2019_7505_key,0)),$D2)&lt;&gt;"",IF($D2="",INDEX(primary_jama_2019_7505_disposition,MATCH($A2,primary_jama_2019_7505_key,0)),$D2)&lt;&gt;"retain"),NOT(OR(IF($E2="",INDEX(primary_jama_2019_7505_domain,MATCH($A2,primary_jama_2019_7505_key,0)),$E2)="statistical_results"))),"not_applicable","")</f>
        <v/>
      </c>
      <c r="J2" s="9">
        <f>IF(OR(AND(IF($D2="",INDEX(primary_jama_2019_7505_disposition,MATCH($A2,primary_jama_2019_7505_key,0)),$D2)&lt;&gt;"",IF($D2="",INDEX(primary_jama_2019_7505_disposition,MATCH($A2,primary_jama_2019_7505_key,0)),$D2)&lt;&gt;"retain"),NOT(OR(IF($E2="",INDEX(primary_jama_2019_7505_domain,MATCH($A2,primary_jama_2019_7505_key,0)),$E2)="statistical_results"))),"not_applicable","")</f>
        <v/>
      </c>
      <c r="K2" s="8">
        <f>IF(OR(AND(IF($D2="",INDEX(primary_jama_2019_7505_disposition,MATCH($A2,primary_jama_2019_7505_key,0)),$D2)&lt;&gt;"",IF($D2="",INDEX(primary_jama_2019_7505_disposition,MATCH($A2,primary_jama_2019_7505_key,0)),$D2)&lt;&gt;"retain"),NOT(OR(IF($E2="",INDEX(primary_jama_2019_7505_domain,MATCH($A2,primary_jama_2019_7505_key,0)),$E2)="report_internal_inconsistency",IF($E2="",INDEX(primary_jama_2019_7505_domain,MATCH($A2,primary_jama_2019_7505_key,0)),$E2)="plan_material"))),"not_applicable","")</f>
        <v/>
      </c>
      <c r="L2" s="9">
        <f>IF(OR(AND(IF($D2="",INDEX(primary_jama_2019_7505_disposition,MATCH($A2,primary_jama_2019_7505_key,0)),$D2)&lt;&gt;"",IF($D2="",INDEX(primary_jama_2019_7505_disposition,MATCH($A2,primary_jama_2019_7505_key,0)),$D2)&lt;&gt;"retain"),NOT(OR(IF($E2="",INDEX(primary_jama_2019_7505_domain,MATCH($A2,primary_jama_2019_7505_key,0)),$E2)="protocol_report"))),"not_applicable","")</f>
        <v/>
      </c>
      <c r="M2" s="2" t="inlineStr">
        <is>
          <t>Disposition: exclude
Review domain: report_internal_inconsistency
Notes (optional): SYNTHETIC TEST DATA ONLY. Exclude is a placeholder for testing the checker workflow, not a scientific assessment. Do not use this sample in research results.</t>
        </is>
      </c>
      <c r="N2" s="8" t="inlineStr"/>
      <c r="O2" s="10" t="inlineStr"/>
      <c r="P2" s="8" t="inlineStr">
        <is>
          <t>pending</t>
        </is>
      </c>
      <c r="Q2" s="10" t="inlineStr"/>
      <c r="R2" s="11" t="inlineStr"/>
    </row>
    <row r="3" ht="76" customHeight="1">
      <c r="A3" s="3" t="inlineStr">
        <is>
          <t>2019::jama.2019.7505::C002</t>
        </is>
      </c>
      <c r="B3" s="3" t="inlineStr">
        <is>
          <t>DIC row finite risk ratio and narrow interval do not reconcile with zero comparator events</t>
        </is>
      </c>
      <c r="C3" s="3" t="inlineStr">
        <is>
          <t>DOC-001, jama_bluth_2019_oi_190055_16092.pdf — PDF p. 9, Table 3; PDF p. 10, continued Table 3 footnotes; and PDF p. 4, binary-outcome method.</t>
        </is>
      </c>
      <c r="D3" s="8" t="inlineStr"/>
      <c r="E3" s="8" t="inlineStr"/>
      <c r="F3" s="8" t="inlineStr">
        <is>
          <t>no</t>
        </is>
      </c>
      <c r="G3" s="3">
        <f>IF(OR(AND(OR(AND(IF($D3="",INDEX(primary_jama_2019_7505_disposition,MATCH($A3,primary_jama_2019_7505_key,0)),$D3)&lt;&gt;"",IF($D3="",INDEX(primary_jama_2019_7505_disposition,MATCH($A3,primary_jama_2019_7505_key,0)),$D3)&lt;&gt;"retain"),NOT(OR(IF($E3="",INDEX(primary_jama_2019_7505_domain,MATCH($A3,primary_jama_2019_7505_key,0)),$E3)="statistical_results"))),H3&lt;&gt;"",H3&lt;&gt;"not_applicable"),AND(OR(AND(IF($D3="",INDEX(primary_jama_2019_7505_disposition,MATCH($A3,primary_jama_2019_7505_key,0)),$D3)&lt;&gt;"",IF($D3="",INDEX(primary_jama_2019_7505_disposition,MATCH($A3,primary_jama_2019_7505_key,0)),$D3)&lt;&gt;"retain"),NOT(OR(IF($E3="",INDEX(primary_jama_2019_7505_domain,MATCH($A3,primary_jama_2019_7505_key,0)),$E3)="statistical_results"))),I3&lt;&gt;"",I3&lt;&gt;"not_applicable"),AND(OR(AND(IF($D3="",INDEX(primary_jama_2019_7505_disposition,MATCH($A3,primary_jama_2019_7505_key,0)),$D3)&lt;&gt;"",IF($D3="",INDEX(primary_jama_2019_7505_disposition,MATCH($A3,primary_jama_2019_7505_key,0)),$D3)&lt;&gt;"retain"),NOT(OR(IF($E3="",INDEX(primary_jama_2019_7505_domain,MATCH($A3,primary_jama_2019_7505_key,0)),$E3)="statistical_results"))),J3&lt;&gt;"",J3&lt;&gt;"not_applicable"),AND(OR(AND(IF($D3="",INDEX(primary_jama_2019_7505_disposition,MATCH($A3,primary_jama_2019_7505_key,0)),$D3)&lt;&gt;"",IF($D3="",INDEX(primary_jama_2019_7505_disposition,MATCH($A3,primary_jama_2019_7505_key,0)),$D3)&lt;&gt;"retain"),NOT(OR(IF($E3="",INDEX(primary_jama_2019_7505_domain,MATCH($A3,primary_jama_2019_7505_key,0)),$E3)="report_internal_inconsistency",IF($E3="",INDEX(primary_jama_2019_7505_domain,MATCH($A3,primary_jama_2019_7505_key,0)),$E3)="plan_material"))),K3&lt;&gt;"",K3&lt;&gt;"not_applicable"),AND(OR(AND(IF($D3="",INDEX(primary_jama_2019_7505_disposition,MATCH($A3,primary_jama_2019_7505_key,0)),$D3)&lt;&gt;"",IF($D3="",INDEX(primary_jama_2019_7505_disposition,MATCH($A3,primary_jama_2019_7505_key,0)),$D3)&lt;&gt;"retain"),NOT(OR(IF($E3="",INDEX(primary_jama_2019_7505_domain,MATCH($A3,primary_jama_2019_7505_key,0)),$E3)="protocol_report"))),L3&lt;&gt;"",L3&lt;&gt;"not_applicable")),"CLEAR INACTIVE VALUES",IF(N3="","PENDING",IF(AND(N3&lt;&gt;"agree",LEN(TRIM(O3))=0),"COMMENT NEEDED",IF(F3="yes","CHECKED - see resolution","DRAFT"))))</f>
        <v/>
      </c>
      <c r="H3" s="8">
        <f>IF(OR(AND(IF($D3="",INDEX(primary_jama_2019_7505_disposition,MATCH($A3,primary_jama_2019_7505_key,0)),$D3)&lt;&gt;"",IF($D3="",INDEX(primary_jama_2019_7505_disposition,MATCH($A3,primary_jama_2019_7505_key,0)),$D3)&lt;&gt;"retain"),NOT(OR(IF($E3="",INDEX(primary_jama_2019_7505_domain,MATCH($A3,primary_jama_2019_7505_key,0)),$E3)="statistical_results"))),"not_applicable","")</f>
        <v/>
      </c>
      <c r="I3" s="8">
        <f>IF(OR(AND(IF($D3="",INDEX(primary_jama_2019_7505_disposition,MATCH($A3,primary_jama_2019_7505_key,0)),$D3)&lt;&gt;"",IF($D3="",INDEX(primary_jama_2019_7505_disposition,MATCH($A3,primary_jama_2019_7505_key,0)),$D3)&lt;&gt;"retain"),NOT(OR(IF($E3="",INDEX(primary_jama_2019_7505_domain,MATCH($A3,primary_jama_2019_7505_key,0)),$E3)="statistical_results"))),"not_applicable","")</f>
        <v/>
      </c>
      <c r="J3" s="9">
        <f>IF(OR(AND(IF($D3="",INDEX(primary_jama_2019_7505_disposition,MATCH($A3,primary_jama_2019_7505_key,0)),$D3)&lt;&gt;"",IF($D3="",INDEX(primary_jama_2019_7505_disposition,MATCH($A3,primary_jama_2019_7505_key,0)),$D3)&lt;&gt;"retain"),NOT(OR(IF($E3="",INDEX(primary_jama_2019_7505_domain,MATCH($A3,primary_jama_2019_7505_key,0)),$E3)="statistical_results"))),"not_applicable","")</f>
        <v/>
      </c>
      <c r="K3" s="8">
        <f>IF(OR(AND(IF($D3="",INDEX(primary_jama_2019_7505_disposition,MATCH($A3,primary_jama_2019_7505_key,0)),$D3)&lt;&gt;"",IF($D3="",INDEX(primary_jama_2019_7505_disposition,MATCH($A3,primary_jama_2019_7505_key,0)),$D3)&lt;&gt;"retain"),NOT(OR(IF($E3="",INDEX(primary_jama_2019_7505_domain,MATCH($A3,primary_jama_2019_7505_key,0)),$E3)="report_internal_inconsistency",IF($E3="",INDEX(primary_jama_2019_7505_domain,MATCH($A3,primary_jama_2019_7505_key,0)),$E3)="plan_material"))),"not_applicable","")</f>
        <v/>
      </c>
      <c r="L3" s="9">
        <f>IF(OR(AND(IF($D3="",INDEX(primary_jama_2019_7505_disposition,MATCH($A3,primary_jama_2019_7505_key,0)),$D3)&lt;&gt;"",IF($D3="",INDEX(primary_jama_2019_7505_disposition,MATCH($A3,primary_jama_2019_7505_key,0)),$D3)&lt;&gt;"retain"),NOT(OR(IF($E3="",INDEX(primary_jama_2019_7505_domain,MATCH($A3,primary_jama_2019_7505_key,0)),$E3)="protocol_report"))),"not_applicable","")</f>
        <v/>
      </c>
      <c r="M3" s="3" t="inlineStr">
        <is>
          <t>Disposition: exclude
Review domain: statistical_results
Notes (optional): SYNTHETIC TEST DATA ONLY. Exclude is a placeholder for testing the checker workflow, not a scientific assessment. Do not use this sample in research results.</t>
        </is>
      </c>
      <c r="N3" s="8" t="inlineStr"/>
      <c r="O3" s="10" t="inlineStr"/>
      <c r="P3" s="8" t="inlineStr">
        <is>
          <t>pending</t>
        </is>
      </c>
      <c r="Q3" s="10" t="inlineStr"/>
      <c r="R3" s="11" t="inlineStr"/>
    </row>
    <row r="4" ht="76" customHeight="1">
      <c r="A4" s="2" t="inlineStr">
        <is>
          <t>2019::jama.2019.7505::C003</t>
        </is>
      </c>
      <c r="B4" s="2" t="inlineStr">
        <is>
          <t>Protocol analysis sentence combines odds-ratio and relative-risk labels</t>
        </is>
      </c>
      <c r="C4" s="2" t="inlineStr">
        <is>
          <t>DOC-002, joi190055supp1_prod_16092.pdf — physical PDF p. 23 (footer p. 22), section 8.2 Analysis; comparator definitions in DOC-004, joi190055supp3_prod_16092.pdf — PDF p. 2 and PDF p. 3.</t>
        </is>
      </c>
      <c r="D4" s="8" t="inlineStr"/>
      <c r="E4" s="8" t="inlineStr"/>
      <c r="F4" s="8" t="inlineStr">
        <is>
          <t>no</t>
        </is>
      </c>
      <c r="G4" s="2">
        <f>IF(OR(AND(OR(AND(IF($D4="",INDEX(primary_jama_2019_7505_disposition,MATCH($A4,primary_jama_2019_7505_key,0)),$D4)&lt;&gt;"",IF($D4="",INDEX(primary_jama_2019_7505_disposition,MATCH($A4,primary_jama_2019_7505_key,0)),$D4)&lt;&gt;"retain"),NOT(OR(IF($E4="",INDEX(primary_jama_2019_7505_domain,MATCH($A4,primary_jama_2019_7505_key,0)),$E4)="statistical_results"))),H4&lt;&gt;"",H4&lt;&gt;"not_applicable"),AND(OR(AND(IF($D4="",INDEX(primary_jama_2019_7505_disposition,MATCH($A4,primary_jama_2019_7505_key,0)),$D4)&lt;&gt;"",IF($D4="",INDEX(primary_jama_2019_7505_disposition,MATCH($A4,primary_jama_2019_7505_key,0)),$D4)&lt;&gt;"retain"),NOT(OR(IF($E4="",INDEX(primary_jama_2019_7505_domain,MATCH($A4,primary_jama_2019_7505_key,0)),$E4)="statistical_results"))),I4&lt;&gt;"",I4&lt;&gt;"not_applicable"),AND(OR(AND(IF($D4="",INDEX(primary_jama_2019_7505_disposition,MATCH($A4,primary_jama_2019_7505_key,0)),$D4)&lt;&gt;"",IF($D4="",INDEX(primary_jama_2019_7505_disposition,MATCH($A4,primary_jama_2019_7505_key,0)),$D4)&lt;&gt;"retain"),NOT(OR(IF($E4="",INDEX(primary_jama_2019_7505_domain,MATCH($A4,primary_jama_2019_7505_key,0)),$E4)="statistical_results"))),J4&lt;&gt;"",J4&lt;&gt;"not_applicable"),AND(OR(AND(IF($D4="",INDEX(primary_jama_2019_7505_disposition,MATCH($A4,primary_jama_2019_7505_key,0)),$D4)&lt;&gt;"",IF($D4="",INDEX(primary_jama_2019_7505_disposition,MATCH($A4,primary_jama_2019_7505_key,0)),$D4)&lt;&gt;"retain"),NOT(OR(IF($E4="",INDEX(primary_jama_2019_7505_domain,MATCH($A4,primary_jama_2019_7505_key,0)),$E4)="report_internal_inconsistency",IF($E4="",INDEX(primary_jama_2019_7505_domain,MATCH($A4,primary_jama_2019_7505_key,0)),$E4)="plan_material"))),K4&lt;&gt;"",K4&lt;&gt;"not_applicable"),AND(OR(AND(IF($D4="",INDEX(primary_jama_2019_7505_disposition,MATCH($A4,primary_jama_2019_7505_key,0)),$D4)&lt;&gt;"",IF($D4="",INDEX(primary_jama_2019_7505_disposition,MATCH($A4,primary_jama_2019_7505_key,0)),$D4)&lt;&gt;"retain"),NOT(OR(IF($E4="",INDEX(primary_jama_2019_7505_domain,MATCH($A4,primary_jama_2019_7505_key,0)),$E4)="protocol_report"))),L4&lt;&gt;"",L4&lt;&gt;"not_applicable")),"CLEAR INACTIVE VALUES",IF(N4="","PENDING",IF(AND(N4&lt;&gt;"agree",LEN(TRIM(O4))=0),"COMMENT NEEDED",IF(F4="yes","CHECKED - see resolution","DRAFT"))))</f>
        <v/>
      </c>
      <c r="H4" s="8">
        <f>IF(OR(AND(IF($D4="",INDEX(primary_jama_2019_7505_disposition,MATCH($A4,primary_jama_2019_7505_key,0)),$D4)&lt;&gt;"",IF($D4="",INDEX(primary_jama_2019_7505_disposition,MATCH($A4,primary_jama_2019_7505_key,0)),$D4)&lt;&gt;"retain"),NOT(OR(IF($E4="",INDEX(primary_jama_2019_7505_domain,MATCH($A4,primary_jama_2019_7505_key,0)),$E4)="statistical_results"))),"not_applicable","")</f>
        <v/>
      </c>
      <c r="I4" s="8">
        <f>IF(OR(AND(IF($D4="",INDEX(primary_jama_2019_7505_disposition,MATCH($A4,primary_jama_2019_7505_key,0)),$D4)&lt;&gt;"",IF($D4="",INDEX(primary_jama_2019_7505_disposition,MATCH($A4,primary_jama_2019_7505_key,0)),$D4)&lt;&gt;"retain"),NOT(OR(IF($E4="",INDEX(primary_jama_2019_7505_domain,MATCH($A4,primary_jama_2019_7505_key,0)),$E4)="statistical_results"))),"not_applicable","")</f>
        <v/>
      </c>
      <c r="J4" s="9">
        <f>IF(OR(AND(IF($D4="",INDEX(primary_jama_2019_7505_disposition,MATCH($A4,primary_jama_2019_7505_key,0)),$D4)&lt;&gt;"",IF($D4="",INDEX(primary_jama_2019_7505_disposition,MATCH($A4,primary_jama_2019_7505_key,0)),$D4)&lt;&gt;"retain"),NOT(OR(IF($E4="",INDEX(primary_jama_2019_7505_domain,MATCH($A4,primary_jama_2019_7505_key,0)),$E4)="statistical_results"))),"not_applicable","")</f>
        <v/>
      </c>
      <c r="K4" s="8">
        <f>IF(OR(AND(IF($D4="",INDEX(primary_jama_2019_7505_disposition,MATCH($A4,primary_jama_2019_7505_key,0)),$D4)&lt;&gt;"",IF($D4="",INDEX(primary_jama_2019_7505_disposition,MATCH($A4,primary_jama_2019_7505_key,0)),$D4)&lt;&gt;"retain"),NOT(OR(IF($E4="",INDEX(primary_jama_2019_7505_domain,MATCH($A4,primary_jama_2019_7505_key,0)),$E4)="report_internal_inconsistency",IF($E4="",INDEX(primary_jama_2019_7505_domain,MATCH($A4,primary_jama_2019_7505_key,0)),$E4)="plan_material"))),"not_applicable","")</f>
        <v/>
      </c>
      <c r="L4" s="9">
        <f>IF(OR(AND(IF($D4="",INDEX(primary_jama_2019_7505_disposition,MATCH($A4,primary_jama_2019_7505_key,0)),$D4)&lt;&gt;"",IF($D4="",INDEX(primary_jama_2019_7505_disposition,MATCH($A4,primary_jama_2019_7505_key,0)),$D4)&lt;&gt;"retain"),NOT(OR(IF($E4="",INDEX(primary_jama_2019_7505_domain,MATCH($A4,primary_jama_2019_7505_key,0)),$E4)="protocol_report"))),"not_applicable","")</f>
        <v/>
      </c>
      <c r="M4" s="2" t="inlineStr">
        <is>
          <t>Disposition: exclude
Review domain: plan_material
Notes (optional): SYNTHETIC TEST DATA ONLY. Exclude is a placeholder for testing the checker workflow, not a scientific assessment. Do not use this sample in research results.</t>
        </is>
      </c>
      <c r="N4" s="8" t="inlineStr"/>
      <c r="O4" s="10" t="inlineStr"/>
      <c r="P4" s="8" t="inlineStr">
        <is>
          <t>pending</t>
        </is>
      </c>
      <c r="Q4" s="10" t="inlineStr"/>
      <c r="R4" s="11" t="inlineStr"/>
    </row>
    <row r="5" ht="76" customHeight="1">
      <c r="A5" s="3" t="inlineStr">
        <is>
          <t>2019::jama.2019.7505::C004</t>
        </is>
      </c>
      <c r="B5" s="3" t="inlineStr">
        <is>
          <t>eFigure 11 mortality values are described as extra-pulmonary complications</t>
        </is>
      </c>
      <c r="C5" s="3" t="inlineStr">
        <is>
          <t>DOC-005, joi190055supp4_prod_16092.pdf — PDF p. 41, eFigure 11; comparator PDF p. 40, eFigure 10; and DOC-001, jama_bluth_2019_oi_190055_16092.pdf — PDF p. 10, Table 3.</t>
        </is>
      </c>
      <c r="D5" s="8" t="inlineStr"/>
      <c r="E5" s="8" t="inlineStr"/>
      <c r="F5" s="8" t="inlineStr">
        <is>
          <t>no</t>
        </is>
      </c>
      <c r="G5" s="3">
        <f>IF(OR(AND(OR(AND(IF($D5="",INDEX(primary_jama_2019_7505_disposition,MATCH($A5,primary_jama_2019_7505_key,0)),$D5)&lt;&gt;"",IF($D5="",INDEX(primary_jama_2019_7505_disposition,MATCH($A5,primary_jama_2019_7505_key,0)),$D5)&lt;&gt;"retain"),NOT(OR(IF($E5="",INDEX(primary_jama_2019_7505_domain,MATCH($A5,primary_jama_2019_7505_key,0)),$E5)="statistical_results"))),H5&lt;&gt;"",H5&lt;&gt;"not_applicable"),AND(OR(AND(IF($D5="",INDEX(primary_jama_2019_7505_disposition,MATCH($A5,primary_jama_2019_7505_key,0)),$D5)&lt;&gt;"",IF($D5="",INDEX(primary_jama_2019_7505_disposition,MATCH($A5,primary_jama_2019_7505_key,0)),$D5)&lt;&gt;"retain"),NOT(OR(IF($E5="",INDEX(primary_jama_2019_7505_domain,MATCH($A5,primary_jama_2019_7505_key,0)),$E5)="statistical_results"))),I5&lt;&gt;"",I5&lt;&gt;"not_applicable"),AND(OR(AND(IF($D5="",INDEX(primary_jama_2019_7505_disposition,MATCH($A5,primary_jama_2019_7505_key,0)),$D5)&lt;&gt;"",IF($D5="",INDEX(primary_jama_2019_7505_disposition,MATCH($A5,primary_jama_2019_7505_key,0)),$D5)&lt;&gt;"retain"),NOT(OR(IF($E5="",INDEX(primary_jama_2019_7505_domain,MATCH($A5,primary_jama_2019_7505_key,0)),$E5)="statistical_results"))),J5&lt;&gt;"",J5&lt;&gt;"not_applicable"),AND(OR(AND(IF($D5="",INDEX(primary_jama_2019_7505_disposition,MATCH($A5,primary_jama_2019_7505_key,0)),$D5)&lt;&gt;"",IF($D5="",INDEX(primary_jama_2019_7505_disposition,MATCH($A5,primary_jama_2019_7505_key,0)),$D5)&lt;&gt;"retain"),NOT(OR(IF($E5="",INDEX(primary_jama_2019_7505_domain,MATCH($A5,primary_jama_2019_7505_key,0)),$E5)="report_internal_inconsistency",IF($E5="",INDEX(primary_jama_2019_7505_domain,MATCH($A5,primary_jama_2019_7505_key,0)),$E5)="plan_material"))),K5&lt;&gt;"",K5&lt;&gt;"not_applicable"),AND(OR(AND(IF($D5="",INDEX(primary_jama_2019_7505_disposition,MATCH($A5,primary_jama_2019_7505_key,0)),$D5)&lt;&gt;"",IF($D5="",INDEX(primary_jama_2019_7505_disposition,MATCH($A5,primary_jama_2019_7505_key,0)),$D5)&lt;&gt;"retain"),NOT(OR(IF($E5="",INDEX(primary_jama_2019_7505_domain,MATCH($A5,primary_jama_2019_7505_key,0)),$E5)="protocol_report"))),L5&lt;&gt;"",L5&lt;&gt;"not_applicable")),"CLEAR INACTIVE VALUES",IF(N5="","PENDING",IF(AND(N5&lt;&gt;"agree",LEN(TRIM(O5))=0),"COMMENT NEEDED",IF(F5="yes","CHECKED - see resolution","DRAFT"))))</f>
        <v/>
      </c>
      <c r="H5" s="8">
        <f>IF(OR(AND(IF($D5="",INDEX(primary_jama_2019_7505_disposition,MATCH($A5,primary_jama_2019_7505_key,0)),$D5)&lt;&gt;"",IF($D5="",INDEX(primary_jama_2019_7505_disposition,MATCH($A5,primary_jama_2019_7505_key,0)),$D5)&lt;&gt;"retain"),NOT(OR(IF($E5="",INDEX(primary_jama_2019_7505_domain,MATCH($A5,primary_jama_2019_7505_key,0)),$E5)="statistical_results"))),"not_applicable","")</f>
        <v/>
      </c>
      <c r="I5" s="8">
        <f>IF(OR(AND(IF($D5="",INDEX(primary_jama_2019_7505_disposition,MATCH($A5,primary_jama_2019_7505_key,0)),$D5)&lt;&gt;"",IF($D5="",INDEX(primary_jama_2019_7505_disposition,MATCH($A5,primary_jama_2019_7505_key,0)),$D5)&lt;&gt;"retain"),NOT(OR(IF($E5="",INDEX(primary_jama_2019_7505_domain,MATCH($A5,primary_jama_2019_7505_key,0)),$E5)="statistical_results"))),"not_applicable","")</f>
        <v/>
      </c>
      <c r="J5" s="9">
        <f>IF(OR(AND(IF($D5="",INDEX(primary_jama_2019_7505_disposition,MATCH($A5,primary_jama_2019_7505_key,0)),$D5)&lt;&gt;"",IF($D5="",INDEX(primary_jama_2019_7505_disposition,MATCH($A5,primary_jama_2019_7505_key,0)),$D5)&lt;&gt;"retain"),NOT(OR(IF($E5="",INDEX(primary_jama_2019_7505_domain,MATCH($A5,primary_jama_2019_7505_key,0)),$E5)="statistical_results"))),"not_applicable","")</f>
        <v/>
      </c>
      <c r="K5" s="8">
        <f>IF(OR(AND(IF($D5="",INDEX(primary_jama_2019_7505_disposition,MATCH($A5,primary_jama_2019_7505_key,0)),$D5)&lt;&gt;"",IF($D5="",INDEX(primary_jama_2019_7505_disposition,MATCH($A5,primary_jama_2019_7505_key,0)),$D5)&lt;&gt;"retain"),NOT(OR(IF($E5="",INDEX(primary_jama_2019_7505_domain,MATCH($A5,primary_jama_2019_7505_key,0)),$E5)="report_internal_inconsistency",IF($E5="",INDEX(primary_jama_2019_7505_domain,MATCH($A5,primary_jama_2019_7505_key,0)),$E5)="plan_material"))),"not_applicable","")</f>
        <v/>
      </c>
      <c r="L5" s="9">
        <f>IF(OR(AND(IF($D5="",INDEX(primary_jama_2019_7505_disposition,MATCH($A5,primary_jama_2019_7505_key,0)),$D5)&lt;&gt;"",IF($D5="",INDEX(primary_jama_2019_7505_disposition,MATCH($A5,primary_jama_2019_7505_key,0)),$D5)&lt;&gt;"retain"),NOT(OR(IF($E5="",INDEX(primary_jama_2019_7505_domain,MATCH($A5,primary_jama_2019_7505_key,0)),$E5)="protocol_report"))),"not_applicable","")</f>
        <v/>
      </c>
      <c r="M5" s="3" t="inlineStr">
        <is>
          <t>Disposition: exclude
Review domain: report_internal_inconsistency
Notes (optional): SYNTHETIC TEST DATA ONLY. Exclude is a placeholder for testing the checker workflow, not a scientific assessment. Do not use this sample in research results.</t>
        </is>
      </c>
      <c r="N5" s="8" t="inlineStr"/>
      <c r="O5" s="10" t="inlineStr"/>
      <c r="P5" s="8" t="inlineStr">
        <is>
          <t>pending</t>
        </is>
      </c>
      <c r="Q5" s="10" t="inlineStr"/>
      <c r="R5" s="11" t="inlineStr"/>
    </row>
  </sheetData>
  <sheetProtection selectLockedCells="0" selectUnlockedCells="0" sheet="1" objects="0" insertRows="1" insertHyperlinks="1" autoFilter="0" scenarios="0" formatColumns="1" deleteColumns="1" insertColumns="1" pivotTables="1" deleteRows="1" formatCells="1" formatRows="1" sort="1"/>
  <autoFilter ref="A1:R5"/>
  <conditionalFormatting sqref="H2">
    <cfRule type="expression" priority="1" dxfId="0" stopIfTrue="1">
      <formula>AND(OR(AND(IF($D2="",INDEX(primary_jama_2019_7505_disposition,MATCH($A2,primary_jama_2019_7505_key,0)),$D2)&lt;&gt;"",IF($D2="",INDEX(primary_jama_2019_7505_disposition,MATCH($A2,primary_jama_2019_7505_key,0)),$D2)&lt;&gt;"retain"),NOT(OR(IF($E2="",INDEX(primary_jama_2019_7505_domain,MATCH($A2,primary_jama_2019_7505_key,0)),$E2)="statistical_results"))),H2&lt;&gt;"",H2&lt;&gt;"not_applicable")</formula>
    </cfRule>
    <cfRule type="expression" priority="2" dxfId="1">
      <formula>OR(AND(IF($D2="",INDEX(primary_jama_2019_7505_disposition,MATCH($A2,primary_jama_2019_7505_key,0)),$D2)&lt;&gt;"",IF($D2="",INDEX(primary_jama_2019_7505_disposition,MATCH($A2,primary_jama_2019_7505_key,0)),$D2)&lt;&gt;"retain"),NOT(OR(IF($E2="",INDEX(primary_jama_2019_7505_domain,MATCH($A2,primary_jama_2019_7505_key,0)),$E2)="statistical_results")))</formula>
    </cfRule>
  </conditionalFormatting>
  <conditionalFormatting sqref="H3">
    <cfRule type="expression" priority="3" dxfId="0" stopIfTrue="1">
      <formula>AND(OR(AND(IF($D3="",INDEX(primary_jama_2019_7505_disposition,MATCH($A3,primary_jama_2019_7505_key,0)),$D3)&lt;&gt;"",IF($D3="",INDEX(primary_jama_2019_7505_disposition,MATCH($A3,primary_jama_2019_7505_key,0)),$D3)&lt;&gt;"retain"),NOT(OR(IF($E3="",INDEX(primary_jama_2019_7505_domain,MATCH($A3,primary_jama_2019_7505_key,0)),$E3)="statistical_results"))),H3&lt;&gt;"",H3&lt;&gt;"not_applicable")</formula>
    </cfRule>
    <cfRule type="expression" priority="4" dxfId="1">
      <formula>OR(AND(IF($D3="",INDEX(primary_jama_2019_7505_disposition,MATCH($A3,primary_jama_2019_7505_key,0)),$D3)&lt;&gt;"",IF($D3="",INDEX(primary_jama_2019_7505_disposition,MATCH($A3,primary_jama_2019_7505_key,0)),$D3)&lt;&gt;"retain"),NOT(OR(IF($E3="",INDEX(primary_jama_2019_7505_domain,MATCH($A3,primary_jama_2019_7505_key,0)),$E3)="statistical_results")))</formula>
    </cfRule>
  </conditionalFormatting>
  <conditionalFormatting sqref="H4">
    <cfRule type="expression" priority="5" dxfId="0" stopIfTrue="1">
      <formula>AND(OR(AND(IF($D4="",INDEX(primary_jama_2019_7505_disposition,MATCH($A4,primary_jama_2019_7505_key,0)),$D4)&lt;&gt;"",IF($D4="",INDEX(primary_jama_2019_7505_disposition,MATCH($A4,primary_jama_2019_7505_key,0)),$D4)&lt;&gt;"retain"),NOT(OR(IF($E4="",INDEX(primary_jama_2019_7505_domain,MATCH($A4,primary_jama_2019_7505_key,0)),$E4)="statistical_results"))),H4&lt;&gt;"",H4&lt;&gt;"not_applicable")</formula>
    </cfRule>
    <cfRule type="expression" priority="6" dxfId="1">
      <formula>OR(AND(IF($D4="",INDEX(primary_jama_2019_7505_disposition,MATCH($A4,primary_jama_2019_7505_key,0)),$D4)&lt;&gt;"",IF($D4="",INDEX(primary_jama_2019_7505_disposition,MATCH($A4,primary_jama_2019_7505_key,0)),$D4)&lt;&gt;"retain"),NOT(OR(IF($E4="",INDEX(primary_jama_2019_7505_domain,MATCH($A4,primary_jama_2019_7505_key,0)),$E4)="statistical_results")))</formula>
    </cfRule>
  </conditionalFormatting>
  <conditionalFormatting sqref="H5">
    <cfRule type="expression" priority="7" dxfId="0" stopIfTrue="1">
      <formula>AND(OR(AND(IF($D5="",INDEX(primary_jama_2019_7505_disposition,MATCH($A5,primary_jama_2019_7505_key,0)),$D5)&lt;&gt;"",IF($D5="",INDEX(primary_jama_2019_7505_disposition,MATCH($A5,primary_jama_2019_7505_key,0)),$D5)&lt;&gt;"retain"),NOT(OR(IF($E5="",INDEX(primary_jama_2019_7505_domain,MATCH($A5,primary_jama_2019_7505_key,0)),$E5)="statistical_results"))),H5&lt;&gt;"",H5&lt;&gt;"not_applicable")</formula>
    </cfRule>
    <cfRule type="expression" priority="8" dxfId="1">
      <formula>OR(AND(IF($D5="",INDEX(primary_jama_2019_7505_disposition,MATCH($A5,primary_jama_2019_7505_key,0)),$D5)&lt;&gt;"",IF($D5="",INDEX(primary_jama_2019_7505_disposition,MATCH($A5,primary_jama_2019_7505_key,0)),$D5)&lt;&gt;"retain"),NOT(OR(IF($E5="",INDEX(primary_jama_2019_7505_domain,MATCH($A5,primary_jama_2019_7505_key,0)),$E5)="statistical_results")))</formula>
    </cfRule>
  </conditionalFormatting>
  <conditionalFormatting sqref="I2">
    <cfRule type="expression" priority="9" dxfId="0" stopIfTrue="1">
      <formula>AND(OR(AND(IF($D2="",INDEX(primary_jama_2019_7505_disposition,MATCH($A2,primary_jama_2019_7505_key,0)),$D2)&lt;&gt;"",IF($D2="",INDEX(primary_jama_2019_7505_disposition,MATCH($A2,primary_jama_2019_7505_key,0)),$D2)&lt;&gt;"retain"),NOT(OR(IF($E2="",INDEX(primary_jama_2019_7505_domain,MATCH($A2,primary_jama_2019_7505_key,0)),$E2)="statistical_results"))),I2&lt;&gt;"",I2&lt;&gt;"not_applicable")</formula>
    </cfRule>
    <cfRule type="expression" priority="10" dxfId="1">
      <formula>OR(AND(IF($D2="",INDEX(primary_jama_2019_7505_disposition,MATCH($A2,primary_jama_2019_7505_key,0)),$D2)&lt;&gt;"",IF($D2="",INDEX(primary_jama_2019_7505_disposition,MATCH($A2,primary_jama_2019_7505_key,0)),$D2)&lt;&gt;"retain"),NOT(OR(IF($E2="",INDEX(primary_jama_2019_7505_domain,MATCH($A2,primary_jama_2019_7505_key,0)),$E2)="statistical_results")))</formula>
    </cfRule>
  </conditionalFormatting>
  <conditionalFormatting sqref="I3">
    <cfRule type="expression" priority="11" dxfId="0" stopIfTrue="1">
      <formula>AND(OR(AND(IF($D3="",INDEX(primary_jama_2019_7505_disposition,MATCH($A3,primary_jama_2019_7505_key,0)),$D3)&lt;&gt;"",IF($D3="",INDEX(primary_jama_2019_7505_disposition,MATCH($A3,primary_jama_2019_7505_key,0)),$D3)&lt;&gt;"retain"),NOT(OR(IF($E3="",INDEX(primary_jama_2019_7505_domain,MATCH($A3,primary_jama_2019_7505_key,0)),$E3)="statistical_results"))),I3&lt;&gt;"",I3&lt;&gt;"not_applicable")</formula>
    </cfRule>
    <cfRule type="expression" priority="12" dxfId="1">
      <formula>OR(AND(IF($D3="",INDEX(primary_jama_2019_7505_disposition,MATCH($A3,primary_jama_2019_7505_key,0)),$D3)&lt;&gt;"",IF($D3="",INDEX(primary_jama_2019_7505_disposition,MATCH($A3,primary_jama_2019_7505_key,0)),$D3)&lt;&gt;"retain"),NOT(OR(IF($E3="",INDEX(primary_jama_2019_7505_domain,MATCH($A3,primary_jama_2019_7505_key,0)),$E3)="statistical_results")))</formula>
    </cfRule>
  </conditionalFormatting>
  <conditionalFormatting sqref="I4">
    <cfRule type="expression" priority="13" dxfId="0" stopIfTrue="1">
      <formula>AND(OR(AND(IF($D4="",INDEX(primary_jama_2019_7505_disposition,MATCH($A4,primary_jama_2019_7505_key,0)),$D4)&lt;&gt;"",IF($D4="",INDEX(primary_jama_2019_7505_disposition,MATCH($A4,primary_jama_2019_7505_key,0)),$D4)&lt;&gt;"retain"),NOT(OR(IF($E4="",INDEX(primary_jama_2019_7505_domain,MATCH($A4,primary_jama_2019_7505_key,0)),$E4)="statistical_results"))),I4&lt;&gt;"",I4&lt;&gt;"not_applicable")</formula>
    </cfRule>
    <cfRule type="expression" priority="14" dxfId="1">
      <formula>OR(AND(IF($D4="",INDEX(primary_jama_2019_7505_disposition,MATCH($A4,primary_jama_2019_7505_key,0)),$D4)&lt;&gt;"",IF($D4="",INDEX(primary_jama_2019_7505_disposition,MATCH($A4,primary_jama_2019_7505_key,0)),$D4)&lt;&gt;"retain"),NOT(OR(IF($E4="",INDEX(primary_jama_2019_7505_domain,MATCH($A4,primary_jama_2019_7505_key,0)),$E4)="statistical_results")))</formula>
    </cfRule>
  </conditionalFormatting>
  <conditionalFormatting sqref="I5">
    <cfRule type="expression" priority="15" dxfId="0" stopIfTrue="1">
      <formula>AND(OR(AND(IF($D5="",INDEX(primary_jama_2019_7505_disposition,MATCH($A5,primary_jama_2019_7505_key,0)),$D5)&lt;&gt;"",IF($D5="",INDEX(primary_jama_2019_7505_disposition,MATCH($A5,primary_jama_2019_7505_key,0)),$D5)&lt;&gt;"retain"),NOT(OR(IF($E5="",INDEX(primary_jama_2019_7505_domain,MATCH($A5,primary_jama_2019_7505_key,0)),$E5)="statistical_results"))),I5&lt;&gt;"",I5&lt;&gt;"not_applicable")</formula>
    </cfRule>
    <cfRule type="expression" priority="16" dxfId="1">
      <formula>OR(AND(IF($D5="",INDEX(primary_jama_2019_7505_disposition,MATCH($A5,primary_jama_2019_7505_key,0)),$D5)&lt;&gt;"",IF($D5="",INDEX(primary_jama_2019_7505_disposition,MATCH($A5,primary_jama_2019_7505_key,0)),$D5)&lt;&gt;"retain"),NOT(OR(IF($E5="",INDEX(primary_jama_2019_7505_domain,MATCH($A5,primary_jama_2019_7505_key,0)),$E5)="statistical_results")))</formula>
    </cfRule>
  </conditionalFormatting>
  <conditionalFormatting sqref="J2">
    <cfRule type="expression" priority="17" dxfId="0" stopIfTrue="1">
      <formula>AND(OR(AND(IF($D2="",INDEX(primary_jama_2019_7505_disposition,MATCH($A2,primary_jama_2019_7505_key,0)),$D2)&lt;&gt;"",IF($D2="",INDEX(primary_jama_2019_7505_disposition,MATCH($A2,primary_jama_2019_7505_key,0)),$D2)&lt;&gt;"retain"),NOT(OR(IF($E2="",INDEX(primary_jama_2019_7505_domain,MATCH($A2,primary_jama_2019_7505_key,0)),$E2)="statistical_results"))),J2&lt;&gt;"",J2&lt;&gt;"not_applicable")</formula>
    </cfRule>
    <cfRule type="expression" priority="18" dxfId="1">
      <formula>OR(AND(IF($D2="",INDEX(primary_jama_2019_7505_disposition,MATCH($A2,primary_jama_2019_7505_key,0)),$D2)&lt;&gt;"",IF($D2="",INDEX(primary_jama_2019_7505_disposition,MATCH($A2,primary_jama_2019_7505_key,0)),$D2)&lt;&gt;"retain"),NOT(OR(IF($E2="",INDEX(primary_jama_2019_7505_domain,MATCH($A2,primary_jama_2019_7505_key,0)),$E2)="statistical_results")))</formula>
    </cfRule>
  </conditionalFormatting>
  <conditionalFormatting sqref="J3">
    <cfRule type="expression" priority="19" dxfId="0" stopIfTrue="1">
      <formula>AND(OR(AND(IF($D3="",INDEX(primary_jama_2019_7505_disposition,MATCH($A3,primary_jama_2019_7505_key,0)),$D3)&lt;&gt;"",IF($D3="",INDEX(primary_jama_2019_7505_disposition,MATCH($A3,primary_jama_2019_7505_key,0)),$D3)&lt;&gt;"retain"),NOT(OR(IF($E3="",INDEX(primary_jama_2019_7505_domain,MATCH($A3,primary_jama_2019_7505_key,0)),$E3)="statistical_results"))),J3&lt;&gt;"",J3&lt;&gt;"not_applicable")</formula>
    </cfRule>
    <cfRule type="expression" priority="20" dxfId="1">
      <formula>OR(AND(IF($D3="",INDEX(primary_jama_2019_7505_disposition,MATCH($A3,primary_jama_2019_7505_key,0)),$D3)&lt;&gt;"",IF($D3="",INDEX(primary_jama_2019_7505_disposition,MATCH($A3,primary_jama_2019_7505_key,0)),$D3)&lt;&gt;"retain"),NOT(OR(IF($E3="",INDEX(primary_jama_2019_7505_domain,MATCH($A3,primary_jama_2019_7505_key,0)),$E3)="statistical_results")))</formula>
    </cfRule>
  </conditionalFormatting>
  <conditionalFormatting sqref="J4">
    <cfRule type="expression" priority="21" dxfId="0" stopIfTrue="1">
      <formula>AND(OR(AND(IF($D4="",INDEX(primary_jama_2019_7505_disposition,MATCH($A4,primary_jama_2019_7505_key,0)),$D4)&lt;&gt;"",IF($D4="",INDEX(primary_jama_2019_7505_disposition,MATCH($A4,primary_jama_2019_7505_key,0)),$D4)&lt;&gt;"retain"),NOT(OR(IF($E4="",INDEX(primary_jama_2019_7505_domain,MATCH($A4,primary_jama_2019_7505_key,0)),$E4)="statistical_results"))),J4&lt;&gt;"",J4&lt;&gt;"not_applicable")</formula>
    </cfRule>
    <cfRule type="expression" priority="22" dxfId="1">
      <formula>OR(AND(IF($D4="",INDEX(primary_jama_2019_7505_disposition,MATCH($A4,primary_jama_2019_7505_key,0)),$D4)&lt;&gt;"",IF($D4="",INDEX(primary_jama_2019_7505_disposition,MATCH($A4,primary_jama_2019_7505_key,0)),$D4)&lt;&gt;"retain"),NOT(OR(IF($E4="",INDEX(primary_jama_2019_7505_domain,MATCH($A4,primary_jama_2019_7505_key,0)),$E4)="statistical_results")))</formula>
    </cfRule>
  </conditionalFormatting>
  <conditionalFormatting sqref="J5">
    <cfRule type="expression" priority="23" dxfId="0" stopIfTrue="1">
      <formula>AND(OR(AND(IF($D5="",INDEX(primary_jama_2019_7505_disposition,MATCH($A5,primary_jama_2019_7505_key,0)),$D5)&lt;&gt;"",IF($D5="",INDEX(primary_jama_2019_7505_disposition,MATCH($A5,primary_jama_2019_7505_key,0)),$D5)&lt;&gt;"retain"),NOT(OR(IF($E5="",INDEX(primary_jama_2019_7505_domain,MATCH($A5,primary_jama_2019_7505_key,0)),$E5)="statistical_results"))),J5&lt;&gt;"",J5&lt;&gt;"not_applicable")</formula>
    </cfRule>
    <cfRule type="expression" priority="24" dxfId="1">
      <formula>OR(AND(IF($D5="",INDEX(primary_jama_2019_7505_disposition,MATCH($A5,primary_jama_2019_7505_key,0)),$D5)&lt;&gt;"",IF($D5="",INDEX(primary_jama_2019_7505_disposition,MATCH($A5,primary_jama_2019_7505_key,0)),$D5)&lt;&gt;"retain"),NOT(OR(IF($E5="",INDEX(primary_jama_2019_7505_domain,MATCH($A5,primary_jama_2019_7505_key,0)),$E5)="statistical_results")))</formula>
    </cfRule>
  </conditionalFormatting>
  <conditionalFormatting sqref="K2">
    <cfRule type="expression" priority="25" dxfId="0" stopIfTrue="1">
      <formula>AND(OR(AND(IF($D2="",INDEX(primary_jama_2019_7505_disposition,MATCH($A2,primary_jama_2019_7505_key,0)),$D2)&lt;&gt;"",IF($D2="",INDEX(primary_jama_2019_7505_disposition,MATCH($A2,primary_jama_2019_7505_key,0)),$D2)&lt;&gt;"retain"),NOT(OR(IF($E2="",INDEX(primary_jama_2019_7505_domain,MATCH($A2,primary_jama_2019_7505_key,0)),$E2)="report_internal_inconsistency",IF($E2="",INDEX(primary_jama_2019_7505_domain,MATCH($A2,primary_jama_2019_7505_key,0)),$E2)="plan_material"))),K2&lt;&gt;"",K2&lt;&gt;"not_applicable")</formula>
    </cfRule>
    <cfRule type="expression" priority="26" dxfId="1">
      <formula>OR(AND(IF($D2="",INDEX(primary_jama_2019_7505_disposition,MATCH($A2,primary_jama_2019_7505_key,0)),$D2)&lt;&gt;"",IF($D2="",INDEX(primary_jama_2019_7505_disposition,MATCH($A2,primary_jama_2019_7505_key,0)),$D2)&lt;&gt;"retain"),NOT(OR(IF($E2="",INDEX(primary_jama_2019_7505_domain,MATCH($A2,primary_jama_2019_7505_key,0)),$E2)="report_internal_inconsistency",IF($E2="",INDEX(primary_jama_2019_7505_domain,MATCH($A2,primary_jama_2019_7505_key,0)),$E2)="plan_material")))</formula>
    </cfRule>
  </conditionalFormatting>
  <conditionalFormatting sqref="K3">
    <cfRule type="expression" priority="27" dxfId="0" stopIfTrue="1">
      <formula>AND(OR(AND(IF($D3="",INDEX(primary_jama_2019_7505_disposition,MATCH($A3,primary_jama_2019_7505_key,0)),$D3)&lt;&gt;"",IF($D3="",INDEX(primary_jama_2019_7505_disposition,MATCH($A3,primary_jama_2019_7505_key,0)),$D3)&lt;&gt;"retain"),NOT(OR(IF($E3="",INDEX(primary_jama_2019_7505_domain,MATCH($A3,primary_jama_2019_7505_key,0)),$E3)="report_internal_inconsistency",IF($E3="",INDEX(primary_jama_2019_7505_domain,MATCH($A3,primary_jama_2019_7505_key,0)),$E3)="plan_material"))),K3&lt;&gt;"",K3&lt;&gt;"not_applicable")</formula>
    </cfRule>
    <cfRule type="expression" priority="28" dxfId="1">
      <formula>OR(AND(IF($D3="",INDEX(primary_jama_2019_7505_disposition,MATCH($A3,primary_jama_2019_7505_key,0)),$D3)&lt;&gt;"",IF($D3="",INDEX(primary_jama_2019_7505_disposition,MATCH($A3,primary_jama_2019_7505_key,0)),$D3)&lt;&gt;"retain"),NOT(OR(IF($E3="",INDEX(primary_jama_2019_7505_domain,MATCH($A3,primary_jama_2019_7505_key,0)),$E3)="report_internal_inconsistency",IF($E3="",INDEX(primary_jama_2019_7505_domain,MATCH($A3,primary_jama_2019_7505_key,0)),$E3)="plan_material")))</formula>
    </cfRule>
  </conditionalFormatting>
  <conditionalFormatting sqref="K4">
    <cfRule type="expression" priority="29" dxfId="0" stopIfTrue="1">
      <formula>AND(OR(AND(IF($D4="",INDEX(primary_jama_2019_7505_disposition,MATCH($A4,primary_jama_2019_7505_key,0)),$D4)&lt;&gt;"",IF($D4="",INDEX(primary_jama_2019_7505_disposition,MATCH($A4,primary_jama_2019_7505_key,0)),$D4)&lt;&gt;"retain"),NOT(OR(IF($E4="",INDEX(primary_jama_2019_7505_domain,MATCH($A4,primary_jama_2019_7505_key,0)),$E4)="report_internal_inconsistency",IF($E4="",INDEX(primary_jama_2019_7505_domain,MATCH($A4,primary_jama_2019_7505_key,0)),$E4)="plan_material"))),K4&lt;&gt;"",K4&lt;&gt;"not_applicable")</formula>
    </cfRule>
    <cfRule type="expression" priority="30" dxfId="1">
      <formula>OR(AND(IF($D4="",INDEX(primary_jama_2019_7505_disposition,MATCH($A4,primary_jama_2019_7505_key,0)),$D4)&lt;&gt;"",IF($D4="",INDEX(primary_jama_2019_7505_disposition,MATCH($A4,primary_jama_2019_7505_key,0)),$D4)&lt;&gt;"retain"),NOT(OR(IF($E4="",INDEX(primary_jama_2019_7505_domain,MATCH($A4,primary_jama_2019_7505_key,0)),$E4)="report_internal_inconsistency",IF($E4="",INDEX(primary_jama_2019_7505_domain,MATCH($A4,primary_jama_2019_7505_key,0)),$E4)="plan_material")))</formula>
    </cfRule>
  </conditionalFormatting>
  <conditionalFormatting sqref="K5">
    <cfRule type="expression" priority="31" dxfId="0" stopIfTrue="1">
      <formula>AND(OR(AND(IF($D5="",INDEX(primary_jama_2019_7505_disposition,MATCH($A5,primary_jama_2019_7505_key,0)),$D5)&lt;&gt;"",IF($D5="",INDEX(primary_jama_2019_7505_disposition,MATCH($A5,primary_jama_2019_7505_key,0)),$D5)&lt;&gt;"retain"),NOT(OR(IF($E5="",INDEX(primary_jama_2019_7505_domain,MATCH($A5,primary_jama_2019_7505_key,0)),$E5)="report_internal_inconsistency",IF($E5="",INDEX(primary_jama_2019_7505_domain,MATCH($A5,primary_jama_2019_7505_key,0)),$E5)="plan_material"))),K5&lt;&gt;"",K5&lt;&gt;"not_applicable")</formula>
    </cfRule>
    <cfRule type="expression" priority="32" dxfId="1">
      <formula>OR(AND(IF($D5="",INDEX(primary_jama_2019_7505_disposition,MATCH($A5,primary_jama_2019_7505_key,0)),$D5)&lt;&gt;"",IF($D5="",INDEX(primary_jama_2019_7505_disposition,MATCH($A5,primary_jama_2019_7505_key,0)),$D5)&lt;&gt;"retain"),NOT(OR(IF($E5="",INDEX(primary_jama_2019_7505_domain,MATCH($A5,primary_jama_2019_7505_key,0)),$E5)="report_internal_inconsistency",IF($E5="",INDEX(primary_jama_2019_7505_domain,MATCH($A5,primary_jama_2019_7505_key,0)),$E5)="plan_material")))</formula>
    </cfRule>
  </conditionalFormatting>
  <conditionalFormatting sqref="L2">
    <cfRule type="expression" priority="33" dxfId="0" stopIfTrue="1">
      <formula>AND(OR(AND(IF($D2="",INDEX(primary_jama_2019_7505_disposition,MATCH($A2,primary_jama_2019_7505_key,0)),$D2)&lt;&gt;"",IF($D2="",INDEX(primary_jama_2019_7505_disposition,MATCH($A2,primary_jama_2019_7505_key,0)),$D2)&lt;&gt;"retain"),NOT(OR(IF($E2="",INDEX(primary_jama_2019_7505_domain,MATCH($A2,primary_jama_2019_7505_key,0)),$E2)="protocol_report"))),L2&lt;&gt;"",L2&lt;&gt;"not_applicable")</formula>
    </cfRule>
    <cfRule type="expression" priority="34" dxfId="1">
      <formula>OR(AND(IF($D2="",INDEX(primary_jama_2019_7505_disposition,MATCH($A2,primary_jama_2019_7505_key,0)),$D2)&lt;&gt;"",IF($D2="",INDEX(primary_jama_2019_7505_disposition,MATCH($A2,primary_jama_2019_7505_key,0)),$D2)&lt;&gt;"retain"),NOT(OR(IF($E2="",INDEX(primary_jama_2019_7505_domain,MATCH($A2,primary_jama_2019_7505_key,0)),$E2)="protocol_report")))</formula>
    </cfRule>
  </conditionalFormatting>
  <conditionalFormatting sqref="L3">
    <cfRule type="expression" priority="35" dxfId="0" stopIfTrue="1">
      <formula>AND(OR(AND(IF($D3="",INDEX(primary_jama_2019_7505_disposition,MATCH($A3,primary_jama_2019_7505_key,0)),$D3)&lt;&gt;"",IF($D3="",INDEX(primary_jama_2019_7505_disposition,MATCH($A3,primary_jama_2019_7505_key,0)),$D3)&lt;&gt;"retain"),NOT(OR(IF($E3="",INDEX(primary_jama_2019_7505_domain,MATCH($A3,primary_jama_2019_7505_key,0)),$E3)="protocol_report"))),L3&lt;&gt;"",L3&lt;&gt;"not_applicable")</formula>
    </cfRule>
    <cfRule type="expression" priority="36" dxfId="1">
      <formula>OR(AND(IF($D3="",INDEX(primary_jama_2019_7505_disposition,MATCH($A3,primary_jama_2019_7505_key,0)),$D3)&lt;&gt;"",IF($D3="",INDEX(primary_jama_2019_7505_disposition,MATCH($A3,primary_jama_2019_7505_key,0)),$D3)&lt;&gt;"retain"),NOT(OR(IF($E3="",INDEX(primary_jama_2019_7505_domain,MATCH($A3,primary_jama_2019_7505_key,0)),$E3)="protocol_report")))</formula>
    </cfRule>
  </conditionalFormatting>
  <conditionalFormatting sqref="L4">
    <cfRule type="expression" priority="37" dxfId="0" stopIfTrue="1">
      <formula>AND(OR(AND(IF($D4="",INDEX(primary_jama_2019_7505_disposition,MATCH($A4,primary_jama_2019_7505_key,0)),$D4)&lt;&gt;"",IF($D4="",INDEX(primary_jama_2019_7505_disposition,MATCH($A4,primary_jama_2019_7505_key,0)),$D4)&lt;&gt;"retain"),NOT(OR(IF($E4="",INDEX(primary_jama_2019_7505_domain,MATCH($A4,primary_jama_2019_7505_key,0)),$E4)="protocol_report"))),L4&lt;&gt;"",L4&lt;&gt;"not_applicable")</formula>
    </cfRule>
    <cfRule type="expression" priority="38" dxfId="1">
      <formula>OR(AND(IF($D4="",INDEX(primary_jama_2019_7505_disposition,MATCH($A4,primary_jama_2019_7505_key,0)),$D4)&lt;&gt;"",IF($D4="",INDEX(primary_jama_2019_7505_disposition,MATCH($A4,primary_jama_2019_7505_key,0)),$D4)&lt;&gt;"retain"),NOT(OR(IF($E4="",INDEX(primary_jama_2019_7505_domain,MATCH($A4,primary_jama_2019_7505_key,0)),$E4)="protocol_report")))</formula>
    </cfRule>
  </conditionalFormatting>
  <conditionalFormatting sqref="L5">
    <cfRule type="expression" priority="39" dxfId="0" stopIfTrue="1">
      <formula>AND(OR(AND(IF($D5="",INDEX(primary_jama_2019_7505_disposition,MATCH($A5,primary_jama_2019_7505_key,0)),$D5)&lt;&gt;"",IF($D5="",INDEX(primary_jama_2019_7505_disposition,MATCH($A5,primary_jama_2019_7505_key,0)),$D5)&lt;&gt;"retain"),NOT(OR(IF($E5="",INDEX(primary_jama_2019_7505_domain,MATCH($A5,primary_jama_2019_7505_key,0)),$E5)="protocol_report"))),L5&lt;&gt;"",L5&lt;&gt;"not_applicable")</formula>
    </cfRule>
    <cfRule type="expression" priority="40" dxfId="1">
      <formula>OR(AND(IF($D5="",INDEX(primary_jama_2019_7505_disposition,MATCH($A5,primary_jama_2019_7505_key,0)),$D5)&lt;&gt;"",IF($D5="",INDEX(primary_jama_2019_7505_disposition,MATCH($A5,primary_jama_2019_7505_key,0)),$D5)&lt;&gt;"retain"),NOT(OR(IF($E5="",INDEX(primary_jama_2019_7505_domain,MATCH($A5,primary_jama_2019_7505_key,0)),$E5)="protocol_report")))</formula>
    </cfRule>
  </conditionalFormatting>
  <dataValidations count="10">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N2:N5" showDropDown="0" showInputMessage="1" showErrorMessage="1" allowBlank="1" errorTitle="Invalid option" error="Choose a listed value." promptTitle="Checker result" prompt="See Codebook for meanings." type="list" errorStyle="stop">
      <formula1>opt_checkStatus</formula1>
    </dataValidation>
    <dataValidation sqref="P2:P5"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AB7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Measure, label, or scale inconsistency</t>
        </is>
      </c>
      <c r="E2" s="2" t="b">
        <v>0</v>
      </c>
      <c r="F2" s="2" t="inlineStr">
        <is>
          <t>C001</t>
        </is>
      </c>
      <c r="G2" s="2" t="inlineStr">
        <is>
          <t>2019::jama.2019.0556::C001</t>
        </is>
      </c>
      <c r="H2" s="2" t="inlineStr"/>
      <c r="I2" s="2" t="inlineStr">
        <is>
          <t>DOC-001 Table 2 — PDF p. 6; Figure 1 — PDF p. 3; Results — PDF p. 7.</t>
        </is>
      </c>
      <c r="J2" s="2" t="b">
        <v>0</v>
      </c>
      <c r="K2" s="2" t="inlineStr">
        <is>
          <t>jama.2019.0556</t>
        </is>
      </c>
      <c r="L2" s="2" t="inlineStr"/>
      <c r="M2" s="2" t="inlineStr">
        <is>
          <t>S_W</t>
        </is>
      </c>
      <c r="N2" s="2" t="inlineStr">
        <is>
          <t>Main Table 2 calls both 32/256 and 22/256 supplements without therapy, whereas its other footnote and Results identify 22/256 as supplements with therapy. The conflicting arm labels are within the article.</t>
        </is>
      </c>
      <c r="O2" s="2" t="inlineStr">
        <is>
          <t>../../2019/jama.2019.0556/.ai_paper_validation/final_report_1_4_1.html</t>
        </is>
      </c>
      <c r="P2" s="2" t="inlineStr">
        <is>
          <t>2019/jama.2019.0556/.ai_paper_validation/final_report_1_4_1.md</t>
        </is>
      </c>
      <c r="Q2" s="2" t="inlineStr">
        <is>
          <t>C001</t>
        </is>
      </c>
      <c r="R2" s="2" t="inlineStr">
        <is>
          <t>Pending Human Adjudication</t>
        </is>
      </c>
      <c r="S2" s="2" t="inlineStr">
        <is>
          <t>Table 2 footnote d assigns both event components to supplements without therapy, although the second component is elsewhere identified as supplements with therapy.</t>
        </is>
      </c>
      <c r="T2" s="2" t="b">
        <v>1</v>
      </c>
      <c r="U2" s="2" t="inlineStr">
        <is>
          <t>arm_label</t>
        </is>
      </c>
      <c r="V2" s="2" t="inlineStr">
        <is>
          <t>report_internal_inconsistency</t>
        </is>
      </c>
      <c r="W2" s="2" t="inlineStr">
        <is>
          <t>Table 2 footnote duplicates the supplements-without-therapy label</t>
        </is>
      </c>
      <c r="X2" s="2" t="inlineStr">
        <is>
          <t>2019</t>
        </is>
      </c>
      <c r="Y2" s="2" t="inlineStr">
        <is>
          <t>meta_report/consistency_reclassification_2026-09-04/reclassified_candidates.json</t>
        </is>
      </c>
      <c r="Z2" s="2" t="inlineStr">
        <is>
          <t>S_W</t>
        </is>
      </c>
      <c r="AA2" s="2" t="inlineStr">
        <is>
          <t>report_internal_inconsistency</t>
        </is>
      </c>
      <c r="AB2" s="2" t="inlineStr">
        <is>
          <t>retain</t>
        </is>
      </c>
    </row>
    <row r="3" ht="95" customHeight="1">
      <c r="A3" s="3" t="b">
        <v>0</v>
      </c>
      <c r="B3" s="3" t="inlineStr">
        <is>
          <t>Mixed main-versus-results-supplement and within-main relation. Results may be informal prose and there may be no observations exactly at 70%.</t>
        </is>
      </c>
      <c r="C3" s="3" t="b">
        <v>0</v>
      </c>
      <c r="D3" s="3" t="inlineStr">
        <is>
          <t>Measure, label, or scale inconsistency</t>
        </is>
      </c>
      <c r="E3" s="3" t="b">
        <v>1</v>
      </c>
      <c r="F3" s="3" t="inlineStr">
        <is>
          <t>C002</t>
        </is>
      </c>
      <c r="G3" s="3" t="inlineStr">
        <is>
          <t>2019::jama.2019.0556::C002</t>
        </is>
      </c>
      <c r="H3" s="3" t="inlineStr"/>
      <c r="I3" s="3" t="inlineStr">
        <is>
          <t>DOC-001 Methods — PDF p. 4; Results — PDF p. 6; DOC-004 eAppendix 8 — PDF p. 16; eAppendix 12 — PDF p. 22.</t>
        </is>
      </c>
      <c r="J3" s="3" t="b">
        <v>0</v>
      </c>
      <c r="K3" s="3" t="inlineStr">
        <is>
          <t>jama.2019.0556</t>
        </is>
      </c>
      <c r="L3" s="3" t="inlineStr"/>
      <c r="M3" s="3" t="inlineStr">
        <is>
          <t>S_C</t>
        </is>
      </c>
      <c r="N3" s="3" t="inlineStr">
        <is>
          <t>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t>
        </is>
      </c>
      <c r="O3" s="3" t="inlineStr">
        <is>
          <t>../../2019/jama.2019.0556/.ai_paper_validation/final_report_1_4_1.html</t>
        </is>
      </c>
      <c r="P3" s="3" t="inlineStr">
        <is>
          <t>2019/jama.2019.0556/.ai_paper_validation/final_report_1_4_1.md</t>
        </is>
      </c>
      <c r="Q3" s="3" t="inlineStr">
        <is>
          <t>C002</t>
        </is>
      </c>
      <c r="R3" s="3" t="inlineStr">
        <is>
          <t>Pending Human Adjudication</t>
        </is>
      </c>
      <c r="S3" s="3" t="inlineStr">
        <is>
          <t>The predefined and supplement cutoff is &gt;=70%, whereas Results describes adherence as “more than 70%.”</t>
        </is>
      </c>
      <c r="T3" s="3" t="b">
        <v>1</v>
      </c>
      <c r="U3" s="3" t="inlineStr">
        <is>
          <t>threshold_operator</t>
        </is>
      </c>
      <c r="V3" s="3" t="inlineStr">
        <is>
          <t>report_internal_inconsistency</t>
        </is>
      </c>
      <c r="W3" s="3" t="inlineStr">
        <is>
          <t>Supplement-adherence cutoff changes from inclusive to strict wording</t>
        </is>
      </c>
      <c r="X3" s="3" t="inlineStr">
        <is>
          <t>2019</t>
        </is>
      </c>
      <c r="Y3" s="3" t="inlineStr">
        <is>
          <t>meta_report/consistency_reclassification_2026-09-04/reclassified_candidates.json</t>
        </is>
      </c>
      <c r="Z3" s="3" t="inlineStr">
        <is>
          <t>S_C</t>
        </is>
      </c>
      <c r="AA3" s="3" t="inlineStr">
        <is>
          <t>report_internal_inconsistency</t>
        </is>
      </c>
      <c r="AB3" s="3" t="inlineStr">
        <is>
          <t>retain</t>
        </is>
      </c>
    </row>
    <row r="4" ht="95" customHeight="1">
      <c r="A4" s="2" t="b">
        <v>0</v>
      </c>
      <c r="B4" s="2" t="inlineStr"/>
      <c r="C4" s="2" t="b">
        <v>0</v>
      </c>
      <c r="D4" s="2" t="inlineStr">
        <is>
          <t>Measure, label, or scale inconsistency</t>
        </is>
      </c>
      <c r="E4" s="2" t="b">
        <v>0</v>
      </c>
      <c r="F4" s="2" t="inlineStr">
        <is>
          <t>C003</t>
        </is>
      </c>
      <c r="G4" s="2" t="inlineStr">
        <is>
          <t>2019::jama.2019.0556::C003</t>
        </is>
      </c>
      <c r="H4" s="2" t="inlineStr"/>
      <c r="I4" s="2" t="inlineStr">
        <is>
          <t>DOC-004 eAppendix 8 — PDF p. 16.</t>
        </is>
      </c>
      <c r="J4" s="2" t="b">
        <v>0</v>
      </c>
      <c r="K4" s="2" t="inlineStr">
        <is>
          <t>jama.2019.0556</t>
        </is>
      </c>
      <c r="L4" s="2" t="inlineStr"/>
      <c r="M4" s="2" t="inlineStr">
        <is>
          <t>S_W</t>
        </is>
      </c>
      <c r="N4" s="2" t="inlineStr">
        <is>
          <t>Results-supplement eAppendix 8 assigns asterisks on adherence rows to a Morisky note and leaves the kappa note without a double-marker target, all on one supplement page.</t>
        </is>
      </c>
      <c r="O4" s="2" t="inlineStr">
        <is>
          <t>../../2019/jama.2019.0556/.ai_paper_validation/final_report_1_4_1.html</t>
        </is>
      </c>
      <c r="P4" s="2" t="inlineStr">
        <is>
          <t>2019/jama.2019.0556/.ai_paper_validation/final_report_1_4_1.md</t>
        </is>
      </c>
      <c r="Q4" s="2" t="inlineStr">
        <is>
          <t>C003</t>
        </is>
      </c>
      <c r="R4" s="2" t="inlineStr">
        <is>
          <t>Pending Human Adjudication</t>
        </is>
      </c>
      <c r="S4" s="2" t="inlineStr">
        <is>
          <t>Visible asterisks attach to four adherence rows but the corresponding note defines Morisky score; the Morisky row is unmarked and the kappa note has no visible double-marker target.</t>
        </is>
      </c>
      <c r="T4" s="2" t="b">
        <v>1</v>
      </c>
      <c r="U4" s="2" t="inlineStr">
        <is>
          <t>footnote_mapping</t>
        </is>
      </c>
      <c r="V4" s="2" t="inlineStr">
        <is>
          <t>report_internal_inconsistency</t>
        </is>
      </c>
      <c r="W4" s="2" t="inlineStr">
        <is>
          <t>eAppendix 8 footnote markers point to unrelated adherence rows</t>
        </is>
      </c>
      <c r="X4" s="2" t="inlineStr">
        <is>
          <t>2019</t>
        </is>
      </c>
      <c r="Y4" s="2" t="inlineStr">
        <is>
          <t>meta_report/consistency_reclassification_2026-09-04/reclassified_candidates.json</t>
        </is>
      </c>
      <c r="Z4" s="2" t="inlineStr">
        <is>
          <t>S_W</t>
        </is>
      </c>
      <c r="AA4" s="2" t="inlineStr">
        <is>
          <t>report_internal_inconsistency</t>
        </is>
      </c>
      <c r="AB4" s="2" t="inlineStr">
        <is>
          <t>retain</t>
        </is>
      </c>
    </row>
    <row r="5" ht="95" customHeight="1">
      <c r="A5" s="3" t="b">
        <v>0</v>
      </c>
      <c r="B5" s="3" t="inlineStr">
        <is>
          <t>Zero may be fixed-precision rendering of a small positive P value; exact inferential implementation and display convention are absent.</t>
        </is>
      </c>
      <c r="C5" s="3" t="b">
        <v>0</v>
      </c>
      <c r="D5" s="3" t="inlineStr">
        <is>
          <t>Statistical reporting inconsistency</t>
        </is>
      </c>
      <c r="E5" s="3" t="b">
        <v>0</v>
      </c>
      <c r="F5" s="3" t="inlineStr">
        <is>
          <t>C004</t>
        </is>
      </c>
      <c r="G5" s="3" t="inlineStr">
        <is>
          <t>2019::jama.2019.0556::C004</t>
        </is>
      </c>
      <c r="H5" s="3" t="inlineStr"/>
      <c r="I5" s="3" t="inlineStr">
        <is>
          <t>DOC-004 eAppendix 10B — PDF p. 19.</t>
        </is>
      </c>
      <c r="J5" s="3" t="b">
        <v>0</v>
      </c>
      <c r="K5" s="3" t="inlineStr">
        <is>
          <t>jama.2019.0556</t>
        </is>
      </c>
      <c r="L5" s="3" t="inlineStr"/>
      <c r="M5" s="3" t="inlineStr">
        <is>
          <t>S_W</t>
        </is>
      </c>
      <c r="N5" s="3" t="inlineStr">
        <is>
          <t>The results supplement displays literal p=0 beside a nonzero coefficient and interval in its own eAppendix 10B. This is an internal statistical-display concern, with no competing protocol statement.</t>
        </is>
      </c>
      <c r="O5" s="3" t="inlineStr">
        <is>
          <t>../../2019/jama.2019.0556/.ai_paper_validation/final_report_1_4_1.html</t>
        </is>
      </c>
      <c r="P5" s="3" t="inlineStr">
        <is>
          <t>2019/jama.2019.0556/.ai_paper_validation/final_report_1_4_1.md</t>
        </is>
      </c>
      <c r="Q5" s="3" t="inlineStr">
        <is>
          <t>C004</t>
        </is>
      </c>
      <c r="R5" s="3" t="inlineStr">
        <is>
          <t>Pending Human Adjudication</t>
        </is>
      </c>
      <c r="S5" s="3" t="inlineStr">
        <is>
          <t>The baseline GAD-7 row displays p=0 without threshold notation or a rounding convention.</t>
        </is>
      </c>
      <c r="T5" s="3" t="b">
        <v>1</v>
      </c>
      <c r="U5" s="3" t="inlineStr">
        <is>
          <t>p_value_display</t>
        </is>
      </c>
      <c r="V5" s="3" t="inlineStr">
        <is>
          <t>statistical_results</t>
        </is>
      </c>
      <c r="W5" s="3" t="inlineStr">
        <is>
          <t>eAppendix 10 prints a literal P value of zero</t>
        </is>
      </c>
      <c r="X5" s="3" t="inlineStr">
        <is>
          <t>2019</t>
        </is>
      </c>
      <c r="Y5" s="3" t="inlineStr">
        <is>
          <t>meta_report/consistency_reclassification_2026-09-04/reclassified_candidates.json</t>
        </is>
      </c>
      <c r="Z5" s="3" t="inlineStr">
        <is>
          <t>S_W</t>
        </is>
      </c>
      <c r="AA5" s="3" t="inlineStr">
        <is>
          <t>statistical_results</t>
        </is>
      </c>
      <c r="AB5" s="3" t="inlineStr">
        <is>
          <t>retain</t>
        </is>
      </c>
    </row>
    <row r="6" ht="95" customHeight="1">
      <c r="A6" s="2" t="b">
        <v>0</v>
      </c>
      <c r="B6" s="2" t="inlineStr">
        <is>
          <t>392 could describe a marginal factorial quantity, but the sentence does not specify that unit.</t>
        </is>
      </c>
      <c r="C6" s="2" t="b">
        <v>0</v>
      </c>
      <c r="D6" s="2" t="inlineStr">
        <is>
          <t>Numeric or arithmetic inconsistency</t>
        </is>
      </c>
      <c r="E6" s="2" t="b">
        <v>0</v>
      </c>
      <c r="F6" s="2" t="inlineStr">
        <is>
          <t>C005</t>
        </is>
      </c>
      <c r="G6" s="2" t="inlineStr">
        <is>
          <t>2019::jama.2019.0556::C005</t>
        </is>
      </c>
      <c r="H6" s="2" t="inlineStr"/>
      <c r="I6" s="2" t="inlineStr">
        <is>
          <t>DOC-001 Sample Size — PDF p. 4.</t>
        </is>
      </c>
      <c r="J6" s="2" t="b">
        <v>0</v>
      </c>
      <c r="K6" s="2" t="inlineStr">
        <is>
          <t>jama.2019.0556</t>
        </is>
      </c>
      <c r="L6" s="2" t="inlineStr"/>
      <c r="M6" s="2" t="inlineStr">
        <is>
          <t>S_W</t>
        </is>
      </c>
      <c r="N6" s="2" t="inlineStr">
        <is>
          <t>The article calls 392 the required sample while saying 196 in each of four combinations (784). This is internal sample-size arithmetic, distinct from C007 comparing planning assumptions across documents.</t>
        </is>
      </c>
      <c r="O6" s="2" t="inlineStr">
        <is>
          <t>../../2019/jama.2019.0556/.ai_paper_validation/final_report_1_4_1.html</t>
        </is>
      </c>
      <c r="P6" s="2" t="inlineStr">
        <is>
          <t>2019/jama.2019.0556/.ai_paper_validation/final_report_1_4_1.md</t>
        </is>
      </c>
      <c r="Q6" s="2" t="inlineStr">
        <is>
          <t>C005</t>
        </is>
      </c>
      <c r="R6" s="2" t="inlineStr">
        <is>
          <t>Pending Human Adjudication</t>
        </is>
      </c>
      <c r="S6" s="2" t="inlineStr">
        <is>
          <t>The article says 392 participants were needed while parenthetically stating 196 in each of four combinations.</t>
        </is>
      </c>
      <c r="T6" s="2" t="b">
        <v>1</v>
      </c>
      <c r="U6" s="2" t="inlineStr">
        <is>
          <t>sample_size_arithmetic</t>
        </is>
      </c>
      <c r="V6" s="2" t="inlineStr">
        <is>
          <t>statistical_results</t>
        </is>
      </c>
      <c r="W6" s="2" t="inlineStr">
        <is>
          <t>Main-article sample-size total conflicts with four stated cell counts</t>
        </is>
      </c>
      <c r="X6" s="2" t="inlineStr">
        <is>
          <t>2019</t>
        </is>
      </c>
      <c r="Y6" s="2" t="inlineStr">
        <is>
          <t>meta_report/consistency_reclassification_2026-09-04/reclassified_candidates.json</t>
        </is>
      </c>
      <c r="Z6" s="2" t="inlineStr">
        <is>
          <t>S_W</t>
        </is>
      </c>
      <c r="AA6" s="2" t="inlineStr">
        <is>
          <t>statistical_results</t>
        </is>
      </c>
      <c r="AB6" s="2" t="inlineStr">
        <is>
          <t>retain</t>
        </is>
      </c>
    </row>
    <row r="7" ht="95" customHeight="1">
      <c r="A7" s="3" t="b">
        <v>0</v>
      </c>
      <c r="B7" s="3" t="inlineStr">
        <is>
          <t>The intended metric for 25% is not defined; C007 compares different documents and is not an exact duplicate.</t>
        </is>
      </c>
      <c r="C7" s="3" t="b">
        <v>1</v>
      </c>
      <c r="D7" s="3" t="inlineStr">
        <is>
          <t>Numeric or arithmetic inconsistency</t>
        </is>
      </c>
      <c r="E7" s="3" t="b">
        <v>0</v>
      </c>
      <c r="F7" s="3" t="inlineStr">
        <is>
          <t>C006</t>
        </is>
      </c>
      <c r="G7" s="3" t="inlineStr">
        <is>
          <t>2019::jama.2019.0556::C006</t>
        </is>
      </c>
      <c r="H7" s="3" t="inlineStr"/>
      <c r="I7" s="3" t="inlineStr">
        <is>
          <t>DOC-002 Sample Size — PDF p. 16.</t>
        </is>
      </c>
      <c r="J7" s="3" t="b">
        <v>0</v>
      </c>
      <c r="K7" s="3" t="inlineStr">
        <is>
          <t>jama.2019.0556</t>
        </is>
      </c>
      <c r="L7" s="3" t="inlineStr"/>
      <c r="M7" s="3" t="inlineStr">
        <is>
          <t>P_P</t>
        </is>
      </c>
      <c r="N7" s="3" t="inlineStr">
        <is>
          <t>One protocol paragraph calls 30% versus 15% incidence a 25% difference; the usual absolute and relative differences are 15 points and 50%. Both incompatible quantities are inside the protocol.</t>
        </is>
      </c>
      <c r="O7" s="3" t="inlineStr">
        <is>
          <t>../../2019/jama.2019.0556/.ai_paper_validation/final_report_1_4_1.html</t>
        </is>
      </c>
      <c r="P7" s="3" t="inlineStr">
        <is>
          <t>2019/jama.2019.0556/.ai_paper_validation/final_report_1_4_1.md</t>
        </is>
      </c>
      <c r="Q7" s="3" t="inlineStr">
        <is>
          <t>C006</t>
        </is>
      </c>
      <c r="R7" s="3" t="inlineStr">
        <is>
          <t>Pending Human Adjudication</t>
        </is>
      </c>
      <c r="S7" s="3" t="inlineStr">
        <is>
          <t>The protocol’s stated 25% difference does not reconcile with its displayed 30% control and 15% intervention incidences under ordinary absolute or relative metrics.</t>
        </is>
      </c>
      <c r="T7" s="3" t="b">
        <v>0</v>
      </c>
      <c r="U7" s="3" t="inlineStr">
        <is>
          <t>planned_effect_arithmetic</t>
        </is>
      </c>
      <c r="V7" s="3" t="inlineStr">
        <is>
          <t>plan_material</t>
        </is>
      </c>
      <c r="W7" s="3" t="inlineStr">
        <is>
          <t>Protocol calls a 30% versus 15% contrast a 25% difference</t>
        </is>
      </c>
      <c r="X7" s="3" t="inlineStr">
        <is>
          <t>2019</t>
        </is>
      </c>
      <c r="Y7" s="3" t="inlineStr">
        <is>
          <t>meta_report/consistency_reclassification_2026-09-04/reclassified_candidates.json</t>
        </is>
      </c>
      <c r="Z7" s="3" t="inlineStr">
        <is>
          <t>P_P</t>
        </is>
      </c>
      <c r="AA7" s="3" t="inlineStr">
        <is>
          <t>plan_material</t>
        </is>
      </c>
      <c r="AB7" s="3" t="inlineStr">
        <is>
          <t>retain</t>
        </is>
      </c>
    </row>
    <row r="8" ht="95" customHeight="1">
      <c r="A8" s="2" t="b">
        <v>0</v>
      </c>
      <c r="B8" s="2" t="inlineStr">
        <is>
          <t>Protocol version 7 is dated July 6, 2017; article refers to design-time assumptions. Different planning stages or an approved amendment remain possible. C005 and C006 are separate internal arithmetic defects.</t>
        </is>
      </c>
      <c r="C8" s="2" t="b">
        <v>1</v>
      </c>
      <c r="D8" s="2" t="inlineStr">
        <is>
          <t>Cross-document numeric inconsistency</t>
        </is>
      </c>
      <c r="E8" s="2" t="b">
        <v>1</v>
      </c>
      <c r="F8" s="2" t="inlineStr">
        <is>
          <t>C007</t>
        </is>
      </c>
      <c r="G8" s="2" t="inlineStr">
        <is>
          <t>2019::jama.2019.0556::C007</t>
        </is>
      </c>
      <c r="H8" s="2" t="inlineStr"/>
      <c r="I8" s="2" t="inlineStr">
        <is>
          <t>DOC-001 Sample Size — PDF p. 4; DOC-002 Sample Size — PDF p. 16; DOC-002 continuation — PDF p. 17.</t>
        </is>
      </c>
      <c r="J8" s="2" t="b">
        <v>1</v>
      </c>
      <c r="K8" s="2" t="inlineStr">
        <is>
          <t>jama.2019.0556</t>
        </is>
      </c>
      <c r="L8" s="2" t="inlineStr">
        <is>
          <t>analysis_specification</t>
        </is>
      </c>
      <c r="M8" s="2" t="inlineStr">
        <is>
          <t>P_R</t>
        </is>
      </c>
      <c r="N8" s="2" t="inlineStr">
        <is>
          <t>Article planning assumptions (active incidence 20%, 196 per combination, attrition 22%) differ from protocol assumptions (15%, 180 per group, dropout 20%), despite a shared 250-per-arm target. This is a direct report-versus-protocol comparison.</t>
        </is>
      </c>
      <c r="O8" s="2" t="inlineStr">
        <is>
          <t>../../2019/jama.2019.0556/.ai_paper_validation/final_report_1_4_1.html</t>
        </is>
      </c>
      <c r="P8" s="2" t="inlineStr">
        <is>
          <t>2019/jama.2019.0556/.ai_paper_validation/final_report_1_4_1.md</t>
        </is>
      </c>
      <c r="Q8" s="2" t="inlineStr">
        <is>
          <t>C007</t>
        </is>
      </c>
      <c r="R8" s="2" t="inlineStr">
        <is>
          <t>Pending Human Adjudication</t>
        </is>
      </c>
      <c r="S8" s="2" t="inlineStr">
        <is>
          <t>Matched enrollment-planning passages report different active event rates, uninflated sample quantities, and attrition assumptions.</t>
        </is>
      </c>
      <c r="T8" s="2" t="b">
        <v>0</v>
      </c>
      <c r="U8" s="2" t="inlineStr">
        <is>
          <t>sample_size_assumptions</t>
        </is>
      </c>
      <c r="V8" s="2" t="inlineStr">
        <is>
          <t>protocol_report</t>
        </is>
      </c>
      <c r="W8" s="2" t="inlineStr">
        <is>
          <t>Protocol and publication state different sample-size assumptions</t>
        </is>
      </c>
      <c r="X8" s="2" t="inlineStr">
        <is>
          <t>2019</t>
        </is>
      </c>
      <c r="Y8" s="2" t="inlineStr">
        <is>
          <t>meta_report/consistency_reclassification_2026-09-04/reclassified_candidates.json</t>
        </is>
      </c>
      <c r="Z8" s="2" t="inlineStr">
        <is>
          <t>P_R</t>
        </is>
      </c>
      <c r="AA8" s="2" t="inlineStr">
        <is>
          <t>protocol_report</t>
        </is>
      </c>
      <c r="AB8" s="2" t="inlineStr">
        <is>
          <t>retain</t>
        </is>
      </c>
    </row>
    <row r="9" ht="95" customHeight="1">
      <c r="A9" s="3" t="b">
        <v>0</v>
      </c>
      <c r="B9" s="3" t="inlineStr">
        <is>
          <t>The edition-label difference may be drafting residue without an operational diagnostic change.</t>
        </is>
      </c>
      <c r="C9" s="3" t="b">
        <v>1</v>
      </c>
      <c r="D9" s="3" t="inlineStr">
        <is>
          <t>Measure, label, or scale inconsistency</t>
        </is>
      </c>
      <c r="E9" s="3" t="b">
        <v>0</v>
      </c>
      <c r="F9" s="3" t="inlineStr">
        <is>
          <t>C008</t>
        </is>
      </c>
      <c r="G9" s="3" t="inlineStr">
        <is>
          <t>2019::jama.2019.0556::C008</t>
        </is>
      </c>
      <c r="H9" s="3" t="inlineStr"/>
      <c r="I9" s="3" t="inlineStr">
        <is>
          <t>DOC-002 endpoint summary — PDF p. 8; DOC-002 Methods 8.1.1 — PDF p. 28; DOC-001 Primary Outcome — PDF p. 4.</t>
        </is>
      </c>
      <c r="J9" s="3" t="b">
        <v>0</v>
      </c>
      <c r="K9" s="3" t="inlineStr">
        <is>
          <t>jama.2019.0556</t>
        </is>
      </c>
      <c r="L9" s="3" t="inlineStr"/>
      <c r="M9" s="3" t="inlineStr">
        <is>
          <t>P_P</t>
        </is>
      </c>
      <c r="N9" s="3" t="inlineStr">
        <is>
          <t>Protocol p8 specifies DSM-IV and p28 DSM-5 for the same MINI-assessed MDD endpoint and schedule. The article repeats DSM-IV as corroboration of one internal protocol label; the candidate targets the protocol internal inconsistency, not a report-versus-plan deviation.</t>
        </is>
      </c>
      <c r="O9" s="3" t="inlineStr">
        <is>
          <t>../../2019/jama.2019.0556/.ai_paper_validation/final_report_1_4_1.html</t>
        </is>
      </c>
      <c r="P9" s="3" t="inlineStr">
        <is>
          <t>2019/jama.2019.0556/.ai_paper_validation/final_report_1_4_1.md</t>
        </is>
      </c>
      <c r="Q9" s="3" t="inlineStr">
        <is>
          <t>C008</t>
        </is>
      </c>
      <c r="R9" s="3" t="inlineStr">
        <is>
          <t>Pending Human Adjudication</t>
        </is>
      </c>
      <c r="S9" s="3" t="inlineStr">
        <is>
          <t>The protocol names DSM-IV and DSM-5 for the same MINI-assessed 12-month MDD endpoint and schedule.</t>
        </is>
      </c>
      <c r="T9" s="3" t="b">
        <v>0</v>
      </c>
      <c r="U9" s="3" t="inlineStr">
        <is>
          <t>endpoint_measure_label</t>
        </is>
      </c>
      <c r="V9" s="3" t="inlineStr">
        <is>
          <t>plan_material</t>
        </is>
      </c>
      <c r="W9" s="3" t="inlineStr">
        <is>
          <t>Protocol uses incompatible DSM editions for the primary endpoint</t>
        </is>
      </c>
      <c r="X9" s="3" t="inlineStr">
        <is>
          <t>2019</t>
        </is>
      </c>
      <c r="Y9" s="3" t="inlineStr">
        <is>
          <t>meta_report/consistency_reclassification_2026-09-04/reclassified_candidates.json</t>
        </is>
      </c>
      <c r="Z9" s="3" t="inlineStr">
        <is>
          <t>P_P</t>
        </is>
      </c>
      <c r="AA9" s="3" t="inlineStr">
        <is>
          <t>plan_material</t>
        </is>
      </c>
      <c r="AB9" s="3" t="inlineStr">
        <is>
          <t>retain</t>
        </is>
      </c>
    </row>
    <row r="10" ht="95" customHeight="1">
      <c r="A10" s="2" t="b">
        <v>0</v>
      </c>
      <c r="B10" s="2" t="inlineStr">
        <is>
          <t>The local interaction rule does not establish the intended global equality boundary.</t>
        </is>
      </c>
      <c r="C10" s="2" t="b">
        <v>1</v>
      </c>
      <c r="D10" s="2" t="inlineStr">
        <is>
          <t>Statistical reporting inconsistency</t>
        </is>
      </c>
      <c r="E10" s="2" t="b">
        <v>0</v>
      </c>
      <c r="F10" s="2" t="inlineStr">
        <is>
          <t>C009</t>
        </is>
      </c>
      <c r="G10" s="2" t="inlineStr">
        <is>
          <t>2019::jama.2019.0556::C009</t>
        </is>
      </c>
      <c r="H10" s="2" t="inlineStr"/>
      <c r="I10" s="2" t="inlineStr">
        <is>
          <t>DOC-003 statistical analysis plan — PDF p. 3; local interaction rule — PDF p. 5.</t>
        </is>
      </c>
      <c r="J10" s="2" t="b">
        <v>0</v>
      </c>
      <c r="K10" s="2" t="inlineStr">
        <is>
          <t>jama.2019.0556</t>
        </is>
      </c>
      <c r="L10" s="2" t="inlineStr"/>
      <c r="M10" s="2" t="inlineStr">
        <is>
          <t>P_P</t>
        </is>
      </c>
      <c r="N10" s="2" t="inlineStr">
        <is>
          <t>The SAP global significance sentence prints p 0.05 without an operator, whereas a local rule in the same SAP prints p&lt;0.05. Both sides are plan text.</t>
        </is>
      </c>
      <c r="O10" s="2" t="inlineStr">
        <is>
          <t>../../2019/jama.2019.0556/.ai_paper_validation/final_report_1_4_1.html</t>
        </is>
      </c>
      <c r="P10" s="2" t="inlineStr">
        <is>
          <t>2019/jama.2019.0556/.ai_paper_validation/final_report_1_4_1.md</t>
        </is>
      </c>
      <c r="Q10" s="2" t="inlineStr">
        <is>
          <t>C009</t>
        </is>
      </c>
      <c r="R10" s="2" t="inlineStr">
        <is>
          <t>Pending Human Adjudication</t>
        </is>
      </c>
      <c r="S10" s="2" t="inlineStr">
        <is>
          <t>The statistical analysis plan prints p 0.05 for the two-sided significance threshold without an operator.</t>
        </is>
      </c>
      <c r="T10" s="2" t="b">
        <v>0</v>
      </c>
      <c r="U10" s="2" t="inlineStr">
        <is>
          <t>threshold_operator</t>
        </is>
      </c>
      <c r="V10" s="2" t="inlineStr">
        <is>
          <t>plan_material</t>
        </is>
      </c>
      <c r="W10" s="2" t="inlineStr">
        <is>
          <t>Analysis-plan significance threshold lacks a comparison operator</t>
        </is>
      </c>
      <c r="X10" s="2" t="inlineStr">
        <is>
          <t>2019</t>
        </is>
      </c>
      <c r="Y10" s="2" t="inlineStr">
        <is>
          <t>meta_report/consistency_reclassification_2026-09-04/reclassified_candidates.json</t>
        </is>
      </c>
      <c r="Z10" s="2" t="inlineStr">
        <is>
          <t>P_P</t>
        </is>
      </c>
      <c r="AA10" s="2" t="inlineStr">
        <is>
          <t>plan_material</t>
        </is>
      </c>
      <c r="AB10" s="2" t="inlineStr">
        <is>
          <t>retain</t>
        </is>
      </c>
    </row>
    <row r="11" ht="95" customHeight="1">
      <c r="A11" s="3" t="b">
        <v>0</v>
      </c>
      <c r="B11" s="3" t="inlineStr">
        <is>
          <t>Truncation, unprinted denominators, or a distinct estimator could explain the small difference.</t>
        </is>
      </c>
      <c r="C11" s="3" t="b">
        <v>0</v>
      </c>
      <c r="D11" s="3" t="inlineStr">
        <is>
          <t>Numeric or arithmetic inconsistency</t>
        </is>
      </c>
      <c r="E11" s="3" t="b">
        <v>0</v>
      </c>
      <c r="F11" s="3" t="inlineStr">
        <is>
          <t>C001</t>
        </is>
      </c>
      <c r="G11" s="3" t="inlineStr">
        <is>
          <t>2019::jama.2019.10517::C001</t>
        </is>
      </c>
      <c r="H11" s="3" t="inlineStr"/>
      <c r="I11" s="3" t="inlineStr">
        <is>
          <t>jama_flint_2019_oi_190079.pdf — PDF p. 9, Table 5, total-cholesterol and LDL rows.</t>
        </is>
      </c>
      <c r="J11" s="3" t="b">
        <v>0</v>
      </c>
      <c r="K11" s="3" t="inlineStr">
        <is>
          <t>jama.2019.10517</t>
        </is>
      </c>
      <c r="L11" s="3" t="inlineStr"/>
      <c r="M11" s="3" t="inlineStr">
        <is>
          <t>S_W</t>
        </is>
      </c>
      <c r="N11" s="3" t="inlineStr">
        <is>
          <t>Within main Table 5, 9/64 versus 6/62 yields 4.4 percentage points by ordinary one-decimal rounding, while two rows show 4.3. No plan comparator is involved.</t>
        </is>
      </c>
      <c r="O11" s="3" t="inlineStr">
        <is>
          <t>../../2019/jama.2019.10517/.ai_paper_validation/final_report_1_5_1.html</t>
        </is>
      </c>
      <c r="P11" s="3" t="inlineStr">
        <is>
          <t>2019/jama.2019.10517/.ai_paper_validation/final_report_1_5_1.md</t>
        </is>
      </c>
      <c r="Q11" s="3" t="inlineStr">
        <is>
          <t>C001</t>
        </is>
      </c>
      <c r="R11" s="3" t="inlineStr">
        <is>
          <t>Pending Human Adjudication</t>
        </is>
      </c>
      <c r="S11" s="3" t="inlineStr">
        <is>
          <t>Table 5 prints an absolute unadjusted difference of 4.3% for two rows whose displayed counts and percentages yield approximately 4.4 percentage points under the ordinary raw-proportion calculation and nearest one-decimal rounding. Pending Human Adjudication.</t>
        </is>
      </c>
      <c r="T11" s="3" t="b">
        <v>1</v>
      </c>
      <c r="U11" s="3" t="inlineStr">
        <is>
          <t>effect_arithmetic</t>
        </is>
      </c>
      <c r="V11" s="3" t="inlineStr">
        <is>
          <t>statistical_results</t>
        </is>
      </c>
      <c r="W11" s="3" t="inlineStr">
        <is>
          <t>Table 5 absolute difference does not reproduce from the displayed counts</t>
        </is>
      </c>
      <c r="X11" s="3" t="inlineStr">
        <is>
          <t>2019</t>
        </is>
      </c>
      <c r="Y11" s="3" t="inlineStr">
        <is>
          <t>meta_report/consistency_reclassification_2026-09-04/reclassified_candidates.json</t>
        </is>
      </c>
      <c r="Z11" s="3" t="inlineStr">
        <is>
          <t>S_W</t>
        </is>
      </c>
      <c r="AA11" s="3" t="inlineStr">
        <is>
          <t>statistical_results</t>
        </is>
      </c>
      <c r="AB11" s="3" t="inlineStr">
        <is>
          <t>retain</t>
        </is>
      </c>
    </row>
    <row r="12" ht="95" customHeight="1">
      <c r="A12" s="2" t="b">
        <v>0</v>
      </c>
      <c r="B12" s="2" t="inlineStr">
        <is>
          <t>Mixed cross-file and within-main unit comparisons; an undefined outcome transformation remains an alternative.</t>
        </is>
      </c>
      <c r="C12" s="2" t="b">
        <v>0</v>
      </c>
      <c r="D12" s="2" t="inlineStr">
        <is>
          <t>Measure, label, or scale inconsistency</t>
        </is>
      </c>
      <c r="E12" s="2" t="b">
        <v>1</v>
      </c>
      <c r="F12" s="2" t="inlineStr">
        <is>
          <t>C002</t>
        </is>
      </c>
      <c r="G12" s="2" t="inlineStr">
        <is>
          <t>2019::jama.2019.10517::C002</t>
        </is>
      </c>
      <c r="H12" s="2" t="inlineStr"/>
      <c r="I12" s="2" t="inlineStr">
        <is>
          <t>jama_flint_2019_oi_190079.pdf — PDF p. 1, abstract Results; jama_flint_2019_oi_190079.pdf — PDF p. 7, Secondary Outcomes; jama_flint_2019_oi_190079.pdf — PDF p. 8, Table 4; and joi190079supp2_prod.pdf — PDF p. 9, eFigure 8.</t>
        </is>
      </c>
      <c r="J12" s="2" t="b">
        <v>0</v>
      </c>
      <c r="K12" s="2" t="inlineStr">
        <is>
          <t>jama.2019.10517</t>
        </is>
      </c>
      <c r="L12" s="2" t="inlineStr"/>
      <c r="M12" s="2" t="inlineStr">
        <is>
          <t>S_C</t>
        </is>
      </c>
      <c r="N12" s="2" t="inlineStr">
        <is>
          <t>Main abstract/Results label the HbA1c interaction mg/dL while main Table 4 and the matched longitudinal figure in the results supplement label HbA1c percent. The card explicitly compares both report components, with an additional within-main unit mismatch.</t>
        </is>
      </c>
      <c r="O12" s="2" t="inlineStr">
        <is>
          <t>../../2019/jama.2019.10517/.ai_paper_validation/final_report_1_5_1.html</t>
        </is>
      </c>
      <c r="P12" s="2" t="inlineStr">
        <is>
          <t>2019/jama.2019.10517/.ai_paper_validation/final_report_1_5_1.md</t>
        </is>
      </c>
      <c r="Q12" s="2" t="inlineStr">
        <is>
          <t>C002</t>
        </is>
      </c>
      <c r="R12" s="2" t="inlineStr">
        <is>
          <t>Pending Human Adjudication</t>
        </is>
      </c>
      <c r="S12" s="2" t="inlineStr">
        <is>
          <t>The same HbA1c daily treatment-by-time estimate is labelled mg/dL in two main-article locations, whereas matched table and longitudinal figure displays label HbA1c as percent. Pending Human Adjudication.</t>
        </is>
      </c>
      <c r="T12" s="2" t="b">
        <v>1</v>
      </c>
      <c r="U12" s="2" t="inlineStr">
        <is>
          <t>unit_label</t>
        </is>
      </c>
      <c r="V12" s="2" t="inlineStr">
        <is>
          <t>report_internal_inconsistency</t>
        </is>
      </c>
      <c r="W12" s="2" t="inlineStr">
        <is>
          <t>HbA1c interaction is labelled with a concentration unit while matched displays use percent</t>
        </is>
      </c>
      <c r="X12" s="2" t="inlineStr">
        <is>
          <t>2019</t>
        </is>
      </c>
      <c r="Y12" s="2" t="inlineStr">
        <is>
          <t>meta_report/consistency_reclassification_2026-09-04/reclassified_candidates.json</t>
        </is>
      </c>
      <c r="Z12" s="2" t="inlineStr">
        <is>
          <t>S_C</t>
        </is>
      </c>
      <c r="AA12" s="2" t="inlineStr">
        <is>
          <t>report_internal_inconsistency</t>
        </is>
      </c>
      <c r="AB12" s="2" t="inlineStr">
        <is>
          <t>retain</t>
        </is>
      </c>
    </row>
    <row r="13" ht="95" customHeight="1">
      <c r="A13" s="3" t="b">
        <v>0</v>
      </c>
      <c r="B13" s="3" t="inlineStr">
        <is>
          <t>Earlier target, phase, or human-subjects subset is possible but not labelled in the compared passages.</t>
        </is>
      </c>
      <c r="C13" s="3" t="b">
        <v>1</v>
      </c>
      <c r="D13" s="3" t="inlineStr">
        <is>
          <t>Denominator, proportion, or total inconsistency</t>
        </is>
      </c>
      <c r="E13" s="3" t="b">
        <v>0</v>
      </c>
      <c r="F13" s="3" t="inlineStr">
        <is>
          <t>C003</t>
        </is>
      </c>
      <c r="G13" s="3" t="inlineStr">
        <is>
          <t>2019::jama.2019.10517::C003</t>
        </is>
      </c>
      <c r="H13" s="3" t="inlineStr"/>
      <c r="I13" s="3" t="inlineStr">
        <is>
          <t>joi190079supp1_prod.pdf — PDF p. 7, Figure 1 and Section 3.9.1; joi190079supp1_prod.pdf — PDF p. 17, Table 4; and joi190079supp1_prod.pdf — PDF p. 21, Section 4.2.1.</t>
        </is>
      </c>
      <c r="J13" s="3" t="b">
        <v>0</v>
      </c>
      <c r="K13" s="3" t="inlineStr">
        <is>
          <t>jama.2019.10517</t>
        </is>
      </c>
      <c r="L13" s="3" t="inlineStr"/>
      <c r="M13" s="3" t="inlineStr">
        <is>
          <t>P_P</t>
        </is>
      </c>
      <c r="N13" s="3" t="inlineStr">
        <is>
          <t>The same protocol/data-analytic-plan PDF specifies 98 acute recruits per site and 392 overall at four sites, but elsewhere says 82 per site (328). This is entirely inside the plan document.</t>
        </is>
      </c>
      <c r="O13" s="3" t="inlineStr">
        <is>
          <t>../../2019/jama.2019.10517/.ai_paper_validation/final_report_1_5_1.html</t>
        </is>
      </c>
      <c r="P13" s="3" t="inlineStr">
        <is>
          <t>2019/jama.2019.10517/.ai_paper_validation/final_report_1_5_1.md</t>
        </is>
      </c>
      <c r="Q13" s="3" t="inlineStr">
        <is>
          <t>C003</t>
        </is>
      </c>
      <c r="R13" s="3" t="inlineStr">
        <is>
          <t>Pending Human Adjudication</t>
        </is>
      </c>
      <c r="S13" s="3"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13" s="3" t="b">
        <v>0</v>
      </c>
      <c r="U13" s="3" t="inlineStr">
        <is>
          <t>recruitment_denominator</t>
        </is>
      </c>
      <c r="V13" s="3" t="inlineStr">
        <is>
          <t>plan_material</t>
        </is>
      </c>
      <c r="W13" s="3" t="inlineStr">
        <is>
          <t>Protocol recruitment target conflicts between 82 and 98 participants per site</t>
        </is>
      </c>
      <c r="X13" s="3" t="inlineStr">
        <is>
          <t>2019</t>
        </is>
      </c>
      <c r="Y13" s="3" t="inlineStr">
        <is>
          <t>meta_report/consistency_reclassification_2026-09-04/reclassified_candidates.json</t>
        </is>
      </c>
      <c r="Z13" s="3" t="inlineStr">
        <is>
          <t>P_P</t>
        </is>
      </c>
      <c r="AA13" s="3" t="inlineStr">
        <is>
          <t>plan_material</t>
        </is>
      </c>
      <c r="AB13" s="3" t="inlineStr">
        <is>
          <t>retain</t>
        </is>
      </c>
    </row>
    <row r="14" ht="95" customHeight="1">
      <c r="A14" s="2" t="b">
        <v>0</v>
      </c>
      <c r="B14" s="2"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14" s="2" t="b">
        <v>1</v>
      </c>
      <c r="D14" s="2" t="inlineStr">
        <is>
          <t>Numeric or arithmetic inconsistency</t>
        </is>
      </c>
      <c r="E14" s="2" t="b">
        <v>0</v>
      </c>
      <c r="F14" s="2" t="inlineStr">
        <is>
          <t>C001</t>
        </is>
      </c>
      <c r="G14" s="2" t="inlineStr">
        <is>
          <t>2019::jama.2019.12618::C001</t>
        </is>
      </c>
      <c r="H14" s="2" t="inlineStr"/>
      <c r="I14" s="2" t="inlineStr">
        <is>
          <t>joi190092supp2_prod.pdf — PDF p. 11, Table 1.</t>
        </is>
      </c>
      <c r="J14" s="2" t="b">
        <v>0</v>
      </c>
      <c r="K14" s="2" t="inlineStr">
        <is>
          <t>jama.2019.12618</t>
        </is>
      </c>
      <c r="L14" s="2" t="inlineStr"/>
      <c r="M14" s="2" t="inlineStr">
        <is>
          <t>P_P</t>
        </is>
      </c>
      <c r="N14" s="2" t="inlineStr">
        <is>
          <t>A protocol timeline prints final enrollment May 2015, six-month follow-up December 2015, and maximum 12-month-plus-window follow-up July 2015. The ordering and implied June 2016 end conflict inside the protocol.</t>
        </is>
      </c>
      <c r="O14" s="2" t="inlineStr">
        <is>
          <t>../../2019/jama.2019.12618/.ai_paper_validation/final_report_1_5_1.html</t>
        </is>
      </c>
      <c r="P14" s="2" t="inlineStr">
        <is>
          <t>2019/jama.2019.12618/.ai_paper_validation/final_report_1_5_1.md</t>
        </is>
      </c>
      <c r="Q14" s="2" t="inlineStr">
        <is>
          <t>C001</t>
        </is>
      </c>
      <c r="R14" s="2" t="inlineStr">
        <is>
          <t>Pending Human Adjudication</t>
        </is>
      </c>
      <c r="S14" s="2" t="inlineStr">
        <is>
          <t>Pending Human Adjudication: the printed protocol timeline has a maximum 12-month follow-up plus a one-month window ending before both the implied endpoint for the final enrollment month and the printed shorter follow-up endpoint.</t>
        </is>
      </c>
      <c r="T14" s="2" t="b">
        <v>0</v>
      </c>
      <c r="U14" s="2" t="inlineStr">
        <is>
          <t>timeline_arithmetic</t>
        </is>
      </c>
      <c r="V14" s="2" t="inlineStr">
        <is>
          <t>plan_material</t>
        </is>
      </c>
      <c r="W14" s="2" t="inlineStr">
        <is>
          <t>protocol timeline end date</t>
        </is>
      </c>
      <c r="X14" s="2" t="inlineStr">
        <is>
          <t>2019</t>
        </is>
      </c>
      <c r="Y14" s="2" t="inlineStr">
        <is>
          <t>meta_report/consistency_reclassification_2026-09-04/reclassified_candidates.json</t>
        </is>
      </c>
      <c r="Z14" s="2" t="inlineStr">
        <is>
          <t>P_P</t>
        </is>
      </c>
      <c r="AA14" s="2" t="inlineStr">
        <is>
          <t>plan_material</t>
        </is>
      </c>
      <c r="AB14" s="2" t="inlineStr">
        <is>
          <t>retain</t>
        </is>
      </c>
    </row>
    <row r="15" ht="95" customHeight="1">
      <c r="A15" s="3" t="b">
        <v>0</v>
      </c>
      <c r="B15" s="3" t="inlineStr">
        <is>
          <t>68 could be a narrower eligible subset than all 74 failures, without supplied arm-specific exclusions.</t>
        </is>
      </c>
      <c r="C15" s="3" t="b">
        <v>0</v>
      </c>
      <c r="D15" s="3" t="inlineStr">
        <is>
          <t>Denominator, proportion, or total inconsistency</t>
        </is>
      </c>
      <c r="E15" s="3" t="b">
        <v>0</v>
      </c>
      <c r="F15" s="3" t="inlineStr">
        <is>
          <t>C002</t>
        </is>
      </c>
      <c r="G15" s="3" t="inlineStr">
        <is>
          <t>2019::jama.2019.12618::C002</t>
        </is>
      </c>
      <c r="H15" s="3" t="inlineStr"/>
      <c r="I15" s="3" t="inlineStr">
        <is>
          <t>jama_rathinam_2019_oi_190092.pdf — PDF p. 7; jama_rathinam_2019_oi_190092.pdf — PDF p. 6, Table 2; jama_rathinam_2019_oi_190092.pdf — PDF p. 3, Figure 1.</t>
        </is>
      </c>
      <c r="J15" s="3" t="b">
        <v>0</v>
      </c>
      <c r="K15" s="3" t="inlineStr">
        <is>
          <t>jama.2019.12618</t>
        </is>
      </c>
      <c r="L15" s="3" t="inlineStr"/>
      <c r="M15" s="3" t="inlineStr">
        <is>
          <t>S_W</t>
        </is>
      </c>
      <c r="N15" s="3" t="inlineStr">
        <is>
          <t>Main Results calls 68 failures eligible while its switching fractions use 32+42=74; numerators sum correctly to 49. Article tables and flow provide the internal comparison.</t>
        </is>
      </c>
      <c r="O15" s="3" t="inlineStr">
        <is>
          <t>../../2019/jama.2019.12618/.ai_paper_validation/final_report_1_5_1.html</t>
        </is>
      </c>
      <c r="P15" s="3" t="inlineStr">
        <is>
          <t>2019/jama.2019.12618/.ai_paper_validation/final_report_1_5_1.md</t>
        </is>
      </c>
      <c r="Q15" s="3" t="inlineStr">
        <is>
          <t>C002</t>
        </is>
      </c>
      <c r="R15" s="3" t="inlineStr">
        <is>
          <t>Pending Human Adjudication</t>
        </is>
      </c>
      <c r="S15" s="3" t="inlineStr">
        <is>
          <t>Pending Human Adjudication: the arm-specific switching denominators total 74 while the prose reports 49 of 68 eligible failures, although the switching numerators and individual percentages reconcile.</t>
        </is>
      </c>
      <c r="T15" s="3" t="b">
        <v>1</v>
      </c>
      <c r="U15" s="3" t="inlineStr">
        <is>
          <t>denominator_definition</t>
        </is>
      </c>
      <c r="V15" s="3" t="inlineStr">
        <is>
          <t>statistical_results</t>
        </is>
      </c>
      <c r="W15" s="3" t="inlineStr">
        <is>
          <t>eligible failure total vs switching denominators</t>
        </is>
      </c>
      <c r="X15" s="3" t="inlineStr">
        <is>
          <t>2019</t>
        </is>
      </c>
      <c r="Y15" s="3" t="inlineStr">
        <is>
          <t>meta_report/consistency_reclassification_2026-09-04/reclassified_candidates.json</t>
        </is>
      </c>
      <c r="Z15" s="3" t="inlineStr">
        <is>
          <t>S_W</t>
        </is>
      </c>
      <c r="AA15" s="3" t="inlineStr">
        <is>
          <t>statistical_results</t>
        </is>
      </c>
      <c r="AB15" s="3" t="inlineStr">
        <is>
          <t>retain</t>
        </is>
      </c>
    </row>
    <row r="16" ht="95" customHeight="1">
      <c r="A16" s="2" t="b">
        <v>0</v>
      </c>
      <c r="B16" s="2"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16" s="2" t="b">
        <v>1</v>
      </c>
      <c r="D16" s="2" t="inlineStr">
        <is>
          <t>Cross-document numeric inconsistency</t>
        </is>
      </c>
      <c r="E16" s="2" t="b">
        <v>1</v>
      </c>
      <c r="F16" s="2" t="inlineStr">
        <is>
          <t>C003</t>
        </is>
      </c>
      <c r="G16" s="2" t="inlineStr">
        <is>
          <t>2019::jama.2019.12618::C003</t>
        </is>
      </c>
      <c r="H16" s="2" t="inlineStr"/>
      <c r="I16" s="2" t="inlineStr">
        <is>
          <t>jama_rathinam_2019_oi_190092.pdf — PDF p. 2; joi190092supp2_prod.pdf — PDF p. 13; joi190092supp3_prod.pdf — PDF p. 9; joi190092supp3_prod.pdf — PDF pp. 49–50 and p. 50.</t>
        </is>
      </c>
      <c r="J16" s="2" t="b">
        <v>1</v>
      </c>
      <c r="K16" s="2" t="inlineStr">
        <is>
          <t>jama.2019.12618</t>
        </is>
      </c>
      <c r="L16" s="2" t="inlineStr">
        <is>
          <t>analysis_specification</t>
        </is>
      </c>
      <c r="M16" s="2" t="inlineStr">
        <is>
          <t>P_R</t>
        </is>
      </c>
      <c r="N16" s="2" t="inlineStr">
        <is>
          <t>Article block-size set {4,6} differs from the early protocol {4,6,8}. Later SAP 4/6 definitions support a possible version-specific explanation rather than an additional candidate discrepancy between plans.</t>
        </is>
      </c>
      <c r="O16" s="2" t="inlineStr">
        <is>
          <t>../../2019/jama.2019.12618/.ai_paper_validation/final_report_1_5_1.html</t>
        </is>
      </c>
      <c r="P16" s="2" t="inlineStr">
        <is>
          <t>2019/jama.2019.12618/.ai_paper_validation/final_report_1_5_1.md</t>
        </is>
      </c>
      <c r="Q16" s="2" t="inlineStr">
        <is>
          <t>C003</t>
        </is>
      </c>
      <c r="R16" s="2" t="inlineStr">
        <is>
          <t>Pending Human Adjudication</t>
        </is>
      </c>
      <c r="S16" s="2" t="inlineStr">
        <is>
          <t>Pending Human Adjudication: matched trial allocation descriptions list different possible block-size sets.</t>
        </is>
      </c>
      <c r="T16" s="2" t="b">
        <v>0</v>
      </c>
      <c r="U16" s="2" t="inlineStr">
        <is>
          <t>randomization_specification</t>
        </is>
      </c>
      <c r="V16" s="2" t="inlineStr">
        <is>
          <t>protocol_report</t>
        </is>
      </c>
      <c r="W16" s="2" t="inlineStr">
        <is>
          <t>allocation block sizes</t>
        </is>
      </c>
      <c r="X16" s="2" t="inlineStr">
        <is>
          <t>2019</t>
        </is>
      </c>
      <c r="Y16" s="2" t="inlineStr">
        <is>
          <t>meta_report/consistency_reclassification_2026-09-04/reclassified_candidates.json</t>
        </is>
      </c>
      <c r="Z16" s="2" t="inlineStr">
        <is>
          <t>P_R</t>
        </is>
      </c>
      <c r="AA16" s="2" t="inlineStr">
        <is>
          <t>protocol_report</t>
        </is>
      </c>
      <c r="AB16" s="2" t="inlineStr">
        <is>
          <t>retain</t>
        </is>
      </c>
    </row>
    <row r="17" ht="95" customHeight="1">
      <c r="A17" s="3" t="b">
        <v>0</v>
      </c>
      <c r="B17" s="3"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17" s="3" t="b">
        <v>1</v>
      </c>
      <c r="D17" s="3" t="inlineStr">
        <is>
          <t>Cross-document numeric inconsistency</t>
        </is>
      </c>
      <c r="E17" s="3" t="b">
        <v>1</v>
      </c>
      <c r="F17" s="3" t="inlineStr">
        <is>
          <t>C004</t>
        </is>
      </c>
      <c r="G17" s="3" t="inlineStr">
        <is>
          <t>2019::jama.2019.12618::C004</t>
        </is>
      </c>
      <c r="H17" s="3" t="inlineStr"/>
      <c r="I17" s="3" t="inlineStr">
        <is>
          <t>jama_rathinam_2019_oi_190092.pdf — PDF p. 3; jama_rathinam_2019_oi_190092.pdf — PDF p. 6; joi190092supp2_prod.pdf — PDF p. 80, §2.5.1; joi190092supp3_prod.pdf — PDF p. 70.</t>
        </is>
      </c>
      <c r="J17" s="3" t="b">
        <v>1</v>
      </c>
      <c r="K17" s="3" t="inlineStr">
        <is>
          <t>jama.2019.12618</t>
        </is>
      </c>
      <c r="L17" s="3" t="inlineStr">
        <is>
          <t>endpoint_definition_window_hierarchy</t>
        </is>
      </c>
      <c r="M17" s="3" t="inlineStr">
        <is>
          <t>P_R</t>
        </is>
      </c>
      <c r="N17" s="3"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17" s="3" t="inlineStr">
        <is>
          <t>../../2019/jama.2019.12618/.ai_paper_validation/final_report_1_5_1.html</t>
        </is>
      </c>
      <c r="P17" s="3" t="inlineStr">
        <is>
          <t>2019/jama.2019.12618/.ai_paper_validation/final_report_1_5_1.md</t>
        </is>
      </c>
      <c r="Q17" s="3" t="inlineStr">
        <is>
          <t>C004</t>
        </is>
      </c>
      <c r="R17" s="3" t="inlineStr">
        <is>
          <t>Pending Human Adjudication</t>
        </is>
      </c>
      <c r="S17" s="3" t="inlineStr">
        <is>
          <t>Pending Human Adjudication: the protocol manual includes a post-day-90 injection condition in six-month success, whereas the article's enumerated success definition omits it.</t>
        </is>
      </c>
      <c r="T17" s="3" t="b">
        <v>0</v>
      </c>
      <c r="U17" s="3" t="inlineStr">
        <is>
          <t>endpoint_criterion_omission</t>
        </is>
      </c>
      <c r="V17" s="3" t="inlineStr">
        <is>
          <t>protocol_report</t>
        </is>
      </c>
      <c r="W17" s="3" t="inlineStr">
        <is>
          <t>six-month success injection-after-90-days criterion</t>
        </is>
      </c>
      <c r="X17" s="3" t="inlineStr">
        <is>
          <t>2019</t>
        </is>
      </c>
      <c r="Y17" s="3" t="inlineStr">
        <is>
          <t>meta_report/consistency_reclassification_2026-09-04/reclassified_candidates.json</t>
        </is>
      </c>
      <c r="Z17" s="3" t="inlineStr">
        <is>
          <t>P_R</t>
        </is>
      </c>
      <c r="AA17" s="3" t="inlineStr">
        <is>
          <t>protocol_report</t>
        </is>
      </c>
      <c r="AB17" s="3" t="inlineStr">
        <is>
          <t>retain</t>
        </is>
      </c>
    </row>
    <row r="18" ht="95" customHeight="1">
      <c r="A18" s="2" t="b">
        <v>0</v>
      </c>
      <c r="B18" s="2" t="inlineStr">
        <is>
          <t>Row-specific N, SD meaning, transformation, or actual test output may differ from the reconstruction.</t>
        </is>
      </c>
      <c r="C18" s="2" t="b">
        <v>0</v>
      </c>
      <c r="D18" s="2" t="inlineStr">
        <is>
          <t>Statistical reporting inconsistency</t>
        </is>
      </c>
      <c r="E18" s="2" t="b">
        <v>0</v>
      </c>
      <c r="F18" s="2" t="inlineStr">
        <is>
          <t>C005</t>
        </is>
      </c>
      <c r="G18" s="2" t="inlineStr">
        <is>
          <t>2019::jama.2019.12618::C005</t>
        </is>
      </c>
      <c r="H18" s="2" t="inlineStr"/>
      <c r="I18" s="2" t="inlineStr">
        <is>
          <t>jama_rathinam_2019_oi_190092.pdf — PDF p. 4; jama_rathinam_2019_oi_190092.pdf — PDF p. 6, Table 2.</t>
        </is>
      </c>
      <c r="J18" s="2" t="b">
        <v>0</v>
      </c>
      <c r="K18" s="2" t="inlineStr">
        <is>
          <t>jama.2019.12618</t>
        </is>
      </c>
      <c r="L18" s="2" t="inlineStr"/>
      <c r="M18" s="2" t="inlineStr">
        <is>
          <t>S_W</t>
        </is>
      </c>
      <c r="N18" s="2" t="inlineStr">
        <is>
          <t>Main Table 2 missed-dose means, SDs and header Ns plus main Welch-test method produce a diagnostic P around .0094, unlike printed .87. All discrepant inputs and claimed method are within the article.</t>
        </is>
      </c>
      <c r="O18" s="2" t="inlineStr">
        <is>
          <t>../../2019/jama.2019.12618/.ai_paper_validation/final_report_1_5_1.html</t>
        </is>
      </c>
      <c r="P18" s="2" t="inlineStr">
        <is>
          <t>2019/jama.2019.12618/.ai_paper_validation/final_report_1_5_1.md</t>
        </is>
      </c>
      <c r="Q18" s="2" t="inlineStr">
        <is>
          <t>C005</t>
        </is>
      </c>
      <c r="R18" s="2" t="inlineStr">
        <is>
          <t>Pending Human Adjudication</t>
        </is>
      </c>
      <c r="S18" s="2" t="inlineStr">
        <is>
          <t>Pending Human Adjudication: the reported P=.87 is not compatible with a conventional two-sided Welch calculation from the displayed missed-dose summaries and header sample sizes, subject to unreported analytic details.</t>
        </is>
      </c>
      <c r="T18" s="2" t="b">
        <v>1</v>
      </c>
      <c r="U18" s="2" t="inlineStr">
        <is>
          <t>statistical_compatibility</t>
        </is>
      </c>
      <c r="V18" s="2" t="inlineStr">
        <is>
          <t>statistical_results</t>
        </is>
      </c>
      <c r="W18" s="2" t="inlineStr">
        <is>
          <t>missed-dose Welch P=.87 compatibility</t>
        </is>
      </c>
      <c r="X18" s="2" t="inlineStr">
        <is>
          <t>2019</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is>
          <t>The main footnote says one patient never received drug, so randomized header versus treated percentage convention may be intentional. Fatigue59(54.6) is internal only; eTable6 does not repeat it.</t>
        </is>
      </c>
      <c r="C19" s="3" t="b">
        <v>0</v>
      </c>
      <c r="D19" s="3" t="inlineStr">
        <is>
          <t>Cross-document numeric inconsistency</t>
        </is>
      </c>
      <c r="E19" s="3" t="b">
        <v>1</v>
      </c>
      <c r="F19" s="3" t="inlineStr">
        <is>
          <t>C006</t>
        </is>
      </c>
      <c r="G19" s="3" t="inlineStr">
        <is>
          <t>2019::jama.2019.12618::C006</t>
        </is>
      </c>
      <c r="H19" s="3" t="inlineStr"/>
      <c r="I19" s="3" t="inlineStr">
        <is>
          <t>jama_rathinam_2019_oi_190092.pdf — PDF p. 8, Table 3; joi190092supp1_prod.pdf — PDF p. 10, eTable 4; joi190092supp1_prod.pdf — PDF p. 11, eTable 5; joi190092supp1_prod.pdf — PDF p. 12, eTable 6.</t>
        </is>
      </c>
      <c r="J19" s="3" t="b">
        <v>1</v>
      </c>
      <c r="K19" s="3" t="inlineStr">
        <is>
          <t>jama.2019.12618</t>
        </is>
      </c>
      <c r="L19" s="3" t="inlineStr"/>
      <c r="M19" s="3" t="inlineStr">
        <is>
          <t>S_C</t>
        </is>
      </c>
      <c r="N19" s="3" t="inlineStr">
        <is>
          <t>Main adverse-event Table 3 labels MMF n109 whereas results-supplement eTables4–6 label treated N108; main count/percent cells also imply 108. The target includes cross-file header discrepancy and a within-main header-versus-percentage check.</t>
        </is>
      </c>
      <c r="O19" s="3" t="inlineStr">
        <is>
          <t>../../2019/jama.2019.12618/.ai_paper_validation/final_report_1_5_1.html</t>
        </is>
      </c>
      <c r="P19" s="3" t="inlineStr">
        <is>
          <t>2019/jama.2019.12618/.ai_paper_validation/final_report_1_5_1.md</t>
        </is>
      </c>
      <c r="Q19" s="3" t="inlineStr">
        <is>
          <t>C006</t>
        </is>
      </c>
      <c r="R19" s="3" t="inlineStr">
        <is>
          <t>Pending Human Adjudication</t>
        </is>
      </c>
      <c r="S19" s="3" t="inlineStr">
        <is>
          <t>Pending Human Adjudication: Main Table 3 uses an MMF header n=109 while its selected percentages reconcile to treated N=108, which matches Supplement 1 headers; the row-level denominator convention is implicit.</t>
        </is>
      </c>
      <c r="T19" s="3" t="b">
        <v>1</v>
      </c>
      <c r="U19" s="3" t="inlineStr">
        <is>
          <t>denominator_definition</t>
        </is>
      </c>
      <c r="V19" s="3" t="inlineStr">
        <is>
          <t>report_internal_inconsistency</t>
        </is>
      </c>
      <c r="W19" s="3" t="inlineStr">
        <is>
          <t>main Table 3 MMF n=109 header vs supplement N=108/percentages</t>
        </is>
      </c>
      <c r="X19" s="3" t="inlineStr">
        <is>
          <t>2019</t>
        </is>
      </c>
      <c r="Y19" s="3" t="inlineStr">
        <is>
          <t>meta_report/consistency_reclassification_2026-09-04/reclassified_candidates.json</t>
        </is>
      </c>
      <c r="Z19" s="3" t="inlineStr">
        <is>
          <t>S_C</t>
        </is>
      </c>
      <c r="AA19" s="3" t="inlineStr">
        <is>
          <t>report_internal_inconsistency</t>
        </is>
      </c>
      <c r="AB19" s="3" t="inlineStr">
        <is>
          <t>retain</t>
        </is>
      </c>
    </row>
    <row r="20" ht="95" customHeight="1">
      <c r="A20" s="2" t="b">
        <v>0</v>
      </c>
      <c r="B20" s="2" t="inlineStr"/>
      <c r="C20" s="2" t="b">
        <v>0</v>
      </c>
      <c r="D20" s="2" t="inlineStr">
        <is>
          <t>Denominator, proportion, or total inconsistency</t>
        </is>
      </c>
      <c r="E20" s="2" t="b">
        <v>0</v>
      </c>
      <c r="F20" s="2" t="inlineStr">
        <is>
          <t>C007</t>
        </is>
      </c>
      <c r="G20" s="2" t="inlineStr">
        <is>
          <t>2019::jama.2019.12618::C007</t>
        </is>
      </c>
      <c r="H20" s="2" t="inlineStr"/>
      <c r="I20" s="2" t="inlineStr">
        <is>
          <t>joi190092supp1_prod.pdf — PDF p. 15, eTable 9, MMF N=20, Serious Systemic diarrhea row.</t>
        </is>
      </c>
      <c r="J20" s="2" t="b">
        <v>0</v>
      </c>
      <c r="K20" s="2" t="inlineStr">
        <is>
          <t>jama.2019.12618</t>
        </is>
      </c>
      <c r="L20" s="2" t="inlineStr"/>
      <c r="M20" s="2" t="inlineStr">
        <is>
          <t>S_W</t>
        </is>
      </c>
      <c r="N20" s="2" t="inlineStr">
        <is>
          <t>One results-supplement eTable9 cell shows serious diarrhea1(3.4) in MMF N20; the same-table denominator gives5.0%. This is within one non-plan supplement.</t>
        </is>
      </c>
      <c r="O20" s="2" t="inlineStr">
        <is>
          <t>../../2019/jama.2019.12618/.ai_paper_validation/final_report_1_5_1.html</t>
        </is>
      </c>
      <c r="P20" s="2" t="inlineStr">
        <is>
          <t>2019/jama.2019.12618/.ai_paper_validation/final_report_1_5_1.md</t>
        </is>
      </c>
      <c r="Q20" s="2" t="inlineStr">
        <is>
          <t>C007</t>
        </is>
      </c>
      <c r="R20" s="2" t="inlineStr">
        <is>
          <t>Pending Human Adjudication</t>
        </is>
      </c>
      <c r="S20" s="2" t="inlineStr">
        <is>
          <t>Pending Human Adjudication: eTable 9 reports MMF N=20 and Serious Systemic diarrhea 1 (3.4), although the stated count-over-N rule yields 5.0% to one decimal.</t>
        </is>
      </c>
      <c r="T20" s="2" t="b">
        <v>1</v>
      </c>
      <c r="U20" s="2" t="inlineStr">
        <is>
          <t>count_percentage</t>
        </is>
      </c>
      <c r="V20" s="2" t="inlineStr">
        <is>
          <t>statistical_results</t>
        </is>
      </c>
      <c r="W20" s="2" t="inlineStr">
        <is>
          <t>eTable 9 MMF serious diarrhea 1 (3.4) vs N=20</t>
        </is>
      </c>
      <c r="X20" s="2" t="inlineStr">
        <is>
          <t>2019</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is>
          <t>A copied/abbreviated row label or an unprinted definition is possible; an unresolved eFigure2 footnote is not a second document.</t>
        </is>
      </c>
      <c r="C21" s="3" t="b">
        <v>0</v>
      </c>
      <c r="D21" s="3" t="inlineStr">
        <is>
          <t>Measure, label, or scale inconsistency</t>
        </is>
      </c>
      <c r="E21" s="3" t="b">
        <v>0</v>
      </c>
      <c r="F21" s="3" t="inlineStr">
        <is>
          <t>C008</t>
        </is>
      </c>
      <c r="G21" s="3" t="inlineStr">
        <is>
          <t>2019::jama.2019.12618::C008</t>
        </is>
      </c>
      <c r="H21" s="3" t="inlineStr"/>
      <c r="I21" s="3" t="inlineStr">
        <is>
          <t>joi190092supp1_prod.pdf — PDF p. 5, eTable 1; joi190092supp1_prod.pdf — PDF p. 14, eTable 8; joi190092supp1_prod.pdf — PDF p. 15, eTable 9.</t>
        </is>
      </c>
      <c r="J21" s="3" t="b">
        <v>0</v>
      </c>
      <c r="K21" s="3" t="inlineStr">
        <is>
          <t>jama.2019.12618</t>
        </is>
      </c>
      <c r="L21" s="3" t="inlineStr"/>
      <c r="M21" s="3" t="inlineStr">
        <is>
          <t>S_W</t>
        </is>
      </c>
      <c r="N21" s="3" t="inlineStr">
        <is>
          <t>Results-supplement eTable8 serious ocular hypertension row uses &gt;24mmHg while eTable1 defines serious cases as surgery-required and eTable9 uses that label. All compared eTables belong to the same results supplement.</t>
        </is>
      </c>
      <c r="O21" s="3" t="inlineStr">
        <is>
          <t>../../2019/jama.2019.12618/.ai_paper_validation/final_report_1_5_1.html</t>
        </is>
      </c>
      <c r="P21" s="3" t="inlineStr">
        <is>
          <t>2019/jama.2019.12618/.ai_paper_validation/final_report_1_5_1.md</t>
        </is>
      </c>
      <c r="Q21" s="3" t="inlineStr">
        <is>
          <t>C008</t>
        </is>
      </c>
      <c r="R21" s="3" t="inlineStr">
        <is>
          <t>Pending Human Adjudication</t>
        </is>
      </c>
      <c r="S21" s="3" t="inlineStr">
        <is>
          <t>Pending Human Adjudication: eTable 8 places “Ocular hypertension &gt;24mm Hg” in both non-serious and serious sections, whereas eTable 1 defines serious ocular hypertension as surgery required.</t>
        </is>
      </c>
      <c r="T21" s="3" t="b">
        <v>1</v>
      </c>
      <c r="U21" s="3" t="inlineStr">
        <is>
          <t>outcome_severity_label</t>
        </is>
      </c>
      <c r="V21" s="3" t="inlineStr">
        <is>
          <t>report_internal_inconsistency</t>
        </is>
      </c>
      <c r="W21" s="3" t="inlineStr">
        <is>
          <t>eTable 8 serious-ocular hypertension label vs eTable 1 surgery-required definition</t>
        </is>
      </c>
      <c r="X21" s="3" t="inlineStr">
        <is>
          <t>2019</t>
        </is>
      </c>
      <c r="Y21" s="3" t="inlineStr">
        <is>
          <t>meta_report/consistency_reclassification_2026-09-04/reclassified_candidates.json</t>
        </is>
      </c>
      <c r="Z21" s="3" t="inlineStr">
        <is>
          <t>S_W</t>
        </is>
      </c>
      <c r="AA21" s="3" t="inlineStr">
        <is>
          <t>report_internal_inconsistency</t>
        </is>
      </c>
      <c r="AB21" s="3" t="inlineStr">
        <is>
          <t>retain</t>
        </is>
      </c>
    </row>
    <row r="22" ht="95" customHeight="1">
      <c r="A22" s="2" t="b">
        <v>0</v>
      </c>
      <c r="B22" s="2" t="inlineStr">
        <is>
          <t>Protocol grammar may be inverted; implementation code and version history are absent.</t>
        </is>
      </c>
      <c r="C22" s="2" t="b">
        <v>1</v>
      </c>
      <c r="D22" s="2" t="inlineStr">
        <is>
          <t>Cross-document numeric inconsistency</t>
        </is>
      </c>
      <c r="E22" s="2" t="b">
        <v>1</v>
      </c>
      <c r="F22" s="2" t="inlineStr">
        <is>
          <t>C001</t>
        </is>
      </c>
      <c r="G22" s="2" t="inlineStr">
        <is>
          <t>2019::jama.2019.14231::C001</t>
        </is>
      </c>
      <c r="H22" s="2" t="inlineStr"/>
      <c r="I22" s="2" t="inlineStr">
        <is>
          <t>Main article — PDF p. 1, PDF p. 3, PDF p. 4; protocol — PDF p. 3.</t>
        </is>
      </c>
      <c r="J22" s="2" t="b">
        <v>1</v>
      </c>
      <c r="K22" s="2" t="inlineStr">
        <is>
          <t>jama.2019.14231</t>
        </is>
      </c>
      <c r="L22" s="2" t="inlineStr">
        <is>
          <t>analysis_specification</t>
        </is>
      </c>
      <c r="M22" s="2" t="inlineStr">
        <is>
          <t>P_R</t>
        </is>
      </c>
      <c r="N22" s="2" t="inlineStr">
        <is>
          <t>Protocol says one nonsurgical patient matched to five surgical patients; main report says the opposite, with2287 surgical and11435 nonsurgical patients confirming five controls per surgical patient.</t>
        </is>
      </c>
      <c r="O22" s="2" t="inlineStr">
        <is>
          <t>../../2019/jama.2019.14231/.ai_paper_validation/final_report_1_5_1.html</t>
        </is>
      </c>
      <c r="P22" s="2" t="inlineStr">
        <is>
          <t>2019/jama.2019.14231/.ai_paper_validation/final_report_1_5_1.md</t>
        </is>
      </c>
      <c r="Q22" s="2" t="inlineStr">
        <is>
          <t>C001</t>
        </is>
      </c>
      <c r="R22" s="2" t="inlineStr">
        <is>
          <t>Pending Human Adjudication</t>
        </is>
      </c>
      <c r="S22" s="2" t="inlineStr">
        <is>
          <t>The protocol’s sentence-level matching direction conflicts with the final article’s realized cohort counts and direction.</t>
        </is>
      </c>
      <c r="T22" s="2" t="b">
        <v>0</v>
      </c>
      <c r="U22" s="2" t="inlineStr">
        <is>
          <t>matching_direction</t>
        </is>
      </c>
      <c r="V22" s="2" t="inlineStr">
        <is>
          <t>protocol_report</t>
        </is>
      </c>
      <c r="W22" s="2" t="inlineStr">
        <is>
          <t>Protocol matching direction conflicts with the final matched cohort</t>
        </is>
      </c>
      <c r="X22" s="2" t="inlineStr">
        <is>
          <t>2019</t>
        </is>
      </c>
      <c r="Y22" s="2" t="inlineStr">
        <is>
          <t>meta_report/consistency_reclassification_2026-09-04/reclassified_candidates.json</t>
        </is>
      </c>
      <c r="Z22" s="2" t="inlineStr">
        <is>
          <t>P_R</t>
        </is>
      </c>
      <c r="AA22" s="2" t="inlineStr">
        <is>
          <t>protocol_report</t>
        </is>
      </c>
      <c r="AB22" s="2" t="inlineStr">
        <is>
          <t>retain</t>
        </is>
      </c>
    </row>
    <row r="23" ht="95" customHeight="1">
      <c r="A23" s="3" t="b">
        <v>0</v>
      </c>
      <c r="B23" s="3" t="inlineStr">
        <is>
          <t>A separate ARD point estimator may explain the discrepancy. Cross-source checker treats matching source displays as concordant; final recheck retains the internal point-estimator question, distinguishing bootstrapped CI from point estimation.</t>
        </is>
      </c>
      <c r="C23" s="3" t="b">
        <v>0</v>
      </c>
      <c r="D23" s="3" t="inlineStr">
        <is>
          <t>Numeric or arithmetic inconsistency</t>
        </is>
      </c>
      <c r="E23" s="3" t="b">
        <v>0</v>
      </c>
      <c r="F23" s="3" t="inlineStr">
        <is>
          <t>C002</t>
        </is>
      </c>
      <c r="G23" s="3" t="inlineStr">
        <is>
          <t>2019::jama.2019.14231::C002</t>
        </is>
      </c>
      <c r="H23" s="3" t="inlineStr"/>
      <c r="I23" s="3" t="inlineStr">
        <is>
          <t>Main article — PDF p. 4, PDF p. 7; Supplement 1 — PDF p. 7.</t>
        </is>
      </c>
      <c r="J23" s="3" t="b">
        <v>0</v>
      </c>
      <c r="K23" s="3" t="inlineStr">
        <is>
          <t>jama.2019.14231</t>
        </is>
      </c>
      <c r="L23" s="3" t="inlineStr"/>
      <c r="M23" s="3" t="inlineStr">
        <is>
          <t>S_W</t>
        </is>
      </c>
      <c r="N23" s="3"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23" s="3" t="inlineStr">
        <is>
          <t>../../2019/jama.2019.14231/.ai_paper_validation/final_report_1_5_1.html</t>
        </is>
      </c>
      <c r="P23" s="3" t="inlineStr">
        <is>
          <t>2019/jama.2019.14231/.ai_paper_validation/final_report_1_5_1.md</t>
        </is>
      </c>
      <c r="Q23" s="3" t="inlineStr">
        <is>
          <t>C002</t>
        </is>
      </c>
      <c r="R23" s="3" t="inlineStr">
        <is>
          <t>Pending Human Adjudication</t>
        </is>
      </c>
      <c r="S23" s="3" t="inlineStr">
        <is>
          <t>The displayed control-minus-surgery heart-failure ARD does not reconcile with the displayed 8-year cumulative incidences.</t>
        </is>
      </c>
      <c r="T23" s="3" t="b">
        <v>1</v>
      </c>
      <c r="U23" s="3" t="inlineStr">
        <is>
          <t>effect_arithmetic</t>
        </is>
      </c>
      <c r="V23" s="3" t="inlineStr">
        <is>
          <t>statistical_results</t>
        </is>
      </c>
      <c r="W23" s="3" t="inlineStr">
        <is>
          <t>Heart-failure ARD does not reconcile with displayed 8-year incidences</t>
        </is>
      </c>
      <c r="X23" s="3" t="inlineStr">
        <is>
          <t>2019</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is>
          <t>A separate ARD point estimator may explain the discrepancy. Cross-source checker treats matching source displays as concordant; final recheck retains the internal point-estimator question, distinguishing bootstrapped CI from point estimation.</t>
        </is>
      </c>
      <c r="C24" s="2" t="b">
        <v>0</v>
      </c>
      <c r="D24" s="2" t="inlineStr">
        <is>
          <t>Numeric or arithmetic inconsistency</t>
        </is>
      </c>
      <c r="E24" s="2" t="b">
        <v>0</v>
      </c>
      <c r="F24" s="2" t="inlineStr">
        <is>
          <t>C003</t>
        </is>
      </c>
      <c r="G24" s="2" t="inlineStr">
        <is>
          <t>2019::jama.2019.14231::C003</t>
        </is>
      </c>
      <c r="H24" s="2" t="inlineStr"/>
      <c r="I24" s="2" t="inlineStr">
        <is>
          <t>Main article — PDF p. 4, PDF p. 7; Supplement 1 — PDF p. 7.</t>
        </is>
      </c>
      <c r="J24" s="2" t="b">
        <v>0</v>
      </c>
      <c r="K24" s="2" t="inlineStr">
        <is>
          <t>jama.2019.14231</t>
        </is>
      </c>
      <c r="L24" s="2" t="inlineStr"/>
      <c r="M24" s="2" t="inlineStr">
        <is>
          <t>S_W</t>
        </is>
      </c>
      <c r="N24" s="2"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24" s="2" t="inlineStr">
        <is>
          <t>../../2019/jama.2019.14231/.ai_paper_validation/final_report_1_5_1.html</t>
        </is>
      </c>
      <c r="P24" s="2" t="inlineStr">
        <is>
          <t>2019/jama.2019.14231/.ai_paper_validation/final_report_1_5_1.md</t>
        </is>
      </c>
      <c r="Q24" s="2" t="inlineStr">
        <is>
          <t>C003</t>
        </is>
      </c>
      <c r="R24" s="2" t="inlineStr">
        <is>
          <t>Pending Human Adjudication</t>
        </is>
      </c>
      <c r="S24" s="2" t="inlineStr">
        <is>
          <t>The displayed control-minus-surgery coronary-disease ARD does not reconcile with the displayed 8-year cumulative incidences.</t>
        </is>
      </c>
      <c r="T24" s="2" t="b">
        <v>1</v>
      </c>
      <c r="U24" s="2" t="inlineStr">
        <is>
          <t>effect_arithmetic</t>
        </is>
      </c>
      <c r="V24" s="2" t="inlineStr">
        <is>
          <t>statistical_results</t>
        </is>
      </c>
      <c r="W24" s="2" t="inlineStr">
        <is>
          <t>Coronary-disease ARD does not reconcile with displayed 8-year incidences</t>
        </is>
      </c>
      <c r="X24" s="2" t="inlineStr">
        <is>
          <t>2019</t>
        </is>
      </c>
      <c r="Y24" s="2" t="inlineStr">
        <is>
          <t>meta_report/consistency_reclassification_2026-09-04/reclassified_candidates.json</t>
        </is>
      </c>
      <c r="Z24" s="2" t="inlineStr">
        <is>
          <t>S_W</t>
        </is>
      </c>
      <c r="AA24" s="2" t="inlineStr">
        <is>
          <t>statistical_results</t>
        </is>
      </c>
      <c r="AB24" s="2" t="inlineStr">
        <is>
          <t>retain</t>
        </is>
      </c>
    </row>
    <row r="25" ht="95" customHeight="1">
      <c r="A25" s="3" t="b">
        <v>0</v>
      </c>
      <c r="B25" s="3" t="inlineStr">
        <is>
          <t>A separate ARD point estimator may explain the discrepancy. Cross-source checker treats matching source displays as concordant; final recheck retains the internal point-estimator question, distinguishing bootstrapped CI from point estimation.</t>
        </is>
      </c>
      <c r="C25" s="3" t="b">
        <v>0</v>
      </c>
      <c r="D25" s="3" t="inlineStr">
        <is>
          <t>Numeric or arithmetic inconsistency</t>
        </is>
      </c>
      <c r="E25" s="3" t="b">
        <v>0</v>
      </c>
      <c r="F25" s="3" t="inlineStr">
        <is>
          <t>C004</t>
        </is>
      </c>
      <c r="G25" s="3" t="inlineStr">
        <is>
          <t>2019::jama.2019.14231::C004</t>
        </is>
      </c>
      <c r="H25" s="3" t="inlineStr"/>
      <c r="I25" s="3" t="inlineStr">
        <is>
          <t>Main article — PDF p. 4, PDF p. 7; Supplement 1 — PDF p. 7.</t>
        </is>
      </c>
      <c r="J25" s="3" t="b">
        <v>0</v>
      </c>
      <c r="K25" s="3" t="inlineStr">
        <is>
          <t>jama.2019.14231</t>
        </is>
      </c>
      <c r="L25" s="3" t="inlineStr"/>
      <c r="M25" s="3" t="inlineStr">
        <is>
          <t>S_W</t>
        </is>
      </c>
      <c r="N25" s="3"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25" s="3" t="inlineStr">
        <is>
          <t>../../2019/jama.2019.14231/.ai_paper_validation/final_report_1_5_1.html</t>
        </is>
      </c>
      <c r="P25" s="3" t="inlineStr">
        <is>
          <t>2019/jama.2019.14231/.ai_paper_validation/final_report_1_5_1.md</t>
        </is>
      </c>
      <c r="Q25" s="3" t="inlineStr">
        <is>
          <t>C004</t>
        </is>
      </c>
      <c r="R25" s="3" t="inlineStr">
        <is>
          <t>Pending Human Adjudication</t>
        </is>
      </c>
      <c r="S25" s="3" t="inlineStr">
        <is>
          <t>The displayed control-minus-surgery cerebrovascular-disease ARD does not reconcile with the displayed 8-year cumulative incidences.</t>
        </is>
      </c>
      <c r="T25" s="3" t="b">
        <v>1</v>
      </c>
      <c r="U25" s="3" t="inlineStr">
        <is>
          <t>effect_arithmetic</t>
        </is>
      </c>
      <c r="V25" s="3" t="inlineStr">
        <is>
          <t>statistical_results</t>
        </is>
      </c>
      <c r="W25" s="3" t="inlineStr">
        <is>
          <t>Cerebrovascular-disease ARD does not reconcile with displayed 8-year incidences</t>
        </is>
      </c>
      <c r="X25" s="3" t="inlineStr">
        <is>
          <t>2019</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is>
          <t>A separate ARD point estimator may explain the discrepancy. Cross-source checker treats matching source displays as concordant; final recheck retains the internal point-estimator question, distinguishing bootstrapped CI from point estimation.</t>
        </is>
      </c>
      <c r="C26" s="2" t="b">
        <v>0</v>
      </c>
      <c r="D26" s="2" t="inlineStr">
        <is>
          <t>Numeric or arithmetic inconsistency</t>
        </is>
      </c>
      <c r="E26" s="2" t="b">
        <v>0</v>
      </c>
      <c r="F26" s="2" t="inlineStr">
        <is>
          <t>C005</t>
        </is>
      </c>
      <c r="G26" s="2" t="inlineStr">
        <is>
          <t>2019::jama.2019.14231::C005</t>
        </is>
      </c>
      <c r="H26" s="2" t="inlineStr"/>
      <c r="I26" s="2" t="inlineStr">
        <is>
          <t>Main article — PDF p. 4, PDF p. 7; Supplement 1 — PDF p. 7.</t>
        </is>
      </c>
      <c r="J26" s="2" t="b">
        <v>0</v>
      </c>
      <c r="K26" s="2" t="inlineStr">
        <is>
          <t>jama.2019.14231</t>
        </is>
      </c>
      <c r="L26" s="2" t="inlineStr"/>
      <c r="M26" s="2" t="inlineStr">
        <is>
          <t>S_W</t>
        </is>
      </c>
      <c r="N26" s="2"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26" s="2" t="inlineStr">
        <is>
          <t>../../2019/jama.2019.14231/.ai_paper_validation/final_report_1_5_1.html</t>
        </is>
      </c>
      <c r="P26" s="2" t="inlineStr">
        <is>
          <t>2019/jama.2019.14231/.ai_paper_validation/final_report_1_5_1.md</t>
        </is>
      </c>
      <c r="Q26" s="2" t="inlineStr">
        <is>
          <t>C005</t>
        </is>
      </c>
      <c r="R26" s="2" t="inlineStr">
        <is>
          <t>Pending Human Adjudication</t>
        </is>
      </c>
      <c r="S26" s="2" t="inlineStr">
        <is>
          <t>The displayed control-minus-surgery nephropathy ARD does not reconcile with the displayed 8-year cumulative incidences.</t>
        </is>
      </c>
      <c r="T26" s="2" t="b">
        <v>1</v>
      </c>
      <c r="U26" s="2" t="inlineStr">
        <is>
          <t>effect_arithmetic</t>
        </is>
      </c>
      <c r="V26" s="2" t="inlineStr">
        <is>
          <t>statistical_results</t>
        </is>
      </c>
      <c r="W26" s="2" t="inlineStr">
        <is>
          <t>Nephropathy ARD does not reconcile with displayed 8-year incidences</t>
        </is>
      </c>
      <c r="X26" s="2" t="inlineStr">
        <is>
          <t>2019</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is>
          <t>A separate ARD point estimator may explain the discrepancy. Cross-source checker treats matching source displays as concordant; final recheck retains the internal point-estimator question, distinguishing bootstrapped CI from point estimation.</t>
        </is>
      </c>
      <c r="C27" s="3" t="b">
        <v>0</v>
      </c>
      <c r="D27" s="3" t="inlineStr">
        <is>
          <t>Numeric or arithmetic inconsistency</t>
        </is>
      </c>
      <c r="E27" s="3" t="b">
        <v>0</v>
      </c>
      <c r="F27" s="3" t="inlineStr">
        <is>
          <t>C006</t>
        </is>
      </c>
      <c r="G27" s="3" t="inlineStr">
        <is>
          <t>2019::jama.2019.14231::C006</t>
        </is>
      </c>
      <c r="H27" s="3" t="inlineStr"/>
      <c r="I27" s="3" t="inlineStr">
        <is>
          <t>Main article — PDF p. 4, PDF p. 7; Supplement 1 — PDF p. 7.</t>
        </is>
      </c>
      <c r="J27" s="3" t="b">
        <v>0</v>
      </c>
      <c r="K27" s="3" t="inlineStr">
        <is>
          <t>jama.2019.14231</t>
        </is>
      </c>
      <c r="L27" s="3" t="inlineStr"/>
      <c r="M27" s="3" t="inlineStr">
        <is>
          <t>S_W</t>
        </is>
      </c>
      <c r="N27" s="3"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27" s="3" t="inlineStr">
        <is>
          <t>../../2019/jama.2019.14231/.ai_paper_validation/final_report_1_5_1.html</t>
        </is>
      </c>
      <c r="P27" s="3" t="inlineStr">
        <is>
          <t>2019/jama.2019.14231/.ai_paper_validation/final_report_1_5_1.md</t>
        </is>
      </c>
      <c r="Q27" s="3" t="inlineStr">
        <is>
          <t>C006</t>
        </is>
      </c>
      <c r="R27" s="3" t="inlineStr">
        <is>
          <t>Pending Human Adjudication</t>
        </is>
      </c>
      <c r="S27" s="3" t="inlineStr">
        <is>
          <t>The displayed control-minus-surgery atrial-fibrillation ARD does not reconcile with the displayed 8-year cumulative incidences.</t>
        </is>
      </c>
      <c r="T27" s="3" t="b">
        <v>1</v>
      </c>
      <c r="U27" s="3" t="inlineStr">
        <is>
          <t>effect_arithmetic</t>
        </is>
      </c>
      <c r="V27" s="3" t="inlineStr">
        <is>
          <t>statistical_results</t>
        </is>
      </c>
      <c r="W27" s="3" t="inlineStr">
        <is>
          <t>Atrial-fibrillation ARD does not reconcile with displayed 8-year incidences</t>
        </is>
      </c>
      <c r="X27" s="3" t="inlineStr">
        <is>
          <t>2019</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is>
          <t>Different medication availability/time-window subsets could account for two participants; the final recheck finds no explicit reconciliation rule.</t>
        </is>
      </c>
      <c r="C28" s="2" t="b">
        <v>0</v>
      </c>
      <c r="D28" s="2" t="inlineStr">
        <is>
          <t>Denominator, proportion, or total inconsistency</t>
        </is>
      </c>
      <c r="E28" s="2" t="b">
        <v>0</v>
      </c>
      <c r="F28" s="2" t="inlineStr">
        <is>
          <t>C007</t>
        </is>
      </c>
      <c r="G28" s="2" t="inlineStr">
        <is>
          <t>2019::jama.2019.14231::C007</t>
        </is>
      </c>
      <c r="H28" s="2" t="inlineStr"/>
      <c r="I28" s="2" t="inlineStr">
        <is>
          <t>Supplement 1 — PDF p. 5, PDF p. 14.</t>
        </is>
      </c>
      <c r="J28" s="2" t="b">
        <v>0</v>
      </c>
      <c r="K28" s="2" t="inlineStr">
        <is>
          <t>jama.2019.14231</t>
        </is>
      </c>
      <c r="L28" s="2" t="inlineStr"/>
      <c r="M28" s="2" t="inlineStr">
        <is>
          <t>S_W</t>
        </is>
      </c>
      <c r="N28" s="2" t="inlineStr">
        <is>
          <t>eTable3 baseline nonsurgical medication N11435 differs from eTable10 year0 N11433; both tables are in the same results supplement.</t>
        </is>
      </c>
      <c r="O28" s="2" t="inlineStr">
        <is>
          <t>../../2019/jama.2019.14231/.ai_paper_validation/final_report_1_5_1.html</t>
        </is>
      </c>
      <c r="P28" s="2" t="inlineStr">
        <is>
          <t>2019/jama.2019.14231/.ai_paper_validation/final_report_1_5_1.md</t>
        </is>
      </c>
      <c r="Q28" s="2" t="inlineStr">
        <is>
          <t>C007</t>
        </is>
      </c>
      <c r="R28" s="2" t="inlineStr">
        <is>
          <t>Pending Human Adjudication</t>
        </is>
      </c>
      <c r="S28" s="2" t="inlineStr">
        <is>
          <t>Two Supplement 1 baseline medication displays use nonsurgical denominators differing by two without a printed reconciliation rule.</t>
        </is>
      </c>
      <c r="T28" s="2" t="b">
        <v>1</v>
      </c>
      <c r="U28" s="2" t="inlineStr">
        <is>
          <t>denominator_definition</t>
        </is>
      </c>
      <c r="V28" s="2" t="inlineStr">
        <is>
          <t>statistical_results</t>
        </is>
      </c>
      <c r="W28" s="2" t="inlineStr">
        <is>
          <t>Supplement tables use different nonsurgical medication denominators at baseline</t>
        </is>
      </c>
      <c r="X28" s="2" t="inlineStr">
        <is>
          <t>2019</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is>
          <t>Two-sample proportions test may be generic or year8 may use a specific method; exact test settings are unavailable.</t>
        </is>
      </c>
      <c r="C29" s="3" t="b">
        <v>0</v>
      </c>
      <c r="D29" s="3" t="inlineStr">
        <is>
          <t>Measure, label, or scale inconsistency</t>
        </is>
      </c>
      <c r="E29" s="3" t="b">
        <v>1</v>
      </c>
      <c r="F29" s="3" t="inlineStr">
        <is>
          <t>C008</t>
        </is>
      </c>
      <c r="G29" s="3" t="inlineStr">
        <is>
          <t>2019::jama.2019.14231::C008</t>
        </is>
      </c>
      <c r="H29" s="3" t="inlineStr"/>
      <c r="I29" s="3" t="inlineStr">
        <is>
          <t>Main article — PDF p. 4, PDF p. 10; Supplement 1 — PDF p. 12.</t>
        </is>
      </c>
      <c r="J29" s="3" t="b">
        <v>0</v>
      </c>
      <c r="K29" s="3" t="inlineStr">
        <is>
          <t>jama.2019.14231</t>
        </is>
      </c>
      <c r="L29" s="3" t="inlineStr"/>
      <c r="M29" s="3" t="inlineStr">
        <is>
          <t>S_C</t>
        </is>
      </c>
      <c r="N29" s="3"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29" s="3" t="inlineStr">
        <is>
          <t>../../2019/jama.2019.14231/.ai_paper_validation/final_report_1_5_1.html</t>
        </is>
      </c>
      <c r="P29" s="3" t="inlineStr">
        <is>
          <t>2019/jama.2019.14231/.ai_paper_validation/final_report_1_5_1.md</t>
        </is>
      </c>
      <c r="Q29" s="3" t="inlineStr">
        <is>
          <t>C008</t>
        </is>
      </c>
      <c r="R29" s="3" t="inlineStr">
        <is>
          <t>Pending Human Adjudication</t>
        </is>
      </c>
      <c r="S29" s="3" t="inlineStr">
        <is>
          <t>Matched medication comparisons are associated with both a two-sample proportions-test label and a Fisher-exact-test label.</t>
        </is>
      </c>
      <c r="T29" s="3" t="b">
        <v>1</v>
      </c>
      <c r="U29" s="3" t="inlineStr">
        <is>
          <t>statistical_method_label</t>
        </is>
      </c>
      <c r="V29" s="3" t="inlineStr">
        <is>
          <t>report_internal_inconsistency</t>
        </is>
      </c>
      <c r="W29" s="3" t="inlineStr">
        <is>
          <t>Medication comparison is labeled as two different named tests</t>
        </is>
      </c>
      <c r="X29" s="3" t="inlineStr">
        <is>
          <t>2019</t>
        </is>
      </c>
      <c r="Y29" s="3" t="inlineStr">
        <is>
          <t>meta_report/consistency_reclassification_2026-09-04/reclassified_candidates.json</t>
        </is>
      </c>
      <c r="Z29" s="3" t="inlineStr">
        <is>
          <t>S_C</t>
        </is>
      </c>
      <c r="AA29" s="3" t="inlineStr">
        <is>
          <t>report_internal_inconsistency</t>
        </is>
      </c>
      <c r="AB29" s="3" t="inlineStr">
        <is>
          <t>retain</t>
        </is>
      </c>
    </row>
    <row r="30" ht="95" customHeight="1">
      <c r="A30" s="2" t="b">
        <v>0</v>
      </c>
      <c r="B30" s="2" t="inlineStr"/>
      <c r="C30" s="2" t="b">
        <v>0</v>
      </c>
      <c r="D30" s="2" t="inlineStr">
        <is>
          <t>Measure, label, or scale inconsistency</t>
        </is>
      </c>
      <c r="E30" s="2" t="b">
        <v>0</v>
      </c>
      <c r="F30" s="2" t="inlineStr">
        <is>
          <t>C009</t>
        </is>
      </c>
      <c r="G30" s="2" t="inlineStr">
        <is>
          <t>2019::jama.2019.14231::C009</t>
        </is>
      </c>
      <c r="H30" s="2" t="inlineStr"/>
      <c r="I30" s="2" t="inlineStr">
        <is>
          <t>Supplement 1 — PDF p. 6, PDF p. 10, PDF p. 19.</t>
        </is>
      </c>
      <c r="J30" s="2" t="b">
        <v>0</v>
      </c>
      <c r="K30" s="2" t="inlineStr">
        <is>
          <t>jama.2019.14231</t>
        </is>
      </c>
      <c r="L30" s="2" t="inlineStr"/>
      <c r="M30" s="2" t="inlineStr">
        <is>
          <t>S_W</t>
        </is>
      </c>
      <c r="N30" s="2" t="inlineStr">
        <is>
          <t>A narrative in the results supplement cites eTable4 for time-varying HRs, while its adjacent/repeated table is eTable7 and actual eTable4 gives rates. All locations are within the same supplement.</t>
        </is>
      </c>
      <c r="O30" s="2" t="inlineStr">
        <is>
          <t>../../2019/jama.2019.14231/.ai_paper_validation/final_report_1_5_1.html</t>
        </is>
      </c>
      <c r="P30" s="2" t="inlineStr">
        <is>
          <t>2019/jama.2019.14231/.ai_paper_validation/final_report_1_5_1.md</t>
        </is>
      </c>
      <c r="Q30" s="2" t="inlineStr">
        <is>
          <t>C009</t>
        </is>
      </c>
      <c r="R30" s="2" t="inlineStr">
        <is>
          <t>Pending Human Adjudication</t>
        </is>
      </c>
      <c r="S30" s="2" t="inlineStr">
        <is>
          <t>The time-varying-HR narrative cites eTable 4, while the adjacent and repeated display is labeled eTable 7; actual eTable 4 reports a different measure.</t>
        </is>
      </c>
      <c r="T30" s="2" t="b">
        <v>1</v>
      </c>
      <c r="U30" s="2" t="inlineStr">
        <is>
          <t>cross_reference</t>
        </is>
      </c>
      <c r="V30" s="2" t="inlineStr">
        <is>
          <t>report_internal_inconsistency</t>
        </is>
      </c>
      <c r="W30" s="2" t="inlineStr">
        <is>
          <t>Time-varying-HR narrative cites eTable 4 while the displayed table is eTable 7</t>
        </is>
      </c>
      <c r="X30" s="2" t="inlineStr">
        <is>
          <t>2019</t>
        </is>
      </c>
      <c r="Y30" s="2" t="inlineStr">
        <is>
          <t>meta_report/consistency_reclassification_2026-09-04/reclassified_candidates.json</t>
        </is>
      </c>
      <c r="Z30" s="2" t="inlineStr">
        <is>
          <t>S_W</t>
        </is>
      </c>
      <c r="AA30" s="2" t="inlineStr">
        <is>
          <t>report_internal_inconsistency</t>
        </is>
      </c>
      <c r="AB30" s="2" t="inlineStr">
        <is>
          <t>retain</t>
        </is>
      </c>
    </row>
    <row r="31" ht="95" customHeight="1">
      <c r="A31" s="3" t="b">
        <v>0</v>
      </c>
      <c r="B31" s="3" t="inlineStr"/>
      <c r="C31" s="3" t="b">
        <v>0</v>
      </c>
      <c r="D31" s="3" t="inlineStr">
        <is>
          <t>Denominator, proportion, or total inconsistency</t>
        </is>
      </c>
      <c r="E31" s="3" t="b">
        <v>0</v>
      </c>
      <c r="F31" s="3" t="inlineStr">
        <is>
          <t>C010</t>
        </is>
      </c>
      <c r="G31" s="3" t="inlineStr">
        <is>
          <t>2019::jama.2019.14231::C010</t>
        </is>
      </c>
      <c r="H31" s="3" t="inlineStr"/>
      <c r="I31" s="3" t="inlineStr">
        <is>
          <t>Supplement 1 — PDF p. 5.</t>
        </is>
      </c>
      <c r="J31" s="3" t="b">
        <v>0</v>
      </c>
      <c r="K31" s="3" t="inlineStr">
        <is>
          <t>jama.2019.14231</t>
        </is>
      </c>
      <c r="L31" s="3" t="inlineStr"/>
      <c r="M31" s="3" t="inlineStr">
        <is>
          <t>S_W</t>
        </is>
      </c>
      <c r="N31" s="3" t="inlineStr">
        <is>
          <t>Results-supplement eTable3 gives biguanides1530(67.9%) under surgeryN2287, but that fraction rounds66.9%; no cross-file comparator is required.</t>
        </is>
      </c>
      <c r="O31" s="3" t="inlineStr">
        <is>
          <t>../../2019/jama.2019.14231/.ai_paper_validation/final_report_1_5_1.html</t>
        </is>
      </c>
      <c r="P31" s="3" t="inlineStr">
        <is>
          <t>2019/jama.2019.14231/.ai_paper_validation/final_report_1_5_1.md</t>
        </is>
      </c>
      <c r="Q31" s="3" t="inlineStr">
        <is>
          <t>C010</t>
        </is>
      </c>
      <c r="R31" s="3" t="inlineStr">
        <is>
          <t>Pending Human Adjudication</t>
        </is>
      </c>
      <c r="S31" s="3" t="inlineStr">
        <is>
          <t>The surgery-group biguanide count, printed denominator, and printed percentage do not reconcile.</t>
        </is>
      </c>
      <c r="T31" s="3" t="b">
        <v>1</v>
      </c>
      <c r="U31" s="3" t="inlineStr">
        <is>
          <t>count_percentage</t>
        </is>
      </c>
      <c r="V31" s="3" t="inlineStr">
        <is>
          <t>statistical_results</t>
        </is>
      </c>
      <c r="W31" s="3" t="inlineStr">
        <is>
          <t>Biguanide count and percentage do not reconcile in eTable 3</t>
        </is>
      </c>
      <c r="X31" s="3" t="inlineStr">
        <is>
          <t>2019</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Measure, label, or scale inconsistency</t>
        </is>
      </c>
      <c r="E32" s="2" t="b">
        <v>0</v>
      </c>
      <c r="F32" s="2" t="inlineStr">
        <is>
          <t>C011</t>
        </is>
      </c>
      <c r="G32" s="2" t="inlineStr">
        <is>
          <t>2019::jama.2019.14231::C011</t>
        </is>
      </c>
      <c r="H32" s="2" t="inlineStr"/>
      <c r="I32" s="2" t="inlineStr">
        <is>
          <t>Main article — PDF p. 5, PDF p. 6.</t>
        </is>
      </c>
      <c r="J32" s="2" t="b">
        <v>0</v>
      </c>
      <c r="K32" s="2" t="inlineStr">
        <is>
          <t>jama.2019.14231</t>
        </is>
      </c>
      <c r="L32" s="2" t="inlineStr"/>
      <c r="M32" s="2" t="inlineStr">
        <is>
          <t>S_W</t>
        </is>
      </c>
      <c r="N32" s="2" t="inlineStr">
        <is>
          <t>Main Table1 footnote defines absolute standardized differences but the main table prints negative values. This is an internal definition-versus-display contradiction.</t>
        </is>
      </c>
      <c r="O32" s="2" t="inlineStr">
        <is>
          <t>../../2019/jama.2019.14231/.ai_paper_validation/final_report_1_5_1.html</t>
        </is>
      </c>
      <c r="P32" s="2" t="inlineStr">
        <is>
          <t>2019/jama.2019.14231/.ai_paper_validation/final_report_1_5_1.md</t>
        </is>
      </c>
      <c r="Q32" s="2" t="inlineStr">
        <is>
          <t>C011</t>
        </is>
      </c>
      <c r="R32" s="2" t="inlineStr">
        <is>
          <t>Pending Human Adjudication</t>
        </is>
      </c>
      <c r="S32" s="2" t="inlineStr">
        <is>
          <t>Table 1’s footnote defines standardized differences as an absolute value, while the displayed columns include negative values.</t>
        </is>
      </c>
      <c r="T32" s="2" t="b">
        <v>1</v>
      </c>
      <c r="U32" s="2" t="inlineStr">
        <is>
          <t>signed_measure_definition</t>
        </is>
      </c>
      <c r="V32" s="2" t="inlineStr">
        <is>
          <t>report_internal_inconsistency</t>
        </is>
      </c>
      <c r="W32" s="2" t="inlineStr">
        <is>
          <t>Standardized-difference footnote says absolute value while columns contain negative values</t>
        </is>
      </c>
      <c r="X32" s="2" t="inlineStr">
        <is>
          <t>2019</t>
        </is>
      </c>
      <c r="Y32" s="2" t="inlineStr">
        <is>
          <t>meta_report/consistency_reclassification_2026-09-04/reclassified_candidates.json</t>
        </is>
      </c>
      <c r="Z32" s="2" t="inlineStr">
        <is>
          <t>S_W</t>
        </is>
      </c>
      <c r="AA32" s="2" t="inlineStr">
        <is>
          <t>report_internal_inconsistency</t>
        </is>
      </c>
      <c r="AB32" s="2" t="inlineStr">
        <is>
          <t>retain</t>
        </is>
      </c>
    </row>
    <row r="33" ht="95" customHeight="1">
      <c r="A33" s="3" t="b">
        <v>0</v>
      </c>
      <c r="B33" s="3" t="inlineStr"/>
      <c r="C33" s="3" t="b">
        <v>0</v>
      </c>
      <c r="D33" s="3" t="inlineStr">
        <is>
          <t>Measure, label, or scale inconsistency</t>
        </is>
      </c>
      <c r="E33" s="3" t="b">
        <v>0</v>
      </c>
      <c r="F33" s="3" t="inlineStr">
        <is>
          <t>C001</t>
        </is>
      </c>
      <c r="G33" s="3" t="inlineStr">
        <is>
          <t>2019::jama.2019.14630::C001</t>
        </is>
      </c>
      <c r="H33" s="3" t="inlineStr"/>
      <c r="I33" s="3" t="inlineStr">
        <is>
          <t>Supplement 3 eTable 2 opening header — PDF p. 3; Supplement 3 eTable 2 continuation — PDF p. 5; main article Table 2 — PDF p. 5.</t>
        </is>
      </c>
      <c r="J33" s="3" t="b">
        <v>0</v>
      </c>
      <c r="K33" s="3" t="inlineStr">
        <is>
          <t>jama.2019.14630</t>
        </is>
      </c>
      <c r="L33" s="3" t="inlineStr"/>
      <c r="M33" s="3" t="inlineStr">
        <is>
          <t>S_W</t>
        </is>
      </c>
      <c r="N33" s="3" t="inlineStr">
        <is>
          <t>Opening and continued pages of one results-supplement eTable2 label the same N3311 column intervention and control. Main Table2 only corroborates the continuation arm identity; the target is the internally inconsistent continued table.</t>
        </is>
      </c>
      <c r="O33" s="3" t="inlineStr">
        <is>
          <t>../../2019/jama.2019.14630/.ai_paper_validation/final_report_1_5_1.html</t>
        </is>
      </c>
      <c r="P33" s="3" t="inlineStr">
        <is>
          <t>2019/jama.2019.14630/.ai_paper_validation/final_report_1_5_1.md</t>
        </is>
      </c>
      <c r="Q33" s="3" t="inlineStr">
        <is>
          <t>C001</t>
        </is>
      </c>
      <c r="R33" s="3" t="inlineStr">
        <is>
          <t>Pending Human Adjudication</t>
        </is>
      </c>
      <c r="S33" s="3" t="inlineStr">
        <is>
          <t>The eTable 2 opening header assigns Intervention group to both N=3,272 and N=3,311, whereas the continuation and main Table 2 identify N=3,311 as control.</t>
        </is>
      </c>
      <c r="T33" s="3" t="b">
        <v>1</v>
      </c>
      <c r="U33" s="3" t="inlineStr">
        <is>
          <t>arm_label</t>
        </is>
      </c>
      <c r="V33" s="3" t="inlineStr">
        <is>
          <t>report_internal_inconsistency</t>
        </is>
      </c>
      <c r="W33" s="3" t="inlineStr">
        <is>
          <t>eTable 2 assigns the N=3,311 column a second intervention-group label</t>
        </is>
      </c>
      <c r="X33" s="3" t="inlineStr">
        <is>
          <t>2019</t>
        </is>
      </c>
      <c r="Y33" s="3" t="inlineStr">
        <is>
          <t>meta_report/consistency_reclassification_2026-09-04/reclassified_candidates.json</t>
        </is>
      </c>
      <c r="Z33" s="3" t="inlineStr">
        <is>
          <t>S_W</t>
        </is>
      </c>
      <c r="AA33" s="3" t="inlineStr">
        <is>
          <t>report_internal_inconsistency</t>
        </is>
      </c>
      <c r="AB33" s="3" t="inlineStr">
        <is>
          <t>retain</t>
        </is>
      </c>
    </row>
    <row r="34" ht="95" customHeight="1">
      <c r="A34" s="2" t="b">
        <v>0</v>
      </c>
      <c r="B34" s="2" t="inlineStr">
        <is>
          <t>Overlaps the intervention cell in C003, but C003 additionally compares both arms across tables; same underlying production cause is not established.</t>
        </is>
      </c>
      <c r="C34" s="2" t="b">
        <v>0</v>
      </c>
      <c r="D34" s="2" t="inlineStr">
        <is>
          <t>Numeric or arithmetic inconsistency</t>
        </is>
      </c>
      <c r="E34" s="2" t="b">
        <v>0</v>
      </c>
      <c r="F34" s="2" t="inlineStr">
        <is>
          <t>C002</t>
        </is>
      </c>
      <c r="G34" s="2" t="inlineStr">
        <is>
          <t>2019::jama.2019.14630::C002</t>
        </is>
      </c>
      <c r="H34" s="2" t="inlineStr"/>
      <c r="I34" s="2" t="inlineStr">
        <is>
          <t>Supplement 3 eTable 2 red-wine row and footnote — PDF p. 7.</t>
        </is>
      </c>
      <c r="J34" s="2" t="b">
        <v>0</v>
      </c>
      <c r="K34" s="2" t="inlineStr">
        <is>
          <t>jama.2019.14630</t>
        </is>
      </c>
      <c r="L34" s="2" t="inlineStr"/>
      <c r="M34" s="2" t="inlineStr">
        <is>
          <t>S_W</t>
        </is>
      </c>
      <c r="N34" s="2" t="inlineStr">
        <is>
          <t>Results-supplement eTable2 intervention red-wine median33 exceeds its own upper quartile29 under the local median(IQR) footnote.</t>
        </is>
      </c>
      <c r="O34" s="2" t="inlineStr">
        <is>
          <t>../../2019/jama.2019.14630/.ai_paper_validation/final_report_1_5_1.html</t>
        </is>
      </c>
      <c r="P34" s="2" t="inlineStr">
        <is>
          <t>2019/jama.2019.14630/.ai_paper_validation/final_report_1_5_1.md</t>
        </is>
      </c>
      <c r="Q34" s="2" t="inlineStr">
        <is>
          <t>C002</t>
        </is>
      </c>
      <c r="R34" s="2" t="inlineStr">
        <is>
          <t>Pending Human Adjudication</t>
        </is>
      </c>
      <c r="S34" s="2" t="inlineStr">
        <is>
          <t>The intervention baseline red-wine entry is printed as 33 (0, 29) g/week while the footnote defines baseline values as median (IQR).</t>
        </is>
      </c>
      <c r="T34" s="2" t="b">
        <v>1</v>
      </c>
      <c r="U34" s="2" t="inlineStr">
        <is>
          <t>summary_ordering</t>
        </is>
      </c>
      <c r="V34" s="2" t="inlineStr">
        <is>
          <t>statistical_results</t>
        </is>
      </c>
      <c r="W34" s="2" t="inlineStr">
        <is>
          <t>eTable 2 red-wine median lies above its printed upper quartile</t>
        </is>
      </c>
      <c r="X34" s="2" t="inlineStr">
        <is>
          <t>2019</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is>
          <t>An unstated analysis-specific baseline subset/handling path is possible. C002 tests ordering within one intervention cell, so these are related rather than exact duplicate candidates.</t>
        </is>
      </c>
      <c r="C35" s="3" t="b">
        <v>0</v>
      </c>
      <c r="D35" s="3" t="inlineStr">
        <is>
          <t>Cross-document numeric inconsistency</t>
        </is>
      </c>
      <c r="E35" s="3" t="b">
        <v>0</v>
      </c>
      <c r="F35" s="3" t="inlineStr">
        <is>
          <t>C003</t>
        </is>
      </c>
      <c r="G35" s="3" t="inlineStr">
        <is>
          <t>2019::jama.2019.14630::C003</t>
        </is>
      </c>
      <c r="H35" s="3" t="inlineStr"/>
      <c r="I35" s="3" t="inlineStr">
        <is>
          <t>Supplement 3 eTable 2 — PDF p. 7; Supplement 3 eTable 7 — PDF p. 19.</t>
        </is>
      </c>
      <c r="J35" s="3" t="b">
        <v>1</v>
      </c>
      <c r="K35" s="3" t="inlineStr">
        <is>
          <t>jama.2019.14630</t>
        </is>
      </c>
      <c r="L35" s="3" t="inlineStr"/>
      <c r="M35" s="3" t="inlineStr">
        <is>
          <t>S_W</t>
        </is>
      </c>
      <c r="N35" s="3" t="inlineStr">
        <is>
          <t>eTables2 and7 in the same results supplement show all-randomized red-wine baseline medians33/4 versus0/0 with identical displayed arm Ns and IQRs. Different tables in one PDF do not make this cross-document.</t>
        </is>
      </c>
      <c r="O35" s="3" t="inlineStr">
        <is>
          <t>../../2019/jama.2019.14630/.ai_paper_validation/final_report_1_5_1.html</t>
        </is>
      </c>
      <c r="P35" s="3" t="inlineStr">
        <is>
          <t>2019/jama.2019.14630/.ai_paper_validation/final_report_1_5_1.md</t>
        </is>
      </c>
      <c r="Q35" s="3" t="inlineStr">
        <is>
          <t>C003</t>
        </is>
      </c>
      <c r="R35" s="3" t="inlineStr">
        <is>
          <t>Pending Human Adjudication</t>
        </is>
      </c>
      <c r="S35" s="3" t="inlineStr">
        <is>
          <t>ETable 2 prints red-wine baseline medians 33 and 4, whereas eTable 7 prints 0 and 0 for the same named arms, units, displayed arm Ns, and median/IQR convention.</t>
        </is>
      </c>
      <c r="T35" s="3" t="b">
        <v>1</v>
      </c>
      <c r="U35" s="3" t="inlineStr">
        <is>
          <t>repeated_baseline_summary</t>
        </is>
      </c>
      <c r="V35" s="3" t="inlineStr">
        <is>
          <t>report_internal_inconsistency</t>
        </is>
      </c>
      <c r="W35" s="3" t="inlineStr">
        <is>
          <t>all-randomized red-wine baseline summaries differ between eTables 2 and 7</t>
        </is>
      </c>
      <c r="X35" s="3" t="inlineStr">
        <is>
          <t>2019</t>
        </is>
      </c>
      <c r="Y35" s="3" t="inlineStr">
        <is>
          <t>meta_report/consistency_reclassification_2026-09-04/reclassified_candidates.json</t>
        </is>
      </c>
      <c r="Z35" s="3" t="inlineStr">
        <is>
          <t>S_W</t>
        </is>
      </c>
      <c r="AA35" s="3" t="inlineStr">
        <is>
          <t>report_internal_inconsistency</t>
        </is>
      </c>
      <c r="AB35" s="3" t="inlineStr">
        <is>
          <t>retain</t>
        </is>
      </c>
    </row>
    <row r="36" ht="95" customHeight="1">
      <c r="A36" s="2" t="b">
        <v>0</v>
      </c>
      <c r="B36" s="2" t="inlineStr">
        <is>
          <t>Sensitivity-analysis baseline subset or rounding/truncation could differ despite shared displayed N.</t>
        </is>
      </c>
      <c r="C36" s="2" t="b">
        <v>0</v>
      </c>
      <c r="D36" s="2" t="inlineStr">
        <is>
          <t>Cross-document numeric inconsistency</t>
        </is>
      </c>
      <c r="E36" s="2" t="b">
        <v>1</v>
      </c>
      <c r="F36" s="2" t="inlineStr">
        <is>
          <t>C004</t>
        </is>
      </c>
      <c r="G36" s="2" t="inlineStr">
        <is>
          <t>2019::jama.2019.14630::C004</t>
        </is>
      </c>
      <c r="H36" s="2" t="inlineStr"/>
      <c r="I36" s="2" t="inlineStr">
        <is>
          <t>main article Table 2 — PDF p. 5; Supplement 3 eTable 6 — PDF p. 16.</t>
        </is>
      </c>
      <c r="J36" s="2" t="b">
        <v>1</v>
      </c>
      <c r="K36" s="2" t="inlineStr">
        <is>
          <t>jama.2019.14630</t>
        </is>
      </c>
      <c r="L36" s="2" t="inlineStr"/>
      <c r="M36" s="2" t="inlineStr">
        <is>
          <t>S_C</t>
        </is>
      </c>
      <c r="N36" s="2" t="inlineStr">
        <is>
          <t>Main Table2 baseline PDQS mean21.1 in each arm differs from results-supplement eTable6 mean21.0, under matched Ns and scale.</t>
        </is>
      </c>
      <c r="O36" s="2" t="inlineStr">
        <is>
          <t>../../2019/jama.2019.14630/.ai_paper_validation/final_report_1_5_1.html</t>
        </is>
      </c>
      <c r="P36" s="2" t="inlineStr">
        <is>
          <t>2019/jama.2019.14630/.ai_paper_validation/final_report_1_5_1.md</t>
        </is>
      </c>
      <c r="Q36" s="2" t="inlineStr">
        <is>
          <t>C004</t>
        </is>
      </c>
      <c r="R36" s="2" t="inlineStr">
        <is>
          <t>Pending Human Adjudication</t>
        </is>
      </c>
      <c r="S36" s="2" t="inlineStr">
        <is>
          <t>Main Table 2 prints baseline PDQS mean 21.1 in both arms, while eTable 6 prints 21.0 in both arms under the same displayed arm Ns and 0-42 scale.</t>
        </is>
      </c>
      <c r="T36" s="2" t="b">
        <v>1</v>
      </c>
      <c r="U36" s="2" t="inlineStr">
        <is>
          <t>repeated_baseline_summary</t>
        </is>
      </c>
      <c r="V36" s="2" t="inlineStr">
        <is>
          <t>report_internal_inconsistency</t>
        </is>
      </c>
      <c r="W36" s="2" t="inlineStr">
        <is>
          <t>PDQS baseline mean differs between the principal and baseline-value-carried-forward tables</t>
        </is>
      </c>
      <c r="X36" s="2" t="inlineStr">
        <is>
          <t>2019</t>
        </is>
      </c>
      <c r="Y36" s="2" t="inlineStr">
        <is>
          <t>meta_report/consistency_reclassification_2026-09-04/reclassified_candidates.json</t>
        </is>
      </c>
      <c r="Z36" s="2" t="inlineStr">
        <is>
          <t>S_C</t>
        </is>
      </c>
      <c r="AA36" s="2" t="inlineStr">
        <is>
          <t>report_internal_inconsistency</t>
        </is>
      </c>
      <c r="AB36" s="2" t="inlineStr">
        <is>
          <t>retain</t>
        </is>
      </c>
    </row>
    <row r="37" ht="95" customHeight="1">
      <c r="A37" s="3" t="b">
        <v>0</v>
      </c>
      <c r="B37" s="3" t="inlineStr">
        <is>
          <t>The record states main imputation is follow-up only; an unreported baseline subset or separate extraction remains possible.</t>
        </is>
      </c>
      <c r="C37" s="3" t="b">
        <v>0</v>
      </c>
      <c r="D37" s="3" t="inlineStr">
        <is>
          <t>Cross-document numeric inconsistency</t>
        </is>
      </c>
      <c r="E37" s="3" t="b">
        <v>1</v>
      </c>
      <c r="F37" s="3" t="inlineStr">
        <is>
          <t>C005</t>
        </is>
      </c>
      <c r="G37" s="3" t="inlineStr">
        <is>
          <t>2019::jama.2019.14630::C005</t>
        </is>
      </c>
      <c r="H37" s="3" t="inlineStr"/>
      <c r="I37" s="3" t="inlineStr">
        <is>
          <t>main article Statistical Analysis — PDF p. 4; main article Table 3 — PDF p. 7; Supplement 3 eTable 8 — PDF p. 21.</t>
        </is>
      </c>
      <c r="J37" s="3" t="b">
        <v>1</v>
      </c>
      <c r="K37" s="3" t="inlineStr">
        <is>
          <t>jama.2019.14630</t>
        </is>
      </c>
      <c r="L37" s="3" t="inlineStr"/>
      <c r="M37" s="3" t="inlineStr">
        <is>
          <t>S_C</t>
        </is>
      </c>
      <c r="N37" s="3" t="inlineStr">
        <is>
          <t>Main Table3 intervention baseline energySD555 differs from results-supplement eTable8 SD544 while means2355 and control summary agree.</t>
        </is>
      </c>
      <c r="O37" s="3" t="inlineStr">
        <is>
          <t>../../2019/jama.2019.14630/.ai_paper_validation/final_report_1_5_1.html</t>
        </is>
      </c>
      <c r="P37" s="3" t="inlineStr">
        <is>
          <t>2019/jama.2019.14630/.ai_paper_validation/final_report_1_5_1.md</t>
        </is>
      </c>
      <c r="Q37" s="3" t="inlineStr">
        <is>
          <t>C005</t>
        </is>
      </c>
      <c r="R37" s="3" t="inlineStr">
        <is>
          <t>Pending Human Adjudication</t>
        </is>
      </c>
      <c r="S37" s="3" t="inlineStr">
        <is>
          <t>Intervention baseline energy is 2355 kcal/d in both displays, but its SD is 555 in Table 3 and 544 in eTable 8; the matched control entry agrees.</t>
        </is>
      </c>
      <c r="T37" s="3" t="b">
        <v>1</v>
      </c>
      <c r="U37" s="3" t="inlineStr">
        <is>
          <t>repeated_baseline_summary</t>
        </is>
      </c>
      <c r="V37" s="3" t="inlineStr">
        <is>
          <t>report_internal_inconsistency</t>
        </is>
      </c>
      <c r="W37" s="3" t="inlineStr">
        <is>
          <t>intervention baseline energy SD differs between Table 3 and eTable 8</t>
        </is>
      </c>
      <c r="X37" s="3" t="inlineStr">
        <is>
          <t>2019</t>
        </is>
      </c>
      <c r="Y37" s="3" t="inlineStr">
        <is>
          <t>meta_report/consistency_reclassification_2026-09-04/reclassified_candidates.json</t>
        </is>
      </c>
      <c r="Z37" s="3" t="inlineStr">
        <is>
          <t>S_C</t>
        </is>
      </c>
      <c r="AA37" s="3" t="inlineStr">
        <is>
          <t>report_internal_inconsistency</t>
        </is>
      </c>
      <c r="AB37" s="3" t="inlineStr">
        <is>
          <t>retain</t>
        </is>
      </c>
    </row>
    <row r="38" ht="95" customHeight="1">
      <c r="A38" s="2" t="b">
        <v>0</v>
      </c>
      <c r="B38" s="2" t="inlineStr">
        <is>
          <t>Outcome-specific baseline records or processing may differ without being labelled.</t>
        </is>
      </c>
      <c r="C38" s="2" t="b">
        <v>0</v>
      </c>
      <c r="D38" s="2" t="inlineStr">
        <is>
          <t>Cross-document numeric inconsistency</t>
        </is>
      </c>
      <c r="E38" s="2" t="b">
        <v>1</v>
      </c>
      <c r="F38" s="2" t="inlineStr">
        <is>
          <t>C006</t>
        </is>
      </c>
      <c r="G38" s="2" t="inlineStr">
        <is>
          <t>2019::jama.2019.14630::C006</t>
        </is>
      </c>
      <c r="H38" s="2" t="inlineStr"/>
      <c r="I38" s="2" t="inlineStr">
        <is>
          <t>main article Table 1 — PDF p. 4; Supplement 3 eTable 9 — PDF p. 23.</t>
        </is>
      </c>
      <c r="J38" s="2" t="b">
        <v>1</v>
      </c>
      <c r="K38" s="2" t="inlineStr">
        <is>
          <t>jama.2019.14630</t>
        </is>
      </c>
      <c r="L38" s="2" t="inlineStr"/>
      <c r="M38" s="2" t="inlineStr">
        <is>
          <t>S_C</t>
        </is>
      </c>
      <c r="N38" s="2" t="inlineStr">
        <is>
          <t>Main Table1 baseline weight86.7/86.4 differs from results-supplement eTable9 weight86.5/86.3 and interventionSD13.0/12.9 under shared displayed Ns.</t>
        </is>
      </c>
      <c r="O38" s="2" t="inlineStr">
        <is>
          <t>../../2019/jama.2019.14630/.ai_paper_validation/final_report_1_5_1.html</t>
        </is>
      </c>
      <c r="P38" s="2" t="inlineStr">
        <is>
          <t>2019/jama.2019.14630/.ai_paper_validation/final_report_1_5_1.md</t>
        </is>
      </c>
      <c r="Q38" s="2" t="inlineStr">
        <is>
          <t>C006</t>
        </is>
      </c>
      <c r="R38" s="2" t="inlineStr">
        <is>
          <t>Pending Human Adjudication</t>
        </is>
      </c>
      <c r="S38" s="2" t="inlineStr">
        <is>
          <t>Table 1 and the all-randomized eTable 9 panel print different baseline weight means in both arms and a different intervention SD despite the same displayed arm Ns.</t>
        </is>
      </c>
      <c r="T38" s="2" t="b">
        <v>1</v>
      </c>
      <c r="U38" s="2" t="inlineStr">
        <is>
          <t>repeated_baseline_summary</t>
        </is>
      </c>
      <c r="V38" s="2" t="inlineStr">
        <is>
          <t>report_internal_inconsistency</t>
        </is>
      </c>
      <c r="W38" s="2" t="inlineStr">
        <is>
          <t>baseline body-weight summaries differ between Table 1 and eTable 9</t>
        </is>
      </c>
      <c r="X38" s="2" t="inlineStr">
        <is>
          <t>2019</t>
        </is>
      </c>
      <c r="Y38" s="2" t="inlineStr">
        <is>
          <t>meta_report/consistency_reclassification_2026-09-04/reclassified_candidates.json</t>
        </is>
      </c>
      <c r="Z38" s="2" t="inlineStr">
        <is>
          <t>S_C</t>
        </is>
      </c>
      <c r="AA38" s="2" t="inlineStr">
        <is>
          <t>report_internal_inconsistency</t>
        </is>
      </c>
      <c r="AB38" s="2" t="inlineStr">
        <is>
          <t>retain</t>
        </is>
      </c>
    </row>
    <row r="39" ht="95" customHeight="1">
      <c r="A39" s="3" t="b">
        <v>0</v>
      </c>
      <c r="B39" s="3" t="inlineStr">
        <is>
          <t>BMI derivation, records, or rounding may differ. Related weight candidate C006 concerns another statistic, not an exact duplicate.</t>
        </is>
      </c>
      <c r="C39" s="3" t="b">
        <v>0</v>
      </c>
      <c r="D39" s="3" t="inlineStr">
        <is>
          <t>Cross-document numeric inconsistency</t>
        </is>
      </c>
      <c r="E39" s="3" t="b">
        <v>1</v>
      </c>
      <c r="F39" s="3" t="inlineStr">
        <is>
          <t>C007</t>
        </is>
      </c>
      <c r="G39" s="3" t="inlineStr">
        <is>
          <t>2019::jama.2019.14630::C007</t>
        </is>
      </c>
      <c r="H39" s="3" t="inlineStr"/>
      <c r="I39" s="3" t="inlineStr">
        <is>
          <t>main article Table 1 — PDF p. 4; Supplement 3 eTable 9 — PDF p. 23.</t>
        </is>
      </c>
      <c r="J39" s="3" t="b">
        <v>1</v>
      </c>
      <c r="K39" s="3" t="inlineStr">
        <is>
          <t>jama.2019.14630</t>
        </is>
      </c>
      <c r="L39" s="3" t="inlineStr"/>
      <c r="M39" s="3" t="inlineStr">
        <is>
          <t>S_C</t>
        </is>
      </c>
      <c r="N39" s="3" t="inlineStr">
        <is>
          <t>Main Table1 baseline BMI32.5 differs from results-supplement eTable9 BMI32.6 in both arms, with matching SDs and displayed Ns.</t>
        </is>
      </c>
      <c r="O39" s="3" t="inlineStr">
        <is>
          <t>../../2019/jama.2019.14630/.ai_paper_validation/final_report_1_5_1.html</t>
        </is>
      </c>
      <c r="P39" s="3" t="inlineStr">
        <is>
          <t>2019/jama.2019.14630/.ai_paper_validation/final_report_1_5_1.md</t>
        </is>
      </c>
      <c r="Q39" s="3" t="inlineStr">
        <is>
          <t>C007</t>
        </is>
      </c>
      <c r="R39" s="3" t="inlineStr">
        <is>
          <t>Pending Human Adjudication</t>
        </is>
      </c>
      <c r="S39" s="3" t="inlineStr">
        <is>
          <t>Table 1 prints baseline BMI mean 32.5 in both arms, while the all-randomized eTable 9 panel prints 32.6 in both arms with the same displayed arm Ns and matching SDs.</t>
        </is>
      </c>
      <c r="T39" s="3" t="b">
        <v>1</v>
      </c>
      <c r="U39" s="3" t="inlineStr">
        <is>
          <t>repeated_baseline_summary</t>
        </is>
      </c>
      <c r="V39" s="3" t="inlineStr">
        <is>
          <t>report_internal_inconsistency</t>
        </is>
      </c>
      <c r="W39" s="3" t="inlineStr">
        <is>
          <t>baseline BMI means differ between Table 1 and eTable 9</t>
        </is>
      </c>
      <c r="X39" s="3" t="inlineStr">
        <is>
          <t>2019</t>
        </is>
      </c>
      <c r="Y39" s="3" t="inlineStr">
        <is>
          <t>meta_report/consistency_reclassification_2026-09-04/reclassified_candidates.json</t>
        </is>
      </c>
      <c r="Z39" s="3" t="inlineStr">
        <is>
          <t>S_C</t>
        </is>
      </c>
      <c r="AA39" s="3" t="inlineStr">
        <is>
          <t>report_internal_inconsistency</t>
        </is>
      </c>
      <c r="AB39" s="3" t="inlineStr">
        <is>
          <t>retain</t>
        </is>
      </c>
    </row>
    <row r="40" ht="95" customHeight="1">
      <c r="A40" s="2" t="b">
        <v>0</v>
      </c>
      <c r="B40" s="2" t="inlineStr">
        <is>
          <t>Compact figure typography or no exact-boundary observations could leave the implemented classification unchanged.</t>
        </is>
      </c>
      <c r="C40" s="2" t="b">
        <v>0</v>
      </c>
      <c r="D40" s="2" t="inlineStr">
        <is>
          <t>Measure, label, or scale inconsistency</t>
        </is>
      </c>
      <c r="E40" s="2" t="b">
        <v>0</v>
      </c>
      <c r="F40" s="2" t="inlineStr">
        <is>
          <t>C008</t>
        </is>
      </c>
      <c r="G40" s="2" t="inlineStr">
        <is>
          <t>2019::jama.2019.14630::C008</t>
        </is>
      </c>
      <c r="H40" s="2" t="inlineStr"/>
      <c r="I40" s="2" t="inlineStr">
        <is>
          <t>main article Outcomes — PDF p. 4; main article Figure 4 — PDF p. 10.</t>
        </is>
      </c>
      <c r="J40" s="2" t="b">
        <v>0</v>
      </c>
      <c r="K40" s="2" t="inlineStr">
        <is>
          <t>jama.2019.14630</t>
        </is>
      </c>
      <c r="L40" s="2" t="inlineStr"/>
      <c r="M40" s="2" t="inlineStr">
        <is>
          <t>S_W</t>
        </is>
      </c>
      <c r="N40" s="2" t="inlineStr">
        <is>
          <t>Main Methods inclusive clinically meaningful thresholds differ from main Figure4 strict &gt; labels and an omitted diastolic operator. All compared descriptions are in the article.</t>
        </is>
      </c>
      <c r="O40" s="2" t="inlineStr">
        <is>
          <t>../../2019/jama.2019.14630/.ai_paper_validation/final_report_1_5_1.html</t>
        </is>
      </c>
      <c r="P40" s="2" t="inlineStr">
        <is>
          <t>2019/jama.2019.14630/.ai_paper_validation/final_report_1_5_1.md</t>
        </is>
      </c>
      <c r="Q40" s="2" t="inlineStr">
        <is>
          <t>C008</t>
        </is>
      </c>
      <c r="R40" s="2" t="inlineStr">
        <is>
          <t>Pending Human Adjudication</t>
        </is>
      </c>
      <c r="S40" s="2" t="inlineStr">
        <is>
          <t>Methods defines clinically meaningful changes with inclusive at least boundaries, while Figure 4 prints strict greater-than signs for ten classifications and omits the diastolic operator.</t>
        </is>
      </c>
      <c r="T40" s="2" t="b">
        <v>1</v>
      </c>
      <c r="U40" s="2" t="inlineStr">
        <is>
          <t>threshold_operator</t>
        </is>
      </c>
      <c r="V40" s="2" t="inlineStr">
        <is>
          <t>report_internal_inconsistency</t>
        </is>
      </c>
      <c r="W40" s="2" t="inlineStr">
        <is>
          <t>Figure 4 threshold labels do not preserve the Methods boundary operators</t>
        </is>
      </c>
      <c r="X40" s="2" t="inlineStr">
        <is>
          <t>2019</t>
        </is>
      </c>
      <c r="Y40" s="2" t="inlineStr">
        <is>
          <t>meta_report/consistency_reclassification_2026-09-04/reclassified_candidates.json</t>
        </is>
      </c>
      <c r="Z40" s="2" t="inlineStr">
        <is>
          <t>S_W</t>
        </is>
      </c>
      <c r="AA40" s="2" t="inlineStr">
        <is>
          <t>report_internal_inconsistency</t>
        </is>
      </c>
      <c r="AB40" s="2" t="inlineStr">
        <is>
          <t>retain</t>
        </is>
      </c>
    </row>
    <row r="41" ht="95" customHeight="1">
      <c r="A41" s="3" t="b">
        <v>0</v>
      </c>
      <c r="B41" s="3" t="inlineStr"/>
      <c r="C41" s="3" t="b">
        <v>0</v>
      </c>
      <c r="D41" s="3" t="inlineStr">
        <is>
          <t>Measure, label, or scale inconsistency</t>
        </is>
      </c>
      <c r="E41" s="3" t="b">
        <v>0</v>
      </c>
      <c r="F41" s="3" t="inlineStr">
        <is>
          <t>C009</t>
        </is>
      </c>
      <c r="G41" s="3" t="inlineStr">
        <is>
          <t>2019::jama.2019.14630::C009</t>
        </is>
      </c>
      <c r="H41" s="3" t="inlineStr"/>
      <c r="I41" s="3" t="inlineStr">
        <is>
          <t>Supplement 3 eTable 4 row — PDF p. 10; Supplement 3 eTable 4 footnote — PDF p. 11; Supplement 3 eTable 2 comparator — PDF p. 3; Supplement 3 eTable 7 comparator — PDF p. 17.</t>
        </is>
      </c>
      <c r="J41" s="3" t="b">
        <v>0</v>
      </c>
      <c r="K41" s="3" t="inlineStr">
        <is>
          <t>jama.2019.14630</t>
        </is>
      </c>
      <c r="L41" s="3" t="inlineStr"/>
      <c r="M41" s="3" t="inlineStr">
        <is>
          <t>S_W</t>
        </is>
      </c>
      <c r="N41" s="3" t="inlineStr">
        <is>
          <t>Results-supplement eTable4 labels350(175,350) mean(SD), whereas its own footnote and parallel tables in that same supplement define median(IQR).</t>
        </is>
      </c>
      <c r="O41" s="3" t="inlineStr">
        <is>
          <t>../../2019/jama.2019.14630/.ai_paper_validation/final_report_1_5_1.html</t>
        </is>
      </c>
      <c r="P41" s="3" t="inlineStr">
        <is>
          <t>2019/jama.2019.14630/.ai_paper_validation/final_report_1_5_1.md</t>
        </is>
      </c>
      <c r="Q41" s="3" t="inlineStr">
        <is>
          <t>C009</t>
        </is>
      </c>
      <c r="R41" s="3" t="inlineStr">
        <is>
          <t>Pending Human Adjudication</t>
        </is>
      </c>
      <c r="S41" s="3" t="inlineStr">
        <is>
          <t>ETable 4 labels total-olive-oil baseline as mean (SD) but prints 350 (175, 350) while its footnote and parallel food tables define that form as median (IQR).</t>
        </is>
      </c>
      <c r="T41" s="3" t="b">
        <v>1</v>
      </c>
      <c r="U41" s="3" t="inlineStr">
        <is>
          <t>summary_statistic_label</t>
        </is>
      </c>
      <c r="V41" s="3" t="inlineStr">
        <is>
          <t>report_internal_inconsistency</t>
        </is>
      </c>
      <c r="W41" s="3" t="inlineStr">
        <is>
          <t>eTable 4 total-olive-oil baseline row conflicts with the table’s median/IQR convention</t>
        </is>
      </c>
      <c r="X41" s="3" t="inlineStr">
        <is>
          <t>2019</t>
        </is>
      </c>
      <c r="Y41" s="3" t="inlineStr">
        <is>
          <t>meta_report/consistency_reclassification_2026-09-04/reclassified_candidates.json</t>
        </is>
      </c>
      <c r="Z41" s="3" t="inlineStr">
        <is>
          <t>S_W</t>
        </is>
      </c>
      <c r="AA41" s="3" t="inlineStr">
        <is>
          <t>report_internal_inconsistency</t>
        </is>
      </c>
      <c r="AB41" s="3" t="inlineStr">
        <is>
          <t>retain</t>
        </is>
      </c>
    </row>
    <row r="42" ht="95" customHeight="1">
      <c r="A42" s="2" t="b">
        <v>0</v>
      </c>
      <c r="B42" s="2" t="inlineStr"/>
      <c r="C42" s="2" t="b">
        <v>0</v>
      </c>
      <c r="D42" s="2" t="inlineStr">
        <is>
          <t>Numeric or arithmetic inconsistency</t>
        </is>
      </c>
      <c r="E42" s="2" t="b">
        <v>0</v>
      </c>
      <c r="F42" s="2" t="inlineStr">
        <is>
          <t>C001</t>
        </is>
      </c>
      <c r="G42" s="2" t="inlineStr">
        <is>
          <t>2019::jama.2019.14901::C001</t>
        </is>
      </c>
      <c r="H42" s="2" t="inlineStr"/>
      <c r="I42" s="2" t="inlineStr"/>
      <c r="J42" s="2" t="b">
        <v>0</v>
      </c>
      <c r="K42" s="2" t="inlineStr">
        <is>
          <t>jama.2019.14901</t>
        </is>
      </c>
      <c r="L42" s="2" t="inlineStr"/>
      <c r="M42" s="2" t="inlineStr">
        <is>
          <t>S_W</t>
        </is>
      </c>
      <c r="N42" s="2" t="inlineStr">
        <is>
          <t>The main abstract/Results show day7 respiratory-failure difference-8.7 while main Table2 and its counts give-8.5 for the same interval/P/result.</t>
        </is>
      </c>
      <c r="O42" s="2" t="inlineStr">
        <is>
          <t>../../2019/jama.2019.14901/.ai_paper_validation/final_report_1_5_1.html</t>
        </is>
      </c>
      <c r="P42" s="2" t="inlineStr">
        <is>
          <t>2019/jama.2019.14901/.ai_paper_validation/final_report_1_5_1.md</t>
        </is>
      </c>
      <c r="Q42" s="2" t="inlineStr">
        <is>
          <t>C001</t>
        </is>
      </c>
      <c r="R42" s="2" t="inlineStr">
        <is>
          <t>Pending Human Adjudication</t>
        </is>
      </c>
      <c r="S42" s="2" t="inlineStr"/>
      <c r="T42" s="2" t="b">
        <v>1</v>
      </c>
      <c r="U42" s="2" t="inlineStr">
        <is>
          <t>repeated_effect</t>
        </is>
      </c>
      <c r="V42" s="2" t="inlineStr">
        <is>
          <t>statistical_results</t>
        </is>
      </c>
      <c r="W42" s="2" t="inlineStr">
        <is>
          <t>Day-7 respiratory-failure absolute difference differs across matched article locations</t>
        </is>
      </c>
      <c r="X42" s="2" t="inlineStr">
        <is>
          <t>2019</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The article separately distinguishes ordinary respiratory failure pH7.35 from severe/reintubation pH7.25; later approved refinement/amendment could explain the protocol difference.</t>
        </is>
      </c>
      <c r="C43" s="3" t="b">
        <v>1</v>
      </c>
      <c r="D43" s="3" t="inlineStr">
        <is>
          <t>Measure, label, or scale inconsistency</t>
        </is>
      </c>
      <c r="E43" s="3" t="b">
        <v>1</v>
      </c>
      <c r="F43" s="3" t="inlineStr">
        <is>
          <t>C002</t>
        </is>
      </c>
      <c r="G43" s="3" t="inlineStr">
        <is>
          <t>2019::jama.2019.14901::C002</t>
        </is>
      </c>
      <c r="H43" s="3" t="inlineStr"/>
      <c r="I43" s="3" t="inlineStr"/>
      <c r="J43" s="3" t="b">
        <v>0</v>
      </c>
      <c r="K43" s="3" t="inlineStr">
        <is>
          <t>jama.2019.14901</t>
        </is>
      </c>
      <c r="L43" s="3" t="inlineStr">
        <is>
          <t>endpoint_definition_window_hierarchy</t>
        </is>
      </c>
      <c r="M43" s="3" t="inlineStr">
        <is>
          <t>P_R</t>
        </is>
      </c>
      <c r="N43" s="3" t="inlineStr">
        <is>
          <t>Article reintubation respiratory-acidosis pH&lt;7.25 differs from protocol v4 pH&lt;7.35 with the same PaCO2&gt;45 condition and same severe-failure decision role.</t>
        </is>
      </c>
      <c r="O43" s="3" t="inlineStr">
        <is>
          <t>../../2019/jama.2019.14901/.ai_paper_validation/final_report_1_5_1.html</t>
        </is>
      </c>
      <c r="P43" s="3" t="inlineStr">
        <is>
          <t>2019/jama.2019.14901/.ai_paper_validation/final_report_1_5_1.md</t>
        </is>
      </c>
      <c r="Q43" s="3" t="inlineStr">
        <is>
          <t>C002</t>
        </is>
      </c>
      <c r="R43" s="3" t="inlineStr">
        <is>
          <t>Pending Human Adjudication</t>
        </is>
      </c>
      <c r="S43" s="3" t="inlineStr"/>
      <c r="T43" s="3" t="b">
        <v>0</v>
      </c>
      <c r="U43" s="3" t="inlineStr">
        <is>
          <t>endpoint_threshold</t>
        </is>
      </c>
      <c r="V43" s="3" t="inlineStr">
        <is>
          <t>protocol_report</t>
        </is>
      </c>
      <c r="W43" s="3" t="inlineStr">
        <is>
          <t>Reintubation respiratory-acidosis cutoff differs between article and protocol</t>
        </is>
      </c>
      <c r="X43" s="3" t="inlineStr">
        <is>
          <t>2019</t>
        </is>
      </c>
      <c r="Y43" s="3" t="inlineStr">
        <is>
          <t>meta_report/consistency_reclassification_2026-09-04/reclassified_candidates.json</t>
        </is>
      </c>
      <c r="Z43" s="3" t="inlineStr">
        <is>
          <t>P_R</t>
        </is>
      </c>
      <c r="AA43" s="3" t="inlineStr">
        <is>
          <t>protocol_report</t>
        </is>
      </c>
      <c r="AB43" s="3" t="inlineStr">
        <is>
          <t>retain</t>
        </is>
      </c>
    </row>
    <row r="44" ht="95" customHeight="1">
      <c r="A44" s="2" t="b">
        <v>0</v>
      </c>
      <c r="B44" s="2" t="inlineStr">
        <is>
          <t>Percentages match complementary effective-cough counts; intended coding is unknown.</t>
        </is>
      </c>
      <c r="C44" s="2" t="b">
        <v>0</v>
      </c>
      <c r="D44" s="2" t="inlineStr">
        <is>
          <t>Denominator, proportion, or total inconsistency</t>
        </is>
      </c>
      <c r="E44" s="2" t="b">
        <v>0</v>
      </c>
      <c r="F44" s="2" t="inlineStr">
        <is>
          <t>C003</t>
        </is>
      </c>
      <c r="G44" s="2" t="inlineStr">
        <is>
          <t>2019::jama.2019.14901::C003</t>
        </is>
      </c>
      <c r="H44" s="2" t="inlineStr"/>
      <c r="I44" s="2" t="inlineStr"/>
      <c r="J44" s="2" t="b">
        <v>0</v>
      </c>
      <c r="K44" s="2" t="inlineStr">
        <is>
          <t>jama.2019.14901</t>
        </is>
      </c>
      <c r="L44" s="2" t="inlineStr"/>
      <c r="M44" s="2" t="inlineStr">
        <is>
          <t>S_W</t>
        </is>
      </c>
      <c r="N44" s="2" t="inlineStr">
        <is>
          <t>Results-supplement ineffective-cough cells14/45(69%) and16/59(73%) disagree internally; main aggregate fractions reconcile with the supplement strata and only corroborate numerators.</t>
        </is>
      </c>
      <c r="O44" s="2" t="inlineStr">
        <is>
          <t>../../2019/jama.2019.14901/.ai_paper_validation/final_report_1_5_1.html</t>
        </is>
      </c>
      <c r="P44" s="2" t="inlineStr">
        <is>
          <t>2019/jama.2019.14901/.ai_paper_validation/final_report_1_5_1.md</t>
        </is>
      </c>
      <c r="Q44" s="2" t="inlineStr">
        <is>
          <t>C003</t>
        </is>
      </c>
      <c r="R44" s="2" t="inlineStr">
        <is>
          <t>Pending Human Adjudication</t>
        </is>
      </c>
      <c r="S44" s="2" t="inlineStr"/>
      <c r="T44" s="2" t="b">
        <v>1</v>
      </c>
      <c r="U44" s="2" t="inlineStr">
        <is>
          <t>complement_percentage</t>
        </is>
      </c>
      <c r="V44" s="2" t="inlineStr">
        <is>
          <t>statistical_results</t>
        </is>
      </c>
      <c r="W44" s="2" t="inlineStr">
        <is>
          <t>Hypercapnic ineffective-cough percentages conflict with printed fractions</t>
        </is>
      </c>
      <c r="X44" s="2" t="inlineStr">
        <is>
          <t>2019</t>
        </is>
      </c>
      <c r="Y44" s="2" t="inlineStr">
        <is>
          <t>meta_report/consistency_reclassification_2026-09-04/reclassified_candidates.json</t>
        </is>
      </c>
      <c r="Z44" s="2" t="inlineStr">
        <is>
          <t>S_W</t>
        </is>
      </c>
      <c r="AA44" s="2" t="inlineStr">
        <is>
          <t>statistical_results</t>
        </is>
      </c>
      <c r="AB44" s="2" t="inlineStr">
        <is>
          <t>retain</t>
        </is>
      </c>
    </row>
    <row r="45" ht="95" customHeight="1">
      <c r="A45" s="3" t="b">
        <v>0</v>
      </c>
      <c r="B45" s="3" t="inlineStr">
        <is>
          <t>Percentages match absence-of-secretions complements; same mechanism as C003 but different outcome cells.</t>
        </is>
      </c>
      <c r="C45" s="3" t="b">
        <v>0</v>
      </c>
      <c r="D45" s="3" t="inlineStr">
        <is>
          <t>Denominator, proportion, or total inconsistency</t>
        </is>
      </c>
      <c r="E45" s="3" t="b">
        <v>0</v>
      </c>
      <c r="F45" s="3" t="inlineStr">
        <is>
          <t>C004</t>
        </is>
      </c>
      <c r="G45" s="3" t="inlineStr">
        <is>
          <t>2019::jama.2019.14901::C004</t>
        </is>
      </c>
      <c r="H45" s="3" t="inlineStr"/>
      <c r="I45" s="3" t="inlineStr"/>
      <c r="J45" s="3" t="b">
        <v>0</v>
      </c>
      <c r="K45" s="3" t="inlineStr">
        <is>
          <t>jama.2019.14901</t>
        </is>
      </c>
      <c r="L45" s="3" t="inlineStr"/>
      <c r="M45" s="3" t="inlineStr">
        <is>
          <t>S_W</t>
        </is>
      </c>
      <c r="N45" s="3" t="inlineStr">
        <is>
          <t>Results-supplement abundant-secretion cells20/46(57%) and23/61(62%) disagree internally; main aggregate fractions reconcile and merely corroborate the numerators.</t>
        </is>
      </c>
      <c r="O45" s="3" t="inlineStr">
        <is>
          <t>../../2019/jama.2019.14901/.ai_paper_validation/final_report_1_5_1.html</t>
        </is>
      </c>
      <c r="P45" s="3" t="inlineStr">
        <is>
          <t>2019/jama.2019.14901/.ai_paper_validation/final_report_1_5_1.md</t>
        </is>
      </c>
      <c r="Q45" s="3" t="inlineStr">
        <is>
          <t>C004</t>
        </is>
      </c>
      <c r="R45" s="3" t="inlineStr">
        <is>
          <t>Pending Human Adjudication</t>
        </is>
      </c>
      <c r="S45" s="3" t="inlineStr"/>
      <c r="T45" s="3" t="b">
        <v>1</v>
      </c>
      <c r="U45" s="3" t="inlineStr">
        <is>
          <t>complement_percentage</t>
        </is>
      </c>
      <c r="V45" s="3" t="inlineStr">
        <is>
          <t>statistical_results</t>
        </is>
      </c>
      <c r="W45" s="3" t="inlineStr">
        <is>
          <t>Hypercapnic abundant-secretion percentages conflict with printed fractions</t>
        </is>
      </c>
      <c r="X45" s="3" t="inlineStr">
        <is>
          <t>2019</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is>
          <t>Different test variants or truncation rules could explain the difference; both values exceed.05.</t>
        </is>
      </c>
      <c r="C46" s="2" t="b">
        <v>0</v>
      </c>
      <c r="D46" s="2" t="inlineStr">
        <is>
          <t>Cross-document numeric inconsistency</t>
        </is>
      </c>
      <c r="E46" s="2" t="b">
        <v>1</v>
      </c>
      <c r="F46" s="2" t="inlineStr">
        <is>
          <t>C005</t>
        </is>
      </c>
      <c r="G46" s="2" t="inlineStr">
        <is>
          <t>2019::jama.2019.14901::C005</t>
        </is>
      </c>
      <c r="H46" s="2" t="inlineStr"/>
      <c r="I46" s="2" t="inlineStr"/>
      <c r="J46" s="2" t="b">
        <v>1</v>
      </c>
      <c r="K46" s="2" t="inlineStr">
        <is>
          <t>jama.2019.14901</t>
        </is>
      </c>
      <c r="L46" s="2" t="inlineStr"/>
      <c r="M46" s="2" t="inlineStr">
        <is>
          <t>S_C</t>
        </is>
      </c>
      <c r="N46" s="2" t="inlineStr">
        <is>
          <t>Main subgroup Results give nonhypercapnic day7 reintubation P.10 while the matched results-supplement eTable4 gives.1057, which ordinarily rounds.11.</t>
        </is>
      </c>
      <c r="O46" s="2" t="inlineStr">
        <is>
          <t>../../2019/jama.2019.14901/.ai_paper_validation/final_report_1_5_1.html</t>
        </is>
      </c>
      <c r="P46" s="2" t="inlineStr">
        <is>
          <t>2019/jama.2019.14901/.ai_paper_validation/final_report_1_5_1.md</t>
        </is>
      </c>
      <c r="Q46" s="2" t="inlineStr">
        <is>
          <t>C005</t>
        </is>
      </c>
      <c r="R46" s="2" t="inlineStr">
        <is>
          <t>Pending Human Adjudication</t>
        </is>
      </c>
      <c r="S46" s="2" t="inlineStr"/>
      <c r="T46" s="2" t="b">
        <v>1</v>
      </c>
      <c r="U46" s="2" t="inlineStr">
        <is>
          <t>repeated_p_value</t>
        </is>
      </c>
      <c r="V46" s="2" t="inlineStr">
        <is>
          <t>report_internal_inconsistency</t>
        </is>
      </c>
      <c r="W46" s="2" t="inlineStr">
        <is>
          <t>Matched nonhypercapnic day-7 reintubation P values differ across article and supplement</t>
        </is>
      </c>
      <c r="X46" s="2" t="inlineStr">
        <is>
          <t>2019</t>
        </is>
      </c>
      <c r="Y46" s="2" t="inlineStr">
        <is>
          <t>meta_report/consistency_reclassification_2026-09-04/reclassified_candidates.json</t>
        </is>
      </c>
      <c r="Z46" s="2" t="inlineStr">
        <is>
          <t>S_C</t>
        </is>
      </c>
      <c r="AA46" s="2" t="inlineStr">
        <is>
          <t>report_internal_inconsistency</t>
        </is>
      </c>
      <c r="AB46" s="2" t="inlineStr">
        <is>
          <t>retain</t>
        </is>
      </c>
    </row>
    <row r="47" ht="95" customHeight="1">
      <c r="A47" s="3" t="b">
        <v>0</v>
      </c>
      <c r="B47" s="3" t="inlineStr">
        <is>
          <t>The extra3months may be implicit final-participant follow-up, so the issue may be incomplete wording.</t>
        </is>
      </c>
      <c r="C47" s="3" t="b">
        <v>1</v>
      </c>
      <c r="D47" s="3" t="inlineStr">
        <is>
          <t>Numeric or arithmetic inconsistency</t>
        </is>
      </c>
      <c r="E47" s="3" t="b">
        <v>0</v>
      </c>
      <c r="F47" s="3" t="inlineStr">
        <is>
          <t>C006</t>
        </is>
      </c>
      <c r="G47" s="3" t="inlineStr">
        <is>
          <t>2019::jama.2019.14901::C006</t>
        </is>
      </c>
      <c r="H47" s="3" t="inlineStr"/>
      <c r="I47" s="3" t="inlineStr"/>
      <c r="J47" s="3" t="b">
        <v>0</v>
      </c>
      <c r="K47" s="3" t="inlineStr">
        <is>
          <t>jama.2019.14901</t>
        </is>
      </c>
      <c r="L47" s="3" t="inlineStr"/>
      <c r="M47" s="3" t="inlineStr">
        <is>
          <t>P_P</t>
        </is>
      </c>
      <c r="N47" s="3" t="inlineStr">
        <is>
          <t>Protocol p32 says51 months but its two named components sum36+12=48, whereas protocol p11 includes39+12=51 with final3-month follow-up. Both inconsistent decompositions are within the protocol.</t>
        </is>
      </c>
      <c r="O47" s="3" t="inlineStr">
        <is>
          <t>../../2019/jama.2019.14901/.ai_paper_validation/final_report_1_5_1.html</t>
        </is>
      </c>
      <c r="P47" s="3" t="inlineStr">
        <is>
          <t>2019/jama.2019.14901/.ai_paper_validation/final_report_1_5_1.md</t>
        </is>
      </c>
      <c r="Q47" s="3" t="inlineStr">
        <is>
          <t>C006</t>
        </is>
      </c>
      <c r="R47" s="3" t="inlineStr">
        <is>
          <t>Pending Human Adjudication</t>
        </is>
      </c>
      <c r="S47" s="3" t="inlineStr"/>
      <c r="T47" s="3" t="b">
        <v>0</v>
      </c>
      <c r="U47" s="3" t="inlineStr">
        <is>
          <t>timeline_arithmetic</t>
        </is>
      </c>
      <c r="V47" s="3" t="inlineStr">
        <is>
          <t>plan_material</t>
        </is>
      </c>
      <c r="W47" s="3" t="inlineStr">
        <is>
          <t>Protocol total-duration breakdown does not arithmetically reach the printed total</t>
        </is>
      </c>
      <c r="X47" s="3" t="inlineStr">
        <is>
          <t>2019</t>
        </is>
      </c>
      <c r="Y47" s="3" t="inlineStr">
        <is>
          <t>meta_report/consistency_reclassification_2026-09-04/reclassified_candidates.json</t>
        </is>
      </c>
      <c r="Z47" s="3" t="inlineStr">
        <is>
          <t>P_P</t>
        </is>
      </c>
      <c r="AA47" s="3" t="inlineStr">
        <is>
          <t>plan_material</t>
        </is>
      </c>
      <c r="AB47" s="3" t="inlineStr">
        <is>
          <t>retain</t>
        </is>
      </c>
    </row>
    <row r="48" ht="95" customHeight="1">
      <c r="A48" s="2" t="b">
        <v>0</v>
      </c>
      <c r="B48" s="2" t="inlineStr"/>
      <c r="C48" s="2" t="b">
        <v>0</v>
      </c>
      <c r="D48" s="2" t="inlineStr">
        <is>
          <t>Cross-document numeric inconsistency</t>
        </is>
      </c>
      <c r="E48" s="2" t="b">
        <v>0</v>
      </c>
      <c r="F48" s="2" t="inlineStr">
        <is>
          <t>C001</t>
        </is>
      </c>
      <c r="G48" s="2" t="inlineStr">
        <is>
          <t>2019::jama.2019.17380::C001</t>
        </is>
      </c>
      <c r="H48" s="2" t="inlineStr"/>
      <c r="I48" s="2" t="inlineStr">
        <is>
          <t>Figure 2 panel B — PDF p. 7; Table 2 — PDF p. 8.</t>
        </is>
      </c>
      <c r="J48" s="2" t="b">
        <v>1</v>
      </c>
      <c r="K48" s="2" t="inlineStr">
        <is>
          <t>jama.2019.17380</t>
        </is>
      </c>
      <c r="L48" s="2" t="inlineStr"/>
      <c r="M48" s="2" t="inlineStr">
        <is>
          <t>S_W</t>
        </is>
      </c>
      <c r="N48" s="2" t="inlineStr">
        <is>
          <t>Main Figure2B omega3 eGFR contributor counts differ from main Table2 at all three times while totals match. Abstract/table/figure are sections of one article, despite original cross-document category.</t>
        </is>
      </c>
      <c r="O48" s="2" t="inlineStr">
        <is>
          <t>../../2019/jama.2019.17380/.ai_paper_validation/final_report_1_5_2.html</t>
        </is>
      </c>
      <c r="P48" s="2" t="inlineStr">
        <is>
          <t>2019/jama.2019.17380/.ai_paper_validation/final_report_1_5_2.md</t>
        </is>
      </c>
      <c r="Q48" s="2" t="inlineStr">
        <is>
          <t>C001</t>
        </is>
      </c>
      <c r="R48" s="2" t="inlineStr">
        <is>
          <t>Pending Human Adjudication</t>
        </is>
      </c>
      <c r="S48" s="2" t="inlineStr">
        <is>
          <t>Figure 2 panel B and Table 2 print different omega-3 arm-specific eGFR contributor counts at each matched time point.</t>
        </is>
      </c>
      <c r="T48" s="2" t="b">
        <v>1</v>
      </c>
      <c r="U48" s="2" t="inlineStr">
        <is>
          <t>participant_count_mapping</t>
        </is>
      </c>
      <c r="V48" s="2" t="inlineStr">
        <is>
          <t>report_internal_inconsistency</t>
        </is>
      </c>
      <c r="W48" s="2" t="inlineStr">
        <is>
          <t>Figure 2 omega-3 eGFR contributor counts conflict with Table 2</t>
        </is>
      </c>
      <c r="X48" s="2" t="inlineStr">
        <is>
          <t>2019</t>
        </is>
      </c>
      <c r="Y48" s="2" t="inlineStr">
        <is>
          <t>meta_report/consistency_reclassification_2026-09-04/reclassified_candidates.json</t>
        </is>
      </c>
      <c r="Z48" s="2" t="inlineStr">
        <is>
          <t>S_W</t>
        </is>
      </c>
      <c r="AA48" s="2" t="inlineStr">
        <is>
          <t>report_internal_inconsistency</t>
        </is>
      </c>
      <c r="AB48" s="2" t="inlineStr">
        <is>
          <t>retain</t>
        </is>
      </c>
    </row>
    <row r="49" ht="95" customHeight="1">
      <c r="A49" s="3" t="b">
        <v>0</v>
      </c>
      <c r="B49" s="3" t="inlineStr"/>
      <c r="C49" s="3" t="b">
        <v>0</v>
      </c>
      <c r="D49" s="3" t="inlineStr">
        <is>
          <t>Cross-document numeric inconsistency</t>
        </is>
      </c>
      <c r="E49" s="3" t="b">
        <v>1</v>
      </c>
      <c r="F49" s="3" t="inlineStr">
        <is>
          <t>C002</t>
        </is>
      </c>
      <c r="G49" s="3" t="inlineStr">
        <is>
          <t>2019::jama.2019.17380::C002</t>
        </is>
      </c>
      <c r="H49" s="3" t="inlineStr"/>
      <c r="I49" s="3" t="inlineStr">
        <is>
          <t>Figure 2 panel D — PDF p. 7; eTable 6 — PDF p. 11.</t>
        </is>
      </c>
      <c r="J49" s="3" t="b">
        <v>1</v>
      </c>
      <c r="K49" s="3" t="inlineStr">
        <is>
          <t>jama.2019.17380</t>
        </is>
      </c>
      <c r="L49" s="3" t="inlineStr"/>
      <c r="M49" s="3" t="inlineStr">
        <is>
          <t>S_C</t>
        </is>
      </c>
      <c r="N49" s="3" t="inlineStr">
        <is>
          <t>Main Figure2D omega3 urine-ACR contributor counts differ from the results-supplement eTable6 arm counts at matched times; this is an actual article-versus-results-supplement comparison.</t>
        </is>
      </c>
      <c r="O49" s="3" t="inlineStr">
        <is>
          <t>../../2019/jama.2019.17380/.ai_paper_validation/final_report_1_5_2.html</t>
        </is>
      </c>
      <c r="P49" s="3" t="inlineStr">
        <is>
          <t>2019/jama.2019.17380/.ai_paper_validation/final_report_1_5_2.md</t>
        </is>
      </c>
      <c r="Q49" s="3" t="inlineStr">
        <is>
          <t>C002</t>
        </is>
      </c>
      <c r="R49" s="3" t="inlineStr">
        <is>
          <t>Pending Human Adjudication</t>
        </is>
      </c>
      <c r="S49" s="3" t="inlineStr">
        <is>
          <t>Figure 2 panel D and eTable 6 print different omega-3 arm-specific urine-ACR contributor counts at all matched time points.</t>
        </is>
      </c>
      <c r="T49" s="3" t="b">
        <v>1</v>
      </c>
      <c r="U49" s="3" t="inlineStr">
        <is>
          <t>participant_count_mapping</t>
        </is>
      </c>
      <c r="V49" s="3" t="inlineStr">
        <is>
          <t>report_internal_inconsistency</t>
        </is>
      </c>
      <c r="W49" s="3" t="inlineStr">
        <is>
          <t>Figure 2 omega-3 urine-ACR contributor counts conflict with eTable 6</t>
        </is>
      </c>
      <c r="X49" s="3" t="inlineStr">
        <is>
          <t>2019</t>
        </is>
      </c>
      <c r="Y49" s="3" t="inlineStr">
        <is>
          <t>meta_report/consistency_reclassification_2026-09-04/reclassified_candidates.json</t>
        </is>
      </c>
      <c r="Z49" s="3" t="inlineStr">
        <is>
          <t>S_C</t>
        </is>
      </c>
      <c r="AA49" s="3" t="inlineStr">
        <is>
          <t>report_internal_inconsistency</t>
        </is>
      </c>
      <c r="AB49" s="3" t="inlineStr">
        <is>
          <t>retain</t>
        </is>
      </c>
    </row>
    <row r="50" ht="95" customHeight="1">
      <c r="A50" s="2" t="b">
        <v>0</v>
      </c>
      <c r="B50" s="2" t="inlineStr"/>
      <c r="C50" s="2" t="b">
        <v>0</v>
      </c>
      <c r="D50" s="2" t="inlineStr">
        <is>
          <t>Measure, label, or scale inconsistency</t>
        </is>
      </c>
      <c r="E50" s="2" t="b">
        <v>0</v>
      </c>
      <c r="F50" s="2" t="inlineStr">
        <is>
          <t>C003</t>
        </is>
      </c>
      <c r="G50" s="2" t="inlineStr">
        <is>
          <t>2019::jama.2019.17380::C003</t>
        </is>
      </c>
      <c r="H50" s="2" t="inlineStr"/>
      <c r="I50" s="2" t="inlineStr">
        <is>
          <t>Abstract — PDF p. 1; Table 2 and Figure 3 — PDF p. 8.</t>
        </is>
      </c>
      <c r="J50" s="2" t="b">
        <v>0</v>
      </c>
      <c r="K50" s="2" t="inlineStr">
        <is>
          <t>jama.2019.17380</t>
        </is>
      </c>
      <c r="L50" s="2" t="inlineStr"/>
      <c r="M50" s="2" t="inlineStr">
        <is>
          <t>S_W</t>
        </is>
      </c>
      <c r="N50" s="2" t="inlineStr">
        <is>
          <t>Main Figure3 vitaminD N703/N609 sit under opposite headings relative to the factorial allocations and Table2 inside the same article; candidate is confined to counts.</t>
        </is>
      </c>
      <c r="O50" s="2" t="inlineStr">
        <is>
          <t>../../2019/jama.2019.17380/.ai_paper_validation/final_report_1_5_2.html</t>
        </is>
      </c>
      <c r="P50" s="2" t="inlineStr">
        <is>
          <t>2019/jama.2019.17380/.ai_paper_validation/final_report_1_5_2.md</t>
        </is>
      </c>
      <c r="Q50" s="2" t="inlineStr">
        <is>
          <t>C003</t>
        </is>
      </c>
      <c r="R50" s="2" t="inlineStr">
        <is>
          <t>Pending Human Adjudication</t>
        </is>
      </c>
      <c r="S50" s="2" t="inlineStr">
        <is>
          <t>Figure 3 places the randomized vitamin-D participant counts under the opposite treatment headings; this candidate is confined to participant-count columns.</t>
        </is>
      </c>
      <c r="T50" s="2" t="b">
        <v>1</v>
      </c>
      <c r="U50" s="2" t="inlineStr">
        <is>
          <t>arm_count_transposition</t>
        </is>
      </c>
      <c r="V50" s="2" t="inlineStr">
        <is>
          <t>report_internal_inconsistency</t>
        </is>
      </c>
      <c r="W50" s="2" t="inlineStr">
        <is>
          <t>Figure 3 assigns vitamin-D arm sizes to the opposite column labels</t>
        </is>
      </c>
      <c r="X50" s="2" t="inlineStr">
        <is>
          <t>2019</t>
        </is>
      </c>
      <c r="Y50" s="2" t="inlineStr">
        <is>
          <t>meta_report/consistency_reclassification_2026-09-04/reclassified_candidates.json</t>
        </is>
      </c>
      <c r="Z50" s="2" t="inlineStr">
        <is>
          <t>S_W</t>
        </is>
      </c>
      <c r="AA50" s="2" t="inlineStr">
        <is>
          <t>report_internal_inconsistency</t>
        </is>
      </c>
      <c r="AB50" s="2" t="inlineStr">
        <is>
          <t>retain</t>
        </is>
      </c>
    </row>
    <row r="51" ht="95" customHeight="1">
      <c r="A51" s="3" t="b">
        <v>0</v>
      </c>
      <c r="B51" s="3" t="inlineStr"/>
      <c r="C51" s="3" t="b">
        <v>0</v>
      </c>
      <c r="D51" s="3" t="inlineStr">
        <is>
          <t>Measure, label, or scale inconsistency</t>
        </is>
      </c>
      <c r="E51" s="3" t="b">
        <v>0</v>
      </c>
      <c r="F51" s="3" t="inlineStr">
        <is>
          <t>C004</t>
        </is>
      </c>
      <c r="G51" s="3" t="inlineStr">
        <is>
          <t>2019::jama.2019.17380::C004</t>
        </is>
      </c>
      <c r="H51" s="3" t="inlineStr"/>
      <c r="I51" s="3" t="inlineStr">
        <is>
          <t>Abstract — PDF p. 1; Table 2 — PDF p. 8; Figure 4 — PDF p. 9.</t>
        </is>
      </c>
      <c r="J51" s="3" t="b">
        <v>0</v>
      </c>
      <c r="K51" s="3" t="inlineStr">
        <is>
          <t>jama.2019.17380</t>
        </is>
      </c>
      <c r="L51" s="3" t="inlineStr"/>
      <c r="M51" s="3" t="inlineStr">
        <is>
          <t>S_W</t>
        </is>
      </c>
      <c r="N51" s="3" t="inlineStr">
        <is>
          <t>Main Figure4 omega3 N659/N653 sit under opposite headings relative to main abstract factorial allocation and Table2; no cross-file source is required.</t>
        </is>
      </c>
      <c r="O51" s="3" t="inlineStr">
        <is>
          <t>../../2019/jama.2019.17380/.ai_paper_validation/final_report_1_5_2.html</t>
        </is>
      </c>
      <c r="P51" s="3" t="inlineStr">
        <is>
          <t>2019/jama.2019.17380/.ai_paper_validation/final_report_1_5_2.md</t>
        </is>
      </c>
      <c r="Q51" s="3" t="inlineStr">
        <is>
          <t>C004</t>
        </is>
      </c>
      <c r="R51" s="3" t="inlineStr">
        <is>
          <t>Pending Human Adjudication</t>
        </is>
      </c>
      <c r="S51" s="3" t="inlineStr">
        <is>
          <t>Figure 4 places randomized omega-3 participant counts under opposite treatment headings; this candidate is confined to participant-count columns.</t>
        </is>
      </c>
      <c r="T51" s="3" t="b">
        <v>1</v>
      </c>
      <c r="U51" s="3" t="inlineStr">
        <is>
          <t>arm_count_transposition</t>
        </is>
      </c>
      <c r="V51" s="3" t="inlineStr">
        <is>
          <t>report_internal_inconsistency</t>
        </is>
      </c>
      <c r="W51" s="3" t="inlineStr">
        <is>
          <t>Figure 4 assigns omega-3 arm sizes to the opposite column labels</t>
        </is>
      </c>
      <c r="X51" s="3" t="inlineStr">
        <is>
          <t>2019</t>
        </is>
      </c>
      <c r="Y51" s="3" t="inlineStr">
        <is>
          <t>meta_report/consistency_reclassification_2026-09-04/reclassified_candidates.json</t>
        </is>
      </c>
      <c r="Z51" s="3" t="inlineStr">
        <is>
          <t>S_W</t>
        </is>
      </c>
      <c r="AA51" s="3" t="inlineStr">
        <is>
          <t>report_internal_inconsistency</t>
        </is>
      </c>
      <c r="AB51" s="3" t="inlineStr">
        <is>
          <t>retain</t>
        </is>
      </c>
    </row>
    <row r="52" ht="95" customHeight="1">
      <c r="A52" s="2" t="b">
        <v>0</v>
      </c>
      <c r="B52" s="2" t="inlineStr">
        <is>
          <t>Cross-file exact randomized totals plus within-supplement arm/count compatibility. Randomized703 versus measured702 is an availability difference, not an additional discrepancy; changes/forest estimates are not claimed reversed.</t>
        </is>
      </c>
      <c r="C52" s="2" t="b">
        <v>0</v>
      </c>
      <c r="D52" s="2" t="inlineStr">
        <is>
          <t>Measure, label, or scale inconsistency</t>
        </is>
      </c>
      <c r="E52" s="2" t="b">
        <v>1</v>
      </c>
      <c r="F52" s="2" t="inlineStr">
        <is>
          <t>C005</t>
        </is>
      </c>
      <c r="G52" s="2" t="inlineStr">
        <is>
          <t>2019::jama.2019.17380::C005</t>
        </is>
      </c>
      <c r="H52" s="2" t="inlineStr"/>
      <c r="I52" s="2" t="inlineStr">
        <is>
          <t>Abstract — PDF p. 1; eTable 6 — PDF p. 11; eFigure 2 — PDF p. 18.</t>
        </is>
      </c>
      <c r="J52" s="2" t="b">
        <v>0</v>
      </c>
      <c r="K52" s="2" t="inlineStr">
        <is>
          <t>jama.2019.17380</t>
        </is>
      </c>
      <c r="L52" s="2" t="inlineStr"/>
      <c r="M52" s="2" t="inlineStr">
        <is>
          <t>S_C</t>
        </is>
      </c>
      <c r="N52" s="2"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52" s="2" t="inlineStr">
        <is>
          <t>../../2019/jama.2019.17380/.ai_paper_validation/final_report_1_5_2.html</t>
        </is>
      </c>
      <c r="P52" s="2" t="inlineStr">
        <is>
          <t>2019/jama.2019.17380/.ai_paper_validation/final_report_1_5_2.md</t>
        </is>
      </c>
      <c r="Q52" s="2" t="inlineStr">
        <is>
          <t>C005</t>
        </is>
      </c>
      <c r="R52" s="2" t="inlineStr">
        <is>
          <t>Pending Human Adjudication</t>
        </is>
      </c>
      <c r="S52" s="2" t="inlineStr">
        <is>
          <t>eFigure 2 maps vitamin-D participant counts to opposite headings while its overall geometric-change values remain aligned with the printed headings; this candidate is count-only.</t>
        </is>
      </c>
      <c r="T52" s="2" t="b">
        <v>1</v>
      </c>
      <c r="U52" s="2" t="inlineStr">
        <is>
          <t>arm_count_transposition</t>
        </is>
      </c>
      <c r="V52" s="2" t="inlineStr">
        <is>
          <t>report_internal_inconsistency</t>
        </is>
      </c>
      <c r="W52" s="2" t="inlineStr">
        <is>
          <t>eFigure 2 places vitamin-D participant counts under the opposite headings</t>
        </is>
      </c>
      <c r="X52" s="2" t="inlineStr">
        <is>
          <t>2019</t>
        </is>
      </c>
      <c r="Y52" s="2" t="inlineStr">
        <is>
          <t>meta_report/consistency_reclassification_2026-09-04/reclassified_candidates.json</t>
        </is>
      </c>
      <c r="Z52" s="2" t="inlineStr">
        <is>
          <t>S_C</t>
        </is>
      </c>
      <c r="AA52" s="2" t="inlineStr">
        <is>
          <t>report_internal_inconsistency</t>
        </is>
      </c>
      <c r="AB52" s="2" t="inlineStr">
        <is>
          <t>retain</t>
        </is>
      </c>
    </row>
    <row r="53" ht="95" customHeight="1">
      <c r="A53" s="3" t="b">
        <v>0</v>
      </c>
      <c r="B53" s="3" t="inlineStr">
        <is>
          <t>Cross-file randomized totals plus within-supplement arm/count compatibility. Randomized659 versus measured658 is expected availability context, not a separate discrepancy; effect estimates are not claimed reversed.</t>
        </is>
      </c>
      <c r="C53" s="3" t="b">
        <v>0</v>
      </c>
      <c r="D53" s="3" t="inlineStr">
        <is>
          <t>Measure, label, or scale inconsistency</t>
        </is>
      </c>
      <c r="E53" s="3" t="b">
        <v>1</v>
      </c>
      <c r="F53" s="3" t="inlineStr">
        <is>
          <t>C006</t>
        </is>
      </c>
      <c r="G53" s="3" t="inlineStr">
        <is>
          <t>2019::jama.2019.17380::C006</t>
        </is>
      </c>
      <c r="H53" s="3" t="inlineStr"/>
      <c r="I53" s="3" t="inlineStr">
        <is>
          <t>Abstract — PDF p. 1; eTable 6 — PDF p. 11; eFigure 3 — PDF p. 19.</t>
        </is>
      </c>
      <c r="J53" s="3" t="b">
        <v>0</v>
      </c>
      <c r="K53" s="3" t="inlineStr">
        <is>
          <t>jama.2019.17380</t>
        </is>
      </c>
      <c r="L53" s="3" t="inlineStr"/>
      <c r="M53" s="3" t="inlineStr">
        <is>
          <t>S_C</t>
        </is>
      </c>
      <c r="N53" s="3"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53" s="3" t="inlineStr">
        <is>
          <t>../../2019/jama.2019.17380/.ai_paper_validation/final_report_1_5_2.html</t>
        </is>
      </c>
      <c r="P53" s="3" t="inlineStr">
        <is>
          <t>2019/jama.2019.17380/.ai_paper_validation/final_report_1_5_2.md</t>
        </is>
      </c>
      <c r="Q53" s="3" t="inlineStr">
        <is>
          <t>C006</t>
        </is>
      </c>
      <c r="R53" s="3" t="inlineStr">
        <is>
          <t>Pending Human Adjudication</t>
        </is>
      </c>
      <c r="S53" s="3" t="inlineStr">
        <is>
          <t>eFigure 3 maps omega-3 participant counts to opposite headings while overall geometric-change values remain aligned with their printed headings; this candidate is count-only.</t>
        </is>
      </c>
      <c r="T53" s="3" t="b">
        <v>1</v>
      </c>
      <c r="U53" s="3" t="inlineStr">
        <is>
          <t>arm_count_transposition</t>
        </is>
      </c>
      <c r="V53" s="3" t="inlineStr">
        <is>
          <t>report_internal_inconsistency</t>
        </is>
      </c>
      <c r="W53" s="3" t="inlineStr">
        <is>
          <t>eFigure 3 places omega-3 participant counts under the opposite headings</t>
        </is>
      </c>
      <c r="X53" s="3" t="inlineStr">
        <is>
          <t>2019</t>
        </is>
      </c>
      <c r="Y53" s="3" t="inlineStr">
        <is>
          <t>meta_report/consistency_reclassification_2026-09-04/reclassified_candidates.json</t>
        </is>
      </c>
      <c r="Z53" s="3" t="inlineStr">
        <is>
          <t>S_C</t>
        </is>
      </c>
      <c r="AA53" s="3" t="inlineStr">
        <is>
          <t>report_internal_inconsistency</t>
        </is>
      </c>
      <c r="AB53" s="3" t="inlineStr">
        <is>
          <t>retain</t>
        </is>
      </c>
    </row>
    <row r="54" ht="95" customHeight="1">
      <c r="A54" s="2" t="b">
        <v>0</v>
      </c>
      <c r="B54" s="2" t="inlineStr">
        <is>
          <t>An intentional increase and broader analytic scope are possible; governing amendment and rationale are absent.</t>
        </is>
      </c>
      <c r="C54" s="2" t="b">
        <v>1</v>
      </c>
      <c r="D54" s="2" t="inlineStr">
        <is>
          <t>Cross-document numeric inconsistency</t>
        </is>
      </c>
      <c r="E54" s="2" t="b">
        <v>1</v>
      </c>
      <c r="F54" s="2" t="inlineStr">
        <is>
          <t>C007</t>
        </is>
      </c>
      <c r="G54" s="2" t="inlineStr">
        <is>
          <t>2019::jama.2019.17380::C007</t>
        </is>
      </c>
      <c r="H54" s="2" t="inlineStr"/>
      <c r="I54" s="2" t="inlineStr">
        <is>
          <t>Analytic-plan addendum, Section 15c — PDF p. 32; Article Data Analysis — PDF p. 3.</t>
        </is>
      </c>
      <c r="J54" s="2" t="b">
        <v>1</v>
      </c>
      <c r="K54" s="2" t="inlineStr">
        <is>
          <t>jama.2019.17380</t>
        </is>
      </c>
      <c r="L54" s="2" t="inlineStr">
        <is>
          <t>analysis_specification</t>
        </is>
      </c>
      <c r="M54" s="2" t="inlineStr">
        <is>
          <t>P_R</t>
        </is>
      </c>
      <c r="N54" s="2" t="inlineStr">
        <is>
          <t>The analytic-plan addendum specifies10 imputation datasets but main implemented Methods reports M20; both use Rubin-rule combination for missing outcomes.</t>
        </is>
      </c>
      <c r="O54" s="2" t="inlineStr">
        <is>
          <t>../../2019/jama.2019.17380/.ai_paper_validation/final_report_1_5_2.html</t>
        </is>
      </c>
      <c r="P54" s="2" t="inlineStr">
        <is>
          <t>2019/jama.2019.17380/.ai_paper_validation/final_report_1_5_2.md</t>
        </is>
      </c>
      <c r="Q54" s="2" t="inlineStr">
        <is>
          <t>C007</t>
        </is>
      </c>
      <c r="R54" s="2" t="inlineStr">
        <is>
          <t>Pending Human Adjudication</t>
        </is>
      </c>
      <c r="S54" s="2" t="inlineStr">
        <is>
          <t>The analytic-plan addendum states 10 imputation data sets, whereas the article methods state implemented multiple imputation M=20.</t>
        </is>
      </c>
      <c r="T54" s="2" t="b">
        <v>0</v>
      </c>
      <c r="U54" s="2" t="inlineStr">
        <is>
          <t>imputation_count</t>
        </is>
      </c>
      <c r="V54" s="2" t="inlineStr">
        <is>
          <t>protocol_report</t>
        </is>
      </c>
      <c r="W54" s="2" t="inlineStr">
        <is>
          <t>Imputation count differs between the analytic-plan addendum and article methods</t>
        </is>
      </c>
      <c r="X54" s="2" t="inlineStr">
        <is>
          <t>2019</t>
        </is>
      </c>
      <c r="Y54" s="2" t="inlineStr">
        <is>
          <t>meta_report/consistency_reclassification_2026-09-04/reclassified_candidates.json</t>
        </is>
      </c>
      <c r="Z54" s="2" t="inlineStr">
        <is>
          <t>P_R</t>
        </is>
      </c>
      <c r="AA54" s="2" t="inlineStr">
        <is>
          <t>protocol_report</t>
        </is>
      </c>
      <c r="AB54" s="2" t="inlineStr">
        <is>
          <t>retain</t>
        </is>
      </c>
    </row>
    <row r="55" ht="95" customHeight="1">
      <c r="A55" s="3" t="b">
        <v>0</v>
      </c>
      <c r="B55" s="3" t="inlineStr">
        <is>
          <t>Assay availability can legitimately create varying denominators; missingness labelling is the issue.</t>
        </is>
      </c>
      <c r="C55" s="3" t="b">
        <v>0</v>
      </c>
      <c r="D55" s="3" t="inlineStr">
        <is>
          <t>Denominator, proportion, or total inconsistency</t>
        </is>
      </c>
      <c r="E55" s="3" t="b">
        <v>0</v>
      </c>
      <c r="F55" s="3" t="inlineStr">
        <is>
          <t>C001</t>
        </is>
      </c>
      <c r="G55" s="3" t="inlineStr">
        <is>
          <t>2019::jama.2019.2210::C001</t>
        </is>
      </c>
      <c r="H55" s="3" t="inlineStr"/>
      <c r="I55" s="3" t="inlineStr">
        <is>
          <t>main article — PDF p. 5; Supplement 2 — PDF p. 7, p. 13, and p. 27.</t>
        </is>
      </c>
      <c r="J55" s="3" t="b">
        <v>0</v>
      </c>
      <c r="K55" s="3" t="inlineStr">
        <is>
          <t>jama.2019.2210</t>
        </is>
      </c>
      <c r="L55" s="3" t="inlineStr"/>
      <c r="M55" s="3" t="inlineStr">
        <is>
          <t>S_W</t>
        </is>
      </c>
      <c r="N55" s="3" t="inlineStr">
        <is>
          <t>Main Table1 SNP category counts and percentages use variable available-case Ns smaller than its arm headers251/166. Results-supplement risk counts agree with genotype totals and corroborate internal denominator omission.</t>
        </is>
      </c>
      <c r="O55" s="3" t="inlineStr">
        <is>
          <t>../../2019/jama.2019.2210/.ai_paper_validation/final_report_1_5_1.html</t>
        </is>
      </c>
      <c r="P55" s="3" t="inlineStr">
        <is>
          <t>2019/jama.2019.2210/.ai_paper_validation/final_report_1_5_1.md</t>
        </is>
      </c>
      <c r="Q55" s="3" t="inlineStr">
        <is>
          <t>C001</t>
        </is>
      </c>
      <c r="R55" s="3" t="inlineStr">
        <is>
          <t>Pending Human Adjudication</t>
        </is>
      </c>
      <c r="S55" s="3" t="inlineStr">
        <is>
          <t>Table 1 percentages use SNP-specific denominators smaller than the printed arm headers without an available-case or missingness label.</t>
        </is>
      </c>
      <c r="T55" s="3" t="b">
        <v>1</v>
      </c>
      <c r="U55" s="3" t="inlineStr">
        <is>
          <t>denominator_definition</t>
        </is>
      </c>
      <c r="V55" s="3" t="inlineStr">
        <is>
          <t>statistical_results</t>
        </is>
      </c>
      <c r="W55" s="3" t="inlineStr">
        <is>
          <t>Table 1 SNP percentages use unlabelled, variable available-case denominators</t>
        </is>
      </c>
      <c r="X55" s="3" t="inlineStr">
        <is>
          <t>2019</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is>
          <t>Caption could refer to weighted/effective counts while plotted entries are raw, but this distinction is unstated.</t>
        </is>
      </c>
      <c r="C56" s="2" t="b">
        <v>0</v>
      </c>
      <c r="D56" s="2" t="inlineStr">
        <is>
          <t>Numeric or arithmetic inconsistency</t>
        </is>
      </c>
      <c r="E56" s="2" t="b">
        <v>0</v>
      </c>
      <c r="F56" s="2" t="inlineStr">
        <is>
          <t>C002</t>
        </is>
      </c>
      <c r="G56" s="2" t="inlineStr">
        <is>
          <t>2019::jama.2019.2210::C002</t>
        </is>
      </c>
      <c r="H56" s="2" t="inlineStr"/>
      <c r="I56" s="2" t="inlineStr">
        <is>
          <t>main article — PDF p. 7.</t>
        </is>
      </c>
      <c r="J56" s="2" t="b">
        <v>0</v>
      </c>
      <c r="K56" s="2" t="inlineStr">
        <is>
          <t>jama.2019.2210</t>
        </is>
      </c>
      <c r="L56" s="2" t="inlineStr"/>
      <c r="M56" s="2" t="inlineStr">
        <is>
          <t>S_W</t>
        </is>
      </c>
      <c r="N56" s="2" t="inlineStr">
        <is>
          <t>Main Figure3C visibly has14 at-risk entries while its own caption says panelC risk numbers are not given.</t>
        </is>
      </c>
      <c r="O56" s="2" t="inlineStr">
        <is>
          <t>../../2019/jama.2019.2210/.ai_paper_validation/final_report_1_5_1.html</t>
        </is>
      </c>
      <c r="P56" s="2" t="inlineStr">
        <is>
          <t>2019/jama.2019.2210/.ai_paper_validation/final_report_1_5_1.md</t>
        </is>
      </c>
      <c r="Q56" s="2" t="inlineStr">
        <is>
          <t>C002</t>
        </is>
      </c>
      <c r="R56" s="2" t="inlineStr">
        <is>
          <t>Pending Human Adjudication</t>
        </is>
      </c>
      <c r="S56" s="2" t="inlineStr">
        <is>
          <t>Figure 3 panel C visibly prints risk rows while its caption says that panel-C numbers at risk are not given.</t>
        </is>
      </c>
      <c r="T56" s="2" t="b">
        <v>1</v>
      </c>
      <c r="U56" s="2" t="inlineStr">
        <is>
          <t>caption_display</t>
        </is>
      </c>
      <c r="V56" s="2" t="inlineStr">
        <is>
          <t>statistical_results</t>
        </is>
      </c>
      <c r="W56" s="2" t="inlineStr">
        <is>
          <t>Figure 3 caption says panel-C risk numbers are absent although the panel prints them</t>
        </is>
      </c>
      <c r="X56" s="2" t="inlineStr">
        <is>
          <t>2019</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is>
          <t>Near400 target or completed-block operational shorthand is possible.</t>
        </is>
      </c>
      <c r="C57" s="3" t="b">
        <v>1</v>
      </c>
      <c r="D57" s="3" t="inlineStr">
        <is>
          <t>Denominator, proportion, or total inconsistency</t>
        </is>
      </c>
      <c r="E57" s="3" t="b">
        <v>0</v>
      </c>
      <c r="F57" s="3" t="inlineStr">
        <is>
          <t>C003</t>
        </is>
      </c>
      <c r="G57" s="3" t="inlineStr">
        <is>
          <t>2019::jama.2019.2210::C003</t>
        </is>
      </c>
      <c r="H57" s="3" t="inlineStr"/>
      <c r="I57" s="3" t="inlineStr">
        <is>
          <t>Supplement 1 — PDF p. 18 and Supplement 1 — PDF p. 31.</t>
        </is>
      </c>
      <c r="J57" s="3" t="b">
        <v>0</v>
      </c>
      <c r="K57" s="3" t="inlineStr">
        <is>
          <t>jama.2019.2210</t>
        </is>
      </c>
      <c r="L57" s="3" t="inlineStr"/>
      <c r="M57" s="3" t="inlineStr">
        <is>
          <t>P_P</t>
        </is>
      </c>
      <c r="N57" s="3" t="inlineStr">
        <is>
          <t>Two passages in the final protocol say stop after400 enrollment versus when enrollment&gt;400; this compares threshold definitions inside one planning document.</t>
        </is>
      </c>
      <c r="O57" s="3" t="inlineStr">
        <is>
          <t>../../2019/jama.2019.2210/.ai_paper_validation/final_report_1_5_1.html</t>
        </is>
      </c>
      <c r="P57" s="3" t="inlineStr">
        <is>
          <t>2019/jama.2019.2210/.ai_paper_validation/final_report_1_5_1.md</t>
        </is>
      </c>
      <c r="Q57" s="3" t="inlineStr">
        <is>
          <t>C003</t>
        </is>
      </c>
      <c r="R57" s="3" t="inlineStr">
        <is>
          <t>Pending Human Adjudication</t>
        </is>
      </c>
      <c r="S57" s="3" t="inlineStr">
        <is>
          <t>Two final-protocol passages state different literal enrollment stopping thresholds.</t>
        </is>
      </c>
      <c r="T57" s="3" t="b">
        <v>0</v>
      </c>
      <c r="U57" s="3" t="inlineStr">
        <is>
          <t>enrollment_threshold</t>
        </is>
      </c>
      <c r="V57" s="3" t="inlineStr">
        <is>
          <t>plan_material</t>
        </is>
      </c>
      <c r="W57" s="3" t="inlineStr">
        <is>
          <t>Final protocol gives different accrual stopping thresholds</t>
        </is>
      </c>
      <c r="X57" s="3" t="inlineStr">
        <is>
          <t>2019</t>
        </is>
      </c>
      <c r="Y57" s="3" t="inlineStr">
        <is>
          <t>meta_report/consistency_reclassification_2026-09-04/reclassified_candidates.json</t>
        </is>
      </c>
      <c r="Z57" s="3" t="inlineStr">
        <is>
          <t>P_P</t>
        </is>
      </c>
      <c r="AA57" s="3" t="inlineStr">
        <is>
          <t>plan_material</t>
        </is>
      </c>
      <c r="AB57" s="3" t="inlineStr">
        <is>
          <t>retain</t>
        </is>
      </c>
    </row>
    <row r="58" ht="95" customHeight="1">
      <c r="A58" s="2" t="b">
        <v>0</v>
      </c>
      <c r="B58" s="2" t="inlineStr">
        <is>
          <t>The ledger merges an internal numeric lead and cross-source lead for the same event. Dual clinical safety and statistical tertiary roles may coexist, but the change summary explicitly says separated from safety outcomes.</t>
        </is>
      </c>
      <c r="C58" s="2" t="b">
        <v>1</v>
      </c>
      <c r="D58" s="2" t="inlineStr">
        <is>
          <t>Measure, label, or scale inconsistency</t>
        </is>
      </c>
      <c r="E58" s="2" t="b">
        <v>1</v>
      </c>
      <c r="F58" s="2" t="inlineStr">
        <is>
          <t>C004</t>
        </is>
      </c>
      <c r="G58" s="2" t="inlineStr">
        <is>
          <t>2019::jama.2019.2210::C004</t>
        </is>
      </c>
      <c r="H58" s="2" t="inlineStr"/>
      <c r="I58" s="2" t="inlineStr">
        <is>
          <t>Supplement 1 — PDF p. 19, p. 25, p. 26, and p. 45; main article — PDF p. 8.</t>
        </is>
      </c>
      <c r="J58" s="2" t="b">
        <v>0</v>
      </c>
      <c r="K58" s="2" t="inlineStr">
        <is>
          <t>jama.2019.2210</t>
        </is>
      </c>
      <c r="L58" s="2" t="inlineStr">
        <is>
          <t>endpoint_definition_window_hierarchy</t>
        </is>
      </c>
      <c r="M58" s="2" t="inlineStr">
        <is>
          <t>P_R</t>
        </is>
      </c>
      <c r="N58" s="2"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58" s="2" t="inlineStr">
        <is>
          <t>../../2019/jama.2019.2210/.ai_paper_validation/final_report_1_5_1.html</t>
        </is>
      </c>
      <c r="P58" s="2" t="inlineStr">
        <is>
          <t>2019/jama.2019.2210/.ai_paper_validation/final_report_1_5_1.md</t>
        </is>
      </c>
      <c r="Q58" s="2" t="inlineStr">
        <is>
          <t>C004</t>
        </is>
      </c>
      <c r="R58" s="2" t="inlineStr">
        <is>
          <t>Pending Human Adjudication</t>
        </is>
      </c>
      <c r="S58" s="2" t="inlineStr">
        <is>
          <t>The same de novo-cancer event is labelled not as an outcome, Tertiary outcome, and is reported in a safety-outcome table without a stated reconciliation.</t>
        </is>
      </c>
      <c r="T58" s="2" t="b">
        <v>0</v>
      </c>
      <c r="U58" s="2" t="inlineStr">
        <is>
          <t>endpoint_hierarchy</t>
        </is>
      </c>
      <c r="V58" s="2" t="inlineStr">
        <is>
          <t>protocol_report</t>
        </is>
      </c>
      <c r="W58" s="2" t="inlineStr">
        <is>
          <t>Final protocol assigns de novo cancer incompatible endpoint labels</t>
        </is>
      </c>
      <c r="X58" s="2" t="inlineStr">
        <is>
          <t>2019</t>
        </is>
      </c>
      <c r="Y58" s="2" t="inlineStr">
        <is>
          <t>meta_report/consistency_reclassification_2026-09-04/reclassified_candidates.json</t>
        </is>
      </c>
      <c r="Z58" s="2" t="inlineStr">
        <is>
          <t>P_R</t>
        </is>
      </c>
      <c r="AA58" s="2" t="inlineStr">
        <is>
          <t>protocol_report</t>
        </is>
      </c>
      <c r="AB58" s="2" t="inlineStr">
        <is>
          <t>retain</t>
        </is>
      </c>
    </row>
    <row r="59" ht="95" customHeight="1">
      <c r="A59" s="3" t="b">
        <v>0</v>
      </c>
      <c r="B59" s="3" t="inlineStr">
        <is>
          <t>40ng/mL may be shorthand for the threshold; actual subgroup assignment is unavailable.</t>
        </is>
      </c>
      <c r="C59" s="3" t="b">
        <v>1</v>
      </c>
      <c r="D59" s="3" t="inlineStr">
        <is>
          <t>Measure, label, or scale inconsistency</t>
        </is>
      </c>
      <c r="E59" s="3" t="b">
        <v>0</v>
      </c>
      <c r="F59" s="3" t="inlineStr">
        <is>
          <t>C005</t>
        </is>
      </c>
      <c r="G59" s="3" t="inlineStr">
        <is>
          <t>2019::jama.2019.2210::C005</t>
        </is>
      </c>
      <c r="H59" s="3" t="inlineStr"/>
      <c r="I59" s="3" t="inlineStr">
        <is>
          <t>Supplement 1 — PDF p. 23 and p. 31; main article — PDF p. 3.</t>
        </is>
      </c>
      <c r="J59" s="3" t="b">
        <v>0</v>
      </c>
      <c r="K59" s="3" t="inlineStr">
        <is>
          <t>jama.2019.2210</t>
        </is>
      </c>
      <c r="L59" s="3" t="inlineStr"/>
      <c r="M59" s="3" t="inlineStr">
        <is>
          <t>P_P</t>
        </is>
      </c>
      <c r="N59" s="3" t="inlineStr">
        <is>
          <t>One final-protocol high25(OH)D label omits its operator at40 while a later section of the same protocol specifies&gt;40. The main article repeats&gt;40 as corroboration, not as a separate plan-report deviation.</t>
        </is>
      </c>
      <c r="O59" s="3" t="inlineStr">
        <is>
          <t>../../2019/jama.2019.2210/.ai_paper_validation/final_report_1_5_1.html</t>
        </is>
      </c>
      <c r="P59" s="3" t="inlineStr">
        <is>
          <t>2019/jama.2019.2210/.ai_paper_validation/final_report_1_5_1.md</t>
        </is>
      </c>
      <c r="Q59" s="3" t="inlineStr">
        <is>
          <t>C005</t>
        </is>
      </c>
      <c r="R59" s="3" t="inlineStr">
        <is>
          <t>Pending Human Adjudication</t>
        </is>
      </c>
      <c r="S59" s="3" t="inlineStr">
        <is>
          <t>One protocol page gives high 25(OH)D as (40 ng/mL) without an operator, unlike later explicit &gt;40 ng/mL definitions.</t>
        </is>
      </c>
      <c r="T59" s="3" t="b">
        <v>0</v>
      </c>
      <c r="U59" s="3" t="inlineStr">
        <is>
          <t>threshold_operator</t>
        </is>
      </c>
      <c r="V59" s="3" t="inlineStr">
        <is>
          <t>plan_material</t>
        </is>
      </c>
      <c r="W59" s="3" t="inlineStr">
        <is>
          <t>One final-protocol high-25(OH)D stratum label omits the boundary operator</t>
        </is>
      </c>
      <c r="X59" s="3" t="inlineStr">
        <is>
          <t>2019</t>
        </is>
      </c>
      <c r="Y59" s="3" t="inlineStr">
        <is>
          <t>meta_report/consistency_reclassification_2026-09-04/reclassified_candidates.json</t>
        </is>
      </c>
      <c r="Z59" s="3" t="inlineStr">
        <is>
          <t>P_P</t>
        </is>
      </c>
      <c r="AA59" s="3" t="inlineStr">
        <is>
          <t>plan_material</t>
        </is>
      </c>
      <c r="AB59" s="3" t="inlineStr">
        <is>
          <t>retain</t>
        </is>
      </c>
    </row>
    <row r="60" ht="95" customHeight="1">
      <c r="A60" s="2" t="b">
        <v>0</v>
      </c>
      <c r="B60" s="2" t="inlineStr"/>
      <c r="C60" s="2" t="b">
        <v>0</v>
      </c>
      <c r="D60" s="2" t="inlineStr">
        <is>
          <t>Measure, label, or scale inconsistency</t>
        </is>
      </c>
      <c r="E60" s="2" t="b">
        <v>1</v>
      </c>
      <c r="F60" s="2" t="inlineStr">
        <is>
          <t>C006</t>
        </is>
      </c>
      <c r="G60" s="2" t="inlineStr">
        <is>
          <t>2019::jama.2019.2210::C006</t>
        </is>
      </c>
      <c r="H60" s="2" t="inlineStr"/>
      <c r="I60" s="2" t="inlineStr">
        <is>
          <t>main article — PDF p. 5; Supplement 1 — PDF p. 27; Supplement 2 — PDF p. 13, p. 14, and p. 15.</t>
        </is>
      </c>
      <c r="J60" s="2" t="b">
        <v>0</v>
      </c>
      <c r="K60" s="2" t="inlineStr">
        <is>
          <t>jama.2019.2210</t>
        </is>
      </c>
      <c r="L60" s="2" t="inlineStr"/>
      <c r="M60" s="2" t="inlineStr">
        <is>
          <t>S_C</t>
        </is>
      </c>
      <c r="N60" s="2" t="inlineStr">
        <is>
          <t>Main Table1 Cdx2 genotype label and all six arm/genotype counts match results-supplement panels titled CDK2. The protocol CDX2 rs11568820 entry corroborates subgroup identity; the substantive target is the main/results-supplement locus label mismatch.</t>
        </is>
      </c>
      <c r="O60" s="2" t="inlineStr">
        <is>
          <t>../../2019/jama.2019.2210/.ai_paper_validation/final_report_1_5_1.html</t>
        </is>
      </c>
      <c r="P60" s="2" t="inlineStr">
        <is>
          <t>2019/jama.2019.2210/.ai_paper_validation/final_report_1_5_1.md</t>
        </is>
      </c>
      <c r="Q60" s="2" t="inlineStr">
        <is>
          <t>C006</t>
        </is>
      </c>
      <c r="R60" s="2" t="inlineStr">
        <is>
          <t>Pending Human Adjudication</t>
        </is>
      </c>
      <c r="S60" s="2" t="inlineStr">
        <is>
          <t>Supplement 2 labels matched Cdx2 subgroup panels as CDK2 although the article and protocol identify Cdx2/CDX2 rs11568820.</t>
        </is>
      </c>
      <c r="T60" s="2" t="b">
        <v>1</v>
      </c>
      <c r="U60" s="2" t="inlineStr">
        <is>
          <t>genetic_locus_label</t>
        </is>
      </c>
      <c r="V60" s="2" t="inlineStr">
        <is>
          <t>report_internal_inconsistency</t>
        </is>
      </c>
      <c r="W60" s="2" t="inlineStr">
        <is>
          <t>Supplement labels Cdx2 genotype panels as CDK2</t>
        </is>
      </c>
      <c r="X60" s="2" t="inlineStr">
        <is>
          <t>2019</t>
        </is>
      </c>
      <c r="Y60" s="2" t="inlineStr">
        <is>
          <t>meta_report/consistency_reclassification_2026-09-04/reclassified_candidates.json</t>
        </is>
      </c>
      <c r="Z60" s="2" t="inlineStr">
        <is>
          <t>S_C</t>
        </is>
      </c>
      <c r="AA60" s="2" t="inlineStr">
        <is>
          <t>report_internal_inconsistency</t>
        </is>
      </c>
      <c r="AB60" s="2" t="inlineStr">
        <is>
          <t>retain</t>
        </is>
      </c>
    </row>
    <row r="61" ht="95" customHeight="1">
      <c r="A61" s="3" t="b">
        <v>0</v>
      </c>
      <c r="B61" s="3" t="inlineStr">
        <is>
          <t>BMI availability may explain the2/1 deficits; it is not a disagreement between the main and supplemental totals.</t>
        </is>
      </c>
      <c r="C61" s="3" t="b">
        <v>0</v>
      </c>
      <c r="D61" s="3" t="inlineStr">
        <is>
          <t>Denominator, proportion, or total inconsistency</t>
        </is>
      </c>
      <c r="E61" s="3" t="b">
        <v>0</v>
      </c>
      <c r="F61" s="3" t="inlineStr">
        <is>
          <t>C007</t>
        </is>
      </c>
      <c r="G61" s="3" t="inlineStr">
        <is>
          <t>2019::jama.2019.2210::C007</t>
        </is>
      </c>
      <c r="H61" s="3" t="inlineStr"/>
      <c r="I61" s="3" t="inlineStr">
        <is>
          <t>main article — PDF p. 5; Supplement 2 — PDF p. 32 and p. 33.</t>
        </is>
      </c>
      <c r="J61" s="3" t="b">
        <v>0</v>
      </c>
      <c r="K61" s="3" t="inlineStr">
        <is>
          <t>jama.2019.2210</t>
        </is>
      </c>
      <c r="L61" s="3" t="inlineStr"/>
      <c r="M61" s="3" t="inlineStr">
        <is>
          <t>S_W</t>
        </is>
      </c>
      <c r="N61" s="3" t="inlineStr">
        <is>
          <t>Main Table1 BMI quartiles total249/165, below its251/166 arm headers, and percentages use the smaller totals. Results supplement reproduces249/165 and corroborates the internal missing denominator statement.</t>
        </is>
      </c>
      <c r="O61" s="3" t="inlineStr">
        <is>
          <t>../../2019/jama.2019.2210/.ai_paper_validation/final_report_1_5_1.html</t>
        </is>
      </c>
      <c r="P61" s="3" t="inlineStr">
        <is>
          <t>2019/jama.2019.2210/.ai_paper_validation/final_report_1_5_1.md</t>
        </is>
      </c>
      <c r="Q61" s="3" t="inlineStr">
        <is>
          <t>C007</t>
        </is>
      </c>
      <c r="R61" s="3" t="inlineStr">
        <is>
          <t>Pending Human Adjudication</t>
        </is>
      </c>
      <c r="S61" s="3" t="inlineStr">
        <is>
          <t>Table 1 BMI quartiles and complementary supplement subgroups total fewer participants than the printed arm headers without a missingness or available-case label.</t>
        </is>
      </c>
      <c r="T61" s="3" t="b">
        <v>1</v>
      </c>
      <c r="U61" s="3" t="inlineStr">
        <is>
          <t>denominator_definition</t>
        </is>
      </c>
      <c r="V61" s="3" t="inlineStr">
        <is>
          <t>statistical_results</t>
        </is>
      </c>
      <c r="W61" s="3" t="inlineStr">
        <is>
          <t>Table 1 BMI categories use smaller, unlabelled denominators than the arm headers</t>
        </is>
      </c>
      <c r="X61" s="3" t="inlineStr">
        <is>
          <t>2019</t>
        </is>
      </c>
      <c r="Y61" s="3" t="inlineStr">
        <is>
          <t>meta_report/consistency_reclassification_2026-09-04/reclassified_candidates.json</t>
        </is>
      </c>
      <c r="Z61" s="3" t="inlineStr">
        <is>
          <t>S_W</t>
        </is>
      </c>
      <c r="AA61" s="3" t="inlineStr">
        <is>
          <t>statistical_results</t>
        </is>
      </c>
      <c r="AB61" s="3" t="inlineStr">
        <is>
          <t>retain</t>
        </is>
      </c>
    </row>
    <row r="62" ht="95" customHeight="1">
      <c r="A62" s="2" t="b">
        <v>1</v>
      </c>
      <c r="B62" s="2" t="inlineStr">
        <is>
          <t>Wording-only/equivalent: source directly states operational equivalence, so no actual time-origin discrepancy is established. Sensitivity excluding this candidate leaves7 report-versus-plan candidates out of70 total.</t>
        </is>
      </c>
      <c r="C62" s="2" t="b">
        <v>1</v>
      </c>
      <c r="D62" s="2" t="inlineStr">
        <is>
          <t>Measure, label, or scale inconsistency</t>
        </is>
      </c>
      <c r="E62" s="2" t="b">
        <v>1</v>
      </c>
      <c r="F62" s="2" t="inlineStr">
        <is>
          <t>C008</t>
        </is>
      </c>
      <c r="G62" s="2" t="inlineStr">
        <is>
          <t>2019::jama.2019.2210::C008</t>
        </is>
      </c>
      <c r="H62" s="2" t="inlineStr"/>
      <c r="I62" s="2" t="inlineStr">
        <is>
          <t>main article — PDF p. 2 and p. 6; Supplement 1 — PDF p. 25 and p. 29; Supplement 2 — PDF p. 2 and p. 3.</t>
        </is>
      </c>
      <c r="J62" s="2" t="b">
        <v>0</v>
      </c>
      <c r="K62" s="2" t="inlineStr">
        <is>
          <t>jama.2019.2210</t>
        </is>
      </c>
      <c r="L62" s="2" t="inlineStr">
        <is>
          <t>endpoint_definition_window_hierarchy</t>
        </is>
      </c>
      <c r="M62" s="2" t="inlineStr">
        <is>
          <t>P_R</t>
        </is>
      </c>
      <c r="N62" s="2" t="inlineStr">
        <is>
          <t>Article/results-supplement survival axes say randomization while protocol says supplementation start. Retained as the recorded report-versus-plan time-origin wording candidate, although the article explicitly equates these dates at the same visit.</t>
        </is>
      </c>
      <c r="O62" s="2" t="inlineStr">
        <is>
          <t>../../2019/jama.2019.2210/.ai_paper_validation/final_report_1_5_1.html</t>
        </is>
      </c>
      <c r="P62" s="2" t="inlineStr">
        <is>
          <t>2019/jama.2019.2210/.ai_paper_validation/final_report_1_5_1.md</t>
        </is>
      </c>
      <c r="Q62" s="2" t="inlineStr">
        <is>
          <t>C008</t>
        </is>
      </c>
      <c r="R62" s="2" t="inlineStr">
        <is>
          <t>Pending Human Adjudication</t>
        </is>
      </c>
      <c r="S62" s="2" t="inlineStr">
        <is>
          <t>The report labels survival time from randomization while the final protocol labels it from starting supplementation; the article explicitly describes these as the same visit and treats them as equivalent, so no actual date difference is claimed.</t>
        </is>
      </c>
      <c r="T62" s="2" t="b">
        <v>0</v>
      </c>
      <c r="U62" s="2" t="inlineStr">
        <is>
          <t>time_origin_wording</t>
        </is>
      </c>
      <c r="V62" s="2" t="inlineStr">
        <is>
          <t>protocol_report</t>
        </is>
      </c>
      <c r="W62" s="2" t="inlineStr">
        <is>
          <t>Report and protocol use different time-origin labels despite a same-visit equivalence statement</t>
        </is>
      </c>
      <c r="X62" s="2" t="inlineStr">
        <is>
          <t>2019</t>
        </is>
      </c>
      <c r="Y62" s="2" t="inlineStr">
        <is>
          <t>meta_report/consistency_reclassification_2026-09-04/reclassified_candidates.json</t>
        </is>
      </c>
      <c r="Z62" s="2" t="inlineStr">
        <is>
          <t>P_R</t>
        </is>
      </c>
      <c r="AA62" s="2" t="inlineStr">
        <is>
          <t>protocol_report</t>
        </is>
      </c>
      <c r="AB62" s="2" t="inlineStr">
        <is>
          <t>retain</t>
        </is>
      </c>
    </row>
    <row r="63" ht="95" customHeight="1">
      <c r="A63" s="3" t="b">
        <v>0</v>
      </c>
      <c r="B63" s="3" t="inlineStr">
        <is>
          <t>Exact event-time models are not reconstructed; no table-specific reversed contrast is stated.</t>
        </is>
      </c>
      <c r="C63" s="3" t="b">
        <v>0</v>
      </c>
      <c r="D63" s="3" t="inlineStr">
        <is>
          <t>Measure, label, or scale inconsistency</t>
        </is>
      </c>
      <c r="E63" s="3" t="b">
        <v>0</v>
      </c>
      <c r="F63" s="3" t="inlineStr">
        <is>
          <t>C009</t>
        </is>
      </c>
      <c r="G63" s="3" t="inlineStr">
        <is>
          <t>2019::jama.2019.2210::C009</t>
        </is>
      </c>
      <c r="H63" s="3" t="inlineStr"/>
      <c r="I63" s="3" t="inlineStr">
        <is>
          <t>main article — PDF p. 4, p. 6, and p. 7.</t>
        </is>
      </c>
      <c r="J63" s="3" t="b">
        <v>0</v>
      </c>
      <c r="K63" s="3" t="inlineStr">
        <is>
          <t>jama.2019.2210</t>
        </is>
      </c>
      <c r="L63" s="3" t="inlineStr"/>
      <c r="M63" s="3" t="inlineStr">
        <is>
          <t>S_W</t>
        </is>
      </c>
      <c r="N63" s="3" t="inlineStr">
        <is>
          <t>Main Table2 footnote says HR&gt;1 means reduced outcome with vitaminD, while main counts/curves and HRs below1 reflect lower vitaminD events. All compared direction descriptions are inside the article.</t>
        </is>
      </c>
      <c r="O63" s="3" t="inlineStr">
        <is>
          <t>../../2019/jama.2019.2210/.ai_paper_validation/final_report_1_5_1.html</t>
        </is>
      </c>
      <c r="P63" s="3" t="inlineStr">
        <is>
          <t>2019/jama.2019.2210/.ai_paper_validation/final_report_1_5_1.md</t>
        </is>
      </c>
      <c r="Q63" s="3" t="inlineStr">
        <is>
          <t>C009</t>
        </is>
      </c>
      <c r="R63" s="3" t="inlineStr">
        <is>
          <t>Pending Human Adjudication</t>
        </is>
      </c>
      <c r="S63" s="3" t="inlineStr">
        <is>
          <t>Table 2 says HR values greater than 1 indicate decreased outcome probability with vitamin D, whereas displayed outcome directions pair lower vitamin-D incidence with HRs below 1.</t>
        </is>
      </c>
      <c r="T63" s="3" t="b">
        <v>1</v>
      </c>
      <c r="U63" s="3" t="inlineStr">
        <is>
          <t>effect_direction</t>
        </is>
      </c>
      <c r="V63" s="3" t="inlineStr">
        <is>
          <t>report_internal_inconsistency</t>
        </is>
      </c>
      <c r="W63" s="3" t="inlineStr">
        <is>
          <t>Table 2 hazard-ratio direction footnote is opposite the displayed outcome direction</t>
        </is>
      </c>
      <c r="X63" s="3" t="inlineStr">
        <is>
          <t>2019</t>
        </is>
      </c>
      <c r="Y63" s="3" t="inlineStr">
        <is>
          <t>meta_report/consistency_reclassification_2026-09-04/reclassified_candidates.json</t>
        </is>
      </c>
      <c r="Z63" s="3" t="inlineStr">
        <is>
          <t>S_W</t>
        </is>
      </c>
      <c r="AA63" s="3" t="inlineStr">
        <is>
          <t>report_internal_inconsistency</t>
        </is>
      </c>
      <c r="AB63" s="3" t="inlineStr">
        <is>
          <t>retain</t>
        </is>
      </c>
    </row>
    <row r="64" ht="95" customHeight="1">
      <c r="A64" s="2" t="b">
        <v>0</v>
      </c>
      <c r="B64" s="2" t="inlineStr">
        <is>
          <t>Detached PDF numeric text may indicate clipping/displacement; a hyphen convention is not defined. Each candidate concerns a distinct test/cutoff row.</t>
        </is>
      </c>
      <c r="C64" s="2" t="b">
        <v>0</v>
      </c>
      <c r="D64" s="2" t="inlineStr">
        <is>
          <t>Numeric or arithmetic inconsistency</t>
        </is>
      </c>
      <c r="E64" s="2" t="b">
        <v>0</v>
      </c>
      <c r="F64" s="2" t="inlineStr">
        <is>
          <t>C001</t>
        </is>
      </c>
      <c r="G64" s="2" t="inlineStr">
        <is>
          <t>2019::jama.2019.4755::C001</t>
        </is>
      </c>
      <c r="H64" s="2" t="inlineStr"/>
      <c r="I64" s="2" t="inlineStr">
        <is>
          <t>joi190039supp3_prod.pdf — PDF p. 7, DOC-004 eTable 5, Women/Quantitative/10.2, Difference in PPV; comparator joi190039supp3_prod.pdf — PDF p. 6, DOC-004 eTable 4, same population, test, cutoff, day, and per-protocol analysis.</t>
        </is>
      </c>
      <c r="J64" s="2" t="b">
        <v>0</v>
      </c>
      <c r="K64" s="2" t="inlineStr">
        <is>
          <t>jama.2019.4755</t>
        </is>
      </c>
      <c r="L64" s="2" t="inlineStr"/>
      <c r="M64" s="2" t="inlineStr">
        <is>
          <t>S_W</t>
        </is>
      </c>
      <c r="N64" s="2" t="inlineStr">
        <is>
          <t>Results-supplement eTable5 women quantitative10.2 PPV-difference cell visibly lacks numeric magnitude despite arm PPVs and a CI; matched eTable4 diagnostic counts are in the same supplement.</t>
        </is>
      </c>
      <c r="O64" s="2" t="inlineStr">
        <is>
          <t>../../2019/jama.2019.4755/.ai_paper_validation/final_report_1_5_1.html</t>
        </is>
      </c>
      <c r="P64" s="2" t="inlineStr">
        <is>
          <t>2019/jama.2019.4755/.ai_paper_validation/final_report_1_5_1.md</t>
        </is>
      </c>
      <c r="Q64" s="2" t="inlineStr">
        <is>
          <t>C001</t>
        </is>
      </c>
      <c r="R64" s="2" t="inlineStr">
        <is>
          <t>Pending Human Adjudication</t>
        </is>
      </c>
      <c r="S64" s="2" t="inlineStr">
        <is>
          <t>In the Women/Quantitative/10.2 row of eTable 5, the Difference in PPV point-estimate position visibly contains only a hyphen although both arm PPVs and a negative confidence interval are printed.</t>
        </is>
      </c>
      <c r="T64" s="2" t="b">
        <v>1</v>
      </c>
      <c r="U64" s="2" t="inlineStr">
        <is>
          <t>missing_point_estimate</t>
        </is>
      </c>
      <c r="V64" s="2" t="inlineStr">
        <is>
          <t>statistical_results</t>
        </is>
      </c>
      <c r="W64" s="2" t="inlineStr">
        <is>
          <t>Women’s quantitative 10.2 µg Hb/g PPV difference point estimate is absent</t>
        </is>
      </c>
      <c r="X64" s="2" t="inlineStr">
        <is>
          <t>2019</t>
        </is>
      </c>
      <c r="Y64" s="2" t="inlineStr">
        <is>
          <t>meta_report/consistency_reclassification_2026-09-04/reclassified_candidates.json</t>
        </is>
      </c>
      <c r="Z64" s="2" t="inlineStr">
        <is>
          <t>S_W</t>
        </is>
      </c>
      <c r="AA64" s="2" t="inlineStr">
        <is>
          <t>statistical_results</t>
        </is>
      </c>
      <c r="AB64" s="2" t="inlineStr">
        <is>
          <t>retain</t>
        </is>
      </c>
    </row>
    <row r="65" ht="95" customHeight="1">
      <c r="A65" s="3" t="b">
        <v>0</v>
      </c>
      <c r="B65" s="3" t="inlineStr">
        <is>
          <t>Detached PDF numeric text may indicate clipping/displacement; a hyphen convention is not defined. Each candidate concerns a distinct test/cutoff row.</t>
        </is>
      </c>
      <c r="C65" s="3" t="b">
        <v>0</v>
      </c>
      <c r="D65" s="3" t="inlineStr">
        <is>
          <t>Numeric or arithmetic inconsistency</t>
        </is>
      </c>
      <c r="E65" s="3" t="b">
        <v>0</v>
      </c>
      <c r="F65" s="3" t="inlineStr">
        <is>
          <t>C002</t>
        </is>
      </c>
      <c r="G65" s="3" t="inlineStr">
        <is>
          <t>2019::jama.2019.4755::C002</t>
        </is>
      </c>
      <c r="H65" s="3" t="inlineStr"/>
      <c r="I65" s="3" t="inlineStr">
        <is>
          <t>joi190039supp3_prod.pdf — PDF p. 7, DOC-004 eTable 5, Women/Quantitative/17.0, Difference in PPV; comparator joi190039supp3_prod.pdf — PDF p. 6, DOC-004 eTable 4, same population, test, cutoff, day, and per-protocol analysis.</t>
        </is>
      </c>
      <c r="J65" s="3" t="b">
        <v>0</v>
      </c>
      <c r="K65" s="3" t="inlineStr">
        <is>
          <t>jama.2019.4755</t>
        </is>
      </c>
      <c r="L65" s="3" t="inlineStr"/>
      <c r="M65" s="3" t="inlineStr">
        <is>
          <t>S_W</t>
        </is>
      </c>
      <c r="N65" s="3" t="inlineStr">
        <is>
          <t>Results-supplement eTable5 women quantitative17.0 PPV-difference cell visibly lacks numeric magnitude despite arm PPVs and a CI; matched eTable4 diagnostic counts are in the same supplement.</t>
        </is>
      </c>
      <c r="O65" s="3" t="inlineStr">
        <is>
          <t>../../2019/jama.2019.4755/.ai_paper_validation/final_report_1_5_1.html</t>
        </is>
      </c>
      <c r="P65" s="3" t="inlineStr">
        <is>
          <t>2019/jama.2019.4755/.ai_paper_validation/final_report_1_5_1.md</t>
        </is>
      </c>
      <c r="Q65" s="3" t="inlineStr">
        <is>
          <t>C002</t>
        </is>
      </c>
      <c r="R65" s="3" t="inlineStr">
        <is>
          <t>Pending Human Adjudication</t>
        </is>
      </c>
      <c r="S65" s="3" t="inlineStr">
        <is>
          <t>In the Women/Quantitative/17.0 row of eTable 5, the Difference in PPV point-estimate position visibly contains only a hyphen although both arm PPVs and a negative confidence interval are printed.</t>
        </is>
      </c>
      <c r="T65" s="3" t="b">
        <v>1</v>
      </c>
      <c r="U65" s="3" t="inlineStr">
        <is>
          <t>missing_point_estimate</t>
        </is>
      </c>
      <c r="V65" s="3" t="inlineStr">
        <is>
          <t>statistical_results</t>
        </is>
      </c>
      <c r="W65" s="3" t="inlineStr">
        <is>
          <t>Women’s quantitative 17.0 µg Hb/g PPV difference point estimate is absent</t>
        </is>
      </c>
      <c r="X65" s="3" t="inlineStr">
        <is>
          <t>2019</t>
        </is>
      </c>
      <c r="Y65" s="3" t="inlineStr">
        <is>
          <t>meta_report/consistency_reclassification_2026-09-04/reclassified_candidates.json</t>
        </is>
      </c>
      <c r="Z65" s="3" t="inlineStr">
        <is>
          <t>S_W</t>
        </is>
      </c>
      <c r="AA65" s="3" t="inlineStr">
        <is>
          <t>statistical_results</t>
        </is>
      </c>
      <c r="AB65" s="3" t="inlineStr">
        <is>
          <t>retain</t>
        </is>
      </c>
    </row>
    <row r="66" ht="95" customHeight="1">
      <c r="A66" s="2" t="b">
        <v>0</v>
      </c>
      <c r="B66" s="2" t="inlineStr">
        <is>
          <t>Detached PDF numeric text may indicate clipping/displacement; a hyphen convention is not defined. Each candidate concerns a distinct test/cutoff row.</t>
        </is>
      </c>
      <c r="C66" s="2" t="b">
        <v>0</v>
      </c>
      <c r="D66" s="2" t="inlineStr">
        <is>
          <t>Numeric or arithmetic inconsistency</t>
        </is>
      </c>
      <c r="E66" s="2" t="b">
        <v>0</v>
      </c>
      <c r="F66" s="2" t="inlineStr">
        <is>
          <t>C003</t>
        </is>
      </c>
      <c r="G66" s="2" t="inlineStr">
        <is>
          <t>2019::jama.2019.4755::C003</t>
        </is>
      </c>
      <c r="H66" s="2" t="inlineStr"/>
      <c r="I66" s="2" t="inlineStr">
        <is>
          <t>joi190039supp3_prod.pdf — PDF p. 7, DOC-004 eTable 5, Women/Qualitative/10.2, Difference in PPV; comparator joi190039supp3_prod.pdf — PDF p. 6, DOC-004 eTable 4, same population, test, cutoff, day, and per-protocol analysis.</t>
        </is>
      </c>
      <c r="J66" s="2" t="b">
        <v>0</v>
      </c>
      <c r="K66" s="2" t="inlineStr">
        <is>
          <t>jama.2019.4755</t>
        </is>
      </c>
      <c r="L66" s="2" t="inlineStr"/>
      <c r="M66" s="2" t="inlineStr">
        <is>
          <t>S_W</t>
        </is>
      </c>
      <c r="N66" s="2" t="inlineStr">
        <is>
          <t>Results-supplement eTable5 women qualitative10.2 PPV-difference cell visibly lacks numeric magnitude despite arm PPVs and a CI; matched eTable4 diagnostic counts are in the same supplement.</t>
        </is>
      </c>
      <c r="O66" s="2" t="inlineStr">
        <is>
          <t>../../2019/jama.2019.4755/.ai_paper_validation/final_report_1_5_1.html</t>
        </is>
      </c>
      <c r="P66" s="2" t="inlineStr">
        <is>
          <t>2019/jama.2019.4755/.ai_paper_validation/final_report_1_5_1.md</t>
        </is>
      </c>
      <c r="Q66" s="2" t="inlineStr">
        <is>
          <t>C003</t>
        </is>
      </c>
      <c r="R66" s="2" t="inlineStr">
        <is>
          <t>Pending Human Adjudication</t>
        </is>
      </c>
      <c r="S66" s="2" t="inlineStr">
        <is>
          <t>In the Women/Qualitative/10.2 row of eTable 5, the Difference in PPV point-estimate position visibly contains only a hyphen although both arm PPVs and a negative confidence interval are printed.</t>
        </is>
      </c>
      <c r="T66" s="2" t="b">
        <v>1</v>
      </c>
      <c r="U66" s="2" t="inlineStr">
        <is>
          <t>missing_point_estimate</t>
        </is>
      </c>
      <c r="V66" s="2" t="inlineStr">
        <is>
          <t>statistical_results</t>
        </is>
      </c>
      <c r="W66" s="2" t="inlineStr">
        <is>
          <t>Women’s qualitative 10.2 µg Hb/g PPV difference point estimate is absent</t>
        </is>
      </c>
      <c r="X66" s="2" t="inlineStr">
        <is>
          <t>2019</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is>
          <t>A detached Hb/g] text object supports possible clipping; no unit-inheritance rule is printed.</t>
        </is>
      </c>
      <c r="C67" s="3" t="b">
        <v>0</v>
      </c>
      <c r="D67" s="3" t="inlineStr">
        <is>
          <t>Measure, label, or scale inconsistency</t>
        </is>
      </c>
      <c r="E67" s="3" t="b">
        <v>0</v>
      </c>
      <c r="F67" s="3" t="inlineStr">
        <is>
          <t>C004</t>
        </is>
      </c>
      <c r="G67" s="3" t="inlineStr">
        <is>
          <t>2019::jama.2019.4755::C004</t>
        </is>
      </c>
      <c r="H67" s="3" t="inlineStr"/>
      <c r="I67" s="3" t="inlineStr">
        <is>
          <t>joi190039supp3_prod.pdf — PDF p. 7, DOC-004 eTable 5 visible cutoff header; comparator joi190039supp3_prod.pdf — PDF p. 6, DOC-004 eTable 4 header Cutoff [µg Hb/g]; additional matched main-table display jama_brenner_2019_oi_190039.pdf — PDF p. 5.</t>
        </is>
      </c>
      <c r="J67" s="3" t="b">
        <v>0</v>
      </c>
      <c r="K67" s="3" t="inlineStr">
        <is>
          <t>jama.2019.4755</t>
        </is>
      </c>
      <c r="L67" s="3" t="inlineStr"/>
      <c r="M67" s="3" t="inlineStr">
        <is>
          <t>S_W</t>
        </is>
      </c>
      <c r="N67" s="3" t="inlineStr">
        <is>
          <t>Results-supplement eTable5 cutoff header truncates at[µg while adjacent eTable4 in the same file prints fullµgHb/g. Main tables corroborate the unit; the target is an incomplete internal supplemental header.</t>
        </is>
      </c>
      <c r="O67" s="3" t="inlineStr">
        <is>
          <t>../../2019/jama.2019.4755/.ai_paper_validation/final_report_1_5_1.html</t>
        </is>
      </c>
      <c r="P67" s="3" t="inlineStr">
        <is>
          <t>2019/jama.2019.4755/.ai_paper_validation/final_report_1_5_1.md</t>
        </is>
      </c>
      <c r="Q67" s="3" t="inlineStr">
        <is>
          <t>C004</t>
        </is>
      </c>
      <c r="R67" s="3" t="inlineStr">
        <is>
          <t>Pending Human Adjudication</t>
        </is>
      </c>
      <c r="S67" s="3" t="inlineStr">
        <is>
          <t>eTable 5 visibly renders Cutoff and a second-line [µg fragment, without visibly rendered Hb/g], while matched cutoff displays use the full µg Hb/g scale.</t>
        </is>
      </c>
      <c r="T67" s="3" t="b">
        <v>1</v>
      </c>
      <c r="U67" s="3" t="inlineStr">
        <is>
          <t>truncated_unit</t>
        </is>
      </c>
      <c r="V67" s="3" t="inlineStr">
        <is>
          <t>report_internal_inconsistency</t>
        </is>
      </c>
      <c r="W67" s="3" t="inlineStr">
        <is>
          <t>eTable 5 visible cutoff header truncates after [µg</t>
        </is>
      </c>
      <c r="X67" s="3" t="inlineStr">
        <is>
          <t>2019</t>
        </is>
      </c>
      <c r="Y67" s="3" t="inlineStr">
        <is>
          <t>meta_report/consistency_reclassification_2026-09-04/reclassified_candidates.json</t>
        </is>
      </c>
      <c r="Z67" s="3" t="inlineStr">
        <is>
          <t>S_W</t>
        </is>
      </c>
      <c r="AA67" s="3" t="inlineStr">
        <is>
          <t>report_internal_inconsistency</t>
        </is>
      </c>
      <c r="AB67" s="3" t="inlineStr">
        <is>
          <t>retain</t>
        </is>
      </c>
    </row>
    <row r="68" ht="95" customHeight="1">
      <c r="A68" s="2" t="b">
        <v>0</v>
      </c>
      <c r="B68" s="2" t="inlineStr">
        <is>
          <t>The firstµg in the coordinated sentence may grammatically apply to both thresholds; no inheritance convention is supplied.</t>
        </is>
      </c>
      <c r="C68" s="2" t="b">
        <v>1</v>
      </c>
      <c r="D68" s="2" t="inlineStr">
        <is>
          <t>Measure, label, or scale inconsistency</t>
        </is>
      </c>
      <c r="E68" s="2" t="b">
        <v>0</v>
      </c>
      <c r="F68" s="2" t="inlineStr">
        <is>
          <t>C005</t>
        </is>
      </c>
      <c r="G68" s="2" t="inlineStr">
        <is>
          <t>2019::jama.2019.4755::C005</t>
        </is>
      </c>
      <c r="H68" s="2" t="inlineStr"/>
      <c r="I68" s="2" t="inlineStr">
        <is>
          <t>joi190039supp2_prod.pdf — PDF p. 6, DOC-003 §3.2; comparator joi190039supp2_prod.pdf — PDF p. 8, DOC-003 §5.4; matched context jama_brenner_2019_oi_190039.pdf — PDF p. 1 and jama_brenner_2019_oi_190039.pdf — PDF p. 5.</t>
        </is>
      </c>
      <c r="J68" s="2" t="b">
        <v>0</v>
      </c>
      <c r="K68" s="2" t="inlineStr">
        <is>
          <t>jama.2019.4755</t>
        </is>
      </c>
      <c r="L68" s="2" t="inlineStr"/>
      <c r="M68" s="2" t="inlineStr">
        <is>
          <t>P_P</t>
        </is>
      </c>
      <c r="N68" s="2" t="inlineStr">
        <is>
          <t>SAP section3.2 omitsµg locally from10.2Hb/g while section5.4 in the same SAP prints10.2µgHb/g. The main article supplies matched context only, so this is an internal-plan unit wording issue.</t>
        </is>
      </c>
      <c r="O68" s="2" t="inlineStr">
        <is>
          <t>../../2019/jama.2019.4755/.ai_paper_validation/final_report_1_5_1.html</t>
        </is>
      </c>
      <c r="P68" s="2" t="inlineStr">
        <is>
          <t>2019/jama.2019.4755/.ai_paper_validation/final_report_1_5_1.md</t>
        </is>
      </c>
      <c r="Q68" s="2" t="inlineStr">
        <is>
          <t>C005</t>
        </is>
      </c>
      <c r="R68" s="2" t="inlineStr">
        <is>
          <t>Pending Human Adjudication</t>
        </is>
      </c>
      <c r="S68" s="2" t="inlineStr">
        <is>
          <t>One SAP sentence prints 17 μg Hb/g feces and 10.2 Hb/g feces, while matched occurrences specify the lower cutoff as 10.2 μg Hb/g feces.</t>
        </is>
      </c>
      <c r="T68" s="2" t="b">
        <v>0</v>
      </c>
      <c r="U68" s="2" t="inlineStr">
        <is>
          <t>unit_omission</t>
        </is>
      </c>
      <c r="V68" s="2" t="inlineStr">
        <is>
          <t>plan_material</t>
        </is>
      </c>
      <c r="W68" s="2" t="inlineStr">
        <is>
          <t>One SAP occurrence omits the microgram prefix from the 10.2 cutoff</t>
        </is>
      </c>
      <c r="X68" s="2" t="inlineStr">
        <is>
          <t>2019</t>
        </is>
      </c>
      <c r="Y68" s="2" t="inlineStr">
        <is>
          <t>meta_report/consistency_reclassification_2026-09-04/reclassified_candidates.json</t>
        </is>
      </c>
      <c r="Z68" s="2" t="inlineStr">
        <is>
          <t>P_P</t>
        </is>
      </c>
      <c r="AA68" s="2" t="inlineStr">
        <is>
          <t>plan_material</t>
        </is>
      </c>
      <c r="AB68" s="2" t="inlineStr">
        <is>
          <t>retain</t>
        </is>
      </c>
    </row>
    <row r="69" ht="95" customHeight="1">
      <c r="A69" s="3" t="b">
        <v>0</v>
      </c>
      <c r="B69" s="3" t="inlineStr"/>
      <c r="C69" s="3" t="b">
        <v>0</v>
      </c>
      <c r="D69" s="3" t="inlineStr">
        <is>
          <t>Cross-document numeric inconsistency</t>
        </is>
      </c>
      <c r="E69" s="3" t="b">
        <v>0</v>
      </c>
      <c r="F69" s="3" t="inlineStr">
        <is>
          <t>C001</t>
        </is>
      </c>
      <c r="G69" s="3" t="inlineStr">
        <is>
          <t>2019::jama.2019.7505::C001</t>
        </is>
      </c>
      <c r="H69" s="3" t="inlineStr"/>
      <c r="I69" s="3" t="inlineStr">
        <is>
          <t>DOC-001, jama_bluth_2019_oi_190055_16092.pdf — PDF p. 1, abstract and PDF p. 9, Table 3.</t>
        </is>
      </c>
      <c r="J69" s="3" t="b">
        <v>1</v>
      </c>
      <c r="K69" s="3" t="inlineStr">
        <is>
          <t>jama.2019.7505</t>
        </is>
      </c>
      <c r="L69" s="3" t="inlineStr"/>
      <c r="M69" s="3" t="inlineStr">
        <is>
          <t>S_W</t>
        </is>
      </c>
      <c r="N69" s="3" t="inlineStr">
        <is>
          <t>Main abstract hypoxemia risk-difference CI upper endpoint+6.1 conflicts with main Table3 -6.1 for the same counts, estimate and P. Both locations are in one article, despite original cross-document category.</t>
        </is>
      </c>
      <c r="O69" s="3" t="inlineStr">
        <is>
          <t>../../2019/jama.2019.7505/.ai_paper_validation/final_report_1_5_2.html</t>
        </is>
      </c>
      <c r="P69" s="3" t="inlineStr">
        <is>
          <t>2019/jama.2019.7505/.ai_paper_validation/final_report_1_5_2.md</t>
        </is>
      </c>
      <c r="Q69" s="3" t="inlineStr">
        <is>
          <t>C001</t>
        </is>
      </c>
      <c r="R69" s="3" t="inlineStr">
        <is>
          <t>Pending Human Adjudication</t>
        </is>
      </c>
      <c r="S69" s="3" t="inlineStr">
        <is>
          <t>The abstract and Table 3 print opposite signs for the upper endpoint of the otherwise matched high-minus-low hypoxemia risk-difference confidence interval.</t>
        </is>
      </c>
      <c r="T69" s="3" t="b">
        <v>1</v>
      </c>
      <c r="U69" s="3" t="inlineStr">
        <is>
          <t>ci_sign</t>
        </is>
      </c>
      <c r="V69" s="3" t="inlineStr">
        <is>
          <t>report_internal_inconsistency</t>
        </is>
      </c>
      <c r="W69" s="3" t="inlineStr">
        <is>
          <t>Hypoxemia confidence-interval endpoint sign differs between abstract and Table 3</t>
        </is>
      </c>
      <c r="X69" s="3" t="inlineStr">
        <is>
          <t>2019</t>
        </is>
      </c>
      <c r="Y69" s="3" t="inlineStr">
        <is>
          <t>meta_report/consistency_reclassification_2026-09-04/reclassified_candidates.json</t>
        </is>
      </c>
      <c r="Z69" s="3" t="inlineStr">
        <is>
          <t>S_W</t>
        </is>
      </c>
      <c r="AA69" s="3" t="inlineStr">
        <is>
          <t>report_internal_inconsistency</t>
        </is>
      </c>
      <c r="AB69" s="3" t="inlineStr">
        <is>
          <t>retain</t>
        </is>
      </c>
    </row>
    <row r="70" ht="95" customHeight="1">
      <c r="A70" s="2" t="b">
        <v>0</v>
      </c>
      <c r="B70" s="2" t="inlineStr">
        <is>
          <t>An unstated zero-cell estimator, alternate method, or cell alignment may partly explain it; no replacement RR is asserted.</t>
        </is>
      </c>
      <c r="C70" s="2" t="b">
        <v>0</v>
      </c>
      <c r="D70" s="2" t="inlineStr">
        <is>
          <t>Statistical reporting inconsistency</t>
        </is>
      </c>
      <c r="E70" s="2" t="b">
        <v>0</v>
      </c>
      <c r="F70" s="2" t="inlineStr">
        <is>
          <t>C002</t>
        </is>
      </c>
      <c r="G70" s="2" t="inlineStr">
        <is>
          <t>2019::jama.2019.7505::C002</t>
        </is>
      </c>
      <c r="H70" s="2" t="inlineStr"/>
      <c r="I70" s="2" t="inlineStr">
        <is>
          <t>DOC-001, jama_bluth_2019_oi_190055_16092.pdf — PDF p. 9, Table 3; PDF p. 10, continued Table 3 footnotes; and PDF p. 4, binary-outcome method.</t>
        </is>
      </c>
      <c r="J70" s="2" t="b">
        <v>0</v>
      </c>
      <c r="K70" s="2" t="inlineStr">
        <is>
          <t>jama.2019.7505</t>
        </is>
      </c>
      <c r="L70" s="2" t="inlineStr"/>
      <c r="M70" s="2" t="inlineStr">
        <is>
          <t>S_W</t>
        </is>
      </c>
      <c r="N70" s="2" t="inlineStr">
        <is>
          <t>Main Table3 DIC row shows1 versus0 events alongside finite RR2.00 and narrow CI1.91–2.09/P&gt;.99; main methods lack the zero-cell rule needed to reconcile that display.</t>
        </is>
      </c>
      <c r="O70" s="2" t="inlineStr">
        <is>
          <t>../../2019/jama.2019.7505/.ai_paper_validation/final_report_1_5_2.html</t>
        </is>
      </c>
      <c r="P70" s="2" t="inlineStr">
        <is>
          <t>2019/jama.2019.7505/.ai_paper_validation/final_report_1_5_2.md</t>
        </is>
      </c>
      <c r="Q70" s="2" t="inlineStr">
        <is>
          <t>C002</t>
        </is>
      </c>
      <c r="R70" s="2" t="inlineStr">
        <is>
          <t>Pending Human Adjudication</t>
        </is>
      </c>
      <c r="S70" s="2" t="inlineStr">
        <is>
          <t>The Table 3 DIC row prints 1 versus 0 events but a finite RR 2.00 with a narrow interval excluding 1; the source does not supply the estimator needed to reconcile these values.</t>
        </is>
      </c>
      <c r="T70" s="2" t="b">
        <v>1</v>
      </c>
      <c r="U70" s="2" t="inlineStr">
        <is>
          <t>statistical_compatibility</t>
        </is>
      </c>
      <c r="V70" s="2" t="inlineStr">
        <is>
          <t>statistical_results</t>
        </is>
      </c>
      <c r="W70" s="2" t="inlineStr">
        <is>
          <t>DIC row finite risk ratio and narrow interval do not reconcile with zero comparator events</t>
        </is>
      </c>
      <c r="X70" s="2" t="inlineStr">
        <is>
          <t>2019</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is>
          <t>Later SAP may legitimately supersede preliminary wording; the unresolved compound phrase is a planning-text issue.</t>
        </is>
      </c>
      <c r="C71" s="3" t="b">
        <v>1</v>
      </c>
      <c r="D71" s="3" t="inlineStr">
        <is>
          <t>Measure, label, or scale inconsistency</t>
        </is>
      </c>
      <c r="E71" s="3" t="b">
        <v>0</v>
      </c>
      <c r="F71" s="3" t="inlineStr">
        <is>
          <t>C003</t>
        </is>
      </c>
      <c r="G71" s="3" t="inlineStr">
        <is>
          <t>2019::jama.2019.7505::C003</t>
        </is>
      </c>
      <c r="H71" s="3" t="inlineStr"/>
      <c r="I71" s="3" t="inlineStr">
        <is>
          <t>DOC-002, joi190055supp1_prod_16092.pdf — physical PDF p. 23 (footer p. 22), section 8.2 Analysis; comparator definitions in DOC-004, joi190055supp3_prod_16092.pdf — PDF p. 2 and PDF p. 3.</t>
        </is>
      </c>
      <c r="J71" s="3" t="b">
        <v>0</v>
      </c>
      <c r="K71" s="3" t="inlineStr">
        <is>
          <t>jama.2019.7505</t>
        </is>
      </c>
      <c r="L71" s="3" t="inlineStr"/>
      <c r="M71" s="3" t="inlineStr">
        <is>
          <t>P_P</t>
        </is>
      </c>
      <c r="N71" s="3"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71" s="3" t="inlineStr">
        <is>
          <t>../../2019/jama.2019.7505/.ai_paper_validation/final_report_1_5_2.html</t>
        </is>
      </c>
      <c r="P71" s="3" t="inlineStr">
        <is>
          <t>2019/jama.2019.7505/.ai_paper_validation/final_report_1_5_2.md</t>
        </is>
      </c>
      <c r="Q71" s="3" t="inlineStr">
        <is>
          <t>C003</t>
        </is>
      </c>
      <c r="R71" s="3" t="inlineStr">
        <is>
          <t>Pending Human Adjudication</t>
        </is>
      </c>
      <c r="S71" s="3" t="inlineStr">
        <is>
          <t>A protocol planned-analysis sentence joins “odds ratio” and “relative risks” without a separator, alternative-analysis definition, or conversion rule, while the final SAP specifies a primary risk ratio.</t>
        </is>
      </c>
      <c r="T71" s="3" t="b">
        <v>0</v>
      </c>
      <c r="U71" s="3" t="inlineStr">
        <is>
          <t>effect_measure_label</t>
        </is>
      </c>
      <c r="V71" s="3" t="inlineStr">
        <is>
          <t>plan_material</t>
        </is>
      </c>
      <c r="W71" s="3" t="inlineStr">
        <is>
          <t>Protocol analysis sentence combines odds-ratio and relative-risk labels</t>
        </is>
      </c>
      <c r="X71" s="3" t="inlineStr">
        <is>
          <t>2019</t>
        </is>
      </c>
      <c r="Y71" s="3" t="inlineStr">
        <is>
          <t>meta_report/consistency_reclassification_2026-09-04/reclassified_candidates.json</t>
        </is>
      </c>
      <c r="Z71" s="3" t="inlineStr">
        <is>
          <t>P_P</t>
        </is>
      </c>
      <c r="AA71" s="3" t="inlineStr">
        <is>
          <t>plan_material</t>
        </is>
      </c>
      <c r="AB71" s="3" t="inlineStr">
        <is>
          <t>retain</t>
        </is>
      </c>
    </row>
    <row r="72" ht="95" customHeight="1">
      <c r="A72" s="2" t="b">
        <v>0</v>
      </c>
      <c r="B72" s="2" t="inlineStr"/>
      <c r="C72" s="2" t="b">
        <v>0</v>
      </c>
      <c r="D72" s="2" t="inlineStr">
        <is>
          <t>Measure, label, or scale inconsistency</t>
        </is>
      </c>
      <c r="E72" s="2" t="b">
        <v>0</v>
      </c>
      <c r="F72" s="2" t="inlineStr">
        <is>
          <t>C004</t>
        </is>
      </c>
      <c r="G72" s="2" t="inlineStr">
        <is>
          <t>2019::jama.2019.7505::C004</t>
        </is>
      </c>
      <c r="H72" s="2" t="inlineStr"/>
      <c r="I72" s="2" t="inlineStr">
        <is>
          <t>DOC-005, joi190055supp4_prod_16092.pdf — PDF p. 41, eFigure 11; comparator PDF p. 40, eFigure 10; and DOC-001, jama_bluth_2019_oi_190055_16092.pdf — PDF p. 10, Table 3.</t>
        </is>
      </c>
      <c r="J72" s="2" t="b">
        <v>0</v>
      </c>
      <c r="K72" s="2" t="inlineStr">
        <is>
          <t>jama.2019.7505</t>
        </is>
      </c>
      <c r="L72" s="2" t="inlineStr"/>
      <c r="M72" s="2" t="inlineStr">
        <is>
          <t>S_W</t>
        </is>
      </c>
      <c r="N72" s="2"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72" s="2" t="inlineStr">
        <is>
          <t>../../2019/jama.2019.7505/.ai_paper_validation/final_report_1_5_2.html</t>
        </is>
      </c>
      <c r="P72" s="2" t="inlineStr">
        <is>
          <t>2019/jama.2019.7505/.ai_paper_validation/final_report_1_5_2.md</t>
        </is>
      </c>
      <c r="Q72" s="2" t="inlineStr">
        <is>
          <t>C004</t>
        </is>
      </c>
      <c r="R72" s="2" t="inlineStr">
        <is>
          <t>Pending Human Adjudication</t>
        </is>
      </c>
      <c r="S72" s="2" t="inlineStr">
        <is>
          <t>eFigure 11's narrative calls its displayed mortality values postoperative extra-pulmonary complications, although its title, axis, effect label, and matching Table 3 values identify five-day mortality.</t>
        </is>
      </c>
      <c r="T72" s="2" t="b">
        <v>1</v>
      </c>
      <c r="U72" s="2" t="inlineStr">
        <is>
          <t>outcome_label</t>
        </is>
      </c>
      <c r="V72" s="2" t="inlineStr">
        <is>
          <t>report_internal_inconsistency</t>
        </is>
      </c>
      <c r="W72" s="2" t="inlineStr">
        <is>
          <t>eFigure 11 mortality values are described as extra-pulmonary complications</t>
        </is>
      </c>
      <c r="X72" s="2" t="inlineStr">
        <is>
          <t>2019</t>
        </is>
      </c>
      <c r="Y72" s="2" t="inlineStr">
        <is>
          <t>meta_report/consistency_reclassification_2026-09-04/reclassified_candidates.json</t>
        </is>
      </c>
      <c r="Z72" s="2" t="inlineStr">
        <is>
          <t>S_W</t>
        </is>
      </c>
      <c r="AA72" s="2" t="inlineStr">
        <is>
          <t>report_internal_inconsistency</t>
        </is>
      </c>
      <c r="AB7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72"/>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D26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2019::jama.2019.0556::C001</t>
        </is>
      </c>
      <c r="B2" s="2" t="n">
        <v>0</v>
      </c>
      <c r="C2" s="2" t="inlineStr">
        <is>
          <t>Source evidence</t>
        </is>
      </c>
      <c r="D2" s="2" t="inlineStr">
        <is>
          <t>Footnote d prints 32/256 (12.5%) and 22/256 (8.6%) both as “supplements without therapy.” Footnote f and Results identify 22/256 (8.6%) as supplements with therapy.</t>
        </is>
      </c>
    </row>
    <row r="3" ht="48" customHeight="1">
      <c r="A3" s="3" t="inlineStr">
        <is>
          <t>2019::jama.2019.0556::C001</t>
        </is>
      </c>
      <c r="B3" s="3" t="n">
        <v>1</v>
      </c>
      <c r="C3" s="3" t="inlineStr">
        <is>
          <t>Reported-versus-comparator</t>
        </is>
      </c>
      <c r="D3" s="3" t="inlineStr">
        <is>
          <t>Repeated “without therapy” versus the Figure 1 allocation/Results and footnote-f “with therapy” label for 22/256.</t>
        </is>
      </c>
    </row>
    <row r="4" ht="48" customHeight="1">
      <c r="A4" s="2" t="inlineStr">
        <is>
          <t>2019::jama.2019.0556::C001</t>
        </is>
      </c>
      <c r="B4" s="2" t="n">
        <v>2</v>
      </c>
      <c r="C4" s="2" t="inlineStr">
        <is>
          <t>Calculation</t>
        </is>
      </c>
      <c r="D4" s="2" t="inlineStr">
        <is>
          <t>32+22=54 events and 256+256=512; 22/256=8.59375%, rounded 8.6%. The other partition is 25+32=57 without therapy and 26+22=48 with therapy.</t>
        </is>
      </c>
    </row>
    <row r="5" ht="48" customHeight="1">
      <c r="A5" s="3" t="inlineStr">
        <is>
          <t>2019::jama.2019.0556::C001</t>
        </is>
      </c>
      <c r="B5" s="3" t="n">
        <v>3</v>
      </c>
      <c r="C5" s="3" t="inlineStr">
        <is>
          <t>Alternative source-grounded interpretations</t>
        </is>
      </c>
      <c r="D5" s="3" t="inlineStr">
        <is>
          <t>Counts, percentages, total, OR, CI, and P value reconcile; the problem may be confined to one footnote label.</t>
        </is>
      </c>
    </row>
    <row r="6" ht="48" customHeight="1">
      <c r="A6" s="2" t="inlineStr">
        <is>
          <t>2019::jama.2019.0556::C002</t>
        </is>
      </c>
      <c r="B6" s="2" t="n">
        <v>0</v>
      </c>
      <c r="C6" s="2" t="inlineStr">
        <is>
          <t>Source evidence</t>
        </is>
      </c>
      <c r="D6" s="2" t="inlineStr">
        <is>
          <t>Methods/eAppendices print &gt;=70%; Results says 77% had adherence “more than 70%.”</t>
        </is>
      </c>
    </row>
    <row r="7" ht="48" customHeight="1">
      <c r="A7" s="3" t="inlineStr">
        <is>
          <t>2019::jama.2019.0556::C002</t>
        </is>
      </c>
      <c r="B7" s="3" t="n">
        <v>1</v>
      </c>
      <c r="C7" s="3" t="inlineStr">
        <is>
          <t>Reported-versus-comparator</t>
        </is>
      </c>
      <c r="D7" s="3" t="inlineStr">
        <is>
          <t>Strict &gt;70% prose versus inclusive &gt;=70% operational/table wording.</t>
        </is>
      </c>
    </row>
    <row r="8" ht="48" customHeight="1">
      <c r="A8" s="2" t="inlineStr">
        <is>
          <t>2019::jama.2019.0556::C002</t>
        </is>
      </c>
      <c r="B8" s="2" t="n">
        <v>2</v>
      </c>
      <c r="C8" s="2" t="inlineStr">
        <is>
          <t>Calculation</t>
        </is>
      </c>
      <c r="D8" s="2" t="inlineStr">
        <is>
          <t>eAppendix 8 pill-weight multinutrient counts are 135+134+126+120=515; 515/666=77.3%, compatible with the rounded 77%. &gt;=70% includes exactly 70%; &gt;70% does not.</t>
        </is>
      </c>
    </row>
    <row r="9" ht="48" customHeight="1">
      <c r="A9" s="3" t="inlineStr">
        <is>
          <t>2019::jama.2019.0556::C002</t>
        </is>
      </c>
      <c r="B9" s="3" t="n">
        <v>3</v>
      </c>
      <c r="C9" s="3" t="inlineStr">
        <is>
          <t>Alternative source-grounded interpretations</t>
        </is>
      </c>
      <c r="D9" s="3" t="inlineStr">
        <is>
          <t>Results may use informal prose for the inclusive criterion and no participant may lie exactly at 70%.</t>
        </is>
      </c>
    </row>
    <row r="10" ht="48" customHeight="1">
      <c r="A10" s="2" t="inlineStr">
        <is>
          <t>2019::jama.2019.0556::C003</t>
        </is>
      </c>
      <c r="B10" s="2" t="n">
        <v>0</v>
      </c>
      <c r="C10" s="2" t="inlineStr">
        <is>
          <t>Source evidence</t>
        </is>
      </c>
      <c r="D10" s="2" t="inlineStr">
        <is>
          <t>Four &gt;=70% rows carry *; the * note defines average Morisky score. The Morisky row has no marker. The note gives kappas 0.73/0.70 but no row visibly carries .</t>
        </is>
      </c>
    </row>
    <row r="11" ht="48" customHeight="1">
      <c r="A11" s="3" t="inlineStr">
        <is>
          <t>2019::jama.2019.0556::C003</t>
        </is>
      </c>
      <c r="B11" s="3" t="n">
        <v>1</v>
      </c>
      <c r="C11" s="3" t="inlineStr">
        <is>
          <t>Reported-versus-comparator</t>
        </is>
      </c>
      <c r="D11" s="3" t="inlineStr">
        <is>
          <t>Marker placements versus the content and apparent targets of the two notes.</t>
        </is>
      </c>
    </row>
    <row r="12" ht="48" customHeight="1">
      <c r="A12" s="2" t="inlineStr">
        <is>
          <t>2019::jama.2019.0556::C003</t>
        </is>
      </c>
      <c r="B12" s="2" t="n">
        <v>2</v>
      </c>
      <c r="C12" s="2" t="inlineStr">
        <is>
          <t>Calculation</t>
        </is>
      </c>
      <c r="D12" s="2" t="inlineStr">
        <is>
          <t>Logical reproduction: four visible * targets map to the sole Morisky note; zero visible targets map to the kappa note; no arithmetic applies.</t>
        </is>
      </c>
    </row>
    <row r="13" ht="48" customHeight="1">
      <c r="A13" s="3" t="inlineStr">
        <is>
          <t>2019::jama.2019.0556::C003</t>
        </is>
      </c>
      <c r="B13" s="3" t="n">
        <v>3</v>
      </c>
      <c r="C13" s="3" t="inlineStr">
        <is>
          <t>Alternative source-grounded interpretations</t>
        </is>
      </c>
      <c r="D13" s="3" t="inlineStr">
        <is>
          <t>Production may have shifted markers; the intended corrected arrangement cannot be determined from the PDF.</t>
        </is>
      </c>
    </row>
    <row r="14" ht="48" customHeight="1">
      <c r="A14" s="2" t="inlineStr">
        <is>
          <t>2019::jama.2019.0556::C004</t>
        </is>
      </c>
      <c r="B14" s="2" t="n">
        <v>0</v>
      </c>
      <c r="C14" s="2" t="inlineStr">
        <is>
          <t>Source evidence</t>
        </is>
      </c>
      <c r="D14" s="2" t="inlineStr">
        <is>
          <t>The row prints B=0.464, 95% CI 0.409 to 0.52, and p=0.</t>
        </is>
      </c>
    </row>
    <row r="15" ht="48" customHeight="1">
      <c r="A15" s="3" t="inlineStr">
        <is>
          <t>2019::jama.2019.0556::C004</t>
        </is>
      </c>
      <c r="B15" s="3" t="n">
        <v>1</v>
      </c>
      <c r="C15" s="3" t="inlineStr">
        <is>
          <t>Reported-versus-comparator</t>
        </is>
      </c>
      <c r="D15" s="3" t="inlineStr">
        <is>
          <t>Literal zero P field versus the row’s positive coefficient/wholly positive interval; no independent exact P occurrence is supplied.</t>
        </is>
      </c>
    </row>
    <row r="16" ht="48" customHeight="1">
      <c r="A16" s="2" t="inlineStr">
        <is>
          <t>2019::jama.2019.0556::C004</t>
        </is>
      </c>
      <c r="B16" s="2" t="n">
        <v>2</v>
      </c>
      <c r="C16" s="2" t="inlineStr">
        <is>
          <t>Calculation</t>
        </is>
      </c>
      <c r="D16" s="2" t="inlineStr">
        <is>
          <t>Diagnostic only: SE approximately (0.520-0.409)/(2x1.96)=0.0283; z approximately 0.464/0.0283=16.4, consistent with a very small positive two-sided tail probability, not an exact recovered P value.</t>
        </is>
      </c>
    </row>
    <row r="17" ht="48" customHeight="1">
      <c r="A17" s="3" t="inlineStr">
        <is>
          <t>2019::jama.2019.0556::C004</t>
        </is>
      </c>
      <c r="B17" s="3" t="n">
        <v>3</v>
      </c>
      <c r="C17" s="3" t="inlineStr">
        <is>
          <t>Alternative source-grounded interpretations</t>
        </is>
      </c>
      <c r="D17" s="3" t="inlineStr">
        <is>
          <t>0 may be fixed-precision software/export rendering of a very small positive P value.</t>
        </is>
      </c>
    </row>
    <row r="18" ht="48" customHeight="1">
      <c r="A18" s="2" t="inlineStr">
        <is>
          <t>2019::jama.2019.0556::C005</t>
        </is>
      </c>
      <c r="B18" s="2" t="n">
        <v>0</v>
      </c>
      <c r="C18" s="2" t="inlineStr">
        <is>
          <t>Source evidence</t>
        </is>
      </c>
      <c r="D18" s="2" t="inlineStr">
        <is>
          <t>It prints “392 participants (196 in each of the 4 possible intervention combinations)” and then 22% attrition with 250 per intervention combination.</t>
        </is>
      </c>
    </row>
    <row r="19" ht="48" customHeight="1">
      <c r="A19" s="3" t="inlineStr">
        <is>
          <t>2019::jama.2019.0556::C005</t>
        </is>
      </c>
      <c r="B19" s="3" t="n">
        <v>1</v>
      </c>
      <c r="C19" s="3" t="inlineStr">
        <is>
          <t>Reported-versus-comparator</t>
        </is>
      </c>
      <c r="D19" s="3" t="inlineStr">
        <is>
          <t>Reported total 392 versus four stated cells of 196; later four cells of 250 provide an internal comparator.</t>
        </is>
      </c>
    </row>
    <row r="20" ht="48" customHeight="1">
      <c r="A20" s="2" t="inlineStr">
        <is>
          <t>2019::jama.2019.0556::C005</t>
        </is>
      </c>
      <c r="B20" s="2" t="n">
        <v>2</v>
      </c>
      <c r="C20" s="2" t="inlineStr">
        <is>
          <t>Calculation</t>
        </is>
      </c>
      <c r="D20" s="2" t="inlineStr">
        <is>
          <t>4x196=784, not 392; 392/196=2. Conversely, 4x250=1000, consistent with the later per-combination statement.</t>
        </is>
      </c>
    </row>
    <row r="21" ht="48" customHeight="1">
      <c r="A21" s="3" t="inlineStr">
        <is>
          <t>2019::jama.2019.0556::C005</t>
        </is>
      </c>
      <c r="B21" s="3" t="n">
        <v>3</v>
      </c>
      <c r="C21" s="3" t="inlineStr">
        <is>
          <t>Alternative source-grounded interpretations</t>
        </is>
      </c>
      <c r="D21" s="3" t="inlineStr">
        <is>
          <t>392 may be a marginal two-level factorial contrast (196+196), although the sentence says 196 in each of four combinations.</t>
        </is>
      </c>
    </row>
    <row r="22" ht="48" customHeight="1">
      <c r="A22" s="2" t="inlineStr">
        <is>
          <t>2019::jama.2019.0556::C006</t>
        </is>
      </c>
      <c r="B22" s="2" t="n">
        <v>0</v>
      </c>
      <c r="C22" s="2" t="inlineStr">
        <is>
          <t>Source evidence</t>
        </is>
      </c>
      <c r="D22" s="2" t="inlineStr">
        <is>
          <t>The protocol prints “difference of 25%,” followed by 30% control and 15% intervention one-year incidence.</t>
        </is>
      </c>
    </row>
    <row r="23" ht="48" customHeight="1">
      <c r="A23" s="3" t="inlineStr">
        <is>
          <t>2019::jama.2019.0556::C006</t>
        </is>
      </c>
      <c r="B23" s="3" t="n">
        <v>1</v>
      </c>
      <c r="C23" s="3" t="inlineStr">
        <is>
          <t>Reported-versus-comparator</t>
        </is>
      </c>
      <c r="D23" s="3" t="inlineStr">
        <is>
          <t>25% wording versus the two printed incidences.</t>
        </is>
      </c>
    </row>
    <row r="24" ht="48" customHeight="1">
      <c r="A24" s="2" t="inlineStr">
        <is>
          <t>2019::jama.2019.0556::C006</t>
        </is>
      </c>
      <c r="B24" s="2" t="n">
        <v>2</v>
      </c>
      <c r="C24" s="2" t="inlineStr">
        <is>
          <t>Calculation</t>
        </is>
      </c>
      <c r="D24" s="2" t="inlineStr">
        <is>
          <t>30%-15%=15 percentage points; (30%-15%)/30%=50%; risk ratio=15%/30%=0.50. None equals 25%.</t>
        </is>
      </c>
    </row>
    <row r="25" ht="48" customHeight="1">
      <c r="A25" s="3" t="inlineStr">
        <is>
          <t>2019::jama.2019.0556::C006</t>
        </is>
      </c>
      <c r="B25" s="3" t="n">
        <v>3</v>
      </c>
      <c r="C25" s="3" t="inlineStr">
        <is>
          <t>Alternative source-grounded interpretations</t>
        </is>
      </c>
      <c r="D25" s="3" t="inlineStr">
        <is>
          <t>The 25% may refer to an unstated calculation parameter or drafting carryover.</t>
        </is>
      </c>
    </row>
    <row r="26" ht="48" customHeight="1">
      <c r="A26" s="2" t="inlineStr">
        <is>
          <t>2019::jama.2019.0556::C007</t>
        </is>
      </c>
      <c r="B26" s="2" t="n">
        <v>0</v>
      </c>
      <c r="C26" s="2" t="inlineStr">
        <is>
          <t>Source evidence</t>
        </is>
      </c>
      <c r="D26" s="2" t="inlineStr">
        <is>
          <t>Publication: 30% versus 20%, 33% reduction, 196 stated per combination, 22% attrition, 250 per combination. Protocol: 30% versus 15%, 180 per group, 20% dropout, 250 per arm.</t>
        </is>
      </c>
    </row>
    <row r="27" ht="48" customHeight="1">
      <c r="A27" s="3" t="inlineStr">
        <is>
          <t>2019::jama.2019.0556::C007</t>
        </is>
      </c>
      <c r="B27" s="3" t="n">
        <v>1</v>
      </c>
      <c r="C27" s="3" t="inlineStr">
        <is>
          <t>Reported-versus-comparator</t>
        </is>
      </c>
      <c r="D27" s="3" t="inlineStr">
        <is>
          <t>Same one-year factorial trial’s publication planning inputs versus protocol planning inputs.</t>
        </is>
      </c>
    </row>
    <row r="28" ht="48" customHeight="1">
      <c r="A28" s="2" t="inlineStr">
        <is>
          <t>2019::jama.2019.0556::C007</t>
        </is>
      </c>
      <c r="B28" s="2" t="n">
        <v>2</v>
      </c>
      <c r="C28" s="2" t="inlineStr">
        <is>
          <t>Calculation</t>
        </is>
      </c>
      <c r="D28" s="2" t="inlineStr">
        <is>
          <t>Protocol contrast: 15 percentage points/50% relative reduction. Publication: 10 points/33.3% relative reduction. Attrition differs by 2 points; both final targets imply 4x250=1000.</t>
        </is>
      </c>
    </row>
    <row r="29" ht="48" customHeight="1">
      <c r="A29" s="3" t="inlineStr">
        <is>
          <t>2019::jama.2019.0556::C007</t>
        </is>
      </c>
      <c r="B29" s="3" t="n">
        <v>3</v>
      </c>
      <c r="C29" s="3" t="inlineStr">
        <is>
          <t>Alternative source-grounded interpretations</t>
        </is>
      </c>
      <c r="D29" s="3" t="inlineStr">
        <is>
          <t>Protocol version 7 may reflect another planning stage or a legitimate amendment; the compared pages do not document the transition.</t>
        </is>
      </c>
    </row>
    <row r="30" ht="48" customHeight="1">
      <c r="A30" s="2" t="inlineStr">
        <is>
          <t>2019::jama.2019.0556::C008</t>
        </is>
      </c>
      <c r="B30" s="2" t="n">
        <v>0</v>
      </c>
      <c r="C30" s="2" t="inlineStr">
        <is>
          <t>Source evidence</t>
        </is>
      </c>
      <c r="D30" s="2" t="inlineStr">
        <is>
          <t>Protocol p. 8 prints DSM-IV/MINI; p. 28 prints DSM-5/MINI V5.01, both with baseline, 3-, 6-, and 12-month assessment. The article identifies DSM-IV/MINI 5.0.</t>
        </is>
      </c>
    </row>
    <row r="31" ht="48" customHeight="1">
      <c r="A31" s="3" t="inlineStr">
        <is>
          <t>2019::jama.2019.0556::C008</t>
        </is>
      </c>
      <c r="B31" s="3" t="n">
        <v>1</v>
      </c>
      <c r="C31" s="3" t="inlineStr">
        <is>
          <t>Reported-versus-comparator</t>
        </is>
      </c>
      <c r="D31" s="3" t="inlineStr">
        <is>
          <t>DSM-IV endpoint label versus DSM-5 label for matching endpoint/schedule.</t>
        </is>
      </c>
    </row>
    <row r="32" ht="48" customHeight="1">
      <c r="A32" s="2" t="inlineStr">
        <is>
          <t>2019::jama.2019.0556::C008</t>
        </is>
      </c>
      <c r="B32" s="2" t="n">
        <v>2</v>
      </c>
      <c r="C32" s="2" t="inlineStr">
        <is>
          <t>Calculation</t>
        </is>
      </c>
      <c r="D32" s="2" t="inlineStr">
        <is>
          <t>Logical comparison only: DSM-IV and DSM-5 are distinct labels; no arithmetic applies.</t>
        </is>
      </c>
    </row>
    <row r="33" ht="48" customHeight="1">
      <c r="A33" s="3" t="inlineStr">
        <is>
          <t>2019::jama.2019.0556::C008</t>
        </is>
      </c>
      <c r="B33" s="3" t="n">
        <v>3</v>
      </c>
      <c r="C33" s="3" t="inlineStr">
        <is>
          <t>Alternative source-grounded interpretations</t>
        </is>
      </c>
      <c r="D33" s="3" t="inlineStr">
        <is>
          <t>An unrevised section may remain, or the label difference may not have altered the operational MINI assessment.</t>
        </is>
      </c>
    </row>
    <row r="34" ht="48" customHeight="1">
      <c r="A34" s="2" t="inlineStr">
        <is>
          <t>2019::jama.2019.0556::C009</t>
        </is>
      </c>
      <c r="B34" s="2" t="n">
        <v>0</v>
      </c>
      <c r="C34" s="2" t="inlineStr">
        <is>
          <t>Source evidence</t>
        </is>
      </c>
      <c r="D34" s="2" t="inlineStr">
        <is>
          <t>The global sentence is the 2-sided significance threshold will be set at p 0.05. A p. 5 local modifier rule separately prints p&lt;0.05.</t>
        </is>
      </c>
    </row>
    <row r="35" ht="48" customHeight="1">
      <c r="A35" s="3" t="inlineStr">
        <is>
          <t>2019::jama.2019.0556::C009</t>
        </is>
      </c>
      <c r="B35" s="3" t="n">
        <v>1</v>
      </c>
      <c r="C35" s="3" t="inlineStr">
        <is>
          <t>Reported-versus-comparator</t>
        </is>
      </c>
      <c r="D35" s="3" t="inlineStr">
        <is>
          <t>Operator-free global threshold versus the locally explicit &lt; comparison.</t>
        </is>
      </c>
    </row>
    <row r="36" ht="48" customHeight="1">
      <c r="A36" s="2" t="inlineStr">
        <is>
          <t>2019::jama.2019.0556::C009</t>
        </is>
      </c>
      <c r="B36" s="2" t="n">
        <v>2</v>
      </c>
      <c r="C36" s="2" t="inlineStr">
        <is>
          <t>Calculation</t>
        </is>
      </c>
      <c r="D36" s="2" t="inlineStr">
        <is>
          <t>The p. 3 syntax cannot classify 0.049, 0.050, or 0.051. Under p. 5’s local p&lt;0.05, 0.049 meets that local rule; this comparator does not correct p. 3.</t>
        </is>
      </c>
    </row>
    <row r="37" ht="48" customHeight="1">
      <c r="A37" s="3" t="inlineStr">
        <is>
          <t>2019::jama.2019.0556::C009</t>
        </is>
      </c>
      <c r="B37" s="3" t="n">
        <v>3</v>
      </c>
      <c r="C37" s="3" t="inlineStr">
        <is>
          <t>Alternative source-grounded interpretations</t>
        </is>
      </c>
      <c r="D37" s="3" t="inlineStr">
        <is>
          <t>A less-than glyph may have been lost in production; it renders elsewhere in the same plan.</t>
        </is>
      </c>
    </row>
    <row r="38" ht="58" customHeight="1">
      <c r="A38" s="2" t="inlineStr">
        <is>
          <t>2019::jama.2019.10517::C001</t>
        </is>
      </c>
      <c r="B38" s="2" t="n">
        <v>0</v>
      </c>
      <c r="C38" s="2" t="inlineStr">
        <is>
          <t>Source evidence</t>
        </is>
      </c>
      <c r="D38" s="2" t="inlineStr">
        <is>
          <t>Each cited row prints 9/64 (14.1%) for sertraline plus olanzapine and 6/62 (9.7%) for sertraline plus placebo. Each prints 4.3 (-8 to 17.2) in the “Absolute Unadjusted Difference Between Groups, % (95% CI)” column.</t>
        </is>
      </c>
    </row>
    <row r="39" ht="48" customHeight="1">
      <c r="A39" s="3" t="inlineStr">
        <is>
          <t>2019::jama.2019.10517::C001</t>
        </is>
      </c>
      <c r="B39" s="3" t="n">
        <v>1</v>
      </c>
      <c r="C39" s="3" t="inlineStr">
        <is>
          <t>Reported-versus-comparator</t>
        </is>
      </c>
      <c r="D39" s="3" t="inlineStr">
        <is>
          <t>Reported point value: 4.3%. Comparator: the first displayed raw proportion minus the second, (9/64 − 6/62) × 100, and independently 14.1 − 9.7 percentage points.</t>
        </is>
      </c>
    </row>
    <row r="40" ht="74" customHeight="1">
      <c r="A40" s="2" t="inlineStr">
        <is>
          <t>2019::jama.2019.10517::C001</t>
        </is>
      </c>
      <c r="B40" s="2" t="n">
        <v>2</v>
      </c>
      <c r="C40" s="2" t="inlineStr">
        <is>
          <t>Calculation</t>
        </is>
      </c>
      <c r="D40" s="2"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41" ht="58" customHeight="1">
      <c r="A41" s="3" t="inlineStr">
        <is>
          <t>2019::jama.2019.10517::C001</t>
        </is>
      </c>
      <c r="B41" s="3" t="n">
        <v>3</v>
      </c>
      <c r="C41" s="3" t="inlineStr">
        <is>
          <t>Alternative source-grounded interpretations</t>
        </is>
      </c>
      <c r="D41" s="3"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42" ht="58" customHeight="1">
      <c r="A42" s="2" t="inlineStr">
        <is>
          <t>2019::jama.2019.10517::C002</t>
        </is>
      </c>
      <c r="B42" s="2" t="n">
        <v>0</v>
      </c>
      <c r="C42" s="2" t="inlineStr">
        <is>
          <t>Source evidence</t>
        </is>
      </c>
      <c r="D42" s="2" t="inlineStr">
        <is>
          <t>Main-article pages 1 and 7 print the HbA1c daily treatment-by-linear-time result as −0.0002 mg/dL (95% CI, −0.0021 to 0.0016); page 7 reports adjusted P = .99. Table 4 labels the outcome HbA1c, %, and eFigure 8 labels its axis HbA1c (%) for the matched mixed-model display.</t>
        </is>
      </c>
    </row>
    <row r="43" ht="48" customHeight="1">
      <c r="A43" s="3" t="inlineStr">
        <is>
          <t>2019::jama.2019.10517::C002</t>
        </is>
      </c>
      <c r="B43" s="3" t="n">
        <v>1</v>
      </c>
      <c r="C43" s="3" t="inlineStr">
        <is>
          <t>Reported-versus-comparator</t>
        </is>
      </c>
      <c r="D43" s="3" t="inlineStr">
        <is>
          <t>Reported label: mg/dL for the repeated interaction coefficient and interval. Comparator labels: % in Table 4 and HbA1c (%) in eFigure 8 for the same named outcome.</t>
        </is>
      </c>
    </row>
    <row r="44" ht="58" customHeight="1">
      <c r="A44" s="2" t="inlineStr">
        <is>
          <t>2019::jama.2019.10517::C002</t>
        </is>
      </c>
      <c r="B44" s="2" t="n">
        <v>2</v>
      </c>
      <c r="C44" s="2" t="inlineStr">
        <is>
          <t>Calculation</t>
        </is>
      </c>
      <c r="D44" s="2" t="inlineStr">
        <is>
          <t>This is a label comparison, not a numeric conversion. The coefficient and interval match exactly across pages 1 and 7. No conversion between mg/dL and %, or definition of a distinct transformed HbA1c variable, is supplied.</t>
        </is>
      </c>
    </row>
    <row r="45" ht="58" customHeight="1">
      <c r="A45" s="3" t="inlineStr">
        <is>
          <t>2019::jama.2019.10517::C002</t>
        </is>
      </c>
      <c r="B45" s="3" t="n">
        <v>3</v>
      </c>
      <c r="C45" s="3" t="inlineStr">
        <is>
          <t>Alternative source-grounded interpretations</t>
        </is>
      </c>
      <c r="D45" s="3"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46" ht="58" customHeight="1">
      <c r="A46" s="2" t="inlineStr">
        <is>
          <t>2019::jama.2019.10517::C003</t>
        </is>
      </c>
      <c r="B46" s="2" t="n">
        <v>0</v>
      </c>
      <c r="C46" s="2" t="inlineStr">
        <is>
          <t>Source evidence</t>
        </is>
      </c>
      <c r="D46" s="2"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47" ht="48" customHeight="1">
      <c r="A47" s="3" t="inlineStr">
        <is>
          <t>2019::jama.2019.10517::C003</t>
        </is>
      </c>
      <c r="B47" s="3" t="n">
        <v>1</v>
      </c>
      <c r="C47" s="3" t="inlineStr">
        <is>
          <t>Reported-versus-comparator</t>
        </is>
      </c>
      <c r="D47" s="3" t="inlineStr">
        <is>
          <t>Reported statement: 82 patients per site. Comparator: 98 acutely ill participants per site and total acute N=392, all within the same supplied protocol/SAP.</t>
        </is>
      </c>
    </row>
    <row r="48" ht="58" customHeight="1">
      <c r="A48" s="2" t="inlineStr">
        <is>
          <t>2019::jama.2019.10517::C003</t>
        </is>
      </c>
      <c r="B48" s="2" t="n">
        <v>2</v>
      </c>
      <c r="C48" s="2" t="inlineStr">
        <is>
          <t>Calculation</t>
        </is>
      </c>
      <c r="D48" s="2" t="inlineStr">
        <is>
          <t>98 × 4 = 392, reproducing the acute total. 82 × 4 = 328, 64 below 392. The per-site values differ by 98 − 82 = 16. The separate randomized target, 44 × 4 = 176, agrees with the planned discontinuation RCT total and does not resolve the acute-recruitment mismatch.</t>
        </is>
      </c>
    </row>
    <row r="49" ht="58" customHeight="1">
      <c r="A49" s="3" t="inlineStr">
        <is>
          <t>2019::jama.2019.10517::C003</t>
        </is>
      </c>
      <c r="B49" s="3" t="n">
        <v>3</v>
      </c>
      <c r="C49" s="3" t="inlineStr">
        <is>
          <t>Alternative source-grounded interpretations</t>
        </is>
      </c>
      <c r="D49" s="3"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50" ht="48" customHeight="1">
      <c r="A50" s="2" t="inlineStr">
        <is>
          <t>2019::jama.2019.12618::C001</t>
        </is>
      </c>
      <c r="B50" s="2" t="n">
        <v>0</v>
      </c>
      <c r="C50" s="2" t="inlineStr">
        <is>
          <t>Source evidence</t>
        </is>
      </c>
      <c r="D50" s="2" t="inlineStr">
        <is>
          <t>Table 1 prints enrollment through May 2015, six-month follow-up through December 2015, and maximum 12-month follow-up plus a one-month visit window through July 2015.</t>
        </is>
      </c>
    </row>
    <row r="51" ht="48" customHeight="1">
      <c r="A51" s="3" t="inlineStr">
        <is>
          <t>2019::jama.2019.12618::C001</t>
        </is>
      </c>
      <c r="B51" s="3" t="n">
        <v>1</v>
      </c>
      <c r="C51" s="3" t="inlineStr">
        <is>
          <t>Reported-versus-comparator</t>
        </is>
      </c>
      <c r="D51" s="3" t="inlineStr">
        <is>
          <t>The July 2015 maximum-follow-up endpoint is compared with the May 2015 last enrollment month plus the printed duration, and independently with December 2015 for the shorter follow-up phase.</t>
        </is>
      </c>
    </row>
    <row r="52" ht="48" customHeight="1">
      <c r="A52" s="2" t="inlineStr">
        <is>
          <t>2019::jama.2019.12618::C001</t>
        </is>
      </c>
      <c r="B52" s="2" t="n">
        <v>2</v>
      </c>
      <c r="C52" s="2" t="inlineStr">
        <is>
          <t>Calculation</t>
        </is>
      </c>
      <c r="D52" s="2" t="inlineStr">
        <is>
          <t>May 2015 + 12 months + one-month window reaches approximately June 2016. July 2015 is also five months earlier than December 2015.</t>
        </is>
      </c>
    </row>
    <row r="53" ht="48" customHeight="1">
      <c r="A53" s="3" t="inlineStr">
        <is>
          <t>2019::jama.2019.12618::C001</t>
        </is>
      </c>
      <c r="B53" s="3" t="n">
        <v>3</v>
      </c>
      <c r="C53" s="3" t="inlineStr">
        <is>
          <t>Alternative source-grounded interpretations</t>
        </is>
      </c>
      <c r="D53" s="3" t="inlineStr">
        <is>
          <t>July 2015 may refer to an earlier cohort, a year digit may be typographical, or an unsupplied amendment may govern the schedule.</t>
        </is>
      </c>
    </row>
    <row r="54" ht="48" customHeight="1">
      <c r="A54" s="2" t="inlineStr">
        <is>
          <t>2019::jama.2019.12618::C002</t>
        </is>
      </c>
      <c r="B54" s="2" t="n">
        <v>0</v>
      </c>
      <c r="C54" s="2" t="inlineStr">
        <is>
          <t>Source evidence</t>
        </is>
      </c>
      <c r="D54" s="2" t="inlineStr">
        <is>
          <t>The prose gives 49 of 68 eligible patients, then 20/32 (62.5%) and 29/42 (69.0%). Table 2 gives 32 and 42 failures; Figure 1 gives 20 and 29 switches.</t>
        </is>
      </c>
    </row>
    <row r="55" ht="48" customHeight="1">
      <c r="A55" s="3" t="inlineStr">
        <is>
          <t>2019::jama.2019.12618::C002</t>
        </is>
      </c>
      <c r="B55" s="3" t="n">
        <v>1</v>
      </c>
      <c r="C55" s="3" t="inlineStr">
        <is>
          <t>Reported-versus-comparator</t>
        </is>
      </c>
      <c r="D55" s="3" t="inlineStr">
        <is>
          <t>The aggregate eligible denominator (68) is compared with the sum of the two printed arm denominators (32+42).</t>
        </is>
      </c>
    </row>
    <row r="56" ht="48" customHeight="1">
      <c r="A56" s="2" t="inlineStr">
        <is>
          <t>2019::jama.2019.12618::C002</t>
        </is>
      </c>
      <c r="B56" s="2" t="n">
        <v>2</v>
      </c>
      <c r="C56" s="2" t="inlineStr">
        <is>
          <t>Calculation</t>
        </is>
      </c>
      <c r="D56" s="2" t="inlineStr">
        <is>
          <t>20+29=49; 32+42=74; 74−68=6. Individually, 20/32=62.5% and 29/42=69.05%, displayed as 69.0%.</t>
        </is>
      </c>
    </row>
    <row r="57" ht="48" customHeight="1">
      <c r="A57" s="3" t="inlineStr">
        <is>
          <t>2019::jama.2019.12618::C002</t>
        </is>
      </c>
      <c r="B57" s="3" t="n">
        <v>3</v>
      </c>
      <c r="C57" s="3" t="inlineStr">
        <is>
          <t>Alternative source-grounded interpretations</t>
        </is>
      </c>
      <c r="D57" s="3" t="inlineStr">
        <is>
          <t>The 32 and 42 may be all failures and 68 a narrower eligible subset; the original-arm allocation and reason for the six excluded failures are not supplied.</t>
        </is>
      </c>
    </row>
    <row r="58" ht="48" customHeight="1">
      <c r="A58" s="2" t="inlineStr">
        <is>
          <t>2019::jama.2019.12618::C003</t>
        </is>
      </c>
      <c r="B58" s="2" t="n">
        <v>0</v>
      </c>
      <c r="C58" s="2" t="inlineStr">
        <is>
          <t>Source evidence</t>
        </is>
      </c>
      <c r="D58" s="2" t="inlineStr">
        <is>
          <t>The article lists permutated block sizes 4 and 6. The protocol lists 4, 6, or 8 with equal probability. Later supplied SAP definitions specify 4 (probability 2/3) and 6 (probability 1/3).</t>
        </is>
      </c>
    </row>
    <row r="59" ht="48" customHeight="1">
      <c r="A59" s="3" t="inlineStr">
        <is>
          <t>2019::jama.2019.12618::C003</t>
        </is>
      </c>
      <c r="B59" s="3" t="n">
        <v>1</v>
      </c>
      <c r="C59" s="3" t="inlineStr">
        <is>
          <t>Reported-versus-comparator</t>
        </is>
      </c>
      <c r="D59" s="3" t="inlineStr">
        <is>
          <t>The article set {4,6} is compared with the protocol set {4,6,8}; the later SAP is alternative version-specific context rather than proof of the applied allocation list.</t>
        </is>
      </c>
    </row>
    <row r="60" ht="48" customHeight="1">
      <c r="A60" s="2" t="inlineStr">
        <is>
          <t>2019::jama.2019.12618::C003</t>
        </is>
      </c>
      <c r="B60" s="2" t="n">
        <v>2</v>
      </c>
      <c r="C60" s="2" t="inlineStr">
        <is>
          <t>Calculation</t>
        </is>
      </c>
      <c r="D60" s="2" t="inlineStr">
        <is>
          <t>{4,6} versus {4,6,8} has symmetric difference {8}.</t>
        </is>
      </c>
    </row>
    <row r="61" ht="48" customHeight="1">
      <c r="A61" s="3" t="inlineStr">
        <is>
          <t>2019::jama.2019.12618::C003</t>
        </is>
      </c>
      <c r="B61" s="3" t="n">
        <v>3</v>
      </c>
      <c r="C61" s="3" t="inlineStr">
        <is>
          <t>Alternative source-grounded interpretations</t>
        </is>
      </c>
      <c r="D61" s="3" t="inlineStr">
        <is>
          <t>A later amendment or implementation decision may have removed size 8, the article may describe realized rather than possible sizes, and the SAP's later 4/6 rule may govern the generated list.</t>
        </is>
      </c>
    </row>
    <row r="62" ht="74" customHeight="1">
      <c r="A62" s="2" t="inlineStr">
        <is>
          <t>2019::jama.2019.12618::C004</t>
        </is>
      </c>
      <c r="B62" s="2" t="n">
        <v>0</v>
      </c>
      <c r="C62" s="2" t="inlineStr">
        <is>
          <t>Source evidence</t>
        </is>
      </c>
      <c r="D62" s="2"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63" ht="48" customHeight="1">
      <c r="A63" s="3" t="inlineStr">
        <is>
          <t>2019::jama.2019.12618::C004</t>
        </is>
      </c>
      <c r="B63" s="3" t="n">
        <v>1</v>
      </c>
      <c r="C63" s="3" t="inlineStr">
        <is>
          <t>Reported-versus-comparator</t>
        </is>
      </c>
      <c r="D63" s="3" t="inlineStr">
        <is>
          <t>The article's enumerated six-month success criteria are compared with the manual's explicit no-injection-after-90-days condition. The SAP text supplies context, not an established primary-analysis rule.</t>
        </is>
      </c>
    </row>
    <row r="64" ht="48" customHeight="1">
      <c r="A64" s="2" t="inlineStr">
        <is>
          <t>2019::jama.2019.12618::C004</t>
        </is>
      </c>
      <c r="B64" s="2" t="n">
        <v>2</v>
      </c>
      <c r="C64" s="2" t="inlineStr">
        <is>
          <t>Calculation</t>
        </is>
      </c>
      <c r="D64" s="2" t="inlineStr">
        <is>
          <t>The manual adds one explicit condition absent from the article's enumerated set. Eight reported cases are 4+4, but no revised 64/96 or 56/98 success count can be calculated.</t>
        </is>
      </c>
    </row>
    <row r="65" ht="58" customHeight="1">
      <c r="A65" s="3" t="inlineStr">
        <is>
          <t>2019::jama.2019.12618::C004</t>
        </is>
      </c>
      <c r="B65" s="3" t="n">
        <v>3</v>
      </c>
      <c r="C65" s="3" t="inlineStr">
        <is>
          <t>Alternative source-grounded interpretations</t>
        </is>
      </c>
      <c r="D65" s="3"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66" ht="48" customHeight="1">
      <c r="A66" s="2" t="inlineStr">
        <is>
          <t>2019::jama.2019.12618::C005</t>
        </is>
      </c>
      <c r="B66" s="2" t="n">
        <v>0</v>
      </c>
      <c r="C66" s="2" t="inlineStr">
        <is>
          <t>Source evidence</t>
        </is>
      </c>
      <c r="D66" s="2" t="inlineStr">
        <is>
          <t>Table 2 prints MTX 4.6 (SD 1.0)% with n=96 and MMF 4.3 (SD 0.5)% with n=98, P=.87. Methods name a Welch t test for missed doses.</t>
        </is>
      </c>
    </row>
    <row r="67" ht="48" customHeight="1">
      <c r="A67" s="3" t="inlineStr">
        <is>
          <t>2019::jama.2019.12618::C005</t>
        </is>
      </c>
      <c r="B67" s="3" t="n">
        <v>1</v>
      </c>
      <c r="C67" s="3" t="inlineStr">
        <is>
          <t>Reported-versus-comparator</t>
        </is>
      </c>
      <c r="D67" s="3" t="inlineStr">
        <is>
          <t>The reported P=.87 is compared with a diagnostic conventional two-sample, two-sided Welch calculation using the displayed summaries and header n values.</t>
        </is>
      </c>
    </row>
    <row r="68" ht="48" customHeight="1">
      <c r="A68" s="2" t="inlineStr">
        <is>
          <t>2019::jama.2019.12618::C005</t>
        </is>
      </c>
      <c r="B68" s="2" t="n">
        <v>2</v>
      </c>
      <c r="C68" s="2" t="inlineStr">
        <is>
          <t>Calculation</t>
        </is>
      </c>
      <c r="D68" s="2" t="inlineStr">
        <is>
          <t>SE=sqrt(1.0²/96+0.5²/98)=0.113875753; difference =0.3; t=2.634450, approximately 139.06 Welch degrees of freedom; two-sided diagnostic P=0.009382747 (about .01), not .87.</t>
        </is>
      </c>
    </row>
    <row r="69" ht="48" customHeight="1">
      <c r="A69" s="3" t="inlineStr">
        <is>
          <t>2019::jama.2019.12618::C005</t>
        </is>
      </c>
      <c r="B69" s="3" t="n">
        <v>3</v>
      </c>
      <c r="C69" s="3" t="inlineStr">
        <is>
          <t>Alternative source-grounded interpretations</t>
        </is>
      </c>
      <c r="D69" s="3" t="inlineStr">
        <is>
          <t>Different analytic n, unrounded or transformed data, another summary definition, weighting, or a P value belonging to another comparison could explain the mismatch.</t>
        </is>
      </c>
    </row>
    <row r="70" ht="74" customHeight="1">
      <c r="A70" s="2" t="inlineStr">
        <is>
          <t>2019::jama.2019.12618::C006</t>
        </is>
      </c>
      <c r="B70" s="2" t="n">
        <v>0</v>
      </c>
      <c r="C70" s="2" t="inlineStr">
        <is>
          <t>Source evidence</t>
        </is>
      </c>
      <c r="D70" s="2"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71" ht="48" customHeight="1">
      <c r="A71" s="3" t="inlineStr">
        <is>
          <t>2019::jama.2019.12618::C006</t>
        </is>
      </c>
      <c r="B71" s="3" t="n">
        <v>1</v>
      </c>
      <c r="C71" s="3" t="inlineStr">
        <is>
          <t>Reported-versus-comparator</t>
        </is>
      </c>
      <c r="D71" s="3" t="inlineStr">
        <is>
          <t>Main header n=109 and its count/percentage cells are compared with treated N=108 headers and the matched eTable 4 cell; the fatigue example is compared internally with its two possible denominators.</t>
        </is>
      </c>
    </row>
    <row r="72" ht="48" customHeight="1">
      <c r="A72" s="2" t="inlineStr">
        <is>
          <t>2019::jama.2019.12618::C006</t>
        </is>
      </c>
      <c r="B72" s="2" t="n">
        <v>2</v>
      </c>
      <c r="C72" s="2" t="inlineStr">
        <is>
          <t>Calculation</t>
        </is>
      </c>
      <c r="D72" s="2" t="inlineStr">
        <is>
          <t>19/108=17.5926%→17.6%, versus 19/109=17.4312%→17.4%; 59/108=54.6296%→54.6%, versus 59/109=54.1284%→54.1%.</t>
        </is>
      </c>
    </row>
    <row r="73" ht="48" customHeight="1">
      <c r="A73" s="3" t="inlineStr">
        <is>
          <t>2019::jama.2019.12618::C006</t>
        </is>
      </c>
      <c r="B73" s="3" t="n">
        <v>3</v>
      </c>
      <c r="C73" s="3" t="inlineStr">
        <is>
          <t>Alternative source-grounded interpretations</t>
        </is>
      </c>
      <c r="D73" s="3" t="inlineStr">
        <is>
          <t>The header may intentionally report randomized N=109 while percentages use the 108 treated participants, signaled by the footnote but not stated as a row-level denominator convention.</t>
        </is>
      </c>
    </row>
    <row r="74" ht="58" customHeight="1">
      <c r="A74" s="2" t="inlineStr">
        <is>
          <t>2019::jama.2019.12618::C007</t>
        </is>
      </c>
      <c r="B74" s="2" t="n">
        <v>0</v>
      </c>
      <c r="C74" s="2" t="inlineStr">
        <is>
          <t>Source evidence</t>
        </is>
      </c>
      <c r="D74" s="2" t="inlineStr">
        <is>
          <t>The table defines entries as patients reporting at least one event (%), labels MMF N=20, and prints 1 (3.4) for Serious Systemic diarrhea. Other N=20 count-one cells show 1 (5.0); N=29 MTX count-one cells show 1 (3.4).</t>
        </is>
      </c>
    </row>
    <row r="75" ht="48" customHeight="1">
      <c r="A75" s="3" t="inlineStr">
        <is>
          <t>2019::jama.2019.12618::C007</t>
        </is>
      </c>
      <c r="B75" s="3" t="n">
        <v>1</v>
      </c>
      <c r="C75" s="3" t="inlineStr">
        <is>
          <t>Reported-versus-comparator</t>
        </is>
      </c>
      <c r="D75" s="3" t="inlineStr">
        <is>
          <t>The displayed 3.4% is compared with the table's own N=20 denominator and count-over-denominator definition.</t>
        </is>
      </c>
    </row>
    <row r="76" ht="48" customHeight="1">
      <c r="A76" s="2" t="inlineStr">
        <is>
          <t>2019::jama.2019.12618::C007</t>
        </is>
      </c>
      <c r="B76" s="2" t="n">
        <v>2</v>
      </c>
      <c r="C76" s="2" t="inlineStr">
        <is>
          <t>Calculation</t>
        </is>
      </c>
      <c r="D76" s="2" t="inlineStr">
        <is>
          <t>100×1/20=5.0%; 100×1/29=3.4483%, displayed as 3.4%.</t>
        </is>
      </c>
    </row>
    <row r="77" ht="48" customHeight="1">
      <c r="A77" s="3" t="inlineStr">
        <is>
          <t>2019::jama.2019.12618::C007</t>
        </is>
      </c>
      <c r="B77" s="3" t="n">
        <v>3</v>
      </c>
      <c r="C77" s="3" t="inlineStr">
        <is>
          <t>Alternative source-grounded interpretations</t>
        </is>
      </c>
      <c r="D77" s="3" t="inlineStr">
        <is>
          <t>The percentage may have been transposed from the N=29 column, the header/count may be wrong, or an unprinted subset near 29 may apply.</t>
        </is>
      </c>
    </row>
    <row r="78" ht="58" customHeight="1">
      <c r="A78" s="2" t="inlineStr">
        <is>
          <t>2019::jama.2019.12618::C008</t>
        </is>
      </c>
      <c r="B78" s="2" t="n">
        <v>0</v>
      </c>
      <c r="C78" s="2" t="inlineStr">
        <is>
          <t>Source evidence</t>
        </is>
      </c>
      <c r="D78" s="2"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79" ht="48" customHeight="1">
      <c r="A79" s="3" t="inlineStr">
        <is>
          <t>2019::jama.2019.12618::C008</t>
        </is>
      </c>
      <c r="B79" s="3" t="n">
        <v>1</v>
      </c>
      <c r="C79" s="3" t="inlineStr">
        <is>
          <t>Reported-versus-comparator</t>
        </is>
      </c>
      <c r="D79" s="3" t="inlineStr">
        <is>
          <t>The eTable 8 serious-row label is compared with eTable 1's serious surgery-required criterion, eTable 8's own non-serious label, and eTable 9's surgery-required serious label.</t>
        </is>
      </c>
    </row>
    <row r="80" ht="58" customHeight="1">
      <c r="A80" s="2" t="inlineStr">
        <is>
          <t>2019::jama.2019.12618::C008</t>
        </is>
      </c>
      <c r="B80" s="2" t="n">
        <v>2</v>
      </c>
      <c r="C80" s="2" t="inlineStr">
        <is>
          <t>Calculation</t>
        </is>
      </c>
      <c r="D80" s="2"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81" ht="58" customHeight="1">
      <c r="A81" s="3" t="inlineStr">
        <is>
          <t>2019::jama.2019.12618::C008</t>
        </is>
      </c>
      <c r="B81" s="3" t="n">
        <v>3</v>
      </c>
      <c r="C81" s="3" t="inlineStr">
        <is>
          <t>Alternative source-grounded interpretations</t>
        </is>
      </c>
      <c r="D81" s="3" t="inlineStr">
        <is>
          <t>The serious event may have required surgery but have an abbreviated/copied label, or eTable 8 may use another unprinted definition. Its footnote points to eFigure 2, not eTable 1; no eFigure 2 content appears in the supplied supplement text.</t>
        </is>
      </c>
    </row>
    <row r="82" ht="58" customHeight="1">
      <c r="A82" s="2" t="inlineStr">
        <is>
          <t>2019::jama.2019.14231::C001</t>
        </is>
      </c>
      <c r="B82" s="2" t="n">
        <v>0</v>
      </c>
      <c r="C82" s="2" t="inlineStr">
        <is>
          <t>Source evidence</t>
        </is>
      </c>
      <c r="D82" s="2" t="inlineStr">
        <is>
          <t>The article reports 2,287 surgical patients and 11,435 matched nonsurgical controls, stating five nonsurgical patients per surgical patient. The protocol says each nonsurgical patient will be matched to five surgical patients.</t>
        </is>
      </c>
    </row>
    <row r="83" ht="48" customHeight="1">
      <c r="A83" s="3" t="inlineStr">
        <is>
          <t>2019::jama.2019.14231::C001</t>
        </is>
      </c>
      <c r="B83" s="3" t="n">
        <v>1</v>
      </c>
      <c r="C83" s="3" t="inlineStr">
        <is>
          <t>Reported-versus-comparator</t>
        </is>
      </c>
      <c r="D83" s="3" t="inlineStr">
        <is>
          <t>Final direction and counts: one surgical patient to five nonsurgical controls; protocol wording: one nonsurgical patient to five surgical patients.</t>
        </is>
      </c>
    </row>
    <row r="84" ht="48" customHeight="1">
      <c r="A84" s="2" t="inlineStr">
        <is>
          <t>2019::jama.2019.14231::C001</t>
        </is>
      </c>
      <c r="B84" s="2" t="n">
        <v>2</v>
      </c>
      <c r="C84" s="2" t="inlineStr">
        <is>
          <t>Calculation</t>
        </is>
      </c>
      <c r="D84" s="2" t="inlineStr">
        <is>
          <t>2,287 × 5 = 11,435 nonsurgical controls.</t>
        </is>
      </c>
    </row>
    <row r="85" ht="48" customHeight="1">
      <c r="A85" s="3" t="inlineStr">
        <is>
          <t>2019::jama.2019.14231::C001</t>
        </is>
      </c>
      <c r="B85" s="3" t="n">
        <v>3</v>
      </c>
      <c r="C85" s="3" t="inlineStr">
        <is>
          <t>Alternative source-grounded interpretations</t>
        </is>
      </c>
      <c r="D85" s="3" t="inlineStr">
        <is>
          <t>The protocol may contain a planned-method wording inversion or use an unstated ratio convention.</t>
        </is>
      </c>
    </row>
    <row r="86" ht="48" customHeight="1">
      <c r="A86" s="2" t="inlineStr">
        <is>
          <t>2019::jama.2019.14231::C002</t>
        </is>
      </c>
      <c r="B86" s="2" t="n">
        <v>0</v>
      </c>
      <c r="C86" s="2" t="inlineStr">
        <is>
          <t>Source evidence</t>
        </is>
      </c>
      <c r="D86" s="2" t="inlineStr">
        <is>
          <t>Heart-failure incidence is 6.8% for surgery and 18.9% for controls; Table 2 reports ARD 12.9% (95% CI 10.4%-15.1%).</t>
        </is>
      </c>
    </row>
    <row r="87" ht="48" customHeight="1">
      <c r="A87" s="3" t="inlineStr">
        <is>
          <t>2019::jama.2019.14231::C002</t>
        </is>
      </c>
      <c r="B87" s="3" t="n">
        <v>1</v>
      </c>
      <c r="C87" s="3" t="inlineStr">
        <is>
          <t>Reported-versus-comparator</t>
        </is>
      </c>
      <c r="D87" s="3" t="inlineStr">
        <is>
          <t>Reported ARD 12.9% versus displayed-incidence subtraction 12.1%.</t>
        </is>
      </c>
    </row>
    <row r="88" ht="48" customHeight="1">
      <c r="A88" s="2" t="inlineStr">
        <is>
          <t>2019::jama.2019.14231::C002</t>
        </is>
      </c>
      <c r="B88" s="2" t="n">
        <v>2</v>
      </c>
      <c r="C88" s="2" t="inlineStr">
        <is>
          <t>Calculation</t>
        </is>
      </c>
      <c r="D88" s="2" t="inlineStr">
        <is>
          <t>18.9% − 6.8% = 12.1%; discrepancy 0.8 percentage point. The two one-decimal display ranges do not overlap a displayed 12.9%.</t>
        </is>
      </c>
    </row>
    <row r="89" ht="48" customHeight="1">
      <c r="A89" s="3" t="inlineStr">
        <is>
          <t>2019::jama.2019.14231::C002</t>
        </is>
      </c>
      <c r="B89" s="3" t="n">
        <v>3</v>
      </c>
      <c r="C89" s="3" t="inlineStr">
        <is>
          <t>Alternative source-grounded interpretations</t>
        </is>
      </c>
      <c r="D89" s="3" t="inlineStr">
        <is>
          <t>The ARD point estimate may be separately estimated; the source expressly describes bootstrap CI generation but not a separate ARD point-estimation rule.</t>
        </is>
      </c>
    </row>
    <row r="90" ht="48" customHeight="1">
      <c r="A90" s="2" t="inlineStr">
        <is>
          <t>2019::jama.2019.14231::C003</t>
        </is>
      </c>
      <c r="B90" s="2" t="n">
        <v>0</v>
      </c>
      <c r="C90" s="2" t="inlineStr">
        <is>
          <t>Source evidence</t>
        </is>
      </c>
      <c r="D90" s="2" t="inlineStr">
        <is>
          <t>Coronary-disease incidence is 7.9% for surgery and 11.6% for controls; ARD is 4.2% (1.9%-6.8%).</t>
        </is>
      </c>
    </row>
    <row r="91" ht="48" customHeight="1">
      <c r="A91" s="3" t="inlineStr">
        <is>
          <t>2019::jama.2019.14231::C003</t>
        </is>
      </c>
      <c r="B91" s="3" t="n">
        <v>1</v>
      </c>
      <c r="C91" s="3" t="inlineStr">
        <is>
          <t>Reported-versus-comparator</t>
        </is>
      </c>
      <c r="D91" s="3" t="inlineStr">
        <is>
          <t>Reported ARD 4.2% versus displayed-incidence subtraction 3.7%.</t>
        </is>
      </c>
    </row>
    <row r="92" ht="48" customHeight="1">
      <c r="A92" s="2" t="inlineStr">
        <is>
          <t>2019::jama.2019.14231::C003</t>
        </is>
      </c>
      <c r="B92" s="2" t="n">
        <v>2</v>
      </c>
      <c r="C92" s="2" t="inlineStr">
        <is>
          <t>Calculation</t>
        </is>
      </c>
      <c r="D92" s="2" t="inlineStr">
        <is>
          <t>11.6% − 7.9% = 3.7%; discrepancy 0.5 percentage point, beyond ordinary displayed rounding.</t>
        </is>
      </c>
    </row>
    <row r="93" ht="48" customHeight="1">
      <c r="A93" s="3" t="inlineStr">
        <is>
          <t>2019::jama.2019.14231::C003</t>
        </is>
      </c>
      <c r="B93" s="3" t="n">
        <v>3</v>
      </c>
      <c r="C93" s="3" t="inlineStr">
        <is>
          <t>Alternative source-grounded interpretations</t>
        </is>
      </c>
      <c r="D93" s="3" t="inlineStr">
        <is>
          <t>A separately bootstrapped or otherwise distinct ARD point estimator may have been used, but is not defined.</t>
        </is>
      </c>
    </row>
    <row r="94" ht="48" customHeight="1">
      <c r="A94" s="2" t="inlineStr">
        <is>
          <t>2019::jama.2019.14231::C004</t>
        </is>
      </c>
      <c r="B94" s="2" t="n">
        <v>0</v>
      </c>
      <c r="C94" s="2" t="inlineStr">
        <is>
          <t>Source evidence</t>
        </is>
      </c>
      <c r="D94" s="2" t="inlineStr">
        <is>
          <t>Cerebrovascular-disease incidence is 4.1% for surgery and 5.6% for controls; ARD is 1.8% (95% CI -0.03% to 3.4%).</t>
        </is>
      </c>
    </row>
    <row r="95" ht="48" customHeight="1">
      <c r="A95" s="3" t="inlineStr">
        <is>
          <t>2019::jama.2019.14231::C004</t>
        </is>
      </c>
      <c r="B95" s="3" t="n">
        <v>1</v>
      </c>
      <c r="C95" s="3" t="inlineStr">
        <is>
          <t>Reported-versus-comparator</t>
        </is>
      </c>
      <c r="D95" s="3" t="inlineStr">
        <is>
          <t>Reported ARD 1.8% versus displayed-incidence subtraction 1.5%.</t>
        </is>
      </c>
    </row>
    <row r="96" ht="48" customHeight="1">
      <c r="A96" s="2" t="inlineStr">
        <is>
          <t>2019::jama.2019.14231::C004</t>
        </is>
      </c>
      <c r="B96" s="2" t="n">
        <v>2</v>
      </c>
      <c r="C96" s="2" t="inlineStr">
        <is>
          <t>Calculation</t>
        </is>
      </c>
      <c r="D96" s="2" t="inlineStr">
        <is>
          <t>5.6% − 4.1% = 1.5%; discrepancy 0.3 percentage point, beyond the approximate 0.10-point rounding bound.</t>
        </is>
      </c>
    </row>
    <row r="97" ht="48" customHeight="1">
      <c r="A97" s="3" t="inlineStr">
        <is>
          <t>2019::jama.2019.14231::C004</t>
        </is>
      </c>
      <c r="B97" s="3" t="n">
        <v>3</v>
      </c>
      <c r="C97" s="3" t="inlineStr">
        <is>
          <t>Alternative source-grounded interpretations</t>
        </is>
      </c>
      <c r="D97" s="3" t="inlineStr">
        <is>
          <t>The ARD may use a distinct point estimator not stated in the supplied package.</t>
        </is>
      </c>
    </row>
    <row r="98" ht="48" customHeight="1">
      <c r="A98" s="2" t="inlineStr">
        <is>
          <t>2019::jama.2019.14231::C005</t>
        </is>
      </c>
      <c r="B98" s="2" t="n">
        <v>0</v>
      </c>
      <c r="C98" s="2" t="inlineStr">
        <is>
          <t>Source evidence</t>
        </is>
      </c>
      <c r="D98" s="2" t="inlineStr">
        <is>
          <t>Nephropathy incidence is 6.1% for surgery and 16.3% for controls; ARD is 11.1% (8.8%-13.6%).</t>
        </is>
      </c>
    </row>
    <row r="99" ht="48" customHeight="1">
      <c r="A99" s="3" t="inlineStr">
        <is>
          <t>2019::jama.2019.14231::C005</t>
        </is>
      </c>
      <c r="B99" s="3" t="n">
        <v>1</v>
      </c>
      <c r="C99" s="3" t="inlineStr">
        <is>
          <t>Reported-versus-comparator</t>
        </is>
      </c>
      <c r="D99" s="3" t="inlineStr">
        <is>
          <t>Reported ARD 11.1% versus displayed-incidence subtraction 10.2%.</t>
        </is>
      </c>
    </row>
    <row r="100" ht="48" customHeight="1">
      <c r="A100" s="2" t="inlineStr">
        <is>
          <t>2019::jama.2019.14231::C005</t>
        </is>
      </c>
      <c r="B100" s="2" t="n">
        <v>2</v>
      </c>
      <c r="C100" s="2" t="inlineStr">
        <is>
          <t>Calculation</t>
        </is>
      </c>
      <c r="D100" s="2" t="inlineStr">
        <is>
          <t>16.3% − 6.1% = 10.2%; discrepancy 0.9 percentage point.</t>
        </is>
      </c>
    </row>
    <row r="101" ht="48" customHeight="1">
      <c r="A101" s="3" t="inlineStr">
        <is>
          <t>2019::jama.2019.14231::C005</t>
        </is>
      </c>
      <c r="B101" s="3" t="n">
        <v>3</v>
      </c>
      <c r="C101" s="3" t="inlineStr">
        <is>
          <t>Alternative source-grounded interpretations</t>
        </is>
      </c>
      <c r="D101" s="3" t="inlineStr">
        <is>
          <t>The ARD may be separately estimated, but the table states only bootstrap CI generation and no separate point-estimate rule.</t>
        </is>
      </c>
    </row>
    <row r="102" ht="48" customHeight="1">
      <c r="A102" s="2" t="inlineStr">
        <is>
          <t>2019::jama.2019.14231::C006</t>
        </is>
      </c>
      <c r="B102" s="2" t="n">
        <v>0</v>
      </c>
      <c r="C102" s="2" t="inlineStr">
        <is>
          <t>Source evidence</t>
        </is>
      </c>
      <c r="D102" s="2" t="inlineStr">
        <is>
          <t>Atrial-fibrillation incidence is 7.9% for surgery and 13.6% for controls; ARD is 6.5% (4.4%-8.7%).</t>
        </is>
      </c>
    </row>
    <row r="103" ht="48" customHeight="1">
      <c r="A103" s="3" t="inlineStr">
        <is>
          <t>2019::jama.2019.14231::C006</t>
        </is>
      </c>
      <c r="B103" s="3" t="n">
        <v>1</v>
      </c>
      <c r="C103" s="3" t="inlineStr">
        <is>
          <t>Reported-versus-comparator</t>
        </is>
      </c>
      <c r="D103" s="3" t="inlineStr">
        <is>
          <t>Reported ARD 6.5% versus displayed-incidence subtraction 5.7%.</t>
        </is>
      </c>
    </row>
    <row r="104" ht="48" customHeight="1">
      <c r="A104" s="2" t="inlineStr">
        <is>
          <t>2019::jama.2019.14231::C006</t>
        </is>
      </c>
      <c r="B104" s="2" t="n">
        <v>2</v>
      </c>
      <c r="C104" s="2" t="inlineStr">
        <is>
          <t>Calculation</t>
        </is>
      </c>
      <c r="D104" s="2" t="inlineStr">
        <is>
          <t>13.6% − 7.9% = 5.7%; discrepancy 0.8 percentage point, beyond ordinary displayed rounding.</t>
        </is>
      </c>
    </row>
    <row r="105" ht="48" customHeight="1">
      <c r="A105" s="3" t="inlineStr">
        <is>
          <t>2019::jama.2019.14231::C006</t>
        </is>
      </c>
      <c r="B105" s="3" t="n">
        <v>3</v>
      </c>
      <c r="C105" s="3" t="inlineStr">
        <is>
          <t>Alternative source-grounded interpretations</t>
        </is>
      </c>
      <c r="D105" s="3" t="inlineStr">
        <is>
          <t>The ARD may be separately estimated; the package does not define that point-estimation procedure.</t>
        </is>
      </c>
    </row>
    <row r="106" ht="48" customHeight="1">
      <c r="A106" s="2" t="inlineStr">
        <is>
          <t>2019::jama.2019.14231::C007</t>
        </is>
      </c>
      <c r="B106" s="2" t="n">
        <v>0</v>
      </c>
      <c r="C106" s="2" t="inlineStr">
        <is>
          <t>Source evidence</t>
        </is>
      </c>
      <c r="D106" s="2" t="inlineStr">
        <is>
          <t>eTable 3 labels matched nonsurgical baseline medication data N=11,435; eTable 10 labels its nonsurgical year-0 medication-proportion sample 11,433. Both surgery values are 2,287.</t>
        </is>
      </c>
    </row>
    <row r="107" ht="48" customHeight="1">
      <c r="A107" s="3" t="inlineStr">
        <is>
          <t>2019::jama.2019.14231::C007</t>
        </is>
      </c>
      <c r="B107" s="3" t="n">
        <v>1</v>
      </c>
      <c r="C107" s="3" t="inlineStr">
        <is>
          <t>Reported-versus-comparator</t>
        </is>
      </c>
      <c r="D107" s="3" t="inlineStr">
        <is>
          <t>eTable 3 nonsurgical N=11,435 versus eTable 10 year-0 nonsurgical N=11,433.</t>
        </is>
      </c>
    </row>
    <row r="108" ht="48" customHeight="1">
      <c r="A108" s="2" t="inlineStr">
        <is>
          <t>2019::jama.2019.14231::C007</t>
        </is>
      </c>
      <c r="B108" s="2" t="n">
        <v>2</v>
      </c>
      <c r="C108" s="2" t="inlineStr">
        <is>
          <t>Calculation</t>
        </is>
      </c>
      <c r="D108" s="2" t="inlineStr">
        <is>
          <t>11,435 − 11,433 = 2 participants.</t>
        </is>
      </c>
    </row>
    <row r="109" ht="48" customHeight="1">
      <c r="A109" s="3" t="inlineStr">
        <is>
          <t>2019::jama.2019.14231::C007</t>
        </is>
      </c>
      <c r="B109" s="3" t="n">
        <v>3</v>
      </c>
      <c r="C109" s="3" t="inlineStr">
        <is>
          <t>Alternative source-grounded interpretations</t>
        </is>
      </c>
      <c r="D109" s="3" t="inlineStr">
        <is>
          <t>eTable 10 may be a complete-case or availability subset, while eTable 3 may classify all matched controls.</t>
        </is>
      </c>
    </row>
    <row r="110" ht="58" customHeight="1">
      <c r="A110" s="2" t="inlineStr">
        <is>
          <t>2019::jama.2019.14231::C008</t>
        </is>
      </c>
      <c r="B110" s="2" t="n">
        <v>0</v>
      </c>
      <c r="C110" s="2" t="inlineStr">
        <is>
          <t>Source evidence</t>
        </is>
      </c>
      <c r="D110" s="2" t="inlineStr">
        <is>
          <t>Methods and eTable 8 name a two-sample proportions test. Figure 5 labels matched 8-year P values as Fisher exact tests. The same six result-family P values appear, including insulin P=.008 and five P&lt;.001 values.</t>
        </is>
      </c>
    </row>
    <row r="111" ht="48" customHeight="1">
      <c r="A111" s="3" t="inlineStr">
        <is>
          <t>2019::jama.2019.14231::C008</t>
        </is>
      </c>
      <c r="B111" s="3" t="n">
        <v>1</v>
      </c>
      <c r="C111" s="3" t="inlineStr">
        <is>
          <t>Reported-versus-comparator</t>
        </is>
      </c>
      <c r="D111" s="3" t="inlineStr">
        <is>
          <t>Two-sample proportions-test label versus Fisher-exact-test label for the matched year-8 medication result family.</t>
        </is>
      </c>
    </row>
    <row r="112" ht="48" customHeight="1">
      <c r="A112" s="2" t="inlineStr">
        <is>
          <t>2019::jama.2019.14231::C008</t>
        </is>
      </c>
      <c r="B112" s="2" t="n">
        <v>2</v>
      </c>
      <c r="C112" s="2" t="inlineStr">
        <is>
          <t>Calculation</t>
        </is>
      </c>
      <c r="D112" s="2" t="inlineStr">
        <is>
          <t>Five matched categories show P&lt;.001 and insulin shows P=.008 in the Figure 5/eTable 8 family; no test calculation is possible from the supplied aggregate displays.</t>
        </is>
      </c>
    </row>
    <row r="113" ht="48" customHeight="1">
      <c r="A113" s="3" t="inlineStr">
        <is>
          <t>2019::jama.2019.14231::C008</t>
        </is>
      </c>
      <c r="B113" s="3" t="n">
        <v>3</v>
      </c>
      <c r="C113" s="3" t="inlineStr">
        <is>
          <t>Alternative source-grounded interpretations</t>
        </is>
      </c>
      <c r="D113" s="3" t="inlineStr">
        <is>
          <t>“Two-sample proportions test” may be a generic family description, or Fisher exact testing may have been used specifically at year 8.</t>
        </is>
      </c>
    </row>
    <row r="114" ht="48" customHeight="1">
      <c r="A114" s="2" t="inlineStr">
        <is>
          <t>2019::jama.2019.14231::C009</t>
        </is>
      </c>
      <c r="B114" s="2" t="n">
        <v>0</v>
      </c>
      <c r="C114" s="2" t="inlineStr">
        <is>
          <t>Source evidence</t>
        </is>
      </c>
      <c r="D114" s="2" t="inlineStr">
        <is>
          <t>Page 19 says eTable 4 displays adjusted HRs/CIs at 2, 5, and 8 years, whereas the adjacent and repeated table is headed eTable 7. Actual eTable 4 reports cause-specific event rates.</t>
        </is>
      </c>
    </row>
    <row r="115" ht="48" customHeight="1">
      <c r="A115" s="3" t="inlineStr">
        <is>
          <t>2019::jama.2019.14231::C009</t>
        </is>
      </c>
      <c r="B115" s="3" t="n">
        <v>1</v>
      </c>
      <c r="C115" s="3" t="inlineStr">
        <is>
          <t>Reported-versus-comparator</t>
        </is>
      </c>
      <c r="D115" s="3" t="inlineStr">
        <is>
          <t>Narrative reference eTable 4 versus matching HR display eTable 7; eTable 4’s displayed content is rates rather than time-varying HRs.</t>
        </is>
      </c>
    </row>
    <row r="116" ht="48" customHeight="1">
      <c r="A116" s="2" t="inlineStr">
        <is>
          <t>2019::jama.2019.14231::C009</t>
        </is>
      </c>
      <c r="B116" s="2" t="n">
        <v>2</v>
      </c>
      <c r="C116" s="2" t="inlineStr">
        <is>
          <t>Calculation</t>
        </is>
      </c>
      <c r="D116" s="2" t="inlineStr">
        <is>
          <t>This is a label-and-content identity comparison, not an arithmetic calculation.</t>
        </is>
      </c>
    </row>
    <row r="117" ht="48" customHeight="1">
      <c r="A117" s="3" t="inlineStr">
        <is>
          <t>2019::jama.2019.14231::C009</t>
        </is>
      </c>
      <c r="B117" s="3" t="n">
        <v>3</v>
      </c>
      <c r="C117" s="3" t="inlineStr">
        <is>
          <t>Alternative source-grounded interpretations</t>
        </is>
      </c>
      <c r="D117" s="3" t="inlineStr">
        <is>
          <t>The narrative may preserve numbering from an earlier supplement version; the supplied package does not establish the intended wording.</t>
        </is>
      </c>
    </row>
    <row r="118" ht="48" customHeight="1">
      <c r="A118" s="2" t="inlineStr">
        <is>
          <t>2019::jama.2019.14231::C010</t>
        </is>
      </c>
      <c r="B118" s="2" t="n">
        <v>0</v>
      </c>
      <c r="C118" s="2" t="inlineStr">
        <is>
          <t>Source evidence</t>
        </is>
      </c>
      <c r="D118" s="2" t="inlineStr">
        <is>
          <t>eTable 3 labels the metabolic-surgery group N=2,287 and prints biguanides as 1,530 (67.9%).</t>
        </is>
      </c>
    </row>
    <row r="119" ht="48" customHeight="1">
      <c r="A119" s="3" t="inlineStr">
        <is>
          <t>2019::jama.2019.14231::C010</t>
        </is>
      </c>
      <c r="B119" s="3" t="n">
        <v>1</v>
      </c>
      <c r="C119" s="3" t="inlineStr">
        <is>
          <t>Reported-versus-comparator</t>
        </is>
      </c>
      <c r="D119" s="3" t="inlineStr">
        <is>
          <t>Printed 67.9% versus 66.9% obtained from the printed count and denominator.</t>
        </is>
      </c>
    </row>
    <row r="120" ht="48" customHeight="1">
      <c r="A120" s="2" t="inlineStr">
        <is>
          <t>2019::jama.2019.14231::C010</t>
        </is>
      </c>
      <c r="B120" s="2" t="n">
        <v>2</v>
      </c>
      <c r="C120" s="2" t="inlineStr">
        <is>
          <t>Calculation</t>
        </is>
      </c>
      <c r="D120" s="2" t="inlineStr">
        <is>
          <t>1,530 / 2,287 × 100 = 66.8999…%, which rounds to 66.9%; conversely, 67.9% of 2,287 is approximately 1,552.6.</t>
        </is>
      </c>
    </row>
    <row r="121" ht="48" customHeight="1">
      <c r="A121" s="3" t="inlineStr">
        <is>
          <t>2019::jama.2019.14231::C010</t>
        </is>
      </c>
      <c r="B121" s="3" t="n">
        <v>3</v>
      </c>
      <c r="C121" s="3" t="inlineStr">
        <is>
          <t>Alternative source-grounded interpretations</t>
        </is>
      </c>
      <c r="D121" s="3" t="inlineStr">
        <is>
          <t>The count or percentage may be transcribed incorrectly, or a different unprinted denominator may have been used.</t>
        </is>
      </c>
    </row>
    <row r="122" ht="58" customHeight="1">
      <c r="A122" s="2" t="inlineStr">
        <is>
          <t>2019::jama.2019.14231::C011</t>
        </is>
      </c>
      <c r="B122" s="2" t="n">
        <v>0</v>
      </c>
      <c r="C122" s="2" t="inlineStr">
        <is>
          <t>Source evidence</t>
        </is>
      </c>
      <c r="D122" s="2" t="inlineStr">
        <is>
          <t>Footnote b defines standardized differences as the “absolute value” of group difference divided by pooled SD. The columns contain negative values including index date -42.6/-15.9, men -28.0/-2.9, and age -75.3/-19.9.</t>
        </is>
      </c>
    </row>
    <row r="123" ht="48" customHeight="1">
      <c r="A123" s="3" t="inlineStr">
        <is>
          <t>2019::jama.2019.14231::C011</t>
        </is>
      </c>
      <c r="B123" s="3" t="n">
        <v>1</v>
      </c>
      <c r="C123" s="3" t="inlineStr">
        <is>
          <t>Reported-versus-comparator</t>
        </is>
      </c>
      <c r="D123" s="3" t="inlineStr">
        <is>
          <t>Absolute-value definition versus negative standardized-difference entries.</t>
        </is>
      </c>
    </row>
    <row r="124" ht="58" customHeight="1">
      <c r="A124" s="2" t="inlineStr">
        <is>
          <t>2019::jama.2019.14231::C011</t>
        </is>
      </c>
      <c r="B124" s="2" t="n">
        <v>2</v>
      </c>
      <c r="C124" s="2" t="inlineStr">
        <is>
          <t>Calculation</t>
        </is>
      </c>
      <c r="D124" s="2" t="inlineStr">
        <is>
          <t>For any real value x, |x| ≥ 0; negative printed values cannot simultaneously be absolute values under the footnote. The signs follow checkable surgery-minus-control examples (for example, men 34.5% versus 48.2% and -28.0).</t>
        </is>
      </c>
    </row>
    <row r="125" ht="48" customHeight="1">
      <c r="A125" s="3" t="inlineStr">
        <is>
          <t>2019::jama.2019.14231::C011</t>
        </is>
      </c>
      <c r="B125" s="3" t="n">
        <v>3</v>
      </c>
      <c r="C125" s="3" t="inlineStr">
        <is>
          <t>Alternative source-grounded interpretations</t>
        </is>
      </c>
      <c r="D125" s="3" t="inlineStr">
        <is>
          <t>The columns may intentionally show signed standardized differences in surgery-minus-control direction, with “absolute value” retained in the footnote.</t>
        </is>
      </c>
    </row>
    <row r="126" ht="48" customHeight="1">
      <c r="A126" s="2" t="inlineStr">
        <is>
          <t>2019::jama.2019.14630::C001</t>
        </is>
      </c>
      <c r="B126" s="2" t="n">
        <v>0</v>
      </c>
      <c r="C126" s="2" t="inlineStr">
        <is>
          <t>Source evidence</t>
        </is>
      </c>
      <c r="D126" s="2" t="inlineStr">
        <is>
          <t>The opening page prints Intervention group over N=3,272 and again over N=3,311. The continued table and the main table pair N=3,311 with Control group.</t>
        </is>
      </c>
    </row>
    <row r="127" ht="48" customHeight="1">
      <c r="A127" s="3" t="inlineStr">
        <is>
          <t>2019::jama.2019.14630::C001</t>
        </is>
      </c>
      <c r="B127" s="3" t="n">
        <v>1</v>
      </c>
      <c r="C127" s="3" t="inlineStr">
        <is>
          <t>Reported-versus-comparator</t>
        </is>
      </c>
      <c r="D127" s="3" t="inlineStr">
        <is>
          <t>The same displayed N=3,311 column is labelled intervention on the opening page and control on the continuation and main table.</t>
        </is>
      </c>
    </row>
    <row r="128" ht="48" customHeight="1">
      <c r="A128" s="2" t="inlineStr">
        <is>
          <t>2019::jama.2019.14630::C001</t>
        </is>
      </c>
      <c r="B128" s="2" t="n">
        <v>2</v>
      </c>
      <c r="C128" s="2" t="inlineStr">
        <is>
          <t>Calculation</t>
        </is>
      </c>
      <c r="D128" s="2" t="inlineStr">
        <is>
          <t>This is a text-identity comparison: N=3,311 has two incompatible arm labels within a fixed two-arm display.</t>
        </is>
      </c>
    </row>
    <row r="129" ht="48" customHeight="1">
      <c r="A129" s="3" t="inlineStr">
        <is>
          <t>2019::jama.2019.14630::C001</t>
        </is>
      </c>
      <c r="B129" s="3" t="n">
        <v>3</v>
      </c>
      <c r="C129" s="3" t="inlineStr">
        <is>
          <t>Alternative source-grounded interpretations</t>
        </is>
      </c>
      <c r="D129" s="3" t="inlineStr">
        <is>
          <t>The opening heading may be a localized production error while the numerical column retains the control-group order. No supplied source documents a distinct N=3,311 intervention population.</t>
        </is>
      </c>
    </row>
    <row r="130" ht="48" customHeight="1">
      <c r="A130" s="2" t="inlineStr">
        <is>
          <t>2019::jama.2019.14630::C002</t>
        </is>
      </c>
      <c r="B130" s="2" t="n">
        <v>0</v>
      </c>
      <c r="C130" s="2" t="inlineStr">
        <is>
          <t>Source evidence</t>
        </is>
      </c>
      <c r="D130" s="2" t="inlineStr">
        <is>
          <t>The printed intervention entry is 33 (0, 29) g/week, and the page states that baseline data are median (IQR).</t>
        </is>
      </c>
    </row>
    <row r="131" ht="48" customHeight="1">
      <c r="A131" s="3" t="inlineStr">
        <is>
          <t>2019::jama.2019.14630::C002</t>
        </is>
      </c>
      <c r="B131" s="3" t="n">
        <v>1</v>
      </c>
      <c r="C131" s="3" t="inlineStr">
        <is>
          <t>Reported-versus-comparator</t>
        </is>
      </c>
      <c r="D131" s="3" t="inlineStr">
        <is>
          <t>Median 33 is compared with the printed upper IQR endpoint 29.</t>
        </is>
      </c>
    </row>
    <row r="132" ht="48" customHeight="1">
      <c r="A132" s="2" t="inlineStr">
        <is>
          <t>2019::jama.2019.14630::C002</t>
        </is>
      </c>
      <c r="B132" s="2" t="n">
        <v>2</v>
      </c>
      <c r="C132" s="2" t="inlineStr">
        <is>
          <t>Calculation</t>
        </is>
      </c>
      <c r="D132" s="2" t="inlineStr">
        <is>
          <t>0 ≤ 33 ≤ 29 is false; the median exceeds the printed upper endpoint by 33 − 29 = 4 g/week.</t>
        </is>
      </c>
    </row>
    <row r="133" ht="48" customHeight="1">
      <c r="A133" s="3" t="inlineStr">
        <is>
          <t>2019::jama.2019.14630::C002</t>
        </is>
      </c>
      <c r="B133" s="3" t="n">
        <v>3</v>
      </c>
      <c r="C133" s="3" t="inlineStr">
        <is>
          <t>Alternative source-grounded interpretations</t>
        </is>
      </c>
      <c r="D133" s="3" t="inlineStr">
        <is>
          <t>The median, an IQR endpoint, or row/column alignment may be a production error. The supplied PDFs do not identify the intended replacement.</t>
        </is>
      </c>
    </row>
    <row r="134" ht="48" customHeight="1">
      <c r="A134" s="2" t="inlineStr">
        <is>
          <t>2019::jama.2019.14630::C003</t>
        </is>
      </c>
      <c r="B134" s="2" t="n">
        <v>0</v>
      </c>
      <c r="C134" s="2" t="inlineStr">
        <is>
          <t>Source evidence</t>
        </is>
      </c>
      <c r="D134" s="2" t="inlineStr">
        <is>
          <t>ETable 2 gives intervention/control 33 (0, 29) and 4 (0, 29) g/week. ETable 7 gives 0 (0, 29) in both arms. Each table displays N=3,272/N=3,311.</t>
        </is>
      </c>
    </row>
    <row r="135" ht="48" customHeight="1">
      <c r="A135" s="3" t="inlineStr">
        <is>
          <t>2019::jama.2019.14630::C003</t>
        </is>
      </c>
      <c r="B135" s="3" t="n">
        <v>1</v>
      </c>
      <c r="C135" s="3" t="inlineStr">
        <is>
          <t>Reported-versus-comparator</t>
        </is>
      </c>
      <c r="D135" s="3" t="inlineStr">
        <is>
          <t>Intervention is 33 versus 0 g/week and control is 4 versus 0 g/week; IQR endpoints match.</t>
        </is>
      </c>
    </row>
    <row r="136" ht="48" customHeight="1">
      <c r="A136" s="2" t="inlineStr">
        <is>
          <t>2019::jama.2019.14630::C003</t>
        </is>
      </c>
      <c r="B136" s="2" t="n">
        <v>2</v>
      </c>
      <c r="C136" s="2" t="inlineStr">
        <is>
          <t>Calculation</t>
        </is>
      </c>
      <c r="D136" s="2" t="inlineStr">
        <is>
          <t>The printed median differences are 33 − 0 = 33 and 4 − 0 = 4 g/week. Integer display precision does not reconcile either difference.</t>
        </is>
      </c>
    </row>
    <row r="137" ht="48" customHeight="1">
      <c r="A137" s="3" t="inlineStr">
        <is>
          <t>2019::jama.2019.14630::C003</t>
        </is>
      </c>
      <c r="B137" s="3" t="n">
        <v>3</v>
      </c>
      <c r="C137" s="3" t="inlineStr">
        <is>
          <t>Alternative source-grounded interpretations</t>
        </is>
      </c>
      <c r="D137" s="3" t="inlineStr">
        <is>
          <t>ETable 7 may use an unstated analysis-specific baseline subset or handling path despite the identical displayed arm Ns.</t>
        </is>
      </c>
    </row>
    <row r="138" ht="48" customHeight="1">
      <c r="A138" s="2" t="inlineStr">
        <is>
          <t>2019::jama.2019.14630::C004</t>
        </is>
      </c>
      <c r="B138" s="2" t="n">
        <v>0</v>
      </c>
      <c r="C138" s="2" t="inlineStr">
        <is>
          <t>Source evidence</t>
        </is>
      </c>
      <c r="D138" s="2" t="inlineStr">
        <is>
          <t>Main Table 2 gives 21.1 (3.7) in both arms; eTable 6 gives 21.0 (3.7) in both arms with N=3,272/N=3,311.</t>
        </is>
      </c>
    </row>
    <row r="139" ht="48" customHeight="1">
      <c r="A139" s="3" t="inlineStr">
        <is>
          <t>2019::jama.2019.14630::C004</t>
        </is>
      </c>
      <c r="B139" s="3" t="n">
        <v>1</v>
      </c>
      <c r="C139" s="3" t="inlineStr">
        <is>
          <t>Reported-versus-comparator</t>
        </is>
      </c>
      <c r="D139" s="3" t="inlineStr">
        <is>
          <t>Each arm mean is 21.1 versus 21.0; the printed SDs and Ns match.</t>
        </is>
      </c>
    </row>
    <row r="140" ht="48" customHeight="1">
      <c r="A140" s="2" t="inlineStr">
        <is>
          <t>2019::jama.2019.14630::C004</t>
        </is>
      </c>
      <c r="B140" s="2" t="n">
        <v>2</v>
      </c>
      <c r="C140" s="2" t="inlineStr">
        <is>
          <t>Calculation</t>
        </is>
      </c>
      <c r="D140" s="2" t="inlineStr">
        <is>
          <t>21.1 − 21.0 = 0.1 point in each arm; SD difference is 0.0.</t>
        </is>
      </c>
    </row>
    <row r="141" ht="48" customHeight="1">
      <c r="A141" s="3" t="inlineStr">
        <is>
          <t>2019::jama.2019.14630::C004</t>
        </is>
      </c>
      <c r="B141" s="3" t="n">
        <v>3</v>
      </c>
      <c r="C141" s="3" t="inlineStr">
        <is>
          <t>Alternative source-grounded interpretations</t>
        </is>
      </c>
      <c r="D141" s="3" t="inlineStr">
        <is>
          <t>An unstated analysis-specific baseline set, unreported unrounded values, or different rounding/truncation may account for the difference.</t>
        </is>
      </c>
    </row>
    <row r="142" ht="58" customHeight="1">
      <c r="A142" s="2" t="inlineStr">
        <is>
          <t>2019::jama.2019.14630::C005</t>
        </is>
      </c>
      <c r="B142" s="2" t="n">
        <v>0</v>
      </c>
      <c r="C142" s="2" t="inlineStr">
        <is>
          <t>Source evidence</t>
        </is>
      </c>
      <c r="D142" s="2" t="inlineStr">
        <is>
          <t>Table 3 gives intervention/control 2355 (555)/2369 (555) kcal/d. ETable 8 gives 2,355 (544)/2,369 (555) under the same displayed arm Ns. The main article states that follow-up, not baseline, values were imputed in the main analysis.</t>
        </is>
      </c>
    </row>
    <row r="143" ht="48" customHeight="1">
      <c r="A143" s="3" t="inlineStr">
        <is>
          <t>2019::jama.2019.14630::C005</t>
        </is>
      </c>
      <c r="B143" s="3" t="n">
        <v>1</v>
      </c>
      <c r="C143" s="3" t="inlineStr">
        <is>
          <t>Reported-versus-comparator</t>
        </is>
      </c>
      <c r="D143" s="3" t="inlineStr">
        <is>
          <t>Intervention SD is 555 versus 544; intervention mean and both control fields match.</t>
        </is>
      </c>
    </row>
    <row r="144" ht="48" customHeight="1">
      <c r="A144" s="2" t="inlineStr">
        <is>
          <t>2019::jama.2019.14630::C005</t>
        </is>
      </c>
      <c r="B144" s="2" t="n">
        <v>2</v>
      </c>
      <c r="C144" s="2" t="inlineStr">
        <is>
          <t>Calculation</t>
        </is>
      </c>
      <c r="D144" s="2" t="inlineStr">
        <is>
          <t>555 − 544 = 11 kcal/d. Integer rounding of one common SD cannot produce both printed integers.</t>
        </is>
      </c>
    </row>
    <row r="145" ht="48" customHeight="1">
      <c r="A145" s="3" t="inlineStr">
        <is>
          <t>2019::jama.2019.14630::C005</t>
        </is>
      </c>
      <c r="B145" s="3" t="n">
        <v>3</v>
      </c>
      <c r="C145" s="3" t="inlineStr">
        <is>
          <t>Alternative source-grounded interpretations</t>
        </is>
      </c>
      <c r="D145" s="3" t="inlineStr">
        <is>
          <t>ETable 8 may use an unstated baseline set or separate extraction; one SD may instead be a production error.</t>
        </is>
      </c>
    </row>
    <row r="146" ht="48" customHeight="1">
      <c r="A146" s="2" t="inlineStr">
        <is>
          <t>2019::jama.2019.14630::C006</t>
        </is>
      </c>
      <c r="B146" s="2" t="n">
        <v>0</v>
      </c>
      <c r="C146" s="2" t="inlineStr">
        <is>
          <t>Source evidence</t>
        </is>
      </c>
      <c r="D146" s="2" t="inlineStr">
        <is>
          <t>Table 1 prints 86.7 (13.0)/86.4 (13.0) kg. ETable 9 prints 86.5 (12.9)/86.3 (13.0) kg with N=3,272/N=3,311.</t>
        </is>
      </c>
    </row>
    <row r="147" ht="48" customHeight="1">
      <c r="A147" s="3" t="inlineStr">
        <is>
          <t>2019::jama.2019.14630::C006</t>
        </is>
      </c>
      <c r="B147" s="3" t="n">
        <v>1</v>
      </c>
      <c r="C147" s="3" t="inlineStr">
        <is>
          <t>Reported-versus-comparator</t>
        </is>
      </c>
      <c r="D147" s="3" t="inlineStr">
        <is>
          <t>Intervention mean differs by 0.2 kg and SD by 0.1 kg; control mean differs by 0.1 kg and control SD matches.</t>
        </is>
      </c>
    </row>
    <row r="148" ht="48" customHeight="1">
      <c r="A148" s="2" t="inlineStr">
        <is>
          <t>2019::jama.2019.14630::C006</t>
        </is>
      </c>
      <c r="B148" s="2" t="n">
        <v>2</v>
      </c>
      <c r="C148" s="2" t="inlineStr">
        <is>
          <t>Calculation</t>
        </is>
      </c>
      <c r="D148" s="2" t="inlineStr">
        <is>
          <t>86.7 − 86.5 = 0.2, 13.0 − 12.9 = 0.1, 86.4 − 86.3 = 0.1, and 13.0 − 13.0 = 0.0 kg.</t>
        </is>
      </c>
    </row>
    <row r="149" ht="48" customHeight="1">
      <c r="A149" s="3" t="inlineStr">
        <is>
          <t>2019::jama.2019.14630::C006</t>
        </is>
      </c>
      <c r="B149" s="3" t="n">
        <v>3</v>
      </c>
      <c r="C149" s="3" t="inlineStr">
        <is>
          <t>Alternative source-grounded interpretations</t>
        </is>
      </c>
      <c r="D149" s="3" t="inlineStr">
        <is>
          <t>ETable 9 may use an outcome-specific baseline set or processing path while displaying the overall arm N.</t>
        </is>
      </c>
    </row>
    <row r="150" ht="48" customHeight="1">
      <c r="A150" s="2" t="inlineStr">
        <is>
          <t>2019::jama.2019.14630::C007</t>
        </is>
      </c>
      <c r="B150" s="2" t="n">
        <v>0</v>
      </c>
      <c r="C150" s="2" t="inlineStr">
        <is>
          <t>Source evidence</t>
        </is>
      </c>
      <c r="D150" s="2" t="inlineStr">
        <is>
          <t>Table 1 prints 32.5 (3.4)/32.5 (3.5); eTable 9 prints 32.6 (3.4)/32.6 (3.5) kg/m² under N=3,272/N=3,311.</t>
        </is>
      </c>
    </row>
    <row r="151" ht="48" customHeight="1">
      <c r="A151" s="3" t="inlineStr">
        <is>
          <t>2019::jama.2019.14630::C007</t>
        </is>
      </c>
      <c r="B151" s="3" t="n">
        <v>1</v>
      </c>
      <c r="C151" s="3" t="inlineStr">
        <is>
          <t>Reported-versus-comparator</t>
        </is>
      </c>
      <c r="D151" s="3" t="inlineStr">
        <is>
          <t>Each arm mean differs by 0.1 kg/m²; the SDs match.</t>
        </is>
      </c>
    </row>
    <row r="152" ht="48" customHeight="1">
      <c r="A152" s="2" t="inlineStr">
        <is>
          <t>2019::jama.2019.14630::C007</t>
        </is>
      </c>
      <c r="B152" s="2" t="n">
        <v>2</v>
      </c>
      <c r="C152" s="2" t="inlineStr">
        <is>
          <t>Calculation</t>
        </is>
      </c>
      <c r="D152" s="2" t="inlineStr">
        <is>
          <t>32.6 − 32.5 = 0.1 kg/m² in each arm; SD differences are zero.</t>
        </is>
      </c>
    </row>
    <row r="153" ht="48" customHeight="1">
      <c r="A153" s="3" t="inlineStr">
        <is>
          <t>2019::jama.2019.14630::C007</t>
        </is>
      </c>
      <c r="B153" s="3" t="n">
        <v>3</v>
      </c>
      <c r="C153" s="3" t="inlineStr">
        <is>
          <t>Alternative source-grounded interpretations</t>
        </is>
      </c>
      <c r="D153" s="3" t="inlineStr">
        <is>
          <t>Different participant records, individual-level derivation paths, or rounding conventions may have been used despite identical displayed group Ns.</t>
        </is>
      </c>
    </row>
    <row r="154" ht="58" customHeight="1">
      <c r="A154" s="2" t="inlineStr">
        <is>
          <t>2019::jama.2019.14630::C008</t>
        </is>
      </c>
      <c r="B154" s="2" t="n">
        <v>0</v>
      </c>
      <c r="C154" s="2" t="inlineStr">
        <is>
          <t>Source evidence</t>
        </is>
      </c>
      <c r="D154" s="2" t="inlineStr">
        <is>
          <t>Methods uses at least for 5% weight/BMI/waist/lipid thresholds, 5 mm Hg systolic, 2.5 mm Hg diastolic, and 5% HDL; it specifies a 10% triglyceride reduction. Figure 4 prints &gt;5%, &gt;10%, and &gt;5 mm Hg; the diastolic label is Reduction 2.5 mm Hg without an operator.</t>
        </is>
      </c>
    </row>
    <row r="155" ht="48" customHeight="1">
      <c r="A155" s="3" t="inlineStr">
        <is>
          <t>2019::jama.2019.14630::C008</t>
        </is>
      </c>
      <c r="B155" s="3" t="n">
        <v>1</v>
      </c>
      <c r="C155" s="3" t="inlineStr">
        <is>
          <t>Reported-versus-comparator</t>
        </is>
      </c>
      <c r="D155" s="3" t="inlineStr">
        <is>
          <t>Inclusive ≥ x includes equality, strict &gt; x excludes it, and the diastolic figure label states neither operator.</t>
        </is>
      </c>
    </row>
    <row r="156" ht="48" customHeight="1">
      <c r="A156" s="2" t="inlineStr">
        <is>
          <t>2019::jama.2019.14630::C008</t>
        </is>
      </c>
      <c r="B156" s="2" t="n">
        <v>2</v>
      </c>
      <c r="C156" s="2" t="inlineStr">
        <is>
          <t>Calculation</t>
        </is>
      </c>
      <c r="D156" s="2" t="inlineStr">
        <is>
          <t>For the percentage and systolic classifications, ≥ x and &gt; x differ at exactly x. For diastolic blood pressure, ≥ 2.5 is compared with an operator-free 2.5 label.</t>
        </is>
      </c>
    </row>
    <row r="157" ht="48" customHeight="1">
      <c r="A157" s="3" t="inlineStr">
        <is>
          <t>2019::jama.2019.14630::C008</t>
        </is>
      </c>
      <c r="B157" s="3" t="n">
        <v>3</v>
      </c>
      <c r="C157" s="3" t="inlineStr">
        <is>
          <t>Alternative source-grounded interpretations</t>
        </is>
      </c>
      <c r="D157" s="3" t="inlineStr">
        <is>
          <t>Figure &gt; may be compact typography for the inclusive Methods rule, and the omitted diastolic operator may be typographic. Identical percentages could occur if no observation lay exactly at a boundary.</t>
        </is>
      </c>
    </row>
    <row r="158" ht="48" customHeight="1">
      <c r="A158" s="2" t="inlineStr">
        <is>
          <t>2019::jama.2019.14630::C009</t>
        </is>
      </c>
      <c r="B158" s="2" t="n">
        <v>0</v>
      </c>
      <c r="C158" s="2" t="inlineStr">
        <is>
          <t>Source evidence</t>
        </is>
      </c>
      <c r="D158" s="2" t="inlineStr">
        <is>
          <t>P. 10 prints Baseline, mean (SD) and 350 (175, 350) in both arms. P. 11 says baseline food data are median (IQR); eTables 2 and 7 label matching total-olive-oil triples median (IQR).</t>
        </is>
      </c>
    </row>
    <row r="159" ht="48" customHeight="1">
      <c r="A159" s="3" t="inlineStr">
        <is>
          <t>2019::jama.2019.14630::C009</t>
        </is>
      </c>
      <c r="B159" s="3" t="n">
        <v>1</v>
      </c>
      <c r="C159" s="3" t="inlineStr">
        <is>
          <t>Reported-versus-comparator</t>
        </is>
      </c>
      <c r="D159" s="3" t="inlineStr">
        <is>
          <t>The row label assigns mean/SD, while the table footnote and parallel displays assign median/Q1/Q3 to the same three-value form.</t>
        </is>
      </c>
    </row>
    <row r="160" ht="58" customHeight="1">
      <c r="A160" s="2" t="inlineStr">
        <is>
          <t>2019::jama.2019.14630::C009</t>
        </is>
      </c>
      <c r="B160" s="2" t="n">
        <v>2</v>
      </c>
      <c r="C160" s="2" t="inlineStr">
        <is>
          <t>Calculation</t>
        </is>
      </c>
      <c r="D160" s="2" t="inlineStr">
        <is>
          <t>Under median (IQR), the triple maps to median 350, Q1 175, and Q3 350. Under mean (SD), two parenthetical values are supplied where one SD would ordinarily be defined; the statistic types do not reconcile without an explicit exception.</t>
        </is>
      </c>
    </row>
    <row r="161" ht="48" customHeight="1">
      <c r="A161" s="3" t="inlineStr">
        <is>
          <t>2019::jama.2019.14630::C009</t>
        </is>
      </c>
      <c r="B161" s="3" t="n">
        <v>3</v>
      </c>
      <c r="C161" s="3" t="inlineStr">
        <is>
          <t>Alternative source-grounded interpretations</t>
        </is>
      </c>
      <c r="D161" s="3" t="inlineStr">
        <is>
          <t>A row-specific convention may exist but is not printed; otherwise the row label may be localized production text inconsistent with the footnote.</t>
        </is>
      </c>
    </row>
    <row r="162" ht="58" customHeight="1">
      <c r="A162" s="2" t="inlineStr">
        <is>
          <t>2019::jama.2019.17380::C001</t>
        </is>
      </c>
      <c r="B162" s="2" t="n">
        <v>0</v>
      </c>
      <c r="C162" s="2" t="inlineStr">
        <is>
          <t>Source evidence</t>
        </is>
      </c>
      <c r="D162" s="2"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163" ht="48" customHeight="1">
      <c r="A163" s="3" t="inlineStr">
        <is>
          <t>2019::jama.2019.17380::C001</t>
        </is>
      </c>
      <c r="B163" s="3" t="n">
        <v>1</v>
      </c>
      <c r="C163" s="3" t="inlineStr">
        <is>
          <t>Reported-versus-comparator</t>
        </is>
      </c>
      <c r="D163" s="3" t="inlineStr">
        <is>
          <t>Figure 2 panel B versus Table 2; the source supplies no distinct panel-B population definition.</t>
        </is>
      </c>
    </row>
    <row r="164" ht="48" customHeight="1">
      <c r="A164" s="2" t="inlineStr">
        <is>
          <t>2019::jama.2019.17380::C001</t>
        </is>
      </c>
      <c r="B164" s="2" t="n">
        <v>2</v>
      </c>
      <c r="C164" s="2" t="inlineStr">
        <is>
          <t>Calculation</t>
        </is>
      </c>
      <c r="D164" s="2" t="inlineStr">
        <is>
          <t>Figure minus Table 2 is placebo -44/-32/-24 and active +44/+32/+24; both locations total 1308/990/934 at baseline/year 2/year 5.</t>
        </is>
      </c>
    </row>
    <row r="165" ht="48" customHeight="1">
      <c r="A165" s="3" t="inlineStr">
        <is>
          <t>2019::jama.2019.17380::C001</t>
        </is>
      </c>
      <c r="B165" s="3" t="n">
        <v>3</v>
      </c>
      <c r="C165" s="3" t="inlineStr">
        <is>
          <t>Alternative source-grounded interpretations</t>
        </is>
      </c>
      <c r="D165" s="3" t="inlineStr">
        <is>
          <t>An unstated figure-specific subset could have been used, or panel B could retain copied count annotations; neither mechanism is stated in the package.</t>
        </is>
      </c>
    </row>
    <row r="166" ht="48" customHeight="1">
      <c r="A166" s="2" t="inlineStr">
        <is>
          <t>2019::jama.2019.17380::C002</t>
        </is>
      </c>
      <c r="B166" s="2" t="n">
        <v>0</v>
      </c>
      <c r="C166" s="2" t="inlineStr">
        <is>
          <t>Source evidence</t>
        </is>
      </c>
      <c r="D166" s="2" t="inlineStr">
        <is>
          <t>Figure 2 prints omega-3 placebo 609/463/440 and active 702/529/505; eTable 6 prints placebo 653/490/467 and active 658/502/478. Panel D exactly repeats panel C's vitamin-D sequences.</t>
        </is>
      </c>
    </row>
    <row r="167" ht="48" customHeight="1">
      <c r="A167" s="3" t="inlineStr">
        <is>
          <t>2019::jama.2019.17380::C002</t>
        </is>
      </c>
      <c r="B167" s="3" t="n">
        <v>1</v>
      </c>
      <c r="C167" s="3" t="inlineStr">
        <is>
          <t>Reported-versus-comparator</t>
        </is>
      </c>
      <c r="D167" s="3" t="inlineStr">
        <is>
          <t>Figure 2 panel D versus eTable 6 for the same urine-ACR contrast and time points.</t>
        </is>
      </c>
    </row>
    <row r="168" ht="48" customHeight="1">
      <c r="A168" s="2" t="inlineStr">
        <is>
          <t>2019::jama.2019.17380::C002</t>
        </is>
      </c>
      <c r="B168" s="2" t="n">
        <v>2</v>
      </c>
      <c r="C168" s="2" t="inlineStr">
        <is>
          <t>Calculation</t>
        </is>
      </c>
      <c r="D168" s="2" t="inlineStr">
        <is>
          <t>Figure minus eTable 6 is placebo -44/-27/-27 and active +44/+27/+27; both locations total 1311/992/945.</t>
        </is>
      </c>
    </row>
    <row r="169" ht="48" customHeight="1">
      <c r="A169" s="3" t="inlineStr">
        <is>
          <t>2019::jama.2019.17380::C002</t>
        </is>
      </c>
      <c r="B169" s="3" t="n">
        <v>3</v>
      </c>
      <c r="C169" s="3" t="inlineStr">
        <is>
          <t>Alternative source-grounded interpretations</t>
        </is>
      </c>
      <c r="D169" s="3" t="inlineStr">
        <is>
          <t>An unstated plotting subset is possible; copied panel-C count annotations are also possible but not source-established.</t>
        </is>
      </c>
    </row>
    <row r="170" ht="48" customHeight="1">
      <c r="A170" s="2" t="inlineStr">
        <is>
          <t>2019::jama.2019.17380::C003</t>
        </is>
      </c>
      <c r="B170" s="2" t="n">
        <v>0</v>
      </c>
      <c r="C170" s="2" t="inlineStr">
        <is>
          <t>Source evidence</t>
        </is>
      </c>
      <c r="D170" s="2" t="inlineStr">
        <is>
          <t>Factorial allocations give active vitamin D 370+333=703 and vitamin-D placebo 289+320=609. Figure 3 prints N=703 under Placebo and N=609 under Vitamin D, including the same opposite nested-count mapping.</t>
        </is>
      </c>
    </row>
    <row r="171" ht="48" customHeight="1">
      <c r="A171" s="3" t="inlineStr">
        <is>
          <t>2019::jama.2019.17380::C003</t>
        </is>
      </c>
      <c r="B171" s="3" t="n">
        <v>1</v>
      </c>
      <c r="C171" s="3" t="inlineStr">
        <is>
          <t>Reported-versus-comparator</t>
        </is>
      </c>
      <c r="D171" s="3" t="inlineStr">
        <is>
          <t>Figure 3 participant-count columns versus randomized factorial allocation identity and Table 2 treatment labels.</t>
        </is>
      </c>
    </row>
    <row r="172" ht="48" customHeight="1">
      <c r="A172" s="2" t="inlineStr">
        <is>
          <t>2019::jama.2019.17380::C003</t>
        </is>
      </c>
      <c r="B172" s="2" t="n">
        <v>2</v>
      </c>
      <c r="C172" s="2" t="inlineStr">
        <is>
          <t>Calculation</t>
        </is>
      </c>
      <c r="D172" s="2" t="inlineStr">
        <is>
          <t>Active vitamin D: 370+333=703; placebo: 289+320=609. Figure 3 assigns 703 to Placebo and 609 to Vitamin D. Its first nested count column 333+370=703 is active vitamin D.</t>
        </is>
      </c>
    </row>
    <row r="173" ht="58" customHeight="1">
      <c r="A173" s="3" t="inlineStr">
        <is>
          <t>2019::jama.2019.17380::C003</t>
        </is>
      </c>
      <c r="B173" s="3" t="n">
        <v>3</v>
      </c>
      <c r="C173" s="3" t="inlineStr">
        <is>
          <t>Alternative source-grounded interpretations</t>
        </is>
      </c>
      <c r="D173" s="3" t="inlineStr">
        <is>
          <t>The participant-count columns may be transposed while headings, mean changes, and forest direction remain treatment-aligned. Figure 3's overall changes (-13.1 placebo; -12.3 vitamin D) agree with Table 2 at printed precision.</t>
        </is>
      </c>
    </row>
    <row r="174" ht="48" customHeight="1">
      <c r="A174" s="2" t="inlineStr">
        <is>
          <t>2019::jama.2019.17380::C004</t>
        </is>
      </c>
      <c r="B174" s="2" t="n">
        <v>0</v>
      </c>
      <c r="C174" s="2" t="inlineStr">
        <is>
          <t>Source evidence</t>
        </is>
      </c>
      <c r="D174" s="2" t="inlineStr">
        <is>
          <t>Factorial allocations give active omega-3 370+289=659 and omega-3 placebo 333+320=653. Figure 4 prints N=659 under Placebo and N=653 under Omega-3 Fatty Acids.</t>
        </is>
      </c>
    </row>
    <row r="175" ht="48" customHeight="1">
      <c r="A175" s="3" t="inlineStr">
        <is>
          <t>2019::jama.2019.17380::C004</t>
        </is>
      </c>
      <c r="B175" s="3" t="n">
        <v>1</v>
      </c>
      <c r="C175" s="3" t="inlineStr">
        <is>
          <t>Reported-versus-comparator</t>
        </is>
      </c>
      <c r="D175" s="3" t="inlineStr">
        <is>
          <t>Figure 4 participant-count columns versus factorial allocation identities and Table 2 treatment labels.</t>
        </is>
      </c>
    </row>
    <row r="176" ht="48" customHeight="1">
      <c r="A176" s="2" t="inlineStr">
        <is>
          <t>2019::jama.2019.17380::C004</t>
        </is>
      </c>
      <c r="B176" s="2" t="n">
        <v>2</v>
      </c>
      <c r="C176" s="2" t="inlineStr">
        <is>
          <t>Calculation</t>
        </is>
      </c>
      <c r="D176" s="2" t="inlineStr">
        <is>
          <t>Active omega-3: 370+289=659; placebo: 333+320=653. Figure 4 places 659 under Placebo and 653 under Omega-3 Fatty Acids; first nested column 289+370=659 is active omega-3.</t>
        </is>
      </c>
    </row>
    <row r="177" ht="48" customHeight="1">
      <c r="A177" s="3" t="inlineStr">
        <is>
          <t>2019::jama.2019.17380::C004</t>
        </is>
      </c>
      <c r="B177" s="3" t="n">
        <v>3</v>
      </c>
      <c r="C177" s="3" t="inlineStr">
        <is>
          <t>Alternative source-grounded interpretations</t>
        </is>
      </c>
      <c r="D177" s="3" t="inlineStr">
        <is>
          <t>N columns may be transposed while headings and mean-change values remain treatment-aligned. The overall Figure 4 changes (-13.1 placebo; -12.2 omega-3) match Table 2 at printed precision.</t>
        </is>
      </c>
    </row>
    <row r="178" ht="58" customHeight="1">
      <c r="A178" s="2" t="inlineStr">
        <is>
          <t>2019::jama.2019.17380::C005</t>
        </is>
      </c>
      <c r="B178" s="2" t="n">
        <v>0</v>
      </c>
      <c r="C178" s="2" t="inlineStr">
        <is>
          <t>Source evidence</t>
        </is>
      </c>
      <c r="D178" s="2" t="inlineStr">
        <is>
          <t>eFigure 2 prints Placebo N=703, ratio 3.02, and Active intervention N=609, ratio 2.97. eTable 6 identifies active vitamin D baseline N=702, year-5 ratio 2.97, and placebo N=609, ratio 3.02; randomized totals are 703 active and 609 placebo.</t>
        </is>
      </c>
    </row>
    <row r="179" ht="48" customHeight="1">
      <c r="A179" s="3" t="inlineStr">
        <is>
          <t>2019::jama.2019.17380::C005</t>
        </is>
      </c>
      <c r="B179" s="3" t="n">
        <v>1</v>
      </c>
      <c r="C179" s="3" t="inlineStr">
        <is>
          <t>Reported-versus-comparator</t>
        </is>
      </c>
      <c r="D179" s="3" t="inlineStr">
        <is>
          <t>eFigure 2 participant-count columns versus randomized factorial totals and eTable 6 arm-specific values.</t>
        </is>
      </c>
    </row>
    <row r="180" ht="58" customHeight="1">
      <c r="A180" s="2" t="inlineStr">
        <is>
          <t>2019::jama.2019.17380::C005</t>
        </is>
      </c>
      <c r="B180" s="2" t="n">
        <v>2</v>
      </c>
      <c r="C180" s="2" t="inlineStr">
        <is>
          <t>Calculation</t>
        </is>
      </c>
      <c r="D180" s="2" t="inlineStr">
        <is>
          <t>Active vitamin D is 370+333=703; placebo is 289+320=609. eFigure 2 places these Ns under opposite headings, while 3.02 placebo and 2.97 active agree with eTable 6. The 703-versus-702 difference is randomized total versus measured baseline availability.</t>
        </is>
      </c>
    </row>
    <row r="181" ht="48" customHeight="1">
      <c r="A181" s="3" t="inlineStr">
        <is>
          <t>2019::jama.2019.17380::C005</t>
        </is>
      </c>
      <c r="B181" s="3" t="n">
        <v>3</v>
      </c>
      <c r="C181" s="3" t="inlineStr">
        <is>
          <t>Alternative source-grounded interpretations</t>
        </is>
      </c>
      <c r="D181" s="3" t="inlineStr">
        <is>
          <t>Only the N columns may be transposed; the headings, change values, and forest direction may remain as printed. The source does not establish that any subgroup estimate requires remapping.</t>
        </is>
      </c>
    </row>
    <row r="182" ht="58" customHeight="1">
      <c r="A182" s="2" t="inlineStr">
        <is>
          <t>2019::jama.2019.17380::C006</t>
        </is>
      </c>
      <c r="B182" s="2" t="n">
        <v>0</v>
      </c>
      <c r="C182" s="2" t="inlineStr">
        <is>
          <t>Source evidence</t>
        </is>
      </c>
      <c r="D182" s="2" t="inlineStr">
        <is>
          <t>eFigure 3 prints Placebo N=659, ratio 3.05, and Active intervention N=653, ratio 2.94. eTable 6 identifies active omega-3 baseline N=658, year-5 ratio 2.94, and placebo N=653, ratio 3.05; randomized totals are 659 active and 653 placebo.</t>
        </is>
      </c>
    </row>
    <row r="183" ht="48" customHeight="1">
      <c r="A183" s="3" t="inlineStr">
        <is>
          <t>2019::jama.2019.17380::C006</t>
        </is>
      </c>
      <c r="B183" s="3" t="n">
        <v>1</v>
      </c>
      <c r="C183" s="3" t="inlineStr">
        <is>
          <t>Reported-versus-comparator</t>
        </is>
      </c>
      <c r="D183" s="3" t="inlineStr">
        <is>
          <t>eFigure 3 participant-count columns versus randomized factorial totals and eTable 6 arm-specific values.</t>
        </is>
      </c>
    </row>
    <row r="184" ht="58" customHeight="1">
      <c r="A184" s="2" t="inlineStr">
        <is>
          <t>2019::jama.2019.17380::C006</t>
        </is>
      </c>
      <c r="B184" s="2" t="n">
        <v>2</v>
      </c>
      <c r="C184" s="2" t="inlineStr">
        <is>
          <t>Calculation</t>
        </is>
      </c>
      <c r="D184" s="2" t="inlineStr">
        <is>
          <t>Active omega-3 is 370+289=659; placebo is 333+320=653. eFigure 3 places those Ns under opposite headings, while 3.05 placebo and 2.94 active agree with eTable 6. The 659-versus-658 difference is randomized total versus measured baseline availability.</t>
        </is>
      </c>
    </row>
    <row r="185" ht="48" customHeight="1">
      <c r="A185" s="3" t="inlineStr">
        <is>
          <t>2019::jama.2019.17380::C006</t>
        </is>
      </c>
      <c r="B185" s="3" t="n">
        <v>3</v>
      </c>
      <c r="C185" s="3" t="inlineStr">
        <is>
          <t>Alternative source-grounded interpretations</t>
        </is>
      </c>
      <c r="D185" s="3" t="inlineStr">
        <is>
          <t>N columns may be transposed while headings, changes, and forest direction remain as printed. The supplied comparison does not establish a reversal of all values.</t>
        </is>
      </c>
    </row>
    <row r="186" ht="48" customHeight="1">
      <c r="A186" s="2" t="inlineStr">
        <is>
          <t>2019::jama.2019.17380::C007</t>
        </is>
      </c>
      <c r="B186" s="2" t="n">
        <v>0</v>
      </c>
      <c r="C186" s="2" t="inlineStr">
        <is>
          <t>Source evidence</t>
        </is>
      </c>
      <c r="D186" s="2" t="inlineStr">
        <is>
          <t>DOC-002 p. 32 states 10 imputation datasets combined with Rubin's rules. DOC-001 p. 3 states multiple imputation (M = 20) and Rubin-rule combination.</t>
        </is>
      </c>
    </row>
    <row r="187" ht="48" customHeight="1">
      <c r="A187" s="3" t="inlineStr">
        <is>
          <t>2019::jama.2019.17380::C007</t>
        </is>
      </c>
      <c r="B187" s="3" t="n">
        <v>1</v>
      </c>
      <c r="C187" s="3" t="inlineStr">
        <is>
          <t>Reported-versus-comparator</t>
        </is>
      </c>
      <c r="D187" s="3" t="inlineStr">
        <is>
          <t>The prospective analytic-plan addendum versus the article's implemented-method description for related missing-outcome analyses.</t>
        </is>
      </c>
    </row>
    <row r="188" ht="48" customHeight="1">
      <c r="A188" s="2" t="inlineStr">
        <is>
          <t>2019::jama.2019.17380::C007</t>
        </is>
      </c>
      <c r="B188" s="2" t="n">
        <v>2</v>
      </c>
      <c r="C188" s="2" t="inlineStr">
        <is>
          <t>Calculation</t>
        </is>
      </c>
      <c r="D188" s="2" t="inlineStr">
        <is>
          <t>20 - 10 = 10; the article reports twice the number of imputation data sets stated in the addendum.</t>
        </is>
      </c>
    </row>
    <row r="189" ht="58" customHeight="1">
      <c r="A189" s="3" t="inlineStr">
        <is>
          <t>2019::jama.2019.17380::C007</t>
        </is>
      </c>
      <c r="B189" s="3" t="n">
        <v>3</v>
      </c>
      <c r="C189" s="3" t="inlineStr">
        <is>
          <t>Alternative source-grounded interpretations</t>
        </is>
      </c>
      <c r="D189" s="3" t="inlineStr">
        <is>
          <t>The number of imputations may have been intentionally increased and the analytic scope broadened after the plan text was written. The package does not include a dated change record, rationale, or later governing amendment.</t>
        </is>
      </c>
    </row>
    <row r="190" ht="58" customHeight="1">
      <c r="A190" s="2" t="inlineStr">
        <is>
          <t>2019::jama.2019.2210::C001</t>
        </is>
      </c>
      <c r="B190" s="2" t="n">
        <v>0</v>
      </c>
      <c r="C190" s="2" t="inlineStr">
        <is>
          <t>Source evidence</t>
        </is>
      </c>
      <c r="D190" s="2" t="inlineStr">
        <is>
          <t>Table 1 heads the arms vitamin D n=251 and placebo n=166; its Cdx2 counts are 89/103/38 and 49/77/24, while the footnote addresses only percentage rounding. Supplement figures repeat the genotype-specific time-zero counts.</t>
        </is>
      </c>
    </row>
    <row r="191" ht="48" customHeight="1">
      <c r="A191" s="3" t="inlineStr">
        <is>
          <t>2019::jama.2019.2210::C001</t>
        </is>
      </c>
      <c r="B191" s="3" t="n">
        <v>1</v>
      </c>
      <c r="C191" s="3" t="inlineStr">
        <is>
          <t>Reported-versus-comparator</t>
        </is>
      </c>
      <c r="D191" s="3" t="inlineStr">
        <is>
          <t>The arm headers are 251/166; Cdx2 triplets total 230/150, and other SNP totals vary from 230–245 and 148–157.</t>
        </is>
      </c>
    </row>
    <row r="192" ht="48" customHeight="1">
      <c r="A192" s="2" t="inlineStr">
        <is>
          <t>2019::jama.2019.2210::C001</t>
        </is>
      </c>
      <c r="B192" s="2" t="n">
        <v>2</v>
      </c>
      <c r="C192" s="2" t="inlineStr">
        <is>
          <t>Calculation</t>
        </is>
      </c>
      <c r="D192" s="2" t="inlineStr">
        <is>
          <t>Cdx2: 89+103+38=230, 49+77+24=150; 89/230=38.70%, 103/230=44.78%, and 38/230=16.52%, matching printed rounded percentages. The respective deficits from headers are 21 and 16.</t>
        </is>
      </c>
    </row>
    <row r="193" ht="48" customHeight="1">
      <c r="A193" s="3" t="inlineStr">
        <is>
          <t>2019::jama.2019.2210::C001</t>
        </is>
      </c>
      <c r="B193" s="3" t="n">
        <v>3</v>
      </c>
      <c r="C193" s="3" t="inlineStr">
        <is>
          <t>Alternative source-grounded interpretations</t>
        </is>
      </c>
      <c r="D193" s="3" t="inlineStr">
        <is>
          <t>SNP-specific assay availability could legitimately yield variable denominators, but neither the table nor its footnote states that explanation.</t>
        </is>
      </c>
    </row>
    <row r="194" ht="48" customHeight="1">
      <c r="A194" s="2" t="inlineStr">
        <is>
          <t>2019::jama.2019.2210::C002</t>
        </is>
      </c>
      <c r="B194" s="2" t="n">
        <v>0</v>
      </c>
      <c r="C194" s="2" t="inlineStr">
        <is>
          <t>Source evidence</t>
        </is>
      </c>
      <c r="D194" s="2" t="inlineStr">
        <is>
          <t>Panel C prints placebo 90, 88, 70, 51, 34, 22, 11 and vitamin D 142, 139, 115, 88, 61, 41, 20 under No. at risk.</t>
        </is>
      </c>
    </row>
    <row r="195" ht="48" customHeight="1">
      <c r="A195" s="3" t="inlineStr">
        <is>
          <t>2019::jama.2019.2210::C002</t>
        </is>
      </c>
      <c r="B195" s="3" t="n">
        <v>1</v>
      </c>
      <c r="C195" s="3" t="inlineStr">
        <is>
          <t>Reported-versus-comparator</t>
        </is>
      </c>
      <c r="D195" s="3" t="inlineStr">
        <is>
          <t>The caption states, Numbers at risk for panel C are not given because of weighting.</t>
        </is>
      </c>
    </row>
    <row r="196" ht="48" customHeight="1">
      <c r="A196" s="2" t="inlineStr">
        <is>
          <t>2019::jama.2019.2210::C002</t>
        </is>
      </c>
      <c r="B196" s="2" t="n">
        <v>2</v>
      </c>
      <c r="C196" s="2" t="inlineStr">
        <is>
          <t>Calculation</t>
        </is>
      </c>
      <c r="D196" s="2" t="inlineStr">
        <is>
          <t>Seven placebo plus seven vitamin-D entries yield 14 displayed panel-C risk values, not zero.</t>
        </is>
      </c>
    </row>
    <row r="197" ht="48" customHeight="1">
      <c r="A197" s="3" t="inlineStr">
        <is>
          <t>2019::jama.2019.2210::C002</t>
        </is>
      </c>
      <c r="B197" s="3" t="n">
        <v>3</v>
      </c>
      <c r="C197" s="3" t="inlineStr">
        <is>
          <t>Alternative source-grounded interpretations</t>
        </is>
      </c>
      <c r="D197" s="3" t="inlineStr">
        <is>
          <t>The caption may mean weighted or effective numbers are unavailable while the panel shows raw counts; the source does not define that distinction.</t>
        </is>
      </c>
    </row>
    <row r="198" ht="48" customHeight="1">
      <c r="A198" s="2" t="inlineStr">
        <is>
          <t>2019::jama.2019.2210::C003</t>
        </is>
      </c>
      <c r="B198" s="2" t="n">
        <v>0</v>
      </c>
      <c r="C198" s="2" t="inlineStr">
        <is>
          <t>Source evidence</t>
        </is>
      </c>
      <c r="D198" s="2" t="inlineStr">
        <is>
          <t>Page 18 says entry stops if randomized enrollment reaches &gt;400; it also gives 240+160=400 as the target allocation.</t>
        </is>
      </c>
    </row>
    <row r="199" ht="48" customHeight="1">
      <c r="A199" s="3" t="inlineStr">
        <is>
          <t>2019::jama.2019.2210::C003</t>
        </is>
      </c>
      <c r="B199" s="3" t="n">
        <v>1</v>
      </c>
      <c r="C199" s="3" t="inlineStr">
        <is>
          <t>Reported-versus-comparator</t>
        </is>
      </c>
      <c r="D199" s="3" t="inlineStr">
        <is>
          <t>Page 31 says, After enrolling 400 patients, enrollment will finish.</t>
        </is>
      </c>
    </row>
    <row r="200" ht="48" customHeight="1">
      <c r="A200" s="2" t="inlineStr">
        <is>
          <t>2019::jama.2019.2210::C003</t>
        </is>
      </c>
      <c r="B200" s="2" t="n">
        <v>2</v>
      </c>
      <c r="C200" s="2" t="inlineStr">
        <is>
          <t>Calculation</t>
        </is>
      </c>
      <c r="D200" s="2" t="inlineStr">
        <is>
          <t>240+160=400; the smallest integer satisfying n&gt;400 is 401, whereas after enrolling 400 identifies 400.</t>
        </is>
      </c>
    </row>
    <row r="201" ht="48" customHeight="1">
      <c r="A201" s="3" t="inlineStr">
        <is>
          <t>2019::jama.2019.2210::C003</t>
        </is>
      </c>
      <c r="B201" s="3" t="n">
        <v>3</v>
      </c>
      <c r="C201" s="3" t="inlineStr">
        <is>
          <t>Alternative source-grounded interpretations</t>
        </is>
      </c>
      <c r="D201" s="3" t="inlineStr">
        <is>
          <t>Either statement could be shorthand for a near-400 operational target or a completed randomization block, but no cited passage says so.</t>
        </is>
      </c>
    </row>
    <row r="202" ht="48" customHeight="1">
      <c r="A202" s="2" t="inlineStr">
        <is>
          <t>2019::jama.2019.2210::C004</t>
        </is>
      </c>
      <c r="B202" s="2" t="n">
        <v>0</v>
      </c>
      <c r="C202" s="2" t="inlineStr">
        <is>
          <t>Source evidence</t>
        </is>
      </c>
      <c r="D202" s="2" t="inlineStr">
        <is>
          <t>The synopsis says cancer appearing de novo will be an adverse event, not as an outcome; the final body lists it as a tertiary outcome, and the change summary says it was inserted as a tertiary outcome.</t>
        </is>
      </c>
    </row>
    <row r="203" ht="48" customHeight="1">
      <c r="A203" s="3" t="inlineStr">
        <is>
          <t>2019::jama.2019.2210::C004</t>
        </is>
      </c>
      <c r="B203" s="3" t="n">
        <v>1</v>
      </c>
      <c r="C203" s="3" t="inlineStr">
        <is>
          <t>Reported-versus-comparator</t>
        </is>
      </c>
      <c r="D203" s="3" t="inlineStr">
        <is>
          <t>The main article places Cancer de novo in Table 3, Safety Outcomes, including randomization-group counts 16/251 and 9/166.</t>
        </is>
      </c>
    </row>
    <row r="204" ht="48" customHeight="1">
      <c r="A204" s="2" t="inlineStr">
        <is>
          <t>2019::jama.2019.2210::C004</t>
        </is>
      </c>
      <c r="B204" s="2" t="n">
        <v>2</v>
      </c>
      <c r="C204" s="2" t="inlineStr">
        <is>
          <t>Calculation</t>
        </is>
      </c>
      <c r="D204" s="2" t="inlineStr">
        <is>
          <t>The logical comparison reproduces three labels: adverse event/not outcome; tertiary outcome; and Safety Outcomes. The reported counts establish that this is a quantitative reporting item.</t>
        </is>
      </c>
    </row>
    <row r="205" ht="48" customHeight="1">
      <c r="A205" s="3" t="inlineStr">
        <is>
          <t>2019::jama.2019.2210::C004</t>
        </is>
      </c>
      <c r="B205" s="3" t="n">
        <v>3</v>
      </c>
      <c r="C205" s="3" t="inlineStr">
        <is>
          <t>Alternative source-grounded interpretations</t>
        </is>
      </c>
      <c r="D205" s="3" t="inlineStr">
        <is>
          <t>Clinical monitoring could use an adverse-event role while the statistical hierarchy uses a tertiary-outcome role, but the supplied text does not define those roles separately.</t>
        </is>
      </c>
    </row>
    <row r="206" ht="48" customHeight="1">
      <c r="A206" s="2" t="inlineStr">
        <is>
          <t>2019::jama.2019.2210::C005</t>
        </is>
      </c>
      <c r="B206" s="2" t="n">
        <v>0</v>
      </c>
      <c r="C206" s="2" t="inlineStr">
        <is>
          <t>Source evidence</t>
        </is>
      </c>
      <c r="D206" s="2" t="inlineStr">
        <is>
          <t>Page 23 defines low (&lt;20), middle (&gt;=20 to &lt;=40), and high (40 ng/mL).</t>
        </is>
      </c>
    </row>
    <row r="207" ht="48" customHeight="1">
      <c r="A207" s="3" t="inlineStr">
        <is>
          <t>2019::jama.2019.2210::C005</t>
        </is>
      </c>
      <c r="B207" s="3" t="n">
        <v>1</v>
      </c>
      <c r="C207" s="3" t="inlineStr">
        <is>
          <t>Reported-versus-comparator</t>
        </is>
      </c>
      <c r="D207" s="3" t="inlineStr">
        <is>
          <t>Page 31 and the article explicitly give high as &gt;40 ng/mL.</t>
        </is>
      </c>
    </row>
    <row r="208" ht="48" customHeight="1">
      <c r="A208" s="2" t="inlineStr">
        <is>
          <t>2019::jama.2019.2210::C005</t>
        </is>
      </c>
      <c r="B208" s="2" t="n">
        <v>2</v>
      </c>
      <c r="C208" s="2" t="inlineStr">
        <is>
          <t>Calculation</t>
        </is>
      </c>
      <c r="D208" s="2" t="inlineStr">
        <is>
          <t>At 40, 20&lt;=40&lt;=40 places the value in middle; 40 is not &gt;40. The page-23 text leaves whether high means =40, &gt;=40, or &gt;40 unspecified.</t>
        </is>
      </c>
    </row>
    <row r="209" ht="48" customHeight="1">
      <c r="A209" s="3" t="inlineStr">
        <is>
          <t>2019::jama.2019.2210::C005</t>
        </is>
      </c>
      <c r="B209" s="3" t="n">
        <v>3</v>
      </c>
      <c r="C209" s="3" t="inlineStr">
        <is>
          <t>Alternative source-grounded interpretations</t>
        </is>
      </c>
      <c r="D209" s="3" t="inlineStr">
        <is>
          <t>Page 23 may use 40 ng/mL as informal shorthand for the cutoff; the later sources make &gt;40 the likely intended explicit rule.</t>
        </is>
      </c>
    </row>
    <row r="210" ht="48" customHeight="1">
      <c r="A210" s="2" t="inlineStr">
        <is>
          <t>2019::jama.2019.2210::C006</t>
        </is>
      </c>
      <c r="B210" s="2" t="n">
        <v>0</v>
      </c>
      <c r="C210" s="2" t="inlineStr">
        <is>
          <t>Source evidence</t>
        </is>
      </c>
      <c r="D210" s="2" t="inlineStr">
        <is>
          <t>Table 1 gives Cdx2 GG/GA/AA vitamin-D counts 89,103,38 and placebo counts 49,77,24; the protocol lists CDX2, rs11568820.</t>
        </is>
      </c>
    </row>
    <row r="211" ht="48" customHeight="1">
      <c r="A211" s="3" t="inlineStr">
        <is>
          <t>2019::jama.2019.2210::C006</t>
        </is>
      </c>
      <c r="B211" s="3" t="n">
        <v>1</v>
      </c>
      <c r="C211" s="3" t="inlineStr">
        <is>
          <t>Reported-versus-comparator</t>
        </is>
      </c>
      <c r="D211" s="3" t="inlineStr">
        <is>
          <t>Supplement panels are titled CDK2 GG, CDK2 GA, and CDK2 AA and show corresponding placebo/vitamin-D counts 49/89, 77/103, and 24/38.</t>
        </is>
      </c>
    </row>
    <row r="212" ht="48" customHeight="1">
      <c r="A212" s="2" t="inlineStr">
        <is>
          <t>2019::jama.2019.2210::C006</t>
        </is>
      </c>
      <c r="B212" s="2" t="n">
        <v>2</v>
      </c>
      <c r="C212" s="2" t="inlineStr">
        <is>
          <t>Calculation</t>
        </is>
      </c>
      <c r="D212" s="2" t="inlineStr">
        <is>
          <t>49=49, 89=89, 77=77, 103=103, 24=24, and 38=38; labels differ at the third character after CD: X versus K.</t>
        </is>
      </c>
    </row>
    <row r="213" ht="48" customHeight="1">
      <c r="A213" s="3" t="inlineStr">
        <is>
          <t>2019::jama.2019.2210::C006</t>
        </is>
      </c>
      <c r="B213" s="3" t="n">
        <v>3</v>
      </c>
      <c r="C213" s="3" t="inlineStr">
        <is>
          <t>Alternative source-grounded interpretations</t>
        </is>
      </c>
      <c r="D213" s="3" t="inlineStr">
        <is>
          <t>Matching counts and absence of CDK2 from the protocol list support a possible typesetting substitution; a distinct analysis with coincident counts is not defined in the package.</t>
        </is>
      </c>
    </row>
    <row r="214" ht="48" customHeight="1">
      <c r="A214" s="2" t="inlineStr">
        <is>
          <t>2019::jama.2019.2210::C007</t>
        </is>
      </c>
      <c r="B214" s="2" t="n">
        <v>0</v>
      </c>
      <c r="C214" s="2" t="inlineStr">
        <is>
          <t>Source evidence</t>
        </is>
      </c>
      <c r="D214" s="2" t="inlineStr">
        <is>
          <t>Under vitamin D n=251 and placebo n=166, Table 1 gives BMI quartile counts 63,62,59,65 and 36,43,45,41.</t>
        </is>
      </c>
    </row>
    <row r="215" ht="48" customHeight="1">
      <c r="A215" s="3" t="inlineStr">
        <is>
          <t>2019::jama.2019.2210::C007</t>
        </is>
      </c>
      <c r="B215" s="3" t="n">
        <v>1</v>
      </c>
      <c r="C215" s="3" t="inlineStr">
        <is>
          <t>Reported-versus-comparator</t>
        </is>
      </c>
      <c r="D215" s="3" t="inlineStr">
        <is>
          <t>Supplement 2 complementary BMI risks total vitamin D 208+41 and placebo 144+21.</t>
        </is>
      </c>
    </row>
    <row r="216" ht="48" customHeight="1">
      <c r="A216" s="2" t="inlineStr">
        <is>
          <t>2019::jama.2019.2210::C007</t>
        </is>
      </c>
      <c r="B216" s="2" t="n">
        <v>2</v>
      </c>
      <c r="C216" s="2" t="inlineStr">
        <is>
          <t>Calculation</t>
        </is>
      </c>
      <c r="D216" s="2" t="inlineStr">
        <is>
          <t>63+62+59+65=249 and 36+43+45+41=165, deficits of 2 and 1; Supplement 2 repeats 208+41=249 and 144+21=165. Percentages also round from the smaller denominators.</t>
        </is>
      </c>
    </row>
    <row r="217" ht="48" customHeight="1">
      <c r="A217" s="3" t="inlineStr">
        <is>
          <t>2019::jama.2019.2210::C007</t>
        </is>
      </c>
      <c r="B217" s="3" t="n">
        <v>3</v>
      </c>
      <c r="C217" s="3" t="inlineStr">
        <is>
          <t>Alternative source-grounded interpretations</t>
        </is>
      </c>
      <c r="D217" s="3" t="inlineStr">
        <is>
          <t>BMI may be unavailable for exactly two vitamin-D and one placebo participant; a count transcription issue is another possibility. Neither explanation is stated.</t>
        </is>
      </c>
    </row>
    <row r="218" ht="58" customHeight="1">
      <c r="A218" s="2" t="inlineStr">
        <is>
          <t>2019::jama.2019.2210::C008</t>
        </is>
      </c>
      <c r="B218" s="2" t="n">
        <v>0</v>
      </c>
      <c r="C218" s="2" t="inlineStr">
        <is>
          <t>Source evidence</t>
        </is>
      </c>
      <c r="D218" s="2" t="inlineStr">
        <is>
          <t>The article defines RFS/OS from randomization, parenthetically as time from starting study medication, and plots years after randomization. It says participants were randomized and started supplementation at the first outpatient visit.</t>
        </is>
      </c>
    </row>
    <row r="219" ht="48" customHeight="1">
      <c r="A219" s="3" t="inlineStr">
        <is>
          <t>2019::jama.2019.2210::C008</t>
        </is>
      </c>
      <c r="B219" s="3" t="n">
        <v>1</v>
      </c>
      <c r="C219" s="3" t="inlineStr">
        <is>
          <t>Reported-versus-comparator</t>
        </is>
      </c>
      <c r="D219" s="3" t="inlineStr">
        <is>
          <t>The protocol defines RFS/OS and survival duration from starting supplementation or the supplement start day; Supplement 2 axes use randomization.</t>
        </is>
      </c>
    </row>
    <row r="220" ht="58" customHeight="1">
      <c r="A220" s="2" t="inlineStr">
        <is>
          <t>2019::jama.2019.2210::C008</t>
        </is>
      </c>
      <c r="B220" s="2" t="n">
        <v>2</v>
      </c>
      <c r="C220" s="2" t="inlineStr">
        <is>
          <t>Calculation</t>
        </is>
      </c>
      <c r="D220" s="2" t="inlineStr">
        <is>
          <t>No numeric estimate is recalculated. The wording comparison is randomization date versus supplement start day; participant-level date fields and survival-analysis code are not supplied to establish identity in every record.</t>
        </is>
      </c>
    </row>
    <row r="221" ht="48" customHeight="1">
      <c r="A221" s="3" t="inlineStr">
        <is>
          <t>2019::jama.2019.2210::C008</t>
        </is>
      </c>
      <c r="B221" s="3" t="n">
        <v>3</v>
      </c>
      <c r="C221" s="3" t="inlineStr">
        <is>
          <t>Alternative source-grounded interpretations</t>
        </is>
      </c>
      <c r="D221" s="3" t="inlineStr">
        <is>
          <t>The article itself supports different labels for the same operational date, rather than different numeric origins; universal participant-level identity remains unconfirmed.</t>
        </is>
      </c>
    </row>
    <row r="222" ht="48" customHeight="1">
      <c r="A222" s="2" t="inlineStr">
        <is>
          <t>2019::jama.2019.2210::C009</t>
        </is>
      </c>
      <c r="B222" s="2" t="n">
        <v>0</v>
      </c>
      <c r="C222" s="2" t="inlineStr">
        <is>
          <t>Source evidence</t>
        </is>
      </c>
      <c r="D222" s="2" t="inlineStr">
        <is>
          <t>Table 2 reports relapse HR 0.75 (0.48–1.17), cancer-specific-death HR 1.09 (0.58–2.01), noncancer-death HR 0.70 (0.29–1.73), and the footnote assigning decreased outcome probability to HR &gt;1.</t>
        </is>
      </c>
    </row>
    <row r="223" ht="58" customHeight="1">
      <c r="A223" s="3" t="inlineStr">
        <is>
          <t>2019::jama.2019.2210::C009</t>
        </is>
      </c>
      <c r="B223" s="3" t="n">
        <v>1</v>
      </c>
      <c r="C223" s="3" t="inlineStr">
        <is>
          <t>Reported-versus-comparator</t>
        </is>
      </c>
      <c r="D223" s="3" t="inlineStr">
        <is>
          <t>Page 4 gives vitamin D/placebo relapse 41/251 versus 36/166, cancer-specific death 27/251 versus 16/166, and noncancer death 10/251 versus 9/166; Figure 2C shows the vitamin-D relapse curve below placebo and prints HR 0.75.</t>
        </is>
      </c>
    </row>
    <row r="224" ht="74" customHeight="1">
      <c r="A224" s="2" t="inlineStr">
        <is>
          <t>2019::jama.2019.2210::C009</t>
        </is>
      </c>
      <c r="B224" s="2" t="n">
        <v>2</v>
      </c>
      <c r="C224" s="2" t="inlineStr">
        <is>
          <t>Calculation</t>
        </is>
      </c>
      <c r="D224" s="2"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225" ht="58" customHeight="1">
      <c r="A225" s="3" t="inlineStr">
        <is>
          <t>2019::jama.2019.2210::C009</t>
        </is>
      </c>
      <c r="B225" s="3" t="n">
        <v>3</v>
      </c>
      <c r="C225" s="3" t="inlineStr">
        <is>
          <t>Alternative source-grounded interpretations</t>
        </is>
      </c>
      <c r="D225" s="3" t="inlineStr">
        <is>
          <t>A placebo-relative contrast could make the footnote coherent, but the plotted/narrated relapse direction and HR below 1 indicate the opposite orientation for displayed relapse results; a table-only reversed contrast is not stated.</t>
        </is>
      </c>
    </row>
    <row r="226" ht="48" customHeight="1">
      <c r="A226" s="2" t="inlineStr">
        <is>
          <t>2019::jama.2019.4755::C001</t>
        </is>
      </c>
      <c r="B226" s="2" t="n">
        <v>0</v>
      </c>
      <c r="C226" s="2" t="inlineStr">
        <is>
          <t>Source evidence</t>
        </is>
      </c>
      <c r="D226" s="2" t="inlineStr">
        <is>
          <t>Page 7 visibly prints aspirin PPV 15.9%, placebo PPV 34.1%, a lone hyphen in the point-estimate position, and 95% CI [-34.7, -1.3]. Page 6 prints TP/FP 11/58 for aspirin and 14/27 for placebo.</t>
        </is>
      </c>
    </row>
    <row r="227" ht="48" customHeight="1">
      <c r="A227" s="3" t="inlineStr">
        <is>
          <t>2019::jama.2019.4755::C001</t>
        </is>
      </c>
      <c r="B227" s="3" t="n">
        <v>1</v>
      </c>
      <c r="C227" s="3" t="inlineStr">
        <is>
          <t>Reported-versus-comparator</t>
        </is>
      </c>
      <c r="D227" s="3" t="inlineStr">
        <is>
          <t>The reported cell is - versus a numeric aspirin-minus-placebo PPV difference that is diagnostically supported by the matched counts and displayed arm PPVs; no numeric magnitude is visibly rendered in the cell.</t>
        </is>
      </c>
    </row>
    <row r="228" ht="48" customHeight="1">
      <c r="A228" s="2" t="inlineStr">
        <is>
          <t>2019::jama.2019.4755::C001</t>
        </is>
      </c>
      <c r="B228" s="2" t="n">
        <v>2</v>
      </c>
      <c r="C228" s="2" t="inlineStr">
        <is>
          <t>Calculation</t>
        </is>
      </c>
      <c r="D228" s="2" t="inlineStr">
        <is>
          <t>11/(11+58) × 100 = 15.9420%; 14/(14+27) × 100 = 34.1463%; aspirin minus placebo = -18.2043 percentage points, rounding to -18.2. The displayed values also give 15.9 - 34.1 = -18.2.</t>
        </is>
      </c>
    </row>
    <row r="229" ht="58" customHeight="1">
      <c r="A229" s="3" t="inlineStr">
        <is>
          <t>2019::jama.2019.4755::C001</t>
        </is>
      </c>
      <c r="B229" s="3" t="n">
        <v>3</v>
      </c>
      <c r="C229" s="3" t="inlineStr">
        <is>
          <t>Alternative source-grounded interpretations</t>
        </is>
      </c>
      <c r="D229" s="3" t="inlineStr">
        <is>
          <t>A detached 18.2 PDF text fragment may indicate displaced, clipped, or suppressed table content, but the direct rendering does not visibly connect it to the cell. Alternatively, an undocumented hyphen-only convention may have been intended.</t>
        </is>
      </c>
    </row>
    <row r="230" ht="48" customHeight="1">
      <c r="A230" s="2" t="inlineStr">
        <is>
          <t>2019::jama.2019.4755::C002</t>
        </is>
      </c>
      <c r="B230" s="2" t="n">
        <v>0</v>
      </c>
      <c r="C230" s="2" t="inlineStr">
        <is>
          <t>Source evidence</t>
        </is>
      </c>
      <c r="D230" s="2" t="inlineStr">
        <is>
          <t>Page 7 visibly prints aspirin PPV 17.1%, placebo PPV 42.9%, a lone hyphen in the point-estimate position, and 95% CI [-48.4, -0.7]. Page 6 prints TP/FP 6/29 for aspirin and 9/12 for placebo.</t>
        </is>
      </c>
    </row>
    <row r="231" ht="58" customHeight="1">
      <c r="A231" s="3" t="inlineStr">
        <is>
          <t>2019::jama.2019.4755::C002</t>
        </is>
      </c>
      <c r="B231" s="3" t="n">
        <v>1</v>
      </c>
      <c r="C231" s="3" t="inlineStr">
        <is>
          <t>Reported-versus-comparator</t>
        </is>
      </c>
      <c r="D231" s="3" t="inlineStr">
        <is>
          <t>The reported cell is - versus a count-derived diagnostic difference that rounds to -25.7 percentage points; subtracting the independently rounded printed PPVs gives -25.8. Neither numeric value is visibly printed in the named cell.</t>
        </is>
      </c>
    </row>
    <row r="232" ht="58" customHeight="1">
      <c r="A232" s="2" t="inlineStr">
        <is>
          <t>2019::jama.2019.4755::C002</t>
        </is>
      </c>
      <c r="B232" s="2" t="n">
        <v>2</v>
      </c>
      <c r="C232" s="2" t="inlineStr">
        <is>
          <t>Calculation</t>
        </is>
      </c>
      <c r="D232" s="2" t="inlineStr">
        <is>
          <t>6/(6+29) × 100 = 17.1429%; 9/(9+12) × 100 = 42.8571%; count-derived aspirin minus placebo = -25.7143, rounding to -25.7 percentage points. Displayed-value subtraction is 17.1 - 42.9 = -25.8; the 0.1-point difference is compatible with rounding paths.</t>
        </is>
      </c>
    </row>
    <row r="233" ht="58" customHeight="1">
      <c r="A233" s="3" t="inlineStr">
        <is>
          <t>2019::jama.2019.4755::C002</t>
        </is>
      </c>
      <c r="B233" s="3" t="n">
        <v>3</v>
      </c>
      <c r="C233" s="3" t="inlineStr">
        <is>
          <t>Alternative source-grounded interpretations</t>
        </is>
      </c>
      <c r="D233" s="3" t="inlineStr">
        <is>
          <t>A detached 25.7 PDF text fragment may indicate displaced, clipped, or suppressed content, but it is not visible in the cell. The intended display may have used unrounded proportions, or the hyphen may represent an undocumented convention.</t>
        </is>
      </c>
    </row>
    <row r="234" ht="48" customHeight="1">
      <c r="A234" s="2" t="inlineStr">
        <is>
          <t>2019::jama.2019.4755::C003</t>
        </is>
      </c>
      <c r="B234" s="2" t="n">
        <v>0</v>
      </c>
      <c r="C234" s="2" t="inlineStr">
        <is>
          <t>Source evidence</t>
        </is>
      </c>
      <c r="D234" s="2" t="inlineStr">
        <is>
          <t>Page 7 visibly prints aspirin PPV 9.7%, placebo PPV 31.2%, a lone hyphen in the point-estimate position, and 95% CI [-38.9, -3.9]. Page 6 prints TP/FP 6/56 for aspirin and 10/22 for placebo.</t>
        </is>
      </c>
    </row>
    <row r="235" ht="48" customHeight="1">
      <c r="A235" s="3" t="inlineStr">
        <is>
          <t>2019::jama.2019.4755::C003</t>
        </is>
      </c>
      <c r="B235" s="3" t="n">
        <v>1</v>
      </c>
      <c r="C235" s="3" t="inlineStr">
        <is>
          <t>Reported-versus-comparator</t>
        </is>
      </c>
      <c r="D235" s="3" t="inlineStr">
        <is>
          <t>The reported cell is - versus a count-derived diagnostic difference that rounds to -21.6 percentage points; displayed-value subtraction gives -21.5. No numeric magnitude is visibly printed in the cell.</t>
        </is>
      </c>
    </row>
    <row r="236" ht="58" customHeight="1">
      <c r="A236" s="2" t="inlineStr">
        <is>
          <t>2019::jama.2019.4755::C003</t>
        </is>
      </c>
      <c r="B236" s="2" t="n">
        <v>2</v>
      </c>
      <c r="C236" s="2" t="inlineStr">
        <is>
          <t>Calculation</t>
        </is>
      </c>
      <c r="D236" s="2" t="inlineStr">
        <is>
          <t>6/(6+56) × 100 = 9.6774%; 10/(10+22) × 100 = 31.2500%; count-derived aspirin minus placebo = -21.5726, rounding to -21.6 percentage points. Displayed-value subtraction is 9.7 - 31.2 = -21.5; the difference is compatible with independent rounding.</t>
        </is>
      </c>
    </row>
    <row r="237" ht="48" customHeight="1">
      <c r="A237" s="3" t="inlineStr">
        <is>
          <t>2019::jama.2019.4755::C003</t>
        </is>
      </c>
      <c r="B237" s="3" t="n">
        <v>3</v>
      </c>
      <c r="C237" s="3" t="inlineStr">
        <is>
          <t>Alternative source-grounded interpretations</t>
        </is>
      </c>
      <c r="D237" s="3" t="inlineStr">
        <is>
          <t>A detached 21.6 PDF text fragment may reflect displacement, clipping, or suppression during production without establishing that mechanism. The hyphen could instead be an undocumented display convention.</t>
        </is>
      </c>
    </row>
    <row r="238" ht="58" customHeight="1">
      <c r="A238" s="2" t="inlineStr">
        <is>
          <t>2019::jama.2019.4755::C004</t>
        </is>
      </c>
      <c r="B238" s="2" t="n">
        <v>0</v>
      </c>
      <c r="C238" s="2" t="inlineStr">
        <is>
          <t>Source evidence</t>
        </is>
      </c>
      <c r="D238" s="2"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239" ht="58" customHeight="1">
      <c r="A239" s="3" t="inlineStr">
        <is>
          <t>2019::jama.2019.4755::C004</t>
        </is>
      </c>
      <c r="B239" s="3" t="n">
        <v>1</v>
      </c>
      <c r="C239" s="3" t="inlineStr">
        <is>
          <t>Reported-versus-comparator</t>
        </is>
      </c>
      <c r="D239" s="3" t="inlineStr">
        <is>
          <t>The visible eTable 5 label ends at [µg versus the matched eTable 4 and main-table concentration scale µg Hb/g. The incomplete string is the direct observation; the complete form is the comparator, not an asserted transcription of page 7.</t>
        </is>
      </c>
    </row>
    <row r="240" ht="48" customHeight="1">
      <c r="A240" s="2" t="inlineStr">
        <is>
          <t>2019::jama.2019.4755::C004</t>
        </is>
      </c>
      <c r="B240" s="2" t="n">
        <v>2</v>
      </c>
      <c r="C240" s="2" t="inlineStr">
        <is>
          <t>Calculation</t>
        </is>
      </c>
      <c r="D240" s="2" t="inlineStr">
        <is>
          <t>No arithmetic is applicable. The reproducible comparison is the visible incomplete mass-unit fragment [µg against the matched mass-per-mass scale µg Hb/g.</t>
        </is>
      </c>
    </row>
    <row r="241" ht="58" customHeight="1">
      <c r="A241" s="3" t="inlineStr">
        <is>
          <t>2019::jama.2019.4755::C004</t>
        </is>
      </c>
      <c r="B241" s="3" t="n">
        <v>3</v>
      </c>
      <c r="C241" s="3" t="inlineStr">
        <is>
          <t>Alternative source-grounded interpretations</t>
        </is>
      </c>
      <c r="D241" s="3" t="inlineStr">
        <is>
          <t>A detached Hb/g] PDF text fragment supports a possible layout or clipping explanation but is not visibly connected to the header. Readers may have been expected to carry the unit from adjacent tables, although the page gives no such instruction.</t>
        </is>
      </c>
    </row>
    <row r="242" ht="58" customHeight="1">
      <c r="A242" s="2" t="inlineStr">
        <is>
          <t>2019::jama.2019.4755::C005</t>
        </is>
      </c>
      <c r="B242" s="2" t="n">
        <v>0</v>
      </c>
      <c r="C242" s="2" t="inlineStr">
        <is>
          <t>Source evidence</t>
        </is>
      </c>
      <c r="D242" s="2" t="inlineStr">
        <is>
          <t>DOC-003 p. 6 visibly prints 17 μg Hb/g feces and 10.2 Hb/g feces. DOC-003 p. 8 prints Manufacturer’s threshold (17 μg Hb/g feces) and threshold for positivity (10.2 μg Hb/g feces). The article supplies the same two FIT-cutoff context and complete unit headers.</t>
        </is>
      </c>
    </row>
    <row r="243" ht="48" customHeight="1">
      <c r="A243" s="3" t="inlineStr">
        <is>
          <t>2019::jama.2019.4755::C005</t>
        </is>
      </c>
      <c r="B243" s="3" t="n">
        <v>1</v>
      </c>
      <c r="C243" s="3" t="inlineStr">
        <is>
          <t>Reported-versus-comparator</t>
        </is>
      </c>
      <c r="D243" s="3" t="inlineStr">
        <is>
          <t>The lower cutoff is printed as 10.2 Hb/g feces on p. 6 versus 10.2 μg Hb/g feces on p. 8 for the same lower quantitative-FIT threshold.</t>
        </is>
      </c>
    </row>
    <row r="244" ht="48" customHeight="1">
      <c r="A244" s="2" t="inlineStr">
        <is>
          <t>2019::jama.2019.4755::C005</t>
        </is>
      </c>
      <c r="B244" s="2" t="n">
        <v>2</v>
      </c>
      <c r="C244" s="2" t="inlineStr">
        <is>
          <t>Calculation</t>
        </is>
      </c>
      <c r="D244" s="2" t="inlineStr">
        <is>
          <t>No arithmetic is required. The logical comparison checks whether the same 10.2 cutoff retains its μg numerator unit across the matched SAP occurrences.</t>
        </is>
      </c>
    </row>
    <row r="245" ht="58" customHeight="1">
      <c r="A245" s="3" t="inlineStr">
        <is>
          <t>2019::jama.2019.4755::C005</t>
        </is>
      </c>
      <c r="B245" s="3" t="n">
        <v>3</v>
      </c>
      <c r="C245" s="3" t="inlineStr">
        <is>
          <t>Alternative source-grounded interpretations</t>
        </is>
      </c>
      <c r="D245" s="3" t="inlineStr">
        <is>
          <t>The first μg may be intended to govern both coordinated thresholds grammatically. Because Hb/g feces is repeated after both numbers, that inheritance is not explicit; the package gives no editorial rule resolving it.</t>
        </is>
      </c>
    </row>
    <row r="246" ht="58" customHeight="1">
      <c r="A246" s="2" t="inlineStr">
        <is>
          <t>2019::jama.2019.7505::C001</t>
        </is>
      </c>
      <c r="B246" s="2" t="n">
        <v>0</v>
      </c>
      <c r="C246" s="2" t="inlineStr">
        <is>
          <t>Source evidence</t>
        </is>
      </c>
      <c r="D246" s="2" t="inlineStr">
        <is>
          <t>Both locations report intraoperative hypoxemia of 49/989 (5.0%) versus 134/987 (13.6%), a difference of -8.6 percentage points, and P &lt; .001. The abstract prints 95% CI -11.1 to +6.1; Table 3 prints -11.1 to -6.1 and RR 0.51 (0.40 to 0.65).</t>
        </is>
      </c>
    </row>
    <row r="247" ht="48" customHeight="1">
      <c r="A247" s="3" t="inlineStr">
        <is>
          <t>2019::jama.2019.7505::C001</t>
        </is>
      </c>
      <c r="B247" s="3" t="n">
        <v>1</v>
      </c>
      <c r="C247" s="3" t="inlineStr">
        <is>
          <t>Reported-versus-comparator</t>
        </is>
      </c>
      <c r="D247" s="3" t="inlineStr">
        <is>
          <t>Abstract upper endpoint +6.1 versus Table 3 upper endpoint -6.1 for the same matched result.</t>
        </is>
      </c>
    </row>
    <row r="248" ht="74" customHeight="1">
      <c r="A248" s="2" t="inlineStr">
        <is>
          <t>2019::jama.2019.7505::C001</t>
        </is>
      </c>
      <c r="B248" s="2" t="n">
        <v>2</v>
      </c>
      <c r="C248" s="2" t="inlineStr">
        <is>
          <t>Calculation</t>
        </is>
      </c>
      <c r="D248" s="2"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249" ht="58" customHeight="1">
      <c r="A249" s="3" t="inlineStr">
        <is>
          <t>2019::jama.2019.7505::C001</t>
        </is>
      </c>
      <c r="B249" s="3" t="n">
        <v>3</v>
      </c>
      <c r="C249" s="3" t="inlineStr">
        <is>
          <t>Alternative source-grounded interpretations</t>
        </is>
      </c>
      <c r="D249" s="3" t="inlineStr">
        <is>
          <t>Either the abstract or Table 3 may contain the production error. A dropped abstract minus sign is plausible, but the package does not provide an authoritative analysis-output record or designate an authoritative display.</t>
        </is>
      </c>
    </row>
    <row r="250" ht="58" customHeight="1">
      <c r="A250" s="2" t="inlineStr">
        <is>
          <t>2019::jama.2019.7505::C002</t>
        </is>
      </c>
      <c r="B250" s="2" t="n">
        <v>0</v>
      </c>
      <c r="C250" s="2" t="inlineStr">
        <is>
          <t>Source evidence</t>
        </is>
      </c>
      <c r="D250" s="2" t="inlineStr">
        <is>
          <t>The row prints disseminated intravascular coagulation as 1/989 (0.1%) versus 0/987, absolute difference 0.1 (95% CI -0.1 to 0.3), RR 2.00 (95% CI 1.91 to 2.09), and P &gt; .99. Table footnotes label the effect as a risk ratio and identify broad interval/test methods.</t>
        </is>
      </c>
    </row>
    <row r="251" ht="48" customHeight="1">
      <c r="A251" s="3" t="inlineStr">
        <is>
          <t>2019::jama.2019.7505::C002</t>
        </is>
      </c>
      <c r="B251" s="3" t="n">
        <v>1</v>
      </c>
      <c r="C251" s="3" t="inlineStr">
        <is>
          <t>Reported-versus-comparator</t>
        </is>
      </c>
      <c r="D251" s="3" t="inlineStr">
        <is>
          <t>A finite RR 2.00 with interval [1.91, 2.09] is displayed against a comparator risk of zero; the same row prints P &gt; .99.</t>
        </is>
      </c>
    </row>
    <row r="252" ht="48" customHeight="1">
      <c r="A252" s="2" t="inlineStr">
        <is>
          <t>2019::jama.2019.7505::C002</t>
        </is>
      </c>
      <c r="B252" s="2" t="n">
        <v>2</v>
      </c>
      <c r="C252" s="2" t="inlineStr">
        <is>
          <t>Calculation</t>
        </is>
      </c>
      <c r="D252" s="2" t="inlineStr">
        <is>
          <t>High risk = 1/989 = 0.0010111; low risk = 0/987 = 0. Thus (1/989)/(0/987) has a zero denominator and is not a finite direct RR. The printed interval excludes 1. No replacement RR, CI, or P value is calculated.</t>
        </is>
      </c>
    </row>
    <row r="253" ht="58" customHeight="1">
      <c r="A253" s="3" t="inlineStr">
        <is>
          <t>2019::jama.2019.7505::C002</t>
        </is>
      </c>
      <c r="B253" s="3" t="n">
        <v>3</v>
      </c>
      <c r="C253" s="3" t="inlineStr">
        <is>
          <t>Alternative source-grounded interpretations</t>
        </is>
      </c>
      <c r="D253" s="3"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254" ht="58" customHeight="1">
      <c r="A254" s="2" t="inlineStr">
        <is>
          <t>2019::jama.2019.7505::C003</t>
        </is>
      </c>
      <c r="B254" s="2" t="n">
        <v>0</v>
      </c>
      <c r="C254" s="2" t="inlineStr">
        <is>
          <t>Source evidence</t>
        </is>
      </c>
      <c r="D254" s="2"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255" ht="48" customHeight="1">
      <c r="A255" s="3" t="inlineStr">
        <is>
          <t>2019::jama.2019.7505::C003</t>
        </is>
      </c>
      <c r="B255" s="3" t="n">
        <v>1</v>
      </c>
      <c r="C255" s="3" t="inlineStr">
        <is>
          <t>Reported-versus-comparator</t>
        </is>
      </c>
      <c r="D255" s="3" t="inlineStr">
        <is>
          <t>The uninterrupted compound protocol label “odds ratio relative risks” versus the final SAP's explicit primary-outcome risk-ratio label and distinct exploratory odds-ratio contexts.</t>
        </is>
      </c>
    </row>
    <row r="256" ht="48" customHeight="1">
      <c r="A256" s="2" t="inlineStr">
        <is>
          <t>2019::jama.2019.7505::C003</t>
        </is>
      </c>
      <c r="B256" s="2" t="n">
        <v>2</v>
      </c>
      <c r="C256" s="2" t="inlineStr">
        <is>
          <t>Calculation</t>
        </is>
      </c>
      <c r="D256" s="2" t="inlineStr">
        <is>
          <t>No arithmetic is needed. The reproducible comparison is the uninterrupted compound label against the SAP's measure-specific wording.</t>
        </is>
      </c>
    </row>
    <row r="257" ht="58" customHeight="1">
      <c r="A257" s="3" t="inlineStr">
        <is>
          <t>2019::jama.2019.7505::C003</t>
        </is>
      </c>
      <c r="B257" s="3" t="n">
        <v>3</v>
      </c>
      <c r="C257" s="3" t="inlineStr">
        <is>
          <t>Alternative source-grounded interpretations</t>
        </is>
      </c>
      <c r="D257" s="3" t="inlineStr">
        <is>
          <t>The phrase may be an editing artifact; the final SAP may supersede earlier wording by selecting risk ratio for the primary outcome; or distinct analyses may have been intended. The package does not resolve which explanation applies.</t>
        </is>
      </c>
    </row>
    <row r="258" ht="90" customHeight="1">
      <c r="A258" s="2" t="inlineStr">
        <is>
          <t>2019::jama.2019.7505::C004</t>
        </is>
      </c>
      <c r="B258" s="2" t="n">
        <v>0</v>
      </c>
      <c r="C258" s="2" t="inlineStr">
        <is>
          <t>Source evidence</t>
        </is>
      </c>
      <c r="D258" s="2"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259" ht="48" customHeight="1">
      <c r="A259" s="3" t="inlineStr">
        <is>
          <t>2019::jama.2019.7505::C004</t>
        </is>
      </c>
      <c r="B259" s="3" t="n">
        <v>1</v>
      </c>
      <c r="C259" s="3" t="inlineStr">
        <is>
          <t>Reported-versus-comparator</t>
        </is>
      </c>
      <c r="D259" s="3" t="inlineStr">
        <is>
          <t>The eFigure 11 narrative outcome noun conflicts with its mortality title, axis, effect label, and matched mortality values; eFigure 10 supplies the distinct extra-pulmonary-complication comparator.</t>
        </is>
      </c>
    </row>
    <row r="260" ht="48" customHeight="1">
      <c r="A260" s="2" t="inlineStr">
        <is>
          <t>2019::jama.2019.7505::C004</t>
        </is>
      </c>
      <c r="B260" s="2" t="n">
        <v>2</v>
      </c>
      <c r="C260" s="2" t="inlineStr">
        <is>
          <t>Calculation</t>
        </is>
      </c>
      <c r="D260" s="2" t="inlineStr">
        <is>
          <t>5/989 = 0.5056% and 3/987 = 0.3040%, rounding to 0.5% and 0.3%. These mortality values are not rounding variants of the separately displayed 16.9% and 15.2% extra-pulmonary-complication values.</t>
        </is>
      </c>
    </row>
    <row r="261" ht="48" customHeight="1">
      <c r="A261" s="3" t="inlineStr">
        <is>
          <t>2019::jama.2019.7505::C004</t>
        </is>
      </c>
      <c r="B261" s="3" t="n">
        <v>3</v>
      </c>
      <c r="C261" s="3" t="inlineStr">
        <is>
          <t>Alternative source-grounded interpretations</t>
        </is>
      </c>
      <c r="D261" s="3" t="inlineStr">
        <is>
          <t>Carry-forward wording from neighboring eFigure 10 is plausible, or the sentence may refer to a neighboring figure, but neither explanation is stated in the supplied sources.</t>
        </is>
      </c>
    </row>
  </sheetData>
  <sheetProtection selectLockedCells="0" selectUnlockedCells="0" sheet="1" objects="0" insertRows="1" insertHyperlinks="1" autoFilter="0" scenarios="0" formatColumns="1" deleteColumns="1" insertColumns="1" pivotTables="1" deleteRows="1" formatCells="1" formatRows="1" sort="1"/>
  <autoFilter ref="A1:D261"/>
  <pageMargins left="0.75" right="0.75" top="1" bottom="1" header="0.5" footer="0.5"/>
  <pageSetup orientation="landscape" paperSize="8" fitToHeight="0" fitToWidth="1"/>
</worksheet>
</file>

<file path=xl/worksheets/sheet16.xml><?xml version="1.0" encoding="utf-8"?>
<worksheet xmlns="http://schemas.openxmlformats.org/spreadsheetml/2006/main">
  <sheetPr>
    <tabColor rgb="00176B75"/>
    <outlinePr summaryBelow="0" summaryRight="1"/>
    <pageSetUpPr fitToPage="1"/>
  </sheetPr>
  <dimension ref="A1:E73"/>
  <sheetViews>
    <sheetView showGridLines="0" workbookViewId="0">
      <pane xSplit="2" ySplit="1" topLeftCell="C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2" t="inlineStr">
        <is>
          <t>Field name</t>
        </is>
      </c>
      <c r="B1" s="12" t="inlineStr">
        <is>
          <t>Option / value</t>
        </is>
      </c>
      <c r="C1" s="12" t="inlineStr">
        <is>
          <t>Requirement / scope</t>
        </is>
      </c>
      <c r="D1" s="12" t="inlineStr">
        <is>
          <t>Explanation and example</t>
        </is>
      </c>
      <c r="E1" s="12" t="inlineStr">
        <is>
          <t>Internal key</t>
        </is>
      </c>
    </row>
    <row r="2" ht="32" customHeight="1">
      <c r="A2" s="13" t="inlineStr">
        <is>
          <t>How to read this Codebook</t>
        </is>
      </c>
      <c r="B2" s="14" t="n"/>
      <c r="C2" s="14" t="n"/>
      <c r="D2" s="14" t="n"/>
      <c r="E2" s="15" t="n"/>
    </row>
    <row r="3" ht="100" customHeight="1">
      <c r="A3" s="16" t="inlineStr">
        <is>
          <t>Hierarchy and names</t>
        </is>
      </c>
      <c r="B3" s="16" t="inlineStr">
        <is>
          <t>GUIDE</t>
        </is>
      </c>
      <c r="C3" s="16" t="inlineStr">
        <is>
          <t>Field names match review headers exactly</t>
        </is>
      </c>
      <c r="D3" s="17" t="inlineStr">
        <is>
          <t>Dark bands identify modules. Pale bold rows identify fields. Indented option rows explain each dropdown value. Internal keys are for software only. Colors indicate structure, not scientific severity.</t>
        </is>
      </c>
      <c r="E3" s="16" t="inlineStr"/>
    </row>
    <row r="4" ht="100" customHeight="1">
      <c r="A4" s="18" t="inlineStr">
        <is>
          <t>Automatic defaults</t>
        </is>
      </c>
      <c r="B4" s="18" t="inlineStr">
        <is>
          <t>GUIDE</t>
        </is>
      </c>
      <c r="C4" s="18" t="inlineStr">
        <is>
          <t>Gray = inactive; yellow = required input; pale blue = optional input</t>
        </is>
      </c>
      <c r="D4" s="19" t="inlineStr">
        <is>
          <t>Default formulas show not_applicable outside the selected domain or after exclude/discuss. Applicable questions start blank. Blank Disposition remains an unfinished decision. Changing the suggested domain changes untouched defaults.</t>
        </is>
      </c>
      <c r="E4" s="18" t="inlineStr"/>
    </row>
    <row r="5" ht="100" customHeight="1">
      <c r="A5" s="16" t="inlineStr">
        <is>
          <t>Blank, unknown, and not_applicable</t>
        </is>
      </c>
      <c r="B5" s="16" t="inlineStr">
        <is>
          <t>GUIDE</t>
        </is>
      </c>
      <c r="C5" s="16" t="inlineStr">
        <is>
          <t>Different meanings</t>
        </is>
      </c>
      <c r="D5" s="17"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6" t="inlineStr"/>
    </row>
    <row r="6" ht="100" customHeight="1">
      <c r="A6" s="18" t="inlineStr">
        <is>
          <t>Changing a domain after answering</t>
        </is>
      </c>
      <c r="B6" s="18" t="inlineStr">
        <is>
          <t>GUIDE</t>
        </is>
      </c>
      <c r="C6" s="18" t="inlineStr">
        <is>
          <t>Recheck the whole row</t>
        </is>
      </c>
      <c r="D6" s="19"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8" t="inlineStr"/>
    </row>
    <row r="7" ht="100" customHeight="1">
      <c r="A7" s="16" t="inlineStr">
        <is>
          <t>Checker defaults and inheritance</t>
        </is>
      </c>
      <c r="B7" s="16" t="inlineStr">
        <is>
          <t>GUIDE</t>
        </is>
      </c>
      <c r="C7" s="16" t="inlineStr">
        <is>
          <t>Only enter changes</t>
        </is>
      </c>
      <c r="D7" s="17"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6" t="inlineStr"/>
    </row>
    <row r="8" ht="32" customHeight="1">
      <c r="A8" s="13" t="inlineStr">
        <is>
          <t>1  |  Common decisions and optional notes</t>
        </is>
      </c>
      <c r="B8" s="14" t="n"/>
      <c r="C8" s="14" t="n"/>
      <c r="D8" s="14" t="n"/>
      <c r="E8" s="15" t="n"/>
    </row>
    <row r="9" ht="90" customHeight="1">
      <c r="A9" s="20" t="inlineStr">
        <is>
          <t>Disposition</t>
        </is>
      </c>
      <c r="B9" s="20" t="inlineStr">
        <is>
          <t>FIELD</t>
        </is>
      </c>
      <c r="C9" s="20" t="inlineStr">
        <is>
          <t>Required; all domains</t>
        </is>
      </c>
      <c r="D9" s="21" t="inlineStr">
        <is>
          <t>Keep, exclude, or defer for discussion. Blank means untouched, not discuss. No AI disposition is preselected. Checker blanks inherit the primary answer.</t>
        </is>
      </c>
      <c r="E9" s="20" t="inlineStr">
        <is>
          <t>disposition</t>
        </is>
      </c>
    </row>
    <row r="10" outlineLevel="1" ht="52" customHeight="1">
      <c r="A10" s="18" t="inlineStr"/>
      <c r="B10" s="22" t="inlineStr">
        <is>
          <t>retain</t>
        </is>
      </c>
      <c r="C10" s="18" t="inlineStr">
        <is>
          <t>Option</t>
        </is>
      </c>
      <c r="D10" s="23" t="inlineStr">
        <is>
          <t>Retain candidate. After human review, keep this finding in the applicable review results; retaining a protocol discrepancy does not automatically confirm an issue.</t>
        </is>
      </c>
      <c r="E10" s="18" t="inlineStr"/>
    </row>
    <row r="11" outlineLevel="1" ht="52" customHeight="1">
      <c r="A11" s="16" t="inlineStr"/>
      <c r="B11" s="24" t="inlineStr">
        <is>
          <t>exclude</t>
        </is>
      </c>
      <c r="C11" s="16" t="inlineStr">
        <is>
          <t>Option</t>
        </is>
      </c>
      <c r="D11" s="25" t="inlineStr">
        <is>
          <t>Do not retain. The candidate has been assessed and should not remain as a finding, for example because the apparent mismatch has a satisfactory explanation.</t>
        </is>
      </c>
      <c r="E11" s="16" t="inlineStr"/>
    </row>
    <row r="12" outlineLevel="1" ht="52" customHeight="1">
      <c r="A12" s="18" t="inlineStr"/>
      <c r="B12" s="22" t="inlineStr">
        <is>
          <t>discuss</t>
        </is>
      </c>
      <c r="C12" s="18" t="inlineStr">
        <is>
          <t>Option</t>
        </is>
      </c>
      <c r="D12" s="23" t="inlineStr">
        <is>
          <t>Needs discussion. The reviewer has considered the candidate but cannot settle the disposition without further discussion. This is a decision to defer, not an untouched blank.</t>
        </is>
      </c>
      <c r="E12" s="18" t="inlineStr"/>
    </row>
    <row r="13" ht="90" customHeight="1">
      <c r="A13" s="20" t="inlineStr">
        <is>
          <t>Review domain</t>
        </is>
      </c>
      <c r="B13" s="20" t="inlineStr">
        <is>
          <t>FIELD</t>
        </is>
      </c>
      <c r="C13" s="20" t="inlineStr">
        <is>
          <t>Required; all domains</t>
        </is>
      </c>
      <c r="D13" s="21" t="inlineStr">
        <is>
          <t>Choose the assessment branch first. It controls automatic not_applicable defaults and which judgments are required. All four choices are available; the frozen document relationship code does not change.</t>
        </is>
      </c>
      <c r="E13" s="20" t="inlineStr">
        <is>
          <t>domain</t>
        </is>
      </c>
    </row>
    <row r="14" outlineLevel="1" ht="52" customHeight="1">
      <c r="A14" s="18" t="inlineStr"/>
      <c r="B14" s="22" t="inlineStr">
        <is>
          <t>statistical_results</t>
        </is>
      </c>
      <c r="C14" s="18" t="inlineStr">
        <is>
          <t>Option</t>
        </is>
      </c>
      <c r="D14" s="23" t="inlineStr">
        <is>
          <t>Statistical results (S_C / S_W). Assess reported numbers, estimates, intervals, denominators or statistical claims in the current report materials.</t>
        </is>
      </c>
      <c r="E14" s="18" t="inlineStr"/>
    </row>
    <row r="15" outlineLevel="1" ht="88" customHeight="1">
      <c r="A15" s="16" t="inlineStr"/>
      <c r="B15" s="24" t="inlineStr">
        <is>
          <t>report_internal_inconsistency</t>
        </is>
      </c>
      <c r="C15" s="16" t="inlineStr">
        <is>
          <t>Option</t>
        </is>
      </c>
      <c r="D15" s="25"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5" s="16" t="inlineStr"/>
    </row>
    <row r="16" outlineLevel="1" ht="56" customHeight="1">
      <c r="A16" s="18" t="inlineStr"/>
      <c r="B16" s="22" t="inlineStr">
        <is>
          <t>protocol_report</t>
        </is>
      </c>
      <c r="C16" s="18" t="inlineStr">
        <is>
          <t>Option</t>
        </is>
      </c>
      <c r="D16" s="23" t="inlineStr">
        <is>
          <t>Protocol-report (P_R). Assess whether planned and reported conduct or analyses meaningfully differ, using the compared materials. No search for acknowledgment or reasons for changes is required.</t>
        </is>
      </c>
      <c r="E16" s="18" t="inlineStr"/>
    </row>
    <row r="17" outlineLevel="1" ht="56" customHeight="1">
      <c r="A17" s="16" t="inlineStr"/>
      <c r="B17" s="24" t="inlineStr">
        <is>
          <t>plan_material</t>
        </is>
      </c>
      <c r="C17" s="16" t="inlineStr">
        <is>
          <t>Option</t>
        </is>
      </c>
      <c r="D17" s="25" t="inlineStr">
        <is>
          <t>Plan material (P_P). Assess an inconsistency involving planning materials themselves rather than a planned-versus-reported result. The original relationship code remains unchanged.</t>
        </is>
      </c>
      <c r="E17" s="16" t="inlineStr"/>
    </row>
    <row r="18" ht="90" customHeight="1">
      <c r="A18" s="20" t="inlineStr">
        <is>
          <t>Complete</t>
        </is>
      </c>
      <c r="B18" s="20" t="inlineStr">
        <is>
          <t>FIELD</t>
        </is>
      </c>
      <c r="C18" s="20" t="inlineStr">
        <is>
          <t>Required; each stage</t>
        </is>
      </c>
      <c r="D18" s="21" t="inlineStr">
        <is>
          <t>Mark yes only after human review. Automatic defaults never complete a row. Reset to no after changing a completed assessment, then review again.</t>
        </is>
      </c>
      <c r="E18" s="20" t="inlineStr">
        <is>
          <t>reviewComplete</t>
        </is>
      </c>
    </row>
    <row r="19" outlineLevel="1" ht="52" customHeight="1">
      <c r="A19" s="16" t="inlineStr"/>
      <c r="B19" s="24" t="inlineStr">
        <is>
          <t>no</t>
        </is>
      </c>
      <c r="C19" s="16" t="inlineStr">
        <is>
          <t>Option</t>
        </is>
      </c>
      <c r="D19" s="25" t="inlineStr">
        <is>
          <t>Draft. This review stage is not yet confirmed complete; AI suggestions or partially filled fields do not count as completed human review.</t>
        </is>
      </c>
      <c r="E19" s="16" t="inlineStr"/>
    </row>
    <row r="20" outlineLevel="1" ht="52" customHeight="1">
      <c r="A20" s="18" t="inlineStr"/>
      <c r="B20" s="22" t="inlineStr">
        <is>
          <t>yes</t>
        </is>
      </c>
      <c r="C20" s="18" t="inlineStr">
        <is>
          <t>Option</t>
        </is>
      </c>
      <c r="D20" s="23" t="inlineStr">
        <is>
          <t>Human reviewed and complete. The reviewer has checked this row and its required fields. A discussion item may still be unresolved even though this review stage is complete.</t>
        </is>
      </c>
      <c r="E20" s="18" t="inlineStr"/>
    </row>
    <row r="21" ht="90" customHeight="1">
      <c r="A21" s="20" t="inlineStr">
        <is>
          <t>Validation hint</t>
        </is>
      </c>
      <c r="B21" s="20" t="inlineStr">
        <is>
          <t>FIELD</t>
        </is>
      </c>
      <c r="C21" s="20" t="inlineStr">
        <is>
          <t>Calculated; read only</t>
        </is>
      </c>
      <c r="D21" s="21" t="inlineStr">
        <is>
          <t>CHECK FIELDS means an applicable required judgment is missing or invalid. CLEAR INACTIVE VALUES means an old answer remains in an irrelevant field. This hint is not the full scientific or handoff validation.</t>
        </is>
      </c>
      <c r="E21" s="20" t="inlineStr">
        <is>
          <t>readiness</t>
        </is>
      </c>
    </row>
    <row r="22" ht="90" customHeight="1">
      <c r="A22" s="20" t="inlineStr">
        <is>
          <t>Notes (optional)</t>
        </is>
      </c>
      <c r="B22" s="20" t="inlineStr">
        <is>
          <t>FIELD</t>
        </is>
      </c>
      <c r="C22" s="20" t="inlineStr">
        <is>
          <t>Optional</t>
        </is>
      </c>
      <c r="D22" s="21" t="inlineStr">
        <is>
          <t>Add relevant context or uncertainty in English. No mandatory reproduction log or primary rationale. In Checker, blank inherits; &lt;clear&gt; removes the inherited text.</t>
        </is>
      </c>
      <c r="E22" s="20" t="inlineStr">
        <is>
          <t>notes</t>
        </is>
      </c>
    </row>
    <row r="23" ht="32" customHeight="1">
      <c r="A23" s="26" t="inlineStr">
        <is>
          <t>2  |  Statistical results: two required judgments</t>
        </is>
      </c>
      <c r="B23" s="14" t="n"/>
      <c r="C23" s="14" t="n"/>
      <c r="D23" s="14" t="n"/>
      <c r="E23" s="15" t="n"/>
    </row>
    <row r="24" ht="90" customHeight="1">
      <c r="A24" s="27" t="inlineStr">
        <is>
          <t>Statistcal_or_numerical issue</t>
        </is>
      </c>
      <c r="B24" s="27" t="inlineStr">
        <is>
          <t>FIELD</t>
        </is>
      </c>
      <c r="C24" s="27" t="inlineStr">
        <is>
          <t>Required; retained statistical_results</t>
        </is>
      </c>
      <c r="D24" s="28" t="inlineStr">
        <is>
          <t>Does a statistical or numerical reporting issue exist? Example: a reported percentage conflicts with its stated numerator and denominator after checking definitions. Certainty is separate from importance.</t>
        </is>
      </c>
      <c r="E24" s="27" t="inlineStr">
        <is>
          <t>statisticalIssueStatus</t>
        </is>
      </c>
    </row>
    <row r="25" outlineLevel="1" ht="52" customHeight="1">
      <c r="A25" s="16" t="inlineStr"/>
      <c r="B25" s="29" t="inlineStr">
        <is>
          <t>confirmed_issue</t>
        </is>
      </c>
      <c r="C25" s="16" t="inlineStr">
        <is>
          <t>Option</t>
        </is>
      </c>
      <c r="D25" s="25" t="inlineStr">
        <is>
          <t>Confirmed statistical or numerical reporting issue. The available evidence establishes a reporting issue or contradiction, even if the correct replacement value is not known.</t>
        </is>
      </c>
      <c r="E25" s="16" t="inlineStr"/>
    </row>
    <row r="26" outlineLevel="1" ht="52" customHeight="1">
      <c r="A26" s="18" t="inlineStr"/>
      <c r="B26" s="30" t="inlineStr">
        <is>
          <t>probable_issue</t>
        </is>
      </c>
      <c r="C26" s="18" t="inlineStr">
        <is>
          <t>Option</t>
        </is>
      </c>
      <c r="D26" s="23" t="inlineStr">
        <is>
          <t>Probable statistical or numerical reporting issue. The evidence favors a reporting issue, but an unresolved limitation or plausible alternative prevents confirmation.</t>
        </is>
      </c>
      <c r="E26" s="18" t="inlineStr"/>
    </row>
    <row r="27" outlineLevel="1" ht="52" customHeight="1">
      <c r="A27" s="16" t="inlineStr"/>
      <c r="B27" s="29" t="inlineStr">
        <is>
          <t>not_issue</t>
        </is>
      </c>
      <c r="C27" s="16" t="inlineStr">
        <is>
          <t>Option</t>
        </is>
      </c>
      <c r="D27" s="25" t="inlineStr">
        <is>
          <t>Not a statistical or numerical issue. The apparent discrepancy is consistent with a valid calculation, definition, analysis method or reporting context.</t>
        </is>
      </c>
      <c r="E27" s="16" t="inlineStr"/>
    </row>
    <row r="28" outlineLevel="1" ht="52" customHeight="1">
      <c r="A28" s="18" t="inlineStr"/>
      <c r="B28" s="30" t="inlineStr">
        <is>
          <t>indeterminate</t>
        </is>
      </c>
      <c r="C28" s="18" t="inlineStr">
        <is>
          <t>Option</t>
        </is>
      </c>
      <c r="D28" s="23" t="inlineStr">
        <is>
          <t>Indeterminate. The available evidence does not support deciding whether a statistical or numerical reporting issue exists; neither confirmation nor dismissal is justified.</t>
        </is>
      </c>
      <c r="E28" s="18" t="inlineStr"/>
    </row>
    <row r="29" outlineLevel="1" ht="56" customHeight="1">
      <c r="A29" s="16" t="inlineStr"/>
      <c r="B29" s="29" t="inlineStr">
        <is>
          <t>not_applicable</t>
        </is>
      </c>
      <c r="C29" s="16" t="inlineStr">
        <is>
          <t>Option</t>
        </is>
      </c>
      <c r="D29" s="25" t="inlineStr">
        <is>
          <t>Automatic default outside this field's review domain or for a non-retained candidate. It is not an issue verdict, missing evidence, or an unanswered applicable question. Do not choose it for an applicable field.</t>
        </is>
      </c>
      <c r="E29" s="16" t="inlineStr"/>
    </row>
    <row r="30" ht="90" customHeight="1">
      <c r="A30" s="27" t="inlineStr">
        <is>
          <t>Substantiveness</t>
        </is>
      </c>
      <c r="B30" s="27" t="inlineStr">
        <is>
          <t>FIELD</t>
        </is>
      </c>
      <c r="C30" s="27" t="inlineStr">
        <is>
          <t>Required; retained statistical_results</t>
        </is>
      </c>
      <c r="D30" s="28" t="inlineStr">
        <is>
          <t>Could the issue meaningfully affect interpretation or data use? A harmless spacing typo is minor_presentation; an ambiguous extractable effect estimate may be substantive. An issue can be confirmed yet minor.</t>
        </is>
      </c>
      <c r="E30" s="27" t="inlineStr">
        <is>
          <t>substantiveStatus</t>
        </is>
      </c>
    </row>
    <row r="31" outlineLevel="1" ht="52" customHeight="1">
      <c r="A31" s="16" t="inlineStr"/>
      <c r="B31" s="29" t="inlineStr">
        <is>
          <t>substantive</t>
        </is>
      </c>
      <c r="C31" s="16" t="inlineStr">
        <is>
          <t>Option</t>
        </is>
      </c>
      <c r="D31" s="25" t="inlineStr">
        <is>
          <t>Substantive. The issue could meaningfully change interpretation, data extraction or downstream analysis, rather than only the presentation of the result.</t>
        </is>
      </c>
      <c r="E31" s="16" t="inlineStr"/>
    </row>
    <row r="32" outlineLevel="1" ht="56" customHeight="1">
      <c r="A32" s="18" t="inlineStr"/>
      <c r="B32" s="30" t="inlineStr">
        <is>
          <t>minor_presentation</t>
        </is>
      </c>
      <c r="C32" s="18" t="inlineStr">
        <is>
          <t>Option</t>
        </is>
      </c>
      <c r="D32" s="23" t="inlineStr">
        <is>
          <t>Minor or presentation only. The intended result remains clear and the issue is a small formatting, labeling or typographic problem without a meaningful change in interpretation.</t>
        </is>
      </c>
      <c r="E32" s="18" t="inlineStr"/>
    </row>
    <row r="33" outlineLevel="1" ht="52" customHeight="1">
      <c r="A33" s="16" t="inlineStr"/>
      <c r="B33" s="29" t="inlineStr">
        <is>
          <t>indeterminate</t>
        </is>
      </c>
      <c r="C33" s="16" t="inlineStr">
        <is>
          <t>Option</t>
        </is>
      </c>
      <c r="D33" s="25" t="inlineStr">
        <is>
          <t>Indeterminate. There is not enough information to decide whether the issue is substantive or limited to presentation.</t>
        </is>
      </c>
      <c r="E33" s="16" t="inlineStr"/>
    </row>
    <row r="34" outlineLevel="1" ht="56" customHeight="1">
      <c r="A34" s="18" t="inlineStr"/>
      <c r="B34" s="30" t="inlineStr">
        <is>
          <t>not_applicable</t>
        </is>
      </c>
      <c r="C34" s="18" t="inlineStr">
        <is>
          <t>Option</t>
        </is>
      </c>
      <c r="D34" s="23" t="inlineStr">
        <is>
          <t>Automatic default outside this field's review domain or for a non-retained candidate. It is not an issue verdict, missing evidence, or an unanswered applicable question. Do not choose it for an applicable field.</t>
        </is>
      </c>
      <c r="E34" s="18" t="inlineStr"/>
    </row>
    <row r="35" ht="90" customHeight="1">
      <c r="A35" s="27" t="inlineStr">
        <is>
          <t>Downstream impact</t>
        </is>
      </c>
      <c r="B35" s="27" t="inlineStr">
        <is>
          <t>FIELD</t>
        </is>
      </c>
      <c r="C35" s="27" t="inlineStr">
        <is>
          <t>Optional; retained statistical_results</t>
        </is>
      </c>
      <c r="D35" s="28"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5" s="27" t="inlineStr">
        <is>
          <t>downstreamImpact</t>
        </is>
      </c>
    </row>
    <row r="36" outlineLevel="1" ht="56" customHeight="1">
      <c r="A36" s="18" t="inlineStr"/>
      <c r="B36" s="30" t="inlineStr">
        <is>
          <t>direct</t>
        </is>
      </c>
      <c r="C36" s="18" t="inlineStr">
        <is>
          <t>Option</t>
        </is>
      </c>
      <c r="D36" s="23" t="inlineStr">
        <is>
          <t>Direct extraction or analysis impact. The affected value or definition is itself an input to data extraction or subsequent analysis; this describes potential impact, not proven downstream harm.</t>
        </is>
      </c>
      <c r="E36" s="18" t="inlineStr"/>
    </row>
    <row r="37" outlineLevel="1" ht="52" customHeight="1">
      <c r="A37" s="16" t="inlineStr"/>
      <c r="B37" s="29" t="inlineStr">
        <is>
          <t>possible</t>
        </is>
      </c>
      <c r="C37" s="16" t="inlineStr">
        <is>
          <t>Option</t>
        </is>
      </c>
      <c r="D37" s="25" t="inlineStr">
        <is>
          <t>Possible downstream impact. A plausible route to affecting later interpretation, extraction or analysis exists, but the connection is indirect or uncertain.</t>
        </is>
      </c>
      <c r="E37" s="16" t="inlineStr"/>
    </row>
    <row r="38" outlineLevel="1" ht="52" customHeight="1">
      <c r="A38" s="18" t="inlineStr"/>
      <c r="B38" s="30" t="inlineStr">
        <is>
          <t>unlikely</t>
        </is>
      </c>
      <c r="C38" s="18" t="inlineStr">
        <is>
          <t>Option</t>
        </is>
      </c>
      <c r="D38" s="23" t="inlineStr">
        <is>
          <t>Unlikely downstream impact. The issue is unlikely to change extracted information or later analysis because the relevant result remains clear and usable.</t>
        </is>
      </c>
      <c r="E38" s="18" t="inlineStr"/>
    </row>
    <row r="39" outlineLevel="1" ht="52" customHeight="1">
      <c r="A39" s="16" t="inlineStr"/>
      <c r="B39" s="29" t="inlineStr">
        <is>
          <t>unknown</t>
        </is>
      </c>
      <c r="C39" s="16" t="inlineStr">
        <is>
          <t>Option</t>
        </is>
      </c>
      <c r="D39" s="25" t="inlineStr">
        <is>
          <t>Unable to assess. The materials do not establish enough about the affected information or its likely use to judge downstream impact.</t>
        </is>
      </c>
      <c r="E39" s="16" t="inlineStr"/>
    </row>
    <row r="40" outlineLevel="1" ht="56" customHeight="1">
      <c r="A40" s="18" t="inlineStr"/>
      <c r="B40" s="30" t="inlineStr">
        <is>
          <t>not_applicable</t>
        </is>
      </c>
      <c r="C40" s="18" t="inlineStr">
        <is>
          <t>Option</t>
        </is>
      </c>
      <c r="D40" s="23" t="inlineStr">
        <is>
          <t>Automatic default outside this field's review domain or for a non-retained candidate. It is not an issue verdict, missing evidence, or an unanswered applicable question. Do not choose it for an applicable field.</t>
        </is>
      </c>
      <c r="E40" s="18" t="inlineStr"/>
    </row>
    <row r="41" outlineLevel="1" ht="52" customHeight="1">
      <c r="A41" s="16" t="inlineStr"/>
      <c r="B41" s="29" t="inlineStr">
        <is>
          <t>&lt;clear&gt;</t>
        </is>
      </c>
      <c r="C41" s="16" t="inlineStr">
        <is>
          <t>Option</t>
        </is>
      </c>
      <c r="D41" s="25" t="inlineStr">
        <is>
          <t>Checker only: remove an inherited optional judgment. This is a control value, not an assessment option for primary review. The final optional answer becomes blank.</t>
        </is>
      </c>
      <c r="E41" s="16" t="inlineStr"/>
    </row>
    <row r="42" ht="32" customHeight="1">
      <c r="A42" s="31" t="inlineStr">
        <is>
          <t>3  |  Report internal or planning-material inconsistency</t>
        </is>
      </c>
      <c r="B42" s="14" t="n"/>
      <c r="C42" s="14" t="n"/>
      <c r="D42" s="14" t="n"/>
      <c r="E42" s="15" t="n"/>
    </row>
    <row r="43" ht="104" customHeight="1">
      <c r="A43" s="32" t="inlineStr">
        <is>
          <t>Report-internal or planning-material inconsistency</t>
        </is>
      </c>
      <c r="B43" s="32" t="inlineStr">
        <is>
          <t>FIELD</t>
        </is>
      </c>
      <c r="C43" s="32" t="inlineStr">
        <is>
          <t>Required; retained report_internal_inconsistency or plan_material</t>
        </is>
      </c>
      <c r="D43" s="33"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43" s="32" t="inlineStr">
        <is>
          <t>internalStatus</t>
        </is>
      </c>
    </row>
    <row r="44" outlineLevel="1" ht="56" customHeight="1">
      <c r="A44" s="18" t="inlineStr"/>
      <c r="B44" s="34" t="inlineStr">
        <is>
          <t>substantive_inconsistency</t>
        </is>
      </c>
      <c r="C44" s="18" t="inlineStr">
        <is>
          <t>Option</t>
        </is>
      </c>
      <c r="D44" s="23" t="inlineStr">
        <is>
          <t>Substantive inconsistency. Conflicting statements, values, labels, or descriptions in the compared report or planning materials could materially change how the study, population, procedures or results are understood.</t>
        </is>
      </c>
      <c r="E44" s="18" t="inlineStr"/>
    </row>
    <row r="45" outlineLevel="1" ht="56" customHeight="1">
      <c r="A45" s="16" t="inlineStr"/>
      <c r="B45" s="35" t="inlineStr">
        <is>
          <t>minor_presentation</t>
        </is>
      </c>
      <c r="C45" s="16" t="inlineStr">
        <is>
          <t>Option</t>
        </is>
      </c>
      <c r="D45" s="25" t="inlineStr">
        <is>
          <t>Minor presentation inconsistency. A real discrepancy exists, but it mainly affects presentation, including minor wording or labeling problems, and the intended meaning remains clear. Example: an imprecise label whose intended meaning is clear from context.</t>
        </is>
      </c>
      <c r="E45" s="16" t="inlineStr"/>
    </row>
    <row r="46" outlineLevel="1" ht="72" customHeight="1">
      <c r="A46" s="18" t="inlineStr"/>
      <c r="B46" s="34" t="inlineStr">
        <is>
          <t>non_inconsistency</t>
        </is>
      </c>
      <c r="C46" s="18" t="inlineStr">
        <is>
          <t>Option</t>
        </is>
      </c>
      <c r="D46" s="23"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6" s="18" t="inlineStr"/>
    </row>
    <row r="47" outlineLevel="1" ht="52" customHeight="1">
      <c r="A47" s="16" t="inlineStr"/>
      <c r="B47" s="35" t="inlineStr">
        <is>
          <t>indeterminate</t>
        </is>
      </c>
      <c r="C47" s="16" t="inlineStr">
        <is>
          <t>Option</t>
        </is>
      </c>
      <c r="D47" s="25" t="inlineStr">
        <is>
          <t>Indeterminate. The available material is insufficient to establish whether the statements conflict or how important any conflict is.</t>
        </is>
      </c>
      <c r="E47" s="16" t="inlineStr"/>
    </row>
    <row r="48" outlineLevel="1" ht="56" customHeight="1">
      <c r="A48" s="18" t="inlineStr"/>
      <c r="B48" s="34" t="inlineStr">
        <is>
          <t>not_applicable</t>
        </is>
      </c>
      <c r="C48" s="18" t="inlineStr">
        <is>
          <t>Option</t>
        </is>
      </c>
      <c r="D48" s="23" t="inlineStr">
        <is>
          <t>Automatic default outside this field's review domain or for a non-retained candidate. It is not an issue verdict, missing evidence, or an unanswered applicable question. Do not choose it for an applicable field.</t>
        </is>
      </c>
      <c r="E48" s="18" t="inlineStr"/>
    </row>
    <row r="49" ht="32" customHeight="1">
      <c r="A49" s="36" t="inlineStr">
        <is>
          <t>4  |  Protocol versus report: optional description only</t>
        </is>
      </c>
      <c r="B49" s="14" t="n"/>
      <c r="C49" s="14" t="n"/>
      <c r="D49" s="14" t="n"/>
      <c r="E49" s="15" t="n"/>
    </row>
    <row r="50" ht="104" customHeight="1">
      <c r="A50" s="37" t="inlineStr">
        <is>
          <t>Protocol interpretation</t>
        </is>
      </c>
      <c r="B50" s="37" t="inlineStr">
        <is>
          <t>FIELD</t>
        </is>
      </c>
      <c r="C50" s="37" t="inlineStr">
        <is>
          <t>Optional; retained protocol_report</t>
        </is>
      </c>
      <c r="D50" s="38"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50" s="37" t="inlineStr">
        <is>
          <t>protocolInterpretation</t>
        </is>
      </c>
    </row>
    <row r="51" outlineLevel="1" ht="72" customHeight="1">
      <c r="A51" s="16" t="inlineStr"/>
      <c r="B51" s="39" t="inlineStr">
        <is>
          <t>substantive_difference</t>
        </is>
      </c>
      <c r="C51" s="16" t="inlineStr">
        <is>
          <t>Option</t>
        </is>
      </c>
      <c r="D51" s="25"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51" s="16" t="inlineStr"/>
    </row>
    <row r="52" outlineLevel="1" ht="56" customHeight="1">
      <c r="A52" s="18" t="inlineStr"/>
      <c r="B52" s="40" t="inlineStr">
        <is>
          <t>minor_presentation</t>
        </is>
      </c>
      <c r="C52" s="18" t="inlineStr">
        <is>
          <t>Option</t>
        </is>
      </c>
      <c r="D52" s="23" t="inlineStr">
        <is>
          <t>Minor presentation difference. A minor wording, labeling or presentation problem exists, but the intended planned and reported meaning or conduct remains clear. Example: an imprecise outcome label clarified by the same definition in both documents.</t>
        </is>
      </c>
      <c r="E52" s="18" t="inlineStr"/>
    </row>
    <row r="53" outlineLevel="1" ht="52" customHeight="1">
      <c r="A53" s="16" t="inlineStr"/>
      <c r="B53" s="39" t="inlineStr">
        <is>
          <t>version_timing</t>
        </is>
      </c>
      <c r="C53" s="16" t="inlineStr">
        <is>
          <t>Option</t>
        </is>
      </c>
      <c r="D53" s="25" t="inlineStr">
        <is>
          <t>Version or timing ambiguity. The difference may reflect which protocol version or date is being compared; the sequence cannot be resolved from the available material.</t>
        </is>
      </c>
      <c r="E53" s="16" t="inlineStr"/>
    </row>
    <row r="54" outlineLevel="1" ht="72" customHeight="1">
      <c r="A54" s="18" t="inlineStr"/>
      <c r="B54" s="40" t="inlineStr">
        <is>
          <t>non_inconsistency</t>
        </is>
      </c>
      <c r="C54" s="18" t="inlineStr">
        <is>
          <t>Option</t>
        </is>
      </c>
      <c r="D54" s="23"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54" s="18" t="inlineStr"/>
    </row>
    <row r="55" outlineLevel="1" ht="52" customHeight="1">
      <c r="A55" s="16" t="inlineStr"/>
      <c r="B55" s="39" t="inlineStr">
        <is>
          <t>indeterminate</t>
        </is>
      </c>
      <c r="C55" s="16" t="inlineStr">
        <is>
          <t>Option</t>
        </is>
      </c>
      <c r="D55" s="25" t="inlineStr">
        <is>
          <t>Indeterminate. The available evidence cannot support a more specific interpretation of the planned-versus-reported difference.</t>
        </is>
      </c>
      <c r="E55" s="16" t="inlineStr"/>
    </row>
    <row r="56" outlineLevel="1" ht="56" customHeight="1">
      <c r="A56" s="18" t="inlineStr"/>
      <c r="B56" s="40" t="inlineStr">
        <is>
          <t>not_applicable</t>
        </is>
      </c>
      <c r="C56" s="18" t="inlineStr">
        <is>
          <t>Option</t>
        </is>
      </c>
      <c r="D56" s="23" t="inlineStr">
        <is>
          <t>Automatic default outside this field's review domain or for a non-retained candidate. It is not an issue verdict, missing evidence, or an unanswered applicable question. Do not choose it for an applicable field.</t>
        </is>
      </c>
      <c r="E56" s="18" t="inlineStr"/>
    </row>
    <row r="57" outlineLevel="1" ht="52" customHeight="1">
      <c r="A57" s="16" t="inlineStr"/>
      <c r="B57" s="39" t="inlineStr">
        <is>
          <t>&lt;clear&gt;</t>
        </is>
      </c>
      <c r="C57" s="16" t="inlineStr">
        <is>
          <t>Option</t>
        </is>
      </c>
      <c r="D57" s="25" t="inlineStr">
        <is>
          <t>Checker only: remove an inherited optional judgment. This is a control value, not an assessment option for primary review. The final optional answer becomes blank.</t>
        </is>
      </c>
      <c r="E57" s="16" t="inlineStr"/>
    </row>
    <row r="58" ht="32" customHeight="1">
      <c r="A58" s="41" t="inlineStr">
        <is>
          <t>5  |  Second-person checking and discussion</t>
        </is>
      </c>
      <c r="B58" s="14" t="n"/>
      <c r="C58" s="14" t="n"/>
      <c r="D58" s="14" t="n"/>
      <c r="E58" s="15" t="n"/>
    </row>
    <row r="59" ht="90" customHeight="1">
      <c r="A59" s="42" t="inlineStr">
        <is>
          <t>Checker result</t>
        </is>
      </c>
      <c r="B59" s="42" t="inlineStr">
        <is>
          <t>FIELD</t>
        </is>
      </c>
      <c r="C59" s="42" t="inlineStr">
        <is>
          <t>Required; completed Checker</t>
        </is>
      </c>
      <c r="D59" s="43" t="inlineStr">
        <is>
          <t>The checker sees primary answers. For an unchanged agreement, select agree and Complete=yes only. Other choices need a Checker comment. This is not blinded independent rating.</t>
        </is>
      </c>
      <c r="E59" s="42" t="inlineStr">
        <is>
          <t>checkStatus</t>
        </is>
      </c>
    </row>
    <row r="60" outlineLevel="1" ht="52" customHeight="1">
      <c r="A60" s="18" t="inlineStr"/>
      <c r="B60" s="44" t="inlineStr">
        <is>
          <t>agree</t>
        </is>
      </c>
      <c r="C60" s="18" t="inlineStr">
        <is>
          <t>Option</t>
        </is>
      </c>
      <c r="D60" s="23" t="inlineStr">
        <is>
          <t>Agree, assessment unchanged. Accept the primary assessment as recorded. Leave override cells blank; no checker comment is required.</t>
        </is>
      </c>
      <c r="E60" s="18" t="inlineStr"/>
    </row>
    <row r="61" outlineLevel="1" ht="52" customHeight="1">
      <c r="A61" s="16" t="inlineStr"/>
      <c r="B61" s="45" t="inlineStr">
        <is>
          <t>agree_clarification</t>
        </is>
      </c>
      <c r="C61" s="16" t="inlineStr">
        <is>
          <t>Option</t>
        </is>
      </c>
      <c r="D61" s="25" t="inlineStr">
        <is>
          <t>Agree with clarification. Accept the main assessment but add context or a clarifying amendment. Explain it in a checker comment and fill only any changed fields.</t>
        </is>
      </c>
      <c r="E61" s="16" t="inlineStr"/>
    </row>
    <row r="62" outlineLevel="1" ht="56" customHeight="1">
      <c r="A62" s="18" t="inlineStr"/>
      <c r="B62" s="44" t="inlineStr">
        <is>
          <t>disagree</t>
        </is>
      </c>
      <c r="C62" s="18" t="inlineStr">
        <is>
          <t>Option</t>
        </is>
      </c>
      <c r="D62" s="23" t="inlineStr">
        <is>
          <t>Disagree, proposal pending discussion. Recommend a different assessment, explain why in a comment, and enter proposed changes. The proposal is not final consensus until discussion is resolved.</t>
        </is>
      </c>
      <c r="E62" s="18" t="inlineStr"/>
    </row>
    <row r="63" outlineLevel="1" ht="52" customHeight="1">
      <c r="A63" s="16" t="inlineStr"/>
      <c r="B63" s="45" t="inlineStr">
        <is>
          <t>unable</t>
        </is>
      </c>
      <c r="C63" s="16" t="inlineStr">
        <is>
          <t>Option</t>
        </is>
      </c>
      <c r="D63" s="25" t="inlineStr">
        <is>
          <t>Unable to resolve. The checker cannot settle the issue from the available information. State what remains uncertain in a comment and refer it for discussion.</t>
        </is>
      </c>
      <c r="E63" s="16" t="inlineStr"/>
    </row>
    <row r="64" ht="90" customHeight="1">
      <c r="A64" s="42" t="inlineStr">
        <is>
          <t>Checker comment</t>
        </is>
      </c>
      <c r="B64" s="42" t="inlineStr">
        <is>
          <t>FIELD</t>
        </is>
      </c>
      <c r="C64" s="42" t="inlineStr">
        <is>
          <t>Required unless Checker result is agree</t>
        </is>
      </c>
      <c r="D64" s="43" t="inlineStr">
        <is>
          <t>Explain the clarification, disagreement, or uncertainty in English. An unchanged agreement does not require a comment.</t>
        </is>
      </c>
      <c r="E64" s="42" t="inlineStr">
        <is>
          <t>checkerComment</t>
        </is>
      </c>
    </row>
    <row r="65" ht="90" customHeight="1">
      <c r="A65" s="42" t="inlineStr">
        <is>
          <t>Discussion resolution</t>
        </is>
      </c>
      <c r="B65" s="42" t="inlineStr">
        <is>
          <t>FIELD</t>
        </is>
      </c>
      <c r="C65" s="42" t="inlineStr">
        <is>
          <t>Conditional; discussion</t>
        </is>
      </c>
      <c r="D65" s="43" t="inlineStr">
        <is>
          <t>Use resolved only after joint discussion settles a disagreement, an unable result, or a primary discuss changed to a decision. Record who participated and the conclusion in Resolution note.</t>
        </is>
      </c>
      <c r="E65" s="42" t="inlineStr">
        <is>
          <t>resolutionStatus</t>
        </is>
      </c>
    </row>
    <row r="66" outlineLevel="1" ht="52" customHeight="1">
      <c r="A66" s="18" t="inlineStr"/>
      <c r="B66" s="44" t="inlineStr">
        <is>
          <t>pending</t>
        </is>
      </c>
      <c r="C66" s="18" t="inlineStr">
        <is>
          <t>Option</t>
        </is>
      </c>
      <c r="D66" s="23" t="inlineStr">
        <is>
          <t>Discussion not resolved. A required discussion is not yet settled. For an unchanged agreement this default can be left as-is because no separate resolution is required.</t>
        </is>
      </c>
      <c r="E66" s="18" t="inlineStr"/>
    </row>
    <row r="67" outlineLevel="1" ht="52" customHeight="1">
      <c r="A67" s="16" t="inlineStr"/>
      <c r="B67" s="45" t="inlineStr">
        <is>
          <t>resolved</t>
        </is>
      </c>
      <c r="C67" s="16" t="inlineStr">
        <is>
          <t>Option</t>
        </is>
      </c>
      <c r="D67" s="25" t="inlineStr">
        <is>
          <t>Joint discussion resolved. Record the participants and agreed conclusion in Resolution note, update the proposed assessment, and do not leave disposition as discuss.</t>
        </is>
      </c>
      <c r="E67" s="16" t="inlineStr"/>
    </row>
    <row r="68" ht="90" customHeight="1">
      <c r="A68" s="42" t="inlineStr">
        <is>
          <t>Resolution note</t>
        </is>
      </c>
      <c r="B68" s="42" t="inlineStr">
        <is>
          <t>FIELD</t>
        </is>
      </c>
      <c r="C68" s="42" t="inlineStr">
        <is>
          <t>Required when resolved</t>
        </is>
      </c>
      <c r="D68" s="43" t="inlineStr">
        <is>
          <t>Record participants and the agreed conclusion in English. Update proposed judgments and do not leave Disposition=discuss. Checker completion alone does not settle disagreement.</t>
        </is>
      </c>
      <c r="E68" s="42" t="inlineStr">
        <is>
          <t>resolutionNote</t>
        </is>
      </c>
    </row>
    <row r="69" ht="32" customHeight="1">
      <c r="A69" s="46" t="inlineStr">
        <is>
          <t>6  |  Candidate context</t>
        </is>
      </c>
      <c r="B69" s="14" t="n"/>
      <c r="C69" s="14" t="n"/>
      <c r="D69" s="14" t="n"/>
      <c r="E69" s="15" t="n"/>
    </row>
    <row r="70" ht="90" customHeight="1">
      <c r="A70" s="47" t="inlineStr">
        <is>
          <t>Candidate key</t>
        </is>
      </c>
      <c r="B70" s="47" t="inlineStr">
        <is>
          <t>FIELD</t>
        </is>
      </c>
      <c r="C70" s="47" t="inlineStr">
        <is>
          <t>Read only</t>
        </is>
      </c>
      <c r="D70" s="48" t="inlineStr">
        <is>
          <t>Unique candidate identity used for matching, even after complete rows are reordered. Never edit this value.</t>
        </is>
      </c>
      <c r="E70" s="47" t="inlineStr">
        <is>
          <t>key</t>
        </is>
      </c>
    </row>
    <row r="71" ht="90" customHeight="1">
      <c r="A71" s="47" t="inlineStr">
        <is>
          <t>Candidate title</t>
        </is>
      </c>
      <c r="B71" s="47" t="inlineStr">
        <is>
          <t>FIELD</t>
        </is>
      </c>
      <c r="C71" s="47" t="inlineStr">
        <is>
          <t>Read only</t>
        </is>
      </c>
      <c r="D71" s="48" t="inlineStr">
        <is>
          <t>Short candidate title. A candidate is an AI flag for human assessment, not a confirmed issue.</t>
        </is>
      </c>
      <c r="E71" s="47" t="inlineStr">
        <is>
          <t>title</t>
        </is>
      </c>
    </row>
    <row r="72" ht="90" customHeight="1">
      <c r="A72" s="47" t="inlineStr">
        <is>
          <t>Source location</t>
        </is>
      </c>
      <c r="B72" s="47" t="inlineStr">
        <is>
          <t>FIELD</t>
        </is>
      </c>
      <c r="C72" s="47" t="inlineStr">
        <is>
          <t>Read only; both roles</t>
        </is>
      </c>
      <c r="D72" s="48" t="inlineStr">
        <is>
          <t>Where to check the source claim. Both Primary and Checker show this column in the same position. Use Candidates and Evidence for context and the shared paper folders for originals.</t>
        </is>
      </c>
      <c r="E72" s="47" t="inlineStr">
        <is>
          <t>locations</t>
        </is>
      </c>
    </row>
    <row r="73" ht="90" customHeight="1">
      <c r="A73" s="47" t="inlineStr">
        <is>
          <t>Primary assessment</t>
        </is>
      </c>
      <c r="B73" s="47" t="inlineStr">
        <is>
          <t>FIELD</t>
        </is>
      </c>
      <c r="C73" s="47" t="inlineStr">
        <is>
          <t>Read only</t>
        </is>
      </c>
      <c r="D73" s="48" t="inlineStr">
        <is>
          <t>This column stays blank during primary review. In the prepared checker copy it shows the completed primary judgments for this candidate. Review the summary before choosing Checker result. Blank applicable judgment cells then inherit the matching snapshot.</t>
        </is>
      </c>
      <c r="E73" s="47"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9:E69"/>
    <mergeCell ref="A2:E2"/>
    <mergeCell ref="A42:E42"/>
    <mergeCell ref="A49:E49"/>
    <mergeCell ref="A23:E23"/>
    <mergeCell ref="A8:E8"/>
    <mergeCell ref="A58:E58"/>
  </mergeCells>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v.2.1.5.2</t>
        </is>
      </c>
    </row>
    <row r="3" ht="30" customHeight="1">
      <c r="A3" s="3" t="inlineStr">
        <is>
          <t>schema</t>
        </is>
      </c>
      <c r="B3" s="3" t="inlineStr">
        <is>
          <t>xlsx-adjudication-8</t>
        </is>
      </c>
    </row>
    <row r="4" ht="30" customHeight="1">
      <c r="A4" s="2" t="inlineStr">
        <is>
          <t>stage</t>
        </is>
      </c>
      <c r="B4" s="2" t="inlineStr">
        <is>
          <t>checker</t>
        </is>
      </c>
    </row>
    <row r="5" ht="30" customHeight="1">
      <c r="A5" s="3" t="inlineStr">
        <is>
          <t>year</t>
        </is>
      </c>
      <c r="B5" s="3" t="inlineStr">
        <is>
          <t>2019</t>
        </is>
      </c>
    </row>
    <row r="6" ht="30" customHeight="1">
      <c r="A6" s="2" t="inlineStr">
        <is>
          <t>createdAt</t>
        </is>
      </c>
      <c r="B6" s="2" t="inlineStr">
        <is>
          <t>2026-09-17T21:43:13+00:00</t>
        </is>
      </c>
    </row>
    <row r="7" ht="30" customHeight="1">
      <c r="A7" s="3" t="inlineStr">
        <is>
          <t>catalogSignature</t>
        </is>
      </c>
      <c r="B7" s="3" t="inlineStr">
        <is>
          <t>8d587aec1fb0cf06a9e1afdc45fef5a9c87a35785e6b71679cfea702de42afdd</t>
        </is>
      </c>
    </row>
    <row r="8" ht="30" customHeight="1">
      <c r="A8" s="2" t="inlineStr">
        <is>
          <t>sourceSignature</t>
        </is>
      </c>
      <c r="B8" s="2" t="inlineStr">
        <is>
          <t>d9d9904044cc412a92e2e1eb93fcc31360e9e9fda3b1a223303ab571356fe871</t>
        </is>
      </c>
    </row>
    <row r="9" ht="30" customHeight="1">
      <c r="A9" s="3" t="inlineStr">
        <is>
          <t>primarySignature</t>
        </is>
      </c>
      <c r="B9" s="3" t="inlineStr">
        <is>
          <t>bfa3e4fa7818e87c26bd19a4e315381c7cb992f2930fd2aa0553dc8a7efd44df</t>
        </is>
      </c>
    </row>
    <row r="10" ht="30" customHeight="1">
      <c r="A10" s="2" t="inlineStr">
        <is>
          <t>primaryFileSHA256</t>
        </is>
      </c>
      <c r="B10" s="2" t="inlineStr">
        <is>
          <t>398b8d976023d8cdec961b0f0867f3eb473da2688d29f2f9fa33a95a4a387942</t>
        </is>
      </c>
    </row>
    <row r="11" ht="30" customHeight="1">
      <c r="A11" s="3" t="inlineStr">
        <is>
          <t>revision</t>
        </is>
      </c>
      <c r="B11" s="3" t="inlineStr">
        <is>
          <t>v.2.1.5.2</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E31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30" customHeight="1">
      <c r="A2" s="2" t="inlineStr">
        <is>
          <t>2019::jama.2019.0556::C001</t>
        </is>
      </c>
      <c r="B2" s="2" t="inlineStr">
        <is>
          <t>sourceLinks</t>
        </is>
      </c>
      <c r="C2" s="2" t="n">
        <v>0</v>
      </c>
      <c r="D2" s="2" t="inlineStr">
        <is>
          <t>DOC-001 Table 2 — PDF p. 6</t>
        </is>
      </c>
      <c r="E2" s="2" t="inlineStr">
        <is>
          <t>../../2019/jama.2019.0556/jama_bot_2019_oi_190007.pdf#page=6</t>
        </is>
      </c>
    </row>
    <row r="3" ht="30" customHeight="1">
      <c r="A3" s="3" t="inlineStr">
        <is>
          <t>2019::jama.2019.0556::C001</t>
        </is>
      </c>
      <c r="B3" s="3" t="inlineStr">
        <is>
          <t>sourceLinks</t>
        </is>
      </c>
      <c r="C3" s="3" t="n">
        <v>1</v>
      </c>
      <c r="D3" s="3" t="inlineStr">
        <is>
          <t>Figure 1 — PDF p. 3</t>
        </is>
      </c>
      <c r="E3" s="3" t="inlineStr">
        <is>
          <t>../../2019/jama.2019.0556/jama_bot_2019_oi_190007.pdf#page=3</t>
        </is>
      </c>
    </row>
    <row r="4" ht="30" customHeight="1">
      <c r="A4" s="2" t="inlineStr">
        <is>
          <t>2019::jama.2019.0556::C001</t>
        </is>
      </c>
      <c r="B4" s="2" t="inlineStr">
        <is>
          <t>sourceLinks</t>
        </is>
      </c>
      <c r="C4" s="2" t="n">
        <v>2</v>
      </c>
      <c r="D4" s="2" t="inlineStr">
        <is>
          <t>Results — PDF p. 7</t>
        </is>
      </c>
      <c r="E4" s="2" t="inlineStr">
        <is>
          <t>../../2019/jama.2019.0556/jama_bot_2019_oi_190007.pdf#page=7</t>
        </is>
      </c>
    </row>
    <row r="5" ht="40" customHeight="1">
      <c r="A5" s="3" t="inlineStr">
        <is>
          <t>2019::jama.2019.0556::C001</t>
        </is>
      </c>
      <c r="B5" s="3" t="inlineStr">
        <is>
          <t>evidencePaths</t>
        </is>
      </c>
      <c r="C5" s="3" t="n">
        <v>0</v>
      </c>
      <c r="D5" s="3" t="inlineStr">
        <is>
          <t>2019/jama.2019.0556/.ai_paper_validation/review_1_4_1/source_inventory.md</t>
        </is>
      </c>
      <c r="E5" s="3" t="inlineStr">
        <is>
          <t>../../2019/jama.2019.0556/.ai_paper_validation/review_1_4_1/source_inventory.md</t>
        </is>
      </c>
    </row>
    <row r="6" ht="40" customHeight="1">
      <c r="A6" s="2" t="inlineStr">
        <is>
          <t>2019::jama.2019.0556::C001</t>
        </is>
      </c>
      <c r="B6" s="2" t="inlineStr">
        <is>
          <t>evidencePaths</t>
        </is>
      </c>
      <c r="C6" s="2" t="n">
        <v>1</v>
      </c>
      <c r="D6" s="2" t="inlineStr">
        <is>
          <t>2019/jama.2019.0556/.ai_paper_validation/review_1_4_1/verification/evidence_recheck.md</t>
        </is>
      </c>
      <c r="E6" s="2" t="inlineStr">
        <is>
          <t>../../2019/jama.2019.0556/.ai_paper_validation/review_1_4_1/verification/evidence_recheck.md</t>
        </is>
      </c>
    </row>
    <row r="7" ht="30" customHeight="1">
      <c r="A7" s="3" t="inlineStr">
        <is>
          <t>2019::jama.2019.0556::C002</t>
        </is>
      </c>
      <c r="B7" s="3" t="inlineStr">
        <is>
          <t>sourceLinks</t>
        </is>
      </c>
      <c r="C7" s="3" t="n">
        <v>0</v>
      </c>
      <c r="D7" s="3" t="inlineStr">
        <is>
          <t>DOC-001 Methods — PDF p. 4</t>
        </is>
      </c>
      <c r="E7" s="3" t="inlineStr">
        <is>
          <t>../../2019/jama.2019.0556/jama_bot_2019_oi_190007.pdf#page=4</t>
        </is>
      </c>
    </row>
    <row r="8" ht="30" customHeight="1">
      <c r="A8" s="2" t="inlineStr">
        <is>
          <t>2019::jama.2019.0556::C002</t>
        </is>
      </c>
      <c r="B8" s="2" t="inlineStr">
        <is>
          <t>sourceLinks</t>
        </is>
      </c>
      <c r="C8" s="2" t="n">
        <v>1</v>
      </c>
      <c r="D8" s="2" t="inlineStr">
        <is>
          <t>Results — PDF p. 6</t>
        </is>
      </c>
      <c r="E8" s="2" t="inlineStr">
        <is>
          <t>../../2019/jama.2019.0556/jama_bot_2019_oi_190007.pdf#page=6</t>
        </is>
      </c>
    </row>
    <row r="9" ht="30" customHeight="1">
      <c r="A9" s="3" t="inlineStr">
        <is>
          <t>2019::jama.2019.0556::C002</t>
        </is>
      </c>
      <c r="B9" s="3" t="inlineStr">
        <is>
          <t>sourceLinks</t>
        </is>
      </c>
      <c r="C9" s="3" t="n">
        <v>2</v>
      </c>
      <c r="D9" s="3" t="inlineStr">
        <is>
          <t>DOC-004 eAppendix 8 — PDF p. 16</t>
        </is>
      </c>
      <c r="E9" s="3" t="inlineStr">
        <is>
          <t>../../2019/jama.2019.0556/joi190007supp3_prod.pdf#page=16</t>
        </is>
      </c>
    </row>
    <row r="10" ht="30" customHeight="1">
      <c r="A10" s="2" t="inlineStr">
        <is>
          <t>2019::jama.2019.0556::C002</t>
        </is>
      </c>
      <c r="B10" s="2" t="inlineStr">
        <is>
          <t>sourceLinks</t>
        </is>
      </c>
      <c r="C10" s="2" t="n">
        <v>3</v>
      </c>
      <c r="D10" s="2" t="inlineStr">
        <is>
          <t>eAppendix 12 — PDF p. 22</t>
        </is>
      </c>
      <c r="E10" s="2" t="inlineStr">
        <is>
          <t>../../2019/jama.2019.0556/joi190007supp3_prod.pdf#page=22</t>
        </is>
      </c>
    </row>
    <row r="11" ht="40" customHeight="1">
      <c r="A11" s="3" t="inlineStr">
        <is>
          <t>2019::jama.2019.0556::C002</t>
        </is>
      </c>
      <c r="B11" s="3" t="inlineStr">
        <is>
          <t>evidencePaths</t>
        </is>
      </c>
      <c r="C11" s="3" t="n">
        <v>0</v>
      </c>
      <c r="D11" s="3" t="inlineStr">
        <is>
          <t>2019/jama.2019.0556/.ai_paper_validation/review_1_4_1/source_inventory.md</t>
        </is>
      </c>
      <c r="E11" s="3" t="inlineStr">
        <is>
          <t>../../2019/jama.2019.0556/.ai_paper_validation/review_1_4_1/source_inventory.md</t>
        </is>
      </c>
    </row>
    <row r="12" ht="40" customHeight="1">
      <c r="A12" s="2" t="inlineStr">
        <is>
          <t>2019::jama.2019.0556::C002</t>
        </is>
      </c>
      <c r="B12" s="2" t="inlineStr">
        <is>
          <t>evidencePaths</t>
        </is>
      </c>
      <c r="C12" s="2" t="n">
        <v>1</v>
      </c>
      <c r="D12" s="2" t="inlineStr">
        <is>
          <t>2019/jama.2019.0556/.ai_paper_validation/review_1_4_1/verification/evidence_recheck.md</t>
        </is>
      </c>
      <c r="E12" s="2" t="inlineStr">
        <is>
          <t>../../2019/jama.2019.0556/.ai_paper_validation/review_1_4_1/verification/evidence_recheck.md</t>
        </is>
      </c>
    </row>
    <row r="13" ht="30" customHeight="1">
      <c r="A13" s="3" t="inlineStr">
        <is>
          <t>2019::jama.2019.0556::C003</t>
        </is>
      </c>
      <c r="B13" s="3" t="inlineStr">
        <is>
          <t>sourceLinks</t>
        </is>
      </c>
      <c r="C13" s="3" t="n">
        <v>0</v>
      </c>
      <c r="D13" s="3" t="inlineStr">
        <is>
          <t>DOC-004 eAppendix 8 — PDF p. 16</t>
        </is>
      </c>
      <c r="E13" s="3" t="inlineStr">
        <is>
          <t>../../2019/jama.2019.0556/joi190007supp3_prod.pdf#page=16</t>
        </is>
      </c>
    </row>
    <row r="14" ht="40" customHeight="1">
      <c r="A14" s="2" t="inlineStr">
        <is>
          <t>2019::jama.2019.0556::C003</t>
        </is>
      </c>
      <c r="B14" s="2" t="inlineStr">
        <is>
          <t>evidencePaths</t>
        </is>
      </c>
      <c r="C14" s="2" t="n">
        <v>0</v>
      </c>
      <c r="D14" s="2" t="inlineStr">
        <is>
          <t>2019/jama.2019.0556/.ai_paper_validation/review_1_4_1/source_inventory.md</t>
        </is>
      </c>
      <c r="E14" s="2" t="inlineStr">
        <is>
          <t>../../2019/jama.2019.0556/.ai_paper_validation/review_1_4_1/source_inventory.md</t>
        </is>
      </c>
    </row>
    <row r="15" ht="40" customHeight="1">
      <c r="A15" s="3" t="inlineStr">
        <is>
          <t>2019::jama.2019.0556::C003</t>
        </is>
      </c>
      <c r="B15" s="3" t="inlineStr">
        <is>
          <t>evidencePaths</t>
        </is>
      </c>
      <c r="C15" s="3" t="n">
        <v>1</v>
      </c>
      <c r="D15" s="3" t="inlineStr">
        <is>
          <t>2019/jama.2019.0556/.ai_paper_validation/review_1_4_1/verification/evidence_recheck.md</t>
        </is>
      </c>
      <c r="E15" s="3" t="inlineStr">
        <is>
          <t>../../2019/jama.2019.0556/.ai_paper_validation/review_1_4_1/verification/evidence_recheck.md</t>
        </is>
      </c>
    </row>
    <row r="16" ht="30" customHeight="1">
      <c r="A16" s="2" t="inlineStr">
        <is>
          <t>2019::jama.2019.0556::C004</t>
        </is>
      </c>
      <c r="B16" s="2" t="inlineStr">
        <is>
          <t>sourceLinks</t>
        </is>
      </c>
      <c r="C16" s="2" t="n">
        <v>0</v>
      </c>
      <c r="D16" s="2" t="inlineStr">
        <is>
          <t>DOC-004 eAppendix 10B — PDF p. 19</t>
        </is>
      </c>
      <c r="E16" s="2" t="inlineStr">
        <is>
          <t>../../2019/jama.2019.0556/joi190007supp3_prod.pdf#page=19</t>
        </is>
      </c>
    </row>
    <row r="17" ht="40" customHeight="1">
      <c r="A17" s="3" t="inlineStr">
        <is>
          <t>2019::jama.2019.0556::C004</t>
        </is>
      </c>
      <c r="B17" s="3" t="inlineStr">
        <is>
          <t>evidencePaths</t>
        </is>
      </c>
      <c r="C17" s="3" t="n">
        <v>0</v>
      </c>
      <c r="D17" s="3" t="inlineStr">
        <is>
          <t>2019/jama.2019.0556/.ai_paper_validation/review_1_4_1/source_inventory.md</t>
        </is>
      </c>
      <c r="E17" s="3" t="inlineStr">
        <is>
          <t>../../2019/jama.2019.0556/.ai_paper_validation/review_1_4_1/source_inventory.md</t>
        </is>
      </c>
    </row>
    <row r="18" ht="40" customHeight="1">
      <c r="A18" s="2" t="inlineStr">
        <is>
          <t>2019::jama.2019.0556::C004</t>
        </is>
      </c>
      <c r="B18" s="2" t="inlineStr">
        <is>
          <t>evidencePaths</t>
        </is>
      </c>
      <c r="C18" s="2" t="n">
        <v>1</v>
      </c>
      <c r="D18" s="2" t="inlineStr">
        <is>
          <t>2019/jama.2019.0556/.ai_paper_validation/review_1_4_1/verification/evidence_recheck.md</t>
        </is>
      </c>
      <c r="E18" s="2" t="inlineStr">
        <is>
          <t>../../2019/jama.2019.0556/.ai_paper_validation/review_1_4_1/verification/evidence_recheck.md</t>
        </is>
      </c>
    </row>
    <row r="19" ht="30" customHeight="1">
      <c r="A19" s="3" t="inlineStr">
        <is>
          <t>2019::jama.2019.0556::C005</t>
        </is>
      </c>
      <c r="B19" s="3" t="inlineStr">
        <is>
          <t>sourceLinks</t>
        </is>
      </c>
      <c r="C19" s="3" t="n">
        <v>0</v>
      </c>
      <c r="D19" s="3" t="inlineStr">
        <is>
          <t>DOC-001 Sample Size — PDF p. 4</t>
        </is>
      </c>
      <c r="E19" s="3" t="inlineStr">
        <is>
          <t>../../2019/jama.2019.0556/jama_bot_2019_oi_190007.pdf#page=4</t>
        </is>
      </c>
    </row>
    <row r="20" ht="40" customHeight="1">
      <c r="A20" s="2" t="inlineStr">
        <is>
          <t>2019::jama.2019.0556::C005</t>
        </is>
      </c>
      <c r="B20" s="2" t="inlineStr">
        <is>
          <t>evidencePaths</t>
        </is>
      </c>
      <c r="C20" s="2" t="n">
        <v>0</v>
      </c>
      <c r="D20" s="2" t="inlineStr">
        <is>
          <t>2019/jama.2019.0556/.ai_paper_validation/review_1_4_1/source_inventory.md</t>
        </is>
      </c>
      <c r="E20" s="2" t="inlineStr">
        <is>
          <t>../../2019/jama.2019.0556/.ai_paper_validation/review_1_4_1/source_inventory.md</t>
        </is>
      </c>
    </row>
    <row r="21" ht="40" customHeight="1">
      <c r="A21" s="3" t="inlineStr">
        <is>
          <t>2019::jama.2019.0556::C005</t>
        </is>
      </c>
      <c r="B21" s="3" t="inlineStr">
        <is>
          <t>evidencePaths</t>
        </is>
      </c>
      <c r="C21" s="3" t="n">
        <v>1</v>
      </c>
      <c r="D21" s="3" t="inlineStr">
        <is>
          <t>2019/jama.2019.0556/.ai_paper_validation/review_1_4_1/verification/evidence_recheck.md</t>
        </is>
      </c>
      <c r="E21" s="3" t="inlineStr">
        <is>
          <t>../../2019/jama.2019.0556/.ai_paper_validation/review_1_4_1/verification/evidence_recheck.md</t>
        </is>
      </c>
    </row>
    <row r="22" ht="30" customHeight="1">
      <c r="A22" s="2" t="inlineStr">
        <is>
          <t>2019::jama.2019.0556::C006</t>
        </is>
      </c>
      <c r="B22" s="2" t="inlineStr">
        <is>
          <t>sourceLinks</t>
        </is>
      </c>
      <c r="C22" s="2" t="n">
        <v>0</v>
      </c>
      <c r="D22" s="2" t="inlineStr">
        <is>
          <t>DOC-002 Sample Size — PDF p. 16</t>
        </is>
      </c>
      <c r="E22" s="2" t="inlineStr">
        <is>
          <t>../../2019/jama.2019.0556/joi190007supp1_prod.pdf#page=16</t>
        </is>
      </c>
    </row>
    <row r="23" ht="40" customHeight="1">
      <c r="A23" s="3" t="inlineStr">
        <is>
          <t>2019::jama.2019.0556::C006</t>
        </is>
      </c>
      <c r="B23" s="3" t="inlineStr">
        <is>
          <t>evidencePaths</t>
        </is>
      </c>
      <c r="C23" s="3" t="n">
        <v>0</v>
      </c>
      <c r="D23" s="3" t="inlineStr">
        <is>
          <t>2019/jama.2019.0556/.ai_paper_validation/review_1_4_1/source_inventory.md</t>
        </is>
      </c>
      <c r="E23" s="3" t="inlineStr">
        <is>
          <t>../../2019/jama.2019.0556/.ai_paper_validation/review_1_4_1/source_inventory.md</t>
        </is>
      </c>
    </row>
    <row r="24" ht="40" customHeight="1">
      <c r="A24" s="2" t="inlineStr">
        <is>
          <t>2019::jama.2019.0556::C006</t>
        </is>
      </c>
      <c r="B24" s="2" t="inlineStr">
        <is>
          <t>evidencePaths</t>
        </is>
      </c>
      <c r="C24" s="2" t="n">
        <v>1</v>
      </c>
      <c r="D24" s="2" t="inlineStr">
        <is>
          <t>2019/jama.2019.0556/.ai_paper_validation/review_1_4_1/verification/evidence_recheck.md</t>
        </is>
      </c>
      <c r="E24" s="2" t="inlineStr">
        <is>
          <t>../../2019/jama.2019.0556/.ai_paper_validation/review_1_4_1/verification/evidence_recheck.md</t>
        </is>
      </c>
    </row>
    <row r="25" ht="30" customHeight="1">
      <c r="A25" s="3" t="inlineStr">
        <is>
          <t>2019::jama.2019.0556::C007</t>
        </is>
      </c>
      <c r="B25" s="3" t="inlineStr">
        <is>
          <t>sourceLinks</t>
        </is>
      </c>
      <c r="C25" s="3" t="n">
        <v>0</v>
      </c>
      <c r="D25" s="3" t="inlineStr">
        <is>
          <t>DOC-001 Sample Size — PDF p. 4</t>
        </is>
      </c>
      <c r="E25" s="3" t="inlineStr">
        <is>
          <t>../../2019/jama.2019.0556/jama_bot_2019_oi_190007.pdf#page=4</t>
        </is>
      </c>
    </row>
    <row r="26" ht="30" customHeight="1">
      <c r="A26" s="2" t="inlineStr">
        <is>
          <t>2019::jama.2019.0556::C007</t>
        </is>
      </c>
      <c r="B26" s="2" t="inlineStr">
        <is>
          <t>sourceLinks</t>
        </is>
      </c>
      <c r="C26" s="2" t="n">
        <v>1</v>
      </c>
      <c r="D26" s="2" t="inlineStr">
        <is>
          <t>DOC-002 Sample Size — PDF p. 16</t>
        </is>
      </c>
      <c r="E26" s="2" t="inlineStr">
        <is>
          <t>../../2019/jama.2019.0556/joi190007supp1_prod.pdf#page=16</t>
        </is>
      </c>
    </row>
    <row r="27" ht="30" customHeight="1">
      <c r="A27" s="3" t="inlineStr">
        <is>
          <t>2019::jama.2019.0556::C007</t>
        </is>
      </c>
      <c r="B27" s="3" t="inlineStr">
        <is>
          <t>sourceLinks</t>
        </is>
      </c>
      <c r="C27" s="3" t="n">
        <v>2</v>
      </c>
      <c r="D27" s="3" t="inlineStr">
        <is>
          <t>DOC-002 continuation — PDF p. 17</t>
        </is>
      </c>
      <c r="E27" s="3" t="inlineStr">
        <is>
          <t>../../2019/jama.2019.0556/joi190007supp1_prod.pdf#page=17</t>
        </is>
      </c>
    </row>
    <row r="28" ht="40" customHeight="1">
      <c r="A28" s="2" t="inlineStr">
        <is>
          <t>2019::jama.2019.0556::C007</t>
        </is>
      </c>
      <c r="B28" s="2" t="inlineStr">
        <is>
          <t>evidencePaths</t>
        </is>
      </c>
      <c r="C28" s="2" t="n">
        <v>0</v>
      </c>
      <c r="D28" s="2" t="inlineStr">
        <is>
          <t>2019/jama.2019.0556/.ai_paper_validation/review_1_4_1/source_inventory.md</t>
        </is>
      </c>
      <c r="E28" s="2" t="inlineStr">
        <is>
          <t>../../2019/jama.2019.0556/.ai_paper_validation/review_1_4_1/source_inventory.md</t>
        </is>
      </c>
    </row>
    <row r="29" ht="40" customHeight="1">
      <c r="A29" s="3" t="inlineStr">
        <is>
          <t>2019::jama.2019.0556::C007</t>
        </is>
      </c>
      <c r="B29" s="3" t="inlineStr">
        <is>
          <t>evidencePaths</t>
        </is>
      </c>
      <c r="C29" s="3" t="n">
        <v>1</v>
      </c>
      <c r="D29" s="3" t="inlineStr">
        <is>
          <t>2019/jama.2019.0556/.ai_paper_validation/review_1_4_1/verification/evidence_recheck.md</t>
        </is>
      </c>
      <c r="E29" s="3" t="inlineStr">
        <is>
          <t>../../2019/jama.2019.0556/.ai_paper_validation/review_1_4_1/verification/evidence_recheck.md</t>
        </is>
      </c>
    </row>
    <row r="30" ht="30" customHeight="1">
      <c r="A30" s="2" t="inlineStr">
        <is>
          <t>2019::jama.2019.0556::C008</t>
        </is>
      </c>
      <c r="B30" s="2" t="inlineStr">
        <is>
          <t>sourceLinks</t>
        </is>
      </c>
      <c r="C30" s="2" t="n">
        <v>0</v>
      </c>
      <c r="D30" s="2" t="inlineStr">
        <is>
          <t>DOC-002 endpoint summary — PDF p. 8</t>
        </is>
      </c>
      <c r="E30" s="2" t="inlineStr">
        <is>
          <t>../../2019/jama.2019.0556/joi190007supp1_prod.pdf#page=8</t>
        </is>
      </c>
    </row>
    <row r="31" ht="30" customHeight="1">
      <c r="A31" s="3" t="inlineStr">
        <is>
          <t>2019::jama.2019.0556::C008</t>
        </is>
      </c>
      <c r="B31" s="3" t="inlineStr">
        <is>
          <t>sourceLinks</t>
        </is>
      </c>
      <c r="C31" s="3" t="n">
        <v>1</v>
      </c>
      <c r="D31" s="3" t="inlineStr">
        <is>
          <t>DOC-002 Methods 8.1.1 — PDF p. 28</t>
        </is>
      </c>
      <c r="E31" s="3" t="inlineStr">
        <is>
          <t>../../2019/jama.2019.0556/joi190007supp1_prod.pdf#page=28</t>
        </is>
      </c>
    </row>
    <row r="32" ht="30" customHeight="1">
      <c r="A32" s="2" t="inlineStr">
        <is>
          <t>2019::jama.2019.0556::C008</t>
        </is>
      </c>
      <c r="B32" s="2" t="inlineStr">
        <is>
          <t>sourceLinks</t>
        </is>
      </c>
      <c r="C32" s="2" t="n">
        <v>2</v>
      </c>
      <c r="D32" s="2" t="inlineStr">
        <is>
          <t>DOC-001 Primary Outcome — PDF p. 4</t>
        </is>
      </c>
      <c r="E32" s="2" t="inlineStr">
        <is>
          <t>../../2019/jama.2019.0556/jama_bot_2019_oi_190007.pdf#page=4</t>
        </is>
      </c>
    </row>
    <row r="33" ht="40" customHeight="1">
      <c r="A33" s="3" t="inlineStr">
        <is>
          <t>2019::jama.2019.0556::C008</t>
        </is>
      </c>
      <c r="B33" s="3" t="inlineStr">
        <is>
          <t>evidencePaths</t>
        </is>
      </c>
      <c r="C33" s="3" t="n">
        <v>0</v>
      </c>
      <c r="D33" s="3" t="inlineStr">
        <is>
          <t>2019/jama.2019.0556/.ai_paper_validation/review_1_4_1/source_inventory.md</t>
        </is>
      </c>
      <c r="E33" s="3" t="inlineStr">
        <is>
          <t>../../2019/jama.2019.0556/.ai_paper_validation/review_1_4_1/source_inventory.md</t>
        </is>
      </c>
    </row>
    <row r="34" ht="40" customHeight="1">
      <c r="A34" s="2" t="inlineStr">
        <is>
          <t>2019::jama.2019.0556::C008</t>
        </is>
      </c>
      <c r="B34" s="2" t="inlineStr">
        <is>
          <t>evidencePaths</t>
        </is>
      </c>
      <c r="C34" s="2" t="n">
        <v>1</v>
      </c>
      <c r="D34" s="2" t="inlineStr">
        <is>
          <t>2019/jama.2019.0556/.ai_paper_validation/review_1_4_1/verification/evidence_recheck.md</t>
        </is>
      </c>
      <c r="E34" s="2" t="inlineStr">
        <is>
          <t>../../2019/jama.2019.0556/.ai_paper_validation/review_1_4_1/verification/evidence_recheck.md</t>
        </is>
      </c>
    </row>
    <row r="35" ht="30" customHeight="1">
      <c r="A35" s="3" t="inlineStr">
        <is>
          <t>2019::jama.2019.0556::C009</t>
        </is>
      </c>
      <c r="B35" s="3" t="inlineStr">
        <is>
          <t>sourceLinks</t>
        </is>
      </c>
      <c r="C35" s="3" t="n">
        <v>0</v>
      </c>
      <c r="D35" s="3" t="inlineStr">
        <is>
          <t>DOC-003 statistical analysis plan — PDF p. 3</t>
        </is>
      </c>
      <c r="E35" s="3" t="inlineStr">
        <is>
          <t>../../2019/jama.2019.0556/joi190007supp2_prod.pdf#page=3</t>
        </is>
      </c>
    </row>
    <row r="36" ht="30" customHeight="1">
      <c r="A36" s="2" t="inlineStr">
        <is>
          <t>2019::jama.2019.0556::C009</t>
        </is>
      </c>
      <c r="B36" s="2" t="inlineStr">
        <is>
          <t>sourceLinks</t>
        </is>
      </c>
      <c r="C36" s="2" t="n">
        <v>1</v>
      </c>
      <c r="D36" s="2" t="inlineStr">
        <is>
          <t>local interaction rule — PDF p. 5</t>
        </is>
      </c>
      <c r="E36" s="2" t="inlineStr">
        <is>
          <t>../../2019/jama.2019.0556/joi190007supp2_prod.pdf#page=5</t>
        </is>
      </c>
    </row>
    <row r="37" ht="40" customHeight="1">
      <c r="A37" s="3" t="inlineStr">
        <is>
          <t>2019::jama.2019.0556::C009</t>
        </is>
      </c>
      <c r="B37" s="3" t="inlineStr">
        <is>
          <t>evidencePaths</t>
        </is>
      </c>
      <c r="C37" s="3" t="n">
        <v>0</v>
      </c>
      <c r="D37" s="3" t="inlineStr">
        <is>
          <t>2019/jama.2019.0556/.ai_paper_validation/review_1_4_1/source_inventory.md</t>
        </is>
      </c>
      <c r="E37" s="3" t="inlineStr">
        <is>
          <t>../../2019/jama.2019.0556/.ai_paper_validation/review_1_4_1/source_inventory.md</t>
        </is>
      </c>
    </row>
    <row r="38" ht="40" customHeight="1">
      <c r="A38" s="2" t="inlineStr">
        <is>
          <t>2019::jama.2019.0556::C009</t>
        </is>
      </c>
      <c r="B38" s="2" t="inlineStr">
        <is>
          <t>evidencePaths</t>
        </is>
      </c>
      <c r="C38" s="2" t="n">
        <v>1</v>
      </c>
      <c r="D38" s="2" t="inlineStr">
        <is>
          <t>2019/jama.2019.0556/.ai_paper_validation/review_1_4_1/verification/evidence_recheck.md</t>
        </is>
      </c>
      <c r="E38" s="2" t="inlineStr">
        <is>
          <t>../../2019/jama.2019.0556/.ai_paper_validation/review_1_4_1/verification/evidence_recheck.md</t>
        </is>
      </c>
    </row>
    <row r="39" ht="30" customHeight="1">
      <c r="A39" s="3" t="inlineStr">
        <is>
          <t>2019::jama.2019.10517::C001</t>
        </is>
      </c>
      <c r="B39" s="3" t="inlineStr">
        <is>
          <t>sourceLinks</t>
        </is>
      </c>
      <c r="C39" s="3" t="n">
        <v>0</v>
      </c>
      <c r="D39" s="3" t="inlineStr">
        <is>
          <t>jama_flint_2019_oi_190079.pdf — PDF p. 9</t>
        </is>
      </c>
      <c r="E39" s="3" t="inlineStr">
        <is>
          <t>../../2019/jama.2019.10517/jama_flint_2019_oi_190079.pdf#page=9</t>
        </is>
      </c>
    </row>
    <row r="40" ht="40" customHeight="1">
      <c r="A40" s="2" t="inlineStr">
        <is>
          <t>2019::jama.2019.10517::C001</t>
        </is>
      </c>
      <c r="B40" s="2" t="inlineStr">
        <is>
          <t>evidencePaths</t>
        </is>
      </c>
      <c r="C40" s="2" t="n">
        <v>0</v>
      </c>
      <c r="D40" s="2" t="inlineStr">
        <is>
          <t>2019/jama.2019.10517/.ai_paper_validation/review_1_5_1/source_inventory.md</t>
        </is>
      </c>
      <c r="E40" s="2" t="inlineStr">
        <is>
          <t>../../2019/jama.2019.10517/.ai_paper_validation/review_1_5_1/source_inventory.md</t>
        </is>
      </c>
    </row>
    <row r="41" ht="30" customHeight="1">
      <c r="A41" s="3" t="inlineStr">
        <is>
          <t>2019::jama.2019.10517::C002</t>
        </is>
      </c>
      <c r="B41" s="3" t="inlineStr">
        <is>
          <t>sourceLinks</t>
        </is>
      </c>
      <c r="C41" s="3" t="n">
        <v>0</v>
      </c>
      <c r="D41" s="3" t="inlineStr">
        <is>
          <t>jama_flint_2019_oi_190079.pdf — PDF p. 1</t>
        </is>
      </c>
      <c r="E41" s="3" t="inlineStr">
        <is>
          <t>../../2019/jama.2019.10517/jama_flint_2019_oi_190079.pdf#page=1</t>
        </is>
      </c>
    </row>
    <row r="42" ht="30" customHeight="1">
      <c r="A42" s="2" t="inlineStr">
        <is>
          <t>2019::jama.2019.10517::C002</t>
        </is>
      </c>
      <c r="B42" s="2" t="inlineStr">
        <is>
          <t>sourceLinks</t>
        </is>
      </c>
      <c r="C42" s="2" t="n">
        <v>1</v>
      </c>
      <c r="D42" s="2" t="inlineStr">
        <is>
          <t>jama_flint_2019_oi_190079.pdf — PDF p. 7</t>
        </is>
      </c>
      <c r="E42" s="2" t="inlineStr">
        <is>
          <t>../../2019/jama.2019.10517/jama_flint_2019_oi_190079.pdf#page=7</t>
        </is>
      </c>
    </row>
    <row r="43" ht="30" customHeight="1">
      <c r="A43" s="3" t="inlineStr">
        <is>
          <t>2019::jama.2019.10517::C002</t>
        </is>
      </c>
      <c r="B43" s="3" t="inlineStr">
        <is>
          <t>sourceLinks</t>
        </is>
      </c>
      <c r="C43" s="3" t="n">
        <v>2</v>
      </c>
      <c r="D43" s="3" t="inlineStr">
        <is>
          <t>jama_flint_2019_oi_190079.pdf — PDF p. 8</t>
        </is>
      </c>
      <c r="E43" s="3" t="inlineStr">
        <is>
          <t>../../2019/jama.2019.10517/jama_flint_2019_oi_190079.pdf#page=8</t>
        </is>
      </c>
    </row>
    <row r="44" ht="30" customHeight="1">
      <c r="A44" s="2" t="inlineStr">
        <is>
          <t>2019::jama.2019.10517::C002</t>
        </is>
      </c>
      <c r="B44" s="2" t="inlineStr">
        <is>
          <t>sourceLinks</t>
        </is>
      </c>
      <c r="C44" s="2" t="n">
        <v>3</v>
      </c>
      <c r="D44" s="2" t="inlineStr">
        <is>
          <t>joi190079supp2_prod.pdf — PDF p. 9</t>
        </is>
      </c>
      <c r="E44" s="2" t="inlineStr">
        <is>
          <t>../../2019/jama.2019.10517/joi190079supp2_prod.pdf#page=9</t>
        </is>
      </c>
    </row>
    <row r="45" ht="40" customHeight="1">
      <c r="A45" s="3" t="inlineStr">
        <is>
          <t>2019::jama.2019.10517::C002</t>
        </is>
      </c>
      <c r="B45" s="3" t="inlineStr">
        <is>
          <t>evidencePaths</t>
        </is>
      </c>
      <c r="C45" s="3" t="n">
        <v>0</v>
      </c>
      <c r="D45" s="3" t="inlineStr">
        <is>
          <t>2019/jama.2019.10517/.ai_paper_validation/review_1_5_1/source_inventory.md</t>
        </is>
      </c>
      <c r="E45" s="3" t="inlineStr">
        <is>
          <t>../../2019/jama.2019.10517/.ai_paper_validation/review_1_5_1/source_inventory.md</t>
        </is>
      </c>
    </row>
    <row r="46" ht="40" customHeight="1">
      <c r="A46" s="2" t="inlineStr">
        <is>
          <t>2019::jama.2019.10517::C002</t>
        </is>
      </c>
      <c r="B46" s="2" t="inlineStr">
        <is>
          <t>evidencePaths</t>
        </is>
      </c>
      <c r="C46" s="2" t="n">
        <v>1</v>
      </c>
      <c r="D46" s="2" t="inlineStr">
        <is>
          <t>2019/jama.2019.10517/.ai_paper_validation/review_1_5_1/verification/evidence_recheck.md</t>
        </is>
      </c>
      <c r="E46" s="2" t="inlineStr">
        <is>
          <t>../../2019/jama.2019.10517/.ai_paper_validation/review_1_5_1/verification/evidence_recheck.md</t>
        </is>
      </c>
    </row>
    <row r="47" ht="30" customHeight="1">
      <c r="A47" s="3" t="inlineStr">
        <is>
          <t>2019::jama.2019.10517::C003</t>
        </is>
      </c>
      <c r="B47" s="3" t="inlineStr">
        <is>
          <t>sourceLinks</t>
        </is>
      </c>
      <c r="C47" s="3" t="n">
        <v>0</v>
      </c>
      <c r="D47" s="3" t="inlineStr">
        <is>
          <t>joi190079supp1_prod.pdf — PDF p. 7</t>
        </is>
      </c>
      <c r="E47" s="3" t="inlineStr">
        <is>
          <t>../../2019/jama.2019.10517/joi190079supp1_prod.pdf#page=7</t>
        </is>
      </c>
    </row>
    <row r="48" ht="30" customHeight="1">
      <c r="A48" s="2" t="inlineStr">
        <is>
          <t>2019::jama.2019.10517::C003</t>
        </is>
      </c>
      <c r="B48" s="2" t="inlineStr">
        <is>
          <t>sourceLinks</t>
        </is>
      </c>
      <c r="C48" s="2" t="n">
        <v>1</v>
      </c>
      <c r="D48" s="2" t="inlineStr">
        <is>
          <t>joi190079supp1_prod.pdf — PDF p. 17</t>
        </is>
      </c>
      <c r="E48" s="2" t="inlineStr">
        <is>
          <t>../../2019/jama.2019.10517/joi190079supp1_prod.pdf#page=17</t>
        </is>
      </c>
    </row>
    <row r="49" ht="30" customHeight="1">
      <c r="A49" s="3" t="inlineStr">
        <is>
          <t>2019::jama.2019.10517::C003</t>
        </is>
      </c>
      <c r="B49" s="3" t="inlineStr">
        <is>
          <t>sourceLinks</t>
        </is>
      </c>
      <c r="C49" s="3" t="n">
        <v>2</v>
      </c>
      <c r="D49" s="3" t="inlineStr">
        <is>
          <t>joi190079supp1_prod.pdf — PDF p. 21</t>
        </is>
      </c>
      <c r="E49" s="3" t="inlineStr">
        <is>
          <t>../../2019/jama.2019.10517/joi190079supp1_prod.pdf#page=21</t>
        </is>
      </c>
    </row>
    <row r="50" ht="40" customHeight="1">
      <c r="A50" s="2" t="inlineStr">
        <is>
          <t>2019::jama.2019.10517::C003</t>
        </is>
      </c>
      <c r="B50" s="2" t="inlineStr">
        <is>
          <t>evidencePaths</t>
        </is>
      </c>
      <c r="C50" s="2" t="n">
        <v>0</v>
      </c>
      <c r="D50" s="2" t="inlineStr">
        <is>
          <t>2019/jama.2019.10517/.ai_paper_validation/review_1_5_1/source_inventory.md</t>
        </is>
      </c>
      <c r="E50" s="2" t="inlineStr">
        <is>
          <t>../../2019/jama.2019.10517/.ai_paper_validation/review_1_5_1/source_inventory.md</t>
        </is>
      </c>
    </row>
    <row r="51" ht="40" customHeight="1">
      <c r="A51" s="3" t="inlineStr">
        <is>
          <t>2019::jama.2019.10517::C003</t>
        </is>
      </c>
      <c r="B51" s="3" t="inlineStr">
        <is>
          <t>evidencePaths</t>
        </is>
      </c>
      <c r="C51" s="3" t="n">
        <v>1</v>
      </c>
      <c r="D51" s="3" t="inlineStr">
        <is>
          <t>2019/jama.2019.10517/.ai_paper_validation/review_1_5_1/verification/evidence_recheck.md</t>
        </is>
      </c>
      <c r="E51" s="3" t="inlineStr">
        <is>
          <t>../../2019/jama.2019.10517/.ai_paper_validation/review_1_5_1/verification/evidence_recheck.md</t>
        </is>
      </c>
    </row>
    <row r="52" ht="30" customHeight="1">
      <c r="A52" s="2" t="inlineStr">
        <is>
          <t>2019::jama.2019.12618::C001</t>
        </is>
      </c>
      <c r="B52" s="2" t="inlineStr">
        <is>
          <t>sourceLinks</t>
        </is>
      </c>
      <c r="C52" s="2" t="n">
        <v>0</v>
      </c>
      <c r="D52" s="2" t="inlineStr">
        <is>
          <t>joi190092supp2_prod.pdf — PDF p. 11, Table 1</t>
        </is>
      </c>
      <c r="E52" s="2" t="inlineStr">
        <is>
          <t>../../2019/jama.2019.12618/joi190092supp2_prod.pdf#page=11</t>
        </is>
      </c>
    </row>
    <row r="53" ht="40" customHeight="1">
      <c r="A53" s="3" t="inlineStr">
        <is>
          <t>2019::jama.2019.12618::C001</t>
        </is>
      </c>
      <c r="B53" s="3" t="inlineStr">
        <is>
          <t>evidencePaths</t>
        </is>
      </c>
      <c r="C53" s="3" t="n">
        <v>0</v>
      </c>
      <c r="D53" s="3" t="inlineStr">
        <is>
          <t>2019/jama.2019.12618/.ai_paper_validation/review_1_5_1/source_inventory.md</t>
        </is>
      </c>
      <c r="E53" s="3" t="inlineStr">
        <is>
          <t>../../2019/jama.2019.12618/.ai_paper_validation/review_1_5_1/source_inventory.md</t>
        </is>
      </c>
    </row>
    <row r="54" ht="40" customHeight="1">
      <c r="A54" s="2" t="inlineStr">
        <is>
          <t>2019::jama.2019.12618::C001</t>
        </is>
      </c>
      <c r="B54" s="2" t="inlineStr">
        <is>
          <t>evidencePaths</t>
        </is>
      </c>
      <c r="C54" s="2" t="n">
        <v>1</v>
      </c>
      <c r="D54" s="2" t="inlineStr">
        <is>
          <t>2019/jama.2019.12618/.ai_paper_validation/review_1_5_1/preprocessing/protocol_pp001_032_layout.txt</t>
        </is>
      </c>
      <c r="E54" s="2" t="inlineStr">
        <is>
          <t>../../2019/jama.2019.12618/.ai_paper_validation/review_1_5_1/preprocessing/protocol_pp001_032_layout.txt</t>
        </is>
      </c>
    </row>
    <row r="55" ht="40" customHeight="1">
      <c r="A55" s="3" t="inlineStr">
        <is>
          <t>2019::jama.2019.12618::C001</t>
        </is>
      </c>
      <c r="B55" s="3" t="inlineStr">
        <is>
          <t>evidencePaths</t>
        </is>
      </c>
      <c r="C55" s="3" t="n">
        <v>2</v>
      </c>
      <c r="D55" s="3" t="inlineStr">
        <is>
          <t>2019/jama.2019.12618/.ai_paper_validation/review_1_5_1/parts/support_protocol_pp001_032.md</t>
        </is>
      </c>
      <c r="E55" s="3" t="inlineStr">
        <is>
          <t>../../2019/jama.2019.12618/.ai_paper_validation/review_1_5_1/parts/support_protocol_pp001_032.md</t>
        </is>
      </c>
    </row>
    <row r="56" ht="30" customHeight="1">
      <c r="A56" s="2" t="inlineStr">
        <is>
          <t>2019::jama.2019.12618::C002</t>
        </is>
      </c>
      <c r="B56" s="2" t="inlineStr">
        <is>
          <t>sourceLinks</t>
        </is>
      </c>
      <c r="C56" s="2" t="n">
        <v>0</v>
      </c>
      <c r="D56" s="2" t="inlineStr">
        <is>
          <t>jama_rathinam_2019_oi_190092.pdf — PDF p. 7</t>
        </is>
      </c>
      <c r="E56" s="2" t="inlineStr">
        <is>
          <t>../../2019/jama.2019.12618/jama_rathinam_2019_oi_190092.pdf#page=7</t>
        </is>
      </c>
    </row>
    <row r="57" ht="30" customHeight="1">
      <c r="A57" s="3" t="inlineStr">
        <is>
          <t>2019::jama.2019.12618::C002</t>
        </is>
      </c>
      <c r="B57" s="3" t="inlineStr">
        <is>
          <t>sourceLinks</t>
        </is>
      </c>
      <c r="C57" s="3" t="n">
        <v>1</v>
      </c>
      <c r="D57" s="3" t="inlineStr">
        <is>
          <t>jama_rathinam_2019_oi_190092.pdf — PDF p. 6, Table 2</t>
        </is>
      </c>
      <c r="E57" s="3" t="inlineStr">
        <is>
          <t>../../2019/jama.2019.12618/jama_rathinam_2019_oi_190092.pdf#page=6</t>
        </is>
      </c>
    </row>
    <row r="58" ht="30" customHeight="1">
      <c r="A58" s="2" t="inlineStr">
        <is>
          <t>2019::jama.2019.12618::C002</t>
        </is>
      </c>
      <c r="B58" s="2" t="inlineStr">
        <is>
          <t>sourceLinks</t>
        </is>
      </c>
      <c r="C58" s="2" t="n">
        <v>2</v>
      </c>
      <c r="D58" s="2" t="inlineStr">
        <is>
          <t>jama_rathinam_2019_oi_190092.pdf — PDF p. 3, Figure 1</t>
        </is>
      </c>
      <c r="E58" s="2" t="inlineStr">
        <is>
          <t>../../2019/jama.2019.12618/jama_rathinam_2019_oi_190092.pdf#page=3</t>
        </is>
      </c>
    </row>
    <row r="59" ht="40" customHeight="1">
      <c r="A59" s="3" t="inlineStr">
        <is>
          <t>2019::jama.2019.12618::C002</t>
        </is>
      </c>
      <c r="B59" s="3" t="inlineStr">
        <is>
          <t>evidencePaths</t>
        </is>
      </c>
      <c r="C59" s="3" t="n">
        <v>0</v>
      </c>
      <c r="D59" s="3" t="inlineStr">
        <is>
          <t>2019/jama.2019.12618/.ai_paper_validation/review_1_5_1/source_inventory.md</t>
        </is>
      </c>
      <c r="E59" s="3" t="inlineStr">
        <is>
          <t>../../2019/jama.2019.12618/.ai_paper_validation/review_1_5_1/source_inventory.md</t>
        </is>
      </c>
    </row>
    <row r="60" ht="30" customHeight="1">
      <c r="A60" s="2" t="inlineStr">
        <is>
          <t>2019::jama.2019.12618::C003</t>
        </is>
      </c>
      <c r="B60" s="2" t="inlineStr">
        <is>
          <t>sourceLinks</t>
        </is>
      </c>
      <c r="C60" s="2" t="n">
        <v>0</v>
      </c>
      <c r="D60" s="2" t="inlineStr">
        <is>
          <t>jama_rathinam_2019_oi_190092.pdf — PDF p. 2</t>
        </is>
      </c>
      <c r="E60" s="2" t="inlineStr">
        <is>
          <t>../../2019/jama.2019.12618/jama_rathinam_2019_oi_190092.pdf#page=2</t>
        </is>
      </c>
    </row>
    <row r="61" ht="30" customHeight="1">
      <c r="A61" s="3" t="inlineStr">
        <is>
          <t>2019::jama.2019.12618::C003</t>
        </is>
      </c>
      <c r="B61" s="3" t="inlineStr">
        <is>
          <t>sourceLinks</t>
        </is>
      </c>
      <c r="C61" s="3" t="n">
        <v>1</v>
      </c>
      <c r="D61" s="3" t="inlineStr">
        <is>
          <t>joi190092supp2_prod.pdf — PDF p. 13</t>
        </is>
      </c>
      <c r="E61" s="3" t="inlineStr">
        <is>
          <t>../../2019/jama.2019.12618/joi190092supp2_prod.pdf#page=13</t>
        </is>
      </c>
    </row>
    <row r="62" ht="30" customHeight="1">
      <c r="A62" s="2" t="inlineStr">
        <is>
          <t>2019::jama.2019.12618::C003</t>
        </is>
      </c>
      <c r="B62" s="2" t="inlineStr">
        <is>
          <t>sourceLinks</t>
        </is>
      </c>
      <c r="C62" s="2" t="n">
        <v>2</v>
      </c>
      <c r="D62" s="2" t="inlineStr">
        <is>
          <t>joi190092supp3_prod.pdf — PDF p. 9</t>
        </is>
      </c>
      <c r="E62" s="2" t="inlineStr">
        <is>
          <t>../../2019/jama.2019.12618/joi190092supp3_prod.pdf#page=9</t>
        </is>
      </c>
    </row>
    <row r="63" ht="30" customHeight="1">
      <c r="A63" s="3" t="inlineStr">
        <is>
          <t>2019::jama.2019.12618::C003</t>
        </is>
      </c>
      <c r="B63" s="3" t="inlineStr">
        <is>
          <t>sourceLinks</t>
        </is>
      </c>
      <c r="C63" s="3" t="n">
        <v>3</v>
      </c>
      <c r="D63" s="3" t="inlineStr">
        <is>
          <t>joi190092supp3_prod.pdf — PDF pp. 49–50</t>
        </is>
      </c>
      <c r="E63" s="3" t="inlineStr">
        <is>
          <t>../../2019/jama.2019.12618/joi190092supp3_prod.pdf#page=49</t>
        </is>
      </c>
    </row>
    <row r="64" ht="30" customHeight="1">
      <c r="A64" s="2" t="inlineStr">
        <is>
          <t>2019::jama.2019.12618::C003</t>
        </is>
      </c>
      <c r="B64" s="2" t="inlineStr">
        <is>
          <t>sourceLinks</t>
        </is>
      </c>
      <c r="C64" s="2" t="n">
        <v>4</v>
      </c>
      <c r="D64" s="2" t="inlineStr">
        <is>
          <t>p. 50</t>
        </is>
      </c>
      <c r="E64" s="2" t="inlineStr">
        <is>
          <t>../../2019/jama.2019.12618/joi190092supp3_prod.pdf#page=50</t>
        </is>
      </c>
    </row>
    <row r="65" ht="40" customHeight="1">
      <c r="A65" s="3" t="inlineStr">
        <is>
          <t>2019::jama.2019.12618::C003</t>
        </is>
      </c>
      <c r="B65" s="3" t="inlineStr">
        <is>
          <t>evidencePaths</t>
        </is>
      </c>
      <c r="C65" s="3" t="n">
        <v>0</v>
      </c>
      <c r="D65" s="3" t="inlineStr">
        <is>
          <t>2019/jama.2019.12618/.ai_paper_validation/review_1_5_1/source_inventory.md</t>
        </is>
      </c>
      <c r="E65" s="3" t="inlineStr">
        <is>
          <t>../../2019/jama.2019.12618/.ai_paper_validation/review_1_5_1/source_inventory.md</t>
        </is>
      </c>
    </row>
    <row r="66" ht="40" customHeight="1">
      <c r="A66" s="2" t="inlineStr">
        <is>
          <t>2019::jama.2019.12618::C003</t>
        </is>
      </c>
      <c r="B66" s="2" t="inlineStr">
        <is>
          <t>evidencePaths</t>
        </is>
      </c>
      <c r="C66" s="2" t="n">
        <v>1</v>
      </c>
      <c r="D66" s="2" t="inlineStr">
        <is>
          <t>2019/jama.2019.12618/.ai_paper_validation/review_1_5_1/verification/evidence_recheck.md</t>
        </is>
      </c>
      <c r="E66" s="2" t="inlineStr">
        <is>
          <t>../../2019/jama.2019.12618/.ai_paper_validation/review_1_5_1/verification/evidence_recheck.md</t>
        </is>
      </c>
    </row>
    <row r="67" ht="40" customHeight="1">
      <c r="A67" s="3" t="inlineStr">
        <is>
          <t>2019::jama.2019.12618::C003</t>
        </is>
      </c>
      <c r="B67" s="3" t="inlineStr">
        <is>
          <t>evidencePaths</t>
        </is>
      </c>
      <c r="C67" s="3" t="n">
        <v>2</v>
      </c>
      <c r="D67" s="3" t="inlineStr">
        <is>
          <t>2019/jama.2019.12618/.ai_paper_validation/review_1_5_1/candidate_ledger.md</t>
        </is>
      </c>
      <c r="E67" s="3" t="inlineStr">
        <is>
          <t>../../2019/jama.2019.12618/.ai_paper_validation/review_1_5_1/candidate_ledger.md</t>
        </is>
      </c>
    </row>
    <row r="68" ht="40" customHeight="1">
      <c r="A68" s="2" t="inlineStr">
        <is>
          <t>2019::jama.2019.12618::C003</t>
        </is>
      </c>
      <c r="B68" s="2" t="inlineStr">
        <is>
          <t>evidencePaths</t>
        </is>
      </c>
      <c r="C68" s="2" t="n">
        <v>3</v>
      </c>
      <c r="D68" s="2" t="inlineStr">
        <is>
          <t>2019/jama.2019.12618/.ai_paper_validation/review_1_5_1/preprocessing/protocol_pp001_032_layout.txt</t>
        </is>
      </c>
      <c r="E68" s="2" t="inlineStr">
        <is>
          <t>../../2019/jama.2019.12618/.ai_paper_validation/review_1_5_1/preprocessing/protocol_pp001_032_layout.txt</t>
        </is>
      </c>
    </row>
    <row r="69" ht="40" customHeight="1">
      <c r="A69" s="3" t="inlineStr">
        <is>
          <t>2019::jama.2019.12618::C003</t>
        </is>
      </c>
      <c r="B69" s="3" t="inlineStr">
        <is>
          <t>evidencePaths</t>
        </is>
      </c>
      <c r="C69" s="3" t="n">
        <v>4</v>
      </c>
      <c r="D69" s="3" t="inlineStr">
        <is>
          <t>2019/jama.2019.12618/.ai_paper_validation/review_1_5_1/parts/support_protocol_pp001_032.md</t>
        </is>
      </c>
      <c r="E69" s="3" t="inlineStr">
        <is>
          <t>../../2019/jama.2019.12618/.ai_paper_validation/review_1_5_1/parts/support_protocol_pp001_032.md</t>
        </is>
      </c>
    </row>
    <row r="70" ht="30" customHeight="1">
      <c r="A70" s="2" t="inlineStr">
        <is>
          <t>2019::jama.2019.12618::C004</t>
        </is>
      </c>
      <c r="B70" s="2" t="inlineStr">
        <is>
          <t>sourceLinks</t>
        </is>
      </c>
      <c r="C70" s="2" t="n">
        <v>0</v>
      </c>
      <c r="D70" s="2" t="inlineStr">
        <is>
          <t>jama_rathinam_2019_oi_190092.pdf — PDF p. 3</t>
        </is>
      </c>
      <c r="E70" s="2" t="inlineStr">
        <is>
          <t>../../2019/jama.2019.12618/jama_rathinam_2019_oi_190092.pdf#page=3</t>
        </is>
      </c>
    </row>
    <row r="71" ht="30" customHeight="1">
      <c r="A71" s="3" t="inlineStr">
        <is>
          <t>2019::jama.2019.12618::C004</t>
        </is>
      </c>
      <c r="B71" s="3" t="inlineStr">
        <is>
          <t>sourceLinks</t>
        </is>
      </c>
      <c r="C71" s="3" t="n">
        <v>1</v>
      </c>
      <c r="D71" s="3" t="inlineStr">
        <is>
          <t>jama_rathinam_2019_oi_190092.pdf — PDF p. 6</t>
        </is>
      </c>
      <c r="E71" s="3" t="inlineStr">
        <is>
          <t>../../2019/jama.2019.12618/jama_rathinam_2019_oi_190092.pdf#page=6</t>
        </is>
      </c>
    </row>
    <row r="72" ht="30" customHeight="1">
      <c r="A72" s="2" t="inlineStr">
        <is>
          <t>2019::jama.2019.12618::C004</t>
        </is>
      </c>
      <c r="B72" s="2" t="inlineStr">
        <is>
          <t>sourceLinks</t>
        </is>
      </c>
      <c r="C72" s="2" t="n">
        <v>2</v>
      </c>
      <c r="D72" s="2" t="inlineStr">
        <is>
          <t>joi190092supp2_prod.pdf — PDF p. 80, §2.5.1</t>
        </is>
      </c>
      <c r="E72" s="2" t="inlineStr">
        <is>
          <t>../../2019/jama.2019.12618/joi190092supp2_prod.pdf#page=80</t>
        </is>
      </c>
    </row>
    <row r="73" ht="30" customHeight="1">
      <c r="A73" s="3" t="inlineStr">
        <is>
          <t>2019::jama.2019.12618::C004</t>
        </is>
      </c>
      <c r="B73" s="3" t="inlineStr">
        <is>
          <t>sourceLinks</t>
        </is>
      </c>
      <c r="C73" s="3" t="n">
        <v>3</v>
      </c>
      <c r="D73" s="3" t="inlineStr">
        <is>
          <t>joi190092supp3_prod.pdf — PDF p. 70</t>
        </is>
      </c>
      <c r="E73" s="3" t="inlineStr">
        <is>
          <t>../../2019/jama.2019.12618/joi190092supp3_prod.pdf#page=70</t>
        </is>
      </c>
    </row>
    <row r="74" ht="40" customHeight="1">
      <c r="A74" s="2" t="inlineStr">
        <is>
          <t>2019::jama.2019.12618::C004</t>
        </is>
      </c>
      <c r="B74" s="2" t="inlineStr">
        <is>
          <t>evidencePaths</t>
        </is>
      </c>
      <c r="C74" s="2" t="n">
        <v>0</v>
      </c>
      <c r="D74" s="2" t="inlineStr">
        <is>
          <t>2019/jama.2019.12618/.ai_paper_validation/review_1_5_1/source_inventory.md</t>
        </is>
      </c>
      <c r="E74" s="2" t="inlineStr">
        <is>
          <t>../../2019/jama.2019.12618/.ai_paper_validation/review_1_5_1/source_inventory.md</t>
        </is>
      </c>
    </row>
    <row r="75" ht="40" customHeight="1">
      <c r="A75" s="3" t="inlineStr">
        <is>
          <t>2019::jama.2019.12618::C004</t>
        </is>
      </c>
      <c r="B75" s="3" t="inlineStr">
        <is>
          <t>evidencePaths</t>
        </is>
      </c>
      <c r="C75" s="3" t="n">
        <v>1</v>
      </c>
      <c r="D75" s="3" t="inlineStr">
        <is>
          <t>2019/jama.2019.12618/.ai_paper_validation/review_1_5_1/verification/evidence_recheck.md</t>
        </is>
      </c>
      <c r="E75" s="3" t="inlineStr">
        <is>
          <t>../../2019/jama.2019.12618/.ai_paper_validation/review_1_5_1/verification/evidence_recheck.md</t>
        </is>
      </c>
    </row>
    <row r="76" ht="40" customHeight="1">
      <c r="A76" s="2" t="inlineStr">
        <is>
          <t>2019::jama.2019.12618::C004</t>
        </is>
      </c>
      <c r="B76" s="2" t="inlineStr">
        <is>
          <t>evidencePaths</t>
        </is>
      </c>
      <c r="C76" s="2" t="n">
        <v>2</v>
      </c>
      <c r="D76" s="2" t="inlineStr">
        <is>
          <t>2019/jama.2019.12618/.ai_paper_validation/review_1_5_1/candidate_ledger.md</t>
        </is>
      </c>
      <c r="E76" s="2" t="inlineStr">
        <is>
          <t>../../2019/jama.2019.12618/.ai_paper_validation/review_1_5_1/candidate_ledger.md</t>
        </is>
      </c>
    </row>
    <row r="77" ht="40" customHeight="1">
      <c r="A77" s="3" t="inlineStr">
        <is>
          <t>2019::jama.2019.12618::C004</t>
        </is>
      </c>
      <c r="B77" s="3" t="inlineStr">
        <is>
          <t>evidencePaths</t>
        </is>
      </c>
      <c r="C77" s="3" t="n">
        <v>3</v>
      </c>
      <c r="D77" s="3" t="inlineStr">
        <is>
          <t>2019/jama.2019.12618/.ai_paper_validation/review_1_5_1/preprocessing/protocol_pp001_032_layout.txt</t>
        </is>
      </c>
      <c r="E77" s="3" t="inlineStr">
        <is>
          <t>../../2019/jama.2019.12618/.ai_paper_validation/review_1_5_1/preprocessing/protocol_pp001_032_layout.txt</t>
        </is>
      </c>
    </row>
    <row r="78" ht="40" customHeight="1">
      <c r="A78" s="2" t="inlineStr">
        <is>
          <t>2019::jama.2019.12618::C004</t>
        </is>
      </c>
      <c r="B78" s="2" t="inlineStr">
        <is>
          <t>evidencePaths</t>
        </is>
      </c>
      <c r="C78" s="2" t="n">
        <v>4</v>
      </c>
      <c r="D78" s="2" t="inlineStr">
        <is>
          <t>2019/jama.2019.12618/.ai_paper_validation/review_1_5_1/parts/support_protocol_pp001_032.md</t>
        </is>
      </c>
      <c r="E78" s="2" t="inlineStr">
        <is>
          <t>../../2019/jama.2019.12618/.ai_paper_validation/review_1_5_1/parts/support_protocol_pp001_032.md</t>
        </is>
      </c>
    </row>
    <row r="79" ht="40" customHeight="1">
      <c r="A79" s="3" t="inlineStr">
        <is>
          <t>2019::jama.2019.12618::C004</t>
        </is>
      </c>
      <c r="B79" s="3" t="inlineStr">
        <is>
          <t>evidencePaths</t>
        </is>
      </c>
      <c r="C79" s="3" t="n">
        <v>5</v>
      </c>
      <c r="D79" s="3" t="inlineStr">
        <is>
          <t>2019/jama.2019.12618/.ai_paper_validation/review_1_5_1/preprocessing/protocol_pp065_096_layout.txt</t>
        </is>
      </c>
      <c r="E79" s="3" t="inlineStr">
        <is>
          <t>../../2019/jama.2019.12618/.ai_paper_validation/review_1_5_1/preprocessing/protocol_pp065_096_layout.txt</t>
        </is>
      </c>
    </row>
    <row r="80" ht="40" customHeight="1">
      <c r="A80" s="2" t="inlineStr">
        <is>
          <t>2019::jama.2019.12618::C004</t>
        </is>
      </c>
      <c r="B80" s="2" t="inlineStr">
        <is>
          <t>evidencePaths</t>
        </is>
      </c>
      <c r="C80" s="2" t="n">
        <v>6</v>
      </c>
      <c r="D80" s="2" t="inlineStr">
        <is>
          <t>2019/jama.2019.12618/.ai_paper_validation/review_1_5_1/parts/support_protocol_pp065_096.md</t>
        </is>
      </c>
      <c r="E80" s="2" t="inlineStr">
        <is>
          <t>../../2019/jama.2019.12618/.ai_paper_validation/review_1_5_1/parts/support_protocol_pp065_096.md</t>
        </is>
      </c>
    </row>
    <row r="81" ht="40" customHeight="1">
      <c r="A81" s="3" t="inlineStr">
        <is>
          <t>2019::jama.2019.12618::C004</t>
        </is>
      </c>
      <c r="B81" s="3" t="inlineStr">
        <is>
          <t>evidencePaths</t>
        </is>
      </c>
      <c r="C81" s="3" t="n">
        <v>7</v>
      </c>
      <c r="D81" s="3" t="inlineStr">
        <is>
          <t>2019/jama.2019.12618/.ai_paper_validation/review_1_5_1/preprocessing/evidence_recheck_protocol_p080.png</t>
        </is>
      </c>
      <c r="E81" s="3" t="inlineStr">
        <is>
          <t>../../2019/jama.2019.12618/.ai_paper_validation/review_1_5_1/preprocessing/evidence_recheck_protocol_p080.png</t>
        </is>
      </c>
    </row>
    <row r="82" ht="30" customHeight="1">
      <c r="A82" s="2" t="inlineStr">
        <is>
          <t>2019::jama.2019.12618::C005</t>
        </is>
      </c>
      <c r="B82" s="2" t="inlineStr">
        <is>
          <t>sourceLinks</t>
        </is>
      </c>
      <c r="C82" s="2" t="n">
        <v>0</v>
      </c>
      <c r="D82" s="2" t="inlineStr">
        <is>
          <t>jama_rathinam_2019_oi_190092.pdf — PDF p. 4</t>
        </is>
      </c>
      <c r="E82" s="2" t="inlineStr">
        <is>
          <t>../../2019/jama.2019.12618/jama_rathinam_2019_oi_190092.pdf#page=4</t>
        </is>
      </c>
    </row>
    <row r="83" ht="30" customHeight="1">
      <c r="A83" s="3" t="inlineStr">
        <is>
          <t>2019::jama.2019.12618::C005</t>
        </is>
      </c>
      <c r="B83" s="3" t="inlineStr">
        <is>
          <t>sourceLinks</t>
        </is>
      </c>
      <c r="C83" s="3" t="n">
        <v>1</v>
      </c>
      <c r="D83" s="3" t="inlineStr">
        <is>
          <t>jama_rathinam_2019_oi_190092.pdf — PDF p. 6, Table 2</t>
        </is>
      </c>
      <c r="E83" s="3" t="inlineStr">
        <is>
          <t>../../2019/jama.2019.12618/jama_rathinam_2019_oi_190092.pdf#page=6</t>
        </is>
      </c>
    </row>
    <row r="84" ht="40" customHeight="1">
      <c r="A84" s="2" t="inlineStr">
        <is>
          <t>2019::jama.2019.12618::C005</t>
        </is>
      </c>
      <c r="B84" s="2" t="inlineStr">
        <is>
          <t>evidencePaths</t>
        </is>
      </c>
      <c r="C84" s="2" t="n">
        <v>0</v>
      </c>
      <c r="D84" s="2" t="inlineStr">
        <is>
          <t>2019/jama.2019.12618/.ai_paper_validation/review_1_5_1/source_inventory.md</t>
        </is>
      </c>
      <c r="E84" s="2" t="inlineStr">
        <is>
          <t>../../2019/jama.2019.12618/.ai_paper_validation/review_1_5_1/source_inventory.md</t>
        </is>
      </c>
    </row>
    <row r="85" ht="30" customHeight="1">
      <c r="A85" s="3" t="inlineStr">
        <is>
          <t>2019::jama.2019.12618::C006</t>
        </is>
      </c>
      <c r="B85" s="3" t="inlineStr">
        <is>
          <t>sourceLinks</t>
        </is>
      </c>
      <c r="C85" s="3" t="n">
        <v>0</v>
      </c>
      <c r="D85" s="3" t="inlineStr">
        <is>
          <t>jama_rathinam_2019_oi_190092.pdf — PDF p. 8, Table 3</t>
        </is>
      </c>
      <c r="E85" s="3" t="inlineStr">
        <is>
          <t>../../2019/jama.2019.12618/jama_rathinam_2019_oi_190092.pdf#page=8</t>
        </is>
      </c>
    </row>
    <row r="86" ht="30" customHeight="1">
      <c r="A86" s="2" t="inlineStr">
        <is>
          <t>2019::jama.2019.12618::C006</t>
        </is>
      </c>
      <c r="B86" s="2" t="inlineStr">
        <is>
          <t>sourceLinks</t>
        </is>
      </c>
      <c r="C86" s="2" t="n">
        <v>1</v>
      </c>
      <c r="D86" s="2" t="inlineStr">
        <is>
          <t>joi190092supp1_prod.pdf — PDF p. 10, eTable 4</t>
        </is>
      </c>
      <c r="E86" s="2" t="inlineStr">
        <is>
          <t>../../2019/jama.2019.12618/joi190092supp1_prod.pdf#page=10</t>
        </is>
      </c>
    </row>
    <row r="87" ht="30" customHeight="1">
      <c r="A87" s="3" t="inlineStr">
        <is>
          <t>2019::jama.2019.12618::C006</t>
        </is>
      </c>
      <c r="B87" s="3" t="inlineStr">
        <is>
          <t>sourceLinks</t>
        </is>
      </c>
      <c r="C87" s="3" t="n">
        <v>2</v>
      </c>
      <c r="D87" s="3" t="inlineStr">
        <is>
          <t>joi190092supp1_prod.pdf — PDF p. 11, eTable 5</t>
        </is>
      </c>
      <c r="E87" s="3" t="inlineStr">
        <is>
          <t>../../2019/jama.2019.12618/joi190092supp1_prod.pdf#page=11</t>
        </is>
      </c>
    </row>
    <row r="88" ht="30" customHeight="1">
      <c r="A88" s="2" t="inlineStr">
        <is>
          <t>2019::jama.2019.12618::C006</t>
        </is>
      </c>
      <c r="B88" s="2" t="inlineStr">
        <is>
          <t>sourceLinks</t>
        </is>
      </c>
      <c r="C88" s="2" t="n">
        <v>3</v>
      </c>
      <c r="D88" s="2" t="inlineStr">
        <is>
          <t>joi190092supp1_prod.pdf — PDF p. 12, eTable 6</t>
        </is>
      </c>
      <c r="E88" s="2" t="inlineStr">
        <is>
          <t>../../2019/jama.2019.12618/joi190092supp1_prod.pdf#page=12</t>
        </is>
      </c>
    </row>
    <row r="89" ht="40" customHeight="1">
      <c r="A89" s="3" t="inlineStr">
        <is>
          <t>2019::jama.2019.12618::C006</t>
        </is>
      </c>
      <c r="B89" s="3" t="inlineStr">
        <is>
          <t>evidencePaths</t>
        </is>
      </c>
      <c r="C89" s="3" t="n">
        <v>0</v>
      </c>
      <c r="D89" s="3" t="inlineStr">
        <is>
          <t>2019/jama.2019.12618/.ai_paper_validation/review_1_5_1/source_inventory.md</t>
        </is>
      </c>
      <c r="E89" s="3" t="inlineStr">
        <is>
          <t>../../2019/jama.2019.12618/.ai_paper_validation/review_1_5_1/source_inventory.md</t>
        </is>
      </c>
    </row>
    <row r="90" ht="40" customHeight="1">
      <c r="A90" s="2" t="inlineStr">
        <is>
          <t>2019::jama.2019.12618::C006</t>
        </is>
      </c>
      <c r="B90" s="2" t="inlineStr">
        <is>
          <t>evidencePaths</t>
        </is>
      </c>
      <c r="C90" s="2" t="n">
        <v>1</v>
      </c>
      <c r="D90" s="2" t="inlineStr">
        <is>
          <t>2019/jama.2019.12618/.ai_paper_validation/review_1_5_1/verification/evidence_recheck.md</t>
        </is>
      </c>
      <c r="E90" s="2" t="inlineStr">
        <is>
          <t>../../2019/jama.2019.12618/.ai_paper_validation/review_1_5_1/verification/evidence_recheck.md</t>
        </is>
      </c>
    </row>
    <row r="91" ht="30" customHeight="1">
      <c r="A91" s="3" t="inlineStr">
        <is>
          <t>2019::jama.2019.12618::C007</t>
        </is>
      </c>
      <c r="B91" s="3" t="inlineStr">
        <is>
          <t>sourceLinks</t>
        </is>
      </c>
      <c r="C91" s="3" t="n">
        <v>0</v>
      </c>
      <c r="D91" s="3" t="inlineStr">
        <is>
          <t>joi190092supp1_prod.pdf — PDF p. 15, eTable 9</t>
        </is>
      </c>
      <c r="E91" s="3" t="inlineStr">
        <is>
          <t>../../2019/jama.2019.12618/joi190092supp1_prod.pdf#page=15</t>
        </is>
      </c>
    </row>
    <row r="92" ht="40" customHeight="1">
      <c r="A92" s="2" t="inlineStr">
        <is>
          <t>2019::jama.2019.12618::C007</t>
        </is>
      </c>
      <c r="B92" s="2" t="inlineStr">
        <is>
          <t>evidencePaths</t>
        </is>
      </c>
      <c r="C92" s="2" t="n">
        <v>0</v>
      </c>
      <c r="D92" s="2" t="inlineStr">
        <is>
          <t>2019/jama.2019.12618/.ai_paper_validation/review_1_5_1/source_inventory.md</t>
        </is>
      </c>
      <c r="E92" s="2" t="inlineStr">
        <is>
          <t>../../2019/jama.2019.12618/.ai_paper_validation/review_1_5_1/source_inventory.md</t>
        </is>
      </c>
    </row>
    <row r="93" ht="30" customHeight="1">
      <c r="A93" s="3" t="inlineStr">
        <is>
          <t>2019::jama.2019.12618::C008</t>
        </is>
      </c>
      <c r="B93" s="3" t="inlineStr">
        <is>
          <t>sourceLinks</t>
        </is>
      </c>
      <c r="C93" s="3" t="n">
        <v>0</v>
      </c>
      <c r="D93" s="3" t="inlineStr">
        <is>
          <t>joi190092supp1_prod.pdf — PDF p. 5, eTable 1</t>
        </is>
      </c>
      <c r="E93" s="3" t="inlineStr">
        <is>
          <t>../../2019/jama.2019.12618/joi190092supp1_prod.pdf#page=5</t>
        </is>
      </c>
    </row>
    <row r="94" ht="30" customHeight="1">
      <c r="A94" s="2" t="inlineStr">
        <is>
          <t>2019::jama.2019.12618::C008</t>
        </is>
      </c>
      <c r="B94" s="2" t="inlineStr">
        <is>
          <t>sourceLinks</t>
        </is>
      </c>
      <c r="C94" s="2" t="n">
        <v>1</v>
      </c>
      <c r="D94" s="2" t="inlineStr">
        <is>
          <t>joi190092supp1_prod.pdf — PDF p. 14, eTable 8</t>
        </is>
      </c>
      <c r="E94" s="2" t="inlineStr">
        <is>
          <t>../../2019/jama.2019.12618/joi190092supp1_prod.pdf#page=14</t>
        </is>
      </c>
    </row>
    <row r="95" ht="30" customHeight="1">
      <c r="A95" s="3" t="inlineStr">
        <is>
          <t>2019::jama.2019.12618::C008</t>
        </is>
      </c>
      <c r="B95" s="3" t="inlineStr">
        <is>
          <t>sourceLinks</t>
        </is>
      </c>
      <c r="C95" s="3" t="n">
        <v>2</v>
      </c>
      <c r="D95" s="3" t="inlineStr">
        <is>
          <t>joi190092supp1_prod.pdf — PDF p. 15, eTable 9</t>
        </is>
      </c>
      <c r="E95" s="3" t="inlineStr">
        <is>
          <t>../../2019/jama.2019.12618/joi190092supp1_prod.pdf#page=15</t>
        </is>
      </c>
    </row>
    <row r="96" ht="40" customHeight="1">
      <c r="A96" s="2" t="inlineStr">
        <is>
          <t>2019::jama.2019.12618::C008</t>
        </is>
      </c>
      <c r="B96" s="2" t="inlineStr">
        <is>
          <t>evidencePaths</t>
        </is>
      </c>
      <c r="C96" s="2" t="n">
        <v>0</v>
      </c>
      <c r="D96" s="2" t="inlineStr">
        <is>
          <t>2019/jama.2019.12618/.ai_paper_validation/review_1_5_1/source_inventory.md</t>
        </is>
      </c>
      <c r="E96" s="2" t="inlineStr">
        <is>
          <t>../../2019/jama.2019.12618/.ai_paper_validation/review_1_5_1/source_inventory.md</t>
        </is>
      </c>
    </row>
    <row r="97" ht="30" customHeight="1">
      <c r="A97" s="3" t="inlineStr">
        <is>
          <t>2019::jama.2019.14231::C001</t>
        </is>
      </c>
      <c r="B97" s="3" t="inlineStr">
        <is>
          <t>sourceLinks</t>
        </is>
      </c>
      <c r="C97" s="3" t="n">
        <v>0</v>
      </c>
      <c r="D97" s="3" t="inlineStr">
        <is>
          <t>Main article — PDF p. 1</t>
        </is>
      </c>
      <c r="E97" s="3" t="inlineStr">
        <is>
          <t>../../2019/jama.2019.14231/jama_aminian_2019_oi_190103.pdf#page=1</t>
        </is>
      </c>
    </row>
    <row r="98" ht="30" customHeight="1">
      <c r="A98" s="2" t="inlineStr">
        <is>
          <t>2019::jama.2019.14231::C001</t>
        </is>
      </c>
      <c r="B98" s="2" t="inlineStr">
        <is>
          <t>sourceLinks</t>
        </is>
      </c>
      <c r="C98" s="2" t="n">
        <v>1</v>
      </c>
      <c r="D98" s="2" t="inlineStr">
        <is>
          <t>PDF p. 3</t>
        </is>
      </c>
      <c r="E98" s="2" t="inlineStr">
        <is>
          <t>../../2019/jama.2019.14231/jama_aminian_2019_oi_190103.pdf#page=3</t>
        </is>
      </c>
    </row>
    <row r="99" ht="30" customHeight="1">
      <c r="A99" s="3" t="inlineStr">
        <is>
          <t>2019::jama.2019.14231::C001</t>
        </is>
      </c>
      <c r="B99" s="3" t="inlineStr">
        <is>
          <t>sourceLinks</t>
        </is>
      </c>
      <c r="C99" s="3" t="n">
        <v>2</v>
      </c>
      <c r="D99" s="3" t="inlineStr">
        <is>
          <t>PDF p. 4</t>
        </is>
      </c>
      <c r="E99" s="3" t="inlineStr">
        <is>
          <t>../../2019/jama.2019.14231/jama_aminian_2019_oi_190103.pdf#page=4</t>
        </is>
      </c>
    </row>
    <row r="100" ht="30" customHeight="1">
      <c r="A100" s="2" t="inlineStr">
        <is>
          <t>2019::jama.2019.14231::C001</t>
        </is>
      </c>
      <c r="B100" s="2" t="inlineStr">
        <is>
          <t>sourceLinks</t>
        </is>
      </c>
      <c r="C100" s="2" t="n">
        <v>3</v>
      </c>
      <c r="D100" s="2" t="inlineStr">
        <is>
          <t>protocol — PDF p. 3</t>
        </is>
      </c>
      <c r="E100" s="2" t="inlineStr">
        <is>
          <t>../../2019/jama.2019.14231/joi190103supp2_prod.pdf#page=3</t>
        </is>
      </c>
    </row>
    <row r="101" ht="40" customHeight="1">
      <c r="A101" s="3" t="inlineStr">
        <is>
          <t>2019::jama.2019.14231::C001</t>
        </is>
      </c>
      <c r="B101" s="3" t="inlineStr">
        <is>
          <t>evidencePaths</t>
        </is>
      </c>
      <c r="C101" s="3" t="n">
        <v>0</v>
      </c>
      <c r="D101" s="3" t="inlineStr">
        <is>
          <t>2019/jama.2019.14231/.ai_paper_validation/review_1_5_1/source_inventory.md</t>
        </is>
      </c>
      <c r="E101" s="3" t="inlineStr">
        <is>
          <t>../../2019/jama.2019.14231/.ai_paper_validation/review_1_5_1/source_inventory.md</t>
        </is>
      </c>
    </row>
    <row r="102" ht="40" customHeight="1">
      <c r="A102" s="2" t="inlineStr">
        <is>
          <t>2019::jama.2019.14231::C001</t>
        </is>
      </c>
      <c r="B102" s="2" t="inlineStr">
        <is>
          <t>evidencePaths</t>
        </is>
      </c>
      <c r="C102" s="2" t="n">
        <v>1</v>
      </c>
      <c r="D102" s="2" t="inlineStr">
        <is>
          <t>2019/jama.2019.14231/.ai_paper_validation/review_1_5_1/verification/evidence_recheck.md</t>
        </is>
      </c>
      <c r="E102" s="2" t="inlineStr">
        <is>
          <t>../../2019/jama.2019.14231/.ai_paper_validation/review_1_5_1/verification/evidence_recheck.md</t>
        </is>
      </c>
    </row>
    <row r="103" ht="40" customHeight="1">
      <c r="A103" s="3" t="inlineStr">
        <is>
          <t>2019::jama.2019.14231::C001</t>
        </is>
      </c>
      <c r="B103" s="3" t="inlineStr">
        <is>
          <t>evidencePaths</t>
        </is>
      </c>
      <c r="C103" s="3" t="n">
        <v>2</v>
      </c>
      <c r="D103" s="3" t="inlineStr">
        <is>
          <t>2019/jama.2019.14231/.ai_paper_validation/review_1_5_1/checkers/cross_source_consistency.md</t>
        </is>
      </c>
      <c r="E103" s="3" t="inlineStr">
        <is>
          <t>../../2019/jama.2019.14231/.ai_paper_validation/review_1_5_1/checkers/cross_source_consistency.md</t>
        </is>
      </c>
    </row>
    <row r="104" ht="30" customHeight="1">
      <c r="A104" s="2" t="inlineStr">
        <is>
          <t>2019::jama.2019.14231::C002</t>
        </is>
      </c>
      <c r="B104" s="2" t="inlineStr">
        <is>
          <t>sourceLinks</t>
        </is>
      </c>
      <c r="C104" s="2" t="n">
        <v>0</v>
      </c>
      <c r="D104" s="2" t="inlineStr">
        <is>
          <t>Main article — PDF p. 4</t>
        </is>
      </c>
      <c r="E104" s="2" t="inlineStr">
        <is>
          <t>../../2019/jama.2019.14231/jama_aminian_2019_oi_190103.pdf#page=4</t>
        </is>
      </c>
    </row>
    <row r="105" ht="30" customHeight="1">
      <c r="A105" s="3" t="inlineStr">
        <is>
          <t>2019::jama.2019.14231::C002</t>
        </is>
      </c>
      <c r="B105" s="3" t="inlineStr">
        <is>
          <t>sourceLinks</t>
        </is>
      </c>
      <c r="C105" s="3" t="n">
        <v>1</v>
      </c>
      <c r="D105" s="3" t="inlineStr">
        <is>
          <t>PDF p. 7</t>
        </is>
      </c>
      <c r="E105" s="3" t="inlineStr">
        <is>
          <t>../../2019/jama.2019.14231/jama_aminian_2019_oi_190103.pdf#page=7</t>
        </is>
      </c>
    </row>
    <row r="106" ht="30" customHeight="1">
      <c r="A106" s="2" t="inlineStr">
        <is>
          <t>2019::jama.2019.14231::C002</t>
        </is>
      </c>
      <c r="B106" s="2" t="inlineStr">
        <is>
          <t>sourceLinks</t>
        </is>
      </c>
      <c r="C106" s="2" t="n">
        <v>2</v>
      </c>
      <c r="D106" s="2" t="inlineStr">
        <is>
          <t>Supplement 1 — PDF p. 7</t>
        </is>
      </c>
      <c r="E106" s="2" t="inlineStr">
        <is>
          <t>../../2019/jama.2019.14231/joi190103supp1_prod.pdf#page=7</t>
        </is>
      </c>
    </row>
    <row r="107" ht="40" customHeight="1">
      <c r="A107" s="3" t="inlineStr">
        <is>
          <t>2019::jama.2019.14231::C002</t>
        </is>
      </c>
      <c r="B107" s="3" t="inlineStr">
        <is>
          <t>evidencePaths</t>
        </is>
      </c>
      <c r="C107" s="3" t="n">
        <v>0</v>
      </c>
      <c r="D107" s="3" t="inlineStr">
        <is>
          <t>2019/jama.2019.14231/.ai_paper_validation/review_1_5_1/source_inventory.md</t>
        </is>
      </c>
      <c r="E107" s="3" t="inlineStr">
        <is>
          <t>../../2019/jama.2019.14231/.ai_paper_validation/review_1_5_1/source_inventory.md</t>
        </is>
      </c>
    </row>
    <row r="108" ht="40" customHeight="1">
      <c r="A108" s="2" t="inlineStr">
        <is>
          <t>2019::jama.2019.14231::C002</t>
        </is>
      </c>
      <c r="B108" s="2" t="inlineStr">
        <is>
          <t>evidencePaths</t>
        </is>
      </c>
      <c r="C108" s="2" t="n">
        <v>1</v>
      </c>
      <c r="D108" s="2" t="inlineStr">
        <is>
          <t>2019/jama.2019.14231/.ai_paper_validation/review_1_5_1/verification/evidence_recheck.md</t>
        </is>
      </c>
      <c r="E108" s="2" t="inlineStr">
        <is>
          <t>../../2019/jama.2019.14231/.ai_paper_validation/review_1_5_1/verification/evidence_recheck.md</t>
        </is>
      </c>
    </row>
    <row r="109" ht="40" customHeight="1">
      <c r="A109" s="3" t="inlineStr">
        <is>
          <t>2019::jama.2019.14231::C002</t>
        </is>
      </c>
      <c r="B109" s="3" t="inlineStr">
        <is>
          <t>evidencePaths</t>
        </is>
      </c>
      <c r="C109" s="3" t="n">
        <v>2</v>
      </c>
      <c r="D109" s="3" t="inlineStr">
        <is>
          <t>2019/jama.2019.14231/.ai_paper_validation/review_1_5_1/checkers/cross_source_consistency.md</t>
        </is>
      </c>
      <c r="E109" s="3" t="inlineStr">
        <is>
          <t>../../2019/jama.2019.14231/.ai_paper_validation/review_1_5_1/checkers/cross_source_consistency.md</t>
        </is>
      </c>
    </row>
    <row r="110" ht="30" customHeight="1">
      <c r="A110" s="2" t="inlineStr">
        <is>
          <t>2019::jama.2019.14231::C003</t>
        </is>
      </c>
      <c r="B110" s="2" t="inlineStr">
        <is>
          <t>sourceLinks</t>
        </is>
      </c>
      <c r="C110" s="2" t="n">
        <v>0</v>
      </c>
      <c r="D110" s="2" t="inlineStr">
        <is>
          <t>Main article — PDF p. 4</t>
        </is>
      </c>
      <c r="E110" s="2" t="inlineStr">
        <is>
          <t>../../2019/jama.2019.14231/jama_aminian_2019_oi_190103.pdf#page=4</t>
        </is>
      </c>
    </row>
    <row r="111" ht="30" customHeight="1">
      <c r="A111" s="3" t="inlineStr">
        <is>
          <t>2019::jama.2019.14231::C003</t>
        </is>
      </c>
      <c r="B111" s="3" t="inlineStr">
        <is>
          <t>sourceLinks</t>
        </is>
      </c>
      <c r="C111" s="3" t="n">
        <v>1</v>
      </c>
      <c r="D111" s="3" t="inlineStr">
        <is>
          <t>PDF p. 7</t>
        </is>
      </c>
      <c r="E111" s="3" t="inlineStr">
        <is>
          <t>../../2019/jama.2019.14231/jama_aminian_2019_oi_190103.pdf#page=7</t>
        </is>
      </c>
    </row>
    <row r="112" ht="30" customHeight="1">
      <c r="A112" s="2" t="inlineStr">
        <is>
          <t>2019::jama.2019.14231::C003</t>
        </is>
      </c>
      <c r="B112" s="2" t="inlineStr">
        <is>
          <t>sourceLinks</t>
        </is>
      </c>
      <c r="C112" s="2" t="n">
        <v>2</v>
      </c>
      <c r="D112" s="2" t="inlineStr">
        <is>
          <t>Supplement 1 — PDF p. 7</t>
        </is>
      </c>
      <c r="E112" s="2" t="inlineStr">
        <is>
          <t>../../2019/jama.2019.14231/joi190103supp1_prod.pdf#page=7</t>
        </is>
      </c>
    </row>
    <row r="113" ht="40" customHeight="1">
      <c r="A113" s="3" t="inlineStr">
        <is>
          <t>2019::jama.2019.14231::C003</t>
        </is>
      </c>
      <c r="B113" s="3" t="inlineStr">
        <is>
          <t>evidencePaths</t>
        </is>
      </c>
      <c r="C113" s="3" t="n">
        <v>0</v>
      </c>
      <c r="D113" s="3" t="inlineStr">
        <is>
          <t>2019/jama.2019.14231/.ai_paper_validation/review_1_5_1/source_inventory.md</t>
        </is>
      </c>
      <c r="E113" s="3" t="inlineStr">
        <is>
          <t>../../2019/jama.2019.14231/.ai_paper_validation/review_1_5_1/source_inventory.md</t>
        </is>
      </c>
    </row>
    <row r="114" ht="40" customHeight="1">
      <c r="A114" s="2" t="inlineStr">
        <is>
          <t>2019::jama.2019.14231::C003</t>
        </is>
      </c>
      <c r="B114" s="2" t="inlineStr">
        <is>
          <t>evidencePaths</t>
        </is>
      </c>
      <c r="C114" s="2" t="n">
        <v>1</v>
      </c>
      <c r="D114" s="2" t="inlineStr">
        <is>
          <t>2019/jama.2019.14231/.ai_paper_validation/review_1_5_1/verification/evidence_recheck.md</t>
        </is>
      </c>
      <c r="E114" s="2" t="inlineStr">
        <is>
          <t>../../2019/jama.2019.14231/.ai_paper_validation/review_1_5_1/verification/evidence_recheck.md</t>
        </is>
      </c>
    </row>
    <row r="115" ht="40" customHeight="1">
      <c r="A115" s="3" t="inlineStr">
        <is>
          <t>2019::jama.2019.14231::C003</t>
        </is>
      </c>
      <c r="B115" s="3" t="inlineStr">
        <is>
          <t>evidencePaths</t>
        </is>
      </c>
      <c r="C115" s="3" t="n">
        <v>2</v>
      </c>
      <c r="D115" s="3" t="inlineStr">
        <is>
          <t>2019/jama.2019.14231/.ai_paper_validation/review_1_5_1/checkers/cross_source_consistency.md</t>
        </is>
      </c>
      <c r="E115" s="3" t="inlineStr">
        <is>
          <t>../../2019/jama.2019.14231/.ai_paper_validation/review_1_5_1/checkers/cross_source_consistency.md</t>
        </is>
      </c>
    </row>
    <row r="116" ht="30" customHeight="1">
      <c r="A116" s="2" t="inlineStr">
        <is>
          <t>2019::jama.2019.14231::C004</t>
        </is>
      </c>
      <c r="B116" s="2" t="inlineStr">
        <is>
          <t>sourceLinks</t>
        </is>
      </c>
      <c r="C116" s="2" t="n">
        <v>0</v>
      </c>
      <c r="D116" s="2" t="inlineStr">
        <is>
          <t>Main article — PDF p. 4</t>
        </is>
      </c>
      <c r="E116" s="2" t="inlineStr">
        <is>
          <t>../../2019/jama.2019.14231/jama_aminian_2019_oi_190103.pdf#page=4</t>
        </is>
      </c>
    </row>
    <row r="117" ht="30" customHeight="1">
      <c r="A117" s="3" t="inlineStr">
        <is>
          <t>2019::jama.2019.14231::C004</t>
        </is>
      </c>
      <c r="B117" s="3" t="inlineStr">
        <is>
          <t>sourceLinks</t>
        </is>
      </c>
      <c r="C117" s="3" t="n">
        <v>1</v>
      </c>
      <c r="D117" s="3" t="inlineStr">
        <is>
          <t>PDF p. 7</t>
        </is>
      </c>
      <c r="E117" s="3" t="inlineStr">
        <is>
          <t>../../2019/jama.2019.14231/jama_aminian_2019_oi_190103.pdf#page=7</t>
        </is>
      </c>
    </row>
    <row r="118" ht="30" customHeight="1">
      <c r="A118" s="2" t="inlineStr">
        <is>
          <t>2019::jama.2019.14231::C004</t>
        </is>
      </c>
      <c r="B118" s="2" t="inlineStr">
        <is>
          <t>sourceLinks</t>
        </is>
      </c>
      <c r="C118" s="2" t="n">
        <v>2</v>
      </c>
      <c r="D118" s="2" t="inlineStr">
        <is>
          <t>Supplement 1 — PDF p. 7</t>
        </is>
      </c>
      <c r="E118" s="2" t="inlineStr">
        <is>
          <t>../../2019/jama.2019.14231/joi190103supp1_prod.pdf#page=7</t>
        </is>
      </c>
    </row>
    <row r="119" ht="40" customHeight="1">
      <c r="A119" s="3" t="inlineStr">
        <is>
          <t>2019::jama.2019.14231::C004</t>
        </is>
      </c>
      <c r="B119" s="3" t="inlineStr">
        <is>
          <t>evidencePaths</t>
        </is>
      </c>
      <c r="C119" s="3" t="n">
        <v>0</v>
      </c>
      <c r="D119" s="3" t="inlineStr">
        <is>
          <t>2019/jama.2019.14231/.ai_paper_validation/review_1_5_1/source_inventory.md</t>
        </is>
      </c>
      <c r="E119" s="3" t="inlineStr">
        <is>
          <t>../../2019/jama.2019.14231/.ai_paper_validation/review_1_5_1/source_inventory.md</t>
        </is>
      </c>
    </row>
    <row r="120" ht="40" customHeight="1">
      <c r="A120" s="2" t="inlineStr">
        <is>
          <t>2019::jama.2019.14231::C004</t>
        </is>
      </c>
      <c r="B120" s="2" t="inlineStr">
        <is>
          <t>evidencePaths</t>
        </is>
      </c>
      <c r="C120" s="2" t="n">
        <v>1</v>
      </c>
      <c r="D120" s="2" t="inlineStr">
        <is>
          <t>2019/jama.2019.14231/.ai_paper_validation/review_1_5_1/verification/evidence_recheck.md</t>
        </is>
      </c>
      <c r="E120" s="2" t="inlineStr">
        <is>
          <t>../../2019/jama.2019.14231/.ai_paper_validation/review_1_5_1/verification/evidence_recheck.md</t>
        </is>
      </c>
    </row>
    <row r="121" ht="40" customHeight="1">
      <c r="A121" s="3" t="inlineStr">
        <is>
          <t>2019::jama.2019.14231::C004</t>
        </is>
      </c>
      <c r="B121" s="3" t="inlineStr">
        <is>
          <t>evidencePaths</t>
        </is>
      </c>
      <c r="C121" s="3" t="n">
        <v>2</v>
      </c>
      <c r="D121" s="3" t="inlineStr">
        <is>
          <t>2019/jama.2019.14231/.ai_paper_validation/review_1_5_1/checkers/cross_source_consistency.md</t>
        </is>
      </c>
      <c r="E121" s="3" t="inlineStr">
        <is>
          <t>../../2019/jama.2019.14231/.ai_paper_validation/review_1_5_1/checkers/cross_source_consistency.md</t>
        </is>
      </c>
    </row>
    <row r="122" ht="30" customHeight="1">
      <c r="A122" s="2" t="inlineStr">
        <is>
          <t>2019::jama.2019.14231::C005</t>
        </is>
      </c>
      <c r="B122" s="2" t="inlineStr">
        <is>
          <t>sourceLinks</t>
        </is>
      </c>
      <c r="C122" s="2" t="n">
        <v>0</v>
      </c>
      <c r="D122" s="2" t="inlineStr">
        <is>
          <t>Main article — PDF p. 4</t>
        </is>
      </c>
      <c r="E122" s="2" t="inlineStr">
        <is>
          <t>../../2019/jama.2019.14231/jama_aminian_2019_oi_190103.pdf#page=4</t>
        </is>
      </c>
    </row>
    <row r="123" ht="30" customHeight="1">
      <c r="A123" s="3" t="inlineStr">
        <is>
          <t>2019::jama.2019.14231::C005</t>
        </is>
      </c>
      <c r="B123" s="3" t="inlineStr">
        <is>
          <t>sourceLinks</t>
        </is>
      </c>
      <c r="C123" s="3" t="n">
        <v>1</v>
      </c>
      <c r="D123" s="3" t="inlineStr">
        <is>
          <t>PDF p. 7</t>
        </is>
      </c>
      <c r="E123" s="3" t="inlineStr">
        <is>
          <t>../../2019/jama.2019.14231/jama_aminian_2019_oi_190103.pdf#page=7</t>
        </is>
      </c>
    </row>
    <row r="124" ht="30" customHeight="1">
      <c r="A124" s="2" t="inlineStr">
        <is>
          <t>2019::jama.2019.14231::C005</t>
        </is>
      </c>
      <c r="B124" s="2" t="inlineStr">
        <is>
          <t>sourceLinks</t>
        </is>
      </c>
      <c r="C124" s="2" t="n">
        <v>2</v>
      </c>
      <c r="D124" s="2" t="inlineStr">
        <is>
          <t>Supplement 1 — PDF p. 7</t>
        </is>
      </c>
      <c r="E124" s="2" t="inlineStr">
        <is>
          <t>../../2019/jama.2019.14231/joi190103supp1_prod.pdf#page=7</t>
        </is>
      </c>
    </row>
    <row r="125" ht="40" customHeight="1">
      <c r="A125" s="3" t="inlineStr">
        <is>
          <t>2019::jama.2019.14231::C005</t>
        </is>
      </c>
      <c r="B125" s="3" t="inlineStr">
        <is>
          <t>evidencePaths</t>
        </is>
      </c>
      <c r="C125" s="3" t="n">
        <v>0</v>
      </c>
      <c r="D125" s="3" t="inlineStr">
        <is>
          <t>2019/jama.2019.14231/.ai_paper_validation/review_1_5_1/source_inventory.md</t>
        </is>
      </c>
      <c r="E125" s="3" t="inlineStr">
        <is>
          <t>../../2019/jama.2019.14231/.ai_paper_validation/review_1_5_1/source_inventory.md</t>
        </is>
      </c>
    </row>
    <row r="126" ht="40" customHeight="1">
      <c r="A126" s="2" t="inlineStr">
        <is>
          <t>2019::jama.2019.14231::C005</t>
        </is>
      </c>
      <c r="B126" s="2" t="inlineStr">
        <is>
          <t>evidencePaths</t>
        </is>
      </c>
      <c r="C126" s="2" t="n">
        <v>1</v>
      </c>
      <c r="D126" s="2" t="inlineStr">
        <is>
          <t>2019/jama.2019.14231/.ai_paper_validation/review_1_5_1/verification/evidence_recheck.md</t>
        </is>
      </c>
      <c r="E126" s="2" t="inlineStr">
        <is>
          <t>../../2019/jama.2019.14231/.ai_paper_validation/review_1_5_1/verification/evidence_recheck.md</t>
        </is>
      </c>
    </row>
    <row r="127" ht="40" customHeight="1">
      <c r="A127" s="3" t="inlineStr">
        <is>
          <t>2019::jama.2019.14231::C005</t>
        </is>
      </c>
      <c r="B127" s="3" t="inlineStr">
        <is>
          <t>evidencePaths</t>
        </is>
      </c>
      <c r="C127" s="3" t="n">
        <v>2</v>
      </c>
      <c r="D127" s="3" t="inlineStr">
        <is>
          <t>2019/jama.2019.14231/.ai_paper_validation/review_1_5_1/checkers/cross_source_consistency.md</t>
        </is>
      </c>
      <c r="E127" s="3" t="inlineStr">
        <is>
          <t>../../2019/jama.2019.14231/.ai_paper_validation/review_1_5_1/checkers/cross_source_consistency.md</t>
        </is>
      </c>
    </row>
    <row r="128" ht="30" customHeight="1">
      <c r="A128" s="2" t="inlineStr">
        <is>
          <t>2019::jama.2019.14231::C006</t>
        </is>
      </c>
      <c r="B128" s="2" t="inlineStr">
        <is>
          <t>sourceLinks</t>
        </is>
      </c>
      <c r="C128" s="2" t="n">
        <v>0</v>
      </c>
      <c r="D128" s="2" t="inlineStr">
        <is>
          <t>Main article — PDF p. 4</t>
        </is>
      </c>
      <c r="E128" s="2" t="inlineStr">
        <is>
          <t>../../2019/jama.2019.14231/jama_aminian_2019_oi_190103.pdf#page=4</t>
        </is>
      </c>
    </row>
    <row r="129" ht="30" customHeight="1">
      <c r="A129" s="3" t="inlineStr">
        <is>
          <t>2019::jama.2019.14231::C006</t>
        </is>
      </c>
      <c r="B129" s="3" t="inlineStr">
        <is>
          <t>sourceLinks</t>
        </is>
      </c>
      <c r="C129" s="3" t="n">
        <v>1</v>
      </c>
      <c r="D129" s="3" t="inlineStr">
        <is>
          <t>PDF p. 7</t>
        </is>
      </c>
      <c r="E129" s="3" t="inlineStr">
        <is>
          <t>../../2019/jama.2019.14231/jama_aminian_2019_oi_190103.pdf#page=7</t>
        </is>
      </c>
    </row>
    <row r="130" ht="30" customHeight="1">
      <c r="A130" s="2" t="inlineStr">
        <is>
          <t>2019::jama.2019.14231::C006</t>
        </is>
      </c>
      <c r="B130" s="2" t="inlineStr">
        <is>
          <t>sourceLinks</t>
        </is>
      </c>
      <c r="C130" s="2" t="n">
        <v>2</v>
      </c>
      <c r="D130" s="2" t="inlineStr">
        <is>
          <t>Supplement 1 — PDF p. 7</t>
        </is>
      </c>
      <c r="E130" s="2" t="inlineStr">
        <is>
          <t>../../2019/jama.2019.14231/joi190103supp1_prod.pdf#page=7</t>
        </is>
      </c>
    </row>
    <row r="131" ht="40" customHeight="1">
      <c r="A131" s="3" t="inlineStr">
        <is>
          <t>2019::jama.2019.14231::C006</t>
        </is>
      </c>
      <c r="B131" s="3" t="inlineStr">
        <is>
          <t>evidencePaths</t>
        </is>
      </c>
      <c r="C131" s="3" t="n">
        <v>0</v>
      </c>
      <c r="D131" s="3" t="inlineStr">
        <is>
          <t>2019/jama.2019.14231/.ai_paper_validation/review_1_5_1/source_inventory.md</t>
        </is>
      </c>
      <c r="E131" s="3" t="inlineStr">
        <is>
          <t>../../2019/jama.2019.14231/.ai_paper_validation/review_1_5_1/source_inventory.md</t>
        </is>
      </c>
    </row>
    <row r="132" ht="40" customHeight="1">
      <c r="A132" s="2" t="inlineStr">
        <is>
          <t>2019::jama.2019.14231::C006</t>
        </is>
      </c>
      <c r="B132" s="2" t="inlineStr">
        <is>
          <t>evidencePaths</t>
        </is>
      </c>
      <c r="C132" s="2" t="n">
        <v>1</v>
      </c>
      <c r="D132" s="2" t="inlineStr">
        <is>
          <t>2019/jama.2019.14231/.ai_paper_validation/review_1_5_1/verification/evidence_recheck.md</t>
        </is>
      </c>
      <c r="E132" s="2" t="inlineStr">
        <is>
          <t>../../2019/jama.2019.14231/.ai_paper_validation/review_1_5_1/verification/evidence_recheck.md</t>
        </is>
      </c>
    </row>
    <row r="133" ht="40" customHeight="1">
      <c r="A133" s="3" t="inlineStr">
        <is>
          <t>2019::jama.2019.14231::C006</t>
        </is>
      </c>
      <c r="B133" s="3" t="inlineStr">
        <is>
          <t>evidencePaths</t>
        </is>
      </c>
      <c r="C133" s="3" t="n">
        <v>2</v>
      </c>
      <c r="D133" s="3" t="inlineStr">
        <is>
          <t>2019/jama.2019.14231/.ai_paper_validation/review_1_5_1/checkers/cross_source_consistency.md</t>
        </is>
      </c>
      <c r="E133" s="3" t="inlineStr">
        <is>
          <t>../../2019/jama.2019.14231/.ai_paper_validation/review_1_5_1/checkers/cross_source_consistency.md</t>
        </is>
      </c>
    </row>
    <row r="134" ht="30" customHeight="1">
      <c r="A134" s="2" t="inlineStr">
        <is>
          <t>2019::jama.2019.14231::C007</t>
        </is>
      </c>
      <c r="B134" s="2" t="inlineStr">
        <is>
          <t>sourceLinks</t>
        </is>
      </c>
      <c r="C134" s="2" t="n">
        <v>0</v>
      </c>
      <c r="D134" s="2" t="inlineStr">
        <is>
          <t>Supplement 1 — PDF p. 5</t>
        </is>
      </c>
      <c r="E134" s="2" t="inlineStr">
        <is>
          <t>../../2019/jama.2019.14231/joi190103supp1_prod.pdf#page=5</t>
        </is>
      </c>
    </row>
    <row r="135" ht="30" customHeight="1">
      <c r="A135" s="3" t="inlineStr">
        <is>
          <t>2019::jama.2019.14231::C007</t>
        </is>
      </c>
      <c r="B135" s="3" t="inlineStr">
        <is>
          <t>sourceLinks</t>
        </is>
      </c>
      <c r="C135" s="3" t="n">
        <v>1</v>
      </c>
      <c r="D135" s="3" t="inlineStr">
        <is>
          <t>PDF p. 14</t>
        </is>
      </c>
      <c r="E135" s="3" t="inlineStr">
        <is>
          <t>../../2019/jama.2019.14231/joi190103supp1_prod.pdf#page=14</t>
        </is>
      </c>
    </row>
    <row r="136" ht="40" customHeight="1">
      <c r="A136" s="2" t="inlineStr">
        <is>
          <t>2019::jama.2019.14231::C007</t>
        </is>
      </c>
      <c r="B136" s="2" t="inlineStr">
        <is>
          <t>evidencePaths</t>
        </is>
      </c>
      <c r="C136" s="2" t="n">
        <v>0</v>
      </c>
      <c r="D136" s="2" t="inlineStr">
        <is>
          <t>2019/jama.2019.14231/.ai_paper_validation/review_1_5_1/source_inventory.md</t>
        </is>
      </c>
      <c r="E136" s="2" t="inlineStr">
        <is>
          <t>../../2019/jama.2019.14231/.ai_paper_validation/review_1_5_1/source_inventory.md</t>
        </is>
      </c>
    </row>
    <row r="137" ht="40" customHeight="1">
      <c r="A137" s="3" t="inlineStr">
        <is>
          <t>2019::jama.2019.14231::C007</t>
        </is>
      </c>
      <c r="B137" s="3" t="inlineStr">
        <is>
          <t>evidencePaths</t>
        </is>
      </c>
      <c r="C137" s="3" t="n">
        <v>1</v>
      </c>
      <c r="D137" s="3" t="inlineStr">
        <is>
          <t>2019/jama.2019.14231/.ai_paper_validation/review_1_5_1/verification/evidence_recheck.md</t>
        </is>
      </c>
      <c r="E137" s="3" t="inlineStr">
        <is>
          <t>../../2019/jama.2019.14231/.ai_paper_validation/review_1_5_1/verification/evidence_recheck.md</t>
        </is>
      </c>
    </row>
    <row r="138" ht="40" customHeight="1">
      <c r="A138" s="2" t="inlineStr">
        <is>
          <t>2019::jama.2019.14231::C007</t>
        </is>
      </c>
      <c r="B138" s="2" t="inlineStr">
        <is>
          <t>evidencePaths</t>
        </is>
      </c>
      <c r="C138" s="2" t="n">
        <v>2</v>
      </c>
      <c r="D138" s="2" t="inlineStr">
        <is>
          <t>2019/jama.2019.14231/.ai_paper_validation/review_1_5_1/checkers/cross_source_consistency.md</t>
        </is>
      </c>
      <c r="E138" s="2" t="inlineStr">
        <is>
          <t>../../2019/jama.2019.14231/.ai_paper_validation/review_1_5_1/checkers/cross_source_consistency.md</t>
        </is>
      </c>
    </row>
    <row r="139" ht="30" customHeight="1">
      <c r="A139" s="3" t="inlineStr">
        <is>
          <t>2019::jama.2019.14231::C008</t>
        </is>
      </c>
      <c r="B139" s="3" t="inlineStr">
        <is>
          <t>sourceLinks</t>
        </is>
      </c>
      <c r="C139" s="3" t="n">
        <v>0</v>
      </c>
      <c r="D139" s="3" t="inlineStr">
        <is>
          <t>Main article — PDF p. 4</t>
        </is>
      </c>
      <c r="E139" s="3" t="inlineStr">
        <is>
          <t>../../2019/jama.2019.14231/jama_aminian_2019_oi_190103.pdf#page=4</t>
        </is>
      </c>
    </row>
    <row r="140" ht="30" customHeight="1">
      <c r="A140" s="2" t="inlineStr">
        <is>
          <t>2019::jama.2019.14231::C008</t>
        </is>
      </c>
      <c r="B140" s="2" t="inlineStr">
        <is>
          <t>sourceLinks</t>
        </is>
      </c>
      <c r="C140" s="2" t="n">
        <v>1</v>
      </c>
      <c r="D140" s="2" t="inlineStr">
        <is>
          <t>PDF p. 10</t>
        </is>
      </c>
      <c r="E140" s="2" t="inlineStr">
        <is>
          <t>../../2019/jama.2019.14231/jama_aminian_2019_oi_190103.pdf#page=10</t>
        </is>
      </c>
    </row>
    <row r="141" ht="30" customHeight="1">
      <c r="A141" s="3" t="inlineStr">
        <is>
          <t>2019::jama.2019.14231::C008</t>
        </is>
      </c>
      <c r="B141" s="3" t="inlineStr">
        <is>
          <t>sourceLinks</t>
        </is>
      </c>
      <c r="C141" s="3" t="n">
        <v>2</v>
      </c>
      <c r="D141" s="3" t="inlineStr">
        <is>
          <t>Supplement 1 — PDF p. 12</t>
        </is>
      </c>
      <c r="E141" s="3" t="inlineStr">
        <is>
          <t>../../2019/jama.2019.14231/joi190103supp1_prod.pdf#page=12</t>
        </is>
      </c>
    </row>
    <row r="142" ht="40" customHeight="1">
      <c r="A142" s="2" t="inlineStr">
        <is>
          <t>2019::jama.2019.14231::C008</t>
        </is>
      </c>
      <c r="B142" s="2" t="inlineStr">
        <is>
          <t>evidencePaths</t>
        </is>
      </c>
      <c r="C142" s="2" t="n">
        <v>0</v>
      </c>
      <c r="D142" s="2" t="inlineStr">
        <is>
          <t>2019/jama.2019.14231/.ai_paper_validation/review_1_5_1/source_inventory.md</t>
        </is>
      </c>
      <c r="E142" s="2" t="inlineStr">
        <is>
          <t>../../2019/jama.2019.14231/.ai_paper_validation/review_1_5_1/source_inventory.md</t>
        </is>
      </c>
    </row>
    <row r="143" ht="40" customHeight="1">
      <c r="A143" s="3" t="inlineStr">
        <is>
          <t>2019::jama.2019.14231::C008</t>
        </is>
      </c>
      <c r="B143" s="3" t="inlineStr">
        <is>
          <t>evidencePaths</t>
        </is>
      </c>
      <c r="C143" s="3" t="n">
        <v>1</v>
      </c>
      <c r="D143" s="3" t="inlineStr">
        <is>
          <t>2019/jama.2019.14231/.ai_paper_validation/review_1_5_1/verification/evidence_recheck.md</t>
        </is>
      </c>
      <c r="E143" s="3" t="inlineStr">
        <is>
          <t>../../2019/jama.2019.14231/.ai_paper_validation/review_1_5_1/verification/evidence_recheck.md</t>
        </is>
      </c>
    </row>
    <row r="144" ht="40" customHeight="1">
      <c r="A144" s="2" t="inlineStr">
        <is>
          <t>2019::jama.2019.14231::C008</t>
        </is>
      </c>
      <c r="B144" s="2" t="inlineStr">
        <is>
          <t>evidencePaths</t>
        </is>
      </c>
      <c r="C144" s="2" t="n">
        <v>2</v>
      </c>
      <c r="D144" s="2" t="inlineStr">
        <is>
          <t>2019/jama.2019.14231/.ai_paper_validation/review_1_5_1/checkers/cross_source_consistency.md</t>
        </is>
      </c>
      <c r="E144" s="2" t="inlineStr">
        <is>
          <t>../../2019/jama.2019.14231/.ai_paper_validation/review_1_5_1/checkers/cross_source_consistency.md</t>
        </is>
      </c>
    </row>
    <row r="145" ht="30" customHeight="1">
      <c r="A145" s="3" t="inlineStr">
        <is>
          <t>2019::jama.2019.14231::C009</t>
        </is>
      </c>
      <c r="B145" s="3" t="inlineStr">
        <is>
          <t>sourceLinks</t>
        </is>
      </c>
      <c r="C145" s="3" t="n">
        <v>0</v>
      </c>
      <c r="D145" s="3" t="inlineStr">
        <is>
          <t>Supplement 1 — PDF p. 6</t>
        </is>
      </c>
      <c r="E145" s="3" t="inlineStr">
        <is>
          <t>../../2019/jama.2019.14231/joi190103supp1_prod.pdf#page=6</t>
        </is>
      </c>
    </row>
    <row r="146" ht="30" customHeight="1">
      <c r="A146" s="2" t="inlineStr">
        <is>
          <t>2019::jama.2019.14231::C009</t>
        </is>
      </c>
      <c r="B146" s="2" t="inlineStr">
        <is>
          <t>sourceLinks</t>
        </is>
      </c>
      <c r="C146" s="2" t="n">
        <v>1</v>
      </c>
      <c r="D146" s="2" t="inlineStr">
        <is>
          <t>PDF p. 10</t>
        </is>
      </c>
      <c r="E146" s="2" t="inlineStr">
        <is>
          <t>../../2019/jama.2019.14231/joi190103supp1_prod.pdf#page=10</t>
        </is>
      </c>
    </row>
    <row r="147" ht="30" customHeight="1">
      <c r="A147" s="3" t="inlineStr">
        <is>
          <t>2019::jama.2019.14231::C009</t>
        </is>
      </c>
      <c r="B147" s="3" t="inlineStr">
        <is>
          <t>sourceLinks</t>
        </is>
      </c>
      <c r="C147" s="3" t="n">
        <v>2</v>
      </c>
      <c r="D147" s="3" t="inlineStr">
        <is>
          <t>PDF p. 19</t>
        </is>
      </c>
      <c r="E147" s="3" t="inlineStr">
        <is>
          <t>../../2019/jama.2019.14231/joi190103supp1_prod.pdf#page=19</t>
        </is>
      </c>
    </row>
    <row r="148" ht="40" customHeight="1">
      <c r="A148" s="2" t="inlineStr">
        <is>
          <t>2019::jama.2019.14231::C009</t>
        </is>
      </c>
      <c r="B148" s="2" t="inlineStr">
        <is>
          <t>evidencePaths</t>
        </is>
      </c>
      <c r="C148" s="2" t="n">
        <v>0</v>
      </c>
      <c r="D148" s="2" t="inlineStr">
        <is>
          <t>2019/jama.2019.14231/.ai_paper_validation/review_1_5_1/source_inventory.md</t>
        </is>
      </c>
      <c r="E148" s="2" t="inlineStr">
        <is>
          <t>../../2019/jama.2019.14231/.ai_paper_validation/review_1_5_1/source_inventory.md</t>
        </is>
      </c>
    </row>
    <row r="149" ht="40" customHeight="1">
      <c r="A149" s="3" t="inlineStr">
        <is>
          <t>2019::jama.2019.14231::C009</t>
        </is>
      </c>
      <c r="B149" s="3" t="inlineStr">
        <is>
          <t>evidencePaths</t>
        </is>
      </c>
      <c r="C149" s="3" t="n">
        <v>1</v>
      </c>
      <c r="D149" s="3" t="inlineStr">
        <is>
          <t>2019/jama.2019.14231/.ai_paper_validation/review_1_5_1/checkers/cross_source_consistency.md</t>
        </is>
      </c>
      <c r="E149" s="3" t="inlineStr">
        <is>
          <t>../../2019/jama.2019.14231/.ai_paper_validation/review_1_5_1/checkers/cross_source_consistency.md</t>
        </is>
      </c>
    </row>
    <row r="150" ht="30" customHeight="1">
      <c r="A150" s="2" t="inlineStr">
        <is>
          <t>2019::jama.2019.14231::C010</t>
        </is>
      </c>
      <c r="B150" s="2" t="inlineStr">
        <is>
          <t>sourceLinks</t>
        </is>
      </c>
      <c r="C150" s="2" t="n">
        <v>0</v>
      </c>
      <c r="D150" s="2" t="inlineStr">
        <is>
          <t>Supplement 1 — PDF p. 5</t>
        </is>
      </c>
      <c r="E150" s="2" t="inlineStr">
        <is>
          <t>../../2019/jama.2019.14231/joi190103supp1_prod.pdf#page=5</t>
        </is>
      </c>
    </row>
    <row r="151" ht="40" customHeight="1">
      <c r="A151" s="3" t="inlineStr">
        <is>
          <t>2019::jama.2019.14231::C010</t>
        </is>
      </c>
      <c r="B151" s="3" t="inlineStr">
        <is>
          <t>evidencePaths</t>
        </is>
      </c>
      <c r="C151" s="3" t="n">
        <v>0</v>
      </c>
      <c r="D151" s="3" t="inlineStr">
        <is>
          <t>2019/jama.2019.14231/.ai_paper_validation/review_1_5_1/source_inventory.md</t>
        </is>
      </c>
      <c r="E151" s="3" t="inlineStr">
        <is>
          <t>../../2019/jama.2019.14231/.ai_paper_validation/review_1_5_1/source_inventory.md</t>
        </is>
      </c>
    </row>
    <row r="152" ht="40" customHeight="1">
      <c r="A152" s="2" t="inlineStr">
        <is>
          <t>2019::jama.2019.14231::C010</t>
        </is>
      </c>
      <c r="B152" s="2" t="inlineStr">
        <is>
          <t>evidencePaths</t>
        </is>
      </c>
      <c r="C152" s="2" t="n">
        <v>1</v>
      </c>
      <c r="D152" s="2" t="inlineStr">
        <is>
          <t>2019/jama.2019.14231/.ai_paper_validation/review_1_5_1/checkers/cross_source_consistency.md</t>
        </is>
      </c>
      <c r="E152" s="2" t="inlineStr">
        <is>
          <t>../../2019/jama.2019.14231/.ai_paper_validation/review_1_5_1/checkers/cross_source_consistency.md</t>
        </is>
      </c>
    </row>
    <row r="153" ht="30" customHeight="1">
      <c r="A153" s="3" t="inlineStr">
        <is>
          <t>2019::jama.2019.14231::C011</t>
        </is>
      </c>
      <c r="B153" s="3" t="inlineStr">
        <is>
          <t>sourceLinks</t>
        </is>
      </c>
      <c r="C153" s="3" t="n">
        <v>0</v>
      </c>
      <c r="D153" s="3" t="inlineStr">
        <is>
          <t>Main article — PDF p. 5</t>
        </is>
      </c>
      <c r="E153" s="3" t="inlineStr">
        <is>
          <t>../../2019/jama.2019.14231/jama_aminian_2019_oi_190103.pdf#page=5</t>
        </is>
      </c>
    </row>
    <row r="154" ht="30" customHeight="1">
      <c r="A154" s="2" t="inlineStr">
        <is>
          <t>2019::jama.2019.14231::C011</t>
        </is>
      </c>
      <c r="B154" s="2" t="inlineStr">
        <is>
          <t>sourceLinks</t>
        </is>
      </c>
      <c r="C154" s="2" t="n">
        <v>1</v>
      </c>
      <c r="D154" s="2" t="inlineStr">
        <is>
          <t>PDF p. 6</t>
        </is>
      </c>
      <c r="E154" s="2" t="inlineStr">
        <is>
          <t>../../2019/jama.2019.14231/jama_aminian_2019_oi_190103.pdf#page=6</t>
        </is>
      </c>
    </row>
    <row r="155" ht="40" customHeight="1">
      <c r="A155" s="3" t="inlineStr">
        <is>
          <t>2019::jama.2019.14231::C011</t>
        </is>
      </c>
      <c r="B155" s="3" t="inlineStr">
        <is>
          <t>evidencePaths</t>
        </is>
      </c>
      <c r="C155" s="3" t="n">
        <v>0</v>
      </c>
      <c r="D155" s="3" t="inlineStr">
        <is>
          <t>2019/jama.2019.14231/.ai_paper_validation/review_1_5_1/source_inventory.md</t>
        </is>
      </c>
      <c r="E155" s="3" t="inlineStr">
        <is>
          <t>../../2019/jama.2019.14231/.ai_paper_validation/review_1_5_1/source_inventory.md</t>
        </is>
      </c>
    </row>
    <row r="156" ht="40" customHeight="1">
      <c r="A156" s="2" t="inlineStr">
        <is>
          <t>2019::jama.2019.14231::C011</t>
        </is>
      </c>
      <c r="B156" s="2" t="inlineStr">
        <is>
          <t>evidencePaths</t>
        </is>
      </c>
      <c r="C156" s="2" t="n">
        <v>1</v>
      </c>
      <c r="D156" s="2" t="inlineStr">
        <is>
          <t>2019/jama.2019.14231/.ai_paper_validation/review_1_5_1/checkers/cross_source_consistency.md</t>
        </is>
      </c>
      <c r="E156" s="2" t="inlineStr">
        <is>
          <t>../../2019/jama.2019.14231/.ai_paper_validation/review_1_5_1/checkers/cross_source_consistency.md</t>
        </is>
      </c>
    </row>
    <row r="157" ht="30" customHeight="1">
      <c r="A157" s="3" t="inlineStr">
        <is>
          <t>2019::jama.2019.14630::C001</t>
        </is>
      </c>
      <c r="B157" s="3" t="inlineStr">
        <is>
          <t>sourceLinks</t>
        </is>
      </c>
      <c r="C157" s="3" t="n">
        <v>0</v>
      </c>
      <c r="D157" s="3" t="inlineStr">
        <is>
          <t>Supplement 3 eTable 2 opening header — PDF p. 3</t>
        </is>
      </c>
      <c r="E157" s="3" t="inlineStr">
        <is>
          <t>../../2019/jama.2019.14630/joi190106supp3_prod_1635377898.49725.pdf#page=3</t>
        </is>
      </c>
    </row>
    <row r="158" ht="30" customHeight="1">
      <c r="A158" s="2" t="inlineStr">
        <is>
          <t>2019::jama.2019.14630::C001</t>
        </is>
      </c>
      <c r="B158" s="2" t="inlineStr">
        <is>
          <t>sourceLinks</t>
        </is>
      </c>
      <c r="C158" s="2" t="n">
        <v>1</v>
      </c>
      <c r="D158" s="2" t="inlineStr">
        <is>
          <t>Supplement 3 eTable 2 continuation — PDF p. 5</t>
        </is>
      </c>
      <c r="E158" s="2" t="inlineStr">
        <is>
          <t>../../2019/jama.2019.14630/joi190106supp3_prod_1635377898.49725.pdf#page=5</t>
        </is>
      </c>
    </row>
    <row r="159" ht="30" customHeight="1">
      <c r="A159" s="3" t="inlineStr">
        <is>
          <t>2019::jama.2019.14630::C001</t>
        </is>
      </c>
      <c r="B159" s="3" t="inlineStr">
        <is>
          <t>sourceLinks</t>
        </is>
      </c>
      <c r="C159" s="3" t="n">
        <v>2</v>
      </c>
      <c r="D159" s="3" t="inlineStr">
        <is>
          <t>main article Table 2 — PDF p. 5</t>
        </is>
      </c>
      <c r="E159" s="3" t="inlineStr">
        <is>
          <t>../../2019/jama.2019.14630/jama_saynorea_2019_oi_190106_1635377898.43062.pdf#page=5</t>
        </is>
      </c>
    </row>
    <row r="160" ht="40" customHeight="1">
      <c r="A160" s="2" t="inlineStr">
        <is>
          <t>2019::jama.2019.14630::C001</t>
        </is>
      </c>
      <c r="B160" s="2" t="inlineStr">
        <is>
          <t>evidencePaths</t>
        </is>
      </c>
      <c r="C160" s="2" t="n">
        <v>0</v>
      </c>
      <c r="D160" s="2" t="inlineStr">
        <is>
          <t>2019/jama.2019.14630/.ai_paper_validation/review_1_5_1/source_inventory.md</t>
        </is>
      </c>
      <c r="E160" s="2" t="inlineStr">
        <is>
          <t>../../2019/jama.2019.14630/.ai_paper_validation/review_1_5_1/source_inventory.md</t>
        </is>
      </c>
    </row>
    <row r="161" ht="40" customHeight="1">
      <c r="A161" s="3" t="inlineStr">
        <is>
          <t>2019::jama.2019.14630::C001</t>
        </is>
      </c>
      <c r="B161" s="3" t="inlineStr">
        <is>
          <t>evidencePaths</t>
        </is>
      </c>
      <c r="C161" s="3" t="n">
        <v>1</v>
      </c>
      <c r="D161" s="3" t="inlineStr">
        <is>
          <t>2019/jama.2019.14630/.ai_paper_validation/review_1_5_1/verification/evidence_recheck.md</t>
        </is>
      </c>
      <c r="E161" s="3" t="inlineStr">
        <is>
          <t>../../2019/jama.2019.14630/.ai_paper_validation/review_1_5_1/verification/evidence_recheck.md</t>
        </is>
      </c>
    </row>
    <row r="162" ht="40" customHeight="1">
      <c r="A162" s="2" t="inlineStr">
        <is>
          <t>2019::jama.2019.14630::C002</t>
        </is>
      </c>
      <c r="B162" s="2" t="inlineStr">
        <is>
          <t>sourceLinks</t>
        </is>
      </c>
      <c r="C162" s="2" t="n">
        <v>0</v>
      </c>
      <c r="D162" s="2" t="inlineStr">
        <is>
          <t>Supplement 3 eTable 2 red-wine row and footnote — PDF p. 7</t>
        </is>
      </c>
      <c r="E162" s="2" t="inlineStr">
        <is>
          <t>../../2019/jama.2019.14630/joi190106supp3_prod_1635377898.49725.pdf#page=7</t>
        </is>
      </c>
    </row>
    <row r="163" ht="40" customHeight="1">
      <c r="A163" s="3" t="inlineStr">
        <is>
          <t>2019::jama.2019.14630::C002</t>
        </is>
      </c>
      <c r="B163" s="3" t="inlineStr">
        <is>
          <t>evidencePaths</t>
        </is>
      </c>
      <c r="C163" s="3" t="n">
        <v>0</v>
      </c>
      <c r="D163" s="3" t="inlineStr">
        <is>
          <t>2019/jama.2019.14630/.ai_paper_validation/review_1_5_1/source_inventory.md</t>
        </is>
      </c>
      <c r="E163" s="3" t="inlineStr">
        <is>
          <t>../../2019/jama.2019.14630/.ai_paper_validation/review_1_5_1/source_inventory.md</t>
        </is>
      </c>
    </row>
    <row r="164" ht="40" customHeight="1">
      <c r="A164" s="2" t="inlineStr">
        <is>
          <t>2019::jama.2019.14630::C002</t>
        </is>
      </c>
      <c r="B164" s="2" t="inlineStr">
        <is>
          <t>evidencePaths</t>
        </is>
      </c>
      <c r="C164" s="2" t="n">
        <v>1</v>
      </c>
      <c r="D164" s="2" t="inlineStr">
        <is>
          <t>2019/jama.2019.14630/.ai_paper_validation/review_1_5_1/verification/evidence_recheck.md</t>
        </is>
      </c>
      <c r="E164" s="2" t="inlineStr">
        <is>
          <t>../../2019/jama.2019.14630/.ai_paper_validation/review_1_5_1/verification/evidence_recheck.md</t>
        </is>
      </c>
    </row>
    <row r="165" ht="40" customHeight="1">
      <c r="A165" s="3" t="inlineStr">
        <is>
          <t>2019::jama.2019.14630::C002</t>
        </is>
      </c>
      <c r="B165" s="3" t="inlineStr">
        <is>
          <t>evidencePaths</t>
        </is>
      </c>
      <c r="C165" s="3" t="n">
        <v>2</v>
      </c>
      <c r="D165" s="3" t="inlineStr">
        <is>
          <t>2019/jama.2019.14630/.ai_paper_validation/review_1_5_1/candidate_ledger.md</t>
        </is>
      </c>
      <c r="E165" s="3" t="inlineStr">
        <is>
          <t>../../2019/jama.2019.14630/.ai_paper_validation/review_1_5_1/candidate_ledger.md</t>
        </is>
      </c>
    </row>
    <row r="166" ht="30" customHeight="1">
      <c r="A166" s="2" t="inlineStr">
        <is>
          <t>2019::jama.2019.14630::C003</t>
        </is>
      </c>
      <c r="B166" s="2" t="inlineStr">
        <is>
          <t>sourceLinks</t>
        </is>
      </c>
      <c r="C166" s="2" t="n">
        <v>0</v>
      </c>
      <c r="D166" s="2" t="inlineStr">
        <is>
          <t>Supplement 3 eTable 2 — PDF p. 7</t>
        </is>
      </c>
      <c r="E166" s="2" t="inlineStr">
        <is>
          <t>../../2019/jama.2019.14630/joi190106supp3_prod_1635377898.49725.pdf#page=7</t>
        </is>
      </c>
    </row>
    <row r="167" ht="30" customHeight="1">
      <c r="A167" s="3" t="inlineStr">
        <is>
          <t>2019::jama.2019.14630::C003</t>
        </is>
      </c>
      <c r="B167" s="3" t="inlineStr">
        <is>
          <t>sourceLinks</t>
        </is>
      </c>
      <c r="C167" s="3" t="n">
        <v>1</v>
      </c>
      <c r="D167" s="3" t="inlineStr">
        <is>
          <t>Supplement 3 eTable 7 — PDF p. 19</t>
        </is>
      </c>
      <c r="E167" s="3" t="inlineStr">
        <is>
          <t>../../2019/jama.2019.14630/joi190106supp3_prod_1635377898.49725.pdf#page=19</t>
        </is>
      </c>
    </row>
    <row r="168" ht="40" customHeight="1">
      <c r="A168" s="2" t="inlineStr">
        <is>
          <t>2019::jama.2019.14630::C003</t>
        </is>
      </c>
      <c r="B168" s="2" t="inlineStr">
        <is>
          <t>evidencePaths</t>
        </is>
      </c>
      <c r="C168" s="2" t="n">
        <v>0</v>
      </c>
      <c r="D168" s="2" t="inlineStr">
        <is>
          <t>2019/jama.2019.14630/.ai_paper_validation/review_1_5_1/source_inventory.md</t>
        </is>
      </c>
      <c r="E168" s="2" t="inlineStr">
        <is>
          <t>../../2019/jama.2019.14630/.ai_paper_validation/review_1_5_1/source_inventory.md</t>
        </is>
      </c>
    </row>
    <row r="169" ht="40" customHeight="1">
      <c r="A169" s="3" t="inlineStr">
        <is>
          <t>2019::jama.2019.14630::C003</t>
        </is>
      </c>
      <c r="B169" s="3" t="inlineStr">
        <is>
          <t>evidencePaths</t>
        </is>
      </c>
      <c r="C169" s="3" t="n">
        <v>1</v>
      </c>
      <c r="D169" s="3" t="inlineStr">
        <is>
          <t>2019/jama.2019.14630/.ai_paper_validation/review_1_5_1/verification/evidence_recheck.md</t>
        </is>
      </c>
      <c r="E169" s="3" t="inlineStr">
        <is>
          <t>../../2019/jama.2019.14630/.ai_paper_validation/review_1_5_1/verification/evidence_recheck.md</t>
        </is>
      </c>
    </row>
    <row r="170" ht="40" customHeight="1">
      <c r="A170" s="2" t="inlineStr">
        <is>
          <t>2019::jama.2019.14630::C003</t>
        </is>
      </c>
      <c r="B170" s="2" t="inlineStr">
        <is>
          <t>evidencePaths</t>
        </is>
      </c>
      <c r="C170" s="2" t="n">
        <v>2</v>
      </c>
      <c r="D170" s="2" t="inlineStr">
        <is>
          <t>2019/jama.2019.14630/.ai_paper_validation/review_1_5_1/candidate_ledger.md</t>
        </is>
      </c>
      <c r="E170" s="2" t="inlineStr">
        <is>
          <t>../../2019/jama.2019.14630/.ai_paper_validation/review_1_5_1/candidate_ledger.md</t>
        </is>
      </c>
    </row>
    <row r="171" ht="30" customHeight="1">
      <c r="A171" s="3" t="inlineStr">
        <is>
          <t>2019::jama.2019.14630::C004</t>
        </is>
      </c>
      <c r="B171" s="3" t="inlineStr">
        <is>
          <t>sourceLinks</t>
        </is>
      </c>
      <c r="C171" s="3" t="n">
        <v>0</v>
      </c>
      <c r="D171" s="3" t="inlineStr">
        <is>
          <t>main article Table 2 — PDF p. 5</t>
        </is>
      </c>
      <c r="E171" s="3" t="inlineStr">
        <is>
          <t>../../2019/jama.2019.14630/jama_saynorea_2019_oi_190106_1635377898.43062.pdf#page=5</t>
        </is>
      </c>
    </row>
    <row r="172" ht="30" customHeight="1">
      <c r="A172" s="2" t="inlineStr">
        <is>
          <t>2019::jama.2019.14630::C004</t>
        </is>
      </c>
      <c r="B172" s="2" t="inlineStr">
        <is>
          <t>sourceLinks</t>
        </is>
      </c>
      <c r="C172" s="2" t="n">
        <v>1</v>
      </c>
      <c r="D172" s="2" t="inlineStr">
        <is>
          <t>Supplement 3 eTable 6 — PDF p. 16</t>
        </is>
      </c>
      <c r="E172" s="2" t="inlineStr">
        <is>
          <t>../../2019/jama.2019.14630/joi190106supp3_prod_1635377898.49725.pdf#page=16</t>
        </is>
      </c>
    </row>
    <row r="173" ht="40" customHeight="1">
      <c r="A173" s="3" t="inlineStr">
        <is>
          <t>2019::jama.2019.14630::C004</t>
        </is>
      </c>
      <c r="B173" s="3" t="inlineStr">
        <is>
          <t>evidencePaths</t>
        </is>
      </c>
      <c r="C173" s="3" t="n">
        <v>0</v>
      </c>
      <c r="D173" s="3" t="inlineStr">
        <is>
          <t>2019/jama.2019.14630/.ai_paper_validation/review_1_5_1/source_inventory.md</t>
        </is>
      </c>
      <c r="E173" s="3" t="inlineStr">
        <is>
          <t>../../2019/jama.2019.14630/.ai_paper_validation/review_1_5_1/source_inventory.md</t>
        </is>
      </c>
    </row>
    <row r="174" ht="40" customHeight="1">
      <c r="A174" s="2" t="inlineStr">
        <is>
          <t>2019::jama.2019.14630::C004</t>
        </is>
      </c>
      <c r="B174" s="2" t="inlineStr">
        <is>
          <t>evidencePaths</t>
        </is>
      </c>
      <c r="C174" s="2" t="n">
        <v>1</v>
      </c>
      <c r="D174" s="2" t="inlineStr">
        <is>
          <t>2019/jama.2019.14630/.ai_paper_validation/review_1_5_1/verification/evidence_recheck.md</t>
        </is>
      </c>
      <c r="E174" s="2" t="inlineStr">
        <is>
          <t>../../2019/jama.2019.14630/.ai_paper_validation/review_1_5_1/verification/evidence_recheck.md</t>
        </is>
      </c>
    </row>
    <row r="175" ht="30" customHeight="1">
      <c r="A175" s="3" t="inlineStr">
        <is>
          <t>2019::jama.2019.14630::C005</t>
        </is>
      </c>
      <c r="B175" s="3" t="inlineStr">
        <is>
          <t>sourceLinks</t>
        </is>
      </c>
      <c r="C175" s="3" t="n">
        <v>0</v>
      </c>
      <c r="D175" s="3" t="inlineStr">
        <is>
          <t>main article Statistical Analysis — PDF p. 4</t>
        </is>
      </c>
      <c r="E175" s="3" t="inlineStr">
        <is>
          <t>../../2019/jama.2019.14630/jama_saynorea_2019_oi_190106_1635377898.43062.pdf#page=4</t>
        </is>
      </c>
    </row>
    <row r="176" ht="30" customHeight="1">
      <c r="A176" s="2" t="inlineStr">
        <is>
          <t>2019::jama.2019.14630::C005</t>
        </is>
      </c>
      <c r="B176" s="2" t="inlineStr">
        <is>
          <t>sourceLinks</t>
        </is>
      </c>
      <c r="C176" s="2" t="n">
        <v>1</v>
      </c>
      <c r="D176" s="2" t="inlineStr">
        <is>
          <t>main article Table 3 — PDF p. 7</t>
        </is>
      </c>
      <c r="E176" s="2" t="inlineStr">
        <is>
          <t>../../2019/jama.2019.14630/jama_saynorea_2019_oi_190106_1635377898.43062.pdf#page=7</t>
        </is>
      </c>
    </row>
    <row r="177" ht="30" customHeight="1">
      <c r="A177" s="3" t="inlineStr">
        <is>
          <t>2019::jama.2019.14630::C005</t>
        </is>
      </c>
      <c r="B177" s="3" t="inlineStr">
        <is>
          <t>sourceLinks</t>
        </is>
      </c>
      <c r="C177" s="3" t="n">
        <v>2</v>
      </c>
      <c r="D177" s="3" t="inlineStr">
        <is>
          <t>Supplement 3 eTable 8 — PDF p. 21</t>
        </is>
      </c>
      <c r="E177" s="3" t="inlineStr">
        <is>
          <t>../../2019/jama.2019.14630/joi190106supp3_prod_1635377898.49725.pdf#page=21</t>
        </is>
      </c>
    </row>
    <row r="178" ht="40" customHeight="1">
      <c r="A178" s="2" t="inlineStr">
        <is>
          <t>2019::jama.2019.14630::C005</t>
        </is>
      </c>
      <c r="B178" s="2" t="inlineStr">
        <is>
          <t>evidencePaths</t>
        </is>
      </c>
      <c r="C178" s="2" t="n">
        <v>0</v>
      </c>
      <c r="D178" s="2" t="inlineStr">
        <is>
          <t>2019/jama.2019.14630/.ai_paper_validation/review_1_5_1/source_inventory.md</t>
        </is>
      </c>
      <c r="E178" s="2" t="inlineStr">
        <is>
          <t>../../2019/jama.2019.14630/.ai_paper_validation/review_1_5_1/source_inventory.md</t>
        </is>
      </c>
    </row>
    <row r="179" ht="30" customHeight="1">
      <c r="A179" s="3" t="inlineStr">
        <is>
          <t>2019::jama.2019.14630::C006</t>
        </is>
      </c>
      <c r="B179" s="3" t="inlineStr">
        <is>
          <t>sourceLinks</t>
        </is>
      </c>
      <c r="C179" s="3" t="n">
        <v>0</v>
      </c>
      <c r="D179" s="3" t="inlineStr">
        <is>
          <t>main article Table 1 — PDF p. 4</t>
        </is>
      </c>
      <c r="E179" s="3" t="inlineStr">
        <is>
          <t>../../2019/jama.2019.14630/jama_saynorea_2019_oi_190106_1635377898.43062.pdf#page=4</t>
        </is>
      </c>
    </row>
    <row r="180" ht="30" customHeight="1">
      <c r="A180" s="2" t="inlineStr">
        <is>
          <t>2019::jama.2019.14630::C006</t>
        </is>
      </c>
      <c r="B180" s="2" t="inlineStr">
        <is>
          <t>sourceLinks</t>
        </is>
      </c>
      <c r="C180" s="2" t="n">
        <v>1</v>
      </c>
      <c r="D180" s="2" t="inlineStr">
        <is>
          <t>Supplement 3 eTable 9 — PDF p. 23</t>
        </is>
      </c>
      <c r="E180" s="2" t="inlineStr">
        <is>
          <t>../../2019/jama.2019.14630/joi190106supp3_prod_1635377898.49725.pdf#page=23</t>
        </is>
      </c>
    </row>
    <row r="181" ht="40" customHeight="1">
      <c r="A181" s="3" t="inlineStr">
        <is>
          <t>2019::jama.2019.14630::C006</t>
        </is>
      </c>
      <c r="B181" s="3" t="inlineStr">
        <is>
          <t>evidencePaths</t>
        </is>
      </c>
      <c r="C181" s="3" t="n">
        <v>0</v>
      </c>
      <c r="D181" s="3" t="inlineStr">
        <is>
          <t>2019/jama.2019.14630/.ai_paper_validation/review_1_5_1/source_inventory.md</t>
        </is>
      </c>
      <c r="E181" s="3" t="inlineStr">
        <is>
          <t>../../2019/jama.2019.14630/.ai_paper_validation/review_1_5_1/source_inventory.md</t>
        </is>
      </c>
    </row>
    <row r="182" ht="30" customHeight="1">
      <c r="A182" s="2" t="inlineStr">
        <is>
          <t>2019::jama.2019.14630::C007</t>
        </is>
      </c>
      <c r="B182" s="2" t="inlineStr">
        <is>
          <t>sourceLinks</t>
        </is>
      </c>
      <c r="C182" s="2" t="n">
        <v>0</v>
      </c>
      <c r="D182" s="2" t="inlineStr">
        <is>
          <t>main article Table 1 — PDF p. 4</t>
        </is>
      </c>
      <c r="E182" s="2" t="inlineStr">
        <is>
          <t>../../2019/jama.2019.14630/jama_saynorea_2019_oi_190106_1635377898.43062.pdf#page=4</t>
        </is>
      </c>
    </row>
    <row r="183" ht="30" customHeight="1">
      <c r="A183" s="3" t="inlineStr">
        <is>
          <t>2019::jama.2019.14630::C007</t>
        </is>
      </c>
      <c r="B183" s="3" t="inlineStr">
        <is>
          <t>sourceLinks</t>
        </is>
      </c>
      <c r="C183" s="3" t="n">
        <v>1</v>
      </c>
      <c r="D183" s="3" t="inlineStr">
        <is>
          <t>Supplement 3 eTable 9 — PDF p. 23</t>
        </is>
      </c>
      <c r="E183" s="3" t="inlineStr">
        <is>
          <t>../../2019/jama.2019.14630/joi190106supp3_prod_1635377898.49725.pdf#page=23</t>
        </is>
      </c>
    </row>
    <row r="184" ht="40" customHeight="1">
      <c r="A184" s="2" t="inlineStr">
        <is>
          <t>2019::jama.2019.14630::C007</t>
        </is>
      </c>
      <c r="B184" s="2" t="inlineStr">
        <is>
          <t>evidencePaths</t>
        </is>
      </c>
      <c r="C184" s="2" t="n">
        <v>0</v>
      </c>
      <c r="D184" s="2" t="inlineStr">
        <is>
          <t>2019/jama.2019.14630/.ai_paper_validation/review_1_5_1/source_inventory.md</t>
        </is>
      </c>
      <c r="E184" s="2" t="inlineStr">
        <is>
          <t>../../2019/jama.2019.14630/.ai_paper_validation/review_1_5_1/source_inventory.md</t>
        </is>
      </c>
    </row>
    <row r="185" ht="30" customHeight="1">
      <c r="A185" s="3" t="inlineStr">
        <is>
          <t>2019::jama.2019.14630::C008</t>
        </is>
      </c>
      <c r="B185" s="3" t="inlineStr">
        <is>
          <t>sourceLinks</t>
        </is>
      </c>
      <c r="C185" s="3" t="n">
        <v>0</v>
      </c>
      <c r="D185" s="3" t="inlineStr">
        <is>
          <t>main article Outcomes — PDF p. 4</t>
        </is>
      </c>
      <c r="E185" s="3" t="inlineStr">
        <is>
          <t>../../2019/jama.2019.14630/jama_saynorea_2019_oi_190106_1635377898.43062.pdf#page=4</t>
        </is>
      </c>
    </row>
    <row r="186" ht="30" customHeight="1">
      <c r="A186" s="2" t="inlineStr">
        <is>
          <t>2019::jama.2019.14630::C008</t>
        </is>
      </c>
      <c r="B186" s="2" t="inlineStr">
        <is>
          <t>sourceLinks</t>
        </is>
      </c>
      <c r="C186" s="2" t="n">
        <v>1</v>
      </c>
      <c r="D186" s="2" t="inlineStr">
        <is>
          <t>main article Figure 4 — PDF p. 10</t>
        </is>
      </c>
      <c r="E186" s="2" t="inlineStr">
        <is>
          <t>../../2019/jama.2019.14630/jama_saynorea_2019_oi_190106_1635377898.43062.pdf#page=10</t>
        </is>
      </c>
    </row>
    <row r="187" ht="40" customHeight="1">
      <c r="A187" s="3" t="inlineStr">
        <is>
          <t>2019::jama.2019.14630::C008</t>
        </is>
      </c>
      <c r="B187" s="3" t="inlineStr">
        <is>
          <t>evidencePaths</t>
        </is>
      </c>
      <c r="C187" s="3" t="n">
        <v>0</v>
      </c>
      <c r="D187" s="3" t="inlineStr">
        <is>
          <t>2019/jama.2019.14630/.ai_paper_validation/review_1_5_1/source_inventory.md</t>
        </is>
      </c>
      <c r="E187" s="3" t="inlineStr">
        <is>
          <t>../../2019/jama.2019.14630/.ai_paper_validation/review_1_5_1/source_inventory.md</t>
        </is>
      </c>
    </row>
    <row r="188" ht="30" customHeight="1">
      <c r="A188" s="2" t="inlineStr">
        <is>
          <t>2019::jama.2019.14630::C009</t>
        </is>
      </c>
      <c r="B188" s="2" t="inlineStr">
        <is>
          <t>sourceLinks</t>
        </is>
      </c>
      <c r="C188" s="2" t="n">
        <v>0</v>
      </c>
      <c r="D188" s="2" t="inlineStr">
        <is>
          <t>Supplement 3 eTable 4 row — PDF p. 10</t>
        </is>
      </c>
      <c r="E188" s="2" t="inlineStr">
        <is>
          <t>../../2019/jama.2019.14630/joi190106supp3_prod_1635377898.49725.pdf#page=10</t>
        </is>
      </c>
    </row>
    <row r="189" ht="30" customHeight="1">
      <c r="A189" s="3" t="inlineStr">
        <is>
          <t>2019::jama.2019.14630::C009</t>
        </is>
      </c>
      <c r="B189" s="3" t="inlineStr">
        <is>
          <t>sourceLinks</t>
        </is>
      </c>
      <c r="C189" s="3" t="n">
        <v>1</v>
      </c>
      <c r="D189" s="3" t="inlineStr">
        <is>
          <t>Supplement 3 eTable 4 footnote — PDF p. 11</t>
        </is>
      </c>
      <c r="E189" s="3" t="inlineStr">
        <is>
          <t>../../2019/jama.2019.14630/joi190106supp3_prod_1635377898.49725.pdf#page=11</t>
        </is>
      </c>
    </row>
    <row r="190" ht="30" customHeight="1">
      <c r="A190" s="2" t="inlineStr">
        <is>
          <t>2019::jama.2019.14630::C009</t>
        </is>
      </c>
      <c r="B190" s="2" t="inlineStr">
        <is>
          <t>sourceLinks</t>
        </is>
      </c>
      <c r="C190" s="2" t="n">
        <v>2</v>
      </c>
      <c r="D190" s="2" t="inlineStr">
        <is>
          <t>Supplement 3 eTable 2 comparator — PDF p. 3</t>
        </is>
      </c>
      <c r="E190" s="2" t="inlineStr">
        <is>
          <t>../../2019/jama.2019.14630/joi190106supp3_prod_1635377898.49725.pdf#page=3</t>
        </is>
      </c>
    </row>
    <row r="191" ht="30" customHeight="1">
      <c r="A191" s="3" t="inlineStr">
        <is>
          <t>2019::jama.2019.14630::C009</t>
        </is>
      </c>
      <c r="B191" s="3" t="inlineStr">
        <is>
          <t>sourceLinks</t>
        </is>
      </c>
      <c r="C191" s="3" t="n">
        <v>3</v>
      </c>
      <c r="D191" s="3" t="inlineStr">
        <is>
          <t>Supplement 3 eTable 7 comparator — PDF p. 17</t>
        </is>
      </c>
      <c r="E191" s="3" t="inlineStr">
        <is>
          <t>../../2019/jama.2019.14630/joi190106supp3_prod_1635377898.49725.pdf#page=17</t>
        </is>
      </c>
    </row>
    <row r="192" ht="40" customHeight="1">
      <c r="A192" s="2" t="inlineStr">
        <is>
          <t>2019::jama.2019.14630::C009</t>
        </is>
      </c>
      <c r="B192" s="2" t="inlineStr">
        <is>
          <t>evidencePaths</t>
        </is>
      </c>
      <c r="C192" s="2" t="n">
        <v>0</v>
      </c>
      <c r="D192" s="2" t="inlineStr">
        <is>
          <t>2019/jama.2019.14630/.ai_paper_validation/review_1_5_1/source_inventory.md</t>
        </is>
      </c>
      <c r="E192" s="2" t="inlineStr">
        <is>
          <t>../../2019/jama.2019.14630/.ai_paper_validation/review_1_5_1/source_inventory.md</t>
        </is>
      </c>
    </row>
    <row r="193" ht="40" customHeight="1">
      <c r="A193" s="3" t="inlineStr">
        <is>
          <t>2019::jama.2019.14901::C001</t>
        </is>
      </c>
      <c r="B193" s="3" t="inlineStr">
        <is>
          <t>evidencePaths</t>
        </is>
      </c>
      <c r="C193" s="3" t="n">
        <v>0</v>
      </c>
      <c r="D193" s="3" t="inlineStr">
        <is>
          <t>2019/jama.2019.14901/.ai_paper_validation/review_1_5_1/source_inventory.md</t>
        </is>
      </c>
      <c r="E193" s="3" t="inlineStr">
        <is>
          <t>../../2019/jama.2019.14901/.ai_paper_validation/review_1_5_1/source_inventory.md</t>
        </is>
      </c>
    </row>
    <row r="194" ht="40" customHeight="1">
      <c r="A194" s="2" t="inlineStr">
        <is>
          <t>2019::jama.2019.14901::C002</t>
        </is>
      </c>
      <c r="B194" s="2" t="inlineStr">
        <is>
          <t>evidencePaths</t>
        </is>
      </c>
      <c r="C194" s="2" t="n">
        <v>0</v>
      </c>
      <c r="D194" s="2" t="inlineStr">
        <is>
          <t>2019/jama.2019.14901/.ai_paper_validation/review_1_5_1/source_inventory.md</t>
        </is>
      </c>
      <c r="E194" s="2" t="inlineStr">
        <is>
          <t>../../2019/jama.2019.14901/.ai_paper_validation/review_1_5_1/source_inventory.md</t>
        </is>
      </c>
    </row>
    <row r="195" ht="40" customHeight="1">
      <c r="A195" s="3" t="inlineStr">
        <is>
          <t>2019::jama.2019.14901::C002</t>
        </is>
      </c>
      <c r="B195" s="3" t="inlineStr">
        <is>
          <t>evidencePaths</t>
        </is>
      </c>
      <c r="C195" s="3" t="n">
        <v>1</v>
      </c>
      <c r="D195" s="3" t="inlineStr">
        <is>
          <t>2019/jama.2019.14901/.ai_paper_validation/review_1_5_1/verification/evidence_recheck.md</t>
        </is>
      </c>
      <c r="E195" s="3" t="inlineStr">
        <is>
          <t>../../2019/jama.2019.14901/.ai_paper_validation/review_1_5_1/verification/evidence_recheck.md</t>
        </is>
      </c>
    </row>
    <row r="196" ht="40" customHeight="1">
      <c r="A196" s="2" t="inlineStr">
        <is>
          <t>2019::jama.2019.14901::C003</t>
        </is>
      </c>
      <c r="B196" s="2" t="inlineStr">
        <is>
          <t>evidencePaths</t>
        </is>
      </c>
      <c r="C196" s="2" t="n">
        <v>0</v>
      </c>
      <c r="D196" s="2" t="inlineStr">
        <is>
          <t>2019/jama.2019.14901/.ai_paper_validation/review_1_5_1/source_inventory.md</t>
        </is>
      </c>
      <c r="E196" s="2" t="inlineStr">
        <is>
          <t>../../2019/jama.2019.14901/.ai_paper_validation/review_1_5_1/source_inventory.md</t>
        </is>
      </c>
    </row>
    <row r="197" ht="40" customHeight="1">
      <c r="A197" s="3" t="inlineStr">
        <is>
          <t>2019::jama.2019.14901::C003</t>
        </is>
      </c>
      <c r="B197" s="3" t="inlineStr">
        <is>
          <t>evidencePaths</t>
        </is>
      </c>
      <c r="C197" s="3" t="n">
        <v>1</v>
      </c>
      <c r="D197" s="3" t="inlineStr">
        <is>
          <t>2019/jama.2019.14901/.ai_paper_validation/review_1_5_1/verification/evidence_recheck.md</t>
        </is>
      </c>
      <c r="E197" s="3" t="inlineStr">
        <is>
          <t>../../2019/jama.2019.14901/.ai_paper_validation/review_1_5_1/verification/evidence_recheck.md</t>
        </is>
      </c>
    </row>
    <row r="198" ht="40" customHeight="1">
      <c r="A198" s="2" t="inlineStr">
        <is>
          <t>2019::jama.2019.14901::C004</t>
        </is>
      </c>
      <c r="B198" s="2" t="inlineStr">
        <is>
          <t>evidencePaths</t>
        </is>
      </c>
      <c r="C198" s="2" t="n">
        <v>0</v>
      </c>
      <c r="D198" s="2" t="inlineStr">
        <is>
          <t>2019/jama.2019.14901/.ai_paper_validation/review_1_5_1/source_inventory.md</t>
        </is>
      </c>
      <c r="E198" s="2" t="inlineStr">
        <is>
          <t>../../2019/jama.2019.14901/.ai_paper_validation/review_1_5_1/source_inventory.md</t>
        </is>
      </c>
    </row>
    <row r="199" ht="40" customHeight="1">
      <c r="A199" s="3" t="inlineStr">
        <is>
          <t>2019::jama.2019.14901::C004</t>
        </is>
      </c>
      <c r="B199" s="3" t="inlineStr">
        <is>
          <t>evidencePaths</t>
        </is>
      </c>
      <c r="C199" s="3" t="n">
        <v>1</v>
      </c>
      <c r="D199" s="3" t="inlineStr">
        <is>
          <t>2019/jama.2019.14901/.ai_paper_validation/review_1_5_1/verification/evidence_recheck.md</t>
        </is>
      </c>
      <c r="E199" s="3" t="inlineStr">
        <is>
          <t>../../2019/jama.2019.14901/.ai_paper_validation/review_1_5_1/verification/evidence_recheck.md</t>
        </is>
      </c>
    </row>
    <row r="200" ht="40" customHeight="1">
      <c r="A200" s="2" t="inlineStr">
        <is>
          <t>2019::jama.2019.14901::C005</t>
        </is>
      </c>
      <c r="B200" s="2" t="inlineStr">
        <is>
          <t>evidencePaths</t>
        </is>
      </c>
      <c r="C200" s="2" t="n">
        <v>0</v>
      </c>
      <c r="D200" s="2" t="inlineStr">
        <is>
          <t>2019/jama.2019.14901/.ai_paper_validation/review_1_5_1/source_inventory.md</t>
        </is>
      </c>
      <c r="E200" s="2" t="inlineStr">
        <is>
          <t>../../2019/jama.2019.14901/.ai_paper_validation/review_1_5_1/source_inventory.md</t>
        </is>
      </c>
    </row>
    <row r="201" ht="40" customHeight="1">
      <c r="A201" s="3" t="inlineStr">
        <is>
          <t>2019::jama.2019.14901::C006</t>
        </is>
      </c>
      <c r="B201" s="3" t="inlineStr">
        <is>
          <t>evidencePaths</t>
        </is>
      </c>
      <c r="C201" s="3" t="n">
        <v>0</v>
      </c>
      <c r="D201" s="3" t="inlineStr">
        <is>
          <t>2019/jama.2019.14901/.ai_paper_validation/review_1_5_1/source_inventory.md</t>
        </is>
      </c>
      <c r="E201" s="3" t="inlineStr">
        <is>
          <t>../../2019/jama.2019.14901/.ai_paper_validation/review_1_5_1/source_inventory.md</t>
        </is>
      </c>
    </row>
    <row r="202" ht="30" customHeight="1">
      <c r="A202" s="2" t="inlineStr">
        <is>
          <t>2019::jama.2019.17380::C001</t>
        </is>
      </c>
      <c r="B202" s="2" t="inlineStr">
        <is>
          <t>sourceLinks</t>
        </is>
      </c>
      <c r="C202" s="2" t="n">
        <v>0</v>
      </c>
      <c r="D202" s="2" t="inlineStr">
        <is>
          <t>Figure 2 panel B — PDF p. 7</t>
        </is>
      </c>
      <c r="E202" s="2" t="inlineStr">
        <is>
          <t>../../2019/jama.2019.17380/jama_de_boer_2019_oi_190122.pdf#page=7</t>
        </is>
      </c>
    </row>
    <row r="203" ht="30" customHeight="1">
      <c r="A203" s="3" t="inlineStr">
        <is>
          <t>2019::jama.2019.17380::C001</t>
        </is>
      </c>
      <c r="B203" s="3" t="inlineStr">
        <is>
          <t>sourceLinks</t>
        </is>
      </c>
      <c r="C203" s="3" t="n">
        <v>1</v>
      </c>
      <c r="D203" s="3" t="inlineStr">
        <is>
          <t>Table 2 — PDF p. 8</t>
        </is>
      </c>
      <c r="E203" s="3" t="inlineStr">
        <is>
          <t>../../2019/jama.2019.17380/jama_de_boer_2019_oi_190122.pdf#page=8</t>
        </is>
      </c>
    </row>
    <row r="204" ht="40" customHeight="1">
      <c r="A204" s="2" t="inlineStr">
        <is>
          <t>2019::jama.2019.17380::C001</t>
        </is>
      </c>
      <c r="B204" s="2" t="inlineStr">
        <is>
          <t>evidencePaths</t>
        </is>
      </c>
      <c r="C204" s="2" t="n">
        <v>0</v>
      </c>
      <c r="D204" s="2" t="inlineStr">
        <is>
          <t>2019/jama.2019.17380/.ai_paper_validation/review_1_5_2/source_inventory.md</t>
        </is>
      </c>
      <c r="E204" s="2" t="inlineStr">
        <is>
          <t>../../2019/jama.2019.17380/.ai_paper_validation/review_1_5_2/source_inventory.md</t>
        </is>
      </c>
    </row>
    <row r="205" ht="30" customHeight="1">
      <c r="A205" s="3" t="inlineStr">
        <is>
          <t>2019::jama.2019.17380::C002</t>
        </is>
      </c>
      <c r="B205" s="3" t="inlineStr">
        <is>
          <t>sourceLinks</t>
        </is>
      </c>
      <c r="C205" s="3" t="n">
        <v>0</v>
      </c>
      <c r="D205" s="3" t="inlineStr">
        <is>
          <t>Figure 2 panel D — PDF p. 7</t>
        </is>
      </c>
      <c r="E205" s="3" t="inlineStr">
        <is>
          <t>../../2019/jama.2019.17380/jama_de_boer_2019_oi_190122.pdf#page=7</t>
        </is>
      </c>
    </row>
    <row r="206" ht="30" customHeight="1">
      <c r="A206" s="2" t="inlineStr">
        <is>
          <t>2019::jama.2019.17380::C002</t>
        </is>
      </c>
      <c r="B206" s="2" t="inlineStr">
        <is>
          <t>sourceLinks</t>
        </is>
      </c>
      <c r="C206" s="2" t="n">
        <v>1</v>
      </c>
      <c r="D206" s="2" t="inlineStr">
        <is>
          <t>eTable 6 — PDF p. 11</t>
        </is>
      </c>
      <c r="E206" s="2" t="inlineStr">
        <is>
          <t>../../2019/jama.2019.17380/joi190122supp2_prod.pdf#page=11</t>
        </is>
      </c>
    </row>
    <row r="207" ht="40" customHeight="1">
      <c r="A207" s="3" t="inlineStr">
        <is>
          <t>2019::jama.2019.17380::C002</t>
        </is>
      </c>
      <c r="B207" s="3" t="inlineStr">
        <is>
          <t>evidencePaths</t>
        </is>
      </c>
      <c r="C207" s="3" t="n">
        <v>0</v>
      </c>
      <c r="D207" s="3" t="inlineStr">
        <is>
          <t>2019/jama.2019.17380/.ai_paper_validation/review_1_5_2/source_inventory.md</t>
        </is>
      </c>
      <c r="E207" s="3" t="inlineStr">
        <is>
          <t>../../2019/jama.2019.17380/.ai_paper_validation/review_1_5_2/source_inventory.md</t>
        </is>
      </c>
    </row>
    <row r="208" ht="30" customHeight="1">
      <c r="A208" s="2" t="inlineStr">
        <is>
          <t>2019::jama.2019.17380::C003</t>
        </is>
      </c>
      <c r="B208" s="2" t="inlineStr">
        <is>
          <t>sourceLinks</t>
        </is>
      </c>
      <c r="C208" s="2" t="n">
        <v>0</v>
      </c>
      <c r="D208" s="2" t="inlineStr">
        <is>
          <t>Abstract — PDF p. 1</t>
        </is>
      </c>
      <c r="E208" s="2" t="inlineStr">
        <is>
          <t>../../2019/jama.2019.17380/jama_de_boer_2019_oi_190122.pdf#page=1</t>
        </is>
      </c>
    </row>
    <row r="209" ht="30" customHeight="1">
      <c r="A209" s="3" t="inlineStr">
        <is>
          <t>2019::jama.2019.17380::C003</t>
        </is>
      </c>
      <c r="B209" s="3" t="inlineStr">
        <is>
          <t>sourceLinks</t>
        </is>
      </c>
      <c r="C209" s="3" t="n">
        <v>1</v>
      </c>
      <c r="D209" s="3" t="inlineStr">
        <is>
          <t>Table 2 and Figure 3 — PDF p. 8</t>
        </is>
      </c>
      <c r="E209" s="3" t="inlineStr">
        <is>
          <t>../../2019/jama.2019.17380/jama_de_boer_2019_oi_190122.pdf#page=8</t>
        </is>
      </c>
    </row>
    <row r="210" ht="40" customHeight="1">
      <c r="A210" s="2" t="inlineStr">
        <is>
          <t>2019::jama.2019.17380::C003</t>
        </is>
      </c>
      <c r="B210" s="2" t="inlineStr">
        <is>
          <t>evidencePaths</t>
        </is>
      </c>
      <c r="C210" s="2" t="n">
        <v>0</v>
      </c>
      <c r="D210" s="2" t="inlineStr">
        <is>
          <t>2019/jama.2019.17380/.ai_paper_validation/review_1_5_2/source_inventory.md</t>
        </is>
      </c>
      <c r="E210" s="2" t="inlineStr">
        <is>
          <t>../../2019/jama.2019.17380/.ai_paper_validation/review_1_5_2/source_inventory.md</t>
        </is>
      </c>
    </row>
    <row r="211" ht="30" customHeight="1">
      <c r="A211" s="3" t="inlineStr">
        <is>
          <t>2019::jama.2019.17380::C004</t>
        </is>
      </c>
      <c r="B211" s="3" t="inlineStr">
        <is>
          <t>sourceLinks</t>
        </is>
      </c>
      <c r="C211" s="3" t="n">
        <v>0</v>
      </c>
      <c r="D211" s="3" t="inlineStr">
        <is>
          <t>Abstract — PDF p. 1</t>
        </is>
      </c>
      <c r="E211" s="3" t="inlineStr">
        <is>
          <t>../../2019/jama.2019.17380/jama_de_boer_2019_oi_190122.pdf#page=1</t>
        </is>
      </c>
    </row>
    <row r="212" ht="30" customHeight="1">
      <c r="A212" s="2" t="inlineStr">
        <is>
          <t>2019::jama.2019.17380::C004</t>
        </is>
      </c>
      <c r="B212" s="2" t="inlineStr">
        <is>
          <t>sourceLinks</t>
        </is>
      </c>
      <c r="C212" s="2" t="n">
        <v>1</v>
      </c>
      <c r="D212" s="2" t="inlineStr">
        <is>
          <t>Table 2 — PDF p. 8</t>
        </is>
      </c>
      <c r="E212" s="2" t="inlineStr">
        <is>
          <t>../../2019/jama.2019.17380/jama_de_boer_2019_oi_190122.pdf#page=8</t>
        </is>
      </c>
    </row>
    <row r="213" ht="30" customHeight="1">
      <c r="A213" s="3" t="inlineStr">
        <is>
          <t>2019::jama.2019.17380::C004</t>
        </is>
      </c>
      <c r="B213" s="3" t="inlineStr">
        <is>
          <t>sourceLinks</t>
        </is>
      </c>
      <c r="C213" s="3" t="n">
        <v>2</v>
      </c>
      <c r="D213" s="3" t="inlineStr">
        <is>
          <t>Figure 4 — PDF p. 9</t>
        </is>
      </c>
      <c r="E213" s="3" t="inlineStr">
        <is>
          <t>../../2019/jama.2019.17380/jama_de_boer_2019_oi_190122.pdf#page=9</t>
        </is>
      </c>
    </row>
    <row r="214" ht="40" customHeight="1">
      <c r="A214" s="2" t="inlineStr">
        <is>
          <t>2019::jama.2019.17380::C004</t>
        </is>
      </c>
      <c r="B214" s="2" t="inlineStr">
        <is>
          <t>evidencePaths</t>
        </is>
      </c>
      <c r="C214" s="2" t="n">
        <v>0</v>
      </c>
      <c r="D214" s="2" t="inlineStr">
        <is>
          <t>2019/jama.2019.17380/.ai_paper_validation/review_1_5_2/source_inventory.md</t>
        </is>
      </c>
      <c r="E214" s="2" t="inlineStr">
        <is>
          <t>../../2019/jama.2019.17380/.ai_paper_validation/review_1_5_2/source_inventory.md</t>
        </is>
      </c>
    </row>
    <row r="215" ht="30" customHeight="1">
      <c r="A215" s="3" t="inlineStr">
        <is>
          <t>2019::jama.2019.17380::C005</t>
        </is>
      </c>
      <c r="B215" s="3" t="inlineStr">
        <is>
          <t>sourceLinks</t>
        </is>
      </c>
      <c r="C215" s="3" t="n">
        <v>0</v>
      </c>
      <c r="D215" s="3" t="inlineStr">
        <is>
          <t>Abstract — PDF p. 1</t>
        </is>
      </c>
      <c r="E215" s="3" t="inlineStr">
        <is>
          <t>../../2019/jama.2019.17380/jama_de_boer_2019_oi_190122.pdf#page=1</t>
        </is>
      </c>
    </row>
    <row r="216" ht="30" customHeight="1">
      <c r="A216" s="2" t="inlineStr">
        <is>
          <t>2019::jama.2019.17380::C005</t>
        </is>
      </c>
      <c r="B216" s="2" t="inlineStr">
        <is>
          <t>sourceLinks</t>
        </is>
      </c>
      <c r="C216" s="2" t="n">
        <v>1</v>
      </c>
      <c r="D216" s="2" t="inlineStr">
        <is>
          <t>eTable 6 — PDF p. 11</t>
        </is>
      </c>
      <c r="E216" s="2" t="inlineStr">
        <is>
          <t>../../2019/jama.2019.17380/joi190122supp2_prod.pdf#page=11</t>
        </is>
      </c>
    </row>
    <row r="217" ht="30" customHeight="1">
      <c r="A217" s="3" t="inlineStr">
        <is>
          <t>2019::jama.2019.17380::C005</t>
        </is>
      </c>
      <c r="B217" s="3" t="inlineStr">
        <is>
          <t>sourceLinks</t>
        </is>
      </c>
      <c r="C217" s="3" t="n">
        <v>2</v>
      </c>
      <c r="D217" s="3" t="inlineStr">
        <is>
          <t>eFigure 2 — PDF p. 18</t>
        </is>
      </c>
      <c r="E217" s="3" t="inlineStr">
        <is>
          <t>../../2019/jama.2019.17380/joi190122supp2_prod.pdf#page=18</t>
        </is>
      </c>
    </row>
    <row r="218" ht="40" customHeight="1">
      <c r="A218" s="2" t="inlineStr">
        <is>
          <t>2019::jama.2019.17380::C005</t>
        </is>
      </c>
      <c r="B218" s="2" t="inlineStr">
        <is>
          <t>evidencePaths</t>
        </is>
      </c>
      <c r="C218" s="2" t="n">
        <v>0</v>
      </c>
      <c r="D218" s="2" t="inlineStr">
        <is>
          <t>2019/jama.2019.17380/.ai_paper_validation/review_1_5_2/source_inventory.md</t>
        </is>
      </c>
      <c r="E218" s="2" t="inlineStr">
        <is>
          <t>../../2019/jama.2019.17380/.ai_paper_validation/review_1_5_2/source_inventory.md</t>
        </is>
      </c>
    </row>
    <row r="219" ht="40" customHeight="1">
      <c r="A219" s="3" t="inlineStr">
        <is>
          <t>2019::jama.2019.17380::C005</t>
        </is>
      </c>
      <c r="B219" s="3" t="inlineStr">
        <is>
          <t>evidencePaths</t>
        </is>
      </c>
      <c r="C219" s="3" t="n">
        <v>1</v>
      </c>
      <c r="D219" s="3" t="inlineStr">
        <is>
          <t>2019/jama.2019.17380/.ai_paper_validation/review_1_5_2/verification/evidence_recheck.md</t>
        </is>
      </c>
      <c r="E219" s="3" t="inlineStr">
        <is>
          <t>../../2019/jama.2019.17380/.ai_paper_validation/review_1_5_2/verification/evidence_recheck.md</t>
        </is>
      </c>
    </row>
    <row r="220" ht="30" customHeight="1">
      <c r="A220" s="2" t="inlineStr">
        <is>
          <t>2019::jama.2019.17380::C006</t>
        </is>
      </c>
      <c r="B220" s="2" t="inlineStr">
        <is>
          <t>sourceLinks</t>
        </is>
      </c>
      <c r="C220" s="2" t="n">
        <v>0</v>
      </c>
      <c r="D220" s="2" t="inlineStr">
        <is>
          <t>Abstract — PDF p. 1</t>
        </is>
      </c>
      <c r="E220" s="2" t="inlineStr">
        <is>
          <t>../../2019/jama.2019.17380/jama_de_boer_2019_oi_190122.pdf#page=1</t>
        </is>
      </c>
    </row>
    <row r="221" ht="30" customHeight="1">
      <c r="A221" s="3" t="inlineStr">
        <is>
          <t>2019::jama.2019.17380::C006</t>
        </is>
      </c>
      <c r="B221" s="3" t="inlineStr">
        <is>
          <t>sourceLinks</t>
        </is>
      </c>
      <c r="C221" s="3" t="n">
        <v>1</v>
      </c>
      <c r="D221" s="3" t="inlineStr">
        <is>
          <t>eTable 6 — PDF p. 11</t>
        </is>
      </c>
      <c r="E221" s="3" t="inlineStr">
        <is>
          <t>../../2019/jama.2019.17380/joi190122supp2_prod.pdf#page=11</t>
        </is>
      </c>
    </row>
    <row r="222" ht="30" customHeight="1">
      <c r="A222" s="2" t="inlineStr">
        <is>
          <t>2019::jama.2019.17380::C006</t>
        </is>
      </c>
      <c r="B222" s="2" t="inlineStr">
        <is>
          <t>sourceLinks</t>
        </is>
      </c>
      <c r="C222" s="2" t="n">
        <v>2</v>
      </c>
      <c r="D222" s="2" t="inlineStr">
        <is>
          <t>eFigure 3 — PDF p. 19</t>
        </is>
      </c>
      <c r="E222" s="2" t="inlineStr">
        <is>
          <t>../../2019/jama.2019.17380/joi190122supp2_prod.pdf#page=19</t>
        </is>
      </c>
    </row>
    <row r="223" ht="40" customHeight="1">
      <c r="A223" s="3" t="inlineStr">
        <is>
          <t>2019::jama.2019.17380::C006</t>
        </is>
      </c>
      <c r="B223" s="3" t="inlineStr">
        <is>
          <t>evidencePaths</t>
        </is>
      </c>
      <c r="C223" s="3" t="n">
        <v>0</v>
      </c>
      <c r="D223" s="3" t="inlineStr">
        <is>
          <t>2019/jama.2019.17380/.ai_paper_validation/review_1_5_2/source_inventory.md</t>
        </is>
      </c>
      <c r="E223" s="3" t="inlineStr">
        <is>
          <t>../../2019/jama.2019.17380/.ai_paper_validation/review_1_5_2/source_inventory.md</t>
        </is>
      </c>
    </row>
    <row r="224" ht="40" customHeight="1">
      <c r="A224" s="2" t="inlineStr">
        <is>
          <t>2019::jama.2019.17380::C006</t>
        </is>
      </c>
      <c r="B224" s="2" t="inlineStr">
        <is>
          <t>evidencePaths</t>
        </is>
      </c>
      <c r="C224" s="2" t="n">
        <v>1</v>
      </c>
      <c r="D224" s="2" t="inlineStr">
        <is>
          <t>2019/jama.2019.17380/.ai_paper_validation/review_1_5_2/verification/evidence_recheck.md</t>
        </is>
      </c>
      <c r="E224" s="2" t="inlineStr">
        <is>
          <t>../../2019/jama.2019.17380/.ai_paper_validation/review_1_5_2/verification/evidence_recheck.md</t>
        </is>
      </c>
    </row>
    <row r="225" ht="30" customHeight="1">
      <c r="A225" s="3" t="inlineStr">
        <is>
          <t>2019::jama.2019.17380::C007</t>
        </is>
      </c>
      <c r="B225" s="3" t="inlineStr">
        <is>
          <t>sourceLinks</t>
        </is>
      </c>
      <c r="C225" s="3" t="n">
        <v>0</v>
      </c>
      <c r="D225" s="3" t="inlineStr">
        <is>
          <t>Analytic-plan addendum, Section 15c — PDF p. 32</t>
        </is>
      </c>
      <c r="E225" s="3" t="inlineStr">
        <is>
          <t>../../2019/jama.2019.17380/joi190122supp1_prod.pdf#page=32</t>
        </is>
      </c>
    </row>
    <row r="226" ht="30" customHeight="1">
      <c r="A226" s="2" t="inlineStr">
        <is>
          <t>2019::jama.2019.17380::C007</t>
        </is>
      </c>
      <c r="B226" s="2" t="inlineStr">
        <is>
          <t>sourceLinks</t>
        </is>
      </c>
      <c r="C226" s="2" t="n">
        <v>1</v>
      </c>
      <c r="D226" s="2" t="inlineStr">
        <is>
          <t>Article Data Analysis — PDF p. 3</t>
        </is>
      </c>
      <c r="E226" s="2" t="inlineStr">
        <is>
          <t>../../2019/jama.2019.17380/jama_de_boer_2019_oi_190122.pdf#page=3</t>
        </is>
      </c>
    </row>
    <row r="227" ht="40" customHeight="1">
      <c r="A227" s="3" t="inlineStr">
        <is>
          <t>2019::jama.2019.17380::C007</t>
        </is>
      </c>
      <c r="B227" s="3" t="inlineStr">
        <is>
          <t>evidencePaths</t>
        </is>
      </c>
      <c r="C227" s="3" t="n">
        <v>0</v>
      </c>
      <c r="D227" s="3" t="inlineStr">
        <is>
          <t>2019/jama.2019.17380/.ai_paper_validation/review_1_5_2/source_inventory.md</t>
        </is>
      </c>
      <c r="E227" s="3" t="inlineStr">
        <is>
          <t>../../2019/jama.2019.17380/.ai_paper_validation/review_1_5_2/source_inventory.md</t>
        </is>
      </c>
    </row>
    <row r="228" ht="40" customHeight="1">
      <c r="A228" s="2" t="inlineStr">
        <is>
          <t>2019::jama.2019.17380::C007</t>
        </is>
      </c>
      <c r="B228" s="2" t="inlineStr">
        <is>
          <t>evidencePaths</t>
        </is>
      </c>
      <c r="C228" s="2" t="n">
        <v>1</v>
      </c>
      <c r="D228" s="2" t="inlineStr">
        <is>
          <t>2019/jama.2019.17380/.ai_paper_validation/review_1_5_2/verification/evidence_recheck.md</t>
        </is>
      </c>
      <c r="E228" s="2" t="inlineStr">
        <is>
          <t>../../2019/jama.2019.17380/.ai_paper_validation/review_1_5_2/verification/evidence_recheck.md</t>
        </is>
      </c>
    </row>
    <row r="229" ht="30" customHeight="1">
      <c r="A229" s="3" t="inlineStr">
        <is>
          <t>2019::jama.2019.2210::C001</t>
        </is>
      </c>
      <c r="B229" s="3" t="inlineStr">
        <is>
          <t>sourceLinks</t>
        </is>
      </c>
      <c r="C229" s="3" t="n">
        <v>0</v>
      </c>
      <c r="D229" s="3" t="inlineStr">
        <is>
          <t>main article — PDF p. 5</t>
        </is>
      </c>
      <c r="E229" s="3" t="inlineStr">
        <is>
          <t>../../2019/jama.2019.2210/jama_urashima_2019_oi_190023.pdf#page=5</t>
        </is>
      </c>
    </row>
    <row r="230" ht="30" customHeight="1">
      <c r="A230" s="2" t="inlineStr">
        <is>
          <t>2019::jama.2019.2210::C001</t>
        </is>
      </c>
      <c r="B230" s="2" t="inlineStr">
        <is>
          <t>sourceLinks</t>
        </is>
      </c>
      <c r="C230" s="2" t="n">
        <v>1</v>
      </c>
      <c r="D230" s="2" t="inlineStr">
        <is>
          <t>Supplement 2 — PDF p. 7</t>
        </is>
      </c>
      <c r="E230" s="2" t="inlineStr">
        <is>
          <t>../../2019/jama.2019.2210/joi190023supp2_prod.pdf#page=7</t>
        </is>
      </c>
    </row>
    <row r="231" ht="30" customHeight="1">
      <c r="A231" s="3" t="inlineStr">
        <is>
          <t>2019::jama.2019.2210::C001</t>
        </is>
      </c>
      <c r="B231" s="3" t="inlineStr">
        <is>
          <t>sourceLinks</t>
        </is>
      </c>
      <c r="C231" s="3" t="n">
        <v>2</v>
      </c>
      <c r="D231" s="3" t="inlineStr">
        <is>
          <t>p. 13</t>
        </is>
      </c>
      <c r="E231" s="3" t="inlineStr">
        <is>
          <t>../../2019/jama.2019.2210/joi190023supp2_prod.pdf#page=13</t>
        </is>
      </c>
    </row>
    <row r="232" ht="30" customHeight="1">
      <c r="A232" s="2" t="inlineStr">
        <is>
          <t>2019::jama.2019.2210::C001</t>
        </is>
      </c>
      <c r="B232" s="2" t="inlineStr">
        <is>
          <t>sourceLinks</t>
        </is>
      </c>
      <c r="C232" s="2" t="n">
        <v>3</v>
      </c>
      <c r="D232" s="2" t="inlineStr">
        <is>
          <t>p. 27</t>
        </is>
      </c>
      <c r="E232" s="2" t="inlineStr">
        <is>
          <t>../../2019/jama.2019.2210/joi190023supp2_prod.pdf#page=27</t>
        </is>
      </c>
    </row>
    <row r="233" ht="40" customHeight="1">
      <c r="A233" s="3" t="inlineStr">
        <is>
          <t>2019::jama.2019.2210::C001</t>
        </is>
      </c>
      <c r="B233" s="3" t="inlineStr">
        <is>
          <t>evidencePaths</t>
        </is>
      </c>
      <c r="C233" s="3" t="n">
        <v>0</v>
      </c>
      <c r="D233" s="3" t="inlineStr">
        <is>
          <t>2019/jama.2019.2210/.ai_paper_validation/review_1_5_1/source_inventory.md</t>
        </is>
      </c>
      <c r="E233" s="3" t="inlineStr">
        <is>
          <t>../../2019/jama.2019.2210/.ai_paper_validation/review_1_5_1/source_inventory.md</t>
        </is>
      </c>
    </row>
    <row r="234" ht="30" customHeight="1">
      <c r="A234" s="2" t="inlineStr">
        <is>
          <t>2019::jama.2019.2210::C002</t>
        </is>
      </c>
      <c r="B234" s="2" t="inlineStr">
        <is>
          <t>sourceLinks</t>
        </is>
      </c>
      <c r="C234" s="2" t="n">
        <v>0</v>
      </c>
      <c r="D234" s="2" t="inlineStr">
        <is>
          <t>main article — PDF p. 7</t>
        </is>
      </c>
      <c r="E234" s="2" t="inlineStr">
        <is>
          <t>../../2019/jama.2019.2210/jama_urashima_2019_oi_190023.pdf#page=7</t>
        </is>
      </c>
    </row>
    <row r="235" ht="40" customHeight="1">
      <c r="A235" s="3" t="inlineStr">
        <is>
          <t>2019::jama.2019.2210::C002</t>
        </is>
      </c>
      <c r="B235" s="3" t="inlineStr">
        <is>
          <t>evidencePaths</t>
        </is>
      </c>
      <c r="C235" s="3" t="n">
        <v>0</v>
      </c>
      <c r="D235" s="3" t="inlineStr">
        <is>
          <t>2019/jama.2019.2210/.ai_paper_validation/review_1_5_1/source_inventory.md</t>
        </is>
      </c>
      <c r="E235" s="3" t="inlineStr">
        <is>
          <t>../../2019/jama.2019.2210/.ai_paper_validation/review_1_5_1/source_inventory.md</t>
        </is>
      </c>
    </row>
    <row r="236" ht="30" customHeight="1">
      <c r="A236" s="2" t="inlineStr">
        <is>
          <t>2019::jama.2019.2210::C003</t>
        </is>
      </c>
      <c r="B236" s="2" t="inlineStr">
        <is>
          <t>sourceLinks</t>
        </is>
      </c>
      <c r="C236" s="2" t="n">
        <v>0</v>
      </c>
      <c r="D236" s="2" t="inlineStr">
        <is>
          <t>Supplement 1 — PDF p. 18</t>
        </is>
      </c>
      <c r="E236" s="2" t="inlineStr">
        <is>
          <t>../../2019/jama.2019.2210/joi190023supp1_prod.pdf#page=18</t>
        </is>
      </c>
    </row>
    <row r="237" ht="30" customHeight="1">
      <c r="A237" s="3" t="inlineStr">
        <is>
          <t>2019::jama.2019.2210::C003</t>
        </is>
      </c>
      <c r="B237" s="3" t="inlineStr">
        <is>
          <t>sourceLinks</t>
        </is>
      </c>
      <c r="C237" s="3" t="n">
        <v>1</v>
      </c>
      <c r="D237" s="3" t="inlineStr">
        <is>
          <t>Supplement 1 — PDF p. 31</t>
        </is>
      </c>
      <c r="E237" s="3" t="inlineStr">
        <is>
          <t>../../2019/jama.2019.2210/joi190023supp1_prod.pdf#page=31</t>
        </is>
      </c>
    </row>
    <row r="238" ht="40" customHeight="1">
      <c r="A238" s="2" t="inlineStr">
        <is>
          <t>2019::jama.2019.2210::C003</t>
        </is>
      </c>
      <c r="B238" s="2" t="inlineStr">
        <is>
          <t>evidencePaths</t>
        </is>
      </c>
      <c r="C238" s="2" t="n">
        <v>0</v>
      </c>
      <c r="D238" s="2" t="inlineStr">
        <is>
          <t>2019/jama.2019.2210/.ai_paper_validation/review_1_5_1/source_inventory.md</t>
        </is>
      </c>
      <c r="E238" s="2" t="inlineStr">
        <is>
          <t>../../2019/jama.2019.2210/.ai_paper_validation/review_1_5_1/source_inventory.md</t>
        </is>
      </c>
    </row>
    <row r="239" ht="30" customHeight="1">
      <c r="A239" s="3" t="inlineStr">
        <is>
          <t>2019::jama.2019.2210::C004</t>
        </is>
      </c>
      <c r="B239" s="3" t="inlineStr">
        <is>
          <t>sourceLinks</t>
        </is>
      </c>
      <c r="C239" s="3" t="n">
        <v>0</v>
      </c>
      <c r="D239" s="3" t="inlineStr">
        <is>
          <t>Supplement 1 — PDF p. 19</t>
        </is>
      </c>
      <c r="E239" s="3" t="inlineStr">
        <is>
          <t>../../2019/jama.2019.2210/joi190023supp1_prod.pdf#page=19</t>
        </is>
      </c>
    </row>
    <row r="240" ht="30" customHeight="1">
      <c r="A240" s="2" t="inlineStr">
        <is>
          <t>2019::jama.2019.2210::C004</t>
        </is>
      </c>
      <c r="B240" s="2" t="inlineStr">
        <is>
          <t>sourceLinks</t>
        </is>
      </c>
      <c r="C240" s="2" t="n">
        <v>1</v>
      </c>
      <c r="D240" s="2" t="inlineStr">
        <is>
          <t>p. 25</t>
        </is>
      </c>
      <c r="E240" s="2" t="inlineStr">
        <is>
          <t>../../2019/jama.2019.2210/joi190023supp1_prod.pdf#page=25</t>
        </is>
      </c>
    </row>
    <row r="241" ht="30" customHeight="1">
      <c r="A241" s="3" t="inlineStr">
        <is>
          <t>2019::jama.2019.2210::C004</t>
        </is>
      </c>
      <c r="B241" s="3" t="inlineStr">
        <is>
          <t>sourceLinks</t>
        </is>
      </c>
      <c r="C241" s="3" t="n">
        <v>2</v>
      </c>
      <c r="D241" s="3" t="inlineStr">
        <is>
          <t>p. 26</t>
        </is>
      </c>
      <c r="E241" s="3" t="inlineStr">
        <is>
          <t>../../2019/jama.2019.2210/joi190023supp1_prod.pdf#page=26</t>
        </is>
      </c>
    </row>
    <row r="242" ht="30" customHeight="1">
      <c r="A242" s="2" t="inlineStr">
        <is>
          <t>2019::jama.2019.2210::C004</t>
        </is>
      </c>
      <c r="B242" s="2" t="inlineStr">
        <is>
          <t>sourceLinks</t>
        </is>
      </c>
      <c r="C242" s="2" t="n">
        <v>3</v>
      </c>
      <c r="D242" s="2" t="inlineStr">
        <is>
          <t>p. 45</t>
        </is>
      </c>
      <c r="E242" s="2" t="inlineStr">
        <is>
          <t>../../2019/jama.2019.2210/joi190023supp1_prod.pdf#page=45</t>
        </is>
      </c>
    </row>
    <row r="243" ht="30" customHeight="1">
      <c r="A243" s="3" t="inlineStr">
        <is>
          <t>2019::jama.2019.2210::C004</t>
        </is>
      </c>
      <c r="B243" s="3" t="inlineStr">
        <is>
          <t>sourceLinks</t>
        </is>
      </c>
      <c r="C243" s="3" t="n">
        <v>4</v>
      </c>
      <c r="D243" s="3" t="inlineStr">
        <is>
          <t>main article — PDF p. 8</t>
        </is>
      </c>
      <c r="E243" s="3" t="inlineStr">
        <is>
          <t>../../2019/jama.2019.2210/jama_urashima_2019_oi_190023.pdf#page=8</t>
        </is>
      </c>
    </row>
    <row r="244" ht="40" customHeight="1">
      <c r="A244" s="2" t="inlineStr">
        <is>
          <t>2019::jama.2019.2210::C004</t>
        </is>
      </c>
      <c r="B244" s="2" t="inlineStr">
        <is>
          <t>evidencePaths</t>
        </is>
      </c>
      <c r="C244" s="2" t="n">
        <v>0</v>
      </c>
      <c r="D244" s="2" t="inlineStr">
        <is>
          <t>2019/jama.2019.2210/.ai_paper_validation/review_1_5_1/source_inventory.md</t>
        </is>
      </c>
      <c r="E244" s="2" t="inlineStr">
        <is>
          <t>../../2019/jama.2019.2210/.ai_paper_validation/review_1_5_1/source_inventory.md</t>
        </is>
      </c>
    </row>
    <row r="245" ht="40" customHeight="1">
      <c r="A245" s="3" t="inlineStr">
        <is>
          <t>2019::jama.2019.2210::C004</t>
        </is>
      </c>
      <c r="B245" s="3" t="inlineStr">
        <is>
          <t>evidencePaths</t>
        </is>
      </c>
      <c r="C245" s="3" t="n">
        <v>1</v>
      </c>
      <c r="D245" s="3" t="inlineStr">
        <is>
          <t>2019/jama.2019.2210/.ai_paper_validation/review_1_5_1/verification/evidence_recheck.md</t>
        </is>
      </c>
      <c r="E245" s="3" t="inlineStr">
        <is>
          <t>../../2019/jama.2019.2210/.ai_paper_validation/review_1_5_1/verification/evidence_recheck.md</t>
        </is>
      </c>
    </row>
    <row r="246" ht="40" customHeight="1">
      <c r="A246" s="2" t="inlineStr">
        <is>
          <t>2019::jama.2019.2210::C004</t>
        </is>
      </c>
      <c r="B246" s="2" t="inlineStr">
        <is>
          <t>evidencePaths</t>
        </is>
      </c>
      <c r="C246" s="2" t="n">
        <v>2</v>
      </c>
      <c r="D246" s="2" t="inlineStr">
        <is>
          <t>2019/jama.2019.2210/.ai_paper_validation/review_1_5_1/candidate_ledger.md</t>
        </is>
      </c>
      <c r="E246" s="2" t="inlineStr">
        <is>
          <t>../../2019/jama.2019.2210/.ai_paper_validation/review_1_5_1/candidate_ledger.md</t>
        </is>
      </c>
    </row>
    <row r="247" ht="30" customHeight="1">
      <c r="A247" s="3" t="inlineStr">
        <is>
          <t>2019::jama.2019.2210::C005</t>
        </is>
      </c>
      <c r="B247" s="3" t="inlineStr">
        <is>
          <t>sourceLinks</t>
        </is>
      </c>
      <c r="C247" s="3" t="n">
        <v>0</v>
      </c>
      <c r="D247" s="3" t="inlineStr">
        <is>
          <t>Supplement 1 — PDF p. 23</t>
        </is>
      </c>
      <c r="E247" s="3" t="inlineStr">
        <is>
          <t>../../2019/jama.2019.2210/joi190023supp1_prod.pdf#page=23</t>
        </is>
      </c>
    </row>
    <row r="248" ht="30" customHeight="1">
      <c r="A248" s="2" t="inlineStr">
        <is>
          <t>2019::jama.2019.2210::C005</t>
        </is>
      </c>
      <c r="B248" s="2" t="inlineStr">
        <is>
          <t>sourceLinks</t>
        </is>
      </c>
      <c r="C248" s="2" t="n">
        <v>1</v>
      </c>
      <c r="D248" s="2" t="inlineStr">
        <is>
          <t>p. 31</t>
        </is>
      </c>
      <c r="E248" s="2" t="inlineStr">
        <is>
          <t>../../2019/jama.2019.2210/joi190023supp1_prod.pdf#page=31</t>
        </is>
      </c>
    </row>
    <row r="249" ht="30" customHeight="1">
      <c r="A249" s="3" t="inlineStr">
        <is>
          <t>2019::jama.2019.2210::C005</t>
        </is>
      </c>
      <c r="B249" s="3" t="inlineStr">
        <is>
          <t>sourceLinks</t>
        </is>
      </c>
      <c r="C249" s="3" t="n">
        <v>2</v>
      </c>
      <c r="D249" s="3" t="inlineStr">
        <is>
          <t>main article — PDF p. 3</t>
        </is>
      </c>
      <c r="E249" s="3" t="inlineStr">
        <is>
          <t>../../2019/jama.2019.2210/jama_urashima_2019_oi_190023.pdf#page=3</t>
        </is>
      </c>
    </row>
    <row r="250" ht="40" customHeight="1">
      <c r="A250" s="2" t="inlineStr">
        <is>
          <t>2019::jama.2019.2210::C005</t>
        </is>
      </c>
      <c r="B250" s="2" t="inlineStr">
        <is>
          <t>evidencePaths</t>
        </is>
      </c>
      <c r="C250" s="2" t="n">
        <v>0</v>
      </c>
      <c r="D250" s="2" t="inlineStr">
        <is>
          <t>2019/jama.2019.2210/.ai_paper_validation/review_1_5_1/source_inventory.md</t>
        </is>
      </c>
      <c r="E250" s="2" t="inlineStr">
        <is>
          <t>../../2019/jama.2019.2210/.ai_paper_validation/review_1_5_1/source_inventory.md</t>
        </is>
      </c>
    </row>
    <row r="251" ht="40" customHeight="1">
      <c r="A251" s="3" t="inlineStr">
        <is>
          <t>2019::jama.2019.2210::C005</t>
        </is>
      </c>
      <c r="B251" s="3" t="inlineStr">
        <is>
          <t>evidencePaths</t>
        </is>
      </c>
      <c r="C251" s="3" t="n">
        <v>1</v>
      </c>
      <c r="D251" s="3" t="inlineStr">
        <is>
          <t>2019/jama.2019.2210/.ai_paper_validation/review_1_5_1/verification/evidence_recheck.md</t>
        </is>
      </c>
      <c r="E251" s="3" t="inlineStr">
        <is>
          <t>../../2019/jama.2019.2210/.ai_paper_validation/review_1_5_1/verification/evidence_recheck.md</t>
        </is>
      </c>
    </row>
    <row r="252" ht="30" customHeight="1">
      <c r="A252" s="2" t="inlineStr">
        <is>
          <t>2019::jama.2019.2210::C006</t>
        </is>
      </c>
      <c r="B252" s="2" t="inlineStr">
        <is>
          <t>sourceLinks</t>
        </is>
      </c>
      <c r="C252" s="2" t="n">
        <v>0</v>
      </c>
      <c r="D252" s="2" t="inlineStr">
        <is>
          <t>main article — PDF p. 5</t>
        </is>
      </c>
      <c r="E252" s="2" t="inlineStr">
        <is>
          <t>../../2019/jama.2019.2210/jama_urashima_2019_oi_190023.pdf#page=5</t>
        </is>
      </c>
    </row>
    <row r="253" ht="30" customHeight="1">
      <c r="A253" s="3" t="inlineStr">
        <is>
          <t>2019::jama.2019.2210::C006</t>
        </is>
      </c>
      <c r="B253" s="3" t="inlineStr">
        <is>
          <t>sourceLinks</t>
        </is>
      </c>
      <c r="C253" s="3" t="n">
        <v>1</v>
      </c>
      <c r="D253" s="3" t="inlineStr">
        <is>
          <t>Supplement 1 — PDF p. 27</t>
        </is>
      </c>
      <c r="E253" s="3" t="inlineStr">
        <is>
          <t>../../2019/jama.2019.2210/joi190023supp1_prod.pdf#page=27</t>
        </is>
      </c>
    </row>
    <row r="254" ht="30" customHeight="1">
      <c r="A254" s="2" t="inlineStr">
        <is>
          <t>2019::jama.2019.2210::C006</t>
        </is>
      </c>
      <c r="B254" s="2" t="inlineStr">
        <is>
          <t>sourceLinks</t>
        </is>
      </c>
      <c r="C254" s="2" t="n">
        <v>2</v>
      </c>
      <c r="D254" s="2" t="inlineStr">
        <is>
          <t>Supplement 2 — PDF p. 13</t>
        </is>
      </c>
      <c r="E254" s="2" t="inlineStr">
        <is>
          <t>../../2019/jama.2019.2210/joi190023supp2_prod.pdf#page=13</t>
        </is>
      </c>
    </row>
    <row r="255" ht="30" customHeight="1">
      <c r="A255" s="3" t="inlineStr">
        <is>
          <t>2019::jama.2019.2210::C006</t>
        </is>
      </c>
      <c r="B255" s="3" t="inlineStr">
        <is>
          <t>sourceLinks</t>
        </is>
      </c>
      <c r="C255" s="3" t="n">
        <v>3</v>
      </c>
      <c r="D255" s="3" t="inlineStr">
        <is>
          <t>p. 14</t>
        </is>
      </c>
      <c r="E255" s="3" t="inlineStr">
        <is>
          <t>../../2019/jama.2019.2210/joi190023supp2_prod.pdf#page=14</t>
        </is>
      </c>
    </row>
    <row r="256" ht="30" customHeight="1">
      <c r="A256" s="2" t="inlineStr">
        <is>
          <t>2019::jama.2019.2210::C006</t>
        </is>
      </c>
      <c r="B256" s="2" t="inlineStr">
        <is>
          <t>sourceLinks</t>
        </is>
      </c>
      <c r="C256" s="2" t="n">
        <v>4</v>
      </c>
      <c r="D256" s="2" t="inlineStr">
        <is>
          <t>p. 15</t>
        </is>
      </c>
      <c r="E256" s="2" t="inlineStr">
        <is>
          <t>../../2019/jama.2019.2210/joi190023supp2_prod.pdf#page=15</t>
        </is>
      </c>
    </row>
    <row r="257" ht="40" customHeight="1">
      <c r="A257" s="3" t="inlineStr">
        <is>
          <t>2019::jama.2019.2210::C006</t>
        </is>
      </c>
      <c r="B257" s="3" t="inlineStr">
        <is>
          <t>evidencePaths</t>
        </is>
      </c>
      <c r="C257" s="3" t="n">
        <v>0</v>
      </c>
      <c r="D257" s="3" t="inlineStr">
        <is>
          <t>2019/jama.2019.2210/.ai_paper_validation/review_1_5_1/source_inventory.md</t>
        </is>
      </c>
      <c r="E257" s="3" t="inlineStr">
        <is>
          <t>../../2019/jama.2019.2210/.ai_paper_validation/review_1_5_1/source_inventory.md</t>
        </is>
      </c>
    </row>
    <row r="258" ht="40" customHeight="1">
      <c r="A258" s="2" t="inlineStr">
        <is>
          <t>2019::jama.2019.2210::C006</t>
        </is>
      </c>
      <c r="B258" s="2" t="inlineStr">
        <is>
          <t>evidencePaths</t>
        </is>
      </c>
      <c r="C258" s="2" t="n">
        <v>1</v>
      </c>
      <c r="D258" s="2" t="inlineStr">
        <is>
          <t>2019/jama.2019.2210/.ai_paper_validation/review_1_5_1/verification/evidence_recheck.md</t>
        </is>
      </c>
      <c r="E258" s="2" t="inlineStr">
        <is>
          <t>../../2019/jama.2019.2210/.ai_paper_validation/review_1_5_1/verification/evidence_recheck.md</t>
        </is>
      </c>
    </row>
    <row r="259" ht="30" customHeight="1">
      <c r="A259" s="3" t="inlineStr">
        <is>
          <t>2019::jama.2019.2210::C007</t>
        </is>
      </c>
      <c r="B259" s="3" t="inlineStr">
        <is>
          <t>sourceLinks</t>
        </is>
      </c>
      <c r="C259" s="3" t="n">
        <v>0</v>
      </c>
      <c r="D259" s="3" t="inlineStr">
        <is>
          <t>main article — PDF p. 5</t>
        </is>
      </c>
      <c r="E259" s="3" t="inlineStr">
        <is>
          <t>../../2019/jama.2019.2210/jama_urashima_2019_oi_190023.pdf#page=5</t>
        </is>
      </c>
    </row>
    <row r="260" ht="30" customHeight="1">
      <c r="A260" s="2" t="inlineStr">
        <is>
          <t>2019::jama.2019.2210::C007</t>
        </is>
      </c>
      <c r="B260" s="2" t="inlineStr">
        <is>
          <t>sourceLinks</t>
        </is>
      </c>
      <c r="C260" s="2" t="n">
        <v>1</v>
      </c>
      <c r="D260" s="2" t="inlineStr">
        <is>
          <t>Supplement 2 — PDF p. 32</t>
        </is>
      </c>
      <c r="E260" s="2" t="inlineStr">
        <is>
          <t>../../2019/jama.2019.2210/joi190023supp2_prod.pdf#page=32</t>
        </is>
      </c>
    </row>
    <row r="261" ht="30" customHeight="1">
      <c r="A261" s="3" t="inlineStr">
        <is>
          <t>2019::jama.2019.2210::C007</t>
        </is>
      </c>
      <c r="B261" s="3" t="inlineStr">
        <is>
          <t>sourceLinks</t>
        </is>
      </c>
      <c r="C261" s="3" t="n">
        <v>2</v>
      </c>
      <c r="D261" s="3" t="inlineStr">
        <is>
          <t>p. 33</t>
        </is>
      </c>
      <c r="E261" s="3" t="inlineStr">
        <is>
          <t>../../2019/jama.2019.2210/joi190023supp2_prod.pdf#page=33</t>
        </is>
      </c>
    </row>
    <row r="262" ht="40" customHeight="1">
      <c r="A262" s="2" t="inlineStr">
        <is>
          <t>2019::jama.2019.2210::C007</t>
        </is>
      </c>
      <c r="B262" s="2" t="inlineStr">
        <is>
          <t>evidencePaths</t>
        </is>
      </c>
      <c r="C262" s="2" t="n">
        <v>0</v>
      </c>
      <c r="D262" s="2" t="inlineStr">
        <is>
          <t>2019/jama.2019.2210/.ai_paper_validation/review_1_5_1/source_inventory.md</t>
        </is>
      </c>
      <c r="E262" s="2" t="inlineStr">
        <is>
          <t>../../2019/jama.2019.2210/.ai_paper_validation/review_1_5_1/source_inventory.md</t>
        </is>
      </c>
    </row>
    <row r="263" ht="30" customHeight="1">
      <c r="A263" s="3" t="inlineStr">
        <is>
          <t>2019::jama.2019.2210::C008</t>
        </is>
      </c>
      <c r="B263" s="3" t="inlineStr">
        <is>
          <t>sourceLinks</t>
        </is>
      </c>
      <c r="C263" s="3" t="n">
        <v>0</v>
      </c>
      <c r="D263" s="3" t="inlineStr">
        <is>
          <t>main article — PDF p. 2</t>
        </is>
      </c>
      <c r="E263" s="3" t="inlineStr">
        <is>
          <t>../../2019/jama.2019.2210/jama_urashima_2019_oi_190023.pdf#page=2</t>
        </is>
      </c>
    </row>
    <row r="264" ht="30" customHeight="1">
      <c r="A264" s="2" t="inlineStr">
        <is>
          <t>2019::jama.2019.2210::C008</t>
        </is>
      </c>
      <c r="B264" s="2" t="inlineStr">
        <is>
          <t>sourceLinks</t>
        </is>
      </c>
      <c r="C264" s="2" t="n">
        <v>1</v>
      </c>
      <c r="D264" s="2" t="inlineStr">
        <is>
          <t>p. 6</t>
        </is>
      </c>
      <c r="E264" s="2" t="inlineStr">
        <is>
          <t>../../2019/jama.2019.2210/jama_urashima_2019_oi_190023.pdf#page=6</t>
        </is>
      </c>
    </row>
    <row r="265" ht="30" customHeight="1">
      <c r="A265" s="3" t="inlineStr">
        <is>
          <t>2019::jama.2019.2210::C008</t>
        </is>
      </c>
      <c r="B265" s="3" t="inlineStr">
        <is>
          <t>sourceLinks</t>
        </is>
      </c>
      <c r="C265" s="3" t="n">
        <v>2</v>
      </c>
      <c r="D265" s="3" t="inlineStr">
        <is>
          <t>Supplement 1 — PDF p. 25</t>
        </is>
      </c>
      <c r="E265" s="3" t="inlineStr">
        <is>
          <t>../../2019/jama.2019.2210/joi190023supp1_prod.pdf#page=25</t>
        </is>
      </c>
    </row>
    <row r="266" ht="30" customHeight="1">
      <c r="A266" s="2" t="inlineStr">
        <is>
          <t>2019::jama.2019.2210::C008</t>
        </is>
      </c>
      <c r="B266" s="2" t="inlineStr">
        <is>
          <t>sourceLinks</t>
        </is>
      </c>
      <c r="C266" s="2" t="n">
        <v>3</v>
      </c>
      <c r="D266" s="2" t="inlineStr">
        <is>
          <t>p. 29</t>
        </is>
      </c>
      <c r="E266" s="2" t="inlineStr">
        <is>
          <t>../../2019/jama.2019.2210/joi190023supp1_prod.pdf#page=29</t>
        </is>
      </c>
    </row>
    <row r="267" ht="30" customHeight="1">
      <c r="A267" s="3" t="inlineStr">
        <is>
          <t>2019::jama.2019.2210::C008</t>
        </is>
      </c>
      <c r="B267" s="3" t="inlineStr">
        <is>
          <t>sourceLinks</t>
        </is>
      </c>
      <c r="C267" s="3" t="n">
        <v>4</v>
      </c>
      <c r="D267" s="3" t="inlineStr">
        <is>
          <t>Supplement 2 — PDF p. 2</t>
        </is>
      </c>
      <c r="E267" s="3" t="inlineStr">
        <is>
          <t>../../2019/jama.2019.2210/joi190023supp2_prod.pdf#page=2</t>
        </is>
      </c>
    </row>
    <row r="268" ht="30" customHeight="1">
      <c r="A268" s="2" t="inlineStr">
        <is>
          <t>2019::jama.2019.2210::C008</t>
        </is>
      </c>
      <c r="B268" s="2" t="inlineStr">
        <is>
          <t>sourceLinks</t>
        </is>
      </c>
      <c r="C268" s="2" t="n">
        <v>5</v>
      </c>
      <c r="D268" s="2" t="inlineStr">
        <is>
          <t>p. 3</t>
        </is>
      </c>
      <c r="E268" s="2" t="inlineStr">
        <is>
          <t>../../2019/jama.2019.2210/joi190023supp2_prod.pdf#page=3</t>
        </is>
      </c>
    </row>
    <row r="269" ht="40" customHeight="1">
      <c r="A269" s="3" t="inlineStr">
        <is>
          <t>2019::jama.2019.2210::C008</t>
        </is>
      </c>
      <c r="B269" s="3" t="inlineStr">
        <is>
          <t>evidencePaths</t>
        </is>
      </c>
      <c r="C269" s="3" t="n">
        <v>0</v>
      </c>
      <c r="D269" s="3" t="inlineStr">
        <is>
          <t>2019/jama.2019.2210/.ai_paper_validation/review_1_5_1/source_inventory.md</t>
        </is>
      </c>
      <c r="E269" s="3" t="inlineStr">
        <is>
          <t>../../2019/jama.2019.2210/.ai_paper_validation/review_1_5_1/source_inventory.md</t>
        </is>
      </c>
    </row>
    <row r="270" ht="40" customHeight="1">
      <c r="A270" s="2" t="inlineStr">
        <is>
          <t>2019::jama.2019.2210::C008</t>
        </is>
      </c>
      <c r="B270" s="2" t="inlineStr">
        <is>
          <t>evidencePaths</t>
        </is>
      </c>
      <c r="C270" s="2" t="n">
        <v>1</v>
      </c>
      <c r="D270" s="2" t="inlineStr">
        <is>
          <t>2019/jama.2019.2210/.ai_paper_validation/review_1_5_1/verification/evidence_recheck.md</t>
        </is>
      </c>
      <c r="E270" s="2" t="inlineStr">
        <is>
          <t>../../2019/jama.2019.2210/.ai_paper_validation/review_1_5_1/verification/evidence_recheck.md</t>
        </is>
      </c>
    </row>
    <row r="271" ht="40" customHeight="1">
      <c r="A271" s="3" t="inlineStr">
        <is>
          <t>2019::jama.2019.2210::C008</t>
        </is>
      </c>
      <c r="B271" s="3" t="inlineStr">
        <is>
          <t>evidencePaths</t>
        </is>
      </c>
      <c r="C271" s="3" t="n">
        <v>2</v>
      </c>
      <c r="D271" s="3" t="inlineStr">
        <is>
          <t>2019/jama.2019.2210/.ai_paper_validation/review_1_5_1/candidate_ledger.md</t>
        </is>
      </c>
      <c r="E271" s="3" t="inlineStr">
        <is>
          <t>../../2019/jama.2019.2210/.ai_paper_validation/review_1_5_1/candidate_ledger.md</t>
        </is>
      </c>
    </row>
    <row r="272" ht="30" customHeight="1">
      <c r="A272" s="2" t="inlineStr">
        <is>
          <t>2019::jama.2019.2210::C009</t>
        </is>
      </c>
      <c r="B272" s="2" t="inlineStr">
        <is>
          <t>sourceLinks</t>
        </is>
      </c>
      <c r="C272" s="2" t="n">
        <v>0</v>
      </c>
      <c r="D272" s="2" t="inlineStr">
        <is>
          <t>main article — PDF p. 4</t>
        </is>
      </c>
      <c r="E272" s="2" t="inlineStr">
        <is>
          <t>../../2019/jama.2019.2210/jama_urashima_2019_oi_190023.pdf#page=4</t>
        </is>
      </c>
    </row>
    <row r="273" ht="30" customHeight="1">
      <c r="A273" s="3" t="inlineStr">
        <is>
          <t>2019::jama.2019.2210::C009</t>
        </is>
      </c>
      <c r="B273" s="3" t="inlineStr">
        <is>
          <t>sourceLinks</t>
        </is>
      </c>
      <c r="C273" s="3" t="n">
        <v>1</v>
      </c>
      <c r="D273" s="3" t="inlineStr">
        <is>
          <t>p. 6</t>
        </is>
      </c>
      <c r="E273" s="3" t="inlineStr">
        <is>
          <t>../../2019/jama.2019.2210/jama_urashima_2019_oi_190023.pdf#page=6</t>
        </is>
      </c>
    </row>
    <row r="274" ht="30" customHeight="1">
      <c r="A274" s="2" t="inlineStr">
        <is>
          <t>2019::jama.2019.2210::C009</t>
        </is>
      </c>
      <c r="B274" s="2" t="inlineStr">
        <is>
          <t>sourceLinks</t>
        </is>
      </c>
      <c r="C274" s="2" t="n">
        <v>2</v>
      </c>
      <c r="D274" s="2" t="inlineStr">
        <is>
          <t>p. 7</t>
        </is>
      </c>
      <c r="E274" s="2" t="inlineStr">
        <is>
          <t>../../2019/jama.2019.2210/jama_urashima_2019_oi_190023.pdf#page=7</t>
        </is>
      </c>
    </row>
    <row r="275" ht="40" customHeight="1">
      <c r="A275" s="3" t="inlineStr">
        <is>
          <t>2019::jama.2019.2210::C009</t>
        </is>
      </c>
      <c r="B275" s="3" t="inlineStr">
        <is>
          <t>evidencePaths</t>
        </is>
      </c>
      <c r="C275" s="3" t="n">
        <v>0</v>
      </c>
      <c r="D275" s="3" t="inlineStr">
        <is>
          <t>2019/jama.2019.2210/.ai_paper_validation/review_1_5_1/source_inventory.md</t>
        </is>
      </c>
      <c r="E275" s="3" t="inlineStr">
        <is>
          <t>../../2019/jama.2019.2210/.ai_paper_validation/review_1_5_1/source_inventory.md</t>
        </is>
      </c>
    </row>
    <row r="276" ht="30" customHeight="1">
      <c r="A276" s="2" t="inlineStr">
        <is>
          <t>2019::jama.2019.4755::C001</t>
        </is>
      </c>
      <c r="B276" s="2" t="inlineStr">
        <is>
          <t>sourceLinks</t>
        </is>
      </c>
      <c r="C276" s="2" t="n">
        <v>0</v>
      </c>
      <c r="D276" s="2" t="inlineStr">
        <is>
          <t>joi190039supp3_prod.pdf — PDF p. 7</t>
        </is>
      </c>
      <c r="E276" s="2" t="inlineStr">
        <is>
          <t>../../2019/jama.2019.4755/joi190039supp3_prod.pdf#page=7</t>
        </is>
      </c>
    </row>
    <row r="277" ht="30" customHeight="1">
      <c r="A277" s="3" t="inlineStr">
        <is>
          <t>2019::jama.2019.4755::C001</t>
        </is>
      </c>
      <c r="B277" s="3" t="inlineStr">
        <is>
          <t>sourceLinks</t>
        </is>
      </c>
      <c r="C277" s="3" t="n">
        <v>1</v>
      </c>
      <c r="D277" s="3" t="inlineStr">
        <is>
          <t>joi190039supp3_prod.pdf — PDF p. 6</t>
        </is>
      </c>
      <c r="E277" s="3" t="inlineStr">
        <is>
          <t>../../2019/jama.2019.4755/joi190039supp3_prod.pdf#page=6</t>
        </is>
      </c>
    </row>
    <row r="278" ht="40" customHeight="1">
      <c r="A278" s="2" t="inlineStr">
        <is>
          <t>2019::jama.2019.4755::C001</t>
        </is>
      </c>
      <c r="B278" s="2" t="inlineStr">
        <is>
          <t>evidencePaths</t>
        </is>
      </c>
      <c r="C278" s="2" t="n">
        <v>0</v>
      </c>
      <c r="D278" s="2" t="inlineStr">
        <is>
          <t>2019/jama.2019.4755/.ai_paper_validation/review_1_5_1/source_inventory.md</t>
        </is>
      </c>
      <c r="E278" s="2" t="inlineStr">
        <is>
          <t>../../2019/jama.2019.4755/.ai_paper_validation/review_1_5_1/source_inventory.md</t>
        </is>
      </c>
    </row>
    <row r="279" ht="30" customHeight="1">
      <c r="A279" s="3" t="inlineStr">
        <is>
          <t>2019::jama.2019.4755::C002</t>
        </is>
      </c>
      <c r="B279" s="3" t="inlineStr">
        <is>
          <t>sourceLinks</t>
        </is>
      </c>
      <c r="C279" s="3" t="n">
        <v>0</v>
      </c>
      <c r="D279" s="3" t="inlineStr">
        <is>
          <t>joi190039supp3_prod.pdf — PDF p. 7</t>
        </is>
      </c>
      <c r="E279" s="3" t="inlineStr">
        <is>
          <t>../../2019/jama.2019.4755/joi190039supp3_prod.pdf#page=7</t>
        </is>
      </c>
    </row>
    <row r="280" ht="30" customHeight="1">
      <c r="A280" s="2" t="inlineStr">
        <is>
          <t>2019::jama.2019.4755::C002</t>
        </is>
      </c>
      <c r="B280" s="2" t="inlineStr">
        <is>
          <t>sourceLinks</t>
        </is>
      </c>
      <c r="C280" s="2" t="n">
        <v>1</v>
      </c>
      <c r="D280" s="2" t="inlineStr">
        <is>
          <t>joi190039supp3_prod.pdf — PDF p. 6</t>
        </is>
      </c>
      <c r="E280" s="2" t="inlineStr">
        <is>
          <t>../../2019/jama.2019.4755/joi190039supp3_prod.pdf#page=6</t>
        </is>
      </c>
    </row>
    <row r="281" ht="40" customHeight="1">
      <c r="A281" s="3" t="inlineStr">
        <is>
          <t>2019::jama.2019.4755::C002</t>
        </is>
      </c>
      <c r="B281" s="3" t="inlineStr">
        <is>
          <t>evidencePaths</t>
        </is>
      </c>
      <c r="C281" s="3" t="n">
        <v>0</v>
      </c>
      <c r="D281" s="3" t="inlineStr">
        <is>
          <t>2019/jama.2019.4755/.ai_paper_validation/review_1_5_1/source_inventory.md</t>
        </is>
      </c>
      <c r="E281" s="3" t="inlineStr">
        <is>
          <t>../../2019/jama.2019.4755/.ai_paper_validation/review_1_5_1/source_inventory.md</t>
        </is>
      </c>
    </row>
    <row r="282" ht="30" customHeight="1">
      <c r="A282" s="2" t="inlineStr">
        <is>
          <t>2019::jama.2019.4755::C003</t>
        </is>
      </c>
      <c r="B282" s="2" t="inlineStr">
        <is>
          <t>sourceLinks</t>
        </is>
      </c>
      <c r="C282" s="2" t="n">
        <v>0</v>
      </c>
      <c r="D282" s="2" t="inlineStr">
        <is>
          <t>joi190039supp3_prod.pdf — PDF p. 7</t>
        </is>
      </c>
      <c r="E282" s="2" t="inlineStr">
        <is>
          <t>../../2019/jama.2019.4755/joi190039supp3_prod.pdf#page=7</t>
        </is>
      </c>
    </row>
    <row r="283" ht="30" customHeight="1">
      <c r="A283" s="3" t="inlineStr">
        <is>
          <t>2019::jama.2019.4755::C003</t>
        </is>
      </c>
      <c r="B283" s="3" t="inlineStr">
        <is>
          <t>sourceLinks</t>
        </is>
      </c>
      <c r="C283" s="3" t="n">
        <v>1</v>
      </c>
      <c r="D283" s="3" t="inlineStr">
        <is>
          <t>joi190039supp3_prod.pdf — PDF p. 6</t>
        </is>
      </c>
      <c r="E283" s="3" t="inlineStr">
        <is>
          <t>../../2019/jama.2019.4755/joi190039supp3_prod.pdf#page=6</t>
        </is>
      </c>
    </row>
    <row r="284" ht="40" customHeight="1">
      <c r="A284" s="2" t="inlineStr">
        <is>
          <t>2019::jama.2019.4755::C003</t>
        </is>
      </c>
      <c r="B284" s="2" t="inlineStr">
        <is>
          <t>evidencePaths</t>
        </is>
      </c>
      <c r="C284" s="2" t="n">
        <v>0</v>
      </c>
      <c r="D284" s="2" t="inlineStr">
        <is>
          <t>2019/jama.2019.4755/.ai_paper_validation/review_1_5_1/source_inventory.md</t>
        </is>
      </c>
      <c r="E284" s="2" t="inlineStr">
        <is>
          <t>../../2019/jama.2019.4755/.ai_paper_validation/review_1_5_1/source_inventory.md</t>
        </is>
      </c>
    </row>
    <row r="285" ht="30" customHeight="1">
      <c r="A285" s="3" t="inlineStr">
        <is>
          <t>2019::jama.2019.4755::C004</t>
        </is>
      </c>
      <c r="B285" s="3" t="inlineStr">
        <is>
          <t>sourceLinks</t>
        </is>
      </c>
      <c r="C285" s="3" t="n">
        <v>0</v>
      </c>
      <c r="D285" s="3" t="inlineStr">
        <is>
          <t>joi190039supp3_prod.pdf — PDF p. 7</t>
        </is>
      </c>
      <c r="E285" s="3" t="inlineStr">
        <is>
          <t>../../2019/jama.2019.4755/joi190039supp3_prod.pdf#page=7</t>
        </is>
      </c>
    </row>
    <row r="286" ht="30" customHeight="1">
      <c r="A286" s="2" t="inlineStr">
        <is>
          <t>2019::jama.2019.4755::C004</t>
        </is>
      </c>
      <c r="B286" s="2" t="inlineStr">
        <is>
          <t>sourceLinks</t>
        </is>
      </c>
      <c r="C286" s="2" t="n">
        <v>1</v>
      </c>
      <c r="D286" s="2" t="inlineStr">
        <is>
          <t>joi190039supp3_prod.pdf — PDF p. 6</t>
        </is>
      </c>
      <c r="E286" s="2" t="inlineStr">
        <is>
          <t>../../2019/jama.2019.4755/joi190039supp3_prod.pdf#page=6</t>
        </is>
      </c>
    </row>
    <row r="287" ht="30" customHeight="1">
      <c r="A287" s="3" t="inlineStr">
        <is>
          <t>2019::jama.2019.4755::C004</t>
        </is>
      </c>
      <c r="B287" s="3" t="inlineStr">
        <is>
          <t>sourceLinks</t>
        </is>
      </c>
      <c r="C287" s="3" t="n">
        <v>2</v>
      </c>
      <c r="D287" s="3" t="inlineStr">
        <is>
          <t>jama_brenner_2019_oi_190039.pdf — PDF p. 5</t>
        </is>
      </c>
      <c r="E287" s="3" t="inlineStr">
        <is>
          <t>../../2019/jama.2019.4755/jama_brenner_2019_oi_190039.pdf#page=5</t>
        </is>
      </c>
    </row>
    <row r="288" ht="40" customHeight="1">
      <c r="A288" s="2" t="inlineStr">
        <is>
          <t>2019::jama.2019.4755::C004</t>
        </is>
      </c>
      <c r="B288" s="2" t="inlineStr">
        <is>
          <t>evidencePaths</t>
        </is>
      </c>
      <c r="C288" s="2" t="n">
        <v>0</v>
      </c>
      <c r="D288" s="2" t="inlineStr">
        <is>
          <t>2019/jama.2019.4755/.ai_paper_validation/review_1_5_1/source_inventory.md</t>
        </is>
      </c>
      <c r="E288" s="2" t="inlineStr">
        <is>
          <t>../../2019/jama.2019.4755/.ai_paper_validation/review_1_5_1/source_inventory.md</t>
        </is>
      </c>
    </row>
    <row r="289" ht="40" customHeight="1">
      <c r="A289" s="3" t="inlineStr">
        <is>
          <t>2019::jama.2019.4755::C004</t>
        </is>
      </c>
      <c r="B289" s="3" t="inlineStr">
        <is>
          <t>evidencePaths</t>
        </is>
      </c>
      <c r="C289" s="3" t="n">
        <v>1</v>
      </c>
      <c r="D289" s="3" t="inlineStr">
        <is>
          <t>2019/jama.2019.4755/.ai_paper_validation/review_1_5_1/verification/evidence_recheck.md</t>
        </is>
      </c>
      <c r="E289" s="3" t="inlineStr">
        <is>
          <t>../../2019/jama.2019.4755/.ai_paper_validation/review_1_5_1/verification/evidence_recheck.md</t>
        </is>
      </c>
    </row>
    <row r="290" ht="30" customHeight="1">
      <c r="A290" s="2" t="inlineStr">
        <is>
          <t>2019::jama.2019.4755::C005</t>
        </is>
      </c>
      <c r="B290" s="2" t="inlineStr">
        <is>
          <t>sourceLinks</t>
        </is>
      </c>
      <c r="C290" s="2" t="n">
        <v>0</v>
      </c>
      <c r="D290" s="2" t="inlineStr">
        <is>
          <t>joi190039supp2_prod.pdf — PDF p. 6</t>
        </is>
      </c>
      <c r="E290" s="2" t="inlineStr">
        <is>
          <t>../../2019/jama.2019.4755/joi190039supp2_prod.pdf#page=6</t>
        </is>
      </c>
    </row>
    <row r="291" ht="30" customHeight="1">
      <c r="A291" s="3" t="inlineStr">
        <is>
          <t>2019::jama.2019.4755::C005</t>
        </is>
      </c>
      <c r="B291" s="3" t="inlineStr">
        <is>
          <t>sourceLinks</t>
        </is>
      </c>
      <c r="C291" s="3" t="n">
        <v>1</v>
      </c>
      <c r="D291" s="3" t="inlineStr">
        <is>
          <t>joi190039supp2_prod.pdf — PDF p. 8</t>
        </is>
      </c>
      <c r="E291" s="3" t="inlineStr">
        <is>
          <t>../../2019/jama.2019.4755/joi190039supp2_prod.pdf#page=8</t>
        </is>
      </c>
    </row>
    <row r="292" ht="30" customHeight="1">
      <c r="A292" s="2" t="inlineStr">
        <is>
          <t>2019::jama.2019.4755::C005</t>
        </is>
      </c>
      <c r="B292" s="2" t="inlineStr">
        <is>
          <t>sourceLinks</t>
        </is>
      </c>
      <c r="C292" s="2" t="n">
        <v>2</v>
      </c>
      <c r="D292" s="2" t="inlineStr">
        <is>
          <t>jama_brenner_2019_oi_190039.pdf — PDF p. 1</t>
        </is>
      </c>
      <c r="E292" s="2" t="inlineStr">
        <is>
          <t>../../2019/jama.2019.4755/jama_brenner_2019_oi_190039.pdf#page=1</t>
        </is>
      </c>
    </row>
    <row r="293" ht="30" customHeight="1">
      <c r="A293" s="3" t="inlineStr">
        <is>
          <t>2019::jama.2019.4755::C005</t>
        </is>
      </c>
      <c r="B293" s="3" t="inlineStr">
        <is>
          <t>sourceLinks</t>
        </is>
      </c>
      <c r="C293" s="3" t="n">
        <v>3</v>
      </c>
      <c r="D293" s="3" t="inlineStr">
        <is>
          <t>jama_brenner_2019_oi_190039.pdf — PDF p. 5</t>
        </is>
      </c>
      <c r="E293" s="3" t="inlineStr">
        <is>
          <t>../../2019/jama.2019.4755/jama_brenner_2019_oi_190039.pdf#page=5</t>
        </is>
      </c>
    </row>
    <row r="294" ht="40" customHeight="1">
      <c r="A294" s="2" t="inlineStr">
        <is>
          <t>2019::jama.2019.4755::C005</t>
        </is>
      </c>
      <c r="B294" s="2" t="inlineStr">
        <is>
          <t>evidencePaths</t>
        </is>
      </c>
      <c r="C294" s="2" t="n">
        <v>0</v>
      </c>
      <c r="D294" s="2" t="inlineStr">
        <is>
          <t>2019/jama.2019.4755/.ai_paper_validation/review_1_5_1/source_inventory.md</t>
        </is>
      </c>
      <c r="E294" s="2" t="inlineStr">
        <is>
          <t>../../2019/jama.2019.4755/.ai_paper_validation/review_1_5_1/source_inventory.md</t>
        </is>
      </c>
    </row>
    <row r="295" ht="40" customHeight="1">
      <c r="A295" s="3" t="inlineStr">
        <is>
          <t>2019::jama.2019.4755::C005</t>
        </is>
      </c>
      <c r="B295" s="3" t="inlineStr">
        <is>
          <t>evidencePaths</t>
        </is>
      </c>
      <c r="C295" s="3" t="n">
        <v>1</v>
      </c>
      <c r="D295" s="3" t="inlineStr">
        <is>
          <t>2019/jama.2019.4755/.ai_paper_validation/review_1_5_1/verification/evidence_recheck.md</t>
        </is>
      </c>
      <c r="E295" s="3" t="inlineStr">
        <is>
          <t>../../2019/jama.2019.4755/.ai_paper_validation/review_1_5_1/verification/evidence_recheck.md</t>
        </is>
      </c>
    </row>
    <row r="296" ht="30" customHeight="1">
      <c r="A296" s="2" t="inlineStr">
        <is>
          <t>2019::jama.2019.7505::C001</t>
        </is>
      </c>
      <c r="B296" s="2" t="inlineStr">
        <is>
          <t>sourceLinks</t>
        </is>
      </c>
      <c r="C296" s="2" t="n">
        <v>0</v>
      </c>
      <c r="D296" s="2" t="inlineStr">
        <is>
          <t>jama_bluth_2019_oi_190055_16092.pdf — PDF p. 1, abstract</t>
        </is>
      </c>
      <c r="E296" s="2" t="inlineStr">
        <is>
          <t>../../2019/jama.2019.7505/jama_bluth_2019_oi_190055_16092.pdf#page=1</t>
        </is>
      </c>
    </row>
    <row r="297" ht="30" customHeight="1">
      <c r="A297" s="3" t="inlineStr">
        <is>
          <t>2019::jama.2019.7505::C001</t>
        </is>
      </c>
      <c r="B297" s="3" t="inlineStr">
        <is>
          <t>sourceLinks</t>
        </is>
      </c>
      <c r="C297" s="3" t="n">
        <v>1</v>
      </c>
      <c r="D297" s="3" t="inlineStr">
        <is>
          <t>PDF p. 9, Table 3</t>
        </is>
      </c>
      <c r="E297" s="3" t="inlineStr">
        <is>
          <t>../../2019/jama.2019.7505/jama_bluth_2019_oi_190055_16092.pdf#page=9</t>
        </is>
      </c>
    </row>
    <row r="298" ht="40" customHeight="1">
      <c r="A298" s="2" t="inlineStr">
        <is>
          <t>2019::jama.2019.7505::C001</t>
        </is>
      </c>
      <c r="B298" s="2" t="inlineStr">
        <is>
          <t>evidencePaths</t>
        </is>
      </c>
      <c r="C298" s="2" t="n">
        <v>0</v>
      </c>
      <c r="D298" s="2" t="inlineStr">
        <is>
          <t>2019/jama.2019.7505/.ai_paper_validation/review_1_5_2/source_inventory.md</t>
        </is>
      </c>
      <c r="E298" s="2" t="inlineStr">
        <is>
          <t>../../2019/jama.2019.7505/.ai_paper_validation/review_1_5_2/source_inventory.md</t>
        </is>
      </c>
    </row>
    <row r="299" ht="30" customHeight="1">
      <c r="A299" s="3" t="inlineStr">
        <is>
          <t>2019::jama.2019.7505::C002</t>
        </is>
      </c>
      <c r="B299" s="3" t="inlineStr">
        <is>
          <t>sourceLinks</t>
        </is>
      </c>
      <c r="C299" s="3" t="n">
        <v>0</v>
      </c>
      <c r="D299" s="3" t="inlineStr">
        <is>
          <t>jama_bluth_2019_oi_190055_16092.pdf — PDF p. 9, Table 3</t>
        </is>
      </c>
      <c r="E299" s="3" t="inlineStr">
        <is>
          <t>../../2019/jama.2019.7505/jama_bluth_2019_oi_190055_16092.pdf#page=9</t>
        </is>
      </c>
    </row>
    <row r="300" ht="30" customHeight="1">
      <c r="A300" s="2" t="inlineStr">
        <is>
          <t>2019::jama.2019.7505::C002</t>
        </is>
      </c>
      <c r="B300" s="2" t="inlineStr">
        <is>
          <t>sourceLinks</t>
        </is>
      </c>
      <c r="C300" s="2" t="n">
        <v>1</v>
      </c>
      <c r="D300" s="2" t="inlineStr">
        <is>
          <t>PDF p. 10, continued Table 3 footnotes</t>
        </is>
      </c>
      <c r="E300" s="2" t="inlineStr">
        <is>
          <t>../../2019/jama.2019.7505/jama_bluth_2019_oi_190055_16092.pdf#page=10</t>
        </is>
      </c>
    </row>
    <row r="301" ht="30" customHeight="1">
      <c r="A301" s="3" t="inlineStr">
        <is>
          <t>2019::jama.2019.7505::C002</t>
        </is>
      </c>
      <c r="B301" s="3" t="inlineStr">
        <is>
          <t>sourceLinks</t>
        </is>
      </c>
      <c r="C301" s="3" t="n">
        <v>2</v>
      </c>
      <c r="D301" s="3" t="inlineStr">
        <is>
          <t>PDF p. 4, binary-outcome method</t>
        </is>
      </c>
      <c r="E301" s="3" t="inlineStr">
        <is>
          <t>../../2019/jama.2019.7505/jama_bluth_2019_oi_190055_16092.pdf#page=4</t>
        </is>
      </c>
    </row>
    <row r="302" ht="40" customHeight="1">
      <c r="A302" s="2" t="inlineStr">
        <is>
          <t>2019::jama.2019.7505::C002</t>
        </is>
      </c>
      <c r="B302" s="2" t="inlineStr">
        <is>
          <t>evidencePaths</t>
        </is>
      </c>
      <c r="C302" s="2" t="n">
        <v>0</v>
      </c>
      <c r="D302" s="2" t="inlineStr">
        <is>
          <t>2019/jama.2019.7505/.ai_paper_validation/review_1_5_2/source_inventory.md</t>
        </is>
      </c>
      <c r="E302" s="2" t="inlineStr">
        <is>
          <t>../../2019/jama.2019.7505/.ai_paper_validation/review_1_5_2/source_inventory.md</t>
        </is>
      </c>
    </row>
    <row r="303" ht="40" customHeight="1">
      <c r="A303" s="3" t="inlineStr">
        <is>
          <t>2019::jama.2019.7505::C003</t>
        </is>
      </c>
      <c r="B303" s="3" t="inlineStr">
        <is>
          <t>sourceLinks</t>
        </is>
      </c>
      <c r="C303" s="3" t="n">
        <v>0</v>
      </c>
      <c r="D303" s="3" t="inlineStr">
        <is>
          <t>joi190055supp1_prod_16092.pdf — physical PDF p. 23 (footer p. 22), section 8.2 Analysis</t>
        </is>
      </c>
      <c r="E303" s="3" t="inlineStr">
        <is>
          <t>../../2019/jama.2019.7505/joi190055supp1_prod_16092.pdf#page=23</t>
        </is>
      </c>
    </row>
    <row r="304" ht="30" customHeight="1">
      <c r="A304" s="2" t="inlineStr">
        <is>
          <t>2019::jama.2019.7505::C003</t>
        </is>
      </c>
      <c r="B304" s="2" t="inlineStr">
        <is>
          <t>sourceLinks</t>
        </is>
      </c>
      <c r="C304" s="2" t="n">
        <v>1</v>
      </c>
      <c r="D304" s="2" t="inlineStr">
        <is>
          <t>joi190055supp3_prod_16092.pdf — PDF p. 2</t>
        </is>
      </c>
      <c r="E304" s="2" t="inlineStr">
        <is>
          <t>../../2019/jama.2019.7505/joi190055supp3_prod_16092.pdf#page=2</t>
        </is>
      </c>
    </row>
    <row r="305" ht="30" customHeight="1">
      <c r="A305" s="3" t="inlineStr">
        <is>
          <t>2019::jama.2019.7505::C003</t>
        </is>
      </c>
      <c r="B305" s="3" t="inlineStr">
        <is>
          <t>sourceLinks</t>
        </is>
      </c>
      <c r="C305" s="3" t="n">
        <v>2</v>
      </c>
      <c r="D305" s="3" t="inlineStr">
        <is>
          <t>PDF p. 3</t>
        </is>
      </c>
      <c r="E305" s="3" t="inlineStr">
        <is>
          <t>../../2019/jama.2019.7505/joi190055supp3_prod_16092.pdf#page=3</t>
        </is>
      </c>
    </row>
    <row r="306" ht="40" customHeight="1">
      <c r="A306" s="2" t="inlineStr">
        <is>
          <t>2019::jama.2019.7505::C003</t>
        </is>
      </c>
      <c r="B306" s="2" t="inlineStr">
        <is>
          <t>evidencePaths</t>
        </is>
      </c>
      <c r="C306" s="2" t="n">
        <v>0</v>
      </c>
      <c r="D306" s="2" t="inlineStr">
        <is>
          <t>2019/jama.2019.7505/.ai_paper_validation/review_1_5_2/source_inventory.md</t>
        </is>
      </c>
      <c r="E306" s="2" t="inlineStr">
        <is>
          <t>../../2019/jama.2019.7505/.ai_paper_validation/review_1_5_2/source_inventory.md</t>
        </is>
      </c>
    </row>
    <row r="307" ht="40" customHeight="1">
      <c r="A307" s="3" t="inlineStr">
        <is>
          <t>2019::jama.2019.7505::C003</t>
        </is>
      </c>
      <c r="B307" s="3" t="inlineStr">
        <is>
          <t>evidencePaths</t>
        </is>
      </c>
      <c r="C307" s="3" t="n">
        <v>1</v>
      </c>
      <c r="D307" s="3" t="inlineStr">
        <is>
          <t>2019/jama.2019.7505/.ai_paper_validation/review_1_5_2/verification/evidence_recheck.md</t>
        </is>
      </c>
      <c r="E307" s="3" t="inlineStr">
        <is>
          <t>../../2019/jama.2019.7505/.ai_paper_validation/review_1_5_2/verification/evidence_recheck.md</t>
        </is>
      </c>
    </row>
    <row r="308" ht="30" customHeight="1">
      <c r="A308" s="2" t="inlineStr">
        <is>
          <t>2019::jama.2019.7505::C004</t>
        </is>
      </c>
      <c r="B308" s="2" t="inlineStr">
        <is>
          <t>sourceLinks</t>
        </is>
      </c>
      <c r="C308" s="2" t="n">
        <v>0</v>
      </c>
      <c r="D308" s="2" t="inlineStr">
        <is>
          <t>joi190055supp4_prod_16092.pdf — PDF p. 41, eFigure 11</t>
        </is>
      </c>
      <c r="E308" s="2" t="inlineStr">
        <is>
          <t>../../2019/jama.2019.7505/joi190055supp4_prod_16092.pdf#page=41</t>
        </is>
      </c>
    </row>
    <row r="309" ht="30" customHeight="1">
      <c r="A309" s="3" t="inlineStr">
        <is>
          <t>2019::jama.2019.7505::C004</t>
        </is>
      </c>
      <c r="B309" s="3" t="inlineStr">
        <is>
          <t>sourceLinks</t>
        </is>
      </c>
      <c r="C309" s="3" t="n">
        <v>1</v>
      </c>
      <c r="D309" s="3" t="inlineStr">
        <is>
          <t>PDF p. 40, eFigure 10</t>
        </is>
      </c>
      <c r="E309" s="3" t="inlineStr">
        <is>
          <t>../../2019/jama.2019.7505/joi190055supp4_prod_16092.pdf#page=40</t>
        </is>
      </c>
    </row>
    <row r="310" ht="30" customHeight="1">
      <c r="A310" s="2" t="inlineStr">
        <is>
          <t>2019::jama.2019.7505::C004</t>
        </is>
      </c>
      <c r="B310" s="2" t="inlineStr">
        <is>
          <t>sourceLinks</t>
        </is>
      </c>
      <c r="C310" s="2" t="n">
        <v>2</v>
      </c>
      <c r="D310" s="2" t="inlineStr">
        <is>
          <t>jama_bluth_2019_oi_190055_16092.pdf — PDF p. 10, Table 3</t>
        </is>
      </c>
      <c r="E310" s="2" t="inlineStr">
        <is>
          <t>../../2019/jama.2019.7505/jama_bluth_2019_oi_190055_16092.pdf#page=10</t>
        </is>
      </c>
    </row>
    <row r="311" ht="40" customHeight="1">
      <c r="A311" s="3" t="inlineStr">
        <is>
          <t>2019::jama.2019.7505::C004</t>
        </is>
      </c>
      <c r="B311" s="3" t="inlineStr">
        <is>
          <t>evidencePaths</t>
        </is>
      </c>
      <c r="C311" s="3" t="n">
        <v>0</v>
      </c>
      <c r="D311" s="3" t="inlineStr">
        <is>
          <t>2019/jama.2019.7505/.ai_paper_validation/review_1_5_2/source_inventory.md</t>
        </is>
      </c>
      <c r="E311" s="3" t="inlineStr">
        <is>
          <t>../../2019/jama.2019.7505/.ai_paper_validation/review_1_5_2/source_inventory.md</t>
        </is>
      </c>
    </row>
    <row r="312" ht="40" customHeight="1">
      <c r="A312" s="2" t="inlineStr">
        <is>
          <t>2019::jama.2019.7505::C004</t>
        </is>
      </c>
      <c r="B312" s="2" t="inlineStr">
        <is>
          <t>evidencePaths</t>
        </is>
      </c>
      <c r="C312" s="2" t="n">
        <v>1</v>
      </c>
      <c r="D312" s="2" t="inlineStr">
        <is>
          <t>2019/jama.2019.7505/.ai_paper_validation/review_1_5_2/verification/evidence_recheck.md</t>
        </is>
      </c>
      <c r="E312" s="2" t="inlineStr">
        <is>
          <t>../../2019/jama.2019.7505/.ai_paper_validation/review_1_5_2/verification/evidence_recheck.md</t>
        </is>
      </c>
    </row>
  </sheetData>
  <sheetProtection selectLockedCells="0" selectUnlockedCells="0" sheet="1" objects="0" insertRows="1" insertHyperlinks="1" autoFilter="0" scenarios="0" formatColumns="1" deleteColumns="1" insertColumns="1" pivotTables="1" deleteRows="1" formatCells="1" formatRows="1" sort="1"/>
  <autoFilter ref="A1:E312"/>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D7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2019::jama.2019.0556::C001</t>
        </is>
      </c>
      <c r="B2" s="2" t="inlineStr">
        <is>
          <t>relations</t>
        </is>
      </c>
      <c r="C2" s="2" t="n">
        <v>0</v>
      </c>
      <c r="D2" s="2" t="inlineStr">
        <is>
          <t>S_W</t>
        </is>
      </c>
    </row>
    <row r="3" ht="30" customHeight="1">
      <c r="A3" s="3" t="inlineStr">
        <is>
          <t>2019::jama.2019.0556::C002</t>
        </is>
      </c>
      <c r="B3" s="3" t="inlineStr">
        <is>
          <t>relations</t>
        </is>
      </c>
      <c r="C3" s="3" t="n">
        <v>0</v>
      </c>
      <c r="D3" s="3" t="inlineStr">
        <is>
          <t>S_C</t>
        </is>
      </c>
    </row>
    <row r="4" ht="30" customHeight="1">
      <c r="A4" s="2" t="inlineStr">
        <is>
          <t>2019::jama.2019.0556::C002</t>
        </is>
      </c>
      <c r="B4" s="2" t="inlineStr">
        <is>
          <t>relations</t>
        </is>
      </c>
      <c r="C4" s="2" t="n">
        <v>1</v>
      </c>
      <c r="D4" s="2" t="inlineStr">
        <is>
          <t>S_W</t>
        </is>
      </c>
    </row>
    <row r="5" ht="30" customHeight="1">
      <c r="A5" s="3" t="inlineStr">
        <is>
          <t>2019::jama.2019.0556::C003</t>
        </is>
      </c>
      <c r="B5" s="3" t="inlineStr">
        <is>
          <t>relations</t>
        </is>
      </c>
      <c r="C5" s="3" t="n">
        <v>0</v>
      </c>
      <c r="D5" s="3" t="inlineStr">
        <is>
          <t>S_W</t>
        </is>
      </c>
    </row>
    <row r="6" ht="30" customHeight="1">
      <c r="A6" s="2" t="inlineStr">
        <is>
          <t>2019::jama.2019.0556::C004</t>
        </is>
      </c>
      <c r="B6" s="2" t="inlineStr">
        <is>
          <t>relations</t>
        </is>
      </c>
      <c r="C6" s="2" t="n">
        <v>0</v>
      </c>
      <c r="D6" s="2" t="inlineStr">
        <is>
          <t>S_W</t>
        </is>
      </c>
    </row>
    <row r="7" ht="30" customHeight="1">
      <c r="A7" s="3" t="inlineStr">
        <is>
          <t>2019::jama.2019.0556::C005</t>
        </is>
      </c>
      <c r="B7" s="3" t="inlineStr">
        <is>
          <t>relations</t>
        </is>
      </c>
      <c r="C7" s="3" t="n">
        <v>0</v>
      </c>
      <c r="D7" s="3" t="inlineStr">
        <is>
          <t>S_W</t>
        </is>
      </c>
    </row>
    <row r="8" ht="30" customHeight="1">
      <c r="A8" s="2" t="inlineStr">
        <is>
          <t>2019::jama.2019.0556::C006</t>
        </is>
      </c>
      <c r="B8" s="2" t="inlineStr">
        <is>
          <t>relations</t>
        </is>
      </c>
      <c r="C8" s="2" t="n">
        <v>0</v>
      </c>
      <c r="D8" s="2" t="inlineStr">
        <is>
          <t>P_P</t>
        </is>
      </c>
    </row>
    <row r="9" ht="30" customHeight="1">
      <c r="A9" s="3" t="inlineStr">
        <is>
          <t>2019::jama.2019.0556::C007</t>
        </is>
      </c>
      <c r="B9" s="3" t="inlineStr">
        <is>
          <t>relations</t>
        </is>
      </c>
      <c r="C9" s="3" t="n">
        <v>0</v>
      </c>
      <c r="D9" s="3" t="inlineStr">
        <is>
          <t>P_R</t>
        </is>
      </c>
    </row>
    <row r="10" ht="30" customHeight="1">
      <c r="A10" s="2" t="inlineStr">
        <is>
          <t>2019::jama.2019.0556::C008</t>
        </is>
      </c>
      <c r="B10" s="2" t="inlineStr">
        <is>
          <t>relations</t>
        </is>
      </c>
      <c r="C10" s="2" t="n">
        <v>0</v>
      </c>
      <c r="D10" s="2" t="inlineStr">
        <is>
          <t>P_P</t>
        </is>
      </c>
    </row>
    <row r="11" ht="30" customHeight="1">
      <c r="A11" s="3" t="inlineStr">
        <is>
          <t>2019::jama.2019.0556::C009</t>
        </is>
      </c>
      <c r="B11" s="3" t="inlineStr">
        <is>
          <t>relations</t>
        </is>
      </c>
      <c r="C11" s="3" t="n">
        <v>0</v>
      </c>
      <c r="D11" s="3" t="inlineStr">
        <is>
          <t>P_P</t>
        </is>
      </c>
    </row>
    <row r="12" ht="30" customHeight="1">
      <c r="A12" s="2" t="inlineStr">
        <is>
          <t>2019::jama.2019.10517::C001</t>
        </is>
      </c>
      <c r="B12" s="2" t="inlineStr">
        <is>
          <t>relations</t>
        </is>
      </c>
      <c r="C12" s="2" t="n">
        <v>0</v>
      </c>
      <c r="D12" s="2" t="inlineStr">
        <is>
          <t>S_W</t>
        </is>
      </c>
    </row>
    <row r="13" ht="30" customHeight="1">
      <c r="A13" s="3" t="inlineStr">
        <is>
          <t>2019::jama.2019.10517::C002</t>
        </is>
      </c>
      <c r="B13" s="3" t="inlineStr">
        <is>
          <t>relations</t>
        </is>
      </c>
      <c r="C13" s="3" t="n">
        <v>0</v>
      </c>
      <c r="D13" s="3" t="inlineStr">
        <is>
          <t>S_C</t>
        </is>
      </c>
    </row>
    <row r="14" ht="30" customHeight="1">
      <c r="A14" s="2" t="inlineStr">
        <is>
          <t>2019::jama.2019.10517::C002</t>
        </is>
      </c>
      <c r="B14" s="2" t="inlineStr">
        <is>
          <t>relations</t>
        </is>
      </c>
      <c r="C14" s="2" t="n">
        <v>1</v>
      </c>
      <c r="D14" s="2" t="inlineStr">
        <is>
          <t>S_W</t>
        </is>
      </c>
    </row>
    <row r="15" ht="30" customHeight="1">
      <c r="A15" s="3" t="inlineStr">
        <is>
          <t>2019::jama.2019.10517::C003</t>
        </is>
      </c>
      <c r="B15" s="3" t="inlineStr">
        <is>
          <t>relations</t>
        </is>
      </c>
      <c r="C15" s="3" t="n">
        <v>0</v>
      </c>
      <c r="D15" s="3" t="inlineStr">
        <is>
          <t>P_P</t>
        </is>
      </c>
    </row>
    <row r="16" ht="30" customHeight="1">
      <c r="A16" s="2" t="inlineStr">
        <is>
          <t>2019::jama.2019.12618::C001</t>
        </is>
      </c>
      <c r="B16" s="2" t="inlineStr">
        <is>
          <t>relations</t>
        </is>
      </c>
      <c r="C16" s="2" t="n">
        <v>0</v>
      </c>
      <c r="D16" s="2" t="inlineStr">
        <is>
          <t>P_P</t>
        </is>
      </c>
    </row>
    <row r="17" ht="30" customHeight="1">
      <c r="A17" s="3" t="inlineStr">
        <is>
          <t>2019::jama.2019.12618::C002</t>
        </is>
      </c>
      <c r="B17" s="3" t="inlineStr">
        <is>
          <t>relations</t>
        </is>
      </c>
      <c r="C17" s="3" t="n">
        <v>0</v>
      </c>
      <c r="D17" s="3" t="inlineStr">
        <is>
          <t>S_W</t>
        </is>
      </c>
    </row>
    <row r="18" ht="30" customHeight="1">
      <c r="A18" s="2" t="inlineStr">
        <is>
          <t>2019::jama.2019.12618::C003</t>
        </is>
      </c>
      <c r="B18" s="2" t="inlineStr">
        <is>
          <t>relations</t>
        </is>
      </c>
      <c r="C18" s="2" t="n">
        <v>0</v>
      </c>
      <c r="D18" s="2" t="inlineStr">
        <is>
          <t>P_R</t>
        </is>
      </c>
    </row>
    <row r="19" ht="30" customHeight="1">
      <c r="A19" s="3" t="inlineStr">
        <is>
          <t>2019::jama.2019.12618::C004</t>
        </is>
      </c>
      <c r="B19" s="3" t="inlineStr">
        <is>
          <t>relations</t>
        </is>
      </c>
      <c r="C19" s="3" t="n">
        <v>0</v>
      </c>
      <c r="D19" s="3" t="inlineStr">
        <is>
          <t>P_R</t>
        </is>
      </c>
    </row>
    <row r="20" ht="30" customHeight="1">
      <c r="A20" s="2" t="inlineStr">
        <is>
          <t>2019::jama.2019.12618::C005</t>
        </is>
      </c>
      <c r="B20" s="2" t="inlineStr">
        <is>
          <t>relations</t>
        </is>
      </c>
      <c r="C20" s="2" t="n">
        <v>0</v>
      </c>
      <c r="D20" s="2" t="inlineStr">
        <is>
          <t>S_W</t>
        </is>
      </c>
    </row>
    <row r="21" ht="30" customHeight="1">
      <c r="A21" s="3" t="inlineStr">
        <is>
          <t>2019::jama.2019.12618::C006</t>
        </is>
      </c>
      <c r="B21" s="3" t="inlineStr">
        <is>
          <t>relations</t>
        </is>
      </c>
      <c r="C21" s="3" t="n">
        <v>0</v>
      </c>
      <c r="D21" s="3" t="inlineStr">
        <is>
          <t>S_C</t>
        </is>
      </c>
    </row>
    <row r="22" ht="30" customHeight="1">
      <c r="A22" s="2" t="inlineStr">
        <is>
          <t>2019::jama.2019.12618::C006</t>
        </is>
      </c>
      <c r="B22" s="2" t="inlineStr">
        <is>
          <t>relations</t>
        </is>
      </c>
      <c r="C22" s="2" t="n">
        <v>1</v>
      </c>
      <c r="D22" s="2" t="inlineStr">
        <is>
          <t>S_W</t>
        </is>
      </c>
    </row>
    <row r="23" ht="30" customHeight="1">
      <c r="A23" s="3" t="inlineStr">
        <is>
          <t>2019::jama.2019.12618::C007</t>
        </is>
      </c>
      <c r="B23" s="3" t="inlineStr">
        <is>
          <t>relations</t>
        </is>
      </c>
      <c r="C23" s="3" t="n">
        <v>0</v>
      </c>
      <c r="D23" s="3" t="inlineStr">
        <is>
          <t>S_W</t>
        </is>
      </c>
    </row>
    <row r="24" ht="30" customHeight="1">
      <c r="A24" s="2" t="inlineStr">
        <is>
          <t>2019::jama.2019.12618::C008</t>
        </is>
      </c>
      <c r="B24" s="2" t="inlineStr">
        <is>
          <t>relations</t>
        </is>
      </c>
      <c r="C24" s="2" t="n">
        <v>0</v>
      </c>
      <c r="D24" s="2" t="inlineStr">
        <is>
          <t>S_W</t>
        </is>
      </c>
    </row>
    <row r="25" ht="30" customHeight="1">
      <c r="A25" s="3" t="inlineStr">
        <is>
          <t>2019::jama.2019.14231::C001</t>
        </is>
      </c>
      <c r="B25" s="3" t="inlineStr">
        <is>
          <t>relations</t>
        </is>
      </c>
      <c r="C25" s="3" t="n">
        <v>0</v>
      </c>
      <c r="D25" s="3" t="inlineStr">
        <is>
          <t>P_R</t>
        </is>
      </c>
    </row>
    <row r="26" ht="30" customHeight="1">
      <c r="A26" s="2" t="inlineStr">
        <is>
          <t>2019::jama.2019.14231::C002</t>
        </is>
      </c>
      <c r="B26" s="2" t="inlineStr">
        <is>
          <t>relations</t>
        </is>
      </c>
      <c r="C26" s="2" t="n">
        <v>0</v>
      </c>
      <c r="D26" s="2" t="inlineStr">
        <is>
          <t>S_W</t>
        </is>
      </c>
    </row>
    <row r="27" ht="30" customHeight="1">
      <c r="A27" s="3" t="inlineStr">
        <is>
          <t>2019::jama.2019.14231::C003</t>
        </is>
      </c>
      <c r="B27" s="3" t="inlineStr">
        <is>
          <t>relations</t>
        </is>
      </c>
      <c r="C27" s="3" t="n">
        <v>0</v>
      </c>
      <c r="D27" s="3" t="inlineStr">
        <is>
          <t>S_W</t>
        </is>
      </c>
    </row>
    <row r="28" ht="30" customHeight="1">
      <c r="A28" s="2" t="inlineStr">
        <is>
          <t>2019::jama.2019.14231::C004</t>
        </is>
      </c>
      <c r="B28" s="2" t="inlineStr">
        <is>
          <t>relations</t>
        </is>
      </c>
      <c r="C28" s="2" t="n">
        <v>0</v>
      </c>
      <c r="D28" s="2" t="inlineStr">
        <is>
          <t>S_W</t>
        </is>
      </c>
    </row>
    <row r="29" ht="30" customHeight="1">
      <c r="A29" s="3" t="inlineStr">
        <is>
          <t>2019::jama.2019.14231::C005</t>
        </is>
      </c>
      <c r="B29" s="3" t="inlineStr">
        <is>
          <t>relations</t>
        </is>
      </c>
      <c r="C29" s="3" t="n">
        <v>0</v>
      </c>
      <c r="D29" s="3" t="inlineStr">
        <is>
          <t>S_W</t>
        </is>
      </c>
    </row>
    <row r="30" ht="30" customHeight="1">
      <c r="A30" s="2" t="inlineStr">
        <is>
          <t>2019::jama.2019.14231::C006</t>
        </is>
      </c>
      <c r="B30" s="2" t="inlineStr">
        <is>
          <t>relations</t>
        </is>
      </c>
      <c r="C30" s="2" t="n">
        <v>0</v>
      </c>
      <c r="D30" s="2" t="inlineStr">
        <is>
          <t>S_W</t>
        </is>
      </c>
    </row>
    <row r="31" ht="30" customHeight="1">
      <c r="A31" s="3" t="inlineStr">
        <is>
          <t>2019::jama.2019.14231::C007</t>
        </is>
      </c>
      <c r="B31" s="3" t="inlineStr">
        <is>
          <t>relations</t>
        </is>
      </c>
      <c r="C31" s="3" t="n">
        <v>0</v>
      </c>
      <c r="D31" s="3" t="inlineStr">
        <is>
          <t>S_W</t>
        </is>
      </c>
    </row>
    <row r="32" ht="30" customHeight="1">
      <c r="A32" s="2" t="inlineStr">
        <is>
          <t>2019::jama.2019.14231::C008</t>
        </is>
      </c>
      <c r="B32" s="2" t="inlineStr">
        <is>
          <t>relations</t>
        </is>
      </c>
      <c r="C32" s="2" t="n">
        <v>0</v>
      </c>
      <c r="D32" s="2" t="inlineStr">
        <is>
          <t>S_C</t>
        </is>
      </c>
    </row>
    <row r="33" ht="30" customHeight="1">
      <c r="A33" s="3" t="inlineStr">
        <is>
          <t>2019::jama.2019.14231::C008</t>
        </is>
      </c>
      <c r="B33" s="3" t="inlineStr">
        <is>
          <t>relations</t>
        </is>
      </c>
      <c r="C33" s="3" t="n">
        <v>1</v>
      </c>
      <c r="D33" s="3" t="inlineStr">
        <is>
          <t>S_W</t>
        </is>
      </c>
    </row>
    <row r="34" ht="30" customHeight="1">
      <c r="A34" s="2" t="inlineStr">
        <is>
          <t>2019::jama.2019.14231::C009</t>
        </is>
      </c>
      <c r="B34" s="2" t="inlineStr">
        <is>
          <t>relations</t>
        </is>
      </c>
      <c r="C34" s="2" t="n">
        <v>0</v>
      </c>
      <c r="D34" s="2" t="inlineStr">
        <is>
          <t>S_W</t>
        </is>
      </c>
    </row>
    <row r="35" ht="30" customHeight="1">
      <c r="A35" s="3" t="inlineStr">
        <is>
          <t>2019::jama.2019.14231::C010</t>
        </is>
      </c>
      <c r="B35" s="3" t="inlineStr">
        <is>
          <t>relations</t>
        </is>
      </c>
      <c r="C35" s="3" t="n">
        <v>0</v>
      </c>
      <c r="D35" s="3" t="inlineStr">
        <is>
          <t>S_W</t>
        </is>
      </c>
    </row>
    <row r="36" ht="30" customHeight="1">
      <c r="A36" s="2" t="inlineStr">
        <is>
          <t>2019::jama.2019.14231::C011</t>
        </is>
      </c>
      <c r="B36" s="2" t="inlineStr">
        <is>
          <t>relations</t>
        </is>
      </c>
      <c r="C36" s="2" t="n">
        <v>0</v>
      </c>
      <c r="D36" s="2" t="inlineStr">
        <is>
          <t>S_W</t>
        </is>
      </c>
    </row>
    <row r="37" ht="30" customHeight="1">
      <c r="A37" s="3" t="inlineStr">
        <is>
          <t>2019::jama.2019.14630::C001</t>
        </is>
      </c>
      <c r="B37" s="3" t="inlineStr">
        <is>
          <t>relations</t>
        </is>
      </c>
      <c r="C37" s="3" t="n">
        <v>0</v>
      </c>
      <c r="D37" s="3" t="inlineStr">
        <is>
          <t>S_W</t>
        </is>
      </c>
    </row>
    <row r="38" ht="30" customHeight="1">
      <c r="A38" s="2" t="inlineStr">
        <is>
          <t>2019::jama.2019.14630::C002</t>
        </is>
      </c>
      <c r="B38" s="2" t="inlineStr">
        <is>
          <t>relations</t>
        </is>
      </c>
      <c r="C38" s="2" t="n">
        <v>0</v>
      </c>
      <c r="D38" s="2" t="inlineStr">
        <is>
          <t>S_W</t>
        </is>
      </c>
    </row>
    <row r="39" ht="30" customHeight="1">
      <c r="A39" s="3" t="inlineStr">
        <is>
          <t>2019::jama.2019.14630::C003</t>
        </is>
      </c>
      <c r="B39" s="3" t="inlineStr">
        <is>
          <t>relations</t>
        </is>
      </c>
      <c r="C39" s="3" t="n">
        <v>0</v>
      </c>
      <c r="D39" s="3" t="inlineStr">
        <is>
          <t>S_W</t>
        </is>
      </c>
    </row>
    <row r="40" ht="30" customHeight="1">
      <c r="A40" s="2" t="inlineStr">
        <is>
          <t>2019::jama.2019.14630::C004</t>
        </is>
      </c>
      <c r="B40" s="2" t="inlineStr">
        <is>
          <t>relations</t>
        </is>
      </c>
      <c r="C40" s="2" t="n">
        <v>0</v>
      </c>
      <c r="D40" s="2" t="inlineStr">
        <is>
          <t>S_C</t>
        </is>
      </c>
    </row>
    <row r="41" ht="30" customHeight="1">
      <c r="A41" s="3" t="inlineStr">
        <is>
          <t>2019::jama.2019.14630::C005</t>
        </is>
      </c>
      <c r="B41" s="3" t="inlineStr">
        <is>
          <t>relations</t>
        </is>
      </c>
      <c r="C41" s="3" t="n">
        <v>0</v>
      </c>
      <c r="D41" s="3" t="inlineStr">
        <is>
          <t>S_C</t>
        </is>
      </c>
    </row>
    <row r="42" ht="30" customHeight="1">
      <c r="A42" s="2" t="inlineStr">
        <is>
          <t>2019::jama.2019.14630::C006</t>
        </is>
      </c>
      <c r="B42" s="2" t="inlineStr">
        <is>
          <t>relations</t>
        </is>
      </c>
      <c r="C42" s="2" t="n">
        <v>0</v>
      </c>
      <c r="D42" s="2" t="inlineStr">
        <is>
          <t>S_C</t>
        </is>
      </c>
    </row>
    <row r="43" ht="30" customHeight="1">
      <c r="A43" s="3" t="inlineStr">
        <is>
          <t>2019::jama.2019.14630::C007</t>
        </is>
      </c>
      <c r="B43" s="3" t="inlineStr">
        <is>
          <t>relations</t>
        </is>
      </c>
      <c r="C43" s="3" t="n">
        <v>0</v>
      </c>
      <c r="D43" s="3" t="inlineStr">
        <is>
          <t>S_C</t>
        </is>
      </c>
    </row>
    <row r="44" ht="30" customHeight="1">
      <c r="A44" s="2" t="inlineStr">
        <is>
          <t>2019::jama.2019.14630::C008</t>
        </is>
      </c>
      <c r="B44" s="2" t="inlineStr">
        <is>
          <t>relations</t>
        </is>
      </c>
      <c r="C44" s="2" t="n">
        <v>0</v>
      </c>
      <c r="D44" s="2" t="inlineStr">
        <is>
          <t>S_W</t>
        </is>
      </c>
    </row>
    <row r="45" ht="30" customHeight="1">
      <c r="A45" s="3" t="inlineStr">
        <is>
          <t>2019::jama.2019.14630::C009</t>
        </is>
      </c>
      <c r="B45" s="3" t="inlineStr">
        <is>
          <t>relations</t>
        </is>
      </c>
      <c r="C45" s="3" t="n">
        <v>0</v>
      </c>
      <c r="D45" s="3" t="inlineStr">
        <is>
          <t>S_W</t>
        </is>
      </c>
    </row>
    <row r="46" ht="30" customHeight="1">
      <c r="A46" s="2" t="inlineStr">
        <is>
          <t>2019::jama.2019.14901::C001</t>
        </is>
      </c>
      <c r="B46" s="2" t="inlineStr">
        <is>
          <t>relations</t>
        </is>
      </c>
      <c r="C46" s="2" t="n">
        <v>0</v>
      </c>
      <c r="D46" s="2" t="inlineStr">
        <is>
          <t>S_W</t>
        </is>
      </c>
    </row>
    <row r="47" ht="30" customHeight="1">
      <c r="A47" s="3" t="inlineStr">
        <is>
          <t>2019::jama.2019.14901::C002</t>
        </is>
      </c>
      <c r="B47" s="3" t="inlineStr">
        <is>
          <t>relations</t>
        </is>
      </c>
      <c r="C47" s="3" t="n">
        <v>0</v>
      </c>
      <c r="D47" s="3" t="inlineStr">
        <is>
          <t>P_R</t>
        </is>
      </c>
    </row>
    <row r="48" ht="30" customHeight="1">
      <c r="A48" s="2" t="inlineStr">
        <is>
          <t>2019::jama.2019.14901::C003</t>
        </is>
      </c>
      <c r="B48" s="2" t="inlineStr">
        <is>
          <t>relations</t>
        </is>
      </c>
      <c r="C48" s="2" t="n">
        <v>0</v>
      </c>
      <c r="D48" s="2" t="inlineStr">
        <is>
          <t>S_W</t>
        </is>
      </c>
    </row>
    <row r="49" ht="30" customHeight="1">
      <c r="A49" s="3" t="inlineStr">
        <is>
          <t>2019::jama.2019.14901::C004</t>
        </is>
      </c>
      <c r="B49" s="3" t="inlineStr">
        <is>
          <t>relations</t>
        </is>
      </c>
      <c r="C49" s="3" t="n">
        <v>0</v>
      </c>
      <c r="D49" s="3" t="inlineStr">
        <is>
          <t>S_W</t>
        </is>
      </c>
    </row>
    <row r="50" ht="30" customHeight="1">
      <c r="A50" s="2" t="inlineStr">
        <is>
          <t>2019::jama.2019.14901::C005</t>
        </is>
      </c>
      <c r="B50" s="2" t="inlineStr">
        <is>
          <t>relations</t>
        </is>
      </c>
      <c r="C50" s="2" t="n">
        <v>0</v>
      </c>
      <c r="D50" s="2" t="inlineStr">
        <is>
          <t>S_C</t>
        </is>
      </c>
    </row>
    <row r="51" ht="30" customHeight="1">
      <c r="A51" s="3" t="inlineStr">
        <is>
          <t>2019::jama.2019.14901::C006</t>
        </is>
      </c>
      <c r="B51" s="3" t="inlineStr">
        <is>
          <t>relations</t>
        </is>
      </c>
      <c r="C51" s="3" t="n">
        <v>0</v>
      </c>
      <c r="D51" s="3" t="inlineStr">
        <is>
          <t>P_P</t>
        </is>
      </c>
    </row>
    <row r="52" ht="30" customHeight="1">
      <c r="A52" s="2" t="inlineStr">
        <is>
          <t>2019::jama.2019.17380::C001</t>
        </is>
      </c>
      <c r="B52" s="2" t="inlineStr">
        <is>
          <t>relations</t>
        </is>
      </c>
      <c r="C52" s="2" t="n">
        <v>0</v>
      </c>
      <c r="D52" s="2" t="inlineStr">
        <is>
          <t>S_W</t>
        </is>
      </c>
    </row>
    <row r="53" ht="30" customHeight="1">
      <c r="A53" s="3" t="inlineStr">
        <is>
          <t>2019::jama.2019.17380::C002</t>
        </is>
      </c>
      <c r="B53" s="3" t="inlineStr">
        <is>
          <t>relations</t>
        </is>
      </c>
      <c r="C53" s="3" t="n">
        <v>0</v>
      </c>
      <c r="D53" s="3" t="inlineStr">
        <is>
          <t>S_C</t>
        </is>
      </c>
    </row>
    <row r="54" ht="30" customHeight="1">
      <c r="A54" s="2" t="inlineStr">
        <is>
          <t>2019::jama.2019.17380::C003</t>
        </is>
      </c>
      <c r="B54" s="2" t="inlineStr">
        <is>
          <t>relations</t>
        </is>
      </c>
      <c r="C54" s="2" t="n">
        <v>0</v>
      </c>
      <c r="D54" s="2" t="inlineStr">
        <is>
          <t>S_W</t>
        </is>
      </c>
    </row>
    <row r="55" ht="30" customHeight="1">
      <c r="A55" s="3" t="inlineStr">
        <is>
          <t>2019::jama.2019.17380::C004</t>
        </is>
      </c>
      <c r="B55" s="3" t="inlineStr">
        <is>
          <t>relations</t>
        </is>
      </c>
      <c r="C55" s="3" t="n">
        <v>0</v>
      </c>
      <c r="D55" s="3" t="inlineStr">
        <is>
          <t>S_W</t>
        </is>
      </c>
    </row>
    <row r="56" ht="30" customHeight="1">
      <c r="A56" s="2" t="inlineStr">
        <is>
          <t>2019::jama.2019.17380::C005</t>
        </is>
      </c>
      <c r="B56" s="2" t="inlineStr">
        <is>
          <t>relations</t>
        </is>
      </c>
      <c r="C56" s="2" t="n">
        <v>0</v>
      </c>
      <c r="D56" s="2" t="inlineStr">
        <is>
          <t>S_C</t>
        </is>
      </c>
    </row>
    <row r="57" ht="30" customHeight="1">
      <c r="A57" s="3" t="inlineStr">
        <is>
          <t>2019::jama.2019.17380::C005</t>
        </is>
      </c>
      <c r="B57" s="3" t="inlineStr">
        <is>
          <t>relations</t>
        </is>
      </c>
      <c r="C57" s="3" t="n">
        <v>1</v>
      </c>
      <c r="D57" s="3" t="inlineStr">
        <is>
          <t>S_W</t>
        </is>
      </c>
    </row>
    <row r="58" ht="30" customHeight="1">
      <c r="A58" s="2" t="inlineStr">
        <is>
          <t>2019::jama.2019.17380::C006</t>
        </is>
      </c>
      <c r="B58" s="2" t="inlineStr">
        <is>
          <t>relations</t>
        </is>
      </c>
      <c r="C58" s="2" t="n">
        <v>0</v>
      </c>
      <c r="D58" s="2" t="inlineStr">
        <is>
          <t>S_C</t>
        </is>
      </c>
    </row>
    <row r="59" ht="30" customHeight="1">
      <c r="A59" s="3" t="inlineStr">
        <is>
          <t>2019::jama.2019.17380::C006</t>
        </is>
      </c>
      <c r="B59" s="3" t="inlineStr">
        <is>
          <t>relations</t>
        </is>
      </c>
      <c r="C59" s="3" t="n">
        <v>1</v>
      </c>
      <c r="D59" s="3" t="inlineStr">
        <is>
          <t>S_W</t>
        </is>
      </c>
    </row>
    <row r="60" ht="30" customHeight="1">
      <c r="A60" s="2" t="inlineStr">
        <is>
          <t>2019::jama.2019.17380::C007</t>
        </is>
      </c>
      <c r="B60" s="2" t="inlineStr">
        <is>
          <t>relations</t>
        </is>
      </c>
      <c r="C60" s="2" t="n">
        <v>0</v>
      </c>
      <c r="D60" s="2" t="inlineStr">
        <is>
          <t>P_R</t>
        </is>
      </c>
    </row>
    <row r="61" ht="30" customHeight="1">
      <c r="A61" s="3" t="inlineStr">
        <is>
          <t>2019::jama.2019.2210::C001</t>
        </is>
      </c>
      <c r="B61" s="3" t="inlineStr">
        <is>
          <t>relations</t>
        </is>
      </c>
      <c r="C61" s="3" t="n">
        <v>0</v>
      </c>
      <c r="D61" s="3" t="inlineStr">
        <is>
          <t>S_W</t>
        </is>
      </c>
    </row>
    <row r="62" ht="30" customHeight="1">
      <c r="A62" s="2" t="inlineStr">
        <is>
          <t>2019::jama.2019.2210::C002</t>
        </is>
      </c>
      <c r="B62" s="2" t="inlineStr">
        <is>
          <t>relations</t>
        </is>
      </c>
      <c r="C62" s="2" t="n">
        <v>0</v>
      </c>
      <c r="D62" s="2" t="inlineStr">
        <is>
          <t>S_W</t>
        </is>
      </c>
    </row>
    <row r="63" ht="30" customHeight="1">
      <c r="A63" s="3" t="inlineStr">
        <is>
          <t>2019::jama.2019.2210::C003</t>
        </is>
      </c>
      <c r="B63" s="3" t="inlineStr">
        <is>
          <t>relations</t>
        </is>
      </c>
      <c r="C63" s="3" t="n">
        <v>0</v>
      </c>
      <c r="D63" s="3" t="inlineStr">
        <is>
          <t>P_P</t>
        </is>
      </c>
    </row>
    <row r="64" ht="30" customHeight="1">
      <c r="A64" s="2" t="inlineStr">
        <is>
          <t>2019::jama.2019.2210::C004</t>
        </is>
      </c>
      <c r="B64" s="2" t="inlineStr">
        <is>
          <t>relations</t>
        </is>
      </c>
      <c r="C64" s="2" t="n">
        <v>0</v>
      </c>
      <c r="D64" s="2" t="inlineStr">
        <is>
          <t>P_R</t>
        </is>
      </c>
    </row>
    <row r="65" ht="30" customHeight="1">
      <c r="A65" s="3" t="inlineStr">
        <is>
          <t>2019::jama.2019.2210::C004</t>
        </is>
      </c>
      <c r="B65" s="3" t="inlineStr">
        <is>
          <t>relations</t>
        </is>
      </c>
      <c r="C65" s="3" t="n">
        <v>1</v>
      </c>
      <c r="D65" s="3" t="inlineStr">
        <is>
          <t>P_P</t>
        </is>
      </c>
    </row>
    <row r="66" ht="30" customHeight="1">
      <c r="A66" s="2" t="inlineStr">
        <is>
          <t>2019::jama.2019.2210::C005</t>
        </is>
      </c>
      <c r="B66" s="2" t="inlineStr">
        <is>
          <t>relations</t>
        </is>
      </c>
      <c r="C66" s="2" t="n">
        <v>0</v>
      </c>
      <c r="D66" s="2" t="inlineStr">
        <is>
          <t>P_P</t>
        </is>
      </c>
    </row>
    <row r="67" ht="30" customHeight="1">
      <c r="A67" s="3" t="inlineStr">
        <is>
          <t>2019::jama.2019.2210::C006</t>
        </is>
      </c>
      <c r="B67" s="3" t="inlineStr">
        <is>
          <t>relations</t>
        </is>
      </c>
      <c r="C67" s="3" t="n">
        <v>0</v>
      </c>
      <c r="D67" s="3" t="inlineStr">
        <is>
          <t>S_C</t>
        </is>
      </c>
    </row>
    <row r="68" ht="30" customHeight="1">
      <c r="A68" s="2" t="inlineStr">
        <is>
          <t>2019::jama.2019.2210::C007</t>
        </is>
      </c>
      <c r="B68" s="2" t="inlineStr">
        <is>
          <t>relations</t>
        </is>
      </c>
      <c r="C68" s="2" t="n">
        <v>0</v>
      </c>
      <c r="D68" s="2" t="inlineStr">
        <is>
          <t>S_W</t>
        </is>
      </c>
    </row>
    <row r="69" ht="30" customHeight="1">
      <c r="A69" s="3" t="inlineStr">
        <is>
          <t>2019::jama.2019.2210::C008</t>
        </is>
      </c>
      <c r="B69" s="3" t="inlineStr">
        <is>
          <t>relations</t>
        </is>
      </c>
      <c r="C69" s="3" t="n">
        <v>0</v>
      </c>
      <c r="D69" s="3" t="inlineStr">
        <is>
          <t>P_R</t>
        </is>
      </c>
    </row>
    <row r="70" ht="30" customHeight="1">
      <c r="A70" s="2" t="inlineStr">
        <is>
          <t>2019::jama.2019.2210::C009</t>
        </is>
      </c>
      <c r="B70" s="2" t="inlineStr">
        <is>
          <t>relations</t>
        </is>
      </c>
      <c r="C70" s="2" t="n">
        <v>0</v>
      </c>
      <c r="D70" s="2" t="inlineStr">
        <is>
          <t>S_W</t>
        </is>
      </c>
    </row>
    <row r="71" ht="30" customHeight="1">
      <c r="A71" s="3" t="inlineStr">
        <is>
          <t>2019::jama.2019.4755::C001</t>
        </is>
      </c>
      <c r="B71" s="3" t="inlineStr">
        <is>
          <t>relations</t>
        </is>
      </c>
      <c r="C71" s="3" t="n">
        <v>0</v>
      </c>
      <c r="D71" s="3" t="inlineStr">
        <is>
          <t>S_W</t>
        </is>
      </c>
    </row>
    <row r="72" ht="30" customHeight="1">
      <c r="A72" s="2" t="inlineStr">
        <is>
          <t>2019::jama.2019.4755::C002</t>
        </is>
      </c>
      <c r="B72" s="2" t="inlineStr">
        <is>
          <t>relations</t>
        </is>
      </c>
      <c r="C72" s="2" t="n">
        <v>0</v>
      </c>
      <c r="D72" s="2" t="inlineStr">
        <is>
          <t>S_W</t>
        </is>
      </c>
    </row>
    <row r="73" ht="30" customHeight="1">
      <c r="A73" s="3" t="inlineStr">
        <is>
          <t>2019::jama.2019.4755::C003</t>
        </is>
      </c>
      <c r="B73" s="3" t="inlineStr">
        <is>
          <t>relations</t>
        </is>
      </c>
      <c r="C73" s="3" t="n">
        <v>0</v>
      </c>
      <c r="D73" s="3" t="inlineStr">
        <is>
          <t>S_W</t>
        </is>
      </c>
    </row>
    <row r="74" ht="30" customHeight="1">
      <c r="A74" s="2" t="inlineStr">
        <is>
          <t>2019::jama.2019.4755::C004</t>
        </is>
      </c>
      <c r="B74" s="2" t="inlineStr">
        <is>
          <t>relations</t>
        </is>
      </c>
      <c r="C74" s="2" t="n">
        <v>0</v>
      </c>
      <c r="D74" s="2" t="inlineStr">
        <is>
          <t>S_W</t>
        </is>
      </c>
    </row>
    <row r="75" ht="30" customHeight="1">
      <c r="A75" s="3" t="inlineStr">
        <is>
          <t>2019::jama.2019.4755::C005</t>
        </is>
      </c>
      <c r="B75" s="3" t="inlineStr">
        <is>
          <t>relations</t>
        </is>
      </c>
      <c r="C75" s="3" t="n">
        <v>0</v>
      </c>
      <c r="D75" s="3" t="inlineStr">
        <is>
          <t>P_P</t>
        </is>
      </c>
    </row>
    <row r="76" ht="30" customHeight="1">
      <c r="A76" s="2" t="inlineStr">
        <is>
          <t>2019::jama.2019.7505::C001</t>
        </is>
      </c>
      <c r="B76" s="2" t="inlineStr">
        <is>
          <t>relations</t>
        </is>
      </c>
      <c r="C76" s="2" t="n">
        <v>0</v>
      </c>
      <c r="D76" s="2" t="inlineStr">
        <is>
          <t>S_W</t>
        </is>
      </c>
    </row>
    <row r="77" ht="30" customHeight="1">
      <c r="A77" s="3" t="inlineStr">
        <is>
          <t>2019::jama.2019.7505::C002</t>
        </is>
      </c>
      <c r="B77" s="3" t="inlineStr">
        <is>
          <t>relations</t>
        </is>
      </c>
      <c r="C77" s="3" t="n">
        <v>0</v>
      </c>
      <c r="D77" s="3" t="inlineStr">
        <is>
          <t>S_W</t>
        </is>
      </c>
    </row>
    <row r="78" ht="30" customHeight="1">
      <c r="A78" s="2" t="inlineStr">
        <is>
          <t>2019::jama.2019.7505::C003</t>
        </is>
      </c>
      <c r="B78" s="2" t="inlineStr">
        <is>
          <t>relations</t>
        </is>
      </c>
      <c r="C78" s="2" t="n">
        <v>0</v>
      </c>
      <c r="D78" s="2" t="inlineStr">
        <is>
          <t>P_P</t>
        </is>
      </c>
    </row>
    <row r="79" ht="30" customHeight="1">
      <c r="A79" s="3" t="inlineStr">
        <is>
          <t>2019::jama.2019.7505::C004</t>
        </is>
      </c>
      <c r="B79" s="3" t="inlineStr">
        <is>
          <t>relations</t>
        </is>
      </c>
      <c r="C79" s="3" t="n">
        <v>0</v>
      </c>
      <c r="D79" s="3" t="inlineStr">
        <is>
          <t>S_W</t>
        </is>
      </c>
    </row>
  </sheetData>
  <sheetProtection selectLockedCells="0" selectUnlockedCells="0" sheet="1" objects="0" insertRows="1" insertHyperlinks="1" autoFilter="0" scenarios="0" formatColumns="1" deleteColumns="1" insertColumns="1" pivotTables="1" deleteRows="1" formatCells="1" formatRows="1" sort="1"/>
  <autoFilter ref="A1:D79"/>
  <pageMargins left="0.75" right="0.75" top="1" bottom="1" header="0.5" footer="0.5"/>
  <pageSetup orientation="landscape" paperSize="8" fitToHeight="0" fitToWidth="1"/>
</worksheet>
</file>

<file path=xl/worksheets/sheet20.xml><?xml version="1.0" encoding="utf-8"?>
<worksheet xmlns="http://schemas.openxmlformats.org/spreadsheetml/2006/main">
  <sheetPr>
    <outlinePr summaryBelow="1" summaryRight="1"/>
    <pageSetUpPr fitToPage="1"/>
  </sheetPr>
  <dimension ref="A1:J7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ht="40" customHeight="1">
      <c r="A1" s="1" t="inlineStr">
        <is>
          <t>key</t>
        </is>
      </c>
      <c r="B1" s="1" t="inlineStr">
        <is>
          <t>disposition</t>
        </is>
      </c>
      <c r="C1" s="1" t="inlineStr">
        <is>
          <t>domain</t>
        </is>
      </c>
      <c r="D1" s="1" t="inlineStr">
        <is>
          <t>statisticalIssueStatus</t>
        </is>
      </c>
      <c r="E1" s="1" t="inlineStr">
        <is>
          <t>substantiveStatus</t>
        </is>
      </c>
      <c r="F1" s="1" t="inlineStr">
        <is>
          <t>downstreamImpact</t>
        </is>
      </c>
      <c r="G1" s="1" t="inlineStr">
        <is>
          <t>internalStatus</t>
        </is>
      </c>
      <c r="H1" s="1" t="inlineStr">
        <is>
          <t>protocolInterpretation</t>
        </is>
      </c>
      <c r="I1" s="1" t="inlineStr">
        <is>
          <t>notes</t>
        </is>
      </c>
      <c r="J1" s="1" t="inlineStr">
        <is>
          <t>reviewComplete</t>
        </is>
      </c>
    </row>
    <row r="2" ht="136" customHeight="1">
      <c r="A2" s="2" t="inlineStr">
        <is>
          <t>2019::jama.2019.0556::C001</t>
        </is>
      </c>
      <c r="B2" s="2" t="inlineStr">
        <is>
          <t>exclude</t>
        </is>
      </c>
      <c r="C2" s="2" t="inlineStr">
        <is>
          <t>report_internal_inconsistency</t>
        </is>
      </c>
      <c r="D2" s="2" t="inlineStr">
        <is>
          <t>not_applicable</t>
        </is>
      </c>
      <c r="E2" s="2" t="inlineStr">
        <is>
          <t>not_applicable</t>
        </is>
      </c>
      <c r="F2" s="2" t="inlineStr">
        <is>
          <t>not_applicable</t>
        </is>
      </c>
      <c r="G2" s="2" t="inlineStr">
        <is>
          <t>not_applicable</t>
        </is>
      </c>
      <c r="H2" s="2" t="inlineStr">
        <is>
          <t>not_applicable</t>
        </is>
      </c>
      <c r="I2" s="2" t="inlineStr">
        <is>
          <t>SYNTHETIC TEST DATA ONLY. Exclude is a placeholder for testing the checker workflow, not a scientific assessment. Do not use this sample in research results.</t>
        </is>
      </c>
      <c r="J2" s="2" t="inlineStr">
        <is>
          <t>yes</t>
        </is>
      </c>
    </row>
    <row r="3" ht="136" customHeight="1">
      <c r="A3" s="3" t="inlineStr">
        <is>
          <t>2019::jama.2019.0556::C002</t>
        </is>
      </c>
      <c r="B3" s="3" t="inlineStr">
        <is>
          <t>exclude</t>
        </is>
      </c>
      <c r="C3" s="3" t="inlineStr">
        <is>
          <t>report_internal_inconsistency</t>
        </is>
      </c>
      <c r="D3" s="3" t="inlineStr">
        <is>
          <t>not_applicable</t>
        </is>
      </c>
      <c r="E3" s="3" t="inlineStr">
        <is>
          <t>not_applicable</t>
        </is>
      </c>
      <c r="F3" s="3" t="inlineStr">
        <is>
          <t>not_applicable</t>
        </is>
      </c>
      <c r="G3" s="3" t="inlineStr">
        <is>
          <t>not_applicable</t>
        </is>
      </c>
      <c r="H3" s="3" t="inlineStr">
        <is>
          <t>not_applicable</t>
        </is>
      </c>
      <c r="I3" s="3" t="inlineStr">
        <is>
          <t>SYNTHETIC TEST DATA ONLY. Exclude is a placeholder for testing the checker workflow, not a scientific assessment. Do not use this sample in research results.</t>
        </is>
      </c>
      <c r="J3" s="3" t="inlineStr">
        <is>
          <t>yes</t>
        </is>
      </c>
    </row>
    <row r="4" ht="136" customHeight="1">
      <c r="A4" s="2" t="inlineStr">
        <is>
          <t>2019::jama.2019.0556::C003</t>
        </is>
      </c>
      <c r="B4" s="2" t="inlineStr">
        <is>
          <t>exclude</t>
        </is>
      </c>
      <c r="C4" s="2" t="inlineStr">
        <is>
          <t>report_internal_inconsistency</t>
        </is>
      </c>
      <c r="D4" s="2" t="inlineStr">
        <is>
          <t>not_applicable</t>
        </is>
      </c>
      <c r="E4" s="2" t="inlineStr">
        <is>
          <t>not_applicable</t>
        </is>
      </c>
      <c r="F4" s="2" t="inlineStr">
        <is>
          <t>not_applicable</t>
        </is>
      </c>
      <c r="G4" s="2" t="inlineStr">
        <is>
          <t>not_applicable</t>
        </is>
      </c>
      <c r="H4" s="2" t="inlineStr">
        <is>
          <t>not_applicable</t>
        </is>
      </c>
      <c r="I4" s="2" t="inlineStr">
        <is>
          <t>SYNTHETIC TEST DATA ONLY. Exclude is a placeholder for testing the checker workflow, not a scientific assessment. Do not use this sample in research results.</t>
        </is>
      </c>
      <c r="J4" s="2" t="inlineStr">
        <is>
          <t>yes</t>
        </is>
      </c>
    </row>
    <row r="5" ht="136" customHeight="1">
      <c r="A5" s="3" t="inlineStr">
        <is>
          <t>2019::jama.2019.0556::C004</t>
        </is>
      </c>
      <c r="B5" s="3" t="inlineStr">
        <is>
          <t>exclude</t>
        </is>
      </c>
      <c r="C5" s="3" t="inlineStr">
        <is>
          <t>statistical_results</t>
        </is>
      </c>
      <c r="D5" s="3" t="inlineStr">
        <is>
          <t>not_applicable</t>
        </is>
      </c>
      <c r="E5" s="3" t="inlineStr">
        <is>
          <t>not_applicable</t>
        </is>
      </c>
      <c r="F5" s="3" t="inlineStr">
        <is>
          <t>not_applicable</t>
        </is>
      </c>
      <c r="G5" s="3" t="inlineStr">
        <is>
          <t>not_applicable</t>
        </is>
      </c>
      <c r="H5" s="3" t="inlineStr">
        <is>
          <t>not_applicable</t>
        </is>
      </c>
      <c r="I5" s="3" t="inlineStr">
        <is>
          <t>SYNTHETIC TEST DATA ONLY. Exclude is a placeholder for testing the checker workflow, not a scientific assessment. Do not use this sample in research results.</t>
        </is>
      </c>
      <c r="J5" s="3" t="inlineStr">
        <is>
          <t>yes</t>
        </is>
      </c>
    </row>
    <row r="6" ht="136" customHeight="1">
      <c r="A6" s="2" t="inlineStr">
        <is>
          <t>2019::jama.2019.0556::C005</t>
        </is>
      </c>
      <c r="B6" s="2" t="inlineStr">
        <is>
          <t>exclude</t>
        </is>
      </c>
      <c r="C6" s="2" t="inlineStr">
        <is>
          <t>statistical_results</t>
        </is>
      </c>
      <c r="D6" s="2" t="inlineStr">
        <is>
          <t>not_applicable</t>
        </is>
      </c>
      <c r="E6" s="2" t="inlineStr">
        <is>
          <t>not_applicable</t>
        </is>
      </c>
      <c r="F6" s="2" t="inlineStr">
        <is>
          <t>not_applicable</t>
        </is>
      </c>
      <c r="G6" s="2" t="inlineStr">
        <is>
          <t>not_applicable</t>
        </is>
      </c>
      <c r="H6" s="2" t="inlineStr">
        <is>
          <t>not_applicable</t>
        </is>
      </c>
      <c r="I6" s="2" t="inlineStr">
        <is>
          <t>SYNTHETIC TEST DATA ONLY. Exclude is a placeholder for testing the checker workflow, not a scientific assessment. Do not use this sample in research results.</t>
        </is>
      </c>
      <c r="J6" s="2" t="inlineStr">
        <is>
          <t>yes</t>
        </is>
      </c>
    </row>
    <row r="7" ht="136" customHeight="1">
      <c r="A7" s="3" t="inlineStr">
        <is>
          <t>2019::jama.2019.0556::C006</t>
        </is>
      </c>
      <c r="B7" s="3" t="inlineStr">
        <is>
          <t>exclude</t>
        </is>
      </c>
      <c r="C7" s="3" t="inlineStr">
        <is>
          <t>plan_material</t>
        </is>
      </c>
      <c r="D7" s="3" t="inlineStr">
        <is>
          <t>not_applicable</t>
        </is>
      </c>
      <c r="E7" s="3" t="inlineStr">
        <is>
          <t>not_applicable</t>
        </is>
      </c>
      <c r="F7" s="3" t="inlineStr">
        <is>
          <t>not_applicable</t>
        </is>
      </c>
      <c r="G7" s="3" t="inlineStr">
        <is>
          <t>not_applicable</t>
        </is>
      </c>
      <c r="H7" s="3" t="inlineStr">
        <is>
          <t>not_applicable</t>
        </is>
      </c>
      <c r="I7" s="3" t="inlineStr">
        <is>
          <t>SYNTHETIC TEST DATA ONLY. Exclude is a placeholder for testing the checker workflow, not a scientific assessment. Do not use this sample in research results.</t>
        </is>
      </c>
      <c r="J7" s="3" t="inlineStr">
        <is>
          <t>yes</t>
        </is>
      </c>
    </row>
    <row r="8" ht="136" customHeight="1">
      <c r="A8" s="2" t="inlineStr">
        <is>
          <t>2019::jama.2019.0556::C007</t>
        </is>
      </c>
      <c r="B8" s="2" t="inlineStr">
        <is>
          <t>exclude</t>
        </is>
      </c>
      <c r="C8" s="2" t="inlineStr">
        <is>
          <t>protocol_report</t>
        </is>
      </c>
      <c r="D8" s="2" t="inlineStr">
        <is>
          <t>not_applicable</t>
        </is>
      </c>
      <c r="E8" s="2" t="inlineStr">
        <is>
          <t>not_applicable</t>
        </is>
      </c>
      <c r="F8" s="2" t="inlineStr">
        <is>
          <t>not_applicable</t>
        </is>
      </c>
      <c r="G8" s="2" t="inlineStr">
        <is>
          <t>not_applicable</t>
        </is>
      </c>
      <c r="H8" s="2" t="inlineStr">
        <is>
          <t>not_applicable</t>
        </is>
      </c>
      <c r="I8" s="2" t="inlineStr">
        <is>
          <t>SYNTHETIC TEST DATA ONLY. Exclude is a placeholder for testing the checker workflow, not a scientific assessment. Do not use this sample in research results.</t>
        </is>
      </c>
      <c r="J8" s="2" t="inlineStr">
        <is>
          <t>yes</t>
        </is>
      </c>
    </row>
    <row r="9" ht="136" customHeight="1">
      <c r="A9" s="3" t="inlineStr">
        <is>
          <t>2019::jama.2019.0556::C008</t>
        </is>
      </c>
      <c r="B9" s="3" t="inlineStr">
        <is>
          <t>exclude</t>
        </is>
      </c>
      <c r="C9" s="3" t="inlineStr">
        <is>
          <t>plan_material</t>
        </is>
      </c>
      <c r="D9" s="3" t="inlineStr">
        <is>
          <t>not_applicable</t>
        </is>
      </c>
      <c r="E9" s="3" t="inlineStr">
        <is>
          <t>not_applicable</t>
        </is>
      </c>
      <c r="F9" s="3" t="inlineStr">
        <is>
          <t>not_applicable</t>
        </is>
      </c>
      <c r="G9" s="3" t="inlineStr">
        <is>
          <t>not_applicable</t>
        </is>
      </c>
      <c r="H9" s="3" t="inlineStr">
        <is>
          <t>not_applicable</t>
        </is>
      </c>
      <c r="I9" s="3" t="inlineStr">
        <is>
          <t>SYNTHETIC TEST DATA ONLY. Exclude is a placeholder for testing the checker workflow, not a scientific assessment. Do not use this sample in research results.</t>
        </is>
      </c>
      <c r="J9" s="3" t="inlineStr">
        <is>
          <t>yes</t>
        </is>
      </c>
    </row>
    <row r="10" ht="136" customHeight="1">
      <c r="A10" s="2" t="inlineStr">
        <is>
          <t>2019::jama.2019.0556::C009</t>
        </is>
      </c>
      <c r="B10" s="2" t="inlineStr">
        <is>
          <t>exclude</t>
        </is>
      </c>
      <c r="C10" s="2" t="inlineStr">
        <is>
          <t>plan_material</t>
        </is>
      </c>
      <c r="D10" s="2" t="inlineStr">
        <is>
          <t>not_applicable</t>
        </is>
      </c>
      <c r="E10" s="2" t="inlineStr">
        <is>
          <t>not_applicable</t>
        </is>
      </c>
      <c r="F10" s="2" t="inlineStr">
        <is>
          <t>not_applicable</t>
        </is>
      </c>
      <c r="G10" s="2" t="inlineStr">
        <is>
          <t>not_applicable</t>
        </is>
      </c>
      <c r="H10" s="2" t="inlineStr">
        <is>
          <t>not_applicable</t>
        </is>
      </c>
      <c r="I10" s="2" t="inlineStr">
        <is>
          <t>SYNTHETIC TEST DATA ONLY. Exclude is a placeholder for testing the checker workflow, not a scientific assessment. Do not use this sample in research results.</t>
        </is>
      </c>
      <c r="J10" s="2" t="inlineStr">
        <is>
          <t>yes</t>
        </is>
      </c>
    </row>
    <row r="11" ht="136" customHeight="1">
      <c r="A11" s="3" t="inlineStr">
        <is>
          <t>2019::jama.2019.10517::C001</t>
        </is>
      </c>
      <c r="B11" s="3" t="inlineStr">
        <is>
          <t>exclude</t>
        </is>
      </c>
      <c r="C11" s="3" t="inlineStr">
        <is>
          <t>statistical_results</t>
        </is>
      </c>
      <c r="D11" s="3" t="inlineStr">
        <is>
          <t>not_applicable</t>
        </is>
      </c>
      <c r="E11" s="3" t="inlineStr">
        <is>
          <t>not_applicable</t>
        </is>
      </c>
      <c r="F11" s="3" t="inlineStr">
        <is>
          <t>not_applicable</t>
        </is>
      </c>
      <c r="G11" s="3" t="inlineStr">
        <is>
          <t>not_applicable</t>
        </is>
      </c>
      <c r="H11" s="3" t="inlineStr">
        <is>
          <t>not_applicable</t>
        </is>
      </c>
      <c r="I11" s="3" t="inlineStr">
        <is>
          <t>SYNTHETIC TEST DATA ONLY. Exclude is a placeholder for testing the checker workflow, not a scientific assessment. Do not use this sample in research results.</t>
        </is>
      </c>
      <c r="J11" s="3" t="inlineStr">
        <is>
          <t>yes</t>
        </is>
      </c>
    </row>
    <row r="12" ht="136" customHeight="1">
      <c r="A12" s="2" t="inlineStr">
        <is>
          <t>2019::jama.2019.10517::C002</t>
        </is>
      </c>
      <c r="B12" s="2" t="inlineStr">
        <is>
          <t>exclude</t>
        </is>
      </c>
      <c r="C12" s="2" t="inlineStr">
        <is>
          <t>report_internal_inconsistency</t>
        </is>
      </c>
      <c r="D12" s="2" t="inlineStr">
        <is>
          <t>not_applicable</t>
        </is>
      </c>
      <c r="E12" s="2" t="inlineStr">
        <is>
          <t>not_applicable</t>
        </is>
      </c>
      <c r="F12" s="2" t="inlineStr">
        <is>
          <t>not_applicable</t>
        </is>
      </c>
      <c r="G12" s="2" t="inlineStr">
        <is>
          <t>not_applicable</t>
        </is>
      </c>
      <c r="H12" s="2" t="inlineStr">
        <is>
          <t>not_applicable</t>
        </is>
      </c>
      <c r="I12" s="2" t="inlineStr">
        <is>
          <t>SYNTHETIC TEST DATA ONLY. Exclude is a placeholder for testing the checker workflow, not a scientific assessment. Do not use this sample in research results.</t>
        </is>
      </c>
      <c r="J12" s="2" t="inlineStr">
        <is>
          <t>yes</t>
        </is>
      </c>
    </row>
    <row r="13" ht="136" customHeight="1">
      <c r="A13" s="3" t="inlineStr">
        <is>
          <t>2019::jama.2019.10517::C003</t>
        </is>
      </c>
      <c r="B13" s="3" t="inlineStr">
        <is>
          <t>exclude</t>
        </is>
      </c>
      <c r="C13" s="3" t="inlineStr">
        <is>
          <t>plan_material</t>
        </is>
      </c>
      <c r="D13" s="3" t="inlineStr">
        <is>
          <t>not_applicable</t>
        </is>
      </c>
      <c r="E13" s="3" t="inlineStr">
        <is>
          <t>not_applicable</t>
        </is>
      </c>
      <c r="F13" s="3" t="inlineStr">
        <is>
          <t>not_applicable</t>
        </is>
      </c>
      <c r="G13" s="3" t="inlineStr">
        <is>
          <t>not_applicable</t>
        </is>
      </c>
      <c r="H13" s="3" t="inlineStr">
        <is>
          <t>not_applicable</t>
        </is>
      </c>
      <c r="I13" s="3" t="inlineStr">
        <is>
          <t>SYNTHETIC TEST DATA ONLY. Exclude is a placeholder for testing the checker workflow, not a scientific assessment. Do not use this sample in research results.</t>
        </is>
      </c>
      <c r="J13" s="3" t="inlineStr">
        <is>
          <t>yes</t>
        </is>
      </c>
    </row>
    <row r="14" ht="136" customHeight="1">
      <c r="A14" s="2" t="inlineStr">
        <is>
          <t>2019::jama.2019.12618::C001</t>
        </is>
      </c>
      <c r="B14" s="2" t="inlineStr">
        <is>
          <t>exclude</t>
        </is>
      </c>
      <c r="C14" s="2" t="inlineStr">
        <is>
          <t>plan_material</t>
        </is>
      </c>
      <c r="D14" s="2" t="inlineStr">
        <is>
          <t>not_applicable</t>
        </is>
      </c>
      <c r="E14" s="2" t="inlineStr">
        <is>
          <t>not_applicable</t>
        </is>
      </c>
      <c r="F14" s="2" t="inlineStr">
        <is>
          <t>not_applicable</t>
        </is>
      </c>
      <c r="G14" s="2" t="inlineStr">
        <is>
          <t>not_applicable</t>
        </is>
      </c>
      <c r="H14" s="2" t="inlineStr">
        <is>
          <t>not_applicable</t>
        </is>
      </c>
      <c r="I14" s="2" t="inlineStr">
        <is>
          <t>SYNTHETIC TEST DATA ONLY. Exclude is a placeholder for testing the checker workflow, not a scientific assessment. Do not use this sample in research results.</t>
        </is>
      </c>
      <c r="J14" s="2" t="inlineStr">
        <is>
          <t>yes</t>
        </is>
      </c>
    </row>
    <row r="15" ht="136" customHeight="1">
      <c r="A15" s="3" t="inlineStr">
        <is>
          <t>2019::jama.2019.12618::C002</t>
        </is>
      </c>
      <c r="B15" s="3" t="inlineStr">
        <is>
          <t>exclude</t>
        </is>
      </c>
      <c r="C15" s="3" t="inlineStr">
        <is>
          <t>statistical_results</t>
        </is>
      </c>
      <c r="D15" s="3" t="inlineStr">
        <is>
          <t>not_applicable</t>
        </is>
      </c>
      <c r="E15" s="3" t="inlineStr">
        <is>
          <t>not_applicable</t>
        </is>
      </c>
      <c r="F15" s="3" t="inlineStr">
        <is>
          <t>not_applicable</t>
        </is>
      </c>
      <c r="G15" s="3" t="inlineStr">
        <is>
          <t>not_applicable</t>
        </is>
      </c>
      <c r="H15" s="3" t="inlineStr">
        <is>
          <t>not_applicable</t>
        </is>
      </c>
      <c r="I15" s="3" t="inlineStr">
        <is>
          <t>SYNTHETIC TEST DATA ONLY. Exclude is a placeholder for testing the checker workflow, not a scientific assessment. Do not use this sample in research results.</t>
        </is>
      </c>
      <c r="J15" s="3" t="inlineStr">
        <is>
          <t>yes</t>
        </is>
      </c>
    </row>
    <row r="16" ht="136" customHeight="1">
      <c r="A16" s="2" t="inlineStr">
        <is>
          <t>2019::jama.2019.12618::C003</t>
        </is>
      </c>
      <c r="B16" s="2" t="inlineStr">
        <is>
          <t>exclude</t>
        </is>
      </c>
      <c r="C16" s="2" t="inlineStr">
        <is>
          <t>protocol_report</t>
        </is>
      </c>
      <c r="D16" s="2" t="inlineStr">
        <is>
          <t>not_applicable</t>
        </is>
      </c>
      <c r="E16" s="2" t="inlineStr">
        <is>
          <t>not_applicable</t>
        </is>
      </c>
      <c r="F16" s="2" t="inlineStr">
        <is>
          <t>not_applicable</t>
        </is>
      </c>
      <c r="G16" s="2" t="inlineStr">
        <is>
          <t>not_applicable</t>
        </is>
      </c>
      <c r="H16" s="2" t="inlineStr">
        <is>
          <t>not_applicable</t>
        </is>
      </c>
      <c r="I16" s="2" t="inlineStr">
        <is>
          <t>SYNTHETIC TEST DATA ONLY. Exclude is a placeholder for testing the checker workflow, not a scientific assessment. Do not use this sample in research results.</t>
        </is>
      </c>
      <c r="J16" s="2" t="inlineStr">
        <is>
          <t>yes</t>
        </is>
      </c>
    </row>
    <row r="17" ht="136" customHeight="1">
      <c r="A17" s="3" t="inlineStr">
        <is>
          <t>2019::jama.2019.12618::C004</t>
        </is>
      </c>
      <c r="B17" s="3" t="inlineStr">
        <is>
          <t>exclude</t>
        </is>
      </c>
      <c r="C17" s="3" t="inlineStr">
        <is>
          <t>protocol_report</t>
        </is>
      </c>
      <c r="D17" s="3" t="inlineStr">
        <is>
          <t>not_applicable</t>
        </is>
      </c>
      <c r="E17" s="3" t="inlineStr">
        <is>
          <t>not_applicable</t>
        </is>
      </c>
      <c r="F17" s="3" t="inlineStr">
        <is>
          <t>not_applicable</t>
        </is>
      </c>
      <c r="G17" s="3" t="inlineStr">
        <is>
          <t>not_applicable</t>
        </is>
      </c>
      <c r="H17" s="3" t="inlineStr">
        <is>
          <t>not_applicable</t>
        </is>
      </c>
      <c r="I17" s="3" t="inlineStr">
        <is>
          <t>SYNTHETIC TEST DATA ONLY. Exclude is a placeholder for testing the checker workflow, not a scientific assessment. Do not use this sample in research results.</t>
        </is>
      </c>
      <c r="J17" s="3" t="inlineStr">
        <is>
          <t>yes</t>
        </is>
      </c>
    </row>
    <row r="18" ht="136" customHeight="1">
      <c r="A18" s="2" t="inlineStr">
        <is>
          <t>2019::jama.2019.12618::C005</t>
        </is>
      </c>
      <c r="B18" s="2" t="inlineStr">
        <is>
          <t>exclude</t>
        </is>
      </c>
      <c r="C18" s="2" t="inlineStr">
        <is>
          <t>statistical_results</t>
        </is>
      </c>
      <c r="D18" s="2" t="inlineStr">
        <is>
          <t>not_applicable</t>
        </is>
      </c>
      <c r="E18" s="2" t="inlineStr">
        <is>
          <t>not_applicable</t>
        </is>
      </c>
      <c r="F18" s="2" t="inlineStr">
        <is>
          <t>not_applicable</t>
        </is>
      </c>
      <c r="G18" s="2" t="inlineStr">
        <is>
          <t>not_applicable</t>
        </is>
      </c>
      <c r="H18" s="2" t="inlineStr">
        <is>
          <t>not_applicable</t>
        </is>
      </c>
      <c r="I18" s="2" t="inlineStr">
        <is>
          <t>SYNTHETIC TEST DATA ONLY. Exclude is a placeholder for testing the checker workflow, not a scientific assessment. Do not use this sample in research results.</t>
        </is>
      </c>
      <c r="J18" s="2" t="inlineStr">
        <is>
          <t>yes</t>
        </is>
      </c>
    </row>
    <row r="19" ht="136" customHeight="1">
      <c r="A19" s="3" t="inlineStr">
        <is>
          <t>2019::jama.2019.12618::C006</t>
        </is>
      </c>
      <c r="B19" s="3" t="inlineStr">
        <is>
          <t>exclude</t>
        </is>
      </c>
      <c r="C19" s="3" t="inlineStr">
        <is>
          <t>report_internal_inconsistency</t>
        </is>
      </c>
      <c r="D19" s="3" t="inlineStr">
        <is>
          <t>not_applicable</t>
        </is>
      </c>
      <c r="E19" s="3" t="inlineStr">
        <is>
          <t>not_applicable</t>
        </is>
      </c>
      <c r="F19" s="3" t="inlineStr">
        <is>
          <t>not_applicable</t>
        </is>
      </c>
      <c r="G19" s="3" t="inlineStr">
        <is>
          <t>not_applicable</t>
        </is>
      </c>
      <c r="H19" s="3" t="inlineStr">
        <is>
          <t>not_applicable</t>
        </is>
      </c>
      <c r="I19" s="3" t="inlineStr">
        <is>
          <t>SYNTHETIC TEST DATA ONLY. Exclude is a placeholder for testing the checker workflow, not a scientific assessment. Do not use this sample in research results.</t>
        </is>
      </c>
      <c r="J19" s="3" t="inlineStr">
        <is>
          <t>yes</t>
        </is>
      </c>
    </row>
    <row r="20" ht="136" customHeight="1">
      <c r="A20" s="2" t="inlineStr">
        <is>
          <t>2019::jama.2019.12618::C007</t>
        </is>
      </c>
      <c r="B20" s="2" t="inlineStr">
        <is>
          <t>exclude</t>
        </is>
      </c>
      <c r="C20" s="2" t="inlineStr">
        <is>
          <t>statistical_results</t>
        </is>
      </c>
      <c r="D20" s="2" t="inlineStr">
        <is>
          <t>not_applicable</t>
        </is>
      </c>
      <c r="E20" s="2" t="inlineStr">
        <is>
          <t>not_applicable</t>
        </is>
      </c>
      <c r="F20" s="2" t="inlineStr">
        <is>
          <t>not_applicable</t>
        </is>
      </c>
      <c r="G20" s="2" t="inlineStr">
        <is>
          <t>not_applicable</t>
        </is>
      </c>
      <c r="H20" s="2" t="inlineStr">
        <is>
          <t>not_applicable</t>
        </is>
      </c>
      <c r="I20" s="2" t="inlineStr">
        <is>
          <t>SYNTHETIC TEST DATA ONLY. Exclude is a placeholder for testing the checker workflow, not a scientific assessment. Do not use this sample in research results.</t>
        </is>
      </c>
      <c r="J20" s="2" t="inlineStr">
        <is>
          <t>yes</t>
        </is>
      </c>
    </row>
    <row r="21" ht="136" customHeight="1">
      <c r="A21" s="3" t="inlineStr">
        <is>
          <t>2019::jama.2019.12618::C008</t>
        </is>
      </c>
      <c r="B21" s="3" t="inlineStr">
        <is>
          <t>exclude</t>
        </is>
      </c>
      <c r="C21" s="3" t="inlineStr">
        <is>
          <t>report_internal_inconsistency</t>
        </is>
      </c>
      <c r="D21" s="3" t="inlineStr">
        <is>
          <t>not_applicable</t>
        </is>
      </c>
      <c r="E21" s="3" t="inlineStr">
        <is>
          <t>not_applicable</t>
        </is>
      </c>
      <c r="F21" s="3" t="inlineStr">
        <is>
          <t>not_applicable</t>
        </is>
      </c>
      <c r="G21" s="3" t="inlineStr">
        <is>
          <t>not_applicable</t>
        </is>
      </c>
      <c r="H21" s="3" t="inlineStr">
        <is>
          <t>not_applicable</t>
        </is>
      </c>
      <c r="I21" s="3" t="inlineStr">
        <is>
          <t>SYNTHETIC TEST DATA ONLY. Exclude is a placeholder for testing the checker workflow, not a scientific assessment. Do not use this sample in research results.</t>
        </is>
      </c>
      <c r="J21" s="3" t="inlineStr">
        <is>
          <t>yes</t>
        </is>
      </c>
    </row>
    <row r="22" ht="136" customHeight="1">
      <c r="A22" s="2" t="inlineStr">
        <is>
          <t>2019::jama.2019.14231::C001</t>
        </is>
      </c>
      <c r="B22" s="2" t="inlineStr">
        <is>
          <t>exclude</t>
        </is>
      </c>
      <c r="C22" s="2" t="inlineStr">
        <is>
          <t>protocol_report</t>
        </is>
      </c>
      <c r="D22" s="2" t="inlineStr">
        <is>
          <t>not_applicable</t>
        </is>
      </c>
      <c r="E22" s="2" t="inlineStr">
        <is>
          <t>not_applicable</t>
        </is>
      </c>
      <c r="F22" s="2" t="inlineStr">
        <is>
          <t>not_applicable</t>
        </is>
      </c>
      <c r="G22" s="2" t="inlineStr">
        <is>
          <t>not_applicable</t>
        </is>
      </c>
      <c r="H22" s="2" t="inlineStr">
        <is>
          <t>not_applicable</t>
        </is>
      </c>
      <c r="I22" s="2" t="inlineStr">
        <is>
          <t>SYNTHETIC TEST DATA ONLY. Exclude is a placeholder for testing the checker workflow, not a scientific assessment. Do not use this sample in research results.</t>
        </is>
      </c>
      <c r="J22" s="2" t="inlineStr">
        <is>
          <t>yes</t>
        </is>
      </c>
    </row>
    <row r="23" ht="136" customHeight="1">
      <c r="A23" s="3" t="inlineStr">
        <is>
          <t>2019::jama.2019.14231::C002</t>
        </is>
      </c>
      <c r="B23" s="3" t="inlineStr">
        <is>
          <t>exclude</t>
        </is>
      </c>
      <c r="C23" s="3" t="inlineStr">
        <is>
          <t>statistical_results</t>
        </is>
      </c>
      <c r="D23" s="3" t="inlineStr">
        <is>
          <t>not_applicable</t>
        </is>
      </c>
      <c r="E23" s="3" t="inlineStr">
        <is>
          <t>not_applicable</t>
        </is>
      </c>
      <c r="F23" s="3" t="inlineStr">
        <is>
          <t>not_applicable</t>
        </is>
      </c>
      <c r="G23" s="3" t="inlineStr">
        <is>
          <t>not_applicable</t>
        </is>
      </c>
      <c r="H23" s="3" t="inlineStr">
        <is>
          <t>not_applicable</t>
        </is>
      </c>
      <c r="I23" s="3" t="inlineStr">
        <is>
          <t>SYNTHETIC TEST DATA ONLY. Exclude is a placeholder for testing the checker workflow, not a scientific assessment. Do not use this sample in research results.</t>
        </is>
      </c>
      <c r="J23" s="3" t="inlineStr">
        <is>
          <t>yes</t>
        </is>
      </c>
    </row>
    <row r="24" ht="136" customHeight="1">
      <c r="A24" s="2" t="inlineStr">
        <is>
          <t>2019::jama.2019.14231::C003</t>
        </is>
      </c>
      <c r="B24" s="2" t="inlineStr">
        <is>
          <t>exclude</t>
        </is>
      </c>
      <c r="C24" s="2" t="inlineStr">
        <is>
          <t>statistical_results</t>
        </is>
      </c>
      <c r="D24" s="2" t="inlineStr">
        <is>
          <t>not_applicable</t>
        </is>
      </c>
      <c r="E24" s="2" t="inlineStr">
        <is>
          <t>not_applicable</t>
        </is>
      </c>
      <c r="F24" s="2" t="inlineStr">
        <is>
          <t>not_applicable</t>
        </is>
      </c>
      <c r="G24" s="2" t="inlineStr">
        <is>
          <t>not_applicable</t>
        </is>
      </c>
      <c r="H24" s="2" t="inlineStr">
        <is>
          <t>not_applicable</t>
        </is>
      </c>
      <c r="I24" s="2" t="inlineStr">
        <is>
          <t>SYNTHETIC TEST DATA ONLY. Exclude is a placeholder for testing the checker workflow, not a scientific assessment. Do not use this sample in research results.</t>
        </is>
      </c>
      <c r="J24" s="2" t="inlineStr">
        <is>
          <t>yes</t>
        </is>
      </c>
    </row>
    <row r="25" ht="136" customHeight="1">
      <c r="A25" s="3" t="inlineStr">
        <is>
          <t>2019::jama.2019.14231::C004</t>
        </is>
      </c>
      <c r="B25" s="3" t="inlineStr">
        <is>
          <t>exclude</t>
        </is>
      </c>
      <c r="C25" s="3" t="inlineStr">
        <is>
          <t>statistical_results</t>
        </is>
      </c>
      <c r="D25" s="3" t="inlineStr">
        <is>
          <t>not_applicable</t>
        </is>
      </c>
      <c r="E25" s="3" t="inlineStr">
        <is>
          <t>not_applicable</t>
        </is>
      </c>
      <c r="F25" s="3" t="inlineStr">
        <is>
          <t>not_applicable</t>
        </is>
      </c>
      <c r="G25" s="3" t="inlineStr">
        <is>
          <t>not_applicable</t>
        </is>
      </c>
      <c r="H25" s="3" t="inlineStr">
        <is>
          <t>not_applicable</t>
        </is>
      </c>
      <c r="I25" s="3" t="inlineStr">
        <is>
          <t>SYNTHETIC TEST DATA ONLY. Exclude is a placeholder for testing the checker workflow, not a scientific assessment. Do not use this sample in research results.</t>
        </is>
      </c>
      <c r="J25" s="3" t="inlineStr">
        <is>
          <t>yes</t>
        </is>
      </c>
    </row>
    <row r="26" ht="136" customHeight="1">
      <c r="A26" s="2" t="inlineStr">
        <is>
          <t>2019::jama.2019.14231::C005</t>
        </is>
      </c>
      <c r="B26" s="2" t="inlineStr">
        <is>
          <t>exclude</t>
        </is>
      </c>
      <c r="C26" s="2" t="inlineStr">
        <is>
          <t>statistical_results</t>
        </is>
      </c>
      <c r="D26" s="2" t="inlineStr">
        <is>
          <t>not_applicable</t>
        </is>
      </c>
      <c r="E26" s="2" t="inlineStr">
        <is>
          <t>not_applicable</t>
        </is>
      </c>
      <c r="F26" s="2" t="inlineStr">
        <is>
          <t>not_applicable</t>
        </is>
      </c>
      <c r="G26" s="2" t="inlineStr">
        <is>
          <t>not_applicable</t>
        </is>
      </c>
      <c r="H26" s="2" t="inlineStr">
        <is>
          <t>not_applicable</t>
        </is>
      </c>
      <c r="I26" s="2" t="inlineStr">
        <is>
          <t>SYNTHETIC TEST DATA ONLY. Exclude is a placeholder for testing the checker workflow, not a scientific assessment. Do not use this sample in research results.</t>
        </is>
      </c>
      <c r="J26" s="2" t="inlineStr">
        <is>
          <t>yes</t>
        </is>
      </c>
    </row>
    <row r="27" ht="136" customHeight="1">
      <c r="A27" s="3" t="inlineStr">
        <is>
          <t>2019::jama.2019.14231::C006</t>
        </is>
      </c>
      <c r="B27" s="3" t="inlineStr">
        <is>
          <t>exclude</t>
        </is>
      </c>
      <c r="C27" s="3" t="inlineStr">
        <is>
          <t>statistical_results</t>
        </is>
      </c>
      <c r="D27" s="3" t="inlineStr">
        <is>
          <t>not_applicable</t>
        </is>
      </c>
      <c r="E27" s="3" t="inlineStr">
        <is>
          <t>not_applicable</t>
        </is>
      </c>
      <c r="F27" s="3" t="inlineStr">
        <is>
          <t>not_applicable</t>
        </is>
      </c>
      <c r="G27" s="3" t="inlineStr">
        <is>
          <t>not_applicable</t>
        </is>
      </c>
      <c r="H27" s="3" t="inlineStr">
        <is>
          <t>not_applicable</t>
        </is>
      </c>
      <c r="I27" s="3" t="inlineStr">
        <is>
          <t>SYNTHETIC TEST DATA ONLY. Exclude is a placeholder for testing the checker workflow, not a scientific assessment. Do not use this sample in research results.</t>
        </is>
      </c>
      <c r="J27" s="3" t="inlineStr">
        <is>
          <t>yes</t>
        </is>
      </c>
    </row>
    <row r="28" ht="136" customHeight="1">
      <c r="A28" s="2" t="inlineStr">
        <is>
          <t>2019::jama.2019.14231::C007</t>
        </is>
      </c>
      <c r="B28" s="2" t="inlineStr">
        <is>
          <t>exclude</t>
        </is>
      </c>
      <c r="C28" s="2" t="inlineStr">
        <is>
          <t>statistical_results</t>
        </is>
      </c>
      <c r="D28" s="2" t="inlineStr">
        <is>
          <t>not_applicable</t>
        </is>
      </c>
      <c r="E28" s="2" t="inlineStr">
        <is>
          <t>not_applicable</t>
        </is>
      </c>
      <c r="F28" s="2" t="inlineStr">
        <is>
          <t>not_applicable</t>
        </is>
      </c>
      <c r="G28" s="2" t="inlineStr">
        <is>
          <t>not_applicable</t>
        </is>
      </c>
      <c r="H28" s="2" t="inlineStr">
        <is>
          <t>not_applicable</t>
        </is>
      </c>
      <c r="I28" s="2" t="inlineStr">
        <is>
          <t>SYNTHETIC TEST DATA ONLY. Exclude is a placeholder for testing the checker workflow, not a scientific assessment. Do not use this sample in research results.</t>
        </is>
      </c>
      <c r="J28" s="2" t="inlineStr">
        <is>
          <t>yes</t>
        </is>
      </c>
    </row>
    <row r="29" ht="136" customHeight="1">
      <c r="A29" s="3" t="inlineStr">
        <is>
          <t>2019::jama.2019.14231::C008</t>
        </is>
      </c>
      <c r="B29" s="3" t="inlineStr">
        <is>
          <t>exclude</t>
        </is>
      </c>
      <c r="C29" s="3" t="inlineStr">
        <is>
          <t>report_internal_inconsistency</t>
        </is>
      </c>
      <c r="D29" s="3" t="inlineStr">
        <is>
          <t>not_applicable</t>
        </is>
      </c>
      <c r="E29" s="3" t="inlineStr">
        <is>
          <t>not_applicable</t>
        </is>
      </c>
      <c r="F29" s="3" t="inlineStr">
        <is>
          <t>not_applicable</t>
        </is>
      </c>
      <c r="G29" s="3" t="inlineStr">
        <is>
          <t>not_applicable</t>
        </is>
      </c>
      <c r="H29" s="3" t="inlineStr">
        <is>
          <t>not_applicable</t>
        </is>
      </c>
      <c r="I29" s="3" t="inlineStr">
        <is>
          <t>SYNTHETIC TEST DATA ONLY. Exclude is a placeholder for testing the checker workflow, not a scientific assessment. Do not use this sample in research results.</t>
        </is>
      </c>
      <c r="J29" s="3" t="inlineStr">
        <is>
          <t>yes</t>
        </is>
      </c>
    </row>
    <row r="30" ht="136" customHeight="1">
      <c r="A30" s="2" t="inlineStr">
        <is>
          <t>2019::jama.2019.14231::C009</t>
        </is>
      </c>
      <c r="B30" s="2" t="inlineStr">
        <is>
          <t>exclude</t>
        </is>
      </c>
      <c r="C30" s="2" t="inlineStr">
        <is>
          <t>report_internal_inconsistency</t>
        </is>
      </c>
      <c r="D30" s="2" t="inlineStr">
        <is>
          <t>not_applicable</t>
        </is>
      </c>
      <c r="E30" s="2" t="inlineStr">
        <is>
          <t>not_applicable</t>
        </is>
      </c>
      <c r="F30" s="2" t="inlineStr">
        <is>
          <t>not_applicable</t>
        </is>
      </c>
      <c r="G30" s="2" t="inlineStr">
        <is>
          <t>not_applicable</t>
        </is>
      </c>
      <c r="H30" s="2" t="inlineStr">
        <is>
          <t>not_applicable</t>
        </is>
      </c>
      <c r="I30" s="2" t="inlineStr">
        <is>
          <t>SYNTHETIC TEST DATA ONLY. Exclude is a placeholder for testing the checker workflow, not a scientific assessment. Do not use this sample in research results.</t>
        </is>
      </c>
      <c r="J30" s="2" t="inlineStr">
        <is>
          <t>yes</t>
        </is>
      </c>
    </row>
    <row r="31" ht="136" customHeight="1">
      <c r="A31" s="3" t="inlineStr">
        <is>
          <t>2019::jama.2019.14231::C010</t>
        </is>
      </c>
      <c r="B31" s="3" t="inlineStr">
        <is>
          <t>exclude</t>
        </is>
      </c>
      <c r="C31" s="3" t="inlineStr">
        <is>
          <t>statistical_results</t>
        </is>
      </c>
      <c r="D31" s="3" t="inlineStr">
        <is>
          <t>not_applicable</t>
        </is>
      </c>
      <c r="E31" s="3" t="inlineStr">
        <is>
          <t>not_applicable</t>
        </is>
      </c>
      <c r="F31" s="3" t="inlineStr">
        <is>
          <t>not_applicable</t>
        </is>
      </c>
      <c r="G31" s="3" t="inlineStr">
        <is>
          <t>not_applicable</t>
        </is>
      </c>
      <c r="H31" s="3" t="inlineStr">
        <is>
          <t>not_applicable</t>
        </is>
      </c>
      <c r="I31" s="3" t="inlineStr">
        <is>
          <t>SYNTHETIC TEST DATA ONLY. Exclude is a placeholder for testing the checker workflow, not a scientific assessment. Do not use this sample in research results.</t>
        </is>
      </c>
      <c r="J31" s="3" t="inlineStr">
        <is>
          <t>yes</t>
        </is>
      </c>
    </row>
    <row r="32" ht="136" customHeight="1">
      <c r="A32" s="2" t="inlineStr">
        <is>
          <t>2019::jama.2019.14231::C011</t>
        </is>
      </c>
      <c r="B32" s="2" t="inlineStr">
        <is>
          <t>exclude</t>
        </is>
      </c>
      <c r="C32" s="2" t="inlineStr">
        <is>
          <t>report_internal_inconsistency</t>
        </is>
      </c>
      <c r="D32" s="2" t="inlineStr">
        <is>
          <t>not_applicable</t>
        </is>
      </c>
      <c r="E32" s="2" t="inlineStr">
        <is>
          <t>not_applicable</t>
        </is>
      </c>
      <c r="F32" s="2" t="inlineStr">
        <is>
          <t>not_applicable</t>
        </is>
      </c>
      <c r="G32" s="2" t="inlineStr">
        <is>
          <t>not_applicable</t>
        </is>
      </c>
      <c r="H32" s="2" t="inlineStr">
        <is>
          <t>not_applicable</t>
        </is>
      </c>
      <c r="I32" s="2" t="inlineStr">
        <is>
          <t>SYNTHETIC TEST DATA ONLY. Exclude is a placeholder for testing the checker workflow, not a scientific assessment. Do not use this sample in research results.</t>
        </is>
      </c>
      <c r="J32" s="2" t="inlineStr">
        <is>
          <t>yes</t>
        </is>
      </c>
    </row>
    <row r="33" ht="136" customHeight="1">
      <c r="A33" s="3" t="inlineStr">
        <is>
          <t>2019::jama.2019.14630::C001</t>
        </is>
      </c>
      <c r="B33" s="3" t="inlineStr">
        <is>
          <t>exclude</t>
        </is>
      </c>
      <c r="C33" s="3" t="inlineStr">
        <is>
          <t>report_internal_inconsistency</t>
        </is>
      </c>
      <c r="D33" s="3" t="inlineStr">
        <is>
          <t>not_applicable</t>
        </is>
      </c>
      <c r="E33" s="3" t="inlineStr">
        <is>
          <t>not_applicable</t>
        </is>
      </c>
      <c r="F33" s="3" t="inlineStr">
        <is>
          <t>not_applicable</t>
        </is>
      </c>
      <c r="G33" s="3" t="inlineStr">
        <is>
          <t>not_applicable</t>
        </is>
      </c>
      <c r="H33" s="3" t="inlineStr">
        <is>
          <t>not_applicable</t>
        </is>
      </c>
      <c r="I33" s="3" t="inlineStr">
        <is>
          <t>SYNTHETIC TEST DATA ONLY. Exclude is a placeholder for testing the checker workflow, not a scientific assessment. Do not use this sample in research results.</t>
        </is>
      </c>
      <c r="J33" s="3" t="inlineStr">
        <is>
          <t>yes</t>
        </is>
      </c>
    </row>
    <row r="34" ht="136" customHeight="1">
      <c r="A34" s="2" t="inlineStr">
        <is>
          <t>2019::jama.2019.14630::C002</t>
        </is>
      </c>
      <c r="B34" s="2" t="inlineStr">
        <is>
          <t>exclude</t>
        </is>
      </c>
      <c r="C34" s="2" t="inlineStr">
        <is>
          <t>statistical_results</t>
        </is>
      </c>
      <c r="D34" s="2" t="inlineStr">
        <is>
          <t>not_applicable</t>
        </is>
      </c>
      <c r="E34" s="2" t="inlineStr">
        <is>
          <t>not_applicable</t>
        </is>
      </c>
      <c r="F34" s="2" t="inlineStr">
        <is>
          <t>not_applicable</t>
        </is>
      </c>
      <c r="G34" s="2" t="inlineStr">
        <is>
          <t>not_applicable</t>
        </is>
      </c>
      <c r="H34" s="2" t="inlineStr">
        <is>
          <t>not_applicable</t>
        </is>
      </c>
      <c r="I34" s="2" t="inlineStr">
        <is>
          <t>SYNTHETIC TEST DATA ONLY. Exclude is a placeholder for testing the checker workflow, not a scientific assessment. Do not use this sample in research results.</t>
        </is>
      </c>
      <c r="J34" s="2" t="inlineStr">
        <is>
          <t>yes</t>
        </is>
      </c>
    </row>
    <row r="35" ht="136" customHeight="1">
      <c r="A35" s="3" t="inlineStr">
        <is>
          <t>2019::jama.2019.14630::C003</t>
        </is>
      </c>
      <c r="B35" s="3" t="inlineStr">
        <is>
          <t>exclude</t>
        </is>
      </c>
      <c r="C35" s="3" t="inlineStr">
        <is>
          <t>report_internal_inconsistency</t>
        </is>
      </c>
      <c r="D35" s="3" t="inlineStr">
        <is>
          <t>not_applicable</t>
        </is>
      </c>
      <c r="E35" s="3" t="inlineStr">
        <is>
          <t>not_applicable</t>
        </is>
      </c>
      <c r="F35" s="3" t="inlineStr">
        <is>
          <t>not_applicable</t>
        </is>
      </c>
      <c r="G35" s="3" t="inlineStr">
        <is>
          <t>not_applicable</t>
        </is>
      </c>
      <c r="H35" s="3" t="inlineStr">
        <is>
          <t>not_applicable</t>
        </is>
      </c>
      <c r="I35" s="3" t="inlineStr">
        <is>
          <t>SYNTHETIC TEST DATA ONLY. Exclude is a placeholder for testing the checker workflow, not a scientific assessment. Do not use this sample in research results.</t>
        </is>
      </c>
      <c r="J35" s="3" t="inlineStr">
        <is>
          <t>yes</t>
        </is>
      </c>
    </row>
    <row r="36" ht="136" customHeight="1">
      <c r="A36" s="2" t="inlineStr">
        <is>
          <t>2019::jama.2019.14630::C004</t>
        </is>
      </c>
      <c r="B36" s="2" t="inlineStr">
        <is>
          <t>exclude</t>
        </is>
      </c>
      <c r="C36" s="2" t="inlineStr">
        <is>
          <t>report_internal_inconsistency</t>
        </is>
      </c>
      <c r="D36" s="2" t="inlineStr">
        <is>
          <t>not_applicable</t>
        </is>
      </c>
      <c r="E36" s="2" t="inlineStr">
        <is>
          <t>not_applicable</t>
        </is>
      </c>
      <c r="F36" s="2" t="inlineStr">
        <is>
          <t>not_applicable</t>
        </is>
      </c>
      <c r="G36" s="2" t="inlineStr">
        <is>
          <t>not_applicable</t>
        </is>
      </c>
      <c r="H36" s="2" t="inlineStr">
        <is>
          <t>not_applicable</t>
        </is>
      </c>
      <c r="I36" s="2" t="inlineStr">
        <is>
          <t>SYNTHETIC TEST DATA ONLY. Exclude is a placeholder for testing the checker workflow, not a scientific assessment. Do not use this sample in research results.</t>
        </is>
      </c>
      <c r="J36" s="2" t="inlineStr">
        <is>
          <t>yes</t>
        </is>
      </c>
    </row>
    <row r="37" ht="136" customHeight="1">
      <c r="A37" s="3" t="inlineStr">
        <is>
          <t>2019::jama.2019.14630::C005</t>
        </is>
      </c>
      <c r="B37" s="3" t="inlineStr">
        <is>
          <t>exclude</t>
        </is>
      </c>
      <c r="C37" s="3" t="inlineStr">
        <is>
          <t>report_internal_inconsistency</t>
        </is>
      </c>
      <c r="D37" s="3" t="inlineStr">
        <is>
          <t>not_applicable</t>
        </is>
      </c>
      <c r="E37" s="3" t="inlineStr">
        <is>
          <t>not_applicable</t>
        </is>
      </c>
      <c r="F37" s="3" t="inlineStr">
        <is>
          <t>not_applicable</t>
        </is>
      </c>
      <c r="G37" s="3" t="inlineStr">
        <is>
          <t>not_applicable</t>
        </is>
      </c>
      <c r="H37" s="3" t="inlineStr">
        <is>
          <t>not_applicable</t>
        </is>
      </c>
      <c r="I37" s="3" t="inlineStr">
        <is>
          <t>SYNTHETIC TEST DATA ONLY. Exclude is a placeholder for testing the checker workflow, not a scientific assessment. Do not use this sample in research results.</t>
        </is>
      </c>
      <c r="J37" s="3" t="inlineStr">
        <is>
          <t>yes</t>
        </is>
      </c>
    </row>
    <row r="38" ht="136" customHeight="1">
      <c r="A38" s="2" t="inlineStr">
        <is>
          <t>2019::jama.2019.14630::C006</t>
        </is>
      </c>
      <c r="B38" s="2" t="inlineStr">
        <is>
          <t>exclude</t>
        </is>
      </c>
      <c r="C38" s="2" t="inlineStr">
        <is>
          <t>report_internal_inconsistency</t>
        </is>
      </c>
      <c r="D38" s="2" t="inlineStr">
        <is>
          <t>not_applicable</t>
        </is>
      </c>
      <c r="E38" s="2" t="inlineStr">
        <is>
          <t>not_applicable</t>
        </is>
      </c>
      <c r="F38" s="2" t="inlineStr">
        <is>
          <t>not_applicable</t>
        </is>
      </c>
      <c r="G38" s="2" t="inlineStr">
        <is>
          <t>not_applicable</t>
        </is>
      </c>
      <c r="H38" s="2" t="inlineStr">
        <is>
          <t>not_applicable</t>
        </is>
      </c>
      <c r="I38" s="2" t="inlineStr">
        <is>
          <t>SYNTHETIC TEST DATA ONLY. Exclude is a placeholder for testing the checker workflow, not a scientific assessment. Do not use this sample in research results.</t>
        </is>
      </c>
      <c r="J38" s="2" t="inlineStr">
        <is>
          <t>yes</t>
        </is>
      </c>
    </row>
    <row r="39" ht="136" customHeight="1">
      <c r="A39" s="3" t="inlineStr">
        <is>
          <t>2019::jama.2019.14630::C007</t>
        </is>
      </c>
      <c r="B39" s="3" t="inlineStr">
        <is>
          <t>exclude</t>
        </is>
      </c>
      <c r="C39" s="3" t="inlineStr">
        <is>
          <t>report_internal_inconsistency</t>
        </is>
      </c>
      <c r="D39" s="3" t="inlineStr">
        <is>
          <t>not_applicable</t>
        </is>
      </c>
      <c r="E39" s="3" t="inlineStr">
        <is>
          <t>not_applicable</t>
        </is>
      </c>
      <c r="F39" s="3" t="inlineStr">
        <is>
          <t>not_applicable</t>
        </is>
      </c>
      <c r="G39" s="3" t="inlineStr">
        <is>
          <t>not_applicable</t>
        </is>
      </c>
      <c r="H39" s="3" t="inlineStr">
        <is>
          <t>not_applicable</t>
        </is>
      </c>
      <c r="I39" s="3" t="inlineStr">
        <is>
          <t>SYNTHETIC TEST DATA ONLY. Exclude is a placeholder for testing the checker workflow, not a scientific assessment. Do not use this sample in research results.</t>
        </is>
      </c>
      <c r="J39" s="3" t="inlineStr">
        <is>
          <t>yes</t>
        </is>
      </c>
    </row>
    <row r="40" ht="136" customHeight="1">
      <c r="A40" s="2" t="inlineStr">
        <is>
          <t>2019::jama.2019.14630::C008</t>
        </is>
      </c>
      <c r="B40" s="2" t="inlineStr">
        <is>
          <t>exclude</t>
        </is>
      </c>
      <c r="C40" s="2" t="inlineStr">
        <is>
          <t>report_internal_inconsistency</t>
        </is>
      </c>
      <c r="D40" s="2" t="inlineStr">
        <is>
          <t>not_applicable</t>
        </is>
      </c>
      <c r="E40" s="2" t="inlineStr">
        <is>
          <t>not_applicable</t>
        </is>
      </c>
      <c r="F40" s="2" t="inlineStr">
        <is>
          <t>not_applicable</t>
        </is>
      </c>
      <c r="G40" s="2" t="inlineStr">
        <is>
          <t>not_applicable</t>
        </is>
      </c>
      <c r="H40" s="2" t="inlineStr">
        <is>
          <t>not_applicable</t>
        </is>
      </c>
      <c r="I40" s="2" t="inlineStr">
        <is>
          <t>SYNTHETIC TEST DATA ONLY. Exclude is a placeholder for testing the checker workflow, not a scientific assessment. Do not use this sample in research results.</t>
        </is>
      </c>
      <c r="J40" s="2" t="inlineStr">
        <is>
          <t>yes</t>
        </is>
      </c>
    </row>
    <row r="41" ht="136" customHeight="1">
      <c r="A41" s="3" t="inlineStr">
        <is>
          <t>2019::jama.2019.14630::C009</t>
        </is>
      </c>
      <c r="B41" s="3" t="inlineStr">
        <is>
          <t>exclude</t>
        </is>
      </c>
      <c r="C41" s="3" t="inlineStr">
        <is>
          <t>report_internal_inconsistency</t>
        </is>
      </c>
      <c r="D41" s="3" t="inlineStr">
        <is>
          <t>not_applicable</t>
        </is>
      </c>
      <c r="E41" s="3" t="inlineStr">
        <is>
          <t>not_applicable</t>
        </is>
      </c>
      <c r="F41" s="3" t="inlineStr">
        <is>
          <t>not_applicable</t>
        </is>
      </c>
      <c r="G41" s="3" t="inlineStr">
        <is>
          <t>not_applicable</t>
        </is>
      </c>
      <c r="H41" s="3" t="inlineStr">
        <is>
          <t>not_applicable</t>
        </is>
      </c>
      <c r="I41" s="3" t="inlineStr">
        <is>
          <t>SYNTHETIC TEST DATA ONLY. Exclude is a placeholder for testing the checker workflow, not a scientific assessment. Do not use this sample in research results.</t>
        </is>
      </c>
      <c r="J41" s="3" t="inlineStr">
        <is>
          <t>yes</t>
        </is>
      </c>
    </row>
    <row r="42" ht="136" customHeight="1">
      <c r="A42" s="2" t="inlineStr">
        <is>
          <t>2019::jama.2019.14901::C001</t>
        </is>
      </c>
      <c r="B42" s="2" t="inlineStr">
        <is>
          <t>exclude</t>
        </is>
      </c>
      <c r="C42" s="2" t="inlineStr">
        <is>
          <t>statistical_results</t>
        </is>
      </c>
      <c r="D42" s="2" t="inlineStr">
        <is>
          <t>not_applicable</t>
        </is>
      </c>
      <c r="E42" s="2" t="inlineStr">
        <is>
          <t>not_applicable</t>
        </is>
      </c>
      <c r="F42" s="2" t="inlineStr">
        <is>
          <t>not_applicable</t>
        </is>
      </c>
      <c r="G42" s="2" t="inlineStr">
        <is>
          <t>not_applicable</t>
        </is>
      </c>
      <c r="H42" s="2" t="inlineStr">
        <is>
          <t>not_applicable</t>
        </is>
      </c>
      <c r="I42" s="2" t="inlineStr">
        <is>
          <t>SYNTHETIC TEST DATA ONLY. Exclude is a placeholder for testing the checker workflow, not a scientific assessment. Do not use this sample in research results.</t>
        </is>
      </c>
      <c r="J42" s="2" t="inlineStr">
        <is>
          <t>yes</t>
        </is>
      </c>
    </row>
    <row r="43" ht="136" customHeight="1">
      <c r="A43" s="3" t="inlineStr">
        <is>
          <t>2019::jama.2019.14901::C002</t>
        </is>
      </c>
      <c r="B43" s="3" t="inlineStr">
        <is>
          <t>exclude</t>
        </is>
      </c>
      <c r="C43" s="3" t="inlineStr">
        <is>
          <t>protocol_report</t>
        </is>
      </c>
      <c r="D43" s="3" t="inlineStr">
        <is>
          <t>not_applicable</t>
        </is>
      </c>
      <c r="E43" s="3" t="inlineStr">
        <is>
          <t>not_applicable</t>
        </is>
      </c>
      <c r="F43" s="3" t="inlineStr">
        <is>
          <t>not_applicable</t>
        </is>
      </c>
      <c r="G43" s="3" t="inlineStr">
        <is>
          <t>not_applicable</t>
        </is>
      </c>
      <c r="H43" s="3" t="inlineStr">
        <is>
          <t>not_applicable</t>
        </is>
      </c>
      <c r="I43" s="3" t="inlineStr">
        <is>
          <t>SYNTHETIC TEST DATA ONLY. Exclude is a placeholder for testing the checker workflow, not a scientific assessment. Do not use this sample in research results.</t>
        </is>
      </c>
      <c r="J43" s="3" t="inlineStr">
        <is>
          <t>yes</t>
        </is>
      </c>
    </row>
    <row r="44" ht="136" customHeight="1">
      <c r="A44" s="2" t="inlineStr">
        <is>
          <t>2019::jama.2019.14901::C003</t>
        </is>
      </c>
      <c r="B44" s="2" t="inlineStr">
        <is>
          <t>exclude</t>
        </is>
      </c>
      <c r="C44" s="2" t="inlineStr">
        <is>
          <t>statistical_results</t>
        </is>
      </c>
      <c r="D44" s="2" t="inlineStr">
        <is>
          <t>not_applicable</t>
        </is>
      </c>
      <c r="E44" s="2" t="inlineStr">
        <is>
          <t>not_applicable</t>
        </is>
      </c>
      <c r="F44" s="2" t="inlineStr">
        <is>
          <t>not_applicable</t>
        </is>
      </c>
      <c r="G44" s="2" t="inlineStr">
        <is>
          <t>not_applicable</t>
        </is>
      </c>
      <c r="H44" s="2" t="inlineStr">
        <is>
          <t>not_applicable</t>
        </is>
      </c>
      <c r="I44" s="2" t="inlineStr">
        <is>
          <t>SYNTHETIC TEST DATA ONLY. Exclude is a placeholder for testing the checker workflow, not a scientific assessment. Do not use this sample in research results.</t>
        </is>
      </c>
      <c r="J44" s="2" t="inlineStr">
        <is>
          <t>yes</t>
        </is>
      </c>
    </row>
    <row r="45" ht="136" customHeight="1">
      <c r="A45" s="3" t="inlineStr">
        <is>
          <t>2019::jama.2019.14901::C004</t>
        </is>
      </c>
      <c r="B45" s="3" t="inlineStr">
        <is>
          <t>exclude</t>
        </is>
      </c>
      <c r="C45" s="3" t="inlineStr">
        <is>
          <t>statistical_results</t>
        </is>
      </c>
      <c r="D45" s="3" t="inlineStr">
        <is>
          <t>not_applicable</t>
        </is>
      </c>
      <c r="E45" s="3" t="inlineStr">
        <is>
          <t>not_applicable</t>
        </is>
      </c>
      <c r="F45" s="3" t="inlineStr">
        <is>
          <t>not_applicable</t>
        </is>
      </c>
      <c r="G45" s="3" t="inlineStr">
        <is>
          <t>not_applicable</t>
        </is>
      </c>
      <c r="H45" s="3" t="inlineStr">
        <is>
          <t>not_applicable</t>
        </is>
      </c>
      <c r="I45" s="3" t="inlineStr">
        <is>
          <t>SYNTHETIC TEST DATA ONLY. Exclude is a placeholder for testing the checker workflow, not a scientific assessment. Do not use this sample in research results.</t>
        </is>
      </c>
      <c r="J45" s="3" t="inlineStr">
        <is>
          <t>yes</t>
        </is>
      </c>
    </row>
    <row r="46" ht="136" customHeight="1">
      <c r="A46" s="2" t="inlineStr">
        <is>
          <t>2019::jama.2019.14901::C005</t>
        </is>
      </c>
      <c r="B46" s="2" t="inlineStr">
        <is>
          <t>exclude</t>
        </is>
      </c>
      <c r="C46" s="2" t="inlineStr">
        <is>
          <t>report_internal_inconsistency</t>
        </is>
      </c>
      <c r="D46" s="2" t="inlineStr">
        <is>
          <t>not_applicable</t>
        </is>
      </c>
      <c r="E46" s="2" t="inlineStr">
        <is>
          <t>not_applicable</t>
        </is>
      </c>
      <c r="F46" s="2" t="inlineStr">
        <is>
          <t>not_applicable</t>
        </is>
      </c>
      <c r="G46" s="2" t="inlineStr">
        <is>
          <t>not_applicable</t>
        </is>
      </c>
      <c r="H46" s="2" t="inlineStr">
        <is>
          <t>not_applicable</t>
        </is>
      </c>
      <c r="I46" s="2" t="inlineStr">
        <is>
          <t>SYNTHETIC TEST DATA ONLY. Exclude is a placeholder for testing the checker workflow, not a scientific assessment. Do not use this sample in research results.</t>
        </is>
      </c>
      <c r="J46" s="2" t="inlineStr">
        <is>
          <t>yes</t>
        </is>
      </c>
    </row>
    <row r="47" ht="136" customHeight="1">
      <c r="A47" s="3" t="inlineStr">
        <is>
          <t>2019::jama.2019.14901::C006</t>
        </is>
      </c>
      <c r="B47" s="3" t="inlineStr">
        <is>
          <t>exclude</t>
        </is>
      </c>
      <c r="C47" s="3" t="inlineStr">
        <is>
          <t>plan_material</t>
        </is>
      </c>
      <c r="D47" s="3" t="inlineStr">
        <is>
          <t>not_applicable</t>
        </is>
      </c>
      <c r="E47" s="3" t="inlineStr">
        <is>
          <t>not_applicable</t>
        </is>
      </c>
      <c r="F47" s="3" t="inlineStr">
        <is>
          <t>not_applicable</t>
        </is>
      </c>
      <c r="G47" s="3" t="inlineStr">
        <is>
          <t>not_applicable</t>
        </is>
      </c>
      <c r="H47" s="3" t="inlineStr">
        <is>
          <t>not_applicable</t>
        </is>
      </c>
      <c r="I47" s="3" t="inlineStr">
        <is>
          <t>SYNTHETIC TEST DATA ONLY. Exclude is a placeholder for testing the checker workflow, not a scientific assessment. Do not use this sample in research results.</t>
        </is>
      </c>
      <c r="J47" s="3" t="inlineStr">
        <is>
          <t>yes</t>
        </is>
      </c>
    </row>
    <row r="48" ht="136" customHeight="1">
      <c r="A48" s="2" t="inlineStr">
        <is>
          <t>2019::jama.2019.17380::C001</t>
        </is>
      </c>
      <c r="B48" s="2" t="inlineStr">
        <is>
          <t>exclude</t>
        </is>
      </c>
      <c r="C48" s="2" t="inlineStr">
        <is>
          <t>report_internal_inconsistency</t>
        </is>
      </c>
      <c r="D48" s="2" t="inlineStr">
        <is>
          <t>not_applicable</t>
        </is>
      </c>
      <c r="E48" s="2" t="inlineStr">
        <is>
          <t>not_applicable</t>
        </is>
      </c>
      <c r="F48" s="2" t="inlineStr">
        <is>
          <t>not_applicable</t>
        </is>
      </c>
      <c r="G48" s="2" t="inlineStr">
        <is>
          <t>not_applicable</t>
        </is>
      </c>
      <c r="H48" s="2" t="inlineStr">
        <is>
          <t>not_applicable</t>
        </is>
      </c>
      <c r="I48" s="2" t="inlineStr">
        <is>
          <t>SYNTHETIC TEST DATA ONLY. Exclude is a placeholder for testing the checker workflow, not a scientific assessment. Do not use this sample in research results.</t>
        </is>
      </c>
      <c r="J48" s="2" t="inlineStr">
        <is>
          <t>yes</t>
        </is>
      </c>
    </row>
    <row r="49" ht="136" customHeight="1">
      <c r="A49" s="3" t="inlineStr">
        <is>
          <t>2019::jama.2019.17380::C002</t>
        </is>
      </c>
      <c r="B49" s="3" t="inlineStr">
        <is>
          <t>exclude</t>
        </is>
      </c>
      <c r="C49" s="3" t="inlineStr">
        <is>
          <t>report_internal_inconsistency</t>
        </is>
      </c>
      <c r="D49" s="3" t="inlineStr">
        <is>
          <t>not_applicable</t>
        </is>
      </c>
      <c r="E49" s="3" t="inlineStr">
        <is>
          <t>not_applicable</t>
        </is>
      </c>
      <c r="F49" s="3" t="inlineStr">
        <is>
          <t>not_applicable</t>
        </is>
      </c>
      <c r="G49" s="3" t="inlineStr">
        <is>
          <t>not_applicable</t>
        </is>
      </c>
      <c r="H49" s="3" t="inlineStr">
        <is>
          <t>not_applicable</t>
        </is>
      </c>
      <c r="I49" s="3" t="inlineStr">
        <is>
          <t>SYNTHETIC TEST DATA ONLY. Exclude is a placeholder for testing the checker workflow, not a scientific assessment. Do not use this sample in research results.</t>
        </is>
      </c>
      <c r="J49" s="3" t="inlineStr">
        <is>
          <t>yes</t>
        </is>
      </c>
    </row>
    <row r="50" ht="136" customHeight="1">
      <c r="A50" s="2" t="inlineStr">
        <is>
          <t>2019::jama.2019.17380::C003</t>
        </is>
      </c>
      <c r="B50" s="2" t="inlineStr">
        <is>
          <t>exclude</t>
        </is>
      </c>
      <c r="C50" s="2" t="inlineStr">
        <is>
          <t>report_internal_inconsistency</t>
        </is>
      </c>
      <c r="D50" s="2" t="inlineStr">
        <is>
          <t>not_applicable</t>
        </is>
      </c>
      <c r="E50" s="2" t="inlineStr">
        <is>
          <t>not_applicable</t>
        </is>
      </c>
      <c r="F50" s="2" t="inlineStr">
        <is>
          <t>not_applicable</t>
        </is>
      </c>
      <c r="G50" s="2" t="inlineStr">
        <is>
          <t>not_applicable</t>
        </is>
      </c>
      <c r="H50" s="2" t="inlineStr">
        <is>
          <t>not_applicable</t>
        </is>
      </c>
      <c r="I50" s="2" t="inlineStr">
        <is>
          <t>SYNTHETIC TEST DATA ONLY. Exclude is a placeholder for testing the checker workflow, not a scientific assessment. Do not use this sample in research results.</t>
        </is>
      </c>
      <c r="J50" s="2" t="inlineStr">
        <is>
          <t>yes</t>
        </is>
      </c>
    </row>
    <row r="51" ht="136" customHeight="1">
      <c r="A51" s="3" t="inlineStr">
        <is>
          <t>2019::jama.2019.17380::C004</t>
        </is>
      </c>
      <c r="B51" s="3" t="inlineStr">
        <is>
          <t>exclude</t>
        </is>
      </c>
      <c r="C51" s="3" t="inlineStr">
        <is>
          <t>report_internal_inconsistency</t>
        </is>
      </c>
      <c r="D51" s="3" t="inlineStr">
        <is>
          <t>not_applicable</t>
        </is>
      </c>
      <c r="E51" s="3" t="inlineStr">
        <is>
          <t>not_applicable</t>
        </is>
      </c>
      <c r="F51" s="3" t="inlineStr">
        <is>
          <t>not_applicable</t>
        </is>
      </c>
      <c r="G51" s="3" t="inlineStr">
        <is>
          <t>not_applicable</t>
        </is>
      </c>
      <c r="H51" s="3" t="inlineStr">
        <is>
          <t>not_applicable</t>
        </is>
      </c>
      <c r="I51" s="3" t="inlineStr">
        <is>
          <t>SYNTHETIC TEST DATA ONLY. Exclude is a placeholder for testing the checker workflow, not a scientific assessment. Do not use this sample in research results.</t>
        </is>
      </c>
      <c r="J51" s="3" t="inlineStr">
        <is>
          <t>yes</t>
        </is>
      </c>
    </row>
    <row r="52" ht="136" customHeight="1">
      <c r="A52" s="2" t="inlineStr">
        <is>
          <t>2019::jama.2019.17380::C005</t>
        </is>
      </c>
      <c r="B52" s="2" t="inlineStr">
        <is>
          <t>exclude</t>
        </is>
      </c>
      <c r="C52" s="2" t="inlineStr">
        <is>
          <t>report_internal_inconsistency</t>
        </is>
      </c>
      <c r="D52" s="2" t="inlineStr">
        <is>
          <t>not_applicable</t>
        </is>
      </c>
      <c r="E52" s="2" t="inlineStr">
        <is>
          <t>not_applicable</t>
        </is>
      </c>
      <c r="F52" s="2" t="inlineStr">
        <is>
          <t>not_applicable</t>
        </is>
      </c>
      <c r="G52" s="2" t="inlineStr">
        <is>
          <t>not_applicable</t>
        </is>
      </c>
      <c r="H52" s="2" t="inlineStr">
        <is>
          <t>not_applicable</t>
        </is>
      </c>
      <c r="I52" s="2" t="inlineStr">
        <is>
          <t>SYNTHETIC TEST DATA ONLY. Exclude is a placeholder for testing the checker workflow, not a scientific assessment. Do not use this sample in research results.</t>
        </is>
      </c>
      <c r="J52" s="2" t="inlineStr">
        <is>
          <t>yes</t>
        </is>
      </c>
    </row>
    <row r="53" ht="136" customHeight="1">
      <c r="A53" s="3" t="inlineStr">
        <is>
          <t>2019::jama.2019.17380::C006</t>
        </is>
      </c>
      <c r="B53" s="3" t="inlineStr">
        <is>
          <t>exclude</t>
        </is>
      </c>
      <c r="C53" s="3" t="inlineStr">
        <is>
          <t>report_internal_inconsistency</t>
        </is>
      </c>
      <c r="D53" s="3" t="inlineStr">
        <is>
          <t>not_applicable</t>
        </is>
      </c>
      <c r="E53" s="3" t="inlineStr">
        <is>
          <t>not_applicable</t>
        </is>
      </c>
      <c r="F53" s="3" t="inlineStr">
        <is>
          <t>not_applicable</t>
        </is>
      </c>
      <c r="G53" s="3" t="inlineStr">
        <is>
          <t>not_applicable</t>
        </is>
      </c>
      <c r="H53" s="3" t="inlineStr">
        <is>
          <t>not_applicable</t>
        </is>
      </c>
      <c r="I53" s="3" t="inlineStr">
        <is>
          <t>SYNTHETIC TEST DATA ONLY. Exclude is a placeholder for testing the checker workflow, not a scientific assessment. Do not use this sample in research results.</t>
        </is>
      </c>
      <c r="J53" s="3" t="inlineStr">
        <is>
          <t>yes</t>
        </is>
      </c>
    </row>
    <row r="54" ht="136" customHeight="1">
      <c r="A54" s="2" t="inlineStr">
        <is>
          <t>2019::jama.2019.17380::C007</t>
        </is>
      </c>
      <c r="B54" s="2" t="inlineStr">
        <is>
          <t>exclude</t>
        </is>
      </c>
      <c r="C54" s="2" t="inlineStr">
        <is>
          <t>protocol_report</t>
        </is>
      </c>
      <c r="D54" s="2" t="inlineStr">
        <is>
          <t>not_applicable</t>
        </is>
      </c>
      <c r="E54" s="2" t="inlineStr">
        <is>
          <t>not_applicable</t>
        </is>
      </c>
      <c r="F54" s="2" t="inlineStr">
        <is>
          <t>not_applicable</t>
        </is>
      </c>
      <c r="G54" s="2" t="inlineStr">
        <is>
          <t>not_applicable</t>
        </is>
      </c>
      <c r="H54" s="2" t="inlineStr">
        <is>
          <t>not_applicable</t>
        </is>
      </c>
      <c r="I54" s="2" t="inlineStr">
        <is>
          <t>SYNTHETIC TEST DATA ONLY. Exclude is a placeholder for testing the checker workflow, not a scientific assessment. Do not use this sample in research results.</t>
        </is>
      </c>
      <c r="J54" s="2" t="inlineStr">
        <is>
          <t>yes</t>
        </is>
      </c>
    </row>
    <row r="55" ht="136" customHeight="1">
      <c r="A55" s="3" t="inlineStr">
        <is>
          <t>2019::jama.2019.2210::C001</t>
        </is>
      </c>
      <c r="B55" s="3" t="inlineStr">
        <is>
          <t>exclude</t>
        </is>
      </c>
      <c r="C55" s="3" t="inlineStr">
        <is>
          <t>statistical_results</t>
        </is>
      </c>
      <c r="D55" s="3" t="inlineStr">
        <is>
          <t>not_applicable</t>
        </is>
      </c>
      <c r="E55" s="3" t="inlineStr">
        <is>
          <t>not_applicable</t>
        </is>
      </c>
      <c r="F55" s="3" t="inlineStr">
        <is>
          <t>not_applicable</t>
        </is>
      </c>
      <c r="G55" s="3" t="inlineStr">
        <is>
          <t>not_applicable</t>
        </is>
      </c>
      <c r="H55" s="3" t="inlineStr">
        <is>
          <t>not_applicable</t>
        </is>
      </c>
      <c r="I55" s="3" t="inlineStr">
        <is>
          <t>SYNTHETIC TEST DATA ONLY. Exclude is a placeholder for testing the checker workflow, not a scientific assessment. Do not use this sample in research results.</t>
        </is>
      </c>
      <c r="J55" s="3" t="inlineStr">
        <is>
          <t>yes</t>
        </is>
      </c>
    </row>
    <row r="56" ht="136" customHeight="1">
      <c r="A56" s="2" t="inlineStr">
        <is>
          <t>2019::jama.2019.2210::C002</t>
        </is>
      </c>
      <c r="B56" s="2" t="inlineStr">
        <is>
          <t>exclude</t>
        </is>
      </c>
      <c r="C56" s="2" t="inlineStr">
        <is>
          <t>statistical_results</t>
        </is>
      </c>
      <c r="D56" s="2" t="inlineStr">
        <is>
          <t>not_applicable</t>
        </is>
      </c>
      <c r="E56" s="2" t="inlineStr">
        <is>
          <t>not_applicable</t>
        </is>
      </c>
      <c r="F56" s="2" t="inlineStr">
        <is>
          <t>not_applicable</t>
        </is>
      </c>
      <c r="G56" s="2" t="inlineStr">
        <is>
          <t>not_applicable</t>
        </is>
      </c>
      <c r="H56" s="2" t="inlineStr">
        <is>
          <t>not_applicable</t>
        </is>
      </c>
      <c r="I56" s="2" t="inlineStr">
        <is>
          <t>SYNTHETIC TEST DATA ONLY. Exclude is a placeholder for testing the checker workflow, not a scientific assessment. Do not use this sample in research results.</t>
        </is>
      </c>
      <c r="J56" s="2" t="inlineStr">
        <is>
          <t>yes</t>
        </is>
      </c>
    </row>
    <row r="57" ht="136" customHeight="1">
      <c r="A57" s="3" t="inlineStr">
        <is>
          <t>2019::jama.2019.2210::C003</t>
        </is>
      </c>
      <c r="B57" s="3" t="inlineStr">
        <is>
          <t>exclude</t>
        </is>
      </c>
      <c r="C57" s="3" t="inlineStr">
        <is>
          <t>plan_material</t>
        </is>
      </c>
      <c r="D57" s="3" t="inlineStr">
        <is>
          <t>not_applicable</t>
        </is>
      </c>
      <c r="E57" s="3" t="inlineStr">
        <is>
          <t>not_applicable</t>
        </is>
      </c>
      <c r="F57" s="3" t="inlineStr">
        <is>
          <t>not_applicable</t>
        </is>
      </c>
      <c r="G57" s="3" t="inlineStr">
        <is>
          <t>not_applicable</t>
        </is>
      </c>
      <c r="H57" s="3" t="inlineStr">
        <is>
          <t>not_applicable</t>
        </is>
      </c>
      <c r="I57" s="3" t="inlineStr">
        <is>
          <t>SYNTHETIC TEST DATA ONLY. Exclude is a placeholder for testing the checker workflow, not a scientific assessment. Do not use this sample in research results.</t>
        </is>
      </c>
      <c r="J57" s="3" t="inlineStr">
        <is>
          <t>yes</t>
        </is>
      </c>
    </row>
    <row r="58" ht="136" customHeight="1">
      <c r="A58" s="2" t="inlineStr">
        <is>
          <t>2019::jama.2019.2210::C004</t>
        </is>
      </c>
      <c r="B58" s="2" t="inlineStr">
        <is>
          <t>exclude</t>
        </is>
      </c>
      <c r="C58" s="2" t="inlineStr">
        <is>
          <t>protocol_report</t>
        </is>
      </c>
      <c r="D58" s="2" t="inlineStr">
        <is>
          <t>not_applicable</t>
        </is>
      </c>
      <c r="E58" s="2" t="inlineStr">
        <is>
          <t>not_applicable</t>
        </is>
      </c>
      <c r="F58" s="2" t="inlineStr">
        <is>
          <t>not_applicable</t>
        </is>
      </c>
      <c r="G58" s="2" t="inlineStr">
        <is>
          <t>not_applicable</t>
        </is>
      </c>
      <c r="H58" s="2" t="inlineStr">
        <is>
          <t>not_applicable</t>
        </is>
      </c>
      <c r="I58" s="2" t="inlineStr">
        <is>
          <t>SYNTHETIC TEST DATA ONLY. Exclude is a placeholder for testing the checker workflow, not a scientific assessment. Do not use this sample in research results.</t>
        </is>
      </c>
      <c r="J58" s="2" t="inlineStr">
        <is>
          <t>yes</t>
        </is>
      </c>
    </row>
    <row r="59" ht="136" customHeight="1">
      <c r="A59" s="3" t="inlineStr">
        <is>
          <t>2019::jama.2019.2210::C005</t>
        </is>
      </c>
      <c r="B59" s="3" t="inlineStr">
        <is>
          <t>exclude</t>
        </is>
      </c>
      <c r="C59" s="3" t="inlineStr">
        <is>
          <t>plan_material</t>
        </is>
      </c>
      <c r="D59" s="3" t="inlineStr">
        <is>
          <t>not_applicable</t>
        </is>
      </c>
      <c r="E59" s="3" t="inlineStr">
        <is>
          <t>not_applicable</t>
        </is>
      </c>
      <c r="F59" s="3" t="inlineStr">
        <is>
          <t>not_applicable</t>
        </is>
      </c>
      <c r="G59" s="3" t="inlineStr">
        <is>
          <t>not_applicable</t>
        </is>
      </c>
      <c r="H59" s="3" t="inlineStr">
        <is>
          <t>not_applicable</t>
        </is>
      </c>
      <c r="I59" s="3" t="inlineStr">
        <is>
          <t>SYNTHETIC TEST DATA ONLY. Exclude is a placeholder for testing the checker workflow, not a scientific assessment. Do not use this sample in research results.</t>
        </is>
      </c>
      <c r="J59" s="3" t="inlineStr">
        <is>
          <t>yes</t>
        </is>
      </c>
    </row>
    <row r="60" ht="136" customHeight="1">
      <c r="A60" s="2" t="inlineStr">
        <is>
          <t>2019::jama.2019.2210::C006</t>
        </is>
      </c>
      <c r="B60" s="2" t="inlineStr">
        <is>
          <t>exclude</t>
        </is>
      </c>
      <c r="C60" s="2" t="inlineStr">
        <is>
          <t>report_internal_inconsistency</t>
        </is>
      </c>
      <c r="D60" s="2" t="inlineStr">
        <is>
          <t>not_applicable</t>
        </is>
      </c>
      <c r="E60" s="2" t="inlineStr">
        <is>
          <t>not_applicable</t>
        </is>
      </c>
      <c r="F60" s="2" t="inlineStr">
        <is>
          <t>not_applicable</t>
        </is>
      </c>
      <c r="G60" s="2" t="inlineStr">
        <is>
          <t>not_applicable</t>
        </is>
      </c>
      <c r="H60" s="2" t="inlineStr">
        <is>
          <t>not_applicable</t>
        </is>
      </c>
      <c r="I60" s="2" t="inlineStr">
        <is>
          <t>SYNTHETIC TEST DATA ONLY. Exclude is a placeholder for testing the checker workflow, not a scientific assessment. Do not use this sample in research results.</t>
        </is>
      </c>
      <c r="J60" s="2" t="inlineStr">
        <is>
          <t>yes</t>
        </is>
      </c>
    </row>
    <row r="61" ht="136" customHeight="1">
      <c r="A61" s="3" t="inlineStr">
        <is>
          <t>2019::jama.2019.2210::C007</t>
        </is>
      </c>
      <c r="B61" s="3" t="inlineStr">
        <is>
          <t>exclude</t>
        </is>
      </c>
      <c r="C61" s="3" t="inlineStr">
        <is>
          <t>statistical_results</t>
        </is>
      </c>
      <c r="D61" s="3" t="inlineStr">
        <is>
          <t>not_applicable</t>
        </is>
      </c>
      <c r="E61" s="3" t="inlineStr">
        <is>
          <t>not_applicable</t>
        </is>
      </c>
      <c r="F61" s="3" t="inlineStr">
        <is>
          <t>not_applicable</t>
        </is>
      </c>
      <c r="G61" s="3" t="inlineStr">
        <is>
          <t>not_applicable</t>
        </is>
      </c>
      <c r="H61" s="3" t="inlineStr">
        <is>
          <t>not_applicable</t>
        </is>
      </c>
      <c r="I61" s="3" t="inlineStr">
        <is>
          <t>SYNTHETIC TEST DATA ONLY. Exclude is a placeholder for testing the checker workflow, not a scientific assessment. Do not use this sample in research results.</t>
        </is>
      </c>
      <c r="J61" s="3" t="inlineStr">
        <is>
          <t>yes</t>
        </is>
      </c>
    </row>
    <row r="62" ht="136" customHeight="1">
      <c r="A62" s="2" t="inlineStr">
        <is>
          <t>2019::jama.2019.2210::C008</t>
        </is>
      </c>
      <c r="B62" s="2" t="inlineStr">
        <is>
          <t>exclude</t>
        </is>
      </c>
      <c r="C62" s="2" t="inlineStr">
        <is>
          <t>protocol_report</t>
        </is>
      </c>
      <c r="D62" s="2" t="inlineStr">
        <is>
          <t>not_applicable</t>
        </is>
      </c>
      <c r="E62" s="2" t="inlineStr">
        <is>
          <t>not_applicable</t>
        </is>
      </c>
      <c r="F62" s="2" t="inlineStr">
        <is>
          <t>not_applicable</t>
        </is>
      </c>
      <c r="G62" s="2" t="inlineStr">
        <is>
          <t>not_applicable</t>
        </is>
      </c>
      <c r="H62" s="2" t="inlineStr">
        <is>
          <t>not_applicable</t>
        </is>
      </c>
      <c r="I62" s="2" t="inlineStr">
        <is>
          <t>SYNTHETIC TEST DATA ONLY. Exclude is a placeholder for testing the checker workflow, not a scientific assessment. Do not use this sample in research results.</t>
        </is>
      </c>
      <c r="J62" s="2" t="inlineStr">
        <is>
          <t>yes</t>
        </is>
      </c>
    </row>
    <row r="63" ht="136" customHeight="1">
      <c r="A63" s="3" t="inlineStr">
        <is>
          <t>2019::jama.2019.2210::C009</t>
        </is>
      </c>
      <c r="B63" s="3" t="inlineStr">
        <is>
          <t>exclude</t>
        </is>
      </c>
      <c r="C63" s="3" t="inlineStr">
        <is>
          <t>report_internal_inconsistency</t>
        </is>
      </c>
      <c r="D63" s="3" t="inlineStr">
        <is>
          <t>not_applicable</t>
        </is>
      </c>
      <c r="E63" s="3" t="inlineStr">
        <is>
          <t>not_applicable</t>
        </is>
      </c>
      <c r="F63" s="3" t="inlineStr">
        <is>
          <t>not_applicable</t>
        </is>
      </c>
      <c r="G63" s="3" t="inlineStr">
        <is>
          <t>not_applicable</t>
        </is>
      </c>
      <c r="H63" s="3" t="inlineStr">
        <is>
          <t>not_applicable</t>
        </is>
      </c>
      <c r="I63" s="3" t="inlineStr">
        <is>
          <t>SYNTHETIC TEST DATA ONLY. Exclude is a placeholder for testing the checker workflow, not a scientific assessment. Do not use this sample in research results.</t>
        </is>
      </c>
      <c r="J63" s="3" t="inlineStr">
        <is>
          <t>yes</t>
        </is>
      </c>
    </row>
    <row r="64" ht="136" customHeight="1">
      <c r="A64" s="2" t="inlineStr">
        <is>
          <t>2019::jama.2019.4755::C001</t>
        </is>
      </c>
      <c r="B64" s="2" t="inlineStr">
        <is>
          <t>exclude</t>
        </is>
      </c>
      <c r="C64" s="2" t="inlineStr">
        <is>
          <t>statistical_results</t>
        </is>
      </c>
      <c r="D64" s="2" t="inlineStr">
        <is>
          <t>not_applicable</t>
        </is>
      </c>
      <c r="E64" s="2" t="inlineStr">
        <is>
          <t>not_applicable</t>
        </is>
      </c>
      <c r="F64" s="2" t="inlineStr">
        <is>
          <t>not_applicable</t>
        </is>
      </c>
      <c r="G64" s="2" t="inlineStr">
        <is>
          <t>not_applicable</t>
        </is>
      </c>
      <c r="H64" s="2" t="inlineStr">
        <is>
          <t>not_applicable</t>
        </is>
      </c>
      <c r="I64" s="2" t="inlineStr">
        <is>
          <t>SYNTHETIC TEST DATA ONLY. Exclude is a placeholder for testing the checker workflow, not a scientific assessment. Do not use this sample in research results.</t>
        </is>
      </c>
      <c r="J64" s="2" t="inlineStr">
        <is>
          <t>yes</t>
        </is>
      </c>
    </row>
    <row r="65" ht="136" customHeight="1">
      <c r="A65" s="3" t="inlineStr">
        <is>
          <t>2019::jama.2019.4755::C002</t>
        </is>
      </c>
      <c r="B65" s="3" t="inlineStr">
        <is>
          <t>exclude</t>
        </is>
      </c>
      <c r="C65" s="3" t="inlineStr">
        <is>
          <t>statistical_results</t>
        </is>
      </c>
      <c r="D65" s="3" t="inlineStr">
        <is>
          <t>not_applicable</t>
        </is>
      </c>
      <c r="E65" s="3" t="inlineStr">
        <is>
          <t>not_applicable</t>
        </is>
      </c>
      <c r="F65" s="3" t="inlineStr">
        <is>
          <t>not_applicable</t>
        </is>
      </c>
      <c r="G65" s="3" t="inlineStr">
        <is>
          <t>not_applicable</t>
        </is>
      </c>
      <c r="H65" s="3" t="inlineStr">
        <is>
          <t>not_applicable</t>
        </is>
      </c>
      <c r="I65" s="3" t="inlineStr">
        <is>
          <t>SYNTHETIC TEST DATA ONLY. Exclude is a placeholder for testing the checker workflow, not a scientific assessment. Do not use this sample in research results.</t>
        </is>
      </c>
      <c r="J65" s="3" t="inlineStr">
        <is>
          <t>yes</t>
        </is>
      </c>
    </row>
    <row r="66" ht="136" customHeight="1">
      <c r="A66" s="2" t="inlineStr">
        <is>
          <t>2019::jama.2019.4755::C003</t>
        </is>
      </c>
      <c r="B66" s="2" t="inlineStr">
        <is>
          <t>exclude</t>
        </is>
      </c>
      <c r="C66" s="2" t="inlineStr">
        <is>
          <t>statistical_results</t>
        </is>
      </c>
      <c r="D66" s="2" t="inlineStr">
        <is>
          <t>not_applicable</t>
        </is>
      </c>
      <c r="E66" s="2" t="inlineStr">
        <is>
          <t>not_applicable</t>
        </is>
      </c>
      <c r="F66" s="2" t="inlineStr">
        <is>
          <t>not_applicable</t>
        </is>
      </c>
      <c r="G66" s="2" t="inlineStr">
        <is>
          <t>not_applicable</t>
        </is>
      </c>
      <c r="H66" s="2" t="inlineStr">
        <is>
          <t>not_applicable</t>
        </is>
      </c>
      <c r="I66" s="2" t="inlineStr">
        <is>
          <t>SYNTHETIC TEST DATA ONLY. Exclude is a placeholder for testing the checker workflow, not a scientific assessment. Do not use this sample in research results.</t>
        </is>
      </c>
      <c r="J66" s="2" t="inlineStr">
        <is>
          <t>yes</t>
        </is>
      </c>
    </row>
    <row r="67" ht="136" customHeight="1">
      <c r="A67" s="3" t="inlineStr">
        <is>
          <t>2019::jama.2019.4755::C004</t>
        </is>
      </c>
      <c r="B67" s="3" t="inlineStr">
        <is>
          <t>exclude</t>
        </is>
      </c>
      <c r="C67" s="3" t="inlineStr">
        <is>
          <t>report_internal_inconsistency</t>
        </is>
      </c>
      <c r="D67" s="3" t="inlineStr">
        <is>
          <t>not_applicable</t>
        </is>
      </c>
      <c r="E67" s="3" t="inlineStr">
        <is>
          <t>not_applicable</t>
        </is>
      </c>
      <c r="F67" s="3" t="inlineStr">
        <is>
          <t>not_applicable</t>
        </is>
      </c>
      <c r="G67" s="3" t="inlineStr">
        <is>
          <t>not_applicable</t>
        </is>
      </c>
      <c r="H67" s="3" t="inlineStr">
        <is>
          <t>not_applicable</t>
        </is>
      </c>
      <c r="I67" s="3" t="inlineStr">
        <is>
          <t>SYNTHETIC TEST DATA ONLY. Exclude is a placeholder for testing the checker workflow, not a scientific assessment. Do not use this sample in research results.</t>
        </is>
      </c>
      <c r="J67" s="3" t="inlineStr">
        <is>
          <t>yes</t>
        </is>
      </c>
    </row>
    <row r="68" ht="136" customHeight="1">
      <c r="A68" s="2" t="inlineStr">
        <is>
          <t>2019::jama.2019.4755::C005</t>
        </is>
      </c>
      <c r="B68" s="2" t="inlineStr">
        <is>
          <t>exclude</t>
        </is>
      </c>
      <c r="C68" s="2" t="inlineStr">
        <is>
          <t>plan_material</t>
        </is>
      </c>
      <c r="D68" s="2" t="inlineStr">
        <is>
          <t>not_applicable</t>
        </is>
      </c>
      <c r="E68" s="2" t="inlineStr">
        <is>
          <t>not_applicable</t>
        </is>
      </c>
      <c r="F68" s="2" t="inlineStr">
        <is>
          <t>not_applicable</t>
        </is>
      </c>
      <c r="G68" s="2" t="inlineStr">
        <is>
          <t>not_applicable</t>
        </is>
      </c>
      <c r="H68" s="2" t="inlineStr">
        <is>
          <t>not_applicable</t>
        </is>
      </c>
      <c r="I68" s="2" t="inlineStr">
        <is>
          <t>SYNTHETIC TEST DATA ONLY. Exclude is a placeholder for testing the checker workflow, not a scientific assessment. Do not use this sample in research results.</t>
        </is>
      </c>
      <c r="J68" s="2" t="inlineStr">
        <is>
          <t>yes</t>
        </is>
      </c>
    </row>
    <row r="69" ht="136" customHeight="1">
      <c r="A69" s="3" t="inlineStr">
        <is>
          <t>2019::jama.2019.7505::C001</t>
        </is>
      </c>
      <c r="B69" s="3" t="inlineStr">
        <is>
          <t>exclude</t>
        </is>
      </c>
      <c r="C69" s="3" t="inlineStr">
        <is>
          <t>report_internal_inconsistency</t>
        </is>
      </c>
      <c r="D69" s="3" t="inlineStr">
        <is>
          <t>not_applicable</t>
        </is>
      </c>
      <c r="E69" s="3" t="inlineStr">
        <is>
          <t>not_applicable</t>
        </is>
      </c>
      <c r="F69" s="3" t="inlineStr">
        <is>
          <t>not_applicable</t>
        </is>
      </c>
      <c r="G69" s="3" t="inlineStr">
        <is>
          <t>not_applicable</t>
        </is>
      </c>
      <c r="H69" s="3" t="inlineStr">
        <is>
          <t>not_applicable</t>
        </is>
      </c>
      <c r="I69" s="3" t="inlineStr">
        <is>
          <t>SYNTHETIC TEST DATA ONLY. Exclude is a placeholder for testing the checker workflow, not a scientific assessment. Do not use this sample in research results.</t>
        </is>
      </c>
      <c r="J69" s="3" t="inlineStr">
        <is>
          <t>yes</t>
        </is>
      </c>
    </row>
    <row r="70" ht="136" customHeight="1">
      <c r="A70" s="2" t="inlineStr">
        <is>
          <t>2019::jama.2019.7505::C002</t>
        </is>
      </c>
      <c r="B70" s="2" t="inlineStr">
        <is>
          <t>exclude</t>
        </is>
      </c>
      <c r="C70" s="2" t="inlineStr">
        <is>
          <t>statistical_results</t>
        </is>
      </c>
      <c r="D70" s="2" t="inlineStr">
        <is>
          <t>not_applicable</t>
        </is>
      </c>
      <c r="E70" s="2" t="inlineStr">
        <is>
          <t>not_applicable</t>
        </is>
      </c>
      <c r="F70" s="2" t="inlineStr">
        <is>
          <t>not_applicable</t>
        </is>
      </c>
      <c r="G70" s="2" t="inlineStr">
        <is>
          <t>not_applicable</t>
        </is>
      </c>
      <c r="H70" s="2" t="inlineStr">
        <is>
          <t>not_applicable</t>
        </is>
      </c>
      <c r="I70" s="2" t="inlineStr">
        <is>
          <t>SYNTHETIC TEST DATA ONLY. Exclude is a placeholder for testing the checker workflow, not a scientific assessment. Do not use this sample in research results.</t>
        </is>
      </c>
      <c r="J70" s="2" t="inlineStr">
        <is>
          <t>yes</t>
        </is>
      </c>
    </row>
    <row r="71" ht="136" customHeight="1">
      <c r="A71" s="3" t="inlineStr">
        <is>
          <t>2019::jama.2019.7505::C003</t>
        </is>
      </c>
      <c r="B71" s="3" t="inlineStr">
        <is>
          <t>exclude</t>
        </is>
      </c>
      <c r="C71" s="3" t="inlineStr">
        <is>
          <t>plan_material</t>
        </is>
      </c>
      <c r="D71" s="3" t="inlineStr">
        <is>
          <t>not_applicable</t>
        </is>
      </c>
      <c r="E71" s="3" t="inlineStr">
        <is>
          <t>not_applicable</t>
        </is>
      </c>
      <c r="F71" s="3" t="inlineStr">
        <is>
          <t>not_applicable</t>
        </is>
      </c>
      <c r="G71" s="3" t="inlineStr">
        <is>
          <t>not_applicable</t>
        </is>
      </c>
      <c r="H71" s="3" t="inlineStr">
        <is>
          <t>not_applicable</t>
        </is>
      </c>
      <c r="I71" s="3" t="inlineStr">
        <is>
          <t>SYNTHETIC TEST DATA ONLY. Exclude is a placeholder for testing the checker workflow, not a scientific assessment. Do not use this sample in research results.</t>
        </is>
      </c>
      <c r="J71" s="3" t="inlineStr">
        <is>
          <t>yes</t>
        </is>
      </c>
    </row>
    <row r="72" ht="136" customHeight="1">
      <c r="A72" s="2" t="inlineStr">
        <is>
          <t>2019::jama.2019.7505::C004</t>
        </is>
      </c>
      <c r="B72" s="2" t="inlineStr">
        <is>
          <t>exclude</t>
        </is>
      </c>
      <c r="C72" s="2" t="inlineStr">
        <is>
          <t>report_internal_inconsistency</t>
        </is>
      </c>
      <c r="D72" s="2" t="inlineStr">
        <is>
          <t>not_applicable</t>
        </is>
      </c>
      <c r="E72" s="2" t="inlineStr">
        <is>
          <t>not_applicable</t>
        </is>
      </c>
      <c r="F72" s="2" t="inlineStr">
        <is>
          <t>not_applicable</t>
        </is>
      </c>
      <c r="G72" s="2" t="inlineStr">
        <is>
          <t>not_applicable</t>
        </is>
      </c>
      <c r="H72" s="2" t="inlineStr">
        <is>
          <t>not_applicable</t>
        </is>
      </c>
      <c r="I72" s="2" t="inlineStr">
        <is>
          <t>SYNTHETIC TEST DATA ONLY. Exclude is a placeholder for testing the checker workflow, not a scientific assessment. Do not use this sample in research results.</t>
        </is>
      </c>
      <c r="J72" s="2" t="inlineStr">
        <is>
          <t>yes</t>
        </is>
      </c>
    </row>
  </sheetData>
  <sheetProtection selectLockedCells="0" selectUnlockedCells="0" sheet="1" objects="0" insertRows="1" insertHyperlinks="1" autoFilter="0" scenarios="0" formatColumns="1" deleteColumns="1" insertColumns="1" pivotTables="1" deleteRows="1" formatCells="1" formatRows="1" sort="1"/>
  <autoFilter ref="A1:J72"/>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2026-09-17T21:43:13Z</dcterms:created>
  <dcterms:modified xmlns:dcterms="http://purl.org/dc/terms/" xmlns:xsi="http://www.w3.org/2001/XMLSchema-instance" xsi:type="dcterms:W3CDTF">2026-09-17T21:43:14Z</dcterms:modified>
</cp:coreProperties>
</file>