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 name="_Primary" sheetId="20" state="veryHidden" r:id="rId20"/>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19_0556_key">'_Primary'!$A$2:$A$72</definedName>
    <definedName name="primary_jama_2019_0556_disposition">'_Primary'!$B$2:$B$72</definedName>
    <definedName name="primary_jama_2019_0556_domain">'_Primary'!$C$2:$C$72</definedName>
    <definedName name="primary_jama_2019_10517_key">'_Primary'!$A$2:$A$72</definedName>
    <definedName name="primary_jama_2019_10517_disposition">'_Primary'!$B$2:$B$72</definedName>
    <definedName name="primary_jama_2019_10517_domain">'_Primary'!$C$2:$C$72</definedName>
    <definedName name="primary_jama_2019_12618_key">'_Primary'!$A$2:$A$72</definedName>
    <definedName name="primary_jama_2019_12618_disposition">'_Primary'!$B$2:$B$72</definedName>
    <definedName name="primary_jama_2019_12618_domain">'_Primary'!$C$2:$C$72</definedName>
    <definedName name="primary_jama_2019_14231_key">'_Primary'!$A$2:$A$72</definedName>
    <definedName name="primary_jama_2019_14231_disposition">'_Primary'!$B$2:$B$72</definedName>
    <definedName name="primary_jama_2019_14231_domain">'_Primary'!$C$2:$C$72</definedName>
    <definedName name="primary_jama_2019_14630_key">'_Primary'!$A$2:$A$72</definedName>
    <definedName name="primary_jama_2019_14630_disposition">'_Primary'!$B$2:$B$72</definedName>
    <definedName name="primary_jama_2019_14630_domain">'_Primary'!$C$2:$C$72</definedName>
    <definedName name="primary_jama_2019_14901_key">'_Primary'!$A$2:$A$72</definedName>
    <definedName name="primary_jama_2019_14901_disposition">'_Primary'!$B$2:$B$72</definedName>
    <definedName name="primary_jama_2019_14901_domain">'_Primary'!$C$2:$C$72</definedName>
    <definedName name="primary_jama_2019_17380_key">'_Primary'!$A$2:$A$72</definedName>
    <definedName name="primary_jama_2019_17380_disposition">'_Primary'!$B$2:$B$72</definedName>
    <definedName name="primary_jama_2019_17380_domain">'_Primary'!$C$2:$C$72</definedName>
    <definedName name="primary_jama_2019_2210_key">'_Primary'!$A$2:$A$72</definedName>
    <definedName name="primary_jama_2019_2210_disposition">'_Primary'!$B$2:$B$72</definedName>
    <definedName name="primary_jama_2019_2210_domain">'_Primary'!$C$2:$C$72</definedName>
    <definedName name="primary_jama_2019_4755_key">'_Primary'!$A$2:$A$72</definedName>
    <definedName name="primary_jama_2019_4755_disposition">'_Primary'!$B$2:$B$72</definedName>
    <definedName name="primary_jama_2019_4755_domain">'_Primary'!$C$2:$C$72</definedName>
    <definedName name="primary_jama_2019_7505_key">'_Primary'!$A$2:$A$72</definedName>
    <definedName name="primary_jama_2019_7505_disposition">'_Primary'!$B$2:$B$72</definedName>
    <definedName name="primary_jama_2019_7505_domain">'_Primary'!$C$2:$C$72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'C_jama.2019.0556'!$A$1:$S$10</definedName>
    <definedName name="_xlnm.Print_Titles" localSheetId="3">'C_jama.2019.0556'!$1:$1</definedName>
    <definedName name="_xlnm._FilterDatabase" localSheetId="4" hidden="1">'C_jama.2019.10517'!$A$1:$S$4</definedName>
    <definedName name="_xlnm.Print_Titles" localSheetId="4">'C_jama.2019.10517'!$1:$1</definedName>
    <definedName name="_xlnm._FilterDatabase" localSheetId="5" hidden="1">'C_jama.2019.12618'!$A$1:$S$9</definedName>
    <definedName name="_xlnm.Print_Titles" localSheetId="5">'C_jama.2019.12618'!$1:$1</definedName>
    <definedName name="_xlnm._FilterDatabase" localSheetId="6" hidden="1">'C_jama.2019.14231'!$A$1:$S$12</definedName>
    <definedName name="_xlnm.Print_Titles" localSheetId="6">'C_jama.2019.14231'!$1:$1</definedName>
    <definedName name="_xlnm._FilterDatabase" localSheetId="7" hidden="1">'C_jama.2019.14630'!$A$1:$S$10</definedName>
    <definedName name="_xlnm.Print_Titles" localSheetId="7">'C_jama.2019.14630'!$1:$1</definedName>
    <definedName name="_xlnm._FilterDatabase" localSheetId="8" hidden="1">'C_jama.2019.14901'!$A$1:$S$7</definedName>
    <definedName name="_xlnm.Print_Titles" localSheetId="8">'C_jama.2019.14901'!$1:$1</definedName>
    <definedName name="_xlnm._FilterDatabase" localSheetId="9" hidden="1">'C_jama.2019.17380'!$A$1:$S$8</definedName>
    <definedName name="_xlnm.Print_Titles" localSheetId="9">'C_jama.2019.17380'!$1:$1</definedName>
    <definedName name="_xlnm._FilterDatabase" localSheetId="10" hidden="1">'C_jama.2019.2210'!$A$1:$S$10</definedName>
    <definedName name="_xlnm.Print_Titles" localSheetId="10">'C_jama.2019.2210'!$1:$1</definedName>
    <definedName name="_xlnm._FilterDatabase" localSheetId="11" hidden="1">'C_jama.2019.4755'!$A$1:$S$6</definedName>
    <definedName name="_xlnm.Print_Titles" localSheetId="11">'C_jama.2019.4755'!$1:$1</definedName>
    <definedName name="_xlnm._FilterDatabase" localSheetId="12" hidden="1">'C_jama.2019.7505'!$A$1:$S$5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 name="_xlnm._FilterDatabase" localSheetId="19" hidden="1">'_Primary'!$A$1:$K$72</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v.2.1.4 | 2019 | SYNTHETIC TEST DATA ONLY | ready for checking</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READY FOR CHECKING: primary answers are preserved in this file. Assessment cells now record changes; Complete refers to checker completion.</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is>
          <t>TEST_primary_2019</t>
        </is>
      </c>
    </row>
    <row r="3" ht="30" customHeight="1">
      <c r="A3" s="3" t="inlineStr">
        <is>
          <t>primaryReviewerName</t>
        </is>
      </c>
      <c r="B3" s="3" t="inlineStr">
        <is>
          <t>SYNTHETIC TEST REVIEWER - not a real adjudicator</t>
        </is>
      </c>
    </row>
    <row r="4" ht="30" customHeight="1">
      <c r="A4" s="2" t="inlineStr">
        <is>
          <t>checkerId</t>
        </is>
      </c>
      <c r="B4" s="4" t="inlineStr">
        <is>
          <t>TEST_checker_2019</t>
        </is>
      </c>
    </row>
    <row r="5" ht="30" customHeight="1">
      <c r="A5" s="3" t="inlineStr">
        <is>
          <t>checkerName</t>
        </is>
      </c>
      <c r="B5" s="4" t="inlineStr">
        <is>
          <t>SYNTHETIC TEST REVIEWER - not a real adjudicator</t>
        </is>
      </c>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c r="F2" s="8" t="inlineStr">
        <is>
          <t>no</t>
        </is>
      </c>
      <c r="G2" s="2">
        <f>IF(OR(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AND(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K2&lt;&gt;"",K2&lt;&gt;"not_applicable"),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CLEAR INACTIVE VALUES",IF(O2="","PENDING",IF(AND(O2&lt;&gt;"agree",LEN(TRIM(P2))=0),"COMMENT NEEDED",IF(F2="yes","CHECKED - see resolution","DRAFT"))))</f>
        <v/>
      </c>
      <c r="H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I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J2" s="9">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K2" s="8">
        <f>IF(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not_applicable","")</f>
        <v/>
      </c>
      <c r="L2" s="9">
        <f>IF(OR(AND(IF($D2="",INDEX(primary_jama_2019_0556_disposition,MATCH($A2,primary_jama_2019_0556_key,0)),$D2)&lt;&gt;"",IF($D2="",INDEX(primary_jama_2019_0556_disposition,MATCH($A2,primary_jama_2019_0556_key,0)),$D2)&lt;&gt;"retain"),NOT(OR(IF($E2="",INDEX(primary_jama_2019_0556_domain,MATCH($A2,primary_jama_2019_0556_key,0)),$E2)="protocol_report"))),"not_applicable","")</f>
        <v/>
      </c>
      <c r="M2" s="10" t="inlineStr"/>
      <c r="N2" s="10" t="inlineStr"/>
      <c r="O2" s="8" t="inlineStr"/>
      <c r="P2" s="11" t="inlineStr"/>
      <c r="Q2" s="8" t="inlineStr">
        <is>
          <t>pending</t>
        </is>
      </c>
      <c r="R2" s="11" t="inlineStr"/>
      <c r="S2" s="2" t="inlineStr">
        <is>
          <t>Disposition: exclude
Review domain: internal_nonstatistical
Notes (optional): SYNTHETIC TEST DATA ONLY. Exclude is a placeholder for testing the checker workflow, not a scientific assessment. Do not use this sample in research results.</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c r="F3" s="8" t="inlineStr">
        <is>
          <t>no</t>
        </is>
      </c>
      <c r="G3" s="3">
        <f>IF(OR(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AND(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K3&lt;&gt;"",K3&lt;&gt;"not_applicable"),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CLEAR INACTIVE VALUES",IF(O3="","PENDING",IF(AND(O3&lt;&gt;"agree",LEN(TRIM(P3))=0),"COMMENT NEEDED",IF(F3="yes","CHECKED - see resolution","DRAFT"))))</f>
        <v/>
      </c>
      <c r="H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I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J3" s="9">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K3" s="8">
        <f>IF(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not_applicable","")</f>
        <v/>
      </c>
      <c r="L3" s="9">
        <f>IF(OR(AND(IF($D3="",INDEX(primary_jama_2019_0556_disposition,MATCH($A3,primary_jama_2019_0556_key,0)),$D3)&lt;&gt;"",IF($D3="",INDEX(primary_jama_2019_0556_disposition,MATCH($A3,primary_jama_2019_0556_key,0)),$D3)&lt;&gt;"retain"),NOT(OR(IF($E3="",INDEX(primary_jama_2019_0556_domain,MATCH($A3,primary_jama_2019_0556_key,0)),$E3)="protocol_report"))),"not_applicable","")</f>
        <v/>
      </c>
      <c r="M3" s="10" t="inlineStr"/>
      <c r="N3" s="10" t="inlineStr"/>
      <c r="O3" s="8" t="inlineStr"/>
      <c r="P3" s="11" t="inlineStr"/>
      <c r="Q3" s="8" t="inlineStr">
        <is>
          <t>pending</t>
        </is>
      </c>
      <c r="R3" s="11" t="inlineStr"/>
      <c r="S3" s="3" t="inlineStr">
        <is>
          <t>Disposition: exclude
Review domain: internal_nonstatistical
Notes (optional): SYNTHETIC TEST DATA ONLY. Exclude is a placeholder for testing the checker workflow, not a scientific assessment. Do not use this sample in research results.</t>
        </is>
      </c>
    </row>
    <row r="4" ht="76" customHeight="1">
      <c r="A4" s="2" t="inlineStr">
        <is>
          <t>2019::jama.2019.0556::C003</t>
        </is>
      </c>
      <c r="B4" s="2" t="inlineStr">
        <is>
          <t>eAppendix 8 footnote markers point to unrelated adherence rows</t>
        </is>
      </c>
      <c r="C4" s="2" t="inlineStr">
        <is>
          <t>DOC-004 eAppendix 8 — PDF p. 16.</t>
        </is>
      </c>
      <c r="D4" s="8" t="inlineStr"/>
      <c r="E4" s="8" t="inlineStr"/>
      <c r="F4" s="8" t="inlineStr">
        <is>
          <t>no</t>
        </is>
      </c>
      <c r="G4" s="2">
        <f>IF(OR(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AND(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K4&lt;&gt;"",K4&lt;&gt;"not_applicable"),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CLEAR INACTIVE VALUES",IF(O4="","PENDING",IF(AND(O4&lt;&gt;"agree",LEN(TRIM(P4))=0),"COMMENT NEEDED",IF(F4="yes","CHECKED - see resolution","DRAFT"))))</f>
        <v/>
      </c>
      <c r="H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I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J4" s="9">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K4" s="8">
        <f>IF(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not_applicable","")</f>
        <v/>
      </c>
      <c r="L4" s="9">
        <f>IF(OR(AND(IF($D4="",INDEX(primary_jama_2019_0556_disposition,MATCH($A4,primary_jama_2019_0556_key,0)),$D4)&lt;&gt;"",IF($D4="",INDEX(primary_jama_2019_0556_disposition,MATCH($A4,primary_jama_2019_0556_key,0)),$D4)&lt;&gt;"retain"),NOT(OR(IF($E4="",INDEX(primary_jama_2019_0556_domain,MATCH($A4,primary_jama_2019_0556_key,0)),$E4)="protocol_report"))),"not_applicable","")</f>
        <v/>
      </c>
      <c r="M4" s="10" t="inlineStr"/>
      <c r="N4" s="10" t="inlineStr"/>
      <c r="O4" s="8" t="inlineStr"/>
      <c r="P4" s="11" t="inlineStr"/>
      <c r="Q4" s="8" t="inlineStr">
        <is>
          <t>pending</t>
        </is>
      </c>
      <c r="R4" s="11" t="inlineStr"/>
      <c r="S4" s="2" t="inlineStr">
        <is>
          <t>Disposition: exclude
Review domain: internal_nonstatistical
Notes (optional): SYNTHETIC TEST DATA ONLY. Exclude is a placeholder for testing the checker workflow, not a scientific assessment. Do not use this sample in research results.</t>
        </is>
      </c>
    </row>
    <row r="5" ht="76" customHeight="1">
      <c r="A5" s="3" t="inlineStr">
        <is>
          <t>2019::jama.2019.0556::C004</t>
        </is>
      </c>
      <c r="B5" s="3" t="inlineStr">
        <is>
          <t>eAppendix 10 prints a literal P value of zero</t>
        </is>
      </c>
      <c r="C5" s="3" t="inlineStr">
        <is>
          <t>DOC-004 eAppendix 10B — PDF p. 19.</t>
        </is>
      </c>
      <c r="D5" s="8" t="inlineStr"/>
      <c r="E5" s="8" t="inlineStr"/>
      <c r="F5" s="8" t="inlineStr">
        <is>
          <t>no</t>
        </is>
      </c>
      <c r="G5" s="3">
        <f>IF(OR(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AND(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K5&lt;&gt;"",K5&lt;&gt;"not_applicable"),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CLEAR INACTIVE VALUES",IF(O5="","PENDING",IF(AND(O5&lt;&gt;"agree",LEN(TRIM(P5))=0),"COMMENT NEEDED",IF(F5="yes","CHECKED - see resolution","DRAFT"))))</f>
        <v/>
      </c>
      <c r="H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I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J5" s="9">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K5" s="8">
        <f>IF(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not_applicable","")</f>
        <v/>
      </c>
      <c r="L5" s="9">
        <f>IF(OR(AND(IF($D5="",INDEX(primary_jama_2019_0556_disposition,MATCH($A5,primary_jama_2019_0556_key,0)),$D5)&lt;&gt;"",IF($D5="",INDEX(primary_jama_2019_0556_disposition,MATCH($A5,primary_jama_2019_0556_key,0)),$D5)&lt;&gt;"retain"),NOT(OR(IF($E5="",INDEX(primary_jama_2019_0556_domain,MATCH($A5,primary_jama_2019_0556_key,0)),$E5)="protocol_report"))),"not_applicable","")</f>
        <v/>
      </c>
      <c r="M5" s="10" t="inlineStr"/>
      <c r="N5" s="10" t="inlineStr"/>
      <c r="O5" s="8" t="inlineStr"/>
      <c r="P5" s="11" t="inlineStr"/>
      <c r="Q5" s="8" t="inlineStr">
        <is>
          <t>pending</t>
        </is>
      </c>
      <c r="R5" s="11" t="inlineStr"/>
      <c r="S5" s="3" t="inlineStr">
        <is>
          <t>Disposition: exclude
Review domain: statistical_results
Notes (optional): SYNTHETIC TEST DATA ONLY. Exclude is a placeholder for testing the checker workflow, not a scientific assessment. Do not use this sample in research results.</t>
        </is>
      </c>
    </row>
    <row r="6" ht="76" customHeight="1">
      <c r="A6" s="2" t="inlineStr">
        <is>
          <t>2019::jama.2019.0556::C005</t>
        </is>
      </c>
      <c r="B6" s="2" t="inlineStr">
        <is>
          <t>Main-article sample-size total conflicts with four stated cell counts</t>
        </is>
      </c>
      <c r="C6" s="2" t="inlineStr">
        <is>
          <t>DOC-001 Sample Size — PDF p. 4.</t>
        </is>
      </c>
      <c r="D6" s="8" t="inlineStr"/>
      <c r="E6" s="8" t="inlineStr"/>
      <c r="F6" s="8" t="inlineStr">
        <is>
          <t>no</t>
        </is>
      </c>
      <c r="G6" s="2">
        <f>IF(OR(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AND(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K6&lt;&gt;"",K6&lt;&gt;"not_applicable"),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CLEAR INACTIVE VALUES",IF(O6="","PENDING",IF(AND(O6&lt;&gt;"agree",LEN(TRIM(P6))=0),"COMMENT NEEDED",IF(F6="yes","CHECKED - see resolution","DRAFT"))))</f>
        <v/>
      </c>
      <c r="H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I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J6" s="9">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K6" s="8">
        <f>IF(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not_applicable","")</f>
        <v/>
      </c>
      <c r="L6" s="9">
        <f>IF(OR(AND(IF($D6="",INDEX(primary_jama_2019_0556_disposition,MATCH($A6,primary_jama_2019_0556_key,0)),$D6)&lt;&gt;"",IF($D6="",INDEX(primary_jama_2019_0556_disposition,MATCH($A6,primary_jama_2019_0556_key,0)),$D6)&lt;&gt;"retain"),NOT(OR(IF($E6="",INDEX(primary_jama_2019_0556_domain,MATCH($A6,primary_jama_2019_0556_key,0)),$E6)="protocol_report"))),"not_applicable","")</f>
        <v/>
      </c>
      <c r="M6" s="10" t="inlineStr"/>
      <c r="N6" s="10" t="inlineStr"/>
      <c r="O6" s="8" t="inlineStr"/>
      <c r="P6" s="11" t="inlineStr"/>
      <c r="Q6" s="8" t="inlineStr">
        <is>
          <t>pending</t>
        </is>
      </c>
      <c r="R6" s="11" t="inlineStr"/>
      <c r="S6" s="2" t="inlineStr">
        <is>
          <t>Disposition: exclude
Review domain: statistical_results
Notes (optional): SYNTHETIC TEST DATA ONLY. Exclude is a placeholder for testing the checker workflow, not a scientific assessment. Do not use this sample in research results.</t>
        </is>
      </c>
    </row>
    <row r="7" ht="76" customHeight="1">
      <c r="A7" s="3" t="inlineStr">
        <is>
          <t>2019::jama.2019.0556::C006</t>
        </is>
      </c>
      <c r="B7" s="3" t="inlineStr">
        <is>
          <t>Protocol calls a 30% versus 15% contrast a 25% difference</t>
        </is>
      </c>
      <c r="C7" s="3" t="inlineStr">
        <is>
          <t>DOC-002 Sample Size — PDF p. 16.</t>
        </is>
      </c>
      <c r="D7" s="8" t="inlineStr"/>
      <c r="E7" s="8" t="inlineStr"/>
      <c r="F7" s="8" t="inlineStr">
        <is>
          <t>no</t>
        </is>
      </c>
      <c r="G7" s="3">
        <f>IF(OR(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AND(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K7&lt;&gt;"",K7&lt;&gt;"not_applicable"),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CLEAR INACTIVE VALUES",IF(O7="","PENDING",IF(AND(O7&lt;&gt;"agree",LEN(TRIM(P7))=0),"COMMENT NEEDED",IF(F7="yes","CHECKED - see resolution","DRAFT"))))</f>
        <v/>
      </c>
      <c r="H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I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J7" s="9">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K7" s="8">
        <f>IF(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not_applicable","")</f>
        <v/>
      </c>
      <c r="L7" s="9">
        <f>IF(OR(AND(IF($D7="",INDEX(primary_jama_2019_0556_disposition,MATCH($A7,primary_jama_2019_0556_key,0)),$D7)&lt;&gt;"",IF($D7="",INDEX(primary_jama_2019_0556_disposition,MATCH($A7,primary_jama_2019_0556_key,0)),$D7)&lt;&gt;"retain"),NOT(OR(IF($E7="",INDEX(primary_jama_2019_0556_domain,MATCH($A7,primary_jama_2019_0556_key,0)),$E7)="protocol_report"))),"not_applicable","")</f>
        <v/>
      </c>
      <c r="M7" s="10" t="inlineStr"/>
      <c r="N7" s="10" t="inlineStr"/>
      <c r="O7" s="8" t="inlineStr"/>
      <c r="P7" s="11" t="inlineStr"/>
      <c r="Q7" s="8" t="inlineStr">
        <is>
          <t>pending</t>
        </is>
      </c>
      <c r="R7" s="11" t="inlineStr"/>
      <c r="S7" s="3" t="inlineStr">
        <is>
          <t>Disposition: exclude
Review domain: plan_material
Notes (optional): SYNTHETIC TEST DATA ONLY. Exclude is a placeholder for testing the checker workflow, not a scientific assessment. Do not use this sample in research results.</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c r="F8" s="8" t="inlineStr">
        <is>
          <t>no</t>
        </is>
      </c>
      <c r="G8" s="2">
        <f>IF(OR(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AND(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K8&lt;&gt;"",K8&lt;&gt;"not_applicable"),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CLEAR INACTIVE VALUES",IF(O8="","PENDING",IF(AND(O8&lt;&gt;"agree",LEN(TRIM(P8))=0),"COMMENT NEEDED",IF(F8="yes","CHECKED - see resolution","DRAFT"))))</f>
        <v/>
      </c>
      <c r="H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I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J8" s="9">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K8" s="8">
        <f>IF(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not_applicable","")</f>
        <v/>
      </c>
      <c r="L8" s="9">
        <f>IF(OR(AND(IF($D8="",INDEX(primary_jama_2019_0556_disposition,MATCH($A8,primary_jama_2019_0556_key,0)),$D8)&lt;&gt;"",IF($D8="",INDEX(primary_jama_2019_0556_disposition,MATCH($A8,primary_jama_2019_0556_key,0)),$D8)&lt;&gt;"retain"),NOT(OR(IF($E8="",INDEX(primary_jama_2019_0556_domain,MATCH($A8,primary_jama_2019_0556_key,0)),$E8)="protocol_report"))),"not_applicable","")</f>
        <v/>
      </c>
      <c r="M8" s="10" t="inlineStr"/>
      <c r="N8" s="10" t="inlineStr"/>
      <c r="O8" s="8" t="inlineStr"/>
      <c r="P8" s="11" t="inlineStr"/>
      <c r="Q8" s="8" t="inlineStr">
        <is>
          <t>pending</t>
        </is>
      </c>
      <c r="R8" s="11" t="inlineStr"/>
      <c r="S8" s="2" t="inlineStr">
        <is>
          <t>Disposition: exclude
Review domain: protocol_report
Notes (optional): SYNTHETIC TEST DATA ONLY. Exclude is a placeholder for testing the checker workflow, not a scientific assessment. Do not use this sample in research results.</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c r="F9" s="8" t="inlineStr">
        <is>
          <t>no</t>
        </is>
      </c>
      <c r="G9" s="3">
        <f>IF(OR(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AND(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K9&lt;&gt;"",K9&lt;&gt;"not_applicable"),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CLEAR INACTIVE VALUES",IF(O9="","PENDING",IF(AND(O9&lt;&gt;"agree",LEN(TRIM(P9))=0),"COMMENT NEEDED",IF(F9="yes","CHECKED - see resolution","DRAFT"))))</f>
        <v/>
      </c>
      <c r="H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I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J9" s="9">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K9" s="8">
        <f>IF(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not_applicable","")</f>
        <v/>
      </c>
      <c r="L9" s="9">
        <f>IF(OR(AND(IF($D9="",INDEX(primary_jama_2019_0556_disposition,MATCH($A9,primary_jama_2019_0556_key,0)),$D9)&lt;&gt;"",IF($D9="",INDEX(primary_jama_2019_0556_disposition,MATCH($A9,primary_jama_2019_0556_key,0)),$D9)&lt;&gt;"retain"),NOT(OR(IF($E9="",INDEX(primary_jama_2019_0556_domain,MATCH($A9,primary_jama_2019_0556_key,0)),$E9)="protocol_report"))),"not_applicable","")</f>
        <v/>
      </c>
      <c r="M9" s="10" t="inlineStr"/>
      <c r="N9" s="10" t="inlineStr"/>
      <c r="O9" s="8" t="inlineStr"/>
      <c r="P9" s="11" t="inlineStr"/>
      <c r="Q9" s="8" t="inlineStr">
        <is>
          <t>pending</t>
        </is>
      </c>
      <c r="R9" s="11" t="inlineStr"/>
      <c r="S9" s="3" t="inlineStr">
        <is>
          <t>Disposition: exclude
Review domain: plan_material
Notes (optional): SYNTHETIC TEST DATA ONLY. Exclude is a placeholder for testing the checker workflow, not a scientific assessment. Do not use this sample in research results.</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c r="F10" s="8" t="inlineStr">
        <is>
          <t>no</t>
        </is>
      </c>
      <c r="G10" s="2">
        <f>IF(OR(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K10&lt;&gt;"",K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CLEAR INACTIVE VALUES",IF(O10="","PENDING",IF(AND(O10&lt;&gt;"agree",LEN(TRIM(P10))=0),"COMMENT NEEDED",IF(F10="yes","CHECKED - see resolution","DRAFT"))))</f>
        <v/>
      </c>
      <c r="H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I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J10" s="9">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K10" s="8">
        <f>IF(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not_applicable","")</f>
        <v/>
      </c>
      <c r="L10" s="9">
        <f>IF(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not_applicable","")</f>
        <v/>
      </c>
      <c r="M10" s="10" t="inlineStr"/>
      <c r="N10" s="10" t="inlineStr"/>
      <c r="O10" s="8" t="inlineStr"/>
      <c r="P10" s="11" t="inlineStr"/>
      <c r="Q10" s="8" t="inlineStr">
        <is>
          <t>pending</t>
        </is>
      </c>
      <c r="R10" s="11" t="inlineStr"/>
      <c r="S10" s="2"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formula>
    </cfRule>
    <cfRule type="expression" priority="2"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H3">
    <cfRule type="expression" priority="3"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formula>
    </cfRule>
    <cfRule type="expression" priority="4"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H4">
    <cfRule type="expression" priority="5"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formula>
    </cfRule>
    <cfRule type="expression" priority="6"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H5">
    <cfRule type="expression" priority="7"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formula>
    </cfRule>
    <cfRule type="expression" priority="8"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H6">
    <cfRule type="expression" priority="9"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formula>
    </cfRule>
    <cfRule type="expression" priority="10"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H7">
    <cfRule type="expression" priority="11"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formula>
    </cfRule>
    <cfRule type="expression" priority="12"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H8">
    <cfRule type="expression" priority="13"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formula>
    </cfRule>
    <cfRule type="expression" priority="14"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H9">
    <cfRule type="expression" priority="15"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formula>
    </cfRule>
    <cfRule type="expression" priority="16"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H10">
    <cfRule type="expression" priority="17"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formula>
    </cfRule>
    <cfRule type="expression" priority="18"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I2">
    <cfRule type="expression" priority="19"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formula>
    </cfRule>
    <cfRule type="expression" priority="20"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I3">
    <cfRule type="expression" priority="21"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formula>
    </cfRule>
    <cfRule type="expression" priority="22"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I4">
    <cfRule type="expression" priority="23"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formula>
    </cfRule>
    <cfRule type="expression" priority="24"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I5">
    <cfRule type="expression" priority="25"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formula>
    </cfRule>
    <cfRule type="expression" priority="26"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I6">
    <cfRule type="expression" priority="27"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formula>
    </cfRule>
    <cfRule type="expression" priority="28"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I7">
    <cfRule type="expression" priority="29"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formula>
    </cfRule>
    <cfRule type="expression" priority="30"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I8">
    <cfRule type="expression" priority="31"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formula>
    </cfRule>
    <cfRule type="expression" priority="32"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I9">
    <cfRule type="expression" priority="33"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formula>
    </cfRule>
    <cfRule type="expression" priority="34"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I10">
    <cfRule type="expression" priority="35"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formula>
    </cfRule>
    <cfRule type="expression" priority="36"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J2">
    <cfRule type="expression" priority="37"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formula>
    </cfRule>
    <cfRule type="expression" priority="38"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J3">
    <cfRule type="expression" priority="39"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formula>
    </cfRule>
    <cfRule type="expression" priority="40"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J4">
    <cfRule type="expression" priority="41"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formula>
    </cfRule>
    <cfRule type="expression" priority="42"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J5">
    <cfRule type="expression" priority="43"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formula>
    </cfRule>
    <cfRule type="expression" priority="44"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J6">
    <cfRule type="expression" priority="45"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formula>
    </cfRule>
    <cfRule type="expression" priority="46"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J7">
    <cfRule type="expression" priority="47"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formula>
    </cfRule>
    <cfRule type="expression" priority="48"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J8">
    <cfRule type="expression" priority="49"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formula>
    </cfRule>
    <cfRule type="expression" priority="50"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J9">
    <cfRule type="expression" priority="51"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formula>
    </cfRule>
    <cfRule type="expression" priority="52"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J10">
    <cfRule type="expression" priority="53"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formula>
    </cfRule>
    <cfRule type="expression" priority="54"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K2">
    <cfRule type="expression" priority="55"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K2&lt;&gt;"",K2&lt;&gt;"not_applicable")</formula>
    </cfRule>
    <cfRule type="expression" priority="56" dxfId="1">
      <formula>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formula>
    </cfRule>
  </conditionalFormatting>
  <conditionalFormatting sqref="K3">
    <cfRule type="expression" priority="57"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K3&lt;&gt;"",K3&lt;&gt;"not_applicable")</formula>
    </cfRule>
    <cfRule type="expression" priority="58" dxfId="1">
      <formula>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formula>
    </cfRule>
  </conditionalFormatting>
  <conditionalFormatting sqref="K4">
    <cfRule type="expression" priority="59"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K4&lt;&gt;"",K4&lt;&gt;"not_applicable")</formula>
    </cfRule>
    <cfRule type="expression" priority="60" dxfId="1">
      <formula>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formula>
    </cfRule>
  </conditionalFormatting>
  <conditionalFormatting sqref="K5">
    <cfRule type="expression" priority="61"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K5&lt;&gt;"",K5&lt;&gt;"not_applicable")</formula>
    </cfRule>
    <cfRule type="expression" priority="62" dxfId="1">
      <formula>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formula>
    </cfRule>
  </conditionalFormatting>
  <conditionalFormatting sqref="K6">
    <cfRule type="expression" priority="63"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K6&lt;&gt;"",K6&lt;&gt;"not_applicable")</formula>
    </cfRule>
    <cfRule type="expression" priority="64" dxfId="1">
      <formula>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formula>
    </cfRule>
  </conditionalFormatting>
  <conditionalFormatting sqref="K7">
    <cfRule type="expression" priority="65"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K7&lt;&gt;"",K7&lt;&gt;"not_applicable")</formula>
    </cfRule>
    <cfRule type="expression" priority="66" dxfId="1">
      <formula>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formula>
    </cfRule>
  </conditionalFormatting>
  <conditionalFormatting sqref="K8">
    <cfRule type="expression" priority="67"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K8&lt;&gt;"",K8&lt;&gt;"not_applicable")</formula>
    </cfRule>
    <cfRule type="expression" priority="68" dxfId="1">
      <formula>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formula>
    </cfRule>
  </conditionalFormatting>
  <conditionalFormatting sqref="K9">
    <cfRule type="expression" priority="69"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K9&lt;&gt;"",K9&lt;&gt;"not_applicable")</formula>
    </cfRule>
    <cfRule type="expression" priority="70" dxfId="1">
      <formula>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formula>
    </cfRule>
  </conditionalFormatting>
  <conditionalFormatting sqref="K10">
    <cfRule type="expression" priority="71"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K10&lt;&gt;"",K10&lt;&gt;"not_applicable")</formula>
    </cfRule>
    <cfRule type="expression" priority="72"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formula>
    </cfRule>
  </conditionalFormatting>
  <conditionalFormatting sqref="L2">
    <cfRule type="expression" priority="73"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formula>
    </cfRule>
    <cfRule type="expression" priority="74" dxfId="1">
      <formula>OR(AND(IF($D2="",INDEX(primary_jama_2019_0556_disposition,MATCH($A2,primary_jama_2019_0556_key,0)),$D2)&lt;&gt;"",IF($D2="",INDEX(primary_jama_2019_0556_disposition,MATCH($A2,primary_jama_2019_0556_key,0)),$D2)&lt;&gt;"retain"),NOT(OR(IF($E2="",INDEX(primary_jama_2019_0556_domain,MATCH($A2,primary_jama_2019_0556_key,0)),$E2)="protocol_report")))</formula>
    </cfRule>
  </conditionalFormatting>
  <conditionalFormatting sqref="L3">
    <cfRule type="expression" priority="75"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formula>
    </cfRule>
    <cfRule type="expression" priority="76" dxfId="1">
      <formula>OR(AND(IF($D3="",INDEX(primary_jama_2019_0556_disposition,MATCH($A3,primary_jama_2019_0556_key,0)),$D3)&lt;&gt;"",IF($D3="",INDEX(primary_jama_2019_0556_disposition,MATCH($A3,primary_jama_2019_0556_key,0)),$D3)&lt;&gt;"retain"),NOT(OR(IF($E3="",INDEX(primary_jama_2019_0556_domain,MATCH($A3,primary_jama_2019_0556_key,0)),$E3)="protocol_report")))</formula>
    </cfRule>
  </conditionalFormatting>
  <conditionalFormatting sqref="L4">
    <cfRule type="expression" priority="77"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formula>
    </cfRule>
    <cfRule type="expression" priority="78" dxfId="1">
      <formula>OR(AND(IF($D4="",INDEX(primary_jama_2019_0556_disposition,MATCH($A4,primary_jama_2019_0556_key,0)),$D4)&lt;&gt;"",IF($D4="",INDEX(primary_jama_2019_0556_disposition,MATCH($A4,primary_jama_2019_0556_key,0)),$D4)&lt;&gt;"retain"),NOT(OR(IF($E4="",INDEX(primary_jama_2019_0556_domain,MATCH($A4,primary_jama_2019_0556_key,0)),$E4)="protocol_report")))</formula>
    </cfRule>
  </conditionalFormatting>
  <conditionalFormatting sqref="L5">
    <cfRule type="expression" priority="79"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formula>
    </cfRule>
    <cfRule type="expression" priority="80" dxfId="1">
      <formula>OR(AND(IF($D5="",INDEX(primary_jama_2019_0556_disposition,MATCH($A5,primary_jama_2019_0556_key,0)),$D5)&lt;&gt;"",IF($D5="",INDEX(primary_jama_2019_0556_disposition,MATCH($A5,primary_jama_2019_0556_key,0)),$D5)&lt;&gt;"retain"),NOT(OR(IF($E5="",INDEX(primary_jama_2019_0556_domain,MATCH($A5,primary_jama_2019_0556_key,0)),$E5)="protocol_report")))</formula>
    </cfRule>
  </conditionalFormatting>
  <conditionalFormatting sqref="L6">
    <cfRule type="expression" priority="81"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formula>
    </cfRule>
    <cfRule type="expression" priority="82" dxfId="1">
      <formula>OR(AND(IF($D6="",INDEX(primary_jama_2019_0556_disposition,MATCH($A6,primary_jama_2019_0556_key,0)),$D6)&lt;&gt;"",IF($D6="",INDEX(primary_jama_2019_0556_disposition,MATCH($A6,primary_jama_2019_0556_key,0)),$D6)&lt;&gt;"retain"),NOT(OR(IF($E6="",INDEX(primary_jama_2019_0556_domain,MATCH($A6,primary_jama_2019_0556_key,0)),$E6)="protocol_report")))</formula>
    </cfRule>
  </conditionalFormatting>
  <conditionalFormatting sqref="L7">
    <cfRule type="expression" priority="83"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formula>
    </cfRule>
    <cfRule type="expression" priority="84" dxfId="1">
      <formula>OR(AND(IF($D7="",INDEX(primary_jama_2019_0556_disposition,MATCH($A7,primary_jama_2019_0556_key,0)),$D7)&lt;&gt;"",IF($D7="",INDEX(primary_jama_2019_0556_disposition,MATCH($A7,primary_jama_2019_0556_key,0)),$D7)&lt;&gt;"retain"),NOT(OR(IF($E7="",INDEX(primary_jama_2019_0556_domain,MATCH($A7,primary_jama_2019_0556_key,0)),$E7)="protocol_report")))</formula>
    </cfRule>
  </conditionalFormatting>
  <conditionalFormatting sqref="L8">
    <cfRule type="expression" priority="85"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formula>
    </cfRule>
    <cfRule type="expression" priority="86" dxfId="1">
      <formula>OR(AND(IF($D8="",INDEX(primary_jama_2019_0556_disposition,MATCH($A8,primary_jama_2019_0556_key,0)),$D8)&lt;&gt;"",IF($D8="",INDEX(primary_jama_2019_0556_disposition,MATCH($A8,primary_jama_2019_0556_key,0)),$D8)&lt;&gt;"retain"),NOT(OR(IF($E8="",INDEX(primary_jama_2019_0556_domain,MATCH($A8,primary_jama_2019_0556_key,0)),$E8)="protocol_report")))</formula>
    </cfRule>
  </conditionalFormatting>
  <conditionalFormatting sqref="L9">
    <cfRule type="expression" priority="87"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formula>
    </cfRule>
    <cfRule type="expression" priority="88" dxfId="1">
      <formula>OR(AND(IF($D9="",INDEX(primary_jama_2019_0556_disposition,MATCH($A9,primary_jama_2019_0556_key,0)),$D9)&lt;&gt;"",IF($D9="",INDEX(primary_jama_2019_0556_disposition,MATCH($A9,primary_jama_2019_0556_key,0)),$D9)&lt;&gt;"retain"),NOT(OR(IF($E9="",INDEX(primary_jama_2019_0556_domain,MATCH($A9,primary_jama_2019_0556_key,0)),$E9)="protocol_report")))</formula>
    </cfRule>
  </conditionalFormatting>
  <conditionalFormatting sqref="L10">
    <cfRule type="expression" priority="89"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formula>
    </cfRule>
    <cfRule type="expression" priority="90"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c r="F2" s="8" t="inlineStr">
        <is>
          <t>no</t>
        </is>
      </c>
      <c r="G2" s="2">
        <f>IF(OR(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K2&lt;&gt;"",K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CLEAR INACTIVE VALUES",IF(O2="","PENDING",IF(AND(O2&lt;&gt;"agree",LEN(TRIM(P2))=0),"COMMENT NEEDED",IF(F2="yes","CHECKED - see resolution","DRAFT"))))</f>
        <v/>
      </c>
      <c r="H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I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J2" s="9">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K2" s="8">
        <f>IF(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not_applicable","")</f>
        <v/>
      </c>
      <c r="L2" s="9">
        <f>IF(OR(AND(IF($D2="",INDEX(primary_jama_2019_10517_disposition,MATCH($A2,primary_jama_2019_10517_key,0)),$D2)&lt;&gt;"",IF($D2="",INDEX(primary_jama_2019_10517_disposition,MATCH($A2,primary_jama_2019_10517_key,0)),$D2)&lt;&gt;"retain"),NOT(OR(IF($E2="",INDEX(primary_jama_2019_10517_domain,MATCH($A2,primary_jama_2019_10517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c r="F3" s="8" t="inlineStr">
        <is>
          <t>no</t>
        </is>
      </c>
      <c r="G3" s="3">
        <f>IF(OR(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K3&lt;&gt;"",K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CLEAR INACTIVE VALUES",IF(O3="","PENDING",IF(AND(O3&lt;&gt;"agree",LEN(TRIM(P3))=0),"COMMENT NEEDED",IF(F3="yes","CHECKED - see resolution","DRAFT"))))</f>
        <v/>
      </c>
      <c r="H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I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J3" s="9">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K3" s="8">
        <f>IF(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not_applicable","")</f>
        <v/>
      </c>
      <c r="L3" s="9">
        <f>IF(OR(AND(IF($D3="",INDEX(primary_jama_2019_10517_disposition,MATCH($A3,primary_jama_2019_10517_key,0)),$D3)&lt;&gt;"",IF($D3="",INDEX(primary_jama_2019_10517_disposition,MATCH($A3,primary_jama_2019_10517_key,0)),$D3)&lt;&gt;"retain"),NOT(OR(IF($E3="",INDEX(primary_jama_2019_10517_domain,MATCH($A3,primary_jama_2019_10517_key,0)),$E3)="protocol_report"))),"not_applicable","")</f>
        <v/>
      </c>
      <c r="M3" s="10" t="inlineStr"/>
      <c r="N3" s="10" t="inlineStr"/>
      <c r="O3" s="8" t="inlineStr"/>
      <c r="P3" s="11" t="inlineStr"/>
      <c r="Q3" s="8" t="inlineStr">
        <is>
          <t>pending</t>
        </is>
      </c>
      <c r="R3" s="11" t="inlineStr"/>
      <c r="S3" s="3" t="inlineStr">
        <is>
          <t>Disposition: exclude
Review domain: internal_nonstatistical
Notes (optional): SYNTHETIC TEST DATA ONLY. Exclude is a placeholder for testing the checker workflow, not a scientific assessment. Do not use this sample in research results.</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c r="F4" s="8" t="inlineStr">
        <is>
          <t>no</t>
        </is>
      </c>
      <c r="G4" s="2">
        <f>IF(OR(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K4&lt;&gt;"",K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CLEAR INACTIVE VALUES",IF(O4="","PENDING",IF(AND(O4&lt;&gt;"agree",LEN(TRIM(P4))=0),"COMMENT NEEDED",IF(F4="yes","CHECKED - see resolution","DRAFT"))))</f>
        <v/>
      </c>
      <c r="H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I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J4" s="9">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K4" s="8">
        <f>IF(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not_applicable","")</f>
        <v/>
      </c>
      <c r="L4" s="9">
        <f>IF(OR(AND(IF($D4="",INDEX(primary_jama_2019_10517_disposition,MATCH($A4,primary_jama_2019_10517_key,0)),$D4)&lt;&gt;"",IF($D4="",INDEX(primary_jama_2019_10517_disposition,MATCH($A4,primary_jama_2019_10517_key,0)),$D4)&lt;&gt;"retain"),NOT(OR(IF($E4="",INDEX(primary_jama_2019_10517_domain,MATCH($A4,primary_jama_2019_10517_key,0)),$E4)="protocol_report"))),"not_applicable","")</f>
        <v/>
      </c>
      <c r="M4" s="10" t="inlineStr"/>
      <c r="N4" s="10" t="inlineStr"/>
      <c r="O4" s="8" t="inlineStr"/>
      <c r="P4" s="11" t="inlineStr"/>
      <c r="Q4" s="8" t="inlineStr">
        <is>
          <t>pending</t>
        </is>
      </c>
      <c r="R4" s="11" t="inlineStr"/>
      <c r="S4" s="2"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formula>
    </cfRule>
    <cfRule type="expression" priority="2"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H3">
    <cfRule type="expression" priority="3"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formula>
    </cfRule>
    <cfRule type="expression" priority="4"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H4">
    <cfRule type="expression" priority="5"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formula>
    </cfRule>
    <cfRule type="expression" priority="6"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I2">
    <cfRule type="expression" priority="7"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formula>
    </cfRule>
    <cfRule type="expression" priority="8"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I3">
    <cfRule type="expression" priority="9"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formula>
    </cfRule>
    <cfRule type="expression" priority="10"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I4">
    <cfRule type="expression" priority="11"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formula>
    </cfRule>
    <cfRule type="expression" priority="12"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J2">
    <cfRule type="expression" priority="13"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formula>
    </cfRule>
    <cfRule type="expression" priority="14"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J3">
    <cfRule type="expression" priority="15"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formula>
    </cfRule>
    <cfRule type="expression" priority="16"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J4">
    <cfRule type="expression" priority="17"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formula>
    </cfRule>
    <cfRule type="expression" priority="18"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K2">
    <cfRule type="expression" priority="19"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K2&lt;&gt;"",K2&lt;&gt;"not_applicable")</formula>
    </cfRule>
    <cfRule type="expression" priority="20" dxfId="1">
      <formula>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formula>
    </cfRule>
  </conditionalFormatting>
  <conditionalFormatting sqref="K3">
    <cfRule type="expression" priority="21"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K3&lt;&gt;"",K3&lt;&gt;"not_applicable")</formula>
    </cfRule>
    <cfRule type="expression" priority="22" dxfId="1">
      <formula>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formula>
    </cfRule>
  </conditionalFormatting>
  <conditionalFormatting sqref="K4">
    <cfRule type="expression" priority="23"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K4&lt;&gt;"",K4&lt;&gt;"not_applicable")</formula>
    </cfRule>
    <cfRule type="expression" priority="24" dxfId="1">
      <formula>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formula>
    </cfRule>
  </conditionalFormatting>
  <conditionalFormatting sqref="L2">
    <cfRule type="expression" priority="25"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formula>
    </cfRule>
    <cfRule type="expression" priority="26" dxfId="1">
      <formula>OR(AND(IF($D2="",INDEX(primary_jama_2019_10517_disposition,MATCH($A2,primary_jama_2019_10517_key,0)),$D2)&lt;&gt;"",IF($D2="",INDEX(primary_jama_2019_10517_disposition,MATCH($A2,primary_jama_2019_10517_key,0)),$D2)&lt;&gt;"retain"),NOT(OR(IF($E2="",INDEX(primary_jama_2019_10517_domain,MATCH($A2,primary_jama_2019_10517_key,0)),$E2)="protocol_report")))</formula>
    </cfRule>
  </conditionalFormatting>
  <conditionalFormatting sqref="L3">
    <cfRule type="expression" priority="27"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formula>
    </cfRule>
    <cfRule type="expression" priority="28" dxfId="1">
      <formula>OR(AND(IF($D3="",INDEX(primary_jama_2019_10517_disposition,MATCH($A3,primary_jama_2019_10517_key,0)),$D3)&lt;&gt;"",IF($D3="",INDEX(primary_jama_2019_10517_disposition,MATCH($A3,primary_jama_2019_10517_key,0)),$D3)&lt;&gt;"retain"),NOT(OR(IF($E3="",INDEX(primary_jama_2019_10517_domain,MATCH($A3,primary_jama_2019_10517_key,0)),$E3)="protocol_report")))</formula>
    </cfRule>
  </conditionalFormatting>
  <conditionalFormatting sqref="L4">
    <cfRule type="expression" priority="29"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formula>
    </cfRule>
    <cfRule type="expression" priority="30" dxfId="1">
      <formula>OR(AND(IF($D4="",INDEX(primary_jama_2019_10517_disposition,MATCH($A4,primary_jama_2019_10517_key,0)),$D4)&lt;&gt;"",IF($D4="",INDEX(primary_jama_2019_10517_disposition,MATCH($A4,primary_jama_2019_10517_key,0)),$D4)&lt;&gt;"retain"),NOT(OR(IF($E4="",INDEX(primary_jama_2019_10517_domain,MATCH($A4,primary_jama_2019_10517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2019::jama.2019.12618::C001</t>
        </is>
      </c>
      <c r="B2" s="2" t="inlineStr">
        <is>
          <t>protocol timeline end date</t>
        </is>
      </c>
      <c r="C2" s="2" t="inlineStr">
        <is>
          <t>joi190092supp2_prod.pdf — PDF p. 11, Table 1.</t>
        </is>
      </c>
      <c r="D2" s="8" t="inlineStr"/>
      <c r="E2" s="8" t="inlineStr"/>
      <c r="F2" s="8" t="inlineStr">
        <is>
          <t>no</t>
        </is>
      </c>
      <c r="G2" s="2">
        <f>IF(OR(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K2&lt;&gt;"",K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CLEAR INACTIVE VALUES",IF(O2="","PENDING",IF(AND(O2&lt;&gt;"agree",LEN(TRIM(P2))=0),"COMMENT NEEDED",IF(F2="yes","CHECKED - see resolution","DRAFT"))))</f>
        <v/>
      </c>
      <c r="H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I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J2" s="9">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K2" s="8">
        <f>IF(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not_applicable","")</f>
        <v/>
      </c>
      <c r="L2" s="9">
        <f>IF(OR(AND(IF($D2="",INDEX(primary_jama_2019_12618_disposition,MATCH($A2,primary_jama_2019_12618_key,0)),$D2)&lt;&gt;"",IF($D2="",INDEX(primary_jama_2019_12618_disposition,MATCH($A2,primary_jama_2019_12618_key,0)),$D2)&lt;&gt;"retain"),NOT(OR(IF($E2="",INDEX(primary_jama_2019_12618_domain,MATCH($A2,primary_jama_2019_12618_key,0)),$E2)="protocol_report"))),"not_applicable","")</f>
        <v/>
      </c>
      <c r="M2" s="10" t="inlineStr"/>
      <c r="N2" s="10" t="inlineStr"/>
      <c r="O2" s="8" t="inlineStr"/>
      <c r="P2" s="11" t="inlineStr"/>
      <c r="Q2" s="8" t="inlineStr">
        <is>
          <t>pending</t>
        </is>
      </c>
      <c r="R2" s="11" t="inlineStr"/>
      <c r="S2" s="2" t="inlineStr">
        <is>
          <t>Disposition: exclude
Review domain: plan_material
Notes (optional): SYNTHETIC TEST DATA ONLY. Exclude is a placeholder for testing the checker workflow, not a scientific assessment. Do not use this sample in research results.</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c r="F3" s="8" t="inlineStr">
        <is>
          <t>no</t>
        </is>
      </c>
      <c r="G3" s="3">
        <f>IF(OR(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K3&lt;&gt;"",K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CLEAR INACTIVE VALUES",IF(O3="","PENDING",IF(AND(O3&lt;&gt;"agree",LEN(TRIM(P3))=0),"COMMENT NEEDED",IF(F3="yes","CHECKED - see resolution","DRAFT"))))</f>
        <v/>
      </c>
      <c r="H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I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J3" s="9">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K3" s="8">
        <f>IF(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not_applicable","")</f>
        <v/>
      </c>
      <c r="L3" s="9">
        <f>IF(OR(AND(IF($D3="",INDEX(primary_jama_2019_12618_disposition,MATCH($A3,primary_jama_2019_12618_key,0)),$D3)&lt;&gt;"",IF($D3="",INDEX(primary_jama_2019_12618_disposition,MATCH($A3,primary_jama_2019_12618_key,0)),$D3)&lt;&gt;"retain"),NOT(OR(IF($E3="",INDEX(primary_jama_2019_12618_domain,MATCH($A3,primary_jama_2019_12618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c r="F4" s="8" t="inlineStr">
        <is>
          <t>no</t>
        </is>
      </c>
      <c r="G4" s="2">
        <f>IF(OR(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K4&lt;&gt;"",K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CLEAR INACTIVE VALUES",IF(O4="","PENDING",IF(AND(O4&lt;&gt;"agree",LEN(TRIM(P4))=0),"COMMENT NEEDED",IF(F4="yes","CHECKED - see resolution","DRAFT"))))</f>
        <v/>
      </c>
      <c r="H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I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J4" s="9">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K4" s="8">
        <f>IF(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not_applicable","")</f>
        <v/>
      </c>
      <c r="L4" s="9">
        <f>IF(OR(AND(IF($D4="",INDEX(primary_jama_2019_12618_disposition,MATCH($A4,primary_jama_2019_12618_key,0)),$D4)&lt;&gt;"",IF($D4="",INDEX(primary_jama_2019_12618_disposition,MATCH($A4,primary_jama_2019_12618_key,0)),$D4)&lt;&gt;"retain"),NOT(OR(IF($E4="",INDEX(primary_jama_2019_12618_domain,MATCH($A4,primary_jama_2019_12618_key,0)),$E4)="protocol_report"))),"not_applicable","")</f>
        <v/>
      </c>
      <c r="M4" s="10" t="inlineStr"/>
      <c r="N4" s="10" t="inlineStr"/>
      <c r="O4" s="8" t="inlineStr"/>
      <c r="P4" s="11" t="inlineStr"/>
      <c r="Q4" s="8" t="inlineStr">
        <is>
          <t>pending</t>
        </is>
      </c>
      <c r="R4" s="11" t="inlineStr"/>
      <c r="S4" s="2" t="inlineStr">
        <is>
          <t>Disposition: exclude
Review domain: protocol_report
Notes (optional): SYNTHETIC TEST DATA ONLY. Exclude is a placeholder for testing the checker workflow, not a scientific assessment. Do not use this sample in research results.</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c r="F5" s="8" t="inlineStr">
        <is>
          <t>no</t>
        </is>
      </c>
      <c r="G5" s="3">
        <f>IF(OR(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K5&lt;&gt;"",K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CLEAR INACTIVE VALUES",IF(O5="","PENDING",IF(AND(O5&lt;&gt;"agree",LEN(TRIM(P5))=0),"COMMENT NEEDED",IF(F5="yes","CHECKED - see resolution","DRAFT"))))</f>
        <v/>
      </c>
      <c r="H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I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J5" s="9">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K5" s="8">
        <f>IF(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not_applicable","")</f>
        <v/>
      </c>
      <c r="L5" s="9">
        <f>IF(OR(AND(IF($D5="",INDEX(primary_jama_2019_12618_disposition,MATCH($A5,primary_jama_2019_12618_key,0)),$D5)&lt;&gt;"",IF($D5="",INDEX(primary_jama_2019_12618_disposition,MATCH($A5,primary_jama_2019_12618_key,0)),$D5)&lt;&gt;"retain"),NOT(OR(IF($E5="",INDEX(primary_jama_2019_12618_domain,MATCH($A5,primary_jama_2019_12618_key,0)),$E5)="protocol_report"))),"not_applicable","")</f>
        <v/>
      </c>
      <c r="M5" s="10" t="inlineStr"/>
      <c r="N5" s="10" t="inlineStr"/>
      <c r="O5" s="8" t="inlineStr"/>
      <c r="P5" s="11" t="inlineStr"/>
      <c r="Q5" s="8" t="inlineStr">
        <is>
          <t>pending</t>
        </is>
      </c>
      <c r="R5" s="11" t="inlineStr"/>
      <c r="S5" s="3" t="inlineStr">
        <is>
          <t>Disposition: exclude
Review domain: protocol_report
Notes (optional): SYNTHETIC TEST DATA ONLY. Exclude is a placeholder for testing the checker workflow, not a scientific assessment. Do not use this sample in research results.</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c r="F6" s="8" t="inlineStr">
        <is>
          <t>no</t>
        </is>
      </c>
      <c r="G6" s="2">
        <f>IF(OR(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K6&lt;&gt;"",K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CLEAR INACTIVE VALUES",IF(O6="","PENDING",IF(AND(O6&lt;&gt;"agree",LEN(TRIM(P6))=0),"COMMENT NEEDED",IF(F6="yes","CHECKED - see resolution","DRAFT"))))</f>
        <v/>
      </c>
      <c r="H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I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J6" s="9">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K6" s="8">
        <f>IF(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not_applicable","")</f>
        <v/>
      </c>
      <c r="L6" s="9">
        <f>IF(OR(AND(IF($D6="",INDEX(primary_jama_2019_12618_disposition,MATCH($A6,primary_jama_2019_12618_key,0)),$D6)&lt;&gt;"",IF($D6="",INDEX(primary_jama_2019_12618_disposition,MATCH($A6,primary_jama_2019_12618_key,0)),$D6)&lt;&gt;"retain"),NOT(OR(IF($E6="",INDEX(primary_jama_2019_12618_domain,MATCH($A6,primary_jama_2019_12618_key,0)),$E6)="protocol_report"))),"not_applicable","")</f>
        <v/>
      </c>
      <c r="M6" s="10" t="inlineStr"/>
      <c r="N6" s="10" t="inlineStr"/>
      <c r="O6" s="8" t="inlineStr"/>
      <c r="P6" s="11" t="inlineStr"/>
      <c r="Q6" s="8" t="inlineStr">
        <is>
          <t>pending</t>
        </is>
      </c>
      <c r="R6" s="11" t="inlineStr"/>
      <c r="S6" s="2" t="inlineStr">
        <is>
          <t>Disposition: exclude
Review domain: statistical_results
Notes (optional): SYNTHETIC TEST DATA ONLY. Exclude is a placeholder for testing the checker workflow, not a scientific assessment. Do not use this sample in research results.</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c r="F7" s="8" t="inlineStr">
        <is>
          <t>no</t>
        </is>
      </c>
      <c r="G7" s="3">
        <f>IF(OR(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K7&lt;&gt;"",K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CLEAR INACTIVE VALUES",IF(O7="","PENDING",IF(AND(O7&lt;&gt;"agree",LEN(TRIM(P7))=0),"COMMENT NEEDED",IF(F7="yes","CHECKED - see resolution","DRAFT"))))</f>
        <v/>
      </c>
      <c r="H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I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J7" s="9">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K7" s="8">
        <f>IF(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not_applicable","")</f>
        <v/>
      </c>
      <c r="L7" s="9">
        <f>IF(OR(AND(IF($D7="",INDEX(primary_jama_2019_12618_disposition,MATCH($A7,primary_jama_2019_12618_key,0)),$D7)&lt;&gt;"",IF($D7="",INDEX(primary_jama_2019_12618_disposition,MATCH($A7,primary_jama_2019_12618_key,0)),$D7)&lt;&gt;"retain"),NOT(OR(IF($E7="",INDEX(primary_jama_2019_12618_domain,MATCH($A7,primary_jama_2019_12618_key,0)),$E7)="protocol_report"))),"not_applicable","")</f>
        <v/>
      </c>
      <c r="M7" s="10" t="inlineStr"/>
      <c r="N7" s="10" t="inlineStr"/>
      <c r="O7" s="8" t="inlineStr"/>
      <c r="P7" s="11" t="inlineStr"/>
      <c r="Q7" s="8" t="inlineStr">
        <is>
          <t>pending</t>
        </is>
      </c>
      <c r="R7" s="11" t="inlineStr"/>
      <c r="S7" s="3" t="inlineStr">
        <is>
          <t>Disposition: exclude
Review domain: internal_nonstatistical
Notes (optional): SYNTHETIC TEST DATA ONLY. Exclude is a placeholder for testing the checker workflow, not a scientific assessment. Do not use this sample in research results.</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c r="F8" s="8" t="inlineStr">
        <is>
          <t>no</t>
        </is>
      </c>
      <c r="G8" s="2">
        <f>IF(OR(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K8&lt;&gt;"",K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CLEAR INACTIVE VALUES",IF(O8="","PENDING",IF(AND(O8&lt;&gt;"agree",LEN(TRIM(P8))=0),"COMMENT NEEDED",IF(F8="yes","CHECKED - see resolution","DRAFT"))))</f>
        <v/>
      </c>
      <c r="H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I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J8" s="9">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K8" s="8">
        <f>IF(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not_applicable","")</f>
        <v/>
      </c>
      <c r="L8" s="9">
        <f>IF(OR(AND(IF($D8="",INDEX(primary_jama_2019_12618_disposition,MATCH($A8,primary_jama_2019_12618_key,0)),$D8)&lt;&gt;"",IF($D8="",INDEX(primary_jama_2019_12618_disposition,MATCH($A8,primary_jama_2019_12618_key,0)),$D8)&lt;&gt;"retain"),NOT(OR(IF($E8="",INDEX(primary_jama_2019_12618_domain,MATCH($A8,primary_jama_2019_12618_key,0)),$E8)="protocol_report"))),"not_applicable","")</f>
        <v/>
      </c>
      <c r="M8" s="10" t="inlineStr"/>
      <c r="N8" s="10" t="inlineStr"/>
      <c r="O8" s="8" t="inlineStr"/>
      <c r="P8" s="11" t="inlineStr"/>
      <c r="Q8" s="8" t="inlineStr">
        <is>
          <t>pending</t>
        </is>
      </c>
      <c r="R8" s="11" t="inlineStr"/>
      <c r="S8" s="2" t="inlineStr">
        <is>
          <t>Disposition: exclude
Review domain: statistical_results
Notes (optional): SYNTHETIC TEST DATA ONLY. Exclude is a placeholder for testing the checker workflow, not a scientific assessment. Do not use this sample in research results.</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c r="F9" s="8" t="inlineStr">
        <is>
          <t>no</t>
        </is>
      </c>
      <c r="G9" s="3">
        <f>IF(OR(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K9&lt;&gt;"",K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CLEAR INACTIVE VALUES",IF(O9="","PENDING",IF(AND(O9&lt;&gt;"agree",LEN(TRIM(P9))=0),"COMMENT NEEDED",IF(F9="yes","CHECKED - see resolution","DRAFT"))))</f>
        <v/>
      </c>
      <c r="H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I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J9" s="9">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K9" s="8">
        <f>IF(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not_applicable","")</f>
        <v/>
      </c>
      <c r="L9" s="9">
        <f>IF(OR(AND(IF($D9="",INDEX(primary_jama_2019_12618_disposition,MATCH($A9,primary_jama_2019_12618_key,0)),$D9)&lt;&gt;"",IF($D9="",INDEX(primary_jama_2019_12618_disposition,MATCH($A9,primary_jama_2019_12618_key,0)),$D9)&lt;&gt;"retain"),NOT(OR(IF($E9="",INDEX(primary_jama_2019_12618_domain,MATCH($A9,primary_jama_2019_12618_key,0)),$E9)="protocol_report"))),"not_applicable","")</f>
        <v/>
      </c>
      <c r="M9" s="10" t="inlineStr"/>
      <c r="N9" s="10" t="inlineStr"/>
      <c r="O9" s="8" t="inlineStr"/>
      <c r="P9" s="11" t="inlineStr"/>
      <c r="Q9" s="8" t="inlineStr">
        <is>
          <t>pending</t>
        </is>
      </c>
      <c r="R9" s="11" t="inlineStr"/>
      <c r="S9" s="3" t="inlineStr">
        <is>
          <t>Disposition: exclude
Review domain: internal_nonstatistical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formula>
    </cfRule>
    <cfRule type="expression" priority="2"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H3">
    <cfRule type="expression" priority="3"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formula>
    </cfRule>
    <cfRule type="expression" priority="4"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H4">
    <cfRule type="expression" priority="5"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formula>
    </cfRule>
    <cfRule type="expression" priority="6"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H5">
    <cfRule type="expression" priority="7"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formula>
    </cfRule>
    <cfRule type="expression" priority="8"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H6">
    <cfRule type="expression" priority="9"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formula>
    </cfRule>
    <cfRule type="expression" priority="10"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H7">
    <cfRule type="expression" priority="11"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formula>
    </cfRule>
    <cfRule type="expression" priority="12"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H8">
    <cfRule type="expression" priority="13"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formula>
    </cfRule>
    <cfRule type="expression" priority="14"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H9">
    <cfRule type="expression" priority="15"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formula>
    </cfRule>
    <cfRule type="expression" priority="16"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I2">
    <cfRule type="expression" priority="17"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formula>
    </cfRule>
    <cfRule type="expression" priority="18"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I3">
    <cfRule type="expression" priority="19"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formula>
    </cfRule>
    <cfRule type="expression" priority="20"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I4">
    <cfRule type="expression" priority="21"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formula>
    </cfRule>
    <cfRule type="expression" priority="22"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I5">
    <cfRule type="expression" priority="23"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formula>
    </cfRule>
    <cfRule type="expression" priority="24"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I6">
    <cfRule type="expression" priority="25"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formula>
    </cfRule>
    <cfRule type="expression" priority="26"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I7">
    <cfRule type="expression" priority="27"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formula>
    </cfRule>
    <cfRule type="expression" priority="28"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I8">
    <cfRule type="expression" priority="29"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formula>
    </cfRule>
    <cfRule type="expression" priority="30"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I9">
    <cfRule type="expression" priority="31"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formula>
    </cfRule>
    <cfRule type="expression" priority="32"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J2">
    <cfRule type="expression" priority="33"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formula>
    </cfRule>
    <cfRule type="expression" priority="34"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J3">
    <cfRule type="expression" priority="35"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formula>
    </cfRule>
    <cfRule type="expression" priority="36"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J4">
    <cfRule type="expression" priority="37"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formula>
    </cfRule>
    <cfRule type="expression" priority="38"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J5">
    <cfRule type="expression" priority="39"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formula>
    </cfRule>
    <cfRule type="expression" priority="40"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J6">
    <cfRule type="expression" priority="41"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formula>
    </cfRule>
    <cfRule type="expression" priority="42"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J7">
    <cfRule type="expression" priority="43"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formula>
    </cfRule>
    <cfRule type="expression" priority="44"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J8">
    <cfRule type="expression" priority="45"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formula>
    </cfRule>
    <cfRule type="expression" priority="46"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J9">
    <cfRule type="expression" priority="47"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formula>
    </cfRule>
    <cfRule type="expression" priority="48"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K2">
    <cfRule type="expression" priority="49"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K2&lt;&gt;"",K2&lt;&gt;"not_applicable")</formula>
    </cfRule>
    <cfRule type="expression" priority="50" dxfId="1">
      <formula>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formula>
    </cfRule>
  </conditionalFormatting>
  <conditionalFormatting sqref="K3">
    <cfRule type="expression" priority="51"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K3&lt;&gt;"",K3&lt;&gt;"not_applicable")</formula>
    </cfRule>
    <cfRule type="expression" priority="52" dxfId="1">
      <formula>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formula>
    </cfRule>
  </conditionalFormatting>
  <conditionalFormatting sqref="K4">
    <cfRule type="expression" priority="53"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K4&lt;&gt;"",K4&lt;&gt;"not_applicable")</formula>
    </cfRule>
    <cfRule type="expression" priority="54" dxfId="1">
      <formula>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formula>
    </cfRule>
  </conditionalFormatting>
  <conditionalFormatting sqref="K5">
    <cfRule type="expression" priority="55"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K5&lt;&gt;"",K5&lt;&gt;"not_applicable")</formula>
    </cfRule>
    <cfRule type="expression" priority="56" dxfId="1">
      <formula>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formula>
    </cfRule>
  </conditionalFormatting>
  <conditionalFormatting sqref="K6">
    <cfRule type="expression" priority="57"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K6&lt;&gt;"",K6&lt;&gt;"not_applicable")</formula>
    </cfRule>
    <cfRule type="expression" priority="58" dxfId="1">
      <formula>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formula>
    </cfRule>
  </conditionalFormatting>
  <conditionalFormatting sqref="K7">
    <cfRule type="expression" priority="59"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K7&lt;&gt;"",K7&lt;&gt;"not_applicable")</formula>
    </cfRule>
    <cfRule type="expression" priority="60" dxfId="1">
      <formula>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formula>
    </cfRule>
  </conditionalFormatting>
  <conditionalFormatting sqref="K8">
    <cfRule type="expression" priority="61"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K8&lt;&gt;"",K8&lt;&gt;"not_applicable")</formula>
    </cfRule>
    <cfRule type="expression" priority="62" dxfId="1">
      <formula>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formula>
    </cfRule>
  </conditionalFormatting>
  <conditionalFormatting sqref="K9">
    <cfRule type="expression" priority="63"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K9&lt;&gt;"",K9&lt;&gt;"not_applicable")</formula>
    </cfRule>
    <cfRule type="expression" priority="64" dxfId="1">
      <formula>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formula>
    </cfRule>
  </conditionalFormatting>
  <conditionalFormatting sqref="L2">
    <cfRule type="expression" priority="65"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formula>
    </cfRule>
    <cfRule type="expression" priority="66" dxfId="1">
      <formula>OR(AND(IF($D2="",INDEX(primary_jama_2019_12618_disposition,MATCH($A2,primary_jama_2019_12618_key,0)),$D2)&lt;&gt;"",IF($D2="",INDEX(primary_jama_2019_12618_disposition,MATCH($A2,primary_jama_2019_12618_key,0)),$D2)&lt;&gt;"retain"),NOT(OR(IF($E2="",INDEX(primary_jama_2019_12618_domain,MATCH($A2,primary_jama_2019_12618_key,0)),$E2)="protocol_report")))</formula>
    </cfRule>
  </conditionalFormatting>
  <conditionalFormatting sqref="L3">
    <cfRule type="expression" priority="67"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formula>
    </cfRule>
    <cfRule type="expression" priority="68" dxfId="1">
      <formula>OR(AND(IF($D3="",INDEX(primary_jama_2019_12618_disposition,MATCH($A3,primary_jama_2019_12618_key,0)),$D3)&lt;&gt;"",IF($D3="",INDEX(primary_jama_2019_12618_disposition,MATCH($A3,primary_jama_2019_12618_key,0)),$D3)&lt;&gt;"retain"),NOT(OR(IF($E3="",INDEX(primary_jama_2019_12618_domain,MATCH($A3,primary_jama_2019_12618_key,0)),$E3)="protocol_report")))</formula>
    </cfRule>
  </conditionalFormatting>
  <conditionalFormatting sqref="L4">
    <cfRule type="expression" priority="69"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formula>
    </cfRule>
    <cfRule type="expression" priority="70" dxfId="1">
      <formula>OR(AND(IF($D4="",INDEX(primary_jama_2019_12618_disposition,MATCH($A4,primary_jama_2019_12618_key,0)),$D4)&lt;&gt;"",IF($D4="",INDEX(primary_jama_2019_12618_disposition,MATCH($A4,primary_jama_2019_12618_key,0)),$D4)&lt;&gt;"retain"),NOT(OR(IF($E4="",INDEX(primary_jama_2019_12618_domain,MATCH($A4,primary_jama_2019_12618_key,0)),$E4)="protocol_report")))</formula>
    </cfRule>
  </conditionalFormatting>
  <conditionalFormatting sqref="L5">
    <cfRule type="expression" priority="71"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formula>
    </cfRule>
    <cfRule type="expression" priority="72" dxfId="1">
      <formula>OR(AND(IF($D5="",INDEX(primary_jama_2019_12618_disposition,MATCH($A5,primary_jama_2019_12618_key,0)),$D5)&lt;&gt;"",IF($D5="",INDEX(primary_jama_2019_12618_disposition,MATCH($A5,primary_jama_2019_12618_key,0)),$D5)&lt;&gt;"retain"),NOT(OR(IF($E5="",INDEX(primary_jama_2019_12618_domain,MATCH($A5,primary_jama_2019_12618_key,0)),$E5)="protocol_report")))</formula>
    </cfRule>
  </conditionalFormatting>
  <conditionalFormatting sqref="L6">
    <cfRule type="expression" priority="73"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formula>
    </cfRule>
    <cfRule type="expression" priority="74" dxfId="1">
      <formula>OR(AND(IF($D6="",INDEX(primary_jama_2019_12618_disposition,MATCH($A6,primary_jama_2019_12618_key,0)),$D6)&lt;&gt;"",IF($D6="",INDEX(primary_jama_2019_12618_disposition,MATCH($A6,primary_jama_2019_12618_key,0)),$D6)&lt;&gt;"retain"),NOT(OR(IF($E6="",INDEX(primary_jama_2019_12618_domain,MATCH($A6,primary_jama_2019_12618_key,0)),$E6)="protocol_report")))</formula>
    </cfRule>
  </conditionalFormatting>
  <conditionalFormatting sqref="L7">
    <cfRule type="expression" priority="75"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formula>
    </cfRule>
    <cfRule type="expression" priority="76" dxfId="1">
      <formula>OR(AND(IF($D7="",INDEX(primary_jama_2019_12618_disposition,MATCH($A7,primary_jama_2019_12618_key,0)),$D7)&lt;&gt;"",IF($D7="",INDEX(primary_jama_2019_12618_disposition,MATCH($A7,primary_jama_2019_12618_key,0)),$D7)&lt;&gt;"retain"),NOT(OR(IF($E7="",INDEX(primary_jama_2019_12618_domain,MATCH($A7,primary_jama_2019_12618_key,0)),$E7)="protocol_report")))</formula>
    </cfRule>
  </conditionalFormatting>
  <conditionalFormatting sqref="L8">
    <cfRule type="expression" priority="77"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formula>
    </cfRule>
    <cfRule type="expression" priority="78" dxfId="1">
      <formula>OR(AND(IF($D8="",INDEX(primary_jama_2019_12618_disposition,MATCH($A8,primary_jama_2019_12618_key,0)),$D8)&lt;&gt;"",IF($D8="",INDEX(primary_jama_2019_12618_disposition,MATCH($A8,primary_jama_2019_12618_key,0)),$D8)&lt;&gt;"retain"),NOT(OR(IF($E8="",INDEX(primary_jama_2019_12618_domain,MATCH($A8,primary_jama_2019_12618_key,0)),$E8)="protocol_report")))</formula>
    </cfRule>
  </conditionalFormatting>
  <conditionalFormatting sqref="L9">
    <cfRule type="expression" priority="79"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formula>
    </cfRule>
    <cfRule type="expression" priority="80" dxfId="1">
      <formula>OR(AND(IF($D9="",INDEX(primary_jama_2019_12618_disposition,MATCH($A9,primary_jama_2019_12618_key,0)),$D9)&lt;&gt;"",IF($D9="",INDEX(primary_jama_2019_12618_disposition,MATCH($A9,primary_jama_2019_12618_key,0)),$D9)&lt;&gt;"retain"),NOT(OR(IF($E9="",INDEX(primary_jama_2019_12618_domain,MATCH($A9,primary_jama_2019_12618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c r="F2" s="8" t="inlineStr">
        <is>
          <t>no</t>
        </is>
      </c>
      <c r="G2" s="2">
        <f>IF(OR(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K2&lt;&gt;"",K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CLEAR INACTIVE VALUES",IF(O2="","PENDING",IF(AND(O2&lt;&gt;"agree",LEN(TRIM(P2))=0),"COMMENT NEEDED",IF(F2="yes","CHECKED - see resolution","DRAFT"))))</f>
        <v/>
      </c>
      <c r="H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I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J2" s="9">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K2" s="8">
        <f>IF(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not_applicable","")</f>
        <v/>
      </c>
      <c r="L2" s="9">
        <f>IF(OR(AND(IF($D2="",INDEX(primary_jama_2019_14231_disposition,MATCH($A2,primary_jama_2019_14231_key,0)),$D2)&lt;&gt;"",IF($D2="",INDEX(primary_jama_2019_14231_disposition,MATCH($A2,primary_jama_2019_14231_key,0)),$D2)&lt;&gt;"retain"),NOT(OR(IF($E2="",INDEX(primary_jama_2019_14231_domain,MATCH($A2,primary_jama_2019_14231_key,0)),$E2)="protocol_report"))),"not_applicable","")</f>
        <v/>
      </c>
      <c r="M2" s="10" t="inlineStr"/>
      <c r="N2" s="10" t="inlineStr"/>
      <c r="O2" s="8" t="inlineStr"/>
      <c r="P2" s="11" t="inlineStr"/>
      <c r="Q2" s="8" t="inlineStr">
        <is>
          <t>pending</t>
        </is>
      </c>
      <c r="R2" s="11" t="inlineStr"/>
      <c r="S2" s="2" t="inlineStr">
        <is>
          <t>Disposition: exclude
Review domain: protocol_report
Notes (optional): SYNTHETIC TEST DATA ONLY. Exclude is a placeholder for testing the checker workflow, not a scientific assessment. Do not use this sample in research results.</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c r="F3" s="8" t="inlineStr">
        <is>
          <t>no</t>
        </is>
      </c>
      <c r="G3" s="3">
        <f>IF(OR(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K3&lt;&gt;"",K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CLEAR INACTIVE VALUES",IF(O3="","PENDING",IF(AND(O3&lt;&gt;"agree",LEN(TRIM(P3))=0),"COMMENT NEEDED",IF(F3="yes","CHECKED - see resolution","DRAFT"))))</f>
        <v/>
      </c>
      <c r="H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I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J3" s="9">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K3" s="8">
        <f>IF(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not_applicable","")</f>
        <v/>
      </c>
      <c r="L3" s="9">
        <f>IF(OR(AND(IF($D3="",INDEX(primary_jama_2019_14231_disposition,MATCH($A3,primary_jama_2019_14231_key,0)),$D3)&lt;&gt;"",IF($D3="",INDEX(primary_jama_2019_14231_disposition,MATCH($A3,primary_jama_2019_14231_key,0)),$D3)&lt;&gt;"retain"),NOT(OR(IF($E3="",INDEX(primary_jama_2019_14231_domain,MATCH($A3,primary_jama_2019_14231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c r="F4" s="8" t="inlineStr">
        <is>
          <t>no</t>
        </is>
      </c>
      <c r="G4" s="2">
        <f>IF(OR(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K4&lt;&gt;"",K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CLEAR INACTIVE VALUES",IF(O4="","PENDING",IF(AND(O4&lt;&gt;"agree",LEN(TRIM(P4))=0),"COMMENT NEEDED",IF(F4="yes","CHECKED - see resolution","DRAFT"))))</f>
        <v/>
      </c>
      <c r="H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I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J4" s="9">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K4" s="8">
        <f>IF(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not_applicable","")</f>
        <v/>
      </c>
      <c r="L4" s="9">
        <f>IF(OR(AND(IF($D4="",INDEX(primary_jama_2019_14231_disposition,MATCH($A4,primary_jama_2019_14231_key,0)),$D4)&lt;&gt;"",IF($D4="",INDEX(primary_jama_2019_14231_disposition,MATCH($A4,primary_jama_2019_14231_key,0)),$D4)&lt;&gt;"retain"),NOT(OR(IF($E4="",INDEX(primary_jama_2019_14231_domain,MATCH($A4,primary_jama_2019_14231_key,0)),$E4)="protocol_report"))),"not_applicable","")</f>
        <v/>
      </c>
      <c r="M4" s="10" t="inlineStr"/>
      <c r="N4" s="10" t="inlineStr"/>
      <c r="O4" s="8" t="inlineStr"/>
      <c r="P4" s="11" t="inlineStr"/>
      <c r="Q4" s="8" t="inlineStr">
        <is>
          <t>pending</t>
        </is>
      </c>
      <c r="R4" s="11" t="inlineStr"/>
      <c r="S4" s="2" t="inlineStr">
        <is>
          <t>Disposition: exclude
Review domain: statistical_results
Notes (optional): SYNTHETIC TEST DATA ONLY. Exclude is a placeholder for testing the checker workflow, not a scientific assessment. Do not use this sample in research results.</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c r="F5" s="8" t="inlineStr">
        <is>
          <t>no</t>
        </is>
      </c>
      <c r="G5" s="3">
        <f>IF(OR(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K5&lt;&gt;"",K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CLEAR INACTIVE VALUES",IF(O5="","PENDING",IF(AND(O5&lt;&gt;"agree",LEN(TRIM(P5))=0),"COMMENT NEEDED",IF(F5="yes","CHECKED - see resolution","DRAFT"))))</f>
        <v/>
      </c>
      <c r="H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I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J5" s="9">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K5" s="8">
        <f>IF(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not_applicable","")</f>
        <v/>
      </c>
      <c r="L5" s="9">
        <f>IF(OR(AND(IF($D5="",INDEX(primary_jama_2019_14231_disposition,MATCH($A5,primary_jama_2019_14231_key,0)),$D5)&lt;&gt;"",IF($D5="",INDEX(primary_jama_2019_14231_disposition,MATCH($A5,primary_jama_2019_14231_key,0)),$D5)&lt;&gt;"retain"),NOT(OR(IF($E5="",INDEX(primary_jama_2019_14231_domain,MATCH($A5,primary_jama_2019_14231_key,0)),$E5)="protocol_report"))),"not_applicable","")</f>
        <v/>
      </c>
      <c r="M5" s="10" t="inlineStr"/>
      <c r="N5" s="10" t="inlineStr"/>
      <c r="O5" s="8" t="inlineStr"/>
      <c r="P5" s="11" t="inlineStr"/>
      <c r="Q5" s="8" t="inlineStr">
        <is>
          <t>pending</t>
        </is>
      </c>
      <c r="R5" s="11" t="inlineStr"/>
      <c r="S5" s="3" t="inlineStr">
        <is>
          <t>Disposition: exclude
Review domain: statistical_results
Notes (optional): SYNTHETIC TEST DATA ONLY. Exclude is a placeholder for testing the checker workflow, not a scientific assessment. Do not use this sample in research results.</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c r="F6" s="8" t="inlineStr">
        <is>
          <t>no</t>
        </is>
      </c>
      <c r="G6" s="2">
        <f>IF(OR(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K6&lt;&gt;"",K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CLEAR INACTIVE VALUES",IF(O6="","PENDING",IF(AND(O6&lt;&gt;"agree",LEN(TRIM(P6))=0),"COMMENT NEEDED",IF(F6="yes","CHECKED - see resolution","DRAFT"))))</f>
        <v/>
      </c>
      <c r="H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I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J6" s="9">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K6" s="8">
        <f>IF(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not_applicable","")</f>
        <v/>
      </c>
      <c r="L6" s="9">
        <f>IF(OR(AND(IF($D6="",INDEX(primary_jama_2019_14231_disposition,MATCH($A6,primary_jama_2019_14231_key,0)),$D6)&lt;&gt;"",IF($D6="",INDEX(primary_jama_2019_14231_disposition,MATCH($A6,primary_jama_2019_14231_key,0)),$D6)&lt;&gt;"retain"),NOT(OR(IF($E6="",INDEX(primary_jama_2019_14231_domain,MATCH($A6,primary_jama_2019_14231_key,0)),$E6)="protocol_report"))),"not_applicable","")</f>
        <v/>
      </c>
      <c r="M6" s="10" t="inlineStr"/>
      <c r="N6" s="10" t="inlineStr"/>
      <c r="O6" s="8" t="inlineStr"/>
      <c r="P6" s="11" t="inlineStr"/>
      <c r="Q6" s="8" t="inlineStr">
        <is>
          <t>pending</t>
        </is>
      </c>
      <c r="R6" s="11" t="inlineStr"/>
      <c r="S6" s="2" t="inlineStr">
        <is>
          <t>Disposition: exclude
Review domain: statistical_results
Notes (optional): SYNTHETIC TEST DATA ONLY. Exclude is a placeholder for testing the checker workflow, not a scientific assessment. Do not use this sample in research results.</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c r="F7" s="8" t="inlineStr">
        <is>
          <t>no</t>
        </is>
      </c>
      <c r="G7" s="3">
        <f>IF(OR(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K7&lt;&gt;"",K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CLEAR INACTIVE VALUES",IF(O7="","PENDING",IF(AND(O7&lt;&gt;"agree",LEN(TRIM(P7))=0),"COMMENT NEEDED",IF(F7="yes","CHECKED - see resolution","DRAFT"))))</f>
        <v/>
      </c>
      <c r="H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I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J7" s="9">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K7" s="8">
        <f>IF(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not_applicable","")</f>
        <v/>
      </c>
      <c r="L7" s="9">
        <f>IF(OR(AND(IF($D7="",INDEX(primary_jama_2019_14231_disposition,MATCH($A7,primary_jama_2019_14231_key,0)),$D7)&lt;&gt;"",IF($D7="",INDEX(primary_jama_2019_14231_disposition,MATCH($A7,primary_jama_2019_14231_key,0)),$D7)&lt;&gt;"retain"),NOT(OR(IF($E7="",INDEX(primary_jama_2019_14231_domain,MATCH($A7,primary_jama_2019_14231_key,0)),$E7)="protocol_report"))),"not_applicable","")</f>
        <v/>
      </c>
      <c r="M7" s="10" t="inlineStr"/>
      <c r="N7" s="10" t="inlineStr"/>
      <c r="O7" s="8" t="inlineStr"/>
      <c r="P7" s="11" t="inlineStr"/>
      <c r="Q7" s="8" t="inlineStr">
        <is>
          <t>pending</t>
        </is>
      </c>
      <c r="R7" s="11" t="inlineStr"/>
      <c r="S7" s="3" t="inlineStr">
        <is>
          <t>Disposition: exclude
Review domain: statistical_results
Notes (optional): SYNTHETIC TEST DATA ONLY. Exclude is a placeholder for testing the checker workflow, not a scientific assessment. Do not use this sample in research results.</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c r="F8" s="8" t="inlineStr">
        <is>
          <t>no</t>
        </is>
      </c>
      <c r="G8" s="2">
        <f>IF(OR(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K8&lt;&gt;"",K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CLEAR INACTIVE VALUES",IF(O8="","PENDING",IF(AND(O8&lt;&gt;"agree",LEN(TRIM(P8))=0),"COMMENT NEEDED",IF(F8="yes","CHECKED - see resolution","DRAFT"))))</f>
        <v/>
      </c>
      <c r="H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I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J8" s="9">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K8" s="8">
        <f>IF(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not_applicable","")</f>
        <v/>
      </c>
      <c r="L8" s="9">
        <f>IF(OR(AND(IF($D8="",INDEX(primary_jama_2019_14231_disposition,MATCH($A8,primary_jama_2019_14231_key,0)),$D8)&lt;&gt;"",IF($D8="",INDEX(primary_jama_2019_14231_disposition,MATCH($A8,primary_jama_2019_14231_key,0)),$D8)&lt;&gt;"retain"),NOT(OR(IF($E8="",INDEX(primary_jama_2019_14231_domain,MATCH($A8,primary_jama_2019_14231_key,0)),$E8)="protocol_report"))),"not_applicable","")</f>
        <v/>
      </c>
      <c r="M8" s="10" t="inlineStr"/>
      <c r="N8" s="10" t="inlineStr"/>
      <c r="O8" s="8" t="inlineStr"/>
      <c r="P8" s="11" t="inlineStr"/>
      <c r="Q8" s="8" t="inlineStr">
        <is>
          <t>pending</t>
        </is>
      </c>
      <c r="R8" s="11" t="inlineStr"/>
      <c r="S8" s="2" t="inlineStr">
        <is>
          <t>Disposition: exclude
Review domain: statistical_results
Notes (optional): SYNTHETIC TEST DATA ONLY. Exclude is a placeholder for testing the checker workflow, not a scientific assessment. Do not use this sample in research results.</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c r="F9" s="8" t="inlineStr">
        <is>
          <t>no</t>
        </is>
      </c>
      <c r="G9" s="3">
        <f>IF(OR(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K9&lt;&gt;"",K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CLEAR INACTIVE VALUES",IF(O9="","PENDING",IF(AND(O9&lt;&gt;"agree",LEN(TRIM(P9))=0),"COMMENT NEEDED",IF(F9="yes","CHECKED - see resolution","DRAFT"))))</f>
        <v/>
      </c>
      <c r="H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I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J9" s="9">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K9" s="8">
        <f>IF(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not_applicable","")</f>
        <v/>
      </c>
      <c r="L9" s="9">
        <f>IF(OR(AND(IF($D9="",INDEX(primary_jama_2019_14231_disposition,MATCH($A9,primary_jama_2019_14231_key,0)),$D9)&lt;&gt;"",IF($D9="",INDEX(primary_jama_2019_14231_disposition,MATCH($A9,primary_jama_2019_14231_key,0)),$D9)&lt;&gt;"retain"),NOT(OR(IF($E9="",INDEX(primary_jama_2019_14231_domain,MATCH($A9,primary_jama_2019_14231_key,0)),$E9)="protocol_report"))),"not_applicable","")</f>
        <v/>
      </c>
      <c r="M9" s="10" t="inlineStr"/>
      <c r="N9" s="10" t="inlineStr"/>
      <c r="O9" s="8" t="inlineStr"/>
      <c r="P9" s="11" t="inlineStr"/>
      <c r="Q9" s="8" t="inlineStr">
        <is>
          <t>pending</t>
        </is>
      </c>
      <c r="R9" s="11" t="inlineStr"/>
      <c r="S9" s="3" t="inlineStr">
        <is>
          <t>Disposition: exclude
Review domain: internal_nonstatistical
Notes (optional): SYNTHETIC TEST DATA ONLY. Exclude is a placeholder for testing the checker workflow, not a scientific assessment. Do not use this sample in research results.</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c r="F10" s="8" t="inlineStr">
        <is>
          <t>no</t>
        </is>
      </c>
      <c r="G10" s="2">
        <f>IF(OR(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K10&lt;&gt;"",K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CLEAR INACTIVE VALUES",IF(O10="","PENDING",IF(AND(O10&lt;&gt;"agree",LEN(TRIM(P10))=0),"COMMENT NEEDED",IF(F10="yes","CHECKED - see resolution","DRAFT"))))</f>
        <v/>
      </c>
      <c r="H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I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J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K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not_applicable","")</f>
        <v/>
      </c>
      <c r="L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not_applicable","")</f>
        <v/>
      </c>
      <c r="M10" s="10" t="inlineStr"/>
      <c r="N10" s="10" t="inlineStr"/>
      <c r="O10" s="8" t="inlineStr"/>
      <c r="P10" s="11" t="inlineStr"/>
      <c r="Q10" s="8" t="inlineStr">
        <is>
          <t>pending</t>
        </is>
      </c>
      <c r="R10" s="11" t="inlineStr"/>
      <c r="S10" s="2" t="inlineStr">
        <is>
          <t>Disposition: exclude
Review domain: internal_nonstatistical
Notes (optional): SYNTHETIC TEST DATA ONLY. Exclude is a placeholder for testing the checker workflow, not a scientific assessment. Do not use this sample in research results.</t>
        </is>
      </c>
    </row>
    <row r="11" ht="76" customHeight="1">
      <c r="A11" s="3" t="inlineStr">
        <is>
          <t>2019::jama.2019.14231::C010</t>
        </is>
      </c>
      <c r="B11" s="3" t="inlineStr">
        <is>
          <t>Biguanide count and percentage do not reconcile in eTable 3</t>
        </is>
      </c>
      <c r="C11" s="3" t="inlineStr">
        <is>
          <t>Supplement 1 — PDF p. 5.</t>
        </is>
      </c>
      <c r="D11" s="8" t="inlineStr"/>
      <c r="E11" s="8" t="inlineStr"/>
      <c r="F11" s="8" t="inlineStr">
        <is>
          <t>no</t>
        </is>
      </c>
      <c r="G11" s="3">
        <f>IF(OR(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K11&lt;&gt;"",K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CLEAR INACTIVE VALUES",IF(O11="","PENDING",IF(AND(O11&lt;&gt;"agree",LEN(TRIM(P11))=0),"COMMENT NEEDED",IF(F11="yes","CHECKED - see resolution","DRAFT"))))</f>
        <v/>
      </c>
      <c r="H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I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J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K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not_applicable","")</f>
        <v/>
      </c>
      <c r="L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not_applicable","")</f>
        <v/>
      </c>
      <c r="M11" s="10" t="inlineStr"/>
      <c r="N11" s="10" t="inlineStr"/>
      <c r="O11" s="8" t="inlineStr"/>
      <c r="P11" s="11" t="inlineStr"/>
      <c r="Q11" s="8" t="inlineStr">
        <is>
          <t>pending</t>
        </is>
      </c>
      <c r="R11" s="11" t="inlineStr"/>
      <c r="S11" s="3" t="inlineStr">
        <is>
          <t>Disposition: exclude
Review domain: statistical_results
Notes (optional): SYNTHETIC TEST DATA ONLY. Exclude is a placeholder for testing the checker workflow, not a scientific assessment. Do not use this sample in research results.</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c r="F12" s="8" t="inlineStr">
        <is>
          <t>no</t>
        </is>
      </c>
      <c r="G12" s="2">
        <f>IF(OR(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K12&lt;&gt;"",K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CLEAR INACTIVE VALUES",IF(O12="","PENDING",IF(AND(O12&lt;&gt;"agree",LEN(TRIM(P12))=0),"COMMENT NEEDED",IF(F12="yes","CHECKED - see resolution","DRAFT"))))</f>
        <v/>
      </c>
      <c r="H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I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J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K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not_applicable","")</f>
        <v/>
      </c>
      <c r="L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not_applicable","")</f>
        <v/>
      </c>
      <c r="M12" s="10" t="inlineStr"/>
      <c r="N12" s="10" t="inlineStr"/>
      <c r="O12" s="8" t="inlineStr"/>
      <c r="P12" s="11" t="inlineStr"/>
      <c r="Q12" s="8" t="inlineStr">
        <is>
          <t>pending</t>
        </is>
      </c>
      <c r="R12" s="11" t="inlineStr"/>
      <c r="S12" s="2" t="inlineStr">
        <is>
          <t>Disposition: exclude
Review domain: internal_nonstatistical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2"/>
  <conditionalFormatting sqref="H2">
    <cfRule type="expression" priority="1"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formula>
    </cfRule>
    <cfRule type="expression" priority="2"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H3">
    <cfRule type="expression" priority="3"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formula>
    </cfRule>
    <cfRule type="expression" priority="4"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H4">
    <cfRule type="expression" priority="5"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formula>
    </cfRule>
    <cfRule type="expression" priority="6"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H5">
    <cfRule type="expression" priority="7"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formula>
    </cfRule>
    <cfRule type="expression" priority="8"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H6">
    <cfRule type="expression" priority="9"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formula>
    </cfRule>
    <cfRule type="expression" priority="10"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H7">
    <cfRule type="expression" priority="11"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formula>
    </cfRule>
    <cfRule type="expression" priority="12"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H8">
    <cfRule type="expression" priority="13"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formula>
    </cfRule>
    <cfRule type="expression" priority="14"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H9">
    <cfRule type="expression" priority="15"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formula>
    </cfRule>
    <cfRule type="expression" priority="16"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H10">
    <cfRule type="expression" priority="17"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formula>
    </cfRule>
    <cfRule type="expression" priority="18"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H11">
    <cfRule type="expression" priority="19"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formula>
    </cfRule>
    <cfRule type="expression" priority="20"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H12">
    <cfRule type="expression" priority="21"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formula>
    </cfRule>
    <cfRule type="expression" priority="22"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I2">
    <cfRule type="expression" priority="23"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formula>
    </cfRule>
    <cfRule type="expression" priority="24"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I3">
    <cfRule type="expression" priority="25"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formula>
    </cfRule>
    <cfRule type="expression" priority="26"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I4">
    <cfRule type="expression" priority="27"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formula>
    </cfRule>
    <cfRule type="expression" priority="28"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I5">
    <cfRule type="expression" priority="29"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formula>
    </cfRule>
    <cfRule type="expression" priority="30"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I6">
    <cfRule type="expression" priority="31"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formula>
    </cfRule>
    <cfRule type="expression" priority="32"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I7">
    <cfRule type="expression" priority="33"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formula>
    </cfRule>
    <cfRule type="expression" priority="34"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I8">
    <cfRule type="expression" priority="35"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formula>
    </cfRule>
    <cfRule type="expression" priority="36"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I9">
    <cfRule type="expression" priority="37"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formula>
    </cfRule>
    <cfRule type="expression" priority="38"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I10">
    <cfRule type="expression" priority="39"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formula>
    </cfRule>
    <cfRule type="expression" priority="40"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I11">
    <cfRule type="expression" priority="41"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formula>
    </cfRule>
    <cfRule type="expression" priority="42"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I12">
    <cfRule type="expression" priority="43"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formula>
    </cfRule>
    <cfRule type="expression" priority="44"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J2">
    <cfRule type="expression" priority="45"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formula>
    </cfRule>
    <cfRule type="expression" priority="46"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J3">
    <cfRule type="expression" priority="47"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formula>
    </cfRule>
    <cfRule type="expression" priority="48"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J4">
    <cfRule type="expression" priority="49"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formula>
    </cfRule>
    <cfRule type="expression" priority="50"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J5">
    <cfRule type="expression" priority="51"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formula>
    </cfRule>
    <cfRule type="expression" priority="52"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J6">
    <cfRule type="expression" priority="53"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formula>
    </cfRule>
    <cfRule type="expression" priority="54"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J7">
    <cfRule type="expression" priority="55"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formula>
    </cfRule>
    <cfRule type="expression" priority="56"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J8">
    <cfRule type="expression" priority="57"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formula>
    </cfRule>
    <cfRule type="expression" priority="58"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J9">
    <cfRule type="expression" priority="59"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formula>
    </cfRule>
    <cfRule type="expression" priority="60"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J10">
    <cfRule type="expression" priority="61"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formula>
    </cfRule>
    <cfRule type="expression" priority="62"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J11">
    <cfRule type="expression" priority="63"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formula>
    </cfRule>
    <cfRule type="expression" priority="64"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J12">
    <cfRule type="expression" priority="65"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formula>
    </cfRule>
    <cfRule type="expression" priority="66"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K2">
    <cfRule type="expression" priority="67"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K2&lt;&gt;"",K2&lt;&gt;"not_applicable")</formula>
    </cfRule>
    <cfRule type="expression" priority="68" dxfId="1">
      <formula>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formula>
    </cfRule>
  </conditionalFormatting>
  <conditionalFormatting sqref="K3">
    <cfRule type="expression" priority="69"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K3&lt;&gt;"",K3&lt;&gt;"not_applicable")</formula>
    </cfRule>
    <cfRule type="expression" priority="70" dxfId="1">
      <formula>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formula>
    </cfRule>
  </conditionalFormatting>
  <conditionalFormatting sqref="K4">
    <cfRule type="expression" priority="71"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K4&lt;&gt;"",K4&lt;&gt;"not_applicable")</formula>
    </cfRule>
    <cfRule type="expression" priority="72" dxfId="1">
      <formula>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formula>
    </cfRule>
  </conditionalFormatting>
  <conditionalFormatting sqref="K5">
    <cfRule type="expression" priority="73"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K5&lt;&gt;"",K5&lt;&gt;"not_applicable")</formula>
    </cfRule>
    <cfRule type="expression" priority="74" dxfId="1">
      <formula>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formula>
    </cfRule>
  </conditionalFormatting>
  <conditionalFormatting sqref="K6">
    <cfRule type="expression" priority="75"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K6&lt;&gt;"",K6&lt;&gt;"not_applicable")</formula>
    </cfRule>
    <cfRule type="expression" priority="76" dxfId="1">
      <formula>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formula>
    </cfRule>
  </conditionalFormatting>
  <conditionalFormatting sqref="K7">
    <cfRule type="expression" priority="77"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K7&lt;&gt;"",K7&lt;&gt;"not_applicable")</formula>
    </cfRule>
    <cfRule type="expression" priority="78" dxfId="1">
      <formula>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formula>
    </cfRule>
  </conditionalFormatting>
  <conditionalFormatting sqref="K8">
    <cfRule type="expression" priority="79"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K8&lt;&gt;"",K8&lt;&gt;"not_applicable")</formula>
    </cfRule>
    <cfRule type="expression" priority="80" dxfId="1">
      <formula>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formula>
    </cfRule>
  </conditionalFormatting>
  <conditionalFormatting sqref="K9">
    <cfRule type="expression" priority="81"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K9&lt;&gt;"",K9&lt;&gt;"not_applicable")</formula>
    </cfRule>
    <cfRule type="expression" priority="82" dxfId="1">
      <formula>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formula>
    </cfRule>
  </conditionalFormatting>
  <conditionalFormatting sqref="K10">
    <cfRule type="expression" priority="83"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K10&lt;&gt;"",K10&lt;&gt;"not_applicable")</formula>
    </cfRule>
    <cfRule type="expression" priority="84"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formula>
    </cfRule>
  </conditionalFormatting>
  <conditionalFormatting sqref="K11">
    <cfRule type="expression" priority="85"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K11&lt;&gt;"",K11&lt;&gt;"not_applicable")</formula>
    </cfRule>
    <cfRule type="expression" priority="86"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formula>
    </cfRule>
  </conditionalFormatting>
  <conditionalFormatting sqref="K12">
    <cfRule type="expression" priority="87"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K12&lt;&gt;"",K12&lt;&gt;"not_applicable")</formula>
    </cfRule>
    <cfRule type="expression" priority="88"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formula>
    </cfRule>
  </conditionalFormatting>
  <conditionalFormatting sqref="L2">
    <cfRule type="expression" priority="89"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formula>
    </cfRule>
    <cfRule type="expression" priority="90" dxfId="1">
      <formula>OR(AND(IF($D2="",INDEX(primary_jama_2019_14231_disposition,MATCH($A2,primary_jama_2019_14231_key,0)),$D2)&lt;&gt;"",IF($D2="",INDEX(primary_jama_2019_14231_disposition,MATCH($A2,primary_jama_2019_14231_key,0)),$D2)&lt;&gt;"retain"),NOT(OR(IF($E2="",INDEX(primary_jama_2019_14231_domain,MATCH($A2,primary_jama_2019_14231_key,0)),$E2)="protocol_report")))</formula>
    </cfRule>
  </conditionalFormatting>
  <conditionalFormatting sqref="L3">
    <cfRule type="expression" priority="91"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formula>
    </cfRule>
    <cfRule type="expression" priority="92" dxfId="1">
      <formula>OR(AND(IF($D3="",INDEX(primary_jama_2019_14231_disposition,MATCH($A3,primary_jama_2019_14231_key,0)),$D3)&lt;&gt;"",IF($D3="",INDEX(primary_jama_2019_14231_disposition,MATCH($A3,primary_jama_2019_14231_key,0)),$D3)&lt;&gt;"retain"),NOT(OR(IF($E3="",INDEX(primary_jama_2019_14231_domain,MATCH($A3,primary_jama_2019_14231_key,0)),$E3)="protocol_report")))</formula>
    </cfRule>
  </conditionalFormatting>
  <conditionalFormatting sqref="L4">
    <cfRule type="expression" priority="93"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formula>
    </cfRule>
    <cfRule type="expression" priority="94" dxfId="1">
      <formula>OR(AND(IF($D4="",INDEX(primary_jama_2019_14231_disposition,MATCH($A4,primary_jama_2019_14231_key,0)),$D4)&lt;&gt;"",IF($D4="",INDEX(primary_jama_2019_14231_disposition,MATCH($A4,primary_jama_2019_14231_key,0)),$D4)&lt;&gt;"retain"),NOT(OR(IF($E4="",INDEX(primary_jama_2019_14231_domain,MATCH($A4,primary_jama_2019_14231_key,0)),$E4)="protocol_report")))</formula>
    </cfRule>
  </conditionalFormatting>
  <conditionalFormatting sqref="L5">
    <cfRule type="expression" priority="95"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formula>
    </cfRule>
    <cfRule type="expression" priority="96" dxfId="1">
      <formula>OR(AND(IF($D5="",INDEX(primary_jama_2019_14231_disposition,MATCH($A5,primary_jama_2019_14231_key,0)),$D5)&lt;&gt;"",IF($D5="",INDEX(primary_jama_2019_14231_disposition,MATCH($A5,primary_jama_2019_14231_key,0)),$D5)&lt;&gt;"retain"),NOT(OR(IF($E5="",INDEX(primary_jama_2019_14231_domain,MATCH($A5,primary_jama_2019_14231_key,0)),$E5)="protocol_report")))</formula>
    </cfRule>
  </conditionalFormatting>
  <conditionalFormatting sqref="L6">
    <cfRule type="expression" priority="97"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formula>
    </cfRule>
    <cfRule type="expression" priority="98" dxfId="1">
      <formula>OR(AND(IF($D6="",INDEX(primary_jama_2019_14231_disposition,MATCH($A6,primary_jama_2019_14231_key,0)),$D6)&lt;&gt;"",IF($D6="",INDEX(primary_jama_2019_14231_disposition,MATCH($A6,primary_jama_2019_14231_key,0)),$D6)&lt;&gt;"retain"),NOT(OR(IF($E6="",INDEX(primary_jama_2019_14231_domain,MATCH($A6,primary_jama_2019_14231_key,0)),$E6)="protocol_report")))</formula>
    </cfRule>
  </conditionalFormatting>
  <conditionalFormatting sqref="L7">
    <cfRule type="expression" priority="99"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formula>
    </cfRule>
    <cfRule type="expression" priority="100" dxfId="1">
      <formula>OR(AND(IF($D7="",INDEX(primary_jama_2019_14231_disposition,MATCH($A7,primary_jama_2019_14231_key,0)),$D7)&lt;&gt;"",IF($D7="",INDEX(primary_jama_2019_14231_disposition,MATCH($A7,primary_jama_2019_14231_key,0)),$D7)&lt;&gt;"retain"),NOT(OR(IF($E7="",INDEX(primary_jama_2019_14231_domain,MATCH($A7,primary_jama_2019_14231_key,0)),$E7)="protocol_report")))</formula>
    </cfRule>
  </conditionalFormatting>
  <conditionalFormatting sqref="L8">
    <cfRule type="expression" priority="101"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formula>
    </cfRule>
    <cfRule type="expression" priority="102" dxfId="1">
      <formula>OR(AND(IF($D8="",INDEX(primary_jama_2019_14231_disposition,MATCH($A8,primary_jama_2019_14231_key,0)),$D8)&lt;&gt;"",IF($D8="",INDEX(primary_jama_2019_14231_disposition,MATCH($A8,primary_jama_2019_14231_key,0)),$D8)&lt;&gt;"retain"),NOT(OR(IF($E8="",INDEX(primary_jama_2019_14231_domain,MATCH($A8,primary_jama_2019_14231_key,0)),$E8)="protocol_report")))</formula>
    </cfRule>
  </conditionalFormatting>
  <conditionalFormatting sqref="L9">
    <cfRule type="expression" priority="103"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formula>
    </cfRule>
    <cfRule type="expression" priority="104" dxfId="1">
      <formula>OR(AND(IF($D9="",INDEX(primary_jama_2019_14231_disposition,MATCH($A9,primary_jama_2019_14231_key,0)),$D9)&lt;&gt;"",IF($D9="",INDEX(primary_jama_2019_14231_disposition,MATCH($A9,primary_jama_2019_14231_key,0)),$D9)&lt;&gt;"retain"),NOT(OR(IF($E9="",INDEX(primary_jama_2019_14231_domain,MATCH($A9,primary_jama_2019_14231_key,0)),$E9)="protocol_report")))</formula>
    </cfRule>
  </conditionalFormatting>
  <conditionalFormatting sqref="L10">
    <cfRule type="expression" priority="105"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formula>
    </cfRule>
    <cfRule type="expression" priority="106"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formula>
    </cfRule>
  </conditionalFormatting>
  <conditionalFormatting sqref="L11">
    <cfRule type="expression" priority="107"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formula>
    </cfRule>
    <cfRule type="expression" priority="108"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formula>
    </cfRule>
  </conditionalFormatting>
  <conditionalFormatting sqref="L12">
    <cfRule type="expression" priority="109"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formula>
    </cfRule>
    <cfRule type="expression" priority="110"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formula>
    </cfRule>
  </conditionalFormatting>
  <dataValidations count="10">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2" showDropDown="0" showInputMessage="1" showErrorMessage="1" allowBlank="1" errorTitle="Invalid option" error="Choose a listed value." promptTitle="Checker result" prompt="See Codebook for meanings." type="list" errorStyle="stop">
      <formula1>opt_checkStatus</formula1>
    </dataValidation>
    <dataValidation sqref="Q2:Q12"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c r="F2" s="8" t="inlineStr">
        <is>
          <t>no</t>
        </is>
      </c>
      <c r="G2" s="2">
        <f>IF(OR(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K2&lt;&gt;"",K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CLEAR INACTIVE VALUES",IF(O2="","PENDING",IF(AND(O2&lt;&gt;"agree",LEN(TRIM(P2))=0),"COMMENT NEEDED",IF(F2="yes","CHECKED - see resolution","DRAFT"))))</f>
        <v/>
      </c>
      <c r="H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I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J2" s="9">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K2" s="8">
        <f>IF(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not_applicable","")</f>
        <v/>
      </c>
      <c r="L2" s="9">
        <f>IF(OR(AND(IF($D2="",INDEX(primary_jama_2019_14630_disposition,MATCH($A2,primary_jama_2019_14630_key,0)),$D2)&lt;&gt;"",IF($D2="",INDEX(primary_jama_2019_14630_disposition,MATCH($A2,primary_jama_2019_14630_key,0)),$D2)&lt;&gt;"retain"),NOT(OR(IF($E2="",INDEX(primary_jama_2019_14630_domain,MATCH($A2,primary_jama_2019_14630_key,0)),$E2)="protocol_report"))),"not_applicable","")</f>
        <v/>
      </c>
      <c r="M2" s="10" t="inlineStr"/>
      <c r="N2" s="10" t="inlineStr"/>
      <c r="O2" s="8" t="inlineStr"/>
      <c r="P2" s="11" t="inlineStr"/>
      <c r="Q2" s="8" t="inlineStr">
        <is>
          <t>pending</t>
        </is>
      </c>
      <c r="R2" s="11" t="inlineStr"/>
      <c r="S2" s="2" t="inlineStr">
        <is>
          <t>Disposition: exclude
Review domain: internal_nonstatistical
Notes (optional): SYNTHETIC TEST DATA ONLY. Exclude is a placeholder for testing the checker workflow, not a scientific assessment. Do not use this sample in research results.</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c r="F3" s="8" t="inlineStr">
        <is>
          <t>no</t>
        </is>
      </c>
      <c r="G3" s="3">
        <f>IF(OR(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K3&lt;&gt;"",K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CLEAR INACTIVE VALUES",IF(O3="","PENDING",IF(AND(O3&lt;&gt;"agree",LEN(TRIM(P3))=0),"COMMENT NEEDED",IF(F3="yes","CHECKED - see resolution","DRAFT"))))</f>
        <v/>
      </c>
      <c r="H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I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J3" s="9">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K3" s="8">
        <f>IF(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not_applicable","")</f>
        <v/>
      </c>
      <c r="L3" s="9">
        <f>IF(OR(AND(IF($D3="",INDEX(primary_jama_2019_14630_disposition,MATCH($A3,primary_jama_2019_14630_key,0)),$D3)&lt;&gt;"",IF($D3="",INDEX(primary_jama_2019_14630_disposition,MATCH($A3,primary_jama_2019_14630_key,0)),$D3)&lt;&gt;"retain"),NOT(OR(IF($E3="",INDEX(primary_jama_2019_14630_domain,MATCH($A3,primary_jama_2019_14630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c r="F4" s="8" t="inlineStr">
        <is>
          <t>no</t>
        </is>
      </c>
      <c r="G4" s="2">
        <f>IF(OR(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K4&lt;&gt;"",K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CLEAR INACTIVE VALUES",IF(O4="","PENDING",IF(AND(O4&lt;&gt;"agree",LEN(TRIM(P4))=0),"COMMENT NEEDED",IF(F4="yes","CHECKED - see resolution","DRAFT"))))</f>
        <v/>
      </c>
      <c r="H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I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J4" s="9">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K4" s="8">
        <f>IF(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not_applicable","")</f>
        <v/>
      </c>
      <c r="L4" s="9">
        <f>IF(OR(AND(IF($D4="",INDEX(primary_jama_2019_14630_disposition,MATCH($A4,primary_jama_2019_14630_key,0)),$D4)&lt;&gt;"",IF($D4="",INDEX(primary_jama_2019_14630_disposition,MATCH($A4,primary_jama_2019_14630_key,0)),$D4)&lt;&gt;"retain"),NOT(OR(IF($E4="",INDEX(primary_jama_2019_14630_domain,MATCH($A4,primary_jama_2019_14630_key,0)),$E4)="protocol_report"))),"not_applicable","")</f>
        <v/>
      </c>
      <c r="M4" s="10" t="inlineStr"/>
      <c r="N4" s="10" t="inlineStr"/>
      <c r="O4" s="8" t="inlineStr"/>
      <c r="P4" s="11" t="inlineStr"/>
      <c r="Q4" s="8" t="inlineStr">
        <is>
          <t>pending</t>
        </is>
      </c>
      <c r="R4" s="11" t="inlineStr"/>
      <c r="S4" s="2" t="inlineStr">
        <is>
          <t>Disposition: exclude
Review domain: internal_nonstatistical
Notes (optional): SYNTHETIC TEST DATA ONLY. Exclude is a placeholder for testing the checker workflow, not a scientific assessment. Do not use this sample in research results.</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c r="F5" s="8" t="inlineStr">
        <is>
          <t>no</t>
        </is>
      </c>
      <c r="G5" s="3">
        <f>IF(OR(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K5&lt;&gt;"",K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CLEAR INACTIVE VALUES",IF(O5="","PENDING",IF(AND(O5&lt;&gt;"agree",LEN(TRIM(P5))=0),"COMMENT NEEDED",IF(F5="yes","CHECKED - see resolution","DRAFT"))))</f>
        <v/>
      </c>
      <c r="H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I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J5" s="9">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K5" s="8">
        <f>IF(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not_applicable","")</f>
        <v/>
      </c>
      <c r="L5" s="9">
        <f>IF(OR(AND(IF($D5="",INDEX(primary_jama_2019_14630_disposition,MATCH($A5,primary_jama_2019_14630_key,0)),$D5)&lt;&gt;"",IF($D5="",INDEX(primary_jama_2019_14630_disposition,MATCH($A5,primary_jama_2019_14630_key,0)),$D5)&lt;&gt;"retain"),NOT(OR(IF($E5="",INDEX(primary_jama_2019_14630_domain,MATCH($A5,primary_jama_2019_14630_key,0)),$E5)="protocol_report"))),"not_applicable","")</f>
        <v/>
      </c>
      <c r="M5" s="10" t="inlineStr"/>
      <c r="N5" s="10" t="inlineStr"/>
      <c r="O5" s="8" t="inlineStr"/>
      <c r="P5" s="11" t="inlineStr"/>
      <c r="Q5" s="8" t="inlineStr">
        <is>
          <t>pending</t>
        </is>
      </c>
      <c r="R5" s="11" t="inlineStr"/>
      <c r="S5" s="3" t="inlineStr">
        <is>
          <t>Disposition: exclude
Review domain: internal_nonstatistical
Notes (optional): SYNTHETIC TEST DATA ONLY. Exclude is a placeholder for testing the checker workflow, not a scientific assessment. Do not use this sample in research results.</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c r="F6" s="8" t="inlineStr">
        <is>
          <t>no</t>
        </is>
      </c>
      <c r="G6" s="2">
        <f>IF(OR(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K6&lt;&gt;"",K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CLEAR INACTIVE VALUES",IF(O6="","PENDING",IF(AND(O6&lt;&gt;"agree",LEN(TRIM(P6))=0),"COMMENT NEEDED",IF(F6="yes","CHECKED - see resolution","DRAFT"))))</f>
        <v/>
      </c>
      <c r="H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I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J6" s="9">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K6" s="8">
        <f>IF(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not_applicable","")</f>
        <v/>
      </c>
      <c r="L6" s="9">
        <f>IF(OR(AND(IF($D6="",INDEX(primary_jama_2019_14630_disposition,MATCH($A6,primary_jama_2019_14630_key,0)),$D6)&lt;&gt;"",IF($D6="",INDEX(primary_jama_2019_14630_disposition,MATCH($A6,primary_jama_2019_14630_key,0)),$D6)&lt;&gt;"retain"),NOT(OR(IF($E6="",INDEX(primary_jama_2019_14630_domain,MATCH($A6,primary_jama_2019_14630_key,0)),$E6)="protocol_report"))),"not_applicable","")</f>
        <v/>
      </c>
      <c r="M6" s="10" t="inlineStr"/>
      <c r="N6" s="10" t="inlineStr"/>
      <c r="O6" s="8" t="inlineStr"/>
      <c r="P6" s="11" t="inlineStr"/>
      <c r="Q6" s="8" t="inlineStr">
        <is>
          <t>pending</t>
        </is>
      </c>
      <c r="R6" s="11" t="inlineStr"/>
      <c r="S6" s="2" t="inlineStr">
        <is>
          <t>Disposition: exclude
Review domain: internal_nonstatistical
Notes (optional): SYNTHETIC TEST DATA ONLY. Exclude is a placeholder for testing the checker workflow, not a scientific assessment. Do not use this sample in research results.</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c r="F7" s="8" t="inlineStr">
        <is>
          <t>no</t>
        </is>
      </c>
      <c r="G7" s="3">
        <f>IF(OR(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K7&lt;&gt;"",K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CLEAR INACTIVE VALUES",IF(O7="","PENDING",IF(AND(O7&lt;&gt;"agree",LEN(TRIM(P7))=0),"COMMENT NEEDED",IF(F7="yes","CHECKED - see resolution","DRAFT"))))</f>
        <v/>
      </c>
      <c r="H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I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J7" s="9">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K7" s="8">
        <f>IF(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not_applicable","")</f>
        <v/>
      </c>
      <c r="L7" s="9">
        <f>IF(OR(AND(IF($D7="",INDEX(primary_jama_2019_14630_disposition,MATCH($A7,primary_jama_2019_14630_key,0)),$D7)&lt;&gt;"",IF($D7="",INDEX(primary_jama_2019_14630_disposition,MATCH($A7,primary_jama_2019_14630_key,0)),$D7)&lt;&gt;"retain"),NOT(OR(IF($E7="",INDEX(primary_jama_2019_14630_domain,MATCH($A7,primary_jama_2019_14630_key,0)),$E7)="protocol_report"))),"not_applicable","")</f>
        <v/>
      </c>
      <c r="M7" s="10" t="inlineStr"/>
      <c r="N7" s="10" t="inlineStr"/>
      <c r="O7" s="8" t="inlineStr"/>
      <c r="P7" s="11" t="inlineStr"/>
      <c r="Q7" s="8" t="inlineStr">
        <is>
          <t>pending</t>
        </is>
      </c>
      <c r="R7" s="11" t="inlineStr"/>
      <c r="S7" s="3" t="inlineStr">
        <is>
          <t>Disposition: exclude
Review domain: internal_nonstatistical
Notes (optional): SYNTHETIC TEST DATA ONLY. Exclude is a placeholder for testing the checker workflow, not a scientific assessment. Do not use this sample in research results.</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c r="F8" s="8" t="inlineStr">
        <is>
          <t>no</t>
        </is>
      </c>
      <c r="G8" s="2">
        <f>IF(OR(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K8&lt;&gt;"",K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CLEAR INACTIVE VALUES",IF(O8="","PENDING",IF(AND(O8&lt;&gt;"agree",LEN(TRIM(P8))=0),"COMMENT NEEDED",IF(F8="yes","CHECKED - see resolution","DRAFT"))))</f>
        <v/>
      </c>
      <c r="H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I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J8" s="9">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K8" s="8">
        <f>IF(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not_applicable","")</f>
        <v/>
      </c>
      <c r="L8" s="9">
        <f>IF(OR(AND(IF($D8="",INDEX(primary_jama_2019_14630_disposition,MATCH($A8,primary_jama_2019_14630_key,0)),$D8)&lt;&gt;"",IF($D8="",INDEX(primary_jama_2019_14630_disposition,MATCH($A8,primary_jama_2019_14630_key,0)),$D8)&lt;&gt;"retain"),NOT(OR(IF($E8="",INDEX(primary_jama_2019_14630_domain,MATCH($A8,primary_jama_2019_14630_key,0)),$E8)="protocol_report"))),"not_applicable","")</f>
        <v/>
      </c>
      <c r="M8" s="10" t="inlineStr"/>
      <c r="N8" s="10" t="inlineStr"/>
      <c r="O8" s="8" t="inlineStr"/>
      <c r="P8" s="11" t="inlineStr"/>
      <c r="Q8" s="8" t="inlineStr">
        <is>
          <t>pending</t>
        </is>
      </c>
      <c r="R8" s="11" t="inlineStr"/>
      <c r="S8" s="2" t="inlineStr">
        <is>
          <t>Disposition: exclude
Review domain: internal_nonstatistical
Notes (optional): SYNTHETIC TEST DATA ONLY. Exclude is a placeholder for testing the checker workflow, not a scientific assessment. Do not use this sample in research results.</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c r="F9" s="8" t="inlineStr">
        <is>
          <t>no</t>
        </is>
      </c>
      <c r="G9" s="3">
        <f>IF(OR(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K9&lt;&gt;"",K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CLEAR INACTIVE VALUES",IF(O9="","PENDING",IF(AND(O9&lt;&gt;"agree",LEN(TRIM(P9))=0),"COMMENT NEEDED",IF(F9="yes","CHECKED - see resolution","DRAFT"))))</f>
        <v/>
      </c>
      <c r="H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I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J9" s="9">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K9" s="8">
        <f>IF(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not_applicable","")</f>
        <v/>
      </c>
      <c r="L9" s="9">
        <f>IF(OR(AND(IF($D9="",INDEX(primary_jama_2019_14630_disposition,MATCH($A9,primary_jama_2019_14630_key,0)),$D9)&lt;&gt;"",IF($D9="",INDEX(primary_jama_2019_14630_disposition,MATCH($A9,primary_jama_2019_14630_key,0)),$D9)&lt;&gt;"retain"),NOT(OR(IF($E9="",INDEX(primary_jama_2019_14630_domain,MATCH($A9,primary_jama_2019_14630_key,0)),$E9)="protocol_report"))),"not_applicable","")</f>
        <v/>
      </c>
      <c r="M9" s="10" t="inlineStr"/>
      <c r="N9" s="10" t="inlineStr"/>
      <c r="O9" s="8" t="inlineStr"/>
      <c r="P9" s="11" t="inlineStr"/>
      <c r="Q9" s="8" t="inlineStr">
        <is>
          <t>pending</t>
        </is>
      </c>
      <c r="R9" s="11" t="inlineStr"/>
      <c r="S9" s="3" t="inlineStr">
        <is>
          <t>Disposition: exclude
Review domain: internal_nonstatistical
Notes (optional): SYNTHETIC TEST DATA ONLY. Exclude is a placeholder for testing the checker workflow, not a scientific assessment. Do not use this sample in research results.</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c r="F10" s="8" t="inlineStr">
        <is>
          <t>no</t>
        </is>
      </c>
      <c r="G10" s="2">
        <f>IF(OR(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K10&lt;&gt;"",K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CLEAR INACTIVE VALUES",IF(O10="","PENDING",IF(AND(O10&lt;&gt;"agree",LEN(TRIM(P10))=0),"COMMENT NEEDED",IF(F10="yes","CHECKED - see resolution","DRAFT"))))</f>
        <v/>
      </c>
      <c r="H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I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J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K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not_applicable","")</f>
        <v/>
      </c>
      <c r="L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not_applicable","")</f>
        <v/>
      </c>
      <c r="M10" s="10" t="inlineStr"/>
      <c r="N10" s="10" t="inlineStr"/>
      <c r="O10" s="8" t="inlineStr"/>
      <c r="P10" s="11" t="inlineStr"/>
      <c r="Q10" s="8" t="inlineStr">
        <is>
          <t>pending</t>
        </is>
      </c>
      <c r="R10" s="11" t="inlineStr"/>
      <c r="S10" s="2" t="inlineStr">
        <is>
          <t>Disposition: exclude
Review domain: internal_nonstatistical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formula>
    </cfRule>
    <cfRule type="expression" priority="2"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H3">
    <cfRule type="expression" priority="3"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formula>
    </cfRule>
    <cfRule type="expression" priority="4"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H4">
    <cfRule type="expression" priority="5"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formula>
    </cfRule>
    <cfRule type="expression" priority="6"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H5">
    <cfRule type="expression" priority="7"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formula>
    </cfRule>
    <cfRule type="expression" priority="8"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H6">
    <cfRule type="expression" priority="9"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formula>
    </cfRule>
    <cfRule type="expression" priority="10"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H7">
    <cfRule type="expression" priority="11"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formula>
    </cfRule>
    <cfRule type="expression" priority="12"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H8">
    <cfRule type="expression" priority="13"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formula>
    </cfRule>
    <cfRule type="expression" priority="14"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H9">
    <cfRule type="expression" priority="15"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formula>
    </cfRule>
    <cfRule type="expression" priority="16"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H10">
    <cfRule type="expression" priority="17"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formula>
    </cfRule>
    <cfRule type="expression" priority="18"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I2">
    <cfRule type="expression" priority="19"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formula>
    </cfRule>
    <cfRule type="expression" priority="20"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I3">
    <cfRule type="expression" priority="21"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formula>
    </cfRule>
    <cfRule type="expression" priority="22"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I4">
    <cfRule type="expression" priority="23"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formula>
    </cfRule>
    <cfRule type="expression" priority="24"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I5">
    <cfRule type="expression" priority="25"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formula>
    </cfRule>
    <cfRule type="expression" priority="26"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I6">
    <cfRule type="expression" priority="27"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formula>
    </cfRule>
    <cfRule type="expression" priority="28"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I7">
    <cfRule type="expression" priority="29"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formula>
    </cfRule>
    <cfRule type="expression" priority="30"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I8">
    <cfRule type="expression" priority="31"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formula>
    </cfRule>
    <cfRule type="expression" priority="32"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I9">
    <cfRule type="expression" priority="33"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formula>
    </cfRule>
    <cfRule type="expression" priority="34"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I10">
    <cfRule type="expression" priority="35"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formula>
    </cfRule>
    <cfRule type="expression" priority="36"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J2">
    <cfRule type="expression" priority="37"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formula>
    </cfRule>
    <cfRule type="expression" priority="38"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J3">
    <cfRule type="expression" priority="39"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formula>
    </cfRule>
    <cfRule type="expression" priority="40"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J4">
    <cfRule type="expression" priority="41"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formula>
    </cfRule>
    <cfRule type="expression" priority="42"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J5">
    <cfRule type="expression" priority="43"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formula>
    </cfRule>
    <cfRule type="expression" priority="44"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J6">
    <cfRule type="expression" priority="45"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formula>
    </cfRule>
    <cfRule type="expression" priority="46"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J7">
    <cfRule type="expression" priority="47"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formula>
    </cfRule>
    <cfRule type="expression" priority="48"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J8">
    <cfRule type="expression" priority="49"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formula>
    </cfRule>
    <cfRule type="expression" priority="50"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J9">
    <cfRule type="expression" priority="51"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formula>
    </cfRule>
    <cfRule type="expression" priority="52"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J10">
    <cfRule type="expression" priority="53"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formula>
    </cfRule>
    <cfRule type="expression" priority="54"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K2">
    <cfRule type="expression" priority="55"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K2&lt;&gt;"",K2&lt;&gt;"not_applicable")</formula>
    </cfRule>
    <cfRule type="expression" priority="56" dxfId="1">
      <formula>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formula>
    </cfRule>
  </conditionalFormatting>
  <conditionalFormatting sqref="K3">
    <cfRule type="expression" priority="57"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K3&lt;&gt;"",K3&lt;&gt;"not_applicable")</formula>
    </cfRule>
    <cfRule type="expression" priority="58" dxfId="1">
      <formula>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formula>
    </cfRule>
  </conditionalFormatting>
  <conditionalFormatting sqref="K4">
    <cfRule type="expression" priority="59"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K4&lt;&gt;"",K4&lt;&gt;"not_applicable")</formula>
    </cfRule>
    <cfRule type="expression" priority="60" dxfId="1">
      <formula>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formula>
    </cfRule>
  </conditionalFormatting>
  <conditionalFormatting sqref="K5">
    <cfRule type="expression" priority="61"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K5&lt;&gt;"",K5&lt;&gt;"not_applicable")</formula>
    </cfRule>
    <cfRule type="expression" priority="62" dxfId="1">
      <formula>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formula>
    </cfRule>
  </conditionalFormatting>
  <conditionalFormatting sqref="K6">
    <cfRule type="expression" priority="63"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K6&lt;&gt;"",K6&lt;&gt;"not_applicable")</formula>
    </cfRule>
    <cfRule type="expression" priority="64" dxfId="1">
      <formula>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formula>
    </cfRule>
  </conditionalFormatting>
  <conditionalFormatting sqref="K7">
    <cfRule type="expression" priority="65"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K7&lt;&gt;"",K7&lt;&gt;"not_applicable")</formula>
    </cfRule>
    <cfRule type="expression" priority="66" dxfId="1">
      <formula>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formula>
    </cfRule>
  </conditionalFormatting>
  <conditionalFormatting sqref="K8">
    <cfRule type="expression" priority="67"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K8&lt;&gt;"",K8&lt;&gt;"not_applicable")</formula>
    </cfRule>
    <cfRule type="expression" priority="68" dxfId="1">
      <formula>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formula>
    </cfRule>
  </conditionalFormatting>
  <conditionalFormatting sqref="K9">
    <cfRule type="expression" priority="69"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K9&lt;&gt;"",K9&lt;&gt;"not_applicable")</formula>
    </cfRule>
    <cfRule type="expression" priority="70" dxfId="1">
      <formula>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formula>
    </cfRule>
  </conditionalFormatting>
  <conditionalFormatting sqref="K10">
    <cfRule type="expression" priority="71"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K10&lt;&gt;"",K10&lt;&gt;"not_applicable")</formula>
    </cfRule>
    <cfRule type="expression" priority="72"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formula>
    </cfRule>
  </conditionalFormatting>
  <conditionalFormatting sqref="L2">
    <cfRule type="expression" priority="73"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formula>
    </cfRule>
    <cfRule type="expression" priority="74" dxfId="1">
      <formula>OR(AND(IF($D2="",INDEX(primary_jama_2019_14630_disposition,MATCH($A2,primary_jama_2019_14630_key,0)),$D2)&lt;&gt;"",IF($D2="",INDEX(primary_jama_2019_14630_disposition,MATCH($A2,primary_jama_2019_14630_key,0)),$D2)&lt;&gt;"retain"),NOT(OR(IF($E2="",INDEX(primary_jama_2019_14630_domain,MATCH($A2,primary_jama_2019_14630_key,0)),$E2)="protocol_report")))</formula>
    </cfRule>
  </conditionalFormatting>
  <conditionalFormatting sqref="L3">
    <cfRule type="expression" priority="75"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formula>
    </cfRule>
    <cfRule type="expression" priority="76" dxfId="1">
      <formula>OR(AND(IF($D3="",INDEX(primary_jama_2019_14630_disposition,MATCH($A3,primary_jama_2019_14630_key,0)),$D3)&lt;&gt;"",IF($D3="",INDEX(primary_jama_2019_14630_disposition,MATCH($A3,primary_jama_2019_14630_key,0)),$D3)&lt;&gt;"retain"),NOT(OR(IF($E3="",INDEX(primary_jama_2019_14630_domain,MATCH($A3,primary_jama_2019_14630_key,0)),$E3)="protocol_report")))</formula>
    </cfRule>
  </conditionalFormatting>
  <conditionalFormatting sqref="L4">
    <cfRule type="expression" priority="77"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formula>
    </cfRule>
    <cfRule type="expression" priority="78" dxfId="1">
      <formula>OR(AND(IF($D4="",INDEX(primary_jama_2019_14630_disposition,MATCH($A4,primary_jama_2019_14630_key,0)),$D4)&lt;&gt;"",IF($D4="",INDEX(primary_jama_2019_14630_disposition,MATCH($A4,primary_jama_2019_14630_key,0)),$D4)&lt;&gt;"retain"),NOT(OR(IF($E4="",INDEX(primary_jama_2019_14630_domain,MATCH($A4,primary_jama_2019_14630_key,0)),$E4)="protocol_report")))</formula>
    </cfRule>
  </conditionalFormatting>
  <conditionalFormatting sqref="L5">
    <cfRule type="expression" priority="79"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formula>
    </cfRule>
    <cfRule type="expression" priority="80" dxfId="1">
      <formula>OR(AND(IF($D5="",INDEX(primary_jama_2019_14630_disposition,MATCH($A5,primary_jama_2019_14630_key,0)),$D5)&lt;&gt;"",IF($D5="",INDEX(primary_jama_2019_14630_disposition,MATCH($A5,primary_jama_2019_14630_key,0)),$D5)&lt;&gt;"retain"),NOT(OR(IF($E5="",INDEX(primary_jama_2019_14630_domain,MATCH($A5,primary_jama_2019_14630_key,0)),$E5)="protocol_report")))</formula>
    </cfRule>
  </conditionalFormatting>
  <conditionalFormatting sqref="L6">
    <cfRule type="expression" priority="81"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formula>
    </cfRule>
    <cfRule type="expression" priority="82" dxfId="1">
      <formula>OR(AND(IF($D6="",INDEX(primary_jama_2019_14630_disposition,MATCH($A6,primary_jama_2019_14630_key,0)),$D6)&lt;&gt;"",IF($D6="",INDEX(primary_jama_2019_14630_disposition,MATCH($A6,primary_jama_2019_14630_key,0)),$D6)&lt;&gt;"retain"),NOT(OR(IF($E6="",INDEX(primary_jama_2019_14630_domain,MATCH($A6,primary_jama_2019_14630_key,0)),$E6)="protocol_report")))</formula>
    </cfRule>
  </conditionalFormatting>
  <conditionalFormatting sqref="L7">
    <cfRule type="expression" priority="83"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formula>
    </cfRule>
    <cfRule type="expression" priority="84" dxfId="1">
      <formula>OR(AND(IF($D7="",INDEX(primary_jama_2019_14630_disposition,MATCH($A7,primary_jama_2019_14630_key,0)),$D7)&lt;&gt;"",IF($D7="",INDEX(primary_jama_2019_14630_disposition,MATCH($A7,primary_jama_2019_14630_key,0)),$D7)&lt;&gt;"retain"),NOT(OR(IF($E7="",INDEX(primary_jama_2019_14630_domain,MATCH($A7,primary_jama_2019_14630_key,0)),$E7)="protocol_report")))</formula>
    </cfRule>
  </conditionalFormatting>
  <conditionalFormatting sqref="L8">
    <cfRule type="expression" priority="85"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formula>
    </cfRule>
    <cfRule type="expression" priority="86" dxfId="1">
      <formula>OR(AND(IF($D8="",INDEX(primary_jama_2019_14630_disposition,MATCH($A8,primary_jama_2019_14630_key,0)),$D8)&lt;&gt;"",IF($D8="",INDEX(primary_jama_2019_14630_disposition,MATCH($A8,primary_jama_2019_14630_key,0)),$D8)&lt;&gt;"retain"),NOT(OR(IF($E8="",INDEX(primary_jama_2019_14630_domain,MATCH($A8,primary_jama_2019_14630_key,0)),$E8)="protocol_report")))</formula>
    </cfRule>
  </conditionalFormatting>
  <conditionalFormatting sqref="L9">
    <cfRule type="expression" priority="87"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formula>
    </cfRule>
    <cfRule type="expression" priority="88" dxfId="1">
      <formula>OR(AND(IF($D9="",INDEX(primary_jama_2019_14630_disposition,MATCH($A9,primary_jama_2019_14630_key,0)),$D9)&lt;&gt;"",IF($D9="",INDEX(primary_jama_2019_14630_disposition,MATCH($A9,primary_jama_2019_14630_key,0)),$D9)&lt;&gt;"retain"),NOT(OR(IF($E9="",INDEX(primary_jama_2019_14630_domain,MATCH($A9,primary_jama_2019_14630_key,0)),$E9)="protocol_report")))</formula>
    </cfRule>
  </conditionalFormatting>
  <conditionalFormatting sqref="L10">
    <cfRule type="expression" priority="89"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formula>
    </cfRule>
    <cfRule type="expression" priority="90"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2019::jama.2019.14901::C001</t>
        </is>
      </c>
      <c r="B2" s="2" t="inlineStr">
        <is>
          <t>Day-7 respiratory-failure absolute difference differs across matched article locations</t>
        </is>
      </c>
      <c r="C2" s="2" t="inlineStr"/>
      <c r="D2" s="8" t="inlineStr"/>
      <c r="E2" s="8" t="inlineStr"/>
      <c r="F2" s="8" t="inlineStr">
        <is>
          <t>no</t>
        </is>
      </c>
      <c r="G2" s="2">
        <f>IF(OR(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K2&lt;&gt;"",K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CLEAR INACTIVE VALUES",IF(O2="","PENDING",IF(AND(O2&lt;&gt;"agree",LEN(TRIM(P2))=0),"COMMENT NEEDED",IF(F2="yes","CHECKED - see resolution","DRAFT"))))</f>
        <v/>
      </c>
      <c r="H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I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J2" s="9">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K2" s="8">
        <f>IF(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not_applicable","")</f>
        <v/>
      </c>
      <c r="L2" s="9">
        <f>IF(OR(AND(IF($D2="",INDEX(primary_jama_2019_14901_disposition,MATCH($A2,primary_jama_2019_14901_key,0)),$D2)&lt;&gt;"",IF($D2="",INDEX(primary_jama_2019_14901_disposition,MATCH($A2,primary_jama_2019_14901_key,0)),$D2)&lt;&gt;"retain"),NOT(OR(IF($E2="",INDEX(primary_jama_2019_14901_domain,MATCH($A2,primary_jama_2019_14901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2019::jama.2019.14901::C002</t>
        </is>
      </c>
      <c r="B3" s="3" t="inlineStr">
        <is>
          <t>Reintubation respiratory-acidosis cutoff differs between article and protocol</t>
        </is>
      </c>
      <c r="C3" s="3" t="inlineStr"/>
      <c r="D3" s="8" t="inlineStr"/>
      <c r="E3" s="8" t="inlineStr"/>
      <c r="F3" s="8" t="inlineStr">
        <is>
          <t>no</t>
        </is>
      </c>
      <c r="G3" s="3">
        <f>IF(OR(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K3&lt;&gt;"",K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CLEAR INACTIVE VALUES",IF(O3="","PENDING",IF(AND(O3&lt;&gt;"agree",LEN(TRIM(P3))=0),"COMMENT NEEDED",IF(F3="yes","CHECKED - see resolution","DRAFT"))))</f>
        <v/>
      </c>
      <c r="H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I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J3" s="9">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K3" s="8">
        <f>IF(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not_applicable","")</f>
        <v/>
      </c>
      <c r="L3" s="9">
        <f>IF(OR(AND(IF($D3="",INDEX(primary_jama_2019_14901_disposition,MATCH($A3,primary_jama_2019_14901_key,0)),$D3)&lt;&gt;"",IF($D3="",INDEX(primary_jama_2019_14901_disposition,MATCH($A3,primary_jama_2019_14901_key,0)),$D3)&lt;&gt;"retain"),NOT(OR(IF($E3="",INDEX(primary_jama_2019_14901_domain,MATCH($A3,primary_jama_2019_14901_key,0)),$E3)="protocol_report"))),"not_applicable","")</f>
        <v/>
      </c>
      <c r="M3" s="10" t="inlineStr"/>
      <c r="N3" s="10" t="inlineStr"/>
      <c r="O3" s="8" t="inlineStr"/>
      <c r="P3" s="11" t="inlineStr"/>
      <c r="Q3" s="8" t="inlineStr">
        <is>
          <t>pending</t>
        </is>
      </c>
      <c r="R3" s="11" t="inlineStr"/>
      <c r="S3" s="3" t="inlineStr">
        <is>
          <t>Disposition: exclude
Review domain: protocol_report
Notes (optional): SYNTHETIC TEST DATA ONLY. Exclude is a placeholder for testing the checker workflow, not a scientific assessment. Do not use this sample in research results.</t>
        </is>
      </c>
    </row>
    <row r="4" ht="76" customHeight="1">
      <c r="A4" s="2" t="inlineStr">
        <is>
          <t>2019::jama.2019.14901::C003</t>
        </is>
      </c>
      <c r="B4" s="2" t="inlineStr">
        <is>
          <t>Hypercapnic ineffective-cough percentages conflict with printed fractions</t>
        </is>
      </c>
      <c r="C4" s="2" t="inlineStr"/>
      <c r="D4" s="8" t="inlineStr"/>
      <c r="E4" s="8" t="inlineStr"/>
      <c r="F4" s="8" t="inlineStr">
        <is>
          <t>no</t>
        </is>
      </c>
      <c r="G4" s="2">
        <f>IF(OR(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K4&lt;&gt;"",K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CLEAR INACTIVE VALUES",IF(O4="","PENDING",IF(AND(O4&lt;&gt;"agree",LEN(TRIM(P4))=0),"COMMENT NEEDED",IF(F4="yes","CHECKED - see resolution","DRAFT"))))</f>
        <v/>
      </c>
      <c r="H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I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J4" s="9">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K4" s="8">
        <f>IF(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not_applicable","")</f>
        <v/>
      </c>
      <c r="L4" s="9">
        <f>IF(OR(AND(IF($D4="",INDEX(primary_jama_2019_14901_disposition,MATCH($A4,primary_jama_2019_14901_key,0)),$D4)&lt;&gt;"",IF($D4="",INDEX(primary_jama_2019_14901_disposition,MATCH($A4,primary_jama_2019_14901_key,0)),$D4)&lt;&gt;"retain"),NOT(OR(IF($E4="",INDEX(primary_jama_2019_14901_domain,MATCH($A4,primary_jama_2019_14901_key,0)),$E4)="protocol_report"))),"not_applicable","")</f>
        <v/>
      </c>
      <c r="M4" s="10" t="inlineStr"/>
      <c r="N4" s="10" t="inlineStr"/>
      <c r="O4" s="8" t="inlineStr"/>
      <c r="P4" s="11" t="inlineStr"/>
      <c r="Q4" s="8" t="inlineStr">
        <is>
          <t>pending</t>
        </is>
      </c>
      <c r="R4" s="11" t="inlineStr"/>
      <c r="S4" s="2" t="inlineStr">
        <is>
          <t>Disposition: exclude
Review domain: statistical_results
Notes (optional): SYNTHETIC TEST DATA ONLY. Exclude is a placeholder for testing the checker workflow, not a scientific assessment. Do not use this sample in research results.</t>
        </is>
      </c>
    </row>
    <row r="5" ht="76" customHeight="1">
      <c r="A5" s="3" t="inlineStr">
        <is>
          <t>2019::jama.2019.14901::C004</t>
        </is>
      </c>
      <c r="B5" s="3" t="inlineStr">
        <is>
          <t>Hypercapnic abundant-secretion percentages conflict with printed fractions</t>
        </is>
      </c>
      <c r="C5" s="3" t="inlineStr"/>
      <c r="D5" s="8" t="inlineStr"/>
      <c r="E5" s="8" t="inlineStr"/>
      <c r="F5" s="8" t="inlineStr">
        <is>
          <t>no</t>
        </is>
      </c>
      <c r="G5" s="3">
        <f>IF(OR(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K5&lt;&gt;"",K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CLEAR INACTIVE VALUES",IF(O5="","PENDING",IF(AND(O5&lt;&gt;"agree",LEN(TRIM(P5))=0),"COMMENT NEEDED",IF(F5="yes","CHECKED - see resolution","DRAFT"))))</f>
        <v/>
      </c>
      <c r="H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I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J5" s="9">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K5" s="8">
        <f>IF(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not_applicable","")</f>
        <v/>
      </c>
      <c r="L5" s="9">
        <f>IF(OR(AND(IF($D5="",INDEX(primary_jama_2019_14901_disposition,MATCH($A5,primary_jama_2019_14901_key,0)),$D5)&lt;&gt;"",IF($D5="",INDEX(primary_jama_2019_14901_disposition,MATCH($A5,primary_jama_2019_14901_key,0)),$D5)&lt;&gt;"retain"),NOT(OR(IF($E5="",INDEX(primary_jama_2019_14901_domain,MATCH($A5,primary_jama_2019_14901_key,0)),$E5)="protocol_report"))),"not_applicable","")</f>
        <v/>
      </c>
      <c r="M5" s="10" t="inlineStr"/>
      <c r="N5" s="10" t="inlineStr"/>
      <c r="O5" s="8" t="inlineStr"/>
      <c r="P5" s="11" t="inlineStr"/>
      <c r="Q5" s="8" t="inlineStr">
        <is>
          <t>pending</t>
        </is>
      </c>
      <c r="R5" s="11" t="inlineStr"/>
      <c r="S5" s="3" t="inlineStr">
        <is>
          <t>Disposition: exclude
Review domain: statistical_results
Notes (optional): SYNTHETIC TEST DATA ONLY. Exclude is a placeholder for testing the checker workflow, not a scientific assessment. Do not use this sample in research results.</t>
        </is>
      </c>
    </row>
    <row r="6" ht="76" customHeight="1">
      <c r="A6" s="2" t="inlineStr">
        <is>
          <t>2019::jama.2019.14901::C005</t>
        </is>
      </c>
      <c r="B6" s="2" t="inlineStr">
        <is>
          <t>Matched nonhypercapnic day-7 reintubation P values differ across article and supplement</t>
        </is>
      </c>
      <c r="C6" s="2" t="inlineStr"/>
      <c r="D6" s="8" t="inlineStr"/>
      <c r="E6" s="8" t="inlineStr"/>
      <c r="F6" s="8" t="inlineStr">
        <is>
          <t>no</t>
        </is>
      </c>
      <c r="G6" s="2">
        <f>IF(OR(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K6&lt;&gt;"",K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CLEAR INACTIVE VALUES",IF(O6="","PENDING",IF(AND(O6&lt;&gt;"agree",LEN(TRIM(P6))=0),"COMMENT NEEDED",IF(F6="yes","CHECKED - see resolution","DRAFT"))))</f>
        <v/>
      </c>
      <c r="H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I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J6" s="9">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K6" s="8">
        <f>IF(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not_applicable","")</f>
        <v/>
      </c>
      <c r="L6" s="9">
        <f>IF(OR(AND(IF($D6="",INDEX(primary_jama_2019_14901_disposition,MATCH($A6,primary_jama_2019_14901_key,0)),$D6)&lt;&gt;"",IF($D6="",INDEX(primary_jama_2019_14901_disposition,MATCH($A6,primary_jama_2019_14901_key,0)),$D6)&lt;&gt;"retain"),NOT(OR(IF($E6="",INDEX(primary_jama_2019_14901_domain,MATCH($A6,primary_jama_2019_14901_key,0)),$E6)="protocol_report"))),"not_applicable","")</f>
        <v/>
      </c>
      <c r="M6" s="10" t="inlineStr"/>
      <c r="N6" s="10" t="inlineStr"/>
      <c r="O6" s="8" t="inlineStr"/>
      <c r="P6" s="11" t="inlineStr"/>
      <c r="Q6" s="8" t="inlineStr">
        <is>
          <t>pending</t>
        </is>
      </c>
      <c r="R6" s="11" t="inlineStr"/>
      <c r="S6" s="2" t="inlineStr">
        <is>
          <t>Disposition: exclude
Review domain: internal_nonstatistical
Notes (optional): SYNTHETIC TEST DATA ONLY. Exclude is a placeholder for testing the checker workflow, not a scientific assessment. Do not use this sample in research results.</t>
        </is>
      </c>
    </row>
    <row r="7" ht="76" customHeight="1">
      <c r="A7" s="3" t="inlineStr">
        <is>
          <t>2019::jama.2019.14901::C006</t>
        </is>
      </c>
      <c r="B7" s="3" t="inlineStr">
        <is>
          <t>Protocol total-duration breakdown does not arithmetically reach the printed total</t>
        </is>
      </c>
      <c r="C7" s="3" t="inlineStr"/>
      <c r="D7" s="8" t="inlineStr"/>
      <c r="E7" s="8" t="inlineStr"/>
      <c r="F7" s="8" t="inlineStr">
        <is>
          <t>no</t>
        </is>
      </c>
      <c r="G7" s="3">
        <f>IF(OR(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K7&lt;&gt;"",K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CLEAR INACTIVE VALUES",IF(O7="","PENDING",IF(AND(O7&lt;&gt;"agree",LEN(TRIM(P7))=0),"COMMENT NEEDED",IF(F7="yes","CHECKED - see resolution","DRAFT"))))</f>
        <v/>
      </c>
      <c r="H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I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J7" s="9">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K7" s="8">
        <f>IF(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not_applicable","")</f>
        <v/>
      </c>
      <c r="L7" s="9">
        <f>IF(OR(AND(IF($D7="",INDEX(primary_jama_2019_14901_disposition,MATCH($A7,primary_jama_2019_14901_key,0)),$D7)&lt;&gt;"",IF($D7="",INDEX(primary_jama_2019_14901_disposition,MATCH($A7,primary_jama_2019_14901_key,0)),$D7)&lt;&gt;"retain"),NOT(OR(IF($E7="",INDEX(primary_jama_2019_14901_domain,MATCH($A7,primary_jama_2019_14901_key,0)),$E7)="protocol_report"))),"not_applicable","")</f>
        <v/>
      </c>
      <c r="M7" s="10" t="inlineStr"/>
      <c r="N7" s="10" t="inlineStr"/>
      <c r="O7" s="8" t="inlineStr"/>
      <c r="P7" s="11" t="inlineStr"/>
      <c r="Q7" s="8" t="inlineStr">
        <is>
          <t>pending</t>
        </is>
      </c>
      <c r="R7" s="11" t="inlineStr"/>
      <c r="S7" s="3"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
    <cfRule type="expression" priority="1"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formula>
    </cfRule>
    <cfRule type="expression" priority="2"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H3">
    <cfRule type="expression" priority="3"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formula>
    </cfRule>
    <cfRule type="expression" priority="4"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H4">
    <cfRule type="expression" priority="5"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formula>
    </cfRule>
    <cfRule type="expression" priority="6"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H5">
    <cfRule type="expression" priority="7"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formula>
    </cfRule>
    <cfRule type="expression" priority="8"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H6">
    <cfRule type="expression" priority="9"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formula>
    </cfRule>
    <cfRule type="expression" priority="10"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H7">
    <cfRule type="expression" priority="11"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formula>
    </cfRule>
    <cfRule type="expression" priority="12"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I2">
    <cfRule type="expression" priority="13"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formula>
    </cfRule>
    <cfRule type="expression" priority="14"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I3">
    <cfRule type="expression" priority="15"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formula>
    </cfRule>
    <cfRule type="expression" priority="16"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I4">
    <cfRule type="expression" priority="17"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formula>
    </cfRule>
    <cfRule type="expression" priority="18"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I5">
    <cfRule type="expression" priority="19"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formula>
    </cfRule>
    <cfRule type="expression" priority="20"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I6">
    <cfRule type="expression" priority="21"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formula>
    </cfRule>
    <cfRule type="expression" priority="22"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I7">
    <cfRule type="expression" priority="23"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formula>
    </cfRule>
    <cfRule type="expression" priority="24"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J2">
    <cfRule type="expression" priority="25"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formula>
    </cfRule>
    <cfRule type="expression" priority="26"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J3">
    <cfRule type="expression" priority="27"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formula>
    </cfRule>
    <cfRule type="expression" priority="28"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J4">
    <cfRule type="expression" priority="29"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formula>
    </cfRule>
    <cfRule type="expression" priority="30"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J5">
    <cfRule type="expression" priority="31"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formula>
    </cfRule>
    <cfRule type="expression" priority="32"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J6">
    <cfRule type="expression" priority="33"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formula>
    </cfRule>
    <cfRule type="expression" priority="34"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J7">
    <cfRule type="expression" priority="35"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formula>
    </cfRule>
    <cfRule type="expression" priority="36"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K2">
    <cfRule type="expression" priority="37"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K2&lt;&gt;"",K2&lt;&gt;"not_applicable")</formula>
    </cfRule>
    <cfRule type="expression" priority="38" dxfId="1">
      <formula>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formula>
    </cfRule>
  </conditionalFormatting>
  <conditionalFormatting sqref="K3">
    <cfRule type="expression" priority="39"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K3&lt;&gt;"",K3&lt;&gt;"not_applicable")</formula>
    </cfRule>
    <cfRule type="expression" priority="40" dxfId="1">
      <formula>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formula>
    </cfRule>
  </conditionalFormatting>
  <conditionalFormatting sqref="K4">
    <cfRule type="expression" priority="41"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K4&lt;&gt;"",K4&lt;&gt;"not_applicable")</formula>
    </cfRule>
    <cfRule type="expression" priority="42" dxfId="1">
      <formula>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formula>
    </cfRule>
  </conditionalFormatting>
  <conditionalFormatting sqref="K5">
    <cfRule type="expression" priority="43"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K5&lt;&gt;"",K5&lt;&gt;"not_applicable")</formula>
    </cfRule>
    <cfRule type="expression" priority="44" dxfId="1">
      <formula>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formula>
    </cfRule>
  </conditionalFormatting>
  <conditionalFormatting sqref="K6">
    <cfRule type="expression" priority="45"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K6&lt;&gt;"",K6&lt;&gt;"not_applicable")</formula>
    </cfRule>
    <cfRule type="expression" priority="46" dxfId="1">
      <formula>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formula>
    </cfRule>
  </conditionalFormatting>
  <conditionalFormatting sqref="K7">
    <cfRule type="expression" priority="47"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K7&lt;&gt;"",K7&lt;&gt;"not_applicable")</formula>
    </cfRule>
    <cfRule type="expression" priority="48" dxfId="1">
      <formula>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formula>
    </cfRule>
  </conditionalFormatting>
  <conditionalFormatting sqref="L2">
    <cfRule type="expression" priority="49"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formula>
    </cfRule>
    <cfRule type="expression" priority="50" dxfId="1">
      <formula>OR(AND(IF($D2="",INDEX(primary_jama_2019_14901_disposition,MATCH($A2,primary_jama_2019_14901_key,0)),$D2)&lt;&gt;"",IF($D2="",INDEX(primary_jama_2019_14901_disposition,MATCH($A2,primary_jama_2019_14901_key,0)),$D2)&lt;&gt;"retain"),NOT(OR(IF($E2="",INDEX(primary_jama_2019_14901_domain,MATCH($A2,primary_jama_2019_14901_key,0)),$E2)="protocol_report")))</formula>
    </cfRule>
  </conditionalFormatting>
  <conditionalFormatting sqref="L3">
    <cfRule type="expression" priority="51"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formula>
    </cfRule>
    <cfRule type="expression" priority="52" dxfId="1">
      <formula>OR(AND(IF($D3="",INDEX(primary_jama_2019_14901_disposition,MATCH($A3,primary_jama_2019_14901_key,0)),$D3)&lt;&gt;"",IF($D3="",INDEX(primary_jama_2019_14901_disposition,MATCH($A3,primary_jama_2019_14901_key,0)),$D3)&lt;&gt;"retain"),NOT(OR(IF($E3="",INDEX(primary_jama_2019_14901_domain,MATCH($A3,primary_jama_2019_14901_key,0)),$E3)="protocol_report")))</formula>
    </cfRule>
  </conditionalFormatting>
  <conditionalFormatting sqref="L4">
    <cfRule type="expression" priority="53"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formula>
    </cfRule>
    <cfRule type="expression" priority="54" dxfId="1">
      <formula>OR(AND(IF($D4="",INDEX(primary_jama_2019_14901_disposition,MATCH($A4,primary_jama_2019_14901_key,0)),$D4)&lt;&gt;"",IF($D4="",INDEX(primary_jama_2019_14901_disposition,MATCH($A4,primary_jama_2019_14901_key,0)),$D4)&lt;&gt;"retain"),NOT(OR(IF($E4="",INDEX(primary_jama_2019_14901_domain,MATCH($A4,primary_jama_2019_14901_key,0)),$E4)="protocol_report")))</formula>
    </cfRule>
  </conditionalFormatting>
  <conditionalFormatting sqref="L5">
    <cfRule type="expression" priority="55"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formula>
    </cfRule>
    <cfRule type="expression" priority="56" dxfId="1">
      <formula>OR(AND(IF($D5="",INDEX(primary_jama_2019_14901_disposition,MATCH($A5,primary_jama_2019_14901_key,0)),$D5)&lt;&gt;"",IF($D5="",INDEX(primary_jama_2019_14901_disposition,MATCH($A5,primary_jama_2019_14901_key,0)),$D5)&lt;&gt;"retain"),NOT(OR(IF($E5="",INDEX(primary_jama_2019_14901_domain,MATCH($A5,primary_jama_2019_14901_key,0)),$E5)="protocol_report")))</formula>
    </cfRule>
  </conditionalFormatting>
  <conditionalFormatting sqref="L6">
    <cfRule type="expression" priority="57"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formula>
    </cfRule>
    <cfRule type="expression" priority="58" dxfId="1">
      <formula>OR(AND(IF($D6="",INDEX(primary_jama_2019_14901_disposition,MATCH($A6,primary_jama_2019_14901_key,0)),$D6)&lt;&gt;"",IF($D6="",INDEX(primary_jama_2019_14901_disposition,MATCH($A6,primary_jama_2019_14901_key,0)),$D6)&lt;&gt;"retain"),NOT(OR(IF($E6="",INDEX(primary_jama_2019_14901_domain,MATCH($A6,primary_jama_2019_14901_key,0)),$E6)="protocol_report")))</formula>
    </cfRule>
  </conditionalFormatting>
  <conditionalFormatting sqref="L7">
    <cfRule type="expression" priority="59"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formula>
    </cfRule>
    <cfRule type="expression" priority="60" dxfId="1">
      <formula>OR(AND(IF($D7="",INDEX(primary_jama_2019_14901_disposition,MATCH($A7,primary_jama_2019_14901_key,0)),$D7)&lt;&gt;"",IF($D7="",INDEX(primary_jama_2019_14901_disposition,MATCH($A7,primary_jama_2019_14901_key,0)),$D7)&lt;&gt;"retain"),NOT(OR(IF($E7="",INDEX(primary_jama_2019_14901_domain,MATCH($A7,primary_jama_2019_14901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7" showDropDown="0" showInputMessage="1" showErrorMessage="1" allowBlank="1" errorTitle="Invalid option" error="Choose a listed value." promptTitle="Checker result" prompt="See Codebook for meanings." type="list" errorStyle="stop">
      <formula1>opt_checkStatus</formula1>
    </dataValidation>
    <dataValidation sqref="Q2:Q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c r="F2" s="8" t="inlineStr">
        <is>
          <t>no</t>
        </is>
      </c>
      <c r="G2" s="2">
        <f>IF(OR(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K2&lt;&gt;"",K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CLEAR INACTIVE VALUES",IF(O2="","PENDING",IF(AND(O2&lt;&gt;"agree",LEN(TRIM(P2))=0),"COMMENT NEEDED",IF(F2="yes","CHECKED - see resolution","DRAFT"))))</f>
        <v/>
      </c>
      <c r="H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I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J2" s="9">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K2" s="8">
        <f>IF(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not_applicable","")</f>
        <v/>
      </c>
      <c r="L2" s="9">
        <f>IF(OR(AND(IF($D2="",INDEX(primary_jama_2019_17380_disposition,MATCH($A2,primary_jama_2019_17380_key,0)),$D2)&lt;&gt;"",IF($D2="",INDEX(primary_jama_2019_17380_disposition,MATCH($A2,primary_jama_2019_17380_key,0)),$D2)&lt;&gt;"retain"),NOT(OR(IF($E2="",INDEX(primary_jama_2019_17380_domain,MATCH($A2,primary_jama_2019_17380_key,0)),$E2)="protocol_report"))),"not_applicable","")</f>
        <v/>
      </c>
      <c r="M2" s="10" t="inlineStr"/>
      <c r="N2" s="10" t="inlineStr"/>
      <c r="O2" s="8" t="inlineStr"/>
      <c r="P2" s="11" t="inlineStr"/>
      <c r="Q2" s="8" t="inlineStr">
        <is>
          <t>pending</t>
        </is>
      </c>
      <c r="R2" s="11" t="inlineStr"/>
      <c r="S2" s="2" t="inlineStr">
        <is>
          <t>Disposition: exclude
Review domain: internal_nonstatistical
Notes (optional): SYNTHETIC TEST DATA ONLY. Exclude is a placeholder for testing the checker workflow, not a scientific assessment. Do not use this sample in research results.</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c r="F3" s="8" t="inlineStr">
        <is>
          <t>no</t>
        </is>
      </c>
      <c r="G3" s="3">
        <f>IF(OR(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K3&lt;&gt;"",K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CLEAR INACTIVE VALUES",IF(O3="","PENDING",IF(AND(O3&lt;&gt;"agree",LEN(TRIM(P3))=0),"COMMENT NEEDED",IF(F3="yes","CHECKED - see resolution","DRAFT"))))</f>
        <v/>
      </c>
      <c r="H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I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J3" s="9">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K3" s="8">
        <f>IF(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not_applicable","")</f>
        <v/>
      </c>
      <c r="L3" s="9">
        <f>IF(OR(AND(IF($D3="",INDEX(primary_jama_2019_17380_disposition,MATCH($A3,primary_jama_2019_17380_key,0)),$D3)&lt;&gt;"",IF($D3="",INDEX(primary_jama_2019_17380_disposition,MATCH($A3,primary_jama_2019_17380_key,0)),$D3)&lt;&gt;"retain"),NOT(OR(IF($E3="",INDEX(primary_jama_2019_17380_domain,MATCH($A3,primary_jama_2019_17380_key,0)),$E3)="protocol_report"))),"not_applicable","")</f>
        <v/>
      </c>
      <c r="M3" s="10" t="inlineStr"/>
      <c r="N3" s="10" t="inlineStr"/>
      <c r="O3" s="8" t="inlineStr"/>
      <c r="P3" s="11" t="inlineStr"/>
      <c r="Q3" s="8" t="inlineStr">
        <is>
          <t>pending</t>
        </is>
      </c>
      <c r="R3" s="11" t="inlineStr"/>
      <c r="S3" s="3" t="inlineStr">
        <is>
          <t>Disposition: exclude
Review domain: internal_nonstatistical
Notes (optional): SYNTHETIC TEST DATA ONLY. Exclude is a placeholder for testing the checker workflow, not a scientific assessment. Do not use this sample in research results.</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c r="F4" s="8" t="inlineStr">
        <is>
          <t>no</t>
        </is>
      </c>
      <c r="G4" s="2">
        <f>IF(OR(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K4&lt;&gt;"",K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CLEAR INACTIVE VALUES",IF(O4="","PENDING",IF(AND(O4&lt;&gt;"agree",LEN(TRIM(P4))=0),"COMMENT NEEDED",IF(F4="yes","CHECKED - see resolution","DRAFT"))))</f>
        <v/>
      </c>
      <c r="H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I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J4" s="9">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K4" s="8">
        <f>IF(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not_applicable","")</f>
        <v/>
      </c>
      <c r="L4" s="9">
        <f>IF(OR(AND(IF($D4="",INDEX(primary_jama_2019_17380_disposition,MATCH($A4,primary_jama_2019_17380_key,0)),$D4)&lt;&gt;"",IF($D4="",INDEX(primary_jama_2019_17380_disposition,MATCH($A4,primary_jama_2019_17380_key,0)),$D4)&lt;&gt;"retain"),NOT(OR(IF($E4="",INDEX(primary_jama_2019_17380_domain,MATCH($A4,primary_jama_2019_17380_key,0)),$E4)="protocol_report"))),"not_applicable","")</f>
        <v/>
      </c>
      <c r="M4" s="10" t="inlineStr"/>
      <c r="N4" s="10" t="inlineStr"/>
      <c r="O4" s="8" t="inlineStr"/>
      <c r="P4" s="11" t="inlineStr"/>
      <c r="Q4" s="8" t="inlineStr">
        <is>
          <t>pending</t>
        </is>
      </c>
      <c r="R4" s="11" t="inlineStr"/>
      <c r="S4" s="2" t="inlineStr">
        <is>
          <t>Disposition: exclude
Review domain: internal_nonstatistical
Notes (optional): SYNTHETIC TEST DATA ONLY. Exclude is a placeholder for testing the checker workflow, not a scientific assessment. Do not use this sample in research results.</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c r="F5" s="8" t="inlineStr">
        <is>
          <t>no</t>
        </is>
      </c>
      <c r="G5" s="3">
        <f>IF(OR(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K5&lt;&gt;"",K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CLEAR INACTIVE VALUES",IF(O5="","PENDING",IF(AND(O5&lt;&gt;"agree",LEN(TRIM(P5))=0),"COMMENT NEEDED",IF(F5="yes","CHECKED - see resolution","DRAFT"))))</f>
        <v/>
      </c>
      <c r="H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I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J5" s="9">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K5" s="8">
        <f>IF(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not_applicable","")</f>
        <v/>
      </c>
      <c r="L5" s="9">
        <f>IF(OR(AND(IF($D5="",INDEX(primary_jama_2019_17380_disposition,MATCH($A5,primary_jama_2019_17380_key,0)),$D5)&lt;&gt;"",IF($D5="",INDEX(primary_jama_2019_17380_disposition,MATCH($A5,primary_jama_2019_17380_key,0)),$D5)&lt;&gt;"retain"),NOT(OR(IF($E5="",INDEX(primary_jama_2019_17380_domain,MATCH($A5,primary_jama_2019_17380_key,0)),$E5)="protocol_report"))),"not_applicable","")</f>
        <v/>
      </c>
      <c r="M5" s="10" t="inlineStr"/>
      <c r="N5" s="10" t="inlineStr"/>
      <c r="O5" s="8" t="inlineStr"/>
      <c r="P5" s="11" t="inlineStr"/>
      <c r="Q5" s="8" t="inlineStr">
        <is>
          <t>pending</t>
        </is>
      </c>
      <c r="R5" s="11" t="inlineStr"/>
      <c r="S5" s="3" t="inlineStr">
        <is>
          <t>Disposition: exclude
Review domain: internal_nonstatistical
Notes (optional): SYNTHETIC TEST DATA ONLY. Exclude is a placeholder for testing the checker workflow, not a scientific assessment. Do not use this sample in research results.</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c r="F6" s="8" t="inlineStr">
        <is>
          <t>no</t>
        </is>
      </c>
      <c r="G6" s="2">
        <f>IF(OR(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K6&lt;&gt;"",K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CLEAR INACTIVE VALUES",IF(O6="","PENDING",IF(AND(O6&lt;&gt;"agree",LEN(TRIM(P6))=0),"COMMENT NEEDED",IF(F6="yes","CHECKED - see resolution","DRAFT"))))</f>
        <v/>
      </c>
      <c r="H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I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J6" s="9">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K6" s="8">
        <f>IF(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not_applicable","")</f>
        <v/>
      </c>
      <c r="L6" s="9">
        <f>IF(OR(AND(IF($D6="",INDEX(primary_jama_2019_17380_disposition,MATCH($A6,primary_jama_2019_17380_key,0)),$D6)&lt;&gt;"",IF($D6="",INDEX(primary_jama_2019_17380_disposition,MATCH($A6,primary_jama_2019_17380_key,0)),$D6)&lt;&gt;"retain"),NOT(OR(IF($E6="",INDEX(primary_jama_2019_17380_domain,MATCH($A6,primary_jama_2019_17380_key,0)),$E6)="protocol_report"))),"not_applicable","")</f>
        <v/>
      </c>
      <c r="M6" s="10" t="inlineStr"/>
      <c r="N6" s="10" t="inlineStr"/>
      <c r="O6" s="8" t="inlineStr"/>
      <c r="P6" s="11" t="inlineStr"/>
      <c r="Q6" s="8" t="inlineStr">
        <is>
          <t>pending</t>
        </is>
      </c>
      <c r="R6" s="11" t="inlineStr"/>
      <c r="S6" s="2" t="inlineStr">
        <is>
          <t>Disposition: exclude
Review domain: internal_nonstatistical
Notes (optional): SYNTHETIC TEST DATA ONLY. Exclude is a placeholder for testing the checker workflow, not a scientific assessment. Do not use this sample in research results.</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c r="F7" s="8" t="inlineStr">
        <is>
          <t>no</t>
        </is>
      </c>
      <c r="G7" s="3">
        <f>IF(OR(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K7&lt;&gt;"",K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CLEAR INACTIVE VALUES",IF(O7="","PENDING",IF(AND(O7&lt;&gt;"agree",LEN(TRIM(P7))=0),"COMMENT NEEDED",IF(F7="yes","CHECKED - see resolution","DRAFT"))))</f>
        <v/>
      </c>
      <c r="H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I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J7" s="9">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K7" s="8">
        <f>IF(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not_applicable","")</f>
        <v/>
      </c>
      <c r="L7" s="9">
        <f>IF(OR(AND(IF($D7="",INDEX(primary_jama_2019_17380_disposition,MATCH($A7,primary_jama_2019_17380_key,0)),$D7)&lt;&gt;"",IF($D7="",INDEX(primary_jama_2019_17380_disposition,MATCH($A7,primary_jama_2019_17380_key,0)),$D7)&lt;&gt;"retain"),NOT(OR(IF($E7="",INDEX(primary_jama_2019_17380_domain,MATCH($A7,primary_jama_2019_17380_key,0)),$E7)="protocol_report"))),"not_applicable","")</f>
        <v/>
      </c>
      <c r="M7" s="10" t="inlineStr"/>
      <c r="N7" s="10" t="inlineStr"/>
      <c r="O7" s="8" t="inlineStr"/>
      <c r="P7" s="11" t="inlineStr"/>
      <c r="Q7" s="8" t="inlineStr">
        <is>
          <t>pending</t>
        </is>
      </c>
      <c r="R7" s="11" t="inlineStr"/>
      <c r="S7" s="3" t="inlineStr">
        <is>
          <t>Disposition: exclude
Review domain: internal_nonstatistical
Notes (optional): SYNTHETIC TEST DATA ONLY. Exclude is a placeholder for testing the checker workflow, not a scientific assessment. Do not use this sample in research results.</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c r="F8" s="8" t="inlineStr">
        <is>
          <t>no</t>
        </is>
      </c>
      <c r="G8" s="2">
        <f>IF(OR(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K8&lt;&gt;"",K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CLEAR INACTIVE VALUES",IF(O8="","PENDING",IF(AND(O8&lt;&gt;"agree",LEN(TRIM(P8))=0),"COMMENT NEEDED",IF(F8="yes","CHECKED - see resolution","DRAFT"))))</f>
        <v/>
      </c>
      <c r="H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I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J8" s="9">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K8" s="8">
        <f>IF(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not_applicable","")</f>
        <v/>
      </c>
      <c r="L8" s="9">
        <f>IF(OR(AND(IF($D8="",INDEX(primary_jama_2019_17380_disposition,MATCH($A8,primary_jama_2019_17380_key,0)),$D8)&lt;&gt;"",IF($D8="",INDEX(primary_jama_2019_17380_disposition,MATCH($A8,primary_jama_2019_17380_key,0)),$D8)&lt;&gt;"retain"),NOT(OR(IF($E8="",INDEX(primary_jama_2019_17380_domain,MATCH($A8,primary_jama_2019_17380_key,0)),$E8)="protocol_report"))),"not_applicable","")</f>
        <v/>
      </c>
      <c r="M8" s="10" t="inlineStr"/>
      <c r="N8" s="10" t="inlineStr"/>
      <c r="O8" s="8" t="inlineStr"/>
      <c r="P8" s="11" t="inlineStr"/>
      <c r="Q8" s="8" t="inlineStr">
        <is>
          <t>pending</t>
        </is>
      </c>
      <c r="R8" s="11" t="inlineStr"/>
      <c r="S8" s="2" t="inlineStr">
        <is>
          <t>Disposition: exclude
Review domain: protocol_report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
    <cfRule type="expression" priority="1"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formula>
    </cfRule>
    <cfRule type="expression" priority="2"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H3">
    <cfRule type="expression" priority="3"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formula>
    </cfRule>
    <cfRule type="expression" priority="4"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H4">
    <cfRule type="expression" priority="5"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formula>
    </cfRule>
    <cfRule type="expression" priority="6"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H5">
    <cfRule type="expression" priority="7"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formula>
    </cfRule>
    <cfRule type="expression" priority="8"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H6">
    <cfRule type="expression" priority="9"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formula>
    </cfRule>
    <cfRule type="expression" priority="10"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H7">
    <cfRule type="expression" priority="11"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formula>
    </cfRule>
    <cfRule type="expression" priority="12"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H8">
    <cfRule type="expression" priority="13"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formula>
    </cfRule>
    <cfRule type="expression" priority="14"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I2">
    <cfRule type="expression" priority="15"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formula>
    </cfRule>
    <cfRule type="expression" priority="16"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I3">
    <cfRule type="expression" priority="17"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formula>
    </cfRule>
    <cfRule type="expression" priority="18"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I4">
    <cfRule type="expression" priority="19"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formula>
    </cfRule>
    <cfRule type="expression" priority="20"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I5">
    <cfRule type="expression" priority="21"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formula>
    </cfRule>
    <cfRule type="expression" priority="22"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I6">
    <cfRule type="expression" priority="23"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formula>
    </cfRule>
    <cfRule type="expression" priority="24"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I7">
    <cfRule type="expression" priority="25"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formula>
    </cfRule>
    <cfRule type="expression" priority="26"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I8">
    <cfRule type="expression" priority="27"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formula>
    </cfRule>
    <cfRule type="expression" priority="28"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J2">
    <cfRule type="expression" priority="29"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formula>
    </cfRule>
    <cfRule type="expression" priority="30"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J3">
    <cfRule type="expression" priority="31"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formula>
    </cfRule>
    <cfRule type="expression" priority="32"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J4">
    <cfRule type="expression" priority="33"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formula>
    </cfRule>
    <cfRule type="expression" priority="34"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J5">
    <cfRule type="expression" priority="35"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formula>
    </cfRule>
    <cfRule type="expression" priority="36"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J6">
    <cfRule type="expression" priority="37"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formula>
    </cfRule>
    <cfRule type="expression" priority="38"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J7">
    <cfRule type="expression" priority="39"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formula>
    </cfRule>
    <cfRule type="expression" priority="40"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J8">
    <cfRule type="expression" priority="41"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formula>
    </cfRule>
    <cfRule type="expression" priority="42"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K2">
    <cfRule type="expression" priority="43"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K2&lt;&gt;"",K2&lt;&gt;"not_applicable")</formula>
    </cfRule>
    <cfRule type="expression" priority="44" dxfId="1">
      <formula>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formula>
    </cfRule>
  </conditionalFormatting>
  <conditionalFormatting sqref="K3">
    <cfRule type="expression" priority="45"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K3&lt;&gt;"",K3&lt;&gt;"not_applicable")</formula>
    </cfRule>
    <cfRule type="expression" priority="46" dxfId="1">
      <formula>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formula>
    </cfRule>
  </conditionalFormatting>
  <conditionalFormatting sqref="K4">
    <cfRule type="expression" priority="47"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K4&lt;&gt;"",K4&lt;&gt;"not_applicable")</formula>
    </cfRule>
    <cfRule type="expression" priority="48" dxfId="1">
      <formula>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formula>
    </cfRule>
  </conditionalFormatting>
  <conditionalFormatting sqref="K5">
    <cfRule type="expression" priority="49"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K5&lt;&gt;"",K5&lt;&gt;"not_applicable")</formula>
    </cfRule>
    <cfRule type="expression" priority="50" dxfId="1">
      <formula>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formula>
    </cfRule>
  </conditionalFormatting>
  <conditionalFormatting sqref="K6">
    <cfRule type="expression" priority="51"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K6&lt;&gt;"",K6&lt;&gt;"not_applicable")</formula>
    </cfRule>
    <cfRule type="expression" priority="52" dxfId="1">
      <formula>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formula>
    </cfRule>
  </conditionalFormatting>
  <conditionalFormatting sqref="K7">
    <cfRule type="expression" priority="53"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K7&lt;&gt;"",K7&lt;&gt;"not_applicable")</formula>
    </cfRule>
    <cfRule type="expression" priority="54" dxfId="1">
      <formula>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formula>
    </cfRule>
  </conditionalFormatting>
  <conditionalFormatting sqref="K8">
    <cfRule type="expression" priority="55"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K8&lt;&gt;"",K8&lt;&gt;"not_applicable")</formula>
    </cfRule>
    <cfRule type="expression" priority="56" dxfId="1">
      <formula>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formula>
    </cfRule>
  </conditionalFormatting>
  <conditionalFormatting sqref="L2">
    <cfRule type="expression" priority="57"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formula>
    </cfRule>
    <cfRule type="expression" priority="58" dxfId="1">
      <formula>OR(AND(IF($D2="",INDEX(primary_jama_2019_17380_disposition,MATCH($A2,primary_jama_2019_17380_key,0)),$D2)&lt;&gt;"",IF($D2="",INDEX(primary_jama_2019_17380_disposition,MATCH($A2,primary_jama_2019_17380_key,0)),$D2)&lt;&gt;"retain"),NOT(OR(IF($E2="",INDEX(primary_jama_2019_17380_domain,MATCH($A2,primary_jama_2019_17380_key,0)),$E2)="protocol_report")))</formula>
    </cfRule>
  </conditionalFormatting>
  <conditionalFormatting sqref="L3">
    <cfRule type="expression" priority="59"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formula>
    </cfRule>
    <cfRule type="expression" priority="60" dxfId="1">
      <formula>OR(AND(IF($D3="",INDEX(primary_jama_2019_17380_disposition,MATCH($A3,primary_jama_2019_17380_key,0)),$D3)&lt;&gt;"",IF($D3="",INDEX(primary_jama_2019_17380_disposition,MATCH($A3,primary_jama_2019_17380_key,0)),$D3)&lt;&gt;"retain"),NOT(OR(IF($E3="",INDEX(primary_jama_2019_17380_domain,MATCH($A3,primary_jama_2019_17380_key,0)),$E3)="protocol_report")))</formula>
    </cfRule>
  </conditionalFormatting>
  <conditionalFormatting sqref="L4">
    <cfRule type="expression" priority="61"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formula>
    </cfRule>
    <cfRule type="expression" priority="62" dxfId="1">
      <formula>OR(AND(IF($D4="",INDEX(primary_jama_2019_17380_disposition,MATCH($A4,primary_jama_2019_17380_key,0)),$D4)&lt;&gt;"",IF($D4="",INDEX(primary_jama_2019_17380_disposition,MATCH($A4,primary_jama_2019_17380_key,0)),$D4)&lt;&gt;"retain"),NOT(OR(IF($E4="",INDEX(primary_jama_2019_17380_domain,MATCH($A4,primary_jama_2019_17380_key,0)),$E4)="protocol_report")))</formula>
    </cfRule>
  </conditionalFormatting>
  <conditionalFormatting sqref="L5">
    <cfRule type="expression" priority="63"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formula>
    </cfRule>
    <cfRule type="expression" priority="64" dxfId="1">
      <formula>OR(AND(IF($D5="",INDEX(primary_jama_2019_17380_disposition,MATCH($A5,primary_jama_2019_17380_key,0)),$D5)&lt;&gt;"",IF($D5="",INDEX(primary_jama_2019_17380_disposition,MATCH($A5,primary_jama_2019_17380_key,0)),$D5)&lt;&gt;"retain"),NOT(OR(IF($E5="",INDEX(primary_jama_2019_17380_domain,MATCH($A5,primary_jama_2019_17380_key,0)),$E5)="protocol_report")))</formula>
    </cfRule>
  </conditionalFormatting>
  <conditionalFormatting sqref="L6">
    <cfRule type="expression" priority="65"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formula>
    </cfRule>
    <cfRule type="expression" priority="66" dxfId="1">
      <formula>OR(AND(IF($D6="",INDEX(primary_jama_2019_17380_disposition,MATCH($A6,primary_jama_2019_17380_key,0)),$D6)&lt;&gt;"",IF($D6="",INDEX(primary_jama_2019_17380_disposition,MATCH($A6,primary_jama_2019_17380_key,0)),$D6)&lt;&gt;"retain"),NOT(OR(IF($E6="",INDEX(primary_jama_2019_17380_domain,MATCH($A6,primary_jama_2019_17380_key,0)),$E6)="protocol_report")))</formula>
    </cfRule>
  </conditionalFormatting>
  <conditionalFormatting sqref="L7">
    <cfRule type="expression" priority="67"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formula>
    </cfRule>
    <cfRule type="expression" priority="68" dxfId="1">
      <formula>OR(AND(IF($D7="",INDEX(primary_jama_2019_17380_disposition,MATCH($A7,primary_jama_2019_17380_key,0)),$D7)&lt;&gt;"",IF($D7="",INDEX(primary_jama_2019_17380_disposition,MATCH($A7,primary_jama_2019_17380_key,0)),$D7)&lt;&gt;"retain"),NOT(OR(IF($E7="",INDEX(primary_jama_2019_17380_domain,MATCH($A7,primary_jama_2019_17380_key,0)),$E7)="protocol_report")))</formula>
    </cfRule>
  </conditionalFormatting>
  <conditionalFormatting sqref="L8">
    <cfRule type="expression" priority="69"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formula>
    </cfRule>
    <cfRule type="expression" priority="70" dxfId="1">
      <formula>OR(AND(IF($D8="",INDEX(primary_jama_2019_17380_disposition,MATCH($A8,primary_jama_2019_17380_key,0)),$D8)&lt;&gt;"",IF($D8="",INDEX(primary_jama_2019_17380_disposition,MATCH($A8,primary_jama_2019_17380_key,0)),$D8)&lt;&gt;"retain"),NOT(OR(IF($E8="",INDEX(primary_jama_2019_17380_domain,MATCH($A8,primary_jama_2019_17380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8" showDropDown="0" showInputMessage="1" showErrorMessage="1" allowBlank="1" errorTitle="Invalid option" error="Choose a listed value." promptTitle="Checker result" prompt="See Codebook for meanings." type="list" errorStyle="stop">
      <formula1>opt_checkStatus</formula1>
    </dataValidation>
    <dataValidation sqref="Q2:Q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c r="F2" s="8" t="inlineStr">
        <is>
          <t>no</t>
        </is>
      </c>
      <c r="G2" s="2">
        <f>IF(OR(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AND(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K2&lt;&gt;"",K2&lt;&gt;"not_applicable"),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CLEAR INACTIVE VALUES",IF(O2="","PENDING",IF(AND(O2&lt;&gt;"agree",LEN(TRIM(P2))=0),"COMMENT NEEDED",IF(F2="yes","CHECKED - see resolution","DRAFT"))))</f>
        <v/>
      </c>
      <c r="H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I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J2" s="9">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K2" s="8">
        <f>IF(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not_applicable","")</f>
        <v/>
      </c>
      <c r="L2" s="9">
        <f>IF(OR(AND(IF($D2="",INDEX(primary_jama_2019_2210_disposition,MATCH($A2,primary_jama_2019_2210_key,0)),$D2)&lt;&gt;"",IF($D2="",INDEX(primary_jama_2019_2210_disposition,MATCH($A2,primary_jama_2019_2210_key,0)),$D2)&lt;&gt;"retain"),NOT(OR(IF($E2="",INDEX(primary_jama_2019_2210_domain,MATCH($A2,primary_jama_2019_2210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c r="F3" s="8" t="inlineStr">
        <is>
          <t>no</t>
        </is>
      </c>
      <c r="G3" s="3">
        <f>IF(OR(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AND(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K3&lt;&gt;"",K3&lt;&gt;"not_applicable"),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CLEAR INACTIVE VALUES",IF(O3="","PENDING",IF(AND(O3&lt;&gt;"agree",LEN(TRIM(P3))=0),"COMMENT NEEDED",IF(F3="yes","CHECKED - see resolution","DRAFT"))))</f>
        <v/>
      </c>
      <c r="H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I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J3" s="9">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K3" s="8">
        <f>IF(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not_applicable","")</f>
        <v/>
      </c>
      <c r="L3" s="9">
        <f>IF(OR(AND(IF($D3="",INDEX(primary_jama_2019_2210_disposition,MATCH($A3,primary_jama_2019_2210_key,0)),$D3)&lt;&gt;"",IF($D3="",INDEX(primary_jama_2019_2210_disposition,MATCH($A3,primary_jama_2019_2210_key,0)),$D3)&lt;&gt;"retain"),NOT(OR(IF($E3="",INDEX(primary_jama_2019_2210_domain,MATCH($A3,primary_jama_2019_2210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c r="F4" s="8" t="inlineStr">
        <is>
          <t>no</t>
        </is>
      </c>
      <c r="G4" s="2">
        <f>IF(OR(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AND(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K4&lt;&gt;"",K4&lt;&gt;"not_applicable"),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CLEAR INACTIVE VALUES",IF(O4="","PENDING",IF(AND(O4&lt;&gt;"agree",LEN(TRIM(P4))=0),"COMMENT NEEDED",IF(F4="yes","CHECKED - see resolution","DRAFT"))))</f>
        <v/>
      </c>
      <c r="H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I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J4" s="9">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K4" s="8">
        <f>IF(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not_applicable","")</f>
        <v/>
      </c>
      <c r="L4" s="9">
        <f>IF(OR(AND(IF($D4="",INDEX(primary_jama_2019_2210_disposition,MATCH($A4,primary_jama_2019_2210_key,0)),$D4)&lt;&gt;"",IF($D4="",INDEX(primary_jama_2019_2210_disposition,MATCH($A4,primary_jama_2019_2210_key,0)),$D4)&lt;&gt;"retain"),NOT(OR(IF($E4="",INDEX(primary_jama_2019_2210_domain,MATCH($A4,primary_jama_2019_2210_key,0)),$E4)="protocol_report"))),"not_applicable","")</f>
        <v/>
      </c>
      <c r="M4" s="10" t="inlineStr"/>
      <c r="N4" s="10" t="inlineStr"/>
      <c r="O4" s="8" t="inlineStr"/>
      <c r="P4" s="11" t="inlineStr"/>
      <c r="Q4" s="8" t="inlineStr">
        <is>
          <t>pending</t>
        </is>
      </c>
      <c r="R4" s="11" t="inlineStr"/>
      <c r="S4" s="2" t="inlineStr">
        <is>
          <t>Disposition: exclude
Review domain: plan_material
Notes (optional): SYNTHETIC TEST DATA ONLY. Exclude is a placeholder for testing the checker workflow, not a scientific assessment. Do not use this sample in research results.</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c r="F5" s="8" t="inlineStr">
        <is>
          <t>no</t>
        </is>
      </c>
      <c r="G5" s="3">
        <f>IF(OR(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AND(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K5&lt;&gt;"",K5&lt;&gt;"not_applicable"),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CLEAR INACTIVE VALUES",IF(O5="","PENDING",IF(AND(O5&lt;&gt;"agree",LEN(TRIM(P5))=0),"COMMENT NEEDED",IF(F5="yes","CHECKED - see resolution","DRAFT"))))</f>
        <v/>
      </c>
      <c r="H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I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J5" s="9">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K5" s="8">
        <f>IF(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not_applicable","")</f>
        <v/>
      </c>
      <c r="L5" s="9">
        <f>IF(OR(AND(IF($D5="",INDEX(primary_jama_2019_2210_disposition,MATCH($A5,primary_jama_2019_2210_key,0)),$D5)&lt;&gt;"",IF($D5="",INDEX(primary_jama_2019_2210_disposition,MATCH($A5,primary_jama_2019_2210_key,0)),$D5)&lt;&gt;"retain"),NOT(OR(IF($E5="",INDEX(primary_jama_2019_2210_domain,MATCH($A5,primary_jama_2019_2210_key,0)),$E5)="protocol_report"))),"not_applicable","")</f>
        <v/>
      </c>
      <c r="M5" s="10" t="inlineStr"/>
      <c r="N5" s="10" t="inlineStr"/>
      <c r="O5" s="8" t="inlineStr"/>
      <c r="P5" s="11" t="inlineStr"/>
      <c r="Q5" s="8" t="inlineStr">
        <is>
          <t>pending</t>
        </is>
      </c>
      <c r="R5" s="11" t="inlineStr"/>
      <c r="S5" s="3" t="inlineStr">
        <is>
          <t>Disposition: exclude
Review domain: protocol_report
Notes (optional): SYNTHETIC TEST DATA ONLY. Exclude is a placeholder for testing the checker workflow, not a scientific assessment. Do not use this sample in research results.</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c r="F6" s="8" t="inlineStr">
        <is>
          <t>no</t>
        </is>
      </c>
      <c r="G6" s="2">
        <f>IF(OR(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AND(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K6&lt;&gt;"",K6&lt;&gt;"not_applicable"),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CLEAR INACTIVE VALUES",IF(O6="","PENDING",IF(AND(O6&lt;&gt;"agree",LEN(TRIM(P6))=0),"COMMENT NEEDED",IF(F6="yes","CHECKED - see resolution","DRAFT"))))</f>
        <v/>
      </c>
      <c r="H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I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J6" s="9">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K6" s="8">
        <f>IF(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not_applicable","")</f>
        <v/>
      </c>
      <c r="L6" s="9">
        <f>IF(OR(AND(IF($D6="",INDEX(primary_jama_2019_2210_disposition,MATCH($A6,primary_jama_2019_2210_key,0)),$D6)&lt;&gt;"",IF($D6="",INDEX(primary_jama_2019_2210_disposition,MATCH($A6,primary_jama_2019_2210_key,0)),$D6)&lt;&gt;"retain"),NOT(OR(IF($E6="",INDEX(primary_jama_2019_2210_domain,MATCH($A6,primary_jama_2019_2210_key,0)),$E6)="protocol_report"))),"not_applicable","")</f>
        <v/>
      </c>
      <c r="M6" s="10" t="inlineStr"/>
      <c r="N6" s="10" t="inlineStr"/>
      <c r="O6" s="8" t="inlineStr"/>
      <c r="P6" s="11" t="inlineStr"/>
      <c r="Q6" s="8" t="inlineStr">
        <is>
          <t>pending</t>
        </is>
      </c>
      <c r="R6" s="11" t="inlineStr"/>
      <c r="S6" s="2" t="inlineStr">
        <is>
          <t>Disposition: exclude
Review domain: plan_material
Notes (optional): SYNTHETIC TEST DATA ONLY. Exclude is a placeholder for testing the checker workflow, not a scientific assessment. Do not use this sample in research results.</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c r="F7" s="8" t="inlineStr">
        <is>
          <t>no</t>
        </is>
      </c>
      <c r="G7" s="3">
        <f>IF(OR(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AND(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K7&lt;&gt;"",K7&lt;&gt;"not_applicable"),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CLEAR INACTIVE VALUES",IF(O7="","PENDING",IF(AND(O7&lt;&gt;"agree",LEN(TRIM(P7))=0),"COMMENT NEEDED",IF(F7="yes","CHECKED - see resolution","DRAFT"))))</f>
        <v/>
      </c>
      <c r="H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I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J7" s="9">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K7" s="8">
        <f>IF(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not_applicable","")</f>
        <v/>
      </c>
      <c r="L7" s="9">
        <f>IF(OR(AND(IF($D7="",INDEX(primary_jama_2019_2210_disposition,MATCH($A7,primary_jama_2019_2210_key,0)),$D7)&lt;&gt;"",IF($D7="",INDEX(primary_jama_2019_2210_disposition,MATCH($A7,primary_jama_2019_2210_key,0)),$D7)&lt;&gt;"retain"),NOT(OR(IF($E7="",INDEX(primary_jama_2019_2210_domain,MATCH($A7,primary_jama_2019_2210_key,0)),$E7)="protocol_report"))),"not_applicable","")</f>
        <v/>
      </c>
      <c r="M7" s="10" t="inlineStr"/>
      <c r="N7" s="10" t="inlineStr"/>
      <c r="O7" s="8" t="inlineStr"/>
      <c r="P7" s="11" t="inlineStr"/>
      <c r="Q7" s="8" t="inlineStr">
        <is>
          <t>pending</t>
        </is>
      </c>
      <c r="R7" s="11" t="inlineStr"/>
      <c r="S7" s="3" t="inlineStr">
        <is>
          <t>Disposition: exclude
Review domain: internal_nonstatistical
Notes (optional): SYNTHETIC TEST DATA ONLY. Exclude is a placeholder for testing the checker workflow, not a scientific assessment. Do not use this sample in research results.</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c r="F8" s="8" t="inlineStr">
        <is>
          <t>no</t>
        </is>
      </c>
      <c r="G8" s="2">
        <f>IF(OR(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AND(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K8&lt;&gt;"",K8&lt;&gt;"not_applicable"),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CLEAR INACTIVE VALUES",IF(O8="","PENDING",IF(AND(O8&lt;&gt;"agree",LEN(TRIM(P8))=0),"COMMENT NEEDED",IF(F8="yes","CHECKED - see resolution","DRAFT"))))</f>
        <v/>
      </c>
      <c r="H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I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J8" s="9">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K8" s="8">
        <f>IF(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not_applicable","")</f>
        <v/>
      </c>
      <c r="L8" s="9">
        <f>IF(OR(AND(IF($D8="",INDEX(primary_jama_2019_2210_disposition,MATCH($A8,primary_jama_2019_2210_key,0)),$D8)&lt;&gt;"",IF($D8="",INDEX(primary_jama_2019_2210_disposition,MATCH($A8,primary_jama_2019_2210_key,0)),$D8)&lt;&gt;"retain"),NOT(OR(IF($E8="",INDEX(primary_jama_2019_2210_domain,MATCH($A8,primary_jama_2019_2210_key,0)),$E8)="protocol_report"))),"not_applicable","")</f>
        <v/>
      </c>
      <c r="M8" s="10" t="inlineStr"/>
      <c r="N8" s="10" t="inlineStr"/>
      <c r="O8" s="8" t="inlineStr"/>
      <c r="P8" s="11" t="inlineStr"/>
      <c r="Q8" s="8" t="inlineStr">
        <is>
          <t>pending</t>
        </is>
      </c>
      <c r="R8" s="11" t="inlineStr"/>
      <c r="S8" s="2" t="inlineStr">
        <is>
          <t>Disposition: exclude
Review domain: statistical_results
Notes (optional): SYNTHETIC TEST DATA ONLY. Exclude is a placeholder for testing the checker workflow, not a scientific assessment. Do not use this sample in research results.</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c r="F9" s="8" t="inlineStr">
        <is>
          <t>no</t>
        </is>
      </c>
      <c r="G9" s="3">
        <f>IF(OR(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AND(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K9&lt;&gt;"",K9&lt;&gt;"not_applicable"),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CLEAR INACTIVE VALUES",IF(O9="","PENDING",IF(AND(O9&lt;&gt;"agree",LEN(TRIM(P9))=0),"COMMENT NEEDED",IF(F9="yes","CHECKED - see resolution","DRAFT"))))</f>
        <v/>
      </c>
      <c r="H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I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J9" s="9">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K9" s="8">
        <f>IF(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not_applicable","")</f>
        <v/>
      </c>
      <c r="L9" s="9">
        <f>IF(OR(AND(IF($D9="",INDEX(primary_jama_2019_2210_disposition,MATCH($A9,primary_jama_2019_2210_key,0)),$D9)&lt;&gt;"",IF($D9="",INDEX(primary_jama_2019_2210_disposition,MATCH($A9,primary_jama_2019_2210_key,0)),$D9)&lt;&gt;"retain"),NOT(OR(IF($E9="",INDEX(primary_jama_2019_2210_domain,MATCH($A9,primary_jama_2019_2210_key,0)),$E9)="protocol_report"))),"not_applicable","")</f>
        <v/>
      </c>
      <c r="M9" s="10" t="inlineStr"/>
      <c r="N9" s="10" t="inlineStr"/>
      <c r="O9" s="8" t="inlineStr"/>
      <c r="P9" s="11" t="inlineStr"/>
      <c r="Q9" s="8" t="inlineStr">
        <is>
          <t>pending</t>
        </is>
      </c>
      <c r="R9" s="11" t="inlineStr"/>
      <c r="S9" s="3" t="inlineStr">
        <is>
          <t>Disposition: exclude
Review domain: protocol_report
Notes (optional): SYNTHETIC TEST DATA ONLY. Exclude is a placeholder for testing the checker workflow, not a scientific assessment. Do not use this sample in research results.</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c r="F10" s="8" t="inlineStr">
        <is>
          <t>no</t>
        </is>
      </c>
      <c r="G10" s="2">
        <f>IF(OR(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K10&lt;&gt;"",K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CLEAR INACTIVE VALUES",IF(O10="","PENDING",IF(AND(O10&lt;&gt;"agree",LEN(TRIM(P10))=0),"COMMENT NEEDED",IF(F10="yes","CHECKED - see resolution","DRAFT"))))</f>
        <v/>
      </c>
      <c r="H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I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J10" s="9">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K10" s="8">
        <f>IF(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not_applicable","")</f>
        <v/>
      </c>
      <c r="L10" s="9">
        <f>IF(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not_applicable","")</f>
        <v/>
      </c>
      <c r="M10" s="10" t="inlineStr"/>
      <c r="N10" s="10" t="inlineStr"/>
      <c r="O10" s="8" t="inlineStr"/>
      <c r="P10" s="11" t="inlineStr"/>
      <c r="Q10" s="8" t="inlineStr">
        <is>
          <t>pending</t>
        </is>
      </c>
      <c r="R10" s="11" t="inlineStr"/>
      <c r="S10" s="2" t="inlineStr">
        <is>
          <t>Disposition: exclude
Review domain: internal_nonstatistical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formula>
    </cfRule>
    <cfRule type="expression" priority="2"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H3">
    <cfRule type="expression" priority="3"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formula>
    </cfRule>
    <cfRule type="expression" priority="4"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H4">
    <cfRule type="expression" priority="5"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formula>
    </cfRule>
    <cfRule type="expression" priority="6"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H5">
    <cfRule type="expression" priority="7"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formula>
    </cfRule>
    <cfRule type="expression" priority="8"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H6">
    <cfRule type="expression" priority="9"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formula>
    </cfRule>
    <cfRule type="expression" priority="10"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H7">
    <cfRule type="expression" priority="11"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formula>
    </cfRule>
    <cfRule type="expression" priority="12"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H8">
    <cfRule type="expression" priority="13"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formula>
    </cfRule>
    <cfRule type="expression" priority="14"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H9">
    <cfRule type="expression" priority="15"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formula>
    </cfRule>
    <cfRule type="expression" priority="16"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H10">
    <cfRule type="expression" priority="17"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formula>
    </cfRule>
    <cfRule type="expression" priority="18"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I2">
    <cfRule type="expression" priority="19"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formula>
    </cfRule>
    <cfRule type="expression" priority="20"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I3">
    <cfRule type="expression" priority="21"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formula>
    </cfRule>
    <cfRule type="expression" priority="22"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I4">
    <cfRule type="expression" priority="23"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formula>
    </cfRule>
    <cfRule type="expression" priority="24"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I5">
    <cfRule type="expression" priority="25"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formula>
    </cfRule>
    <cfRule type="expression" priority="26"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I6">
    <cfRule type="expression" priority="27"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formula>
    </cfRule>
    <cfRule type="expression" priority="28"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I7">
    <cfRule type="expression" priority="29"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formula>
    </cfRule>
    <cfRule type="expression" priority="30"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I8">
    <cfRule type="expression" priority="31"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formula>
    </cfRule>
    <cfRule type="expression" priority="32"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I9">
    <cfRule type="expression" priority="33"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formula>
    </cfRule>
    <cfRule type="expression" priority="34"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I10">
    <cfRule type="expression" priority="35"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formula>
    </cfRule>
    <cfRule type="expression" priority="36"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J2">
    <cfRule type="expression" priority="37"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formula>
    </cfRule>
    <cfRule type="expression" priority="38"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J3">
    <cfRule type="expression" priority="39"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formula>
    </cfRule>
    <cfRule type="expression" priority="40"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J4">
    <cfRule type="expression" priority="41"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formula>
    </cfRule>
    <cfRule type="expression" priority="42"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J5">
    <cfRule type="expression" priority="43"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formula>
    </cfRule>
    <cfRule type="expression" priority="44"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J6">
    <cfRule type="expression" priority="45"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formula>
    </cfRule>
    <cfRule type="expression" priority="46"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J7">
    <cfRule type="expression" priority="47"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formula>
    </cfRule>
    <cfRule type="expression" priority="48"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J8">
    <cfRule type="expression" priority="49"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formula>
    </cfRule>
    <cfRule type="expression" priority="50"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J9">
    <cfRule type="expression" priority="51"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formula>
    </cfRule>
    <cfRule type="expression" priority="52"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J10">
    <cfRule type="expression" priority="53"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formula>
    </cfRule>
    <cfRule type="expression" priority="54"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K2">
    <cfRule type="expression" priority="55"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K2&lt;&gt;"",K2&lt;&gt;"not_applicable")</formula>
    </cfRule>
    <cfRule type="expression" priority="56" dxfId="1">
      <formula>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formula>
    </cfRule>
  </conditionalFormatting>
  <conditionalFormatting sqref="K3">
    <cfRule type="expression" priority="57"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K3&lt;&gt;"",K3&lt;&gt;"not_applicable")</formula>
    </cfRule>
    <cfRule type="expression" priority="58" dxfId="1">
      <formula>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formula>
    </cfRule>
  </conditionalFormatting>
  <conditionalFormatting sqref="K4">
    <cfRule type="expression" priority="59"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K4&lt;&gt;"",K4&lt;&gt;"not_applicable")</formula>
    </cfRule>
    <cfRule type="expression" priority="60" dxfId="1">
      <formula>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formula>
    </cfRule>
  </conditionalFormatting>
  <conditionalFormatting sqref="K5">
    <cfRule type="expression" priority="61"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K5&lt;&gt;"",K5&lt;&gt;"not_applicable")</formula>
    </cfRule>
    <cfRule type="expression" priority="62" dxfId="1">
      <formula>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formula>
    </cfRule>
  </conditionalFormatting>
  <conditionalFormatting sqref="K6">
    <cfRule type="expression" priority="63"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K6&lt;&gt;"",K6&lt;&gt;"not_applicable")</formula>
    </cfRule>
    <cfRule type="expression" priority="64" dxfId="1">
      <formula>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formula>
    </cfRule>
  </conditionalFormatting>
  <conditionalFormatting sqref="K7">
    <cfRule type="expression" priority="65"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K7&lt;&gt;"",K7&lt;&gt;"not_applicable")</formula>
    </cfRule>
    <cfRule type="expression" priority="66" dxfId="1">
      <formula>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formula>
    </cfRule>
  </conditionalFormatting>
  <conditionalFormatting sqref="K8">
    <cfRule type="expression" priority="67"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K8&lt;&gt;"",K8&lt;&gt;"not_applicable")</formula>
    </cfRule>
    <cfRule type="expression" priority="68" dxfId="1">
      <formula>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formula>
    </cfRule>
  </conditionalFormatting>
  <conditionalFormatting sqref="K9">
    <cfRule type="expression" priority="69"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K9&lt;&gt;"",K9&lt;&gt;"not_applicable")</formula>
    </cfRule>
    <cfRule type="expression" priority="70" dxfId="1">
      <formula>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formula>
    </cfRule>
  </conditionalFormatting>
  <conditionalFormatting sqref="K10">
    <cfRule type="expression" priority="71"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K10&lt;&gt;"",K10&lt;&gt;"not_applicable")</formula>
    </cfRule>
    <cfRule type="expression" priority="72"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formula>
    </cfRule>
  </conditionalFormatting>
  <conditionalFormatting sqref="L2">
    <cfRule type="expression" priority="73"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formula>
    </cfRule>
    <cfRule type="expression" priority="74" dxfId="1">
      <formula>OR(AND(IF($D2="",INDEX(primary_jama_2019_2210_disposition,MATCH($A2,primary_jama_2019_2210_key,0)),$D2)&lt;&gt;"",IF($D2="",INDEX(primary_jama_2019_2210_disposition,MATCH($A2,primary_jama_2019_2210_key,0)),$D2)&lt;&gt;"retain"),NOT(OR(IF($E2="",INDEX(primary_jama_2019_2210_domain,MATCH($A2,primary_jama_2019_2210_key,0)),$E2)="protocol_report")))</formula>
    </cfRule>
  </conditionalFormatting>
  <conditionalFormatting sqref="L3">
    <cfRule type="expression" priority="75"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formula>
    </cfRule>
    <cfRule type="expression" priority="76" dxfId="1">
      <formula>OR(AND(IF($D3="",INDEX(primary_jama_2019_2210_disposition,MATCH($A3,primary_jama_2019_2210_key,0)),$D3)&lt;&gt;"",IF($D3="",INDEX(primary_jama_2019_2210_disposition,MATCH($A3,primary_jama_2019_2210_key,0)),$D3)&lt;&gt;"retain"),NOT(OR(IF($E3="",INDEX(primary_jama_2019_2210_domain,MATCH($A3,primary_jama_2019_2210_key,0)),$E3)="protocol_report")))</formula>
    </cfRule>
  </conditionalFormatting>
  <conditionalFormatting sqref="L4">
    <cfRule type="expression" priority="77"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formula>
    </cfRule>
    <cfRule type="expression" priority="78" dxfId="1">
      <formula>OR(AND(IF($D4="",INDEX(primary_jama_2019_2210_disposition,MATCH($A4,primary_jama_2019_2210_key,0)),$D4)&lt;&gt;"",IF($D4="",INDEX(primary_jama_2019_2210_disposition,MATCH($A4,primary_jama_2019_2210_key,0)),$D4)&lt;&gt;"retain"),NOT(OR(IF($E4="",INDEX(primary_jama_2019_2210_domain,MATCH($A4,primary_jama_2019_2210_key,0)),$E4)="protocol_report")))</formula>
    </cfRule>
  </conditionalFormatting>
  <conditionalFormatting sqref="L5">
    <cfRule type="expression" priority="79"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formula>
    </cfRule>
    <cfRule type="expression" priority="80" dxfId="1">
      <formula>OR(AND(IF($D5="",INDEX(primary_jama_2019_2210_disposition,MATCH($A5,primary_jama_2019_2210_key,0)),$D5)&lt;&gt;"",IF($D5="",INDEX(primary_jama_2019_2210_disposition,MATCH($A5,primary_jama_2019_2210_key,0)),$D5)&lt;&gt;"retain"),NOT(OR(IF($E5="",INDEX(primary_jama_2019_2210_domain,MATCH($A5,primary_jama_2019_2210_key,0)),$E5)="protocol_report")))</formula>
    </cfRule>
  </conditionalFormatting>
  <conditionalFormatting sqref="L6">
    <cfRule type="expression" priority="81"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formula>
    </cfRule>
    <cfRule type="expression" priority="82" dxfId="1">
      <formula>OR(AND(IF($D6="",INDEX(primary_jama_2019_2210_disposition,MATCH($A6,primary_jama_2019_2210_key,0)),$D6)&lt;&gt;"",IF($D6="",INDEX(primary_jama_2019_2210_disposition,MATCH($A6,primary_jama_2019_2210_key,0)),$D6)&lt;&gt;"retain"),NOT(OR(IF($E6="",INDEX(primary_jama_2019_2210_domain,MATCH($A6,primary_jama_2019_2210_key,0)),$E6)="protocol_report")))</formula>
    </cfRule>
  </conditionalFormatting>
  <conditionalFormatting sqref="L7">
    <cfRule type="expression" priority="83"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formula>
    </cfRule>
    <cfRule type="expression" priority="84" dxfId="1">
      <formula>OR(AND(IF($D7="",INDEX(primary_jama_2019_2210_disposition,MATCH($A7,primary_jama_2019_2210_key,0)),$D7)&lt;&gt;"",IF($D7="",INDEX(primary_jama_2019_2210_disposition,MATCH($A7,primary_jama_2019_2210_key,0)),$D7)&lt;&gt;"retain"),NOT(OR(IF($E7="",INDEX(primary_jama_2019_2210_domain,MATCH($A7,primary_jama_2019_2210_key,0)),$E7)="protocol_report")))</formula>
    </cfRule>
  </conditionalFormatting>
  <conditionalFormatting sqref="L8">
    <cfRule type="expression" priority="85"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formula>
    </cfRule>
    <cfRule type="expression" priority="86" dxfId="1">
      <formula>OR(AND(IF($D8="",INDEX(primary_jama_2019_2210_disposition,MATCH($A8,primary_jama_2019_2210_key,0)),$D8)&lt;&gt;"",IF($D8="",INDEX(primary_jama_2019_2210_disposition,MATCH($A8,primary_jama_2019_2210_key,0)),$D8)&lt;&gt;"retain"),NOT(OR(IF($E8="",INDEX(primary_jama_2019_2210_domain,MATCH($A8,primary_jama_2019_2210_key,0)),$E8)="protocol_report")))</formula>
    </cfRule>
  </conditionalFormatting>
  <conditionalFormatting sqref="L9">
    <cfRule type="expression" priority="87"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formula>
    </cfRule>
    <cfRule type="expression" priority="88" dxfId="1">
      <formula>OR(AND(IF($D9="",INDEX(primary_jama_2019_2210_disposition,MATCH($A9,primary_jama_2019_2210_key,0)),$D9)&lt;&gt;"",IF($D9="",INDEX(primary_jama_2019_2210_disposition,MATCH($A9,primary_jama_2019_2210_key,0)),$D9)&lt;&gt;"retain"),NOT(OR(IF($E9="",INDEX(primary_jama_2019_2210_domain,MATCH($A9,primary_jama_2019_2210_key,0)),$E9)="protocol_report")))</formula>
    </cfRule>
  </conditionalFormatting>
  <conditionalFormatting sqref="L10">
    <cfRule type="expression" priority="89"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formula>
    </cfRule>
    <cfRule type="expression" priority="90"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c r="F2" s="8" t="inlineStr">
        <is>
          <t>no</t>
        </is>
      </c>
      <c r="G2" s="2">
        <f>IF(OR(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AND(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K2&lt;&gt;"",K2&lt;&gt;"not_applicable"),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CLEAR INACTIVE VALUES",IF(O2="","PENDING",IF(AND(O2&lt;&gt;"agree",LEN(TRIM(P2))=0),"COMMENT NEEDED",IF(F2="yes","CHECKED - see resolution","DRAFT"))))</f>
        <v/>
      </c>
      <c r="H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I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J2" s="9">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K2" s="8">
        <f>IF(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not_applicable","")</f>
        <v/>
      </c>
      <c r="L2" s="9">
        <f>IF(OR(AND(IF($D2="",INDEX(primary_jama_2019_4755_disposition,MATCH($A2,primary_jama_2019_4755_key,0)),$D2)&lt;&gt;"",IF($D2="",INDEX(primary_jama_2019_4755_disposition,MATCH($A2,primary_jama_2019_4755_key,0)),$D2)&lt;&gt;"retain"),NOT(OR(IF($E2="",INDEX(primary_jama_2019_4755_domain,MATCH($A2,primary_jama_2019_4755_key,0)),$E2)="protocol_report"))),"not_applicable","")</f>
        <v/>
      </c>
      <c r="M2" s="10" t="inlineStr"/>
      <c r="N2" s="10" t="inlineStr"/>
      <c r="O2" s="8" t="inlineStr"/>
      <c r="P2" s="11" t="inlineStr"/>
      <c r="Q2" s="8" t="inlineStr">
        <is>
          <t>pending</t>
        </is>
      </c>
      <c r="R2" s="11" t="inlineStr"/>
      <c r="S2" s="2" t="inlineStr">
        <is>
          <t>Disposition: exclude
Review domain: statistical_results
Notes (optional): SYNTHETIC TEST DATA ONLY. Exclude is a placeholder for testing the checker workflow, not a scientific assessment. Do not use this sample in research results.</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c r="F3" s="8" t="inlineStr">
        <is>
          <t>no</t>
        </is>
      </c>
      <c r="G3" s="3">
        <f>IF(OR(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AND(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K3&lt;&gt;"",K3&lt;&gt;"not_applicable"),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CLEAR INACTIVE VALUES",IF(O3="","PENDING",IF(AND(O3&lt;&gt;"agree",LEN(TRIM(P3))=0),"COMMENT NEEDED",IF(F3="yes","CHECKED - see resolution","DRAFT"))))</f>
        <v/>
      </c>
      <c r="H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I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J3" s="9">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K3" s="8">
        <f>IF(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not_applicable","")</f>
        <v/>
      </c>
      <c r="L3" s="9">
        <f>IF(OR(AND(IF($D3="",INDEX(primary_jama_2019_4755_disposition,MATCH($A3,primary_jama_2019_4755_key,0)),$D3)&lt;&gt;"",IF($D3="",INDEX(primary_jama_2019_4755_disposition,MATCH($A3,primary_jama_2019_4755_key,0)),$D3)&lt;&gt;"retain"),NOT(OR(IF($E3="",INDEX(primary_jama_2019_4755_domain,MATCH($A3,primary_jama_2019_4755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c r="F4" s="8" t="inlineStr">
        <is>
          <t>no</t>
        </is>
      </c>
      <c r="G4" s="2">
        <f>IF(OR(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AND(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K4&lt;&gt;"",K4&lt;&gt;"not_applicable"),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CLEAR INACTIVE VALUES",IF(O4="","PENDING",IF(AND(O4&lt;&gt;"agree",LEN(TRIM(P4))=0),"COMMENT NEEDED",IF(F4="yes","CHECKED - see resolution","DRAFT"))))</f>
        <v/>
      </c>
      <c r="H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I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J4" s="9">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K4" s="8">
        <f>IF(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not_applicable","")</f>
        <v/>
      </c>
      <c r="L4" s="9">
        <f>IF(OR(AND(IF($D4="",INDEX(primary_jama_2019_4755_disposition,MATCH($A4,primary_jama_2019_4755_key,0)),$D4)&lt;&gt;"",IF($D4="",INDEX(primary_jama_2019_4755_disposition,MATCH($A4,primary_jama_2019_4755_key,0)),$D4)&lt;&gt;"retain"),NOT(OR(IF($E4="",INDEX(primary_jama_2019_4755_domain,MATCH($A4,primary_jama_2019_4755_key,0)),$E4)="protocol_report"))),"not_applicable","")</f>
        <v/>
      </c>
      <c r="M4" s="10" t="inlineStr"/>
      <c r="N4" s="10" t="inlineStr"/>
      <c r="O4" s="8" t="inlineStr"/>
      <c r="P4" s="11" t="inlineStr"/>
      <c r="Q4" s="8" t="inlineStr">
        <is>
          <t>pending</t>
        </is>
      </c>
      <c r="R4" s="11" t="inlineStr"/>
      <c r="S4" s="2" t="inlineStr">
        <is>
          <t>Disposition: exclude
Review domain: statistical_results
Notes (optional): SYNTHETIC TEST DATA ONLY. Exclude is a placeholder for testing the checker workflow, not a scientific assessment. Do not use this sample in research results.</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c r="F5" s="8" t="inlineStr">
        <is>
          <t>no</t>
        </is>
      </c>
      <c r="G5" s="3">
        <f>IF(OR(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AND(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K5&lt;&gt;"",K5&lt;&gt;"not_applicable"),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CLEAR INACTIVE VALUES",IF(O5="","PENDING",IF(AND(O5&lt;&gt;"agree",LEN(TRIM(P5))=0),"COMMENT NEEDED",IF(F5="yes","CHECKED - see resolution","DRAFT"))))</f>
        <v/>
      </c>
      <c r="H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I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J5" s="9">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K5" s="8">
        <f>IF(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not_applicable","")</f>
        <v/>
      </c>
      <c r="L5" s="9">
        <f>IF(OR(AND(IF($D5="",INDEX(primary_jama_2019_4755_disposition,MATCH($A5,primary_jama_2019_4755_key,0)),$D5)&lt;&gt;"",IF($D5="",INDEX(primary_jama_2019_4755_disposition,MATCH($A5,primary_jama_2019_4755_key,0)),$D5)&lt;&gt;"retain"),NOT(OR(IF($E5="",INDEX(primary_jama_2019_4755_domain,MATCH($A5,primary_jama_2019_4755_key,0)),$E5)="protocol_report"))),"not_applicable","")</f>
        <v/>
      </c>
      <c r="M5" s="10" t="inlineStr"/>
      <c r="N5" s="10" t="inlineStr"/>
      <c r="O5" s="8" t="inlineStr"/>
      <c r="P5" s="11" t="inlineStr"/>
      <c r="Q5" s="8" t="inlineStr">
        <is>
          <t>pending</t>
        </is>
      </c>
      <c r="R5" s="11" t="inlineStr"/>
      <c r="S5" s="3" t="inlineStr">
        <is>
          <t>Disposition: exclude
Review domain: internal_nonstatistical
Notes (optional): SYNTHETIC TEST DATA ONLY. Exclude is a placeholder for testing the checker workflow, not a scientific assessment. Do not use this sample in research results.</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c r="F6" s="8" t="inlineStr">
        <is>
          <t>no</t>
        </is>
      </c>
      <c r="G6" s="2">
        <f>IF(OR(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AND(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K6&lt;&gt;"",K6&lt;&gt;"not_applicable"),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CLEAR INACTIVE VALUES",IF(O6="","PENDING",IF(AND(O6&lt;&gt;"agree",LEN(TRIM(P6))=0),"COMMENT NEEDED",IF(F6="yes","CHECKED - see resolution","DRAFT"))))</f>
        <v/>
      </c>
      <c r="H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I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J6" s="9">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K6" s="8">
        <f>IF(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not_applicable","")</f>
        <v/>
      </c>
      <c r="L6" s="9">
        <f>IF(OR(AND(IF($D6="",INDEX(primary_jama_2019_4755_disposition,MATCH($A6,primary_jama_2019_4755_key,0)),$D6)&lt;&gt;"",IF($D6="",INDEX(primary_jama_2019_4755_disposition,MATCH($A6,primary_jama_2019_4755_key,0)),$D6)&lt;&gt;"retain"),NOT(OR(IF($E6="",INDEX(primary_jama_2019_4755_domain,MATCH($A6,primary_jama_2019_4755_key,0)),$E6)="protocol_report"))),"not_applicable","")</f>
        <v/>
      </c>
      <c r="M6" s="10" t="inlineStr"/>
      <c r="N6" s="10" t="inlineStr"/>
      <c r="O6" s="8" t="inlineStr"/>
      <c r="P6" s="11" t="inlineStr"/>
      <c r="Q6" s="8" t="inlineStr">
        <is>
          <t>pending</t>
        </is>
      </c>
      <c r="R6" s="11" t="inlineStr"/>
      <c r="S6" s="2" t="inlineStr">
        <is>
          <t>Disposition: exclude
Review domain: plan_material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
    <cfRule type="expression" priority="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formula>
    </cfRule>
    <cfRule type="expression" priority="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H3">
    <cfRule type="expression" priority="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formula>
    </cfRule>
    <cfRule type="expression" priority="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H4">
    <cfRule type="expression" priority="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formula>
    </cfRule>
    <cfRule type="expression" priority="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H5">
    <cfRule type="expression" priority="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formula>
    </cfRule>
    <cfRule type="expression" priority="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H6">
    <cfRule type="expression" priority="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formula>
    </cfRule>
    <cfRule type="expression" priority="1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I2">
    <cfRule type="expression" priority="1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formula>
    </cfRule>
    <cfRule type="expression" priority="1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I3">
    <cfRule type="expression" priority="1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formula>
    </cfRule>
    <cfRule type="expression" priority="1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I4">
    <cfRule type="expression" priority="1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formula>
    </cfRule>
    <cfRule type="expression" priority="1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I5">
    <cfRule type="expression" priority="1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formula>
    </cfRule>
    <cfRule type="expression" priority="1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I6">
    <cfRule type="expression" priority="1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formula>
    </cfRule>
    <cfRule type="expression" priority="2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J2">
    <cfRule type="expression" priority="2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formula>
    </cfRule>
    <cfRule type="expression" priority="2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J3">
    <cfRule type="expression" priority="2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formula>
    </cfRule>
    <cfRule type="expression" priority="2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J4">
    <cfRule type="expression" priority="2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formula>
    </cfRule>
    <cfRule type="expression" priority="2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J5">
    <cfRule type="expression" priority="2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formula>
    </cfRule>
    <cfRule type="expression" priority="2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J6">
    <cfRule type="expression" priority="2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formula>
    </cfRule>
    <cfRule type="expression" priority="3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K2">
    <cfRule type="expression" priority="3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K2&lt;&gt;"",K2&lt;&gt;"not_applicable")</formula>
    </cfRule>
    <cfRule type="expression" priority="32" dxfId="1">
      <formula>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formula>
    </cfRule>
  </conditionalFormatting>
  <conditionalFormatting sqref="K3">
    <cfRule type="expression" priority="3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K3&lt;&gt;"",K3&lt;&gt;"not_applicable")</formula>
    </cfRule>
    <cfRule type="expression" priority="34" dxfId="1">
      <formula>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formula>
    </cfRule>
  </conditionalFormatting>
  <conditionalFormatting sqref="K4">
    <cfRule type="expression" priority="3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K4&lt;&gt;"",K4&lt;&gt;"not_applicable")</formula>
    </cfRule>
    <cfRule type="expression" priority="36" dxfId="1">
      <formula>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formula>
    </cfRule>
  </conditionalFormatting>
  <conditionalFormatting sqref="K5">
    <cfRule type="expression" priority="3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K5&lt;&gt;"",K5&lt;&gt;"not_applicable")</formula>
    </cfRule>
    <cfRule type="expression" priority="38" dxfId="1">
      <formula>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formula>
    </cfRule>
  </conditionalFormatting>
  <conditionalFormatting sqref="K6">
    <cfRule type="expression" priority="3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K6&lt;&gt;"",K6&lt;&gt;"not_applicable")</formula>
    </cfRule>
    <cfRule type="expression" priority="40" dxfId="1">
      <formula>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formula>
    </cfRule>
  </conditionalFormatting>
  <conditionalFormatting sqref="L2">
    <cfRule type="expression" priority="4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formula>
    </cfRule>
    <cfRule type="expression" priority="42" dxfId="1">
      <formula>OR(AND(IF($D2="",INDEX(primary_jama_2019_4755_disposition,MATCH($A2,primary_jama_2019_4755_key,0)),$D2)&lt;&gt;"",IF($D2="",INDEX(primary_jama_2019_4755_disposition,MATCH($A2,primary_jama_2019_4755_key,0)),$D2)&lt;&gt;"retain"),NOT(OR(IF($E2="",INDEX(primary_jama_2019_4755_domain,MATCH($A2,primary_jama_2019_4755_key,0)),$E2)="protocol_report")))</formula>
    </cfRule>
  </conditionalFormatting>
  <conditionalFormatting sqref="L3">
    <cfRule type="expression" priority="4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formula>
    </cfRule>
    <cfRule type="expression" priority="44" dxfId="1">
      <formula>OR(AND(IF($D3="",INDEX(primary_jama_2019_4755_disposition,MATCH($A3,primary_jama_2019_4755_key,0)),$D3)&lt;&gt;"",IF($D3="",INDEX(primary_jama_2019_4755_disposition,MATCH($A3,primary_jama_2019_4755_key,0)),$D3)&lt;&gt;"retain"),NOT(OR(IF($E3="",INDEX(primary_jama_2019_4755_domain,MATCH($A3,primary_jama_2019_4755_key,0)),$E3)="protocol_report")))</formula>
    </cfRule>
  </conditionalFormatting>
  <conditionalFormatting sqref="L4">
    <cfRule type="expression" priority="4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formula>
    </cfRule>
    <cfRule type="expression" priority="46" dxfId="1">
      <formula>OR(AND(IF($D4="",INDEX(primary_jama_2019_4755_disposition,MATCH($A4,primary_jama_2019_4755_key,0)),$D4)&lt;&gt;"",IF($D4="",INDEX(primary_jama_2019_4755_disposition,MATCH($A4,primary_jama_2019_4755_key,0)),$D4)&lt;&gt;"retain"),NOT(OR(IF($E4="",INDEX(primary_jama_2019_4755_domain,MATCH($A4,primary_jama_2019_4755_key,0)),$E4)="protocol_report")))</formula>
    </cfRule>
  </conditionalFormatting>
  <conditionalFormatting sqref="L5">
    <cfRule type="expression" priority="4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formula>
    </cfRule>
    <cfRule type="expression" priority="48" dxfId="1">
      <formula>OR(AND(IF($D5="",INDEX(primary_jama_2019_4755_disposition,MATCH($A5,primary_jama_2019_4755_key,0)),$D5)&lt;&gt;"",IF($D5="",INDEX(primary_jama_2019_4755_disposition,MATCH($A5,primary_jama_2019_4755_key,0)),$D5)&lt;&gt;"retain"),NOT(OR(IF($E5="",INDEX(primary_jama_2019_4755_domain,MATCH($A5,primary_jama_2019_4755_key,0)),$E5)="protocol_report")))</formula>
    </cfRule>
  </conditionalFormatting>
  <conditionalFormatting sqref="L6">
    <cfRule type="expression" priority="4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formula>
    </cfRule>
    <cfRule type="expression" priority="50" dxfId="1">
      <formula>OR(AND(IF($D6="",INDEX(primary_jama_2019_4755_disposition,MATCH($A6,primary_jama_2019_4755_key,0)),$D6)&lt;&gt;"",IF($D6="",INDEX(primary_jama_2019_4755_disposition,MATCH($A6,primary_jama_2019_4755_key,0)),$D6)&lt;&gt;"retain"),NOT(OR(IF($E6="",INDEX(primary_jama_2019_4755_domain,MATCH($A6,primary_jama_2019_4755_key,0)),$E6)="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6" showDropDown="0" showInputMessage="1" showErrorMessage="1" allowBlank="1" errorTitle="Invalid option" error="Choose a listed value." promptTitle="Checker result" prompt="See Codebook for meanings." type="list" errorStyle="stop">
      <formula1>opt_checkStatus</formula1>
    </dataValidation>
    <dataValidation sqref="Q2:Q6"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c r="F2" s="8" t="inlineStr">
        <is>
          <t>no</t>
        </is>
      </c>
      <c r="G2" s="2">
        <f>IF(OR(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AND(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K2&lt;&gt;"",K2&lt;&gt;"not_applicable"),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CLEAR INACTIVE VALUES",IF(O2="","PENDING",IF(AND(O2&lt;&gt;"agree",LEN(TRIM(P2))=0),"COMMENT NEEDED",IF(F2="yes","CHECKED - see resolution","DRAFT"))))</f>
        <v/>
      </c>
      <c r="H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I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J2" s="9">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K2" s="8">
        <f>IF(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not_applicable","")</f>
        <v/>
      </c>
      <c r="L2" s="9">
        <f>IF(OR(AND(IF($D2="",INDEX(primary_jama_2019_7505_disposition,MATCH($A2,primary_jama_2019_7505_key,0)),$D2)&lt;&gt;"",IF($D2="",INDEX(primary_jama_2019_7505_disposition,MATCH($A2,primary_jama_2019_7505_key,0)),$D2)&lt;&gt;"retain"),NOT(OR(IF($E2="",INDEX(primary_jama_2019_7505_domain,MATCH($A2,primary_jama_2019_7505_key,0)),$E2)="protocol_report"))),"not_applicable","")</f>
        <v/>
      </c>
      <c r="M2" s="10" t="inlineStr"/>
      <c r="N2" s="10" t="inlineStr"/>
      <c r="O2" s="8" t="inlineStr"/>
      <c r="P2" s="11" t="inlineStr"/>
      <c r="Q2" s="8" t="inlineStr">
        <is>
          <t>pending</t>
        </is>
      </c>
      <c r="R2" s="11" t="inlineStr"/>
      <c r="S2" s="2" t="inlineStr">
        <is>
          <t>Disposition: exclude
Review domain: internal_nonstatistical
Notes (optional): SYNTHETIC TEST DATA ONLY. Exclude is a placeholder for testing the checker workflow, not a scientific assessment. Do not use this sample in research results.</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c r="F3" s="8" t="inlineStr">
        <is>
          <t>no</t>
        </is>
      </c>
      <c r="G3" s="3">
        <f>IF(OR(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AND(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K3&lt;&gt;"",K3&lt;&gt;"not_applicable"),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CLEAR INACTIVE VALUES",IF(O3="","PENDING",IF(AND(O3&lt;&gt;"agree",LEN(TRIM(P3))=0),"COMMENT NEEDED",IF(F3="yes","CHECKED - see resolution","DRAFT"))))</f>
        <v/>
      </c>
      <c r="H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I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J3" s="9">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K3" s="8">
        <f>IF(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not_applicable","")</f>
        <v/>
      </c>
      <c r="L3" s="9">
        <f>IF(OR(AND(IF($D3="",INDEX(primary_jama_2019_7505_disposition,MATCH($A3,primary_jama_2019_7505_key,0)),$D3)&lt;&gt;"",IF($D3="",INDEX(primary_jama_2019_7505_disposition,MATCH($A3,primary_jama_2019_7505_key,0)),$D3)&lt;&gt;"retain"),NOT(OR(IF($E3="",INDEX(primary_jama_2019_7505_domain,MATCH($A3,primary_jama_2019_7505_key,0)),$E3)="protocol_report"))),"not_applicable","")</f>
        <v/>
      </c>
      <c r="M3" s="10" t="inlineStr"/>
      <c r="N3" s="10" t="inlineStr"/>
      <c r="O3" s="8" t="inlineStr"/>
      <c r="P3" s="11" t="inlineStr"/>
      <c r="Q3" s="8" t="inlineStr">
        <is>
          <t>pending</t>
        </is>
      </c>
      <c r="R3" s="11" t="inlineStr"/>
      <c r="S3" s="3" t="inlineStr">
        <is>
          <t>Disposition: exclude
Review domain: statistical_results
Notes (optional): SYNTHETIC TEST DATA ONLY. Exclude is a placeholder for testing the checker workflow, not a scientific assessment. Do not use this sample in research results.</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c r="F4" s="8" t="inlineStr">
        <is>
          <t>no</t>
        </is>
      </c>
      <c r="G4" s="2">
        <f>IF(OR(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AND(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K4&lt;&gt;"",K4&lt;&gt;"not_applicable"),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CLEAR INACTIVE VALUES",IF(O4="","PENDING",IF(AND(O4&lt;&gt;"agree",LEN(TRIM(P4))=0),"COMMENT NEEDED",IF(F4="yes","CHECKED - see resolution","DRAFT"))))</f>
        <v/>
      </c>
      <c r="H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I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J4" s="9">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K4" s="8">
        <f>IF(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not_applicable","")</f>
        <v/>
      </c>
      <c r="L4" s="9">
        <f>IF(OR(AND(IF($D4="",INDEX(primary_jama_2019_7505_disposition,MATCH($A4,primary_jama_2019_7505_key,0)),$D4)&lt;&gt;"",IF($D4="",INDEX(primary_jama_2019_7505_disposition,MATCH($A4,primary_jama_2019_7505_key,0)),$D4)&lt;&gt;"retain"),NOT(OR(IF($E4="",INDEX(primary_jama_2019_7505_domain,MATCH($A4,primary_jama_2019_7505_key,0)),$E4)="protocol_report"))),"not_applicable","")</f>
        <v/>
      </c>
      <c r="M4" s="10" t="inlineStr"/>
      <c r="N4" s="10" t="inlineStr"/>
      <c r="O4" s="8" t="inlineStr"/>
      <c r="P4" s="11" t="inlineStr"/>
      <c r="Q4" s="8" t="inlineStr">
        <is>
          <t>pending</t>
        </is>
      </c>
      <c r="R4" s="11" t="inlineStr"/>
      <c r="S4" s="2" t="inlineStr">
        <is>
          <t>Disposition: exclude
Review domain: plan_material
Notes (optional): SYNTHETIC TEST DATA ONLY. Exclude is a placeholder for testing the checker workflow, not a scientific assessment. Do not use this sample in research results.</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c r="F5" s="8" t="inlineStr">
        <is>
          <t>no</t>
        </is>
      </c>
      <c r="G5" s="3">
        <f>IF(OR(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AND(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K5&lt;&gt;"",K5&lt;&gt;"not_applicable"),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CLEAR INACTIVE VALUES",IF(O5="","PENDING",IF(AND(O5&lt;&gt;"agree",LEN(TRIM(P5))=0),"COMMENT NEEDED",IF(F5="yes","CHECKED - see resolution","DRAFT"))))</f>
        <v/>
      </c>
      <c r="H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I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J5" s="9">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K5" s="8">
        <f>IF(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not_applicable","")</f>
        <v/>
      </c>
      <c r="L5" s="9">
        <f>IF(OR(AND(IF($D5="",INDEX(primary_jama_2019_7505_disposition,MATCH($A5,primary_jama_2019_7505_key,0)),$D5)&lt;&gt;"",IF($D5="",INDEX(primary_jama_2019_7505_disposition,MATCH($A5,primary_jama_2019_7505_key,0)),$D5)&lt;&gt;"retain"),NOT(OR(IF($E5="",INDEX(primary_jama_2019_7505_domain,MATCH($A5,primary_jama_2019_7505_key,0)),$E5)="protocol_report"))),"not_applicable","")</f>
        <v/>
      </c>
      <c r="M5" s="10" t="inlineStr"/>
      <c r="N5" s="10" t="inlineStr"/>
      <c r="O5" s="8" t="inlineStr"/>
      <c r="P5" s="11" t="inlineStr"/>
      <c r="Q5" s="8" t="inlineStr">
        <is>
          <t>pending</t>
        </is>
      </c>
      <c r="R5" s="11" t="inlineStr"/>
      <c r="S5" s="3" t="inlineStr">
        <is>
          <t>Disposition: exclude
Review domain: internal_nonstatistical
Notes (optional): 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
    <cfRule type="expression" priority="1"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formula>
    </cfRule>
    <cfRule type="expression" priority="2"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H3">
    <cfRule type="expression" priority="3"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formula>
    </cfRule>
    <cfRule type="expression" priority="4"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H4">
    <cfRule type="expression" priority="5"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formula>
    </cfRule>
    <cfRule type="expression" priority="6"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H5">
    <cfRule type="expression" priority="7"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formula>
    </cfRule>
    <cfRule type="expression" priority="8"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I2">
    <cfRule type="expression" priority="9"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formula>
    </cfRule>
    <cfRule type="expression" priority="10"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I3">
    <cfRule type="expression" priority="11"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formula>
    </cfRule>
    <cfRule type="expression" priority="12"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I4">
    <cfRule type="expression" priority="13"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formula>
    </cfRule>
    <cfRule type="expression" priority="14"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I5">
    <cfRule type="expression" priority="15"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formula>
    </cfRule>
    <cfRule type="expression" priority="16"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J2">
    <cfRule type="expression" priority="17"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formula>
    </cfRule>
    <cfRule type="expression" priority="18"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J3">
    <cfRule type="expression" priority="19"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formula>
    </cfRule>
    <cfRule type="expression" priority="20"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J4">
    <cfRule type="expression" priority="21"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formula>
    </cfRule>
    <cfRule type="expression" priority="22"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J5">
    <cfRule type="expression" priority="23"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formula>
    </cfRule>
    <cfRule type="expression" priority="24"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K2">
    <cfRule type="expression" priority="25"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K2&lt;&gt;"",K2&lt;&gt;"not_applicable")</formula>
    </cfRule>
    <cfRule type="expression" priority="26" dxfId="1">
      <formula>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formula>
    </cfRule>
  </conditionalFormatting>
  <conditionalFormatting sqref="K3">
    <cfRule type="expression" priority="27"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K3&lt;&gt;"",K3&lt;&gt;"not_applicable")</formula>
    </cfRule>
    <cfRule type="expression" priority="28" dxfId="1">
      <formula>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formula>
    </cfRule>
  </conditionalFormatting>
  <conditionalFormatting sqref="K4">
    <cfRule type="expression" priority="29"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K4&lt;&gt;"",K4&lt;&gt;"not_applicable")</formula>
    </cfRule>
    <cfRule type="expression" priority="30" dxfId="1">
      <formula>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formula>
    </cfRule>
  </conditionalFormatting>
  <conditionalFormatting sqref="K5">
    <cfRule type="expression" priority="31"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K5&lt;&gt;"",K5&lt;&gt;"not_applicable")</formula>
    </cfRule>
    <cfRule type="expression" priority="32" dxfId="1">
      <formula>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formula>
    </cfRule>
  </conditionalFormatting>
  <conditionalFormatting sqref="L2">
    <cfRule type="expression" priority="33"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formula>
    </cfRule>
    <cfRule type="expression" priority="34" dxfId="1">
      <formula>OR(AND(IF($D2="",INDEX(primary_jama_2019_7505_disposition,MATCH($A2,primary_jama_2019_7505_key,0)),$D2)&lt;&gt;"",IF($D2="",INDEX(primary_jama_2019_7505_disposition,MATCH($A2,primary_jama_2019_7505_key,0)),$D2)&lt;&gt;"retain"),NOT(OR(IF($E2="",INDEX(primary_jama_2019_7505_domain,MATCH($A2,primary_jama_2019_7505_key,0)),$E2)="protocol_report")))</formula>
    </cfRule>
  </conditionalFormatting>
  <conditionalFormatting sqref="L3">
    <cfRule type="expression" priority="35"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formula>
    </cfRule>
    <cfRule type="expression" priority="36" dxfId="1">
      <formula>OR(AND(IF($D3="",INDEX(primary_jama_2019_7505_disposition,MATCH($A3,primary_jama_2019_7505_key,0)),$D3)&lt;&gt;"",IF($D3="",INDEX(primary_jama_2019_7505_disposition,MATCH($A3,primary_jama_2019_7505_key,0)),$D3)&lt;&gt;"retain"),NOT(OR(IF($E3="",INDEX(primary_jama_2019_7505_domain,MATCH($A3,primary_jama_2019_7505_key,0)),$E3)="protocol_report")))</formula>
    </cfRule>
  </conditionalFormatting>
  <conditionalFormatting sqref="L4">
    <cfRule type="expression" priority="37"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formula>
    </cfRule>
    <cfRule type="expression" priority="38" dxfId="1">
      <formula>OR(AND(IF($D4="",INDEX(primary_jama_2019_7505_disposition,MATCH($A4,primary_jama_2019_7505_key,0)),$D4)&lt;&gt;"",IF($D4="",INDEX(primary_jama_2019_7505_disposition,MATCH($A4,primary_jama_2019_7505_key,0)),$D4)&lt;&gt;"retain"),NOT(OR(IF($E4="",INDEX(primary_jama_2019_7505_domain,MATCH($A4,primary_jama_2019_7505_key,0)),$E4)="protocol_report")))</formula>
    </cfRule>
  </conditionalFormatting>
  <conditionalFormatting sqref="L5">
    <cfRule type="expression" priority="39"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formula>
    </cfRule>
    <cfRule type="expression" priority="40" dxfId="1">
      <formula>OR(AND(IF($D5="",INDEX(primary_jama_2019_7505_disposition,MATCH($A5,primary_jama_2019_7505_key,0)),$D5)&lt;&gt;"",IF($D5="",INDEX(primary_jama_2019_7505_disposition,MATCH($A5,primary_jama_2019_7505_key,0)),$D5)&lt;&gt;"retain"),NOT(OR(IF($E5="",INDEX(primary_jama_2019_7505_domain,MATCH($A5,primary_jama_2019_7505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5" showDropDown="0" showInputMessage="1" showErrorMessage="1" allowBlank="1" errorTitle="Invalid option" error="Choose a listed value." promptTitle="Checker result" prompt="See Codebook for meanings." type="list" errorStyle="stop">
      <formula1>opt_checkStatus</formula1>
    </dataValidation>
    <dataValidation sqref="Q2:Q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internal_nonstatistical</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internal_nonstatistical</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internal_nonstatistical</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internal_nonstatistical</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internal_nonstatistical</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internal_nonstatistical</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internal_nonstatistical</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internal_nonstatistical</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internal_nonstatistical</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internal_nonstatistical</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internal_nonstatistical</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internal_nonstatistical</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internal_nonstatistical</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internal_nonstatistical</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internal_nonstatistical</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internal_nonstatistical</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internal_nonstatistical</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internal_nonstatistical</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internal_nonstatistical</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internal_nonstatistical</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internal_nonstatistical</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internal_nonstatistical</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internal_nonstatistical</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internal_nonstatistical</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internal_nonstatistical</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internal_nonstatistical</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internal_nonstatistical</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internal_nonstatistical</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internal_nonstatistical</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internal_nonstatistical</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internal_nonstatistical</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internal_nonstatistical</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internal_nonstatistical</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internal_nonstatistical</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internal_nonstatistical</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internal_nonstatistical</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internal_nonstatistical</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internal_nonstatistical</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internal_nonstatistical</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internal_nonstatistical</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internal_nonstatistical</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internal_nonstatistical</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internal_nonstatistical</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internal_nonstatistical</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internal_nonstatistical</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internal_nonstatistical</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internal_nonstatistical</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internal_nonstatistical</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Candidate title</t>
        </is>
      </c>
      <c r="B74" s="47" t="inlineStr">
        <is>
          <t>FIELD</t>
        </is>
      </c>
      <c r="C74" s="47" t="inlineStr">
        <is>
          <t>Read only</t>
        </is>
      </c>
      <c r="D74" s="48" t="inlineStr">
        <is>
          <t>Short candidate title. A candidate is an AI flag for human assessment, not a confirmed error.</t>
        </is>
      </c>
      <c r="E74" s="47" t="inlineStr">
        <is>
          <t>title</t>
        </is>
      </c>
    </row>
    <row r="75" ht="90" customHeight="1">
      <c r="A75" s="47" t="inlineStr">
        <is>
          <t>Source location</t>
        </is>
      </c>
      <c r="B75" s="47" t="inlineStr">
        <is>
          <t>FIELD</t>
        </is>
      </c>
      <c r="C75" s="47" t="inlineStr">
        <is>
          <t>Read only; both roles</t>
        </is>
      </c>
      <c r="D75" s="48" t="inlineStr">
        <is>
          <t>Where to check the source claim. Both Primary and Checker show this column in the same position. Use Candidates and Evidence for context and the shared paper folders for originals.</t>
        </is>
      </c>
      <c r="E75" s="47" t="inlineStr">
        <is>
          <t>locations</t>
        </is>
      </c>
    </row>
    <row r="76" ht="90" customHeight="1">
      <c r="A76" s="47" t="inlineStr">
        <is>
          <t>Primary assessment (read only)</t>
        </is>
      </c>
      <c r="B76" s="47" t="inlineStr">
        <is>
          <t>FIELD</t>
        </is>
      </c>
      <c r="C76" s="47" t="inlineStr">
        <is>
          <t>Read only</t>
        </is>
      </c>
      <c r="D76" s="48"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6"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v.2.1.4</t>
        </is>
      </c>
    </row>
    <row r="3" ht="30" customHeight="1">
      <c r="A3" s="3" t="inlineStr">
        <is>
          <t>schema</t>
        </is>
      </c>
      <c r="B3" s="3" t="inlineStr">
        <is>
          <t>xlsx-adjudication-6</t>
        </is>
      </c>
    </row>
    <row r="4" ht="30" customHeight="1">
      <c r="A4" s="2" t="inlineStr">
        <is>
          <t>stage</t>
        </is>
      </c>
      <c r="B4" s="2" t="inlineStr">
        <is>
          <t>checker</t>
        </is>
      </c>
    </row>
    <row r="5" ht="30" customHeight="1">
      <c r="A5" s="3" t="inlineStr">
        <is>
          <t>year</t>
        </is>
      </c>
      <c r="B5" s="3" t="inlineStr">
        <is>
          <t>2019</t>
        </is>
      </c>
    </row>
    <row r="6" ht="30" customHeight="1">
      <c r="A6" s="2" t="inlineStr">
        <is>
          <t>createdAt</t>
        </is>
      </c>
      <c r="B6" s="2" t="inlineStr">
        <is>
          <t>2026-09-14T04:22:14+00:00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6a93e5f04914657766d696bbfa5182449d1f9acdabb3f09852e2894e56f10548</t>
        </is>
      </c>
    </row>
    <row r="9" ht="30" customHeight="1">
      <c r="A9" s="3" t="inlineStr">
        <is>
          <t>primarySignature</t>
        </is>
      </c>
      <c r="B9" s="3" t="inlineStr">
        <is>
          <t>40e977ff666fadcfe6f7a8ab54aa32945dcc1c9a4d74a35344a7fbf0d05d3a5e</t>
        </is>
      </c>
    </row>
    <row r="10" ht="30" customHeight="1">
      <c r="A10" s="2" t="inlineStr">
        <is>
          <t>primaryFileSHA256</t>
        </is>
      </c>
      <c r="B10" s="2" t="inlineStr">
        <is>
          <t>f699aa2cee70aeb15a16e3afde84719bd4e9ec2a9e525ff20e2355a322f3c55c</t>
        </is>
      </c>
    </row>
    <row r="11" ht="30" customHeight="1">
      <c r="A11" s="3" t="inlineStr">
        <is>
          <t>revision</t>
        </is>
      </c>
      <c r="B11" s="3" t="inlineStr">
        <is>
          <t>v.2.1.4</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K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ht="40" customHeight="1">
      <c r="A1" s="1" t="inlineStr">
        <is>
          <t>key</t>
        </is>
      </c>
      <c r="B1" s="1" t="inlineStr">
        <is>
          <t>disposition</t>
        </is>
      </c>
      <c r="C1" s="1" t="inlineStr">
        <is>
          <t>domain</t>
        </is>
      </c>
      <c r="D1" s="1" t="inlineStr">
        <is>
          <t>statisticalErrorStatus</t>
        </is>
      </c>
      <c r="E1" s="1" t="inlineStr">
        <is>
          <t>substantiveStatus</t>
        </is>
      </c>
      <c r="F1" s="1" t="inlineStr">
        <is>
          <t>downstreamImpact</t>
        </is>
      </c>
      <c r="G1" s="1" t="inlineStr">
        <is>
          <t>internalStatus</t>
        </is>
      </c>
      <c r="H1" s="1" t="inlineStr">
        <is>
          <t>protocolInterpretation</t>
        </is>
      </c>
      <c r="I1" s="1" t="inlineStr">
        <is>
          <t>relatedClusterId</t>
        </is>
      </c>
      <c r="J1" s="1" t="inlineStr">
        <is>
          <t>notes</t>
        </is>
      </c>
      <c r="K1" s="1" t="inlineStr">
        <is>
          <t>reviewComplete</t>
        </is>
      </c>
    </row>
    <row r="2" ht="136" customHeight="1">
      <c r="A2" s="2" t="inlineStr">
        <is>
          <t>2019::jama.2019.0556::C001</t>
        </is>
      </c>
      <c r="B2" s="2" t="inlineStr">
        <is>
          <t>exclude</t>
        </is>
      </c>
      <c r="C2" s="2" t="inlineStr">
        <is>
          <t>internal_nonstatistical</t>
        </is>
      </c>
      <c r="D2" s="2" t="inlineStr">
        <is>
          <t>not_applicable</t>
        </is>
      </c>
      <c r="E2" s="2" t="inlineStr">
        <is>
          <t>not_applicable</t>
        </is>
      </c>
      <c r="F2" s="2" t="inlineStr">
        <is>
          <t>not_applicable</t>
        </is>
      </c>
      <c r="G2" s="2" t="inlineStr">
        <is>
          <t>not_applicable</t>
        </is>
      </c>
      <c r="H2" s="2" t="inlineStr">
        <is>
          <t>not_applicable</t>
        </is>
      </c>
      <c r="I2" s="2" t="inlineStr"/>
      <c r="J2" s="2" t="inlineStr">
        <is>
          <t>SYNTHETIC TEST DATA ONLY. Exclude is a placeholder for testing the checker workflow, not a scientific assessment. Do not use this sample in research results.</t>
        </is>
      </c>
      <c r="K2" s="2" t="inlineStr">
        <is>
          <t>yes</t>
        </is>
      </c>
    </row>
    <row r="3" ht="136" customHeight="1">
      <c r="A3" s="3" t="inlineStr">
        <is>
          <t>2019::jama.2019.0556::C002</t>
        </is>
      </c>
      <c r="B3" s="3" t="inlineStr">
        <is>
          <t>exclude</t>
        </is>
      </c>
      <c r="C3" s="3" t="inlineStr">
        <is>
          <t>internal_nonstatistical</t>
        </is>
      </c>
      <c r="D3" s="3" t="inlineStr">
        <is>
          <t>not_applicable</t>
        </is>
      </c>
      <c r="E3" s="3" t="inlineStr">
        <is>
          <t>not_applicable</t>
        </is>
      </c>
      <c r="F3" s="3" t="inlineStr">
        <is>
          <t>not_applicable</t>
        </is>
      </c>
      <c r="G3" s="3" t="inlineStr">
        <is>
          <t>not_applicable</t>
        </is>
      </c>
      <c r="H3" s="3" t="inlineStr">
        <is>
          <t>not_applicable</t>
        </is>
      </c>
      <c r="I3" s="3" t="inlineStr"/>
      <c r="J3" s="3" t="inlineStr">
        <is>
          <t>SYNTHETIC TEST DATA ONLY. Exclude is a placeholder for testing the checker workflow, not a scientific assessment. Do not use this sample in research results.</t>
        </is>
      </c>
      <c r="K3" s="3" t="inlineStr">
        <is>
          <t>yes</t>
        </is>
      </c>
    </row>
    <row r="4" ht="136" customHeight="1">
      <c r="A4" s="2" t="inlineStr">
        <is>
          <t>2019::jama.2019.0556::C003</t>
        </is>
      </c>
      <c r="B4" s="2" t="inlineStr">
        <is>
          <t>exclude</t>
        </is>
      </c>
      <c r="C4" s="2" t="inlineStr">
        <is>
          <t>internal_nonstatistical</t>
        </is>
      </c>
      <c r="D4" s="2" t="inlineStr">
        <is>
          <t>not_applicable</t>
        </is>
      </c>
      <c r="E4" s="2" t="inlineStr">
        <is>
          <t>not_applicable</t>
        </is>
      </c>
      <c r="F4" s="2" t="inlineStr">
        <is>
          <t>not_applicable</t>
        </is>
      </c>
      <c r="G4" s="2" t="inlineStr">
        <is>
          <t>not_applicable</t>
        </is>
      </c>
      <c r="H4" s="2" t="inlineStr">
        <is>
          <t>not_applicable</t>
        </is>
      </c>
      <c r="I4" s="2" t="inlineStr"/>
      <c r="J4" s="2" t="inlineStr">
        <is>
          <t>SYNTHETIC TEST DATA ONLY. Exclude is a placeholder for testing the checker workflow, not a scientific assessment. Do not use this sample in research results.</t>
        </is>
      </c>
      <c r="K4" s="2" t="inlineStr">
        <is>
          <t>yes</t>
        </is>
      </c>
    </row>
    <row r="5" ht="136" customHeight="1">
      <c r="A5" s="3" t="inlineStr">
        <is>
          <t>2019::jama.2019.0556::C004</t>
        </is>
      </c>
      <c r="B5" s="3" t="inlineStr">
        <is>
          <t>exclude</t>
        </is>
      </c>
      <c r="C5" s="3" t="inlineStr">
        <is>
          <t>statistical_results</t>
        </is>
      </c>
      <c r="D5" s="3" t="inlineStr">
        <is>
          <t>not_applicable</t>
        </is>
      </c>
      <c r="E5" s="3" t="inlineStr">
        <is>
          <t>not_applicable</t>
        </is>
      </c>
      <c r="F5" s="3" t="inlineStr">
        <is>
          <t>not_applicable</t>
        </is>
      </c>
      <c r="G5" s="3" t="inlineStr">
        <is>
          <t>not_applicable</t>
        </is>
      </c>
      <c r="H5" s="3" t="inlineStr">
        <is>
          <t>not_applicable</t>
        </is>
      </c>
      <c r="I5" s="3" t="inlineStr"/>
      <c r="J5" s="3" t="inlineStr">
        <is>
          <t>SYNTHETIC TEST DATA ONLY. Exclude is a placeholder for testing the checker workflow, not a scientific assessment. Do not use this sample in research results.</t>
        </is>
      </c>
      <c r="K5" s="3" t="inlineStr">
        <is>
          <t>yes</t>
        </is>
      </c>
    </row>
    <row r="6" ht="136" customHeight="1">
      <c r="A6" s="2" t="inlineStr">
        <is>
          <t>2019::jama.2019.0556::C005</t>
        </is>
      </c>
      <c r="B6" s="2" t="inlineStr">
        <is>
          <t>exclude</t>
        </is>
      </c>
      <c r="C6" s="2" t="inlineStr">
        <is>
          <t>statistical_results</t>
        </is>
      </c>
      <c r="D6" s="2" t="inlineStr">
        <is>
          <t>not_applicable</t>
        </is>
      </c>
      <c r="E6" s="2" t="inlineStr">
        <is>
          <t>not_applicable</t>
        </is>
      </c>
      <c r="F6" s="2" t="inlineStr">
        <is>
          <t>not_applicable</t>
        </is>
      </c>
      <c r="G6" s="2" t="inlineStr">
        <is>
          <t>not_applicable</t>
        </is>
      </c>
      <c r="H6" s="2" t="inlineStr">
        <is>
          <t>not_applicable</t>
        </is>
      </c>
      <c r="I6" s="2" t="inlineStr"/>
      <c r="J6" s="2" t="inlineStr">
        <is>
          <t>SYNTHETIC TEST DATA ONLY. Exclude is a placeholder for testing the checker workflow, not a scientific assessment. Do not use this sample in research results.</t>
        </is>
      </c>
      <c r="K6" s="2" t="inlineStr">
        <is>
          <t>yes</t>
        </is>
      </c>
    </row>
    <row r="7" ht="136" customHeight="1">
      <c r="A7" s="3" t="inlineStr">
        <is>
          <t>2019::jama.2019.0556::C006</t>
        </is>
      </c>
      <c r="B7" s="3" t="inlineStr">
        <is>
          <t>exclude</t>
        </is>
      </c>
      <c r="C7" s="3" t="inlineStr">
        <is>
          <t>plan_material</t>
        </is>
      </c>
      <c r="D7" s="3" t="inlineStr">
        <is>
          <t>not_applicable</t>
        </is>
      </c>
      <c r="E7" s="3" t="inlineStr">
        <is>
          <t>not_applicable</t>
        </is>
      </c>
      <c r="F7" s="3" t="inlineStr">
        <is>
          <t>not_applicable</t>
        </is>
      </c>
      <c r="G7" s="3" t="inlineStr">
        <is>
          <t>not_applicable</t>
        </is>
      </c>
      <c r="H7" s="3" t="inlineStr">
        <is>
          <t>not_applicable</t>
        </is>
      </c>
      <c r="I7" s="3" t="inlineStr"/>
      <c r="J7" s="3" t="inlineStr">
        <is>
          <t>SYNTHETIC TEST DATA ONLY. Exclude is a placeholder for testing the checker workflow, not a scientific assessment. Do not use this sample in research results.</t>
        </is>
      </c>
      <c r="K7" s="3" t="inlineStr">
        <is>
          <t>yes</t>
        </is>
      </c>
    </row>
    <row r="8" ht="136" customHeight="1">
      <c r="A8" s="2" t="inlineStr">
        <is>
          <t>2019::jama.2019.0556::C007</t>
        </is>
      </c>
      <c r="B8" s="2" t="inlineStr">
        <is>
          <t>exclude</t>
        </is>
      </c>
      <c r="C8" s="2" t="inlineStr">
        <is>
          <t>protocol_report</t>
        </is>
      </c>
      <c r="D8" s="2" t="inlineStr">
        <is>
          <t>not_applicable</t>
        </is>
      </c>
      <c r="E8" s="2" t="inlineStr">
        <is>
          <t>not_applicable</t>
        </is>
      </c>
      <c r="F8" s="2" t="inlineStr">
        <is>
          <t>not_applicable</t>
        </is>
      </c>
      <c r="G8" s="2" t="inlineStr">
        <is>
          <t>not_applicable</t>
        </is>
      </c>
      <c r="H8" s="2" t="inlineStr">
        <is>
          <t>not_applicable</t>
        </is>
      </c>
      <c r="I8" s="2" t="inlineStr"/>
      <c r="J8" s="2" t="inlineStr">
        <is>
          <t>SYNTHETIC TEST DATA ONLY. Exclude is a placeholder for testing the checker workflow, not a scientific assessment. Do not use this sample in research results.</t>
        </is>
      </c>
      <c r="K8" s="2" t="inlineStr">
        <is>
          <t>yes</t>
        </is>
      </c>
    </row>
    <row r="9" ht="136" customHeight="1">
      <c r="A9" s="3" t="inlineStr">
        <is>
          <t>2019::jama.2019.0556::C008</t>
        </is>
      </c>
      <c r="B9" s="3" t="inlineStr">
        <is>
          <t>exclude</t>
        </is>
      </c>
      <c r="C9" s="3" t="inlineStr">
        <is>
          <t>plan_material</t>
        </is>
      </c>
      <c r="D9" s="3" t="inlineStr">
        <is>
          <t>not_applicable</t>
        </is>
      </c>
      <c r="E9" s="3" t="inlineStr">
        <is>
          <t>not_applicable</t>
        </is>
      </c>
      <c r="F9" s="3" t="inlineStr">
        <is>
          <t>not_applicable</t>
        </is>
      </c>
      <c r="G9" s="3" t="inlineStr">
        <is>
          <t>not_applicable</t>
        </is>
      </c>
      <c r="H9" s="3" t="inlineStr">
        <is>
          <t>not_applicable</t>
        </is>
      </c>
      <c r="I9" s="3" t="inlineStr"/>
      <c r="J9" s="3" t="inlineStr">
        <is>
          <t>SYNTHETIC TEST DATA ONLY. Exclude is a placeholder for testing the checker workflow, not a scientific assessment. Do not use this sample in research results.</t>
        </is>
      </c>
      <c r="K9" s="3" t="inlineStr">
        <is>
          <t>yes</t>
        </is>
      </c>
    </row>
    <row r="10" ht="136" customHeight="1">
      <c r="A10" s="2" t="inlineStr">
        <is>
          <t>2019::jama.2019.0556::C009</t>
        </is>
      </c>
      <c r="B10" s="2" t="inlineStr">
        <is>
          <t>exclude</t>
        </is>
      </c>
      <c r="C10" s="2" t="inlineStr">
        <is>
          <t>plan_material</t>
        </is>
      </c>
      <c r="D10" s="2" t="inlineStr">
        <is>
          <t>not_applicable</t>
        </is>
      </c>
      <c r="E10" s="2" t="inlineStr">
        <is>
          <t>not_applicable</t>
        </is>
      </c>
      <c r="F10" s="2" t="inlineStr">
        <is>
          <t>not_applicable</t>
        </is>
      </c>
      <c r="G10" s="2" t="inlineStr">
        <is>
          <t>not_applicable</t>
        </is>
      </c>
      <c r="H10" s="2" t="inlineStr">
        <is>
          <t>not_applicable</t>
        </is>
      </c>
      <c r="I10" s="2" t="inlineStr"/>
      <c r="J10" s="2" t="inlineStr">
        <is>
          <t>SYNTHETIC TEST DATA ONLY. Exclude is a placeholder for testing the checker workflow, not a scientific assessment. Do not use this sample in research results.</t>
        </is>
      </c>
      <c r="K10" s="2" t="inlineStr">
        <is>
          <t>yes</t>
        </is>
      </c>
    </row>
    <row r="11" ht="136" customHeight="1">
      <c r="A11" s="3" t="inlineStr">
        <is>
          <t>2019::jama.2019.10517::C001</t>
        </is>
      </c>
      <c r="B11" s="3" t="inlineStr">
        <is>
          <t>exclude</t>
        </is>
      </c>
      <c r="C11" s="3" t="inlineStr">
        <is>
          <t>statistical_results</t>
        </is>
      </c>
      <c r="D11" s="3" t="inlineStr">
        <is>
          <t>not_applicable</t>
        </is>
      </c>
      <c r="E11" s="3" t="inlineStr">
        <is>
          <t>not_applicable</t>
        </is>
      </c>
      <c r="F11" s="3" t="inlineStr">
        <is>
          <t>not_applicable</t>
        </is>
      </c>
      <c r="G11" s="3" t="inlineStr">
        <is>
          <t>not_applicable</t>
        </is>
      </c>
      <c r="H11" s="3" t="inlineStr">
        <is>
          <t>not_applicable</t>
        </is>
      </c>
      <c r="I11" s="3" t="inlineStr"/>
      <c r="J11" s="3" t="inlineStr">
        <is>
          <t>SYNTHETIC TEST DATA ONLY. Exclude is a placeholder for testing the checker workflow, not a scientific assessment. Do not use this sample in research results.</t>
        </is>
      </c>
      <c r="K11" s="3" t="inlineStr">
        <is>
          <t>yes</t>
        </is>
      </c>
    </row>
    <row r="12" ht="136" customHeight="1">
      <c r="A12" s="2" t="inlineStr">
        <is>
          <t>2019::jama.2019.10517::C002</t>
        </is>
      </c>
      <c r="B12" s="2" t="inlineStr">
        <is>
          <t>exclude</t>
        </is>
      </c>
      <c r="C12" s="2" t="inlineStr">
        <is>
          <t>internal_nonstatistical</t>
        </is>
      </c>
      <c r="D12" s="2" t="inlineStr">
        <is>
          <t>not_applicable</t>
        </is>
      </c>
      <c r="E12" s="2" t="inlineStr">
        <is>
          <t>not_applicable</t>
        </is>
      </c>
      <c r="F12" s="2" t="inlineStr">
        <is>
          <t>not_applicable</t>
        </is>
      </c>
      <c r="G12" s="2" t="inlineStr">
        <is>
          <t>not_applicable</t>
        </is>
      </c>
      <c r="H12" s="2" t="inlineStr">
        <is>
          <t>not_applicable</t>
        </is>
      </c>
      <c r="I12" s="2" t="inlineStr"/>
      <c r="J12" s="2" t="inlineStr">
        <is>
          <t>SYNTHETIC TEST DATA ONLY. Exclude is a placeholder for testing the checker workflow, not a scientific assessment. Do not use this sample in research results.</t>
        </is>
      </c>
      <c r="K12" s="2" t="inlineStr">
        <is>
          <t>yes</t>
        </is>
      </c>
    </row>
    <row r="13" ht="136" customHeight="1">
      <c r="A13" s="3" t="inlineStr">
        <is>
          <t>2019::jama.2019.10517::C003</t>
        </is>
      </c>
      <c r="B13" s="3" t="inlineStr">
        <is>
          <t>exclude</t>
        </is>
      </c>
      <c r="C13" s="3" t="inlineStr">
        <is>
          <t>plan_material</t>
        </is>
      </c>
      <c r="D13" s="3" t="inlineStr">
        <is>
          <t>not_applicable</t>
        </is>
      </c>
      <c r="E13" s="3" t="inlineStr">
        <is>
          <t>not_applicable</t>
        </is>
      </c>
      <c r="F13" s="3" t="inlineStr">
        <is>
          <t>not_applicable</t>
        </is>
      </c>
      <c r="G13" s="3" t="inlineStr">
        <is>
          <t>not_applicable</t>
        </is>
      </c>
      <c r="H13" s="3" t="inlineStr">
        <is>
          <t>not_applicable</t>
        </is>
      </c>
      <c r="I13" s="3" t="inlineStr"/>
      <c r="J13" s="3" t="inlineStr">
        <is>
          <t>SYNTHETIC TEST DATA ONLY. Exclude is a placeholder for testing the checker workflow, not a scientific assessment. Do not use this sample in research results.</t>
        </is>
      </c>
      <c r="K13" s="3" t="inlineStr">
        <is>
          <t>yes</t>
        </is>
      </c>
    </row>
    <row r="14" ht="136" customHeight="1">
      <c r="A14" s="2" t="inlineStr">
        <is>
          <t>2019::jama.2019.12618::C001</t>
        </is>
      </c>
      <c r="B14" s="2" t="inlineStr">
        <is>
          <t>exclude</t>
        </is>
      </c>
      <c r="C14" s="2" t="inlineStr">
        <is>
          <t>plan_material</t>
        </is>
      </c>
      <c r="D14" s="2" t="inlineStr">
        <is>
          <t>not_applicable</t>
        </is>
      </c>
      <c r="E14" s="2" t="inlineStr">
        <is>
          <t>not_applicable</t>
        </is>
      </c>
      <c r="F14" s="2" t="inlineStr">
        <is>
          <t>not_applicable</t>
        </is>
      </c>
      <c r="G14" s="2" t="inlineStr">
        <is>
          <t>not_applicable</t>
        </is>
      </c>
      <c r="H14" s="2" t="inlineStr">
        <is>
          <t>not_applicable</t>
        </is>
      </c>
      <c r="I14" s="2" t="inlineStr"/>
      <c r="J14" s="2" t="inlineStr">
        <is>
          <t>SYNTHETIC TEST DATA ONLY. Exclude is a placeholder for testing the checker workflow, not a scientific assessment. Do not use this sample in research results.</t>
        </is>
      </c>
      <c r="K14" s="2" t="inlineStr">
        <is>
          <t>yes</t>
        </is>
      </c>
    </row>
    <row r="15" ht="136" customHeight="1">
      <c r="A15" s="3" t="inlineStr">
        <is>
          <t>2019::jama.2019.12618::C002</t>
        </is>
      </c>
      <c r="B15" s="3" t="inlineStr">
        <is>
          <t>exclude</t>
        </is>
      </c>
      <c r="C15" s="3" t="inlineStr">
        <is>
          <t>statistical_results</t>
        </is>
      </c>
      <c r="D15" s="3" t="inlineStr">
        <is>
          <t>not_applicable</t>
        </is>
      </c>
      <c r="E15" s="3" t="inlineStr">
        <is>
          <t>not_applicable</t>
        </is>
      </c>
      <c r="F15" s="3" t="inlineStr">
        <is>
          <t>not_applicable</t>
        </is>
      </c>
      <c r="G15" s="3" t="inlineStr">
        <is>
          <t>not_applicable</t>
        </is>
      </c>
      <c r="H15" s="3" t="inlineStr">
        <is>
          <t>not_applicable</t>
        </is>
      </c>
      <c r="I15" s="3" t="inlineStr"/>
      <c r="J15" s="3" t="inlineStr">
        <is>
          <t>SYNTHETIC TEST DATA ONLY. Exclude is a placeholder for testing the checker workflow, not a scientific assessment. Do not use this sample in research results.</t>
        </is>
      </c>
      <c r="K15" s="3" t="inlineStr">
        <is>
          <t>yes</t>
        </is>
      </c>
    </row>
    <row r="16" ht="136" customHeight="1">
      <c r="A16" s="2" t="inlineStr">
        <is>
          <t>2019::jama.2019.12618::C003</t>
        </is>
      </c>
      <c r="B16" s="2" t="inlineStr">
        <is>
          <t>exclude</t>
        </is>
      </c>
      <c r="C16" s="2" t="inlineStr">
        <is>
          <t>protocol_report</t>
        </is>
      </c>
      <c r="D16" s="2" t="inlineStr">
        <is>
          <t>not_applicable</t>
        </is>
      </c>
      <c r="E16" s="2" t="inlineStr">
        <is>
          <t>not_applicable</t>
        </is>
      </c>
      <c r="F16" s="2" t="inlineStr">
        <is>
          <t>not_applicable</t>
        </is>
      </c>
      <c r="G16" s="2" t="inlineStr">
        <is>
          <t>not_applicable</t>
        </is>
      </c>
      <c r="H16" s="2" t="inlineStr">
        <is>
          <t>not_applicable</t>
        </is>
      </c>
      <c r="I16" s="2" t="inlineStr"/>
      <c r="J16" s="2" t="inlineStr">
        <is>
          <t>SYNTHETIC TEST DATA ONLY. Exclude is a placeholder for testing the checker workflow, not a scientific assessment. Do not use this sample in research results.</t>
        </is>
      </c>
      <c r="K16" s="2" t="inlineStr">
        <is>
          <t>yes</t>
        </is>
      </c>
    </row>
    <row r="17" ht="136" customHeight="1">
      <c r="A17" s="3" t="inlineStr">
        <is>
          <t>2019::jama.2019.12618::C004</t>
        </is>
      </c>
      <c r="B17" s="3" t="inlineStr">
        <is>
          <t>exclude</t>
        </is>
      </c>
      <c r="C17" s="3" t="inlineStr">
        <is>
          <t>protocol_report</t>
        </is>
      </c>
      <c r="D17" s="3" t="inlineStr">
        <is>
          <t>not_applicable</t>
        </is>
      </c>
      <c r="E17" s="3" t="inlineStr">
        <is>
          <t>not_applicable</t>
        </is>
      </c>
      <c r="F17" s="3" t="inlineStr">
        <is>
          <t>not_applicable</t>
        </is>
      </c>
      <c r="G17" s="3" t="inlineStr">
        <is>
          <t>not_applicable</t>
        </is>
      </c>
      <c r="H17" s="3" t="inlineStr">
        <is>
          <t>not_applicable</t>
        </is>
      </c>
      <c r="I17" s="3" t="inlineStr"/>
      <c r="J17" s="3" t="inlineStr">
        <is>
          <t>SYNTHETIC TEST DATA ONLY. Exclude is a placeholder for testing the checker workflow, not a scientific assessment. Do not use this sample in research results.</t>
        </is>
      </c>
      <c r="K17" s="3" t="inlineStr">
        <is>
          <t>yes</t>
        </is>
      </c>
    </row>
    <row r="18" ht="136" customHeight="1">
      <c r="A18" s="2" t="inlineStr">
        <is>
          <t>2019::jama.2019.12618::C005</t>
        </is>
      </c>
      <c r="B18" s="2" t="inlineStr">
        <is>
          <t>exclude</t>
        </is>
      </c>
      <c r="C18" s="2" t="inlineStr">
        <is>
          <t>statistical_results</t>
        </is>
      </c>
      <c r="D18" s="2" t="inlineStr">
        <is>
          <t>not_applicable</t>
        </is>
      </c>
      <c r="E18" s="2" t="inlineStr">
        <is>
          <t>not_applicable</t>
        </is>
      </c>
      <c r="F18" s="2" t="inlineStr">
        <is>
          <t>not_applicable</t>
        </is>
      </c>
      <c r="G18" s="2" t="inlineStr">
        <is>
          <t>not_applicable</t>
        </is>
      </c>
      <c r="H18" s="2" t="inlineStr">
        <is>
          <t>not_applicable</t>
        </is>
      </c>
      <c r="I18" s="2" t="inlineStr"/>
      <c r="J18" s="2" t="inlineStr">
        <is>
          <t>SYNTHETIC TEST DATA ONLY. Exclude is a placeholder for testing the checker workflow, not a scientific assessment. Do not use this sample in research results.</t>
        </is>
      </c>
      <c r="K18" s="2" t="inlineStr">
        <is>
          <t>yes</t>
        </is>
      </c>
    </row>
    <row r="19" ht="136" customHeight="1">
      <c r="A19" s="3" t="inlineStr">
        <is>
          <t>2019::jama.2019.12618::C006</t>
        </is>
      </c>
      <c r="B19" s="3" t="inlineStr">
        <is>
          <t>exclude</t>
        </is>
      </c>
      <c r="C19" s="3" t="inlineStr">
        <is>
          <t>internal_nonstatistical</t>
        </is>
      </c>
      <c r="D19" s="3" t="inlineStr">
        <is>
          <t>not_applicable</t>
        </is>
      </c>
      <c r="E19" s="3" t="inlineStr">
        <is>
          <t>not_applicable</t>
        </is>
      </c>
      <c r="F19" s="3" t="inlineStr">
        <is>
          <t>not_applicable</t>
        </is>
      </c>
      <c r="G19" s="3" t="inlineStr">
        <is>
          <t>not_applicable</t>
        </is>
      </c>
      <c r="H19" s="3" t="inlineStr">
        <is>
          <t>not_applicable</t>
        </is>
      </c>
      <c r="I19" s="3" t="inlineStr"/>
      <c r="J19" s="3" t="inlineStr">
        <is>
          <t>SYNTHETIC TEST DATA ONLY. Exclude is a placeholder for testing the checker workflow, not a scientific assessment. Do not use this sample in research results.</t>
        </is>
      </c>
      <c r="K19" s="3" t="inlineStr">
        <is>
          <t>yes</t>
        </is>
      </c>
    </row>
    <row r="20" ht="136" customHeight="1">
      <c r="A20" s="2" t="inlineStr">
        <is>
          <t>2019::jama.2019.12618::C007</t>
        </is>
      </c>
      <c r="B20" s="2" t="inlineStr">
        <is>
          <t>exclude</t>
        </is>
      </c>
      <c r="C20" s="2" t="inlineStr">
        <is>
          <t>statistical_results</t>
        </is>
      </c>
      <c r="D20" s="2" t="inlineStr">
        <is>
          <t>not_applicable</t>
        </is>
      </c>
      <c r="E20" s="2" t="inlineStr">
        <is>
          <t>not_applicable</t>
        </is>
      </c>
      <c r="F20" s="2" t="inlineStr">
        <is>
          <t>not_applicable</t>
        </is>
      </c>
      <c r="G20" s="2" t="inlineStr">
        <is>
          <t>not_applicable</t>
        </is>
      </c>
      <c r="H20" s="2" t="inlineStr">
        <is>
          <t>not_applicable</t>
        </is>
      </c>
      <c r="I20" s="2" t="inlineStr"/>
      <c r="J20" s="2" t="inlineStr">
        <is>
          <t>SYNTHETIC TEST DATA ONLY. Exclude is a placeholder for testing the checker workflow, not a scientific assessment. Do not use this sample in research results.</t>
        </is>
      </c>
      <c r="K20" s="2" t="inlineStr">
        <is>
          <t>yes</t>
        </is>
      </c>
    </row>
    <row r="21" ht="136" customHeight="1">
      <c r="A21" s="3" t="inlineStr">
        <is>
          <t>2019::jama.2019.12618::C008</t>
        </is>
      </c>
      <c r="B21" s="3" t="inlineStr">
        <is>
          <t>exclude</t>
        </is>
      </c>
      <c r="C21" s="3" t="inlineStr">
        <is>
          <t>internal_nonstatistical</t>
        </is>
      </c>
      <c r="D21" s="3" t="inlineStr">
        <is>
          <t>not_applicable</t>
        </is>
      </c>
      <c r="E21" s="3" t="inlineStr">
        <is>
          <t>not_applicable</t>
        </is>
      </c>
      <c r="F21" s="3" t="inlineStr">
        <is>
          <t>not_applicable</t>
        </is>
      </c>
      <c r="G21" s="3" t="inlineStr">
        <is>
          <t>not_applicable</t>
        </is>
      </c>
      <c r="H21" s="3" t="inlineStr">
        <is>
          <t>not_applicable</t>
        </is>
      </c>
      <c r="I21" s="3" t="inlineStr"/>
      <c r="J21" s="3" t="inlineStr">
        <is>
          <t>SYNTHETIC TEST DATA ONLY. Exclude is a placeholder for testing the checker workflow, not a scientific assessment. Do not use this sample in research results.</t>
        </is>
      </c>
      <c r="K21" s="3" t="inlineStr">
        <is>
          <t>yes</t>
        </is>
      </c>
    </row>
    <row r="22" ht="136" customHeight="1">
      <c r="A22" s="2" t="inlineStr">
        <is>
          <t>2019::jama.2019.14231::C001</t>
        </is>
      </c>
      <c r="B22" s="2" t="inlineStr">
        <is>
          <t>exclude</t>
        </is>
      </c>
      <c r="C22" s="2" t="inlineStr">
        <is>
          <t>protocol_report</t>
        </is>
      </c>
      <c r="D22" s="2" t="inlineStr">
        <is>
          <t>not_applicable</t>
        </is>
      </c>
      <c r="E22" s="2" t="inlineStr">
        <is>
          <t>not_applicable</t>
        </is>
      </c>
      <c r="F22" s="2" t="inlineStr">
        <is>
          <t>not_applicable</t>
        </is>
      </c>
      <c r="G22" s="2" t="inlineStr">
        <is>
          <t>not_applicable</t>
        </is>
      </c>
      <c r="H22" s="2" t="inlineStr">
        <is>
          <t>not_applicable</t>
        </is>
      </c>
      <c r="I22" s="2" t="inlineStr"/>
      <c r="J22" s="2" t="inlineStr">
        <is>
          <t>SYNTHETIC TEST DATA ONLY. Exclude is a placeholder for testing the checker workflow, not a scientific assessment. Do not use this sample in research results.</t>
        </is>
      </c>
      <c r="K22" s="2" t="inlineStr">
        <is>
          <t>yes</t>
        </is>
      </c>
    </row>
    <row r="23" ht="136" customHeight="1">
      <c r="A23" s="3" t="inlineStr">
        <is>
          <t>2019::jama.2019.14231::C002</t>
        </is>
      </c>
      <c r="B23" s="3" t="inlineStr">
        <is>
          <t>exclude</t>
        </is>
      </c>
      <c r="C23" s="3" t="inlineStr">
        <is>
          <t>statistical_results</t>
        </is>
      </c>
      <c r="D23" s="3" t="inlineStr">
        <is>
          <t>not_applicable</t>
        </is>
      </c>
      <c r="E23" s="3" t="inlineStr">
        <is>
          <t>not_applicable</t>
        </is>
      </c>
      <c r="F23" s="3" t="inlineStr">
        <is>
          <t>not_applicable</t>
        </is>
      </c>
      <c r="G23" s="3" t="inlineStr">
        <is>
          <t>not_applicable</t>
        </is>
      </c>
      <c r="H23" s="3" t="inlineStr">
        <is>
          <t>not_applicable</t>
        </is>
      </c>
      <c r="I23" s="3" t="inlineStr"/>
      <c r="J23" s="3" t="inlineStr">
        <is>
          <t>SYNTHETIC TEST DATA ONLY. Exclude is a placeholder for testing the checker workflow, not a scientific assessment. Do not use this sample in research results.</t>
        </is>
      </c>
      <c r="K23" s="3" t="inlineStr">
        <is>
          <t>yes</t>
        </is>
      </c>
    </row>
    <row r="24" ht="136" customHeight="1">
      <c r="A24" s="2" t="inlineStr">
        <is>
          <t>2019::jama.2019.14231::C003</t>
        </is>
      </c>
      <c r="B24" s="2" t="inlineStr">
        <is>
          <t>exclude</t>
        </is>
      </c>
      <c r="C24" s="2" t="inlineStr">
        <is>
          <t>statistical_results</t>
        </is>
      </c>
      <c r="D24" s="2" t="inlineStr">
        <is>
          <t>not_applicable</t>
        </is>
      </c>
      <c r="E24" s="2" t="inlineStr">
        <is>
          <t>not_applicable</t>
        </is>
      </c>
      <c r="F24" s="2" t="inlineStr">
        <is>
          <t>not_applicable</t>
        </is>
      </c>
      <c r="G24" s="2" t="inlineStr">
        <is>
          <t>not_applicable</t>
        </is>
      </c>
      <c r="H24" s="2" t="inlineStr">
        <is>
          <t>not_applicable</t>
        </is>
      </c>
      <c r="I24" s="2" t="inlineStr"/>
      <c r="J24" s="2" t="inlineStr">
        <is>
          <t>SYNTHETIC TEST DATA ONLY. Exclude is a placeholder for testing the checker workflow, not a scientific assessment. Do not use this sample in research results.</t>
        </is>
      </c>
      <c r="K24" s="2" t="inlineStr">
        <is>
          <t>yes</t>
        </is>
      </c>
    </row>
    <row r="25" ht="136" customHeight="1">
      <c r="A25" s="3" t="inlineStr">
        <is>
          <t>2019::jama.2019.14231::C004</t>
        </is>
      </c>
      <c r="B25" s="3" t="inlineStr">
        <is>
          <t>exclude</t>
        </is>
      </c>
      <c r="C25" s="3" t="inlineStr">
        <is>
          <t>statistical_results</t>
        </is>
      </c>
      <c r="D25" s="3" t="inlineStr">
        <is>
          <t>not_applicable</t>
        </is>
      </c>
      <c r="E25" s="3" t="inlineStr">
        <is>
          <t>not_applicable</t>
        </is>
      </c>
      <c r="F25" s="3" t="inlineStr">
        <is>
          <t>not_applicable</t>
        </is>
      </c>
      <c r="G25" s="3" t="inlineStr">
        <is>
          <t>not_applicable</t>
        </is>
      </c>
      <c r="H25" s="3" t="inlineStr">
        <is>
          <t>not_applicable</t>
        </is>
      </c>
      <c r="I25" s="3" t="inlineStr"/>
      <c r="J25" s="3" t="inlineStr">
        <is>
          <t>SYNTHETIC TEST DATA ONLY. Exclude is a placeholder for testing the checker workflow, not a scientific assessment. Do not use this sample in research results.</t>
        </is>
      </c>
      <c r="K25" s="3" t="inlineStr">
        <is>
          <t>yes</t>
        </is>
      </c>
    </row>
    <row r="26" ht="136" customHeight="1">
      <c r="A26" s="2" t="inlineStr">
        <is>
          <t>2019::jama.2019.14231::C005</t>
        </is>
      </c>
      <c r="B26" s="2" t="inlineStr">
        <is>
          <t>exclude</t>
        </is>
      </c>
      <c r="C26" s="2" t="inlineStr">
        <is>
          <t>statistical_results</t>
        </is>
      </c>
      <c r="D26" s="2" t="inlineStr">
        <is>
          <t>not_applicable</t>
        </is>
      </c>
      <c r="E26" s="2" t="inlineStr">
        <is>
          <t>not_applicable</t>
        </is>
      </c>
      <c r="F26" s="2" t="inlineStr">
        <is>
          <t>not_applicable</t>
        </is>
      </c>
      <c r="G26" s="2" t="inlineStr">
        <is>
          <t>not_applicable</t>
        </is>
      </c>
      <c r="H26" s="2" t="inlineStr">
        <is>
          <t>not_applicable</t>
        </is>
      </c>
      <c r="I26" s="2" t="inlineStr"/>
      <c r="J26" s="2" t="inlineStr">
        <is>
          <t>SYNTHETIC TEST DATA ONLY. Exclude is a placeholder for testing the checker workflow, not a scientific assessment. Do not use this sample in research results.</t>
        </is>
      </c>
      <c r="K26" s="2" t="inlineStr">
        <is>
          <t>yes</t>
        </is>
      </c>
    </row>
    <row r="27" ht="136" customHeight="1">
      <c r="A27" s="3" t="inlineStr">
        <is>
          <t>2019::jama.2019.14231::C006</t>
        </is>
      </c>
      <c r="B27" s="3" t="inlineStr">
        <is>
          <t>exclude</t>
        </is>
      </c>
      <c r="C27" s="3" t="inlineStr">
        <is>
          <t>statistical_results</t>
        </is>
      </c>
      <c r="D27" s="3" t="inlineStr">
        <is>
          <t>not_applicable</t>
        </is>
      </c>
      <c r="E27" s="3" t="inlineStr">
        <is>
          <t>not_applicable</t>
        </is>
      </c>
      <c r="F27" s="3" t="inlineStr">
        <is>
          <t>not_applicable</t>
        </is>
      </c>
      <c r="G27" s="3" t="inlineStr">
        <is>
          <t>not_applicable</t>
        </is>
      </c>
      <c r="H27" s="3" t="inlineStr">
        <is>
          <t>not_applicable</t>
        </is>
      </c>
      <c r="I27" s="3" t="inlineStr"/>
      <c r="J27" s="3" t="inlineStr">
        <is>
          <t>SYNTHETIC TEST DATA ONLY. Exclude is a placeholder for testing the checker workflow, not a scientific assessment. Do not use this sample in research results.</t>
        </is>
      </c>
      <c r="K27" s="3" t="inlineStr">
        <is>
          <t>yes</t>
        </is>
      </c>
    </row>
    <row r="28" ht="136" customHeight="1">
      <c r="A28" s="2" t="inlineStr">
        <is>
          <t>2019::jama.2019.14231::C007</t>
        </is>
      </c>
      <c r="B28" s="2" t="inlineStr">
        <is>
          <t>exclude</t>
        </is>
      </c>
      <c r="C28" s="2" t="inlineStr">
        <is>
          <t>statistical_results</t>
        </is>
      </c>
      <c r="D28" s="2" t="inlineStr">
        <is>
          <t>not_applicable</t>
        </is>
      </c>
      <c r="E28" s="2" t="inlineStr">
        <is>
          <t>not_applicable</t>
        </is>
      </c>
      <c r="F28" s="2" t="inlineStr">
        <is>
          <t>not_applicable</t>
        </is>
      </c>
      <c r="G28" s="2" t="inlineStr">
        <is>
          <t>not_applicable</t>
        </is>
      </c>
      <c r="H28" s="2" t="inlineStr">
        <is>
          <t>not_applicable</t>
        </is>
      </c>
      <c r="I28" s="2" t="inlineStr"/>
      <c r="J28" s="2" t="inlineStr">
        <is>
          <t>SYNTHETIC TEST DATA ONLY. Exclude is a placeholder for testing the checker workflow, not a scientific assessment. Do not use this sample in research results.</t>
        </is>
      </c>
      <c r="K28" s="2" t="inlineStr">
        <is>
          <t>yes</t>
        </is>
      </c>
    </row>
    <row r="29" ht="136" customHeight="1">
      <c r="A29" s="3" t="inlineStr">
        <is>
          <t>2019::jama.2019.14231::C008</t>
        </is>
      </c>
      <c r="B29" s="3" t="inlineStr">
        <is>
          <t>exclude</t>
        </is>
      </c>
      <c r="C29" s="3" t="inlineStr">
        <is>
          <t>internal_nonstatistical</t>
        </is>
      </c>
      <c r="D29" s="3" t="inlineStr">
        <is>
          <t>not_applicable</t>
        </is>
      </c>
      <c r="E29" s="3" t="inlineStr">
        <is>
          <t>not_applicable</t>
        </is>
      </c>
      <c r="F29" s="3" t="inlineStr">
        <is>
          <t>not_applicable</t>
        </is>
      </c>
      <c r="G29" s="3" t="inlineStr">
        <is>
          <t>not_applicable</t>
        </is>
      </c>
      <c r="H29" s="3" t="inlineStr">
        <is>
          <t>not_applicable</t>
        </is>
      </c>
      <c r="I29" s="3" t="inlineStr"/>
      <c r="J29" s="3" t="inlineStr">
        <is>
          <t>SYNTHETIC TEST DATA ONLY. Exclude is a placeholder for testing the checker workflow, not a scientific assessment. Do not use this sample in research results.</t>
        </is>
      </c>
      <c r="K29" s="3" t="inlineStr">
        <is>
          <t>yes</t>
        </is>
      </c>
    </row>
    <row r="30" ht="136" customHeight="1">
      <c r="A30" s="2" t="inlineStr">
        <is>
          <t>2019::jama.2019.14231::C009</t>
        </is>
      </c>
      <c r="B30" s="2" t="inlineStr">
        <is>
          <t>exclude</t>
        </is>
      </c>
      <c r="C30" s="2" t="inlineStr">
        <is>
          <t>internal_nonstatistical</t>
        </is>
      </c>
      <c r="D30" s="2" t="inlineStr">
        <is>
          <t>not_applicable</t>
        </is>
      </c>
      <c r="E30" s="2" t="inlineStr">
        <is>
          <t>not_applicable</t>
        </is>
      </c>
      <c r="F30" s="2" t="inlineStr">
        <is>
          <t>not_applicable</t>
        </is>
      </c>
      <c r="G30" s="2" t="inlineStr">
        <is>
          <t>not_applicable</t>
        </is>
      </c>
      <c r="H30" s="2" t="inlineStr">
        <is>
          <t>not_applicable</t>
        </is>
      </c>
      <c r="I30" s="2" t="inlineStr"/>
      <c r="J30" s="2" t="inlineStr">
        <is>
          <t>SYNTHETIC TEST DATA ONLY. Exclude is a placeholder for testing the checker workflow, not a scientific assessment. Do not use this sample in research results.</t>
        </is>
      </c>
      <c r="K30" s="2" t="inlineStr">
        <is>
          <t>yes</t>
        </is>
      </c>
    </row>
    <row r="31" ht="136" customHeight="1">
      <c r="A31" s="3" t="inlineStr">
        <is>
          <t>2019::jama.2019.14231::C010</t>
        </is>
      </c>
      <c r="B31" s="3" t="inlineStr">
        <is>
          <t>exclude</t>
        </is>
      </c>
      <c r="C31" s="3" t="inlineStr">
        <is>
          <t>statistical_results</t>
        </is>
      </c>
      <c r="D31" s="3" t="inlineStr">
        <is>
          <t>not_applicable</t>
        </is>
      </c>
      <c r="E31" s="3" t="inlineStr">
        <is>
          <t>not_applicable</t>
        </is>
      </c>
      <c r="F31" s="3" t="inlineStr">
        <is>
          <t>not_applicable</t>
        </is>
      </c>
      <c r="G31" s="3" t="inlineStr">
        <is>
          <t>not_applicable</t>
        </is>
      </c>
      <c r="H31" s="3" t="inlineStr">
        <is>
          <t>not_applicable</t>
        </is>
      </c>
      <c r="I31" s="3" t="inlineStr"/>
      <c r="J31" s="3" t="inlineStr">
        <is>
          <t>SYNTHETIC TEST DATA ONLY. Exclude is a placeholder for testing the checker workflow, not a scientific assessment. Do not use this sample in research results.</t>
        </is>
      </c>
      <c r="K31" s="3" t="inlineStr">
        <is>
          <t>yes</t>
        </is>
      </c>
    </row>
    <row r="32" ht="136" customHeight="1">
      <c r="A32" s="2" t="inlineStr">
        <is>
          <t>2019::jama.2019.14231::C011</t>
        </is>
      </c>
      <c r="B32" s="2" t="inlineStr">
        <is>
          <t>exclude</t>
        </is>
      </c>
      <c r="C32" s="2" t="inlineStr">
        <is>
          <t>internal_nonstatistical</t>
        </is>
      </c>
      <c r="D32" s="2" t="inlineStr">
        <is>
          <t>not_applicable</t>
        </is>
      </c>
      <c r="E32" s="2" t="inlineStr">
        <is>
          <t>not_applicable</t>
        </is>
      </c>
      <c r="F32" s="2" t="inlineStr">
        <is>
          <t>not_applicable</t>
        </is>
      </c>
      <c r="G32" s="2" t="inlineStr">
        <is>
          <t>not_applicable</t>
        </is>
      </c>
      <c r="H32" s="2" t="inlineStr">
        <is>
          <t>not_applicable</t>
        </is>
      </c>
      <c r="I32" s="2" t="inlineStr"/>
      <c r="J32" s="2" t="inlineStr">
        <is>
          <t>SYNTHETIC TEST DATA ONLY. Exclude is a placeholder for testing the checker workflow, not a scientific assessment. Do not use this sample in research results.</t>
        </is>
      </c>
      <c r="K32" s="2" t="inlineStr">
        <is>
          <t>yes</t>
        </is>
      </c>
    </row>
    <row r="33" ht="136" customHeight="1">
      <c r="A33" s="3" t="inlineStr">
        <is>
          <t>2019::jama.2019.14630::C001</t>
        </is>
      </c>
      <c r="B33" s="3" t="inlineStr">
        <is>
          <t>exclude</t>
        </is>
      </c>
      <c r="C33" s="3" t="inlineStr">
        <is>
          <t>internal_nonstatistical</t>
        </is>
      </c>
      <c r="D33" s="3" t="inlineStr">
        <is>
          <t>not_applicable</t>
        </is>
      </c>
      <c r="E33" s="3" t="inlineStr">
        <is>
          <t>not_applicable</t>
        </is>
      </c>
      <c r="F33" s="3" t="inlineStr">
        <is>
          <t>not_applicable</t>
        </is>
      </c>
      <c r="G33" s="3" t="inlineStr">
        <is>
          <t>not_applicable</t>
        </is>
      </c>
      <c r="H33" s="3" t="inlineStr">
        <is>
          <t>not_applicable</t>
        </is>
      </c>
      <c r="I33" s="3" t="inlineStr"/>
      <c r="J33" s="3" t="inlineStr">
        <is>
          <t>SYNTHETIC TEST DATA ONLY. Exclude is a placeholder for testing the checker workflow, not a scientific assessment. Do not use this sample in research results.</t>
        </is>
      </c>
      <c r="K33" s="3" t="inlineStr">
        <is>
          <t>yes</t>
        </is>
      </c>
    </row>
    <row r="34" ht="136" customHeight="1">
      <c r="A34" s="2" t="inlineStr">
        <is>
          <t>2019::jama.2019.14630::C002</t>
        </is>
      </c>
      <c r="B34" s="2" t="inlineStr">
        <is>
          <t>exclude</t>
        </is>
      </c>
      <c r="C34" s="2" t="inlineStr">
        <is>
          <t>statistical_results</t>
        </is>
      </c>
      <c r="D34" s="2" t="inlineStr">
        <is>
          <t>not_applicable</t>
        </is>
      </c>
      <c r="E34" s="2" t="inlineStr">
        <is>
          <t>not_applicable</t>
        </is>
      </c>
      <c r="F34" s="2" t="inlineStr">
        <is>
          <t>not_applicable</t>
        </is>
      </c>
      <c r="G34" s="2" t="inlineStr">
        <is>
          <t>not_applicable</t>
        </is>
      </c>
      <c r="H34" s="2" t="inlineStr">
        <is>
          <t>not_applicable</t>
        </is>
      </c>
      <c r="I34" s="2" t="inlineStr"/>
      <c r="J34" s="2" t="inlineStr">
        <is>
          <t>SYNTHETIC TEST DATA ONLY. Exclude is a placeholder for testing the checker workflow, not a scientific assessment. Do not use this sample in research results.</t>
        </is>
      </c>
      <c r="K34" s="2" t="inlineStr">
        <is>
          <t>yes</t>
        </is>
      </c>
    </row>
    <row r="35" ht="136" customHeight="1">
      <c r="A35" s="3" t="inlineStr">
        <is>
          <t>2019::jama.2019.14630::C003</t>
        </is>
      </c>
      <c r="B35" s="3" t="inlineStr">
        <is>
          <t>exclude</t>
        </is>
      </c>
      <c r="C35" s="3" t="inlineStr">
        <is>
          <t>internal_nonstatistical</t>
        </is>
      </c>
      <c r="D35" s="3" t="inlineStr">
        <is>
          <t>not_applicable</t>
        </is>
      </c>
      <c r="E35" s="3" t="inlineStr">
        <is>
          <t>not_applicable</t>
        </is>
      </c>
      <c r="F35" s="3" t="inlineStr">
        <is>
          <t>not_applicable</t>
        </is>
      </c>
      <c r="G35" s="3" t="inlineStr">
        <is>
          <t>not_applicable</t>
        </is>
      </c>
      <c r="H35" s="3" t="inlineStr">
        <is>
          <t>not_applicable</t>
        </is>
      </c>
      <c r="I35" s="3" t="inlineStr"/>
      <c r="J35" s="3" t="inlineStr">
        <is>
          <t>SYNTHETIC TEST DATA ONLY. Exclude is a placeholder for testing the checker workflow, not a scientific assessment. Do not use this sample in research results.</t>
        </is>
      </c>
      <c r="K35" s="3" t="inlineStr">
        <is>
          <t>yes</t>
        </is>
      </c>
    </row>
    <row r="36" ht="136" customHeight="1">
      <c r="A36" s="2" t="inlineStr">
        <is>
          <t>2019::jama.2019.14630::C004</t>
        </is>
      </c>
      <c r="B36" s="2" t="inlineStr">
        <is>
          <t>exclude</t>
        </is>
      </c>
      <c r="C36" s="2" t="inlineStr">
        <is>
          <t>internal_nonstatistical</t>
        </is>
      </c>
      <c r="D36" s="2" t="inlineStr">
        <is>
          <t>not_applicable</t>
        </is>
      </c>
      <c r="E36" s="2" t="inlineStr">
        <is>
          <t>not_applicable</t>
        </is>
      </c>
      <c r="F36" s="2" t="inlineStr">
        <is>
          <t>not_applicable</t>
        </is>
      </c>
      <c r="G36" s="2" t="inlineStr">
        <is>
          <t>not_applicable</t>
        </is>
      </c>
      <c r="H36" s="2" t="inlineStr">
        <is>
          <t>not_applicable</t>
        </is>
      </c>
      <c r="I36" s="2" t="inlineStr"/>
      <c r="J36" s="2" t="inlineStr">
        <is>
          <t>SYNTHETIC TEST DATA ONLY. Exclude is a placeholder for testing the checker workflow, not a scientific assessment. Do not use this sample in research results.</t>
        </is>
      </c>
      <c r="K36" s="2" t="inlineStr">
        <is>
          <t>yes</t>
        </is>
      </c>
    </row>
    <row r="37" ht="136" customHeight="1">
      <c r="A37" s="3" t="inlineStr">
        <is>
          <t>2019::jama.2019.14630::C005</t>
        </is>
      </c>
      <c r="B37" s="3" t="inlineStr">
        <is>
          <t>exclude</t>
        </is>
      </c>
      <c r="C37" s="3" t="inlineStr">
        <is>
          <t>internal_nonstatistical</t>
        </is>
      </c>
      <c r="D37" s="3" t="inlineStr">
        <is>
          <t>not_applicable</t>
        </is>
      </c>
      <c r="E37" s="3" t="inlineStr">
        <is>
          <t>not_applicable</t>
        </is>
      </c>
      <c r="F37" s="3" t="inlineStr">
        <is>
          <t>not_applicable</t>
        </is>
      </c>
      <c r="G37" s="3" t="inlineStr">
        <is>
          <t>not_applicable</t>
        </is>
      </c>
      <c r="H37" s="3" t="inlineStr">
        <is>
          <t>not_applicable</t>
        </is>
      </c>
      <c r="I37" s="3" t="inlineStr"/>
      <c r="J37" s="3" t="inlineStr">
        <is>
          <t>SYNTHETIC TEST DATA ONLY. Exclude is a placeholder for testing the checker workflow, not a scientific assessment. Do not use this sample in research results.</t>
        </is>
      </c>
      <c r="K37" s="3" t="inlineStr">
        <is>
          <t>yes</t>
        </is>
      </c>
    </row>
    <row r="38" ht="136" customHeight="1">
      <c r="A38" s="2" t="inlineStr">
        <is>
          <t>2019::jama.2019.14630::C006</t>
        </is>
      </c>
      <c r="B38" s="2" t="inlineStr">
        <is>
          <t>exclude</t>
        </is>
      </c>
      <c r="C38" s="2" t="inlineStr">
        <is>
          <t>internal_nonstatistical</t>
        </is>
      </c>
      <c r="D38" s="2" t="inlineStr">
        <is>
          <t>not_applicable</t>
        </is>
      </c>
      <c r="E38" s="2" t="inlineStr">
        <is>
          <t>not_applicable</t>
        </is>
      </c>
      <c r="F38" s="2" t="inlineStr">
        <is>
          <t>not_applicable</t>
        </is>
      </c>
      <c r="G38" s="2" t="inlineStr">
        <is>
          <t>not_applicable</t>
        </is>
      </c>
      <c r="H38" s="2" t="inlineStr">
        <is>
          <t>not_applicable</t>
        </is>
      </c>
      <c r="I38" s="2" t="inlineStr"/>
      <c r="J38" s="2" t="inlineStr">
        <is>
          <t>SYNTHETIC TEST DATA ONLY. Exclude is a placeholder for testing the checker workflow, not a scientific assessment. Do not use this sample in research results.</t>
        </is>
      </c>
      <c r="K38" s="2" t="inlineStr">
        <is>
          <t>yes</t>
        </is>
      </c>
    </row>
    <row r="39" ht="136" customHeight="1">
      <c r="A39" s="3" t="inlineStr">
        <is>
          <t>2019::jama.2019.14630::C007</t>
        </is>
      </c>
      <c r="B39" s="3" t="inlineStr">
        <is>
          <t>exclude</t>
        </is>
      </c>
      <c r="C39" s="3" t="inlineStr">
        <is>
          <t>internal_nonstatistical</t>
        </is>
      </c>
      <c r="D39" s="3" t="inlineStr">
        <is>
          <t>not_applicable</t>
        </is>
      </c>
      <c r="E39" s="3" t="inlineStr">
        <is>
          <t>not_applicable</t>
        </is>
      </c>
      <c r="F39" s="3" t="inlineStr">
        <is>
          <t>not_applicable</t>
        </is>
      </c>
      <c r="G39" s="3" t="inlineStr">
        <is>
          <t>not_applicable</t>
        </is>
      </c>
      <c r="H39" s="3" t="inlineStr">
        <is>
          <t>not_applicable</t>
        </is>
      </c>
      <c r="I39" s="3" t="inlineStr"/>
      <c r="J39" s="3" t="inlineStr">
        <is>
          <t>SYNTHETIC TEST DATA ONLY. Exclude is a placeholder for testing the checker workflow, not a scientific assessment. Do not use this sample in research results.</t>
        </is>
      </c>
      <c r="K39" s="3" t="inlineStr">
        <is>
          <t>yes</t>
        </is>
      </c>
    </row>
    <row r="40" ht="136" customHeight="1">
      <c r="A40" s="2" t="inlineStr">
        <is>
          <t>2019::jama.2019.14630::C008</t>
        </is>
      </c>
      <c r="B40" s="2" t="inlineStr">
        <is>
          <t>exclude</t>
        </is>
      </c>
      <c r="C40" s="2" t="inlineStr">
        <is>
          <t>internal_nonstatistical</t>
        </is>
      </c>
      <c r="D40" s="2" t="inlineStr">
        <is>
          <t>not_applicable</t>
        </is>
      </c>
      <c r="E40" s="2" t="inlineStr">
        <is>
          <t>not_applicable</t>
        </is>
      </c>
      <c r="F40" s="2" t="inlineStr">
        <is>
          <t>not_applicable</t>
        </is>
      </c>
      <c r="G40" s="2" t="inlineStr">
        <is>
          <t>not_applicable</t>
        </is>
      </c>
      <c r="H40" s="2" t="inlineStr">
        <is>
          <t>not_applicable</t>
        </is>
      </c>
      <c r="I40" s="2" t="inlineStr"/>
      <c r="J40" s="2" t="inlineStr">
        <is>
          <t>SYNTHETIC TEST DATA ONLY. Exclude is a placeholder for testing the checker workflow, not a scientific assessment. Do not use this sample in research results.</t>
        </is>
      </c>
      <c r="K40" s="2" t="inlineStr">
        <is>
          <t>yes</t>
        </is>
      </c>
    </row>
    <row r="41" ht="136" customHeight="1">
      <c r="A41" s="3" t="inlineStr">
        <is>
          <t>2019::jama.2019.14630::C009</t>
        </is>
      </c>
      <c r="B41" s="3" t="inlineStr">
        <is>
          <t>exclude</t>
        </is>
      </c>
      <c r="C41" s="3" t="inlineStr">
        <is>
          <t>internal_nonstatistical</t>
        </is>
      </c>
      <c r="D41" s="3" t="inlineStr">
        <is>
          <t>not_applicable</t>
        </is>
      </c>
      <c r="E41" s="3" t="inlineStr">
        <is>
          <t>not_applicable</t>
        </is>
      </c>
      <c r="F41" s="3" t="inlineStr">
        <is>
          <t>not_applicable</t>
        </is>
      </c>
      <c r="G41" s="3" t="inlineStr">
        <is>
          <t>not_applicable</t>
        </is>
      </c>
      <c r="H41" s="3" t="inlineStr">
        <is>
          <t>not_applicable</t>
        </is>
      </c>
      <c r="I41" s="3" t="inlineStr"/>
      <c r="J41" s="3" t="inlineStr">
        <is>
          <t>SYNTHETIC TEST DATA ONLY. Exclude is a placeholder for testing the checker workflow, not a scientific assessment. Do not use this sample in research results.</t>
        </is>
      </c>
      <c r="K41" s="3" t="inlineStr">
        <is>
          <t>yes</t>
        </is>
      </c>
    </row>
    <row r="42" ht="136" customHeight="1">
      <c r="A42" s="2" t="inlineStr">
        <is>
          <t>2019::jama.2019.14901::C001</t>
        </is>
      </c>
      <c r="B42" s="2" t="inlineStr">
        <is>
          <t>exclude</t>
        </is>
      </c>
      <c r="C42" s="2" t="inlineStr">
        <is>
          <t>statistical_results</t>
        </is>
      </c>
      <c r="D42" s="2" t="inlineStr">
        <is>
          <t>not_applicable</t>
        </is>
      </c>
      <c r="E42" s="2" t="inlineStr">
        <is>
          <t>not_applicable</t>
        </is>
      </c>
      <c r="F42" s="2" t="inlineStr">
        <is>
          <t>not_applicable</t>
        </is>
      </c>
      <c r="G42" s="2" t="inlineStr">
        <is>
          <t>not_applicable</t>
        </is>
      </c>
      <c r="H42" s="2" t="inlineStr">
        <is>
          <t>not_applicable</t>
        </is>
      </c>
      <c r="I42" s="2" t="inlineStr"/>
      <c r="J42" s="2" t="inlineStr">
        <is>
          <t>SYNTHETIC TEST DATA ONLY. Exclude is a placeholder for testing the checker workflow, not a scientific assessment. Do not use this sample in research results.</t>
        </is>
      </c>
      <c r="K42" s="2" t="inlineStr">
        <is>
          <t>yes</t>
        </is>
      </c>
    </row>
    <row r="43" ht="136" customHeight="1">
      <c r="A43" s="3" t="inlineStr">
        <is>
          <t>2019::jama.2019.14901::C002</t>
        </is>
      </c>
      <c r="B43" s="3" t="inlineStr">
        <is>
          <t>exclude</t>
        </is>
      </c>
      <c r="C43" s="3" t="inlineStr">
        <is>
          <t>protocol_report</t>
        </is>
      </c>
      <c r="D43" s="3" t="inlineStr">
        <is>
          <t>not_applicable</t>
        </is>
      </c>
      <c r="E43" s="3" t="inlineStr">
        <is>
          <t>not_applicable</t>
        </is>
      </c>
      <c r="F43" s="3" t="inlineStr">
        <is>
          <t>not_applicable</t>
        </is>
      </c>
      <c r="G43" s="3" t="inlineStr">
        <is>
          <t>not_applicable</t>
        </is>
      </c>
      <c r="H43" s="3" t="inlineStr">
        <is>
          <t>not_applicable</t>
        </is>
      </c>
      <c r="I43" s="3" t="inlineStr"/>
      <c r="J43" s="3" t="inlineStr">
        <is>
          <t>SYNTHETIC TEST DATA ONLY. Exclude is a placeholder for testing the checker workflow, not a scientific assessment. Do not use this sample in research results.</t>
        </is>
      </c>
      <c r="K43" s="3" t="inlineStr">
        <is>
          <t>yes</t>
        </is>
      </c>
    </row>
    <row r="44" ht="136" customHeight="1">
      <c r="A44" s="2" t="inlineStr">
        <is>
          <t>2019::jama.2019.14901::C003</t>
        </is>
      </c>
      <c r="B44" s="2" t="inlineStr">
        <is>
          <t>exclude</t>
        </is>
      </c>
      <c r="C44" s="2" t="inlineStr">
        <is>
          <t>statistical_results</t>
        </is>
      </c>
      <c r="D44" s="2" t="inlineStr">
        <is>
          <t>not_applicable</t>
        </is>
      </c>
      <c r="E44" s="2" t="inlineStr">
        <is>
          <t>not_applicable</t>
        </is>
      </c>
      <c r="F44" s="2" t="inlineStr">
        <is>
          <t>not_applicable</t>
        </is>
      </c>
      <c r="G44" s="2" t="inlineStr">
        <is>
          <t>not_applicable</t>
        </is>
      </c>
      <c r="H44" s="2" t="inlineStr">
        <is>
          <t>not_applicable</t>
        </is>
      </c>
      <c r="I44" s="2" t="inlineStr"/>
      <c r="J44" s="2" t="inlineStr">
        <is>
          <t>SYNTHETIC TEST DATA ONLY. Exclude is a placeholder for testing the checker workflow, not a scientific assessment. Do not use this sample in research results.</t>
        </is>
      </c>
      <c r="K44" s="2" t="inlineStr">
        <is>
          <t>yes</t>
        </is>
      </c>
    </row>
    <row r="45" ht="136" customHeight="1">
      <c r="A45" s="3" t="inlineStr">
        <is>
          <t>2019::jama.2019.14901::C004</t>
        </is>
      </c>
      <c r="B45" s="3" t="inlineStr">
        <is>
          <t>exclude</t>
        </is>
      </c>
      <c r="C45" s="3" t="inlineStr">
        <is>
          <t>statistical_results</t>
        </is>
      </c>
      <c r="D45" s="3" t="inlineStr">
        <is>
          <t>not_applicable</t>
        </is>
      </c>
      <c r="E45" s="3" t="inlineStr">
        <is>
          <t>not_applicable</t>
        </is>
      </c>
      <c r="F45" s="3" t="inlineStr">
        <is>
          <t>not_applicable</t>
        </is>
      </c>
      <c r="G45" s="3" t="inlineStr">
        <is>
          <t>not_applicable</t>
        </is>
      </c>
      <c r="H45" s="3" t="inlineStr">
        <is>
          <t>not_applicable</t>
        </is>
      </c>
      <c r="I45" s="3" t="inlineStr"/>
      <c r="J45" s="3" t="inlineStr">
        <is>
          <t>SYNTHETIC TEST DATA ONLY. Exclude is a placeholder for testing the checker workflow, not a scientific assessment. Do not use this sample in research results.</t>
        </is>
      </c>
      <c r="K45" s="3" t="inlineStr">
        <is>
          <t>yes</t>
        </is>
      </c>
    </row>
    <row r="46" ht="136" customHeight="1">
      <c r="A46" s="2" t="inlineStr">
        <is>
          <t>2019::jama.2019.14901::C005</t>
        </is>
      </c>
      <c r="B46" s="2" t="inlineStr">
        <is>
          <t>exclude</t>
        </is>
      </c>
      <c r="C46" s="2" t="inlineStr">
        <is>
          <t>internal_nonstatistical</t>
        </is>
      </c>
      <c r="D46" s="2" t="inlineStr">
        <is>
          <t>not_applicable</t>
        </is>
      </c>
      <c r="E46" s="2" t="inlineStr">
        <is>
          <t>not_applicable</t>
        </is>
      </c>
      <c r="F46" s="2" t="inlineStr">
        <is>
          <t>not_applicable</t>
        </is>
      </c>
      <c r="G46" s="2" t="inlineStr">
        <is>
          <t>not_applicable</t>
        </is>
      </c>
      <c r="H46" s="2" t="inlineStr">
        <is>
          <t>not_applicable</t>
        </is>
      </c>
      <c r="I46" s="2" t="inlineStr"/>
      <c r="J46" s="2" t="inlineStr">
        <is>
          <t>SYNTHETIC TEST DATA ONLY. Exclude is a placeholder for testing the checker workflow, not a scientific assessment. Do not use this sample in research results.</t>
        </is>
      </c>
      <c r="K46" s="2" t="inlineStr">
        <is>
          <t>yes</t>
        </is>
      </c>
    </row>
    <row r="47" ht="136" customHeight="1">
      <c r="A47" s="3" t="inlineStr">
        <is>
          <t>2019::jama.2019.14901::C006</t>
        </is>
      </c>
      <c r="B47" s="3" t="inlineStr">
        <is>
          <t>exclude</t>
        </is>
      </c>
      <c r="C47" s="3" t="inlineStr">
        <is>
          <t>plan_material</t>
        </is>
      </c>
      <c r="D47" s="3" t="inlineStr">
        <is>
          <t>not_applicable</t>
        </is>
      </c>
      <c r="E47" s="3" t="inlineStr">
        <is>
          <t>not_applicable</t>
        </is>
      </c>
      <c r="F47" s="3" t="inlineStr">
        <is>
          <t>not_applicable</t>
        </is>
      </c>
      <c r="G47" s="3" t="inlineStr">
        <is>
          <t>not_applicable</t>
        </is>
      </c>
      <c r="H47" s="3" t="inlineStr">
        <is>
          <t>not_applicable</t>
        </is>
      </c>
      <c r="I47" s="3" t="inlineStr"/>
      <c r="J47" s="3" t="inlineStr">
        <is>
          <t>SYNTHETIC TEST DATA ONLY. Exclude is a placeholder for testing the checker workflow, not a scientific assessment. Do not use this sample in research results.</t>
        </is>
      </c>
      <c r="K47" s="3" t="inlineStr">
        <is>
          <t>yes</t>
        </is>
      </c>
    </row>
    <row r="48" ht="136" customHeight="1">
      <c r="A48" s="2" t="inlineStr">
        <is>
          <t>2019::jama.2019.17380::C001</t>
        </is>
      </c>
      <c r="B48" s="2" t="inlineStr">
        <is>
          <t>exclude</t>
        </is>
      </c>
      <c r="C48" s="2" t="inlineStr">
        <is>
          <t>internal_nonstatistical</t>
        </is>
      </c>
      <c r="D48" s="2" t="inlineStr">
        <is>
          <t>not_applicable</t>
        </is>
      </c>
      <c r="E48" s="2" t="inlineStr">
        <is>
          <t>not_applicable</t>
        </is>
      </c>
      <c r="F48" s="2" t="inlineStr">
        <is>
          <t>not_applicable</t>
        </is>
      </c>
      <c r="G48" s="2" t="inlineStr">
        <is>
          <t>not_applicable</t>
        </is>
      </c>
      <c r="H48" s="2" t="inlineStr">
        <is>
          <t>not_applicable</t>
        </is>
      </c>
      <c r="I48" s="2" t="inlineStr"/>
      <c r="J48" s="2" t="inlineStr">
        <is>
          <t>SYNTHETIC TEST DATA ONLY. Exclude is a placeholder for testing the checker workflow, not a scientific assessment. Do not use this sample in research results.</t>
        </is>
      </c>
      <c r="K48" s="2" t="inlineStr">
        <is>
          <t>yes</t>
        </is>
      </c>
    </row>
    <row r="49" ht="136" customHeight="1">
      <c r="A49" s="3" t="inlineStr">
        <is>
          <t>2019::jama.2019.17380::C002</t>
        </is>
      </c>
      <c r="B49" s="3" t="inlineStr">
        <is>
          <t>exclude</t>
        </is>
      </c>
      <c r="C49" s="3" t="inlineStr">
        <is>
          <t>internal_nonstatistical</t>
        </is>
      </c>
      <c r="D49" s="3" t="inlineStr">
        <is>
          <t>not_applicable</t>
        </is>
      </c>
      <c r="E49" s="3" t="inlineStr">
        <is>
          <t>not_applicable</t>
        </is>
      </c>
      <c r="F49" s="3" t="inlineStr">
        <is>
          <t>not_applicable</t>
        </is>
      </c>
      <c r="G49" s="3" t="inlineStr">
        <is>
          <t>not_applicable</t>
        </is>
      </c>
      <c r="H49" s="3" t="inlineStr">
        <is>
          <t>not_applicable</t>
        </is>
      </c>
      <c r="I49" s="3" t="inlineStr"/>
      <c r="J49" s="3" t="inlineStr">
        <is>
          <t>SYNTHETIC TEST DATA ONLY. Exclude is a placeholder for testing the checker workflow, not a scientific assessment. Do not use this sample in research results.</t>
        </is>
      </c>
      <c r="K49" s="3" t="inlineStr">
        <is>
          <t>yes</t>
        </is>
      </c>
    </row>
    <row r="50" ht="136" customHeight="1">
      <c r="A50" s="2" t="inlineStr">
        <is>
          <t>2019::jama.2019.17380::C003</t>
        </is>
      </c>
      <c r="B50" s="2" t="inlineStr">
        <is>
          <t>exclude</t>
        </is>
      </c>
      <c r="C50" s="2" t="inlineStr">
        <is>
          <t>internal_nonstatistical</t>
        </is>
      </c>
      <c r="D50" s="2" t="inlineStr">
        <is>
          <t>not_applicable</t>
        </is>
      </c>
      <c r="E50" s="2" t="inlineStr">
        <is>
          <t>not_applicable</t>
        </is>
      </c>
      <c r="F50" s="2" t="inlineStr">
        <is>
          <t>not_applicable</t>
        </is>
      </c>
      <c r="G50" s="2" t="inlineStr">
        <is>
          <t>not_applicable</t>
        </is>
      </c>
      <c r="H50" s="2" t="inlineStr">
        <is>
          <t>not_applicable</t>
        </is>
      </c>
      <c r="I50" s="2" t="inlineStr"/>
      <c r="J50" s="2" t="inlineStr">
        <is>
          <t>SYNTHETIC TEST DATA ONLY. Exclude is a placeholder for testing the checker workflow, not a scientific assessment. Do not use this sample in research results.</t>
        </is>
      </c>
      <c r="K50" s="2" t="inlineStr">
        <is>
          <t>yes</t>
        </is>
      </c>
    </row>
    <row r="51" ht="136" customHeight="1">
      <c r="A51" s="3" t="inlineStr">
        <is>
          <t>2019::jama.2019.17380::C004</t>
        </is>
      </c>
      <c r="B51" s="3" t="inlineStr">
        <is>
          <t>exclude</t>
        </is>
      </c>
      <c r="C51" s="3" t="inlineStr">
        <is>
          <t>internal_nonstatistical</t>
        </is>
      </c>
      <c r="D51" s="3" t="inlineStr">
        <is>
          <t>not_applicable</t>
        </is>
      </c>
      <c r="E51" s="3" t="inlineStr">
        <is>
          <t>not_applicable</t>
        </is>
      </c>
      <c r="F51" s="3" t="inlineStr">
        <is>
          <t>not_applicable</t>
        </is>
      </c>
      <c r="G51" s="3" t="inlineStr">
        <is>
          <t>not_applicable</t>
        </is>
      </c>
      <c r="H51" s="3" t="inlineStr">
        <is>
          <t>not_applicable</t>
        </is>
      </c>
      <c r="I51" s="3" t="inlineStr"/>
      <c r="J51" s="3" t="inlineStr">
        <is>
          <t>SYNTHETIC TEST DATA ONLY. Exclude is a placeholder for testing the checker workflow, not a scientific assessment. Do not use this sample in research results.</t>
        </is>
      </c>
      <c r="K51" s="3" t="inlineStr">
        <is>
          <t>yes</t>
        </is>
      </c>
    </row>
    <row r="52" ht="136" customHeight="1">
      <c r="A52" s="2" t="inlineStr">
        <is>
          <t>2019::jama.2019.17380::C005</t>
        </is>
      </c>
      <c r="B52" s="2" t="inlineStr">
        <is>
          <t>exclude</t>
        </is>
      </c>
      <c r="C52" s="2" t="inlineStr">
        <is>
          <t>internal_nonstatistical</t>
        </is>
      </c>
      <c r="D52" s="2" t="inlineStr">
        <is>
          <t>not_applicable</t>
        </is>
      </c>
      <c r="E52" s="2" t="inlineStr">
        <is>
          <t>not_applicable</t>
        </is>
      </c>
      <c r="F52" s="2" t="inlineStr">
        <is>
          <t>not_applicable</t>
        </is>
      </c>
      <c r="G52" s="2" t="inlineStr">
        <is>
          <t>not_applicable</t>
        </is>
      </c>
      <c r="H52" s="2" t="inlineStr">
        <is>
          <t>not_applicable</t>
        </is>
      </c>
      <c r="I52" s="2" t="inlineStr"/>
      <c r="J52" s="2" t="inlineStr">
        <is>
          <t>SYNTHETIC TEST DATA ONLY. Exclude is a placeholder for testing the checker workflow, not a scientific assessment. Do not use this sample in research results.</t>
        </is>
      </c>
      <c r="K52" s="2" t="inlineStr">
        <is>
          <t>yes</t>
        </is>
      </c>
    </row>
    <row r="53" ht="136" customHeight="1">
      <c r="A53" s="3" t="inlineStr">
        <is>
          <t>2019::jama.2019.17380::C006</t>
        </is>
      </c>
      <c r="B53" s="3" t="inlineStr">
        <is>
          <t>exclude</t>
        </is>
      </c>
      <c r="C53" s="3" t="inlineStr">
        <is>
          <t>internal_nonstatistical</t>
        </is>
      </c>
      <c r="D53" s="3" t="inlineStr">
        <is>
          <t>not_applicable</t>
        </is>
      </c>
      <c r="E53" s="3" t="inlineStr">
        <is>
          <t>not_applicable</t>
        </is>
      </c>
      <c r="F53" s="3" t="inlineStr">
        <is>
          <t>not_applicable</t>
        </is>
      </c>
      <c r="G53" s="3" t="inlineStr">
        <is>
          <t>not_applicable</t>
        </is>
      </c>
      <c r="H53" s="3" t="inlineStr">
        <is>
          <t>not_applicable</t>
        </is>
      </c>
      <c r="I53" s="3" t="inlineStr"/>
      <c r="J53" s="3" t="inlineStr">
        <is>
          <t>SYNTHETIC TEST DATA ONLY. Exclude is a placeholder for testing the checker workflow, not a scientific assessment. Do not use this sample in research results.</t>
        </is>
      </c>
      <c r="K53" s="3" t="inlineStr">
        <is>
          <t>yes</t>
        </is>
      </c>
    </row>
    <row r="54" ht="136" customHeight="1">
      <c r="A54" s="2" t="inlineStr">
        <is>
          <t>2019::jama.2019.17380::C007</t>
        </is>
      </c>
      <c r="B54" s="2" t="inlineStr">
        <is>
          <t>exclude</t>
        </is>
      </c>
      <c r="C54" s="2" t="inlineStr">
        <is>
          <t>protocol_report</t>
        </is>
      </c>
      <c r="D54" s="2" t="inlineStr">
        <is>
          <t>not_applicable</t>
        </is>
      </c>
      <c r="E54" s="2" t="inlineStr">
        <is>
          <t>not_applicable</t>
        </is>
      </c>
      <c r="F54" s="2" t="inlineStr">
        <is>
          <t>not_applicable</t>
        </is>
      </c>
      <c r="G54" s="2" t="inlineStr">
        <is>
          <t>not_applicable</t>
        </is>
      </c>
      <c r="H54" s="2" t="inlineStr">
        <is>
          <t>not_applicable</t>
        </is>
      </c>
      <c r="I54" s="2" t="inlineStr"/>
      <c r="J54" s="2" t="inlineStr">
        <is>
          <t>SYNTHETIC TEST DATA ONLY. Exclude is a placeholder for testing the checker workflow, not a scientific assessment. Do not use this sample in research results.</t>
        </is>
      </c>
      <c r="K54" s="2" t="inlineStr">
        <is>
          <t>yes</t>
        </is>
      </c>
    </row>
    <row r="55" ht="136" customHeight="1">
      <c r="A55" s="3" t="inlineStr">
        <is>
          <t>2019::jama.2019.2210::C001</t>
        </is>
      </c>
      <c r="B55" s="3" t="inlineStr">
        <is>
          <t>exclude</t>
        </is>
      </c>
      <c r="C55" s="3" t="inlineStr">
        <is>
          <t>statistical_results</t>
        </is>
      </c>
      <c r="D55" s="3" t="inlineStr">
        <is>
          <t>not_applicable</t>
        </is>
      </c>
      <c r="E55" s="3" t="inlineStr">
        <is>
          <t>not_applicable</t>
        </is>
      </c>
      <c r="F55" s="3" t="inlineStr">
        <is>
          <t>not_applicable</t>
        </is>
      </c>
      <c r="G55" s="3" t="inlineStr">
        <is>
          <t>not_applicable</t>
        </is>
      </c>
      <c r="H55" s="3" t="inlineStr">
        <is>
          <t>not_applicable</t>
        </is>
      </c>
      <c r="I55" s="3" t="inlineStr"/>
      <c r="J55" s="3" t="inlineStr">
        <is>
          <t>SYNTHETIC TEST DATA ONLY. Exclude is a placeholder for testing the checker workflow, not a scientific assessment. Do not use this sample in research results.</t>
        </is>
      </c>
      <c r="K55" s="3" t="inlineStr">
        <is>
          <t>yes</t>
        </is>
      </c>
    </row>
    <row r="56" ht="136" customHeight="1">
      <c r="A56" s="2" t="inlineStr">
        <is>
          <t>2019::jama.2019.2210::C002</t>
        </is>
      </c>
      <c r="B56" s="2" t="inlineStr">
        <is>
          <t>exclude</t>
        </is>
      </c>
      <c r="C56" s="2" t="inlineStr">
        <is>
          <t>statistical_results</t>
        </is>
      </c>
      <c r="D56" s="2" t="inlineStr">
        <is>
          <t>not_applicable</t>
        </is>
      </c>
      <c r="E56" s="2" t="inlineStr">
        <is>
          <t>not_applicable</t>
        </is>
      </c>
      <c r="F56" s="2" t="inlineStr">
        <is>
          <t>not_applicable</t>
        </is>
      </c>
      <c r="G56" s="2" t="inlineStr">
        <is>
          <t>not_applicable</t>
        </is>
      </c>
      <c r="H56" s="2" t="inlineStr">
        <is>
          <t>not_applicable</t>
        </is>
      </c>
      <c r="I56" s="2" t="inlineStr"/>
      <c r="J56" s="2" t="inlineStr">
        <is>
          <t>SYNTHETIC TEST DATA ONLY. Exclude is a placeholder for testing the checker workflow, not a scientific assessment. Do not use this sample in research results.</t>
        </is>
      </c>
      <c r="K56" s="2" t="inlineStr">
        <is>
          <t>yes</t>
        </is>
      </c>
    </row>
    <row r="57" ht="136" customHeight="1">
      <c r="A57" s="3" t="inlineStr">
        <is>
          <t>2019::jama.2019.2210::C003</t>
        </is>
      </c>
      <c r="B57" s="3" t="inlineStr">
        <is>
          <t>exclude</t>
        </is>
      </c>
      <c r="C57" s="3" t="inlineStr">
        <is>
          <t>plan_material</t>
        </is>
      </c>
      <c r="D57" s="3" t="inlineStr">
        <is>
          <t>not_applicable</t>
        </is>
      </c>
      <c r="E57" s="3" t="inlineStr">
        <is>
          <t>not_applicable</t>
        </is>
      </c>
      <c r="F57" s="3" t="inlineStr">
        <is>
          <t>not_applicable</t>
        </is>
      </c>
      <c r="G57" s="3" t="inlineStr">
        <is>
          <t>not_applicable</t>
        </is>
      </c>
      <c r="H57" s="3" t="inlineStr">
        <is>
          <t>not_applicable</t>
        </is>
      </c>
      <c r="I57" s="3" t="inlineStr"/>
      <c r="J57" s="3" t="inlineStr">
        <is>
          <t>SYNTHETIC TEST DATA ONLY. Exclude is a placeholder for testing the checker workflow, not a scientific assessment. Do not use this sample in research results.</t>
        </is>
      </c>
      <c r="K57" s="3" t="inlineStr">
        <is>
          <t>yes</t>
        </is>
      </c>
    </row>
    <row r="58" ht="136" customHeight="1">
      <c r="A58" s="2" t="inlineStr">
        <is>
          <t>2019::jama.2019.2210::C004</t>
        </is>
      </c>
      <c r="B58" s="2" t="inlineStr">
        <is>
          <t>exclude</t>
        </is>
      </c>
      <c r="C58" s="2" t="inlineStr">
        <is>
          <t>protocol_report</t>
        </is>
      </c>
      <c r="D58" s="2" t="inlineStr">
        <is>
          <t>not_applicable</t>
        </is>
      </c>
      <c r="E58" s="2" t="inlineStr">
        <is>
          <t>not_applicable</t>
        </is>
      </c>
      <c r="F58" s="2" t="inlineStr">
        <is>
          <t>not_applicable</t>
        </is>
      </c>
      <c r="G58" s="2" t="inlineStr">
        <is>
          <t>not_applicable</t>
        </is>
      </c>
      <c r="H58" s="2" t="inlineStr">
        <is>
          <t>not_applicable</t>
        </is>
      </c>
      <c r="I58" s="2" t="inlineStr"/>
      <c r="J58" s="2" t="inlineStr">
        <is>
          <t>SYNTHETIC TEST DATA ONLY. Exclude is a placeholder for testing the checker workflow, not a scientific assessment. Do not use this sample in research results.</t>
        </is>
      </c>
      <c r="K58" s="2" t="inlineStr">
        <is>
          <t>yes</t>
        </is>
      </c>
    </row>
    <row r="59" ht="136" customHeight="1">
      <c r="A59" s="3" t="inlineStr">
        <is>
          <t>2019::jama.2019.2210::C005</t>
        </is>
      </c>
      <c r="B59" s="3" t="inlineStr">
        <is>
          <t>exclude</t>
        </is>
      </c>
      <c r="C59" s="3" t="inlineStr">
        <is>
          <t>plan_material</t>
        </is>
      </c>
      <c r="D59" s="3" t="inlineStr">
        <is>
          <t>not_applicable</t>
        </is>
      </c>
      <c r="E59" s="3" t="inlineStr">
        <is>
          <t>not_applicable</t>
        </is>
      </c>
      <c r="F59" s="3" t="inlineStr">
        <is>
          <t>not_applicable</t>
        </is>
      </c>
      <c r="G59" s="3" t="inlineStr">
        <is>
          <t>not_applicable</t>
        </is>
      </c>
      <c r="H59" s="3" t="inlineStr">
        <is>
          <t>not_applicable</t>
        </is>
      </c>
      <c r="I59" s="3" t="inlineStr"/>
      <c r="J59" s="3" t="inlineStr">
        <is>
          <t>SYNTHETIC TEST DATA ONLY. Exclude is a placeholder for testing the checker workflow, not a scientific assessment. Do not use this sample in research results.</t>
        </is>
      </c>
      <c r="K59" s="3" t="inlineStr">
        <is>
          <t>yes</t>
        </is>
      </c>
    </row>
    <row r="60" ht="136" customHeight="1">
      <c r="A60" s="2" t="inlineStr">
        <is>
          <t>2019::jama.2019.2210::C006</t>
        </is>
      </c>
      <c r="B60" s="2" t="inlineStr">
        <is>
          <t>exclude</t>
        </is>
      </c>
      <c r="C60" s="2" t="inlineStr">
        <is>
          <t>internal_nonstatistical</t>
        </is>
      </c>
      <c r="D60" s="2" t="inlineStr">
        <is>
          <t>not_applicable</t>
        </is>
      </c>
      <c r="E60" s="2" t="inlineStr">
        <is>
          <t>not_applicable</t>
        </is>
      </c>
      <c r="F60" s="2" t="inlineStr">
        <is>
          <t>not_applicable</t>
        </is>
      </c>
      <c r="G60" s="2" t="inlineStr">
        <is>
          <t>not_applicable</t>
        </is>
      </c>
      <c r="H60" s="2" t="inlineStr">
        <is>
          <t>not_applicable</t>
        </is>
      </c>
      <c r="I60" s="2" t="inlineStr"/>
      <c r="J60" s="2" t="inlineStr">
        <is>
          <t>SYNTHETIC TEST DATA ONLY. Exclude is a placeholder for testing the checker workflow, not a scientific assessment. Do not use this sample in research results.</t>
        </is>
      </c>
      <c r="K60" s="2" t="inlineStr">
        <is>
          <t>yes</t>
        </is>
      </c>
    </row>
    <row r="61" ht="136" customHeight="1">
      <c r="A61" s="3" t="inlineStr">
        <is>
          <t>2019::jama.2019.2210::C007</t>
        </is>
      </c>
      <c r="B61" s="3" t="inlineStr">
        <is>
          <t>exclude</t>
        </is>
      </c>
      <c r="C61" s="3" t="inlineStr">
        <is>
          <t>statistical_results</t>
        </is>
      </c>
      <c r="D61" s="3" t="inlineStr">
        <is>
          <t>not_applicable</t>
        </is>
      </c>
      <c r="E61" s="3" t="inlineStr">
        <is>
          <t>not_applicable</t>
        </is>
      </c>
      <c r="F61" s="3" t="inlineStr">
        <is>
          <t>not_applicable</t>
        </is>
      </c>
      <c r="G61" s="3" t="inlineStr">
        <is>
          <t>not_applicable</t>
        </is>
      </c>
      <c r="H61" s="3" t="inlineStr">
        <is>
          <t>not_applicable</t>
        </is>
      </c>
      <c r="I61" s="3" t="inlineStr"/>
      <c r="J61" s="3" t="inlineStr">
        <is>
          <t>SYNTHETIC TEST DATA ONLY. Exclude is a placeholder for testing the checker workflow, not a scientific assessment. Do not use this sample in research results.</t>
        </is>
      </c>
      <c r="K61" s="3" t="inlineStr">
        <is>
          <t>yes</t>
        </is>
      </c>
    </row>
    <row r="62" ht="136" customHeight="1">
      <c r="A62" s="2" t="inlineStr">
        <is>
          <t>2019::jama.2019.2210::C008</t>
        </is>
      </c>
      <c r="B62" s="2" t="inlineStr">
        <is>
          <t>exclude</t>
        </is>
      </c>
      <c r="C62" s="2" t="inlineStr">
        <is>
          <t>protocol_report</t>
        </is>
      </c>
      <c r="D62" s="2" t="inlineStr">
        <is>
          <t>not_applicable</t>
        </is>
      </c>
      <c r="E62" s="2" t="inlineStr">
        <is>
          <t>not_applicable</t>
        </is>
      </c>
      <c r="F62" s="2" t="inlineStr">
        <is>
          <t>not_applicable</t>
        </is>
      </c>
      <c r="G62" s="2" t="inlineStr">
        <is>
          <t>not_applicable</t>
        </is>
      </c>
      <c r="H62" s="2" t="inlineStr">
        <is>
          <t>not_applicable</t>
        </is>
      </c>
      <c r="I62" s="2" t="inlineStr"/>
      <c r="J62" s="2" t="inlineStr">
        <is>
          <t>SYNTHETIC TEST DATA ONLY. Exclude is a placeholder for testing the checker workflow, not a scientific assessment. Do not use this sample in research results.</t>
        </is>
      </c>
      <c r="K62" s="2" t="inlineStr">
        <is>
          <t>yes</t>
        </is>
      </c>
    </row>
    <row r="63" ht="136" customHeight="1">
      <c r="A63" s="3" t="inlineStr">
        <is>
          <t>2019::jama.2019.2210::C009</t>
        </is>
      </c>
      <c r="B63" s="3" t="inlineStr">
        <is>
          <t>exclude</t>
        </is>
      </c>
      <c r="C63" s="3" t="inlineStr">
        <is>
          <t>internal_nonstatistical</t>
        </is>
      </c>
      <c r="D63" s="3" t="inlineStr">
        <is>
          <t>not_applicable</t>
        </is>
      </c>
      <c r="E63" s="3" t="inlineStr">
        <is>
          <t>not_applicable</t>
        </is>
      </c>
      <c r="F63" s="3" t="inlineStr">
        <is>
          <t>not_applicable</t>
        </is>
      </c>
      <c r="G63" s="3" t="inlineStr">
        <is>
          <t>not_applicable</t>
        </is>
      </c>
      <c r="H63" s="3" t="inlineStr">
        <is>
          <t>not_applicable</t>
        </is>
      </c>
      <c r="I63" s="3" t="inlineStr"/>
      <c r="J63" s="3" t="inlineStr">
        <is>
          <t>SYNTHETIC TEST DATA ONLY. Exclude is a placeholder for testing the checker workflow, not a scientific assessment. Do not use this sample in research results.</t>
        </is>
      </c>
      <c r="K63" s="3" t="inlineStr">
        <is>
          <t>yes</t>
        </is>
      </c>
    </row>
    <row r="64" ht="136" customHeight="1">
      <c r="A64" s="2" t="inlineStr">
        <is>
          <t>2019::jama.2019.4755::C001</t>
        </is>
      </c>
      <c r="B64" s="2" t="inlineStr">
        <is>
          <t>exclude</t>
        </is>
      </c>
      <c r="C64" s="2" t="inlineStr">
        <is>
          <t>statistical_results</t>
        </is>
      </c>
      <c r="D64" s="2" t="inlineStr">
        <is>
          <t>not_applicable</t>
        </is>
      </c>
      <c r="E64" s="2" t="inlineStr">
        <is>
          <t>not_applicable</t>
        </is>
      </c>
      <c r="F64" s="2" t="inlineStr">
        <is>
          <t>not_applicable</t>
        </is>
      </c>
      <c r="G64" s="2" t="inlineStr">
        <is>
          <t>not_applicable</t>
        </is>
      </c>
      <c r="H64" s="2" t="inlineStr">
        <is>
          <t>not_applicable</t>
        </is>
      </c>
      <c r="I64" s="2" t="inlineStr"/>
      <c r="J64" s="2" t="inlineStr">
        <is>
          <t>SYNTHETIC TEST DATA ONLY. Exclude is a placeholder for testing the checker workflow, not a scientific assessment. Do not use this sample in research results.</t>
        </is>
      </c>
      <c r="K64" s="2" t="inlineStr">
        <is>
          <t>yes</t>
        </is>
      </c>
    </row>
    <row r="65" ht="136" customHeight="1">
      <c r="A65" s="3" t="inlineStr">
        <is>
          <t>2019::jama.2019.4755::C002</t>
        </is>
      </c>
      <c r="B65" s="3" t="inlineStr">
        <is>
          <t>exclude</t>
        </is>
      </c>
      <c r="C65" s="3" t="inlineStr">
        <is>
          <t>statistical_results</t>
        </is>
      </c>
      <c r="D65" s="3" t="inlineStr">
        <is>
          <t>not_applicable</t>
        </is>
      </c>
      <c r="E65" s="3" t="inlineStr">
        <is>
          <t>not_applicable</t>
        </is>
      </c>
      <c r="F65" s="3" t="inlineStr">
        <is>
          <t>not_applicable</t>
        </is>
      </c>
      <c r="G65" s="3" t="inlineStr">
        <is>
          <t>not_applicable</t>
        </is>
      </c>
      <c r="H65" s="3" t="inlineStr">
        <is>
          <t>not_applicable</t>
        </is>
      </c>
      <c r="I65" s="3" t="inlineStr"/>
      <c r="J65" s="3" t="inlineStr">
        <is>
          <t>SYNTHETIC TEST DATA ONLY. Exclude is a placeholder for testing the checker workflow, not a scientific assessment. Do not use this sample in research results.</t>
        </is>
      </c>
      <c r="K65" s="3" t="inlineStr">
        <is>
          <t>yes</t>
        </is>
      </c>
    </row>
    <row r="66" ht="136" customHeight="1">
      <c r="A66" s="2" t="inlineStr">
        <is>
          <t>2019::jama.2019.4755::C003</t>
        </is>
      </c>
      <c r="B66" s="2" t="inlineStr">
        <is>
          <t>exclude</t>
        </is>
      </c>
      <c r="C66" s="2" t="inlineStr">
        <is>
          <t>statistical_results</t>
        </is>
      </c>
      <c r="D66" s="2" t="inlineStr">
        <is>
          <t>not_applicable</t>
        </is>
      </c>
      <c r="E66" s="2" t="inlineStr">
        <is>
          <t>not_applicable</t>
        </is>
      </c>
      <c r="F66" s="2" t="inlineStr">
        <is>
          <t>not_applicable</t>
        </is>
      </c>
      <c r="G66" s="2" t="inlineStr">
        <is>
          <t>not_applicable</t>
        </is>
      </c>
      <c r="H66" s="2" t="inlineStr">
        <is>
          <t>not_applicable</t>
        </is>
      </c>
      <c r="I66" s="2" t="inlineStr"/>
      <c r="J66" s="2" t="inlineStr">
        <is>
          <t>SYNTHETIC TEST DATA ONLY. Exclude is a placeholder for testing the checker workflow, not a scientific assessment. Do not use this sample in research results.</t>
        </is>
      </c>
      <c r="K66" s="2" t="inlineStr">
        <is>
          <t>yes</t>
        </is>
      </c>
    </row>
    <row r="67" ht="136" customHeight="1">
      <c r="A67" s="3" t="inlineStr">
        <is>
          <t>2019::jama.2019.4755::C004</t>
        </is>
      </c>
      <c r="B67" s="3" t="inlineStr">
        <is>
          <t>exclude</t>
        </is>
      </c>
      <c r="C67" s="3" t="inlineStr">
        <is>
          <t>internal_nonstatistical</t>
        </is>
      </c>
      <c r="D67" s="3" t="inlineStr">
        <is>
          <t>not_applicable</t>
        </is>
      </c>
      <c r="E67" s="3" t="inlineStr">
        <is>
          <t>not_applicable</t>
        </is>
      </c>
      <c r="F67" s="3" t="inlineStr">
        <is>
          <t>not_applicable</t>
        </is>
      </c>
      <c r="G67" s="3" t="inlineStr">
        <is>
          <t>not_applicable</t>
        </is>
      </c>
      <c r="H67" s="3" t="inlineStr">
        <is>
          <t>not_applicable</t>
        </is>
      </c>
      <c r="I67" s="3" t="inlineStr"/>
      <c r="J67" s="3" t="inlineStr">
        <is>
          <t>SYNTHETIC TEST DATA ONLY. Exclude is a placeholder for testing the checker workflow, not a scientific assessment. Do not use this sample in research results.</t>
        </is>
      </c>
      <c r="K67" s="3" t="inlineStr">
        <is>
          <t>yes</t>
        </is>
      </c>
    </row>
    <row r="68" ht="136" customHeight="1">
      <c r="A68" s="2" t="inlineStr">
        <is>
          <t>2019::jama.2019.4755::C005</t>
        </is>
      </c>
      <c r="B68" s="2" t="inlineStr">
        <is>
          <t>exclude</t>
        </is>
      </c>
      <c r="C68" s="2" t="inlineStr">
        <is>
          <t>plan_material</t>
        </is>
      </c>
      <c r="D68" s="2" t="inlineStr">
        <is>
          <t>not_applicable</t>
        </is>
      </c>
      <c r="E68" s="2" t="inlineStr">
        <is>
          <t>not_applicable</t>
        </is>
      </c>
      <c r="F68" s="2" t="inlineStr">
        <is>
          <t>not_applicable</t>
        </is>
      </c>
      <c r="G68" s="2" t="inlineStr">
        <is>
          <t>not_applicable</t>
        </is>
      </c>
      <c r="H68" s="2" t="inlineStr">
        <is>
          <t>not_applicable</t>
        </is>
      </c>
      <c r="I68" s="2" t="inlineStr"/>
      <c r="J68" s="2" t="inlineStr">
        <is>
          <t>SYNTHETIC TEST DATA ONLY. Exclude is a placeholder for testing the checker workflow, not a scientific assessment. Do not use this sample in research results.</t>
        </is>
      </c>
      <c r="K68" s="2" t="inlineStr">
        <is>
          <t>yes</t>
        </is>
      </c>
    </row>
    <row r="69" ht="136" customHeight="1">
      <c r="A69" s="3" t="inlineStr">
        <is>
          <t>2019::jama.2019.7505::C001</t>
        </is>
      </c>
      <c r="B69" s="3" t="inlineStr">
        <is>
          <t>exclude</t>
        </is>
      </c>
      <c r="C69" s="3" t="inlineStr">
        <is>
          <t>internal_nonstatistical</t>
        </is>
      </c>
      <c r="D69" s="3" t="inlineStr">
        <is>
          <t>not_applicable</t>
        </is>
      </c>
      <c r="E69" s="3" t="inlineStr">
        <is>
          <t>not_applicable</t>
        </is>
      </c>
      <c r="F69" s="3" t="inlineStr">
        <is>
          <t>not_applicable</t>
        </is>
      </c>
      <c r="G69" s="3" t="inlineStr">
        <is>
          <t>not_applicable</t>
        </is>
      </c>
      <c r="H69" s="3" t="inlineStr">
        <is>
          <t>not_applicable</t>
        </is>
      </c>
      <c r="I69" s="3" t="inlineStr"/>
      <c r="J69" s="3" t="inlineStr">
        <is>
          <t>SYNTHETIC TEST DATA ONLY. Exclude is a placeholder for testing the checker workflow, not a scientific assessment. Do not use this sample in research results.</t>
        </is>
      </c>
      <c r="K69" s="3" t="inlineStr">
        <is>
          <t>yes</t>
        </is>
      </c>
    </row>
    <row r="70" ht="136" customHeight="1">
      <c r="A70" s="2" t="inlineStr">
        <is>
          <t>2019::jama.2019.7505::C002</t>
        </is>
      </c>
      <c r="B70" s="2" t="inlineStr">
        <is>
          <t>exclude</t>
        </is>
      </c>
      <c r="C70" s="2" t="inlineStr">
        <is>
          <t>statistical_results</t>
        </is>
      </c>
      <c r="D70" s="2" t="inlineStr">
        <is>
          <t>not_applicable</t>
        </is>
      </c>
      <c r="E70" s="2" t="inlineStr">
        <is>
          <t>not_applicable</t>
        </is>
      </c>
      <c r="F70" s="2" t="inlineStr">
        <is>
          <t>not_applicable</t>
        </is>
      </c>
      <c r="G70" s="2" t="inlineStr">
        <is>
          <t>not_applicable</t>
        </is>
      </c>
      <c r="H70" s="2" t="inlineStr">
        <is>
          <t>not_applicable</t>
        </is>
      </c>
      <c r="I70" s="2" t="inlineStr"/>
      <c r="J70" s="2" t="inlineStr">
        <is>
          <t>SYNTHETIC TEST DATA ONLY. Exclude is a placeholder for testing the checker workflow, not a scientific assessment. Do not use this sample in research results.</t>
        </is>
      </c>
      <c r="K70" s="2" t="inlineStr">
        <is>
          <t>yes</t>
        </is>
      </c>
    </row>
    <row r="71" ht="136" customHeight="1">
      <c r="A71" s="3" t="inlineStr">
        <is>
          <t>2019::jama.2019.7505::C003</t>
        </is>
      </c>
      <c r="B71" s="3" t="inlineStr">
        <is>
          <t>exclude</t>
        </is>
      </c>
      <c r="C71" s="3" t="inlineStr">
        <is>
          <t>plan_material</t>
        </is>
      </c>
      <c r="D71" s="3" t="inlineStr">
        <is>
          <t>not_applicable</t>
        </is>
      </c>
      <c r="E71" s="3" t="inlineStr">
        <is>
          <t>not_applicable</t>
        </is>
      </c>
      <c r="F71" s="3" t="inlineStr">
        <is>
          <t>not_applicable</t>
        </is>
      </c>
      <c r="G71" s="3" t="inlineStr">
        <is>
          <t>not_applicable</t>
        </is>
      </c>
      <c r="H71" s="3" t="inlineStr">
        <is>
          <t>not_applicable</t>
        </is>
      </c>
      <c r="I71" s="3" t="inlineStr"/>
      <c r="J71" s="3" t="inlineStr">
        <is>
          <t>SYNTHETIC TEST DATA ONLY. Exclude is a placeholder for testing the checker workflow, not a scientific assessment. Do not use this sample in research results.</t>
        </is>
      </c>
      <c r="K71" s="3" t="inlineStr">
        <is>
          <t>yes</t>
        </is>
      </c>
    </row>
    <row r="72" ht="136" customHeight="1">
      <c r="A72" s="2" t="inlineStr">
        <is>
          <t>2019::jama.2019.7505::C004</t>
        </is>
      </c>
      <c r="B72" s="2" t="inlineStr">
        <is>
          <t>exclude</t>
        </is>
      </c>
      <c r="C72" s="2" t="inlineStr">
        <is>
          <t>internal_nonstatistical</t>
        </is>
      </c>
      <c r="D72" s="2" t="inlineStr">
        <is>
          <t>not_applicable</t>
        </is>
      </c>
      <c r="E72" s="2" t="inlineStr">
        <is>
          <t>not_applicable</t>
        </is>
      </c>
      <c r="F72" s="2" t="inlineStr">
        <is>
          <t>not_applicable</t>
        </is>
      </c>
      <c r="G72" s="2" t="inlineStr">
        <is>
          <t>not_applicable</t>
        </is>
      </c>
      <c r="H72" s="2" t="inlineStr">
        <is>
          <t>not_applicable</t>
        </is>
      </c>
      <c r="I72" s="2" t="inlineStr"/>
      <c r="J72" s="2" t="inlineStr">
        <is>
          <t>SYNTHETIC TEST DATA ONLY. Exclude is a placeholder for testing the checker workflow, not a scientific assessment. Do not use this sample in research results.</t>
        </is>
      </c>
      <c r="K72" s="2" t="inlineStr">
        <is>
          <t>yes</t>
        </is>
      </c>
    </row>
  </sheetData>
  <sheetProtection selectLockedCells="0" selectUnlockedCells="0" sheet="1" objects="0" insertRows="1" insertHyperlinks="1" autoFilter="0" scenarios="0" formatColumns="1" deleteColumns="1" insertColumns="1" pivotTables="1" deleteRows="1" formatCells="1" formatRows="1" sort="1"/>
  <autoFilter ref="A1:K7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2026-09-14T04:22:14Z</dcterms:created>
  <dcterms:modified xsi:type="dcterms:W3CDTF">2026-09-14T04:22:14Z</dcterms:modified>
</cp:coreProperties>
</file>