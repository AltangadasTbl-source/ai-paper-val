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0318" sheetId="4" state="visible" r:id="rId4"/>
    <sheet name="C_jama.2024.0572" sheetId="5" state="visible" r:id="rId5"/>
    <sheet name="C_jama.2024.11057" sheetId="6" state="visible" r:id="rId6"/>
    <sheet name="C_jama.2024.12829" sheetId="7" state="visible" r:id="rId7"/>
    <sheet name="C_jama.2024.19585" sheetId="8" state="visible" r:id="rId8"/>
    <sheet name="C_jama.2024.2302" sheetId="9" state="visible" r:id="rId9"/>
    <sheet name="C_jama.2024.23898" sheetId="10" state="visible" r:id="rId10"/>
    <sheet name="C_jama.2024.25786" sheetId="11" state="visible" r:id="rId11"/>
    <sheet name="C_jama.2024.4183" sheetId="12" state="visible" r:id="rId12"/>
    <sheet name="C_jama.2024.6063" sheetId="13" state="visible" r:id="rId13"/>
    <sheet name="Codebook" sheetId="14" state="visible" r:id="rId14"/>
  </sheets>
  <definedNames>
    <definedName name="_xlnm._FilterDatabase" localSheetId="3" hidden="1">'C_jama.2024.0318'!$A$1:$R$7</definedName>
    <definedName name="_xlnm._FilterDatabase" localSheetId="4" hidden="1">'C_jama.2024.0572'!$A$1:$R$3</definedName>
    <definedName name="_xlnm._FilterDatabase" localSheetId="5" hidden="1">'C_jama.2024.11057'!$A$1:$R$4</definedName>
    <definedName name="_xlnm._FilterDatabase" localSheetId="6" hidden="1">'C_jama.2024.12829'!$A$1:$R$18</definedName>
    <definedName name="_xlnm._FilterDatabase" localSheetId="7" hidden="1">'C_jama.2024.19585'!$A$1:$R$4</definedName>
    <definedName name="_xlnm._FilterDatabase" localSheetId="8" hidden="1">'C_jama.2024.2302'!$A$1:$R$6</definedName>
    <definedName name="_xlnm._FilterDatabase" localSheetId="9" hidden="1">'C_jama.2024.23898'!$A$1:$R$8</definedName>
    <definedName name="_xlnm._FilterDatabase" localSheetId="10" hidden="1">'C_jama.2024.25786'!$A$1:$R$9</definedName>
    <definedName name="_xlnm._FilterDatabase" localSheetId="11" hidden="1">'C_jama.2024.4183'!$A$1:$R$25</definedName>
    <definedName name="_xlnm._FilterDatabase" localSheetId="12" hidden="1">'C_jama.2024.6063'!$A$1:$R$17</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2.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3.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4.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5.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6.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7.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8.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9.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10.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C_jama.2024.0318'!A1" TargetMode="External" Id="rId1" /><Relationship Type="http://schemas.openxmlformats.org/officeDocument/2006/relationships/hyperlink" Target="#'C_jama.2024.0572'!A1" TargetMode="External" Id="rId2" /><Relationship Type="http://schemas.openxmlformats.org/officeDocument/2006/relationships/hyperlink" Target="#'C_jama.2024.11057'!A1" TargetMode="External" Id="rId3" /><Relationship Type="http://schemas.openxmlformats.org/officeDocument/2006/relationships/hyperlink" Target="#'C_jama.2024.12829'!A1" TargetMode="External" Id="rId4" /><Relationship Type="http://schemas.openxmlformats.org/officeDocument/2006/relationships/hyperlink" Target="#'C_jama.2024.19585'!A1" TargetMode="External" Id="rId5" /><Relationship Type="http://schemas.openxmlformats.org/officeDocument/2006/relationships/hyperlink" Target="#'C_jama.2024.2302'!A1" TargetMode="External" Id="rId6" /><Relationship Type="http://schemas.openxmlformats.org/officeDocument/2006/relationships/hyperlink" Target="#'C_jama.2024.23898'!A1" TargetMode="External" Id="rId7" /><Relationship Type="http://schemas.openxmlformats.org/officeDocument/2006/relationships/hyperlink" Target="#'C_jama.2024.25786'!A1" TargetMode="External" Id="rId8" /><Relationship Type="http://schemas.openxmlformats.org/officeDocument/2006/relationships/hyperlink" Target="#'C_jama.2024.4183'!A1" TargetMode="External" Id="rId9" /><Relationship Type="http://schemas.openxmlformats.org/officeDocument/2006/relationships/hyperlink" Target="#'C_jama.2024.6063'!A1" TargetMode="External" Id="rId10" /></Relationships>
</file>

<file path=xl/worksheets/_rels/sheet4.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Evidence'!A6" TargetMode="External" Id="rId2" /><Relationship Type="http://schemas.openxmlformats.org/officeDocument/2006/relationships/hyperlink" Target="#'Evidence'!A10" TargetMode="External" Id="rId3" /><Relationship Type="http://schemas.openxmlformats.org/officeDocument/2006/relationships/hyperlink" Target="#'Evidence'!A14" TargetMode="External" Id="rId4" /><Relationship Type="http://schemas.openxmlformats.org/officeDocument/2006/relationships/hyperlink" Target="#'Evidence'!A18" TargetMode="External" Id="rId5" /><Relationship Type="http://schemas.openxmlformats.org/officeDocument/2006/relationships/hyperlink" Target="#'Evidence'!A22"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hyperlink" Target="#'Evidence'!A26" TargetMode="External" Id="rId1" /><Relationship Type="http://schemas.openxmlformats.org/officeDocument/2006/relationships/hyperlink" Target="#'Evidence'!A3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hyperlink" Target="#'Evidence'!A34" TargetMode="External" Id="rId1" /><Relationship Type="http://schemas.openxmlformats.org/officeDocument/2006/relationships/hyperlink" Target="#'Evidence'!A38" TargetMode="External" Id="rId2" /><Relationship Type="http://schemas.openxmlformats.org/officeDocument/2006/relationships/hyperlink" Target="#'Evidence'!A42"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hyperlink" Target="#'Evidence'!A46" TargetMode="External" Id="rId1" /><Relationship Type="http://schemas.openxmlformats.org/officeDocument/2006/relationships/hyperlink" Target="#'Evidence'!A50" TargetMode="External" Id="rId2" /><Relationship Type="http://schemas.openxmlformats.org/officeDocument/2006/relationships/hyperlink" Target="#'Evidence'!A54" TargetMode="External" Id="rId3" /><Relationship Type="http://schemas.openxmlformats.org/officeDocument/2006/relationships/hyperlink" Target="#'Evidence'!A58" TargetMode="External" Id="rId4" /><Relationship Type="http://schemas.openxmlformats.org/officeDocument/2006/relationships/hyperlink" Target="#'Evidence'!A62" TargetMode="External" Id="rId5" /><Relationship Type="http://schemas.openxmlformats.org/officeDocument/2006/relationships/hyperlink" Target="#'Evidence'!A66" TargetMode="External" Id="rId6" /><Relationship Type="http://schemas.openxmlformats.org/officeDocument/2006/relationships/hyperlink" Target="#'Evidence'!A70" TargetMode="External" Id="rId7" /><Relationship Type="http://schemas.openxmlformats.org/officeDocument/2006/relationships/hyperlink" Target="#'Evidence'!A74" TargetMode="External" Id="rId8" /><Relationship Type="http://schemas.openxmlformats.org/officeDocument/2006/relationships/hyperlink" Target="#'Evidence'!A78" TargetMode="External" Id="rId9" /><Relationship Type="http://schemas.openxmlformats.org/officeDocument/2006/relationships/hyperlink" Target="#'Evidence'!A82" TargetMode="External" Id="rId10" /><Relationship Type="http://schemas.openxmlformats.org/officeDocument/2006/relationships/hyperlink" Target="#'Evidence'!A86" TargetMode="External" Id="rId11" /><Relationship Type="http://schemas.openxmlformats.org/officeDocument/2006/relationships/hyperlink" Target="#'Evidence'!A90" TargetMode="External" Id="rId12" /><Relationship Type="http://schemas.openxmlformats.org/officeDocument/2006/relationships/hyperlink" Target="#'Evidence'!A94" TargetMode="External" Id="rId13" /><Relationship Type="http://schemas.openxmlformats.org/officeDocument/2006/relationships/hyperlink" Target="#'Evidence'!A98" TargetMode="External" Id="rId14" /><Relationship Type="http://schemas.openxmlformats.org/officeDocument/2006/relationships/hyperlink" Target="#'Evidence'!A102" TargetMode="External" Id="rId15" /><Relationship Type="http://schemas.openxmlformats.org/officeDocument/2006/relationships/hyperlink" Target="#'Evidence'!A106" TargetMode="External" Id="rId16" /><Relationship Type="http://schemas.openxmlformats.org/officeDocument/2006/relationships/hyperlink" Target="#'Evidence'!A110" TargetMode="External" Id="rId17"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hyperlink" Target="#'Evidence'!A114" TargetMode="External" Id="rId1" /><Relationship Type="http://schemas.openxmlformats.org/officeDocument/2006/relationships/hyperlink" Target="#'Evidence'!A118" TargetMode="External" Id="rId2" /><Relationship Type="http://schemas.openxmlformats.org/officeDocument/2006/relationships/hyperlink" Target="#'Evidence'!A122" TargetMode="Externa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hyperlink" Target="#'Evidence'!A126" TargetMode="External" Id="rId1" /><Relationship Type="http://schemas.openxmlformats.org/officeDocument/2006/relationships/hyperlink" Target="#'Evidence'!A130" TargetMode="External" Id="rId2" /><Relationship Type="http://schemas.openxmlformats.org/officeDocument/2006/relationships/hyperlink" Target="#'Evidence'!A134" TargetMode="External" Id="rId3" /><Relationship Type="http://schemas.openxmlformats.org/officeDocument/2006/relationships/hyperlink" Target="#'Evidence'!A138" TargetMode="External" Id="rId4" /><Relationship Type="http://schemas.openxmlformats.org/officeDocument/2006/relationships/hyperlink" Target="#'Evidence'!A142" TargetMode="External" Id="rId5"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hyperlink" Target="#'Evidence'!A146" TargetMode="External" Id="rId1" /><Relationship Type="http://schemas.openxmlformats.org/officeDocument/2006/relationships/hyperlink" Target="#'Evidence'!A150" TargetMode="External" Id="rId2" /><Relationship Type="http://schemas.openxmlformats.org/officeDocument/2006/relationships/hyperlink" Target="#'Evidence'!A154" TargetMode="External" Id="rId3" /><Relationship Type="http://schemas.openxmlformats.org/officeDocument/2006/relationships/hyperlink" Target="#'Evidence'!A158" TargetMode="External" Id="rId4" /><Relationship Type="http://schemas.openxmlformats.org/officeDocument/2006/relationships/hyperlink" Target="#'Evidence'!A162" TargetMode="External" Id="rId5" /><Relationship Type="http://schemas.openxmlformats.org/officeDocument/2006/relationships/hyperlink" Target="#'Evidence'!A166" TargetMode="External" Id="rId6" /><Relationship Type="http://schemas.openxmlformats.org/officeDocument/2006/relationships/hyperlink" Target="#'Evidence'!A170" TargetMode="External" Id="rId7"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hyperlink" Target="#'Evidence'!A174" TargetMode="External" Id="rId1" /><Relationship Type="http://schemas.openxmlformats.org/officeDocument/2006/relationships/hyperlink" Target="#'Evidence'!A178" TargetMode="External" Id="rId2" /><Relationship Type="http://schemas.openxmlformats.org/officeDocument/2006/relationships/hyperlink" Target="#'Evidence'!A182" TargetMode="External" Id="rId3" /><Relationship Type="http://schemas.openxmlformats.org/officeDocument/2006/relationships/hyperlink" Target="#'Evidence'!A186" TargetMode="External" Id="rId4" /><Relationship Type="http://schemas.openxmlformats.org/officeDocument/2006/relationships/hyperlink" Target="#'Evidence'!A190" TargetMode="External" Id="rId5" /><Relationship Type="http://schemas.openxmlformats.org/officeDocument/2006/relationships/hyperlink" Target="#'Evidence'!A194" TargetMode="External" Id="rId6" /><Relationship Type="http://schemas.openxmlformats.org/officeDocument/2006/relationships/hyperlink" Target="#'Evidence'!A198" TargetMode="External" Id="rId7" /><Relationship Type="http://schemas.openxmlformats.org/officeDocument/2006/relationships/hyperlink" Target="#'Evidence'!A202" TargetMode="External" Id="rId8"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hyperlink" Target="#'Evidence'!A206" TargetMode="External" Id="rId1" /><Relationship Type="http://schemas.openxmlformats.org/officeDocument/2006/relationships/hyperlink" Target="#'Evidence'!A210" TargetMode="External" Id="rId2" /><Relationship Type="http://schemas.openxmlformats.org/officeDocument/2006/relationships/hyperlink" Target="#'Evidence'!A214" TargetMode="External" Id="rId3" /><Relationship Type="http://schemas.openxmlformats.org/officeDocument/2006/relationships/hyperlink" Target="#'Evidence'!A218" TargetMode="External" Id="rId4" /><Relationship Type="http://schemas.openxmlformats.org/officeDocument/2006/relationships/hyperlink" Target="#'Evidence'!A222" TargetMode="External" Id="rId5" /><Relationship Type="http://schemas.openxmlformats.org/officeDocument/2006/relationships/hyperlink" Target="#'Evidence'!A226" TargetMode="External" Id="rId6" /><Relationship Type="http://schemas.openxmlformats.org/officeDocument/2006/relationships/hyperlink" Target="#'Evidence'!A230" TargetMode="External" Id="rId7" /><Relationship Type="http://schemas.openxmlformats.org/officeDocument/2006/relationships/hyperlink" Target="#'Evidence'!A234" TargetMode="External" Id="rId8" /><Relationship Type="http://schemas.openxmlformats.org/officeDocument/2006/relationships/hyperlink" Target="#'Evidence'!A238" TargetMode="External" Id="rId9" /><Relationship Type="http://schemas.openxmlformats.org/officeDocument/2006/relationships/hyperlink" Target="#'Evidence'!A242" TargetMode="External" Id="rId10" /><Relationship Type="http://schemas.openxmlformats.org/officeDocument/2006/relationships/hyperlink" Target="#'Evidence'!A246" TargetMode="External" Id="rId11" /><Relationship Type="http://schemas.openxmlformats.org/officeDocument/2006/relationships/hyperlink" Target="#'Evidence'!A250" TargetMode="External" Id="rId12" /><Relationship Type="http://schemas.openxmlformats.org/officeDocument/2006/relationships/hyperlink" Target="#'Evidence'!A254" TargetMode="External" Id="rId13" /><Relationship Type="http://schemas.openxmlformats.org/officeDocument/2006/relationships/hyperlink" Target="#'Evidence'!A258" TargetMode="External" Id="rId14" /><Relationship Type="http://schemas.openxmlformats.org/officeDocument/2006/relationships/hyperlink" Target="#'Evidence'!A262" TargetMode="External" Id="rId15" /><Relationship Type="http://schemas.openxmlformats.org/officeDocument/2006/relationships/hyperlink" Target="#'Evidence'!A266" TargetMode="External" Id="rId16" /><Relationship Type="http://schemas.openxmlformats.org/officeDocument/2006/relationships/hyperlink" Target="#'Evidence'!A270" TargetMode="External" Id="rId17" /><Relationship Type="http://schemas.openxmlformats.org/officeDocument/2006/relationships/hyperlink" Target="#'Evidence'!A274" TargetMode="External" Id="rId18" /><Relationship Type="http://schemas.openxmlformats.org/officeDocument/2006/relationships/hyperlink" Target="#'Evidence'!A278" TargetMode="External" Id="rId19" /><Relationship Type="http://schemas.openxmlformats.org/officeDocument/2006/relationships/hyperlink" Target="#'Evidence'!A282" TargetMode="External" Id="rId20" /><Relationship Type="http://schemas.openxmlformats.org/officeDocument/2006/relationships/hyperlink" Target="#'Evidence'!A286" TargetMode="External" Id="rId21" /><Relationship Type="http://schemas.openxmlformats.org/officeDocument/2006/relationships/hyperlink" Target="#'Evidence'!A290" TargetMode="External" Id="rId22" /><Relationship Type="http://schemas.openxmlformats.org/officeDocument/2006/relationships/hyperlink" Target="#'Evidence'!A294" TargetMode="External" Id="rId23" /><Relationship Type="http://schemas.openxmlformats.org/officeDocument/2006/relationships/hyperlink" Target="#'Evidence'!A298" TargetMode="External" Id="rId24"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hyperlink" Target="#'Evidence'!A302" TargetMode="External" Id="rId1" /><Relationship Type="http://schemas.openxmlformats.org/officeDocument/2006/relationships/hyperlink" Target="#'Evidence'!A306" TargetMode="External" Id="rId2" /><Relationship Type="http://schemas.openxmlformats.org/officeDocument/2006/relationships/hyperlink" Target="#'Evidence'!A310" TargetMode="External" Id="rId3" /><Relationship Type="http://schemas.openxmlformats.org/officeDocument/2006/relationships/hyperlink" Target="#'Evidence'!A314" TargetMode="External" Id="rId4" /><Relationship Type="http://schemas.openxmlformats.org/officeDocument/2006/relationships/hyperlink" Target="#'Evidence'!A318" TargetMode="External" Id="rId5" /><Relationship Type="http://schemas.openxmlformats.org/officeDocument/2006/relationships/hyperlink" Target="#'Evidence'!A322" TargetMode="External" Id="rId6" /><Relationship Type="http://schemas.openxmlformats.org/officeDocument/2006/relationships/hyperlink" Target="#'Evidence'!A326" TargetMode="External" Id="rId7" /><Relationship Type="http://schemas.openxmlformats.org/officeDocument/2006/relationships/hyperlink" Target="#'Evidence'!A330" TargetMode="External" Id="rId8" /><Relationship Type="http://schemas.openxmlformats.org/officeDocument/2006/relationships/hyperlink" Target="#'Evidence'!A334" TargetMode="External" Id="rId9" /><Relationship Type="http://schemas.openxmlformats.org/officeDocument/2006/relationships/hyperlink" Target="#'Evidence'!A338" TargetMode="External" Id="rId10" /><Relationship Type="http://schemas.openxmlformats.org/officeDocument/2006/relationships/hyperlink" Target="#'Evidence'!A342" TargetMode="External" Id="rId11" /><Relationship Type="http://schemas.openxmlformats.org/officeDocument/2006/relationships/hyperlink" Target="#'Evidence'!A346" TargetMode="External" Id="rId12" /><Relationship Type="http://schemas.openxmlformats.org/officeDocument/2006/relationships/hyperlink" Target="#'Evidence'!A350" TargetMode="External" Id="rId13" /><Relationship Type="http://schemas.openxmlformats.org/officeDocument/2006/relationships/hyperlink" Target="#'Evidence'!A354" TargetMode="External" Id="rId14" /><Relationship Type="http://schemas.openxmlformats.org/officeDocument/2006/relationships/hyperlink" Target="#'Evidence'!A358" TargetMode="External" Id="rId15" /><Relationship Type="http://schemas.openxmlformats.org/officeDocument/2006/relationships/hyperlink" Target="#'Evidence'!A362" TargetMode="External" Id="rId16"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 ID / name</t>
        </is>
      </c>
      <c r="B2" s="17" t="inlineStr">
        <is>
          <t>BulunTe</t>
        </is>
      </c>
    </row>
    <row r="3" ht="42" customFormat="1" customHeight="1" s="8">
      <c r="A3" s="16" t="inlineStr">
        <is>
          <t>Full name (optional)</t>
        </is>
      </c>
      <c r="B3" s="17" t="n"/>
    </row>
    <row r="4" ht="42" customFormat="1" customHeight="1" s="8">
      <c r="A4" s="15" t="inlineStr">
        <is>
          <t>Reviewer role</t>
        </is>
      </c>
      <c r="B4" s="15" t="inlineStr">
        <is>
          <t>R_B</t>
        </is>
      </c>
    </row>
    <row r="5" ht="42" customFormat="1" customHeight="1" s="8">
      <c r="A5" s="16" t="inlineStr">
        <is>
          <t>Year</t>
        </is>
      </c>
      <c r="B5" s="16" t="n">
        <v>2024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105" customWidth="1" style="8" min="2" max="2"/>
  </cols>
  <sheetData>
    <row r="1" ht="42" customFormat="1" customHeight="1" s="8">
      <c r="A1" s="14" t="inlineStr">
        <is>
          <t>Check</t>
        </is>
      </c>
      <c r="B1" s="14" t="inlineStr">
        <is>
          <t>Result</t>
        </is>
      </c>
    </row>
    <row r="2" ht="60" customFormat="1" customHeight="1" s="8">
      <c r="A2" s="15" t="inlineStr">
        <is>
          <t>Candidates</t>
        </is>
      </c>
      <c r="B2" s="15" t="n">
        <v>91</v>
      </c>
    </row>
    <row r="3" ht="60" customFormat="1" customHeight="1" s="8">
      <c r="A3" s="16" t="inlineStr">
        <is>
          <t>Primary ready</t>
        </is>
      </c>
      <c r="B3" s="16">
        <f>COUNTIF('C_jama.2024.0318'!$G$2:$G$7,"PRIMARY READY")+COUNTIF('C_jama.2024.0572'!$G$2:$G$3,"PRIMARY READY")+COUNTIF('C_jama.2024.11057'!$G$2:$G$4,"PRIMARY READY")+COUNTIF('C_jama.2024.12829'!$G$2:$G$18,"PRIMARY READY")+COUNTIF('C_jama.2024.19585'!$G$2:$G$4,"PRIMARY READY")+COUNTIF('C_jama.2024.2302'!$G$2:$G$6,"PRIMARY READY")+COUNTIF('C_jama.2024.23898'!$G$2:$G$8,"PRIMARY READY")+COUNTIF('C_jama.2024.25786'!$G$2:$G$9,"PRIMARY READY")+COUNTIF('C_jama.2024.4183'!$G$2:$G$25,"PRIMARY READY")+COUNTIF('C_jama.2024.6063'!$G$2:$G$17,"PRIMARY READY")</f>
        <v/>
      </c>
    </row>
    <row r="4" ht="60" customFormat="1" customHeight="1" s="8">
      <c r="A4" s="15" t="inlineStr">
        <is>
          <t>Unfinished</t>
        </is>
      </c>
      <c r="B4" s="15">
        <f>B2-B3</f>
        <v/>
      </c>
    </row>
    <row r="5" ht="60" customFormat="1" customHeight="1" s="8">
      <c r="A5" s="16" t="inlineStr">
        <is>
          <t>Discuss / unresolved</t>
        </is>
      </c>
      <c r="B5" s="16">
        <f>COUNTIF('C_jama.2024.0318'!$D$2:$D$7,"discuss")+COUNTIF('C_jama.2024.0572'!$D$2:$D$3,"discuss")+COUNTIF('C_jama.2024.11057'!$D$2:$D$4,"discuss")+COUNTIF('C_jama.2024.12829'!$D$2:$D$18,"discuss")+COUNTIF('C_jama.2024.19585'!$D$2:$D$4,"discuss")+COUNTIF('C_jama.2024.2302'!$D$2:$D$6,"discuss")+COUNTIF('C_jama.2024.23898'!$D$2:$D$8,"discuss")+COUNTIF('C_jama.2024.25786'!$D$2:$D$9,"discuss")+COUNTIF('C_jama.2024.4183'!$D$2:$D$25,"discuss")+COUNTIF('C_jama.2024.6063'!$D$2:$D$17,"discuss")</f>
        <v/>
      </c>
    </row>
    <row r="6" ht="60" customFormat="1" customHeight="1" s="8">
      <c r="A6" s="15" t="inlineStr">
        <is>
          <t>Workflow status</t>
        </is>
      </c>
      <c r="B6" s="15">
        <f>IF(B3=B2,"PRIMARY READY","ACTION NEEDED")</f>
        <v/>
      </c>
    </row>
    <row r="7" ht="60" customFormat="1" customHeight="1" s="8">
      <c r="A7" s="16" t="inlineStr">
        <is>
          <t>Ready with discuss</t>
        </is>
      </c>
      <c r="B7" s="16">
        <f>COUNTIFS('C_jama.2024.0318'!$G$2:$G$7,"PRIMARY READY",'C_jama.2024.0318'!$D$2:$D$7,"discuss")+COUNTIFS('C_jama.2024.0572'!$G$2:$G$3,"PRIMARY READY",'C_jama.2024.0572'!$D$2:$D$3,"discuss")+COUNTIFS('C_jama.2024.11057'!$G$2:$G$4,"PRIMARY READY",'C_jama.2024.11057'!$D$2:$D$4,"discuss")+COUNTIFS('C_jama.2024.12829'!$G$2:$G$18,"PRIMARY READY",'C_jama.2024.12829'!$D$2:$D$18,"discuss")+COUNTIFS('C_jama.2024.19585'!$G$2:$G$4,"PRIMARY READY",'C_jama.2024.19585'!$D$2:$D$4,"discuss")+COUNTIFS('C_jama.2024.2302'!$G$2:$G$6,"PRIMARY READY",'C_jama.2024.2302'!$D$2:$D$6,"discuss")+COUNTIFS('C_jama.2024.23898'!$G$2:$G$8,"PRIMARY READY",'C_jama.2024.23898'!$D$2:$D$8,"discuss")+COUNTIFS('C_jama.2024.25786'!$G$2:$G$9,"PRIMARY READY",'C_jama.2024.25786'!$D$2:$D$9,"discuss")+COUNTIFS('C_jama.2024.4183'!$G$2:$G$25,"PRIMARY READY",'C_jama.2024.4183'!$D$2:$D$25,"discuss")+COUNTIFS('C_jama.2024.6063'!$G$2:$G$17,"PRIMARY READY",'C_jama.2024.6063'!$D$2:$D$17,"discuss")</f>
        <v/>
      </c>
    </row>
    <row r="8" ht="60" customFormat="1" customHeight="1" s="8">
      <c r="A8" s="15" t="inlineStr">
        <is>
          <t>Meaning</t>
        </is>
      </c>
      <c r="B8" s="15" t="inlineStr">
        <is>
          <t>PRIMARY READY means independent data entry is complete; discuss remains unresolved.</t>
        </is>
      </c>
    </row>
    <row r="9" ht="60" customFormat="1" customHeight="1" s="8">
      <c r="A9" s="16" t="inlineStr">
        <is>
          <t>Next action</t>
        </is>
      </c>
      <c r="B9" s="16" t="inlineStr">
        <is>
          <t>Inspect G on the C_ sheets. Save the completed file and deliver it; preserve normal Excel backups.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14" t="inlineStr">
        <is>
          <t>Paper</t>
        </is>
      </c>
      <c r="B1" s="14" t="inlineStr">
        <is>
          <t>Review worksheet</t>
        </is>
      </c>
      <c r="C1" s="14" t="inlineStr">
        <is>
          <t>Candidates</t>
        </is>
      </c>
    </row>
    <row r="2" ht="36" customFormat="1" customHeight="1" s="8">
      <c r="A2" s="15" t="inlineStr">
        <is>
          <t>jama.2024.0318</t>
        </is>
      </c>
      <c r="B2" s="15" t="inlineStr">
        <is>
          <t>C_jama.2024.0318</t>
        </is>
      </c>
      <c r="C2" s="15" t="n">
        <v>6</v>
      </c>
    </row>
    <row r="3" ht="36" customFormat="1" customHeight="1" s="8">
      <c r="A3" s="16" t="inlineStr">
        <is>
          <t>jama.2024.0572</t>
        </is>
      </c>
      <c r="B3" s="16" t="inlineStr">
        <is>
          <t>C_jama.2024.0572</t>
        </is>
      </c>
      <c r="C3" s="16" t="n">
        <v>2</v>
      </c>
    </row>
    <row r="4" ht="36" customFormat="1" customHeight="1" s="8">
      <c r="A4" s="15" t="inlineStr">
        <is>
          <t>jama.2024.11057</t>
        </is>
      </c>
      <c r="B4" s="15" t="inlineStr">
        <is>
          <t>C_jama.2024.11057</t>
        </is>
      </c>
      <c r="C4" s="15" t="n">
        <v>3</v>
      </c>
    </row>
    <row r="5" ht="36" customFormat="1" customHeight="1" s="8">
      <c r="A5" s="16" t="inlineStr">
        <is>
          <t>jama.2024.12829</t>
        </is>
      </c>
      <c r="B5" s="16" t="inlineStr">
        <is>
          <t>C_jama.2024.12829</t>
        </is>
      </c>
      <c r="C5" s="16" t="n">
        <v>17</v>
      </c>
    </row>
    <row r="6" ht="36" customFormat="1" customHeight="1" s="8">
      <c r="A6" s="15" t="inlineStr">
        <is>
          <t>jama.2024.19585</t>
        </is>
      </c>
      <c r="B6" s="15" t="inlineStr">
        <is>
          <t>C_jama.2024.19585</t>
        </is>
      </c>
      <c r="C6" s="15" t="n">
        <v>3</v>
      </c>
    </row>
    <row r="7" ht="36" customFormat="1" customHeight="1" s="8">
      <c r="A7" s="16" t="inlineStr">
        <is>
          <t>jama.2024.2302</t>
        </is>
      </c>
      <c r="B7" s="16" t="inlineStr">
        <is>
          <t>C_jama.2024.2302</t>
        </is>
      </c>
      <c r="C7" s="16" t="n">
        <v>5</v>
      </c>
    </row>
    <row r="8" ht="36" customFormat="1" customHeight="1" s="8">
      <c r="A8" s="15" t="inlineStr">
        <is>
          <t>jama.2024.23898</t>
        </is>
      </c>
      <c r="B8" s="15" t="inlineStr">
        <is>
          <t>C_jama.2024.23898</t>
        </is>
      </c>
      <c r="C8" s="15" t="n">
        <v>7</v>
      </c>
    </row>
    <row r="9" ht="36" customFormat="1" customHeight="1" s="8">
      <c r="A9" s="16" t="inlineStr">
        <is>
          <t>jama.2024.25786</t>
        </is>
      </c>
      <c r="B9" s="16" t="inlineStr">
        <is>
          <t>C_jama.2024.25786</t>
        </is>
      </c>
      <c r="C9" s="16" t="n">
        <v>8</v>
      </c>
    </row>
    <row r="10" ht="36" customFormat="1" customHeight="1" s="8">
      <c r="A10" s="15" t="inlineStr">
        <is>
          <t>jama.2024.4183</t>
        </is>
      </c>
      <c r="B10" s="15" t="inlineStr">
        <is>
          <t>C_jama.2024.4183</t>
        </is>
      </c>
      <c r="C10" s="15" t="n">
        <v>24</v>
      </c>
    </row>
    <row r="11" ht="36" customFormat="1" customHeight="1" s="8">
      <c r="A11" s="16" t="inlineStr">
        <is>
          <t>jama.2024.6063</t>
        </is>
      </c>
      <c r="B11" s="16" t="inlineStr">
        <is>
          <t>C_jama.2024.6063</t>
        </is>
      </c>
      <c r="C11" s="16" t="n">
        <v>16</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2024::jama.2024.0318::C001</t>
        </is>
      </c>
      <c r="B2" s="12" t="inlineStr">
        <is>
          <t>Figure 1 allocation branches exceed the displayed available cohort by 10 participants</t>
        </is>
      </c>
      <c r="C2" s="12" t="inlineStr">
        <is>
          <t>jama_courcoulas_2024_oi_240004_1721756962.76052.pdf — PDF p. 3, Figure 1 and adjoining Results text.</t>
        </is>
      </c>
      <c r="D2" s="18" t="inlineStr">
        <is>
          <t>retain</t>
        </is>
      </c>
      <c r="E2" s="18" t="inlineStr">
        <is>
          <t>statistical_results</t>
        </is>
      </c>
      <c r="F2" s="18" t="inlineStr">
        <is>
          <t>primary_done</t>
        </is>
      </c>
      <c r="G2" s="12">
        <f>IFERROR(IF(LEN(TRIM(CLEAN(SUBSTITUTE(Setup!$B$2,CHAR(160)," "))))=0,"ENTER REVIEWER ID",IF(OR(A2="",COUNTIF($A$2:$A$7,A2)&lt;&gt;1,LEFT(A2,LEN("2024::jama.2024.0318::"))&lt;&gt;"2024::jama.2024.0318::"),"CHECK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t="inlineStr">
        <is>
          <t>possible</t>
        </is>
      </c>
      <c r="K2" s="18">
        <f>IF(AND(OR(D2="retain",D2=""),OR(E2="report_internal_inconsistency",E2="plan_material")),"","not_applicable")</f>
        <v/>
      </c>
      <c r="L2" s="19">
        <f>IF(AND(OR(D2="retain",D2=""),E2="protocol_report"),"","not_applicable")</f>
        <v/>
      </c>
      <c r="M2" s="12" t="n"/>
      <c r="N2" s="7" t="n"/>
      <c r="O2" s="7" t="n"/>
      <c r="P2" s="7" t="n"/>
      <c r="Q2" s="7" t="n"/>
      <c r="R2" s="19" t="inlineStr">
        <is>
          <t>Figure 1: 305 'available and randomized' branches into 193 surgery + 122 medical = 315 (10 more than the parent). 106+49+38=193 internally. Arm-specific counts among the 305 cannot be recovered, so arm-specific enrollment (166/?, 96/?) into the long-term cohort is not determinable. Analysis Ns (166, 96) are unaffected.</t>
        </is>
      </c>
    </row>
    <row r="3" ht="92" customFormat="1" customHeight="1" s="8">
      <c r="A3" s="11" t="inlineStr">
        <is>
          <t>2024::jama.2024.0318::C002</t>
        </is>
      </c>
      <c r="B3" s="11" t="inlineStr">
        <is>
          <t>Supplement eTable 2 mixes year-12 headings with year-7 quantitative footnote definitions</t>
        </is>
      </c>
      <c r="C3" s="11" t="inlineStr">
        <is>
          <t>joi240004supp2_prod_1721756962.82552.pdf — PDF p. 15, eTable 2 title, columns, rows, and footnotes a-b; joi240004supp2_prod_1721756962.82552.pdf — PDF p. 16, footnotes c-e; jama_courcoulas_2024_oi_240004_1721756962.76052.pdf — PDF p. 3, Results pointer to eTable 2.</t>
        </is>
      </c>
      <c r="D3" s="18" t="inlineStr">
        <is>
          <t>retain</t>
        </is>
      </c>
      <c r="E3" s="18" t="inlineStr">
        <is>
          <t>report_internal_inconsistency</t>
        </is>
      </c>
      <c r="F3" s="18" t="inlineStr">
        <is>
          <t>primary_done</t>
        </is>
      </c>
      <c r="G3" s="11">
        <f>IFERROR(IF(LEN(TRIM(CLEAN(SUBSTITUTE(Setup!$B$2,CHAR(160)," "))))=0,"ENTER REVIEWER ID",IF(OR(A3="",COUNTIF($A$2:$A$7,A3)&lt;&gt;1,LEFT(A3,LEN("2024::jama.2024.0318::"))&lt;&gt;"2024::jama.2024.0318::"),"CHECK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minor_presentation</t>
        </is>
      </c>
      <c r="L3" s="19">
        <f>IF(AND(OR(D3="retain",D3=""),E3="protocol_report"),"","not_applicable")</f>
        <v/>
      </c>
      <c r="M3" s="11" t="n"/>
      <c r="N3" s="7" t="n"/>
      <c r="O3" s="7" t="n"/>
      <c r="P3" s="7" t="n"/>
      <c r="Q3" s="7" t="n"/>
      <c r="R3" s="19" t="inlineStr">
        <is>
          <t>eTable 2 title and columns say year 12 and values differ from main Table 2 (e.g., medical HbA1c 7.9 vs 8.0), but footnotes a-c still define 'year-7 data', '7-year over baseline' ratios and 'odds ratio at year 7'. Looks like carried-over footnotes from Table 2; the year-12 meaning is clear from the title, columns and footnote e.</t>
        </is>
      </c>
    </row>
    <row r="4" ht="92" customFormat="1" customHeight="1" s="8">
      <c r="A4" s="12" t="inlineStr">
        <is>
          <t>2024::jama.2024.0318::C003</t>
        </is>
      </c>
      <c r="B4" s="12" t="inlineStr">
        <is>
          <t>Matched 12-year HbA1c result has incompatible printed P values</t>
        </is>
      </c>
      <c r="C4" s="12" t="inlineStr">
        <is>
          <t>jama_courcoulas_2024_oi_240004_1721756962.76052.pdf — PDF p. 1, Abstract Results; jama_courcoulas_2024_oi_240004_1721756962.76052.pdf — PDF p. 3, Results; joi240004supp2_prod_1721756962.82552.pdf — PDF p. 15, eTable 2 HbA1c row.</t>
        </is>
      </c>
      <c r="D4" s="18" t="inlineStr">
        <is>
          <t>retain</t>
        </is>
      </c>
      <c r="E4" s="18" t="inlineStr">
        <is>
          <t>statistical_results</t>
        </is>
      </c>
      <c r="F4" s="18" t="inlineStr">
        <is>
          <t>primary_done</t>
        </is>
      </c>
      <c r="G4" s="12">
        <f>IFERROR(IF(LEN(TRIM(CLEAN(SUBSTITUTE(Setup!$B$2,CHAR(160)," "))))=0,"ENTER REVIEWER ID",IF(OR(A4="",COUNTIF($A$2:$A$7,A4)&lt;&gt;1,LEFT(A4,LEN("2024::jama.2024.0318::"))&lt;&gt;"2024::jama.2024.0318::"),"CHECK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minor_presentation</t>
        </is>
      </c>
      <c r="J4" s="19" t="inlineStr">
        <is>
          <t>unlikely</t>
        </is>
      </c>
      <c r="K4" s="18">
        <f>IF(AND(OR(D4="retain",D4=""),OR(E4="report_internal_inconsistency",E4="plan_material")),"","not_applicable")</f>
        <v/>
      </c>
      <c r="L4" s="19">
        <f>IF(AND(OR(D4="retain",D4=""),E4="protocol_report"),"","not_applicable")</f>
        <v/>
      </c>
      <c r="M4" s="12" t="n"/>
      <c r="N4" s="7" t="n"/>
      <c r="O4" s="7" t="n"/>
      <c r="P4" s="7" t="n"/>
      <c r="Q4" s="7" t="n"/>
      <c r="R4" s="19" t="inlineStr">
        <is>
          <t>Same 12-year HbA1c difference -1.1% (95% CI -1.7 to -0.5) has P=.002 in abstract/Results but P&lt;.001 in eTable 2. Back-calculation from the CI (Wald, SE=1.2/3.92=0.306, z=3.59) gives P about .0003; even the widest CI consistent with rounding gives P &lt;= .0009. The main-text .002 is the value that does not fit. Estimate and CI unchanged.</t>
        </is>
      </c>
    </row>
    <row r="5" ht="92" customFormat="1" customHeight="1" s="8">
      <c r="A5" s="11" t="inlineStr">
        <is>
          <t>2024::jama.2024.0318::C004</t>
        </is>
      </c>
      <c r="B5" s="11" t="inlineStr">
        <is>
          <t>The same year-7 glycemic outcome is labeled as both HbA1c less than or equal to 6.5% and HbA1c below 6.5%</t>
        </is>
      </c>
      <c r="C5" s="11" t="inlineStr">
        <is>
          <t>jama_courcoulas_2024_oi_240004_1721756962.76052.pdf — PDF p. 4, Results narrative; jama_courcoulas_2024_oi_240004_1721756962.76052.pdf — PDF p. 6, Table 2; joi240004supp2_prod_1721756962.82552.pdf — PDF p. 4, binary-analysis context.</t>
        </is>
      </c>
      <c r="D5" s="18" t="inlineStr">
        <is>
          <t>retain</t>
        </is>
      </c>
      <c r="E5" s="18" t="inlineStr">
        <is>
          <t>report_internal_inconsistency</t>
        </is>
      </c>
      <c r="F5" s="18" t="inlineStr">
        <is>
          <t>primary_done</t>
        </is>
      </c>
      <c r="G5" s="11">
        <f>IFERROR(IF(LEN(TRIM(CLEAN(SUBSTITUTE(Setup!$B$2,CHAR(160)," "))))=0,"ENTER REVIEWER ID",IF(OR(A5="",COUNTIF($A$2:$A$7,A5)&lt;&gt;1,LEFT(A5,LEN("2024::jama.2024.0318::"))&lt;&gt;"2024::jama.2024.0318::"),"CHECK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minor_presentation</t>
        </is>
      </c>
      <c r="L5" s="19">
        <f>IF(AND(OR(D5="retain",D5=""),E5="protocol_report"),"","not_applicable")</f>
        <v/>
      </c>
      <c r="M5" s="11" t="n"/>
      <c r="N5" s="7" t="n"/>
      <c r="O5" s="7" t="n"/>
      <c r="P5" s="7" t="n"/>
      <c r="Q5" s="7" t="n"/>
      <c r="R5" s="19" t="inlineStr">
        <is>
          <t>Results text: 'threshold of HbA1c less than or equal to 6.5% (P=.002; Table 2)'; Table 2 row is 'HbA1c &lt;6.5%' with P=.002. Remission is also defined with &lt;6.5% elsewhere. Same outcome, imprecise operator in prose; meaning clear.</t>
        </is>
      </c>
    </row>
    <row r="6" ht="92" customFormat="1" customHeight="1" s="8">
      <c r="A6" s="12" t="inlineStr">
        <is>
          <t>2024::jama.2024.0318::C005</t>
        </is>
      </c>
      <c r="B6" s="12" t="inlineStr">
        <is>
          <t>Abstract percentage for four deaths does not reconcile with displayed group counts and denominators</t>
        </is>
      </c>
      <c r="C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18" t="inlineStr">
        <is>
          <t>retain</t>
        </is>
      </c>
      <c r="E6" s="18" t="inlineStr">
        <is>
          <t>statistical_results</t>
        </is>
      </c>
      <c r="F6" s="18" t="inlineStr">
        <is>
          <t>primary_done</t>
        </is>
      </c>
      <c r="G6" s="12">
        <f>IFERROR(IF(LEN(TRIM(CLEAN(SUBSTITUTE(Setup!$B$2,CHAR(160)," "))))=0,"ENTER REVIEWER ID",IF(OR(A6="",COUNTIF($A$2:$A$7,A6)&lt;&gt;1,LEFT(A6,LEN("2024::jama.2024.0318::"))&lt;&gt;"2024::jama.2024.0318::"),"CHECK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Abstract: '4 deaths (2.2%), 2 in each group'. With the enrolled cohort (96 + 166 = 262), 4/262 = 1.5%; Table 3 gives 2/96 (2.1%) and 2/166 (1.2%). No denominator yields 2.2% for 4 deaths in the paper (would need about 182). Counts are clear; the percentage is wrong.</t>
        </is>
      </c>
    </row>
    <row r="7" ht="92" customFormat="1" customHeight="1" s="8">
      <c r="A7" s="11" t="inlineStr">
        <is>
          <t>2024::jama.2024.0318::C006</t>
        </is>
      </c>
      <c r="B7" s="11" t="inlineStr">
        <is>
          <t>The same exploratory BMI subgroup boundary is labeled as both 35 or greater and greater than 35</t>
        </is>
      </c>
      <c r="C7" s="11" t="inlineStr">
        <is>
          <t>jama_courcoulas_2024_oi_240004_1721756962.76052.pdf — PDF p. 7, Results narrative; joi240004supp2_prod_1721756962.82552.pdf — PDF p. 13, eFigure 6 title, legends, and explanatory text.</t>
        </is>
      </c>
      <c r="D7" s="18" t="inlineStr">
        <is>
          <t>retain</t>
        </is>
      </c>
      <c r="E7" s="18" t="inlineStr">
        <is>
          <t>report_internal_inconsistency</t>
        </is>
      </c>
      <c r="F7" s="18" t="inlineStr">
        <is>
          <t>primary_done</t>
        </is>
      </c>
      <c r="G7" s="11">
        <f>IFERROR(IF(LEN(TRIM(CLEAN(SUBSTITUTE(Setup!$B$2,CHAR(160)," "))))=0,"ENTER REVIEWER ID",IF(OR(A7="",COUNTIF($A$2:$A$7,A7)&lt;&gt;1,LEFT(A7,LEN("2024::jama.2024.0318::"))&lt;&gt;"2024::jama.2024.0318::"),"CHECK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t="inlineStr">
        <is>
          <t>minor_presentation</t>
        </is>
      </c>
      <c r="L7" s="19">
        <f>IF(AND(OR(D7="retain",D7=""),E7="protocol_report"),"","not_applicable")</f>
        <v/>
      </c>
      <c r="M7" s="11" t="n"/>
      <c r="N7" s="7" t="n"/>
      <c r="O7" s="7" t="n"/>
      <c r="P7" s="7" t="n"/>
      <c r="Q7" s="7" t="n"/>
      <c r="R7" s="19" t="inlineStr">
        <is>
          <t>Main Results: BMI 27 to &lt;35 vs 35 or greater. eFigure 6 title, text and legends: BMI &lt;35 and &gt;35 (leaves BMI exactly 35 unassigned). The figure label is an imprecise operator for the same exploratory subgroup; the main text definition is the complement of &lt;35. Meaning clear.</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3"/>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2024::jama.2024.0572::C001</t>
        </is>
      </c>
      <c r="B2" s="12" t="inlineStr">
        <is>
          <t>ITT Figure 2 mRS distributions conflict with ITT eTable 2 threshold counts</t>
        </is>
      </c>
      <c r="C2" s="12" t="inlineStr">
        <is>
          <t>Main article Figure 2 — PDF p. 7; Supplement 5 eTable 2 — PDF p. 38; main Results population statement — PDF p. 4; and Supplement 5 eFigure 3 — PDF p. 8.</t>
        </is>
      </c>
      <c r="D2" s="18" t="inlineStr">
        <is>
          <t>retain</t>
        </is>
      </c>
      <c r="E2" s="18" t="inlineStr">
        <is>
          <t>statistical_results</t>
        </is>
      </c>
      <c r="F2" s="18" t="inlineStr">
        <is>
          <t>primary_done</t>
        </is>
      </c>
      <c r="G2" s="12">
        <f>IFERROR(IF(LEN(TRIM(CLEAN(SUBSTITUTE(Setup!$B$2,CHAR(160)," "))))=0,"ENTER REVIEWER ID",IF(OR(A2="",COUNTIF($A$2:$A$3,A2)&lt;&gt;1,LEFT(A2,LEN("2024::jama.2024.0572::"))&lt;&gt;"2024::jama.2024.0572::"),"CHECK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t="inlineStr">
        <is>
          <t>direct</t>
        </is>
      </c>
      <c r="K2" s="18">
        <f>IF(AND(OR(D2="retain",D2=""),OR(E2="report_internal_inconsistency",E2="plan_material")),"","not_applicable")</f>
        <v/>
      </c>
      <c r="L2" s="19">
        <f>IF(AND(OR(D2="retain",D2=""),E2="protocol_report"),"","not_applicable")</f>
        <v/>
      </c>
      <c r="M2" s="12" t="n"/>
      <c r="N2" s="7" t="n"/>
      <c r="O2" s="7" t="n"/>
      <c r="P2" s="7" t="n"/>
      <c r="Q2" s="7" t="n"/>
      <c r="R2" s="19" t="inlineStr">
        <is>
          <t>Figure 2 (ITT, n=117+51 EVT, 119+49 MM) percentages each admit exactly one count vector summing to n. Implied mRS 0-2 = 39 EVT / 14 MM and 0-3 = 75 / 39, vs eTable 2 (ITT, 168/168) 34/12 and 65/31. mRS 5-6 (76/102) and deaths (62/70) agree, so the conflict sits in mRS 2-4. Exceeds any rounding.</t>
        </is>
      </c>
    </row>
    <row r="3" ht="92" customFormat="1" customHeight="1" s="8">
      <c r="A3" s="11" t="inlineStr">
        <is>
          <t>2024::jama.2024.0572::C002</t>
        </is>
      </c>
      <c r="B3" s="11" t="inlineStr">
        <is>
          <t>aRR is labeled as an absolute risk reduction but displayed and interpreted as a ratio</t>
        </is>
      </c>
      <c r="C3" s="11" t="inlineStr">
        <is>
          <t>Main narrative — PDF p. 6; Main Table 2 — PDF p. 7; Main Table 3 — PDF p. 9; trial SAP — PDF p. 17; secondary-analysis SAP — PDF p. 4; and Supplement 5 eTable 7 — PDF p. 43.</t>
        </is>
      </c>
      <c r="D3" s="18" t="inlineStr">
        <is>
          <t>retain</t>
        </is>
      </c>
      <c r="E3" s="18" t="inlineStr">
        <is>
          <t>report_internal_inconsistency</t>
        </is>
      </c>
      <c r="F3" s="18" t="inlineStr">
        <is>
          <t>primary_done</t>
        </is>
      </c>
      <c r="G3" s="11">
        <f>IFERROR(IF(LEN(TRIM(CLEAN(SUBSTITUTE(Setup!$B$2,CHAR(160)," "))))=0,"ENTER REVIEWER ID",IF(OR(A3="",COUNTIF($A$2:$A$3,A3)&lt;&gt;1,LEFT(A3,LEN("2024::jama.2024.0572::"))&lt;&gt;"2024::jama.2024.0572::"),"CHECK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minor_presentation</t>
        </is>
      </c>
      <c r="L3" s="19">
        <f>IF(AND(OR(D3="retain",D3=""),E3="protocol_report"),"","not_applicable")</f>
        <v/>
      </c>
      <c r="M3" s="11" t="n"/>
      <c r="N3" s="7" t="n"/>
      <c r="O3" s="7" t="n"/>
      <c r="P3" s="7" t="n"/>
      <c r="Q3" s="7" t="n"/>
      <c r="R3" s="19" t="inlineStr">
        <is>
          <t>aRR is expanded as 'absolute risk reduction' in the Results text and Table 2/3 abbreviation lists, but values (e.g., 0.89, 1.33 with CI 0.52-3.44) are ratio-scale, footnotes say 'aRR greater than 1 indicates higher rate ratio', aRD is reported separately, and methods/SAP use modified Poisson (risk ratios). Wrong expansion; intended ratio meaning recoverable.</t>
        </is>
      </c>
    </row>
  </sheetData>
  <autoFilter ref="A1:R3"/>
  <conditionalFormatting sqref="H2:H3">
    <cfRule type="expression" priority="8" dxfId="70">
      <formula>NOT(AND(OR($D2="retain",$D2=""),$E2="statistical_results"))</formula>
    </cfRule>
  </conditionalFormatting>
  <conditionalFormatting sqref="I2:I3">
    <cfRule type="expression" priority="9" dxfId="70">
      <formula>NOT(AND(OR($D2="retain",$D2=""),$E2="statistical_results"))</formula>
    </cfRule>
  </conditionalFormatting>
  <conditionalFormatting sqref="J2:J3">
    <cfRule type="expression" priority="10" dxfId="70">
      <formula>NOT(AND(OR($D2="retain",$D2=""),$E2="statistical_results"))</formula>
    </cfRule>
  </conditionalFormatting>
  <conditionalFormatting sqref="K2:K3">
    <cfRule type="expression" priority="11" dxfId="70">
      <formula>NOT(AND(OR($D2="retain",$D2=""),OR($E2="report_internal_inconsistency",$E2="plan_material")))</formula>
    </cfRule>
  </conditionalFormatting>
  <conditionalFormatting sqref="L2:L3">
    <cfRule type="expression" priority="12" dxfId="70">
      <formula>NOT(AND(OR($D2="retain",$D2=""),$E2="protocol_report"))</formula>
    </cfRule>
  </conditionalFormatting>
  <conditionalFormatting sqref="G2:G3">
    <cfRule type="expression" priority="13" dxfId="71">
      <formula>G2&lt;&gt;"PRIMARY READY"</formula>
    </cfRule>
  </conditionalFormatting>
  <dataValidations count="8">
    <dataValidation sqref="D2:D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2024::jama.2024.11057::C001</t>
        </is>
      </c>
      <c r="B2" s="12" t="inlineStr">
        <is>
          <t>Quit-date pre-message duration conflicts between the main article and both support documents</t>
        </is>
      </c>
      <c r="C2" s="12" t="inlineStr">
        <is>
          <t>jama_graham_2024_oi_240078_1739900423.19074.pdf — PDF p. 3; joi240078supp1_prod_1739900423.22574.pdf — PDF p. 2; joi240078supp2_prod_1739900423.24574.pdf — PDF p. 2.</t>
        </is>
      </c>
      <c r="D2" s="18" t="inlineStr">
        <is>
          <t>retain</t>
        </is>
      </c>
      <c r="E2" s="18" t="inlineStr">
        <is>
          <t>report_internal_inconsistency</t>
        </is>
      </c>
      <c r="F2" s="18" t="inlineStr">
        <is>
          <t>primary_done</t>
        </is>
      </c>
      <c r="G2" s="12">
        <f>IFERROR(IF(LEN(TRIM(CLEAN(SUBSTITUTE(Setup!$B$2,CHAR(160)," "))))=0,"ENTER REVIEWER ID",IF(OR(A2="",COUNTIF($A$2:$A$4,A2)&lt;&gt;1,LEFT(A2,LEN("2024::jama.2024.11057::"))&lt;&gt;"2024::jama.2024.11057::"),"CHECK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t="inlineStr">
        <is>
          <t>substantive_inconsistency</t>
        </is>
      </c>
      <c r="L2" s="19">
        <f>IF(AND(OR(D2="retain",D2=""),E2="protocol_report"),"","not_applicable")</f>
        <v/>
      </c>
      <c r="M2" s="12" t="n"/>
      <c r="N2" s="7" t="n"/>
      <c r="O2" s="7" t="n"/>
      <c r="P2" s="7" t="n"/>
      <c r="Q2" s="7" t="n"/>
      <c r="R2" s="19" t="inlineStr">
        <is>
          <t>Main Methods: quit-date users receive messages '6 weeks before and 8 weeks after' the quit date. Results supplement eAppendix A (same report) and the protocol both say 1 week before and 8 weeks after. The conflict is inside the current report materials, not only plan vs report. The pre-quit period is a core feature of intervention dose.</t>
        </is>
      </c>
    </row>
    <row r="3" ht="92" customFormat="1" customHeight="1" s="8">
      <c r="A3" s="11" t="inlineStr">
        <is>
          <t>2024::jama.2024.11057::C002</t>
        </is>
      </c>
      <c r="B3" s="11" t="inlineStr">
        <is>
          <t>eTable 4 labels motivation and confidence as median (IQR) but prints single parenthetical dispersion values</t>
        </is>
      </c>
      <c r="C3" s="11" t="inlineStr">
        <is>
          <t>joi240078supp2_prod_1739900423.24574.pdf — PDF p. 12, eTable 4; joi240078supp2_prod_1739900423.24574.pdf — PDF p. 13, scale footnote; jama_graham_2024_oi_240078_1739900423.19074.pdf — PDF p. 4, Table 1 comparator.</t>
        </is>
      </c>
      <c r="D3" s="18" t="inlineStr">
        <is>
          <t>retain</t>
        </is>
      </c>
      <c r="E3" s="18" t="inlineStr">
        <is>
          <t>report_internal_inconsistency</t>
        </is>
      </c>
      <c r="F3" s="18" t="inlineStr">
        <is>
          <t>primary_done</t>
        </is>
      </c>
      <c r="G3" s="11">
        <f>IFERROR(IF(LEN(TRIM(CLEAN(SUBSTITUTE(Setup!$B$2,CHAR(160)," "))))=0,"ENTER REVIEWER ID",IF(OR(A3="",COUNTIF($A$2:$A$4,A3)&lt;&gt;1,LEFT(A3,LEN("2024::jama.2024.11057::"))&lt;&gt;"2024::jama.2024.11057::"),"CHECK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minor_presentation</t>
        </is>
      </c>
      <c r="L3" s="19">
        <f>IF(AND(OR(D3="retain",D3=""),E3="protocol_report"),"","not_applicable")</f>
        <v/>
      </c>
      <c r="M3" s="11" t="n"/>
      <c r="N3" s="7" t="n"/>
      <c r="O3" s="7" t="n"/>
      <c r="P3" s="7" t="n"/>
      <c r="Q3" s="7" t="n"/>
      <c r="R3" s="19" t="inlineStr">
        <is>
          <t>eTable 4 labels motivation and confidence 'median (IQR)' but prints 4.1 (0.8), 3.2 (1.1), 3.5 (1.1); single-item 1-5 integer scores cannot have median 4.1, so these are almost certainly mean (SD). Concern is labeled median (IQR) with endpoint pairs, the reverse of main Table 1 (motivation/confidence median IQR; concern mean SD). Label swap; values usable.</t>
        </is>
      </c>
    </row>
    <row r="4" ht="92" customFormat="1" customHeight="1" s="8">
      <c r="A4" s="12" t="inlineStr">
        <is>
          <t>2024::jama.2024.11057::C003</t>
        </is>
      </c>
      <c r="B4" s="12" t="inlineStr">
        <is>
          <t>eAppendix C prints IPWR once for a result otherwise defined and labelled as IPRW</t>
        </is>
      </c>
      <c r="C4" s="12" t="inlineStr">
        <is>
          <t>joi240078supp2_prod_1739900423.24574.pdf — PDF p. 5, eAppendix C; joi240078supp2_prod_1739900423.24574.pdf — PDF p. 14, eTable 5; jama_graham_2024_oi_240078_1739900423.19074.pdf — PDF p. 4, Statistical Methods.</t>
        </is>
      </c>
      <c r="D4" s="18" t="inlineStr">
        <is>
          <t>retain</t>
        </is>
      </c>
      <c r="E4" s="18" t="inlineStr">
        <is>
          <t>report_internal_inconsistency</t>
        </is>
      </c>
      <c r="F4" s="18" t="inlineStr">
        <is>
          <t>primary_done</t>
        </is>
      </c>
      <c r="G4" s="12">
        <f>IFERROR(IF(LEN(TRIM(CLEAN(SUBSTITUTE(Setup!$B$2,CHAR(160)," "))))=0,"ENTER REVIEWER ID",IF(OR(A4="",COUNTIF($A$2:$A$4,A4)&lt;&gt;1,LEFT(A4,LEN("2024::jama.2024.11057::"))&lt;&gt;"2024::jama.2024.11057::"),"CHECK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minor_presentation</t>
        </is>
      </c>
      <c r="L4" s="19">
        <f>IF(AND(OR(D4="retain",D4=""),E4="protocol_report"),"","not_applicable")</f>
        <v/>
      </c>
      <c r="M4" s="12" t="n"/>
      <c r="N4" s="7" t="n"/>
      <c r="O4" s="7" t="n"/>
      <c r="P4" s="7" t="n"/>
      <c r="Q4" s="7" t="n"/>
      <c r="R4" s="19" t="inlineStr">
        <is>
          <t>eAppendix C defines and repeatedly uses IPRW (inverse probability of retention weighting) but writes 'IPWR' once for the repeated-PPA result (RR 2.21, 1.67-2.93); eTable 5 labels the same result IPRW. Typographic transposition; meaning unambiguous.</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2024::jama.2024.12829::C001</t>
        </is>
      </c>
      <c r="B2" s="12" t="inlineStr">
        <is>
          <t>Balloon-angioplasty female percentage does not reconcile with count and denominator</t>
        </is>
      </c>
      <c r="C2" s="12" t="inlineStr">
        <is>
          <t>DOC-001 Table 1, PDF p. 6</t>
        </is>
      </c>
      <c r="D2" s="18" t="inlineStr">
        <is>
          <t>retain</t>
        </is>
      </c>
      <c r="E2" s="18" t="inlineStr">
        <is>
          <t>statistical_results</t>
        </is>
      </c>
      <c r="F2" s="18" t="inlineStr">
        <is>
          <t>primary_done</t>
        </is>
      </c>
      <c r="G2" s="12">
        <f>IFERROR(IF(LEN(TRIM(CLEAN(SUBSTITUTE(Setup!$B$2,CHAR(160)," "))))=0,"ENTER REVIEWER ID",IF(OR(A2="",COUNTIF($A$2:$A$18,A2)&lt;&gt;1,LEFT(A2,LEN("2024::jama.2024.12829::"))&lt;&gt;"2024::jama.2024.12829::"),"CHECK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unlikely</t>
        </is>
      </c>
      <c r="K2" s="18">
        <f>IF(AND(OR(D2="retain",D2=""),OR(E2="report_internal_inconsistency",E2="plan_material")),"","not_applicable")</f>
        <v/>
      </c>
      <c r="L2" s="19">
        <f>IF(AND(OR(D2="retain",D2=""),E2="protocol_report"),"","not_applicable")</f>
        <v/>
      </c>
      <c r="M2" s="12" t="n"/>
      <c r="N2" s="7" t="n"/>
      <c r="O2" s="7" t="n"/>
      <c r="P2" s="7" t="n"/>
      <c r="Q2" s="7" t="n"/>
      <c r="R2" s="19" t="inlineStr">
        <is>
          <t>Table 1 BA female 77 (30.1); 77/249 = 30.9%. Male 172 (69.1) is correct and 172+77=249, so 30.1 looks like a digit transposition of 30.9. Count is correct and unambiguous.</t>
        </is>
      </c>
    </row>
    <row r="3" ht="92" customFormat="1" customHeight="1" s="8">
      <c r="A3" s="11" t="inlineStr">
        <is>
          <t>2024::jama.2024.12829::C002</t>
        </is>
      </c>
      <c r="B3" s="11" t="inlineStr">
        <is>
          <t>Balloon-angioplasty ischemic-stroke percentage is outside ordinary one-decimal rounding</t>
        </is>
      </c>
      <c r="C3" s="11" t="inlineStr">
        <is>
          <t>DOC-001 Table 1, PDF p. 6; DOC-002 Table S1, PDF p. 14</t>
        </is>
      </c>
      <c r="D3" s="18" t="inlineStr">
        <is>
          <t>retain</t>
        </is>
      </c>
      <c r="E3" s="18" t="inlineStr">
        <is>
          <t>statistical_results</t>
        </is>
      </c>
      <c r="F3" s="18" t="inlineStr">
        <is>
          <t>primary_done</t>
        </is>
      </c>
      <c r="G3" s="11">
        <f>IFERROR(IF(LEN(TRIM(CLEAN(SUBSTITUTE(Setup!$B$2,CHAR(160)," "))))=0,"ENTER REVIEWER ID",IF(OR(A3="",COUNTIF($A$2:$A$18,A3)&lt;&gt;1,LEFT(A3,LEN("2024::jama.2024.12829::"))&lt;&gt;"2024::jama.2024.12829::"),"CHECK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BA ischemic stroke 215 (86.4) in Table 1 and Table S1; 215/249 = 86.345%, which rounds to 86.3 (complement 34/249 = 13.7 is right, so the pair sums to 100.1). Likely a double-rounding artifact (86.345 -&gt; 86.35 -&gt; 86.4); Table S1 shows the same pattern elsewhere (29/249 = 11.65 printed 11.7). Trivial 0.1-point error.</t>
        </is>
      </c>
    </row>
    <row r="4" ht="92" customFormat="1" customHeight="1" s="8">
      <c r="A4" s="12" t="inlineStr">
        <is>
          <t>2024::jama.2024.12829::C003</t>
        </is>
      </c>
      <c r="B4" s="12" t="inlineStr">
        <is>
          <t>Table S4 procedure rows use 241 while the column header states 249</t>
        </is>
      </c>
      <c r="C4" s="12" t="inlineStr">
        <is>
          <t>DOC-002 Table S4, PDF p. 17</t>
        </is>
      </c>
      <c r="D4" s="18" t="inlineStr">
        <is>
          <t>exclude</t>
        </is>
      </c>
      <c r="E4" s="18" t="inlineStr">
        <is>
          <t>statistical_results</t>
        </is>
      </c>
      <c r="F4" s="18" t="inlineStr">
        <is>
          <t>primary_done</t>
        </is>
      </c>
      <c r="G4" s="12">
        <f>IFERROR(IF(LEN(TRIM(CLEAN(SUBSTITUTE(Setup!$B$2,CHAR(160)," "))))=0,"ENTER REVIEWER ID",IF(OR(A4="",COUNTIF($A$2:$A$18,A4)&lt;&gt;1,LEFT(A4,LEN("2024::jama.2024.12829::"))&lt;&gt;"2024::jama.2024.12829::"),"CHECK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inlineStr">
        <is>
          <t>Not an error. Table S4's header n=249 carries footnote a, which states that 241 of 249 underwent BA (7 crossovers, 1 direct stenting). Procedure rows use 241 (182+48+11 = 241; 182/241 = 75.5%), and restenosis uses the footnoted 153. Denominators are disclosed.</t>
        </is>
      </c>
    </row>
    <row r="5" ht="92" customFormat="1" customHeight="1" s="8">
      <c r="A5" s="11" t="inlineStr">
        <is>
          <t>2024::jama.2024.12829::C004</t>
        </is>
      </c>
      <c r="B5" s="11" t="inlineStr">
        <is>
          <t>Table S6 BA 9 (3.9) conflicts with its displayed denominator 249</t>
        </is>
      </c>
      <c r="C5" s="11" t="inlineStr">
        <is>
          <t>DOC-002 Table S6, PDF p. 19</t>
        </is>
      </c>
      <c r="D5" s="18" t="inlineStr">
        <is>
          <t>retain</t>
        </is>
      </c>
      <c r="E5" s="18" t="inlineStr">
        <is>
          <t>statistical_results</t>
        </is>
      </c>
      <c r="F5" s="18" t="inlineStr">
        <is>
          <t>primary_done</t>
        </is>
      </c>
      <c r="G5" s="11">
        <f>IFERROR(IF(LEN(TRIM(CLEAN(SUBSTITUTE(Setup!$B$2,CHAR(160)," "))))=0,"ENTER REVIEWER ID",IF(OR(A5="",COUNTIF($A$2:$A$18,A5)&lt;&gt;1,LEFT(A5,LEN("2024::jama.2024.12829::"))&lt;&gt;"2024::jama.2024.12829::"),"CHECK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minor_presentation</t>
        </is>
      </c>
      <c r="J5" s="19" t="inlineStr">
        <is>
          <t>possible</t>
        </is>
      </c>
      <c r="K5" s="18">
        <f>IF(AND(OR(D5="retain",D5=""),OR(E5="report_internal_inconsistency",E5="plan_material")),"","not_applicable")</f>
        <v/>
      </c>
      <c r="L5" s="19">
        <f>IF(AND(OR(D5="retain",D5=""),E5="protocol_report"),"","not_applicable")</f>
        <v/>
      </c>
      <c r="M5" s="11" t="n"/>
      <c r="N5" s="7" t="n"/>
      <c r="O5" s="7" t="n"/>
      <c r="P5" s="7" t="n"/>
      <c r="Q5" s="7" t="n"/>
      <c r="R5" s="19" t="inlineStr">
        <is>
          <t>Table S6 (center-adjusted, header n=249) prints BA 9 (3.9); 9/249 = 3.6%. 9 (3.9) is identical to the per-protocol cell in Table S8 (9/233 = 3.9%), so the row appears copied from the PPS table. Same root error as C016 (count 9 vs 11); this item is the percentage/header facet.</t>
        </is>
      </c>
    </row>
    <row r="6" ht="92" customFormat="1" customHeight="1" s="8">
      <c r="A6" s="12" t="inlineStr">
        <is>
          <t>2024::jama.2024.12829::C005</t>
        </is>
      </c>
      <c r="B6" s="12" t="inlineStr">
        <is>
          <t>Table S7 group headers conflict with site totals and displayed site percentages</t>
        </is>
      </c>
      <c r="C6" s="12" t="inlineStr">
        <is>
          <t>DOC-002 Table S7, PDF p. 20; DOC-001 Figure 1, PDF p. 5; DOC-002 Table S10, PDF p. 23</t>
        </is>
      </c>
      <c r="D6" s="18" t="inlineStr">
        <is>
          <t>retain</t>
        </is>
      </c>
      <c r="E6" s="18" t="inlineStr">
        <is>
          <t>statistical_results</t>
        </is>
      </c>
      <c r="F6" s="18" t="inlineStr">
        <is>
          <t>primary_done</t>
        </is>
      </c>
      <c r="G6" s="12">
        <f>IFERROR(IF(LEN(TRIM(CLEAN(SUBSTITUTE(Setup!$B$2,CHAR(160)," "))))=0,"ENTER REVIEWER ID",IF(OR(A6="",COUNTIF($A$2:$A$18,A6)&lt;&gt;1,LEFT(A6,LEN("2024::jama.2024.12829::"))&lt;&gt;"2024::jama.2024.12829::"),"CHECK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Table S7 headers say BA N=233 / AMM N=238 (the per-protocol sizes), but site totals are 256+245 = 501 and the cell percentages imply ITT denominators: BA 4/138 and 7/111 (= 249), AMM 19/118 and 15/134 (= 252); events 4+7 = 11 and 19+15 = 34 equal the ITT counts. Headers mislabel the analysis population.</t>
        </is>
      </c>
    </row>
    <row r="7" ht="92" customFormat="1" customHeight="1" s="8">
      <c r="A7" s="11" t="inlineStr">
        <is>
          <t>2024::jama.2024.12829::C006</t>
        </is>
      </c>
      <c r="B7" s="11" t="inlineStr">
        <is>
          <t>Table S8 per-protocol percentages conflict with headers 249/252</t>
        </is>
      </c>
      <c r="C7" s="11" t="inlineStr">
        <is>
          <t>DOC-002 Table S8, PDF p. 21; DOC-001 Figure 1, PDF p. 5; DOC-002 Table S10, PDF p. 23</t>
        </is>
      </c>
      <c r="D7" s="18" t="inlineStr">
        <is>
          <t>retain</t>
        </is>
      </c>
      <c r="E7" s="18" t="inlineStr">
        <is>
          <t>statistical_results</t>
        </is>
      </c>
      <c r="F7" s="18" t="inlineStr">
        <is>
          <t>primary_done</t>
        </is>
      </c>
      <c r="G7" s="11">
        <f>IFERROR(IF(LEN(TRIM(CLEAN(SUBSTITUTE(Setup!$B$2,CHAR(160)," "))))=0,"ENTER REVIEWER ID",IF(OR(A7="",COUNTIF($A$2:$A$18,A7)&lt;&gt;1,LEFT(A7,LEN("2024::jama.2024.12829::"))&lt;&gt;"2024::jama.2024.12829::"),"CHECK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minor_presentation</t>
        </is>
      </c>
      <c r="J7" s="19" t="inlineStr">
        <is>
          <t>possible</t>
        </is>
      </c>
      <c r="K7" s="18">
        <f>IF(AND(OR(D7="retain",D7=""),OR(E7="report_internal_inconsistency",E7="plan_material")),"","not_applicable")</f>
        <v/>
      </c>
      <c r="L7" s="19">
        <f>IF(AND(OR(D7="retain",D7=""),E7="protocol_report"),"","not_applicable")</f>
        <v/>
      </c>
      <c r="M7" s="11" t="n"/>
      <c r="N7" s="7" t="n"/>
      <c r="O7" s="7" t="n"/>
      <c r="P7" s="7" t="n"/>
      <c r="Q7" s="7" t="n"/>
      <c r="R7" s="19" t="inlineStr">
        <is>
          <t>Table S8 is titled per-protocol population but its headers print n=249/252 (ITT sizes). Every percentage reproduces from the PPS denominators 233/238 (9/233 = 3.9, 33/238 = 13.9, 6/233 = 2.6, 20/238 = 8.4), matching Figure 1 and Table S10. Header n is wrong; title identifies the population correctly.</t>
        </is>
      </c>
    </row>
    <row r="8" ht="92" customFormat="1" customHeight="1" s="8">
      <c r="A8" s="12" t="inlineStr">
        <is>
          <t>2024::jama.2024.12829::C007</t>
        </is>
      </c>
      <c r="B8" s="12" t="inlineStr">
        <is>
          <t>Table S9 as-treated percentages conflict with headers 249/252</t>
        </is>
      </c>
      <c r="C8" s="12" t="inlineStr">
        <is>
          <t>DOC-002 Table S9, PDF p. 22; DOC-002 Table S10, PDF p. 23</t>
        </is>
      </c>
      <c r="D8" s="18" t="inlineStr">
        <is>
          <t>retain</t>
        </is>
      </c>
      <c r="E8" s="18" t="inlineStr">
        <is>
          <t>statistical_results</t>
        </is>
      </c>
      <c r="F8" s="18" t="inlineStr">
        <is>
          <t>primary_done</t>
        </is>
      </c>
      <c r="G8" s="12">
        <f>IFERROR(IF(LEN(TRIM(CLEAN(SUBSTITUTE(Setup!$B$2,CHAR(160)," "))))=0,"ENTER REVIEWER ID",IF(OR(A8="",COUNTIF($A$2:$A$18,A8)&lt;&gt;1,LEFT(A8,LEN("2024::jama.2024.12829::"))&lt;&gt;"2024::jama.2024.12829::"),"CHECK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minor_presentation</t>
        </is>
      </c>
      <c r="J8" s="19" t="inlineStr">
        <is>
          <t>possible</t>
        </is>
      </c>
      <c r="K8" s="18">
        <f>IF(AND(OR(D8="retain",D8=""),OR(E8="report_internal_inconsistency",E8="plan_material")),"","not_applicable")</f>
        <v/>
      </c>
      <c r="L8" s="19">
        <f>IF(AND(OR(D8="retain",D8=""),E8="protocol_report"),"","not_applicable")</f>
        <v/>
      </c>
      <c r="M8" s="12" t="n"/>
      <c r="N8" s="7" t="n"/>
      <c r="O8" s="7" t="n"/>
      <c r="P8" s="7" t="n"/>
      <c r="Q8" s="7" t="n"/>
      <c r="R8" s="19" t="inlineStr">
        <is>
          <t>Table S9 is titled as-treated population but its headers print 249/252; primary-outcome percentages reproduce from the ATS sizes in Table S10 (11/247 = 4.5, 34/254 = 13.4). Header n is wrong; title is right. (The 8 (3.3) cell is a separate error, C014.)</t>
        </is>
      </c>
    </row>
    <row r="9" ht="92" customFormat="1" customHeight="1" s="8">
      <c r="A9" s="11" t="inlineStr">
        <is>
          <t>2024::jama.2024.12829::C008</t>
        </is>
      </c>
      <c r="B9" s="11" t="inlineStr">
        <is>
          <t>Baseline stenosis categories include values outside the stated 70%-99% eligibility range</t>
        </is>
      </c>
      <c r="C9" s="11" t="inlineStr">
        <is>
          <t>DOC-001 eligibility, PDF p. 2; DOC-001 Figure 1, PDF p. 5; DOC-001 Table 1, PDF p. 6</t>
        </is>
      </c>
      <c r="D9" s="18" t="inlineStr">
        <is>
          <t>exclude</t>
        </is>
      </c>
      <c r="E9" s="18" t="inlineStr">
        <is>
          <t>statistical_results</t>
        </is>
      </c>
      <c r="F9" s="18" t="inlineStr">
        <is>
          <t>primary_done</t>
        </is>
      </c>
      <c r="G9" s="11">
        <f>IFERROR(IF(LEN(TRIM(CLEAN(SUBSTITUTE(Setup!$B$2,CHAR(160)," "))))=0,"ENTER REVIEWER ID",IF(OR(A9="",COUNTIF($A$2:$A$18,A9)&lt;&gt;1,LEFT(A9,LEN("2024::jama.2024.12829::"))&lt;&gt;"2024::jama.2024.12829::"),"CHECK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inlineStr">
        <is>
          <t>Not a reporting error. Figure 1 discloses that after adjudication 2 AMM patients had angiographic stenosis &lt;70% and 1 patient per arm had target-artery occlusion; these were kept in the primary (randomized) population and removed from the per-protocol set. Table 1's 60-69% (AMM 2) and 100% (1 per arm) match exactly.</t>
        </is>
      </c>
    </row>
    <row r="10" ht="92" customFormat="1" customHeight="1" s="8">
      <c r="A10" s="12" t="inlineStr">
        <is>
          <t>2024::jama.2024.12829::C009</t>
        </is>
      </c>
      <c r="B10" s="12" t="inlineStr">
        <is>
          <t>Thirty-day follow-up tolerance is plus or minus 3 days in the supplement but plus or minus 7 days elsewhere</t>
        </is>
      </c>
      <c r="C10" s="12" t="inlineStr">
        <is>
          <t>DOC-002 study-design graphic, PDF p. 6; DOC-001 schedule, PDF p. 3; DOC-003 schedule, PDF p. 15</t>
        </is>
      </c>
      <c r="D10" s="18" t="inlineStr">
        <is>
          <t>retain</t>
        </is>
      </c>
      <c r="E10" s="18" t="inlineStr">
        <is>
          <t>report_internal_inconsistency</t>
        </is>
      </c>
      <c r="F10" s="18" t="inlineStr">
        <is>
          <t>primary_done</t>
        </is>
      </c>
      <c r="G10" s="12">
        <f>IFERROR(IF(LEN(TRIM(CLEAN(SUBSTITUTE(Setup!$B$2,CHAR(160)," "))))=0,"ENTER REVIEWER ID",IF(OR(A10="",COUNTIF($A$2:$A$18,A10)&lt;&gt;1,LEFT(A10,LEN("2024::jama.2024.12829::"))&lt;&gt;"2024::jama.2024.12829::"),"CHECK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t="inlineStr">
        <is>
          <t>minor_presentation</t>
        </is>
      </c>
      <c r="L10" s="19">
        <f>IF(AND(OR(D10="retain",D10=""),E10="protocol_report"),"","not_applicable")</f>
        <v/>
      </c>
      <c r="M10" s="12" t="n"/>
      <c r="N10" s="7" t="n"/>
      <c r="O10" s="7" t="n"/>
      <c r="P10" s="7" t="n"/>
      <c r="Q10" s="7" t="n"/>
      <c r="R10" s="19" t="inlineStr">
        <is>
          <t>Supplement study-design graphic shows the 30-day clinical follow-up as 30±3d; main Methods and all protocol schedules give 30±7 days. The conflict is between two report documents (main vs results supplement); the protocol agrees with the main text. Visit window only; outcome definitions (events within 30 days) are not affected.</t>
        </is>
      </c>
    </row>
    <row r="11" ht="92" customFormat="1" customHeight="1" s="8">
      <c r="A11" s="11" t="inlineStr">
        <is>
          <t>2024::jama.2024.12829::C010</t>
        </is>
      </c>
      <c r="B11" s="11" t="inlineStr">
        <is>
          <t>Protocol V2.0 gives 21-day and 14-day lower bounds for the same stroke criterion</t>
        </is>
      </c>
      <c r="C11" s="11" t="inlineStr">
        <is>
          <t>DOC-003 synopsis, PDF p. 7; DOC-003 body eligibility, PDF p. 21</t>
        </is>
      </c>
      <c r="D11" s="18" t="inlineStr">
        <is>
          <t>retain</t>
        </is>
      </c>
      <c r="E11" s="18" t="inlineStr">
        <is>
          <t>plan_material</t>
        </is>
      </c>
      <c r="F11" s="18" t="inlineStr">
        <is>
          <t>primary_done</t>
        </is>
      </c>
      <c r="G11" s="11">
        <f>IFERROR(IF(LEN(TRIM(CLEAN(SUBSTITUTE(Setup!$B$2,CHAR(160)," "))))=0,"ENTER REVIEWER ID",IF(OR(A11="",COUNTIF($A$2:$A$18,A11)&lt;&gt;1,LEFT(A11,LEN("2024::jama.2024.12829::"))&lt;&gt;"2024::jama.2024.12829::"),"CHECK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substantive_inconsistency</t>
        </is>
      </c>
      <c r="L11" s="19">
        <f>IF(AND(OR(D11="retain",D11=""),E11="protocol_report"),"","not_applicable")</f>
        <v/>
      </c>
      <c r="M11" s="11" t="n"/>
      <c r="N11" s="7" t="n"/>
      <c r="O11" s="7" t="n"/>
      <c r="P11" s="7" t="n"/>
      <c r="Q11" s="7" t="n"/>
      <c r="R11" s="19" t="inlineStr">
        <is>
          <t>Protocol V2.0 (original, 2018) gives the ischemic-stroke eligibility window as 21-90 days in the synopsis (p.7, p.9) and in the body (p.18), but 14-90 days in section 8.1 inclusion criteria (p.21). The change log says V2.1 (2020) changed it to 14-90 days, so V2.0 section 8.1 is inconsistent with the rest of V2.0. Eligibility window matters for periprocedural risk.</t>
        </is>
      </c>
    </row>
    <row r="12" ht="92" customFormat="1" customHeight="1" s="8">
      <c r="A12" s="12" t="inlineStr">
        <is>
          <t>2024::jama.2024.12829::C011</t>
        </is>
      </c>
      <c r="B12" s="12" t="inlineStr">
        <is>
          <t>BA 3-month aspirin percentage does not reconcile with count and displayed arm denominator</t>
        </is>
      </c>
      <c r="C12" s="12" t="inlineStr">
        <is>
          <t>DOC-002 Table S3, PDF p. 16</t>
        </is>
      </c>
      <c r="D12" s="18" t="inlineStr">
        <is>
          <t>retain</t>
        </is>
      </c>
      <c r="E12" s="18" t="inlineStr">
        <is>
          <t>statistical_results</t>
        </is>
      </c>
      <c r="F12" s="18" t="inlineStr">
        <is>
          <t>primary_done</t>
        </is>
      </c>
      <c r="G12" s="12">
        <f>IFERROR(IF(LEN(TRIM(CLEAN(SUBSTITUTE(Setup!$B$2,CHAR(160)," "))))=0,"ENTER REVIEWER ID",IF(OR(A12="",COUNTIF($A$2:$A$18,A12)&lt;&gt;1,LEFT(A12,LEN("2024::jama.2024.12829::"))&lt;&gt;"2024::jama.2024.12829::"),"CHECK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minor_presentation</t>
        </is>
      </c>
      <c r="J12" s="19" t="inlineStr">
        <is>
          <t>unlikely</t>
        </is>
      </c>
      <c r="K12" s="18">
        <f>IF(AND(OR(D12="retain",D12=""),OR(E12="report_internal_inconsistency",E12="plan_material")),"","not_applicable")</f>
        <v/>
      </c>
      <c r="L12" s="19">
        <f>IF(AND(OR(D12="retain",D12=""),E12="protocol_report"),"","not_applicable")</f>
        <v/>
      </c>
      <c r="M12" s="12" t="n"/>
      <c r="N12" s="7" t="n"/>
      <c r="O12" s="7" t="n"/>
      <c r="P12" s="7" t="n"/>
      <c r="Q12" s="7" t="n"/>
      <c r="R12" s="19" t="inlineStr">
        <is>
          <t>Table S3 BA aspirin at 3 months 234 (93.9); 234/249 = 93.98%, which rounds to 94.0. Truncation would explain it, but the same table rounds elsewhere (e.g., 238/249 = 95.58 printed 95.6), so this cell is mis-rounded. Trivial.</t>
        </is>
      </c>
    </row>
    <row r="13" ht="92" customFormat="1" customHeight="1" s="8">
      <c r="A13" s="11" t="inlineStr">
        <is>
          <t>2024::jama.2024.12829::C012</t>
        </is>
      </c>
      <c r="B13" s="11" t="inlineStr">
        <is>
          <t>Figure S1 repeats “2nd meeting” for three chronologically distinct meetings</t>
        </is>
      </c>
      <c r="C13" s="11" t="inlineStr">
        <is>
          <t>DOC-002 Figure S1, PDF p. 10</t>
        </is>
      </c>
      <c r="D13" s="18" t="inlineStr">
        <is>
          <t>retain</t>
        </is>
      </c>
      <c r="E13" s="18" t="inlineStr">
        <is>
          <t>report_internal_inconsistency</t>
        </is>
      </c>
      <c r="F13" s="18" t="inlineStr">
        <is>
          <t>primary_done</t>
        </is>
      </c>
      <c r="G13" s="11">
        <f>IFERROR(IF(LEN(TRIM(CLEAN(SUBSTITUTE(Setup!$B$2,CHAR(160)," "))))=0,"ENTER REVIEWER ID",IF(OR(A13="",COUNTIF($A$2:$A$18,A13)&lt;&gt;1,LEFT(A13,LEN("2024::jama.2024.12829::"))&lt;&gt;"2024::jama.2024.12829::"),"CHECK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minor_presentation</t>
        </is>
      </c>
      <c r="L13" s="19">
        <f>IF(AND(OR(D13="retain",D13=""),E13="protocol_report"),"","not_applicable")</f>
        <v/>
      </c>
      <c r="M13" s="11" t="n"/>
      <c r="N13" s="7" t="n"/>
      <c r="O13" s="7" t="n"/>
      <c r="P13" s="7" t="n"/>
      <c r="Q13" s="7" t="n"/>
      <c r="R13" s="19" t="inlineStr">
        <is>
          <t>Figure S1 labels four CEC review meetings as 1st (2021/05/30), 2nd (2021/11/20), 2nd (2022/09/07), 2nd (2023/04/10). The last two should presumably be 3rd and 4th. Labeling error only; dates and case counts are clear.</t>
        </is>
      </c>
    </row>
    <row r="14" ht="92" customFormat="1" customHeight="1" s="8">
      <c r="A14" s="12" t="inlineStr">
        <is>
          <t>2024::jama.2024.12829::C013</t>
        </is>
      </c>
      <c r="B14" s="12" t="inlineStr">
        <is>
          <t>Recurring-visit sentence ambiguously repeats visit numbers 9 and 11</t>
        </is>
      </c>
      <c r="C14" s="12" t="inlineStr">
        <is>
          <t>DOC-003 Protocol V2.0 paragraph, PDF p. 35; DOC-003 Protocol V2.3 paragraph, PDF p. 96; DOC-003 schedule, PDF p. 15</t>
        </is>
      </c>
      <c r="D14" s="18" t="inlineStr">
        <is>
          <t>retain</t>
        </is>
      </c>
      <c r="E14" s="18" t="inlineStr">
        <is>
          <t>plan_material</t>
        </is>
      </c>
      <c r="F14" s="18" t="inlineStr">
        <is>
          <t>primary_done</t>
        </is>
      </c>
      <c r="G14" s="12">
        <f>IFERROR(IF(LEN(TRIM(CLEAN(SUBSTITUTE(Setup!$B$2,CHAR(160)," "))))=0,"ENTER REVIEWER ID",IF(OR(A14="",COUNTIF($A$2:$A$18,A14)&lt;&gt;1,LEFT(A14,LEN("2024::jama.2024.12829::"))&lt;&gt;"2024::jama.2024.12829::"),"CHECK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minor_presentation</t>
        </is>
      </c>
      <c r="L14" s="19">
        <f>IF(AND(OR(D14="retain",D14=""),E14="protocol_report"),"","not_applicable")</f>
        <v/>
      </c>
      <c r="M14" s="12" t="n"/>
      <c r="N14" s="7" t="n"/>
      <c r="O14" s="7" t="n"/>
      <c r="P14" s="7" t="n"/>
      <c r="Q14" s="7" t="n"/>
      <c r="R14" s="19" t="inlineStr">
        <is>
          <t>Protocol V2.0 and V2.3 both say 'Follow-up every 6 months (visit 8, visit 9, visit 10, visit 11, visit 9, and visit 11 require patients to undergo face-to-face follow-up)'. Most plausible reading: visits 8-11 every 6 months, of which visits 9 and 11 are face-to-face; the schedule lists visits 8-11 as telephone interviews. Garbled wording, recoverable meaning.</t>
        </is>
      </c>
    </row>
    <row r="15" ht="92" customFormat="1" customHeight="1" s="8">
      <c r="A15" s="11" t="inlineStr">
        <is>
          <t>2024::jama.2024.12829::C014</t>
        </is>
      </c>
      <c r="B15" s="11" t="inlineStr">
        <is>
          <t>Table S9 BA 8 (3.3) does not round from either supplied ATS or displayed denominator</t>
        </is>
      </c>
      <c r="C15" s="11" t="inlineStr">
        <is>
          <t>DOC-002 Table S9, PDF p. 22; DOC-002 Table S10, PDF p. 23</t>
        </is>
      </c>
      <c r="D15" s="18" t="inlineStr">
        <is>
          <t>retain</t>
        </is>
      </c>
      <c r="E15" s="18" t="inlineStr">
        <is>
          <t>statistical_results</t>
        </is>
      </c>
      <c r="F15" s="18" t="inlineStr">
        <is>
          <t>primary_done</t>
        </is>
      </c>
      <c r="G15" s="11">
        <f>IFERROR(IF(LEN(TRIM(CLEAN(SUBSTITUTE(Setup!$B$2,CHAR(160)," "))))=0,"ENTER REVIEWER ID",IF(OR(A15="",COUNTIF($A$2:$A$18,A15)&lt;&gt;1,LEFT(A15,LEN("2024::jama.2024.12829::"))&lt;&gt;"2024::jama.2024.12829::"),"CHECK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minor_presentation</t>
        </is>
      </c>
      <c r="J15" s="19" t="inlineStr">
        <is>
          <t>possible</t>
        </is>
      </c>
      <c r="K15" s="18">
        <f>IF(AND(OR(D15="retain",D15=""),OR(E15="report_internal_inconsistency",E15="plan_material")),"","not_applicable")</f>
        <v/>
      </c>
      <c r="L15" s="19">
        <f>IF(AND(OR(D15="retain",D15=""),E15="protocol_report"),"","not_applicable")</f>
        <v/>
      </c>
      <c r="M15" s="11" t="n"/>
      <c r="N15" s="7" t="n"/>
      <c r="O15" s="7" t="n"/>
      <c r="P15" s="7" t="n"/>
      <c r="Q15" s="7" t="n"/>
      <c r="R15" s="19" t="inlineStr">
        <is>
          <t>Table S9 (as-treated) BA 30-day stroke or death 8 (3.3): 8/247 = 3.24% and 8/249 = 3.21%, both 3.2%. No plausible denominator in the report gives 3.3% (would need about 242-246). Isolated mis-rounding or transcription.</t>
        </is>
      </c>
    </row>
    <row r="16" ht="92" customFormat="1" customHeight="1" s="8">
      <c r="A16" s="12" t="inlineStr">
        <is>
          <t>2024::jama.2024.12829::C015</t>
        </is>
      </c>
      <c r="B16" s="12" t="inlineStr">
        <is>
          <t>Narrative assigns all 11 pre-analysis exclusions to consent withdrawal while Figure 1 assigns only 10</t>
        </is>
      </c>
      <c r="C16" s="12" t="inlineStr">
        <is>
          <t>DOC-001 narrative, PDF p. 4; DOC-001 Figure 1, PDF p. 5</t>
        </is>
      </c>
      <c r="D16" s="18" t="inlineStr">
        <is>
          <t>retain</t>
        </is>
      </c>
      <c r="E16" s="18" t="inlineStr">
        <is>
          <t>report_internal_inconsistency</t>
        </is>
      </c>
      <c r="F16" s="18" t="inlineStr">
        <is>
          <t>primary_done</t>
        </is>
      </c>
      <c r="G16" s="12">
        <f>IFERROR(IF(LEN(TRIM(CLEAN(SUBSTITUTE(Setup!$B$2,CHAR(160)," "))))=0,"ENTER REVIEWER ID",IF(OR(A16="",COUNTIF($A$2:$A$18,A16)&lt;&gt;1,LEFT(A16,LEN("2024::jama.2024.12829::"))&lt;&gt;"2024::jama.2024.12829::"),"CHECK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minor_presentation</t>
        </is>
      </c>
      <c r="L16" s="19">
        <f>IF(AND(OR(D16="retain",D16=""),E16="protocol_report"),"","not_applicable")</f>
        <v/>
      </c>
      <c r="M16" s="12" t="n"/>
      <c r="N16" s="7" t="n"/>
      <c r="O16" s="7" t="n"/>
      <c r="P16" s="7" t="n"/>
      <c r="Q16" s="7" t="n"/>
      <c r="R16" s="19" t="inlineStr">
        <is>
          <t>Results text: 'Eleven patients were excluded due to consent withdrawal'. Figure 1: BA 7 withdrew consent; AMM 3 withdrew consent plus 1 'not successfully recruited but assigned a randomization number in error'. Totals agree (512 - 11 = 501); one exclusion reason is misdescribed in the text.</t>
        </is>
      </c>
    </row>
    <row r="17" ht="92" customFormat="1" customHeight="1" s="8">
      <c r="A17" s="11" t="inlineStr">
        <is>
          <t>2024::jama.2024.12829::C016</t>
        </is>
      </c>
      <c r="B17" s="11" t="inlineStr">
        <is>
          <t>Table S6 BA event count 9 conflicts with the matched primary-analysis count 11</t>
        </is>
      </c>
      <c r="C17" s="11" t="inlineStr">
        <is>
          <t>DOC-001 primary narrative, PDF p. 5; DOC-001 Table 2, PDF p. 8; DOC-002 Table S6, PDF p. 19</t>
        </is>
      </c>
      <c r="D17" s="18" t="inlineStr">
        <is>
          <t>retain</t>
        </is>
      </c>
      <c r="E17" s="18" t="inlineStr">
        <is>
          <t>statistical_results</t>
        </is>
      </c>
      <c r="F17" s="18" t="inlineStr">
        <is>
          <t>primary_done</t>
        </is>
      </c>
      <c r="G17" s="11">
        <f>IFERROR(IF(LEN(TRIM(CLEAN(SUBSTITUTE(Setup!$B$2,CHAR(160)," "))))=0,"ENTER REVIEWER ID",IF(OR(A17="",COUNTIF($A$2:$A$18,A17)&lt;&gt;1,LEFT(A17,LEN("2024::jama.2024.12829::"))&lt;&gt;"2024::jama.2024.12829::"),"CHECK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confirmed_issue</t>
        </is>
      </c>
      <c r="I17" s="18" t="inlineStr">
        <is>
          <t>substantive</t>
        </is>
      </c>
      <c r="J17" s="19" t="inlineStr">
        <is>
          <t>possible</t>
        </is>
      </c>
      <c r="K17" s="18">
        <f>IF(AND(OR(D17="retain",D17=""),OR(E17="report_internal_inconsistency",E17="plan_material")),"","not_applicable")</f>
        <v/>
      </c>
      <c r="L17" s="19">
        <f>IF(AND(OR(D17="retain",D17=""),E17="protocol_report"),"","not_applicable")</f>
        <v/>
      </c>
      <c r="M17" s="11" t="n"/>
      <c r="N17" s="7" t="n"/>
      <c r="O17" s="7" t="n"/>
      <c r="P17" s="7" t="n"/>
      <c r="Q17" s="7" t="n"/>
      <c r="R17" s="19" t="inlineStr">
        <is>
          <t>Table S6 (post hoc center-adjusted analysis of the primary outcome, BA n=249) gives 9 BA events; main text, Table 2 and Figure 2 give 11/249 (4.4%) for the same endpoint and population. AMM 34 agrees. The BA cell 9 (3.9) equals the per-protocol Table S8 cell, so it was probably copied from the wrong table. Primary-endpoint count conflict.</t>
        </is>
      </c>
    </row>
    <row r="18" ht="92" customFormat="1" customHeight="1" s="8">
      <c r="A18" s="12" t="inlineStr">
        <is>
          <t>2024::jama.2024.12829::C017</t>
        </is>
      </c>
      <c r="B18" s="12" t="inlineStr">
        <is>
          <t>One-year incidence-difference point estimate lies outside its confidence interval</t>
        </is>
      </c>
      <c r="C18" s="12" t="inlineStr">
        <is>
          <t>DOC-001 Table 2, PDF p. 8</t>
        </is>
      </c>
      <c r="D18" s="18" t="inlineStr">
        <is>
          <t>retain</t>
        </is>
      </c>
      <c r="E18" s="18" t="inlineStr">
        <is>
          <t>statistical_results</t>
        </is>
      </c>
      <c r="F18" s="18" t="inlineStr">
        <is>
          <t>primary_done</t>
        </is>
      </c>
      <c r="G18" s="12">
        <f>IFERROR(IF(LEN(TRIM(CLEAN(SUBSTITUTE(Setup!$B$2,CHAR(160)," "))))=0,"ENTER REVIEWER ID",IF(OR(A18="",COUNTIF($A$2:$A$18,A18)&lt;&gt;1,LEFT(A18,LEN("2024::jama.2024.12829::"))&lt;&gt;"2024::jama.2024.12829::"),"CHECK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substantive</t>
        </is>
      </c>
      <c r="J18" s="19" t="inlineStr">
        <is>
          <t>direct</t>
        </is>
      </c>
      <c r="K18" s="18">
        <f>IF(AND(OR(D18="retain",D18=""),OR(E18="report_internal_inconsistency",E18="plan_material")),"","not_applicable")</f>
        <v/>
      </c>
      <c r="L18" s="19">
        <f>IF(AND(OR(D18="retain",D18=""),E18="protocol_report"),"","not_applicable")</f>
        <v/>
      </c>
      <c r="M18" s="12" t="n"/>
      <c r="N18" s="7" t="n"/>
      <c r="O18" s="7" t="n"/>
      <c r="P18" s="7" t="n"/>
      <c r="Q18" s="7" t="n"/>
      <c r="R18" s="19" t="inlineStr">
        <is>
          <t>Table 2, stroke outside qualifying-artery territory within 1 y: BA 3/249, AMM 4/252, difference -0.4 (95% CI -2.4 to -1.7). Wald recomputation gives -0.38 (-2.44 to 1.67), so the upper limit lost its sign. As printed, the CI excludes 0 and contradicts the row's P=.72 and HR 0.76 (0.17-3.40).</t>
        </is>
      </c>
    </row>
  </sheetData>
  <autoFilter ref="A1:R18"/>
  <conditionalFormatting sqref="H2:H18">
    <cfRule type="expression" priority="8" dxfId="70">
      <formula>NOT(AND(OR($D2="retain",$D2=""),$E2="statistical_results"))</formula>
    </cfRule>
  </conditionalFormatting>
  <conditionalFormatting sqref="I2:I18">
    <cfRule type="expression" priority="9" dxfId="70">
      <formula>NOT(AND(OR($D2="retain",$D2=""),$E2="statistical_results"))</formula>
    </cfRule>
  </conditionalFormatting>
  <conditionalFormatting sqref="J2:J18">
    <cfRule type="expression" priority="10" dxfId="70">
      <formula>NOT(AND(OR($D2="retain",$D2=""),$E2="statistical_results"))</formula>
    </cfRule>
  </conditionalFormatting>
  <conditionalFormatting sqref="K2:K18">
    <cfRule type="expression" priority="11" dxfId="70">
      <formula>NOT(AND(OR($D2="retain",$D2=""),OR($E2="report_internal_inconsistency",$E2="plan_material")))</formula>
    </cfRule>
  </conditionalFormatting>
  <conditionalFormatting sqref="L2:L18">
    <cfRule type="expression" priority="12" dxfId="70">
      <formula>NOT(AND(OR($D2="retain",$D2=""),$E2="protocol_report"))</formula>
    </cfRule>
  </conditionalFormatting>
  <conditionalFormatting sqref="G2:G18">
    <cfRule type="expression" priority="13" dxfId="71">
      <formula>G2&lt;&gt;"PRIMARY READY"</formula>
    </cfRule>
  </conditionalFormatting>
  <dataValidations count="8">
    <dataValidation sqref="D2:D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2024::jama.2024.19585::C001</t>
        </is>
      </c>
      <c r="B2" s="12" t="inlineStr">
        <is>
          <t>Usual-care exclusion hierarchy requires source-layout confirmation</t>
        </is>
      </c>
      <c r="C2" s="12" t="inlineStr">
        <is>
          <t>jama_dupuis_2024_oi_240111_1733431204.38761.pdf — Figure 1, PDF p. 5, usual-care branch.</t>
        </is>
      </c>
      <c r="D2" s="18" t="inlineStr">
        <is>
          <t>exclude</t>
        </is>
      </c>
      <c r="E2" s="18" t="inlineStr">
        <is>
          <t>statistical_results</t>
        </is>
      </c>
      <c r="F2" s="18" t="inlineStr">
        <is>
          <t>primary_done</t>
        </is>
      </c>
      <c r="G2" s="12">
        <f>IFERROR(IF(LEN(TRIM(CLEAN(SUBSTITUTE(Setup!$B$2,CHAR(160)," "))))=0,"ENTER REVIEWER ID",IF(OR(A2="",COUNTIF($A$2:$A$4,A2)&lt;&gt;1,LEFT(A2,LEN("2024::jama.2024.19585::"))&lt;&gt;"2024::jama.2024.19585::"),"CHECK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inlineStr">
        <is>
          <t>Not an error. In Figure 1's usual-care branch, 13 'Physician preference' is a parent of 7 + 4 + 2 (indented), and the top-level reasons 13+15+14+7+4+3+2 = 58 equal the printed total. Flow reconciles: 323-58 = 265; 265-41 = 224; 213+11 = 224. Same convention in the intervention branch (42 = 32+4+2+4; 99 total).</t>
        </is>
      </c>
    </row>
    <row r="3" ht="92" customFormat="1" customHeight="1" s="8">
      <c r="A3" s="11" t="inlineStr">
        <is>
          <t>2024::jama.2024.19585::C002</t>
        </is>
      </c>
      <c r="B3" s="11" t="inlineStr">
        <is>
          <t>Main-text rejected-statement percentage conflicts with the supplement counts</t>
        </is>
      </c>
      <c r="C3" s="11" t="inlineStr">
        <is>
          <t>jama_dupuis_2024_oi_240111_1733431204.38761.pdf — narrative, PDF p. 2 and joi240111supp2_prod_1733431204.76024.pdf — eTable 3, PDF p. 6.</t>
        </is>
      </c>
      <c r="D3" s="18" t="inlineStr">
        <is>
          <t>retain</t>
        </is>
      </c>
      <c r="E3" s="18" t="inlineStr">
        <is>
          <t>statistical_results</t>
        </is>
      </c>
      <c r="F3" s="18" t="inlineStr">
        <is>
          <t>primary_done</t>
        </is>
      </c>
      <c r="G3" s="11">
        <f>IFERROR(IF(LEN(TRIM(CLEAN(SUBSTITUTE(Setup!$B$2,CHAR(160)," "))))=0,"ENTER REVIEWER ID",IF(OR(A3="",COUNTIF($A$2:$A$4,A3)&lt;&gt;1,LEFT(A3,LEN("2024::jama.2024.19585::"))&lt;&gt;"2024::jama.2024.19585::"),"CHECK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t="inlineStr">
        <is>
          <t>possible</t>
        </is>
      </c>
      <c r="K3" s="18">
        <f>IF(AND(OR(D3="retain",D3=""),OR(E3="report_internal_inconsistency",E3="plan_material")),"","not_applicable")</f>
        <v/>
      </c>
      <c r="L3" s="19">
        <f>IF(AND(OR(D3="retain",D3=""),E3="protocol_report"),"","not_applicable")</f>
        <v/>
      </c>
      <c r="M3" s="11" t="n"/>
      <c r="N3" s="7" t="n"/>
      <c r="O3" s="7" t="n"/>
      <c r="P3" s="7" t="n"/>
      <c r="Q3" s="7" t="n"/>
      <c r="R3" s="19" t="inlineStr">
        <is>
          <t>Main text: 40.8% adopted, 48.7% adapted, 6.4% rejected across intervention sites (sums to 95.9%). eTable 3 site counts (10 sites x 135 statements) give keep 551, adapt 657, reject 142 of 1350 = 40.8%, 48.7%, 10.5%. The 6.4% is wrong; the site range 3.7%-18.5% in the text matches eTable 3.</t>
        </is>
      </c>
    </row>
    <row r="4" ht="92" customFormat="1" customHeight="1" s="8">
      <c r="A4" s="12" t="inlineStr">
        <is>
          <t>2024::jama.2024.19585::C003</t>
        </is>
      </c>
      <c r="B4" s="12" t="inlineStr">
        <is>
          <t>eTable 10 labels logistic-regression odds ratios as differences</t>
        </is>
      </c>
      <c r="C4"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18" t="inlineStr">
        <is>
          <t>retain</t>
        </is>
      </c>
      <c r="E4" s="18" t="inlineStr">
        <is>
          <t>report_internal_inconsistency</t>
        </is>
      </c>
      <c r="F4" s="18" t="inlineStr">
        <is>
          <t>primary_done</t>
        </is>
      </c>
      <c r="G4" s="12">
        <f>IFERROR(IF(LEN(TRIM(CLEAN(SUBSTITUTE(Setup!$B$2,CHAR(160)," "))))=0,"ENTER REVIEWER ID",IF(OR(A4="",COUNTIF($A$2:$A$4,A4)&lt;&gt;1,LEFT(A4,LEN("2024::jama.2024.19585::"))&lt;&gt;"2024::jama.2024.19585::"),"CHECK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minor_presentation</t>
        </is>
      </c>
      <c r="L4" s="19">
        <f>IF(AND(OR(D4="retain",D4=""),E4="protocol_report"),"","not_applicable")</f>
        <v/>
      </c>
      <c r="M4" s="12" t="n"/>
      <c r="N4" s="7" t="n"/>
      <c r="O4" s="7" t="n"/>
      <c r="P4" s="7" t="n"/>
      <c r="Q4" s="7" t="n"/>
      <c r="R4" s="19" t="inlineStr">
        <is>
          <t>eTable 10 columns are headed 'Difference (95% CI)', but eMethods states these documentation/any-intervention/symptom-specific analyses fit (mixed-effects) logistic regression to estimate odds ratios, and the values (e.g., 0.53 (0.28, 1.01); 13 (0.58, 291.4)) are ratio-scale around 1. Mislabelled effect measure; ratio meaning recoverable from methods.</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6"/>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2024::jama.2024.2302::C001</t>
        </is>
      </c>
      <c r="B2" s="12" t="inlineStr">
        <is>
          <t>Primary SAE endpoint threshold label</t>
        </is>
      </c>
      <c r="C2" s="12" t="inlineStr">
        <is>
          <t>main article — PDF p. 6, Table 2; results supplement — PDF p. 5, eTable 2; protocol — PDF p. 2; SAP — PDF p. 4.</t>
        </is>
      </c>
      <c r="D2" s="18" t="inlineStr">
        <is>
          <t>retain</t>
        </is>
      </c>
      <c r="E2" s="18" t="inlineStr">
        <is>
          <t>report_internal_inconsistency</t>
        </is>
      </c>
      <c r="F2" s="18" t="inlineStr">
        <is>
          <t>primary_done</t>
        </is>
      </c>
      <c r="G2" s="12">
        <f>IFERROR(IF(LEN(TRIM(CLEAN(SUBSTITUTE(Setup!$B$2,CHAR(160)," "))))=0,"ENTER REVIEWER ID",IF(OR(A2="",COUNTIF($A$2:$A$6,A2)&lt;&gt;1,LEFT(A2,LEN("2024::jama.2024.2302::"))&lt;&gt;"2024::jama.2024.2302::"),"CHECK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t="inlineStr">
        <is>
          <t>minor_presentation</t>
        </is>
      </c>
      <c r="L2" s="19">
        <f>IF(AND(OR(D2="retain",D2=""),E2="protocol_report"),"","not_applicable")</f>
        <v/>
      </c>
      <c r="M2" s="12" t="n"/>
      <c r="N2" s="7" t="n"/>
      <c r="O2" s="7" t="n"/>
      <c r="P2" s="7" t="n"/>
      <c r="Q2" s="7" t="n"/>
      <c r="R2" s="19" t="inlineStr">
        <is>
          <t>Main Table 2 labels the primary outcome 'Had ≥1 serious adverse event' (44/159, 27/149); results eTable 2 labels the same counts 'Infant had &gt; 1 SAE'. Protocol says '&gt;1 SAE' throughout; SAP mixes '&gt;1' (p.2) with 'at least one'/'≥1'/'any SAEs' (p.3, 4, 7). Identical counts show one outcome; '&gt;1' reads as a lost '≥'. Label error, not a different endpoint.</t>
        </is>
      </c>
    </row>
    <row r="3" ht="92" customFormat="1" customHeight="1" s="8">
      <c r="A3" s="11" t="inlineStr">
        <is>
          <t>2024::jama.2024.2302::C002</t>
        </is>
      </c>
      <c r="B3" s="11" t="inlineStr">
        <is>
          <t>Planned hospital-day medians</t>
        </is>
      </c>
      <c r="C3" s="11" t="inlineStr">
        <is>
          <t>protocol — PDF p. 3; protocol — PDF p. 12; SAP — PDF p. 3.</t>
        </is>
      </c>
      <c r="D3" s="18" t="inlineStr">
        <is>
          <t>retain</t>
        </is>
      </c>
      <c r="E3" s="18" t="inlineStr">
        <is>
          <t>plan_material</t>
        </is>
      </c>
      <c r="F3" s="18" t="inlineStr">
        <is>
          <t>primary_done</t>
        </is>
      </c>
      <c r="G3" s="11">
        <f>IFERROR(IF(LEN(TRIM(CLEAN(SUBSTITUTE(Setup!$B$2,CHAR(160)," "))))=0,"ENTER REVIEWER ID",IF(OR(A3="",COUNTIF($A$2:$A$6,A3)&lt;&gt;1,LEFT(A3,LEN("2024::jama.2024.2302::"))&lt;&gt;"2024::jama.2024.2302::"),"CHECK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minor_presentation</t>
        </is>
      </c>
      <c r="L3" s="19">
        <f>IF(AND(OR(D3="retain",D3=""),E3="protocol_report"),"","not_applicable")</f>
        <v/>
      </c>
      <c r="M3" s="11" t="n"/>
      <c r="N3" s="7" t="n"/>
      <c r="O3" s="7" t="n"/>
      <c r="P3" s="7" t="n"/>
      <c r="Q3" s="7" t="n"/>
      <c r="R3" s="19" t="inlineStr">
        <is>
          <t>Protocol p.3 states planned median hospital days 18 (early) vs 15 (late); protocol p.12 power text uses median 8/5 (means 18/13). The SAP explicitly flags the p.3 values as incorrect and gives 8 vs 5. Real within-protocol inconsistency in a secondary-outcome planning assumption, disclosed and corrected in the SAP.</t>
        </is>
      </c>
    </row>
    <row r="4" ht="92" customFormat="1" customHeight="1" s="8">
      <c r="A4" s="12" t="inlineStr">
        <is>
          <t>2024::jama.2024.2302::C003</t>
        </is>
      </c>
      <c r="B4" s="12" t="inlineStr">
        <is>
          <t>Bayesian intervention priors</t>
        </is>
      </c>
      <c r="C4" s="12" t="inlineStr">
        <is>
          <t>main article — PDF p. 4; SAP — PDF p. 8.</t>
        </is>
      </c>
      <c r="D4" s="18" t="inlineStr">
        <is>
          <t>retain</t>
        </is>
      </c>
      <c r="E4" s="18" t="inlineStr">
        <is>
          <t>protocol_report</t>
        </is>
      </c>
      <c r="F4" s="18" t="inlineStr">
        <is>
          <t>primary_done</t>
        </is>
      </c>
      <c r="G4" s="12">
        <f>IFERROR(IF(LEN(TRIM(CLEAN(SUBSTITUTE(Setup!$B$2,CHAR(160)," "))))=0,"ENTER REVIEWER ID",IF(OR(A4="",COUNTIF($A$2:$A$6,A4)&lt;&gt;1,LEFT(A4,LEN("2024::jama.2024.2302::"))&lt;&gt;"2024::jama.2024.2302::"),"CHECK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t="inlineStr">
        <is>
          <t>substantive_difference</t>
        </is>
      </c>
      <c r="M4" s="12" t="n"/>
      <c r="N4" s="7" t="n"/>
      <c r="O4" s="7" t="n"/>
      <c r="P4" s="7" t="n"/>
      <c r="Q4" s="7" t="n"/>
      <c r="R4" s="19" t="inlineStr">
        <is>
          <t>Main Methods: neutral prior for the intervention effect, OR or RR centered at 1.0 with 95% CrI 0.33-3.0 for categorical and count outcomes. SAP: categorical OR prior 95% CrI 0.2-4 as Normal(0, SD 0.7) on log-OR; count RR 0.33-3.3. Normal(0, 0.7) implies 0.25-3.94; 0.33-3.0 implies SD about 0.56. The primary (binary) outcome prior differs from plan.</t>
        </is>
      </c>
    </row>
    <row r="5" ht="92" customFormat="1" customHeight="1" s="8">
      <c r="A5" s="11" t="inlineStr">
        <is>
          <t>2024::jama.2024.2302::C004</t>
        </is>
      </c>
      <c r="B5" s="11" t="inlineStr">
        <is>
          <t>Gestational-age boundary</t>
        </is>
      </c>
      <c r="C5" s="11" t="inlineStr">
        <is>
          <t>main article — PDF p. 8, Figure 3; SAP — PDF p. 3; SAP — PDF p. 8; SAP — PDF p. 9.</t>
        </is>
      </c>
      <c r="D5" s="18" t="inlineStr">
        <is>
          <t>retain</t>
        </is>
      </c>
      <c r="E5" s="18" t="inlineStr">
        <is>
          <t>protocol_report</t>
        </is>
      </c>
      <c r="F5" s="18" t="inlineStr">
        <is>
          <t>primary_done</t>
        </is>
      </c>
      <c r="G5" s="11">
        <f>IFERROR(IF(LEN(TRIM(CLEAN(SUBSTITUTE(Setup!$B$2,CHAR(160)," "))))=0,"ENTER REVIEWER ID",IF(OR(A5="",COUNTIF($A$2:$A$6,A5)&lt;&gt;1,LEFT(A5,LEN("2024::jama.2024.2302::"))&lt;&gt;"2024::jama.2024.2302::"),"CHECK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t="inlineStr">
        <is>
          <t>minor_presentation</t>
        </is>
      </c>
      <c r="M5" s="11" t="n"/>
      <c r="N5" s="7" t="n"/>
      <c r="O5" s="7" t="n"/>
      <c r="P5" s="7" t="n"/>
      <c r="Q5" s="7" t="n"/>
      <c r="R5" s="19" t="inlineStr">
        <is>
          <t>Figure 3 subgroups are &lt;28 wk and ≥28 wk (102+57 = 159; 99+50 = 149). SAP p.3 (stratification) and p.9 (subgroups) write &lt;28/&gt;28, but SAP p.8 itself writes &lt;28/≥28 for the same GA covariate, and main text uses 'younger than 28 weeks and 28 weeks or older'. '&gt;28' is shorthand that omits equality; no evidence of a different split.</t>
        </is>
      </c>
    </row>
    <row r="6" ht="92" customFormat="1" customHeight="1" s="8">
      <c r="A6" s="12" t="inlineStr">
        <is>
          <t>2024::jama.2024.2302::C005</t>
        </is>
      </c>
      <c r="B6" s="12" t="inlineStr">
        <is>
          <t>Primary-outcome time origin</t>
        </is>
      </c>
      <c r="C6" s="12" t="inlineStr">
        <is>
          <t>protocol — PDF p. 3; protocol — PDF p. 11; SAP — PDF p. 7; main article — PDF p. 3. Main article — PDF p. 6 footnote g is secondary-outcome context only, as it attaches to the hospital-stay row.</t>
        </is>
      </c>
      <c r="D6" s="18" t="inlineStr">
        <is>
          <t>exclude</t>
        </is>
      </c>
      <c r="E6" s="18" t="inlineStr">
        <is>
          <t>protocol_report</t>
        </is>
      </c>
      <c r="F6" s="18" t="inlineStr">
        <is>
          <t>primary_done</t>
        </is>
      </c>
      <c r="G6" s="12">
        <f>IFERROR(IF(LEN(TRIM(CLEAN(SUBSTITUTE(Setup!$B$2,CHAR(160)," "))))=0,"ENTER REVIEWER ID",IF(OR(A6="",COUNTIF($A$2:$A$6,A6)&lt;&gt;1,LEFT(A6,LEN("2024::jama.2024.2302::"))&lt;&gt;"2024::jama.2024.2302::"),"CHECK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inlineStr">
        <is>
          <t>Not a meaningful difference. In this trial randomization occurs at enrollment (protocol 'Enrollment and Randomization': infants randomized once consent is given). The protocol itself uses both '10 months after randomization' (p.3 line 98) and 'from enrollment through 10 months' (p.3 line 100), and the main article uses both terms. Same time origin, interchangeable wording.</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2024::jama.2024.23898::C001</t>
        </is>
      </c>
      <c r="B2" s="12" t="inlineStr">
        <is>
          <t>Primary-outcome 72-hour clock origin is not stated consistently</t>
        </is>
      </c>
      <c r="C2" s="12" t="inlineStr">
        <is>
          <t>main article — PDF p. 1; main article — PDF p. 5; main article — PDF p. 6; SAP — PDF p. 9.</t>
        </is>
      </c>
      <c r="D2" s="18" t="inlineStr">
        <is>
          <t>retain</t>
        </is>
      </c>
      <c r="E2" s="18" t="inlineStr">
        <is>
          <t>protocol_report</t>
        </is>
      </c>
      <c r="F2" s="18" t="inlineStr">
        <is>
          <t>primary_done</t>
        </is>
      </c>
      <c r="G2" s="12">
        <f>IFERROR(IF(LEN(TRIM(CLEAN(SUBSTITUTE(Setup!$B$2,CHAR(160)," "))))=0,"ENTER REVIEWER ID",IF(OR(A2="",COUNTIF($A$2:$A$8,A2)&lt;&gt;1,LEFT(A2,LEN("2024::jama.2024.23898::"))&lt;&gt;"2024::jama.2024.23898::"),"CHECK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t="inlineStr">
        <is>
          <t>minor_presentation</t>
        </is>
      </c>
      <c r="M2" s="12" t="n"/>
      <c r="N2" s="7" t="n"/>
      <c r="O2" s="7" t="n"/>
      <c r="P2" s="7" t="n"/>
      <c r="Q2" s="7" t="n"/>
      <c r="R2" s="19" t="inlineStr">
        <is>
          <t>Protocol and SAP define GI-3 'at 72 hours after the start of operation'; the article says '72 hours after surgery/operation' throughout without restating the origin. Same endpoint and counts (160/279 vs 164/278); the article wording is imprecise shorthand rather than evidence of a different clock.</t>
        </is>
      </c>
    </row>
    <row r="3" ht="92" customFormat="1" customHeight="1" s="8">
      <c r="A3" s="11" t="inlineStr">
        <is>
          <t>2024::jama.2024.23898::C002</t>
        </is>
      </c>
      <c r="B3" s="11" t="inlineStr">
        <is>
          <t>Postoperative opioid-consumption window is 24 hours versus 72 hours</t>
        </is>
      </c>
      <c r="C3" s="11" t="inlineStr">
        <is>
          <t>main article — PDF p. 4; main article — PDF p. 6; protocol — PDF p. 17; SAP — PDF p. 11.</t>
        </is>
      </c>
      <c r="D3" s="18" t="inlineStr">
        <is>
          <t>retain</t>
        </is>
      </c>
      <c r="E3" s="18" t="inlineStr">
        <is>
          <t>protocol_report</t>
        </is>
      </c>
      <c r="F3" s="18" t="inlineStr">
        <is>
          <t>primary_done</t>
        </is>
      </c>
      <c r="G3" s="11">
        <f>IFERROR(IF(LEN(TRIM(CLEAN(SUBSTITUTE(Setup!$B$2,CHAR(160)," "))))=0,"ENTER REVIEWER ID",IF(OR(A3="",COUNTIF($A$2:$A$8,A3)&lt;&gt;1,LEFT(A3,LEN("2024::jama.2024.23898::"))&lt;&gt;"2024::jama.2024.23898::"),"CHECK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t="inlineStr">
        <is>
          <t>substantive_difference</t>
        </is>
      </c>
      <c r="M3" s="11" t="n"/>
      <c r="N3" s="7" t="n"/>
      <c r="O3" s="7" t="n"/>
      <c r="P3" s="7" t="n"/>
      <c r="Q3" s="7" t="n"/>
      <c r="R3" s="19" t="inlineStr">
        <is>
          <t>Protocol (p.17: cumulative total until 72 h after start of operation) and SAP (p.10-11: total in-hospital opioid consumption up to 72 h) plan a 72-hour window; the article reports postoperative opioid consumption up to 24 h (medians 70.6 vs 45.0 mg OME, n=210 each) in Methods and Table 2. The reported secondary-outcome window differs from plan without explanation.</t>
        </is>
      </c>
    </row>
    <row r="4" ht="92" customFormat="1" customHeight="1" s="8">
      <c r="A4" s="12" t="inlineStr">
        <is>
          <t>2024::jama.2024.23898::C003</t>
        </is>
      </c>
      <c r="B4" s="12" t="inlineStr">
        <is>
          <t>Unplanned-readmission window is 90 days versus 30 days</t>
        </is>
      </c>
      <c r="C4" s="12" t="inlineStr">
        <is>
          <t>main article — PDF p. 4; main article — PDF p. 8; protocol — PDF p. 18; SAP — PDF p. 10; SAP — PDF p. 27.</t>
        </is>
      </c>
      <c r="D4" s="18" t="inlineStr">
        <is>
          <t>retain</t>
        </is>
      </c>
      <c r="E4" s="18" t="inlineStr">
        <is>
          <t>report_internal_inconsistency</t>
        </is>
      </c>
      <c r="F4" s="18" t="inlineStr">
        <is>
          <t>primary_done</t>
        </is>
      </c>
      <c r="G4" s="12">
        <f>IFERROR(IF(LEN(TRIM(CLEAN(SUBSTITUTE(Setup!$B$2,CHAR(160)," "))))=0,"ENTER REVIEWER ID",IF(OR(A4="",COUNTIF($A$2:$A$8,A4)&lt;&gt;1,LEFT(A4,LEN("2024::jama.2024.23898::"))&lt;&gt;"2024::jama.2024.23898::"),"CHECK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inlineStr">
        <is>
          <t>Article Methods lists 'unplanned readmission within 30 days of surgery' as a tertiary outcome; Table 3 reports 'Unplanned readmission after discharge and within 90 d of operation' 31 (11.1) vs 34 (12.2). Protocol and SAP (incl. shell table 13.23) specify 30 days. Within the article, the window of the reported counts is undetermined.</t>
        </is>
      </c>
    </row>
    <row r="5" ht="92" customFormat="1" customHeight="1" s="8">
      <c r="A5" s="11" t="inlineStr">
        <is>
          <t>2024::jama.2024.23898::C004</t>
        </is>
      </c>
      <c r="B5" s="11" t="inlineStr">
        <is>
          <t>ERAS subgroup cut points differ from the protocol bands</t>
        </is>
      </c>
      <c r="C5" s="11" t="inlineStr">
        <is>
          <t>protocol — PDF p. 17; protocol — PDF p. 18; SAP — PDF p. 15; results supplement — PDF p. 2.</t>
        </is>
      </c>
      <c r="D5" s="18" t="inlineStr">
        <is>
          <t>retain</t>
        </is>
      </c>
      <c r="E5" s="18" t="inlineStr">
        <is>
          <t>protocol_report</t>
        </is>
      </c>
      <c r="F5" s="18" t="inlineStr">
        <is>
          <t>primary_done</t>
        </is>
      </c>
      <c r="G5" s="11">
        <f>IFERROR(IF(LEN(TRIM(CLEAN(SUBSTITUTE(Setup!$B$2,CHAR(160)," "))))=0,"ENTER REVIEWER ID",IF(OR(A5="",COUNTIF($A$2:$A$8,A5)&lt;&gt;1,LEFT(A5,LEN("2024::jama.2024.23898::"))&lt;&gt;"2024::jama.2024.23898::"),"CHECK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t="inlineStr">
        <is>
          <t>substantive_difference</t>
        </is>
      </c>
      <c r="M5" s="11" t="n"/>
      <c r="N5" s="7" t="n"/>
      <c r="O5" s="7" t="n"/>
      <c r="P5" s="7" t="n"/>
      <c r="Q5" s="7" t="n"/>
      <c r="R5" s="19" t="inlineStr">
        <is>
          <t>Protocol gives ERAS compliance as 'graded proportion e.g. 0-30%; 30-60%; &gt;60% compliant'; the SAP names high/moderate/low without cut points; the eFigure uses low &lt;5/10 (&lt;50%), moderate 5-6, high &gt;=7/10 and states the definitions were not predefined. Cut points differ from the protocol's example bands; the deviation is disclosed and the analysis is exploratory.</t>
        </is>
      </c>
    </row>
    <row r="6" ht="92" customFormat="1" customHeight="1" s="8">
      <c r="A6" s="12" t="inlineStr">
        <is>
          <t>2024::jama.2024.23898::C005</t>
        </is>
      </c>
      <c r="B6" s="12" t="inlineStr">
        <is>
          <t>The eFigure assigns both 99% and 95% labels to the same intervals</t>
        </is>
      </c>
      <c r="C6" s="12" t="inlineStr">
        <is>
          <t>results supplement — PDF p. 2; SAP — PDF p. 15.</t>
        </is>
      </c>
      <c r="D6" s="18" t="inlineStr">
        <is>
          <t>retain</t>
        </is>
      </c>
      <c r="E6" s="18" t="inlineStr">
        <is>
          <t>statistical_results</t>
        </is>
      </c>
      <c r="F6" s="18" t="inlineStr">
        <is>
          <t>primary_done</t>
        </is>
      </c>
      <c r="G6" s="12">
        <f>IFERROR(IF(LEN(TRIM(CLEAN(SUBSTITUTE(Setup!$B$2,CHAR(160)," "))))=0,"ENTER REVIEWER ID",IF(OR(A6="",COUNTIF($A$2:$A$8,A6)&lt;&gt;1,LEFT(A6,LEN("2024::jama.2024.23898::"))&lt;&gt;"2024::jama.2024.23898::"),"CHECK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eFigure legend says the plotted lines are 99% CI; the caption says the numbers on the right are RRs with 95% CI. The plotted bars visually coincide with the printed intervals (e.g., overall 0.88-1.07; low ERAS 0.49-2.08), and the overall row equals the main-text 95% CI, so the intervals appear to be 95% and the legend mislabelled; SAP planned 99% CIs for subgroups.</t>
        </is>
      </c>
    </row>
    <row r="7" ht="92" customFormat="1" customHeight="1" s="8">
      <c r="A7" s="11" t="inlineStr">
        <is>
          <t>2024::jama.2024.23898::C006</t>
        </is>
      </c>
      <c r="B7" s="11" t="inlineStr">
        <is>
          <t>Day-5 EQ-5D inference conflicts with blanket no-difference prose</t>
        </is>
      </c>
      <c r="C7" s="11" t="inlineStr">
        <is>
          <t>main article — PDF p. 5; main article — PDF p. 6; SAP — PDF p. 13; SAP — PDF p. 14.</t>
        </is>
      </c>
      <c r="D7" s="18" t="inlineStr">
        <is>
          <t>retain</t>
        </is>
      </c>
      <c r="E7" s="18" t="inlineStr">
        <is>
          <t>statistical_results</t>
        </is>
      </c>
      <c r="F7" s="18" t="inlineStr">
        <is>
          <t>primary_done</t>
        </is>
      </c>
      <c r="G7" s="11">
        <f>IFERROR(IF(LEN(TRIM(CLEAN(SUBSTITUTE(Setup!$B$2,CHAR(160)," "))))=0,"ENTER REVIEWER ID",IF(OR(A7="",COUNTIF($A$2:$A$8,A7)&lt;&gt;1,LEFT(A7,LEN("2024::jama.2024.23898::"))&lt;&gt;"2024::jama.2024.23898::"),"CHECK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probable_issue</t>
        </is>
      </c>
      <c r="I7" s="18" t="inlineStr">
        <is>
          <t>minor_presentation</t>
        </is>
      </c>
      <c r="J7" s="19" t="inlineStr">
        <is>
          <t>unlikely</t>
        </is>
      </c>
      <c r="K7" s="18">
        <f>IF(AND(OR(D7="retain",D7=""),OR(E7="report_internal_inconsistency",E7="plan_material")),"","not_applicable")</f>
        <v/>
      </c>
      <c r="L7" s="19">
        <f>IF(AND(OR(D7="retain",D7=""),E7="protocol_report"),"","not_applicable")</f>
        <v/>
      </c>
      <c r="M7" s="11" t="n"/>
      <c r="N7" s="7" t="n"/>
      <c r="O7" s="7" t="n"/>
      <c r="P7" s="7" t="n"/>
      <c r="Q7" s="7" t="n"/>
      <c r="R7" s="19" t="inlineStr">
        <is>
          <t>Table 2 shows EQ-5D-5L day 5 difference -0.057 (95% CI -0.111 to -0.003), P=.04, favoring placebo; Results and Abstract say there was no significant difference in quality of life / in any of the 11 secondary endpoints. Literally inconsistent at the stated 2-sided .05 level. No overall repeated-measures test is reported that the statement might refer to; 1 of 9 unadjusted time points.</t>
        </is>
      </c>
    </row>
    <row r="8" ht="92" customFormat="1" customHeight="1" s="8">
      <c r="A8" s="12" t="inlineStr">
        <is>
          <t>2024::jama.2024.23898::C007</t>
        </is>
      </c>
      <c r="B8" s="12" t="inlineStr">
        <is>
          <t>ERAS subgroup is labeled as two levels versus three levels</t>
        </is>
      </c>
      <c r="C8" s="12" t="inlineStr">
        <is>
          <t>main article — PDF p. 5; SAP — PDF p. 15; results supplement — PDF p. 2.</t>
        </is>
      </c>
      <c r="D8" s="18" t="inlineStr">
        <is>
          <t>retain</t>
        </is>
      </c>
      <c r="E8" s="18" t="inlineStr">
        <is>
          <t>report_internal_inconsistency</t>
        </is>
      </c>
      <c r="F8" s="18" t="inlineStr">
        <is>
          <t>primary_done</t>
        </is>
      </c>
      <c r="G8" s="12">
        <f>IFERROR(IF(LEN(TRIM(CLEAN(SUBSTITUTE(Setup!$B$2,CHAR(160)," "))))=0,"ENTER REVIEWER ID",IF(OR(A8="",COUNTIF($A$2:$A$8,A8)&lt;&gt;1,LEFT(A8,LEN("2024::jama.2024.23898::"))&lt;&gt;"2024::jama.2024.23898::"),"CHECK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t="inlineStr">
        <is>
          <t>minor_presentation</t>
        </is>
      </c>
      <c r="L8" s="19">
        <f>IF(AND(OR(D8="retain",D8=""),E8="protocol_report"),"","not_applicable")</f>
        <v/>
      </c>
      <c r="M8" s="12" t="n"/>
      <c r="N8" s="7" t="n"/>
      <c r="O8" s="7" t="n"/>
      <c r="P8" s="7" t="n"/>
      <c r="Q8" s="7" t="n"/>
      <c r="R8" s="19" t="inlineStr">
        <is>
          <t>Article Methods lists the prespecified subgroup as 'high vs low enhanced recovery protocol adherence'; the results-supplement eFigure shows three levels (high n=191, moderate n=274, low n=92) with one interaction P (.966), and the SAP names high/moderate/low. Methods wording omits the middle category.</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2024::jama.2024.25786::C001</t>
        </is>
      </c>
      <c r="B2" s="12" t="inlineStr">
        <is>
          <t>Liberal walk-in transport percentage does not reconcile with 4/743</t>
        </is>
      </c>
      <c r="C2" s="12" t="inlineStr">
        <is>
          <t>Supplement 2, eTable 2, PDF p. 15, liberal oxygen group, walk-in transport row.</t>
        </is>
      </c>
      <c r="D2" s="18" t="inlineStr">
        <is>
          <t>retain</t>
        </is>
      </c>
      <c r="E2" s="18" t="inlineStr">
        <is>
          <t>statistical_results</t>
        </is>
      </c>
      <c r="F2" s="18" t="inlineStr">
        <is>
          <t>primary_done</t>
        </is>
      </c>
      <c r="G2" s="12">
        <f>IFERROR(IF(LEN(TRIM(CLEAN(SUBSTITUTE(Setup!$B$2,CHAR(160)," "))))=0,"ENTER REVIEWER ID",IF(OR(A2="",COUNTIF($A$2:$A$9,A2)&lt;&gt;1,LEFT(A2,LEN("2024::jama.2024.25786::"))&lt;&gt;"2024::jama.2024.25786::"),"CHECK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possible</t>
        </is>
      </c>
      <c r="K2" s="18">
        <f>IF(AND(OR(D2="retain",D2=""),OR(E2="report_internal_inconsistency",E2="plan_material")),"","not_applicable")</f>
        <v/>
      </c>
      <c r="L2" s="19">
        <f>IF(AND(OR(D2="retain",D2=""),E2="protocol_report"),"","not_applicable")</f>
        <v/>
      </c>
      <c r="M2" s="12" t="n"/>
      <c r="N2" s="7" t="n"/>
      <c r="O2" s="7" t="n"/>
      <c r="P2" s="7" t="n"/>
      <c r="Q2" s="7" t="n"/>
      <c r="R2" s="19" t="inlineStr">
        <is>
          <t>eTable 2, liberal group, walk-in transport: 4/743 (5.3). 4/743 = 0.54%, so the percentage should be 0.5 (a decimal-place error). Count and denominator are consistent with neighboring cells; baseline descriptor only.</t>
        </is>
      </c>
    </row>
    <row r="3" ht="92" customFormat="1" customHeight="1" s="8">
      <c r="A3" s="11" t="inlineStr">
        <is>
          <t>2024::jama.2024.25786::C002</t>
        </is>
      </c>
      <c r="B3" s="11" t="inlineStr">
        <is>
          <t>Liberal vascular-surgery percentage is nonzero with a printed zero numerator</t>
        </is>
      </c>
      <c r="C3" s="11" t="inlineStr">
        <is>
          <t>Supplement 2, eTable 2, PDF p. 15, liberal oxygen group, vascular surgery row.</t>
        </is>
      </c>
      <c r="D3" s="18" t="inlineStr">
        <is>
          <t>retain</t>
        </is>
      </c>
      <c r="E3" s="18" t="inlineStr">
        <is>
          <t>statistical_results</t>
        </is>
      </c>
      <c r="F3" s="18" t="inlineStr">
        <is>
          <t>primary_done</t>
        </is>
      </c>
      <c r="G3" s="11">
        <f>IFERROR(IF(LEN(TRIM(CLEAN(SUBSTITUTE(Setup!$B$2,CHAR(160)," "))))=0,"ENTER REVIEWER ID",IF(OR(A3="",COUNTIF($A$2:$A$9,A3)&lt;&gt;1,LEFT(A3,LEN("2024::jama.2024.25786::"))&lt;&gt;"2024::jama.2024.25786::"),"CHECK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eTable 2, liberal group, prior vascular surgery: 0/747 (1.1). A zero numerator cannot give 1.1%; either the count or the percentage is wrong, and the table does not show which. Rare baseline surgical history; no bearing on outcomes.</t>
        </is>
      </c>
    </row>
    <row r="4" ht="92" customFormat="1" customHeight="1" s="8">
      <c r="A4" s="12" t="inlineStr">
        <is>
          <t>2024::jama.2024.25786::C003</t>
        </is>
      </c>
      <c r="B4" s="12" t="inlineStr">
        <is>
          <t>Matched all-patient adjusted confidence-interval upper limit differs between eTables 4 and 7</t>
        </is>
      </c>
      <c r="C4" s="12" t="inlineStr">
        <is>
          <t>Supplement 2, eTable 4, PDF p. 17, further-adjusted primary outcome; Supplement 2, eTable 7, PDF p. 20, all-patient adjusted odds ratio; relevant methods Main article, PDF p. 5.</t>
        </is>
      </c>
      <c r="D4" s="18" t="inlineStr">
        <is>
          <t>retain</t>
        </is>
      </c>
      <c r="E4" s="18" t="inlineStr">
        <is>
          <t>statistical_results</t>
        </is>
      </c>
      <c r="F4" s="18" t="inlineStr">
        <is>
          <t>primary_done</t>
        </is>
      </c>
      <c r="G4" s="12">
        <f>IFERROR(IF(LEN(TRIM(CLEAN(SUBSTITUTE(Setup!$B$2,CHAR(160)," "))))=0,"ENTER REVIEWER ID",IF(OR(A4="",COUNTIF($A$2:$A$9,A4)&lt;&gt;1,LEFT(A4,LEN("2024::jama.2024.25786::"))&lt;&gt;"2024::jama.2024.25786::"),"CHECK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probable_issue</t>
        </is>
      </c>
      <c r="I4" s="18" t="inlineStr">
        <is>
          <t>minor_presentation</t>
        </is>
      </c>
      <c r="J4" s="19" t="inlineStr">
        <is>
          <t>possible</t>
        </is>
      </c>
      <c r="K4" s="18">
        <f>IF(AND(OR(D4="retain",D4=""),OR(E4="report_internal_inconsistency",E4="plan_material")),"","not_applicable")</f>
        <v/>
      </c>
      <c r="L4" s="19">
        <f>IF(AND(OR(D4="retain",D4=""),E4="protocol_report"),"","not_applicable")</f>
        <v/>
      </c>
      <c r="M4" s="12" t="n"/>
      <c r="N4" s="7" t="n"/>
      <c r="O4" s="7" t="n"/>
      <c r="P4" s="7" t="n"/>
      <c r="Q4" s="7" t="n"/>
      <c r="R4" s="19" t="inlineStr">
        <is>
          <t>Primary outcome, all patients, further-adjusted OR: eTable 4 prints 0.98 (0.68 to 1.41); eTable 7 'All patients' adjusted OR prints 0.98 (0.68 to 1.39). Same counts (118/733 vs 121/724), and the main text points to both tables for 'further adjusted analyses'. One upper limit is likely mistyped, unless the models differ in an unlabelled way.</t>
        </is>
      </c>
    </row>
    <row r="5" ht="92" customFormat="1" customHeight="1" s="8">
      <c r="A5" s="11" t="inlineStr">
        <is>
          <t>2024::jama.2024.25786::C004</t>
        </is>
      </c>
      <c r="B5" s="11" t="inlineStr">
        <is>
          <t>AIS less-than-3 subgroup percentage conflicts with its count and matched Figure 4</t>
        </is>
      </c>
      <c r="C5" s="11" t="inlineStr">
        <is>
          <t>Main article, Figure 4, PDF p. 8, AIS score less than 3; Supplement 2, eTable 7, PDF p. 20, AIS less than 3.</t>
        </is>
      </c>
      <c r="D5" s="18" t="inlineStr">
        <is>
          <t>retain</t>
        </is>
      </c>
      <c r="E5" s="18" t="inlineStr">
        <is>
          <t>statistical_results</t>
        </is>
      </c>
      <c r="F5" s="18" t="inlineStr">
        <is>
          <t>primary_done</t>
        </is>
      </c>
      <c r="G5" s="11">
        <f>IFERROR(IF(LEN(TRIM(CLEAN(SUBSTITUTE(Setup!$B$2,CHAR(160)," "))))=0,"ENTER REVIEWER ID",IF(OR(A5="",COUNTIF($A$2:$A$9,A5)&lt;&gt;1,LEFT(A5,LEN("2024::jama.2024.25786::"))&lt;&gt;"2024::jama.2024.25786::"),"CHECK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minor_presentation</t>
        </is>
      </c>
      <c r="J5" s="19" t="inlineStr">
        <is>
          <t>possible</t>
        </is>
      </c>
      <c r="K5" s="18">
        <f>IF(AND(OR(D5="retain",D5=""),OR(E5="report_internal_inconsistency",E5="plan_material")),"","not_applicable")</f>
        <v/>
      </c>
      <c r="L5" s="19">
        <f>IF(AND(OR(D5="retain",D5=""),E5="protocol_report"),"","not_applicable")</f>
        <v/>
      </c>
      <c r="M5" s="11" t="n"/>
      <c r="N5" s="7" t="n"/>
      <c r="O5" s="7" t="n"/>
      <c r="P5" s="7" t="n"/>
      <c r="Q5" s="7" t="n"/>
      <c r="R5" s="19" t="inlineStr">
        <is>
          <t>Subgroup AIS &lt;3, liberal group: Figure 4 gives 48/473 (10.1); eTable 7 gives 48/473 (9.2). 48/473 = 10.15%, so eTable 7 is wrong; 9.2 equals the percentage in the 'Intubated: No' liberal cell above (50/543), suggesting a copy error.</t>
        </is>
      </c>
    </row>
    <row r="6" ht="92" customFormat="1" customHeight="1" s="8">
      <c r="A6" s="12" t="inlineStr">
        <is>
          <t>2024::jama.2024.25786::C005</t>
        </is>
      </c>
      <c r="B6" s="12" t="inlineStr">
        <is>
          <t>Known-lung-disease subgroup percentage conflicts with its count and matched Figure 4</t>
        </is>
      </c>
      <c r="C6" s="12" t="inlineStr">
        <is>
          <t>Main article, Figure 4, PDF p. 8, known lung disease, yes; Supplement 2, eTable 7, PDF p. 20, known lung disease, yes.</t>
        </is>
      </c>
      <c r="D6" s="18" t="inlineStr">
        <is>
          <t>retain</t>
        </is>
      </c>
      <c r="E6" s="18" t="inlineStr">
        <is>
          <t>statistical_results</t>
        </is>
      </c>
      <c r="F6" s="18" t="inlineStr">
        <is>
          <t>primary_done</t>
        </is>
      </c>
      <c r="G6" s="12">
        <f>IFERROR(IF(LEN(TRIM(CLEAN(SUBSTITUTE(Setup!$B$2,CHAR(160)," "))))=0,"ENTER REVIEWER ID",IF(OR(A6="",COUNTIF($A$2:$A$9,A6)&lt;&gt;1,LEFT(A6,LEN("2024::jama.2024.25786::"))&lt;&gt;"2024::jama.2024.25786::"),"CHECK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unlikely</t>
        </is>
      </c>
      <c r="K6" s="18">
        <f>IF(AND(OR(D6="retain",D6=""),OR(E6="report_internal_inconsistency",E6="plan_material")),"","not_applicable")</f>
        <v/>
      </c>
      <c r="L6" s="19">
        <f>IF(AND(OR(D6="retain",D6=""),E6="protocol_report"),"","not_applicable")</f>
        <v/>
      </c>
      <c r="M6" s="12" t="n"/>
      <c r="N6" s="7" t="n"/>
      <c r="O6" s="7" t="n"/>
      <c r="P6" s="7" t="n"/>
      <c r="Q6" s="7" t="n"/>
      <c r="R6" s="19" t="inlineStr">
        <is>
          <t>Known lung disease = yes, liberal group: Figure 4 14/69 (20.3); eTable 7 14/69 (20.2). 14/69 = 20.29%, so 20.2 is a 0.1-point mis-rounding (truncation). Trivial.</t>
        </is>
      </c>
    </row>
    <row r="7" ht="92" customFormat="1" customHeight="1" s="8">
      <c r="A7" s="11" t="inlineStr">
        <is>
          <t>2024::jama.2024.25786::C006</t>
        </is>
      </c>
      <c r="B7" s="11" t="inlineStr">
        <is>
          <t>Postrandomization-exclusion total and group counts do not reconcile across eTable 10 and Figure 1</t>
        </is>
      </c>
      <c r="C7" s="11" t="inlineStr">
        <is>
          <t>Supplement 2, eTable 10, PDF p. 24, exclusion after randomization; Main article, Figure 1, PDF p. 3, excluded after randomization.</t>
        </is>
      </c>
      <c r="D7" s="18" t="inlineStr">
        <is>
          <t>retain</t>
        </is>
      </c>
      <c r="E7" s="18" t="inlineStr">
        <is>
          <t>statistical_results</t>
        </is>
      </c>
      <c r="F7" s="18" t="inlineStr">
        <is>
          <t>primary_done</t>
        </is>
      </c>
      <c r="G7" s="11">
        <f>IFERROR(IF(LEN(TRIM(CLEAN(SUBSTITUTE(Setup!$B$2,CHAR(160)," "))))=0,"ENTER REVIEWER ID",IF(OR(A7="",COUNTIF($A$2:$A$9,A7)&lt;&gt;1,LEFT(A7,LEN("2024::jama.2024.25786::"))&lt;&gt;"2024::jama.2024.25786::"),"CHECK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minor_presentation</t>
        </is>
      </c>
      <c r="J7" s="19" t="inlineStr">
        <is>
          <t>possible</t>
        </is>
      </c>
      <c r="K7" s="18">
        <f>IF(AND(OR(D7="retain",D7=""),OR(E7="report_internal_inconsistency",E7="plan_material")),"","not_applicable")</f>
        <v/>
      </c>
      <c r="L7" s="19">
        <f>IF(AND(OR(D7="retain",D7=""),E7="protocol_report"),"","not_applicable")</f>
        <v/>
      </c>
      <c r="M7" s="11" t="n"/>
      <c r="N7" s="7" t="n"/>
      <c r="O7" s="7" t="n"/>
      <c r="P7" s="7" t="n"/>
      <c r="Q7" s="7" t="n"/>
      <c r="R7" s="19" t="inlineStr">
        <is>
          <t>eTable 10 row 'Exclusion after randomization (N=130)': 55/750 (45) and 67/758 (55); 55+67 = 122, not 130. Figure 1 shows 59 and 71 (= 130), each including 4 'omitted according to Swiss law due to withdrawn consent'. 59-4 = 55 and 71-4 = 67, so the table silently drops those 8 but keeps N=130; percentages are shares of 122, not of 750/758.</t>
        </is>
      </c>
    </row>
    <row r="8" ht="92" customFormat="1" customHeight="1" s="8">
      <c r="A8" s="12" t="inlineStr">
        <is>
          <t>2024::jama.2024.25786::C007</t>
        </is>
      </c>
      <c r="B8" s="12" t="inlineStr">
        <is>
          <t>Secondary-exclusion cells pair within-group denominators with cross-group partition percentages</t>
        </is>
      </c>
      <c r="C8" s="12" t="inlineStr">
        <is>
          <t>Supplement 2, eTable 10, PDF p. 24, secondary exclusion; count comparator Main article, Figure 1, PDF p. 3.</t>
        </is>
      </c>
      <c r="D8" s="18" t="inlineStr">
        <is>
          <t>retain</t>
        </is>
      </c>
      <c r="E8" s="18" t="inlineStr">
        <is>
          <t>statistical_results</t>
        </is>
      </c>
      <c r="F8" s="18" t="inlineStr">
        <is>
          <t>primary_done</t>
        </is>
      </c>
      <c r="G8" s="12">
        <f>IFERROR(IF(LEN(TRIM(CLEAN(SUBSTITUTE(Setup!$B$2,CHAR(160)," "))))=0,"ENTER REVIEWER ID",IF(OR(A8="",COUNTIF($A$2:$A$9,A8)&lt;&gt;1,LEFT(A8,LEN("2024::jama.2024.25786::"))&lt;&gt;"2024::jama.2024.25786::"),"CHECK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minor_presentation</t>
        </is>
      </c>
      <c r="J8" s="19" t="inlineStr">
        <is>
          <t>possible</t>
        </is>
      </c>
      <c r="K8" s="18">
        <f>IF(AND(OR(D8="retain",D8=""),OR(E8="report_internal_inconsistency",E8="plan_material")),"","not_applicable")</f>
        <v/>
      </c>
      <c r="L8" s="19">
        <f>IF(AND(OR(D8="retain",D8=""),E8="protocol_report"),"","not_applicable")</f>
        <v/>
      </c>
      <c r="M8" s="12" t="n"/>
      <c r="N8" s="7" t="n"/>
      <c r="O8" s="7" t="n"/>
      <c r="P8" s="7" t="n"/>
      <c r="Q8" s="7" t="n"/>
      <c r="R8" s="19" t="inlineStr">
        <is>
          <t>eTable 10 secondary exclusions: 174/750 (51) and 165/758 (49). As written, 174/750 = 23.2% and 165/758 = 21.8%; the printed 51/49 are shares of the 339 classified exclusions (174/339 = 51.3%). The count/total (%) format pairs the wrong denominators with the percentages; N=341 vs 339 is footnoted.</t>
        </is>
      </c>
    </row>
    <row r="9" ht="92" customFormat="1" customHeight="1" s="8">
      <c r="A9" s="11" t="inlineStr">
        <is>
          <t>2024::jama.2024.25786::C008</t>
        </is>
      </c>
      <c r="B9" s="11" t="inlineStr">
        <is>
          <t>Missing-as-event primary count uses a doubled numerator/denominator separator</t>
        </is>
      </c>
      <c r="C9" s="11" t="inlineStr">
        <is>
          <t>Supplement 2, eTable 11, PDF p. 25, primary outcome with missing counted as event.</t>
        </is>
      </c>
      <c r="D9" s="18" t="inlineStr">
        <is>
          <t>retain</t>
        </is>
      </c>
      <c r="E9" s="18" t="inlineStr">
        <is>
          <t>report_internal_inconsistency</t>
        </is>
      </c>
      <c r="F9" s="18" t="inlineStr">
        <is>
          <t>primary_done</t>
        </is>
      </c>
      <c r="G9" s="11">
        <f>IFERROR(IF(LEN(TRIM(CLEAN(SUBSTITUTE(Setup!$B$2,CHAR(160)," "))))=0,"ENTER REVIEWER ID",IF(OR(A9="",COUNTIF($A$2:$A$9,A9)&lt;&gt;1,LEFT(A9,LEN("2024::jama.2024.25786::"))&lt;&gt;"2024::jama.2024.25786::"),"CHECK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t="inlineStr">
        <is>
          <t>minor_presentation</t>
        </is>
      </c>
      <c r="L9" s="19">
        <f>IF(AND(OR(D9="retain",D9=""),E9="protocol_report"),"","not_applicable")</f>
        <v/>
      </c>
      <c r="M9" s="11" t="n"/>
      <c r="N9" s="7" t="n"/>
      <c r="O9" s="7" t="n"/>
      <c r="P9" s="7" t="n"/>
      <c r="Q9" s="7" t="n"/>
      <c r="R9" s="19" t="inlineStr">
        <is>
          <t>eTable 11 prints '135//750 (18.0)' with a doubled slash; elsewhere the table uses a single slash. 135/750 = 18.0%, so the value is clear. Typographic only.</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25"/>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2024::jama.2024.4183::C001</t>
        </is>
      </c>
      <c r="B2" s="12" t="inlineStr">
        <is>
          <t>Abstract phase-2 allocation percentages mix incompatible denominators</t>
        </is>
      </c>
      <c r="C2" s="12" t="inlineStr">
        <is>
          <t>Main article p. 1; Main article p. 6.</t>
        </is>
      </c>
      <c r="D2" s="18" t="inlineStr">
        <is>
          <t>retain</t>
        </is>
      </c>
      <c r="E2" s="18" t="inlineStr">
        <is>
          <t>statistical_results</t>
        </is>
      </c>
      <c r="F2" s="18" t="inlineStr">
        <is>
          <t>primary_done</t>
        </is>
      </c>
      <c r="G2" s="12">
        <f>IFERROR(IF(LEN(TRIM(CLEAN(SUBSTITUTE(Setup!$B$2,CHAR(160)," "))))=0,"ENTER REVIEWER ID",IF(OR(A2="",COUNTIF($A$2:$A$25,A2)&lt;&gt;1,LEFT(A2,LEN("2024::jama.2024.4183::"))&lt;&gt;"2024::jama.2024.4183::"),"CHECK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possible</t>
        </is>
      </c>
      <c r="K2" s="18">
        <f>IF(AND(OR(D2="retain",D2=""),OR(E2="report_internal_inconsistency",E2="plan_material")),"","not_applicable")</f>
        <v/>
      </c>
      <c r="L2" s="19">
        <f>IF(AND(OR(D2="retain",D2=""),E2="protocol_report"),"","not_applicable")</f>
        <v/>
      </c>
      <c r="M2" s="12" t="n"/>
      <c r="N2" s="7" t="n"/>
      <c r="O2" s="7" t="n"/>
      <c r="P2" s="7" t="n"/>
      <c r="Q2" s="7" t="n"/>
      <c r="R2" s="19" t="inlineStr">
        <is>
          <t>Abstract phase-2 allocation percentages mix denominators. CNRT: 90 (47%) uses 191 (90/191 = 47.1%), but 50 (33%) and 51 (34%) use 151 rerandomized (33.1%, 33.8%); the three sum to 114%. Varenicline: 39 (32%) and 41 (34%) use 122, 77 (49%) uses 157; sum 115%. The counts are correct.</t>
        </is>
      </c>
    </row>
    <row r="3" ht="92" customFormat="1" customHeight="1" s="8">
      <c r="A3" s="11" t="inlineStr">
        <is>
          <t>2024::jama.2024.4183::C002</t>
        </is>
      </c>
      <c r="B3" s="11" t="inlineStr">
        <is>
          <t>Main baseline sex counts exceed both printed arm denominators</t>
        </is>
      </c>
      <c r="C3" s="11" t="inlineStr">
        <is>
          <t>Main article p. 5, baseline Table.</t>
        </is>
      </c>
      <c r="D3" s="18" t="inlineStr">
        <is>
          <t>retain</t>
        </is>
      </c>
      <c r="E3" s="18" t="inlineStr">
        <is>
          <t>statistical_results</t>
        </is>
      </c>
      <c r="F3" s="18" t="inlineStr">
        <is>
          <t>primary_done</t>
        </is>
      </c>
      <c r="G3" s="11">
        <f>IFERROR(IF(LEN(TRIM(CLEAN(SUBSTITUTE(Setup!$B$2,CHAR(160)," "))))=0,"ENTER REVIEWER ID",IF(OR(A3="",COUNTIF($A$2:$A$25,A3)&lt;&gt;1,LEFT(A3,LEN("2024::jama.2024.4183::"))&lt;&gt;"2024::jama.2024.4183::"),"CHECK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possible</t>
        </is>
      </c>
      <c r="K3" s="18">
        <f>IF(AND(OR(D3="retain",D3=""),OR(E3="report_internal_inconsistency",E3="plan_material")),"","not_applicable")</f>
        <v/>
      </c>
      <c r="L3" s="19">
        <f>IF(AND(OR(D3="retain",D3=""),E3="protocol_report"),"","not_applicable")</f>
        <v/>
      </c>
      <c r="M3" s="11" t="n"/>
      <c r="N3" s="7" t="n"/>
      <c r="O3" s="7" t="n"/>
      <c r="P3" s="7" t="n"/>
      <c r="Q3" s="7" t="n"/>
      <c r="R3" s="19" t="inlineStr">
        <is>
          <t>Table: each arm n=245, female 105 (42.9) and male 145 (57.1); 105+145 = 250 &gt; 245. 145/245 = 59.2%, whereas 57.1% = 140/245, and the abstract gives 210 women of 490. Male count should evidently be 140 in both arms.</t>
        </is>
      </c>
    </row>
    <row r="4" ht="92" customFormat="1" customHeight="1" s="8">
      <c r="A4" s="12" t="inlineStr">
        <is>
          <t>2024::jama.2024.4183::C003</t>
        </is>
      </c>
      <c r="B4" s="12" t="inlineStr">
        <is>
          <t>Displayed randomization total does not equal its two initial branches</t>
        </is>
      </c>
      <c r="C4" s="12" t="inlineStr">
        <is>
          <t>Main article p. 4; Main article p. 6.</t>
        </is>
      </c>
      <c r="D4" s="18" t="inlineStr">
        <is>
          <t>retain</t>
        </is>
      </c>
      <c r="E4" s="18" t="inlineStr">
        <is>
          <t>statistical_results</t>
        </is>
      </c>
      <c r="F4" s="18" t="inlineStr">
        <is>
          <t>primary_done</t>
        </is>
      </c>
      <c r="G4" s="12">
        <f>IFERROR(IF(LEN(TRIM(CLEAN(SUBSTITUTE(Setup!$B$2,CHAR(160)," "))))=0,"ENTER REVIEWER ID",IF(OR(A4="",COUNTIF($A$2:$A$25,A4)&lt;&gt;1,LEFT(A4,LEN("2024::jama.2024.4183::"))&lt;&gt;"2024::jama.2024.4183::"),"CHECK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minor_presentation</t>
        </is>
      </c>
      <c r="J4" s="19" t="inlineStr">
        <is>
          <t>unlikely</t>
        </is>
      </c>
      <c r="K4" s="18">
        <f>IF(AND(OR(D4="retain",D4=""),OR(E4="report_internal_inconsistency",E4="plan_material")),"","not_applicable")</f>
        <v/>
      </c>
      <c r="L4" s="19">
        <f>IF(AND(OR(D4="retain",D4=""),E4="protocol_report"),"","not_applicable")</f>
        <v/>
      </c>
      <c r="M4" s="12" t="n"/>
      <c r="N4" s="7" t="n"/>
      <c r="O4" s="7" t="n"/>
      <c r="P4" s="7" t="n"/>
      <c r="Q4" s="7" t="n"/>
      <c r="R4" s="19" t="inlineStr">
        <is>
          <t>Figure 2: 491 randomized, but branches are 245 CNRT + 245 varenicline = 490. The CNRT box itself says '245 Randomized to receive CNRT; 245 Received treatment as randomized; 1 Did not receive treatment as randomized', implying 246 randomized. Text explains 1 CNRT participant was removed after randomization (leaving 490).</t>
        </is>
      </c>
    </row>
    <row r="5" ht="92" customFormat="1" customHeight="1" s="8">
      <c r="A5" s="11" t="inlineStr">
        <is>
          <t>2024::jama.2024.4183::C004</t>
        </is>
      </c>
      <c r="B5" s="11" t="inlineStr">
        <is>
          <t>Results reverses attendance status for continuation assignments</t>
        </is>
      </c>
      <c r="C5" s="11" t="inlineStr">
        <is>
          <t>Main article p. 1; Main article p. 4; Main article p. 6.</t>
        </is>
      </c>
      <c r="D5" s="18" t="inlineStr">
        <is>
          <t>retain</t>
        </is>
      </c>
      <c r="E5" s="18" t="inlineStr">
        <is>
          <t>report_internal_inconsistency</t>
        </is>
      </c>
      <c r="F5" s="18" t="inlineStr">
        <is>
          <t>primary_done</t>
        </is>
      </c>
      <c r="G5" s="11">
        <f>IFERROR(IF(LEN(TRIM(CLEAN(SUBSTITUTE(Setup!$B$2,CHAR(160)," "))))=0,"ENTER REVIEWER ID",IF(OR(A5="",COUNTIF($A$2:$A$25,A5)&lt;&gt;1,LEFT(A5,LEN("2024::jama.2024.4183::"))&lt;&gt;"2024::jama.2024.4183::"),"CHECK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minor_presentation</t>
        </is>
      </c>
      <c r="L5" s="19">
        <f>IF(AND(OR(D5="retain",D5=""),E5="protocol_report"),"","not_applicable")</f>
        <v/>
      </c>
      <c r="M5" s="11" t="n"/>
      <c r="N5" s="7" t="n"/>
      <c r="O5" s="7" t="n"/>
      <c r="P5" s="7" t="n"/>
      <c r="Q5" s="7" t="n"/>
      <c r="R5" s="19" t="inlineStr">
        <is>
          <t>Results: 'the 40 participants in the phase 1 CNRT group and the 35 in the varenicline group who did attend rerandomization were assigned to continue treatment'. Abstract and Figure 2 say these 40 and 35 did NOT return/attend and were imputed into continuation. The Results sentence drops 'not'; the design is clear from the other two places.</t>
        </is>
      </c>
    </row>
    <row r="6" ht="92" customFormat="1" customHeight="1" s="8">
      <c r="A6" s="12" t="inlineStr">
        <is>
          <t>2024::jama.2024.4183::C005</t>
        </is>
      </c>
      <c r="B6" s="12" t="inlineStr">
        <is>
          <t>CNRT dose-increase primary CrI differs between abstract and matched results</t>
        </is>
      </c>
      <c r="C6" s="12" t="inlineStr">
        <is>
          <t>Main article p. 1; Main article p. 5; Supplement 2 p. 21.</t>
        </is>
      </c>
      <c r="D6" s="18" t="inlineStr">
        <is>
          <t>retain</t>
        </is>
      </c>
      <c r="E6" s="18" t="inlineStr">
        <is>
          <t>statistical_results</t>
        </is>
      </c>
      <c r="F6" s="18" t="inlineStr">
        <is>
          <t>primary_done</t>
        </is>
      </c>
      <c r="G6" s="12">
        <f>IFERROR(IF(LEN(TRIM(CLEAN(SUBSTITUTE(Setup!$B$2,CHAR(160)," "))))=0,"ENTER REVIEWER ID",IF(OR(A6="",COUNTIF($A$2:$A$25,A6)&lt;&gt;1,LEFT(A6,LEN("2024::jama.2024.4183::"))&lt;&gt;"2024::jama.2024.4183::"),"CHECK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t="inlineStr">
        <is>
          <t>direct</t>
        </is>
      </c>
      <c r="K6" s="18">
        <f>IF(AND(OR(D6="retain",D6=""),OR(E6="report_internal_inconsistency",E6="plan_material")),"","not_applicable")</f>
        <v/>
      </c>
      <c r="L6" s="19">
        <f>IF(AND(OR(D6="retain",D6=""),E6="protocol_report"),"","not_applicable")</f>
        <v/>
      </c>
      <c r="M6" s="12" t="n"/>
      <c r="N6" s="7" t="n"/>
      <c r="O6" s="7" t="n"/>
      <c r="P6" s="7" t="n"/>
      <c r="Q6" s="7" t="n"/>
      <c r="R6" s="19" t="inlineStr">
        <is>
          <t>Primary outcome, CNRT nonabstainers, increased dose vs continuation: Results and eTable 4 give RD 6% (95% CrI 2%-11%). The abstract, after listing both CNRT rescue arms, gives 'RD, 6%; 95% CrI, 6% to 11%', a lower limit equal to the point estimate. The abstract overstates precision of a primary-outcome contrast.</t>
        </is>
      </c>
    </row>
    <row r="7" ht="92" customFormat="1" customHeight="1" s="8">
      <c r="A7" s="11" t="inlineStr">
        <is>
          <t>2024::jama.2024.4183::C006</t>
        </is>
      </c>
      <c r="B7" s="11" t="inlineStr">
        <is>
          <t>CNRT switch primary CrI differs across abstract, Results, and eTable</t>
        </is>
      </c>
      <c r="C7" s="11" t="inlineStr">
        <is>
          <t>Main article p. 1; Main article p. 5; Supplement 2 p. 21.</t>
        </is>
      </c>
      <c r="D7" s="18" t="inlineStr">
        <is>
          <t>retain</t>
        </is>
      </c>
      <c r="E7" s="18" t="inlineStr">
        <is>
          <t>statistical_results</t>
        </is>
      </c>
      <c r="F7" s="18" t="inlineStr">
        <is>
          <t>primary_done</t>
        </is>
      </c>
      <c r="G7" s="11">
        <f>IFERROR(IF(LEN(TRIM(CLEAN(SUBSTITUTE(Setup!$B$2,CHAR(160)," "))))=0,"ENTER REVIEWER ID",IF(OR(A7="",COUNTIF($A$2:$A$25,A7)&lt;&gt;1,LEFT(A7,LEN("2024::jama.2024.4183::"))&lt;&gt;"2024::jama.2024.4183::"),"CHECK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t="inlineStr">
        <is>
          <t>direct</t>
        </is>
      </c>
      <c r="K7" s="18">
        <f>IF(AND(OR(D7="retain",D7=""),OR(E7="report_internal_inconsistency",E7="plan_material")),"","not_applicable")</f>
        <v/>
      </c>
      <c r="L7" s="19">
        <f>IF(AND(OR(D7="retain",D7=""),E7="protocol_report"),"","not_applicable")</f>
        <v/>
      </c>
      <c r="M7" s="11" t="n"/>
      <c r="N7" s="7" t="n"/>
      <c r="O7" s="7" t="n"/>
      <c r="P7" s="7" t="n"/>
      <c r="Q7" s="7" t="n"/>
      <c r="R7" s="19" t="inlineStr">
        <is>
          <t>Primary outcome, CNRT nonabstainers, switch to varenicline vs continuation: abstract RD 6% (95% CrI 6%-11%); Results 6% (2%-11%) for 'both' strategies; eTable 4 6% (2%-10%). Three different intervals for one contrast; the abstract lower limit is clearly wrong and the Results/eTable upper limits disagree.</t>
        </is>
      </c>
    </row>
    <row r="8" ht="92" customFormat="1" customHeight="1" s="8">
      <c r="A8" s="12" t="inlineStr">
        <is>
          <t>2024::jama.2024.4183::C007</t>
        </is>
      </c>
      <c r="B8" s="12" t="inlineStr">
        <is>
          <t>Varenicline-to-CNRT switch contrast has inconsistent sign and reference</t>
        </is>
      </c>
      <c r="C8" s="12" t="inlineStr">
        <is>
          <t>Main article p. 1; Main article p. 5; Main article p. 7; Supplement 2 p. 21.</t>
        </is>
      </c>
      <c r="D8" s="18" t="inlineStr">
        <is>
          <t>retain</t>
        </is>
      </c>
      <c r="E8" s="18" t="inlineStr">
        <is>
          <t>statistical_results</t>
        </is>
      </c>
      <c r="F8" s="18" t="inlineStr">
        <is>
          <t>primary_done</t>
        </is>
      </c>
      <c r="G8" s="12">
        <f>IFERROR(IF(LEN(TRIM(CLEAN(SUBSTITUTE(Setup!$B$2,CHAR(160)," "))))=0,"ENTER REVIEWER ID",IF(OR(A8="",COUNTIF($A$2:$A$25,A8)&lt;&gt;1,LEFT(A8,LEN("2024::jama.2024.4183::"))&lt;&gt;"2024::jama.2024.4183::"),"CHECK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t="inlineStr">
        <is>
          <t>direct</t>
        </is>
      </c>
      <c r="K8" s="18">
        <f>IF(AND(OR(D8="retain",D8=""),OR(E8="report_internal_inconsistency",E8="plan_material")),"","not_applicable")</f>
        <v/>
      </c>
      <c r="L8" s="19">
        <f>IF(AND(OR(D8="retain",D8=""),E8="protocol_report"),"","not_applicable")</f>
        <v/>
      </c>
      <c r="M8" s="12" t="n"/>
      <c r="N8" s="7" t="n"/>
      <c r="O8" s="7" t="n"/>
      <c r="P8" s="7" t="n"/>
      <c r="Q8" s="7" t="n"/>
      <c r="R8" s="19" t="inlineStr">
        <is>
          <t>Varenicline nonabstainers, switch to CNRT vs continuation: cells are 0/41 (0%) vs 2/77 (3%). Main text gives RD -3% (-4% to -1%) but says '&gt;99% posterior probability that continuing was worse than switching'; eTable 4 labels 'CNRT (switch) vs Varenicline (stay)' as +3% (1%-4%). Sign/reference and the narrative direction conflict; the data show switching was not better.</t>
        </is>
      </c>
    </row>
    <row r="9" ht="92" customFormat="1" customHeight="1" s="8">
      <c r="A9" s="11" t="inlineStr">
        <is>
          <t>2024::jama.2024.4183::C008</t>
        </is>
      </c>
      <c r="B9" s="11" t="inlineStr">
        <is>
          <t>Increased-varenicline primary CrI upper endpoint differs</t>
        </is>
      </c>
      <c r="C9" s="11" t="inlineStr">
        <is>
          <t>Main article p. 1; Main article p. 5; Supplement 2 p. 21.</t>
        </is>
      </c>
      <c r="D9" s="18" t="inlineStr">
        <is>
          <t>retain</t>
        </is>
      </c>
      <c r="E9" s="18" t="inlineStr">
        <is>
          <t>statistical_results</t>
        </is>
      </c>
      <c r="F9" s="18" t="inlineStr">
        <is>
          <t>primary_done</t>
        </is>
      </c>
      <c r="G9" s="11">
        <f>IFERROR(IF(LEN(TRIM(CLEAN(SUBSTITUTE(Setup!$B$2,CHAR(160)," "))))=0,"ENTER REVIEWER ID",IF(OR(A9="",COUNTIF($A$2:$A$25,A9)&lt;&gt;1,LEFT(A9,LEN("2024::jama.2024.4183::"))&lt;&gt;"2024::jama.2024.4183::"),"CHECK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minor_presentation</t>
        </is>
      </c>
      <c r="J9" s="19" t="inlineStr">
        <is>
          <t>possible</t>
        </is>
      </c>
      <c r="K9" s="18">
        <f>IF(AND(OR(D9="retain",D9=""),OR(E9="report_internal_inconsistency",E9="plan_material")),"","not_applicable")</f>
        <v/>
      </c>
      <c r="L9" s="19">
        <f>IF(AND(OR(D9="retain",D9=""),E9="protocol_report"),"","not_applicable")</f>
        <v/>
      </c>
      <c r="M9" s="11" t="n"/>
      <c r="N9" s="7" t="n"/>
      <c r="O9" s="7" t="n"/>
      <c r="P9" s="7" t="n"/>
      <c r="Q9" s="7" t="n"/>
      <c r="R9" s="19" t="inlineStr">
        <is>
          <t>Increased varenicline vs continuation, primary outcome: abstract and Results RD 18% (95% CrI 13%-24%); eTable 4 18% (13%-23%). One upper limit is wrong; estimate and conclusion unaffected.</t>
        </is>
      </c>
    </row>
    <row r="10" ht="92" customFormat="1" customHeight="1" s="8">
      <c r="A10" s="12" t="inlineStr">
        <is>
          <t>2024::jama.2024.4183::C009</t>
        </is>
      </c>
      <c r="B10" s="12" t="inlineStr">
        <is>
          <t>Phase-1 abstainer primary CrI lower endpoint differs</t>
        </is>
      </c>
      <c r="C10" s="12" t="inlineStr">
        <is>
          <t>Main article p. 7; Supplement 2 p. 21.</t>
        </is>
      </c>
      <c r="D10" s="18" t="inlineStr">
        <is>
          <t>retain</t>
        </is>
      </c>
      <c r="E10" s="18" t="inlineStr">
        <is>
          <t>statistical_results</t>
        </is>
      </c>
      <c r="F10" s="18" t="inlineStr">
        <is>
          <t>primary_done</t>
        </is>
      </c>
      <c r="G10" s="12">
        <f>IFERROR(IF(LEN(TRIM(CLEAN(SUBSTITUTE(Setup!$B$2,CHAR(160)," "))))=0,"ENTER REVIEWER ID",IF(OR(A10="",COUNTIF($A$2:$A$25,A10)&lt;&gt;1,LEFT(A10,LEN("2024::jama.2024.4183::"))&lt;&gt;"2024::jama.2024.4183::"),"CHECK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minor_presentation</t>
        </is>
      </c>
      <c r="J10" s="19" t="inlineStr">
        <is>
          <t>possible</t>
        </is>
      </c>
      <c r="K10" s="18">
        <f>IF(AND(OR(D10="retain",D10=""),OR(E10="report_internal_inconsistency",E10="plan_material")),"","not_applicable")</f>
        <v/>
      </c>
      <c r="L10" s="19">
        <f>IF(AND(OR(D10="retain",D10=""),E10="protocol_report"),"","not_applicable")</f>
        <v/>
      </c>
      <c r="M10" s="12" t="n"/>
      <c r="N10" s="7" t="n"/>
      <c r="O10" s="7" t="n"/>
      <c r="P10" s="7" t="n"/>
      <c r="Q10" s="7" t="n"/>
      <c r="R10" s="19" t="inlineStr">
        <is>
          <t>Phase-1 abstainers, CNRT vs varenicline at week 12: main Results RD 6% (-5% to 16%); eTable 4 6% (-4% to 16%). Lower limits differ by 1 point; interpretation (interval includes 0) unchanged.</t>
        </is>
      </c>
    </row>
    <row r="11" ht="92" customFormat="1" customHeight="1" s="8">
      <c r="A11" s="11" t="inlineStr">
        <is>
          <t>2024::jama.2024.4183::C010</t>
        </is>
      </c>
      <c r="B11" s="11" t="inlineStr">
        <is>
          <t>Protocol beta parameters do not reproduce the paired varenicline response probability</t>
        </is>
      </c>
      <c r="C11" s="11" t="inlineStr">
        <is>
          <t>Protocol p. 32, Figure 2.</t>
        </is>
      </c>
      <c r="D11" s="18" t="inlineStr">
        <is>
          <t>retain</t>
        </is>
      </c>
      <c r="E11" s="18" t="inlineStr">
        <is>
          <t>plan_material</t>
        </is>
      </c>
      <c r="F11" s="18" t="inlineStr">
        <is>
          <t>primary_done</t>
        </is>
      </c>
      <c r="G11" s="11">
        <f>IFERROR(IF(LEN(TRIM(CLEAN(SUBSTITUTE(Setup!$B$2,CHAR(160)," "))))=0,"ENTER REVIEWER ID",IF(OR(A11="",COUNTIF($A$2:$A$25,A11)&lt;&gt;1,LEFT(A11,LEN("2024::jama.2024.4183::"))&lt;&gt;"2024::jama.2024.4183::"),"CHECK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minor_presentation</t>
        </is>
      </c>
      <c r="L11" s="19">
        <f>IF(AND(OR(D11="retain",D11=""),E11="protocol_report"),"","not_applicable")</f>
        <v/>
      </c>
      <c r="M11" s="11" t="n"/>
      <c r="N11" s="7" t="n"/>
      <c r="O11" s="7" t="n"/>
      <c r="P11" s="7" t="n"/>
      <c r="Q11" s="7" t="n"/>
      <c r="R11" s="19" t="inlineStr">
        <is>
          <t>Protocol Figure 2 pairs varenicline week-6 response '0.50, 0.40-0.60' with ~Beta(785, 869). That Beta has mean 0.475 and 95% interval about 0.451-0.499, so it does not describe 0.50 (0.40-0.60) (Beta(47.3, 47.3) would). The CNRT response row Beta(193, 210) also has a narrower interval (0.43-0.53) than its printed 0.38-0.58. Simulation-input inconsistency.</t>
        </is>
      </c>
    </row>
    <row r="12" ht="92" customFormat="1" customHeight="1" s="8">
      <c r="A12" s="12" t="inlineStr">
        <is>
          <t>2024::jama.2024.4183::C011</t>
        </is>
      </c>
      <c r="B12" s="12" t="inlineStr">
        <is>
          <t>Protocol Aim-1 power increases at a stricter nested threshold</t>
        </is>
      </c>
      <c r="C12" s="12" t="inlineStr">
        <is>
          <t>Protocol p. 34, Table 3.</t>
        </is>
      </c>
      <c r="D12" s="18" t="inlineStr">
        <is>
          <t>retain</t>
        </is>
      </c>
      <c r="E12" s="18" t="inlineStr">
        <is>
          <t>plan_material</t>
        </is>
      </c>
      <c r="F12" s="18" t="inlineStr">
        <is>
          <t>primary_done</t>
        </is>
      </c>
      <c r="G12" s="12">
        <f>IFERROR(IF(LEN(TRIM(CLEAN(SUBSTITUTE(Setup!$B$2,CHAR(160)," "))))=0,"ENTER REVIEWER ID",IF(OR(A12="",COUNTIF($A$2:$A$25,A12)&lt;&gt;1,LEFT(A12,LEN("2024::jama.2024.4183::"))&lt;&gt;"2024::jama.2024.4183::"),"CHECK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t="inlineStr">
        <is>
          <t>minor_presentation</t>
        </is>
      </c>
      <c r="L12" s="19">
        <f>IF(AND(OR(D12="retain",D12=""),E12="protocol_report"),"","not_applicable")</f>
        <v/>
      </c>
      <c r="M12" s="12" t="n"/>
      <c r="N12" s="7" t="n"/>
      <c r="O12" s="7" t="n"/>
      <c r="P12" s="7" t="n"/>
      <c r="Q12" s="7" t="n"/>
      <c r="R12" s="19" t="inlineStr">
        <is>
          <t>Protocol Table 3, Aim 1: power to detect posterior probability of benefit is 0.948 at 0.80, 0.980 at 0.85, 0.974 at 0.90, 0.963 at 0.95. With the same simulated data sets, power cannot rise as the threshold becomes stricter (0.80 -&gt; 0.85). If simulations were independent, a 0.032 difference is about 3.9 MC SEs (K=1000), so an entry error is likely.</t>
        </is>
      </c>
    </row>
    <row r="13" ht="92" customFormat="1" customHeight="1" s="8">
      <c r="A13" s="11" t="inlineStr">
        <is>
          <t>2024::jama.2024.4183::C012</t>
        </is>
      </c>
      <c r="B13" s="11" t="inlineStr">
        <is>
          <t>Protocol Table 3 duplicates an Aim-2 comparator label</t>
        </is>
      </c>
      <c r="C13" s="11" t="inlineStr">
        <is>
          <t>Protocol p. 29; Protocol p. 33; Protocol p. 34.</t>
        </is>
      </c>
      <c r="D13" s="18" t="inlineStr">
        <is>
          <t>retain</t>
        </is>
      </c>
      <c r="E13" s="18" t="inlineStr">
        <is>
          <t>plan_material</t>
        </is>
      </c>
      <c r="F13" s="18" t="inlineStr">
        <is>
          <t>primary_done</t>
        </is>
      </c>
      <c r="G13" s="11">
        <f>IFERROR(IF(LEN(TRIM(CLEAN(SUBSTITUTE(Setup!$B$2,CHAR(160)," "))))=0,"ENTER REVIEWER ID",IF(OR(A13="",COUNTIF($A$2:$A$25,A13)&lt;&gt;1,LEFT(A13,LEN("2024::jama.2024.4183::"))&lt;&gt;"2024::jama.2024.4183::"),"CHECK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minor_presentation</t>
        </is>
      </c>
      <c r="L13" s="19">
        <f>IF(AND(OR(D13="retain",D13=""),E13="protocol_report"),"","not_applicable")</f>
        <v/>
      </c>
      <c r="M13" s="11" t="n"/>
      <c r="N13" s="7" t="n"/>
      <c r="O13" s="7" t="n"/>
      <c r="P13" s="7" t="n"/>
      <c r="Q13" s="7" t="n"/>
      <c r="R13" s="19" t="inlineStr">
        <is>
          <t>Protocol Table 3, Aim 2 lists 'VAR vs. NPL' twice (estimates 0.370 and 0.195). From Table 2 cell estimates, 0.399 - 0.029 = 0.370 (VAR vs NPL) and 0.399 - 0.204 = 0.195 (VAR vs NPL+), matching the Aim 2 hypotheses on p.29. The third label should be VAR vs NPL+.</t>
        </is>
      </c>
    </row>
    <row r="14" ht="92" customFormat="1" customHeight="1" s="8">
      <c r="A14" s="12" t="inlineStr">
        <is>
          <t>2024::jama.2024.4183::C013</t>
        </is>
      </c>
      <c r="B14" s="12" t="inlineStr">
        <is>
          <t>ETable 3 reverses count and percentage in one n (%) cell</t>
        </is>
      </c>
      <c r="C14" s="12" t="inlineStr">
        <is>
          <t>Supplement 2 p. 19, ETable 3.</t>
        </is>
      </c>
      <c r="D14" s="18" t="inlineStr">
        <is>
          <t>retain</t>
        </is>
      </c>
      <c r="E14" s="18" t="inlineStr">
        <is>
          <t>report_internal_inconsistency</t>
        </is>
      </c>
      <c r="F14" s="18" t="inlineStr">
        <is>
          <t>primary_done</t>
        </is>
      </c>
      <c r="G14" s="12">
        <f>IFERROR(IF(LEN(TRIM(CLEAN(SUBSTITUTE(Setup!$B$2,CHAR(160)," "))))=0,"ENTER REVIEWER ID",IF(OR(A14="",COUNTIF($A$2:$A$25,A14)&lt;&gt;1,LEFT(A14,LEN("2024::jama.2024.4183::"))&lt;&gt;"2024::jama.2024.4183::"),"CHECK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minor_presentation</t>
        </is>
      </c>
      <c r="L14" s="19">
        <f>IF(AND(OR(D14="retain",D14=""),E14="protocol_report"),"","not_applicable")</f>
        <v/>
      </c>
      <c r="M14" s="12" t="n"/>
      <c r="N14" s="7" t="n"/>
      <c r="O14" s="7" t="n"/>
      <c r="P14" s="7" t="n"/>
      <c r="Q14" s="7" t="n"/>
      <c r="R14" s="19" t="inlineStr">
        <is>
          <t>eTable 3, race 'Other' in the varenicline-nonabstainer-to-CNRT column (N=41) prints '4.9 (2)' under an n (%) heading; 2/41 = 4.9%, so count and percentage are transposed. Values recoverable.</t>
        </is>
      </c>
    </row>
    <row r="15" ht="92" customFormat="1" customHeight="1" s="8">
      <c r="A15" s="11" t="inlineStr">
        <is>
          <t>2024::jama.2024.4183::C014</t>
        </is>
      </c>
      <c r="B15" s="11" t="inlineStr">
        <is>
          <t>EOT+30 CNRT-switch cell estimate and CrI do not reconcile with matched figure as printed</t>
        </is>
      </c>
      <c r="C15" s="11" t="inlineStr">
        <is>
          <t>Supplement 2 p. 10; Supplement 2 p. 15.</t>
        </is>
      </c>
      <c r="D15" s="18" t="inlineStr">
        <is>
          <t>retain</t>
        </is>
      </c>
      <c r="E15" s="18" t="inlineStr">
        <is>
          <t>statistical_results</t>
        </is>
      </c>
      <c r="F15" s="18" t="inlineStr">
        <is>
          <t>primary_done</t>
        </is>
      </c>
      <c r="G15" s="11">
        <f>IFERROR(IF(LEN(TRIM(CLEAN(SUBSTITUTE(Setup!$B$2,CHAR(160)," "))))=0,"ENTER REVIEWER ID",IF(OR(A15="",COUNTIF($A$2:$A$25,A15)&lt;&gt;1,LEFT(A15,LEN("2024::jama.2024.4183::"))&lt;&gt;"2024::jama.2024.4183::"),"CHECK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minor_presentation</t>
        </is>
      </c>
      <c r="J15" s="19" t="inlineStr">
        <is>
          <t>unlikely</t>
        </is>
      </c>
      <c r="K15" s="18">
        <f>IF(AND(OR(D15="retain",D15=""),OR(E15="report_internal_inconsistency",E15="plan_material")),"","not_applicable")</f>
        <v/>
      </c>
      <c r="L15" s="19">
        <f>IF(AND(OR(D15="retain",D15=""),E15="protocol_report"),"","not_applicable")</f>
        <v/>
      </c>
      <c r="M15" s="11" t="n"/>
      <c r="N15" s="7" t="n"/>
      <c r="O15" s="7" t="n"/>
      <c r="P15" s="7" t="n"/>
      <c r="Q15" s="7" t="n"/>
      <c r="R15" s="19" t="inlineStr">
        <is>
          <t>eAppendix narrative, EOT+30 continuous abstinence, CNRT nonabstainers switched to varenicline: '1.0% (7.0%-1.3%)'. eFigure 2 gives 5/51, 10% (7%-13%). Narrative value is a corrupted rendering (estimate outside its own interval; upper &lt; lower).</t>
        </is>
      </c>
    </row>
    <row r="16" ht="92" customFormat="1" customHeight="1" s="8">
      <c r="A16" s="12" t="inlineStr">
        <is>
          <t>2024::jama.2024.4183::C015</t>
        </is>
      </c>
      <c r="B16" s="12" t="inlineStr">
        <is>
          <t>EOT+30 increased-CNRT cell CrI upper endpoint does not reconcile with matched figure as printed</t>
        </is>
      </c>
      <c r="C16" s="12" t="inlineStr">
        <is>
          <t>Supplement 2 p. 10; Supplement 2 p. 15.</t>
        </is>
      </c>
      <c r="D16" s="18" t="inlineStr">
        <is>
          <t>retain</t>
        </is>
      </c>
      <c r="E16" s="18" t="inlineStr">
        <is>
          <t>statistical_results</t>
        </is>
      </c>
      <c r="F16" s="18" t="inlineStr">
        <is>
          <t>primary_done</t>
        </is>
      </c>
      <c r="G16" s="12">
        <f>IFERROR(IF(LEN(TRIM(CLEAN(SUBSTITUTE(Setup!$B$2,CHAR(160)," "))))=0,"ENTER REVIEWER ID",IF(OR(A16="",COUNTIF($A$2:$A$25,A16)&lt;&gt;1,LEFT(A16,LEN("2024::jama.2024.4183::"))&lt;&gt;"2024::jama.2024.4183::"),"CHECK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t="inlineStr">
        <is>
          <t>confirmed_issue</t>
        </is>
      </c>
      <c r="I16" s="18" t="inlineStr">
        <is>
          <t>minor_presentation</t>
        </is>
      </c>
      <c r="J16" s="19" t="inlineStr">
        <is>
          <t>unlikely</t>
        </is>
      </c>
      <c r="K16" s="18">
        <f>IF(AND(OR(D16="retain",D16=""),OR(E16="report_internal_inconsistency",E16="plan_material")),"","not_applicable")</f>
        <v/>
      </c>
      <c r="L16" s="19">
        <f>IF(AND(OR(D16="retain",D16=""),E16="protocol_report"),"","not_applicable")</f>
        <v/>
      </c>
      <c r="M16" s="12" t="n"/>
      <c r="N16" s="7" t="n"/>
      <c r="O16" s="7" t="n"/>
      <c r="P16" s="7" t="n"/>
      <c r="Q16" s="7" t="n"/>
      <c r="R16" s="19" t="inlineStr">
        <is>
          <t>Narrative, EOT+30, CNRT nonabstainers increased dose: '8.0% (5.0%-1.1%)'; eFigure 2 gives 4/50, 8% (5%-11%). Upper limit printed as 1.1% instead of 11%.</t>
        </is>
      </c>
    </row>
    <row r="17" ht="92" customFormat="1" customHeight="1" s="8">
      <c r="A17" s="11" t="inlineStr">
        <is>
          <t>2024::jama.2024.4183::C016</t>
        </is>
      </c>
      <c r="B17" s="11" t="inlineStr">
        <is>
          <t>EOT+30 CNRT-switch ARD CrI upper endpoint does not reconcile with matched table as printed</t>
        </is>
      </c>
      <c r="C17" s="11" t="inlineStr">
        <is>
          <t>Supplement 2 p. 10; Supplement 2 p. 33.</t>
        </is>
      </c>
      <c r="D17" s="18" t="inlineStr">
        <is>
          <t>retain</t>
        </is>
      </c>
      <c r="E17" s="18" t="inlineStr">
        <is>
          <t>statistical_results</t>
        </is>
      </c>
      <c r="F17" s="18" t="inlineStr">
        <is>
          <t>primary_done</t>
        </is>
      </c>
      <c r="G17" s="11">
        <f>IFERROR(IF(LEN(TRIM(CLEAN(SUBSTITUTE(Setup!$B$2,CHAR(160)," "))))=0,"ENTER REVIEWER ID",IF(OR(A17="",COUNTIF($A$2:$A$25,A17)&lt;&gt;1,LEFT(A17,LEN("2024::jama.2024.4183::"))&lt;&gt;"2024::jama.2024.4183::"),"CHECK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confirmed_issue</t>
        </is>
      </c>
      <c r="I17" s="18" t="inlineStr">
        <is>
          <t>minor_presentation</t>
        </is>
      </c>
      <c r="J17" s="19" t="inlineStr">
        <is>
          <t>unlikely</t>
        </is>
      </c>
      <c r="K17" s="18">
        <f>IF(AND(OR(D17="retain",D17=""),OR(E17="report_internal_inconsistency",E17="plan_material")),"","not_applicable")</f>
        <v/>
      </c>
      <c r="L17" s="19">
        <f>IF(AND(OR(D17="retain",D17=""),E17="protocol_report"),"","not_applicable")</f>
        <v/>
      </c>
      <c r="M17" s="11" t="n"/>
      <c r="N17" s="7" t="n"/>
      <c r="O17" s="7" t="n"/>
      <c r="P17" s="7" t="n"/>
      <c r="Q17" s="7" t="n"/>
      <c r="R17" s="19" t="inlineStr">
        <is>
          <t>Narrative, EOT+30, CNRT switch vs continuation ARD '6.0% (3.0%-1.0%)'; eTable 9 gives 6% (3%-10%). Upper limit printed as 1.0% instead of 10%.</t>
        </is>
      </c>
    </row>
    <row r="18" ht="92" customFormat="1" customHeight="1" s="8">
      <c r="A18" s="12" t="inlineStr">
        <is>
          <t>2024::jama.2024.4183::C017</t>
        </is>
      </c>
      <c r="B18" s="12" t="inlineStr">
        <is>
          <t>EOT+30 increased-varenicline narrative has repeated intervals that do not reconcile as printed</t>
        </is>
      </c>
      <c r="C18" s="12" t="inlineStr">
        <is>
          <t>Supplement 2 p. 10; Supplement 2 p. 11; Supplement 2 p. 15; Supplement 2 p. 33; Supplement 2 p. 34.</t>
        </is>
      </c>
      <c r="D18" s="18" t="inlineStr">
        <is>
          <t>retain</t>
        </is>
      </c>
      <c r="E18" s="18" t="inlineStr">
        <is>
          <t>statistical_results</t>
        </is>
      </c>
      <c r="F18" s="18" t="inlineStr">
        <is>
          <t>primary_done</t>
        </is>
      </c>
      <c r="G18" s="12">
        <f>IFERROR(IF(LEN(TRIM(CLEAN(SUBSTITUTE(Setup!$B$2,CHAR(160)," "))))=0,"ENTER REVIEWER ID",IF(OR(A18="",COUNTIF($A$2:$A$25,A18)&lt;&gt;1,LEFT(A18,LEN("2024::jama.2024.4183::"))&lt;&gt;"2024::jama.2024.4183::"),"CHECK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minor_presentation</t>
        </is>
      </c>
      <c r="J18" s="19" t="inlineStr">
        <is>
          <t>unlikely</t>
        </is>
      </c>
      <c r="K18" s="18">
        <f>IF(AND(OR(D18="retain",D18=""),OR(E18="report_internal_inconsistency",E18="plan_material")),"","not_applicable")</f>
        <v/>
      </c>
      <c r="L18" s="19">
        <f>IF(AND(OR(D18="retain",D18=""),E18="protocol_report"),"","not_applicable")</f>
        <v/>
      </c>
      <c r="M18" s="12" t="n"/>
      <c r="N18" s="7" t="n"/>
      <c r="O18" s="7" t="n"/>
      <c r="P18" s="7" t="n"/>
      <c r="Q18" s="7" t="n"/>
      <c r="R18" s="19" t="inlineStr">
        <is>
          <t>Narrative repeats '8.0% (5.0%-1.1%)' three times for EOT+30 varenicline+ (cell probability, ARD vs continuation, ARD vs switch); eFigure 2 and eTables 9-10 give 8% (5%-11%). Same decimal error repeated.</t>
        </is>
      </c>
    </row>
    <row r="19" ht="92" customFormat="1" customHeight="1" s="8">
      <c r="A19" s="11" t="inlineStr">
        <is>
          <t>2024::jama.2024.4183::C018</t>
        </is>
      </c>
      <c r="B19" s="11" t="inlineStr">
        <is>
          <t>EOT+30 abstainer ARD is 1.1% in narrative but 11% in eTable</t>
        </is>
      </c>
      <c r="C19" s="11" t="inlineStr">
        <is>
          <t>Supplement 2 p. 11; Supplement 2 p. 15; Supplement 2 p. 35.</t>
        </is>
      </c>
      <c r="D19" s="18" t="inlineStr">
        <is>
          <t>retain</t>
        </is>
      </c>
      <c r="E19" s="18" t="inlineStr">
        <is>
          <t>statistical_results</t>
        </is>
      </c>
      <c r="F19" s="18" t="inlineStr">
        <is>
          <t>primary_done</t>
        </is>
      </c>
      <c r="G19" s="11">
        <f>IFERROR(IF(LEN(TRIM(CLEAN(SUBSTITUTE(Setup!$B$2,CHAR(160)," "))))=0,"ENTER REVIEWER ID",IF(OR(A19="",COUNTIF($A$2:$A$25,A19)&lt;&gt;1,LEFT(A19,LEN("2024::jama.2024.4183::"))&lt;&gt;"2024::jama.2024.4183::"),"CHECK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COMPLETE",IF(F19&lt;&gt;"primary_done","PRIMARY DRAFT","PRIMARY READY")))))),"CHECK KEY / INPUT")</f>
        <v/>
      </c>
      <c r="H19" s="18" t="inlineStr">
        <is>
          <t>confirmed_issue</t>
        </is>
      </c>
      <c r="I19" s="18" t="inlineStr">
        <is>
          <t>substantive</t>
        </is>
      </c>
      <c r="J19" s="19" t="inlineStr">
        <is>
          <t>possible</t>
        </is>
      </c>
      <c r="K19" s="18">
        <f>IF(AND(OR(D19="retain",D19=""),OR(E19="report_internal_inconsistency",E19="plan_material")),"","not_applicable")</f>
        <v/>
      </c>
      <c r="L19" s="19">
        <f>IF(AND(OR(D19="retain",D19=""),E19="protocol_report"),"","not_applicable")</f>
        <v/>
      </c>
      <c r="M19" s="11" t="n"/>
      <c r="N19" s="7" t="n"/>
      <c r="O19" s="7" t="n"/>
      <c r="P19" s="7" t="n"/>
      <c r="Q19" s="7" t="n"/>
      <c r="R19" s="19" t="inlineStr">
        <is>
          <t>Narrative, EOT+30, phase-1 abstainers: CNRT 67% vs varenicline 56%, posterior probability 97%, 'ARD = 1.1% (-1.0%-22%)'. eTable 11 gives 11% (-1%-22%). Unlike the malformed intervals elsewhere, 1.1% lies inside its interval and looks plausible, understating the effect tenfold.</t>
        </is>
      </c>
    </row>
    <row r="20" ht="92" customFormat="1" customHeight="1" s="8">
      <c r="A20" s="12" t="inlineStr">
        <is>
          <t>2024::jama.2024.4183::C019</t>
        </is>
      </c>
      <c r="B20" s="12" t="inlineStr">
        <is>
          <t>Six-month CNRT-switch cross-reference does not directly identify the matched table</t>
        </is>
      </c>
      <c r="C20" s="12" t="inlineStr">
        <is>
          <t>Supplement 2 p. 11; Supplement 2 p. 31; Supplement 2 p. 33.</t>
        </is>
      </c>
      <c r="D20" s="18" t="inlineStr">
        <is>
          <t>retain</t>
        </is>
      </c>
      <c r="E20" s="18" t="inlineStr">
        <is>
          <t>report_internal_inconsistency</t>
        </is>
      </c>
      <c r="F20" s="18" t="inlineStr">
        <is>
          <t>primary_done</t>
        </is>
      </c>
      <c r="G20" s="12">
        <f>IFERROR(IF(LEN(TRIM(CLEAN(SUBSTITUTE(Setup!$B$2,CHAR(160)," "))))=0,"ENTER REVIEWER ID",IF(OR(A20="",COUNTIF($A$2:$A$25,A20)&lt;&gt;1,LEFT(A20,LEN("2024::jama.2024.4183::"))&lt;&gt;"2024::jama.2024.4183::"),"CHECK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COMPLETE",IF(F20&lt;&gt;"primary_done","PRIMARY DRAFT","PRIMARY READY")))))),"CHECK KEY / INPUT")</f>
        <v/>
      </c>
      <c r="H20" s="18">
        <f>IF(AND(OR(D20="retain",D20=""),E20="statistical_results"),"","not_applicable")</f>
        <v/>
      </c>
      <c r="I20" s="18">
        <f>IF(AND(OR(D20="retain",D20=""),E20="statistical_results"),"","not_applicable")</f>
        <v/>
      </c>
      <c r="J20" s="19">
        <f>IF(AND(OR(D20="retain",D20=""),E20="statistical_results"),"","not_applicable")</f>
        <v/>
      </c>
      <c r="K20" s="18" t="inlineStr">
        <is>
          <t>minor_presentation</t>
        </is>
      </c>
      <c r="L20" s="19">
        <f>IF(AND(OR(D20="retain",D20=""),E20="protocol_report"),"","not_applicable")</f>
        <v/>
      </c>
      <c r="M20" s="12" t="n"/>
      <c r="N20" s="7" t="n"/>
      <c r="O20" s="7" t="n"/>
      <c r="P20" s="7" t="n"/>
      <c r="Q20" s="7" t="n"/>
      <c r="R20" s="19" t="inlineStr">
        <is>
          <t>Narrative cites 'E-Table 7' for the 6-month CNRT switch vs continuation ARD 1.0% (-2.0%-3.0%), probability 66%; eTable 7 is phase-1 visit/medication compliance, and the matching result is in eTable 9 (1% (-2%-3%), 66%). Wrong cross-reference.</t>
        </is>
      </c>
    </row>
    <row r="21" ht="92" customFormat="1" customHeight="1" s="8">
      <c r="A21" s="11" t="inlineStr">
        <is>
          <t>2024::jama.2024.4183::C020</t>
        </is>
      </c>
      <c r="B21" s="11" t="inlineStr">
        <is>
          <t>Six-month abstainer narrative interval and direction do not reconcile with matched sources</t>
        </is>
      </c>
      <c r="C21" s="11" t="inlineStr">
        <is>
          <t>Supplement 2 p. 12; Supplement 2 p. 16; Supplement 2 p. 35.</t>
        </is>
      </c>
      <c r="D21" s="18" t="inlineStr">
        <is>
          <t>retain</t>
        </is>
      </c>
      <c r="E21" s="18" t="inlineStr">
        <is>
          <t>statistical_results</t>
        </is>
      </c>
      <c r="F21" s="18" t="inlineStr">
        <is>
          <t>primary_done</t>
        </is>
      </c>
      <c r="G21" s="11">
        <f>IFERROR(IF(LEN(TRIM(CLEAN(SUBSTITUTE(Setup!$B$2,CHAR(160)," "))))=0,"ENTER REVIEWER ID",IF(OR(A21="",COUNTIF($A$2:$A$25,A21)&lt;&gt;1,LEFT(A21,LEN("2024::jama.2024.4183::"))&lt;&gt;"2024::jama.2024.4183::"),"CHECK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COMPLETE",IF(F21&lt;&gt;"primary_done","PRIMARY DRAFT","PRIMARY READY")))))),"CHECK KEY / INPUT")</f>
        <v/>
      </c>
      <c r="H21" s="18" t="inlineStr">
        <is>
          <t>confirmed_issue</t>
        </is>
      </c>
      <c r="I21" s="18" t="inlineStr">
        <is>
          <t>minor_presentation</t>
        </is>
      </c>
      <c r="J21" s="19" t="inlineStr">
        <is>
          <t>possible</t>
        </is>
      </c>
      <c r="K21" s="18">
        <f>IF(AND(OR(D21="retain",D21=""),OR(E21="report_internal_inconsistency",E21="plan_material")),"","not_applicable")</f>
        <v/>
      </c>
      <c r="L21" s="19">
        <f>IF(AND(OR(D21="retain",D21=""),E21="protocol_report"),"","not_applicable")</f>
        <v/>
      </c>
      <c r="M21" s="11" t="n"/>
      <c r="N21" s="7" t="n"/>
      <c r="O21" s="7" t="n"/>
      <c r="P21" s="7" t="n"/>
      <c r="Q21" s="7" t="n"/>
      <c r="R21" s="19" t="inlineStr">
        <is>
          <t>Narrative, 6-month phase-1 abstainers: CNRT 39%, varenicline 40%, probability 55%, 'ARD = 1.0% (-1.3%-1.1%)' for 'the small benefit of varenicline'. eTable 11 (CNRT vs VAR) gives 1% (-11%-12%), probability 56%. Interval corrupted (decimal shift), probability differs by 1 point, and the sign convention is ambiguous (cells favor varenicline by about 1 point; eTable 11 prints +1% for CNRT vs VAR).</t>
        </is>
      </c>
    </row>
    <row r="22" ht="92" customFormat="1" customHeight="1" s="8">
      <c r="A22" s="12" t="inlineStr">
        <is>
          <t>2024::jama.2024.4183::C021</t>
        </is>
      </c>
      <c r="B22" s="12" t="inlineStr">
        <is>
          <t>Phase-1-abstainer summary cross-reference does not directly identify the matched table</t>
        </is>
      </c>
      <c r="C22" s="12" t="inlineStr">
        <is>
          <t>Supplement 2 p. 10; Supplement 2 p. 34; Supplement 2 p. 35.</t>
        </is>
      </c>
      <c r="D22" s="18" t="inlineStr">
        <is>
          <t>retain</t>
        </is>
      </c>
      <c r="E22" s="18" t="inlineStr">
        <is>
          <t>report_internal_inconsistency</t>
        </is>
      </c>
      <c r="F22" s="18" t="inlineStr">
        <is>
          <t>primary_done</t>
        </is>
      </c>
      <c r="G22" s="12">
        <f>IFERROR(IF(LEN(TRIM(CLEAN(SUBSTITUTE(Setup!$B$2,CHAR(160)," "))))=0,"ENTER REVIEWER ID",IF(OR(A22="",COUNTIF($A$2:$A$25,A22)&lt;&gt;1,LEFT(A22,LEN("2024::jama.2024.4183::"))&lt;&gt;"2024::jama.2024.4183::"),"CHECK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COMPLETE",IF(F22&lt;&gt;"primary_done","PRIMARY DRAFT","PRIMARY READY")))))),"CHECK KEY / INPUT")</f>
        <v/>
      </c>
      <c r="H22" s="18">
        <f>IF(AND(OR(D22="retain",D22=""),E22="statistical_results"),"","not_applicable")</f>
        <v/>
      </c>
      <c r="I22" s="18">
        <f>IF(AND(OR(D22="retain",D22=""),E22="statistical_results"),"","not_applicable")</f>
        <v/>
      </c>
      <c r="J22" s="19">
        <f>IF(AND(OR(D22="retain",D22=""),E22="statistical_results"),"","not_applicable")</f>
        <v/>
      </c>
      <c r="K22" s="18" t="inlineStr">
        <is>
          <t>minor_presentation</t>
        </is>
      </c>
      <c r="L22" s="19">
        <f>IF(AND(OR(D22="retain",D22=""),E22="protocol_report"),"","not_applicable")</f>
        <v/>
      </c>
      <c r="M22" s="12" t="n"/>
      <c r="N22" s="7" t="n"/>
      <c r="O22" s="7" t="n"/>
      <c r="P22" s="7" t="n"/>
      <c r="Q22" s="7" t="n"/>
      <c r="R22" s="19" t="inlineStr">
        <is>
          <t>Summary paragraph cites 'E-Figures 2 and 3 and E-Table 10' for phase-1 abstainer EOT+30 and 6-month results; eTable 10 holds increase-vs-switch contrasts among nonabstainers, while the abstainer CNRT-vs-VAR results are in eTable 11. Wrong cross-reference.</t>
        </is>
      </c>
    </row>
    <row r="23" ht="92" customFormat="1" customHeight="1" s="8">
      <c r="A23" s="11" t="inlineStr">
        <is>
          <t>2024::jama.2024.4183::C022</t>
        </is>
      </c>
      <c r="B23" s="11" t="inlineStr">
        <is>
          <t>Six-month VAR-plus-versus-switch cross-reference does not directly identify the matched table</t>
        </is>
      </c>
      <c r="C23" s="11" t="inlineStr">
        <is>
          <t>Supplement 2 p. 12; Supplement 2 p. 33; Supplement 2 p. 34.</t>
        </is>
      </c>
      <c r="D23" s="18" t="inlineStr">
        <is>
          <t>retain</t>
        </is>
      </c>
      <c r="E23" s="18" t="inlineStr">
        <is>
          <t>report_internal_inconsistency</t>
        </is>
      </c>
      <c r="F23" s="18" t="inlineStr">
        <is>
          <t>primary_done</t>
        </is>
      </c>
      <c r="G23" s="11">
        <f>IFERROR(IF(LEN(TRIM(CLEAN(SUBSTITUTE(Setup!$B$2,CHAR(160)," "))))=0,"ENTER REVIEWER ID",IF(OR(A23="",COUNTIF($A$2:$A$25,A23)&lt;&gt;1,LEFT(A23,LEN("2024::jama.2024.4183::"))&lt;&gt;"2024::jama.2024.4183::"),"CHECK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COMPLETE",IF(F23&lt;&gt;"primary_done","PRIMARY DRAFT","PRIMARY READY")))))),"CHECK KEY / INPUT")</f>
        <v/>
      </c>
      <c r="H23" s="18">
        <f>IF(AND(OR(D23="retain",D23=""),E23="statistical_results"),"","not_applicable")</f>
        <v/>
      </c>
      <c r="I23" s="18">
        <f>IF(AND(OR(D23="retain",D23=""),E23="statistical_results"),"","not_applicable")</f>
        <v/>
      </c>
      <c r="J23" s="19">
        <f>IF(AND(OR(D23="retain",D23=""),E23="statistical_results"),"","not_applicable")</f>
        <v/>
      </c>
      <c r="K23" s="18" t="inlineStr">
        <is>
          <t>minor_presentation</t>
        </is>
      </c>
      <c r="L23" s="19">
        <f>IF(AND(OR(D23="retain",D23=""),E23="protocol_report"),"","not_applicable")</f>
        <v/>
      </c>
      <c r="M23" s="11" t="n"/>
      <c r="N23" s="7" t="n"/>
      <c r="O23" s="7" t="n"/>
      <c r="P23" s="7" t="n"/>
      <c r="Q23" s="7" t="n"/>
      <c r="R23" s="19" t="inlineStr">
        <is>
          <t>6-month varenicline nonabstainers: narrative cites 'E-Table 9' for both varenicline+ vs continuation and varenicline+ vs switching to CNRT. eTable 9 has continuation-referenced contrasts only; the switch-referenced 2% (1%-5%), &gt;99%, is in eTable 10. Second citation should be eTable 10.</t>
        </is>
      </c>
    </row>
    <row r="24" ht="92" customFormat="1" customHeight="1" s="8">
      <c r="A24" s="12" t="inlineStr">
        <is>
          <t>2024::jama.2024.4183::C023</t>
        </is>
      </c>
      <c r="B24" s="12" t="inlineStr">
        <is>
          <t>ETable 3 employment value order differs from declared n (%)</t>
        </is>
      </c>
      <c r="C24" s="12" t="inlineStr">
        <is>
          <t>Supplement 2 p. 19, ETable 3.</t>
        </is>
      </c>
      <c r="D24" s="18" t="inlineStr">
        <is>
          <t>retain</t>
        </is>
      </c>
      <c r="E24" s="18" t="inlineStr">
        <is>
          <t>report_internal_inconsistency</t>
        </is>
      </c>
      <c r="F24" s="18" t="inlineStr">
        <is>
          <t>primary_done</t>
        </is>
      </c>
      <c r="G24" s="12">
        <f>IFERROR(IF(LEN(TRIM(CLEAN(SUBSTITUTE(Setup!$B$2,CHAR(160)," "))))=0,"ENTER REVIEWER ID",IF(OR(A24="",COUNTIF($A$2:$A$25,A24)&lt;&gt;1,LEFT(A24,LEN("2024::jama.2024.4183::"))&lt;&gt;"2024::jama.2024.4183::"),"CHECK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COMPLETE",IF(F24&lt;&gt;"primary_done","PRIMARY DRAFT","PRIMARY READY")))))),"CHECK KEY / INPUT")</f>
        <v/>
      </c>
      <c r="H24" s="18">
        <f>IF(AND(OR(D24="retain",D24=""),E24="statistical_results"),"","not_applicable")</f>
        <v/>
      </c>
      <c r="I24" s="18">
        <f>IF(AND(OR(D24="retain",D24=""),E24="statistical_results"),"","not_applicable")</f>
        <v/>
      </c>
      <c r="J24" s="19">
        <f>IF(AND(OR(D24="retain",D24=""),E24="statistical_results"),"","not_applicable")</f>
        <v/>
      </c>
      <c r="K24" s="18" t="inlineStr">
        <is>
          <t>minor_presentation</t>
        </is>
      </c>
      <c r="L24" s="19">
        <f>IF(AND(OR(D24="retain",D24=""),E24="protocol_report"),"","not_applicable")</f>
        <v/>
      </c>
      <c r="M24" s="12" t="n"/>
      <c r="N24" s="7" t="n"/>
      <c r="O24" s="7" t="n"/>
      <c r="P24" s="7" t="n"/>
      <c r="Q24" s="7" t="n"/>
      <c r="R24" s="19" t="inlineStr">
        <is>
          <t>eTable 3 Employment block is headed n (%), but every cell prints percentage first and count in parentheses (e.g., 72.2 (39) under N=54: 39/54 = 72.2%). Order reversed for the whole block; values recoverable.</t>
        </is>
      </c>
    </row>
    <row r="25" ht="92" customFormat="1" customHeight="1" s="8">
      <c r="A25" s="11" t="inlineStr">
        <is>
          <t>2024::jama.2024.4183::C024</t>
        </is>
      </c>
      <c r="B25" s="11" t="inlineStr">
        <is>
          <t>ETable 3 employment totals do not close to two printed column Ns</t>
        </is>
      </c>
      <c r="C25" s="11" t="inlineStr">
        <is>
          <t>Supplement 2 p. 19, ETable 3.</t>
        </is>
      </c>
      <c r="D25" s="18" t="inlineStr">
        <is>
          <t>retain</t>
        </is>
      </c>
      <c r="E25" s="18" t="inlineStr">
        <is>
          <t>statistical_results</t>
        </is>
      </c>
      <c r="F25" s="18" t="inlineStr">
        <is>
          <t>primary_done</t>
        </is>
      </c>
      <c r="G25" s="11">
        <f>IFERROR(IF(LEN(TRIM(CLEAN(SUBSTITUTE(Setup!$B$2,CHAR(160)," "))))=0,"ENTER REVIEWER ID",IF(OR(A25="",COUNTIF($A$2:$A$25,A25)&lt;&gt;1,LEFT(A25,LEN("2024::jama.2024.4183::"))&lt;&gt;"2024::jama.2024.4183::"),"CHECK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COMPLETE",IF(F25&lt;&gt;"primary_done","PRIMARY DRAFT","PRIMARY READY")))))),"CHECK KEY / INPUT")</f>
        <v/>
      </c>
      <c r="H25" s="18" t="inlineStr">
        <is>
          <t>confirmed_issue</t>
        </is>
      </c>
      <c r="I25" s="18" t="inlineStr">
        <is>
          <t>minor_presentation</t>
        </is>
      </c>
      <c r="J25" s="19" t="inlineStr">
        <is>
          <t>unlikely</t>
        </is>
      </c>
      <c r="K25" s="18">
        <f>IF(AND(OR(D25="retain",D25=""),OR(E25="report_internal_inconsistency",E25="plan_material")),"","not_applicable")</f>
        <v/>
      </c>
      <c r="L25" s="19">
        <f>IF(AND(OR(D25="retain",D25=""),E25="protocol_report"),"","not_applicable")</f>
        <v/>
      </c>
      <c r="M25" s="11" t="n"/>
      <c r="N25" s="7" t="n"/>
      <c r="O25" s="7" t="n"/>
      <c r="P25" s="7" t="n"/>
      <c r="Q25" s="7" t="n"/>
      <c r="R25" s="19" t="inlineStr">
        <is>
          <t>eTable 3 Employment does not close for two columns: CNRT+ (N=50) 40 + 9 = 49 (80% + 18% = 98%); VAR+ (N=39) 27 + 11 = 38 (69.2% + 28.2% = 97.4%). No missing category or footnote. Likely one missing response per column, undisclosed.</t>
        </is>
      </c>
    </row>
  </sheetData>
  <autoFilter ref="A1:R25"/>
  <conditionalFormatting sqref="H2:H25">
    <cfRule type="expression" priority="8" dxfId="70">
      <formula>NOT(AND(OR($D2="retain",$D2=""),$E2="statistical_results"))</formula>
    </cfRule>
  </conditionalFormatting>
  <conditionalFormatting sqref="I2:I25">
    <cfRule type="expression" priority="9" dxfId="70">
      <formula>NOT(AND(OR($D2="retain",$D2=""),$E2="statistical_results"))</formula>
    </cfRule>
  </conditionalFormatting>
  <conditionalFormatting sqref="J2:J25">
    <cfRule type="expression" priority="10" dxfId="70">
      <formula>NOT(AND(OR($D2="retain",$D2=""),$E2="statistical_results"))</formula>
    </cfRule>
  </conditionalFormatting>
  <conditionalFormatting sqref="K2:K25">
    <cfRule type="expression" priority="11" dxfId="70">
      <formula>NOT(AND(OR($D2="retain",$D2=""),OR($E2="report_internal_inconsistency",$E2="plan_material")))</formula>
    </cfRule>
  </conditionalFormatting>
  <conditionalFormatting sqref="L2:L25">
    <cfRule type="expression" priority="12" dxfId="70">
      <formula>NOT(AND(OR($D2="retain",$D2=""),$E2="protocol_report"))</formula>
    </cfRule>
  </conditionalFormatting>
  <conditionalFormatting sqref="G2:G25">
    <cfRule type="expression" priority="13" dxfId="71">
      <formula>G2&lt;&gt;"PRIMARY READY"</formula>
    </cfRule>
  </conditionalFormatting>
  <dataValidations count="8">
    <dataValidation sqref="D2:D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17"/>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2024::jama.2024.6063::C001</t>
        </is>
      </c>
      <c r="B2" s="12" t="inlineStr">
        <is>
          <t>Placebo discontinuation counts differ between Figure 1 and the Results text</t>
        </is>
      </c>
      <c r="C2" s="12" t="inlineStr">
        <is>
          <t>Main article — PDF p. 3; Main article — PDF p. 7.</t>
        </is>
      </c>
      <c r="D2" s="18" t="inlineStr">
        <is>
          <t>retain</t>
        </is>
      </c>
      <c r="E2" s="18" t="inlineStr">
        <is>
          <t>statistical_results</t>
        </is>
      </c>
      <c r="F2" s="18" t="inlineStr">
        <is>
          <t>primary_done</t>
        </is>
      </c>
      <c r="G2" s="12">
        <f>IFERROR(IF(LEN(TRIM(CLEAN(SUBSTITUTE(Setup!$B$2,CHAR(160)," "))))=0,"ENTER REVIEWER ID",IF(OR(A2="",COUNTIF($A$2:$A$17,A2)&lt;&gt;1,LEFT(A2,LEN("2024::jama.2024.6063::"))&lt;&gt;"2024::jama.2024.6063::"),"CHECK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minor_presentation</t>
        </is>
      </c>
      <c r="J2" s="19" t="inlineStr">
        <is>
          <t>possible</t>
        </is>
      </c>
      <c r="K2" s="18">
        <f>IF(AND(OR(D2="retain",D2=""),OR(E2="report_internal_inconsistency",E2="plan_material")),"","not_applicable")</f>
        <v/>
      </c>
      <c r="L2" s="19">
        <f>IF(AND(OR(D2="retain",D2=""),E2="protocol_report"),"","not_applicable")</f>
        <v/>
      </c>
      <c r="M2" s="12" t="n"/>
      <c r="N2" s="7" t="n"/>
      <c r="O2" s="7" t="n"/>
      <c r="P2" s="7" t="n"/>
      <c r="Q2" s="7" t="n"/>
      <c r="R2" s="19" t="inlineStr">
        <is>
          <t>Figure 1 placebo: 111 completed, 21 discontinued (8+6+6+1); krill 113 completed, 17 discontinued; total 224 completers, 38 discontinued. Results: 40 withdrew/lost (17 krill, 23 [17.4%] placebo) and 222 (84.7%) completed; abstract also says 222 (85%). Placebo attrition differs by 2 between figure and text.</t>
        </is>
      </c>
    </row>
    <row r="3" ht="92" customFormat="1" customHeight="1" s="8">
      <c r="A3" s="11" t="inlineStr">
        <is>
          <t>2024::jama.2024.6063::C002</t>
        </is>
      </c>
      <c r="B3" s="11" t="inlineStr">
        <is>
          <t>eTable 2 names 167 and 165 for the overall adherence population</t>
        </is>
      </c>
      <c r="C3" s="11" t="inlineStr">
        <is>
          <t>Supplement 3 — PDF p. 3.</t>
        </is>
      </c>
      <c r="D3" s="18" t="inlineStr">
        <is>
          <t>retain</t>
        </is>
      </c>
      <c r="E3" s="18" t="inlineStr">
        <is>
          <t>statistical_results</t>
        </is>
      </c>
      <c r="F3" s="18" t="inlineStr">
        <is>
          <t>primary_done</t>
        </is>
      </c>
      <c r="G3" s="11">
        <f>IFERROR(IF(LEN(TRIM(CLEAN(SUBSTITUTE(Setup!$B$2,CHAR(160)," "))))=0,"ENTER REVIEWER ID",IF(OR(A3="",COUNTIF($A$2:$A$17,A3)&lt;&gt;1,LEFT(A3,LEN("2024::jama.2024.6063::"))&lt;&gt;"2024::jama.2024.6063::"),"CHECK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minor_presentation</t>
        </is>
      </c>
      <c r="J3" s="19" t="inlineStr">
        <is>
          <t>unlikely</t>
        </is>
      </c>
      <c r="K3" s="18">
        <f>IF(AND(OR(D3="retain",D3=""),OR(E3="report_internal_inconsistency",E3="plan_material")),"","not_applicable")</f>
        <v/>
      </c>
      <c r="L3" s="19">
        <f>IF(AND(OR(D3="retain",D3=""),E3="protocol_report"),"","not_applicable")</f>
        <v/>
      </c>
      <c r="M3" s="11" t="n"/>
      <c r="N3" s="7" t="n"/>
      <c r="O3" s="7" t="n"/>
      <c r="P3" s="7" t="n"/>
      <c r="Q3" s="7" t="n"/>
      <c r="R3" s="19" t="inlineStr">
        <is>
          <t>eTable 2 overall adherence row is labeled n = 167 and its percentages imply 82/83 (98.8%) and 81/84 (96.4%), i.e., 167; the footnote says adherence was calculated for n = 165 [75%]. 165/222 = 74.3% while 167/222 = 75.2%, so the footnote's 165 is the likely error.</t>
        </is>
      </c>
    </row>
    <row r="4" ht="92" customFormat="1" customHeight="1" s="8">
      <c r="A4" s="12" t="inlineStr">
        <is>
          <t>2024::jama.2024.6063::C003</t>
        </is>
      </c>
      <c r="B4" s="12" t="inlineStr">
        <is>
          <t>eTable 5 krill “Smaller by 1 unit” percentage conflicts with 10 of 107</t>
        </is>
      </c>
      <c r="C4" s="12" t="inlineStr">
        <is>
          <t>Supplement 3 — PDF p. 8.</t>
        </is>
      </c>
      <c r="D4" s="18" t="inlineStr">
        <is>
          <t>retain</t>
        </is>
      </c>
      <c r="E4" s="18" t="inlineStr">
        <is>
          <t>statistical_results</t>
        </is>
      </c>
      <c r="F4" s="18" t="inlineStr">
        <is>
          <t>primary_done</t>
        </is>
      </c>
      <c r="G4" s="12">
        <f>IFERROR(IF(LEN(TRIM(CLEAN(SUBSTITUTE(Setup!$B$2,CHAR(160)," "))))=0,"ENTER REVIEWER ID",IF(OR(A4="",COUNTIF($A$2:$A$17,A4)&lt;&gt;1,LEFT(A4,LEN("2024::jama.2024.6063::"))&lt;&gt;"2024::jama.2024.6063::"),"CHECK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minor_presentation</t>
        </is>
      </c>
      <c r="J4" s="19" t="inlineStr">
        <is>
          <t>possible</t>
        </is>
      </c>
      <c r="K4" s="18">
        <f>IF(AND(OR(D4="retain",D4=""),OR(E4="report_internal_inconsistency",E4="plan_material")),"","not_applicable")</f>
        <v/>
      </c>
      <c r="L4" s="19">
        <f>IF(AND(OR(D4="retain",D4=""),E4="protocol_report"),"","not_applicable")</f>
        <v/>
      </c>
      <c r="M4" s="12" t="n"/>
      <c r="N4" s="7" t="n"/>
      <c r="O4" s="7" t="n"/>
      <c r="P4" s="7" t="n"/>
      <c r="Q4" s="7" t="n"/>
      <c r="R4" s="19" t="inlineStr">
        <is>
          <t>eTable 5 krill 'Smaller by 1 unit' 10 (12%); 10/107 = 9.3%. Both arm columns of eTable 5 print identical percentages (1.9, 12, 72, 12, 2.8), which equal the pooled distribution over 216 participants (26/216 = 12.0%). Column percentages are pooled, not arm-specific. One root error behind C003-C008.</t>
        </is>
      </c>
    </row>
    <row r="5" ht="92" customFormat="1" customHeight="1" s="8">
      <c r="A5" s="11" t="inlineStr">
        <is>
          <t>2024::jama.2024.6063::C004</t>
        </is>
      </c>
      <c r="B5" s="11" t="inlineStr">
        <is>
          <t>eTable 5 krill “No change” percentage conflicts with 80 of 107</t>
        </is>
      </c>
      <c r="C5" s="11" t="inlineStr">
        <is>
          <t>Supplement 3 — PDF p. 8.</t>
        </is>
      </c>
      <c r="D5" s="18" t="inlineStr">
        <is>
          <t>retain</t>
        </is>
      </c>
      <c r="E5" s="18" t="inlineStr">
        <is>
          <t>statistical_results</t>
        </is>
      </c>
      <c r="F5" s="18" t="inlineStr">
        <is>
          <t>primary_done</t>
        </is>
      </c>
      <c r="G5" s="11">
        <f>IFERROR(IF(LEN(TRIM(CLEAN(SUBSTITUTE(Setup!$B$2,CHAR(160)," "))))=0,"ENTER REVIEWER ID",IF(OR(A5="",COUNTIF($A$2:$A$17,A5)&lt;&gt;1,LEFT(A5,LEN("2024::jama.2024.6063::"))&lt;&gt;"2024::jama.2024.6063::"),"CHECK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minor_presentation</t>
        </is>
      </c>
      <c r="J5" s="19" t="inlineStr">
        <is>
          <t>possible</t>
        </is>
      </c>
      <c r="K5" s="18">
        <f>IF(AND(OR(D5="retain",D5=""),OR(E5="report_internal_inconsistency",E5="plan_material")),"","not_applicable")</f>
        <v/>
      </c>
      <c r="L5" s="19">
        <f>IF(AND(OR(D5="retain",D5=""),E5="protocol_report"),"","not_applicable")</f>
        <v/>
      </c>
      <c r="M5" s="11" t="n"/>
      <c r="N5" s="7" t="n"/>
      <c r="O5" s="7" t="n"/>
      <c r="P5" s="7" t="n"/>
      <c r="Q5" s="7" t="n"/>
      <c r="R5" s="19" t="inlineStr">
        <is>
          <t>eTable 5 krill 'No change' 80 (72%); 80/107 = 74.8%. 72% is the pooled value (155/216 = 71.8%), printed for both arms. Same root error as C003.</t>
        </is>
      </c>
    </row>
    <row r="6" ht="92" customFormat="1" customHeight="1" s="8">
      <c r="A6" s="12" t="inlineStr">
        <is>
          <t>2024::jama.2024.6063::C005</t>
        </is>
      </c>
      <c r="B6" s="12" t="inlineStr">
        <is>
          <t>eTable 5 krill “Larger by 1 unit” percentage conflicts with 12 of 107</t>
        </is>
      </c>
      <c r="C6" s="12" t="inlineStr">
        <is>
          <t>Supplement 3 — PDF p. 8.</t>
        </is>
      </c>
      <c r="D6" s="18" t="inlineStr">
        <is>
          <t>retain</t>
        </is>
      </c>
      <c r="E6" s="18" t="inlineStr">
        <is>
          <t>statistical_results</t>
        </is>
      </c>
      <c r="F6" s="18" t="inlineStr">
        <is>
          <t>primary_done</t>
        </is>
      </c>
      <c r="G6" s="12">
        <f>IFERROR(IF(LEN(TRIM(CLEAN(SUBSTITUTE(Setup!$B$2,CHAR(160)," "))))=0,"ENTER REVIEWER ID",IF(OR(A6="",COUNTIF($A$2:$A$17,A6)&lt;&gt;1,LEFT(A6,LEN("2024::jama.2024.6063::"))&lt;&gt;"2024::jama.2024.6063::"),"CHECK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minor_presentation</t>
        </is>
      </c>
      <c r="J6" s="19" t="inlineStr">
        <is>
          <t>possible</t>
        </is>
      </c>
      <c r="K6" s="18">
        <f>IF(AND(OR(D6="retain",D6=""),OR(E6="report_internal_inconsistency",E6="plan_material")),"","not_applicable")</f>
        <v/>
      </c>
      <c r="L6" s="19">
        <f>IF(AND(OR(D6="retain",D6=""),E6="protocol_report"),"","not_applicable")</f>
        <v/>
      </c>
      <c r="M6" s="12" t="n"/>
      <c r="N6" s="7" t="n"/>
      <c r="O6" s="7" t="n"/>
      <c r="P6" s="7" t="n"/>
      <c r="Q6" s="7" t="n"/>
      <c r="R6" s="19" t="inlineStr">
        <is>
          <t>eTable 5 krill 'Larger by 1 unit' 12 (12%); 12/107 = 11.2%. 12% is the pooled value (25/216 = 11.6%). Same root error as C003.</t>
        </is>
      </c>
    </row>
    <row r="7" ht="92" customFormat="1" customHeight="1" s="8">
      <c r="A7" s="11" t="inlineStr">
        <is>
          <t>2024::jama.2024.6063::C006</t>
        </is>
      </c>
      <c r="B7" s="11" t="inlineStr">
        <is>
          <t>eTable 5 placebo “Smaller by 2 units” percentage conflicts with 2 of 109</t>
        </is>
      </c>
      <c r="C7" s="11" t="inlineStr">
        <is>
          <t>Supplement 3 — PDF p. 8.</t>
        </is>
      </c>
      <c r="D7" s="18" t="inlineStr">
        <is>
          <t>retain</t>
        </is>
      </c>
      <c r="E7" s="18" t="inlineStr">
        <is>
          <t>statistical_results</t>
        </is>
      </c>
      <c r="F7" s="18" t="inlineStr">
        <is>
          <t>primary_done</t>
        </is>
      </c>
      <c r="G7" s="11">
        <f>IFERROR(IF(LEN(TRIM(CLEAN(SUBSTITUTE(Setup!$B$2,CHAR(160)," "))))=0,"ENTER REVIEWER ID",IF(OR(A7="",COUNTIF($A$2:$A$17,A7)&lt;&gt;1,LEFT(A7,LEN("2024::jama.2024.6063::"))&lt;&gt;"2024::jama.2024.6063::"),"CHECK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minor_presentation</t>
        </is>
      </c>
      <c r="J7" s="19" t="inlineStr">
        <is>
          <t>unlikely</t>
        </is>
      </c>
      <c r="K7" s="18">
        <f>IF(AND(OR(D7="retain",D7=""),OR(E7="report_internal_inconsistency",E7="plan_material")),"","not_applicable")</f>
        <v/>
      </c>
      <c r="L7" s="19">
        <f>IF(AND(OR(D7="retain",D7=""),E7="protocol_report"),"","not_applicable")</f>
        <v/>
      </c>
      <c r="M7" s="11" t="n"/>
      <c r="N7" s="7" t="n"/>
      <c r="O7" s="7" t="n"/>
      <c r="P7" s="7" t="n"/>
      <c r="Q7" s="7" t="n"/>
      <c r="R7" s="19" t="inlineStr">
        <is>
          <t>eTable 5 placebo 'Smaller by 2 units' 2 (1.9%); 2/109 = 1.8%. 1.9% is the pooled value (4/216 = 1.85%) repeated from the krill column. Same root error as C003; numerically trivial here.</t>
        </is>
      </c>
    </row>
    <row r="8" ht="92" customFormat="1" customHeight="1" s="8">
      <c r="A8" s="12" t="inlineStr">
        <is>
          <t>2024::jama.2024.6063::C007</t>
        </is>
      </c>
      <c r="B8" s="12" t="inlineStr">
        <is>
          <t>eTable 5 placebo “Smaller by 1 unit” percentage conflicts with 16 of 109</t>
        </is>
      </c>
      <c r="C8" s="12" t="inlineStr">
        <is>
          <t>Supplement 3 — PDF p. 8.</t>
        </is>
      </c>
      <c r="D8" s="18" t="inlineStr">
        <is>
          <t>retain</t>
        </is>
      </c>
      <c r="E8" s="18" t="inlineStr">
        <is>
          <t>statistical_results</t>
        </is>
      </c>
      <c r="F8" s="18" t="inlineStr">
        <is>
          <t>primary_done</t>
        </is>
      </c>
      <c r="G8" s="12">
        <f>IFERROR(IF(LEN(TRIM(CLEAN(SUBSTITUTE(Setup!$B$2,CHAR(160)," "))))=0,"ENTER REVIEWER ID",IF(OR(A8="",COUNTIF($A$2:$A$17,A8)&lt;&gt;1,LEFT(A8,LEN("2024::jama.2024.6063::"))&lt;&gt;"2024::jama.2024.6063::"),"CHECK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minor_presentation</t>
        </is>
      </c>
      <c r="J8" s="19" t="inlineStr">
        <is>
          <t>possible</t>
        </is>
      </c>
      <c r="K8" s="18">
        <f>IF(AND(OR(D8="retain",D8=""),OR(E8="report_internal_inconsistency",E8="plan_material")),"","not_applicable")</f>
        <v/>
      </c>
      <c r="L8" s="19">
        <f>IF(AND(OR(D8="retain",D8=""),E8="protocol_report"),"","not_applicable")</f>
        <v/>
      </c>
      <c r="M8" s="12" t="n"/>
      <c r="N8" s="7" t="n"/>
      <c r="O8" s="7" t="n"/>
      <c r="P8" s="7" t="n"/>
      <c r="Q8" s="7" t="n"/>
      <c r="R8" s="19" t="inlineStr">
        <is>
          <t>eTable 5 placebo 'Smaller by 1 unit' 16 (12%); 16/109 = 14.7%. 12% is the pooled value (26/216). Same root error as C003; arm-specific value differs from krill (9.3%) by 5 points.</t>
        </is>
      </c>
    </row>
    <row r="9" ht="92" customFormat="1" customHeight="1" s="8">
      <c r="A9" s="11" t="inlineStr">
        <is>
          <t>2024::jama.2024.6063::C008</t>
        </is>
      </c>
      <c r="B9" s="11" t="inlineStr">
        <is>
          <t>eTable 5 placebo “No change” percentage conflicts with 75 of 109</t>
        </is>
      </c>
      <c r="C9" s="11" t="inlineStr">
        <is>
          <t>Supplement 3 — PDF p. 8.</t>
        </is>
      </c>
      <c r="D9" s="18" t="inlineStr">
        <is>
          <t>retain</t>
        </is>
      </c>
      <c r="E9" s="18" t="inlineStr">
        <is>
          <t>statistical_results</t>
        </is>
      </c>
      <c r="F9" s="18" t="inlineStr">
        <is>
          <t>primary_done</t>
        </is>
      </c>
      <c r="G9" s="11">
        <f>IFERROR(IF(LEN(TRIM(CLEAN(SUBSTITUTE(Setup!$B$2,CHAR(160)," "))))=0,"ENTER REVIEWER ID",IF(OR(A9="",COUNTIF($A$2:$A$17,A9)&lt;&gt;1,LEFT(A9,LEN("2024::jama.2024.6063::"))&lt;&gt;"2024::jama.2024.6063::"),"CHECK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minor_presentation</t>
        </is>
      </c>
      <c r="J9" s="19" t="inlineStr">
        <is>
          <t>possible</t>
        </is>
      </c>
      <c r="K9" s="18">
        <f>IF(AND(OR(D9="retain",D9=""),OR(E9="report_internal_inconsistency",E9="plan_material")),"","not_applicable")</f>
        <v/>
      </c>
      <c r="L9" s="19">
        <f>IF(AND(OR(D9="retain",D9=""),E9="protocol_report"),"","not_applicable")</f>
        <v/>
      </c>
      <c r="M9" s="11" t="n"/>
      <c r="N9" s="7" t="n"/>
      <c r="O9" s="7" t="n"/>
      <c r="P9" s="7" t="n"/>
      <c r="Q9" s="7" t="n"/>
      <c r="R9" s="19" t="inlineStr">
        <is>
          <t>eTable 5 placebo 'No change' 75 (72%); 75/109 = 68.8%. 72% is the pooled value (155/216 = 71.8%). Same root error as C003.</t>
        </is>
      </c>
    </row>
    <row r="10" ht="92" customFormat="1" customHeight="1" s="8">
      <c r="A10" s="12" t="inlineStr">
        <is>
          <t>2024::jama.2024.6063::C009</t>
        </is>
      </c>
      <c r="B10" s="12" t="inlineStr">
        <is>
          <t>eTable 4 repeats week-4 function changes in the weight-bearing-pain row</t>
        </is>
      </c>
      <c r="C10" s="12" t="inlineStr">
        <is>
          <t>Supplement 3 — PDF p. 5.</t>
        </is>
      </c>
      <c r="D10" s="18" t="inlineStr">
        <is>
          <t>retain</t>
        </is>
      </c>
      <c r="E10" s="18" t="inlineStr">
        <is>
          <t>statistical_results</t>
        </is>
      </c>
      <c r="F10" s="18" t="inlineStr">
        <is>
          <t>primary_done</t>
        </is>
      </c>
      <c r="G10" s="12">
        <f>IFERROR(IF(LEN(TRIM(CLEAN(SUBSTITUTE(Setup!$B$2,CHAR(160)," "))))=0,"ENTER REVIEWER ID",IF(OR(A10="",COUNTIF($A$2:$A$17,A10)&lt;&gt;1,LEFT(A10,LEN("2024::jama.2024.6063::"))&lt;&gt;"2024::jama.2024.6063::"),"CHECK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substantive</t>
        </is>
      </c>
      <c r="J10" s="19" t="inlineStr">
        <is>
          <t>direct</t>
        </is>
      </c>
      <c r="K10" s="18">
        <f>IF(AND(OR(D10="retain",D10=""),OR(E10="report_internal_inconsistency",E10="plan_material")),"","not_applicable")</f>
        <v/>
      </c>
      <c r="L10" s="19">
        <f>IF(AND(OR(D10="retain",D10=""),E10="protocol_report"),"","not_applicable")</f>
        <v/>
      </c>
      <c r="M10" s="12" t="n"/>
      <c r="N10" s="7" t="n"/>
      <c r="O10" s="7" t="n"/>
      <c r="P10" s="7" t="n"/>
      <c r="Q10" s="7" t="n"/>
      <c r="R10" s="19" t="inlineStr">
        <is>
          <t>eTable 4, WOMAC weight-bearing pain, week 4: arm changes -84 (-122 to -46) and -103 (-141 to -65) are identical to the WOMAC function week-4 row and implausible here (final minus baseline means 100-127 = -27 and 108-141 = -33; later weeks are -37 to -51). Between-group 3 (-10 to 16) looks row-specific. Arm-level changes appear copied from the function row.</t>
        </is>
      </c>
    </row>
    <row r="11" ht="92" customFormat="1" customHeight="1" s="8">
      <c r="A11" s="11" t="inlineStr">
        <is>
          <t>2024::jama.2024.6063::C010</t>
        </is>
      </c>
      <c r="B11" s="11" t="inlineStr">
        <is>
          <t>eTable 4 repeats week-4 back-pain results in week-12 lower-leg strength</t>
        </is>
      </c>
      <c r="C11" s="11" t="inlineStr">
        <is>
          <t>Supplement 3 — PDF p. 6.</t>
        </is>
      </c>
      <c r="D11" s="18" t="inlineStr">
        <is>
          <t>retain</t>
        </is>
      </c>
      <c r="E11" s="18" t="inlineStr">
        <is>
          <t>statistical_results</t>
        </is>
      </c>
      <c r="F11" s="18" t="inlineStr">
        <is>
          <t>primary_done</t>
        </is>
      </c>
      <c r="G11" s="11">
        <f>IFERROR(IF(LEN(TRIM(CLEAN(SUBSTITUTE(Setup!$B$2,CHAR(160)," "))))=0,"ENTER REVIEWER ID",IF(OR(A11="",COUNTIF($A$2:$A$17,A11)&lt;&gt;1,LEFT(A11,LEN("2024::jama.2024.6063::"))&lt;&gt;"2024::jama.2024.6063::"),"CHECK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t="inlineStr">
        <is>
          <t>confirmed_issue</t>
        </is>
      </c>
      <c r="I11" s="18" t="inlineStr">
        <is>
          <t>substantive</t>
        </is>
      </c>
      <c r="J11" s="19" t="inlineStr">
        <is>
          <t>direct</t>
        </is>
      </c>
      <c r="K11" s="18">
        <f>IF(AND(OR(D11="retain",D11=""),OR(E11="report_internal_inconsistency",E11="plan_material")),"","not_applicable")</f>
        <v/>
      </c>
      <c r="L11" s="19">
        <f>IF(AND(OR(D11="retain",D11=""),E11="protocol_report"),"","not_applicable")</f>
        <v/>
      </c>
      <c r="M11" s="11" t="n"/>
      <c r="N11" s="7" t="n"/>
      <c r="O11" s="7" t="n"/>
      <c r="P11" s="7" t="n"/>
      <c r="Q11" s="7" t="n"/>
      <c r="R11" s="19" t="inlineStr">
        <is>
          <t>eTable 4, lower-leg strength at week 12 prints -2.8 (-6.0 to 0.4), -4.2 (-7.4 to -1.1), between-group -1.4 (-5.9 to 3.0), P=.53: identical to back-pain VAS week 4. Strength final/baseline means (72.6/66.5; 70.2/65.9) imply increases of about +6.1 and +4.3, consistent with the week-24 row (+6.7, +4.4). The whole week-12 strength row appears copied.</t>
        </is>
      </c>
    </row>
    <row r="12" ht="92" customFormat="1" customHeight="1" s="8">
      <c r="A12" s="12" t="inlineStr">
        <is>
          <t>2024::jama.2024.6063::C011</t>
        </is>
      </c>
      <c r="B12" s="12" t="inlineStr">
        <is>
          <t>eTable 4 repeats the week-12 hsCRP result in fasting glucose</t>
        </is>
      </c>
      <c r="C12" s="12" t="inlineStr">
        <is>
          <t>Supplement 3 — PDF p. 6.</t>
        </is>
      </c>
      <c r="D12" s="18" t="inlineStr">
        <is>
          <t>retain</t>
        </is>
      </c>
      <c r="E12" s="18" t="inlineStr">
        <is>
          <t>statistical_results</t>
        </is>
      </c>
      <c r="F12" s="18" t="inlineStr">
        <is>
          <t>primary_done</t>
        </is>
      </c>
      <c r="G12" s="12">
        <f>IFERROR(IF(LEN(TRIM(CLEAN(SUBSTITUTE(Setup!$B$2,CHAR(160)," "))))=0,"ENTER REVIEWER ID",IF(OR(A12="",COUNTIF($A$2:$A$17,A12)&lt;&gt;1,LEFT(A12,LEN("2024::jama.2024.6063::"))&lt;&gt;"2024::jama.2024.6063::"),"CHECK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substantive</t>
        </is>
      </c>
      <c r="J12" s="19" t="inlineStr">
        <is>
          <t>direct</t>
        </is>
      </c>
      <c r="K12" s="18">
        <f>IF(AND(OR(D12="retain",D12=""),OR(E12="report_internal_inconsistency",E12="plan_material")),"","not_applicable")</f>
        <v/>
      </c>
      <c r="L12" s="19">
        <f>IF(AND(OR(D12="retain",D12=""),E12="protocol_report"),"","not_applicable")</f>
        <v/>
      </c>
      <c r="M12" s="12" t="n"/>
      <c r="N12" s="7" t="n"/>
      <c r="O12" s="7" t="n"/>
      <c r="P12" s="7" t="n"/>
      <c r="Q12" s="7" t="n"/>
      <c r="R12" s="19" t="inlineStr">
        <is>
          <t>eTable 4, fasting glucose week 12 between-group difference 0.07 (-1.19 to 1.33), P=.92: identical to hs-CRP week 12. Glucose arm changes are 0.09 (-0.07 to 0.24) and 0.15 (-0.01 to 0.31), so a between-group interval spanning 2.5 mmol/L is implausible (week-24 glucose: 0.04, -0.23 to 0.30). Between-group field appears copied from the hs-CRP row.</t>
        </is>
      </c>
    </row>
    <row r="13" ht="92" customFormat="1" customHeight="1" s="8">
      <c r="A13" s="11" t="inlineStr">
        <is>
          <t>2024::jama.2024.6063::C012</t>
        </is>
      </c>
      <c r="B13" s="11" t="inlineStr">
        <is>
          <t>Key Points and other matched primary-result displays use opposite signs</t>
        </is>
      </c>
      <c r="C13" s="11" t="inlineStr">
        <is>
          <t>Main article — PDF p. 2; Main article — PDF p. 1; Main article — PDF p. 6; Main article — PDF p. 7; Supplement 3 — PDF p. 2.</t>
        </is>
      </c>
      <c r="D13" s="18" t="inlineStr">
        <is>
          <t>retain</t>
        </is>
      </c>
      <c r="E13" s="18" t="inlineStr">
        <is>
          <t>statistical_results</t>
        </is>
      </c>
      <c r="F13" s="18" t="inlineStr">
        <is>
          <t>primary_done</t>
        </is>
      </c>
      <c r="G13" s="11">
        <f>IFERROR(IF(LEN(TRIM(CLEAN(SUBSTITUTE(Setup!$B$2,CHAR(160)," "))))=0,"ENTER REVIEWER ID",IF(OR(A13="",COUNTIF($A$2:$A$17,A13)&lt;&gt;1,LEFT(A13,LEN("2024::jama.2024.6063::"))&lt;&gt;"2024::jama.2024.6063::"),"CHECK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t="inlineStr">
        <is>
          <t>confirmed_issue</t>
        </is>
      </c>
      <c r="I13" s="18" t="inlineStr">
        <is>
          <t>minor_presentation</t>
        </is>
      </c>
      <c r="J13" s="19" t="inlineStr">
        <is>
          <t>possible</t>
        </is>
      </c>
      <c r="K13" s="18">
        <f>IF(AND(OR(D13="retain",D13=""),OR(E13="report_internal_inconsistency",E13="plan_material")),"","not_applicable")</f>
        <v/>
      </c>
      <c r="L13" s="19">
        <f>IF(AND(OR(D13="retain",D13=""),E13="protocol_report"),"","not_applicable")</f>
        <v/>
      </c>
      <c r="M13" s="11" t="n"/>
      <c r="N13" s="7" t="n"/>
      <c r="O13" s="7" t="n"/>
      <c r="P13" s="7" t="n"/>
      <c r="Q13" s="7" t="n"/>
      <c r="R13" s="19" t="inlineStr">
        <is>
          <t>Key Points: mean difference 0.30 (95% CI -6.9 to 6.4; P=.94). Abstract, Table 2, Results and eTable 4 give -0.3; eTable 1 gives -0.27 (-6.92 to 6.38). Key Points has the wrong sign and an extra digit; interval and P match. Interpretation (no effect) unchanged.</t>
        </is>
      </c>
    </row>
    <row r="14" ht="92" customFormat="1" customHeight="1" s="8">
      <c r="A14" s="12" t="inlineStr">
        <is>
          <t>2024::jama.2024.6063::C013</t>
        </is>
      </c>
      <c r="B14" s="12" t="inlineStr">
        <is>
          <t>Placebo extremity-pain event count is 6 in Table 3 and 5 elsewhere</t>
        </is>
      </c>
      <c r="C14" s="12" t="inlineStr">
        <is>
          <t>Main article — PDF p. 1; Main article — PDF p. 8; Supplement 3 — PDF p. 10.</t>
        </is>
      </c>
      <c r="D14" s="18" t="inlineStr">
        <is>
          <t>retain</t>
        </is>
      </c>
      <c r="E14" s="18" t="inlineStr">
        <is>
          <t>statistical_results</t>
        </is>
      </c>
      <c r="F14" s="18" t="inlineStr">
        <is>
          <t>primary_done</t>
        </is>
      </c>
      <c r="G14" s="12">
        <f>IFERROR(IF(LEN(TRIM(CLEAN(SUBSTITUTE(Setup!$B$2,CHAR(160)," "))))=0,"ENTER REVIEWER ID",IF(OR(A14="",COUNTIF($A$2:$A$17,A14)&lt;&gt;1,LEFT(A14,LEN("2024::jama.2024.6063::"))&lt;&gt;"2024::jama.2024.6063::"),"CHECK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t="inlineStr">
        <is>
          <t>confirmed_issue</t>
        </is>
      </c>
      <c r="I14" s="18" t="inlineStr">
        <is>
          <t>minor_presentation</t>
        </is>
      </c>
      <c r="J14" s="19" t="inlineStr">
        <is>
          <t>possible</t>
        </is>
      </c>
      <c r="K14" s="18">
        <f>IF(AND(OR(D14="retain",D14=""),OR(E14="report_internal_inconsistency",E14="plan_material")),"","not_applicable")</f>
        <v/>
      </c>
      <c r="L14" s="19">
        <f>IF(AND(OR(D14="retain",D14=""),E14="protocol_report"),"","not_applicable")</f>
        <v/>
      </c>
      <c r="M14" s="12" t="n"/>
      <c r="N14" s="7" t="n"/>
      <c r="O14" s="7" t="n"/>
      <c r="P14" s="7" t="n"/>
      <c r="Q14" s="7" t="n"/>
      <c r="R14" s="19" t="inlineStr">
        <is>
          <t>Placebo 'pain in extremity' adverse events: Table 3 prints 6; Abstract ('lower extremity pain ... n=5 with placebo') and eTable 7 print 5. Krill 1 in all. One-event discrepancy in a descriptive AE count.</t>
        </is>
      </c>
    </row>
    <row r="15" ht="92" customFormat="1" customHeight="1" s="8">
      <c r="A15" s="11" t="inlineStr">
        <is>
          <t>2024::jama.2024.6063::C014</t>
        </is>
      </c>
      <c r="B15" s="11" t="inlineStr">
        <is>
          <t>Table 3 regular-adverse-event footnote points to eTable 4 instead of eTable 7</t>
        </is>
      </c>
      <c r="C15" s="11" t="inlineStr">
        <is>
          <t>Main article — PDF p. 8; Supplement 3 — PDF p. 5; Supplement 3 — PDF p. 10.</t>
        </is>
      </c>
      <c r="D15" s="18" t="inlineStr">
        <is>
          <t>retain</t>
        </is>
      </c>
      <c r="E15" s="18" t="inlineStr">
        <is>
          <t>report_internal_inconsistency</t>
        </is>
      </c>
      <c r="F15" s="18" t="inlineStr">
        <is>
          <t>primary_done</t>
        </is>
      </c>
      <c r="G15" s="11">
        <f>IFERROR(IF(LEN(TRIM(CLEAN(SUBSTITUTE(Setup!$B$2,CHAR(160)," "))))=0,"ENTER REVIEWER ID",IF(OR(A15="",COUNTIF($A$2:$A$17,A15)&lt;&gt;1,LEFT(A15,LEN("2024::jama.2024.6063::"))&lt;&gt;"2024::jama.2024.6063::"),"CHECK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t="inlineStr">
        <is>
          <t>minor_presentation</t>
        </is>
      </c>
      <c r="L15" s="19">
        <f>IF(AND(OR(D15="retain",D15=""),E15="protocol_report"),"","not_applicable")</f>
        <v/>
      </c>
      <c r="M15" s="11" t="n"/>
      <c r="N15" s="7" t="n"/>
      <c r="O15" s="7" t="n"/>
      <c r="P15" s="7" t="n"/>
      <c r="Q15" s="7" t="n"/>
      <c r="R15" s="19" t="inlineStr">
        <is>
          <t>Table 3 footnote a refers readers to eTable 4 for detailed adverse-event information; eTable 4 is 'Change in secondary endpoints'. The adverse-event table is eTable 7, which the Results text cites correctly. Wrong cross-reference.</t>
        </is>
      </c>
    </row>
    <row r="16" ht="92" customFormat="1" customHeight="1" s="8">
      <c r="A16" s="12" t="inlineStr">
        <is>
          <t>2024::jama.2024.6063::C015</t>
        </is>
      </c>
      <c r="B16" s="12" t="inlineStr">
        <is>
          <t>Table 3 serious-adverse-event footnote points to eTables 5 and 6 instead of eTable 8</t>
        </is>
      </c>
      <c r="C16" s="12" t="inlineStr">
        <is>
          <t>Main article — PDF p. 8; Supplement 3 — PDF p. 8; Supplement 3 — PDF p. 9; Supplement 3 — PDF p. 14.</t>
        </is>
      </c>
      <c r="D16" s="18" t="inlineStr">
        <is>
          <t>retain</t>
        </is>
      </c>
      <c r="E16" s="18" t="inlineStr">
        <is>
          <t>report_internal_inconsistency</t>
        </is>
      </c>
      <c r="F16" s="18" t="inlineStr">
        <is>
          <t>primary_done</t>
        </is>
      </c>
      <c r="G16" s="12">
        <f>IFERROR(IF(LEN(TRIM(CLEAN(SUBSTITUTE(Setup!$B$2,CHAR(160)," "))))=0,"ENTER REVIEWER ID",IF(OR(A16="",COUNTIF($A$2:$A$17,A16)&lt;&gt;1,LEFT(A16,LEN("2024::jama.2024.6063::"))&lt;&gt;"2024::jama.2024.6063::"),"CHECK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minor_presentation</t>
        </is>
      </c>
      <c r="L16" s="19">
        <f>IF(AND(OR(D16="retain",D16=""),E16="protocol_report"),"","not_applicable")</f>
        <v/>
      </c>
      <c r="M16" s="12" t="n"/>
      <c r="N16" s="7" t="n"/>
      <c r="O16" s="7" t="n"/>
      <c r="P16" s="7" t="n"/>
      <c r="Q16" s="7" t="n"/>
      <c r="R16" s="19" t="inlineStr">
        <is>
          <t>Table 3 footnote c refers to eTables 5 and 6 for serious adverse events; eTable 5 is WORMS effusion change and eTable 6 analgesic use. Serious adverse events are in eTable 8, which the Results text cites. Wrong cross-reference.</t>
        </is>
      </c>
    </row>
    <row r="17" ht="92" customFormat="1" customHeight="1" s="8">
      <c r="A17" s="11" t="inlineStr">
        <is>
          <t>2024::jama.2024.6063::C016</t>
        </is>
      </c>
      <c r="B17" s="11" t="inlineStr">
        <is>
          <t>Main-text 95% adherence does not reproduce the cited eTable 2 overall result</t>
        </is>
      </c>
      <c r="C17" s="11" t="inlineStr">
        <is>
          <t>Main article — PDF p. 7; Supplement 3 — PDF p. 3.</t>
        </is>
      </c>
      <c r="D17" s="18" t="inlineStr">
        <is>
          <t>retain</t>
        </is>
      </c>
      <c r="E17" s="18" t="inlineStr">
        <is>
          <t>statistical_results</t>
        </is>
      </c>
      <c r="F17" s="18" t="inlineStr">
        <is>
          <t>primary_done</t>
        </is>
      </c>
      <c r="G17" s="11">
        <f>IFERROR(IF(LEN(TRIM(CLEAN(SUBSTITUTE(Setup!$B$2,CHAR(160)," "))))=0,"ENTER REVIEWER ID",IF(OR(A17="",COUNTIF($A$2:$A$17,A17)&lt;&gt;1,LEFT(A17,LEN("2024::jama.2024.6063::"))&lt;&gt;"2024::jama.2024.6063::"),"CHECK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probable_issue</t>
        </is>
      </c>
      <c r="I17" s="18" t="inlineStr">
        <is>
          <t>minor_presentation</t>
        </is>
      </c>
      <c r="J17" s="19" t="inlineStr">
        <is>
          <t>unlikely</t>
        </is>
      </c>
      <c r="K17" s="18">
        <f>IF(AND(OR(D17="retain",D17=""),OR(E17="report_internal_inconsistency",E17="plan_material")),"","not_applicable")</f>
        <v/>
      </c>
      <c r="L17" s="19">
        <f>IF(AND(OR(D17="retain",D17=""),E17="protocol_report"),"","not_applicable")</f>
        <v/>
      </c>
      <c r="M17" s="11" t="n"/>
      <c r="N17" s="7" t="n"/>
      <c r="O17" s="7" t="n"/>
      <c r="P17" s="7" t="n"/>
      <c r="Q17" s="7" t="n"/>
      <c r="R17" s="19" t="inlineStr">
        <is>
          <t>Results: '95% of participants consumed at least 80% of softgels over the 24-week study period (eTable 2)'. eTable 2 overall row gives 82 (98.8%) and 81 (96.4%), i.e., 163/167 = 97.6% (163/165 = 98.8%). No displayed denominator yields 95%; the population behind 95% is not stated.</t>
        </is>
      </c>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E54"/>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30" customWidth="1" style="8" min="2" max="2"/>
    <col width="40" customWidth="1" style="8" min="3" max="3"/>
    <col width="100" customWidth="1" style="8" min="4" max="4"/>
    <col width="28"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100" customFormat="1" customHeight="1" s="8">
      <c r="A2" s="15" t="inlineStr">
        <is>
          <t>How to read this Codebook</t>
        </is>
      </c>
      <c r="B2" s="15" t="n"/>
      <c r="C2" s="15" t="n"/>
      <c r="D2" s="15" t="n"/>
      <c r="E2" s="15" t="n"/>
    </row>
    <row r="3" ht="100" customFormat="1" customHeight="1" s="8">
      <c r="A3" s="16" t="inlineStr">
        <is>
          <t>1  |  Common decisions and optional notes</t>
        </is>
      </c>
      <c r="B3" s="16" t="n"/>
      <c r="C3" s="16" t="n"/>
      <c r="D3" s="16" t="n"/>
      <c r="E3" s="16" t="n"/>
    </row>
    <row r="4" ht="100" customFormat="1" customHeight="1" s="8">
      <c r="A4" s="15" t="inlineStr">
        <is>
          <t>Disposition</t>
        </is>
      </c>
      <c r="B4" s="15" t="inlineStr">
        <is>
          <t>FIELD</t>
        </is>
      </c>
      <c r="C4" s="15" t="inlineStr">
        <is>
          <t>Required; all domains</t>
        </is>
      </c>
      <c r="D4" s="15" t="inlineStr">
        <is>
          <t>Keep, exclude, or defer as discuss. Blank is untouched. No AI disposition is preselected. discuss is an independent unresolved response, not a shared workflow.</t>
        </is>
      </c>
      <c r="E4" s="15" t="inlineStr">
        <is>
          <t>disposition</t>
        </is>
      </c>
    </row>
    <row r="5" ht="100" customFormat="1" customHeight="1" s="8">
      <c r="A5" s="16" t="n"/>
      <c r="B5" s="16" t="inlineStr">
        <is>
          <t>retain</t>
        </is>
      </c>
      <c r="C5" s="16" t="inlineStr">
        <is>
          <t>Option</t>
        </is>
      </c>
      <c r="D5" s="16" t="inlineStr">
        <is>
          <t>Retain candidate. After human review, keep this finding in the applicable review results; retaining a protocol discrepancy does not automatically confirm an issue.</t>
        </is>
      </c>
      <c r="E5" s="16" t="n"/>
    </row>
    <row r="6" ht="100" customFormat="1" customHeight="1" s="8">
      <c r="A6" s="15" t="n"/>
      <c r="B6" s="15" t="inlineStr">
        <is>
          <t>exclude</t>
        </is>
      </c>
      <c r="C6" s="15" t="inlineStr">
        <is>
          <t>Option</t>
        </is>
      </c>
      <c r="D6" s="15" t="inlineStr">
        <is>
          <t>Do not retain. The candidate has been assessed and should not remain as a finding, for example because the apparent mismatch has a satisfactory explanation.</t>
        </is>
      </c>
      <c r="E6" s="15" t="n"/>
    </row>
    <row r="7" ht="100" customFormat="1" customHeight="1" s="8">
      <c r="A7" s="16" t="n"/>
      <c r="B7" s="16" t="inlineStr">
        <is>
          <t>discuss</t>
        </is>
      </c>
      <c r="C7" s="16" t="inlineStr">
        <is>
          <t>Option</t>
        </is>
      </c>
      <c r="D7" s="16" t="inlineStr">
        <is>
          <t>Needs discussion. The reviewer has considered the candidate but cannot settle the disposition without further discussion. This is a decision to defer, not an untouched blank. In this version, it can be PRIMARY READY but remains unresolved; no shared resolution step is required.</t>
        </is>
      </c>
      <c r="E7" s="16" t="n"/>
    </row>
    <row r="8" ht="100" customFormat="1" customHeight="1" s="8">
      <c r="A8" s="15" t="inlineStr">
        <is>
          <t>Review domain</t>
        </is>
      </c>
      <c r="B8" s="15" t="inlineStr">
        <is>
          <t>FIELD</t>
        </is>
      </c>
      <c r="C8" s="15" t="inlineStr">
        <is>
          <t>Required; all domains</t>
        </is>
      </c>
      <c r="D8" s="15" t="inlineStr">
        <is>
          <t>Choose the assessment branch first. It controls automatic not_applicable defaults and which judgments are required. All four choices are available; the frozen document relationship code does not change.</t>
        </is>
      </c>
      <c r="E8" s="15" t="inlineStr">
        <is>
          <t>domain</t>
        </is>
      </c>
    </row>
    <row r="9" ht="100" customFormat="1" customHeight="1" s="8">
      <c r="A9" s="16" t="n"/>
      <c r="B9" s="16" t="inlineStr">
        <is>
          <t>statistical_results</t>
        </is>
      </c>
      <c r="C9" s="16" t="inlineStr">
        <is>
          <t>Option</t>
        </is>
      </c>
      <c r="D9" s="16" t="inlineStr">
        <is>
          <t>Statistical results (S_C / S_W). Assess reported numbers, estimates, intervals, denominators or statistical claims in the current report materials.</t>
        </is>
      </c>
      <c r="E9" s="16" t="n"/>
    </row>
    <row r="10" ht="100" customFormat="1" customHeight="1" s="8">
      <c r="A10" s="15" t="n"/>
      <c r="B10" s="15" t="inlineStr">
        <is>
          <t>report_internal_inconsistency</t>
        </is>
      </c>
      <c r="C10" s="15" t="inlineStr">
        <is>
          <t>Option</t>
        </is>
      </c>
      <c r="D10"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0" s="15" t="n"/>
    </row>
    <row r="11" ht="100" customFormat="1" customHeight="1" s="8">
      <c r="A11" s="16" t="n"/>
      <c r="B11" s="16" t="inlineStr">
        <is>
          <t>protocol_report</t>
        </is>
      </c>
      <c r="C11" s="16" t="inlineStr">
        <is>
          <t>Option</t>
        </is>
      </c>
      <c r="D11" s="16" t="inlineStr">
        <is>
          <t>Protocol-report (P_R). Assess whether planned and reported conduct or analyses meaningfully differ, using the compared materials. No search for acknowledgment or reasons for changes is required.</t>
        </is>
      </c>
      <c r="E11" s="16" t="n"/>
    </row>
    <row r="12" ht="100" customFormat="1" customHeight="1" s="8">
      <c r="A12" s="15" t="n"/>
      <c r="B12" s="15" t="inlineStr">
        <is>
          <t>plan_material</t>
        </is>
      </c>
      <c r="C12" s="15" t="inlineStr">
        <is>
          <t>Option</t>
        </is>
      </c>
      <c r="D12" s="15" t="inlineStr">
        <is>
          <t>Plan material (P_P). Assess an inconsistency involving planning materials themselves rather than a planned-versus-reported result. The original relationship code remains unchanged.</t>
        </is>
      </c>
      <c r="E12" s="15" t="n"/>
    </row>
    <row r="13" ht="100" customFormat="1" customHeight="1" s="8">
      <c r="A13" s="16" t="inlineStr">
        <is>
          <t>Complete</t>
        </is>
      </c>
      <c r="B13" s="16" t="inlineStr">
        <is>
          <t>FIELD</t>
        </is>
      </c>
      <c r="C13" s="16" t="inlineStr">
        <is>
          <t>Required; each row</t>
        </is>
      </c>
      <c r="D13" s="16" t="inlineStr">
        <is>
          <t>Use no while drafting and primary_done after manual review. Before revising a completed row reset to no; review again, then mark primary_done. Excel cannot automatically reset an entered flag.</t>
        </is>
      </c>
      <c r="E13" s="16" t="inlineStr">
        <is>
          <t>reviewComplete</t>
        </is>
      </c>
    </row>
    <row r="14" ht="100" customFormat="1" customHeight="1" s="8">
      <c r="A14" s="15" t="n"/>
      <c r="B14" s="15" t="inlineStr">
        <is>
          <t>no</t>
        </is>
      </c>
      <c r="C14" s="15" t="inlineStr">
        <is>
          <t>Option</t>
        </is>
      </c>
      <c r="D14" s="15" t="inlineStr">
        <is>
          <t>Draft. The reviewer has not yet confirmed manual review complete.</t>
        </is>
      </c>
      <c r="E14" s="15" t="n"/>
    </row>
    <row r="15" ht="100" customFormat="1" customHeight="1" s="8">
      <c r="A15" s="16" t="inlineStr">
        <is>
          <t>Validation hint</t>
        </is>
      </c>
      <c r="B15" s="16" t="inlineStr">
        <is>
          <t>FIELD</t>
        </is>
      </c>
      <c r="C15" s="16" t="inlineStr">
        <is>
          <t>Calculated</t>
        </is>
      </c>
      <c r="D15" s="16" t="inlineStr">
        <is>
          <t>Calculated entry checks for this reviewer. PRIMARY READY means independent entry complete. discuss may remain unresolved. Checks does not establish scientific accuracy or protect source/formula cells.</t>
        </is>
      </c>
      <c r="E15" s="16" t="inlineStr">
        <is>
          <t>readiness</t>
        </is>
      </c>
    </row>
    <row r="16" ht="100" customFormat="1" customHeight="1" s="8">
      <c r="A16" s="15" t="inlineStr">
        <is>
          <t>Notes (optional)</t>
        </is>
      </c>
      <c r="B16" s="15" t="inlineStr">
        <is>
          <t>FIELD</t>
        </is>
      </c>
      <c r="C16" s="15" t="inlineStr">
        <is>
          <t>Optional</t>
        </is>
      </c>
      <c r="D16" s="15" t="inlineStr">
        <is>
          <t>Optional English context. Clearing removes the text; blank means no answer.</t>
        </is>
      </c>
      <c r="E16" s="15" t="inlineStr">
        <is>
          <t>notes</t>
        </is>
      </c>
    </row>
    <row r="17" ht="100" customFormat="1" customHeight="1" s="8">
      <c r="A17" s="16" t="inlineStr">
        <is>
          <t>2  |  Statistical results: two required judgments</t>
        </is>
      </c>
      <c r="B17" s="16" t="n"/>
      <c r="C17" s="16" t="n"/>
      <c r="D17" s="16" t="n"/>
      <c r="E17" s="16" t="n"/>
    </row>
    <row r="18" ht="100" customFormat="1" customHeight="1" s="8">
      <c r="A18" s="15" t="inlineStr">
        <is>
          <t>Statistcal_or_numerical issue</t>
        </is>
      </c>
      <c r="B18" s="15" t="inlineStr">
        <is>
          <t>FIELD</t>
        </is>
      </c>
      <c r="C18" s="15" t="inlineStr">
        <is>
          <t>Required; retained statistical_results</t>
        </is>
      </c>
      <c r="D18" s="15" t="inlineStr">
        <is>
          <t>Does a statistical or numerical reporting issue exist? Example: a reported percentage conflicts with its stated numerator and denominator after checking definitions. Certainty is separate from importance.</t>
        </is>
      </c>
      <c r="E18" s="15" t="inlineStr">
        <is>
          <t>statisticalIssueStatus</t>
        </is>
      </c>
    </row>
    <row r="19" ht="100" customFormat="1" customHeight="1" s="8">
      <c r="A19" s="16" t="n"/>
      <c r="B19" s="16" t="inlineStr">
        <is>
          <t>confirmed_issue</t>
        </is>
      </c>
      <c r="C19" s="16" t="inlineStr">
        <is>
          <t>Option</t>
        </is>
      </c>
      <c r="D19" s="16" t="inlineStr">
        <is>
          <t>Confirmed statistical or numerical reporting issue. The available evidence establishes a reporting issue or contradiction, even if the correct replacement value is not known.</t>
        </is>
      </c>
      <c r="E19" s="16" t="n"/>
    </row>
    <row r="20" ht="100" customFormat="1" customHeight="1" s="8">
      <c r="A20" s="15" t="n"/>
      <c r="B20" s="15" t="inlineStr">
        <is>
          <t>probable_issue</t>
        </is>
      </c>
      <c r="C20" s="15" t="inlineStr">
        <is>
          <t>Option</t>
        </is>
      </c>
      <c r="D20" s="15" t="inlineStr">
        <is>
          <t>Probable statistical or numerical reporting issue. The evidence favors a reporting issue, but an unresolved limitation or plausible alternative prevents confirmation.</t>
        </is>
      </c>
      <c r="E20" s="15" t="n"/>
    </row>
    <row r="21" ht="100" customFormat="1" customHeight="1" s="8">
      <c r="A21" s="16" t="n"/>
      <c r="B21" s="16" t="inlineStr">
        <is>
          <t>not_issue</t>
        </is>
      </c>
      <c r="C21" s="16" t="inlineStr">
        <is>
          <t>Option</t>
        </is>
      </c>
      <c r="D21" s="16" t="inlineStr">
        <is>
          <t>Not a statistical or numerical issue. The apparent discrepancy is consistent with a valid calculation, definition, analysis method or reporting context.</t>
        </is>
      </c>
      <c r="E21" s="16" t="n"/>
    </row>
    <row r="22" ht="100" customFormat="1" customHeight="1" s="8">
      <c r="A22" s="15" t="n"/>
      <c r="B22" s="15" t="inlineStr">
        <is>
          <t>indeterminate</t>
        </is>
      </c>
      <c r="C22" s="15" t="inlineStr">
        <is>
          <t>Option</t>
        </is>
      </c>
      <c r="D22" s="15" t="inlineStr">
        <is>
          <t>Indeterminate. The available evidence does not support deciding whether a statistical or numerical reporting issue exists; neither confirmation nor dismissal is justified.</t>
        </is>
      </c>
      <c r="E22" s="15" t="n"/>
    </row>
    <row r="23" ht="100" customFormat="1" customHeight="1" s="8">
      <c r="A23" s="16" t="n"/>
      <c r="B23" s="16" t="inlineStr">
        <is>
          <t>not_applicable</t>
        </is>
      </c>
      <c r="C23" s="16" t="inlineStr">
        <is>
          <t>Option</t>
        </is>
      </c>
      <c r="D23" s="16" t="inlineStr">
        <is>
          <t>Automatic default outside this field's review domain or for a non-retained candidate. It is not an issue verdict, missing evidence, or an unanswered applicable question. Do not choose it for an applicable field.</t>
        </is>
      </c>
      <c r="E23" s="16" t="n"/>
    </row>
    <row r="24" ht="100" customFormat="1" customHeight="1" s="8">
      <c r="A24" s="15" t="inlineStr">
        <is>
          <t>Substantiveness</t>
        </is>
      </c>
      <c r="B24" s="15" t="inlineStr">
        <is>
          <t>FIELD</t>
        </is>
      </c>
      <c r="C24" s="15" t="inlineStr">
        <is>
          <t>Required; retained statistical_results</t>
        </is>
      </c>
      <c r="D24" s="15" t="inlineStr">
        <is>
          <t>Could the issue meaningfully affect interpretation or data use? A harmless spacing typo is minor_presentation; an ambiguous extractable effect estimate may be substantive. An issue can be confirmed yet minor.</t>
        </is>
      </c>
      <c r="E24" s="15" t="inlineStr">
        <is>
          <t>substantiveStatus</t>
        </is>
      </c>
    </row>
    <row r="25" ht="100" customFormat="1" customHeight="1" s="8">
      <c r="A25" s="16" t="n"/>
      <c r="B25" s="16" t="inlineStr">
        <is>
          <t>substantive</t>
        </is>
      </c>
      <c r="C25" s="16" t="inlineStr">
        <is>
          <t>Option</t>
        </is>
      </c>
      <c r="D25" s="16" t="inlineStr">
        <is>
          <t>Substantive. The issue could meaningfully change interpretation, data extraction or downstream analysis, rather than only the presentation of the result.</t>
        </is>
      </c>
      <c r="E25" s="16" t="n"/>
    </row>
    <row r="26" ht="100" customFormat="1" customHeight="1" s="8">
      <c r="A26" s="15" t="n"/>
      <c r="B26" s="15" t="inlineStr">
        <is>
          <t>minor_presentation</t>
        </is>
      </c>
      <c r="C26" s="15" t="inlineStr">
        <is>
          <t>Option</t>
        </is>
      </c>
      <c r="D26" s="15" t="inlineStr">
        <is>
          <t>Minor or presentation only. The intended result remains clear and the issue is a small formatting, labeling or typographic problem without a meaningful change in interpretation.</t>
        </is>
      </c>
      <c r="E26" s="15" t="n"/>
    </row>
    <row r="27" ht="100" customFormat="1" customHeight="1" s="8">
      <c r="A27" s="16" t="n"/>
      <c r="B27" s="16" t="inlineStr">
        <is>
          <t>indeterminate</t>
        </is>
      </c>
      <c r="C27" s="16" t="inlineStr">
        <is>
          <t>Option</t>
        </is>
      </c>
      <c r="D27" s="16" t="inlineStr">
        <is>
          <t>Indeterminate. There is not enough information to decide whether the issue is substantive or limited to presentation.</t>
        </is>
      </c>
      <c r="E27" s="16" t="n"/>
    </row>
    <row r="28" ht="100" customFormat="1" customHeight="1" s="8">
      <c r="A28" s="15" t="n"/>
      <c r="B28" s="15" t="inlineStr">
        <is>
          <t>not_applicable</t>
        </is>
      </c>
      <c r="C28" s="15" t="inlineStr">
        <is>
          <t>Option</t>
        </is>
      </c>
      <c r="D28" s="15" t="inlineStr">
        <is>
          <t>Automatic default outside this field's review domain or for a non-retained candidate. It is not an issue verdict, missing evidence, or an unanswered applicable question. Do not choose it for an applicable field.</t>
        </is>
      </c>
      <c r="E28" s="15" t="n"/>
    </row>
    <row r="29" ht="100" customFormat="1" customHeight="1" s="8">
      <c r="A29" s="16" t="inlineStr">
        <is>
          <t>Downstream impact</t>
        </is>
      </c>
      <c r="B29" s="16" t="inlineStr">
        <is>
          <t>FIELD</t>
        </is>
      </c>
      <c r="C29" s="16" t="inlineStr">
        <is>
          <t>Optional; retained statistical_results</t>
        </is>
      </c>
      <c r="D29"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29" s="16" t="inlineStr">
        <is>
          <t>downstreamImpact</t>
        </is>
      </c>
    </row>
    <row r="30" ht="100" customFormat="1" customHeight="1" s="8">
      <c r="A30" s="15" t="n"/>
      <c r="B30" s="15" t="inlineStr">
        <is>
          <t>direct</t>
        </is>
      </c>
      <c r="C30" s="15" t="inlineStr">
        <is>
          <t>Option</t>
        </is>
      </c>
      <c r="D30" s="15" t="inlineStr">
        <is>
          <t>Direct extraction or analysis impact. The affected value or definition is itself an input to data extraction or subsequent analysis; this describes potential impact, not proven downstream harm.</t>
        </is>
      </c>
      <c r="E30" s="15" t="n"/>
    </row>
    <row r="31" ht="100" customFormat="1" customHeight="1" s="8">
      <c r="A31" s="16" t="n"/>
      <c r="B31" s="16" t="inlineStr">
        <is>
          <t>possible</t>
        </is>
      </c>
      <c r="C31" s="16" t="inlineStr">
        <is>
          <t>Option</t>
        </is>
      </c>
      <c r="D31" s="16" t="inlineStr">
        <is>
          <t>Possible downstream impact. A plausible route to affecting later interpretation, extraction or analysis exists, but the connection is indirect or uncertain.</t>
        </is>
      </c>
      <c r="E31" s="16" t="n"/>
    </row>
    <row r="32" ht="100" customFormat="1" customHeight="1" s="8">
      <c r="A32" s="15" t="n"/>
      <c r="B32" s="15" t="inlineStr">
        <is>
          <t>unlikely</t>
        </is>
      </c>
      <c r="C32" s="15" t="inlineStr">
        <is>
          <t>Option</t>
        </is>
      </c>
      <c r="D32" s="15" t="inlineStr">
        <is>
          <t>Unlikely downstream impact. The issue is unlikely to change extracted information or later analysis because the relevant result remains clear and usable.</t>
        </is>
      </c>
      <c r="E32" s="15" t="n"/>
    </row>
    <row r="33" ht="100" customFormat="1" customHeight="1" s="8">
      <c r="A33" s="16" t="n"/>
      <c r="B33" s="16" t="inlineStr">
        <is>
          <t>unknown</t>
        </is>
      </c>
      <c r="C33" s="16" t="inlineStr">
        <is>
          <t>Option</t>
        </is>
      </c>
      <c r="D33" s="16" t="inlineStr">
        <is>
          <t>Unable to assess. The materials do not establish enough about the affected information or its likely use to judge downstream impact.</t>
        </is>
      </c>
      <c r="E33" s="16" t="n"/>
    </row>
    <row r="34" ht="100" customFormat="1" customHeight="1" s="8">
      <c r="A34" s="15" t="n"/>
      <c r="B34" s="15" t="inlineStr">
        <is>
          <t>not_applicable</t>
        </is>
      </c>
      <c r="C34" s="15" t="inlineStr">
        <is>
          <t>Option</t>
        </is>
      </c>
      <c r="D34" s="15" t="inlineStr">
        <is>
          <t>Automatic default outside this field's review domain or for a non-retained candidate. It is not an issue verdict, missing evidence, or an unanswered applicable question. Do not choose it for an applicable field.</t>
        </is>
      </c>
      <c r="E34" s="15" t="n"/>
    </row>
    <row r="35" ht="100" customFormat="1" customHeight="1" s="8">
      <c r="A35" s="16" t="inlineStr">
        <is>
          <t>3  |  Report internal or planning-material inconsistency</t>
        </is>
      </c>
      <c r="B35" s="16" t="n"/>
      <c r="C35" s="16" t="n"/>
      <c r="D35" s="16" t="n"/>
      <c r="E35" s="16" t="n"/>
    </row>
    <row r="36" ht="100" customFormat="1" customHeight="1" s="8">
      <c r="A36" s="15" t="inlineStr">
        <is>
          <t>Report-internal or planning-material inconsistency</t>
        </is>
      </c>
      <c r="B36" s="15" t="inlineStr">
        <is>
          <t>FIELD</t>
        </is>
      </c>
      <c r="C36" s="15" t="inlineStr">
        <is>
          <t>Required; retained report_internal_inconsistency or plan_material</t>
        </is>
      </c>
      <c r="D36"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6" s="15" t="inlineStr">
        <is>
          <t>internalStatus</t>
        </is>
      </c>
    </row>
    <row r="37" ht="100" customFormat="1" customHeight="1" s="8">
      <c r="A37" s="16" t="n"/>
      <c r="B37" s="16" t="inlineStr">
        <is>
          <t>substantive_inconsistency</t>
        </is>
      </c>
      <c r="C37" s="16" t="inlineStr">
        <is>
          <t>Option</t>
        </is>
      </c>
      <c r="D37" s="16" t="inlineStr">
        <is>
          <t>Substantive inconsistency. Conflicting statements, values, labels, or descriptions in the compared report or planning materials could materially change how the study, population, procedures or results are understood.</t>
        </is>
      </c>
      <c r="E37" s="16" t="n"/>
    </row>
    <row r="38" ht="100" customFormat="1" customHeight="1" s="8">
      <c r="A38" s="15" t="n"/>
      <c r="B38" s="15" t="inlineStr">
        <is>
          <t>minor_presentation</t>
        </is>
      </c>
      <c r="C38" s="15" t="inlineStr">
        <is>
          <t>Option</t>
        </is>
      </c>
      <c r="D38"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38" s="15" t="n"/>
    </row>
    <row r="39" ht="100" customFormat="1" customHeight="1" s="8">
      <c r="A39" s="16" t="n"/>
      <c r="B39" s="16" t="inlineStr">
        <is>
          <t>non_inconsistency</t>
        </is>
      </c>
      <c r="C39" s="16" t="inlineStr">
        <is>
          <t>Option</t>
        </is>
      </c>
      <c r="D39"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39" s="16" t="n"/>
    </row>
    <row r="40" ht="100" customFormat="1" customHeight="1" s="8">
      <c r="A40" s="15" t="n"/>
      <c r="B40" s="15" t="inlineStr">
        <is>
          <t>indeterminate</t>
        </is>
      </c>
      <c r="C40" s="15" t="inlineStr">
        <is>
          <t>Option</t>
        </is>
      </c>
      <c r="D40" s="15" t="inlineStr">
        <is>
          <t>Indeterminate. The available material is insufficient to establish whether the statements conflict or how important any conflict is.</t>
        </is>
      </c>
      <c r="E40" s="15" t="n"/>
    </row>
    <row r="41" ht="100" customFormat="1" customHeight="1" s="8">
      <c r="A41" s="16" t="n"/>
      <c r="B41" s="16" t="inlineStr">
        <is>
          <t>not_applicable</t>
        </is>
      </c>
      <c r="C41" s="16" t="inlineStr">
        <is>
          <t>Option</t>
        </is>
      </c>
      <c r="D41" s="16" t="inlineStr">
        <is>
          <t>Automatic default outside this field's review domain or for a non-retained candidate. It is not an issue verdict, missing evidence, or an unanswered applicable question. Do not choose it for an applicable field.</t>
        </is>
      </c>
      <c r="E41" s="16" t="n"/>
    </row>
    <row r="42" ht="100" customFormat="1" customHeight="1" s="8">
      <c r="A42" s="15" t="inlineStr">
        <is>
          <t>4  |  Protocol versus report: optional description only</t>
        </is>
      </c>
      <c r="B42" s="15" t="n"/>
      <c r="C42" s="15" t="n"/>
      <c r="D42" s="15" t="n"/>
      <c r="E42" s="15" t="n"/>
    </row>
    <row r="43" ht="100" customFormat="1" customHeight="1" s="8">
      <c r="A43" s="16" t="inlineStr">
        <is>
          <t>Protocol interpretation</t>
        </is>
      </c>
      <c r="B43" s="16" t="inlineStr">
        <is>
          <t>FIELD</t>
        </is>
      </c>
      <c r="C43" s="16" t="inlineStr">
        <is>
          <t>Optional; retained protocol_report</t>
        </is>
      </c>
      <c r="D43"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3" s="16" t="inlineStr">
        <is>
          <t>protocolInterpretation</t>
        </is>
      </c>
    </row>
    <row r="44" ht="100" customFormat="1" customHeight="1" s="8">
      <c r="A44" s="15" t="n"/>
      <c r="B44" s="15" t="inlineStr">
        <is>
          <t>substantive_difference</t>
        </is>
      </c>
      <c r="C44" s="15" t="inlineStr">
        <is>
          <t>Option</t>
        </is>
      </c>
      <c r="D44"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4" s="15" t="n"/>
    </row>
    <row r="45" ht="100" customFormat="1" customHeight="1" s="8">
      <c r="A45" s="16" t="n"/>
      <c r="B45" s="16" t="inlineStr">
        <is>
          <t>minor_presentation</t>
        </is>
      </c>
      <c r="C45" s="16" t="inlineStr">
        <is>
          <t>Option</t>
        </is>
      </c>
      <c r="D45" s="16" t="inlineStr">
        <is>
          <t>Minor presentation difference. A minor wording, labeling or presentation problem exists, but the intended planned and reported meaning or conduct remains clear. Example: an imprecise outcome label clarified by the same definition in both documents.</t>
        </is>
      </c>
      <c r="E45" s="16" t="n"/>
    </row>
    <row r="46" ht="100" customFormat="1" customHeight="1" s="8">
      <c r="A46" s="15" t="n"/>
      <c r="B46" s="15" t="inlineStr">
        <is>
          <t>version_timing</t>
        </is>
      </c>
      <c r="C46" s="15" t="inlineStr">
        <is>
          <t>Option</t>
        </is>
      </c>
      <c r="D46" s="15" t="inlineStr">
        <is>
          <t>Version or timing ambiguity. The difference may reflect which protocol version or date is being compared; the sequence cannot be resolved from the available material.</t>
        </is>
      </c>
      <c r="E46" s="15" t="n"/>
    </row>
    <row r="47" ht="100" customFormat="1" customHeight="1" s="8">
      <c r="A47" s="16" t="n"/>
      <c r="B47" s="16" t="inlineStr">
        <is>
          <t>non_inconsistency</t>
        </is>
      </c>
      <c r="C47" s="16" t="inlineStr">
        <is>
          <t>Option</t>
        </is>
      </c>
      <c r="D47"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7" s="16" t="n"/>
    </row>
    <row r="48" ht="100" customFormat="1" customHeight="1" s="8">
      <c r="A48" s="15" t="n"/>
      <c r="B48" s="15" t="inlineStr">
        <is>
          <t>indeterminate</t>
        </is>
      </c>
      <c r="C48" s="15" t="inlineStr">
        <is>
          <t>Option</t>
        </is>
      </c>
      <c r="D48" s="15" t="inlineStr">
        <is>
          <t>Indeterminate. The available evidence cannot support a more specific interpretation of the planned-versus-reported difference.</t>
        </is>
      </c>
      <c r="E48" s="15" t="n"/>
    </row>
    <row r="49" ht="100" customFormat="1" customHeight="1" s="8">
      <c r="A49" s="16" t="n"/>
      <c r="B49" s="16" t="inlineStr">
        <is>
          <t>not_applicable</t>
        </is>
      </c>
      <c r="C49" s="16" t="inlineStr">
        <is>
          <t>Option</t>
        </is>
      </c>
      <c r="D49" s="16" t="inlineStr">
        <is>
          <t>Automatic default outside this field's review domain or for a non-retained candidate. It is not an issue verdict, missing evidence, or an unanswered applicable question. Do not choose it for an applicable field.</t>
        </is>
      </c>
      <c r="E49" s="16" t="n"/>
    </row>
    <row r="50" ht="100" customFormat="1" customHeight="1" s="8">
      <c r="A50" s="15" t="inlineStr">
        <is>
          <t>5  |  Candidate context</t>
        </is>
      </c>
      <c r="B50" s="15" t="n"/>
      <c r="C50" s="15" t="n"/>
      <c r="D50" s="15" t="n"/>
      <c r="E50" s="15" t="n"/>
    </row>
    <row r="51" ht="100" customFormat="1" customHeight="1" s="8">
      <c r="A51" s="16" t="inlineStr">
        <is>
          <t>Candidate key</t>
        </is>
      </c>
      <c r="B51" s="16" t="inlineStr">
        <is>
          <t>FIELD</t>
        </is>
      </c>
      <c r="C51" s="16" t="inlineStr">
        <is>
          <t>Reference</t>
        </is>
      </c>
      <c r="D51" s="16" t="inlineStr">
        <is>
          <t>Unique candidate identity used for matching, even after complete rows are reordered. Never edit this value.</t>
        </is>
      </c>
      <c r="E51" s="16" t="inlineStr">
        <is>
          <t>key</t>
        </is>
      </c>
    </row>
    <row r="52" ht="100" customFormat="1" customHeight="1" s="8">
      <c r="A52" s="15" t="inlineStr">
        <is>
          <t>Candidate title</t>
        </is>
      </c>
      <c r="B52" s="15" t="inlineStr">
        <is>
          <t>FIELD</t>
        </is>
      </c>
      <c r="C52" s="15" t="inlineStr">
        <is>
          <t>Reference</t>
        </is>
      </c>
      <c r="D52" s="15" t="inlineStr">
        <is>
          <t>Short candidate title. A candidate is an AI flag for human assessment, not a confirmed issue.</t>
        </is>
      </c>
      <c r="E52" s="15" t="inlineStr">
        <is>
          <t>title</t>
        </is>
      </c>
    </row>
    <row r="53" ht="100" customFormat="1" customHeight="1" s="8">
      <c r="A53" s="16" t="inlineStr">
        <is>
          <t>Source location</t>
        </is>
      </c>
      <c r="B53" s="16" t="inlineStr">
        <is>
          <t>FIELD</t>
        </is>
      </c>
      <c r="C53" s="16" t="inlineStr">
        <is>
          <t>Source reference; this reviewer</t>
        </is>
      </c>
      <c r="D53" s="16" t="inlineStr">
        <is>
          <t>Where to check the source claim. Open the original documents named here (file and PDF page).</t>
        </is>
      </c>
      <c r="E53" s="16" t="inlineStr">
        <is>
          <t>locations</t>
        </is>
      </c>
    </row>
    <row r="54" ht="100" customFormat="1" customHeight="1" s="8">
      <c r="A54" s="15" t="inlineStr">
        <is>
          <t>Complete</t>
        </is>
      </c>
      <c r="B54" s="15" t="inlineStr">
        <is>
          <t>primary_done</t>
        </is>
      </c>
      <c r="C54" s="15" t="inlineStr">
        <is>
          <t>Primary review</t>
        </is>
      </c>
      <c r="D54" s="15" t="inlineStr">
        <is>
          <t>Human reviewed; independent entry complete. Scientific uncertainty may remain as discuss.</t>
        </is>
      </c>
      <c r="E54" s="15"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2026-09-19T05:13:46Z</dcterms:created>
  <dcterms:modified xsi:type="dcterms:W3CDTF">2026-10-10T23:06:10Z</dcterms:modified>
</cp:coreProperties>
</file>