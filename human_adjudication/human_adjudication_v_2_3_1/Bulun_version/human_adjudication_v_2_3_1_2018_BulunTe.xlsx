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17.21906" sheetId="4" state="visible" r:id="rId4"/>
    <sheet name="C_jama.2018.0156" sheetId="5" state="visible" r:id="rId5"/>
    <sheet name="C_jama.2018.0948" sheetId="6" state="visible" r:id="rId6"/>
    <sheet name="C_jama.2018.14280" sheetId="7" state="visible" r:id="rId7"/>
    <sheet name="C_jama.2018.14282" sheetId="8" state="visible" r:id="rId8"/>
    <sheet name="C_jama.2018.17075" sheetId="9" state="visible" r:id="rId9"/>
    <sheet name="C_jama.2018.18020" sheetId="10" state="visible" r:id="rId10"/>
    <sheet name="C_jama.2018.6496" sheetId="11" state="visible" r:id="rId11"/>
    <sheet name="C_jama.2018.8802" sheetId="12" state="visible" r:id="rId12"/>
    <sheet name="C_jama.2018.9128" sheetId="13" state="visible" r:id="rId13"/>
    <sheet name="Codebook" sheetId="14" state="visible" r:id="rId14"/>
  </sheets>
  <definedNames>
    <definedName name="_xlnm._FilterDatabase" localSheetId="3" hidden="1">'C_jama.2017.21906'!$A$1:$R$7</definedName>
    <definedName name="_xlnm._FilterDatabase" localSheetId="4" hidden="1">'C_jama.2018.0156'!$A$1:$R$9</definedName>
    <definedName name="_xlnm._FilterDatabase" localSheetId="5" hidden="1">'C_jama.2018.0948'!$A$1:$R$8</definedName>
    <definedName name="_xlnm._FilterDatabase" localSheetId="6" hidden="1">'C_jama.2018.14280'!$A$1:$R$24</definedName>
    <definedName name="_xlnm._FilterDatabase" localSheetId="7" hidden="1">'C_jama.2018.14282'!$A$1:$R$29</definedName>
    <definedName name="_xlnm._FilterDatabase" localSheetId="8" hidden="1">'C_jama.2018.17075'!$A$1:$R$9</definedName>
    <definedName name="_xlnm._FilterDatabase" localSheetId="9" hidden="1">'C_jama.2018.18020'!$A$1:$R$15</definedName>
    <definedName name="_xlnm._FilterDatabase" localSheetId="10" hidden="1">'C_jama.2018.6496'!$A$1:$R$5</definedName>
    <definedName name="_xlnm._FilterDatabase" localSheetId="11" hidden="1">'C_jama.2018.8802'!$A$1:$R$9</definedName>
    <definedName name="_xlnm._FilterDatabase" localSheetId="12" hidden="1">'C_jama.2018.9128'!$A$1:$R$14</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5">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BulunTe</t>
        </is>
      </c>
    </row>
    <row r="3" ht="42" customFormat="1" customHeight="1" s="14">
      <c r="A3" s="17" t="inlineStr">
        <is>
          <t>reviewerName (optional)</t>
        </is>
      </c>
      <c r="B3" s="18" t="n"/>
    </row>
    <row r="4" ht="42" customFormat="1" customHeight="1" s="14">
      <c r="A4" s="16" t="inlineStr">
        <is>
          <t>reviewerRole</t>
        </is>
      </c>
      <c r="B4" s="16" t="inlineStr">
        <is>
          <t>R_B</t>
        </is>
      </c>
    </row>
    <row r="5" ht="42" customFormat="1" customHeight="1" s="14">
      <c r="A5" s="17" t="inlineStr">
        <is>
          <t>year</t>
        </is>
      </c>
      <c r="B5" s="17" t="n">
        <v>2018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119</v>
      </c>
    </row>
    <row r="4" ht="55" customFormat="1" customHeight="1" s="14">
      <c r="A4" s="16" t="inlineStr">
        <is>
          <t>Primary ready rows</t>
        </is>
      </c>
      <c r="B4" s="16">
        <f>COUNTIF('C_jama.2017.21906'!$G$2:$G$7,"PRIMARY READY")+COUNTIF('C_jama.2018.0156'!$G$2:$G$9,"PRIMARY READY")+COUNTIF('C_jama.2018.0948'!$G$2:$G$8,"PRIMARY READY")+COUNTIF('C_jama.2018.14280'!$G$2:$G$24,"PRIMARY READY")+COUNTIF('C_jama.2018.14282'!$G$2:$G$29,"PRIMARY READY")+COUNTIF('C_jama.2018.17075'!$G$2:$G$9,"PRIMARY READY")+COUNTIF('C_jama.2018.18020'!$G$2:$G$15,"PRIMARY READY")+COUNTIF('C_jama.2018.6496'!$G$2:$G$5,"PRIMARY READY")+COUNTIF('C_jama.2018.8802'!$G$2:$G$9,"PRIMARY READY")+COUNTIF('C_jama.2018.9128'!$G$2:$G$14,"PRIMARY READY")</f>
        <v/>
      </c>
    </row>
    <row r="5" ht="55" customFormat="1" customHeight="1" s="14">
      <c r="A5" s="17" t="inlineStr">
        <is>
          <t>Discuss / unresolved rows</t>
        </is>
      </c>
      <c r="B5" s="17">
        <f>COUNTIF('C_jama.2017.21906'!$D$2:$D$7,"discuss")+COUNTIF('C_jama.2018.0156'!$D$2:$D$9,"discuss")+COUNTIF('C_jama.2018.0948'!$D$2:$D$8,"discuss")+COUNTIF('C_jama.2018.14280'!$D$2:$D$24,"discuss")+COUNTIF('C_jama.2018.14282'!$D$2:$D$29,"discuss")+COUNTIF('C_jama.2018.17075'!$D$2:$D$9,"discuss")+COUNTIF('C_jama.2018.18020'!$D$2:$D$15,"discuss")+COUNTIF('C_jama.2018.6496'!$D$2:$D$5,"discuss")+COUNTIF('C_jama.2018.8802'!$D$2:$D$9,"discuss")+COUNTIF('C_jama.2018.9128'!$D$2:$D$14,"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Format="1" customHeight="1" s="14">
      <c r="A2" s="16" t="inlineStr">
        <is>
          <t>jama.2017.21906</t>
        </is>
      </c>
      <c r="B2" s="16" t="inlineStr">
        <is>
          <t>C_jama.2017.21906</t>
        </is>
      </c>
      <c r="C2" s="16" t="n">
        <v>6</v>
      </c>
    </row>
    <row r="3" ht="36" customFormat="1" customHeight="1" s="14">
      <c r="A3" s="17" t="inlineStr">
        <is>
          <t>jama.2018.0156</t>
        </is>
      </c>
      <c r="B3" s="17" t="inlineStr">
        <is>
          <t>C_jama.2018.0156</t>
        </is>
      </c>
      <c r="C3" s="17" t="n">
        <v>8</v>
      </c>
    </row>
    <row r="4" ht="36" customFormat="1" customHeight="1" s="14">
      <c r="A4" s="16" t="inlineStr">
        <is>
          <t>jama.2018.0948</t>
        </is>
      </c>
      <c r="B4" s="16" t="inlineStr">
        <is>
          <t>C_jama.2018.0948</t>
        </is>
      </c>
      <c r="C4" s="16" t="n">
        <v>7</v>
      </c>
    </row>
    <row r="5" ht="36" customFormat="1" customHeight="1" s="14">
      <c r="A5" s="17" t="inlineStr">
        <is>
          <t>jama.2018.14280</t>
        </is>
      </c>
      <c r="B5" s="17" t="inlineStr">
        <is>
          <t>C_jama.2018.14280</t>
        </is>
      </c>
      <c r="C5" s="17" t="n">
        <v>23</v>
      </c>
    </row>
    <row r="6" ht="36" customFormat="1" customHeight="1" s="14">
      <c r="A6" s="16" t="inlineStr">
        <is>
          <t>jama.2018.14282</t>
        </is>
      </c>
      <c r="B6" s="16" t="inlineStr">
        <is>
          <t>C_jama.2018.14282</t>
        </is>
      </c>
      <c r="C6" s="16" t="n">
        <v>28</v>
      </c>
    </row>
    <row r="7" ht="36" customFormat="1" customHeight="1" s="14">
      <c r="A7" s="17" t="inlineStr">
        <is>
          <t>jama.2018.17075</t>
        </is>
      </c>
      <c r="B7" s="17" t="inlineStr">
        <is>
          <t>C_jama.2018.17075</t>
        </is>
      </c>
      <c r="C7" s="17" t="n">
        <v>8</v>
      </c>
    </row>
    <row r="8" ht="36" customFormat="1" customHeight="1" s="14">
      <c r="A8" s="16" t="inlineStr">
        <is>
          <t>jama.2018.18020</t>
        </is>
      </c>
      <c r="B8" s="16" t="inlineStr">
        <is>
          <t>C_jama.2018.18020</t>
        </is>
      </c>
      <c r="C8" s="16" t="n">
        <v>14</v>
      </c>
    </row>
    <row r="9" ht="36" customFormat="1" customHeight="1" s="14">
      <c r="A9" s="17" t="inlineStr">
        <is>
          <t>jama.2018.6496</t>
        </is>
      </c>
      <c r="B9" s="17" t="inlineStr">
        <is>
          <t>C_jama.2018.6496</t>
        </is>
      </c>
      <c r="C9" s="17" t="n">
        <v>4</v>
      </c>
    </row>
    <row r="10" ht="36" customFormat="1" customHeight="1" s="14">
      <c r="A10" s="16" t="inlineStr">
        <is>
          <t>jama.2018.8802</t>
        </is>
      </c>
      <c r="B10" s="16" t="inlineStr">
        <is>
          <t>C_jama.2018.8802</t>
        </is>
      </c>
      <c r="C10" s="16" t="n">
        <v>8</v>
      </c>
    </row>
    <row r="11" ht="36" customFormat="1" customHeight="1" s="14">
      <c r="A11" s="17" t="inlineStr">
        <is>
          <t>jama.2018.9128</t>
        </is>
      </c>
      <c r="B11" s="17" t="inlineStr">
        <is>
          <t>C_jama.2018.9128</t>
        </is>
      </c>
      <c r="C11" s="17" t="n">
        <v>13</v>
      </c>
    </row>
  </sheetData>
  <hyperlinks>
    <hyperlink ref="B2" location="'C_jama.2017.21906'!A1"/>
    <hyperlink ref="B3" location="'C_jama.2018.0156'!A1"/>
    <hyperlink ref="B4" location="'C_jama.2018.0948'!A1"/>
    <hyperlink ref="B5" location="'C_jama.2018.14280'!A1"/>
    <hyperlink ref="B6" location="'C_jama.2018.14282'!A1"/>
    <hyperlink ref="B7" location="'C_jama.2018.17075'!A1"/>
    <hyperlink ref="B8" location="'C_jama.2018.18020'!A1"/>
    <hyperlink ref="B9" location="'C_jama.2018.6496'!A1"/>
    <hyperlink ref="B10" location="'C_jama.2018.8802'!A1"/>
    <hyperlink ref="B11" location="'C_jama.2018.9128'!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2018::jama.2017.21906::C001</t>
        </is>
      </c>
      <c r="B2" s="20" t="inlineStr">
        <is>
          <t>In-hospital beta-blocker adjusted-risk-difference CI endpoint differs between Table 2 and narrative</t>
        </is>
      </c>
      <c r="C2" s="20" t="inlineStr">
        <is>
          <t>Main article — PDF p. 6, Table 2 In-hospital β-blocker row and adjacent Results narrative.</t>
        </is>
      </c>
      <c r="D2" s="21" t="inlineStr">
        <is>
          <t>retain</t>
        </is>
      </c>
      <c r="E2" s="21" t="inlineStr">
        <is>
          <t>statistical_results</t>
        </is>
      </c>
      <c r="F2" s="21" t="inlineStr">
        <is>
          <t>primary_done</t>
        </is>
      </c>
      <c r="G2" s="20">
        <f>IFERROR(IF(LEN(TRIM(CLEAN(SUBSTITUTE(Setup!$B$2,CHAR(160)," "))))=0,"CHECK REVIEWER ID",IF(OR(A2="",COUNTIF($A$2:$A$7,A2)&lt;&gt;1,LEFT(A2,LEN("2018::jama.2017.21906::"))&lt;&gt;"2018::jama.2017.21906::"),"CHECK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Confirmed: Table 2 gives in-hospital beta-blocker adjusted RD 6.25% (4.10 to 8.40); narrative p.6 gives 4.10%-8.10%. Table CI is symmetric about 6.25 (midpoint 6.25), narrative CI is not (midpoint 6.10), so the narrative endpoint is the error. Inference unchanged (both exclude 0); a reader extracting from the text gets a wrong bound.</t>
        </is>
      </c>
    </row>
    <row r="3" ht="92" customFormat="1" customHeight="1" s="14">
      <c r="A3" s="24" t="inlineStr">
        <is>
          <t>2018::jama.2017.21906::C002</t>
        </is>
      </c>
      <c r="B3" s="24" t="inlineStr">
        <is>
          <t>Discharge beta-blocker adjusted point estimates differ between Table 2 and narrative</t>
        </is>
      </c>
      <c r="C3" s="24" t="inlineStr">
        <is>
          <t>Main article — PDF p. 6, Table 2 Discharge β-blocker row; Main article — PDF p. 7, Results narrative.</t>
        </is>
      </c>
      <c r="D3" s="21" t="inlineStr">
        <is>
          <t>retain</t>
        </is>
      </c>
      <c r="E3" s="21" t="inlineStr">
        <is>
          <t>statistical_results</t>
        </is>
      </c>
      <c r="F3" s="21" t="inlineStr">
        <is>
          <t>primary_done</t>
        </is>
      </c>
      <c r="G3" s="24">
        <f>IFERROR(IF(LEN(TRIM(CLEAN(SUBSTITUTE(Setup!$B$2,CHAR(160)," "))))=0,"CHECK REVIEWER ID",IF(OR(A3="",COUNTIF($A$2:$A$7,A3)&lt;&gt;1,LEFT(A3,LEN("2018::jama.2017.21906::"))&lt;&gt;"2018::jama.2017.21906::"),"CHECK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Confirmed: Table 2 discharge beta-blocker RD 6.69% (4.43 to 8.95), OR 1.48 (1.30-1.68); narrative p.7 RD 6.63%, OR 1.47 with identical CIs. Symmetric-CI midpoint (4.43+8.95)/2 = 6.69 supports the table; narrative RD is a typo. OR geometric midpoint 1.478 is compatible with either rounding. Small, does not change interpretation. Domain changed to statistical_results.</t>
        </is>
      </c>
    </row>
    <row r="4" ht="92" customFormat="1" customHeight="1" s="14">
      <c r="A4" s="20" t="inlineStr">
        <is>
          <t>2018::jama.2017.21906::C003</t>
        </is>
      </c>
      <c r="B4" s="20" t="inlineStr">
        <is>
          <t>eTable 1 difference footnote names groups not displayed in the table</t>
        </is>
      </c>
      <c r="C4" s="20" t="inlineStr">
        <is>
          <t>Online supplement — PDF p. 17, eTable 1 title, headers, values, and footnote a.</t>
        </is>
      </c>
      <c r="D4" s="21" t="inlineStr">
        <is>
          <t>retain</t>
        </is>
      </c>
      <c r="E4" s="21" t="inlineStr">
        <is>
          <t>report_internal_inconsistency</t>
        </is>
      </c>
      <c r="F4" s="21" t="inlineStr">
        <is>
          <t>primary_done</t>
        </is>
      </c>
      <c r="G4" s="20">
        <f>IFERROR(IF(LEN(TRIM(CLEAN(SUBSTITUTE(Setup!$B$2,CHAR(160)," "))))=0,"CHECK REVIEWER ID",IF(OR(A4="",COUNTIF($A$2:$A$7,A4)&lt;&gt;1,LEFT(A4,LEN("2018::jama.2017.21906::"))&lt;&gt;"2018::jama.2017.21906::"),"CHECK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Real labeling error: eTable 1 compares complete (n=21079) vs missing follow-up (n=295), but footnote a says Difference = intervention minus control. Every row matches missing minus complete (e.g., age 60.0-60.6 = -0.6; tobacco 42.4-30.8 = 11.6; heart rate 82.9-79.9 = 3.0), so the intended contrast is recoverable. Carry-over footnote; minor.</t>
        </is>
      </c>
    </row>
    <row r="5" ht="92" customFormat="1" customHeight="1" s="14">
      <c r="A5" s="24" t="inlineStr">
        <is>
          <t>2018::jama.2017.21906::C004</t>
        </is>
      </c>
      <c r="B5" s="24" t="inlineStr">
        <is>
          <t>Reported prespecified age-subgroup boundaries differ from the supplied SAP</t>
        </is>
      </c>
      <c r="C5" s="24" t="inlineStr">
        <is>
          <t>SAP — PDF p. 7, section 7.5.2; main article — PDF p. 3, Statistical Analysis; main article — PDF p. 9, Figure 3 and adjacent Results narrative.</t>
        </is>
      </c>
      <c r="D5" s="21" t="inlineStr">
        <is>
          <t>retain</t>
        </is>
      </c>
      <c r="E5" s="21" t="inlineStr">
        <is>
          <t>protocol_report</t>
        </is>
      </c>
      <c r="F5" s="21" t="inlineStr">
        <is>
          <t>primary_done</t>
        </is>
      </c>
      <c r="G5" s="24">
        <f>IFERROR(IF(LEN(TRIM(CLEAN(SUBSTITUTE(Setup!$B$2,CHAR(160)," "))))=0,"CHECK REVIEWER ID",IF(OR(A5="",COUNTIF($A$2:$A$7,A5)&lt;&gt;1,LEFT(A5,LEN("2018::jama.2017.21906::"))&lt;&gt;"2018::jama.2017.21906::"),"CHECK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SAP (17 June 2015) section 7.5.2 lists a priori age subgroups &lt;65 and &gt;65 y; the article calls its Figure 3 subgroups prespecified but shows age &lt;50, 50-69 and &gt;=70. Different number of groups and cutpoints for a subgroup labeled prespecified. The protocol (22 Sep 2014) gives no subgroup list. Descriptive difference; no record of an amendment supplied.</t>
        </is>
      </c>
    </row>
    <row r="6" ht="92" customFormat="1" customHeight="1" s="14">
      <c r="A6" s="20" t="inlineStr">
        <is>
          <t>2018::jama.2017.21906::C005</t>
        </is>
      </c>
      <c r="B6" s="20" t="inlineStr">
        <is>
          <t>The named optimal in-hospital medication composite uses different component labels across final-result tables</t>
        </is>
      </c>
      <c r="C6" s="20" t="inlineStr">
        <is>
          <t>Main article — PDF p. 3, Outcomes; main article — PDF p. 7, Table 3 footnote c; online supplement — PDF p. 21, eTable 5 footnote c; online supplement — PDF p. 22, eTable 6 footnote b.</t>
        </is>
      </c>
      <c r="D6" s="21" t="inlineStr">
        <is>
          <t>retain</t>
        </is>
      </c>
      <c r="E6" s="21" t="inlineStr">
        <is>
          <t>report_internal_inconsistency</t>
        </is>
      </c>
      <c r="F6" s="21" t="inlineStr">
        <is>
          <t>primary_done</t>
        </is>
      </c>
      <c r="G6" s="20">
        <f>IFERROR(IF(LEN(TRIM(CLEAN(SUBSTITUTE(Setup!$B$2,CHAR(160)," "))))=0,"CHECK REVIEWER ID",IF(OR(A6="",COUNTIF($A$2:$A$7,A6)&lt;&gt;1,LEFT(A6,LEN("2018::jama.2017.21906::"))&lt;&gt;"2018::jama.2017.21906::"),"CHECK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Real label mismatch: article Outcomes, Table 3 note c and eTable 5 note c define optimal in-hospital medication with 'anticoagulant'; eTable 6 note b says 'heparin' (as does the SAP). Likely a carried-over SAP footnote; the main article definition is clear. Whether non-heparin anticoagulants were counted is not shown, but I judge this minor rather than substantive as the AI proposed.</t>
        </is>
      </c>
    </row>
    <row r="7" ht="92" customFormat="1" customHeight="1" s="14">
      <c r="A7" s="24" t="inlineStr">
        <is>
          <t>2018::jama.2017.21906::C006</t>
        </is>
      </c>
      <c r="B7" s="24" t="inlineStr">
        <is>
          <t>Hospital-type subgroup is reported as prespecified but is absent from the supplied SAP subgroup list</t>
        </is>
      </c>
      <c r="C7" s="24" t="inlineStr">
        <is>
          <t>Main article — PDF p. 3, Statistical Analysis; main article — PDF p. 9, Figure 3 and adjacent Results narrative; SAP — PDF p. 7, section 7.5.2.</t>
        </is>
      </c>
      <c r="D7" s="21" t="inlineStr">
        <is>
          <t>retain</t>
        </is>
      </c>
      <c r="E7" s="21" t="inlineStr">
        <is>
          <t>protocol_report</t>
        </is>
      </c>
      <c r="F7" s="21" t="inlineStr">
        <is>
          <t>primary_done</t>
        </is>
      </c>
      <c r="G7" s="24">
        <f>IFERROR(IF(LEN(TRIM(CLEAN(SUBSTITUTE(Setup!$B$2,CHAR(160)," "))))=0,"CHECK REVIEWER ID",IF(OR(A7="",COUNTIF($A$2:$A$7,A7)&lt;&gt;1,LEFT(A7,LEN("2018::jama.2017.21906::"))&lt;&gt;"2018::jama.2017.21906::"),"CHECK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t="inlineStr">
        <is>
          <t>Article calls hospital type a prespecified subgroup (Figure 3: government 9, nonprofit 12, private 42 hospitals; 9+12+42 = 63). The SAP a priori site-level subgroups are hospital size and use of QI toolkit components; hospital type is not listed and toolkit-component use is not reported. Subgroup set differs from the plan.</t>
        </is>
      </c>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2018::jama.2018.0156::C001</t>
        </is>
      </c>
      <c r="B2" s="20" t="inlineStr">
        <is>
          <t>Noninferiority narrative reverses the displayed bound direction</t>
        </is>
      </c>
      <c r="C2" s="20" t="inlineStr">
        <is>
          <t>jama_jabre_2018_oi_180004.pdf — PDF p. 3 (rule); jama_jabre_2018_oi_180004.pdf — PDF p. 4 (result/narrative).</t>
        </is>
      </c>
      <c r="D2" s="21" t="inlineStr">
        <is>
          <t>retain</t>
        </is>
      </c>
      <c r="E2" s="21" t="inlineStr">
        <is>
          <t>statistical_results</t>
        </is>
      </c>
      <c r="F2" s="21" t="inlineStr">
        <is>
          <t>primary_done</t>
        </is>
      </c>
      <c r="G2" s="20">
        <f>IFERROR(IF(LEN(TRIM(CLEAN(SUBSTITUTE(Setup!$B$2,CHAR(160)," "))))=0,"CHECK REVIEWER ID",IF(OR(A2="",COUNTIF($A$2:$A$9,A2)&lt;&gt;1,LEFT(A2,LEN("2018::jama.2018.0156::"))&lt;&gt;"2018::jama.2018.0156::"),"CHECK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Rule (p.3): noninferiority if lower CI limit is higher than -1%. Result (p.4): lower limit -1.64% is called 'greater than the threshold', yet the next clause correctly says noninferiority was not shown. -1.64 &lt; -1.00, so the comparative word is wrong (or means 'larger in magnitude'). Numbers and conclusion are right; wording error only.</t>
        </is>
      </c>
    </row>
    <row r="3" ht="92" customFormat="1" customHeight="1" s="14">
      <c r="A3" s="24" t="inlineStr">
        <is>
          <t>2018::jama.2018.0156::C002</t>
        </is>
      </c>
      <c r="B3" s="24" t="inlineStr">
        <is>
          <t>Centre-5 pause contrast mixes a count outcome with seconds</t>
        </is>
      </c>
      <c r="C3" s="24" t="inlineStr">
        <is>
          <t>jama_jabre_2018_oi_180004.pdf — PDF p. 3 (definition); jama_jabre_2018_oi_180004.pdf — PDF p. 4 (contrast).</t>
        </is>
      </c>
      <c r="D3" s="21" t="inlineStr">
        <is>
          <t>retain</t>
        </is>
      </c>
      <c r="E3" s="21" t="inlineStr">
        <is>
          <t>report_internal_inconsistency</t>
        </is>
      </c>
      <c r="F3" s="21" t="inlineStr">
        <is>
          <t>primary_done</t>
        </is>
      </c>
      <c r="G3" s="24">
        <f>IFERROR(IF(LEN(TRIM(CLEAN(SUBSTITUTE(Setup!$B$2,CHAR(160)," "))))=0,"CHECK REVIEWER ID",IF(OR(A3="",COUNTIF($A$2:$A$9,A3)&lt;&gt;1,LEFT(A3,LEN("2018::jama.2018.0156::"))&lt;&gt;"2018::jama.2018.0156::"),"CHECK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Post hoc center 5 analysis: outcome is the number of pauses &gt;2 s (p.3); result p.4 gives 27 (BMV) vs 16 (ETI); 'difference, 11 seconds [95% CI, 7 to 15]'. 27-16 = 11, so the difference is in number of pauses and the unit 'seconds' is a mislabel. Summary statistic (mean per patient?) is also unstated. Exploratory single-center result; minor.</t>
        </is>
      </c>
    </row>
    <row r="4" ht="92" customFormat="1" customHeight="1" s="14">
      <c r="A4" s="20" t="inlineStr">
        <is>
          <t>2018::jama.2018.0156::C003</t>
        </is>
      </c>
      <c r="B4" s="20" t="inlineStr">
        <is>
          <t>PP day-28 survival point difference does not round from the printed inputs</t>
        </is>
      </c>
      <c r="C4" s="20" t="inlineStr">
        <is>
          <t>jama_jabre_2018_oi_180004.pdf — PDF p. 6 (Table 2); joi180004supp1_prod.pdf — PDF p. 123 (rounding rule).</t>
        </is>
      </c>
      <c r="D4" s="21" t="inlineStr">
        <is>
          <t>retain</t>
        </is>
      </c>
      <c r="E4" s="21" t="inlineStr">
        <is>
          <t>statistical_results</t>
        </is>
      </c>
      <c r="F4" s="21" t="inlineStr">
        <is>
          <t>primary_done</t>
        </is>
      </c>
      <c r="G4" s="20">
        <f>IFERROR(IF(LEN(TRIM(CLEAN(SUBSTITUTE(Setup!$B$2,CHAR(160)," "))))=0,"CHECK REVIEWER ID",IF(OR(A4="",COUNTIF($A$2:$A$9,A4)&lt;&gt;1,LEFT(A4,LEN("2018::jama.2018.0156::"))&lt;&gt;"2018::jama.2018.0156::"),"CHECK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PP survival at 28 d: 54/995 (5.427%) vs 51/943 (5.408%); RD = 0.019 pp, which rounds to 0.0, not the printed 0.1. Every other RD in Tables 2-3 reproduces exactly from counts with a simple unpooled difference, so this cell is a production error (the ITT row is 0.119 -&gt; 0.1, possibly copied). Tiny magnitude.</t>
        </is>
      </c>
    </row>
    <row r="5" ht="92" customFormat="1" customHeight="1" s="14">
      <c r="A5" s="24" t="inlineStr">
        <is>
          <t>2018::jama.2018.0156::C004</t>
        </is>
      </c>
      <c r="B5" s="24" t="inlineStr">
        <is>
          <t>PP day-28 survival confidence interval has an unresolved scale/precision inconsistency</t>
        </is>
      </c>
      <c r="C5" s="24" t="inlineStr">
        <is>
          <t>jama_jabre_2018_oi_180004.pdf — PDF p. 3 (rule); PDF p. 6 (Table 2); joi180004supp1_prod.pdf — PDF p. 124 (CI rule).</t>
        </is>
      </c>
      <c r="D5" s="21" t="inlineStr">
        <is>
          <t>retain</t>
        </is>
      </c>
      <c r="E5" s="21" t="inlineStr">
        <is>
          <t>statistical_results</t>
        </is>
      </c>
      <c r="F5" s="21" t="inlineStr">
        <is>
          <t>primary_done</t>
        </is>
      </c>
      <c r="G5" s="24">
        <f>IFERROR(IF(LEN(TRIM(CLEAN(SUBSTITUTE(Setup!$B$2,CHAR(160)," "))))=0,"CHECK REVIEWER ID",IF(OR(A5="",COUNTIF($A$2:$A$9,A5)&lt;&gt;1,LEFT(A5,LEN("2018::jama.2018.0156::"))&lt;&gt;"2018::jama.2018.0156::"),"CHECK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PP survival at 28 d CI printed -10 to 9.7 pp. From 54/995 vs 51/943 the Wald 95% CI is -2.00 to 2.04 pp (Newcombe -2.03 to 2.05), and P = .985 matches the printed P = .99, so only the CI is wrong. The same Wald method reproduces the ITT CIs and PP ROSC CI exactly. Printed interval is about 5 times too wide and misstates precision.</t>
        </is>
      </c>
    </row>
    <row r="6" ht="92" customFormat="1" customHeight="1" s="14">
      <c r="A6" s="20" t="inlineStr">
        <is>
          <t>2018::jama.2018.0156::C005</t>
        </is>
      </c>
      <c r="B6" s="20" t="inlineStr">
        <is>
          <t>PP ROSC ETI percentage conflicts with its count, denominator, and signed difference</t>
        </is>
      </c>
      <c r="C6" s="20" t="inlineStr">
        <is>
          <t>jama_jabre_2018_oi_180004.pdf — PDF p. 6 (Table 2 PP ROSC row).</t>
        </is>
      </c>
      <c r="D6" s="21" t="inlineStr">
        <is>
          <t>retain</t>
        </is>
      </c>
      <c r="E6" s="21" t="inlineStr">
        <is>
          <t>statistical_results</t>
        </is>
      </c>
      <c r="F6" s="21" t="inlineStr">
        <is>
          <t>primary_done</t>
        </is>
      </c>
      <c r="G6" s="20">
        <f>IFERROR(IF(LEN(TRIM(CLEAN(SUBSTITUTE(Setup!$B$2,CHAR(160)," "))))=0,"CHECK REVIEWER ID",IF(OR(A6="",COUNTIF($A$2:$A$9,A6)&lt;&gt;1,LEFT(A6,LEN("2018::jama.2018.0156::"))&lt;&gt;"2018::jama.2018.0156::"),"CHECK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substantive</t>
        </is>
      </c>
      <c r="J6" s="22" t="inlineStr">
        <is>
          <t>direct</t>
        </is>
      </c>
      <c r="K6" s="21">
        <f>IF(AND(OR(D6="retain",D6=""),OR(E6="report_internal_inconsistency",E6="plan_material")),"","not_applicable")</f>
        <v/>
      </c>
      <c r="L6" s="22">
        <f>IF(AND(OR(D6="retain",D6=""),E6="protocol_report"),"","not_applicable")</f>
        <v/>
      </c>
      <c r="M6" s="20" t="n"/>
      <c r="N6" s="23" t="n"/>
      <c r="O6" s="23" t="n"/>
      <c r="P6" s="23" t="n"/>
      <c r="Q6" s="23" t="n"/>
      <c r="R6" s="22" t="inlineStr">
        <is>
          <t>PP ROSC: ETI 377/943 printed 30.0%, but 377/943 = 40.0%. The difference -5.6 (95% CI -9.9 to -1.3) and P = .01 reproduce from the counts (RD -5.61, Wald -9.91 to -1.31, P = .011), so 30.0 is a typo for 40.0. As printed, the percentages imply BMV higher (34.4 vs 30.0), opposite to the difference column; an extracted arm percentage would be 10 points off.</t>
        </is>
      </c>
    </row>
    <row r="7" ht="92" customFormat="1" customHeight="1" s="14">
      <c r="A7" s="24" t="inlineStr">
        <is>
          <t>2018::jama.2018.0156::C006</t>
        </is>
      </c>
      <c r="B7" s="24" t="inlineStr">
        <is>
          <t>Main article and eTable report different contributing-centre counts</t>
        </is>
      </c>
      <c r="C7" s="24" t="inlineStr">
        <is>
          <t>jama_jabre_2018_oi_180004.pdf — PDF p. 2; joi180004supp2_prod.pdf — PDF p. 2 (eTable 1).</t>
        </is>
      </c>
      <c r="D7" s="21" t="inlineStr">
        <is>
          <t>retain</t>
        </is>
      </c>
      <c r="E7" s="21" t="inlineStr">
        <is>
          <t>report_internal_inconsistency</t>
        </is>
      </c>
      <c r="F7" s="21" t="inlineStr">
        <is>
          <t>primary_done</t>
        </is>
      </c>
      <c r="G7" s="24">
        <f>IFERROR(IF(LEN(TRIM(CLEAN(SUBSTITUTE(Setup!$B$2,CHAR(160)," "))))=0,"CHECK REVIEWER ID",IF(OR(A7="",COUNTIF($A$2:$A$9,A7)&lt;&gt;1,LEFT(A7,LEN("2018::jama.2018.0156::"))&lt;&gt;"2018::jama.2018.0156::"),"CHECK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Article p.3: 20 EMS centers (15 France, 5 Belgium). eTable 1 lists 21 contributing centre IDs (N1 to N25, one with 0 BMV/3 ETI); columns sum to 1018 and 1022. Protocol amendment (supp1 p.112) withdrew centre 19 and added centres 21-26 (25 total). The '20 centers' figure appears to come from the original protocol. Real but minor descriptive discrepancy.</t>
        </is>
      </c>
    </row>
    <row r="8" ht="92" customFormat="1" customHeight="1" s="14">
      <c r="A8" s="20" t="inlineStr">
        <is>
          <t>2018::jama.2018.0156::C007</t>
        </is>
      </c>
      <c r="B8" s="20" t="inlineStr">
        <is>
          <t>Published primary-endpoint description omits the amended baseline-disability qualification</t>
        </is>
      </c>
      <c r="C8" s="20" t="inlineStr">
        <is>
          <t>jama_jabre_2018_oi_180004.pdf — PDF p. 1 and PDF p. 3; joi180004supp1_prod.pdf — PDF p. 110.</t>
        </is>
      </c>
      <c r="D8" s="21" t="inlineStr">
        <is>
          <t>retain</t>
        </is>
      </c>
      <c r="E8" s="21" t="inlineStr">
        <is>
          <t>protocol_report</t>
        </is>
      </c>
      <c r="F8" s="21" t="inlineStr">
        <is>
          <t>primary_done</t>
        </is>
      </c>
      <c r="G8" s="20">
        <f>IFERROR(IF(LEN(TRIM(CLEAN(SUBSTITUTE(Setup!$B$2,CHAR(160)," "))))=0,"CHECK REVIEWER ID",IF(OR(A8="",COUNTIF($A$2:$A$9,A8)&lt;&gt;1,LEFT(A8,LEN("2018::jama.2018.0156::"))&lt;&gt;"2018::jama.2018.0156::"),"CHECK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t="inlineStr">
        <is>
          <t>Protocol V2 (22 Jan 2016, and amendment V1.4) adds to the primary endpoint: survivors with pre-arrest neurologic disability who keep the same degree of disability count as favorable. Article defines success as CPC 1-2 only, and Table 2 note b says CPC 1-2 were coded as success; reported primary counts equal CPC1+CPC2 (35+9 = 44; 37+6 = 43). SAP (Feb 2015) predates the amendment.</t>
        </is>
      </c>
    </row>
    <row r="9" ht="92" customFormat="1" customHeight="1" s="14">
      <c r="A9" s="24" t="inlineStr">
        <is>
          <t>2018::jama.2018.0156::C008</t>
        </is>
      </c>
      <c r="B9" s="24" t="inlineStr">
        <is>
          <t>Protocol composite technique-failure definition cannot reconcile with the article’s smaller ETI failure count if they are the same endpoint</t>
        </is>
      </c>
      <c r="C9" s="24" t="inlineStr">
        <is>
          <t>joi180004supp1_prod.pdf — PDF p. 110; jama_jabre_2018_oi_180004.pdf — PDF p. 1, PDF p. 4, and PDF p. 6.</t>
        </is>
      </c>
      <c r="D9" s="21" t="inlineStr">
        <is>
          <t>retain</t>
        </is>
      </c>
      <c r="E9" s="21" t="inlineStr">
        <is>
          <t>protocol_report</t>
        </is>
      </c>
      <c r="F9" s="21" t="inlineStr">
        <is>
          <t>primary_done</t>
        </is>
      </c>
      <c r="G9" s="24">
        <f>IFERROR(IF(LEN(TRIM(CLEAN(SUBSTITUTE(Setup!$B$2,CHAR(160)," "))))=0,"CHECK REVIEWER ID",IF(OR(A9="",COUNTIF($A$2:$A$9,A9)&lt;&gt;1,LEFT(A9,LEN("2018::jama.2018.0156::"))&lt;&gt;"2018::jama.2018.0156::"),"CHECK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t="inlineStr">
        <is>
          <t>Protocol secondary endpoint 'technique's failure' = 28-day mortality or regurgitation or procedural failure. The article lists 'rate of BMV or ETI failure' and reports only procedural failure (69/1028 vs 21/996); the composite is not reported. The AI's 27 &gt; 21 bound is invalid: 54/1022 are ETI survivors, not deaths. Retain as a descriptive plan-report endpoint difference, not discuss.</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8"/>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2018::jama.2018.0948::C001</t>
        </is>
      </c>
      <c r="B2" s="20" t="inlineStr">
        <is>
          <t>Inclusive versus exclusive fluid threshold in the SCD definition</t>
        </is>
      </c>
      <c r="C2" s="20" t="inlineStr">
        <is>
          <t>main article — PDF p. 4; Supplement 1 Table 5 — PDF p. 24; Supplement 3 eTable 1 — PDF p. 6.</t>
        </is>
      </c>
      <c r="D2" s="21" t="inlineStr">
        <is>
          <t>retain</t>
        </is>
      </c>
      <c r="E2" s="21" t="inlineStr">
        <is>
          <t>protocol_report</t>
        </is>
      </c>
      <c r="F2" s="21" t="inlineStr">
        <is>
          <t>primary_done</t>
        </is>
      </c>
      <c r="G2" s="20">
        <f>IFERROR(IF(LEN(TRIM(CLEAN(SUBSTITUTE(Setup!$B$2,CHAR(160)," "))))=0,"CHECK REVIEWER ID",IF(OR(A2="",COUNTIF($A$2:$A$8,A2)&lt;&gt;1,LEFT(A2,LEN("2018::jama.2018.0948::"))&lt;&gt;"2018::jama.2018.0948::"),"CHECK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indeterminate</t>
        </is>
      </c>
      <c r="M2" s="20" t="n"/>
      <c r="N2" s="23" t="n"/>
      <c r="O2" s="23" t="n"/>
      <c r="P2" s="23" t="n"/>
      <c r="Q2" s="23" t="n"/>
      <c r="R2" s="22" t="inlineStr">
        <is>
          <t>SCDE fluid component: article p.4 says boluses of '60 mL/kg or greater' in 12 h; protocol Table 5 (p.24) and Supplement 3 eTable 1 say '&gt;60 ml/kg'. Protocol Table 5 also leaves exactly 60 outside both its &lt;60 and &gt;60 bands. Because 3 x 20 mL/kg = 60 is a common cumulative volume, the boundary may matter, but which rule was applied is not documented.</t>
        </is>
      </c>
    </row>
    <row r="3" ht="92" customFormat="1" customHeight="1" s="14">
      <c r="A3" s="24" t="inlineStr">
        <is>
          <t>2018::jama.2018.0948::C002</t>
        </is>
      </c>
      <c r="B3" s="24" t="inlineStr">
        <is>
          <t>Mortality absolute-risk-reduction percent/unit conflict</t>
        </is>
      </c>
      <c r="C3" s="24" t="inlineStr">
        <is>
          <t>Supplement 1 — PDF p. 1, p. 14, p. 29; main article — PDF p. 4.</t>
        </is>
      </c>
      <c r="D3" s="21" t="inlineStr">
        <is>
          <t>retain</t>
        </is>
      </c>
      <c r="E3" s="21" t="inlineStr">
        <is>
          <t>plan_material</t>
        </is>
      </c>
      <c r="F3" s="21" t="inlineStr">
        <is>
          <t>primary_done</t>
        </is>
      </c>
      <c r="G3" s="24">
        <f>IFERROR(IF(LEN(TRIM(CLEAN(SUBSTITUTE(Setup!$B$2,CHAR(160)," "))))=0,"CHECK REVIEWER ID",IF(OR(A3="",COUNTIF($A$2:$A$8,A3)&lt;&gt;1,LEFT(A3,LEN("2018::jama.2018.0948::"))&lt;&gt;"2018::jama.2018.0948::"),"CHECK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Protocol power text: summary p.1 '0.9 deaths/1000', section 2.11 p.14 'Absolute Risk Reduction 0.09%', but Power appendix p.29 says the 18% RRR 'corresponds to an absolute risk reduction of 0.9%'. 5.1/1000 x 0.178 = 0.91/1000 = 0.09%, so 0.9% is a tenfold unit typo. The article (p.4) correctly uses 0.9 per 1000. Minor.</t>
        </is>
      </c>
    </row>
    <row r="4" ht="92" customFormat="1" customHeight="1" s="14">
      <c r="A4" s="20" t="inlineStr">
        <is>
          <t>2018::jama.2018.0948::C003</t>
        </is>
      </c>
      <c r="B4" s="20" t="inlineStr">
        <is>
          <t>Cardiac-arrest events assigned incompatible resuscitation-scale categories</t>
        </is>
      </c>
      <c r="C4" s="20" t="inlineStr">
        <is>
          <t>Supplement 1 — PDF p. 11, Table 5 — PDF p. 24, Table 6 legend — PDF p. 27.</t>
        </is>
      </c>
      <c r="D4" s="21" t="inlineStr">
        <is>
          <t>retain</t>
        </is>
      </c>
      <c r="E4" s="21" t="inlineStr">
        <is>
          <t>plan_material</t>
        </is>
      </c>
      <c r="F4" s="21" t="inlineStr">
        <is>
          <t>primary_done</t>
        </is>
      </c>
      <c r="G4" s="20">
        <f>IFERROR(IF(LEN(TRIM(CLEAN(SUBSTITUTE(Setup!$B$2,CHAR(160)," "))))=0,"CHECK REVIEWER ID",IF(OR(A4="",COUNTIF($A$2:$A$8,A4)&lt;&gt;1,LEFT(A4,LEN("2018::jama.2018.0948::"))&lt;&gt;"2018::jama.2018.0948::"),"CHECK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Protocol p.11 defines cardiac arrests for preventability review as ratings 6 or 7 on the seven-point Children's Resuscitation Intensity Scale (Table 5: [6] CPR, [7] death). The Table 6 legend (p.27) says events 'that include a cardiac arrest (scale rating 4 or 5)'. Ratings 4-5 on Table 5 are circulatory/late transfer, not arrest. Likely a stale legend; intent clear from wording.</t>
        </is>
      </c>
    </row>
    <row r="5" ht="92" customFormat="1" customHeight="1" s="14">
      <c r="A5" s="24" t="inlineStr">
        <is>
          <t>2018::jama.2018.0948::C004</t>
        </is>
      </c>
      <c r="B5" s="24" t="inlineStr">
        <is>
          <t>Preventability threshold excludes and includes rating 4</t>
        </is>
      </c>
      <c r="C5" s="24" t="inlineStr">
        <is>
          <t>Supplement 1 — PDF p. 11, Table 7 — PDF p. 28; Supplement 3 eTable 1 — PDF p. 6; main article — PDF p. 7.</t>
        </is>
      </c>
      <c r="D5" s="21" t="inlineStr">
        <is>
          <t>retain</t>
        </is>
      </c>
      <c r="E5" s="21" t="inlineStr">
        <is>
          <t>plan_material</t>
        </is>
      </c>
      <c r="F5" s="21" t="inlineStr">
        <is>
          <t>primary_done</t>
        </is>
      </c>
      <c r="G5" s="24">
        <f>IFERROR(IF(LEN(TRIM(CLEAN(SUBSTITUTE(Setup!$B$2,CHAR(160)," "))))=0,"CHECK REVIEWER ID",IF(OR(A5="",COUNTIF($A$2:$A$8,A5)&lt;&gt;1,LEFT(A5,LEN("2018::jama.2018.0948::"))&lt;&gt;"2018::jama.2018.0948::"),"CHECK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Protocol p.11: 'consensus rating of at &gt;4 will be regarded as potentially preventable', then immediately lists ratings 4, 5 and 6 as preventable; Table 7 legend (p.28) says 'a rating of 4 or more'. Supplement 3 also uses 4-6. The '&gt;4' is a typo within one paragraph whose next sentence states the intended inclusive rule. Minor.</t>
        </is>
      </c>
    </row>
    <row r="6" ht="92" customFormat="1" customHeight="1" s="14">
      <c r="A6" s="20" t="inlineStr">
        <is>
          <t>2018::jama.2018.0948::C005</t>
        </is>
      </c>
      <c r="B6" s="20" t="inlineStr">
        <is>
          <t>The same SCDE reference count is labelled annual and two-year</t>
        </is>
      </c>
      <c r="C6" s="20" t="inlineStr">
        <is>
          <t>Supplement 1 — PDF p. 14 and PDF p. 30.</t>
        </is>
      </c>
      <c r="D6" s="21" t="inlineStr">
        <is>
          <t>retain</t>
        </is>
      </c>
      <c r="E6" s="21" t="inlineStr">
        <is>
          <t>plan_material</t>
        </is>
      </c>
      <c r="F6" s="21" t="inlineStr">
        <is>
          <t>primary_done</t>
        </is>
      </c>
      <c r="G6" s="20">
        <f>IFERROR(IF(LEN(TRIM(CLEAN(SUBSTITUTE(Setup!$B$2,CHAR(160)," "))))=0,"CHECK REVIEWER ID",IF(OR(A6="",COUNTIF($A$2:$A$8,A6)&lt;&gt;1,LEFT(A6,LEN("2018::jama.2018.0948::"))&lt;&gt;"2018::jama.2018.0948::"),"CHECK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Protocol p.14: '1052 Urgent ICU admissions/ year' from 4 Ontario hospitals; appendix p.30: the same 1052 urgent PICU admissions occurred over two years after 31 Jan 2007. The SCDE assumption (2 per 1000 patient-days) reproduces only with the 2-year reading: 1052 x 0.40 / (55963 x 4) x 1000 = 1.88. So '/year' is a label error that did not propagate into the planning rate.</t>
        </is>
      </c>
    </row>
    <row r="7" ht="92" customFormat="1" customHeight="1" s="14">
      <c r="A7" s="24" t="inlineStr">
        <is>
          <t>2018::jama.2018.0948::C006</t>
        </is>
      </c>
      <c r="B7" s="24" t="inlineStr">
        <is>
          <t>Stat-call absolute reduction does not reproduce from the printed inputs</t>
        </is>
      </c>
      <c r="C7" s="24" t="inlineStr">
        <is>
          <t>Supplement 1 — PDF p. 30.</t>
        </is>
      </c>
      <c r="D7" s="21" t="inlineStr">
        <is>
          <t>retain</t>
        </is>
      </c>
      <c r="E7" s="21" t="inlineStr">
        <is>
          <t>plan_material</t>
        </is>
      </c>
      <c r="F7" s="21" t="inlineStr">
        <is>
          <t>primary_done</t>
        </is>
      </c>
      <c r="G7" s="24">
        <f>IFERROR(IF(LEN(TRIM(CLEAN(SUBSTITUTE(Setup!$B$2,CHAR(160)," "))))=0,"CHECK REVIEWER ID",IF(OR(A7="",COUNTIF($A$2:$A$8,A7)&lt;&gt;1,LEFT(A7,LEN("2018::jama.2018.0948::"))&lt;&gt;"2018::jama.2018.0948::"),"CHECK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Protocol appendix p.30 (stat calls): baseline 8.13 per 1000 patient-days and maximum detectable RRR 0.181 'corresponds to an absolute risk reduction of 1.45'. 8.13 x 0.181 = 1.47; even the extreme rounding bounds (1.467 to 1.477) exclude 1.45. Small arithmetic slip in a planning paragraph for a process outcome; no effect on the trial design.</t>
        </is>
      </c>
    </row>
    <row r="8" ht="92" customFormat="1" customHeight="1" s="14">
      <c r="A8" s="20" t="inlineStr">
        <is>
          <t>2018::jama.2018.0948::C007</t>
        </is>
      </c>
      <c r="B8" s="20" t="inlineStr">
        <is>
          <t>Urgent PICU admission rates do not match the printed counts and denominators at conventional rounding</t>
        </is>
      </c>
      <c r="C8" s="20" t="inlineStr">
        <is>
          <t>Supplement 1 — PDF p. 30.</t>
        </is>
      </c>
      <c r="D8" s="21" t="inlineStr">
        <is>
          <t>retain</t>
        </is>
      </c>
      <c r="E8" s="21" t="inlineStr">
        <is>
          <t>plan_material</t>
        </is>
      </c>
      <c r="F8" s="21" t="inlineStr">
        <is>
          <t>primary_done</t>
        </is>
      </c>
      <c r="G8" s="20">
        <f>IFERROR(IF(LEN(TRIM(CLEAN(SUBSTITUTE(Setup!$B$2,CHAR(160)," "))))=0,"CHECK REVIEWER ID",IF(OR(A8="",COUNTIF($A$2:$A$8,A8)&lt;&gt;1,LEFT(A8,LEN("2018::jama.2018.0948::"))&lt;&gt;"2018::jama.2018.0948::"),"CHECK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Protocol p.30 historical Ontario table: 1052 unplanned PICU admissions, 7300 PICU discharges, 55963 hospital discharges; printed rates 14.5% and 18 per 1000. Computed 1052/7300 = 14.4% and 1052/55963 x 1000 = 18.8 (rounds to 19). Neighboring rates reproduce (65/1052 = 6.2%; 65/55963 = 1.2/1000). Background planning data; minor.</t>
        </is>
      </c>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2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2018::jama.2018.14280::C001</t>
        </is>
      </c>
      <c r="B2" s="20" t="inlineStr">
        <is>
          <t>Reversed endpoint in the eTable 2 PEEP interquartile range</t>
        </is>
      </c>
      <c r="C2" s="20" t="inlineStr">
        <is>
          <t>DOC-004, Supplement 3, eTable 2, Other Mode of Ventilation, after titration on randomization day, intermediate arm, PEEP.</t>
        </is>
      </c>
      <c r="D2" s="21" t="inlineStr">
        <is>
          <t>retain</t>
        </is>
      </c>
      <c r="E2" s="21" t="inlineStr">
        <is>
          <t>statistical_results</t>
        </is>
      </c>
      <c r="F2" s="21" t="inlineStr">
        <is>
          <t>primary_done</t>
        </is>
      </c>
      <c r="G2" s="20">
        <f>IFERROR(IF(LEN(TRIM(CLEAN(SUBSTITUTE(Setup!$B$2,CHAR(160)," "))))=0,"CHECK REVIEWER ID",IF(OR(A2="",COUNTIF($A$2:$A$24,A2)&lt;&gt;1,LEFT(A2,LEN("2018::jama.2018.14280::"))&lt;&gt;"2018::jama.2018.14280::"),"CHECK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eTable 2, 'Other mode of ventilation', after titration on the day of randomization, intermediate arm (n = 28): PEEP '8 (5-1)' cm H2O under 'median (interquartile range)'. An upper quartile of 1 below a median of 8 is impossible; the true Q3 is not recoverable. Descriptive value in a small subgroup; minor.</t>
        </is>
      </c>
    </row>
    <row r="3" ht="92" customFormat="1" customHeight="1" s="14">
      <c r="A3" s="24" t="inlineStr">
        <is>
          <t>2018::jama.2018.14280::C002</t>
        </is>
      </c>
      <c r="B3" s="24" t="inlineStr">
        <is>
          <t>At-risk-for-ARDS percentages use undisclosed denominators</t>
        </is>
      </c>
      <c r="C3" s="24" t="inlineStr">
        <is>
          <t>DOC-001, Table 1, Patients at risk for ARDS, low and intermediate arms.</t>
        </is>
      </c>
      <c r="D3" s="21" t="inlineStr">
        <is>
          <t>retain</t>
        </is>
      </c>
      <c r="E3" s="21" t="inlineStr">
        <is>
          <t>statistical_results</t>
        </is>
      </c>
      <c r="F3" s="21" t="inlineStr">
        <is>
          <t>primary_done</t>
        </is>
      </c>
      <c r="G3" s="24">
        <f>IFERROR(IF(LEN(TRIM(CLEAN(SUBSTITUTE(Setup!$B$2,CHAR(160)," "))))=0,"CHECK REVIEWER ID",IF(OR(A3="",COUNTIF($A$2:$A$24,A3)&lt;&gt;1,LEFT(A3,LEN("2018::jama.2018.14280::"))&lt;&gt;"2018::jama.2018.14280::"),"CHECK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Table 1 'Patients at risk for ARDS': 292 (61.6) and 290 (60.3). Column headers are n = 477 and n = 484 with 'No. (%)'; 292/477 = 61.2% and 290/484 = 59.9%; the printed values reproduce with 474 and 481. Available-case denominators are not shown; arithmetic is otherwise consistent. Undisclosed missing data; minor.</t>
        </is>
      </c>
    </row>
    <row r="4" ht="92" customFormat="1" customHeight="1" s="14">
      <c r="A4" s="20" t="inlineStr">
        <is>
          <t>2018::jama.2018.14280::C003</t>
        </is>
      </c>
      <c r="B4" s="20" t="inlineStr">
        <is>
          <t>Septic-shock percentages use undisclosed denominators</t>
        </is>
      </c>
      <c r="C4" s="20" t="inlineStr">
        <is>
          <t>DOC-001, Table 1, Septic shock, low and intermediate arms.</t>
        </is>
      </c>
      <c r="D4" s="21" t="inlineStr">
        <is>
          <t>retain</t>
        </is>
      </c>
      <c r="E4" s="21" t="inlineStr">
        <is>
          <t>statistical_results</t>
        </is>
      </c>
      <c r="F4" s="21" t="inlineStr">
        <is>
          <t>primary_done</t>
        </is>
      </c>
      <c r="G4" s="20">
        <f>IFERROR(IF(LEN(TRIM(CLEAN(SUBSTITUTE(Setup!$B$2,CHAR(160)," "))))=0,"CHECK REVIEWER ID",IF(OR(A4="",COUNTIF($A$2:$A$24,A4)&lt;&gt;1,LEFT(A4,LEN("2018::jama.2018.14280::"))&lt;&gt;"2018::jama.2018.14280::"),"CHECK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1 'Septic shock': 82 (17.6) and 74 (15.5). Column headers are n = 477 and n = 484 with 'No. (%)'; 82/477 = 17.2% and 74/484 = 15.3%; the printed values imply denominators of about 465-467 and 476-478. Available-case denominators are not shown; arithmetic is otherwise consistent. Undisclosed missing data; minor.</t>
        </is>
      </c>
    </row>
    <row r="5" ht="92" customFormat="1" customHeight="1" s="14">
      <c r="A5" s="24" t="inlineStr">
        <is>
          <t>2018::jama.2018.14280::C004</t>
        </is>
      </c>
      <c r="B5" s="24" t="inlineStr">
        <is>
          <t>Tobacco-use categories use undisclosed denominators</t>
        </is>
      </c>
      <c r="C5" s="24" t="inlineStr">
        <is>
          <t>DOC-001, Table 1, Patient tobacco use, both arms.</t>
        </is>
      </c>
      <c r="D5" s="21" t="inlineStr">
        <is>
          <t>retain</t>
        </is>
      </c>
      <c r="E5" s="21" t="inlineStr">
        <is>
          <t>statistical_results</t>
        </is>
      </c>
      <c r="F5" s="21" t="inlineStr">
        <is>
          <t>primary_done</t>
        </is>
      </c>
      <c r="G5" s="24">
        <f>IFERROR(IF(LEN(TRIM(CLEAN(SUBSTITUTE(Setup!$B$2,CHAR(160)," "))))=0,"CHECK REVIEWER ID",IF(OR(A5="",COUNTIF($A$2:$A$24,A5)&lt;&gt;1,LEFT(A5,LEN("2018::jama.2018.14280::"))&lt;&gt;"2018::jama.2018.14280::"),"CHECK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'Patient tobacco use': 106+97+75+197 = 475 and 111+97+80+194 = 482 (including an 'Unknown' row). Column headers are n = 477 and n = 484 with 'No. (%)'; category counts sum to 475/482, not 477/484, and percentages use 475/482 (e.g., 106/475 = 22.3%). Available-case denominators are not shown; arithmetic is otherwise consistent. Undisclosed missing data; minor.</t>
        </is>
      </c>
    </row>
    <row r="6" ht="92" customFormat="1" customHeight="1" s="14">
      <c r="A6" s="20" t="inlineStr">
        <is>
          <t>2018::jama.2018.14280::C005</t>
        </is>
      </c>
      <c r="B6" s="20" t="inlineStr">
        <is>
          <t>Alcohol-use categories use undisclosed denominators</t>
        </is>
      </c>
      <c r="C6" s="20" t="inlineStr">
        <is>
          <t>DOC-001, Table 1, Patient alcohol use, both arms.</t>
        </is>
      </c>
      <c r="D6" s="21" t="inlineStr">
        <is>
          <t>retain</t>
        </is>
      </c>
      <c r="E6" s="21" t="inlineStr">
        <is>
          <t>statistical_results</t>
        </is>
      </c>
      <c r="F6" s="21" t="inlineStr">
        <is>
          <t>primary_done</t>
        </is>
      </c>
      <c r="G6" s="20">
        <f>IFERROR(IF(LEN(TRIM(CLEAN(SUBSTITUTE(Setup!$B$2,CHAR(160)," "))))=0,"CHECK REVIEWER ID",IF(OR(A6="",COUNTIF($A$2:$A$24,A6)&lt;&gt;1,LEFT(A6,LEN("2018::jama.2018.14280::"))&lt;&gt;"2018::jama.2018.14280::"),"CHECK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Table 1 'Patient alcohol use': 121+47+26+59+222 = 475 and 92+61+30+56+243 = 482 (including 'Unknown'). Column headers are n = 477 and n = 484 with 'No. (%)'; percentages use 475/482 (121/475 = 25.5%, 92/482 = 19.1%). Available-case denominators are not shown; arithmetic is otherwise consistent. Undisclosed missing data; minor.</t>
        </is>
      </c>
    </row>
    <row r="7" ht="92" customFormat="1" customHeight="1" s="14">
      <c r="A7" s="24" t="inlineStr">
        <is>
          <t>2018::jama.2018.14280::C006</t>
        </is>
      </c>
      <c r="B7" s="24" t="inlineStr">
        <is>
          <t>ICU-admission categories use undisclosed denominators</t>
        </is>
      </c>
      <c r="C7" s="24" t="inlineStr">
        <is>
          <t>DOC-001, Table 1, Reason for ICU admission, both arms.</t>
        </is>
      </c>
      <c r="D7" s="21" t="inlineStr">
        <is>
          <t>retain</t>
        </is>
      </c>
      <c r="E7" s="21" t="inlineStr">
        <is>
          <t>statistical_results</t>
        </is>
      </c>
      <c r="F7" s="21" t="inlineStr">
        <is>
          <t>primary_done</t>
        </is>
      </c>
      <c r="G7" s="24">
        <f>IFERROR(IF(LEN(TRIM(CLEAN(SUBSTITUTE(Setup!$B$2,CHAR(160)," "))))=0,"CHECK REVIEWER ID",IF(OR(A7="",COUNTIF($A$2:$A$24,A7)&lt;&gt;1,LEFT(A7,LEN("2018::jama.2018.14280::"))&lt;&gt;"2018::jama.2018.14280::"),"CHECK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1 'Reason for ICU admission': 82+393 = 475 and 79+403 = 482. Column headers are n = 477 and n = 484 with 'No. (%)'; percentages use 475/482 (82/475 = 17.3%, 79/482 = 16.4%). Available-case denominators are not shown; arithmetic is otherwise consistent. Undisclosed missing data; minor.</t>
        </is>
      </c>
    </row>
    <row r="8" ht="92" customFormat="1" customHeight="1" s="14">
      <c r="A8" s="20" t="inlineStr">
        <is>
          <t>2018::jama.2018.14280::C007</t>
        </is>
      </c>
      <c r="B8" s="20" t="inlineStr">
        <is>
          <t>Sedative-infusion percentages omit effective denominators</t>
        </is>
      </c>
      <c r="C8" s="20" t="inlineStr">
        <is>
          <t>DOC-004, Supplement 3, eTable 4, Sedative infusion.</t>
        </is>
      </c>
      <c r="D8" s="21" t="inlineStr">
        <is>
          <t>retain</t>
        </is>
      </c>
      <c r="E8" s="21" t="inlineStr">
        <is>
          <t>statistical_results</t>
        </is>
      </c>
      <c r="F8" s="21" t="inlineStr">
        <is>
          <t>primary_done</t>
        </is>
      </c>
      <c r="G8" s="20">
        <f>IFERROR(IF(LEN(TRIM(CLEAN(SUBSTITUTE(Setup!$B$2,CHAR(160)," "))))=0,"CHECK REVIEWER ID",IF(OR(A8="",COUNTIF($A$2:$A$24,A8)&lt;&gt;1,LEFT(A8,LEN("2018::jama.2018.14280::"))&lt;&gt;"2018::jama.2018.14280::"),"CHECK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eTable 4 'Sedative infusion': 320 (70.6) and 333 (72.1) under headers n = 477/484, while the note says 'number / total (%)' and other rows print totals (e.g., colloids 100/454, 107/464). 320/477 = 67.1%, 333/484 = 68.8%; only denominators 453 and 462 reproduce the printed values. Undisclosed available-case denominators; minor.</t>
        </is>
      </c>
    </row>
    <row r="9" ht="92" customFormat="1" customHeight="1" s="14">
      <c r="A9" s="24" t="inlineStr">
        <is>
          <t>2018::jama.2018.14280::C008</t>
        </is>
      </c>
      <c r="B9" s="24" t="inlineStr">
        <is>
          <t>Analgesic-infusion percentages omit effective denominators</t>
        </is>
      </c>
      <c r="C9" s="24" t="inlineStr">
        <is>
          <t>DOC-004, Supplement 3, eTable 4, Analgesic infusion.</t>
        </is>
      </c>
      <c r="D9" s="21" t="inlineStr">
        <is>
          <t>retain</t>
        </is>
      </c>
      <c r="E9" s="21" t="inlineStr">
        <is>
          <t>statistical_results</t>
        </is>
      </c>
      <c r="F9" s="21" t="inlineStr">
        <is>
          <t>primary_done</t>
        </is>
      </c>
      <c r="G9" s="24">
        <f>IFERROR(IF(LEN(TRIM(CLEAN(SUBSTITUTE(Setup!$B$2,CHAR(160)," "))))=0,"CHECK REVIEWER ID",IF(OR(A9="",COUNTIF($A$2:$A$24,A9)&lt;&gt;1,LEFT(A9,LEN("2018::jama.2018.14280::"))&lt;&gt;"2018::jama.2018.14280::"),"CHECK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eTable 4 'Analgesic infusion': 277 (61.1) and 273 (59.1) under headers n = 477/484, while the note says 'number / total (%)' and other rows print totals (e.g., colloids 100/454, 107/464). 277/477 = 58.1%, 273/484 = 56.4%; only 453 and 462 reproduce them. Undisclosed available-case denominators; minor.</t>
        </is>
      </c>
    </row>
    <row r="10" ht="92" customFormat="1" customHeight="1" s="14">
      <c r="A10" s="20" t="inlineStr">
        <is>
          <t>2018::jama.2018.14280::C009</t>
        </is>
      </c>
      <c r="B10" s="20" t="inlineStr">
        <is>
          <t>Neuromuscular-blockade percentages omit effective denominators</t>
        </is>
      </c>
      <c r="C10" s="20" t="inlineStr">
        <is>
          <t>DOC-004, Supplement 3, eTable 4, Neuromuscular blockade.</t>
        </is>
      </c>
      <c r="D10" s="21" t="inlineStr">
        <is>
          <t>retain</t>
        </is>
      </c>
      <c r="E10" s="21" t="inlineStr">
        <is>
          <t>statistical_results</t>
        </is>
      </c>
      <c r="F10" s="21" t="inlineStr">
        <is>
          <t>primary_done</t>
        </is>
      </c>
      <c r="G10" s="20">
        <f>IFERROR(IF(LEN(TRIM(CLEAN(SUBSTITUTE(Setup!$B$2,CHAR(160)," "))))=0,"CHECK REVIEWER ID",IF(OR(A10="",COUNTIF($A$2:$A$24,A10)&lt;&gt;1,LEFT(A10,LEN("2018::jama.2018.14280::"))&lt;&gt;"2018::jama.2018.14280::"),"CHECK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eTable 4 'Neuromuscular blockade': 53 (11.7) and 60 (13.0) under headers n = 477/484, while the note says 'number / total (%)' and other rows print totals (e.g., colloids 100/454, 107/464). 53/477 = 11.1%, 60/484 = 12.4%; denominators 452-454 and 460-463 reproduce them. Undisclosed available-case denominators; minor.</t>
        </is>
      </c>
    </row>
    <row r="11" ht="92" customFormat="1" customHeight="1" s="14">
      <c r="A11" s="24" t="inlineStr">
        <is>
          <t>2018::jama.2018.14280::C010</t>
        </is>
      </c>
      <c r="B11" s="24" t="inlineStr">
        <is>
          <t>Vasopressor-use percentages omit effective denominators</t>
        </is>
      </c>
      <c r="C11" s="24" t="inlineStr">
        <is>
          <t>DOC-004, Supplement 3, eTable 4, Use of vasopressors.</t>
        </is>
      </c>
      <c r="D11" s="21" t="inlineStr">
        <is>
          <t>retain</t>
        </is>
      </c>
      <c r="E11" s="21" t="inlineStr">
        <is>
          <t>statistical_results</t>
        </is>
      </c>
      <c r="F11" s="21" t="inlineStr">
        <is>
          <t>primary_done</t>
        </is>
      </c>
      <c r="G11" s="24">
        <f>IFERROR(IF(LEN(TRIM(CLEAN(SUBSTITUTE(Setup!$B$2,CHAR(160)," "))))=0,"CHECK REVIEWER ID",IF(OR(A11="",COUNTIF($A$2:$A$24,A11)&lt;&gt;1,LEFT(A11,LEN("2018::jama.2018.14280::"))&lt;&gt;"2018::jama.2018.14280::"),"CHECK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eTable 4 'Use of vasopressors': 363 (80.0) and 353 (76.4) under headers n = 477/484, while the note says 'number / total (%)' and other rows print totals (e.g., colloids 100/454, 107/464). 363/477 = 76.1%, 353/484 = 72.9%; only 454 and 462 reproduce them. Undisclosed available-case denominators; minor.</t>
        </is>
      </c>
    </row>
    <row r="12" ht="92" customFormat="1" customHeight="1" s="14">
      <c r="A12" s="20" t="inlineStr">
        <is>
          <t>2018::jama.2018.14280::C011</t>
        </is>
      </c>
      <c r="B12" s="20" t="inlineStr">
        <is>
          <t>Mortality effect-measure wording conflicts with Table 2 and the SAP</t>
        </is>
      </c>
      <c r="C12" s="20" t="inlineStr">
        <is>
          <t>DOC-001 Statistical Analysis and Table 2/footnotes; DOC-003 SAP secondary outcomes.</t>
        </is>
      </c>
      <c r="D12" s="21" t="inlineStr">
        <is>
          <t>retain</t>
        </is>
      </c>
      <c r="E12" s="21" t="inlineStr">
        <is>
          <t>report_internal_inconsistency</t>
        </is>
      </c>
      <c r="F12" s="21" t="inlineStr">
        <is>
          <t>primary_done</t>
        </is>
      </c>
      <c r="G12" s="20">
        <f>IFERROR(IF(LEN(TRIM(CLEAN(SUBSTITUTE(Setup!$B$2,CHAR(160)," "))))=0,"CHECK REVIEWER ID",IF(OR(A12="",COUNTIF($A$2:$A$24,A12)&lt;&gt;1,LEFT(A12,LEN("2018::jama.2018.14280::"))&lt;&gt;"2018::jama.2018.14280::"),"CHECK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t="inlineStr">
        <is>
          <t>Methods p.4: 'ICU and hospital length of stay and mortality rates were compared using Kaplan-Meier survival curves and reported as hazard ratios ... Cox'. Table 2 reports ICU/hospital mortality as RRs (note c), only 28/90-day mortality as HRs, and LOS as mean differences (note a); the SAP matches the table. Overbroad Methods sentence; minor.</t>
        </is>
      </c>
    </row>
    <row r="13" ht="92" customFormat="1" customHeight="1" s="14">
      <c r="A13" s="24" t="inlineStr">
        <is>
          <t>2018::jama.2018.14280::C012</t>
        </is>
      </c>
      <c r="B13" s="24" t="inlineStr">
        <is>
          <t>ICU-mortality RR does not reproduce from printed risks</t>
        </is>
      </c>
      <c r="C13" s="24" t="inlineStr">
        <is>
          <t>DOC-001, Table 2, ICU mortality and footnote c.</t>
        </is>
      </c>
      <c r="D13" s="21" t="inlineStr">
        <is>
          <t>retain</t>
        </is>
      </c>
      <c r="E13" s="21" t="inlineStr">
        <is>
          <t>statistical_results</t>
        </is>
      </c>
      <c r="F13" s="21" t="inlineStr">
        <is>
          <t>primary_done</t>
        </is>
      </c>
      <c r="G13" s="24">
        <f>IFERROR(IF(LEN(TRIM(CLEAN(SUBSTITUTE(Setup!$B$2,CHAR(160)," "))))=0,"CHECK REVIEWER ID",IF(OR(A13="",COUNTIF($A$2:$A$24,A13)&lt;&gt;1,LEFT(A13,LEN("2018::jama.2018.14280::"))&lt;&gt;"2018::jama.2018.14280::"),"CHECK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substantive</t>
        </is>
      </c>
      <c r="J13" s="22" t="inlineStr">
        <is>
          <t>direct</t>
        </is>
      </c>
      <c r="K13" s="21">
        <f>IF(AND(OR(D13="retain",D13=""),OR(E13="report_internal_inconsistency",E13="plan_material")),"","not_applicable")</f>
        <v/>
      </c>
      <c r="L13" s="22">
        <f>IF(AND(OR(D13="retain",D13=""),E13="protocol_report"),"","not_applicable")</f>
        <v/>
      </c>
      <c r="M13" s="24" t="n"/>
      <c r="N13" s="23" t="n"/>
      <c r="O13" s="23" t="n"/>
      <c r="P13" s="23" t="n"/>
      <c r="Q13" s="23" t="n"/>
      <c r="R13" s="22" t="inlineStr">
        <is>
          <t>Table 2 ICU mortality: 132/450 vs 115/458; printed RR 1.11 (0.96-1.27), P = 0.15. Crude RR = 1.17 (Wald 0.94-1.45); chi-square P = 0.15 matches the printed P. Across all 10 RR rows the printed RRs differ from the crude ratios and the CIs are about half the valid width, though note c and Methods describe no adjustment. RR and CI not reproducible.</t>
        </is>
      </c>
    </row>
    <row r="14" ht="92" customFormat="1" customHeight="1" s="14">
      <c r="A14" s="20" t="inlineStr">
        <is>
          <t>2018::jama.2018.14280::C013</t>
        </is>
      </c>
      <c r="B14" s="20" t="inlineStr">
        <is>
          <t>Hospital-mortality RR does not reproduce from printed risks</t>
        </is>
      </c>
      <c r="C14" s="20" t="inlineStr">
        <is>
          <t>DOC-001, Table 2, hospital mortality and footnote c.</t>
        </is>
      </c>
      <c r="D14" s="21" t="inlineStr">
        <is>
          <t>retain</t>
        </is>
      </c>
      <c r="E14" s="21" t="inlineStr">
        <is>
          <t>statistical_results</t>
        </is>
      </c>
      <c r="F14" s="21" t="inlineStr">
        <is>
          <t>primary_done</t>
        </is>
      </c>
      <c r="G14" s="20">
        <f>IFERROR(IF(LEN(TRIM(CLEAN(SUBSTITUTE(Setup!$B$2,CHAR(160)," "))))=0,"CHECK REVIEWER ID",IF(OR(A14="",COUNTIF($A$2:$A$24,A14)&lt;&gt;1,LEFT(A14,LEN("2018::jama.2018.14280::"))&lt;&gt;"2018::jama.2018.14280::"),"CHECK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t="inlineStr">
        <is>
          <t>Table 2 Hospital mortality: 151/477 vs 140/484; printed RR 1.06 (0.93-1.22), P = 0.35. Crude RR = 1.09 (Wald 0.90-1.33); chi-square P = 0.36 matches the printed P. Across all 10 RR rows the printed RRs differ from the crude ratios and the CIs are about half the valid width, though note c and Methods describe no adjustment. RR and CI not reproducible.</t>
        </is>
      </c>
    </row>
    <row r="15" ht="92" customFormat="1" customHeight="1" s="14">
      <c r="A15" s="24" t="inlineStr">
        <is>
          <t>2018::jama.2018.14280::C014</t>
        </is>
      </c>
      <c r="B15" s="24" t="inlineStr">
        <is>
          <t>ARDS RR does not reproduce from printed risks</t>
        </is>
      </c>
      <c r="C15" s="24" t="inlineStr">
        <is>
          <t>DOC-001, Table 2, Development of ARDS and footnote c.</t>
        </is>
      </c>
      <c r="D15" s="21" t="inlineStr">
        <is>
          <t>retain</t>
        </is>
      </c>
      <c r="E15" s="21" t="inlineStr">
        <is>
          <t>statistical_results</t>
        </is>
      </c>
      <c r="F15" s="21" t="inlineStr">
        <is>
          <t>primary_done</t>
        </is>
      </c>
      <c r="G15" s="24">
        <f>IFERROR(IF(LEN(TRIM(CLEAN(SUBSTITUTE(Setup!$B$2,CHAR(160)," "))))=0,"CHECK REVIEWER ID",IF(OR(A15="",COUNTIF($A$2:$A$24,A15)&lt;&gt;1,LEFT(A15,LEN("2018::jama.2018.14280::"))&lt;&gt;"2018::jama.2018.14280::"),"CHECK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substantive</t>
        </is>
      </c>
      <c r="J15" s="22" t="inlineStr">
        <is>
          <t>direct</t>
        </is>
      </c>
      <c r="K15" s="21">
        <f>IF(AND(OR(D15="retain",D15=""),OR(E15="report_internal_inconsistency",E15="plan_material")),"","not_applicable")</f>
        <v/>
      </c>
      <c r="L15" s="22">
        <f>IF(AND(OR(D15="retain",D15=""),E15="protocol_report"),"","not_applicable")</f>
        <v/>
      </c>
      <c r="M15" s="24" t="n"/>
      <c r="N15" s="23" t="n"/>
      <c r="O15" s="23" t="n"/>
      <c r="P15" s="23" t="n"/>
      <c r="Q15" s="23" t="n"/>
      <c r="R15" s="22" t="inlineStr">
        <is>
          <t>Table 2 Development of ARDS: 17/448 vs 23/462; printed RR 0.86 (0.59-1.24), P = 0.38. Crude RR = 0.76 (Wald 0.41-1.41); chi-square P = 0.38 matches the printed P. Across all 10 RR rows the printed RRs differ from the crude ratios and the CIs are about half the valid width, though note c and Methods describe no adjustment. RR and CI not reproducible.</t>
        </is>
      </c>
    </row>
    <row r="16" ht="92" customFormat="1" customHeight="1" s="14">
      <c r="A16" s="20" t="inlineStr">
        <is>
          <t>2018::jama.2018.14280::C015</t>
        </is>
      </c>
      <c r="B16" s="20" t="inlineStr">
        <is>
          <t>Pneumonia RR does not reproduce from printed risks</t>
        </is>
      </c>
      <c r="C16" s="20" t="inlineStr">
        <is>
          <t>DOC-001, Table 2, Development of pneumonia and footnote c.</t>
        </is>
      </c>
      <c r="D16" s="21" t="inlineStr">
        <is>
          <t>retain</t>
        </is>
      </c>
      <c r="E16" s="21" t="inlineStr">
        <is>
          <t>statistical_results</t>
        </is>
      </c>
      <c r="F16" s="21" t="inlineStr">
        <is>
          <t>primary_done</t>
        </is>
      </c>
      <c r="G16" s="20">
        <f>IFERROR(IF(LEN(TRIM(CLEAN(SUBSTITUTE(Setup!$B$2,CHAR(160)," "))))=0,"CHECK REVIEWER ID",IF(OR(A16="",COUNTIF($A$2:$A$24,A16)&lt;&gt;1,LEFT(A16,LEN("2018::jama.2018.14280::"))&lt;&gt;"2018::jama.2018.14280::"),"CHECK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substantive</t>
        </is>
      </c>
      <c r="J16" s="22" t="inlineStr">
        <is>
          <t>direct</t>
        </is>
      </c>
      <c r="K16" s="21">
        <f>IF(AND(OR(D16="retain",D16=""),OR(E16="report_internal_inconsistency",E16="plan_material")),"","not_applicable")</f>
        <v/>
      </c>
      <c r="L16" s="22">
        <f>IF(AND(OR(D16="retain",D16=""),E16="protocol_report"),"","not_applicable")</f>
        <v/>
      </c>
      <c r="M16" s="20" t="n"/>
      <c r="N16" s="23" t="n"/>
      <c r="O16" s="23" t="n"/>
      <c r="P16" s="23" t="n"/>
      <c r="Q16" s="23" t="n"/>
      <c r="R16" s="22" t="inlineStr">
        <is>
          <t>Table 2 Development of pneumonia: 19/450 vs 17/462; printed RR 1.07 (0.78-1.47), P = 0.67. Crude RR = 1.15 (Wald 0.60-2.18); chi-square P = 0.67 matches the printed P. Across all 10 RR rows the printed RRs differ from the crude ratios and the CIs are about half the valid width, though note c and Methods describe no adjustment. RR and CI not reproducible.</t>
        </is>
      </c>
    </row>
    <row r="17" ht="92" customFormat="1" customHeight="1" s="14">
      <c r="A17" s="24" t="inlineStr">
        <is>
          <t>2018::jama.2018.14280::C016</t>
        </is>
      </c>
      <c r="B17" s="24" t="inlineStr">
        <is>
          <t>Pneumothorax RR does not reproduce from printed risks</t>
        </is>
      </c>
      <c r="C17" s="24" t="inlineStr">
        <is>
          <t>DOC-001, Table 2, Pneumothorax and footnote c.</t>
        </is>
      </c>
      <c r="D17" s="21" t="inlineStr">
        <is>
          <t>retain</t>
        </is>
      </c>
      <c r="E17" s="21" t="inlineStr">
        <is>
          <t>statistical_results</t>
        </is>
      </c>
      <c r="F17" s="21" t="inlineStr">
        <is>
          <t>primary_done</t>
        </is>
      </c>
      <c r="G17" s="24">
        <f>IFERROR(IF(LEN(TRIM(CLEAN(SUBSTITUTE(Setup!$B$2,CHAR(160)," "))))=0,"CHECK REVIEWER ID",IF(OR(A17="",COUNTIF($A$2:$A$24,A17)&lt;&gt;1,LEFT(A17,LEN("2018::jama.2018.14280::"))&lt;&gt;"2018::jama.2018.14280::"),"CHECK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t="inlineStr">
        <is>
          <t>direct</t>
        </is>
      </c>
      <c r="K17" s="21">
        <f>IF(AND(OR(D17="retain",D17=""),OR(E17="report_internal_inconsistency",E17="plan_material")),"","not_applicable")</f>
        <v/>
      </c>
      <c r="L17" s="22">
        <f>IF(AND(OR(D17="retain",D17=""),E17="protocol_report"),"","not_applicable")</f>
        <v/>
      </c>
      <c r="M17" s="24" t="n"/>
      <c r="N17" s="23" t="n"/>
      <c r="O17" s="23" t="n"/>
      <c r="P17" s="23" t="n"/>
      <c r="Q17" s="23" t="n"/>
      <c r="R17" s="22" t="inlineStr">
        <is>
          <t>Table 2 Pneumothorax: 8/448 vs 6/462; printed RR 1.16 (0.73-1.84), P = 0.55. Crude RR = 1.37 (Wald 0.48-3.93); chi-square P = 0.55 matches the printed P. Across all 10 RR rows the printed RRs differ from the crude ratios and the CIs are about half the valid width, though note c and Methods describe no adjustment. RR and CI not reproducible.</t>
        </is>
      </c>
    </row>
    <row r="18" ht="92" customFormat="1" customHeight="1" s="14">
      <c r="A18" s="20" t="inlineStr">
        <is>
          <t>2018::jama.2018.14280::C017</t>
        </is>
      </c>
      <c r="B18" s="20" t="inlineStr">
        <is>
          <t>Atelectasis RR does not reproduce from printed risks</t>
        </is>
      </c>
      <c r="C18" s="20" t="inlineStr">
        <is>
          <t>DOC-001, Table 2, Atelectasis and footnote c.</t>
        </is>
      </c>
      <c r="D18" s="21" t="inlineStr">
        <is>
          <t>retain</t>
        </is>
      </c>
      <c r="E18" s="21" t="inlineStr">
        <is>
          <t>statistical_results</t>
        </is>
      </c>
      <c r="F18" s="21" t="inlineStr">
        <is>
          <t>primary_done</t>
        </is>
      </c>
      <c r="G18" s="20">
        <f>IFERROR(IF(LEN(TRIM(CLEAN(SUBSTITUTE(Setup!$B$2,CHAR(160)," "))))=0,"CHECK REVIEWER ID",IF(OR(A18="",COUNTIF($A$2:$A$24,A18)&lt;&gt;1,LEFT(A18,LEN("2018::jama.2018.14280::"))&lt;&gt;"2018::jama.2018.14280::"),"CHECK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substantive</t>
        </is>
      </c>
      <c r="J18" s="22" t="inlineStr">
        <is>
          <t>direct</t>
        </is>
      </c>
      <c r="K18" s="21">
        <f>IF(AND(OR(D18="retain",D18=""),OR(E18="report_internal_inconsistency",E18="plan_material")),"","not_applicable")</f>
        <v/>
      </c>
      <c r="L18" s="22">
        <f>IF(AND(OR(D18="retain",D18=""),E18="protocol_report"),"","not_applicable")</f>
        <v/>
      </c>
      <c r="M18" s="20" t="n"/>
      <c r="N18" s="23" t="n"/>
      <c r="O18" s="23" t="n"/>
      <c r="P18" s="23" t="n"/>
      <c r="Q18" s="23" t="n"/>
      <c r="R18" s="22" t="inlineStr">
        <is>
          <t>Table 2 Atelectasis: 51/449 vs 52/464; printed RR 1.00 (0.81-1.23), P = 0.94. Crude RR = 1.01 (Wald 0.70-1.46); chi-square P = 0.94 matches the printed P. Across all 10 RR rows the printed RRs differ from the crude ratios and the CIs are about half the valid width, though note c and Methods describe no adjustment. RR and CI not reproducible.</t>
        </is>
      </c>
    </row>
    <row r="19" ht="92" customFormat="1" customHeight="1" s="14">
      <c r="A19" s="24" t="inlineStr">
        <is>
          <t>2018::jama.2018.14280::C018</t>
        </is>
      </c>
      <c r="B19" s="24" t="inlineStr">
        <is>
          <t>Extrapulmonary-infection RR does not reproduce from printed risks</t>
        </is>
      </c>
      <c r="C19" s="24" t="inlineStr">
        <is>
          <t>DOC-001, Table 2, Extrapulmonary infection and footnote c.</t>
        </is>
      </c>
      <c r="D19" s="21" t="inlineStr">
        <is>
          <t>retain</t>
        </is>
      </c>
      <c r="E19" s="21" t="inlineStr">
        <is>
          <t>statistical_results</t>
        </is>
      </c>
      <c r="F19" s="21" t="inlineStr">
        <is>
          <t>primary_done</t>
        </is>
      </c>
      <c r="G19" s="24">
        <f>IFERROR(IF(LEN(TRIM(CLEAN(SUBSTITUTE(Setup!$B$2,CHAR(160)," "))))=0,"CHECK REVIEWER ID",IF(OR(A19="",COUNTIF($A$2:$A$24,A19)&lt;&gt;1,LEFT(A19,LEN("2018::jama.2018.14280::"))&lt;&gt;"2018::jama.2018.14280::"),"CHECK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direct</t>
        </is>
      </c>
      <c r="K19" s="21">
        <f>IF(AND(OR(D19="retain",D19=""),OR(E19="report_internal_inconsistency",E19="plan_material")),"","not_applicable")</f>
        <v/>
      </c>
      <c r="L19" s="22">
        <f>IF(AND(OR(D19="retain",D19=""),E19="protocol_report"),"","not_applicable")</f>
        <v/>
      </c>
      <c r="M19" s="24" t="n"/>
      <c r="N19" s="23" t="n"/>
      <c r="O19" s="23" t="n"/>
      <c r="P19" s="23" t="n"/>
      <c r="Q19" s="23" t="n"/>
      <c r="R19" s="22" t="inlineStr">
        <is>
          <t>Table 2 Extrapulmonary infection: 20/448 vs 28/463; printed RR 0.84 (0.60-1.18), P = 0.28. Crude RR = 0.74 (Wald 0.42-1.29); chi-square P = 0.28 matches the printed P. Across all 10 RR rows the printed RRs differ from the crude ratios and the CIs are about half the valid width, though note c and Methods describe no adjustment. RR and CI not reproducible.</t>
        </is>
      </c>
    </row>
    <row r="20" ht="92" customFormat="1" customHeight="1" s="14">
      <c r="A20" s="20" t="inlineStr">
        <is>
          <t>2018::jama.2018.14280::C019</t>
        </is>
      </c>
      <c r="B20" s="20" t="inlineStr">
        <is>
          <t>Extrapulmonary-sepsis RR does not reproduce from printed risks</t>
        </is>
      </c>
      <c r="C20" s="20" t="inlineStr">
        <is>
          <t>DOC-001, Table 2, Extrapulmonary sepsis and footnote c.</t>
        </is>
      </c>
      <c r="D20" s="21" t="inlineStr">
        <is>
          <t>retain</t>
        </is>
      </c>
      <c r="E20" s="21" t="inlineStr">
        <is>
          <t>statistical_results</t>
        </is>
      </c>
      <c r="F20" s="21" t="inlineStr">
        <is>
          <t>primary_done</t>
        </is>
      </c>
      <c r="G20" s="20">
        <f>IFERROR(IF(LEN(TRIM(CLEAN(SUBSTITUTE(Setup!$B$2,CHAR(160)," "))))=0,"CHECK REVIEWER ID",IF(OR(A20="",COUNTIF($A$2:$A$24,A20)&lt;&gt;1,LEFT(A20,LEN("2018::jama.2018.14280::"))&lt;&gt;"2018::jama.2018.14280::"),"CHECK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substantive</t>
        </is>
      </c>
      <c r="J20" s="22" t="inlineStr">
        <is>
          <t>direct</t>
        </is>
      </c>
      <c r="K20" s="21">
        <f>IF(AND(OR(D20="retain",D20=""),OR(E20="report_internal_inconsistency",E20="plan_material")),"","not_applicable")</f>
        <v/>
      </c>
      <c r="L20" s="22">
        <f>IF(AND(OR(D20="retain",D20=""),E20="protocol_report"),"","not_applicable")</f>
        <v/>
      </c>
      <c r="M20" s="20" t="n"/>
      <c r="N20" s="23" t="n"/>
      <c r="O20" s="23" t="n"/>
      <c r="P20" s="23" t="n"/>
      <c r="Q20" s="23" t="n"/>
      <c r="R20" s="22" t="inlineStr">
        <is>
          <t>Table 2 Extrapulmonary sepsis: 12/448 vs 16/463; printed RR 0.87 (0.56-1.33), P = 0.50. Crude RR = 0.78 (Wald 0.37-1.62); chi-square P = 0.50 matches the printed P. Across all 10 RR rows the printed RRs differ from the crude ratios and the CIs are about half the valid width, though note c and Methods describe no adjustment. RR and CI not reproducible.</t>
        </is>
      </c>
    </row>
    <row r="21" ht="92" customFormat="1" customHeight="1" s="14">
      <c r="A21" s="24" t="inlineStr">
        <is>
          <t>2018::jama.2018.14280::C020</t>
        </is>
      </c>
      <c r="B21" s="24" t="inlineStr">
        <is>
          <t>Delirium RR does not reproduce from printed risks</t>
        </is>
      </c>
      <c r="C21" s="24" t="inlineStr">
        <is>
          <t>DOC-001, Table 2, Delirium and footnote c.</t>
        </is>
      </c>
      <c r="D21" s="21" t="inlineStr">
        <is>
          <t>retain</t>
        </is>
      </c>
      <c r="E21" s="21" t="inlineStr">
        <is>
          <t>statistical_results</t>
        </is>
      </c>
      <c r="F21" s="21" t="inlineStr">
        <is>
          <t>primary_done</t>
        </is>
      </c>
      <c r="G21" s="24">
        <f>IFERROR(IF(LEN(TRIM(CLEAN(SUBSTITUTE(Setup!$B$2,CHAR(160)," "))))=0,"CHECK REVIEWER ID",IF(OR(A21="",COUNTIF($A$2:$A$24,A21)&lt;&gt;1,LEFT(A21,LEN("2018::jama.2018.14280::"))&lt;&gt;"2018::jama.2018.14280::"),"CHECK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substantive</t>
        </is>
      </c>
      <c r="J21" s="22" t="inlineStr">
        <is>
          <t>direct</t>
        </is>
      </c>
      <c r="K21" s="21">
        <f>IF(AND(OR(D21="retain",D21=""),OR(E21="report_internal_inconsistency",E21="plan_material")),"","not_applicable")</f>
        <v/>
      </c>
      <c r="L21" s="22">
        <f>IF(AND(OR(D21="retain",D21=""),E21="protocol_report"),"","not_applicable")</f>
        <v/>
      </c>
      <c r="M21" s="24" t="n"/>
      <c r="N21" s="23" t="n"/>
      <c r="O21" s="23" t="n"/>
      <c r="P21" s="23" t="n"/>
      <c r="Q21" s="23" t="n"/>
      <c r="R21" s="22" t="inlineStr">
        <is>
          <t>Table 2 Delirium: 149/343 vs 132/361; printed RR 1.15 (0.99-1.34), P = 0.06. Crude RR = 1.19 (Wald 0.99-1.42); chi-square P = 0.06 matches the printed P. Across all 10 RR rows the printed RRs differ from the crude ratios and the CIs are about half the valid width, though note c and Methods describe no adjustment. RR and CI not reproducible.</t>
        </is>
      </c>
    </row>
    <row r="22" ht="92" customFormat="1" customHeight="1" s="14">
      <c r="A22" s="20" t="inlineStr">
        <is>
          <t>2018::jama.2018.14280::C021</t>
        </is>
      </c>
      <c r="B22" s="20" t="inlineStr">
        <is>
          <t>Tracheostomy RR does not reproduce from printed risks</t>
        </is>
      </c>
      <c r="C22" s="20" t="inlineStr">
        <is>
          <t>DOC-001, Table 2, Need for tracheostomy and footnote c.</t>
        </is>
      </c>
      <c r="D22" s="21" t="inlineStr">
        <is>
          <t>retain</t>
        </is>
      </c>
      <c r="E22" s="21" t="inlineStr">
        <is>
          <t>statistical_results</t>
        </is>
      </c>
      <c r="F22" s="21" t="inlineStr">
        <is>
          <t>primary_done</t>
        </is>
      </c>
      <c r="G22" s="20">
        <f>IFERROR(IF(LEN(TRIM(CLEAN(SUBSTITUTE(Setup!$B$2,CHAR(160)," "))))=0,"CHECK REVIEWER ID",IF(OR(A22="",COUNTIF($A$2:$A$24,A22)&lt;&gt;1,LEFT(A22,LEN("2018::jama.2018.14280::"))&lt;&gt;"2018::jama.2018.14280::"),"CHECK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substantive</t>
        </is>
      </c>
      <c r="J22" s="22" t="inlineStr">
        <is>
          <t>direct</t>
        </is>
      </c>
      <c r="K22" s="21">
        <f>IF(AND(OR(D22="retain",D22=""),OR(E22="report_internal_inconsistency",E22="plan_material")),"","not_applicable")</f>
        <v/>
      </c>
      <c r="L22" s="22">
        <f>IF(AND(OR(D22="retain",D22=""),E22="protocol_report"),"","not_applicable")</f>
        <v/>
      </c>
      <c r="M22" s="20" t="n"/>
      <c r="N22" s="23" t="n"/>
      <c r="O22" s="23" t="n"/>
      <c r="P22" s="23" t="n"/>
      <c r="Q22" s="23" t="n"/>
      <c r="R22" s="22" t="inlineStr">
        <is>
          <t>Table 2 Need for tracheostomy: 54/477 vs 52/484; printed RR 1.03 (0.84-1.26), P = 0.78. Crude RR = 1.05 (Wald 0.74-1.51); chi-square P = 0.78 matches the printed P. Across all 10 RR rows the printed RRs differ from the crude ratios and the CIs are about half the valid width, though note c and Methods describe no adjustment. RR and CI not reproducible.</t>
        </is>
      </c>
    </row>
    <row r="23" ht="92" customFormat="1" customHeight="1" s="14">
      <c r="A23" s="24" t="inlineStr">
        <is>
          <t>2018::jama.2018.14280::C022</t>
        </is>
      </c>
      <c r="B23" s="24" t="inlineStr">
        <is>
          <t>The same subgroup intervals are labelled IQR and 95% CI</t>
        </is>
      </c>
      <c r="C23" s="24" t="inlineStr">
        <is>
          <t>DOC-001, Subgroups and Exploratory Analyses; DOC-004, Supplement 3 eTable 5.</t>
        </is>
      </c>
      <c r="D23" s="21" t="inlineStr">
        <is>
          <t>retain</t>
        </is>
      </c>
      <c r="E23" s="21" t="inlineStr">
        <is>
          <t>report_internal_inconsistency</t>
        </is>
      </c>
      <c r="F23" s="21" t="inlineStr">
        <is>
          <t>primary_done</t>
        </is>
      </c>
      <c r="G23" s="24">
        <f>IFERROR(IF(LEN(TRIM(CLEAN(SUBSTITUTE(Setup!$B$2,CHAR(160)," "))))=0,"CHECK REVIEWER ID",IF(OR(A23="",COUNTIF($A$2:$A$24,A23)&lt;&gt;1,LEFT(A23,LEN("2018::jama.2018.14280::"))&lt;&gt;"2018::jama.2018.14280::"),"CHECK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f>IF(AND(OR(D23="retain",D23=""),E23="statistical_results"),"","not_applicable")</f>
        <v/>
      </c>
      <c r="I23" s="21">
        <f>IF(AND(OR(D23="retain",D23=""),E23="statistical_results"),"","not_applicable")</f>
        <v/>
      </c>
      <c r="J23" s="22">
        <f>IF(AND(OR(D23="retain",D23=""),E23="statistical_results"),"","not_applicable")</f>
        <v/>
      </c>
      <c r="K23" s="21" t="inlineStr">
        <is>
          <t>minor_presentation</t>
        </is>
      </c>
      <c r="L23" s="22">
        <f>IF(AND(OR(D23="retain",D23=""),E23="protocol_report"),"","not_applicable")</f>
        <v/>
      </c>
      <c r="M23" s="24" t="n"/>
      <c r="N23" s="23" t="n"/>
      <c r="O23" s="23" t="n"/>
      <c r="P23" s="23" t="n"/>
      <c r="Q23" s="23" t="n"/>
      <c r="R23" s="22" t="inlineStr">
        <is>
          <t>Results p.6 (subgroups): inside-ICU mean difference -2.50 '[IQR, -4.63 to -0.36]' and outside-ICU 1.45 '[IQR, -0.52 to 3.43]'. eTable 5 gives the same values as 'Mean Difference (95% CI)'. An IQR is not a meaningful interval for a mean difference; the text label is wrong and the intended 95% CIs are clear from the supplement. Minor.</t>
        </is>
      </c>
    </row>
    <row r="24" ht="92" customFormat="1" customHeight="1" s="14">
      <c r="A24" s="20" t="inlineStr">
        <is>
          <t>2018::jama.2018.14280::C023</t>
        </is>
      </c>
      <c r="B24" s="20" t="inlineStr">
        <is>
          <t>Enrollment completion dates differ by two days</t>
        </is>
      </c>
      <c r="C24" s="20" t="inlineStr">
        <is>
          <t>DOC-001 abstract and Results/Patients; DOC-003 SAP abstract and introduction.</t>
        </is>
      </c>
      <c r="D24" s="21" t="inlineStr">
        <is>
          <t>retain</t>
        </is>
      </c>
      <c r="E24" s="21" t="inlineStr">
        <is>
          <t>protocol_report</t>
        </is>
      </c>
      <c r="F24" s="21" t="inlineStr">
        <is>
          <t>primary_done</t>
        </is>
      </c>
      <c r="G24" s="20">
        <f>IFERROR(IF(LEN(TRIM(CLEAN(SUBSTITUTE(Setup!$B$2,CHAR(160)," "))))=0,"CHECK REVIEWER ID",IF(OR(A24="",COUNTIF($A$2:$A$24,A24)&lt;&gt;1,LEFT(A24,LEN("2018::jama.2018.14280::"))&lt;&gt;"2018::jama.2018.14280::"),"CHECK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f>IF(AND(OR(D24="retain",D24=""),E24="statistical_results"),"","not_applicable")</f>
        <v/>
      </c>
      <c r="I24" s="21">
        <f>IF(AND(OR(D24="retain",D24=""),E24="statistical_results"),"","not_applicable")</f>
        <v/>
      </c>
      <c r="J24" s="22">
        <f>IF(AND(OR(D24="retain",D24=""),E24="statistical_results"),"","not_applicable")</f>
        <v/>
      </c>
      <c r="K24" s="21">
        <f>IF(AND(OR(D24="retain",D24=""),OR(E24="report_internal_inconsistency",E24="plan_material")),"","not_applicable")</f>
        <v/>
      </c>
      <c r="L24" s="22" t="inlineStr">
        <is>
          <t>minor_presentation</t>
        </is>
      </c>
      <c r="M24" s="20" t="n"/>
      <c r="N24" s="23" t="n"/>
      <c r="O24" s="23" t="n"/>
      <c r="P24" s="23" t="n"/>
      <c r="Q24" s="23" t="n"/>
      <c r="R24" s="22" t="inlineStr">
        <is>
          <t>Article (abstract and Results) gives enrollment through August 20, 2017; the SAP/study update (supplement 2, abstract and introduction) says enrollment was complete on August 22, 2017. Two-day discrepancy in a factual trial date; may reflect last randomization vs administrative closure. No bearing on analysis.</t>
        </is>
      </c>
    </row>
  </sheetData>
  <autoFilter ref="A1:R24"/>
  <conditionalFormatting sqref="H2:H24">
    <cfRule type="expression" priority="8" dxfId="70">
      <formula>NOT(AND(OR($D2="retain",$D2=""),$E2="statistical_results"))</formula>
    </cfRule>
  </conditionalFormatting>
  <conditionalFormatting sqref="I2:I24">
    <cfRule type="expression" priority="9" dxfId="70">
      <formula>NOT(AND(OR($D2="retain",$D2=""),$E2="statistical_results"))</formula>
    </cfRule>
  </conditionalFormatting>
  <conditionalFormatting sqref="J2:J24">
    <cfRule type="expression" priority="10" dxfId="70">
      <formula>NOT(AND(OR($D2="retain",$D2=""),$E2="statistical_results"))</formula>
    </cfRule>
  </conditionalFormatting>
  <conditionalFormatting sqref="K2:K24">
    <cfRule type="expression" priority="11" dxfId="70">
      <formula>NOT(AND(OR($D2="retain",$D2=""),OR($E2="report_internal_inconsistency",$E2="plan_material")))</formula>
    </cfRule>
  </conditionalFormatting>
  <conditionalFormatting sqref="L2:L24">
    <cfRule type="expression" priority="12" dxfId="70">
      <formula>NOT(AND(OR($D2="retain",$D2=""),$E2="protocol_report"))</formula>
    </cfRule>
  </conditionalFormatting>
  <conditionalFormatting sqref="G2:G24">
    <cfRule type="expression" priority="13" dxfId="71">
      <formula>G2&lt;&gt;"PRIMARY READY"</formula>
    </cfRule>
  </conditionalFormatting>
  <dataValidations count="8">
    <dataValidation sqref="D2:D24" showDropDown="0" showInputMessage="0" showErrorMessage="1" allowBlank="1" errorTitle="Use a listed option" error="Choose an option; G also checks pasted entries." type="list" errorStyle="stop">
      <formula1>"retain,exclude,discuss"</formula1>
    </dataValidation>
    <dataValidation sqref="E2:E2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4" showDropDown="0" showInputMessage="0" showErrorMessage="1" allowBlank="1" errorTitle="Use a listed option" error="Choose an option; G also checks pasted entries." type="list" errorStyle="stop">
      <formula1>"no,primary_done"</formula1>
    </dataValidation>
    <dataValidation sqref="H2:H2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4" showDropDown="0" showInputMessage="0" showErrorMessage="1" allowBlank="1" errorTitle="Use a listed option" error="Choose an option; G also checks pasted entries." type="list" errorStyle="stop">
      <formula1>"direct,possible,unlikely,unknown,not_applicable"</formula1>
    </dataValidation>
    <dataValidation sqref="K2:K2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2018::jama.2018.14282::C001</t>
        </is>
      </c>
      <c r="B2" s="20" t="inlineStr">
        <is>
          <t>Standard-arm men percentage does not reconcile</t>
        </is>
      </c>
      <c r="C2" s="20" t="inlineStr">
        <is>
          <t>DOC-001 Table 1 — PDF p. 4</t>
        </is>
      </c>
      <c r="D2" s="21" t="inlineStr">
        <is>
          <t>retain</t>
        </is>
      </c>
      <c r="E2" s="21" t="inlineStr">
        <is>
          <t>statistical_results</t>
        </is>
      </c>
      <c r="F2" s="21" t="inlineStr">
        <is>
          <t>primary_done</t>
        </is>
      </c>
      <c r="G2" s="20">
        <f>IFERROR(IF(LEN(TRIM(CLEAN(SUBSTITUTE(Setup!$B$2,CHAR(160)," "))))=0,"CHECK REVIEWER ID",IF(OR(A2="",COUNTIF($A$2:$A$29,A2)&lt;&gt;1,LEFT(A2,LEN("2018::jama.2018.14282::"))&lt;&gt;"2018::jama.2018.14282::"),"CHECK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1, standard arm, men: 247 (63.6) with n = 388. 247/388 = 63.66%, which rounds to 63.7. The printed value matches truncation, but other cells in the same table use ordinary rounding (e.g., 270/388 = 69.59 shown as 69.6), so no single convention applies. Last-digit discrepancy; negligible.</t>
        </is>
      </c>
    </row>
    <row r="3" ht="92" customFormat="1" customHeight="1" s="14">
      <c r="A3" s="24" t="inlineStr">
        <is>
          <t>2018::jama.2018.14282::C002</t>
        </is>
      </c>
      <c r="B3" s="24" t="inlineStr">
        <is>
          <t>Standard-arm women percentage does not reconcile</t>
        </is>
      </c>
      <c r="C3" s="24" t="inlineStr">
        <is>
          <t>DOC-001 Table 1 — PDF p. 4</t>
        </is>
      </c>
      <c r="D3" s="21" t="inlineStr">
        <is>
          <t>retain</t>
        </is>
      </c>
      <c r="E3" s="21" t="inlineStr">
        <is>
          <t>statistical_results</t>
        </is>
      </c>
      <c r="F3" s="21" t="inlineStr">
        <is>
          <t>primary_done</t>
        </is>
      </c>
      <c r="G3" s="24">
        <f>IFERROR(IF(LEN(TRIM(CLEAN(SUBSTITUTE(Setup!$B$2,CHAR(160)," "))))=0,"CHECK REVIEWER ID",IF(OR(A3="",COUNTIF($A$2:$A$29,A3)&lt;&gt;1,LEFT(A3,LEN("2018::jama.2018.14282::"))&lt;&gt;"2018::jama.2018.14282::"),"CHECK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unlikely</t>
        </is>
      </c>
      <c r="K3" s="21">
        <f>IF(AND(OR(D3="retain",D3=""),OR(E3="report_internal_inconsistency",E3="plan_material")),"","not_applicable")</f>
        <v/>
      </c>
      <c r="L3" s="22">
        <f>IF(AND(OR(D3="retain",D3=""),E3="protocol_report"),"","not_applicable")</f>
        <v/>
      </c>
      <c r="M3" s="24" t="n"/>
      <c r="N3" s="23" t="n"/>
      <c r="O3" s="23" t="n"/>
      <c r="P3" s="23" t="n"/>
      <c r="Q3" s="23" t="n"/>
      <c r="R3" s="22" t="inlineStr">
        <is>
          <t>Table 1, standard arm, women: 141 (36.4) with n = 388. 141/388 = 36.34%, which rounds to 36.3. The printed value matches the complement of the paired category (100 - 63.6), but other cells in the same table use ordinary rounding (e.g., 270/388 = 69.59 shown as 69.6), so no single convention applies. Last-digit discrepancy; negligible.</t>
        </is>
      </c>
    </row>
    <row r="4" ht="92" customFormat="1" customHeight="1" s="14">
      <c r="A4" s="20" t="inlineStr">
        <is>
          <t>2018::jama.2018.14282::C003</t>
        </is>
      </c>
      <c r="B4" s="20" t="inlineStr">
        <is>
          <t>Standard-arm heart-failure percentage does not reconcile</t>
        </is>
      </c>
      <c r="C4" s="20" t="inlineStr">
        <is>
          <t>DOC-001 Table 1 — PDF p. 4</t>
        </is>
      </c>
      <c r="D4" s="21" t="inlineStr">
        <is>
          <t>retain</t>
        </is>
      </c>
      <c r="E4" s="21" t="inlineStr">
        <is>
          <t>statistical_results</t>
        </is>
      </c>
      <c r="F4" s="21" t="inlineStr">
        <is>
          <t>primary_done</t>
        </is>
      </c>
      <c r="G4" s="20">
        <f>IFERROR(IF(LEN(TRIM(CLEAN(SUBSTITUTE(Setup!$B$2,CHAR(160)," "))))=0,"CHECK REVIEWER ID",IF(OR(A4="",COUNTIF($A$2:$A$29,A4)&lt;&gt;1,LEFT(A4,LEN("2018::jama.2018.14282::"))&lt;&gt;"2018::jama.2018.14282::"),"CHECK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Table 1, standard arm, heart failure: 27 (6.9) with n = 388. 27/388 = 6.96%, which rounds to 7.0. The printed value matches truncation, but other cells in the same table use ordinary rounding (e.g., 270/388 = 69.59 shown as 69.6), so no single convention applies. Last-digit discrepancy; negligible.</t>
        </is>
      </c>
    </row>
    <row r="5" ht="92" customFormat="1" customHeight="1" s="14">
      <c r="A5" s="24" t="inlineStr">
        <is>
          <t>2018::jama.2018.14282::C004</t>
        </is>
      </c>
      <c r="B5" s="24" t="inlineStr">
        <is>
          <t>High-flow liver-disease percentage conflicts with displayed count</t>
        </is>
      </c>
      <c r="C5" s="24" t="inlineStr">
        <is>
          <t>DOC-001 Table 1 — PDF p. 4</t>
        </is>
      </c>
      <c r="D5" s="21" t="inlineStr">
        <is>
          <t>retain</t>
        </is>
      </c>
      <c r="E5" s="21" t="inlineStr">
        <is>
          <t>statistical_results</t>
        </is>
      </c>
      <c r="F5" s="21" t="inlineStr">
        <is>
          <t>primary_done</t>
        </is>
      </c>
      <c r="G5" s="24">
        <f>IFERROR(IF(LEN(TRIM(CLEAN(SUBSTITUTE(Setup!$B$2,CHAR(160)," "))))=0,"CHECK REVIEWER ID",IF(OR(A5="",COUNTIF($A$2:$A$29,A5)&lt;&gt;1,LEFT(A5,LEN("2018::jama.2018.14282::"))&lt;&gt;"2018::jama.2018.14282::"),"CHECK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Table 1 high-flow arm, liver comorbidity: 45 (13.3). 45/388 = 11.6%; 13.3% would need about 52 patients (or a denominator of about 338). The value is wrong by 1.7 points and which of count or percentage is correct cannot be determined. Balance interpretation (vs 56 [14.4%] in the standard arm) is little affected. Minor.</t>
        </is>
      </c>
    </row>
    <row r="6" ht="92" customFormat="1" customHeight="1" s="14">
      <c r="A6" s="20" t="inlineStr">
        <is>
          <t>2018::jama.2018.14282::C005</t>
        </is>
      </c>
      <c r="B6" s="20" t="inlineStr">
        <is>
          <t>Standard-arm kidney-disease percentage conflicts with displayed count</t>
        </is>
      </c>
      <c r="C6" s="20" t="inlineStr">
        <is>
          <t>DOC-001 Table 1 — PDF p. 4</t>
        </is>
      </c>
      <c r="D6" s="21" t="inlineStr">
        <is>
          <t>retain</t>
        </is>
      </c>
      <c r="E6" s="21" t="inlineStr">
        <is>
          <t>statistical_results</t>
        </is>
      </c>
      <c r="F6" s="21" t="inlineStr">
        <is>
          <t>primary_done</t>
        </is>
      </c>
      <c r="G6" s="20">
        <f>IFERROR(IF(LEN(TRIM(CLEAN(SUBSTITUTE(Setup!$B$2,CHAR(160)," "))))=0,"CHECK REVIEWER ID",IF(OR(A6="",COUNTIF($A$2:$A$29,A6)&lt;&gt;1,LEFT(A6,LEN("2018::jama.2018.14282::"))&lt;&gt;"2018::jama.2018.14282::"),"CHECK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Table 1 standard arm, kidney disease: 69 (20.4). 69/388 = 17.8%; 20.4% would need about 79 patients. With the high-flow arm at 73 (18.8%), the printed percentages imply more kidney disease in the standard arm while the counts imply fewer. Error larger than rounding; correct value unrecoverable. Baseline descriptor; minor.</t>
        </is>
      </c>
    </row>
    <row r="7" ht="92" customFormat="1" customHeight="1" s="14">
      <c r="A7" s="24" t="inlineStr">
        <is>
          <t>2018::jama.2018.14282::C006</t>
        </is>
      </c>
      <c r="B7" s="24" t="inlineStr">
        <is>
          <t>Standard-arm nontransplant immunosuppression percentage does not reconcile</t>
        </is>
      </c>
      <c r="C7" s="24" t="inlineStr">
        <is>
          <t>DOC-001 Table 1 — PDF p. 4</t>
        </is>
      </c>
      <c r="D7" s="21" t="inlineStr">
        <is>
          <t>retain</t>
        </is>
      </c>
      <c r="E7" s="21" t="inlineStr">
        <is>
          <t>statistical_results</t>
        </is>
      </c>
      <c r="F7" s="21" t="inlineStr">
        <is>
          <t>primary_done</t>
        </is>
      </c>
      <c r="G7" s="24">
        <f>IFERROR(IF(LEN(TRIM(CLEAN(SUBSTITUTE(Setup!$B$2,CHAR(160)," "))))=0,"CHECK REVIEWER ID",IF(OR(A7="",COUNTIF($A$2:$A$29,A7)&lt;&gt;1,LEFT(A7,LEN("2018::jama.2018.14282::"))&lt;&gt;"2018::jama.2018.14282::"),"CHECK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Table 1, standard arm, immunosuppressive drugs for non-transplant reasons: 98 (25.2) with n = 388. 98/388 = 25.26%, which rounds to 25.3. The printed value matches truncation, but other cells in the same table use ordinary rounding (e.g., 270/388 = 69.59 shown as 69.6), so no single convention applies. Last-digit discrepancy; negligible.</t>
        </is>
      </c>
    </row>
    <row r="8" ht="92" customFormat="1" customHeight="1" s="14">
      <c r="A8" s="20" t="inlineStr">
        <is>
          <t>2018::jama.2018.14282::C007</t>
        </is>
      </c>
      <c r="B8" s="20" t="inlineStr">
        <is>
          <t>High-flow ≥3-days-after-ICU-admission percentage does not reconcile</t>
        </is>
      </c>
      <c r="C8" s="20" t="inlineStr">
        <is>
          <t>DOC-001 Table 1 — PDF p. 4</t>
        </is>
      </c>
      <c r="D8" s="21" t="inlineStr">
        <is>
          <t>retain</t>
        </is>
      </c>
      <c r="E8" s="21" t="inlineStr">
        <is>
          <t>statistical_results</t>
        </is>
      </c>
      <c r="F8" s="21" t="inlineStr">
        <is>
          <t>primary_done</t>
        </is>
      </c>
      <c r="G8" s="20">
        <f>IFERROR(IF(LEN(TRIM(CLEAN(SUBSTITUTE(Setup!$B$2,CHAR(160)," "))))=0,"CHECK REVIEWER ID",IF(OR(A8="",COUNTIF($A$2:$A$29,A8)&lt;&gt;1,LEFT(A8,LEN("2018::jama.2018.14282::"))&lt;&gt;"2018::jama.2018.14282::"),"CHECK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Table 1, high-flow arm, randomized &gt;=3 days after ICU admission: 20 (5.1) with n = 388. 20/388 = 5.15%, which rounds to 5.2. The printed value matches truncation, but other cells in the same table use ordinary rounding (e.g., 270/388 = 69.59 shown as 69.6), so no single convention applies. Last-digit discrepancy; negligible.</t>
        </is>
      </c>
    </row>
    <row r="9" ht="92" customFormat="1" customHeight="1" s="14">
      <c r="A9" s="24" t="inlineStr">
        <is>
          <t>2018::jama.2018.14282::C008</t>
        </is>
      </c>
      <c r="B9" s="24" t="inlineStr">
        <is>
          <t>Standard-arm ≥3-days-after-ICU-admission percentage does not reconcile</t>
        </is>
      </c>
      <c r="C9" s="24" t="inlineStr">
        <is>
          <t>DOC-001 Table 1 — PDF p. 4</t>
        </is>
      </c>
      <c r="D9" s="21" t="inlineStr">
        <is>
          <t>retain</t>
        </is>
      </c>
      <c r="E9" s="21" t="inlineStr">
        <is>
          <t>statistical_results</t>
        </is>
      </c>
      <c r="F9" s="21" t="inlineStr">
        <is>
          <t>primary_done</t>
        </is>
      </c>
      <c r="G9" s="24">
        <f>IFERROR(IF(LEN(TRIM(CLEAN(SUBSTITUTE(Setup!$B$2,CHAR(160)," "))))=0,"CHECK REVIEWER ID",IF(OR(A9="",COUNTIF($A$2:$A$29,A9)&lt;&gt;1,LEFT(A9,LEN("2018::jama.2018.14282::"))&lt;&gt;"2018::jama.2018.14282::"),"CHECK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t="inlineStr">
        <is>
          <t>Table 1, standard arm, randomized &gt;=3 days after ICU admission: 20 (5.1) with n = 388. 20/388 = 5.15%, which rounds to 5.2. The printed value matches truncation, but other cells in the same table use ordinary rounding (e.g., 270/388 = 69.59 shown as 69.6), so no single convention applies. Last-digit discrepancy; negligible.</t>
        </is>
      </c>
    </row>
    <row r="10" ht="92" customFormat="1" customHeight="1" s="14">
      <c r="A10" s="20" t="inlineStr">
        <is>
          <t>2018::jama.2018.14282::C009</t>
        </is>
      </c>
      <c r="B10" s="20" t="inlineStr">
        <is>
          <t>Standard-arm vasopressor percentage does not reconcile</t>
        </is>
      </c>
      <c r="C10" s="20" t="inlineStr">
        <is>
          <t>DOC-001 Table 1 — PDF p. 4</t>
        </is>
      </c>
      <c r="D10" s="21" t="inlineStr">
        <is>
          <t>retain</t>
        </is>
      </c>
      <c r="E10" s="21" t="inlineStr">
        <is>
          <t>statistical_results</t>
        </is>
      </c>
      <c r="F10" s="21" t="inlineStr">
        <is>
          <t>primary_done</t>
        </is>
      </c>
      <c r="G10" s="20">
        <f>IFERROR(IF(LEN(TRIM(CLEAN(SUBSTITUTE(Setup!$B$2,CHAR(160)," "))))=0,"CHECK REVIEWER ID",IF(OR(A10="",COUNTIF($A$2:$A$29,A10)&lt;&gt;1,LEFT(A10,LEN("2018::jama.2018.14282::"))&lt;&gt;"2018::jama.2018.14282::"),"CHECK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t="inlineStr">
        <is>
          <t>Table 1, standard arm, vasopressors at randomization: 39 (10.0) with n = 388. 39/388 = 10.05%, which rounds to 10.1. The printed value matches truncation, but other cells in the same table use ordinary rounding (e.g., 270/388 = 69.59 shown as 69.6), so no single convention applies. Last-digit discrepancy; negligible.</t>
        </is>
      </c>
    </row>
    <row r="11" ht="92" customFormat="1" customHeight="1" s="14">
      <c r="A11" s="24" t="inlineStr">
        <is>
          <t>2018::jama.2018.14282::C010</t>
        </is>
      </c>
      <c r="B11" s="24" t="inlineStr">
        <is>
          <t>High-flow do-not-intubate percentage does not reconcile</t>
        </is>
      </c>
      <c r="C11" s="24" t="inlineStr">
        <is>
          <t>DOC-001 Table 1 — PDF p. 4</t>
        </is>
      </c>
      <c r="D11" s="21" t="inlineStr">
        <is>
          <t>retain</t>
        </is>
      </c>
      <c r="E11" s="21" t="inlineStr">
        <is>
          <t>statistical_results</t>
        </is>
      </c>
      <c r="F11" s="21" t="inlineStr">
        <is>
          <t>primary_done</t>
        </is>
      </c>
      <c r="G11" s="24">
        <f>IFERROR(IF(LEN(TRIM(CLEAN(SUBSTITUTE(Setup!$B$2,CHAR(160)," "))))=0,"CHECK REVIEWER ID",IF(OR(A11="",COUNTIF($A$2:$A$29,A11)&lt;&gt;1,LEFT(A11,LEN("2018::jama.2018.14282::"))&lt;&gt;"2018::jama.2018.14282::"),"CHECK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t="inlineStr">
        <is>
          <t>Table 1, high-flow arm, do not intubate: 13 (3.3) with n = 388. 13/388 = 3.35%, which rounds to 3.4. The printed value matches truncation, but other cells in the same table use ordinary rounding (e.g., 270/388 = 69.59 shown as 69.6), so no single convention applies. Last-digit discrepancy; negligible.</t>
        </is>
      </c>
    </row>
    <row r="12" ht="92" customFormat="1" customHeight="1" s="14">
      <c r="A12" s="20" t="inlineStr">
        <is>
          <t>2018::jama.2018.14282::C011</t>
        </is>
      </c>
      <c r="B12" s="20" t="inlineStr">
        <is>
          <t>High-flow do-not-resuscitate percentage does not reconcile</t>
        </is>
      </c>
      <c r="C12" s="20" t="inlineStr">
        <is>
          <t>DOC-001 Table 1 — PDF p. 4</t>
        </is>
      </c>
      <c r="D12" s="21" t="inlineStr">
        <is>
          <t>retain</t>
        </is>
      </c>
      <c r="E12" s="21" t="inlineStr">
        <is>
          <t>statistical_results</t>
        </is>
      </c>
      <c r="F12" s="21" t="inlineStr">
        <is>
          <t>primary_done</t>
        </is>
      </c>
      <c r="G12" s="20">
        <f>IFERROR(IF(LEN(TRIM(CLEAN(SUBSTITUTE(Setup!$B$2,CHAR(160)," "))))=0,"CHECK REVIEWER ID",IF(OR(A12="",COUNTIF($A$2:$A$29,A12)&lt;&gt;1,LEFT(A12,LEN("2018::jama.2018.14282::"))&lt;&gt;"2018::jama.2018.14282::"),"CHECK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t="inlineStr">
        <is>
          <t>Table 1, high-flow arm, do not resuscitate: 3 (0.7) with n = 388. 3/388 = 0.77%, which rounds to 0.8. The printed value matches truncation, but other cells in the same table use ordinary rounding (e.g., 270/388 = 69.59 shown as 69.6), so no single convention applies. Last-digit discrepancy; negligible.</t>
        </is>
      </c>
    </row>
    <row r="13" ht="92" customFormat="1" customHeight="1" s="14">
      <c r="A13" s="24" t="inlineStr">
        <is>
          <t>2018::jama.2018.14282::C012</t>
        </is>
      </c>
      <c r="B13" s="24" t="inlineStr">
        <is>
          <t>Standard-arm do-not-resuscitate percentage does not reconcile</t>
        </is>
      </c>
      <c r="C13" s="24" t="inlineStr">
        <is>
          <t>DOC-001 Table 1 — PDF p. 4</t>
        </is>
      </c>
      <c r="D13" s="21" t="inlineStr">
        <is>
          <t>retain</t>
        </is>
      </c>
      <c r="E13" s="21" t="inlineStr">
        <is>
          <t>statistical_results</t>
        </is>
      </c>
      <c r="F13" s="21" t="inlineStr">
        <is>
          <t>primary_done</t>
        </is>
      </c>
      <c r="G13" s="24">
        <f>IFERROR(IF(LEN(TRIM(CLEAN(SUBSTITUTE(Setup!$B$2,CHAR(160)," "))))=0,"CHECK REVIEWER ID",IF(OR(A13="",COUNTIF($A$2:$A$29,A13)&lt;&gt;1,LEFT(A13,LEN("2018::jama.2018.14282::"))&lt;&gt;"2018::jama.2018.14282::"),"CHECK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t="inlineStr">
        <is>
          <t>Table 1, standard arm, do not resuscitate: 1 (0.2) with n = 388. 1/388 = 0.26%, which rounds to 0.3. The printed value matches truncation, but other cells in the same table use ordinary rounding (e.g., 270/388 = 69.59 shown as 69.6), so no single convention applies. Last-digit discrepancy; negligible.</t>
        </is>
      </c>
    </row>
    <row r="14" ht="92" customFormat="1" customHeight="1" s="14">
      <c r="A14" s="20" t="inlineStr">
        <is>
          <t>2018::jama.2018.14282::C013</t>
        </is>
      </c>
      <c r="B14" s="20" t="inlineStr">
        <is>
          <t>Standard-arm unknown-goals percentage does not reconcile</t>
        </is>
      </c>
      <c r="C14" s="20" t="inlineStr">
        <is>
          <t>DOC-001 Table 1 — PDF p. 4</t>
        </is>
      </c>
      <c r="D14" s="21" t="inlineStr">
        <is>
          <t>retain</t>
        </is>
      </c>
      <c r="E14" s="21" t="inlineStr">
        <is>
          <t>statistical_results</t>
        </is>
      </c>
      <c r="F14" s="21" t="inlineStr">
        <is>
          <t>primary_done</t>
        </is>
      </c>
      <c r="G14" s="20">
        <f>IFERROR(IF(LEN(TRIM(CLEAN(SUBSTITUTE(Setup!$B$2,CHAR(160)," "))))=0,"CHECK REVIEWER ID",IF(OR(A14="",COUNTIF($A$2:$A$29,A14)&lt;&gt;1,LEFT(A14,LEN("2018::jama.2018.14282::"))&lt;&gt;"2018::jama.2018.14282::"),"CHECK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Table 1, standard arm, unknown goals of care: 27 (6.9) with n = 388. 27/388 = 6.96%, which rounds to 7.0. The printed value matches truncation, but other cells in the same table use ordinary rounding (e.g., 270/388 = 69.59 shown as 69.6), so no single convention applies. Last-digit discrepancy; negligible.</t>
        </is>
      </c>
    </row>
    <row r="15" ht="92" customFormat="1" customHeight="1" s="14">
      <c r="A15" s="24" t="inlineStr">
        <is>
          <t>2018::jama.2018.14282::C014</t>
        </is>
      </c>
      <c r="B15" s="24" t="inlineStr">
        <is>
          <t>High-flow pre-randomization standard-oxygen percentage does not reconcile</t>
        </is>
      </c>
      <c r="C15" s="24" t="inlineStr">
        <is>
          <t>DOC-001 Table 1 — PDF p. 4</t>
        </is>
      </c>
      <c r="D15" s="21" t="inlineStr">
        <is>
          <t>retain</t>
        </is>
      </c>
      <c r="E15" s="21" t="inlineStr">
        <is>
          <t>statistical_results</t>
        </is>
      </c>
      <c r="F15" s="21" t="inlineStr">
        <is>
          <t>primary_done</t>
        </is>
      </c>
      <c r="G15" s="24">
        <f>IFERROR(IF(LEN(TRIM(CLEAN(SUBSTITUTE(Setup!$B$2,CHAR(160)," "))))=0,"CHECK REVIEWER ID",IF(OR(A15="",COUNTIF($A$2:$A$29,A15)&lt;&gt;1,LEFT(A15,LEN("2018::jama.2018.14282::"))&lt;&gt;"2018::jama.2018.14282::"),"CHECK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Table 1, high-flow arm, standard oxygen before randomization: 311 (80.1) with n = 388. 311/388 = 80.15%, which rounds to 80.2. The printed value matches truncation, but other cells in the same table use ordinary rounding (e.g., 270/388 = 69.59 shown as 69.6), so no single convention applies. Last-digit discrepancy; negligible.</t>
        </is>
      </c>
    </row>
    <row r="16" ht="92" customFormat="1" customHeight="1" s="14">
      <c r="A16" s="20" t="inlineStr">
        <is>
          <t>2018::jama.2018.14282::C015</t>
        </is>
      </c>
      <c r="B16" s="20" t="inlineStr">
        <is>
          <t>High-flow ICU-acquired-infection percentage does not reconcile</t>
        </is>
      </c>
      <c r="C16" s="20" t="inlineStr">
        <is>
          <t>DOC-001 Table 2 — PDF p. 5</t>
        </is>
      </c>
      <c r="D16" s="21" t="inlineStr">
        <is>
          <t>retain</t>
        </is>
      </c>
      <c r="E16" s="21" t="inlineStr">
        <is>
          <t>statistical_results</t>
        </is>
      </c>
      <c r="F16" s="21" t="inlineStr">
        <is>
          <t>primary_done</t>
        </is>
      </c>
      <c r="G16" s="20">
        <f>IFERROR(IF(LEN(TRIM(CLEAN(SUBSTITUTE(Setup!$B$2,CHAR(160)," "))))=0,"CHECK REVIEWER ID",IF(OR(A16="",COUNTIF($A$2:$A$29,A16)&lt;&gt;1,LEFT(A16,LEN("2018::jama.2018.14282::"))&lt;&gt;"2018::jama.2018.14282::"),"CHECK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t="inlineStr">
        <is>
          <t>Table 2, high-flow arm, ICU-acquired infection: 39 (10.0) with n = 388. 39/388 = 10.05%, which rounds to 10.1. The printed value matches truncation, but other cells in the same table use ordinary rounding (e.g., 270/388 = 69.59 shown as 69.6), so no single convention applies. Last-digit discrepancy; negligible.</t>
        </is>
      </c>
    </row>
    <row r="17" ht="92" customFormat="1" customHeight="1" s="14">
      <c r="A17" s="24" t="inlineStr">
        <is>
          <t>2018::jama.2018.14282::C016</t>
        </is>
      </c>
      <c r="B17" s="24" t="inlineStr">
        <is>
          <t>Standard-arm hospital-mortality percentage does not reconcile</t>
        </is>
      </c>
      <c r="C17" s="24" t="inlineStr">
        <is>
          <t>DOC-001 Table 2 — PDF p. 5</t>
        </is>
      </c>
      <c r="D17" s="21" t="inlineStr">
        <is>
          <t>retain</t>
        </is>
      </c>
      <c r="E17" s="21" t="inlineStr">
        <is>
          <t>statistical_results</t>
        </is>
      </c>
      <c r="F17" s="21" t="inlineStr">
        <is>
          <t>primary_done</t>
        </is>
      </c>
      <c r="G17" s="24">
        <f>IFERROR(IF(LEN(TRIM(CLEAN(SUBSTITUTE(Setup!$B$2,CHAR(160)," "))))=0,"CHECK REVIEWER ID",IF(OR(A17="",COUNTIF($A$2:$A$29,A17)&lt;&gt;1,LEFT(A17,LEN("2018::jama.2018.14282::"))&lt;&gt;"2018::jama.2018.14282::"),"CHECK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minor_presentation</t>
        </is>
      </c>
      <c r="J17" s="22" t="inlineStr">
        <is>
          <t>unlikely</t>
        </is>
      </c>
      <c r="K17" s="21">
        <f>IF(AND(OR(D17="retain",D17=""),OR(E17="report_internal_inconsistency",E17="plan_material")),"","not_applicable")</f>
        <v/>
      </c>
      <c r="L17" s="22">
        <f>IF(AND(OR(D17="retain",D17=""),E17="protocol_report"),"","not_applicable")</f>
        <v/>
      </c>
      <c r="M17" s="24" t="n"/>
      <c r="N17" s="23" t="n"/>
      <c r="O17" s="23" t="n"/>
      <c r="P17" s="23" t="n"/>
      <c r="Q17" s="23" t="n"/>
      <c r="R17" s="22" t="inlineStr">
        <is>
          <t>Table 2, standard arm, hospital mortality: 162 (41.7) with n = 388. 162/388 = 41.75%, which rounds to 41.8. The printed value matches truncation, but other cells in the same table use ordinary rounding (e.g., 270/388 = 69.59 shown as 69.6), so no single convention applies. Last-digit discrepancy; negligible.</t>
        </is>
      </c>
    </row>
    <row r="18" ht="92" customFormat="1" customHeight="1" s="14">
      <c r="A18" s="20" t="inlineStr">
        <is>
          <t>2018::jama.2018.14282::C017</t>
        </is>
      </c>
      <c r="B18" s="20" t="inlineStr">
        <is>
          <t>Respiratory-rate confidence-interval endpoint differs between matched occurrences</t>
        </is>
      </c>
      <c r="C18" s="20" t="inlineStr">
        <is>
          <t>DOC-001 abstract — PDF p. 1; DOC-001 results — PDF p. 6</t>
        </is>
      </c>
      <c r="D18" s="21" t="inlineStr">
        <is>
          <t>retain</t>
        </is>
      </c>
      <c r="E18" s="21" t="inlineStr">
        <is>
          <t>statistical_results</t>
        </is>
      </c>
      <c r="F18" s="21" t="inlineStr">
        <is>
          <t>primary_done</t>
        </is>
      </c>
      <c r="G18" s="20">
        <f>IFERROR(IF(LEN(TRIM(CLEAN(SUBSTITUTE(Setup!$B$2,CHAR(160)," "))))=0,"CHECK REVIEWER ID",IF(OR(A18="",COUNTIF($A$2:$A$29,A18)&lt;&gt;1,LEFT(A18,LEN("2018::jama.2018.14282::"))&lt;&gt;"2018::jama.2018.14282::"),"CHECK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possible</t>
        </is>
      </c>
      <c r="K18" s="21">
        <f>IF(AND(OR(D18="retain",D18=""),OR(E18="report_internal_inconsistency",E18="plan_material")),"","not_applicable")</f>
        <v/>
      </c>
      <c r="L18" s="22">
        <f>IF(AND(OR(D18="retain",D18=""),E18="protocol_report"),"","not_applicable")</f>
        <v/>
      </c>
      <c r="M18" s="20" t="n"/>
      <c r="N18" s="23" t="n"/>
      <c r="O18" s="23" t="n"/>
      <c r="P18" s="23" t="n"/>
      <c r="Q18" s="23" t="n"/>
      <c r="R18" s="22" t="inlineStr">
        <is>
          <t>Respiratory rate at 6 h, mean difference -1.8/min: abstract gives 95% CI -3.2 to -0.2; Results p.6 gives -3.2 to -0.3. Midpoints are -1.70 and -1.75, so -0.3 fits the estimate slightly better. A 0.1 discrepancy in an upper bound of a secondary outcome; inference unchanged. Domain changed to statistical_results.</t>
        </is>
      </c>
    </row>
    <row r="19" ht="92" customFormat="1" customHeight="1" s="14">
      <c r="A19" s="24" t="inlineStr">
        <is>
          <t>2018::jama.2018.14282::C018</t>
        </is>
      </c>
      <c r="B19" s="24" t="inlineStr">
        <is>
          <t>Arm-attributed support-needs percentages use the overall-population denominator</t>
        </is>
      </c>
      <c r="C19" s="24" t="inlineStr">
        <is>
          <t>DOC-001 post hoc outcomes — PDF p. 6</t>
        </is>
      </c>
      <c r="D19" s="21" t="inlineStr">
        <is>
          <t>retain</t>
        </is>
      </c>
      <c r="E19" s="21" t="inlineStr">
        <is>
          <t>statistical_results</t>
        </is>
      </c>
      <c r="F19" s="21" t="inlineStr">
        <is>
          <t>primary_done</t>
        </is>
      </c>
      <c r="G19" s="24">
        <f>IFERROR(IF(LEN(TRIM(CLEAN(SUBSTITUTE(Setup!$B$2,CHAR(160)," "))))=0,"CHECK REVIEWER ID",IF(OR(A19="",COUNTIF($A$2:$A$29,A19)&lt;&gt;1,LEFT(A19,LEN("2018::jama.2018.14282::"))&lt;&gt;"2018::jama.2018.14282::"),"CHECK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substantive</t>
        </is>
      </c>
      <c r="J19" s="22" t="inlineStr">
        <is>
          <t>possible</t>
        </is>
      </c>
      <c r="K19" s="21">
        <f>IF(AND(OR(D19="retain",D19=""),OR(E19="report_internal_inconsistency",E19="plan_material")),"","not_applicable")</f>
        <v/>
      </c>
      <c r="L19" s="22">
        <f>IF(AND(OR(D19="retain",D19=""),E19="protocol_report"),"","not_applicable")</f>
        <v/>
      </c>
      <c r="M19" s="24" t="n"/>
      <c r="N19" s="23" t="n"/>
      <c r="O19" s="23" t="n"/>
      <c r="P19" s="23" t="n"/>
      <c r="Q19" s="23" t="n"/>
      <c r="R19" s="22" t="inlineStr">
        <is>
          <t>Post hoc text p.6: 'In the overall population, vasopressors and RRT were needed in 153 patients (19.7%) randomized to high-flow ... and 31 patients (4%) randomized to standard oxygen ..., with no statistical difference'. 153/776 = 19.7%, 31/776 = 4.0%. Read as arm counts, 153 vs 31 of 388 each (39.4% vs 8.0%, P &lt; .001) contradicts 'no difference'. Sentence is erroneous.</t>
        </is>
      </c>
    </row>
    <row r="20" ht="92" customFormat="1" customHeight="1" s="14">
      <c r="A20" s="20" t="inlineStr">
        <is>
          <t>2018::jama.2018.14282::C019</t>
        </is>
      </c>
      <c r="B20" s="20" t="inlineStr">
        <is>
          <t>eTable high-flow invasive-MV percentage does not reconcile</t>
        </is>
      </c>
      <c r="C20" s="20" t="inlineStr">
        <is>
          <t>DOC-003 eTable — PDF p. 2</t>
        </is>
      </c>
      <c r="D20" s="21" t="inlineStr">
        <is>
          <t>retain</t>
        </is>
      </c>
      <c r="E20" s="21" t="inlineStr">
        <is>
          <t>statistical_results</t>
        </is>
      </c>
      <c r="F20" s="21" t="inlineStr">
        <is>
          <t>primary_done</t>
        </is>
      </c>
      <c r="G20" s="20">
        <f>IFERROR(IF(LEN(TRIM(CLEAN(SUBSTITUTE(Setup!$B$2,CHAR(160)," "))))=0,"CHECK REVIEWER ID",IF(OR(A20="",COUNTIF($A$2:$A$29,A20)&lt;&gt;1,LEFT(A20,LEN("2018::jama.2018.14282::"))&lt;&gt;"2018::jama.2018.14282::"),"CHECK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unlikely</t>
        </is>
      </c>
      <c r="K20" s="21">
        <f>IF(AND(OR(D20="retain",D20=""),OR(E20="report_internal_inconsistency",E20="plan_material")),"","not_applicable")</f>
        <v/>
      </c>
      <c r="L20" s="22">
        <f>IF(AND(OR(D20="retain",D20=""),E20="protocol_report"),"","not_applicable")</f>
        <v/>
      </c>
      <c r="M20" s="20" t="n"/>
      <c r="N20" s="23" t="n"/>
      <c r="O20" s="23" t="n"/>
      <c r="P20" s="23" t="n"/>
      <c r="Q20" s="23" t="n"/>
      <c r="R20" s="22" t="inlineStr">
        <is>
          <t>eTable, high-flow arm, invasive MV at 6 h: 39 (10.0) with n = 388. 39/388 = 10.05%, which rounds to 10.1. The printed value matches truncation, but other cells in the same table use ordinary rounding (e.g., 270/388 = 69.59 shown as 69.6), so no single convention applies. Last-digit discrepancy; negligible.</t>
        </is>
      </c>
    </row>
    <row r="21" ht="92" customFormat="1" customHeight="1" s="14">
      <c r="A21" s="24" t="inlineStr">
        <is>
          <t>2018::jama.2018.14282::C020</t>
        </is>
      </c>
      <c r="B21" s="24" t="inlineStr">
        <is>
          <t>eTable standard-arm invasive-MV percentage does not reconcile</t>
        </is>
      </c>
      <c r="C21" s="24" t="inlineStr">
        <is>
          <t>DOC-003 eTable — PDF p. 2</t>
        </is>
      </c>
      <c r="D21" s="21" t="inlineStr">
        <is>
          <t>retain</t>
        </is>
      </c>
      <c r="E21" s="21" t="inlineStr">
        <is>
          <t>statistical_results</t>
        </is>
      </c>
      <c r="F21" s="21" t="inlineStr">
        <is>
          <t>primary_done</t>
        </is>
      </c>
      <c r="G21" s="24">
        <f>IFERROR(IF(LEN(TRIM(CLEAN(SUBSTITUTE(Setup!$B$2,CHAR(160)," "))))=0,"CHECK REVIEWER ID",IF(OR(A21="",COUNTIF($A$2:$A$29,A21)&lt;&gt;1,LEFT(A21,LEN("2018::jama.2018.14282::"))&lt;&gt;"2018::jama.2018.14282::"),"CHECK KEY",IF(OR(AND(NOT(AND(D21="retain",E21="statistical_results")),H21&lt;&gt;"",NOT(EXACT(H21,"not_applicable"))),AND(NOT(AND(D21="retain",E21="statistical_results")),I21&lt;&gt;"",NOT(EXACT(I21,"not_applicable"))),AND(NOT(AND(D21="retain",E21="statistical_results")),J21&lt;&gt;"",NOT(EXACT(J21,"not_applicable"))),AND(NOT(AND(D21="retain",OR(E21="report_internal_inconsistency",E21="plan_material"))),K21&lt;&gt;"",NOT(EXACT(K21,"not_applicable"))),AND(NOT(AND(D21="retain",E21="protocol_report")),L21&lt;&gt;"",NOT(EXACT(L21,"not_applicable")))),"CLEAR INACTIVE VALUES",IF(OR(NOT(OR(EXACT(D21,"retain"),EXACT(D21,"exclude"),EXACT(D21,"discuss"))),NOT(OR(EXACT(E21,"statistical_results"),EXACT(E21,"report_internal_inconsistency"),EXACT(E21,"plan_material"),EXACT(E21,"protocol_report"))),AND(AND(D21="retain",E21="statistical_results"),NOT(OR(EXACT(H21,"confirmed_issue"),EXACT(H21,"probable_issue"),EXACT(H21,"not_issue"),EXACT(H21,"indeterminate")))),AND(AND(D21="retain",E21="statistical_results"),NOT(OR(EXACT(I21,"substantive"),EXACT(I21,"minor_presentation"),EXACT(I21,"indeterminate")))),AND(AND(D21="retain",E21="statistical_results"),J21&lt;&gt;"",NOT(OR(EXACT(J21,"direct"),EXACT(J21,"possible"),EXACT(J21,"unlikely"),EXACT(J21,"unknown")))),AND(AND(D21="retain",OR(E21="report_internal_inconsistency",E21="plan_material")),NOT(OR(EXACT(K21,"substantive_inconsistency"),EXACT(K21,"minor_presentation"),EXACT(K21,"non_inconsistency"),EXACT(K21,"indeterminate")))),AND(AND(D21="retain",E21="protocol_report"),L21&lt;&gt;"",NOT(OR(EXACT(L21,"substantive_difference"),EXACT(L21,"minor_presentation"),EXACT(L21,"version_timing"),EXACT(L21,"non_inconsistency"),EXACT(L21,"indeterminate"))))),"CHECK FIELDS",IF(AND(F21&lt;&gt;"",NOT(OR(EXACT(F21,"no"),EXACT(F21,"primary_done")))),"CHECK COMPLETE",IF(EXACT(F21,"primary_done"),"PRIMARY READY","PRIMARY DRAFT")))))),"CHECK INPUT / KEY")</f>
        <v/>
      </c>
      <c r="H21" s="21" t="inlineStr">
        <is>
          <t>confirmed_issue</t>
        </is>
      </c>
      <c r="I21" s="21" t="inlineStr">
        <is>
          <t>minor_presentation</t>
        </is>
      </c>
      <c r="J21" s="22" t="inlineStr">
        <is>
          <t>unlikely</t>
        </is>
      </c>
      <c r="K21" s="21">
        <f>IF(AND(OR(D21="retain",D21=""),OR(E21="report_internal_inconsistency",E21="plan_material")),"","not_applicable")</f>
        <v/>
      </c>
      <c r="L21" s="22">
        <f>IF(AND(OR(D21="retain",D21=""),E21="protocol_report"),"","not_applicable")</f>
        <v/>
      </c>
      <c r="M21" s="24" t="n"/>
      <c r="N21" s="23" t="n"/>
      <c r="O21" s="23" t="n"/>
      <c r="P21" s="23" t="n"/>
      <c r="Q21" s="23" t="n"/>
      <c r="R21" s="22" t="inlineStr">
        <is>
          <t>eTable, standard arm, invasive MV at 6 h: 46 (11.8) with n = 388. 46/388 = 11.86%, which rounds to 11.9. The printed value matches truncation, but other cells in the same table use ordinary rounding (e.g., 270/388 = 69.59 shown as 69.6), so no single convention applies. Last-digit discrepancy; negligible.</t>
        </is>
      </c>
    </row>
    <row r="22" ht="92" customFormat="1" customHeight="1" s="14">
      <c r="A22" s="20" t="inlineStr">
        <is>
          <t>2018::jama.2018.14282::C021</t>
        </is>
      </c>
      <c r="B22" s="20" t="inlineStr">
        <is>
          <t>eTable standard-oxygen-only percentage does not reconcile</t>
        </is>
      </c>
      <c r="C22" s="20" t="inlineStr">
        <is>
          <t>DOC-003 eTable — PDF p. 2</t>
        </is>
      </c>
      <c r="D22" s="21" t="inlineStr">
        <is>
          <t>retain</t>
        </is>
      </c>
      <c r="E22" s="21" t="inlineStr">
        <is>
          <t>statistical_results</t>
        </is>
      </c>
      <c r="F22" s="21" t="inlineStr">
        <is>
          <t>primary_done</t>
        </is>
      </c>
      <c r="G22" s="20">
        <f>IFERROR(IF(LEN(TRIM(CLEAN(SUBSTITUTE(Setup!$B$2,CHAR(160)," "))))=0,"CHECK REVIEWER ID",IF(OR(A22="",COUNTIF($A$2:$A$29,A22)&lt;&gt;1,LEFT(A22,LEN("2018::jama.2018.14282::"))&lt;&gt;"2018::jama.2018.14282::"),"CHECK KEY",IF(OR(AND(NOT(AND(D22="retain",E22="statistical_results")),H22&lt;&gt;"",NOT(EXACT(H22,"not_applicable"))),AND(NOT(AND(D22="retain",E22="statistical_results")),I22&lt;&gt;"",NOT(EXACT(I22,"not_applicable"))),AND(NOT(AND(D22="retain",E22="statistical_results")),J22&lt;&gt;"",NOT(EXACT(J22,"not_applicable"))),AND(NOT(AND(D22="retain",OR(E22="report_internal_inconsistency",E22="plan_material"))),K22&lt;&gt;"",NOT(EXACT(K22,"not_applicable"))),AND(NOT(AND(D22="retain",E22="protocol_report")),L22&lt;&gt;"",NOT(EXACT(L22,"not_applicable")))),"CLEAR INACTIVE VALUES",IF(OR(NOT(OR(EXACT(D22,"retain"),EXACT(D22,"exclude"),EXACT(D22,"discuss"))),NOT(OR(EXACT(E22,"statistical_results"),EXACT(E22,"report_internal_inconsistency"),EXACT(E22,"plan_material"),EXACT(E22,"protocol_report"))),AND(AND(D22="retain",E22="statistical_results"),NOT(OR(EXACT(H22,"confirmed_issue"),EXACT(H22,"probable_issue"),EXACT(H22,"not_issue"),EXACT(H22,"indeterminate")))),AND(AND(D22="retain",E22="statistical_results"),NOT(OR(EXACT(I22,"substantive"),EXACT(I22,"minor_presentation"),EXACT(I22,"indeterminate")))),AND(AND(D22="retain",E22="statistical_results"),J22&lt;&gt;"",NOT(OR(EXACT(J22,"direct"),EXACT(J22,"possible"),EXACT(J22,"unlikely"),EXACT(J22,"unknown")))),AND(AND(D22="retain",OR(E22="report_internal_inconsistency",E22="plan_material")),NOT(OR(EXACT(K22,"substantive_inconsistency"),EXACT(K22,"minor_presentation"),EXACT(K22,"non_inconsistency"),EXACT(K22,"indeterminate")))),AND(AND(D22="retain",E22="protocol_report"),L22&lt;&gt;"",NOT(OR(EXACT(L22,"substantive_difference"),EXACT(L22,"minor_presentation"),EXACT(L22,"version_timing"),EXACT(L22,"non_inconsistency"),EXACT(L22,"indeterminate"))))),"CHECK FIELDS",IF(AND(F22&lt;&gt;"",NOT(OR(EXACT(F22,"no"),EXACT(F22,"primary_done")))),"CHECK COMPLETE",IF(EXACT(F22,"primary_done"),"PRIMARY READY","PRIMARY DRAFT")))))),"CHECK INPUT / KEY")</f>
        <v/>
      </c>
      <c r="H22" s="21" t="inlineStr">
        <is>
          <t>confirmed_issue</t>
        </is>
      </c>
      <c r="I22" s="21" t="inlineStr">
        <is>
          <t>minor_presentation</t>
        </is>
      </c>
      <c r="J22" s="22" t="inlineStr">
        <is>
          <t>unlikely</t>
        </is>
      </c>
      <c r="K22" s="21">
        <f>IF(AND(OR(D22="retain",D22=""),OR(E22="report_internal_inconsistency",E22="plan_material")),"","not_applicable")</f>
        <v/>
      </c>
      <c r="L22" s="22">
        <f>IF(AND(OR(D22="retain",D22=""),E22="protocol_report"),"","not_applicable")</f>
        <v/>
      </c>
      <c r="M22" s="20" t="n"/>
      <c r="N22" s="23" t="n"/>
      <c r="O22" s="23" t="n"/>
      <c r="P22" s="23" t="n"/>
      <c r="Q22" s="23" t="n"/>
      <c r="R22" s="22" t="inlineStr">
        <is>
          <t>eTable, standard arm, standard oxygen only at 6 h: 342 (88.2) with n = 388. 342/388 = 88.14%, which rounds to 88.1. The printed value matches the complement of the paired category (100 - 11.8), but other cells in the same table use ordinary rounding (e.g., 270/388 = 69.59 shown as 69.6), so no single convention applies. Last-digit discrepancy; negligible.</t>
        </is>
      </c>
    </row>
    <row r="23" ht="92" customFormat="1" customHeight="1" s="14">
      <c r="A23" s="24" t="inlineStr">
        <is>
          <t>2018::jama.2018.14282::C022</t>
        </is>
      </c>
      <c r="B23" s="24" t="inlineStr">
        <is>
          <t>IMV cumulative-incidence comparison has incompatible printed test labels</t>
        </is>
      </c>
      <c r="C23" s="24" t="inlineStr">
        <is>
          <t>DOC-001 methods — PDF p. 4; DOC-001 results — PDF p. 6; DOC-003 eFigure 1 — PDF p. 3</t>
        </is>
      </c>
      <c r="D23" s="21" t="inlineStr">
        <is>
          <t>retain</t>
        </is>
      </c>
      <c r="E23" s="21" t="inlineStr">
        <is>
          <t>statistical_results</t>
        </is>
      </c>
      <c r="F23" s="21" t="inlineStr">
        <is>
          <t>primary_done</t>
        </is>
      </c>
      <c r="G23" s="24">
        <f>IFERROR(IF(LEN(TRIM(CLEAN(SUBSTITUTE(Setup!$B$2,CHAR(160)," "))))=0,"CHECK REVIEWER ID",IF(OR(A23="",COUNTIF($A$2:$A$29,A23)&lt;&gt;1,LEFT(A23,LEN("2018::jama.2018.14282::"))&lt;&gt;"2018::jama.2018.14282::"),"CHECK KEY",IF(OR(AND(NOT(AND(D23="retain",E23="statistical_results")),H23&lt;&gt;"",NOT(EXACT(H23,"not_applicable"))),AND(NOT(AND(D23="retain",E23="statistical_results")),I23&lt;&gt;"",NOT(EXACT(I23,"not_applicable"))),AND(NOT(AND(D23="retain",E23="statistical_results")),J23&lt;&gt;"",NOT(EXACT(J23,"not_applicable"))),AND(NOT(AND(D23="retain",OR(E23="report_internal_inconsistency",E23="plan_material"))),K23&lt;&gt;"",NOT(EXACT(K23,"not_applicable"))),AND(NOT(AND(D23="retain",E23="protocol_report")),L23&lt;&gt;"",NOT(EXACT(L23,"not_applicable")))),"CLEAR INACTIVE VALUES",IF(OR(NOT(OR(EXACT(D23,"retain"),EXACT(D23,"exclude"),EXACT(D23,"discuss"))),NOT(OR(EXACT(E23,"statistical_results"),EXACT(E23,"report_internal_inconsistency"),EXACT(E23,"plan_material"),EXACT(E23,"protocol_report"))),AND(AND(D23="retain",E23="statistical_results"),NOT(OR(EXACT(H23,"confirmed_issue"),EXACT(H23,"probable_issue"),EXACT(H23,"not_issue"),EXACT(H23,"indeterminate")))),AND(AND(D23="retain",E23="statistical_results"),NOT(OR(EXACT(I23,"substantive"),EXACT(I23,"minor_presentation"),EXACT(I23,"indeterminate")))),AND(AND(D23="retain",E23="statistical_results"),J23&lt;&gt;"",NOT(OR(EXACT(J23,"direct"),EXACT(J23,"possible"),EXACT(J23,"unlikely"),EXACT(J23,"unknown")))),AND(AND(D23="retain",OR(E23="report_internal_inconsistency",E23="plan_material")),NOT(OR(EXACT(K23,"substantive_inconsistency"),EXACT(K23,"minor_presentation"),EXACT(K23,"non_inconsistency"),EXACT(K23,"indeterminate")))),AND(AND(D23="retain",E23="protocol_report"),L23&lt;&gt;"",NOT(OR(EXACT(L23,"substantive_difference"),EXACT(L23,"minor_presentation"),EXACT(L23,"version_timing"),EXACT(L23,"non_inconsistency"),EXACT(L23,"indeterminate"))))),"CHECK FIELDS",IF(AND(F23&lt;&gt;"",NOT(OR(EXACT(F23,"no"),EXACT(F23,"primary_done")))),"CHECK COMPLETE",IF(EXACT(F23,"primary_done"),"PRIMARY READY","PRIMARY DRAFT")))))),"CHECK INPUT / KEY")</f>
        <v/>
      </c>
      <c r="H23" s="21" t="inlineStr">
        <is>
          <t>confirmed_issue</t>
        </is>
      </c>
      <c r="I23" s="21" t="inlineStr">
        <is>
          <t>minor_presentation</t>
        </is>
      </c>
      <c r="J23" s="22" t="inlineStr">
        <is>
          <t>unlikely</t>
        </is>
      </c>
      <c r="K23" s="21">
        <f>IF(AND(OR(D23="retain",D23=""),OR(E23="report_internal_inconsistency",E23="plan_material")),"","not_applicable")</f>
        <v/>
      </c>
      <c r="L23" s="22">
        <f>IF(AND(OR(D23="retain",D23=""),E23="protocol_report"),"","not_applicable")</f>
        <v/>
      </c>
      <c r="M23" s="24" t="n"/>
      <c r="N23" s="23" t="n"/>
      <c r="O23" s="23" t="n"/>
      <c r="P23" s="23" t="n"/>
      <c r="Q23" s="23" t="n"/>
      <c r="R23" s="22" t="inlineStr">
        <is>
          <t>Methods p.4: cumulative incidence of IMV estimated with death as competing risk and compared with the Gray test; effect via cause-specific Cox. eFigure 1 prints 'P (log Rank test) = 0.17', the same as the Table 2 cause-specific HR P = .17. The reported P appears to be the cause-specific log-rank/Cox test, not the Gray test promised in Methods. Inference unchanged; minor.</t>
        </is>
      </c>
    </row>
    <row r="24" ht="92" customFormat="1" customHeight="1" s="14">
      <c r="A24" s="20" t="inlineStr">
        <is>
          <t>2018::jama.2018.14282::C023</t>
        </is>
      </c>
      <c r="B24" s="20" t="inlineStr">
        <is>
          <t>Figure 3A mortality HR has a near-reciprocal orientation relative to Table 2</t>
        </is>
      </c>
      <c r="C24" s="20" t="inlineStr">
        <is>
          <t>DOC-001 Table 2 and narrative — PDF p. 5; DOC-001 Figure 3A — PDF p. 7</t>
        </is>
      </c>
      <c r="D24" s="21" t="inlineStr">
        <is>
          <t>retain</t>
        </is>
      </c>
      <c r="E24" s="21" t="inlineStr">
        <is>
          <t>statistical_results</t>
        </is>
      </c>
      <c r="F24" s="21" t="inlineStr">
        <is>
          <t>primary_done</t>
        </is>
      </c>
      <c r="G24" s="20">
        <f>IFERROR(IF(LEN(TRIM(CLEAN(SUBSTITUTE(Setup!$B$2,CHAR(160)," "))))=0,"CHECK REVIEWER ID",IF(OR(A24="",COUNTIF($A$2:$A$29,A24)&lt;&gt;1,LEFT(A24,LEN("2018::jama.2018.14282::"))&lt;&gt;"2018::jama.2018.14282::"),"CHECK KEY",IF(OR(AND(NOT(AND(D24="retain",E24="statistical_results")),H24&lt;&gt;"",NOT(EXACT(H24,"not_applicable"))),AND(NOT(AND(D24="retain",E24="statistical_results")),I24&lt;&gt;"",NOT(EXACT(I24,"not_applicable"))),AND(NOT(AND(D24="retain",E24="statistical_results")),J24&lt;&gt;"",NOT(EXACT(J24,"not_applicable"))),AND(NOT(AND(D24="retain",OR(E24="report_internal_inconsistency",E24="plan_material"))),K24&lt;&gt;"",NOT(EXACT(K24,"not_applicable"))),AND(NOT(AND(D24="retain",E24="protocol_report")),L24&lt;&gt;"",NOT(EXACT(L24,"not_applicable")))),"CLEAR INACTIVE VALUES",IF(OR(NOT(OR(EXACT(D24,"retain"),EXACT(D24,"exclude"),EXACT(D24,"discuss"))),NOT(OR(EXACT(E24,"statistical_results"),EXACT(E24,"report_internal_inconsistency"),EXACT(E24,"plan_material"),EXACT(E24,"protocol_report"))),AND(AND(D24="retain",E24="statistical_results"),NOT(OR(EXACT(H24,"confirmed_issue"),EXACT(H24,"probable_issue"),EXACT(H24,"not_issue"),EXACT(H24,"indeterminate")))),AND(AND(D24="retain",E24="statistical_results"),NOT(OR(EXACT(I24,"substantive"),EXACT(I24,"minor_presentation"),EXACT(I24,"indeterminate")))),AND(AND(D24="retain",E24="statistical_results"),J24&lt;&gt;"",NOT(OR(EXACT(J24,"direct"),EXACT(J24,"possible"),EXACT(J24,"unlikely"),EXACT(J24,"unknown")))),AND(AND(D24="retain",OR(E24="report_internal_inconsistency",E24="plan_material")),NOT(OR(EXACT(K24,"substantive_inconsistency"),EXACT(K24,"minor_presentation"),EXACT(K24,"non_inconsistency"),EXACT(K24,"indeterminate")))),AND(AND(D24="retain",E24="protocol_report"),L24&lt;&gt;"",NOT(OR(EXACT(L24,"substantive_difference"),EXACT(L24,"minor_presentation"),EXACT(L24,"version_timing"),EXACT(L24,"non_inconsistency"),EXACT(L24,"indeterminate"))))),"CHECK FIELDS",IF(AND(F24&lt;&gt;"",NOT(OR(EXACT(F24,"no"),EXACT(F24,"primary_done")))),"CHECK COMPLETE",IF(EXACT(F24,"primary_done"),"PRIMARY READY","PRIMARY DRAFT")))))),"CHECK INPUT / KEY")</f>
        <v/>
      </c>
      <c r="H24" s="21" t="inlineStr">
        <is>
          <t>confirmed_issue</t>
        </is>
      </c>
      <c r="I24" s="21" t="inlineStr">
        <is>
          <t>substantive</t>
        </is>
      </c>
      <c r="J24" s="22" t="inlineStr">
        <is>
          <t>direct</t>
        </is>
      </c>
      <c r="K24" s="21">
        <f>IF(AND(OR(D24="retain",D24=""),OR(E24="report_internal_inconsistency",E24="plan_material")),"","not_applicable")</f>
        <v/>
      </c>
      <c r="L24" s="22">
        <f>IF(AND(OR(D24="retain",D24=""),E24="protocol_report"),"","not_applicable")</f>
        <v/>
      </c>
      <c r="M24" s="20" t="n"/>
      <c r="N24" s="23" t="n"/>
      <c r="O24" s="23" t="n"/>
      <c r="P24" s="23" t="n"/>
      <c r="Q24" s="23" t="n"/>
      <c r="R24" s="22" t="inlineStr">
        <is>
          <t>Figure 3A all patients: 138/388 vs 140/388 deaths, HR 1.02 (0.81-1.29) plotted under 'Favors high-flow' (left)/'Favors standard' (right); Table 2 and text give HR 0.98 (0.77-1.24). Reciprocals 1/0.98 = 1.02, 1/1.24 = 0.81, 1/0.77 = 1.30. Subgroup rows are also inverted (ICU day &gt;=2: 26.9% vs 37.9% deaths but HR 1.55). The figure plots standard vs high-flow under labels for the reverse.</t>
        </is>
      </c>
    </row>
    <row r="25" ht="92" customFormat="1" customHeight="1" s="14">
      <c r="A25" s="24" t="inlineStr">
        <is>
          <t>2018::jama.2018.14282::C024</t>
        </is>
      </c>
      <c r="B25" s="24" t="inlineStr">
        <is>
          <t>Figure 3B IMV HR has a near-reciprocal orientation relative to Table 2</t>
        </is>
      </c>
      <c r="C25" s="24" t="inlineStr">
        <is>
          <t>DOC-001 Table 2 — PDF p. 5; DOC-001 narrative — PDF p. 6; DOC-001 Figure 3B — PDF p. 7</t>
        </is>
      </c>
      <c r="D25" s="21" t="inlineStr">
        <is>
          <t>retain</t>
        </is>
      </c>
      <c r="E25" s="21" t="inlineStr">
        <is>
          <t>statistical_results</t>
        </is>
      </c>
      <c r="F25" s="21" t="inlineStr">
        <is>
          <t>primary_done</t>
        </is>
      </c>
      <c r="G25" s="24">
        <f>IFERROR(IF(LEN(TRIM(CLEAN(SUBSTITUTE(Setup!$B$2,CHAR(160)," "))))=0,"CHECK REVIEWER ID",IF(OR(A25="",COUNTIF($A$2:$A$29,A25)&lt;&gt;1,LEFT(A25,LEN("2018::jama.2018.14282::"))&lt;&gt;"2018::jama.2018.14282::"),"CHECK KEY",IF(OR(AND(NOT(AND(D25="retain",E25="statistical_results")),H25&lt;&gt;"",NOT(EXACT(H25,"not_applicable"))),AND(NOT(AND(D25="retain",E25="statistical_results")),I25&lt;&gt;"",NOT(EXACT(I25,"not_applicable"))),AND(NOT(AND(D25="retain",E25="statistical_results")),J25&lt;&gt;"",NOT(EXACT(J25,"not_applicable"))),AND(NOT(AND(D25="retain",OR(E25="report_internal_inconsistency",E25="plan_material"))),K25&lt;&gt;"",NOT(EXACT(K25,"not_applicable"))),AND(NOT(AND(D25="retain",E25="protocol_report")),L25&lt;&gt;"",NOT(EXACT(L25,"not_applicable")))),"CLEAR INACTIVE VALUES",IF(OR(NOT(OR(EXACT(D25,"retain"),EXACT(D25,"exclude"),EXACT(D25,"discuss"))),NOT(OR(EXACT(E25,"statistical_results"),EXACT(E25,"report_internal_inconsistency"),EXACT(E25,"plan_material"),EXACT(E25,"protocol_report"))),AND(AND(D25="retain",E25="statistical_results"),NOT(OR(EXACT(H25,"confirmed_issue"),EXACT(H25,"probable_issue"),EXACT(H25,"not_issue"),EXACT(H25,"indeterminate")))),AND(AND(D25="retain",E25="statistical_results"),NOT(OR(EXACT(I25,"substantive"),EXACT(I25,"minor_presentation"),EXACT(I25,"indeterminate")))),AND(AND(D25="retain",E25="statistical_results"),J25&lt;&gt;"",NOT(OR(EXACT(J25,"direct"),EXACT(J25,"possible"),EXACT(J25,"unlikely"),EXACT(J25,"unknown")))),AND(AND(D25="retain",OR(E25="report_internal_inconsistency",E25="plan_material")),NOT(OR(EXACT(K25,"substantive_inconsistency"),EXACT(K25,"minor_presentation"),EXACT(K25,"non_inconsistency"),EXACT(K25,"indeterminate")))),AND(AND(D25="retain",E25="protocol_report"),L25&lt;&gt;"",NOT(OR(EXACT(L25,"substantive_difference"),EXACT(L25,"minor_presentation"),EXACT(L25,"version_timing"),EXACT(L25,"non_inconsistency"),EXACT(L25,"indeterminate"))))),"CHECK FIELDS",IF(AND(F25&lt;&gt;"",NOT(OR(EXACT(F25,"no"),EXACT(F25,"primary_done")))),"CHECK COMPLETE",IF(EXACT(F25,"primary_done"),"PRIMARY READY","PRIMARY DRAFT")))))),"CHECK INPUT / KEY")</f>
        <v/>
      </c>
      <c r="H25" s="21" t="inlineStr">
        <is>
          <t>confirmed_issue</t>
        </is>
      </c>
      <c r="I25" s="21" t="inlineStr">
        <is>
          <t>substantive</t>
        </is>
      </c>
      <c r="J25" s="22" t="inlineStr">
        <is>
          <t>direct</t>
        </is>
      </c>
      <c r="K25" s="21">
        <f>IF(AND(OR(D25="retain",D25=""),OR(E25="report_internal_inconsistency",E25="plan_material")),"","not_applicable")</f>
        <v/>
      </c>
      <c r="L25" s="22">
        <f>IF(AND(OR(D25="retain",D25=""),E25="protocol_report"),"","not_applicable")</f>
        <v/>
      </c>
      <c r="M25" s="24" t="n"/>
      <c r="N25" s="23" t="n"/>
      <c r="O25" s="23" t="n"/>
      <c r="P25" s="23" t="n"/>
      <c r="Q25" s="23" t="n"/>
      <c r="R25" s="22" t="inlineStr">
        <is>
          <t>Figure 3B all patients: 150/388 vs 170/388 IMV, HR 1.17 (0.94-1.46) vs Table 2 cause-specific HR 0.85 (0.68-1.06). 1/0.85 = 1.18, 1/0.68 = 1.47, 1/1.06 = 0.94: reciprocal within rounding. Subgroups are inverted too (no hematologic malignancy: 30.7% vs 44.9% IMV but HR 1.61, interaction P = .01). Figure orientation contradicts its favor labels and Table 2.</t>
        </is>
      </c>
    </row>
    <row r="26" ht="92" customFormat="1" customHeight="1" s="14">
      <c r="A26" s="20" t="inlineStr">
        <is>
          <t>2018::jama.2018.14282::C025</t>
        </is>
      </c>
      <c r="B26" s="20" t="inlineStr">
        <is>
          <t>Revised-superiority sample-size total conflicts with equal arm counts</t>
        </is>
      </c>
      <c r="C26" s="20" t="inlineStr">
        <is>
          <t>DOC-001 — PDF p. 3; DOC-002 completed published-protocol abstract sentence — PDF p. 91; DOC-002 statistical-plan comparator — PDF p. 103</t>
        </is>
      </c>
      <c r="D26" s="21" t="inlineStr">
        <is>
          <t>retain</t>
        </is>
      </c>
      <c r="E26" s="21" t="inlineStr">
        <is>
          <t>statistical_results</t>
        </is>
      </c>
      <c r="F26" s="21" t="inlineStr">
        <is>
          <t>primary_done</t>
        </is>
      </c>
      <c r="G26" s="20">
        <f>IFERROR(IF(LEN(TRIM(CLEAN(SUBSTITUTE(Setup!$B$2,CHAR(160)," "))))=0,"CHECK REVIEWER ID",IF(OR(A26="",COUNTIF($A$2:$A$29,A26)&lt;&gt;1,LEFT(A26,LEN("2018::jama.2018.14282::"))&lt;&gt;"2018::jama.2018.14282::"),"CHECK KEY",IF(OR(AND(NOT(AND(D26="retain",E26="statistical_results")),H26&lt;&gt;"",NOT(EXACT(H26,"not_applicable"))),AND(NOT(AND(D26="retain",E26="statistical_results")),I26&lt;&gt;"",NOT(EXACT(I26,"not_applicable"))),AND(NOT(AND(D26="retain",E26="statistical_results")),J26&lt;&gt;"",NOT(EXACT(J26,"not_applicable"))),AND(NOT(AND(D26="retain",OR(E26="report_internal_inconsistency",E26="plan_material"))),K26&lt;&gt;"",NOT(EXACT(K26,"not_applicable"))),AND(NOT(AND(D26="retain",E26="protocol_report")),L26&lt;&gt;"",NOT(EXACT(L26,"not_applicable")))),"CLEAR INACTIVE VALUES",IF(OR(NOT(OR(EXACT(D26,"retain"),EXACT(D26,"exclude"),EXACT(D26,"discuss"))),NOT(OR(EXACT(E26,"statistical_results"),EXACT(E26,"report_internal_inconsistency"),EXACT(E26,"plan_material"),EXACT(E26,"protocol_report"))),AND(AND(D26="retain",E26="statistical_results"),NOT(OR(EXACT(H26,"confirmed_issue"),EXACT(H26,"probable_issue"),EXACT(H26,"not_issue"),EXACT(H26,"indeterminate")))),AND(AND(D26="retain",E26="statistical_results"),NOT(OR(EXACT(I26,"substantive"),EXACT(I26,"minor_presentation"),EXACT(I26,"indeterminate")))),AND(AND(D26="retain",E26="statistical_results"),J26&lt;&gt;"",NOT(OR(EXACT(J26,"direct"),EXACT(J26,"possible"),EXACT(J26,"unlikely"),EXACT(J26,"unknown")))),AND(AND(D26="retain",OR(E26="report_internal_inconsistency",E26="plan_material")),NOT(OR(EXACT(K26,"substantive_inconsistency"),EXACT(K26,"minor_presentation"),EXACT(K26,"non_inconsistency"),EXACT(K26,"indeterminate")))),AND(AND(D26="retain",E26="protocol_report"),L26&lt;&gt;"",NOT(OR(EXACT(L26,"substantive_difference"),EXACT(L26,"minor_presentation"),EXACT(L26,"version_timing"),EXACT(L26,"non_inconsistency"),EXACT(L26,"indeterminate"))))),"CHECK FIELDS",IF(AND(F26&lt;&gt;"",NOT(OR(EXACT(F26,"no"),EXACT(F26,"primary_done")))),"CHECK COMPLETE",IF(EXACT(F26,"primary_done"),"PRIMARY READY","PRIMARY DRAFT")))))),"CHECK INPUT / KEY")</f>
        <v/>
      </c>
      <c r="H26" s="21" t="inlineStr">
        <is>
          <t>confirmed_issue</t>
        </is>
      </c>
      <c r="I26" s="21" t="inlineStr">
        <is>
          <t>minor_presentation</t>
        </is>
      </c>
      <c r="J26" s="22" t="inlineStr">
        <is>
          <t>unlikely</t>
        </is>
      </c>
      <c r="K26" s="21">
        <f>IF(AND(OR(D26="retain",D26=""),OR(E26="report_internal_inconsistency",E26="plan_material")),"","not_applicable")</f>
        <v/>
      </c>
      <c r="L26" s="22">
        <f>IF(AND(OR(D26="retain",D26=""),E26="protocol_report"),"","not_applicable")</f>
        <v/>
      </c>
      <c r="M26" s="20" t="n"/>
      <c r="N26" s="23" t="n"/>
      <c r="O26" s="23" t="n"/>
      <c r="P26" s="23" t="n"/>
      <c r="Q26" s="23" t="n"/>
      <c r="R26" s="22" t="inlineStr">
        <is>
          <t>Methods p.3: '779 patients (389 in each group) were required'. 389 + 389 = 778; the final SAP (supplement 1 p.103) and Results p.5 state 778 (389 per group). Arithmetic typo in the sample-size sentence; design unaffected. Minor.</t>
        </is>
      </c>
    </row>
    <row r="27" ht="92" customFormat="1" customHeight="1" s="14">
      <c r="A27" s="24" t="inlineStr">
        <is>
          <t>2018::jama.2018.14282::C026</t>
        </is>
      </c>
      <c r="B27" s="24" t="inlineStr">
        <is>
          <t>Noninferiority bound/sign wording conflicts with its explanatory axis</t>
        </is>
      </c>
      <c r="C27" s="24" t="inlineStr">
        <is>
          <t>DOC-002 Figure 4 — PDF p. 40; DOC-002 — PDF p. 42</t>
        </is>
      </c>
      <c r="D27" s="21" t="inlineStr">
        <is>
          <t>retain</t>
        </is>
      </c>
      <c r="E27" s="21" t="inlineStr">
        <is>
          <t>plan_material</t>
        </is>
      </c>
      <c r="F27" s="21" t="inlineStr">
        <is>
          <t>primary_done</t>
        </is>
      </c>
      <c r="G27" s="24">
        <f>IFERROR(IF(LEN(TRIM(CLEAN(SUBSTITUTE(Setup!$B$2,CHAR(160)," "))))=0,"CHECK REVIEWER ID",IF(OR(A27="",COUNTIF($A$2:$A$29,A27)&lt;&gt;1,LEFT(A27,LEN("2018::jama.2018.14282::"))&lt;&gt;"2018::jama.2018.14282::"),"CHECK KEY",IF(OR(AND(NOT(AND(D27="retain",E27="statistical_results")),H27&lt;&gt;"",NOT(EXACT(H27,"not_applicable"))),AND(NOT(AND(D27="retain",E27="statistical_results")),I27&lt;&gt;"",NOT(EXACT(I27,"not_applicable"))),AND(NOT(AND(D27="retain",E27="statistical_results")),J27&lt;&gt;"",NOT(EXACT(J27,"not_applicable"))),AND(NOT(AND(D27="retain",OR(E27="report_internal_inconsistency",E27="plan_material"))),K27&lt;&gt;"",NOT(EXACT(K27,"not_applicable"))),AND(NOT(AND(D27="retain",E27="protocol_report")),L27&lt;&gt;"",NOT(EXACT(L27,"not_applicable")))),"CLEAR INACTIVE VALUES",IF(OR(NOT(OR(EXACT(D27,"retain"),EXACT(D27,"exclude"),EXACT(D27,"discuss"))),NOT(OR(EXACT(E27,"statistical_results"),EXACT(E27,"report_internal_inconsistency"),EXACT(E27,"plan_material"),EXACT(E27,"protocol_report"))),AND(AND(D27="retain",E27="statistical_results"),NOT(OR(EXACT(H27,"confirmed_issue"),EXACT(H27,"probable_issue"),EXACT(H27,"not_issue"),EXACT(H27,"indeterminate")))),AND(AND(D27="retain",E27="statistical_results"),NOT(OR(EXACT(I27,"substantive"),EXACT(I27,"minor_presentation"),EXACT(I27,"indeterminate")))),AND(AND(D27="retain",E27="statistical_results"),J27&lt;&gt;"",NOT(OR(EXACT(J27,"direct"),EXACT(J27,"possible"),EXACT(J27,"unlikely"),EXACT(J27,"unknown")))),AND(AND(D27="retain",OR(E27="report_internal_inconsistency",E27="plan_material")),NOT(OR(EXACT(K27,"substantive_inconsistency"),EXACT(K27,"minor_presentation"),EXACT(K27,"non_inconsistency"),EXACT(K27,"indeterminate")))),AND(AND(D27="retain",E27="protocol_report"),L27&lt;&gt;"",NOT(OR(EXACT(L27,"substantive_difference"),EXACT(L27,"minor_presentation"),EXACT(L27,"version_timing"),EXACT(L27,"non_inconsistency"),EXACT(L27,"indeterminate"))))),"CHECK FIELDS",IF(AND(F27&lt;&gt;"",NOT(OR(EXACT(F27,"no"),EXACT(F27,"primary_done")))),"CHECK COMPLETE",IF(EXACT(F27,"primary_done"),"PRIMARY READY","PRIMARY DRAFT")))))),"CHECK INPUT / KEY")</f>
        <v/>
      </c>
      <c r="H27" s="21">
        <f>IF(AND(OR(D27="retain",D27=""),E27="statistical_results"),"","not_applicable")</f>
        <v/>
      </c>
      <c r="I27" s="21">
        <f>IF(AND(OR(D27="retain",D27=""),E27="statistical_results"),"","not_applicable")</f>
        <v/>
      </c>
      <c r="J27" s="22">
        <f>IF(AND(OR(D27="retain",D27=""),E27="statistical_results"),"","not_applicable")</f>
        <v/>
      </c>
      <c r="K27" s="21" t="inlineStr">
        <is>
          <t>substantive_inconsistency</t>
        </is>
      </c>
      <c r="L27" s="22">
        <f>IF(AND(OR(D27="retain",D27=""),E27="protocol_report"),"","not_applicable")</f>
        <v/>
      </c>
      <c r="M27" s="24" t="n"/>
      <c r="N27" s="23" t="n"/>
      <c r="O27" s="23" t="n"/>
      <c r="P27" s="23" t="n"/>
      <c r="Q27" s="23" t="n"/>
      <c r="R27" s="22" t="inlineStr">
        <is>
          <t>Initial protocol (supplement 1 p.40-42): Figure 4 shows a negative-side margin on a 'new minus control' efficacy scale, but p.42 states 'Non-inferiority of HFNO will thus be demonstrated if the lower boundary of the 95% CI is less than 9%'. For mortality, NI needs the upper bound &lt; +9% (or lower bound &gt; -9% on the efficacy scale). Rule misstated; later superseded by the superiority design.</t>
        </is>
      </c>
    </row>
    <row r="28" ht="92" customFormat="1" customHeight="1" s="14">
      <c r="A28" s="20" t="inlineStr">
        <is>
          <t>2018::jama.2018.14282::C027</t>
        </is>
      </c>
      <c r="B28" s="20" t="inlineStr">
        <is>
          <t>Primary-hypothesis intervention is labelled NIV while plans identify HFNO</t>
        </is>
      </c>
      <c r="C28" s="20" t="inlineStr">
        <is>
          <t>DOC-002 — PDF p. 52; DOC-002 — PDF p. 104</t>
        </is>
      </c>
      <c r="D28" s="21" t="inlineStr">
        <is>
          <t>retain</t>
        </is>
      </c>
      <c r="E28" s="21" t="inlineStr">
        <is>
          <t>plan_material</t>
        </is>
      </c>
      <c r="F28" s="21" t="inlineStr">
        <is>
          <t>primary_done</t>
        </is>
      </c>
      <c r="G28" s="20">
        <f>IFERROR(IF(LEN(TRIM(CLEAN(SUBSTITUTE(Setup!$B$2,CHAR(160)," "))))=0,"CHECK REVIEWER ID",IF(OR(A28="",COUNTIF($A$2:$A$29,A28)&lt;&gt;1,LEFT(A28,LEN("2018::jama.2018.14282::"))&lt;&gt;"2018::jama.2018.14282::"),"CHECK KEY",IF(OR(AND(NOT(AND(D28="retain",E28="statistical_results")),H28&lt;&gt;"",NOT(EXACT(H28,"not_applicable"))),AND(NOT(AND(D28="retain",E28="statistical_results")),I28&lt;&gt;"",NOT(EXACT(I28,"not_applicable"))),AND(NOT(AND(D28="retain",E28="statistical_results")),J28&lt;&gt;"",NOT(EXACT(J28,"not_applicable"))),AND(NOT(AND(D28="retain",OR(E28="report_internal_inconsistency",E28="plan_material"))),K28&lt;&gt;"",NOT(EXACT(K28,"not_applicable"))),AND(NOT(AND(D28="retain",E28="protocol_report")),L28&lt;&gt;"",NOT(EXACT(L28,"not_applicable")))),"CLEAR INACTIVE VALUES",IF(OR(NOT(OR(EXACT(D28,"retain"),EXACT(D28,"exclude"),EXACT(D28,"discuss"))),NOT(OR(EXACT(E28,"statistical_results"),EXACT(E28,"report_internal_inconsistency"),EXACT(E28,"plan_material"),EXACT(E28,"protocol_report"))),AND(AND(D28="retain",E28="statistical_results"),NOT(OR(EXACT(H28,"confirmed_issue"),EXACT(H28,"probable_issue"),EXACT(H28,"not_issue"),EXACT(H28,"indeterminate")))),AND(AND(D28="retain",E28="statistical_results"),NOT(OR(EXACT(I28,"substantive"),EXACT(I28,"minor_presentation"),EXACT(I28,"indeterminate")))),AND(AND(D28="retain",E28="statistical_results"),J28&lt;&gt;"",NOT(OR(EXACT(J28,"direct"),EXACT(J28,"possible"),EXACT(J28,"unlikely"),EXACT(J28,"unknown")))),AND(AND(D28="retain",OR(E28="report_internal_inconsistency",E28="plan_material")),NOT(OR(EXACT(K28,"substantive_inconsistency"),EXACT(K28,"minor_presentation"),EXACT(K28,"non_inconsistency"),EXACT(K28,"indeterminate")))),AND(AND(D28="retain",E28="protocol_report"),L28&lt;&gt;"",NOT(OR(EXACT(L28,"substantive_difference"),EXACT(L28,"minor_presentation"),EXACT(L28,"version_timing"),EXACT(L28,"non_inconsistency"),EXACT(L28,"indeterminate"))))),"CHECK FIELDS",IF(AND(F28&lt;&gt;"",NOT(OR(EXACT(F28,"no"),EXACT(F28,"primary_done")))),"CHECK COMPLETE",IF(EXACT(F28,"primary_done"),"PRIMARY READY","PRIMARY DRAFT")))))),"CHECK INPUT / KEY")</f>
        <v/>
      </c>
      <c r="H28" s="21">
        <f>IF(AND(OR(D28="retain",D28=""),E28="statistical_results"),"","not_applicable")</f>
        <v/>
      </c>
      <c r="I28" s="21">
        <f>IF(AND(OR(D28="retain",D28=""),E28="statistical_results"),"","not_applicable")</f>
        <v/>
      </c>
      <c r="J28" s="22">
        <f>IF(AND(OR(D28="retain",D28=""),E28="statistical_results"),"","not_applicable")</f>
        <v/>
      </c>
      <c r="K28" s="21" t="inlineStr">
        <is>
          <t>minor_presentation</t>
        </is>
      </c>
      <c r="L28" s="22">
        <f>IF(AND(OR(D28="retain",D28=""),E28="protocol_report"),"","not_applicable")</f>
        <v/>
      </c>
      <c r="M28" s="20" t="n"/>
      <c r="N28" s="23" t="n"/>
      <c r="O28" s="23" t="n"/>
      <c r="P28" s="23" t="n"/>
      <c r="Q28" s="23" t="n"/>
      <c r="R28" s="22" t="inlineStr">
        <is>
          <t>Initial protocol p.52 ('primary hypothesis is non inferiority of the NIV') and final SAP as published p.104 ('superiority of the NIV') name NIV as the experimental intervention, while the same paragraphs state hypotheses about HFNO vs standard oxygen. Evident carry-over label from an earlier NIV trial; the intended intervention (HFNO) is clear. Minor.</t>
        </is>
      </c>
    </row>
    <row r="29" ht="92" customFormat="1" customHeight="1" s="14">
      <c r="A29" s="24" t="inlineStr">
        <is>
          <t>2018::jama.2018.14282::C028</t>
        </is>
      </c>
      <c r="B29" s="24" t="inlineStr">
        <is>
          <t>Planned primary outcome alternates between day-28 vital status and hospital death</t>
        </is>
      </c>
      <c r="C29" s="24" t="inlineStr">
        <is>
          <t>DOC-002 — PDF p. 54; DOC-002 — PDF p. 82; DOC-002 — PDF p. 104</t>
        </is>
      </c>
      <c r="D29" s="21" t="inlineStr">
        <is>
          <t>retain</t>
        </is>
      </c>
      <c r="E29" s="21" t="inlineStr">
        <is>
          <t>plan_material</t>
        </is>
      </c>
      <c r="F29" s="21" t="inlineStr">
        <is>
          <t>primary_done</t>
        </is>
      </c>
      <c r="G29" s="24">
        <f>IFERROR(IF(LEN(TRIM(CLEAN(SUBSTITUTE(Setup!$B$2,CHAR(160)," "))))=0,"CHECK REVIEWER ID",IF(OR(A29="",COUNTIF($A$2:$A$29,A29)&lt;&gt;1,LEFT(A29,LEN("2018::jama.2018.14282::"))&lt;&gt;"2018::jama.2018.14282::"),"CHECK KEY",IF(OR(AND(NOT(AND(D29="retain",E29="statistical_results")),H29&lt;&gt;"",NOT(EXACT(H29,"not_applicable"))),AND(NOT(AND(D29="retain",E29="statistical_results")),I29&lt;&gt;"",NOT(EXACT(I29,"not_applicable"))),AND(NOT(AND(D29="retain",E29="statistical_results")),J29&lt;&gt;"",NOT(EXACT(J29,"not_applicable"))),AND(NOT(AND(D29="retain",OR(E29="report_internal_inconsistency",E29="plan_material"))),K29&lt;&gt;"",NOT(EXACT(K29,"not_applicable"))),AND(NOT(AND(D29="retain",E29="protocol_report")),L29&lt;&gt;"",NOT(EXACT(L29,"not_applicable")))),"CLEAR INACTIVE VALUES",IF(OR(NOT(OR(EXACT(D29,"retain"),EXACT(D29,"exclude"),EXACT(D29,"discuss"))),NOT(OR(EXACT(E29,"statistical_results"),EXACT(E29,"report_internal_inconsistency"),EXACT(E29,"plan_material"),EXACT(E29,"protocol_report"))),AND(AND(D29="retain",E29="statistical_results"),NOT(OR(EXACT(H29,"confirmed_issue"),EXACT(H29,"probable_issue"),EXACT(H29,"not_issue"),EXACT(H29,"indeterminate")))),AND(AND(D29="retain",E29="statistical_results"),NOT(OR(EXACT(I29,"substantive"),EXACT(I29,"minor_presentation"),EXACT(I29,"indeterminate")))),AND(AND(D29="retain",E29="statistical_results"),J29&lt;&gt;"",NOT(OR(EXACT(J29,"direct"),EXACT(J29,"possible"),EXACT(J29,"unlikely"),EXACT(J29,"unknown")))),AND(AND(D29="retain",OR(E29="report_internal_inconsistency",E29="plan_material")),NOT(OR(EXACT(K29,"substantive_inconsistency"),EXACT(K29,"minor_presentation"),EXACT(K29,"non_inconsistency"),EXACT(K29,"indeterminate")))),AND(AND(D29="retain",E29="protocol_report"),L29&lt;&gt;"",NOT(OR(EXACT(L29,"substantive_difference"),EXACT(L29,"minor_presentation"),EXACT(L29,"version_timing"),EXACT(L29,"non_inconsistency"),EXACT(L29,"indeterminate"))))),"CHECK FIELDS",IF(AND(F29&lt;&gt;"",NOT(OR(EXACT(F29,"no"),EXACT(F29,"primary_done")))),"CHECK COMPLETE",IF(EXACT(F29,"primary_done"),"PRIMARY READY","PRIMARY DRAFT")))))),"CHECK INPUT / KEY")</f>
        <v/>
      </c>
      <c r="H29" s="21">
        <f>IF(AND(OR(D29="retain",D29=""),E29="statistical_results"),"","not_applicable")</f>
        <v/>
      </c>
      <c r="I29" s="21">
        <f>IF(AND(OR(D29="retain",D29=""),E29="statistical_results"),"","not_applicable")</f>
        <v/>
      </c>
      <c r="J29" s="22">
        <f>IF(AND(OR(D29="retain",D29=""),E29="statistical_results"),"","not_applicable")</f>
        <v/>
      </c>
      <c r="K29" s="21" t="inlineStr">
        <is>
          <t>minor_presentation</t>
        </is>
      </c>
      <c r="L29" s="22">
        <f>IF(AND(OR(D29="retain",D29=""),E29="protocol_report"),"","not_applicable")</f>
        <v/>
      </c>
      <c r="M29" s="24" t="n"/>
      <c r="N29" s="23" t="n"/>
      <c r="O29" s="23" t="n"/>
      <c r="P29" s="23" t="n"/>
      <c r="Q29" s="23" t="n"/>
      <c r="R29" s="22" t="inlineStr">
        <is>
          <t>Initial protocol p.54, original SAP p.82 and final SAP p.104 all say patients are followed to day 28 and classified alive or dead, then that 'the relative risk of hospital death' will be estimated. Day-28 death and hospital death are different endpoints (hospital mortality is a separate secondary outcome). Primary outcome is otherwise consistently day-28 mortality. Minor wording conflict.</t>
        </is>
      </c>
    </row>
  </sheetData>
  <autoFilter ref="A1:R29"/>
  <conditionalFormatting sqref="H2:H29">
    <cfRule type="expression" priority="8" dxfId="70">
      <formula>NOT(AND(OR($D2="retain",$D2=""),$E2="statistical_results"))</formula>
    </cfRule>
  </conditionalFormatting>
  <conditionalFormatting sqref="I2:I29">
    <cfRule type="expression" priority="9" dxfId="70">
      <formula>NOT(AND(OR($D2="retain",$D2=""),$E2="statistical_results"))</formula>
    </cfRule>
  </conditionalFormatting>
  <conditionalFormatting sqref="J2:J29">
    <cfRule type="expression" priority="10" dxfId="70">
      <formula>NOT(AND(OR($D2="retain",$D2=""),$E2="statistical_results"))</formula>
    </cfRule>
  </conditionalFormatting>
  <conditionalFormatting sqref="K2:K29">
    <cfRule type="expression" priority="11" dxfId="70">
      <formula>NOT(AND(OR($D2="retain",$D2=""),OR($E2="report_internal_inconsistency",$E2="plan_material")))</formula>
    </cfRule>
  </conditionalFormatting>
  <conditionalFormatting sqref="L2:L29">
    <cfRule type="expression" priority="12" dxfId="70">
      <formula>NOT(AND(OR($D2="retain",$D2=""),$E2="protocol_report"))</formula>
    </cfRule>
  </conditionalFormatting>
  <conditionalFormatting sqref="G2:G29">
    <cfRule type="expression" priority="13" dxfId="71">
      <formula>G2&lt;&gt;"PRIMARY READY"</formula>
    </cfRule>
  </conditionalFormatting>
  <dataValidations count="8">
    <dataValidation sqref="D2:D29" showDropDown="0" showInputMessage="0" showErrorMessage="1" allowBlank="1" errorTitle="Use a listed option" error="Choose an option; G also checks pasted entries." type="list" errorStyle="stop">
      <formula1>"retain,exclude,discuss"</formula1>
    </dataValidation>
    <dataValidation sqref="E2:E2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9" showDropDown="0" showInputMessage="0" showErrorMessage="1" allowBlank="1" errorTitle="Use a listed option" error="Choose an option; G also checks pasted entries." type="list" errorStyle="stop">
      <formula1>"no,primary_done"</formula1>
    </dataValidation>
    <dataValidation sqref="H2:H2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9" showDropDown="0" showInputMessage="0" showErrorMessage="1" allowBlank="1" errorTitle="Use a listed option" error="Choose an option; G also checks pasted entries." type="list" errorStyle="stop">
      <formula1>"direct,possible,unlikely,unknown,not_applicable"</formula1>
    </dataValidation>
    <dataValidation sqref="K2:K2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2018::jama.2018.17075::C001</t>
        </is>
      </c>
      <c r="B2" s="20" t="inlineStr">
        <is>
          <t>Normothermia Injury Severity Score median is below its printed IQR lower endpoint</t>
        </is>
      </c>
      <c r="C2" s="20" t="inlineStr">
        <is>
          <t>jama_cooper_2018_oi_180132.pdf — PDF p. 5, Table 1, normothermia Injury Severity Score.</t>
        </is>
      </c>
      <c r="D2" s="21" t="inlineStr">
        <is>
          <t>retain</t>
        </is>
      </c>
      <c r="E2" s="21" t="inlineStr">
        <is>
          <t>statistical_results</t>
        </is>
      </c>
      <c r="F2" s="21" t="inlineStr">
        <is>
          <t>primary_done</t>
        </is>
      </c>
      <c r="G2" s="20">
        <f>IFERROR(IF(LEN(TRIM(CLEAN(SUBSTITUTE(Setup!$B$2,CHAR(160)," "))))=0,"CHECK REVIEWER ID",IF(OR(A2="",COUNTIF($A$2:$A$9,A2)&lt;&gt;1,LEFT(A2,LEN("2018::jama.2018.17075::"))&lt;&gt;"2018::jama.2018.17075::"),"CHECK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t="inlineStr">
        <is>
          <t>Table 1 normothermia Injury Severity Score: median (IQR) 20.0 (20.5-35.0). A median cannot lie below Q1, so at least one value is wrong. The as-treated eTable 10 reports ISS medians of 29 in both groups, which makes an ITT normothermia median of 20 (vs 26 for hypothermia) doubtful; the printed values suggest a 6-point baseline imbalance that may not exist.</t>
        </is>
      </c>
    </row>
    <row r="3" ht="92" customFormat="1" customHeight="1" s="14">
      <c r="A3" s="24" t="inlineStr">
        <is>
          <t>2018::jama.2018.17075::C002</t>
        </is>
      </c>
      <c r="B3" s="24" t="inlineStr">
        <is>
          <t>Primary risk difference has opposite signs in matched main-article locations</t>
        </is>
      </c>
      <c r="C3" s="24" t="inlineStr">
        <is>
          <t>jama_cooper_2018_oi_180132.pdf — PDF p. 1, abstract Results; PDF p. 5, Primary Outcome Results; PDF p. 7, Table 2 favorable outcome.</t>
        </is>
      </c>
      <c r="D3" s="21" t="inlineStr">
        <is>
          <t>retain</t>
        </is>
      </c>
      <c r="E3" s="21" t="inlineStr">
        <is>
          <t>statistical_results</t>
        </is>
      </c>
      <c r="F3" s="21" t="inlineStr">
        <is>
          <t>primary_done</t>
        </is>
      </c>
      <c r="G3" s="24">
        <f>IFERROR(IF(LEN(TRIM(CLEAN(SUBSTITUTE(Setup!$B$2,CHAR(160)," "))))=0,"CHECK REVIEWER ID",IF(OR(A3="",COUNTIF($A$2:$A$9,A3)&lt;&gt;1,LEFT(A3,LEN("2018::jama.2018.17075::"))&lt;&gt;"2018::jama.2018.17075::"),"CHECK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t="inlineStr">
        <is>
          <t>Primary outcome: abstract gives risk difference 0.4% (95% CI -9.4% to 8.7%); Results p.5 and Table 2 give -0.4 with the same counts and CI. 117/240 - 111/226 = -0.365 pp (Wald CI -9.45 to 8.72), so the abstract sign is wrong. Interpretation (no difference) is unchanged, but the abstract estimate has the wrong direction. Domain changed to statistical_results.</t>
        </is>
      </c>
    </row>
    <row r="4" ht="92" customFormat="1" customHeight="1" s="14">
      <c r="A4" s="20" t="inlineStr">
        <is>
          <t>2018::jama.2018.17075::C003</t>
        </is>
      </c>
      <c r="B4" s="20" t="inlineStr">
        <is>
          <t>Intracranial-bleeding effect and P-value reporting conflicts with matched evidence</t>
        </is>
      </c>
      <c r="C4" s="20" t="inlineStr">
        <is>
          <t>jama_cooper_2018_oi_180132.pdf — PDF p. 7, Table 2, new or increased intracranial bleeding; joi180132supp2_prod.pdf — PDF p. 10, eTable 6, same outcome; jama_cooper_2018_oi_180132.pdf — PDF p. 3, Statistical Analysis.</t>
        </is>
      </c>
      <c r="D4" s="21" t="inlineStr">
        <is>
          <t>retain</t>
        </is>
      </c>
      <c r="E4" s="21" t="inlineStr">
        <is>
          <t>statistical_results</t>
        </is>
      </c>
      <c r="F4" s="21" t="inlineStr">
        <is>
          <t>primary_done</t>
        </is>
      </c>
      <c r="G4" s="20">
        <f>IFERROR(IF(LEN(TRIM(CLEAN(SUBSTITUTE(Setup!$B$2,CHAR(160)," "))))=0,"CHECK REVIEWER ID",IF(OR(A4="",COUNTIF($A$2:$A$9,A4)&lt;&gt;1,LEFT(A4,LEN("2018::jama.2018.17075::"))&lt;&gt;"2018::jama.2018.17075::"),"CHECK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t="inlineStr">
        <is>
          <t>Table 2 intracranial bleeding 47/260 vs 37/240: printed RR 1.23 (0.43-3.5), P = .70. From the counts RR = 1.17 (0.79-1.74), chi-square P = .43, which is what eTable 6 gives (P = .43) and what Table 2 prints in the adjacent extracranial row. The RR/CI/P of the two bleeding rows are swapped; the absolute differences are correct.</t>
        </is>
      </c>
    </row>
    <row r="5" ht="92" customFormat="1" customHeight="1" s="14">
      <c r="A5" s="24" t="inlineStr">
        <is>
          <t>2018::jama.2018.17075::C004</t>
        </is>
      </c>
      <c r="B5" s="24" t="inlineStr">
        <is>
          <t>Extracranial-bleeding effect and P-value reporting conflicts with matched evidence</t>
        </is>
      </c>
      <c r="C5" s="24" t="inlineStr">
        <is>
          <t>jama_cooper_2018_oi_180132.pdf — PDF p. 7, Table 2, new significant extracranial bleeding; joi180132supp2_prod.pdf — PDF p. 10, eTable 6, same outcome; jama_cooper_2018_oi_180132.pdf — PDF p. 3, Statistical Analysis.</t>
        </is>
      </c>
      <c r="D5" s="21" t="inlineStr">
        <is>
          <t>retain</t>
        </is>
      </c>
      <c r="E5" s="21" t="inlineStr">
        <is>
          <t>statistical_results</t>
        </is>
      </c>
      <c r="F5" s="21" t="inlineStr">
        <is>
          <t>primary_done</t>
        </is>
      </c>
      <c r="G5" s="24">
        <f>IFERROR(IF(LEN(TRIM(CLEAN(SUBSTITUTE(Setup!$B$2,CHAR(160)," "))))=0,"CHECK REVIEWER ID",IF(OR(A5="",COUNTIF($A$2:$A$9,A5)&lt;&gt;1,LEFT(A5,LEN("2018::jama.2018.17075::"))&lt;&gt;"2018::jama.2018.17075::"),"CHECK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substantive</t>
        </is>
      </c>
      <c r="J5" s="22" t="inlineStr">
        <is>
          <t>direct</t>
        </is>
      </c>
      <c r="K5" s="21">
        <f>IF(AND(OR(D5="retain",D5=""),OR(E5="report_internal_inconsistency",E5="plan_material")),"","not_applicable")</f>
        <v/>
      </c>
      <c r="L5" s="22">
        <f>IF(AND(OR(D5="retain",D5=""),E5="protocol_report"),"","not_applicable")</f>
        <v/>
      </c>
      <c r="M5" s="24" t="n"/>
      <c r="N5" s="23" t="n"/>
      <c r="O5" s="23" t="n"/>
      <c r="P5" s="23" t="n"/>
      <c r="Q5" s="23" t="n"/>
      <c r="R5" s="22" t="inlineStr">
        <is>
          <t>Table 2 extracranial bleeding 8/260 vs 6/240: printed RR 1.17 (0.79-1.74), P = .43. From the counts RR = 1.23 (0.43-3.50), chi-square P = .70, matching eTable 6 (P = .70). Mirror image of C003: RR/CI/P transposed between the two bleeding rows. Printed CI is far too narrow for 14 events.</t>
        </is>
      </c>
    </row>
    <row r="6" ht="92" customFormat="1" customHeight="1" s="14">
      <c r="A6" s="20" t="inlineStr">
        <is>
          <t>2018::jama.2018.17075::C005</t>
        </is>
      </c>
      <c r="B6" s="20" t="inlineStr">
        <is>
          <t>As-treated evacuated-mass-lesion cell reverses count and percentage order</t>
        </is>
      </c>
      <c r="C6" s="20" t="inlineStr">
        <is>
          <t>joi180132supp2_prod.pdf — PDF p. 18, eTable 10, CT Marshall classification, evacuated mass lesion V, normothermia.</t>
        </is>
      </c>
      <c r="D6" s="21" t="inlineStr">
        <is>
          <t>retain</t>
        </is>
      </c>
      <c r="E6" s="21" t="inlineStr">
        <is>
          <t>statistical_results</t>
        </is>
      </c>
      <c r="F6" s="21" t="inlineStr">
        <is>
          <t>primary_done</t>
        </is>
      </c>
      <c r="G6" s="20">
        <f>IFERROR(IF(LEN(TRIM(CLEAN(SUBSTITUTE(Setup!$B$2,CHAR(160)," "))))=0,"CHECK REVIEWER ID",IF(OR(A6="",COUNTIF($A$2:$A$9,A6)&lt;&gt;1,LEFT(A6,LEN("2018::jama.2018.17075::"))&lt;&gt;"2018::jama.2018.17075::"),"CHECK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10 (as-treated) normothermia, evacuated mass lesion V: '34.7 (68)' under No. (%), i.e., percentage and count reversed; 68/196 = 34.7%. With counts 3 + 108 + 15 + 68 + 2 = 196 the column closes. Formatting error; values recoverable. Domain changed to statistical_results.</t>
        </is>
      </c>
    </row>
    <row r="7" ht="92" customFormat="1" customHeight="1" s="14">
      <c r="A7" s="24" t="inlineStr">
        <is>
          <t>2018::jama.2018.17075::C006</t>
        </is>
      </c>
      <c r="B7" s="24" t="inlineStr">
        <is>
          <t>As-treated non-evacuated-mass-lesion cell reverses count and percentage order</t>
        </is>
      </c>
      <c r="C7" s="24" t="inlineStr">
        <is>
          <t>joi180132supp2_prod.pdf — PDF p. 18, eTable 10, CT Marshall classification, non-evacuated mass lesion VI, normothermia.</t>
        </is>
      </c>
      <c r="D7" s="21" t="inlineStr">
        <is>
          <t>retain</t>
        </is>
      </c>
      <c r="E7" s="21" t="inlineStr">
        <is>
          <t>statistical_results</t>
        </is>
      </c>
      <c r="F7" s="21" t="inlineStr">
        <is>
          <t>primary_done</t>
        </is>
      </c>
      <c r="G7" s="24">
        <f>IFERROR(IF(LEN(TRIM(CLEAN(SUBSTITUTE(Setup!$B$2,CHAR(160)," "))))=0,"CHECK REVIEWER ID",IF(OR(A7="",COUNTIF($A$2:$A$9,A7)&lt;&gt;1,LEFT(A7,LEN("2018::jama.2018.17075::"))&lt;&gt;"2018::jama.2018.17075::"),"CHECK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10 normothermia, non-evacuated mass lesion VI: '1 (2)'. Literal 1/196 = 0.5%, not 2%, and a count of 1 leaves the CT categories summing to 195. Read as count 2 (1.0%), it fits: 2/196 = 1.0% and categories sum to 196. Same reversal as the cell above. Minor; domain changed to statistical_results.</t>
        </is>
      </c>
    </row>
    <row r="8" ht="92" customFormat="1" customHeight="1" s="14">
      <c r="A8" s="20" t="inlineStr">
        <is>
          <t>2018::jama.2018.17075::C007</t>
        </is>
      </c>
      <c r="B8" s="20" t="inlineStr">
        <is>
          <t>Adjusted odds-ratio confidence-interval string is malformed</t>
        </is>
      </c>
      <c r="C8" s="20" t="inlineStr">
        <is>
          <t>joi180132supp2_prod.pdf — PDF p. 22, post-hoc adequate-cooling Results, final sentence.</t>
        </is>
      </c>
      <c r="D8" s="21" t="inlineStr">
        <is>
          <t>retain</t>
        </is>
      </c>
      <c r="E8" s="21" t="inlineStr">
        <is>
          <t>statistical_results</t>
        </is>
      </c>
      <c r="F8" s="21" t="inlineStr">
        <is>
          <t>primary_done</t>
        </is>
      </c>
      <c r="G8" s="20">
        <f>IFERROR(IF(LEN(TRIM(CLEAN(SUBSTITUTE(Setup!$B$2,CHAR(160)," "))))=0,"CHECK REVIEWER ID",IF(OR(A8="",COUNTIF($A$2:$A$9,A8)&lt;&gt;1,LEFT(A8,LEN("2018::jama.2018.17075::"))&lt;&gt;"2018::jama.2018.17075::"),"CHECK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minor_presentation</t>
        </is>
      </c>
      <c r="J8" s="22" t="inlineStr">
        <is>
          <t>unlikely</t>
        </is>
      </c>
      <c r="K8" s="21">
        <f>IF(AND(OR(D8="retain",D8=""),OR(E8="report_internal_inconsistency",E8="plan_material")),"","not_applicable")</f>
        <v/>
      </c>
      <c r="L8" s="22">
        <f>IF(AND(OR(D8="retain",D8=""),E8="protocol_report"),"","not_applicable")</f>
        <v/>
      </c>
      <c r="M8" s="20" t="n"/>
      <c r="N8" s="23" t="n"/>
      <c r="O8" s="23" t="n"/>
      <c r="P8" s="23" t="n"/>
      <c r="Q8" s="23" t="n"/>
      <c r="R8" s="22" t="inlineStr">
        <is>
          <t>Supplement post hoc adequate-cooling analysis prints 'adjusted odds ratio ... 0.95 (0.55-275 1.64) P = .84'. The stray '275' looks like an extraction/line-number artifact; sqrt(0.55 x 1.64) = 0.95, consistent with a CI of 0.55-1.64. Malformed string in an exploratory post hoc result; intended interval recoverable.</t>
        </is>
      </c>
    </row>
    <row r="9" ht="92" customFormat="1" customHeight="1" s="14">
      <c r="A9" s="24" t="inlineStr">
        <is>
          <t>2018::jama.2018.17075::C008</t>
        </is>
      </c>
      <c r="B9" s="24" t="inlineStr">
        <is>
          <t>Abstract male count conflicts with its percentage and Table 1 total</t>
        </is>
      </c>
      <c r="C9" s="24" t="inlineStr">
        <is>
          <t>jama_cooper_2018_oi_180132.pdf — PDF p. 1, abstract Results; PDF p. 5, Table 1, Men and Women rows.</t>
        </is>
      </c>
      <c r="D9" s="21" t="inlineStr">
        <is>
          <t>retain</t>
        </is>
      </c>
      <c r="E9" s="21" t="inlineStr">
        <is>
          <t>statistical_results</t>
        </is>
      </c>
      <c r="F9" s="21" t="inlineStr">
        <is>
          <t>primary_done</t>
        </is>
      </c>
      <c r="G9" s="24">
        <f>IFERROR(IF(LEN(TRIM(CLEAN(SUBSTITUTE(Setup!$B$2,CHAR(160)," "))))=0,"CHECK REVIEWER ID",IF(OR(A9="",COUNTIF($A$2:$A$9,A9)&lt;&gt;1,LEFT(A9,LEN("2018::jama.2018.17075::"))&lt;&gt;"2018::jama.2018.17075::"),"CHECK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t="inlineStr">
        <is>
          <t>Abstract: 500 with ongoing consent, '402 men [80.2%]'. Table 1: men 207 + 194 = 401; women 53 + 46 = 99; 401 + 99 = 500; 401/500 = 80.2%, whereas 402/500 = 80.4%. The abstract count is off by one. Minor.</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2018::jama.2018.18020::C001</t>
        </is>
      </c>
      <c r="B2" s="20" t="inlineStr">
        <is>
          <t>Abstract sex percentage conflicts with the enrolled sex count</t>
        </is>
      </c>
      <c r="C2" s="20" t="inlineStr">
        <is>
          <t>jama_stunnenberg_2018_oi_180136.pdf — PDF p. 1, Abstract Results; jama_stunnenberg_2018_oi_180136.pdf — PDF p. 4, Baseline Data.</t>
        </is>
      </c>
      <c r="D2" s="21" t="inlineStr">
        <is>
          <t>retain</t>
        </is>
      </c>
      <c r="E2" s="21" t="inlineStr">
        <is>
          <t>statistical_results</t>
        </is>
      </c>
      <c r="F2" s="21" t="inlineStr">
        <is>
          <t>primary_done</t>
        </is>
      </c>
      <c r="G2" s="20">
        <f>IFERROR(IF(LEN(TRIM(CLEAN(SUBSTITUTE(Setup!$B$2,CHAR(160)," "))))=0,"CHECK REVIEWER ID",IF(OR(A2="",COUNTIF($A$2:$A$15,A2)&lt;&gt;1,LEFT(A2,LEN("2018::jama.2018.18020::"))&lt;&gt;"2018::jama.2018.18020::"),"CHECK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direct</t>
        </is>
      </c>
      <c r="K2" s="21">
        <f>IF(AND(OR(D2="retain",D2=""),OR(E2="report_internal_inconsistency",E2="plan_material")),"","not_applicable")</f>
        <v/>
      </c>
      <c r="L2" s="22">
        <f>IF(AND(OR(D2="retain",D2=""),E2="protocol_report"),"","not_applicable")</f>
        <v/>
      </c>
      <c r="M2" s="20" t="n"/>
      <c r="N2" s="23" t="n"/>
      <c r="O2" s="23" t="n"/>
      <c r="P2" s="23" t="n"/>
      <c r="Q2" s="23" t="n"/>
      <c r="R2" s="22" t="inlineStr">
        <is>
          <t>Abstract: 30 enrolled patients, '22% men'. Baseline Data (p.4): 22 men and 8 women; 22/30 = 73.3% men. The abstract appears to print the count as a percentage. A 51-point error in an extractable sex proportion in the abstract; trial conclusions unaffected.</t>
        </is>
      </c>
    </row>
    <row r="3" ht="92" customFormat="1" customHeight="1" s="14">
      <c r="A3" s="24" t="inlineStr">
        <is>
          <t>2018::jama.2018.18020::C002</t>
        </is>
      </c>
      <c r="B3" s="24" t="inlineStr">
        <is>
          <t>INQoL IQR endpoints exceed the stated 0-to-100 scale</t>
        </is>
      </c>
      <c r="C3" s="24" t="inlineStr">
        <is>
          <t>jama_stunnenberg_2018_oi_180136.pdf — PDF p. 5, Table 1 and footnote f; jama_stunnenberg_2018_oi_180136.pdf — PDF p. 8, Table 2 footnote g.</t>
        </is>
      </c>
      <c r="D3" s="21" t="inlineStr">
        <is>
          <t>retain</t>
        </is>
      </c>
      <c r="E3" s="21" t="inlineStr">
        <is>
          <t>statistical_results</t>
        </is>
      </c>
      <c r="F3" s="21" t="inlineStr">
        <is>
          <t>primary_done</t>
        </is>
      </c>
      <c r="G3" s="24">
        <f>IFERROR(IF(LEN(TRIM(CLEAN(SUBSTITUTE(Setup!$B$2,CHAR(160)," "))))=0,"CHECK REVIEWER ID",IF(OR(A3="",COUNTIF($A$2:$A$15,A3)&lt;&gt;1,LEFT(A3,LEN("2018::jama.2018.18020::"))&lt;&gt;"2018::jama.2018.18020::"),"CHECK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substantive</t>
        </is>
      </c>
      <c r="J3" s="22" t="inlineStr">
        <is>
          <t>direct</t>
        </is>
      </c>
      <c r="K3" s="21">
        <f>IF(AND(OR(D3="retain",D3=""),OR(E3="report_internal_inconsistency",E3="plan_material")),"","not_applicable")</f>
        <v/>
      </c>
      <c r="L3" s="22">
        <f>IF(AND(OR(D3="retain",D3=""),E3="protocol_report"),"","not_applicable")</f>
        <v/>
      </c>
      <c r="M3" s="24" t="n"/>
      <c r="N3" s="23" t="n"/>
      <c r="O3" s="23" t="n"/>
      <c r="P3" s="23" t="n"/>
      <c r="Q3" s="23" t="n"/>
      <c r="R3" s="22" t="inlineStr">
        <is>
          <t>INQoL is labeled 'Scale, 0 to 100' (Table 1 note f, Table 2 note g), yet Table 1 IQR upper limits are 110.3 and 120.0, and Table 2 baseline is mean 96.89 (SD 38.49); on [0,100] the maximum SD at mean 96.89 is 17.4. The INQoL values cannot be on the stated scale, so the scale of the reported INQoL effect (-14.22) is unclear. Domain changed to statistical_results.</t>
        </is>
      </c>
    </row>
    <row r="4" ht="92" customFormat="1" customHeight="1" s="14">
      <c r="A4" s="20" t="inlineStr">
        <is>
          <t>2018::jama.2018.18020::C003</t>
        </is>
      </c>
      <c r="B4" s="20" t="inlineStr">
        <is>
          <t>Table 2 secondary-outcome contrast header is opposite to the displayed effect signs</t>
        </is>
      </c>
      <c r="C4" s="20" t="inlineStr">
        <is>
          <t>jama_stunnenberg_2018_oi_180136.pdf — PDF p. 7, Table 2 header and change-score rows; jama_stunnenberg_2018_oi_180136.pdf — PDF p. 8, Table 2 footnotes.</t>
        </is>
      </c>
      <c r="D4" s="21" t="inlineStr">
        <is>
          <t>retain</t>
        </is>
      </c>
      <c r="E4" s="21" t="inlineStr">
        <is>
          <t>report_internal_inconsistency</t>
        </is>
      </c>
      <c r="F4" s="21" t="inlineStr">
        <is>
          <t>primary_done</t>
        </is>
      </c>
      <c r="G4" s="20">
        <f>IFERROR(IF(LEN(TRIM(CLEAN(SUBSTITUTE(Setup!$B$2,CHAR(160)," "))))=0,"CHECK REVIEWER ID",IF(OR(A4="",COUNTIF($A$2:$A$15,A4)&lt;&gt;1,LEFT(A4,LEN("2018::jama.2018.18020::"))&lt;&gt;"2018::jama.2018.18020::"),"CHECK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substantive_inconsistency</t>
        </is>
      </c>
      <c r="L4" s="22">
        <f>IF(AND(OR(D4="retain",D4=""),E4="protocol_report"),"","not_applicable")</f>
        <v/>
      </c>
      <c r="M4" s="20" t="n"/>
      <c r="N4" s="23" t="n"/>
      <c r="O4" s="23" t="n"/>
      <c r="P4" s="23" t="n"/>
      <c r="Q4" s="23" t="n"/>
      <c r="R4" s="22" t="inlineStr">
        <is>
          <t>Table 2 lower panel header: 'Treatment Effect (Placebo-Mexiletine)'. The printed effects equal mexiletine-period change minus placebo-period change: INQoL -21.44 - (-7.22) = -14.22; handgrip first attempt -2.39 - 0.46 = -2.85; Timed Up&amp;Go mean -1.05 - 0.07 = -1.12. The header states the opposite direction for all change-score secondary outcomes.</t>
        </is>
      </c>
    </row>
    <row r="5" ht="92" customFormat="1" customHeight="1" s="14">
      <c r="A5" s="24" t="inlineStr">
        <is>
          <t>2018::jama.2018.18020::C004</t>
        </is>
      </c>
      <c r="B5" s="24" t="inlineStr">
        <is>
          <t>Placebo “Any” adverse-reaction percentage does not reconcile with the apparent denominator</t>
        </is>
      </c>
      <c r="C5" s="24" t="inlineStr">
        <is>
          <t>joi180136supp2_prod.pdf — PDF p. 6, eTable 4; jama_stunnenberg_2018_oi_180136.pdf — PDF p. 8, Adverse Events.</t>
        </is>
      </c>
      <c r="D5" s="21" t="inlineStr">
        <is>
          <t>retain</t>
        </is>
      </c>
      <c r="E5" s="21" t="inlineStr">
        <is>
          <t>statistical_results</t>
        </is>
      </c>
      <c r="F5" s="21" t="inlineStr">
        <is>
          <t>primary_done</t>
        </is>
      </c>
      <c r="G5" s="24">
        <f>IFERROR(IF(LEN(TRIM(CLEAN(SUBSTITUTE(Setup!$B$2,CHAR(160)," "))))=0,"CHECK REVIEWER ID",IF(OR(A5="",COUNTIF($A$2:$A$15,A5)&lt;&gt;1,LEFT(A5,LEN("2018::jama.2018.18020::"))&lt;&gt;"2018::jama.2018.18020::"),"CHECK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probable_issue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eTable 4 placebo 'Any' adverse reaction: 2 (6%). With 30 patients, 2/30 = 6.7% (7%), and other count-2 cells show 7%; the mexiletine Any 27 (90%) uses 30. A denominator of 31 treatment sets would give 6.5% (6%), but no denominator is printed. Probable one-point display error.</t>
        </is>
      </c>
    </row>
    <row r="6" ht="92" customFormat="1" customHeight="1" s="14">
      <c r="A6" s="20" t="inlineStr">
        <is>
          <t>2018::jama.2018.18020::C005</t>
        </is>
      </c>
      <c r="B6" s="20" t="inlineStr">
        <is>
          <t>Bayesian parameter prose swaps mu_mex[i] and mu_plac[i] treatment labels</t>
        </is>
      </c>
      <c r="C6" s="20" t="inlineStr">
        <is>
          <t>joi180136supp2_prod.pdf — PDF p. 11, eMethods 2 code/dictionary; joi180136supp2_prod.pdf — PDF p. 13, eMethods 3 code; joi180136supp2_prod.pdf — PDF p. 14, eMethods 3 dictionary.</t>
        </is>
      </c>
      <c r="D6" s="21" t="inlineStr">
        <is>
          <t>retain</t>
        </is>
      </c>
      <c r="E6" s="21" t="inlineStr">
        <is>
          <t>report_internal_inconsistency</t>
        </is>
      </c>
      <c r="F6" s="21" t="inlineStr">
        <is>
          <t>primary_done</t>
        </is>
      </c>
      <c r="G6" s="20">
        <f>IFERROR(IF(LEN(TRIM(CLEAN(SUBSTITUTE(Setup!$B$2,CHAR(160)," "))))=0,"CHECK REVIEWER ID",IF(OR(A6="",COUNTIF($A$2:$A$15,A6)&lt;&gt;1,LEFT(A6,LEN("2018::jama.2018.18020::"))&lt;&gt;"2018::jama.2018.18020::"),"CHECK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eMethods 2 and 3 parameter dictionaries describe mu_mex[i] as the patient mean 'during the placebo treatment' and mu_plac[i] as 'during the mexiletine treatment', whereas the WinBUGS code links Stiff_Mex to mu_mex and Stiff_Plac to mu_plac. The labels are swapped; the code itself is coherent. Minor documentation error.</t>
        </is>
      </c>
    </row>
    <row r="7" ht="92" customFormat="1" customHeight="1" s="14">
      <c r="A7" s="24" t="inlineStr">
        <is>
          <t>2018::jama.2018.18020::C006</t>
        </is>
      </c>
      <c r="B7" s="24" t="inlineStr">
        <is>
          <t>diff_CLCN1 is described as an SCN4A contrast</t>
        </is>
      </c>
      <c r="C7" s="24" t="inlineStr">
        <is>
          <t>joi180136supp2_prod.pdf — PDF p. 13, eMethods 3 code; joi180136supp2_prod.pdf — PDF p. 14, parameter dictionary.</t>
        </is>
      </c>
      <c r="D7" s="21" t="inlineStr">
        <is>
          <t>retain</t>
        </is>
      </c>
      <c r="E7" s="21" t="inlineStr">
        <is>
          <t>report_internal_inconsistency</t>
        </is>
      </c>
      <c r="F7" s="21" t="inlineStr">
        <is>
          <t>primary_done</t>
        </is>
      </c>
      <c r="G7" s="24">
        <f>IFERROR(IF(LEN(TRIM(CLEAN(SUBSTITUTE(Setup!$B$2,CHAR(160)," "))))=0,"CHECK REVIEWER ID",IF(OR(A7="",COUNTIF($A$2:$A$15,A7)&lt;&gt;1,LEFT(A7,LEN("2018::jama.2018.18020::"))&lt;&gt;"2018::jama.2018.18020::"),"CHECK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eMethods 3 dictionary: 'diff_CLCN1  mu.plac - mu.mex for SCN4A patients', while code defines diff_CLCN1 &lt;- mu.plac_CLCN1 - mu.mex_CLCN1. Copy-forward label error from the preceding diff_SCN4A entry; parameter name and code are unambiguous. Minor.</t>
        </is>
      </c>
    </row>
    <row r="8" ht="92" customFormat="1" customHeight="1" s="14">
      <c r="A8" s="20" t="inlineStr">
        <is>
          <t>2018::jama.2018.18020::C007</t>
        </is>
      </c>
      <c r="B8" s="20" t="inlineStr">
        <is>
          <t>sigma.mex is described as placebo-period variability</t>
        </is>
      </c>
      <c r="C8" s="20" t="inlineStr">
        <is>
          <t>joi180136supp2_prod.pdf — PDF p. 11, eMethods 2 code; joi180136supp2_prod.pdf — PDF p. 12, eMethods 2 dictionary; joi180136supp2_prod.pdf — PDF p. 13, eMethods 3 code; joi180136supp2_prod.pdf — PDF p. 14, eMethods 3 dictionary.</t>
        </is>
      </c>
      <c r="D8" s="21" t="inlineStr">
        <is>
          <t>retain</t>
        </is>
      </c>
      <c r="E8" s="21" t="inlineStr">
        <is>
          <t>report_internal_inconsistency</t>
        </is>
      </c>
      <c r="F8" s="21" t="inlineStr">
        <is>
          <t>primary_done</t>
        </is>
      </c>
      <c r="G8" s="20">
        <f>IFERROR(IF(LEN(TRIM(CLEAN(SUBSTITUTE(Setup!$B$2,CHAR(160)," "))))=0,"CHECK REVIEWER ID",IF(OR(A8="",COUNTIF($A$2:$A$15,A8)&lt;&gt;1,LEFT(A8,LEN("2018::jama.2018.18020::"))&lt;&gt;"2018::jama.2018.18020::"),"CHECK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Both eMethods dictionaries describe sigma.mex as the SD of individual means 'during placebo treatment', but code uses tau.mex = 1/sigma.mex^2 as the precision for mu_mex (the mexiletine branch); sigma.plac is separately described for placebo. Copy-forward wording error; code unambiguous. Minor.</t>
        </is>
      </c>
    </row>
    <row r="9" ht="92" customFormat="1" customHeight="1" s="14">
      <c r="A9" s="24" t="inlineStr">
        <is>
          <t>2018::jama.2018.18020::C008</t>
        </is>
      </c>
      <c r="B9" s="24" t="inlineStr">
        <is>
          <t>Main text prints CLNC1 for the matched CLCN1 genotype subgroup</t>
        </is>
      </c>
      <c r="C9" s="24" t="inlineStr">
        <is>
          <t>jama_stunnenberg_2018_oi_180136.pdf — PDF p. 4, Primary Outcome; jama_stunnenberg_2018_oi_180136.pdf — PDF p. 5, Table 1/Figure 2; jama_stunnenberg_2018_oi_180136.pdf — PDF p. 6, Figure 3; joi180136supp2_prod.pdf — PDF p. 4, eTable 2 footnote.</t>
        </is>
      </c>
      <c r="D9" s="21" t="inlineStr">
        <is>
          <t>retain</t>
        </is>
      </c>
      <c r="E9" s="21" t="inlineStr">
        <is>
          <t>report_internal_inconsistency</t>
        </is>
      </c>
      <c r="F9" s="21" t="inlineStr">
        <is>
          <t>primary_done</t>
        </is>
      </c>
      <c r="G9" s="24">
        <f>IFERROR(IF(LEN(TRIM(CLEAN(SUBSTITUTE(Setup!$B$2,CHAR(160)," "))))=0,"CHECK REVIEWER ID",IF(OR(A9="",COUNTIF($A$2:$A$15,A9)&lt;&gt;1,LEFT(A9,LEN("2018::jama.2018.18020::"))&lt;&gt;"2018::jama.2018.18020::"),"CHECK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Results p.4: '3.84 (95% CrI, 2.52 to 5.16) for the CLNC1 genotype subgroup (n = 16)'. Everywhere else the gene is CLCN1. Transposed-letter typo; estimate, interval and n identify the CLCN1 subgroup unambiguously.</t>
        </is>
      </c>
    </row>
    <row r="10" ht="92" customFormat="1" customHeight="1" s="14">
      <c r="A10" s="20" t="inlineStr">
        <is>
          <t>2018::jama.2018.18020::C009</t>
        </is>
      </c>
      <c r="B10" s="20" t="inlineStr">
        <is>
          <t>SF-36 mental-component P value conflicts with the dependent-t 95% CI</t>
        </is>
      </c>
      <c r="C10" s="20" t="inlineStr">
        <is>
          <t>jama_stunnenberg_2018_oi_180136.pdf — PDF p. 7, Table 2; jama_stunnenberg_2018_oi_180136.pdf — PDF p. 3, dependent-t method; jama_stunnenberg_2018_oi_180136.pdf — PDF p. 4, two-sided P-value convention.</t>
        </is>
      </c>
      <c r="D10" s="21" t="inlineStr">
        <is>
          <t>retain</t>
        </is>
      </c>
      <c r="E10" s="21" t="inlineStr">
        <is>
          <t>statistical_results</t>
        </is>
      </c>
      <c r="F10" s="21" t="inlineStr">
        <is>
          <t>primary_done</t>
        </is>
      </c>
      <c r="G10" s="20">
        <f>IFERROR(IF(LEN(TRIM(CLEAN(SUBSTITUTE(Setup!$B$2,CHAR(160)," "))))=0,"CHECK REVIEWER ID",IF(OR(A10="",COUNTIF($A$2:$A$15,A10)&lt;&gt;1,LEFT(A10,LEN("2018::jama.2018.18020::"))&lt;&gt;"2018::jama.2018.18020::"),"CHECK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t="inlineStr">
        <is>
          <t>Table 2 SF-36 mental component: effect 6.78 (95% CI 1.64 to 11.92), P = .001. Under the stated dependent t test (N = 27, df 26) the CI implies SE 2.50, t = 2.71, P = .012; even a normal-based CI gives P = .010. Any smaller row n makes P larger. The estimate is the CI midpoint, so the P value is the likely error (.012 vs .001). Inference at CI level unchanged.</t>
        </is>
      </c>
    </row>
    <row r="11" ht="92" customFormat="1" customHeight="1" s="14">
      <c r="A11" s="24" t="inlineStr">
        <is>
          <t>2018::jama.2018.18020::C010</t>
        </is>
      </c>
      <c r="B11" s="24" t="inlineStr">
        <is>
          <t>SCN4A fifth handgrip-action-myotonia P value conflicts with its 95% CI</t>
        </is>
      </c>
      <c r="C11" s="24" t="inlineStr">
        <is>
          <t>jama_stunnenberg_2018_oi_180136.pdf — PDF p. 7, Table 2 row; jama_stunnenberg_2018_oi_180136.pdf — PDF p. 8, Table 2 footnotes; jama_stunnenberg_2018_oi_180136.pdf — PDF p. 3, method; jama_stunnenberg_2018_oi_180136.pdf — PDF p. 4, sidedness.</t>
        </is>
      </c>
      <c r="D11" s="21" t="inlineStr">
        <is>
          <t>retain</t>
        </is>
      </c>
      <c r="E11" s="21" t="inlineStr">
        <is>
          <t>statistical_results</t>
        </is>
      </c>
      <c r="F11" s="21" t="inlineStr">
        <is>
          <t>primary_done</t>
        </is>
      </c>
      <c r="G11" s="24">
        <f>IFERROR(IF(LEN(TRIM(CLEAN(SUBSTITUTE(Setup!$B$2,CHAR(160)," "))))=0,"CHECK REVIEWER ID",IF(OR(A11="",COUNTIF($A$2:$A$15,A11)&lt;&gt;1,LEFT(A11,LEN("2018::jama.2018.18020::"))&lt;&gt;"2018::jama.2018.18020::"),"CHECK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t="inlineStr">
        <is>
          <t>Table 2 and narrative p.8: SCN4A fifth handgrip effect -1.96 (95% CI -3.41 to 0.51), P = .009. The printed CI has midpoint -1.45 and crosses 0. With upper bound -0.51 the midpoint is exactly -1.96 and t(10) gives P = .013, close to .009. The upper endpoint sign appears dropped, making a nominally significant effect look null; it is repeated in the text and underlies a reported interaction.</t>
        </is>
      </c>
    </row>
    <row r="12" ht="92" customFormat="1" customHeight="1" s="14">
      <c r="A12" s="20" t="inlineStr">
        <is>
          <t>2018::jama.2018.18020::C011</t>
        </is>
      </c>
      <c r="B12" s="20" t="inlineStr">
        <is>
          <t>SCN4A fifth transient-paresis estimate, interval, and P value do not form a compatible dependent-t result</t>
        </is>
      </c>
      <c r="C12" s="20" t="inlineStr">
        <is>
          <t>jama_stunnenberg_2018_oi_180136.pdf — PDF p. 7, Table 2 row; jama_stunnenberg_2018_oi_180136.pdf — PDF p. 6, narrative repetition; jama_stunnenberg_2018_oi_180136.pdf — PDF p. 8, footnotes; jama_stunnenberg_2018_oi_180136.pdf — PDF p. 3, method; jama_stunnenberg_2018_oi_180136.pdf — PDF p. 4, sidedness.</t>
        </is>
      </c>
      <c r="D12" s="21" t="inlineStr">
        <is>
          <t>retain</t>
        </is>
      </c>
      <c r="E12" s="21" t="inlineStr">
        <is>
          <t>statistical_results</t>
        </is>
      </c>
      <c r="F12" s="21" t="inlineStr">
        <is>
          <t>primary_done</t>
        </is>
      </c>
      <c r="G12" s="20">
        <f>IFERROR(IF(LEN(TRIM(CLEAN(SUBSTITUTE(Setup!$B$2,CHAR(160)," "))))=0,"CHECK REVIEWER ID",IF(OR(A12="",COUNTIF($A$2:$A$15,A12)&lt;&gt;1,LEFT(A12,LEN("2018::jama.2018.18020::"))&lt;&gt;"2018::jama.2018.18020::"),"CHECK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substantive</t>
        </is>
      </c>
      <c r="J12" s="22" t="inlineStr">
        <is>
          <t>direct</t>
        </is>
      </c>
      <c r="K12" s="21">
        <f>IF(AND(OR(D12="retain",D12=""),OR(E12="report_internal_inconsistency",E12="plan_material")),"","not_applicable")</f>
        <v/>
      </c>
      <c r="L12" s="22">
        <f>IF(AND(OR(D12="retain",D12=""),E12="protocol_report"),"","not_applicable")</f>
        <v/>
      </c>
      <c r="M12" s="20" t="n"/>
      <c r="N12" s="23" t="n"/>
      <c r="O12" s="23" t="n"/>
      <c r="P12" s="23" t="n"/>
      <c r="Q12" s="23" t="n"/>
      <c r="R12" s="22" t="inlineStr">
        <is>
          <t>Table 2 and narrative p.6: SCN4A fifth transient paresis 13.71 (95% CI -1.96 to 25.47), P = .02. Printed CI midpoint 11.76 and crosses 0. With lower bound +1.96 the midpoint is 13.715 and t(10) gives P = .027. Lower-endpoint sign error; CI as printed implies a null result for an effect reported as P = .02 (in the direction of worse paresis on mexiletine).</t>
        </is>
      </c>
    </row>
    <row r="13" ht="92" customFormat="1" customHeight="1" s="14">
      <c r="A13" s="24" t="inlineStr">
        <is>
          <t>2018::jama.2018.18020::C012</t>
        </is>
      </c>
      <c r="B13" s="24" t="inlineStr">
        <is>
          <t>Myotonic-discharge P value conflicts with the dependent-t 95% CI</t>
        </is>
      </c>
      <c r="C13" s="24" t="inlineStr">
        <is>
          <t>jama_stunnenberg_2018_oi_180136.pdf — PDF p. 8, Table 2 continuation and footnotes; jama_stunnenberg_2018_oi_180136.pdf — PDF p. 3, dependent-t method; jama_stunnenberg_2018_oi_180136.pdf — PDF p. 4, two-sided convention.</t>
        </is>
      </c>
      <c r="D13" s="21" t="inlineStr">
        <is>
          <t>retain</t>
        </is>
      </c>
      <c r="E13" s="21" t="inlineStr">
        <is>
          <t>statistical_results</t>
        </is>
      </c>
      <c r="F13" s="21" t="inlineStr">
        <is>
          <t>primary_done</t>
        </is>
      </c>
      <c r="G13" s="24">
        <f>IFERROR(IF(LEN(TRIM(CLEAN(SUBSTITUTE(Setup!$B$2,CHAR(160)," "))))=0,"CHECK REVIEWER ID",IF(OR(A13="",COUNTIF($A$2:$A$15,A13)&lt;&gt;1,LEFT(A13,LEN("2018::jama.2018.18020::"))&lt;&gt;"2018::jama.2018.18020::"),"CHECK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possible</t>
        </is>
      </c>
      <c r="K13" s="21">
        <f>IF(AND(OR(D13="retain",D13=""),OR(E13="report_internal_inconsistency",E13="plan_material")),"","not_applicable")</f>
        <v/>
      </c>
      <c r="L13" s="22">
        <f>IF(AND(OR(D13="retain",D13=""),E13="protocol_report"),"","not_applicable")</f>
        <v/>
      </c>
      <c r="M13" s="24" t="n"/>
      <c r="N13" s="23" t="n"/>
      <c r="O13" s="23" t="n"/>
      <c r="P13" s="23" t="n"/>
      <c r="Q13" s="23" t="n"/>
      <c r="R13" s="22" t="inlineStr">
        <is>
          <t>Table 2 continuation: myotonic discharges on needle EMG, effect 0.67 (95% CI 0.23 to 1.11), P &lt; .001. 2.52 - 1.85 = 0.67 and CI midpoint is 0.67; with df 26 the CI implies SE 0.214, t = 3.13, P = .004. P &lt; .001 cannot follow from this CI (fewer evaluable patients would raise P further). P overstated; conclusion unchanged.</t>
        </is>
      </c>
    </row>
    <row r="14" ht="92" customFormat="1" customHeight="1" s="14">
      <c r="A14" s="20" t="inlineStr">
        <is>
          <t>2018::jama.2018.18020::C013</t>
        </is>
      </c>
      <c r="B14" s="20" t="inlineStr">
        <is>
          <t>First handgrip placebo-period interval is reversed and excludes its estimate</t>
        </is>
      </c>
      <c r="C14" s="20" t="inlineStr">
        <is>
          <t>jama_stunnenberg_2018_oi_180136.pdf — PDF p. 7, Table 2 first-attempt handgrip action-myotonia placebo-period change.</t>
        </is>
      </c>
      <c r="D14" s="21" t="inlineStr">
        <is>
          <t>retain</t>
        </is>
      </c>
      <c r="E14" s="21" t="inlineStr">
        <is>
          <t>statistical_results</t>
        </is>
      </c>
      <c r="F14" s="21" t="inlineStr">
        <is>
          <t>primary_done</t>
        </is>
      </c>
      <c r="G14" s="20">
        <f>IFERROR(IF(LEN(TRIM(CLEAN(SUBSTITUTE(Setup!$B$2,CHAR(160)," "))))=0,"CHECK REVIEWER ID",IF(OR(A14="",COUNTIF($A$2:$A$15,A14)&lt;&gt;1,LEFT(A14,LEN("2018::jama.2018.18020::"))&lt;&gt;"2018::jama.2018.18020::"),"CHECK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t="inlineStr">
        <is>
          <t>Table 2 handgrip action myotonia, first attempt, placebo-period change: 0.46 (-0.30 to -1.23). Endpoints are reversed and exclude the estimate. With upper bound +1.23 the interval (-0.30, 1.23) has midpoint 0.465, matching 0.46, so a dropped sign is the likely cause. Within-period descriptive change; the treatment-effect cell is unaffected.</t>
        </is>
      </c>
    </row>
    <row r="15" ht="92" customFormat="1" customHeight="1" s="14">
      <c r="A15" s="24" t="inlineStr">
        <is>
          <t>2018::jama.2018.18020::C014</t>
        </is>
      </c>
      <c r="B15" s="24" t="inlineStr">
        <is>
          <t>Mean Timed Up&amp;Go placebo-period estimate lies outside its interval</t>
        </is>
      </c>
      <c r="C15" s="24" t="inlineStr">
        <is>
          <t>jama_stunnenberg_2018_oi_180136.pdf — PDF p. 7, Table 2 mean Timed Up&amp;Go placebo-period change.</t>
        </is>
      </c>
      <c r="D15" s="21" t="inlineStr">
        <is>
          <t>retain</t>
        </is>
      </c>
      <c r="E15" s="21" t="inlineStr">
        <is>
          <t>statistical_results</t>
        </is>
      </c>
      <c r="F15" s="21" t="inlineStr">
        <is>
          <t>primary_done</t>
        </is>
      </c>
      <c r="G15" s="24">
        <f>IFERROR(IF(LEN(TRIM(CLEAN(SUBSTITUTE(Setup!$B$2,CHAR(160)," "))))=0,"CHECK REVIEWER ID",IF(OR(A15="",COUNTIF($A$2:$A$15,A15)&lt;&gt;1,LEFT(A15,LEN("2018::jama.2018.18020::"))&lt;&gt;"2018::jama.2018.18020::"),"CHECK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t="inlineStr">
        <is>
          <t>Table 2 Timed Up&amp;Go mean, placebo-period change: 0.07 (-0.67 to 0.01). The estimate exceeds the upper bound; the interval midpoint is -0.33. The correct values cannot be recovered. The treatment effect for this row (-1.12 = -1.05 - 0.07) is consistent with the printed estimate, so the error is confined to this descriptive interval.</t>
        </is>
      </c>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5"/>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2018::jama.2018.6496::C001</t>
        </is>
      </c>
      <c r="B2" s="20" t="inlineStr">
        <is>
          <t>Reverse-ordered confidence-interval endpoints for all-patient first-attempt duration</t>
        </is>
      </c>
      <c r="C2" s="20" t="inlineStr">
        <is>
          <t>DOC-001 Table 3 — PDF p. 7; DOC-003 eTable 1 — PDF p. 2; DOC-003 eTable 1 note — PDF p. 3; DOC-001 statistical-analysis methods — PDF p. 4.</t>
        </is>
      </c>
      <c r="D2" s="21" t="inlineStr">
        <is>
          <t>retain</t>
        </is>
      </c>
      <c r="E2" s="21" t="inlineStr">
        <is>
          <t>statistical_results</t>
        </is>
      </c>
      <c r="F2" s="21" t="inlineStr">
        <is>
          <t>primary_done</t>
        </is>
      </c>
      <c r="G2" s="20">
        <f>IFERROR(IF(LEN(TRIM(CLEAN(SUBSTITUTE(Setup!$B$2,CHAR(160)," "))))=0,"CHECK REVIEWER ID",IF(OR(A2="",COUNTIF($A$2:$A$5,A2)&lt;&gt;1,LEFT(A2,LEN("2018::jama.2018.6496::"))&lt;&gt;"2018::jama.2018.6496::"),"CHECK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3 (all patients, first-attempt duration): Hodges-Lehmann difference 1 s with 95% CI printed '4 to -1' (P = .24). Endpoints are in descending order, unlike every other CI in the table. The obvious reading is -1 to 4, which brackets the estimate; the physician-clustered eTable 1 also gives 1 s (-1 to 4). Typesetting error; meaning recoverable.</t>
        </is>
      </c>
    </row>
    <row r="3" ht="92" customFormat="1" customHeight="1" s="14">
      <c r="A3" s="24" t="inlineStr">
        <is>
          <t>2018::jama.2018.6496::C002</t>
        </is>
      </c>
      <c r="B3" s="24" t="inlineStr">
        <is>
          <t>Two-patient ETT+stylet denominator difference across linked hypoxemia outcomes</t>
        </is>
      </c>
      <c r="C3" s="24" t="inlineStr">
        <is>
          <t>DOC-001 Table 3 — PDF p. 7; DOC-001 Table 5 — PDF p. 9; DOC-002 protocol secondary outcomes — PDF p. 9; DOC-002 analytic issues — PDF p. 21.</t>
        </is>
      </c>
      <c r="D3" s="21" t="inlineStr">
        <is>
          <t>exclude</t>
        </is>
      </c>
      <c r="E3" s="21" t="inlineStr">
        <is>
          <t>statistical_results</t>
        </is>
      </c>
      <c r="F3" s="21" t="inlineStr">
        <is>
          <t>primary_done</t>
        </is>
      </c>
      <c r="G3" s="24">
        <f>IFERROR(IF(LEN(TRIM(CLEAN(SUBSTITUTE(Setup!$B$2,CHAR(160)," "))))=0,"CHECK REVIEWER ID",IF(OR(A3="",COUNTIF($A$2:$A$5,A3)&lt;&gt;1,LEFT(A3,LEN("2018::jama.2018.6496::"))&lt;&gt;"2018::jama.2018.6496::"),"CHECK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ETT+stylet denominators: 282/366 for first-attempt success without hypoxemia (Table 3) vs 50/364 for hypoxemia (Table 5). Protocol p.21 excludes patients with missing data only from the relevant outcome; a patient who failed the first attempt is a composite failure even without a valid oximetry waveform. A 2-patient difference is consistent with outcome-specific denominators. Not an error.</t>
        </is>
      </c>
    </row>
    <row r="4" ht="92" customFormat="1" customHeight="1" s="14">
      <c r="A4" s="20" t="inlineStr">
        <is>
          <t>2018::jama.2018.6496::C003</t>
        </is>
      </c>
      <c r="B4" s="20" t="inlineStr">
        <is>
          <t>Protocol and published hypoxemia observation windows use different endpoint events</t>
        </is>
      </c>
      <c r="C4" s="20" t="inlineStr">
        <is>
          <t>DOC-002 protocol secondary outcomes — PDF p. 9; DOC-002 protocol measurement procedure — PDF p. 10; DOC-001 Table 3 — PDF p. 7; DOC-001 Table 5 — PDF p. 9; DOC-003 eTable 1 note — PDF p. 3; DOC-003 postintubation form — PDF p. 10.</t>
        </is>
      </c>
      <c r="D4" s="21" t="inlineStr">
        <is>
          <t>retain</t>
        </is>
      </c>
      <c r="E4" s="21" t="inlineStr">
        <is>
          <t>protocol_report</t>
        </is>
      </c>
      <c r="F4" s="21" t="inlineStr">
        <is>
          <t>primary_done</t>
        </is>
      </c>
      <c r="G4" s="20">
        <f>IFERROR(IF(LEN(TRIM(CLEAN(SUBSTITUTE(Setup!$B$2,CHAR(160)," "))))=0,"CHECK REVIEWER ID",IF(OR(A4="",COUNTIF($A$2:$A$5,A4)&lt;&gt;1,LEFT(A4,LEN("2018::jama.2018.6496::"))&lt;&gt;"2018::jama.2018.6496::"),"CHECK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minor_presentation</t>
        </is>
      </c>
      <c r="M4" s="20" t="n"/>
      <c r="N4" s="23" t="n"/>
      <c r="O4" s="23" t="n"/>
      <c r="P4" s="23" t="n"/>
      <c r="Q4" s="23" t="n"/>
      <c r="R4" s="22" t="inlineStr">
        <is>
          <t>Protocol: hypoxemia observed from start of first attempt until 1 minute after ETT cuff inflation (p.9-10). Report (Tables 3, 5; eTable 1): during or within 1 minute after completion of the attempt, with attempt end defined as blade removal. The window end shifts by the short interval between blade removal and cuff inflation; unlikely to change classification. Small definitional difference.</t>
        </is>
      </c>
    </row>
    <row r="5" ht="92" customFormat="1" customHeight="1" s="14">
      <c r="A5" s="24" t="inlineStr">
        <is>
          <t>2018::jama.2018.6496::C004</t>
        </is>
      </c>
      <c r="B5" s="24" t="inlineStr">
        <is>
          <t>Protocol and published first-attempt-duration measures use different endpoint events</t>
        </is>
      </c>
      <c r="C5" s="24" t="inlineStr">
        <is>
          <t>DOC-002 protocol — PDF p. 9; DOC-001 outcome methods — PDF p. 3; DOC-001 Table 3 — PDF p. 7; DOC-003 eTable 1 note — PDF p. 3; DOC-003 data form — PDF p. 10.</t>
        </is>
      </c>
      <c r="D5" s="21" t="inlineStr">
        <is>
          <t>retain</t>
        </is>
      </c>
      <c r="E5" s="21" t="inlineStr">
        <is>
          <t>protocol_report</t>
        </is>
      </c>
      <c r="F5" s="21" t="inlineStr">
        <is>
          <t>primary_done</t>
        </is>
      </c>
      <c r="G5" s="24">
        <f>IFERROR(IF(LEN(TRIM(CLEAN(SUBSTITUTE(Setup!$B$2,CHAR(160)," "))))=0,"CHECK REVIEWER ID",IF(OR(A5="",COUNTIF($A$2:$A$5,A5)&lt;&gt;1,LEFT(A5,LEN("2018::jama.2018.6496::"))&lt;&gt;"2018::jama.2018.6496::"),"CHECK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t="inlineStr">
        <is>
          <t>Protocol secondary outcome 2: time to intubation from start of attempt to ETT cuff inflation with tube in trachea (successful attempts only by construction). Report: first-attempt duration from blade insertion to blade removal, for all patients including failed attempts, analyzed by Hodges-Lehmann and Cox models. The measured quantity and population differ from the plan.</t>
        </is>
      </c>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9"/>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2018::jama.2018.8802::C001</t>
        </is>
      </c>
      <c r="B2" s="20" t="inlineStr">
        <is>
          <t>Table 1 CAD/previous-myocardial-infarction percentage does not reproduce</t>
        </is>
      </c>
      <c r="C2" s="20" t="inlineStr">
        <is>
          <t>jama_wang_2018_oi_180070.pdf — PDF p. 6, Table 1, CAD/previous myocardial infarction, intervention column and Patients, No. header.</t>
        </is>
      </c>
      <c r="D2" s="21" t="inlineStr">
        <is>
          <t>retain</t>
        </is>
      </c>
      <c r="E2" s="21" t="inlineStr">
        <is>
          <t>statistical_results</t>
        </is>
      </c>
      <c r="F2" s="21" t="inlineStr">
        <is>
          <t>primary_done</t>
        </is>
      </c>
      <c r="G2" s="20">
        <f>IFERROR(IF(LEN(TRIM(CLEAN(SUBSTITUTE(Setup!$B$2,CHAR(160)," "))))=0,"CHECK REVIEWER ID",IF(OR(A2="",COUNTIF($A$2:$A$9,A2)&lt;&gt;1,LEFT(A2,LEN("2018::jama.2018.8802::"))&lt;&gt;"2018::jama.2018.8802::"),"CHECK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t="inlineStr">
        <is>
          <t>Table 1 intervention CAD/previous MI: 311 (13.05) with n = 2400. 311/2400 = 12.96%, which displays as 13.0 at one decimal (the table's convention) or 12.96 at two; 13.05 is not reproducible. Neighboring cells reproduce (e.g., 1553/2400 = 64.7). Small typographic/arithmetic slip in a baseline table.</t>
        </is>
      </c>
    </row>
    <row r="3" ht="92" customFormat="1" customHeight="1" s="14">
      <c r="A3" s="24" t="inlineStr">
        <is>
          <t>2018::jama.2018.8802::C002</t>
        </is>
      </c>
      <c r="B3" s="24" t="inlineStr">
        <is>
          <t>LDL eligibility boundary differs between result labels and supplied measure definition</t>
        </is>
      </c>
      <c r="C3" s="24" t="inlineStr">
        <is>
          <t>jama_wang_2018_oi_180070.pdf — PDF p. 7, Table 2 lipid-lowering row; joi180070supp1_prod.pdf — PDF p. 15, definition; joi180070supp2_prod.pdf — PDF p. 3, eTable 1 definition; and joi180070supp2_prod.pdf — PDF p. 8, eTable 4 label.</t>
        </is>
      </c>
      <c r="D3" s="21" t="inlineStr">
        <is>
          <t>retain</t>
        </is>
      </c>
      <c r="E3" s="21" t="inlineStr">
        <is>
          <t>protocol_report</t>
        </is>
      </c>
      <c r="F3" s="21" t="inlineStr">
        <is>
          <t>primary_done</t>
        </is>
      </c>
      <c r="G3" s="24">
        <f>IFERROR(IF(LEN(TRIM(CLEAN(SUBSTITUTE(Setup!$B$2,CHAR(160)," "))))=0,"CHECK REVIEWER ID",IF(OR(A3="",COUNTIF($A$2:$A$9,A3)&lt;&gt;1,LEFT(A3,LEN("2018::jama.2018.8802::"))&lt;&gt;"2018::jama.2018.8802::"),"CHECK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t="inlineStr">
        <is>
          <t>Lipid-lowering measure: protocol (supp1 p.14-15) and eTable 1 (supp2 p.3) define eligibility as LDL &gt;=100 mg/dL (GWTG-style); article Methods p.3 ('more than 100 mg/dL'), Table 2 and eTable 4 labels say &gt;100. The formal definition table in the report supplement matches the plan, so the labels look like shorthand; LDL exactly 100 mg/dL after unit conversion should be rare. Minor wording difference.</t>
        </is>
      </c>
    </row>
    <row r="4" ht="92" customFormat="1" customHeight="1" s="14">
      <c r="A4" s="20" t="inlineStr">
        <is>
          <t>2018::jama.2018.8802::C003</t>
        </is>
      </c>
      <c r="B4" s="20" t="inlineStr">
        <is>
          <t>eTable 4 discharge-antithrombotics control percentage does not reproduce</t>
        </is>
      </c>
      <c r="C4" s="20" t="inlineStr">
        <is>
          <t>joi180070supp2_prod.pdf — PDF p. 8, eTable 4, Antithrombotics, control cell.</t>
        </is>
      </c>
      <c r="D4" s="21" t="inlineStr">
        <is>
          <t>retain</t>
        </is>
      </c>
      <c r="E4" s="21" t="inlineStr">
        <is>
          <t>statistical_results</t>
        </is>
      </c>
      <c r="F4" s="21" t="inlineStr">
        <is>
          <t>primary_done</t>
        </is>
      </c>
      <c r="G4" s="20">
        <f>IFERROR(IF(LEN(TRIM(CLEAN(SUBSTITUTE(Setup!$B$2,CHAR(160)," "))))=0,"CHECK REVIEWER ID",IF(OR(A4="",COUNTIF($A$2:$A$9,A4)&lt;&gt;1,LEFT(A4,LEN("2018::jama.2018.8802::"))&lt;&gt;"2018::jama.2018.8802::"),"CHECK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minor_presentation</t>
        </is>
      </c>
      <c r="J4" s="22" t="inlineStr">
        <is>
          <t>unlikely</t>
        </is>
      </c>
      <c r="K4" s="21">
        <f>IF(AND(OR(D4="retain",D4=""),OR(E4="report_internal_inconsistency",E4="plan_material")),"","not_applicable")</f>
        <v/>
      </c>
      <c r="L4" s="22">
        <f>IF(AND(OR(D4="retain",D4=""),E4="protocol_report"),"","not_applicable")</f>
        <v/>
      </c>
      <c r="M4" s="20" t="n"/>
      <c r="N4" s="23" t="n"/>
      <c r="O4" s="23" t="n"/>
      <c r="P4" s="23" t="n"/>
      <c r="Q4" s="23" t="n"/>
      <c r="R4" s="22" t="inlineStr">
        <is>
          <t>eTable 4 control, discharge antithrombotics: 2141/2400 printed 89.3; 2141/2400 = 89.21%, which rounds to 89.2. Most other cells in eTable 4 reproduce, but four control discharge cells are each 0.1 to 0.15 points high, suggesting a production error in that column. Trivial magnitude.</t>
        </is>
      </c>
    </row>
    <row r="5" ht="92" customFormat="1" customHeight="1" s="14">
      <c r="A5" s="24" t="inlineStr">
        <is>
          <t>2018::jama.2018.8802::C004</t>
        </is>
      </c>
      <c r="B5" s="24" t="inlineStr">
        <is>
          <t>eTable 4 AF-anticoagulation control percentage does not reproduce</t>
        </is>
      </c>
      <c r="C5" s="24" t="inlineStr">
        <is>
          <t>joi180070supp2_prod.pdf — PDF p. 8, eTable 4, Anticoagulation for Atrial Fibrillation, control cell.</t>
        </is>
      </c>
      <c r="D5" s="21" t="inlineStr">
        <is>
          <t>retain</t>
        </is>
      </c>
      <c r="E5" s="21" t="inlineStr">
        <is>
          <t>statistical_results</t>
        </is>
      </c>
      <c r="F5" s="21" t="inlineStr">
        <is>
          <t>primary_done</t>
        </is>
      </c>
      <c r="G5" s="24">
        <f>IFERROR(IF(LEN(TRIM(CLEAN(SUBSTITUTE(Setup!$B$2,CHAR(160)," "))))=0,"CHECK REVIEWER ID",IF(OR(A5="",COUNTIF($A$2:$A$9,A5)&lt;&gt;1,LEFT(A5,LEN("2018::jama.2018.8802::"))&lt;&gt;"2018::jama.2018.8802::"),"CHECK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t="inlineStr">
        <is>
          <t>eTable 4 control, anticoagulation for AF: 39/174 printed 22.5; 39/174 = 22.41%, which rounds to 22.4. Same pattern as the other control discharge cells in this table. Trivial magnitude.</t>
        </is>
      </c>
    </row>
    <row r="6" ht="92" customFormat="1" customHeight="1" s="14">
      <c r="A6" s="20" t="inlineStr">
        <is>
          <t>2018::jama.2018.8802::C005</t>
        </is>
      </c>
      <c r="B6" s="20" t="inlineStr">
        <is>
          <t>eTable 4 lipid-lowering control percentage does not reproduce</t>
        </is>
      </c>
      <c r="C6" s="20" t="inlineStr">
        <is>
          <t>joi180070supp2_prod.pdf — PDF p. 8, eTable 4, Lipid-lowering for LDL &gt;100 mg/dL, control cell.</t>
        </is>
      </c>
      <c r="D6" s="21" t="inlineStr">
        <is>
          <t>retain</t>
        </is>
      </c>
      <c r="E6" s="21" t="inlineStr">
        <is>
          <t>statistical_results</t>
        </is>
      </c>
      <c r="F6" s="21" t="inlineStr">
        <is>
          <t>primary_done</t>
        </is>
      </c>
      <c r="G6" s="20">
        <f>IFERROR(IF(LEN(TRIM(CLEAN(SUBSTITUTE(Setup!$B$2,CHAR(160)," "))))=0,"CHECK REVIEWER ID",IF(OR(A6="",COUNTIF($A$2:$A$9,A6)&lt;&gt;1,LEFT(A6,LEN("2018::jama.2018.8802::"))&lt;&gt;"2018::jama.2018.8802::"),"CHECK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t="inlineStr">
        <is>
          <t>confirmed_issue</t>
        </is>
      </c>
      <c r="I6" s="21" t="inlineStr">
        <is>
          <t>minor_presentation</t>
        </is>
      </c>
      <c r="J6" s="22" t="inlineStr">
        <is>
          <t>unlikely</t>
        </is>
      </c>
      <c r="K6" s="21">
        <f>IF(AND(OR(D6="retain",D6=""),OR(E6="report_internal_inconsistency",E6="plan_material")),"","not_applicable")</f>
        <v/>
      </c>
      <c r="L6" s="22">
        <f>IF(AND(OR(D6="retain",D6=""),E6="protocol_report"),"","not_applicable")</f>
        <v/>
      </c>
      <c r="M6" s="20" t="n"/>
      <c r="N6" s="23" t="n"/>
      <c r="O6" s="23" t="n"/>
      <c r="P6" s="23" t="n"/>
      <c r="Q6" s="23" t="n"/>
      <c r="R6" s="22" t="inlineStr">
        <is>
          <t>eTable 4 control, lipid-lowering for LDL &gt;100: 1439/1586 printed 90.8; 1439/1586 = 90.73%, which rounds to 90.7. Same column-wide pattern. Trivial magnitude.</t>
        </is>
      </c>
    </row>
    <row r="7" ht="92" customFormat="1" customHeight="1" s="14">
      <c r="A7" s="24" t="inlineStr">
        <is>
          <t>2018::jama.2018.8802::C006</t>
        </is>
      </c>
      <c r="B7" s="24" t="inlineStr">
        <is>
          <t>eTable 4 antidiabetic-medication control percentage does not reproduce</t>
        </is>
      </c>
      <c r="C7" s="24" t="inlineStr">
        <is>
          <t>joi180070supp2_prod.pdf — PDF p. 8, eTable 4, Antidiabetic Medication, control cell.</t>
        </is>
      </c>
      <c r="D7" s="21" t="inlineStr">
        <is>
          <t>retain</t>
        </is>
      </c>
      <c r="E7" s="21" t="inlineStr">
        <is>
          <t>statistical_results</t>
        </is>
      </c>
      <c r="F7" s="21" t="inlineStr">
        <is>
          <t>primary_done</t>
        </is>
      </c>
      <c r="G7" s="24">
        <f>IFERROR(IF(LEN(TRIM(CLEAN(SUBSTITUTE(Setup!$B$2,CHAR(160)," "))))=0,"CHECK REVIEWER ID",IF(OR(A7="",COUNTIF($A$2:$A$9,A7)&lt;&gt;1,LEFT(A7,LEN("2018::jama.2018.8802::"))&lt;&gt;"2018::jama.2018.8802::"),"CHECK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t="inlineStr">
        <is>
          <t>eTable 4 control, antidiabetic medication: 557/688 printed 81.1; 557/688 = 80.96%, which rounds to 81.0 (not explained even by rounding up). Same column-wide pattern of control discharge cells about 0.1 high. Trivial magnitude.</t>
        </is>
      </c>
    </row>
    <row r="8" ht="92" customFormat="1" customHeight="1" s="14">
      <c r="A8" s="20" t="inlineStr">
        <is>
          <t>2018::jama.2018.8802::C007</t>
        </is>
      </c>
      <c r="B8" s="20" t="inlineStr">
        <is>
          <t>baseline-survey patient total does not reconcile with stated per-cluster inclusion</t>
        </is>
      </c>
      <c r="C8" s="20" t="inlineStr">
        <is>
          <t>jama_wang_2018_oi_180070.pdf — PDF p. 6, Table 1 baseline-survey Hospitals, No. = 40 and Patients, No. = 801; joi180070supp2_prod.pdf — PDF p. 2, eAppendix baseline-survey statement; jama_wang_2018_oi_180070.pdf — PDF p. 5, Figure 1; joi180070supp1_prod.pdf — PDF p. 4 and PDF p. 7, 40-cluster statements.</t>
        </is>
      </c>
      <c r="D8" s="21" t="inlineStr">
        <is>
          <t>retain</t>
        </is>
      </c>
      <c r="E8" s="21" t="inlineStr">
        <is>
          <t>report_internal_inconsistency</t>
        </is>
      </c>
      <c r="F8" s="21" t="inlineStr">
        <is>
          <t>primary_done</t>
        </is>
      </c>
      <c r="G8" s="20">
        <f>IFERROR(IF(LEN(TRIM(CLEAN(SUBSTITUTE(Setup!$B$2,CHAR(160)," "))))=0,"CHECK REVIEWER ID",IF(OR(A8="",COUNTIF($A$2:$A$9,A8)&lt;&gt;1,LEFT(A8,LEN("2018::jama.2018.8802::"))&lt;&gt;"2018::jama.2018.8802::"),"CHECK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Table 1 baseline survey: 40 hospitals, 801 patients. eAppendix: '20 patients per cluster were prospectively included', implying 800. One-patient discrepancy, most likely a target of 20 with one cluster contributing 21. Real but trivial.</t>
        </is>
      </c>
    </row>
    <row r="9" ht="92" customFormat="1" customHeight="1" s="14">
      <c r="A9" s="24" t="inlineStr">
        <is>
          <t>2018::jama.2018.8802::C008</t>
        </is>
      </c>
      <c r="B9" s="24" t="inlineStr">
        <is>
          <t>in-hospital death absolute-difference CI and P value do not reconcile</t>
        </is>
      </c>
      <c r="C9" s="24" t="inlineStr">
        <is>
          <t>jama_wang_2018_oi_180070.pdf — PDF p. 8, Table 3 Death / In hospital row, absolute-difference and adjacent P-value columns; jama_wang_2018_oi_180070.pdf — PDF p. 4, data-analysis statements.</t>
        </is>
      </c>
      <c r="D9" s="21" t="inlineStr">
        <is>
          <t>retain</t>
        </is>
      </c>
      <c r="E9" s="21" t="inlineStr">
        <is>
          <t>statistical_results</t>
        </is>
      </c>
      <c r="F9" s="21" t="inlineStr">
        <is>
          <t>primary_done</t>
        </is>
      </c>
      <c r="G9" s="24">
        <f>IFERROR(IF(LEN(TRIM(CLEAN(SUBSTITUTE(Setup!$B$2,CHAR(160)," "))))=0,"CHECK REVIEWER ID",IF(OR(A9="",COUNTIF($A$2:$A$9,A9)&lt;&gt;1,LEFT(A9,LEN("2018::jama.2018.8802::"))&lt;&gt;"2018::jama.2018.8802::"),"CHECK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substantive</t>
        </is>
      </c>
      <c r="J9" s="22" t="inlineStr">
        <is>
          <t>direct</t>
        </is>
      </c>
      <c r="K9" s="21">
        <f>IF(AND(OR(D9="retain",D9=""),OR(E9="report_internal_inconsistency",E9="plan_material")),"","not_applicable")</f>
        <v/>
      </c>
      <c r="L9" s="22">
        <f>IF(AND(OR(D9="retain",D9=""),E9="protocol_report"),"","not_applicable")</f>
        <v/>
      </c>
      <c r="M9" s="24" t="n"/>
      <c r="N9" s="23" t="n"/>
      <c r="O9" s="23" t="n"/>
      <c r="P9" s="23" t="n"/>
      <c r="Q9" s="23" t="n"/>
      <c r="R9" s="22" t="inlineStr">
        <is>
          <t>Table 3 in-hospital death (11/2400 vs 23/2400): adjusted absolute difference -0.7% (95% CI -1.1 to 0.2) with P = .009. A CI that includes 0 is incompatible with two-sided P = .009; a CI-derived z test gives P about .035. Text says no significant difference in in-hospital mortality. Crude RD is -0.50 (Wald -0.97 to -0.03; P = .039). Row cannot be reconciled.</t>
        </is>
      </c>
    </row>
  </sheetData>
  <autoFilter ref="A1:R9"/>
  <conditionalFormatting sqref="H2:H9">
    <cfRule type="expression" priority="8" dxfId="70">
      <formula>NOT(AND(OR($D2="retain",$D2=""),$E2="statistical_results"))</formula>
    </cfRule>
  </conditionalFormatting>
  <conditionalFormatting sqref="I2:I9">
    <cfRule type="expression" priority="9" dxfId="70">
      <formula>NOT(AND(OR($D2="retain",$D2=""),$E2="statistical_results"))</formula>
    </cfRule>
  </conditionalFormatting>
  <conditionalFormatting sqref="J2:J9">
    <cfRule type="expression" priority="10" dxfId="70">
      <formula>NOT(AND(OR($D2="retain",$D2=""),$E2="statistical_results"))</formula>
    </cfRule>
  </conditionalFormatting>
  <conditionalFormatting sqref="K2:K9">
    <cfRule type="expression" priority="11" dxfId="70">
      <formula>NOT(AND(OR($D2="retain",$D2=""),OR($E2="report_internal_inconsistency",$E2="plan_material")))</formula>
    </cfRule>
  </conditionalFormatting>
  <conditionalFormatting sqref="L2:L9">
    <cfRule type="expression" priority="12" dxfId="70">
      <formula>NOT(AND(OR($D2="retain",$D2=""),$E2="protocol_report"))</formula>
    </cfRule>
  </conditionalFormatting>
  <conditionalFormatting sqref="G2:G9">
    <cfRule type="expression" priority="13" dxfId="71">
      <formula>G2&lt;&gt;"PRIMARY READY"</formula>
    </cfRule>
  </conditionalFormatting>
  <dataValidations count="8">
    <dataValidation sqref="D2:D9" showDropDown="0" showInputMessage="0" showErrorMessage="1" allowBlank="1" errorTitle="Use a listed option" error="Choose an option; G also checks pasted entries." type="list" errorStyle="stop">
      <formula1>"retain,exclude,discuss"</formula1>
    </dataValidation>
    <dataValidation sqref="E2:E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9" showDropDown="0" showInputMessage="0" showErrorMessage="1" allowBlank="1" errorTitle="Use a listed option" error="Choose an option; G also checks pasted entries." type="list" errorStyle="stop">
      <formula1>"no,primary_done"</formula1>
    </dataValidation>
    <dataValidation sqref="H2:H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9" showDropDown="0" showInputMessage="0" showErrorMessage="1" allowBlank="1" errorTitle="Use a listed option" error="Choose an option; G also checks pasted entries." type="list" errorStyle="stop">
      <formula1>"direct,possible,unlikely,unknown,not_applicable"</formula1>
    </dataValidation>
    <dataValidation sqref="K2:K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4"/>
  <sheetViews>
    <sheetView showGridLines="0" tabSelected="0" workbookViewId="0">
      <pane xSplit="1" ySplit="1" topLeftCell="B2" activePane="bottomRight" state="frozen"/>
      <selection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Format="1" customHeight="1" s="14">
      <c r="A2" s="20" t="inlineStr">
        <is>
          <t>2018::jama.2018.9128::C001</t>
        </is>
      </c>
      <c r="B2" s="20" t="inlineStr">
        <is>
          <t>Intervention 3-month BMI-observation count differs across result displays</t>
        </is>
      </c>
      <c r="C2" s="20" t="inlineStr">
        <is>
          <t>DOC-001 Figure 1 — PDF p. 3; DOC-001 Figure 2 — PDF p. 7; DOC-003 eTable 1 — PDF p. 2.</t>
        </is>
      </c>
      <c r="D2" s="21" t="inlineStr">
        <is>
          <t>retain</t>
        </is>
      </c>
      <c r="E2" s="21" t="inlineStr">
        <is>
          <t>report_internal_inconsistency</t>
        </is>
      </c>
      <c r="F2" s="21" t="inlineStr">
        <is>
          <t>primary_done</t>
        </is>
      </c>
      <c r="G2" s="20">
        <f>IFERROR(IF(LEN(TRIM(CLEAN(SUBSTITUTE(Setup!$B$2,CHAR(160)," "))))=0,"CHECK REVIEWER ID",IF(OR(A2="",COUNTIF($A$2:$A$14,A2)&lt;&gt;1,LEFT(A2,LEN("2018::jama.2018.9128::"))&lt;&gt;"2018::jama.2018.9128::"),"CHECK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t="inlineStr">
        <is>
          <t>Figure 1 (CONSORT) gives 288 for intervention 'BMI measured at 3 mo' (caption: retained = BMI collected); Figure 2 and eTable 1 give 279 (288-279 = 9). Figure 2 also shows 298/302 at baseline vs 304/306 randomized, so the descriptive displays appear to use an unstated subset of BMI values. Small unexplained count difference; ITT model used all 304/306.</t>
        </is>
      </c>
    </row>
    <row r="3" ht="92" customFormat="1" customHeight="1" s="14">
      <c r="A3" s="24" t="inlineStr">
        <is>
          <t>2018::jama.2018.9128::C002</t>
        </is>
      </c>
      <c r="B3" s="24" t="inlineStr">
        <is>
          <t>Control 3-month BMI-observation count differs across result displays</t>
        </is>
      </c>
      <c r="C3" s="24" t="inlineStr">
        <is>
          <t>DOC-001 Figure 1 — PDF p. 3; DOC-001 Figure 2 — PDF p. 7; DOC-003 eTable 1 — PDF p. 2.</t>
        </is>
      </c>
      <c r="D3" s="21" t="inlineStr">
        <is>
          <t>retain</t>
        </is>
      </c>
      <c r="E3" s="21" t="inlineStr">
        <is>
          <t>report_internal_inconsistency</t>
        </is>
      </c>
      <c r="F3" s="21" t="inlineStr">
        <is>
          <t>primary_done</t>
        </is>
      </c>
      <c r="G3" s="24">
        <f>IFERROR(IF(LEN(TRIM(CLEAN(SUBSTITUTE(Setup!$B$2,CHAR(160)," "))))=0,"CHECK REVIEWER ID",IF(OR(A3="",COUNTIF($A$2:$A$14,A3)&lt;&gt;1,LEFT(A3,LEN("2018::jama.2018.9128::"))&lt;&gt;"2018::jama.2018.9128::"),"CHECK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t="inlineStr">
        <is>
          <t>minor_presentation</t>
        </is>
      </c>
      <c r="L3" s="22">
        <f>IF(AND(OR(D3="retain",D3=""),E3="protocol_report"),"","not_applicable")</f>
        <v/>
      </c>
      <c r="M3" s="24" t="n"/>
      <c r="N3" s="23" t="n"/>
      <c r="O3" s="23" t="n"/>
      <c r="P3" s="23" t="n"/>
      <c r="Q3" s="23" t="n"/>
      <c r="R3" s="22" t="inlineStr">
        <is>
          <t>Figure 1 (CONSORT) gives 277 for control 'BMI measured at 3 mo' (caption: retained = BMI collected); Figure 2 and eTable 1 give 271 (277-271 = 6). Figure 2 also shows 298/302 at baseline vs 304/306 randomized, so the descriptive displays appear to use an unstated subset of BMI values. Small unexplained count difference; ITT model used all 304/306.</t>
        </is>
      </c>
    </row>
    <row r="4" ht="92" customFormat="1" customHeight="1" s="14">
      <c r="A4" s="20" t="inlineStr">
        <is>
          <t>2018::jama.2018.9128::C003</t>
        </is>
      </c>
      <c r="B4" s="20" t="inlineStr">
        <is>
          <t>Intervention 9-month BMI-observation count differs across result displays</t>
        </is>
      </c>
      <c r="C4" s="20" t="inlineStr">
        <is>
          <t>DOC-001 Figure 1 — PDF p. 3; DOC-001 Figure 2 — PDF p. 7; DOC-003 eTable 1 — PDF p. 2.</t>
        </is>
      </c>
      <c r="D4" s="21" t="inlineStr">
        <is>
          <t>retain</t>
        </is>
      </c>
      <c r="E4" s="21" t="inlineStr">
        <is>
          <t>report_internal_inconsistency</t>
        </is>
      </c>
      <c r="F4" s="21" t="inlineStr">
        <is>
          <t>primary_done</t>
        </is>
      </c>
      <c r="G4" s="20">
        <f>IFERROR(IF(LEN(TRIM(CLEAN(SUBSTITUTE(Setup!$B$2,CHAR(160)," "))))=0,"CHECK REVIEWER ID",IF(OR(A4="",COUNTIF($A$2:$A$14,A4)&lt;&gt;1,LEFT(A4,LEN("2018::jama.2018.9128::"))&lt;&gt;"2018::jama.2018.9128::"),"CHECK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t="inlineStr">
        <is>
          <t>minor_presentation</t>
        </is>
      </c>
      <c r="L4" s="22">
        <f>IF(AND(OR(D4="retain",D4=""),E4="protocol_report"),"","not_applicable")</f>
        <v/>
      </c>
      <c r="M4" s="20" t="n"/>
      <c r="N4" s="23" t="n"/>
      <c r="O4" s="23" t="n"/>
      <c r="P4" s="23" t="n"/>
      <c r="Q4" s="23" t="n"/>
      <c r="R4" s="22" t="inlineStr">
        <is>
          <t>Figure 1 (CONSORT) gives 282 for intervention 'BMI measured at 9 mo' (caption: retained = BMI collected); Figure 2 and eTable 1 give 280 (282-280 = 2). Figure 2 also shows 298/302 at baseline vs 304/306 randomized, so the descriptive displays appear to use an unstated subset of BMI values. Small unexplained count difference; ITT model used all 304/306.</t>
        </is>
      </c>
    </row>
    <row r="5" ht="92" customFormat="1" customHeight="1" s="14">
      <c r="A5" s="24" t="inlineStr">
        <is>
          <t>2018::jama.2018.9128::C004</t>
        </is>
      </c>
      <c r="B5" s="24" t="inlineStr">
        <is>
          <t>Intervention 12-month BMI-observation count differs across result displays</t>
        </is>
      </c>
      <c r="C5" s="24" t="inlineStr">
        <is>
          <t>DOC-001 Figure 1 — PDF p. 3; DOC-001 Figure 2 — PDF p. 7; DOC-003 eTable 1 — PDF p. 2.</t>
        </is>
      </c>
      <c r="D5" s="21" t="inlineStr">
        <is>
          <t>retain</t>
        </is>
      </c>
      <c r="E5" s="21" t="inlineStr">
        <is>
          <t>report_internal_inconsistency</t>
        </is>
      </c>
      <c r="F5" s="21" t="inlineStr">
        <is>
          <t>primary_done</t>
        </is>
      </c>
      <c r="G5" s="24">
        <f>IFERROR(IF(LEN(TRIM(CLEAN(SUBSTITUTE(Setup!$B$2,CHAR(160)," "))))=0,"CHECK REVIEWER ID",IF(OR(A5="",COUNTIF($A$2:$A$14,A5)&lt;&gt;1,LEFT(A5,LEN("2018::jama.2018.9128::"))&lt;&gt;"2018::jama.2018.9128::"),"CHECK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t="inlineStr">
        <is>
          <t>minor_presentation</t>
        </is>
      </c>
      <c r="L5" s="22">
        <f>IF(AND(OR(D5="retain",D5=""),E5="protocol_report"),"","not_applicable")</f>
        <v/>
      </c>
      <c r="M5" s="24" t="n"/>
      <c r="N5" s="23" t="n"/>
      <c r="O5" s="23" t="n"/>
      <c r="P5" s="23" t="n"/>
      <c r="Q5" s="23" t="n"/>
      <c r="R5" s="22" t="inlineStr">
        <is>
          <t>Figure 1 (CONSORT) gives 275 for intervention 'BMI measured at 12 mo' (caption: retained = BMI collected); Figure 2 and eTable 1 give 274 (275-274 = 1). Figure 2 also shows 298/302 at baseline vs 304/306 randomized, so the descriptive displays appear to use an unstated subset of BMI values. Small unexplained count difference; ITT model used all 304/306.</t>
        </is>
      </c>
    </row>
    <row r="6" ht="92" customFormat="1" customHeight="1" s="14">
      <c r="A6" s="20" t="inlineStr">
        <is>
          <t>2018::jama.2018.9128::C005</t>
        </is>
      </c>
      <c r="B6" s="20" t="inlineStr">
        <is>
          <t>Control 12-month BMI-observation count differs across result displays</t>
        </is>
      </c>
      <c r="C6" s="20" t="inlineStr">
        <is>
          <t>DOC-001 Figure 1 — PDF p. 3; DOC-001 Figure 2 — PDF p. 7; DOC-003 eTable 1 — PDF p. 2.</t>
        </is>
      </c>
      <c r="D6" s="21" t="inlineStr">
        <is>
          <t>retain</t>
        </is>
      </c>
      <c r="E6" s="21" t="inlineStr">
        <is>
          <t>report_internal_inconsistency</t>
        </is>
      </c>
      <c r="F6" s="21" t="inlineStr">
        <is>
          <t>primary_done</t>
        </is>
      </c>
      <c r="G6" s="20">
        <f>IFERROR(IF(LEN(TRIM(CLEAN(SUBSTITUTE(Setup!$B$2,CHAR(160)," "))))=0,"CHECK REVIEWER ID",IF(OR(A6="",COUNTIF($A$2:$A$14,A6)&lt;&gt;1,LEFT(A6,LEN("2018::jama.2018.9128::"))&lt;&gt;"2018::jama.2018.9128::"),"CHECK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t="inlineStr">
        <is>
          <t>Figure 1 (CONSORT) gives 276 for control 'BMI measured at 12 mo' (caption: retained = BMI collected); Figure 2 and eTable 1 give 275 (276-275 = 1). Figure 2 also shows 298/302 at baseline vs 304/306 randomized, so the descriptive displays appear to use an unstated subset of BMI values. Small unexplained count difference; ITT model used all 304/306.</t>
        </is>
      </c>
    </row>
    <row r="7" ht="92" customFormat="1" customHeight="1" s="14">
      <c r="A7" s="24" t="inlineStr">
        <is>
          <t>2018::jama.2018.9128::C006</t>
        </is>
      </c>
      <c r="B7" s="24" t="inlineStr">
        <is>
          <t>Intervention 24-month BMI-observation count differs across result displays</t>
        </is>
      </c>
      <c r="C7" s="24" t="inlineStr">
        <is>
          <t>DOC-001 Figure 1 — PDF p. 3; DOC-001 Figure 2 — PDF p. 7; DOC-003 eTable 1 — PDF p. 2.</t>
        </is>
      </c>
      <c r="D7" s="21" t="inlineStr">
        <is>
          <t>retain</t>
        </is>
      </c>
      <c r="E7" s="21" t="inlineStr">
        <is>
          <t>report_internal_inconsistency</t>
        </is>
      </c>
      <c r="F7" s="21" t="inlineStr">
        <is>
          <t>primary_done</t>
        </is>
      </c>
      <c r="G7" s="24">
        <f>IFERROR(IF(LEN(TRIM(CLEAN(SUBSTITUTE(Setup!$B$2,CHAR(160)," "))))=0,"CHECK REVIEWER ID",IF(OR(A7="",COUNTIF($A$2:$A$14,A7)&lt;&gt;1,LEFT(A7,LEN("2018::jama.2018.9128::"))&lt;&gt;"2018::jama.2018.9128::"),"CHECK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t="inlineStr">
        <is>
          <t>minor_presentation</t>
        </is>
      </c>
      <c r="L7" s="22">
        <f>IF(AND(OR(D7="retain",D7=""),E7="protocol_report"),"","not_applicable")</f>
        <v/>
      </c>
      <c r="M7" s="24" t="n"/>
      <c r="N7" s="23" t="n"/>
      <c r="O7" s="23" t="n"/>
      <c r="P7" s="23" t="n"/>
      <c r="Q7" s="23" t="n"/>
      <c r="R7" s="22" t="inlineStr">
        <is>
          <t>Figure 1 (CONSORT) gives 280 for intervention 'BMI measured at 24 mo' (caption: retained = BMI collected); Figure 2 and eTable 1 give 278 (280-278 = 2). Figure 2 also shows 298/302 at baseline vs 304/306 randomized, so the descriptive displays appear to use an unstated subset of BMI values. Small unexplained count difference; ITT model used all 304/306.</t>
        </is>
      </c>
    </row>
    <row r="8" ht="92" customFormat="1" customHeight="1" s="14">
      <c r="A8" s="20" t="inlineStr">
        <is>
          <t>2018::jama.2018.9128::C007</t>
        </is>
      </c>
      <c r="B8" s="20" t="inlineStr">
        <is>
          <t>Control 24-month BMI-observation count differs across result displays</t>
        </is>
      </c>
      <c r="C8" s="20" t="inlineStr">
        <is>
          <t>DOC-001 Figure 1 — PDF p. 3; DOC-001 Figure 2 — PDF p. 7; DOC-003 eTable 1 — PDF p. 2.</t>
        </is>
      </c>
      <c r="D8" s="21" t="inlineStr">
        <is>
          <t>retain</t>
        </is>
      </c>
      <c r="E8" s="21" t="inlineStr">
        <is>
          <t>report_internal_inconsistency</t>
        </is>
      </c>
      <c r="F8" s="21" t="inlineStr">
        <is>
          <t>primary_done</t>
        </is>
      </c>
      <c r="G8" s="20">
        <f>IFERROR(IF(LEN(TRIM(CLEAN(SUBSTITUTE(Setup!$B$2,CHAR(160)," "))))=0,"CHECK REVIEWER ID",IF(OR(A8="",COUNTIF($A$2:$A$14,A8)&lt;&gt;1,LEFT(A8,LEN("2018::jama.2018.9128::"))&lt;&gt;"2018::jama.2018.9128::"),"CHECK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t="inlineStr">
        <is>
          <t>minor_presentation</t>
        </is>
      </c>
      <c r="L8" s="22">
        <f>IF(AND(OR(D8="retain",D8=""),E8="protocol_report"),"","not_applicable")</f>
        <v/>
      </c>
      <c r="M8" s="20" t="n"/>
      <c r="N8" s="23" t="n"/>
      <c r="O8" s="23" t="n"/>
      <c r="P8" s="23" t="n"/>
      <c r="Q8" s="23" t="n"/>
      <c r="R8" s="22" t="inlineStr">
        <is>
          <t>Figure 1 (CONSORT) gives 267 for control 'BMI measured at 24 mo' (caption: retained = BMI collected); Figure 2 and eTable 1 give 266 (267-266 = 1). Figure 2 also shows 298/302 at baseline vs 304/306 randomized, so the descriptive displays appear to use an unstated subset of BMI values. Small unexplained count difference; ITT model used all 304/306.</t>
        </is>
      </c>
    </row>
    <row r="9" ht="92" customFormat="1" customHeight="1" s="14">
      <c r="A9" s="24" t="inlineStr">
        <is>
          <t>2018::jama.2018.9128::C008</t>
        </is>
      </c>
      <c r="B9" s="24" t="inlineStr">
        <is>
          <t>Intervention 36-month BMI-observation count differs across result displays</t>
        </is>
      </c>
      <c r="C9" s="24" t="inlineStr">
        <is>
          <t>DOC-001 Figure 1 — PDF p. 3; DOC-001 Figure 2 — PDF p. 7; DOC-003 eTable 1 — PDF p. 2.</t>
        </is>
      </c>
      <c r="D9" s="21" t="inlineStr">
        <is>
          <t>retain</t>
        </is>
      </c>
      <c r="E9" s="21" t="inlineStr">
        <is>
          <t>report_internal_inconsistency</t>
        </is>
      </c>
      <c r="F9" s="21" t="inlineStr">
        <is>
          <t>primary_done</t>
        </is>
      </c>
      <c r="G9" s="24">
        <f>IFERROR(IF(LEN(TRIM(CLEAN(SUBSTITUTE(Setup!$B$2,CHAR(160)," "))))=0,"CHECK REVIEWER ID",IF(OR(A9="",COUNTIF($A$2:$A$14,A9)&lt;&gt;1,LEFT(A9,LEN("2018::jama.2018.9128::"))&lt;&gt;"2018::jama.2018.9128::"),"CHECK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minor_presentation</t>
        </is>
      </c>
      <c r="L9" s="22">
        <f>IF(AND(OR(D9="retain",D9=""),E9="protocol_report"),"","not_applicable")</f>
        <v/>
      </c>
      <c r="M9" s="24" t="n"/>
      <c r="N9" s="23" t="n"/>
      <c r="O9" s="23" t="n"/>
      <c r="P9" s="23" t="n"/>
      <c r="Q9" s="23" t="n"/>
      <c r="R9" s="22" t="inlineStr">
        <is>
          <t>Figure 1 (CONSORT) gives 278 for intervention 'Retained at 36 mo' (caption: retained = BMI collected); Figure 2 and eTable 1 give 276 (278-276 = 2). Figure 2 also shows 298/302 at baseline vs 304/306 randomized, so the descriptive displays appear to use an unstated subset of BMI values. Small unexplained count difference; ITT model used all 304/306.</t>
        </is>
      </c>
    </row>
    <row r="10" ht="92" customFormat="1" customHeight="1" s="14">
      <c r="A10" s="20" t="inlineStr">
        <is>
          <t>2018::jama.2018.9128::C009</t>
        </is>
      </c>
      <c r="B10" s="20" t="inlineStr">
        <is>
          <t>Final SAP says six assessment points but enumerates five</t>
        </is>
      </c>
      <c r="C10" s="20" t="inlineStr">
        <is>
          <t>DOC-002 final SAP — PDF p. 110; DOC-002 protocol schedule — PDF p. 15; DOC-001 Methods — PDF p. 4; DOC-003 eTable 1 — PDF p. 2.</t>
        </is>
      </c>
      <c r="D10" s="21" t="inlineStr">
        <is>
          <t>retain</t>
        </is>
      </c>
      <c r="E10" s="21" t="inlineStr">
        <is>
          <t>plan_material</t>
        </is>
      </c>
      <c r="F10" s="21" t="inlineStr">
        <is>
          <t>primary_done</t>
        </is>
      </c>
      <c r="G10" s="20">
        <f>IFERROR(IF(LEN(TRIM(CLEAN(SUBSTITUTE(Setup!$B$2,CHAR(160)," "))))=0,"CHECK REVIEWER ID",IF(OR(A10="",COUNTIF($A$2:$A$14,A10)&lt;&gt;1,LEFT(A10,LEN("2018::jama.2018.9128::"))&lt;&gt;"2018::jama.2018.9128::"),"CHECK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t="inlineStr">
        <is>
          <t>minor_presentation</t>
        </is>
      </c>
      <c r="L10" s="22">
        <f>IF(AND(OR(D10="retain",D10=""),E10="protocol_report"),"","not_applicable")</f>
        <v/>
      </c>
      <c r="M10" s="20" t="n"/>
      <c r="N10" s="23" t="n"/>
      <c r="O10" s="23" t="n"/>
      <c r="P10" s="23" t="n"/>
      <c r="Q10" s="23" t="n"/>
      <c r="R10" s="22" t="inlineStr">
        <is>
          <t>Final SAP (Nov 2016, p.110): 'Assessments will occur over 6 time points ... beginning at baseline and including ... 3 months, and at 9, 12, and 36 months' (5 listed). Same SAP later says '6 repeated measurements'; protocols list 24 months. 24 months is evidently omitted from the list. Editorial slip in the plan; minor.</t>
        </is>
      </c>
    </row>
    <row r="11" ht="92" customFormat="1" customHeight="1" s="14">
      <c r="A11" s="24" t="inlineStr">
        <is>
          <t>2018::jama.2018.9128::C010</t>
        </is>
      </c>
      <c r="B11" s="24" t="inlineStr">
        <is>
          <t>Revised protocol gives six points but lists seven including 48 months</t>
        </is>
      </c>
      <c r="C11" s="24" t="inlineStr">
        <is>
          <t>DOC-002 revised protocol — PDF p. 64; DOC-001 Methods — PDF p. 4; DOC-003 eTable 1 — PDF p. 2.</t>
        </is>
      </c>
      <c r="D11" s="21" t="inlineStr">
        <is>
          <t>retain</t>
        </is>
      </c>
      <c r="E11" s="21" t="inlineStr">
        <is>
          <t>plan_material</t>
        </is>
      </c>
      <c r="F11" s="21" t="inlineStr">
        <is>
          <t>primary_done</t>
        </is>
      </c>
      <c r="G11" s="24">
        <f>IFERROR(IF(LEN(TRIM(CLEAN(SUBSTITUTE(Setup!$B$2,CHAR(160)," "))))=0,"CHECK REVIEWER ID",IF(OR(A11="",COUNTIF($A$2:$A$14,A11)&lt;&gt;1,LEFT(A11,LEN("2018::jama.2018.9128::"))&lt;&gt;"2018::jama.2018.9128::"),"CHECK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t="inlineStr">
        <is>
          <t>minor_presentation</t>
        </is>
      </c>
      <c r="L11" s="22">
        <f>IF(AND(OR(D11="retain",D11=""),E11="protocol_report"),"","not_applicable")</f>
        <v/>
      </c>
      <c r="M11" s="24" t="n"/>
      <c r="N11" s="23" t="n"/>
      <c r="O11" s="23" t="n"/>
      <c r="P11" s="23" t="n"/>
      <c r="Q11" s="23" t="n"/>
      <c r="R11" s="22" t="inlineStr">
        <is>
          <t>Revised protocol p.64: 'Data collection ... at 6-points in time (T1-T6): baseline, 3, 9, 12, 24, 36-months, and one at 48-months' and 'Each of the six data collection points'; same page also says 'each of the 7 data collection points'. The amendment log (1 Oct 2015) added a further follow-up year (T7), so 48 months was appended without updating the count. Minor.</t>
        </is>
      </c>
    </row>
    <row r="12" ht="92" customFormat="1" customHeight="1" s="14">
      <c r="A12" s="20" t="inlineStr">
        <is>
          <t>2018::jama.2018.9128::C011</t>
        </is>
      </c>
      <c r="B12" s="20" t="inlineStr">
        <is>
          <t>Original protocol labels primary outcome as BMI percentile/BMI% while results use BMI kg/m²</t>
        </is>
      </c>
      <c r="C12" s="20" t="inlineStr">
        <is>
          <t>DOC-002 original protocol — PDF p. 16; DOC-002 final SAP — PDF p. 110; DOC-001 Outcomes — PDF p. 3; DOC-003 eTable 1 — PDF p. 2.</t>
        </is>
      </c>
      <c r="D12" s="21" t="inlineStr">
        <is>
          <t>retain</t>
        </is>
      </c>
      <c r="E12" s="21" t="inlineStr">
        <is>
          <t>protocol_report</t>
        </is>
      </c>
      <c r="F12" s="21" t="inlineStr">
        <is>
          <t>primary_done</t>
        </is>
      </c>
      <c r="G12" s="20">
        <f>IFERROR(IF(LEN(TRIM(CLEAN(SUBSTITUTE(Setup!$B$2,CHAR(160)," "))))=0,"CHECK REVIEWER ID",IF(OR(A12="",COUNTIF($A$2:$A$14,A12)&lt;&gt;1,LEFT(A12,LEN("2018::jama.2018.9128::"))&lt;&gt;"2018::jama.2018.9128::"),"CHECK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f>IF(AND(OR(D12="retain",D12=""),OR(E12="report_internal_inconsistency",E12="plan_material")),"","not_applicable")</f>
        <v/>
      </c>
      <c r="L12" s="22" t="inlineStr">
        <is>
          <t>minor_presentation</t>
        </is>
      </c>
      <c r="M12" s="20" t="n"/>
      <c r="N12" s="23" t="n"/>
      <c r="O12" s="23" t="n"/>
      <c r="P12" s="23" t="n"/>
      <c r="Q12" s="23" t="n"/>
      <c r="R12" s="22" t="inlineStr">
        <is>
          <t>Original protocol p.16 calls the primary outcome 'the child's BMI Percentile' and 'change of BMI%', but its own table gives weight (kg)/height (m^2). The original SAP (DSMB, Apr 2012), revised protocol and final SAP all model BMI, as does the article (kg/m^2). Wording difference confined to the original protocol label; planned analysis and report agree.</t>
        </is>
      </c>
    </row>
    <row r="13" ht="92" customFormat="1" customHeight="1" s="14">
      <c r="A13" s="24" t="inlineStr">
        <is>
          <t>2018::jama.2018.9128::C012</t>
        </is>
      </c>
      <c r="B13" s="24" t="inlineStr">
        <is>
          <t>Control-condition session count and duration differ across protocol versions and article</t>
        </is>
      </c>
      <c r="C13" s="24" t="inlineStr">
        <is>
          <t>DOC-002 original protocol — PDF p. 14; DOC-002 revised protocol — PDF p. 64; DOC-001 abstract — PDF p. 1; DOC-001 Methods — PDF p. 3.</t>
        </is>
      </c>
      <c r="D13" s="21" t="inlineStr">
        <is>
          <t>retain</t>
        </is>
      </c>
      <c r="E13" s="21" t="inlineStr">
        <is>
          <t>protocol_report</t>
        </is>
      </c>
      <c r="F13" s="21" t="inlineStr">
        <is>
          <t>primary_done</t>
        </is>
      </c>
      <c r="G13" s="24">
        <f>IFERROR(IF(LEN(TRIM(CLEAN(SUBSTITUTE(Setup!$B$2,CHAR(160)," "))))=0,"CHECK REVIEWER ID",IF(OR(A13="",COUNTIF($A$2:$A$14,A13)&lt;&gt;1,LEFT(A13,LEN("2018::jama.2018.9128::"))&lt;&gt;"2018::jama.2018.9128::"),"CHECK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t="inlineStr">
        <is>
          <t>substantive_difference</t>
        </is>
      </c>
      <c r="M13" s="24" t="n"/>
      <c r="N13" s="23" t="n"/>
      <c r="O13" s="23" t="n"/>
      <c r="P13" s="23" t="n"/>
      <c r="Q13" s="23" t="n"/>
      <c r="R13" s="22" t="inlineStr">
        <is>
          <t>Control (school-readiness) exposure: original protocol, 60-min in-person sessions quarterly for 36 months (12 sessions); revised protocol, a 45-min program at each of 7 data-collection points plus newsletters; article, six 30-minute group activities delivered with data collection. Planned comparator dose (720 or 315 min) differs from the reported 180 min, with no mapping supplied.</t>
        </is>
      </c>
    </row>
    <row r="14" ht="92" customFormat="1" customHeight="1" s="14">
      <c r="A14" s="20" t="inlineStr">
        <is>
          <t>2018::jama.2018.9128::C013</t>
        </is>
      </c>
      <c r="B14" s="20" t="inlineStr">
        <is>
          <t>Control 9-month BMI-observation count differs across result displays</t>
        </is>
      </c>
      <c r="C14" s="20" t="inlineStr">
        <is>
          <t>DOC-001 Figure 1 — PDF p. 3; DOC-001 Figure 2 — PDF p. 7; DOC-003 eTable 1 — PDF p. 2.</t>
        </is>
      </c>
      <c r="D14" s="21" t="inlineStr">
        <is>
          <t>retain</t>
        </is>
      </c>
      <c r="E14" s="21" t="inlineStr">
        <is>
          <t>report_internal_inconsistency</t>
        </is>
      </c>
      <c r="F14" s="21" t="inlineStr">
        <is>
          <t>primary_done</t>
        </is>
      </c>
      <c r="G14" s="20">
        <f>IFERROR(IF(LEN(TRIM(CLEAN(SUBSTITUTE(Setup!$B$2,CHAR(160)," "))))=0,"CHECK REVIEWER ID",IF(OR(A14="",COUNTIF($A$2:$A$14,A14)&lt;&gt;1,LEFT(A14,LEN("2018::jama.2018.9128::"))&lt;&gt;"2018::jama.2018.9128::"),"CHECK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minor_presentation</t>
        </is>
      </c>
      <c r="L14" s="22">
        <f>IF(AND(OR(D14="retain",D14=""),E14="protocol_report"),"","not_applicable")</f>
        <v/>
      </c>
      <c r="M14" s="20" t="n"/>
      <c r="N14" s="23" t="n"/>
      <c r="O14" s="23" t="n"/>
      <c r="P14" s="23" t="n"/>
      <c r="Q14" s="23" t="n"/>
      <c r="R14" s="22" t="inlineStr">
        <is>
          <t>Figure 1 (CONSORT) gives 282 for control 'BMI measured at 9 mo' (caption: retained = BMI collected); Figure 2 and eTable 1 give 280 (282-280 = 2). Figure 2 also shows 298/302 at baseline vs 304/306 randomized, so the descriptive displays appear to use an unstated subset of BMI values. Small unexplained count difference; ITT model used all 304/306.</t>
        </is>
      </c>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6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2026-09-19T05:14:10Z</dcterms:created>
  <dcterms:modified xsi:type="dcterms:W3CDTF">2026-10-10T23:06:07Z</dcterms:modified>
</cp:coreProperties>
</file>