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24.24764" sheetId="4" state="visible" r:id="rId4"/>
    <sheet name="C_jama.2024.27643" sheetId="5" state="visible" r:id="rId5"/>
    <sheet name="C_jama.2025.11178" sheetId="6" state="visible" r:id="rId6"/>
    <sheet name="C_jama.2025.15185" sheetId="7" state="visible" r:id="rId7"/>
    <sheet name="C_jama.2025.15440" sheetId="8" state="visible" r:id="rId8"/>
    <sheet name="C_jama.2025.16450" sheetId="9" state="visible" r:id="rId9"/>
    <sheet name="C_jama.2025.19563" sheetId="10" state="visible" r:id="rId10"/>
    <sheet name="C_jama.2025.19843" sheetId="11" state="visible" r:id="rId11"/>
    <sheet name="C_jama.2025.20765" sheetId="12" state="visible" r:id="rId12"/>
    <sheet name="C_jama.2025.24175" sheetId="13" state="visible" r:id="rId13"/>
    <sheet name="C_jama.2025.4390" sheetId="14" state="visible" r:id="rId14"/>
    <sheet name="C_jama.2025.7583" sheetId="15" state="visible" r:id="rId15"/>
    <sheet name="C_jama.2025.7710" sheetId="16" state="visible" r:id="rId16"/>
    <sheet name="C_jama.2025.9110" sheetId="17" state="visible" r:id="rId17"/>
    <sheet name="C_jama.2025.9663" sheetId="18" state="visible" r:id="rId18"/>
    <sheet name="Codebook" sheetId="19" state="visible" r:id="rId19"/>
  </sheets>
  <definedNames>
    <definedName name="_xlnm._FilterDatabase" localSheetId="3" hidden="1">'C_jama.2024.24764'!$A$1:$R$9</definedName>
    <definedName name="_xlnm._FilterDatabase" localSheetId="4" hidden="1">'C_jama.2024.27643'!$A$1:$R$9</definedName>
    <definedName name="_xlnm._FilterDatabase" localSheetId="5" hidden="1">'C_jama.2025.11178'!$A$1:$R$38</definedName>
    <definedName name="_xlnm._FilterDatabase" localSheetId="6" hidden="1">'C_jama.2025.15185'!$A$1:$R$13</definedName>
    <definedName name="_xlnm._FilterDatabase" localSheetId="7" hidden="1">'C_jama.2025.15440'!$A$1:$R$3</definedName>
    <definedName name="_xlnm._FilterDatabase" localSheetId="8" hidden="1">'C_jama.2025.16450'!$A$1:$R$11</definedName>
    <definedName name="_xlnm._FilterDatabase" localSheetId="9" hidden="1">'C_jama.2025.19563'!$A$1:$R$8</definedName>
    <definedName name="_xlnm._FilterDatabase" localSheetId="10" hidden="1">'C_jama.2025.19843'!$A$1:$R$2</definedName>
    <definedName name="_xlnm._FilterDatabase" localSheetId="11" hidden="1">'C_jama.2025.20765'!$A$1:$R$14</definedName>
    <definedName name="_xlnm._FilterDatabase" localSheetId="12" hidden="1">'C_jama.2025.24175'!$A$1:$R$15</definedName>
    <definedName name="_xlnm._FilterDatabase" localSheetId="13" hidden="1">'C_jama.2025.4390'!$A$1:$R$4</definedName>
    <definedName name="_xlnm._FilterDatabase" localSheetId="14" hidden="1">'C_jama.2025.7583'!$A$1:$R$4</definedName>
    <definedName name="_xlnm._FilterDatabase" localSheetId="15" hidden="1">'C_jama.2025.7710'!$A$1:$R$5</definedName>
    <definedName name="_xlnm._FilterDatabase" localSheetId="16" hidden="1">'C_jama.2025.9110'!$A$1:$R$7</definedName>
    <definedName name="_xlnm._FilterDatabase" localSheetId="17" hidden="1">'C_jama.2025.9663'!$A$1:$R$4</definedName>
    <definedName name="_xlnm._FilterDatabase" localSheetId="18" hidden="1">'Codebook'!$A$1:$E$56</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DF2F5"/>
      </patternFill>
    </fill>
  </fills>
  <borders count="1">
    <border/>
  </borders>
  <cellStyleXfs count="1">
    <xf numFmtId="0" fontId="0" fillId="0" borderId="0" applyProtection="1">
      <protection locked="0" hidden="0"/>
    </xf>
  </cellStyleXfs>
  <cellXfs count="20">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9"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cellXfs>
  <cellStyles count="1">
    <cellStyle name="Normal" xfId="0"/>
  </cellStyles>
  <dxfs count="107">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9C0006"/>
      </font>
      <fill>
        <patternFill patternType="solid">
          <fgColor rgb="00FFF2CC"/>
        </patternFill>
      </fill>
    </dxf>
    <dxf>
      <font>
        <color rgb="00687783"/>
      </font>
      <fill>
        <patternFill patternType="solid">
          <fgColor rgb="00EDF2F5"/>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5"/>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8" min="1" max="1"/>
    <col width="70" customWidth="1" style="8" min="2" max="2"/>
  </cols>
  <sheetData>
    <row r="1" ht="42" customFormat="1" customHeight="1" s="8">
      <c r="A1" s="14" t="inlineStr">
        <is>
          <t>Field</t>
        </is>
      </c>
      <c r="B1" s="14" t="inlineStr">
        <is>
          <t>Value</t>
        </is>
      </c>
    </row>
    <row r="2" ht="42" customFormat="1" customHeight="1" s="8">
      <c r="A2" s="15" t="inlineStr">
        <is>
          <t>reviewerId / identifying name</t>
        </is>
      </c>
      <c r="B2" s="17" t="inlineStr">
        <is>
          <t>BulunTe</t>
        </is>
      </c>
    </row>
    <row r="3" ht="42" customFormat="1" customHeight="1" s="8">
      <c r="A3" s="16" t="inlineStr">
        <is>
          <t>reviewerName (optional)</t>
        </is>
      </c>
      <c r="B3" s="17" t="n"/>
    </row>
    <row r="4" ht="42" customFormat="1" customHeight="1" s="8">
      <c r="A4" s="15" t="inlineStr">
        <is>
          <t>reviewerRole</t>
        </is>
      </c>
      <c r="B4" s="15" t="inlineStr">
        <is>
          <t>R_B</t>
        </is>
      </c>
    </row>
    <row r="5" ht="42" customFormat="1" customHeight="1" s="8">
      <c r="A5" s="16" t="inlineStr">
        <is>
          <t>year</t>
        </is>
      </c>
      <c r="B5" s="16" t="n">
        <v>2025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8" min="1" max="1"/>
    <col width="105" customWidth="1" style="8" min="2" max="2"/>
  </cols>
  <sheetData>
    <row r="1" ht="42" customFormat="1" customHeight="1" s="8">
      <c r="A1" s="14" t="inlineStr">
        <is>
          <t>Check</t>
        </is>
      </c>
      <c r="B1" s="14" t="inlineStr">
        <is>
          <t>Result</t>
        </is>
      </c>
    </row>
    <row r="2" ht="60" customFormat="1" customHeight="1" s="8">
      <c r="A2" s="15" t="inlineStr">
        <is>
          <t>Reviewer role</t>
        </is>
      </c>
      <c r="B2" s="15">
        <f>Setup!B4</f>
        <v/>
      </c>
    </row>
    <row r="3" ht="60" customFormat="1" customHeight="1" s="8">
      <c r="A3" s="16" t="inlineStr">
        <is>
          <t>Candidates</t>
        </is>
      </c>
      <c r="B3" s="16" t="n">
        <v>131</v>
      </c>
    </row>
    <row r="4" ht="60" customFormat="1" customHeight="1" s="8">
      <c r="A4" s="15" t="inlineStr">
        <is>
          <t>Primary ready rows</t>
        </is>
      </c>
      <c r="B4" s="15">
        <f>COUNTIF('C_jama.2024.24764'!$G$2:$G$9,"PRIMARY READY")+COUNTIF('C_jama.2024.27643'!$G$2:$G$9,"PRIMARY READY")+COUNTIF('C_jama.2025.11178'!$G$2:$G$38,"PRIMARY READY")+COUNTIF('C_jama.2025.15185'!$G$2:$G$13,"PRIMARY READY")+COUNTIF('C_jama.2025.15440'!$G$2:$G$3,"PRIMARY READY")+COUNTIF('C_jama.2025.16450'!$G$2:$G$11,"PRIMARY READY")+COUNTIF('C_jama.2025.19563'!$G$2:$G$8,"PRIMARY READY")+COUNTIF('C_jama.2025.19843'!$G$2:$G$2,"PRIMARY READY")+COUNTIF('C_jama.2025.20765'!$G$2:$G$14,"PRIMARY READY")+COUNTIF('C_jama.2025.24175'!$G$2:$G$15,"PRIMARY READY")+COUNTIF('C_jama.2025.4390'!$G$2:$G$4,"PRIMARY READY")+COUNTIF('C_jama.2025.7583'!$G$2:$G$4,"PRIMARY READY")+COUNTIF('C_jama.2025.7710'!$G$2:$G$5,"PRIMARY READY")+COUNTIF('C_jama.2025.9110'!$G$2:$G$7,"PRIMARY READY")+COUNTIF('C_jama.2025.9663'!$G$2:$G$4,"PRIMARY READY")</f>
        <v/>
      </c>
    </row>
    <row r="5" ht="60" customFormat="1" customHeight="1" s="8">
      <c r="A5" s="16" t="inlineStr">
        <is>
          <t>Unfinished rows</t>
        </is>
      </c>
      <c r="B5" s="16">
        <f>B3-B4</f>
        <v/>
      </c>
    </row>
    <row r="6" ht="60" customFormat="1" customHeight="1" s="8">
      <c r="A6" s="15" t="inlineStr">
        <is>
          <t>Discuss / unresolved rows</t>
        </is>
      </c>
      <c r="B6" s="15">
        <f>COUNTIF('C_jama.2024.24764'!$D$2:$D$9,"discuss")+COUNTIF('C_jama.2024.27643'!$D$2:$D$9,"discuss")+COUNTIF('C_jama.2025.11178'!$D$2:$D$38,"discuss")+COUNTIF('C_jama.2025.15185'!$D$2:$D$13,"discuss")+COUNTIF('C_jama.2025.15440'!$D$2:$D$3,"discuss")+COUNTIF('C_jama.2025.16450'!$D$2:$D$11,"discuss")+COUNTIF('C_jama.2025.19563'!$D$2:$D$8,"discuss")+COUNTIF('C_jama.2025.19843'!$D$2:$D$2,"discuss")+COUNTIF('C_jama.2025.20765'!$D$2:$D$14,"discuss")+COUNTIF('C_jama.2025.24175'!$D$2:$D$15,"discuss")+COUNTIF('C_jama.2025.4390'!$D$2:$D$4,"discuss")+COUNTIF('C_jama.2025.7583'!$D$2:$D$4,"discuss")+COUNTIF('C_jama.2025.7710'!$D$2:$D$5,"discuss")+COUNTIF('C_jama.2025.9110'!$D$2:$D$7,"discuss")+COUNTIF('C_jama.2025.9663'!$D$2:$D$4,"discuss")</f>
        <v/>
      </c>
    </row>
    <row r="7" ht="60" customFormat="1" customHeight="1" s="8">
      <c r="A7" s="16" t="inlineStr">
        <is>
          <t>Workflow status</t>
        </is>
      </c>
      <c r="B7" s="16">
        <f>IF(B4=B3,"PRIMARY READY","ACTION NEEDED")</f>
        <v/>
      </c>
    </row>
    <row r="8" ht="60" customFormat="1" customHeight="1" s="8">
      <c r="A8" s="15" t="inlineStr">
        <is>
          <t>Interpretation</t>
        </is>
      </c>
      <c r="B8" s="15" t="inlineStr">
        <is>
          <t>Completion means independent entry is finished. Discuss remains unresolved.</t>
        </is>
      </c>
    </row>
    <row r="9" ht="60" customFormat="1" customHeight="1" s="8">
      <c r="A9" s="16" t="inlineStr">
        <is>
          <t>Next action</t>
        </is>
      </c>
      <c r="B9" s="16" t="inlineStr">
        <is>
          <t>Inspect G on the C_ sheets. When primary-ready, save and deliver this file.</t>
        </is>
      </c>
    </row>
    <row r="10" ht="60" customFormat="1" customHeight="1" s="8">
      <c r="A10" s="15" t="inlineStr">
        <is>
          <t>Ready discuss rows</t>
        </is>
      </c>
      <c r="B10" s="15">
        <f>COUNTIFS('C_jama.2024.24764'!$G$2:$G$9,"PRIMARY READY",'C_jama.2024.24764'!$D$2:$D$9,"discuss")+COUNTIFS('C_jama.2024.27643'!$G$2:$G$9,"PRIMARY READY",'C_jama.2024.27643'!$D$2:$D$9,"discuss")+COUNTIFS('C_jama.2025.11178'!$G$2:$G$38,"PRIMARY READY",'C_jama.2025.11178'!$D$2:$D$38,"discuss")+COUNTIFS('C_jama.2025.15185'!$G$2:$G$13,"PRIMARY READY",'C_jama.2025.15185'!$D$2:$D$13,"discuss")+COUNTIFS('C_jama.2025.15440'!$G$2:$G$3,"PRIMARY READY",'C_jama.2025.15440'!$D$2:$D$3,"discuss")+COUNTIFS('C_jama.2025.16450'!$G$2:$G$11,"PRIMARY READY",'C_jama.2025.16450'!$D$2:$D$11,"discuss")+COUNTIFS('C_jama.2025.19563'!$G$2:$G$8,"PRIMARY READY",'C_jama.2025.19563'!$D$2:$D$8,"discuss")+COUNTIFS('C_jama.2025.19843'!$G$2:$G$2,"PRIMARY READY",'C_jama.2025.19843'!$D$2:$D$2,"discuss")+COUNTIFS('C_jama.2025.20765'!$G$2:$G$14,"PRIMARY READY",'C_jama.2025.20765'!$D$2:$D$14,"discuss")+COUNTIFS('C_jama.2025.24175'!$G$2:$G$15,"PRIMARY READY",'C_jama.2025.24175'!$D$2:$D$15,"discuss")+COUNTIFS('C_jama.2025.4390'!$G$2:$G$4,"PRIMARY READY",'C_jama.2025.4390'!$D$2:$D$4,"discuss")+COUNTIFS('C_jama.2025.7583'!$G$2:$G$4,"PRIMARY READY",'C_jama.2025.7583'!$D$2:$D$4,"discuss")+COUNTIFS('C_jama.2025.7710'!$G$2:$G$5,"PRIMARY READY",'C_jama.2025.7710'!$D$2:$D$5,"discuss")+COUNTIFS('C_jama.2025.9110'!$G$2:$G$7,"PRIMARY READY",'C_jama.2025.9110'!$D$2:$D$7,"discuss")+COUNTIFS('C_jama.2025.9663'!$G$2:$G$4,"PRIMARY READY",'C_jama.2025.9663'!$D$2:$D$4,"discuss")</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showGridLines="0" tabSelected="0" workbookViewId="0">
      <pane xSplit="1" ySplit="1" topLeftCell="B2" activePane="bottomRight" state="frozen"/>
      <selection activeCell="A1" sqref="A1"/>
    </sheetView>
  </sheetViews>
  <sheetFormatPr baseColWidth="8" defaultRowHeight="15"/>
  <cols>
    <col width="32" customWidth="1" style="8" min="1" max="1"/>
    <col width="34" customWidth="1" style="8" min="2" max="2"/>
    <col width="18" customWidth="1" style="8" min="3" max="3"/>
  </cols>
  <sheetData>
    <row r="1" ht="42" customFormat="1" customHeight="1" s="8">
      <c r="A1" s="5" t="inlineStr">
        <is>
          <t>Paper</t>
        </is>
      </c>
      <c r="B1" s="5" t="inlineStr">
        <is>
          <t>Review worksheet</t>
        </is>
      </c>
      <c r="C1" s="5" t="inlineStr">
        <is>
          <t>Candidates</t>
        </is>
      </c>
    </row>
    <row r="2" ht="36" customFormat="1" customHeight="1" s="8">
      <c r="A2" s="12" t="inlineStr">
        <is>
          <t>jama.2024.24764</t>
        </is>
      </c>
      <c r="B2" s="12" t="inlineStr">
        <is>
          <t>C_jama.2024.24764</t>
        </is>
      </c>
      <c r="C2" s="12" t="n">
        <v>8</v>
      </c>
    </row>
    <row r="3" ht="36" customFormat="1" customHeight="1" s="8">
      <c r="A3" s="11" t="inlineStr">
        <is>
          <t>jama.2024.27643</t>
        </is>
      </c>
      <c r="B3" s="11" t="inlineStr">
        <is>
          <t>C_jama.2024.27643</t>
        </is>
      </c>
      <c r="C3" s="11" t="n">
        <v>8</v>
      </c>
    </row>
    <row r="4" ht="36" customFormat="1" customHeight="1" s="8">
      <c r="A4" s="12" t="inlineStr">
        <is>
          <t>jama.2025.11178</t>
        </is>
      </c>
      <c r="B4" s="12" t="inlineStr">
        <is>
          <t>C_jama.2025.11178</t>
        </is>
      </c>
      <c r="C4" s="12" t="n">
        <v>37</v>
      </c>
    </row>
    <row r="5" ht="36" customFormat="1" customHeight="1" s="8">
      <c r="A5" s="11" t="inlineStr">
        <is>
          <t>jama.2025.15185</t>
        </is>
      </c>
      <c r="B5" s="11" t="inlineStr">
        <is>
          <t>C_jama.2025.15185</t>
        </is>
      </c>
      <c r="C5" s="11" t="n">
        <v>12</v>
      </c>
    </row>
    <row r="6" ht="36" customFormat="1" customHeight="1" s="8">
      <c r="A6" s="12" t="inlineStr">
        <is>
          <t>jama.2025.15440</t>
        </is>
      </c>
      <c r="B6" s="12" t="inlineStr">
        <is>
          <t>C_jama.2025.15440</t>
        </is>
      </c>
      <c r="C6" s="12" t="n">
        <v>2</v>
      </c>
    </row>
    <row r="7" ht="36" customFormat="1" customHeight="1" s="8">
      <c r="A7" s="11" t="inlineStr">
        <is>
          <t>jama.2025.16450</t>
        </is>
      </c>
      <c r="B7" s="11" t="inlineStr">
        <is>
          <t>C_jama.2025.16450</t>
        </is>
      </c>
      <c r="C7" s="11" t="n">
        <v>10</v>
      </c>
    </row>
    <row r="8" ht="36" customFormat="1" customHeight="1" s="8">
      <c r="A8" s="12" t="inlineStr">
        <is>
          <t>jama.2025.19563</t>
        </is>
      </c>
      <c r="B8" s="12" t="inlineStr">
        <is>
          <t>C_jama.2025.19563</t>
        </is>
      </c>
      <c r="C8" s="12" t="n">
        <v>7</v>
      </c>
    </row>
    <row r="9" ht="36" customFormat="1" customHeight="1" s="8">
      <c r="A9" s="11" t="inlineStr">
        <is>
          <t>jama.2025.19843</t>
        </is>
      </c>
      <c r="B9" s="11" t="inlineStr">
        <is>
          <t>C_jama.2025.19843</t>
        </is>
      </c>
      <c r="C9" s="11" t="n">
        <v>1</v>
      </c>
    </row>
    <row r="10" ht="36" customFormat="1" customHeight="1" s="8">
      <c r="A10" s="12" t="inlineStr">
        <is>
          <t>jama.2025.20765</t>
        </is>
      </c>
      <c r="B10" s="12" t="inlineStr">
        <is>
          <t>C_jama.2025.20765</t>
        </is>
      </c>
      <c r="C10" s="12" t="n">
        <v>13</v>
      </c>
    </row>
    <row r="11" ht="36" customFormat="1" customHeight="1" s="8">
      <c r="A11" s="11" t="inlineStr">
        <is>
          <t>jama.2025.24175</t>
        </is>
      </c>
      <c r="B11" s="11" t="inlineStr">
        <is>
          <t>C_jama.2025.24175</t>
        </is>
      </c>
      <c r="C11" s="11" t="n">
        <v>14</v>
      </c>
    </row>
    <row r="12" ht="36" customFormat="1" customHeight="1" s="8">
      <c r="A12" s="12" t="inlineStr">
        <is>
          <t>jama.2025.4390</t>
        </is>
      </c>
      <c r="B12" s="12" t="inlineStr">
        <is>
          <t>C_jama.2025.4390</t>
        </is>
      </c>
      <c r="C12" s="12" t="n">
        <v>3</v>
      </c>
    </row>
    <row r="13" ht="36" customFormat="1" customHeight="1" s="8">
      <c r="A13" s="11" t="inlineStr">
        <is>
          <t>jama.2025.7583</t>
        </is>
      </c>
      <c r="B13" s="11" t="inlineStr">
        <is>
          <t>C_jama.2025.7583</t>
        </is>
      </c>
      <c r="C13" s="11" t="n">
        <v>3</v>
      </c>
    </row>
    <row r="14" ht="36" customFormat="1" customHeight="1" s="8">
      <c r="A14" s="12" t="inlineStr">
        <is>
          <t>jama.2025.7710</t>
        </is>
      </c>
      <c r="B14" s="12" t="inlineStr">
        <is>
          <t>C_jama.2025.7710</t>
        </is>
      </c>
      <c r="C14" s="12" t="n">
        <v>4</v>
      </c>
    </row>
    <row r="15" ht="36" customFormat="1" customHeight="1" s="8">
      <c r="A15" s="11" t="inlineStr">
        <is>
          <t>jama.2025.9110</t>
        </is>
      </c>
      <c r="B15" s="11" t="inlineStr">
        <is>
          <t>C_jama.2025.9110</t>
        </is>
      </c>
      <c r="C15" s="11" t="n">
        <v>6</v>
      </c>
    </row>
    <row r="16" ht="36" customFormat="1" customHeight="1" s="8">
      <c r="A16" s="12" t="inlineStr">
        <is>
          <t>jama.2025.9663</t>
        </is>
      </c>
      <c r="B16" s="12" t="inlineStr">
        <is>
          <t>C_jama.2025.9663</t>
        </is>
      </c>
      <c r="C16" s="12" t="n">
        <v>3</v>
      </c>
    </row>
  </sheetData>
  <hyperlinks>
    <hyperlink ref="B2" location="'C_jama.2024.24764'!A1"/>
    <hyperlink ref="B3" location="'C_jama.2024.27643'!A1"/>
    <hyperlink ref="B4" location="'C_jama.2025.11178'!A1"/>
    <hyperlink ref="B5" location="'C_jama.2025.15185'!A1"/>
    <hyperlink ref="B6" location="'C_jama.2025.15440'!A1"/>
    <hyperlink ref="B7" location="'C_jama.2025.16450'!A1"/>
    <hyperlink ref="B8" location="'C_jama.2025.19563'!A1"/>
    <hyperlink ref="B9" location="'C_jama.2025.19843'!A1"/>
    <hyperlink ref="B10" location="'C_jama.2025.20765'!A1"/>
    <hyperlink ref="B11" location="'C_jama.2025.24175'!A1"/>
    <hyperlink ref="B12" location="'C_jama.2025.4390'!A1"/>
    <hyperlink ref="B13" location="'C_jama.2025.7583'!A1"/>
    <hyperlink ref="B14" location="'C_jama.2025.7710'!A1"/>
    <hyperlink ref="B15" location="'C_jama.2025.9110'!A1"/>
    <hyperlink ref="B16" location="'C_jama.2025.9663'!A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2025::jama.2024.24764::C001</t>
        </is>
      </c>
      <c r="B2" s="12" t="inlineStr">
        <is>
          <t>Smoking percentages use a different denominator from the printed smoking totals</t>
        </is>
      </c>
      <c r="C2" s="12" t="inlineStr">
        <is>
          <t>jama_atherton_2025_oi_240145_1741627844.85412.pdf — PDF p. 5, Table 1</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2024.24764::"))&lt;&gt;"2025::jama.2024.24764::"),"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minor_presentation</t>
        </is>
      </c>
      <c r="J2" s="13" t="inlineStr">
        <is>
          <t>unlikely</t>
        </is>
      </c>
      <c r="K2" s="7">
        <f>IF(AND(OR(D2="retain",D2=""),OR(E2="report_internal_inconsistency",E2="plan_material")),"","not_applicable")</f>
        <v/>
      </c>
      <c r="L2" s="13">
        <f>IF(AND(OR(D2="retain",D2=""),E2="protocol_report"),"","not_applicable")</f>
        <v/>
      </c>
      <c r="M2" s="19" t="n"/>
      <c r="N2" s="19" t="n"/>
      <c r="O2" s="19" t="n"/>
      <c r="P2" s="19" t="n"/>
      <c r="Q2" s="19" t="n"/>
      <c r="R2" s="13" t="inlineStr">
        <is>
          <t>Confirmed: smoking % use arm n (411/410), not the printed Total No. (405/402); e.g., 220/411=53.5% vs 220/405=54.3%. Same convention in blood-loss rows (274/411=66.7% vs 274/407=67.3%). Undocumented denominator; shifts &lt;1.1 points; missing category not shown.</t>
        </is>
      </c>
    </row>
    <row r="3" ht="92" customFormat="1" customHeight="1" s="8">
      <c r="A3" s="11" t="inlineStr">
        <is>
          <t>2025::jama.2024.24764::C002</t>
        </is>
      </c>
      <c r="B3" s="11" t="inlineStr">
        <is>
          <t>Operating-surgeon level totals exceed participant denominators without a multi-response qualifier</t>
        </is>
      </c>
      <c r="C3" s="11" t="inlineStr">
        <is>
          <t>jama_atherton_2025_oi_240145_1741627844.85412.pdf — PDF p. 7, Table 2</t>
        </is>
      </c>
      <c r="D3" s="7" t="inlineStr">
        <is>
          <t>retain</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2024.24764::"))&lt;&gt;"2025::jama.2024.24764::"),"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inlineStr">
        <is>
          <t>probable_issue</t>
        </is>
      </c>
      <c r="I3" s="7" t="inlineStr">
        <is>
          <t>minor_presentation</t>
        </is>
      </c>
      <c r="J3" s="13" t="inlineStr">
        <is>
          <t>unlikely</t>
        </is>
      </c>
      <c r="K3" s="7">
        <f>IF(AND(OR(D3="retain",D3=""),OR(E3="report_internal_inconsistency",E3="plan_material")),"","not_applicable")</f>
        <v/>
      </c>
      <c r="L3" s="13">
        <f>IF(AND(OR(D3="retain",D3=""),E3="protocol_report"),"","not_applicable")</f>
        <v/>
      </c>
      <c r="M3" s="19" t="n"/>
      <c r="N3" s="19" t="n"/>
      <c r="O3" s="19" t="n"/>
      <c r="P3" s="19" t="n"/>
      <c r="Q3" s="19" t="n"/>
      <c r="R3" s="13" t="inlineStr">
        <is>
          <t>Operating-surgeon grade counts sum to 446/411 (108.5%) and 429/410 (104.6%) with no 'not mutually exclusive' footnote. Likely multi-response (more than one grade operating), but SAP CRF asks a single 'Grade of operating surgeon?'. Unlabeled; percentages per participant are otherwise correct.</t>
        </is>
      </c>
    </row>
    <row r="4" ht="92" customFormat="1" customHeight="1" s="8">
      <c r="A4" s="12" t="inlineStr">
        <is>
          <t>2025::jama.2024.24764::C003</t>
        </is>
      </c>
      <c r="B4" s="12" t="inlineStr">
        <is>
          <t>Fascia-closing surgeon level totals exceed participant denominators without a multi-response qualifier</t>
        </is>
      </c>
      <c r="C4" s="12" t="inlineStr">
        <is>
          <t>jama_atherton_2025_oi_240145_1741627844.85412.pdf — PDF p. 7, Table 2 continuation</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2024.24764::"))&lt;&gt;"2025::jama.2024.24764::"),"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probable_issue</t>
        </is>
      </c>
      <c r="I4" s="7" t="inlineStr">
        <is>
          <t>minor_presentation</t>
        </is>
      </c>
      <c r="J4" s="13" t="inlineStr">
        <is>
          <t>unlikely</t>
        </is>
      </c>
      <c r="K4" s="7">
        <f>IF(AND(OR(D4="retain",D4=""),OR(E4="report_internal_inconsistency",E4="plan_material")),"","not_applicable")</f>
        <v/>
      </c>
      <c r="L4" s="13">
        <f>IF(AND(OR(D4="retain",D4=""),E4="protocol_report"),"","not_applicable")</f>
        <v/>
      </c>
      <c r="M4" s="19" t="n"/>
      <c r="N4" s="19" t="n"/>
      <c r="O4" s="19" t="n"/>
      <c r="P4" s="19" t="n"/>
      <c r="Q4" s="19" t="n"/>
      <c r="R4" s="13" t="inlineStr">
        <is>
          <t>Fascia-closing surgeon grade counts sum to 445/411 and 433/410 (108.3%, 105.6% of n) with no multi-response footnote. Likely co-closure by more than one grade, but the table does not say so. Descriptive variable; minor.</t>
        </is>
      </c>
    </row>
    <row r="5" ht="92" customFormat="1" customHeight="1" s="8">
      <c r="A5" s="11" t="inlineStr">
        <is>
          <t>2025::jama.2024.24764::C004</t>
        </is>
      </c>
      <c r="B5" s="11" t="inlineStr">
        <is>
          <t>Skin-closing surgeon level totals exceed participant denominators without a multi-response qualifier</t>
        </is>
      </c>
      <c r="C5" s="11" t="inlineStr">
        <is>
          <t>jama_atherton_2025_oi_240145_1741627844.85412.pdf — PDF p. 7, Table 2 continuation</t>
        </is>
      </c>
      <c r="D5" s="7" t="inlineStr">
        <is>
          <t>retain</t>
        </is>
      </c>
      <c r="E5" s="7" t="inlineStr">
        <is>
          <t>statistical_results</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2024.24764::"))&lt;&gt;"2025::jama.2024.24764::"),"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inlineStr">
        <is>
          <t>probable_issue</t>
        </is>
      </c>
      <c r="I5" s="7" t="inlineStr">
        <is>
          <t>minor_presentation</t>
        </is>
      </c>
      <c r="J5" s="13" t="inlineStr">
        <is>
          <t>unlikely</t>
        </is>
      </c>
      <c r="K5" s="7">
        <f>IF(AND(OR(D5="retain",D5=""),OR(E5="report_internal_inconsistency",E5="plan_material")),"","not_applicable")</f>
        <v/>
      </c>
      <c r="L5" s="13">
        <f>IF(AND(OR(D5="retain",D5=""),E5="protocol_report"),"","not_applicable")</f>
        <v/>
      </c>
      <c r="M5" s="19" t="n"/>
      <c r="N5" s="19" t="n"/>
      <c r="O5" s="19" t="n"/>
      <c r="P5" s="19" t="n"/>
      <c r="Q5" s="19" t="n"/>
      <c r="R5" s="13" t="inlineStr">
        <is>
          <t>Skin-closing surgeon grade counts sum to 425/411 and 416/410 with no multi-response footnote. Same unlabeled pattern as operating and fascia rows; minor descriptive issue.</t>
        </is>
      </c>
    </row>
    <row r="6" ht="92" customFormat="1" customHeight="1" s="8">
      <c r="A6" s="12" t="inlineStr">
        <is>
          <t>2025::jama.2024.24764::C005</t>
        </is>
      </c>
      <c r="B6" s="12" t="inlineStr">
        <is>
          <t>Control-arm mortality differs between participant flow and 30-day safety reporting</t>
        </is>
      </c>
      <c r="C6" s="12" t="inlineStr">
        <is>
          <t>jama_atherton_2025_oi_240145_1741627844.85412.pdf — PDF p. 3, Figure 1; PDF p. 6, safety narrative; PDF p. 8, Table 3</t>
        </is>
      </c>
      <c r="D6" s="7" t="inlineStr">
        <is>
          <t>retain</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2024.24764::"))&lt;&gt;"2025::jama.2024.24764::"),"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t="inlineStr">
        <is>
          <t>minor_presentation</t>
        </is>
      </c>
      <c r="L6" s="13">
        <f>IF(AND(OR(D6="retain",D6=""),E6="protocol_report"),"","not_applicable")</f>
        <v/>
      </c>
      <c r="M6" s="19" t="n"/>
      <c r="N6" s="19" t="n"/>
      <c r="O6" s="19" t="n"/>
      <c r="P6" s="19" t="n"/>
      <c r="Q6" s="19" t="n"/>
      <c r="R6" s="13" t="inlineStr">
        <is>
          <t>Figure 1 footnote: 25 deaths (10 iNPWT, 15 control). Text and Table 3: mortality within 30 d 10/411 and 14/410. One control death unreconciled; plausibly outside 30 d, but Figure 1 gives no window. Small effect on a secondary safety count.</t>
        </is>
      </c>
    </row>
    <row r="7" ht="92" customFormat="1" customHeight="1" s="8">
      <c r="A7" s="11" t="inlineStr">
        <is>
          <t>2025::jama.2024.24764::C006</t>
        </is>
      </c>
      <c r="B7" s="11" t="inlineStr">
        <is>
          <t>Longitudinal quality-of-life covariance specification differs between SAP and final article</t>
        </is>
      </c>
      <c r="C7" s="11" t="inlineStr">
        <is>
          <t>joi240145supp1_prod_1741627844.87412.pdf — PDF p. 26, SAP; jama_atherton_2025_oi_240145_1741627844.85412.pdf — PDF p. 4, Statistical Analysis</t>
        </is>
      </c>
      <c r="D7" s="7" t="inlineStr">
        <is>
          <t>retain</t>
        </is>
      </c>
      <c r="E7" s="7" t="inlineStr">
        <is>
          <t>protocol_report</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2024.24764::"))&lt;&gt;"2025::jama.2024.24764::"),"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t="inlineStr">
        <is>
          <t>substantive_difference</t>
        </is>
      </c>
      <c r="M7" s="19" t="n"/>
      <c r="N7" s="19" t="n"/>
      <c r="O7" s="19" t="n"/>
      <c r="P7" s="19" t="n"/>
      <c r="Q7" s="19" t="n"/>
      <c r="R7" s="13" t="inlineStr">
        <is>
          <t>SAP v1.0 (p.26) specifies unstructured covariance with robust sandwich SEs for repeated-measures SF-12/EQ-5D models; article (p.4) states an independent covariance structure was assumed. Real analysis-specification difference for secondary QoL outcomes; no explanation given.</t>
        </is>
      </c>
    </row>
    <row r="8" ht="92" customFormat="1" customHeight="1" s="8">
      <c r="A8" s="12" t="inlineStr">
        <is>
          <t>2025::jama.2024.24764::C007</t>
        </is>
      </c>
      <c r="B8" s="12" t="inlineStr">
        <is>
          <t>Length-of-stay effect measure and model differ between SAP/protocol and final article</t>
        </is>
      </c>
      <c r="C8" s="12" t="inlineStr">
        <is>
          <t>joi240145supp1_prod_1741627844.87412.pdf — PDF p. 25, SAP; joi240145supp4_prod_1741627844.90412.pdf — PDF p. 39, protocol; jama_atherton_2025_oi_240145_1741627844.85412.pdf — PDF p. 4; PDF p. 8, Table 3</t>
        </is>
      </c>
      <c r="D8" s="7" t="inlineStr">
        <is>
          <t>retain</t>
        </is>
      </c>
      <c r="E8" s="7" t="inlineStr">
        <is>
          <t>protocol_report</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2024.24764::"))&lt;&gt;"2025::jama.2024.24764::"),"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t="inlineStr">
        <is>
          <t>substantive_difference</t>
        </is>
      </c>
      <c r="M8" s="19" t="n"/>
      <c r="N8" s="19" t="n"/>
      <c r="O8" s="19" t="n"/>
      <c r="P8" s="19" t="n"/>
      <c r="Q8" s="19" t="n"/>
      <c r="R8" s="13" t="inlineStr">
        <is>
          <t>LOS: SAP p.25 plans adjusted mean difference (means/SD); protocol v4.0 p.39 adds unadjusted median difference if skewed. Article analyzes log LOS and reports adjusted ratio of geometric means (0.91; 0.96). Different effect measure from both plans.</t>
        </is>
      </c>
    </row>
    <row r="9" ht="92" customFormat="1" customHeight="1" s="8">
      <c r="A9" s="11" t="inlineStr">
        <is>
          <t>2025::jama.2024.24764::C008</t>
        </is>
      </c>
      <c r="B9" s="11" t="inlineStr">
        <is>
          <t>Australia-inclusive length-of-stay result differs from the stated UK-only analysis population</t>
        </is>
      </c>
      <c r="C9" s="11" t="inlineStr">
        <is>
          <t>joi240145supp1_prod_1741627844.87412.pdf — PDF p. 18, SAP endpoint; PDF p. 25, SAP population; joi240145supp4_prod_1741627844.90412.pdf — PDF p. 24, protocol; jama_atherton_2025_oi_240145_1741627844.85412.pdf — PDF p. 1, abstract; PDF p. 8, Table 3</t>
        </is>
      </c>
      <c r="D9" s="7" t="inlineStr">
        <is>
          <t>retain</t>
        </is>
      </c>
      <c r="E9" s="7" t="inlineStr">
        <is>
          <t>protocol_report</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2024.24764::"))&lt;&gt;"2025::jama.2024.24764::"),"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t="inlineStr">
        <is>
          <t>substantive_difference</t>
        </is>
      </c>
      <c r="M9" s="19" t="n"/>
      <c r="N9" s="19" t="n"/>
      <c r="O9" s="19" t="n"/>
      <c r="P9" s="19" t="n"/>
      <c r="Q9" s="19" t="n"/>
      <c r="R9" s="13" t="inlineStr">
        <is>
          <t>Protocol and SAP restrict LOS to UK patients. Article reports UK-only (0.91, 0.82-1.02) and also UK+Australia (0.96, 0.88-1.06); the abstract reports only the UK+Australia result, unlabeled as nonprespecified. Population difference in the headline secondary result.</t>
        </is>
      </c>
    </row>
  </sheetData>
  <autoFilter ref="A1:R9"/>
  <conditionalFormatting sqref="G2:G9">
    <cfRule type="expression" priority="1" dxfId="105">
      <formula>G2&lt;&gt;"PRIMARY READY"</formula>
    </cfRule>
  </conditionalFormatting>
  <conditionalFormatting sqref="H2:H9">
    <cfRule type="expression" priority="2" dxfId="106">
      <formula>NOT(AND(OR($D2="retain",$D2=""),$E2="statistical_results"))</formula>
    </cfRule>
  </conditionalFormatting>
  <conditionalFormatting sqref="I2:I9">
    <cfRule type="expression" priority="3" dxfId="106">
      <formula>NOT(AND(OR($D2="retain",$D2=""),$E2="statistical_results"))</formula>
    </cfRule>
  </conditionalFormatting>
  <conditionalFormatting sqref="J2:J9">
    <cfRule type="expression" priority="4" dxfId="106">
      <formula>NOT(AND(OR($D2="retain",$D2=""),$E2="statistical_results"))</formula>
    </cfRule>
  </conditionalFormatting>
  <conditionalFormatting sqref="K2:K9">
    <cfRule type="expression" priority="5" dxfId="106">
      <formula>NOT(AND(OR($D2="retain",$D2=""),OR($E2="report_internal_inconsistency",$E2="plan_material")))</formula>
    </cfRule>
  </conditionalFormatting>
  <conditionalFormatting sqref="L2:L9">
    <cfRule type="expression" priority="6" dxfId="106">
      <formula>NOT(AND(OR($D2="retain",$D2=""),$E2="protocol_report"))</formula>
    </cfRule>
  </conditionalFormatting>
  <dataValidations count="8">
    <dataValidation sqref="D2:D9" showDropDown="0" showInputMessage="0" showErrorMessage="1" allowBlank="1" errorTitle="Use an allowed option" error="Choose an option from the list; see Codebook." type="list" errorStyle="stop">
      <formula1>"retain,exclude,discuss"</formula1>
    </dataValidation>
    <dataValidation sqref="E2:E9"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9" showDropDown="0" showInputMessage="0" showErrorMessage="1" allowBlank="1" errorTitle="Use an allowed option" error="Choose an option from the list; see Codebook." type="list" errorStyle="stop">
      <formula1>"no,primary_done"</formula1>
    </dataValidation>
    <dataValidation sqref="H2:H9"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9" showDropDown="0" showInputMessage="0" showErrorMessage="1" allowBlank="1" errorTitle="Use an allowed option" error="Choose an option from the list; see Codebook." type="list" errorStyle="stop">
      <formula1>"substantive,minor_presentation,indeterminate,not_applicable"</formula1>
    </dataValidation>
    <dataValidation sqref="J2:J9" showDropDown="0" showInputMessage="0" showErrorMessage="1" allowBlank="1" errorTitle="Use an allowed option" error="Choose an option from the list; see Codebook." type="list" errorStyle="stop">
      <formula1>"direct,possible,unlikely,unknown,not_applicable"</formula1>
    </dataValidation>
    <dataValidation sqref="K2:K9"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9"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2025::jama.2024.27643::C001</t>
        </is>
      </c>
      <c r="B2" s="12" t="inlineStr">
        <is>
          <t>Shared-placebo race missingness does not reconcile with the printed denominator</t>
        </is>
      </c>
      <c r="C2" s="12" t="inlineStr">
        <is>
          <t>jama_berry_2025_oi_240158_1742927563.7361.pdf — Table 1 and footnote b, PDF p. 6</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2024.27643::"))&lt;&gt;"2025::jama.2024.27643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minor_presentation</t>
        </is>
      </c>
      <c r="J2" s="13" t="inlineStr">
        <is>
          <t>unlikely</t>
        </is>
      </c>
      <c r="K2" s="7">
        <f>IF(AND(OR(D2="retain",D2=""),OR(E2="report_internal_inconsistency",E2="plan_material")),"","not_applicable")</f>
        <v/>
      </c>
      <c r="L2" s="13">
        <f>IF(AND(OR(D2="retain",D2=""),E2="protocol_report"),"","not_applicable")</f>
        <v/>
      </c>
      <c r="M2" s="19" t="n"/>
      <c r="N2" s="19" t="n"/>
      <c r="O2" s="19" t="n"/>
      <c r="P2" s="19" t="n"/>
      <c r="Q2" s="19" t="n"/>
      <c r="R2" s="13" t="inlineStr">
        <is>
          <t>Shared placebo n=164; race counts 2+6+151+1=160 (denominator /160), i.e., 4 missing, but footnote b says race unknown for 3. Ethnicity 157/163 matches its 1 missing. One-participant mismatch in a baseline descriptor.</t>
        </is>
      </c>
    </row>
    <row r="3" ht="92" customFormat="1" customHeight="1" s="8">
      <c r="A3" s="11" t="inlineStr">
        <is>
          <t>2025::jama.2024.27643::C002</t>
        </is>
      </c>
      <c r="B3" s="11" t="inlineStr">
        <is>
          <t>SVC values have incompatible monthly-rate and 24-week-change labels</t>
        </is>
      </c>
      <c r="C3" s="11" t="inlineStr">
        <is>
          <t>jama_berry_2025_oi_240158_1742927563.7361.pdf — Secondary Efficacy Outcomes, PDF p. 4; joi240158supp3_prod_1742927563.7911.pdf — eTable 3A, PDF p. 16</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2024.27643::"))&lt;&gt;"2025::jama.2024.27643::"),"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substantive_inconsistency</t>
        </is>
      </c>
      <c r="L3" s="13">
        <f>IF(AND(OR(D3="retain",D3=""),E3="protocol_report"),"","not_applicable")</f>
        <v/>
      </c>
      <c r="M3" s="19" t="n"/>
      <c r="N3" s="19" t="n"/>
      <c r="O3" s="19" t="n"/>
      <c r="P3" s="19" t="n"/>
      <c r="Q3" s="19" t="n"/>
      <c r="R3" s="13" t="inlineStr">
        <is>
          <t>Article: 'mean change in SVC over 24 weeks was -9.32 PPN per month' (pooled), -8.53 placebo, difference -0.78 PPN/month. eTable 3A labels the same values as 24-week change estimates. A 24-week change mislabeled as a monthly rate overstates the rate about 5.5-fold; the sensitivity values (-1.73 vs -1.55 per month) are true slopes.</t>
        </is>
      </c>
    </row>
    <row r="4" ht="92" customFormat="1" customHeight="1" s="8">
      <c r="A4" s="12" t="inlineStr">
        <is>
          <t>2025::jama.2024.27643::C003</t>
        </is>
      </c>
      <c r="B4" s="12" t="inlineStr">
        <is>
          <t>Shared-placebo ALSFRS-R credible-interval endpoints differ for the cited primary model</t>
        </is>
      </c>
      <c r="C4" s="12" t="inlineStr">
        <is>
          <t>jama_berry_2025_oi_240158_1742927563.7361.pdf — Primary Efficacy Outcome, PDF p. 4; joi240158supp3_prod_1742927563.7911.pdf — eTable 2, PDF p. 15</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2024.27643::"))&lt;&gt;"2025::jama.2024.27643::"),"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minor_presentation</t>
        </is>
      </c>
      <c r="L4" s="13">
        <f>IF(AND(OR(D4="retain",D4=""),E4="protocol_report"),"","not_applicable")</f>
        <v/>
      </c>
      <c r="M4" s="19" t="n"/>
      <c r="N4" s="19" t="n"/>
      <c r="O4" s="19" t="n"/>
      <c r="P4" s="19" t="n"/>
      <c r="Q4" s="19" t="n"/>
      <c r="R4" s="13" t="inlineStr">
        <is>
          <t>Shared-placebo ALSFRS-R slope -1.03: article 95% CrI -1.176 to -0.892; eTable 2 (-1.181, -0.894). Third-decimal discrepancy, probably separate MCMC output; no effect on interpretation.</t>
        </is>
      </c>
    </row>
    <row r="5" ht="92" customFormat="1" customHeight="1" s="8">
      <c r="A5" s="11" t="inlineStr">
        <is>
          <t>2025::jama.2024.27643::C004</t>
        </is>
      </c>
      <c r="B5" s="11" t="inlineStr">
        <is>
          <t>Pooled-active ALSFRS-R credible-interval endpoints differ for the cited primary model</t>
        </is>
      </c>
      <c r="C5" s="11" t="inlineStr">
        <is>
          <t>jama_berry_2025_oi_240158_1742927563.7361.pdf — Primary Efficacy Outcome, PDF p. 4; joi240158supp3_prod_1742927563.7911.pdf — eTable 2, PDF p. 15</t>
        </is>
      </c>
      <c r="D5" s="7" t="inlineStr">
        <is>
          <t>retain</t>
        </is>
      </c>
      <c r="E5" s="7" t="inlineStr">
        <is>
          <t>report_internal_inconsistency</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2024.27643::"))&lt;&gt;"2025::jama.2024.27643::"),"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t="inlineStr">
        <is>
          <t>minor_presentation</t>
        </is>
      </c>
      <c r="L5" s="13">
        <f>IF(AND(OR(D5="retain",D5=""),E5="protocol_report"),"","not_applicable")</f>
        <v/>
      </c>
      <c r="M5" s="19" t="n"/>
      <c r="N5" s="19" t="n"/>
      <c r="O5" s="19" t="n"/>
      <c r="P5" s="19" t="n"/>
      <c r="Q5" s="19" t="n"/>
      <c r="R5" s="13" t="inlineStr">
        <is>
          <t>Pooled CNM-Au8 slope -1.00: article 95% CrI -1.153 to -0.858; eTable 2 (-1.143, -0.847). Endpoint differences of 0.010-0.011, likely different posterior runs; interpretation unchanged.</t>
        </is>
      </c>
    </row>
    <row r="6" ht="92" customFormat="1" customHeight="1" s="8">
      <c r="A6" s="12" t="inlineStr">
        <is>
          <t>2025::jama.2024.27643::C005</t>
        </is>
      </c>
      <c r="B6" s="12" t="inlineStr">
        <is>
          <t>Bayesian mortality event rates differ between article text and cited eTable 2</t>
        </is>
      </c>
      <c r="C6" s="12" t="inlineStr">
        <is>
          <t>jama_berry_2025_oi_240158_1742927563.7361.pdf — Primary Efficacy Outcome, PDF p. 4; joi240158supp3_prod_1742927563.7911.pdf — eTable 2, PDF p. 15</t>
        </is>
      </c>
      <c r="D6" s="7" t="inlineStr">
        <is>
          <t>retain</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2024.27643::"))&lt;&gt;"2025::jama.2024.27643::"),"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t="inlineStr">
        <is>
          <t>substantive_inconsistency</t>
        </is>
      </c>
      <c r="L6" s="13">
        <f>IF(AND(OR(D6="retain",D6=""),E6="protocol_report"),"","not_applicable")</f>
        <v/>
      </c>
      <c r="M6" s="19" t="n"/>
      <c r="N6" s="19" t="n"/>
      <c r="O6" s="19" t="n"/>
      <c r="P6" s="19" t="n"/>
      <c r="Q6" s="19" t="n"/>
      <c r="R6" s="13" t="inlineStr">
        <is>
          <t>Mortality event rate: article 0.007 (shared placebo) and 0.006 (pooled) events/month; eTable 2 0.010 and 0.009. Exponential check over 24 wk (5.52 mo): 0.010 gives 5.4% vs observed 9/162=5.6%; 0.007 gives 3.8%. Article values appear wrong by about 30%.</t>
        </is>
      </c>
    </row>
    <row r="7" ht="92" customFormat="1" customHeight="1" s="8">
      <c r="A7" s="11" t="inlineStr">
        <is>
          <t>2025::jama.2024.27643::C006</t>
        </is>
      </c>
      <c r="B7" s="11" t="inlineStr">
        <is>
          <t>Plasma NfL confidence intervals differ across Figure 3, narrative, and eTable 3B</t>
        </is>
      </c>
      <c r="C7" s="11" t="inlineStr">
        <is>
          <t>jama_berry_2025_oi_240158_1742927563.7361.pdf — Figure 3 and Biomarker Analyses, PDF p. 8; joi240158supp3_prod_1742927563.7911.pdf — eTable 3B, PDF p. 17</t>
        </is>
      </c>
      <c r="D7" s="7" t="inlineStr">
        <is>
          <t>retain</t>
        </is>
      </c>
      <c r="E7" s="7" t="inlineStr">
        <is>
          <t>report_internal_inconsistency</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2024.27643::"))&lt;&gt;"2025::jama.2024.27643::"),"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t="inlineStr">
        <is>
          <t>minor_presentation</t>
        </is>
      </c>
      <c r="L7" s="13">
        <f>IF(AND(OR(D7="retain",D7=""),E7="protocol_report"),"","not_applicable")</f>
        <v/>
      </c>
      <c r="M7" s="19" t="n"/>
      <c r="N7" s="19" t="n"/>
      <c r="O7" s="19" t="n"/>
      <c r="P7" s="19" t="n"/>
      <c r="Q7" s="19" t="n"/>
      <c r="R7" s="13" t="inlineStr">
        <is>
          <t>Plasma NfL difference -9.5%, P=.04 everywhere; CI upper limit -0.5% (Figure 3), -0.4% (text), 0 (eTable 3B, -18.0 to 0). Rounding-level differences; eTable's '0' is awkward beside P=.04 but meaning is clear.</t>
        </is>
      </c>
    </row>
    <row r="8" ht="92" customFormat="1" customHeight="1" s="8">
      <c r="A8" s="12" t="inlineStr">
        <is>
          <t>2025::jama.2024.27643::C007</t>
        </is>
      </c>
      <c r="B8" s="12" t="inlineStr">
        <is>
          <t>Serum NfL regimen-only values and contrast differ across displays</t>
        </is>
      </c>
      <c r="C8" s="12" t="inlineStr">
        <is>
          <t>jama_berry_2025_oi_240158_1742927563.7361.pdf — Figure 3 and Biomarker Analyses, PDF p. 8; joi240158supp3_prod_1742927563.7911.pdf — eTable 3B, PDF p. 17</t>
        </is>
      </c>
      <c r="D8" s="7" t="inlineStr">
        <is>
          <t>retain</t>
        </is>
      </c>
      <c r="E8" s="7" t="inlineStr">
        <is>
          <t>report_internal_inconsistency</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2024.27643::"))&lt;&gt;"2025::jama.2024.27643::"),"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t="inlineStr">
        <is>
          <t>substantive_inconsistency</t>
        </is>
      </c>
      <c r="L8" s="13">
        <f>IF(AND(OR(D8="retain",D8=""),E8="protocol_report"),"","not_applicable")</f>
        <v/>
      </c>
      <c r="M8" s="19" t="n"/>
      <c r="N8" s="19" t="n"/>
      <c r="O8" s="19" t="n"/>
      <c r="P8" s="19" t="n"/>
      <c r="Q8" s="19" t="n"/>
      <c r="R8" s="13" t="inlineStr">
        <is>
          <t>Serum NfL (regimen placebo): article placebo +30.8%, difference -23.2% (95% CI -39.5 to -2.5); eTable 3B placebo +26.8%, difference -26.4% (-50.3 to -2.6). Article values are internally coherent (1.004/1.308-1=-23.2%); eTable's are not (1.004/1.268-1=-20.8%). Different results for a highlighted biomarker finding.</t>
        </is>
      </c>
    </row>
    <row r="9" ht="92" customFormat="1" customHeight="1" s="8">
      <c r="A9" s="11" t="inlineStr">
        <is>
          <t>2025::jama.2024.27643::C008</t>
        </is>
      </c>
      <c r="B9" s="11" t="inlineStr">
        <is>
          <t>Discussion total of 13 events conflicts with the 14 events displayed in Table 2</t>
        </is>
      </c>
      <c r="C9" s="11" t="inlineStr">
        <is>
          <t>jama_berry_2025_oi_240158_1742927563.7361.pdf — Table 2, PDF p. 7; jama_berry_2025_oi_240158_1742927563.7361.pdf — Discussion, PDF p. 9</t>
        </is>
      </c>
      <c r="D9" s="7" t="inlineStr">
        <is>
          <t>retain</t>
        </is>
      </c>
      <c r="E9" s="7" t="inlineStr">
        <is>
          <t>statistical_results</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2024.27643::"))&lt;&gt;"2025::jama.2024.27643::"),"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inlineStr">
        <is>
          <t>confirmed_issue</t>
        </is>
      </c>
      <c r="I9" s="7" t="inlineStr">
        <is>
          <t>minor_presentation</t>
        </is>
      </c>
      <c r="J9" s="13" t="inlineStr">
        <is>
          <t>unlikely</t>
        </is>
      </c>
      <c r="K9" s="7">
        <f>IF(AND(OR(D9="retain",D9=""),OR(E9="report_internal_inconsistency",E9="plan_material")),"","not_applicable")</f>
        <v/>
      </c>
      <c r="L9" s="13">
        <f>IF(AND(OR(D9="retain",D9=""),E9="protocol_report"),"","not_applicable")</f>
        <v/>
      </c>
      <c r="M9" s="19" t="n"/>
      <c r="N9" s="19" t="n"/>
      <c r="O9" s="19" t="n"/>
      <c r="P9" s="19" t="n"/>
      <c r="Q9" s="19" t="n"/>
      <c r="R9" s="13" t="inlineStr">
        <is>
          <t>Discussion: 'a total of 13 events in the RCT period' (shared placebo + combined CNM-Au8). Table 2: 5/120 + 9/162 = 14; Figure 2B risk table also gives 5 and 9 events through week 24. Off by one; no explanation.</t>
        </is>
      </c>
    </row>
  </sheetData>
  <autoFilter ref="A1:R9"/>
  <conditionalFormatting sqref="G2:G9">
    <cfRule type="expression" priority="1" dxfId="105">
      <formula>G2&lt;&gt;"PRIMARY READY"</formula>
    </cfRule>
  </conditionalFormatting>
  <conditionalFormatting sqref="H2:H9">
    <cfRule type="expression" priority="2" dxfId="106">
      <formula>NOT(AND(OR($D2="retain",$D2=""),$E2="statistical_results"))</formula>
    </cfRule>
  </conditionalFormatting>
  <conditionalFormatting sqref="I2:I9">
    <cfRule type="expression" priority="3" dxfId="106">
      <formula>NOT(AND(OR($D2="retain",$D2=""),$E2="statistical_results"))</formula>
    </cfRule>
  </conditionalFormatting>
  <conditionalFormatting sqref="J2:J9">
    <cfRule type="expression" priority="4" dxfId="106">
      <formula>NOT(AND(OR($D2="retain",$D2=""),$E2="statistical_results"))</formula>
    </cfRule>
  </conditionalFormatting>
  <conditionalFormatting sqref="K2:K9">
    <cfRule type="expression" priority="5" dxfId="106">
      <formula>NOT(AND(OR($D2="retain",$D2=""),OR($E2="report_internal_inconsistency",$E2="plan_material")))</formula>
    </cfRule>
  </conditionalFormatting>
  <conditionalFormatting sqref="L2:L9">
    <cfRule type="expression" priority="6" dxfId="106">
      <formula>NOT(AND(OR($D2="retain",$D2=""),$E2="protocol_report"))</formula>
    </cfRule>
  </conditionalFormatting>
  <dataValidations count="8">
    <dataValidation sqref="D2:D9" showDropDown="0" showInputMessage="0" showErrorMessage="1" allowBlank="1" errorTitle="Use an allowed option" error="Choose an option from the list; see Codebook." type="list" errorStyle="stop">
      <formula1>"retain,exclude,discuss"</formula1>
    </dataValidation>
    <dataValidation sqref="E2:E9"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9" showDropDown="0" showInputMessage="0" showErrorMessage="1" allowBlank="1" errorTitle="Use an allowed option" error="Choose an option from the list; see Codebook." type="list" errorStyle="stop">
      <formula1>"no,primary_done"</formula1>
    </dataValidation>
    <dataValidation sqref="H2:H9"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9" showDropDown="0" showInputMessage="0" showErrorMessage="1" allowBlank="1" errorTitle="Use an allowed option" error="Choose an option from the list; see Codebook." type="list" errorStyle="stop">
      <formula1>"substantive,minor_presentation,indeterminate,not_applicable"</formula1>
    </dataValidation>
    <dataValidation sqref="J2:J9" showDropDown="0" showInputMessage="0" showErrorMessage="1" allowBlank="1" errorTitle="Use an allowed option" error="Choose an option from the list; see Codebook." type="list" errorStyle="stop">
      <formula1>"direct,possible,unlikely,unknown,not_applicable"</formula1>
    </dataValidation>
    <dataValidation sqref="K2:K9"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9"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38"/>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2025::jama.2025.11178::C001</t>
        </is>
      </c>
      <c r="B2" s="12" t="inlineStr">
        <is>
          <t>Conditional Figure 1 further-ineligibility component subtotal gap</t>
        </is>
      </c>
      <c r="C2" s="12" t="inlineStr">
        <is>
          <t>main article — PDF p. 5, Figure 1, “4481 Ineligible.”</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2025.11178::"))&lt;&gt;"2025::jama.2025.11178::"),"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minor_presentation</t>
        </is>
      </c>
      <c r="J2" s="13" t="inlineStr">
        <is>
          <t>unlikely</t>
        </is>
      </c>
      <c r="K2" s="7">
        <f>IF(AND(OR(D2="retain",D2=""),OR(E2="report_internal_inconsistency",E2="plan_material")),"","not_applicable")</f>
        <v/>
      </c>
      <c r="L2" s="13">
        <f>IF(AND(OR(D2="retain",D2=""),E2="protocol_report"),"","not_applicable")</f>
        <v/>
      </c>
      <c r="M2" s="19" t="n"/>
      <c r="N2" s="19" t="n"/>
      <c r="O2" s="19" t="n"/>
      <c r="P2" s="19" t="n"/>
      <c r="Q2" s="19" t="n"/>
      <c r="R2" s="13" t="inlineStr">
        <is>
          <t>Figure 1: 1243 ineligible for 'one or more of' six listed reasons, but 411+273+189+121+95+34=1123. With overlap the sum must be at least 1243, so a reason or count is missing/wrong (gap &gt;=120). Top-level 2993+245+1243=4481 checks.</t>
        </is>
      </c>
    </row>
    <row r="3" ht="92" customFormat="1" customHeight="1" s="8">
      <c r="A3" s="11" t="inlineStr">
        <is>
          <t>2025::jama.2025.11178::C002</t>
        </is>
      </c>
      <c r="B3" s="11" t="inlineStr">
        <is>
          <t>Overall eTable 1 follow-up-pattern partition</t>
        </is>
      </c>
      <c r="C3" s="11" t="inlineStr">
        <is>
          <t>results supplement — PDF p. 7, eTable 1, Overall column.</t>
        </is>
      </c>
      <c r="D3" s="7" t="inlineStr">
        <is>
          <t>retain</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2025.11178::"))&lt;&gt;"2025::jama.2025.11178::"),"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inlineStr">
        <is>
          <t>confirmed_issue</t>
        </is>
      </c>
      <c r="I3" s="7" t="inlineStr">
        <is>
          <t>minor_presentation</t>
        </is>
      </c>
      <c r="J3" s="13" t="inlineStr">
        <is>
          <t>unlikely</t>
        </is>
      </c>
      <c r="K3" s="7">
        <f>IF(AND(OR(D3="retain",D3=""),OR(E3="report_internal_inconsistency",E3="plan_material")),"","not_applicable")</f>
        <v/>
      </c>
      <c r="L3" s="13">
        <f>IF(AND(OR(D3="retain",D3=""),E3="protocol_report"),"","not_applicable")</f>
        <v/>
      </c>
      <c r="M3" s="19" t="n"/>
      <c r="N3" s="19" t="n"/>
      <c r="O3" s="19" t="n"/>
      <c r="P3" s="19" t="n"/>
      <c r="Q3" s="19" t="n"/>
      <c r="R3" s="13" t="inlineStr">
        <is>
          <t>eTable 1 Overall: one/two/three follow-ups 188+283+1568=2039 vs 'at least 1 follow-up' 2036. Workbook gives 'missing 1 or 2'=468 (vs 188+283=471). Visit totals: 188+2*283+3*1568=5458 vs 1798+1790+1861=5449. Pattern rows overcount.</t>
        </is>
      </c>
    </row>
    <row r="4" ht="92" customFormat="1" customHeight="1" s="8">
      <c r="A4" s="12" t="inlineStr">
        <is>
          <t>2025::jama.2025.11178::C003</t>
        </is>
      </c>
      <c r="B4" s="12" t="inlineStr">
        <is>
          <t>painTRAINER eTable 1 follow-up-pattern partition</t>
        </is>
      </c>
      <c r="C4" s="12" t="inlineStr">
        <is>
          <t>results supplement — PDF p. 7, eTable 1, painTRAINER column.</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2025.11178::"))&lt;&gt;"2025::jama.2025.11178::"),"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confirmed_issue</t>
        </is>
      </c>
      <c r="I4" s="7" t="inlineStr">
        <is>
          <t>minor_presentation</t>
        </is>
      </c>
      <c r="J4" s="13" t="inlineStr">
        <is>
          <t>unlikely</t>
        </is>
      </c>
      <c r="K4" s="7">
        <f>IF(AND(OR(D4="retain",D4=""),OR(E4="report_internal_inconsistency",E4="plan_material")),"","not_applicable")</f>
        <v/>
      </c>
      <c r="L4" s="13">
        <f>IF(AND(OR(D4="retain",D4=""),E4="protocol_report"),"","not_applicable")</f>
        <v/>
      </c>
      <c r="M4" s="19" t="n"/>
      <c r="N4" s="19" t="n"/>
      <c r="O4" s="19" t="n"/>
      <c r="P4" s="19" t="n"/>
      <c r="Q4" s="19" t="n"/>
      <c r="R4" s="13" t="inlineStr">
        <is>
          <t>eTable 1 painTRAINER: 77+103+464=644 vs 643 with at least 1 follow-up (Figure 1 also 643). Visit identity: 77+2*103+3*464=1675 vs 542+547+583=1672. One pattern count is wrong.</t>
        </is>
      </c>
    </row>
    <row r="5" ht="92" customFormat="1" customHeight="1" s="8">
      <c r="A5" s="11" t="inlineStr">
        <is>
          <t>2025::jama.2025.11178::C004</t>
        </is>
      </c>
      <c r="B5" s="11" t="inlineStr">
        <is>
          <t>Health Coach eTable 1 follow-up-pattern partition</t>
        </is>
      </c>
      <c r="C5" s="11" t="inlineStr">
        <is>
          <t>results supplement — PDF p. 7, eTable 1, Health Coach column.</t>
        </is>
      </c>
      <c r="D5" s="7" t="inlineStr">
        <is>
          <t>retain</t>
        </is>
      </c>
      <c r="E5" s="7" t="inlineStr">
        <is>
          <t>statistical_results</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2025.11178::"))&lt;&gt;"2025::jama.2025.11178::"),"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inlineStr">
        <is>
          <t>confirmed_issue</t>
        </is>
      </c>
      <c r="I5" s="7" t="inlineStr">
        <is>
          <t>minor_presentation</t>
        </is>
      </c>
      <c r="J5" s="13" t="inlineStr">
        <is>
          <t>unlikely</t>
        </is>
      </c>
      <c r="K5" s="7">
        <f>IF(AND(OR(D5="retain",D5=""),OR(E5="report_internal_inconsistency",E5="plan_material")),"","not_applicable")</f>
        <v/>
      </c>
      <c r="L5" s="13">
        <f>IF(AND(OR(D5="retain",D5=""),E5="protocol_report"),"","not_applicable")</f>
        <v/>
      </c>
      <c r="M5" s="19" t="n"/>
      <c r="N5" s="19" t="n"/>
      <c r="O5" s="19" t="n"/>
      <c r="P5" s="19" t="n"/>
      <c r="Q5" s="19" t="n"/>
      <c r="R5" s="13" t="inlineStr">
        <is>
          <t>eTable 1 health coach: 47+81+564=692 vs 690 with at least 1 follow-up (Figure 1 also 690). Visit identity: 47+2*81+3*564=1901 vs 635+621+639=1895. Pattern counts overstate by 2.</t>
        </is>
      </c>
    </row>
    <row r="6" ht="92" customFormat="1" customHeight="1" s="8">
      <c r="A6" s="12" t="inlineStr">
        <is>
          <t>2025::jama.2025.11178::C005</t>
        </is>
      </c>
      <c r="B6" s="12" t="inlineStr">
        <is>
          <t>Workbook current-depression percentage incompatible with its count</t>
        </is>
      </c>
      <c r="C6" s="12" t="inlineStr">
        <is>
          <t>workbook, worksheet eTable 3, cells A82:E83 and E2:E3.</t>
        </is>
      </c>
      <c r="D6" s="7" t="inlineStr">
        <is>
          <t>retain</t>
        </is>
      </c>
      <c r="E6" s="7" t="inlineStr">
        <is>
          <t>statistical_results</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2025.11178::"))&lt;&gt;"2025::jama.2025.11178::"),"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inlineStr">
        <is>
          <t>confirmed_issue</t>
        </is>
      </c>
      <c r="I6" s="7" t="inlineStr">
        <is>
          <t>minor_presentation</t>
        </is>
      </c>
      <c r="J6" s="13" t="inlineStr">
        <is>
          <t>unlikely</t>
        </is>
      </c>
      <c r="K6" s="7">
        <f>IF(AND(OR(D6="retain",D6=""),OR(E6="report_internal_inconsistency",E6="plan_material")),"","not_applicable")</f>
        <v/>
      </c>
      <c r="L6" s="13">
        <f>IF(AND(OR(D6="retain",D6=""),E6="protocol_report"),"","not_applicable")</f>
        <v/>
      </c>
      <c r="M6" s="19" t="n"/>
      <c r="N6" s="19" t="n"/>
      <c r="O6" s="19" t="n"/>
      <c r="P6" s="19" t="n"/>
      <c r="Q6" s="19" t="n"/>
      <c r="R6" s="13" t="inlineStr">
        <is>
          <t>Workbook eTable 3, All Observed column: current depression '711 (73.2)'; with 2 missing excluded, 711/1566=45.4%. 73.2% is wrong; count is supported by 162+243+711=1116 (overall). Typo-level error in a supplementary table.</t>
        </is>
      </c>
    </row>
    <row r="7" ht="92" customFormat="1" customHeight="1" s="8">
      <c r="A7" s="11" t="inlineStr">
        <is>
          <t>2025::jama.2025.11178::C006</t>
        </is>
      </c>
      <c r="B7" s="11" t="inlineStr">
        <is>
          <t>Workbook social-role cutoff labeled as mean (SD)</t>
        </is>
      </c>
      <c r="C7" s="11" t="inlineStr">
        <is>
          <t>workbook, worksheet eTable 3, cells A103:E104.</t>
        </is>
      </c>
      <c r="D7" s="7" t="inlineStr">
        <is>
          <t>retain</t>
        </is>
      </c>
      <c r="E7" s="7" t="inlineStr">
        <is>
          <t>report_internal_inconsistency</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2025.11178::"))&lt;&gt;"2025::jama.2025.11178::"),"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t="inlineStr">
        <is>
          <t>minor_presentation</t>
        </is>
      </c>
      <c r="L7" s="13">
        <f>IF(AND(OR(D7="retain",D7=""),E7="protocol_report"),"","not_applicable")</f>
        <v/>
      </c>
      <c r="M7" s="19" t="n"/>
      <c r="N7" s="19" t="n"/>
      <c r="O7" s="19" t="n"/>
      <c r="P7" s="19" t="n"/>
      <c r="Q7" s="19" t="n"/>
      <c r="R7" s="13" t="inlineStr">
        <is>
          <t>Workbook eTable 3 row 'PROMIS Social role functioning &lt;=40, mean (sd)' shows count (%) values, e.g., 525 (34.2) where 525/(1568-31)=34.2%. Label should be N (%). Meaning recoverable.</t>
        </is>
      </c>
    </row>
    <row r="8" ht="92" customFormat="1" customHeight="1" s="8">
      <c r="A8" s="12" t="inlineStr">
        <is>
          <t>2025::jama.2025.11178::C007</t>
        </is>
      </c>
      <c r="B8" s="12" t="inlineStr">
        <is>
          <t>Workbook physical-function cutoff labeled as mean (SD)</t>
        </is>
      </c>
      <c r="C8" s="12" t="inlineStr">
        <is>
          <t>workbook, worksheet eTable 3, cells A106:E107.</t>
        </is>
      </c>
      <c r="D8" s="7" t="inlineStr">
        <is>
          <t>retain</t>
        </is>
      </c>
      <c r="E8" s="7" t="inlineStr">
        <is>
          <t>report_internal_inconsistency</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2025.11178::"))&lt;&gt;"2025::jama.2025.11178::"),"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t="inlineStr">
        <is>
          <t>minor_presentation</t>
        </is>
      </c>
      <c r="L8" s="13">
        <f>IF(AND(OR(D8="retain",D8=""),E8="protocol_report"),"","not_applicable")</f>
        <v/>
      </c>
      <c r="M8" s="19" t="n"/>
      <c r="N8" s="19" t="n"/>
      <c r="O8" s="19" t="n"/>
      <c r="P8" s="19" t="n"/>
      <c r="Q8" s="19" t="n"/>
      <c r="R8" s="13" t="inlineStr">
        <is>
          <t>Workbook eTable 3 row 'PROMIS Physical functioning &lt;=40, mean (sd)' shows count (%) values: 1143/(1568-14)=73.6% matches '1143 (73.6)'. Mislabeled as mean (SD); minor.</t>
        </is>
      </c>
    </row>
    <row r="9" ht="92" customFormat="1" customHeight="1" s="8">
      <c r="A9" s="11" t="inlineStr">
        <is>
          <t>2025::jama.2025.11178::C008</t>
        </is>
      </c>
      <c r="B9" s="11" t="inlineStr">
        <is>
          <t>Pain-severity 12-month painTRAINER SMD outside printed CI</t>
        </is>
      </c>
      <c r="C9" s="11" t="inlineStr">
        <is>
          <t>main article — PDF p. 10, Table 3, pain severity 12 months, painTRAINER vs usual care plus SMD.</t>
        </is>
      </c>
      <c r="D9" s="7" t="inlineStr">
        <is>
          <t>retain</t>
        </is>
      </c>
      <c r="E9" s="7" t="inlineStr">
        <is>
          <t>statistical_results</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2025.11178::"))&lt;&gt;"2025::jama.2025.11178::"),"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inlineStr">
        <is>
          <t>confirmed_issue</t>
        </is>
      </c>
      <c r="I9" s="7" t="inlineStr">
        <is>
          <t>substantive</t>
        </is>
      </c>
      <c r="J9" s="13" t="inlineStr">
        <is>
          <t>direct</t>
        </is>
      </c>
      <c r="K9" s="7">
        <f>IF(AND(OR(D9="retain",D9=""),OR(E9="report_internal_inconsistency",E9="plan_material")),"","not_applicable")</f>
        <v/>
      </c>
      <c r="L9" s="13">
        <f>IF(AND(OR(D9="retain",D9=""),E9="protocol_report"),"","not_applicable")</f>
        <v/>
      </c>
      <c r="M9" s="19" t="n"/>
      <c r="N9" s="19" t="n"/>
      <c r="O9" s="19" t="n"/>
      <c r="P9" s="19" t="n"/>
      <c r="Q9" s="19" t="n"/>
      <c r="R9" s="13" t="inlineStr">
        <is>
          <t>Table 3 SMD Pain severity 12 mo, painTRAINER vs usual care plus: -0.25 (-0.24 to 0.01); MD -0.4 (-0.6 to -0.2). Estimate lies outside its CI, and the SMD CI includes 0 while the MD CI excludes 0. Part of a systematically corrupted SMD column (reversed CIs, estimates outside CIs, signs opposite to MD). SMD interval unusable for extraction.</t>
        </is>
      </c>
    </row>
    <row r="10" ht="92" customFormat="1" customHeight="1" s="8">
      <c r="A10" s="12" t="inlineStr">
        <is>
          <t>2025::jama.2025.11178::C009</t>
        </is>
      </c>
      <c r="B10" s="12" t="inlineStr">
        <is>
          <t>Pain-severity 12-month Health Coach SMD outside printed CI</t>
        </is>
      </c>
      <c r="C10" s="12" t="inlineStr">
        <is>
          <t>main article — PDF p. 10, Table 3, pain severity 12 months, Health Coach vs usual care plus SMD.</t>
        </is>
      </c>
      <c r="D10" s="7" t="inlineStr">
        <is>
          <t>retain</t>
        </is>
      </c>
      <c r="E10" s="7" t="inlineStr">
        <is>
          <t>statistical_results</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LEFT(A10,LEN("2025::jama.2025.11178::"))&lt;&gt;"2025::jama.2025.11178::"),"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inlineStr">
        <is>
          <t>confirmed_issue</t>
        </is>
      </c>
      <c r="I10" s="7" t="inlineStr">
        <is>
          <t>substantive</t>
        </is>
      </c>
      <c r="J10" s="13" t="inlineStr">
        <is>
          <t>direct</t>
        </is>
      </c>
      <c r="K10" s="7">
        <f>IF(AND(OR(D10="retain",D10=""),OR(E10="report_internal_inconsistency",E10="plan_material")),"","not_applicable")</f>
        <v/>
      </c>
      <c r="L10" s="13">
        <f>IF(AND(OR(D10="retain",D10=""),E10="protocol_report"),"","not_applicable")</f>
        <v/>
      </c>
      <c r="M10" s="19" t="n"/>
      <c r="N10" s="19" t="n"/>
      <c r="O10" s="19" t="n"/>
      <c r="P10" s="19" t="n"/>
      <c r="Q10" s="19" t="n"/>
      <c r="R10" s="13" t="inlineStr">
        <is>
          <t>Table 3 SMD Pain severity 12 mo, health coach vs usual care plus: -0.36 (-0.35 to -0.12); MD -0.4 (-0.6 to -0.2). Estimate lies outside its CI. Part of a systematically corrupted SMD column (reversed CIs, estimates outside CIs, signs opposite to MD). SMD interval unusable for extraction.</t>
        </is>
      </c>
    </row>
    <row r="11" ht="92" customFormat="1" customHeight="1" s="8">
      <c r="A11" s="11" t="inlineStr">
        <is>
          <t>2025::jama.2025.11178::C010</t>
        </is>
      </c>
      <c r="B11" s="11" t="inlineStr">
        <is>
          <t>Pain-intensity 12-month Health Coach SMD outside printed CI</t>
        </is>
      </c>
      <c r="C11" s="11" t="inlineStr">
        <is>
          <t>main article — PDF p. 10, Table 3, pain intensity 12 months, Health Coach vs usual care plus SMD.</t>
        </is>
      </c>
      <c r="D11" s="7" t="inlineStr">
        <is>
          <t>retain</t>
        </is>
      </c>
      <c r="E11" s="7" t="inlineStr">
        <is>
          <t>statistical_results</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LEFT(A11,LEN("2025::jama.2025.11178::"))&lt;&gt;"2025::jama.2025.11178::"),"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t="inlineStr">
        <is>
          <t>confirmed_issue</t>
        </is>
      </c>
      <c r="I11" s="7" t="inlineStr">
        <is>
          <t>substantive</t>
        </is>
      </c>
      <c r="J11" s="13" t="inlineStr">
        <is>
          <t>direct</t>
        </is>
      </c>
      <c r="K11" s="7">
        <f>IF(AND(OR(D11="retain",D11=""),OR(E11="report_internal_inconsistency",E11="plan_material")),"","not_applicable")</f>
        <v/>
      </c>
      <c r="L11" s="13">
        <f>IF(AND(OR(D11="retain",D11=""),E11="protocol_report"),"","not_applicable")</f>
        <v/>
      </c>
      <c r="M11" s="19" t="n"/>
      <c r="N11" s="19" t="n"/>
      <c r="O11" s="19" t="n"/>
      <c r="P11" s="19" t="n"/>
      <c r="Q11" s="19" t="n"/>
      <c r="R11" s="13" t="inlineStr">
        <is>
          <t>Table 3 SMD Pain intensity 12 mo, health coach vs usual care plus: -0.27 (-0.26 to -0.12); MD -0.2 (-0.4 to -0.1). Estimate lies outside its CI. Part of a systematically corrupted SMD column (reversed CIs, estimates outside CIs, signs opposite to MD). SMD interval unusable for extraction.</t>
        </is>
      </c>
    </row>
    <row r="12" ht="92" customFormat="1" customHeight="1" s="8">
      <c r="A12" s="12" t="inlineStr">
        <is>
          <t>2025::jama.2025.11178::C011</t>
        </is>
      </c>
      <c r="B12" s="12" t="inlineStr">
        <is>
          <t>Pain-interference 12-month painTRAINER SMD outside printed CI</t>
        </is>
      </c>
      <c r="C12" s="12" t="inlineStr">
        <is>
          <t>main article — PDF p. 10, Table 3, interference 12 months, painTRAINER vs usual care plus SMD.</t>
        </is>
      </c>
      <c r="D12" s="7" t="inlineStr">
        <is>
          <t>retain</t>
        </is>
      </c>
      <c r="E12" s="7" t="inlineStr">
        <is>
          <t>statistical_results</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LEFT(A12,LEN("2025::jama.2025.11178::"))&lt;&gt;"2025::jama.2025.11178::"),"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t="inlineStr">
        <is>
          <t>confirmed_issue</t>
        </is>
      </c>
      <c r="I12" s="7" t="inlineStr">
        <is>
          <t>substantive</t>
        </is>
      </c>
      <c r="J12" s="13" t="inlineStr">
        <is>
          <t>direct</t>
        </is>
      </c>
      <c r="K12" s="7">
        <f>IF(AND(OR(D12="retain",D12=""),OR(E12="report_internal_inconsistency",E12="plan_material")),"","not_applicable")</f>
        <v/>
      </c>
      <c r="L12" s="13">
        <f>IF(AND(OR(D12="retain",D12=""),E12="protocol_report"),"","not_applicable")</f>
        <v/>
      </c>
      <c r="M12" s="19" t="n"/>
      <c r="N12" s="19" t="n"/>
      <c r="O12" s="19" t="n"/>
      <c r="P12" s="19" t="n"/>
      <c r="Q12" s="19" t="n"/>
      <c r="R12" s="13" t="inlineStr">
        <is>
          <t>Table 3 SMD Pain interference 12 mo, painTRAINER vs usual care plus: -0.26 (-0.25 to 0.01); MD -0.5 (-0.7 to -0.3). Estimate lies outside its CI, and the SMD CI includes 0 while the MD CI excludes 0. Part of a systematically corrupted SMD column (reversed CIs, estimates outside CIs, signs opposite to MD). SMD interval unusable for extraction.</t>
        </is>
      </c>
    </row>
    <row r="13" ht="92" customFormat="1" customHeight="1" s="8">
      <c r="A13" s="11" t="inlineStr">
        <is>
          <t>2025::jama.2025.11178::C012</t>
        </is>
      </c>
      <c r="B13" s="11" t="inlineStr">
        <is>
          <t>Pain-interference 12-month Health Coach SMD outside printed CI</t>
        </is>
      </c>
      <c r="C13" s="11" t="inlineStr">
        <is>
          <t>main article — PDF p. 10, Table 3, interference 12 months, Health Coach vs usual care plus SMD.</t>
        </is>
      </c>
      <c r="D13" s="7" t="inlineStr">
        <is>
          <t>retain</t>
        </is>
      </c>
      <c r="E13" s="7" t="inlineStr">
        <is>
          <t>statistical_results</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LEFT(A13,LEN("2025::jama.2025.11178::"))&lt;&gt;"2025::jama.2025.11178::"),"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t="inlineStr">
        <is>
          <t>confirmed_issue</t>
        </is>
      </c>
      <c r="I13" s="7" t="inlineStr">
        <is>
          <t>substantive</t>
        </is>
      </c>
      <c r="J13" s="13" t="inlineStr">
        <is>
          <t>direct</t>
        </is>
      </c>
      <c r="K13" s="7">
        <f>IF(AND(OR(D13="retain",D13=""),OR(E13="report_internal_inconsistency",E13="plan_material")),"","not_applicable")</f>
        <v/>
      </c>
      <c r="L13" s="13">
        <f>IF(AND(OR(D13="retain",D13=""),E13="protocol_report"),"","not_applicable")</f>
        <v/>
      </c>
      <c r="M13" s="19" t="n"/>
      <c r="N13" s="19" t="n"/>
      <c r="O13" s="19" t="n"/>
      <c r="P13" s="19" t="n"/>
      <c r="Q13" s="19" t="n"/>
      <c r="R13" s="13" t="inlineStr">
        <is>
          <t>Table 3 SMD Pain interference 12 mo, health coach vs usual care plus: -0.37 (-0.36 to -0.11); MD -0.5 (-0.7 to -0.3). Estimate lies outside its CI. Part of a systematically corrupted SMD column (reversed CIs, estimates outside CIs, signs opposite to MD). SMD interval unusable for extraction.</t>
        </is>
      </c>
    </row>
    <row r="14" ht="92" customFormat="1" customHeight="1" s="8">
      <c r="A14" s="12" t="inlineStr">
        <is>
          <t>2025::jama.2025.11178::C013</t>
        </is>
      </c>
      <c r="B14" s="12" t="inlineStr">
        <is>
          <t>Social-role 3-month painTRAINER SMD endpoints reversed</t>
        </is>
      </c>
      <c r="C14" s="12" t="inlineStr">
        <is>
          <t>main article — PDF p. 10, Table 3, social role, 3 months, painTRAINER vs usual care plus SMD.</t>
        </is>
      </c>
      <c r="D14" s="7" t="inlineStr">
        <is>
          <t>retain</t>
        </is>
      </c>
      <c r="E14" s="7" t="inlineStr">
        <is>
          <t>statistical_results</t>
        </is>
      </c>
      <c r="F14" s="7" t="inlineStr">
        <is>
          <t>primary_done</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LEFT(A14,LEN("2025::jama.2025.11178::"))&lt;&gt;"2025::jama.2025.11178::"),"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t="inlineStr">
        <is>
          <t>confirmed_issue</t>
        </is>
      </c>
      <c r="I14" s="7" t="inlineStr">
        <is>
          <t>substantive</t>
        </is>
      </c>
      <c r="J14" s="13" t="inlineStr">
        <is>
          <t>direct</t>
        </is>
      </c>
      <c r="K14" s="7">
        <f>IF(AND(OR(D14="retain",D14=""),OR(E14="report_internal_inconsistency",E14="plan_material")),"","not_applicable")</f>
        <v/>
      </c>
      <c r="L14" s="13">
        <f>IF(AND(OR(D14="retain",D14=""),E14="protocol_report"),"","not_applicable")</f>
        <v/>
      </c>
      <c r="M14" s="19" t="n"/>
      <c r="N14" s="19" t="n"/>
      <c r="O14" s="19" t="n"/>
      <c r="P14" s="19" t="n"/>
      <c r="Q14" s="19" t="n"/>
      <c r="R14" s="13" t="inlineStr">
        <is>
          <t>Table 3 SMD Social role 3 mo, painTRAINER vs usual care plus: 0.12 (0.23 to 0.11); MD 0.8 (0.0 to 1.5). Endpoints reversed; sorted CI (0.11, 0.23) excludes 0 while the MD CI reaches 0.0. Part of a systematically corrupted SMD column (reversed CIs, estimates outside CIs, signs opposite to MD). SMD interval unusable for extraction.</t>
        </is>
      </c>
    </row>
    <row r="15" ht="92" customFormat="1" customHeight="1" s="8">
      <c r="A15" s="11" t="inlineStr">
        <is>
          <t>2025::jama.2025.11178::C014</t>
        </is>
      </c>
      <c r="B15" s="11" t="inlineStr">
        <is>
          <t>Social-role 3-month Health Coach SMD endpoints reversed</t>
        </is>
      </c>
      <c r="C15" s="11" t="inlineStr">
        <is>
          <t>main article — PDF p. 10, Table 3, social role, 3 months, Health Coach vs usual care plus SMD.</t>
        </is>
      </c>
      <c r="D15" s="7" t="inlineStr">
        <is>
          <t>retain</t>
        </is>
      </c>
      <c r="E15" s="7" t="inlineStr">
        <is>
          <t>statistical_results</t>
        </is>
      </c>
      <c r="F15" s="7" t="inlineStr">
        <is>
          <t>primary_done</t>
        </is>
      </c>
      <c r="G15" s="11">
        <f>IFERROR(IF(LEN(TRIM(CLEAN(SUBSTITUTE(Setup!$B$2,CHAR(160)," "))))=0,"CHECK REVIEWER ID",IF(OR(A15="",(COUNTIF('C_jama.2024.24764'!$A$2:$A$9,A15)+COUNTIF('C_jama.2024.27643'!$A$2:$A$9,A15)+COUNTIF('C_jama.2025.11178'!$A$2:$A$38,A15)+COUNTIF('C_jama.2025.15185'!$A$2:$A$13,A15)+COUNTIF('C_jama.2025.15440'!$A$2:$A$3,A15)+COUNTIF('C_jama.2025.16450'!$A$2:$A$11,A15)+COUNTIF('C_jama.2025.19563'!$A$2:$A$8,A15)+COUNTIF('C_jama.2025.19843'!$A$2:$A$2,A15)+COUNTIF('C_jama.2025.20765'!$A$2:$A$14,A15)+COUNTIF('C_jama.2025.24175'!$A$2:$A$15,A15)+COUNTIF('C_jama.2025.4390'!$A$2:$A$4,A15)+COUNTIF('C_jama.2025.7583'!$A$2:$A$4,A15)+COUNTIF('C_jama.2025.7710'!$A$2:$A$5,A15)+COUNTIF('C_jama.2025.9110'!$A$2:$A$7,A15)+COUNTIF('C_jama.2025.9663'!$A$2:$A$4,A15))&lt;&gt;1,LEFT(A15,LEN("2025::jama.2025.11178::"))&lt;&gt;"2025::jama.2025.11178::"),"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COMPLETE",IF(F15="primary_done","PRIMARY READY","PRIMARY DRAFT")))))),"CHECK INPUT / KEY")</f>
        <v/>
      </c>
      <c r="H15" s="7" t="inlineStr">
        <is>
          <t>confirmed_issue</t>
        </is>
      </c>
      <c r="I15" s="7" t="inlineStr">
        <is>
          <t>substantive</t>
        </is>
      </c>
      <c r="J15" s="13" t="inlineStr">
        <is>
          <t>direct</t>
        </is>
      </c>
      <c r="K15" s="7">
        <f>IF(AND(OR(D15="retain",D15=""),OR(E15="report_internal_inconsistency",E15="plan_material")),"","not_applicable")</f>
        <v/>
      </c>
      <c r="L15" s="13">
        <f>IF(AND(OR(D15="retain",D15=""),E15="protocol_report"),"","not_applicable")</f>
        <v/>
      </c>
      <c r="M15" s="19" t="n"/>
      <c r="N15" s="19" t="n"/>
      <c r="O15" s="19" t="n"/>
      <c r="P15" s="19" t="n"/>
      <c r="Q15" s="19" t="n"/>
      <c r="R15" s="13" t="inlineStr">
        <is>
          <t>Table 3 SMD Social role 3 mo, health coach vs usual care plus: 0.01 (0.12 to -0.00); MD 1.5 (0.8 to 2.2). Endpoints reversed; SMD 0.01 is implausible for MD 1.5 (other rows imply SD ~6.7, i.e., SMD ~0.2), and the SMD CI includes 0 while the MD CI excludes it. Part of a systematically corrupted SMD column (reversed CIs, estimates outside CIs, signs opposite to MD). SMD interval unusable for extr...</t>
        </is>
      </c>
    </row>
    <row r="16" ht="92" customFormat="1" customHeight="1" s="8">
      <c r="A16" s="12" t="inlineStr">
        <is>
          <t>2025::jama.2025.11178::C015</t>
        </is>
      </c>
      <c r="B16" s="12" t="inlineStr">
        <is>
          <t>Social-role 3-month Health Coach versus painTRAINER SMD endpoints reversed</t>
        </is>
      </c>
      <c r="C16" s="12" t="inlineStr">
        <is>
          <t>main article — PDF p. 10, Table 3, social role, 3 months, Health Coach vs painTRAINER SMD.</t>
        </is>
      </c>
      <c r="D16" s="7" t="inlineStr">
        <is>
          <t>retain</t>
        </is>
      </c>
      <c r="E16" s="7" t="inlineStr">
        <is>
          <t>statistical_results</t>
        </is>
      </c>
      <c r="F16" s="7" t="inlineStr">
        <is>
          <t>primary_done</t>
        </is>
      </c>
      <c r="G16" s="12">
        <f>IFERROR(IF(LEN(TRIM(CLEAN(SUBSTITUTE(Setup!$B$2,CHAR(160)," "))))=0,"CHECK REVIEWER ID",IF(OR(A16="",(COUNTIF('C_jama.2024.24764'!$A$2:$A$9,A16)+COUNTIF('C_jama.2024.27643'!$A$2:$A$9,A16)+COUNTIF('C_jama.2025.11178'!$A$2:$A$38,A16)+COUNTIF('C_jama.2025.15185'!$A$2:$A$13,A16)+COUNTIF('C_jama.2025.15440'!$A$2:$A$3,A16)+COUNTIF('C_jama.2025.16450'!$A$2:$A$11,A16)+COUNTIF('C_jama.2025.19563'!$A$2:$A$8,A16)+COUNTIF('C_jama.2025.19843'!$A$2:$A$2,A16)+COUNTIF('C_jama.2025.20765'!$A$2:$A$14,A16)+COUNTIF('C_jama.2025.24175'!$A$2:$A$15,A16)+COUNTIF('C_jama.2025.4390'!$A$2:$A$4,A16)+COUNTIF('C_jama.2025.7583'!$A$2:$A$4,A16)+COUNTIF('C_jama.2025.7710'!$A$2:$A$5,A16)+COUNTIF('C_jama.2025.9110'!$A$2:$A$7,A16)+COUNTIF('C_jama.2025.9663'!$A$2:$A$4,A16))&lt;&gt;1,LEFT(A16,LEN("2025::jama.2025.11178::"))&lt;&gt;"2025::jama.2025.11178::"),"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COMPLETE",IF(F16="primary_done","PRIMARY READY","PRIMARY DRAFT")))))),"CHECK INPUT / KEY")</f>
        <v/>
      </c>
      <c r="H16" s="7" t="inlineStr">
        <is>
          <t>confirmed_issue</t>
        </is>
      </c>
      <c r="I16" s="7" t="inlineStr">
        <is>
          <t>substantive</t>
        </is>
      </c>
      <c r="J16" s="13" t="inlineStr">
        <is>
          <t>direct</t>
        </is>
      </c>
      <c r="K16" s="7">
        <f>IF(AND(OR(D16="retain",D16=""),OR(E16="report_internal_inconsistency",E16="plan_material")),"","not_applicable")</f>
        <v/>
      </c>
      <c r="L16" s="13">
        <f>IF(AND(OR(D16="retain",D16=""),E16="protocol_report"),"","not_applicable")</f>
        <v/>
      </c>
      <c r="M16" s="19" t="n"/>
      <c r="N16" s="19" t="n"/>
      <c r="O16" s="19" t="n"/>
      <c r="P16" s="19" t="n"/>
      <c r="Q16" s="19" t="n"/>
      <c r="R16" s="13" t="inlineStr">
        <is>
          <t>Table 3 SMD Social role 3 mo, health coach vs painTRAINER: 0.20 (0.29 to 0.19); MD 0.7 (-0.0 to 1.4). Endpoints reversed; SMD CI excludes 0 while the MD CI includes 0. Part of a systematically corrupted SMD column (reversed CIs, estimates outside CIs, signs opposite to MD). SMD interval unusable for extraction.</t>
        </is>
      </c>
    </row>
    <row r="17" ht="92" customFormat="1" customHeight="1" s="8">
      <c r="A17" s="11" t="inlineStr">
        <is>
          <t>2025::jama.2025.11178::C016</t>
        </is>
      </c>
      <c r="B17" s="11" t="inlineStr">
        <is>
          <t>Social-role 6-month painTRAINER SMD endpoints reversed</t>
        </is>
      </c>
      <c r="C17" s="11" t="inlineStr">
        <is>
          <t>main article — PDF p. 10, Table 3, social role, 6 months, painTRAINER vs usual care plus SMD.</t>
        </is>
      </c>
      <c r="D17" s="7" t="inlineStr">
        <is>
          <t>retain</t>
        </is>
      </c>
      <c r="E17" s="7" t="inlineStr">
        <is>
          <t>statistical_results</t>
        </is>
      </c>
      <c r="F17" s="7" t="inlineStr">
        <is>
          <t>primary_done</t>
        </is>
      </c>
      <c r="G17" s="11">
        <f>IFERROR(IF(LEN(TRIM(CLEAN(SUBSTITUTE(Setup!$B$2,CHAR(160)," "))))=0,"CHECK REVIEWER ID",IF(OR(A17="",(COUNTIF('C_jama.2024.24764'!$A$2:$A$9,A17)+COUNTIF('C_jama.2024.27643'!$A$2:$A$9,A17)+COUNTIF('C_jama.2025.11178'!$A$2:$A$38,A17)+COUNTIF('C_jama.2025.15185'!$A$2:$A$13,A17)+COUNTIF('C_jama.2025.15440'!$A$2:$A$3,A17)+COUNTIF('C_jama.2025.16450'!$A$2:$A$11,A17)+COUNTIF('C_jama.2025.19563'!$A$2:$A$8,A17)+COUNTIF('C_jama.2025.19843'!$A$2:$A$2,A17)+COUNTIF('C_jama.2025.20765'!$A$2:$A$14,A17)+COUNTIF('C_jama.2025.24175'!$A$2:$A$15,A17)+COUNTIF('C_jama.2025.4390'!$A$2:$A$4,A17)+COUNTIF('C_jama.2025.7583'!$A$2:$A$4,A17)+COUNTIF('C_jama.2025.7710'!$A$2:$A$5,A17)+COUNTIF('C_jama.2025.9110'!$A$2:$A$7,A17)+COUNTIF('C_jama.2025.9663'!$A$2:$A$4,A17))&lt;&gt;1,LEFT(A17,LEN("2025::jama.2025.11178::"))&lt;&gt;"2025::jama.2025.11178::"),"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COMPLETE",IF(F17="primary_done","PRIMARY READY","PRIMARY DRAFT")))))),"CHECK INPUT / KEY")</f>
        <v/>
      </c>
      <c r="H17" s="7" t="inlineStr">
        <is>
          <t>confirmed_issue</t>
        </is>
      </c>
      <c r="I17" s="7" t="inlineStr">
        <is>
          <t>substantive</t>
        </is>
      </c>
      <c r="J17" s="13" t="inlineStr">
        <is>
          <t>direct</t>
        </is>
      </c>
      <c r="K17" s="7">
        <f>IF(AND(OR(D17="retain",D17=""),OR(E17="report_internal_inconsistency",E17="plan_material")),"","not_applicable")</f>
        <v/>
      </c>
      <c r="L17" s="13">
        <f>IF(AND(OR(D17="retain",D17=""),E17="protocol_report"),"","not_applicable")</f>
        <v/>
      </c>
      <c r="M17" s="19" t="n"/>
      <c r="N17" s="19" t="n"/>
      <c r="O17" s="19" t="n"/>
      <c r="P17" s="19" t="n"/>
      <c r="Q17" s="19" t="n"/>
      <c r="R17" s="13" t="inlineStr">
        <is>
          <t>Table 3 SMD Social role 6 mo, painTRAINER vs usual care plus: 0.18 (0.23 to 0.05); MD 1.2 (0.4 to 1.9). Endpoints reversed. Part of a systematically corrupted SMD column (reversed CIs, estimates outside CIs, signs opposite to MD). SMD interval unusable for extraction.</t>
        </is>
      </c>
    </row>
    <row r="18" ht="92" customFormat="1" customHeight="1" s="8">
      <c r="A18" s="12" t="inlineStr">
        <is>
          <t>2025::jama.2025.11178::C017</t>
        </is>
      </c>
      <c r="B18" s="12" t="inlineStr">
        <is>
          <t>Social-role 6-month Health Coach SMD endpoints reversed</t>
        </is>
      </c>
      <c r="C18" s="12" t="inlineStr">
        <is>
          <t>main article — PDF p. 10, Table 3, social role, 6 months, Health Coach vs usual care plus SMD.</t>
        </is>
      </c>
      <c r="D18" s="7" t="inlineStr">
        <is>
          <t>retain</t>
        </is>
      </c>
      <c r="E18" s="7" t="inlineStr">
        <is>
          <t>statistical_results</t>
        </is>
      </c>
      <c r="F18" s="7" t="inlineStr">
        <is>
          <t>primary_done</t>
        </is>
      </c>
      <c r="G18" s="12">
        <f>IFERROR(IF(LEN(TRIM(CLEAN(SUBSTITUTE(Setup!$B$2,CHAR(160)," "))))=0,"CHECK REVIEWER ID",IF(OR(A18="",(COUNTIF('C_jama.2024.24764'!$A$2:$A$9,A18)+COUNTIF('C_jama.2024.27643'!$A$2:$A$9,A18)+COUNTIF('C_jama.2025.11178'!$A$2:$A$38,A18)+COUNTIF('C_jama.2025.15185'!$A$2:$A$13,A18)+COUNTIF('C_jama.2025.15440'!$A$2:$A$3,A18)+COUNTIF('C_jama.2025.16450'!$A$2:$A$11,A18)+COUNTIF('C_jama.2025.19563'!$A$2:$A$8,A18)+COUNTIF('C_jama.2025.19843'!$A$2:$A$2,A18)+COUNTIF('C_jama.2025.20765'!$A$2:$A$14,A18)+COUNTIF('C_jama.2025.24175'!$A$2:$A$15,A18)+COUNTIF('C_jama.2025.4390'!$A$2:$A$4,A18)+COUNTIF('C_jama.2025.7583'!$A$2:$A$4,A18)+COUNTIF('C_jama.2025.7710'!$A$2:$A$5,A18)+COUNTIF('C_jama.2025.9110'!$A$2:$A$7,A18)+COUNTIF('C_jama.2025.9663'!$A$2:$A$4,A18))&lt;&gt;1,LEFT(A18,LEN("2025::jama.2025.11178::"))&lt;&gt;"2025::jama.2025.11178::"),"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COMPLETE",IF(F18="primary_done","PRIMARY READY","PRIMARY DRAFT")))))),"CHECK INPUT / KEY")</f>
        <v/>
      </c>
      <c r="H18" s="7" t="inlineStr">
        <is>
          <t>confirmed_issue</t>
        </is>
      </c>
      <c r="I18" s="7" t="inlineStr">
        <is>
          <t>substantive</t>
        </is>
      </c>
      <c r="J18" s="13" t="inlineStr">
        <is>
          <t>direct</t>
        </is>
      </c>
      <c r="K18" s="7">
        <f>IF(AND(OR(D18="retain",D18=""),OR(E18="report_internal_inconsistency",E18="plan_material")),"","not_applicable")</f>
        <v/>
      </c>
      <c r="L18" s="13">
        <f>IF(AND(OR(D18="retain",D18=""),E18="protocol_report"),"","not_applicable")</f>
        <v/>
      </c>
      <c r="M18" s="19" t="n"/>
      <c r="N18" s="19" t="n"/>
      <c r="O18" s="19" t="n"/>
      <c r="P18" s="19" t="n"/>
      <c r="Q18" s="19" t="n"/>
      <c r="R18" s="13" t="inlineStr">
        <is>
          <t>Table 3 SMD Social role 6 mo, health coach vs usual care plus: 0.06 (0.11 to -0.06); MD 1.5 (0.8 to 2.2). Endpoints reversed; SMD CI includes 0 while the MD CI excludes 0. Part of a systematically corrupted SMD column (reversed CIs, estimates outside CIs, signs opposite to MD). SMD interval unusable for extraction.</t>
        </is>
      </c>
    </row>
    <row r="19" ht="92" customFormat="1" customHeight="1" s="8">
      <c r="A19" s="11" t="inlineStr">
        <is>
          <t>2025::jama.2025.11178::C018</t>
        </is>
      </c>
      <c r="B19" s="11" t="inlineStr">
        <is>
          <t>Social-role 6-month Health Coach versus painTRAINER SMD endpoints reversed</t>
        </is>
      </c>
      <c r="C19" s="11" t="inlineStr">
        <is>
          <t>main article — PDF p. 10, Table 3, social role, 6 months, Health Coach vs painTRAINER SMD.</t>
        </is>
      </c>
      <c r="D19" s="7" t="inlineStr">
        <is>
          <t>retain</t>
        </is>
      </c>
      <c r="E19" s="7" t="inlineStr">
        <is>
          <t>statistical_results</t>
        </is>
      </c>
      <c r="F19" s="7" t="inlineStr">
        <is>
          <t>primary_done</t>
        </is>
      </c>
      <c r="G19" s="11">
        <f>IFERROR(IF(LEN(TRIM(CLEAN(SUBSTITUTE(Setup!$B$2,CHAR(160)," "))))=0,"CHECK REVIEWER ID",IF(OR(A19="",(COUNTIF('C_jama.2024.24764'!$A$2:$A$9,A19)+COUNTIF('C_jama.2024.27643'!$A$2:$A$9,A19)+COUNTIF('C_jama.2025.11178'!$A$2:$A$38,A19)+COUNTIF('C_jama.2025.15185'!$A$2:$A$13,A19)+COUNTIF('C_jama.2025.15440'!$A$2:$A$3,A19)+COUNTIF('C_jama.2025.16450'!$A$2:$A$11,A19)+COUNTIF('C_jama.2025.19563'!$A$2:$A$8,A19)+COUNTIF('C_jama.2025.19843'!$A$2:$A$2,A19)+COUNTIF('C_jama.2025.20765'!$A$2:$A$14,A19)+COUNTIF('C_jama.2025.24175'!$A$2:$A$15,A19)+COUNTIF('C_jama.2025.4390'!$A$2:$A$4,A19)+COUNTIF('C_jama.2025.7583'!$A$2:$A$4,A19)+COUNTIF('C_jama.2025.7710'!$A$2:$A$5,A19)+COUNTIF('C_jama.2025.9110'!$A$2:$A$7,A19)+COUNTIF('C_jama.2025.9663'!$A$2:$A$4,A19))&lt;&gt;1,LEFT(A19,LEN("2025::jama.2025.11178::"))&lt;&gt;"2025::jama.2025.11178::"),"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FIELDS",IF(AND(F19&lt;&gt;"",NOT(OR(F19="no",F19="primary_done"))),"CHECK COMPLETE",IF(F19="primary_done","PRIMARY READY","PRIMARY DRAFT")))))),"CHECK INPUT / KEY")</f>
        <v/>
      </c>
      <c r="H19" s="7" t="inlineStr">
        <is>
          <t>confirmed_issue</t>
        </is>
      </c>
      <c r="I19" s="7" t="inlineStr">
        <is>
          <t>substantive</t>
        </is>
      </c>
      <c r="J19" s="13" t="inlineStr">
        <is>
          <t>direct</t>
        </is>
      </c>
      <c r="K19" s="7">
        <f>IF(AND(OR(D19="retain",D19=""),OR(E19="report_internal_inconsistency",E19="plan_material")),"","not_applicable")</f>
        <v/>
      </c>
      <c r="L19" s="13">
        <f>IF(AND(OR(D19="retain",D19=""),E19="protocol_report"),"","not_applicable")</f>
        <v/>
      </c>
      <c r="M19" s="19" t="n"/>
      <c r="N19" s="19" t="n"/>
      <c r="O19" s="19" t="n"/>
      <c r="P19" s="19" t="n"/>
      <c r="Q19" s="19" t="n"/>
      <c r="R19" s="13" t="inlineStr">
        <is>
          <t>Table 3 SMD Social role 6 mo, health coach vs painTRAINER: 0.26 (0.30 to 0.15); MD 0.3 (-0.4 to 1.1). Endpoints reversed; SMD CI excludes 0 while the MD CI includes 0. Part of a systematically corrupted SMD column (reversed CIs, estimates outside CIs, signs opposite to MD). SMD interval unusable for extraction.</t>
        </is>
      </c>
    </row>
    <row r="20" ht="92" customFormat="1" customHeight="1" s="8">
      <c r="A20" s="12" t="inlineStr">
        <is>
          <t>2025::jama.2025.11178::C019</t>
        </is>
      </c>
      <c r="B20" s="12" t="inlineStr">
        <is>
          <t>Social-role 12-month painTRAINER SMD endpoints reversed</t>
        </is>
      </c>
      <c r="C20" s="12" t="inlineStr">
        <is>
          <t>main article — PDF p. 10, Table 3, social role, 12 months, painTRAINER vs usual care plus SMD.</t>
        </is>
      </c>
      <c r="D20" s="7" t="inlineStr">
        <is>
          <t>retain</t>
        </is>
      </c>
      <c r="E20" s="7" t="inlineStr">
        <is>
          <t>statistical_results</t>
        </is>
      </c>
      <c r="F20" s="7" t="inlineStr">
        <is>
          <t>primary_done</t>
        </is>
      </c>
      <c r="G20" s="12">
        <f>IFERROR(IF(LEN(TRIM(CLEAN(SUBSTITUTE(Setup!$B$2,CHAR(160)," "))))=0,"CHECK REVIEWER ID",IF(OR(A20="",(COUNTIF('C_jama.2024.24764'!$A$2:$A$9,A20)+COUNTIF('C_jama.2024.27643'!$A$2:$A$9,A20)+COUNTIF('C_jama.2025.11178'!$A$2:$A$38,A20)+COUNTIF('C_jama.2025.15185'!$A$2:$A$13,A20)+COUNTIF('C_jama.2025.15440'!$A$2:$A$3,A20)+COUNTIF('C_jama.2025.16450'!$A$2:$A$11,A20)+COUNTIF('C_jama.2025.19563'!$A$2:$A$8,A20)+COUNTIF('C_jama.2025.19843'!$A$2:$A$2,A20)+COUNTIF('C_jama.2025.20765'!$A$2:$A$14,A20)+COUNTIF('C_jama.2025.24175'!$A$2:$A$15,A20)+COUNTIF('C_jama.2025.4390'!$A$2:$A$4,A20)+COUNTIF('C_jama.2025.7583'!$A$2:$A$4,A20)+COUNTIF('C_jama.2025.7710'!$A$2:$A$5,A20)+COUNTIF('C_jama.2025.9110'!$A$2:$A$7,A20)+COUNTIF('C_jama.2025.9663'!$A$2:$A$4,A20))&lt;&gt;1,LEFT(A20,LEN("2025::jama.2025.11178::"))&lt;&gt;"2025::jama.2025.11178::"),"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FIELDS",IF(AND(F20&lt;&gt;"",NOT(OR(F20="no",F20="primary_done"))),"CHECK COMPLETE",IF(F20="primary_done","PRIMARY READY","PRIMARY DRAFT")))))),"CHECK INPUT / KEY")</f>
        <v/>
      </c>
      <c r="H20" s="7" t="inlineStr">
        <is>
          <t>confirmed_issue</t>
        </is>
      </c>
      <c r="I20" s="7" t="inlineStr">
        <is>
          <t>substantive</t>
        </is>
      </c>
      <c r="J20" s="13" t="inlineStr">
        <is>
          <t>direct</t>
        </is>
      </c>
      <c r="K20" s="7">
        <f>IF(AND(OR(D20="retain",D20=""),OR(E20="report_internal_inconsistency",E20="plan_material")),"","not_applicable")</f>
        <v/>
      </c>
      <c r="L20" s="13">
        <f>IF(AND(OR(D20="retain",D20=""),E20="protocol_report"),"","not_applicable")</f>
        <v/>
      </c>
      <c r="M20" s="19" t="n"/>
      <c r="N20" s="19" t="n"/>
      <c r="O20" s="19" t="n"/>
      <c r="P20" s="19" t="n"/>
      <c r="Q20" s="19" t="n"/>
      <c r="R20" s="13" t="inlineStr">
        <is>
          <t>Table 3 SMD Social role 12 mo, painTRAINER vs usual care plus: 0.19 (0.21 to 0.01); MD 1.3 (0.5 to 2.1). Endpoints reversed. Part of a systematically corrupted SMD column (reversed CIs, estimates outside CIs, signs opposite to MD). SMD interval unusable for extraction.</t>
        </is>
      </c>
    </row>
    <row r="21" ht="92" customFormat="1" customHeight="1" s="8">
      <c r="A21" s="11" t="inlineStr">
        <is>
          <t>2025::jama.2025.11178::C020</t>
        </is>
      </c>
      <c r="B21" s="11" t="inlineStr">
        <is>
          <t>Social-role 12-month Health Coach SMD endpoints reversed</t>
        </is>
      </c>
      <c r="C21" s="11" t="inlineStr">
        <is>
          <t>main article — PDF p. 10, Table 3, social role, 12 months, Health Coach vs usual care plus SMD.</t>
        </is>
      </c>
      <c r="D21" s="7" t="inlineStr">
        <is>
          <t>retain</t>
        </is>
      </c>
      <c r="E21" s="7" t="inlineStr">
        <is>
          <t>statistical_results</t>
        </is>
      </c>
      <c r="F21" s="7" t="inlineStr">
        <is>
          <t>primary_done</t>
        </is>
      </c>
      <c r="G21" s="11">
        <f>IFERROR(IF(LEN(TRIM(CLEAN(SUBSTITUTE(Setup!$B$2,CHAR(160)," "))))=0,"CHECK REVIEWER ID",IF(OR(A21="",(COUNTIF('C_jama.2024.24764'!$A$2:$A$9,A21)+COUNTIF('C_jama.2024.27643'!$A$2:$A$9,A21)+COUNTIF('C_jama.2025.11178'!$A$2:$A$38,A21)+COUNTIF('C_jama.2025.15185'!$A$2:$A$13,A21)+COUNTIF('C_jama.2025.15440'!$A$2:$A$3,A21)+COUNTIF('C_jama.2025.16450'!$A$2:$A$11,A21)+COUNTIF('C_jama.2025.19563'!$A$2:$A$8,A21)+COUNTIF('C_jama.2025.19843'!$A$2:$A$2,A21)+COUNTIF('C_jama.2025.20765'!$A$2:$A$14,A21)+COUNTIF('C_jama.2025.24175'!$A$2:$A$15,A21)+COUNTIF('C_jama.2025.4390'!$A$2:$A$4,A21)+COUNTIF('C_jama.2025.7583'!$A$2:$A$4,A21)+COUNTIF('C_jama.2025.7710'!$A$2:$A$5,A21)+COUNTIF('C_jama.2025.9110'!$A$2:$A$7,A21)+COUNTIF('C_jama.2025.9663'!$A$2:$A$4,A21))&lt;&gt;1,LEFT(A21,LEN("2025::jama.2025.11178::"))&lt;&gt;"2025::jama.2025.11178::"),"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FIELDS",IF(AND(F21&lt;&gt;"",NOT(OR(F21="no",F21="primary_done"))),"CHECK COMPLETE",IF(F21="primary_done","PRIMARY READY","PRIMARY DRAFT")))))),"CHECK INPUT / KEY")</f>
        <v/>
      </c>
      <c r="H21" s="7" t="inlineStr">
        <is>
          <t>confirmed_issue</t>
        </is>
      </c>
      <c r="I21" s="7" t="inlineStr">
        <is>
          <t>substantive</t>
        </is>
      </c>
      <c r="J21" s="13" t="inlineStr">
        <is>
          <t>direct</t>
        </is>
      </c>
      <c r="K21" s="7">
        <f>IF(AND(OR(D21="retain",D21=""),OR(E21="report_internal_inconsistency",E21="plan_material")),"","not_applicable")</f>
        <v/>
      </c>
      <c r="L21" s="13">
        <f>IF(AND(OR(D21="retain",D21=""),E21="protocol_report"),"","not_applicable")</f>
        <v/>
      </c>
      <c r="M21" s="19" t="n"/>
      <c r="N21" s="19" t="n"/>
      <c r="O21" s="19" t="n"/>
      <c r="P21" s="19" t="n"/>
      <c r="Q21" s="19" t="n"/>
      <c r="R21" s="13" t="inlineStr">
        <is>
          <t>Table 3 SMD Social role 12 mo, health coach vs usual care plus: 0.07 (0.09 to -0.10); MD 1.4 (0.6 to 2.1). Endpoints reversed; SMD CI includes 0 while the MD CI excludes 0. Part of a systematically corrupted SMD column (reversed CIs, estimates outside CIs, signs opposite to MD). SMD interval unusable for extraction.</t>
        </is>
      </c>
    </row>
    <row r="22" ht="92" customFormat="1" customHeight="1" s="8">
      <c r="A22" s="12" t="inlineStr">
        <is>
          <t>2025::jama.2025.11178::C021</t>
        </is>
      </c>
      <c r="B22" s="12" t="inlineStr">
        <is>
          <t>Social-role 12-month Health Coach versus painTRAINER SMD endpoints reversed</t>
        </is>
      </c>
      <c r="C22" s="12" t="inlineStr">
        <is>
          <t>main article — PDF p. 10, Table 3, social role, 12 months, Health Coach vs painTRAINER SMD.</t>
        </is>
      </c>
      <c r="D22" s="7" t="inlineStr">
        <is>
          <t>retain</t>
        </is>
      </c>
      <c r="E22" s="7" t="inlineStr">
        <is>
          <t>statistical_results</t>
        </is>
      </c>
      <c r="F22" s="7" t="inlineStr">
        <is>
          <t>primary_done</t>
        </is>
      </c>
      <c r="G22" s="12">
        <f>IFERROR(IF(LEN(TRIM(CLEAN(SUBSTITUTE(Setup!$B$2,CHAR(160)," "))))=0,"CHECK REVIEWER ID",IF(OR(A22="",(COUNTIF('C_jama.2024.24764'!$A$2:$A$9,A22)+COUNTIF('C_jama.2024.27643'!$A$2:$A$9,A22)+COUNTIF('C_jama.2025.11178'!$A$2:$A$38,A22)+COUNTIF('C_jama.2025.15185'!$A$2:$A$13,A22)+COUNTIF('C_jama.2025.15440'!$A$2:$A$3,A22)+COUNTIF('C_jama.2025.16450'!$A$2:$A$11,A22)+COUNTIF('C_jama.2025.19563'!$A$2:$A$8,A22)+COUNTIF('C_jama.2025.19843'!$A$2:$A$2,A22)+COUNTIF('C_jama.2025.20765'!$A$2:$A$14,A22)+COUNTIF('C_jama.2025.24175'!$A$2:$A$15,A22)+COUNTIF('C_jama.2025.4390'!$A$2:$A$4,A22)+COUNTIF('C_jama.2025.7583'!$A$2:$A$4,A22)+COUNTIF('C_jama.2025.7710'!$A$2:$A$5,A22)+COUNTIF('C_jama.2025.9110'!$A$2:$A$7,A22)+COUNTIF('C_jama.2025.9663'!$A$2:$A$4,A22))&lt;&gt;1,LEFT(A22,LEN("2025::jama.2025.11178::"))&lt;&gt;"2025::jama.2025.11178::"),"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FIELDS",IF(AND(F22&lt;&gt;"",NOT(OR(F22="no",F22="primary_done"))),"CHECK COMPLETE",IF(F22="primary_done","PRIMARY READY","PRIMARY DRAFT")))))),"CHECK INPUT / KEY")</f>
        <v/>
      </c>
      <c r="H22" s="7" t="inlineStr">
        <is>
          <t>confirmed_issue</t>
        </is>
      </c>
      <c r="I22" s="7" t="inlineStr">
        <is>
          <t>substantive</t>
        </is>
      </c>
      <c r="J22" s="13" t="inlineStr">
        <is>
          <t>direct</t>
        </is>
      </c>
      <c r="K22" s="7">
        <f>IF(AND(OR(D22="retain",D22=""),OR(E22="report_internal_inconsistency",E22="plan_material")),"","not_applicable")</f>
        <v/>
      </c>
      <c r="L22" s="13">
        <f>IF(AND(OR(D22="retain",D22=""),E22="protocol_report"),"","not_applicable")</f>
        <v/>
      </c>
      <c r="M22" s="19" t="n"/>
      <c r="N22" s="19" t="n"/>
      <c r="O22" s="19" t="n"/>
      <c r="P22" s="19" t="n"/>
      <c r="Q22" s="19" t="n"/>
      <c r="R22" s="13" t="inlineStr">
        <is>
          <t>Table 3 SMD Social role 12 mo, health coach vs painTRAINER: 0.27 (0.28 to 0.12); MD 0.1 (-0.7 to 0.9). Endpoints reversed; SMD CI excludes 0 while the MD CI includes 0. Part of a systematically corrupted SMD column (reversed CIs, estimates outside CIs, signs opposite to MD). SMD interval unusable for extraction.</t>
        </is>
      </c>
    </row>
    <row r="23" ht="92" customFormat="1" customHeight="1" s="8">
      <c r="A23" s="11" t="inlineStr">
        <is>
          <t>2025::jama.2025.11178::C022</t>
        </is>
      </c>
      <c r="B23" s="11" t="inlineStr">
        <is>
          <t>Physical-function 3-month painTRAINER SMD endpoints reversed</t>
        </is>
      </c>
      <c r="C23" s="11" t="inlineStr">
        <is>
          <t>main article — PDF p. 10, Table 3, physical function, 3 months, painTRAINER vs usual care plus SMD.</t>
        </is>
      </c>
      <c r="D23" s="7" t="inlineStr">
        <is>
          <t>retain</t>
        </is>
      </c>
      <c r="E23" s="7" t="inlineStr">
        <is>
          <t>statistical_results</t>
        </is>
      </c>
      <c r="F23" s="7" t="inlineStr">
        <is>
          <t>primary_done</t>
        </is>
      </c>
      <c r="G23" s="11">
        <f>IFERROR(IF(LEN(TRIM(CLEAN(SUBSTITUTE(Setup!$B$2,CHAR(160)," "))))=0,"CHECK REVIEWER ID",IF(OR(A23="",(COUNTIF('C_jama.2024.24764'!$A$2:$A$9,A23)+COUNTIF('C_jama.2024.27643'!$A$2:$A$9,A23)+COUNTIF('C_jama.2025.11178'!$A$2:$A$38,A23)+COUNTIF('C_jama.2025.15185'!$A$2:$A$13,A23)+COUNTIF('C_jama.2025.15440'!$A$2:$A$3,A23)+COUNTIF('C_jama.2025.16450'!$A$2:$A$11,A23)+COUNTIF('C_jama.2025.19563'!$A$2:$A$8,A23)+COUNTIF('C_jama.2025.19843'!$A$2:$A$2,A23)+COUNTIF('C_jama.2025.20765'!$A$2:$A$14,A23)+COUNTIF('C_jama.2025.24175'!$A$2:$A$15,A23)+COUNTIF('C_jama.2025.4390'!$A$2:$A$4,A23)+COUNTIF('C_jama.2025.7583'!$A$2:$A$4,A23)+COUNTIF('C_jama.2025.7710'!$A$2:$A$5,A23)+COUNTIF('C_jama.2025.9110'!$A$2:$A$7,A23)+COUNTIF('C_jama.2025.9663'!$A$2:$A$4,A23))&lt;&gt;1,LEFT(A23,LEN("2025::jama.2025.11178::"))&lt;&gt;"2025::jama.2025.11178::"),"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FIELDS",IF(AND(F23&lt;&gt;"",NOT(OR(F23="no",F23="primary_done"))),"CHECK COMPLETE",IF(F23="primary_done","PRIMARY READY","PRIMARY DRAFT")))))),"CHECK INPUT / KEY")</f>
        <v/>
      </c>
      <c r="H23" s="7" t="inlineStr">
        <is>
          <t>confirmed_issue</t>
        </is>
      </c>
      <c r="I23" s="7" t="inlineStr">
        <is>
          <t>substantive</t>
        </is>
      </c>
      <c r="J23" s="13" t="inlineStr">
        <is>
          <t>direct</t>
        </is>
      </c>
      <c r="K23" s="7">
        <f>IF(AND(OR(D23="retain",D23=""),OR(E23="report_internal_inconsistency",E23="plan_material")),"","not_applicable")</f>
        <v/>
      </c>
      <c r="L23" s="13">
        <f>IF(AND(OR(D23="retain",D23=""),E23="protocol_report"),"","not_applicable")</f>
        <v/>
      </c>
      <c r="M23" s="19" t="n"/>
      <c r="N23" s="19" t="n"/>
      <c r="O23" s="19" t="n"/>
      <c r="P23" s="19" t="n"/>
      <c r="Q23" s="19" t="n"/>
      <c r="R23" s="13" t="inlineStr">
        <is>
          <t>Table 3 SMD Physical function 3 mo, painTRAINER vs usual care plus: 0.09 (0.16 to 0.07); MD 0.4 (-0.1 to 0.9). Endpoints reversed; SMD CI excludes 0 while the MD CI includes 0. Part of a systematically corrupted SMD column (reversed CIs, estimates outside CIs, signs opposite to MD). SMD interval unusable for extraction.</t>
        </is>
      </c>
    </row>
    <row r="24" ht="92" customFormat="1" customHeight="1" s="8">
      <c r="A24" s="12" t="inlineStr">
        <is>
          <t>2025::jama.2025.11178::C023</t>
        </is>
      </c>
      <c r="B24" s="12" t="inlineStr">
        <is>
          <t>Physical-function 3-month Health Coach SMD endpoints reversed</t>
        </is>
      </c>
      <c r="C24" s="12" t="inlineStr">
        <is>
          <t>main article — PDF p. 10, Table 3, physical function, 3 months, Health Coach vs usual care plus SMD.</t>
        </is>
      </c>
      <c r="D24" s="7" t="inlineStr">
        <is>
          <t>retain</t>
        </is>
      </c>
      <c r="E24" s="7" t="inlineStr">
        <is>
          <t>statistical_results</t>
        </is>
      </c>
      <c r="F24" s="7" t="inlineStr">
        <is>
          <t>primary_done</t>
        </is>
      </c>
      <c r="G24" s="12">
        <f>IFERROR(IF(LEN(TRIM(CLEAN(SUBSTITUTE(Setup!$B$2,CHAR(160)," "))))=0,"CHECK REVIEWER ID",IF(OR(A24="",(COUNTIF('C_jama.2024.24764'!$A$2:$A$9,A24)+COUNTIF('C_jama.2024.27643'!$A$2:$A$9,A24)+COUNTIF('C_jama.2025.11178'!$A$2:$A$38,A24)+COUNTIF('C_jama.2025.15185'!$A$2:$A$13,A24)+COUNTIF('C_jama.2025.15440'!$A$2:$A$3,A24)+COUNTIF('C_jama.2025.16450'!$A$2:$A$11,A24)+COUNTIF('C_jama.2025.19563'!$A$2:$A$8,A24)+COUNTIF('C_jama.2025.19843'!$A$2:$A$2,A24)+COUNTIF('C_jama.2025.20765'!$A$2:$A$14,A24)+COUNTIF('C_jama.2025.24175'!$A$2:$A$15,A24)+COUNTIF('C_jama.2025.4390'!$A$2:$A$4,A24)+COUNTIF('C_jama.2025.7583'!$A$2:$A$4,A24)+COUNTIF('C_jama.2025.7710'!$A$2:$A$5,A24)+COUNTIF('C_jama.2025.9110'!$A$2:$A$7,A24)+COUNTIF('C_jama.2025.9663'!$A$2:$A$4,A24))&lt;&gt;1,LEFT(A24,LEN("2025::jama.2025.11178::"))&lt;&gt;"2025::jama.2025.11178::"),"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FIELDS",IF(AND(F24&lt;&gt;"",NOT(OR(F24="no",F24="primary_done"))),"CHECK COMPLETE",IF(F24="primary_done","PRIMARY READY","PRIMARY DRAFT")))))),"CHECK INPUT / KEY")</f>
        <v/>
      </c>
      <c r="H24" s="7" t="inlineStr">
        <is>
          <t>confirmed_issue</t>
        </is>
      </c>
      <c r="I24" s="7" t="inlineStr">
        <is>
          <t>substantive</t>
        </is>
      </c>
      <c r="J24" s="13" t="inlineStr">
        <is>
          <t>direct</t>
        </is>
      </c>
      <c r="K24" s="7">
        <f>IF(AND(OR(D24="retain",D24=""),OR(E24="report_internal_inconsistency",E24="plan_material")),"","not_applicable")</f>
        <v/>
      </c>
      <c r="L24" s="13">
        <f>IF(AND(OR(D24="retain",D24=""),E24="protocol_report"),"","not_applicable")</f>
        <v/>
      </c>
      <c r="M24" s="19" t="n"/>
      <c r="N24" s="19" t="n"/>
      <c r="O24" s="19" t="n"/>
      <c r="P24" s="19" t="n"/>
      <c r="Q24" s="19" t="n"/>
      <c r="R24" s="13" t="inlineStr">
        <is>
          <t>Table 3 SMD Physical function 3 mo, health coach vs usual care plus: -0.02 (0.05 to -0.04); MD 0.7 (0.2 to 1.2). Endpoints reversed; SMD sign opposite to MD; SMD CI includes 0 while the MD CI excludes 0. Part of a systematically corrupted SMD column (reversed CIs, estimates outside CIs, signs opposite to MD). SMD interval unusable for extraction.</t>
        </is>
      </c>
    </row>
    <row r="25" ht="92" customFormat="1" customHeight="1" s="8">
      <c r="A25" s="11" t="inlineStr">
        <is>
          <t>2025::jama.2025.11178::C024</t>
        </is>
      </c>
      <c r="B25" s="11" t="inlineStr">
        <is>
          <t>Physical-function 3-month Health Coach versus painTRAINER SMD endpoints reversed</t>
        </is>
      </c>
      <c r="C25" s="11" t="inlineStr">
        <is>
          <t>main article — PDF p. 10, Table 3, physical function, 3 months, Health Coach vs painTRAINER SMD.</t>
        </is>
      </c>
      <c r="D25" s="7" t="inlineStr">
        <is>
          <t>retain</t>
        </is>
      </c>
      <c r="E25" s="7" t="inlineStr">
        <is>
          <t>statistical_results</t>
        </is>
      </c>
      <c r="F25" s="7" t="inlineStr">
        <is>
          <t>primary_done</t>
        </is>
      </c>
      <c r="G25" s="11">
        <f>IFERROR(IF(LEN(TRIM(CLEAN(SUBSTITUTE(Setup!$B$2,CHAR(160)," "))))=0,"CHECK REVIEWER ID",IF(OR(A25="",(COUNTIF('C_jama.2024.24764'!$A$2:$A$9,A25)+COUNTIF('C_jama.2024.27643'!$A$2:$A$9,A25)+COUNTIF('C_jama.2025.11178'!$A$2:$A$38,A25)+COUNTIF('C_jama.2025.15185'!$A$2:$A$13,A25)+COUNTIF('C_jama.2025.15440'!$A$2:$A$3,A25)+COUNTIF('C_jama.2025.16450'!$A$2:$A$11,A25)+COUNTIF('C_jama.2025.19563'!$A$2:$A$8,A25)+COUNTIF('C_jama.2025.19843'!$A$2:$A$2,A25)+COUNTIF('C_jama.2025.20765'!$A$2:$A$14,A25)+COUNTIF('C_jama.2025.24175'!$A$2:$A$15,A25)+COUNTIF('C_jama.2025.4390'!$A$2:$A$4,A25)+COUNTIF('C_jama.2025.7583'!$A$2:$A$4,A25)+COUNTIF('C_jama.2025.7710'!$A$2:$A$5,A25)+COUNTIF('C_jama.2025.9110'!$A$2:$A$7,A25)+COUNTIF('C_jama.2025.9663'!$A$2:$A$4,A25))&lt;&gt;1,LEFT(A25,LEN("2025::jama.2025.11178::"))&lt;&gt;"2025::jama.2025.11178::"),"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FIELDS",IF(AND(F25&lt;&gt;"",NOT(OR(F25="no",F25="primary_done"))),"CHECK COMPLETE",IF(F25="primary_done","PRIMARY READY","PRIMARY DRAFT")))))),"CHECK INPUT / KEY")</f>
        <v/>
      </c>
      <c r="H25" s="7" t="inlineStr">
        <is>
          <t>confirmed_issue</t>
        </is>
      </c>
      <c r="I25" s="7" t="inlineStr">
        <is>
          <t>substantive</t>
        </is>
      </c>
      <c r="J25" s="13" t="inlineStr">
        <is>
          <t>direct</t>
        </is>
      </c>
      <c r="K25" s="7">
        <f>IF(AND(OR(D25="retain",D25=""),OR(E25="report_internal_inconsistency",E25="plan_material")),"","not_applicable")</f>
        <v/>
      </c>
      <c r="L25" s="13">
        <f>IF(AND(OR(D25="retain",D25=""),E25="protocol_report"),"","not_applicable")</f>
        <v/>
      </c>
      <c r="M25" s="19" t="n"/>
      <c r="N25" s="19" t="n"/>
      <c r="O25" s="19" t="n"/>
      <c r="P25" s="19" t="n"/>
      <c r="Q25" s="19" t="n"/>
      <c r="R25" s="13" t="inlineStr">
        <is>
          <t>Table 3 SMD Physical function 3 mo, health coach vs painTRAINER: 0.16 (0.22 to 0.15); MD 0.3 (-0.2 to 0.8). Endpoints reversed; SMD CI excludes 0 while the MD CI includes 0. Part of a systematically corrupted SMD column (reversed CIs, estimates outside CIs, signs opposite to MD). SMD interval unusable for extraction.</t>
        </is>
      </c>
    </row>
    <row r="26" ht="92" customFormat="1" customHeight="1" s="8">
      <c r="A26" s="12" t="inlineStr">
        <is>
          <t>2025::jama.2025.11178::C025</t>
        </is>
      </c>
      <c r="B26" s="12" t="inlineStr">
        <is>
          <t>Physical-function 6-month painTRAINER SMD endpoints reversed and exclude estimate</t>
        </is>
      </c>
      <c r="C26" s="12" t="inlineStr">
        <is>
          <t>main article — PDF p. 10, Table 3, physical function, 6 months, painTRAINER vs usual care plus SMD.</t>
        </is>
      </c>
      <c r="D26" s="7" t="inlineStr">
        <is>
          <t>retain</t>
        </is>
      </c>
      <c r="E26" s="7" t="inlineStr">
        <is>
          <t>statistical_results</t>
        </is>
      </c>
      <c r="F26" s="7" t="inlineStr">
        <is>
          <t>primary_done</t>
        </is>
      </c>
      <c r="G26" s="12">
        <f>IFERROR(IF(LEN(TRIM(CLEAN(SUBSTITUTE(Setup!$B$2,CHAR(160)," "))))=0,"CHECK REVIEWER ID",IF(OR(A26="",(COUNTIF('C_jama.2024.24764'!$A$2:$A$9,A26)+COUNTIF('C_jama.2024.27643'!$A$2:$A$9,A26)+COUNTIF('C_jama.2025.11178'!$A$2:$A$38,A26)+COUNTIF('C_jama.2025.15185'!$A$2:$A$13,A26)+COUNTIF('C_jama.2025.15440'!$A$2:$A$3,A26)+COUNTIF('C_jama.2025.16450'!$A$2:$A$11,A26)+COUNTIF('C_jama.2025.19563'!$A$2:$A$8,A26)+COUNTIF('C_jama.2025.19843'!$A$2:$A$2,A26)+COUNTIF('C_jama.2025.20765'!$A$2:$A$14,A26)+COUNTIF('C_jama.2025.24175'!$A$2:$A$15,A26)+COUNTIF('C_jama.2025.4390'!$A$2:$A$4,A26)+COUNTIF('C_jama.2025.7583'!$A$2:$A$4,A26)+COUNTIF('C_jama.2025.7710'!$A$2:$A$5,A26)+COUNTIF('C_jama.2025.9110'!$A$2:$A$7,A26)+COUNTIF('C_jama.2025.9663'!$A$2:$A$4,A26))&lt;&gt;1,LEFT(A26,LEN("2025::jama.2025.11178::"))&lt;&gt;"2025::jama.2025.11178::"),"CHECK KEY",IF(OR(AND(NOT(AND(D26="retain",E26="statistical_results")),H26&lt;&gt;"",H26&lt;&gt;"not_applicable"),AND(NOT(AND(D26="retain",E26="statistical_results")),I26&lt;&gt;"",I26&lt;&gt;"not_applicable"),AND(NOT(AND(D26="retain",E26="statistical_results")),J26&lt;&gt;"",J26&lt;&gt;"not_applicable"),AND(NOT(AND(D26="retain",OR(E26="report_internal_inconsistency",E26="plan_material"))),K26&lt;&gt;"",K26&lt;&gt;"not_applicable"),AND(NOT(AND(D26="retain",E26="protocol_report")),L26&lt;&gt;"",L26&lt;&gt;"not_applicable")),"CLEAR INACTIVE VALUES",IF(OR(NOT(OR(D26="retain",D26="exclude",D26="discuss")),NOT(OR(E26="statistical_results",E26="report_internal_inconsistency",E26="plan_material",E26="protocol_report")),AND(AND(D26="retain",E26="statistical_results"),NOT(OR(H26="confirmed_issue",H26="probable_issue",H26="not_issue",H26="indeterminate"))),AND(AND(D26="retain",E26="statistical_results"),NOT(OR(I26="substantive",I26="minor_presentation",I26="indeterminate"))),AND(AND(D26="retain",E26="statistical_results"),J26&lt;&gt;"",NOT(OR(J26="direct",J26="possible",J26="unlikely",J26="unknown"))),AND(AND(D26="retain",OR(E26="report_internal_inconsistency",E26="plan_material")),NOT(OR(K26="substantive_inconsistency",K26="minor_presentation",K26="non_inconsistency",K26="indeterminate"))),AND(AND(D26="retain",E26="protocol_report"),L26&lt;&gt;"",NOT(OR(L26="substantive_difference",L26="minor_presentation",L26="version_timing",L26="non_inconsistency",L26="indeterminate")))),"CHECK FIELDS",IF(AND(F26&lt;&gt;"",NOT(OR(F26="no",F26="primary_done"))),"CHECK COMPLETE",IF(F26="primary_done","PRIMARY READY","PRIMARY DRAFT")))))),"CHECK INPUT / KEY")</f>
        <v/>
      </c>
      <c r="H26" s="7" t="inlineStr">
        <is>
          <t>confirmed_issue</t>
        </is>
      </c>
      <c r="I26" s="7" t="inlineStr">
        <is>
          <t>substantive</t>
        </is>
      </c>
      <c r="J26" s="13" t="inlineStr">
        <is>
          <t>direct</t>
        </is>
      </c>
      <c r="K26" s="7">
        <f>IF(AND(OR(D26="retain",D26=""),OR(E26="report_internal_inconsistency",E26="plan_material")),"","not_applicable")</f>
        <v/>
      </c>
      <c r="L26" s="13">
        <f>IF(AND(OR(D26="retain",D26=""),E26="protocol_report"),"","not_applicable")</f>
        <v/>
      </c>
      <c r="M26" s="19" t="n"/>
      <c r="N26" s="19" t="n"/>
      <c r="O26" s="19" t="n"/>
      <c r="P26" s="19" t="n"/>
      <c r="Q26" s="19" t="n"/>
      <c r="R26" s="13" t="inlineStr">
        <is>
          <t>Table 3 SMD Physical function 6 mo, painTRAINER vs usual care plus: 0.15 (0.09 to -0.06); MD 0.6 (0.1 to 1.2). Endpoints reversed and the sorted CI (-0.06, 0.09) excludes 0.15; SMD CI includes 0 while the MD CI excludes 0. Part of a systematically corrupted SMD column (reversed CIs, estimates outside CIs, signs opposite to MD). SMD interval unusable for extraction.</t>
        </is>
      </c>
    </row>
    <row r="27" ht="92" customFormat="1" customHeight="1" s="8">
      <c r="A27" s="11" t="inlineStr">
        <is>
          <t>2025::jama.2025.11178::C026</t>
        </is>
      </c>
      <c r="B27" s="11" t="inlineStr">
        <is>
          <t>Physical-function 6-month Health Coach SMD endpoints reversed</t>
        </is>
      </c>
      <c r="C27" s="11" t="inlineStr">
        <is>
          <t>main article — PDF p. 10, Table 3, physical function, 6 months, Health Coach vs usual care plus SMD.</t>
        </is>
      </c>
      <c r="D27" s="7" t="inlineStr">
        <is>
          <t>retain</t>
        </is>
      </c>
      <c r="E27" s="7" t="inlineStr">
        <is>
          <t>statistical_results</t>
        </is>
      </c>
      <c r="F27" s="7" t="inlineStr">
        <is>
          <t>primary_done</t>
        </is>
      </c>
      <c r="G27" s="11">
        <f>IFERROR(IF(LEN(TRIM(CLEAN(SUBSTITUTE(Setup!$B$2,CHAR(160)," "))))=0,"CHECK REVIEWER ID",IF(OR(A27="",(COUNTIF('C_jama.2024.24764'!$A$2:$A$9,A27)+COUNTIF('C_jama.2024.27643'!$A$2:$A$9,A27)+COUNTIF('C_jama.2025.11178'!$A$2:$A$38,A27)+COUNTIF('C_jama.2025.15185'!$A$2:$A$13,A27)+COUNTIF('C_jama.2025.15440'!$A$2:$A$3,A27)+COUNTIF('C_jama.2025.16450'!$A$2:$A$11,A27)+COUNTIF('C_jama.2025.19563'!$A$2:$A$8,A27)+COUNTIF('C_jama.2025.19843'!$A$2:$A$2,A27)+COUNTIF('C_jama.2025.20765'!$A$2:$A$14,A27)+COUNTIF('C_jama.2025.24175'!$A$2:$A$15,A27)+COUNTIF('C_jama.2025.4390'!$A$2:$A$4,A27)+COUNTIF('C_jama.2025.7583'!$A$2:$A$4,A27)+COUNTIF('C_jama.2025.7710'!$A$2:$A$5,A27)+COUNTIF('C_jama.2025.9110'!$A$2:$A$7,A27)+COUNTIF('C_jama.2025.9663'!$A$2:$A$4,A27))&lt;&gt;1,LEFT(A27,LEN("2025::jama.2025.11178::"))&lt;&gt;"2025::jama.2025.11178::"),"CHECK KEY",IF(OR(AND(NOT(AND(D27="retain",E27="statistical_results")),H27&lt;&gt;"",H27&lt;&gt;"not_applicable"),AND(NOT(AND(D27="retain",E27="statistical_results")),I27&lt;&gt;"",I27&lt;&gt;"not_applicable"),AND(NOT(AND(D27="retain",E27="statistical_results")),J27&lt;&gt;"",J27&lt;&gt;"not_applicable"),AND(NOT(AND(D27="retain",OR(E27="report_internal_inconsistency",E27="plan_material"))),K27&lt;&gt;"",K27&lt;&gt;"not_applicable"),AND(NOT(AND(D27="retain",E27="protocol_report")),L27&lt;&gt;"",L27&lt;&gt;"not_applicable")),"CLEAR INACTIVE VALUES",IF(OR(NOT(OR(D27="retain",D27="exclude",D27="discuss")),NOT(OR(E27="statistical_results",E27="report_internal_inconsistency",E27="plan_material",E27="protocol_report")),AND(AND(D27="retain",E27="statistical_results"),NOT(OR(H27="confirmed_issue",H27="probable_issue",H27="not_issue",H27="indeterminate"))),AND(AND(D27="retain",E27="statistical_results"),NOT(OR(I27="substantive",I27="minor_presentation",I27="indeterminate"))),AND(AND(D27="retain",E27="statistical_results"),J27&lt;&gt;"",NOT(OR(J27="direct",J27="possible",J27="unlikely",J27="unknown"))),AND(AND(D27="retain",OR(E27="report_internal_inconsistency",E27="plan_material")),NOT(OR(K27="substantive_inconsistency",K27="minor_presentation",K27="non_inconsistency",K27="indeterminate"))),AND(AND(D27="retain",E27="protocol_report"),L27&lt;&gt;"",NOT(OR(L27="substantive_difference",L27="minor_presentation",L27="version_timing",L27="non_inconsistency",L27="indeterminate")))),"CHECK FIELDS",IF(AND(F27&lt;&gt;"",NOT(OR(F27="no",F27="primary_done"))),"CHECK COMPLETE",IF(F27="primary_done","PRIMARY READY","PRIMARY DRAFT")))))),"CHECK INPUT / KEY")</f>
        <v/>
      </c>
      <c r="H27" s="7" t="inlineStr">
        <is>
          <t>confirmed_issue</t>
        </is>
      </c>
      <c r="I27" s="7" t="inlineStr">
        <is>
          <t>substantive</t>
        </is>
      </c>
      <c r="J27" s="13" t="inlineStr">
        <is>
          <t>direct</t>
        </is>
      </c>
      <c r="K27" s="7">
        <f>IF(AND(OR(D27="retain",D27=""),OR(E27="report_internal_inconsistency",E27="plan_material")),"","not_applicable")</f>
        <v/>
      </c>
      <c r="L27" s="13">
        <f>IF(AND(OR(D27="retain",D27=""),E27="protocol_report"),"","not_applicable")</f>
        <v/>
      </c>
      <c r="M27" s="19" t="n"/>
      <c r="N27" s="19" t="n"/>
      <c r="O27" s="19" t="n"/>
      <c r="P27" s="19" t="n"/>
      <c r="Q27" s="19" t="n"/>
      <c r="R27" s="13" t="inlineStr">
        <is>
          <t>Table 3 SMD Physical function 6 mo, health coach vs usual care plus: 0.02 (0.03 to -0.18); MD 0.4 (-0.1 to 0.9). Endpoints reversed. Part of a systematically corrupted SMD column (reversed CIs, estimates outside CIs, signs opposite to MD). SMD interval unusable for extraction.</t>
        </is>
      </c>
    </row>
    <row r="28" ht="92" customFormat="1" customHeight="1" s="8">
      <c r="A28" s="12" t="inlineStr">
        <is>
          <t>2025::jama.2025.11178::C027</t>
        </is>
      </c>
      <c r="B28" s="12" t="inlineStr">
        <is>
          <t>Physical-function 6-month Health Coach versus painTRAINER SMD endpoints reversed and exclude estimate</t>
        </is>
      </c>
      <c r="C28" s="12" t="inlineStr">
        <is>
          <t>main article — PDF p. 10, Table 3, physical function, 6 months, Health Coach vs painTRAINER SMD.</t>
        </is>
      </c>
      <c r="D28" s="7" t="inlineStr">
        <is>
          <t>retain</t>
        </is>
      </c>
      <c r="E28" s="7" t="inlineStr">
        <is>
          <t>statistical_results</t>
        </is>
      </c>
      <c r="F28" s="7" t="inlineStr">
        <is>
          <t>primary_done</t>
        </is>
      </c>
      <c r="G28" s="12">
        <f>IFERROR(IF(LEN(TRIM(CLEAN(SUBSTITUTE(Setup!$B$2,CHAR(160)," "))))=0,"CHECK REVIEWER ID",IF(OR(A28="",(COUNTIF('C_jama.2024.24764'!$A$2:$A$9,A28)+COUNTIF('C_jama.2024.27643'!$A$2:$A$9,A28)+COUNTIF('C_jama.2025.11178'!$A$2:$A$38,A28)+COUNTIF('C_jama.2025.15185'!$A$2:$A$13,A28)+COUNTIF('C_jama.2025.15440'!$A$2:$A$3,A28)+COUNTIF('C_jama.2025.16450'!$A$2:$A$11,A28)+COUNTIF('C_jama.2025.19563'!$A$2:$A$8,A28)+COUNTIF('C_jama.2025.19843'!$A$2:$A$2,A28)+COUNTIF('C_jama.2025.20765'!$A$2:$A$14,A28)+COUNTIF('C_jama.2025.24175'!$A$2:$A$15,A28)+COUNTIF('C_jama.2025.4390'!$A$2:$A$4,A28)+COUNTIF('C_jama.2025.7583'!$A$2:$A$4,A28)+COUNTIF('C_jama.2025.7710'!$A$2:$A$5,A28)+COUNTIF('C_jama.2025.9110'!$A$2:$A$7,A28)+COUNTIF('C_jama.2025.9663'!$A$2:$A$4,A28))&lt;&gt;1,LEFT(A28,LEN("2025::jama.2025.11178::"))&lt;&gt;"2025::jama.2025.11178::"),"CHECK KEY",IF(OR(AND(NOT(AND(D28="retain",E28="statistical_results")),H28&lt;&gt;"",H28&lt;&gt;"not_applicable"),AND(NOT(AND(D28="retain",E28="statistical_results")),I28&lt;&gt;"",I28&lt;&gt;"not_applicable"),AND(NOT(AND(D28="retain",E28="statistical_results")),J28&lt;&gt;"",J28&lt;&gt;"not_applicable"),AND(NOT(AND(D28="retain",OR(E28="report_internal_inconsistency",E28="plan_material"))),K28&lt;&gt;"",K28&lt;&gt;"not_applicable"),AND(NOT(AND(D28="retain",E28="protocol_report")),L28&lt;&gt;"",L28&lt;&gt;"not_applicable")),"CLEAR INACTIVE VALUES",IF(OR(NOT(OR(D28="retain",D28="exclude",D28="discuss")),NOT(OR(E28="statistical_results",E28="report_internal_inconsistency",E28="plan_material",E28="protocol_report")),AND(AND(D28="retain",E28="statistical_results"),NOT(OR(H28="confirmed_issue",H28="probable_issue",H28="not_issue",H28="indeterminate"))),AND(AND(D28="retain",E28="statistical_results"),NOT(OR(I28="substantive",I28="minor_presentation",I28="indeterminate"))),AND(AND(D28="retain",E28="statistical_results"),J28&lt;&gt;"",NOT(OR(J28="direct",J28="possible",J28="unlikely",J28="unknown"))),AND(AND(D28="retain",OR(E28="report_internal_inconsistency",E28="plan_material")),NOT(OR(K28="substantive_inconsistency",K28="minor_presentation",K28="non_inconsistency",K28="indeterminate"))),AND(AND(D28="retain",E28="protocol_report"),L28&lt;&gt;"",NOT(OR(L28="substantive_difference",L28="minor_presentation",L28="version_timing",L28="non_inconsistency",L28="indeterminate")))),"CHECK FIELDS",IF(AND(F28&lt;&gt;"",NOT(OR(F28="no",F28="primary_done"))),"CHECK COMPLETE",IF(F28="primary_done","PRIMARY READY","PRIMARY DRAFT")))))),"CHECK INPUT / KEY")</f>
        <v/>
      </c>
      <c r="H28" s="7" t="inlineStr">
        <is>
          <t>confirmed_issue</t>
        </is>
      </c>
      <c r="I28" s="7" t="inlineStr">
        <is>
          <t>substantive</t>
        </is>
      </c>
      <c r="J28" s="13" t="inlineStr">
        <is>
          <t>direct</t>
        </is>
      </c>
      <c r="K28" s="7">
        <f>IF(AND(OR(D28="retain",D28=""),OR(E28="report_internal_inconsistency",E28="plan_material")),"","not_applicable")</f>
        <v/>
      </c>
      <c r="L28" s="13">
        <f>IF(AND(OR(D28="retain",D28=""),E28="protocol_report"),"","not_applicable")</f>
        <v/>
      </c>
      <c r="M28" s="19" t="n"/>
      <c r="N28" s="19" t="n"/>
      <c r="O28" s="19" t="n"/>
      <c r="P28" s="19" t="n"/>
      <c r="Q28" s="19" t="n"/>
      <c r="R28" s="13" t="inlineStr">
        <is>
          <t>Table 3 SMD Physical function 6 mo, health coach vs painTRAINER: 0.22 (0.16 to 0.05); MD -0.3 (-0.8 to 0.3). Endpoints reversed; sorted CI excludes 0.22; SMD sign opposite to MD; SMD CI excludes 0 while the MD CI includes 0. Part of a systematically corrupted SMD column (reversed CIs, estimates outside CIs, signs opposite to MD). SMD interval unusable for extraction.</t>
        </is>
      </c>
    </row>
    <row r="29" ht="92" customFormat="1" customHeight="1" s="8">
      <c r="A29" s="11" t="inlineStr">
        <is>
          <t>2025::jama.2025.11178::C028</t>
        </is>
      </c>
      <c r="B29" s="11" t="inlineStr">
        <is>
          <t>Physical-function 12-month painTRAINER SMD endpoints reversed and exclude estimate</t>
        </is>
      </c>
      <c r="C29" s="11" t="inlineStr">
        <is>
          <t>main article — PDF p. 10, Table 3, physical function, 12 months, painTRAINER vs usual care plus SMD.</t>
        </is>
      </c>
      <c r="D29" s="7" t="inlineStr">
        <is>
          <t>retain</t>
        </is>
      </c>
      <c r="E29" s="7" t="inlineStr">
        <is>
          <t>statistical_results</t>
        </is>
      </c>
      <c r="F29" s="7" t="inlineStr">
        <is>
          <t>primary_done</t>
        </is>
      </c>
      <c r="G29" s="11">
        <f>IFERROR(IF(LEN(TRIM(CLEAN(SUBSTITUTE(Setup!$B$2,CHAR(160)," "))))=0,"CHECK REVIEWER ID",IF(OR(A29="",(COUNTIF('C_jama.2024.24764'!$A$2:$A$9,A29)+COUNTIF('C_jama.2024.27643'!$A$2:$A$9,A29)+COUNTIF('C_jama.2025.11178'!$A$2:$A$38,A29)+COUNTIF('C_jama.2025.15185'!$A$2:$A$13,A29)+COUNTIF('C_jama.2025.15440'!$A$2:$A$3,A29)+COUNTIF('C_jama.2025.16450'!$A$2:$A$11,A29)+COUNTIF('C_jama.2025.19563'!$A$2:$A$8,A29)+COUNTIF('C_jama.2025.19843'!$A$2:$A$2,A29)+COUNTIF('C_jama.2025.20765'!$A$2:$A$14,A29)+COUNTIF('C_jama.2025.24175'!$A$2:$A$15,A29)+COUNTIF('C_jama.2025.4390'!$A$2:$A$4,A29)+COUNTIF('C_jama.2025.7583'!$A$2:$A$4,A29)+COUNTIF('C_jama.2025.7710'!$A$2:$A$5,A29)+COUNTIF('C_jama.2025.9110'!$A$2:$A$7,A29)+COUNTIF('C_jama.2025.9663'!$A$2:$A$4,A29))&lt;&gt;1,LEFT(A29,LEN("2025::jama.2025.11178::"))&lt;&gt;"2025::jama.2025.11178::"),"CHECK KEY",IF(OR(AND(NOT(AND(D29="retain",E29="statistical_results")),H29&lt;&gt;"",H29&lt;&gt;"not_applicable"),AND(NOT(AND(D29="retain",E29="statistical_results")),I29&lt;&gt;"",I29&lt;&gt;"not_applicable"),AND(NOT(AND(D29="retain",E29="statistical_results")),J29&lt;&gt;"",J29&lt;&gt;"not_applicable"),AND(NOT(AND(D29="retain",OR(E29="report_internal_inconsistency",E29="plan_material"))),K29&lt;&gt;"",K29&lt;&gt;"not_applicable"),AND(NOT(AND(D29="retain",E29="protocol_report")),L29&lt;&gt;"",L29&lt;&gt;"not_applicable")),"CLEAR INACTIVE VALUES",IF(OR(NOT(OR(D29="retain",D29="exclude",D29="discuss")),NOT(OR(E29="statistical_results",E29="report_internal_inconsistency",E29="plan_material",E29="protocol_report")),AND(AND(D29="retain",E29="statistical_results"),NOT(OR(H29="confirmed_issue",H29="probable_issue",H29="not_issue",H29="indeterminate"))),AND(AND(D29="retain",E29="statistical_results"),NOT(OR(I29="substantive",I29="minor_presentation",I29="indeterminate"))),AND(AND(D29="retain",E29="statistical_results"),J29&lt;&gt;"",NOT(OR(J29="direct",J29="possible",J29="unlikely",J29="unknown"))),AND(AND(D29="retain",OR(E29="report_internal_inconsistency",E29="plan_material")),NOT(OR(K29="substantive_inconsistency",K29="minor_presentation",K29="non_inconsistency",K29="indeterminate"))),AND(AND(D29="retain",E29="protocol_report"),L29&lt;&gt;"",NOT(OR(L29="substantive_difference",L29="minor_presentation",L29="version_timing",L29="non_inconsistency",L29="indeterminate")))),"CHECK FIELDS",IF(AND(F29&lt;&gt;"",NOT(OR(F29="no",F29="primary_done"))),"CHECK COMPLETE",IF(F29="primary_done","PRIMARY READY","PRIMARY DRAFT")))))),"CHECK INPUT / KEY")</f>
        <v/>
      </c>
      <c r="H29" s="7" t="inlineStr">
        <is>
          <t>confirmed_issue</t>
        </is>
      </c>
      <c r="I29" s="7" t="inlineStr">
        <is>
          <t>substantive</t>
        </is>
      </c>
      <c r="J29" s="13" t="inlineStr">
        <is>
          <t>direct</t>
        </is>
      </c>
      <c r="K29" s="7">
        <f>IF(AND(OR(D29="retain",D29=""),OR(E29="report_internal_inconsistency",E29="plan_material")),"","not_applicable")</f>
        <v/>
      </c>
      <c r="L29" s="13">
        <f>IF(AND(OR(D29="retain",D29=""),E29="protocol_report"),"","not_applicable")</f>
        <v/>
      </c>
      <c r="M29" s="19" t="n"/>
      <c r="N29" s="19" t="n"/>
      <c r="O29" s="19" t="n"/>
      <c r="P29" s="19" t="n"/>
      <c r="Q29" s="19" t="n"/>
      <c r="R29" s="13" t="inlineStr">
        <is>
          <t>Table 3 SMD Physical function 12 mo, painTRAINER vs usual care plus: 0.20 (0.18 to -0.03); MD 0.9 (0.3 to 1.5). Endpoints reversed; sorted CI excludes 0.20; SMD CI includes 0 while the MD CI excludes 0. Part of a systematically corrupted SMD column (reversed CIs, estimates outside CIs, signs opposite to MD). SMD interval unusable for extraction.</t>
        </is>
      </c>
    </row>
    <row r="30" ht="92" customFormat="1" customHeight="1" s="8">
      <c r="A30" s="12" t="inlineStr">
        <is>
          <t>2025::jama.2025.11178::C029</t>
        </is>
      </c>
      <c r="B30" s="12" t="inlineStr">
        <is>
          <t>Physical-function 12-month Health Coach SMD endpoints reversed and exclude estimate</t>
        </is>
      </c>
      <c r="C30" s="12" t="inlineStr">
        <is>
          <t>main article — PDF p. 10, Table 3, physical function, 12 months, Health Coach vs usual care plus SMD.</t>
        </is>
      </c>
      <c r="D30" s="7" t="inlineStr">
        <is>
          <t>retain</t>
        </is>
      </c>
      <c r="E30" s="7" t="inlineStr">
        <is>
          <t>statistical_results</t>
        </is>
      </c>
      <c r="F30" s="7" t="inlineStr">
        <is>
          <t>primary_done</t>
        </is>
      </c>
      <c r="G30" s="12">
        <f>IFERROR(IF(LEN(TRIM(CLEAN(SUBSTITUTE(Setup!$B$2,CHAR(160)," "))))=0,"CHECK REVIEWER ID",IF(OR(A30="",(COUNTIF('C_jama.2024.24764'!$A$2:$A$9,A30)+COUNTIF('C_jama.2024.27643'!$A$2:$A$9,A30)+COUNTIF('C_jama.2025.11178'!$A$2:$A$38,A30)+COUNTIF('C_jama.2025.15185'!$A$2:$A$13,A30)+COUNTIF('C_jama.2025.15440'!$A$2:$A$3,A30)+COUNTIF('C_jama.2025.16450'!$A$2:$A$11,A30)+COUNTIF('C_jama.2025.19563'!$A$2:$A$8,A30)+COUNTIF('C_jama.2025.19843'!$A$2:$A$2,A30)+COUNTIF('C_jama.2025.20765'!$A$2:$A$14,A30)+COUNTIF('C_jama.2025.24175'!$A$2:$A$15,A30)+COUNTIF('C_jama.2025.4390'!$A$2:$A$4,A30)+COUNTIF('C_jama.2025.7583'!$A$2:$A$4,A30)+COUNTIF('C_jama.2025.7710'!$A$2:$A$5,A30)+COUNTIF('C_jama.2025.9110'!$A$2:$A$7,A30)+COUNTIF('C_jama.2025.9663'!$A$2:$A$4,A30))&lt;&gt;1,LEFT(A30,LEN("2025::jama.2025.11178::"))&lt;&gt;"2025::jama.2025.11178::"),"CHECK KEY",IF(OR(AND(NOT(AND(D30="retain",E30="statistical_results")),H30&lt;&gt;"",H30&lt;&gt;"not_applicable"),AND(NOT(AND(D30="retain",E30="statistical_results")),I30&lt;&gt;"",I30&lt;&gt;"not_applicable"),AND(NOT(AND(D30="retain",E30="statistical_results")),J30&lt;&gt;"",J30&lt;&gt;"not_applicable"),AND(NOT(AND(D30="retain",OR(E30="report_internal_inconsistency",E30="plan_material"))),K30&lt;&gt;"",K30&lt;&gt;"not_applicable"),AND(NOT(AND(D30="retain",E30="protocol_report")),L30&lt;&gt;"",L30&lt;&gt;"not_applicable")),"CLEAR INACTIVE VALUES",IF(OR(NOT(OR(D30="retain",D30="exclude",D30="discuss")),NOT(OR(E30="statistical_results",E30="report_internal_inconsistency",E30="plan_material",E30="protocol_report")),AND(AND(D30="retain",E30="statistical_results"),NOT(OR(H30="confirmed_issue",H30="probable_issue",H30="not_issue",H30="indeterminate"))),AND(AND(D30="retain",E30="statistical_results"),NOT(OR(I30="substantive",I30="minor_presentation",I30="indeterminate"))),AND(AND(D30="retain",E30="statistical_results"),J30&lt;&gt;"",NOT(OR(J30="direct",J30="possible",J30="unlikely",J30="unknown"))),AND(AND(D30="retain",OR(E30="report_internal_inconsistency",E30="plan_material")),NOT(OR(K30="substantive_inconsistency",K30="minor_presentation",K30="non_inconsistency",K30="indeterminate"))),AND(AND(D30="retain",E30="protocol_report"),L30&lt;&gt;"",NOT(OR(L30="substantive_difference",L30="minor_presentation",L30="version_timing",L30="non_inconsistency",L30="indeterminate")))),"CHECK FIELDS",IF(AND(F30&lt;&gt;"",NOT(OR(F30="no",F30="primary_done"))),"CHECK COMPLETE",IF(F30="primary_done","PRIMARY READY","PRIMARY DRAFT")))))),"CHECK INPUT / KEY")</f>
        <v/>
      </c>
      <c r="H30" s="7" t="inlineStr">
        <is>
          <t>confirmed_issue</t>
        </is>
      </c>
      <c r="I30" s="7" t="inlineStr">
        <is>
          <t>substantive</t>
        </is>
      </c>
      <c r="J30" s="13" t="inlineStr">
        <is>
          <t>direct</t>
        </is>
      </c>
      <c r="K30" s="7">
        <f>IF(AND(OR(D30="retain",D30=""),OR(E30="report_internal_inconsistency",E30="plan_material")),"","not_applicable")</f>
        <v/>
      </c>
      <c r="L30" s="13">
        <f>IF(AND(OR(D30="retain",D30=""),E30="protocol_report"),"","not_applicable")</f>
        <v/>
      </c>
      <c r="M30" s="19" t="n"/>
      <c r="N30" s="19" t="n"/>
      <c r="O30" s="19" t="n"/>
      <c r="P30" s="19" t="n"/>
      <c r="Q30" s="19" t="n"/>
      <c r="R30" s="13" t="inlineStr">
        <is>
          <t>Table 3 SMD Physical function 12 mo, health coach vs usual care plus: 0.07 (0.04 to -0.16); MD 0.8 (0.2 to 1.4). Endpoints reversed; sorted CI excludes 0.07; SMD CI includes 0 while the MD CI excludes 0. Part of a systematically corrupted SMD column (reversed CIs, estimates outside CIs, signs opposite to MD). SMD interval unusable for extraction.</t>
        </is>
      </c>
    </row>
    <row r="31" ht="92" customFormat="1" customHeight="1" s="8">
      <c r="A31" s="11" t="inlineStr">
        <is>
          <t>2025::jama.2025.11178::C030</t>
        </is>
      </c>
      <c r="B31" s="11" t="inlineStr">
        <is>
          <t>Physical-function 12-month Health Coach versus painTRAINER SMD endpoints reversed and exclude estimate</t>
        </is>
      </c>
      <c r="C31" s="11" t="inlineStr">
        <is>
          <t>main article — PDF p. 10, Table 3, physical function, 12 months, Health Coach vs painTRAINER SMD.</t>
        </is>
      </c>
      <c r="D31" s="7" t="inlineStr">
        <is>
          <t>retain</t>
        </is>
      </c>
      <c r="E31" s="7" t="inlineStr">
        <is>
          <t>statistical_results</t>
        </is>
      </c>
      <c r="F31" s="7" t="inlineStr">
        <is>
          <t>primary_done</t>
        </is>
      </c>
      <c r="G31" s="11">
        <f>IFERROR(IF(LEN(TRIM(CLEAN(SUBSTITUTE(Setup!$B$2,CHAR(160)," "))))=0,"CHECK REVIEWER ID",IF(OR(A31="",(COUNTIF('C_jama.2024.24764'!$A$2:$A$9,A31)+COUNTIF('C_jama.2024.27643'!$A$2:$A$9,A31)+COUNTIF('C_jama.2025.11178'!$A$2:$A$38,A31)+COUNTIF('C_jama.2025.15185'!$A$2:$A$13,A31)+COUNTIF('C_jama.2025.15440'!$A$2:$A$3,A31)+COUNTIF('C_jama.2025.16450'!$A$2:$A$11,A31)+COUNTIF('C_jama.2025.19563'!$A$2:$A$8,A31)+COUNTIF('C_jama.2025.19843'!$A$2:$A$2,A31)+COUNTIF('C_jama.2025.20765'!$A$2:$A$14,A31)+COUNTIF('C_jama.2025.24175'!$A$2:$A$15,A31)+COUNTIF('C_jama.2025.4390'!$A$2:$A$4,A31)+COUNTIF('C_jama.2025.7583'!$A$2:$A$4,A31)+COUNTIF('C_jama.2025.7710'!$A$2:$A$5,A31)+COUNTIF('C_jama.2025.9110'!$A$2:$A$7,A31)+COUNTIF('C_jama.2025.9663'!$A$2:$A$4,A31))&lt;&gt;1,LEFT(A31,LEN("2025::jama.2025.11178::"))&lt;&gt;"2025::jama.2025.11178::"),"CHECK KEY",IF(OR(AND(NOT(AND(D31="retain",E31="statistical_results")),H31&lt;&gt;"",H31&lt;&gt;"not_applicable"),AND(NOT(AND(D31="retain",E31="statistical_results")),I31&lt;&gt;"",I31&lt;&gt;"not_applicable"),AND(NOT(AND(D31="retain",E31="statistical_results")),J31&lt;&gt;"",J31&lt;&gt;"not_applicable"),AND(NOT(AND(D31="retain",OR(E31="report_internal_inconsistency",E31="plan_material"))),K31&lt;&gt;"",K31&lt;&gt;"not_applicable"),AND(NOT(AND(D31="retain",E31="protocol_report")),L31&lt;&gt;"",L31&lt;&gt;"not_applicable")),"CLEAR INACTIVE VALUES",IF(OR(NOT(OR(D31="retain",D31="exclude",D31="discuss")),NOT(OR(E31="statistical_results",E31="report_internal_inconsistency",E31="plan_material",E31="protocol_report")),AND(AND(D31="retain",E31="statistical_results"),NOT(OR(H31="confirmed_issue",H31="probable_issue",H31="not_issue",H31="indeterminate"))),AND(AND(D31="retain",E31="statistical_results"),NOT(OR(I31="substantive",I31="minor_presentation",I31="indeterminate"))),AND(AND(D31="retain",E31="statistical_results"),J31&lt;&gt;"",NOT(OR(J31="direct",J31="possible",J31="unlikely",J31="unknown"))),AND(AND(D31="retain",OR(E31="report_internal_inconsistency",E31="plan_material")),NOT(OR(K31="substantive_inconsistency",K31="minor_presentation",K31="non_inconsistency",K31="indeterminate"))),AND(AND(D31="retain",E31="protocol_report"),L31&lt;&gt;"",NOT(OR(L31="substantive_difference",L31="minor_presentation",L31="version_timing",L31="non_inconsistency",L31="indeterminate")))),"CHECK FIELDS",IF(AND(F31&lt;&gt;"",NOT(OR(F31="no",F31="primary_done"))),"CHECK COMPLETE",IF(F31="primary_done","PRIMARY READY","PRIMARY DRAFT")))))),"CHECK INPUT / KEY")</f>
        <v/>
      </c>
      <c r="H31" s="7" t="inlineStr">
        <is>
          <t>confirmed_issue</t>
        </is>
      </c>
      <c r="I31" s="7" t="inlineStr">
        <is>
          <t>substantive</t>
        </is>
      </c>
      <c r="J31" s="13" t="inlineStr">
        <is>
          <t>direct</t>
        </is>
      </c>
      <c r="K31" s="7">
        <f>IF(AND(OR(D31="retain",D31=""),OR(E31="report_internal_inconsistency",E31="plan_material")),"","not_applicable")</f>
        <v/>
      </c>
      <c r="L31" s="13">
        <f>IF(AND(OR(D31="retain",D31=""),E31="protocol_report"),"","not_applicable")</f>
        <v/>
      </c>
      <c r="M31" s="19" t="n"/>
      <c r="N31" s="19" t="n"/>
      <c r="O31" s="19" t="n"/>
      <c r="P31" s="19" t="n"/>
      <c r="Q31" s="19" t="n"/>
      <c r="R31" s="13" t="inlineStr">
        <is>
          <t>Table 3 SMD Physical function 12 mo, health coach vs painTRAINER: 0.27 (0.25 to 0.09); MD -0.1 (-0.7 to 0.5). Endpoints reversed; sorted CI excludes 0.27; SMD sign opposite to MD; SMD CI excludes 0 while the MD CI includes 0. Part of a systematically corrupted SMD column (reversed CIs, estimates outside CIs, signs opposite to MD). SMD interval unusable for extraction.</t>
        </is>
      </c>
    </row>
    <row r="32" ht="92" customFormat="1" customHeight="1" s="8">
      <c r="A32" s="12" t="inlineStr">
        <is>
          <t>2025::jama.2025.11178::C031</t>
        </is>
      </c>
      <c r="B32" s="12" t="inlineStr">
        <is>
          <t>PGIC-pain 12-month painTRAINER SMD outside printed CI</t>
        </is>
      </c>
      <c r="C32" s="12" t="inlineStr">
        <is>
          <t>main article — PDF p. 11, Table 3, PGIC-pain, 12 months, painTRAINER vs usual care plus SMD.</t>
        </is>
      </c>
      <c r="D32" s="7" t="inlineStr">
        <is>
          <t>retain</t>
        </is>
      </c>
      <c r="E32" s="7" t="inlineStr">
        <is>
          <t>statistical_results</t>
        </is>
      </c>
      <c r="F32" s="7" t="inlineStr">
        <is>
          <t>primary_done</t>
        </is>
      </c>
      <c r="G32" s="12">
        <f>IFERROR(IF(LEN(TRIM(CLEAN(SUBSTITUTE(Setup!$B$2,CHAR(160)," "))))=0,"CHECK REVIEWER ID",IF(OR(A32="",(COUNTIF('C_jama.2024.24764'!$A$2:$A$9,A32)+COUNTIF('C_jama.2024.27643'!$A$2:$A$9,A32)+COUNTIF('C_jama.2025.11178'!$A$2:$A$38,A32)+COUNTIF('C_jama.2025.15185'!$A$2:$A$13,A32)+COUNTIF('C_jama.2025.15440'!$A$2:$A$3,A32)+COUNTIF('C_jama.2025.16450'!$A$2:$A$11,A32)+COUNTIF('C_jama.2025.19563'!$A$2:$A$8,A32)+COUNTIF('C_jama.2025.19843'!$A$2:$A$2,A32)+COUNTIF('C_jama.2025.20765'!$A$2:$A$14,A32)+COUNTIF('C_jama.2025.24175'!$A$2:$A$15,A32)+COUNTIF('C_jama.2025.4390'!$A$2:$A$4,A32)+COUNTIF('C_jama.2025.7583'!$A$2:$A$4,A32)+COUNTIF('C_jama.2025.7710'!$A$2:$A$5,A32)+COUNTIF('C_jama.2025.9110'!$A$2:$A$7,A32)+COUNTIF('C_jama.2025.9663'!$A$2:$A$4,A32))&lt;&gt;1,LEFT(A32,LEN("2025::jama.2025.11178::"))&lt;&gt;"2025::jama.2025.11178::"),"CHECK KEY",IF(OR(AND(NOT(AND(D32="retain",E32="statistical_results")),H32&lt;&gt;"",H32&lt;&gt;"not_applicable"),AND(NOT(AND(D32="retain",E32="statistical_results")),I32&lt;&gt;"",I32&lt;&gt;"not_applicable"),AND(NOT(AND(D32="retain",E32="statistical_results")),J32&lt;&gt;"",J32&lt;&gt;"not_applicable"),AND(NOT(AND(D32="retain",OR(E32="report_internal_inconsistency",E32="plan_material"))),K32&lt;&gt;"",K32&lt;&gt;"not_applicable"),AND(NOT(AND(D32="retain",E32="protocol_report")),L32&lt;&gt;"",L32&lt;&gt;"not_applicable")),"CLEAR INACTIVE VALUES",IF(OR(NOT(OR(D32="retain",D32="exclude",D32="discuss")),NOT(OR(E32="statistical_results",E32="report_internal_inconsistency",E32="plan_material",E32="protocol_report")),AND(AND(D32="retain",E32="statistical_results"),NOT(OR(H32="confirmed_issue",H32="probable_issue",H32="not_issue",H32="indeterminate"))),AND(AND(D32="retain",E32="statistical_results"),NOT(OR(I32="substantive",I32="minor_presentation",I32="indeterminate"))),AND(AND(D32="retain",E32="statistical_results"),J32&lt;&gt;"",NOT(OR(J32="direct",J32="possible",J32="unlikely",J32="unknown"))),AND(AND(D32="retain",OR(E32="report_internal_inconsistency",E32="plan_material")),NOT(OR(K32="substantive_inconsistency",K32="minor_presentation",K32="non_inconsistency",K32="indeterminate"))),AND(AND(D32="retain",E32="protocol_report"),L32&lt;&gt;"",NOT(OR(L32="substantive_difference",L32="minor_presentation",L32="version_timing",L32="non_inconsistency",L32="indeterminate")))),"CHECK FIELDS",IF(AND(F32&lt;&gt;"",NOT(OR(F32="no",F32="primary_done"))),"CHECK COMPLETE",IF(F32="primary_done","PRIMARY READY","PRIMARY DRAFT")))))),"CHECK INPUT / KEY")</f>
        <v/>
      </c>
      <c r="H32" s="7" t="inlineStr">
        <is>
          <t>confirmed_issue</t>
        </is>
      </c>
      <c r="I32" s="7" t="inlineStr">
        <is>
          <t>substantive</t>
        </is>
      </c>
      <c r="J32" s="13" t="inlineStr">
        <is>
          <t>direct</t>
        </is>
      </c>
      <c r="K32" s="7">
        <f>IF(AND(OR(D32="retain",D32=""),OR(E32="report_internal_inconsistency",E32="plan_material")),"","not_applicable")</f>
        <v/>
      </c>
      <c r="L32" s="13">
        <f>IF(AND(OR(D32="retain",D32=""),E32="protocol_report"),"","not_applicable")</f>
        <v/>
      </c>
      <c r="M32" s="19" t="n"/>
      <c r="N32" s="19" t="n"/>
      <c r="O32" s="19" t="n"/>
      <c r="P32" s="19" t="n"/>
      <c r="Q32" s="19" t="n"/>
      <c r="R32" s="13" t="inlineStr">
        <is>
          <t>Table 3 SMD PGIC-pain 12 mo, painTRAINER vs usual care plus: -0.55 (-0.50 to 0.05); MD -0.6 (-0.8 to -0.5). Estimate outside its CI; SMD CI includes 0 while the MD CI excludes 0. Part of a systematically corrupted SMD column (reversed CIs, estimates outside CIs, signs opposite to MD). SMD interval unusable for extraction.</t>
        </is>
      </c>
    </row>
    <row r="33" ht="92" customFormat="1" customHeight="1" s="8">
      <c r="A33" s="11" t="inlineStr">
        <is>
          <t>2025::jama.2025.11178::C032</t>
        </is>
      </c>
      <c r="B33" s="11" t="inlineStr">
        <is>
          <t>PGIC-pain 12-month Health Coach SMD outside printed CI</t>
        </is>
      </c>
      <c r="C33" s="11" t="inlineStr">
        <is>
          <t>main article — PDF p. 11, Table 3, PGIC-pain, 12 months, Health Coach vs usual care plus SMD.</t>
        </is>
      </c>
      <c r="D33" s="7" t="inlineStr">
        <is>
          <t>retain</t>
        </is>
      </c>
      <c r="E33" s="7" t="inlineStr">
        <is>
          <t>statistical_results</t>
        </is>
      </c>
      <c r="F33" s="7" t="inlineStr">
        <is>
          <t>primary_done</t>
        </is>
      </c>
      <c r="G33" s="11">
        <f>IFERROR(IF(LEN(TRIM(CLEAN(SUBSTITUTE(Setup!$B$2,CHAR(160)," "))))=0,"CHECK REVIEWER ID",IF(OR(A33="",(COUNTIF('C_jama.2024.24764'!$A$2:$A$9,A33)+COUNTIF('C_jama.2024.27643'!$A$2:$A$9,A33)+COUNTIF('C_jama.2025.11178'!$A$2:$A$38,A33)+COUNTIF('C_jama.2025.15185'!$A$2:$A$13,A33)+COUNTIF('C_jama.2025.15440'!$A$2:$A$3,A33)+COUNTIF('C_jama.2025.16450'!$A$2:$A$11,A33)+COUNTIF('C_jama.2025.19563'!$A$2:$A$8,A33)+COUNTIF('C_jama.2025.19843'!$A$2:$A$2,A33)+COUNTIF('C_jama.2025.20765'!$A$2:$A$14,A33)+COUNTIF('C_jama.2025.24175'!$A$2:$A$15,A33)+COUNTIF('C_jama.2025.4390'!$A$2:$A$4,A33)+COUNTIF('C_jama.2025.7583'!$A$2:$A$4,A33)+COUNTIF('C_jama.2025.7710'!$A$2:$A$5,A33)+COUNTIF('C_jama.2025.9110'!$A$2:$A$7,A33)+COUNTIF('C_jama.2025.9663'!$A$2:$A$4,A33))&lt;&gt;1,LEFT(A33,LEN("2025::jama.2025.11178::"))&lt;&gt;"2025::jama.2025.11178::"),"CHECK KEY",IF(OR(AND(NOT(AND(D33="retain",E33="statistical_results")),H33&lt;&gt;"",H33&lt;&gt;"not_applicable"),AND(NOT(AND(D33="retain",E33="statistical_results")),I33&lt;&gt;"",I33&lt;&gt;"not_applicable"),AND(NOT(AND(D33="retain",E33="statistical_results")),J33&lt;&gt;"",J33&lt;&gt;"not_applicable"),AND(NOT(AND(D33="retain",OR(E33="report_internal_inconsistency",E33="plan_material"))),K33&lt;&gt;"",K33&lt;&gt;"not_applicable"),AND(NOT(AND(D33="retain",E33="protocol_report")),L33&lt;&gt;"",L33&lt;&gt;"not_applicable")),"CLEAR INACTIVE VALUES",IF(OR(NOT(OR(D33="retain",D33="exclude",D33="discuss")),NOT(OR(E33="statistical_results",E33="report_internal_inconsistency",E33="plan_material",E33="protocol_report")),AND(AND(D33="retain",E33="statistical_results"),NOT(OR(H33="confirmed_issue",H33="probable_issue",H33="not_issue",H33="indeterminate"))),AND(AND(D33="retain",E33="statistical_results"),NOT(OR(I33="substantive",I33="minor_presentation",I33="indeterminate"))),AND(AND(D33="retain",E33="statistical_results"),J33&lt;&gt;"",NOT(OR(J33="direct",J33="possible",J33="unlikely",J33="unknown"))),AND(AND(D33="retain",OR(E33="report_internal_inconsistency",E33="plan_material")),NOT(OR(K33="substantive_inconsistency",K33="minor_presentation",K33="non_inconsistency",K33="indeterminate"))),AND(AND(D33="retain",E33="protocol_report"),L33&lt;&gt;"",NOT(OR(L33="substantive_difference",L33="minor_presentation",L33="version_timing",L33="non_inconsistency",L33="indeterminate")))),"CHECK FIELDS",IF(AND(F33&lt;&gt;"",NOT(OR(F33="no",F33="primary_done"))),"CHECK COMPLETE",IF(F33="primary_done","PRIMARY READY","PRIMARY DRAFT")))))),"CHECK INPUT / KEY")</f>
        <v/>
      </c>
      <c r="H33" s="7" t="inlineStr">
        <is>
          <t>confirmed_issue</t>
        </is>
      </c>
      <c r="I33" s="7" t="inlineStr">
        <is>
          <t>substantive</t>
        </is>
      </c>
      <c r="J33" s="13" t="inlineStr">
        <is>
          <t>direct</t>
        </is>
      </c>
      <c r="K33" s="7">
        <f>IF(AND(OR(D33="retain",D33=""),OR(E33="report_internal_inconsistency",E33="plan_material")),"","not_applicable")</f>
        <v/>
      </c>
      <c r="L33" s="13">
        <f>IF(AND(OR(D33="retain",D33=""),E33="protocol_report"),"","not_applicable")</f>
        <v/>
      </c>
      <c r="M33" s="19" t="n"/>
      <c r="N33" s="19" t="n"/>
      <c r="O33" s="19" t="n"/>
      <c r="P33" s="19" t="n"/>
      <c r="Q33" s="19" t="n"/>
      <c r="R33" s="13" t="inlineStr">
        <is>
          <t>Table 3 SMD PGIC-pain 12 mo, health coach vs usual care plus: -0.57 (-0.54 to -0.08); MD -0.6 (-0.7 to -0.4). Estimate outside its CI. Part of a systematically corrupted SMD column (reversed CIs, estimates outside CIs, signs opposite to MD). SMD interval unusable for extraction.</t>
        </is>
      </c>
    </row>
    <row r="34" ht="92" customFormat="1" customHeight="1" s="8">
      <c r="A34" s="12" t="inlineStr">
        <is>
          <t>2025::jama.2025.11178::C033</t>
        </is>
      </c>
      <c r="B34" s="12" t="inlineStr">
        <is>
          <t>PGIC-pain 12-month Health Coach versus painTRAINER SMD outside printed CI</t>
        </is>
      </c>
      <c r="C34" s="12" t="inlineStr">
        <is>
          <t>main article — PDF p. 11, Table 3, PGIC-pain, 12 months, Health Coach vs painTRAINER SMD.</t>
        </is>
      </c>
      <c r="D34" s="7" t="inlineStr">
        <is>
          <t>retain</t>
        </is>
      </c>
      <c r="E34" s="7" t="inlineStr">
        <is>
          <t>statistical_results</t>
        </is>
      </c>
      <c r="F34" s="7" t="inlineStr">
        <is>
          <t>primary_done</t>
        </is>
      </c>
      <c r="G34" s="12">
        <f>IFERROR(IF(LEN(TRIM(CLEAN(SUBSTITUTE(Setup!$B$2,CHAR(160)," "))))=0,"CHECK REVIEWER ID",IF(OR(A34="",(COUNTIF('C_jama.2024.24764'!$A$2:$A$9,A34)+COUNTIF('C_jama.2024.27643'!$A$2:$A$9,A34)+COUNTIF('C_jama.2025.11178'!$A$2:$A$38,A34)+COUNTIF('C_jama.2025.15185'!$A$2:$A$13,A34)+COUNTIF('C_jama.2025.15440'!$A$2:$A$3,A34)+COUNTIF('C_jama.2025.16450'!$A$2:$A$11,A34)+COUNTIF('C_jama.2025.19563'!$A$2:$A$8,A34)+COUNTIF('C_jama.2025.19843'!$A$2:$A$2,A34)+COUNTIF('C_jama.2025.20765'!$A$2:$A$14,A34)+COUNTIF('C_jama.2025.24175'!$A$2:$A$15,A34)+COUNTIF('C_jama.2025.4390'!$A$2:$A$4,A34)+COUNTIF('C_jama.2025.7583'!$A$2:$A$4,A34)+COUNTIF('C_jama.2025.7710'!$A$2:$A$5,A34)+COUNTIF('C_jama.2025.9110'!$A$2:$A$7,A34)+COUNTIF('C_jama.2025.9663'!$A$2:$A$4,A34))&lt;&gt;1,LEFT(A34,LEN("2025::jama.2025.11178::"))&lt;&gt;"2025::jama.2025.11178::"),"CHECK KEY",IF(OR(AND(NOT(AND(D34="retain",E34="statistical_results")),H34&lt;&gt;"",H34&lt;&gt;"not_applicable"),AND(NOT(AND(D34="retain",E34="statistical_results")),I34&lt;&gt;"",I34&lt;&gt;"not_applicable"),AND(NOT(AND(D34="retain",E34="statistical_results")),J34&lt;&gt;"",J34&lt;&gt;"not_applicable"),AND(NOT(AND(D34="retain",OR(E34="report_internal_inconsistency",E34="plan_material"))),K34&lt;&gt;"",K34&lt;&gt;"not_applicable"),AND(NOT(AND(D34="retain",E34="protocol_report")),L34&lt;&gt;"",L34&lt;&gt;"not_applicable")),"CLEAR INACTIVE VALUES",IF(OR(NOT(OR(D34="retain",D34="exclude",D34="discuss")),NOT(OR(E34="statistical_results",E34="report_internal_inconsistency",E34="plan_material",E34="protocol_report")),AND(AND(D34="retain",E34="statistical_results"),NOT(OR(H34="confirmed_issue",H34="probable_issue",H34="not_issue",H34="indeterminate"))),AND(AND(D34="retain",E34="statistical_results"),NOT(OR(I34="substantive",I34="minor_presentation",I34="indeterminate"))),AND(AND(D34="retain",E34="statistical_results"),J34&lt;&gt;"",NOT(OR(J34="direct",J34="possible",J34="unlikely",J34="unknown"))),AND(AND(D34="retain",OR(E34="report_internal_inconsistency",E34="plan_material")),NOT(OR(K34="substantive_inconsistency",K34="minor_presentation",K34="non_inconsistency",K34="indeterminate"))),AND(AND(D34="retain",E34="protocol_report"),L34&lt;&gt;"",NOT(OR(L34="substantive_difference",L34="minor_presentation",L34="version_timing",L34="non_inconsistency",L34="indeterminate")))),"CHECK FIELDS",IF(AND(F34&lt;&gt;"",NOT(OR(F34="no",F34="primary_done"))),"CHECK COMPLETE",IF(F34="primary_done","PRIMARY READY","PRIMARY DRAFT")))))),"CHECK INPUT / KEY")</f>
        <v/>
      </c>
      <c r="H34" s="7" t="inlineStr">
        <is>
          <t>confirmed_issue</t>
        </is>
      </c>
      <c r="I34" s="7" t="inlineStr">
        <is>
          <t>substantive</t>
        </is>
      </c>
      <c r="J34" s="13" t="inlineStr">
        <is>
          <t>direct</t>
        </is>
      </c>
      <c r="K34" s="7">
        <f>IF(AND(OR(D34="retain",D34=""),OR(E34="report_internal_inconsistency",E34="plan_material")),"","not_applicable")</f>
        <v/>
      </c>
      <c r="L34" s="13">
        <f>IF(AND(OR(D34="retain",D34=""),E34="protocol_report"),"","not_applicable")</f>
        <v/>
      </c>
      <c r="M34" s="19" t="n"/>
      <c r="N34" s="19" t="n"/>
      <c r="O34" s="19" t="n"/>
      <c r="P34" s="19" t="n"/>
      <c r="Q34" s="19" t="n"/>
      <c r="R34" s="13" t="inlineStr">
        <is>
          <t>Table 3 SMD PGIC-pain 12 mo, health coach vs painTRAINER: -0.29 (-0.25 to 0.14); MD 0.1 (-0.1 to 0.2). Estimate outside its CI; SMD sign opposite to MD. Part of a systematically corrupted SMD column (reversed CIs, estimates outside CIs, signs opposite to MD). SMD interval unusable for extraction.</t>
        </is>
      </c>
    </row>
    <row r="35" ht="92" customFormat="1" customHeight="1" s="8">
      <c r="A35" s="11" t="inlineStr">
        <is>
          <t>2025::jama.2025.11178::C034</t>
        </is>
      </c>
      <c r="B35" s="11" t="inlineStr">
        <is>
          <t>Female total differs across sources if the printed derivations are intended to match</t>
        </is>
      </c>
      <c r="C35" s="11" t="inlineStr">
        <is>
          <t>main article — PDF p. 1, Abstract; main article — PDF p. 6, Table 1; workbook, worksheet eTable 3, cells A11:B11.</t>
        </is>
      </c>
      <c r="D35" s="7" t="inlineStr">
        <is>
          <t>retain</t>
        </is>
      </c>
      <c r="E35" s="7" t="inlineStr">
        <is>
          <t>report_internal_inconsistency</t>
        </is>
      </c>
      <c r="F35" s="7" t="inlineStr">
        <is>
          <t>primary_done</t>
        </is>
      </c>
      <c r="G35" s="11">
        <f>IFERROR(IF(LEN(TRIM(CLEAN(SUBSTITUTE(Setup!$B$2,CHAR(160)," "))))=0,"CHECK REVIEWER ID",IF(OR(A35="",(COUNTIF('C_jama.2024.24764'!$A$2:$A$9,A35)+COUNTIF('C_jama.2024.27643'!$A$2:$A$9,A35)+COUNTIF('C_jama.2025.11178'!$A$2:$A$38,A35)+COUNTIF('C_jama.2025.15185'!$A$2:$A$13,A35)+COUNTIF('C_jama.2025.15440'!$A$2:$A$3,A35)+COUNTIF('C_jama.2025.16450'!$A$2:$A$11,A35)+COUNTIF('C_jama.2025.19563'!$A$2:$A$8,A35)+COUNTIF('C_jama.2025.19843'!$A$2:$A$2,A35)+COUNTIF('C_jama.2025.20765'!$A$2:$A$14,A35)+COUNTIF('C_jama.2025.24175'!$A$2:$A$15,A35)+COUNTIF('C_jama.2025.4390'!$A$2:$A$4,A35)+COUNTIF('C_jama.2025.7583'!$A$2:$A$4,A35)+COUNTIF('C_jama.2025.7710'!$A$2:$A$5,A35)+COUNTIF('C_jama.2025.9110'!$A$2:$A$7,A35)+COUNTIF('C_jama.2025.9663'!$A$2:$A$4,A35))&lt;&gt;1,LEFT(A35,LEN("2025::jama.2025.11178::"))&lt;&gt;"2025::jama.2025.11178::"),"CHECK KEY",IF(OR(AND(NOT(AND(D35="retain",E35="statistical_results")),H35&lt;&gt;"",H35&lt;&gt;"not_applicable"),AND(NOT(AND(D35="retain",E35="statistical_results")),I35&lt;&gt;"",I35&lt;&gt;"not_applicable"),AND(NOT(AND(D35="retain",E35="statistical_results")),J35&lt;&gt;"",J35&lt;&gt;"not_applicable"),AND(NOT(AND(D35="retain",OR(E35="report_internal_inconsistency",E35="plan_material"))),K35&lt;&gt;"",K35&lt;&gt;"not_applicable"),AND(NOT(AND(D35="retain",E35="protocol_report")),L35&lt;&gt;"",L35&lt;&gt;"not_applicable")),"CLEAR INACTIVE VALUES",IF(OR(NOT(OR(D35="retain",D35="exclude",D35="discuss")),NOT(OR(E35="statistical_results",E35="report_internal_inconsistency",E35="plan_material",E35="protocol_report")),AND(AND(D35="retain",E35="statistical_results"),NOT(OR(H35="confirmed_issue",H35="probable_issue",H35="not_issue",H35="indeterminate"))),AND(AND(D35="retain",E35="statistical_results"),NOT(OR(I35="substantive",I35="minor_presentation",I35="indeterminate"))),AND(AND(D35="retain",E35="statistical_results"),J35&lt;&gt;"",NOT(OR(J35="direct",J35="possible",J35="unlikely",J35="unknown"))),AND(AND(D35="retain",OR(E35="report_internal_inconsistency",E35="plan_material")),NOT(OR(K35="substantive_inconsistency",K35="minor_presentation",K35="non_inconsistency",K35="indeterminate"))),AND(AND(D35="retain",E35="protocol_report"),L35&lt;&gt;"",NOT(OR(L35="substantive_difference",L35="minor_presentation",L35="version_timing",L35="non_inconsistency",L35="indeterminate")))),"CHECK FIELDS",IF(AND(F35&lt;&gt;"",NOT(OR(F35="no",F35="primary_done"))),"CHECK COMPLETE",IF(F35="primary_done","PRIMARY READY","PRIMARY DRAFT")))))),"CHECK INPUT / KEY")</f>
        <v/>
      </c>
      <c r="H35" s="7">
        <f>IF(AND(OR(D35="retain",D35=""),E35="statistical_results"),"","not_applicable")</f>
        <v/>
      </c>
      <c r="I35" s="7">
        <f>IF(AND(OR(D35="retain",D35=""),E35="statistical_results"),"","not_applicable")</f>
        <v/>
      </c>
      <c r="J35" s="13">
        <f>IF(AND(OR(D35="retain",D35=""),E35="statistical_results"),"","not_applicable")</f>
        <v/>
      </c>
      <c r="K35" s="7" t="inlineStr">
        <is>
          <t>minor_presentation</t>
        </is>
      </c>
      <c r="L35" s="13">
        <f>IF(AND(OR(D35="retain",D35=""),E35="protocol_report"),"","not_applicable")</f>
        <v/>
      </c>
      <c r="M35" s="19" t="n"/>
      <c r="N35" s="19" t="n"/>
      <c r="O35" s="19" t="n"/>
      <c r="P35" s="19" t="n"/>
      <c r="Q35" s="19" t="n"/>
      <c r="R35" s="13" t="inlineStr">
        <is>
          <t>Female: Table 1 571+572+569=1712 (abstract 1712 [74%]); workbook eTable 3 overall 1713 (73.5). Both define sex as self-report with EHR fallback (Table 1 footnote b; workbook note *), so same variable; one-person discrepancy.</t>
        </is>
      </c>
    </row>
    <row r="36" ht="92" customFormat="1" customHeight="1" s="8">
      <c r="A36" s="12" t="inlineStr">
        <is>
          <t>2025::jama.2025.11178::C035</t>
        </is>
      </c>
      <c r="B36" s="12" t="inlineStr">
        <is>
          <t>Narrative current-depression percentage differs from Table 1/workbook record</t>
        </is>
      </c>
      <c r="C36" s="12" t="inlineStr">
        <is>
          <t>main article — PDF p. 4, Results; main article — PDF p. 6, Table 1; workbook, worksheet eTable 3, cells A82:B82.</t>
        </is>
      </c>
      <c r="D36" s="7" t="inlineStr">
        <is>
          <t>retain</t>
        </is>
      </c>
      <c r="E36" s="7" t="inlineStr">
        <is>
          <t>report_internal_inconsistency</t>
        </is>
      </c>
      <c r="F36" s="7" t="inlineStr">
        <is>
          <t>primary_done</t>
        </is>
      </c>
      <c r="G36" s="12">
        <f>IFERROR(IF(LEN(TRIM(CLEAN(SUBSTITUTE(Setup!$B$2,CHAR(160)," "))))=0,"CHECK REVIEWER ID",IF(OR(A36="",(COUNTIF('C_jama.2024.24764'!$A$2:$A$9,A36)+COUNTIF('C_jama.2024.27643'!$A$2:$A$9,A36)+COUNTIF('C_jama.2025.11178'!$A$2:$A$38,A36)+COUNTIF('C_jama.2025.15185'!$A$2:$A$13,A36)+COUNTIF('C_jama.2025.15440'!$A$2:$A$3,A36)+COUNTIF('C_jama.2025.16450'!$A$2:$A$11,A36)+COUNTIF('C_jama.2025.19563'!$A$2:$A$8,A36)+COUNTIF('C_jama.2025.19843'!$A$2:$A$2,A36)+COUNTIF('C_jama.2025.20765'!$A$2:$A$14,A36)+COUNTIF('C_jama.2025.24175'!$A$2:$A$15,A36)+COUNTIF('C_jama.2025.4390'!$A$2:$A$4,A36)+COUNTIF('C_jama.2025.7583'!$A$2:$A$4,A36)+COUNTIF('C_jama.2025.7710'!$A$2:$A$5,A36)+COUNTIF('C_jama.2025.9110'!$A$2:$A$7,A36)+COUNTIF('C_jama.2025.9663'!$A$2:$A$4,A36))&lt;&gt;1,LEFT(A36,LEN("2025::jama.2025.11178::"))&lt;&gt;"2025::jama.2025.11178::"),"CHECK KEY",IF(OR(AND(NOT(AND(D36="retain",E36="statistical_results")),H36&lt;&gt;"",H36&lt;&gt;"not_applicable"),AND(NOT(AND(D36="retain",E36="statistical_results")),I36&lt;&gt;"",I36&lt;&gt;"not_applicable"),AND(NOT(AND(D36="retain",E36="statistical_results")),J36&lt;&gt;"",J36&lt;&gt;"not_applicable"),AND(NOT(AND(D36="retain",OR(E36="report_internal_inconsistency",E36="plan_material"))),K36&lt;&gt;"",K36&lt;&gt;"not_applicable"),AND(NOT(AND(D36="retain",E36="protocol_report")),L36&lt;&gt;"",L36&lt;&gt;"not_applicable")),"CLEAR INACTIVE VALUES",IF(OR(NOT(OR(D36="retain",D36="exclude",D36="discuss")),NOT(OR(E36="statistical_results",E36="report_internal_inconsistency",E36="plan_material",E36="protocol_report")),AND(AND(D36="retain",E36="statistical_results"),NOT(OR(H36="confirmed_issue",H36="probable_issue",H36="not_issue",H36="indeterminate"))),AND(AND(D36="retain",E36="statistical_results"),NOT(OR(I36="substantive",I36="minor_presentation",I36="indeterminate"))),AND(AND(D36="retain",E36="statistical_results"),J36&lt;&gt;"",NOT(OR(J36="direct",J36="possible",J36="unlikely",J36="unknown"))),AND(AND(D36="retain",OR(E36="report_internal_inconsistency",E36="plan_material")),NOT(OR(K36="substantive_inconsistency",K36="minor_presentation",K36="non_inconsistency",K36="indeterminate"))),AND(AND(D36="retain",E36="protocol_report"),L36&lt;&gt;"",NOT(OR(L36="substantive_difference",L36="minor_presentation",L36="version_timing",L36="non_inconsistency",L36="indeterminate")))),"CHECK FIELDS",IF(AND(F36&lt;&gt;"",NOT(OR(F36="no",F36="primary_done"))),"CHECK COMPLETE",IF(F36="primary_done","PRIMARY READY","PRIMARY DRAFT")))))),"CHECK INPUT / KEY")</f>
        <v/>
      </c>
      <c r="H36" s="7">
        <f>IF(AND(OR(D36="retain",D36=""),E36="statistical_results"),"","not_applicable")</f>
        <v/>
      </c>
      <c r="I36" s="7">
        <f>IF(AND(OR(D36="retain",D36=""),E36="statistical_results"),"","not_applicable")</f>
        <v/>
      </c>
      <c r="J36" s="13">
        <f>IF(AND(OR(D36="retain",D36=""),E36="statistical_results"),"","not_applicable")</f>
        <v/>
      </c>
      <c r="K36" s="7" t="inlineStr">
        <is>
          <t>minor_presentation</t>
        </is>
      </c>
      <c r="L36" s="13">
        <f>IF(AND(OR(D36="retain",D36=""),E36="protocol_report"),"","not_applicable")</f>
        <v/>
      </c>
      <c r="M36" s="19" t="n"/>
      <c r="N36" s="19" t="n"/>
      <c r="O36" s="19" t="n"/>
      <c r="P36" s="19" t="n"/>
      <c r="Q36" s="19" t="n"/>
      <c r="R36" s="13" t="inlineStr">
        <is>
          <t>Results text: 47.8% had current depression (PHQ-8 &gt;=10). Table 1: (373+373+370)/(775+777+777)=1116/2329=47.9%; workbook 1116 (47.9). Narrative off by 0.1 point.</t>
        </is>
      </c>
    </row>
    <row r="37" ht="92" customFormat="1" customHeight="1" s="8">
      <c r="A37" s="11" t="inlineStr">
        <is>
          <t>2025::jama.2025.11178::C036</t>
        </is>
      </c>
      <c r="B37" s="11" t="inlineStr">
        <is>
          <t>painTRAINER 3-month pain-severity SMD differs between narrative and Table 3</t>
        </is>
      </c>
      <c r="C37" s="11" t="inlineStr">
        <is>
          <t>main article — PDF p. 7, Secondary Outcomes; main article — PDF p. 10, Table 3.</t>
        </is>
      </c>
      <c r="D37" s="7" t="inlineStr">
        <is>
          <t>retain</t>
        </is>
      </c>
      <c r="E37" s="7" t="inlineStr">
        <is>
          <t>report_internal_inconsistency</t>
        </is>
      </c>
      <c r="F37" s="7" t="inlineStr">
        <is>
          <t>primary_done</t>
        </is>
      </c>
      <c r="G37" s="11">
        <f>IFERROR(IF(LEN(TRIM(CLEAN(SUBSTITUTE(Setup!$B$2,CHAR(160)," "))))=0,"CHECK REVIEWER ID",IF(OR(A37="",(COUNTIF('C_jama.2024.24764'!$A$2:$A$9,A37)+COUNTIF('C_jama.2024.27643'!$A$2:$A$9,A37)+COUNTIF('C_jama.2025.11178'!$A$2:$A$38,A37)+COUNTIF('C_jama.2025.15185'!$A$2:$A$13,A37)+COUNTIF('C_jama.2025.15440'!$A$2:$A$3,A37)+COUNTIF('C_jama.2025.16450'!$A$2:$A$11,A37)+COUNTIF('C_jama.2025.19563'!$A$2:$A$8,A37)+COUNTIF('C_jama.2025.19843'!$A$2:$A$2,A37)+COUNTIF('C_jama.2025.20765'!$A$2:$A$14,A37)+COUNTIF('C_jama.2025.24175'!$A$2:$A$15,A37)+COUNTIF('C_jama.2025.4390'!$A$2:$A$4,A37)+COUNTIF('C_jama.2025.7583'!$A$2:$A$4,A37)+COUNTIF('C_jama.2025.7710'!$A$2:$A$5,A37)+COUNTIF('C_jama.2025.9110'!$A$2:$A$7,A37)+COUNTIF('C_jama.2025.9663'!$A$2:$A$4,A37))&lt;&gt;1,LEFT(A37,LEN("2025::jama.2025.11178::"))&lt;&gt;"2025::jama.2025.11178::"),"CHECK KEY",IF(OR(AND(NOT(AND(D37="retain",E37="statistical_results")),H37&lt;&gt;"",H37&lt;&gt;"not_applicable"),AND(NOT(AND(D37="retain",E37="statistical_results")),I37&lt;&gt;"",I37&lt;&gt;"not_applicable"),AND(NOT(AND(D37="retain",E37="statistical_results")),J37&lt;&gt;"",J37&lt;&gt;"not_applicable"),AND(NOT(AND(D37="retain",OR(E37="report_internal_inconsistency",E37="plan_material"))),K37&lt;&gt;"",K37&lt;&gt;"not_applicable"),AND(NOT(AND(D37="retain",E37="protocol_report")),L37&lt;&gt;"",L37&lt;&gt;"not_applicable")),"CLEAR INACTIVE VALUES",IF(OR(NOT(OR(D37="retain",D37="exclude",D37="discuss")),NOT(OR(E37="statistical_results",E37="report_internal_inconsistency",E37="plan_material",E37="protocol_report")),AND(AND(D37="retain",E37="statistical_results"),NOT(OR(H37="confirmed_issue",H37="probable_issue",H37="not_issue",H37="indeterminate"))),AND(AND(D37="retain",E37="statistical_results"),NOT(OR(I37="substantive",I37="minor_presentation",I37="indeterminate"))),AND(AND(D37="retain",E37="statistical_results"),J37&lt;&gt;"",NOT(OR(J37="direct",J37="possible",J37="unlikely",J37="unknown"))),AND(AND(D37="retain",OR(E37="report_internal_inconsistency",E37="plan_material")),NOT(OR(K37="substantive_inconsistency",K37="minor_presentation",K37="non_inconsistency",K37="indeterminate"))),AND(AND(D37="retain",E37="protocol_report"),L37&lt;&gt;"",NOT(OR(L37="substantive_difference",L37="minor_presentation",L37="version_timing",L37="non_inconsistency",L37="indeterminate")))),"CHECK FIELDS",IF(AND(F37&lt;&gt;"",NOT(OR(F37="no",F37="primary_done"))),"CHECK COMPLETE",IF(F37="primary_done","PRIMARY READY","PRIMARY DRAFT")))))),"CHECK INPUT / KEY")</f>
        <v/>
      </c>
      <c r="H37" s="7">
        <f>IF(AND(OR(D37="retain",D37=""),E37="statistical_results"),"","not_applicable")</f>
        <v/>
      </c>
      <c r="I37" s="7">
        <f>IF(AND(OR(D37="retain",D37=""),E37="statistical_results"),"","not_applicable")</f>
        <v/>
      </c>
      <c r="J37" s="13">
        <f>IF(AND(OR(D37="retain",D37=""),E37="statistical_results"),"","not_applicable")</f>
        <v/>
      </c>
      <c r="K37" s="7" t="inlineStr">
        <is>
          <t>minor_presentation</t>
        </is>
      </c>
      <c r="L37" s="13">
        <f>IF(AND(OR(D37="retain",D37=""),E37="protocol_report"),"","not_applicable")</f>
        <v/>
      </c>
      <c r="M37" s="19" t="n"/>
      <c r="N37" s="19" t="n"/>
      <c r="O37" s="19" t="n"/>
      <c r="P37" s="19" t="n"/>
      <c r="Q37" s="19" t="n"/>
      <c r="R37" s="13" t="inlineStr">
        <is>
          <t>Text: painTRAINER 3-month SMD for pain severity -0.26; Table 3 3-month value is -0.25 (-0.28 to -0.02). -0.26 is the Table 3 6-month value, so the text appears to quote the wrong row. Small difference.</t>
        </is>
      </c>
    </row>
    <row r="38" ht="92" customFormat="1" customHeight="1" s="8">
      <c r="A38" s="12" t="inlineStr">
        <is>
          <t>2025::jama.2025.11178::C037</t>
        </is>
      </c>
      <c r="B38" s="12" t="inlineStr">
        <is>
          <t>Health Coach 3-month pain-severity SMD differs between narrative and Table 3</t>
        </is>
      </c>
      <c r="C38" s="12" t="inlineStr">
        <is>
          <t>main article — PDF p. 7, Secondary Outcomes; main article — PDF p. 10, Table 3.</t>
        </is>
      </c>
      <c r="D38" s="7" t="inlineStr">
        <is>
          <t>retain</t>
        </is>
      </c>
      <c r="E38" s="7" t="inlineStr">
        <is>
          <t>report_internal_inconsistency</t>
        </is>
      </c>
      <c r="F38" s="7" t="inlineStr">
        <is>
          <t>primary_done</t>
        </is>
      </c>
      <c r="G38" s="12">
        <f>IFERROR(IF(LEN(TRIM(CLEAN(SUBSTITUTE(Setup!$B$2,CHAR(160)," "))))=0,"CHECK REVIEWER ID",IF(OR(A38="",(COUNTIF('C_jama.2024.24764'!$A$2:$A$9,A38)+COUNTIF('C_jama.2024.27643'!$A$2:$A$9,A38)+COUNTIF('C_jama.2025.11178'!$A$2:$A$38,A38)+COUNTIF('C_jama.2025.15185'!$A$2:$A$13,A38)+COUNTIF('C_jama.2025.15440'!$A$2:$A$3,A38)+COUNTIF('C_jama.2025.16450'!$A$2:$A$11,A38)+COUNTIF('C_jama.2025.19563'!$A$2:$A$8,A38)+COUNTIF('C_jama.2025.19843'!$A$2:$A$2,A38)+COUNTIF('C_jama.2025.20765'!$A$2:$A$14,A38)+COUNTIF('C_jama.2025.24175'!$A$2:$A$15,A38)+COUNTIF('C_jama.2025.4390'!$A$2:$A$4,A38)+COUNTIF('C_jama.2025.7583'!$A$2:$A$4,A38)+COUNTIF('C_jama.2025.7710'!$A$2:$A$5,A38)+COUNTIF('C_jama.2025.9110'!$A$2:$A$7,A38)+COUNTIF('C_jama.2025.9663'!$A$2:$A$4,A38))&lt;&gt;1,LEFT(A38,LEN("2025::jama.2025.11178::"))&lt;&gt;"2025::jama.2025.11178::"),"CHECK KEY",IF(OR(AND(NOT(AND(D38="retain",E38="statistical_results")),H38&lt;&gt;"",H38&lt;&gt;"not_applicable"),AND(NOT(AND(D38="retain",E38="statistical_results")),I38&lt;&gt;"",I38&lt;&gt;"not_applicable"),AND(NOT(AND(D38="retain",E38="statistical_results")),J38&lt;&gt;"",J38&lt;&gt;"not_applicable"),AND(NOT(AND(D38="retain",OR(E38="report_internal_inconsistency",E38="plan_material"))),K38&lt;&gt;"",K38&lt;&gt;"not_applicable"),AND(NOT(AND(D38="retain",E38="protocol_report")),L38&lt;&gt;"",L38&lt;&gt;"not_applicable")),"CLEAR INACTIVE VALUES",IF(OR(NOT(OR(D38="retain",D38="exclude",D38="discuss")),NOT(OR(E38="statistical_results",E38="report_internal_inconsistency",E38="plan_material",E38="protocol_report")),AND(AND(D38="retain",E38="statistical_results"),NOT(OR(H38="confirmed_issue",H38="probable_issue",H38="not_issue",H38="indeterminate"))),AND(AND(D38="retain",E38="statistical_results"),NOT(OR(I38="substantive",I38="minor_presentation",I38="indeterminate"))),AND(AND(D38="retain",E38="statistical_results"),J38&lt;&gt;"",NOT(OR(J38="direct",J38="possible",J38="unlikely",J38="unknown"))),AND(AND(D38="retain",OR(E38="report_internal_inconsistency",E38="plan_material")),NOT(OR(K38="substantive_inconsistency",K38="minor_presentation",K38="non_inconsistency",K38="indeterminate"))),AND(AND(D38="retain",E38="protocol_report"),L38&lt;&gt;"",NOT(OR(L38="substantive_difference",L38="minor_presentation",L38="version_timing",L38="non_inconsistency",L38="indeterminate")))),"CHECK FIELDS",IF(AND(F38&lt;&gt;"",NOT(OR(F38="no",F38="primary_done"))),"CHECK COMPLETE",IF(F38="primary_done","PRIMARY READY","PRIMARY DRAFT")))))),"CHECK INPUT / KEY")</f>
        <v/>
      </c>
      <c r="H38" s="7">
        <f>IF(AND(OR(D38="retain",D38=""),E38="statistical_results"),"","not_applicable")</f>
        <v/>
      </c>
      <c r="I38" s="7">
        <f>IF(AND(OR(D38="retain",D38=""),E38="statistical_results"),"","not_applicable")</f>
        <v/>
      </c>
      <c r="J38" s="13">
        <f>IF(AND(OR(D38="retain",D38=""),E38="statistical_results"),"","not_applicable")</f>
        <v/>
      </c>
      <c r="K38" s="7" t="inlineStr">
        <is>
          <t>minor_presentation</t>
        </is>
      </c>
      <c r="L38" s="13">
        <f>IF(AND(OR(D38="retain",D38=""),E38="protocol_report"),"","not_applicable")</f>
        <v/>
      </c>
      <c r="M38" s="19" t="n"/>
      <c r="N38" s="19" t="n"/>
      <c r="O38" s="19" t="n"/>
      <c r="P38" s="19" t="n"/>
      <c r="Q38" s="19" t="n"/>
      <c r="R38" s="13" t="inlineStr">
        <is>
          <t>Text: health coach 3-month SMD for pain severity -0.36; Table 3 3-month value is -0.34 (-0.36 to -0.13). -0.36 is the 6- and 12-month value. Text likely quotes the wrong row; difference 0.02.</t>
        </is>
      </c>
    </row>
  </sheetData>
  <autoFilter ref="A1:R38"/>
  <conditionalFormatting sqref="G2:G38">
    <cfRule type="expression" priority="1" dxfId="105">
      <formula>G2&lt;&gt;"PRIMARY READY"</formula>
    </cfRule>
  </conditionalFormatting>
  <conditionalFormatting sqref="H2:H38">
    <cfRule type="expression" priority="2" dxfId="106">
      <formula>NOT(AND(OR($D2="retain",$D2=""),$E2="statistical_results"))</formula>
    </cfRule>
  </conditionalFormatting>
  <conditionalFormatting sqref="I2:I38">
    <cfRule type="expression" priority="3" dxfId="106">
      <formula>NOT(AND(OR($D2="retain",$D2=""),$E2="statistical_results"))</formula>
    </cfRule>
  </conditionalFormatting>
  <conditionalFormatting sqref="J2:J38">
    <cfRule type="expression" priority="4" dxfId="106">
      <formula>NOT(AND(OR($D2="retain",$D2=""),$E2="statistical_results"))</formula>
    </cfRule>
  </conditionalFormatting>
  <conditionalFormatting sqref="K2:K38">
    <cfRule type="expression" priority="5" dxfId="106">
      <formula>NOT(AND(OR($D2="retain",$D2=""),OR($E2="report_internal_inconsistency",$E2="plan_material")))</formula>
    </cfRule>
  </conditionalFormatting>
  <conditionalFormatting sqref="L2:L38">
    <cfRule type="expression" priority="6" dxfId="106">
      <formula>NOT(AND(OR($D2="retain",$D2=""),$E2="protocol_report"))</formula>
    </cfRule>
  </conditionalFormatting>
  <dataValidations count="8">
    <dataValidation sqref="D2:D38" showDropDown="0" showInputMessage="0" showErrorMessage="1" allowBlank="1" errorTitle="Use an allowed option" error="Choose an option from the list; see Codebook." type="list" errorStyle="stop">
      <formula1>"retain,exclude,discuss"</formula1>
    </dataValidation>
    <dataValidation sqref="E2:E38"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38" showDropDown="0" showInputMessage="0" showErrorMessage="1" allowBlank="1" errorTitle="Use an allowed option" error="Choose an option from the list; see Codebook." type="list" errorStyle="stop">
      <formula1>"no,primary_done"</formula1>
    </dataValidation>
    <dataValidation sqref="H2:H38"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38" showDropDown="0" showInputMessage="0" showErrorMessage="1" allowBlank="1" errorTitle="Use an allowed option" error="Choose an option from the list; see Codebook." type="list" errorStyle="stop">
      <formula1>"substantive,minor_presentation,indeterminate,not_applicable"</formula1>
    </dataValidation>
    <dataValidation sqref="J2:J38" showDropDown="0" showInputMessage="0" showErrorMessage="1" allowBlank="1" errorTitle="Use an allowed option" error="Choose an option from the list; see Codebook." type="list" errorStyle="stop">
      <formula1>"direct,possible,unlikely,unknown,not_applicable"</formula1>
    </dataValidation>
    <dataValidation sqref="K2:K38"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38"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13"/>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2025::jama.2025.15185::C001</t>
        </is>
      </c>
      <c r="B2" s="12" t="inlineStr">
        <is>
          <t>Baseline index-stroke type counts differ across baseline tables</t>
        </is>
      </c>
      <c r="C2" s="12" t="inlineStr">
        <is>
          <t>DOC-001, main article — PDF p. 4, Table 1; DOC-004, Supplement 3 — PDF p. 10 and PDF p. 11, eTable 1.</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2025.15185::"))&lt;&gt;"2025::jama.2025.15185::"),"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Levodopa stroke type: Table 1 ischemic 260/hemorrhagic 47; eTable 1 levodopa column 263/44. eTable's own overall column (519 ischemic, 91 hemorrhagic) equals placebo 259/44 + 260/47, so the eTable levodopa column is the outlier. 3-participant discrepancy.</t>
        </is>
      </c>
    </row>
    <row r="3" ht="92" customFormat="1" customHeight="1" s="8">
      <c r="A3" s="11" t="inlineStr">
        <is>
          <t>2025::jama.2025.15185::C002</t>
        </is>
      </c>
      <c r="B3" s="11" t="inlineStr">
        <is>
          <t>Baseline NIHSS statistic and label do not reconcile across tables</t>
        </is>
      </c>
      <c r="C3" s="11" t="inlineStr">
        <is>
          <t>DOC-001, main article — PDF p. 4, Table 1, and PDF p. 5, Results; DOC-004, Supplement 3 — PDF p. 11, eTable 1.</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2025.15185::"))&lt;&gt;"2025::jama.2025.15185::"),"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minor_presentation</t>
        </is>
      </c>
      <c r="L3" s="13">
        <f>IF(AND(OR(D3="retain",D3=""),E3="protocol_report"),"","not_applicable")</f>
        <v/>
      </c>
      <c r="M3" s="19" t="n"/>
      <c r="N3" s="19" t="n"/>
      <c r="O3" s="19" t="n"/>
      <c r="P3" s="19" t="n"/>
      <c r="Q3" s="19" t="n"/>
      <c r="R3" s="13" t="inlineStr">
        <is>
          <t>eTable 1 'Median NIHSS at randomization [IQR]' prints 8.2 (3.9)/8.3 (3.8)/8.2 (3.9), a mean (SD) format; Table 1 gives medians 7 (5-11) and 8 (5-10). The NIHSS medians/IQRs appear instead in the eTable 'time from stroke onset' row (see C003). Label/row error.</t>
        </is>
      </c>
    </row>
    <row r="4" ht="92" customFormat="1" customHeight="1" s="8">
      <c r="A4" s="12" t="inlineStr">
        <is>
          <t>2025::jama.2025.15185::C003</t>
        </is>
      </c>
      <c r="B4" s="12" t="inlineStr">
        <is>
          <t>Time from stroke onset to randomization differs across baseline tables</t>
        </is>
      </c>
      <c r="C4" s="12" t="inlineStr">
        <is>
          <t>DOC-001, main article — PDF p. 4, Table 1; DOC-004, Supplement 3 — PDF p. 11, eTable 1.</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2025.15185::"))&lt;&gt;"2025::jama.2025.15185::"),"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substantive_inconsistency</t>
        </is>
      </c>
      <c r="L4" s="13">
        <f>IF(AND(OR(D4="retain",D4=""),E4="protocol_report"),"","not_applicable")</f>
        <v/>
      </c>
      <c r="M4" s="19" t="n"/>
      <c r="N4" s="19" t="n"/>
      <c r="O4" s="19" t="n"/>
      <c r="P4" s="19" t="n"/>
      <c r="Q4" s="19" t="n"/>
      <c r="R4" s="13" t="inlineStr">
        <is>
          <t>Time from onset to randomization: Table 1 3.0 (2.0-5.0) d both arms; eTable 1 7 [5,10]/8 [5,10]/7 [5-11], which are the NIHSS medians/IQRs. Eligibility required stroke &lt;=7 days, so a median of 8 days is implausible. eTable row is mislabeled and the true supplement value is missing.</t>
        </is>
      </c>
    </row>
    <row r="5" ht="92" customFormat="1" customHeight="1" s="8">
      <c r="A5" s="11" t="inlineStr">
        <is>
          <t>2025::jama.2025.15185::C004</t>
        </is>
      </c>
      <c r="B5" s="11" t="inlineStr">
        <is>
          <t>Estimand 4 confidence-interval upper endpoint differs within eTable 2</t>
        </is>
      </c>
      <c r="C5" s="11" t="inlineStr">
        <is>
          <t>DOC-004, Supplement 3 — PDF p. 12, eTable 2 narrative; PDF p. 13, Estimand 4 row.</t>
        </is>
      </c>
      <c r="D5" s="7" t="inlineStr">
        <is>
          <t>retain</t>
        </is>
      </c>
      <c r="E5" s="7" t="inlineStr">
        <is>
          <t>statistical_results</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2025.15185::"))&lt;&gt;"2025::jama.2025.15185::"),"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inlineStr">
        <is>
          <t>confirmed_issue</t>
        </is>
      </c>
      <c r="I5" s="7" t="inlineStr">
        <is>
          <t>minor_presentation</t>
        </is>
      </c>
      <c r="J5" s="13" t="inlineStr">
        <is>
          <t>unlikely</t>
        </is>
      </c>
      <c r="K5" s="7">
        <f>IF(AND(OR(D5="retain",D5=""),OR(E5="report_internal_inconsistency",E5="plan_material")),"","not_applicable")</f>
        <v/>
      </c>
      <c r="L5" s="13">
        <f>IF(AND(OR(D5="retain",D5=""),E5="protocol_report"),"","not_applicable")</f>
        <v/>
      </c>
      <c r="M5" s="19" t="n"/>
      <c r="N5" s="19" t="n"/>
      <c r="O5" s="19" t="n"/>
      <c r="P5" s="19" t="n"/>
      <c r="Q5" s="19" t="n"/>
      <c r="R5" s="13" t="inlineStr">
        <is>
          <t>Estimand 4 win ratio: eTable 2 narrative 1.06 (95% CI 0.86 to 1.25); eTable 2 row 1.06 [0.86-1.26]. Upper limit differs by 0.01; interpretation unchanged.</t>
        </is>
      </c>
    </row>
    <row r="6" ht="92" customFormat="1" customHeight="1" s="8">
      <c r="A6" s="12" t="inlineStr">
        <is>
          <t>2025::jama.2025.15185::C005</t>
        </is>
      </c>
      <c r="B6" s="12" t="inlineStr">
        <is>
          <t>Levodopa PROMIS-29 descriptive mean differs between main text and eTable 4</t>
        </is>
      </c>
      <c r="C6" s="12" t="inlineStr">
        <is>
          <t>DOC-001, main article — PDF p. 6, Secondary Outcomes; DOC-004, Supplement 3 — PDF p. 15, eTable 4.</t>
        </is>
      </c>
      <c r="D6" s="7" t="inlineStr">
        <is>
          <t>retain</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2025.15185::"))&lt;&gt;"2025::jama.2025.15185::"),"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t="inlineStr">
        <is>
          <t>minor_presentation</t>
        </is>
      </c>
      <c r="L6" s="13">
        <f>IF(AND(OR(D6="retain",D6=""),E6="protocol_report"),"","not_applicable")</f>
        <v/>
      </c>
      <c r="M6" s="19" t="n"/>
      <c r="N6" s="19" t="n"/>
      <c r="O6" s="19" t="n"/>
      <c r="P6" s="19" t="n"/>
      <c r="Q6" s="19" t="n"/>
      <c r="R6" s="13" t="inlineStr">
        <is>
          <t>PROMIS-29 at 3 months: text gives levodopa 66 (14), placebo 65 (14); eTable 4 gives 64.74 (14.33) and 65.11 (13.79). Levodopa should round to 65, and the descriptive ordering is reversed. Adjusted MD -0.37 (-3.34 to 2.61) matches.</t>
        </is>
      </c>
    </row>
    <row r="7" ht="92" customFormat="1" customHeight="1" s="8">
      <c r="A7" s="11" t="inlineStr">
        <is>
          <t>2025::jama.2025.15185::C006</t>
        </is>
      </c>
      <c r="B7" s="11" t="inlineStr">
        <is>
          <t>PROMIS-10 descriptive means differ between main text and eTable 4</t>
        </is>
      </c>
      <c r="C7" s="11" t="inlineStr">
        <is>
          <t>DOC-001, main article — PDF p. 6, Secondary Outcomes; DOC-004, Supplement 3 — PDF p. 15, eTable 4.</t>
        </is>
      </c>
      <c r="D7" s="7" t="inlineStr">
        <is>
          <t>retain</t>
        </is>
      </c>
      <c r="E7" s="7" t="inlineStr">
        <is>
          <t>report_internal_inconsistency</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2025.15185::"))&lt;&gt;"2025::jama.2025.15185::"),"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t="inlineStr">
        <is>
          <t>minor_presentation</t>
        </is>
      </c>
      <c r="L7" s="13">
        <f>IF(AND(OR(D7="retain",D7=""),E7="protocol_report"),"","not_applicable")</f>
        <v/>
      </c>
      <c r="M7" s="19" t="n"/>
      <c r="N7" s="19" t="n"/>
      <c r="O7" s="19" t="n"/>
      <c r="P7" s="19" t="n"/>
      <c r="Q7" s="19" t="n"/>
      <c r="R7" s="13" t="inlineStr">
        <is>
          <t>PROMIS-10 at 3 months: text 28 (6) in both groups; eTable 4 29.87 (5.74) placebo and 30.04 (5.73) levodopa (both round to 30). A 2-point difference in both arm means; adjusted MD 0.18 (-0.98 to 1.33) agrees.</t>
        </is>
      </c>
    </row>
    <row r="8" ht="92" customFormat="1" customHeight="1" s="8">
      <c r="A8" s="12" t="inlineStr">
        <is>
          <t>2025::jama.2025.15185::C007</t>
        </is>
      </c>
      <c r="B8" s="12" t="inlineStr">
        <is>
          <t>Placebo five-week FMA standard deviation differs from eTable 4</t>
        </is>
      </c>
      <c r="C8" s="12" t="inlineStr">
        <is>
          <t>DOC-001, main article — PDF p. 6, Secondary Outcomes; DOC-004, Supplement 3 — PDF p. 15, eTable 4.</t>
        </is>
      </c>
      <c r="D8" s="7" t="inlineStr">
        <is>
          <t>retain</t>
        </is>
      </c>
      <c r="E8" s="7" t="inlineStr">
        <is>
          <t>report_internal_inconsistency</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2025.15185::"))&lt;&gt;"2025::jama.2025.15185::"),"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t="inlineStr">
        <is>
          <t>minor_presentation</t>
        </is>
      </c>
      <c r="L8" s="13">
        <f>IF(AND(OR(D8="retain",D8=""),E8="protocol_report"),"","not_applicable")</f>
        <v/>
      </c>
      <c r="M8" s="19" t="n"/>
      <c r="N8" s="19" t="n"/>
      <c r="O8" s="19" t="n"/>
      <c r="P8" s="19" t="n"/>
      <c r="Q8" s="19" t="n"/>
      <c r="R8" s="13" t="inlineStr">
        <is>
          <t>FMA total at 5 weeks, placebo: text 56 (26); eTable 4 56.27 (25.20), so SD should round to 25. Levodopa 57 (27) matches 57.37 (26.70). One-point SD discrepancy; trivial.</t>
        </is>
      </c>
    </row>
    <row r="9" ht="92" customFormat="1" customHeight="1" s="8">
      <c r="A9" s="11" t="inlineStr">
        <is>
          <t>2025::jama.2025.15185::C008</t>
        </is>
      </c>
      <c r="B9" s="11" t="inlineStr">
        <is>
          <t>Placebo PRAI no-improvement numerator differs between main text and eTable 4</t>
        </is>
      </c>
      <c r="C9" s="11" t="inlineStr">
        <is>
          <t>DOC-001, main article — PDF p. 6, Secondary Outcomes; DOC-004, Supplement 3 — PDF p. 15, eTable 4.</t>
        </is>
      </c>
      <c r="D9" s="7" t="inlineStr">
        <is>
          <t>retain</t>
        </is>
      </c>
      <c r="E9" s="7" t="inlineStr">
        <is>
          <t>report_internal_inconsistency</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2025.15185::"))&lt;&gt;"2025::jama.2025.15185::"),"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t="inlineStr">
        <is>
          <t>minor_presentation</t>
        </is>
      </c>
      <c r="L9" s="13">
        <f>IF(AND(OR(D9="retain",D9=""),E9="protocol_report"),"","not_applicable")</f>
        <v/>
      </c>
      <c r="M9" s="19" t="n"/>
      <c r="N9" s="19" t="n"/>
      <c r="O9" s="19" t="n"/>
      <c r="P9" s="19" t="n"/>
      <c r="Q9" s="19" t="n"/>
      <c r="R9" s="13" t="inlineStr">
        <is>
          <t>PRAI no (relevant) improvement, placebo: text 52/270 (19%); eTable 4 51 (18.89%) with n=270. 51/270=18.9%, 52/270=19.3%. One-participant discrepancy; levodopa 51/276 agrees.</t>
        </is>
      </c>
    </row>
    <row r="10" ht="92" customFormat="1" customHeight="1" s="8">
      <c r="A10" s="12" t="inlineStr">
        <is>
          <t>2025::jama.2025.15185::C009</t>
        </is>
      </c>
      <c r="B10" s="12" t="inlineStr">
        <is>
          <t>eTable 6 overall adverse-event total is one below arms and category sums</t>
        </is>
      </c>
      <c r="C10" s="12" t="inlineStr">
        <is>
          <t>DOC-001, main article — PDF p. 6, Table 2 and narrative, and PDF p. 7; DOC-004, Supplement 3 — PDF p. 17, eTable 6.</t>
        </is>
      </c>
      <c r="D10" s="7" t="inlineStr">
        <is>
          <t>retain</t>
        </is>
      </c>
      <c r="E10" s="7" t="inlineStr">
        <is>
          <t>statistical_results</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LEFT(A10,LEN("2025::jama.2025.15185::"))&lt;&gt;"2025::jama.2025.15185::"),"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inlineStr">
        <is>
          <t>confirmed_issue</t>
        </is>
      </c>
      <c r="I10" s="7" t="inlineStr">
        <is>
          <t>minor_presentation</t>
        </is>
      </c>
      <c r="J10" s="13" t="inlineStr">
        <is>
          <t>unlikely</t>
        </is>
      </c>
      <c r="K10" s="7">
        <f>IF(AND(OR(D10="retain",D10=""),OR(E10="report_internal_inconsistency",E10="plan_material")),"","not_applicable")</f>
        <v/>
      </c>
      <c r="L10" s="13">
        <f>IF(AND(OR(D10="retain",D10=""),E10="protocol_report"),"","not_applicable")</f>
        <v/>
      </c>
      <c r="M10" s="19" t="n"/>
      <c r="N10" s="19" t="n"/>
      <c r="O10" s="19" t="n"/>
      <c r="P10" s="19" t="n"/>
      <c r="Q10" s="19" t="n"/>
      <c r="R10" s="13" t="inlineStr">
        <is>
          <t>eTable 6 overall n=145, but placebo 67 + levodopa 79 = 146, and every category block sums to 146 (intensity 58+86+2; outcome 1+29+116; relation 2+66+23+2+39+14). Main text also reports 146. Header typo.</t>
        </is>
      </c>
    </row>
    <row r="11" ht="92" customFormat="1" customHeight="1" s="8">
      <c r="A11" s="11" t="inlineStr">
        <is>
          <t>2025::jama.2025.15185::C010</t>
        </is>
      </c>
      <c r="B11" s="11" t="inlineStr">
        <is>
          <t>eFigure 4 switches locally from FMA to FMMA without qualification</t>
        </is>
      </c>
      <c r="C11" s="11" t="inlineStr">
        <is>
          <t>DOC-004, Supplement 3 — PDF p. 23, eFigure 4; DOC-003, Supplement 2 — PDF p. 2, SAP objective; DOC-001, main article — PDF p. 1, PDF p. 3, and PDF p. 6.</t>
        </is>
      </c>
      <c r="D11" s="7" t="inlineStr">
        <is>
          <t>exclude</t>
        </is>
      </c>
      <c r="E11" s="7" t="inlineStr">
        <is>
          <t>report_internal_inconsistency</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LEFT(A11,LEN("2025::jama.2025.15185::"))&lt;&gt;"2025::jama.2025.15185::"),"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inlineStr">
        <is>
          <t>Excluded: eFigure 4 uses FMA in the title and 'FMMA points' on the axis. The supplement legend defines FMA as Fugl-Meyer Motor Assessment and the SAP abbreviates the same instrument FMMA. Synonymous abbreviations; no conflict in meaning.</t>
        </is>
      </c>
    </row>
    <row r="12" ht="92" customFormat="1" customHeight="1" s="8">
      <c r="A12" s="12" t="inlineStr">
        <is>
          <t>2025::jama.2025.15185::C011</t>
        </is>
      </c>
      <c r="B12" s="12" t="inlineStr">
        <is>
          <t>Estimand 4 win ratio appears under an FMA mean-difference column heading</t>
        </is>
      </c>
      <c r="C12" s="12" t="inlineStr">
        <is>
          <t>DOC-004, Supplement 3 — PDF p. 13, eTable 2 column heading and Estimand 4 row.</t>
        </is>
      </c>
      <c r="D12" s="7" t="inlineStr">
        <is>
          <t>retain</t>
        </is>
      </c>
      <c r="E12" s="7" t="inlineStr">
        <is>
          <t>report_internal_inconsistency</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LEFT(A12,LEN("2025::jama.2025.15185::"))&lt;&gt;"2025::jama.2025.15185::"),"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f>IF(AND(OR(D12="retain",D12=""),E12="statistical_results"),"","not_applicable")</f>
        <v/>
      </c>
      <c r="I12" s="7">
        <f>IF(AND(OR(D12="retain",D12=""),E12="statistical_results"),"","not_applicable")</f>
        <v/>
      </c>
      <c r="J12" s="13">
        <f>IF(AND(OR(D12="retain",D12=""),E12="statistical_results"),"","not_applicable")</f>
        <v/>
      </c>
      <c r="K12" s="7" t="inlineStr">
        <is>
          <t>minor_presentation</t>
        </is>
      </c>
      <c r="L12" s="13">
        <f>IF(AND(OR(D12="retain",D12=""),E12="protocol_report"),"","not_applicable")</f>
        <v/>
      </c>
      <c r="M12" s="19" t="n"/>
      <c r="N12" s="19" t="n"/>
      <c r="O12" s="19" t="n"/>
      <c r="P12" s="19" t="n"/>
      <c r="Q12" s="19" t="n"/>
      <c r="R12" s="13" t="inlineStr">
        <is>
          <t>eTable 2 effect column is headed 'Mean Difference on FMA, [CI]', but the Estimand 4 row is a win ratio 1.06 [0.86-1.26]; the row's own summary cell says 'win ratio [95% CI]'. Heading does not apply to this row; meaning recoverable from the row.</t>
        </is>
      </c>
    </row>
    <row r="13" ht="92" customFormat="1" customHeight="1" s="8">
      <c r="A13" s="11" t="inlineStr">
        <is>
          <t>2025::jama.2025.15185::C012</t>
        </is>
      </c>
      <c r="B13" s="11" t="inlineStr">
        <is>
          <t>Estimand 4 is called an odds ratio in prose and a win ratio in the table</t>
        </is>
      </c>
      <c r="C13" s="11" t="inlineStr">
        <is>
          <t>DOC-004, Supplement 3 — PDF p. 12, eTable 2 narrative; PDF p. 13, Estimand 4 row.</t>
        </is>
      </c>
      <c r="D13" s="7" t="inlineStr">
        <is>
          <t>retain</t>
        </is>
      </c>
      <c r="E13" s="7" t="inlineStr">
        <is>
          <t>report_internal_inconsistency</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LEFT(A13,LEN("2025::jama.2025.15185::"))&lt;&gt;"2025::jama.2025.15185::"),"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f>IF(AND(OR(D13="retain",D13=""),E13="statistical_results"),"","not_applicable")</f>
        <v/>
      </c>
      <c r="I13" s="7">
        <f>IF(AND(OR(D13="retain",D13=""),E13="statistical_results"),"","not_applicable")</f>
        <v/>
      </c>
      <c r="J13" s="13">
        <f>IF(AND(OR(D13="retain",D13=""),E13="statistical_results"),"","not_applicable")</f>
        <v/>
      </c>
      <c r="K13" s="7" t="inlineStr">
        <is>
          <t>minor_presentation</t>
        </is>
      </c>
      <c r="L13" s="13">
        <f>IF(AND(OR(D13="retain",D13=""),E13="protocol_report"),"","not_applicable")</f>
        <v/>
      </c>
      <c r="M13" s="19" t="n"/>
      <c r="N13" s="19" t="n"/>
      <c r="O13" s="19" t="n"/>
      <c r="P13" s="19" t="n"/>
      <c r="Q13" s="19" t="n"/>
      <c r="R13" s="13" t="inlineStr">
        <is>
          <t>Estimand 4: eTable 2 narrative calls 1.06 (0.86 to 1.25) 'an odds ratio' obtained from win ratios; the table row calls it a win ratio. A win ratio and an odds ratio are different estimands, so the label is wrong in one place; the null conclusion is unaffected.</t>
        </is>
      </c>
    </row>
  </sheetData>
  <autoFilter ref="A1:R13"/>
  <conditionalFormatting sqref="G2:G13">
    <cfRule type="expression" priority="1" dxfId="105">
      <formula>G2&lt;&gt;"PRIMARY READY"</formula>
    </cfRule>
  </conditionalFormatting>
  <conditionalFormatting sqref="H2:H13">
    <cfRule type="expression" priority="2" dxfId="106">
      <formula>NOT(AND(OR($D2="retain",$D2=""),$E2="statistical_results"))</formula>
    </cfRule>
  </conditionalFormatting>
  <conditionalFormatting sqref="I2:I13">
    <cfRule type="expression" priority="3" dxfId="106">
      <formula>NOT(AND(OR($D2="retain",$D2=""),$E2="statistical_results"))</formula>
    </cfRule>
  </conditionalFormatting>
  <conditionalFormatting sqref="J2:J13">
    <cfRule type="expression" priority="4" dxfId="106">
      <formula>NOT(AND(OR($D2="retain",$D2=""),$E2="statistical_results"))</formula>
    </cfRule>
  </conditionalFormatting>
  <conditionalFormatting sqref="K2:K13">
    <cfRule type="expression" priority="5" dxfId="106">
      <formula>NOT(AND(OR($D2="retain",$D2=""),OR($E2="report_internal_inconsistency",$E2="plan_material")))</formula>
    </cfRule>
  </conditionalFormatting>
  <conditionalFormatting sqref="L2:L13">
    <cfRule type="expression" priority="6" dxfId="106">
      <formula>NOT(AND(OR($D2="retain",$D2=""),$E2="protocol_report"))</formula>
    </cfRule>
  </conditionalFormatting>
  <dataValidations count="8">
    <dataValidation sqref="D2:D13" showDropDown="0" showInputMessage="0" showErrorMessage="1" allowBlank="1" errorTitle="Use an allowed option" error="Choose an option from the list; see Codebook." type="list" errorStyle="stop">
      <formula1>"retain,exclude,discuss"</formula1>
    </dataValidation>
    <dataValidation sqref="E2:E13"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3" showDropDown="0" showInputMessage="0" showErrorMessage="1" allowBlank="1" errorTitle="Use an allowed option" error="Choose an option from the list; see Codebook." type="list" errorStyle="stop">
      <formula1>"no,primary_done"</formula1>
    </dataValidation>
    <dataValidation sqref="H2:H13"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3"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3" showDropDown="0" showInputMessage="0" showErrorMessage="1" allowBlank="1" errorTitle="Use an allowed option" error="Choose an option from the list; see Codebook." type="list" errorStyle="stop">
      <formula1>"direct,possible,unlikely,unknown,not_applicable"</formula1>
    </dataValidation>
    <dataValidation sqref="K2:K13"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3"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3"/>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2025::jama.2025.15440::C001</t>
        </is>
      </c>
      <c r="B2" s="12" t="inlineStr">
        <is>
          <t>Conflicting confidence intervals for the matched any-stroke rate ratio</t>
        </is>
      </c>
      <c r="C2" s="12" t="inlineStr">
        <is>
          <t>DOC-001: jama_wijesurendra_2025_oi_250068_1760999665.28362.pdf — PDF p. 1 (abstract); PDF p. 5 (results narrative); and PDF p. 7 (Figure 4B).</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2025.15440::"))&lt;&gt;"2025::jama.2025.15440::"),"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Any stroke 69 vs 64, rate ratio 1.08: abstract 95% CI 0.76-1.53; Figure 4B 0.77-1.51. A crude Poisson interval from the counts, 1.078 x exp(+/-1.96 x sqrt(1/69+1/64)), gives 0.77-1.51, matching the figure. Abstract endpoints slightly off; inference unchanged.</t>
        </is>
      </c>
    </row>
    <row r="3" ht="92" customFormat="1" customHeight="1" s="8">
      <c r="A3" s="11" t="inlineStr">
        <is>
          <t>2025::jama.2025.15440::C002</t>
        </is>
      </c>
      <c r="B3" s="11" t="inlineStr">
        <is>
          <t>Stroke subtype counts do not partition the displayed any-stroke count in the patch group</t>
        </is>
      </c>
      <c r="C3" s="11" t="inlineStr">
        <is>
          <t>DOC-001: jama_wijesurendra_2025_oi_250068_1760999665.28362.pdf — PDF p. 7, Figure 4B rows Presumed ischemic stroke, Hemorrhagic stroke, and Any stroke, including its caption/footnote. The matching any-stroke total also appears on PDF p. 5 and PDF p. 1.</t>
        </is>
      </c>
      <c r="D3" s="7" t="inlineStr">
        <is>
          <t>exclude</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2025.15440::"))&lt;&gt;"2025::jama.2025.15440::"),"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inlineStr">
        <is>
          <t>Excluded: Figure 4B patch arm shows presumed ischemic 60 + hemorrhagic 12 = 72 vs any stroke 69. Rows are participant-level time-to-first-event outcomes (percentages use n=2520), so a participant with both stroke types counts in each subtype row but once in 'any stroke'. Three such participants is plausible; rows are not presented as a partition.</t>
        </is>
      </c>
    </row>
  </sheetData>
  <autoFilter ref="A1:R3"/>
  <conditionalFormatting sqref="G2:G3">
    <cfRule type="expression" priority="1" dxfId="105">
      <formula>G2&lt;&gt;"PRIMARY READY"</formula>
    </cfRule>
  </conditionalFormatting>
  <conditionalFormatting sqref="H2:H3">
    <cfRule type="expression" priority="2" dxfId="106">
      <formula>NOT(AND(OR($D2="retain",$D2=""),$E2="statistical_results"))</formula>
    </cfRule>
  </conditionalFormatting>
  <conditionalFormatting sqref="I2:I3">
    <cfRule type="expression" priority="3" dxfId="106">
      <formula>NOT(AND(OR($D2="retain",$D2=""),$E2="statistical_results"))</formula>
    </cfRule>
  </conditionalFormatting>
  <conditionalFormatting sqref="J2:J3">
    <cfRule type="expression" priority="4" dxfId="106">
      <formula>NOT(AND(OR($D2="retain",$D2=""),$E2="statistical_results"))</formula>
    </cfRule>
  </conditionalFormatting>
  <conditionalFormatting sqref="K2:K3">
    <cfRule type="expression" priority="5" dxfId="106">
      <formula>NOT(AND(OR($D2="retain",$D2=""),OR($E2="report_internal_inconsistency",$E2="plan_material")))</formula>
    </cfRule>
  </conditionalFormatting>
  <conditionalFormatting sqref="L2:L3">
    <cfRule type="expression" priority="6" dxfId="106">
      <formula>NOT(AND(OR($D2="retain",$D2=""),$E2="protocol_report"))</formula>
    </cfRule>
  </conditionalFormatting>
  <dataValidations count="8">
    <dataValidation sqref="D2:D3" showDropDown="0" showInputMessage="0" showErrorMessage="1" allowBlank="1" errorTitle="Use an allowed option" error="Choose an option from the list; see Codebook." type="list" errorStyle="stop">
      <formula1>"retain,exclude,discuss"</formula1>
    </dataValidation>
    <dataValidation sqref="E2:E3"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3" showDropDown="0" showInputMessage="0" showErrorMessage="1" allowBlank="1" errorTitle="Use an allowed option" error="Choose an option from the list; see Codebook." type="list" errorStyle="stop">
      <formula1>"no,primary_done"</formula1>
    </dataValidation>
    <dataValidation sqref="H2:H3"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3" showDropDown="0" showInputMessage="0" showErrorMessage="1" allowBlank="1" errorTitle="Use an allowed option" error="Choose an option from the list; see Codebook." type="list" errorStyle="stop">
      <formula1>"substantive,minor_presentation,indeterminate,not_applicable"</formula1>
    </dataValidation>
    <dataValidation sqref="J2:J3" showDropDown="0" showInputMessage="0" showErrorMessage="1" allowBlank="1" errorTitle="Use an allowed option" error="Choose an option from the list; see Codebook." type="list" errorStyle="stop">
      <formula1>"direct,possible,unlikely,unknown,not_applicable"</formula1>
    </dataValidation>
    <dataValidation sqref="K2:K3"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3"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11"/>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2025::jama.2025.16450::C001</t>
        </is>
      </c>
      <c r="B2" s="12" t="inlineStr">
        <is>
          <t>eTable 4 expands RR as risk difference although the table reports relative risk</t>
        </is>
      </c>
      <c r="C2" s="12" t="inlineStr">
        <is>
          <t>DOC-005 results supplement — PDF p. 7 (eTable 4 header and PDA row); results supplement — PDF p. 8 (abbreviations and binary-outcome model text).</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2025.16450::"))&lt;&gt;"2025::jama.2025.16450::"),"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eTable 4 abbreviation list defines 'RR = risk difference', but the table header and the methods note in the same footnote say binary outcomes report relative risks from robust Poisson regression, and the estimates are ratios (e.g., 0.86). Copyediting error; meaning clear from context.</t>
        </is>
      </c>
    </row>
    <row r="3" ht="92" customFormat="1" customHeight="1" s="8">
      <c r="A3" s="11" t="inlineStr">
        <is>
          <t>2025::jama.2025.16450::C002</t>
        </is>
      </c>
      <c r="B3" s="11" t="inlineStr">
        <is>
          <t>Registered eligibility-bound discrepancy is not reproduced on direct-source recheck</t>
        </is>
      </c>
      <c r="C3" s="11" t="inlineStr">
        <is>
          <t>DOC-002 protocol — PDF p. 4; DOC-003 manual — PDF p. 7; DOC-004 SAP — PDF p. 8 and SAP — PDF p. 15; DOC-001 main article — PDF p. 2.</t>
        </is>
      </c>
      <c r="D3" s="7" t="inlineStr">
        <is>
          <t>exclude</t>
        </is>
      </c>
      <c r="E3" s="7" t="inlineStr">
        <is>
          <t>protocol_report</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2025.16450::"))&lt;&gt;"2025::jama.2025.16450::"),"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inlineStr">
        <is>
          <t>Excluded: protocol (p.4) prints eligibility 22 0/7 - 28 6/7 weeks, as does the article (22 weeks 0 days to 28 weeks 6 days). No discrepancy; the earlier '27 6/7' was an extraction error.</t>
        </is>
      </c>
    </row>
    <row r="4" ht="92" customFormat="1" customHeight="1" s="8">
      <c r="A4" s="12" t="inlineStr">
        <is>
          <t>2025::jama.2025.16450::C003</t>
        </is>
      </c>
      <c r="B4" s="12" t="inlineStr">
        <is>
          <t>Registered first-dose discrepancy is not reproduced on direct-source recheck</t>
        </is>
      </c>
      <c r="C4" s="12" t="inlineStr">
        <is>
          <t>DOC-002 protocol — PDF p. 4; DOC-003 manual — PDF p. 7 and manual — PDF p. 12; DOC-004 SAP — PDF p. 8; DOC-001 main article — PDF p. 2; DOC-005 results supplement — PDF p. 4.</t>
        </is>
      </c>
      <c r="D4" s="7" t="inlineStr">
        <is>
          <t>exclude</t>
        </is>
      </c>
      <c r="E4" s="7" t="inlineStr">
        <is>
          <t>protocol_report</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2025.16450::"))&lt;&gt;"2025::jama.2025.16450::"),"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inlineStr">
        <is>
          <t>Excluded: protocol abstract (p.4) gives Curosurf 2.5 mL/kg for the first dose in both arms, matching the article. No first-dose discrepancy.</t>
        </is>
      </c>
    </row>
    <row r="5" ht="92" customFormat="1" customHeight="1" s="8">
      <c r="A5" s="11" t="inlineStr">
        <is>
          <t>2025::jama.2025.16450::C004</t>
        </is>
      </c>
      <c r="B5" s="11" t="inlineStr">
        <is>
          <t>Severe-NDI GMFCS cutoff differs between the manual and SAP</t>
        </is>
      </c>
      <c r="C5" s="11" t="inlineStr">
        <is>
          <t>DOC-003 manual — PDF p. 14 and manual — PDF p. 16; DOC-004 SAP — PDF p. 10 and SAP — PDF p. 33.</t>
        </is>
      </c>
      <c r="D5" s="7" t="inlineStr">
        <is>
          <t>exclude</t>
        </is>
      </c>
      <c r="E5" s="7" t="inlineStr">
        <is>
          <t>plan_material</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2025.16450::"))&lt;&gt;"2025::jama.2025.16450::"),"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inlineStr">
        <is>
          <t>Excluded: the 2020 manual lists GMFCS 3-5 only as 'an example of such a definition', stating severe NDI will use the definition agreed at the first follow-up (BSID-IV transition). SAP v1.3 (2024) fixes GMFCS 4-5. The manual anticipates the later definition, so no conflict; 2-year outcomes are not reported here.</t>
        </is>
      </c>
    </row>
    <row r="6" ht="92" customFormat="1" customHeight="1" s="8">
      <c r="A6" s="12" t="inlineStr">
        <is>
          <t>2025::jama.2025.16450::C005</t>
        </is>
      </c>
      <c r="B6" s="12" t="inlineStr">
        <is>
          <t>Registered severe-NDI instrument-edition discrepancy is not reproduced on direct-source recheck</t>
        </is>
      </c>
      <c r="C6" s="12" t="inlineStr">
        <is>
          <t>DOC-003 manual — PDF p. 14 and manual — PDF p. 16; DOC-004 SAP — PDF p. 10, SAP — PDF p. 33, and SAP — PDF p. 34.</t>
        </is>
      </c>
      <c r="D6" s="7" t="inlineStr">
        <is>
          <t>exclude</t>
        </is>
      </c>
      <c r="E6" s="7" t="inlineStr">
        <is>
          <t>plan_material</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2025.16450::"))&lt;&gt;"2025::jama.2025.16450::"),"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inlineStr">
        <is>
          <t>Excluded: manual and SAP both specify BSID-IV (fourth edition) cognitive composite &lt;70; no Bayley-III wording on the cited pages.</t>
        </is>
      </c>
    </row>
    <row r="7" ht="92" customFormat="1" customHeight="1" s="8">
      <c r="A7" s="11" t="inlineStr">
        <is>
          <t>2025::jama.2025.16450::C006</t>
        </is>
      </c>
      <c r="B7" s="11" t="inlineStr">
        <is>
          <t>Registered first-interim-alpha discrepancy is not reproduced on direct-source recheck</t>
        </is>
      </c>
      <c r="C7" s="11" t="inlineStr">
        <is>
          <t>DOC-002 protocol — PDF p. 29; DOC-004 SAP — PDF p. 26.</t>
        </is>
      </c>
      <c r="D7" s="7" t="inlineStr">
        <is>
          <t>exclude</t>
        </is>
      </c>
      <c r="E7" s="7" t="inlineStr">
        <is>
          <t>plan_material</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2025.16450::"))&lt;&gt;"2025::jama.2025.16450::"),"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inlineStr">
        <is>
          <t>Excluded: protocol p.29 and SAP p.26 (page 19 of SAP) both print efficacy alpha 0.000015 at 25%, 0.0030 at 50%, 0.0183 at 75%, 0.0440 final. No mismatch.</t>
        </is>
      </c>
    </row>
    <row r="8" ht="92" customFormat="1" customHeight="1" s="8">
      <c r="A8" s="12" t="inlineStr">
        <is>
          <t>2025::jama.2025.16450::C007</t>
        </is>
      </c>
      <c r="B8" s="12" t="inlineStr">
        <is>
          <t>Final primary-analysis alpha differs between the article and prospective documents</t>
        </is>
      </c>
      <c r="C8" s="12" t="inlineStr">
        <is>
          <t>DOC-001 main article — PDF p. 3 and main article — PDF p. 7; DOC-002 protocol — PDF p. 29; DOC-004 SAP — PDF p. 26.</t>
        </is>
      </c>
      <c r="D8" s="7" t="inlineStr">
        <is>
          <t>exclude</t>
        </is>
      </c>
      <c r="E8" s="7" t="inlineStr">
        <is>
          <t>protocol_report</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2025.16450::"))&lt;&gt;"2025::jama.2025.16450::"),"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inlineStr">
        <is>
          <t>Excluded: SAP 7.4.2 states the final-analysis alpha 'will depend on if/when the prior analyses have taken place' and unspent alpha from skipped looks 'may be recovered'. Trial stopped for futility at 50% (75% look not done), so a final alpha of .049 rather than the nominal .0440 is consistent with the plan. Primary RR 1.00 (0.90-1.11), so immaterial.</t>
        </is>
      </c>
    </row>
    <row r="9" ht="92" customFormat="1" customHeight="1" s="8">
      <c r="A9" s="11" t="inlineStr">
        <is>
          <t>2025::jama.2025.16450::C008</t>
        </is>
      </c>
      <c r="B9" s="11" t="inlineStr">
        <is>
          <t>Trial center count differs between final and prospective documents</t>
        </is>
      </c>
      <c r="C9" s="11" t="inlineStr">
        <is>
          <t>DOC-001 main article — PDF p. 1; DOC-002 protocol — PDF p. 29; DOC-004 SAP — PDF p. 8.</t>
        </is>
      </c>
      <c r="D9" s="7" t="inlineStr">
        <is>
          <t>exclude</t>
        </is>
      </c>
      <c r="E9" s="7" t="inlineStr">
        <is>
          <t>protocol_report</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2025.16450::"))&lt;&gt;"2025::jama.2025.16450::"),"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inlineStr">
        <is>
          <t>Excluded: protocol and SAP say 'Given that there are 15 centers in the NRN' when discussing site adjustment; that describes network size at the time, not a planned or capped site count. The article reports 17 participating NRN centers. Not a planned-versus-reported change in conduct.</t>
        </is>
      </c>
    </row>
    <row r="10" ht="92" customFormat="1" customHeight="1" s="8">
      <c r="A10" s="12" t="inlineStr">
        <is>
          <t>2025::jama.2025.16450::C009</t>
        </is>
      </c>
      <c r="B10" s="12" t="inlineStr">
        <is>
          <t>Table 3 RR label conflicts with a stated common-OR approximation</t>
        </is>
      </c>
      <c r="C10" s="12" t="inlineStr">
        <is>
          <t>DOC-001 main article — PDF p. 8 (Table 3 additional open-label surfactant row and footnote g).</t>
        </is>
      </c>
      <c r="D10" s="7" t="inlineStr">
        <is>
          <t>exclude</t>
        </is>
      </c>
      <c r="E10" s="7" t="inlineStr">
        <is>
          <t>report_internal_inconsistency</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LEFT(A10,LEN("2025::jama.2025.16450::"))&lt;&gt;"2025::jama.2025.16450::"),"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f>IF(AND(OR(D10="retain",D10=""),E10="protocol_report"),"","not_applicable")</f>
        <v/>
      </c>
      <c r="M10" s="19" t="n"/>
      <c r="N10" s="19" t="n"/>
      <c r="O10" s="19" t="n"/>
      <c r="P10" s="19" t="n"/>
      <c r="Q10" s="19" t="n"/>
      <c r="R10" s="13" t="inlineStr">
        <is>
          <t>Excluded: Table 3 RR 0.69 (0.33-1.46) for 13/312 vs 18/299 is footnoted (g) as an RR estimated by Mantel-Haenszel methods approximated by the common OR after Poisson nonconvergence, as the Methods state. With 4-6% risks OR approximates RR (crude RR 0.692, crude OR 0.679). Transparent labeling, not a conflict.</t>
        </is>
      </c>
    </row>
    <row r="11" ht="92" customFormat="1" customHeight="1" s="8">
      <c r="A11" s="11" t="inlineStr">
        <is>
          <t>2025::jama.2025.16450::C010</t>
        </is>
      </c>
      <c r="B11" s="11" t="inlineStr">
        <is>
          <t>eTable 3 relative-risk header conflicts with odds-ratio approximation footnote</t>
        </is>
      </c>
      <c r="C11" s="11" t="inlineStr">
        <is>
          <t>DOC-005 results supplement — PDF p. 5 and results supplement — PDF p. 6 (eTable 3 header and footnote b).</t>
        </is>
      </c>
      <c r="D11" s="7" t="inlineStr">
        <is>
          <t>exclude</t>
        </is>
      </c>
      <c r="E11" s="7" t="inlineStr">
        <is>
          <t>report_internal_inconsistency</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LEFT(A11,LEN("2025::jama.2025.16450::"))&lt;&gt;"2025::jama.2025.16450::"),"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inlineStr">
        <is>
          <t>Excluded: eTable 3 header 'Relative Risk (95% CI)' with footnote b stating that for sparse rows RR 'was approximated by the crude (unadjusted) odds ratio with exact 95% CI'. Printed values match crude ORs (e.g., 3/322 vs 4/313 gives OR 0.726, printed 0.73). Disclosed approximation, consistent with Methods.</t>
        </is>
      </c>
    </row>
  </sheetData>
  <autoFilter ref="A1:R11"/>
  <conditionalFormatting sqref="G2:G11">
    <cfRule type="expression" priority="1" dxfId="105">
      <formula>G2&lt;&gt;"PRIMARY READY"</formula>
    </cfRule>
  </conditionalFormatting>
  <conditionalFormatting sqref="H2:H11">
    <cfRule type="expression" priority="2" dxfId="106">
      <formula>NOT(AND(OR($D2="retain",$D2=""),$E2="statistical_results"))</formula>
    </cfRule>
  </conditionalFormatting>
  <conditionalFormatting sqref="I2:I11">
    <cfRule type="expression" priority="3" dxfId="106">
      <formula>NOT(AND(OR($D2="retain",$D2=""),$E2="statistical_results"))</formula>
    </cfRule>
  </conditionalFormatting>
  <conditionalFormatting sqref="J2:J11">
    <cfRule type="expression" priority="4" dxfId="106">
      <formula>NOT(AND(OR($D2="retain",$D2=""),$E2="statistical_results"))</formula>
    </cfRule>
  </conditionalFormatting>
  <conditionalFormatting sqref="K2:K11">
    <cfRule type="expression" priority="5" dxfId="106">
      <formula>NOT(AND(OR($D2="retain",$D2=""),OR($E2="report_internal_inconsistency",$E2="plan_material")))</formula>
    </cfRule>
  </conditionalFormatting>
  <conditionalFormatting sqref="L2:L11">
    <cfRule type="expression" priority="6" dxfId="106">
      <formula>NOT(AND(OR($D2="retain",$D2=""),$E2="protocol_report"))</formula>
    </cfRule>
  </conditionalFormatting>
  <dataValidations count="8">
    <dataValidation sqref="D2:D11" showDropDown="0" showInputMessage="0" showErrorMessage="1" allowBlank="1" errorTitle="Use an allowed option" error="Choose an option from the list; see Codebook." type="list" errorStyle="stop">
      <formula1>"retain,exclude,discuss"</formula1>
    </dataValidation>
    <dataValidation sqref="E2:E11"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1" showDropDown="0" showInputMessage="0" showErrorMessage="1" allowBlank="1" errorTitle="Use an allowed option" error="Choose an option from the list; see Codebook." type="list" errorStyle="stop">
      <formula1>"no,primary_done"</formula1>
    </dataValidation>
    <dataValidation sqref="H2:H11"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1"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1" showDropDown="0" showInputMessage="0" showErrorMessage="1" allowBlank="1" errorTitle="Use an allowed option" error="Choose an option from the list; see Codebook." type="list" errorStyle="stop">
      <formula1>"direct,possible,unlikely,unknown,not_applicable"</formula1>
    </dataValidation>
    <dataValidation sqref="K2:K11"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1"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8"/>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2025::jama.2025.19563::C001</t>
        </is>
      </c>
      <c r="B2" s="12" t="inlineStr">
        <is>
          <t>Protocol and reported primary endpoint differ on the diabetes-range A1C failure condition</t>
        </is>
      </c>
      <c r="C2" s="12" t="inlineStr">
        <is>
          <t>DOC-002 protocol — PDF p. 15; DOC-001 main article — PDF p. 4; DOC-003 supplement — PDF p. 30 (explicit global-failure clause); DOC-003 supplement — PDF p. 56 (15-participant table).</t>
        </is>
      </c>
      <c r="D2" s="7" t="inlineStr">
        <is>
          <t>retain</t>
        </is>
      </c>
      <c r="E2" s="7" t="inlineStr">
        <is>
          <t>protocol_report</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2025.19563::"))&lt;&gt;"2025::jama.2025.19563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t="inlineStr">
        <is>
          <t>substantive_difference</t>
        </is>
      </c>
      <c r="M2" s="19" t="n"/>
      <c r="N2" s="19" t="n"/>
      <c r="O2" s="19" t="n"/>
      <c r="P2" s="19" t="n"/>
      <c r="Q2" s="19" t="n"/>
      <c r="R2" s="13" t="inlineStr">
        <is>
          <t>Protocol 3.2: primary endpoint = 1 if at least one of &gt;=5% weight loss, &gt;=4% loss plus &gt;=150 min/wk activity, or &gt;=0.2% A1C reduction. Article: composite achieved only among participants who maintained A1C &lt;6.5% throughout; supplement says diabetes-range A1C at 6/12 mo counted as failure regardless of other components. Primary endpoint definition differs.</t>
        </is>
      </c>
    </row>
    <row r="3" ht="92" customFormat="1" customHeight="1" s="8">
      <c r="A3" s="11" t="inlineStr">
        <is>
          <t>2025::jama.2025.19563::C002</t>
        </is>
      </c>
      <c r="B3" s="11" t="inlineStr">
        <is>
          <t>312 listed 12-month A1C measurements versus 313 participants with A1C available</t>
        </is>
      </c>
      <c r="C3" s="11" t="inlineStr">
        <is>
          <t>DOC-003 supplement — PDF p. 8; DOC-001 main article — PDF p. 4; DOC-001 main article — PDF p. 5; DOC-003 supplement — PDF p. 50.</t>
        </is>
      </c>
      <c r="D3" s="7" t="inlineStr">
        <is>
          <t>retain</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2025.19563::"))&lt;&gt;"2025::jama.2025.19563::"),"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inlineStr">
        <is>
          <t>confirmed_issue</t>
        </is>
      </c>
      <c r="I3" s="7" t="inlineStr">
        <is>
          <t>minor_presentation</t>
        </is>
      </c>
      <c r="J3" s="13" t="inlineStr">
        <is>
          <t>unlikely</t>
        </is>
      </c>
      <c r="K3" s="7">
        <f>IF(AND(OR(D3="retain",D3=""),OR(E3="report_internal_inconsistency",E3="plan_material")),"","not_applicable")</f>
        <v/>
      </c>
      <c r="L3" s="13">
        <f>IF(AND(OR(D3="retain",D3=""),E3="protocol_report"),"","not_applicable")</f>
        <v/>
      </c>
      <c r="M3" s="19" t="n"/>
      <c r="N3" s="19" t="n"/>
      <c r="O3" s="19" t="n"/>
      <c r="P3" s="19" t="n"/>
      <c r="Q3" s="19" t="n"/>
      <c r="R3" s="13" t="inlineStr">
        <is>
          <t>Supplement A1C device table, 12-month column: Afinion 282 + A1CNow+ 30 + serum 0 = 312, but 313 participants completed with complete outcomes (main text). Baseline column sums to 368. The text names a Siemens DCA Vantage device not listed in the table, a likely source of the missing 1.</t>
        </is>
      </c>
    </row>
    <row r="4" ht="92" customFormat="1" customHeight="1" s="8">
      <c r="A4" s="12" t="inlineStr">
        <is>
          <t>2025::jama.2025.19563::C003</t>
        </is>
      </c>
      <c r="B4" s="12" t="inlineStr">
        <is>
          <t>Figure 3 labels BMI values in kg/m² as “weight”</t>
        </is>
      </c>
      <c r="C4" s="12" t="inlineStr">
        <is>
          <t>DOC-001 main article — PDF p. 8; DOC-001 main article — PDF p. 6; DOC-003 supplement — PDF p. 53.</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2025.19563::"))&lt;&gt;"2025::jama.2025.19563::"),"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minor_presentation</t>
        </is>
      </c>
      <c r="L4" s="13">
        <f>IF(AND(OR(D4="retain",D4=""),E4="protocol_report"),"","not_applicable")</f>
        <v/>
      </c>
      <c r="M4" s="19" t="n"/>
      <c r="N4" s="19" t="n"/>
      <c r="O4" s="19" t="n"/>
      <c r="P4" s="19" t="n"/>
      <c r="Q4" s="19" t="n"/>
      <c r="R4" s="13" t="inlineStr">
        <is>
          <t>Figure 3 footnote: 'Baseline median (IQR) weight: 32.2 (28.2-35.9) kg/m2 ... 32.5 (29.3-37.7)'; these are the Table 1 BMI values and the unit is kg/m2. Label should be BMI; intended meaning recoverable.</t>
        </is>
      </c>
    </row>
    <row r="5" ht="92" customFormat="1" customHeight="1" s="8">
      <c r="A5" s="11" t="inlineStr">
        <is>
          <t>2025::jama.2025.19563::C004</t>
        </is>
      </c>
      <c r="B5" s="11" t="inlineStr">
        <is>
          <t>eTables 5-7 leave the comparator scope of a repeated age P value ambiguous</t>
        </is>
      </c>
      <c r="C5" s="11" t="inlineStr">
        <is>
          <t>DOC-003 supplement — PDF p. 39; DOC-003 supplement — PDF p. 43; DOC-003 supplement — PDF p. 45; DOC-003 supplement — PDF p. 47; DOC-001 main article — PDF p. 6.</t>
        </is>
      </c>
      <c r="D5" s="7" t="inlineStr">
        <is>
          <t>retain</t>
        </is>
      </c>
      <c r="E5" s="7" t="inlineStr">
        <is>
          <t>report_internal_inconsistency</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2025.19563::"))&lt;&gt;"2025::jama.2025.19563::"),"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t="inlineStr">
        <is>
          <t>minor_presentation</t>
        </is>
      </c>
      <c r="L5" s="13">
        <f>IF(AND(OR(D5="retain",D5=""),E5="protocol_report"),"","not_applicable")</f>
        <v/>
      </c>
      <c r="M5" s="19" t="n"/>
      <c r="N5" s="19" t="n"/>
      <c r="O5" s="19" t="n"/>
      <c r="P5" s="19" t="n"/>
      <c r="Q5" s="19" t="n"/>
      <c r="R5" s="13" t="inlineStr">
        <is>
          <t>Footnote 'Age differed between study groups (p = 0.014); all other baseline characteristics were similar' is repeated under eTables 5-7, which compare sites, A1C strata and completers vs dropouts. It refers to the randomized arms (main Table 1 P=.01), but in eTable 7 it sits beside a note that no characteristics differed. Confusing copied footnote.</t>
        </is>
      </c>
    </row>
    <row r="6" ht="92" customFormat="1" customHeight="1" s="8">
      <c r="A6" s="12" t="inlineStr">
        <is>
          <t>2025::jama.2025.19563::C005</t>
        </is>
      </c>
      <c r="B6" s="12" t="inlineStr">
        <is>
          <t>eTable 7 pairs “no statistically significant” with p&lt;0.05</t>
        </is>
      </c>
      <c r="C6" s="12" t="inlineStr">
        <is>
          <t>DOC-003 supplement — PDF p. 46; DOC-003 supplement — PDF p. 47.</t>
        </is>
      </c>
      <c r="D6" s="7" t="inlineStr">
        <is>
          <t>exclude</t>
        </is>
      </c>
      <c r="E6" s="7" t="inlineStr">
        <is>
          <t>statistical_results</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2025.19563::"))&lt;&gt;"2025::jama.2025.19563::"),"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inlineStr">
        <is>
          <t>Excluded: eTable 7 footnote 'No baseline characteristics were statistically significant different between groups (p&lt;0.05)' uses the parenthesis to state the significance threshold, a common shorthand, not a claim that p&lt;0.05. The apparent conflict with the age note is the copied-footnote problem already retained as C004.</t>
        </is>
      </c>
    </row>
    <row r="7" ht="92" customFormat="1" customHeight="1" s="8">
      <c r="A7" s="11" t="inlineStr">
        <is>
          <t>2025::jama.2025.19563::C006</t>
        </is>
      </c>
      <c r="B7" s="11" t="inlineStr">
        <is>
          <t>eTable 10b labels one comparison as both chi-squared and Wilcoxon rank-sum</t>
        </is>
      </c>
      <c r="C7" s="11" t="inlineStr">
        <is>
          <t>DOC-003 supplement — PDF p. 29; DOC-003 supplement — PDF p. 52.</t>
        </is>
      </c>
      <c r="D7" s="7" t="inlineStr">
        <is>
          <t>retain</t>
        </is>
      </c>
      <c r="E7" s="7" t="inlineStr">
        <is>
          <t>statistical_results</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2025.19563::"))&lt;&gt;"2025::jama.2025.19563::"),"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inlineStr">
        <is>
          <t>confirmed_issue</t>
        </is>
      </c>
      <c r="I7" s="7" t="inlineStr">
        <is>
          <t>minor_presentation</t>
        </is>
      </c>
      <c r="J7" s="13" t="inlineStr">
        <is>
          <t>unlikely</t>
        </is>
      </c>
      <c r="K7" s="7">
        <f>IF(AND(OR(D7="retain",D7=""),OR(E7="report_internal_inconsistency",E7="plan_material")),"","not_applicable")</f>
        <v/>
      </c>
      <c r="L7" s="13">
        <f>IF(AND(OR(D7="retain",D7=""),E7="protocol_report"),"","not_applicable")</f>
        <v/>
      </c>
      <c r="M7" s="19" t="n"/>
      <c r="N7" s="19" t="n"/>
      <c r="O7" s="19" t="n"/>
      <c r="P7" s="19" t="n"/>
      <c r="Q7" s="19" t="n"/>
      <c r="R7" s="13" t="inlineStr">
        <is>
          <t>Prohibited medications 6/183 vs 7/185, P=.793: eTable 10 methods say chi-squared; eTable 10b footnote says Wilcoxon rank-sum. Recomputed: uncorrected chi-square P=0.7930, Wilcoxon on the binary indicator P=0.7933; both give .793, so only the test label conflicts.</t>
        </is>
      </c>
    </row>
    <row r="8" ht="92" customFormat="1" customHeight="1" s="8">
      <c r="A8" s="12" t="inlineStr">
        <is>
          <t>2025::jama.2025.19563::C007</t>
        </is>
      </c>
      <c r="B8" s="12" t="inlineStr">
        <is>
          <t>MICE pooled percentages and printed risk difference have incompatible signs</t>
        </is>
      </c>
      <c r="C8" s="12" t="inlineStr">
        <is>
          <t>DOC-003 supplement — PDF p. 30; DOC-003 supplement — PDF p. 59.</t>
        </is>
      </c>
      <c r="D8" s="7" t="inlineStr">
        <is>
          <t>retain</t>
        </is>
      </c>
      <c r="E8" s="7" t="inlineStr">
        <is>
          <t>statistical_results</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2025.19563::"))&lt;&gt;"2025::jama.2025.19563::"),"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inlineStr">
        <is>
          <t>confirmed_issue</t>
        </is>
      </c>
      <c r="I8" s="7" t="inlineStr">
        <is>
          <t>substantive</t>
        </is>
      </c>
      <c r="J8" s="13" t="inlineStr">
        <is>
          <t>possible</t>
        </is>
      </c>
      <c r="K8" s="7">
        <f>IF(AND(OR(D8="retain",D8=""),OR(E8="report_internal_inconsistency",E8="plan_material")),"","not_applicable")</f>
        <v/>
      </c>
      <c r="L8" s="13">
        <f>IF(AND(OR(D8="retain",D8=""),E8="protocol_report"),"","not_applicable")</f>
        <v/>
      </c>
      <c r="M8" s="19" t="n"/>
      <c r="N8" s="19" t="n"/>
      <c r="O8" s="19" t="n"/>
      <c r="P8" s="19" t="n"/>
      <c r="Q8" s="19" t="n"/>
      <c r="R8" s="13" t="inlineStr">
        <is>
          <t>eTable 16 MI sensitivity: pooled AI 32.2%, human 31.9%, but AI-minus-human RD -1.1 points (1-sided lower bound -11.5). 32.2-31.9=+0.3, so sign and size conflict; human 31.9% also equals the unimputed 59/185. Which value is wrong cannot be determined; noninferiority (margin -15) would hold either way.</t>
        </is>
      </c>
    </row>
  </sheetData>
  <autoFilter ref="A1:R8"/>
  <conditionalFormatting sqref="G2:G8">
    <cfRule type="expression" priority="1" dxfId="105">
      <formula>G2&lt;&gt;"PRIMARY READY"</formula>
    </cfRule>
  </conditionalFormatting>
  <conditionalFormatting sqref="H2:H8">
    <cfRule type="expression" priority="2" dxfId="106">
      <formula>NOT(AND(OR($D2="retain",$D2=""),$E2="statistical_results"))</formula>
    </cfRule>
  </conditionalFormatting>
  <conditionalFormatting sqref="I2:I8">
    <cfRule type="expression" priority="3" dxfId="106">
      <formula>NOT(AND(OR($D2="retain",$D2=""),$E2="statistical_results"))</formula>
    </cfRule>
  </conditionalFormatting>
  <conditionalFormatting sqref="J2:J8">
    <cfRule type="expression" priority="4" dxfId="106">
      <formula>NOT(AND(OR($D2="retain",$D2=""),$E2="statistical_results"))</formula>
    </cfRule>
  </conditionalFormatting>
  <conditionalFormatting sqref="K2:K8">
    <cfRule type="expression" priority="5" dxfId="106">
      <formula>NOT(AND(OR($D2="retain",$D2=""),OR($E2="report_internal_inconsistency",$E2="plan_material")))</formula>
    </cfRule>
  </conditionalFormatting>
  <conditionalFormatting sqref="L2:L8">
    <cfRule type="expression" priority="6" dxfId="106">
      <formula>NOT(AND(OR($D2="retain",$D2=""),$E2="protocol_report"))</formula>
    </cfRule>
  </conditionalFormatting>
  <dataValidations count="8">
    <dataValidation sqref="D2:D8" showDropDown="0" showInputMessage="0" showErrorMessage="1" allowBlank="1" errorTitle="Use an allowed option" error="Choose an option from the list; see Codebook." type="list" errorStyle="stop">
      <formula1>"retain,exclude,discuss"</formula1>
    </dataValidation>
    <dataValidation sqref="E2:E8"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8" showDropDown="0" showInputMessage="0" showErrorMessage="1" allowBlank="1" errorTitle="Use an allowed option" error="Choose an option from the list; see Codebook." type="list" errorStyle="stop">
      <formula1>"no,primary_done"</formula1>
    </dataValidation>
    <dataValidation sqref="H2:H8"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8" showDropDown="0" showInputMessage="0" showErrorMessage="1" allowBlank="1" errorTitle="Use an allowed option" error="Choose an option from the list; see Codebook." type="list" errorStyle="stop">
      <formula1>"substantive,minor_presentation,indeterminate,not_applicable"</formula1>
    </dataValidation>
    <dataValidation sqref="J2:J8" showDropDown="0" showInputMessage="0" showErrorMessage="1" allowBlank="1" errorTitle="Use an allowed option" error="Choose an option from the list; see Codebook." type="list" errorStyle="stop">
      <formula1>"direct,possible,unlikely,unknown,not_applicable"</formula1>
    </dataValidation>
    <dataValidation sqref="K2:K8"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8"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2"/>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2025::jama.2025.19843::C001</t>
        </is>
      </c>
      <c r="B2" s="12" t="inlineStr">
        <is>
          <t>Conflicting printed P values for matched day-60 mortality result</t>
        </is>
      </c>
      <c r="C2" s="12" t="inlineStr">
        <is>
          <t>DOC-001 — PDF p. 1 (abstract); DOC-001 — PDF p. 3 (statistical methods); DOC-001 — PDF p. 4 (Results and eFigure 2 cross-reference); DOC-003 — PDF p. 7 (planned mortality analysis); and DOC-004 — PDF p. 11 (Supplement 3 eFigure 2).</t>
        </is>
      </c>
      <c r="D2" s="7" t="inlineStr">
        <is>
          <t>exclude</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2025.19843::"))&lt;&gt;"2025::jama.2025.19843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inlineStr">
        <is>
          <t>Excluded: text P=.78 for day-60 deaths 28/101 vs 26/104 is a fixed-time 2x2 test; Methods state categorical outcomes used chi-square/Fisher tests (R). Yates-corrected chi-square gives P=0.776 (.78). eFigure 2's P=0.56 is explicitly a log-rank test of time to death. Different, labeled tests; no conflict.</t>
        </is>
      </c>
    </row>
  </sheetData>
  <autoFilter ref="A1:R2"/>
  <conditionalFormatting sqref="G2">
    <cfRule type="expression" priority="1" dxfId="105">
      <formula>G2&lt;&gt;"PRIMARY READY"</formula>
    </cfRule>
  </conditionalFormatting>
  <conditionalFormatting sqref="H2">
    <cfRule type="expression" priority="2" dxfId="106">
      <formula>NOT(AND(OR($D2="retain",$D2=""),$E2="statistical_results"))</formula>
    </cfRule>
  </conditionalFormatting>
  <conditionalFormatting sqref="I2">
    <cfRule type="expression" priority="3" dxfId="106">
      <formula>NOT(AND(OR($D2="retain",$D2=""),$E2="statistical_results"))</formula>
    </cfRule>
  </conditionalFormatting>
  <conditionalFormatting sqref="J2">
    <cfRule type="expression" priority="4" dxfId="106">
      <formula>NOT(AND(OR($D2="retain",$D2=""),$E2="statistical_results"))</formula>
    </cfRule>
  </conditionalFormatting>
  <conditionalFormatting sqref="K2">
    <cfRule type="expression" priority="5" dxfId="106">
      <formula>NOT(AND(OR($D2="retain",$D2=""),OR($E2="report_internal_inconsistency",$E2="plan_material")))</formula>
    </cfRule>
  </conditionalFormatting>
  <conditionalFormatting sqref="L2">
    <cfRule type="expression" priority="6" dxfId="106">
      <formula>NOT(AND(OR($D2="retain",$D2=""),$E2="protocol_report"))</formula>
    </cfRule>
  </conditionalFormatting>
  <dataValidations count="8">
    <dataValidation sqref="D2" showDropDown="0" showInputMessage="0" showErrorMessage="1" allowBlank="1" errorTitle="Use an allowed option" error="Choose an option from the list; see Codebook." type="list" errorStyle="stop">
      <formula1>"retain,exclude,discuss"</formula1>
    </dataValidation>
    <dataValidation sqref="E2"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 showDropDown="0" showInputMessage="0" showErrorMessage="1" allowBlank="1" errorTitle="Use an allowed option" error="Choose an option from the list; see Codebook." type="list" errorStyle="stop">
      <formula1>"no,primary_done"</formula1>
    </dataValidation>
    <dataValidation sqref="H2"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 showDropDown="0" showInputMessage="0" showErrorMessage="1" allowBlank="1" errorTitle="Use an allowed option" error="Choose an option from the list; see Codebook." type="list" errorStyle="stop">
      <formula1>"substantive,minor_presentation,indeterminate,not_applicable"</formula1>
    </dataValidation>
    <dataValidation sqref="J2" showDropDown="0" showInputMessage="0" showErrorMessage="1" allowBlank="1" errorTitle="Use an allowed option" error="Choose an option from the list; see Codebook." type="list" errorStyle="stop">
      <formula1>"direct,possible,unlikely,unknown,not_applicable"</formula1>
    </dataValidation>
    <dataValidation sqref="K2"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14"/>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2025::jama.2025.20765::C001</t>
        </is>
      </c>
      <c r="B2" s="12" t="inlineStr">
        <is>
          <t>Adjusted self-reported abstinence interval endpoint printed as 42</t>
        </is>
      </c>
      <c r="C2" s="12" t="inlineStr">
        <is>
          <t>DOC-001 main article — PDF p. 6, Table 2, continuous abstinence, self-reported only (ITT), adjusted RR.</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2025.20765::"))&lt;&gt;"2025::jama.2025.20765::"),"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minor_presentation</t>
        </is>
      </c>
      <c r="J2" s="13" t="inlineStr">
        <is>
          <t>possible</t>
        </is>
      </c>
      <c r="K2" s="7">
        <f>IF(AND(OR(D2="retain",D2=""),OR(E2="report_internal_inconsistency",E2="plan_material")),"","not_applicable")</f>
        <v/>
      </c>
      <c r="L2" s="13">
        <f>IF(AND(OR(D2="retain",D2=""),E2="protocol_report"),"","not_applicable")</f>
        <v/>
      </c>
      <c r="M2" s="19" t="n"/>
      <c r="N2" s="19" t="n"/>
      <c r="O2" s="19" t="n"/>
      <c r="P2" s="19" t="n"/>
      <c r="Q2" s="19" t="n"/>
      <c r="R2" s="13" t="inlineStr">
        <is>
          <t>Table 2, continuous abstinence self-reported (ITT): adjusted RR 2.8 (1.9 to 42); crude 2.7 (1.8 to 4.1). On the log scale 2.8 with lower 1.9 implies an upper limit near 4.1, so '42' is almost certainly 4.2 with a dropped decimal. Obvious typo, but an extractor could copy 42.</t>
        </is>
      </c>
    </row>
    <row r="3" ht="92" customFormat="1" customHeight="1" s="8">
      <c r="A3" s="11" t="inlineStr">
        <is>
          <t>2025::jama.2025.20765::C002</t>
        </is>
      </c>
      <c r="B3" s="11" t="inlineStr">
        <is>
          <t>Discussion labels the all-cause death percentage as TB deaths</t>
        </is>
      </c>
      <c r="C3" s="11" t="inlineStr">
        <is>
          <t>DOC-001 main article — PDF p. 8, Discussion; PDF p. 5 and PDF p. 6, Results/Table 2; DOC-003 Supplement 2 — PDF p. 6, eTable 4.</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2025.20765::"))&lt;&gt;"2025::jama.2025.20765::"),"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substantive_inconsistency</t>
        </is>
      </c>
      <c r="L3" s="13">
        <f>IF(AND(OR(D3="retain",D3=""),E3="protocol_report"),"","not_applicable")</f>
        <v/>
      </c>
      <c r="M3" s="19" t="n"/>
      <c r="N3" s="19" t="n"/>
      <c r="O3" s="19" t="n"/>
      <c r="P3" s="19" t="n"/>
      <c r="Q3" s="19" t="n"/>
      <c r="R3" s="13" t="inlineStr">
        <is>
          <t>Discussion: '4.8% of the trial participants died of TB within 6 months'. 4.8% is all-cause mortality (25+27=52/1080; Results say '4.8% had died'). eTable 4 attributes 32/52 deaths to TB, i.e., 32/1080=3.0%. TB-specific mortality is overstated by about 60%.</t>
        </is>
      </c>
    </row>
    <row r="4" ht="92" customFormat="1" customHeight="1" s="8">
      <c r="A4" s="12" t="inlineStr">
        <is>
          <t>2025::jama.2025.20765::C003</t>
        </is>
      </c>
      <c r="B4" s="12" t="inlineStr">
        <is>
          <t>178-message total conflicts with its printed frequency schedule</t>
        </is>
      </c>
      <c r="C4" s="12" t="inlineStr">
        <is>
          <t>DOC-002 Supplement 1 — PDF p. 16.</t>
        </is>
      </c>
      <c r="D4" s="7" t="inlineStr">
        <is>
          <t>retain</t>
        </is>
      </c>
      <c r="E4" s="7" t="inlineStr">
        <is>
          <t>plan_material</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2025.20765::"))&lt;&gt;"2025::jama.2025.20765::"),"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minor_presentation</t>
        </is>
      </c>
      <c r="L4" s="13">
        <f>IF(AND(OR(D4="retain",D4=""),E4="protocol_report"),"","not_applicable")</f>
        <v/>
      </c>
      <c r="M4" s="19" t="n"/>
      <c r="N4" s="19" t="n"/>
      <c r="O4" s="19" t="n"/>
      <c r="P4" s="19" t="n"/>
      <c r="Q4" s="19" t="n"/>
      <c r="R4" s="13" t="inlineStr">
        <is>
          <t>Protocol V6.0 p.16: 'a total of 178 SMS messages over 6 months', with 4-5/day for 2 months, 2-3/day for 2 months, 1-2/week for 2 months. The schedule's minimum is about 60x4+60x2+9=369 messages, so the total and the schedule cannot both hold. The delivered regimen in the article (134 = 100+30+4) follows a different schedule.</t>
        </is>
      </c>
    </row>
    <row r="5" ht="92" customFormat="1" customHeight="1" s="8">
      <c r="A5" s="11" t="inlineStr">
        <is>
          <t>2025::jama.2025.20765::C004</t>
        </is>
      </c>
      <c r="B5" s="11" t="inlineStr">
        <is>
          <t>Repeated 2,384-participant plan names 44 and 48 facilities</t>
        </is>
      </c>
      <c r="C5" s="11" t="inlineStr">
        <is>
          <t>DOC-002 Supplement 1 — PDF p. 10 and PDF p. 26.</t>
        </is>
      </c>
      <c r="D5" s="7" t="inlineStr">
        <is>
          <t>retain</t>
        </is>
      </c>
      <c r="E5" s="7" t="inlineStr">
        <is>
          <t>plan_material</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2025.20765::"))&lt;&gt;"2025::jama.2025.20765::"),"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t="inlineStr">
        <is>
          <t>minor_presentation</t>
        </is>
      </c>
      <c r="L5" s="13">
        <f>IF(AND(OR(D5="retain",D5=""),E5="protocol_report"),"","not_applicable")</f>
        <v/>
      </c>
      <c r="M5" s="19" t="n"/>
      <c r="N5" s="19" t="n"/>
      <c r="O5" s="19" t="n"/>
      <c r="P5" s="19" t="n"/>
      <c r="Q5" s="19" t="n"/>
      <c r="R5" s="13" t="inlineStr">
        <is>
          <t>Protocol V6.0 gives the same 2,384-participant plan as '~50 recruits from 44 health facilities' (p.10) and '~50 recruits from 48 health clinics' (p.26). 2384/50=47.7, consistent with 48; 44 x 50=2200. Internal inconsistency in the cluster count; this plan was superseded by the 27-cluster phase 3 actually run.</t>
        </is>
      </c>
    </row>
    <row r="6" ht="92" customFormat="1" customHeight="1" s="8">
      <c r="A6" s="12" t="inlineStr">
        <is>
          <t>2025::jama.2025.20765::C005</t>
        </is>
      </c>
      <c r="B6" s="12" t="inlineStr">
        <is>
          <t>134-message total conflicts with its printed frequency schedule</t>
        </is>
      </c>
      <c r="C6" s="12" t="inlineStr">
        <is>
          <t>DOC-002 Supplement 1 — PDF p. 53.</t>
        </is>
      </c>
      <c r="D6" s="7" t="inlineStr">
        <is>
          <t>retain</t>
        </is>
      </c>
      <c r="E6" s="7" t="inlineStr">
        <is>
          <t>plan_material</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2025.20765::"))&lt;&gt;"2025::jama.2025.20765::"),"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t="inlineStr">
        <is>
          <t>minor_presentation</t>
        </is>
      </c>
      <c r="L6" s="13">
        <f>IF(AND(OR(D6="retain",D6=""),E6="protocol_report"),"","not_applicable")</f>
        <v/>
      </c>
      <c r="M6" s="19" t="n"/>
      <c r="N6" s="19" t="n"/>
      <c r="O6" s="19" t="n"/>
      <c r="P6" s="19" t="n"/>
      <c r="Q6" s="19" t="n"/>
      <c r="R6" s="13" t="inlineStr">
        <is>
          <t>Protocol (p.53): 'a total of 134 SMS messages over 6 months', 4-5/day for 2 months, 1-2/day for 2 months, 1/week for 2 months; minimum about 60x4+60x1+8=308. Total and schedule conflict. Another plan document (p.80) gives 134 with 3-4/day for 1 month, 1/day for 1 month, 1/month for 4 months (124-154), matching the article.</t>
        </is>
      </c>
    </row>
    <row r="7" ht="92" customFormat="1" customHeight="1" s="8">
      <c r="A7" s="11" t="inlineStr">
        <is>
          <t>2025::jama.2025.20765::C006</t>
        </is>
      </c>
      <c r="B7" s="11" t="inlineStr">
        <is>
          <t>TAM sampling header conflicts with contemporaneous narrative and equations</t>
        </is>
      </c>
      <c r="C7" s="11" t="inlineStr">
        <is>
          <t>DOC-002 Supplement 1 — PDF p. 55.</t>
        </is>
      </c>
      <c r="D7" s="7" t="inlineStr">
        <is>
          <t>retain</t>
        </is>
      </c>
      <c r="E7" s="7" t="inlineStr">
        <is>
          <t>plan_material</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2025.20765::"))&lt;&gt;"2025::jama.2025.20765::"),"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t="inlineStr">
        <is>
          <t>minor_presentation</t>
        </is>
      </c>
      <c r="L7" s="13">
        <f>IF(AND(OR(D7="retain",D7=""),E7="protocol_report"),"","not_applicable")</f>
        <v/>
      </c>
      <c r="M7" s="19" t="n"/>
      <c r="N7" s="19" t="n"/>
      <c r="O7" s="19" t="n"/>
      <c r="P7" s="19" t="n"/>
      <c r="Q7" s="19" t="n"/>
      <c r="R7" s="13" t="inlineStr">
        <is>
          <t>Protocol schedule table: 'TAM questionnaire (30% of participants in the mTB-Tobacco groups)'; text below says 20%, and the table computes 20% in phase 3 (80, 64) but 100% in phase 4 (11x45=495, 7x45=315). Three different sampling fractions for an ancillary questionnaire.</t>
        </is>
      </c>
    </row>
    <row r="8" ht="92" customFormat="1" customHeight="1" s="8">
      <c r="A8" s="12" t="inlineStr">
        <is>
          <t>2025::jama.2025.20765::C007</t>
        </is>
      </c>
      <c r="B8" s="12" t="inlineStr">
        <is>
          <t>Later 2,716-participant plan gives 48 clinics versus a 63-site diagram</t>
        </is>
      </c>
      <c r="C8" s="12" t="inlineStr">
        <is>
          <t>DOC-002 Supplement 1 — PDF p. 48, PDF p. 51, PDF p. 52, and PDF p. 62.</t>
        </is>
      </c>
      <c r="D8" s="7" t="inlineStr">
        <is>
          <t>retain</t>
        </is>
      </c>
      <c r="E8" s="7" t="inlineStr">
        <is>
          <t>plan_material</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2025.20765::"))&lt;&gt;"2025::jama.2025.20765::"),"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t="inlineStr">
        <is>
          <t>minor_presentation</t>
        </is>
      </c>
      <c r="L8" s="13">
        <f>IF(AND(OR(D8="retain",D8=""),E8="protocol_report"),"","not_applicable")</f>
        <v/>
      </c>
      <c r="M8" s="19" t="n"/>
      <c r="N8" s="19" t="n"/>
      <c r="O8" s="19" t="n"/>
      <c r="P8" s="19" t="n"/>
      <c r="Q8" s="19" t="n"/>
      <c r="R8" s="13" t="inlineStr">
        <is>
          <t>Same protocol version: p.48 gives 2,716 participants, ~43 recruits from 63 facilities (63x43=2709); p.62 gives 2,716 with ~50 recruits from 48 clinics (48x50=2400). The 48/~50 text is a carry-over from the earlier 2,384 plan.</t>
        </is>
      </c>
    </row>
    <row r="9" ht="92" customFormat="1" customHeight="1" s="8">
      <c r="A9" s="11" t="inlineStr">
        <is>
          <t>2025::jama.2025.20765::C008</t>
        </is>
      </c>
      <c r="B9" s="11" t="inlineStr">
        <is>
          <t>Phase-4 design-effect equality does not reproduce from printed inputs</t>
        </is>
      </c>
      <c r="C9" s="11" t="inlineStr">
        <is>
          <t>DOC-002 Supplement 1 — PDF p. 64.</t>
        </is>
      </c>
      <c r="D9" s="7" t="inlineStr">
        <is>
          <t>retain</t>
        </is>
      </c>
      <c r="E9" s="7" t="inlineStr">
        <is>
          <t>plan_material</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2025.20765::"))&lt;&gt;"2025::jama.2025.20765::"),"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t="inlineStr">
        <is>
          <t>minor_presentation</t>
        </is>
      </c>
      <c r="L9" s="13">
        <f>IF(AND(OR(D9="retain",D9=""),E9="protocol_report"),"","not_applicable")</f>
        <v/>
      </c>
      <c r="M9" s="19" t="n"/>
      <c r="N9" s="19" t="n"/>
      <c r="O9" s="19" t="n"/>
      <c r="P9" s="19" t="n"/>
      <c r="Q9" s="19" t="n"/>
      <c r="R9" s="13" t="inlineStr">
        <is>
          <t>Phase 4: 1036 x 1.56 = 1616.2, printed '= 1620 (45 per site)'; 1620 = 36 x 45 after rounding up per site, a step not stated. 'Effective sample size' is also misused (ESS is n/DE, not n x DE). The DE uses m=29, while the final 45/site implies DE 1.88. Phase 4 is not part of this report.</t>
        </is>
      </c>
    </row>
    <row r="10" ht="92" customFormat="1" customHeight="1" s="8">
      <c r="A10" s="12" t="inlineStr">
        <is>
          <t>2025::jama.2025.20765::C009</t>
        </is>
      </c>
      <c r="B10" s="12" t="inlineStr">
        <is>
          <t>Phase-4 diagram is labelled Phase 3/Superiority</t>
        </is>
      </c>
      <c r="C10" s="12" t="inlineStr">
        <is>
          <t>DOC-002 Supplement 1 — PDF p. 64.</t>
        </is>
      </c>
      <c r="D10" s="7" t="inlineStr">
        <is>
          <t>retain</t>
        </is>
      </c>
      <c r="E10" s="7" t="inlineStr">
        <is>
          <t>plan_material</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LEFT(A10,LEN("2025::jama.2025.20765::"))&lt;&gt;"2025::jama.2025.20765::"),"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t="inlineStr">
        <is>
          <t>minor_presentation</t>
        </is>
      </c>
      <c r="L10" s="13">
        <f>IF(AND(OR(D10="retain",D10=""),E10="protocol_report"),"","not_applicable")</f>
        <v/>
      </c>
      <c r="M10" s="19" t="n"/>
      <c r="N10" s="19" t="n"/>
      <c r="O10" s="19" t="n"/>
      <c r="P10" s="19" t="n"/>
      <c r="Q10" s="19" t="n"/>
      <c r="R10" s="13" t="inlineStr">
        <is>
          <t>Phase 4 noninferiority section (p.64) diagram box reads 'Total clusters in Phase 3 (Superiority trial) = 36 sites'; the surrounding text and numbers (36 sites, 1620, A vs face-to-face) are phase 4. Copy-paste label error.</t>
        </is>
      </c>
    </row>
    <row r="11" ht="92" customFormat="1" customHeight="1" s="8">
      <c r="A11" s="11" t="inlineStr">
        <is>
          <t>2025::jama.2025.20765::C010</t>
        </is>
      </c>
      <c r="B11" s="11" t="inlineStr">
        <is>
          <t>Phase-3 design-effect display gives undocumented 1,080 effective sample size</t>
        </is>
      </c>
      <c r="C11" s="11" t="inlineStr">
        <is>
          <t>DOC-002 Supplement 1 — PDF p. 63 and PDF p. 83.</t>
        </is>
      </c>
      <c r="D11" s="7" t="inlineStr">
        <is>
          <t>retain</t>
        </is>
      </c>
      <c r="E11" s="7" t="inlineStr">
        <is>
          <t>plan_material</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LEFT(A11,LEN("2025::jama.2025.20765::"))&lt;&gt;"2025::jama.2025.20765::"),"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t="inlineStr">
        <is>
          <t>substantive_inconsistency</t>
        </is>
      </c>
      <c r="L11" s="13">
        <f>IF(AND(OR(D11="retain",D11=""),E11="protocol_report"),"","not_applicable")</f>
        <v/>
      </c>
      <c r="M11" s="19" t="n"/>
      <c r="N11" s="19" t="n"/>
      <c r="O11" s="19" t="n"/>
      <c r="P11" s="19" t="n"/>
      <c r="Q11" s="19" t="n"/>
      <c r="R11" s="13" t="inlineStr">
        <is>
          <t>Phase 3 plan: N=704, m=704/27=26, DE=1+0.02(26-1)=1.50, 'ESS'=704x1.50 'approx 1080 (40/site)'. 704x1.5=1056, rounded to 40/site. More importantly, DE is computed at m=26 but the plan recruits 40/site, where DE=1.78 (704x1.78=1253). The calculation is internally inconsistent and understates the required size.</t>
        </is>
      </c>
    </row>
    <row r="12" ht="92" customFormat="1" customHeight="1" s="8">
      <c r="A12" s="12" t="inlineStr">
        <is>
          <t>2025::jama.2025.20765::C011</t>
        </is>
      </c>
      <c r="B12" s="12" t="inlineStr">
        <is>
          <t>MPSS score range conflicts with stated item scale</t>
        </is>
      </c>
      <c r="C12" s="12" t="inlineStr">
        <is>
          <t>DOC-002 Supplement 1 — PDF p. 85.</t>
        </is>
      </c>
      <c r="D12" s="7" t="inlineStr">
        <is>
          <t>retain</t>
        </is>
      </c>
      <c r="E12" s="7" t="inlineStr">
        <is>
          <t>plan_material</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LEFT(A12,LEN("2025::jama.2025.20765::"))&lt;&gt;"2025::jama.2025.20765::"),"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f>IF(AND(OR(D12="retain",D12=""),E12="statistical_results"),"","not_applicable")</f>
        <v/>
      </c>
      <c r="I12" s="7">
        <f>IF(AND(OR(D12="retain",D12=""),E12="statistical_results"),"","not_applicable")</f>
        <v/>
      </c>
      <c r="J12" s="13">
        <f>IF(AND(OR(D12="retain",D12=""),E12="statistical_results"),"","not_applicable")</f>
        <v/>
      </c>
      <c r="K12" s="7" t="inlineStr">
        <is>
          <t>minor_presentation</t>
        </is>
      </c>
      <c r="L12" s="13">
        <f>IF(AND(OR(D12="retain",D12=""),E12="protocol_report"),"","not_applicable")</f>
        <v/>
      </c>
      <c r="M12" s="19" t="n"/>
      <c r="N12" s="19" t="n"/>
      <c r="O12" s="19" t="n"/>
      <c r="P12" s="19" t="n"/>
      <c r="Q12" s="19" t="n"/>
      <c r="R12" s="13" t="inlineStr">
        <is>
          <t>Plan describes MPSS as five domains on a 5-point scale 'summated to give an overall score ranging from 5 to 35'. Five 1-5 items give 5-25. Range or item description is wrong; no scoring rule given.</t>
        </is>
      </c>
    </row>
    <row r="13" ht="92" customFormat="1" customHeight="1" s="8">
      <c r="A13" s="11" t="inlineStr">
        <is>
          <t>2025::jama.2025.20765::C012</t>
        </is>
      </c>
      <c r="B13" s="11" t="inlineStr">
        <is>
          <t>Site 2008 death count and percentage lack a compatible supplied denominator</t>
        </is>
      </c>
      <c r="C13" s="11" t="inlineStr">
        <is>
          <t>DOC-003 Supplement 2 — PDF p. 8, eTable 5; PDF p. 9, eTable 6.</t>
        </is>
      </c>
      <c r="D13" s="7" t="inlineStr">
        <is>
          <t>retain</t>
        </is>
      </c>
      <c r="E13" s="7" t="inlineStr">
        <is>
          <t>statistical_results</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LEFT(A13,LEN("2025::jama.2025.20765::"))&lt;&gt;"2025::jama.2025.20765::"),"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t="inlineStr">
        <is>
          <t>confirmed_issue</t>
        </is>
      </c>
      <c r="I13" s="7" t="inlineStr">
        <is>
          <t>minor_presentation</t>
        </is>
      </c>
      <c r="J13" s="13" t="inlineStr">
        <is>
          <t>unlikely</t>
        </is>
      </c>
      <c r="K13" s="7">
        <f>IF(AND(OR(D13="retain",D13=""),OR(E13="report_internal_inconsistency",E13="plan_material")),"","not_applicable")</f>
        <v/>
      </c>
      <c r="L13" s="13">
        <f>IF(AND(OR(D13="retain",D13=""),E13="protocol_report"),"","not_applicable")</f>
        <v/>
      </c>
      <c r="M13" s="19" t="n"/>
      <c r="N13" s="19" t="n"/>
      <c r="O13" s="19" t="n"/>
      <c r="P13" s="19" t="n"/>
      <c r="Q13" s="19" t="n"/>
      <c r="R13" s="13" t="inlineStr">
        <is>
          <t>eTable 6: site 2008 '5 (7.5)' deaths; every site has 40 participants (eTable 5) and all other rows use /40. 5/40=12.5%. Count is right (control-site deaths sum to 27, matching Table 2); percentage is wrong.</t>
        </is>
      </c>
    </row>
    <row r="14" ht="92" customFormat="1" customHeight="1" s="8">
      <c r="A14" s="12" t="inlineStr">
        <is>
          <t>2025::jama.2025.20765::C013</t>
        </is>
      </c>
      <c r="B14" s="12" t="inlineStr">
        <is>
          <t>Protocol message dose changes from 178 to 134 without supplied reconciliation</t>
        </is>
      </c>
      <c r="C14" s="12" t="inlineStr">
        <is>
          <t>DOC-002 Supplement 1 — PDF p. 16, PDF p. 53, PDF p. 80, and PDF p. 101 through PDF p. 109; DOC-001 main article — PDF p. 3.</t>
        </is>
      </c>
      <c r="D14" s="7" t="inlineStr">
        <is>
          <t>retain</t>
        </is>
      </c>
      <c r="E14" s="7" t="inlineStr">
        <is>
          <t>protocol_report</t>
        </is>
      </c>
      <c r="F14" s="7" t="inlineStr">
        <is>
          <t>primary_done</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LEFT(A14,LEN("2025::jama.2025.20765::"))&lt;&gt;"2025::jama.2025.20765::"),"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f>IF(AND(OR(D14="retain",D14=""),E14="statistical_results"),"","not_applicable")</f>
        <v/>
      </c>
      <c r="I14" s="7">
        <f>IF(AND(OR(D14="retain",D14=""),E14="statistical_results"),"","not_applicable")</f>
        <v/>
      </c>
      <c r="J14" s="13">
        <f>IF(AND(OR(D14="retain",D14=""),E14="statistical_results"),"","not_applicable")</f>
        <v/>
      </c>
      <c r="K14" s="7">
        <f>IF(AND(OR(D14="retain",D14=""),OR(E14="report_internal_inconsistency",E14="plan_material")),"","not_applicable")</f>
        <v/>
      </c>
      <c r="L14" s="13" t="inlineStr">
        <is>
          <t>version_timing</t>
        </is>
      </c>
      <c r="M14" s="19" t="n"/>
      <c r="N14" s="19" t="n"/>
      <c r="O14" s="19" t="n"/>
      <c r="P14" s="19" t="n"/>
      <c r="Q14" s="19" t="n"/>
      <c r="R14" s="13" t="inlineStr">
        <is>
          <t>Article: 134 unique messages (100 in month 1, 30 in month 2, 4 over months 3-6). This matches one plan document (p.80) but the protocol version headed V6.0 07.03.25 (p.16) says 178 messages with a different schedule, and another version (p.53) says 134 with an incompatible schedule. Which version governed delivery cannot be resolved.</t>
        </is>
      </c>
    </row>
  </sheetData>
  <autoFilter ref="A1:R14"/>
  <conditionalFormatting sqref="G2:G14">
    <cfRule type="expression" priority="1" dxfId="105">
      <formula>G2&lt;&gt;"PRIMARY READY"</formula>
    </cfRule>
  </conditionalFormatting>
  <conditionalFormatting sqref="H2:H14">
    <cfRule type="expression" priority="2" dxfId="106">
      <formula>NOT(AND(OR($D2="retain",$D2=""),$E2="statistical_results"))</formula>
    </cfRule>
  </conditionalFormatting>
  <conditionalFormatting sqref="I2:I14">
    <cfRule type="expression" priority="3" dxfId="106">
      <formula>NOT(AND(OR($D2="retain",$D2=""),$E2="statistical_results"))</formula>
    </cfRule>
  </conditionalFormatting>
  <conditionalFormatting sqref="J2:J14">
    <cfRule type="expression" priority="4" dxfId="106">
      <formula>NOT(AND(OR($D2="retain",$D2=""),$E2="statistical_results"))</formula>
    </cfRule>
  </conditionalFormatting>
  <conditionalFormatting sqref="K2:K14">
    <cfRule type="expression" priority="5" dxfId="106">
      <formula>NOT(AND(OR($D2="retain",$D2=""),OR($E2="report_internal_inconsistency",$E2="plan_material")))</formula>
    </cfRule>
  </conditionalFormatting>
  <conditionalFormatting sqref="L2:L14">
    <cfRule type="expression" priority="6" dxfId="106">
      <formula>NOT(AND(OR($D2="retain",$D2=""),$E2="protocol_report"))</formula>
    </cfRule>
  </conditionalFormatting>
  <dataValidations count="8">
    <dataValidation sqref="D2:D14" showDropDown="0" showInputMessage="0" showErrorMessage="1" allowBlank="1" errorTitle="Use an allowed option" error="Choose an option from the list; see Codebook." type="list" errorStyle="stop">
      <formula1>"retain,exclude,discuss"</formula1>
    </dataValidation>
    <dataValidation sqref="E2:E1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4" showDropDown="0" showInputMessage="0" showErrorMessage="1" allowBlank="1" errorTitle="Use an allowed option" error="Choose an option from the list; see Codebook." type="list" errorStyle="stop">
      <formula1>"no,primary_done"</formula1>
    </dataValidation>
    <dataValidation sqref="H2:H1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4" showDropDown="0" showInputMessage="0" showErrorMessage="1" allowBlank="1" errorTitle="Use an allowed option" error="Choose an option from the list; see Codebook." type="list" errorStyle="stop">
      <formula1>"direct,possible,unlikely,unknown,not_applicable"</formula1>
    </dataValidation>
    <dataValidation sqref="K2:K1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5"/>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2025::jama.2025.24175::C001</t>
        </is>
      </c>
      <c r="B2" s="12" t="inlineStr">
        <is>
          <t>Day-15 SOFA responder numerator differs between Table 2 and narrative</t>
        </is>
      </c>
      <c r="C2" s="12" t="inlineStr">
        <is>
          <t>DOC-001 Table 2, PDF p. 6; DOC-001 Results narrative, PDF p. 7.</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2025.24175::"))&lt;&gt;"2025::jama.2025.24175::"),"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Day-15 SOFA responders, precision immunotherapy: Table 2 52/131 (39.7%); Results text '39.7%; 51 of 131'. 52/131=39.7% and 51/131=38.9%, so the narrative numerator is the slip. Placebo 34/145 agrees.</t>
        </is>
      </c>
    </row>
    <row r="3" ht="92" customFormat="1" customHeight="1" s="8">
      <c r="A3" s="11" t="inlineStr">
        <is>
          <t>2025::jama.2025.24175::C002</t>
        </is>
      </c>
      <c r="B3" s="11" t="inlineStr">
        <is>
          <t>Protocol and report IFN-gamma dose comparison</t>
        </is>
      </c>
      <c r="C3" s="11" t="inlineStr">
        <is>
          <t>DOC-002 protocol, PDF p. 6; DOC-001 regimen, PDF p. 2.</t>
        </is>
      </c>
      <c r="D3" s="7" t="inlineStr">
        <is>
          <t>exclude</t>
        </is>
      </c>
      <c r="E3" s="7" t="inlineStr">
        <is>
          <t>protocol_report</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2025.24175::"))&lt;&gt;"2025::jama.2025.24175::"),"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inlineStr">
        <is>
          <t>Excluded: protocol v1.0 synopsis (p.6) gives sc rhIFN-gamma 100 micrograms every other day, matching the report's 100 micrograms every 48 hours. No 20-microgram value.</t>
        </is>
      </c>
    </row>
    <row r="4" ht="92" customFormat="1" customHeight="1" s="8">
      <c r="A4" s="12" t="inlineStr">
        <is>
          <t>2025::jama.2025.24175::C003</t>
        </is>
      </c>
      <c r="B4" s="12" t="inlineStr">
        <is>
          <t>Primary responder cutoff comparison</t>
        </is>
      </c>
      <c r="C4" s="12" t="inlineStr">
        <is>
          <t>DOC-002 protocol, PDF p. 7; DOC-001 report, PDF p. 1; DOC-002 SAP, PDF p. 66.</t>
        </is>
      </c>
      <c r="D4" s="7" t="inlineStr">
        <is>
          <t>exclude</t>
        </is>
      </c>
      <c r="E4" s="7" t="inlineStr">
        <is>
          <t>protocol_report</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2025.24175::"))&lt;&gt;"2025::jama.2025.24175::"),"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inlineStr">
        <is>
          <t>Excluded: protocol (p.7, p.25) and SAP (p.67) use a 1.4-point SOFA decrease, as does the report. No 1.5-point cutoff found.</t>
        </is>
      </c>
    </row>
    <row r="5" ht="92" customFormat="1" customHeight="1" s="8">
      <c r="A5" s="11" t="inlineStr">
        <is>
          <t>2025::jama.2025.24175::C004</t>
        </is>
      </c>
      <c r="B5" s="11" t="inlineStr">
        <is>
          <t>Immunoparalysis entry-classification threshold comparison</t>
        </is>
      </c>
      <c r="C5" s="11" t="inlineStr">
        <is>
          <t>DOC-002 protocol, PDF p. 9; DOC-003 eMethods, PDF p. 13; DOC-002 SAP reversal definition, PDF p. 69.</t>
        </is>
      </c>
      <c r="D5" s="7" t="inlineStr">
        <is>
          <t>exclude</t>
        </is>
      </c>
      <c r="E5" s="7" t="inlineStr">
        <is>
          <t>protocol_report</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2025.24175::"))&lt;&gt;"2025::jama.2025.24175::"),"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inlineStr">
        <is>
          <t>Excluded: protocol (p.9) entry definition of immunoparalysis is ferritin &lt;=4,420 ng/mL plus HLA-DR &lt;5,000 molecules/monocyte; the 8,000 threshold (protocol p.25) defines reversal at day 15, a different endpoint.</t>
        </is>
      </c>
    </row>
    <row r="6" ht="92" customFormat="1" customHeight="1" s="8">
      <c r="A6" s="12" t="inlineStr">
        <is>
          <t>2025::jama.2025.24175::C005</t>
        </is>
      </c>
      <c r="B6" s="12" t="inlineStr">
        <is>
          <t>Protocol sample-size, dropout, and total-target arithmetic</t>
        </is>
      </c>
      <c r="C6" s="12" t="inlineStr">
        <is>
          <t>DOC-002 protocol, PDF p. 25 and PDF p. 26.</t>
        </is>
      </c>
      <c r="D6" s="7" t="inlineStr">
        <is>
          <t>retain</t>
        </is>
      </c>
      <c r="E6" s="7" t="inlineStr">
        <is>
          <t>plan_material</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2025.24175::"))&lt;&gt;"2025::jama.2025.24175::"),"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t="inlineStr">
        <is>
          <t>minor_presentation</t>
        </is>
      </c>
      <c r="L6" s="13">
        <f>IF(AND(OR(D6="retain",D6=""),E6="protocol_report"),"","not_applicable")</f>
        <v/>
      </c>
      <c r="M6" s="19" t="n"/>
      <c r="N6" s="19" t="n"/>
      <c r="O6" s="19" t="n"/>
      <c r="P6" s="19" t="n"/>
      <c r="Q6" s="19" t="n"/>
      <c r="R6" s="13" t="inlineStr">
        <is>
          <t>Protocol p.26: 117/arm to detect a 1.4-point SOFA difference (SD 3.2), 90% power, two-sided alpha .05; 280 randomized for about 15% dropout. 234/0.85=275, so 280 implies 16.4% dropout (acceptable). But the stated inputs give 111/arm (t-test); 117/arm corresponds to SD of about 3.3.</t>
        </is>
      </c>
    </row>
    <row r="7" ht="92" customFormat="1" customHeight="1" s="8">
      <c r="A7" s="11" t="inlineStr">
        <is>
          <t>2025::jama.2025.24175::C006</t>
        </is>
      </c>
      <c r="B7" s="11" t="inlineStr">
        <is>
          <t>Historical-trial narrative and flow diagram death counts</t>
        </is>
      </c>
      <c r="C7" s="11" t="inlineStr">
        <is>
          <t>DOC-002 narrative, PDF p. 41; DOC-002 Figure 1, PDF p. 50.</t>
        </is>
      </c>
      <c r="D7" s="7" t="inlineStr">
        <is>
          <t>retain</t>
        </is>
      </c>
      <c r="E7" s="7" t="inlineStr">
        <is>
          <t>plan_material</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2025.24175::"))&lt;&gt;"2025::jama.2025.24175::"),"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t="inlineStr">
        <is>
          <t>indeterminate</t>
        </is>
      </c>
      <c r="L7" s="13">
        <f>IF(AND(OR(D7="retain",D7=""),E7="protocol_report"),"","not_applicable")</f>
        <v/>
      </c>
      <c r="M7" s="19" t="n"/>
      <c r="N7" s="19" t="n"/>
      <c r="O7" s="19" t="n"/>
      <c r="P7" s="19" t="n"/>
      <c r="Q7" s="19" t="n"/>
      <c r="R7" s="13" t="inlineStr">
        <is>
          <t>Historical PROVIDE background in the protocol: text says 14 deaths at 28 days in the immunotherapy arm (14/15, 93.3%); Figure 1 shows 'early termination because of death' n=11 (placebo 18 in both). The figure's window is not stated, so this may be deaths during treatment rather than by day 28.</t>
        </is>
      </c>
    </row>
    <row r="8" ht="92" customFormat="1" customHeight="1" s="8">
      <c r="A8" s="12" t="inlineStr">
        <is>
          <t>2025::jama.2025.24175::C007</t>
        </is>
      </c>
      <c r="B8" s="12" t="inlineStr">
        <is>
          <t>APACHE II Table 2 P value versus displayed t-test inputs</t>
        </is>
      </c>
      <c r="C8" s="12" t="inlineStr">
        <is>
          <t>DOC-002 Table 2, PDF p. 48.</t>
        </is>
      </c>
      <c r="D8" s="7" t="inlineStr">
        <is>
          <t>retain</t>
        </is>
      </c>
      <c r="E8" s="7" t="inlineStr">
        <is>
          <t>plan_material</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2025.24175::"))&lt;&gt;"2025::jama.2025.24175::"),"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t="inlineStr">
        <is>
          <t>minor_presentation</t>
        </is>
      </c>
      <c r="L8" s="13">
        <f>IF(AND(OR(D8="retain",D8=""),E8="protocol_report"),"","not_applicable")</f>
        <v/>
      </c>
      <c r="M8" s="19" t="n"/>
      <c r="N8" s="19" t="n"/>
      <c r="O8" s="19" t="n"/>
      <c r="P8" s="19" t="n"/>
      <c r="Q8" s="19" t="n"/>
      <c r="R8" s="13" t="inlineStr">
        <is>
          <t>Historical PROVIDE Table 2 in the protocol: APACHE II 18.2 +/- 8.7 (n=21) vs 30.5 +/- 9.4 (n=15), Student t test P=.376. Recomputed pooled t=4.04, df=34, P=0.0003. Printed P (or means) wrong; the large imbalance is masked. Background data, not ImmunoSep results.</t>
        </is>
      </c>
    </row>
    <row r="9" ht="92" customFormat="1" customHeight="1" s="8">
      <c r="A9" s="11" t="inlineStr">
        <is>
          <t>2025::jama.2025.24175::C008</t>
        </is>
      </c>
      <c r="B9" s="11" t="inlineStr">
        <is>
          <t>Figure 1 septic-shock classification children exceed their parent total</t>
        </is>
      </c>
      <c r="C9" s="11" t="inlineStr">
        <is>
          <t>DOC-002 Figure 1, PDF p. 50.</t>
        </is>
      </c>
      <c r="D9" s="7" t="inlineStr">
        <is>
          <t>retain</t>
        </is>
      </c>
      <c r="E9" s="7" t="inlineStr">
        <is>
          <t>plan_material</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2025.24175::"))&lt;&gt;"2025::jama.2025.24175::"),"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t="inlineStr">
        <is>
          <t>minor_presentation</t>
        </is>
      </c>
      <c r="L9" s="13">
        <f>IF(AND(OR(D9="retain",D9=""),E9="protocol_report"),"","not_applicable")</f>
        <v/>
      </c>
      <c r="M9" s="19" t="n"/>
      <c r="N9" s="19" t="n"/>
      <c r="O9" s="19" t="n"/>
      <c r="P9" s="19" t="n"/>
      <c r="Q9" s="19" t="n"/>
      <c r="R9" s="13" t="inlineStr">
        <is>
          <t>Historical PROVIDE Figure 1: septic shock = 177, classified as MALS 44 (24.8%) + immunoparalysis 2 (1.1%) + intermediate 132 (74.0%) = 178. Percentages match neither denominator exactly (44/177=24.9%, 132/177=74.6%). Background flow-diagram error.</t>
        </is>
      </c>
    </row>
    <row r="10" ht="92" customFormat="1" customHeight="1" s="8">
      <c r="A10" s="12" t="inlineStr">
        <is>
          <t>2025::jama.2025.24175::C009</t>
        </is>
      </c>
      <c r="B10" s="12" t="inlineStr">
        <is>
          <t>ImmunoSep study-site totals across report, protocol, and SAP</t>
        </is>
      </c>
      <c r="C10" s="12" t="inlineStr">
        <is>
          <t>DOC-001 report, PDF p. 2; DOC-002 protocol, PDF p. 10; DOC-002 SAP, PDF p. 65; PDF p. 67.</t>
        </is>
      </c>
      <c r="D10" s="7" t="inlineStr">
        <is>
          <t>retain</t>
        </is>
      </c>
      <c r="E10" s="7" t="inlineStr">
        <is>
          <t>protocol_report</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LEFT(A10,LEN("2025::jama.2025.24175::"))&lt;&gt;"2025::jama.2025.24175::"),"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t="inlineStr">
        <is>
          <t>version_timing</t>
        </is>
      </c>
      <c r="M10" s="19" t="n"/>
      <c r="N10" s="19" t="n"/>
      <c r="O10" s="19" t="n"/>
      <c r="P10" s="19" t="n"/>
      <c r="Q10" s="19" t="n"/>
      <c r="R10" s="13" t="inlineStr">
        <is>
          <t>Protocol v1.0 and the SAP design section say 24 study sites; the SAP model section says 31 sites participated; the report says 33 sites in 6 countries. Consistent with sites added over time; no milestone dates given. No apparent effect on conduct beyond the site-pooling rule.</t>
        </is>
      </c>
    </row>
    <row r="11" ht="92" customFormat="1" customHeight="1" s="8">
      <c r="A11" s="11" t="inlineStr">
        <is>
          <t>2025::jama.2025.24175::C010</t>
        </is>
      </c>
      <c r="B11" s="11" t="inlineStr">
        <is>
          <t>Figure 2C relative-risk label versus displayed association</t>
        </is>
      </c>
      <c r="C11" s="11" t="inlineStr">
        <is>
          <t>DOC-002 Figure 2C, PDF p. 51; DOC-002 Figure 3, PDF p. 52.</t>
        </is>
      </c>
      <c r="D11" s="7" t="inlineStr">
        <is>
          <t>retain</t>
        </is>
      </c>
      <c r="E11" s="7" t="inlineStr">
        <is>
          <t>plan_material</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LEFT(A11,LEN("2025::jama.2025.24175::"))&lt;&gt;"2025::jama.2025.24175::"),"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t="inlineStr">
        <is>
          <t>minor_presentation</t>
        </is>
      </c>
      <c r="L11" s="13">
        <f>IF(AND(OR(D11="retain",D11=""),E11="protocol_report"),"","not_applicable")</f>
        <v/>
      </c>
      <c r="M11" s="19" t="n"/>
      <c r="N11" s="19" t="n"/>
      <c r="O11" s="19" t="n"/>
      <c r="P11" s="19" t="n"/>
      <c r="Q11" s="19" t="n"/>
      <c r="R11" s="13" t="inlineStr">
        <is>
          <t>Historical PROVIDE Figure 2C labels 'RR death' 2.82 (1.58-5.14) for 69/103 vs 37/89 deaths. Crude RR is 1.61 (1.22-2.13); crude OR is 2.85 (1.58-5.14), so the value is an OR mislabeled as RR. Figure 3 reports the same numbers as a univariate HR. Background data.</t>
        </is>
      </c>
    </row>
    <row r="12" ht="92" customFormat="1" customHeight="1" s="8">
      <c r="A12" s="12" t="inlineStr">
        <is>
          <t>2025::jama.2025.24175::C011</t>
        </is>
      </c>
      <c r="B12" s="12" t="inlineStr">
        <is>
          <t>eTable 10 SII day-15 OR versus counts, CI, and P value</t>
        </is>
      </c>
      <c r="C12" s="12" t="inlineStr">
        <is>
          <t>DOC-003 eTable 10, PDF p. 22.</t>
        </is>
      </c>
      <c r="D12" s="7" t="inlineStr">
        <is>
          <t>retain</t>
        </is>
      </c>
      <c r="E12" s="7" t="inlineStr">
        <is>
          <t>statistical_results</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LEFT(A12,LEN("2025::jama.2025.24175::"))&lt;&gt;"2025::jama.2025.24175::"),"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t="inlineStr">
        <is>
          <t>confirmed_issue</t>
        </is>
      </c>
      <c r="I12" s="7" t="inlineStr">
        <is>
          <t>minor_presentation</t>
        </is>
      </c>
      <c r="J12" s="13" t="inlineStr">
        <is>
          <t>possible</t>
        </is>
      </c>
      <c r="K12" s="7">
        <f>IF(AND(OR(D12="retain",D12=""),OR(E12="report_internal_inconsistency",E12="plan_material")),"","not_applicable")</f>
        <v/>
      </c>
      <c r="L12" s="13">
        <f>IF(AND(OR(D12="retain",D12=""),E12="protocol_report"),"","not_applicable")</f>
        <v/>
      </c>
      <c r="M12" s="19" t="n"/>
      <c r="N12" s="19" t="n"/>
      <c r="O12" s="19" t="n"/>
      <c r="P12" s="19" t="n"/>
      <c r="Q12" s="19" t="n"/>
      <c r="R12" s="13" t="inlineStr">
        <is>
          <t>eTable 10, immunoparalysis, &gt;=1.4-point SOFA decrease by day 15: 40/106 vs 29/122, OR printed 1.194 (1.09 to 3.45), P=.030. Crude OR from counts = 1.94 (Woolf CI 1.10-3.45), matching the CI. '1.194' is a typo for 1.94.</t>
        </is>
      </c>
    </row>
    <row r="13" ht="92" customFormat="1" customHeight="1" s="8">
      <c r="A13" s="11" t="inlineStr">
        <is>
          <t>2025::jama.2025.24175::C012</t>
        </is>
      </c>
      <c r="B13" s="11" t="inlineStr">
        <is>
          <t>eFigure 8B repeats eFigure 7B interaction results under a different outcome caption</t>
        </is>
      </c>
      <c r="C13" s="11" t="inlineStr">
        <is>
          <t>DOC-003 eFigure 7B, PDF p. 51; DOC-003 eFigure 8B, PDF p. 52.</t>
        </is>
      </c>
      <c r="D13" s="7" t="inlineStr">
        <is>
          <t>retain</t>
        </is>
      </c>
      <c r="E13" s="7" t="inlineStr">
        <is>
          <t>report_internal_inconsistency</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LEFT(A13,LEN("2025::jama.2025.24175::"))&lt;&gt;"2025::jama.2025.24175::"),"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f>IF(AND(OR(D13="retain",D13=""),E13="statistical_results"),"","not_applicable")</f>
        <v/>
      </c>
      <c r="I13" s="7">
        <f>IF(AND(OR(D13="retain",D13=""),E13="statistical_results"),"","not_applicable")</f>
        <v/>
      </c>
      <c r="J13" s="13">
        <f>IF(AND(OR(D13="retain",D13=""),E13="statistical_results"),"","not_applicable")</f>
        <v/>
      </c>
      <c r="K13" s="7" t="inlineStr">
        <is>
          <t>substantive_inconsistency</t>
        </is>
      </c>
      <c r="L13" s="13">
        <f>IF(AND(OR(D13="retain",D13=""),E13="protocol_report"),"","not_applicable")</f>
        <v/>
      </c>
      <c r="M13" s="19" t="n"/>
      <c r="N13" s="19" t="n"/>
      <c r="O13" s="19" t="n"/>
      <c r="P13" s="19" t="n"/>
      <c r="Q13" s="19" t="n"/>
      <c r="R13" s="13" t="inlineStr">
        <is>
          <t>eFigure 8B (interaction tests for 28-day mortality) reproduces eFigure 7B (primary endpoint) exactly in all six rows (e.g., CCI&gt;=5 x immunotherapy OR 5.79, 2.34-15.05, P&lt;.0001), although the A panels show different data. The mortality interaction results are effectively unreported and the printed ones are misattributed.</t>
        </is>
      </c>
    </row>
    <row r="14" ht="92" customFormat="1" customHeight="1" s="8">
      <c r="A14" s="12" t="inlineStr">
        <is>
          <t>2025::jama.2025.24175::C013</t>
        </is>
      </c>
      <c r="B14" s="12" t="inlineStr">
        <is>
          <t>eFigure 9B APACHE interaction point estimate outside its CI</t>
        </is>
      </c>
      <c r="C14" s="12" t="inlineStr">
        <is>
          <t>DOC-003 eFigure 9B, PDF p. 53.</t>
        </is>
      </c>
      <c r="D14" s="7" t="inlineStr">
        <is>
          <t>retain</t>
        </is>
      </c>
      <c r="E14" s="7" t="inlineStr">
        <is>
          <t>statistical_results</t>
        </is>
      </c>
      <c r="F14" s="7" t="inlineStr">
        <is>
          <t>primary_done</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LEFT(A14,LEN("2025::jama.2025.24175::"))&lt;&gt;"2025::jama.2025.24175::"),"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t="inlineStr">
        <is>
          <t>confirmed_issue</t>
        </is>
      </c>
      <c r="I14" s="7" t="inlineStr">
        <is>
          <t>minor_presentation</t>
        </is>
      </c>
      <c r="J14" s="13" t="inlineStr">
        <is>
          <t>possible</t>
        </is>
      </c>
      <c r="K14" s="7">
        <f>IF(AND(OR(D14="retain",D14=""),OR(E14="report_internal_inconsistency",E14="plan_material")),"","not_applicable")</f>
        <v/>
      </c>
      <c r="L14" s="13">
        <f>IF(AND(OR(D14="retain",D14=""),E14="protocol_report"),"","not_applicable")</f>
        <v/>
      </c>
      <c r="M14" s="19" t="n"/>
      <c r="N14" s="19" t="n"/>
      <c r="O14" s="19" t="n"/>
      <c r="P14" s="19" t="n"/>
      <c r="Q14" s="19" t="n"/>
      <c r="R14" s="13" t="inlineStr">
        <is>
          <t>eFigure 9B (90-day mortality): 'APACHE II &gt;=25 x Precision Immunotherapy' OR 0.11 (0.36-3.42), P=.86. Estimate lies outside its CI; log-midpoint of the CI is 1.11, consistent with P=.86, so 0.11 is likely 1.11 with a dropped digit.</t>
        </is>
      </c>
    </row>
    <row r="15" ht="92" customFormat="1" customHeight="1" s="8">
      <c r="A15" s="11" t="inlineStr">
        <is>
          <t>2025::jama.2025.24175::C014</t>
        </is>
      </c>
      <c r="B15" s="11" t="inlineStr">
        <is>
          <t>Historical mortality-pair registration</t>
        </is>
      </c>
      <c r="C15" s="11" t="inlineStr">
        <is>
          <t>DOC-002 actual mortality sentence, PDF p. 41; Discussion, PDF p. 42; Table 2, PDF p. 48; Figure 1, PDF p. 50.</t>
        </is>
      </c>
      <c r="D15" s="7" t="inlineStr">
        <is>
          <t>exclude</t>
        </is>
      </c>
      <c r="E15" s="7" t="inlineStr">
        <is>
          <t>plan_material</t>
        </is>
      </c>
      <c r="F15" s="7" t="inlineStr">
        <is>
          <t>primary_done</t>
        </is>
      </c>
      <c r="G15" s="11">
        <f>IFERROR(IF(LEN(TRIM(CLEAN(SUBSTITUTE(Setup!$B$2,CHAR(160)," "))))=0,"CHECK REVIEWER ID",IF(OR(A15="",(COUNTIF('C_jama.2024.24764'!$A$2:$A$9,A15)+COUNTIF('C_jama.2024.27643'!$A$2:$A$9,A15)+COUNTIF('C_jama.2025.11178'!$A$2:$A$38,A15)+COUNTIF('C_jama.2025.15185'!$A$2:$A$13,A15)+COUNTIF('C_jama.2025.15440'!$A$2:$A$3,A15)+COUNTIF('C_jama.2025.16450'!$A$2:$A$11,A15)+COUNTIF('C_jama.2025.19563'!$A$2:$A$8,A15)+COUNTIF('C_jama.2025.19843'!$A$2:$A$2,A15)+COUNTIF('C_jama.2025.20765'!$A$2:$A$14,A15)+COUNTIF('C_jama.2025.24175'!$A$2:$A$15,A15)+COUNTIF('C_jama.2025.4390'!$A$2:$A$4,A15)+COUNTIF('C_jama.2025.7583'!$A$2:$A$4,A15)+COUNTIF('C_jama.2025.7710'!$A$2:$A$5,A15)+COUNTIF('C_jama.2025.9110'!$A$2:$A$7,A15)+COUNTIF('C_jama.2025.9663'!$A$2:$A$4,A15))&lt;&gt;1,LEFT(A15,LEN("2025::jama.2025.24175::"))&lt;&gt;"2025::jama.2025.24175::"),"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COMPLETE",IF(F15="primary_done","PRIMARY READY","PRIMARY DRAFT")))))),"CHECK INPUT / KEY")</f>
        <v/>
      </c>
      <c r="H15" s="7">
        <f>IF(AND(OR(D15="retain",D15=""),E15="statistical_results"),"","not_applicable")</f>
        <v/>
      </c>
      <c r="I15" s="7">
        <f>IF(AND(OR(D15="retain",D15=""),E15="statistical_results"),"","not_applicable")</f>
        <v/>
      </c>
      <c r="J15" s="13">
        <f>IF(AND(OR(D15="retain",D15=""),E15="statistical_results"),"","not_applicable")</f>
        <v/>
      </c>
      <c r="K15" s="7">
        <f>IF(AND(OR(D15="retain",D15=""),OR(E15="report_internal_inconsistency",E15="plan_material")),"","not_applicable")</f>
        <v/>
      </c>
      <c r="L15" s="13">
        <f>IF(AND(OR(D15="retain",D15=""),E15="protocol_report"),"","not_applicable")</f>
        <v/>
      </c>
      <c r="M15" s="19" t="n"/>
      <c r="N15" s="19" t="n"/>
      <c r="O15" s="19" t="n"/>
      <c r="P15" s="19" t="n"/>
      <c r="Q15" s="19" t="n"/>
      <c r="R15" s="13" t="inlineStr">
        <is>
          <t>Excluded: protocol p.41 prints 18/21 (85.7%) placebo and 14/15 (93.3%) immunotherapy 28-day deaths, which reconcile; the alleged mismatched pairs do not appear in the source. The 14 vs 11 figure question is handled in C006.</t>
        </is>
      </c>
    </row>
  </sheetData>
  <autoFilter ref="A1:R15"/>
  <conditionalFormatting sqref="G2:G15">
    <cfRule type="expression" priority="1" dxfId="105">
      <formula>G2&lt;&gt;"PRIMARY READY"</formula>
    </cfRule>
  </conditionalFormatting>
  <conditionalFormatting sqref="H2:H15">
    <cfRule type="expression" priority="2" dxfId="106">
      <formula>NOT(AND(OR($D2="retain",$D2=""),$E2="statistical_results"))</formula>
    </cfRule>
  </conditionalFormatting>
  <conditionalFormatting sqref="I2:I15">
    <cfRule type="expression" priority="3" dxfId="106">
      <formula>NOT(AND(OR($D2="retain",$D2=""),$E2="statistical_results"))</formula>
    </cfRule>
  </conditionalFormatting>
  <conditionalFormatting sqref="J2:J15">
    <cfRule type="expression" priority="4" dxfId="106">
      <formula>NOT(AND(OR($D2="retain",$D2=""),$E2="statistical_results"))</formula>
    </cfRule>
  </conditionalFormatting>
  <conditionalFormatting sqref="K2:K15">
    <cfRule type="expression" priority="5" dxfId="106">
      <formula>NOT(AND(OR($D2="retain",$D2=""),OR($E2="report_internal_inconsistency",$E2="plan_material")))</formula>
    </cfRule>
  </conditionalFormatting>
  <conditionalFormatting sqref="L2:L15">
    <cfRule type="expression" priority="6" dxfId="106">
      <formula>NOT(AND(OR($D2="retain",$D2=""),$E2="protocol_report"))</formula>
    </cfRule>
  </conditionalFormatting>
  <dataValidations count="8">
    <dataValidation sqref="D2:D15" showDropDown="0" showInputMessage="0" showErrorMessage="1" allowBlank="1" errorTitle="Use an allowed option" error="Choose an option from the list; see Codebook." type="list" errorStyle="stop">
      <formula1>"retain,exclude,discuss"</formula1>
    </dataValidation>
    <dataValidation sqref="E2:E15"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5" showDropDown="0" showInputMessage="0" showErrorMessage="1" allowBlank="1" errorTitle="Use an allowed option" error="Choose an option from the list; see Codebook." type="list" errorStyle="stop">
      <formula1>"no,primary_done"</formula1>
    </dataValidation>
    <dataValidation sqref="H2:H15"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5"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5" showDropDown="0" showInputMessage="0" showErrorMessage="1" allowBlank="1" errorTitle="Use an allowed option" error="Choose an option from the list; see Codebook." type="list" errorStyle="stop">
      <formula1>"direct,possible,unlikely,unknown,not_applicable"</formula1>
    </dataValidation>
    <dataValidation sqref="K2:K15"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5"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4"/>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2025::jama.2025.4390::C001</t>
        </is>
      </c>
      <c r="B2" s="12" t="inlineStr">
        <is>
          <t>Figure 3 all-patient rate-column conflict with the matched primary-outcome rate</t>
        </is>
      </c>
      <c r="C2" s="12" t="inlineStr">
        <is>
          <t>jama_garrison_2025_oi_250019_1749674951.29054.pdf — Figure 3, PDF p. 9; jama_garrison_2025_oi_250019_1749674951.29054.pdf — Table 2, PDF p. 8; main article abstract, PDF p. 1; primary-outcome narrative, PDF p. 6.</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2025.4390::"))&lt;&gt;"2025::jama.2025.4390::"),"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substantive_inconsistency</t>
        </is>
      </c>
      <c r="L2" s="13">
        <f>IF(AND(OR(D2="retain",D2=""),E2="protocol_report"),"","not_applicable")</f>
        <v/>
      </c>
      <c r="M2" s="19" t="n"/>
      <c r="N2" s="19" t="n"/>
      <c r="O2" s="19" t="n"/>
      <c r="P2" s="19" t="n"/>
      <c r="Q2" s="19" t="n"/>
      <c r="R2" s="13" t="inlineStr">
        <is>
          <t>Figure 3 'Rate per 100 patient-years' column is mislabeled throughout: all-patient values are 71.0 in both arms, and subgroup pairs sum to 71.0 (male 30.5 + female 40.5). The column is follow-up time in hundreds of patient-years: 163/71.0=2.30 and 173/71.0=2.44, matching Table 2 rates. Every subgroup 'rate' is wrong as labeled.</t>
        </is>
      </c>
    </row>
    <row r="3" ht="92" customFormat="1" customHeight="1" s="8">
      <c r="A3" s="11" t="inlineStr">
        <is>
          <t>2025::jama.2025.4390::C002</t>
        </is>
      </c>
      <c r="B3" s="11" t="inlineStr">
        <is>
          <t>Bedtime-diuretic six-month timing count triplets differ between eFigure 4 and eTable 6</t>
        </is>
      </c>
      <c r="C3" s="11" t="inlineStr">
        <is>
          <t>joi250019supp3_prod_1749674951.30054.pdf — eFigure 4, PDF p. 26; joi250019supp3_prod_1749674951.30054.pdf — eTable 6, PDF p. 42 (table begins on PDF p. 41).</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2025.4390::"))&lt;&gt;"2025::jama.2025.4390::"),"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minor_presentation</t>
        </is>
      </c>
      <c r="L3" s="13">
        <f>IF(AND(OR(D3="retain",D3=""),E3="protocol_report"),"","not_applicable")</f>
        <v/>
      </c>
      <c r="M3" s="19" t="n"/>
      <c r="N3" s="19" t="n"/>
      <c r="O3" s="19" t="n"/>
      <c r="P3" s="19" t="n"/>
      <c r="Q3" s="19" t="n"/>
      <c r="R3" s="13" t="inlineStr">
        <is>
          <t>Bedtime-group diuretics at 6 months: eFigure 4 shows 278 as allocated, 138 off allocation, 8 twice daily; eTable 6 gives 277/424 (65.3%), 139/424 (32.8%), 8/424 (1.9%). One medication classified differently; total 424 in both.</t>
        </is>
      </c>
    </row>
    <row r="4" ht="92" customFormat="1" customHeight="1" s="8">
      <c r="A4" s="12" t="inlineStr">
        <is>
          <t>2025::jama.2025.4390::C003</t>
        </is>
      </c>
      <c r="B4" s="12" t="inlineStr">
        <is>
          <t>eTable 5 Other ethnicity row duplicates White/Caucasian values and exceeds randomized Other totals</t>
        </is>
      </c>
      <c r="C4" s="12" t="inlineStr">
        <is>
          <t>joi250019supp3_prod_1749674951.30054.pdf — eTable 5, PDF p. 37; joi250019supp3_prod_1749674951.30054.pdf — eTable 3, PDF p. 29.</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2025.4390::"))&lt;&gt;"2025::jama.2025.4390::"),"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confirmed_issue</t>
        </is>
      </c>
      <c r="I4" s="7" t="inlineStr">
        <is>
          <t>minor_presentation</t>
        </is>
      </c>
      <c r="J4" s="13" t="inlineStr">
        <is>
          <t>unlikely</t>
        </is>
      </c>
      <c r="K4" s="7">
        <f>IF(AND(OR(D4="retain",D4=""),OR(E4="report_internal_inconsistency",E4="plan_material")),"","not_applicable")</f>
        <v/>
      </c>
      <c r="L4" s="13">
        <f>IF(AND(OR(D4="retain",D4=""),E4="protocol_report"),"","not_applicable")</f>
        <v/>
      </c>
      <c r="M4" s="19" t="n"/>
      <c r="N4" s="19" t="n"/>
      <c r="O4" s="19" t="n"/>
      <c r="P4" s="19" t="n"/>
      <c r="Q4" s="19" t="n"/>
      <c r="R4" s="13" t="inlineStr">
        <is>
          <t>eTable 5 (participants not followable, n=44 morning, 57 bedtime): 'Other' ethnicity row repeats the White/Caucasian row, 40 (90.9%) and 53 (93.0%). Impossible: ethnicity rows then total 85 and 111. eTable 3 shows only 5 and 9 'Other' among all randomized. Duplicated row.</t>
        </is>
      </c>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4"/>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2025::jama.2025.7583::C001</t>
        </is>
      </c>
      <c r="B2" s="12" t="inlineStr">
        <is>
          <t>Primary-endpoint midline-shift boundary differs across matched supplied sources</t>
        </is>
      </c>
      <c r="C2" s="12" t="inlineStr">
        <is>
          <t>Main article — PDF p. 3; protocol — PDF p. 7; protocol — PDF p. 16; results supplement — PDF p. 15; SAP — PDF p. 3.</t>
        </is>
      </c>
      <c r="D2" s="7" t="inlineStr">
        <is>
          <t>retain</t>
        </is>
      </c>
      <c r="E2" s="7" t="inlineStr">
        <is>
          <t>protocol_report</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2025.7583::"))&lt;&gt;"2025::jama.2025.7583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t="inlineStr">
        <is>
          <t>minor_presentation</t>
        </is>
      </c>
      <c r="M2" s="19" t="n"/>
      <c r="N2" s="19" t="n"/>
      <c r="O2" s="19" t="n"/>
      <c r="P2" s="19" t="n"/>
      <c r="Q2" s="19" t="n"/>
      <c r="R2" s="13" t="inlineStr">
        <is>
          <t>Primary-endpoint imaging component: article ('5 mm or greater'), protocol v1.1 and results supplement use midline shift &gt;=5 mm; SAP v2 (2024) uses &gt;5 mm. Boundary differs only for a shift of exactly 5 mm; the report follows the protocol. No case at exactly 5 mm is identifiable.</t>
        </is>
      </c>
    </row>
    <row r="3" ht="92" customFormat="1" customHeight="1" s="8">
      <c r="A3" s="11" t="inlineStr">
        <is>
          <t>2025::jama.2025.7583::C002</t>
        </is>
      </c>
      <c r="B3" s="11" t="inlineStr">
        <is>
          <t>Printed sample-size attrition allowance does not reconcile with the printed target</t>
        </is>
      </c>
      <c r="C3" s="11" t="inlineStr">
        <is>
          <t>Protocol — PDF p. 50; SAP — PDF p. 4; SAP — PDF p. 5; main article — PDF p. 3.</t>
        </is>
      </c>
      <c r="D3" s="7" t="inlineStr">
        <is>
          <t>retain</t>
        </is>
      </c>
      <c r="E3" s="7" t="inlineStr">
        <is>
          <t>plan_material</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2025.7583::"))&lt;&gt;"2025::jama.2025.7583::"),"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minor_presentation</t>
        </is>
      </c>
      <c r="L3" s="13">
        <f>IF(AND(OR(D3="retain",D3=""),E3="protocol_report"),"","not_applicable")</f>
        <v/>
      </c>
      <c r="M3" s="19" t="n"/>
      <c r="N3" s="19" t="n"/>
      <c r="O3" s="19" t="n"/>
      <c r="P3" s="19" t="n"/>
      <c r="Q3" s="19" t="n"/>
      <c r="R3" s="13" t="inlineStr">
        <is>
          <t>Protocol and SAP: 142 per group required; 'assuming a loss to follow-up rate of 20%', 342 total (171/group). 142x1.2=170.4, rounded to 171 (multiplicative inflation); 142/0.8=177.5 would be needed to retain 142 after 20% loss. 171x0.8=136.8 &lt; 142. Conventional shortcut that slightly under-inflates.</t>
        </is>
      </c>
    </row>
    <row r="4" ht="92" customFormat="1" customHeight="1" s="8">
      <c r="A4" s="12" t="inlineStr">
        <is>
          <t>2025::jama.2025.7583::C003</t>
        </is>
      </c>
      <c r="B4" s="12" t="inlineStr">
        <is>
          <t>Standard-care surgery-type counts exceed their shared printed denominator</t>
        </is>
      </c>
      <c r="C4" s="12" t="inlineStr">
        <is>
          <t>Main article — PDF p. 5, Table 1, Treatment rows.</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2025.7583::"))&lt;&gt;"2025::jama.2025.7583::"),"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probable_issue</t>
        </is>
      </c>
      <c r="I4" s="7" t="inlineStr">
        <is>
          <t>minor_presentation</t>
        </is>
      </c>
      <c r="J4" s="13" t="inlineStr">
        <is>
          <t>unlikely</t>
        </is>
      </c>
      <c r="K4" s="7">
        <f>IF(AND(OR(D4="retain",D4=""),OR(E4="report_internal_inconsistency",E4="plan_material")),"","not_applicable")</f>
        <v/>
      </c>
      <c r="L4" s="13">
        <f>IF(AND(OR(D4="retain",D4=""),E4="protocol_report"),"","not_applicable")</f>
        <v/>
      </c>
      <c r="M4" s="19" t="n"/>
      <c r="N4" s="19" t="n"/>
      <c r="O4" s="19" t="n"/>
      <c r="P4" s="19" t="n"/>
      <c r="Q4" s="19" t="n"/>
      <c r="R4" s="13" t="inlineStr">
        <is>
          <t>Table 1 standard-care column: burr hole 146/163 (89.6%) + trephine 18/163 (11.0%) = 164 &gt; 163. The embolization column sums exactly (150+17=167). A bilateral case with mixed techniques could explain it (26 bilateral surgeries), but the table gives no rule.</t>
        </is>
      </c>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R5"/>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2025::jama.2025.7710::C001</t>
        </is>
      </c>
      <c r="B2" s="12" t="inlineStr">
        <is>
          <t>Conflicting economic price-year labels within the protocol</t>
        </is>
      </c>
      <c r="C2" s="12" t="inlineStr">
        <is>
          <t>joi250034supp1_prod_1750956984.09018.pdf — PDF p. 16, section 7.2.3; joi250034supp1_prod_1750956984.09018.pdf — PDF p. 17, section 8.2.</t>
        </is>
      </c>
      <c r="D2" s="7" t="inlineStr">
        <is>
          <t>retain</t>
        </is>
      </c>
      <c r="E2" s="7" t="inlineStr">
        <is>
          <t>plan_material</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2025.7710::"))&lt;&gt;"2025::jama.2025.7710::"),"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Protocol V2.1 section 7.2.3 says costs in 2024/25 dollars; section 8.2 (cross-referenced from 7.2.3) says 2023/24 dollars, same perspective and horizons. Price-year conflict in the economic plan; the economic evaluation is not reported in this article.</t>
        </is>
      </c>
    </row>
    <row r="3" ht="92" customFormat="1" customHeight="1" s="8">
      <c r="A3" s="11" t="inlineStr">
        <is>
          <t>2025::jama.2025.7710::C002</t>
        </is>
      </c>
      <c r="B3" s="11" t="inlineStr">
        <is>
          <t>Primary-composite counting rationale does not reconcile with the displayed endpoint list</t>
        </is>
      </c>
      <c r="C3" s="11" t="inlineStr">
        <is>
          <t>joi250034supp1_prod_1750956984.09018.pdf — PDF p. 15, section 7.1; joi250034supp1_prod_1750956984.09018.pdf — PDF p. 16, section 7.2.1.</t>
        </is>
      </c>
      <c r="D3" s="7" t="inlineStr">
        <is>
          <t>retain</t>
        </is>
      </c>
      <c r="E3" s="7" t="inlineStr">
        <is>
          <t>plan_material</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2025.7710::"))&lt;&gt;"2025::jama.2025.7710::"),"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minor_presentation</t>
        </is>
      </c>
      <c r="L3" s="13">
        <f>IF(AND(OR(D3="retain",D3=""),E3="protocol_report"),"","not_applicable")</f>
        <v/>
      </c>
      <c r="M3" s="19" t="n"/>
      <c r="N3" s="19" t="n"/>
      <c r="O3" s="19" t="n"/>
      <c r="P3" s="19" t="n"/>
      <c r="Q3" s="19" t="n"/>
      <c r="R3" s="13" t="inlineStr">
        <is>
          <t>Protocol 7.1 lists ten composite components as ten bullets; 7.2.1 says 'There are ten items because outcomes (i) and (viii) each contain two individual components', which fits an older 8-item list. Subsections 7.1.1 ('stillbirth or 28-day neonatal death') and 7.1.2 overlap. Counting explanation inconsistent; the ten components are clear.</t>
        </is>
      </c>
    </row>
    <row r="4" ht="92" customFormat="1" customHeight="1" s="8">
      <c r="A4" s="12" t="inlineStr">
        <is>
          <t>2025::jama.2025.7710::C003</t>
        </is>
      </c>
      <c r="B4" s="12" t="inlineStr">
        <is>
          <t>Economic comparator label conflicts with the detailed trial comparison</t>
        </is>
      </c>
      <c r="C4" s="12" t="inlineStr">
        <is>
          <t>joi250034supp1_prod_1750956984.09018.pdf — PDF p. 5, synopsis and schema; joi250034supp1_prod_1750956984.09018.pdf — PDF p. 16, section 7.2.3; joi250034supp1_prod_1750956984.09018.pdf — PDF p. 17, section 8.2.</t>
        </is>
      </c>
      <c r="D4" s="7" t="inlineStr">
        <is>
          <t>retain</t>
        </is>
      </c>
      <c r="E4" s="7" t="inlineStr">
        <is>
          <t>plan_material</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2025.7710::"))&lt;&gt;"2025::jama.2025.7710::"),"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minor_presentation</t>
        </is>
      </c>
      <c r="L4" s="13">
        <f>IF(AND(OR(D4="retain",D4=""),E4="protocol_report"),"","not_applicable")</f>
        <v/>
      </c>
      <c r="M4" s="19" t="n"/>
      <c r="N4" s="19" t="n"/>
      <c r="O4" s="19" t="n"/>
      <c r="P4" s="19" t="n"/>
      <c r="Q4" s="19" t="n"/>
      <c r="R4" s="13" t="inlineStr">
        <is>
          <t>Protocol 7.2.3: 'Cost effectiveness and budget impact of CS vs standard care'; elsewhere CS means caesarean section and SC sildenafil citrate, and section 8.2 compares SC with placebo. Transposed abbreviation; intended comparison clear from 8.2.</t>
        </is>
      </c>
    </row>
    <row r="5" ht="92" customFormat="1" customHeight="1" s="8">
      <c r="A5" s="11" t="inlineStr">
        <is>
          <t>2025::jama.2025.7710::C004</t>
        </is>
      </c>
      <c r="B5" s="11" t="inlineStr">
        <is>
          <t>Reported no-adjustment statement conflicts with the supplied multiplicity plan</t>
        </is>
      </c>
      <c r="C5" s="11"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D5" s="7" t="inlineStr">
        <is>
          <t>retain</t>
        </is>
      </c>
      <c r="E5" s="7" t="inlineStr">
        <is>
          <t>protocol_report</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2025.7710::"))&lt;&gt;"2025::jama.2025.7710::"),"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t="inlineStr">
        <is>
          <t>substantive_difference</t>
        </is>
      </c>
      <c r="M5" s="19" t="n"/>
      <c r="N5" s="19" t="n"/>
      <c r="O5" s="19" t="n"/>
      <c r="P5" s="19" t="n"/>
      <c r="Q5" s="19" t="n"/>
      <c r="R5" s="13" t="inlineStr">
        <is>
          <t>Protocol V2.1 (section 13.2) and draft SAP v1.2 plan Benjamini-Hochberg adjusted P values for the ten component outcomes (SAP shell has an adjusted-P column). Article: 'There was no adjustment for multiple testing'; Table 3 shows raw P only. Planned analysis not done or not reported; all raw component P values are &gt;=.12, so conclusions are unchanged.</t>
        </is>
      </c>
    </row>
  </sheetData>
  <autoFilter ref="A1:R5"/>
  <conditionalFormatting sqref="G2:G5">
    <cfRule type="expression" priority="1" dxfId="105">
      <formula>G2&lt;&gt;"PRIMARY READY"</formula>
    </cfRule>
  </conditionalFormatting>
  <conditionalFormatting sqref="H2:H5">
    <cfRule type="expression" priority="2" dxfId="106">
      <formula>NOT(AND(OR($D2="retain",$D2=""),$E2="statistical_results"))</formula>
    </cfRule>
  </conditionalFormatting>
  <conditionalFormatting sqref="I2:I5">
    <cfRule type="expression" priority="3" dxfId="106">
      <formula>NOT(AND(OR($D2="retain",$D2=""),$E2="statistical_results"))</formula>
    </cfRule>
  </conditionalFormatting>
  <conditionalFormatting sqref="J2:J5">
    <cfRule type="expression" priority="4" dxfId="106">
      <formula>NOT(AND(OR($D2="retain",$D2=""),$E2="statistical_results"))</formula>
    </cfRule>
  </conditionalFormatting>
  <conditionalFormatting sqref="K2:K5">
    <cfRule type="expression" priority="5" dxfId="106">
      <formula>NOT(AND(OR($D2="retain",$D2=""),OR($E2="report_internal_inconsistency",$E2="plan_material")))</formula>
    </cfRule>
  </conditionalFormatting>
  <conditionalFormatting sqref="L2:L5">
    <cfRule type="expression" priority="6" dxfId="106">
      <formula>NOT(AND(OR($D2="retain",$D2=""),$E2="protocol_report"))</formula>
    </cfRule>
  </conditionalFormatting>
  <dataValidations count="8">
    <dataValidation sqref="D2:D5" showDropDown="0" showInputMessage="0" showErrorMessage="1" allowBlank="1" errorTitle="Use an allowed option" error="Choose an option from the list; see Codebook." type="list" errorStyle="stop">
      <formula1>"retain,exclude,discuss"</formula1>
    </dataValidation>
    <dataValidation sqref="E2:E5"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5" showDropDown="0" showInputMessage="0" showErrorMessage="1" allowBlank="1" errorTitle="Use an allowed option" error="Choose an option from the list; see Codebook." type="list" errorStyle="stop">
      <formula1>"no,primary_done"</formula1>
    </dataValidation>
    <dataValidation sqref="H2:H5"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5" showDropDown="0" showInputMessage="0" showErrorMessage="1" allowBlank="1" errorTitle="Use an allowed option" error="Choose an option from the list; see Codebook." type="list" errorStyle="stop">
      <formula1>"substantive,minor_presentation,indeterminate,not_applicable"</formula1>
    </dataValidation>
    <dataValidation sqref="J2:J5" showDropDown="0" showInputMessage="0" showErrorMessage="1" allowBlank="1" errorTitle="Use an allowed option" error="Choose an option from the list; see Codebook." type="list" errorStyle="stop">
      <formula1>"direct,possible,unlikely,unknown,not_applicable"</formula1>
    </dataValidation>
    <dataValidation sqref="K2:K5"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5"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R7"/>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2025::jama.2025.9110::C001</t>
        </is>
      </c>
      <c r="B2" s="12" t="inlineStr">
        <is>
          <t>Invasive-ventilation descriptive summary is labeled mean (SD) but displays two endpoints</t>
        </is>
      </c>
      <c r="C2" s="12" t="inlineStr">
        <is>
          <t>Main article — PDF p. 7, Table 2, Duration of invasive ventilation, mean (SD), h; main article — PDF p. 1; Results Supplement — PDF p. 18, eTable 10.</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2025.9110::"))&lt;&gt;"2025::jama.2025.9110::"),"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Table 2: 'Duration of invasive ventilation, mean (SD), h' shows 84.0 (35.0 to 178.9) vs 78.0 (33.2 to 161.0), which are median (IQR)-type displays (eTable 10 gives comparable medians/IQRs by period). Label wrong; the effect (mean difference 6.8 h, -3.0 to 16.5) is separately labeled.</t>
        </is>
      </c>
    </row>
    <row r="3" ht="92" customFormat="1" customHeight="1" s="8">
      <c r="A3" s="11" t="inlineStr">
        <is>
          <t>2025::jama.2025.9110::C002</t>
        </is>
      </c>
      <c r="B3" s="11" t="inlineStr">
        <is>
          <t>eTable 10 uses a comma in one one-decimal survival percentage</t>
        </is>
      </c>
      <c r="C3" s="11" t="inlineStr">
        <is>
          <t>Results Supplement — PDF p. 18, eTable 10, Alive at day 90 [n (%)], Period 2 usual protein (4 units, n = 530).</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2025.9110::"))&lt;&gt;"2025::jama.2025.9110::"),"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minor_presentation</t>
        </is>
      </c>
      <c r="L3" s="13">
        <f>IF(AND(OR(D3="retain",D3=""),E3="protocol_report"),"","not_applicable")</f>
        <v/>
      </c>
      <c r="M3" s="19" t="n"/>
      <c r="N3" s="19" t="n"/>
      <c r="O3" s="19" t="n"/>
      <c r="P3" s="19" t="n"/>
      <c r="Q3" s="19" t="n"/>
      <c r="R3" s="13" t="inlineStr">
        <is>
          <t>eTable 10, alive at day 90, period 2 usual protein (n=530): '383 (72, 3%)'. 383/530=72.3%, so the comma is a malformed decimal; other cells use points. Typographic only.</t>
        </is>
      </c>
    </row>
    <row r="4" ht="92" customFormat="1" customHeight="1" s="8">
      <c r="A4" s="12" t="inlineStr">
        <is>
          <t>2025::jama.2025.9110::C003</t>
        </is>
      </c>
      <c r="B4" s="12" t="inlineStr">
        <is>
          <t>Bayesian quantile row is labeled mean (SD) despite its associated median estimand and two-endpoint group displays</t>
        </is>
      </c>
      <c r="C4" s="12" t="inlineStr">
        <is>
          <t>Main article — PDF p. 7, Table 2; Results Supplement — PDF p. 5, secondary analyses; Results Supplement — PDF p. 27, eFigure 6.</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2025.9110::"))&lt;&gt;"2025::jama.2025.9110::"),"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minor_presentation</t>
        </is>
      </c>
      <c r="L4" s="13">
        <f>IF(AND(OR(D4="retain",D4=""),E4="protocol_report"),"","not_applicable")</f>
        <v/>
      </c>
      <c r="M4" s="19" t="n"/>
      <c r="N4" s="19" t="n"/>
      <c r="O4" s="19" t="n"/>
      <c r="P4" s="19" t="n"/>
      <c r="Q4" s="19" t="n"/>
      <c r="R4" s="13" t="inlineStr">
        <is>
          <t>Table 2 Bayesian quantile mixed-model row is labeled 'mean (SD)' but shows 62.0 (0 to 77) vs 64.0 (0 to 77), identical to the primary median (IQR) row, with a 'Median difference, -1.50 (-3.86 to 0.90)'. Label carried over from the linear-model row above.</t>
        </is>
      </c>
    </row>
    <row r="5" ht="92" customFormat="1" customHeight="1" s="8">
      <c r="A5" s="11" t="inlineStr">
        <is>
          <t>2025::jama.2025.9110::C004</t>
        </is>
      </c>
      <c r="B5" s="11" t="inlineStr">
        <is>
          <t>Discussion describes the matched day-10 urea summaries as means while Results reports medians (IQR)</t>
        </is>
      </c>
      <c r="C5" s="11" t="inlineStr">
        <is>
          <t>Main article Results — PDF p. 5, Biochemical Outcomes; main article Discussion — PDF p. 8.</t>
        </is>
      </c>
      <c r="D5" s="7" t="inlineStr">
        <is>
          <t>retain</t>
        </is>
      </c>
      <c r="E5" s="7" t="inlineStr">
        <is>
          <t>report_internal_inconsistency</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2025.9110::"))&lt;&gt;"2025::jama.2025.9110::"),"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t="inlineStr">
        <is>
          <t>minor_presentation</t>
        </is>
      </c>
      <c r="L5" s="13">
        <f>IF(AND(OR(D5="retain",D5=""),E5="protocol_report"),"","not_applicable")</f>
        <v/>
      </c>
      <c r="M5" s="19" t="n"/>
      <c r="N5" s="19" t="n"/>
      <c r="O5" s="19" t="n"/>
      <c r="P5" s="19" t="n"/>
      <c r="Q5" s="19" t="n"/>
      <c r="R5" s="13" t="inlineStr">
        <is>
          <t>Discussion: 'mean urea concentrations at day 10 were higher in the augmented protein group'; Results report medians (IQR), 13.0 (8.2-18.8) vs 10.6 (7.1-15.4) mmol/L. Wrong summary statistic named; direction and magnitude message unchanged.</t>
        </is>
      </c>
    </row>
    <row r="6" ht="92" customFormat="1" customHeight="1" s="8">
      <c r="A6" s="12" t="inlineStr">
        <is>
          <t>2025::jama.2025.9110::C005</t>
        </is>
      </c>
      <c r="B6" s="12" t="inlineStr">
        <is>
          <t>eTable 10 tracheostomy row switches percent-sign notation across period cells</t>
        </is>
      </c>
      <c r="C6" s="12" t="inlineStr">
        <is>
          <t>Results Supplement — PDF p. 18, eTable 10, Tracheostomy in ICU [n (%)].</t>
        </is>
      </c>
      <c r="D6" s="7" t="inlineStr">
        <is>
          <t>exclude</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2025.9110::"))&lt;&gt;"2025::jama.2025.9110::"),"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inlineStr">
        <is>
          <t>Excluded: eTable 10 tracheostomy row omits the % sign in four cells and includes it in four; the row header is [n (%)], and every value matches count/n (e.g., 27/480=5.6, 35/551=6.4). Cosmetic formatting with no ambiguity.</t>
        </is>
      </c>
    </row>
    <row r="7" ht="92" customFormat="1" customHeight="1" s="8">
      <c r="A7" s="11" t="inlineStr">
        <is>
          <t>2025::jama.2025.9110::C006</t>
        </is>
      </c>
      <c r="B7" s="11" t="inlineStr">
        <is>
          <t>eTable 10 new-KRT row switches percent-sign notation across period cells</t>
        </is>
      </c>
      <c r="C7" s="11" t="inlineStr">
        <is>
          <t>Results Supplement — PDF p. 18, eTable 10, New kidney replacement therapy commenced during index ICU admission after commencing trial enteral nutrition [n (%)].</t>
        </is>
      </c>
      <c r="D7" s="7" t="inlineStr">
        <is>
          <t>exclude</t>
        </is>
      </c>
      <c r="E7" s="7" t="inlineStr">
        <is>
          <t>report_internal_inconsistency</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2025.9110::"))&lt;&gt;"2025::jama.2025.9110::"),"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inlineStr">
        <is>
          <t>Excluded: eTable 10 new kidney replacement therapy row omits % in four cells and includes it in four; header is [n (%)] and every value matches count/n (e.g., 33/480=6.9, 38/551=6.9). Cosmetic formatting only.</t>
        </is>
      </c>
    </row>
  </sheetData>
  <autoFilter ref="A1:R7"/>
  <conditionalFormatting sqref="G2:G7">
    <cfRule type="expression" priority="1" dxfId="105">
      <formula>G2&lt;&gt;"PRIMARY READY"</formula>
    </cfRule>
  </conditionalFormatting>
  <conditionalFormatting sqref="H2:H7">
    <cfRule type="expression" priority="2" dxfId="106">
      <formula>NOT(AND(OR($D2="retain",$D2=""),$E2="statistical_results"))</formula>
    </cfRule>
  </conditionalFormatting>
  <conditionalFormatting sqref="I2:I7">
    <cfRule type="expression" priority="3" dxfId="106">
      <formula>NOT(AND(OR($D2="retain",$D2=""),$E2="statistical_results"))</formula>
    </cfRule>
  </conditionalFormatting>
  <conditionalFormatting sqref="J2:J7">
    <cfRule type="expression" priority="4" dxfId="106">
      <formula>NOT(AND(OR($D2="retain",$D2=""),$E2="statistical_results"))</formula>
    </cfRule>
  </conditionalFormatting>
  <conditionalFormatting sqref="K2:K7">
    <cfRule type="expression" priority="5" dxfId="106">
      <formula>NOT(AND(OR($D2="retain",$D2=""),OR($E2="report_internal_inconsistency",$E2="plan_material")))</formula>
    </cfRule>
  </conditionalFormatting>
  <conditionalFormatting sqref="L2:L7">
    <cfRule type="expression" priority="6" dxfId="106">
      <formula>NOT(AND(OR($D2="retain",$D2=""),$E2="protocol_report"))</formula>
    </cfRule>
  </conditionalFormatting>
  <dataValidations count="8">
    <dataValidation sqref="D2:D7" showDropDown="0" showInputMessage="0" showErrorMessage="1" allowBlank="1" errorTitle="Use an allowed option" error="Choose an option from the list; see Codebook." type="list" errorStyle="stop">
      <formula1>"retain,exclude,discuss"</formula1>
    </dataValidation>
    <dataValidation sqref="E2:E7"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7" showDropDown="0" showInputMessage="0" showErrorMessage="1" allowBlank="1" errorTitle="Use an allowed option" error="Choose an option from the list; see Codebook." type="list" errorStyle="stop">
      <formula1>"no,primary_done"</formula1>
    </dataValidation>
    <dataValidation sqref="H2:H7"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7" showDropDown="0" showInputMessage="0" showErrorMessage="1" allowBlank="1" errorTitle="Use an allowed option" error="Choose an option from the list; see Codebook." type="list" errorStyle="stop">
      <formula1>"substantive,minor_presentation,indeterminate,not_applicable"</formula1>
    </dataValidation>
    <dataValidation sqref="J2:J7" showDropDown="0" showInputMessage="0" showErrorMessage="1" allowBlank="1" errorTitle="Use an allowed option" error="Choose an option from the list; see Codebook." type="list" errorStyle="stop">
      <formula1>"direct,possible,unlikely,unknown,not_applicable"</formula1>
    </dataValidation>
    <dataValidation sqref="K2:K7"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7"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4"/>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2025::jama.2025.9663::C001</t>
        </is>
      </c>
      <c r="B2" s="12" t="inlineStr">
        <is>
          <t>Extraneous pressure unit after the usual-group SpO2 summary</t>
        </is>
      </c>
      <c r="C2" s="12" t="inlineStr">
        <is>
          <t>DOC-001, jama_martin_2025_oi_250042_1753377747.91025.pdf — PDF p. 6 (printed article p. 403), Oxygen Exposure paragraph; comparator DOC-003, joi250042supp2_prod_1753377747.93025.pdf — PDF p. 21, eTable 5.</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2025.9663::"))&lt;&gt;"2025::jama.2025.9663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Oxygen Exposure text: usual-care values printed as '95.1% (2.4%) mm Hg and 79.5 (17.9) mm Hg, respectively'. The first value is SpO2 (%), so 'mm Hg' is a stray unit; eTable 5 labels SpO2 % and PaO2 mm Hg. Typographic.</t>
        </is>
      </c>
    </row>
    <row r="3" ht="92" customFormat="1" customHeight="1" s="8">
      <c r="A3" s="11" t="inlineStr">
        <is>
          <t>2025::jama.2025.9663::C002</t>
        </is>
      </c>
      <c r="B3" s="11" t="inlineStr">
        <is>
          <t>Results-supplement contents page does not identify actual eTables 1-4</t>
        </is>
      </c>
      <c r="C3" s="11" t="inlineStr">
        <is>
          <t>DOC-003, joi250042supp2_prod_1753377747.93025.pdf — PDF p. 1, contents; actual eTable 1 — PDF p. 15, eTable 2 — PDF p. 17, eTable 3 — PDF p. 18, and eTable 4 — PDF p. 19.</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2025.9663::"))&lt;&gt;"2025::jama.2025.9663::"),"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minor_presentation</t>
        </is>
      </c>
      <c r="L3" s="13">
        <f>IF(AND(OR(D3="retain",D3=""),E3="protocol_report"),"","not_applicable")</f>
        <v/>
      </c>
      <c r="M3" s="19" t="n"/>
      <c r="N3" s="19" t="n"/>
      <c r="O3" s="19" t="n"/>
      <c r="P3" s="19" t="n"/>
      <c r="Q3" s="19" t="n"/>
      <c r="R3" s="13" t="inlineStr">
        <is>
          <t>Supplement 2 contents page lists eTable 1 'Results of quality assessment per study' and eTable 2 'Diagnostic performance of serological tests', titles not belonging to this trial; actual eTables 1-4 are sites, additional characteristics, representativeness, and baseline by data-collection group. Contents titles wrong/shifted.</t>
        </is>
      </c>
    </row>
    <row r="4" ht="92" customFormat="1" customHeight="1" s="8">
      <c r="A4" s="12" t="inlineStr">
        <is>
          <t>2025::jama.2025.9663::C003</t>
        </is>
      </c>
      <c r="B4" s="12" t="inlineStr">
        <is>
          <t>Final SAP contains an unresolved reference after quantitative separation/adherence rules</t>
        </is>
      </c>
      <c r="C4" s="12" t="inlineStr">
        <is>
          <t>DOC-002, joi250042supp1_prod_1753377747.92525.pdf — PDF p. 118 (SAP p. 8), section 2.5 and Table 1, immediately after the separation/adherence definition.</t>
        </is>
      </c>
      <c r="D4" s="7" t="inlineStr">
        <is>
          <t>retain</t>
        </is>
      </c>
      <c r="E4" s="7" t="inlineStr">
        <is>
          <t>plan_material</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2025.9663::"))&lt;&gt;"2025::jama.2025.9663::"),"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minor_presentation</t>
        </is>
      </c>
      <c r="L4" s="13">
        <f>IF(AND(OR(D4="retain",D4=""),E4="protocol_report"),"","not_applicable")</f>
        <v/>
      </c>
      <c r="M4" s="19" t="n"/>
      <c r="N4" s="19" t="n"/>
      <c r="O4" s="19" t="n"/>
      <c r="P4" s="19" t="n"/>
      <c r="Q4" s="19" t="n"/>
      <c r="R4" s="13" t="inlineStr">
        <is>
          <t>SAP section 2.5 (internal pilot) reads 'See Section 3.2 and Error! Reference source not found. for further details about assessment of separation and treatment adherence.' Broken cross-reference in the signed SAP; Section 3.2 remains identifiable. Concerns pilot progression criteria only.</t>
        </is>
      </c>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56"/>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8" min="1" max="1"/>
    <col width="29" customWidth="1" style="8" min="2" max="2"/>
    <col width="40" customWidth="1" style="8" min="3" max="3"/>
    <col width="96" customWidth="1" style="8" min="4" max="4"/>
    <col width="29" customWidth="1" style="8" min="5" max="5"/>
  </cols>
  <sheetData>
    <row r="1" ht="42" customFormat="1" customHeight="1" s="8">
      <c r="A1" s="14" t="inlineStr">
        <is>
          <t>Field name</t>
        </is>
      </c>
      <c r="B1" s="14" t="inlineStr">
        <is>
          <t>Option / value</t>
        </is>
      </c>
      <c r="C1" s="14" t="inlineStr">
        <is>
          <t>Requirement / scope</t>
        </is>
      </c>
      <c r="D1" s="14" t="inlineStr">
        <is>
          <t>Explanation and example</t>
        </is>
      </c>
      <c r="E1" s="14" t="inlineStr">
        <is>
          <t>Internal key</t>
        </is>
      </c>
    </row>
    <row r="2" ht="96" customFormat="1" customHeight="1" s="8">
      <c r="A2" s="15" t="inlineStr">
        <is>
          <t>Working method</t>
        </is>
      </c>
      <c r="B2" s="15" t="inlineStr">
        <is>
          <t>GUIDE</t>
        </is>
      </c>
      <c r="C2" s="15" t="inlineStr">
        <is>
          <t>Independent primary review</t>
        </is>
      </c>
      <c r="D2" s="15" t="inlineStr">
        <is>
          <t>Blank = no answer; indeterminate/unknown = uncertain; not_applicable = inactive. Clear obsolete answers after changing domain or disposition.</t>
        </is>
      </c>
      <c r="E2" s="15" t="n"/>
    </row>
    <row r="3" ht="96" customFormat="1" customHeight="1" s="8">
      <c r="A3" s="16" t="inlineStr">
        <is>
          <t>Required judgments</t>
        </is>
      </c>
      <c r="B3" s="16" t="inlineStr">
        <is>
          <t>GUIDE</t>
        </is>
      </c>
      <c r="C3" s="16" t="inlineStr">
        <is>
          <t>Retain only</t>
        </is>
      </c>
      <c r="D3" s="16" t="inlineStr">
        <is>
          <t>statistical_results: issue + substantiveness; report_internal_inconsistency or plan_material: internalStatus. protocol_report: no extra required judgment; interpretation is optional.</t>
        </is>
      </c>
      <c r="E3" s="16" t="n"/>
    </row>
    <row r="4" ht="96" customFormat="1" customHeight="1" s="8">
      <c r="A4" s="15" t="inlineStr">
        <is>
          <t>How to read this Codebook</t>
        </is>
      </c>
      <c r="B4" s="15" t="n"/>
      <c r="C4" s="15" t="n"/>
      <c r="D4" s="15" t="n"/>
      <c r="E4" s="15" t="n"/>
    </row>
    <row r="5" ht="96" customFormat="1" customHeight="1" s="8">
      <c r="A5" s="16" t="inlineStr">
        <is>
          <t>1  |  Common decisions and optional notes</t>
        </is>
      </c>
      <c r="B5" s="16" t="n"/>
      <c r="C5" s="16" t="n"/>
      <c r="D5" s="16" t="n"/>
      <c r="E5" s="16" t="n"/>
    </row>
    <row r="6" ht="96" customFormat="1" customHeight="1" s="8">
      <c r="A6" s="15" t="inlineStr">
        <is>
          <t>Disposition</t>
        </is>
      </c>
      <c r="B6" s="15" t="inlineStr">
        <is>
          <t>FIELD</t>
        </is>
      </c>
      <c r="C6" s="15" t="inlineStr">
        <is>
          <t>Required; all domains</t>
        </is>
      </c>
      <c r="D6" s="15" t="inlineStr">
        <is>
          <t>Keep, exclude, or defer as unresolved. Blank means untouched, not discuss. No AI disposition is preselected.</t>
        </is>
      </c>
      <c r="E6" s="15" t="inlineStr">
        <is>
          <t>disposition</t>
        </is>
      </c>
    </row>
    <row r="7" ht="96" customFormat="1" customHeight="1" s="8">
      <c r="A7" s="16" t="n"/>
      <c r="B7" s="16" t="inlineStr">
        <is>
          <t>retain</t>
        </is>
      </c>
      <c r="C7" s="16" t="inlineStr">
        <is>
          <t>Option</t>
        </is>
      </c>
      <c r="D7" s="16" t="inlineStr">
        <is>
          <t>Retain candidate. After human review, keep this finding in the applicable review results; retaining a protocol discrepancy does not automatically confirm an issue.</t>
        </is>
      </c>
      <c r="E7" s="16" t="n"/>
    </row>
    <row r="8" ht="96" customFormat="1" customHeight="1" s="8">
      <c r="A8" s="15" t="n"/>
      <c r="B8" s="15" t="inlineStr">
        <is>
          <t>exclude</t>
        </is>
      </c>
      <c r="C8" s="15" t="inlineStr">
        <is>
          <t>Option</t>
        </is>
      </c>
      <c r="D8" s="15" t="inlineStr">
        <is>
          <t>Do not retain. The candidate has been assessed and should not remain as a finding, for example because the apparent mismatch has a satisfactory explanation.</t>
        </is>
      </c>
      <c r="E8" s="15" t="n"/>
    </row>
    <row r="9" ht="96" customFormat="1" customHeight="1" s="8">
      <c r="A9" s="16" t="n"/>
      <c r="B9" s="16" t="inlineStr">
        <is>
          <t>discuss</t>
        </is>
      </c>
      <c r="C9" s="16" t="inlineStr">
        <is>
          <t>Option</t>
        </is>
      </c>
      <c r="D9" s="16" t="inlineStr">
        <is>
          <t>Needs discussion. The reviewer has considered the candidate but cannot settle the disposition without further discussion. This is a decision to defer, not an untouched blank.</t>
        </is>
      </c>
      <c r="E9" s="16" t="n"/>
    </row>
    <row r="10" ht="96" customFormat="1" customHeight="1" s="8">
      <c r="A10" s="15" t="inlineStr">
        <is>
          <t>Review domain</t>
        </is>
      </c>
      <c r="B10" s="15" t="inlineStr">
        <is>
          <t>FIELD</t>
        </is>
      </c>
      <c r="C10" s="15" t="inlineStr">
        <is>
          <t>Required; all domains</t>
        </is>
      </c>
      <c r="D10" s="15" t="inlineStr">
        <is>
          <t>Choose the assessment branch first. It controls automatic not_applicable defaults and which judgments are required. All four choices are available; the frozen document relationship code does not change.</t>
        </is>
      </c>
      <c r="E10" s="15" t="inlineStr">
        <is>
          <t>domain</t>
        </is>
      </c>
    </row>
    <row r="11" ht="96" customFormat="1" customHeight="1" s="8">
      <c r="A11" s="16" t="n"/>
      <c r="B11" s="16" t="inlineStr">
        <is>
          <t>statistical_results</t>
        </is>
      </c>
      <c r="C11" s="16" t="inlineStr">
        <is>
          <t>Option</t>
        </is>
      </c>
      <c r="D11" s="16" t="inlineStr">
        <is>
          <t>Statistical results (S_C / S_W). Assess reported numbers, estimates, intervals, denominators or statistical claims in the current report materials.</t>
        </is>
      </c>
      <c r="E11" s="16" t="n"/>
    </row>
    <row r="12" ht="96" customFormat="1" customHeight="1" s="8">
      <c r="A12" s="15" t="n"/>
      <c r="B12" s="15" t="inlineStr">
        <is>
          <t>report_internal_inconsistency</t>
        </is>
      </c>
      <c r="C12" s="15" t="inlineStr">
        <is>
          <t>Option</t>
        </is>
      </c>
      <c r="D12" s="1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5" t="n"/>
    </row>
    <row r="13" ht="96" customFormat="1" customHeight="1" s="8">
      <c r="A13" s="16" t="n"/>
      <c r="B13" s="16" t="inlineStr">
        <is>
          <t>protocol_report</t>
        </is>
      </c>
      <c r="C13" s="16" t="inlineStr">
        <is>
          <t>Option</t>
        </is>
      </c>
      <c r="D13" s="16" t="inlineStr">
        <is>
          <t>Protocol-report (P_R). Assess whether planned and reported conduct or analyses meaningfully differ, using the compared materials. No search for acknowledgment or reasons for changes is required.</t>
        </is>
      </c>
      <c r="E13" s="16" t="n"/>
    </row>
    <row r="14" ht="96" customFormat="1" customHeight="1" s="8">
      <c r="A14" s="15" t="n"/>
      <c r="B14" s="15" t="inlineStr">
        <is>
          <t>plan_material</t>
        </is>
      </c>
      <c r="C14" s="15" t="inlineStr">
        <is>
          <t>Option</t>
        </is>
      </c>
      <c r="D14" s="15" t="inlineStr">
        <is>
          <t>Plan material (P_P). Assess an inconsistency involving planning materials themselves rather than a planned-versus-reported result. The original relationship code remains unchanged.</t>
        </is>
      </c>
      <c r="E14" s="15" t="n"/>
    </row>
    <row r="15" ht="96" customFormat="1" customHeight="1" s="8">
      <c r="A15" s="16" t="inlineStr">
        <is>
          <t>Complete</t>
        </is>
      </c>
      <c r="B15" s="16" t="inlineStr">
        <is>
          <t>FIELD</t>
        </is>
      </c>
      <c r="C15" s="16" t="inlineStr">
        <is>
          <t>Independent primary review</t>
        </is>
      </c>
      <c r="D15" s="16" t="inlineStr">
        <is>
          <t>Use no while drafting; primary_done only after manual review. Reset F=no before changing a completed row, review again, then mark primary_done.</t>
        </is>
      </c>
      <c r="E15" s="16" t="inlineStr">
        <is>
          <t>reviewComplete</t>
        </is>
      </c>
    </row>
    <row r="16" ht="96" customFormat="1" customHeight="1" s="8">
      <c r="A16" s="15" t="n"/>
      <c r="B16" s="15" t="inlineStr">
        <is>
          <t>no</t>
        </is>
      </c>
      <c r="C16" s="15" t="inlineStr">
        <is>
          <t>Option</t>
        </is>
      </c>
      <c r="D16" s="15" t="inlineStr">
        <is>
          <t>Draft. Manual review is not yet confirmed complete; AI suggestions or partial entries do not count as completion.</t>
        </is>
      </c>
      <c r="E16" s="15" t="n"/>
    </row>
    <row r="17" ht="96" customFormat="1" customHeight="1" s="8">
      <c r="A17" s="16" t="inlineStr">
        <is>
          <t>Validation hint</t>
        </is>
      </c>
      <c r="B17" s="16" t="inlineStr">
        <is>
          <t>FIELD</t>
        </is>
      </c>
      <c r="C17" s="16" t="inlineStr">
        <is>
          <t>Calculated</t>
        </is>
      </c>
      <c r="D17" s="16" t="inlineStr">
        <is>
          <t>PRIMARY READY means this independent primary assessment passes entry checks. Discuss remains unresolved. Checks does not establish scientific accuracy or prevent edits to source/formula cells.</t>
        </is>
      </c>
      <c r="E17" s="16" t="inlineStr">
        <is>
          <t>readiness</t>
        </is>
      </c>
    </row>
    <row r="18" ht="96" customFormat="1" customHeight="1" s="8">
      <c r="A18" s="15" t="inlineStr">
        <is>
          <t>Notes (optional)</t>
        </is>
      </c>
      <c r="B18" s="15" t="inlineStr">
        <is>
          <t>FIELD</t>
        </is>
      </c>
      <c r="C18" s="15" t="inlineStr">
        <is>
          <t>Optional</t>
        </is>
      </c>
      <c r="D18" s="15" t="inlineStr">
        <is>
          <t>Optional English context. Clearing removes the text; no inheritance and no control words.</t>
        </is>
      </c>
      <c r="E18" s="15" t="inlineStr">
        <is>
          <t>notes</t>
        </is>
      </c>
    </row>
    <row r="19" ht="96" customFormat="1" customHeight="1" s="8">
      <c r="A19" s="16" t="inlineStr">
        <is>
          <t>2  |  Statistical results: two required judgments</t>
        </is>
      </c>
      <c r="B19" s="16" t="n"/>
      <c r="C19" s="16" t="n"/>
      <c r="D19" s="16" t="n"/>
      <c r="E19" s="16" t="n"/>
    </row>
    <row r="20" ht="96" customFormat="1" customHeight="1" s="8">
      <c r="A20" s="15" t="inlineStr">
        <is>
          <t>Statistcal_or_numerical issue</t>
        </is>
      </c>
      <c r="B20" s="15" t="inlineStr">
        <is>
          <t>FIELD</t>
        </is>
      </c>
      <c r="C20" s="15" t="inlineStr">
        <is>
          <t>Required; retained statistical_results</t>
        </is>
      </c>
      <c r="D20" s="15" t="inlineStr">
        <is>
          <t>Does a statistical or numerical reporting issue exist? Example: a reported percentage conflicts with its stated numerator and denominator after checking definitions. Certainty is separate from importance.</t>
        </is>
      </c>
      <c r="E20" s="15" t="inlineStr">
        <is>
          <t>statisticalIssueStatus</t>
        </is>
      </c>
    </row>
    <row r="21" ht="96" customFormat="1" customHeight="1" s="8">
      <c r="A21" s="16" t="n"/>
      <c r="B21" s="16" t="inlineStr">
        <is>
          <t>confirmed_issue</t>
        </is>
      </c>
      <c r="C21" s="16" t="inlineStr">
        <is>
          <t>Option</t>
        </is>
      </c>
      <c r="D21" s="16" t="inlineStr">
        <is>
          <t>Confirmed statistical or numerical reporting issue. The available evidence establishes a reporting issue or contradiction, even if the correct replacement value is not known.</t>
        </is>
      </c>
      <c r="E21" s="16" t="n"/>
    </row>
    <row r="22" ht="96" customFormat="1" customHeight="1" s="8">
      <c r="A22" s="15" t="n"/>
      <c r="B22" s="15" t="inlineStr">
        <is>
          <t>probable_issue</t>
        </is>
      </c>
      <c r="C22" s="15" t="inlineStr">
        <is>
          <t>Option</t>
        </is>
      </c>
      <c r="D22" s="15" t="inlineStr">
        <is>
          <t>Probable statistical or numerical reporting issue. The evidence favors a reporting issue, but an unresolved limitation or plausible alternative prevents confirmation.</t>
        </is>
      </c>
      <c r="E22" s="15" t="n"/>
    </row>
    <row r="23" ht="96" customFormat="1" customHeight="1" s="8">
      <c r="A23" s="16" t="n"/>
      <c r="B23" s="16" t="inlineStr">
        <is>
          <t>not_issue</t>
        </is>
      </c>
      <c r="C23" s="16" t="inlineStr">
        <is>
          <t>Option</t>
        </is>
      </c>
      <c r="D23" s="16" t="inlineStr">
        <is>
          <t>Not a statistical or numerical issue. The apparent discrepancy is consistent with a valid calculation, definition, analysis method or reporting context.</t>
        </is>
      </c>
      <c r="E23" s="16" t="n"/>
    </row>
    <row r="24" ht="96" customFormat="1" customHeight="1" s="8">
      <c r="A24" s="15" t="n"/>
      <c r="B24" s="15" t="inlineStr">
        <is>
          <t>indeterminate</t>
        </is>
      </c>
      <c r="C24" s="15" t="inlineStr">
        <is>
          <t>Option</t>
        </is>
      </c>
      <c r="D24" s="15" t="inlineStr">
        <is>
          <t>Indeterminate. The available evidence does not support deciding whether a statistical or numerical reporting issue exists; neither confirmation nor dismissal is justified.</t>
        </is>
      </c>
      <c r="E24" s="15" t="n"/>
    </row>
    <row r="25" ht="96" customFormat="1" customHeight="1" s="8">
      <c r="A25" s="16" t="n"/>
      <c r="B25" s="16" t="inlineStr">
        <is>
          <t>not_applicable</t>
        </is>
      </c>
      <c r="C25" s="16" t="inlineStr">
        <is>
          <t>Option</t>
        </is>
      </c>
      <c r="D25" s="16" t="inlineStr">
        <is>
          <t>Automatic default outside this field's review domain or for a non-retained candidate. It is not an issue verdict, missing evidence, or an unanswered applicable question. Do not choose it for an applicable field.</t>
        </is>
      </c>
      <c r="E25" s="16" t="n"/>
    </row>
    <row r="26" ht="96" customFormat="1" customHeight="1" s="8">
      <c r="A26" s="15" t="inlineStr">
        <is>
          <t>Substantiveness</t>
        </is>
      </c>
      <c r="B26" s="15" t="inlineStr">
        <is>
          <t>FIELD</t>
        </is>
      </c>
      <c r="C26" s="15" t="inlineStr">
        <is>
          <t>Required; retained statistical_results</t>
        </is>
      </c>
      <c r="D26" s="15" t="inlineStr">
        <is>
          <t>Could the issue meaningfully affect interpretation or data use? A harmless spacing typo is minor_presentation; an ambiguous extractable effect estimate may be substantive. An issue can be confirmed yet minor.</t>
        </is>
      </c>
      <c r="E26" s="15" t="inlineStr">
        <is>
          <t>substantiveStatus</t>
        </is>
      </c>
    </row>
    <row r="27" ht="96" customFormat="1" customHeight="1" s="8">
      <c r="A27" s="16" t="n"/>
      <c r="B27" s="16" t="inlineStr">
        <is>
          <t>substantive</t>
        </is>
      </c>
      <c r="C27" s="16" t="inlineStr">
        <is>
          <t>Option</t>
        </is>
      </c>
      <c r="D27" s="16" t="inlineStr">
        <is>
          <t>Substantive. The issue could meaningfully change interpretation, data extraction or downstream analysis, rather than only the presentation of the result.</t>
        </is>
      </c>
      <c r="E27" s="16" t="n"/>
    </row>
    <row r="28" ht="96" customFormat="1" customHeight="1" s="8">
      <c r="A28" s="15" t="n"/>
      <c r="B28" s="15" t="inlineStr">
        <is>
          <t>minor_presentation</t>
        </is>
      </c>
      <c r="C28" s="15" t="inlineStr">
        <is>
          <t>Option</t>
        </is>
      </c>
      <c r="D28" s="15" t="inlineStr">
        <is>
          <t>Minor or presentation only. The intended result remains clear and the issue is a small formatting, labeling or typographic problem without a meaningful change in interpretation.</t>
        </is>
      </c>
      <c r="E28" s="15" t="n"/>
    </row>
    <row r="29" ht="96" customFormat="1" customHeight="1" s="8">
      <c r="A29" s="16" t="n"/>
      <c r="B29" s="16" t="inlineStr">
        <is>
          <t>indeterminate</t>
        </is>
      </c>
      <c r="C29" s="16" t="inlineStr">
        <is>
          <t>Option</t>
        </is>
      </c>
      <c r="D29" s="16" t="inlineStr">
        <is>
          <t>Indeterminate. There is not enough information to decide whether the issue is substantive or limited to presentation.</t>
        </is>
      </c>
      <c r="E29" s="16" t="n"/>
    </row>
    <row r="30" ht="96" customFormat="1" customHeight="1" s="8">
      <c r="A30" s="15" t="n"/>
      <c r="B30" s="15" t="inlineStr">
        <is>
          <t>not_applicable</t>
        </is>
      </c>
      <c r="C30" s="15" t="inlineStr">
        <is>
          <t>Option</t>
        </is>
      </c>
      <c r="D30" s="15" t="inlineStr">
        <is>
          <t>Automatic default outside this field's review domain or for a non-retained candidate. It is not an issue verdict, missing evidence, or an unanswered applicable question. Do not choose it for an applicable field.</t>
        </is>
      </c>
      <c r="E30" s="15" t="n"/>
    </row>
    <row r="31" ht="96" customFormat="1" customHeight="1" s="8">
      <c r="A31" s="16" t="inlineStr">
        <is>
          <t>Downstream impact</t>
        </is>
      </c>
      <c r="B31" s="16" t="inlineStr">
        <is>
          <t>FIELD</t>
        </is>
      </c>
      <c r="C31" s="16" t="inlineStr">
        <is>
          <t>Optional; retained statistical_results</t>
        </is>
      </c>
      <c r="D31" s="16"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6" t="inlineStr">
        <is>
          <t>downstreamImpact</t>
        </is>
      </c>
    </row>
    <row r="32" ht="96" customFormat="1" customHeight="1" s="8">
      <c r="A32" s="15" t="n"/>
      <c r="B32" s="15" t="inlineStr">
        <is>
          <t>direct</t>
        </is>
      </c>
      <c r="C32" s="15" t="inlineStr">
        <is>
          <t>Option</t>
        </is>
      </c>
      <c r="D32" s="15" t="inlineStr">
        <is>
          <t>Direct extraction or analysis impact. The affected value or definition is itself an input to data extraction or subsequent analysis; this describes potential impact, not proven downstream harm.</t>
        </is>
      </c>
      <c r="E32" s="15" t="n"/>
    </row>
    <row r="33" ht="96" customFormat="1" customHeight="1" s="8">
      <c r="A33" s="16" t="n"/>
      <c r="B33" s="16" t="inlineStr">
        <is>
          <t>possible</t>
        </is>
      </c>
      <c r="C33" s="16" t="inlineStr">
        <is>
          <t>Option</t>
        </is>
      </c>
      <c r="D33" s="16" t="inlineStr">
        <is>
          <t>Possible downstream impact. A plausible route to affecting later interpretation, extraction or analysis exists, but the connection is indirect or uncertain.</t>
        </is>
      </c>
      <c r="E33" s="16" t="n"/>
    </row>
    <row r="34" ht="96" customFormat="1" customHeight="1" s="8">
      <c r="A34" s="15" t="n"/>
      <c r="B34" s="15" t="inlineStr">
        <is>
          <t>unlikely</t>
        </is>
      </c>
      <c r="C34" s="15" t="inlineStr">
        <is>
          <t>Option</t>
        </is>
      </c>
      <c r="D34" s="15" t="inlineStr">
        <is>
          <t>Unlikely downstream impact. The issue is unlikely to change extracted information or later analysis because the relevant result remains clear and usable.</t>
        </is>
      </c>
      <c r="E34" s="15" t="n"/>
    </row>
    <row r="35" ht="96" customFormat="1" customHeight="1" s="8">
      <c r="A35" s="16" t="n"/>
      <c r="B35" s="16" t="inlineStr">
        <is>
          <t>unknown</t>
        </is>
      </c>
      <c r="C35" s="16" t="inlineStr">
        <is>
          <t>Option</t>
        </is>
      </c>
      <c r="D35" s="16" t="inlineStr">
        <is>
          <t>Unable to assess. The materials do not establish enough about the affected information or its likely use to judge downstream impact.</t>
        </is>
      </c>
      <c r="E35" s="16" t="n"/>
    </row>
    <row r="36" ht="96" customFormat="1" customHeight="1" s="8">
      <c r="A36" s="15" t="n"/>
      <c r="B36" s="15" t="inlineStr">
        <is>
          <t>not_applicable</t>
        </is>
      </c>
      <c r="C36" s="15" t="inlineStr">
        <is>
          <t>Option</t>
        </is>
      </c>
      <c r="D36" s="15" t="inlineStr">
        <is>
          <t>Automatic default outside this field's review domain or for a non-retained candidate. It is not an issue verdict, missing evidence, or an unanswered applicable question. Do not choose it for an applicable field.</t>
        </is>
      </c>
      <c r="E36" s="15" t="n"/>
    </row>
    <row r="37" ht="96" customFormat="1" customHeight="1" s="8">
      <c r="A37" s="16" t="inlineStr">
        <is>
          <t>3  |  Report internal or planning-material inconsistency</t>
        </is>
      </c>
      <c r="B37" s="16" t="n"/>
      <c r="C37" s="16" t="n"/>
      <c r="D37" s="16" t="n"/>
      <c r="E37" s="16" t="n"/>
    </row>
    <row r="38" ht="96" customFormat="1" customHeight="1" s="8">
      <c r="A38" s="15" t="inlineStr">
        <is>
          <t>Report-internal or planning-material inconsistency</t>
        </is>
      </c>
      <c r="B38" s="15" t="inlineStr">
        <is>
          <t>FIELD</t>
        </is>
      </c>
      <c r="C38" s="15" t="inlineStr">
        <is>
          <t>Required; retained report_internal_inconsistency or plan_material</t>
        </is>
      </c>
      <c r="D38" s="15"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5" t="inlineStr">
        <is>
          <t>internalStatus</t>
        </is>
      </c>
    </row>
    <row r="39" ht="96" customFormat="1" customHeight="1" s="8">
      <c r="A39" s="16" t="n"/>
      <c r="B39" s="16" t="inlineStr">
        <is>
          <t>substantive_inconsistency</t>
        </is>
      </c>
      <c r="C39" s="16" t="inlineStr">
        <is>
          <t>Option</t>
        </is>
      </c>
      <c r="D39" s="16" t="inlineStr">
        <is>
          <t>Substantive inconsistency. Conflicting statements, values, labels, or descriptions in the compared report or planning materials could materially change how the study, population, procedures or results are understood.</t>
        </is>
      </c>
      <c r="E39" s="16" t="n"/>
    </row>
    <row r="40" ht="96" customFormat="1" customHeight="1" s="8">
      <c r="A40" s="15" t="n"/>
      <c r="B40" s="15" t="inlineStr">
        <is>
          <t>minor_presentation</t>
        </is>
      </c>
      <c r="C40" s="15" t="inlineStr">
        <is>
          <t>Option</t>
        </is>
      </c>
      <c r="D40" s="15"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5" t="n"/>
    </row>
    <row r="41" ht="96" customFormat="1" customHeight="1" s="8">
      <c r="A41" s="16" t="n"/>
      <c r="B41" s="16" t="inlineStr">
        <is>
          <t>non_inconsistency</t>
        </is>
      </c>
      <c r="C41" s="16" t="inlineStr">
        <is>
          <t>Option</t>
        </is>
      </c>
      <c r="D41" s="16"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6" t="n"/>
    </row>
    <row r="42" ht="96" customFormat="1" customHeight="1" s="8">
      <c r="A42" s="15" t="n"/>
      <c r="B42" s="15" t="inlineStr">
        <is>
          <t>indeterminate</t>
        </is>
      </c>
      <c r="C42" s="15" t="inlineStr">
        <is>
          <t>Option</t>
        </is>
      </c>
      <c r="D42" s="15" t="inlineStr">
        <is>
          <t>Indeterminate. The available material is insufficient to establish whether the statements conflict or how important any conflict is.</t>
        </is>
      </c>
      <c r="E42" s="15" t="n"/>
    </row>
    <row r="43" ht="96" customFormat="1" customHeight="1" s="8">
      <c r="A43" s="16" t="n"/>
      <c r="B43" s="16" t="inlineStr">
        <is>
          <t>not_applicable</t>
        </is>
      </c>
      <c r="C43" s="16" t="inlineStr">
        <is>
          <t>Option</t>
        </is>
      </c>
      <c r="D43" s="16" t="inlineStr">
        <is>
          <t>Automatic default outside this field's review domain or for a non-retained candidate. It is not an issue verdict, missing evidence, or an unanswered applicable question. Do not choose it for an applicable field.</t>
        </is>
      </c>
      <c r="E43" s="16" t="n"/>
    </row>
    <row r="44" ht="96" customFormat="1" customHeight="1" s="8">
      <c r="A44" s="15" t="inlineStr">
        <is>
          <t>4  |  Protocol versus report: optional description only</t>
        </is>
      </c>
      <c r="B44" s="15" t="n"/>
      <c r="C44" s="15" t="n"/>
      <c r="D44" s="15" t="n"/>
      <c r="E44" s="15" t="n"/>
    </row>
    <row r="45" ht="96" customFormat="1" customHeight="1" s="8">
      <c r="A45" s="16" t="inlineStr">
        <is>
          <t>Protocol interpretation</t>
        </is>
      </c>
      <c r="B45" s="16" t="inlineStr">
        <is>
          <t>FIELD</t>
        </is>
      </c>
      <c r="C45" s="16" t="inlineStr">
        <is>
          <t>Optional; retained protocol_report</t>
        </is>
      </c>
      <c r="D45" s="16"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6" t="inlineStr">
        <is>
          <t>protocolInterpretation</t>
        </is>
      </c>
    </row>
    <row r="46" ht="96" customFormat="1" customHeight="1" s="8">
      <c r="A46" s="15" t="n"/>
      <c r="B46" s="15" t="inlineStr">
        <is>
          <t>substantive_difference</t>
        </is>
      </c>
      <c r="C46" s="15" t="inlineStr">
        <is>
          <t>Option</t>
        </is>
      </c>
      <c r="D46" s="1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5" t="n"/>
    </row>
    <row r="47" ht="96" customFormat="1" customHeight="1" s="8">
      <c r="A47" s="16" t="n"/>
      <c r="B47" s="16" t="inlineStr">
        <is>
          <t>minor_presentation</t>
        </is>
      </c>
      <c r="C47" s="16" t="inlineStr">
        <is>
          <t>Option</t>
        </is>
      </c>
      <c r="D47" s="16" t="inlineStr">
        <is>
          <t>Minor presentation difference. A minor wording, labeling or presentation problem exists, but the intended planned and reported meaning or conduct remains clear. Example: an imprecise outcome label clarified by the same definition in both documents.</t>
        </is>
      </c>
      <c r="E47" s="16" t="n"/>
    </row>
    <row r="48" ht="96" customFormat="1" customHeight="1" s="8">
      <c r="A48" s="15" t="n"/>
      <c r="B48" s="15" t="inlineStr">
        <is>
          <t>version_timing</t>
        </is>
      </c>
      <c r="C48" s="15" t="inlineStr">
        <is>
          <t>Option</t>
        </is>
      </c>
      <c r="D48" s="15" t="inlineStr">
        <is>
          <t>Version or timing ambiguity. The difference may reflect which protocol version or date is being compared; the sequence cannot be resolved from the available material.</t>
        </is>
      </c>
      <c r="E48" s="15" t="n"/>
    </row>
    <row r="49" ht="96" customFormat="1" customHeight="1" s="8">
      <c r="A49" s="16" t="n"/>
      <c r="B49" s="16" t="inlineStr">
        <is>
          <t>non_inconsistency</t>
        </is>
      </c>
      <c r="C49" s="16" t="inlineStr">
        <is>
          <t>Option</t>
        </is>
      </c>
      <c r="D49" s="16"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6" t="n"/>
    </row>
    <row r="50" ht="96" customFormat="1" customHeight="1" s="8">
      <c r="A50" s="15" t="n"/>
      <c r="B50" s="15" t="inlineStr">
        <is>
          <t>indeterminate</t>
        </is>
      </c>
      <c r="C50" s="15" t="inlineStr">
        <is>
          <t>Option</t>
        </is>
      </c>
      <c r="D50" s="15" t="inlineStr">
        <is>
          <t>Indeterminate. The available evidence cannot support a more specific interpretation of the planned-versus-reported difference.</t>
        </is>
      </c>
      <c r="E50" s="15" t="n"/>
    </row>
    <row r="51" ht="96" customFormat="1" customHeight="1" s="8">
      <c r="A51" s="16" t="n"/>
      <c r="B51" s="16" t="inlineStr">
        <is>
          <t>not_applicable</t>
        </is>
      </c>
      <c r="C51" s="16" t="inlineStr">
        <is>
          <t>Option</t>
        </is>
      </c>
      <c r="D51" s="16" t="inlineStr">
        <is>
          <t>Automatic default outside this field's review domain or for a non-retained candidate. It is not an issue verdict, missing evidence, or an unanswered applicable question. Do not choose it for an applicable field.</t>
        </is>
      </c>
      <c r="E51" s="16" t="n"/>
    </row>
    <row r="52" ht="96" customFormat="1" customHeight="1" s="8">
      <c r="A52" s="15" t="inlineStr">
        <is>
          <t>5  |  Candidate context</t>
        </is>
      </c>
      <c r="B52" s="15" t="n"/>
      <c r="C52" s="15" t="n"/>
      <c r="D52" s="15" t="n"/>
      <c r="E52" s="15" t="n"/>
    </row>
    <row r="53" ht="96" customFormat="1" customHeight="1" s="8">
      <c r="A53" s="16" t="inlineStr">
        <is>
          <t>Candidate key</t>
        </is>
      </c>
      <c r="B53" s="16" t="inlineStr">
        <is>
          <t>FIELD</t>
        </is>
      </c>
      <c r="C53" s="16" t="inlineStr">
        <is>
          <t>Reference</t>
        </is>
      </c>
      <c r="D53" s="16" t="inlineStr">
        <is>
          <t>Unique candidate identity used for matching, even after complete rows are reordered. Never edit this value.</t>
        </is>
      </c>
      <c r="E53" s="16" t="inlineStr">
        <is>
          <t>key</t>
        </is>
      </c>
    </row>
    <row r="54" ht="96" customFormat="1" customHeight="1" s="8">
      <c r="A54" s="15" t="inlineStr">
        <is>
          <t>Candidate title</t>
        </is>
      </c>
      <c r="B54" s="15" t="inlineStr">
        <is>
          <t>FIELD</t>
        </is>
      </c>
      <c r="C54" s="15" t="inlineStr">
        <is>
          <t>Reference</t>
        </is>
      </c>
      <c r="D54" s="15" t="inlineStr">
        <is>
          <t>Short candidate title. A candidate is an AI flag for human assessment, not a confirmed issue.</t>
        </is>
      </c>
      <c r="E54" s="15" t="inlineStr">
        <is>
          <t>title</t>
        </is>
      </c>
    </row>
    <row r="55" ht="96" customFormat="1" customHeight="1" s="8">
      <c r="A55" s="16" t="inlineStr">
        <is>
          <t>Source location</t>
        </is>
      </c>
      <c r="B55" s="16" t="inlineStr">
        <is>
          <t>FIELD</t>
        </is>
      </c>
      <c r="C55" s="16" t="inlineStr">
        <is>
          <t>Source reference</t>
        </is>
      </c>
      <c r="D55" s="16" t="inlineStr">
        <is>
          <t>Where to check the source claim. Open the original documents named here (file and PDF page).</t>
        </is>
      </c>
      <c r="E55" s="16" t="inlineStr">
        <is>
          <t>locations</t>
        </is>
      </c>
    </row>
    <row r="56" ht="96" customFormat="1" customHeight="1" s="8">
      <c r="A56" s="15" t="inlineStr">
        <is>
          <t>Complete</t>
        </is>
      </c>
      <c r="B56" s="15" t="inlineStr">
        <is>
          <t>primary_done</t>
        </is>
      </c>
      <c r="C56" s="15" t="inlineStr">
        <is>
          <t>Independent primary review</t>
        </is>
      </c>
      <c r="D56" s="15" t="inlineStr">
        <is>
          <t>Use no while drafting; primary_done only after manual review. Reset F=no before changing a completed row, review again, then mark primary_done.</t>
        </is>
      </c>
      <c r="E56" s="15" t="inlineStr">
        <is>
          <t>reviewComplete</t>
        </is>
      </c>
    </row>
  </sheetData>
  <autoFilter ref="A1:E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2026-09-19T05:09:55Z</dcterms:created>
  <dcterms:modified xsi:type="dcterms:W3CDTF">2026-10-10T23:06:12Z</dcterms:modified>
</cp:coreProperties>
</file>